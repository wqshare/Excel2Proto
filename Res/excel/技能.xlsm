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/>
  </bookViews>
  <sheets>
    <sheet name="D_技能表" sheetId="8" r:id="rId1"/>
    <sheet name="D_技能表CD" sheetId="9" r:id="rId2"/>
    <sheet name="金币生产率" sheetId="12" r:id="rId3"/>
    <sheet name="消耗&amp;价值&amp;分析" sheetId="6" r:id="rId4"/>
    <sheet name="伤害参考系" sheetId="7" r:id="rId5"/>
    <sheet name="技能配置辅助表" sheetId="4" r:id="rId6"/>
    <sheet name="技能CD配置辅助表" sheetId="10" r:id="rId7"/>
    <sheet name="升级时间" sheetId="11" r:id="rId8"/>
  </sheets>
  <externalReferences>
    <externalReference r:id="rId9"/>
    <externalReference r:id="rId10"/>
  </externalReferences>
  <definedNames>
    <definedName name="_xlnm._FilterDatabase" localSheetId="0" hidden="1">D_技能表!$A$1:$AN$2188</definedName>
    <definedName name="技能辅助查询表">技能配置辅助表!$C$3:$AE$32</definedName>
    <definedName name="技能设定数据">D_技能表!$A$2:$Z$2188</definedName>
  </definedNames>
  <calcPr calcId="152511"/>
</workbook>
</file>

<file path=xl/calcChain.xml><?xml version="1.0" encoding="utf-8"?>
<calcChain xmlns="http://schemas.openxmlformats.org/spreadsheetml/2006/main">
  <c r="H29" i="9" l="1"/>
  <c r="H56" i="9"/>
  <c r="H83" i="9"/>
  <c r="H110" i="9"/>
  <c r="H137" i="9"/>
  <c r="H164" i="9"/>
  <c r="H191" i="9"/>
  <c r="H218" i="9"/>
  <c r="H245" i="9"/>
  <c r="H272" i="9"/>
  <c r="H299" i="9"/>
  <c r="H2" i="9"/>
  <c r="C101" i="12" l="1"/>
  <c r="C97" i="12"/>
  <c r="C98" i="12"/>
  <c r="C99" i="12"/>
  <c r="C100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R30" i="9" l="1"/>
  <c r="R57" i="9" s="1"/>
  <c r="R84" i="9" s="1"/>
  <c r="R111" i="9" s="1"/>
  <c r="R138" i="9" s="1"/>
  <c r="R31" i="9"/>
  <c r="R58" i="9" s="1"/>
  <c r="R85" i="9" s="1"/>
  <c r="R112" i="9" s="1"/>
  <c r="R139" i="9" s="1"/>
  <c r="R166" i="9" s="1"/>
  <c r="R193" i="9" s="1"/>
  <c r="R220" i="9" s="1"/>
  <c r="R247" i="9" s="1"/>
  <c r="R274" i="9" s="1"/>
  <c r="R301" i="9" s="1"/>
  <c r="R32" i="9"/>
  <c r="R59" i="9" s="1"/>
  <c r="R86" i="9" s="1"/>
  <c r="R113" i="9" s="1"/>
  <c r="R140" i="9" s="1"/>
  <c r="R167" i="9" s="1"/>
  <c r="R194" i="9" s="1"/>
  <c r="R221" i="9" s="1"/>
  <c r="R248" i="9" s="1"/>
  <c r="R275" i="9" s="1"/>
  <c r="R302" i="9" s="1"/>
  <c r="R33" i="9"/>
  <c r="R60" i="9" s="1"/>
  <c r="R87" i="9" s="1"/>
  <c r="R114" i="9" s="1"/>
  <c r="R141" i="9" s="1"/>
  <c r="R168" i="9" s="1"/>
  <c r="R195" i="9" s="1"/>
  <c r="R222" i="9" s="1"/>
  <c r="R249" i="9" s="1"/>
  <c r="R276" i="9" s="1"/>
  <c r="R303" i="9" s="1"/>
  <c r="R34" i="9"/>
  <c r="R35" i="9"/>
  <c r="R62" i="9" s="1"/>
  <c r="R89" i="9" s="1"/>
  <c r="R116" i="9" s="1"/>
  <c r="R143" i="9" s="1"/>
  <c r="R170" i="9" s="1"/>
  <c r="R197" i="9" s="1"/>
  <c r="R224" i="9" s="1"/>
  <c r="R251" i="9" s="1"/>
  <c r="R278" i="9" s="1"/>
  <c r="R305" i="9" s="1"/>
  <c r="R36" i="9"/>
  <c r="R63" i="9" s="1"/>
  <c r="R90" i="9" s="1"/>
  <c r="R117" i="9" s="1"/>
  <c r="R144" i="9" s="1"/>
  <c r="R171" i="9" s="1"/>
  <c r="R198" i="9" s="1"/>
  <c r="R225" i="9" s="1"/>
  <c r="R252" i="9" s="1"/>
  <c r="R279" i="9" s="1"/>
  <c r="R306" i="9" s="1"/>
  <c r="R37" i="9"/>
  <c r="R64" i="9" s="1"/>
  <c r="R91" i="9" s="1"/>
  <c r="R118" i="9" s="1"/>
  <c r="R145" i="9" s="1"/>
  <c r="R172" i="9" s="1"/>
  <c r="R199" i="9" s="1"/>
  <c r="R226" i="9" s="1"/>
  <c r="R253" i="9" s="1"/>
  <c r="R280" i="9" s="1"/>
  <c r="R307" i="9" s="1"/>
  <c r="R38" i="9"/>
  <c r="R65" i="9" s="1"/>
  <c r="R92" i="9" s="1"/>
  <c r="R119" i="9" s="1"/>
  <c r="R146" i="9" s="1"/>
  <c r="R39" i="9"/>
  <c r="R40" i="9"/>
  <c r="R41" i="9"/>
  <c r="R42" i="9"/>
  <c r="R43" i="9"/>
  <c r="R70" i="9" s="1"/>
  <c r="R97" i="9" s="1"/>
  <c r="R124" i="9" s="1"/>
  <c r="R151" i="9" s="1"/>
  <c r="R178" i="9" s="1"/>
  <c r="R205" i="9" s="1"/>
  <c r="R232" i="9" s="1"/>
  <c r="R259" i="9" s="1"/>
  <c r="R286" i="9" s="1"/>
  <c r="R313" i="9" s="1"/>
  <c r="R44" i="9"/>
  <c r="R71" i="9" s="1"/>
  <c r="R98" i="9" s="1"/>
  <c r="R125" i="9" s="1"/>
  <c r="R152" i="9" s="1"/>
  <c r="R179" i="9" s="1"/>
  <c r="R206" i="9" s="1"/>
  <c r="R233" i="9" s="1"/>
  <c r="R260" i="9" s="1"/>
  <c r="R287" i="9" s="1"/>
  <c r="R314" i="9" s="1"/>
  <c r="R45" i="9"/>
  <c r="R72" i="9" s="1"/>
  <c r="R99" i="9" s="1"/>
  <c r="R126" i="9" s="1"/>
  <c r="R153" i="9" s="1"/>
  <c r="R180" i="9" s="1"/>
  <c r="R207" i="9" s="1"/>
  <c r="R234" i="9" s="1"/>
  <c r="R261" i="9" s="1"/>
  <c r="R288" i="9" s="1"/>
  <c r="R315" i="9" s="1"/>
  <c r="R46" i="9"/>
  <c r="R73" i="9" s="1"/>
  <c r="R100" i="9" s="1"/>
  <c r="R127" i="9" s="1"/>
  <c r="R154" i="9" s="1"/>
  <c r="R47" i="9"/>
  <c r="R48" i="9"/>
  <c r="R49" i="9"/>
  <c r="R50" i="9"/>
  <c r="R51" i="9"/>
  <c r="R78" i="9" s="1"/>
  <c r="R105" i="9" s="1"/>
  <c r="R132" i="9" s="1"/>
  <c r="R159" i="9" s="1"/>
  <c r="R186" i="9" s="1"/>
  <c r="R52" i="9"/>
  <c r="R79" i="9" s="1"/>
  <c r="R106" i="9" s="1"/>
  <c r="R133" i="9" s="1"/>
  <c r="R160" i="9" s="1"/>
  <c r="R187" i="9" s="1"/>
  <c r="R214" i="9" s="1"/>
  <c r="R241" i="9" s="1"/>
  <c r="R268" i="9" s="1"/>
  <c r="R295" i="9" s="1"/>
  <c r="R322" i="9" s="1"/>
  <c r="R53" i="9"/>
  <c r="R80" i="9" s="1"/>
  <c r="R107" i="9" s="1"/>
  <c r="R134" i="9" s="1"/>
  <c r="R161" i="9" s="1"/>
  <c r="R188" i="9" s="1"/>
  <c r="R215" i="9" s="1"/>
  <c r="R242" i="9" s="1"/>
  <c r="R269" i="9" s="1"/>
  <c r="R296" i="9" s="1"/>
  <c r="R323" i="9" s="1"/>
  <c r="R54" i="9"/>
  <c r="R81" i="9" s="1"/>
  <c r="R108" i="9" s="1"/>
  <c r="R135" i="9" s="1"/>
  <c r="R162" i="9" s="1"/>
  <c r="R189" i="9" s="1"/>
  <c r="R216" i="9" s="1"/>
  <c r="R243" i="9" s="1"/>
  <c r="R270" i="9" s="1"/>
  <c r="R297" i="9" s="1"/>
  <c r="R324" i="9" s="1"/>
  <c r="R55" i="9"/>
  <c r="R61" i="9"/>
  <c r="R88" i="9" s="1"/>
  <c r="R115" i="9" s="1"/>
  <c r="R142" i="9" s="1"/>
  <c r="R169" i="9" s="1"/>
  <c r="R196" i="9" s="1"/>
  <c r="R223" i="9" s="1"/>
  <c r="R250" i="9" s="1"/>
  <c r="R277" i="9" s="1"/>
  <c r="R304" i="9" s="1"/>
  <c r="R66" i="9"/>
  <c r="R67" i="9"/>
  <c r="R94" i="9" s="1"/>
  <c r="R121" i="9" s="1"/>
  <c r="R148" i="9" s="1"/>
  <c r="R175" i="9" s="1"/>
  <c r="R202" i="9" s="1"/>
  <c r="R68" i="9"/>
  <c r="R95" i="9" s="1"/>
  <c r="R122" i="9" s="1"/>
  <c r="R69" i="9"/>
  <c r="R96" i="9" s="1"/>
  <c r="R123" i="9" s="1"/>
  <c r="R150" i="9" s="1"/>
  <c r="R177" i="9" s="1"/>
  <c r="R204" i="9" s="1"/>
  <c r="R231" i="9" s="1"/>
  <c r="R258" i="9" s="1"/>
  <c r="R74" i="9"/>
  <c r="R75" i="9"/>
  <c r="R102" i="9" s="1"/>
  <c r="R129" i="9" s="1"/>
  <c r="R156" i="9" s="1"/>
  <c r="R183" i="9" s="1"/>
  <c r="R210" i="9" s="1"/>
  <c r="R76" i="9"/>
  <c r="R103" i="9" s="1"/>
  <c r="R130" i="9" s="1"/>
  <c r="R77" i="9"/>
  <c r="R104" i="9" s="1"/>
  <c r="R131" i="9" s="1"/>
  <c r="R158" i="9" s="1"/>
  <c r="R185" i="9" s="1"/>
  <c r="R212" i="9" s="1"/>
  <c r="R239" i="9" s="1"/>
  <c r="R266" i="9" s="1"/>
  <c r="R82" i="9"/>
  <c r="R93" i="9"/>
  <c r="R120" i="9" s="1"/>
  <c r="R147" i="9" s="1"/>
  <c r="R174" i="9" s="1"/>
  <c r="R201" i="9" s="1"/>
  <c r="R228" i="9" s="1"/>
  <c r="R255" i="9" s="1"/>
  <c r="R282" i="9" s="1"/>
  <c r="R101" i="9"/>
  <c r="R128" i="9" s="1"/>
  <c r="R155" i="9" s="1"/>
  <c r="R182" i="9" s="1"/>
  <c r="R209" i="9" s="1"/>
  <c r="R236" i="9" s="1"/>
  <c r="R263" i="9" s="1"/>
  <c r="R290" i="9" s="1"/>
  <c r="R317" i="9" s="1"/>
  <c r="R109" i="9"/>
  <c r="R136" i="9" s="1"/>
  <c r="R163" i="9" s="1"/>
  <c r="R190" i="9" s="1"/>
  <c r="R217" i="9" s="1"/>
  <c r="R244" i="9" s="1"/>
  <c r="R271" i="9" s="1"/>
  <c r="R298" i="9" s="1"/>
  <c r="R325" i="9" s="1"/>
  <c r="R149" i="9"/>
  <c r="R176" i="9" s="1"/>
  <c r="R203" i="9" s="1"/>
  <c r="R230" i="9" s="1"/>
  <c r="R257" i="9" s="1"/>
  <c r="R284" i="9" s="1"/>
  <c r="R311" i="9" s="1"/>
  <c r="R157" i="9"/>
  <c r="R184" i="9" s="1"/>
  <c r="R211" i="9" s="1"/>
  <c r="R238" i="9" s="1"/>
  <c r="R265" i="9" s="1"/>
  <c r="R292" i="9" s="1"/>
  <c r="R319" i="9" s="1"/>
  <c r="R165" i="9"/>
  <c r="R192" i="9" s="1"/>
  <c r="R219" i="9" s="1"/>
  <c r="R246" i="9" s="1"/>
  <c r="R273" i="9" s="1"/>
  <c r="R300" i="9" s="1"/>
  <c r="R173" i="9"/>
  <c r="R200" i="9" s="1"/>
  <c r="R227" i="9" s="1"/>
  <c r="R254" i="9" s="1"/>
  <c r="R281" i="9" s="1"/>
  <c r="R308" i="9" s="1"/>
  <c r="R181" i="9"/>
  <c r="R208" i="9" s="1"/>
  <c r="R235" i="9" s="1"/>
  <c r="R262" i="9" s="1"/>
  <c r="R289" i="9" s="1"/>
  <c r="R316" i="9" s="1"/>
  <c r="R213" i="9"/>
  <c r="R240" i="9" s="1"/>
  <c r="R267" i="9" s="1"/>
  <c r="R294" i="9" s="1"/>
  <c r="R321" i="9" s="1"/>
  <c r="R229" i="9"/>
  <c r="R256" i="9" s="1"/>
  <c r="R283" i="9" s="1"/>
  <c r="R310" i="9" s="1"/>
  <c r="R237" i="9"/>
  <c r="R264" i="9" s="1"/>
  <c r="R291" i="9" s="1"/>
  <c r="R318" i="9" s="1"/>
  <c r="R285" i="9"/>
  <c r="R312" i="9" s="1"/>
  <c r="R293" i="9"/>
  <c r="R320" i="9" s="1"/>
  <c r="R309" i="9"/>
  <c r="R29" i="9"/>
  <c r="R56" i="9" s="1"/>
  <c r="R83" i="9" s="1"/>
  <c r="R110" i="9" s="1"/>
  <c r="R137" i="9" s="1"/>
  <c r="R164" i="9" s="1"/>
  <c r="R191" i="9" s="1"/>
  <c r="R218" i="9" s="1"/>
  <c r="R245" i="9" s="1"/>
  <c r="R272" i="9" s="1"/>
  <c r="R299" i="9" s="1"/>
  <c r="T2" i="8" l="1"/>
  <c r="E2" i="9" l="1"/>
  <c r="L2" i="9"/>
  <c r="J314" i="9"/>
  <c r="N314" i="9"/>
  <c r="O314" i="9"/>
  <c r="J315" i="9"/>
  <c r="N315" i="9"/>
  <c r="O315" i="9"/>
  <c r="J316" i="9"/>
  <c r="N316" i="9"/>
  <c r="O316" i="9"/>
  <c r="J317" i="9"/>
  <c r="N317" i="9"/>
  <c r="O317" i="9"/>
  <c r="J318" i="9"/>
  <c r="N318" i="9"/>
  <c r="O318" i="9"/>
  <c r="J319" i="9"/>
  <c r="N319" i="9"/>
  <c r="O319" i="9"/>
  <c r="J320" i="9"/>
  <c r="N320" i="9"/>
  <c r="O320" i="9"/>
  <c r="J321" i="9"/>
  <c r="N321" i="9"/>
  <c r="O321" i="9"/>
  <c r="J322" i="9"/>
  <c r="N322" i="9"/>
  <c r="O322" i="9"/>
  <c r="J323" i="9"/>
  <c r="N323" i="9"/>
  <c r="O323" i="9"/>
  <c r="J324" i="9"/>
  <c r="N324" i="9"/>
  <c r="O324" i="9"/>
  <c r="J325" i="9"/>
  <c r="N325" i="9"/>
  <c r="O325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AY7" i="6" l="1" a="1"/>
  <c r="AY7" i="6" s="1"/>
  <c r="W2" i="9"/>
  <c r="J3" i="9" l="1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2" i="9"/>
  <c r="K2" i="9" l="1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2" i="9"/>
  <c r="AK3" i="8" l="1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289" i="8"/>
  <c r="AK1086" i="8"/>
  <c r="AK1094" i="8"/>
  <c r="AK2" i="8"/>
  <c r="AK72" i="8"/>
  <c r="AK264" i="8"/>
  <c r="AK327" i="8"/>
  <c r="AE10" i="4"/>
  <c r="AK392" i="8" s="1"/>
  <c r="AK544" i="8"/>
  <c r="AK573" i="8"/>
  <c r="AK776" i="8"/>
  <c r="AK849" i="8"/>
  <c r="AE20" i="4"/>
  <c r="AK879" i="8" s="1"/>
  <c r="AK1038" i="8"/>
  <c r="AK1088" i="8"/>
  <c r="AK1294" i="8"/>
  <c r="AK1347" i="8"/>
  <c r="AK911" i="8" l="1"/>
  <c r="AK1358" i="8"/>
  <c r="AK1114" i="8"/>
  <c r="AK288" i="8"/>
  <c r="AK279" i="8"/>
  <c r="AK594" i="8"/>
  <c r="AK783" i="8"/>
  <c r="AE15" i="4"/>
  <c r="AK648" i="8" s="1"/>
  <c r="AK1097" i="8"/>
  <c r="AK608" i="8"/>
  <c r="AE11" i="4"/>
  <c r="AK431" i="8" s="1"/>
  <c r="AK1356" i="8"/>
  <c r="AK1081" i="8"/>
  <c r="AK1357" i="8"/>
  <c r="AK1122" i="8"/>
  <c r="AK808" i="8"/>
  <c r="AK1342" i="8"/>
  <c r="AK1120" i="8"/>
  <c r="AK785" i="8"/>
  <c r="AK1034" i="8"/>
  <c r="AK909" i="8"/>
  <c r="AK346" i="8"/>
  <c r="AK265" i="8"/>
  <c r="AK1337" i="8"/>
  <c r="AK1113" i="8"/>
  <c r="AK1077" i="8"/>
  <c r="AK885" i="8"/>
  <c r="AK329" i="8"/>
  <c r="AK257" i="8"/>
  <c r="AK1333" i="8"/>
  <c r="AK1106" i="8"/>
  <c r="AK1074" i="8"/>
  <c r="AK592" i="8"/>
  <c r="AK328" i="8"/>
  <c r="AK82" i="8"/>
  <c r="AE25" i="4"/>
  <c r="AK1164" i="8" s="1"/>
  <c r="AK1369" i="8"/>
  <c r="AK1332" i="8"/>
  <c r="AK1101" i="8"/>
  <c r="AK1073" i="8"/>
  <c r="AK820" i="8"/>
  <c r="AK585" i="8"/>
  <c r="AK1037" i="8"/>
  <c r="AE12" i="4"/>
  <c r="AK491" i="8" s="1"/>
  <c r="AK1363" i="8"/>
  <c r="AK1331" i="8"/>
  <c r="AK1098" i="8"/>
  <c r="AK812" i="8"/>
  <c r="AK565" i="8"/>
  <c r="AK301" i="8"/>
  <c r="AK1292" i="8"/>
  <c r="AK1310" i="8"/>
  <c r="AK1308" i="8"/>
  <c r="AK1027" i="8"/>
  <c r="AK1035" i="8"/>
  <c r="AK1043" i="8"/>
  <c r="AK1051" i="8"/>
  <c r="AK1059" i="8"/>
  <c r="AK1067" i="8"/>
  <c r="AK1028" i="8"/>
  <c r="AK1036" i="8"/>
  <c r="AK1044" i="8"/>
  <c r="AK1052" i="8"/>
  <c r="AK1060" i="8"/>
  <c r="AK1068" i="8"/>
  <c r="AK1023" i="8"/>
  <c r="AK1031" i="8"/>
  <c r="AK1039" i="8"/>
  <c r="AK1047" i="8"/>
  <c r="AK1055" i="8"/>
  <c r="AK1063" i="8"/>
  <c r="AK1071" i="8"/>
  <c r="AK1026" i="8"/>
  <c r="AK1040" i="8"/>
  <c r="AK1053" i="8"/>
  <c r="AK1065" i="8"/>
  <c r="AK1029" i="8"/>
  <c r="AK1041" i="8"/>
  <c r="AK1054" i="8"/>
  <c r="AK1066" i="8"/>
  <c r="AK1032" i="8"/>
  <c r="AK1045" i="8"/>
  <c r="AK1057" i="8"/>
  <c r="AK1070" i="8"/>
  <c r="AK1022" i="8"/>
  <c r="AK1042" i="8"/>
  <c r="AK1062" i="8"/>
  <c r="AK1024" i="8"/>
  <c r="AK1046" i="8"/>
  <c r="AK1064" i="8"/>
  <c r="AK1025" i="8"/>
  <c r="AK1048" i="8"/>
  <c r="AK1069" i="8"/>
  <c r="AK1050" i="8"/>
  <c r="AK1030" i="8"/>
  <c r="AK1049" i="8"/>
  <c r="AK1072" i="8"/>
  <c r="AK1033" i="8"/>
  <c r="AK1307" i="8"/>
  <c r="AK442" i="8"/>
  <c r="AK1305" i="8"/>
  <c r="AK553" i="8"/>
  <c r="AK1374" i="8"/>
  <c r="AK1349" i="8"/>
  <c r="AK1324" i="8"/>
  <c r="AK1299" i="8"/>
  <c r="AK1061" i="8"/>
  <c r="AK552" i="8"/>
  <c r="AK65" i="8"/>
  <c r="AK1317" i="8"/>
  <c r="AK467" i="8"/>
  <c r="AK499" i="8"/>
  <c r="AK476" i="8"/>
  <c r="AK484" i="8"/>
  <c r="AK462" i="8"/>
  <c r="AK478" i="8"/>
  <c r="AK510" i="8"/>
  <c r="AK485" i="8"/>
  <c r="AK511" i="8"/>
  <c r="AK473" i="8"/>
  <c r="AK490" i="8"/>
  <c r="AK504" i="8"/>
  <c r="AK496" i="8"/>
  <c r="AK488" i="8"/>
  <c r="AK503" i="8"/>
  <c r="AK471" i="8"/>
  <c r="AK463" i="8"/>
  <c r="AK482" i="8"/>
  <c r="AK1283" i="8"/>
  <c r="AE21" i="4"/>
  <c r="AK874" i="8"/>
  <c r="AK882" i="8"/>
  <c r="AK890" i="8"/>
  <c r="AK898" i="8"/>
  <c r="AK906" i="8"/>
  <c r="AK914" i="8"/>
  <c r="AK875" i="8"/>
  <c r="AK883" i="8"/>
  <c r="AK891" i="8"/>
  <c r="AK899" i="8"/>
  <c r="AK907" i="8"/>
  <c r="AK915" i="8"/>
  <c r="AK870" i="8"/>
  <c r="AK878" i="8"/>
  <c r="AK886" i="8"/>
  <c r="AK894" i="8"/>
  <c r="AK902" i="8"/>
  <c r="AK910" i="8"/>
  <c r="AK918" i="8"/>
  <c r="AK880" i="8"/>
  <c r="AK893" i="8"/>
  <c r="AK905" i="8"/>
  <c r="AK919" i="8"/>
  <c r="AK869" i="8"/>
  <c r="AK881" i="8"/>
  <c r="AK895" i="8"/>
  <c r="AK908" i="8"/>
  <c r="AK873" i="8"/>
  <c r="AK887" i="8"/>
  <c r="AK900" i="8"/>
  <c r="AK912" i="8"/>
  <c r="AK876" i="8"/>
  <c r="AK896" i="8"/>
  <c r="AK916" i="8"/>
  <c r="AK877" i="8"/>
  <c r="AK897" i="8"/>
  <c r="AK917" i="8"/>
  <c r="AK884" i="8"/>
  <c r="AK903" i="8"/>
  <c r="AK888" i="8"/>
  <c r="AK889" i="8"/>
  <c r="AK892" i="8"/>
  <c r="AK904" i="8"/>
  <c r="AK901" i="8"/>
  <c r="AK871" i="8"/>
  <c r="AK363" i="8"/>
  <c r="AK371" i="8"/>
  <c r="AK379" i="8"/>
  <c r="AK387" i="8"/>
  <c r="AK395" i="8"/>
  <c r="AK403" i="8"/>
  <c r="AK364" i="8"/>
  <c r="AK372" i="8"/>
  <c r="AK380" i="8"/>
  <c r="AK388" i="8"/>
  <c r="AK396" i="8"/>
  <c r="AK404" i="8"/>
  <c r="AK366" i="8"/>
  <c r="AK374" i="8"/>
  <c r="AK382" i="8"/>
  <c r="AK390" i="8"/>
  <c r="AK398" i="8"/>
  <c r="AK406" i="8"/>
  <c r="AK369" i="8"/>
  <c r="AK383" i="8"/>
  <c r="AK394" i="8"/>
  <c r="AK408" i="8"/>
  <c r="AK359" i="8"/>
  <c r="AK370" i="8"/>
  <c r="AK384" i="8"/>
  <c r="AK397" i="8"/>
  <c r="AK409" i="8"/>
  <c r="AK362" i="8"/>
  <c r="AK376" i="8"/>
  <c r="AK389" i="8"/>
  <c r="AK401" i="8"/>
  <c r="AK375" i="8"/>
  <c r="AK393" i="8"/>
  <c r="AK377" i="8"/>
  <c r="AK399" i="8"/>
  <c r="AK365" i="8"/>
  <c r="AK385" i="8"/>
  <c r="AK405" i="8"/>
  <c r="AK368" i="8"/>
  <c r="AK402" i="8"/>
  <c r="AK373" i="8"/>
  <c r="AK407" i="8"/>
  <c r="AK381" i="8"/>
  <c r="AK400" i="8"/>
  <c r="AK360" i="8"/>
  <c r="AK361" i="8"/>
  <c r="AK378" i="8"/>
  <c r="AK367" i="8"/>
  <c r="AK1278" i="8"/>
  <c r="AK872" i="8"/>
  <c r="AK818" i="8"/>
  <c r="AK826" i="8"/>
  <c r="AK834" i="8"/>
  <c r="AK842" i="8"/>
  <c r="AK850" i="8"/>
  <c r="AK858" i="8"/>
  <c r="AK866" i="8"/>
  <c r="AK819" i="8"/>
  <c r="AK827" i="8"/>
  <c r="AK835" i="8"/>
  <c r="AK843" i="8"/>
  <c r="AK851" i="8"/>
  <c r="AK859" i="8"/>
  <c r="AK867" i="8"/>
  <c r="AK822" i="8"/>
  <c r="AK830" i="8"/>
  <c r="AK838" i="8"/>
  <c r="AK846" i="8"/>
  <c r="AK854" i="8"/>
  <c r="AK862" i="8"/>
  <c r="AK829" i="8"/>
  <c r="AK841" i="8"/>
  <c r="AK855" i="8"/>
  <c r="AK868" i="8"/>
  <c r="AK831" i="8"/>
  <c r="AK844" i="8"/>
  <c r="AK856" i="8"/>
  <c r="AK823" i="8"/>
  <c r="AK836" i="8"/>
  <c r="AK848" i="8"/>
  <c r="AK861" i="8"/>
  <c r="AK833" i="8"/>
  <c r="AK853" i="8"/>
  <c r="AK837" i="8"/>
  <c r="AK857" i="8"/>
  <c r="AK821" i="8"/>
  <c r="AK840" i="8"/>
  <c r="AK863" i="8"/>
  <c r="AK824" i="8"/>
  <c r="AK852" i="8"/>
  <c r="AK825" i="8"/>
  <c r="AK860" i="8"/>
  <c r="AK828" i="8"/>
  <c r="AK864" i="8"/>
  <c r="AK839" i="8"/>
  <c r="AK832" i="8"/>
  <c r="AK865" i="8"/>
  <c r="AE30" i="4"/>
  <c r="AK770" i="8"/>
  <c r="AK778" i="8"/>
  <c r="AK786" i="8"/>
  <c r="AK794" i="8"/>
  <c r="AK802" i="8"/>
  <c r="AK810" i="8"/>
  <c r="AK771" i="8"/>
  <c r="AK779" i="8"/>
  <c r="AK787" i="8"/>
  <c r="AK795" i="8"/>
  <c r="AK803" i="8"/>
  <c r="AK811" i="8"/>
  <c r="AK774" i="8"/>
  <c r="AK782" i="8"/>
  <c r="AK790" i="8"/>
  <c r="AK798" i="8"/>
  <c r="AK806" i="8"/>
  <c r="AK814" i="8"/>
  <c r="AK777" i="8"/>
  <c r="AK791" i="8"/>
  <c r="AK804" i="8"/>
  <c r="AK816" i="8"/>
  <c r="AK767" i="8"/>
  <c r="AK780" i="8"/>
  <c r="AK792" i="8"/>
  <c r="AK805" i="8"/>
  <c r="AK817" i="8"/>
  <c r="AK772" i="8"/>
  <c r="AK784" i="8"/>
  <c r="AK797" i="8"/>
  <c r="AK809" i="8"/>
  <c r="AK773" i="8"/>
  <c r="AK793" i="8"/>
  <c r="AK813" i="8"/>
  <c r="AK775" i="8"/>
  <c r="AK796" i="8"/>
  <c r="AK815" i="8"/>
  <c r="AK781" i="8"/>
  <c r="AK800" i="8"/>
  <c r="AK788" i="8"/>
  <c r="AK789" i="8"/>
  <c r="AK799" i="8"/>
  <c r="AK769" i="8"/>
  <c r="AK768" i="8"/>
  <c r="AK801" i="8"/>
  <c r="AK807" i="8"/>
  <c r="AK1372" i="8"/>
  <c r="AK1321" i="8"/>
  <c r="AK1058" i="8"/>
  <c r="AK847" i="8"/>
  <c r="AK391" i="8"/>
  <c r="AK1279" i="8"/>
  <c r="AK1287" i="8"/>
  <c r="AK1295" i="8"/>
  <c r="AK1303" i="8"/>
  <c r="AK1311" i="8"/>
  <c r="AK1319" i="8"/>
  <c r="AK1327" i="8"/>
  <c r="AK1280" i="8"/>
  <c r="AK1288" i="8"/>
  <c r="AK1296" i="8"/>
  <c r="AK1304" i="8"/>
  <c r="AK1312" i="8"/>
  <c r="AK1320" i="8"/>
  <c r="AK1282" i="8"/>
  <c r="AK1290" i="8"/>
  <c r="AK1298" i="8"/>
  <c r="AK1306" i="8"/>
  <c r="AK1314" i="8"/>
  <c r="AK1322" i="8"/>
  <c r="AK1284" i="8"/>
  <c r="AK1297" i="8"/>
  <c r="AK1309" i="8"/>
  <c r="AK1323" i="8"/>
  <c r="AK1286" i="8"/>
  <c r="AK1300" i="8"/>
  <c r="AK1313" i="8"/>
  <c r="AK1325" i="8"/>
  <c r="AK1291" i="8"/>
  <c r="AK1316" i="8"/>
  <c r="AK1289" i="8"/>
  <c r="AK1301" i="8"/>
  <c r="AK1315" i="8"/>
  <c r="AK1326" i="8"/>
  <c r="AK1277" i="8"/>
  <c r="AK1302" i="8"/>
  <c r="AK1143" i="8"/>
  <c r="AK1146" i="8"/>
  <c r="AK1161" i="8"/>
  <c r="AK1147" i="8"/>
  <c r="AK1168" i="8"/>
  <c r="AK515" i="8"/>
  <c r="AK523" i="8"/>
  <c r="AK531" i="8"/>
  <c r="AK539" i="8"/>
  <c r="AK547" i="8"/>
  <c r="AK555" i="8"/>
  <c r="AK516" i="8"/>
  <c r="AK524" i="8"/>
  <c r="AK532" i="8"/>
  <c r="AK540" i="8"/>
  <c r="AK548" i="8"/>
  <c r="AK556" i="8"/>
  <c r="AK518" i="8"/>
  <c r="AK526" i="8"/>
  <c r="AK534" i="8"/>
  <c r="AK542" i="8"/>
  <c r="AK550" i="8"/>
  <c r="AK558" i="8"/>
  <c r="AK522" i="8"/>
  <c r="AK536" i="8"/>
  <c r="AK549" i="8"/>
  <c r="AK561" i="8"/>
  <c r="AK512" i="8"/>
  <c r="AK525" i="8"/>
  <c r="AK537" i="8"/>
  <c r="AK551" i="8"/>
  <c r="AK562" i="8"/>
  <c r="AK517" i="8"/>
  <c r="AK529" i="8"/>
  <c r="AK543" i="8"/>
  <c r="AK554" i="8"/>
  <c r="AK519" i="8"/>
  <c r="AK538" i="8"/>
  <c r="AK559" i="8"/>
  <c r="AK520" i="8"/>
  <c r="AK541" i="8"/>
  <c r="AK560" i="8"/>
  <c r="AK528" i="8"/>
  <c r="AK546" i="8"/>
  <c r="AK533" i="8"/>
  <c r="AK535" i="8"/>
  <c r="AK513" i="8"/>
  <c r="AK545" i="8"/>
  <c r="AK557" i="8"/>
  <c r="AK514" i="8"/>
  <c r="AK521" i="8"/>
  <c r="AK527" i="8"/>
  <c r="AK530" i="8"/>
  <c r="AK1285" i="8"/>
  <c r="AK427" i="8"/>
  <c r="AK435" i="8"/>
  <c r="AK451" i="8"/>
  <c r="AK412" i="8"/>
  <c r="AK436" i="8"/>
  <c r="AK444" i="8"/>
  <c r="AK460" i="8"/>
  <c r="AK422" i="8"/>
  <c r="AK446" i="8"/>
  <c r="AK454" i="8"/>
  <c r="AK433" i="8"/>
  <c r="AK458" i="8"/>
  <c r="AK448" i="8"/>
  <c r="AK415" i="8"/>
  <c r="AK440" i="8"/>
  <c r="AK416" i="8"/>
  <c r="AK417" i="8"/>
  <c r="AK439" i="8"/>
  <c r="AK425" i="8"/>
  <c r="AK432" i="8"/>
  <c r="AK449" i="8"/>
  <c r="AK455" i="8"/>
  <c r="AK418" i="8"/>
  <c r="AK429" i="8"/>
  <c r="AK1281" i="8"/>
  <c r="AK1335" i="8"/>
  <c r="AK1343" i="8"/>
  <c r="AK1351" i="8"/>
  <c r="AK1359" i="8"/>
  <c r="AK1367" i="8"/>
  <c r="AK1375" i="8"/>
  <c r="AK1328" i="8"/>
  <c r="AK1336" i="8"/>
  <c r="AK1344" i="8"/>
  <c r="AK1352" i="8"/>
  <c r="AK1360" i="8"/>
  <c r="AK1368" i="8"/>
  <c r="AK1376" i="8"/>
  <c r="AK1330" i="8"/>
  <c r="AK1338" i="8"/>
  <c r="AK1346" i="8"/>
  <c r="AK1354" i="8"/>
  <c r="AK1362" i="8"/>
  <c r="AK1370" i="8"/>
  <c r="AK1378" i="8"/>
  <c r="AK1334" i="8"/>
  <c r="AK1348" i="8"/>
  <c r="AK1361" i="8"/>
  <c r="AK1373" i="8"/>
  <c r="AK1339" i="8"/>
  <c r="AK1350" i="8"/>
  <c r="AK1364" i="8"/>
  <c r="AK1377" i="8"/>
  <c r="AK1341" i="8"/>
  <c r="AK1366" i="8"/>
  <c r="AK1340" i="8"/>
  <c r="AK1353" i="8"/>
  <c r="AK1365" i="8"/>
  <c r="AK1329" i="8"/>
  <c r="AK1355" i="8"/>
  <c r="AK619" i="8"/>
  <c r="AK635" i="8"/>
  <c r="AK646" i="8"/>
  <c r="AK662" i="8"/>
  <c r="AK641" i="8"/>
  <c r="AK623" i="8"/>
  <c r="AK637" i="8"/>
  <c r="AE5" i="4"/>
  <c r="AK59" i="8"/>
  <c r="AK67" i="8"/>
  <c r="AK75" i="8"/>
  <c r="AK83" i="8"/>
  <c r="AK91" i="8"/>
  <c r="AK99" i="8"/>
  <c r="AK60" i="8"/>
  <c r="AK68" i="8"/>
  <c r="AK76" i="8"/>
  <c r="AK84" i="8"/>
  <c r="AK92" i="8"/>
  <c r="AK100" i="8"/>
  <c r="AK54" i="8"/>
  <c r="AK62" i="8"/>
  <c r="AK70" i="8"/>
  <c r="AK78" i="8"/>
  <c r="AK86" i="8"/>
  <c r="AK94" i="8"/>
  <c r="AK102" i="8"/>
  <c r="AK63" i="8"/>
  <c r="AK74" i="8"/>
  <c r="AK88" i="8"/>
  <c r="AK101" i="8"/>
  <c r="AK64" i="8"/>
  <c r="AK77" i="8"/>
  <c r="AK89" i="8"/>
  <c r="AK103" i="8"/>
  <c r="AK56" i="8"/>
  <c r="AK69" i="8"/>
  <c r="AK81" i="8"/>
  <c r="AK95" i="8"/>
  <c r="AK66" i="8"/>
  <c r="AK87" i="8"/>
  <c r="AK71" i="8"/>
  <c r="AK90" i="8"/>
  <c r="AK57" i="8"/>
  <c r="AK79" i="8"/>
  <c r="AK97" i="8"/>
  <c r="AK73" i="8"/>
  <c r="AK80" i="8"/>
  <c r="AK55" i="8"/>
  <c r="AK85" i="8"/>
  <c r="AK93" i="8"/>
  <c r="AK96" i="8"/>
  <c r="AK53" i="8"/>
  <c r="AK98" i="8"/>
  <c r="AK58" i="8"/>
  <c r="AK61" i="8"/>
  <c r="AK1371" i="8"/>
  <c r="AK1345" i="8"/>
  <c r="AK1318" i="8"/>
  <c r="AK1293" i="8"/>
  <c r="AK1056" i="8"/>
  <c r="AK913" i="8"/>
  <c r="AK845" i="8"/>
  <c r="AK495" i="8"/>
  <c r="AK386" i="8"/>
  <c r="AK315" i="8"/>
  <c r="AK323" i="8"/>
  <c r="AK331" i="8"/>
  <c r="AK339" i="8"/>
  <c r="AK347" i="8"/>
  <c r="AK355" i="8"/>
  <c r="AK308" i="8"/>
  <c r="AK316" i="8"/>
  <c r="AK324" i="8"/>
  <c r="AK332" i="8"/>
  <c r="AK340" i="8"/>
  <c r="AK348" i="8"/>
  <c r="AK356" i="8"/>
  <c r="AK310" i="8"/>
  <c r="AK318" i="8"/>
  <c r="AK326" i="8"/>
  <c r="AK334" i="8"/>
  <c r="AK342" i="8"/>
  <c r="AK350" i="8"/>
  <c r="AK358" i="8"/>
  <c r="AK319" i="8"/>
  <c r="AK330" i="8"/>
  <c r="AK344" i="8"/>
  <c r="AK357" i="8"/>
  <c r="AK320" i="8"/>
  <c r="AK333" i="8"/>
  <c r="AK345" i="8"/>
  <c r="AK312" i="8"/>
  <c r="AK325" i="8"/>
  <c r="AK337" i="8"/>
  <c r="AK351" i="8"/>
  <c r="AK313" i="8"/>
  <c r="AK335" i="8"/>
  <c r="AK353" i="8"/>
  <c r="AK314" i="8"/>
  <c r="AK336" i="8"/>
  <c r="AK354" i="8"/>
  <c r="AK322" i="8"/>
  <c r="AK343" i="8"/>
  <c r="AK338" i="8"/>
  <c r="AK309" i="8"/>
  <c r="AK341" i="8"/>
  <c r="AK317" i="8"/>
  <c r="AK349" i="8"/>
  <c r="AK1112" i="8"/>
  <c r="AK1089" i="8"/>
  <c r="AK584" i="8"/>
  <c r="AK321" i="8"/>
  <c r="AK259" i="8"/>
  <c r="AK267" i="8"/>
  <c r="AK275" i="8"/>
  <c r="AK283" i="8"/>
  <c r="AK291" i="8"/>
  <c r="AK299" i="8"/>
  <c r="AK307" i="8"/>
  <c r="AK260" i="8"/>
  <c r="AK268" i="8"/>
  <c r="AK276" i="8"/>
  <c r="AK284" i="8"/>
  <c r="AK292" i="8"/>
  <c r="AK300" i="8"/>
  <c r="AK262" i="8"/>
  <c r="AK270" i="8"/>
  <c r="AK278" i="8"/>
  <c r="AK286" i="8"/>
  <c r="AK294" i="8"/>
  <c r="AK302" i="8"/>
  <c r="AK266" i="8"/>
  <c r="AK280" i="8"/>
  <c r="AK293" i="8"/>
  <c r="AK305" i="8"/>
  <c r="AK269" i="8"/>
  <c r="AK281" i="8"/>
  <c r="AK295" i="8"/>
  <c r="AK306" i="8"/>
  <c r="AK261" i="8"/>
  <c r="AK273" i="8"/>
  <c r="AK287" i="8"/>
  <c r="AK298" i="8"/>
  <c r="AK272" i="8"/>
  <c r="AK290" i="8"/>
  <c r="AK274" i="8"/>
  <c r="AK296" i="8"/>
  <c r="AK263" i="8"/>
  <c r="AK282" i="8"/>
  <c r="AK303" i="8"/>
  <c r="AK271" i="8"/>
  <c r="AK304" i="8"/>
  <c r="AK277" i="8"/>
  <c r="AK285" i="8"/>
  <c r="AK1110" i="8"/>
  <c r="AK311" i="8"/>
  <c r="AK258" i="8"/>
  <c r="AK1075" i="8"/>
  <c r="AK1083" i="8"/>
  <c r="AK1091" i="8"/>
  <c r="AK1099" i="8"/>
  <c r="AK1107" i="8"/>
  <c r="AK1115" i="8"/>
  <c r="AK1123" i="8"/>
  <c r="AK1076" i="8"/>
  <c r="AK1084" i="8"/>
  <c r="AK1092" i="8"/>
  <c r="AK1100" i="8"/>
  <c r="AK1108" i="8"/>
  <c r="AK1116" i="8"/>
  <c r="AK1079" i="8"/>
  <c r="AK1087" i="8"/>
  <c r="AK1095" i="8"/>
  <c r="AK1103" i="8"/>
  <c r="AK1111" i="8"/>
  <c r="AK1119" i="8"/>
  <c r="AK1078" i="8"/>
  <c r="AK1090" i="8"/>
  <c r="AK1104" i="8"/>
  <c r="AK1117" i="8"/>
  <c r="AK1080" i="8"/>
  <c r="AK1093" i="8"/>
  <c r="AK1105" i="8"/>
  <c r="AK1118" i="8"/>
  <c r="AK1082" i="8"/>
  <c r="AK1096" i="8"/>
  <c r="AK1109" i="8"/>
  <c r="AK1121" i="8"/>
  <c r="AK563" i="8"/>
  <c r="AK571" i="8"/>
  <c r="AK579" i="8"/>
  <c r="AK587" i="8"/>
  <c r="AK595" i="8"/>
  <c r="AK603" i="8"/>
  <c r="AK611" i="8"/>
  <c r="AK564" i="8"/>
  <c r="AK572" i="8"/>
  <c r="AK580" i="8"/>
  <c r="AK588" i="8"/>
  <c r="AK596" i="8"/>
  <c r="AK604" i="8"/>
  <c r="AK612" i="8"/>
  <c r="AK566" i="8"/>
  <c r="AK574" i="8"/>
  <c r="AK582" i="8"/>
  <c r="AK590" i="8"/>
  <c r="AK598" i="8"/>
  <c r="AK606" i="8"/>
  <c r="AK575" i="8"/>
  <c r="AK586" i="8"/>
  <c r="AK600" i="8"/>
  <c r="AK613" i="8"/>
  <c r="AK576" i="8"/>
  <c r="AK589" i="8"/>
  <c r="AK601" i="8"/>
  <c r="AK568" i="8"/>
  <c r="AK581" i="8"/>
  <c r="AK593" i="8"/>
  <c r="AK607" i="8"/>
  <c r="AK578" i="8"/>
  <c r="AK599" i="8"/>
  <c r="AK583" i="8"/>
  <c r="AK602" i="8"/>
  <c r="AK569" i="8"/>
  <c r="AK591" i="8"/>
  <c r="AK609" i="8"/>
  <c r="AK567" i="8"/>
  <c r="AK597" i="8"/>
  <c r="AK570" i="8"/>
  <c r="AK605" i="8"/>
  <c r="AK577" i="8"/>
  <c r="AK610" i="8"/>
  <c r="AK1102" i="8"/>
  <c r="AK1085" i="8"/>
  <c r="AK352" i="8"/>
  <c r="AK297" i="8"/>
  <c r="T2" i="9"/>
  <c r="U2" i="9"/>
  <c r="AA23" i="4"/>
  <c r="AA20" i="4"/>
  <c r="AA13" i="4"/>
  <c r="AA4" i="4"/>
  <c r="AA3" i="4"/>
  <c r="AA5" i="4"/>
  <c r="AK1130" i="8" l="1"/>
  <c r="AK1162" i="8"/>
  <c r="AK1152" i="8"/>
  <c r="AK1132" i="8"/>
  <c r="AK1149" i="8"/>
  <c r="AK1173" i="8"/>
  <c r="AK1144" i="8"/>
  <c r="AK1166" i="8"/>
  <c r="AK1156" i="8"/>
  <c r="AK1127" i="8"/>
  <c r="AK1150" i="8"/>
  <c r="AK1134" i="8"/>
  <c r="AK1140" i="8"/>
  <c r="AE16" i="4"/>
  <c r="AK622" i="8"/>
  <c r="AK616" i="8"/>
  <c r="AK653" i="8"/>
  <c r="AK652" i="8"/>
  <c r="AK657" i="8"/>
  <c r="AK645" i="8"/>
  <c r="AK626" i="8"/>
  <c r="AK649" i="8"/>
  <c r="AK664" i="8"/>
  <c r="AK620" i="8"/>
  <c r="AK630" i="8"/>
  <c r="AK624" i="8"/>
  <c r="AK634" i="8"/>
  <c r="AK636" i="8"/>
  <c r="AK631" i="8"/>
  <c r="AK650" i="8"/>
  <c r="AK659" i="8"/>
  <c r="AK656" i="8"/>
  <c r="AK1157" i="8"/>
  <c r="AK1128" i="8"/>
  <c r="AK1153" i="8"/>
  <c r="AK1135" i="8"/>
  <c r="AK1171" i="8"/>
  <c r="AK1133" i="8"/>
  <c r="AK1155" i="8"/>
  <c r="AK1167" i="8"/>
  <c r="AK1124" i="8"/>
  <c r="AE26" i="4"/>
  <c r="AK1204" i="8" s="1"/>
  <c r="AK1145" i="8"/>
  <c r="AK1151" i="8"/>
  <c r="AK1131" i="8"/>
  <c r="AK1154" i="8"/>
  <c r="AK1165" i="8"/>
  <c r="AK1125" i="8"/>
  <c r="AK1142" i="8"/>
  <c r="AK1159" i="8"/>
  <c r="AK1148" i="8"/>
  <c r="AK1158" i="8"/>
  <c r="AK1139" i="8"/>
  <c r="AK1169" i="8"/>
  <c r="AK1126" i="8"/>
  <c r="AK1174" i="8"/>
  <c r="AK1141" i="8"/>
  <c r="AK1172" i="8"/>
  <c r="AK1138" i="8"/>
  <c r="AK1136" i="8"/>
  <c r="AK1160" i="8"/>
  <c r="AK1163" i="8"/>
  <c r="AK1129" i="8"/>
  <c r="AK647" i="8"/>
  <c r="AK661" i="8"/>
  <c r="AK640" i="8"/>
  <c r="AK654" i="8"/>
  <c r="AK644" i="8"/>
  <c r="AK627" i="8"/>
  <c r="AK424" i="8"/>
  <c r="AK445" i="8"/>
  <c r="AK453" i="8"/>
  <c r="AK447" i="8"/>
  <c r="AK414" i="8"/>
  <c r="AK459" i="8"/>
  <c r="AK464" i="8"/>
  <c r="AK501" i="8"/>
  <c r="AK461" i="8"/>
  <c r="AK470" i="8"/>
  <c r="AK483" i="8"/>
  <c r="AK450" i="8"/>
  <c r="AK629" i="8"/>
  <c r="AK633" i="8"/>
  <c r="AK621" i="8"/>
  <c r="AK615" i="8"/>
  <c r="AK638" i="8"/>
  <c r="AK628" i="8"/>
  <c r="AK410" i="8"/>
  <c r="AK457" i="8"/>
  <c r="AK426" i="8"/>
  <c r="AK421" i="8"/>
  <c r="AK452" i="8"/>
  <c r="AK443" i="8"/>
  <c r="AK481" i="8"/>
  <c r="AK477" i="8"/>
  <c r="AK497" i="8"/>
  <c r="AK500" i="8"/>
  <c r="AK617" i="8"/>
  <c r="AK663" i="8"/>
  <c r="AK632" i="8"/>
  <c r="AK639" i="8"/>
  <c r="AK614" i="8"/>
  <c r="AK651" i="8"/>
  <c r="AK413" i="8"/>
  <c r="AK456" i="8"/>
  <c r="AK434" i="8"/>
  <c r="AK438" i="8"/>
  <c r="AK428" i="8"/>
  <c r="AK419" i="8"/>
  <c r="AK469" i="8"/>
  <c r="AK479" i="8"/>
  <c r="AK494" i="8"/>
  <c r="AK468" i="8"/>
  <c r="AK658" i="8"/>
  <c r="AK642" i="8"/>
  <c r="AK618" i="8"/>
  <c r="AK625" i="8"/>
  <c r="AK660" i="8"/>
  <c r="AK643" i="8"/>
  <c r="AK441" i="8"/>
  <c r="AK437" i="8"/>
  <c r="AK423" i="8"/>
  <c r="AK430" i="8"/>
  <c r="AK420" i="8"/>
  <c r="AK411" i="8"/>
  <c r="AK474" i="8"/>
  <c r="AK506" i="8"/>
  <c r="AK498" i="8"/>
  <c r="AK486" i="8"/>
  <c r="AK507" i="8"/>
  <c r="AK655" i="8"/>
  <c r="AK509" i="8"/>
  <c r="AK466" i="8"/>
  <c r="AK465" i="8"/>
  <c r="AK472" i="8"/>
  <c r="AK508" i="8"/>
  <c r="AK493" i="8"/>
  <c r="AK489" i="8"/>
  <c r="AK505" i="8"/>
  <c r="AK480" i="8"/>
  <c r="AK487" i="8"/>
  <c r="AK502" i="8"/>
  <c r="AK492" i="8"/>
  <c r="AK475" i="8"/>
  <c r="AK1137" i="8"/>
  <c r="AK1170" i="8"/>
  <c r="AK1180" i="8"/>
  <c r="AK1205" i="8"/>
  <c r="AK1216" i="8"/>
  <c r="AK1214" i="8"/>
  <c r="AK1202" i="8"/>
  <c r="AK1213" i="8"/>
  <c r="AK1222" i="8"/>
  <c r="AE6" i="4"/>
  <c r="AK107" i="8"/>
  <c r="AK115" i="8"/>
  <c r="AK123" i="8"/>
  <c r="AK131" i="8"/>
  <c r="AK139" i="8"/>
  <c r="AK147" i="8"/>
  <c r="AK108" i="8"/>
  <c r="AK116" i="8"/>
  <c r="AK124" i="8"/>
  <c r="AK132" i="8"/>
  <c r="AK140" i="8"/>
  <c r="AK148" i="8"/>
  <c r="AK110" i="8"/>
  <c r="AK118" i="8"/>
  <c r="AK126" i="8"/>
  <c r="AK134" i="8"/>
  <c r="AK142" i="8"/>
  <c r="AK150" i="8"/>
  <c r="AK113" i="8"/>
  <c r="AK127" i="8"/>
  <c r="AK138" i="8"/>
  <c r="AK152" i="8"/>
  <c r="AK114" i="8"/>
  <c r="AK128" i="8"/>
  <c r="AK141" i="8"/>
  <c r="AK153" i="8"/>
  <c r="AK106" i="8"/>
  <c r="AK120" i="8"/>
  <c r="AK133" i="8"/>
  <c r="AK145" i="8"/>
  <c r="AK109" i="8"/>
  <c r="AK129" i="8"/>
  <c r="AK149" i="8"/>
  <c r="AK111" i="8"/>
  <c r="AK130" i="8"/>
  <c r="AK151" i="8"/>
  <c r="AK119" i="8"/>
  <c r="AK137" i="8"/>
  <c r="AK105" i="8"/>
  <c r="AK143" i="8"/>
  <c r="AK112" i="8"/>
  <c r="AK144" i="8"/>
  <c r="AK121" i="8"/>
  <c r="AK154" i="8"/>
  <c r="AK136" i="8"/>
  <c r="AK146" i="8"/>
  <c r="AK117" i="8"/>
  <c r="AK104" i="8"/>
  <c r="AK125" i="8"/>
  <c r="AK122" i="8"/>
  <c r="AK135" i="8"/>
  <c r="AK667" i="8"/>
  <c r="AK675" i="8"/>
  <c r="AK683" i="8"/>
  <c r="AK691" i="8"/>
  <c r="AK699" i="8"/>
  <c r="AK707" i="8"/>
  <c r="AK715" i="8"/>
  <c r="AK668" i="8"/>
  <c r="AK676" i="8"/>
  <c r="AK684" i="8"/>
  <c r="AK692" i="8"/>
  <c r="AK700" i="8"/>
  <c r="AK708" i="8"/>
  <c r="AK670" i="8"/>
  <c r="AK678" i="8"/>
  <c r="AK686" i="8"/>
  <c r="AK694" i="8"/>
  <c r="AK702" i="8"/>
  <c r="AK710" i="8"/>
  <c r="AK677" i="8"/>
  <c r="AK689" i="8"/>
  <c r="AK703" i="8"/>
  <c r="AK714" i="8"/>
  <c r="AK665" i="8"/>
  <c r="AK679" i="8"/>
  <c r="AK690" i="8"/>
  <c r="AK704" i="8"/>
  <c r="AK671" i="8"/>
  <c r="AK682" i="8"/>
  <c r="AK696" i="8"/>
  <c r="AK709" i="8"/>
  <c r="AK681" i="8"/>
  <c r="AK701" i="8"/>
  <c r="AK685" i="8"/>
  <c r="AK705" i="8"/>
  <c r="AK672" i="8"/>
  <c r="AK693" i="8"/>
  <c r="AK712" i="8"/>
  <c r="AK666" i="8"/>
  <c r="AK697" i="8"/>
  <c r="AK669" i="8"/>
  <c r="AK698" i="8"/>
  <c r="AK674" i="8"/>
  <c r="AK711" i="8"/>
  <c r="AK673" i="8"/>
  <c r="AK680" i="8"/>
  <c r="AK688" i="8"/>
  <c r="AK687" i="8"/>
  <c r="AE17" i="4"/>
  <c r="AK706" i="8"/>
  <c r="AK695" i="8"/>
  <c r="AK713" i="8"/>
  <c r="AK1383" i="8"/>
  <c r="AK1391" i="8"/>
  <c r="AK1399" i="8"/>
  <c r="AK1407" i="8"/>
  <c r="AK1415" i="8"/>
  <c r="AK1423" i="8"/>
  <c r="AK1384" i="8"/>
  <c r="AK1392" i="8"/>
  <c r="AK1400" i="8"/>
  <c r="AK1408" i="8"/>
  <c r="AK1416" i="8"/>
  <c r="AK1424" i="8"/>
  <c r="AK1386" i="8"/>
  <c r="AK1394" i="8"/>
  <c r="AK1402" i="8"/>
  <c r="AK1410" i="8"/>
  <c r="AK1418" i="8"/>
  <c r="AK1426" i="8"/>
  <c r="AK1387" i="8"/>
  <c r="AK1398" i="8"/>
  <c r="AK1412" i="8"/>
  <c r="AK1425" i="8"/>
  <c r="AK1389" i="8"/>
  <c r="AK1403" i="8"/>
  <c r="AK1414" i="8"/>
  <c r="AK1428" i="8"/>
  <c r="AK1393" i="8"/>
  <c r="AK1419" i="8"/>
  <c r="AK1379" i="8"/>
  <c r="AK1390" i="8"/>
  <c r="AK1404" i="8"/>
  <c r="AK1417" i="8"/>
  <c r="AK1429" i="8"/>
  <c r="AK1380" i="8"/>
  <c r="AK1405" i="8"/>
  <c r="AK1396" i="8"/>
  <c r="AK1421" i="8"/>
  <c r="AK1381" i="8"/>
  <c r="AK1411" i="8"/>
  <c r="AK1420" i="8"/>
  <c r="AK1397" i="8"/>
  <c r="AK1422" i="8"/>
  <c r="AK1409" i="8"/>
  <c r="AK1413" i="8"/>
  <c r="AK1395" i="8"/>
  <c r="AK1401" i="8"/>
  <c r="AK1427" i="8"/>
  <c r="AE31" i="4"/>
  <c r="AK1406" i="8"/>
  <c r="AK1382" i="8"/>
  <c r="AK1385" i="8"/>
  <c r="AK1388" i="8"/>
  <c r="AE22" i="4"/>
  <c r="AK922" i="8"/>
  <c r="AK930" i="8"/>
  <c r="AK938" i="8"/>
  <c r="AK946" i="8"/>
  <c r="AK954" i="8"/>
  <c r="AK962" i="8"/>
  <c r="AK923" i="8"/>
  <c r="AK931" i="8"/>
  <c r="AK939" i="8"/>
  <c r="AK947" i="8"/>
  <c r="AK955" i="8"/>
  <c r="AK963" i="8"/>
  <c r="AK926" i="8"/>
  <c r="AK934" i="8"/>
  <c r="AK942" i="8"/>
  <c r="AK950" i="8"/>
  <c r="AK958" i="8"/>
  <c r="AK966" i="8"/>
  <c r="AK932" i="8"/>
  <c r="AK944" i="8"/>
  <c r="AK957" i="8"/>
  <c r="AK969" i="8"/>
  <c r="AK920" i="8"/>
  <c r="AK933" i="8"/>
  <c r="AK945" i="8"/>
  <c r="AK959" i="8"/>
  <c r="AK970" i="8"/>
  <c r="AK925" i="8"/>
  <c r="AK937" i="8"/>
  <c r="AK951" i="8"/>
  <c r="AK964" i="8"/>
  <c r="AK936" i="8"/>
  <c r="AK956" i="8"/>
  <c r="AK940" i="8"/>
  <c r="AK960" i="8"/>
  <c r="AK924" i="8"/>
  <c r="AK943" i="8"/>
  <c r="AK965" i="8"/>
  <c r="AK921" i="8"/>
  <c r="AK952" i="8"/>
  <c r="AK927" i="8"/>
  <c r="AK953" i="8"/>
  <c r="AK928" i="8"/>
  <c r="AK961" i="8"/>
  <c r="AK968" i="8"/>
  <c r="AK929" i="8"/>
  <c r="AK967" i="8"/>
  <c r="AK935" i="8"/>
  <c r="AK941" i="8"/>
  <c r="AK948" i="8"/>
  <c r="AK949" i="8"/>
  <c r="AB4" i="4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2" i="9"/>
  <c r="AK1176" i="8" l="1"/>
  <c r="AK1178" i="8"/>
  <c r="AK1207" i="8"/>
  <c r="AK1197" i="8"/>
  <c r="AK1219" i="8"/>
  <c r="AK1199" i="8"/>
  <c r="AK1209" i="8"/>
  <c r="AK1208" i="8"/>
  <c r="AK1183" i="8"/>
  <c r="AK1225" i="8"/>
  <c r="AK1201" i="8"/>
  <c r="AK1195" i="8"/>
  <c r="AK1196" i="8"/>
  <c r="AK1190" i="8"/>
  <c r="AK1191" i="8"/>
  <c r="AK1198" i="8"/>
  <c r="AK1224" i="8"/>
  <c r="AK1182" i="8"/>
  <c r="AK1185" i="8"/>
  <c r="AK1188" i="8"/>
  <c r="AK1179" i="8"/>
  <c r="AK1221" i="8"/>
  <c r="AK1200" i="8"/>
  <c r="AK1187" i="8"/>
  <c r="AK1194" i="8"/>
  <c r="AK1175" i="8"/>
  <c r="AK1192" i="8"/>
  <c r="AK1186" i="8"/>
  <c r="AK1181" i="8"/>
  <c r="AK1177" i="8"/>
  <c r="AK1184" i="8"/>
  <c r="AK1220" i="8"/>
  <c r="AK1189" i="8"/>
  <c r="AE27" i="4"/>
  <c r="AK1228" i="8" s="1"/>
  <c r="AK1211" i="8"/>
  <c r="AK1217" i="8"/>
  <c r="AK1223" i="8"/>
  <c r="AK1212" i="8"/>
  <c r="AK1203" i="8"/>
  <c r="AK1210" i="8"/>
  <c r="AK1218" i="8"/>
  <c r="AK1193" i="8"/>
  <c r="AK1206" i="8"/>
  <c r="AK1215" i="8"/>
  <c r="AE7" i="4"/>
  <c r="AK155" i="8"/>
  <c r="AK163" i="8"/>
  <c r="AK171" i="8"/>
  <c r="AK179" i="8"/>
  <c r="AK187" i="8"/>
  <c r="AK195" i="8"/>
  <c r="AK203" i="8"/>
  <c r="AK156" i="8"/>
  <c r="AK164" i="8"/>
  <c r="AK172" i="8"/>
  <c r="AK180" i="8"/>
  <c r="AK188" i="8"/>
  <c r="AK196" i="8"/>
  <c r="AK204" i="8"/>
  <c r="AK158" i="8"/>
  <c r="AK166" i="8"/>
  <c r="AK174" i="8"/>
  <c r="AK182" i="8"/>
  <c r="AK190" i="8"/>
  <c r="AK198" i="8"/>
  <c r="AK165" i="8"/>
  <c r="AK177" i="8"/>
  <c r="AK191" i="8"/>
  <c r="AK202" i="8"/>
  <c r="AK167" i="8"/>
  <c r="AK178" i="8"/>
  <c r="AK192" i="8"/>
  <c r="AK205" i="8"/>
  <c r="AK159" i="8"/>
  <c r="AK170" i="8"/>
  <c r="AK184" i="8"/>
  <c r="AK197" i="8"/>
  <c r="AK169" i="8"/>
  <c r="AK189" i="8"/>
  <c r="AK173" i="8"/>
  <c r="AK193" i="8"/>
  <c r="AK160" i="8"/>
  <c r="AK181" i="8"/>
  <c r="AK200" i="8"/>
  <c r="AK175" i="8"/>
  <c r="AK176" i="8"/>
  <c r="AK185" i="8"/>
  <c r="AK194" i="8"/>
  <c r="AK199" i="8"/>
  <c r="AK157" i="8"/>
  <c r="AK201" i="8"/>
  <c r="AK162" i="8"/>
  <c r="AK161" i="8"/>
  <c r="AK168" i="8"/>
  <c r="AK183" i="8"/>
  <c r="AK186" i="8"/>
  <c r="AK1431" i="8"/>
  <c r="AK1439" i="8"/>
  <c r="AK1447" i="8"/>
  <c r="AK1455" i="8"/>
  <c r="AK1463" i="8"/>
  <c r="AK1471" i="8"/>
  <c r="AK1479" i="8"/>
  <c r="AK1432" i="8"/>
  <c r="AK1440" i="8"/>
  <c r="AK1448" i="8"/>
  <c r="AK1456" i="8"/>
  <c r="AK1464" i="8"/>
  <c r="AK1472" i="8"/>
  <c r="AK1480" i="8"/>
  <c r="AK1434" i="8"/>
  <c r="AK1442" i="8"/>
  <c r="AK1450" i="8"/>
  <c r="AK1458" i="8"/>
  <c r="AK1466" i="8"/>
  <c r="AK1474" i="8"/>
  <c r="AK1437" i="8"/>
  <c r="AK1451" i="8"/>
  <c r="AK1462" i="8"/>
  <c r="AK1476" i="8"/>
  <c r="AE32" i="4"/>
  <c r="AK1441" i="8"/>
  <c r="AK1453" i="8"/>
  <c r="AK1467" i="8"/>
  <c r="AK1478" i="8"/>
  <c r="AK1444" i="8"/>
  <c r="AK1469" i="8"/>
  <c r="AK1443" i="8"/>
  <c r="AK1454" i="8"/>
  <c r="AK1468" i="8"/>
  <c r="AK1430" i="8"/>
  <c r="AK1457" i="8"/>
  <c r="AK1446" i="8"/>
  <c r="AK1473" i="8"/>
  <c r="AK1459" i="8"/>
  <c r="AK1435" i="8"/>
  <c r="AK1438" i="8"/>
  <c r="AK1449" i="8"/>
  <c r="AK1475" i="8"/>
  <c r="AK1433" i="8"/>
  <c r="AK1436" i="8"/>
  <c r="AK1470" i="8"/>
  <c r="AK1452" i="8"/>
  <c r="AK1477" i="8"/>
  <c r="AK1460" i="8"/>
  <c r="AK1461" i="8"/>
  <c r="AK1465" i="8"/>
  <c r="AK1445" i="8"/>
  <c r="AK1237" i="8"/>
  <c r="AK1246" i="8"/>
  <c r="AK1248" i="8"/>
  <c r="AK1264" i="8"/>
  <c r="AK1274" i="8"/>
  <c r="AK1261" i="8"/>
  <c r="AK1275" i="8"/>
  <c r="AK1235" i="8"/>
  <c r="AK1242" i="8"/>
  <c r="AK1254" i="8"/>
  <c r="AK1240" i="8"/>
  <c r="AK974" i="8"/>
  <c r="AK982" i="8"/>
  <c r="AK978" i="8"/>
  <c r="AK987" i="8"/>
  <c r="AK995" i="8"/>
  <c r="AK1003" i="8"/>
  <c r="AK1011" i="8"/>
  <c r="AK1019" i="8"/>
  <c r="AK979" i="8"/>
  <c r="AK988" i="8"/>
  <c r="AK996" i="8"/>
  <c r="AK1004" i="8"/>
  <c r="AK1012" i="8"/>
  <c r="AK1020" i="8"/>
  <c r="AK973" i="8"/>
  <c r="AK983" i="8"/>
  <c r="AK991" i="8"/>
  <c r="AK999" i="8"/>
  <c r="AK1007" i="8"/>
  <c r="AK1015" i="8"/>
  <c r="AK975" i="8"/>
  <c r="AK989" i="8"/>
  <c r="AK1001" i="8"/>
  <c r="AK1014" i="8"/>
  <c r="AK976" i="8"/>
  <c r="AK990" i="8"/>
  <c r="AK1002" i="8"/>
  <c r="AK1016" i="8"/>
  <c r="AK980" i="8"/>
  <c r="AK993" i="8"/>
  <c r="AK1006" i="8"/>
  <c r="AK1018" i="8"/>
  <c r="AK981" i="8"/>
  <c r="AK1000" i="8"/>
  <c r="AK984" i="8"/>
  <c r="AK1005" i="8"/>
  <c r="AK985" i="8"/>
  <c r="AK1008" i="8"/>
  <c r="AK1010" i="8"/>
  <c r="AK986" i="8"/>
  <c r="AK1009" i="8"/>
  <c r="AK992" i="8"/>
  <c r="AK997" i="8"/>
  <c r="AK972" i="8"/>
  <c r="AK994" i="8"/>
  <c r="AK998" i="8"/>
  <c r="AK1017" i="8"/>
  <c r="AK971" i="8"/>
  <c r="AK1013" i="8"/>
  <c r="AK1021" i="8"/>
  <c r="AK977" i="8"/>
  <c r="AK723" i="8"/>
  <c r="AK731" i="8"/>
  <c r="AK716" i="8"/>
  <c r="AK724" i="8"/>
  <c r="AK732" i="8"/>
  <c r="AK718" i="8"/>
  <c r="AK726" i="8"/>
  <c r="AK728" i="8"/>
  <c r="AK738" i="8"/>
  <c r="AK746" i="8"/>
  <c r="AK754" i="8"/>
  <c r="AK762" i="8"/>
  <c r="AK717" i="8"/>
  <c r="AK729" i="8"/>
  <c r="AK739" i="8"/>
  <c r="AK747" i="8"/>
  <c r="AK755" i="8"/>
  <c r="AK763" i="8"/>
  <c r="AK721" i="8"/>
  <c r="AK734" i="8"/>
  <c r="AK742" i="8"/>
  <c r="AK750" i="8"/>
  <c r="AK758" i="8"/>
  <c r="AK766" i="8"/>
  <c r="AK722" i="8"/>
  <c r="AK740" i="8"/>
  <c r="AK752" i="8"/>
  <c r="AK765" i="8"/>
  <c r="AK725" i="8"/>
  <c r="AK741" i="8"/>
  <c r="AK753" i="8"/>
  <c r="AK733" i="8"/>
  <c r="AK745" i="8"/>
  <c r="AK759" i="8"/>
  <c r="AK730" i="8"/>
  <c r="AK751" i="8"/>
  <c r="AK735" i="8"/>
  <c r="AK756" i="8"/>
  <c r="AK737" i="8"/>
  <c r="AK760" i="8"/>
  <c r="AK719" i="8"/>
  <c r="AK757" i="8"/>
  <c r="AK720" i="8"/>
  <c r="AK761" i="8"/>
  <c r="AK727" i="8"/>
  <c r="AK764" i="8"/>
  <c r="AK736" i="8"/>
  <c r="AK743" i="8"/>
  <c r="AK748" i="8"/>
  <c r="AK744" i="8"/>
  <c r="AK749" i="8"/>
  <c r="N6" i="4"/>
  <c r="AK1260" i="8" l="1"/>
  <c r="AK1229" i="8"/>
  <c r="AK1226" i="8"/>
  <c r="AK1268" i="8"/>
  <c r="AK1266" i="8"/>
  <c r="AK1252" i="8"/>
  <c r="AK1256" i="8"/>
  <c r="AK1269" i="8"/>
  <c r="AK1238" i="8"/>
  <c r="AK1243" i="8"/>
  <c r="AK1262" i="8"/>
  <c r="AK1233" i="8"/>
  <c r="AK1250" i="8"/>
  <c r="AK1227" i="8"/>
  <c r="AK1239" i="8"/>
  <c r="AK1249" i="8"/>
  <c r="AK1247" i="8"/>
  <c r="AK1232" i="8"/>
  <c r="AK1267" i="8"/>
  <c r="AK1251" i="8"/>
  <c r="AK1270" i="8"/>
  <c r="AK1241" i="8"/>
  <c r="AK1271" i="8"/>
  <c r="AK1231" i="8"/>
  <c r="AK1276" i="8"/>
  <c r="AK1273" i="8"/>
  <c r="AK1257" i="8"/>
  <c r="AK1234" i="8"/>
  <c r="AK1259" i="8"/>
  <c r="AK1230" i="8"/>
  <c r="AK1263" i="8"/>
  <c r="AK1236" i="8"/>
  <c r="AK1258" i="8"/>
  <c r="AK1245" i="8"/>
  <c r="AK1253" i="8"/>
  <c r="AK1265" i="8"/>
  <c r="AK1244" i="8"/>
  <c r="AK1272" i="8"/>
  <c r="AK1255" i="8"/>
  <c r="AK1488" i="8"/>
  <c r="AK1496" i="8"/>
  <c r="AK1504" i="8"/>
  <c r="AK1482" i="8"/>
  <c r="AK1490" i="8"/>
  <c r="AK1498" i="8"/>
  <c r="AK1487" i="8"/>
  <c r="AK1499" i="8"/>
  <c r="AK1508" i="8"/>
  <c r="AK1516" i="8"/>
  <c r="AK1524" i="8"/>
  <c r="AK1491" i="8"/>
  <c r="AK1501" i="8"/>
  <c r="AK1510" i="8"/>
  <c r="AK1518" i="8"/>
  <c r="AK1526" i="8"/>
  <c r="AK1481" i="8"/>
  <c r="AK1492" i="8"/>
  <c r="AK1502" i="8"/>
  <c r="AK1511" i="8"/>
  <c r="AK1519" i="8"/>
  <c r="AK1527" i="8"/>
  <c r="AK1483" i="8"/>
  <c r="AK1494" i="8"/>
  <c r="AK1509" i="8"/>
  <c r="AK1522" i="8"/>
  <c r="AK1514" i="8"/>
  <c r="AK1503" i="8"/>
  <c r="AK1486" i="8"/>
  <c r="AK1530" i="8"/>
  <c r="AK1506" i="8"/>
  <c r="AK1493" i="8"/>
  <c r="AK1495" i="8"/>
  <c r="AK1512" i="8"/>
  <c r="AK1523" i="8"/>
  <c r="AK1500" i="8"/>
  <c r="AK1485" i="8"/>
  <c r="AK1529" i="8"/>
  <c r="AK1505" i="8"/>
  <c r="AK1489" i="8"/>
  <c r="AK1531" i="8"/>
  <c r="AK1521" i="8"/>
  <c r="AK1497" i="8"/>
  <c r="AK1513" i="8"/>
  <c r="AK1525" i="8"/>
  <c r="AK1484" i="8"/>
  <c r="AK1528" i="8"/>
  <c r="AK1515" i="8"/>
  <c r="AK1517" i="8"/>
  <c r="AK1520" i="8"/>
  <c r="AK1507" i="8"/>
  <c r="AK211" i="8"/>
  <c r="AK219" i="8"/>
  <c r="AK227" i="8"/>
  <c r="AK235" i="8"/>
  <c r="AK243" i="8"/>
  <c r="AK251" i="8"/>
  <c r="AK212" i="8"/>
  <c r="AK220" i="8"/>
  <c r="AK228" i="8"/>
  <c r="AK236" i="8"/>
  <c r="AK244" i="8"/>
  <c r="AK252" i="8"/>
  <c r="AK206" i="8"/>
  <c r="AK214" i="8"/>
  <c r="AK222" i="8"/>
  <c r="AK230" i="8"/>
  <c r="AK238" i="8"/>
  <c r="AK246" i="8"/>
  <c r="AK254" i="8"/>
  <c r="AK216" i="8"/>
  <c r="AK229" i="8"/>
  <c r="AK241" i="8"/>
  <c r="AK255" i="8"/>
  <c r="AK217" i="8"/>
  <c r="AK231" i="8"/>
  <c r="AK242" i="8"/>
  <c r="AK256" i="8"/>
  <c r="AK209" i="8"/>
  <c r="AK223" i="8"/>
  <c r="AK234" i="8"/>
  <c r="AK248" i="8"/>
  <c r="AK210" i="8"/>
  <c r="AK232" i="8"/>
  <c r="AK250" i="8"/>
  <c r="AK213" i="8"/>
  <c r="AK233" i="8"/>
  <c r="AK253" i="8"/>
  <c r="AK221" i="8"/>
  <c r="AK240" i="8"/>
  <c r="AK207" i="8"/>
  <c r="AK239" i="8"/>
  <c r="AK208" i="8"/>
  <c r="AK245" i="8"/>
  <c r="AK218" i="8"/>
  <c r="AK249" i="8"/>
  <c r="AK247" i="8"/>
  <c r="AK215" i="8"/>
  <c r="AK224" i="8"/>
  <c r="AK226" i="8"/>
  <c r="AK237" i="8"/>
  <c r="AK225" i="8"/>
  <c r="G2" i="9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2" i="9"/>
  <c r="A7" i="6" l="1"/>
  <c r="B2" i="9" l="1"/>
  <c r="I2" i="9" s="1"/>
  <c r="F2" i="9" l="1"/>
  <c r="M2" i="9"/>
  <c r="I3" i="9"/>
  <c r="E3" i="9" l="1"/>
  <c r="K3" i="9" s="1"/>
  <c r="L3" i="9"/>
  <c r="G3" i="9"/>
  <c r="F3" i="9" s="1"/>
  <c r="I4" i="9"/>
  <c r="AY8" i="6" l="1" a="1"/>
  <c r="AY8" i="6" s="1"/>
  <c r="E4" i="9"/>
  <c r="K4" i="9" s="1"/>
  <c r="G4" i="9"/>
  <c r="F4" i="9" s="1"/>
  <c r="I5" i="9"/>
  <c r="G5" i="9" l="1"/>
  <c r="F5" i="9" s="1"/>
  <c r="E5" i="9"/>
  <c r="K5" i="9" s="1"/>
  <c r="I6" i="9"/>
  <c r="E6" i="9" l="1"/>
  <c r="K6" i="9" s="1"/>
  <c r="G6" i="9"/>
  <c r="F6" i="9" s="1"/>
  <c r="I7" i="9"/>
  <c r="G7" i="9" l="1"/>
  <c r="F7" i="9" s="1"/>
  <c r="E7" i="9"/>
  <c r="K7" i="9" s="1"/>
  <c r="I8" i="9"/>
  <c r="G8" i="9" l="1"/>
  <c r="F8" i="9" s="1"/>
  <c r="E8" i="9"/>
  <c r="K8" i="9" s="1"/>
  <c r="I9" i="9"/>
  <c r="G9" i="9" l="1"/>
  <c r="F9" i="9" s="1"/>
  <c r="E9" i="9"/>
  <c r="K9" i="9" s="1"/>
  <c r="I10" i="9"/>
  <c r="E10" i="9" l="1"/>
  <c r="G10" i="9"/>
  <c r="F10" i="9" s="1"/>
  <c r="I11" i="9"/>
  <c r="E11" i="9" l="1"/>
  <c r="G11" i="9"/>
  <c r="F11" i="9" s="1"/>
  <c r="I12" i="9"/>
  <c r="E12" i="9" l="1"/>
  <c r="G12" i="9"/>
  <c r="F12" i="9" s="1"/>
  <c r="I13" i="9"/>
  <c r="G13" i="9" l="1"/>
  <c r="F13" i="9" s="1"/>
  <c r="E13" i="9"/>
  <c r="I14" i="9"/>
  <c r="E14" i="9" l="1"/>
  <c r="G14" i="9"/>
  <c r="F14" i="9" s="1"/>
  <c r="I15" i="9"/>
  <c r="G15" i="9" l="1"/>
  <c r="F15" i="9" s="1"/>
  <c r="E15" i="9"/>
  <c r="I16" i="9"/>
  <c r="G16" i="9" l="1"/>
  <c r="F16" i="9" s="1"/>
  <c r="E16" i="9"/>
  <c r="I17" i="9"/>
  <c r="G17" i="9" l="1"/>
  <c r="F17" i="9" s="1"/>
  <c r="E17" i="9"/>
  <c r="I18" i="9"/>
  <c r="E18" i="9" l="1"/>
  <c r="G18" i="9"/>
  <c r="F18" i="9" s="1"/>
  <c r="I19" i="9"/>
  <c r="E19" i="9" l="1"/>
  <c r="G19" i="9"/>
  <c r="F19" i="9" s="1"/>
  <c r="I20" i="9"/>
  <c r="E20" i="9" l="1"/>
  <c r="G20" i="9"/>
  <c r="F20" i="9" s="1"/>
  <c r="I21" i="9"/>
  <c r="G21" i="9" l="1"/>
  <c r="F21" i="9" s="1"/>
  <c r="E21" i="9"/>
  <c r="I22" i="9"/>
  <c r="G22" i="9" l="1"/>
  <c r="F22" i="9" s="1"/>
  <c r="E22" i="9"/>
  <c r="I23" i="9"/>
  <c r="G23" i="9" l="1"/>
  <c r="F23" i="9" s="1"/>
  <c r="E23" i="9"/>
  <c r="I24" i="9"/>
  <c r="G24" i="9" l="1"/>
  <c r="F24" i="9" s="1"/>
  <c r="E24" i="9"/>
  <c r="I25" i="9"/>
  <c r="G25" i="9" l="1"/>
  <c r="F25" i="9" s="1"/>
  <c r="E25" i="9"/>
  <c r="I26" i="9"/>
  <c r="E26" i="9" l="1"/>
  <c r="G26" i="9"/>
  <c r="F26" i="9" s="1"/>
  <c r="I27" i="9"/>
  <c r="E27" i="9" l="1"/>
  <c r="G27" i="9"/>
  <c r="F27" i="9" s="1"/>
  <c r="I28" i="9"/>
  <c r="E28" i="9" l="1"/>
  <c r="G28" i="9"/>
  <c r="F28" i="9" s="1"/>
  <c r="I29" i="9"/>
  <c r="L29" i="9" l="1"/>
  <c r="G29" i="9"/>
  <c r="F29" i="9" s="1"/>
  <c r="E29" i="9"/>
  <c r="K29" i="9" s="1"/>
  <c r="I30" i="9"/>
  <c r="AW8" i="6" a="1"/>
  <c r="AW8" i="6" s="1"/>
  <c r="AW67" i="6" a="1"/>
  <c r="AW67" i="6" s="1"/>
  <c r="AW79" i="6" a="1"/>
  <c r="AW79" i="6" s="1"/>
  <c r="AW73" i="6" a="1"/>
  <c r="AW73" i="6" s="1"/>
  <c r="AW25" i="6" a="1"/>
  <c r="AW25" i="6" s="1"/>
  <c r="AW40" i="6" a="1"/>
  <c r="AW40" i="6" s="1"/>
  <c r="AW28" i="6" a="1"/>
  <c r="AW28" i="6" s="1"/>
  <c r="AW64" i="6" a="1"/>
  <c r="AW64" i="6" s="1"/>
  <c r="AW22" i="6" a="1"/>
  <c r="AW22" i="6" s="1"/>
  <c r="AW34" i="6" a="1"/>
  <c r="AW34" i="6" s="1"/>
  <c r="AW58" i="6" a="1"/>
  <c r="AW58" i="6" s="1"/>
  <c r="AW82" i="6" a="1"/>
  <c r="AW82" i="6" s="1"/>
  <c r="AW70" i="6" a="1"/>
  <c r="AW70" i="6" s="1"/>
  <c r="AW61" i="6" a="1"/>
  <c r="AW61" i="6" s="1"/>
  <c r="AW7" i="6" a="1"/>
  <c r="AW7" i="6" s="1"/>
  <c r="AW46" i="6" a="1"/>
  <c r="AW46" i="6" s="1"/>
  <c r="AW31" i="6" a="1"/>
  <c r="AW31" i="6" s="1"/>
  <c r="AW52" i="6" a="1"/>
  <c r="AW52" i="6" s="1"/>
  <c r="AW49" i="6" a="1"/>
  <c r="AW49" i="6" s="1"/>
  <c r="AW19" i="6" a="1"/>
  <c r="AW19" i="6" s="1"/>
  <c r="AW55" i="6" a="1"/>
  <c r="AW55" i="6" s="1"/>
  <c r="AW37" i="6" a="1"/>
  <c r="AW37" i="6" s="1"/>
  <c r="AW16" i="6" a="1"/>
  <c r="AW16" i="6" s="1"/>
  <c r="AW76" i="6" a="1"/>
  <c r="AW76" i="6" s="1"/>
  <c r="AW43" i="6" a="1"/>
  <c r="AW43" i="6" s="1"/>
  <c r="L30" i="9" l="1"/>
  <c r="E30" i="9"/>
  <c r="K30" i="9" s="1"/>
  <c r="G30" i="9"/>
  <c r="F30" i="9" s="1"/>
  <c r="I31" i="9"/>
  <c r="I32" i="9" s="1"/>
  <c r="D1379" i="8"/>
  <c r="H1379" i="8"/>
  <c r="D1380" i="8"/>
  <c r="H1380" i="8"/>
  <c r="D1381" i="8"/>
  <c r="H1381" i="8"/>
  <c r="D1382" i="8"/>
  <c r="H1382" i="8"/>
  <c r="D1383" i="8"/>
  <c r="H1383" i="8"/>
  <c r="D1384" i="8"/>
  <c r="H1384" i="8"/>
  <c r="D1385" i="8"/>
  <c r="H1385" i="8"/>
  <c r="D1386" i="8"/>
  <c r="H1386" i="8"/>
  <c r="D1387" i="8"/>
  <c r="H1387" i="8"/>
  <c r="D1388" i="8"/>
  <c r="H1388" i="8"/>
  <c r="D1389" i="8"/>
  <c r="H1389" i="8"/>
  <c r="D1390" i="8"/>
  <c r="H1390" i="8"/>
  <c r="D1391" i="8"/>
  <c r="H1391" i="8"/>
  <c r="D1392" i="8"/>
  <c r="H1392" i="8"/>
  <c r="D1393" i="8"/>
  <c r="H1393" i="8"/>
  <c r="D1394" i="8"/>
  <c r="H1394" i="8"/>
  <c r="D1395" i="8"/>
  <c r="H1395" i="8"/>
  <c r="D1396" i="8"/>
  <c r="H1396" i="8"/>
  <c r="D1397" i="8"/>
  <c r="H1397" i="8"/>
  <c r="D1398" i="8"/>
  <c r="H1398" i="8"/>
  <c r="D1399" i="8"/>
  <c r="H1399" i="8"/>
  <c r="D1400" i="8"/>
  <c r="H1400" i="8"/>
  <c r="D1401" i="8"/>
  <c r="H1401" i="8"/>
  <c r="D1402" i="8"/>
  <c r="H1402" i="8"/>
  <c r="D1403" i="8"/>
  <c r="H1403" i="8"/>
  <c r="D1404" i="8"/>
  <c r="H1404" i="8"/>
  <c r="D1405" i="8"/>
  <c r="H1405" i="8"/>
  <c r="D1406" i="8"/>
  <c r="H1406" i="8"/>
  <c r="D1407" i="8"/>
  <c r="H1407" i="8"/>
  <c r="D1408" i="8"/>
  <c r="H1408" i="8"/>
  <c r="D1409" i="8"/>
  <c r="H1409" i="8"/>
  <c r="D1410" i="8"/>
  <c r="H1410" i="8"/>
  <c r="D1411" i="8"/>
  <c r="H1411" i="8"/>
  <c r="D1412" i="8"/>
  <c r="H1412" i="8"/>
  <c r="D1413" i="8"/>
  <c r="H1413" i="8"/>
  <c r="D1414" i="8"/>
  <c r="H1414" i="8"/>
  <c r="D1415" i="8"/>
  <c r="H1415" i="8"/>
  <c r="D1416" i="8"/>
  <c r="H1416" i="8"/>
  <c r="D1417" i="8"/>
  <c r="H1417" i="8"/>
  <c r="D1418" i="8"/>
  <c r="H1418" i="8"/>
  <c r="D1419" i="8"/>
  <c r="H1419" i="8"/>
  <c r="D1420" i="8"/>
  <c r="H1420" i="8"/>
  <c r="D1421" i="8"/>
  <c r="H1421" i="8"/>
  <c r="D1422" i="8"/>
  <c r="H1422" i="8"/>
  <c r="D1423" i="8"/>
  <c r="H1423" i="8"/>
  <c r="D1424" i="8"/>
  <c r="H1424" i="8"/>
  <c r="D1425" i="8"/>
  <c r="H1425" i="8"/>
  <c r="D1426" i="8"/>
  <c r="H1426" i="8"/>
  <c r="D1427" i="8"/>
  <c r="H1427" i="8"/>
  <c r="D1428" i="8"/>
  <c r="H1428" i="8"/>
  <c r="D1429" i="8"/>
  <c r="H1429" i="8"/>
  <c r="D1430" i="8"/>
  <c r="H1430" i="8"/>
  <c r="D1431" i="8"/>
  <c r="H1431" i="8"/>
  <c r="D1432" i="8"/>
  <c r="H1432" i="8"/>
  <c r="D1433" i="8"/>
  <c r="H1433" i="8"/>
  <c r="D1434" i="8"/>
  <c r="H1434" i="8"/>
  <c r="D1435" i="8"/>
  <c r="H1435" i="8"/>
  <c r="D1436" i="8"/>
  <c r="H1436" i="8"/>
  <c r="D1437" i="8"/>
  <c r="H1437" i="8"/>
  <c r="D1438" i="8"/>
  <c r="H1438" i="8"/>
  <c r="D1439" i="8"/>
  <c r="H1439" i="8"/>
  <c r="D1440" i="8"/>
  <c r="H1440" i="8"/>
  <c r="D1441" i="8"/>
  <c r="H1441" i="8"/>
  <c r="D1442" i="8"/>
  <c r="H1442" i="8"/>
  <c r="D1443" i="8"/>
  <c r="H1443" i="8"/>
  <c r="D1444" i="8"/>
  <c r="H1444" i="8"/>
  <c r="D1445" i="8"/>
  <c r="H1445" i="8"/>
  <c r="D1446" i="8"/>
  <c r="H1446" i="8"/>
  <c r="D1447" i="8"/>
  <c r="H1447" i="8"/>
  <c r="D1448" i="8"/>
  <c r="H1448" i="8"/>
  <c r="D1449" i="8"/>
  <c r="H1449" i="8"/>
  <c r="D1450" i="8"/>
  <c r="H1450" i="8"/>
  <c r="D1451" i="8"/>
  <c r="H1451" i="8"/>
  <c r="D1452" i="8"/>
  <c r="H1452" i="8"/>
  <c r="D1453" i="8"/>
  <c r="H1453" i="8"/>
  <c r="D1454" i="8"/>
  <c r="H1454" i="8"/>
  <c r="D1455" i="8"/>
  <c r="H1455" i="8"/>
  <c r="D1456" i="8"/>
  <c r="H1456" i="8"/>
  <c r="D1457" i="8"/>
  <c r="H1457" i="8"/>
  <c r="D1458" i="8"/>
  <c r="H1458" i="8"/>
  <c r="D1459" i="8"/>
  <c r="H1459" i="8"/>
  <c r="D1460" i="8"/>
  <c r="H1460" i="8"/>
  <c r="D1461" i="8"/>
  <c r="H1461" i="8"/>
  <c r="D1462" i="8"/>
  <c r="H1462" i="8"/>
  <c r="D1463" i="8"/>
  <c r="H1463" i="8"/>
  <c r="D1464" i="8"/>
  <c r="H1464" i="8"/>
  <c r="D1465" i="8"/>
  <c r="H1465" i="8"/>
  <c r="D1466" i="8"/>
  <c r="H1466" i="8"/>
  <c r="D1467" i="8"/>
  <c r="H1467" i="8"/>
  <c r="D1468" i="8"/>
  <c r="H1468" i="8"/>
  <c r="D1469" i="8"/>
  <c r="H1469" i="8"/>
  <c r="D1470" i="8"/>
  <c r="H1470" i="8"/>
  <c r="D1471" i="8"/>
  <c r="H1471" i="8"/>
  <c r="D1472" i="8"/>
  <c r="H1472" i="8"/>
  <c r="D1473" i="8"/>
  <c r="H1473" i="8"/>
  <c r="D1474" i="8"/>
  <c r="H1474" i="8"/>
  <c r="D1475" i="8"/>
  <c r="H1475" i="8"/>
  <c r="D1476" i="8"/>
  <c r="H1476" i="8"/>
  <c r="D1477" i="8"/>
  <c r="H1477" i="8"/>
  <c r="D1478" i="8"/>
  <c r="H1478" i="8"/>
  <c r="D1479" i="8"/>
  <c r="H1479" i="8"/>
  <c r="D1480" i="8"/>
  <c r="H1480" i="8"/>
  <c r="D1481" i="8"/>
  <c r="H1481" i="8"/>
  <c r="D1482" i="8"/>
  <c r="H1482" i="8"/>
  <c r="D1483" i="8"/>
  <c r="H1483" i="8"/>
  <c r="D1484" i="8"/>
  <c r="H1484" i="8"/>
  <c r="D1485" i="8"/>
  <c r="H1485" i="8"/>
  <c r="D1486" i="8"/>
  <c r="H1486" i="8"/>
  <c r="D1487" i="8"/>
  <c r="H1487" i="8"/>
  <c r="D1488" i="8"/>
  <c r="H1488" i="8"/>
  <c r="D1489" i="8"/>
  <c r="H1489" i="8"/>
  <c r="D1490" i="8"/>
  <c r="H1490" i="8"/>
  <c r="D1491" i="8"/>
  <c r="H1491" i="8"/>
  <c r="D1492" i="8"/>
  <c r="H1492" i="8"/>
  <c r="D1493" i="8"/>
  <c r="H1493" i="8"/>
  <c r="D1494" i="8"/>
  <c r="H1494" i="8"/>
  <c r="D1495" i="8"/>
  <c r="H1495" i="8"/>
  <c r="D1496" i="8"/>
  <c r="H1496" i="8"/>
  <c r="D1497" i="8"/>
  <c r="H1497" i="8"/>
  <c r="D1498" i="8"/>
  <c r="H1498" i="8"/>
  <c r="D1499" i="8"/>
  <c r="H1499" i="8"/>
  <c r="D1500" i="8"/>
  <c r="H1500" i="8"/>
  <c r="D1501" i="8"/>
  <c r="H1501" i="8"/>
  <c r="D1502" i="8"/>
  <c r="H1502" i="8"/>
  <c r="D1503" i="8"/>
  <c r="H1503" i="8"/>
  <c r="D1504" i="8"/>
  <c r="H1504" i="8"/>
  <c r="D1505" i="8"/>
  <c r="H1505" i="8"/>
  <c r="D1506" i="8"/>
  <c r="H1506" i="8"/>
  <c r="D1507" i="8"/>
  <c r="H1507" i="8"/>
  <c r="D1508" i="8"/>
  <c r="H1508" i="8"/>
  <c r="D1509" i="8"/>
  <c r="H1509" i="8"/>
  <c r="D1510" i="8"/>
  <c r="H1510" i="8"/>
  <c r="D1511" i="8"/>
  <c r="H1511" i="8"/>
  <c r="D1512" i="8"/>
  <c r="H1512" i="8"/>
  <c r="D1513" i="8"/>
  <c r="H1513" i="8"/>
  <c r="D1514" i="8"/>
  <c r="H1514" i="8"/>
  <c r="D1515" i="8"/>
  <c r="H1515" i="8"/>
  <c r="D1516" i="8"/>
  <c r="H1516" i="8"/>
  <c r="D1517" i="8"/>
  <c r="H1517" i="8"/>
  <c r="D1518" i="8"/>
  <c r="H1518" i="8"/>
  <c r="D1519" i="8"/>
  <c r="H1519" i="8"/>
  <c r="D1520" i="8"/>
  <c r="H1520" i="8"/>
  <c r="D1521" i="8"/>
  <c r="H1521" i="8"/>
  <c r="D1522" i="8"/>
  <c r="H1522" i="8"/>
  <c r="D1523" i="8"/>
  <c r="H1523" i="8"/>
  <c r="D1524" i="8"/>
  <c r="H1524" i="8"/>
  <c r="D1525" i="8"/>
  <c r="H1525" i="8"/>
  <c r="D1526" i="8"/>
  <c r="H1526" i="8"/>
  <c r="D1527" i="8"/>
  <c r="H1527" i="8"/>
  <c r="D1528" i="8"/>
  <c r="H1528" i="8"/>
  <c r="D1529" i="8"/>
  <c r="H1529" i="8"/>
  <c r="D1530" i="8"/>
  <c r="H1530" i="8"/>
  <c r="D1531" i="8"/>
  <c r="H1531" i="8"/>
  <c r="I1379" i="8"/>
  <c r="J1379" i="8"/>
  <c r="O1379" i="8"/>
  <c r="P1379" i="8"/>
  <c r="Q1379" i="8"/>
  <c r="R1379" i="8"/>
  <c r="S1379" i="8"/>
  <c r="Y1379" i="8"/>
  <c r="AB1379" i="8"/>
  <c r="AC1379" i="8"/>
  <c r="AE1379" i="8"/>
  <c r="AJ1379" i="8"/>
  <c r="J1380" i="8"/>
  <c r="O1380" i="8"/>
  <c r="P1380" i="8"/>
  <c r="Q1380" i="8"/>
  <c r="R1380" i="8"/>
  <c r="S1380" i="8"/>
  <c r="Y1380" i="8"/>
  <c r="AB1380" i="8"/>
  <c r="AC1380" i="8"/>
  <c r="AE1380" i="8"/>
  <c r="AJ1380" i="8"/>
  <c r="J1381" i="8"/>
  <c r="O1381" i="8"/>
  <c r="P1381" i="8"/>
  <c r="Q1381" i="8"/>
  <c r="R1381" i="8"/>
  <c r="S1381" i="8"/>
  <c r="Y1381" i="8"/>
  <c r="AB1381" i="8"/>
  <c r="AC1381" i="8"/>
  <c r="AE1381" i="8"/>
  <c r="AJ1381" i="8"/>
  <c r="J1382" i="8"/>
  <c r="O1382" i="8"/>
  <c r="P1382" i="8"/>
  <c r="Q1382" i="8"/>
  <c r="R1382" i="8"/>
  <c r="S1382" i="8"/>
  <c r="Y1382" i="8"/>
  <c r="AB1382" i="8"/>
  <c r="AC1382" i="8"/>
  <c r="AE1382" i="8"/>
  <c r="AJ1382" i="8"/>
  <c r="J1383" i="8"/>
  <c r="O1383" i="8"/>
  <c r="P1383" i="8"/>
  <c r="Q1383" i="8"/>
  <c r="R1383" i="8"/>
  <c r="S1383" i="8"/>
  <c r="Y1383" i="8"/>
  <c r="AB1383" i="8"/>
  <c r="AC1383" i="8"/>
  <c r="AE1383" i="8"/>
  <c r="AJ1383" i="8"/>
  <c r="J1384" i="8"/>
  <c r="O1384" i="8"/>
  <c r="P1384" i="8"/>
  <c r="Q1384" i="8"/>
  <c r="R1384" i="8"/>
  <c r="S1384" i="8"/>
  <c r="Y1384" i="8"/>
  <c r="AB1384" i="8"/>
  <c r="AC1384" i="8"/>
  <c r="AE1384" i="8"/>
  <c r="AJ1384" i="8"/>
  <c r="J1385" i="8"/>
  <c r="O1385" i="8"/>
  <c r="P1385" i="8"/>
  <c r="Q1385" i="8"/>
  <c r="R1385" i="8"/>
  <c r="S1385" i="8"/>
  <c r="Y1385" i="8"/>
  <c r="AB1385" i="8"/>
  <c r="AC1385" i="8"/>
  <c r="AE1385" i="8"/>
  <c r="AJ1385" i="8"/>
  <c r="J1386" i="8"/>
  <c r="O1386" i="8"/>
  <c r="P1386" i="8"/>
  <c r="Q1386" i="8"/>
  <c r="R1386" i="8"/>
  <c r="S1386" i="8"/>
  <c r="Y1386" i="8"/>
  <c r="AB1386" i="8"/>
  <c r="AC1386" i="8"/>
  <c r="AE1386" i="8"/>
  <c r="AJ1386" i="8"/>
  <c r="J1387" i="8"/>
  <c r="O1387" i="8"/>
  <c r="P1387" i="8"/>
  <c r="Q1387" i="8"/>
  <c r="R1387" i="8"/>
  <c r="S1387" i="8"/>
  <c r="Y1387" i="8"/>
  <c r="AB1387" i="8"/>
  <c r="AC1387" i="8"/>
  <c r="AE1387" i="8"/>
  <c r="AJ1387" i="8"/>
  <c r="J1388" i="8"/>
  <c r="O1388" i="8"/>
  <c r="P1388" i="8"/>
  <c r="Q1388" i="8"/>
  <c r="R1388" i="8"/>
  <c r="S1388" i="8"/>
  <c r="Y1388" i="8"/>
  <c r="AB1388" i="8"/>
  <c r="AC1388" i="8"/>
  <c r="AE1388" i="8"/>
  <c r="AJ1388" i="8"/>
  <c r="J1389" i="8"/>
  <c r="O1389" i="8"/>
  <c r="P1389" i="8"/>
  <c r="Q1389" i="8"/>
  <c r="R1389" i="8"/>
  <c r="S1389" i="8"/>
  <c r="Y1389" i="8"/>
  <c r="AB1389" i="8"/>
  <c r="AC1389" i="8"/>
  <c r="AE1389" i="8"/>
  <c r="AJ1389" i="8"/>
  <c r="J1390" i="8"/>
  <c r="O1390" i="8"/>
  <c r="P1390" i="8"/>
  <c r="Q1390" i="8"/>
  <c r="R1390" i="8"/>
  <c r="S1390" i="8"/>
  <c r="Y1390" i="8"/>
  <c r="AB1390" i="8"/>
  <c r="AC1390" i="8"/>
  <c r="AE1390" i="8"/>
  <c r="AJ1390" i="8"/>
  <c r="J1391" i="8"/>
  <c r="O1391" i="8"/>
  <c r="P1391" i="8"/>
  <c r="Q1391" i="8"/>
  <c r="R1391" i="8"/>
  <c r="S1391" i="8"/>
  <c r="Y1391" i="8"/>
  <c r="AB1391" i="8"/>
  <c r="AC1391" i="8"/>
  <c r="AE1391" i="8"/>
  <c r="AJ1391" i="8"/>
  <c r="J1392" i="8"/>
  <c r="O1392" i="8"/>
  <c r="P1392" i="8"/>
  <c r="Q1392" i="8"/>
  <c r="R1392" i="8"/>
  <c r="S1392" i="8"/>
  <c r="Y1392" i="8"/>
  <c r="AB1392" i="8"/>
  <c r="AC1392" i="8"/>
  <c r="AE1392" i="8"/>
  <c r="AJ1392" i="8"/>
  <c r="J1393" i="8"/>
  <c r="O1393" i="8"/>
  <c r="P1393" i="8"/>
  <c r="Q1393" i="8"/>
  <c r="R1393" i="8"/>
  <c r="S1393" i="8"/>
  <c r="Y1393" i="8"/>
  <c r="AB1393" i="8"/>
  <c r="AC1393" i="8"/>
  <c r="AE1393" i="8"/>
  <c r="AJ1393" i="8"/>
  <c r="J1394" i="8"/>
  <c r="O1394" i="8"/>
  <c r="P1394" i="8"/>
  <c r="Q1394" i="8"/>
  <c r="R1394" i="8"/>
  <c r="S1394" i="8"/>
  <c r="Y1394" i="8"/>
  <c r="AB1394" i="8"/>
  <c r="AC1394" i="8"/>
  <c r="AE1394" i="8"/>
  <c r="AJ1394" i="8"/>
  <c r="J1395" i="8"/>
  <c r="O1395" i="8"/>
  <c r="P1395" i="8"/>
  <c r="Q1395" i="8"/>
  <c r="R1395" i="8"/>
  <c r="S1395" i="8"/>
  <c r="Y1395" i="8"/>
  <c r="AB1395" i="8"/>
  <c r="AC1395" i="8"/>
  <c r="AE1395" i="8"/>
  <c r="AJ1395" i="8"/>
  <c r="J1396" i="8"/>
  <c r="O1396" i="8"/>
  <c r="P1396" i="8"/>
  <c r="Q1396" i="8"/>
  <c r="R1396" i="8"/>
  <c r="S1396" i="8"/>
  <c r="Y1396" i="8"/>
  <c r="AB1396" i="8"/>
  <c r="AC1396" i="8"/>
  <c r="AE1396" i="8"/>
  <c r="AJ1396" i="8"/>
  <c r="J1397" i="8"/>
  <c r="O1397" i="8"/>
  <c r="P1397" i="8"/>
  <c r="Q1397" i="8"/>
  <c r="R1397" i="8"/>
  <c r="S1397" i="8"/>
  <c r="Y1397" i="8"/>
  <c r="AB1397" i="8"/>
  <c r="AC1397" i="8"/>
  <c r="AE1397" i="8"/>
  <c r="AJ1397" i="8"/>
  <c r="J1398" i="8"/>
  <c r="O1398" i="8"/>
  <c r="P1398" i="8"/>
  <c r="Q1398" i="8"/>
  <c r="R1398" i="8"/>
  <c r="S1398" i="8"/>
  <c r="Y1398" i="8"/>
  <c r="AB1398" i="8"/>
  <c r="AC1398" i="8"/>
  <c r="AE1398" i="8"/>
  <c r="AJ1398" i="8"/>
  <c r="J1399" i="8"/>
  <c r="O1399" i="8"/>
  <c r="P1399" i="8"/>
  <c r="Q1399" i="8"/>
  <c r="R1399" i="8"/>
  <c r="S1399" i="8"/>
  <c r="Y1399" i="8"/>
  <c r="AB1399" i="8"/>
  <c r="AC1399" i="8"/>
  <c r="AE1399" i="8"/>
  <c r="AJ1399" i="8"/>
  <c r="J1400" i="8"/>
  <c r="O1400" i="8"/>
  <c r="P1400" i="8"/>
  <c r="Q1400" i="8"/>
  <c r="R1400" i="8"/>
  <c r="S1400" i="8"/>
  <c r="Y1400" i="8"/>
  <c r="AB1400" i="8"/>
  <c r="AC1400" i="8"/>
  <c r="AE1400" i="8"/>
  <c r="AJ1400" i="8"/>
  <c r="J1401" i="8"/>
  <c r="O1401" i="8"/>
  <c r="P1401" i="8"/>
  <c r="Q1401" i="8"/>
  <c r="R1401" i="8"/>
  <c r="S1401" i="8"/>
  <c r="Y1401" i="8"/>
  <c r="AB1401" i="8"/>
  <c r="AC1401" i="8"/>
  <c r="AE1401" i="8"/>
  <c r="AJ1401" i="8"/>
  <c r="J1402" i="8"/>
  <c r="O1402" i="8"/>
  <c r="P1402" i="8"/>
  <c r="Q1402" i="8"/>
  <c r="R1402" i="8"/>
  <c r="S1402" i="8"/>
  <c r="Y1402" i="8"/>
  <c r="AB1402" i="8"/>
  <c r="AC1402" i="8"/>
  <c r="AE1402" i="8"/>
  <c r="AJ1402" i="8"/>
  <c r="J1403" i="8"/>
  <c r="O1403" i="8"/>
  <c r="P1403" i="8"/>
  <c r="Q1403" i="8"/>
  <c r="R1403" i="8"/>
  <c r="S1403" i="8"/>
  <c r="Y1403" i="8"/>
  <c r="AB1403" i="8"/>
  <c r="AC1403" i="8"/>
  <c r="AE1403" i="8"/>
  <c r="AJ1403" i="8"/>
  <c r="J1404" i="8"/>
  <c r="O1404" i="8"/>
  <c r="P1404" i="8"/>
  <c r="Q1404" i="8"/>
  <c r="R1404" i="8"/>
  <c r="S1404" i="8"/>
  <c r="Y1404" i="8"/>
  <c r="AB1404" i="8"/>
  <c r="AC1404" i="8"/>
  <c r="AE1404" i="8"/>
  <c r="AJ1404" i="8"/>
  <c r="J1405" i="8"/>
  <c r="O1405" i="8"/>
  <c r="P1405" i="8"/>
  <c r="Q1405" i="8"/>
  <c r="R1405" i="8"/>
  <c r="S1405" i="8"/>
  <c r="Y1405" i="8"/>
  <c r="AB1405" i="8"/>
  <c r="AC1405" i="8"/>
  <c r="AE1405" i="8"/>
  <c r="AJ1405" i="8"/>
  <c r="J1406" i="8"/>
  <c r="O1406" i="8"/>
  <c r="P1406" i="8"/>
  <c r="Q1406" i="8"/>
  <c r="R1406" i="8"/>
  <c r="S1406" i="8"/>
  <c r="Y1406" i="8"/>
  <c r="AB1406" i="8"/>
  <c r="AC1406" i="8"/>
  <c r="AE1406" i="8"/>
  <c r="AJ1406" i="8"/>
  <c r="J1407" i="8"/>
  <c r="O1407" i="8"/>
  <c r="P1407" i="8"/>
  <c r="Q1407" i="8"/>
  <c r="R1407" i="8"/>
  <c r="S1407" i="8"/>
  <c r="Y1407" i="8"/>
  <c r="AB1407" i="8"/>
  <c r="AC1407" i="8"/>
  <c r="AE1407" i="8"/>
  <c r="AJ1407" i="8"/>
  <c r="J1408" i="8"/>
  <c r="O1408" i="8"/>
  <c r="P1408" i="8"/>
  <c r="Q1408" i="8"/>
  <c r="R1408" i="8"/>
  <c r="S1408" i="8"/>
  <c r="Y1408" i="8"/>
  <c r="AB1408" i="8"/>
  <c r="AC1408" i="8"/>
  <c r="AE1408" i="8"/>
  <c r="AJ1408" i="8"/>
  <c r="J1409" i="8"/>
  <c r="O1409" i="8"/>
  <c r="P1409" i="8"/>
  <c r="Q1409" i="8"/>
  <c r="R1409" i="8"/>
  <c r="S1409" i="8"/>
  <c r="Y1409" i="8"/>
  <c r="AB1409" i="8"/>
  <c r="AC1409" i="8"/>
  <c r="AE1409" i="8"/>
  <c r="AJ1409" i="8"/>
  <c r="J1410" i="8"/>
  <c r="O1410" i="8"/>
  <c r="P1410" i="8"/>
  <c r="Q1410" i="8"/>
  <c r="R1410" i="8"/>
  <c r="S1410" i="8"/>
  <c r="Y1410" i="8"/>
  <c r="AB1410" i="8"/>
  <c r="AC1410" i="8"/>
  <c r="AE1410" i="8"/>
  <c r="AJ1410" i="8"/>
  <c r="J1411" i="8"/>
  <c r="O1411" i="8"/>
  <c r="P1411" i="8"/>
  <c r="Q1411" i="8"/>
  <c r="R1411" i="8"/>
  <c r="S1411" i="8"/>
  <c r="Y1411" i="8"/>
  <c r="AB1411" i="8"/>
  <c r="AC1411" i="8"/>
  <c r="AE1411" i="8"/>
  <c r="AJ1411" i="8"/>
  <c r="J1412" i="8"/>
  <c r="O1412" i="8"/>
  <c r="P1412" i="8"/>
  <c r="Q1412" i="8"/>
  <c r="R1412" i="8"/>
  <c r="S1412" i="8"/>
  <c r="Y1412" i="8"/>
  <c r="AB1412" i="8"/>
  <c r="AC1412" i="8"/>
  <c r="AE1412" i="8"/>
  <c r="AJ1412" i="8"/>
  <c r="J1413" i="8"/>
  <c r="O1413" i="8"/>
  <c r="P1413" i="8"/>
  <c r="Q1413" i="8"/>
  <c r="R1413" i="8"/>
  <c r="S1413" i="8"/>
  <c r="Y1413" i="8"/>
  <c r="AB1413" i="8"/>
  <c r="AC1413" i="8"/>
  <c r="AE1413" i="8"/>
  <c r="AJ1413" i="8"/>
  <c r="J1414" i="8"/>
  <c r="O1414" i="8"/>
  <c r="P1414" i="8"/>
  <c r="Q1414" i="8"/>
  <c r="R1414" i="8"/>
  <c r="S1414" i="8"/>
  <c r="Y1414" i="8"/>
  <c r="AB1414" i="8"/>
  <c r="AC1414" i="8"/>
  <c r="AE1414" i="8"/>
  <c r="AJ1414" i="8"/>
  <c r="J1415" i="8"/>
  <c r="O1415" i="8"/>
  <c r="P1415" i="8"/>
  <c r="Q1415" i="8"/>
  <c r="R1415" i="8"/>
  <c r="S1415" i="8"/>
  <c r="Y1415" i="8"/>
  <c r="AB1415" i="8"/>
  <c r="AC1415" i="8"/>
  <c r="AE1415" i="8"/>
  <c r="AJ1415" i="8"/>
  <c r="J1416" i="8"/>
  <c r="O1416" i="8"/>
  <c r="P1416" i="8"/>
  <c r="Q1416" i="8"/>
  <c r="R1416" i="8"/>
  <c r="S1416" i="8"/>
  <c r="Y1416" i="8"/>
  <c r="AB1416" i="8"/>
  <c r="AC1416" i="8"/>
  <c r="AE1416" i="8"/>
  <c r="AJ1416" i="8"/>
  <c r="J1417" i="8"/>
  <c r="O1417" i="8"/>
  <c r="P1417" i="8"/>
  <c r="Q1417" i="8"/>
  <c r="R1417" i="8"/>
  <c r="S1417" i="8"/>
  <c r="Y1417" i="8"/>
  <c r="AB1417" i="8"/>
  <c r="AC1417" i="8"/>
  <c r="AE1417" i="8"/>
  <c r="AJ1417" i="8"/>
  <c r="J1418" i="8"/>
  <c r="O1418" i="8"/>
  <c r="P1418" i="8"/>
  <c r="Q1418" i="8"/>
  <c r="R1418" i="8"/>
  <c r="S1418" i="8"/>
  <c r="Y1418" i="8"/>
  <c r="AB1418" i="8"/>
  <c r="AC1418" i="8"/>
  <c r="AE1418" i="8"/>
  <c r="AJ1418" i="8"/>
  <c r="J1419" i="8"/>
  <c r="O1419" i="8"/>
  <c r="P1419" i="8"/>
  <c r="Q1419" i="8"/>
  <c r="R1419" i="8"/>
  <c r="S1419" i="8"/>
  <c r="Y1419" i="8"/>
  <c r="AB1419" i="8"/>
  <c r="AC1419" i="8"/>
  <c r="AE1419" i="8"/>
  <c r="AJ1419" i="8"/>
  <c r="J1420" i="8"/>
  <c r="O1420" i="8"/>
  <c r="P1420" i="8"/>
  <c r="Q1420" i="8"/>
  <c r="R1420" i="8"/>
  <c r="S1420" i="8"/>
  <c r="Y1420" i="8"/>
  <c r="AB1420" i="8"/>
  <c r="AC1420" i="8"/>
  <c r="AE1420" i="8"/>
  <c r="AJ1420" i="8"/>
  <c r="J1421" i="8"/>
  <c r="O1421" i="8"/>
  <c r="P1421" i="8"/>
  <c r="Q1421" i="8"/>
  <c r="R1421" i="8"/>
  <c r="S1421" i="8"/>
  <c r="Y1421" i="8"/>
  <c r="AB1421" i="8"/>
  <c r="AC1421" i="8"/>
  <c r="AE1421" i="8"/>
  <c r="AJ1421" i="8"/>
  <c r="J1422" i="8"/>
  <c r="O1422" i="8"/>
  <c r="P1422" i="8"/>
  <c r="Q1422" i="8"/>
  <c r="R1422" i="8"/>
  <c r="S1422" i="8"/>
  <c r="Y1422" i="8"/>
  <c r="AB1422" i="8"/>
  <c r="AC1422" i="8"/>
  <c r="AE1422" i="8"/>
  <c r="AJ1422" i="8"/>
  <c r="J1423" i="8"/>
  <c r="O1423" i="8"/>
  <c r="P1423" i="8"/>
  <c r="Q1423" i="8"/>
  <c r="R1423" i="8"/>
  <c r="S1423" i="8"/>
  <c r="Y1423" i="8"/>
  <c r="AB1423" i="8"/>
  <c r="AC1423" i="8"/>
  <c r="AE1423" i="8"/>
  <c r="AJ1423" i="8"/>
  <c r="J1424" i="8"/>
  <c r="O1424" i="8"/>
  <c r="P1424" i="8"/>
  <c r="Q1424" i="8"/>
  <c r="R1424" i="8"/>
  <c r="S1424" i="8"/>
  <c r="Y1424" i="8"/>
  <c r="AB1424" i="8"/>
  <c r="AC1424" i="8"/>
  <c r="AE1424" i="8"/>
  <c r="AJ1424" i="8"/>
  <c r="J1425" i="8"/>
  <c r="O1425" i="8"/>
  <c r="P1425" i="8"/>
  <c r="Q1425" i="8"/>
  <c r="R1425" i="8"/>
  <c r="S1425" i="8"/>
  <c r="Y1425" i="8"/>
  <c r="AB1425" i="8"/>
  <c r="AC1425" i="8"/>
  <c r="AE1425" i="8"/>
  <c r="AJ1425" i="8"/>
  <c r="J1426" i="8"/>
  <c r="O1426" i="8"/>
  <c r="P1426" i="8"/>
  <c r="Q1426" i="8"/>
  <c r="R1426" i="8"/>
  <c r="S1426" i="8"/>
  <c r="Y1426" i="8"/>
  <c r="AB1426" i="8"/>
  <c r="AC1426" i="8"/>
  <c r="AE1426" i="8"/>
  <c r="AJ1426" i="8"/>
  <c r="J1427" i="8"/>
  <c r="O1427" i="8"/>
  <c r="P1427" i="8"/>
  <c r="Q1427" i="8"/>
  <c r="R1427" i="8"/>
  <c r="S1427" i="8"/>
  <c r="Y1427" i="8"/>
  <c r="AB1427" i="8"/>
  <c r="AC1427" i="8"/>
  <c r="AE1427" i="8"/>
  <c r="AJ1427" i="8"/>
  <c r="J1428" i="8"/>
  <c r="O1428" i="8"/>
  <c r="P1428" i="8"/>
  <c r="Q1428" i="8"/>
  <c r="R1428" i="8"/>
  <c r="S1428" i="8"/>
  <c r="Y1428" i="8"/>
  <c r="AB1428" i="8"/>
  <c r="AC1428" i="8"/>
  <c r="AE1428" i="8"/>
  <c r="AJ1428" i="8"/>
  <c r="J1429" i="8"/>
  <c r="O1429" i="8"/>
  <c r="P1429" i="8"/>
  <c r="Q1429" i="8"/>
  <c r="R1429" i="8"/>
  <c r="S1429" i="8"/>
  <c r="Y1429" i="8"/>
  <c r="AB1429" i="8"/>
  <c r="AC1429" i="8"/>
  <c r="AE1429" i="8"/>
  <c r="AJ1429" i="8"/>
  <c r="I1430" i="8"/>
  <c r="J1430" i="8"/>
  <c r="O1430" i="8"/>
  <c r="P1430" i="8"/>
  <c r="Q1430" i="8"/>
  <c r="R1430" i="8"/>
  <c r="S1430" i="8"/>
  <c r="Y1430" i="8"/>
  <c r="AB1430" i="8"/>
  <c r="AC1430" i="8"/>
  <c r="AE1430" i="8"/>
  <c r="AJ1430" i="8"/>
  <c r="J1431" i="8"/>
  <c r="O1431" i="8"/>
  <c r="P1431" i="8"/>
  <c r="Q1431" i="8"/>
  <c r="R1431" i="8"/>
  <c r="S1431" i="8"/>
  <c r="Y1431" i="8"/>
  <c r="AB1431" i="8"/>
  <c r="AC1431" i="8"/>
  <c r="AE1431" i="8"/>
  <c r="AJ1431" i="8"/>
  <c r="J1432" i="8"/>
  <c r="O1432" i="8"/>
  <c r="P1432" i="8"/>
  <c r="Q1432" i="8"/>
  <c r="R1432" i="8"/>
  <c r="S1432" i="8"/>
  <c r="Y1432" i="8"/>
  <c r="AB1432" i="8"/>
  <c r="AC1432" i="8"/>
  <c r="AE1432" i="8"/>
  <c r="AJ1432" i="8"/>
  <c r="J1433" i="8"/>
  <c r="O1433" i="8"/>
  <c r="P1433" i="8"/>
  <c r="Q1433" i="8"/>
  <c r="R1433" i="8"/>
  <c r="S1433" i="8"/>
  <c r="Y1433" i="8"/>
  <c r="AB1433" i="8"/>
  <c r="AC1433" i="8"/>
  <c r="AE1433" i="8"/>
  <c r="AJ1433" i="8"/>
  <c r="J1434" i="8"/>
  <c r="O1434" i="8"/>
  <c r="P1434" i="8"/>
  <c r="Q1434" i="8"/>
  <c r="R1434" i="8"/>
  <c r="S1434" i="8"/>
  <c r="Y1434" i="8"/>
  <c r="AB1434" i="8"/>
  <c r="AC1434" i="8"/>
  <c r="AE1434" i="8"/>
  <c r="AJ1434" i="8"/>
  <c r="J1435" i="8"/>
  <c r="O1435" i="8"/>
  <c r="P1435" i="8"/>
  <c r="Q1435" i="8"/>
  <c r="R1435" i="8"/>
  <c r="S1435" i="8"/>
  <c r="Y1435" i="8"/>
  <c r="AB1435" i="8"/>
  <c r="AC1435" i="8"/>
  <c r="AE1435" i="8"/>
  <c r="AJ1435" i="8"/>
  <c r="J1436" i="8"/>
  <c r="O1436" i="8"/>
  <c r="P1436" i="8"/>
  <c r="Q1436" i="8"/>
  <c r="R1436" i="8"/>
  <c r="S1436" i="8"/>
  <c r="Y1436" i="8"/>
  <c r="AB1436" i="8"/>
  <c r="AC1436" i="8"/>
  <c r="AE1436" i="8"/>
  <c r="AJ1436" i="8"/>
  <c r="J1437" i="8"/>
  <c r="O1437" i="8"/>
  <c r="P1437" i="8"/>
  <c r="Q1437" i="8"/>
  <c r="R1437" i="8"/>
  <c r="S1437" i="8"/>
  <c r="Y1437" i="8"/>
  <c r="AB1437" i="8"/>
  <c r="AC1437" i="8"/>
  <c r="AE1437" i="8"/>
  <c r="AJ1437" i="8"/>
  <c r="J1438" i="8"/>
  <c r="O1438" i="8"/>
  <c r="P1438" i="8"/>
  <c r="Q1438" i="8"/>
  <c r="R1438" i="8"/>
  <c r="S1438" i="8"/>
  <c r="Y1438" i="8"/>
  <c r="AB1438" i="8"/>
  <c r="AC1438" i="8"/>
  <c r="AE1438" i="8"/>
  <c r="AJ1438" i="8"/>
  <c r="J1439" i="8"/>
  <c r="O1439" i="8"/>
  <c r="P1439" i="8"/>
  <c r="Q1439" i="8"/>
  <c r="R1439" i="8"/>
  <c r="S1439" i="8"/>
  <c r="Y1439" i="8"/>
  <c r="AB1439" i="8"/>
  <c r="AC1439" i="8"/>
  <c r="AE1439" i="8"/>
  <c r="AJ1439" i="8"/>
  <c r="J1440" i="8"/>
  <c r="O1440" i="8"/>
  <c r="P1440" i="8"/>
  <c r="Q1440" i="8"/>
  <c r="R1440" i="8"/>
  <c r="S1440" i="8"/>
  <c r="Y1440" i="8"/>
  <c r="AB1440" i="8"/>
  <c r="AC1440" i="8"/>
  <c r="AE1440" i="8"/>
  <c r="AJ1440" i="8"/>
  <c r="J1441" i="8"/>
  <c r="O1441" i="8"/>
  <c r="P1441" i="8"/>
  <c r="Q1441" i="8"/>
  <c r="R1441" i="8"/>
  <c r="S1441" i="8"/>
  <c r="Y1441" i="8"/>
  <c r="AB1441" i="8"/>
  <c r="AC1441" i="8"/>
  <c r="AE1441" i="8"/>
  <c r="AJ1441" i="8"/>
  <c r="J1442" i="8"/>
  <c r="O1442" i="8"/>
  <c r="P1442" i="8"/>
  <c r="Q1442" i="8"/>
  <c r="R1442" i="8"/>
  <c r="S1442" i="8"/>
  <c r="Y1442" i="8"/>
  <c r="AB1442" i="8"/>
  <c r="AC1442" i="8"/>
  <c r="AE1442" i="8"/>
  <c r="AJ1442" i="8"/>
  <c r="J1443" i="8"/>
  <c r="O1443" i="8"/>
  <c r="P1443" i="8"/>
  <c r="Q1443" i="8"/>
  <c r="R1443" i="8"/>
  <c r="S1443" i="8"/>
  <c r="Y1443" i="8"/>
  <c r="AB1443" i="8"/>
  <c r="AC1443" i="8"/>
  <c r="AE1443" i="8"/>
  <c r="AJ1443" i="8"/>
  <c r="J1444" i="8"/>
  <c r="O1444" i="8"/>
  <c r="P1444" i="8"/>
  <c r="Q1444" i="8"/>
  <c r="R1444" i="8"/>
  <c r="S1444" i="8"/>
  <c r="Y1444" i="8"/>
  <c r="AB1444" i="8"/>
  <c r="AC1444" i="8"/>
  <c r="AE1444" i="8"/>
  <c r="AJ1444" i="8"/>
  <c r="J1445" i="8"/>
  <c r="O1445" i="8"/>
  <c r="P1445" i="8"/>
  <c r="Q1445" i="8"/>
  <c r="R1445" i="8"/>
  <c r="S1445" i="8"/>
  <c r="Y1445" i="8"/>
  <c r="AB1445" i="8"/>
  <c r="AC1445" i="8"/>
  <c r="AE1445" i="8"/>
  <c r="AJ1445" i="8"/>
  <c r="J1446" i="8"/>
  <c r="O1446" i="8"/>
  <c r="P1446" i="8"/>
  <c r="Q1446" i="8"/>
  <c r="R1446" i="8"/>
  <c r="S1446" i="8"/>
  <c r="Y1446" i="8"/>
  <c r="AB1446" i="8"/>
  <c r="AC1446" i="8"/>
  <c r="AE1446" i="8"/>
  <c r="AJ1446" i="8"/>
  <c r="J1447" i="8"/>
  <c r="O1447" i="8"/>
  <c r="P1447" i="8"/>
  <c r="Q1447" i="8"/>
  <c r="R1447" i="8"/>
  <c r="S1447" i="8"/>
  <c r="Y1447" i="8"/>
  <c r="AB1447" i="8"/>
  <c r="AC1447" i="8"/>
  <c r="AE1447" i="8"/>
  <c r="AJ1447" i="8"/>
  <c r="J1448" i="8"/>
  <c r="O1448" i="8"/>
  <c r="P1448" i="8"/>
  <c r="Q1448" i="8"/>
  <c r="R1448" i="8"/>
  <c r="S1448" i="8"/>
  <c r="Y1448" i="8"/>
  <c r="AB1448" i="8"/>
  <c r="AC1448" i="8"/>
  <c r="AE1448" i="8"/>
  <c r="AJ1448" i="8"/>
  <c r="J1449" i="8"/>
  <c r="O1449" i="8"/>
  <c r="P1449" i="8"/>
  <c r="Q1449" i="8"/>
  <c r="R1449" i="8"/>
  <c r="S1449" i="8"/>
  <c r="Y1449" i="8"/>
  <c r="AB1449" i="8"/>
  <c r="AC1449" i="8"/>
  <c r="AE1449" i="8"/>
  <c r="AJ1449" i="8"/>
  <c r="J1450" i="8"/>
  <c r="O1450" i="8"/>
  <c r="P1450" i="8"/>
  <c r="Q1450" i="8"/>
  <c r="R1450" i="8"/>
  <c r="S1450" i="8"/>
  <c r="Y1450" i="8"/>
  <c r="AB1450" i="8"/>
  <c r="AC1450" i="8"/>
  <c r="AE1450" i="8"/>
  <c r="AJ1450" i="8"/>
  <c r="J1451" i="8"/>
  <c r="O1451" i="8"/>
  <c r="P1451" i="8"/>
  <c r="Q1451" i="8"/>
  <c r="R1451" i="8"/>
  <c r="S1451" i="8"/>
  <c r="Y1451" i="8"/>
  <c r="AB1451" i="8"/>
  <c r="AC1451" i="8"/>
  <c r="AE1451" i="8"/>
  <c r="AJ1451" i="8"/>
  <c r="J1452" i="8"/>
  <c r="O1452" i="8"/>
  <c r="P1452" i="8"/>
  <c r="Q1452" i="8"/>
  <c r="R1452" i="8"/>
  <c r="S1452" i="8"/>
  <c r="Y1452" i="8"/>
  <c r="AB1452" i="8"/>
  <c r="AC1452" i="8"/>
  <c r="AE1452" i="8"/>
  <c r="AJ1452" i="8"/>
  <c r="J1453" i="8"/>
  <c r="O1453" i="8"/>
  <c r="P1453" i="8"/>
  <c r="Q1453" i="8"/>
  <c r="R1453" i="8"/>
  <c r="S1453" i="8"/>
  <c r="Y1453" i="8"/>
  <c r="AB1453" i="8"/>
  <c r="AC1453" i="8"/>
  <c r="AE1453" i="8"/>
  <c r="AJ1453" i="8"/>
  <c r="J1454" i="8"/>
  <c r="O1454" i="8"/>
  <c r="P1454" i="8"/>
  <c r="Q1454" i="8"/>
  <c r="R1454" i="8"/>
  <c r="S1454" i="8"/>
  <c r="Y1454" i="8"/>
  <c r="AB1454" i="8"/>
  <c r="AC1454" i="8"/>
  <c r="AE1454" i="8"/>
  <c r="AJ1454" i="8"/>
  <c r="J1455" i="8"/>
  <c r="O1455" i="8"/>
  <c r="P1455" i="8"/>
  <c r="Q1455" i="8"/>
  <c r="R1455" i="8"/>
  <c r="S1455" i="8"/>
  <c r="Y1455" i="8"/>
  <c r="AB1455" i="8"/>
  <c r="AC1455" i="8"/>
  <c r="AE1455" i="8"/>
  <c r="AJ1455" i="8"/>
  <c r="J1456" i="8"/>
  <c r="O1456" i="8"/>
  <c r="P1456" i="8"/>
  <c r="Q1456" i="8"/>
  <c r="R1456" i="8"/>
  <c r="S1456" i="8"/>
  <c r="Y1456" i="8"/>
  <c r="AB1456" i="8"/>
  <c r="AC1456" i="8"/>
  <c r="AE1456" i="8"/>
  <c r="AJ1456" i="8"/>
  <c r="J1457" i="8"/>
  <c r="O1457" i="8"/>
  <c r="P1457" i="8"/>
  <c r="Q1457" i="8"/>
  <c r="R1457" i="8"/>
  <c r="S1457" i="8"/>
  <c r="Y1457" i="8"/>
  <c r="AB1457" i="8"/>
  <c r="AC1457" i="8"/>
  <c r="AE1457" i="8"/>
  <c r="AJ1457" i="8"/>
  <c r="J1458" i="8"/>
  <c r="O1458" i="8"/>
  <c r="P1458" i="8"/>
  <c r="Q1458" i="8"/>
  <c r="R1458" i="8"/>
  <c r="S1458" i="8"/>
  <c r="Y1458" i="8"/>
  <c r="AB1458" i="8"/>
  <c r="AC1458" i="8"/>
  <c r="AE1458" i="8"/>
  <c r="AJ1458" i="8"/>
  <c r="J1459" i="8"/>
  <c r="O1459" i="8"/>
  <c r="P1459" i="8"/>
  <c r="Q1459" i="8"/>
  <c r="R1459" i="8"/>
  <c r="S1459" i="8"/>
  <c r="Y1459" i="8"/>
  <c r="AB1459" i="8"/>
  <c r="AC1459" i="8"/>
  <c r="AE1459" i="8"/>
  <c r="AJ1459" i="8"/>
  <c r="J1460" i="8"/>
  <c r="O1460" i="8"/>
  <c r="P1460" i="8"/>
  <c r="Q1460" i="8"/>
  <c r="R1460" i="8"/>
  <c r="S1460" i="8"/>
  <c r="Y1460" i="8"/>
  <c r="AB1460" i="8"/>
  <c r="AC1460" i="8"/>
  <c r="AE1460" i="8"/>
  <c r="AJ1460" i="8"/>
  <c r="J1461" i="8"/>
  <c r="O1461" i="8"/>
  <c r="P1461" i="8"/>
  <c r="Q1461" i="8"/>
  <c r="R1461" i="8"/>
  <c r="S1461" i="8"/>
  <c r="Y1461" i="8"/>
  <c r="AB1461" i="8"/>
  <c r="AC1461" i="8"/>
  <c r="AE1461" i="8"/>
  <c r="AJ1461" i="8"/>
  <c r="J1462" i="8"/>
  <c r="O1462" i="8"/>
  <c r="P1462" i="8"/>
  <c r="Q1462" i="8"/>
  <c r="R1462" i="8"/>
  <c r="S1462" i="8"/>
  <c r="Y1462" i="8"/>
  <c r="AB1462" i="8"/>
  <c r="AC1462" i="8"/>
  <c r="AE1462" i="8"/>
  <c r="AJ1462" i="8"/>
  <c r="J1463" i="8"/>
  <c r="O1463" i="8"/>
  <c r="P1463" i="8"/>
  <c r="Q1463" i="8"/>
  <c r="R1463" i="8"/>
  <c r="S1463" i="8"/>
  <c r="Y1463" i="8"/>
  <c r="AB1463" i="8"/>
  <c r="AC1463" i="8"/>
  <c r="AE1463" i="8"/>
  <c r="AJ1463" i="8"/>
  <c r="J1464" i="8"/>
  <c r="O1464" i="8"/>
  <c r="P1464" i="8"/>
  <c r="Q1464" i="8"/>
  <c r="R1464" i="8"/>
  <c r="S1464" i="8"/>
  <c r="Y1464" i="8"/>
  <c r="AB1464" i="8"/>
  <c r="AC1464" i="8"/>
  <c r="AE1464" i="8"/>
  <c r="AJ1464" i="8"/>
  <c r="J1465" i="8"/>
  <c r="O1465" i="8"/>
  <c r="P1465" i="8"/>
  <c r="Q1465" i="8"/>
  <c r="R1465" i="8"/>
  <c r="S1465" i="8"/>
  <c r="Y1465" i="8"/>
  <c r="AB1465" i="8"/>
  <c r="AC1465" i="8"/>
  <c r="AE1465" i="8"/>
  <c r="AJ1465" i="8"/>
  <c r="J1466" i="8"/>
  <c r="O1466" i="8"/>
  <c r="P1466" i="8"/>
  <c r="Q1466" i="8"/>
  <c r="R1466" i="8"/>
  <c r="S1466" i="8"/>
  <c r="Y1466" i="8"/>
  <c r="AB1466" i="8"/>
  <c r="AC1466" i="8"/>
  <c r="AE1466" i="8"/>
  <c r="AJ1466" i="8"/>
  <c r="J1467" i="8"/>
  <c r="O1467" i="8"/>
  <c r="P1467" i="8"/>
  <c r="Q1467" i="8"/>
  <c r="R1467" i="8"/>
  <c r="S1467" i="8"/>
  <c r="Y1467" i="8"/>
  <c r="AB1467" i="8"/>
  <c r="AC1467" i="8"/>
  <c r="AE1467" i="8"/>
  <c r="AJ1467" i="8"/>
  <c r="J1468" i="8"/>
  <c r="O1468" i="8"/>
  <c r="P1468" i="8"/>
  <c r="Q1468" i="8"/>
  <c r="R1468" i="8"/>
  <c r="S1468" i="8"/>
  <c r="Y1468" i="8"/>
  <c r="AB1468" i="8"/>
  <c r="AC1468" i="8"/>
  <c r="AE1468" i="8"/>
  <c r="AJ1468" i="8"/>
  <c r="J1469" i="8"/>
  <c r="O1469" i="8"/>
  <c r="P1469" i="8"/>
  <c r="Q1469" i="8"/>
  <c r="R1469" i="8"/>
  <c r="S1469" i="8"/>
  <c r="Y1469" i="8"/>
  <c r="AB1469" i="8"/>
  <c r="AC1469" i="8"/>
  <c r="AE1469" i="8"/>
  <c r="AJ1469" i="8"/>
  <c r="J1470" i="8"/>
  <c r="O1470" i="8"/>
  <c r="P1470" i="8"/>
  <c r="Q1470" i="8"/>
  <c r="R1470" i="8"/>
  <c r="S1470" i="8"/>
  <c r="Y1470" i="8"/>
  <c r="AB1470" i="8"/>
  <c r="AC1470" i="8"/>
  <c r="AE1470" i="8"/>
  <c r="AJ1470" i="8"/>
  <c r="J1471" i="8"/>
  <c r="O1471" i="8"/>
  <c r="P1471" i="8"/>
  <c r="Q1471" i="8"/>
  <c r="R1471" i="8"/>
  <c r="S1471" i="8"/>
  <c r="Y1471" i="8"/>
  <c r="AB1471" i="8"/>
  <c r="AC1471" i="8"/>
  <c r="AE1471" i="8"/>
  <c r="AJ1471" i="8"/>
  <c r="J1472" i="8"/>
  <c r="O1472" i="8"/>
  <c r="P1472" i="8"/>
  <c r="Q1472" i="8"/>
  <c r="R1472" i="8"/>
  <c r="S1472" i="8"/>
  <c r="Y1472" i="8"/>
  <c r="AB1472" i="8"/>
  <c r="AC1472" i="8"/>
  <c r="AE1472" i="8"/>
  <c r="AJ1472" i="8"/>
  <c r="J1473" i="8"/>
  <c r="O1473" i="8"/>
  <c r="P1473" i="8"/>
  <c r="Q1473" i="8"/>
  <c r="R1473" i="8"/>
  <c r="S1473" i="8"/>
  <c r="Y1473" i="8"/>
  <c r="AB1473" i="8"/>
  <c r="AC1473" i="8"/>
  <c r="AE1473" i="8"/>
  <c r="AJ1473" i="8"/>
  <c r="J1474" i="8"/>
  <c r="O1474" i="8"/>
  <c r="P1474" i="8"/>
  <c r="Q1474" i="8"/>
  <c r="R1474" i="8"/>
  <c r="S1474" i="8"/>
  <c r="Y1474" i="8"/>
  <c r="AB1474" i="8"/>
  <c r="AC1474" i="8"/>
  <c r="AE1474" i="8"/>
  <c r="AJ1474" i="8"/>
  <c r="J1475" i="8"/>
  <c r="O1475" i="8"/>
  <c r="P1475" i="8"/>
  <c r="Q1475" i="8"/>
  <c r="R1475" i="8"/>
  <c r="S1475" i="8"/>
  <c r="Y1475" i="8"/>
  <c r="AB1475" i="8"/>
  <c r="AC1475" i="8"/>
  <c r="AE1475" i="8"/>
  <c r="AJ1475" i="8"/>
  <c r="J1476" i="8"/>
  <c r="O1476" i="8"/>
  <c r="P1476" i="8"/>
  <c r="Q1476" i="8"/>
  <c r="R1476" i="8"/>
  <c r="S1476" i="8"/>
  <c r="Y1476" i="8"/>
  <c r="AB1476" i="8"/>
  <c r="AC1476" i="8"/>
  <c r="AE1476" i="8"/>
  <c r="AJ1476" i="8"/>
  <c r="J1477" i="8"/>
  <c r="O1477" i="8"/>
  <c r="P1477" i="8"/>
  <c r="Q1477" i="8"/>
  <c r="R1477" i="8"/>
  <c r="S1477" i="8"/>
  <c r="Y1477" i="8"/>
  <c r="AB1477" i="8"/>
  <c r="AC1477" i="8"/>
  <c r="AE1477" i="8"/>
  <c r="AJ1477" i="8"/>
  <c r="J1478" i="8"/>
  <c r="O1478" i="8"/>
  <c r="P1478" i="8"/>
  <c r="Q1478" i="8"/>
  <c r="R1478" i="8"/>
  <c r="S1478" i="8"/>
  <c r="Y1478" i="8"/>
  <c r="AB1478" i="8"/>
  <c r="AC1478" i="8"/>
  <c r="AE1478" i="8"/>
  <c r="AJ1478" i="8"/>
  <c r="J1479" i="8"/>
  <c r="O1479" i="8"/>
  <c r="P1479" i="8"/>
  <c r="Q1479" i="8"/>
  <c r="R1479" i="8"/>
  <c r="S1479" i="8"/>
  <c r="Y1479" i="8"/>
  <c r="AB1479" i="8"/>
  <c r="AC1479" i="8"/>
  <c r="AE1479" i="8"/>
  <c r="AJ1479" i="8"/>
  <c r="J1480" i="8"/>
  <c r="O1480" i="8"/>
  <c r="P1480" i="8"/>
  <c r="Q1480" i="8"/>
  <c r="R1480" i="8"/>
  <c r="S1480" i="8"/>
  <c r="Y1480" i="8"/>
  <c r="AB1480" i="8"/>
  <c r="AC1480" i="8"/>
  <c r="AE1480" i="8"/>
  <c r="AJ1480" i="8"/>
  <c r="I1481" i="8"/>
  <c r="J1481" i="8"/>
  <c r="O1481" i="8"/>
  <c r="P1481" i="8"/>
  <c r="Q1481" i="8"/>
  <c r="R1481" i="8"/>
  <c r="S1481" i="8"/>
  <c r="Y1481" i="8"/>
  <c r="AC1481" i="8"/>
  <c r="AE1481" i="8"/>
  <c r="AJ1481" i="8"/>
  <c r="J1482" i="8"/>
  <c r="O1482" i="8"/>
  <c r="P1482" i="8"/>
  <c r="Q1482" i="8"/>
  <c r="R1482" i="8"/>
  <c r="S1482" i="8"/>
  <c r="Y1482" i="8"/>
  <c r="AB1482" i="8"/>
  <c r="AC1482" i="8"/>
  <c r="AE1482" i="8"/>
  <c r="AJ1482" i="8"/>
  <c r="J1483" i="8"/>
  <c r="O1483" i="8"/>
  <c r="P1483" i="8"/>
  <c r="Q1483" i="8"/>
  <c r="R1483" i="8"/>
  <c r="S1483" i="8"/>
  <c r="Y1483" i="8"/>
  <c r="AB1483" i="8"/>
  <c r="AC1483" i="8"/>
  <c r="AE1483" i="8"/>
  <c r="AJ1483" i="8"/>
  <c r="J1484" i="8"/>
  <c r="O1484" i="8"/>
  <c r="P1484" i="8"/>
  <c r="Q1484" i="8"/>
  <c r="R1484" i="8"/>
  <c r="S1484" i="8"/>
  <c r="Y1484" i="8"/>
  <c r="AB1484" i="8"/>
  <c r="AC1484" i="8"/>
  <c r="AE1484" i="8"/>
  <c r="J1485" i="8"/>
  <c r="O1485" i="8"/>
  <c r="P1485" i="8"/>
  <c r="Q1485" i="8"/>
  <c r="R1485" i="8"/>
  <c r="S1485" i="8"/>
  <c r="Y1485" i="8"/>
  <c r="AC1485" i="8"/>
  <c r="AE1485" i="8"/>
  <c r="AJ1485" i="8"/>
  <c r="J1486" i="8"/>
  <c r="O1486" i="8"/>
  <c r="P1486" i="8"/>
  <c r="Q1486" i="8"/>
  <c r="R1486" i="8"/>
  <c r="S1486" i="8"/>
  <c r="Y1486" i="8"/>
  <c r="AB1486" i="8"/>
  <c r="AC1486" i="8"/>
  <c r="AE1486" i="8"/>
  <c r="AJ1486" i="8"/>
  <c r="J1487" i="8"/>
  <c r="O1487" i="8"/>
  <c r="P1487" i="8"/>
  <c r="Q1487" i="8"/>
  <c r="R1487" i="8"/>
  <c r="S1487" i="8"/>
  <c r="Y1487" i="8"/>
  <c r="AB1487" i="8"/>
  <c r="AC1487" i="8"/>
  <c r="AE1487" i="8"/>
  <c r="AJ1487" i="8"/>
  <c r="J1488" i="8"/>
  <c r="O1488" i="8"/>
  <c r="P1488" i="8"/>
  <c r="Q1488" i="8"/>
  <c r="R1488" i="8"/>
  <c r="S1488" i="8"/>
  <c r="Y1488" i="8"/>
  <c r="AB1488" i="8"/>
  <c r="AC1488" i="8"/>
  <c r="AE1488" i="8"/>
  <c r="J1489" i="8"/>
  <c r="O1489" i="8"/>
  <c r="P1489" i="8"/>
  <c r="Q1489" i="8"/>
  <c r="R1489" i="8"/>
  <c r="S1489" i="8"/>
  <c r="Y1489" i="8"/>
  <c r="AC1489" i="8"/>
  <c r="AE1489" i="8"/>
  <c r="AJ1489" i="8"/>
  <c r="J1490" i="8"/>
  <c r="O1490" i="8"/>
  <c r="P1490" i="8"/>
  <c r="Q1490" i="8"/>
  <c r="R1490" i="8"/>
  <c r="S1490" i="8"/>
  <c r="Y1490" i="8"/>
  <c r="AB1490" i="8"/>
  <c r="AC1490" i="8"/>
  <c r="AE1490" i="8"/>
  <c r="AJ1490" i="8"/>
  <c r="J1491" i="8"/>
  <c r="O1491" i="8"/>
  <c r="P1491" i="8"/>
  <c r="Q1491" i="8"/>
  <c r="R1491" i="8"/>
  <c r="S1491" i="8"/>
  <c r="Y1491" i="8"/>
  <c r="AB1491" i="8"/>
  <c r="AC1491" i="8"/>
  <c r="AE1491" i="8"/>
  <c r="AJ1491" i="8"/>
  <c r="J1492" i="8"/>
  <c r="O1492" i="8"/>
  <c r="P1492" i="8"/>
  <c r="Q1492" i="8"/>
  <c r="R1492" i="8"/>
  <c r="S1492" i="8"/>
  <c r="Y1492" i="8"/>
  <c r="AB1492" i="8"/>
  <c r="AC1492" i="8"/>
  <c r="AE1492" i="8"/>
  <c r="J1493" i="8"/>
  <c r="O1493" i="8"/>
  <c r="P1493" i="8"/>
  <c r="Q1493" i="8"/>
  <c r="R1493" i="8"/>
  <c r="S1493" i="8"/>
  <c r="Y1493" i="8"/>
  <c r="AC1493" i="8"/>
  <c r="AE1493" i="8"/>
  <c r="AJ1493" i="8"/>
  <c r="J1494" i="8"/>
  <c r="O1494" i="8"/>
  <c r="P1494" i="8"/>
  <c r="Q1494" i="8"/>
  <c r="R1494" i="8"/>
  <c r="S1494" i="8"/>
  <c r="Y1494" i="8"/>
  <c r="AB1494" i="8"/>
  <c r="AC1494" i="8"/>
  <c r="AE1494" i="8"/>
  <c r="AJ1494" i="8"/>
  <c r="J1495" i="8"/>
  <c r="O1495" i="8"/>
  <c r="P1495" i="8"/>
  <c r="Q1495" i="8"/>
  <c r="R1495" i="8"/>
  <c r="S1495" i="8"/>
  <c r="Y1495" i="8"/>
  <c r="AB1495" i="8"/>
  <c r="AC1495" i="8"/>
  <c r="AE1495" i="8"/>
  <c r="AJ1495" i="8"/>
  <c r="J1496" i="8"/>
  <c r="O1496" i="8"/>
  <c r="P1496" i="8"/>
  <c r="Q1496" i="8"/>
  <c r="R1496" i="8"/>
  <c r="S1496" i="8"/>
  <c r="Y1496" i="8"/>
  <c r="AB1496" i="8"/>
  <c r="AC1496" i="8"/>
  <c r="AE1496" i="8"/>
  <c r="J1497" i="8"/>
  <c r="O1497" i="8"/>
  <c r="P1497" i="8"/>
  <c r="Q1497" i="8"/>
  <c r="R1497" i="8"/>
  <c r="S1497" i="8"/>
  <c r="Y1497" i="8"/>
  <c r="AC1497" i="8"/>
  <c r="AE1497" i="8"/>
  <c r="AJ1497" i="8"/>
  <c r="J1498" i="8"/>
  <c r="O1498" i="8"/>
  <c r="P1498" i="8"/>
  <c r="Q1498" i="8"/>
  <c r="R1498" i="8"/>
  <c r="S1498" i="8"/>
  <c r="Y1498" i="8"/>
  <c r="AB1498" i="8"/>
  <c r="AC1498" i="8"/>
  <c r="AE1498" i="8"/>
  <c r="AJ1498" i="8"/>
  <c r="J1499" i="8"/>
  <c r="O1499" i="8"/>
  <c r="P1499" i="8"/>
  <c r="Q1499" i="8"/>
  <c r="R1499" i="8"/>
  <c r="S1499" i="8"/>
  <c r="Y1499" i="8"/>
  <c r="AB1499" i="8"/>
  <c r="AC1499" i="8"/>
  <c r="AE1499" i="8"/>
  <c r="AJ1499" i="8"/>
  <c r="J1500" i="8"/>
  <c r="O1500" i="8"/>
  <c r="P1500" i="8"/>
  <c r="Q1500" i="8"/>
  <c r="R1500" i="8"/>
  <c r="S1500" i="8"/>
  <c r="Y1500" i="8"/>
  <c r="AB1500" i="8"/>
  <c r="AC1500" i="8"/>
  <c r="AE1500" i="8"/>
  <c r="J1501" i="8"/>
  <c r="O1501" i="8"/>
  <c r="P1501" i="8"/>
  <c r="Q1501" i="8"/>
  <c r="R1501" i="8"/>
  <c r="S1501" i="8"/>
  <c r="Y1501" i="8"/>
  <c r="AC1501" i="8"/>
  <c r="AE1501" i="8"/>
  <c r="AJ1501" i="8"/>
  <c r="J1502" i="8"/>
  <c r="O1502" i="8"/>
  <c r="P1502" i="8"/>
  <c r="Q1502" i="8"/>
  <c r="R1502" i="8"/>
  <c r="S1502" i="8"/>
  <c r="Y1502" i="8"/>
  <c r="AB1502" i="8"/>
  <c r="AC1502" i="8"/>
  <c r="AE1502" i="8"/>
  <c r="AJ1502" i="8"/>
  <c r="J1503" i="8"/>
  <c r="O1503" i="8"/>
  <c r="P1503" i="8"/>
  <c r="Q1503" i="8"/>
  <c r="R1503" i="8"/>
  <c r="S1503" i="8"/>
  <c r="Y1503" i="8"/>
  <c r="AB1503" i="8"/>
  <c r="AC1503" i="8"/>
  <c r="AE1503" i="8"/>
  <c r="AJ1503" i="8"/>
  <c r="J1504" i="8"/>
  <c r="O1504" i="8"/>
  <c r="P1504" i="8"/>
  <c r="Q1504" i="8"/>
  <c r="R1504" i="8"/>
  <c r="S1504" i="8"/>
  <c r="Y1504" i="8"/>
  <c r="AB1504" i="8"/>
  <c r="AC1504" i="8"/>
  <c r="AE1504" i="8"/>
  <c r="J1505" i="8"/>
  <c r="O1505" i="8"/>
  <c r="P1505" i="8"/>
  <c r="Q1505" i="8"/>
  <c r="R1505" i="8"/>
  <c r="S1505" i="8"/>
  <c r="Y1505" i="8"/>
  <c r="AC1505" i="8"/>
  <c r="AE1505" i="8"/>
  <c r="AJ1505" i="8"/>
  <c r="J1506" i="8"/>
  <c r="O1506" i="8"/>
  <c r="P1506" i="8"/>
  <c r="Q1506" i="8"/>
  <c r="R1506" i="8"/>
  <c r="S1506" i="8"/>
  <c r="Y1506" i="8"/>
  <c r="AB1506" i="8"/>
  <c r="AC1506" i="8"/>
  <c r="AE1506" i="8"/>
  <c r="AJ1506" i="8"/>
  <c r="J1507" i="8"/>
  <c r="O1507" i="8"/>
  <c r="P1507" i="8"/>
  <c r="Q1507" i="8"/>
  <c r="R1507" i="8"/>
  <c r="S1507" i="8"/>
  <c r="Y1507" i="8"/>
  <c r="AB1507" i="8"/>
  <c r="AC1507" i="8"/>
  <c r="AE1507" i="8"/>
  <c r="AJ1507" i="8"/>
  <c r="J1508" i="8"/>
  <c r="O1508" i="8"/>
  <c r="P1508" i="8"/>
  <c r="Q1508" i="8"/>
  <c r="R1508" i="8"/>
  <c r="S1508" i="8"/>
  <c r="Y1508" i="8"/>
  <c r="AB1508" i="8"/>
  <c r="AC1508" i="8"/>
  <c r="AE1508" i="8"/>
  <c r="J1509" i="8"/>
  <c r="O1509" i="8"/>
  <c r="P1509" i="8"/>
  <c r="Q1509" i="8"/>
  <c r="R1509" i="8"/>
  <c r="S1509" i="8"/>
  <c r="Y1509" i="8"/>
  <c r="AC1509" i="8"/>
  <c r="AE1509" i="8"/>
  <c r="AJ1509" i="8"/>
  <c r="J1510" i="8"/>
  <c r="O1510" i="8"/>
  <c r="P1510" i="8"/>
  <c r="Q1510" i="8"/>
  <c r="R1510" i="8"/>
  <c r="S1510" i="8"/>
  <c r="Y1510" i="8"/>
  <c r="AB1510" i="8"/>
  <c r="AC1510" i="8"/>
  <c r="AE1510" i="8"/>
  <c r="AJ1510" i="8"/>
  <c r="J1511" i="8"/>
  <c r="O1511" i="8"/>
  <c r="P1511" i="8"/>
  <c r="Q1511" i="8"/>
  <c r="R1511" i="8"/>
  <c r="S1511" i="8"/>
  <c r="Y1511" i="8"/>
  <c r="AB1511" i="8"/>
  <c r="AC1511" i="8"/>
  <c r="AE1511" i="8"/>
  <c r="AJ1511" i="8"/>
  <c r="J1512" i="8"/>
  <c r="O1512" i="8"/>
  <c r="P1512" i="8"/>
  <c r="Q1512" i="8"/>
  <c r="R1512" i="8"/>
  <c r="S1512" i="8"/>
  <c r="Y1512" i="8"/>
  <c r="AB1512" i="8"/>
  <c r="AC1512" i="8"/>
  <c r="AE1512" i="8"/>
  <c r="J1513" i="8"/>
  <c r="O1513" i="8"/>
  <c r="P1513" i="8"/>
  <c r="Q1513" i="8"/>
  <c r="R1513" i="8"/>
  <c r="S1513" i="8"/>
  <c r="Y1513" i="8"/>
  <c r="AC1513" i="8"/>
  <c r="AE1513" i="8"/>
  <c r="AJ1513" i="8"/>
  <c r="J1514" i="8"/>
  <c r="O1514" i="8"/>
  <c r="P1514" i="8"/>
  <c r="Q1514" i="8"/>
  <c r="R1514" i="8"/>
  <c r="S1514" i="8"/>
  <c r="Y1514" i="8"/>
  <c r="AB1514" i="8"/>
  <c r="AC1514" i="8"/>
  <c r="AE1514" i="8"/>
  <c r="AJ1514" i="8"/>
  <c r="J1515" i="8"/>
  <c r="O1515" i="8"/>
  <c r="P1515" i="8"/>
  <c r="Q1515" i="8"/>
  <c r="R1515" i="8"/>
  <c r="S1515" i="8"/>
  <c r="Y1515" i="8"/>
  <c r="AB1515" i="8"/>
  <c r="AC1515" i="8"/>
  <c r="AE1515" i="8"/>
  <c r="AJ1515" i="8"/>
  <c r="J1516" i="8"/>
  <c r="O1516" i="8"/>
  <c r="P1516" i="8"/>
  <c r="Q1516" i="8"/>
  <c r="R1516" i="8"/>
  <c r="S1516" i="8"/>
  <c r="Y1516" i="8"/>
  <c r="AB1516" i="8"/>
  <c r="AC1516" i="8"/>
  <c r="AE1516" i="8"/>
  <c r="J1517" i="8"/>
  <c r="O1517" i="8"/>
  <c r="P1517" i="8"/>
  <c r="Q1517" i="8"/>
  <c r="R1517" i="8"/>
  <c r="S1517" i="8"/>
  <c r="Y1517" i="8"/>
  <c r="AC1517" i="8"/>
  <c r="AE1517" i="8"/>
  <c r="AJ1517" i="8"/>
  <c r="J1518" i="8"/>
  <c r="O1518" i="8"/>
  <c r="P1518" i="8"/>
  <c r="Q1518" i="8"/>
  <c r="R1518" i="8"/>
  <c r="S1518" i="8"/>
  <c r="Y1518" i="8"/>
  <c r="AB1518" i="8"/>
  <c r="AC1518" i="8"/>
  <c r="AE1518" i="8"/>
  <c r="AJ1518" i="8"/>
  <c r="J1519" i="8"/>
  <c r="O1519" i="8"/>
  <c r="P1519" i="8"/>
  <c r="Q1519" i="8"/>
  <c r="R1519" i="8"/>
  <c r="S1519" i="8"/>
  <c r="Y1519" i="8"/>
  <c r="AB1519" i="8"/>
  <c r="AC1519" i="8"/>
  <c r="AE1519" i="8"/>
  <c r="AJ1519" i="8"/>
  <c r="J1520" i="8"/>
  <c r="O1520" i="8"/>
  <c r="P1520" i="8"/>
  <c r="Q1520" i="8"/>
  <c r="R1520" i="8"/>
  <c r="S1520" i="8"/>
  <c r="Y1520" i="8"/>
  <c r="AB1520" i="8"/>
  <c r="AC1520" i="8"/>
  <c r="AE1520" i="8"/>
  <c r="J1521" i="8"/>
  <c r="O1521" i="8"/>
  <c r="P1521" i="8"/>
  <c r="Q1521" i="8"/>
  <c r="R1521" i="8"/>
  <c r="S1521" i="8"/>
  <c r="Y1521" i="8"/>
  <c r="AC1521" i="8"/>
  <c r="AE1521" i="8"/>
  <c r="AJ1521" i="8"/>
  <c r="J1522" i="8"/>
  <c r="O1522" i="8"/>
  <c r="P1522" i="8"/>
  <c r="Q1522" i="8"/>
  <c r="R1522" i="8"/>
  <c r="S1522" i="8"/>
  <c r="Y1522" i="8"/>
  <c r="AB1522" i="8"/>
  <c r="AC1522" i="8"/>
  <c r="AE1522" i="8"/>
  <c r="AJ1522" i="8"/>
  <c r="J1523" i="8"/>
  <c r="O1523" i="8"/>
  <c r="P1523" i="8"/>
  <c r="Q1523" i="8"/>
  <c r="R1523" i="8"/>
  <c r="S1523" i="8"/>
  <c r="Y1523" i="8"/>
  <c r="AB1523" i="8"/>
  <c r="AC1523" i="8"/>
  <c r="AE1523" i="8"/>
  <c r="AJ1523" i="8"/>
  <c r="J1524" i="8"/>
  <c r="O1524" i="8"/>
  <c r="P1524" i="8"/>
  <c r="Q1524" i="8"/>
  <c r="R1524" i="8"/>
  <c r="S1524" i="8"/>
  <c r="Y1524" i="8"/>
  <c r="AB1524" i="8"/>
  <c r="AC1524" i="8"/>
  <c r="AE1524" i="8"/>
  <c r="J1525" i="8"/>
  <c r="O1525" i="8"/>
  <c r="P1525" i="8"/>
  <c r="Q1525" i="8"/>
  <c r="R1525" i="8"/>
  <c r="S1525" i="8"/>
  <c r="Y1525" i="8"/>
  <c r="AC1525" i="8"/>
  <c r="AE1525" i="8"/>
  <c r="AJ1525" i="8"/>
  <c r="J1526" i="8"/>
  <c r="O1526" i="8"/>
  <c r="P1526" i="8"/>
  <c r="Q1526" i="8"/>
  <c r="R1526" i="8"/>
  <c r="S1526" i="8"/>
  <c r="Y1526" i="8"/>
  <c r="AB1526" i="8"/>
  <c r="AC1526" i="8"/>
  <c r="AE1526" i="8"/>
  <c r="AJ1526" i="8"/>
  <c r="J1527" i="8"/>
  <c r="O1527" i="8"/>
  <c r="P1527" i="8"/>
  <c r="Q1527" i="8"/>
  <c r="R1527" i="8"/>
  <c r="S1527" i="8"/>
  <c r="Y1527" i="8"/>
  <c r="AB1527" i="8"/>
  <c r="AC1527" i="8"/>
  <c r="AE1527" i="8"/>
  <c r="AJ1527" i="8"/>
  <c r="J1528" i="8"/>
  <c r="O1528" i="8"/>
  <c r="P1528" i="8"/>
  <c r="Q1528" i="8"/>
  <c r="R1528" i="8"/>
  <c r="S1528" i="8"/>
  <c r="Y1528" i="8"/>
  <c r="AB1528" i="8"/>
  <c r="AC1528" i="8"/>
  <c r="AE1528" i="8"/>
  <c r="J1529" i="8"/>
  <c r="O1529" i="8"/>
  <c r="P1529" i="8"/>
  <c r="Q1529" i="8"/>
  <c r="R1529" i="8"/>
  <c r="S1529" i="8"/>
  <c r="Y1529" i="8"/>
  <c r="AC1529" i="8"/>
  <c r="AE1529" i="8"/>
  <c r="AJ1529" i="8"/>
  <c r="J1530" i="8"/>
  <c r="O1530" i="8"/>
  <c r="P1530" i="8"/>
  <c r="Q1530" i="8"/>
  <c r="R1530" i="8"/>
  <c r="S1530" i="8"/>
  <c r="Y1530" i="8"/>
  <c r="AB1530" i="8"/>
  <c r="AC1530" i="8"/>
  <c r="AE1530" i="8"/>
  <c r="AJ1530" i="8"/>
  <c r="J1531" i="8"/>
  <c r="O1531" i="8"/>
  <c r="P1531" i="8"/>
  <c r="Q1531" i="8"/>
  <c r="R1531" i="8"/>
  <c r="S1531" i="8"/>
  <c r="Y1531" i="8"/>
  <c r="AB1531" i="8"/>
  <c r="AC1531" i="8"/>
  <c r="AE1531" i="8"/>
  <c r="AJ1531" i="8"/>
  <c r="AA24" i="4"/>
  <c r="N24" i="4" s="1"/>
  <c r="M24" i="4" s="1"/>
  <c r="AA25" i="4"/>
  <c r="N25" i="4" s="1"/>
  <c r="AA26" i="4"/>
  <c r="N26" i="4" s="1"/>
  <c r="M26" i="4" s="1"/>
  <c r="AA27" i="4"/>
  <c r="N27" i="4" s="1"/>
  <c r="AA28" i="4"/>
  <c r="N28" i="4" s="1"/>
  <c r="M28" i="4" s="1"/>
  <c r="AA29" i="4"/>
  <c r="N29" i="4" s="1"/>
  <c r="AA30" i="4"/>
  <c r="AC30" i="4" s="1"/>
  <c r="AA31" i="4"/>
  <c r="T31" i="4" s="1"/>
  <c r="AA32" i="4"/>
  <c r="N32" i="4" s="1"/>
  <c r="V1524" i="8" s="1"/>
  <c r="N23" i="4"/>
  <c r="M23" i="4" s="1"/>
  <c r="L30" i="4"/>
  <c r="S30" i="4"/>
  <c r="X30" i="4"/>
  <c r="L31" i="4"/>
  <c r="S31" i="4"/>
  <c r="X31" i="4"/>
  <c r="L32" i="4"/>
  <c r="AJ1484" i="8" s="1"/>
  <c r="S32" i="4"/>
  <c r="AB1481" i="8" s="1"/>
  <c r="X32" i="4"/>
  <c r="G32" i="9" l="1"/>
  <c r="F32" i="9" s="1"/>
  <c r="E32" i="9"/>
  <c r="K32" i="9" s="1"/>
  <c r="G31" i="9"/>
  <c r="F31" i="9" s="1"/>
  <c r="E31" i="9"/>
  <c r="K31" i="9" s="1"/>
  <c r="I33" i="9"/>
  <c r="W1481" i="8"/>
  <c r="Z1481" i="8"/>
  <c r="W1379" i="8"/>
  <c r="Z1379" i="8"/>
  <c r="W1430" i="8"/>
  <c r="Z1430" i="8"/>
  <c r="X1481" i="8"/>
  <c r="X1430" i="8"/>
  <c r="X1379" i="8"/>
  <c r="N31" i="4"/>
  <c r="V1475" i="8" s="1"/>
  <c r="N30" i="4"/>
  <c r="V1423" i="8" s="1"/>
  <c r="V1529" i="8"/>
  <c r="V1486" i="8"/>
  <c r="V1491" i="8"/>
  <c r="V1496" i="8"/>
  <c r="V1501" i="8"/>
  <c r="V1518" i="8"/>
  <c r="V1523" i="8"/>
  <c r="V1528" i="8"/>
  <c r="V1481" i="8"/>
  <c r="V1498" i="8"/>
  <c r="V1503" i="8"/>
  <c r="V1508" i="8"/>
  <c r="V1513" i="8"/>
  <c r="V1530" i="8"/>
  <c r="V1522" i="8"/>
  <c r="V1485" i="8"/>
  <c r="V1483" i="8"/>
  <c r="V1488" i="8"/>
  <c r="V1493" i="8"/>
  <c r="V1510" i="8"/>
  <c r="V1515" i="8"/>
  <c r="V1520" i="8"/>
  <c r="V1525" i="8"/>
  <c r="V1527" i="8"/>
  <c r="M32" i="4"/>
  <c r="T1518" i="8" s="1"/>
  <c r="V1517" i="8"/>
  <c r="V1482" i="8"/>
  <c r="V1487" i="8"/>
  <c r="V1492" i="8"/>
  <c r="V1490" i="8"/>
  <c r="V1495" i="8"/>
  <c r="V1500" i="8"/>
  <c r="V1505" i="8"/>
  <c r="V1502" i="8"/>
  <c r="V1507" i="8"/>
  <c r="V1512" i="8"/>
  <c r="V1497" i="8"/>
  <c r="V1489" i="8"/>
  <c r="V1516" i="8"/>
  <c r="V1514" i="8"/>
  <c r="V1509" i="8"/>
  <c r="V1494" i="8"/>
  <c r="V1506" i="8"/>
  <c r="V1484" i="8"/>
  <c r="V1531" i="8"/>
  <c r="V1526" i="8"/>
  <c r="V1521" i="8"/>
  <c r="V1519" i="8"/>
  <c r="V1504" i="8"/>
  <c r="V1499" i="8"/>
  <c r="V1511" i="8"/>
  <c r="V1439" i="8"/>
  <c r="V1427" i="8"/>
  <c r="V1419" i="8"/>
  <c r="V1415" i="8"/>
  <c r="V1407" i="8"/>
  <c r="V1403" i="8"/>
  <c r="V1399" i="8"/>
  <c r="V1395" i="8"/>
  <c r="V1383" i="8"/>
  <c r="V1464" i="8"/>
  <c r="V1432" i="8"/>
  <c r="V1428" i="8"/>
  <c r="V1420" i="8"/>
  <c r="V1416" i="8"/>
  <c r="V1408" i="8"/>
  <c r="V1404" i="8"/>
  <c r="V1400" i="8"/>
  <c r="V1396" i="8"/>
  <c r="V1392" i="8"/>
  <c r="V1388" i="8"/>
  <c r="V1384" i="8"/>
  <c r="V1431" i="8"/>
  <c r="V1453" i="8"/>
  <c r="T1526" i="8"/>
  <c r="T1502" i="8"/>
  <c r="T1494" i="8"/>
  <c r="T1486" i="8"/>
  <c r="T1522" i="8"/>
  <c r="T1490" i="8"/>
  <c r="T1482" i="8"/>
  <c r="T32" i="4"/>
  <c r="T1531" i="8"/>
  <c r="AB1529" i="8"/>
  <c r="T1527" i="8"/>
  <c r="AB1525" i="8"/>
  <c r="AB1521" i="8"/>
  <c r="T1519" i="8"/>
  <c r="AB1517" i="8"/>
  <c r="T1515" i="8"/>
  <c r="AB1513" i="8"/>
  <c r="T1511" i="8"/>
  <c r="AB1509" i="8"/>
  <c r="AB1505" i="8"/>
  <c r="AB1501" i="8"/>
  <c r="T1499" i="8"/>
  <c r="AB1497" i="8"/>
  <c r="T1495" i="8"/>
  <c r="AB1493" i="8"/>
  <c r="AB1489" i="8"/>
  <c r="T1487" i="8"/>
  <c r="AB1485" i="8"/>
  <c r="T1483" i="8"/>
  <c r="T1528" i="8"/>
  <c r="T1524" i="8"/>
  <c r="T1512" i="8"/>
  <c r="T1508" i="8"/>
  <c r="T1504" i="8"/>
  <c r="T1500" i="8"/>
  <c r="T1492" i="8"/>
  <c r="AJ1528" i="8"/>
  <c r="AJ1524" i="8"/>
  <c r="AJ1520" i="8"/>
  <c r="AJ1516" i="8"/>
  <c r="AJ1512" i="8"/>
  <c r="AJ1508" i="8"/>
  <c r="AJ1504" i="8"/>
  <c r="AJ1500" i="8"/>
  <c r="AJ1496" i="8"/>
  <c r="AJ1492" i="8"/>
  <c r="AJ1488" i="8"/>
  <c r="M1430" i="8"/>
  <c r="M1379" i="8"/>
  <c r="M1481" i="8"/>
  <c r="AH1379" i="8"/>
  <c r="I1380" i="8"/>
  <c r="I1482" i="8"/>
  <c r="A1379" i="8"/>
  <c r="AF1430" i="8"/>
  <c r="AA1430" i="8" s="1"/>
  <c r="AG1379" i="8"/>
  <c r="AG1430" i="8"/>
  <c r="G1430" i="8"/>
  <c r="B1430" i="8" s="1"/>
  <c r="I1431" i="8"/>
  <c r="A1430" i="8"/>
  <c r="G1481" i="8"/>
  <c r="B1481" i="8" s="1"/>
  <c r="AG1481" i="8"/>
  <c r="AH1481" i="8"/>
  <c r="A1481" i="8"/>
  <c r="G1379" i="8"/>
  <c r="B1379" i="8" s="1"/>
  <c r="AF1481" i="8"/>
  <c r="AA1481" i="8" s="1"/>
  <c r="AF1379" i="8"/>
  <c r="AA1379" i="8" s="1"/>
  <c r="AH1430" i="8"/>
  <c r="AB29" i="4"/>
  <c r="AC32" i="4"/>
  <c r="AC31" i="4"/>
  <c r="T30" i="4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G33" i="9" l="1"/>
  <c r="F33" i="9" s="1"/>
  <c r="E33" i="9"/>
  <c r="K33" i="9" s="1"/>
  <c r="I34" i="9"/>
  <c r="Z1482" i="8"/>
  <c r="Z1431" i="8"/>
  <c r="Z1380" i="8"/>
  <c r="V1468" i="8"/>
  <c r="V1467" i="8"/>
  <c r="V1472" i="8"/>
  <c r="V1463" i="8"/>
  <c r="V1465" i="8"/>
  <c r="V1469" i="8"/>
  <c r="V1448" i="8"/>
  <c r="V1480" i="8"/>
  <c r="T1496" i="8"/>
  <c r="T1503" i="8"/>
  <c r="T1514" i="8"/>
  <c r="V1441" i="8"/>
  <c r="V1473" i="8"/>
  <c r="V1435" i="8"/>
  <c r="V1452" i="8"/>
  <c r="V1443" i="8"/>
  <c r="V1457" i="8"/>
  <c r="V1476" i="8"/>
  <c r="V1477" i="8"/>
  <c r="V1455" i="8"/>
  <c r="V1456" i="8"/>
  <c r="V1459" i="8"/>
  <c r="V1447" i="8"/>
  <c r="V1436" i="8"/>
  <c r="V1451" i="8"/>
  <c r="V1461" i="8"/>
  <c r="V1440" i="8"/>
  <c r="V1444" i="8"/>
  <c r="V1479" i="8"/>
  <c r="V1437" i="8"/>
  <c r="V1445" i="8"/>
  <c r="T1530" i="8"/>
  <c r="V1449" i="8"/>
  <c r="M31" i="4"/>
  <c r="V1471" i="8"/>
  <c r="V1460" i="8"/>
  <c r="T1491" i="8"/>
  <c r="T1523" i="8"/>
  <c r="T1510" i="8"/>
  <c r="T1516" i="8"/>
  <c r="T1507" i="8"/>
  <c r="T1498" i="8"/>
  <c r="T1488" i="8"/>
  <c r="T1520" i="8"/>
  <c r="T1506" i="8"/>
  <c r="V1412" i="8"/>
  <c r="V1387" i="8"/>
  <c r="V1379" i="8"/>
  <c r="V1411" i="8"/>
  <c r="V1424" i="8"/>
  <c r="V1391" i="8"/>
  <c r="L1481" i="8"/>
  <c r="V1380" i="8"/>
  <c r="V1381" i="8"/>
  <c r="V1398" i="8"/>
  <c r="V1413" i="8"/>
  <c r="V1386" i="8"/>
  <c r="V1414" i="8"/>
  <c r="V1429" i="8"/>
  <c r="V1389" i="8"/>
  <c r="V1421" i="8"/>
  <c r="V1417" i="8"/>
  <c r="V1394" i="8"/>
  <c r="V1409" i="8"/>
  <c r="V1426" i="8"/>
  <c r="V1401" i="8"/>
  <c r="V1397" i="8"/>
  <c r="V1393" i="8"/>
  <c r="V1425" i="8"/>
  <c r="M30" i="4"/>
  <c r="V1385" i="8"/>
  <c r="V1390" i="8"/>
  <c r="V1405" i="8"/>
  <c r="V1422" i="8"/>
  <c r="V1418" i="8"/>
  <c r="V1382" i="8"/>
  <c r="V1410" i="8"/>
  <c r="V1406" i="8"/>
  <c r="V1402" i="8"/>
  <c r="V1433" i="8"/>
  <c r="V1442" i="8"/>
  <c r="V1474" i="8"/>
  <c r="V1438" i="8"/>
  <c r="V1466" i="8"/>
  <c r="V1454" i="8"/>
  <c r="V1430" i="8"/>
  <c r="V1462" i="8"/>
  <c r="V1446" i="8"/>
  <c r="V1478" i="8"/>
  <c r="V1434" i="8"/>
  <c r="V1450" i="8"/>
  <c r="V1470" i="8"/>
  <c r="V1458" i="8"/>
  <c r="T1432" i="8"/>
  <c r="T1436" i="8"/>
  <c r="T1440" i="8"/>
  <c r="T1444" i="8"/>
  <c r="T1448" i="8"/>
  <c r="T1452" i="8"/>
  <c r="T1456" i="8"/>
  <c r="T1460" i="8"/>
  <c r="T1464" i="8"/>
  <c r="T1468" i="8"/>
  <c r="T1472" i="8"/>
  <c r="T1476" i="8"/>
  <c r="T1480" i="8"/>
  <c r="T1438" i="8"/>
  <c r="T1454" i="8"/>
  <c r="T1474" i="8"/>
  <c r="T1446" i="8"/>
  <c r="T1462" i="8"/>
  <c r="T1478" i="8"/>
  <c r="T1431" i="8"/>
  <c r="K1431" i="8" s="1"/>
  <c r="F1431" i="8" s="1"/>
  <c r="T1435" i="8"/>
  <c r="T1439" i="8"/>
  <c r="T1443" i="8"/>
  <c r="T1447" i="8"/>
  <c r="T1451" i="8"/>
  <c r="T1455" i="8"/>
  <c r="T1459" i="8"/>
  <c r="T1463" i="8"/>
  <c r="T1467" i="8"/>
  <c r="T1471" i="8"/>
  <c r="T1475" i="8"/>
  <c r="T1479" i="8"/>
  <c r="T1434" i="8"/>
  <c r="T1450" i="8"/>
  <c r="T1466" i="8"/>
  <c r="T1430" i="8"/>
  <c r="K1430" i="8" s="1"/>
  <c r="F1430" i="8" s="1"/>
  <c r="T1442" i="8"/>
  <c r="T1458" i="8"/>
  <c r="T1470" i="8"/>
  <c r="T1433" i="8"/>
  <c r="T1465" i="8"/>
  <c r="T1473" i="8"/>
  <c r="T1437" i="8"/>
  <c r="T1461" i="8"/>
  <c r="T1453" i="8"/>
  <c r="T1449" i="8"/>
  <c r="T1457" i="8"/>
  <c r="T1469" i="8"/>
  <c r="T1445" i="8"/>
  <c r="T1477" i="8"/>
  <c r="T1441" i="8"/>
  <c r="L1379" i="8"/>
  <c r="T1484" i="8"/>
  <c r="T1493" i="8"/>
  <c r="T1525" i="8"/>
  <c r="T1505" i="8"/>
  <c r="T1529" i="8"/>
  <c r="T1485" i="8"/>
  <c r="T1517" i="8"/>
  <c r="T1509" i="8"/>
  <c r="T1497" i="8"/>
  <c r="T1489" i="8"/>
  <c r="T1521" i="8"/>
  <c r="T1513" i="8"/>
  <c r="T1501" i="8"/>
  <c r="T1481" i="8"/>
  <c r="K1481" i="8" s="1"/>
  <c r="F1481" i="8" s="1"/>
  <c r="M1380" i="8"/>
  <c r="M1431" i="8"/>
  <c r="M1482" i="8"/>
  <c r="AG1431" i="8"/>
  <c r="I1381" i="8"/>
  <c r="AH1380" i="8"/>
  <c r="AF1380" i="8"/>
  <c r="AA1380" i="8" s="1"/>
  <c r="G1380" i="8"/>
  <c r="B1380" i="8" s="1"/>
  <c r="AH1482" i="8"/>
  <c r="AG1482" i="8"/>
  <c r="AF1482" i="8"/>
  <c r="AA1482" i="8" s="1"/>
  <c r="I1483" i="8"/>
  <c r="K1482" i="8"/>
  <c r="F1482" i="8" s="1"/>
  <c r="G1482" i="8"/>
  <c r="B1482" i="8" s="1"/>
  <c r="AG1380" i="8"/>
  <c r="I1432" i="8"/>
  <c r="G1431" i="8"/>
  <c r="B1431" i="8" s="1"/>
  <c r="AF1431" i="8"/>
  <c r="AA1431" i="8" s="1"/>
  <c r="AH1431" i="8"/>
  <c r="L1430" i="8"/>
  <c r="O32" i="4"/>
  <c r="O31" i="4"/>
  <c r="O30" i="4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AD1430" i="8" l="1"/>
  <c r="AD1481" i="8"/>
  <c r="E34" i="9"/>
  <c r="K34" i="9" s="1"/>
  <c r="G34" i="9"/>
  <c r="F34" i="9" s="1"/>
  <c r="L1482" i="8"/>
  <c r="AD1482" i="8" s="1"/>
  <c r="L1380" i="8"/>
  <c r="L1431" i="8"/>
  <c r="AD1431" i="8" s="1"/>
  <c r="I35" i="9"/>
  <c r="Z1483" i="8"/>
  <c r="Z1381" i="8"/>
  <c r="Z1432" i="8"/>
  <c r="T1396" i="8"/>
  <c r="T1428" i="8"/>
  <c r="T1412" i="8"/>
  <c r="T1392" i="8"/>
  <c r="T1424" i="8"/>
  <c r="T1388" i="8"/>
  <c r="T1420" i="8"/>
  <c r="T1384" i="8"/>
  <c r="T1416" i="8"/>
  <c r="T1380" i="8"/>
  <c r="K1380" i="8" s="1"/>
  <c r="F1380" i="8" s="1"/>
  <c r="T1408" i="8"/>
  <c r="T1404" i="8"/>
  <c r="T1400" i="8"/>
  <c r="T1383" i="8"/>
  <c r="T1415" i="8"/>
  <c r="T1401" i="8"/>
  <c r="T1402" i="8"/>
  <c r="T1405" i="8"/>
  <c r="T1413" i="8"/>
  <c r="T1398" i="8"/>
  <c r="T1387" i="8"/>
  <c r="T1419" i="8"/>
  <c r="T1417" i="8"/>
  <c r="T1406" i="8"/>
  <c r="T1421" i="8"/>
  <c r="T1391" i="8"/>
  <c r="T1423" i="8"/>
  <c r="T1429" i="8"/>
  <c r="T1410" i="8"/>
  <c r="T1395" i="8"/>
  <c r="T1427" i="8"/>
  <c r="T1382" i="8"/>
  <c r="T1414" i="8"/>
  <c r="T1425" i="8"/>
  <c r="T1394" i="8"/>
  <c r="T1411" i="8"/>
  <c r="T1389" i="8"/>
  <c r="T1393" i="8"/>
  <c r="T1399" i="8"/>
  <c r="T1385" i="8"/>
  <c r="T1386" i="8"/>
  <c r="T1418" i="8"/>
  <c r="T1409" i="8"/>
  <c r="T1403" i="8"/>
  <c r="T1397" i="8"/>
  <c r="T1390" i="8"/>
  <c r="T1422" i="8"/>
  <c r="T1407" i="8"/>
  <c r="T1426" i="8"/>
  <c r="T1379" i="8"/>
  <c r="K1379" i="8" s="1"/>
  <c r="AD1379" i="8" s="1"/>
  <c r="T1381" i="8"/>
  <c r="K1381" i="8" s="1"/>
  <c r="F1381" i="8" s="1"/>
  <c r="M1432" i="8"/>
  <c r="M1483" i="8"/>
  <c r="M1381" i="8"/>
  <c r="AG1381" i="8"/>
  <c r="G1381" i="8"/>
  <c r="B1381" i="8" s="1"/>
  <c r="AF1381" i="8"/>
  <c r="AA1381" i="8" s="1"/>
  <c r="AH1381" i="8"/>
  <c r="G1432" i="8"/>
  <c r="B1432" i="8" s="1"/>
  <c r="I1382" i="8"/>
  <c r="A1380" i="8"/>
  <c r="A1482" i="8"/>
  <c r="K1483" i="8"/>
  <c r="F1483" i="8" s="1"/>
  <c r="G1483" i="8"/>
  <c r="B1483" i="8" s="1"/>
  <c r="AG1483" i="8"/>
  <c r="K1432" i="8"/>
  <c r="F1432" i="8" s="1"/>
  <c r="AH1432" i="8"/>
  <c r="AF1432" i="8"/>
  <c r="AA1432" i="8" s="1"/>
  <c r="AG1432" i="8"/>
  <c r="AF1483" i="8"/>
  <c r="AA1483" i="8" s="1"/>
  <c r="I1484" i="8"/>
  <c r="I1433" i="8"/>
  <c r="AH1483" i="8"/>
  <c r="A1431" i="8"/>
  <c r="Q5" i="7"/>
  <c r="AD1380" i="8" l="1"/>
  <c r="E35" i="9"/>
  <c r="K35" i="9" s="1"/>
  <c r="G35" i="9"/>
  <c r="F35" i="9" s="1"/>
  <c r="L1381" i="8"/>
  <c r="AD1381" i="8" s="1"/>
  <c r="L1483" i="8"/>
  <c r="AD1483" i="8" s="1"/>
  <c r="F1379" i="8"/>
  <c r="L1432" i="8"/>
  <c r="AD1432" i="8" s="1"/>
  <c r="I36" i="9"/>
  <c r="E1483" i="8"/>
  <c r="E1381" i="8"/>
  <c r="E1432" i="8"/>
  <c r="Z1382" i="8"/>
  <c r="Z1433" i="8"/>
  <c r="Z1484" i="8"/>
  <c r="M1433" i="8"/>
  <c r="M1484" i="8"/>
  <c r="I1383" i="8"/>
  <c r="M1382" i="8"/>
  <c r="A1381" i="8"/>
  <c r="G1382" i="8"/>
  <c r="B1382" i="8" s="1"/>
  <c r="A1432" i="8"/>
  <c r="AG1382" i="8"/>
  <c r="AF1382" i="8"/>
  <c r="AA1382" i="8" s="1"/>
  <c r="AH1382" i="8"/>
  <c r="K1382" i="8"/>
  <c r="F1382" i="8" s="1"/>
  <c r="AF1433" i="8"/>
  <c r="AA1433" i="8" s="1"/>
  <c r="AH1433" i="8"/>
  <c r="K1433" i="8"/>
  <c r="F1433" i="8" s="1"/>
  <c r="AG1433" i="8"/>
  <c r="A1483" i="8"/>
  <c r="I1434" i="8"/>
  <c r="G1433" i="8"/>
  <c r="B1433" i="8" s="1"/>
  <c r="AF1484" i="8"/>
  <c r="AA1484" i="8" s="1"/>
  <c r="K1484" i="8"/>
  <c r="F1484" i="8" s="1"/>
  <c r="AH1484" i="8"/>
  <c r="AG1484" i="8"/>
  <c r="G1484" i="8"/>
  <c r="B1484" i="8" s="1"/>
  <c r="I1485" i="8"/>
  <c r="AJ3" i="8"/>
  <c r="AJ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104" i="8"/>
  <c r="AJ105" i="8"/>
  <c r="AJ106" i="8"/>
  <c r="AJ107" i="8"/>
  <c r="AJ108" i="8"/>
  <c r="AJ109" i="8"/>
  <c r="AJ110" i="8"/>
  <c r="AJ111" i="8"/>
  <c r="AJ112" i="8"/>
  <c r="AJ113" i="8"/>
  <c r="AJ114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29" i="8"/>
  <c r="AJ130" i="8"/>
  <c r="AJ131" i="8"/>
  <c r="AJ132" i="8"/>
  <c r="AJ133" i="8"/>
  <c r="AJ134" i="8"/>
  <c r="AJ135" i="8"/>
  <c r="AJ136" i="8"/>
  <c r="AJ137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86" i="8"/>
  <c r="AJ187" i="8"/>
  <c r="AJ188" i="8"/>
  <c r="AJ189" i="8"/>
  <c r="AJ190" i="8"/>
  <c r="AJ191" i="8"/>
  <c r="AJ192" i="8"/>
  <c r="AJ193" i="8"/>
  <c r="AJ194" i="8"/>
  <c r="AJ195" i="8"/>
  <c r="AJ196" i="8"/>
  <c r="AJ197" i="8"/>
  <c r="AJ198" i="8"/>
  <c r="AJ199" i="8"/>
  <c r="AJ200" i="8"/>
  <c r="AJ201" i="8"/>
  <c r="AJ202" i="8"/>
  <c r="AJ203" i="8"/>
  <c r="AJ204" i="8"/>
  <c r="AJ205" i="8"/>
  <c r="AJ206" i="8"/>
  <c r="AJ207" i="8"/>
  <c r="AJ208" i="8"/>
  <c r="AJ209" i="8"/>
  <c r="AJ210" i="8"/>
  <c r="AJ211" i="8"/>
  <c r="AJ212" i="8"/>
  <c r="AJ213" i="8"/>
  <c r="AJ214" i="8"/>
  <c r="AJ215" i="8"/>
  <c r="AJ216" i="8"/>
  <c r="AJ217" i="8"/>
  <c r="AJ218" i="8"/>
  <c r="AJ219" i="8"/>
  <c r="AJ220" i="8"/>
  <c r="AJ221" i="8"/>
  <c r="AJ222" i="8"/>
  <c r="AJ223" i="8"/>
  <c r="AJ224" i="8"/>
  <c r="AJ225" i="8"/>
  <c r="AJ226" i="8"/>
  <c r="AJ227" i="8"/>
  <c r="AJ228" i="8"/>
  <c r="AJ229" i="8"/>
  <c r="AJ230" i="8"/>
  <c r="AJ231" i="8"/>
  <c r="AJ232" i="8"/>
  <c r="AJ233" i="8"/>
  <c r="AJ234" i="8"/>
  <c r="AJ235" i="8"/>
  <c r="AJ236" i="8"/>
  <c r="AJ237" i="8"/>
  <c r="AJ238" i="8"/>
  <c r="AJ239" i="8"/>
  <c r="AJ240" i="8"/>
  <c r="AJ241" i="8"/>
  <c r="AJ242" i="8"/>
  <c r="AJ243" i="8"/>
  <c r="AJ244" i="8"/>
  <c r="AJ245" i="8"/>
  <c r="AJ246" i="8"/>
  <c r="AJ247" i="8"/>
  <c r="AJ248" i="8"/>
  <c r="AJ249" i="8"/>
  <c r="AJ250" i="8"/>
  <c r="AJ251" i="8"/>
  <c r="AJ252" i="8"/>
  <c r="AJ253" i="8"/>
  <c r="AJ254" i="8"/>
  <c r="AJ255" i="8"/>
  <c r="AJ256" i="8"/>
  <c r="AJ257" i="8"/>
  <c r="AJ258" i="8"/>
  <c r="AJ259" i="8"/>
  <c r="AJ260" i="8"/>
  <c r="AJ261" i="8"/>
  <c r="AJ262" i="8"/>
  <c r="AJ263" i="8"/>
  <c r="AJ264" i="8"/>
  <c r="AJ265" i="8"/>
  <c r="AJ266" i="8"/>
  <c r="AJ267" i="8"/>
  <c r="AJ268" i="8"/>
  <c r="AJ269" i="8"/>
  <c r="AJ270" i="8"/>
  <c r="AJ271" i="8"/>
  <c r="AJ272" i="8"/>
  <c r="AJ273" i="8"/>
  <c r="AJ274" i="8"/>
  <c r="AJ275" i="8"/>
  <c r="AJ276" i="8"/>
  <c r="AJ277" i="8"/>
  <c r="AJ278" i="8"/>
  <c r="AJ279" i="8"/>
  <c r="AJ280" i="8"/>
  <c r="AJ281" i="8"/>
  <c r="AJ282" i="8"/>
  <c r="AJ283" i="8"/>
  <c r="AJ284" i="8"/>
  <c r="AJ285" i="8"/>
  <c r="AJ286" i="8"/>
  <c r="AJ287" i="8"/>
  <c r="AJ288" i="8"/>
  <c r="AJ289" i="8"/>
  <c r="AJ290" i="8"/>
  <c r="AJ291" i="8"/>
  <c r="AJ292" i="8"/>
  <c r="AJ293" i="8"/>
  <c r="AJ294" i="8"/>
  <c r="AJ295" i="8"/>
  <c r="AJ296" i="8"/>
  <c r="AJ297" i="8"/>
  <c r="AJ298" i="8"/>
  <c r="AJ299" i="8"/>
  <c r="AJ300" i="8"/>
  <c r="AJ301" i="8"/>
  <c r="AJ302" i="8"/>
  <c r="AJ303" i="8"/>
  <c r="AJ304" i="8"/>
  <c r="AJ305" i="8"/>
  <c r="AJ306" i="8"/>
  <c r="AJ307" i="8"/>
  <c r="AJ308" i="8"/>
  <c r="AJ309" i="8"/>
  <c r="AJ310" i="8"/>
  <c r="AJ311" i="8"/>
  <c r="AJ312" i="8"/>
  <c r="AJ313" i="8"/>
  <c r="AJ314" i="8"/>
  <c r="AJ315" i="8"/>
  <c r="AJ316" i="8"/>
  <c r="AJ317" i="8"/>
  <c r="AJ318" i="8"/>
  <c r="AJ319" i="8"/>
  <c r="AJ320" i="8"/>
  <c r="AJ321" i="8"/>
  <c r="AJ322" i="8"/>
  <c r="AJ323" i="8"/>
  <c r="AJ324" i="8"/>
  <c r="AJ325" i="8"/>
  <c r="AJ326" i="8"/>
  <c r="AJ327" i="8"/>
  <c r="AJ328" i="8"/>
  <c r="AJ329" i="8"/>
  <c r="AJ330" i="8"/>
  <c r="AJ331" i="8"/>
  <c r="AJ332" i="8"/>
  <c r="AJ333" i="8"/>
  <c r="AJ334" i="8"/>
  <c r="AJ335" i="8"/>
  <c r="AJ336" i="8"/>
  <c r="AJ337" i="8"/>
  <c r="AJ338" i="8"/>
  <c r="AJ339" i="8"/>
  <c r="AJ340" i="8"/>
  <c r="AJ341" i="8"/>
  <c r="AJ342" i="8"/>
  <c r="AJ343" i="8"/>
  <c r="AJ344" i="8"/>
  <c r="AJ345" i="8"/>
  <c r="AJ346" i="8"/>
  <c r="AJ347" i="8"/>
  <c r="AJ348" i="8"/>
  <c r="AJ349" i="8"/>
  <c r="AJ350" i="8"/>
  <c r="AJ351" i="8"/>
  <c r="AJ352" i="8"/>
  <c r="AJ353" i="8"/>
  <c r="AJ354" i="8"/>
  <c r="AJ355" i="8"/>
  <c r="AJ356" i="8"/>
  <c r="AJ357" i="8"/>
  <c r="AJ358" i="8"/>
  <c r="AJ359" i="8"/>
  <c r="AJ360" i="8"/>
  <c r="AJ361" i="8"/>
  <c r="AJ362" i="8"/>
  <c r="AJ363" i="8"/>
  <c r="AJ364" i="8"/>
  <c r="AJ365" i="8"/>
  <c r="AJ366" i="8"/>
  <c r="AJ367" i="8"/>
  <c r="AJ368" i="8"/>
  <c r="AJ369" i="8"/>
  <c r="AJ370" i="8"/>
  <c r="AJ371" i="8"/>
  <c r="AJ372" i="8"/>
  <c r="AJ373" i="8"/>
  <c r="AJ374" i="8"/>
  <c r="AJ375" i="8"/>
  <c r="AJ376" i="8"/>
  <c r="AJ377" i="8"/>
  <c r="AJ378" i="8"/>
  <c r="AJ379" i="8"/>
  <c r="AJ380" i="8"/>
  <c r="AJ381" i="8"/>
  <c r="AJ382" i="8"/>
  <c r="AJ383" i="8"/>
  <c r="AJ384" i="8"/>
  <c r="AJ385" i="8"/>
  <c r="AJ386" i="8"/>
  <c r="AJ387" i="8"/>
  <c r="AJ388" i="8"/>
  <c r="AJ389" i="8"/>
  <c r="AJ390" i="8"/>
  <c r="AJ391" i="8"/>
  <c r="AJ392" i="8"/>
  <c r="AJ393" i="8"/>
  <c r="AJ394" i="8"/>
  <c r="AJ395" i="8"/>
  <c r="AJ396" i="8"/>
  <c r="AJ397" i="8"/>
  <c r="AJ398" i="8"/>
  <c r="AJ399" i="8"/>
  <c r="AJ400" i="8"/>
  <c r="AJ401" i="8"/>
  <c r="AJ402" i="8"/>
  <c r="AJ403" i="8"/>
  <c r="AJ404" i="8"/>
  <c r="AJ405" i="8"/>
  <c r="AJ406" i="8"/>
  <c r="AJ407" i="8"/>
  <c r="AJ408" i="8"/>
  <c r="AJ409" i="8"/>
  <c r="AJ461" i="8"/>
  <c r="AJ462" i="8"/>
  <c r="AJ463" i="8"/>
  <c r="AJ464" i="8"/>
  <c r="AJ465" i="8"/>
  <c r="AJ466" i="8"/>
  <c r="AJ467" i="8"/>
  <c r="AJ468" i="8"/>
  <c r="AJ469" i="8"/>
  <c r="AJ470" i="8"/>
  <c r="AJ471" i="8"/>
  <c r="AJ472" i="8"/>
  <c r="AJ473" i="8"/>
  <c r="AJ474" i="8"/>
  <c r="AJ475" i="8"/>
  <c r="AJ476" i="8"/>
  <c r="AJ477" i="8"/>
  <c r="AJ478" i="8"/>
  <c r="AJ479" i="8"/>
  <c r="AJ480" i="8"/>
  <c r="AJ481" i="8"/>
  <c r="AJ482" i="8"/>
  <c r="AJ483" i="8"/>
  <c r="AJ484" i="8"/>
  <c r="AJ485" i="8"/>
  <c r="AJ486" i="8"/>
  <c r="AJ487" i="8"/>
  <c r="AJ488" i="8"/>
  <c r="AJ489" i="8"/>
  <c r="AJ490" i="8"/>
  <c r="AJ491" i="8"/>
  <c r="AJ492" i="8"/>
  <c r="AJ493" i="8"/>
  <c r="AJ494" i="8"/>
  <c r="AJ495" i="8"/>
  <c r="AJ496" i="8"/>
  <c r="AJ497" i="8"/>
  <c r="AJ498" i="8"/>
  <c r="AJ499" i="8"/>
  <c r="AJ500" i="8"/>
  <c r="AJ501" i="8"/>
  <c r="AJ502" i="8"/>
  <c r="AJ503" i="8"/>
  <c r="AJ504" i="8"/>
  <c r="AJ505" i="8"/>
  <c r="AJ506" i="8"/>
  <c r="AJ507" i="8"/>
  <c r="AJ508" i="8"/>
  <c r="AJ509" i="8"/>
  <c r="AJ510" i="8"/>
  <c r="AJ511" i="8"/>
  <c r="AJ512" i="8"/>
  <c r="AJ513" i="8"/>
  <c r="AJ514" i="8"/>
  <c r="AJ515" i="8"/>
  <c r="AJ516" i="8"/>
  <c r="AJ517" i="8"/>
  <c r="AJ518" i="8"/>
  <c r="AJ519" i="8"/>
  <c r="AJ520" i="8"/>
  <c r="AJ521" i="8"/>
  <c r="AJ522" i="8"/>
  <c r="AJ523" i="8"/>
  <c r="AJ524" i="8"/>
  <c r="AJ525" i="8"/>
  <c r="AJ526" i="8"/>
  <c r="AJ527" i="8"/>
  <c r="AJ528" i="8"/>
  <c r="AJ529" i="8"/>
  <c r="AJ530" i="8"/>
  <c r="AJ531" i="8"/>
  <c r="AJ532" i="8"/>
  <c r="AJ533" i="8"/>
  <c r="AJ534" i="8"/>
  <c r="AJ535" i="8"/>
  <c r="AJ536" i="8"/>
  <c r="AJ537" i="8"/>
  <c r="AJ538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J554" i="8"/>
  <c r="AJ555" i="8"/>
  <c r="AJ556" i="8"/>
  <c r="AJ557" i="8"/>
  <c r="AJ558" i="8"/>
  <c r="AJ559" i="8"/>
  <c r="AJ560" i="8"/>
  <c r="AJ561" i="8"/>
  <c r="AJ562" i="8"/>
  <c r="AJ563" i="8"/>
  <c r="AJ564" i="8"/>
  <c r="AJ565" i="8"/>
  <c r="AJ566" i="8"/>
  <c r="AJ567" i="8"/>
  <c r="AJ568" i="8"/>
  <c r="AJ569" i="8"/>
  <c r="AJ570" i="8"/>
  <c r="AJ571" i="8"/>
  <c r="AJ572" i="8"/>
  <c r="AJ573" i="8"/>
  <c r="AJ574" i="8"/>
  <c r="AJ575" i="8"/>
  <c r="AJ576" i="8"/>
  <c r="AJ577" i="8"/>
  <c r="AJ578" i="8"/>
  <c r="AJ579" i="8"/>
  <c r="AJ580" i="8"/>
  <c r="AJ581" i="8"/>
  <c r="AJ582" i="8"/>
  <c r="AJ583" i="8"/>
  <c r="AJ584" i="8"/>
  <c r="AJ585" i="8"/>
  <c r="AJ586" i="8"/>
  <c r="AJ587" i="8"/>
  <c r="AJ588" i="8"/>
  <c r="AJ589" i="8"/>
  <c r="AJ590" i="8"/>
  <c r="AJ591" i="8"/>
  <c r="AJ592" i="8"/>
  <c r="AJ593" i="8"/>
  <c r="AJ594" i="8"/>
  <c r="AJ595" i="8"/>
  <c r="AJ596" i="8"/>
  <c r="AJ597" i="8"/>
  <c r="AJ598" i="8"/>
  <c r="AJ599" i="8"/>
  <c r="AJ600" i="8"/>
  <c r="AJ601" i="8"/>
  <c r="AJ602" i="8"/>
  <c r="AJ603" i="8"/>
  <c r="AJ604" i="8"/>
  <c r="AJ605" i="8"/>
  <c r="AJ606" i="8"/>
  <c r="AJ607" i="8"/>
  <c r="AJ608" i="8"/>
  <c r="AJ609" i="8"/>
  <c r="AJ610" i="8"/>
  <c r="AJ611" i="8"/>
  <c r="AJ612" i="8"/>
  <c r="AJ613" i="8"/>
  <c r="AJ614" i="8"/>
  <c r="AJ615" i="8"/>
  <c r="AJ616" i="8"/>
  <c r="AJ617" i="8"/>
  <c r="AJ618" i="8"/>
  <c r="AJ619" i="8"/>
  <c r="AJ620" i="8"/>
  <c r="AJ621" i="8"/>
  <c r="AJ622" i="8"/>
  <c r="AJ623" i="8"/>
  <c r="AJ624" i="8"/>
  <c r="AJ625" i="8"/>
  <c r="AJ626" i="8"/>
  <c r="AJ627" i="8"/>
  <c r="AJ628" i="8"/>
  <c r="AJ629" i="8"/>
  <c r="AJ630" i="8"/>
  <c r="AJ631" i="8"/>
  <c r="AJ632" i="8"/>
  <c r="AJ633" i="8"/>
  <c r="AJ634" i="8"/>
  <c r="AJ635" i="8"/>
  <c r="AJ636" i="8"/>
  <c r="AJ637" i="8"/>
  <c r="AJ638" i="8"/>
  <c r="AJ639" i="8"/>
  <c r="AJ640" i="8"/>
  <c r="AJ641" i="8"/>
  <c r="AJ642" i="8"/>
  <c r="AJ643" i="8"/>
  <c r="AJ644" i="8"/>
  <c r="AJ645" i="8"/>
  <c r="AJ646" i="8"/>
  <c r="AJ647" i="8"/>
  <c r="AJ648" i="8"/>
  <c r="AJ649" i="8"/>
  <c r="AJ650" i="8"/>
  <c r="AJ651" i="8"/>
  <c r="AJ652" i="8"/>
  <c r="AJ653" i="8"/>
  <c r="AJ654" i="8"/>
  <c r="AJ655" i="8"/>
  <c r="AJ656" i="8"/>
  <c r="AJ657" i="8"/>
  <c r="AJ658" i="8"/>
  <c r="AJ659" i="8"/>
  <c r="AJ660" i="8"/>
  <c r="AJ661" i="8"/>
  <c r="AJ662" i="8"/>
  <c r="AJ663" i="8"/>
  <c r="AJ664" i="8"/>
  <c r="AJ665" i="8"/>
  <c r="AJ666" i="8"/>
  <c r="AJ667" i="8"/>
  <c r="AJ668" i="8"/>
  <c r="AJ669" i="8"/>
  <c r="AJ670" i="8"/>
  <c r="AJ671" i="8"/>
  <c r="AJ672" i="8"/>
  <c r="AJ673" i="8"/>
  <c r="AJ674" i="8"/>
  <c r="AJ675" i="8"/>
  <c r="AJ676" i="8"/>
  <c r="AJ677" i="8"/>
  <c r="AJ678" i="8"/>
  <c r="AJ679" i="8"/>
  <c r="AJ680" i="8"/>
  <c r="AJ681" i="8"/>
  <c r="AJ682" i="8"/>
  <c r="AJ683" i="8"/>
  <c r="AJ684" i="8"/>
  <c r="AJ685" i="8"/>
  <c r="AJ686" i="8"/>
  <c r="AJ687" i="8"/>
  <c r="AJ688" i="8"/>
  <c r="AJ689" i="8"/>
  <c r="AJ690" i="8"/>
  <c r="AJ691" i="8"/>
  <c r="AJ692" i="8"/>
  <c r="AJ693" i="8"/>
  <c r="AJ694" i="8"/>
  <c r="AJ695" i="8"/>
  <c r="AJ696" i="8"/>
  <c r="AJ697" i="8"/>
  <c r="AJ698" i="8"/>
  <c r="AJ699" i="8"/>
  <c r="AJ700" i="8"/>
  <c r="AJ701" i="8"/>
  <c r="AJ702" i="8"/>
  <c r="AJ703" i="8"/>
  <c r="AJ704" i="8"/>
  <c r="AJ705" i="8"/>
  <c r="AJ706" i="8"/>
  <c r="AJ707" i="8"/>
  <c r="AJ708" i="8"/>
  <c r="AJ709" i="8"/>
  <c r="AJ710" i="8"/>
  <c r="AJ711" i="8"/>
  <c r="AJ712" i="8"/>
  <c r="AJ713" i="8"/>
  <c r="AJ714" i="8"/>
  <c r="AJ715" i="8"/>
  <c r="AJ716" i="8"/>
  <c r="AJ717" i="8"/>
  <c r="AJ718" i="8"/>
  <c r="AJ719" i="8"/>
  <c r="AJ720" i="8"/>
  <c r="AJ721" i="8"/>
  <c r="AJ722" i="8"/>
  <c r="AJ723" i="8"/>
  <c r="AJ724" i="8"/>
  <c r="AJ725" i="8"/>
  <c r="AJ726" i="8"/>
  <c r="AJ727" i="8"/>
  <c r="AJ728" i="8"/>
  <c r="AJ729" i="8"/>
  <c r="AJ730" i="8"/>
  <c r="AJ731" i="8"/>
  <c r="AJ732" i="8"/>
  <c r="AJ733" i="8"/>
  <c r="AJ734" i="8"/>
  <c r="AJ735" i="8"/>
  <c r="AJ736" i="8"/>
  <c r="AJ737" i="8"/>
  <c r="AJ738" i="8"/>
  <c r="AJ739" i="8"/>
  <c r="AJ740" i="8"/>
  <c r="AJ741" i="8"/>
  <c r="AJ742" i="8"/>
  <c r="AJ743" i="8"/>
  <c r="AJ744" i="8"/>
  <c r="AJ745" i="8"/>
  <c r="AJ746" i="8"/>
  <c r="AJ747" i="8"/>
  <c r="AJ748" i="8"/>
  <c r="AJ749" i="8"/>
  <c r="AJ750" i="8"/>
  <c r="AJ751" i="8"/>
  <c r="AJ752" i="8"/>
  <c r="AJ753" i="8"/>
  <c r="AJ754" i="8"/>
  <c r="AJ755" i="8"/>
  <c r="AJ756" i="8"/>
  <c r="AJ757" i="8"/>
  <c r="AJ758" i="8"/>
  <c r="AJ759" i="8"/>
  <c r="AJ760" i="8"/>
  <c r="AJ761" i="8"/>
  <c r="AJ762" i="8"/>
  <c r="AJ763" i="8"/>
  <c r="AJ764" i="8"/>
  <c r="AJ765" i="8"/>
  <c r="AJ766" i="8"/>
  <c r="AJ767" i="8"/>
  <c r="AJ768" i="8"/>
  <c r="AJ769" i="8"/>
  <c r="AJ770" i="8"/>
  <c r="AJ771" i="8"/>
  <c r="AJ772" i="8"/>
  <c r="AJ773" i="8"/>
  <c r="AJ774" i="8"/>
  <c r="AJ775" i="8"/>
  <c r="AJ776" i="8"/>
  <c r="AJ777" i="8"/>
  <c r="AJ778" i="8"/>
  <c r="AJ779" i="8"/>
  <c r="AJ780" i="8"/>
  <c r="AJ781" i="8"/>
  <c r="AJ782" i="8"/>
  <c r="AJ783" i="8"/>
  <c r="AJ784" i="8"/>
  <c r="AJ785" i="8"/>
  <c r="AJ786" i="8"/>
  <c r="AJ787" i="8"/>
  <c r="AJ788" i="8"/>
  <c r="AJ789" i="8"/>
  <c r="AJ790" i="8"/>
  <c r="AJ791" i="8"/>
  <c r="AJ792" i="8"/>
  <c r="AJ793" i="8"/>
  <c r="AJ794" i="8"/>
  <c r="AJ795" i="8"/>
  <c r="AJ796" i="8"/>
  <c r="AJ797" i="8"/>
  <c r="AJ798" i="8"/>
  <c r="AJ799" i="8"/>
  <c r="AJ800" i="8"/>
  <c r="AJ801" i="8"/>
  <c r="AJ802" i="8"/>
  <c r="AJ803" i="8"/>
  <c r="AJ804" i="8"/>
  <c r="AJ805" i="8"/>
  <c r="AJ806" i="8"/>
  <c r="AJ807" i="8"/>
  <c r="AJ808" i="8"/>
  <c r="AJ809" i="8"/>
  <c r="AJ810" i="8"/>
  <c r="AJ811" i="8"/>
  <c r="AJ812" i="8"/>
  <c r="AJ813" i="8"/>
  <c r="AJ814" i="8"/>
  <c r="AJ815" i="8"/>
  <c r="AJ816" i="8"/>
  <c r="AJ817" i="8"/>
  <c r="AJ818" i="8"/>
  <c r="AJ819" i="8"/>
  <c r="AJ820" i="8"/>
  <c r="AJ821" i="8"/>
  <c r="AJ822" i="8"/>
  <c r="AJ823" i="8"/>
  <c r="AJ824" i="8"/>
  <c r="AJ825" i="8"/>
  <c r="AJ826" i="8"/>
  <c r="AJ827" i="8"/>
  <c r="AJ828" i="8"/>
  <c r="AJ829" i="8"/>
  <c r="AJ830" i="8"/>
  <c r="AJ831" i="8"/>
  <c r="AJ832" i="8"/>
  <c r="AJ833" i="8"/>
  <c r="AJ834" i="8"/>
  <c r="AJ835" i="8"/>
  <c r="AJ836" i="8"/>
  <c r="AJ837" i="8"/>
  <c r="AJ838" i="8"/>
  <c r="AJ839" i="8"/>
  <c r="AJ840" i="8"/>
  <c r="AJ841" i="8"/>
  <c r="AJ842" i="8"/>
  <c r="AJ843" i="8"/>
  <c r="AJ844" i="8"/>
  <c r="AJ845" i="8"/>
  <c r="AJ846" i="8"/>
  <c r="AJ847" i="8"/>
  <c r="AJ848" i="8"/>
  <c r="AJ849" i="8"/>
  <c r="AJ850" i="8"/>
  <c r="AJ851" i="8"/>
  <c r="AJ852" i="8"/>
  <c r="AJ853" i="8"/>
  <c r="AJ854" i="8"/>
  <c r="AJ855" i="8"/>
  <c r="AJ856" i="8"/>
  <c r="AJ857" i="8"/>
  <c r="AJ858" i="8"/>
  <c r="AJ859" i="8"/>
  <c r="AJ860" i="8"/>
  <c r="AJ861" i="8"/>
  <c r="AJ862" i="8"/>
  <c r="AJ863" i="8"/>
  <c r="AJ864" i="8"/>
  <c r="AJ865" i="8"/>
  <c r="AJ866" i="8"/>
  <c r="AJ867" i="8"/>
  <c r="AJ868" i="8"/>
  <c r="AJ869" i="8"/>
  <c r="AJ870" i="8"/>
  <c r="AJ871" i="8"/>
  <c r="AJ872" i="8"/>
  <c r="AJ873" i="8"/>
  <c r="AJ874" i="8"/>
  <c r="AJ875" i="8"/>
  <c r="AJ876" i="8"/>
  <c r="AJ877" i="8"/>
  <c r="AJ878" i="8"/>
  <c r="AJ879" i="8"/>
  <c r="AJ880" i="8"/>
  <c r="AJ881" i="8"/>
  <c r="AJ882" i="8"/>
  <c r="AJ883" i="8"/>
  <c r="AJ884" i="8"/>
  <c r="AJ885" i="8"/>
  <c r="AJ886" i="8"/>
  <c r="AJ887" i="8"/>
  <c r="AJ888" i="8"/>
  <c r="AJ889" i="8"/>
  <c r="AJ890" i="8"/>
  <c r="AJ891" i="8"/>
  <c r="AJ892" i="8"/>
  <c r="AJ893" i="8"/>
  <c r="AJ894" i="8"/>
  <c r="AJ895" i="8"/>
  <c r="AJ896" i="8"/>
  <c r="AJ897" i="8"/>
  <c r="AJ898" i="8"/>
  <c r="AJ899" i="8"/>
  <c r="AJ900" i="8"/>
  <c r="AJ901" i="8"/>
  <c r="AJ902" i="8"/>
  <c r="AJ903" i="8"/>
  <c r="AJ904" i="8"/>
  <c r="AJ905" i="8"/>
  <c r="AJ906" i="8"/>
  <c r="AJ907" i="8"/>
  <c r="AJ908" i="8"/>
  <c r="AJ909" i="8"/>
  <c r="AJ910" i="8"/>
  <c r="AJ911" i="8"/>
  <c r="AJ912" i="8"/>
  <c r="AJ913" i="8"/>
  <c r="AJ914" i="8"/>
  <c r="AJ915" i="8"/>
  <c r="AJ916" i="8"/>
  <c r="AJ917" i="8"/>
  <c r="AJ918" i="8"/>
  <c r="AJ919" i="8"/>
  <c r="AJ920" i="8"/>
  <c r="AJ921" i="8"/>
  <c r="AJ922" i="8"/>
  <c r="AJ923" i="8"/>
  <c r="AJ924" i="8"/>
  <c r="AJ925" i="8"/>
  <c r="AJ926" i="8"/>
  <c r="AJ927" i="8"/>
  <c r="AJ928" i="8"/>
  <c r="AJ929" i="8"/>
  <c r="AJ930" i="8"/>
  <c r="AJ931" i="8"/>
  <c r="AJ932" i="8"/>
  <c r="AJ933" i="8"/>
  <c r="AJ934" i="8"/>
  <c r="AJ935" i="8"/>
  <c r="AJ936" i="8"/>
  <c r="AJ937" i="8"/>
  <c r="AJ938" i="8"/>
  <c r="AJ939" i="8"/>
  <c r="AJ940" i="8"/>
  <c r="AJ941" i="8"/>
  <c r="AJ942" i="8"/>
  <c r="AJ943" i="8"/>
  <c r="AJ944" i="8"/>
  <c r="AJ945" i="8"/>
  <c r="AJ946" i="8"/>
  <c r="AJ947" i="8"/>
  <c r="AJ948" i="8"/>
  <c r="AJ949" i="8"/>
  <c r="AJ950" i="8"/>
  <c r="AJ951" i="8"/>
  <c r="AJ952" i="8"/>
  <c r="AJ953" i="8"/>
  <c r="AJ954" i="8"/>
  <c r="AJ955" i="8"/>
  <c r="AJ956" i="8"/>
  <c r="AJ957" i="8"/>
  <c r="AJ958" i="8"/>
  <c r="AJ959" i="8"/>
  <c r="AJ960" i="8"/>
  <c r="AJ961" i="8"/>
  <c r="AJ962" i="8"/>
  <c r="AJ963" i="8"/>
  <c r="AJ964" i="8"/>
  <c r="AJ965" i="8"/>
  <c r="AJ966" i="8"/>
  <c r="AJ967" i="8"/>
  <c r="AJ968" i="8"/>
  <c r="AJ969" i="8"/>
  <c r="AJ970" i="8"/>
  <c r="AJ971" i="8"/>
  <c r="AJ972" i="8"/>
  <c r="AJ973" i="8"/>
  <c r="AJ974" i="8"/>
  <c r="AJ975" i="8"/>
  <c r="AJ976" i="8"/>
  <c r="AJ977" i="8"/>
  <c r="AJ978" i="8"/>
  <c r="AJ979" i="8"/>
  <c r="AJ980" i="8"/>
  <c r="AJ981" i="8"/>
  <c r="AJ982" i="8"/>
  <c r="AJ983" i="8"/>
  <c r="AJ984" i="8"/>
  <c r="AJ985" i="8"/>
  <c r="AJ986" i="8"/>
  <c r="AJ987" i="8"/>
  <c r="AJ988" i="8"/>
  <c r="AJ989" i="8"/>
  <c r="AJ990" i="8"/>
  <c r="AJ991" i="8"/>
  <c r="AJ992" i="8"/>
  <c r="AJ993" i="8"/>
  <c r="AJ994" i="8"/>
  <c r="AJ995" i="8"/>
  <c r="AJ996" i="8"/>
  <c r="AJ997" i="8"/>
  <c r="AJ998" i="8"/>
  <c r="AJ999" i="8"/>
  <c r="AJ1000" i="8"/>
  <c r="AJ1001" i="8"/>
  <c r="AJ1002" i="8"/>
  <c r="AJ1003" i="8"/>
  <c r="AJ1004" i="8"/>
  <c r="AJ1005" i="8"/>
  <c r="AJ1006" i="8"/>
  <c r="AJ1007" i="8"/>
  <c r="AJ1008" i="8"/>
  <c r="AJ1009" i="8"/>
  <c r="AJ1010" i="8"/>
  <c r="AJ1011" i="8"/>
  <c r="AJ1012" i="8"/>
  <c r="AJ1013" i="8"/>
  <c r="AJ1014" i="8"/>
  <c r="AJ1015" i="8"/>
  <c r="AJ1016" i="8"/>
  <c r="AJ1017" i="8"/>
  <c r="AJ1018" i="8"/>
  <c r="AJ1019" i="8"/>
  <c r="AJ1020" i="8"/>
  <c r="AJ1021" i="8"/>
  <c r="AJ1022" i="8"/>
  <c r="AJ1023" i="8"/>
  <c r="AJ1024" i="8"/>
  <c r="AJ1025" i="8"/>
  <c r="AJ1026" i="8"/>
  <c r="AJ1027" i="8"/>
  <c r="AJ1028" i="8"/>
  <c r="AJ1029" i="8"/>
  <c r="AJ1030" i="8"/>
  <c r="AJ1031" i="8"/>
  <c r="AJ1032" i="8"/>
  <c r="AJ1033" i="8"/>
  <c r="AJ1034" i="8"/>
  <c r="AJ1035" i="8"/>
  <c r="AJ1036" i="8"/>
  <c r="AJ1037" i="8"/>
  <c r="AJ1038" i="8"/>
  <c r="AJ1039" i="8"/>
  <c r="AJ1040" i="8"/>
  <c r="AJ1041" i="8"/>
  <c r="AJ1042" i="8"/>
  <c r="AJ1043" i="8"/>
  <c r="AJ1044" i="8"/>
  <c r="AJ1045" i="8"/>
  <c r="AJ1046" i="8"/>
  <c r="AJ1047" i="8"/>
  <c r="AJ1048" i="8"/>
  <c r="AJ1049" i="8"/>
  <c r="AJ1050" i="8"/>
  <c r="AJ1051" i="8"/>
  <c r="AJ1052" i="8"/>
  <c r="AJ1053" i="8"/>
  <c r="AJ1054" i="8"/>
  <c r="AJ1055" i="8"/>
  <c r="AJ1056" i="8"/>
  <c r="AJ1057" i="8"/>
  <c r="AJ1058" i="8"/>
  <c r="AJ1059" i="8"/>
  <c r="AJ1060" i="8"/>
  <c r="AJ1061" i="8"/>
  <c r="AJ1062" i="8"/>
  <c r="AJ1063" i="8"/>
  <c r="AJ1064" i="8"/>
  <c r="AJ1065" i="8"/>
  <c r="AJ1066" i="8"/>
  <c r="AJ1067" i="8"/>
  <c r="AJ1068" i="8"/>
  <c r="AJ1069" i="8"/>
  <c r="AJ1070" i="8"/>
  <c r="AJ1071" i="8"/>
  <c r="AJ1072" i="8"/>
  <c r="AJ1073" i="8"/>
  <c r="AJ1074" i="8"/>
  <c r="AJ1075" i="8"/>
  <c r="AJ1076" i="8"/>
  <c r="AJ1077" i="8"/>
  <c r="AJ1078" i="8"/>
  <c r="AJ1079" i="8"/>
  <c r="AJ1080" i="8"/>
  <c r="AJ1081" i="8"/>
  <c r="AJ1082" i="8"/>
  <c r="AJ1083" i="8"/>
  <c r="AJ1084" i="8"/>
  <c r="AJ1085" i="8"/>
  <c r="AJ1086" i="8"/>
  <c r="AJ1087" i="8"/>
  <c r="AJ1088" i="8"/>
  <c r="AJ1089" i="8"/>
  <c r="AJ1090" i="8"/>
  <c r="AJ1091" i="8"/>
  <c r="AJ1092" i="8"/>
  <c r="AJ1093" i="8"/>
  <c r="AJ1094" i="8"/>
  <c r="AJ1095" i="8"/>
  <c r="AJ1096" i="8"/>
  <c r="AJ1097" i="8"/>
  <c r="AJ1098" i="8"/>
  <c r="AJ1099" i="8"/>
  <c r="AJ1100" i="8"/>
  <c r="AJ1101" i="8"/>
  <c r="AJ1102" i="8"/>
  <c r="AJ1103" i="8"/>
  <c r="AJ1104" i="8"/>
  <c r="AJ1105" i="8"/>
  <c r="AJ1106" i="8"/>
  <c r="AJ1107" i="8"/>
  <c r="AJ1108" i="8"/>
  <c r="AJ1109" i="8"/>
  <c r="AJ1110" i="8"/>
  <c r="AJ1111" i="8"/>
  <c r="AJ1112" i="8"/>
  <c r="AJ1113" i="8"/>
  <c r="AJ1114" i="8"/>
  <c r="AJ1115" i="8"/>
  <c r="AJ1116" i="8"/>
  <c r="AJ1117" i="8"/>
  <c r="AJ1118" i="8"/>
  <c r="AJ1119" i="8"/>
  <c r="AJ1120" i="8"/>
  <c r="AJ1121" i="8"/>
  <c r="AJ1122" i="8"/>
  <c r="AJ1123" i="8"/>
  <c r="AJ1175" i="8"/>
  <c r="AJ1176" i="8"/>
  <c r="AJ1177" i="8"/>
  <c r="AJ1178" i="8"/>
  <c r="AJ1179" i="8"/>
  <c r="AJ1180" i="8"/>
  <c r="AJ1181" i="8"/>
  <c r="AJ1182" i="8"/>
  <c r="AJ1183" i="8"/>
  <c r="AJ1184" i="8"/>
  <c r="AJ1185" i="8"/>
  <c r="AJ1186" i="8"/>
  <c r="AJ1187" i="8"/>
  <c r="AJ1188" i="8"/>
  <c r="AJ1189" i="8"/>
  <c r="AJ1190" i="8"/>
  <c r="AJ1191" i="8"/>
  <c r="AJ1192" i="8"/>
  <c r="AJ1193" i="8"/>
  <c r="AJ1194" i="8"/>
  <c r="AJ1195" i="8"/>
  <c r="AJ1196" i="8"/>
  <c r="AJ1197" i="8"/>
  <c r="AJ1198" i="8"/>
  <c r="AJ1199" i="8"/>
  <c r="AJ1200" i="8"/>
  <c r="AJ1201" i="8"/>
  <c r="AJ1202" i="8"/>
  <c r="AJ1203" i="8"/>
  <c r="AJ1204" i="8"/>
  <c r="AJ1205" i="8"/>
  <c r="AJ1206" i="8"/>
  <c r="AJ1207" i="8"/>
  <c r="AJ1208" i="8"/>
  <c r="AJ1209" i="8"/>
  <c r="AJ1210" i="8"/>
  <c r="AJ1211" i="8"/>
  <c r="AJ1212" i="8"/>
  <c r="AJ1213" i="8"/>
  <c r="AJ1214" i="8"/>
  <c r="AJ1215" i="8"/>
  <c r="AJ1216" i="8"/>
  <c r="AJ1217" i="8"/>
  <c r="AJ1218" i="8"/>
  <c r="AJ1219" i="8"/>
  <c r="AJ1220" i="8"/>
  <c r="AJ1221" i="8"/>
  <c r="AJ1222" i="8"/>
  <c r="AJ1223" i="8"/>
  <c r="AJ1224" i="8"/>
  <c r="AJ1225" i="8"/>
  <c r="AJ1277" i="8"/>
  <c r="AJ1278" i="8"/>
  <c r="AJ1279" i="8"/>
  <c r="AJ1280" i="8"/>
  <c r="AJ1281" i="8"/>
  <c r="AJ1282" i="8"/>
  <c r="AJ1283" i="8"/>
  <c r="AJ1284" i="8"/>
  <c r="AJ1285" i="8"/>
  <c r="AJ1286" i="8"/>
  <c r="AJ1287" i="8"/>
  <c r="AJ1288" i="8"/>
  <c r="AJ1289" i="8"/>
  <c r="AJ1290" i="8"/>
  <c r="AJ1291" i="8"/>
  <c r="AJ1292" i="8"/>
  <c r="AJ1293" i="8"/>
  <c r="AJ1294" i="8"/>
  <c r="AJ1295" i="8"/>
  <c r="AJ1296" i="8"/>
  <c r="AJ1297" i="8"/>
  <c r="AJ1298" i="8"/>
  <c r="AJ1299" i="8"/>
  <c r="AJ1300" i="8"/>
  <c r="AJ1301" i="8"/>
  <c r="AJ1302" i="8"/>
  <c r="AJ1303" i="8"/>
  <c r="AJ1304" i="8"/>
  <c r="AJ1305" i="8"/>
  <c r="AJ1306" i="8"/>
  <c r="AJ1307" i="8"/>
  <c r="AJ1308" i="8"/>
  <c r="AJ1309" i="8"/>
  <c r="AJ1310" i="8"/>
  <c r="AJ1311" i="8"/>
  <c r="AJ1312" i="8"/>
  <c r="AJ1313" i="8"/>
  <c r="AJ1314" i="8"/>
  <c r="AJ1315" i="8"/>
  <c r="AJ1316" i="8"/>
  <c r="AJ1317" i="8"/>
  <c r="AJ1318" i="8"/>
  <c r="AJ1319" i="8"/>
  <c r="AJ1320" i="8"/>
  <c r="AJ1321" i="8"/>
  <c r="AJ1322" i="8"/>
  <c r="AJ1323" i="8"/>
  <c r="AJ1324" i="8"/>
  <c r="AJ1325" i="8"/>
  <c r="AJ1326" i="8"/>
  <c r="AJ1327" i="8"/>
  <c r="AJ2" i="8"/>
  <c r="L3" i="4"/>
  <c r="E36" i="9" l="1"/>
  <c r="G36" i="9"/>
  <c r="F36" i="9" s="1"/>
  <c r="L1382" i="8"/>
  <c r="AD1382" i="8" s="1"/>
  <c r="L1484" i="8"/>
  <c r="AD1484" i="8" s="1"/>
  <c r="L1433" i="8"/>
  <c r="AD1433" i="8" s="1"/>
  <c r="I37" i="9"/>
  <c r="E1484" i="8"/>
  <c r="E1433" i="8"/>
  <c r="E1382" i="8"/>
  <c r="Z1485" i="8"/>
  <c r="Z1434" i="8"/>
  <c r="Z1383" i="8"/>
  <c r="AH1383" i="8"/>
  <c r="K1383" i="8"/>
  <c r="F1383" i="8" s="1"/>
  <c r="G1383" i="8"/>
  <c r="B1383" i="8" s="1"/>
  <c r="AF1383" i="8"/>
  <c r="AA1383" i="8" s="1"/>
  <c r="I1384" i="8"/>
  <c r="AG1383" i="8"/>
  <c r="M1434" i="8"/>
  <c r="M1485" i="8"/>
  <c r="M1383" i="8"/>
  <c r="A1382" i="8"/>
  <c r="K1434" i="8"/>
  <c r="F1434" i="8" s="1"/>
  <c r="AH1434" i="8"/>
  <c r="AF1434" i="8"/>
  <c r="AA1434" i="8" s="1"/>
  <c r="G1434" i="8"/>
  <c r="B1434" i="8" s="1"/>
  <c r="AG1434" i="8"/>
  <c r="I1435" i="8"/>
  <c r="A1433" i="8"/>
  <c r="AF1485" i="8"/>
  <c r="AA1485" i="8" s="1"/>
  <c r="G1485" i="8"/>
  <c r="B1485" i="8" s="1"/>
  <c r="K1485" i="8"/>
  <c r="F1485" i="8" s="1"/>
  <c r="AG1485" i="8"/>
  <c r="AH1485" i="8"/>
  <c r="I1486" i="8"/>
  <c r="A1484" i="8"/>
  <c r="I2" i="8"/>
  <c r="M2" i="8" l="1"/>
  <c r="G37" i="9"/>
  <c r="F37" i="9" s="1"/>
  <c r="E37" i="9"/>
  <c r="L1383" i="8"/>
  <c r="AD1383" i="8" s="1"/>
  <c r="L1434" i="8"/>
  <c r="AD1434" i="8" s="1"/>
  <c r="L1485" i="8"/>
  <c r="AD1485" i="8" s="1"/>
  <c r="I38" i="9"/>
  <c r="E1383" i="8"/>
  <c r="E1485" i="8"/>
  <c r="E1434" i="8"/>
  <c r="I3" i="8"/>
  <c r="Z1435" i="8"/>
  <c r="Z1486" i="8"/>
  <c r="Z1384" i="8"/>
  <c r="X2" i="8"/>
  <c r="W2" i="8"/>
  <c r="AH2" i="8"/>
  <c r="M1384" i="8"/>
  <c r="I1385" i="8"/>
  <c r="K1384" i="8"/>
  <c r="F1384" i="8" s="1"/>
  <c r="AH1384" i="8"/>
  <c r="AF1384" i="8"/>
  <c r="AA1384" i="8" s="1"/>
  <c r="AG1384" i="8"/>
  <c r="G1384" i="8"/>
  <c r="B1384" i="8" s="1"/>
  <c r="A1383" i="8"/>
  <c r="M1435" i="8"/>
  <c r="M1486" i="8"/>
  <c r="AF1435" i="8"/>
  <c r="AA1435" i="8" s="1"/>
  <c r="K1435" i="8"/>
  <c r="F1435" i="8" s="1"/>
  <c r="A1434" i="8"/>
  <c r="AG1435" i="8"/>
  <c r="AH1435" i="8"/>
  <c r="I1436" i="8"/>
  <c r="G1435" i="8"/>
  <c r="B1435" i="8" s="1"/>
  <c r="K1486" i="8"/>
  <c r="F1486" i="8" s="1"/>
  <c r="A1485" i="8"/>
  <c r="G1486" i="8"/>
  <c r="B1486" i="8" s="1"/>
  <c r="AG1486" i="8"/>
  <c r="AH1486" i="8"/>
  <c r="AF1486" i="8"/>
  <c r="AA1486" i="8" s="1"/>
  <c r="I1487" i="8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721" i="8"/>
  <c r="Y722" i="8"/>
  <c r="Y723" i="8"/>
  <c r="Y724" i="8"/>
  <c r="Y725" i="8"/>
  <c r="Y726" i="8"/>
  <c r="Y727" i="8"/>
  <c r="Y728" i="8"/>
  <c r="Y729" i="8"/>
  <c r="Y730" i="8"/>
  <c r="Y731" i="8"/>
  <c r="Y732" i="8"/>
  <c r="Y733" i="8"/>
  <c r="Y734" i="8"/>
  <c r="Y735" i="8"/>
  <c r="Y736" i="8"/>
  <c r="Y737" i="8"/>
  <c r="Y738" i="8"/>
  <c r="Y739" i="8"/>
  <c r="Y740" i="8"/>
  <c r="Y741" i="8"/>
  <c r="Y742" i="8"/>
  <c r="Y743" i="8"/>
  <c r="Y744" i="8"/>
  <c r="Y745" i="8"/>
  <c r="Y746" i="8"/>
  <c r="Y747" i="8"/>
  <c r="Y748" i="8"/>
  <c r="Y749" i="8"/>
  <c r="Y750" i="8"/>
  <c r="Y751" i="8"/>
  <c r="Y752" i="8"/>
  <c r="Y753" i="8"/>
  <c r="Y754" i="8"/>
  <c r="Y755" i="8"/>
  <c r="Y756" i="8"/>
  <c r="Y757" i="8"/>
  <c r="Y758" i="8"/>
  <c r="Y759" i="8"/>
  <c r="Y760" i="8"/>
  <c r="Y761" i="8"/>
  <c r="Y762" i="8"/>
  <c r="Y763" i="8"/>
  <c r="Y764" i="8"/>
  <c r="Y765" i="8"/>
  <c r="Y766" i="8"/>
  <c r="Y767" i="8"/>
  <c r="Y768" i="8"/>
  <c r="Y769" i="8"/>
  <c r="Y770" i="8"/>
  <c r="Y771" i="8"/>
  <c r="Y772" i="8"/>
  <c r="Y773" i="8"/>
  <c r="Y774" i="8"/>
  <c r="Y775" i="8"/>
  <c r="Y776" i="8"/>
  <c r="Y777" i="8"/>
  <c r="Y778" i="8"/>
  <c r="Y779" i="8"/>
  <c r="Y780" i="8"/>
  <c r="Y781" i="8"/>
  <c r="Y782" i="8"/>
  <c r="Y783" i="8"/>
  <c r="Y784" i="8"/>
  <c r="Y785" i="8"/>
  <c r="Y786" i="8"/>
  <c r="Y787" i="8"/>
  <c r="Y788" i="8"/>
  <c r="Y789" i="8"/>
  <c r="Y790" i="8"/>
  <c r="Y791" i="8"/>
  <c r="Y792" i="8"/>
  <c r="Y793" i="8"/>
  <c r="Y794" i="8"/>
  <c r="Y795" i="8"/>
  <c r="Y796" i="8"/>
  <c r="Y797" i="8"/>
  <c r="Y798" i="8"/>
  <c r="Y799" i="8"/>
  <c r="Y800" i="8"/>
  <c r="Y801" i="8"/>
  <c r="Y802" i="8"/>
  <c r="Y803" i="8"/>
  <c r="Y804" i="8"/>
  <c r="Y805" i="8"/>
  <c r="Y806" i="8"/>
  <c r="Y807" i="8"/>
  <c r="Y808" i="8"/>
  <c r="Y809" i="8"/>
  <c r="Y810" i="8"/>
  <c r="Y811" i="8"/>
  <c r="Y812" i="8"/>
  <c r="Y813" i="8"/>
  <c r="Y814" i="8"/>
  <c r="Y815" i="8"/>
  <c r="Y816" i="8"/>
  <c r="Y817" i="8"/>
  <c r="Y818" i="8"/>
  <c r="Y819" i="8"/>
  <c r="Y820" i="8"/>
  <c r="Y821" i="8"/>
  <c r="Y822" i="8"/>
  <c r="Y823" i="8"/>
  <c r="Y824" i="8"/>
  <c r="Y825" i="8"/>
  <c r="Y826" i="8"/>
  <c r="Y827" i="8"/>
  <c r="Y828" i="8"/>
  <c r="Y829" i="8"/>
  <c r="Y830" i="8"/>
  <c r="Y831" i="8"/>
  <c r="Y832" i="8"/>
  <c r="Y833" i="8"/>
  <c r="Y834" i="8"/>
  <c r="Y835" i="8"/>
  <c r="Y836" i="8"/>
  <c r="Y837" i="8"/>
  <c r="Y838" i="8"/>
  <c r="Y839" i="8"/>
  <c r="Y840" i="8"/>
  <c r="Y841" i="8"/>
  <c r="Y842" i="8"/>
  <c r="Y843" i="8"/>
  <c r="Y844" i="8"/>
  <c r="Y845" i="8"/>
  <c r="Y846" i="8"/>
  <c r="Y847" i="8"/>
  <c r="Y848" i="8"/>
  <c r="Y849" i="8"/>
  <c r="Y850" i="8"/>
  <c r="Y851" i="8"/>
  <c r="Y852" i="8"/>
  <c r="Y853" i="8"/>
  <c r="Y854" i="8"/>
  <c r="Y855" i="8"/>
  <c r="Y856" i="8"/>
  <c r="Y857" i="8"/>
  <c r="Y858" i="8"/>
  <c r="Y859" i="8"/>
  <c r="Y860" i="8"/>
  <c r="Y861" i="8"/>
  <c r="Y862" i="8"/>
  <c r="Y863" i="8"/>
  <c r="Y864" i="8"/>
  <c r="Y865" i="8"/>
  <c r="Y866" i="8"/>
  <c r="Y867" i="8"/>
  <c r="Y868" i="8"/>
  <c r="Y869" i="8"/>
  <c r="Y870" i="8"/>
  <c r="Y871" i="8"/>
  <c r="Y872" i="8"/>
  <c r="Y873" i="8"/>
  <c r="Y874" i="8"/>
  <c r="Y875" i="8"/>
  <c r="Y876" i="8"/>
  <c r="Y877" i="8"/>
  <c r="Y878" i="8"/>
  <c r="Y879" i="8"/>
  <c r="Y880" i="8"/>
  <c r="Y881" i="8"/>
  <c r="Y882" i="8"/>
  <c r="Y883" i="8"/>
  <c r="Y884" i="8"/>
  <c r="Y885" i="8"/>
  <c r="Y886" i="8"/>
  <c r="Y887" i="8"/>
  <c r="Y888" i="8"/>
  <c r="Y889" i="8"/>
  <c r="Y890" i="8"/>
  <c r="Y891" i="8"/>
  <c r="Y892" i="8"/>
  <c r="Y893" i="8"/>
  <c r="Y894" i="8"/>
  <c r="Y895" i="8"/>
  <c r="Y896" i="8"/>
  <c r="Y897" i="8"/>
  <c r="Y898" i="8"/>
  <c r="Y899" i="8"/>
  <c r="Y900" i="8"/>
  <c r="Y901" i="8"/>
  <c r="Y902" i="8"/>
  <c r="Y903" i="8"/>
  <c r="Y904" i="8"/>
  <c r="Y905" i="8"/>
  <c r="Y906" i="8"/>
  <c r="Y907" i="8"/>
  <c r="Y908" i="8"/>
  <c r="Y909" i="8"/>
  <c r="Y910" i="8"/>
  <c r="Y911" i="8"/>
  <c r="Y912" i="8"/>
  <c r="Y913" i="8"/>
  <c r="Y914" i="8"/>
  <c r="Y915" i="8"/>
  <c r="Y916" i="8"/>
  <c r="Y917" i="8"/>
  <c r="Y918" i="8"/>
  <c r="Y919" i="8"/>
  <c r="Y920" i="8"/>
  <c r="Y921" i="8"/>
  <c r="Y922" i="8"/>
  <c r="Y923" i="8"/>
  <c r="Y924" i="8"/>
  <c r="Y925" i="8"/>
  <c r="Y926" i="8"/>
  <c r="Y927" i="8"/>
  <c r="Y928" i="8"/>
  <c r="Y929" i="8"/>
  <c r="Y930" i="8"/>
  <c r="Y931" i="8"/>
  <c r="Y932" i="8"/>
  <c r="Y933" i="8"/>
  <c r="Y934" i="8"/>
  <c r="Y935" i="8"/>
  <c r="Y936" i="8"/>
  <c r="Y937" i="8"/>
  <c r="Y938" i="8"/>
  <c r="Y939" i="8"/>
  <c r="Y940" i="8"/>
  <c r="Y941" i="8"/>
  <c r="Y942" i="8"/>
  <c r="Y943" i="8"/>
  <c r="Y944" i="8"/>
  <c r="Y945" i="8"/>
  <c r="Y946" i="8"/>
  <c r="Y947" i="8"/>
  <c r="Y948" i="8"/>
  <c r="Y949" i="8"/>
  <c r="Y950" i="8"/>
  <c r="Y951" i="8"/>
  <c r="Y952" i="8"/>
  <c r="Y953" i="8"/>
  <c r="Y954" i="8"/>
  <c r="Y955" i="8"/>
  <c r="Y956" i="8"/>
  <c r="Y957" i="8"/>
  <c r="Y958" i="8"/>
  <c r="Y959" i="8"/>
  <c r="Y960" i="8"/>
  <c r="Y961" i="8"/>
  <c r="Y962" i="8"/>
  <c r="Y963" i="8"/>
  <c r="Y964" i="8"/>
  <c r="Y965" i="8"/>
  <c r="Y966" i="8"/>
  <c r="Y967" i="8"/>
  <c r="Y968" i="8"/>
  <c r="Y969" i="8"/>
  <c r="Y970" i="8"/>
  <c r="Y971" i="8"/>
  <c r="Y972" i="8"/>
  <c r="Y973" i="8"/>
  <c r="Y974" i="8"/>
  <c r="Y975" i="8"/>
  <c r="Y976" i="8"/>
  <c r="Y977" i="8"/>
  <c r="Y978" i="8"/>
  <c r="Y979" i="8"/>
  <c r="Y980" i="8"/>
  <c r="Y981" i="8"/>
  <c r="Y982" i="8"/>
  <c r="Y983" i="8"/>
  <c r="Y984" i="8"/>
  <c r="Y985" i="8"/>
  <c r="Y986" i="8"/>
  <c r="Y987" i="8"/>
  <c r="Y988" i="8"/>
  <c r="Y989" i="8"/>
  <c r="Y990" i="8"/>
  <c r="Y991" i="8"/>
  <c r="Y992" i="8"/>
  <c r="Y993" i="8"/>
  <c r="Y994" i="8"/>
  <c r="Y995" i="8"/>
  <c r="Y996" i="8"/>
  <c r="Y997" i="8"/>
  <c r="Y998" i="8"/>
  <c r="Y999" i="8"/>
  <c r="Y1000" i="8"/>
  <c r="Y1001" i="8"/>
  <c r="Y1002" i="8"/>
  <c r="Y1003" i="8"/>
  <c r="Y1004" i="8"/>
  <c r="Y1005" i="8"/>
  <c r="Y1006" i="8"/>
  <c r="Y1007" i="8"/>
  <c r="Y1008" i="8"/>
  <c r="Y1009" i="8"/>
  <c r="Y1010" i="8"/>
  <c r="Y1011" i="8"/>
  <c r="Y1012" i="8"/>
  <c r="Y1013" i="8"/>
  <c r="Y1014" i="8"/>
  <c r="Y1015" i="8"/>
  <c r="Y1016" i="8"/>
  <c r="Y1017" i="8"/>
  <c r="Y1018" i="8"/>
  <c r="Y1019" i="8"/>
  <c r="Y1020" i="8"/>
  <c r="Y1021" i="8"/>
  <c r="Y1022" i="8"/>
  <c r="Y1023" i="8"/>
  <c r="Y1024" i="8"/>
  <c r="Y1025" i="8"/>
  <c r="Y1026" i="8"/>
  <c r="Y1027" i="8"/>
  <c r="Y1028" i="8"/>
  <c r="Y1029" i="8"/>
  <c r="Y1030" i="8"/>
  <c r="Y1031" i="8"/>
  <c r="Y1032" i="8"/>
  <c r="Y1033" i="8"/>
  <c r="Y1034" i="8"/>
  <c r="Y1035" i="8"/>
  <c r="Y1036" i="8"/>
  <c r="Y1037" i="8"/>
  <c r="Y1038" i="8"/>
  <c r="Y1039" i="8"/>
  <c r="Y1040" i="8"/>
  <c r="Y1041" i="8"/>
  <c r="Y1042" i="8"/>
  <c r="Y1043" i="8"/>
  <c r="Y1044" i="8"/>
  <c r="Y1045" i="8"/>
  <c r="Y1046" i="8"/>
  <c r="Y1047" i="8"/>
  <c r="Y1048" i="8"/>
  <c r="Y1049" i="8"/>
  <c r="Y1050" i="8"/>
  <c r="Y1051" i="8"/>
  <c r="Y1052" i="8"/>
  <c r="Y1053" i="8"/>
  <c r="Y1054" i="8"/>
  <c r="Y1055" i="8"/>
  <c r="Y1056" i="8"/>
  <c r="Y1057" i="8"/>
  <c r="Y1058" i="8"/>
  <c r="Y1059" i="8"/>
  <c r="Y1060" i="8"/>
  <c r="Y1061" i="8"/>
  <c r="Y1062" i="8"/>
  <c r="Y1063" i="8"/>
  <c r="Y1064" i="8"/>
  <c r="Y1065" i="8"/>
  <c r="Y1066" i="8"/>
  <c r="Y1067" i="8"/>
  <c r="Y1068" i="8"/>
  <c r="Y1069" i="8"/>
  <c r="Y1070" i="8"/>
  <c r="Y1071" i="8"/>
  <c r="Y1072" i="8"/>
  <c r="Y1073" i="8"/>
  <c r="Y1074" i="8"/>
  <c r="Y1075" i="8"/>
  <c r="Y1076" i="8"/>
  <c r="Y1077" i="8"/>
  <c r="Y1078" i="8"/>
  <c r="Y1079" i="8"/>
  <c r="Y1080" i="8"/>
  <c r="Y1081" i="8"/>
  <c r="Y1082" i="8"/>
  <c r="Y1083" i="8"/>
  <c r="Y1084" i="8"/>
  <c r="Y1085" i="8"/>
  <c r="Y1086" i="8"/>
  <c r="Y1087" i="8"/>
  <c r="Y1088" i="8"/>
  <c r="Y1089" i="8"/>
  <c r="Y1090" i="8"/>
  <c r="Y1091" i="8"/>
  <c r="Y1092" i="8"/>
  <c r="Y1093" i="8"/>
  <c r="Y1094" i="8"/>
  <c r="Y1095" i="8"/>
  <c r="Y1096" i="8"/>
  <c r="Y1097" i="8"/>
  <c r="Y1098" i="8"/>
  <c r="Y1099" i="8"/>
  <c r="Y1100" i="8"/>
  <c r="Y1101" i="8"/>
  <c r="Y1102" i="8"/>
  <c r="Y1103" i="8"/>
  <c r="Y1104" i="8"/>
  <c r="Y1105" i="8"/>
  <c r="Y1106" i="8"/>
  <c r="Y1107" i="8"/>
  <c r="Y1108" i="8"/>
  <c r="Y1109" i="8"/>
  <c r="Y1110" i="8"/>
  <c r="Y1111" i="8"/>
  <c r="Y1112" i="8"/>
  <c r="Y1113" i="8"/>
  <c r="Y1114" i="8"/>
  <c r="Y1115" i="8"/>
  <c r="Y1116" i="8"/>
  <c r="Y1117" i="8"/>
  <c r="Y1118" i="8"/>
  <c r="Y1119" i="8"/>
  <c r="Y1120" i="8"/>
  <c r="Y1121" i="8"/>
  <c r="Y1122" i="8"/>
  <c r="Y1123" i="8"/>
  <c r="Y1124" i="8"/>
  <c r="Y1125" i="8"/>
  <c r="Y1126" i="8"/>
  <c r="Y1127" i="8"/>
  <c r="Y1128" i="8"/>
  <c r="Y1129" i="8"/>
  <c r="Y1130" i="8"/>
  <c r="Y1131" i="8"/>
  <c r="Y1132" i="8"/>
  <c r="Y1133" i="8"/>
  <c r="Y1134" i="8"/>
  <c r="Y1135" i="8"/>
  <c r="Y1136" i="8"/>
  <c r="Y1137" i="8"/>
  <c r="Y1138" i="8"/>
  <c r="Y1139" i="8"/>
  <c r="Y1140" i="8"/>
  <c r="Y1141" i="8"/>
  <c r="Y1142" i="8"/>
  <c r="Y1143" i="8"/>
  <c r="Y1144" i="8"/>
  <c r="Y1145" i="8"/>
  <c r="Y1146" i="8"/>
  <c r="Y1147" i="8"/>
  <c r="Y1148" i="8"/>
  <c r="Y1149" i="8"/>
  <c r="Y1150" i="8"/>
  <c r="Y1151" i="8"/>
  <c r="Y1152" i="8"/>
  <c r="Y1153" i="8"/>
  <c r="Y1154" i="8"/>
  <c r="Y1155" i="8"/>
  <c r="Y1156" i="8"/>
  <c r="Y1157" i="8"/>
  <c r="Y1158" i="8"/>
  <c r="Y1159" i="8"/>
  <c r="Y1160" i="8"/>
  <c r="Y1161" i="8"/>
  <c r="Y1162" i="8"/>
  <c r="Y1163" i="8"/>
  <c r="Y1164" i="8"/>
  <c r="Y1165" i="8"/>
  <c r="Y1166" i="8"/>
  <c r="Y1167" i="8"/>
  <c r="Y1168" i="8"/>
  <c r="Y1169" i="8"/>
  <c r="Y1170" i="8"/>
  <c r="Y1171" i="8"/>
  <c r="Y1172" i="8"/>
  <c r="Y1173" i="8"/>
  <c r="Y1174" i="8"/>
  <c r="Y1175" i="8"/>
  <c r="Y1176" i="8"/>
  <c r="Y1177" i="8"/>
  <c r="Y1178" i="8"/>
  <c r="Y1179" i="8"/>
  <c r="Y1180" i="8"/>
  <c r="Y1181" i="8"/>
  <c r="Y1182" i="8"/>
  <c r="Y1183" i="8"/>
  <c r="Y1184" i="8"/>
  <c r="Y1185" i="8"/>
  <c r="Y1186" i="8"/>
  <c r="Y1187" i="8"/>
  <c r="Y1188" i="8"/>
  <c r="Y1189" i="8"/>
  <c r="Y1190" i="8"/>
  <c r="Y1191" i="8"/>
  <c r="Y1192" i="8"/>
  <c r="Y1193" i="8"/>
  <c r="Y1194" i="8"/>
  <c r="Y1195" i="8"/>
  <c r="Y1196" i="8"/>
  <c r="Y1197" i="8"/>
  <c r="Y1198" i="8"/>
  <c r="Y1199" i="8"/>
  <c r="Y1200" i="8"/>
  <c r="Y1201" i="8"/>
  <c r="Y1202" i="8"/>
  <c r="Y1203" i="8"/>
  <c r="Y1204" i="8"/>
  <c r="Y1205" i="8"/>
  <c r="Y1206" i="8"/>
  <c r="Y1207" i="8"/>
  <c r="Y1208" i="8"/>
  <c r="Y1209" i="8"/>
  <c r="Y1210" i="8"/>
  <c r="Y1211" i="8"/>
  <c r="Y1212" i="8"/>
  <c r="Y1213" i="8"/>
  <c r="Y1214" i="8"/>
  <c r="Y1215" i="8"/>
  <c r="Y1216" i="8"/>
  <c r="Y1217" i="8"/>
  <c r="Y1218" i="8"/>
  <c r="Y1219" i="8"/>
  <c r="Y1220" i="8"/>
  <c r="Y1221" i="8"/>
  <c r="Y1222" i="8"/>
  <c r="Y1223" i="8"/>
  <c r="Y1224" i="8"/>
  <c r="Y1225" i="8"/>
  <c r="Y1226" i="8"/>
  <c r="Y1227" i="8"/>
  <c r="Y1228" i="8"/>
  <c r="Y1229" i="8"/>
  <c r="Y1230" i="8"/>
  <c r="Y1231" i="8"/>
  <c r="Y1232" i="8"/>
  <c r="Y1233" i="8"/>
  <c r="Y1234" i="8"/>
  <c r="Y1235" i="8"/>
  <c r="Y1236" i="8"/>
  <c r="Y1237" i="8"/>
  <c r="Y1238" i="8"/>
  <c r="Y1239" i="8"/>
  <c r="Y1240" i="8"/>
  <c r="Y1241" i="8"/>
  <c r="Y1242" i="8"/>
  <c r="Y1243" i="8"/>
  <c r="Y1244" i="8"/>
  <c r="Y1245" i="8"/>
  <c r="Y1246" i="8"/>
  <c r="Y1247" i="8"/>
  <c r="Y1248" i="8"/>
  <c r="Y1249" i="8"/>
  <c r="Y1250" i="8"/>
  <c r="Y1251" i="8"/>
  <c r="Y1252" i="8"/>
  <c r="Y1253" i="8"/>
  <c r="Y1254" i="8"/>
  <c r="Y1255" i="8"/>
  <c r="Y1256" i="8"/>
  <c r="Y1257" i="8"/>
  <c r="Y1258" i="8"/>
  <c r="Y1259" i="8"/>
  <c r="Y1260" i="8"/>
  <c r="Y1261" i="8"/>
  <c r="Y1262" i="8"/>
  <c r="Y1263" i="8"/>
  <c r="Y1264" i="8"/>
  <c r="Y1265" i="8"/>
  <c r="Y1266" i="8"/>
  <c r="Y1267" i="8"/>
  <c r="Y1268" i="8"/>
  <c r="Y1269" i="8"/>
  <c r="Y1270" i="8"/>
  <c r="Y1271" i="8"/>
  <c r="Y1272" i="8"/>
  <c r="Y1273" i="8"/>
  <c r="Y1274" i="8"/>
  <c r="Y1275" i="8"/>
  <c r="Y1276" i="8"/>
  <c r="Y1277" i="8"/>
  <c r="Y1278" i="8"/>
  <c r="Y1279" i="8"/>
  <c r="Y1280" i="8"/>
  <c r="Y1281" i="8"/>
  <c r="Y1282" i="8"/>
  <c r="Y1283" i="8"/>
  <c r="Y1284" i="8"/>
  <c r="Y1285" i="8"/>
  <c r="Y1286" i="8"/>
  <c r="Y1287" i="8"/>
  <c r="Y1288" i="8"/>
  <c r="Y1289" i="8"/>
  <c r="Y1290" i="8"/>
  <c r="Y1291" i="8"/>
  <c r="Y1292" i="8"/>
  <c r="Y1293" i="8"/>
  <c r="Y1294" i="8"/>
  <c r="Y1295" i="8"/>
  <c r="Y1296" i="8"/>
  <c r="Y1297" i="8"/>
  <c r="Y1298" i="8"/>
  <c r="Y1299" i="8"/>
  <c r="Y1300" i="8"/>
  <c r="Y1301" i="8"/>
  <c r="Y1302" i="8"/>
  <c r="Y1303" i="8"/>
  <c r="Y1304" i="8"/>
  <c r="Y1305" i="8"/>
  <c r="Y1306" i="8"/>
  <c r="Y1307" i="8"/>
  <c r="Y1308" i="8"/>
  <c r="Y1309" i="8"/>
  <c r="Y1310" i="8"/>
  <c r="Y1311" i="8"/>
  <c r="Y1312" i="8"/>
  <c r="Y1313" i="8"/>
  <c r="Y1314" i="8"/>
  <c r="Y1315" i="8"/>
  <c r="Y1316" i="8"/>
  <c r="Y1317" i="8"/>
  <c r="Y1318" i="8"/>
  <c r="Y1319" i="8"/>
  <c r="Y1320" i="8"/>
  <c r="Y1321" i="8"/>
  <c r="Y1322" i="8"/>
  <c r="Y1323" i="8"/>
  <c r="Y1324" i="8"/>
  <c r="Y1325" i="8"/>
  <c r="Y1326" i="8"/>
  <c r="Y1327" i="8"/>
  <c r="Y1328" i="8"/>
  <c r="Y1329" i="8"/>
  <c r="Y1330" i="8"/>
  <c r="Y1331" i="8"/>
  <c r="Y1332" i="8"/>
  <c r="Y1333" i="8"/>
  <c r="Y1334" i="8"/>
  <c r="Y1335" i="8"/>
  <c r="Y1336" i="8"/>
  <c r="Y1337" i="8"/>
  <c r="Y1338" i="8"/>
  <c r="Y1339" i="8"/>
  <c r="Y1340" i="8"/>
  <c r="Y1341" i="8"/>
  <c r="Y1342" i="8"/>
  <c r="Y1343" i="8"/>
  <c r="Y1344" i="8"/>
  <c r="Y1345" i="8"/>
  <c r="Y1346" i="8"/>
  <c r="Y1347" i="8"/>
  <c r="Y1348" i="8"/>
  <c r="Y1349" i="8"/>
  <c r="Y1350" i="8"/>
  <c r="Y1351" i="8"/>
  <c r="Y1352" i="8"/>
  <c r="Y1353" i="8"/>
  <c r="Y1354" i="8"/>
  <c r="Y1355" i="8"/>
  <c r="Y1356" i="8"/>
  <c r="Y1357" i="8"/>
  <c r="Y1358" i="8"/>
  <c r="Y1359" i="8"/>
  <c r="Y1360" i="8"/>
  <c r="Y1361" i="8"/>
  <c r="Y1362" i="8"/>
  <c r="Y1363" i="8"/>
  <c r="Y1364" i="8"/>
  <c r="Y1365" i="8"/>
  <c r="Y1366" i="8"/>
  <c r="Y1367" i="8"/>
  <c r="Y1368" i="8"/>
  <c r="Y1369" i="8"/>
  <c r="Y1370" i="8"/>
  <c r="Y1371" i="8"/>
  <c r="Y1372" i="8"/>
  <c r="Y1373" i="8"/>
  <c r="Y1374" i="8"/>
  <c r="Y1375" i="8"/>
  <c r="Y1376" i="8"/>
  <c r="Y1377" i="8"/>
  <c r="Y1378" i="8"/>
  <c r="Y2" i="8"/>
  <c r="M3" i="8" l="1"/>
  <c r="G38" i="9"/>
  <c r="F38" i="9" s="1"/>
  <c r="E38" i="9"/>
  <c r="Z2" i="8"/>
  <c r="L1384" i="8"/>
  <c r="AD1384" i="8" s="1"/>
  <c r="L1435" i="8"/>
  <c r="AD1435" i="8" s="1"/>
  <c r="L1486" i="8"/>
  <c r="AD1486" i="8" s="1"/>
  <c r="I39" i="9"/>
  <c r="E1486" i="8"/>
  <c r="E1435" i="8"/>
  <c r="E1384" i="8"/>
  <c r="Z1436" i="8"/>
  <c r="Z1385" i="8"/>
  <c r="Z1487" i="8"/>
  <c r="I1386" i="8"/>
  <c r="AG1385" i="8"/>
  <c r="AH1385" i="8"/>
  <c r="K1385" i="8"/>
  <c r="F1385" i="8" s="1"/>
  <c r="AF1385" i="8"/>
  <c r="AA1385" i="8" s="1"/>
  <c r="G1385" i="8"/>
  <c r="B1385" i="8" s="1"/>
  <c r="M1385" i="8"/>
  <c r="A1384" i="8"/>
  <c r="M1436" i="8"/>
  <c r="M1487" i="8"/>
  <c r="I1437" i="8"/>
  <c r="K1487" i="8"/>
  <c r="F1487" i="8" s="1"/>
  <c r="K1436" i="8"/>
  <c r="F1436" i="8" s="1"/>
  <c r="I1488" i="8"/>
  <c r="AH1436" i="8"/>
  <c r="AF1436" i="8"/>
  <c r="AA1436" i="8" s="1"/>
  <c r="AG1436" i="8"/>
  <c r="G1436" i="8"/>
  <c r="B1436" i="8" s="1"/>
  <c r="A1435" i="8"/>
  <c r="AG1487" i="8"/>
  <c r="G1487" i="8"/>
  <c r="B1487" i="8" s="1"/>
  <c r="A1486" i="8"/>
  <c r="AF1487" i="8"/>
  <c r="AA1487" i="8" s="1"/>
  <c r="AH148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G39" i="9" l="1"/>
  <c r="F39" i="9" s="1"/>
  <c r="E39" i="9"/>
  <c r="L1487" i="8"/>
  <c r="AD1487" i="8" s="1"/>
  <c r="L1436" i="8"/>
  <c r="AD1436" i="8" s="1"/>
  <c r="L1385" i="8"/>
  <c r="AD1385" i="8" s="1"/>
  <c r="I40" i="9"/>
  <c r="E1436" i="8"/>
  <c r="E1487" i="8"/>
  <c r="E1385" i="8"/>
  <c r="Z1488" i="8"/>
  <c r="Z1386" i="8"/>
  <c r="Z1437" i="8"/>
  <c r="AF1386" i="8"/>
  <c r="AA1386" i="8" s="1"/>
  <c r="K1386" i="8"/>
  <c r="F1386" i="8" s="1"/>
  <c r="M1386" i="8"/>
  <c r="AG1386" i="8"/>
  <c r="G1386" i="8"/>
  <c r="B1386" i="8" s="1"/>
  <c r="AH1386" i="8"/>
  <c r="I1387" i="8"/>
  <c r="A1385" i="8"/>
  <c r="AF1437" i="8"/>
  <c r="AA1437" i="8" s="1"/>
  <c r="M1437" i="8"/>
  <c r="M1488" i="8"/>
  <c r="AH1437" i="8"/>
  <c r="K1437" i="8"/>
  <c r="F1437" i="8" s="1"/>
  <c r="I1438" i="8"/>
  <c r="G1437" i="8"/>
  <c r="B1437" i="8" s="1"/>
  <c r="AG1437" i="8"/>
  <c r="AF1488" i="8"/>
  <c r="AA1488" i="8" s="1"/>
  <c r="I1489" i="8"/>
  <c r="AH1488" i="8"/>
  <c r="AG1488" i="8"/>
  <c r="G1488" i="8"/>
  <c r="B1488" i="8" s="1"/>
  <c r="K1488" i="8"/>
  <c r="F1488" i="8" s="1"/>
  <c r="A1436" i="8"/>
  <c r="A1487" i="8"/>
  <c r="D979" i="8"/>
  <c r="H979" i="8"/>
  <c r="J979" i="8"/>
  <c r="O979" i="8"/>
  <c r="P979" i="8"/>
  <c r="Q979" i="8"/>
  <c r="R979" i="8"/>
  <c r="S979" i="8"/>
  <c r="AB979" i="8"/>
  <c r="AE979" i="8"/>
  <c r="D980" i="8"/>
  <c r="H980" i="8"/>
  <c r="J980" i="8"/>
  <c r="O980" i="8"/>
  <c r="P980" i="8"/>
  <c r="Q980" i="8"/>
  <c r="R980" i="8"/>
  <c r="S980" i="8"/>
  <c r="AB980" i="8"/>
  <c r="AE980" i="8"/>
  <c r="D981" i="8"/>
  <c r="H981" i="8"/>
  <c r="J981" i="8"/>
  <c r="O981" i="8"/>
  <c r="P981" i="8"/>
  <c r="Q981" i="8"/>
  <c r="R981" i="8"/>
  <c r="S981" i="8"/>
  <c r="AB981" i="8"/>
  <c r="AE981" i="8"/>
  <c r="D982" i="8"/>
  <c r="H982" i="8"/>
  <c r="J982" i="8"/>
  <c r="O982" i="8"/>
  <c r="P982" i="8"/>
  <c r="Q982" i="8"/>
  <c r="R982" i="8"/>
  <c r="S982" i="8"/>
  <c r="AB982" i="8"/>
  <c r="AE982" i="8"/>
  <c r="D983" i="8"/>
  <c r="H983" i="8"/>
  <c r="J983" i="8"/>
  <c r="O983" i="8"/>
  <c r="P983" i="8"/>
  <c r="Q983" i="8"/>
  <c r="R983" i="8"/>
  <c r="S983" i="8"/>
  <c r="AB983" i="8"/>
  <c r="AE983" i="8"/>
  <c r="D984" i="8"/>
  <c r="H984" i="8"/>
  <c r="J984" i="8"/>
  <c r="O984" i="8"/>
  <c r="P984" i="8"/>
  <c r="Q984" i="8"/>
  <c r="R984" i="8"/>
  <c r="S984" i="8"/>
  <c r="AB984" i="8"/>
  <c r="AE984" i="8"/>
  <c r="D985" i="8"/>
  <c r="H985" i="8"/>
  <c r="J985" i="8"/>
  <c r="O985" i="8"/>
  <c r="P985" i="8"/>
  <c r="Q985" i="8"/>
  <c r="R985" i="8"/>
  <c r="S985" i="8"/>
  <c r="AB985" i="8"/>
  <c r="AE985" i="8"/>
  <c r="D986" i="8"/>
  <c r="H986" i="8"/>
  <c r="J986" i="8"/>
  <c r="O986" i="8"/>
  <c r="P986" i="8"/>
  <c r="Q986" i="8"/>
  <c r="R986" i="8"/>
  <c r="S986" i="8"/>
  <c r="AB986" i="8"/>
  <c r="AE986" i="8"/>
  <c r="D987" i="8"/>
  <c r="H987" i="8"/>
  <c r="J987" i="8"/>
  <c r="O987" i="8"/>
  <c r="P987" i="8"/>
  <c r="Q987" i="8"/>
  <c r="R987" i="8"/>
  <c r="S987" i="8"/>
  <c r="AB987" i="8"/>
  <c r="AE987" i="8"/>
  <c r="D988" i="8"/>
  <c r="H988" i="8"/>
  <c r="J988" i="8"/>
  <c r="O988" i="8"/>
  <c r="P988" i="8"/>
  <c r="Q988" i="8"/>
  <c r="R988" i="8"/>
  <c r="S988" i="8"/>
  <c r="AB988" i="8"/>
  <c r="AE988" i="8"/>
  <c r="D989" i="8"/>
  <c r="H989" i="8"/>
  <c r="J989" i="8"/>
  <c r="O989" i="8"/>
  <c r="P989" i="8"/>
  <c r="Q989" i="8"/>
  <c r="R989" i="8"/>
  <c r="S989" i="8"/>
  <c r="AB989" i="8"/>
  <c r="AE989" i="8"/>
  <c r="D990" i="8"/>
  <c r="H990" i="8"/>
  <c r="J990" i="8"/>
  <c r="O990" i="8"/>
  <c r="P990" i="8"/>
  <c r="Q990" i="8"/>
  <c r="R990" i="8"/>
  <c r="S990" i="8"/>
  <c r="AB990" i="8"/>
  <c r="AE990" i="8"/>
  <c r="D991" i="8"/>
  <c r="H991" i="8"/>
  <c r="J991" i="8"/>
  <c r="O991" i="8"/>
  <c r="P991" i="8"/>
  <c r="Q991" i="8"/>
  <c r="R991" i="8"/>
  <c r="S991" i="8"/>
  <c r="AB991" i="8"/>
  <c r="AE991" i="8"/>
  <c r="D992" i="8"/>
  <c r="H992" i="8"/>
  <c r="J992" i="8"/>
  <c r="O992" i="8"/>
  <c r="P992" i="8"/>
  <c r="Q992" i="8"/>
  <c r="R992" i="8"/>
  <c r="S992" i="8"/>
  <c r="AB992" i="8"/>
  <c r="AE992" i="8"/>
  <c r="D993" i="8"/>
  <c r="H993" i="8"/>
  <c r="J993" i="8"/>
  <c r="O993" i="8"/>
  <c r="P993" i="8"/>
  <c r="Q993" i="8"/>
  <c r="R993" i="8"/>
  <c r="S993" i="8"/>
  <c r="AB993" i="8"/>
  <c r="AE993" i="8"/>
  <c r="D994" i="8"/>
  <c r="H994" i="8"/>
  <c r="J994" i="8"/>
  <c r="O994" i="8"/>
  <c r="P994" i="8"/>
  <c r="Q994" i="8"/>
  <c r="R994" i="8"/>
  <c r="S994" i="8"/>
  <c r="AB994" i="8"/>
  <c r="AE994" i="8"/>
  <c r="D995" i="8"/>
  <c r="H995" i="8"/>
  <c r="J995" i="8"/>
  <c r="O995" i="8"/>
  <c r="P995" i="8"/>
  <c r="Q995" i="8"/>
  <c r="R995" i="8"/>
  <c r="S995" i="8"/>
  <c r="AB995" i="8"/>
  <c r="AE995" i="8"/>
  <c r="D996" i="8"/>
  <c r="H996" i="8"/>
  <c r="J996" i="8"/>
  <c r="O996" i="8"/>
  <c r="P996" i="8"/>
  <c r="Q996" i="8"/>
  <c r="R996" i="8"/>
  <c r="S996" i="8"/>
  <c r="AB996" i="8"/>
  <c r="AE996" i="8"/>
  <c r="D997" i="8"/>
  <c r="H997" i="8"/>
  <c r="J997" i="8"/>
  <c r="O997" i="8"/>
  <c r="P997" i="8"/>
  <c r="Q997" i="8"/>
  <c r="R997" i="8"/>
  <c r="S997" i="8"/>
  <c r="AB997" i="8"/>
  <c r="AE997" i="8"/>
  <c r="D998" i="8"/>
  <c r="H998" i="8"/>
  <c r="J998" i="8"/>
  <c r="O998" i="8"/>
  <c r="P998" i="8"/>
  <c r="Q998" i="8"/>
  <c r="R998" i="8"/>
  <c r="S998" i="8"/>
  <c r="AB998" i="8"/>
  <c r="AE998" i="8"/>
  <c r="D999" i="8"/>
  <c r="H999" i="8"/>
  <c r="J999" i="8"/>
  <c r="O999" i="8"/>
  <c r="P999" i="8"/>
  <c r="Q999" i="8"/>
  <c r="R999" i="8"/>
  <c r="S999" i="8"/>
  <c r="AB999" i="8"/>
  <c r="AE999" i="8"/>
  <c r="D1000" i="8"/>
  <c r="H1000" i="8"/>
  <c r="J1000" i="8"/>
  <c r="O1000" i="8"/>
  <c r="P1000" i="8"/>
  <c r="Q1000" i="8"/>
  <c r="R1000" i="8"/>
  <c r="S1000" i="8"/>
  <c r="AB1000" i="8"/>
  <c r="AE1000" i="8"/>
  <c r="D1001" i="8"/>
  <c r="H1001" i="8"/>
  <c r="J1001" i="8"/>
  <c r="O1001" i="8"/>
  <c r="P1001" i="8"/>
  <c r="Q1001" i="8"/>
  <c r="R1001" i="8"/>
  <c r="S1001" i="8"/>
  <c r="AB1001" i="8"/>
  <c r="AE1001" i="8"/>
  <c r="D1002" i="8"/>
  <c r="H1002" i="8"/>
  <c r="J1002" i="8"/>
  <c r="O1002" i="8"/>
  <c r="P1002" i="8"/>
  <c r="Q1002" i="8"/>
  <c r="R1002" i="8"/>
  <c r="S1002" i="8"/>
  <c r="AB1002" i="8"/>
  <c r="AE1002" i="8"/>
  <c r="D1003" i="8"/>
  <c r="H1003" i="8"/>
  <c r="J1003" i="8"/>
  <c r="O1003" i="8"/>
  <c r="P1003" i="8"/>
  <c r="Q1003" i="8"/>
  <c r="R1003" i="8"/>
  <c r="S1003" i="8"/>
  <c r="AB1003" i="8"/>
  <c r="AE1003" i="8"/>
  <c r="D1004" i="8"/>
  <c r="H1004" i="8"/>
  <c r="J1004" i="8"/>
  <c r="O1004" i="8"/>
  <c r="P1004" i="8"/>
  <c r="Q1004" i="8"/>
  <c r="R1004" i="8"/>
  <c r="S1004" i="8"/>
  <c r="AB1004" i="8"/>
  <c r="AE1004" i="8"/>
  <c r="D1005" i="8"/>
  <c r="H1005" i="8"/>
  <c r="J1005" i="8"/>
  <c r="O1005" i="8"/>
  <c r="P1005" i="8"/>
  <c r="Q1005" i="8"/>
  <c r="R1005" i="8"/>
  <c r="S1005" i="8"/>
  <c r="AB1005" i="8"/>
  <c r="AE1005" i="8"/>
  <c r="D1006" i="8"/>
  <c r="H1006" i="8"/>
  <c r="J1006" i="8"/>
  <c r="O1006" i="8"/>
  <c r="P1006" i="8"/>
  <c r="Q1006" i="8"/>
  <c r="R1006" i="8"/>
  <c r="S1006" i="8"/>
  <c r="AB1006" i="8"/>
  <c r="AE1006" i="8"/>
  <c r="D1007" i="8"/>
  <c r="H1007" i="8"/>
  <c r="J1007" i="8"/>
  <c r="O1007" i="8"/>
  <c r="P1007" i="8"/>
  <c r="Q1007" i="8"/>
  <c r="R1007" i="8"/>
  <c r="S1007" i="8"/>
  <c r="AB1007" i="8"/>
  <c r="AE1007" i="8"/>
  <c r="D1008" i="8"/>
  <c r="H1008" i="8"/>
  <c r="J1008" i="8"/>
  <c r="O1008" i="8"/>
  <c r="P1008" i="8"/>
  <c r="Q1008" i="8"/>
  <c r="R1008" i="8"/>
  <c r="S1008" i="8"/>
  <c r="AB1008" i="8"/>
  <c r="AE1008" i="8"/>
  <c r="D1009" i="8"/>
  <c r="H1009" i="8"/>
  <c r="J1009" i="8"/>
  <c r="O1009" i="8"/>
  <c r="P1009" i="8"/>
  <c r="Q1009" i="8"/>
  <c r="R1009" i="8"/>
  <c r="S1009" i="8"/>
  <c r="AB1009" i="8"/>
  <c r="AE1009" i="8"/>
  <c r="D1010" i="8"/>
  <c r="H1010" i="8"/>
  <c r="J1010" i="8"/>
  <c r="O1010" i="8"/>
  <c r="P1010" i="8"/>
  <c r="Q1010" i="8"/>
  <c r="R1010" i="8"/>
  <c r="S1010" i="8"/>
  <c r="AB1010" i="8"/>
  <c r="AE1010" i="8"/>
  <c r="D1011" i="8"/>
  <c r="H1011" i="8"/>
  <c r="J1011" i="8"/>
  <c r="O1011" i="8"/>
  <c r="P1011" i="8"/>
  <c r="Q1011" i="8"/>
  <c r="R1011" i="8"/>
  <c r="S1011" i="8"/>
  <c r="AB1011" i="8"/>
  <c r="AE1011" i="8"/>
  <c r="D1012" i="8"/>
  <c r="H1012" i="8"/>
  <c r="J1012" i="8"/>
  <c r="O1012" i="8"/>
  <c r="P1012" i="8"/>
  <c r="Q1012" i="8"/>
  <c r="R1012" i="8"/>
  <c r="S1012" i="8"/>
  <c r="AB1012" i="8"/>
  <c r="AE1012" i="8"/>
  <c r="D1013" i="8"/>
  <c r="H1013" i="8"/>
  <c r="J1013" i="8"/>
  <c r="O1013" i="8"/>
  <c r="P1013" i="8"/>
  <c r="Q1013" i="8"/>
  <c r="R1013" i="8"/>
  <c r="S1013" i="8"/>
  <c r="AB1013" i="8"/>
  <c r="AE1013" i="8"/>
  <c r="D1014" i="8"/>
  <c r="H1014" i="8"/>
  <c r="J1014" i="8"/>
  <c r="O1014" i="8"/>
  <c r="P1014" i="8"/>
  <c r="Q1014" i="8"/>
  <c r="R1014" i="8"/>
  <c r="S1014" i="8"/>
  <c r="AB1014" i="8"/>
  <c r="AE1014" i="8"/>
  <c r="D1015" i="8"/>
  <c r="H1015" i="8"/>
  <c r="J1015" i="8"/>
  <c r="O1015" i="8"/>
  <c r="P1015" i="8"/>
  <c r="Q1015" i="8"/>
  <c r="R1015" i="8"/>
  <c r="S1015" i="8"/>
  <c r="AB1015" i="8"/>
  <c r="AE1015" i="8"/>
  <c r="D1016" i="8"/>
  <c r="H1016" i="8"/>
  <c r="J1016" i="8"/>
  <c r="O1016" i="8"/>
  <c r="P1016" i="8"/>
  <c r="Q1016" i="8"/>
  <c r="R1016" i="8"/>
  <c r="S1016" i="8"/>
  <c r="AB1016" i="8"/>
  <c r="AE1016" i="8"/>
  <c r="D1017" i="8"/>
  <c r="H1017" i="8"/>
  <c r="J1017" i="8"/>
  <c r="O1017" i="8"/>
  <c r="P1017" i="8"/>
  <c r="Q1017" i="8"/>
  <c r="R1017" i="8"/>
  <c r="S1017" i="8"/>
  <c r="AB1017" i="8"/>
  <c r="AE1017" i="8"/>
  <c r="D1018" i="8"/>
  <c r="H1018" i="8"/>
  <c r="J1018" i="8"/>
  <c r="O1018" i="8"/>
  <c r="P1018" i="8"/>
  <c r="Q1018" i="8"/>
  <c r="R1018" i="8"/>
  <c r="S1018" i="8"/>
  <c r="AB1018" i="8"/>
  <c r="AE1018" i="8"/>
  <c r="D1019" i="8"/>
  <c r="H1019" i="8"/>
  <c r="J1019" i="8"/>
  <c r="O1019" i="8"/>
  <c r="P1019" i="8"/>
  <c r="Q1019" i="8"/>
  <c r="R1019" i="8"/>
  <c r="S1019" i="8"/>
  <c r="AB1019" i="8"/>
  <c r="AE1019" i="8"/>
  <c r="D1020" i="8"/>
  <c r="H1020" i="8"/>
  <c r="J1020" i="8"/>
  <c r="O1020" i="8"/>
  <c r="P1020" i="8"/>
  <c r="Q1020" i="8"/>
  <c r="R1020" i="8"/>
  <c r="S1020" i="8"/>
  <c r="AB1020" i="8"/>
  <c r="AE1020" i="8"/>
  <c r="D1021" i="8"/>
  <c r="H1021" i="8"/>
  <c r="J1021" i="8"/>
  <c r="O1021" i="8"/>
  <c r="P1021" i="8"/>
  <c r="Q1021" i="8"/>
  <c r="R1021" i="8"/>
  <c r="S1021" i="8"/>
  <c r="AB1021" i="8"/>
  <c r="AE1021" i="8"/>
  <c r="D1022" i="8"/>
  <c r="H1022" i="8"/>
  <c r="J1022" i="8"/>
  <c r="O1022" i="8"/>
  <c r="P1022" i="8"/>
  <c r="Q1022" i="8"/>
  <c r="R1022" i="8"/>
  <c r="S1022" i="8"/>
  <c r="AB1022" i="8"/>
  <c r="AE1022" i="8"/>
  <c r="D1023" i="8"/>
  <c r="H1023" i="8"/>
  <c r="J1023" i="8"/>
  <c r="O1023" i="8"/>
  <c r="P1023" i="8"/>
  <c r="Q1023" i="8"/>
  <c r="R1023" i="8"/>
  <c r="S1023" i="8"/>
  <c r="AB1023" i="8"/>
  <c r="AE1023" i="8"/>
  <c r="D1024" i="8"/>
  <c r="H1024" i="8"/>
  <c r="J1024" i="8"/>
  <c r="O1024" i="8"/>
  <c r="P1024" i="8"/>
  <c r="Q1024" i="8"/>
  <c r="R1024" i="8"/>
  <c r="S1024" i="8"/>
  <c r="AB1024" i="8"/>
  <c r="AE1024" i="8"/>
  <c r="D1025" i="8"/>
  <c r="H1025" i="8"/>
  <c r="J1025" i="8"/>
  <c r="O1025" i="8"/>
  <c r="P1025" i="8"/>
  <c r="Q1025" i="8"/>
  <c r="R1025" i="8"/>
  <c r="S1025" i="8"/>
  <c r="AB1025" i="8"/>
  <c r="AE1025" i="8"/>
  <c r="D1026" i="8"/>
  <c r="H1026" i="8"/>
  <c r="J1026" i="8"/>
  <c r="O1026" i="8"/>
  <c r="P1026" i="8"/>
  <c r="Q1026" i="8"/>
  <c r="R1026" i="8"/>
  <c r="S1026" i="8"/>
  <c r="AB1026" i="8"/>
  <c r="AE1026" i="8"/>
  <c r="D1027" i="8"/>
  <c r="H1027" i="8"/>
  <c r="J1027" i="8"/>
  <c r="O1027" i="8"/>
  <c r="P1027" i="8"/>
  <c r="Q1027" i="8"/>
  <c r="R1027" i="8"/>
  <c r="S1027" i="8"/>
  <c r="AB1027" i="8"/>
  <c r="AE1027" i="8"/>
  <c r="D1028" i="8"/>
  <c r="H1028" i="8"/>
  <c r="J1028" i="8"/>
  <c r="O1028" i="8"/>
  <c r="P1028" i="8"/>
  <c r="Q1028" i="8"/>
  <c r="R1028" i="8"/>
  <c r="S1028" i="8"/>
  <c r="AB1028" i="8"/>
  <c r="AE1028" i="8"/>
  <c r="D1029" i="8"/>
  <c r="H1029" i="8"/>
  <c r="J1029" i="8"/>
  <c r="O1029" i="8"/>
  <c r="P1029" i="8"/>
  <c r="Q1029" i="8"/>
  <c r="R1029" i="8"/>
  <c r="S1029" i="8"/>
  <c r="AB1029" i="8"/>
  <c r="AE1029" i="8"/>
  <c r="D1030" i="8"/>
  <c r="H1030" i="8"/>
  <c r="J1030" i="8"/>
  <c r="O1030" i="8"/>
  <c r="P1030" i="8"/>
  <c r="Q1030" i="8"/>
  <c r="R1030" i="8"/>
  <c r="S1030" i="8"/>
  <c r="AB1030" i="8"/>
  <c r="AE1030" i="8"/>
  <c r="D1031" i="8"/>
  <c r="H1031" i="8"/>
  <c r="J1031" i="8"/>
  <c r="O1031" i="8"/>
  <c r="P1031" i="8"/>
  <c r="Q1031" i="8"/>
  <c r="R1031" i="8"/>
  <c r="S1031" i="8"/>
  <c r="AB1031" i="8"/>
  <c r="AE1031" i="8"/>
  <c r="D1032" i="8"/>
  <c r="H1032" i="8"/>
  <c r="J1032" i="8"/>
  <c r="O1032" i="8"/>
  <c r="P1032" i="8"/>
  <c r="Q1032" i="8"/>
  <c r="R1032" i="8"/>
  <c r="S1032" i="8"/>
  <c r="AB1032" i="8"/>
  <c r="AE1032" i="8"/>
  <c r="D1033" i="8"/>
  <c r="H1033" i="8"/>
  <c r="J1033" i="8"/>
  <c r="O1033" i="8"/>
  <c r="P1033" i="8"/>
  <c r="Q1033" i="8"/>
  <c r="R1033" i="8"/>
  <c r="S1033" i="8"/>
  <c r="AB1033" i="8"/>
  <c r="AE1033" i="8"/>
  <c r="D1034" i="8"/>
  <c r="H1034" i="8"/>
  <c r="J1034" i="8"/>
  <c r="O1034" i="8"/>
  <c r="P1034" i="8"/>
  <c r="Q1034" i="8"/>
  <c r="R1034" i="8"/>
  <c r="S1034" i="8"/>
  <c r="AB1034" i="8"/>
  <c r="AE1034" i="8"/>
  <c r="D1035" i="8"/>
  <c r="H1035" i="8"/>
  <c r="J1035" i="8"/>
  <c r="O1035" i="8"/>
  <c r="P1035" i="8"/>
  <c r="Q1035" i="8"/>
  <c r="R1035" i="8"/>
  <c r="S1035" i="8"/>
  <c r="AB1035" i="8"/>
  <c r="AE1035" i="8"/>
  <c r="D1036" i="8"/>
  <c r="H1036" i="8"/>
  <c r="J1036" i="8"/>
  <c r="O1036" i="8"/>
  <c r="P1036" i="8"/>
  <c r="Q1036" i="8"/>
  <c r="R1036" i="8"/>
  <c r="S1036" i="8"/>
  <c r="AB1036" i="8"/>
  <c r="AE1036" i="8"/>
  <c r="D1037" i="8"/>
  <c r="H1037" i="8"/>
  <c r="J1037" i="8"/>
  <c r="O1037" i="8"/>
  <c r="P1037" i="8"/>
  <c r="Q1037" i="8"/>
  <c r="R1037" i="8"/>
  <c r="S1037" i="8"/>
  <c r="AB1037" i="8"/>
  <c r="AE1037" i="8"/>
  <c r="D1038" i="8"/>
  <c r="H1038" i="8"/>
  <c r="J1038" i="8"/>
  <c r="O1038" i="8"/>
  <c r="P1038" i="8"/>
  <c r="Q1038" i="8"/>
  <c r="R1038" i="8"/>
  <c r="S1038" i="8"/>
  <c r="AB1038" i="8"/>
  <c r="AE1038" i="8"/>
  <c r="D1039" i="8"/>
  <c r="H1039" i="8"/>
  <c r="J1039" i="8"/>
  <c r="O1039" i="8"/>
  <c r="P1039" i="8"/>
  <c r="Q1039" i="8"/>
  <c r="R1039" i="8"/>
  <c r="S1039" i="8"/>
  <c r="AB1039" i="8"/>
  <c r="AE1039" i="8"/>
  <c r="D1040" i="8"/>
  <c r="H1040" i="8"/>
  <c r="J1040" i="8"/>
  <c r="O1040" i="8"/>
  <c r="P1040" i="8"/>
  <c r="Q1040" i="8"/>
  <c r="R1040" i="8"/>
  <c r="S1040" i="8"/>
  <c r="AB1040" i="8"/>
  <c r="AE1040" i="8"/>
  <c r="D1041" i="8"/>
  <c r="H1041" i="8"/>
  <c r="J1041" i="8"/>
  <c r="O1041" i="8"/>
  <c r="P1041" i="8"/>
  <c r="Q1041" i="8"/>
  <c r="R1041" i="8"/>
  <c r="S1041" i="8"/>
  <c r="AB1041" i="8"/>
  <c r="AE1041" i="8"/>
  <c r="D1042" i="8"/>
  <c r="H1042" i="8"/>
  <c r="J1042" i="8"/>
  <c r="O1042" i="8"/>
  <c r="P1042" i="8"/>
  <c r="Q1042" i="8"/>
  <c r="R1042" i="8"/>
  <c r="S1042" i="8"/>
  <c r="AB1042" i="8"/>
  <c r="AE1042" i="8"/>
  <c r="D1043" i="8"/>
  <c r="H1043" i="8"/>
  <c r="J1043" i="8"/>
  <c r="O1043" i="8"/>
  <c r="P1043" i="8"/>
  <c r="Q1043" i="8"/>
  <c r="R1043" i="8"/>
  <c r="S1043" i="8"/>
  <c r="AB1043" i="8"/>
  <c r="AE1043" i="8"/>
  <c r="D1044" i="8"/>
  <c r="H1044" i="8"/>
  <c r="J1044" i="8"/>
  <c r="O1044" i="8"/>
  <c r="P1044" i="8"/>
  <c r="Q1044" i="8"/>
  <c r="R1044" i="8"/>
  <c r="S1044" i="8"/>
  <c r="AB1044" i="8"/>
  <c r="AE1044" i="8"/>
  <c r="D1045" i="8"/>
  <c r="H1045" i="8"/>
  <c r="J1045" i="8"/>
  <c r="O1045" i="8"/>
  <c r="P1045" i="8"/>
  <c r="Q1045" i="8"/>
  <c r="R1045" i="8"/>
  <c r="S1045" i="8"/>
  <c r="AB1045" i="8"/>
  <c r="AE1045" i="8"/>
  <c r="D1046" i="8"/>
  <c r="H1046" i="8"/>
  <c r="J1046" i="8"/>
  <c r="O1046" i="8"/>
  <c r="P1046" i="8"/>
  <c r="Q1046" i="8"/>
  <c r="R1046" i="8"/>
  <c r="S1046" i="8"/>
  <c r="AB1046" i="8"/>
  <c r="AE1046" i="8"/>
  <c r="D1047" i="8"/>
  <c r="H1047" i="8"/>
  <c r="J1047" i="8"/>
  <c r="O1047" i="8"/>
  <c r="P1047" i="8"/>
  <c r="Q1047" i="8"/>
  <c r="R1047" i="8"/>
  <c r="S1047" i="8"/>
  <c r="AB1047" i="8"/>
  <c r="AE1047" i="8"/>
  <c r="D1048" i="8"/>
  <c r="H1048" i="8"/>
  <c r="J1048" i="8"/>
  <c r="O1048" i="8"/>
  <c r="P1048" i="8"/>
  <c r="Q1048" i="8"/>
  <c r="R1048" i="8"/>
  <c r="S1048" i="8"/>
  <c r="AB1048" i="8"/>
  <c r="AE1048" i="8"/>
  <c r="D1049" i="8"/>
  <c r="H1049" i="8"/>
  <c r="J1049" i="8"/>
  <c r="O1049" i="8"/>
  <c r="P1049" i="8"/>
  <c r="Q1049" i="8"/>
  <c r="R1049" i="8"/>
  <c r="S1049" i="8"/>
  <c r="AB1049" i="8"/>
  <c r="AE1049" i="8"/>
  <c r="D1050" i="8"/>
  <c r="H1050" i="8"/>
  <c r="J1050" i="8"/>
  <c r="O1050" i="8"/>
  <c r="P1050" i="8"/>
  <c r="Q1050" i="8"/>
  <c r="R1050" i="8"/>
  <c r="S1050" i="8"/>
  <c r="AB1050" i="8"/>
  <c r="AE1050" i="8"/>
  <c r="D1051" i="8"/>
  <c r="H1051" i="8"/>
  <c r="J1051" i="8"/>
  <c r="O1051" i="8"/>
  <c r="P1051" i="8"/>
  <c r="Q1051" i="8"/>
  <c r="R1051" i="8"/>
  <c r="S1051" i="8"/>
  <c r="AB1051" i="8"/>
  <c r="AE1051" i="8"/>
  <c r="D1052" i="8"/>
  <c r="H1052" i="8"/>
  <c r="J1052" i="8"/>
  <c r="O1052" i="8"/>
  <c r="P1052" i="8"/>
  <c r="Q1052" i="8"/>
  <c r="R1052" i="8"/>
  <c r="S1052" i="8"/>
  <c r="AB1052" i="8"/>
  <c r="AE1052" i="8"/>
  <c r="D1053" i="8"/>
  <c r="H1053" i="8"/>
  <c r="J1053" i="8"/>
  <c r="O1053" i="8"/>
  <c r="P1053" i="8"/>
  <c r="Q1053" i="8"/>
  <c r="R1053" i="8"/>
  <c r="S1053" i="8"/>
  <c r="AB1053" i="8"/>
  <c r="AE1053" i="8"/>
  <c r="D1054" i="8"/>
  <c r="H1054" i="8"/>
  <c r="J1054" i="8"/>
  <c r="O1054" i="8"/>
  <c r="P1054" i="8"/>
  <c r="Q1054" i="8"/>
  <c r="R1054" i="8"/>
  <c r="S1054" i="8"/>
  <c r="AB1054" i="8"/>
  <c r="AE1054" i="8"/>
  <c r="D1055" i="8"/>
  <c r="H1055" i="8"/>
  <c r="J1055" i="8"/>
  <c r="O1055" i="8"/>
  <c r="P1055" i="8"/>
  <c r="Q1055" i="8"/>
  <c r="R1055" i="8"/>
  <c r="S1055" i="8"/>
  <c r="AB1055" i="8"/>
  <c r="AE1055" i="8"/>
  <c r="D1056" i="8"/>
  <c r="H1056" i="8"/>
  <c r="J1056" i="8"/>
  <c r="O1056" i="8"/>
  <c r="P1056" i="8"/>
  <c r="Q1056" i="8"/>
  <c r="R1056" i="8"/>
  <c r="S1056" i="8"/>
  <c r="AB1056" i="8"/>
  <c r="AE1056" i="8"/>
  <c r="D1057" i="8"/>
  <c r="H1057" i="8"/>
  <c r="J1057" i="8"/>
  <c r="O1057" i="8"/>
  <c r="P1057" i="8"/>
  <c r="Q1057" i="8"/>
  <c r="R1057" i="8"/>
  <c r="S1057" i="8"/>
  <c r="AB1057" i="8"/>
  <c r="AE1057" i="8"/>
  <c r="D1058" i="8"/>
  <c r="H1058" i="8"/>
  <c r="J1058" i="8"/>
  <c r="O1058" i="8"/>
  <c r="P1058" i="8"/>
  <c r="Q1058" i="8"/>
  <c r="R1058" i="8"/>
  <c r="S1058" i="8"/>
  <c r="AB1058" i="8"/>
  <c r="AE1058" i="8"/>
  <c r="D1059" i="8"/>
  <c r="H1059" i="8"/>
  <c r="J1059" i="8"/>
  <c r="O1059" i="8"/>
  <c r="P1059" i="8"/>
  <c r="Q1059" i="8"/>
  <c r="R1059" i="8"/>
  <c r="S1059" i="8"/>
  <c r="AB1059" i="8"/>
  <c r="AE1059" i="8"/>
  <c r="D1060" i="8"/>
  <c r="H1060" i="8"/>
  <c r="J1060" i="8"/>
  <c r="O1060" i="8"/>
  <c r="P1060" i="8"/>
  <c r="Q1060" i="8"/>
  <c r="R1060" i="8"/>
  <c r="S1060" i="8"/>
  <c r="AB1060" i="8"/>
  <c r="AE1060" i="8"/>
  <c r="D1061" i="8"/>
  <c r="H1061" i="8"/>
  <c r="J1061" i="8"/>
  <c r="O1061" i="8"/>
  <c r="P1061" i="8"/>
  <c r="Q1061" i="8"/>
  <c r="R1061" i="8"/>
  <c r="S1061" i="8"/>
  <c r="AB1061" i="8"/>
  <c r="AE1061" i="8"/>
  <c r="D1062" i="8"/>
  <c r="H1062" i="8"/>
  <c r="J1062" i="8"/>
  <c r="O1062" i="8"/>
  <c r="P1062" i="8"/>
  <c r="Q1062" i="8"/>
  <c r="R1062" i="8"/>
  <c r="S1062" i="8"/>
  <c r="AB1062" i="8"/>
  <c r="AE1062" i="8"/>
  <c r="D1063" i="8"/>
  <c r="H1063" i="8"/>
  <c r="J1063" i="8"/>
  <c r="O1063" i="8"/>
  <c r="P1063" i="8"/>
  <c r="Q1063" i="8"/>
  <c r="R1063" i="8"/>
  <c r="S1063" i="8"/>
  <c r="AB1063" i="8"/>
  <c r="AE1063" i="8"/>
  <c r="D1064" i="8"/>
  <c r="H1064" i="8"/>
  <c r="J1064" i="8"/>
  <c r="O1064" i="8"/>
  <c r="P1064" i="8"/>
  <c r="Q1064" i="8"/>
  <c r="R1064" i="8"/>
  <c r="S1064" i="8"/>
  <c r="AB1064" i="8"/>
  <c r="AE1064" i="8"/>
  <c r="D1065" i="8"/>
  <c r="H1065" i="8"/>
  <c r="J1065" i="8"/>
  <c r="O1065" i="8"/>
  <c r="P1065" i="8"/>
  <c r="Q1065" i="8"/>
  <c r="R1065" i="8"/>
  <c r="S1065" i="8"/>
  <c r="AB1065" i="8"/>
  <c r="AE1065" i="8"/>
  <c r="D1066" i="8"/>
  <c r="H1066" i="8"/>
  <c r="J1066" i="8"/>
  <c r="O1066" i="8"/>
  <c r="P1066" i="8"/>
  <c r="Q1066" i="8"/>
  <c r="R1066" i="8"/>
  <c r="S1066" i="8"/>
  <c r="AB1066" i="8"/>
  <c r="AE1066" i="8"/>
  <c r="D1067" i="8"/>
  <c r="H1067" i="8"/>
  <c r="J1067" i="8"/>
  <c r="O1067" i="8"/>
  <c r="P1067" i="8"/>
  <c r="Q1067" i="8"/>
  <c r="R1067" i="8"/>
  <c r="S1067" i="8"/>
  <c r="AB1067" i="8"/>
  <c r="AE1067" i="8"/>
  <c r="D1068" i="8"/>
  <c r="H1068" i="8"/>
  <c r="J1068" i="8"/>
  <c r="O1068" i="8"/>
  <c r="P1068" i="8"/>
  <c r="Q1068" i="8"/>
  <c r="R1068" i="8"/>
  <c r="S1068" i="8"/>
  <c r="AB1068" i="8"/>
  <c r="AE1068" i="8"/>
  <c r="D1069" i="8"/>
  <c r="H1069" i="8"/>
  <c r="J1069" i="8"/>
  <c r="O1069" i="8"/>
  <c r="P1069" i="8"/>
  <c r="Q1069" i="8"/>
  <c r="R1069" i="8"/>
  <c r="S1069" i="8"/>
  <c r="AB1069" i="8"/>
  <c r="AE1069" i="8"/>
  <c r="D1070" i="8"/>
  <c r="H1070" i="8"/>
  <c r="J1070" i="8"/>
  <c r="O1070" i="8"/>
  <c r="P1070" i="8"/>
  <c r="Q1070" i="8"/>
  <c r="R1070" i="8"/>
  <c r="S1070" i="8"/>
  <c r="AB1070" i="8"/>
  <c r="AE1070" i="8"/>
  <c r="D1071" i="8"/>
  <c r="H1071" i="8"/>
  <c r="J1071" i="8"/>
  <c r="O1071" i="8"/>
  <c r="P1071" i="8"/>
  <c r="Q1071" i="8"/>
  <c r="R1071" i="8"/>
  <c r="S1071" i="8"/>
  <c r="AB1071" i="8"/>
  <c r="AE1071" i="8"/>
  <c r="D1072" i="8"/>
  <c r="H1072" i="8"/>
  <c r="J1072" i="8"/>
  <c r="O1072" i="8"/>
  <c r="P1072" i="8"/>
  <c r="Q1072" i="8"/>
  <c r="R1072" i="8"/>
  <c r="S1072" i="8"/>
  <c r="AB1072" i="8"/>
  <c r="AE1072" i="8"/>
  <c r="D1073" i="8"/>
  <c r="H1073" i="8"/>
  <c r="J1073" i="8"/>
  <c r="O1073" i="8"/>
  <c r="P1073" i="8"/>
  <c r="Q1073" i="8"/>
  <c r="R1073" i="8"/>
  <c r="S1073" i="8"/>
  <c r="AB1073" i="8"/>
  <c r="AE1073" i="8"/>
  <c r="D1074" i="8"/>
  <c r="H1074" i="8"/>
  <c r="J1074" i="8"/>
  <c r="O1074" i="8"/>
  <c r="P1074" i="8"/>
  <c r="Q1074" i="8"/>
  <c r="R1074" i="8"/>
  <c r="S1074" i="8"/>
  <c r="AB1074" i="8"/>
  <c r="AE1074" i="8"/>
  <c r="D1075" i="8"/>
  <c r="H1075" i="8"/>
  <c r="J1075" i="8"/>
  <c r="O1075" i="8"/>
  <c r="P1075" i="8"/>
  <c r="Q1075" i="8"/>
  <c r="R1075" i="8"/>
  <c r="S1075" i="8"/>
  <c r="AB1075" i="8"/>
  <c r="AE1075" i="8"/>
  <c r="D1076" i="8"/>
  <c r="H1076" i="8"/>
  <c r="J1076" i="8"/>
  <c r="O1076" i="8"/>
  <c r="P1076" i="8"/>
  <c r="Q1076" i="8"/>
  <c r="R1076" i="8"/>
  <c r="S1076" i="8"/>
  <c r="AB1076" i="8"/>
  <c r="AE1076" i="8"/>
  <c r="D1077" i="8"/>
  <c r="H1077" i="8"/>
  <c r="J1077" i="8"/>
  <c r="O1077" i="8"/>
  <c r="P1077" i="8"/>
  <c r="Q1077" i="8"/>
  <c r="R1077" i="8"/>
  <c r="S1077" i="8"/>
  <c r="AB1077" i="8"/>
  <c r="AE1077" i="8"/>
  <c r="D1078" i="8"/>
  <c r="H1078" i="8"/>
  <c r="J1078" i="8"/>
  <c r="O1078" i="8"/>
  <c r="P1078" i="8"/>
  <c r="Q1078" i="8"/>
  <c r="R1078" i="8"/>
  <c r="S1078" i="8"/>
  <c r="AB1078" i="8"/>
  <c r="AE1078" i="8"/>
  <c r="D1079" i="8"/>
  <c r="H1079" i="8"/>
  <c r="J1079" i="8"/>
  <c r="O1079" i="8"/>
  <c r="P1079" i="8"/>
  <c r="Q1079" i="8"/>
  <c r="R1079" i="8"/>
  <c r="S1079" i="8"/>
  <c r="AB1079" i="8"/>
  <c r="AE1079" i="8"/>
  <c r="D1080" i="8"/>
  <c r="H1080" i="8"/>
  <c r="J1080" i="8"/>
  <c r="O1080" i="8"/>
  <c r="P1080" i="8"/>
  <c r="Q1080" i="8"/>
  <c r="R1080" i="8"/>
  <c r="S1080" i="8"/>
  <c r="AB1080" i="8"/>
  <c r="AE1080" i="8"/>
  <c r="D1081" i="8"/>
  <c r="H1081" i="8"/>
  <c r="J1081" i="8"/>
  <c r="O1081" i="8"/>
  <c r="P1081" i="8"/>
  <c r="Q1081" i="8"/>
  <c r="R1081" i="8"/>
  <c r="S1081" i="8"/>
  <c r="AB1081" i="8"/>
  <c r="AE1081" i="8"/>
  <c r="D1082" i="8"/>
  <c r="H1082" i="8"/>
  <c r="J1082" i="8"/>
  <c r="O1082" i="8"/>
  <c r="P1082" i="8"/>
  <c r="Q1082" i="8"/>
  <c r="R1082" i="8"/>
  <c r="S1082" i="8"/>
  <c r="AB1082" i="8"/>
  <c r="AE1082" i="8"/>
  <c r="D1083" i="8"/>
  <c r="H1083" i="8"/>
  <c r="J1083" i="8"/>
  <c r="O1083" i="8"/>
  <c r="P1083" i="8"/>
  <c r="Q1083" i="8"/>
  <c r="R1083" i="8"/>
  <c r="S1083" i="8"/>
  <c r="AB1083" i="8"/>
  <c r="AE1083" i="8"/>
  <c r="D1084" i="8"/>
  <c r="H1084" i="8"/>
  <c r="J1084" i="8"/>
  <c r="O1084" i="8"/>
  <c r="P1084" i="8"/>
  <c r="Q1084" i="8"/>
  <c r="R1084" i="8"/>
  <c r="S1084" i="8"/>
  <c r="AB1084" i="8"/>
  <c r="AE1084" i="8"/>
  <c r="D1085" i="8"/>
  <c r="H1085" i="8"/>
  <c r="J1085" i="8"/>
  <c r="O1085" i="8"/>
  <c r="P1085" i="8"/>
  <c r="Q1085" i="8"/>
  <c r="R1085" i="8"/>
  <c r="S1085" i="8"/>
  <c r="AB1085" i="8"/>
  <c r="AE1085" i="8"/>
  <c r="D1086" i="8"/>
  <c r="H1086" i="8"/>
  <c r="J1086" i="8"/>
  <c r="O1086" i="8"/>
  <c r="P1086" i="8"/>
  <c r="Q1086" i="8"/>
  <c r="R1086" i="8"/>
  <c r="S1086" i="8"/>
  <c r="AB1086" i="8"/>
  <c r="AE1086" i="8"/>
  <c r="D1087" i="8"/>
  <c r="H1087" i="8"/>
  <c r="J1087" i="8"/>
  <c r="O1087" i="8"/>
  <c r="P1087" i="8"/>
  <c r="Q1087" i="8"/>
  <c r="R1087" i="8"/>
  <c r="S1087" i="8"/>
  <c r="AB1087" i="8"/>
  <c r="AE1087" i="8"/>
  <c r="D1088" i="8"/>
  <c r="H1088" i="8"/>
  <c r="J1088" i="8"/>
  <c r="O1088" i="8"/>
  <c r="P1088" i="8"/>
  <c r="Q1088" i="8"/>
  <c r="R1088" i="8"/>
  <c r="S1088" i="8"/>
  <c r="AB1088" i="8"/>
  <c r="AE1088" i="8"/>
  <c r="D1089" i="8"/>
  <c r="H1089" i="8"/>
  <c r="J1089" i="8"/>
  <c r="O1089" i="8"/>
  <c r="P1089" i="8"/>
  <c r="Q1089" i="8"/>
  <c r="R1089" i="8"/>
  <c r="S1089" i="8"/>
  <c r="AB1089" i="8"/>
  <c r="AE1089" i="8"/>
  <c r="D1090" i="8"/>
  <c r="H1090" i="8"/>
  <c r="J1090" i="8"/>
  <c r="O1090" i="8"/>
  <c r="P1090" i="8"/>
  <c r="Q1090" i="8"/>
  <c r="R1090" i="8"/>
  <c r="S1090" i="8"/>
  <c r="AB1090" i="8"/>
  <c r="AE1090" i="8"/>
  <c r="D1091" i="8"/>
  <c r="H1091" i="8"/>
  <c r="J1091" i="8"/>
  <c r="O1091" i="8"/>
  <c r="P1091" i="8"/>
  <c r="Q1091" i="8"/>
  <c r="R1091" i="8"/>
  <c r="S1091" i="8"/>
  <c r="AB1091" i="8"/>
  <c r="AE1091" i="8"/>
  <c r="D1092" i="8"/>
  <c r="H1092" i="8"/>
  <c r="J1092" i="8"/>
  <c r="O1092" i="8"/>
  <c r="P1092" i="8"/>
  <c r="Q1092" i="8"/>
  <c r="R1092" i="8"/>
  <c r="S1092" i="8"/>
  <c r="AB1092" i="8"/>
  <c r="AE1092" i="8"/>
  <c r="D1093" i="8"/>
  <c r="H1093" i="8"/>
  <c r="J1093" i="8"/>
  <c r="O1093" i="8"/>
  <c r="P1093" i="8"/>
  <c r="Q1093" i="8"/>
  <c r="R1093" i="8"/>
  <c r="S1093" i="8"/>
  <c r="AB1093" i="8"/>
  <c r="AE1093" i="8"/>
  <c r="D1094" i="8"/>
  <c r="H1094" i="8"/>
  <c r="J1094" i="8"/>
  <c r="O1094" i="8"/>
  <c r="P1094" i="8"/>
  <c r="Q1094" i="8"/>
  <c r="R1094" i="8"/>
  <c r="S1094" i="8"/>
  <c r="AB1094" i="8"/>
  <c r="AE1094" i="8"/>
  <c r="D1095" i="8"/>
  <c r="H1095" i="8"/>
  <c r="J1095" i="8"/>
  <c r="O1095" i="8"/>
  <c r="P1095" i="8"/>
  <c r="Q1095" i="8"/>
  <c r="R1095" i="8"/>
  <c r="S1095" i="8"/>
  <c r="AB1095" i="8"/>
  <c r="AE1095" i="8"/>
  <c r="D1096" i="8"/>
  <c r="H1096" i="8"/>
  <c r="J1096" i="8"/>
  <c r="O1096" i="8"/>
  <c r="P1096" i="8"/>
  <c r="Q1096" i="8"/>
  <c r="R1096" i="8"/>
  <c r="S1096" i="8"/>
  <c r="AB1096" i="8"/>
  <c r="AE1096" i="8"/>
  <c r="D1097" i="8"/>
  <c r="H1097" i="8"/>
  <c r="J1097" i="8"/>
  <c r="O1097" i="8"/>
  <c r="P1097" i="8"/>
  <c r="Q1097" i="8"/>
  <c r="R1097" i="8"/>
  <c r="S1097" i="8"/>
  <c r="AB1097" i="8"/>
  <c r="AE1097" i="8"/>
  <c r="D1098" i="8"/>
  <c r="H1098" i="8"/>
  <c r="J1098" i="8"/>
  <c r="O1098" i="8"/>
  <c r="P1098" i="8"/>
  <c r="Q1098" i="8"/>
  <c r="R1098" i="8"/>
  <c r="S1098" i="8"/>
  <c r="AB1098" i="8"/>
  <c r="AE1098" i="8"/>
  <c r="D1099" i="8"/>
  <c r="H1099" i="8"/>
  <c r="J1099" i="8"/>
  <c r="O1099" i="8"/>
  <c r="P1099" i="8"/>
  <c r="Q1099" i="8"/>
  <c r="R1099" i="8"/>
  <c r="S1099" i="8"/>
  <c r="AB1099" i="8"/>
  <c r="AE1099" i="8"/>
  <c r="D1100" i="8"/>
  <c r="H1100" i="8"/>
  <c r="J1100" i="8"/>
  <c r="O1100" i="8"/>
  <c r="P1100" i="8"/>
  <c r="Q1100" i="8"/>
  <c r="R1100" i="8"/>
  <c r="S1100" i="8"/>
  <c r="AB1100" i="8"/>
  <c r="AE1100" i="8"/>
  <c r="D1101" i="8"/>
  <c r="H1101" i="8"/>
  <c r="J1101" i="8"/>
  <c r="O1101" i="8"/>
  <c r="P1101" i="8"/>
  <c r="Q1101" i="8"/>
  <c r="R1101" i="8"/>
  <c r="S1101" i="8"/>
  <c r="AB1101" i="8"/>
  <c r="AE1101" i="8"/>
  <c r="D1102" i="8"/>
  <c r="H1102" i="8"/>
  <c r="J1102" i="8"/>
  <c r="O1102" i="8"/>
  <c r="P1102" i="8"/>
  <c r="Q1102" i="8"/>
  <c r="R1102" i="8"/>
  <c r="S1102" i="8"/>
  <c r="AB1102" i="8"/>
  <c r="AE1102" i="8"/>
  <c r="D1103" i="8"/>
  <c r="H1103" i="8"/>
  <c r="J1103" i="8"/>
  <c r="O1103" i="8"/>
  <c r="P1103" i="8"/>
  <c r="Q1103" i="8"/>
  <c r="R1103" i="8"/>
  <c r="S1103" i="8"/>
  <c r="AB1103" i="8"/>
  <c r="AE1103" i="8"/>
  <c r="D1104" i="8"/>
  <c r="H1104" i="8"/>
  <c r="J1104" i="8"/>
  <c r="O1104" i="8"/>
  <c r="P1104" i="8"/>
  <c r="Q1104" i="8"/>
  <c r="R1104" i="8"/>
  <c r="S1104" i="8"/>
  <c r="AB1104" i="8"/>
  <c r="AE1104" i="8"/>
  <c r="D1105" i="8"/>
  <c r="H1105" i="8"/>
  <c r="J1105" i="8"/>
  <c r="O1105" i="8"/>
  <c r="P1105" i="8"/>
  <c r="Q1105" i="8"/>
  <c r="R1105" i="8"/>
  <c r="S1105" i="8"/>
  <c r="AB1105" i="8"/>
  <c r="AE1105" i="8"/>
  <c r="D1106" i="8"/>
  <c r="H1106" i="8"/>
  <c r="J1106" i="8"/>
  <c r="O1106" i="8"/>
  <c r="P1106" i="8"/>
  <c r="Q1106" i="8"/>
  <c r="R1106" i="8"/>
  <c r="S1106" i="8"/>
  <c r="AB1106" i="8"/>
  <c r="AE1106" i="8"/>
  <c r="D1107" i="8"/>
  <c r="H1107" i="8"/>
  <c r="J1107" i="8"/>
  <c r="O1107" i="8"/>
  <c r="P1107" i="8"/>
  <c r="Q1107" i="8"/>
  <c r="R1107" i="8"/>
  <c r="S1107" i="8"/>
  <c r="AB1107" i="8"/>
  <c r="AE1107" i="8"/>
  <c r="D1108" i="8"/>
  <c r="H1108" i="8"/>
  <c r="J1108" i="8"/>
  <c r="O1108" i="8"/>
  <c r="P1108" i="8"/>
  <c r="Q1108" i="8"/>
  <c r="R1108" i="8"/>
  <c r="S1108" i="8"/>
  <c r="AB1108" i="8"/>
  <c r="AE1108" i="8"/>
  <c r="D1109" i="8"/>
  <c r="H1109" i="8"/>
  <c r="J1109" i="8"/>
  <c r="O1109" i="8"/>
  <c r="P1109" i="8"/>
  <c r="Q1109" i="8"/>
  <c r="R1109" i="8"/>
  <c r="S1109" i="8"/>
  <c r="AB1109" i="8"/>
  <c r="AE1109" i="8"/>
  <c r="D1110" i="8"/>
  <c r="H1110" i="8"/>
  <c r="J1110" i="8"/>
  <c r="O1110" i="8"/>
  <c r="P1110" i="8"/>
  <c r="Q1110" i="8"/>
  <c r="R1110" i="8"/>
  <c r="S1110" i="8"/>
  <c r="AB1110" i="8"/>
  <c r="AE1110" i="8"/>
  <c r="D1111" i="8"/>
  <c r="H1111" i="8"/>
  <c r="J1111" i="8"/>
  <c r="O1111" i="8"/>
  <c r="P1111" i="8"/>
  <c r="Q1111" i="8"/>
  <c r="R1111" i="8"/>
  <c r="S1111" i="8"/>
  <c r="AB1111" i="8"/>
  <c r="AE1111" i="8"/>
  <c r="D1112" i="8"/>
  <c r="H1112" i="8"/>
  <c r="J1112" i="8"/>
  <c r="O1112" i="8"/>
  <c r="P1112" i="8"/>
  <c r="Q1112" i="8"/>
  <c r="R1112" i="8"/>
  <c r="S1112" i="8"/>
  <c r="AB1112" i="8"/>
  <c r="AE1112" i="8"/>
  <c r="D1113" i="8"/>
  <c r="H1113" i="8"/>
  <c r="J1113" i="8"/>
  <c r="O1113" i="8"/>
  <c r="P1113" i="8"/>
  <c r="Q1113" i="8"/>
  <c r="R1113" i="8"/>
  <c r="S1113" i="8"/>
  <c r="AB1113" i="8"/>
  <c r="AE1113" i="8"/>
  <c r="D1114" i="8"/>
  <c r="H1114" i="8"/>
  <c r="J1114" i="8"/>
  <c r="O1114" i="8"/>
  <c r="P1114" i="8"/>
  <c r="Q1114" i="8"/>
  <c r="R1114" i="8"/>
  <c r="S1114" i="8"/>
  <c r="AB1114" i="8"/>
  <c r="AE1114" i="8"/>
  <c r="D1115" i="8"/>
  <c r="H1115" i="8"/>
  <c r="J1115" i="8"/>
  <c r="O1115" i="8"/>
  <c r="P1115" i="8"/>
  <c r="Q1115" i="8"/>
  <c r="R1115" i="8"/>
  <c r="S1115" i="8"/>
  <c r="AB1115" i="8"/>
  <c r="AE1115" i="8"/>
  <c r="D1116" i="8"/>
  <c r="H1116" i="8"/>
  <c r="J1116" i="8"/>
  <c r="O1116" i="8"/>
  <c r="P1116" i="8"/>
  <c r="Q1116" i="8"/>
  <c r="R1116" i="8"/>
  <c r="S1116" i="8"/>
  <c r="AB1116" i="8"/>
  <c r="AE1116" i="8"/>
  <c r="D1117" i="8"/>
  <c r="H1117" i="8"/>
  <c r="J1117" i="8"/>
  <c r="O1117" i="8"/>
  <c r="P1117" i="8"/>
  <c r="Q1117" i="8"/>
  <c r="R1117" i="8"/>
  <c r="S1117" i="8"/>
  <c r="AB1117" i="8"/>
  <c r="AE1117" i="8"/>
  <c r="D1118" i="8"/>
  <c r="H1118" i="8"/>
  <c r="J1118" i="8"/>
  <c r="O1118" i="8"/>
  <c r="P1118" i="8"/>
  <c r="Q1118" i="8"/>
  <c r="R1118" i="8"/>
  <c r="S1118" i="8"/>
  <c r="AB1118" i="8"/>
  <c r="AE1118" i="8"/>
  <c r="D1119" i="8"/>
  <c r="H1119" i="8"/>
  <c r="J1119" i="8"/>
  <c r="O1119" i="8"/>
  <c r="P1119" i="8"/>
  <c r="Q1119" i="8"/>
  <c r="R1119" i="8"/>
  <c r="S1119" i="8"/>
  <c r="AB1119" i="8"/>
  <c r="AE1119" i="8"/>
  <c r="D1120" i="8"/>
  <c r="H1120" i="8"/>
  <c r="J1120" i="8"/>
  <c r="O1120" i="8"/>
  <c r="P1120" i="8"/>
  <c r="Q1120" i="8"/>
  <c r="R1120" i="8"/>
  <c r="S1120" i="8"/>
  <c r="AB1120" i="8"/>
  <c r="AE1120" i="8"/>
  <c r="D1121" i="8"/>
  <c r="H1121" i="8"/>
  <c r="J1121" i="8"/>
  <c r="O1121" i="8"/>
  <c r="P1121" i="8"/>
  <c r="Q1121" i="8"/>
  <c r="R1121" i="8"/>
  <c r="S1121" i="8"/>
  <c r="AB1121" i="8"/>
  <c r="AE1121" i="8"/>
  <c r="D1122" i="8"/>
  <c r="H1122" i="8"/>
  <c r="J1122" i="8"/>
  <c r="O1122" i="8"/>
  <c r="P1122" i="8"/>
  <c r="Q1122" i="8"/>
  <c r="R1122" i="8"/>
  <c r="S1122" i="8"/>
  <c r="AB1122" i="8"/>
  <c r="AE1122" i="8"/>
  <c r="D1123" i="8"/>
  <c r="H1123" i="8"/>
  <c r="J1123" i="8"/>
  <c r="O1123" i="8"/>
  <c r="P1123" i="8"/>
  <c r="Q1123" i="8"/>
  <c r="R1123" i="8"/>
  <c r="S1123" i="8"/>
  <c r="AB1123" i="8"/>
  <c r="AE1123" i="8"/>
  <c r="D1124" i="8"/>
  <c r="H1124" i="8"/>
  <c r="J1124" i="8"/>
  <c r="O1124" i="8"/>
  <c r="P1124" i="8"/>
  <c r="Q1124" i="8"/>
  <c r="R1124" i="8"/>
  <c r="S1124" i="8"/>
  <c r="AE1124" i="8"/>
  <c r="D1125" i="8"/>
  <c r="H1125" i="8"/>
  <c r="J1125" i="8"/>
  <c r="O1125" i="8"/>
  <c r="P1125" i="8"/>
  <c r="Q1125" i="8"/>
  <c r="R1125" i="8"/>
  <c r="S1125" i="8"/>
  <c r="AE1125" i="8"/>
  <c r="D1126" i="8"/>
  <c r="H1126" i="8"/>
  <c r="J1126" i="8"/>
  <c r="O1126" i="8"/>
  <c r="P1126" i="8"/>
  <c r="Q1126" i="8"/>
  <c r="R1126" i="8"/>
  <c r="S1126" i="8"/>
  <c r="AE1126" i="8"/>
  <c r="D1127" i="8"/>
  <c r="H1127" i="8"/>
  <c r="J1127" i="8"/>
  <c r="O1127" i="8"/>
  <c r="P1127" i="8"/>
  <c r="Q1127" i="8"/>
  <c r="R1127" i="8"/>
  <c r="S1127" i="8"/>
  <c r="AE1127" i="8"/>
  <c r="D1128" i="8"/>
  <c r="H1128" i="8"/>
  <c r="J1128" i="8"/>
  <c r="O1128" i="8"/>
  <c r="P1128" i="8"/>
  <c r="Q1128" i="8"/>
  <c r="R1128" i="8"/>
  <c r="S1128" i="8"/>
  <c r="AE1128" i="8"/>
  <c r="D1129" i="8"/>
  <c r="H1129" i="8"/>
  <c r="J1129" i="8"/>
  <c r="O1129" i="8"/>
  <c r="P1129" i="8"/>
  <c r="Q1129" i="8"/>
  <c r="R1129" i="8"/>
  <c r="S1129" i="8"/>
  <c r="AE1129" i="8"/>
  <c r="D1130" i="8"/>
  <c r="H1130" i="8"/>
  <c r="J1130" i="8"/>
  <c r="O1130" i="8"/>
  <c r="P1130" i="8"/>
  <c r="Q1130" i="8"/>
  <c r="R1130" i="8"/>
  <c r="S1130" i="8"/>
  <c r="AE1130" i="8"/>
  <c r="D1131" i="8"/>
  <c r="H1131" i="8"/>
  <c r="J1131" i="8"/>
  <c r="O1131" i="8"/>
  <c r="P1131" i="8"/>
  <c r="Q1131" i="8"/>
  <c r="R1131" i="8"/>
  <c r="S1131" i="8"/>
  <c r="AE1131" i="8"/>
  <c r="D1132" i="8"/>
  <c r="H1132" i="8"/>
  <c r="J1132" i="8"/>
  <c r="O1132" i="8"/>
  <c r="P1132" i="8"/>
  <c r="Q1132" i="8"/>
  <c r="R1132" i="8"/>
  <c r="S1132" i="8"/>
  <c r="AE1132" i="8"/>
  <c r="D1133" i="8"/>
  <c r="H1133" i="8"/>
  <c r="J1133" i="8"/>
  <c r="O1133" i="8"/>
  <c r="P1133" i="8"/>
  <c r="Q1133" i="8"/>
  <c r="R1133" i="8"/>
  <c r="S1133" i="8"/>
  <c r="AE1133" i="8"/>
  <c r="D1134" i="8"/>
  <c r="H1134" i="8"/>
  <c r="J1134" i="8"/>
  <c r="O1134" i="8"/>
  <c r="P1134" i="8"/>
  <c r="Q1134" i="8"/>
  <c r="R1134" i="8"/>
  <c r="S1134" i="8"/>
  <c r="AE1134" i="8"/>
  <c r="D1135" i="8"/>
  <c r="H1135" i="8"/>
  <c r="J1135" i="8"/>
  <c r="O1135" i="8"/>
  <c r="P1135" i="8"/>
  <c r="Q1135" i="8"/>
  <c r="R1135" i="8"/>
  <c r="S1135" i="8"/>
  <c r="AE1135" i="8"/>
  <c r="D1136" i="8"/>
  <c r="H1136" i="8"/>
  <c r="J1136" i="8"/>
  <c r="O1136" i="8"/>
  <c r="P1136" i="8"/>
  <c r="Q1136" i="8"/>
  <c r="R1136" i="8"/>
  <c r="S1136" i="8"/>
  <c r="AE1136" i="8"/>
  <c r="D1137" i="8"/>
  <c r="H1137" i="8"/>
  <c r="J1137" i="8"/>
  <c r="O1137" i="8"/>
  <c r="P1137" i="8"/>
  <c r="Q1137" i="8"/>
  <c r="R1137" i="8"/>
  <c r="S1137" i="8"/>
  <c r="AE1137" i="8"/>
  <c r="D1138" i="8"/>
  <c r="H1138" i="8"/>
  <c r="J1138" i="8"/>
  <c r="O1138" i="8"/>
  <c r="P1138" i="8"/>
  <c r="Q1138" i="8"/>
  <c r="R1138" i="8"/>
  <c r="S1138" i="8"/>
  <c r="AE1138" i="8"/>
  <c r="D1139" i="8"/>
  <c r="H1139" i="8"/>
  <c r="J1139" i="8"/>
  <c r="O1139" i="8"/>
  <c r="P1139" i="8"/>
  <c r="Q1139" i="8"/>
  <c r="R1139" i="8"/>
  <c r="S1139" i="8"/>
  <c r="AE1139" i="8"/>
  <c r="D1140" i="8"/>
  <c r="H1140" i="8"/>
  <c r="J1140" i="8"/>
  <c r="O1140" i="8"/>
  <c r="P1140" i="8"/>
  <c r="Q1140" i="8"/>
  <c r="R1140" i="8"/>
  <c r="S1140" i="8"/>
  <c r="AE1140" i="8"/>
  <c r="D1141" i="8"/>
  <c r="H1141" i="8"/>
  <c r="J1141" i="8"/>
  <c r="O1141" i="8"/>
  <c r="P1141" i="8"/>
  <c r="Q1141" i="8"/>
  <c r="R1141" i="8"/>
  <c r="S1141" i="8"/>
  <c r="AE1141" i="8"/>
  <c r="D1142" i="8"/>
  <c r="H1142" i="8"/>
  <c r="J1142" i="8"/>
  <c r="O1142" i="8"/>
  <c r="P1142" i="8"/>
  <c r="Q1142" i="8"/>
  <c r="R1142" i="8"/>
  <c r="S1142" i="8"/>
  <c r="AE1142" i="8"/>
  <c r="D1143" i="8"/>
  <c r="H1143" i="8"/>
  <c r="J1143" i="8"/>
  <c r="O1143" i="8"/>
  <c r="P1143" i="8"/>
  <c r="Q1143" i="8"/>
  <c r="R1143" i="8"/>
  <c r="S1143" i="8"/>
  <c r="AE1143" i="8"/>
  <c r="D1144" i="8"/>
  <c r="H1144" i="8"/>
  <c r="J1144" i="8"/>
  <c r="O1144" i="8"/>
  <c r="P1144" i="8"/>
  <c r="Q1144" i="8"/>
  <c r="R1144" i="8"/>
  <c r="S1144" i="8"/>
  <c r="AE1144" i="8"/>
  <c r="D1145" i="8"/>
  <c r="H1145" i="8"/>
  <c r="J1145" i="8"/>
  <c r="O1145" i="8"/>
  <c r="P1145" i="8"/>
  <c r="Q1145" i="8"/>
  <c r="R1145" i="8"/>
  <c r="S1145" i="8"/>
  <c r="AE1145" i="8"/>
  <c r="D1146" i="8"/>
  <c r="H1146" i="8"/>
  <c r="J1146" i="8"/>
  <c r="O1146" i="8"/>
  <c r="P1146" i="8"/>
  <c r="Q1146" i="8"/>
  <c r="R1146" i="8"/>
  <c r="S1146" i="8"/>
  <c r="AE1146" i="8"/>
  <c r="D1147" i="8"/>
  <c r="H1147" i="8"/>
  <c r="J1147" i="8"/>
  <c r="O1147" i="8"/>
  <c r="P1147" i="8"/>
  <c r="Q1147" i="8"/>
  <c r="R1147" i="8"/>
  <c r="S1147" i="8"/>
  <c r="AE1147" i="8"/>
  <c r="D1148" i="8"/>
  <c r="H1148" i="8"/>
  <c r="J1148" i="8"/>
  <c r="O1148" i="8"/>
  <c r="P1148" i="8"/>
  <c r="Q1148" i="8"/>
  <c r="R1148" i="8"/>
  <c r="S1148" i="8"/>
  <c r="AE1148" i="8"/>
  <c r="D1149" i="8"/>
  <c r="H1149" i="8"/>
  <c r="J1149" i="8"/>
  <c r="O1149" i="8"/>
  <c r="P1149" i="8"/>
  <c r="Q1149" i="8"/>
  <c r="R1149" i="8"/>
  <c r="S1149" i="8"/>
  <c r="AE1149" i="8"/>
  <c r="D1150" i="8"/>
  <c r="H1150" i="8"/>
  <c r="J1150" i="8"/>
  <c r="O1150" i="8"/>
  <c r="P1150" i="8"/>
  <c r="Q1150" i="8"/>
  <c r="R1150" i="8"/>
  <c r="S1150" i="8"/>
  <c r="AE1150" i="8"/>
  <c r="D1151" i="8"/>
  <c r="H1151" i="8"/>
  <c r="J1151" i="8"/>
  <c r="O1151" i="8"/>
  <c r="P1151" i="8"/>
  <c r="Q1151" i="8"/>
  <c r="R1151" i="8"/>
  <c r="S1151" i="8"/>
  <c r="AE1151" i="8"/>
  <c r="D1152" i="8"/>
  <c r="H1152" i="8"/>
  <c r="J1152" i="8"/>
  <c r="O1152" i="8"/>
  <c r="P1152" i="8"/>
  <c r="Q1152" i="8"/>
  <c r="R1152" i="8"/>
  <c r="S1152" i="8"/>
  <c r="AE1152" i="8"/>
  <c r="D1153" i="8"/>
  <c r="H1153" i="8"/>
  <c r="J1153" i="8"/>
  <c r="O1153" i="8"/>
  <c r="P1153" i="8"/>
  <c r="Q1153" i="8"/>
  <c r="R1153" i="8"/>
  <c r="S1153" i="8"/>
  <c r="AE1153" i="8"/>
  <c r="D1154" i="8"/>
  <c r="H1154" i="8"/>
  <c r="J1154" i="8"/>
  <c r="O1154" i="8"/>
  <c r="P1154" i="8"/>
  <c r="Q1154" i="8"/>
  <c r="R1154" i="8"/>
  <c r="S1154" i="8"/>
  <c r="AE1154" i="8"/>
  <c r="D1155" i="8"/>
  <c r="H1155" i="8"/>
  <c r="J1155" i="8"/>
  <c r="O1155" i="8"/>
  <c r="P1155" i="8"/>
  <c r="Q1155" i="8"/>
  <c r="R1155" i="8"/>
  <c r="S1155" i="8"/>
  <c r="AE1155" i="8"/>
  <c r="D1156" i="8"/>
  <c r="H1156" i="8"/>
  <c r="J1156" i="8"/>
  <c r="O1156" i="8"/>
  <c r="P1156" i="8"/>
  <c r="Q1156" i="8"/>
  <c r="R1156" i="8"/>
  <c r="S1156" i="8"/>
  <c r="AE1156" i="8"/>
  <c r="D1157" i="8"/>
  <c r="H1157" i="8"/>
  <c r="J1157" i="8"/>
  <c r="O1157" i="8"/>
  <c r="P1157" i="8"/>
  <c r="Q1157" i="8"/>
  <c r="R1157" i="8"/>
  <c r="S1157" i="8"/>
  <c r="AE1157" i="8"/>
  <c r="D1158" i="8"/>
  <c r="H1158" i="8"/>
  <c r="J1158" i="8"/>
  <c r="O1158" i="8"/>
  <c r="P1158" i="8"/>
  <c r="Q1158" i="8"/>
  <c r="R1158" i="8"/>
  <c r="S1158" i="8"/>
  <c r="AE1158" i="8"/>
  <c r="D1159" i="8"/>
  <c r="H1159" i="8"/>
  <c r="J1159" i="8"/>
  <c r="O1159" i="8"/>
  <c r="P1159" i="8"/>
  <c r="Q1159" i="8"/>
  <c r="R1159" i="8"/>
  <c r="S1159" i="8"/>
  <c r="AE1159" i="8"/>
  <c r="D1160" i="8"/>
  <c r="H1160" i="8"/>
  <c r="J1160" i="8"/>
  <c r="O1160" i="8"/>
  <c r="P1160" i="8"/>
  <c r="Q1160" i="8"/>
  <c r="R1160" i="8"/>
  <c r="S1160" i="8"/>
  <c r="AE1160" i="8"/>
  <c r="D1161" i="8"/>
  <c r="H1161" i="8"/>
  <c r="J1161" i="8"/>
  <c r="O1161" i="8"/>
  <c r="P1161" i="8"/>
  <c r="Q1161" i="8"/>
  <c r="R1161" i="8"/>
  <c r="S1161" i="8"/>
  <c r="AE1161" i="8"/>
  <c r="D1162" i="8"/>
  <c r="H1162" i="8"/>
  <c r="J1162" i="8"/>
  <c r="O1162" i="8"/>
  <c r="P1162" i="8"/>
  <c r="Q1162" i="8"/>
  <c r="R1162" i="8"/>
  <c r="S1162" i="8"/>
  <c r="AE1162" i="8"/>
  <c r="D1163" i="8"/>
  <c r="H1163" i="8"/>
  <c r="J1163" i="8"/>
  <c r="O1163" i="8"/>
  <c r="P1163" i="8"/>
  <c r="Q1163" i="8"/>
  <c r="R1163" i="8"/>
  <c r="S1163" i="8"/>
  <c r="AE1163" i="8"/>
  <c r="D1164" i="8"/>
  <c r="H1164" i="8"/>
  <c r="J1164" i="8"/>
  <c r="O1164" i="8"/>
  <c r="P1164" i="8"/>
  <c r="Q1164" i="8"/>
  <c r="R1164" i="8"/>
  <c r="S1164" i="8"/>
  <c r="AE1164" i="8"/>
  <c r="D1165" i="8"/>
  <c r="H1165" i="8"/>
  <c r="J1165" i="8"/>
  <c r="O1165" i="8"/>
  <c r="P1165" i="8"/>
  <c r="Q1165" i="8"/>
  <c r="R1165" i="8"/>
  <c r="S1165" i="8"/>
  <c r="AE1165" i="8"/>
  <c r="D1166" i="8"/>
  <c r="H1166" i="8"/>
  <c r="J1166" i="8"/>
  <c r="O1166" i="8"/>
  <c r="P1166" i="8"/>
  <c r="Q1166" i="8"/>
  <c r="R1166" i="8"/>
  <c r="S1166" i="8"/>
  <c r="AE1166" i="8"/>
  <c r="D1167" i="8"/>
  <c r="H1167" i="8"/>
  <c r="J1167" i="8"/>
  <c r="O1167" i="8"/>
  <c r="P1167" i="8"/>
  <c r="Q1167" i="8"/>
  <c r="R1167" i="8"/>
  <c r="S1167" i="8"/>
  <c r="AE1167" i="8"/>
  <c r="D1168" i="8"/>
  <c r="H1168" i="8"/>
  <c r="J1168" i="8"/>
  <c r="O1168" i="8"/>
  <c r="P1168" i="8"/>
  <c r="Q1168" i="8"/>
  <c r="R1168" i="8"/>
  <c r="S1168" i="8"/>
  <c r="AE1168" i="8"/>
  <c r="D1169" i="8"/>
  <c r="H1169" i="8"/>
  <c r="J1169" i="8"/>
  <c r="O1169" i="8"/>
  <c r="P1169" i="8"/>
  <c r="Q1169" i="8"/>
  <c r="R1169" i="8"/>
  <c r="S1169" i="8"/>
  <c r="AE1169" i="8"/>
  <c r="D1170" i="8"/>
  <c r="H1170" i="8"/>
  <c r="J1170" i="8"/>
  <c r="O1170" i="8"/>
  <c r="P1170" i="8"/>
  <c r="Q1170" i="8"/>
  <c r="R1170" i="8"/>
  <c r="S1170" i="8"/>
  <c r="AE1170" i="8"/>
  <c r="D1171" i="8"/>
  <c r="H1171" i="8"/>
  <c r="J1171" i="8"/>
  <c r="O1171" i="8"/>
  <c r="P1171" i="8"/>
  <c r="Q1171" i="8"/>
  <c r="R1171" i="8"/>
  <c r="S1171" i="8"/>
  <c r="AE1171" i="8"/>
  <c r="D1172" i="8"/>
  <c r="H1172" i="8"/>
  <c r="J1172" i="8"/>
  <c r="O1172" i="8"/>
  <c r="P1172" i="8"/>
  <c r="Q1172" i="8"/>
  <c r="R1172" i="8"/>
  <c r="S1172" i="8"/>
  <c r="AE1172" i="8"/>
  <c r="D1173" i="8"/>
  <c r="H1173" i="8"/>
  <c r="J1173" i="8"/>
  <c r="O1173" i="8"/>
  <c r="P1173" i="8"/>
  <c r="Q1173" i="8"/>
  <c r="R1173" i="8"/>
  <c r="S1173" i="8"/>
  <c r="AE1173" i="8"/>
  <c r="D1174" i="8"/>
  <c r="H1174" i="8"/>
  <c r="J1174" i="8"/>
  <c r="O1174" i="8"/>
  <c r="P1174" i="8"/>
  <c r="Q1174" i="8"/>
  <c r="R1174" i="8"/>
  <c r="S1174" i="8"/>
  <c r="AE1174" i="8"/>
  <c r="D1175" i="8"/>
  <c r="H1175" i="8"/>
  <c r="J1175" i="8"/>
  <c r="O1175" i="8"/>
  <c r="P1175" i="8"/>
  <c r="Q1175" i="8"/>
  <c r="R1175" i="8"/>
  <c r="S1175" i="8"/>
  <c r="AB1175" i="8"/>
  <c r="AE1175" i="8"/>
  <c r="D1176" i="8"/>
  <c r="H1176" i="8"/>
  <c r="J1176" i="8"/>
  <c r="O1176" i="8"/>
  <c r="P1176" i="8"/>
  <c r="Q1176" i="8"/>
  <c r="R1176" i="8"/>
  <c r="S1176" i="8"/>
  <c r="AB1176" i="8"/>
  <c r="AE1176" i="8"/>
  <c r="D1177" i="8"/>
  <c r="H1177" i="8"/>
  <c r="J1177" i="8"/>
  <c r="O1177" i="8"/>
  <c r="P1177" i="8"/>
  <c r="Q1177" i="8"/>
  <c r="R1177" i="8"/>
  <c r="S1177" i="8"/>
  <c r="AB1177" i="8"/>
  <c r="AE1177" i="8"/>
  <c r="D1178" i="8"/>
  <c r="H1178" i="8"/>
  <c r="J1178" i="8"/>
  <c r="O1178" i="8"/>
  <c r="P1178" i="8"/>
  <c r="Q1178" i="8"/>
  <c r="R1178" i="8"/>
  <c r="S1178" i="8"/>
  <c r="AB1178" i="8"/>
  <c r="AE1178" i="8"/>
  <c r="D1179" i="8"/>
  <c r="H1179" i="8"/>
  <c r="J1179" i="8"/>
  <c r="O1179" i="8"/>
  <c r="P1179" i="8"/>
  <c r="Q1179" i="8"/>
  <c r="R1179" i="8"/>
  <c r="S1179" i="8"/>
  <c r="AB1179" i="8"/>
  <c r="AE1179" i="8"/>
  <c r="D1180" i="8"/>
  <c r="H1180" i="8"/>
  <c r="J1180" i="8"/>
  <c r="O1180" i="8"/>
  <c r="P1180" i="8"/>
  <c r="Q1180" i="8"/>
  <c r="R1180" i="8"/>
  <c r="S1180" i="8"/>
  <c r="AB1180" i="8"/>
  <c r="AE1180" i="8"/>
  <c r="D1181" i="8"/>
  <c r="H1181" i="8"/>
  <c r="J1181" i="8"/>
  <c r="O1181" i="8"/>
  <c r="P1181" i="8"/>
  <c r="Q1181" i="8"/>
  <c r="R1181" i="8"/>
  <c r="S1181" i="8"/>
  <c r="AB1181" i="8"/>
  <c r="AE1181" i="8"/>
  <c r="D1182" i="8"/>
  <c r="H1182" i="8"/>
  <c r="J1182" i="8"/>
  <c r="O1182" i="8"/>
  <c r="P1182" i="8"/>
  <c r="Q1182" i="8"/>
  <c r="R1182" i="8"/>
  <c r="S1182" i="8"/>
  <c r="AB1182" i="8"/>
  <c r="AE1182" i="8"/>
  <c r="D1183" i="8"/>
  <c r="H1183" i="8"/>
  <c r="J1183" i="8"/>
  <c r="O1183" i="8"/>
  <c r="P1183" i="8"/>
  <c r="Q1183" i="8"/>
  <c r="R1183" i="8"/>
  <c r="S1183" i="8"/>
  <c r="AB1183" i="8"/>
  <c r="AE1183" i="8"/>
  <c r="D1184" i="8"/>
  <c r="H1184" i="8"/>
  <c r="J1184" i="8"/>
  <c r="O1184" i="8"/>
  <c r="P1184" i="8"/>
  <c r="Q1184" i="8"/>
  <c r="R1184" i="8"/>
  <c r="S1184" i="8"/>
  <c r="AB1184" i="8"/>
  <c r="AE1184" i="8"/>
  <c r="D1185" i="8"/>
  <c r="H1185" i="8"/>
  <c r="J1185" i="8"/>
  <c r="O1185" i="8"/>
  <c r="P1185" i="8"/>
  <c r="Q1185" i="8"/>
  <c r="R1185" i="8"/>
  <c r="S1185" i="8"/>
  <c r="AB1185" i="8"/>
  <c r="AE1185" i="8"/>
  <c r="D1186" i="8"/>
  <c r="H1186" i="8"/>
  <c r="J1186" i="8"/>
  <c r="O1186" i="8"/>
  <c r="P1186" i="8"/>
  <c r="Q1186" i="8"/>
  <c r="R1186" i="8"/>
  <c r="S1186" i="8"/>
  <c r="AB1186" i="8"/>
  <c r="AE1186" i="8"/>
  <c r="D1187" i="8"/>
  <c r="H1187" i="8"/>
  <c r="J1187" i="8"/>
  <c r="O1187" i="8"/>
  <c r="P1187" i="8"/>
  <c r="Q1187" i="8"/>
  <c r="R1187" i="8"/>
  <c r="S1187" i="8"/>
  <c r="AB1187" i="8"/>
  <c r="AE1187" i="8"/>
  <c r="D1188" i="8"/>
  <c r="H1188" i="8"/>
  <c r="J1188" i="8"/>
  <c r="O1188" i="8"/>
  <c r="P1188" i="8"/>
  <c r="Q1188" i="8"/>
  <c r="R1188" i="8"/>
  <c r="S1188" i="8"/>
  <c r="AB1188" i="8"/>
  <c r="AE1188" i="8"/>
  <c r="D1189" i="8"/>
  <c r="H1189" i="8"/>
  <c r="J1189" i="8"/>
  <c r="O1189" i="8"/>
  <c r="P1189" i="8"/>
  <c r="Q1189" i="8"/>
  <c r="R1189" i="8"/>
  <c r="S1189" i="8"/>
  <c r="AB1189" i="8"/>
  <c r="AE1189" i="8"/>
  <c r="D1190" i="8"/>
  <c r="H1190" i="8"/>
  <c r="J1190" i="8"/>
  <c r="O1190" i="8"/>
  <c r="P1190" i="8"/>
  <c r="Q1190" i="8"/>
  <c r="R1190" i="8"/>
  <c r="S1190" i="8"/>
  <c r="AB1190" i="8"/>
  <c r="AE1190" i="8"/>
  <c r="D1191" i="8"/>
  <c r="H1191" i="8"/>
  <c r="J1191" i="8"/>
  <c r="O1191" i="8"/>
  <c r="P1191" i="8"/>
  <c r="Q1191" i="8"/>
  <c r="R1191" i="8"/>
  <c r="S1191" i="8"/>
  <c r="AB1191" i="8"/>
  <c r="AE1191" i="8"/>
  <c r="D1192" i="8"/>
  <c r="H1192" i="8"/>
  <c r="J1192" i="8"/>
  <c r="O1192" i="8"/>
  <c r="P1192" i="8"/>
  <c r="Q1192" i="8"/>
  <c r="R1192" i="8"/>
  <c r="S1192" i="8"/>
  <c r="AB1192" i="8"/>
  <c r="AE1192" i="8"/>
  <c r="D1193" i="8"/>
  <c r="H1193" i="8"/>
  <c r="J1193" i="8"/>
  <c r="O1193" i="8"/>
  <c r="P1193" i="8"/>
  <c r="Q1193" i="8"/>
  <c r="R1193" i="8"/>
  <c r="S1193" i="8"/>
  <c r="AB1193" i="8"/>
  <c r="AE1193" i="8"/>
  <c r="D1194" i="8"/>
  <c r="H1194" i="8"/>
  <c r="J1194" i="8"/>
  <c r="O1194" i="8"/>
  <c r="P1194" i="8"/>
  <c r="Q1194" i="8"/>
  <c r="R1194" i="8"/>
  <c r="S1194" i="8"/>
  <c r="AB1194" i="8"/>
  <c r="AE1194" i="8"/>
  <c r="D1195" i="8"/>
  <c r="H1195" i="8"/>
  <c r="J1195" i="8"/>
  <c r="O1195" i="8"/>
  <c r="P1195" i="8"/>
  <c r="Q1195" i="8"/>
  <c r="R1195" i="8"/>
  <c r="S1195" i="8"/>
  <c r="AB1195" i="8"/>
  <c r="AE1195" i="8"/>
  <c r="D1196" i="8"/>
  <c r="H1196" i="8"/>
  <c r="J1196" i="8"/>
  <c r="O1196" i="8"/>
  <c r="P1196" i="8"/>
  <c r="Q1196" i="8"/>
  <c r="R1196" i="8"/>
  <c r="S1196" i="8"/>
  <c r="AB1196" i="8"/>
  <c r="AE1196" i="8"/>
  <c r="D1197" i="8"/>
  <c r="H1197" i="8"/>
  <c r="J1197" i="8"/>
  <c r="O1197" i="8"/>
  <c r="P1197" i="8"/>
  <c r="Q1197" i="8"/>
  <c r="R1197" i="8"/>
  <c r="S1197" i="8"/>
  <c r="AB1197" i="8"/>
  <c r="AE1197" i="8"/>
  <c r="D1198" i="8"/>
  <c r="H1198" i="8"/>
  <c r="J1198" i="8"/>
  <c r="O1198" i="8"/>
  <c r="P1198" i="8"/>
  <c r="Q1198" i="8"/>
  <c r="R1198" i="8"/>
  <c r="S1198" i="8"/>
  <c r="AB1198" i="8"/>
  <c r="AE1198" i="8"/>
  <c r="D1199" i="8"/>
  <c r="H1199" i="8"/>
  <c r="J1199" i="8"/>
  <c r="O1199" i="8"/>
  <c r="P1199" i="8"/>
  <c r="Q1199" i="8"/>
  <c r="R1199" i="8"/>
  <c r="S1199" i="8"/>
  <c r="AB1199" i="8"/>
  <c r="AE1199" i="8"/>
  <c r="D1200" i="8"/>
  <c r="H1200" i="8"/>
  <c r="J1200" i="8"/>
  <c r="O1200" i="8"/>
  <c r="P1200" i="8"/>
  <c r="Q1200" i="8"/>
  <c r="R1200" i="8"/>
  <c r="S1200" i="8"/>
  <c r="AB1200" i="8"/>
  <c r="AE1200" i="8"/>
  <c r="D1201" i="8"/>
  <c r="H1201" i="8"/>
  <c r="J1201" i="8"/>
  <c r="O1201" i="8"/>
  <c r="P1201" i="8"/>
  <c r="Q1201" i="8"/>
  <c r="R1201" i="8"/>
  <c r="S1201" i="8"/>
  <c r="AB1201" i="8"/>
  <c r="AE1201" i="8"/>
  <c r="D1202" i="8"/>
  <c r="H1202" i="8"/>
  <c r="J1202" i="8"/>
  <c r="O1202" i="8"/>
  <c r="P1202" i="8"/>
  <c r="Q1202" i="8"/>
  <c r="R1202" i="8"/>
  <c r="S1202" i="8"/>
  <c r="AB1202" i="8"/>
  <c r="AE1202" i="8"/>
  <c r="D1203" i="8"/>
  <c r="H1203" i="8"/>
  <c r="J1203" i="8"/>
  <c r="O1203" i="8"/>
  <c r="P1203" i="8"/>
  <c r="Q1203" i="8"/>
  <c r="R1203" i="8"/>
  <c r="S1203" i="8"/>
  <c r="AB1203" i="8"/>
  <c r="AE1203" i="8"/>
  <c r="D1204" i="8"/>
  <c r="H1204" i="8"/>
  <c r="J1204" i="8"/>
  <c r="O1204" i="8"/>
  <c r="P1204" i="8"/>
  <c r="Q1204" i="8"/>
  <c r="R1204" i="8"/>
  <c r="S1204" i="8"/>
  <c r="AB1204" i="8"/>
  <c r="AE1204" i="8"/>
  <c r="D1205" i="8"/>
  <c r="H1205" i="8"/>
  <c r="J1205" i="8"/>
  <c r="O1205" i="8"/>
  <c r="P1205" i="8"/>
  <c r="Q1205" i="8"/>
  <c r="R1205" i="8"/>
  <c r="S1205" i="8"/>
  <c r="AB1205" i="8"/>
  <c r="AE1205" i="8"/>
  <c r="D1206" i="8"/>
  <c r="H1206" i="8"/>
  <c r="J1206" i="8"/>
  <c r="O1206" i="8"/>
  <c r="P1206" i="8"/>
  <c r="Q1206" i="8"/>
  <c r="R1206" i="8"/>
  <c r="S1206" i="8"/>
  <c r="AB1206" i="8"/>
  <c r="AE1206" i="8"/>
  <c r="D1207" i="8"/>
  <c r="H1207" i="8"/>
  <c r="J1207" i="8"/>
  <c r="O1207" i="8"/>
  <c r="P1207" i="8"/>
  <c r="Q1207" i="8"/>
  <c r="R1207" i="8"/>
  <c r="S1207" i="8"/>
  <c r="AB1207" i="8"/>
  <c r="AE1207" i="8"/>
  <c r="D1208" i="8"/>
  <c r="H1208" i="8"/>
  <c r="J1208" i="8"/>
  <c r="O1208" i="8"/>
  <c r="P1208" i="8"/>
  <c r="Q1208" i="8"/>
  <c r="R1208" i="8"/>
  <c r="S1208" i="8"/>
  <c r="AB1208" i="8"/>
  <c r="AE1208" i="8"/>
  <c r="D1209" i="8"/>
  <c r="H1209" i="8"/>
  <c r="J1209" i="8"/>
  <c r="O1209" i="8"/>
  <c r="P1209" i="8"/>
  <c r="Q1209" i="8"/>
  <c r="R1209" i="8"/>
  <c r="S1209" i="8"/>
  <c r="AB1209" i="8"/>
  <c r="AE1209" i="8"/>
  <c r="D1210" i="8"/>
  <c r="H1210" i="8"/>
  <c r="J1210" i="8"/>
  <c r="O1210" i="8"/>
  <c r="P1210" i="8"/>
  <c r="Q1210" i="8"/>
  <c r="R1210" i="8"/>
  <c r="S1210" i="8"/>
  <c r="AB1210" i="8"/>
  <c r="AE1210" i="8"/>
  <c r="D1211" i="8"/>
  <c r="H1211" i="8"/>
  <c r="J1211" i="8"/>
  <c r="O1211" i="8"/>
  <c r="P1211" i="8"/>
  <c r="Q1211" i="8"/>
  <c r="R1211" i="8"/>
  <c r="S1211" i="8"/>
  <c r="AB1211" i="8"/>
  <c r="AE1211" i="8"/>
  <c r="D1212" i="8"/>
  <c r="H1212" i="8"/>
  <c r="J1212" i="8"/>
  <c r="O1212" i="8"/>
  <c r="P1212" i="8"/>
  <c r="Q1212" i="8"/>
  <c r="R1212" i="8"/>
  <c r="S1212" i="8"/>
  <c r="AB1212" i="8"/>
  <c r="AE1212" i="8"/>
  <c r="D1213" i="8"/>
  <c r="H1213" i="8"/>
  <c r="J1213" i="8"/>
  <c r="O1213" i="8"/>
  <c r="P1213" i="8"/>
  <c r="Q1213" i="8"/>
  <c r="R1213" i="8"/>
  <c r="S1213" i="8"/>
  <c r="AB1213" i="8"/>
  <c r="AE1213" i="8"/>
  <c r="D1214" i="8"/>
  <c r="H1214" i="8"/>
  <c r="J1214" i="8"/>
  <c r="O1214" i="8"/>
  <c r="P1214" i="8"/>
  <c r="Q1214" i="8"/>
  <c r="R1214" i="8"/>
  <c r="S1214" i="8"/>
  <c r="AB1214" i="8"/>
  <c r="AE1214" i="8"/>
  <c r="D1215" i="8"/>
  <c r="H1215" i="8"/>
  <c r="J1215" i="8"/>
  <c r="O1215" i="8"/>
  <c r="P1215" i="8"/>
  <c r="Q1215" i="8"/>
  <c r="R1215" i="8"/>
  <c r="S1215" i="8"/>
  <c r="AB1215" i="8"/>
  <c r="AE1215" i="8"/>
  <c r="D1216" i="8"/>
  <c r="H1216" i="8"/>
  <c r="J1216" i="8"/>
  <c r="O1216" i="8"/>
  <c r="P1216" i="8"/>
  <c r="Q1216" i="8"/>
  <c r="R1216" i="8"/>
  <c r="S1216" i="8"/>
  <c r="AB1216" i="8"/>
  <c r="AE1216" i="8"/>
  <c r="D1217" i="8"/>
  <c r="H1217" i="8"/>
  <c r="J1217" i="8"/>
  <c r="O1217" i="8"/>
  <c r="P1217" i="8"/>
  <c r="Q1217" i="8"/>
  <c r="R1217" i="8"/>
  <c r="S1217" i="8"/>
  <c r="AB1217" i="8"/>
  <c r="AE1217" i="8"/>
  <c r="D1218" i="8"/>
  <c r="H1218" i="8"/>
  <c r="J1218" i="8"/>
  <c r="O1218" i="8"/>
  <c r="P1218" i="8"/>
  <c r="Q1218" i="8"/>
  <c r="R1218" i="8"/>
  <c r="S1218" i="8"/>
  <c r="AB1218" i="8"/>
  <c r="AE1218" i="8"/>
  <c r="D1219" i="8"/>
  <c r="H1219" i="8"/>
  <c r="J1219" i="8"/>
  <c r="O1219" i="8"/>
  <c r="P1219" i="8"/>
  <c r="Q1219" i="8"/>
  <c r="R1219" i="8"/>
  <c r="S1219" i="8"/>
  <c r="AB1219" i="8"/>
  <c r="AE1219" i="8"/>
  <c r="D1220" i="8"/>
  <c r="H1220" i="8"/>
  <c r="J1220" i="8"/>
  <c r="O1220" i="8"/>
  <c r="P1220" i="8"/>
  <c r="Q1220" i="8"/>
  <c r="R1220" i="8"/>
  <c r="S1220" i="8"/>
  <c r="AB1220" i="8"/>
  <c r="AE1220" i="8"/>
  <c r="D1221" i="8"/>
  <c r="H1221" i="8"/>
  <c r="J1221" i="8"/>
  <c r="O1221" i="8"/>
  <c r="P1221" i="8"/>
  <c r="Q1221" i="8"/>
  <c r="R1221" i="8"/>
  <c r="S1221" i="8"/>
  <c r="AB1221" i="8"/>
  <c r="AE1221" i="8"/>
  <c r="D1222" i="8"/>
  <c r="H1222" i="8"/>
  <c r="J1222" i="8"/>
  <c r="O1222" i="8"/>
  <c r="P1222" i="8"/>
  <c r="Q1222" i="8"/>
  <c r="R1222" i="8"/>
  <c r="S1222" i="8"/>
  <c r="AB1222" i="8"/>
  <c r="AE1222" i="8"/>
  <c r="D1223" i="8"/>
  <c r="H1223" i="8"/>
  <c r="J1223" i="8"/>
  <c r="O1223" i="8"/>
  <c r="P1223" i="8"/>
  <c r="Q1223" i="8"/>
  <c r="R1223" i="8"/>
  <c r="S1223" i="8"/>
  <c r="AB1223" i="8"/>
  <c r="AE1223" i="8"/>
  <c r="D1224" i="8"/>
  <c r="H1224" i="8"/>
  <c r="J1224" i="8"/>
  <c r="O1224" i="8"/>
  <c r="P1224" i="8"/>
  <c r="Q1224" i="8"/>
  <c r="R1224" i="8"/>
  <c r="S1224" i="8"/>
  <c r="AB1224" i="8"/>
  <c r="AE1224" i="8"/>
  <c r="D1225" i="8"/>
  <c r="H1225" i="8"/>
  <c r="J1225" i="8"/>
  <c r="O1225" i="8"/>
  <c r="P1225" i="8"/>
  <c r="Q1225" i="8"/>
  <c r="R1225" i="8"/>
  <c r="S1225" i="8"/>
  <c r="AB1225" i="8"/>
  <c r="AE1225" i="8"/>
  <c r="D1226" i="8"/>
  <c r="H1226" i="8"/>
  <c r="J1226" i="8"/>
  <c r="O1226" i="8"/>
  <c r="P1226" i="8"/>
  <c r="Q1226" i="8"/>
  <c r="R1226" i="8"/>
  <c r="S1226" i="8"/>
  <c r="AE1226" i="8"/>
  <c r="D1227" i="8"/>
  <c r="H1227" i="8"/>
  <c r="J1227" i="8"/>
  <c r="O1227" i="8"/>
  <c r="P1227" i="8"/>
  <c r="Q1227" i="8"/>
  <c r="R1227" i="8"/>
  <c r="S1227" i="8"/>
  <c r="AE1227" i="8"/>
  <c r="D1228" i="8"/>
  <c r="H1228" i="8"/>
  <c r="J1228" i="8"/>
  <c r="O1228" i="8"/>
  <c r="P1228" i="8"/>
  <c r="Q1228" i="8"/>
  <c r="R1228" i="8"/>
  <c r="S1228" i="8"/>
  <c r="AE1228" i="8"/>
  <c r="D1229" i="8"/>
  <c r="H1229" i="8"/>
  <c r="J1229" i="8"/>
  <c r="O1229" i="8"/>
  <c r="P1229" i="8"/>
  <c r="Q1229" i="8"/>
  <c r="R1229" i="8"/>
  <c r="S1229" i="8"/>
  <c r="AE1229" i="8"/>
  <c r="D1230" i="8"/>
  <c r="H1230" i="8"/>
  <c r="J1230" i="8"/>
  <c r="O1230" i="8"/>
  <c r="P1230" i="8"/>
  <c r="Q1230" i="8"/>
  <c r="R1230" i="8"/>
  <c r="S1230" i="8"/>
  <c r="AE1230" i="8"/>
  <c r="D1231" i="8"/>
  <c r="H1231" i="8"/>
  <c r="J1231" i="8"/>
  <c r="O1231" i="8"/>
  <c r="P1231" i="8"/>
  <c r="Q1231" i="8"/>
  <c r="R1231" i="8"/>
  <c r="S1231" i="8"/>
  <c r="AE1231" i="8"/>
  <c r="D1232" i="8"/>
  <c r="H1232" i="8"/>
  <c r="J1232" i="8"/>
  <c r="O1232" i="8"/>
  <c r="P1232" i="8"/>
  <c r="Q1232" i="8"/>
  <c r="R1232" i="8"/>
  <c r="S1232" i="8"/>
  <c r="AE1232" i="8"/>
  <c r="D1233" i="8"/>
  <c r="H1233" i="8"/>
  <c r="J1233" i="8"/>
  <c r="O1233" i="8"/>
  <c r="P1233" i="8"/>
  <c r="Q1233" i="8"/>
  <c r="R1233" i="8"/>
  <c r="S1233" i="8"/>
  <c r="AE1233" i="8"/>
  <c r="D1234" i="8"/>
  <c r="H1234" i="8"/>
  <c r="J1234" i="8"/>
  <c r="O1234" i="8"/>
  <c r="P1234" i="8"/>
  <c r="Q1234" i="8"/>
  <c r="R1234" i="8"/>
  <c r="S1234" i="8"/>
  <c r="AE1234" i="8"/>
  <c r="D1235" i="8"/>
  <c r="H1235" i="8"/>
  <c r="J1235" i="8"/>
  <c r="O1235" i="8"/>
  <c r="P1235" i="8"/>
  <c r="Q1235" i="8"/>
  <c r="R1235" i="8"/>
  <c r="S1235" i="8"/>
  <c r="AE1235" i="8"/>
  <c r="D1236" i="8"/>
  <c r="H1236" i="8"/>
  <c r="J1236" i="8"/>
  <c r="O1236" i="8"/>
  <c r="P1236" i="8"/>
  <c r="Q1236" i="8"/>
  <c r="R1236" i="8"/>
  <c r="S1236" i="8"/>
  <c r="AE1236" i="8"/>
  <c r="D1237" i="8"/>
  <c r="H1237" i="8"/>
  <c r="J1237" i="8"/>
  <c r="O1237" i="8"/>
  <c r="P1237" i="8"/>
  <c r="Q1237" i="8"/>
  <c r="R1237" i="8"/>
  <c r="S1237" i="8"/>
  <c r="AE1237" i="8"/>
  <c r="D1238" i="8"/>
  <c r="H1238" i="8"/>
  <c r="J1238" i="8"/>
  <c r="O1238" i="8"/>
  <c r="P1238" i="8"/>
  <c r="Q1238" i="8"/>
  <c r="R1238" i="8"/>
  <c r="S1238" i="8"/>
  <c r="AE1238" i="8"/>
  <c r="D1239" i="8"/>
  <c r="H1239" i="8"/>
  <c r="J1239" i="8"/>
  <c r="O1239" i="8"/>
  <c r="P1239" i="8"/>
  <c r="Q1239" i="8"/>
  <c r="R1239" i="8"/>
  <c r="S1239" i="8"/>
  <c r="AE1239" i="8"/>
  <c r="D1240" i="8"/>
  <c r="H1240" i="8"/>
  <c r="J1240" i="8"/>
  <c r="O1240" i="8"/>
  <c r="P1240" i="8"/>
  <c r="Q1240" i="8"/>
  <c r="R1240" i="8"/>
  <c r="S1240" i="8"/>
  <c r="AE1240" i="8"/>
  <c r="D1241" i="8"/>
  <c r="H1241" i="8"/>
  <c r="J1241" i="8"/>
  <c r="O1241" i="8"/>
  <c r="P1241" i="8"/>
  <c r="Q1241" i="8"/>
  <c r="R1241" i="8"/>
  <c r="S1241" i="8"/>
  <c r="AE1241" i="8"/>
  <c r="D1242" i="8"/>
  <c r="H1242" i="8"/>
  <c r="J1242" i="8"/>
  <c r="O1242" i="8"/>
  <c r="P1242" i="8"/>
  <c r="Q1242" i="8"/>
  <c r="R1242" i="8"/>
  <c r="S1242" i="8"/>
  <c r="AE1242" i="8"/>
  <c r="D1243" i="8"/>
  <c r="H1243" i="8"/>
  <c r="J1243" i="8"/>
  <c r="O1243" i="8"/>
  <c r="P1243" i="8"/>
  <c r="Q1243" i="8"/>
  <c r="R1243" i="8"/>
  <c r="S1243" i="8"/>
  <c r="AE1243" i="8"/>
  <c r="D1244" i="8"/>
  <c r="H1244" i="8"/>
  <c r="J1244" i="8"/>
  <c r="O1244" i="8"/>
  <c r="P1244" i="8"/>
  <c r="Q1244" i="8"/>
  <c r="R1244" i="8"/>
  <c r="S1244" i="8"/>
  <c r="AE1244" i="8"/>
  <c r="D1245" i="8"/>
  <c r="H1245" i="8"/>
  <c r="J1245" i="8"/>
  <c r="O1245" i="8"/>
  <c r="P1245" i="8"/>
  <c r="Q1245" i="8"/>
  <c r="R1245" i="8"/>
  <c r="S1245" i="8"/>
  <c r="AE1245" i="8"/>
  <c r="D1246" i="8"/>
  <c r="H1246" i="8"/>
  <c r="J1246" i="8"/>
  <c r="O1246" i="8"/>
  <c r="P1246" i="8"/>
  <c r="Q1246" i="8"/>
  <c r="R1246" i="8"/>
  <c r="S1246" i="8"/>
  <c r="AE1246" i="8"/>
  <c r="D1247" i="8"/>
  <c r="H1247" i="8"/>
  <c r="J1247" i="8"/>
  <c r="O1247" i="8"/>
  <c r="P1247" i="8"/>
  <c r="Q1247" i="8"/>
  <c r="R1247" i="8"/>
  <c r="S1247" i="8"/>
  <c r="AE1247" i="8"/>
  <c r="D1248" i="8"/>
  <c r="H1248" i="8"/>
  <c r="J1248" i="8"/>
  <c r="O1248" i="8"/>
  <c r="P1248" i="8"/>
  <c r="Q1248" i="8"/>
  <c r="R1248" i="8"/>
  <c r="S1248" i="8"/>
  <c r="AE1248" i="8"/>
  <c r="D1249" i="8"/>
  <c r="H1249" i="8"/>
  <c r="J1249" i="8"/>
  <c r="O1249" i="8"/>
  <c r="P1249" i="8"/>
  <c r="Q1249" i="8"/>
  <c r="R1249" i="8"/>
  <c r="S1249" i="8"/>
  <c r="AE1249" i="8"/>
  <c r="D1250" i="8"/>
  <c r="H1250" i="8"/>
  <c r="J1250" i="8"/>
  <c r="O1250" i="8"/>
  <c r="P1250" i="8"/>
  <c r="Q1250" i="8"/>
  <c r="R1250" i="8"/>
  <c r="S1250" i="8"/>
  <c r="AE1250" i="8"/>
  <c r="D1251" i="8"/>
  <c r="H1251" i="8"/>
  <c r="J1251" i="8"/>
  <c r="O1251" i="8"/>
  <c r="P1251" i="8"/>
  <c r="Q1251" i="8"/>
  <c r="R1251" i="8"/>
  <c r="S1251" i="8"/>
  <c r="AE1251" i="8"/>
  <c r="D1252" i="8"/>
  <c r="H1252" i="8"/>
  <c r="J1252" i="8"/>
  <c r="O1252" i="8"/>
  <c r="P1252" i="8"/>
  <c r="Q1252" i="8"/>
  <c r="R1252" i="8"/>
  <c r="S1252" i="8"/>
  <c r="AE1252" i="8"/>
  <c r="D1253" i="8"/>
  <c r="H1253" i="8"/>
  <c r="J1253" i="8"/>
  <c r="O1253" i="8"/>
  <c r="P1253" i="8"/>
  <c r="Q1253" i="8"/>
  <c r="R1253" i="8"/>
  <c r="S1253" i="8"/>
  <c r="AE1253" i="8"/>
  <c r="D1254" i="8"/>
  <c r="H1254" i="8"/>
  <c r="J1254" i="8"/>
  <c r="O1254" i="8"/>
  <c r="P1254" i="8"/>
  <c r="Q1254" i="8"/>
  <c r="R1254" i="8"/>
  <c r="S1254" i="8"/>
  <c r="AE1254" i="8"/>
  <c r="D1255" i="8"/>
  <c r="H1255" i="8"/>
  <c r="J1255" i="8"/>
  <c r="O1255" i="8"/>
  <c r="P1255" i="8"/>
  <c r="Q1255" i="8"/>
  <c r="R1255" i="8"/>
  <c r="S1255" i="8"/>
  <c r="AE1255" i="8"/>
  <c r="D1256" i="8"/>
  <c r="H1256" i="8"/>
  <c r="J1256" i="8"/>
  <c r="O1256" i="8"/>
  <c r="P1256" i="8"/>
  <c r="Q1256" i="8"/>
  <c r="R1256" i="8"/>
  <c r="S1256" i="8"/>
  <c r="AE1256" i="8"/>
  <c r="D1257" i="8"/>
  <c r="H1257" i="8"/>
  <c r="J1257" i="8"/>
  <c r="O1257" i="8"/>
  <c r="P1257" i="8"/>
  <c r="Q1257" i="8"/>
  <c r="R1257" i="8"/>
  <c r="S1257" i="8"/>
  <c r="AE1257" i="8"/>
  <c r="D1258" i="8"/>
  <c r="H1258" i="8"/>
  <c r="J1258" i="8"/>
  <c r="O1258" i="8"/>
  <c r="P1258" i="8"/>
  <c r="Q1258" i="8"/>
  <c r="R1258" i="8"/>
  <c r="S1258" i="8"/>
  <c r="AE1258" i="8"/>
  <c r="D1259" i="8"/>
  <c r="H1259" i="8"/>
  <c r="J1259" i="8"/>
  <c r="O1259" i="8"/>
  <c r="P1259" i="8"/>
  <c r="Q1259" i="8"/>
  <c r="R1259" i="8"/>
  <c r="S1259" i="8"/>
  <c r="AE1259" i="8"/>
  <c r="D1260" i="8"/>
  <c r="H1260" i="8"/>
  <c r="J1260" i="8"/>
  <c r="O1260" i="8"/>
  <c r="P1260" i="8"/>
  <c r="Q1260" i="8"/>
  <c r="R1260" i="8"/>
  <c r="S1260" i="8"/>
  <c r="AE1260" i="8"/>
  <c r="D1261" i="8"/>
  <c r="H1261" i="8"/>
  <c r="J1261" i="8"/>
  <c r="O1261" i="8"/>
  <c r="P1261" i="8"/>
  <c r="Q1261" i="8"/>
  <c r="R1261" i="8"/>
  <c r="S1261" i="8"/>
  <c r="AE1261" i="8"/>
  <c r="D1262" i="8"/>
  <c r="H1262" i="8"/>
  <c r="J1262" i="8"/>
  <c r="O1262" i="8"/>
  <c r="P1262" i="8"/>
  <c r="Q1262" i="8"/>
  <c r="R1262" i="8"/>
  <c r="S1262" i="8"/>
  <c r="AE1262" i="8"/>
  <c r="D1263" i="8"/>
  <c r="H1263" i="8"/>
  <c r="J1263" i="8"/>
  <c r="O1263" i="8"/>
  <c r="P1263" i="8"/>
  <c r="Q1263" i="8"/>
  <c r="R1263" i="8"/>
  <c r="S1263" i="8"/>
  <c r="AE1263" i="8"/>
  <c r="D1264" i="8"/>
  <c r="H1264" i="8"/>
  <c r="J1264" i="8"/>
  <c r="O1264" i="8"/>
  <c r="P1264" i="8"/>
  <c r="Q1264" i="8"/>
  <c r="R1264" i="8"/>
  <c r="S1264" i="8"/>
  <c r="AE1264" i="8"/>
  <c r="D1265" i="8"/>
  <c r="H1265" i="8"/>
  <c r="J1265" i="8"/>
  <c r="O1265" i="8"/>
  <c r="P1265" i="8"/>
  <c r="Q1265" i="8"/>
  <c r="R1265" i="8"/>
  <c r="S1265" i="8"/>
  <c r="AE1265" i="8"/>
  <c r="D1266" i="8"/>
  <c r="H1266" i="8"/>
  <c r="J1266" i="8"/>
  <c r="O1266" i="8"/>
  <c r="P1266" i="8"/>
  <c r="Q1266" i="8"/>
  <c r="R1266" i="8"/>
  <c r="S1266" i="8"/>
  <c r="AE1266" i="8"/>
  <c r="D1267" i="8"/>
  <c r="H1267" i="8"/>
  <c r="J1267" i="8"/>
  <c r="O1267" i="8"/>
  <c r="P1267" i="8"/>
  <c r="Q1267" i="8"/>
  <c r="R1267" i="8"/>
  <c r="S1267" i="8"/>
  <c r="AE1267" i="8"/>
  <c r="D1268" i="8"/>
  <c r="H1268" i="8"/>
  <c r="J1268" i="8"/>
  <c r="O1268" i="8"/>
  <c r="P1268" i="8"/>
  <c r="Q1268" i="8"/>
  <c r="R1268" i="8"/>
  <c r="S1268" i="8"/>
  <c r="AE1268" i="8"/>
  <c r="D1269" i="8"/>
  <c r="H1269" i="8"/>
  <c r="J1269" i="8"/>
  <c r="O1269" i="8"/>
  <c r="P1269" i="8"/>
  <c r="Q1269" i="8"/>
  <c r="R1269" i="8"/>
  <c r="S1269" i="8"/>
  <c r="AE1269" i="8"/>
  <c r="D1270" i="8"/>
  <c r="H1270" i="8"/>
  <c r="J1270" i="8"/>
  <c r="O1270" i="8"/>
  <c r="P1270" i="8"/>
  <c r="Q1270" i="8"/>
  <c r="R1270" i="8"/>
  <c r="S1270" i="8"/>
  <c r="AE1270" i="8"/>
  <c r="D1271" i="8"/>
  <c r="H1271" i="8"/>
  <c r="J1271" i="8"/>
  <c r="O1271" i="8"/>
  <c r="P1271" i="8"/>
  <c r="Q1271" i="8"/>
  <c r="R1271" i="8"/>
  <c r="S1271" i="8"/>
  <c r="AE1271" i="8"/>
  <c r="D1272" i="8"/>
  <c r="H1272" i="8"/>
  <c r="J1272" i="8"/>
  <c r="O1272" i="8"/>
  <c r="P1272" i="8"/>
  <c r="Q1272" i="8"/>
  <c r="R1272" i="8"/>
  <c r="S1272" i="8"/>
  <c r="AE1272" i="8"/>
  <c r="D1273" i="8"/>
  <c r="H1273" i="8"/>
  <c r="J1273" i="8"/>
  <c r="O1273" i="8"/>
  <c r="P1273" i="8"/>
  <c r="Q1273" i="8"/>
  <c r="R1273" i="8"/>
  <c r="S1273" i="8"/>
  <c r="AE1273" i="8"/>
  <c r="D1274" i="8"/>
  <c r="H1274" i="8"/>
  <c r="J1274" i="8"/>
  <c r="O1274" i="8"/>
  <c r="P1274" i="8"/>
  <c r="Q1274" i="8"/>
  <c r="R1274" i="8"/>
  <c r="S1274" i="8"/>
  <c r="AE1274" i="8"/>
  <c r="D1275" i="8"/>
  <c r="H1275" i="8"/>
  <c r="J1275" i="8"/>
  <c r="O1275" i="8"/>
  <c r="P1275" i="8"/>
  <c r="Q1275" i="8"/>
  <c r="R1275" i="8"/>
  <c r="S1275" i="8"/>
  <c r="AE1275" i="8"/>
  <c r="D1276" i="8"/>
  <c r="H1276" i="8"/>
  <c r="J1276" i="8"/>
  <c r="O1276" i="8"/>
  <c r="P1276" i="8"/>
  <c r="Q1276" i="8"/>
  <c r="R1276" i="8"/>
  <c r="S1276" i="8"/>
  <c r="AE1276" i="8"/>
  <c r="D1277" i="8"/>
  <c r="H1277" i="8"/>
  <c r="J1277" i="8"/>
  <c r="O1277" i="8"/>
  <c r="P1277" i="8"/>
  <c r="Q1277" i="8"/>
  <c r="R1277" i="8"/>
  <c r="S1277" i="8"/>
  <c r="AB1277" i="8"/>
  <c r="AE1277" i="8"/>
  <c r="D1278" i="8"/>
  <c r="H1278" i="8"/>
  <c r="J1278" i="8"/>
  <c r="O1278" i="8"/>
  <c r="P1278" i="8"/>
  <c r="Q1278" i="8"/>
  <c r="R1278" i="8"/>
  <c r="S1278" i="8"/>
  <c r="AB1278" i="8"/>
  <c r="AE1278" i="8"/>
  <c r="D1279" i="8"/>
  <c r="H1279" i="8"/>
  <c r="J1279" i="8"/>
  <c r="O1279" i="8"/>
  <c r="P1279" i="8"/>
  <c r="Q1279" i="8"/>
  <c r="R1279" i="8"/>
  <c r="S1279" i="8"/>
  <c r="AB1279" i="8"/>
  <c r="AE1279" i="8"/>
  <c r="D1280" i="8"/>
  <c r="H1280" i="8"/>
  <c r="J1280" i="8"/>
  <c r="O1280" i="8"/>
  <c r="P1280" i="8"/>
  <c r="Q1280" i="8"/>
  <c r="R1280" i="8"/>
  <c r="S1280" i="8"/>
  <c r="AB1280" i="8"/>
  <c r="AE1280" i="8"/>
  <c r="D1281" i="8"/>
  <c r="H1281" i="8"/>
  <c r="J1281" i="8"/>
  <c r="O1281" i="8"/>
  <c r="P1281" i="8"/>
  <c r="Q1281" i="8"/>
  <c r="R1281" i="8"/>
  <c r="S1281" i="8"/>
  <c r="AB1281" i="8"/>
  <c r="AE1281" i="8"/>
  <c r="D1282" i="8"/>
  <c r="H1282" i="8"/>
  <c r="J1282" i="8"/>
  <c r="O1282" i="8"/>
  <c r="P1282" i="8"/>
  <c r="Q1282" i="8"/>
  <c r="R1282" i="8"/>
  <c r="S1282" i="8"/>
  <c r="AB1282" i="8"/>
  <c r="AE1282" i="8"/>
  <c r="D1283" i="8"/>
  <c r="H1283" i="8"/>
  <c r="J1283" i="8"/>
  <c r="O1283" i="8"/>
  <c r="P1283" i="8"/>
  <c r="Q1283" i="8"/>
  <c r="R1283" i="8"/>
  <c r="S1283" i="8"/>
  <c r="AB1283" i="8"/>
  <c r="AE1283" i="8"/>
  <c r="D1284" i="8"/>
  <c r="H1284" i="8"/>
  <c r="J1284" i="8"/>
  <c r="O1284" i="8"/>
  <c r="P1284" i="8"/>
  <c r="Q1284" i="8"/>
  <c r="R1284" i="8"/>
  <c r="S1284" i="8"/>
  <c r="AB1284" i="8"/>
  <c r="AE1284" i="8"/>
  <c r="D1285" i="8"/>
  <c r="H1285" i="8"/>
  <c r="J1285" i="8"/>
  <c r="O1285" i="8"/>
  <c r="P1285" i="8"/>
  <c r="Q1285" i="8"/>
  <c r="R1285" i="8"/>
  <c r="S1285" i="8"/>
  <c r="AB1285" i="8"/>
  <c r="AE1285" i="8"/>
  <c r="D1286" i="8"/>
  <c r="H1286" i="8"/>
  <c r="J1286" i="8"/>
  <c r="O1286" i="8"/>
  <c r="P1286" i="8"/>
  <c r="Q1286" i="8"/>
  <c r="R1286" i="8"/>
  <c r="S1286" i="8"/>
  <c r="AB1286" i="8"/>
  <c r="AE1286" i="8"/>
  <c r="D1287" i="8"/>
  <c r="H1287" i="8"/>
  <c r="J1287" i="8"/>
  <c r="O1287" i="8"/>
  <c r="P1287" i="8"/>
  <c r="Q1287" i="8"/>
  <c r="R1287" i="8"/>
  <c r="S1287" i="8"/>
  <c r="AB1287" i="8"/>
  <c r="AE1287" i="8"/>
  <c r="D1288" i="8"/>
  <c r="H1288" i="8"/>
  <c r="J1288" i="8"/>
  <c r="O1288" i="8"/>
  <c r="P1288" i="8"/>
  <c r="Q1288" i="8"/>
  <c r="R1288" i="8"/>
  <c r="S1288" i="8"/>
  <c r="AB1288" i="8"/>
  <c r="AE1288" i="8"/>
  <c r="D1289" i="8"/>
  <c r="H1289" i="8"/>
  <c r="J1289" i="8"/>
  <c r="O1289" i="8"/>
  <c r="P1289" i="8"/>
  <c r="Q1289" i="8"/>
  <c r="R1289" i="8"/>
  <c r="S1289" i="8"/>
  <c r="AB1289" i="8"/>
  <c r="AE1289" i="8"/>
  <c r="D1290" i="8"/>
  <c r="H1290" i="8"/>
  <c r="J1290" i="8"/>
  <c r="O1290" i="8"/>
  <c r="P1290" i="8"/>
  <c r="Q1290" i="8"/>
  <c r="R1290" i="8"/>
  <c r="S1290" i="8"/>
  <c r="AB1290" i="8"/>
  <c r="AE1290" i="8"/>
  <c r="D1291" i="8"/>
  <c r="H1291" i="8"/>
  <c r="J1291" i="8"/>
  <c r="O1291" i="8"/>
  <c r="P1291" i="8"/>
  <c r="Q1291" i="8"/>
  <c r="R1291" i="8"/>
  <c r="S1291" i="8"/>
  <c r="AB1291" i="8"/>
  <c r="AE1291" i="8"/>
  <c r="D1292" i="8"/>
  <c r="H1292" i="8"/>
  <c r="J1292" i="8"/>
  <c r="O1292" i="8"/>
  <c r="P1292" i="8"/>
  <c r="Q1292" i="8"/>
  <c r="R1292" i="8"/>
  <c r="S1292" i="8"/>
  <c r="AB1292" i="8"/>
  <c r="AE1292" i="8"/>
  <c r="D1293" i="8"/>
  <c r="H1293" i="8"/>
  <c r="J1293" i="8"/>
  <c r="O1293" i="8"/>
  <c r="P1293" i="8"/>
  <c r="Q1293" i="8"/>
  <c r="R1293" i="8"/>
  <c r="S1293" i="8"/>
  <c r="AB1293" i="8"/>
  <c r="AE1293" i="8"/>
  <c r="D1294" i="8"/>
  <c r="H1294" i="8"/>
  <c r="J1294" i="8"/>
  <c r="O1294" i="8"/>
  <c r="P1294" i="8"/>
  <c r="Q1294" i="8"/>
  <c r="R1294" i="8"/>
  <c r="S1294" i="8"/>
  <c r="AB1294" i="8"/>
  <c r="AE1294" i="8"/>
  <c r="D1295" i="8"/>
  <c r="H1295" i="8"/>
  <c r="J1295" i="8"/>
  <c r="O1295" i="8"/>
  <c r="P1295" i="8"/>
  <c r="Q1295" i="8"/>
  <c r="R1295" i="8"/>
  <c r="S1295" i="8"/>
  <c r="AB1295" i="8"/>
  <c r="AE1295" i="8"/>
  <c r="D1296" i="8"/>
  <c r="H1296" i="8"/>
  <c r="J1296" i="8"/>
  <c r="O1296" i="8"/>
  <c r="P1296" i="8"/>
  <c r="Q1296" i="8"/>
  <c r="R1296" i="8"/>
  <c r="S1296" i="8"/>
  <c r="AB1296" i="8"/>
  <c r="AE1296" i="8"/>
  <c r="D1297" i="8"/>
  <c r="H1297" i="8"/>
  <c r="J1297" i="8"/>
  <c r="O1297" i="8"/>
  <c r="P1297" i="8"/>
  <c r="Q1297" i="8"/>
  <c r="R1297" i="8"/>
  <c r="S1297" i="8"/>
  <c r="AB1297" i="8"/>
  <c r="AE1297" i="8"/>
  <c r="D1298" i="8"/>
  <c r="H1298" i="8"/>
  <c r="J1298" i="8"/>
  <c r="O1298" i="8"/>
  <c r="P1298" i="8"/>
  <c r="Q1298" i="8"/>
  <c r="R1298" i="8"/>
  <c r="S1298" i="8"/>
  <c r="AB1298" i="8"/>
  <c r="AE1298" i="8"/>
  <c r="D1299" i="8"/>
  <c r="H1299" i="8"/>
  <c r="J1299" i="8"/>
  <c r="O1299" i="8"/>
  <c r="P1299" i="8"/>
  <c r="Q1299" i="8"/>
  <c r="R1299" i="8"/>
  <c r="S1299" i="8"/>
  <c r="AB1299" i="8"/>
  <c r="AE1299" i="8"/>
  <c r="D1300" i="8"/>
  <c r="H1300" i="8"/>
  <c r="J1300" i="8"/>
  <c r="O1300" i="8"/>
  <c r="P1300" i="8"/>
  <c r="Q1300" i="8"/>
  <c r="R1300" i="8"/>
  <c r="S1300" i="8"/>
  <c r="AB1300" i="8"/>
  <c r="AE1300" i="8"/>
  <c r="D1301" i="8"/>
  <c r="H1301" i="8"/>
  <c r="J1301" i="8"/>
  <c r="O1301" i="8"/>
  <c r="P1301" i="8"/>
  <c r="Q1301" i="8"/>
  <c r="R1301" i="8"/>
  <c r="S1301" i="8"/>
  <c r="AB1301" i="8"/>
  <c r="AE1301" i="8"/>
  <c r="D1302" i="8"/>
  <c r="H1302" i="8"/>
  <c r="J1302" i="8"/>
  <c r="O1302" i="8"/>
  <c r="P1302" i="8"/>
  <c r="Q1302" i="8"/>
  <c r="R1302" i="8"/>
  <c r="S1302" i="8"/>
  <c r="AB1302" i="8"/>
  <c r="AE1302" i="8"/>
  <c r="D1303" i="8"/>
  <c r="H1303" i="8"/>
  <c r="J1303" i="8"/>
  <c r="O1303" i="8"/>
  <c r="P1303" i="8"/>
  <c r="Q1303" i="8"/>
  <c r="R1303" i="8"/>
  <c r="S1303" i="8"/>
  <c r="AB1303" i="8"/>
  <c r="AE1303" i="8"/>
  <c r="D1304" i="8"/>
  <c r="H1304" i="8"/>
  <c r="J1304" i="8"/>
  <c r="O1304" i="8"/>
  <c r="P1304" i="8"/>
  <c r="Q1304" i="8"/>
  <c r="R1304" i="8"/>
  <c r="S1304" i="8"/>
  <c r="AB1304" i="8"/>
  <c r="AE1304" i="8"/>
  <c r="D1305" i="8"/>
  <c r="H1305" i="8"/>
  <c r="J1305" i="8"/>
  <c r="O1305" i="8"/>
  <c r="P1305" i="8"/>
  <c r="Q1305" i="8"/>
  <c r="R1305" i="8"/>
  <c r="S1305" i="8"/>
  <c r="AB1305" i="8"/>
  <c r="AE1305" i="8"/>
  <c r="D1306" i="8"/>
  <c r="H1306" i="8"/>
  <c r="J1306" i="8"/>
  <c r="O1306" i="8"/>
  <c r="P1306" i="8"/>
  <c r="Q1306" i="8"/>
  <c r="R1306" i="8"/>
  <c r="S1306" i="8"/>
  <c r="AB1306" i="8"/>
  <c r="AE1306" i="8"/>
  <c r="D1307" i="8"/>
  <c r="H1307" i="8"/>
  <c r="J1307" i="8"/>
  <c r="O1307" i="8"/>
  <c r="P1307" i="8"/>
  <c r="Q1307" i="8"/>
  <c r="R1307" i="8"/>
  <c r="S1307" i="8"/>
  <c r="AB1307" i="8"/>
  <c r="AE1307" i="8"/>
  <c r="D1308" i="8"/>
  <c r="H1308" i="8"/>
  <c r="J1308" i="8"/>
  <c r="O1308" i="8"/>
  <c r="P1308" i="8"/>
  <c r="Q1308" i="8"/>
  <c r="R1308" i="8"/>
  <c r="S1308" i="8"/>
  <c r="AB1308" i="8"/>
  <c r="AE1308" i="8"/>
  <c r="D1309" i="8"/>
  <c r="H1309" i="8"/>
  <c r="J1309" i="8"/>
  <c r="O1309" i="8"/>
  <c r="P1309" i="8"/>
  <c r="Q1309" i="8"/>
  <c r="R1309" i="8"/>
  <c r="S1309" i="8"/>
  <c r="AB1309" i="8"/>
  <c r="AE1309" i="8"/>
  <c r="D1310" i="8"/>
  <c r="H1310" i="8"/>
  <c r="J1310" i="8"/>
  <c r="O1310" i="8"/>
  <c r="P1310" i="8"/>
  <c r="Q1310" i="8"/>
  <c r="R1310" i="8"/>
  <c r="S1310" i="8"/>
  <c r="AB1310" i="8"/>
  <c r="AE1310" i="8"/>
  <c r="D1311" i="8"/>
  <c r="H1311" i="8"/>
  <c r="J1311" i="8"/>
  <c r="O1311" i="8"/>
  <c r="P1311" i="8"/>
  <c r="Q1311" i="8"/>
  <c r="R1311" i="8"/>
  <c r="S1311" i="8"/>
  <c r="AB1311" i="8"/>
  <c r="AE1311" i="8"/>
  <c r="D1312" i="8"/>
  <c r="H1312" i="8"/>
  <c r="J1312" i="8"/>
  <c r="O1312" i="8"/>
  <c r="P1312" i="8"/>
  <c r="Q1312" i="8"/>
  <c r="R1312" i="8"/>
  <c r="S1312" i="8"/>
  <c r="AB1312" i="8"/>
  <c r="AE1312" i="8"/>
  <c r="D1313" i="8"/>
  <c r="H1313" i="8"/>
  <c r="J1313" i="8"/>
  <c r="O1313" i="8"/>
  <c r="P1313" i="8"/>
  <c r="Q1313" i="8"/>
  <c r="R1313" i="8"/>
  <c r="S1313" i="8"/>
  <c r="AB1313" i="8"/>
  <c r="AE1313" i="8"/>
  <c r="D1314" i="8"/>
  <c r="H1314" i="8"/>
  <c r="J1314" i="8"/>
  <c r="O1314" i="8"/>
  <c r="P1314" i="8"/>
  <c r="Q1314" i="8"/>
  <c r="R1314" i="8"/>
  <c r="S1314" i="8"/>
  <c r="AB1314" i="8"/>
  <c r="AE1314" i="8"/>
  <c r="D1315" i="8"/>
  <c r="H1315" i="8"/>
  <c r="J1315" i="8"/>
  <c r="O1315" i="8"/>
  <c r="P1315" i="8"/>
  <c r="Q1315" i="8"/>
  <c r="R1315" i="8"/>
  <c r="S1315" i="8"/>
  <c r="AB1315" i="8"/>
  <c r="AE1315" i="8"/>
  <c r="D1316" i="8"/>
  <c r="H1316" i="8"/>
  <c r="J1316" i="8"/>
  <c r="O1316" i="8"/>
  <c r="P1316" i="8"/>
  <c r="Q1316" i="8"/>
  <c r="R1316" i="8"/>
  <c r="S1316" i="8"/>
  <c r="AB1316" i="8"/>
  <c r="AE1316" i="8"/>
  <c r="D1317" i="8"/>
  <c r="H1317" i="8"/>
  <c r="J1317" i="8"/>
  <c r="O1317" i="8"/>
  <c r="P1317" i="8"/>
  <c r="Q1317" i="8"/>
  <c r="R1317" i="8"/>
  <c r="S1317" i="8"/>
  <c r="AB1317" i="8"/>
  <c r="AE1317" i="8"/>
  <c r="D1318" i="8"/>
  <c r="H1318" i="8"/>
  <c r="J1318" i="8"/>
  <c r="O1318" i="8"/>
  <c r="P1318" i="8"/>
  <c r="Q1318" i="8"/>
  <c r="R1318" i="8"/>
  <c r="S1318" i="8"/>
  <c r="AB1318" i="8"/>
  <c r="AE1318" i="8"/>
  <c r="D1319" i="8"/>
  <c r="H1319" i="8"/>
  <c r="J1319" i="8"/>
  <c r="O1319" i="8"/>
  <c r="P1319" i="8"/>
  <c r="Q1319" i="8"/>
  <c r="R1319" i="8"/>
  <c r="S1319" i="8"/>
  <c r="AB1319" i="8"/>
  <c r="AE1319" i="8"/>
  <c r="D1320" i="8"/>
  <c r="H1320" i="8"/>
  <c r="J1320" i="8"/>
  <c r="O1320" i="8"/>
  <c r="P1320" i="8"/>
  <c r="Q1320" i="8"/>
  <c r="R1320" i="8"/>
  <c r="S1320" i="8"/>
  <c r="AB1320" i="8"/>
  <c r="AE1320" i="8"/>
  <c r="D1321" i="8"/>
  <c r="H1321" i="8"/>
  <c r="J1321" i="8"/>
  <c r="O1321" i="8"/>
  <c r="P1321" i="8"/>
  <c r="Q1321" i="8"/>
  <c r="R1321" i="8"/>
  <c r="S1321" i="8"/>
  <c r="AB1321" i="8"/>
  <c r="AE1321" i="8"/>
  <c r="D1322" i="8"/>
  <c r="H1322" i="8"/>
  <c r="J1322" i="8"/>
  <c r="O1322" i="8"/>
  <c r="P1322" i="8"/>
  <c r="Q1322" i="8"/>
  <c r="R1322" i="8"/>
  <c r="S1322" i="8"/>
  <c r="AB1322" i="8"/>
  <c r="AE1322" i="8"/>
  <c r="D1323" i="8"/>
  <c r="H1323" i="8"/>
  <c r="J1323" i="8"/>
  <c r="O1323" i="8"/>
  <c r="P1323" i="8"/>
  <c r="Q1323" i="8"/>
  <c r="R1323" i="8"/>
  <c r="S1323" i="8"/>
  <c r="AB1323" i="8"/>
  <c r="AE1323" i="8"/>
  <c r="D1324" i="8"/>
  <c r="H1324" i="8"/>
  <c r="J1324" i="8"/>
  <c r="O1324" i="8"/>
  <c r="P1324" i="8"/>
  <c r="Q1324" i="8"/>
  <c r="R1324" i="8"/>
  <c r="S1324" i="8"/>
  <c r="AB1324" i="8"/>
  <c r="AE1324" i="8"/>
  <c r="D1325" i="8"/>
  <c r="H1325" i="8"/>
  <c r="J1325" i="8"/>
  <c r="O1325" i="8"/>
  <c r="P1325" i="8"/>
  <c r="Q1325" i="8"/>
  <c r="R1325" i="8"/>
  <c r="S1325" i="8"/>
  <c r="AB1325" i="8"/>
  <c r="AE1325" i="8"/>
  <c r="D1326" i="8"/>
  <c r="H1326" i="8"/>
  <c r="J1326" i="8"/>
  <c r="O1326" i="8"/>
  <c r="P1326" i="8"/>
  <c r="Q1326" i="8"/>
  <c r="R1326" i="8"/>
  <c r="S1326" i="8"/>
  <c r="AB1326" i="8"/>
  <c r="AE1326" i="8"/>
  <c r="D1327" i="8"/>
  <c r="H1327" i="8"/>
  <c r="J1327" i="8"/>
  <c r="O1327" i="8"/>
  <c r="P1327" i="8"/>
  <c r="Q1327" i="8"/>
  <c r="R1327" i="8"/>
  <c r="S1327" i="8"/>
  <c r="AB1327" i="8"/>
  <c r="AE1327" i="8"/>
  <c r="D1328" i="8"/>
  <c r="H1328" i="8"/>
  <c r="J1328" i="8"/>
  <c r="O1328" i="8"/>
  <c r="P1328" i="8"/>
  <c r="Q1328" i="8"/>
  <c r="R1328" i="8"/>
  <c r="S1328" i="8"/>
  <c r="AE1328" i="8"/>
  <c r="D1329" i="8"/>
  <c r="H1329" i="8"/>
  <c r="J1329" i="8"/>
  <c r="O1329" i="8"/>
  <c r="P1329" i="8"/>
  <c r="Q1329" i="8"/>
  <c r="R1329" i="8"/>
  <c r="S1329" i="8"/>
  <c r="AE1329" i="8"/>
  <c r="D1330" i="8"/>
  <c r="H1330" i="8"/>
  <c r="J1330" i="8"/>
  <c r="O1330" i="8"/>
  <c r="P1330" i="8"/>
  <c r="Q1330" i="8"/>
  <c r="R1330" i="8"/>
  <c r="S1330" i="8"/>
  <c r="AE1330" i="8"/>
  <c r="D1331" i="8"/>
  <c r="H1331" i="8"/>
  <c r="J1331" i="8"/>
  <c r="O1331" i="8"/>
  <c r="P1331" i="8"/>
  <c r="Q1331" i="8"/>
  <c r="R1331" i="8"/>
  <c r="S1331" i="8"/>
  <c r="AE1331" i="8"/>
  <c r="D1332" i="8"/>
  <c r="H1332" i="8"/>
  <c r="J1332" i="8"/>
  <c r="O1332" i="8"/>
  <c r="P1332" i="8"/>
  <c r="Q1332" i="8"/>
  <c r="R1332" i="8"/>
  <c r="S1332" i="8"/>
  <c r="AE1332" i="8"/>
  <c r="D1333" i="8"/>
  <c r="H1333" i="8"/>
  <c r="J1333" i="8"/>
  <c r="O1333" i="8"/>
  <c r="P1333" i="8"/>
  <c r="Q1333" i="8"/>
  <c r="R1333" i="8"/>
  <c r="S1333" i="8"/>
  <c r="AE1333" i="8"/>
  <c r="D1334" i="8"/>
  <c r="H1334" i="8"/>
  <c r="J1334" i="8"/>
  <c r="O1334" i="8"/>
  <c r="P1334" i="8"/>
  <c r="Q1334" i="8"/>
  <c r="R1334" i="8"/>
  <c r="S1334" i="8"/>
  <c r="AE1334" i="8"/>
  <c r="D1335" i="8"/>
  <c r="H1335" i="8"/>
  <c r="J1335" i="8"/>
  <c r="O1335" i="8"/>
  <c r="P1335" i="8"/>
  <c r="Q1335" i="8"/>
  <c r="R1335" i="8"/>
  <c r="S1335" i="8"/>
  <c r="AE1335" i="8"/>
  <c r="D1336" i="8"/>
  <c r="H1336" i="8"/>
  <c r="J1336" i="8"/>
  <c r="O1336" i="8"/>
  <c r="P1336" i="8"/>
  <c r="Q1336" i="8"/>
  <c r="R1336" i="8"/>
  <c r="S1336" i="8"/>
  <c r="AE1336" i="8"/>
  <c r="D1337" i="8"/>
  <c r="H1337" i="8"/>
  <c r="J1337" i="8"/>
  <c r="O1337" i="8"/>
  <c r="P1337" i="8"/>
  <c r="Q1337" i="8"/>
  <c r="R1337" i="8"/>
  <c r="S1337" i="8"/>
  <c r="AE1337" i="8"/>
  <c r="D1338" i="8"/>
  <c r="H1338" i="8"/>
  <c r="J1338" i="8"/>
  <c r="O1338" i="8"/>
  <c r="P1338" i="8"/>
  <c r="Q1338" i="8"/>
  <c r="R1338" i="8"/>
  <c r="S1338" i="8"/>
  <c r="AE1338" i="8"/>
  <c r="D1339" i="8"/>
  <c r="H1339" i="8"/>
  <c r="J1339" i="8"/>
  <c r="O1339" i="8"/>
  <c r="P1339" i="8"/>
  <c r="Q1339" i="8"/>
  <c r="R1339" i="8"/>
  <c r="S1339" i="8"/>
  <c r="AE1339" i="8"/>
  <c r="D1340" i="8"/>
  <c r="H1340" i="8"/>
  <c r="J1340" i="8"/>
  <c r="O1340" i="8"/>
  <c r="P1340" i="8"/>
  <c r="Q1340" i="8"/>
  <c r="R1340" i="8"/>
  <c r="S1340" i="8"/>
  <c r="AE1340" i="8"/>
  <c r="D1341" i="8"/>
  <c r="H1341" i="8"/>
  <c r="J1341" i="8"/>
  <c r="O1341" i="8"/>
  <c r="P1341" i="8"/>
  <c r="Q1341" i="8"/>
  <c r="R1341" i="8"/>
  <c r="S1341" i="8"/>
  <c r="AE1341" i="8"/>
  <c r="D1342" i="8"/>
  <c r="H1342" i="8"/>
  <c r="J1342" i="8"/>
  <c r="O1342" i="8"/>
  <c r="P1342" i="8"/>
  <c r="Q1342" i="8"/>
  <c r="R1342" i="8"/>
  <c r="S1342" i="8"/>
  <c r="AE1342" i="8"/>
  <c r="D1343" i="8"/>
  <c r="H1343" i="8"/>
  <c r="J1343" i="8"/>
  <c r="O1343" i="8"/>
  <c r="P1343" i="8"/>
  <c r="Q1343" i="8"/>
  <c r="R1343" i="8"/>
  <c r="S1343" i="8"/>
  <c r="AE1343" i="8"/>
  <c r="D1344" i="8"/>
  <c r="H1344" i="8"/>
  <c r="J1344" i="8"/>
  <c r="O1344" i="8"/>
  <c r="P1344" i="8"/>
  <c r="Q1344" i="8"/>
  <c r="R1344" i="8"/>
  <c r="S1344" i="8"/>
  <c r="AE1344" i="8"/>
  <c r="D1345" i="8"/>
  <c r="H1345" i="8"/>
  <c r="J1345" i="8"/>
  <c r="O1345" i="8"/>
  <c r="P1345" i="8"/>
  <c r="Q1345" i="8"/>
  <c r="R1345" i="8"/>
  <c r="S1345" i="8"/>
  <c r="AE1345" i="8"/>
  <c r="D1346" i="8"/>
  <c r="H1346" i="8"/>
  <c r="J1346" i="8"/>
  <c r="O1346" i="8"/>
  <c r="P1346" i="8"/>
  <c r="Q1346" i="8"/>
  <c r="R1346" i="8"/>
  <c r="S1346" i="8"/>
  <c r="AE1346" i="8"/>
  <c r="D1347" i="8"/>
  <c r="H1347" i="8"/>
  <c r="J1347" i="8"/>
  <c r="O1347" i="8"/>
  <c r="P1347" i="8"/>
  <c r="Q1347" i="8"/>
  <c r="R1347" i="8"/>
  <c r="S1347" i="8"/>
  <c r="AE1347" i="8"/>
  <c r="D1348" i="8"/>
  <c r="H1348" i="8"/>
  <c r="J1348" i="8"/>
  <c r="O1348" i="8"/>
  <c r="P1348" i="8"/>
  <c r="Q1348" i="8"/>
  <c r="R1348" i="8"/>
  <c r="S1348" i="8"/>
  <c r="AE1348" i="8"/>
  <c r="D1349" i="8"/>
  <c r="H1349" i="8"/>
  <c r="J1349" i="8"/>
  <c r="O1349" i="8"/>
  <c r="P1349" i="8"/>
  <c r="Q1349" i="8"/>
  <c r="R1349" i="8"/>
  <c r="S1349" i="8"/>
  <c r="AE1349" i="8"/>
  <c r="D1350" i="8"/>
  <c r="H1350" i="8"/>
  <c r="J1350" i="8"/>
  <c r="O1350" i="8"/>
  <c r="P1350" i="8"/>
  <c r="Q1350" i="8"/>
  <c r="R1350" i="8"/>
  <c r="S1350" i="8"/>
  <c r="AE1350" i="8"/>
  <c r="D1351" i="8"/>
  <c r="H1351" i="8"/>
  <c r="J1351" i="8"/>
  <c r="O1351" i="8"/>
  <c r="P1351" i="8"/>
  <c r="Q1351" i="8"/>
  <c r="R1351" i="8"/>
  <c r="S1351" i="8"/>
  <c r="AE1351" i="8"/>
  <c r="D1352" i="8"/>
  <c r="H1352" i="8"/>
  <c r="J1352" i="8"/>
  <c r="O1352" i="8"/>
  <c r="P1352" i="8"/>
  <c r="Q1352" i="8"/>
  <c r="R1352" i="8"/>
  <c r="S1352" i="8"/>
  <c r="AE1352" i="8"/>
  <c r="D1353" i="8"/>
  <c r="H1353" i="8"/>
  <c r="J1353" i="8"/>
  <c r="O1353" i="8"/>
  <c r="P1353" i="8"/>
  <c r="Q1353" i="8"/>
  <c r="R1353" i="8"/>
  <c r="S1353" i="8"/>
  <c r="AE1353" i="8"/>
  <c r="D1354" i="8"/>
  <c r="H1354" i="8"/>
  <c r="J1354" i="8"/>
  <c r="O1354" i="8"/>
  <c r="P1354" i="8"/>
  <c r="Q1354" i="8"/>
  <c r="R1354" i="8"/>
  <c r="S1354" i="8"/>
  <c r="AE1354" i="8"/>
  <c r="D1355" i="8"/>
  <c r="H1355" i="8"/>
  <c r="J1355" i="8"/>
  <c r="O1355" i="8"/>
  <c r="P1355" i="8"/>
  <c r="Q1355" i="8"/>
  <c r="R1355" i="8"/>
  <c r="S1355" i="8"/>
  <c r="AE1355" i="8"/>
  <c r="D1356" i="8"/>
  <c r="H1356" i="8"/>
  <c r="J1356" i="8"/>
  <c r="O1356" i="8"/>
  <c r="P1356" i="8"/>
  <c r="Q1356" i="8"/>
  <c r="R1356" i="8"/>
  <c r="S1356" i="8"/>
  <c r="AE1356" i="8"/>
  <c r="D1357" i="8"/>
  <c r="H1357" i="8"/>
  <c r="J1357" i="8"/>
  <c r="O1357" i="8"/>
  <c r="P1357" i="8"/>
  <c r="Q1357" i="8"/>
  <c r="R1357" i="8"/>
  <c r="S1357" i="8"/>
  <c r="AE1357" i="8"/>
  <c r="D1358" i="8"/>
  <c r="H1358" i="8"/>
  <c r="J1358" i="8"/>
  <c r="O1358" i="8"/>
  <c r="P1358" i="8"/>
  <c r="Q1358" i="8"/>
  <c r="R1358" i="8"/>
  <c r="S1358" i="8"/>
  <c r="AE1358" i="8"/>
  <c r="D1359" i="8"/>
  <c r="H1359" i="8"/>
  <c r="J1359" i="8"/>
  <c r="O1359" i="8"/>
  <c r="P1359" i="8"/>
  <c r="Q1359" i="8"/>
  <c r="R1359" i="8"/>
  <c r="S1359" i="8"/>
  <c r="AE1359" i="8"/>
  <c r="D1360" i="8"/>
  <c r="H1360" i="8"/>
  <c r="J1360" i="8"/>
  <c r="O1360" i="8"/>
  <c r="P1360" i="8"/>
  <c r="Q1360" i="8"/>
  <c r="R1360" i="8"/>
  <c r="S1360" i="8"/>
  <c r="AE1360" i="8"/>
  <c r="D1361" i="8"/>
  <c r="H1361" i="8"/>
  <c r="J1361" i="8"/>
  <c r="O1361" i="8"/>
  <c r="P1361" i="8"/>
  <c r="Q1361" i="8"/>
  <c r="R1361" i="8"/>
  <c r="S1361" i="8"/>
  <c r="AE1361" i="8"/>
  <c r="D1362" i="8"/>
  <c r="H1362" i="8"/>
  <c r="J1362" i="8"/>
  <c r="O1362" i="8"/>
  <c r="P1362" i="8"/>
  <c r="Q1362" i="8"/>
  <c r="R1362" i="8"/>
  <c r="S1362" i="8"/>
  <c r="AE1362" i="8"/>
  <c r="D1363" i="8"/>
  <c r="H1363" i="8"/>
  <c r="J1363" i="8"/>
  <c r="O1363" i="8"/>
  <c r="P1363" i="8"/>
  <c r="Q1363" i="8"/>
  <c r="R1363" i="8"/>
  <c r="S1363" i="8"/>
  <c r="AE1363" i="8"/>
  <c r="D1364" i="8"/>
  <c r="H1364" i="8"/>
  <c r="J1364" i="8"/>
  <c r="O1364" i="8"/>
  <c r="P1364" i="8"/>
  <c r="Q1364" i="8"/>
  <c r="R1364" i="8"/>
  <c r="S1364" i="8"/>
  <c r="AE1364" i="8"/>
  <c r="D1365" i="8"/>
  <c r="H1365" i="8"/>
  <c r="J1365" i="8"/>
  <c r="O1365" i="8"/>
  <c r="P1365" i="8"/>
  <c r="Q1365" i="8"/>
  <c r="R1365" i="8"/>
  <c r="S1365" i="8"/>
  <c r="AE1365" i="8"/>
  <c r="D1366" i="8"/>
  <c r="H1366" i="8"/>
  <c r="J1366" i="8"/>
  <c r="O1366" i="8"/>
  <c r="P1366" i="8"/>
  <c r="Q1366" i="8"/>
  <c r="R1366" i="8"/>
  <c r="S1366" i="8"/>
  <c r="AE1366" i="8"/>
  <c r="D1367" i="8"/>
  <c r="H1367" i="8"/>
  <c r="J1367" i="8"/>
  <c r="O1367" i="8"/>
  <c r="P1367" i="8"/>
  <c r="Q1367" i="8"/>
  <c r="R1367" i="8"/>
  <c r="S1367" i="8"/>
  <c r="AE1367" i="8"/>
  <c r="D1368" i="8"/>
  <c r="H1368" i="8"/>
  <c r="J1368" i="8"/>
  <c r="O1368" i="8"/>
  <c r="P1368" i="8"/>
  <c r="Q1368" i="8"/>
  <c r="R1368" i="8"/>
  <c r="S1368" i="8"/>
  <c r="AE1368" i="8"/>
  <c r="D1369" i="8"/>
  <c r="H1369" i="8"/>
  <c r="J1369" i="8"/>
  <c r="O1369" i="8"/>
  <c r="P1369" i="8"/>
  <c r="Q1369" i="8"/>
  <c r="R1369" i="8"/>
  <c r="S1369" i="8"/>
  <c r="AE1369" i="8"/>
  <c r="D1370" i="8"/>
  <c r="H1370" i="8"/>
  <c r="J1370" i="8"/>
  <c r="O1370" i="8"/>
  <c r="P1370" i="8"/>
  <c r="Q1370" i="8"/>
  <c r="R1370" i="8"/>
  <c r="S1370" i="8"/>
  <c r="AE1370" i="8"/>
  <c r="D1371" i="8"/>
  <c r="H1371" i="8"/>
  <c r="J1371" i="8"/>
  <c r="O1371" i="8"/>
  <c r="P1371" i="8"/>
  <c r="Q1371" i="8"/>
  <c r="R1371" i="8"/>
  <c r="S1371" i="8"/>
  <c r="AE1371" i="8"/>
  <c r="D1372" i="8"/>
  <c r="H1372" i="8"/>
  <c r="J1372" i="8"/>
  <c r="O1372" i="8"/>
  <c r="P1372" i="8"/>
  <c r="Q1372" i="8"/>
  <c r="R1372" i="8"/>
  <c r="S1372" i="8"/>
  <c r="AE1372" i="8"/>
  <c r="D1373" i="8"/>
  <c r="H1373" i="8"/>
  <c r="J1373" i="8"/>
  <c r="O1373" i="8"/>
  <c r="P1373" i="8"/>
  <c r="Q1373" i="8"/>
  <c r="R1373" i="8"/>
  <c r="S1373" i="8"/>
  <c r="AE1373" i="8"/>
  <c r="D1374" i="8"/>
  <c r="H1374" i="8"/>
  <c r="J1374" i="8"/>
  <c r="O1374" i="8"/>
  <c r="P1374" i="8"/>
  <c r="Q1374" i="8"/>
  <c r="R1374" i="8"/>
  <c r="S1374" i="8"/>
  <c r="AE1374" i="8"/>
  <c r="D1375" i="8"/>
  <c r="H1375" i="8"/>
  <c r="J1375" i="8"/>
  <c r="O1375" i="8"/>
  <c r="P1375" i="8"/>
  <c r="Q1375" i="8"/>
  <c r="R1375" i="8"/>
  <c r="S1375" i="8"/>
  <c r="AE1375" i="8"/>
  <c r="D1376" i="8"/>
  <c r="H1376" i="8"/>
  <c r="J1376" i="8"/>
  <c r="O1376" i="8"/>
  <c r="P1376" i="8"/>
  <c r="Q1376" i="8"/>
  <c r="R1376" i="8"/>
  <c r="S1376" i="8"/>
  <c r="AE1376" i="8"/>
  <c r="D1377" i="8"/>
  <c r="H1377" i="8"/>
  <c r="J1377" i="8"/>
  <c r="O1377" i="8"/>
  <c r="P1377" i="8"/>
  <c r="Q1377" i="8"/>
  <c r="R1377" i="8"/>
  <c r="S1377" i="8"/>
  <c r="AE1377" i="8"/>
  <c r="D1378" i="8"/>
  <c r="H1378" i="8"/>
  <c r="J1378" i="8"/>
  <c r="O1378" i="8"/>
  <c r="P1378" i="8"/>
  <c r="Q1378" i="8"/>
  <c r="R1378" i="8"/>
  <c r="S1378" i="8"/>
  <c r="AE1378" i="8"/>
  <c r="AA14" i="4"/>
  <c r="AA15" i="4"/>
  <c r="AA16" i="4"/>
  <c r="AA17" i="4"/>
  <c r="AA18" i="4"/>
  <c r="AA19" i="4"/>
  <c r="AA21" i="4"/>
  <c r="AA22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" i="4"/>
  <c r="G40" i="9" l="1"/>
  <c r="F40" i="9" s="1"/>
  <c r="E40" i="9"/>
  <c r="L1437" i="8"/>
  <c r="AD1437" i="8" s="1"/>
  <c r="L1386" i="8"/>
  <c r="AD1386" i="8" s="1"/>
  <c r="L1488" i="8"/>
  <c r="AD1488" i="8" s="1"/>
  <c r="I41" i="9"/>
  <c r="E1488" i="8"/>
  <c r="E1437" i="8"/>
  <c r="E1386" i="8"/>
  <c r="Z1438" i="8"/>
  <c r="Z1387" i="8"/>
  <c r="Z1489" i="8"/>
  <c r="G1387" i="8"/>
  <c r="B1387" i="8" s="1"/>
  <c r="AG1387" i="8"/>
  <c r="K1387" i="8"/>
  <c r="F1387" i="8" s="1"/>
  <c r="AF1387" i="8"/>
  <c r="AA1387" i="8" s="1"/>
  <c r="M1387" i="8"/>
  <c r="I1388" i="8"/>
  <c r="A1386" i="8"/>
  <c r="AH1387" i="8"/>
  <c r="AF1438" i="8"/>
  <c r="AA1438" i="8" s="1"/>
  <c r="I1439" i="8"/>
  <c r="A1437" i="8"/>
  <c r="K1438" i="8"/>
  <c r="F1438" i="8" s="1"/>
  <c r="M1489" i="8"/>
  <c r="M1438" i="8"/>
  <c r="AH1438" i="8"/>
  <c r="AG1438" i="8"/>
  <c r="G1438" i="8"/>
  <c r="B1438" i="8" s="1"/>
  <c r="AF1489" i="8"/>
  <c r="AA1489" i="8" s="1"/>
  <c r="I1490" i="8"/>
  <c r="G1489" i="8"/>
  <c r="B1489" i="8" s="1"/>
  <c r="AH1489" i="8"/>
  <c r="K1489" i="8"/>
  <c r="F1489" i="8" s="1"/>
  <c r="AG1489" i="8"/>
  <c r="A1488" i="8"/>
  <c r="AC16" i="4"/>
  <c r="AC19" i="4"/>
  <c r="AC18" i="4"/>
  <c r="AC17" i="4"/>
  <c r="AC13" i="4"/>
  <c r="AC22" i="4"/>
  <c r="AC14" i="4"/>
  <c r="AC15" i="4"/>
  <c r="AC21" i="4"/>
  <c r="AC20" i="4"/>
  <c r="F6" i="7"/>
  <c r="F12" i="7"/>
  <c r="F13" i="7"/>
  <c r="F14" i="7"/>
  <c r="F20" i="7"/>
  <c r="F21" i="7"/>
  <c r="F22" i="7"/>
  <c r="F28" i="7"/>
  <c r="F29" i="7"/>
  <c r="F30" i="7"/>
  <c r="F36" i="7"/>
  <c r="F37" i="7"/>
  <c r="F38" i="7"/>
  <c r="F44" i="7"/>
  <c r="F45" i="7"/>
  <c r="F46" i="7"/>
  <c r="F52" i="7"/>
  <c r="F53" i="7"/>
  <c r="F54" i="7"/>
  <c r="F60" i="7"/>
  <c r="F61" i="7"/>
  <c r="F62" i="7"/>
  <c r="F68" i="7"/>
  <c r="F69" i="7"/>
  <c r="F70" i="7"/>
  <c r="F76" i="7"/>
  <c r="F77" i="7"/>
  <c r="F78" i="7"/>
  <c r="F84" i="7"/>
  <c r="F85" i="7"/>
  <c r="F86" i="7"/>
  <c r="F92" i="7"/>
  <c r="F93" i="7"/>
  <c r="F94" i="7"/>
  <c r="F100" i="7"/>
  <c r="F101" i="7"/>
  <c r="F102" i="7"/>
  <c r="F7" i="7"/>
  <c r="F8" i="7"/>
  <c r="F9" i="7"/>
  <c r="F10" i="7"/>
  <c r="F15" i="7"/>
  <c r="F16" i="7"/>
  <c r="F17" i="7"/>
  <c r="F18" i="7"/>
  <c r="F23" i="7"/>
  <c r="F24" i="7"/>
  <c r="F25" i="7"/>
  <c r="F26" i="7"/>
  <c r="F31" i="7"/>
  <c r="F32" i="7"/>
  <c r="F33" i="7"/>
  <c r="F34" i="7"/>
  <c r="F39" i="7"/>
  <c r="F40" i="7"/>
  <c r="F41" i="7"/>
  <c r="F42" i="7"/>
  <c r="F47" i="7"/>
  <c r="F48" i="7"/>
  <c r="F49" i="7"/>
  <c r="F50" i="7"/>
  <c r="F55" i="7"/>
  <c r="F56" i="7"/>
  <c r="F57" i="7"/>
  <c r="F58" i="7"/>
  <c r="F63" i="7"/>
  <c r="F64" i="7"/>
  <c r="F65" i="7"/>
  <c r="F66" i="7"/>
  <c r="F71" i="7"/>
  <c r="F72" i="7"/>
  <c r="F73" i="7"/>
  <c r="F74" i="7"/>
  <c r="F79" i="7"/>
  <c r="F80" i="7"/>
  <c r="F81" i="7"/>
  <c r="F83" i="7"/>
  <c r="F87" i="7"/>
  <c r="F88" i="7"/>
  <c r="F89" i="7"/>
  <c r="F90" i="7"/>
  <c r="F95" i="7"/>
  <c r="F96" i="7"/>
  <c r="F97" i="7"/>
  <c r="F99" i="7"/>
  <c r="F103" i="7"/>
  <c r="F104" i="7"/>
  <c r="E6" i="7"/>
  <c r="E7" i="7"/>
  <c r="E8" i="7"/>
  <c r="E9" i="7"/>
  <c r="E10" i="7"/>
  <c r="E11" i="7"/>
  <c r="E12" i="7"/>
  <c r="E13" i="7"/>
  <c r="E14" i="7"/>
  <c r="E15" i="7"/>
  <c r="AI1381" i="8" s="1"/>
  <c r="E16" i="7"/>
  <c r="E17" i="7"/>
  <c r="AI1432" i="8" s="1"/>
  <c r="E18" i="7"/>
  <c r="E19" i="7"/>
  <c r="E20" i="7"/>
  <c r="E21" i="7"/>
  <c r="E22" i="7"/>
  <c r="E23" i="7"/>
  <c r="AI1486" i="8" s="1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5" i="7"/>
  <c r="G41" i="9" l="1"/>
  <c r="F41" i="9" s="1"/>
  <c r="E41" i="9"/>
  <c r="L1387" i="8"/>
  <c r="AD1387" i="8" s="1"/>
  <c r="L1438" i="8"/>
  <c r="AD1438" i="8" s="1"/>
  <c r="L1489" i="8"/>
  <c r="AD1489" i="8" s="1"/>
  <c r="I42" i="9"/>
  <c r="E1438" i="8"/>
  <c r="E1489" i="8"/>
  <c r="E1387" i="8"/>
  <c r="AI1488" i="8"/>
  <c r="Z1388" i="8"/>
  <c r="Z1490" i="8"/>
  <c r="Z1439" i="8"/>
  <c r="AH1388" i="8"/>
  <c r="K1388" i="8"/>
  <c r="F1388" i="8" s="1"/>
  <c r="A1387" i="8"/>
  <c r="I1389" i="8"/>
  <c r="AG1388" i="8"/>
  <c r="AF1388" i="8"/>
  <c r="AA1388" i="8" s="1"/>
  <c r="M1388" i="8"/>
  <c r="G1388" i="8"/>
  <c r="B1388" i="8" s="1"/>
  <c r="AD14" i="4"/>
  <c r="AF1439" i="8"/>
  <c r="AA1439" i="8" s="1"/>
  <c r="M1439" i="8"/>
  <c r="G1439" i="8"/>
  <c r="B1439" i="8" s="1"/>
  <c r="AH1439" i="8"/>
  <c r="AG1439" i="8"/>
  <c r="I1440" i="8"/>
  <c r="K1439" i="8"/>
  <c r="F1439" i="8" s="1"/>
  <c r="M1490" i="8"/>
  <c r="A1438" i="8"/>
  <c r="AF1490" i="8"/>
  <c r="AA1490" i="8" s="1"/>
  <c r="I1491" i="8"/>
  <c r="K1490" i="8"/>
  <c r="F1490" i="8" s="1"/>
  <c r="G1490" i="8"/>
  <c r="B1490" i="8" s="1"/>
  <c r="AG1490" i="8"/>
  <c r="A1489" i="8"/>
  <c r="AH1490" i="8"/>
  <c r="AI1483" i="8"/>
  <c r="AI1384" i="8"/>
  <c r="AI1382" i="8"/>
  <c r="AI1386" i="8"/>
  <c r="AI1436" i="8"/>
  <c r="AI1383" i="8"/>
  <c r="AI1433" i="8"/>
  <c r="AI1437" i="8"/>
  <c r="AI1487" i="8"/>
  <c r="AI1485" i="8"/>
  <c r="AI1385" i="8"/>
  <c r="AI1435" i="8"/>
  <c r="AI1484" i="8"/>
  <c r="AI1434" i="8"/>
  <c r="AD19" i="4"/>
  <c r="F91" i="7"/>
  <c r="F75" i="7"/>
  <c r="F59" i="7"/>
  <c r="F43" i="7"/>
  <c r="F27" i="7"/>
  <c r="F11" i="7"/>
  <c r="F98" i="7"/>
  <c r="F82" i="7"/>
  <c r="F67" i="7"/>
  <c r="F51" i="7"/>
  <c r="F35" i="7"/>
  <c r="F19" i="7"/>
  <c r="L14" i="4"/>
  <c r="AI1489" i="8" l="1"/>
  <c r="AI1438" i="8"/>
  <c r="AI1387" i="8"/>
  <c r="E42" i="9"/>
  <c r="G42" i="9"/>
  <c r="F42" i="9" s="1"/>
  <c r="L1388" i="8"/>
  <c r="AD1388" i="8" s="1"/>
  <c r="L1439" i="8"/>
  <c r="AD1439" i="8" s="1"/>
  <c r="L1490" i="8"/>
  <c r="AD1490" i="8" s="1"/>
  <c r="I43" i="9"/>
  <c r="E1439" i="8"/>
  <c r="E1490" i="8"/>
  <c r="E1388" i="8"/>
  <c r="Z1491" i="8"/>
  <c r="Z1440" i="8"/>
  <c r="Z1389" i="8"/>
  <c r="AF1389" i="8"/>
  <c r="AA1389" i="8" s="1"/>
  <c r="G1389" i="8"/>
  <c r="B1389" i="8" s="1"/>
  <c r="A1388" i="8"/>
  <c r="K1389" i="8"/>
  <c r="F1389" i="8" s="1"/>
  <c r="M1389" i="8"/>
  <c r="AH1389" i="8"/>
  <c r="I1390" i="8"/>
  <c r="AG1389" i="8"/>
  <c r="G1491" i="8"/>
  <c r="B1491" i="8" s="1"/>
  <c r="M1440" i="8"/>
  <c r="A1439" i="8"/>
  <c r="AF1440" i="8"/>
  <c r="AA1440" i="8" s="1"/>
  <c r="AG1440" i="8"/>
  <c r="G1440" i="8"/>
  <c r="B1440" i="8" s="1"/>
  <c r="K1440" i="8"/>
  <c r="F1440" i="8" s="1"/>
  <c r="AH1440" i="8"/>
  <c r="I1441" i="8"/>
  <c r="M1491" i="8"/>
  <c r="I1492" i="8"/>
  <c r="AG1491" i="8"/>
  <c r="K1491" i="8"/>
  <c r="F1491" i="8" s="1"/>
  <c r="A1490" i="8"/>
  <c r="AF1491" i="8"/>
  <c r="AA1491" i="8" s="1"/>
  <c r="AH1491" i="8"/>
  <c r="E4" i="7"/>
  <c r="AI1388" i="8" l="1"/>
  <c r="AI1490" i="8"/>
  <c r="AI1439" i="8"/>
  <c r="E43" i="9"/>
  <c r="G43" i="9"/>
  <c r="F43" i="9" s="1"/>
  <c r="L1491" i="8"/>
  <c r="AD1491" i="8" s="1"/>
  <c r="L1440" i="8"/>
  <c r="AD1440" i="8" s="1"/>
  <c r="L1389" i="8"/>
  <c r="AD1389" i="8" s="1"/>
  <c r="I44" i="9"/>
  <c r="E1440" i="8"/>
  <c r="E1389" i="8"/>
  <c r="E1491" i="8"/>
  <c r="Z1492" i="8"/>
  <c r="Z1390" i="8"/>
  <c r="Z1441" i="8"/>
  <c r="M1390" i="8"/>
  <c r="A1389" i="8"/>
  <c r="G1390" i="8"/>
  <c r="B1390" i="8" s="1"/>
  <c r="I1391" i="8"/>
  <c r="AF1390" i="8"/>
  <c r="AA1390" i="8" s="1"/>
  <c r="AG1390" i="8"/>
  <c r="AH1390" i="8"/>
  <c r="K1390" i="8"/>
  <c r="F1390" i="8" s="1"/>
  <c r="A1491" i="8"/>
  <c r="M1441" i="8"/>
  <c r="A1440" i="8"/>
  <c r="AF1441" i="8"/>
  <c r="AA1441" i="8" s="1"/>
  <c r="G1441" i="8"/>
  <c r="B1441" i="8" s="1"/>
  <c r="AH1441" i="8"/>
  <c r="K1441" i="8"/>
  <c r="F1441" i="8" s="1"/>
  <c r="I1442" i="8"/>
  <c r="AG1441" i="8"/>
  <c r="K1492" i="8"/>
  <c r="F1492" i="8" s="1"/>
  <c r="M1492" i="8"/>
  <c r="I1493" i="8"/>
  <c r="G1492" i="8"/>
  <c r="B1492" i="8" s="1"/>
  <c r="AH1492" i="8"/>
  <c r="AG1492" i="8"/>
  <c r="AF1492" i="8"/>
  <c r="AA1492" i="8" s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2" i="8"/>
  <c r="AI1440" i="8" l="1"/>
  <c r="AI1491" i="8"/>
  <c r="AI1389" i="8"/>
  <c r="E44" i="9"/>
  <c r="G44" i="9"/>
  <c r="F44" i="9" s="1"/>
  <c r="L1492" i="8"/>
  <c r="AD1492" i="8" s="1"/>
  <c r="L1390" i="8"/>
  <c r="AD1390" i="8" s="1"/>
  <c r="L1441" i="8"/>
  <c r="AD1441" i="8" s="1"/>
  <c r="I45" i="9"/>
  <c r="E1492" i="8"/>
  <c r="E1441" i="8"/>
  <c r="E1390" i="8"/>
  <c r="Z1493" i="8"/>
  <c r="Z1442" i="8"/>
  <c r="Z1391" i="8"/>
  <c r="A1390" i="8"/>
  <c r="AF1391" i="8"/>
  <c r="AA1391" i="8" s="1"/>
  <c r="M1391" i="8"/>
  <c r="AG1391" i="8"/>
  <c r="K1391" i="8"/>
  <c r="F1391" i="8" s="1"/>
  <c r="I1392" i="8"/>
  <c r="G1391" i="8"/>
  <c r="B1391" i="8" s="1"/>
  <c r="AH1391" i="8"/>
  <c r="AF1442" i="8"/>
  <c r="AA1442" i="8" s="1"/>
  <c r="K1493" i="8"/>
  <c r="F1493" i="8" s="1"/>
  <c r="A1441" i="8"/>
  <c r="G1442" i="8"/>
  <c r="B1442" i="8" s="1"/>
  <c r="AG1442" i="8"/>
  <c r="AH1442" i="8"/>
  <c r="M1442" i="8"/>
  <c r="K1442" i="8"/>
  <c r="F1442" i="8" s="1"/>
  <c r="I1443" i="8"/>
  <c r="I1494" i="8"/>
  <c r="A1492" i="8"/>
  <c r="M1493" i="8"/>
  <c r="AF1493" i="8"/>
  <c r="AA1493" i="8" s="1"/>
  <c r="AH1493" i="8"/>
  <c r="AG1493" i="8"/>
  <c r="G1493" i="8"/>
  <c r="B1493" i="8" s="1"/>
  <c r="AA6" i="4"/>
  <c r="AA7" i="4"/>
  <c r="AA8" i="4"/>
  <c r="AA9" i="4"/>
  <c r="AA10" i="4"/>
  <c r="AA11" i="4"/>
  <c r="AA12" i="4"/>
  <c r="D652" i="8"/>
  <c r="H652" i="8"/>
  <c r="J652" i="8"/>
  <c r="O652" i="8"/>
  <c r="P652" i="8"/>
  <c r="Q652" i="8"/>
  <c r="R652" i="8"/>
  <c r="S652" i="8"/>
  <c r="D653" i="8"/>
  <c r="H653" i="8"/>
  <c r="J653" i="8"/>
  <c r="O653" i="8"/>
  <c r="P653" i="8"/>
  <c r="Q653" i="8"/>
  <c r="R653" i="8"/>
  <c r="S653" i="8"/>
  <c r="D654" i="8"/>
  <c r="H654" i="8"/>
  <c r="J654" i="8"/>
  <c r="O654" i="8"/>
  <c r="P654" i="8"/>
  <c r="Q654" i="8"/>
  <c r="R654" i="8"/>
  <c r="S654" i="8"/>
  <c r="D655" i="8"/>
  <c r="H655" i="8"/>
  <c r="J655" i="8"/>
  <c r="O655" i="8"/>
  <c r="P655" i="8"/>
  <c r="Q655" i="8"/>
  <c r="R655" i="8"/>
  <c r="S655" i="8"/>
  <c r="D656" i="8"/>
  <c r="H656" i="8"/>
  <c r="J656" i="8"/>
  <c r="O656" i="8"/>
  <c r="P656" i="8"/>
  <c r="Q656" i="8"/>
  <c r="R656" i="8"/>
  <c r="S656" i="8"/>
  <c r="D657" i="8"/>
  <c r="H657" i="8"/>
  <c r="J657" i="8"/>
  <c r="O657" i="8"/>
  <c r="P657" i="8"/>
  <c r="Q657" i="8"/>
  <c r="R657" i="8"/>
  <c r="S657" i="8"/>
  <c r="D658" i="8"/>
  <c r="H658" i="8"/>
  <c r="J658" i="8"/>
  <c r="O658" i="8"/>
  <c r="P658" i="8"/>
  <c r="Q658" i="8"/>
  <c r="R658" i="8"/>
  <c r="S658" i="8"/>
  <c r="D659" i="8"/>
  <c r="H659" i="8"/>
  <c r="J659" i="8"/>
  <c r="O659" i="8"/>
  <c r="P659" i="8"/>
  <c r="Q659" i="8"/>
  <c r="R659" i="8"/>
  <c r="S659" i="8"/>
  <c r="D660" i="8"/>
  <c r="H660" i="8"/>
  <c r="J660" i="8"/>
  <c r="O660" i="8"/>
  <c r="P660" i="8"/>
  <c r="Q660" i="8"/>
  <c r="R660" i="8"/>
  <c r="S660" i="8"/>
  <c r="D661" i="8"/>
  <c r="H661" i="8"/>
  <c r="J661" i="8"/>
  <c r="O661" i="8"/>
  <c r="P661" i="8"/>
  <c r="Q661" i="8"/>
  <c r="R661" i="8"/>
  <c r="S661" i="8"/>
  <c r="D662" i="8"/>
  <c r="H662" i="8"/>
  <c r="J662" i="8"/>
  <c r="O662" i="8"/>
  <c r="P662" i="8"/>
  <c r="Q662" i="8"/>
  <c r="R662" i="8"/>
  <c r="S662" i="8"/>
  <c r="D663" i="8"/>
  <c r="H663" i="8"/>
  <c r="J663" i="8"/>
  <c r="O663" i="8"/>
  <c r="P663" i="8"/>
  <c r="Q663" i="8"/>
  <c r="R663" i="8"/>
  <c r="S663" i="8"/>
  <c r="D664" i="8"/>
  <c r="H664" i="8"/>
  <c r="J664" i="8"/>
  <c r="O664" i="8"/>
  <c r="P664" i="8"/>
  <c r="Q664" i="8"/>
  <c r="R664" i="8"/>
  <c r="S664" i="8"/>
  <c r="D665" i="8"/>
  <c r="H665" i="8"/>
  <c r="J665" i="8"/>
  <c r="O665" i="8"/>
  <c r="P665" i="8"/>
  <c r="Q665" i="8"/>
  <c r="R665" i="8"/>
  <c r="S665" i="8"/>
  <c r="D666" i="8"/>
  <c r="H666" i="8"/>
  <c r="J666" i="8"/>
  <c r="O666" i="8"/>
  <c r="P666" i="8"/>
  <c r="Q666" i="8"/>
  <c r="R666" i="8"/>
  <c r="S666" i="8"/>
  <c r="D667" i="8"/>
  <c r="H667" i="8"/>
  <c r="J667" i="8"/>
  <c r="O667" i="8"/>
  <c r="P667" i="8"/>
  <c r="Q667" i="8"/>
  <c r="R667" i="8"/>
  <c r="S667" i="8"/>
  <c r="D668" i="8"/>
  <c r="H668" i="8"/>
  <c r="J668" i="8"/>
  <c r="O668" i="8"/>
  <c r="P668" i="8"/>
  <c r="Q668" i="8"/>
  <c r="R668" i="8"/>
  <c r="S668" i="8"/>
  <c r="D669" i="8"/>
  <c r="H669" i="8"/>
  <c r="J669" i="8"/>
  <c r="O669" i="8"/>
  <c r="P669" i="8"/>
  <c r="Q669" i="8"/>
  <c r="R669" i="8"/>
  <c r="S669" i="8"/>
  <c r="D670" i="8"/>
  <c r="H670" i="8"/>
  <c r="J670" i="8"/>
  <c r="O670" i="8"/>
  <c r="P670" i="8"/>
  <c r="Q670" i="8"/>
  <c r="R670" i="8"/>
  <c r="S670" i="8"/>
  <c r="D671" i="8"/>
  <c r="H671" i="8"/>
  <c r="J671" i="8"/>
  <c r="O671" i="8"/>
  <c r="P671" i="8"/>
  <c r="Q671" i="8"/>
  <c r="R671" i="8"/>
  <c r="S671" i="8"/>
  <c r="D672" i="8"/>
  <c r="H672" i="8"/>
  <c r="J672" i="8"/>
  <c r="O672" i="8"/>
  <c r="P672" i="8"/>
  <c r="Q672" i="8"/>
  <c r="R672" i="8"/>
  <c r="S672" i="8"/>
  <c r="D673" i="8"/>
  <c r="H673" i="8"/>
  <c r="J673" i="8"/>
  <c r="O673" i="8"/>
  <c r="P673" i="8"/>
  <c r="Q673" i="8"/>
  <c r="R673" i="8"/>
  <c r="S673" i="8"/>
  <c r="D674" i="8"/>
  <c r="H674" i="8"/>
  <c r="J674" i="8"/>
  <c r="O674" i="8"/>
  <c r="P674" i="8"/>
  <c r="Q674" i="8"/>
  <c r="R674" i="8"/>
  <c r="S674" i="8"/>
  <c r="D675" i="8"/>
  <c r="H675" i="8"/>
  <c r="J675" i="8"/>
  <c r="O675" i="8"/>
  <c r="P675" i="8"/>
  <c r="Q675" i="8"/>
  <c r="R675" i="8"/>
  <c r="S675" i="8"/>
  <c r="D676" i="8"/>
  <c r="H676" i="8"/>
  <c r="J676" i="8"/>
  <c r="O676" i="8"/>
  <c r="P676" i="8"/>
  <c r="Q676" i="8"/>
  <c r="R676" i="8"/>
  <c r="S676" i="8"/>
  <c r="D677" i="8"/>
  <c r="H677" i="8"/>
  <c r="J677" i="8"/>
  <c r="O677" i="8"/>
  <c r="P677" i="8"/>
  <c r="Q677" i="8"/>
  <c r="R677" i="8"/>
  <c r="S677" i="8"/>
  <c r="D678" i="8"/>
  <c r="H678" i="8"/>
  <c r="J678" i="8"/>
  <c r="O678" i="8"/>
  <c r="P678" i="8"/>
  <c r="Q678" i="8"/>
  <c r="R678" i="8"/>
  <c r="S678" i="8"/>
  <c r="D679" i="8"/>
  <c r="H679" i="8"/>
  <c r="J679" i="8"/>
  <c r="O679" i="8"/>
  <c r="P679" i="8"/>
  <c r="Q679" i="8"/>
  <c r="R679" i="8"/>
  <c r="S679" i="8"/>
  <c r="D680" i="8"/>
  <c r="H680" i="8"/>
  <c r="J680" i="8"/>
  <c r="O680" i="8"/>
  <c r="P680" i="8"/>
  <c r="Q680" i="8"/>
  <c r="R680" i="8"/>
  <c r="S680" i="8"/>
  <c r="D681" i="8"/>
  <c r="H681" i="8"/>
  <c r="J681" i="8"/>
  <c r="O681" i="8"/>
  <c r="P681" i="8"/>
  <c r="Q681" i="8"/>
  <c r="R681" i="8"/>
  <c r="S681" i="8"/>
  <c r="D682" i="8"/>
  <c r="H682" i="8"/>
  <c r="J682" i="8"/>
  <c r="O682" i="8"/>
  <c r="P682" i="8"/>
  <c r="Q682" i="8"/>
  <c r="R682" i="8"/>
  <c r="S682" i="8"/>
  <c r="D683" i="8"/>
  <c r="H683" i="8"/>
  <c r="J683" i="8"/>
  <c r="O683" i="8"/>
  <c r="P683" i="8"/>
  <c r="Q683" i="8"/>
  <c r="R683" i="8"/>
  <c r="S683" i="8"/>
  <c r="D684" i="8"/>
  <c r="H684" i="8"/>
  <c r="J684" i="8"/>
  <c r="O684" i="8"/>
  <c r="P684" i="8"/>
  <c r="Q684" i="8"/>
  <c r="R684" i="8"/>
  <c r="S684" i="8"/>
  <c r="D685" i="8"/>
  <c r="H685" i="8"/>
  <c r="J685" i="8"/>
  <c r="O685" i="8"/>
  <c r="P685" i="8"/>
  <c r="Q685" i="8"/>
  <c r="R685" i="8"/>
  <c r="S685" i="8"/>
  <c r="D686" i="8"/>
  <c r="H686" i="8"/>
  <c r="J686" i="8"/>
  <c r="O686" i="8"/>
  <c r="P686" i="8"/>
  <c r="Q686" i="8"/>
  <c r="R686" i="8"/>
  <c r="S686" i="8"/>
  <c r="D687" i="8"/>
  <c r="H687" i="8"/>
  <c r="J687" i="8"/>
  <c r="O687" i="8"/>
  <c r="P687" i="8"/>
  <c r="Q687" i="8"/>
  <c r="R687" i="8"/>
  <c r="S687" i="8"/>
  <c r="D688" i="8"/>
  <c r="H688" i="8"/>
  <c r="J688" i="8"/>
  <c r="O688" i="8"/>
  <c r="P688" i="8"/>
  <c r="Q688" i="8"/>
  <c r="R688" i="8"/>
  <c r="S688" i="8"/>
  <c r="D689" i="8"/>
  <c r="H689" i="8"/>
  <c r="J689" i="8"/>
  <c r="O689" i="8"/>
  <c r="P689" i="8"/>
  <c r="Q689" i="8"/>
  <c r="R689" i="8"/>
  <c r="S689" i="8"/>
  <c r="D690" i="8"/>
  <c r="H690" i="8"/>
  <c r="J690" i="8"/>
  <c r="O690" i="8"/>
  <c r="P690" i="8"/>
  <c r="Q690" i="8"/>
  <c r="R690" i="8"/>
  <c r="S690" i="8"/>
  <c r="D691" i="8"/>
  <c r="H691" i="8"/>
  <c r="J691" i="8"/>
  <c r="O691" i="8"/>
  <c r="P691" i="8"/>
  <c r="Q691" i="8"/>
  <c r="R691" i="8"/>
  <c r="S691" i="8"/>
  <c r="D692" i="8"/>
  <c r="H692" i="8"/>
  <c r="J692" i="8"/>
  <c r="O692" i="8"/>
  <c r="P692" i="8"/>
  <c r="Q692" i="8"/>
  <c r="R692" i="8"/>
  <c r="S692" i="8"/>
  <c r="D693" i="8"/>
  <c r="H693" i="8"/>
  <c r="J693" i="8"/>
  <c r="O693" i="8"/>
  <c r="P693" i="8"/>
  <c r="Q693" i="8"/>
  <c r="R693" i="8"/>
  <c r="S693" i="8"/>
  <c r="D694" i="8"/>
  <c r="H694" i="8"/>
  <c r="J694" i="8"/>
  <c r="O694" i="8"/>
  <c r="P694" i="8"/>
  <c r="Q694" i="8"/>
  <c r="R694" i="8"/>
  <c r="S694" i="8"/>
  <c r="D695" i="8"/>
  <c r="H695" i="8"/>
  <c r="J695" i="8"/>
  <c r="O695" i="8"/>
  <c r="P695" i="8"/>
  <c r="Q695" i="8"/>
  <c r="R695" i="8"/>
  <c r="S695" i="8"/>
  <c r="D696" i="8"/>
  <c r="H696" i="8"/>
  <c r="J696" i="8"/>
  <c r="O696" i="8"/>
  <c r="P696" i="8"/>
  <c r="Q696" i="8"/>
  <c r="R696" i="8"/>
  <c r="S696" i="8"/>
  <c r="D697" i="8"/>
  <c r="H697" i="8"/>
  <c r="J697" i="8"/>
  <c r="O697" i="8"/>
  <c r="P697" i="8"/>
  <c r="Q697" i="8"/>
  <c r="R697" i="8"/>
  <c r="S697" i="8"/>
  <c r="D698" i="8"/>
  <c r="H698" i="8"/>
  <c r="J698" i="8"/>
  <c r="O698" i="8"/>
  <c r="P698" i="8"/>
  <c r="Q698" i="8"/>
  <c r="R698" i="8"/>
  <c r="S698" i="8"/>
  <c r="D699" i="8"/>
  <c r="H699" i="8"/>
  <c r="J699" i="8"/>
  <c r="O699" i="8"/>
  <c r="P699" i="8"/>
  <c r="Q699" i="8"/>
  <c r="R699" i="8"/>
  <c r="S699" i="8"/>
  <c r="D700" i="8"/>
  <c r="H700" i="8"/>
  <c r="J700" i="8"/>
  <c r="O700" i="8"/>
  <c r="P700" i="8"/>
  <c r="Q700" i="8"/>
  <c r="R700" i="8"/>
  <c r="S700" i="8"/>
  <c r="D701" i="8"/>
  <c r="H701" i="8"/>
  <c r="J701" i="8"/>
  <c r="O701" i="8"/>
  <c r="P701" i="8"/>
  <c r="Q701" i="8"/>
  <c r="R701" i="8"/>
  <c r="S701" i="8"/>
  <c r="D702" i="8"/>
  <c r="H702" i="8"/>
  <c r="J702" i="8"/>
  <c r="O702" i="8"/>
  <c r="P702" i="8"/>
  <c r="Q702" i="8"/>
  <c r="R702" i="8"/>
  <c r="S702" i="8"/>
  <c r="D703" i="8"/>
  <c r="H703" i="8"/>
  <c r="J703" i="8"/>
  <c r="O703" i="8"/>
  <c r="P703" i="8"/>
  <c r="Q703" i="8"/>
  <c r="R703" i="8"/>
  <c r="S703" i="8"/>
  <c r="D704" i="8"/>
  <c r="H704" i="8"/>
  <c r="J704" i="8"/>
  <c r="O704" i="8"/>
  <c r="P704" i="8"/>
  <c r="Q704" i="8"/>
  <c r="R704" i="8"/>
  <c r="S704" i="8"/>
  <c r="D705" i="8"/>
  <c r="H705" i="8"/>
  <c r="J705" i="8"/>
  <c r="O705" i="8"/>
  <c r="P705" i="8"/>
  <c r="Q705" i="8"/>
  <c r="R705" i="8"/>
  <c r="S705" i="8"/>
  <c r="D706" i="8"/>
  <c r="H706" i="8"/>
  <c r="J706" i="8"/>
  <c r="O706" i="8"/>
  <c r="P706" i="8"/>
  <c r="Q706" i="8"/>
  <c r="R706" i="8"/>
  <c r="S706" i="8"/>
  <c r="D707" i="8"/>
  <c r="H707" i="8"/>
  <c r="J707" i="8"/>
  <c r="O707" i="8"/>
  <c r="P707" i="8"/>
  <c r="Q707" i="8"/>
  <c r="R707" i="8"/>
  <c r="S707" i="8"/>
  <c r="D708" i="8"/>
  <c r="H708" i="8"/>
  <c r="J708" i="8"/>
  <c r="O708" i="8"/>
  <c r="P708" i="8"/>
  <c r="Q708" i="8"/>
  <c r="R708" i="8"/>
  <c r="S708" i="8"/>
  <c r="D709" i="8"/>
  <c r="H709" i="8"/>
  <c r="J709" i="8"/>
  <c r="O709" i="8"/>
  <c r="P709" i="8"/>
  <c r="Q709" i="8"/>
  <c r="R709" i="8"/>
  <c r="S709" i="8"/>
  <c r="D710" i="8"/>
  <c r="H710" i="8"/>
  <c r="J710" i="8"/>
  <c r="O710" i="8"/>
  <c r="P710" i="8"/>
  <c r="Q710" i="8"/>
  <c r="R710" i="8"/>
  <c r="S710" i="8"/>
  <c r="D711" i="8"/>
  <c r="H711" i="8"/>
  <c r="J711" i="8"/>
  <c r="O711" i="8"/>
  <c r="P711" i="8"/>
  <c r="Q711" i="8"/>
  <c r="R711" i="8"/>
  <c r="S711" i="8"/>
  <c r="D712" i="8"/>
  <c r="H712" i="8"/>
  <c r="J712" i="8"/>
  <c r="O712" i="8"/>
  <c r="P712" i="8"/>
  <c r="Q712" i="8"/>
  <c r="R712" i="8"/>
  <c r="S712" i="8"/>
  <c r="D713" i="8"/>
  <c r="H713" i="8"/>
  <c r="J713" i="8"/>
  <c r="O713" i="8"/>
  <c r="P713" i="8"/>
  <c r="Q713" i="8"/>
  <c r="R713" i="8"/>
  <c r="S713" i="8"/>
  <c r="D714" i="8"/>
  <c r="H714" i="8"/>
  <c r="J714" i="8"/>
  <c r="O714" i="8"/>
  <c r="P714" i="8"/>
  <c r="Q714" i="8"/>
  <c r="R714" i="8"/>
  <c r="S714" i="8"/>
  <c r="D715" i="8"/>
  <c r="H715" i="8"/>
  <c r="J715" i="8"/>
  <c r="O715" i="8"/>
  <c r="P715" i="8"/>
  <c r="Q715" i="8"/>
  <c r="R715" i="8"/>
  <c r="S715" i="8"/>
  <c r="D716" i="8"/>
  <c r="H716" i="8"/>
  <c r="J716" i="8"/>
  <c r="O716" i="8"/>
  <c r="P716" i="8"/>
  <c r="Q716" i="8"/>
  <c r="R716" i="8"/>
  <c r="S716" i="8"/>
  <c r="D717" i="8"/>
  <c r="H717" i="8"/>
  <c r="J717" i="8"/>
  <c r="O717" i="8"/>
  <c r="P717" i="8"/>
  <c r="Q717" i="8"/>
  <c r="R717" i="8"/>
  <c r="S717" i="8"/>
  <c r="D718" i="8"/>
  <c r="H718" i="8"/>
  <c r="J718" i="8"/>
  <c r="O718" i="8"/>
  <c r="P718" i="8"/>
  <c r="Q718" i="8"/>
  <c r="R718" i="8"/>
  <c r="S718" i="8"/>
  <c r="D719" i="8"/>
  <c r="H719" i="8"/>
  <c r="J719" i="8"/>
  <c r="O719" i="8"/>
  <c r="P719" i="8"/>
  <c r="Q719" i="8"/>
  <c r="R719" i="8"/>
  <c r="S719" i="8"/>
  <c r="D720" i="8"/>
  <c r="H720" i="8"/>
  <c r="J720" i="8"/>
  <c r="O720" i="8"/>
  <c r="P720" i="8"/>
  <c r="Q720" i="8"/>
  <c r="R720" i="8"/>
  <c r="S720" i="8"/>
  <c r="D721" i="8"/>
  <c r="H721" i="8"/>
  <c r="J721" i="8"/>
  <c r="O721" i="8"/>
  <c r="P721" i="8"/>
  <c r="Q721" i="8"/>
  <c r="R721" i="8"/>
  <c r="S721" i="8"/>
  <c r="D722" i="8"/>
  <c r="H722" i="8"/>
  <c r="J722" i="8"/>
  <c r="O722" i="8"/>
  <c r="P722" i="8"/>
  <c r="Q722" i="8"/>
  <c r="R722" i="8"/>
  <c r="S722" i="8"/>
  <c r="D723" i="8"/>
  <c r="H723" i="8"/>
  <c r="J723" i="8"/>
  <c r="O723" i="8"/>
  <c r="P723" i="8"/>
  <c r="Q723" i="8"/>
  <c r="R723" i="8"/>
  <c r="S723" i="8"/>
  <c r="D724" i="8"/>
  <c r="H724" i="8"/>
  <c r="J724" i="8"/>
  <c r="O724" i="8"/>
  <c r="P724" i="8"/>
  <c r="Q724" i="8"/>
  <c r="R724" i="8"/>
  <c r="S724" i="8"/>
  <c r="D725" i="8"/>
  <c r="H725" i="8"/>
  <c r="J725" i="8"/>
  <c r="O725" i="8"/>
  <c r="P725" i="8"/>
  <c r="Q725" i="8"/>
  <c r="R725" i="8"/>
  <c r="S725" i="8"/>
  <c r="D726" i="8"/>
  <c r="H726" i="8"/>
  <c r="J726" i="8"/>
  <c r="O726" i="8"/>
  <c r="P726" i="8"/>
  <c r="Q726" i="8"/>
  <c r="R726" i="8"/>
  <c r="S726" i="8"/>
  <c r="D727" i="8"/>
  <c r="H727" i="8"/>
  <c r="J727" i="8"/>
  <c r="O727" i="8"/>
  <c r="P727" i="8"/>
  <c r="Q727" i="8"/>
  <c r="R727" i="8"/>
  <c r="S727" i="8"/>
  <c r="D728" i="8"/>
  <c r="H728" i="8"/>
  <c r="J728" i="8"/>
  <c r="O728" i="8"/>
  <c r="P728" i="8"/>
  <c r="Q728" i="8"/>
  <c r="R728" i="8"/>
  <c r="S728" i="8"/>
  <c r="D729" i="8"/>
  <c r="H729" i="8"/>
  <c r="J729" i="8"/>
  <c r="O729" i="8"/>
  <c r="P729" i="8"/>
  <c r="Q729" i="8"/>
  <c r="R729" i="8"/>
  <c r="S729" i="8"/>
  <c r="D730" i="8"/>
  <c r="H730" i="8"/>
  <c r="J730" i="8"/>
  <c r="O730" i="8"/>
  <c r="P730" i="8"/>
  <c r="Q730" i="8"/>
  <c r="R730" i="8"/>
  <c r="S730" i="8"/>
  <c r="D731" i="8"/>
  <c r="H731" i="8"/>
  <c r="J731" i="8"/>
  <c r="O731" i="8"/>
  <c r="P731" i="8"/>
  <c r="Q731" i="8"/>
  <c r="R731" i="8"/>
  <c r="S731" i="8"/>
  <c r="D732" i="8"/>
  <c r="H732" i="8"/>
  <c r="J732" i="8"/>
  <c r="O732" i="8"/>
  <c r="P732" i="8"/>
  <c r="Q732" i="8"/>
  <c r="R732" i="8"/>
  <c r="S732" i="8"/>
  <c r="D733" i="8"/>
  <c r="H733" i="8"/>
  <c r="J733" i="8"/>
  <c r="O733" i="8"/>
  <c r="P733" i="8"/>
  <c r="Q733" i="8"/>
  <c r="R733" i="8"/>
  <c r="S733" i="8"/>
  <c r="D734" i="8"/>
  <c r="H734" i="8"/>
  <c r="J734" i="8"/>
  <c r="O734" i="8"/>
  <c r="P734" i="8"/>
  <c r="Q734" i="8"/>
  <c r="R734" i="8"/>
  <c r="S734" i="8"/>
  <c r="D735" i="8"/>
  <c r="H735" i="8"/>
  <c r="J735" i="8"/>
  <c r="O735" i="8"/>
  <c r="P735" i="8"/>
  <c r="Q735" i="8"/>
  <c r="R735" i="8"/>
  <c r="S735" i="8"/>
  <c r="D736" i="8"/>
  <c r="H736" i="8"/>
  <c r="J736" i="8"/>
  <c r="O736" i="8"/>
  <c r="P736" i="8"/>
  <c r="Q736" i="8"/>
  <c r="R736" i="8"/>
  <c r="S736" i="8"/>
  <c r="D737" i="8"/>
  <c r="H737" i="8"/>
  <c r="J737" i="8"/>
  <c r="O737" i="8"/>
  <c r="P737" i="8"/>
  <c r="Q737" i="8"/>
  <c r="R737" i="8"/>
  <c r="S737" i="8"/>
  <c r="D738" i="8"/>
  <c r="H738" i="8"/>
  <c r="J738" i="8"/>
  <c r="O738" i="8"/>
  <c r="P738" i="8"/>
  <c r="Q738" i="8"/>
  <c r="R738" i="8"/>
  <c r="S738" i="8"/>
  <c r="D739" i="8"/>
  <c r="H739" i="8"/>
  <c r="J739" i="8"/>
  <c r="O739" i="8"/>
  <c r="P739" i="8"/>
  <c r="Q739" i="8"/>
  <c r="R739" i="8"/>
  <c r="S739" i="8"/>
  <c r="D740" i="8"/>
  <c r="H740" i="8"/>
  <c r="J740" i="8"/>
  <c r="O740" i="8"/>
  <c r="P740" i="8"/>
  <c r="Q740" i="8"/>
  <c r="R740" i="8"/>
  <c r="S740" i="8"/>
  <c r="D741" i="8"/>
  <c r="H741" i="8"/>
  <c r="J741" i="8"/>
  <c r="O741" i="8"/>
  <c r="P741" i="8"/>
  <c r="Q741" i="8"/>
  <c r="R741" i="8"/>
  <c r="S741" i="8"/>
  <c r="D742" i="8"/>
  <c r="H742" i="8"/>
  <c r="J742" i="8"/>
  <c r="O742" i="8"/>
  <c r="P742" i="8"/>
  <c r="Q742" i="8"/>
  <c r="R742" i="8"/>
  <c r="S742" i="8"/>
  <c r="D743" i="8"/>
  <c r="H743" i="8"/>
  <c r="J743" i="8"/>
  <c r="O743" i="8"/>
  <c r="P743" i="8"/>
  <c r="Q743" i="8"/>
  <c r="R743" i="8"/>
  <c r="S743" i="8"/>
  <c r="D744" i="8"/>
  <c r="H744" i="8"/>
  <c r="J744" i="8"/>
  <c r="O744" i="8"/>
  <c r="P744" i="8"/>
  <c r="Q744" i="8"/>
  <c r="R744" i="8"/>
  <c r="S744" i="8"/>
  <c r="D745" i="8"/>
  <c r="H745" i="8"/>
  <c r="J745" i="8"/>
  <c r="O745" i="8"/>
  <c r="P745" i="8"/>
  <c r="Q745" i="8"/>
  <c r="R745" i="8"/>
  <c r="S745" i="8"/>
  <c r="D746" i="8"/>
  <c r="H746" i="8"/>
  <c r="J746" i="8"/>
  <c r="O746" i="8"/>
  <c r="P746" i="8"/>
  <c r="Q746" i="8"/>
  <c r="R746" i="8"/>
  <c r="S746" i="8"/>
  <c r="D747" i="8"/>
  <c r="H747" i="8"/>
  <c r="J747" i="8"/>
  <c r="O747" i="8"/>
  <c r="P747" i="8"/>
  <c r="Q747" i="8"/>
  <c r="R747" i="8"/>
  <c r="S747" i="8"/>
  <c r="D748" i="8"/>
  <c r="H748" i="8"/>
  <c r="J748" i="8"/>
  <c r="O748" i="8"/>
  <c r="P748" i="8"/>
  <c r="Q748" i="8"/>
  <c r="R748" i="8"/>
  <c r="S748" i="8"/>
  <c r="D749" i="8"/>
  <c r="H749" i="8"/>
  <c r="J749" i="8"/>
  <c r="O749" i="8"/>
  <c r="P749" i="8"/>
  <c r="Q749" i="8"/>
  <c r="R749" i="8"/>
  <c r="S749" i="8"/>
  <c r="D750" i="8"/>
  <c r="H750" i="8"/>
  <c r="J750" i="8"/>
  <c r="O750" i="8"/>
  <c r="P750" i="8"/>
  <c r="Q750" i="8"/>
  <c r="R750" i="8"/>
  <c r="S750" i="8"/>
  <c r="D751" i="8"/>
  <c r="H751" i="8"/>
  <c r="J751" i="8"/>
  <c r="O751" i="8"/>
  <c r="P751" i="8"/>
  <c r="Q751" i="8"/>
  <c r="R751" i="8"/>
  <c r="S751" i="8"/>
  <c r="D752" i="8"/>
  <c r="H752" i="8"/>
  <c r="J752" i="8"/>
  <c r="O752" i="8"/>
  <c r="P752" i="8"/>
  <c r="Q752" i="8"/>
  <c r="R752" i="8"/>
  <c r="S752" i="8"/>
  <c r="D753" i="8"/>
  <c r="H753" i="8"/>
  <c r="J753" i="8"/>
  <c r="O753" i="8"/>
  <c r="P753" i="8"/>
  <c r="Q753" i="8"/>
  <c r="R753" i="8"/>
  <c r="S753" i="8"/>
  <c r="D754" i="8"/>
  <c r="H754" i="8"/>
  <c r="J754" i="8"/>
  <c r="O754" i="8"/>
  <c r="P754" i="8"/>
  <c r="Q754" i="8"/>
  <c r="R754" i="8"/>
  <c r="S754" i="8"/>
  <c r="D755" i="8"/>
  <c r="H755" i="8"/>
  <c r="J755" i="8"/>
  <c r="O755" i="8"/>
  <c r="P755" i="8"/>
  <c r="Q755" i="8"/>
  <c r="R755" i="8"/>
  <c r="S755" i="8"/>
  <c r="D756" i="8"/>
  <c r="H756" i="8"/>
  <c r="J756" i="8"/>
  <c r="O756" i="8"/>
  <c r="P756" i="8"/>
  <c r="Q756" i="8"/>
  <c r="R756" i="8"/>
  <c r="S756" i="8"/>
  <c r="D757" i="8"/>
  <c r="H757" i="8"/>
  <c r="J757" i="8"/>
  <c r="O757" i="8"/>
  <c r="P757" i="8"/>
  <c r="Q757" i="8"/>
  <c r="R757" i="8"/>
  <c r="S757" i="8"/>
  <c r="D758" i="8"/>
  <c r="H758" i="8"/>
  <c r="J758" i="8"/>
  <c r="O758" i="8"/>
  <c r="P758" i="8"/>
  <c r="Q758" i="8"/>
  <c r="R758" i="8"/>
  <c r="S758" i="8"/>
  <c r="D759" i="8"/>
  <c r="H759" i="8"/>
  <c r="J759" i="8"/>
  <c r="O759" i="8"/>
  <c r="P759" i="8"/>
  <c r="Q759" i="8"/>
  <c r="R759" i="8"/>
  <c r="S759" i="8"/>
  <c r="D760" i="8"/>
  <c r="H760" i="8"/>
  <c r="J760" i="8"/>
  <c r="O760" i="8"/>
  <c r="P760" i="8"/>
  <c r="Q760" i="8"/>
  <c r="R760" i="8"/>
  <c r="S760" i="8"/>
  <c r="D761" i="8"/>
  <c r="H761" i="8"/>
  <c r="J761" i="8"/>
  <c r="O761" i="8"/>
  <c r="P761" i="8"/>
  <c r="Q761" i="8"/>
  <c r="R761" i="8"/>
  <c r="S761" i="8"/>
  <c r="D762" i="8"/>
  <c r="H762" i="8"/>
  <c r="J762" i="8"/>
  <c r="O762" i="8"/>
  <c r="P762" i="8"/>
  <c r="Q762" i="8"/>
  <c r="R762" i="8"/>
  <c r="S762" i="8"/>
  <c r="D763" i="8"/>
  <c r="H763" i="8"/>
  <c r="J763" i="8"/>
  <c r="O763" i="8"/>
  <c r="P763" i="8"/>
  <c r="Q763" i="8"/>
  <c r="R763" i="8"/>
  <c r="S763" i="8"/>
  <c r="D764" i="8"/>
  <c r="H764" i="8"/>
  <c r="J764" i="8"/>
  <c r="O764" i="8"/>
  <c r="P764" i="8"/>
  <c r="Q764" i="8"/>
  <c r="R764" i="8"/>
  <c r="S764" i="8"/>
  <c r="D765" i="8"/>
  <c r="H765" i="8"/>
  <c r="J765" i="8"/>
  <c r="O765" i="8"/>
  <c r="P765" i="8"/>
  <c r="Q765" i="8"/>
  <c r="R765" i="8"/>
  <c r="S765" i="8"/>
  <c r="D766" i="8"/>
  <c r="H766" i="8"/>
  <c r="J766" i="8"/>
  <c r="O766" i="8"/>
  <c r="P766" i="8"/>
  <c r="Q766" i="8"/>
  <c r="R766" i="8"/>
  <c r="S766" i="8"/>
  <c r="D767" i="8"/>
  <c r="H767" i="8"/>
  <c r="J767" i="8"/>
  <c r="O767" i="8"/>
  <c r="P767" i="8"/>
  <c r="Q767" i="8"/>
  <c r="R767" i="8"/>
  <c r="S767" i="8"/>
  <c r="D768" i="8"/>
  <c r="H768" i="8"/>
  <c r="J768" i="8"/>
  <c r="O768" i="8"/>
  <c r="P768" i="8"/>
  <c r="Q768" i="8"/>
  <c r="R768" i="8"/>
  <c r="S768" i="8"/>
  <c r="D769" i="8"/>
  <c r="H769" i="8"/>
  <c r="J769" i="8"/>
  <c r="O769" i="8"/>
  <c r="P769" i="8"/>
  <c r="Q769" i="8"/>
  <c r="R769" i="8"/>
  <c r="S769" i="8"/>
  <c r="D770" i="8"/>
  <c r="H770" i="8"/>
  <c r="J770" i="8"/>
  <c r="O770" i="8"/>
  <c r="P770" i="8"/>
  <c r="Q770" i="8"/>
  <c r="R770" i="8"/>
  <c r="S770" i="8"/>
  <c r="D771" i="8"/>
  <c r="H771" i="8"/>
  <c r="J771" i="8"/>
  <c r="O771" i="8"/>
  <c r="P771" i="8"/>
  <c r="Q771" i="8"/>
  <c r="R771" i="8"/>
  <c r="S771" i="8"/>
  <c r="D772" i="8"/>
  <c r="H772" i="8"/>
  <c r="J772" i="8"/>
  <c r="O772" i="8"/>
  <c r="P772" i="8"/>
  <c r="Q772" i="8"/>
  <c r="R772" i="8"/>
  <c r="S772" i="8"/>
  <c r="D773" i="8"/>
  <c r="H773" i="8"/>
  <c r="J773" i="8"/>
  <c r="O773" i="8"/>
  <c r="P773" i="8"/>
  <c r="Q773" i="8"/>
  <c r="R773" i="8"/>
  <c r="S773" i="8"/>
  <c r="D774" i="8"/>
  <c r="H774" i="8"/>
  <c r="J774" i="8"/>
  <c r="O774" i="8"/>
  <c r="P774" i="8"/>
  <c r="Q774" i="8"/>
  <c r="R774" i="8"/>
  <c r="S774" i="8"/>
  <c r="D775" i="8"/>
  <c r="H775" i="8"/>
  <c r="J775" i="8"/>
  <c r="O775" i="8"/>
  <c r="P775" i="8"/>
  <c r="Q775" i="8"/>
  <c r="R775" i="8"/>
  <c r="S775" i="8"/>
  <c r="D776" i="8"/>
  <c r="H776" i="8"/>
  <c r="J776" i="8"/>
  <c r="O776" i="8"/>
  <c r="P776" i="8"/>
  <c r="Q776" i="8"/>
  <c r="R776" i="8"/>
  <c r="S776" i="8"/>
  <c r="D777" i="8"/>
  <c r="H777" i="8"/>
  <c r="J777" i="8"/>
  <c r="O777" i="8"/>
  <c r="P777" i="8"/>
  <c r="Q777" i="8"/>
  <c r="R777" i="8"/>
  <c r="S777" i="8"/>
  <c r="D778" i="8"/>
  <c r="H778" i="8"/>
  <c r="J778" i="8"/>
  <c r="O778" i="8"/>
  <c r="P778" i="8"/>
  <c r="Q778" i="8"/>
  <c r="R778" i="8"/>
  <c r="S778" i="8"/>
  <c r="D779" i="8"/>
  <c r="H779" i="8"/>
  <c r="J779" i="8"/>
  <c r="O779" i="8"/>
  <c r="P779" i="8"/>
  <c r="Q779" i="8"/>
  <c r="R779" i="8"/>
  <c r="S779" i="8"/>
  <c r="D780" i="8"/>
  <c r="H780" i="8"/>
  <c r="J780" i="8"/>
  <c r="O780" i="8"/>
  <c r="P780" i="8"/>
  <c r="Q780" i="8"/>
  <c r="R780" i="8"/>
  <c r="S780" i="8"/>
  <c r="D781" i="8"/>
  <c r="H781" i="8"/>
  <c r="J781" i="8"/>
  <c r="O781" i="8"/>
  <c r="P781" i="8"/>
  <c r="Q781" i="8"/>
  <c r="R781" i="8"/>
  <c r="S781" i="8"/>
  <c r="D782" i="8"/>
  <c r="H782" i="8"/>
  <c r="J782" i="8"/>
  <c r="O782" i="8"/>
  <c r="P782" i="8"/>
  <c r="Q782" i="8"/>
  <c r="R782" i="8"/>
  <c r="S782" i="8"/>
  <c r="D783" i="8"/>
  <c r="H783" i="8"/>
  <c r="J783" i="8"/>
  <c r="O783" i="8"/>
  <c r="P783" i="8"/>
  <c r="Q783" i="8"/>
  <c r="R783" i="8"/>
  <c r="S783" i="8"/>
  <c r="D784" i="8"/>
  <c r="H784" i="8"/>
  <c r="J784" i="8"/>
  <c r="O784" i="8"/>
  <c r="P784" i="8"/>
  <c r="Q784" i="8"/>
  <c r="R784" i="8"/>
  <c r="S784" i="8"/>
  <c r="D785" i="8"/>
  <c r="H785" i="8"/>
  <c r="J785" i="8"/>
  <c r="O785" i="8"/>
  <c r="P785" i="8"/>
  <c r="Q785" i="8"/>
  <c r="R785" i="8"/>
  <c r="S785" i="8"/>
  <c r="D786" i="8"/>
  <c r="H786" i="8"/>
  <c r="J786" i="8"/>
  <c r="O786" i="8"/>
  <c r="P786" i="8"/>
  <c r="Q786" i="8"/>
  <c r="R786" i="8"/>
  <c r="S786" i="8"/>
  <c r="D787" i="8"/>
  <c r="H787" i="8"/>
  <c r="J787" i="8"/>
  <c r="O787" i="8"/>
  <c r="P787" i="8"/>
  <c r="Q787" i="8"/>
  <c r="R787" i="8"/>
  <c r="S787" i="8"/>
  <c r="D788" i="8"/>
  <c r="H788" i="8"/>
  <c r="J788" i="8"/>
  <c r="O788" i="8"/>
  <c r="P788" i="8"/>
  <c r="Q788" i="8"/>
  <c r="R788" i="8"/>
  <c r="S788" i="8"/>
  <c r="D789" i="8"/>
  <c r="H789" i="8"/>
  <c r="J789" i="8"/>
  <c r="O789" i="8"/>
  <c r="P789" i="8"/>
  <c r="Q789" i="8"/>
  <c r="R789" i="8"/>
  <c r="S789" i="8"/>
  <c r="D790" i="8"/>
  <c r="H790" i="8"/>
  <c r="J790" i="8"/>
  <c r="O790" i="8"/>
  <c r="P790" i="8"/>
  <c r="Q790" i="8"/>
  <c r="R790" i="8"/>
  <c r="S790" i="8"/>
  <c r="D791" i="8"/>
  <c r="H791" i="8"/>
  <c r="J791" i="8"/>
  <c r="O791" i="8"/>
  <c r="P791" i="8"/>
  <c r="Q791" i="8"/>
  <c r="R791" i="8"/>
  <c r="S791" i="8"/>
  <c r="D792" i="8"/>
  <c r="H792" i="8"/>
  <c r="J792" i="8"/>
  <c r="O792" i="8"/>
  <c r="P792" i="8"/>
  <c r="Q792" i="8"/>
  <c r="R792" i="8"/>
  <c r="S792" i="8"/>
  <c r="D793" i="8"/>
  <c r="H793" i="8"/>
  <c r="J793" i="8"/>
  <c r="O793" i="8"/>
  <c r="P793" i="8"/>
  <c r="Q793" i="8"/>
  <c r="R793" i="8"/>
  <c r="S793" i="8"/>
  <c r="D794" i="8"/>
  <c r="H794" i="8"/>
  <c r="J794" i="8"/>
  <c r="O794" i="8"/>
  <c r="P794" i="8"/>
  <c r="Q794" i="8"/>
  <c r="R794" i="8"/>
  <c r="S794" i="8"/>
  <c r="D795" i="8"/>
  <c r="H795" i="8"/>
  <c r="J795" i="8"/>
  <c r="O795" i="8"/>
  <c r="P795" i="8"/>
  <c r="Q795" i="8"/>
  <c r="R795" i="8"/>
  <c r="S795" i="8"/>
  <c r="D796" i="8"/>
  <c r="H796" i="8"/>
  <c r="J796" i="8"/>
  <c r="O796" i="8"/>
  <c r="P796" i="8"/>
  <c r="Q796" i="8"/>
  <c r="R796" i="8"/>
  <c r="S796" i="8"/>
  <c r="D797" i="8"/>
  <c r="H797" i="8"/>
  <c r="J797" i="8"/>
  <c r="O797" i="8"/>
  <c r="P797" i="8"/>
  <c r="Q797" i="8"/>
  <c r="R797" i="8"/>
  <c r="S797" i="8"/>
  <c r="D798" i="8"/>
  <c r="H798" i="8"/>
  <c r="J798" i="8"/>
  <c r="O798" i="8"/>
  <c r="P798" i="8"/>
  <c r="Q798" i="8"/>
  <c r="R798" i="8"/>
  <c r="S798" i="8"/>
  <c r="D799" i="8"/>
  <c r="H799" i="8"/>
  <c r="J799" i="8"/>
  <c r="O799" i="8"/>
  <c r="P799" i="8"/>
  <c r="Q799" i="8"/>
  <c r="R799" i="8"/>
  <c r="S799" i="8"/>
  <c r="D800" i="8"/>
  <c r="H800" i="8"/>
  <c r="J800" i="8"/>
  <c r="O800" i="8"/>
  <c r="P800" i="8"/>
  <c r="Q800" i="8"/>
  <c r="R800" i="8"/>
  <c r="S800" i="8"/>
  <c r="D801" i="8"/>
  <c r="H801" i="8"/>
  <c r="J801" i="8"/>
  <c r="O801" i="8"/>
  <c r="P801" i="8"/>
  <c r="Q801" i="8"/>
  <c r="R801" i="8"/>
  <c r="S801" i="8"/>
  <c r="D802" i="8"/>
  <c r="H802" i="8"/>
  <c r="J802" i="8"/>
  <c r="O802" i="8"/>
  <c r="P802" i="8"/>
  <c r="Q802" i="8"/>
  <c r="R802" i="8"/>
  <c r="S802" i="8"/>
  <c r="D803" i="8"/>
  <c r="H803" i="8"/>
  <c r="J803" i="8"/>
  <c r="O803" i="8"/>
  <c r="P803" i="8"/>
  <c r="Q803" i="8"/>
  <c r="R803" i="8"/>
  <c r="S803" i="8"/>
  <c r="D804" i="8"/>
  <c r="H804" i="8"/>
  <c r="J804" i="8"/>
  <c r="O804" i="8"/>
  <c r="P804" i="8"/>
  <c r="Q804" i="8"/>
  <c r="R804" i="8"/>
  <c r="S804" i="8"/>
  <c r="D805" i="8"/>
  <c r="H805" i="8"/>
  <c r="J805" i="8"/>
  <c r="O805" i="8"/>
  <c r="P805" i="8"/>
  <c r="Q805" i="8"/>
  <c r="R805" i="8"/>
  <c r="S805" i="8"/>
  <c r="D806" i="8"/>
  <c r="H806" i="8"/>
  <c r="J806" i="8"/>
  <c r="O806" i="8"/>
  <c r="P806" i="8"/>
  <c r="Q806" i="8"/>
  <c r="R806" i="8"/>
  <c r="S806" i="8"/>
  <c r="D807" i="8"/>
  <c r="H807" i="8"/>
  <c r="J807" i="8"/>
  <c r="O807" i="8"/>
  <c r="P807" i="8"/>
  <c r="Q807" i="8"/>
  <c r="R807" i="8"/>
  <c r="S807" i="8"/>
  <c r="D808" i="8"/>
  <c r="H808" i="8"/>
  <c r="J808" i="8"/>
  <c r="O808" i="8"/>
  <c r="P808" i="8"/>
  <c r="Q808" i="8"/>
  <c r="R808" i="8"/>
  <c r="S808" i="8"/>
  <c r="D809" i="8"/>
  <c r="H809" i="8"/>
  <c r="J809" i="8"/>
  <c r="O809" i="8"/>
  <c r="P809" i="8"/>
  <c r="Q809" i="8"/>
  <c r="R809" i="8"/>
  <c r="S809" i="8"/>
  <c r="D810" i="8"/>
  <c r="H810" i="8"/>
  <c r="J810" i="8"/>
  <c r="O810" i="8"/>
  <c r="P810" i="8"/>
  <c r="Q810" i="8"/>
  <c r="R810" i="8"/>
  <c r="S810" i="8"/>
  <c r="D811" i="8"/>
  <c r="H811" i="8"/>
  <c r="J811" i="8"/>
  <c r="O811" i="8"/>
  <c r="P811" i="8"/>
  <c r="Q811" i="8"/>
  <c r="R811" i="8"/>
  <c r="S811" i="8"/>
  <c r="D812" i="8"/>
  <c r="H812" i="8"/>
  <c r="J812" i="8"/>
  <c r="O812" i="8"/>
  <c r="P812" i="8"/>
  <c r="Q812" i="8"/>
  <c r="R812" i="8"/>
  <c r="S812" i="8"/>
  <c r="D813" i="8"/>
  <c r="H813" i="8"/>
  <c r="J813" i="8"/>
  <c r="O813" i="8"/>
  <c r="P813" i="8"/>
  <c r="Q813" i="8"/>
  <c r="R813" i="8"/>
  <c r="S813" i="8"/>
  <c r="D814" i="8"/>
  <c r="H814" i="8"/>
  <c r="J814" i="8"/>
  <c r="O814" i="8"/>
  <c r="P814" i="8"/>
  <c r="Q814" i="8"/>
  <c r="R814" i="8"/>
  <c r="S814" i="8"/>
  <c r="D815" i="8"/>
  <c r="H815" i="8"/>
  <c r="J815" i="8"/>
  <c r="O815" i="8"/>
  <c r="P815" i="8"/>
  <c r="Q815" i="8"/>
  <c r="R815" i="8"/>
  <c r="S815" i="8"/>
  <c r="D816" i="8"/>
  <c r="H816" i="8"/>
  <c r="J816" i="8"/>
  <c r="O816" i="8"/>
  <c r="P816" i="8"/>
  <c r="Q816" i="8"/>
  <c r="R816" i="8"/>
  <c r="S816" i="8"/>
  <c r="D817" i="8"/>
  <c r="H817" i="8"/>
  <c r="J817" i="8"/>
  <c r="O817" i="8"/>
  <c r="P817" i="8"/>
  <c r="Q817" i="8"/>
  <c r="R817" i="8"/>
  <c r="S817" i="8"/>
  <c r="D818" i="8"/>
  <c r="H818" i="8"/>
  <c r="J818" i="8"/>
  <c r="O818" i="8"/>
  <c r="P818" i="8"/>
  <c r="Q818" i="8"/>
  <c r="R818" i="8"/>
  <c r="S818" i="8"/>
  <c r="D819" i="8"/>
  <c r="H819" i="8"/>
  <c r="J819" i="8"/>
  <c r="O819" i="8"/>
  <c r="P819" i="8"/>
  <c r="Q819" i="8"/>
  <c r="R819" i="8"/>
  <c r="S819" i="8"/>
  <c r="D820" i="8"/>
  <c r="H820" i="8"/>
  <c r="J820" i="8"/>
  <c r="O820" i="8"/>
  <c r="P820" i="8"/>
  <c r="Q820" i="8"/>
  <c r="R820" i="8"/>
  <c r="S820" i="8"/>
  <c r="D821" i="8"/>
  <c r="H821" i="8"/>
  <c r="J821" i="8"/>
  <c r="O821" i="8"/>
  <c r="P821" i="8"/>
  <c r="Q821" i="8"/>
  <c r="R821" i="8"/>
  <c r="S821" i="8"/>
  <c r="D822" i="8"/>
  <c r="H822" i="8"/>
  <c r="J822" i="8"/>
  <c r="O822" i="8"/>
  <c r="P822" i="8"/>
  <c r="Q822" i="8"/>
  <c r="R822" i="8"/>
  <c r="S822" i="8"/>
  <c r="D823" i="8"/>
  <c r="H823" i="8"/>
  <c r="J823" i="8"/>
  <c r="O823" i="8"/>
  <c r="P823" i="8"/>
  <c r="Q823" i="8"/>
  <c r="R823" i="8"/>
  <c r="S823" i="8"/>
  <c r="D824" i="8"/>
  <c r="H824" i="8"/>
  <c r="J824" i="8"/>
  <c r="O824" i="8"/>
  <c r="P824" i="8"/>
  <c r="Q824" i="8"/>
  <c r="R824" i="8"/>
  <c r="S824" i="8"/>
  <c r="D825" i="8"/>
  <c r="H825" i="8"/>
  <c r="J825" i="8"/>
  <c r="O825" i="8"/>
  <c r="P825" i="8"/>
  <c r="Q825" i="8"/>
  <c r="R825" i="8"/>
  <c r="S825" i="8"/>
  <c r="D826" i="8"/>
  <c r="H826" i="8"/>
  <c r="J826" i="8"/>
  <c r="O826" i="8"/>
  <c r="P826" i="8"/>
  <c r="Q826" i="8"/>
  <c r="R826" i="8"/>
  <c r="S826" i="8"/>
  <c r="D827" i="8"/>
  <c r="H827" i="8"/>
  <c r="J827" i="8"/>
  <c r="O827" i="8"/>
  <c r="P827" i="8"/>
  <c r="Q827" i="8"/>
  <c r="R827" i="8"/>
  <c r="S827" i="8"/>
  <c r="D828" i="8"/>
  <c r="H828" i="8"/>
  <c r="J828" i="8"/>
  <c r="O828" i="8"/>
  <c r="P828" i="8"/>
  <c r="Q828" i="8"/>
  <c r="R828" i="8"/>
  <c r="S828" i="8"/>
  <c r="D829" i="8"/>
  <c r="H829" i="8"/>
  <c r="J829" i="8"/>
  <c r="O829" i="8"/>
  <c r="P829" i="8"/>
  <c r="Q829" i="8"/>
  <c r="R829" i="8"/>
  <c r="S829" i="8"/>
  <c r="D830" i="8"/>
  <c r="H830" i="8"/>
  <c r="J830" i="8"/>
  <c r="O830" i="8"/>
  <c r="P830" i="8"/>
  <c r="Q830" i="8"/>
  <c r="R830" i="8"/>
  <c r="S830" i="8"/>
  <c r="D831" i="8"/>
  <c r="H831" i="8"/>
  <c r="J831" i="8"/>
  <c r="O831" i="8"/>
  <c r="P831" i="8"/>
  <c r="Q831" i="8"/>
  <c r="R831" i="8"/>
  <c r="S831" i="8"/>
  <c r="D832" i="8"/>
  <c r="H832" i="8"/>
  <c r="J832" i="8"/>
  <c r="O832" i="8"/>
  <c r="P832" i="8"/>
  <c r="Q832" i="8"/>
  <c r="R832" i="8"/>
  <c r="S832" i="8"/>
  <c r="D833" i="8"/>
  <c r="H833" i="8"/>
  <c r="J833" i="8"/>
  <c r="O833" i="8"/>
  <c r="P833" i="8"/>
  <c r="Q833" i="8"/>
  <c r="R833" i="8"/>
  <c r="S833" i="8"/>
  <c r="D834" i="8"/>
  <c r="H834" i="8"/>
  <c r="J834" i="8"/>
  <c r="O834" i="8"/>
  <c r="P834" i="8"/>
  <c r="Q834" i="8"/>
  <c r="R834" i="8"/>
  <c r="S834" i="8"/>
  <c r="D835" i="8"/>
  <c r="H835" i="8"/>
  <c r="J835" i="8"/>
  <c r="O835" i="8"/>
  <c r="P835" i="8"/>
  <c r="Q835" i="8"/>
  <c r="R835" i="8"/>
  <c r="S835" i="8"/>
  <c r="D836" i="8"/>
  <c r="H836" i="8"/>
  <c r="J836" i="8"/>
  <c r="O836" i="8"/>
  <c r="P836" i="8"/>
  <c r="Q836" i="8"/>
  <c r="R836" i="8"/>
  <c r="S836" i="8"/>
  <c r="D837" i="8"/>
  <c r="H837" i="8"/>
  <c r="J837" i="8"/>
  <c r="O837" i="8"/>
  <c r="P837" i="8"/>
  <c r="Q837" i="8"/>
  <c r="R837" i="8"/>
  <c r="S837" i="8"/>
  <c r="D838" i="8"/>
  <c r="H838" i="8"/>
  <c r="J838" i="8"/>
  <c r="O838" i="8"/>
  <c r="P838" i="8"/>
  <c r="Q838" i="8"/>
  <c r="R838" i="8"/>
  <c r="S838" i="8"/>
  <c r="D839" i="8"/>
  <c r="H839" i="8"/>
  <c r="J839" i="8"/>
  <c r="O839" i="8"/>
  <c r="P839" i="8"/>
  <c r="Q839" i="8"/>
  <c r="R839" i="8"/>
  <c r="S839" i="8"/>
  <c r="D840" i="8"/>
  <c r="H840" i="8"/>
  <c r="J840" i="8"/>
  <c r="O840" i="8"/>
  <c r="P840" i="8"/>
  <c r="Q840" i="8"/>
  <c r="R840" i="8"/>
  <c r="S840" i="8"/>
  <c r="D841" i="8"/>
  <c r="H841" i="8"/>
  <c r="J841" i="8"/>
  <c r="O841" i="8"/>
  <c r="P841" i="8"/>
  <c r="Q841" i="8"/>
  <c r="R841" i="8"/>
  <c r="S841" i="8"/>
  <c r="D842" i="8"/>
  <c r="H842" i="8"/>
  <c r="J842" i="8"/>
  <c r="O842" i="8"/>
  <c r="P842" i="8"/>
  <c r="Q842" i="8"/>
  <c r="R842" i="8"/>
  <c r="S842" i="8"/>
  <c r="D843" i="8"/>
  <c r="H843" i="8"/>
  <c r="J843" i="8"/>
  <c r="O843" i="8"/>
  <c r="P843" i="8"/>
  <c r="Q843" i="8"/>
  <c r="R843" i="8"/>
  <c r="S843" i="8"/>
  <c r="D844" i="8"/>
  <c r="H844" i="8"/>
  <c r="J844" i="8"/>
  <c r="O844" i="8"/>
  <c r="P844" i="8"/>
  <c r="Q844" i="8"/>
  <c r="R844" i="8"/>
  <c r="S844" i="8"/>
  <c r="D845" i="8"/>
  <c r="H845" i="8"/>
  <c r="J845" i="8"/>
  <c r="O845" i="8"/>
  <c r="P845" i="8"/>
  <c r="Q845" i="8"/>
  <c r="R845" i="8"/>
  <c r="S845" i="8"/>
  <c r="D846" i="8"/>
  <c r="H846" i="8"/>
  <c r="J846" i="8"/>
  <c r="O846" i="8"/>
  <c r="P846" i="8"/>
  <c r="Q846" i="8"/>
  <c r="R846" i="8"/>
  <c r="S846" i="8"/>
  <c r="D847" i="8"/>
  <c r="H847" i="8"/>
  <c r="J847" i="8"/>
  <c r="O847" i="8"/>
  <c r="P847" i="8"/>
  <c r="Q847" i="8"/>
  <c r="R847" i="8"/>
  <c r="S847" i="8"/>
  <c r="D848" i="8"/>
  <c r="H848" i="8"/>
  <c r="J848" i="8"/>
  <c r="O848" i="8"/>
  <c r="P848" i="8"/>
  <c r="Q848" i="8"/>
  <c r="R848" i="8"/>
  <c r="S848" i="8"/>
  <c r="D849" i="8"/>
  <c r="H849" i="8"/>
  <c r="J849" i="8"/>
  <c r="O849" i="8"/>
  <c r="P849" i="8"/>
  <c r="Q849" i="8"/>
  <c r="R849" i="8"/>
  <c r="S849" i="8"/>
  <c r="D850" i="8"/>
  <c r="H850" i="8"/>
  <c r="J850" i="8"/>
  <c r="O850" i="8"/>
  <c r="P850" i="8"/>
  <c r="Q850" i="8"/>
  <c r="R850" i="8"/>
  <c r="S850" i="8"/>
  <c r="D851" i="8"/>
  <c r="H851" i="8"/>
  <c r="J851" i="8"/>
  <c r="O851" i="8"/>
  <c r="P851" i="8"/>
  <c r="Q851" i="8"/>
  <c r="R851" i="8"/>
  <c r="S851" i="8"/>
  <c r="D852" i="8"/>
  <c r="H852" i="8"/>
  <c r="J852" i="8"/>
  <c r="O852" i="8"/>
  <c r="P852" i="8"/>
  <c r="Q852" i="8"/>
  <c r="R852" i="8"/>
  <c r="S852" i="8"/>
  <c r="D853" i="8"/>
  <c r="H853" i="8"/>
  <c r="J853" i="8"/>
  <c r="O853" i="8"/>
  <c r="P853" i="8"/>
  <c r="Q853" i="8"/>
  <c r="R853" i="8"/>
  <c r="S853" i="8"/>
  <c r="D854" i="8"/>
  <c r="H854" i="8"/>
  <c r="J854" i="8"/>
  <c r="O854" i="8"/>
  <c r="P854" i="8"/>
  <c r="Q854" i="8"/>
  <c r="R854" i="8"/>
  <c r="S854" i="8"/>
  <c r="D855" i="8"/>
  <c r="H855" i="8"/>
  <c r="J855" i="8"/>
  <c r="O855" i="8"/>
  <c r="P855" i="8"/>
  <c r="Q855" i="8"/>
  <c r="R855" i="8"/>
  <c r="S855" i="8"/>
  <c r="D856" i="8"/>
  <c r="H856" i="8"/>
  <c r="J856" i="8"/>
  <c r="O856" i="8"/>
  <c r="P856" i="8"/>
  <c r="Q856" i="8"/>
  <c r="R856" i="8"/>
  <c r="S856" i="8"/>
  <c r="D857" i="8"/>
  <c r="H857" i="8"/>
  <c r="J857" i="8"/>
  <c r="O857" i="8"/>
  <c r="P857" i="8"/>
  <c r="Q857" i="8"/>
  <c r="R857" i="8"/>
  <c r="S857" i="8"/>
  <c r="D858" i="8"/>
  <c r="H858" i="8"/>
  <c r="J858" i="8"/>
  <c r="O858" i="8"/>
  <c r="P858" i="8"/>
  <c r="Q858" i="8"/>
  <c r="R858" i="8"/>
  <c r="S858" i="8"/>
  <c r="D859" i="8"/>
  <c r="H859" i="8"/>
  <c r="J859" i="8"/>
  <c r="O859" i="8"/>
  <c r="P859" i="8"/>
  <c r="Q859" i="8"/>
  <c r="R859" i="8"/>
  <c r="S859" i="8"/>
  <c r="D860" i="8"/>
  <c r="H860" i="8"/>
  <c r="J860" i="8"/>
  <c r="O860" i="8"/>
  <c r="P860" i="8"/>
  <c r="Q860" i="8"/>
  <c r="R860" i="8"/>
  <c r="S860" i="8"/>
  <c r="D861" i="8"/>
  <c r="H861" i="8"/>
  <c r="J861" i="8"/>
  <c r="O861" i="8"/>
  <c r="P861" i="8"/>
  <c r="Q861" i="8"/>
  <c r="R861" i="8"/>
  <c r="S861" i="8"/>
  <c r="D862" i="8"/>
  <c r="H862" i="8"/>
  <c r="J862" i="8"/>
  <c r="O862" i="8"/>
  <c r="P862" i="8"/>
  <c r="Q862" i="8"/>
  <c r="R862" i="8"/>
  <c r="S862" i="8"/>
  <c r="D863" i="8"/>
  <c r="H863" i="8"/>
  <c r="J863" i="8"/>
  <c r="O863" i="8"/>
  <c r="P863" i="8"/>
  <c r="Q863" i="8"/>
  <c r="R863" i="8"/>
  <c r="S863" i="8"/>
  <c r="D864" i="8"/>
  <c r="H864" i="8"/>
  <c r="J864" i="8"/>
  <c r="O864" i="8"/>
  <c r="P864" i="8"/>
  <c r="Q864" i="8"/>
  <c r="R864" i="8"/>
  <c r="S864" i="8"/>
  <c r="D865" i="8"/>
  <c r="H865" i="8"/>
  <c r="J865" i="8"/>
  <c r="O865" i="8"/>
  <c r="P865" i="8"/>
  <c r="Q865" i="8"/>
  <c r="R865" i="8"/>
  <c r="S865" i="8"/>
  <c r="D866" i="8"/>
  <c r="H866" i="8"/>
  <c r="J866" i="8"/>
  <c r="O866" i="8"/>
  <c r="P866" i="8"/>
  <c r="Q866" i="8"/>
  <c r="R866" i="8"/>
  <c r="S866" i="8"/>
  <c r="D867" i="8"/>
  <c r="H867" i="8"/>
  <c r="J867" i="8"/>
  <c r="O867" i="8"/>
  <c r="P867" i="8"/>
  <c r="Q867" i="8"/>
  <c r="R867" i="8"/>
  <c r="S867" i="8"/>
  <c r="D868" i="8"/>
  <c r="H868" i="8"/>
  <c r="J868" i="8"/>
  <c r="O868" i="8"/>
  <c r="P868" i="8"/>
  <c r="Q868" i="8"/>
  <c r="R868" i="8"/>
  <c r="S868" i="8"/>
  <c r="D869" i="8"/>
  <c r="H869" i="8"/>
  <c r="J869" i="8"/>
  <c r="O869" i="8"/>
  <c r="P869" i="8"/>
  <c r="Q869" i="8"/>
  <c r="R869" i="8"/>
  <c r="S869" i="8"/>
  <c r="D870" i="8"/>
  <c r="H870" i="8"/>
  <c r="J870" i="8"/>
  <c r="O870" i="8"/>
  <c r="P870" i="8"/>
  <c r="Q870" i="8"/>
  <c r="R870" i="8"/>
  <c r="S870" i="8"/>
  <c r="D871" i="8"/>
  <c r="H871" i="8"/>
  <c r="J871" i="8"/>
  <c r="O871" i="8"/>
  <c r="P871" i="8"/>
  <c r="Q871" i="8"/>
  <c r="R871" i="8"/>
  <c r="S871" i="8"/>
  <c r="D872" i="8"/>
  <c r="H872" i="8"/>
  <c r="J872" i="8"/>
  <c r="O872" i="8"/>
  <c r="P872" i="8"/>
  <c r="Q872" i="8"/>
  <c r="R872" i="8"/>
  <c r="S872" i="8"/>
  <c r="D873" i="8"/>
  <c r="H873" i="8"/>
  <c r="J873" i="8"/>
  <c r="O873" i="8"/>
  <c r="P873" i="8"/>
  <c r="Q873" i="8"/>
  <c r="R873" i="8"/>
  <c r="S873" i="8"/>
  <c r="D874" i="8"/>
  <c r="H874" i="8"/>
  <c r="J874" i="8"/>
  <c r="O874" i="8"/>
  <c r="P874" i="8"/>
  <c r="Q874" i="8"/>
  <c r="R874" i="8"/>
  <c r="S874" i="8"/>
  <c r="D875" i="8"/>
  <c r="H875" i="8"/>
  <c r="J875" i="8"/>
  <c r="O875" i="8"/>
  <c r="P875" i="8"/>
  <c r="Q875" i="8"/>
  <c r="R875" i="8"/>
  <c r="S875" i="8"/>
  <c r="D876" i="8"/>
  <c r="H876" i="8"/>
  <c r="J876" i="8"/>
  <c r="O876" i="8"/>
  <c r="P876" i="8"/>
  <c r="Q876" i="8"/>
  <c r="R876" i="8"/>
  <c r="S876" i="8"/>
  <c r="D877" i="8"/>
  <c r="H877" i="8"/>
  <c r="J877" i="8"/>
  <c r="O877" i="8"/>
  <c r="P877" i="8"/>
  <c r="Q877" i="8"/>
  <c r="R877" i="8"/>
  <c r="S877" i="8"/>
  <c r="D878" i="8"/>
  <c r="H878" i="8"/>
  <c r="J878" i="8"/>
  <c r="O878" i="8"/>
  <c r="P878" i="8"/>
  <c r="Q878" i="8"/>
  <c r="R878" i="8"/>
  <c r="S878" i="8"/>
  <c r="D879" i="8"/>
  <c r="H879" i="8"/>
  <c r="J879" i="8"/>
  <c r="O879" i="8"/>
  <c r="P879" i="8"/>
  <c r="Q879" i="8"/>
  <c r="R879" i="8"/>
  <c r="S879" i="8"/>
  <c r="D880" i="8"/>
  <c r="H880" i="8"/>
  <c r="J880" i="8"/>
  <c r="O880" i="8"/>
  <c r="P880" i="8"/>
  <c r="Q880" i="8"/>
  <c r="R880" i="8"/>
  <c r="S880" i="8"/>
  <c r="D881" i="8"/>
  <c r="H881" i="8"/>
  <c r="J881" i="8"/>
  <c r="O881" i="8"/>
  <c r="P881" i="8"/>
  <c r="Q881" i="8"/>
  <c r="R881" i="8"/>
  <c r="S881" i="8"/>
  <c r="D882" i="8"/>
  <c r="H882" i="8"/>
  <c r="J882" i="8"/>
  <c r="O882" i="8"/>
  <c r="P882" i="8"/>
  <c r="Q882" i="8"/>
  <c r="R882" i="8"/>
  <c r="S882" i="8"/>
  <c r="D883" i="8"/>
  <c r="H883" i="8"/>
  <c r="J883" i="8"/>
  <c r="O883" i="8"/>
  <c r="P883" i="8"/>
  <c r="Q883" i="8"/>
  <c r="R883" i="8"/>
  <c r="S883" i="8"/>
  <c r="D884" i="8"/>
  <c r="H884" i="8"/>
  <c r="J884" i="8"/>
  <c r="O884" i="8"/>
  <c r="P884" i="8"/>
  <c r="Q884" i="8"/>
  <c r="R884" i="8"/>
  <c r="S884" i="8"/>
  <c r="D885" i="8"/>
  <c r="H885" i="8"/>
  <c r="J885" i="8"/>
  <c r="O885" i="8"/>
  <c r="P885" i="8"/>
  <c r="Q885" i="8"/>
  <c r="R885" i="8"/>
  <c r="S885" i="8"/>
  <c r="D886" i="8"/>
  <c r="H886" i="8"/>
  <c r="J886" i="8"/>
  <c r="O886" i="8"/>
  <c r="P886" i="8"/>
  <c r="Q886" i="8"/>
  <c r="R886" i="8"/>
  <c r="S886" i="8"/>
  <c r="D887" i="8"/>
  <c r="H887" i="8"/>
  <c r="J887" i="8"/>
  <c r="O887" i="8"/>
  <c r="P887" i="8"/>
  <c r="Q887" i="8"/>
  <c r="R887" i="8"/>
  <c r="S887" i="8"/>
  <c r="D888" i="8"/>
  <c r="H888" i="8"/>
  <c r="J888" i="8"/>
  <c r="O888" i="8"/>
  <c r="P888" i="8"/>
  <c r="Q888" i="8"/>
  <c r="R888" i="8"/>
  <c r="S888" i="8"/>
  <c r="D889" i="8"/>
  <c r="H889" i="8"/>
  <c r="J889" i="8"/>
  <c r="O889" i="8"/>
  <c r="P889" i="8"/>
  <c r="Q889" i="8"/>
  <c r="R889" i="8"/>
  <c r="S889" i="8"/>
  <c r="D890" i="8"/>
  <c r="H890" i="8"/>
  <c r="J890" i="8"/>
  <c r="O890" i="8"/>
  <c r="P890" i="8"/>
  <c r="Q890" i="8"/>
  <c r="R890" i="8"/>
  <c r="S890" i="8"/>
  <c r="D891" i="8"/>
  <c r="H891" i="8"/>
  <c r="J891" i="8"/>
  <c r="O891" i="8"/>
  <c r="P891" i="8"/>
  <c r="Q891" i="8"/>
  <c r="R891" i="8"/>
  <c r="S891" i="8"/>
  <c r="D892" i="8"/>
  <c r="H892" i="8"/>
  <c r="J892" i="8"/>
  <c r="O892" i="8"/>
  <c r="P892" i="8"/>
  <c r="Q892" i="8"/>
  <c r="R892" i="8"/>
  <c r="S892" i="8"/>
  <c r="D893" i="8"/>
  <c r="H893" i="8"/>
  <c r="J893" i="8"/>
  <c r="O893" i="8"/>
  <c r="P893" i="8"/>
  <c r="Q893" i="8"/>
  <c r="R893" i="8"/>
  <c r="S893" i="8"/>
  <c r="D894" i="8"/>
  <c r="H894" i="8"/>
  <c r="J894" i="8"/>
  <c r="O894" i="8"/>
  <c r="P894" i="8"/>
  <c r="Q894" i="8"/>
  <c r="R894" i="8"/>
  <c r="S894" i="8"/>
  <c r="D895" i="8"/>
  <c r="H895" i="8"/>
  <c r="J895" i="8"/>
  <c r="O895" i="8"/>
  <c r="P895" i="8"/>
  <c r="Q895" i="8"/>
  <c r="R895" i="8"/>
  <c r="S895" i="8"/>
  <c r="D896" i="8"/>
  <c r="H896" i="8"/>
  <c r="J896" i="8"/>
  <c r="O896" i="8"/>
  <c r="P896" i="8"/>
  <c r="Q896" i="8"/>
  <c r="R896" i="8"/>
  <c r="S896" i="8"/>
  <c r="D897" i="8"/>
  <c r="H897" i="8"/>
  <c r="J897" i="8"/>
  <c r="O897" i="8"/>
  <c r="P897" i="8"/>
  <c r="Q897" i="8"/>
  <c r="R897" i="8"/>
  <c r="S897" i="8"/>
  <c r="D898" i="8"/>
  <c r="H898" i="8"/>
  <c r="J898" i="8"/>
  <c r="O898" i="8"/>
  <c r="P898" i="8"/>
  <c r="Q898" i="8"/>
  <c r="R898" i="8"/>
  <c r="S898" i="8"/>
  <c r="D899" i="8"/>
  <c r="H899" i="8"/>
  <c r="J899" i="8"/>
  <c r="O899" i="8"/>
  <c r="P899" i="8"/>
  <c r="Q899" i="8"/>
  <c r="R899" i="8"/>
  <c r="S899" i="8"/>
  <c r="D900" i="8"/>
  <c r="H900" i="8"/>
  <c r="J900" i="8"/>
  <c r="O900" i="8"/>
  <c r="P900" i="8"/>
  <c r="Q900" i="8"/>
  <c r="R900" i="8"/>
  <c r="S900" i="8"/>
  <c r="D901" i="8"/>
  <c r="H901" i="8"/>
  <c r="J901" i="8"/>
  <c r="O901" i="8"/>
  <c r="P901" i="8"/>
  <c r="Q901" i="8"/>
  <c r="R901" i="8"/>
  <c r="S901" i="8"/>
  <c r="D902" i="8"/>
  <c r="H902" i="8"/>
  <c r="J902" i="8"/>
  <c r="O902" i="8"/>
  <c r="P902" i="8"/>
  <c r="Q902" i="8"/>
  <c r="R902" i="8"/>
  <c r="S902" i="8"/>
  <c r="D903" i="8"/>
  <c r="H903" i="8"/>
  <c r="J903" i="8"/>
  <c r="O903" i="8"/>
  <c r="P903" i="8"/>
  <c r="Q903" i="8"/>
  <c r="R903" i="8"/>
  <c r="S903" i="8"/>
  <c r="D904" i="8"/>
  <c r="H904" i="8"/>
  <c r="J904" i="8"/>
  <c r="O904" i="8"/>
  <c r="P904" i="8"/>
  <c r="Q904" i="8"/>
  <c r="R904" i="8"/>
  <c r="S904" i="8"/>
  <c r="D905" i="8"/>
  <c r="H905" i="8"/>
  <c r="J905" i="8"/>
  <c r="O905" i="8"/>
  <c r="P905" i="8"/>
  <c r="Q905" i="8"/>
  <c r="R905" i="8"/>
  <c r="S905" i="8"/>
  <c r="D906" i="8"/>
  <c r="H906" i="8"/>
  <c r="J906" i="8"/>
  <c r="O906" i="8"/>
  <c r="P906" i="8"/>
  <c r="Q906" i="8"/>
  <c r="R906" i="8"/>
  <c r="S906" i="8"/>
  <c r="D907" i="8"/>
  <c r="H907" i="8"/>
  <c r="J907" i="8"/>
  <c r="O907" i="8"/>
  <c r="P907" i="8"/>
  <c r="Q907" i="8"/>
  <c r="R907" i="8"/>
  <c r="S907" i="8"/>
  <c r="D908" i="8"/>
  <c r="H908" i="8"/>
  <c r="J908" i="8"/>
  <c r="O908" i="8"/>
  <c r="P908" i="8"/>
  <c r="Q908" i="8"/>
  <c r="R908" i="8"/>
  <c r="S908" i="8"/>
  <c r="D909" i="8"/>
  <c r="H909" i="8"/>
  <c r="J909" i="8"/>
  <c r="O909" i="8"/>
  <c r="P909" i="8"/>
  <c r="Q909" i="8"/>
  <c r="R909" i="8"/>
  <c r="S909" i="8"/>
  <c r="D910" i="8"/>
  <c r="H910" i="8"/>
  <c r="J910" i="8"/>
  <c r="O910" i="8"/>
  <c r="P910" i="8"/>
  <c r="Q910" i="8"/>
  <c r="R910" i="8"/>
  <c r="S910" i="8"/>
  <c r="D911" i="8"/>
  <c r="H911" i="8"/>
  <c r="J911" i="8"/>
  <c r="O911" i="8"/>
  <c r="P911" i="8"/>
  <c r="Q911" i="8"/>
  <c r="R911" i="8"/>
  <c r="S911" i="8"/>
  <c r="D912" i="8"/>
  <c r="H912" i="8"/>
  <c r="J912" i="8"/>
  <c r="O912" i="8"/>
  <c r="P912" i="8"/>
  <c r="Q912" i="8"/>
  <c r="R912" i="8"/>
  <c r="S912" i="8"/>
  <c r="D913" i="8"/>
  <c r="H913" i="8"/>
  <c r="J913" i="8"/>
  <c r="O913" i="8"/>
  <c r="P913" i="8"/>
  <c r="Q913" i="8"/>
  <c r="R913" i="8"/>
  <c r="S913" i="8"/>
  <c r="D914" i="8"/>
  <c r="H914" i="8"/>
  <c r="J914" i="8"/>
  <c r="O914" i="8"/>
  <c r="P914" i="8"/>
  <c r="Q914" i="8"/>
  <c r="R914" i="8"/>
  <c r="S914" i="8"/>
  <c r="D915" i="8"/>
  <c r="H915" i="8"/>
  <c r="J915" i="8"/>
  <c r="O915" i="8"/>
  <c r="P915" i="8"/>
  <c r="Q915" i="8"/>
  <c r="R915" i="8"/>
  <c r="S915" i="8"/>
  <c r="D916" i="8"/>
  <c r="H916" i="8"/>
  <c r="J916" i="8"/>
  <c r="O916" i="8"/>
  <c r="P916" i="8"/>
  <c r="Q916" i="8"/>
  <c r="R916" i="8"/>
  <c r="S916" i="8"/>
  <c r="D917" i="8"/>
  <c r="H917" i="8"/>
  <c r="J917" i="8"/>
  <c r="O917" i="8"/>
  <c r="P917" i="8"/>
  <c r="Q917" i="8"/>
  <c r="R917" i="8"/>
  <c r="S917" i="8"/>
  <c r="D918" i="8"/>
  <c r="H918" i="8"/>
  <c r="J918" i="8"/>
  <c r="O918" i="8"/>
  <c r="P918" i="8"/>
  <c r="Q918" i="8"/>
  <c r="R918" i="8"/>
  <c r="S918" i="8"/>
  <c r="D919" i="8"/>
  <c r="H919" i="8"/>
  <c r="J919" i="8"/>
  <c r="O919" i="8"/>
  <c r="P919" i="8"/>
  <c r="Q919" i="8"/>
  <c r="R919" i="8"/>
  <c r="S919" i="8"/>
  <c r="D920" i="8"/>
  <c r="H920" i="8"/>
  <c r="J920" i="8"/>
  <c r="O920" i="8"/>
  <c r="P920" i="8"/>
  <c r="Q920" i="8"/>
  <c r="R920" i="8"/>
  <c r="S920" i="8"/>
  <c r="D921" i="8"/>
  <c r="H921" i="8"/>
  <c r="J921" i="8"/>
  <c r="O921" i="8"/>
  <c r="P921" i="8"/>
  <c r="Q921" i="8"/>
  <c r="R921" i="8"/>
  <c r="S921" i="8"/>
  <c r="D922" i="8"/>
  <c r="H922" i="8"/>
  <c r="J922" i="8"/>
  <c r="O922" i="8"/>
  <c r="P922" i="8"/>
  <c r="Q922" i="8"/>
  <c r="R922" i="8"/>
  <c r="S922" i="8"/>
  <c r="D923" i="8"/>
  <c r="H923" i="8"/>
  <c r="J923" i="8"/>
  <c r="O923" i="8"/>
  <c r="P923" i="8"/>
  <c r="Q923" i="8"/>
  <c r="R923" i="8"/>
  <c r="S923" i="8"/>
  <c r="D924" i="8"/>
  <c r="H924" i="8"/>
  <c r="J924" i="8"/>
  <c r="O924" i="8"/>
  <c r="P924" i="8"/>
  <c r="Q924" i="8"/>
  <c r="R924" i="8"/>
  <c r="S924" i="8"/>
  <c r="D925" i="8"/>
  <c r="H925" i="8"/>
  <c r="J925" i="8"/>
  <c r="O925" i="8"/>
  <c r="P925" i="8"/>
  <c r="Q925" i="8"/>
  <c r="R925" i="8"/>
  <c r="S925" i="8"/>
  <c r="D926" i="8"/>
  <c r="H926" i="8"/>
  <c r="J926" i="8"/>
  <c r="O926" i="8"/>
  <c r="P926" i="8"/>
  <c r="Q926" i="8"/>
  <c r="R926" i="8"/>
  <c r="S926" i="8"/>
  <c r="D927" i="8"/>
  <c r="H927" i="8"/>
  <c r="J927" i="8"/>
  <c r="O927" i="8"/>
  <c r="P927" i="8"/>
  <c r="Q927" i="8"/>
  <c r="R927" i="8"/>
  <c r="S927" i="8"/>
  <c r="D928" i="8"/>
  <c r="H928" i="8"/>
  <c r="J928" i="8"/>
  <c r="O928" i="8"/>
  <c r="P928" i="8"/>
  <c r="Q928" i="8"/>
  <c r="R928" i="8"/>
  <c r="S928" i="8"/>
  <c r="D929" i="8"/>
  <c r="H929" i="8"/>
  <c r="J929" i="8"/>
  <c r="O929" i="8"/>
  <c r="P929" i="8"/>
  <c r="Q929" i="8"/>
  <c r="R929" i="8"/>
  <c r="S929" i="8"/>
  <c r="D930" i="8"/>
  <c r="H930" i="8"/>
  <c r="J930" i="8"/>
  <c r="O930" i="8"/>
  <c r="P930" i="8"/>
  <c r="Q930" i="8"/>
  <c r="R930" i="8"/>
  <c r="S930" i="8"/>
  <c r="D931" i="8"/>
  <c r="H931" i="8"/>
  <c r="J931" i="8"/>
  <c r="O931" i="8"/>
  <c r="P931" i="8"/>
  <c r="Q931" i="8"/>
  <c r="R931" i="8"/>
  <c r="S931" i="8"/>
  <c r="D932" i="8"/>
  <c r="H932" i="8"/>
  <c r="J932" i="8"/>
  <c r="O932" i="8"/>
  <c r="P932" i="8"/>
  <c r="Q932" i="8"/>
  <c r="R932" i="8"/>
  <c r="S932" i="8"/>
  <c r="D933" i="8"/>
  <c r="H933" i="8"/>
  <c r="J933" i="8"/>
  <c r="O933" i="8"/>
  <c r="P933" i="8"/>
  <c r="Q933" i="8"/>
  <c r="R933" i="8"/>
  <c r="S933" i="8"/>
  <c r="D934" i="8"/>
  <c r="H934" i="8"/>
  <c r="J934" i="8"/>
  <c r="O934" i="8"/>
  <c r="P934" i="8"/>
  <c r="Q934" i="8"/>
  <c r="R934" i="8"/>
  <c r="S934" i="8"/>
  <c r="D935" i="8"/>
  <c r="H935" i="8"/>
  <c r="J935" i="8"/>
  <c r="O935" i="8"/>
  <c r="P935" i="8"/>
  <c r="Q935" i="8"/>
  <c r="R935" i="8"/>
  <c r="S935" i="8"/>
  <c r="D936" i="8"/>
  <c r="H936" i="8"/>
  <c r="J936" i="8"/>
  <c r="O936" i="8"/>
  <c r="P936" i="8"/>
  <c r="Q936" i="8"/>
  <c r="R936" i="8"/>
  <c r="S936" i="8"/>
  <c r="D937" i="8"/>
  <c r="H937" i="8"/>
  <c r="J937" i="8"/>
  <c r="O937" i="8"/>
  <c r="P937" i="8"/>
  <c r="Q937" i="8"/>
  <c r="R937" i="8"/>
  <c r="S937" i="8"/>
  <c r="D938" i="8"/>
  <c r="H938" i="8"/>
  <c r="J938" i="8"/>
  <c r="O938" i="8"/>
  <c r="P938" i="8"/>
  <c r="Q938" i="8"/>
  <c r="R938" i="8"/>
  <c r="S938" i="8"/>
  <c r="D939" i="8"/>
  <c r="H939" i="8"/>
  <c r="J939" i="8"/>
  <c r="O939" i="8"/>
  <c r="P939" i="8"/>
  <c r="Q939" i="8"/>
  <c r="R939" i="8"/>
  <c r="S939" i="8"/>
  <c r="D940" i="8"/>
  <c r="H940" i="8"/>
  <c r="J940" i="8"/>
  <c r="O940" i="8"/>
  <c r="P940" i="8"/>
  <c r="Q940" i="8"/>
  <c r="R940" i="8"/>
  <c r="S940" i="8"/>
  <c r="D941" i="8"/>
  <c r="H941" i="8"/>
  <c r="J941" i="8"/>
  <c r="O941" i="8"/>
  <c r="P941" i="8"/>
  <c r="Q941" i="8"/>
  <c r="R941" i="8"/>
  <c r="S941" i="8"/>
  <c r="D942" i="8"/>
  <c r="H942" i="8"/>
  <c r="J942" i="8"/>
  <c r="O942" i="8"/>
  <c r="P942" i="8"/>
  <c r="Q942" i="8"/>
  <c r="R942" i="8"/>
  <c r="S942" i="8"/>
  <c r="D943" i="8"/>
  <c r="H943" i="8"/>
  <c r="J943" i="8"/>
  <c r="O943" i="8"/>
  <c r="P943" i="8"/>
  <c r="Q943" i="8"/>
  <c r="R943" i="8"/>
  <c r="S943" i="8"/>
  <c r="D944" i="8"/>
  <c r="H944" i="8"/>
  <c r="J944" i="8"/>
  <c r="O944" i="8"/>
  <c r="P944" i="8"/>
  <c r="Q944" i="8"/>
  <c r="R944" i="8"/>
  <c r="S944" i="8"/>
  <c r="D945" i="8"/>
  <c r="H945" i="8"/>
  <c r="J945" i="8"/>
  <c r="O945" i="8"/>
  <c r="P945" i="8"/>
  <c r="Q945" i="8"/>
  <c r="R945" i="8"/>
  <c r="S945" i="8"/>
  <c r="D946" i="8"/>
  <c r="H946" i="8"/>
  <c r="J946" i="8"/>
  <c r="O946" i="8"/>
  <c r="P946" i="8"/>
  <c r="Q946" i="8"/>
  <c r="R946" i="8"/>
  <c r="S946" i="8"/>
  <c r="D947" i="8"/>
  <c r="H947" i="8"/>
  <c r="J947" i="8"/>
  <c r="O947" i="8"/>
  <c r="P947" i="8"/>
  <c r="Q947" i="8"/>
  <c r="R947" i="8"/>
  <c r="S947" i="8"/>
  <c r="D948" i="8"/>
  <c r="H948" i="8"/>
  <c r="J948" i="8"/>
  <c r="O948" i="8"/>
  <c r="P948" i="8"/>
  <c r="Q948" i="8"/>
  <c r="R948" i="8"/>
  <c r="S948" i="8"/>
  <c r="D949" i="8"/>
  <c r="H949" i="8"/>
  <c r="J949" i="8"/>
  <c r="O949" i="8"/>
  <c r="P949" i="8"/>
  <c r="Q949" i="8"/>
  <c r="R949" i="8"/>
  <c r="S949" i="8"/>
  <c r="D950" i="8"/>
  <c r="H950" i="8"/>
  <c r="J950" i="8"/>
  <c r="O950" i="8"/>
  <c r="P950" i="8"/>
  <c r="Q950" i="8"/>
  <c r="R950" i="8"/>
  <c r="S950" i="8"/>
  <c r="D951" i="8"/>
  <c r="H951" i="8"/>
  <c r="J951" i="8"/>
  <c r="O951" i="8"/>
  <c r="P951" i="8"/>
  <c r="Q951" i="8"/>
  <c r="R951" i="8"/>
  <c r="S951" i="8"/>
  <c r="D952" i="8"/>
  <c r="H952" i="8"/>
  <c r="J952" i="8"/>
  <c r="O952" i="8"/>
  <c r="P952" i="8"/>
  <c r="Q952" i="8"/>
  <c r="R952" i="8"/>
  <c r="S952" i="8"/>
  <c r="D953" i="8"/>
  <c r="H953" i="8"/>
  <c r="J953" i="8"/>
  <c r="O953" i="8"/>
  <c r="P953" i="8"/>
  <c r="Q953" i="8"/>
  <c r="R953" i="8"/>
  <c r="S953" i="8"/>
  <c r="D954" i="8"/>
  <c r="H954" i="8"/>
  <c r="J954" i="8"/>
  <c r="O954" i="8"/>
  <c r="P954" i="8"/>
  <c r="Q954" i="8"/>
  <c r="R954" i="8"/>
  <c r="S954" i="8"/>
  <c r="D955" i="8"/>
  <c r="H955" i="8"/>
  <c r="J955" i="8"/>
  <c r="O955" i="8"/>
  <c r="P955" i="8"/>
  <c r="Q955" i="8"/>
  <c r="R955" i="8"/>
  <c r="S955" i="8"/>
  <c r="D956" i="8"/>
  <c r="H956" i="8"/>
  <c r="J956" i="8"/>
  <c r="O956" i="8"/>
  <c r="P956" i="8"/>
  <c r="Q956" i="8"/>
  <c r="R956" i="8"/>
  <c r="S956" i="8"/>
  <c r="D957" i="8"/>
  <c r="H957" i="8"/>
  <c r="J957" i="8"/>
  <c r="O957" i="8"/>
  <c r="P957" i="8"/>
  <c r="Q957" i="8"/>
  <c r="R957" i="8"/>
  <c r="S957" i="8"/>
  <c r="D958" i="8"/>
  <c r="H958" i="8"/>
  <c r="J958" i="8"/>
  <c r="O958" i="8"/>
  <c r="P958" i="8"/>
  <c r="Q958" i="8"/>
  <c r="R958" i="8"/>
  <c r="S958" i="8"/>
  <c r="D959" i="8"/>
  <c r="H959" i="8"/>
  <c r="J959" i="8"/>
  <c r="O959" i="8"/>
  <c r="P959" i="8"/>
  <c r="Q959" i="8"/>
  <c r="R959" i="8"/>
  <c r="S959" i="8"/>
  <c r="D960" i="8"/>
  <c r="H960" i="8"/>
  <c r="J960" i="8"/>
  <c r="O960" i="8"/>
  <c r="P960" i="8"/>
  <c r="Q960" i="8"/>
  <c r="R960" i="8"/>
  <c r="S960" i="8"/>
  <c r="D961" i="8"/>
  <c r="H961" i="8"/>
  <c r="J961" i="8"/>
  <c r="O961" i="8"/>
  <c r="P961" i="8"/>
  <c r="Q961" i="8"/>
  <c r="R961" i="8"/>
  <c r="S961" i="8"/>
  <c r="D962" i="8"/>
  <c r="H962" i="8"/>
  <c r="J962" i="8"/>
  <c r="O962" i="8"/>
  <c r="P962" i="8"/>
  <c r="Q962" i="8"/>
  <c r="R962" i="8"/>
  <c r="S962" i="8"/>
  <c r="D963" i="8"/>
  <c r="H963" i="8"/>
  <c r="J963" i="8"/>
  <c r="O963" i="8"/>
  <c r="P963" i="8"/>
  <c r="Q963" i="8"/>
  <c r="R963" i="8"/>
  <c r="S963" i="8"/>
  <c r="D964" i="8"/>
  <c r="H964" i="8"/>
  <c r="J964" i="8"/>
  <c r="O964" i="8"/>
  <c r="P964" i="8"/>
  <c r="Q964" i="8"/>
  <c r="R964" i="8"/>
  <c r="S964" i="8"/>
  <c r="D965" i="8"/>
  <c r="H965" i="8"/>
  <c r="J965" i="8"/>
  <c r="O965" i="8"/>
  <c r="P965" i="8"/>
  <c r="Q965" i="8"/>
  <c r="R965" i="8"/>
  <c r="S965" i="8"/>
  <c r="D966" i="8"/>
  <c r="H966" i="8"/>
  <c r="J966" i="8"/>
  <c r="O966" i="8"/>
  <c r="P966" i="8"/>
  <c r="Q966" i="8"/>
  <c r="R966" i="8"/>
  <c r="S966" i="8"/>
  <c r="D967" i="8"/>
  <c r="H967" i="8"/>
  <c r="J967" i="8"/>
  <c r="O967" i="8"/>
  <c r="P967" i="8"/>
  <c r="Q967" i="8"/>
  <c r="R967" i="8"/>
  <c r="S967" i="8"/>
  <c r="D968" i="8"/>
  <c r="H968" i="8"/>
  <c r="J968" i="8"/>
  <c r="O968" i="8"/>
  <c r="P968" i="8"/>
  <c r="Q968" i="8"/>
  <c r="R968" i="8"/>
  <c r="S968" i="8"/>
  <c r="D969" i="8"/>
  <c r="H969" i="8"/>
  <c r="J969" i="8"/>
  <c r="O969" i="8"/>
  <c r="P969" i="8"/>
  <c r="Q969" i="8"/>
  <c r="R969" i="8"/>
  <c r="S969" i="8"/>
  <c r="D970" i="8"/>
  <c r="H970" i="8"/>
  <c r="J970" i="8"/>
  <c r="O970" i="8"/>
  <c r="P970" i="8"/>
  <c r="Q970" i="8"/>
  <c r="R970" i="8"/>
  <c r="S970" i="8"/>
  <c r="D971" i="8"/>
  <c r="H971" i="8"/>
  <c r="J971" i="8"/>
  <c r="O971" i="8"/>
  <c r="P971" i="8"/>
  <c r="Q971" i="8"/>
  <c r="R971" i="8"/>
  <c r="S971" i="8"/>
  <c r="D972" i="8"/>
  <c r="H972" i="8"/>
  <c r="J972" i="8"/>
  <c r="O972" i="8"/>
  <c r="P972" i="8"/>
  <c r="Q972" i="8"/>
  <c r="R972" i="8"/>
  <c r="S972" i="8"/>
  <c r="D973" i="8"/>
  <c r="H973" i="8"/>
  <c r="J973" i="8"/>
  <c r="O973" i="8"/>
  <c r="P973" i="8"/>
  <c r="Q973" i="8"/>
  <c r="R973" i="8"/>
  <c r="S973" i="8"/>
  <c r="D974" i="8"/>
  <c r="H974" i="8"/>
  <c r="J974" i="8"/>
  <c r="O974" i="8"/>
  <c r="P974" i="8"/>
  <c r="Q974" i="8"/>
  <c r="R974" i="8"/>
  <c r="S974" i="8"/>
  <c r="D975" i="8"/>
  <c r="H975" i="8"/>
  <c r="J975" i="8"/>
  <c r="O975" i="8"/>
  <c r="P975" i="8"/>
  <c r="Q975" i="8"/>
  <c r="R975" i="8"/>
  <c r="S975" i="8"/>
  <c r="D976" i="8"/>
  <c r="H976" i="8"/>
  <c r="J976" i="8"/>
  <c r="O976" i="8"/>
  <c r="P976" i="8"/>
  <c r="Q976" i="8"/>
  <c r="R976" i="8"/>
  <c r="S976" i="8"/>
  <c r="D977" i="8"/>
  <c r="H977" i="8"/>
  <c r="J977" i="8"/>
  <c r="O977" i="8"/>
  <c r="P977" i="8"/>
  <c r="Q977" i="8"/>
  <c r="R977" i="8"/>
  <c r="S977" i="8"/>
  <c r="D978" i="8"/>
  <c r="H978" i="8"/>
  <c r="J978" i="8"/>
  <c r="O978" i="8"/>
  <c r="P978" i="8"/>
  <c r="Q978" i="8"/>
  <c r="R978" i="8"/>
  <c r="S978" i="8"/>
  <c r="AE3" i="8"/>
  <c r="AE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E501" i="8"/>
  <c r="AE502" i="8"/>
  <c r="AE503" i="8"/>
  <c r="AE504" i="8"/>
  <c r="AE505" i="8"/>
  <c r="AE506" i="8"/>
  <c r="AE507" i="8"/>
  <c r="AE508" i="8"/>
  <c r="AE509" i="8"/>
  <c r="AE510" i="8"/>
  <c r="AE511" i="8"/>
  <c r="AE512" i="8"/>
  <c r="AE513" i="8"/>
  <c r="AE514" i="8"/>
  <c r="AE515" i="8"/>
  <c r="AE516" i="8"/>
  <c r="AE517" i="8"/>
  <c r="AE518" i="8"/>
  <c r="AE519" i="8"/>
  <c r="AE520" i="8"/>
  <c r="AE521" i="8"/>
  <c r="AE522" i="8"/>
  <c r="AE523" i="8"/>
  <c r="AE524" i="8"/>
  <c r="AE525" i="8"/>
  <c r="AE526" i="8"/>
  <c r="AE527" i="8"/>
  <c r="AE528" i="8"/>
  <c r="AE529" i="8"/>
  <c r="AE530" i="8"/>
  <c r="AE531" i="8"/>
  <c r="AE532" i="8"/>
  <c r="AE533" i="8"/>
  <c r="AE534" i="8"/>
  <c r="AE535" i="8"/>
  <c r="AE536" i="8"/>
  <c r="AE537" i="8"/>
  <c r="AE538" i="8"/>
  <c r="AE539" i="8"/>
  <c r="AE540" i="8"/>
  <c r="AE541" i="8"/>
  <c r="AE542" i="8"/>
  <c r="AE543" i="8"/>
  <c r="AE544" i="8"/>
  <c r="AE545" i="8"/>
  <c r="AE546" i="8"/>
  <c r="AE547" i="8"/>
  <c r="AE548" i="8"/>
  <c r="AE549" i="8"/>
  <c r="AE550" i="8"/>
  <c r="AE551" i="8"/>
  <c r="AE552" i="8"/>
  <c r="AE553" i="8"/>
  <c r="AE554" i="8"/>
  <c r="AE555" i="8"/>
  <c r="AE556" i="8"/>
  <c r="AE557" i="8"/>
  <c r="AE558" i="8"/>
  <c r="AE559" i="8"/>
  <c r="AE560" i="8"/>
  <c r="AE561" i="8"/>
  <c r="AE562" i="8"/>
  <c r="AE563" i="8"/>
  <c r="AE564" i="8"/>
  <c r="AE565" i="8"/>
  <c r="AE566" i="8"/>
  <c r="AE567" i="8"/>
  <c r="AE568" i="8"/>
  <c r="AE569" i="8"/>
  <c r="AE570" i="8"/>
  <c r="AE571" i="8"/>
  <c r="AE572" i="8"/>
  <c r="AE573" i="8"/>
  <c r="AE574" i="8"/>
  <c r="AE575" i="8"/>
  <c r="AE576" i="8"/>
  <c r="AE577" i="8"/>
  <c r="AE578" i="8"/>
  <c r="AE579" i="8"/>
  <c r="AE580" i="8"/>
  <c r="AE581" i="8"/>
  <c r="AE582" i="8"/>
  <c r="AE583" i="8"/>
  <c r="AE584" i="8"/>
  <c r="AE585" i="8"/>
  <c r="AE586" i="8"/>
  <c r="AE587" i="8"/>
  <c r="AE588" i="8"/>
  <c r="AE589" i="8"/>
  <c r="AE590" i="8"/>
  <c r="AE591" i="8"/>
  <c r="AE592" i="8"/>
  <c r="AE593" i="8"/>
  <c r="AE594" i="8"/>
  <c r="AE595" i="8"/>
  <c r="AE596" i="8"/>
  <c r="AE597" i="8"/>
  <c r="AE598" i="8"/>
  <c r="AE599" i="8"/>
  <c r="AE600" i="8"/>
  <c r="AE601" i="8"/>
  <c r="AE602" i="8"/>
  <c r="AE603" i="8"/>
  <c r="AE604" i="8"/>
  <c r="AE605" i="8"/>
  <c r="AE606" i="8"/>
  <c r="AE607" i="8"/>
  <c r="AE608" i="8"/>
  <c r="AE609" i="8"/>
  <c r="AE610" i="8"/>
  <c r="AE611" i="8"/>
  <c r="AE612" i="8"/>
  <c r="AE613" i="8"/>
  <c r="AE614" i="8"/>
  <c r="AE615" i="8"/>
  <c r="AE616" i="8"/>
  <c r="AE617" i="8"/>
  <c r="AE618" i="8"/>
  <c r="AE619" i="8"/>
  <c r="AE620" i="8"/>
  <c r="AE621" i="8"/>
  <c r="AE622" i="8"/>
  <c r="AE623" i="8"/>
  <c r="AE624" i="8"/>
  <c r="AE625" i="8"/>
  <c r="AE626" i="8"/>
  <c r="AE627" i="8"/>
  <c r="AE628" i="8"/>
  <c r="AE629" i="8"/>
  <c r="AE630" i="8"/>
  <c r="AE631" i="8"/>
  <c r="AE632" i="8"/>
  <c r="AE633" i="8"/>
  <c r="AE634" i="8"/>
  <c r="AE635" i="8"/>
  <c r="AE636" i="8"/>
  <c r="AE637" i="8"/>
  <c r="AE638" i="8"/>
  <c r="AE639" i="8"/>
  <c r="AE640" i="8"/>
  <c r="AE641" i="8"/>
  <c r="AE642" i="8"/>
  <c r="AE643" i="8"/>
  <c r="AE644" i="8"/>
  <c r="AE645" i="8"/>
  <c r="AE646" i="8"/>
  <c r="AE647" i="8"/>
  <c r="AE648" i="8"/>
  <c r="AE649" i="8"/>
  <c r="AE650" i="8"/>
  <c r="AE651" i="8"/>
  <c r="AE652" i="8"/>
  <c r="AE653" i="8"/>
  <c r="AE654" i="8"/>
  <c r="AE655" i="8"/>
  <c r="AE656" i="8"/>
  <c r="AE657" i="8"/>
  <c r="AE658" i="8"/>
  <c r="AE659" i="8"/>
  <c r="AE660" i="8"/>
  <c r="AE661" i="8"/>
  <c r="AE662" i="8"/>
  <c r="AE663" i="8"/>
  <c r="AE664" i="8"/>
  <c r="AE665" i="8"/>
  <c r="AE666" i="8"/>
  <c r="AE667" i="8"/>
  <c r="AE668" i="8"/>
  <c r="AE669" i="8"/>
  <c r="AE670" i="8"/>
  <c r="AE671" i="8"/>
  <c r="AE672" i="8"/>
  <c r="AE673" i="8"/>
  <c r="AE674" i="8"/>
  <c r="AE675" i="8"/>
  <c r="AE676" i="8"/>
  <c r="AE677" i="8"/>
  <c r="AE678" i="8"/>
  <c r="AE679" i="8"/>
  <c r="AE680" i="8"/>
  <c r="AE681" i="8"/>
  <c r="AE682" i="8"/>
  <c r="AE683" i="8"/>
  <c r="AE684" i="8"/>
  <c r="AE685" i="8"/>
  <c r="AE686" i="8"/>
  <c r="AE687" i="8"/>
  <c r="AE688" i="8"/>
  <c r="AE689" i="8"/>
  <c r="AE690" i="8"/>
  <c r="AE691" i="8"/>
  <c r="AE692" i="8"/>
  <c r="AE693" i="8"/>
  <c r="AE694" i="8"/>
  <c r="AE695" i="8"/>
  <c r="AE696" i="8"/>
  <c r="AE697" i="8"/>
  <c r="AE698" i="8"/>
  <c r="AE699" i="8"/>
  <c r="AE700" i="8"/>
  <c r="AE701" i="8"/>
  <c r="AE702" i="8"/>
  <c r="AE703" i="8"/>
  <c r="AE704" i="8"/>
  <c r="AE705" i="8"/>
  <c r="AE706" i="8"/>
  <c r="AE707" i="8"/>
  <c r="AE708" i="8"/>
  <c r="AE709" i="8"/>
  <c r="AE710" i="8"/>
  <c r="AE711" i="8"/>
  <c r="AE712" i="8"/>
  <c r="AE713" i="8"/>
  <c r="AE714" i="8"/>
  <c r="AE715" i="8"/>
  <c r="AE716" i="8"/>
  <c r="AE717" i="8"/>
  <c r="AE718" i="8"/>
  <c r="AE719" i="8"/>
  <c r="AE720" i="8"/>
  <c r="AE721" i="8"/>
  <c r="AE722" i="8"/>
  <c r="AE723" i="8"/>
  <c r="AE724" i="8"/>
  <c r="AE725" i="8"/>
  <c r="AE726" i="8"/>
  <c r="AE727" i="8"/>
  <c r="AE728" i="8"/>
  <c r="AE729" i="8"/>
  <c r="AE730" i="8"/>
  <c r="AE731" i="8"/>
  <c r="AE732" i="8"/>
  <c r="AE733" i="8"/>
  <c r="AE734" i="8"/>
  <c r="AE735" i="8"/>
  <c r="AE736" i="8"/>
  <c r="AE737" i="8"/>
  <c r="AE738" i="8"/>
  <c r="AE739" i="8"/>
  <c r="AE740" i="8"/>
  <c r="AE741" i="8"/>
  <c r="AE742" i="8"/>
  <c r="AE743" i="8"/>
  <c r="AE744" i="8"/>
  <c r="AE745" i="8"/>
  <c r="AE746" i="8"/>
  <c r="AE747" i="8"/>
  <c r="AE748" i="8"/>
  <c r="AE749" i="8"/>
  <c r="AE750" i="8"/>
  <c r="AE751" i="8"/>
  <c r="AE752" i="8"/>
  <c r="AE753" i="8"/>
  <c r="AE754" i="8"/>
  <c r="AE755" i="8"/>
  <c r="AE756" i="8"/>
  <c r="AE757" i="8"/>
  <c r="AE758" i="8"/>
  <c r="AE759" i="8"/>
  <c r="AE760" i="8"/>
  <c r="AE761" i="8"/>
  <c r="AE762" i="8"/>
  <c r="AE763" i="8"/>
  <c r="AE764" i="8"/>
  <c r="AE765" i="8"/>
  <c r="AE766" i="8"/>
  <c r="AE767" i="8"/>
  <c r="AE768" i="8"/>
  <c r="AE769" i="8"/>
  <c r="AE770" i="8"/>
  <c r="AE771" i="8"/>
  <c r="AE772" i="8"/>
  <c r="AE773" i="8"/>
  <c r="AE774" i="8"/>
  <c r="AE775" i="8"/>
  <c r="AE776" i="8"/>
  <c r="AE777" i="8"/>
  <c r="AE778" i="8"/>
  <c r="AE779" i="8"/>
  <c r="AE780" i="8"/>
  <c r="AE781" i="8"/>
  <c r="AE782" i="8"/>
  <c r="AE783" i="8"/>
  <c r="AE784" i="8"/>
  <c r="AE785" i="8"/>
  <c r="AE786" i="8"/>
  <c r="AE787" i="8"/>
  <c r="AE788" i="8"/>
  <c r="AE789" i="8"/>
  <c r="AE790" i="8"/>
  <c r="AE791" i="8"/>
  <c r="AE792" i="8"/>
  <c r="AE793" i="8"/>
  <c r="AE794" i="8"/>
  <c r="AE795" i="8"/>
  <c r="AE796" i="8"/>
  <c r="AE797" i="8"/>
  <c r="AE798" i="8"/>
  <c r="AE799" i="8"/>
  <c r="AE800" i="8"/>
  <c r="AE801" i="8"/>
  <c r="AE802" i="8"/>
  <c r="AE803" i="8"/>
  <c r="AE804" i="8"/>
  <c r="AE805" i="8"/>
  <c r="AE806" i="8"/>
  <c r="AE807" i="8"/>
  <c r="AE808" i="8"/>
  <c r="AE809" i="8"/>
  <c r="AE810" i="8"/>
  <c r="AE811" i="8"/>
  <c r="AE812" i="8"/>
  <c r="AE813" i="8"/>
  <c r="AE814" i="8"/>
  <c r="AE815" i="8"/>
  <c r="AE816" i="8"/>
  <c r="AE817" i="8"/>
  <c r="AE818" i="8"/>
  <c r="AE819" i="8"/>
  <c r="AE820" i="8"/>
  <c r="AE821" i="8"/>
  <c r="AE822" i="8"/>
  <c r="AE823" i="8"/>
  <c r="AE824" i="8"/>
  <c r="AE825" i="8"/>
  <c r="AE826" i="8"/>
  <c r="AE827" i="8"/>
  <c r="AE828" i="8"/>
  <c r="AE829" i="8"/>
  <c r="AE830" i="8"/>
  <c r="AE831" i="8"/>
  <c r="AE832" i="8"/>
  <c r="AE833" i="8"/>
  <c r="AE834" i="8"/>
  <c r="AE835" i="8"/>
  <c r="AE836" i="8"/>
  <c r="AE837" i="8"/>
  <c r="AE838" i="8"/>
  <c r="AE839" i="8"/>
  <c r="AE840" i="8"/>
  <c r="AE841" i="8"/>
  <c r="AE842" i="8"/>
  <c r="AE843" i="8"/>
  <c r="AE844" i="8"/>
  <c r="AE845" i="8"/>
  <c r="AE846" i="8"/>
  <c r="AE847" i="8"/>
  <c r="AE848" i="8"/>
  <c r="AE849" i="8"/>
  <c r="AE850" i="8"/>
  <c r="AE851" i="8"/>
  <c r="AE852" i="8"/>
  <c r="AE853" i="8"/>
  <c r="AE854" i="8"/>
  <c r="AE855" i="8"/>
  <c r="AE856" i="8"/>
  <c r="AE857" i="8"/>
  <c r="AE858" i="8"/>
  <c r="AE859" i="8"/>
  <c r="AE860" i="8"/>
  <c r="AE861" i="8"/>
  <c r="AE862" i="8"/>
  <c r="AE863" i="8"/>
  <c r="AE864" i="8"/>
  <c r="AE865" i="8"/>
  <c r="AE866" i="8"/>
  <c r="AE867" i="8"/>
  <c r="AE868" i="8"/>
  <c r="AE869" i="8"/>
  <c r="AE870" i="8"/>
  <c r="AE871" i="8"/>
  <c r="AE872" i="8"/>
  <c r="AE873" i="8"/>
  <c r="AE874" i="8"/>
  <c r="AE875" i="8"/>
  <c r="AE876" i="8"/>
  <c r="AE877" i="8"/>
  <c r="AE878" i="8"/>
  <c r="AE879" i="8"/>
  <c r="AE880" i="8"/>
  <c r="AE881" i="8"/>
  <c r="AE882" i="8"/>
  <c r="AE883" i="8"/>
  <c r="AE884" i="8"/>
  <c r="AE885" i="8"/>
  <c r="AE886" i="8"/>
  <c r="AE887" i="8"/>
  <c r="AE888" i="8"/>
  <c r="AE889" i="8"/>
  <c r="AE890" i="8"/>
  <c r="AE891" i="8"/>
  <c r="AE892" i="8"/>
  <c r="AE893" i="8"/>
  <c r="AE894" i="8"/>
  <c r="AE895" i="8"/>
  <c r="AE896" i="8"/>
  <c r="AE897" i="8"/>
  <c r="AE898" i="8"/>
  <c r="AE899" i="8"/>
  <c r="AE900" i="8"/>
  <c r="AE901" i="8"/>
  <c r="AE902" i="8"/>
  <c r="AE903" i="8"/>
  <c r="AE904" i="8"/>
  <c r="AE905" i="8"/>
  <c r="AE906" i="8"/>
  <c r="AE907" i="8"/>
  <c r="AE908" i="8"/>
  <c r="AE909" i="8"/>
  <c r="AE910" i="8"/>
  <c r="AE911" i="8"/>
  <c r="AE912" i="8"/>
  <c r="AE913" i="8"/>
  <c r="AE914" i="8"/>
  <c r="AE915" i="8"/>
  <c r="AE916" i="8"/>
  <c r="AE917" i="8"/>
  <c r="AE918" i="8"/>
  <c r="AE919" i="8"/>
  <c r="AE920" i="8"/>
  <c r="AE921" i="8"/>
  <c r="AE922" i="8"/>
  <c r="AE923" i="8"/>
  <c r="AE924" i="8"/>
  <c r="AE925" i="8"/>
  <c r="AE926" i="8"/>
  <c r="AE927" i="8"/>
  <c r="AE928" i="8"/>
  <c r="AE929" i="8"/>
  <c r="AE930" i="8"/>
  <c r="AE931" i="8"/>
  <c r="AE932" i="8"/>
  <c r="AE933" i="8"/>
  <c r="AE934" i="8"/>
  <c r="AE935" i="8"/>
  <c r="AE936" i="8"/>
  <c r="AE937" i="8"/>
  <c r="AE938" i="8"/>
  <c r="AE939" i="8"/>
  <c r="AE940" i="8"/>
  <c r="AE941" i="8"/>
  <c r="AE942" i="8"/>
  <c r="AE943" i="8"/>
  <c r="AE944" i="8"/>
  <c r="AE945" i="8"/>
  <c r="AE946" i="8"/>
  <c r="AE947" i="8"/>
  <c r="AE948" i="8"/>
  <c r="AE949" i="8"/>
  <c r="AE950" i="8"/>
  <c r="AE951" i="8"/>
  <c r="AE952" i="8"/>
  <c r="AE953" i="8"/>
  <c r="AE954" i="8"/>
  <c r="AE955" i="8"/>
  <c r="AE956" i="8"/>
  <c r="AE957" i="8"/>
  <c r="AE958" i="8"/>
  <c r="AE959" i="8"/>
  <c r="AE960" i="8"/>
  <c r="AE961" i="8"/>
  <c r="AE962" i="8"/>
  <c r="AE963" i="8"/>
  <c r="AE964" i="8"/>
  <c r="AE965" i="8"/>
  <c r="AE966" i="8"/>
  <c r="AE967" i="8"/>
  <c r="AE968" i="8"/>
  <c r="AE969" i="8"/>
  <c r="AE970" i="8"/>
  <c r="AE971" i="8"/>
  <c r="AE972" i="8"/>
  <c r="AE973" i="8"/>
  <c r="AE974" i="8"/>
  <c r="AE975" i="8"/>
  <c r="AE976" i="8"/>
  <c r="AE977" i="8"/>
  <c r="AE978" i="8"/>
  <c r="AE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R298" i="8"/>
  <c r="R299" i="8"/>
  <c r="R300" i="8"/>
  <c r="R301" i="8"/>
  <c r="R302" i="8"/>
  <c r="R303" i="8"/>
  <c r="R304" i="8"/>
  <c r="R305" i="8"/>
  <c r="R306" i="8"/>
  <c r="R307" i="8"/>
  <c r="R308" i="8"/>
  <c r="R309" i="8"/>
  <c r="R310" i="8"/>
  <c r="R311" i="8"/>
  <c r="R312" i="8"/>
  <c r="R313" i="8"/>
  <c r="R314" i="8"/>
  <c r="R315" i="8"/>
  <c r="R316" i="8"/>
  <c r="R317" i="8"/>
  <c r="R318" i="8"/>
  <c r="R319" i="8"/>
  <c r="R320" i="8"/>
  <c r="R321" i="8"/>
  <c r="R322" i="8"/>
  <c r="R323" i="8"/>
  <c r="R324" i="8"/>
  <c r="R325" i="8"/>
  <c r="R326" i="8"/>
  <c r="R327" i="8"/>
  <c r="R328" i="8"/>
  <c r="R329" i="8"/>
  <c r="R330" i="8"/>
  <c r="R331" i="8"/>
  <c r="R332" i="8"/>
  <c r="R333" i="8"/>
  <c r="R334" i="8"/>
  <c r="R335" i="8"/>
  <c r="R336" i="8"/>
  <c r="R337" i="8"/>
  <c r="R338" i="8"/>
  <c r="R339" i="8"/>
  <c r="R340" i="8"/>
  <c r="R341" i="8"/>
  <c r="R342" i="8"/>
  <c r="R343" i="8"/>
  <c r="R344" i="8"/>
  <c r="R345" i="8"/>
  <c r="R346" i="8"/>
  <c r="R347" i="8"/>
  <c r="R348" i="8"/>
  <c r="R349" i="8"/>
  <c r="R350" i="8"/>
  <c r="R351" i="8"/>
  <c r="R352" i="8"/>
  <c r="R353" i="8"/>
  <c r="R354" i="8"/>
  <c r="R355" i="8"/>
  <c r="R356" i="8"/>
  <c r="R357" i="8"/>
  <c r="R358" i="8"/>
  <c r="R359" i="8"/>
  <c r="R360" i="8"/>
  <c r="R361" i="8"/>
  <c r="R362" i="8"/>
  <c r="R363" i="8"/>
  <c r="R364" i="8"/>
  <c r="R365" i="8"/>
  <c r="R366" i="8"/>
  <c r="R367" i="8"/>
  <c r="R368" i="8"/>
  <c r="R369" i="8"/>
  <c r="R370" i="8"/>
  <c r="R371" i="8"/>
  <c r="R372" i="8"/>
  <c r="R373" i="8"/>
  <c r="R374" i="8"/>
  <c r="R375" i="8"/>
  <c r="R376" i="8"/>
  <c r="R377" i="8"/>
  <c r="R378" i="8"/>
  <c r="R379" i="8"/>
  <c r="R380" i="8"/>
  <c r="R381" i="8"/>
  <c r="R382" i="8"/>
  <c r="R383" i="8"/>
  <c r="R384" i="8"/>
  <c r="R385" i="8"/>
  <c r="R386" i="8"/>
  <c r="R387" i="8"/>
  <c r="R388" i="8"/>
  <c r="R389" i="8"/>
  <c r="R390" i="8"/>
  <c r="R391" i="8"/>
  <c r="R392" i="8"/>
  <c r="R393" i="8"/>
  <c r="R394" i="8"/>
  <c r="R395" i="8"/>
  <c r="R396" i="8"/>
  <c r="R397" i="8"/>
  <c r="R398" i="8"/>
  <c r="R399" i="8"/>
  <c r="R400" i="8"/>
  <c r="R401" i="8"/>
  <c r="R402" i="8"/>
  <c r="R403" i="8"/>
  <c r="R404" i="8"/>
  <c r="R405" i="8"/>
  <c r="R406" i="8"/>
  <c r="R407" i="8"/>
  <c r="R408" i="8"/>
  <c r="R409" i="8"/>
  <c r="R410" i="8"/>
  <c r="R411" i="8"/>
  <c r="R412" i="8"/>
  <c r="R413" i="8"/>
  <c r="R414" i="8"/>
  <c r="R415" i="8"/>
  <c r="R416" i="8"/>
  <c r="R417" i="8"/>
  <c r="R418" i="8"/>
  <c r="R419" i="8"/>
  <c r="R420" i="8"/>
  <c r="R421" i="8"/>
  <c r="R422" i="8"/>
  <c r="R423" i="8"/>
  <c r="R424" i="8"/>
  <c r="R425" i="8"/>
  <c r="R426" i="8"/>
  <c r="R427" i="8"/>
  <c r="R428" i="8"/>
  <c r="R429" i="8"/>
  <c r="R430" i="8"/>
  <c r="R431" i="8"/>
  <c r="R432" i="8"/>
  <c r="R433" i="8"/>
  <c r="R434" i="8"/>
  <c r="R435" i="8"/>
  <c r="R436" i="8"/>
  <c r="R437" i="8"/>
  <c r="R438" i="8"/>
  <c r="R439" i="8"/>
  <c r="R440" i="8"/>
  <c r="R441" i="8"/>
  <c r="R442" i="8"/>
  <c r="R443" i="8"/>
  <c r="R444" i="8"/>
  <c r="R445" i="8"/>
  <c r="R446" i="8"/>
  <c r="R447" i="8"/>
  <c r="R448" i="8"/>
  <c r="R449" i="8"/>
  <c r="R450" i="8"/>
  <c r="R451" i="8"/>
  <c r="R452" i="8"/>
  <c r="R453" i="8"/>
  <c r="R454" i="8"/>
  <c r="R455" i="8"/>
  <c r="R456" i="8"/>
  <c r="R457" i="8"/>
  <c r="R458" i="8"/>
  <c r="R459" i="8"/>
  <c r="R460" i="8"/>
  <c r="R461" i="8"/>
  <c r="R462" i="8"/>
  <c r="R463" i="8"/>
  <c r="R464" i="8"/>
  <c r="R465" i="8"/>
  <c r="R466" i="8"/>
  <c r="R467" i="8"/>
  <c r="R468" i="8"/>
  <c r="R469" i="8"/>
  <c r="R470" i="8"/>
  <c r="R471" i="8"/>
  <c r="R472" i="8"/>
  <c r="R473" i="8"/>
  <c r="R474" i="8"/>
  <c r="R475" i="8"/>
  <c r="R476" i="8"/>
  <c r="R477" i="8"/>
  <c r="R478" i="8"/>
  <c r="R479" i="8"/>
  <c r="R480" i="8"/>
  <c r="R481" i="8"/>
  <c r="R482" i="8"/>
  <c r="R483" i="8"/>
  <c r="R484" i="8"/>
  <c r="R485" i="8"/>
  <c r="R486" i="8"/>
  <c r="R487" i="8"/>
  <c r="R488" i="8"/>
  <c r="R489" i="8"/>
  <c r="R490" i="8"/>
  <c r="R491" i="8"/>
  <c r="R492" i="8"/>
  <c r="R493" i="8"/>
  <c r="R494" i="8"/>
  <c r="R495" i="8"/>
  <c r="R496" i="8"/>
  <c r="R497" i="8"/>
  <c r="R498" i="8"/>
  <c r="R499" i="8"/>
  <c r="R500" i="8"/>
  <c r="R501" i="8"/>
  <c r="R502" i="8"/>
  <c r="R503" i="8"/>
  <c r="R504" i="8"/>
  <c r="R505" i="8"/>
  <c r="R506" i="8"/>
  <c r="R507" i="8"/>
  <c r="R508" i="8"/>
  <c r="R509" i="8"/>
  <c r="R510" i="8"/>
  <c r="R511" i="8"/>
  <c r="R512" i="8"/>
  <c r="R513" i="8"/>
  <c r="R514" i="8"/>
  <c r="R515" i="8"/>
  <c r="R516" i="8"/>
  <c r="R517" i="8"/>
  <c r="R518" i="8"/>
  <c r="R519" i="8"/>
  <c r="R520" i="8"/>
  <c r="R521" i="8"/>
  <c r="R522" i="8"/>
  <c r="R523" i="8"/>
  <c r="R524" i="8"/>
  <c r="R525" i="8"/>
  <c r="R526" i="8"/>
  <c r="R527" i="8"/>
  <c r="R528" i="8"/>
  <c r="R529" i="8"/>
  <c r="R530" i="8"/>
  <c r="R531" i="8"/>
  <c r="R532" i="8"/>
  <c r="R533" i="8"/>
  <c r="R534" i="8"/>
  <c r="R535" i="8"/>
  <c r="R536" i="8"/>
  <c r="R537" i="8"/>
  <c r="R538" i="8"/>
  <c r="R539" i="8"/>
  <c r="R540" i="8"/>
  <c r="R541" i="8"/>
  <c r="R542" i="8"/>
  <c r="R543" i="8"/>
  <c r="R544" i="8"/>
  <c r="R545" i="8"/>
  <c r="R546" i="8"/>
  <c r="R547" i="8"/>
  <c r="R548" i="8"/>
  <c r="R549" i="8"/>
  <c r="R550" i="8"/>
  <c r="R551" i="8"/>
  <c r="R552" i="8"/>
  <c r="R553" i="8"/>
  <c r="R554" i="8"/>
  <c r="R555" i="8"/>
  <c r="R556" i="8"/>
  <c r="R557" i="8"/>
  <c r="R558" i="8"/>
  <c r="R559" i="8"/>
  <c r="R560" i="8"/>
  <c r="R561" i="8"/>
  <c r="R562" i="8"/>
  <c r="R563" i="8"/>
  <c r="R564" i="8"/>
  <c r="R565" i="8"/>
  <c r="R566" i="8"/>
  <c r="R567" i="8"/>
  <c r="R568" i="8"/>
  <c r="R569" i="8"/>
  <c r="R570" i="8"/>
  <c r="R571" i="8"/>
  <c r="R572" i="8"/>
  <c r="R573" i="8"/>
  <c r="R574" i="8"/>
  <c r="R575" i="8"/>
  <c r="R576" i="8"/>
  <c r="R577" i="8"/>
  <c r="R578" i="8"/>
  <c r="R579" i="8"/>
  <c r="R580" i="8"/>
  <c r="R581" i="8"/>
  <c r="R582" i="8"/>
  <c r="R583" i="8"/>
  <c r="R584" i="8"/>
  <c r="R585" i="8"/>
  <c r="R586" i="8"/>
  <c r="R587" i="8"/>
  <c r="R588" i="8"/>
  <c r="R589" i="8"/>
  <c r="R590" i="8"/>
  <c r="R591" i="8"/>
  <c r="R592" i="8"/>
  <c r="R593" i="8"/>
  <c r="R594" i="8"/>
  <c r="R595" i="8"/>
  <c r="R596" i="8"/>
  <c r="R597" i="8"/>
  <c r="R598" i="8"/>
  <c r="R599" i="8"/>
  <c r="R600" i="8"/>
  <c r="R601" i="8"/>
  <c r="R602" i="8"/>
  <c r="R603" i="8"/>
  <c r="R604" i="8"/>
  <c r="R605" i="8"/>
  <c r="R606" i="8"/>
  <c r="R607" i="8"/>
  <c r="R608" i="8"/>
  <c r="R609" i="8"/>
  <c r="R610" i="8"/>
  <c r="R611" i="8"/>
  <c r="R612" i="8"/>
  <c r="R613" i="8"/>
  <c r="R614" i="8"/>
  <c r="R615" i="8"/>
  <c r="R616" i="8"/>
  <c r="R617" i="8"/>
  <c r="R618" i="8"/>
  <c r="R619" i="8"/>
  <c r="R620" i="8"/>
  <c r="R621" i="8"/>
  <c r="R622" i="8"/>
  <c r="R623" i="8"/>
  <c r="R624" i="8"/>
  <c r="R625" i="8"/>
  <c r="R626" i="8"/>
  <c r="R627" i="8"/>
  <c r="R628" i="8"/>
  <c r="R629" i="8"/>
  <c r="R630" i="8"/>
  <c r="R631" i="8"/>
  <c r="R632" i="8"/>
  <c r="R633" i="8"/>
  <c r="R634" i="8"/>
  <c r="R635" i="8"/>
  <c r="R636" i="8"/>
  <c r="R637" i="8"/>
  <c r="R638" i="8"/>
  <c r="R639" i="8"/>
  <c r="R640" i="8"/>
  <c r="R641" i="8"/>
  <c r="R642" i="8"/>
  <c r="R643" i="8"/>
  <c r="R644" i="8"/>
  <c r="R645" i="8"/>
  <c r="R646" i="8"/>
  <c r="R647" i="8"/>
  <c r="R648" i="8"/>
  <c r="R649" i="8"/>
  <c r="R650" i="8"/>
  <c r="R651" i="8"/>
  <c r="R2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2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O308" i="8"/>
  <c r="O309" i="8"/>
  <c r="O310" i="8"/>
  <c r="O311" i="8"/>
  <c r="O312" i="8"/>
  <c r="O313" i="8"/>
  <c r="O314" i="8"/>
  <c r="O315" i="8"/>
  <c r="O316" i="8"/>
  <c r="O317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52" i="8"/>
  <c r="O353" i="8"/>
  <c r="O354" i="8"/>
  <c r="O355" i="8"/>
  <c r="O356" i="8"/>
  <c r="O357" i="8"/>
  <c r="O358" i="8"/>
  <c r="O359" i="8"/>
  <c r="O360" i="8"/>
  <c r="O361" i="8"/>
  <c r="O362" i="8"/>
  <c r="O363" i="8"/>
  <c r="O364" i="8"/>
  <c r="O365" i="8"/>
  <c r="O366" i="8"/>
  <c r="O367" i="8"/>
  <c r="O368" i="8"/>
  <c r="O369" i="8"/>
  <c r="O370" i="8"/>
  <c r="O371" i="8"/>
  <c r="O372" i="8"/>
  <c r="O373" i="8"/>
  <c r="O374" i="8"/>
  <c r="O375" i="8"/>
  <c r="O376" i="8"/>
  <c r="O377" i="8"/>
  <c r="O378" i="8"/>
  <c r="O379" i="8"/>
  <c r="O380" i="8"/>
  <c r="O381" i="8"/>
  <c r="O382" i="8"/>
  <c r="O383" i="8"/>
  <c r="O384" i="8"/>
  <c r="O385" i="8"/>
  <c r="O386" i="8"/>
  <c r="O387" i="8"/>
  <c r="O388" i="8"/>
  <c r="O389" i="8"/>
  <c r="O390" i="8"/>
  <c r="O391" i="8"/>
  <c r="O392" i="8"/>
  <c r="O393" i="8"/>
  <c r="O394" i="8"/>
  <c r="O395" i="8"/>
  <c r="O396" i="8"/>
  <c r="O397" i="8"/>
  <c r="O398" i="8"/>
  <c r="O399" i="8"/>
  <c r="O400" i="8"/>
  <c r="O401" i="8"/>
  <c r="O402" i="8"/>
  <c r="O403" i="8"/>
  <c r="O404" i="8"/>
  <c r="O405" i="8"/>
  <c r="O406" i="8"/>
  <c r="O407" i="8"/>
  <c r="O408" i="8"/>
  <c r="O409" i="8"/>
  <c r="O410" i="8"/>
  <c r="O411" i="8"/>
  <c r="O412" i="8"/>
  <c r="O413" i="8"/>
  <c r="O414" i="8"/>
  <c r="O415" i="8"/>
  <c r="O416" i="8"/>
  <c r="O417" i="8"/>
  <c r="O418" i="8"/>
  <c r="O419" i="8"/>
  <c r="O420" i="8"/>
  <c r="O421" i="8"/>
  <c r="O422" i="8"/>
  <c r="O423" i="8"/>
  <c r="O424" i="8"/>
  <c r="O425" i="8"/>
  <c r="O426" i="8"/>
  <c r="O427" i="8"/>
  <c r="O428" i="8"/>
  <c r="O429" i="8"/>
  <c r="O430" i="8"/>
  <c r="O431" i="8"/>
  <c r="O432" i="8"/>
  <c r="O433" i="8"/>
  <c r="O434" i="8"/>
  <c r="O435" i="8"/>
  <c r="O436" i="8"/>
  <c r="O437" i="8"/>
  <c r="O438" i="8"/>
  <c r="O439" i="8"/>
  <c r="O440" i="8"/>
  <c r="O441" i="8"/>
  <c r="O442" i="8"/>
  <c r="O443" i="8"/>
  <c r="O444" i="8"/>
  <c r="O445" i="8"/>
  <c r="O446" i="8"/>
  <c r="O447" i="8"/>
  <c r="O448" i="8"/>
  <c r="O449" i="8"/>
  <c r="O450" i="8"/>
  <c r="O451" i="8"/>
  <c r="O452" i="8"/>
  <c r="O453" i="8"/>
  <c r="O454" i="8"/>
  <c r="O455" i="8"/>
  <c r="O456" i="8"/>
  <c r="O457" i="8"/>
  <c r="O458" i="8"/>
  <c r="O459" i="8"/>
  <c r="O460" i="8"/>
  <c r="O461" i="8"/>
  <c r="O462" i="8"/>
  <c r="O463" i="8"/>
  <c r="O464" i="8"/>
  <c r="O465" i="8"/>
  <c r="O466" i="8"/>
  <c r="O467" i="8"/>
  <c r="O468" i="8"/>
  <c r="O469" i="8"/>
  <c r="O470" i="8"/>
  <c r="O471" i="8"/>
  <c r="O472" i="8"/>
  <c r="O473" i="8"/>
  <c r="O474" i="8"/>
  <c r="O475" i="8"/>
  <c r="O476" i="8"/>
  <c r="O477" i="8"/>
  <c r="O478" i="8"/>
  <c r="O479" i="8"/>
  <c r="O480" i="8"/>
  <c r="O481" i="8"/>
  <c r="O482" i="8"/>
  <c r="O483" i="8"/>
  <c r="O484" i="8"/>
  <c r="O485" i="8"/>
  <c r="O486" i="8"/>
  <c r="O487" i="8"/>
  <c r="O488" i="8"/>
  <c r="O489" i="8"/>
  <c r="O490" i="8"/>
  <c r="O491" i="8"/>
  <c r="O492" i="8"/>
  <c r="O493" i="8"/>
  <c r="O494" i="8"/>
  <c r="O495" i="8"/>
  <c r="O496" i="8"/>
  <c r="O497" i="8"/>
  <c r="O498" i="8"/>
  <c r="O499" i="8"/>
  <c r="O500" i="8"/>
  <c r="O501" i="8"/>
  <c r="O502" i="8"/>
  <c r="O503" i="8"/>
  <c r="O504" i="8"/>
  <c r="O505" i="8"/>
  <c r="O506" i="8"/>
  <c r="O507" i="8"/>
  <c r="O508" i="8"/>
  <c r="O509" i="8"/>
  <c r="O510" i="8"/>
  <c r="O511" i="8"/>
  <c r="O512" i="8"/>
  <c r="O513" i="8"/>
  <c r="O514" i="8"/>
  <c r="O515" i="8"/>
  <c r="O516" i="8"/>
  <c r="O517" i="8"/>
  <c r="O518" i="8"/>
  <c r="O519" i="8"/>
  <c r="O520" i="8"/>
  <c r="O521" i="8"/>
  <c r="O522" i="8"/>
  <c r="O523" i="8"/>
  <c r="O524" i="8"/>
  <c r="O525" i="8"/>
  <c r="O526" i="8"/>
  <c r="O527" i="8"/>
  <c r="O528" i="8"/>
  <c r="O529" i="8"/>
  <c r="O530" i="8"/>
  <c r="O531" i="8"/>
  <c r="O532" i="8"/>
  <c r="O533" i="8"/>
  <c r="O534" i="8"/>
  <c r="O535" i="8"/>
  <c r="O536" i="8"/>
  <c r="O537" i="8"/>
  <c r="O538" i="8"/>
  <c r="O539" i="8"/>
  <c r="O540" i="8"/>
  <c r="O541" i="8"/>
  <c r="O542" i="8"/>
  <c r="O543" i="8"/>
  <c r="O544" i="8"/>
  <c r="O545" i="8"/>
  <c r="O546" i="8"/>
  <c r="O547" i="8"/>
  <c r="O548" i="8"/>
  <c r="O549" i="8"/>
  <c r="O550" i="8"/>
  <c r="O551" i="8"/>
  <c r="O552" i="8"/>
  <c r="O553" i="8"/>
  <c r="O554" i="8"/>
  <c r="O555" i="8"/>
  <c r="O556" i="8"/>
  <c r="O557" i="8"/>
  <c r="O558" i="8"/>
  <c r="O559" i="8"/>
  <c r="O560" i="8"/>
  <c r="O561" i="8"/>
  <c r="O562" i="8"/>
  <c r="O563" i="8"/>
  <c r="O564" i="8"/>
  <c r="O565" i="8"/>
  <c r="O566" i="8"/>
  <c r="O567" i="8"/>
  <c r="O568" i="8"/>
  <c r="O569" i="8"/>
  <c r="O570" i="8"/>
  <c r="O571" i="8"/>
  <c r="O572" i="8"/>
  <c r="O573" i="8"/>
  <c r="O574" i="8"/>
  <c r="O575" i="8"/>
  <c r="O576" i="8"/>
  <c r="O577" i="8"/>
  <c r="O578" i="8"/>
  <c r="O579" i="8"/>
  <c r="O580" i="8"/>
  <c r="O581" i="8"/>
  <c r="O582" i="8"/>
  <c r="O583" i="8"/>
  <c r="O584" i="8"/>
  <c r="O585" i="8"/>
  <c r="O586" i="8"/>
  <c r="O587" i="8"/>
  <c r="O588" i="8"/>
  <c r="O589" i="8"/>
  <c r="O590" i="8"/>
  <c r="O591" i="8"/>
  <c r="O592" i="8"/>
  <c r="O593" i="8"/>
  <c r="O594" i="8"/>
  <c r="O595" i="8"/>
  <c r="O596" i="8"/>
  <c r="O597" i="8"/>
  <c r="O598" i="8"/>
  <c r="O599" i="8"/>
  <c r="O600" i="8"/>
  <c r="O601" i="8"/>
  <c r="O602" i="8"/>
  <c r="O603" i="8"/>
  <c r="O604" i="8"/>
  <c r="O605" i="8"/>
  <c r="O606" i="8"/>
  <c r="O607" i="8"/>
  <c r="O608" i="8"/>
  <c r="O609" i="8"/>
  <c r="O610" i="8"/>
  <c r="O611" i="8"/>
  <c r="O612" i="8"/>
  <c r="O613" i="8"/>
  <c r="O614" i="8"/>
  <c r="O615" i="8"/>
  <c r="O616" i="8"/>
  <c r="O617" i="8"/>
  <c r="O618" i="8"/>
  <c r="O619" i="8"/>
  <c r="O620" i="8"/>
  <c r="O621" i="8"/>
  <c r="O622" i="8"/>
  <c r="O623" i="8"/>
  <c r="O624" i="8"/>
  <c r="O625" i="8"/>
  <c r="O626" i="8"/>
  <c r="O627" i="8"/>
  <c r="O628" i="8"/>
  <c r="O629" i="8"/>
  <c r="O630" i="8"/>
  <c r="O631" i="8"/>
  <c r="O632" i="8"/>
  <c r="O633" i="8"/>
  <c r="O634" i="8"/>
  <c r="O635" i="8"/>
  <c r="O636" i="8"/>
  <c r="O637" i="8"/>
  <c r="O638" i="8"/>
  <c r="O639" i="8"/>
  <c r="O640" i="8"/>
  <c r="O641" i="8"/>
  <c r="O642" i="8"/>
  <c r="O643" i="8"/>
  <c r="O644" i="8"/>
  <c r="O645" i="8"/>
  <c r="O646" i="8"/>
  <c r="O647" i="8"/>
  <c r="O648" i="8"/>
  <c r="O649" i="8"/>
  <c r="O650" i="8"/>
  <c r="O651" i="8"/>
  <c r="J2" i="8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AI1390" i="8" l="1"/>
  <c r="AI1441" i="8"/>
  <c r="AI1492" i="8"/>
  <c r="G45" i="9"/>
  <c r="F45" i="9" s="1"/>
  <c r="E45" i="9"/>
  <c r="L1391" i="8"/>
  <c r="AD1391" i="8" s="1"/>
  <c r="L1493" i="8"/>
  <c r="AD1493" i="8" s="1"/>
  <c r="L1442" i="8"/>
  <c r="AD1442" i="8" s="1"/>
  <c r="I46" i="9"/>
  <c r="E1442" i="8"/>
  <c r="E1493" i="8"/>
  <c r="E1391" i="8"/>
  <c r="Z1392" i="8"/>
  <c r="Z1443" i="8"/>
  <c r="Z1494" i="8"/>
  <c r="AG1392" i="8"/>
  <c r="I1393" i="8"/>
  <c r="K1392" i="8"/>
  <c r="F1392" i="8" s="1"/>
  <c r="A1391" i="8"/>
  <c r="AH1392" i="8"/>
  <c r="AF1392" i="8"/>
  <c r="AA1392" i="8" s="1"/>
  <c r="G1392" i="8"/>
  <c r="B1392" i="8" s="1"/>
  <c r="M1392" i="8"/>
  <c r="K1443" i="8"/>
  <c r="F1443" i="8" s="1"/>
  <c r="M1494" i="8"/>
  <c r="AF1443" i="8"/>
  <c r="AA1443" i="8" s="1"/>
  <c r="A1442" i="8"/>
  <c r="I1444" i="8"/>
  <c r="M1443" i="8"/>
  <c r="AG1443" i="8"/>
  <c r="G1443" i="8"/>
  <c r="B1443" i="8" s="1"/>
  <c r="AH1443" i="8"/>
  <c r="I1495" i="8"/>
  <c r="AH1494" i="8"/>
  <c r="K1494" i="8"/>
  <c r="F1494" i="8" s="1"/>
  <c r="AG1494" i="8"/>
  <c r="G1494" i="8"/>
  <c r="B1494" i="8" s="1"/>
  <c r="AF1494" i="8"/>
  <c r="AA1494" i="8" s="1"/>
  <c r="A1493" i="8"/>
  <c r="AC24" i="4"/>
  <c r="AC25" i="4"/>
  <c r="AC29" i="4"/>
  <c r="AC26" i="4"/>
  <c r="AC28" i="4"/>
  <c r="AC23" i="4"/>
  <c r="AC27" i="4"/>
  <c r="AC3" i="4"/>
  <c r="AC12" i="4"/>
  <c r="AC4" i="4"/>
  <c r="AC6" i="4"/>
  <c r="AC11" i="4"/>
  <c r="AC5" i="4"/>
  <c r="AC10" i="4"/>
  <c r="AC9" i="4"/>
  <c r="AC7" i="4"/>
  <c r="AC8" i="4"/>
  <c r="N3" i="4"/>
  <c r="M3" i="4" s="1"/>
  <c r="N12" i="4"/>
  <c r="N4" i="4"/>
  <c r="N11" i="4"/>
  <c r="N13" i="4"/>
  <c r="N15" i="4"/>
  <c r="N19" i="4"/>
  <c r="N18" i="4"/>
  <c r="N5" i="4"/>
  <c r="N10" i="4"/>
  <c r="N14" i="4"/>
  <c r="T14" i="4"/>
  <c r="N21" i="4"/>
  <c r="N17" i="4"/>
  <c r="N7" i="4"/>
  <c r="N22" i="4"/>
  <c r="N8" i="4"/>
  <c r="N20" i="4"/>
  <c r="V896" i="8" s="1"/>
  <c r="N16" i="4"/>
  <c r="AB9" i="4"/>
  <c r="N9" i="4"/>
  <c r="AB24" i="4"/>
  <c r="V780" i="8"/>
  <c r="V772" i="8"/>
  <c r="V392" i="8"/>
  <c r="AB19" i="4"/>
  <c r="AB14" i="4"/>
  <c r="S2" i="8"/>
  <c r="O2" i="8"/>
  <c r="P2" i="8"/>
  <c r="AI1442" i="8" l="1"/>
  <c r="AI1391" i="8"/>
  <c r="AI1493" i="8"/>
  <c r="E46" i="9"/>
  <c r="G46" i="9"/>
  <c r="F46" i="9" s="1"/>
  <c r="AD29" i="4"/>
  <c r="L1392" i="8"/>
  <c r="AD1392" i="8" s="1"/>
  <c r="L1443" i="8"/>
  <c r="AD1443" i="8" s="1"/>
  <c r="L1494" i="8"/>
  <c r="AD1494" i="8" s="1"/>
  <c r="I47" i="9"/>
  <c r="V923" i="8"/>
  <c r="E1494" i="8"/>
  <c r="E1392" i="8"/>
  <c r="E1443" i="8"/>
  <c r="AD4" i="4"/>
  <c r="Z1393" i="8"/>
  <c r="Z1444" i="8"/>
  <c r="Z1495" i="8"/>
  <c r="T3" i="8"/>
  <c r="T9" i="8"/>
  <c r="I1394" i="8"/>
  <c r="AG1393" i="8"/>
  <c r="G1393" i="8"/>
  <c r="B1393" i="8" s="1"/>
  <c r="AF1393" i="8"/>
  <c r="AA1393" i="8" s="1"/>
  <c r="K1393" i="8"/>
  <c r="F1393" i="8" s="1"/>
  <c r="AH1393" i="8"/>
  <c r="M1393" i="8"/>
  <c r="A1392" i="8"/>
  <c r="AG1444" i="8"/>
  <c r="AF1444" i="8"/>
  <c r="AA1444" i="8" s="1"/>
  <c r="AG1495" i="8"/>
  <c r="AH1444" i="8"/>
  <c r="I1445" i="8"/>
  <c r="G1444" i="8"/>
  <c r="B1444" i="8" s="1"/>
  <c r="A1443" i="8"/>
  <c r="K1444" i="8"/>
  <c r="F1444" i="8" s="1"/>
  <c r="M1444" i="8"/>
  <c r="K1495" i="8"/>
  <c r="F1495" i="8" s="1"/>
  <c r="G1495" i="8"/>
  <c r="B1495" i="8" s="1"/>
  <c r="M1495" i="8"/>
  <c r="I1496" i="8"/>
  <c r="AH1495" i="8"/>
  <c r="AF1495" i="8"/>
  <c r="AA1495" i="8" s="1"/>
  <c r="A1494" i="8"/>
  <c r="AD9" i="4"/>
  <c r="AD24" i="4"/>
  <c r="V901" i="8"/>
  <c r="V906" i="8"/>
  <c r="V26" i="8"/>
  <c r="V657" i="8"/>
  <c r="V87" i="8"/>
  <c r="V464" i="8"/>
  <c r="V746" i="8"/>
  <c r="V167" i="8"/>
  <c r="V749" i="8"/>
  <c r="V747" i="8"/>
  <c r="V745" i="8"/>
  <c r="V744" i="8"/>
  <c r="V742" i="8"/>
  <c r="V743" i="8"/>
  <c r="V793" i="8"/>
  <c r="V752" i="8"/>
  <c r="V138" i="8"/>
  <c r="V750" i="8"/>
  <c r="V763" i="8"/>
  <c r="V748" i="8"/>
  <c r="V800" i="8"/>
  <c r="V751" i="8"/>
  <c r="V779" i="8"/>
  <c r="V924" i="8"/>
  <c r="V916" i="8"/>
  <c r="V573" i="8"/>
  <c r="V1222" i="8"/>
  <c r="V1230" i="8"/>
  <c r="V1238" i="8"/>
  <c r="V1246" i="8"/>
  <c r="V1254" i="8"/>
  <c r="V1262" i="8"/>
  <c r="V1270" i="8"/>
  <c r="V1224" i="8"/>
  <c r="V1232" i="8"/>
  <c r="V1240" i="8"/>
  <c r="V1248" i="8"/>
  <c r="V1256" i="8"/>
  <c r="V1264" i="8"/>
  <c r="V1221" i="8"/>
  <c r="V1229" i="8"/>
  <c r="V1237" i="8"/>
  <c r="V1245" i="8"/>
  <c r="V1253" i="8"/>
  <c r="V1261" i="8"/>
  <c r="V1269" i="8"/>
  <c r="V1218" i="8"/>
  <c r="V1228" i="8"/>
  <c r="V1251" i="8"/>
  <c r="V1255" i="8"/>
  <c r="V1257" i="8"/>
  <c r="V1271" i="8"/>
  <c r="V1281" i="8"/>
  <c r="V1289" i="8"/>
  <c r="V1297" i="8"/>
  <c r="V1227" i="8"/>
  <c r="V1231" i="8"/>
  <c r="V1233" i="8"/>
  <c r="V1258" i="8"/>
  <c r="V1266" i="8"/>
  <c r="V1280" i="8"/>
  <c r="V1288" i="8"/>
  <c r="V1296" i="8"/>
  <c r="V1219" i="8"/>
  <c r="V1223" i="8"/>
  <c r="V1225" i="8"/>
  <c r="V1250" i="8"/>
  <c r="V1260" i="8"/>
  <c r="V1268" i="8"/>
  <c r="V1272" i="8"/>
  <c r="V1277" i="8"/>
  <c r="V1285" i="8"/>
  <c r="V1293" i="8"/>
  <c r="V1217" i="8"/>
  <c r="V1220" i="8"/>
  <c r="V1226" i="8"/>
  <c r="V1242" i="8"/>
  <c r="V1247" i="8"/>
  <c r="V1282" i="8"/>
  <c r="V1286" i="8"/>
  <c r="V1292" i="8"/>
  <c r="V1236" i="8"/>
  <c r="V1243" i="8"/>
  <c r="V1291" i="8"/>
  <c r="V1295" i="8"/>
  <c r="V1283" i="8"/>
  <c r="V1287" i="8"/>
  <c r="V1239" i="8"/>
  <c r="V1263" i="8"/>
  <c r="V1294" i="8"/>
  <c r="V1252" i="8"/>
  <c r="V1273" i="8"/>
  <c r="V1278" i="8"/>
  <c r="V1290" i="8"/>
  <c r="V1267" i="8"/>
  <c r="V1249" i="8"/>
  <c r="V1259" i="8"/>
  <c r="V1284" i="8"/>
  <c r="V1234" i="8"/>
  <c r="V1276" i="8"/>
  <c r="V1235" i="8"/>
  <c r="V1274" i="8"/>
  <c r="V1244" i="8"/>
  <c r="V1265" i="8"/>
  <c r="V1275" i="8"/>
  <c r="V1279" i="8"/>
  <c r="V1241" i="8"/>
  <c r="V925" i="8"/>
  <c r="V915" i="8"/>
  <c r="V898" i="8"/>
  <c r="V897" i="8"/>
  <c r="V912" i="8"/>
  <c r="V913" i="8"/>
  <c r="V907" i="8"/>
  <c r="V1300" i="8"/>
  <c r="V1308" i="8"/>
  <c r="V1299" i="8"/>
  <c r="V1307" i="8"/>
  <c r="V1315" i="8"/>
  <c r="V1323" i="8"/>
  <c r="V1331" i="8"/>
  <c r="V1339" i="8"/>
  <c r="V1298" i="8"/>
  <c r="V1304" i="8"/>
  <c r="V1317" i="8"/>
  <c r="V1322" i="8"/>
  <c r="V1329" i="8"/>
  <c r="V1336" i="8"/>
  <c r="V1351" i="8"/>
  <c r="V1359" i="8"/>
  <c r="V1367" i="8"/>
  <c r="V1375" i="8"/>
  <c r="V1301" i="8"/>
  <c r="V1314" i="8"/>
  <c r="V1321" i="8"/>
  <c r="V1328" i="8"/>
  <c r="V1340" i="8"/>
  <c r="V1350" i="8"/>
  <c r="V1358" i="8"/>
  <c r="V1366" i="8"/>
  <c r="V1374" i="8"/>
  <c r="V1303" i="8"/>
  <c r="V1305" i="8"/>
  <c r="V1316" i="8"/>
  <c r="V1335" i="8"/>
  <c r="V1342" i="8"/>
  <c r="V1347" i="8"/>
  <c r="V1355" i="8"/>
  <c r="V1363" i="8"/>
  <c r="V1371" i="8"/>
  <c r="V1327" i="8"/>
  <c r="V1353" i="8"/>
  <c r="V1357" i="8"/>
  <c r="V1319" i="8"/>
  <c r="V1330" i="8"/>
  <c r="V1334" i="8"/>
  <c r="V1343" i="8"/>
  <c r="V1368" i="8"/>
  <c r="V1372" i="8"/>
  <c r="V1378" i="8"/>
  <c r="V1326" i="8"/>
  <c r="V1337" i="8"/>
  <c r="V1341" i="8"/>
  <c r="V1360" i="8"/>
  <c r="V1364" i="8"/>
  <c r="V1370" i="8"/>
  <c r="V1306" i="8"/>
  <c r="V1324" i="8"/>
  <c r="V1352" i="8"/>
  <c r="V1356" i="8"/>
  <c r="V1362" i="8"/>
  <c r="V1311" i="8"/>
  <c r="V1313" i="8"/>
  <c r="V1333" i="8"/>
  <c r="V1310" i="8"/>
  <c r="V1354" i="8"/>
  <c r="V1376" i="8"/>
  <c r="V1348" i="8"/>
  <c r="V1320" i="8"/>
  <c r="V1332" i="8"/>
  <c r="V1338" i="8"/>
  <c r="V1346" i="8"/>
  <c r="V1369" i="8"/>
  <c r="V1344" i="8"/>
  <c r="V1349" i="8"/>
  <c r="V1361" i="8"/>
  <c r="V1302" i="8"/>
  <c r="V1365" i="8"/>
  <c r="V1318" i="8"/>
  <c r="V1377" i="8"/>
  <c r="V1345" i="8"/>
  <c r="V1309" i="8"/>
  <c r="V1312" i="8"/>
  <c r="V1325" i="8"/>
  <c r="V1373" i="8"/>
  <c r="V878" i="8"/>
  <c r="V919" i="8"/>
  <c r="V920" i="8"/>
  <c r="V917" i="8"/>
  <c r="V911" i="8"/>
  <c r="V914" i="8"/>
  <c r="V908" i="8"/>
  <c r="V909" i="8"/>
  <c r="V903" i="8"/>
  <c r="V1140" i="8"/>
  <c r="V1148" i="8"/>
  <c r="V1156" i="8"/>
  <c r="V1164" i="8"/>
  <c r="V1172" i="8"/>
  <c r="V1180" i="8"/>
  <c r="V1188" i="8"/>
  <c r="V1196" i="8"/>
  <c r="V1204" i="8"/>
  <c r="V1142" i="8"/>
  <c r="V1150" i="8"/>
  <c r="V1158" i="8"/>
  <c r="V1166" i="8"/>
  <c r="V1174" i="8"/>
  <c r="V1182" i="8"/>
  <c r="V1190" i="8"/>
  <c r="V1198" i="8"/>
  <c r="V1139" i="8"/>
  <c r="V1147" i="8"/>
  <c r="V1155" i="8"/>
  <c r="V1163" i="8"/>
  <c r="V1171" i="8"/>
  <c r="V1179" i="8"/>
  <c r="V1187" i="8"/>
  <c r="V1195" i="8"/>
  <c r="V1203" i="8"/>
  <c r="V1160" i="8"/>
  <c r="V1170" i="8"/>
  <c r="V1193" i="8"/>
  <c r="V1197" i="8"/>
  <c r="V1199" i="8"/>
  <c r="V1201" i="8"/>
  <c r="V1211" i="8"/>
  <c r="V1144" i="8"/>
  <c r="V1154" i="8"/>
  <c r="V1177" i="8"/>
  <c r="V1181" i="8"/>
  <c r="V1183" i="8"/>
  <c r="V1205" i="8"/>
  <c r="V1213" i="8"/>
  <c r="V1136" i="8"/>
  <c r="V1146" i="8"/>
  <c r="V1169" i="8"/>
  <c r="V1173" i="8"/>
  <c r="V1175" i="8"/>
  <c r="V1210" i="8"/>
  <c r="V1153" i="8"/>
  <c r="V1161" i="8"/>
  <c r="V1191" i="8"/>
  <c r="V1208" i="8"/>
  <c r="V1212" i="8"/>
  <c r="V1214" i="8"/>
  <c r="V1137" i="8"/>
  <c r="V1159" i="8"/>
  <c r="V1167" i="8"/>
  <c r="V1192" i="8"/>
  <c r="V1200" i="8"/>
  <c r="V1215" i="8"/>
  <c r="V1145" i="8"/>
  <c r="V1152" i="8"/>
  <c r="V1162" i="8"/>
  <c r="V1207" i="8"/>
  <c r="V1143" i="8"/>
  <c r="V1149" i="8"/>
  <c r="V1216" i="8"/>
  <c r="V1157" i="8"/>
  <c r="V1194" i="8"/>
  <c r="V1138" i="8"/>
  <c r="V1141" i="8"/>
  <c r="V1151" i="8"/>
  <c r="V1168" i="8"/>
  <c r="V1184" i="8"/>
  <c r="V1186" i="8"/>
  <c r="V1165" i="8"/>
  <c r="V1178" i="8"/>
  <c r="V1189" i="8"/>
  <c r="V1202" i="8"/>
  <c r="V1209" i="8"/>
  <c r="V1185" i="8"/>
  <c r="V1206" i="8"/>
  <c r="V1176" i="8"/>
  <c r="V982" i="8"/>
  <c r="V990" i="8"/>
  <c r="V998" i="8"/>
  <c r="V1006" i="8"/>
  <c r="V1014" i="8"/>
  <c r="V1022" i="8"/>
  <c r="V1030" i="8"/>
  <c r="V1038" i="8"/>
  <c r="V1046" i="8"/>
  <c r="V1054" i="8"/>
  <c r="V984" i="8"/>
  <c r="V992" i="8"/>
  <c r="V1000" i="8"/>
  <c r="V1008" i="8"/>
  <c r="V1016" i="8"/>
  <c r="V1024" i="8"/>
  <c r="V1032" i="8"/>
  <c r="V1040" i="8"/>
  <c r="V1048" i="8"/>
  <c r="V981" i="8"/>
  <c r="V989" i="8"/>
  <c r="V997" i="8"/>
  <c r="V1005" i="8"/>
  <c r="V1013" i="8"/>
  <c r="V1021" i="8"/>
  <c r="V1029" i="8"/>
  <c r="V1037" i="8"/>
  <c r="V1045" i="8"/>
  <c r="V1053" i="8"/>
  <c r="V979" i="8"/>
  <c r="V983" i="8"/>
  <c r="V985" i="8"/>
  <c r="V1010" i="8"/>
  <c r="V1020" i="8"/>
  <c r="V1043" i="8"/>
  <c r="V1047" i="8"/>
  <c r="V1049" i="8"/>
  <c r="V994" i="8"/>
  <c r="V1004" i="8"/>
  <c r="V1027" i="8"/>
  <c r="V1031" i="8"/>
  <c r="V1033" i="8"/>
  <c r="V986" i="8"/>
  <c r="V996" i="8"/>
  <c r="V1019" i="8"/>
  <c r="V1023" i="8"/>
  <c r="V1025" i="8"/>
  <c r="V1050" i="8"/>
  <c r="V987" i="8"/>
  <c r="V1009" i="8"/>
  <c r="V1017" i="8"/>
  <c r="V1042" i="8"/>
  <c r="V988" i="8"/>
  <c r="V993" i="8"/>
  <c r="V1018" i="8"/>
  <c r="V1051" i="8"/>
  <c r="V980" i="8"/>
  <c r="V991" i="8"/>
  <c r="V1034" i="8"/>
  <c r="V1036" i="8"/>
  <c r="V1001" i="8"/>
  <c r="V1002" i="8"/>
  <c r="V1011" i="8"/>
  <c r="V1035" i="8"/>
  <c r="V1003" i="8"/>
  <c r="V1026" i="8"/>
  <c r="V1007" i="8"/>
  <c r="V995" i="8"/>
  <c r="V1015" i="8"/>
  <c r="V1052" i="8"/>
  <c r="V999" i="8"/>
  <c r="V1028" i="8"/>
  <c r="V1039" i="8"/>
  <c r="V1044" i="8"/>
  <c r="V1012" i="8"/>
  <c r="V1041" i="8"/>
  <c r="V958" i="8"/>
  <c r="V910" i="8"/>
  <c r="V904" i="8"/>
  <c r="V905" i="8"/>
  <c r="V899" i="8"/>
  <c r="V922" i="8"/>
  <c r="V921" i="8"/>
  <c r="V900" i="8"/>
  <c r="V926" i="8"/>
  <c r="V479" i="8"/>
  <c r="V1057" i="8"/>
  <c r="V1065" i="8"/>
  <c r="V1073" i="8"/>
  <c r="V1081" i="8"/>
  <c r="V1089" i="8"/>
  <c r="V1097" i="8"/>
  <c r="V1105" i="8"/>
  <c r="V1113" i="8"/>
  <c r="V1121" i="8"/>
  <c r="V1129" i="8"/>
  <c r="V1059" i="8"/>
  <c r="V1067" i="8"/>
  <c r="V1075" i="8"/>
  <c r="V1083" i="8"/>
  <c r="V1091" i="8"/>
  <c r="V1099" i="8"/>
  <c r="V1107" i="8"/>
  <c r="V1115" i="8"/>
  <c r="V1123" i="8"/>
  <c r="V1131" i="8"/>
  <c r="V1056" i="8"/>
  <c r="V1064" i="8"/>
  <c r="V1072" i="8"/>
  <c r="V1080" i="8"/>
  <c r="V1088" i="8"/>
  <c r="V1096" i="8"/>
  <c r="V1104" i="8"/>
  <c r="V1112" i="8"/>
  <c r="V1120" i="8"/>
  <c r="V1128" i="8"/>
  <c r="V1063" i="8"/>
  <c r="V1086" i="8"/>
  <c r="V1090" i="8"/>
  <c r="V1092" i="8"/>
  <c r="V1117" i="8"/>
  <c r="V1127" i="8"/>
  <c r="V1070" i="8"/>
  <c r="V1074" i="8"/>
  <c r="V1076" i="8"/>
  <c r="V1101" i="8"/>
  <c r="V1111" i="8"/>
  <c r="V1134" i="8"/>
  <c r="V1062" i="8"/>
  <c r="V1066" i="8"/>
  <c r="V1068" i="8"/>
  <c r="V1093" i="8"/>
  <c r="V1103" i="8"/>
  <c r="V1126" i="8"/>
  <c r="V1130" i="8"/>
  <c r="V1132" i="8"/>
  <c r="V1055" i="8"/>
  <c r="V1106" i="8"/>
  <c r="V1108" i="8"/>
  <c r="V1077" i="8"/>
  <c r="V1079" i="8"/>
  <c r="V1102" i="8"/>
  <c r="V1109" i="8"/>
  <c r="V1119" i="8"/>
  <c r="V1084" i="8"/>
  <c r="V1114" i="8"/>
  <c r="V1122" i="8"/>
  <c r="V1133" i="8"/>
  <c r="V1135" i="8"/>
  <c r="V1078" i="8"/>
  <c r="V1095" i="8"/>
  <c r="V1098" i="8"/>
  <c r="V1087" i="8"/>
  <c r="V1124" i="8"/>
  <c r="V1125" i="8"/>
  <c r="V1069" i="8"/>
  <c r="V1085" i="8"/>
  <c r="V1116" i="8"/>
  <c r="V1082" i="8"/>
  <c r="V1100" i="8"/>
  <c r="V1058" i="8"/>
  <c r="V1061" i="8"/>
  <c r="V1094" i="8"/>
  <c r="V1110" i="8"/>
  <c r="V1060" i="8"/>
  <c r="V1118" i="8"/>
  <c r="V1071" i="8"/>
  <c r="V918" i="8"/>
  <c r="V384" i="8"/>
  <c r="V305" i="8"/>
  <c r="V398" i="8"/>
  <c r="V668" i="8"/>
  <c r="V390" i="8"/>
  <c r="V308" i="8"/>
  <c r="V664" i="8"/>
  <c r="V304" i="8"/>
  <c r="V356" i="8"/>
  <c r="V310" i="8"/>
  <c r="V702" i="8"/>
  <c r="V726" i="8"/>
  <c r="V104" i="8"/>
  <c r="V782" i="8"/>
  <c r="V773" i="8"/>
  <c r="V753" i="8"/>
  <c r="V771" i="8"/>
  <c r="V494" i="8"/>
  <c r="V488" i="8"/>
  <c r="V476" i="8"/>
  <c r="V484" i="8"/>
  <c r="V445" i="8"/>
  <c r="V781" i="8"/>
  <c r="V774" i="8"/>
  <c r="V762" i="8"/>
  <c r="V775" i="8"/>
  <c r="V829" i="8"/>
  <c r="V755" i="8"/>
  <c r="V776" i="8"/>
  <c r="V777" i="8"/>
  <c r="V766" i="8"/>
  <c r="V770" i="8"/>
  <c r="V757" i="8"/>
  <c r="V767" i="8"/>
  <c r="V758" i="8"/>
  <c r="V760" i="8"/>
  <c r="V761" i="8"/>
  <c r="V778" i="8"/>
  <c r="V759" i="8"/>
  <c r="V756" i="8"/>
  <c r="V764" i="8"/>
  <c r="V765" i="8"/>
  <c r="V783" i="8"/>
  <c r="V754" i="8"/>
  <c r="V768" i="8"/>
  <c r="V769" i="8"/>
  <c r="V822" i="8"/>
  <c r="V902" i="8"/>
  <c r="V533" i="8"/>
  <c r="V527" i="8"/>
  <c r="V550" i="8"/>
  <c r="V555" i="8"/>
  <c r="V576" i="8"/>
  <c r="V577" i="8"/>
  <c r="V501" i="8"/>
  <c r="V944" i="8"/>
  <c r="V954" i="8"/>
  <c r="V960" i="8"/>
  <c r="V957" i="8"/>
  <c r="V968" i="8"/>
  <c r="V928" i="8"/>
  <c r="O27" i="4"/>
  <c r="V951" i="8"/>
  <c r="V859" i="8"/>
  <c r="V9" i="8"/>
  <c r="V22" i="8"/>
  <c r="V44" i="8"/>
  <c r="V558" i="8"/>
  <c r="V539" i="8"/>
  <c r="V629" i="8"/>
  <c r="V51" i="8"/>
  <c r="V561" i="8"/>
  <c r="V564" i="8"/>
  <c r="V613" i="8"/>
  <c r="V12" i="8"/>
  <c r="V631" i="8"/>
  <c r="V585" i="8"/>
  <c r="V158" i="8"/>
  <c r="V586" i="8"/>
  <c r="V948" i="8"/>
  <c r="V964" i="8"/>
  <c r="V268" i="8"/>
  <c r="V817" i="8"/>
  <c r="V947" i="8"/>
  <c r="V953" i="8"/>
  <c r="V279" i="8"/>
  <c r="V821" i="8"/>
  <c r="V956" i="8"/>
  <c r="V952" i="8"/>
  <c r="V683" i="8"/>
  <c r="V597" i="8"/>
  <c r="V816" i="8"/>
  <c r="V429" i="8"/>
  <c r="V428" i="8"/>
  <c r="V596" i="8"/>
  <c r="V421" i="8"/>
  <c r="V605" i="8"/>
  <c r="V493" i="8"/>
  <c r="V698" i="8"/>
  <c r="V425" i="8"/>
  <c r="V607" i="8"/>
  <c r="V609" i="8"/>
  <c r="V682" i="8"/>
  <c r="V431" i="8"/>
  <c r="V530" i="8"/>
  <c r="V122" i="8"/>
  <c r="V489" i="8"/>
  <c r="V491" i="8"/>
  <c r="V281" i="8"/>
  <c r="V598" i="8"/>
  <c r="V617" i="8"/>
  <c r="V700" i="8"/>
  <c r="V492" i="8"/>
  <c r="V289" i="8"/>
  <c r="V594" i="8"/>
  <c r="V120" i="8"/>
  <c r="V486" i="8"/>
  <c r="V687" i="8"/>
  <c r="V694" i="8"/>
  <c r="V610" i="8"/>
  <c r="AG2" i="8"/>
  <c r="V858" i="8"/>
  <c r="V349" i="8"/>
  <c r="V371" i="8"/>
  <c r="V352" i="8"/>
  <c r="V109" i="8"/>
  <c r="V358" i="8"/>
  <c r="V103" i="8"/>
  <c r="V94" i="8"/>
  <c r="V35" i="8"/>
  <c r="V106" i="8"/>
  <c r="V16" i="8"/>
  <c r="V31" i="8"/>
  <c r="V164" i="8"/>
  <c r="V180" i="8"/>
  <c r="V163" i="8"/>
  <c r="V181" i="8"/>
  <c r="V347" i="8"/>
  <c r="V30" i="8"/>
  <c r="V291" i="8"/>
  <c r="V345" i="8"/>
  <c r="V361" i="8"/>
  <c r="V303" i="8"/>
  <c r="V350" i="8"/>
  <c r="V367" i="8"/>
  <c r="V296" i="8"/>
  <c r="V175" i="8"/>
  <c r="V283" i="8"/>
  <c r="V341" i="8"/>
  <c r="V353" i="8"/>
  <c r="V286" i="8"/>
  <c r="V298" i="8"/>
  <c r="V282" i="8"/>
  <c r="V284" i="8"/>
  <c r="V343" i="8"/>
  <c r="V357" i="8"/>
  <c r="V302" i="8"/>
  <c r="V280" i="8"/>
  <c r="V294" i="8"/>
  <c r="V292" i="8"/>
  <c r="V54" i="8"/>
  <c r="V348" i="8"/>
  <c r="V7" i="8"/>
  <c r="V42" i="8"/>
  <c r="V370" i="8"/>
  <c r="V112" i="8"/>
  <c r="V176" i="8"/>
  <c r="V307" i="8"/>
  <c r="V297" i="8"/>
  <c r="V58" i="8"/>
  <c r="V110" i="8"/>
  <c r="V17" i="8"/>
  <c r="V10" i="8"/>
  <c r="V369" i="8"/>
  <c r="V364" i="8"/>
  <c r="V354" i="8"/>
  <c r="V170" i="8"/>
  <c r="V169" i="8"/>
  <c r="V177" i="8"/>
  <c r="V85" i="8"/>
  <c r="V15" i="8"/>
  <c r="V4" i="8"/>
  <c r="V125" i="8"/>
  <c r="V419" i="8"/>
  <c r="V391" i="8"/>
  <c r="V139" i="8"/>
  <c r="V654" i="8"/>
  <c r="V554" i="8"/>
  <c r="V78" i="8"/>
  <c r="V113" i="8"/>
  <c r="V48" i="8"/>
  <c r="V19" i="8"/>
  <c r="V123" i="8"/>
  <c r="V405" i="8"/>
  <c r="V379" i="8"/>
  <c r="V667" i="8"/>
  <c r="V62" i="8"/>
  <c r="V37" i="8"/>
  <c r="V32" i="8"/>
  <c r="V36" i="8"/>
  <c r="V124" i="8"/>
  <c r="V416" i="8"/>
  <c r="V394" i="8"/>
  <c r="V178" i="8"/>
  <c r="V96" i="8"/>
  <c r="V161" i="8"/>
  <c r="V168" i="8"/>
  <c r="V544" i="8"/>
  <c r="V185" i="8"/>
  <c r="V60" i="8"/>
  <c r="V107" i="8"/>
  <c r="V23" i="8"/>
  <c r="V8" i="8"/>
  <c r="V43" i="8"/>
  <c r="V18" i="8"/>
  <c r="V115" i="8"/>
  <c r="V674" i="8"/>
  <c r="V411" i="8"/>
  <c r="V407" i="8"/>
  <c r="V388" i="8"/>
  <c r="V166" i="8"/>
  <c r="V174" i="8"/>
  <c r="V172" i="8"/>
  <c r="V540" i="8"/>
  <c r="V534" i="8"/>
  <c r="V173" i="8"/>
  <c r="V99" i="8"/>
  <c r="V41" i="8"/>
  <c r="V13" i="8"/>
  <c r="V14" i="8"/>
  <c r="V45" i="8"/>
  <c r="V117" i="8"/>
  <c r="V417" i="8"/>
  <c r="V374" i="8"/>
  <c r="V381" i="8"/>
  <c r="V670" i="8"/>
  <c r="V159" i="8"/>
  <c r="V548" i="8"/>
  <c r="V57" i="8"/>
  <c r="V100" i="8"/>
  <c r="V25" i="8"/>
  <c r="V33" i="8"/>
  <c r="V6" i="8"/>
  <c r="V52" i="8"/>
  <c r="V121" i="8"/>
  <c r="V678" i="8"/>
  <c r="V422" i="8"/>
  <c r="V378" i="8"/>
  <c r="V389" i="8"/>
  <c r="V869" i="8"/>
  <c r="V873" i="8"/>
  <c r="V820" i="8"/>
  <c r="V936" i="8"/>
  <c r="V949" i="8"/>
  <c r="V819" i="8"/>
  <c r="V971" i="8"/>
  <c r="V946" i="8"/>
  <c r="V824" i="8"/>
  <c r="V892" i="8"/>
  <c r="V967" i="8"/>
  <c r="V942" i="8"/>
  <c r="V831" i="8"/>
  <c r="V830" i="8"/>
  <c r="V870" i="8"/>
  <c r="V888" i="8"/>
  <c r="V963" i="8"/>
  <c r="V931" i="8"/>
  <c r="V970" i="8"/>
  <c r="V938" i="8"/>
  <c r="V969" i="8"/>
  <c r="V937" i="8"/>
  <c r="V815" i="8"/>
  <c r="V943" i="8"/>
  <c r="V940" i="8"/>
  <c r="V827" i="8"/>
  <c r="V939" i="8"/>
  <c r="V977" i="8"/>
  <c r="V823" i="8"/>
  <c r="V974" i="8"/>
  <c r="V941" i="8"/>
  <c r="V826" i="8"/>
  <c r="V832" i="8"/>
  <c r="V866" i="8"/>
  <c r="V927" i="8"/>
  <c r="V887" i="8"/>
  <c r="V959" i="8"/>
  <c r="V976" i="8"/>
  <c r="V966" i="8"/>
  <c r="V934" i="8"/>
  <c r="V965" i="8"/>
  <c r="V933" i="8"/>
  <c r="V975" i="8"/>
  <c r="V950" i="8"/>
  <c r="V932" i="8"/>
  <c r="V833" i="8"/>
  <c r="V978" i="8"/>
  <c r="V945" i="8"/>
  <c r="V818" i="8"/>
  <c r="V894" i="8"/>
  <c r="V935" i="8"/>
  <c r="V973" i="8"/>
  <c r="V814" i="8"/>
  <c r="V828" i="8"/>
  <c r="V825" i="8"/>
  <c r="V883" i="8"/>
  <c r="V955" i="8"/>
  <c r="V972" i="8"/>
  <c r="V962" i="8"/>
  <c r="V930" i="8"/>
  <c r="V961" i="8"/>
  <c r="V929" i="8"/>
  <c r="V541" i="8"/>
  <c r="V537" i="8"/>
  <c r="V532" i="8"/>
  <c r="V546" i="8"/>
  <c r="V465" i="8"/>
  <c r="V403" i="8"/>
  <c r="V424" i="8"/>
  <c r="V387" i="8"/>
  <c r="V402" i="8"/>
  <c r="V372" i="8"/>
  <c r="V536" i="8"/>
  <c r="V531" i="8"/>
  <c r="V471" i="8"/>
  <c r="V482" i="8"/>
  <c r="V553" i="8"/>
  <c r="V420" i="8"/>
  <c r="V408" i="8"/>
  <c r="V395" i="8"/>
  <c r="V382" i="8"/>
  <c r="V475" i="8"/>
  <c r="V535" i="8"/>
  <c r="V478" i="8"/>
  <c r="V551" i="8"/>
  <c r="V410" i="8"/>
  <c r="V413" i="8"/>
  <c r="V386" i="8"/>
  <c r="V401" i="8"/>
  <c r="V373" i="8"/>
  <c r="V526" i="8"/>
  <c r="V474" i="8"/>
  <c r="V487" i="8"/>
  <c r="V473" i="8"/>
  <c r="V461" i="8"/>
  <c r="V469" i="8"/>
  <c r="V481" i="8"/>
  <c r="V466" i="8"/>
  <c r="V467" i="8"/>
  <c r="V500" i="8"/>
  <c r="V522" i="8"/>
  <c r="V477" i="8"/>
  <c r="V490" i="8"/>
  <c r="V472" i="8"/>
  <c r="V483" i="8"/>
  <c r="V514" i="8"/>
  <c r="V485" i="8"/>
  <c r="V470" i="8"/>
  <c r="V480" i="8"/>
  <c r="V677" i="8"/>
  <c r="V649" i="8"/>
  <c r="V661" i="8"/>
  <c r="V732" i="8"/>
  <c r="V497" i="8"/>
  <c r="V528" i="8"/>
  <c r="V545" i="8"/>
  <c r="V542" i="8"/>
  <c r="V529" i="8"/>
  <c r="V672" i="8"/>
  <c r="V406" i="8"/>
  <c r="V414" i="8"/>
  <c r="V409" i="8"/>
  <c r="V430" i="8"/>
  <c r="V652" i="8"/>
  <c r="V377" i="8"/>
  <c r="V375" i="8"/>
  <c r="V396" i="8"/>
  <c r="V636" i="8"/>
  <c r="V460" i="8"/>
  <c r="V506" i="8"/>
  <c r="V547" i="8"/>
  <c r="V552" i="8"/>
  <c r="V538" i="8"/>
  <c r="V495" i="8"/>
  <c r="V412" i="8"/>
  <c r="V404" i="8"/>
  <c r="V418" i="8"/>
  <c r="V423" i="8"/>
  <c r="V397" i="8"/>
  <c r="V380" i="8"/>
  <c r="V393" i="8"/>
  <c r="V385" i="8"/>
  <c r="V399" i="8"/>
  <c r="V376" i="8"/>
  <c r="V505" i="8"/>
  <c r="V509" i="8"/>
  <c r="V549" i="8"/>
  <c r="V556" i="8"/>
  <c r="V543" i="8"/>
  <c r="V427" i="8"/>
  <c r="V426" i="8"/>
  <c r="V432" i="8"/>
  <c r="V415" i="8"/>
  <c r="V383" i="8"/>
  <c r="V400" i="8"/>
  <c r="V735" i="8"/>
  <c r="V451" i="8"/>
  <c r="V463" i="8"/>
  <c r="V440" i="8"/>
  <c r="V524" i="8"/>
  <c r="V510" i="8"/>
  <c r="V508" i="8"/>
  <c r="V453" i="8"/>
  <c r="V525" i="8"/>
  <c r="V513" i="8"/>
  <c r="V516" i="8"/>
  <c r="V644" i="8"/>
  <c r="V438" i="8"/>
  <c r="V511" i="8"/>
  <c r="V517" i="8"/>
  <c r="V437" i="8"/>
  <c r="V729" i="8"/>
  <c r="V722" i="8"/>
  <c r="V458" i="8"/>
  <c r="V645" i="8"/>
  <c r="V436" i="8"/>
  <c r="V622" i="8"/>
  <c r="V663" i="8"/>
  <c r="V449" i="8"/>
  <c r="V519" i="8"/>
  <c r="V727" i="8"/>
  <c r="V718" i="8"/>
  <c r="V496" i="8"/>
  <c r="V442" i="8"/>
  <c r="V507" i="8"/>
  <c r="V498" i="8"/>
  <c r="V624" i="8"/>
  <c r="V642" i="8"/>
  <c r="V459" i="8"/>
  <c r="V523" i="8"/>
  <c r="V639" i="8"/>
  <c r="V719" i="8"/>
  <c r="V716" i="8"/>
  <c r="V434" i="8"/>
  <c r="V632" i="8"/>
  <c r="V625" i="8"/>
  <c r="V457" i="8"/>
  <c r="V619" i="8"/>
  <c r="V659" i="8"/>
  <c r="V518" i="8"/>
  <c r="V715" i="8"/>
  <c r="V714" i="8"/>
  <c r="V521" i="8"/>
  <c r="V520" i="8"/>
  <c r="V633" i="8"/>
  <c r="V679" i="8"/>
  <c r="V641" i="8"/>
  <c r="V435" i="8"/>
  <c r="V515" i="8"/>
  <c r="V623" i="8"/>
  <c r="V731" i="8"/>
  <c r="V730" i="8"/>
  <c r="V713" i="8"/>
  <c r="V738" i="8"/>
  <c r="V456" i="8"/>
  <c r="V626" i="8"/>
  <c r="V620" i="8"/>
  <c r="V647" i="8"/>
  <c r="V448" i="8"/>
  <c r="V499" i="8"/>
  <c r="V630" i="8"/>
  <c r="V658" i="8"/>
  <c r="V656" i="8"/>
  <c r="V439" i="8"/>
  <c r="V711" i="8"/>
  <c r="V734" i="8"/>
  <c r="V447" i="8"/>
  <c r="V512" i="8"/>
  <c r="V502" i="8"/>
  <c r="V628" i="8"/>
  <c r="V673" i="8"/>
  <c r="V662" i="8"/>
  <c r="V646" i="8"/>
  <c r="V444" i="8"/>
  <c r="V147" i="8"/>
  <c r="V153" i="8"/>
  <c r="V74" i="8"/>
  <c r="V131" i="8"/>
  <c r="V273" i="8"/>
  <c r="V149" i="8"/>
  <c r="V278" i="8"/>
  <c r="V263" i="8"/>
  <c r="V82" i="8"/>
  <c r="V65" i="8"/>
  <c r="V89" i="8"/>
  <c r="V72" i="8"/>
  <c r="V145" i="8"/>
  <c r="V142" i="8"/>
  <c r="V114" i="8"/>
  <c r="V277" i="8"/>
  <c r="V288" i="8"/>
  <c r="V293" i="8"/>
  <c r="V306" i="8"/>
  <c r="V56" i="8"/>
  <c r="V61" i="8"/>
  <c r="V346" i="8"/>
  <c r="V342" i="8"/>
  <c r="V101" i="8"/>
  <c r="V105" i="8"/>
  <c r="V40" i="8"/>
  <c r="V29" i="8"/>
  <c r="V24" i="8"/>
  <c r="V21" i="8"/>
  <c r="V27" i="8"/>
  <c r="V50" i="8"/>
  <c r="V143" i="8"/>
  <c r="V134" i="8"/>
  <c r="V141" i="8"/>
  <c r="V355" i="8"/>
  <c r="V363" i="8"/>
  <c r="V151" i="8"/>
  <c r="V154" i="8"/>
  <c r="V63" i="8"/>
  <c r="V126" i="8"/>
  <c r="V368" i="8"/>
  <c r="V146" i="8"/>
  <c r="V299" i="8"/>
  <c r="V287" i="8"/>
  <c r="V272" i="8"/>
  <c r="V295" i="8"/>
  <c r="V290" i="8"/>
  <c r="V55" i="8"/>
  <c r="V59" i="8"/>
  <c r="V351" i="8"/>
  <c r="V95" i="8"/>
  <c r="V108" i="8"/>
  <c r="V102" i="8"/>
  <c r="V47" i="8"/>
  <c r="V5" i="8"/>
  <c r="V46" i="8"/>
  <c r="V28" i="8"/>
  <c r="V11" i="8"/>
  <c r="V34" i="8"/>
  <c r="V127" i="8"/>
  <c r="V118" i="8"/>
  <c r="V130" i="8"/>
  <c r="V359" i="8"/>
  <c r="V365" i="8"/>
  <c r="V366" i="8"/>
  <c r="V362" i="8"/>
  <c r="V135" i="8"/>
  <c r="V98" i="8"/>
  <c r="V2" i="8"/>
  <c r="V90" i="8"/>
  <c r="V360" i="8"/>
  <c r="V285" i="8"/>
  <c r="V300" i="8"/>
  <c r="V309" i="8"/>
  <c r="V301" i="8"/>
  <c r="V53" i="8"/>
  <c r="V68" i="8"/>
  <c r="V344" i="8"/>
  <c r="V111" i="8"/>
  <c r="V97" i="8"/>
  <c r="V92" i="8"/>
  <c r="V39" i="8"/>
  <c r="V49" i="8"/>
  <c r="V38" i="8"/>
  <c r="V20" i="8"/>
  <c r="V3" i="8"/>
  <c r="V119" i="8"/>
  <c r="V116" i="8"/>
  <c r="V212" i="8"/>
  <c r="O8" i="4"/>
  <c r="V339" i="8"/>
  <c r="V275" i="8"/>
  <c r="V320" i="8"/>
  <c r="V208" i="8"/>
  <c r="V148" i="8"/>
  <c r="V152" i="8"/>
  <c r="V314" i="8"/>
  <c r="V271" i="8"/>
  <c r="V197" i="8"/>
  <c r="V77" i="8"/>
  <c r="V76" i="8"/>
  <c r="V84" i="8"/>
  <c r="V129" i="8"/>
  <c r="V137" i="8"/>
  <c r="V133" i="8"/>
  <c r="V140" i="8"/>
  <c r="V326" i="8"/>
  <c r="V88" i="8"/>
  <c r="V265" i="8"/>
  <c r="V274" i="8"/>
  <c r="V331" i="8"/>
  <c r="V334" i="8"/>
  <c r="V144" i="8"/>
  <c r="V132" i="8"/>
  <c r="V201" i="8"/>
  <c r="V222" i="8"/>
  <c r="V323" i="8"/>
  <c r="V155" i="8"/>
  <c r="V270" i="8"/>
  <c r="V150" i="8"/>
  <c r="V226" i="8"/>
  <c r="V73" i="8"/>
  <c r="V81" i="8"/>
  <c r="V75" i="8"/>
  <c r="V86" i="8"/>
  <c r="V128" i="8"/>
  <c r="V136" i="8"/>
  <c r="V861" i="8"/>
  <c r="V838" i="8"/>
  <c r="V846" i="8"/>
  <c r="V865" i="8"/>
  <c r="V890" i="8"/>
  <c r="V882" i="8"/>
  <c r="V884" i="8"/>
  <c r="V879" i="8"/>
  <c r="V842" i="8"/>
  <c r="V836" i="8"/>
  <c r="V871" i="8"/>
  <c r="V854" i="8"/>
  <c r="V857" i="8"/>
  <c r="V880" i="8"/>
  <c r="V850" i="8"/>
  <c r="V868" i="8"/>
  <c r="V864" i="8"/>
  <c r="V867" i="8"/>
  <c r="V893" i="8"/>
  <c r="V791" i="8"/>
  <c r="V844" i="8"/>
  <c r="V845" i="8"/>
  <c r="V872" i="8"/>
  <c r="V847" i="8"/>
  <c r="V856" i="8"/>
  <c r="V839" i="8"/>
  <c r="V849" i="8"/>
  <c r="V840" i="8"/>
  <c r="V855" i="8"/>
  <c r="V889" i="8"/>
  <c r="V885" i="8"/>
  <c r="V895" i="8"/>
  <c r="V837" i="8"/>
  <c r="V852" i="8"/>
  <c r="V875" i="8"/>
  <c r="V863" i="8"/>
  <c r="V843" i="8"/>
  <c r="V841" i="8"/>
  <c r="V874" i="8"/>
  <c r="V876" i="8"/>
  <c r="V851" i="8"/>
  <c r="V835" i="8"/>
  <c r="V834" i="8"/>
  <c r="V860" i="8"/>
  <c r="V862" i="8"/>
  <c r="V848" i="8"/>
  <c r="V853" i="8"/>
  <c r="V881" i="8"/>
  <c r="V877" i="8"/>
  <c r="V886" i="8"/>
  <c r="V891" i="8"/>
  <c r="V192" i="8"/>
  <c r="V227" i="8"/>
  <c r="V608" i="8"/>
  <c r="V589" i="8"/>
  <c r="V313" i="8"/>
  <c r="V560" i="8"/>
  <c r="V563" i="8"/>
  <c r="V570" i="8"/>
  <c r="V206" i="8"/>
  <c r="V211" i="8"/>
  <c r="V330" i="8"/>
  <c r="V701" i="8"/>
  <c r="V692" i="8"/>
  <c r="V725" i="8"/>
  <c r="V712" i="8"/>
  <c r="V259" i="8"/>
  <c r="V583" i="8"/>
  <c r="V580" i="8"/>
  <c r="V200" i="8"/>
  <c r="V207" i="8"/>
  <c r="V202" i="8"/>
  <c r="V322" i="8"/>
  <c r="V332" i="8"/>
  <c r="V696" i="8"/>
  <c r="V675" i="8"/>
  <c r="V614" i="8"/>
  <c r="V666" i="8"/>
  <c r="V655" i="8"/>
  <c r="V462" i="8"/>
  <c r="V165" i="8"/>
  <c r="V160" i="8"/>
  <c r="V739" i="8"/>
  <c r="V723" i="8"/>
  <c r="V707" i="8"/>
  <c r="V710" i="8"/>
  <c r="V452" i="8"/>
  <c r="V455" i="8"/>
  <c r="V590" i="8"/>
  <c r="V260" i="8"/>
  <c r="V606" i="8"/>
  <c r="V599" i="8"/>
  <c r="V603" i="8"/>
  <c r="V565" i="8"/>
  <c r="V572" i="8"/>
  <c r="V575" i="8"/>
  <c r="V157" i="8"/>
  <c r="V184" i="8"/>
  <c r="V190" i="8"/>
  <c r="V191" i="8"/>
  <c r="V188" i="8"/>
  <c r="V194" i="8"/>
  <c r="V179" i="8"/>
  <c r="V79" i="8"/>
  <c r="V80" i="8"/>
  <c r="V66" i="8"/>
  <c r="V337" i="8"/>
  <c r="V333" i="8"/>
  <c r="V324" i="8"/>
  <c r="V693" i="8"/>
  <c r="V688" i="8"/>
  <c r="V676" i="8"/>
  <c r="V671" i="8"/>
  <c r="V651" i="8"/>
  <c r="V648" i="8"/>
  <c r="V637" i="8"/>
  <c r="V627" i="8"/>
  <c r="V468" i="8"/>
  <c r="V503" i="8"/>
  <c r="V214" i="8"/>
  <c r="V218" i="8"/>
  <c r="V592" i="8"/>
  <c r="V578" i="8"/>
  <c r="V317" i="8"/>
  <c r="V312" i="8"/>
  <c r="V216" i="8"/>
  <c r="V223" i="8"/>
  <c r="V210" i="8"/>
  <c r="V338" i="8"/>
  <c r="V340" i="8"/>
  <c r="V686" i="8"/>
  <c r="V611" i="8"/>
  <c r="V741" i="8"/>
  <c r="V709" i="8"/>
  <c r="V728" i="8"/>
  <c r="V269" i="8"/>
  <c r="V261" i="8"/>
  <c r="V266" i="8"/>
  <c r="V581" i="8"/>
  <c r="V567" i="8"/>
  <c r="V562" i="8"/>
  <c r="V198" i="8"/>
  <c r="V220" i="8"/>
  <c r="V195" i="8"/>
  <c r="V697" i="8"/>
  <c r="V684" i="8"/>
  <c r="V616" i="8"/>
  <c r="M14" i="4"/>
  <c r="V669" i="8"/>
  <c r="V653" i="8"/>
  <c r="V737" i="8"/>
  <c r="V721" i="8"/>
  <c r="V705" i="8"/>
  <c r="V740" i="8"/>
  <c r="V724" i="8"/>
  <c r="V708" i="8"/>
  <c r="V443" i="8"/>
  <c r="V595" i="8"/>
  <c r="V604" i="8"/>
  <c r="V593" i="8"/>
  <c r="V319" i="8"/>
  <c r="V316" i="8"/>
  <c r="V315" i="8"/>
  <c r="V559" i="8"/>
  <c r="V566" i="8"/>
  <c r="V156" i="8"/>
  <c r="V215" i="8"/>
  <c r="V182" i="8"/>
  <c r="V221" i="8"/>
  <c r="V219" i="8"/>
  <c r="V186" i="8"/>
  <c r="V225" i="8"/>
  <c r="V71" i="8"/>
  <c r="V64" i="8"/>
  <c r="V83" i="8"/>
  <c r="V329" i="8"/>
  <c r="V336" i="8"/>
  <c r="V325" i="8"/>
  <c r="V93" i="8"/>
  <c r="V618" i="8"/>
  <c r="V689" i="8"/>
  <c r="V680" i="8"/>
  <c r="V699" i="8"/>
  <c r="V650" i="8"/>
  <c r="V640" i="8"/>
  <c r="V441" i="8"/>
  <c r="V621" i="8"/>
  <c r="V638" i="8"/>
  <c r="V189" i="8"/>
  <c r="V193" i="8"/>
  <c r="V703" i="8"/>
  <c r="V706" i="8"/>
  <c r="V582" i="8"/>
  <c r="V591" i="8"/>
  <c r="V584" i="8"/>
  <c r="V311" i="8"/>
  <c r="V588" i="8"/>
  <c r="V568" i="8"/>
  <c r="V557" i="8"/>
  <c r="V240" i="8"/>
  <c r="V199" i="8"/>
  <c r="V204" i="8"/>
  <c r="V213" i="8"/>
  <c r="V203" i="8"/>
  <c r="V217" i="8"/>
  <c r="V267" i="8"/>
  <c r="V327" i="8"/>
  <c r="V321" i="8"/>
  <c r="V328" i="8"/>
  <c r="V601" i="8"/>
  <c r="V685" i="8"/>
  <c r="V695" i="8"/>
  <c r="V665" i="8"/>
  <c r="V660" i="8"/>
  <c r="V162" i="8"/>
  <c r="V733" i="8"/>
  <c r="V717" i="8"/>
  <c r="V736" i="8"/>
  <c r="V720" i="8"/>
  <c r="V704" i="8"/>
  <c r="V450" i="8"/>
  <c r="V262" i="8"/>
  <c r="V276" i="8"/>
  <c r="V264" i="8"/>
  <c r="V587" i="8"/>
  <c r="V579" i="8"/>
  <c r="V602" i="8"/>
  <c r="V318" i="8"/>
  <c r="V574" i="8"/>
  <c r="V569" i="8"/>
  <c r="V571" i="8"/>
  <c r="V171" i="8"/>
  <c r="V183" i="8"/>
  <c r="V224" i="8"/>
  <c r="V205" i="8"/>
  <c r="V187" i="8"/>
  <c r="V196" i="8"/>
  <c r="V209" i="8"/>
  <c r="V69" i="8"/>
  <c r="V70" i="8"/>
  <c r="V67" i="8"/>
  <c r="V335" i="8"/>
  <c r="V91" i="8"/>
  <c r="V634" i="8"/>
  <c r="V612" i="8"/>
  <c r="V600" i="8"/>
  <c r="V681" i="8"/>
  <c r="V690" i="8"/>
  <c r="V691" i="8"/>
  <c r="V433" i="8"/>
  <c r="V643" i="8"/>
  <c r="V446" i="8"/>
  <c r="V454" i="8"/>
  <c r="V635" i="8"/>
  <c r="V615" i="8"/>
  <c r="V504" i="8"/>
  <c r="AF2" i="8"/>
  <c r="AA2" i="8" s="1"/>
  <c r="G2" i="8"/>
  <c r="V250" i="8"/>
  <c r="V798" i="8"/>
  <c r="V784" i="8"/>
  <c r="V795" i="8"/>
  <c r="V811" i="8"/>
  <c r="V237" i="8"/>
  <c r="V255" i="8"/>
  <c r="V229" i="8"/>
  <c r="V242" i="8"/>
  <c r="V238" i="8"/>
  <c r="V253" i="8"/>
  <c r="V239" i="8"/>
  <c r="V230" i="8"/>
  <c r="V256" i="8"/>
  <c r="V246" i="8"/>
  <c r="V234" i="8"/>
  <c r="V254" i="8"/>
  <c r="V244" i="8"/>
  <c r="V247" i="8"/>
  <c r="V228" i="8"/>
  <c r="V251" i="8"/>
  <c r="V252" i="8"/>
  <c r="V231" i="8"/>
  <c r="V235" i="8"/>
  <c r="V236" i="8"/>
  <c r="V245" i="8"/>
  <c r="V257" i="8"/>
  <c r="V241" i="8"/>
  <c r="V233" i="8"/>
  <c r="V232" i="8"/>
  <c r="V243" i="8"/>
  <c r="V248" i="8"/>
  <c r="V249" i="8"/>
  <c r="V258" i="8"/>
  <c r="V812" i="8"/>
  <c r="V801" i="8"/>
  <c r="V810" i="8"/>
  <c r="V794" i="8"/>
  <c r="V789" i="8"/>
  <c r="V796" i="8"/>
  <c r="V805" i="8"/>
  <c r="V785" i="8"/>
  <c r="V808" i="8"/>
  <c r="V792" i="8"/>
  <c r="V807" i="8"/>
  <c r="V806" i="8"/>
  <c r="V787" i="8"/>
  <c r="V803" i="8"/>
  <c r="V797" i="8"/>
  <c r="V804" i="8"/>
  <c r="V788" i="8"/>
  <c r="V813" i="8"/>
  <c r="V790" i="8"/>
  <c r="V799" i="8"/>
  <c r="V809" i="8"/>
  <c r="V802" i="8"/>
  <c r="V786" i="8"/>
  <c r="G3" i="8"/>
  <c r="AI1392" i="8" l="1"/>
  <c r="AI1494" i="8"/>
  <c r="AI1443" i="8"/>
  <c r="G47" i="9"/>
  <c r="F47" i="9" s="1"/>
  <c r="E47" i="9"/>
  <c r="L1495" i="8"/>
  <c r="AD1495" i="8" s="1"/>
  <c r="L1393" i="8"/>
  <c r="AD1393" i="8" s="1"/>
  <c r="L1444" i="8"/>
  <c r="AD1444" i="8" s="1"/>
  <c r="I48" i="9"/>
  <c r="E1393" i="8"/>
  <c r="E3" i="8"/>
  <c r="E1495" i="8"/>
  <c r="E1444" i="8"/>
  <c r="A2" i="8"/>
  <c r="Z1445" i="8"/>
  <c r="Z3" i="8"/>
  <c r="Z1496" i="8"/>
  <c r="Z1394" i="8"/>
  <c r="AF1394" i="8"/>
  <c r="AA1394" i="8" s="1"/>
  <c r="K3" i="8"/>
  <c r="G1394" i="8"/>
  <c r="B1394" i="8" s="1"/>
  <c r="I1395" i="8"/>
  <c r="AH1394" i="8"/>
  <c r="M1394" i="8"/>
  <c r="K1394" i="8"/>
  <c r="F1394" i="8" s="1"/>
  <c r="AH1445" i="8"/>
  <c r="AG1394" i="8"/>
  <c r="A1393" i="8"/>
  <c r="K1445" i="8"/>
  <c r="F1445" i="8" s="1"/>
  <c r="AG1496" i="8"/>
  <c r="I1446" i="8"/>
  <c r="AF1445" i="8"/>
  <c r="AA1445" i="8" s="1"/>
  <c r="M1445" i="8"/>
  <c r="AG1445" i="8"/>
  <c r="G1445" i="8"/>
  <c r="B1445" i="8" s="1"/>
  <c r="A1444" i="8"/>
  <c r="I1497" i="8"/>
  <c r="A1495" i="8"/>
  <c r="AF1496" i="8"/>
  <c r="AA1496" i="8" s="1"/>
  <c r="G1496" i="8"/>
  <c r="B1496" i="8" s="1"/>
  <c r="K1496" i="8"/>
  <c r="F1496" i="8" s="1"/>
  <c r="M1496" i="8"/>
  <c r="AH1496" i="8"/>
  <c r="AH3" i="8"/>
  <c r="B2" i="8"/>
  <c r="AG3" i="8"/>
  <c r="AF3" i="8"/>
  <c r="AA3" i="8" s="1"/>
  <c r="I4" i="8"/>
  <c r="D4" i="7"/>
  <c r="F5" i="7" s="1"/>
  <c r="M4" i="8" l="1"/>
  <c r="AI1444" i="8"/>
  <c r="AI1495" i="8"/>
  <c r="AI1393" i="8"/>
  <c r="G48" i="9"/>
  <c r="F48" i="9" s="1"/>
  <c r="E48" i="9"/>
  <c r="L1394" i="8"/>
  <c r="AD1394" i="8" s="1"/>
  <c r="L1496" i="8"/>
  <c r="AD1496" i="8" s="1"/>
  <c r="L1445" i="8"/>
  <c r="AD1445" i="8" s="1"/>
  <c r="F3" i="8"/>
  <c r="E2" i="8"/>
  <c r="I49" i="9"/>
  <c r="E1496" i="8"/>
  <c r="E1445" i="8"/>
  <c r="E1394" i="8"/>
  <c r="Z1446" i="8"/>
  <c r="Z1497" i="8"/>
  <c r="Z1395" i="8"/>
  <c r="Z4" i="8"/>
  <c r="AH4" i="8"/>
  <c r="AF1395" i="8"/>
  <c r="AA1395" i="8" s="1"/>
  <c r="K1395" i="8"/>
  <c r="F1395" i="8" s="1"/>
  <c r="AH1395" i="8"/>
  <c r="AG1395" i="8"/>
  <c r="G1395" i="8"/>
  <c r="B1395" i="8" s="1"/>
  <c r="M1395" i="8"/>
  <c r="I1396" i="8"/>
  <c r="A1394" i="8"/>
  <c r="G1446" i="8"/>
  <c r="B1446" i="8" s="1"/>
  <c r="I1447" i="8"/>
  <c r="AH1446" i="8"/>
  <c r="AG1446" i="8"/>
  <c r="M1446" i="8"/>
  <c r="AF1446" i="8"/>
  <c r="AA1446" i="8" s="1"/>
  <c r="K1446" i="8"/>
  <c r="F1446" i="8" s="1"/>
  <c r="K1497" i="8"/>
  <c r="F1497" i="8" s="1"/>
  <c r="AG1497" i="8"/>
  <c r="AF1497" i="8"/>
  <c r="AA1497" i="8" s="1"/>
  <c r="AH1497" i="8"/>
  <c r="I1498" i="8"/>
  <c r="G1497" i="8"/>
  <c r="B1497" i="8" s="1"/>
  <c r="M1497" i="8"/>
  <c r="A1445" i="8"/>
  <c r="A1496" i="8"/>
  <c r="B3" i="8"/>
  <c r="I1226" i="8"/>
  <c r="AG4" i="8"/>
  <c r="AF4" i="8"/>
  <c r="AA4" i="8" s="1"/>
  <c r="A3" i="8"/>
  <c r="G4" i="8"/>
  <c r="I5" i="8"/>
  <c r="M5" i="8" l="1"/>
  <c r="AI1394" i="8"/>
  <c r="AI1496" i="8"/>
  <c r="AI1445" i="8"/>
  <c r="G49" i="9"/>
  <c r="F49" i="9" s="1"/>
  <c r="E49" i="9"/>
  <c r="L1497" i="8"/>
  <c r="AD1497" i="8" s="1"/>
  <c r="L1446" i="8"/>
  <c r="AD1446" i="8" s="1"/>
  <c r="L1395" i="8"/>
  <c r="AD1395" i="8" s="1"/>
  <c r="AI2" i="8"/>
  <c r="E4" i="8"/>
  <c r="K3" i="10"/>
  <c r="A11" i="9" s="1"/>
  <c r="I50" i="9"/>
  <c r="E1395" i="8"/>
  <c r="E1497" i="8"/>
  <c r="E1446" i="8"/>
  <c r="Z1447" i="8"/>
  <c r="Z1498" i="8"/>
  <c r="Z5" i="8"/>
  <c r="Z1396" i="8"/>
  <c r="W1226" i="8"/>
  <c r="Z1226" i="8"/>
  <c r="X1226" i="8"/>
  <c r="AG1396" i="8"/>
  <c r="A1395" i="8"/>
  <c r="G1396" i="8"/>
  <c r="B1396" i="8" s="1"/>
  <c r="K1396" i="8"/>
  <c r="F1396" i="8" s="1"/>
  <c r="AH1396" i="8"/>
  <c r="I1397" i="8"/>
  <c r="AF1396" i="8"/>
  <c r="AA1396" i="8" s="1"/>
  <c r="M1396" i="8"/>
  <c r="K1447" i="8"/>
  <c r="F1447" i="8" s="1"/>
  <c r="M1447" i="8"/>
  <c r="I1448" i="8"/>
  <c r="G1447" i="8"/>
  <c r="B1447" i="8" s="1"/>
  <c r="A1446" i="8"/>
  <c r="AF1447" i="8"/>
  <c r="AA1447" i="8" s="1"/>
  <c r="AH1447" i="8"/>
  <c r="AG1447" i="8"/>
  <c r="M1498" i="8"/>
  <c r="AF1498" i="8"/>
  <c r="AA1498" i="8" s="1"/>
  <c r="I1499" i="8"/>
  <c r="AH1498" i="8"/>
  <c r="K1498" i="8"/>
  <c r="F1498" i="8" s="1"/>
  <c r="AG1498" i="8"/>
  <c r="A1497" i="8"/>
  <c r="G1498" i="8"/>
  <c r="B1498" i="8" s="1"/>
  <c r="M1226" i="8"/>
  <c r="AH5" i="8"/>
  <c r="AH1226" i="8"/>
  <c r="B4" i="8"/>
  <c r="G1226" i="8"/>
  <c r="B1226" i="8" s="1"/>
  <c r="I1227" i="8"/>
  <c r="AG1226" i="8"/>
  <c r="AF1226" i="8"/>
  <c r="AA1226" i="8" s="1"/>
  <c r="AG5" i="8"/>
  <c r="A4" i="8"/>
  <c r="AF5" i="8"/>
  <c r="AA5" i="8" s="1"/>
  <c r="G5" i="8"/>
  <c r="I6" i="8"/>
  <c r="M6" i="8" l="1"/>
  <c r="AI1497" i="8"/>
  <c r="AI1395" i="8"/>
  <c r="AI1446" i="8"/>
  <c r="E50" i="9"/>
  <c r="G50" i="9"/>
  <c r="F50" i="9" s="1"/>
  <c r="L1396" i="8"/>
  <c r="AD1396" i="8" s="1"/>
  <c r="L1498" i="8"/>
  <c r="AD1498" i="8" s="1"/>
  <c r="L1447" i="8"/>
  <c r="AD1447" i="8" s="1"/>
  <c r="A3" i="9"/>
  <c r="A10" i="9"/>
  <c r="A25" i="9"/>
  <c r="A14" i="9"/>
  <c r="A15" i="9"/>
  <c r="A5" i="9"/>
  <c r="A4" i="9"/>
  <c r="A9" i="9"/>
  <c r="A18" i="9"/>
  <c r="A22" i="9"/>
  <c r="A17" i="9"/>
  <c r="A24" i="9"/>
  <c r="A16" i="9"/>
  <c r="A2" i="9"/>
  <c r="A8" i="9"/>
  <c r="A7" i="9"/>
  <c r="A23" i="9"/>
  <c r="A6" i="9"/>
  <c r="A28" i="9"/>
  <c r="A27" i="9"/>
  <c r="A21" i="9"/>
  <c r="A20" i="9"/>
  <c r="A19" i="9"/>
  <c r="A26" i="9"/>
  <c r="A13" i="9"/>
  <c r="A12" i="9"/>
  <c r="E5" i="8"/>
  <c r="I51" i="9"/>
  <c r="E1396" i="8"/>
  <c r="E1447" i="8"/>
  <c r="E1498" i="8"/>
  <c r="Z6" i="8"/>
  <c r="Z1227" i="8"/>
  <c r="G1397" i="8"/>
  <c r="B1397" i="8" s="1"/>
  <c r="A1396" i="8"/>
  <c r="AF1397" i="8"/>
  <c r="AA1397" i="8" s="1"/>
  <c r="M1397" i="8"/>
  <c r="AG1397" i="8"/>
  <c r="I1398" i="8"/>
  <c r="K1397" i="8"/>
  <c r="F1397" i="8" s="1"/>
  <c r="AH1397" i="8"/>
  <c r="AF1448" i="8"/>
  <c r="AA1448" i="8" s="1"/>
  <c r="A1447" i="8"/>
  <c r="AH1448" i="8"/>
  <c r="I1449" i="8"/>
  <c r="AG1448" i="8"/>
  <c r="G1448" i="8"/>
  <c r="B1448" i="8" s="1"/>
  <c r="M1448" i="8"/>
  <c r="K1448" i="8"/>
  <c r="F1448" i="8" s="1"/>
  <c r="K1499" i="8"/>
  <c r="F1499" i="8" s="1"/>
  <c r="AH1499" i="8"/>
  <c r="M1499" i="8"/>
  <c r="G1499" i="8"/>
  <c r="B1499" i="8" s="1"/>
  <c r="AF1499" i="8"/>
  <c r="AA1499" i="8" s="1"/>
  <c r="AG1499" i="8"/>
  <c r="I1500" i="8"/>
  <c r="A1498" i="8"/>
  <c r="M1227" i="8"/>
  <c r="AH6" i="8"/>
  <c r="AH1227" i="8"/>
  <c r="B5" i="8"/>
  <c r="I1228" i="8"/>
  <c r="AG1227" i="8"/>
  <c r="G1227" i="8"/>
  <c r="B1227" i="8" s="1"/>
  <c r="AF1227" i="8"/>
  <c r="AA1227" i="8" s="1"/>
  <c r="A1226" i="8"/>
  <c r="AG6" i="8"/>
  <c r="AF6" i="8"/>
  <c r="AA6" i="8" s="1"/>
  <c r="A5" i="8"/>
  <c r="G6" i="8"/>
  <c r="I7" i="8"/>
  <c r="M7" i="8" l="1"/>
  <c r="AI1498" i="8"/>
  <c r="AI1396" i="8"/>
  <c r="AI1447" i="8"/>
  <c r="E51" i="9"/>
  <c r="G51" i="9"/>
  <c r="F51" i="9" s="1"/>
  <c r="L1448" i="8"/>
  <c r="AD1448" i="8" s="1"/>
  <c r="L1499" i="8"/>
  <c r="AD1499" i="8" s="1"/>
  <c r="L1397" i="8"/>
  <c r="AD1397" i="8" s="1"/>
  <c r="E6" i="8"/>
  <c r="I52" i="9"/>
  <c r="E1499" i="8"/>
  <c r="E1448" i="8"/>
  <c r="E1397" i="8"/>
  <c r="Z7" i="8"/>
  <c r="Z1228" i="8"/>
  <c r="A1397" i="8"/>
  <c r="M1398" i="8"/>
  <c r="AH1398" i="8"/>
  <c r="AG1398" i="8"/>
  <c r="K1398" i="8"/>
  <c r="F1398" i="8" s="1"/>
  <c r="G1398" i="8"/>
  <c r="B1398" i="8" s="1"/>
  <c r="I1399" i="8"/>
  <c r="AF1398" i="8"/>
  <c r="AA1398" i="8" s="1"/>
  <c r="M1500" i="8"/>
  <c r="K1449" i="8"/>
  <c r="F1449" i="8" s="1"/>
  <c r="AH1449" i="8"/>
  <c r="AF1449" i="8"/>
  <c r="AA1449" i="8" s="1"/>
  <c r="I1450" i="8"/>
  <c r="G1449" i="8"/>
  <c r="B1449" i="8" s="1"/>
  <c r="AG1449" i="8"/>
  <c r="M1449" i="8"/>
  <c r="G1500" i="8"/>
  <c r="B1500" i="8" s="1"/>
  <c r="K1500" i="8"/>
  <c r="F1500" i="8" s="1"/>
  <c r="I1501" i="8"/>
  <c r="A1448" i="8"/>
  <c r="AF1500" i="8"/>
  <c r="AA1500" i="8" s="1"/>
  <c r="AH1500" i="8"/>
  <c r="AG1500" i="8"/>
  <c r="A1499" i="8"/>
  <c r="M1228" i="8"/>
  <c r="AH7" i="8"/>
  <c r="AH1228" i="8"/>
  <c r="B6" i="8"/>
  <c r="A1227" i="8"/>
  <c r="I1229" i="8"/>
  <c r="AG1228" i="8"/>
  <c r="G1228" i="8"/>
  <c r="B1228" i="8" s="1"/>
  <c r="AF1228" i="8"/>
  <c r="AA1228" i="8" s="1"/>
  <c r="AG7" i="8"/>
  <c r="AF7" i="8"/>
  <c r="AA7" i="8" s="1"/>
  <c r="A6" i="8"/>
  <c r="G7" i="8"/>
  <c r="I8" i="8"/>
  <c r="M8" i="8" l="1"/>
  <c r="AI1448" i="8"/>
  <c r="AI1499" i="8"/>
  <c r="AI1397" i="8"/>
  <c r="E52" i="9"/>
  <c r="G52" i="9"/>
  <c r="F52" i="9" s="1"/>
  <c r="L1500" i="8"/>
  <c r="AD1500" i="8" s="1"/>
  <c r="L1449" i="8"/>
  <c r="AD1449" i="8" s="1"/>
  <c r="L1398" i="8"/>
  <c r="AD1398" i="8" s="1"/>
  <c r="E7" i="8"/>
  <c r="I53" i="9"/>
  <c r="E1398" i="8"/>
  <c r="E1449" i="8"/>
  <c r="E1228" i="8"/>
  <c r="E1500" i="8"/>
  <c r="Z8" i="8"/>
  <c r="Z1229" i="8"/>
  <c r="A1398" i="8"/>
  <c r="K1399" i="8"/>
  <c r="F1399" i="8" s="1"/>
  <c r="I1400" i="8"/>
  <c r="AG1399" i="8"/>
  <c r="AF1399" i="8"/>
  <c r="AA1399" i="8" s="1"/>
  <c r="AH1399" i="8"/>
  <c r="M1399" i="8"/>
  <c r="G1399" i="8"/>
  <c r="B1399" i="8" s="1"/>
  <c r="AH1501" i="8"/>
  <c r="AH1450" i="8"/>
  <c r="AG1450" i="8"/>
  <c r="I1451" i="8"/>
  <c r="I1502" i="8"/>
  <c r="AF1501" i="8"/>
  <c r="AA1501" i="8" s="1"/>
  <c r="AG1501" i="8"/>
  <c r="G1501" i="8"/>
  <c r="B1501" i="8" s="1"/>
  <c r="G1450" i="8"/>
  <c r="B1450" i="8" s="1"/>
  <c r="K1501" i="8"/>
  <c r="F1501" i="8" s="1"/>
  <c r="AF1450" i="8"/>
  <c r="AA1450" i="8" s="1"/>
  <c r="K1450" i="8"/>
  <c r="F1450" i="8" s="1"/>
  <c r="M1450" i="8"/>
  <c r="M1501" i="8"/>
  <c r="A1449" i="8"/>
  <c r="A1500" i="8"/>
  <c r="M1229" i="8"/>
  <c r="AH1229" i="8"/>
  <c r="AH8" i="8"/>
  <c r="B7" i="8"/>
  <c r="A1228" i="8"/>
  <c r="I1230" i="8"/>
  <c r="G1229" i="8"/>
  <c r="B1229" i="8" s="1"/>
  <c r="AG1229" i="8"/>
  <c r="AF1229" i="8"/>
  <c r="AA1229" i="8" s="1"/>
  <c r="AG8" i="8"/>
  <c r="A7" i="8"/>
  <c r="AF8" i="8"/>
  <c r="AA8" i="8" s="1"/>
  <c r="G8" i="8"/>
  <c r="I9" i="8"/>
  <c r="M9" i="8" l="1"/>
  <c r="AI1500" i="8"/>
  <c r="AI1228" i="8"/>
  <c r="AI1449" i="8"/>
  <c r="AI1398" i="8"/>
  <c r="G53" i="9"/>
  <c r="F53" i="9" s="1"/>
  <c r="E53" i="9"/>
  <c r="L1399" i="8"/>
  <c r="AD1399" i="8" s="1"/>
  <c r="L1450" i="8"/>
  <c r="AD1450" i="8" s="1"/>
  <c r="L1501" i="8"/>
  <c r="AD1501" i="8" s="1"/>
  <c r="E8" i="8"/>
  <c r="I54" i="9"/>
  <c r="E1450" i="8"/>
  <c r="E1501" i="8"/>
  <c r="E1229" i="8"/>
  <c r="E1399" i="8"/>
  <c r="Z9" i="8"/>
  <c r="Z1230" i="8"/>
  <c r="AH9" i="8"/>
  <c r="AF1400" i="8"/>
  <c r="AA1400" i="8" s="1"/>
  <c r="M1400" i="8"/>
  <c r="AH1400" i="8"/>
  <c r="G1400" i="8"/>
  <c r="B1400" i="8" s="1"/>
  <c r="I1401" i="8"/>
  <c r="AG1400" i="8"/>
  <c r="K1400" i="8"/>
  <c r="F1400" i="8" s="1"/>
  <c r="A1399" i="8"/>
  <c r="AH1502" i="8"/>
  <c r="I1452" i="8"/>
  <c r="M1451" i="8"/>
  <c r="K1451" i="8"/>
  <c r="F1451" i="8" s="1"/>
  <c r="AF1451" i="8"/>
  <c r="AA1451" i="8" s="1"/>
  <c r="AH1451" i="8"/>
  <c r="G1451" i="8"/>
  <c r="B1451" i="8" s="1"/>
  <c r="AG1451" i="8"/>
  <c r="AG1502" i="8"/>
  <c r="K1502" i="8"/>
  <c r="F1502" i="8" s="1"/>
  <c r="G1502" i="8"/>
  <c r="B1502" i="8" s="1"/>
  <c r="I1503" i="8"/>
  <c r="AF1502" i="8"/>
  <c r="AA1502" i="8" s="1"/>
  <c r="M1502" i="8"/>
  <c r="A1450" i="8"/>
  <c r="A1501" i="8"/>
  <c r="M1230" i="8"/>
  <c r="AH1230" i="8"/>
  <c r="B8" i="8"/>
  <c r="A1229" i="8"/>
  <c r="G1230" i="8"/>
  <c r="B1230" i="8" s="1"/>
  <c r="I1231" i="8"/>
  <c r="AG1230" i="8"/>
  <c r="AF1230" i="8"/>
  <c r="AA1230" i="8" s="1"/>
  <c r="AG9" i="8"/>
  <c r="A8" i="8"/>
  <c r="AF9" i="8"/>
  <c r="AA9" i="8" s="1"/>
  <c r="G9" i="8"/>
  <c r="I10" i="8"/>
  <c r="AN5" i="6"/>
  <c r="AJ5" i="6"/>
  <c r="AF5" i="6"/>
  <c r="AB5" i="6"/>
  <c r="X5" i="6"/>
  <c r="T5" i="6"/>
  <c r="P5" i="6"/>
  <c r="L5" i="6"/>
  <c r="H5" i="6"/>
  <c r="D5" i="6"/>
  <c r="J5" i="7"/>
  <c r="K5" i="7"/>
  <c r="L5" i="7"/>
  <c r="M5" i="7"/>
  <c r="N5" i="7"/>
  <c r="J4" i="7"/>
  <c r="K4" i="7"/>
  <c r="L4" i="7"/>
  <c r="M4" i="7"/>
  <c r="N4" i="7"/>
  <c r="I4" i="7"/>
  <c r="I5" i="7"/>
  <c r="M10" i="8" l="1"/>
  <c r="AI1450" i="8"/>
  <c r="AI1229" i="8"/>
  <c r="AI1501" i="8"/>
  <c r="AI1399" i="8"/>
  <c r="E54" i="9"/>
  <c r="G54" i="9"/>
  <c r="F54" i="9" s="1"/>
  <c r="L1502" i="8"/>
  <c r="AD1502" i="8" s="1"/>
  <c r="L1451" i="8"/>
  <c r="AD1451" i="8" s="1"/>
  <c r="L1400" i="8"/>
  <c r="AD1400" i="8" s="1"/>
  <c r="E9" i="8"/>
  <c r="I55" i="9"/>
  <c r="E1400" i="8"/>
  <c r="E1502" i="8"/>
  <c r="E1451" i="8"/>
  <c r="E1230" i="8"/>
  <c r="Z10" i="8"/>
  <c r="Z1231" i="8"/>
  <c r="M1401" i="8"/>
  <c r="AG1452" i="8"/>
  <c r="K1401" i="8"/>
  <c r="F1401" i="8" s="1"/>
  <c r="G1401" i="8"/>
  <c r="B1401" i="8" s="1"/>
  <c r="AH1401" i="8"/>
  <c r="A1400" i="8"/>
  <c r="AG1401" i="8"/>
  <c r="I1402" i="8"/>
  <c r="AF1401" i="8"/>
  <c r="AA1401" i="8" s="1"/>
  <c r="I1453" i="8"/>
  <c r="K1452" i="8"/>
  <c r="F1452" i="8" s="1"/>
  <c r="AH1452" i="8"/>
  <c r="AF1452" i="8"/>
  <c r="AA1452" i="8" s="1"/>
  <c r="M1452" i="8"/>
  <c r="G1452" i="8"/>
  <c r="B1452" i="8" s="1"/>
  <c r="AH1503" i="8"/>
  <c r="A1451" i="8"/>
  <c r="A1502" i="8"/>
  <c r="G1503" i="8"/>
  <c r="B1503" i="8" s="1"/>
  <c r="AG1503" i="8"/>
  <c r="AF1503" i="8"/>
  <c r="AA1503" i="8" s="1"/>
  <c r="I1504" i="8"/>
  <c r="K1503" i="8"/>
  <c r="F1503" i="8" s="1"/>
  <c r="M1503" i="8"/>
  <c r="M1231" i="8"/>
  <c r="AH10" i="8"/>
  <c r="AH1231" i="8"/>
  <c r="B9" i="8"/>
  <c r="A1230" i="8"/>
  <c r="I1232" i="8"/>
  <c r="G1231" i="8"/>
  <c r="B1231" i="8" s="1"/>
  <c r="AG1231" i="8"/>
  <c r="AF1231" i="8"/>
  <c r="AA1231" i="8" s="1"/>
  <c r="AG10" i="8"/>
  <c r="A9" i="8"/>
  <c r="AF10" i="8"/>
  <c r="AA10" i="8" s="1"/>
  <c r="G10" i="8"/>
  <c r="I11" i="8"/>
  <c r="M11" i="8" l="1"/>
  <c r="AI1451" i="8"/>
  <c r="AI1502" i="8"/>
  <c r="AI1400" i="8"/>
  <c r="AI1230" i="8"/>
  <c r="G55" i="9"/>
  <c r="F55" i="9" s="1"/>
  <c r="E55" i="9"/>
  <c r="L1401" i="8"/>
  <c r="AD1401" i="8" s="1"/>
  <c r="L1452" i="8"/>
  <c r="AD1452" i="8" s="1"/>
  <c r="L1503" i="8"/>
  <c r="AD1503" i="8" s="1"/>
  <c r="E10" i="8"/>
  <c r="I56" i="9"/>
  <c r="E1401" i="8"/>
  <c r="E1231" i="8"/>
  <c r="E1503" i="8"/>
  <c r="E1452" i="8"/>
  <c r="Z11" i="8"/>
  <c r="Z1232" i="8"/>
  <c r="G1402" i="8"/>
  <c r="B1402" i="8" s="1"/>
  <c r="AH1453" i="8"/>
  <c r="A1401" i="8"/>
  <c r="AG1402" i="8"/>
  <c r="K1402" i="8"/>
  <c r="F1402" i="8" s="1"/>
  <c r="AF1402" i="8"/>
  <c r="AA1402" i="8" s="1"/>
  <c r="I1403" i="8"/>
  <c r="AH1402" i="8"/>
  <c r="M1402" i="8"/>
  <c r="G1453" i="8"/>
  <c r="B1453" i="8" s="1"/>
  <c r="AG1453" i="8"/>
  <c r="AF1453" i="8"/>
  <c r="AA1453" i="8" s="1"/>
  <c r="I1454" i="8"/>
  <c r="K1453" i="8"/>
  <c r="F1453" i="8" s="1"/>
  <c r="M1453" i="8"/>
  <c r="A1452" i="8"/>
  <c r="AG1504" i="8"/>
  <c r="AH1504" i="8"/>
  <c r="AF1504" i="8"/>
  <c r="AA1504" i="8" s="1"/>
  <c r="G1504" i="8"/>
  <c r="B1504" i="8" s="1"/>
  <c r="A1503" i="8"/>
  <c r="K1504" i="8"/>
  <c r="F1504" i="8" s="1"/>
  <c r="M1504" i="8"/>
  <c r="I1505" i="8"/>
  <c r="M1232" i="8"/>
  <c r="AH1232" i="8"/>
  <c r="AH11" i="8"/>
  <c r="B10" i="8"/>
  <c r="AG1232" i="8"/>
  <c r="G1232" i="8"/>
  <c r="B1232" i="8" s="1"/>
  <c r="I1233" i="8"/>
  <c r="AF1232" i="8"/>
  <c r="AA1232" i="8" s="1"/>
  <c r="A1231" i="8"/>
  <c r="AG11" i="8"/>
  <c r="AF11" i="8"/>
  <c r="AA11" i="8" s="1"/>
  <c r="A10" i="8"/>
  <c r="G11" i="8"/>
  <c r="I12" i="8"/>
  <c r="O4" i="4"/>
  <c r="O5" i="4"/>
  <c r="O6" i="4"/>
  <c r="O7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8" i="4"/>
  <c r="O29" i="4"/>
  <c r="O3" i="4"/>
  <c r="M12" i="8" l="1"/>
  <c r="AI1231" i="8"/>
  <c r="AI1401" i="8"/>
  <c r="AI1452" i="8"/>
  <c r="AI1503" i="8"/>
  <c r="G56" i="9"/>
  <c r="F56" i="9" s="1"/>
  <c r="E56" i="9"/>
  <c r="K56" i="9" s="1"/>
  <c r="L56" i="9"/>
  <c r="L1504" i="8"/>
  <c r="AD1504" i="8" s="1"/>
  <c r="L1453" i="8"/>
  <c r="AD1453" i="8" s="1"/>
  <c r="L1402" i="8"/>
  <c r="AD1402" i="8" s="1"/>
  <c r="E11" i="8"/>
  <c r="I57" i="9"/>
  <c r="E1453" i="8"/>
  <c r="E1232" i="8"/>
  <c r="E1402" i="8"/>
  <c r="E1504" i="8"/>
  <c r="Z1233" i="8"/>
  <c r="Z12" i="8"/>
  <c r="A1402" i="8"/>
  <c r="M1403" i="8"/>
  <c r="AG1454" i="8"/>
  <c r="AG1403" i="8"/>
  <c r="AF1403" i="8"/>
  <c r="AA1403" i="8" s="1"/>
  <c r="K1403" i="8"/>
  <c r="F1403" i="8" s="1"/>
  <c r="I1455" i="8"/>
  <c r="AH1403" i="8"/>
  <c r="G1454" i="8"/>
  <c r="B1454" i="8" s="1"/>
  <c r="G1403" i="8"/>
  <c r="B1403" i="8" s="1"/>
  <c r="I1404" i="8"/>
  <c r="A1453" i="8"/>
  <c r="AF1454" i="8"/>
  <c r="AA1454" i="8" s="1"/>
  <c r="K1454" i="8"/>
  <c r="F1454" i="8" s="1"/>
  <c r="M1454" i="8"/>
  <c r="AH1454" i="8"/>
  <c r="M1505" i="8"/>
  <c r="A1504" i="8"/>
  <c r="I1506" i="8"/>
  <c r="AH1505" i="8"/>
  <c r="AG1505" i="8"/>
  <c r="AF1505" i="8"/>
  <c r="AA1505" i="8" s="1"/>
  <c r="K1505" i="8"/>
  <c r="F1505" i="8" s="1"/>
  <c r="G1505" i="8"/>
  <c r="B1505" i="8" s="1"/>
  <c r="M1233" i="8"/>
  <c r="AH1233" i="8"/>
  <c r="AH12" i="8"/>
  <c r="B11" i="8"/>
  <c r="A1232" i="8"/>
  <c r="I1234" i="8"/>
  <c r="AG1233" i="8"/>
  <c r="G1233" i="8"/>
  <c r="B1233" i="8" s="1"/>
  <c r="AF1233" i="8"/>
  <c r="AA1233" i="8" s="1"/>
  <c r="AG12" i="8"/>
  <c r="AF12" i="8"/>
  <c r="AA12" i="8" s="1"/>
  <c r="A11" i="8"/>
  <c r="G12" i="8"/>
  <c r="I13" i="8"/>
  <c r="M13" i="8" l="1"/>
  <c r="AI1232" i="8"/>
  <c r="AI1453" i="8"/>
  <c r="AI1504" i="8"/>
  <c r="AI1402" i="8"/>
  <c r="G57" i="9"/>
  <c r="F57" i="9" s="1"/>
  <c r="L57" i="9"/>
  <c r="E57" i="9"/>
  <c r="K57" i="9" s="1"/>
  <c r="L1505" i="8"/>
  <c r="AD1505" i="8" s="1"/>
  <c r="L1454" i="8"/>
  <c r="AD1454" i="8" s="1"/>
  <c r="L1403" i="8"/>
  <c r="AD1403" i="8" s="1"/>
  <c r="E12" i="8"/>
  <c r="I58" i="9"/>
  <c r="E1233" i="8"/>
  <c r="E1403" i="8"/>
  <c r="E1505" i="8"/>
  <c r="E1454" i="8"/>
  <c r="Z13" i="8"/>
  <c r="Z1234" i="8"/>
  <c r="M1455" i="8"/>
  <c r="AF1455" i="8"/>
  <c r="AA1455" i="8" s="1"/>
  <c r="K1455" i="8"/>
  <c r="F1455" i="8" s="1"/>
  <c r="AG1455" i="8"/>
  <c r="G1455" i="8"/>
  <c r="B1455" i="8" s="1"/>
  <c r="AG1404" i="8"/>
  <c r="G1404" i="8"/>
  <c r="B1404" i="8" s="1"/>
  <c r="A1403" i="8"/>
  <c r="A1454" i="8"/>
  <c r="AH1404" i="8"/>
  <c r="I1456" i="8"/>
  <c r="I1405" i="8"/>
  <c r="K1404" i="8"/>
  <c r="F1404" i="8" s="1"/>
  <c r="M1404" i="8"/>
  <c r="AF1404" i="8"/>
  <c r="AA1404" i="8" s="1"/>
  <c r="AH1455" i="8"/>
  <c r="G1506" i="8"/>
  <c r="B1506" i="8" s="1"/>
  <c r="I1507" i="8"/>
  <c r="AF1506" i="8"/>
  <c r="AA1506" i="8" s="1"/>
  <c r="AG1506" i="8"/>
  <c r="K1506" i="8"/>
  <c r="F1506" i="8" s="1"/>
  <c r="AH1506" i="8"/>
  <c r="M1506" i="8"/>
  <c r="A1505" i="8"/>
  <c r="M1234" i="8"/>
  <c r="AH13" i="8"/>
  <c r="AH1234" i="8"/>
  <c r="B12" i="8"/>
  <c r="I1073" i="8"/>
  <c r="A1233" i="8"/>
  <c r="I1235" i="8"/>
  <c r="AG1234" i="8"/>
  <c r="G1234" i="8"/>
  <c r="B1234" i="8" s="1"/>
  <c r="AF1234" i="8"/>
  <c r="AA1234" i="8" s="1"/>
  <c r="AG13" i="8"/>
  <c r="A12" i="8"/>
  <c r="AF13" i="8"/>
  <c r="AA13" i="8" s="1"/>
  <c r="G13" i="8"/>
  <c r="I14" i="8"/>
  <c r="M14" i="8" l="1"/>
  <c r="AI1233" i="8"/>
  <c r="AI1454" i="8"/>
  <c r="AI1505" i="8"/>
  <c r="AI1403" i="8"/>
  <c r="E58" i="9"/>
  <c r="K58" i="9" s="1"/>
  <c r="G58" i="9"/>
  <c r="F58" i="9" s="1"/>
  <c r="L1506" i="8"/>
  <c r="AD1506" i="8" s="1"/>
  <c r="L1404" i="8"/>
  <c r="AD1404" i="8" s="1"/>
  <c r="L1455" i="8"/>
  <c r="AD1455" i="8" s="1"/>
  <c r="E13" i="8"/>
  <c r="I59" i="9"/>
  <c r="E1455" i="8"/>
  <c r="E1234" i="8"/>
  <c r="E1404" i="8"/>
  <c r="E1506" i="8"/>
  <c r="Z1235" i="8"/>
  <c r="Z14" i="8"/>
  <c r="W1073" i="8"/>
  <c r="Z1073" i="8"/>
  <c r="X1073" i="8"/>
  <c r="AF1405" i="8"/>
  <c r="AA1405" i="8" s="1"/>
  <c r="A1455" i="8"/>
  <c r="AG1456" i="8"/>
  <c r="A1404" i="8"/>
  <c r="M1456" i="8"/>
  <c r="I1457" i="8"/>
  <c r="AF1456" i="8"/>
  <c r="AA1456" i="8" s="1"/>
  <c r="K1456" i="8"/>
  <c r="F1456" i="8" s="1"/>
  <c r="AH1456" i="8"/>
  <c r="G1456" i="8"/>
  <c r="B1456" i="8" s="1"/>
  <c r="K1405" i="8"/>
  <c r="F1405" i="8" s="1"/>
  <c r="AH1405" i="8"/>
  <c r="M1405" i="8"/>
  <c r="AG1405" i="8"/>
  <c r="I1406" i="8"/>
  <c r="G1405" i="8"/>
  <c r="B1405" i="8" s="1"/>
  <c r="A1506" i="8"/>
  <c r="AG1507" i="8"/>
  <c r="K1507" i="8"/>
  <c r="F1507" i="8" s="1"/>
  <c r="G1507" i="8"/>
  <c r="B1507" i="8" s="1"/>
  <c r="AF1507" i="8"/>
  <c r="AA1507" i="8" s="1"/>
  <c r="I1508" i="8"/>
  <c r="AH1507" i="8"/>
  <c r="M1507" i="8"/>
  <c r="M1235" i="8"/>
  <c r="M1073" i="8"/>
  <c r="AH1235" i="8"/>
  <c r="AH14" i="8"/>
  <c r="AH1073" i="8"/>
  <c r="B13" i="8"/>
  <c r="AG1073" i="8"/>
  <c r="I1074" i="8"/>
  <c r="G1073" i="8"/>
  <c r="AF1073" i="8"/>
  <c r="AA1073" i="8" s="1"/>
  <c r="I1236" i="8"/>
  <c r="AG1235" i="8"/>
  <c r="G1235" i="8"/>
  <c r="B1235" i="8" s="1"/>
  <c r="AF1235" i="8"/>
  <c r="AA1235" i="8" s="1"/>
  <c r="A1234" i="8"/>
  <c r="AG14" i="8"/>
  <c r="A13" i="8"/>
  <c r="AF14" i="8"/>
  <c r="AA14" i="8" s="1"/>
  <c r="G14" i="8"/>
  <c r="I15" i="8"/>
  <c r="M15" i="8" l="1"/>
  <c r="AI1234" i="8"/>
  <c r="AI1455" i="8"/>
  <c r="AI1506" i="8"/>
  <c r="AI1404" i="8"/>
  <c r="E59" i="9"/>
  <c r="K59" i="9" s="1"/>
  <c r="G59" i="9"/>
  <c r="F59" i="9" s="1"/>
  <c r="L1456" i="8"/>
  <c r="AD1456" i="8" s="1"/>
  <c r="L1507" i="8"/>
  <c r="AD1507" i="8" s="1"/>
  <c r="L1405" i="8"/>
  <c r="AD1405" i="8" s="1"/>
  <c r="E14" i="8"/>
  <c r="I60" i="9"/>
  <c r="E1507" i="8"/>
  <c r="E1235" i="8"/>
  <c r="E1405" i="8"/>
  <c r="E1456" i="8"/>
  <c r="Z1074" i="8"/>
  <c r="Z15" i="8"/>
  <c r="Z1236" i="8"/>
  <c r="AF1406" i="8"/>
  <c r="AA1406" i="8" s="1"/>
  <c r="AF1457" i="8"/>
  <c r="AA1457" i="8" s="1"/>
  <c r="AH1457" i="8"/>
  <c r="K1457" i="8"/>
  <c r="F1457" i="8" s="1"/>
  <c r="M1457" i="8"/>
  <c r="AG1457" i="8"/>
  <c r="I1458" i="8"/>
  <c r="G1457" i="8"/>
  <c r="B1457" i="8" s="1"/>
  <c r="AG1406" i="8"/>
  <c r="AH1406" i="8"/>
  <c r="A1456" i="8"/>
  <c r="K1406" i="8"/>
  <c r="F1406" i="8" s="1"/>
  <c r="I1407" i="8"/>
  <c r="M1406" i="8"/>
  <c r="G1406" i="8"/>
  <c r="B1406" i="8" s="1"/>
  <c r="A1405" i="8"/>
  <c r="A1507" i="8"/>
  <c r="AF1508" i="8"/>
  <c r="AA1508" i="8" s="1"/>
  <c r="AH1508" i="8"/>
  <c r="M1508" i="8"/>
  <c r="K1508" i="8"/>
  <c r="F1508" i="8" s="1"/>
  <c r="I1509" i="8"/>
  <c r="G1508" i="8"/>
  <c r="B1508" i="8" s="1"/>
  <c r="AG1508" i="8"/>
  <c r="M1236" i="8"/>
  <c r="M1074" i="8"/>
  <c r="AH15" i="8"/>
  <c r="AH1074" i="8"/>
  <c r="AH1236" i="8"/>
  <c r="B1073" i="8"/>
  <c r="B14" i="8"/>
  <c r="AF1074" i="8"/>
  <c r="AA1074" i="8" s="1"/>
  <c r="AG1074" i="8"/>
  <c r="G1074" i="8"/>
  <c r="I1075" i="8"/>
  <c r="A1073" i="8"/>
  <c r="G1236" i="8"/>
  <c r="B1236" i="8" s="1"/>
  <c r="I1237" i="8"/>
  <c r="AG1236" i="8"/>
  <c r="AF1236" i="8"/>
  <c r="AA1236" i="8" s="1"/>
  <c r="A1235" i="8"/>
  <c r="AG15" i="8"/>
  <c r="A14" i="8"/>
  <c r="AF15" i="8"/>
  <c r="AA15" i="8" s="1"/>
  <c r="G15" i="8"/>
  <c r="I16" i="8"/>
  <c r="M16" i="8" l="1"/>
  <c r="AI1507" i="8"/>
  <c r="AI1405" i="8"/>
  <c r="AI1235" i="8"/>
  <c r="AI1456" i="8"/>
  <c r="E60" i="9"/>
  <c r="K60" i="9" s="1"/>
  <c r="G60" i="9"/>
  <c r="F60" i="9" s="1"/>
  <c r="L1457" i="8"/>
  <c r="AD1457" i="8" s="1"/>
  <c r="L1406" i="8"/>
  <c r="AD1406" i="8" s="1"/>
  <c r="L1508" i="8"/>
  <c r="AD1508" i="8" s="1"/>
  <c r="E15" i="8"/>
  <c r="E1074" i="8"/>
  <c r="I61" i="9"/>
  <c r="E1457" i="8"/>
  <c r="E1508" i="8"/>
  <c r="E1406" i="8"/>
  <c r="E1236" i="8"/>
  <c r="Z1075" i="8"/>
  <c r="Z16" i="8"/>
  <c r="Z1237" i="8"/>
  <c r="M1407" i="8"/>
  <c r="K1458" i="8"/>
  <c r="F1458" i="8" s="1"/>
  <c r="AH1458" i="8"/>
  <c r="G1458" i="8"/>
  <c r="B1458" i="8" s="1"/>
  <c r="AG1458" i="8"/>
  <c r="A1457" i="8"/>
  <c r="AF1458" i="8"/>
  <c r="AA1458" i="8" s="1"/>
  <c r="I1459" i="8"/>
  <c r="M1458" i="8"/>
  <c r="G1407" i="8"/>
  <c r="B1407" i="8" s="1"/>
  <c r="AF1407" i="8"/>
  <c r="AA1407" i="8" s="1"/>
  <c r="K1407" i="8"/>
  <c r="F1407" i="8" s="1"/>
  <c r="AG1407" i="8"/>
  <c r="I1408" i="8"/>
  <c r="AH1407" i="8"/>
  <c r="A1406" i="8"/>
  <c r="K1509" i="8"/>
  <c r="F1509" i="8" s="1"/>
  <c r="AH1509" i="8"/>
  <c r="AG1509" i="8"/>
  <c r="AF1509" i="8"/>
  <c r="AA1509" i="8" s="1"/>
  <c r="G1509" i="8"/>
  <c r="B1509" i="8" s="1"/>
  <c r="I1510" i="8"/>
  <c r="M1509" i="8"/>
  <c r="A1508" i="8"/>
  <c r="M1237" i="8"/>
  <c r="M1075" i="8"/>
  <c r="AH1075" i="8"/>
  <c r="AH16" i="8"/>
  <c r="AH1237" i="8"/>
  <c r="B15" i="8"/>
  <c r="B1074" i="8"/>
  <c r="AF1075" i="8"/>
  <c r="AA1075" i="8" s="1"/>
  <c r="AG1075" i="8"/>
  <c r="G1075" i="8"/>
  <c r="I1076" i="8"/>
  <c r="A1074" i="8"/>
  <c r="A1236" i="8"/>
  <c r="I1238" i="8"/>
  <c r="G1237" i="8"/>
  <c r="B1237" i="8" s="1"/>
  <c r="AG1237" i="8"/>
  <c r="AF1237" i="8"/>
  <c r="AA1237" i="8" s="1"/>
  <c r="AG16" i="8"/>
  <c r="AF16" i="8"/>
  <c r="AA16" i="8" s="1"/>
  <c r="A15" i="8"/>
  <c r="G16" i="8"/>
  <c r="I17" i="8"/>
  <c r="M17" i="8" l="1"/>
  <c r="AI1236" i="8"/>
  <c r="AI1406" i="8"/>
  <c r="AI1508" i="8"/>
  <c r="AI1457" i="8"/>
  <c r="G61" i="9"/>
  <c r="F61" i="9" s="1"/>
  <c r="E61" i="9"/>
  <c r="K61" i="9" s="1"/>
  <c r="L1407" i="8"/>
  <c r="AD1407" i="8" s="1"/>
  <c r="L1509" i="8"/>
  <c r="AD1509" i="8" s="1"/>
  <c r="L1458" i="8"/>
  <c r="AD1458" i="8" s="1"/>
  <c r="E1073" i="8"/>
  <c r="E1227" i="8"/>
  <c r="K12" i="10"/>
  <c r="E1075" i="8"/>
  <c r="E16" i="8"/>
  <c r="I62" i="9"/>
  <c r="E1458" i="8"/>
  <c r="E1237" i="8"/>
  <c r="E1509" i="8"/>
  <c r="E1407" i="8"/>
  <c r="AI1074" i="8"/>
  <c r="Z1076" i="8"/>
  <c r="Z1238" i="8"/>
  <c r="Z17" i="8"/>
  <c r="AG1408" i="8"/>
  <c r="G1459" i="8"/>
  <c r="B1459" i="8" s="1"/>
  <c r="A1458" i="8"/>
  <c r="M1459" i="8"/>
  <c r="AF1459" i="8"/>
  <c r="AA1459" i="8" s="1"/>
  <c r="AG1459" i="8"/>
  <c r="K1459" i="8"/>
  <c r="F1459" i="8" s="1"/>
  <c r="AH1459" i="8"/>
  <c r="AF1408" i="8"/>
  <c r="AA1408" i="8" s="1"/>
  <c r="I1460" i="8"/>
  <c r="A1407" i="8"/>
  <c r="G1408" i="8"/>
  <c r="B1408" i="8" s="1"/>
  <c r="AH1408" i="8"/>
  <c r="K1408" i="8"/>
  <c r="F1408" i="8" s="1"/>
  <c r="M1408" i="8"/>
  <c r="I1409" i="8"/>
  <c r="AH1510" i="8"/>
  <c r="A1509" i="8"/>
  <c r="G1510" i="8"/>
  <c r="B1510" i="8" s="1"/>
  <c r="AF1510" i="8"/>
  <c r="AA1510" i="8" s="1"/>
  <c r="I1511" i="8"/>
  <c r="M1510" i="8"/>
  <c r="K1510" i="8"/>
  <c r="F1510" i="8" s="1"/>
  <c r="AG1510" i="8"/>
  <c r="M1076" i="8"/>
  <c r="M1238" i="8"/>
  <c r="AH17" i="8"/>
  <c r="AH1076" i="8"/>
  <c r="AH1238" i="8"/>
  <c r="B16" i="8"/>
  <c r="B1075" i="8"/>
  <c r="A1075" i="8"/>
  <c r="I1077" i="8"/>
  <c r="AG1076" i="8"/>
  <c r="AF1076" i="8"/>
  <c r="AA1076" i="8" s="1"/>
  <c r="G1076" i="8"/>
  <c r="A1237" i="8"/>
  <c r="AG1238" i="8"/>
  <c r="G1238" i="8"/>
  <c r="B1238" i="8" s="1"/>
  <c r="I1239" i="8"/>
  <c r="AF1238" i="8"/>
  <c r="AA1238" i="8" s="1"/>
  <c r="AG17" i="8"/>
  <c r="AF17" i="8"/>
  <c r="AA17" i="8" s="1"/>
  <c r="A16" i="8"/>
  <c r="G17" i="8"/>
  <c r="I18" i="8"/>
  <c r="M18" i="8" l="1"/>
  <c r="E1226" i="8"/>
  <c r="AI1509" i="8"/>
  <c r="AI1073" i="8"/>
  <c r="AI1237" i="8"/>
  <c r="AI1407" i="8"/>
  <c r="AI1458" i="8"/>
  <c r="G62" i="9"/>
  <c r="F62" i="9" s="1"/>
  <c r="E62" i="9"/>
  <c r="K62" i="9" s="1"/>
  <c r="L1459" i="8"/>
  <c r="AD1459" i="8" s="1"/>
  <c r="L1510" i="8"/>
  <c r="AD1510" i="8" s="1"/>
  <c r="L1408" i="8"/>
  <c r="AD1408" i="8" s="1"/>
  <c r="AI1075" i="8"/>
  <c r="AI1227" i="8"/>
  <c r="E17" i="8"/>
  <c r="E1076" i="8"/>
  <c r="I63" i="9"/>
  <c r="E1459" i="8"/>
  <c r="E1510" i="8"/>
  <c r="E1408" i="8"/>
  <c r="E1238" i="8"/>
  <c r="Z18" i="8"/>
  <c r="Z1077" i="8"/>
  <c r="Z1239" i="8"/>
  <c r="A1459" i="8"/>
  <c r="G1460" i="8"/>
  <c r="B1460" i="8" s="1"/>
  <c r="AH1409" i="8"/>
  <c r="M1460" i="8"/>
  <c r="K1460" i="8"/>
  <c r="F1460" i="8" s="1"/>
  <c r="AF1460" i="8"/>
  <c r="AA1460" i="8" s="1"/>
  <c r="I1461" i="8"/>
  <c r="AH1460" i="8"/>
  <c r="AG1460" i="8"/>
  <c r="A1408" i="8"/>
  <c r="K1409" i="8"/>
  <c r="F1409" i="8" s="1"/>
  <c r="AG1409" i="8"/>
  <c r="M1409" i="8"/>
  <c r="G1409" i="8"/>
  <c r="E1409" i="8" s="1"/>
  <c r="AF1409" i="8"/>
  <c r="AA1409" i="8" s="1"/>
  <c r="I1410" i="8"/>
  <c r="AG1511" i="8"/>
  <c r="G1511" i="8"/>
  <c r="B1511" i="8" s="1"/>
  <c r="AF1511" i="8"/>
  <c r="AA1511" i="8" s="1"/>
  <c r="A1510" i="8"/>
  <c r="M1511" i="8"/>
  <c r="AH1511" i="8"/>
  <c r="K1511" i="8"/>
  <c r="F1511" i="8" s="1"/>
  <c r="I1512" i="8"/>
  <c r="M1077" i="8"/>
  <c r="M1239" i="8"/>
  <c r="AH18" i="8"/>
  <c r="AH1239" i="8"/>
  <c r="AH1077" i="8"/>
  <c r="B17" i="8"/>
  <c r="B1076" i="8"/>
  <c r="AF1077" i="8"/>
  <c r="AA1077" i="8" s="1"/>
  <c r="AG1077" i="8"/>
  <c r="I1078" i="8"/>
  <c r="G1077" i="8"/>
  <c r="A1076" i="8"/>
  <c r="I1240" i="8"/>
  <c r="AG1239" i="8"/>
  <c r="G1239" i="8"/>
  <c r="B1239" i="8" s="1"/>
  <c r="AF1239" i="8"/>
  <c r="AA1239" i="8" s="1"/>
  <c r="A1238" i="8"/>
  <c r="AG18" i="8"/>
  <c r="AF18" i="8"/>
  <c r="AA18" i="8" s="1"/>
  <c r="A17" i="8"/>
  <c r="G18" i="8"/>
  <c r="I19" i="8"/>
  <c r="M19" i="8" l="1"/>
  <c r="AI1510" i="8"/>
  <c r="AI1459" i="8"/>
  <c r="AI1238" i="8"/>
  <c r="AI1408" i="8"/>
  <c r="AI1226" i="8"/>
  <c r="G63" i="9"/>
  <c r="F63" i="9" s="1"/>
  <c r="E63" i="9"/>
  <c r="L1511" i="8"/>
  <c r="AD1511" i="8" s="1"/>
  <c r="L1460" i="8"/>
  <c r="AD1460" i="8" s="1"/>
  <c r="L1409" i="8"/>
  <c r="AD1409" i="8" s="1"/>
  <c r="AI1076" i="8"/>
  <c r="E18" i="8"/>
  <c r="E1077" i="8"/>
  <c r="I64" i="9"/>
  <c r="E1239" i="8"/>
  <c r="E1511" i="8"/>
  <c r="E1460" i="8"/>
  <c r="AI1409" i="8"/>
  <c r="Z1078" i="8"/>
  <c r="Z19" i="8"/>
  <c r="Z1240" i="8"/>
  <c r="A1460" i="8"/>
  <c r="G1461" i="8"/>
  <c r="B1461" i="8" s="1"/>
  <c r="M1461" i="8"/>
  <c r="AF1461" i="8"/>
  <c r="AA1461" i="8" s="1"/>
  <c r="K1461" i="8"/>
  <c r="F1461" i="8" s="1"/>
  <c r="AG1461" i="8"/>
  <c r="I1462" i="8"/>
  <c r="AH1461" i="8"/>
  <c r="AH1410" i="8"/>
  <c r="AG1410" i="8"/>
  <c r="K1410" i="8"/>
  <c r="F1410" i="8" s="1"/>
  <c r="AF1410" i="8"/>
  <c r="AA1410" i="8" s="1"/>
  <c r="M1410" i="8"/>
  <c r="G1410" i="8"/>
  <c r="E1410" i="8" s="1"/>
  <c r="I1411" i="8"/>
  <c r="B1409" i="8"/>
  <c r="A1409" i="8"/>
  <c r="G1512" i="8"/>
  <c r="B1512" i="8" s="1"/>
  <c r="A1511" i="8"/>
  <c r="M1512" i="8"/>
  <c r="AG1512" i="8"/>
  <c r="AF1512" i="8"/>
  <c r="AA1512" i="8" s="1"/>
  <c r="I1513" i="8"/>
  <c r="K1512" i="8"/>
  <c r="F1512" i="8" s="1"/>
  <c r="AH1512" i="8"/>
  <c r="M1240" i="8"/>
  <c r="M1078" i="8"/>
  <c r="AH19" i="8"/>
  <c r="AH1078" i="8"/>
  <c r="AH1240" i="8"/>
  <c r="B18" i="8"/>
  <c r="B1077" i="8"/>
  <c r="AF1078" i="8"/>
  <c r="AA1078" i="8" s="1"/>
  <c r="G1078" i="8"/>
  <c r="I1079" i="8"/>
  <c r="AG1078" i="8"/>
  <c r="A1077" i="8"/>
  <c r="A1239" i="8"/>
  <c r="I1241" i="8"/>
  <c r="AG1240" i="8"/>
  <c r="G1240" i="8"/>
  <c r="B1240" i="8" s="1"/>
  <c r="AF1240" i="8"/>
  <c r="AA1240" i="8" s="1"/>
  <c r="AG19" i="8"/>
  <c r="A18" i="8"/>
  <c r="AF19" i="8"/>
  <c r="AA19" i="8" s="1"/>
  <c r="G19" i="8"/>
  <c r="I20" i="8"/>
  <c r="M20" i="8" l="1"/>
  <c r="AI1460" i="8"/>
  <c r="AI1511" i="8"/>
  <c r="AI1239" i="8"/>
  <c r="G64" i="9"/>
  <c r="F64" i="9" s="1"/>
  <c r="E64" i="9"/>
  <c r="L1512" i="8"/>
  <c r="AD1512" i="8" s="1"/>
  <c r="L1410" i="8"/>
  <c r="AD1410" i="8" s="1"/>
  <c r="L1461" i="8"/>
  <c r="AD1461" i="8" s="1"/>
  <c r="AI1077" i="8"/>
  <c r="E19" i="8"/>
  <c r="E1078" i="8"/>
  <c r="I65" i="9"/>
  <c r="E1512" i="8"/>
  <c r="E1240" i="8"/>
  <c r="E1461" i="8"/>
  <c r="AI1410" i="8"/>
  <c r="Z1079" i="8"/>
  <c r="Z1241" i="8"/>
  <c r="I1463" i="8"/>
  <c r="A1461" i="8"/>
  <c r="G1462" i="8"/>
  <c r="B1462" i="8" s="1"/>
  <c r="AH1462" i="8"/>
  <c r="AG1462" i="8"/>
  <c r="AF1462" i="8"/>
  <c r="AA1462" i="8" s="1"/>
  <c r="K1462" i="8"/>
  <c r="F1462" i="8" s="1"/>
  <c r="M1462" i="8"/>
  <c r="B1410" i="8"/>
  <c r="A1410" i="8"/>
  <c r="G1411" i="8"/>
  <c r="B1411" i="8" s="1"/>
  <c r="AG1411" i="8"/>
  <c r="I1412" i="8"/>
  <c r="AH1411" i="8"/>
  <c r="M1411" i="8"/>
  <c r="K1411" i="8"/>
  <c r="F1411" i="8" s="1"/>
  <c r="AF1411" i="8"/>
  <c r="AA1411" i="8" s="1"/>
  <c r="K1513" i="8"/>
  <c r="F1513" i="8" s="1"/>
  <c r="A1512" i="8"/>
  <c r="M1513" i="8"/>
  <c r="G1513" i="8"/>
  <c r="B1513" i="8" s="1"/>
  <c r="AF1513" i="8"/>
  <c r="AA1513" i="8" s="1"/>
  <c r="AG1513" i="8"/>
  <c r="I1514" i="8"/>
  <c r="AH1513" i="8"/>
  <c r="M1241" i="8"/>
  <c r="M1079" i="8"/>
  <c r="AH20" i="8"/>
  <c r="AH1079" i="8"/>
  <c r="AH1241" i="8"/>
  <c r="B19" i="8"/>
  <c r="B1078" i="8"/>
  <c r="A1078" i="8"/>
  <c r="I1080" i="8"/>
  <c r="G1079" i="8"/>
  <c r="AG1079" i="8"/>
  <c r="AF1079" i="8"/>
  <c r="AA1079" i="8" s="1"/>
  <c r="I1242" i="8"/>
  <c r="G1241" i="8"/>
  <c r="B1241" i="8" s="1"/>
  <c r="AG1241" i="8"/>
  <c r="AF1241" i="8"/>
  <c r="AA1241" i="8" s="1"/>
  <c r="A1240" i="8"/>
  <c r="AG20" i="8"/>
  <c r="A19" i="8"/>
  <c r="AF20" i="8"/>
  <c r="AA20" i="8" s="1"/>
  <c r="G20" i="8"/>
  <c r="I21" i="8"/>
  <c r="M21" i="8" l="1"/>
  <c r="AI1461" i="8"/>
  <c r="AI1240" i="8"/>
  <c r="AI1512" i="8"/>
  <c r="G65" i="9"/>
  <c r="F65" i="9" s="1"/>
  <c r="E65" i="9"/>
  <c r="L1513" i="8"/>
  <c r="AD1513" i="8" s="1"/>
  <c r="L1462" i="8"/>
  <c r="AD1462" i="8" s="1"/>
  <c r="AI1078" i="8"/>
  <c r="E1079" i="8"/>
  <c r="E20" i="8"/>
  <c r="I66" i="9"/>
  <c r="E1241" i="8"/>
  <c r="E1411" i="8"/>
  <c r="E1462" i="8"/>
  <c r="E1513" i="8"/>
  <c r="Z1080" i="8"/>
  <c r="Z1242" i="8"/>
  <c r="A1411" i="8"/>
  <c r="AG1463" i="8"/>
  <c r="K1463" i="8"/>
  <c r="F1463" i="8" s="1"/>
  <c r="AH1463" i="8"/>
  <c r="AF1463" i="8"/>
  <c r="AA1463" i="8" s="1"/>
  <c r="G1463" i="8"/>
  <c r="B1463" i="8" s="1"/>
  <c r="M1463" i="8"/>
  <c r="I1464" i="8"/>
  <c r="A1462" i="8"/>
  <c r="L1411" i="8"/>
  <c r="AD1411" i="8" s="1"/>
  <c r="M1412" i="8"/>
  <c r="K1412" i="8"/>
  <c r="F1412" i="8" s="1"/>
  <c r="AH1412" i="8"/>
  <c r="AF1412" i="8"/>
  <c r="AA1412" i="8" s="1"/>
  <c r="I1413" i="8"/>
  <c r="AG1412" i="8"/>
  <c r="G1412" i="8"/>
  <c r="E1412" i="8" s="1"/>
  <c r="I1515" i="8"/>
  <c r="AH1514" i="8"/>
  <c r="K1514" i="8"/>
  <c r="F1514" i="8" s="1"/>
  <c r="A1513" i="8"/>
  <c r="AF1514" i="8"/>
  <c r="AA1514" i="8" s="1"/>
  <c r="G1514" i="8"/>
  <c r="B1514" i="8" s="1"/>
  <c r="AG1514" i="8"/>
  <c r="M1514" i="8"/>
  <c r="M1242" i="8"/>
  <c r="M1080" i="8"/>
  <c r="AH21" i="8"/>
  <c r="AH1080" i="8"/>
  <c r="AH1242" i="8"/>
  <c r="B20" i="8"/>
  <c r="B1079" i="8"/>
  <c r="AF1080" i="8"/>
  <c r="AA1080" i="8" s="1"/>
  <c r="AG1080" i="8"/>
  <c r="G1080" i="8"/>
  <c r="I1081" i="8"/>
  <c r="A1079" i="8"/>
  <c r="G1242" i="8"/>
  <c r="B1242" i="8" s="1"/>
  <c r="I1243" i="8"/>
  <c r="AF1242" i="8"/>
  <c r="AA1242" i="8" s="1"/>
  <c r="AG1242" i="8"/>
  <c r="A1241" i="8"/>
  <c r="AG21" i="8"/>
  <c r="A20" i="8"/>
  <c r="AF21" i="8"/>
  <c r="AA21" i="8" s="1"/>
  <c r="G21" i="8"/>
  <c r="I22" i="8"/>
  <c r="M22" i="8" l="1"/>
  <c r="AI1241" i="8"/>
  <c r="AI1513" i="8"/>
  <c r="AI1462" i="8"/>
  <c r="AI1411" i="8"/>
  <c r="E66" i="9"/>
  <c r="G66" i="9"/>
  <c r="F66" i="9" s="1"/>
  <c r="AI1079" i="8"/>
  <c r="L1514" i="8"/>
  <c r="AD1514" i="8" s="1"/>
  <c r="L1412" i="8"/>
  <c r="AD1412" i="8" s="1"/>
  <c r="L1463" i="8"/>
  <c r="AD1463" i="8" s="1"/>
  <c r="E21" i="8"/>
  <c r="E1080" i="8"/>
  <c r="I67" i="9"/>
  <c r="E1463" i="8"/>
  <c r="E1242" i="8"/>
  <c r="E1514" i="8"/>
  <c r="AI1412" i="8"/>
  <c r="Z1081" i="8"/>
  <c r="Z1243" i="8"/>
  <c r="AF1464" i="8"/>
  <c r="AA1464" i="8" s="1"/>
  <c r="A1463" i="8"/>
  <c r="M1464" i="8"/>
  <c r="I1465" i="8"/>
  <c r="K1464" i="8"/>
  <c r="F1464" i="8" s="1"/>
  <c r="AH1464" i="8"/>
  <c r="AG1464" i="8"/>
  <c r="G1464" i="8"/>
  <c r="B1464" i="8" s="1"/>
  <c r="G1515" i="8"/>
  <c r="B1515" i="8" s="1"/>
  <c r="M1413" i="8"/>
  <c r="AG1413" i="8"/>
  <c r="I1414" i="8"/>
  <c r="AH1413" i="8"/>
  <c r="AF1413" i="8"/>
  <c r="AA1413" i="8" s="1"/>
  <c r="K1413" i="8"/>
  <c r="F1413" i="8" s="1"/>
  <c r="G1413" i="8"/>
  <c r="B1413" i="8" s="1"/>
  <c r="B1412" i="8"/>
  <c r="A1412" i="8"/>
  <c r="AF1515" i="8"/>
  <c r="AA1515" i="8" s="1"/>
  <c r="K1515" i="8"/>
  <c r="F1515" i="8" s="1"/>
  <c r="AH1515" i="8"/>
  <c r="I1516" i="8"/>
  <c r="M1515" i="8"/>
  <c r="AG1515" i="8"/>
  <c r="A1514" i="8"/>
  <c r="M1243" i="8"/>
  <c r="M1081" i="8"/>
  <c r="AH1081" i="8"/>
  <c r="AH22" i="8"/>
  <c r="AH1243" i="8"/>
  <c r="B21" i="8"/>
  <c r="B1080" i="8"/>
  <c r="AF1081" i="8"/>
  <c r="AA1081" i="8" s="1"/>
  <c r="I1082" i="8"/>
  <c r="AG1081" i="8"/>
  <c r="A1080" i="8"/>
  <c r="G1081" i="8"/>
  <c r="A1242" i="8"/>
  <c r="I1244" i="8"/>
  <c r="AG1243" i="8"/>
  <c r="G1243" i="8"/>
  <c r="B1243" i="8" s="1"/>
  <c r="AF1243" i="8"/>
  <c r="AA1243" i="8" s="1"/>
  <c r="AG22" i="8"/>
  <c r="A21" i="8"/>
  <c r="AF22" i="8"/>
  <c r="AA22" i="8" s="1"/>
  <c r="G22" i="8"/>
  <c r="I23" i="8"/>
  <c r="M23" i="8" l="1"/>
  <c r="AI1080" i="8"/>
  <c r="AI1514" i="8"/>
  <c r="AI1242" i="8"/>
  <c r="AI1463" i="8"/>
  <c r="E67" i="9"/>
  <c r="G67" i="9"/>
  <c r="F67" i="9" s="1"/>
  <c r="L1464" i="8"/>
  <c r="AD1464" i="8" s="1"/>
  <c r="L1515" i="8"/>
  <c r="AD1515" i="8" s="1"/>
  <c r="E1081" i="8"/>
  <c r="E22" i="8"/>
  <c r="I68" i="9"/>
  <c r="E1243" i="8"/>
  <c r="E1464" i="8"/>
  <c r="E1515" i="8"/>
  <c r="E1413" i="8"/>
  <c r="Z1082" i="8"/>
  <c r="M1465" i="8"/>
  <c r="I1466" i="8"/>
  <c r="AG1465" i="8"/>
  <c r="AF1465" i="8"/>
  <c r="AA1465" i="8" s="1"/>
  <c r="AH1465" i="8"/>
  <c r="K1465" i="8"/>
  <c r="F1465" i="8" s="1"/>
  <c r="G1465" i="8"/>
  <c r="B1465" i="8" s="1"/>
  <c r="A1515" i="8"/>
  <c r="A1464" i="8"/>
  <c r="AH1516" i="8"/>
  <c r="M1516" i="8"/>
  <c r="I1517" i="8"/>
  <c r="L1413" i="8"/>
  <c r="AD1413" i="8" s="1"/>
  <c r="M1414" i="8"/>
  <c r="AF1414" i="8"/>
  <c r="AA1414" i="8" s="1"/>
  <c r="K1414" i="8"/>
  <c r="F1414" i="8" s="1"/>
  <c r="AH1414" i="8"/>
  <c r="G1414" i="8"/>
  <c r="E1414" i="8" s="1"/>
  <c r="AG1414" i="8"/>
  <c r="I1415" i="8"/>
  <c r="A1413" i="8"/>
  <c r="AF1516" i="8"/>
  <c r="AA1516" i="8" s="1"/>
  <c r="G1516" i="8"/>
  <c r="B1516" i="8" s="1"/>
  <c r="AG1516" i="8"/>
  <c r="K1516" i="8"/>
  <c r="F1516" i="8" s="1"/>
  <c r="M1244" i="8"/>
  <c r="M1082" i="8"/>
  <c r="AH23" i="8"/>
  <c r="AH1244" i="8"/>
  <c r="AH1082" i="8"/>
  <c r="B1081" i="8"/>
  <c r="B22" i="8"/>
  <c r="G1082" i="8"/>
  <c r="I1083" i="8"/>
  <c r="AF1082" i="8"/>
  <c r="AA1082" i="8" s="1"/>
  <c r="AG1082" i="8"/>
  <c r="A1081" i="8"/>
  <c r="A1243" i="8"/>
  <c r="I1245" i="8"/>
  <c r="AG1244" i="8"/>
  <c r="G1244" i="8"/>
  <c r="B1244" i="8" s="1"/>
  <c r="AF1244" i="8"/>
  <c r="AA1244" i="8" s="1"/>
  <c r="AG23" i="8"/>
  <c r="AF23" i="8"/>
  <c r="AA23" i="8" s="1"/>
  <c r="A22" i="8"/>
  <c r="G23" i="8"/>
  <c r="I24" i="8"/>
  <c r="M24" i="8" l="1"/>
  <c r="AI1515" i="8"/>
  <c r="AI1413" i="8"/>
  <c r="AI1464" i="8"/>
  <c r="AI1243" i="8"/>
  <c r="E68" i="9"/>
  <c r="G68" i="9"/>
  <c r="F68" i="9" s="1"/>
  <c r="AI1081" i="8"/>
  <c r="L1465" i="8"/>
  <c r="AD1465" i="8" s="1"/>
  <c r="L1516" i="8"/>
  <c r="AD1516" i="8" s="1"/>
  <c r="E23" i="8"/>
  <c r="E1082" i="8"/>
  <c r="I69" i="9"/>
  <c r="E1516" i="8"/>
  <c r="E1244" i="8"/>
  <c r="E1465" i="8"/>
  <c r="AI1414" i="8"/>
  <c r="Z1083" i="8"/>
  <c r="AF1466" i="8"/>
  <c r="AA1466" i="8" s="1"/>
  <c r="I1467" i="8"/>
  <c r="K1466" i="8"/>
  <c r="F1466" i="8" s="1"/>
  <c r="AH1466" i="8"/>
  <c r="M1466" i="8"/>
  <c r="AG1466" i="8"/>
  <c r="G1466" i="8"/>
  <c r="B1466" i="8" s="1"/>
  <c r="A1465" i="8"/>
  <c r="I1518" i="8"/>
  <c r="AF1517" i="8"/>
  <c r="AA1517" i="8" s="1"/>
  <c r="K1517" i="8"/>
  <c r="F1517" i="8" s="1"/>
  <c r="AH1517" i="8"/>
  <c r="AG1517" i="8"/>
  <c r="G1517" i="8"/>
  <c r="B1517" i="8" s="1"/>
  <c r="M1517" i="8"/>
  <c r="L1414" i="8"/>
  <c r="AD1414" i="8" s="1"/>
  <c r="B1414" i="8"/>
  <c r="A1414" i="8"/>
  <c r="I1416" i="8"/>
  <c r="K1415" i="8"/>
  <c r="F1415" i="8" s="1"/>
  <c r="M1415" i="8"/>
  <c r="AF1415" i="8"/>
  <c r="AA1415" i="8" s="1"/>
  <c r="AH1415" i="8"/>
  <c r="G1415" i="8"/>
  <c r="E1415" i="8" s="1"/>
  <c r="AG1415" i="8"/>
  <c r="A1516" i="8"/>
  <c r="M1245" i="8"/>
  <c r="M1083" i="8"/>
  <c r="AH1245" i="8"/>
  <c r="AH24" i="8"/>
  <c r="AH1083" i="8"/>
  <c r="B1082" i="8"/>
  <c r="B23" i="8"/>
  <c r="A1082" i="8"/>
  <c r="G1083" i="8"/>
  <c r="I1084" i="8"/>
  <c r="AF1083" i="8"/>
  <c r="AA1083" i="8" s="1"/>
  <c r="AG1083" i="8"/>
  <c r="I1246" i="8"/>
  <c r="G1245" i="8"/>
  <c r="B1245" i="8" s="1"/>
  <c r="AG1245" i="8"/>
  <c r="AF1245" i="8"/>
  <c r="AA1245" i="8" s="1"/>
  <c r="A1244" i="8"/>
  <c r="AG24" i="8"/>
  <c r="AF24" i="8"/>
  <c r="AA24" i="8" s="1"/>
  <c r="A23" i="8"/>
  <c r="G24" i="8"/>
  <c r="I25" i="8"/>
  <c r="M25" i="8" l="1"/>
  <c r="AI1465" i="8"/>
  <c r="AI1244" i="8"/>
  <c r="AI1516" i="8"/>
  <c r="G69" i="9"/>
  <c r="F69" i="9" s="1"/>
  <c r="E69" i="9"/>
  <c r="L1466" i="8"/>
  <c r="AD1466" i="8" s="1"/>
  <c r="L1517" i="8"/>
  <c r="AD1517" i="8" s="1"/>
  <c r="E24" i="8"/>
  <c r="AI1082" i="8"/>
  <c r="E1083" i="8"/>
  <c r="I70" i="9"/>
  <c r="E1517" i="8"/>
  <c r="E1245" i="8"/>
  <c r="E1466" i="8"/>
  <c r="AI1415" i="8"/>
  <c r="Z1084" i="8"/>
  <c r="K1467" i="8"/>
  <c r="F1467" i="8" s="1"/>
  <c r="AH1467" i="8"/>
  <c r="M1467" i="8"/>
  <c r="AG1467" i="8"/>
  <c r="I1468" i="8"/>
  <c r="A1466" i="8"/>
  <c r="G1467" i="8"/>
  <c r="B1467" i="8" s="1"/>
  <c r="AF1467" i="8"/>
  <c r="AA1467" i="8" s="1"/>
  <c r="K1518" i="8"/>
  <c r="F1518" i="8" s="1"/>
  <c r="G1518" i="8"/>
  <c r="B1518" i="8" s="1"/>
  <c r="I1519" i="8"/>
  <c r="M1518" i="8"/>
  <c r="AF1518" i="8"/>
  <c r="AA1518" i="8" s="1"/>
  <c r="AG1518" i="8"/>
  <c r="AH1518" i="8"/>
  <c r="A1517" i="8"/>
  <c r="AF1416" i="8"/>
  <c r="AA1416" i="8" s="1"/>
  <c r="M1416" i="8"/>
  <c r="AG1416" i="8"/>
  <c r="K1416" i="8"/>
  <c r="F1416" i="8" s="1"/>
  <c r="I1417" i="8"/>
  <c r="G1416" i="8"/>
  <c r="E1416" i="8" s="1"/>
  <c r="AH1416" i="8"/>
  <c r="B1415" i="8"/>
  <c r="A1415" i="8"/>
  <c r="L1415" i="8"/>
  <c r="AD1415" i="8" s="1"/>
  <c r="M1084" i="8"/>
  <c r="M1246" i="8"/>
  <c r="AH1246" i="8"/>
  <c r="AH25" i="8"/>
  <c r="AH1084" i="8"/>
  <c r="B24" i="8"/>
  <c r="B1083" i="8"/>
  <c r="I1085" i="8"/>
  <c r="G1084" i="8"/>
  <c r="A1083" i="8"/>
  <c r="AG1084" i="8"/>
  <c r="AF1084" i="8"/>
  <c r="AA1084" i="8" s="1"/>
  <c r="I1328" i="8"/>
  <c r="A1245" i="8"/>
  <c r="G1246" i="8"/>
  <c r="B1246" i="8" s="1"/>
  <c r="AG1246" i="8"/>
  <c r="I1247" i="8"/>
  <c r="AF1246" i="8"/>
  <c r="AA1246" i="8" s="1"/>
  <c r="AG25" i="8"/>
  <c r="A24" i="8"/>
  <c r="AF25" i="8"/>
  <c r="AA25" i="8" s="1"/>
  <c r="G25" i="8"/>
  <c r="I26" i="8"/>
  <c r="M26" i="8" l="1"/>
  <c r="AI1517" i="8"/>
  <c r="AI1466" i="8"/>
  <c r="AI1245" i="8"/>
  <c r="E70" i="9"/>
  <c r="G70" i="9"/>
  <c r="F70" i="9" s="1"/>
  <c r="AI1083" i="8"/>
  <c r="L1467" i="8"/>
  <c r="AD1467" i="8" s="1"/>
  <c r="L1518" i="8"/>
  <c r="AD1518" i="8" s="1"/>
  <c r="E25" i="8"/>
  <c r="E1084" i="8"/>
  <c r="I71" i="9"/>
  <c r="E1467" i="8"/>
  <c r="E1518" i="8"/>
  <c r="E1246" i="8"/>
  <c r="AI1416" i="8"/>
  <c r="Z1085" i="8"/>
  <c r="W1328" i="8"/>
  <c r="Z1328" i="8"/>
  <c r="X1328" i="8"/>
  <c r="G1519" i="8"/>
  <c r="B1519" i="8" s="1"/>
  <c r="G1468" i="8"/>
  <c r="B1468" i="8" s="1"/>
  <c r="AF1468" i="8"/>
  <c r="AA1468" i="8" s="1"/>
  <c r="AH1468" i="8"/>
  <c r="A1467" i="8"/>
  <c r="I1469" i="8"/>
  <c r="K1468" i="8"/>
  <c r="F1468" i="8" s="1"/>
  <c r="M1468" i="8"/>
  <c r="AG1468" i="8"/>
  <c r="AG1519" i="8"/>
  <c r="A1518" i="8"/>
  <c r="I1520" i="8"/>
  <c r="M1519" i="8"/>
  <c r="AF1519" i="8"/>
  <c r="AA1519" i="8" s="1"/>
  <c r="K1519" i="8"/>
  <c r="F1519" i="8" s="1"/>
  <c r="AH1519" i="8"/>
  <c r="L1416" i="8"/>
  <c r="AD1416" i="8" s="1"/>
  <c r="B1416" i="8"/>
  <c r="A1416" i="8"/>
  <c r="AG1417" i="8"/>
  <c r="M1417" i="8"/>
  <c r="AH1417" i="8"/>
  <c r="K1417" i="8"/>
  <c r="F1417" i="8" s="1"/>
  <c r="G1417" i="8"/>
  <c r="E1417" i="8" s="1"/>
  <c r="I1418" i="8"/>
  <c r="AF1417" i="8"/>
  <c r="AA1417" i="8" s="1"/>
  <c r="M1085" i="8"/>
  <c r="M1328" i="8"/>
  <c r="M1247" i="8"/>
  <c r="AH1085" i="8"/>
  <c r="AH26" i="8"/>
  <c r="AH1247" i="8"/>
  <c r="AH1328" i="8"/>
  <c r="B1084" i="8"/>
  <c r="B25" i="8"/>
  <c r="G1085" i="8"/>
  <c r="I1086" i="8"/>
  <c r="AF1085" i="8"/>
  <c r="AA1085" i="8" s="1"/>
  <c r="AG1085" i="8"/>
  <c r="A1084" i="8"/>
  <c r="I1329" i="8"/>
  <c r="AF1328" i="8"/>
  <c r="AA1328" i="8" s="1"/>
  <c r="AG1328" i="8"/>
  <c r="G1328" i="8"/>
  <c r="B1328" i="8" s="1"/>
  <c r="A1246" i="8"/>
  <c r="I1248" i="8"/>
  <c r="G1247" i="8"/>
  <c r="B1247" i="8" s="1"/>
  <c r="AG1247" i="8"/>
  <c r="AF1247" i="8"/>
  <c r="AA1247" i="8" s="1"/>
  <c r="AG26" i="8"/>
  <c r="A25" i="8"/>
  <c r="AF26" i="8"/>
  <c r="AA26" i="8" s="1"/>
  <c r="G26" i="8"/>
  <c r="I27" i="8"/>
  <c r="M27" i="8" l="1"/>
  <c r="AI1518" i="8"/>
  <c r="AI1467" i="8"/>
  <c r="AI1246" i="8"/>
  <c r="G71" i="9"/>
  <c r="F71" i="9" s="1"/>
  <c r="E71" i="9"/>
  <c r="L1519" i="8"/>
  <c r="AD1519" i="8" s="1"/>
  <c r="L1468" i="8"/>
  <c r="AD1468" i="8" s="1"/>
  <c r="AI1084" i="8"/>
  <c r="E1085" i="8"/>
  <c r="E26" i="8"/>
  <c r="I72" i="9"/>
  <c r="E1468" i="8"/>
  <c r="E1519" i="8"/>
  <c r="E1247" i="8"/>
  <c r="AI1417" i="8"/>
  <c r="Z1329" i="8"/>
  <c r="Z1086" i="8"/>
  <c r="I1470" i="8"/>
  <c r="A1519" i="8"/>
  <c r="A1468" i="8"/>
  <c r="K1469" i="8"/>
  <c r="F1469" i="8" s="1"/>
  <c r="M1469" i="8"/>
  <c r="G1469" i="8"/>
  <c r="B1469" i="8" s="1"/>
  <c r="AF1469" i="8"/>
  <c r="AA1469" i="8" s="1"/>
  <c r="AH1469" i="8"/>
  <c r="AG1469" i="8"/>
  <c r="I1521" i="8"/>
  <c r="K1520" i="8"/>
  <c r="F1520" i="8" s="1"/>
  <c r="AG1520" i="8"/>
  <c r="G1520" i="8"/>
  <c r="B1520" i="8" s="1"/>
  <c r="AF1520" i="8"/>
  <c r="AA1520" i="8" s="1"/>
  <c r="AH1520" i="8"/>
  <c r="M1520" i="8"/>
  <c r="K1418" i="8"/>
  <c r="F1418" i="8" s="1"/>
  <c r="AF1418" i="8"/>
  <c r="AA1418" i="8" s="1"/>
  <c r="I1419" i="8"/>
  <c r="M1418" i="8"/>
  <c r="G1418" i="8"/>
  <c r="E1418" i="8" s="1"/>
  <c r="AG1418" i="8"/>
  <c r="AH1418" i="8"/>
  <c r="B1417" i="8"/>
  <c r="A1417" i="8"/>
  <c r="L1417" i="8"/>
  <c r="AD1417" i="8" s="1"/>
  <c r="M1086" i="8"/>
  <c r="M1248" i="8"/>
  <c r="M1329" i="8"/>
  <c r="AH27" i="8"/>
  <c r="AH1248" i="8"/>
  <c r="AH1086" i="8"/>
  <c r="AH1329" i="8"/>
  <c r="B1085" i="8"/>
  <c r="B26" i="8"/>
  <c r="G1086" i="8"/>
  <c r="A1085" i="8"/>
  <c r="AF1086" i="8"/>
  <c r="AA1086" i="8" s="1"/>
  <c r="AG1086" i="8"/>
  <c r="I1087" i="8"/>
  <c r="AF1329" i="8"/>
  <c r="AA1329" i="8" s="1"/>
  <c r="I1330" i="8"/>
  <c r="G1329" i="8"/>
  <c r="B1329" i="8" s="1"/>
  <c r="AG1329" i="8"/>
  <c r="A1328" i="8"/>
  <c r="A1247" i="8"/>
  <c r="AG1248" i="8"/>
  <c r="G1248" i="8"/>
  <c r="B1248" i="8" s="1"/>
  <c r="I1249" i="8"/>
  <c r="AF1248" i="8"/>
  <c r="AA1248" i="8" s="1"/>
  <c r="AG27" i="8"/>
  <c r="AF27" i="8"/>
  <c r="AA27" i="8" s="1"/>
  <c r="A26" i="8"/>
  <c r="G27" i="8"/>
  <c r="I28" i="8"/>
  <c r="M28" i="8" l="1"/>
  <c r="AI1468" i="8"/>
  <c r="AI1247" i="8"/>
  <c r="AI1519" i="8"/>
  <c r="G72" i="9"/>
  <c r="F72" i="9" s="1"/>
  <c r="E72" i="9"/>
  <c r="AI1085" i="8"/>
  <c r="L1469" i="8"/>
  <c r="AD1469" i="8" s="1"/>
  <c r="L1520" i="8"/>
  <c r="AD1520" i="8" s="1"/>
  <c r="E27" i="8"/>
  <c r="E1086" i="8"/>
  <c r="I73" i="9"/>
  <c r="E1248" i="8"/>
  <c r="E1329" i="8"/>
  <c r="E1520" i="8"/>
  <c r="E1469" i="8"/>
  <c r="M1470" i="8"/>
  <c r="AI1418" i="8"/>
  <c r="Z1330" i="8"/>
  <c r="Z1087" i="8"/>
  <c r="AG1470" i="8"/>
  <c r="I1471" i="8"/>
  <c r="G1470" i="8"/>
  <c r="B1470" i="8" s="1"/>
  <c r="K1470" i="8"/>
  <c r="F1470" i="8" s="1"/>
  <c r="AH1470" i="8"/>
  <c r="AF1470" i="8"/>
  <c r="AA1470" i="8" s="1"/>
  <c r="A1469" i="8"/>
  <c r="G1521" i="8"/>
  <c r="B1521" i="8" s="1"/>
  <c r="AF1521" i="8"/>
  <c r="AA1521" i="8" s="1"/>
  <c r="I1522" i="8"/>
  <c r="K1521" i="8"/>
  <c r="F1521" i="8" s="1"/>
  <c r="AH1521" i="8"/>
  <c r="M1521" i="8"/>
  <c r="AG1521" i="8"/>
  <c r="A1520" i="8"/>
  <c r="B1418" i="8"/>
  <c r="A1418" i="8"/>
  <c r="K1419" i="8"/>
  <c r="F1419" i="8" s="1"/>
  <c r="AH1419" i="8"/>
  <c r="AF1419" i="8"/>
  <c r="AA1419" i="8" s="1"/>
  <c r="M1419" i="8"/>
  <c r="G1419" i="8"/>
  <c r="B1419" i="8" s="1"/>
  <c r="AG1419" i="8"/>
  <c r="I1420" i="8"/>
  <c r="L1418" i="8"/>
  <c r="AD1418" i="8" s="1"/>
  <c r="M1249" i="8"/>
  <c r="M1330" i="8"/>
  <c r="M1087" i="8"/>
  <c r="AH28" i="8"/>
  <c r="AH1249" i="8"/>
  <c r="AH1330" i="8"/>
  <c r="AH1087" i="8"/>
  <c r="B1086" i="8"/>
  <c r="B27" i="8"/>
  <c r="A1086" i="8"/>
  <c r="AG1087" i="8"/>
  <c r="I1088" i="8"/>
  <c r="AF1087" i="8"/>
  <c r="AA1087" i="8" s="1"/>
  <c r="G1087" i="8"/>
  <c r="A1329" i="8"/>
  <c r="K14" i="10" s="1"/>
  <c r="G1330" i="8"/>
  <c r="B1330" i="8" s="1"/>
  <c r="AG1330" i="8"/>
  <c r="I1331" i="8"/>
  <c r="AF1330" i="8"/>
  <c r="AA1330" i="8" s="1"/>
  <c r="A1248" i="8"/>
  <c r="I1250" i="8"/>
  <c r="AG1249" i="8"/>
  <c r="G1249" i="8"/>
  <c r="B1249" i="8" s="1"/>
  <c r="AF1249" i="8"/>
  <c r="AA1249" i="8" s="1"/>
  <c r="AG28" i="8"/>
  <c r="AF28" i="8"/>
  <c r="AA28" i="8" s="1"/>
  <c r="A27" i="8"/>
  <c r="G28" i="8"/>
  <c r="I29" i="8"/>
  <c r="L19" i="4"/>
  <c r="L20" i="4"/>
  <c r="L21" i="4"/>
  <c r="L22" i="4"/>
  <c r="L15" i="4"/>
  <c r="L16" i="4"/>
  <c r="L17" i="4"/>
  <c r="L29" i="4"/>
  <c r="L28" i="4"/>
  <c r="L23" i="4"/>
  <c r="L24" i="4"/>
  <c r="L25" i="4"/>
  <c r="L26" i="4"/>
  <c r="L27" i="4"/>
  <c r="L18" i="4"/>
  <c r="L13" i="4"/>
  <c r="L12" i="4"/>
  <c r="L10" i="4"/>
  <c r="L11" i="4"/>
  <c r="L9" i="4"/>
  <c r="L8" i="4"/>
  <c r="L5" i="4"/>
  <c r="L6" i="4"/>
  <c r="L4" i="4"/>
  <c r="L7" i="4"/>
  <c r="M29" i="8" l="1"/>
  <c r="AI1248" i="8"/>
  <c r="AI1469" i="8"/>
  <c r="AI1520" i="8"/>
  <c r="G73" i="9"/>
  <c r="F73" i="9" s="1"/>
  <c r="E73" i="9"/>
  <c r="L1470" i="8"/>
  <c r="AD1470" i="8" s="1"/>
  <c r="L1521" i="8"/>
  <c r="AD1521" i="8" s="1"/>
  <c r="L1419" i="8"/>
  <c r="AD1419" i="8" s="1"/>
  <c r="E28" i="8"/>
  <c r="AI1086" i="8"/>
  <c r="E1087" i="8"/>
  <c r="I74" i="9"/>
  <c r="E1521" i="8"/>
  <c r="E1249" i="8"/>
  <c r="E1419" i="8"/>
  <c r="E1330" i="8"/>
  <c r="E1431" i="8"/>
  <c r="E1380" i="8"/>
  <c r="E1482" i="8"/>
  <c r="E1328" i="8"/>
  <c r="E1470" i="8"/>
  <c r="AI1329" i="8"/>
  <c r="M27" i="4"/>
  <c r="AJ1230" i="8"/>
  <c r="AJ1238" i="8"/>
  <c r="AJ1246" i="8"/>
  <c r="AJ1254" i="8"/>
  <c r="AJ1262" i="8"/>
  <c r="AJ1270" i="8"/>
  <c r="AJ1232" i="8"/>
  <c r="AJ1248" i="8"/>
  <c r="AJ1264" i="8"/>
  <c r="AJ1233" i="8"/>
  <c r="AJ1249" i="8"/>
  <c r="AJ1265" i="8"/>
  <c r="AJ1228" i="8"/>
  <c r="AJ1252" i="8"/>
  <c r="AJ1276" i="8"/>
  <c r="AJ1245" i="8"/>
  <c r="AJ1269" i="8"/>
  <c r="AJ1231" i="8"/>
  <c r="AJ1239" i="8"/>
  <c r="AJ1247" i="8"/>
  <c r="AJ1255" i="8"/>
  <c r="AJ1263" i="8"/>
  <c r="AJ1271" i="8"/>
  <c r="AJ1240" i="8"/>
  <c r="AJ1256" i="8"/>
  <c r="AJ1272" i="8"/>
  <c r="AJ1241" i="8"/>
  <c r="AJ1257" i="8"/>
  <c r="AJ1273" i="8"/>
  <c r="AJ1244" i="8"/>
  <c r="AJ1268" i="8"/>
  <c r="AJ1229" i="8"/>
  <c r="AJ1253" i="8"/>
  <c r="AJ1226" i="8"/>
  <c r="AJ1234" i="8"/>
  <c r="AJ1242" i="8"/>
  <c r="AJ1250" i="8"/>
  <c r="AJ1258" i="8"/>
  <c r="AJ1266" i="8"/>
  <c r="AJ1274" i="8"/>
  <c r="AJ1227" i="8"/>
  <c r="AJ1235" i="8"/>
  <c r="AJ1243" i="8"/>
  <c r="AJ1251" i="8"/>
  <c r="AJ1259" i="8"/>
  <c r="AJ1267" i="8"/>
  <c r="AJ1275" i="8"/>
  <c r="AJ1236" i="8"/>
  <c r="AJ1260" i="8"/>
  <c r="AJ1237" i="8"/>
  <c r="AJ1261" i="8"/>
  <c r="M25" i="4"/>
  <c r="AJ1125" i="8"/>
  <c r="AJ1133" i="8"/>
  <c r="AJ1141" i="8"/>
  <c r="AJ1149" i="8"/>
  <c r="AJ1157" i="8"/>
  <c r="AJ1165" i="8"/>
  <c r="AJ1173" i="8"/>
  <c r="AJ1128" i="8"/>
  <c r="AJ1152" i="8"/>
  <c r="AJ1129" i="8"/>
  <c r="AJ1153" i="8"/>
  <c r="AJ1138" i="8"/>
  <c r="AJ1162" i="8"/>
  <c r="AJ1147" i="8"/>
  <c r="AJ1171" i="8"/>
  <c r="AJ1124" i="8"/>
  <c r="AJ1148" i="8"/>
  <c r="AJ1172" i="8"/>
  <c r="AJ1126" i="8"/>
  <c r="AJ1134" i="8"/>
  <c r="AJ1142" i="8"/>
  <c r="AJ1150" i="8"/>
  <c r="AJ1158" i="8"/>
  <c r="AJ1166" i="8"/>
  <c r="AJ1174" i="8"/>
  <c r="AJ1136" i="8"/>
  <c r="AJ1160" i="8"/>
  <c r="AJ1145" i="8"/>
  <c r="AJ1169" i="8"/>
  <c r="AJ1146" i="8"/>
  <c r="AJ1170" i="8"/>
  <c r="AJ1131" i="8"/>
  <c r="AJ1155" i="8"/>
  <c r="AJ1132" i="8"/>
  <c r="AJ1156" i="8"/>
  <c r="AJ1127" i="8"/>
  <c r="AJ1135" i="8"/>
  <c r="AJ1143" i="8"/>
  <c r="AJ1151" i="8"/>
  <c r="AJ1159" i="8"/>
  <c r="AJ1167" i="8"/>
  <c r="AJ1144" i="8"/>
  <c r="AJ1168" i="8"/>
  <c r="AJ1137" i="8"/>
  <c r="AJ1161" i="8"/>
  <c r="AJ1130" i="8"/>
  <c r="AJ1154" i="8"/>
  <c r="AJ1139" i="8"/>
  <c r="AJ1163" i="8"/>
  <c r="AJ1140" i="8"/>
  <c r="AJ1164" i="8"/>
  <c r="AJ416" i="8"/>
  <c r="AJ424" i="8"/>
  <c r="AJ432" i="8"/>
  <c r="AJ440" i="8"/>
  <c r="AJ448" i="8"/>
  <c r="AJ456" i="8"/>
  <c r="AJ417" i="8"/>
  <c r="AJ433" i="8"/>
  <c r="AJ449" i="8"/>
  <c r="AJ425" i="8"/>
  <c r="AJ441" i="8"/>
  <c r="AJ457" i="8"/>
  <c r="AJ412" i="8"/>
  <c r="AJ428" i="8"/>
  <c r="AJ444" i="8"/>
  <c r="AJ460" i="8"/>
  <c r="AJ421" i="8"/>
  <c r="AJ437" i="8"/>
  <c r="AJ453" i="8"/>
  <c r="AJ414" i="8"/>
  <c r="AJ422" i="8"/>
  <c r="AJ430" i="8"/>
  <c r="AJ438" i="8"/>
  <c r="AJ446" i="8"/>
  <c r="AJ454" i="8"/>
  <c r="AJ415" i="8"/>
  <c r="AJ423" i="8"/>
  <c r="AJ431" i="8"/>
  <c r="AJ439" i="8"/>
  <c r="AJ447" i="8"/>
  <c r="AJ455" i="8"/>
  <c r="AJ410" i="8"/>
  <c r="AJ418" i="8"/>
  <c r="AJ426" i="8"/>
  <c r="AJ434" i="8"/>
  <c r="AJ442" i="8"/>
  <c r="AJ450" i="8"/>
  <c r="AJ458" i="8"/>
  <c r="AJ411" i="8"/>
  <c r="AJ419" i="8"/>
  <c r="AJ427" i="8"/>
  <c r="AJ435" i="8"/>
  <c r="AJ443" i="8"/>
  <c r="AJ451" i="8"/>
  <c r="AJ459" i="8"/>
  <c r="AJ420" i="8"/>
  <c r="AJ436" i="8"/>
  <c r="AJ452" i="8"/>
  <c r="AJ413" i="8"/>
  <c r="AJ429" i="8"/>
  <c r="AJ445" i="8"/>
  <c r="Z1331" i="8"/>
  <c r="Z1088" i="8"/>
  <c r="AF1471" i="8"/>
  <c r="AA1471" i="8" s="1"/>
  <c r="G1471" i="8"/>
  <c r="B1471" i="8" s="1"/>
  <c r="A1470" i="8"/>
  <c r="AH1471" i="8"/>
  <c r="M1471" i="8"/>
  <c r="K1471" i="8"/>
  <c r="F1471" i="8" s="1"/>
  <c r="I1472" i="8"/>
  <c r="AG1471" i="8"/>
  <c r="AF1522" i="8"/>
  <c r="AA1522" i="8" s="1"/>
  <c r="A1521" i="8"/>
  <c r="I1523" i="8"/>
  <c r="AH1522" i="8"/>
  <c r="M1522" i="8"/>
  <c r="AG1522" i="8"/>
  <c r="K1522" i="8"/>
  <c r="F1522" i="8" s="1"/>
  <c r="G1522" i="8"/>
  <c r="B1522" i="8" s="1"/>
  <c r="AF1420" i="8"/>
  <c r="AA1420" i="8" s="1"/>
  <c r="AG1420" i="8"/>
  <c r="I1421" i="8"/>
  <c r="M1420" i="8"/>
  <c r="G1420" i="8"/>
  <c r="E1420" i="8" s="1"/>
  <c r="AH1420" i="8"/>
  <c r="K1420" i="8"/>
  <c r="F1420" i="8" s="1"/>
  <c r="A1419" i="8"/>
  <c r="M29" i="4"/>
  <c r="AJ1332" i="8"/>
  <c r="AJ1340" i="8"/>
  <c r="AJ1348" i="8"/>
  <c r="AJ1356" i="8"/>
  <c r="AJ1364" i="8"/>
  <c r="AJ1372" i="8"/>
  <c r="AJ1334" i="8"/>
  <c r="AJ1350" i="8"/>
  <c r="AJ1366" i="8"/>
  <c r="AJ1351" i="8"/>
  <c r="AJ1367" i="8"/>
  <c r="AJ1333" i="8"/>
  <c r="AJ1341" i="8"/>
  <c r="AJ1349" i="8"/>
  <c r="AJ1357" i="8"/>
  <c r="AJ1365" i="8"/>
  <c r="AJ1373" i="8"/>
  <c r="AJ1342" i="8"/>
  <c r="AJ1358" i="8"/>
  <c r="AJ1374" i="8"/>
  <c r="AJ1335" i="8"/>
  <c r="AJ1343" i="8"/>
  <c r="AJ1359" i="8"/>
  <c r="AJ1328" i="8"/>
  <c r="AJ1336" i="8"/>
  <c r="AJ1344" i="8"/>
  <c r="AJ1352" i="8"/>
  <c r="AJ1360" i="8"/>
  <c r="AJ1368" i="8"/>
  <c r="AJ1376" i="8"/>
  <c r="AJ1338" i="8"/>
  <c r="AJ1354" i="8"/>
  <c r="AJ1370" i="8"/>
  <c r="AJ1339" i="8"/>
  <c r="AJ1355" i="8"/>
  <c r="AJ1371" i="8"/>
  <c r="AJ1375" i="8"/>
  <c r="AJ1329" i="8"/>
  <c r="AJ1337" i="8"/>
  <c r="AJ1345" i="8"/>
  <c r="AJ1353" i="8"/>
  <c r="AJ1361" i="8"/>
  <c r="AJ1369" i="8"/>
  <c r="AJ1377" i="8"/>
  <c r="AJ1330" i="8"/>
  <c r="AJ1346" i="8"/>
  <c r="AJ1362" i="8"/>
  <c r="AJ1378" i="8"/>
  <c r="AJ1331" i="8"/>
  <c r="AJ1347" i="8"/>
  <c r="AJ1363" i="8"/>
  <c r="M1088" i="8"/>
  <c r="M1331" i="8"/>
  <c r="M1250" i="8"/>
  <c r="AH29" i="8"/>
  <c r="AH1088" i="8"/>
  <c r="AH1331" i="8"/>
  <c r="AH1250" i="8"/>
  <c r="B28" i="8"/>
  <c r="B1087" i="8"/>
  <c r="AF1088" i="8"/>
  <c r="AA1088" i="8" s="1"/>
  <c r="G1088" i="8"/>
  <c r="AG1088" i="8"/>
  <c r="A1330" i="8"/>
  <c r="I1089" i="8"/>
  <c r="A1087" i="8"/>
  <c r="G1331" i="8"/>
  <c r="B1331" i="8" s="1"/>
  <c r="AF1331" i="8"/>
  <c r="AA1331" i="8" s="1"/>
  <c r="AG1331" i="8"/>
  <c r="I1332" i="8"/>
  <c r="A1249" i="8"/>
  <c r="I1251" i="8"/>
  <c r="G1250" i="8"/>
  <c r="B1250" i="8" s="1"/>
  <c r="AG1250" i="8"/>
  <c r="AF1250" i="8"/>
  <c r="AA1250" i="8" s="1"/>
  <c r="T5" i="4"/>
  <c r="M5" i="4"/>
  <c r="T114" i="8" s="1"/>
  <c r="T27" i="4"/>
  <c r="M16" i="4"/>
  <c r="T16" i="4"/>
  <c r="T25" i="4"/>
  <c r="T22" i="4"/>
  <c r="M22" i="4"/>
  <c r="T10" i="4"/>
  <c r="M10" i="4"/>
  <c r="T23" i="4"/>
  <c r="T20" i="4"/>
  <c r="M20" i="4"/>
  <c r="T7" i="4"/>
  <c r="M7" i="4"/>
  <c r="T12" i="4"/>
  <c r="M12" i="4"/>
  <c r="T28" i="4"/>
  <c r="T19" i="4"/>
  <c r="M19" i="4"/>
  <c r="T8" i="4"/>
  <c r="M8" i="4"/>
  <c r="T26" i="4"/>
  <c r="T15" i="4"/>
  <c r="M15" i="4"/>
  <c r="T9" i="4"/>
  <c r="M9" i="4"/>
  <c r="T11" i="4"/>
  <c r="M11" i="4"/>
  <c r="T24" i="4"/>
  <c r="T21" i="4"/>
  <c r="M21" i="4"/>
  <c r="T4" i="4"/>
  <c r="M4" i="4"/>
  <c r="T100" i="8" s="1"/>
  <c r="T13" i="4"/>
  <c r="M13" i="4"/>
  <c r="T29" i="4"/>
  <c r="T3" i="4"/>
  <c r="T6" i="4"/>
  <c r="M6" i="4"/>
  <c r="T18" i="4"/>
  <c r="M18" i="4"/>
  <c r="T17" i="4"/>
  <c r="M17" i="4"/>
  <c r="AG29" i="8"/>
  <c r="A28" i="8"/>
  <c r="AF29" i="8"/>
  <c r="AA29" i="8" s="1"/>
  <c r="G29" i="8"/>
  <c r="S18" i="4"/>
  <c r="S8" i="4"/>
  <c r="S26" i="4"/>
  <c r="S15" i="4"/>
  <c r="S13" i="4"/>
  <c r="S24" i="4"/>
  <c r="S22" i="4"/>
  <c r="S27" i="4"/>
  <c r="S9" i="4"/>
  <c r="S25" i="4"/>
  <c r="S11" i="4"/>
  <c r="S10" i="4"/>
  <c r="S23" i="4"/>
  <c r="S21" i="4"/>
  <c r="S4" i="4"/>
  <c r="S29" i="4"/>
  <c r="S19" i="4"/>
  <c r="S6" i="4"/>
  <c r="S17" i="4"/>
  <c r="S3" i="4"/>
  <c r="S5" i="4"/>
  <c r="S16" i="4"/>
  <c r="S12" i="4"/>
  <c r="S28" i="4"/>
  <c r="S20" i="4"/>
  <c r="T365" i="8"/>
  <c r="S14" i="4"/>
  <c r="S7" i="4"/>
  <c r="I30" i="8"/>
  <c r="M30" i="8" l="1"/>
  <c r="AI1328" i="8"/>
  <c r="E1481" i="8"/>
  <c r="E1379" i="8"/>
  <c r="E1430" i="8"/>
  <c r="AI1330" i="8"/>
  <c r="AI1419" i="8"/>
  <c r="AI1249" i="8"/>
  <c r="AI1470" i="8"/>
  <c r="AI1521" i="8"/>
  <c r="E74" i="9"/>
  <c r="G74" i="9"/>
  <c r="F74" i="9" s="1"/>
  <c r="L1420" i="8"/>
  <c r="AD1420" i="8" s="1"/>
  <c r="L1522" i="8"/>
  <c r="AD1522" i="8" s="1"/>
  <c r="L1471" i="8"/>
  <c r="AD1471" i="8" s="1"/>
  <c r="E29" i="8"/>
  <c r="AI1087" i="8"/>
  <c r="E1088" i="8"/>
  <c r="I75" i="9"/>
  <c r="AI1482" i="8"/>
  <c r="AI1380" i="8"/>
  <c r="E1250" i="8"/>
  <c r="E1331" i="8"/>
  <c r="E1522" i="8"/>
  <c r="E1471" i="8"/>
  <c r="AI1431" i="8"/>
  <c r="AB1228" i="8"/>
  <c r="AB1232" i="8"/>
  <c r="AB1236" i="8"/>
  <c r="AB1240" i="8"/>
  <c r="AB1244" i="8"/>
  <c r="AB1248" i="8"/>
  <c r="AB1252" i="8"/>
  <c r="AB1256" i="8"/>
  <c r="AB1260" i="8"/>
  <c r="AB1264" i="8"/>
  <c r="AB1268" i="8"/>
  <c r="AB1272" i="8"/>
  <c r="AB1276" i="8"/>
  <c r="AB1233" i="8"/>
  <c r="AB1241" i="8"/>
  <c r="AB1249" i="8"/>
  <c r="AB1257" i="8"/>
  <c r="AB1265" i="8"/>
  <c r="AB1273" i="8"/>
  <c r="AB1227" i="8"/>
  <c r="AB1243" i="8"/>
  <c r="AB1259" i="8"/>
  <c r="AB1275" i="8"/>
  <c r="AB1229" i="8"/>
  <c r="AB1237" i="8"/>
  <c r="AB1245" i="8"/>
  <c r="AB1253" i="8"/>
  <c r="AB1261" i="8"/>
  <c r="AB1269" i="8"/>
  <c r="AB1251" i="8"/>
  <c r="AB1267" i="8"/>
  <c r="AB1231" i="8"/>
  <c r="AB1247" i="8"/>
  <c r="AB1263" i="8"/>
  <c r="AB1226" i="8"/>
  <c r="AB1230" i="8"/>
  <c r="AB1234" i="8"/>
  <c r="AB1238" i="8"/>
  <c r="AB1242" i="8"/>
  <c r="AB1246" i="8"/>
  <c r="AB1250" i="8"/>
  <c r="AB1254" i="8"/>
  <c r="AB1258" i="8"/>
  <c r="AB1262" i="8"/>
  <c r="AB1266" i="8"/>
  <c r="AB1270" i="8"/>
  <c r="AB1274" i="8"/>
  <c r="AB1235" i="8"/>
  <c r="AB1239" i="8"/>
  <c r="AB1255" i="8"/>
  <c r="AB1271" i="8"/>
  <c r="AB1127" i="8"/>
  <c r="AB1131" i="8"/>
  <c r="AB1135" i="8"/>
  <c r="AB1139" i="8"/>
  <c r="AB1143" i="8"/>
  <c r="AB1147" i="8"/>
  <c r="AB1151" i="8"/>
  <c r="AB1155" i="8"/>
  <c r="AB1159" i="8"/>
  <c r="AB1163" i="8"/>
  <c r="AB1167" i="8"/>
  <c r="AB1171" i="8"/>
  <c r="AB1125" i="8"/>
  <c r="AB1141" i="8"/>
  <c r="AB1157" i="8"/>
  <c r="AB1169" i="8"/>
  <c r="AB1134" i="8"/>
  <c r="AB1146" i="8"/>
  <c r="AB1158" i="8"/>
  <c r="AB1170" i="8"/>
  <c r="AB1124" i="8"/>
  <c r="AB1128" i="8"/>
  <c r="AB1132" i="8"/>
  <c r="AB1136" i="8"/>
  <c r="AB1140" i="8"/>
  <c r="AB1144" i="8"/>
  <c r="AB1148" i="8"/>
  <c r="AB1152" i="8"/>
  <c r="AB1156" i="8"/>
  <c r="AB1160" i="8"/>
  <c r="AB1164" i="8"/>
  <c r="AB1168" i="8"/>
  <c r="AB1172" i="8"/>
  <c r="AB1129" i="8"/>
  <c r="AB1133" i="8"/>
  <c r="AB1149" i="8"/>
  <c r="AB1161" i="8"/>
  <c r="AB1173" i="8"/>
  <c r="AB1126" i="8"/>
  <c r="AB1138" i="8"/>
  <c r="AB1150" i="8"/>
  <c r="AB1162" i="8"/>
  <c r="AB1174" i="8"/>
  <c r="AB1137" i="8"/>
  <c r="AB1145" i="8"/>
  <c r="AB1153" i="8"/>
  <c r="AB1165" i="8"/>
  <c r="AB1130" i="8"/>
  <c r="AB1142" i="8"/>
  <c r="AB1154" i="8"/>
  <c r="AB1166" i="8"/>
  <c r="AI1420" i="8"/>
  <c r="Z1332" i="8"/>
  <c r="Z1089" i="8"/>
  <c r="T93" i="8"/>
  <c r="T96" i="8"/>
  <c r="A1471" i="8"/>
  <c r="M1472" i="8"/>
  <c r="AH1523" i="8"/>
  <c r="AF1472" i="8"/>
  <c r="AA1472" i="8" s="1"/>
  <c r="AG1472" i="8"/>
  <c r="I1473" i="8"/>
  <c r="K1472" i="8"/>
  <c r="F1472" i="8" s="1"/>
  <c r="G1472" i="8"/>
  <c r="B1472" i="8" s="1"/>
  <c r="AH1472" i="8"/>
  <c r="M1523" i="8"/>
  <c r="AG1523" i="8"/>
  <c r="G1523" i="8"/>
  <c r="B1523" i="8" s="1"/>
  <c r="K1523" i="8"/>
  <c r="F1523" i="8" s="1"/>
  <c r="AF1523" i="8"/>
  <c r="AA1523" i="8" s="1"/>
  <c r="I1524" i="8"/>
  <c r="A1522" i="8"/>
  <c r="AF1421" i="8"/>
  <c r="AA1421" i="8" s="1"/>
  <c r="AH1421" i="8"/>
  <c r="I1422" i="8"/>
  <c r="M1421" i="8"/>
  <c r="AG1421" i="8"/>
  <c r="K1421" i="8"/>
  <c r="F1421" i="8" s="1"/>
  <c r="G1421" i="8"/>
  <c r="B1421" i="8" s="1"/>
  <c r="B1420" i="8"/>
  <c r="A1420" i="8"/>
  <c r="AB1338" i="8"/>
  <c r="AB1350" i="8"/>
  <c r="AB1362" i="8"/>
  <c r="AB1374" i="8"/>
  <c r="AB1340" i="8"/>
  <c r="AB1356" i="8"/>
  <c r="AB1372" i="8"/>
  <c r="AB1329" i="8"/>
  <c r="AB1333" i="8"/>
  <c r="AB1337" i="8"/>
  <c r="AB1341" i="8"/>
  <c r="AB1345" i="8"/>
  <c r="AB1349" i="8"/>
  <c r="AB1353" i="8"/>
  <c r="AB1357" i="8"/>
  <c r="AB1361" i="8"/>
  <c r="AB1365" i="8"/>
  <c r="AB1369" i="8"/>
  <c r="AB1373" i="8"/>
  <c r="AB1377" i="8"/>
  <c r="AB1330" i="8"/>
  <c r="AB1342" i="8"/>
  <c r="AB1358" i="8"/>
  <c r="AB1370" i="8"/>
  <c r="AB1332" i="8"/>
  <c r="AB1348" i="8"/>
  <c r="AB1364" i="8"/>
  <c r="AB1334" i="8"/>
  <c r="AB1346" i="8"/>
  <c r="AB1354" i="8"/>
  <c r="AB1366" i="8"/>
  <c r="AB1378" i="8"/>
  <c r="AB1328" i="8"/>
  <c r="AB1344" i="8"/>
  <c r="AB1360" i="8"/>
  <c r="AB1376" i="8"/>
  <c r="AB1331" i="8"/>
  <c r="AB1335" i="8"/>
  <c r="AB1339" i="8"/>
  <c r="AB1343" i="8"/>
  <c r="AB1347" i="8"/>
  <c r="AB1351" i="8"/>
  <c r="AB1355" i="8"/>
  <c r="AB1359" i="8"/>
  <c r="AB1363" i="8"/>
  <c r="AB1367" i="8"/>
  <c r="AB1371" i="8"/>
  <c r="AB1375" i="8"/>
  <c r="AB1336" i="8"/>
  <c r="AB1352" i="8"/>
  <c r="AB1368" i="8"/>
  <c r="M1332" i="8"/>
  <c r="M1251" i="8"/>
  <c r="M1089" i="8"/>
  <c r="AH1332" i="8"/>
  <c r="AH30" i="8"/>
  <c r="AH1251" i="8"/>
  <c r="AH1089" i="8"/>
  <c r="L29" i="8"/>
  <c r="T394" i="8"/>
  <c r="L1249" i="8"/>
  <c r="T125" i="8"/>
  <c r="T95" i="8"/>
  <c r="T189" i="8"/>
  <c r="T353" i="8"/>
  <c r="T213" i="8"/>
  <c r="T26" i="8"/>
  <c r="T339" i="8"/>
  <c r="T276" i="8"/>
  <c r="B29" i="8"/>
  <c r="B1088" i="8"/>
  <c r="T99" i="8"/>
  <c r="T108" i="8"/>
  <c r="T110" i="8"/>
  <c r="T103" i="8"/>
  <c r="T89" i="8"/>
  <c r="T109" i="8"/>
  <c r="T112" i="8"/>
  <c r="T290" i="8"/>
  <c r="T91" i="8"/>
  <c r="T92" i="8"/>
  <c r="T111" i="8"/>
  <c r="T376" i="8"/>
  <c r="T185" i="8"/>
  <c r="T177" i="8"/>
  <c r="T212" i="8"/>
  <c r="T192" i="8"/>
  <c r="T69" i="8"/>
  <c r="T193" i="8"/>
  <c r="T102" i="8"/>
  <c r="T97" i="8"/>
  <c r="T101" i="8"/>
  <c r="T184" i="8"/>
  <c r="T84" i="8"/>
  <c r="T88" i="8"/>
  <c r="T87" i="8"/>
  <c r="T205" i="8"/>
  <c r="T105" i="8"/>
  <c r="T94" i="8"/>
  <c r="T147" i="8"/>
  <c r="T203" i="8"/>
  <c r="T106" i="8"/>
  <c r="T98" i="8"/>
  <c r="T387" i="8"/>
  <c r="I1333" i="8"/>
  <c r="AG1332" i="8"/>
  <c r="A1088" i="8"/>
  <c r="G1089" i="8"/>
  <c r="AF1089" i="8"/>
  <c r="AA1089" i="8" s="1"/>
  <c r="I1090" i="8"/>
  <c r="AG1089" i="8"/>
  <c r="A1331" i="8"/>
  <c r="G1332" i="8"/>
  <c r="B1332" i="8" s="1"/>
  <c r="AF1332" i="8"/>
  <c r="AA1332" i="8" s="1"/>
  <c r="T925" i="8"/>
  <c r="T782" i="8"/>
  <c r="T94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328" i="8"/>
  <c r="L1329" i="8"/>
  <c r="L1330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T1059" i="8"/>
  <c r="T1067" i="8"/>
  <c r="T1075" i="8"/>
  <c r="T1083" i="8"/>
  <c r="T1091" i="8"/>
  <c r="T1099" i="8"/>
  <c r="T1107" i="8"/>
  <c r="T1115" i="8"/>
  <c r="T1123" i="8"/>
  <c r="T1131" i="8"/>
  <c r="T1061" i="8"/>
  <c r="T1069" i="8"/>
  <c r="T1077" i="8"/>
  <c r="T1085" i="8"/>
  <c r="T1093" i="8"/>
  <c r="T1101" i="8"/>
  <c r="T1109" i="8"/>
  <c r="T1117" i="8"/>
  <c r="T1125" i="8"/>
  <c r="T1133" i="8"/>
  <c r="T1058" i="8"/>
  <c r="T1066" i="8"/>
  <c r="T1074" i="8"/>
  <c r="T1082" i="8"/>
  <c r="T1090" i="8"/>
  <c r="T1098" i="8"/>
  <c r="T1106" i="8"/>
  <c r="T1114" i="8"/>
  <c r="T1122" i="8"/>
  <c r="T1130" i="8"/>
  <c r="T1076" i="8"/>
  <c r="T1078" i="8"/>
  <c r="T1088" i="8"/>
  <c r="T1111" i="8"/>
  <c r="T1113" i="8"/>
  <c r="T1060" i="8"/>
  <c r="T1062" i="8"/>
  <c r="T1072" i="8"/>
  <c r="T1095" i="8"/>
  <c r="T1097" i="8"/>
  <c r="T1124" i="8"/>
  <c r="T1126" i="8"/>
  <c r="T1064" i="8"/>
  <c r="T1087" i="8"/>
  <c r="T1089" i="8"/>
  <c r="T1116" i="8"/>
  <c r="T1118" i="8"/>
  <c r="T1128" i="8"/>
  <c r="T1096" i="8"/>
  <c r="T1129" i="8"/>
  <c r="T1056" i="8"/>
  <c r="T1084" i="8"/>
  <c r="T1092" i="8"/>
  <c r="T1100" i="8"/>
  <c r="T1070" i="8"/>
  <c r="T1105" i="8"/>
  <c r="T1086" i="8"/>
  <c r="T1104" i="8"/>
  <c r="T1110" i="8"/>
  <c r="T1079" i="8"/>
  <c r="T1065" i="8"/>
  <c r="T1068" i="8"/>
  <c r="T1071" i="8"/>
  <c r="T1094" i="8"/>
  <c r="T1120" i="8"/>
  <c r="T1132" i="8"/>
  <c r="T1135" i="8"/>
  <c r="T1127" i="8"/>
  <c r="T1134" i="8"/>
  <c r="T1081" i="8"/>
  <c r="T1102" i="8"/>
  <c r="T1112" i="8"/>
  <c r="T1119" i="8"/>
  <c r="T1103" i="8"/>
  <c r="T1055" i="8"/>
  <c r="T1121" i="8"/>
  <c r="T1073" i="8"/>
  <c r="T1080" i="8"/>
  <c r="T1057" i="8"/>
  <c r="T1108" i="8"/>
  <c r="T1063" i="8"/>
  <c r="T984" i="8"/>
  <c r="T992" i="8"/>
  <c r="T1000" i="8"/>
  <c r="T1008" i="8"/>
  <c r="T1016" i="8"/>
  <c r="T1024" i="8"/>
  <c r="T1032" i="8"/>
  <c r="T1040" i="8"/>
  <c r="T1048" i="8"/>
  <c r="T986" i="8"/>
  <c r="T994" i="8"/>
  <c r="T1002" i="8"/>
  <c r="T1010" i="8"/>
  <c r="T1018" i="8"/>
  <c r="T1026" i="8"/>
  <c r="T1034" i="8"/>
  <c r="T1042" i="8"/>
  <c r="T1050" i="8"/>
  <c r="T983" i="8"/>
  <c r="T991" i="8"/>
  <c r="T999" i="8"/>
  <c r="T1007" i="8"/>
  <c r="T1015" i="8"/>
  <c r="T1023" i="8"/>
  <c r="T1031" i="8"/>
  <c r="T1039" i="8"/>
  <c r="T1047" i="8"/>
  <c r="T981" i="8"/>
  <c r="T1004" i="8"/>
  <c r="T1006" i="8"/>
  <c r="T1033" i="8"/>
  <c r="T1035" i="8"/>
  <c r="T1045" i="8"/>
  <c r="T988" i="8"/>
  <c r="T990" i="8"/>
  <c r="T1017" i="8"/>
  <c r="T1019" i="8"/>
  <c r="T1029" i="8"/>
  <c r="T1052" i="8"/>
  <c r="T1054" i="8"/>
  <c r="T980" i="8"/>
  <c r="T982" i="8"/>
  <c r="T1009" i="8"/>
  <c r="T1011" i="8"/>
  <c r="T1021" i="8"/>
  <c r="T1044" i="8"/>
  <c r="T1046" i="8"/>
  <c r="T979" i="8"/>
  <c r="T995" i="8"/>
  <c r="T1012" i="8"/>
  <c r="T1020" i="8"/>
  <c r="T1028" i="8"/>
  <c r="T985" i="8"/>
  <c r="T1005" i="8"/>
  <c r="T1043" i="8"/>
  <c r="T996" i="8"/>
  <c r="T1001" i="8"/>
  <c r="T1003" i="8"/>
  <c r="T1013" i="8"/>
  <c r="T1041" i="8"/>
  <c r="T1049" i="8"/>
  <c r="T1014" i="8"/>
  <c r="T1038" i="8"/>
  <c r="T1053" i="8"/>
  <c r="T987" i="8"/>
  <c r="T997" i="8"/>
  <c r="T998" i="8"/>
  <c r="T1027" i="8"/>
  <c r="T1030" i="8"/>
  <c r="T1037" i="8"/>
  <c r="T989" i="8"/>
  <c r="T1025" i="8"/>
  <c r="T1036" i="8"/>
  <c r="T993" i="8"/>
  <c r="T1022" i="8"/>
  <c r="T1051" i="8"/>
  <c r="T499" i="8"/>
  <c r="T1142" i="8"/>
  <c r="T1150" i="8"/>
  <c r="T1158" i="8"/>
  <c r="T1166" i="8"/>
  <c r="T1174" i="8"/>
  <c r="T1182" i="8"/>
  <c r="T1190" i="8"/>
  <c r="T1198" i="8"/>
  <c r="T1136" i="8"/>
  <c r="T1144" i="8"/>
  <c r="T1152" i="8"/>
  <c r="T1160" i="8"/>
  <c r="T1168" i="8"/>
  <c r="T1176" i="8"/>
  <c r="T1184" i="8"/>
  <c r="T1192" i="8"/>
  <c r="T1141" i="8"/>
  <c r="T1149" i="8"/>
  <c r="T1157" i="8"/>
  <c r="T1165" i="8"/>
  <c r="T1173" i="8"/>
  <c r="T1181" i="8"/>
  <c r="T1189" i="8"/>
  <c r="T1197" i="8"/>
  <c r="T1154" i="8"/>
  <c r="T1156" i="8"/>
  <c r="T1183" i="8"/>
  <c r="T1185" i="8"/>
  <c r="T1195" i="8"/>
  <c r="T1203" i="8"/>
  <c r="T1205" i="8"/>
  <c r="T1213" i="8"/>
  <c r="T1138" i="8"/>
  <c r="T1140" i="8"/>
  <c r="T1167" i="8"/>
  <c r="T1169" i="8"/>
  <c r="T1179" i="8"/>
  <c r="T1207" i="8"/>
  <c r="T1215" i="8"/>
  <c r="T1159" i="8"/>
  <c r="T1161" i="8"/>
  <c r="T1171" i="8"/>
  <c r="T1194" i="8"/>
  <c r="T1196" i="8"/>
  <c r="T1200" i="8"/>
  <c r="T1202" i="8"/>
  <c r="T1212" i="8"/>
  <c r="T1177" i="8"/>
  <c r="T1204" i="8"/>
  <c r="T1210" i="8"/>
  <c r="T1145" i="8"/>
  <c r="T1162" i="8"/>
  <c r="T1170" i="8"/>
  <c r="T1178" i="8"/>
  <c r="T1209" i="8"/>
  <c r="T1211" i="8"/>
  <c r="T1143" i="8"/>
  <c r="T1139" i="8"/>
  <c r="T1163" i="8"/>
  <c r="T1206" i="8"/>
  <c r="T1146" i="8"/>
  <c r="T1164" i="8"/>
  <c r="T1193" i="8"/>
  <c r="T1216" i="8"/>
  <c r="T1155" i="8"/>
  <c r="T1180" i="8"/>
  <c r="T1199" i="8"/>
  <c r="T1137" i="8"/>
  <c r="T1147" i="8"/>
  <c r="T1153" i="8"/>
  <c r="T1151" i="8"/>
  <c r="T1191" i="8"/>
  <c r="T1201" i="8"/>
  <c r="T1148" i="8"/>
  <c r="T1208" i="8"/>
  <c r="T1172" i="8"/>
  <c r="T1175" i="8"/>
  <c r="T1187" i="8"/>
  <c r="T1188" i="8"/>
  <c r="T1214" i="8"/>
  <c r="T1186" i="8"/>
  <c r="T818" i="8"/>
  <c r="T863" i="8"/>
  <c r="T552" i="8"/>
  <c r="T1224" i="8"/>
  <c r="T1232" i="8"/>
  <c r="K1232" i="8" s="1"/>
  <c r="T1240" i="8"/>
  <c r="K1240" i="8" s="1"/>
  <c r="AD1240" i="8" s="1"/>
  <c r="T1248" i="8"/>
  <c r="K1248" i="8" s="1"/>
  <c r="T1256" i="8"/>
  <c r="T1264" i="8"/>
  <c r="T1272" i="8"/>
  <c r="T1218" i="8"/>
  <c r="T1226" i="8"/>
  <c r="K1226" i="8" s="1"/>
  <c r="T1234" i="8"/>
  <c r="K1234" i="8" s="1"/>
  <c r="T1242" i="8"/>
  <c r="K1242" i="8" s="1"/>
  <c r="T1250" i="8"/>
  <c r="K1250" i="8" s="1"/>
  <c r="F1250" i="8" s="1"/>
  <c r="T1258" i="8"/>
  <c r="T1223" i="8"/>
  <c r="T1231" i="8"/>
  <c r="K1231" i="8" s="1"/>
  <c r="T1239" i="8"/>
  <c r="K1239" i="8" s="1"/>
  <c r="T1247" i="8"/>
  <c r="K1247" i="8" s="1"/>
  <c r="T1255" i="8"/>
  <c r="T1263" i="8"/>
  <c r="T1271" i="8"/>
  <c r="T1241" i="8"/>
  <c r="K1241" i="8" s="1"/>
  <c r="T1243" i="8"/>
  <c r="K1243" i="8" s="1"/>
  <c r="T1253" i="8"/>
  <c r="T1275" i="8"/>
  <c r="T1283" i="8"/>
  <c r="T1291" i="8"/>
  <c r="T1217" i="8"/>
  <c r="T1219" i="8"/>
  <c r="T1229" i="8"/>
  <c r="K1229" i="8" s="1"/>
  <c r="T1252" i="8"/>
  <c r="T1254" i="8"/>
  <c r="T1270" i="8"/>
  <c r="T1282" i="8"/>
  <c r="T1290" i="8"/>
  <c r="T1221" i="8"/>
  <c r="T1244" i="8"/>
  <c r="K1244" i="8" s="1"/>
  <c r="T1246" i="8"/>
  <c r="K1246" i="8" s="1"/>
  <c r="T1274" i="8"/>
  <c r="T1279" i="8"/>
  <c r="T1287" i="8"/>
  <c r="T1295" i="8"/>
  <c r="T1259" i="8"/>
  <c r="T1268" i="8"/>
  <c r="T1276" i="8"/>
  <c r="T1278" i="8"/>
  <c r="T1280" i="8"/>
  <c r="T1227" i="8"/>
  <c r="K1227" i="8" s="1"/>
  <c r="T1251" i="8"/>
  <c r="K1251" i="8" s="1"/>
  <c r="F1251" i="8" s="1"/>
  <c r="T1269" i="8"/>
  <c r="T1289" i="8"/>
  <c r="T1293" i="8"/>
  <c r="T1230" i="8"/>
  <c r="K1230" i="8" s="1"/>
  <c r="T1260" i="8"/>
  <c r="T1265" i="8"/>
  <c r="T1267" i="8"/>
  <c r="T1281" i="8"/>
  <c r="T1285" i="8"/>
  <c r="T1220" i="8"/>
  <c r="T1235" i="8"/>
  <c r="K1235" i="8" s="1"/>
  <c r="T1237" i="8"/>
  <c r="K1237" i="8" s="1"/>
  <c r="T1277" i="8"/>
  <c r="T1266" i="8"/>
  <c r="T1273" i="8"/>
  <c r="T1297" i="8"/>
  <c r="T1238" i="8"/>
  <c r="K1238" i="8" s="1"/>
  <c r="T1249" i="8"/>
  <c r="K1249" i="8" s="1"/>
  <c r="T1284" i="8"/>
  <c r="T1222" i="8"/>
  <c r="T1228" i="8"/>
  <c r="K1228" i="8" s="1"/>
  <c r="T1236" i="8"/>
  <c r="K1236" i="8" s="1"/>
  <c r="T1262" i="8"/>
  <c r="T1225" i="8"/>
  <c r="T1245" i="8"/>
  <c r="K1245" i="8" s="1"/>
  <c r="T1294" i="8"/>
  <c r="T1257" i="8"/>
  <c r="T1288" i="8"/>
  <c r="T1261" i="8"/>
  <c r="T1233" i="8"/>
  <c r="K1233" i="8" s="1"/>
  <c r="T1292" i="8"/>
  <c r="T1286" i="8"/>
  <c r="T1296" i="8"/>
  <c r="T1302" i="8"/>
  <c r="T1310" i="8"/>
  <c r="T1301" i="8"/>
  <c r="T1309" i="8"/>
  <c r="T1317" i="8"/>
  <c r="T1325" i="8"/>
  <c r="T1333" i="8"/>
  <c r="T1341" i="8"/>
  <c r="T1298" i="8"/>
  <c r="T1308" i="8"/>
  <c r="T1319" i="8"/>
  <c r="T1326" i="8"/>
  <c r="T1331" i="8"/>
  <c r="K1331" i="8" s="1"/>
  <c r="F1331" i="8" s="1"/>
  <c r="T1338" i="8"/>
  <c r="T1345" i="8"/>
  <c r="T1353" i="8"/>
  <c r="T1361" i="8"/>
  <c r="T1369" i="8"/>
  <c r="T1377" i="8"/>
  <c r="T1299" i="8"/>
  <c r="T1305" i="8"/>
  <c r="T1318" i="8"/>
  <c r="T1323" i="8"/>
  <c r="T1330" i="8"/>
  <c r="K1330" i="8" s="1"/>
  <c r="T1337" i="8"/>
  <c r="T1352" i="8"/>
  <c r="T1360" i="8"/>
  <c r="T1368" i="8"/>
  <c r="T1376" i="8"/>
  <c r="T1307" i="8"/>
  <c r="T1311" i="8"/>
  <c r="T1332" i="8"/>
  <c r="K1332" i="8" s="1"/>
  <c r="F1332" i="8" s="1"/>
  <c r="T1344" i="8"/>
  <c r="T1349" i="8"/>
  <c r="T1357" i="8"/>
  <c r="T1365" i="8"/>
  <c r="T1373" i="8"/>
  <c r="T1312" i="8"/>
  <c r="T1314" i="8"/>
  <c r="T1316" i="8"/>
  <c r="T1334" i="8"/>
  <c r="T1336" i="8"/>
  <c r="T1351" i="8"/>
  <c r="T1355" i="8"/>
  <c r="T1378" i="8"/>
  <c r="T1339" i="8"/>
  <c r="T1362" i="8"/>
  <c r="T1364" i="8"/>
  <c r="T1366" i="8"/>
  <c r="T1300" i="8"/>
  <c r="T1324" i="8"/>
  <c r="T1328" i="8"/>
  <c r="K1328" i="8" s="1"/>
  <c r="T1354" i="8"/>
  <c r="T1356" i="8"/>
  <c r="T1358" i="8"/>
  <c r="T1303" i="8"/>
  <c r="T1306" i="8"/>
  <c r="T1313" i="8"/>
  <c r="T1315" i="8"/>
  <c r="T1346" i="8"/>
  <c r="T1348" i="8"/>
  <c r="T1350" i="8"/>
  <c r="T1320" i="8"/>
  <c r="T1322" i="8"/>
  <c r="T1363" i="8"/>
  <c r="T1329" i="8"/>
  <c r="K1329" i="8" s="1"/>
  <c r="T1335" i="8"/>
  <c r="T1374" i="8"/>
  <c r="T1304" i="8"/>
  <c r="T1367" i="8"/>
  <c r="T1372" i="8"/>
  <c r="T1327" i="8"/>
  <c r="T1343" i="8"/>
  <c r="T1321" i="8"/>
  <c r="T1342" i="8"/>
  <c r="T1347" i="8"/>
  <c r="T1359" i="8"/>
  <c r="T1370" i="8"/>
  <c r="T1375" i="8"/>
  <c r="T1340" i="8"/>
  <c r="T1371" i="8"/>
  <c r="L1331" i="8"/>
  <c r="T688" i="8"/>
  <c r="T179" i="8"/>
  <c r="T190" i="8"/>
  <c r="T207" i="8"/>
  <c r="T204" i="8"/>
  <c r="T378" i="8"/>
  <c r="T449" i="8"/>
  <c r="T661" i="8"/>
  <c r="T437" i="8"/>
  <c r="T717" i="8"/>
  <c r="T223" i="8"/>
  <c r="T352" i="8"/>
  <c r="T225" i="8"/>
  <c r="T217" i="8"/>
  <c r="T199" i="8"/>
  <c r="T178" i="8"/>
  <c r="T388" i="8"/>
  <c r="T573" i="8"/>
  <c r="T473" i="8"/>
  <c r="T195" i="8"/>
  <c r="T181" i="8"/>
  <c r="T355" i="8"/>
  <c r="T206" i="8"/>
  <c r="T200" i="8"/>
  <c r="T198" i="8"/>
  <c r="T228" i="8"/>
  <c r="T592" i="8"/>
  <c r="T616" i="8"/>
  <c r="T790" i="8"/>
  <c r="L1250" i="8"/>
  <c r="I1252" i="8"/>
  <c r="AG1251" i="8"/>
  <c r="G1251" i="8"/>
  <c r="B1251" i="8" s="1"/>
  <c r="AF1251" i="8"/>
  <c r="AA1251" i="8" s="1"/>
  <c r="A1250" i="8"/>
  <c r="T393" i="8"/>
  <c r="T373" i="8"/>
  <c r="T392" i="8"/>
  <c r="T471" i="8"/>
  <c r="T396" i="8"/>
  <c r="T380" i="8"/>
  <c r="T363" i="8"/>
  <c r="T575" i="8"/>
  <c r="T357" i="8"/>
  <c r="T398" i="8"/>
  <c r="T539" i="8"/>
  <c r="T367" i="8"/>
  <c r="T354" i="8"/>
  <c r="T701" i="8"/>
  <c r="T680" i="8"/>
  <c r="T683" i="8"/>
  <c r="T679" i="8"/>
  <c r="T673" i="8"/>
  <c r="T694" i="8"/>
  <c r="T671" i="8"/>
  <c r="T700" i="8"/>
  <c r="T397" i="8"/>
  <c r="T364" i="8"/>
  <c r="T389" i="8"/>
  <c r="T692" i="8"/>
  <c r="T698" i="8"/>
  <c r="T693" i="8"/>
  <c r="T554" i="8"/>
  <c r="T675" i="8"/>
  <c r="T695" i="8"/>
  <c r="T684" i="8"/>
  <c r="T678" i="8"/>
  <c r="T690" i="8"/>
  <c r="T697" i="8"/>
  <c r="T699" i="8"/>
  <c r="T687" i="8"/>
  <c r="T681" i="8"/>
  <c r="T366" i="8"/>
  <c r="T390" i="8"/>
  <c r="T370" i="8"/>
  <c r="T691" i="8"/>
  <c r="T696" i="8"/>
  <c r="T576" i="8"/>
  <c r="T672" i="8"/>
  <c r="T544" i="8"/>
  <c r="T551" i="8"/>
  <c r="T379" i="8"/>
  <c r="T401" i="8"/>
  <c r="T399" i="8"/>
  <c r="T361" i="8"/>
  <c r="T686" i="8"/>
  <c r="T682" i="8"/>
  <c r="T676" i="8"/>
  <c r="T677" i="8"/>
  <c r="T574" i="8"/>
  <c r="T360" i="8"/>
  <c r="T400" i="8"/>
  <c r="T381" i="8"/>
  <c r="T386" i="8"/>
  <c r="T685" i="8"/>
  <c r="T674" i="8"/>
  <c r="T689" i="8"/>
  <c r="T542" i="8"/>
  <c r="T527" i="8"/>
  <c r="T670" i="8"/>
  <c r="T477" i="8"/>
  <c r="T468" i="8"/>
  <c r="T654" i="8"/>
  <c r="T474" i="8"/>
  <c r="T480" i="8"/>
  <c r="T543" i="8"/>
  <c r="T657" i="8"/>
  <c r="T492" i="8"/>
  <c r="T490" i="8"/>
  <c r="T488" i="8"/>
  <c r="T475" i="8"/>
  <c r="T493" i="8"/>
  <c r="T484" i="8"/>
  <c r="T495" i="8"/>
  <c r="T501" i="8"/>
  <c r="T540" i="8"/>
  <c r="T569" i="8"/>
  <c r="T511" i="8"/>
  <c r="T541" i="8"/>
  <c r="T855" i="8"/>
  <c r="T718" i="8"/>
  <c r="T817" i="8"/>
  <c r="T830" i="8"/>
  <c r="T775" i="8"/>
  <c r="T837" i="8"/>
  <c r="T722" i="8"/>
  <c r="T841" i="8"/>
  <c r="T778" i="8"/>
  <c r="T711" i="8"/>
  <c r="T774" i="8"/>
  <c r="T956" i="8"/>
  <c r="T819" i="8"/>
  <c r="T766" i="8"/>
  <c r="T931" i="8"/>
  <c r="T828" i="8"/>
  <c r="T804" i="8"/>
  <c r="T843" i="8"/>
  <c r="T761" i="8"/>
  <c r="T777" i="8"/>
  <c r="T966" i="8"/>
  <c r="T938" i="8"/>
  <c r="T842" i="8"/>
  <c r="T827" i="8"/>
  <c r="T754" i="8"/>
  <c r="T755" i="8"/>
  <c r="T770" i="8"/>
  <c r="T772" i="8"/>
  <c r="T973" i="8"/>
  <c r="T835" i="8"/>
  <c r="T845" i="8"/>
  <c r="T769" i="8"/>
  <c r="T758" i="8"/>
  <c r="T964" i="8"/>
  <c r="T816" i="8"/>
  <c r="T838" i="8"/>
  <c r="T765" i="8"/>
  <c r="T768" i="8"/>
  <c r="T872" i="8"/>
  <c r="T978" i="8"/>
  <c r="T840" i="8"/>
  <c r="T829" i="8"/>
  <c r="T779" i="8"/>
  <c r="T783" i="8"/>
  <c r="T514" i="8"/>
  <c r="T537" i="8"/>
  <c r="T570" i="8"/>
  <c r="T546" i="8"/>
  <c r="T508" i="8"/>
  <c r="T529" i="8"/>
  <c r="T509" i="8"/>
  <c r="T515" i="8"/>
  <c r="T510" i="8"/>
  <c r="T496" i="8"/>
  <c r="T519" i="8"/>
  <c r="T502" i="8"/>
  <c r="T563" i="8"/>
  <c r="T517" i="8"/>
  <c r="T505" i="8"/>
  <c r="T506" i="8"/>
  <c r="T564" i="8"/>
  <c r="T545" i="8"/>
  <c r="T298" i="8"/>
  <c r="T211" i="8"/>
  <c r="T227" i="8"/>
  <c r="T180" i="8"/>
  <c r="T219" i="8"/>
  <c r="T107" i="8"/>
  <c r="T90" i="8"/>
  <c r="T85" i="8"/>
  <c r="T218" i="8"/>
  <c r="T224" i="8"/>
  <c r="T216" i="8"/>
  <c r="T208" i="8"/>
  <c r="T86" i="8"/>
  <c r="T113" i="8"/>
  <c r="T104" i="8"/>
  <c r="T301" i="8"/>
  <c r="T715" i="8"/>
  <c r="T734" i="8"/>
  <c r="T713" i="8"/>
  <c r="T743" i="8"/>
  <c r="T730" i="8"/>
  <c r="T924" i="8"/>
  <c r="T742" i="8"/>
  <c r="T739" i="8"/>
  <c r="T705" i="8"/>
  <c r="T710" i="8"/>
  <c r="T720" i="8"/>
  <c r="T737" i="8"/>
  <c r="T736" i="8"/>
  <c r="T729" i="8"/>
  <c r="T971" i="8"/>
  <c r="T716" i="8"/>
  <c r="T702" i="8"/>
  <c r="T731" i="8"/>
  <c r="T707" i="8"/>
  <c r="T823" i="8"/>
  <c r="T831" i="8"/>
  <c r="T821" i="8"/>
  <c r="T822" i="8"/>
  <c r="T767" i="8"/>
  <c r="T771" i="8"/>
  <c r="T780" i="8"/>
  <c r="T776" i="8"/>
  <c r="T947" i="8"/>
  <c r="T850" i="8"/>
  <c r="T942" i="8"/>
  <c r="T959" i="8"/>
  <c r="T752" i="8"/>
  <c r="T732" i="8"/>
  <c r="T714" i="8"/>
  <c r="T727" i="8"/>
  <c r="T839" i="8"/>
  <c r="T820" i="8"/>
  <c r="T824" i="8"/>
  <c r="T834" i="8"/>
  <c r="T922" i="8"/>
  <c r="T763" i="8"/>
  <c r="T762" i="8"/>
  <c r="T764" i="8"/>
  <c r="T760" i="8"/>
  <c r="T871" i="8"/>
  <c r="T788" i="8"/>
  <c r="T951" i="8"/>
  <c r="T952" i="8"/>
  <c r="T726" i="8"/>
  <c r="T728" i="8"/>
  <c r="T747" i="8"/>
  <c r="T723" i="8"/>
  <c r="T832" i="8"/>
  <c r="T833" i="8"/>
  <c r="T815" i="8"/>
  <c r="T825" i="8"/>
  <c r="T911" i="8"/>
  <c r="T773" i="8"/>
  <c r="T759" i="8"/>
  <c r="T756" i="8"/>
  <c r="T805" i="8"/>
  <c r="T862" i="8"/>
  <c r="T974" i="8"/>
  <c r="T748" i="8"/>
  <c r="T738" i="8"/>
  <c r="T745" i="8"/>
  <c r="T721" i="8"/>
  <c r="T826" i="8"/>
  <c r="T844" i="8"/>
  <c r="T836" i="8"/>
  <c r="T909" i="8"/>
  <c r="T757" i="8"/>
  <c r="T781" i="8"/>
  <c r="T753" i="8"/>
  <c r="T789" i="8"/>
  <c r="T258" i="8"/>
  <c r="T229" i="8"/>
  <c r="T479" i="8"/>
  <c r="T466" i="8"/>
  <c r="T131" i="8"/>
  <c r="T588" i="8"/>
  <c r="T483" i="8"/>
  <c r="T470" i="8"/>
  <c r="T494" i="8"/>
  <c r="T489" i="8"/>
  <c r="T516" i="8"/>
  <c r="T512" i="8"/>
  <c r="T550" i="8"/>
  <c r="T572" i="8"/>
  <c r="T533" i="8"/>
  <c r="T568" i="8"/>
  <c r="T441" i="8"/>
  <c r="T118" i="8"/>
  <c r="T590" i="8"/>
  <c r="T482" i="8"/>
  <c r="T487" i="8"/>
  <c r="T485" i="8"/>
  <c r="T481" i="8"/>
  <c r="T507" i="8"/>
  <c r="T525" i="8"/>
  <c r="T622" i="8"/>
  <c r="T237" i="8"/>
  <c r="T478" i="8"/>
  <c r="T115" i="8"/>
  <c r="T595" i="8"/>
  <c r="T651" i="8"/>
  <c r="T123" i="8"/>
  <c r="T584" i="8"/>
  <c r="T640" i="8"/>
  <c r="T491" i="8"/>
  <c r="T469" i="8"/>
  <c r="T476" i="8"/>
  <c r="T465" i="8"/>
  <c r="T498" i="8"/>
  <c r="T520" i="8"/>
  <c r="T567" i="8"/>
  <c r="T548" i="8"/>
  <c r="T547" i="8"/>
  <c r="T528" i="8"/>
  <c r="T138" i="8"/>
  <c r="T130" i="8"/>
  <c r="T580" i="8"/>
  <c r="T251" i="8"/>
  <c r="T250" i="8"/>
  <c r="T254" i="8"/>
  <c r="T140" i="8"/>
  <c r="T144" i="8"/>
  <c r="T581" i="8"/>
  <c r="T603" i="8"/>
  <c r="T611" i="8"/>
  <c r="T242" i="8"/>
  <c r="T240" i="8"/>
  <c r="T232" i="8"/>
  <c r="T245" i="8"/>
  <c r="T132" i="8"/>
  <c r="T137" i="8"/>
  <c r="T136" i="8"/>
  <c r="T135" i="8"/>
  <c r="T597" i="8"/>
  <c r="T583" i="8"/>
  <c r="T587" i="8"/>
  <c r="T593" i="8"/>
  <c r="T656" i="8"/>
  <c r="T253" i="8"/>
  <c r="T231" i="8"/>
  <c r="T257" i="8"/>
  <c r="T235" i="8"/>
  <c r="T526" i="8"/>
  <c r="T523" i="8"/>
  <c r="T521" i="8"/>
  <c r="T513" i="8"/>
  <c r="T133" i="8"/>
  <c r="T122" i="8"/>
  <c r="T589" i="8"/>
  <c r="T579" i="8"/>
  <c r="T612" i="8"/>
  <c r="T249" i="8"/>
  <c r="T145" i="8"/>
  <c r="T143" i="8"/>
  <c r="T606" i="8"/>
  <c r="T601" i="8"/>
  <c r="T124" i="8"/>
  <c r="T129" i="8"/>
  <c r="T128" i="8"/>
  <c r="T127" i="8"/>
  <c r="T591" i="8"/>
  <c r="T605" i="8"/>
  <c r="T602" i="8"/>
  <c r="T585" i="8"/>
  <c r="T233" i="8"/>
  <c r="T248" i="8"/>
  <c r="T239" i="8"/>
  <c r="T252" i="8"/>
  <c r="T82" i="8"/>
  <c r="T116" i="8"/>
  <c r="T121" i="8"/>
  <c r="T120" i="8"/>
  <c r="T119" i="8"/>
  <c r="T598" i="8"/>
  <c r="T582" i="8"/>
  <c r="T594" i="8"/>
  <c r="T608" i="8"/>
  <c r="T659" i="8"/>
  <c r="T243" i="8"/>
  <c r="T256" i="8"/>
  <c r="T230" i="8"/>
  <c r="T244" i="8"/>
  <c r="T472" i="8"/>
  <c r="T486" i="8"/>
  <c r="T467" i="8"/>
  <c r="T500" i="8"/>
  <c r="T522" i="8"/>
  <c r="T503" i="8"/>
  <c r="T497" i="8"/>
  <c r="T565" i="8"/>
  <c r="T555" i="8"/>
  <c r="T577" i="8"/>
  <c r="T536" i="8"/>
  <c r="T126" i="8"/>
  <c r="T141" i="8"/>
  <c r="T134" i="8"/>
  <c r="T607" i="8"/>
  <c r="T604" i="8"/>
  <c r="T586" i="8"/>
  <c r="T600" i="8"/>
  <c r="T234" i="8"/>
  <c r="T247" i="8"/>
  <c r="T255" i="8"/>
  <c r="T236" i="8"/>
  <c r="T142" i="8"/>
  <c r="T117" i="8"/>
  <c r="T139" i="8"/>
  <c r="T599" i="8"/>
  <c r="T596" i="8"/>
  <c r="T578" i="8"/>
  <c r="T644" i="8"/>
  <c r="T451" i="8"/>
  <c r="T241" i="8"/>
  <c r="T238" i="8"/>
  <c r="T246" i="8"/>
  <c r="T518" i="8"/>
  <c r="T524" i="8"/>
  <c r="T504" i="8"/>
  <c r="T638" i="8"/>
  <c r="T633" i="8"/>
  <c r="T786" i="8"/>
  <c r="T650" i="8"/>
  <c r="T668" i="8"/>
  <c r="T652" i="8"/>
  <c r="T655" i="8"/>
  <c r="T637" i="8"/>
  <c r="T615" i="8"/>
  <c r="T619" i="8"/>
  <c r="T625" i="8"/>
  <c r="T908" i="8"/>
  <c r="T895" i="8"/>
  <c r="T801" i="8"/>
  <c r="T785" i="8"/>
  <c r="T800" i="8"/>
  <c r="T784" i="8"/>
  <c r="L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T186" i="8"/>
  <c r="T196" i="8"/>
  <c r="T215" i="8"/>
  <c r="T202" i="8"/>
  <c r="T182" i="8"/>
  <c r="T221" i="8"/>
  <c r="T859" i="8"/>
  <c r="T377" i="8"/>
  <c r="T359" i="8"/>
  <c r="T383" i="8"/>
  <c r="T395" i="8"/>
  <c r="T372" i="8"/>
  <c r="T371" i="8"/>
  <c r="T362" i="8"/>
  <c r="T642" i="8"/>
  <c r="T666" i="8"/>
  <c r="T669" i="8"/>
  <c r="T653" i="8"/>
  <c r="T704" i="8"/>
  <c r="T724" i="8"/>
  <c r="T746" i="8"/>
  <c r="T741" i="8"/>
  <c r="T725" i="8"/>
  <c r="T709" i="8"/>
  <c r="T614" i="8"/>
  <c r="T613" i="8"/>
  <c r="T634" i="8"/>
  <c r="T617" i="8"/>
  <c r="T906" i="8"/>
  <c r="T893" i="8"/>
  <c r="T799" i="8"/>
  <c r="T814" i="8"/>
  <c r="T798" i="8"/>
  <c r="T558" i="8"/>
  <c r="T535" i="8"/>
  <c r="T556" i="8"/>
  <c r="T562" i="8"/>
  <c r="T531" i="8"/>
  <c r="T549" i="8"/>
  <c r="T621" i="8"/>
  <c r="T787" i="8"/>
  <c r="T643" i="8"/>
  <c r="T667" i="8"/>
  <c r="T631" i="8"/>
  <c r="T626" i="8"/>
  <c r="T892" i="8"/>
  <c r="T797" i="8"/>
  <c r="T796" i="8"/>
  <c r="T645" i="8"/>
  <c r="T662" i="8"/>
  <c r="T618" i="8"/>
  <c r="T877" i="8"/>
  <c r="T795" i="8"/>
  <c r="T881" i="8"/>
  <c r="T220" i="8"/>
  <c r="T226" i="8"/>
  <c r="T191" i="8"/>
  <c r="T222" i="8"/>
  <c r="T187" i="8"/>
  <c r="T197" i="8"/>
  <c r="T876" i="8"/>
  <c r="T369" i="8"/>
  <c r="T384" i="8"/>
  <c r="T391" i="8"/>
  <c r="T374" i="8"/>
  <c r="T385" i="8"/>
  <c r="T402" i="8"/>
  <c r="T647" i="8"/>
  <c r="T641" i="8"/>
  <c r="T660" i="8"/>
  <c r="T663" i="8"/>
  <c r="T740" i="8"/>
  <c r="T712" i="8"/>
  <c r="T706" i="8"/>
  <c r="T751" i="8"/>
  <c r="T735" i="8"/>
  <c r="T719" i="8"/>
  <c r="T703" i="8"/>
  <c r="T630" i="8"/>
  <c r="T628" i="8"/>
  <c r="T610" i="8"/>
  <c r="T624" i="8"/>
  <c r="T927" i="8"/>
  <c r="T809" i="8"/>
  <c r="T793" i="8"/>
  <c r="T808" i="8"/>
  <c r="T792" i="8"/>
  <c r="T566" i="8"/>
  <c r="T559" i="8"/>
  <c r="T532" i="8"/>
  <c r="T538" i="8"/>
  <c r="T561" i="8"/>
  <c r="T560" i="8"/>
  <c r="T635" i="8"/>
  <c r="T803" i="8"/>
  <c r="T802" i="8"/>
  <c r="T664" i="8"/>
  <c r="T623" i="8"/>
  <c r="T609" i="8"/>
  <c r="T879" i="8"/>
  <c r="T813" i="8"/>
  <c r="T812" i="8"/>
  <c r="T854" i="8"/>
  <c r="T649" i="8"/>
  <c r="T665" i="8"/>
  <c r="T639" i="8"/>
  <c r="T636" i="8"/>
  <c r="T632" i="8"/>
  <c r="T890" i="8"/>
  <c r="T811" i="8"/>
  <c r="T810" i="8"/>
  <c r="T794" i="8"/>
  <c r="T209" i="8"/>
  <c r="T188" i="8"/>
  <c r="T201" i="8"/>
  <c r="T194" i="8"/>
  <c r="T183" i="8"/>
  <c r="T214" i="8"/>
  <c r="T210" i="8"/>
  <c r="T368" i="8"/>
  <c r="T375" i="8"/>
  <c r="T382" i="8"/>
  <c r="T356" i="8"/>
  <c r="T358" i="8"/>
  <c r="T646" i="8"/>
  <c r="T648" i="8"/>
  <c r="T658" i="8"/>
  <c r="T744" i="8"/>
  <c r="T708" i="8"/>
  <c r="T750" i="8"/>
  <c r="T749" i="8"/>
  <c r="T733" i="8"/>
  <c r="T629" i="8"/>
  <c r="T620" i="8"/>
  <c r="T627" i="8"/>
  <c r="T807" i="8"/>
  <c r="T791" i="8"/>
  <c r="T806" i="8"/>
  <c r="T557" i="8"/>
  <c r="T534" i="8"/>
  <c r="T571" i="8"/>
  <c r="T530" i="8"/>
  <c r="T553" i="8"/>
  <c r="L28" i="8"/>
  <c r="AG30" i="8"/>
  <c r="AF30" i="8"/>
  <c r="AA30" i="8" s="1"/>
  <c r="A29" i="8"/>
  <c r="G30" i="8"/>
  <c r="T463" i="8"/>
  <c r="T459" i="8"/>
  <c r="T448" i="8"/>
  <c r="T439" i="8"/>
  <c r="T161" i="8"/>
  <c r="T58" i="8"/>
  <c r="T171" i="8"/>
  <c r="T316" i="8"/>
  <c r="T321" i="8"/>
  <c r="T331" i="8"/>
  <c r="T338" i="8"/>
  <c r="T78" i="8"/>
  <c r="T323" i="8"/>
  <c r="T61" i="8"/>
  <c r="T346" i="8"/>
  <c r="T305" i="8"/>
  <c r="T53" i="8"/>
  <c r="T329" i="8"/>
  <c r="T319" i="8"/>
  <c r="T83" i="8"/>
  <c r="T341" i="8"/>
  <c r="T310" i="8"/>
  <c r="T66" i="8"/>
  <c r="T166" i="8"/>
  <c r="T333" i="8"/>
  <c r="T302" i="8"/>
  <c r="T70" i="8"/>
  <c r="T75" i="8"/>
  <c r="T325" i="8"/>
  <c r="T293" i="8"/>
  <c r="T294" i="8"/>
  <c r="T62" i="8"/>
  <c r="T67" i="8"/>
  <c r="T322" i="8"/>
  <c r="T330" i="8"/>
  <c r="T313" i="8"/>
  <c r="T317" i="8"/>
  <c r="T54" i="8"/>
  <c r="T59" i="8"/>
  <c r="T335" i="8"/>
  <c r="T332" i="8"/>
  <c r="T296" i="8"/>
  <c r="T299" i="8"/>
  <c r="T77" i="8"/>
  <c r="T74" i="8"/>
  <c r="T327" i="8"/>
  <c r="T324" i="8"/>
  <c r="T309" i="8"/>
  <c r="T291" i="8"/>
  <c r="T80" i="8"/>
  <c r="T76" i="8"/>
  <c r="T176" i="8"/>
  <c r="T337" i="8"/>
  <c r="T311" i="8"/>
  <c r="T273" i="8"/>
  <c r="T65" i="8"/>
  <c r="T79" i="8"/>
  <c r="T57" i="8"/>
  <c r="T68" i="8"/>
  <c r="T175" i="8"/>
  <c r="T344" i="8"/>
  <c r="T350" i="8"/>
  <c r="T342" i="8"/>
  <c r="T334" i="8"/>
  <c r="T320" i="8"/>
  <c r="T303" i="8"/>
  <c r="T292" i="8"/>
  <c r="T314" i="8"/>
  <c r="T266" i="8"/>
  <c r="T81" i="8"/>
  <c r="T73" i="8"/>
  <c r="T336" i="8"/>
  <c r="T297" i="8"/>
  <c r="T300" i="8"/>
  <c r="T64" i="8"/>
  <c r="T71" i="8"/>
  <c r="T72" i="8"/>
  <c r="T60" i="8"/>
  <c r="T159" i="8"/>
  <c r="T351" i="8"/>
  <c r="T326" i="8"/>
  <c r="T348" i="8"/>
  <c r="T347" i="8"/>
  <c r="T312" i="8"/>
  <c r="T295" i="8"/>
  <c r="T315" i="8"/>
  <c r="T306" i="8"/>
  <c r="T17" i="8"/>
  <c r="T158" i="8"/>
  <c r="T345" i="8"/>
  <c r="T328" i="8"/>
  <c r="T308" i="8"/>
  <c r="T63" i="8"/>
  <c r="T55" i="8"/>
  <c r="T56" i="8"/>
  <c r="T150" i="8"/>
  <c r="T343" i="8"/>
  <c r="T349" i="8"/>
  <c r="T340" i="8"/>
  <c r="T304" i="8"/>
  <c r="T318" i="8"/>
  <c r="T307" i="8"/>
  <c r="T46" i="8"/>
  <c r="T264" i="8"/>
  <c r="T5" i="8"/>
  <c r="T30" i="8"/>
  <c r="T151" i="8"/>
  <c r="T160" i="8"/>
  <c r="T268" i="8"/>
  <c r="T13" i="8"/>
  <c r="T11" i="8"/>
  <c r="T39" i="8"/>
  <c r="T170" i="8"/>
  <c r="T174" i="8"/>
  <c r="T288" i="8"/>
  <c r="T19" i="8"/>
  <c r="T50" i="8"/>
  <c r="T162" i="8"/>
  <c r="T173" i="8"/>
  <c r="T280" i="8"/>
  <c r="T47" i="8"/>
  <c r="T260" i="8"/>
  <c r="T34" i="8"/>
  <c r="T146" i="8"/>
  <c r="T164" i="8"/>
  <c r="T285" i="8"/>
  <c r="AB859" i="8"/>
  <c r="AB875" i="8"/>
  <c r="AB862" i="8"/>
  <c r="AB872" i="8"/>
  <c r="AB861" i="8"/>
  <c r="AB854" i="8"/>
  <c r="AB856" i="8"/>
  <c r="AB847" i="8"/>
  <c r="AB863" i="8"/>
  <c r="AB870" i="8"/>
  <c r="AB858" i="8"/>
  <c r="AB851" i="8"/>
  <c r="AB867" i="8"/>
  <c r="AB868" i="8"/>
  <c r="AB876" i="8"/>
  <c r="AB871" i="8"/>
  <c r="AB860" i="8"/>
  <c r="AB873" i="8"/>
  <c r="AB848" i="8"/>
  <c r="AB849" i="8"/>
  <c r="AB852" i="8"/>
  <c r="AB855" i="8"/>
  <c r="AB866" i="8"/>
  <c r="AB865" i="8"/>
  <c r="AB850" i="8"/>
  <c r="AB869" i="8"/>
  <c r="AB853" i="8"/>
  <c r="AB846" i="8"/>
  <c r="AB864" i="8"/>
  <c r="AB874" i="8"/>
  <c r="AB857" i="8"/>
  <c r="AB931" i="8"/>
  <c r="AB949" i="8"/>
  <c r="AB952" i="8"/>
  <c r="AB932" i="8"/>
  <c r="AB943" i="8"/>
  <c r="AB936" i="8"/>
  <c r="AB929" i="8"/>
  <c r="AB939" i="8"/>
  <c r="AB957" i="8"/>
  <c r="AB959" i="8"/>
  <c r="AB944" i="8"/>
  <c r="AB956" i="8"/>
  <c r="AB975" i="8"/>
  <c r="AB937" i="8"/>
  <c r="AB947" i="8"/>
  <c r="AB965" i="8"/>
  <c r="AB966" i="8"/>
  <c r="AB951" i="8"/>
  <c r="AB974" i="8"/>
  <c r="AB968" i="8"/>
  <c r="AB953" i="8"/>
  <c r="AB963" i="8"/>
  <c r="AB938" i="8"/>
  <c r="AB928" i="8"/>
  <c r="AB970" i="8"/>
  <c r="AB960" i="8"/>
  <c r="AB933" i="8"/>
  <c r="AB942" i="8"/>
  <c r="AB972" i="8"/>
  <c r="AB941" i="8"/>
  <c r="AB954" i="8"/>
  <c r="AB948" i="8"/>
  <c r="AB945" i="8"/>
  <c r="AB973" i="8"/>
  <c r="AB958" i="8"/>
  <c r="AB946" i="8"/>
  <c r="AB969" i="8"/>
  <c r="AB976" i="8"/>
  <c r="AB967" i="8"/>
  <c r="AB978" i="8"/>
  <c r="AB950" i="8"/>
  <c r="AB935" i="8"/>
  <c r="AB961" i="8"/>
  <c r="AB964" i="8"/>
  <c r="AB977" i="8"/>
  <c r="AB934" i="8"/>
  <c r="AB962" i="8"/>
  <c r="AB955" i="8"/>
  <c r="AB930" i="8"/>
  <c r="AB971" i="8"/>
  <c r="AB940" i="8"/>
  <c r="T847" i="8"/>
  <c r="T18" i="8"/>
  <c r="T31" i="8"/>
  <c r="T935" i="8"/>
  <c r="T967" i="8"/>
  <c r="T941" i="8"/>
  <c r="T962" i="8"/>
  <c r="T950" i="8"/>
  <c r="T936" i="8"/>
  <c r="T454" i="8"/>
  <c r="T462" i="8"/>
  <c r="T450" i="8"/>
  <c r="T444" i="8"/>
  <c r="T920" i="8"/>
  <c r="T904" i="8"/>
  <c r="T888" i="8"/>
  <c r="T923" i="8"/>
  <c r="T907" i="8"/>
  <c r="T891" i="8"/>
  <c r="T261" i="8"/>
  <c r="T283" i="8"/>
  <c r="T269" i="8"/>
  <c r="AB351" i="8"/>
  <c r="AB347" i="8"/>
  <c r="AB336" i="8"/>
  <c r="AB338" i="8"/>
  <c r="AB321" i="8"/>
  <c r="AB330" i="8"/>
  <c r="AB349" i="8"/>
  <c r="AB340" i="8"/>
  <c r="AB329" i="8"/>
  <c r="AB342" i="8"/>
  <c r="AB325" i="8"/>
  <c r="AB341" i="8"/>
  <c r="AB345" i="8"/>
  <c r="AB344" i="8"/>
  <c r="AB326" i="8"/>
  <c r="AB331" i="8"/>
  <c r="AB322" i="8"/>
  <c r="AB339" i="8"/>
  <c r="AB328" i="8"/>
  <c r="AB332" i="8"/>
  <c r="AB348" i="8"/>
  <c r="AB335" i="8"/>
  <c r="AB346" i="8"/>
  <c r="AB337" i="8"/>
  <c r="AB323" i="8"/>
  <c r="AB333" i="8"/>
  <c r="AB327" i="8"/>
  <c r="AB324" i="8"/>
  <c r="AB350" i="8"/>
  <c r="AB334" i="8"/>
  <c r="AB343" i="8"/>
  <c r="AB512" i="8"/>
  <c r="AB514" i="8"/>
  <c r="AB523" i="8"/>
  <c r="AB509" i="8"/>
  <c r="AB520" i="8"/>
  <c r="AB522" i="8"/>
  <c r="AB511" i="8"/>
  <c r="AB525" i="8"/>
  <c r="AB497" i="8"/>
  <c r="AB500" i="8"/>
  <c r="AB515" i="8"/>
  <c r="AB513" i="8"/>
  <c r="AB516" i="8"/>
  <c r="AB518" i="8"/>
  <c r="AB499" i="8"/>
  <c r="AB498" i="8"/>
  <c r="AB507" i="8"/>
  <c r="AB508" i="8"/>
  <c r="AB506" i="8"/>
  <c r="AB503" i="8"/>
  <c r="AB510" i="8"/>
  <c r="AB496" i="8"/>
  <c r="AB501" i="8"/>
  <c r="AB505" i="8"/>
  <c r="AB524" i="8"/>
  <c r="AB521" i="8"/>
  <c r="AB517" i="8"/>
  <c r="AB504" i="8"/>
  <c r="AB502" i="8"/>
  <c r="AB519" i="8"/>
  <c r="AB526" i="8"/>
  <c r="AB72" i="8"/>
  <c r="AB76" i="8"/>
  <c r="AB71" i="8"/>
  <c r="AB77" i="8"/>
  <c r="AB80" i="8"/>
  <c r="AB55" i="8"/>
  <c r="AB62" i="8"/>
  <c r="AB53" i="8"/>
  <c r="AB58" i="8"/>
  <c r="AB69" i="8"/>
  <c r="AB75" i="8"/>
  <c r="AB78" i="8"/>
  <c r="AB74" i="8"/>
  <c r="AB57" i="8"/>
  <c r="AB73" i="8"/>
  <c r="AB61" i="8"/>
  <c r="AB60" i="8"/>
  <c r="AB67" i="8"/>
  <c r="AB68" i="8"/>
  <c r="AB79" i="8"/>
  <c r="AB81" i="8"/>
  <c r="AB54" i="8"/>
  <c r="AB56" i="8"/>
  <c r="AB83" i="8"/>
  <c r="AB63" i="8"/>
  <c r="AB65" i="8"/>
  <c r="AB64" i="8"/>
  <c r="AB82" i="8"/>
  <c r="AB70" i="8"/>
  <c r="AB59" i="8"/>
  <c r="AB66" i="8"/>
  <c r="AB295" i="8"/>
  <c r="AB299" i="8"/>
  <c r="AB318" i="8"/>
  <c r="AB301" i="8"/>
  <c r="AB303" i="8"/>
  <c r="AB307" i="8"/>
  <c r="AB294" i="8"/>
  <c r="AB316" i="8"/>
  <c r="AB311" i="8"/>
  <c r="AB315" i="8"/>
  <c r="AB308" i="8"/>
  <c r="AB309" i="8"/>
  <c r="AB297" i="8"/>
  <c r="AB304" i="8"/>
  <c r="AB298" i="8"/>
  <c r="AB296" i="8"/>
  <c r="AB293" i="8"/>
  <c r="AB314" i="8"/>
  <c r="AB306" i="8"/>
  <c r="AB319" i="8"/>
  <c r="AB320" i="8"/>
  <c r="AB313" i="8"/>
  <c r="AB300" i="8"/>
  <c r="AB292" i="8"/>
  <c r="AB310" i="8"/>
  <c r="AB291" i="8"/>
  <c r="AB317" i="8"/>
  <c r="AB302" i="8"/>
  <c r="AB290" i="8"/>
  <c r="AB312" i="8"/>
  <c r="AB305" i="8"/>
  <c r="AB689" i="8"/>
  <c r="AB699" i="8"/>
  <c r="AB695" i="8"/>
  <c r="AB698" i="8"/>
  <c r="AB697" i="8"/>
  <c r="AB677" i="8"/>
  <c r="AB672" i="8"/>
  <c r="AB690" i="8"/>
  <c r="AB694" i="8"/>
  <c r="AB701" i="8"/>
  <c r="AB692" i="8"/>
  <c r="AB682" i="8"/>
  <c r="AB686" i="8"/>
  <c r="AB679" i="8"/>
  <c r="AB683" i="8"/>
  <c r="AB693" i="8"/>
  <c r="AB674" i="8"/>
  <c r="AB700" i="8"/>
  <c r="AB675" i="8"/>
  <c r="AB688" i="8"/>
  <c r="AB676" i="8"/>
  <c r="AB673" i="8"/>
  <c r="AB681" i="8"/>
  <c r="AB678" i="8"/>
  <c r="AB691" i="8"/>
  <c r="AB671" i="8"/>
  <c r="AB684" i="8"/>
  <c r="AB685" i="8"/>
  <c r="AB687" i="8"/>
  <c r="AB696" i="8"/>
  <c r="AB680" i="8"/>
  <c r="AB821" i="8"/>
  <c r="AB815" i="8"/>
  <c r="AB822" i="8"/>
  <c r="AB843" i="8"/>
  <c r="AB829" i="8"/>
  <c r="AB823" i="8"/>
  <c r="AB838" i="8"/>
  <c r="AB836" i="8"/>
  <c r="AB837" i="8"/>
  <c r="AB831" i="8"/>
  <c r="AB824" i="8"/>
  <c r="AB816" i="8"/>
  <c r="AB818" i="8"/>
  <c r="AB817" i="8"/>
  <c r="AB819" i="8"/>
  <c r="AB827" i="8"/>
  <c r="AB834" i="8"/>
  <c r="AB830" i="8"/>
  <c r="AB842" i="8"/>
  <c r="AB844" i="8"/>
  <c r="AB839" i="8"/>
  <c r="AB820" i="8"/>
  <c r="AB833" i="8"/>
  <c r="AB832" i="8"/>
  <c r="AB845" i="8"/>
  <c r="AB826" i="8"/>
  <c r="AB825" i="8"/>
  <c r="AB828" i="8"/>
  <c r="AB841" i="8"/>
  <c r="AB840" i="8"/>
  <c r="AB835" i="8"/>
  <c r="T867" i="8"/>
  <c r="T873" i="8"/>
  <c r="T860" i="8"/>
  <c r="T38" i="8"/>
  <c r="T14" i="8"/>
  <c r="T10" i="8"/>
  <c r="T40" i="8"/>
  <c r="T52" i="8"/>
  <c r="T23" i="8"/>
  <c r="T165" i="8"/>
  <c r="T972" i="8"/>
  <c r="T957" i="8"/>
  <c r="T932" i="8"/>
  <c r="T955" i="8"/>
  <c r="T943" i="8"/>
  <c r="T929" i="8"/>
  <c r="T445" i="8"/>
  <c r="T435" i="8"/>
  <c r="T440" i="8"/>
  <c r="T456" i="8"/>
  <c r="T918" i="8"/>
  <c r="T902" i="8"/>
  <c r="T886" i="8"/>
  <c r="T921" i="8"/>
  <c r="T905" i="8"/>
  <c r="T889" i="8"/>
  <c r="T279" i="8"/>
  <c r="T287" i="8"/>
  <c r="T274" i="8"/>
  <c r="T281" i="8"/>
  <c r="AB263" i="8"/>
  <c r="AB259" i="8"/>
  <c r="AB269" i="8"/>
  <c r="AB270" i="8"/>
  <c r="AB271" i="8"/>
  <c r="AB267" i="8"/>
  <c r="AB282" i="8"/>
  <c r="AB276" i="8"/>
  <c r="AB279" i="8"/>
  <c r="AB275" i="8"/>
  <c r="AB260" i="8"/>
  <c r="AB277" i="8"/>
  <c r="AB265" i="8"/>
  <c r="AB266" i="8"/>
  <c r="AB285" i="8"/>
  <c r="AB286" i="8"/>
  <c r="AB281" i="8"/>
  <c r="AB284" i="8"/>
  <c r="AB289" i="8"/>
  <c r="AB264" i="8"/>
  <c r="AB283" i="8"/>
  <c r="AB261" i="8"/>
  <c r="AB268" i="8"/>
  <c r="AB288" i="8"/>
  <c r="AB287" i="8"/>
  <c r="AB278" i="8"/>
  <c r="AB273" i="8"/>
  <c r="AB280" i="8"/>
  <c r="AB274" i="8"/>
  <c r="AB262" i="8"/>
  <c r="AB272" i="8"/>
  <c r="T846" i="8"/>
  <c r="T22" i="8"/>
  <c r="T48" i="8"/>
  <c r="T865" i="8"/>
  <c r="T51" i="8"/>
  <c r="T32" i="8"/>
  <c r="T958" i="8"/>
  <c r="T970" i="8"/>
  <c r="T455" i="8"/>
  <c r="T453" i="8"/>
  <c r="T884" i="8"/>
  <c r="T887" i="8"/>
  <c r="T265" i="8"/>
  <c r="AB473" i="8"/>
  <c r="AB476" i="8"/>
  <c r="AB486" i="8"/>
  <c r="AB478" i="8"/>
  <c r="AB481" i="8"/>
  <c r="AB484" i="8"/>
  <c r="AB471" i="8"/>
  <c r="AB494" i="8"/>
  <c r="AB489" i="8"/>
  <c r="AB492" i="8"/>
  <c r="AB479" i="8"/>
  <c r="AB495" i="8"/>
  <c r="AB472" i="8"/>
  <c r="AB474" i="8"/>
  <c r="AB485" i="8"/>
  <c r="AB491" i="8"/>
  <c r="AB490" i="8"/>
  <c r="AB477" i="8"/>
  <c r="AB468" i="8"/>
  <c r="AB493" i="8"/>
  <c r="AB469" i="8"/>
  <c r="AB488" i="8"/>
  <c r="AB475" i="8"/>
  <c r="AB466" i="8"/>
  <c r="AB487" i="8"/>
  <c r="AB480" i="8"/>
  <c r="AB482" i="8"/>
  <c r="AB465" i="8"/>
  <c r="AB470" i="8"/>
  <c r="AB483" i="8"/>
  <c r="AB467" i="8"/>
  <c r="AB667" i="8"/>
  <c r="AB665" i="8"/>
  <c r="AB657" i="8"/>
  <c r="AB653" i="8"/>
  <c r="AB656" i="8"/>
  <c r="AB641" i="8"/>
  <c r="AB645" i="8"/>
  <c r="AB652" i="8"/>
  <c r="AB664" i="8"/>
  <c r="AB649" i="8"/>
  <c r="AB643" i="8"/>
  <c r="AB661" i="8"/>
  <c r="AB654" i="8"/>
  <c r="AB666" i="8"/>
  <c r="AB642" i="8"/>
  <c r="AB646" i="8"/>
  <c r="AB640" i="8"/>
  <c r="AB669" i="8"/>
  <c r="AB648" i="8"/>
  <c r="AB647" i="8"/>
  <c r="AB660" i="8"/>
  <c r="AB670" i="8"/>
  <c r="AB655" i="8"/>
  <c r="AB658" i="8"/>
  <c r="AB663" i="8"/>
  <c r="AB650" i="8"/>
  <c r="AB644" i="8"/>
  <c r="AB662" i="8"/>
  <c r="AB659" i="8"/>
  <c r="AB668" i="8"/>
  <c r="AB651" i="8"/>
  <c r="AB794" i="8"/>
  <c r="AB804" i="8"/>
  <c r="AB785" i="8"/>
  <c r="AB809" i="8"/>
  <c r="AB802" i="8"/>
  <c r="AB812" i="8"/>
  <c r="AB801" i="8"/>
  <c r="AB797" i="8"/>
  <c r="AB810" i="8"/>
  <c r="AB790" i="8"/>
  <c r="AB787" i="8"/>
  <c r="AB811" i="8"/>
  <c r="AB799" i="8"/>
  <c r="AB806" i="8"/>
  <c r="AB784" i="8"/>
  <c r="AB789" i="8"/>
  <c r="AB788" i="8"/>
  <c r="AB805" i="8"/>
  <c r="AB798" i="8"/>
  <c r="AB796" i="8"/>
  <c r="AB795" i="8"/>
  <c r="AB813" i="8"/>
  <c r="AB792" i="8"/>
  <c r="AB791" i="8"/>
  <c r="AB814" i="8"/>
  <c r="AB807" i="8"/>
  <c r="AB808" i="8"/>
  <c r="AB800" i="8"/>
  <c r="AB793" i="8"/>
  <c r="AB803" i="8"/>
  <c r="AB786" i="8"/>
  <c r="AB767" i="8"/>
  <c r="AB761" i="8"/>
  <c r="AB778" i="8"/>
  <c r="AB768" i="8"/>
  <c r="AB775" i="8"/>
  <c r="AB769" i="8"/>
  <c r="AB757" i="8"/>
  <c r="AB760" i="8"/>
  <c r="AB783" i="8"/>
  <c r="AB777" i="8"/>
  <c r="AB773" i="8"/>
  <c r="AB781" i="8"/>
  <c r="AB764" i="8"/>
  <c r="AB763" i="8"/>
  <c r="AB782" i="8"/>
  <c r="AB776" i="8"/>
  <c r="AB779" i="8"/>
  <c r="AB759" i="8"/>
  <c r="AB762" i="8"/>
  <c r="AB756" i="8"/>
  <c r="AB766" i="8"/>
  <c r="AB780" i="8"/>
  <c r="AB770" i="8"/>
  <c r="AB755" i="8"/>
  <c r="AB771" i="8"/>
  <c r="AB754" i="8"/>
  <c r="AB758" i="8"/>
  <c r="AB772" i="8"/>
  <c r="AB753" i="8"/>
  <c r="AB774" i="8"/>
  <c r="AB765" i="8"/>
  <c r="T869" i="8"/>
  <c r="T866" i="8"/>
  <c r="T857" i="8"/>
  <c r="T874" i="8"/>
  <c r="T37" i="8"/>
  <c r="T43" i="8"/>
  <c r="T28" i="8"/>
  <c r="T41" i="8"/>
  <c r="T24" i="8"/>
  <c r="T20" i="8"/>
  <c r="T7" i="8"/>
  <c r="T948" i="8"/>
  <c r="T940" i="8"/>
  <c r="T949" i="8"/>
  <c r="T939" i="8"/>
  <c r="T977" i="8"/>
  <c r="T963" i="8"/>
  <c r="T446" i="8"/>
  <c r="T452" i="8"/>
  <c r="T460" i="8"/>
  <c r="T438" i="8"/>
  <c r="T914" i="8"/>
  <c r="T898" i="8"/>
  <c r="T882" i="8"/>
  <c r="T917" i="8"/>
  <c r="T901" i="8"/>
  <c r="T885" i="8"/>
  <c r="T270" i="8"/>
  <c r="T286" i="8"/>
  <c r="T278" i="8"/>
  <c r="T263" i="8"/>
  <c r="AB926" i="8"/>
  <c r="AB888" i="8"/>
  <c r="AB906" i="8"/>
  <c r="AB921" i="8"/>
  <c r="AB877" i="8"/>
  <c r="AB893" i="8"/>
  <c r="AB883" i="8"/>
  <c r="AB896" i="8"/>
  <c r="AB914" i="8"/>
  <c r="AB884" i="8"/>
  <c r="AB909" i="8"/>
  <c r="AB925" i="8"/>
  <c r="AB878" i="8"/>
  <c r="AB891" i="8"/>
  <c r="AB904" i="8"/>
  <c r="AB922" i="8"/>
  <c r="AB900" i="8"/>
  <c r="AB881" i="8"/>
  <c r="AB897" i="8"/>
  <c r="AB894" i="8"/>
  <c r="AB907" i="8"/>
  <c r="AB920" i="8"/>
  <c r="AB903" i="8"/>
  <c r="AB879" i="8"/>
  <c r="AB885" i="8"/>
  <c r="AB892" i="8"/>
  <c r="AB923" i="8"/>
  <c r="AB889" i="8"/>
  <c r="AB908" i="8"/>
  <c r="AB880" i="8"/>
  <c r="AB905" i="8"/>
  <c r="AB924" i="8"/>
  <c r="AB886" i="8"/>
  <c r="AB912" i="8"/>
  <c r="AB916" i="8"/>
  <c r="AB901" i="8"/>
  <c r="AB910" i="8"/>
  <c r="AB890" i="8"/>
  <c r="AB911" i="8"/>
  <c r="AB887" i="8"/>
  <c r="AB895" i="8"/>
  <c r="AB898" i="8"/>
  <c r="AB919" i="8"/>
  <c r="AB902" i="8"/>
  <c r="AB918" i="8"/>
  <c r="AB927" i="8"/>
  <c r="AB882" i="8"/>
  <c r="AB899" i="8"/>
  <c r="AB913" i="8"/>
  <c r="AB915" i="8"/>
  <c r="AB917" i="8"/>
  <c r="AB40" i="8"/>
  <c r="AB4" i="8"/>
  <c r="AB17" i="8"/>
  <c r="AB21" i="8"/>
  <c r="AB38" i="8"/>
  <c r="AB29" i="8"/>
  <c r="AB10" i="8"/>
  <c r="AB20" i="8"/>
  <c r="AB46" i="8"/>
  <c r="AB48" i="8"/>
  <c r="AB12" i="8"/>
  <c r="AB30" i="8"/>
  <c r="AB33" i="8"/>
  <c r="AB41" i="8"/>
  <c r="AB35" i="8"/>
  <c r="AB43" i="8"/>
  <c r="AB14" i="8"/>
  <c r="AB8" i="8"/>
  <c r="AB26" i="8"/>
  <c r="AB36" i="8"/>
  <c r="AB19" i="8"/>
  <c r="AB23" i="8"/>
  <c r="AB22" i="8"/>
  <c r="AB27" i="8"/>
  <c r="AB42" i="8"/>
  <c r="AB45" i="8"/>
  <c r="AB15" i="8"/>
  <c r="AB28" i="8"/>
  <c r="AB11" i="8"/>
  <c r="AB18" i="8"/>
  <c r="AB39" i="8"/>
  <c r="AB50" i="8"/>
  <c r="AB7" i="8"/>
  <c r="AB47" i="8"/>
  <c r="AB25" i="8"/>
  <c r="AB32" i="8"/>
  <c r="AB16" i="8"/>
  <c r="AB44" i="8"/>
  <c r="AB37" i="8"/>
  <c r="AB51" i="8"/>
  <c r="AB13" i="8"/>
  <c r="AB2" i="8"/>
  <c r="AB34" i="8"/>
  <c r="AB9" i="8"/>
  <c r="AB24" i="8"/>
  <c r="AB52" i="8"/>
  <c r="AB49" i="8"/>
  <c r="AB3" i="8"/>
  <c r="AB5" i="8"/>
  <c r="AB6" i="8"/>
  <c r="AB31" i="8"/>
  <c r="AB456" i="8"/>
  <c r="AB458" i="8"/>
  <c r="AB447" i="8"/>
  <c r="AB445" i="8"/>
  <c r="AB444" i="8"/>
  <c r="AB446" i="8"/>
  <c r="AB464" i="8"/>
  <c r="AB436" i="8"/>
  <c r="AB451" i="8"/>
  <c r="AB461" i="8"/>
  <c r="AB441" i="8"/>
  <c r="AB438" i="8"/>
  <c r="AB457" i="8"/>
  <c r="AB460" i="8"/>
  <c r="AB459" i="8"/>
  <c r="AB435" i="8"/>
  <c r="AB442" i="8"/>
  <c r="AB443" i="8"/>
  <c r="AB462" i="8"/>
  <c r="AB439" i="8"/>
  <c r="AB434" i="8"/>
  <c r="AB455" i="8"/>
  <c r="AB450" i="8"/>
  <c r="AB463" i="8"/>
  <c r="AB452" i="8"/>
  <c r="AB454" i="8"/>
  <c r="AB437" i="8"/>
  <c r="AB440" i="8"/>
  <c r="AB453" i="8"/>
  <c r="AB448" i="8"/>
  <c r="AB449" i="8"/>
  <c r="T875" i="8"/>
  <c r="T868" i="8"/>
  <c r="T6" i="8"/>
  <c r="T858" i="8"/>
  <c r="T852" i="8"/>
  <c r="T44" i="8"/>
  <c r="T36" i="8"/>
  <c r="T15" i="8"/>
  <c r="T965" i="8"/>
  <c r="T946" i="8"/>
  <c r="T900" i="8"/>
  <c r="T903" i="8"/>
  <c r="T271" i="8"/>
  <c r="AB199" i="8"/>
  <c r="AB209" i="8"/>
  <c r="AB219" i="8"/>
  <c r="AB216" i="8"/>
  <c r="AB221" i="8"/>
  <c r="AB181" i="8"/>
  <c r="AB212" i="8"/>
  <c r="AB207" i="8"/>
  <c r="AB217" i="8"/>
  <c r="AB227" i="8"/>
  <c r="AB180" i="8"/>
  <c r="AB197" i="8"/>
  <c r="AB188" i="8"/>
  <c r="AB215" i="8"/>
  <c r="AB225" i="8"/>
  <c r="AB189" i="8"/>
  <c r="AB192" i="8"/>
  <c r="AB222" i="8"/>
  <c r="AB194" i="8"/>
  <c r="AB177" i="8"/>
  <c r="AB187" i="8"/>
  <c r="AB214" i="8"/>
  <c r="AB218" i="8"/>
  <c r="AB206" i="8"/>
  <c r="AB220" i="8"/>
  <c r="AB183" i="8"/>
  <c r="AB203" i="8"/>
  <c r="AB196" i="8"/>
  <c r="AB210" i="8"/>
  <c r="AB191" i="8"/>
  <c r="AB211" i="8"/>
  <c r="AB208" i="8"/>
  <c r="AB186" i="8"/>
  <c r="AB223" i="8"/>
  <c r="AB202" i="8"/>
  <c r="AB226" i="8"/>
  <c r="AB193" i="8"/>
  <c r="AB190" i="8"/>
  <c r="AB224" i="8"/>
  <c r="AB179" i="8"/>
  <c r="AB213" i="8"/>
  <c r="AB178" i="8"/>
  <c r="AB198" i="8"/>
  <c r="AB200" i="8"/>
  <c r="AB195" i="8"/>
  <c r="AB184" i="8"/>
  <c r="AB201" i="8"/>
  <c r="AB204" i="8"/>
  <c r="AB205" i="8"/>
  <c r="AB182" i="8"/>
  <c r="AB185" i="8"/>
  <c r="T861" i="8"/>
  <c r="T856" i="8"/>
  <c r="T849" i="8"/>
  <c r="T864" i="8"/>
  <c r="T29" i="8"/>
  <c r="T35" i="8"/>
  <c r="T12" i="8"/>
  <c r="T33" i="8"/>
  <c r="T16" i="8"/>
  <c r="T42" i="8"/>
  <c r="T928" i="8"/>
  <c r="T933" i="8"/>
  <c r="T969" i="8"/>
  <c r="T930" i="8"/>
  <c r="T968" i="8"/>
  <c r="T954" i="8"/>
  <c r="T436" i="8"/>
  <c r="T443" i="8"/>
  <c r="T442" i="8"/>
  <c r="T457" i="8"/>
  <c r="T912" i="8"/>
  <c r="T896" i="8"/>
  <c r="T880" i="8"/>
  <c r="T915" i="8"/>
  <c r="T899" i="8"/>
  <c r="T883" i="8"/>
  <c r="T262" i="8"/>
  <c r="T277" i="8"/>
  <c r="T275" i="8"/>
  <c r="T284" i="8"/>
  <c r="AB625" i="8"/>
  <c r="AB628" i="8"/>
  <c r="AB615" i="8"/>
  <c r="AB623" i="8"/>
  <c r="AB633" i="8"/>
  <c r="AB636" i="8"/>
  <c r="AB611" i="8"/>
  <c r="AB627" i="8"/>
  <c r="AB610" i="8"/>
  <c r="AB613" i="8"/>
  <c r="AB619" i="8"/>
  <c r="AB624" i="8"/>
  <c r="AB626" i="8"/>
  <c r="AB631" i="8"/>
  <c r="AB621" i="8"/>
  <c r="AB612" i="8"/>
  <c r="AB622" i="8"/>
  <c r="AB620" i="8"/>
  <c r="AB638" i="8"/>
  <c r="AB616" i="8"/>
  <c r="AB629" i="8"/>
  <c r="AB609" i="8"/>
  <c r="AB614" i="8"/>
  <c r="AB618" i="8"/>
  <c r="AB634" i="8"/>
  <c r="AB635" i="8"/>
  <c r="AB630" i="8"/>
  <c r="AB617" i="8"/>
  <c r="AB639" i="8"/>
  <c r="AB637" i="8"/>
  <c r="AB632" i="8"/>
  <c r="AB112" i="8"/>
  <c r="AB108" i="8"/>
  <c r="AB87" i="8"/>
  <c r="AB111" i="8"/>
  <c r="AB90" i="8"/>
  <c r="AB94" i="8"/>
  <c r="AB101" i="8"/>
  <c r="AB102" i="8"/>
  <c r="AB114" i="8"/>
  <c r="AB109" i="8"/>
  <c r="AB86" i="8"/>
  <c r="AB88" i="8"/>
  <c r="AB107" i="8"/>
  <c r="AB93" i="8"/>
  <c r="AB104" i="8"/>
  <c r="AB103" i="8"/>
  <c r="AB96" i="8"/>
  <c r="AB95" i="8"/>
  <c r="AB99" i="8"/>
  <c r="AB85" i="8"/>
  <c r="AB98" i="8"/>
  <c r="AB97" i="8"/>
  <c r="AB105" i="8"/>
  <c r="AB84" i="8"/>
  <c r="AB113" i="8"/>
  <c r="AB100" i="8"/>
  <c r="AB91" i="8"/>
  <c r="AB106" i="8"/>
  <c r="AB110" i="8"/>
  <c r="AB92" i="8"/>
  <c r="AB89" i="8"/>
  <c r="AB578" i="8"/>
  <c r="AB581" i="8"/>
  <c r="AB599" i="8"/>
  <c r="AB584" i="8"/>
  <c r="AB586" i="8"/>
  <c r="AB597" i="8"/>
  <c r="AB587" i="8"/>
  <c r="AB592" i="8"/>
  <c r="AB594" i="8"/>
  <c r="AB583" i="8"/>
  <c r="AB591" i="8"/>
  <c r="AB608" i="8"/>
  <c r="AB580" i="8"/>
  <c r="AB582" i="8"/>
  <c r="AB589" i="8"/>
  <c r="AB596" i="8"/>
  <c r="AB590" i="8"/>
  <c r="AB604" i="8"/>
  <c r="AB606" i="8"/>
  <c r="AB600" i="8"/>
  <c r="AB579" i="8"/>
  <c r="AB593" i="8"/>
  <c r="AB603" i="8"/>
  <c r="AB602" i="8"/>
  <c r="AB585" i="8"/>
  <c r="AB588" i="8"/>
  <c r="AB598" i="8"/>
  <c r="AB601" i="8"/>
  <c r="AB607" i="8"/>
  <c r="AB595" i="8"/>
  <c r="AB605" i="8"/>
  <c r="AB748" i="8"/>
  <c r="AB710" i="8"/>
  <c r="AB720" i="8"/>
  <c r="AB709" i="8"/>
  <c r="AB747" i="8"/>
  <c r="AB706" i="8"/>
  <c r="AB726" i="8"/>
  <c r="AB741" i="8"/>
  <c r="AB714" i="8"/>
  <c r="AB705" i="8"/>
  <c r="AB718" i="8"/>
  <c r="AB728" i="8"/>
  <c r="AB725" i="8"/>
  <c r="AB717" i="8"/>
  <c r="AB746" i="8"/>
  <c r="AB713" i="8"/>
  <c r="AB736" i="8"/>
  <c r="AB730" i="8"/>
  <c r="AB716" i="8"/>
  <c r="AB729" i="8"/>
  <c r="AB742" i="8"/>
  <c r="AB752" i="8"/>
  <c r="AB727" i="8"/>
  <c r="AB749" i="8"/>
  <c r="AB703" i="8"/>
  <c r="AB745" i="8"/>
  <c r="AB723" i="8"/>
  <c r="AB719" i="8"/>
  <c r="AB734" i="8"/>
  <c r="AB733" i="8"/>
  <c r="AB740" i="8"/>
  <c r="AB735" i="8"/>
  <c r="AB702" i="8"/>
  <c r="AB739" i="8"/>
  <c r="AB751" i="8"/>
  <c r="AB708" i="8"/>
  <c r="AB711" i="8"/>
  <c r="AB731" i="8"/>
  <c r="AB721" i="8"/>
  <c r="AB738" i="8"/>
  <c r="AB724" i="8"/>
  <c r="AB750" i="8"/>
  <c r="AB743" i="8"/>
  <c r="AB722" i="8"/>
  <c r="AB712" i="8"/>
  <c r="AB744" i="8"/>
  <c r="AB707" i="8"/>
  <c r="AB732" i="8"/>
  <c r="AB704" i="8"/>
  <c r="AB715" i="8"/>
  <c r="AB737" i="8"/>
  <c r="AB255" i="8"/>
  <c r="AB228" i="8"/>
  <c r="AB256" i="8"/>
  <c r="AB233" i="8"/>
  <c r="AB240" i="8"/>
  <c r="AB234" i="8"/>
  <c r="AB257" i="8"/>
  <c r="AB242" i="8"/>
  <c r="AB249" i="8"/>
  <c r="AB244" i="8"/>
  <c r="AB237" i="8"/>
  <c r="AB243" i="8"/>
  <c r="AB245" i="8"/>
  <c r="AB235" i="8"/>
  <c r="AB246" i="8"/>
  <c r="AB238" i="8"/>
  <c r="AB248" i="8"/>
  <c r="AB231" i="8"/>
  <c r="AB253" i="8"/>
  <c r="AB258" i="8"/>
  <c r="AB247" i="8"/>
  <c r="AB232" i="8"/>
  <c r="AB250" i="8"/>
  <c r="AB252" i="8"/>
  <c r="AB241" i="8"/>
  <c r="AB236" i="8"/>
  <c r="AB251" i="8"/>
  <c r="AB230" i="8"/>
  <c r="AB239" i="8"/>
  <c r="AB229" i="8"/>
  <c r="AB254" i="8"/>
  <c r="AB399" i="8"/>
  <c r="AB355" i="8"/>
  <c r="AB381" i="8"/>
  <c r="AB384" i="8"/>
  <c r="AB380" i="8"/>
  <c r="AB392" i="8"/>
  <c r="AB353" i="8"/>
  <c r="AB363" i="8"/>
  <c r="AB394" i="8"/>
  <c r="AB397" i="8"/>
  <c r="AB360" i="8"/>
  <c r="AB398" i="8"/>
  <c r="AB361" i="8"/>
  <c r="AB371" i="8"/>
  <c r="AB357" i="8"/>
  <c r="AB362" i="8"/>
  <c r="AB366" i="8"/>
  <c r="AB364" i="8"/>
  <c r="AB367" i="8"/>
  <c r="AB377" i="8"/>
  <c r="AB387" i="8"/>
  <c r="AB382" i="8"/>
  <c r="AB388" i="8"/>
  <c r="AB352" i="8"/>
  <c r="AB365" i="8"/>
  <c r="AB393" i="8"/>
  <c r="AB358" i="8"/>
  <c r="AB354" i="8"/>
  <c r="AB401" i="8"/>
  <c r="AB372" i="8"/>
  <c r="AB386" i="8"/>
  <c r="AB359" i="8"/>
  <c r="AB379" i="8"/>
  <c r="AB374" i="8"/>
  <c r="AB389" i="8"/>
  <c r="AB383" i="8"/>
  <c r="AB356" i="8"/>
  <c r="AB376" i="8"/>
  <c r="AB369" i="8"/>
  <c r="AB373" i="8"/>
  <c r="AB395" i="8"/>
  <c r="AB400" i="8"/>
  <c r="AB402" i="8"/>
  <c r="AB385" i="8"/>
  <c r="AB378" i="8"/>
  <c r="AB390" i="8"/>
  <c r="AB391" i="8"/>
  <c r="AB368" i="8"/>
  <c r="AB370" i="8"/>
  <c r="AB396" i="8"/>
  <c r="AB375" i="8"/>
  <c r="AB552" i="8"/>
  <c r="AB561" i="8"/>
  <c r="AB570" i="8"/>
  <c r="AB549" i="8"/>
  <c r="AB567" i="8"/>
  <c r="AB541" i="8"/>
  <c r="AB560" i="8"/>
  <c r="AB569" i="8"/>
  <c r="AB532" i="8"/>
  <c r="AB565" i="8"/>
  <c r="AB555" i="8"/>
  <c r="AB557" i="8"/>
  <c r="AB568" i="8"/>
  <c r="AB577" i="8"/>
  <c r="AB540" i="8"/>
  <c r="AB535" i="8"/>
  <c r="AB543" i="8"/>
  <c r="AB573" i="8"/>
  <c r="AB529" i="8"/>
  <c r="AB538" i="8"/>
  <c r="AB556" i="8"/>
  <c r="AB575" i="8"/>
  <c r="AB551" i="8"/>
  <c r="AB558" i="8"/>
  <c r="AB545" i="8"/>
  <c r="AB572" i="8"/>
  <c r="AB527" i="8"/>
  <c r="AB553" i="8"/>
  <c r="AB533" i="8"/>
  <c r="AB531" i="8"/>
  <c r="AB530" i="8"/>
  <c r="AB571" i="8"/>
  <c r="AB542" i="8"/>
  <c r="AB536" i="8"/>
  <c r="AB554" i="8"/>
  <c r="AB550" i="8"/>
  <c r="AB559" i="8"/>
  <c r="AB548" i="8"/>
  <c r="AB528" i="8"/>
  <c r="AB539" i="8"/>
  <c r="AB574" i="8"/>
  <c r="AB563" i="8"/>
  <c r="AB564" i="8"/>
  <c r="AB534" i="8"/>
  <c r="AB537" i="8"/>
  <c r="AB562" i="8"/>
  <c r="AB544" i="8"/>
  <c r="AB566" i="8"/>
  <c r="AB576" i="8"/>
  <c r="AB547" i="8"/>
  <c r="AB546" i="8"/>
  <c r="T851" i="8"/>
  <c r="T45" i="8"/>
  <c r="T49" i="8"/>
  <c r="T960" i="8"/>
  <c r="T934" i="8"/>
  <c r="T461" i="8"/>
  <c r="T447" i="8"/>
  <c r="T916" i="8"/>
  <c r="T919" i="8"/>
  <c r="T259" i="8"/>
  <c r="T272" i="8"/>
  <c r="AB144" i="8"/>
  <c r="AB119" i="8"/>
  <c r="AB139" i="8"/>
  <c r="AB125" i="8"/>
  <c r="AB145" i="8"/>
  <c r="AB122" i="8"/>
  <c r="AB133" i="8"/>
  <c r="AB115" i="8"/>
  <c r="AB127" i="8"/>
  <c r="AB130" i="8"/>
  <c r="AB141" i="8"/>
  <c r="AB129" i="8"/>
  <c r="AB116" i="8"/>
  <c r="AB134" i="8"/>
  <c r="AB131" i="8"/>
  <c r="AB132" i="8"/>
  <c r="AB142" i="8"/>
  <c r="AB140" i="8"/>
  <c r="AB143" i="8"/>
  <c r="AB121" i="8"/>
  <c r="AB137" i="8"/>
  <c r="AB117" i="8"/>
  <c r="AB120" i="8"/>
  <c r="AB123" i="8"/>
  <c r="AB136" i="8"/>
  <c r="AB118" i="8"/>
  <c r="AB128" i="8"/>
  <c r="AB135" i="8"/>
  <c r="AB126" i="8"/>
  <c r="AB138" i="8"/>
  <c r="AB124" i="8"/>
  <c r="T853" i="8"/>
  <c r="T848" i="8"/>
  <c r="T870" i="8"/>
  <c r="T21" i="8"/>
  <c r="T27" i="8"/>
  <c r="T4" i="8"/>
  <c r="T25" i="8"/>
  <c r="T8" i="8"/>
  <c r="T976" i="8"/>
  <c r="T944" i="8"/>
  <c r="T953" i="8"/>
  <c r="T937" i="8"/>
  <c r="T975" i="8"/>
  <c r="T961" i="8"/>
  <c r="T464" i="8"/>
  <c r="T434" i="8"/>
  <c r="T458" i="8"/>
  <c r="T926" i="8"/>
  <c r="T910" i="8"/>
  <c r="T894" i="8"/>
  <c r="T878" i="8"/>
  <c r="T913" i="8"/>
  <c r="T897" i="8"/>
  <c r="T289" i="8"/>
  <c r="T267" i="8"/>
  <c r="T282" i="8"/>
  <c r="T153" i="8"/>
  <c r="T157" i="8"/>
  <c r="T155" i="8"/>
  <c r="T167" i="8"/>
  <c r="T149" i="8"/>
  <c r="T148" i="8"/>
  <c r="T154" i="8"/>
  <c r="T168" i="8"/>
  <c r="T172" i="8"/>
  <c r="T163" i="8"/>
  <c r="T169" i="8"/>
  <c r="T152" i="8"/>
  <c r="T156" i="8"/>
  <c r="AB415" i="8"/>
  <c r="AB418" i="8"/>
  <c r="AB422" i="8"/>
  <c r="AB413" i="8"/>
  <c r="AB409" i="8"/>
  <c r="AB419" i="8"/>
  <c r="AB417" i="8"/>
  <c r="AB421" i="8"/>
  <c r="AB412" i="8"/>
  <c r="AB408" i="8"/>
  <c r="AB404" i="8"/>
  <c r="AB424" i="8"/>
  <c r="AB426" i="8"/>
  <c r="AB423" i="8"/>
  <c r="AB430" i="8"/>
  <c r="AB407" i="8"/>
  <c r="AB414" i="8"/>
  <c r="AB428" i="8"/>
  <c r="AB433" i="8"/>
  <c r="AB406" i="8"/>
  <c r="AB429" i="8"/>
  <c r="AB432" i="8"/>
  <c r="AB411" i="8"/>
  <c r="AB410" i="8"/>
  <c r="AB431" i="8"/>
  <c r="AB420" i="8"/>
  <c r="AB416" i="8"/>
  <c r="AB425" i="8"/>
  <c r="AB405" i="8"/>
  <c r="AB403" i="8"/>
  <c r="AB427" i="8"/>
  <c r="T410" i="8"/>
  <c r="T418" i="8"/>
  <c r="T426" i="8"/>
  <c r="T407" i="8"/>
  <c r="T417" i="8"/>
  <c r="T403" i="8"/>
  <c r="T411" i="8"/>
  <c r="T419" i="8"/>
  <c r="T427" i="8"/>
  <c r="T405" i="8"/>
  <c r="T421" i="8"/>
  <c r="T416" i="8"/>
  <c r="T433" i="8"/>
  <c r="T404" i="8"/>
  <c r="T412" i="8"/>
  <c r="T420" i="8"/>
  <c r="T428" i="8"/>
  <c r="T413" i="8"/>
  <c r="T429" i="8"/>
  <c r="T415" i="8"/>
  <c r="T431" i="8"/>
  <c r="T408" i="8"/>
  <c r="T432" i="8"/>
  <c r="T409" i="8"/>
  <c r="T406" i="8"/>
  <c r="T414" i="8"/>
  <c r="T422" i="8"/>
  <c r="T430" i="8"/>
  <c r="T423" i="8"/>
  <c r="T424" i="8"/>
  <c r="T425" i="8"/>
  <c r="AB153" i="8"/>
  <c r="AB161" i="8"/>
  <c r="AB169" i="8"/>
  <c r="AB146" i="8"/>
  <c r="AB154" i="8"/>
  <c r="AB162" i="8"/>
  <c r="AB170" i="8"/>
  <c r="AB147" i="8"/>
  <c r="AB155" i="8"/>
  <c r="AB163" i="8"/>
  <c r="AB171" i="8"/>
  <c r="AB148" i="8"/>
  <c r="AB156" i="8"/>
  <c r="AB164" i="8"/>
  <c r="AB172" i="8"/>
  <c r="AB160" i="8"/>
  <c r="AB149" i="8"/>
  <c r="AB157" i="8"/>
  <c r="AB165" i="8"/>
  <c r="AB173" i="8"/>
  <c r="AB152" i="8"/>
  <c r="AB176" i="8"/>
  <c r="AB150" i="8"/>
  <c r="AB158" i="8"/>
  <c r="AB166" i="8"/>
  <c r="AB174" i="8"/>
  <c r="AB151" i="8"/>
  <c r="AB159" i="8"/>
  <c r="AB167" i="8"/>
  <c r="AB175" i="8"/>
  <c r="AB168" i="8"/>
  <c r="I31" i="8"/>
  <c r="AD1233" i="8" l="1"/>
  <c r="AD1248" i="8"/>
  <c r="AD1238" i="8"/>
  <c r="AD1226" i="8"/>
  <c r="AD1328" i="8"/>
  <c r="AD1241" i="8"/>
  <c r="AD1249" i="8"/>
  <c r="AD1245" i="8"/>
  <c r="AD1243" i="8"/>
  <c r="AD3" i="8"/>
  <c r="AD1330" i="8"/>
  <c r="AD1232" i="8"/>
  <c r="AD1227" i="8"/>
  <c r="AD1237" i="8"/>
  <c r="AD1329" i="8"/>
  <c r="AD1242" i="8"/>
  <c r="AD1229" i="8"/>
  <c r="AD1234" i="8"/>
  <c r="AD1247" i="8"/>
  <c r="AD1239" i="8"/>
  <c r="AD1331" i="8"/>
  <c r="AD1228" i="8"/>
  <c r="AD1246" i="8"/>
  <c r="AD1250" i="8"/>
  <c r="AD1231" i="8"/>
  <c r="AD1230" i="8"/>
  <c r="AD1244" i="8"/>
  <c r="AD1236" i="8"/>
  <c r="AD1235" i="8"/>
  <c r="M31" i="8"/>
  <c r="AI1379" i="8"/>
  <c r="AI1522" i="8"/>
  <c r="AI1250" i="8"/>
  <c r="AI1481" i="8"/>
  <c r="AI1331" i="8"/>
  <c r="AI1430" i="8"/>
  <c r="AI1471" i="8"/>
  <c r="E75" i="9"/>
  <c r="G75" i="9"/>
  <c r="F75" i="9" s="1"/>
  <c r="K8" i="8"/>
  <c r="K2" i="8"/>
  <c r="K19" i="8"/>
  <c r="F1249" i="8"/>
  <c r="F1232" i="8"/>
  <c r="F1247" i="8"/>
  <c r="L1523" i="8"/>
  <c r="AD1523" i="8" s="1"/>
  <c r="F1233" i="8"/>
  <c r="F1236" i="8"/>
  <c r="F1243" i="8"/>
  <c r="L1472" i="8"/>
  <c r="AD1472" i="8" s="1"/>
  <c r="F1234" i="8"/>
  <c r="F1239" i="8"/>
  <c r="F1328" i="8"/>
  <c r="F1228" i="8"/>
  <c r="F1246" i="8"/>
  <c r="F1229" i="8"/>
  <c r="F1241" i="8"/>
  <c r="F1238" i="8"/>
  <c r="F1227" i="8"/>
  <c r="F1231" i="8"/>
  <c r="F1237" i="8"/>
  <c r="F1230" i="8"/>
  <c r="F1244" i="8"/>
  <c r="F1248" i="8"/>
  <c r="F1330" i="8"/>
  <c r="F1245" i="8"/>
  <c r="F1226" i="8"/>
  <c r="F1329" i="8"/>
  <c r="F1235" i="8"/>
  <c r="F1242" i="8"/>
  <c r="F1240" i="8"/>
  <c r="E30" i="8"/>
  <c r="E1089" i="8"/>
  <c r="AI1088" i="8"/>
  <c r="I76" i="9"/>
  <c r="E1251" i="8"/>
  <c r="E1472" i="8"/>
  <c r="E1421" i="8"/>
  <c r="E1523" i="8"/>
  <c r="E1332" i="8"/>
  <c r="Z1090" i="8"/>
  <c r="Z1333" i="8"/>
  <c r="G1473" i="8"/>
  <c r="B1473" i="8" s="1"/>
  <c r="M1473" i="8"/>
  <c r="AF1473" i="8"/>
  <c r="AA1473" i="8" s="1"/>
  <c r="AH1473" i="8"/>
  <c r="K1473" i="8"/>
  <c r="F1473" i="8" s="1"/>
  <c r="AG1473" i="8"/>
  <c r="I1474" i="8"/>
  <c r="A1472" i="8"/>
  <c r="A1523" i="8"/>
  <c r="AG1524" i="8"/>
  <c r="AF1524" i="8"/>
  <c r="AA1524" i="8" s="1"/>
  <c r="AH1524" i="8"/>
  <c r="I1525" i="8"/>
  <c r="M1524" i="8"/>
  <c r="G1524" i="8"/>
  <c r="B1524" i="8" s="1"/>
  <c r="K1524" i="8"/>
  <c r="F1524" i="8" s="1"/>
  <c r="AH31" i="8"/>
  <c r="I1423" i="8"/>
  <c r="G1422" i="8"/>
  <c r="E1422" i="8" s="1"/>
  <c r="AF1422" i="8"/>
  <c r="AA1422" i="8" s="1"/>
  <c r="K1422" i="8"/>
  <c r="F1422" i="8" s="1"/>
  <c r="AG1422" i="8"/>
  <c r="M1422" i="8"/>
  <c r="AH1422" i="8"/>
  <c r="A1421" i="8"/>
  <c r="L1421" i="8"/>
  <c r="AD1421" i="8" s="1"/>
  <c r="M1090" i="8"/>
  <c r="M1333" i="8"/>
  <c r="M1252" i="8"/>
  <c r="AH1090" i="8"/>
  <c r="AH1252" i="8"/>
  <c r="AH1333" i="8"/>
  <c r="L1332" i="8"/>
  <c r="AD1332" i="8" s="1"/>
  <c r="K26" i="8"/>
  <c r="K30" i="8"/>
  <c r="K1079" i="8"/>
  <c r="K1083" i="8"/>
  <c r="K24" i="8"/>
  <c r="K17" i="8"/>
  <c r="K22" i="8"/>
  <c r="K4" i="8"/>
  <c r="K10" i="8"/>
  <c r="K27" i="8"/>
  <c r="K14" i="8"/>
  <c r="K23" i="8"/>
  <c r="K18" i="8"/>
  <c r="K1073" i="8"/>
  <c r="K1089" i="8"/>
  <c r="K1077" i="8"/>
  <c r="K1084" i="8"/>
  <c r="K25" i="8"/>
  <c r="K1075" i="8"/>
  <c r="K13" i="8"/>
  <c r="K1086" i="8"/>
  <c r="K1088" i="8"/>
  <c r="K21" i="8"/>
  <c r="K16" i="8"/>
  <c r="K1078" i="8"/>
  <c r="K1082" i="8"/>
  <c r="K7" i="8"/>
  <c r="K5" i="8"/>
  <c r="K9" i="8"/>
  <c r="K15" i="8"/>
  <c r="K1076" i="8"/>
  <c r="K1074" i="8"/>
  <c r="K29" i="8"/>
  <c r="K20" i="8"/>
  <c r="K1087" i="8"/>
  <c r="K6" i="8"/>
  <c r="K11" i="8"/>
  <c r="K28" i="8"/>
  <c r="K12" i="8"/>
  <c r="K1080" i="8"/>
  <c r="K1081" i="8"/>
  <c r="K1085" i="8"/>
  <c r="B1089" i="8"/>
  <c r="B30" i="8"/>
  <c r="L1089" i="8"/>
  <c r="AF1333" i="8"/>
  <c r="AA1333" i="8" s="1"/>
  <c r="K1333" i="8"/>
  <c r="F1333" i="8" s="1"/>
  <c r="AG1333" i="8"/>
  <c r="I1334" i="8"/>
  <c r="G1333" i="8"/>
  <c r="B1333" i="8" s="1"/>
  <c r="A1089" i="8"/>
  <c r="A1332" i="8"/>
  <c r="AG1090" i="8"/>
  <c r="I1091" i="8"/>
  <c r="G1090" i="8"/>
  <c r="K1090" i="8"/>
  <c r="AF1090" i="8"/>
  <c r="AA1090" i="8" s="1"/>
  <c r="L30" i="8"/>
  <c r="A1251" i="8"/>
  <c r="G1252" i="8"/>
  <c r="B1252" i="8" s="1"/>
  <c r="AG1252" i="8"/>
  <c r="K1252" i="8"/>
  <c r="F1252" i="8" s="1"/>
  <c r="I1253" i="8"/>
  <c r="AF1252" i="8"/>
  <c r="AA1252" i="8" s="1"/>
  <c r="L1251" i="8"/>
  <c r="AD1251" i="8" s="1"/>
  <c r="AG31" i="8"/>
  <c r="A30" i="8"/>
  <c r="AF31" i="8"/>
  <c r="AA31" i="8" s="1"/>
  <c r="G31" i="8"/>
  <c r="K31" i="8"/>
  <c r="I32" i="8"/>
  <c r="AD6" i="8" l="1"/>
  <c r="AD23" i="8"/>
  <c r="AD1085" i="8"/>
  <c r="AD20" i="8"/>
  <c r="AD1082" i="8"/>
  <c r="AD25" i="8"/>
  <c r="AD27" i="8"/>
  <c r="AD30" i="8"/>
  <c r="AD13" i="8"/>
  <c r="AD1077" i="8"/>
  <c r="AD1080" i="8"/>
  <c r="AD1074" i="8"/>
  <c r="AD16" i="8"/>
  <c r="AD4" i="8"/>
  <c r="AD12" i="8"/>
  <c r="AD1076" i="8"/>
  <c r="AD21" i="8"/>
  <c r="AD22" i="8"/>
  <c r="AD19" i="8"/>
  <c r="AD1087" i="8"/>
  <c r="AD1075" i="8"/>
  <c r="AD14" i="8"/>
  <c r="AD1079" i="8"/>
  <c r="AD1081" i="8"/>
  <c r="AD29" i="8"/>
  <c r="AD1078" i="8"/>
  <c r="AD1084" i="8"/>
  <c r="AD10" i="8"/>
  <c r="AD26" i="8"/>
  <c r="AD28" i="8"/>
  <c r="AD15" i="8"/>
  <c r="AD1088" i="8"/>
  <c r="AD1073" i="8"/>
  <c r="AD17" i="8"/>
  <c r="AD2" i="8"/>
  <c r="AD5" i="8"/>
  <c r="AD1083" i="8"/>
  <c r="AD7" i="8"/>
  <c r="AD11" i="8"/>
  <c r="AD9" i="8"/>
  <c r="AD1086" i="8"/>
  <c r="AD18" i="8"/>
  <c r="AD24" i="8"/>
  <c r="AD8" i="8"/>
  <c r="AD1089" i="8"/>
  <c r="M32" i="8"/>
  <c r="AI1332" i="8"/>
  <c r="AI1523" i="8"/>
  <c r="AI1421" i="8"/>
  <c r="AI1472" i="8"/>
  <c r="AI1251" i="8"/>
  <c r="F8" i="8"/>
  <c r="E76" i="9"/>
  <c r="G76" i="9"/>
  <c r="F76" i="9" s="1"/>
  <c r="AI1089" i="8"/>
  <c r="F2" i="8"/>
  <c r="F19" i="8"/>
  <c r="L1524" i="8"/>
  <c r="AD1524" i="8" s="1"/>
  <c r="L1473" i="8"/>
  <c r="AD1473" i="8" s="1"/>
  <c r="L1422" i="8"/>
  <c r="AD1422" i="8" s="1"/>
  <c r="F1082" i="8"/>
  <c r="F1081" i="8"/>
  <c r="F1090" i="8"/>
  <c r="F1080" i="8"/>
  <c r="F1074" i="8"/>
  <c r="F16" i="8"/>
  <c r="F1077" i="8"/>
  <c r="F4" i="8"/>
  <c r="F20" i="8"/>
  <c r="F25" i="8"/>
  <c r="F30" i="8"/>
  <c r="F26" i="8"/>
  <c r="E1090" i="8"/>
  <c r="F12" i="8"/>
  <c r="F21" i="8"/>
  <c r="F28" i="8"/>
  <c r="E31" i="8"/>
  <c r="F11" i="8"/>
  <c r="F9" i="8"/>
  <c r="F1086" i="8"/>
  <c r="F18" i="8"/>
  <c r="F24" i="8"/>
  <c r="F29" i="8"/>
  <c r="F1084" i="8"/>
  <c r="F1076" i="8"/>
  <c r="F1089" i="8"/>
  <c r="F22" i="8"/>
  <c r="F31" i="8"/>
  <c r="F15" i="8"/>
  <c r="F1073" i="8"/>
  <c r="F6" i="8"/>
  <c r="F5" i="8"/>
  <c r="F13" i="8"/>
  <c r="F23" i="8"/>
  <c r="F1083" i="8"/>
  <c r="F1085" i="8"/>
  <c r="F27" i="8"/>
  <c r="F1078" i="8"/>
  <c r="F10" i="8"/>
  <c r="F1088" i="8"/>
  <c r="F17" i="8"/>
  <c r="F1087" i="8"/>
  <c r="F1075" i="8"/>
  <c r="F14" i="8"/>
  <c r="F1079" i="8"/>
  <c r="I77" i="9"/>
  <c r="E1524" i="8"/>
  <c r="E1473" i="8"/>
  <c r="E1252" i="8"/>
  <c r="E1333" i="8"/>
  <c r="AI1422" i="8"/>
  <c r="F7" i="8"/>
  <c r="Z1334" i="8"/>
  <c r="A1473" i="8"/>
  <c r="I1475" i="8"/>
  <c r="AG1474" i="8"/>
  <c r="AF1474" i="8"/>
  <c r="AA1474" i="8" s="1"/>
  <c r="K1474" i="8"/>
  <c r="F1474" i="8" s="1"/>
  <c r="M1474" i="8"/>
  <c r="G1474" i="8"/>
  <c r="B1474" i="8" s="1"/>
  <c r="AH1474" i="8"/>
  <c r="M1525" i="8"/>
  <c r="AF1525" i="8"/>
  <c r="AA1525" i="8" s="1"/>
  <c r="AG1525" i="8"/>
  <c r="G1525" i="8"/>
  <c r="B1525" i="8" s="1"/>
  <c r="I1526" i="8"/>
  <c r="K1525" i="8"/>
  <c r="F1525" i="8" s="1"/>
  <c r="A1524" i="8"/>
  <c r="AH1525" i="8"/>
  <c r="B1422" i="8"/>
  <c r="A1422" i="8"/>
  <c r="AH1423" i="8"/>
  <c r="M1423" i="8"/>
  <c r="I1424" i="8"/>
  <c r="K1423" i="8"/>
  <c r="F1423" i="8" s="1"/>
  <c r="AG1423" i="8"/>
  <c r="G1423" i="8"/>
  <c r="E1423" i="8" s="1"/>
  <c r="AF1423" i="8"/>
  <c r="AA1423" i="8" s="1"/>
  <c r="M1253" i="8"/>
  <c r="M1334" i="8"/>
  <c r="M1091" i="8"/>
  <c r="AH1253" i="8"/>
  <c r="AH1334" i="8"/>
  <c r="AH32" i="8"/>
  <c r="AH1091" i="8"/>
  <c r="B31" i="8"/>
  <c r="B1090" i="8"/>
  <c r="L1090" i="8"/>
  <c r="L1333" i="8"/>
  <c r="AD1333" i="8" s="1"/>
  <c r="G1334" i="8"/>
  <c r="B1334" i="8" s="1"/>
  <c r="AG1334" i="8"/>
  <c r="I1335" i="8"/>
  <c r="A1090" i="8"/>
  <c r="K1334" i="8"/>
  <c r="F1334" i="8" s="1"/>
  <c r="AF1334" i="8"/>
  <c r="AA1334" i="8" s="1"/>
  <c r="A1333" i="8"/>
  <c r="I1092" i="8"/>
  <c r="AG1091" i="8"/>
  <c r="G1091" i="8"/>
  <c r="AF1091" i="8"/>
  <c r="AA1091" i="8" s="1"/>
  <c r="K1091" i="8"/>
  <c r="L31" i="8"/>
  <c r="A1252" i="8"/>
  <c r="I1254" i="8"/>
  <c r="G1253" i="8"/>
  <c r="B1253" i="8" s="1"/>
  <c r="AG1253" i="8"/>
  <c r="K1253" i="8"/>
  <c r="F1253" i="8" s="1"/>
  <c r="AF1253" i="8"/>
  <c r="AA1253" i="8" s="1"/>
  <c r="L1252" i="8"/>
  <c r="AD1252" i="8" s="1"/>
  <c r="AG32" i="8"/>
  <c r="A31" i="8"/>
  <c r="AF32" i="8"/>
  <c r="AA32" i="8" s="1"/>
  <c r="G32" i="8"/>
  <c r="I33" i="8"/>
  <c r="K32" i="8"/>
  <c r="AD31" i="8" l="1"/>
  <c r="AD1090" i="8"/>
  <c r="M33" i="8"/>
  <c r="AI1252" i="8"/>
  <c r="AI1473" i="8"/>
  <c r="AI1524" i="8"/>
  <c r="AI1333" i="8"/>
  <c r="G77" i="9"/>
  <c r="F77" i="9" s="1"/>
  <c r="E77" i="9"/>
  <c r="AI1090" i="8"/>
  <c r="L1525" i="8"/>
  <c r="AD1525" i="8" s="1"/>
  <c r="L1474" i="8"/>
  <c r="AD1474" i="8" s="1"/>
  <c r="P5" i="9"/>
  <c r="F32" i="8"/>
  <c r="F1091" i="8"/>
  <c r="E1091" i="8"/>
  <c r="E32" i="8"/>
  <c r="P4" i="9"/>
  <c r="I78" i="9"/>
  <c r="E1334" i="8"/>
  <c r="E1525" i="8"/>
  <c r="E1253" i="8"/>
  <c r="E1474" i="8"/>
  <c r="AI1423" i="8"/>
  <c r="Z1335" i="8"/>
  <c r="I1476" i="8"/>
  <c r="K1475" i="8"/>
  <c r="F1475" i="8" s="1"/>
  <c r="M1475" i="8"/>
  <c r="G1475" i="8"/>
  <c r="B1475" i="8" s="1"/>
  <c r="AF1475" i="8"/>
  <c r="AA1475" i="8" s="1"/>
  <c r="AH1475" i="8"/>
  <c r="AG1475" i="8"/>
  <c r="A1474" i="8"/>
  <c r="A1525" i="8"/>
  <c r="AH1526" i="8"/>
  <c r="I1527" i="8"/>
  <c r="G1526" i="8"/>
  <c r="B1526" i="8" s="1"/>
  <c r="AF1526" i="8"/>
  <c r="AA1526" i="8" s="1"/>
  <c r="M1526" i="8"/>
  <c r="K1526" i="8"/>
  <c r="F1526" i="8" s="1"/>
  <c r="AG1526" i="8"/>
  <c r="B1423" i="8"/>
  <c r="A1423" i="8"/>
  <c r="L1423" i="8"/>
  <c r="AD1423" i="8" s="1"/>
  <c r="AH1424" i="8"/>
  <c r="G1424" i="8"/>
  <c r="B1424" i="8" s="1"/>
  <c r="AF1424" i="8"/>
  <c r="AA1424" i="8" s="1"/>
  <c r="I1425" i="8"/>
  <c r="M1424" i="8"/>
  <c r="K1424" i="8"/>
  <c r="F1424" i="8" s="1"/>
  <c r="AG1424" i="8"/>
  <c r="M1254" i="8"/>
  <c r="M1092" i="8"/>
  <c r="M1335" i="8"/>
  <c r="AH1335" i="8"/>
  <c r="AH1092" i="8"/>
  <c r="AH33" i="8"/>
  <c r="AH1254" i="8"/>
  <c r="L32" i="8"/>
  <c r="L1091" i="8"/>
  <c r="B32" i="8"/>
  <c r="B1091" i="8"/>
  <c r="L1334" i="8"/>
  <c r="AD1334" i="8" s="1"/>
  <c r="I1093" i="8"/>
  <c r="AG1335" i="8"/>
  <c r="AF1335" i="8"/>
  <c r="AA1335" i="8" s="1"/>
  <c r="A1334" i="8"/>
  <c r="K1092" i="8"/>
  <c r="I1336" i="8"/>
  <c r="G1335" i="8"/>
  <c r="B1335" i="8" s="1"/>
  <c r="K1335" i="8"/>
  <c r="F1335" i="8" s="1"/>
  <c r="G1092" i="8"/>
  <c r="A1091" i="8"/>
  <c r="AF1092" i="8"/>
  <c r="AA1092" i="8" s="1"/>
  <c r="AG1092" i="8"/>
  <c r="L1253" i="8"/>
  <c r="AD1253" i="8" s="1"/>
  <c r="A1253" i="8"/>
  <c r="AG1254" i="8"/>
  <c r="G1254" i="8"/>
  <c r="B1254" i="8" s="1"/>
  <c r="I1255" i="8"/>
  <c r="K1254" i="8"/>
  <c r="F1254" i="8" s="1"/>
  <c r="AF1254" i="8"/>
  <c r="AA1254" i="8" s="1"/>
  <c r="AG33" i="8"/>
  <c r="A32" i="8"/>
  <c r="AF33" i="8"/>
  <c r="AA33" i="8" s="1"/>
  <c r="G33" i="8"/>
  <c r="K33" i="8"/>
  <c r="I34" i="8"/>
  <c r="AD32" i="8" l="1"/>
  <c r="AD1091" i="8"/>
  <c r="M34" i="8"/>
  <c r="AI1525" i="8"/>
  <c r="AI1334" i="8"/>
  <c r="AI1474" i="8"/>
  <c r="AI1253" i="8"/>
  <c r="E78" i="9"/>
  <c r="G78" i="9"/>
  <c r="F78" i="9" s="1"/>
  <c r="L1475" i="8"/>
  <c r="AD1475" i="8" s="1"/>
  <c r="L1526" i="8"/>
  <c r="AD1526" i="8" s="1"/>
  <c r="AI1091" i="8"/>
  <c r="F1092" i="8"/>
  <c r="E33" i="8"/>
  <c r="E1092" i="8"/>
  <c r="F33" i="8"/>
  <c r="I79" i="9"/>
  <c r="E1335" i="8"/>
  <c r="E1424" i="8"/>
  <c r="E1526" i="8"/>
  <c r="E1254" i="8"/>
  <c r="E1475" i="8"/>
  <c r="Z1336" i="8"/>
  <c r="AH34" i="8"/>
  <c r="A1526" i="8"/>
  <c r="K1476" i="8"/>
  <c r="F1476" i="8" s="1"/>
  <c r="G1476" i="8"/>
  <c r="B1476" i="8" s="1"/>
  <c r="AF1476" i="8"/>
  <c r="AA1476" i="8" s="1"/>
  <c r="AH1476" i="8"/>
  <c r="AG1476" i="8"/>
  <c r="I1477" i="8"/>
  <c r="M1476" i="8"/>
  <c r="A1475" i="8"/>
  <c r="G1527" i="8"/>
  <c r="B1527" i="8" s="1"/>
  <c r="AF1527" i="8"/>
  <c r="AA1527" i="8" s="1"/>
  <c r="K1527" i="8"/>
  <c r="F1527" i="8" s="1"/>
  <c r="AH1527" i="8"/>
  <c r="I1528" i="8"/>
  <c r="AG1527" i="8"/>
  <c r="M1527" i="8"/>
  <c r="L1424" i="8"/>
  <c r="AD1424" i="8" s="1"/>
  <c r="AH1425" i="8"/>
  <c r="AG1425" i="8"/>
  <c r="M1425" i="8"/>
  <c r="G1425" i="8"/>
  <c r="E1425" i="8" s="1"/>
  <c r="AF1425" i="8"/>
  <c r="AA1425" i="8" s="1"/>
  <c r="K1425" i="8"/>
  <c r="F1425" i="8" s="1"/>
  <c r="I1426" i="8"/>
  <c r="A1424" i="8"/>
  <c r="M1336" i="8"/>
  <c r="M1093" i="8"/>
  <c r="M1255" i="8"/>
  <c r="AH1255" i="8"/>
  <c r="AH1093" i="8"/>
  <c r="AH1336" i="8"/>
  <c r="L1254" i="8"/>
  <c r="AD1254" i="8" s="1"/>
  <c r="L1335" i="8"/>
  <c r="AD1335" i="8" s="1"/>
  <c r="B33" i="8"/>
  <c r="B1092" i="8"/>
  <c r="L1092" i="8"/>
  <c r="I1175" i="8"/>
  <c r="G1093" i="8"/>
  <c r="K1093" i="8"/>
  <c r="I1094" i="8"/>
  <c r="AG1093" i="8"/>
  <c r="AF1093" i="8"/>
  <c r="AA1093" i="8" s="1"/>
  <c r="G1336" i="8"/>
  <c r="B1336" i="8" s="1"/>
  <c r="AG1336" i="8"/>
  <c r="K1336" i="8"/>
  <c r="F1336" i="8" s="1"/>
  <c r="A1335" i="8"/>
  <c r="AF1336" i="8"/>
  <c r="AA1336" i="8" s="1"/>
  <c r="I1337" i="8"/>
  <c r="A1092" i="8"/>
  <c r="L33" i="8"/>
  <c r="I1256" i="8"/>
  <c r="K1255" i="8"/>
  <c r="F1255" i="8" s="1"/>
  <c r="AG1255" i="8"/>
  <c r="G1255" i="8"/>
  <c r="B1255" i="8" s="1"/>
  <c r="AF1255" i="8"/>
  <c r="AA1255" i="8" s="1"/>
  <c r="A1254" i="8"/>
  <c r="AG34" i="8"/>
  <c r="A33" i="8"/>
  <c r="AF34" i="8"/>
  <c r="AA34" i="8" s="1"/>
  <c r="G34" i="8"/>
  <c r="K34" i="8"/>
  <c r="I35" i="8"/>
  <c r="AD1092" i="8" l="1"/>
  <c r="AD33" i="8"/>
  <c r="M35" i="8"/>
  <c r="AI1526" i="8"/>
  <c r="AI1335" i="8"/>
  <c r="AI1475" i="8"/>
  <c r="AI1424" i="8"/>
  <c r="AI1254" i="8"/>
  <c r="G79" i="9"/>
  <c r="F79" i="9" s="1"/>
  <c r="E79" i="9"/>
  <c r="AI1092" i="8"/>
  <c r="L1527" i="8"/>
  <c r="AD1527" i="8" s="1"/>
  <c r="L1476" i="8"/>
  <c r="AD1476" i="8" s="1"/>
  <c r="E1093" i="8"/>
  <c r="F34" i="8"/>
  <c r="F1093" i="8"/>
  <c r="E34" i="8"/>
  <c r="I80" i="9"/>
  <c r="E1527" i="8"/>
  <c r="E1476" i="8"/>
  <c r="E1255" i="8"/>
  <c r="E1336" i="8"/>
  <c r="AI1425" i="8"/>
  <c r="A1476" i="8"/>
  <c r="Z1337" i="8"/>
  <c r="W1175" i="8"/>
  <c r="Z1175" i="8"/>
  <c r="M1477" i="8"/>
  <c r="AG1477" i="8"/>
  <c r="AH1477" i="8"/>
  <c r="I1478" i="8"/>
  <c r="K1477" i="8"/>
  <c r="F1477" i="8" s="1"/>
  <c r="G1477" i="8"/>
  <c r="B1477" i="8" s="1"/>
  <c r="AF1477" i="8"/>
  <c r="AA1477" i="8" s="1"/>
  <c r="X1175" i="8"/>
  <c r="I1529" i="8"/>
  <c r="K1528" i="8"/>
  <c r="F1528" i="8" s="1"/>
  <c r="M1528" i="8"/>
  <c r="AH1528" i="8"/>
  <c r="G1528" i="8"/>
  <c r="B1528" i="8" s="1"/>
  <c r="A1527" i="8"/>
  <c r="AG1528" i="8"/>
  <c r="AF1528" i="8"/>
  <c r="AA1528" i="8" s="1"/>
  <c r="L1425" i="8"/>
  <c r="AD1425" i="8" s="1"/>
  <c r="AH1426" i="8"/>
  <c r="K1426" i="8"/>
  <c r="F1426" i="8" s="1"/>
  <c r="M1426" i="8"/>
  <c r="I1427" i="8"/>
  <c r="G1426" i="8"/>
  <c r="B1426" i="8" s="1"/>
  <c r="AF1426" i="8"/>
  <c r="AA1426" i="8" s="1"/>
  <c r="AG1426" i="8"/>
  <c r="B1425" i="8"/>
  <c r="A1425" i="8"/>
  <c r="M1094" i="8"/>
  <c r="M1337" i="8"/>
  <c r="M1256" i="8"/>
  <c r="M1175" i="8"/>
  <c r="AH35" i="8"/>
  <c r="AH1094" i="8"/>
  <c r="AH1337" i="8"/>
  <c r="AH1256" i="8"/>
  <c r="AH1175" i="8"/>
  <c r="B1093" i="8"/>
  <c r="B34" i="8"/>
  <c r="AG1094" i="8"/>
  <c r="AG1175" i="8"/>
  <c r="L1336" i="8"/>
  <c r="AD1336" i="8" s="1"/>
  <c r="L1093" i="8"/>
  <c r="A1093" i="8"/>
  <c r="G1175" i="8"/>
  <c r="B1175" i="8" s="1"/>
  <c r="K1175" i="8"/>
  <c r="F1175" i="8" s="1"/>
  <c r="AF1175" i="8"/>
  <c r="AA1175" i="8" s="1"/>
  <c r="K1094" i="8"/>
  <c r="I1176" i="8"/>
  <c r="I1095" i="8"/>
  <c r="G1094" i="8"/>
  <c r="AF1094" i="8"/>
  <c r="AA1094" i="8" s="1"/>
  <c r="I1338" i="8"/>
  <c r="K1337" i="8"/>
  <c r="F1337" i="8" s="1"/>
  <c r="G1337" i="8"/>
  <c r="B1337" i="8" s="1"/>
  <c r="A1336" i="8"/>
  <c r="AG1337" i="8"/>
  <c r="AF1337" i="8"/>
  <c r="AA1337" i="8" s="1"/>
  <c r="L34" i="8"/>
  <c r="K1256" i="8"/>
  <c r="F1256" i="8" s="1"/>
  <c r="G1256" i="8"/>
  <c r="B1256" i="8" s="1"/>
  <c r="AG1256" i="8"/>
  <c r="I1257" i="8"/>
  <c r="AF1256" i="8"/>
  <c r="AA1256" i="8" s="1"/>
  <c r="A1255" i="8"/>
  <c r="L1255" i="8"/>
  <c r="AD1255" i="8" s="1"/>
  <c r="AG35" i="8"/>
  <c r="A34" i="8"/>
  <c r="AF35" i="8"/>
  <c r="AA35" i="8" s="1"/>
  <c r="G35" i="8"/>
  <c r="I36" i="8"/>
  <c r="K35" i="8"/>
  <c r="AD34" i="8" l="1"/>
  <c r="AD1093" i="8"/>
  <c r="M36" i="8"/>
  <c r="AI1336" i="8"/>
  <c r="AI1527" i="8"/>
  <c r="AI1255" i="8"/>
  <c r="AI1476" i="8"/>
  <c r="G80" i="9"/>
  <c r="F80" i="9" s="1"/>
  <c r="E80" i="9"/>
  <c r="AI1093" i="8"/>
  <c r="L1528" i="8"/>
  <c r="AD1528" i="8" s="1"/>
  <c r="L1477" i="8"/>
  <c r="AD1477" i="8" s="1"/>
  <c r="E1094" i="8"/>
  <c r="E35" i="8"/>
  <c r="F35" i="8"/>
  <c r="F1094" i="8"/>
  <c r="I81" i="9"/>
  <c r="E1337" i="8"/>
  <c r="E1426" i="8"/>
  <c r="E1256" i="8"/>
  <c r="E1528" i="8"/>
  <c r="E1477" i="8"/>
  <c r="I1479" i="8"/>
  <c r="Z1176" i="8"/>
  <c r="Z1338" i="8"/>
  <c r="A1477" i="8"/>
  <c r="K1478" i="8"/>
  <c r="F1478" i="8" s="1"/>
  <c r="G1478" i="8"/>
  <c r="B1478" i="8" s="1"/>
  <c r="AH1478" i="8"/>
  <c r="M1478" i="8"/>
  <c r="AF1478" i="8"/>
  <c r="AA1478" i="8" s="1"/>
  <c r="AG1478" i="8"/>
  <c r="K1529" i="8"/>
  <c r="F1529" i="8" s="1"/>
  <c r="I1530" i="8"/>
  <c r="AH1529" i="8"/>
  <c r="AG1529" i="8"/>
  <c r="G1529" i="8"/>
  <c r="B1529" i="8" s="1"/>
  <c r="M1529" i="8"/>
  <c r="AF1529" i="8"/>
  <c r="AA1529" i="8" s="1"/>
  <c r="A1528" i="8"/>
  <c r="M1427" i="8"/>
  <c r="AH1427" i="8"/>
  <c r="G1427" i="8"/>
  <c r="E1427" i="8" s="1"/>
  <c r="I1428" i="8"/>
  <c r="K1427" i="8"/>
  <c r="F1427" i="8" s="1"/>
  <c r="AG1427" i="8"/>
  <c r="AF1427" i="8"/>
  <c r="AA1427" i="8" s="1"/>
  <c r="A1426" i="8"/>
  <c r="L1426" i="8"/>
  <c r="AD1426" i="8" s="1"/>
  <c r="M1095" i="8"/>
  <c r="M1257" i="8"/>
  <c r="M1176" i="8"/>
  <c r="M1338" i="8"/>
  <c r="AH36" i="8"/>
  <c r="AH1176" i="8"/>
  <c r="AH1257" i="8"/>
  <c r="AH1338" i="8"/>
  <c r="AH1095" i="8"/>
  <c r="L1256" i="8"/>
  <c r="AD1256" i="8" s="1"/>
  <c r="B1094" i="8"/>
  <c r="B35" i="8"/>
  <c r="A1175" i="8"/>
  <c r="L1337" i="8"/>
  <c r="AD1337" i="8" s="1"/>
  <c r="L1094" i="8"/>
  <c r="L1175" i="8"/>
  <c r="AD1175" i="8" s="1"/>
  <c r="AF1176" i="8"/>
  <c r="AA1176" i="8" s="1"/>
  <c r="G1176" i="8"/>
  <c r="B1176" i="8" s="1"/>
  <c r="K1176" i="8"/>
  <c r="F1176" i="8" s="1"/>
  <c r="I1177" i="8"/>
  <c r="AG1176" i="8"/>
  <c r="I1096" i="8"/>
  <c r="I1339" i="8"/>
  <c r="AF1095" i="8"/>
  <c r="AA1095" i="8" s="1"/>
  <c r="K1095" i="8"/>
  <c r="G1095" i="8"/>
  <c r="AG1095" i="8"/>
  <c r="A1094" i="8"/>
  <c r="K1338" i="8"/>
  <c r="F1338" i="8" s="1"/>
  <c r="AF1338" i="8"/>
  <c r="AA1338" i="8" s="1"/>
  <c r="G1338" i="8"/>
  <c r="B1338" i="8" s="1"/>
  <c r="AG1338" i="8"/>
  <c r="A1337" i="8"/>
  <c r="L35" i="8"/>
  <c r="A1256" i="8"/>
  <c r="I1258" i="8"/>
  <c r="AG1257" i="8"/>
  <c r="G1257" i="8"/>
  <c r="B1257" i="8" s="1"/>
  <c r="K1257" i="8"/>
  <c r="F1257" i="8" s="1"/>
  <c r="AF1257" i="8"/>
  <c r="AA1257" i="8" s="1"/>
  <c r="AG36" i="8"/>
  <c r="A35" i="8"/>
  <c r="AF36" i="8"/>
  <c r="AA36" i="8" s="1"/>
  <c r="G36" i="8"/>
  <c r="I37" i="8"/>
  <c r="K36" i="8"/>
  <c r="AD35" i="8" l="1"/>
  <c r="AD1094" i="8"/>
  <c r="M37" i="8"/>
  <c r="AI1477" i="8"/>
  <c r="AI1256" i="8"/>
  <c r="AI1528" i="8"/>
  <c r="AI1426" i="8"/>
  <c r="AI1337" i="8"/>
  <c r="G81" i="9"/>
  <c r="F81" i="9" s="1"/>
  <c r="E81" i="9"/>
  <c r="L1478" i="8"/>
  <c r="AD1478" i="8" s="1"/>
  <c r="AI1094" i="8"/>
  <c r="L1529" i="8"/>
  <c r="AD1529" i="8" s="1"/>
  <c r="L1427" i="8"/>
  <c r="AD1427" i="8" s="1"/>
  <c r="E36" i="8"/>
  <c r="F36" i="8"/>
  <c r="F1095" i="8"/>
  <c r="E1095" i="8"/>
  <c r="I82" i="9"/>
  <c r="E1257" i="8"/>
  <c r="E1338" i="8"/>
  <c r="E1478" i="8"/>
  <c r="E1176" i="8"/>
  <c r="E1529" i="8"/>
  <c r="AH1479" i="8"/>
  <c r="K1479" i="8"/>
  <c r="F1479" i="8" s="1"/>
  <c r="M1479" i="8"/>
  <c r="AF1479" i="8"/>
  <c r="AA1479" i="8" s="1"/>
  <c r="AG1479" i="8"/>
  <c r="G1479" i="8"/>
  <c r="B1479" i="8" s="1"/>
  <c r="I1480" i="8"/>
  <c r="AI1427" i="8"/>
  <c r="Z1339" i="8"/>
  <c r="Z1177" i="8"/>
  <c r="A1478" i="8"/>
  <c r="I1531" i="8"/>
  <c r="K1530" i="8"/>
  <c r="F1530" i="8" s="1"/>
  <c r="G1530" i="8"/>
  <c r="B1530" i="8" s="1"/>
  <c r="AF1530" i="8"/>
  <c r="AA1530" i="8" s="1"/>
  <c r="M1530" i="8"/>
  <c r="AH1530" i="8"/>
  <c r="AG1530" i="8"/>
  <c r="A1529" i="8"/>
  <c r="B1427" i="8"/>
  <c r="A1427" i="8"/>
  <c r="AG1428" i="8"/>
  <c r="G1428" i="8"/>
  <c r="B1428" i="8" s="1"/>
  <c r="AH1428" i="8"/>
  <c r="AF1428" i="8"/>
  <c r="AA1428" i="8" s="1"/>
  <c r="K1428" i="8"/>
  <c r="F1428" i="8" s="1"/>
  <c r="I1429" i="8"/>
  <c r="M1428" i="8"/>
  <c r="M1339" i="8"/>
  <c r="M1258" i="8"/>
  <c r="M1096" i="8"/>
  <c r="M1177" i="8"/>
  <c r="AH1096" i="8"/>
  <c r="AH1339" i="8"/>
  <c r="AH37" i="8"/>
  <c r="AH1177" i="8"/>
  <c r="AH1258" i="8"/>
  <c r="L1176" i="8"/>
  <c r="AD1176" i="8" s="1"/>
  <c r="B1095" i="8"/>
  <c r="B36" i="8"/>
  <c r="L1095" i="8"/>
  <c r="I1097" i="8"/>
  <c r="L1338" i="8"/>
  <c r="AD1338" i="8" s="1"/>
  <c r="G1177" i="8"/>
  <c r="B1177" i="8" s="1"/>
  <c r="A1176" i="8"/>
  <c r="K1339" i="8"/>
  <c r="F1339" i="8" s="1"/>
  <c r="K1177" i="8"/>
  <c r="F1177" i="8" s="1"/>
  <c r="K1096" i="8"/>
  <c r="AF1096" i="8"/>
  <c r="AA1096" i="8" s="1"/>
  <c r="AG1177" i="8"/>
  <c r="I1178" i="8"/>
  <c r="AG1096" i="8"/>
  <c r="A1095" i="8"/>
  <c r="AF1177" i="8"/>
  <c r="AA1177" i="8" s="1"/>
  <c r="G1096" i="8"/>
  <c r="AF1339" i="8"/>
  <c r="AA1339" i="8" s="1"/>
  <c r="I1340" i="8"/>
  <c r="AG1339" i="8"/>
  <c r="G1339" i="8"/>
  <c r="B1339" i="8" s="1"/>
  <c r="A1338" i="8"/>
  <c r="L36" i="8"/>
  <c r="L1257" i="8"/>
  <c r="AD1257" i="8" s="1"/>
  <c r="K1258" i="8"/>
  <c r="F1258" i="8" s="1"/>
  <c r="I1259" i="8"/>
  <c r="AG1258" i="8"/>
  <c r="G1258" i="8"/>
  <c r="B1258" i="8" s="1"/>
  <c r="AF1258" i="8"/>
  <c r="AA1258" i="8" s="1"/>
  <c r="A1257" i="8"/>
  <c r="AG37" i="8"/>
  <c r="A36" i="8"/>
  <c r="AF37" i="8"/>
  <c r="AA37" i="8" s="1"/>
  <c r="G37" i="8"/>
  <c r="K37" i="8"/>
  <c r="I38" i="8"/>
  <c r="AD1095" i="8" l="1"/>
  <c r="AD36" i="8"/>
  <c r="M38" i="8"/>
  <c r="AI1257" i="8"/>
  <c r="AI1478" i="8"/>
  <c r="AI1338" i="8"/>
  <c r="AI1529" i="8"/>
  <c r="E1175" i="8"/>
  <c r="E82" i="9"/>
  <c r="G82" i="9"/>
  <c r="F82" i="9" s="1"/>
  <c r="L1428" i="8"/>
  <c r="AD1428" i="8" s="1"/>
  <c r="L1479" i="8"/>
  <c r="AD1479" i="8" s="1"/>
  <c r="L1530" i="8"/>
  <c r="AD1530" i="8" s="1"/>
  <c r="AI1095" i="8"/>
  <c r="E1096" i="8"/>
  <c r="E37" i="8"/>
  <c r="F1096" i="8"/>
  <c r="F37" i="8"/>
  <c r="I83" i="9"/>
  <c r="E1479" i="8"/>
  <c r="E1339" i="8"/>
  <c r="AI1176" i="8"/>
  <c r="E1530" i="8"/>
  <c r="E1177" i="8"/>
  <c r="E1428" i="8"/>
  <c r="E1258" i="8"/>
  <c r="G1480" i="8"/>
  <c r="B1480" i="8" s="1"/>
  <c r="AH1480" i="8"/>
  <c r="AF1480" i="8"/>
  <c r="AA1480" i="8" s="1"/>
  <c r="AG1480" i="8"/>
  <c r="M1480" i="8"/>
  <c r="K1480" i="8"/>
  <c r="F1480" i="8" s="1"/>
  <c r="A1479" i="8"/>
  <c r="Z1340" i="8"/>
  <c r="Z1178" i="8"/>
  <c r="M1531" i="8"/>
  <c r="AG1531" i="8"/>
  <c r="AF1531" i="8"/>
  <c r="AA1531" i="8" s="1"/>
  <c r="AH1531" i="8"/>
  <c r="K1531" i="8"/>
  <c r="F1531" i="8" s="1"/>
  <c r="G1531" i="8"/>
  <c r="B1531" i="8" s="1"/>
  <c r="A1530" i="8"/>
  <c r="M1429" i="8"/>
  <c r="G1429" i="8"/>
  <c r="E1429" i="8" s="1"/>
  <c r="K1429" i="8"/>
  <c r="F1429" i="8" s="1"/>
  <c r="AF1429" i="8"/>
  <c r="AA1429" i="8" s="1"/>
  <c r="AH1429" i="8"/>
  <c r="AG1429" i="8"/>
  <c r="A1428" i="8"/>
  <c r="M1259" i="8"/>
  <c r="M1178" i="8"/>
  <c r="M1340" i="8"/>
  <c r="M1097" i="8"/>
  <c r="AH1259" i="8"/>
  <c r="AH38" i="8"/>
  <c r="AH1178" i="8"/>
  <c r="AH1097" i="8"/>
  <c r="AH1340" i="8"/>
  <c r="L1096" i="8"/>
  <c r="L1258" i="8"/>
  <c r="AD1258" i="8" s="1"/>
  <c r="B1096" i="8"/>
  <c r="B37" i="8"/>
  <c r="G1340" i="8"/>
  <c r="B1340" i="8" s="1"/>
  <c r="AG1097" i="8"/>
  <c r="I1098" i="8"/>
  <c r="AF1097" i="8"/>
  <c r="AA1097" i="8" s="1"/>
  <c r="G1097" i="8"/>
  <c r="K1097" i="8"/>
  <c r="L1339" i="8"/>
  <c r="AD1339" i="8" s="1"/>
  <c r="L1177" i="8"/>
  <c r="AD1177" i="8" s="1"/>
  <c r="AF1340" i="8"/>
  <c r="AA1340" i="8" s="1"/>
  <c r="AG1340" i="8"/>
  <c r="I1341" i="8"/>
  <c r="A1177" i="8"/>
  <c r="K1340" i="8"/>
  <c r="F1340" i="8" s="1"/>
  <c r="AF1178" i="8"/>
  <c r="AA1178" i="8" s="1"/>
  <c r="K1178" i="8"/>
  <c r="F1178" i="8" s="1"/>
  <c r="G1178" i="8"/>
  <c r="E1178" i="8" s="1"/>
  <c r="A1339" i="8"/>
  <c r="AG1178" i="8"/>
  <c r="A1096" i="8"/>
  <c r="I1179" i="8"/>
  <c r="L37" i="8"/>
  <c r="A1258" i="8"/>
  <c r="I1260" i="8"/>
  <c r="AG1259" i="8"/>
  <c r="G1259" i="8"/>
  <c r="B1259" i="8" s="1"/>
  <c r="K1259" i="8"/>
  <c r="F1259" i="8" s="1"/>
  <c r="AF1259" i="8"/>
  <c r="AA1259" i="8" s="1"/>
  <c r="AG38" i="8"/>
  <c r="AF38" i="8"/>
  <c r="AA38" i="8" s="1"/>
  <c r="A37" i="8"/>
  <c r="G38" i="8"/>
  <c r="K38" i="8"/>
  <c r="I39" i="8"/>
  <c r="AD37" i="8" l="1"/>
  <c r="AD1096" i="8"/>
  <c r="M39" i="8"/>
  <c r="AI1479" i="8"/>
  <c r="AI1258" i="8"/>
  <c r="AI1339" i="8"/>
  <c r="AI1428" i="8"/>
  <c r="AI1177" i="8"/>
  <c r="AI1530" i="8"/>
  <c r="AI1175" i="8"/>
  <c r="E83" i="9"/>
  <c r="K83" i="9" s="1"/>
  <c r="L83" i="9"/>
  <c r="G83" i="9"/>
  <c r="F83" i="9" s="1"/>
  <c r="L1531" i="8"/>
  <c r="AD1531" i="8" s="1"/>
  <c r="L1429" i="8"/>
  <c r="AD1429" i="8" s="1"/>
  <c r="AI1096" i="8"/>
  <c r="L1480" i="8"/>
  <c r="AD1480" i="8" s="1"/>
  <c r="F1097" i="8"/>
  <c r="F38" i="8"/>
  <c r="E38" i="8"/>
  <c r="E1097" i="8"/>
  <c r="I84" i="9"/>
  <c r="E1480" i="8"/>
  <c r="E1531" i="8"/>
  <c r="E1259" i="8"/>
  <c r="E1340" i="8"/>
  <c r="A1480" i="8"/>
  <c r="AI1429" i="8"/>
  <c r="Z1179" i="8"/>
  <c r="Z1341" i="8"/>
  <c r="A1531" i="8"/>
  <c r="B1429" i="8"/>
  <c r="A1429" i="8"/>
  <c r="M1098" i="8"/>
  <c r="M1260" i="8"/>
  <c r="M1179" i="8"/>
  <c r="M1341" i="8"/>
  <c r="AH1341" i="8"/>
  <c r="AH39" i="8"/>
  <c r="AH1098" i="8"/>
  <c r="AH1260" i="8"/>
  <c r="AH1179" i="8"/>
  <c r="L1259" i="8"/>
  <c r="AD1259" i="8" s="1"/>
  <c r="L1340" i="8"/>
  <c r="AD1340" i="8" s="1"/>
  <c r="L1097" i="8"/>
  <c r="AI1178" i="8"/>
  <c r="B38" i="8"/>
  <c r="B1097" i="8"/>
  <c r="A1340" i="8"/>
  <c r="AF1098" i="8"/>
  <c r="AA1098" i="8" s="1"/>
  <c r="K1098" i="8"/>
  <c r="G1098" i="8"/>
  <c r="I1099" i="8"/>
  <c r="AG1098" i="8"/>
  <c r="A1097" i="8"/>
  <c r="I1342" i="8"/>
  <c r="AF1341" i="8"/>
  <c r="AA1341" i="8" s="1"/>
  <c r="L1178" i="8"/>
  <c r="AD1178" i="8" s="1"/>
  <c r="AG1341" i="8"/>
  <c r="G1341" i="8"/>
  <c r="B1341" i="8" s="1"/>
  <c r="K1341" i="8"/>
  <c r="F1341" i="8" s="1"/>
  <c r="AF1179" i="8"/>
  <c r="AA1179" i="8" s="1"/>
  <c r="K1179" i="8"/>
  <c r="F1179" i="8" s="1"/>
  <c r="AG1179" i="8"/>
  <c r="B1178" i="8"/>
  <c r="A1178" i="8"/>
  <c r="G1179" i="8"/>
  <c r="E1179" i="8" s="1"/>
  <c r="I1180" i="8"/>
  <c r="L38" i="8"/>
  <c r="K1260" i="8"/>
  <c r="F1260" i="8" s="1"/>
  <c r="I1261" i="8"/>
  <c r="AF1260" i="8"/>
  <c r="AA1260" i="8" s="1"/>
  <c r="AG1260" i="8"/>
  <c r="G1260" i="8"/>
  <c r="B1260" i="8" s="1"/>
  <c r="A1259" i="8"/>
  <c r="AG39" i="8"/>
  <c r="A38" i="8"/>
  <c r="AF39" i="8"/>
  <c r="AA39" i="8" s="1"/>
  <c r="G39" i="8"/>
  <c r="I40" i="8"/>
  <c r="K39" i="8"/>
  <c r="AD38" i="8" l="1"/>
  <c r="AD1097" i="8"/>
  <c r="M40" i="8"/>
  <c r="AI1480" i="8"/>
  <c r="AI1340" i="8"/>
  <c r="AI1259" i="8"/>
  <c r="AI1531" i="8"/>
  <c r="E84" i="9"/>
  <c r="K84" i="9" s="1"/>
  <c r="G84" i="9"/>
  <c r="L84" i="9"/>
  <c r="E39" i="8"/>
  <c r="F39" i="8"/>
  <c r="E1098" i="8"/>
  <c r="AI1097" i="8"/>
  <c r="F1098" i="8"/>
  <c r="P14" i="9"/>
  <c r="P6" i="9"/>
  <c r="P21" i="9"/>
  <c r="P15" i="9"/>
  <c r="P7" i="9"/>
  <c r="P12" i="9"/>
  <c r="P16" i="9"/>
  <c r="P9" i="9"/>
  <c r="P20" i="9"/>
  <c r="P18" i="9"/>
  <c r="P19" i="9"/>
  <c r="P10" i="9"/>
  <c r="P17" i="9"/>
  <c r="P11" i="9"/>
  <c r="P13" i="9"/>
  <c r="P8" i="9"/>
  <c r="I85" i="9"/>
  <c r="F84" i="9"/>
  <c r="E1260" i="8"/>
  <c r="E1341" i="8"/>
  <c r="Z1180" i="8"/>
  <c r="Z1342" i="8"/>
  <c r="M1261" i="8"/>
  <c r="M1342" i="8"/>
  <c r="M1180" i="8"/>
  <c r="M1099" i="8"/>
  <c r="AH1261" i="8"/>
  <c r="AH1180" i="8"/>
  <c r="AH1099" i="8"/>
  <c r="AH1342" i="8"/>
  <c r="AH40" i="8"/>
  <c r="AI1179" i="8"/>
  <c r="L39" i="8"/>
  <c r="L1260" i="8"/>
  <c r="AD1260" i="8" s="1"/>
  <c r="B39" i="8"/>
  <c r="B1098" i="8"/>
  <c r="L1098" i="8"/>
  <c r="K1342" i="8"/>
  <c r="F1342" i="8" s="1"/>
  <c r="AF1099" i="8"/>
  <c r="AA1099" i="8" s="1"/>
  <c r="G1099" i="8"/>
  <c r="K1099" i="8"/>
  <c r="AF1342" i="8"/>
  <c r="AA1342" i="8" s="1"/>
  <c r="A1098" i="8"/>
  <c r="G1342" i="8"/>
  <c r="B1342" i="8" s="1"/>
  <c r="AG1342" i="8"/>
  <c r="I1343" i="8"/>
  <c r="A1341" i="8"/>
  <c r="AG1099" i="8"/>
  <c r="I1100" i="8"/>
  <c r="L1341" i="8"/>
  <c r="AD1341" i="8" s="1"/>
  <c r="L1179" i="8"/>
  <c r="AD1179" i="8" s="1"/>
  <c r="G1180" i="8"/>
  <c r="B1180" i="8" s="1"/>
  <c r="K1180" i="8"/>
  <c r="F1180" i="8" s="1"/>
  <c r="B1179" i="8"/>
  <c r="A1179" i="8"/>
  <c r="AF1180" i="8"/>
  <c r="AA1180" i="8" s="1"/>
  <c r="AG1180" i="8"/>
  <c r="I1181" i="8"/>
  <c r="A1260" i="8"/>
  <c r="I1262" i="8"/>
  <c r="AG1261" i="8"/>
  <c r="G1261" i="8"/>
  <c r="B1261" i="8" s="1"/>
  <c r="K1261" i="8"/>
  <c r="F1261" i="8" s="1"/>
  <c r="AF1261" i="8"/>
  <c r="AA1261" i="8" s="1"/>
  <c r="AG40" i="8"/>
  <c r="AF40" i="8"/>
  <c r="AA40" i="8" s="1"/>
  <c r="A39" i="8"/>
  <c r="G40" i="8"/>
  <c r="I41" i="8"/>
  <c r="K40" i="8"/>
  <c r="AD39" i="8" l="1"/>
  <c r="AD1098" i="8"/>
  <c r="M41" i="8"/>
  <c r="AI1098" i="8"/>
  <c r="AI1260" i="8"/>
  <c r="AI1341" i="8"/>
  <c r="G85" i="9"/>
  <c r="F85" i="9" s="1"/>
  <c r="E85" i="9"/>
  <c r="K85" i="9" s="1"/>
  <c r="E40" i="8"/>
  <c r="F40" i="8"/>
  <c r="F1099" i="8"/>
  <c r="E1099" i="8"/>
  <c r="I86" i="9"/>
  <c r="E1180" i="8"/>
  <c r="E1261" i="8"/>
  <c r="E1342" i="8"/>
  <c r="Z1343" i="8"/>
  <c r="Z1181" i="8"/>
  <c r="M1100" i="8"/>
  <c r="M1262" i="8"/>
  <c r="M1343" i="8"/>
  <c r="M1181" i="8"/>
  <c r="AH1343" i="8"/>
  <c r="AH1181" i="8"/>
  <c r="AH41" i="8"/>
  <c r="AH1262" i="8"/>
  <c r="AH1100" i="8"/>
  <c r="L1180" i="8"/>
  <c r="AD1180" i="8" s="1"/>
  <c r="L1261" i="8"/>
  <c r="AD1261" i="8" s="1"/>
  <c r="B1099" i="8"/>
  <c r="B40" i="8"/>
  <c r="L1342" i="8"/>
  <c r="AD1342" i="8" s="1"/>
  <c r="L1099" i="8"/>
  <c r="I1344" i="8"/>
  <c r="A1342" i="8"/>
  <c r="A1099" i="8"/>
  <c r="G1343" i="8"/>
  <c r="B1343" i="8" s="1"/>
  <c r="AG1343" i="8"/>
  <c r="AF1343" i="8"/>
  <c r="AA1343" i="8" s="1"/>
  <c r="K1343" i="8"/>
  <c r="F1343" i="8" s="1"/>
  <c r="AF1100" i="8"/>
  <c r="AA1100" i="8" s="1"/>
  <c r="K1100" i="8"/>
  <c r="I1101" i="8"/>
  <c r="AG1100" i="8"/>
  <c r="G1100" i="8"/>
  <c r="A1180" i="8"/>
  <c r="I1182" i="8"/>
  <c r="G1181" i="8"/>
  <c r="E1181" i="8" s="1"/>
  <c r="K1181" i="8"/>
  <c r="F1181" i="8" s="1"/>
  <c r="AG1181" i="8"/>
  <c r="AF1181" i="8"/>
  <c r="AA1181" i="8" s="1"/>
  <c r="L40" i="8"/>
  <c r="A1261" i="8"/>
  <c r="K1262" i="8"/>
  <c r="F1262" i="8" s="1"/>
  <c r="I1263" i="8"/>
  <c r="AG1262" i="8"/>
  <c r="G1262" i="8"/>
  <c r="B1262" i="8" s="1"/>
  <c r="AF1262" i="8"/>
  <c r="AA1262" i="8" s="1"/>
  <c r="AG41" i="8"/>
  <c r="A40" i="8"/>
  <c r="AF41" i="8"/>
  <c r="AA41" i="8" s="1"/>
  <c r="G41" i="8"/>
  <c r="K41" i="8"/>
  <c r="I42" i="8"/>
  <c r="AD40" i="8" l="1"/>
  <c r="AD1099" i="8"/>
  <c r="M42" i="8"/>
  <c r="AI1342" i="8"/>
  <c r="AI1261" i="8"/>
  <c r="AI1180" i="8"/>
  <c r="G86" i="9"/>
  <c r="F86" i="9" s="1"/>
  <c r="E86" i="9"/>
  <c r="K86" i="9" s="1"/>
  <c r="AI1099" i="8"/>
  <c r="P22" i="9"/>
  <c r="F41" i="8"/>
  <c r="E41" i="8"/>
  <c r="F1100" i="8"/>
  <c r="E1100" i="8"/>
  <c r="I87" i="9"/>
  <c r="E1262" i="8"/>
  <c r="E1343" i="8"/>
  <c r="Z1344" i="8"/>
  <c r="Z1182" i="8"/>
  <c r="M1101" i="8"/>
  <c r="M1263" i="8"/>
  <c r="M1344" i="8"/>
  <c r="M1182" i="8"/>
  <c r="AH1263" i="8"/>
  <c r="AH1101" i="8"/>
  <c r="AH42" i="8"/>
  <c r="AH1182" i="8"/>
  <c r="AH1344" i="8"/>
  <c r="L1100" i="8"/>
  <c r="L1262" i="8"/>
  <c r="AD1262" i="8" s="1"/>
  <c r="AI1181" i="8"/>
  <c r="B1100" i="8"/>
  <c r="B41" i="8"/>
  <c r="L1181" i="8"/>
  <c r="AD1181" i="8" s="1"/>
  <c r="L1343" i="8"/>
  <c r="AD1343" i="8" s="1"/>
  <c r="K1344" i="8"/>
  <c r="F1344" i="8" s="1"/>
  <c r="AF1344" i="8"/>
  <c r="AA1344" i="8" s="1"/>
  <c r="AG1344" i="8"/>
  <c r="G1344" i="8"/>
  <c r="B1344" i="8" s="1"/>
  <c r="I1345" i="8"/>
  <c r="A1343" i="8"/>
  <c r="AG1101" i="8"/>
  <c r="I1102" i="8"/>
  <c r="AF1101" i="8"/>
  <c r="AA1101" i="8" s="1"/>
  <c r="K1101" i="8"/>
  <c r="G1101" i="8"/>
  <c r="A1100" i="8"/>
  <c r="B1181" i="8"/>
  <c r="A1181" i="8"/>
  <c r="K1182" i="8"/>
  <c r="F1182" i="8" s="1"/>
  <c r="AF1182" i="8"/>
  <c r="AA1182" i="8" s="1"/>
  <c r="AG1182" i="8"/>
  <c r="G1182" i="8"/>
  <c r="E1182" i="8" s="1"/>
  <c r="I1183" i="8"/>
  <c r="L41" i="8"/>
  <c r="A1262" i="8"/>
  <c r="I1264" i="8"/>
  <c r="AG1263" i="8"/>
  <c r="G1263" i="8"/>
  <c r="B1263" i="8" s="1"/>
  <c r="K1263" i="8"/>
  <c r="F1263" i="8" s="1"/>
  <c r="AF1263" i="8"/>
  <c r="AA1263" i="8" s="1"/>
  <c r="AG42" i="8"/>
  <c r="AF42" i="8"/>
  <c r="AA42" i="8" s="1"/>
  <c r="A41" i="8"/>
  <c r="G42" i="8"/>
  <c r="I43" i="8"/>
  <c r="K42" i="8"/>
  <c r="AD41" i="8" l="1"/>
  <c r="AD1100" i="8"/>
  <c r="M43" i="8"/>
  <c r="AI1262" i="8"/>
  <c r="AI1343" i="8"/>
  <c r="G87" i="9"/>
  <c r="F87" i="9" s="1"/>
  <c r="E87" i="9"/>
  <c r="K87" i="9" s="1"/>
  <c r="AI41" i="8"/>
  <c r="E1101" i="8"/>
  <c r="F1101" i="8"/>
  <c r="F42" i="8"/>
  <c r="E42" i="8"/>
  <c r="AI1100" i="8"/>
  <c r="I88" i="9"/>
  <c r="E1344" i="8"/>
  <c r="E1263" i="8"/>
  <c r="Z1183" i="8"/>
  <c r="Z1345" i="8"/>
  <c r="M1183" i="8"/>
  <c r="M1345" i="8"/>
  <c r="M1264" i="8"/>
  <c r="M1102" i="8"/>
  <c r="AH1102" i="8"/>
  <c r="AH1345" i="8"/>
  <c r="AH1183" i="8"/>
  <c r="AH43" i="8"/>
  <c r="AH1264" i="8"/>
  <c r="AI1182" i="8"/>
  <c r="L1344" i="8"/>
  <c r="AD1344" i="8" s="1"/>
  <c r="L1101" i="8"/>
  <c r="B1101" i="8"/>
  <c r="B42" i="8"/>
  <c r="K1345" i="8"/>
  <c r="F1345" i="8" s="1"/>
  <c r="AF1345" i="8"/>
  <c r="AA1345" i="8" s="1"/>
  <c r="AG1345" i="8"/>
  <c r="AF1102" i="8"/>
  <c r="AA1102" i="8" s="1"/>
  <c r="A1344" i="8"/>
  <c r="G1345" i="8"/>
  <c r="B1345" i="8" s="1"/>
  <c r="I1346" i="8"/>
  <c r="K1102" i="8"/>
  <c r="AG1102" i="8"/>
  <c r="I1103" i="8"/>
  <c r="G1102" i="8"/>
  <c r="A1101" i="8"/>
  <c r="L1182" i="8"/>
  <c r="AD1182" i="8" s="1"/>
  <c r="B1182" i="8"/>
  <c r="A1182" i="8"/>
  <c r="AG1183" i="8"/>
  <c r="G1183" i="8"/>
  <c r="B1183" i="8" s="1"/>
  <c r="K1183" i="8"/>
  <c r="F1183" i="8" s="1"/>
  <c r="AF1183" i="8"/>
  <c r="AA1183" i="8" s="1"/>
  <c r="I1184" i="8"/>
  <c r="L42" i="8"/>
  <c r="A1263" i="8"/>
  <c r="L1263" i="8"/>
  <c r="AD1263" i="8" s="1"/>
  <c r="K1264" i="8"/>
  <c r="F1264" i="8" s="1"/>
  <c r="I1265" i="8"/>
  <c r="AG1264" i="8"/>
  <c r="AF1264" i="8"/>
  <c r="AA1264" i="8" s="1"/>
  <c r="G1264" i="8"/>
  <c r="B1264" i="8" s="1"/>
  <c r="AG43" i="8"/>
  <c r="AF43" i="8"/>
  <c r="AA43" i="8" s="1"/>
  <c r="A42" i="8"/>
  <c r="G43" i="8"/>
  <c r="I44" i="8"/>
  <c r="K43" i="8"/>
  <c r="AD1101" i="8" l="1"/>
  <c r="AD42" i="8"/>
  <c r="M44" i="8"/>
  <c r="P23" i="9"/>
  <c r="AI1344" i="8"/>
  <c r="AI1263" i="8"/>
  <c r="G88" i="9"/>
  <c r="F88" i="9" s="1"/>
  <c r="E88" i="9"/>
  <c r="K88" i="9" s="1"/>
  <c r="AI1101" i="8"/>
  <c r="AI42" i="8"/>
  <c r="E1102" i="8"/>
  <c r="F43" i="8"/>
  <c r="E43" i="8"/>
  <c r="F1102" i="8"/>
  <c r="I89" i="9"/>
  <c r="E1183" i="8"/>
  <c r="E1345" i="8"/>
  <c r="E1264" i="8"/>
  <c r="Z1184" i="8"/>
  <c r="M1103" i="8"/>
  <c r="M1346" i="8"/>
  <c r="M1184" i="8"/>
  <c r="M1265" i="8"/>
  <c r="AH1184" i="8"/>
  <c r="AH1265" i="8"/>
  <c r="AH44" i="8"/>
  <c r="AH1103" i="8"/>
  <c r="AH1346" i="8"/>
  <c r="L1345" i="8"/>
  <c r="AD1345" i="8" s="1"/>
  <c r="B43" i="8"/>
  <c r="B1102" i="8"/>
  <c r="L1102" i="8"/>
  <c r="K1346" i="8"/>
  <c r="F1346" i="8" s="1"/>
  <c r="A1345" i="8"/>
  <c r="AG1346" i="8"/>
  <c r="I1347" i="8"/>
  <c r="AF1346" i="8"/>
  <c r="AA1346" i="8" s="1"/>
  <c r="G1346" i="8"/>
  <c r="B1346" i="8" s="1"/>
  <c r="A1102" i="8"/>
  <c r="AF1103" i="8"/>
  <c r="AA1103" i="8" s="1"/>
  <c r="K1103" i="8"/>
  <c r="G1103" i="8"/>
  <c r="I1104" i="8"/>
  <c r="AG1103" i="8"/>
  <c r="L1183" i="8"/>
  <c r="AD1183" i="8" s="1"/>
  <c r="A1183" i="8"/>
  <c r="AF1184" i="8"/>
  <c r="AA1184" i="8" s="1"/>
  <c r="I1185" i="8"/>
  <c r="K1184" i="8"/>
  <c r="F1184" i="8" s="1"/>
  <c r="AG1184" i="8"/>
  <c r="G1184" i="8"/>
  <c r="E1184" i="8" s="1"/>
  <c r="L43" i="8"/>
  <c r="A1264" i="8"/>
  <c r="I1266" i="8"/>
  <c r="AG1265" i="8"/>
  <c r="G1265" i="8"/>
  <c r="B1265" i="8" s="1"/>
  <c r="K1265" i="8"/>
  <c r="F1265" i="8" s="1"/>
  <c r="AF1265" i="8"/>
  <c r="AA1265" i="8" s="1"/>
  <c r="L1264" i="8"/>
  <c r="AD1264" i="8" s="1"/>
  <c r="AG44" i="8"/>
  <c r="A43" i="8"/>
  <c r="AF44" i="8"/>
  <c r="AA44" i="8" s="1"/>
  <c r="G44" i="8"/>
  <c r="I45" i="8"/>
  <c r="K44" i="8"/>
  <c r="AD1102" i="8" l="1"/>
  <c r="AD43" i="8"/>
  <c r="M45" i="8"/>
  <c r="AI1345" i="8"/>
  <c r="AI1183" i="8"/>
  <c r="AI1264" i="8"/>
  <c r="G89" i="9"/>
  <c r="F89" i="9" s="1"/>
  <c r="E89" i="9"/>
  <c r="AI43" i="8"/>
  <c r="AI1102" i="8"/>
  <c r="E1103" i="8"/>
  <c r="F44" i="8"/>
  <c r="F1103" i="8"/>
  <c r="E44" i="8"/>
  <c r="I90" i="9"/>
  <c r="E1346" i="8"/>
  <c r="E1265" i="8"/>
  <c r="Z1185" i="8"/>
  <c r="M1347" i="8"/>
  <c r="M1185" i="8"/>
  <c r="M1104" i="8"/>
  <c r="M1266" i="8"/>
  <c r="AH1266" i="8"/>
  <c r="AH1104" i="8"/>
  <c r="AH1185" i="8"/>
  <c r="AH1347" i="8"/>
  <c r="AH45" i="8"/>
  <c r="L1346" i="8"/>
  <c r="AD1346" i="8" s="1"/>
  <c r="L44" i="8"/>
  <c r="AI1184" i="8"/>
  <c r="B44" i="8"/>
  <c r="B1103" i="8"/>
  <c r="L1103" i="8"/>
  <c r="K1347" i="8"/>
  <c r="F1347" i="8" s="1"/>
  <c r="G1347" i="8"/>
  <c r="B1347" i="8" s="1"/>
  <c r="I1348" i="8"/>
  <c r="AF1347" i="8"/>
  <c r="AA1347" i="8" s="1"/>
  <c r="AG1347" i="8"/>
  <c r="A1346" i="8"/>
  <c r="A1103" i="8"/>
  <c r="AG1104" i="8"/>
  <c r="G1104" i="8"/>
  <c r="AF1104" i="8"/>
  <c r="AA1104" i="8" s="1"/>
  <c r="K1104" i="8"/>
  <c r="I1105" i="8"/>
  <c r="L1184" i="8"/>
  <c r="AD1184" i="8" s="1"/>
  <c r="G1185" i="8"/>
  <c r="E1185" i="8" s="1"/>
  <c r="I1186" i="8"/>
  <c r="K1185" i="8"/>
  <c r="F1185" i="8" s="1"/>
  <c r="AG1185" i="8"/>
  <c r="AF1185" i="8"/>
  <c r="AA1185" i="8" s="1"/>
  <c r="B1184" i="8"/>
  <c r="A1184" i="8"/>
  <c r="A1265" i="8"/>
  <c r="K1266" i="8"/>
  <c r="F1266" i="8" s="1"/>
  <c r="AG1266" i="8"/>
  <c r="G1266" i="8"/>
  <c r="B1266" i="8" s="1"/>
  <c r="I1267" i="8"/>
  <c r="AF1266" i="8"/>
  <c r="AA1266" i="8" s="1"/>
  <c r="L1265" i="8"/>
  <c r="AD1265" i="8" s="1"/>
  <c r="AG45" i="8"/>
  <c r="A44" i="8"/>
  <c r="AF45" i="8"/>
  <c r="AA45" i="8" s="1"/>
  <c r="K45" i="8"/>
  <c r="I46" i="8"/>
  <c r="G45" i="8"/>
  <c r="AD1103" i="8" l="1"/>
  <c r="AD44" i="8"/>
  <c r="M46" i="8"/>
  <c r="AI1265" i="8"/>
  <c r="AI1346" i="8"/>
  <c r="E90" i="9"/>
  <c r="G90" i="9"/>
  <c r="F90" i="9" s="1"/>
  <c r="AI1103" i="8"/>
  <c r="E45" i="8"/>
  <c r="E1104" i="8"/>
  <c r="F45" i="8"/>
  <c r="F1104" i="8"/>
  <c r="AI44" i="8"/>
  <c r="I91" i="9"/>
  <c r="E1266" i="8"/>
  <c r="E1347" i="8"/>
  <c r="Z1186" i="8"/>
  <c r="M1267" i="8"/>
  <c r="M1186" i="8"/>
  <c r="M1105" i="8"/>
  <c r="M1348" i="8"/>
  <c r="AH1348" i="8"/>
  <c r="AH46" i="8"/>
  <c r="AH1267" i="8"/>
  <c r="AH1186" i="8"/>
  <c r="AH1105" i="8"/>
  <c r="L1104" i="8"/>
  <c r="L1266" i="8"/>
  <c r="AD1266" i="8" s="1"/>
  <c r="AI1185" i="8"/>
  <c r="B45" i="8"/>
  <c r="B1104" i="8"/>
  <c r="L1347" i="8"/>
  <c r="AD1347" i="8" s="1"/>
  <c r="A1347" i="8"/>
  <c r="I1349" i="8"/>
  <c r="AG1348" i="8"/>
  <c r="AF1348" i="8"/>
  <c r="AA1348" i="8" s="1"/>
  <c r="K1348" i="8"/>
  <c r="F1348" i="8" s="1"/>
  <c r="G1348" i="8"/>
  <c r="B1348" i="8" s="1"/>
  <c r="A1104" i="8"/>
  <c r="AG1105" i="8"/>
  <c r="G1105" i="8"/>
  <c r="I1106" i="8"/>
  <c r="AF1105" i="8"/>
  <c r="AA1105" i="8" s="1"/>
  <c r="K1105" i="8"/>
  <c r="L1185" i="8"/>
  <c r="AD1185" i="8" s="1"/>
  <c r="K1186" i="8"/>
  <c r="F1186" i="8" s="1"/>
  <c r="G1186" i="8"/>
  <c r="B1186" i="8" s="1"/>
  <c r="AF1186" i="8"/>
  <c r="AA1186" i="8" s="1"/>
  <c r="AG1186" i="8"/>
  <c r="I1187" i="8"/>
  <c r="B1185" i="8"/>
  <c r="A1185" i="8"/>
  <c r="L45" i="8"/>
  <c r="A1266" i="8"/>
  <c r="I1268" i="8"/>
  <c r="AG1267" i="8"/>
  <c r="G1267" i="8"/>
  <c r="B1267" i="8" s="1"/>
  <c r="K1267" i="8"/>
  <c r="F1267" i="8" s="1"/>
  <c r="AF1267" i="8"/>
  <c r="AA1267" i="8" s="1"/>
  <c r="AG46" i="8"/>
  <c r="A45" i="8"/>
  <c r="K46" i="8"/>
  <c r="AF46" i="8"/>
  <c r="AA46" i="8" s="1"/>
  <c r="I47" i="8"/>
  <c r="G46" i="8"/>
  <c r="AD45" i="8" l="1"/>
  <c r="AD1104" i="8"/>
  <c r="M47" i="8"/>
  <c r="AI1347" i="8"/>
  <c r="AI1266" i="8"/>
  <c r="E91" i="9"/>
  <c r="G91" i="9"/>
  <c r="F91" i="9" s="1"/>
  <c r="AI45" i="8"/>
  <c r="E46" i="8"/>
  <c r="E1105" i="8"/>
  <c r="F46" i="8"/>
  <c r="F1105" i="8"/>
  <c r="AI1104" i="8"/>
  <c r="I92" i="9"/>
  <c r="E1267" i="8"/>
  <c r="E1186" i="8"/>
  <c r="E1348" i="8"/>
  <c r="Z1187" i="8"/>
  <c r="M1187" i="8"/>
  <c r="M1268" i="8"/>
  <c r="M1106" i="8"/>
  <c r="M1349" i="8"/>
  <c r="AH1106" i="8"/>
  <c r="AH1349" i="8"/>
  <c r="AH1268" i="8"/>
  <c r="AH47" i="8"/>
  <c r="AH1187" i="8"/>
  <c r="L1348" i="8"/>
  <c r="AD1348" i="8" s="1"/>
  <c r="B1105" i="8"/>
  <c r="B46" i="8"/>
  <c r="L1105" i="8"/>
  <c r="G1349" i="8"/>
  <c r="B1349" i="8" s="1"/>
  <c r="K1349" i="8"/>
  <c r="F1349" i="8" s="1"/>
  <c r="I1350" i="8"/>
  <c r="AF1349" i="8"/>
  <c r="AA1349" i="8" s="1"/>
  <c r="AG1349" i="8"/>
  <c r="A1348" i="8"/>
  <c r="AF1106" i="8"/>
  <c r="AA1106" i="8" s="1"/>
  <c r="G1106" i="8"/>
  <c r="K1106" i="8"/>
  <c r="I1107" i="8"/>
  <c r="AG1106" i="8"/>
  <c r="A1105" i="8"/>
  <c r="L1186" i="8"/>
  <c r="AD1186" i="8" s="1"/>
  <c r="A1186" i="8"/>
  <c r="I1188" i="8"/>
  <c r="AG1187" i="8"/>
  <c r="G1187" i="8"/>
  <c r="B1187" i="8" s="1"/>
  <c r="AF1187" i="8"/>
  <c r="AA1187" i="8" s="1"/>
  <c r="K1187" i="8"/>
  <c r="F1187" i="8" s="1"/>
  <c r="L46" i="8"/>
  <c r="K1268" i="8"/>
  <c r="F1268" i="8" s="1"/>
  <c r="AG1268" i="8"/>
  <c r="AF1268" i="8"/>
  <c r="AA1268" i="8" s="1"/>
  <c r="I1269" i="8"/>
  <c r="G1268" i="8"/>
  <c r="B1268" i="8" s="1"/>
  <c r="L1267" i="8"/>
  <c r="AD1267" i="8" s="1"/>
  <c r="A1267" i="8"/>
  <c r="AG47" i="8"/>
  <c r="A46" i="8"/>
  <c r="AF47" i="8"/>
  <c r="AA47" i="8" s="1"/>
  <c r="I48" i="8"/>
  <c r="K47" i="8"/>
  <c r="G47" i="8"/>
  <c r="AD46" i="8" l="1"/>
  <c r="AD1105" i="8"/>
  <c r="M48" i="8"/>
  <c r="AI1348" i="8"/>
  <c r="AI1186" i="8"/>
  <c r="AI1267" i="8"/>
  <c r="E92" i="9"/>
  <c r="G92" i="9"/>
  <c r="F92" i="9" s="1"/>
  <c r="AI1105" i="8"/>
  <c r="AI46" i="8"/>
  <c r="E47" i="8"/>
  <c r="F1106" i="8"/>
  <c r="F47" i="8"/>
  <c r="E1106" i="8"/>
  <c r="I93" i="9"/>
  <c r="E1268" i="8"/>
  <c r="E1349" i="8"/>
  <c r="E1187" i="8"/>
  <c r="Z1188" i="8"/>
  <c r="M1269" i="8"/>
  <c r="M1107" i="8"/>
  <c r="M1350" i="8"/>
  <c r="M1188" i="8"/>
  <c r="AH1188" i="8"/>
  <c r="AH1107" i="8"/>
  <c r="AH1269" i="8"/>
  <c r="AH1350" i="8"/>
  <c r="AH48" i="8"/>
  <c r="L47" i="8"/>
  <c r="B1106" i="8"/>
  <c r="B47" i="8"/>
  <c r="I1351" i="8"/>
  <c r="A1349" i="8"/>
  <c r="L1106" i="8"/>
  <c r="L1349" i="8"/>
  <c r="AD1349" i="8" s="1"/>
  <c r="G1350" i="8"/>
  <c r="B1350" i="8" s="1"/>
  <c r="AG1350" i="8"/>
  <c r="K1350" i="8"/>
  <c r="F1350" i="8" s="1"/>
  <c r="AF1350" i="8"/>
  <c r="AA1350" i="8" s="1"/>
  <c r="A1106" i="8"/>
  <c r="AF1107" i="8"/>
  <c r="AA1107" i="8" s="1"/>
  <c r="K1107" i="8"/>
  <c r="AG1107" i="8"/>
  <c r="I1108" i="8"/>
  <c r="G1107" i="8"/>
  <c r="L1187" i="8"/>
  <c r="AD1187" i="8" s="1"/>
  <c r="I1189" i="8"/>
  <c r="AF1188" i="8"/>
  <c r="AA1188" i="8" s="1"/>
  <c r="AG1188" i="8"/>
  <c r="G1188" i="8"/>
  <c r="E1188" i="8" s="1"/>
  <c r="K1188" i="8"/>
  <c r="F1188" i="8" s="1"/>
  <c r="A1187" i="8"/>
  <c r="A1268" i="8"/>
  <c r="L1268" i="8"/>
  <c r="AD1268" i="8" s="1"/>
  <c r="I1270" i="8"/>
  <c r="AG1269" i="8"/>
  <c r="G1269" i="8"/>
  <c r="B1269" i="8" s="1"/>
  <c r="K1269" i="8"/>
  <c r="F1269" i="8" s="1"/>
  <c r="AF1269" i="8"/>
  <c r="AA1269" i="8" s="1"/>
  <c r="AG48" i="8"/>
  <c r="A47" i="8"/>
  <c r="G48" i="8"/>
  <c r="AF48" i="8"/>
  <c r="AA48" i="8" s="1"/>
  <c r="I49" i="8"/>
  <c r="K48" i="8"/>
  <c r="AD47" i="8" l="1"/>
  <c r="AD1106" i="8"/>
  <c r="M49" i="8"/>
  <c r="AI1187" i="8"/>
  <c r="AI1349" i="8"/>
  <c r="AI1268" i="8"/>
  <c r="G93" i="9"/>
  <c r="F93" i="9" s="1"/>
  <c r="E93" i="9"/>
  <c r="AI47" i="8"/>
  <c r="AI1106" i="8"/>
  <c r="E1107" i="8"/>
  <c r="F1107" i="8"/>
  <c r="F48" i="8"/>
  <c r="E48" i="8"/>
  <c r="I94" i="9"/>
  <c r="E1350" i="8"/>
  <c r="E1269" i="8"/>
  <c r="Z1189" i="8"/>
  <c r="M1189" i="8"/>
  <c r="M1351" i="8"/>
  <c r="M1108" i="8"/>
  <c r="M1270" i="8"/>
  <c r="AH1189" i="8"/>
  <c r="AH1351" i="8"/>
  <c r="AH1270" i="8"/>
  <c r="AH1108" i="8"/>
  <c r="AH49" i="8"/>
  <c r="L1269" i="8"/>
  <c r="AD1269" i="8" s="1"/>
  <c r="L1350" i="8"/>
  <c r="AD1350" i="8" s="1"/>
  <c r="AI1188" i="8"/>
  <c r="L1188" i="8"/>
  <c r="AD1188" i="8" s="1"/>
  <c r="B1107" i="8"/>
  <c r="B48" i="8"/>
  <c r="AG1351" i="8"/>
  <c r="AF1351" i="8"/>
  <c r="AA1351" i="8" s="1"/>
  <c r="K1351" i="8"/>
  <c r="F1351" i="8" s="1"/>
  <c r="G1351" i="8"/>
  <c r="B1351" i="8" s="1"/>
  <c r="I1352" i="8"/>
  <c r="L1107" i="8"/>
  <c r="A1350" i="8"/>
  <c r="G1108" i="8"/>
  <c r="K1108" i="8"/>
  <c r="A1107" i="8"/>
  <c r="AG1108" i="8"/>
  <c r="I1109" i="8"/>
  <c r="AF1108" i="8"/>
  <c r="AA1108" i="8" s="1"/>
  <c r="B1188" i="8"/>
  <c r="A1188" i="8"/>
  <c r="G1189" i="8"/>
  <c r="B1189" i="8" s="1"/>
  <c r="AF1189" i="8"/>
  <c r="AA1189" i="8" s="1"/>
  <c r="I1190" i="8"/>
  <c r="K1189" i="8"/>
  <c r="F1189" i="8" s="1"/>
  <c r="AG1189" i="8"/>
  <c r="L48" i="8"/>
  <c r="K1270" i="8"/>
  <c r="F1270" i="8" s="1"/>
  <c r="G1270" i="8"/>
  <c r="B1270" i="8" s="1"/>
  <c r="AG1270" i="8"/>
  <c r="I1271" i="8"/>
  <c r="AF1270" i="8"/>
  <c r="AA1270" i="8" s="1"/>
  <c r="A1269" i="8"/>
  <c r="AG49" i="8"/>
  <c r="A48" i="8"/>
  <c r="AF49" i="8"/>
  <c r="AA49" i="8" s="1"/>
  <c r="G49" i="8"/>
  <c r="K49" i="8"/>
  <c r="I50" i="8"/>
  <c r="AD48" i="8" l="1"/>
  <c r="AD1107" i="8"/>
  <c r="M50" i="8"/>
  <c r="AI1269" i="8"/>
  <c r="AI1350" i="8"/>
  <c r="E94" i="9"/>
  <c r="G94" i="9"/>
  <c r="F94" i="9" s="1"/>
  <c r="AI1107" i="8"/>
  <c r="AI48" i="8"/>
  <c r="F49" i="8"/>
  <c r="E1108" i="8"/>
  <c r="F1108" i="8"/>
  <c r="E49" i="8"/>
  <c r="I95" i="9"/>
  <c r="E1189" i="8"/>
  <c r="E1270" i="8"/>
  <c r="E1351" i="8"/>
  <c r="Z1190" i="8"/>
  <c r="M1352" i="8"/>
  <c r="M1271" i="8"/>
  <c r="M1190" i="8"/>
  <c r="M1109" i="8"/>
  <c r="AH1271" i="8"/>
  <c r="AH1109" i="8"/>
  <c r="AH50" i="8"/>
  <c r="AH1190" i="8"/>
  <c r="AH1352" i="8"/>
  <c r="L49" i="8"/>
  <c r="B49" i="8"/>
  <c r="B1108" i="8"/>
  <c r="L1351" i="8"/>
  <c r="AD1351" i="8" s="1"/>
  <c r="AG1352" i="8"/>
  <c r="AF1352" i="8"/>
  <c r="AA1352" i="8" s="1"/>
  <c r="K1352" i="8"/>
  <c r="F1352" i="8" s="1"/>
  <c r="I1353" i="8"/>
  <c r="G1352" i="8"/>
  <c r="B1352" i="8" s="1"/>
  <c r="A1351" i="8"/>
  <c r="L1108" i="8"/>
  <c r="A1108" i="8"/>
  <c r="K1109" i="8"/>
  <c r="AG1109" i="8"/>
  <c r="I1110" i="8"/>
  <c r="AF1109" i="8"/>
  <c r="AA1109" i="8" s="1"/>
  <c r="G1109" i="8"/>
  <c r="L1189" i="8"/>
  <c r="AD1189" i="8" s="1"/>
  <c r="A1189" i="8"/>
  <c r="AF1190" i="8"/>
  <c r="AA1190" i="8" s="1"/>
  <c r="G1190" i="8"/>
  <c r="B1190" i="8" s="1"/>
  <c r="AG1190" i="8"/>
  <c r="I1191" i="8"/>
  <c r="K1190" i="8"/>
  <c r="F1190" i="8" s="1"/>
  <c r="A1270" i="8"/>
  <c r="L1270" i="8"/>
  <c r="AD1270" i="8" s="1"/>
  <c r="I1272" i="8"/>
  <c r="AG1271" i="8"/>
  <c r="G1271" i="8"/>
  <c r="B1271" i="8" s="1"/>
  <c r="K1271" i="8"/>
  <c r="F1271" i="8" s="1"/>
  <c r="AF1271" i="8"/>
  <c r="AA1271" i="8" s="1"/>
  <c r="AG50" i="8"/>
  <c r="A49" i="8"/>
  <c r="AF50" i="8"/>
  <c r="AA50" i="8" s="1"/>
  <c r="K50" i="8"/>
  <c r="I51" i="8"/>
  <c r="G50" i="8"/>
  <c r="AD1108" i="8" l="1"/>
  <c r="AD49" i="8"/>
  <c r="M51" i="8"/>
  <c r="AI1270" i="8"/>
  <c r="AI1189" i="8"/>
  <c r="AI1351" i="8"/>
  <c r="G95" i="9"/>
  <c r="F95" i="9" s="1"/>
  <c r="E95" i="9"/>
  <c r="AI49" i="8"/>
  <c r="AI1108" i="8"/>
  <c r="E1109" i="8"/>
  <c r="E50" i="8"/>
  <c r="F1109" i="8"/>
  <c r="F50" i="8"/>
  <c r="I96" i="9"/>
  <c r="E1352" i="8"/>
  <c r="E1190" i="8"/>
  <c r="E1271" i="8"/>
  <c r="Z1191" i="8"/>
  <c r="M1191" i="8"/>
  <c r="M1353" i="8"/>
  <c r="M1110" i="8"/>
  <c r="M1272" i="8"/>
  <c r="AH1110" i="8"/>
  <c r="AH1353" i="8"/>
  <c r="AH51" i="8"/>
  <c r="AH1191" i="8"/>
  <c r="AH1272" i="8"/>
  <c r="L1352" i="8"/>
  <c r="AD1352" i="8" s="1"/>
  <c r="L1190" i="8"/>
  <c r="AD1190" i="8" s="1"/>
  <c r="B50" i="8"/>
  <c r="B1109" i="8"/>
  <c r="G1353" i="8"/>
  <c r="B1353" i="8" s="1"/>
  <c r="AF1353" i="8"/>
  <c r="AA1353" i="8" s="1"/>
  <c r="K1353" i="8"/>
  <c r="F1353" i="8" s="1"/>
  <c r="I1354" i="8"/>
  <c r="A1352" i="8"/>
  <c r="AG1353" i="8"/>
  <c r="L1109" i="8"/>
  <c r="AF1110" i="8"/>
  <c r="AA1110" i="8" s="1"/>
  <c r="G1110" i="8"/>
  <c r="AG1110" i="8"/>
  <c r="K1110" i="8"/>
  <c r="I1111" i="8"/>
  <c r="A1109" i="8"/>
  <c r="A1190" i="8"/>
  <c r="G1191" i="8"/>
  <c r="B1191" i="8" s="1"/>
  <c r="I1192" i="8"/>
  <c r="AG1191" i="8"/>
  <c r="K1191" i="8"/>
  <c r="F1191" i="8" s="1"/>
  <c r="AF1191" i="8"/>
  <c r="AA1191" i="8" s="1"/>
  <c r="L50" i="8"/>
  <c r="A1271" i="8"/>
  <c r="K1272" i="8"/>
  <c r="F1272" i="8" s="1"/>
  <c r="G1272" i="8"/>
  <c r="B1272" i="8" s="1"/>
  <c r="AG1272" i="8"/>
  <c r="I1273" i="8"/>
  <c r="AF1272" i="8"/>
  <c r="AA1272" i="8" s="1"/>
  <c r="L1271" i="8"/>
  <c r="AD1271" i="8" s="1"/>
  <c r="AG51" i="8"/>
  <c r="A50" i="8"/>
  <c r="K51" i="8"/>
  <c r="G51" i="8"/>
  <c r="I52" i="8"/>
  <c r="AF51" i="8"/>
  <c r="AA51" i="8" s="1"/>
  <c r="AD50" i="8" l="1"/>
  <c r="AD1109" i="8"/>
  <c r="M52" i="8"/>
  <c r="AI1271" i="8"/>
  <c r="AI1352" i="8"/>
  <c r="AI1190" i="8"/>
  <c r="G96" i="9"/>
  <c r="F96" i="9" s="1"/>
  <c r="E96" i="9"/>
  <c r="AI50" i="8"/>
  <c r="AI1109" i="8"/>
  <c r="F51" i="8"/>
  <c r="F1110" i="8"/>
  <c r="E1110" i="8"/>
  <c r="E51" i="8"/>
  <c r="I97" i="9"/>
  <c r="E1272" i="8"/>
  <c r="E1353" i="8"/>
  <c r="E1191" i="8"/>
  <c r="Z1192" i="8"/>
  <c r="M1273" i="8"/>
  <c r="M1192" i="8"/>
  <c r="M1111" i="8"/>
  <c r="M1354" i="8"/>
  <c r="AH1354" i="8"/>
  <c r="AH52" i="8"/>
  <c r="AH1273" i="8"/>
  <c r="AH1192" i="8"/>
  <c r="AH1111" i="8"/>
  <c r="L1110" i="8"/>
  <c r="L1353" i="8"/>
  <c r="AD1353" i="8" s="1"/>
  <c r="A1353" i="8"/>
  <c r="B51" i="8"/>
  <c r="B1110" i="8"/>
  <c r="AG1354" i="8"/>
  <c r="I1355" i="8"/>
  <c r="K1354" i="8"/>
  <c r="F1354" i="8" s="1"/>
  <c r="AF1354" i="8"/>
  <c r="AA1354" i="8" s="1"/>
  <c r="G1354" i="8"/>
  <c r="B1354" i="8" s="1"/>
  <c r="A1110" i="8"/>
  <c r="AG1111" i="8"/>
  <c r="I1112" i="8"/>
  <c r="AF1111" i="8"/>
  <c r="AA1111" i="8" s="1"/>
  <c r="G1111" i="8"/>
  <c r="K1111" i="8"/>
  <c r="L1191" i="8"/>
  <c r="AD1191" i="8" s="1"/>
  <c r="I1193" i="8"/>
  <c r="G1192" i="8"/>
  <c r="B1192" i="8" s="1"/>
  <c r="AG1192" i="8"/>
  <c r="AF1192" i="8"/>
  <c r="AA1192" i="8" s="1"/>
  <c r="K1192" i="8"/>
  <c r="F1192" i="8" s="1"/>
  <c r="A1191" i="8"/>
  <c r="L51" i="8"/>
  <c r="A1272" i="8"/>
  <c r="I1274" i="8"/>
  <c r="AG1273" i="8"/>
  <c r="G1273" i="8"/>
  <c r="B1273" i="8" s="1"/>
  <c r="K1273" i="8"/>
  <c r="F1273" i="8" s="1"/>
  <c r="AF1273" i="8"/>
  <c r="AA1273" i="8" s="1"/>
  <c r="L1272" i="8"/>
  <c r="AD1272" i="8" s="1"/>
  <c r="AG52" i="8"/>
  <c r="I53" i="8"/>
  <c r="A51" i="8"/>
  <c r="G52" i="8"/>
  <c r="K52" i="8"/>
  <c r="AF52" i="8"/>
  <c r="AA52" i="8" s="1"/>
  <c r="AD51" i="8" l="1"/>
  <c r="AD1110" i="8"/>
  <c r="AI1191" i="8"/>
  <c r="AI1272" i="8"/>
  <c r="AI1353" i="8"/>
  <c r="G97" i="9"/>
  <c r="F97" i="9" s="1"/>
  <c r="E97" i="9"/>
  <c r="AI51" i="8"/>
  <c r="F1111" i="8"/>
  <c r="AI1110" i="8"/>
  <c r="F52" i="8"/>
  <c r="E1111" i="8"/>
  <c r="E52" i="8"/>
  <c r="I98" i="9"/>
  <c r="E1273" i="8"/>
  <c r="E1192" i="8"/>
  <c r="E1354" i="8"/>
  <c r="W53" i="8"/>
  <c r="Z53" i="8"/>
  <c r="X53" i="8"/>
  <c r="M1193" i="8"/>
  <c r="M1355" i="8"/>
  <c r="M53" i="8"/>
  <c r="M1274" i="8"/>
  <c r="M1112" i="8"/>
  <c r="AH1274" i="8"/>
  <c r="AH1355" i="8"/>
  <c r="AH1112" i="8"/>
  <c r="AH1193" i="8"/>
  <c r="AH53" i="8"/>
  <c r="L1273" i="8"/>
  <c r="AD1273" i="8" s="1"/>
  <c r="L1111" i="8"/>
  <c r="B52" i="8"/>
  <c r="B1111" i="8"/>
  <c r="L1354" i="8"/>
  <c r="AD1354" i="8" s="1"/>
  <c r="G1355" i="8"/>
  <c r="B1355" i="8" s="1"/>
  <c r="AF1355" i="8"/>
  <c r="AA1355" i="8" s="1"/>
  <c r="I1356" i="8"/>
  <c r="AG1355" i="8"/>
  <c r="K1355" i="8"/>
  <c r="F1355" i="8" s="1"/>
  <c r="A1354" i="8"/>
  <c r="I1113" i="8"/>
  <c r="AG1112" i="8"/>
  <c r="AF1112" i="8"/>
  <c r="AA1112" i="8" s="1"/>
  <c r="K1112" i="8"/>
  <c r="G1112" i="8"/>
  <c r="A1111" i="8"/>
  <c r="L1192" i="8"/>
  <c r="AD1192" i="8" s="1"/>
  <c r="A1192" i="8"/>
  <c r="G1193" i="8"/>
  <c r="E1193" i="8" s="1"/>
  <c r="AF1193" i="8"/>
  <c r="AA1193" i="8" s="1"/>
  <c r="K1193" i="8"/>
  <c r="F1193" i="8" s="1"/>
  <c r="I1194" i="8"/>
  <c r="AG1193" i="8"/>
  <c r="L52" i="8"/>
  <c r="A1273" i="8"/>
  <c r="K1274" i="8"/>
  <c r="F1274" i="8" s="1"/>
  <c r="I1275" i="8"/>
  <c r="G1274" i="8"/>
  <c r="B1274" i="8" s="1"/>
  <c r="AG1274" i="8"/>
  <c r="AF1274" i="8"/>
  <c r="AA1274" i="8" s="1"/>
  <c r="AG53" i="8"/>
  <c r="AF53" i="8"/>
  <c r="AA53" i="8" s="1"/>
  <c r="K53" i="8"/>
  <c r="G53" i="8"/>
  <c r="I54" i="8"/>
  <c r="A52" i="8"/>
  <c r="AD1111" i="8" l="1"/>
  <c r="AD52" i="8"/>
  <c r="AI1354" i="8"/>
  <c r="AI1192" i="8"/>
  <c r="AI1273" i="8"/>
  <c r="E98" i="9"/>
  <c r="G98" i="9"/>
  <c r="F98" i="9" s="1"/>
  <c r="AI1111" i="8"/>
  <c r="AI52" i="8"/>
  <c r="F1112" i="8"/>
  <c r="F53" i="8"/>
  <c r="E1112" i="8"/>
  <c r="I99" i="9"/>
  <c r="E1274" i="8"/>
  <c r="E1355" i="8"/>
  <c r="Z54" i="8"/>
  <c r="M1356" i="8"/>
  <c r="M54" i="8"/>
  <c r="M1275" i="8"/>
  <c r="M1113" i="8"/>
  <c r="M1194" i="8"/>
  <c r="AH1275" i="8"/>
  <c r="AH54" i="8"/>
  <c r="AH1113" i="8"/>
  <c r="AH1356" i="8"/>
  <c r="AH1194" i="8"/>
  <c r="AI1193" i="8"/>
  <c r="L1193" i="8"/>
  <c r="AD1193" i="8" s="1"/>
  <c r="B1112" i="8"/>
  <c r="B53" i="8"/>
  <c r="L1355" i="8"/>
  <c r="AD1355" i="8" s="1"/>
  <c r="K1356" i="8"/>
  <c r="F1356" i="8" s="1"/>
  <c r="AG1356" i="8"/>
  <c r="AF1356" i="8"/>
  <c r="AA1356" i="8" s="1"/>
  <c r="I1357" i="8"/>
  <c r="G1356" i="8"/>
  <c r="B1356" i="8" s="1"/>
  <c r="A1355" i="8"/>
  <c r="K1113" i="8"/>
  <c r="L1112" i="8"/>
  <c r="G1113" i="8"/>
  <c r="I1114" i="8"/>
  <c r="AF1113" i="8"/>
  <c r="AA1113" i="8" s="1"/>
  <c r="AG1113" i="8"/>
  <c r="A1112" i="8"/>
  <c r="AF1194" i="8"/>
  <c r="AA1194" i="8" s="1"/>
  <c r="AG1194" i="8"/>
  <c r="K1194" i="8"/>
  <c r="F1194" i="8" s="1"/>
  <c r="G1194" i="8"/>
  <c r="E1194" i="8" s="1"/>
  <c r="I1195" i="8"/>
  <c r="B1193" i="8"/>
  <c r="A1193" i="8"/>
  <c r="L53" i="8"/>
  <c r="A1274" i="8"/>
  <c r="I1276" i="8"/>
  <c r="AG1275" i="8"/>
  <c r="G1275" i="8"/>
  <c r="B1275" i="8" s="1"/>
  <c r="K1275" i="8"/>
  <c r="F1275" i="8" s="1"/>
  <c r="AF1275" i="8"/>
  <c r="AA1275" i="8" s="1"/>
  <c r="L1274" i="8"/>
  <c r="AD1274" i="8" s="1"/>
  <c r="AG54" i="8"/>
  <c r="A53" i="8"/>
  <c r="K54" i="8"/>
  <c r="AF54" i="8"/>
  <c r="AA54" i="8" s="1"/>
  <c r="G54" i="8"/>
  <c r="I55" i="8"/>
  <c r="AD53" i="8" l="1"/>
  <c r="AD1112" i="8"/>
  <c r="AI1355" i="8"/>
  <c r="AI1274" i="8"/>
  <c r="E99" i="9"/>
  <c r="G99" i="9"/>
  <c r="F99" i="9" s="1"/>
  <c r="AI1112" i="8"/>
  <c r="F54" i="8"/>
  <c r="F1113" i="8"/>
  <c r="E1113" i="8"/>
  <c r="E54" i="8"/>
  <c r="I100" i="9"/>
  <c r="E1275" i="8"/>
  <c r="E1356" i="8"/>
  <c r="Z55" i="8"/>
  <c r="M55" i="8"/>
  <c r="M1195" i="8"/>
  <c r="M1357" i="8"/>
  <c r="M1276" i="8"/>
  <c r="M1114" i="8"/>
  <c r="AH1276" i="8"/>
  <c r="AH1195" i="8"/>
  <c r="AH1114" i="8"/>
  <c r="AH55" i="8"/>
  <c r="AH1357" i="8"/>
  <c r="AI1194" i="8"/>
  <c r="L54" i="8"/>
  <c r="L1356" i="8"/>
  <c r="AD1356" i="8" s="1"/>
  <c r="G1357" i="8"/>
  <c r="B1357" i="8" s="1"/>
  <c r="B54" i="8"/>
  <c r="B1113" i="8"/>
  <c r="A1356" i="8"/>
  <c r="I1358" i="8"/>
  <c r="L1113" i="8"/>
  <c r="AF1357" i="8"/>
  <c r="AA1357" i="8" s="1"/>
  <c r="K1357" i="8"/>
  <c r="F1357" i="8" s="1"/>
  <c r="AG1357" i="8"/>
  <c r="AG1114" i="8"/>
  <c r="K1114" i="8"/>
  <c r="I1115" i="8"/>
  <c r="G1114" i="8"/>
  <c r="AF1114" i="8"/>
  <c r="AA1114" i="8" s="1"/>
  <c r="A1113" i="8"/>
  <c r="L1194" i="8"/>
  <c r="AD1194" i="8" s="1"/>
  <c r="I1196" i="8"/>
  <c r="AG1195" i="8"/>
  <c r="K1195" i="8"/>
  <c r="F1195" i="8" s="1"/>
  <c r="G1195" i="8"/>
  <c r="B1195" i="8" s="1"/>
  <c r="AF1195" i="8"/>
  <c r="AA1195" i="8" s="1"/>
  <c r="B1194" i="8"/>
  <c r="A1194" i="8"/>
  <c r="L1275" i="8"/>
  <c r="AD1275" i="8" s="1"/>
  <c r="K1276" i="8"/>
  <c r="F1276" i="8" s="1"/>
  <c r="AG1276" i="8"/>
  <c r="I1277" i="8"/>
  <c r="G1276" i="8"/>
  <c r="B1276" i="8" s="1"/>
  <c r="AF1276" i="8"/>
  <c r="AA1276" i="8" s="1"/>
  <c r="A1275" i="8"/>
  <c r="AG55" i="8"/>
  <c r="AF55" i="8"/>
  <c r="AA55" i="8" s="1"/>
  <c r="A54" i="8"/>
  <c r="G55" i="8"/>
  <c r="K55" i="8"/>
  <c r="I56" i="8"/>
  <c r="AD1113" i="8" l="1"/>
  <c r="AD54" i="8"/>
  <c r="AI1356" i="8"/>
  <c r="AI1275" i="8"/>
  <c r="AI54" i="8"/>
  <c r="E100" i="9"/>
  <c r="G100" i="9"/>
  <c r="F100" i="9" s="1"/>
  <c r="E1114" i="8"/>
  <c r="AI1113" i="8"/>
  <c r="F55" i="8"/>
  <c r="F1114" i="8"/>
  <c r="E55" i="8"/>
  <c r="K4" i="10"/>
  <c r="A47" i="9" s="1"/>
  <c r="E53" i="8"/>
  <c r="I101" i="9"/>
  <c r="E1195" i="8"/>
  <c r="E1276" i="8"/>
  <c r="E1357" i="8"/>
  <c r="Z56" i="8"/>
  <c r="W1277" i="8"/>
  <c r="Z1277" i="8"/>
  <c r="X1277" i="8"/>
  <c r="M1277" i="8"/>
  <c r="M1115" i="8"/>
  <c r="M1358" i="8"/>
  <c r="M1196" i="8"/>
  <c r="M56" i="8"/>
  <c r="AH56" i="8"/>
  <c r="AH1115" i="8"/>
  <c r="AH1196" i="8"/>
  <c r="AH1358" i="8"/>
  <c r="AH1277" i="8"/>
  <c r="L1357" i="8"/>
  <c r="AD1357" i="8" s="1"/>
  <c r="L1195" i="8"/>
  <c r="AD1195" i="8" s="1"/>
  <c r="A1357" i="8"/>
  <c r="K1358" i="8"/>
  <c r="F1358" i="8" s="1"/>
  <c r="B55" i="8"/>
  <c r="B1114" i="8"/>
  <c r="AG1358" i="8"/>
  <c r="G1358" i="8"/>
  <c r="B1358" i="8" s="1"/>
  <c r="AF1358" i="8"/>
  <c r="AA1358" i="8" s="1"/>
  <c r="I1359" i="8"/>
  <c r="K1115" i="8"/>
  <c r="AF1115" i="8"/>
  <c r="AA1115" i="8" s="1"/>
  <c r="G1115" i="8"/>
  <c r="AG1115" i="8"/>
  <c r="L1114" i="8"/>
  <c r="I1116" i="8"/>
  <c r="A1114" i="8"/>
  <c r="AG1196" i="8"/>
  <c r="G1196" i="8"/>
  <c r="E1196" i="8" s="1"/>
  <c r="AF1196" i="8"/>
  <c r="AA1196" i="8" s="1"/>
  <c r="K1196" i="8"/>
  <c r="F1196" i="8" s="1"/>
  <c r="I1197" i="8"/>
  <c r="A1195" i="8"/>
  <c r="L55" i="8"/>
  <c r="I1278" i="8"/>
  <c r="AG1277" i="8"/>
  <c r="G1277" i="8"/>
  <c r="B1277" i="8" s="1"/>
  <c r="K1277" i="8"/>
  <c r="F1277" i="8" s="1"/>
  <c r="AF1277" i="8"/>
  <c r="AA1277" i="8" s="1"/>
  <c r="L1276" i="8"/>
  <c r="AD1276" i="8" s="1"/>
  <c r="A1276" i="8"/>
  <c r="AG56" i="8"/>
  <c r="G56" i="8"/>
  <c r="I57" i="8"/>
  <c r="AF56" i="8"/>
  <c r="AA56" i="8" s="1"/>
  <c r="A55" i="8"/>
  <c r="K56" i="8"/>
  <c r="AD55" i="8" l="1"/>
  <c r="AD1114" i="8"/>
  <c r="AI1357" i="8"/>
  <c r="AI1276" i="8"/>
  <c r="AI1195" i="8"/>
  <c r="G101" i="9"/>
  <c r="F101" i="9" s="1"/>
  <c r="E101" i="9"/>
  <c r="AI1114" i="8"/>
  <c r="AI55" i="8"/>
  <c r="A46" i="9"/>
  <c r="A54" i="9"/>
  <c r="A52" i="9"/>
  <c r="A42" i="9"/>
  <c r="A55" i="9"/>
  <c r="A51" i="9"/>
  <c r="A31" i="9"/>
  <c r="P31" i="9" s="1"/>
  <c r="A30" i="9"/>
  <c r="A38" i="9"/>
  <c r="A39" i="9"/>
  <c r="A34" i="9"/>
  <c r="A53" i="9"/>
  <c r="A44" i="9"/>
  <c r="A43" i="9"/>
  <c r="AI53" i="8"/>
  <c r="F1115" i="8"/>
  <c r="A50" i="9"/>
  <c r="A36" i="9"/>
  <c r="A35" i="9"/>
  <c r="A49" i="9"/>
  <c r="A37" i="9"/>
  <c r="A33" i="9"/>
  <c r="E1115" i="8"/>
  <c r="A45" i="9"/>
  <c r="E56" i="8"/>
  <c r="A48" i="9"/>
  <c r="A29" i="9"/>
  <c r="A40" i="9"/>
  <c r="F56" i="8"/>
  <c r="A32" i="9"/>
  <c r="A41" i="9"/>
  <c r="I102" i="9"/>
  <c r="E1358" i="8"/>
  <c r="Z1278" i="8"/>
  <c r="Z57" i="8"/>
  <c r="M1116" i="8"/>
  <c r="M1197" i="8"/>
  <c r="M57" i="8"/>
  <c r="M1278" i="8"/>
  <c r="M1359" i="8"/>
  <c r="AH57" i="8"/>
  <c r="AH1116" i="8"/>
  <c r="AH1278" i="8"/>
  <c r="AH1197" i="8"/>
  <c r="AH1359" i="8"/>
  <c r="L1358" i="8"/>
  <c r="AD1358" i="8" s="1"/>
  <c r="AI1196" i="8"/>
  <c r="B56" i="8"/>
  <c r="B1115" i="8"/>
  <c r="A1358" i="8"/>
  <c r="G1359" i="8"/>
  <c r="B1359" i="8" s="1"/>
  <c r="AG1359" i="8"/>
  <c r="I1360" i="8"/>
  <c r="K1359" i="8"/>
  <c r="F1359" i="8" s="1"/>
  <c r="AF1359" i="8"/>
  <c r="AA1359" i="8" s="1"/>
  <c r="L1115" i="8"/>
  <c r="AF1116" i="8"/>
  <c r="AA1116" i="8" s="1"/>
  <c r="I1117" i="8"/>
  <c r="G1116" i="8"/>
  <c r="A1115" i="8"/>
  <c r="AG1116" i="8"/>
  <c r="K1116" i="8"/>
  <c r="L1196" i="8"/>
  <c r="AD1196" i="8" s="1"/>
  <c r="I1198" i="8"/>
  <c r="AG1197" i="8"/>
  <c r="K1197" i="8"/>
  <c r="F1197" i="8" s="1"/>
  <c r="G1197" i="8"/>
  <c r="E1197" i="8" s="1"/>
  <c r="AF1197" i="8"/>
  <c r="AA1197" i="8" s="1"/>
  <c r="B1196" i="8"/>
  <c r="A1196" i="8"/>
  <c r="L56" i="8"/>
  <c r="A1277" i="8"/>
  <c r="K1278" i="8"/>
  <c r="F1278" i="8" s="1"/>
  <c r="G1278" i="8"/>
  <c r="B1278" i="8" s="1"/>
  <c r="AG1278" i="8"/>
  <c r="I1279" i="8"/>
  <c r="AF1278" i="8"/>
  <c r="AA1278" i="8" s="1"/>
  <c r="L1277" i="8"/>
  <c r="AD1277" i="8" s="1"/>
  <c r="AG57" i="8"/>
  <c r="A56" i="8"/>
  <c r="K57" i="8"/>
  <c r="G57" i="8"/>
  <c r="AF57" i="8"/>
  <c r="AA57" i="8" s="1"/>
  <c r="I58" i="8"/>
  <c r="AD1115" i="8" l="1"/>
  <c r="AD56" i="8"/>
  <c r="AI1358" i="8"/>
  <c r="G102" i="9"/>
  <c r="F102" i="9" s="1"/>
  <c r="E102" i="9"/>
  <c r="AI1115" i="8"/>
  <c r="AI56" i="8"/>
  <c r="F1116" i="8"/>
  <c r="E57" i="8"/>
  <c r="F57" i="8"/>
  <c r="E1116" i="8"/>
  <c r="I103" i="9"/>
  <c r="E1278" i="8"/>
  <c r="E1359" i="8"/>
  <c r="Z1279" i="8"/>
  <c r="Z58" i="8"/>
  <c r="M58" i="8"/>
  <c r="M1279" i="8"/>
  <c r="M1198" i="8"/>
  <c r="M1360" i="8"/>
  <c r="M1117" i="8"/>
  <c r="AH1360" i="8"/>
  <c r="AH1279" i="8"/>
  <c r="AH1198" i="8"/>
  <c r="AH1117" i="8"/>
  <c r="AH58" i="8"/>
  <c r="AI1197" i="8"/>
  <c r="L1359" i="8"/>
  <c r="AD1359" i="8" s="1"/>
  <c r="K1360" i="8"/>
  <c r="F1360" i="8" s="1"/>
  <c r="A1359" i="8"/>
  <c r="B57" i="8"/>
  <c r="B1116" i="8"/>
  <c r="AG1360" i="8"/>
  <c r="AF1360" i="8"/>
  <c r="AA1360" i="8" s="1"/>
  <c r="G1360" i="8"/>
  <c r="B1360" i="8" s="1"/>
  <c r="I1361" i="8"/>
  <c r="L1116" i="8"/>
  <c r="A1116" i="8"/>
  <c r="AG1117" i="8"/>
  <c r="AF1117" i="8"/>
  <c r="AA1117" i="8" s="1"/>
  <c r="K1117" i="8"/>
  <c r="G1117" i="8"/>
  <c r="I1118" i="8"/>
  <c r="L1197" i="8"/>
  <c r="AD1197" i="8" s="1"/>
  <c r="B1197" i="8"/>
  <c r="A1197" i="8"/>
  <c r="G1198" i="8"/>
  <c r="E1198" i="8" s="1"/>
  <c r="I1199" i="8"/>
  <c r="K1198" i="8"/>
  <c r="F1198" i="8" s="1"/>
  <c r="AF1198" i="8"/>
  <c r="AA1198" i="8" s="1"/>
  <c r="AG1198" i="8"/>
  <c r="L57" i="8"/>
  <c r="A1278" i="8"/>
  <c r="K13" i="10" s="1"/>
  <c r="I1280" i="8"/>
  <c r="AG1279" i="8"/>
  <c r="G1279" i="8"/>
  <c r="B1279" i="8" s="1"/>
  <c r="K1279" i="8"/>
  <c r="F1279" i="8" s="1"/>
  <c r="AF1279" i="8"/>
  <c r="AA1279" i="8" s="1"/>
  <c r="L1278" i="8"/>
  <c r="AD1278" i="8" s="1"/>
  <c r="AG58" i="8"/>
  <c r="I59" i="8"/>
  <c r="A57" i="8"/>
  <c r="K58" i="8"/>
  <c r="G58" i="8"/>
  <c r="AF58" i="8"/>
  <c r="AA58" i="8" s="1"/>
  <c r="AD57" i="8" l="1"/>
  <c r="AD1116" i="8"/>
  <c r="AI1359" i="8"/>
  <c r="E1277" i="8"/>
  <c r="G103" i="9"/>
  <c r="F103" i="9" s="1"/>
  <c r="E103" i="9"/>
  <c r="AI57" i="8"/>
  <c r="AI1116" i="8"/>
  <c r="E1117" i="8"/>
  <c r="E58" i="8"/>
  <c r="P32" i="9"/>
  <c r="F1117" i="8"/>
  <c r="F58" i="8"/>
  <c r="I104" i="9"/>
  <c r="AI1278" i="8"/>
  <c r="E1279" i="8"/>
  <c r="E1360" i="8"/>
  <c r="Z1280" i="8"/>
  <c r="Z59" i="8"/>
  <c r="M1118" i="8"/>
  <c r="M1361" i="8"/>
  <c r="M1280" i="8"/>
  <c r="M1199" i="8"/>
  <c r="M59" i="8"/>
  <c r="AH59" i="8"/>
  <c r="AH1280" i="8"/>
  <c r="AH1118" i="8"/>
  <c r="AH1361" i="8"/>
  <c r="AH1199" i="8"/>
  <c r="AI1198" i="8"/>
  <c r="L1279" i="8"/>
  <c r="AD1279" i="8" s="1"/>
  <c r="L1117" i="8"/>
  <c r="L1360" i="8"/>
  <c r="AD1360" i="8" s="1"/>
  <c r="AF1361" i="8"/>
  <c r="AA1361" i="8" s="1"/>
  <c r="K1118" i="8"/>
  <c r="B58" i="8"/>
  <c r="B1117" i="8"/>
  <c r="I1362" i="8"/>
  <c r="A1360" i="8"/>
  <c r="AG1361" i="8"/>
  <c r="G1361" i="8"/>
  <c r="B1361" i="8" s="1"/>
  <c r="K1361" i="8"/>
  <c r="F1361" i="8" s="1"/>
  <c r="G1118" i="8"/>
  <c r="AF1118" i="8"/>
  <c r="AA1118" i="8" s="1"/>
  <c r="AG1118" i="8"/>
  <c r="I1119" i="8"/>
  <c r="A1117" i="8"/>
  <c r="L1198" i="8"/>
  <c r="AD1198" i="8" s="1"/>
  <c r="AG1199" i="8"/>
  <c r="I1200" i="8"/>
  <c r="G1199" i="8"/>
  <c r="E1199" i="8" s="1"/>
  <c r="K1199" i="8"/>
  <c r="F1199" i="8" s="1"/>
  <c r="AF1199" i="8"/>
  <c r="AA1199" i="8" s="1"/>
  <c r="B1198" i="8"/>
  <c r="A1198" i="8"/>
  <c r="L58" i="8"/>
  <c r="A1279" i="8"/>
  <c r="K1280" i="8"/>
  <c r="F1280" i="8" s="1"/>
  <c r="I1281" i="8"/>
  <c r="AF1280" i="8"/>
  <c r="AA1280" i="8" s="1"/>
  <c r="AG1280" i="8"/>
  <c r="G1280" i="8"/>
  <c r="B1280" i="8" s="1"/>
  <c r="AG59" i="8"/>
  <c r="AF59" i="8"/>
  <c r="AA59" i="8" s="1"/>
  <c r="K59" i="8"/>
  <c r="I60" i="8"/>
  <c r="G59" i="8"/>
  <c r="A58" i="8"/>
  <c r="AD58" i="8" l="1"/>
  <c r="AD1117" i="8"/>
  <c r="AI1277" i="8"/>
  <c r="AI1279" i="8"/>
  <c r="AI1360" i="8"/>
  <c r="G104" i="9"/>
  <c r="F104" i="9" s="1"/>
  <c r="E104" i="9"/>
  <c r="AI1117" i="8"/>
  <c r="AI58" i="8"/>
  <c r="B59" i="8"/>
  <c r="E1118" i="8"/>
  <c r="F1118" i="8"/>
  <c r="F59" i="8"/>
  <c r="I105" i="9"/>
  <c r="E1361" i="8"/>
  <c r="E1280" i="8"/>
  <c r="E59" i="8"/>
  <c r="Z60" i="8"/>
  <c r="Z1281" i="8"/>
  <c r="M1119" i="8"/>
  <c r="M1281" i="8"/>
  <c r="M1362" i="8"/>
  <c r="M1200" i="8"/>
  <c r="M60" i="8"/>
  <c r="AH1281" i="8"/>
  <c r="AH1119" i="8"/>
  <c r="AH1200" i="8"/>
  <c r="AH1362" i="8"/>
  <c r="AH60" i="8"/>
  <c r="AI1199" i="8"/>
  <c r="L1361" i="8"/>
  <c r="AD1361" i="8" s="1"/>
  <c r="K1362" i="8"/>
  <c r="F1362" i="8" s="1"/>
  <c r="G1362" i="8"/>
  <c r="B1362" i="8" s="1"/>
  <c r="AF1362" i="8"/>
  <c r="AA1362" i="8" s="1"/>
  <c r="AG1362" i="8"/>
  <c r="I1363" i="8"/>
  <c r="B1118" i="8"/>
  <c r="A1361" i="8"/>
  <c r="L1118" i="8"/>
  <c r="A1118" i="8"/>
  <c r="AF1119" i="8"/>
  <c r="AA1119" i="8" s="1"/>
  <c r="AG1119" i="8"/>
  <c r="G1119" i="8"/>
  <c r="B1119" i="8" s="1"/>
  <c r="K1119" i="8"/>
  <c r="F1119" i="8" s="1"/>
  <c r="I1120" i="8"/>
  <c r="L1199" i="8"/>
  <c r="AD1199" i="8" s="1"/>
  <c r="B1199" i="8"/>
  <c r="A1199" i="8"/>
  <c r="AG1200" i="8"/>
  <c r="I1201" i="8"/>
  <c r="G1200" i="8"/>
  <c r="E1200" i="8" s="1"/>
  <c r="AF1200" i="8"/>
  <c r="AA1200" i="8" s="1"/>
  <c r="K1200" i="8"/>
  <c r="F1200" i="8" s="1"/>
  <c r="L59" i="8"/>
  <c r="L1280" i="8"/>
  <c r="AD1280" i="8" s="1"/>
  <c r="I1282" i="8"/>
  <c r="AG1281" i="8"/>
  <c r="G1281" i="8"/>
  <c r="B1281" i="8" s="1"/>
  <c r="K1281" i="8"/>
  <c r="F1281" i="8" s="1"/>
  <c r="AF1281" i="8"/>
  <c r="AA1281" i="8" s="1"/>
  <c r="A1280" i="8"/>
  <c r="AG60" i="8"/>
  <c r="G60" i="8"/>
  <c r="K60" i="8"/>
  <c r="I61" i="8"/>
  <c r="AF60" i="8"/>
  <c r="AA60" i="8" s="1"/>
  <c r="A59" i="8"/>
  <c r="AD59" i="8" l="1"/>
  <c r="AD1118" i="8"/>
  <c r="AI1361" i="8"/>
  <c r="AI1280" i="8"/>
  <c r="G105" i="9"/>
  <c r="F105" i="9" s="1"/>
  <c r="E105" i="9"/>
  <c r="P33" i="9"/>
  <c r="AI1118" i="8"/>
  <c r="F60" i="8"/>
  <c r="AI59" i="8"/>
  <c r="E60" i="8"/>
  <c r="I106" i="9"/>
  <c r="E1362" i="8"/>
  <c r="E1119" i="8"/>
  <c r="E1281" i="8"/>
  <c r="Z61" i="8"/>
  <c r="Z1282" i="8"/>
  <c r="M1120" i="8"/>
  <c r="M1201" i="8"/>
  <c r="M1282" i="8"/>
  <c r="M1363" i="8"/>
  <c r="M61" i="8"/>
  <c r="AH1120" i="8"/>
  <c r="AH1282" i="8"/>
  <c r="AH1201" i="8"/>
  <c r="AH61" i="8"/>
  <c r="AH1363" i="8"/>
  <c r="AI1200" i="8"/>
  <c r="L1119" i="8"/>
  <c r="AD1119" i="8" s="1"/>
  <c r="L1362" i="8"/>
  <c r="AD1362" i="8" s="1"/>
  <c r="G1120" i="8"/>
  <c r="B1120" i="8" s="1"/>
  <c r="A1362" i="8"/>
  <c r="I1364" i="8"/>
  <c r="G1363" i="8"/>
  <c r="B1363" i="8" s="1"/>
  <c r="AF1363" i="8"/>
  <c r="AA1363" i="8" s="1"/>
  <c r="AG1363" i="8"/>
  <c r="K1363" i="8"/>
  <c r="F1363" i="8" s="1"/>
  <c r="AF1120" i="8"/>
  <c r="AA1120" i="8" s="1"/>
  <c r="B60" i="8"/>
  <c r="A1119" i="8"/>
  <c r="K1120" i="8"/>
  <c r="F1120" i="8" s="1"/>
  <c r="AG1120" i="8"/>
  <c r="I1121" i="8"/>
  <c r="L1200" i="8"/>
  <c r="AD1200" i="8" s="1"/>
  <c r="B1200" i="8"/>
  <c r="A1200" i="8"/>
  <c r="AF1201" i="8"/>
  <c r="AA1201" i="8" s="1"/>
  <c r="I1202" i="8"/>
  <c r="AG1201" i="8"/>
  <c r="K1201" i="8"/>
  <c r="F1201" i="8" s="1"/>
  <c r="G1201" i="8"/>
  <c r="B1201" i="8" s="1"/>
  <c r="L60" i="8"/>
  <c r="K1282" i="8"/>
  <c r="F1282" i="8" s="1"/>
  <c r="AG1282" i="8"/>
  <c r="G1282" i="8"/>
  <c r="B1282" i="8" s="1"/>
  <c r="I1283" i="8"/>
  <c r="AF1282" i="8"/>
  <c r="AA1282" i="8" s="1"/>
  <c r="L1281" i="8"/>
  <c r="AD1281" i="8" s="1"/>
  <c r="A1281" i="8"/>
  <c r="AG61" i="8"/>
  <c r="AF61" i="8"/>
  <c r="AA61" i="8" s="1"/>
  <c r="A60" i="8"/>
  <c r="K61" i="8"/>
  <c r="I62" i="8"/>
  <c r="G61" i="8"/>
  <c r="AD60" i="8" l="1"/>
  <c r="AI1119" i="8"/>
  <c r="AI1362" i="8"/>
  <c r="AI1281" i="8"/>
  <c r="E106" i="9"/>
  <c r="G106" i="9"/>
  <c r="F106" i="9" s="1"/>
  <c r="F61" i="8"/>
  <c r="E61" i="8"/>
  <c r="AI60" i="8"/>
  <c r="I107" i="9"/>
  <c r="E1282" i="8"/>
  <c r="E1201" i="8"/>
  <c r="E1363" i="8"/>
  <c r="E1120" i="8"/>
  <c r="Z1283" i="8"/>
  <c r="Z62" i="8"/>
  <c r="M1283" i="8"/>
  <c r="M1202" i="8"/>
  <c r="M1121" i="8"/>
  <c r="M62" i="8"/>
  <c r="M1364" i="8"/>
  <c r="AH1121" i="8"/>
  <c r="AH1202" i="8"/>
  <c r="AH1364" i="8"/>
  <c r="AH1283" i="8"/>
  <c r="AH62" i="8"/>
  <c r="L61" i="8"/>
  <c r="L1201" i="8"/>
  <c r="AD1201" i="8" s="1"/>
  <c r="L1363" i="8"/>
  <c r="AD1363" i="8" s="1"/>
  <c r="A1120" i="8"/>
  <c r="AG1364" i="8"/>
  <c r="A1363" i="8"/>
  <c r="I1365" i="8"/>
  <c r="G1364" i="8"/>
  <c r="B1364" i="8" s="1"/>
  <c r="K1364" i="8"/>
  <c r="F1364" i="8" s="1"/>
  <c r="AF1364" i="8"/>
  <c r="AA1364" i="8" s="1"/>
  <c r="B61" i="8"/>
  <c r="L1120" i="8"/>
  <c r="AD1120" i="8" s="1"/>
  <c r="AG1121" i="8"/>
  <c r="K1121" i="8"/>
  <c r="F1121" i="8" s="1"/>
  <c r="I1122" i="8"/>
  <c r="AF1121" i="8"/>
  <c r="AA1121" i="8" s="1"/>
  <c r="G1121" i="8"/>
  <c r="B1121" i="8" s="1"/>
  <c r="G1202" i="8"/>
  <c r="B1202" i="8" s="1"/>
  <c r="I1203" i="8"/>
  <c r="K1202" i="8"/>
  <c r="F1202" i="8" s="1"/>
  <c r="AG1202" i="8"/>
  <c r="AF1202" i="8"/>
  <c r="AA1202" i="8" s="1"/>
  <c r="A1201" i="8"/>
  <c r="A1282" i="8"/>
  <c r="L1282" i="8"/>
  <c r="AD1282" i="8" s="1"/>
  <c r="I1284" i="8"/>
  <c r="G1283" i="8"/>
  <c r="B1283" i="8" s="1"/>
  <c r="K1283" i="8"/>
  <c r="F1283" i="8" s="1"/>
  <c r="AG1283" i="8"/>
  <c r="AF1283" i="8"/>
  <c r="AA1283" i="8" s="1"/>
  <c r="AG62" i="8"/>
  <c r="I63" i="8"/>
  <c r="K62" i="8"/>
  <c r="G62" i="8"/>
  <c r="AF62" i="8"/>
  <c r="AA62" i="8" s="1"/>
  <c r="A61" i="8"/>
  <c r="AD61" i="8" l="1"/>
  <c r="AI1201" i="8"/>
  <c r="AI1282" i="8"/>
  <c r="AI1363" i="8"/>
  <c r="AI1120" i="8"/>
  <c r="E107" i="9"/>
  <c r="G107" i="9"/>
  <c r="F107" i="9" s="1"/>
  <c r="AI61" i="8"/>
  <c r="E62" i="8"/>
  <c r="F62" i="8"/>
  <c r="I108" i="9"/>
  <c r="E1202" i="8"/>
  <c r="E1283" i="8"/>
  <c r="E1364" i="8"/>
  <c r="E1121" i="8"/>
  <c r="Z63" i="8"/>
  <c r="Z1284" i="8"/>
  <c r="M1122" i="8"/>
  <c r="M1284" i="8"/>
  <c r="M1365" i="8"/>
  <c r="M1203" i="8"/>
  <c r="M63" i="8"/>
  <c r="AH1284" i="8"/>
  <c r="AH63" i="8"/>
  <c r="AH1365" i="8"/>
  <c r="AH1122" i="8"/>
  <c r="AH1203" i="8"/>
  <c r="L1283" i="8"/>
  <c r="AD1283" i="8" s="1"/>
  <c r="L62" i="8"/>
  <c r="L1121" i="8"/>
  <c r="AD1121" i="8" s="1"/>
  <c r="L1364" i="8"/>
  <c r="AD1364" i="8" s="1"/>
  <c r="I1366" i="8"/>
  <c r="AF1365" i="8"/>
  <c r="AA1365" i="8" s="1"/>
  <c r="AG1365" i="8"/>
  <c r="K1365" i="8"/>
  <c r="F1365" i="8" s="1"/>
  <c r="G1365" i="8"/>
  <c r="B1365" i="8" s="1"/>
  <c r="G1122" i="8"/>
  <c r="B1122" i="8" s="1"/>
  <c r="A1364" i="8"/>
  <c r="B62" i="8"/>
  <c r="I1123" i="8"/>
  <c r="AF1122" i="8"/>
  <c r="AA1122" i="8" s="1"/>
  <c r="K1122" i="8"/>
  <c r="F1122" i="8" s="1"/>
  <c r="A1202" i="8"/>
  <c r="AG1122" i="8"/>
  <c r="A1121" i="8"/>
  <c r="L1202" i="8"/>
  <c r="AD1202" i="8" s="1"/>
  <c r="I1204" i="8"/>
  <c r="K1203" i="8"/>
  <c r="F1203" i="8" s="1"/>
  <c r="AF1203" i="8"/>
  <c r="AA1203" i="8" s="1"/>
  <c r="AG1203" i="8"/>
  <c r="G1203" i="8"/>
  <c r="E1203" i="8" s="1"/>
  <c r="K1284" i="8"/>
  <c r="F1284" i="8" s="1"/>
  <c r="G1284" i="8"/>
  <c r="B1284" i="8" s="1"/>
  <c r="I1285" i="8"/>
  <c r="AG1284" i="8"/>
  <c r="AF1284" i="8"/>
  <c r="AA1284" i="8" s="1"/>
  <c r="A1283" i="8"/>
  <c r="AG63" i="8"/>
  <c r="I64" i="8"/>
  <c r="G63" i="8"/>
  <c r="AF63" i="8"/>
  <c r="AA63" i="8" s="1"/>
  <c r="K63" i="8"/>
  <c r="A62" i="8"/>
  <c r="AD62" i="8" l="1"/>
  <c r="AI1283" i="8"/>
  <c r="AI1202" i="8"/>
  <c r="AI1121" i="8"/>
  <c r="AI1364" i="8"/>
  <c r="E108" i="9"/>
  <c r="G108" i="9"/>
  <c r="F108" i="9" s="1"/>
  <c r="E63" i="8"/>
  <c r="AI62" i="8"/>
  <c r="F63" i="8"/>
  <c r="I109" i="9"/>
  <c r="E1284" i="8"/>
  <c r="E1365" i="8"/>
  <c r="E1122" i="8"/>
  <c r="Z1285" i="8"/>
  <c r="Z64" i="8"/>
  <c r="M1366" i="8"/>
  <c r="M1204" i="8"/>
  <c r="M1123" i="8"/>
  <c r="M1285" i="8"/>
  <c r="M64" i="8"/>
  <c r="AH1366" i="8"/>
  <c r="AH1123" i="8"/>
  <c r="AH1285" i="8"/>
  <c r="AH64" i="8"/>
  <c r="AH1204" i="8"/>
  <c r="L1365" i="8"/>
  <c r="AD1365" i="8" s="1"/>
  <c r="AI1203" i="8"/>
  <c r="L1203" i="8"/>
  <c r="AD1203" i="8" s="1"/>
  <c r="AF1366" i="8"/>
  <c r="AA1366" i="8" s="1"/>
  <c r="AG1366" i="8"/>
  <c r="G1366" i="8"/>
  <c r="B1366" i="8" s="1"/>
  <c r="K1366" i="8"/>
  <c r="F1366" i="8" s="1"/>
  <c r="I1367" i="8"/>
  <c r="A1365" i="8"/>
  <c r="A1122" i="8"/>
  <c r="AG1123" i="8"/>
  <c r="B63" i="8"/>
  <c r="G1123" i="8"/>
  <c r="B1123" i="8" s="1"/>
  <c r="AF1123" i="8"/>
  <c r="AA1123" i="8" s="1"/>
  <c r="L1122" i="8"/>
  <c r="AD1122" i="8" s="1"/>
  <c r="I1124" i="8"/>
  <c r="K1123" i="8"/>
  <c r="F1123" i="8" s="1"/>
  <c r="B1203" i="8"/>
  <c r="A1203" i="8"/>
  <c r="I1205" i="8"/>
  <c r="K1204" i="8"/>
  <c r="F1204" i="8" s="1"/>
  <c r="AG1204" i="8"/>
  <c r="AF1204" i="8"/>
  <c r="AA1204" i="8" s="1"/>
  <c r="G1204" i="8"/>
  <c r="E1204" i="8" s="1"/>
  <c r="L63" i="8"/>
  <c r="A1284" i="8"/>
  <c r="I1286" i="8"/>
  <c r="G1285" i="8"/>
  <c r="B1285" i="8" s="1"/>
  <c r="AG1285" i="8"/>
  <c r="K1285" i="8"/>
  <c r="F1285" i="8" s="1"/>
  <c r="AF1285" i="8"/>
  <c r="AA1285" i="8" s="1"/>
  <c r="L1284" i="8"/>
  <c r="AD1284" i="8" s="1"/>
  <c r="A63" i="8"/>
  <c r="AG64" i="8"/>
  <c r="G64" i="8"/>
  <c r="AF64" i="8"/>
  <c r="AA64" i="8" s="1"/>
  <c r="I65" i="8"/>
  <c r="K64" i="8"/>
  <c r="AD63" i="8" l="1"/>
  <c r="AI1365" i="8"/>
  <c r="AI1284" i="8"/>
  <c r="AI1122" i="8"/>
  <c r="G109" i="9"/>
  <c r="F109" i="9" s="1"/>
  <c r="E109" i="9"/>
  <c r="AI63" i="8"/>
  <c r="F64" i="8"/>
  <c r="E64" i="8"/>
  <c r="I110" i="9"/>
  <c r="E1123" i="8"/>
  <c r="E1285" i="8"/>
  <c r="E1366" i="8"/>
  <c r="Z1286" i="8"/>
  <c r="Z65" i="8"/>
  <c r="W1124" i="8"/>
  <c r="Z1124" i="8"/>
  <c r="X1124" i="8"/>
  <c r="M1124" i="8"/>
  <c r="M65" i="8"/>
  <c r="M1286" i="8"/>
  <c r="M1205" i="8"/>
  <c r="M1367" i="8"/>
  <c r="AH1286" i="8"/>
  <c r="AH1367" i="8"/>
  <c r="AH1205" i="8"/>
  <c r="AH65" i="8"/>
  <c r="AH1124" i="8"/>
  <c r="L1366" i="8"/>
  <c r="AD1366" i="8" s="1"/>
  <c r="AI1204" i="8"/>
  <c r="L1123" i="8"/>
  <c r="AD1123" i="8" s="1"/>
  <c r="AF1367" i="8"/>
  <c r="AA1367" i="8" s="1"/>
  <c r="AG1367" i="8"/>
  <c r="A1366" i="8"/>
  <c r="G1367" i="8"/>
  <c r="B1367" i="8" s="1"/>
  <c r="K1367" i="8"/>
  <c r="F1367" i="8" s="1"/>
  <c r="I1368" i="8"/>
  <c r="AF1124" i="8"/>
  <c r="AA1124" i="8" s="1"/>
  <c r="B64" i="8"/>
  <c r="A1123" i="8"/>
  <c r="K1124" i="8"/>
  <c r="F1124" i="8" s="1"/>
  <c r="G1124" i="8"/>
  <c r="B1124" i="8" s="1"/>
  <c r="AG1124" i="8"/>
  <c r="I1125" i="8"/>
  <c r="L1204" i="8"/>
  <c r="AD1204" i="8" s="1"/>
  <c r="AF1205" i="8"/>
  <c r="AA1205" i="8" s="1"/>
  <c r="I1206" i="8"/>
  <c r="AG1205" i="8"/>
  <c r="K1205" i="8"/>
  <c r="F1205" i="8" s="1"/>
  <c r="G1205" i="8"/>
  <c r="B1205" i="8" s="1"/>
  <c r="B1204" i="8"/>
  <c r="A1204" i="8"/>
  <c r="L64" i="8"/>
  <c r="K1286" i="8"/>
  <c r="F1286" i="8" s="1"/>
  <c r="G1286" i="8"/>
  <c r="B1286" i="8" s="1"/>
  <c r="I1287" i="8"/>
  <c r="AG1286" i="8"/>
  <c r="AF1286" i="8"/>
  <c r="AA1286" i="8" s="1"/>
  <c r="A1285" i="8"/>
  <c r="L1285" i="8"/>
  <c r="AD1285" i="8" s="1"/>
  <c r="A64" i="8"/>
  <c r="AG65" i="8"/>
  <c r="AF65" i="8"/>
  <c r="AA65" i="8" s="1"/>
  <c r="I66" i="8"/>
  <c r="G65" i="8"/>
  <c r="K65" i="8"/>
  <c r="AD64" i="8" l="1"/>
  <c r="AI1366" i="8"/>
  <c r="AI1285" i="8"/>
  <c r="AI1123" i="8"/>
  <c r="AI64" i="8"/>
  <c r="L110" i="9"/>
  <c r="E110" i="9"/>
  <c r="K110" i="9" s="1"/>
  <c r="G110" i="9"/>
  <c r="F110" i="9" s="1"/>
  <c r="E65" i="8"/>
  <c r="F65" i="8"/>
  <c r="I111" i="9"/>
  <c r="E1367" i="8"/>
  <c r="E1286" i="8"/>
  <c r="E1205" i="8"/>
  <c r="Z1125" i="8"/>
  <c r="Z1287" i="8"/>
  <c r="Z66" i="8"/>
  <c r="M66" i="8"/>
  <c r="M1368" i="8"/>
  <c r="M1287" i="8"/>
  <c r="M1206" i="8"/>
  <c r="M1125" i="8"/>
  <c r="AH1206" i="8"/>
  <c r="AH1287" i="8"/>
  <c r="AH1368" i="8"/>
  <c r="AH66" i="8"/>
  <c r="AH1125" i="8"/>
  <c r="L1367" i="8"/>
  <c r="AD1367" i="8" s="1"/>
  <c r="L1205" i="8"/>
  <c r="AD1205" i="8" s="1"/>
  <c r="L1124" i="8"/>
  <c r="AD1124" i="8" s="1"/>
  <c r="A1367" i="8"/>
  <c r="AF1368" i="8"/>
  <c r="AA1368" i="8" s="1"/>
  <c r="K1368" i="8"/>
  <c r="F1368" i="8" s="1"/>
  <c r="G1368" i="8"/>
  <c r="B1368" i="8" s="1"/>
  <c r="AG1368" i="8"/>
  <c r="I1369" i="8"/>
  <c r="G1125" i="8"/>
  <c r="B1125" i="8" s="1"/>
  <c r="A1124" i="8"/>
  <c r="B65" i="8"/>
  <c r="I1126" i="8"/>
  <c r="K1125" i="8"/>
  <c r="F1125" i="8" s="1"/>
  <c r="AG1125" i="8"/>
  <c r="AF1125" i="8"/>
  <c r="AA1125" i="8" s="1"/>
  <c r="A1205" i="8"/>
  <c r="AF1206" i="8"/>
  <c r="AA1206" i="8" s="1"/>
  <c r="I1207" i="8"/>
  <c r="K1206" i="8"/>
  <c r="F1206" i="8" s="1"/>
  <c r="AG1206" i="8"/>
  <c r="G1206" i="8"/>
  <c r="E1206" i="8" s="1"/>
  <c r="L65" i="8"/>
  <c r="A1286" i="8"/>
  <c r="I1288" i="8"/>
  <c r="G1287" i="8"/>
  <c r="B1287" i="8" s="1"/>
  <c r="K1287" i="8"/>
  <c r="F1287" i="8" s="1"/>
  <c r="AG1287" i="8"/>
  <c r="AF1287" i="8"/>
  <c r="AA1287" i="8" s="1"/>
  <c r="L1286" i="8"/>
  <c r="AD1286" i="8" s="1"/>
  <c r="A65" i="8"/>
  <c r="AG66" i="8"/>
  <c r="I67" i="8"/>
  <c r="AF66" i="8"/>
  <c r="AA66" i="8" s="1"/>
  <c r="G66" i="8"/>
  <c r="K66" i="8"/>
  <c r="AD65" i="8" l="1"/>
  <c r="AI1286" i="8"/>
  <c r="AI1367" i="8"/>
  <c r="AI1205" i="8"/>
  <c r="G111" i="9"/>
  <c r="F111" i="9" s="1"/>
  <c r="L111" i="9"/>
  <c r="E111" i="9"/>
  <c r="K111" i="9" s="1"/>
  <c r="AI65" i="8"/>
  <c r="F66" i="8"/>
  <c r="E66" i="8"/>
  <c r="I112" i="9"/>
  <c r="E1125" i="8"/>
  <c r="E1287" i="8"/>
  <c r="E1368" i="8"/>
  <c r="Z1288" i="8"/>
  <c r="Z67" i="8"/>
  <c r="Z1126" i="8"/>
  <c r="M1369" i="8"/>
  <c r="M1288" i="8"/>
  <c r="M1207" i="8"/>
  <c r="M1126" i="8"/>
  <c r="M67" i="8"/>
  <c r="AH1126" i="8"/>
  <c r="AH1288" i="8"/>
  <c r="AH1207" i="8"/>
  <c r="AH1369" i="8"/>
  <c r="AH67" i="8"/>
  <c r="AI1206" i="8"/>
  <c r="L1368" i="8"/>
  <c r="AD1368" i="8" s="1"/>
  <c r="L1287" i="8"/>
  <c r="AD1287" i="8" s="1"/>
  <c r="L1125" i="8"/>
  <c r="AD1125" i="8" s="1"/>
  <c r="AG1369" i="8"/>
  <c r="K1369" i="8"/>
  <c r="F1369" i="8" s="1"/>
  <c r="AF1369" i="8"/>
  <c r="AA1369" i="8" s="1"/>
  <c r="I1370" i="8"/>
  <c r="G1369" i="8"/>
  <c r="B1369" i="8" s="1"/>
  <c r="A1368" i="8"/>
  <c r="A1125" i="8"/>
  <c r="AG1126" i="8"/>
  <c r="I1127" i="8"/>
  <c r="AF1126" i="8"/>
  <c r="AA1126" i="8" s="1"/>
  <c r="K1126" i="8"/>
  <c r="F1126" i="8" s="1"/>
  <c r="G1126" i="8"/>
  <c r="B1126" i="8" s="1"/>
  <c r="B66" i="8"/>
  <c r="L1206" i="8"/>
  <c r="AD1206" i="8" s="1"/>
  <c r="K1207" i="8"/>
  <c r="F1207" i="8" s="1"/>
  <c r="AG1207" i="8"/>
  <c r="I1208" i="8"/>
  <c r="G1207" i="8"/>
  <c r="E1207" i="8" s="1"/>
  <c r="AF1207" i="8"/>
  <c r="AA1207" i="8" s="1"/>
  <c r="B1206" i="8"/>
  <c r="A1206" i="8"/>
  <c r="L66" i="8"/>
  <c r="A1287" i="8"/>
  <c r="K1288" i="8"/>
  <c r="F1288" i="8" s="1"/>
  <c r="AG1288" i="8"/>
  <c r="I1289" i="8"/>
  <c r="G1288" i="8"/>
  <c r="B1288" i="8" s="1"/>
  <c r="AF1288" i="8"/>
  <c r="AA1288" i="8" s="1"/>
  <c r="A66" i="8"/>
  <c r="AG67" i="8"/>
  <c r="I68" i="8"/>
  <c r="AF67" i="8"/>
  <c r="AA67" i="8" s="1"/>
  <c r="G67" i="8"/>
  <c r="K67" i="8"/>
  <c r="AD66" i="8" l="1"/>
  <c r="E1124" i="8"/>
  <c r="AI1287" i="8"/>
  <c r="AI1368" i="8"/>
  <c r="G112" i="9"/>
  <c r="F112" i="9" s="1"/>
  <c r="E112" i="9"/>
  <c r="K112" i="9" s="1"/>
  <c r="AI66" i="8"/>
  <c r="E67" i="8"/>
  <c r="F67" i="8"/>
  <c r="I113" i="9"/>
  <c r="AI1125" i="8"/>
  <c r="E1369" i="8"/>
  <c r="E1288" i="8"/>
  <c r="E1126" i="8"/>
  <c r="Z1289" i="8"/>
  <c r="Z68" i="8"/>
  <c r="Z1127" i="8"/>
  <c r="M1289" i="8"/>
  <c r="M68" i="8"/>
  <c r="M1208" i="8"/>
  <c r="M1370" i="8"/>
  <c r="M1127" i="8"/>
  <c r="AH68" i="8"/>
  <c r="AH1208" i="8"/>
  <c r="AH1127" i="8"/>
  <c r="AH1289" i="8"/>
  <c r="AH1370" i="8"/>
  <c r="L1126" i="8"/>
  <c r="AD1126" i="8" s="1"/>
  <c r="L1369" i="8"/>
  <c r="AD1369" i="8" s="1"/>
  <c r="AI1207" i="8"/>
  <c r="AF1370" i="8"/>
  <c r="AA1370" i="8" s="1"/>
  <c r="AG1370" i="8"/>
  <c r="K1370" i="8"/>
  <c r="F1370" i="8" s="1"/>
  <c r="A1369" i="8"/>
  <c r="G1370" i="8"/>
  <c r="B1370" i="8" s="1"/>
  <c r="I1371" i="8"/>
  <c r="G1127" i="8"/>
  <c r="B1127" i="8" s="1"/>
  <c r="AF1127" i="8"/>
  <c r="AA1127" i="8" s="1"/>
  <c r="AG1127" i="8"/>
  <c r="K1127" i="8"/>
  <c r="F1127" i="8" s="1"/>
  <c r="I1128" i="8"/>
  <c r="A1126" i="8"/>
  <c r="B67" i="8"/>
  <c r="L1207" i="8"/>
  <c r="AD1207" i="8" s="1"/>
  <c r="K1208" i="8"/>
  <c r="F1208" i="8" s="1"/>
  <c r="I1209" i="8"/>
  <c r="AG1208" i="8"/>
  <c r="G1208" i="8"/>
  <c r="E1208" i="8" s="1"/>
  <c r="AF1208" i="8"/>
  <c r="AA1208" i="8" s="1"/>
  <c r="B1207" i="8"/>
  <c r="A1207" i="8"/>
  <c r="L67" i="8"/>
  <c r="I1290" i="8"/>
  <c r="G1289" i="8"/>
  <c r="B1289" i="8" s="1"/>
  <c r="K1289" i="8"/>
  <c r="F1289" i="8" s="1"/>
  <c r="AG1289" i="8"/>
  <c r="AF1289" i="8"/>
  <c r="AA1289" i="8" s="1"/>
  <c r="L1288" i="8"/>
  <c r="AD1288" i="8" s="1"/>
  <c r="A1288" i="8"/>
  <c r="A67" i="8"/>
  <c r="AG68" i="8"/>
  <c r="AF68" i="8"/>
  <c r="AA68" i="8" s="1"/>
  <c r="I69" i="8"/>
  <c r="G68" i="8"/>
  <c r="K68" i="8"/>
  <c r="AD67" i="8" l="1"/>
  <c r="AI1126" i="8"/>
  <c r="AI1288" i="8"/>
  <c r="AI1369" i="8"/>
  <c r="AI1124" i="8"/>
  <c r="G113" i="9"/>
  <c r="F113" i="9" s="1"/>
  <c r="E113" i="9"/>
  <c r="K113" i="9" s="1"/>
  <c r="AI67" i="8"/>
  <c r="E68" i="8"/>
  <c r="F68" i="8"/>
  <c r="I114" i="9"/>
  <c r="E1289" i="8"/>
  <c r="E1370" i="8"/>
  <c r="E1127" i="8"/>
  <c r="Z1290" i="8"/>
  <c r="Z1128" i="8"/>
  <c r="Z69" i="8"/>
  <c r="M1371" i="8"/>
  <c r="M69" i="8"/>
  <c r="M1128" i="8"/>
  <c r="M1290" i="8"/>
  <c r="M1209" i="8"/>
  <c r="AH1209" i="8"/>
  <c r="AH1290" i="8"/>
  <c r="AH1128" i="8"/>
  <c r="AH1371" i="8"/>
  <c r="AH69" i="8"/>
  <c r="AI1208" i="8"/>
  <c r="L1208" i="8"/>
  <c r="AD1208" i="8" s="1"/>
  <c r="L1370" i="8"/>
  <c r="AD1370" i="8" s="1"/>
  <c r="L1127" i="8"/>
  <c r="AD1127" i="8" s="1"/>
  <c r="A1370" i="8"/>
  <c r="AF1371" i="8"/>
  <c r="AA1371" i="8" s="1"/>
  <c r="K1371" i="8"/>
  <c r="F1371" i="8" s="1"/>
  <c r="AG1371" i="8"/>
  <c r="I1372" i="8"/>
  <c r="G1371" i="8"/>
  <c r="B1371" i="8" s="1"/>
  <c r="A1127" i="8"/>
  <c r="AF1128" i="8"/>
  <c r="AA1128" i="8" s="1"/>
  <c r="I1129" i="8"/>
  <c r="K1128" i="8"/>
  <c r="F1128" i="8" s="1"/>
  <c r="G1128" i="8"/>
  <c r="B1128" i="8" s="1"/>
  <c r="AG1128" i="8"/>
  <c r="B68" i="8"/>
  <c r="AF1209" i="8"/>
  <c r="AA1209" i="8" s="1"/>
  <c r="I1210" i="8"/>
  <c r="G1209" i="8"/>
  <c r="E1209" i="8" s="1"/>
  <c r="AG1209" i="8"/>
  <c r="K1209" i="8"/>
  <c r="F1209" i="8" s="1"/>
  <c r="B1208" i="8"/>
  <c r="A1208" i="8"/>
  <c r="L68" i="8"/>
  <c r="A1289" i="8"/>
  <c r="K1290" i="8"/>
  <c r="F1290" i="8" s="1"/>
  <c r="G1290" i="8"/>
  <c r="B1290" i="8" s="1"/>
  <c r="AG1290" i="8"/>
  <c r="I1291" i="8"/>
  <c r="AF1290" i="8"/>
  <c r="AA1290" i="8" s="1"/>
  <c r="L1289" i="8"/>
  <c r="AD1289" i="8" s="1"/>
  <c r="AG69" i="8"/>
  <c r="G69" i="8"/>
  <c r="I70" i="8"/>
  <c r="AF69" i="8"/>
  <c r="AA69" i="8" s="1"/>
  <c r="K69" i="8"/>
  <c r="A68" i="8"/>
  <c r="AD68" i="8" l="1"/>
  <c r="AI1370" i="8"/>
  <c r="AI1289" i="8"/>
  <c r="AI1127" i="8"/>
  <c r="E114" i="9"/>
  <c r="K114" i="9" s="1"/>
  <c r="G114" i="9"/>
  <c r="F114" i="9" s="1"/>
  <c r="AI68" i="8"/>
  <c r="F69" i="8"/>
  <c r="E69" i="8"/>
  <c r="I115" i="9"/>
  <c r="E1371" i="8"/>
  <c r="E1290" i="8"/>
  <c r="E1128" i="8"/>
  <c r="Z1291" i="8"/>
  <c r="Z1129" i="8"/>
  <c r="Z70" i="8"/>
  <c r="M1210" i="8"/>
  <c r="M1291" i="8"/>
  <c r="M1372" i="8"/>
  <c r="M70" i="8"/>
  <c r="M1129" i="8"/>
  <c r="AH1129" i="8"/>
  <c r="AH1372" i="8"/>
  <c r="AH1291" i="8"/>
  <c r="AH70" i="8"/>
  <c r="AH1210" i="8"/>
  <c r="L1371" i="8"/>
  <c r="AD1371" i="8" s="1"/>
  <c r="AI1209" i="8"/>
  <c r="L1209" i="8"/>
  <c r="AD1209" i="8" s="1"/>
  <c r="L1128" i="8"/>
  <c r="AD1128" i="8" s="1"/>
  <c r="A1371" i="8"/>
  <c r="AF1372" i="8"/>
  <c r="AA1372" i="8" s="1"/>
  <c r="G1372" i="8"/>
  <c r="B1372" i="8" s="1"/>
  <c r="AG1372" i="8"/>
  <c r="I1373" i="8"/>
  <c r="K1372" i="8"/>
  <c r="F1372" i="8" s="1"/>
  <c r="I1130" i="8"/>
  <c r="AF1129" i="8"/>
  <c r="AA1129" i="8" s="1"/>
  <c r="K1129" i="8"/>
  <c r="F1129" i="8" s="1"/>
  <c r="AG1129" i="8"/>
  <c r="G1129" i="8"/>
  <c r="B1129" i="8" s="1"/>
  <c r="A1128" i="8"/>
  <c r="B69" i="8"/>
  <c r="B1209" i="8"/>
  <c r="A1209" i="8"/>
  <c r="K1210" i="8"/>
  <c r="F1210" i="8" s="1"/>
  <c r="G1210" i="8"/>
  <c r="E1210" i="8" s="1"/>
  <c r="AF1210" i="8"/>
  <c r="AA1210" i="8" s="1"/>
  <c r="I1211" i="8"/>
  <c r="AG1210" i="8"/>
  <c r="L69" i="8"/>
  <c r="A1290" i="8"/>
  <c r="L1290" i="8"/>
  <c r="AD1290" i="8" s="1"/>
  <c r="I1292" i="8"/>
  <c r="G1291" i="8"/>
  <c r="B1291" i="8" s="1"/>
  <c r="K1291" i="8"/>
  <c r="F1291" i="8" s="1"/>
  <c r="AG1291" i="8"/>
  <c r="AF1291" i="8"/>
  <c r="AA1291" i="8" s="1"/>
  <c r="A69" i="8"/>
  <c r="AG70" i="8"/>
  <c r="AF70" i="8"/>
  <c r="AA70" i="8" s="1"/>
  <c r="G70" i="8"/>
  <c r="I71" i="8"/>
  <c r="K70" i="8"/>
  <c r="AD69" i="8" l="1"/>
  <c r="AI1290" i="8"/>
  <c r="AI1371" i="8"/>
  <c r="AI1128" i="8"/>
  <c r="E115" i="9"/>
  <c r="K115" i="9" s="1"/>
  <c r="G115" i="9"/>
  <c r="F115" i="9" s="1"/>
  <c r="F70" i="8"/>
  <c r="E70" i="8"/>
  <c r="AI69" i="8"/>
  <c r="I116" i="9"/>
  <c r="E1372" i="8"/>
  <c r="E1291" i="8"/>
  <c r="E1129" i="8"/>
  <c r="Z1292" i="8"/>
  <c r="Z1130" i="8"/>
  <c r="M71" i="8"/>
  <c r="M1211" i="8"/>
  <c r="M1292" i="8"/>
  <c r="M1130" i="8"/>
  <c r="M1373" i="8"/>
  <c r="AH1373" i="8"/>
  <c r="AH1211" i="8"/>
  <c r="AH1130" i="8"/>
  <c r="AH1292" i="8"/>
  <c r="AH71" i="8"/>
  <c r="L1372" i="8"/>
  <c r="AD1372" i="8" s="1"/>
  <c r="AI1210" i="8"/>
  <c r="L1210" i="8"/>
  <c r="AD1210" i="8" s="1"/>
  <c r="L1129" i="8"/>
  <c r="AD1129" i="8" s="1"/>
  <c r="K1373" i="8"/>
  <c r="F1373" i="8" s="1"/>
  <c r="AF1373" i="8"/>
  <c r="AA1373" i="8" s="1"/>
  <c r="AG1373" i="8"/>
  <c r="I1374" i="8"/>
  <c r="G1373" i="8"/>
  <c r="B1373" i="8" s="1"/>
  <c r="A1372" i="8"/>
  <c r="AF1130" i="8"/>
  <c r="AA1130" i="8" s="1"/>
  <c r="AG1130" i="8"/>
  <c r="K1130" i="8"/>
  <c r="F1130" i="8" s="1"/>
  <c r="G1130" i="8"/>
  <c r="B1130" i="8" s="1"/>
  <c r="I1131" i="8"/>
  <c r="A1129" i="8"/>
  <c r="B70" i="8"/>
  <c r="B1210" i="8"/>
  <c r="A1210" i="8"/>
  <c r="I1212" i="8"/>
  <c r="AG1211" i="8"/>
  <c r="K1211" i="8"/>
  <c r="F1211" i="8" s="1"/>
  <c r="G1211" i="8"/>
  <c r="B1211" i="8" s="1"/>
  <c r="AF1211" i="8"/>
  <c r="AA1211" i="8" s="1"/>
  <c r="L70" i="8"/>
  <c r="A1291" i="8"/>
  <c r="L1291" i="8"/>
  <c r="AD1291" i="8" s="1"/>
  <c r="K1292" i="8"/>
  <c r="F1292" i="8" s="1"/>
  <c r="G1292" i="8"/>
  <c r="B1292" i="8" s="1"/>
  <c r="I1293" i="8"/>
  <c r="AG1292" i="8"/>
  <c r="AF1292" i="8"/>
  <c r="AA1292" i="8" s="1"/>
  <c r="A70" i="8"/>
  <c r="AG71" i="8"/>
  <c r="AF71" i="8"/>
  <c r="AA71" i="8" s="1"/>
  <c r="I72" i="8"/>
  <c r="G71" i="8"/>
  <c r="K71" i="8"/>
  <c r="AD70" i="8" l="1"/>
  <c r="AI1372" i="8"/>
  <c r="AI1129" i="8"/>
  <c r="AI1291" i="8"/>
  <c r="E116" i="9"/>
  <c r="K116" i="9" s="1"/>
  <c r="G116" i="9"/>
  <c r="F116" i="9" s="1"/>
  <c r="F71" i="8"/>
  <c r="E71" i="8"/>
  <c r="AI70" i="8"/>
  <c r="I117" i="9"/>
  <c r="E1130" i="8"/>
  <c r="E1292" i="8"/>
  <c r="E1211" i="8"/>
  <c r="E1373" i="8"/>
  <c r="Z1131" i="8"/>
  <c r="Z1293" i="8"/>
  <c r="M1131" i="8"/>
  <c r="M72" i="8"/>
  <c r="M1374" i="8"/>
  <c r="M1212" i="8"/>
  <c r="M1293" i="8"/>
  <c r="AH72" i="8"/>
  <c r="AH1293" i="8"/>
  <c r="AH1212" i="8"/>
  <c r="AH1131" i="8"/>
  <c r="AH1374" i="8"/>
  <c r="L71" i="8"/>
  <c r="L1373" i="8"/>
  <c r="AD1373" i="8" s="1"/>
  <c r="L1130" i="8"/>
  <c r="AD1130" i="8" s="1"/>
  <c r="AF1374" i="8"/>
  <c r="AA1374" i="8" s="1"/>
  <c r="K1374" i="8"/>
  <c r="F1374" i="8" s="1"/>
  <c r="A1373" i="8"/>
  <c r="AG1374" i="8"/>
  <c r="G1374" i="8"/>
  <c r="B1374" i="8" s="1"/>
  <c r="I1375" i="8"/>
  <c r="I1132" i="8"/>
  <c r="AF1131" i="8"/>
  <c r="AA1131" i="8" s="1"/>
  <c r="G1131" i="8"/>
  <c r="B1131" i="8" s="1"/>
  <c r="AG1131" i="8"/>
  <c r="K1131" i="8"/>
  <c r="F1131" i="8" s="1"/>
  <c r="A1130" i="8"/>
  <c r="B71" i="8"/>
  <c r="L1211" i="8"/>
  <c r="AD1211" i="8" s="1"/>
  <c r="A1211" i="8"/>
  <c r="G1212" i="8"/>
  <c r="E1212" i="8" s="1"/>
  <c r="AF1212" i="8"/>
  <c r="AA1212" i="8" s="1"/>
  <c r="AG1212" i="8"/>
  <c r="K1212" i="8"/>
  <c r="F1212" i="8" s="1"/>
  <c r="I1213" i="8"/>
  <c r="L1292" i="8"/>
  <c r="AD1292" i="8" s="1"/>
  <c r="I1294" i="8"/>
  <c r="G1293" i="8"/>
  <c r="B1293" i="8" s="1"/>
  <c r="K1293" i="8"/>
  <c r="F1293" i="8" s="1"/>
  <c r="AG1293" i="8"/>
  <c r="AF1293" i="8"/>
  <c r="AA1293" i="8" s="1"/>
  <c r="A1292" i="8"/>
  <c r="AG72" i="8"/>
  <c r="AF72" i="8"/>
  <c r="AA72" i="8" s="1"/>
  <c r="G72" i="8"/>
  <c r="I73" i="8"/>
  <c r="K72" i="8"/>
  <c r="A71" i="8"/>
  <c r="AD71" i="8" l="1"/>
  <c r="AI1292" i="8"/>
  <c r="AI1130" i="8"/>
  <c r="AI1373" i="8"/>
  <c r="AI1211" i="8"/>
  <c r="G117" i="9"/>
  <c r="F117" i="9" s="1"/>
  <c r="E117" i="9"/>
  <c r="K117" i="9" s="1"/>
  <c r="E72" i="8"/>
  <c r="F72" i="8"/>
  <c r="AI71" i="8"/>
  <c r="I118" i="9"/>
  <c r="E1131" i="8"/>
  <c r="E1293" i="8"/>
  <c r="E1374" i="8"/>
  <c r="Z1294" i="8"/>
  <c r="Z1132" i="8"/>
  <c r="M1213" i="8"/>
  <c r="M1375" i="8"/>
  <c r="M1132" i="8"/>
  <c r="M73" i="8"/>
  <c r="M1294" i="8"/>
  <c r="AH1375" i="8"/>
  <c r="AH73" i="8"/>
  <c r="AH1132" i="8"/>
  <c r="AH1294" i="8"/>
  <c r="AH1213" i="8"/>
  <c r="L1131" i="8"/>
  <c r="AD1131" i="8" s="1"/>
  <c r="AI1212" i="8"/>
  <c r="L1374" i="8"/>
  <c r="AD1374" i="8" s="1"/>
  <c r="I1376" i="8"/>
  <c r="K1375" i="8"/>
  <c r="F1375" i="8" s="1"/>
  <c r="A1374" i="8"/>
  <c r="AF1375" i="8"/>
  <c r="AA1375" i="8" s="1"/>
  <c r="G1375" i="8"/>
  <c r="B1375" i="8" s="1"/>
  <c r="AG1375" i="8"/>
  <c r="AF1132" i="8"/>
  <c r="AA1132" i="8" s="1"/>
  <c r="AG1132" i="8"/>
  <c r="G1132" i="8"/>
  <c r="B1132" i="8" s="1"/>
  <c r="I1133" i="8"/>
  <c r="K1132" i="8"/>
  <c r="F1132" i="8" s="1"/>
  <c r="A1131" i="8"/>
  <c r="B72" i="8"/>
  <c r="L1212" i="8"/>
  <c r="AD1212" i="8" s="1"/>
  <c r="B1212" i="8"/>
  <c r="A1212" i="8"/>
  <c r="I1214" i="8"/>
  <c r="AG1213" i="8"/>
  <c r="AF1213" i="8"/>
  <c r="AA1213" i="8" s="1"/>
  <c r="K1213" i="8"/>
  <c r="F1213" i="8" s="1"/>
  <c r="G1213" i="8"/>
  <c r="E1213" i="8" s="1"/>
  <c r="L72" i="8"/>
  <c r="A1293" i="8"/>
  <c r="L1293" i="8"/>
  <c r="AD1293" i="8" s="1"/>
  <c r="K1294" i="8"/>
  <c r="F1294" i="8" s="1"/>
  <c r="G1294" i="8"/>
  <c r="B1294" i="8" s="1"/>
  <c r="I1295" i="8"/>
  <c r="AG1294" i="8"/>
  <c r="AF1294" i="8"/>
  <c r="AA1294" i="8" s="1"/>
  <c r="A72" i="8"/>
  <c r="AG73" i="8"/>
  <c r="AF73" i="8"/>
  <c r="AA73" i="8" s="1"/>
  <c r="I74" i="8"/>
  <c r="G73" i="8"/>
  <c r="K73" i="8"/>
  <c r="AD72" i="8" l="1"/>
  <c r="AI1293" i="8"/>
  <c r="AI1131" i="8"/>
  <c r="AI1374" i="8"/>
  <c r="E118" i="9"/>
  <c r="G118" i="9"/>
  <c r="F118" i="9" s="1"/>
  <c r="AI72" i="8"/>
  <c r="E73" i="8"/>
  <c r="F73" i="8"/>
  <c r="I119" i="9"/>
  <c r="E1294" i="8"/>
  <c r="E1132" i="8"/>
  <c r="E1375" i="8"/>
  <c r="Z1133" i="8"/>
  <c r="M1376" i="8"/>
  <c r="M74" i="8"/>
  <c r="M1295" i="8"/>
  <c r="M1214" i="8"/>
  <c r="M1133" i="8"/>
  <c r="AH1295" i="8"/>
  <c r="AH1214" i="8"/>
  <c r="AH1133" i="8"/>
  <c r="AH74" i="8"/>
  <c r="AH1376" i="8"/>
  <c r="AG1376" i="8"/>
  <c r="AI1213" i="8"/>
  <c r="L1213" i="8"/>
  <c r="AD1213" i="8" s="1"/>
  <c r="L1132" i="8"/>
  <c r="AD1132" i="8" s="1"/>
  <c r="L1375" i="8"/>
  <c r="AD1375" i="8" s="1"/>
  <c r="K1376" i="8"/>
  <c r="F1376" i="8" s="1"/>
  <c r="G1376" i="8"/>
  <c r="B1376" i="8" s="1"/>
  <c r="I1377" i="8"/>
  <c r="AF1376" i="8"/>
  <c r="AA1376" i="8" s="1"/>
  <c r="A1375" i="8"/>
  <c r="K1133" i="8"/>
  <c r="F1133" i="8" s="1"/>
  <c r="G1133" i="8"/>
  <c r="B1133" i="8" s="1"/>
  <c r="AG1133" i="8"/>
  <c r="AF1133" i="8"/>
  <c r="AA1133" i="8" s="1"/>
  <c r="I1134" i="8"/>
  <c r="A1132" i="8"/>
  <c r="B73" i="8"/>
  <c r="AF1214" i="8"/>
  <c r="AA1214" i="8" s="1"/>
  <c r="K1214" i="8"/>
  <c r="F1214" i="8" s="1"/>
  <c r="AG1214" i="8"/>
  <c r="G1214" i="8"/>
  <c r="E1214" i="8" s="1"/>
  <c r="I1215" i="8"/>
  <c r="B1213" i="8"/>
  <c r="A1213" i="8"/>
  <c r="L73" i="8"/>
  <c r="I1296" i="8"/>
  <c r="G1295" i="8"/>
  <c r="B1295" i="8" s="1"/>
  <c r="K1295" i="8"/>
  <c r="F1295" i="8" s="1"/>
  <c r="AG1295" i="8"/>
  <c r="AF1295" i="8"/>
  <c r="AA1295" i="8" s="1"/>
  <c r="A1294" i="8"/>
  <c r="L1294" i="8"/>
  <c r="AD1294" i="8" s="1"/>
  <c r="I920" i="8"/>
  <c r="A73" i="8"/>
  <c r="AG74" i="8"/>
  <c r="G74" i="8"/>
  <c r="I75" i="8"/>
  <c r="AF74" i="8"/>
  <c r="AA74" i="8" s="1"/>
  <c r="K74" i="8"/>
  <c r="AD73" i="8" l="1"/>
  <c r="AI1132" i="8"/>
  <c r="AI1294" i="8"/>
  <c r="AI1375" i="8"/>
  <c r="G119" i="9"/>
  <c r="F119" i="9" s="1"/>
  <c r="E119" i="9"/>
  <c r="AI73" i="8"/>
  <c r="F74" i="8"/>
  <c r="E74" i="8"/>
  <c r="I120" i="9"/>
  <c r="E1376" i="8"/>
  <c r="E1133" i="8"/>
  <c r="E1295" i="8"/>
  <c r="Z1134" i="8"/>
  <c r="W920" i="8"/>
  <c r="Z920" i="8"/>
  <c r="X920" i="8"/>
  <c r="M75" i="8"/>
  <c r="M920" i="8"/>
  <c r="M1215" i="8"/>
  <c r="M1377" i="8"/>
  <c r="M1134" i="8"/>
  <c r="M1296" i="8"/>
  <c r="AH1377" i="8"/>
  <c r="AH1296" i="8"/>
  <c r="AH1134" i="8"/>
  <c r="AH75" i="8"/>
  <c r="AH1215" i="8"/>
  <c r="AH920" i="8"/>
  <c r="L1376" i="8"/>
  <c r="AD1376" i="8" s="1"/>
  <c r="L1133" i="8"/>
  <c r="AD1133" i="8" s="1"/>
  <c r="AI1214" i="8"/>
  <c r="K1377" i="8"/>
  <c r="F1377" i="8" s="1"/>
  <c r="I1378" i="8"/>
  <c r="AF1377" i="8"/>
  <c r="AA1377" i="8" s="1"/>
  <c r="A1376" i="8"/>
  <c r="AG1377" i="8"/>
  <c r="G1377" i="8"/>
  <c r="B1377" i="8" s="1"/>
  <c r="I1135" i="8"/>
  <c r="A1133" i="8"/>
  <c r="G1134" i="8"/>
  <c r="B1134" i="8" s="1"/>
  <c r="K1134" i="8"/>
  <c r="F1134" i="8" s="1"/>
  <c r="AF1134" i="8"/>
  <c r="AA1134" i="8" s="1"/>
  <c r="AG1134" i="8"/>
  <c r="B74" i="8"/>
  <c r="L1214" i="8"/>
  <c r="AD1214" i="8" s="1"/>
  <c r="G1215" i="8"/>
  <c r="B1215" i="8" s="1"/>
  <c r="AF1215" i="8"/>
  <c r="AA1215" i="8" s="1"/>
  <c r="I1216" i="8"/>
  <c r="AG1215" i="8"/>
  <c r="K1215" i="8"/>
  <c r="F1215" i="8" s="1"/>
  <c r="B1214" i="8"/>
  <c r="A1214" i="8"/>
  <c r="L74" i="8"/>
  <c r="L1295" i="8"/>
  <c r="AD1295" i="8" s="1"/>
  <c r="K1296" i="8"/>
  <c r="F1296" i="8" s="1"/>
  <c r="AG1296" i="8"/>
  <c r="I1297" i="8"/>
  <c r="G1296" i="8"/>
  <c r="B1296" i="8" s="1"/>
  <c r="AF1296" i="8"/>
  <c r="AA1296" i="8" s="1"/>
  <c r="A1295" i="8"/>
  <c r="AG920" i="8"/>
  <c r="G920" i="8"/>
  <c r="AF920" i="8"/>
  <c r="AA920" i="8" s="1"/>
  <c r="K920" i="8"/>
  <c r="I921" i="8"/>
  <c r="A74" i="8"/>
  <c r="AG75" i="8"/>
  <c r="G75" i="8"/>
  <c r="I76" i="8"/>
  <c r="AF75" i="8"/>
  <c r="AA75" i="8" s="1"/>
  <c r="K75" i="8"/>
  <c r="AD74" i="8" l="1"/>
  <c r="AI1376" i="8"/>
  <c r="AI1295" i="8"/>
  <c r="AI1133" i="8"/>
  <c r="AI74" i="8"/>
  <c r="G120" i="9"/>
  <c r="F120" i="9" s="1"/>
  <c r="E120" i="9"/>
  <c r="F75" i="8"/>
  <c r="E75" i="8"/>
  <c r="F920" i="8"/>
  <c r="I121" i="9"/>
  <c r="E1296" i="8"/>
  <c r="E1215" i="8"/>
  <c r="E1377" i="8"/>
  <c r="E1134" i="8"/>
  <c r="Z921" i="8"/>
  <c r="Z1135" i="8"/>
  <c r="M1297" i="8"/>
  <c r="M1216" i="8"/>
  <c r="M76" i="8"/>
  <c r="M1378" i="8"/>
  <c r="M921" i="8"/>
  <c r="M1135" i="8"/>
  <c r="AH1216" i="8"/>
  <c r="AH1378" i="8"/>
  <c r="AH76" i="8"/>
  <c r="AH1297" i="8"/>
  <c r="AH1135" i="8"/>
  <c r="AH921" i="8"/>
  <c r="K1378" i="8"/>
  <c r="F1378" i="8" s="1"/>
  <c r="AF1378" i="8"/>
  <c r="AA1378" i="8" s="1"/>
  <c r="AG1378" i="8"/>
  <c r="G1378" i="8"/>
  <c r="B1378" i="8" s="1"/>
  <c r="L1377" i="8"/>
  <c r="AD1377" i="8" s="1"/>
  <c r="L1134" i="8"/>
  <c r="AD1134" i="8" s="1"/>
  <c r="A1377" i="8"/>
  <c r="I1298" i="8"/>
  <c r="I1217" i="8"/>
  <c r="I1136" i="8"/>
  <c r="AF1135" i="8"/>
  <c r="AA1135" i="8" s="1"/>
  <c r="K1135" i="8"/>
  <c r="F1135" i="8" s="1"/>
  <c r="AG1135" i="8"/>
  <c r="G1135" i="8"/>
  <c r="B1135" i="8" s="1"/>
  <c r="A1134" i="8"/>
  <c r="B75" i="8"/>
  <c r="B920" i="8"/>
  <c r="L1215" i="8"/>
  <c r="AD1215" i="8" s="1"/>
  <c r="A1215" i="8"/>
  <c r="G1216" i="8"/>
  <c r="B1216" i="8" s="1"/>
  <c r="AG1216" i="8"/>
  <c r="K1216" i="8"/>
  <c r="F1216" i="8" s="1"/>
  <c r="AF1216" i="8"/>
  <c r="AA1216" i="8" s="1"/>
  <c r="L75" i="8"/>
  <c r="A1296" i="8"/>
  <c r="L1296" i="8"/>
  <c r="AD1296" i="8" s="1"/>
  <c r="G1297" i="8"/>
  <c r="B1297" i="8" s="1"/>
  <c r="K1297" i="8"/>
  <c r="F1297" i="8" s="1"/>
  <c r="AG1297" i="8"/>
  <c r="AF1297" i="8"/>
  <c r="AA1297" i="8" s="1"/>
  <c r="A920" i="8"/>
  <c r="AG921" i="8"/>
  <c r="G921" i="8"/>
  <c r="K921" i="8"/>
  <c r="AF921" i="8"/>
  <c r="AA921" i="8" s="1"/>
  <c r="I922" i="8"/>
  <c r="L920" i="8"/>
  <c r="A75" i="8"/>
  <c r="AG76" i="8"/>
  <c r="G76" i="8"/>
  <c r="AF76" i="8"/>
  <c r="AA76" i="8" s="1"/>
  <c r="I77" i="8"/>
  <c r="K76" i="8"/>
  <c r="AD75" i="8" l="1"/>
  <c r="AD920" i="8"/>
  <c r="AI1134" i="8"/>
  <c r="AI1215" i="8"/>
  <c r="AI1296" i="8"/>
  <c r="AI1377" i="8"/>
  <c r="G121" i="9"/>
  <c r="F121" i="9" s="1"/>
  <c r="E121" i="9"/>
  <c r="AI75" i="8"/>
  <c r="F76" i="8"/>
  <c r="F921" i="8"/>
  <c r="E76" i="8"/>
  <c r="I122" i="9"/>
  <c r="E1216" i="8"/>
  <c r="E1297" i="8"/>
  <c r="E1378" i="8"/>
  <c r="E1135" i="8"/>
  <c r="Z922" i="8"/>
  <c r="Z1136" i="8"/>
  <c r="M1298" i="8"/>
  <c r="M922" i="8"/>
  <c r="M77" i="8"/>
  <c r="M1136" i="8"/>
  <c r="M1217" i="8"/>
  <c r="AH77" i="8"/>
  <c r="AH1136" i="8"/>
  <c r="AH1217" i="8"/>
  <c r="AH922" i="8"/>
  <c r="AH1298" i="8"/>
  <c r="L1378" i="8"/>
  <c r="AD1378" i="8" s="1"/>
  <c r="A1378" i="8"/>
  <c r="L1135" i="8"/>
  <c r="AD1135" i="8" s="1"/>
  <c r="I1299" i="8"/>
  <c r="AF1298" i="8"/>
  <c r="AA1298" i="8" s="1"/>
  <c r="AG1298" i="8"/>
  <c r="G1298" i="8"/>
  <c r="B1298" i="8" s="1"/>
  <c r="K1298" i="8"/>
  <c r="F1298" i="8" s="1"/>
  <c r="G1217" i="8"/>
  <c r="E1217" i="8" s="1"/>
  <c r="I1218" i="8"/>
  <c r="AG1217" i="8"/>
  <c r="AF1217" i="8"/>
  <c r="AA1217" i="8" s="1"/>
  <c r="K1217" i="8"/>
  <c r="F1217" i="8" s="1"/>
  <c r="AF1136" i="8"/>
  <c r="AA1136" i="8" s="1"/>
  <c r="G1136" i="8"/>
  <c r="B1136" i="8" s="1"/>
  <c r="AG1136" i="8"/>
  <c r="I1137" i="8"/>
  <c r="K1136" i="8"/>
  <c r="F1136" i="8" s="1"/>
  <c r="A1135" i="8"/>
  <c r="B76" i="8"/>
  <c r="B921" i="8"/>
  <c r="L1216" i="8"/>
  <c r="AD1216" i="8" s="1"/>
  <c r="A1216" i="8"/>
  <c r="L76" i="8"/>
  <c r="A1297" i="8"/>
  <c r="L1297" i="8"/>
  <c r="AD1297" i="8" s="1"/>
  <c r="A921" i="8"/>
  <c r="AG922" i="8"/>
  <c r="G922" i="8"/>
  <c r="AF922" i="8"/>
  <c r="AA922" i="8" s="1"/>
  <c r="K922" i="8"/>
  <c r="I923" i="8"/>
  <c r="L921" i="8"/>
  <c r="A76" i="8"/>
  <c r="AG77" i="8"/>
  <c r="AF77" i="8"/>
  <c r="AA77" i="8" s="1"/>
  <c r="G77" i="8"/>
  <c r="I78" i="8"/>
  <c r="K77" i="8"/>
  <c r="AD76" i="8" l="1"/>
  <c r="AD921" i="8"/>
  <c r="AI76" i="8"/>
  <c r="AI1135" i="8"/>
  <c r="AI1297" i="8"/>
  <c r="AI1378" i="8"/>
  <c r="AI1216" i="8"/>
  <c r="E122" i="9"/>
  <c r="G122" i="9"/>
  <c r="F122" i="9" s="1"/>
  <c r="F77" i="8"/>
  <c r="F922" i="8"/>
  <c r="E77" i="8"/>
  <c r="E922" i="8"/>
  <c r="I123" i="9"/>
  <c r="E1136" i="8"/>
  <c r="E1298" i="8"/>
  <c r="Z923" i="8"/>
  <c r="Z1137" i="8"/>
  <c r="M78" i="8"/>
  <c r="M923" i="8"/>
  <c r="M1299" i="8"/>
  <c r="M1137" i="8"/>
  <c r="M1218" i="8"/>
  <c r="AH923" i="8"/>
  <c r="AH78" i="8"/>
  <c r="AH1137" i="8"/>
  <c r="AH1218" i="8"/>
  <c r="AH1299" i="8"/>
  <c r="AI1217" i="8"/>
  <c r="L1136" i="8"/>
  <c r="AD1136" i="8" s="1"/>
  <c r="L1217" i="8"/>
  <c r="AD1217" i="8" s="1"/>
  <c r="L1298" i="8"/>
  <c r="AD1298" i="8" s="1"/>
  <c r="A1298" i="8"/>
  <c r="AG1299" i="8"/>
  <c r="I1300" i="8"/>
  <c r="AF1299" i="8"/>
  <c r="AA1299" i="8" s="1"/>
  <c r="G1299" i="8"/>
  <c r="E1299" i="8" s="1"/>
  <c r="K1299" i="8"/>
  <c r="F1299" i="8" s="1"/>
  <c r="I1219" i="8"/>
  <c r="G1218" i="8"/>
  <c r="B1218" i="8" s="1"/>
  <c r="AG1218" i="8"/>
  <c r="AF1218" i="8"/>
  <c r="AA1218" i="8" s="1"/>
  <c r="K1218" i="8"/>
  <c r="F1218" i="8" s="1"/>
  <c r="A1136" i="8"/>
  <c r="A1217" i="8"/>
  <c r="B1217" i="8"/>
  <c r="G1137" i="8"/>
  <c r="B1137" i="8" s="1"/>
  <c r="AF1137" i="8"/>
  <c r="AA1137" i="8" s="1"/>
  <c r="AG1137" i="8"/>
  <c r="I1138" i="8"/>
  <c r="K1137" i="8"/>
  <c r="F1137" i="8" s="1"/>
  <c r="B77" i="8"/>
  <c r="B922" i="8"/>
  <c r="L77" i="8"/>
  <c r="A922" i="8"/>
  <c r="AG923" i="8"/>
  <c r="AF923" i="8"/>
  <c r="AA923" i="8" s="1"/>
  <c r="K923" i="8"/>
  <c r="I924" i="8"/>
  <c r="G923" i="8"/>
  <c r="L922" i="8"/>
  <c r="A77" i="8"/>
  <c r="AG78" i="8"/>
  <c r="G78" i="8"/>
  <c r="AF78" i="8"/>
  <c r="AA78" i="8" s="1"/>
  <c r="I79" i="8"/>
  <c r="K78" i="8"/>
  <c r="AD77" i="8" l="1"/>
  <c r="AD922" i="8"/>
  <c r="AI1136" i="8"/>
  <c r="AI1298" i="8"/>
  <c r="E123" i="9"/>
  <c r="G123" i="9"/>
  <c r="F123" i="9" s="1"/>
  <c r="AI77" i="8"/>
  <c r="F78" i="8"/>
  <c r="E78" i="8"/>
  <c r="F923" i="8"/>
  <c r="E923" i="8"/>
  <c r="AI922" i="8"/>
  <c r="I124" i="9"/>
  <c r="E1137" i="8"/>
  <c r="E1218" i="8"/>
  <c r="Z1138" i="8"/>
  <c r="Z924" i="8"/>
  <c r="M924" i="8"/>
  <c r="M79" i="8"/>
  <c r="M1219" i="8"/>
  <c r="M1300" i="8"/>
  <c r="M1138" i="8"/>
  <c r="AH1219" i="8"/>
  <c r="AH1138" i="8"/>
  <c r="AH924" i="8"/>
  <c r="AH79" i="8"/>
  <c r="AH1300" i="8"/>
  <c r="AI1299" i="8"/>
  <c r="L923" i="8"/>
  <c r="A1218" i="8"/>
  <c r="L1137" i="8"/>
  <c r="AD1137" i="8" s="1"/>
  <c r="L1299" i="8"/>
  <c r="AD1299" i="8" s="1"/>
  <c r="L1218" i="8"/>
  <c r="AD1218" i="8" s="1"/>
  <c r="A1137" i="8"/>
  <c r="A1299" i="8"/>
  <c r="B1299" i="8"/>
  <c r="I1301" i="8"/>
  <c r="AG1300" i="8"/>
  <c r="G1300" i="8"/>
  <c r="B1300" i="8" s="1"/>
  <c r="AF1300" i="8"/>
  <c r="AA1300" i="8" s="1"/>
  <c r="K1300" i="8"/>
  <c r="F1300" i="8" s="1"/>
  <c r="I1220" i="8"/>
  <c r="AG1219" i="8"/>
  <c r="G1219" i="8"/>
  <c r="B1219" i="8" s="1"/>
  <c r="AF1219" i="8"/>
  <c r="AA1219" i="8" s="1"/>
  <c r="K1219" i="8"/>
  <c r="F1219" i="8" s="1"/>
  <c r="I1139" i="8"/>
  <c r="AF1138" i="8"/>
  <c r="AA1138" i="8" s="1"/>
  <c r="AG1138" i="8"/>
  <c r="G1138" i="8"/>
  <c r="B1138" i="8" s="1"/>
  <c r="K1138" i="8"/>
  <c r="F1138" i="8" s="1"/>
  <c r="B78" i="8"/>
  <c r="B923" i="8"/>
  <c r="L78" i="8"/>
  <c r="AG924" i="8"/>
  <c r="I925" i="8"/>
  <c r="AF924" i="8"/>
  <c r="AA924" i="8" s="1"/>
  <c r="G924" i="8"/>
  <c r="K924" i="8"/>
  <c r="A923" i="8"/>
  <c r="A78" i="8"/>
  <c r="AG79" i="8"/>
  <c r="I80" i="8"/>
  <c r="AF79" i="8"/>
  <c r="AA79" i="8" s="1"/>
  <c r="G79" i="8"/>
  <c r="K79" i="8"/>
  <c r="AD923" i="8" l="1"/>
  <c r="AD78" i="8"/>
  <c r="AI1218" i="8"/>
  <c r="AI1137" i="8"/>
  <c r="E124" i="9"/>
  <c r="G124" i="9"/>
  <c r="F124" i="9" s="1"/>
  <c r="AI923" i="8"/>
  <c r="F924" i="8"/>
  <c r="AI78" i="8"/>
  <c r="F79" i="8"/>
  <c r="E924" i="8"/>
  <c r="E79" i="8"/>
  <c r="I125" i="9"/>
  <c r="E1138" i="8"/>
  <c r="E1219" i="8"/>
  <c r="E1300" i="8"/>
  <c r="Z1139" i="8"/>
  <c r="Z925" i="8"/>
  <c r="M80" i="8"/>
  <c r="M1301" i="8"/>
  <c r="M925" i="8"/>
  <c r="M1220" i="8"/>
  <c r="M1139" i="8"/>
  <c r="AH1139" i="8"/>
  <c r="AH1301" i="8"/>
  <c r="AH80" i="8"/>
  <c r="AH1220" i="8"/>
  <c r="AH925" i="8"/>
  <c r="A1219" i="8"/>
  <c r="A1300" i="8"/>
  <c r="L1138" i="8"/>
  <c r="AD1138" i="8" s="1"/>
  <c r="L1219" i="8"/>
  <c r="AD1219" i="8" s="1"/>
  <c r="L1300" i="8"/>
  <c r="AD1300" i="8" s="1"/>
  <c r="AG1301" i="8"/>
  <c r="I1302" i="8"/>
  <c r="AF1301" i="8"/>
  <c r="AA1301" i="8" s="1"/>
  <c r="G1301" i="8"/>
  <c r="B1301" i="8" s="1"/>
  <c r="K1301" i="8"/>
  <c r="F1301" i="8" s="1"/>
  <c r="A1138" i="8"/>
  <c r="AF1220" i="8"/>
  <c r="AA1220" i="8" s="1"/>
  <c r="AG1220" i="8"/>
  <c r="G1220" i="8"/>
  <c r="B1220" i="8" s="1"/>
  <c r="I1221" i="8"/>
  <c r="K1220" i="8"/>
  <c r="F1220" i="8" s="1"/>
  <c r="I1140" i="8"/>
  <c r="G1139" i="8"/>
  <c r="B1139" i="8" s="1"/>
  <c r="AG1139" i="8"/>
  <c r="AF1139" i="8"/>
  <c r="AA1139" i="8" s="1"/>
  <c r="K1139" i="8"/>
  <c r="F1139" i="8" s="1"/>
  <c r="B79" i="8"/>
  <c r="B924" i="8"/>
  <c r="L79" i="8"/>
  <c r="AG925" i="8"/>
  <c r="G925" i="8"/>
  <c r="K925" i="8"/>
  <c r="AF925" i="8"/>
  <c r="AA925" i="8" s="1"/>
  <c r="I926" i="8"/>
  <c r="L924" i="8"/>
  <c r="A924" i="8"/>
  <c r="AG80" i="8"/>
  <c r="AF80" i="8"/>
  <c r="AA80" i="8" s="1"/>
  <c r="G80" i="8"/>
  <c r="I81" i="8"/>
  <c r="K80" i="8"/>
  <c r="A79" i="8"/>
  <c r="AD924" i="8" l="1"/>
  <c r="AD79" i="8"/>
  <c r="AI1219" i="8"/>
  <c r="AI1138" i="8"/>
  <c r="AI1300" i="8"/>
  <c r="G125" i="9"/>
  <c r="F125" i="9" s="1"/>
  <c r="E125" i="9"/>
  <c r="AI924" i="8"/>
  <c r="AI79" i="8"/>
  <c r="F80" i="8"/>
  <c r="E80" i="8"/>
  <c r="E925" i="8"/>
  <c r="F925" i="8"/>
  <c r="I126" i="9"/>
  <c r="E1139" i="8"/>
  <c r="E1301" i="8"/>
  <c r="E1220" i="8"/>
  <c r="Z1140" i="8"/>
  <c r="Z926" i="8"/>
  <c r="M926" i="8"/>
  <c r="M81" i="8"/>
  <c r="M1302" i="8"/>
  <c r="M1221" i="8"/>
  <c r="M1140" i="8"/>
  <c r="AH1221" i="8"/>
  <c r="AH926" i="8"/>
  <c r="AH1140" i="8"/>
  <c r="AH1302" i="8"/>
  <c r="AH81" i="8"/>
  <c r="L1139" i="8"/>
  <c r="AD1139" i="8" s="1"/>
  <c r="L1301" i="8"/>
  <c r="AD1301" i="8" s="1"/>
  <c r="L1220" i="8"/>
  <c r="AD1220" i="8" s="1"/>
  <c r="A1220" i="8"/>
  <c r="AF1302" i="8"/>
  <c r="AA1302" i="8" s="1"/>
  <c r="AG1302" i="8"/>
  <c r="I1303" i="8"/>
  <c r="G1302" i="8"/>
  <c r="B1302" i="8" s="1"/>
  <c r="K1302" i="8"/>
  <c r="F1302" i="8" s="1"/>
  <c r="A1301" i="8"/>
  <c r="I1222" i="8"/>
  <c r="AG1221" i="8"/>
  <c r="G1221" i="8"/>
  <c r="B1221" i="8" s="1"/>
  <c r="AF1221" i="8"/>
  <c r="AA1221" i="8" s="1"/>
  <c r="K1221" i="8"/>
  <c r="F1221" i="8" s="1"/>
  <c r="AF1140" i="8"/>
  <c r="AA1140" i="8" s="1"/>
  <c r="G1140" i="8"/>
  <c r="B1140" i="8" s="1"/>
  <c r="I1141" i="8"/>
  <c r="AG1140" i="8"/>
  <c r="K1140" i="8"/>
  <c r="F1140" i="8" s="1"/>
  <c r="A1139" i="8"/>
  <c r="B80" i="8"/>
  <c r="B925" i="8"/>
  <c r="L80" i="8"/>
  <c r="A925" i="8"/>
  <c r="AG926" i="8"/>
  <c r="AF926" i="8"/>
  <c r="AA926" i="8" s="1"/>
  <c r="I927" i="8"/>
  <c r="K926" i="8"/>
  <c r="G926" i="8"/>
  <c r="L925" i="8"/>
  <c r="A80" i="8"/>
  <c r="AG81" i="8"/>
  <c r="G81" i="8"/>
  <c r="AF81" i="8"/>
  <c r="AA81" i="8" s="1"/>
  <c r="I82" i="8"/>
  <c r="K81" i="8"/>
  <c r="AD80" i="8" l="1"/>
  <c r="AD925" i="8"/>
  <c r="AI80" i="8"/>
  <c r="AI1139" i="8"/>
  <c r="AI1220" i="8"/>
  <c r="AI1301" i="8"/>
  <c r="G126" i="9"/>
  <c r="F126" i="9" s="1"/>
  <c r="E126" i="9"/>
  <c r="AI925" i="8"/>
  <c r="E926" i="8"/>
  <c r="E81" i="8"/>
  <c r="F81" i="8"/>
  <c r="F926" i="8"/>
  <c r="I127" i="9"/>
  <c r="E1140" i="8"/>
  <c r="E1302" i="8"/>
  <c r="E1221" i="8"/>
  <c r="Z1141" i="8"/>
  <c r="Z927" i="8"/>
  <c r="M1222" i="8"/>
  <c r="M82" i="8"/>
  <c r="M1141" i="8"/>
  <c r="M927" i="8"/>
  <c r="M1303" i="8"/>
  <c r="AH1141" i="8"/>
  <c r="AH82" i="8"/>
  <c r="AH1222" i="8"/>
  <c r="AH1303" i="8"/>
  <c r="AH927" i="8"/>
  <c r="L1302" i="8"/>
  <c r="AD1302" i="8" s="1"/>
  <c r="L1140" i="8"/>
  <c r="AD1140" i="8" s="1"/>
  <c r="L1221" i="8"/>
  <c r="AD1221" i="8" s="1"/>
  <c r="AG1303" i="8"/>
  <c r="AF1303" i="8"/>
  <c r="AA1303" i="8" s="1"/>
  <c r="I1304" i="8"/>
  <c r="G1303" i="8"/>
  <c r="B1303" i="8" s="1"/>
  <c r="K1303" i="8"/>
  <c r="F1303" i="8" s="1"/>
  <c r="A1302" i="8"/>
  <c r="A1140" i="8"/>
  <c r="A1221" i="8"/>
  <c r="AG1222" i="8"/>
  <c r="G1222" i="8"/>
  <c r="B1222" i="8" s="1"/>
  <c r="AF1222" i="8"/>
  <c r="AA1222" i="8" s="1"/>
  <c r="I1223" i="8"/>
  <c r="K1222" i="8"/>
  <c r="F1222" i="8" s="1"/>
  <c r="I1142" i="8"/>
  <c r="AF1141" i="8"/>
  <c r="AA1141" i="8" s="1"/>
  <c r="AG1141" i="8"/>
  <c r="G1141" i="8"/>
  <c r="B1141" i="8" s="1"/>
  <c r="K1141" i="8"/>
  <c r="F1141" i="8" s="1"/>
  <c r="B81" i="8"/>
  <c r="B926" i="8"/>
  <c r="A926" i="8"/>
  <c r="AG927" i="8"/>
  <c r="I928" i="8"/>
  <c r="AF927" i="8"/>
  <c r="AA927" i="8" s="1"/>
  <c r="G927" i="8"/>
  <c r="K927" i="8"/>
  <c r="L926" i="8"/>
  <c r="A81" i="8"/>
  <c r="AG82" i="8"/>
  <c r="AF82" i="8"/>
  <c r="AA82" i="8" s="1"/>
  <c r="K82" i="8"/>
  <c r="I83" i="8"/>
  <c r="G82" i="8"/>
  <c r="L81" i="8"/>
  <c r="AD81" i="8" l="1"/>
  <c r="AD926" i="8"/>
  <c r="AI1221" i="8"/>
  <c r="AI1302" i="8"/>
  <c r="AI1140" i="8"/>
  <c r="G127" i="9"/>
  <c r="F127" i="9" s="1"/>
  <c r="E127" i="9"/>
  <c r="F927" i="8"/>
  <c r="F82" i="8"/>
  <c r="AI926" i="8"/>
  <c r="E82" i="8"/>
  <c r="E927" i="8"/>
  <c r="AI81" i="8"/>
  <c r="I128" i="9"/>
  <c r="E1141" i="8"/>
  <c r="E1303" i="8"/>
  <c r="E1222" i="8"/>
  <c r="Z928" i="8"/>
  <c r="M928" i="8"/>
  <c r="M1142" i="8"/>
  <c r="M1223" i="8"/>
  <c r="M83" i="8"/>
  <c r="M1304" i="8"/>
  <c r="AH1304" i="8"/>
  <c r="AH1223" i="8"/>
  <c r="AH928" i="8"/>
  <c r="AH1142" i="8"/>
  <c r="AH83" i="8"/>
  <c r="A1303" i="8"/>
  <c r="L1141" i="8"/>
  <c r="AD1141" i="8" s="1"/>
  <c r="L1303" i="8"/>
  <c r="AD1303" i="8" s="1"/>
  <c r="L1222" i="8"/>
  <c r="AD1222" i="8" s="1"/>
  <c r="AF1304" i="8"/>
  <c r="AA1304" i="8" s="1"/>
  <c r="G1304" i="8"/>
  <c r="B1304" i="8" s="1"/>
  <c r="AG1304" i="8"/>
  <c r="I1305" i="8"/>
  <c r="K1304" i="8"/>
  <c r="F1304" i="8" s="1"/>
  <c r="A1222" i="8"/>
  <c r="AG1223" i="8"/>
  <c r="G1223" i="8"/>
  <c r="B1223" i="8" s="1"/>
  <c r="AF1223" i="8"/>
  <c r="AA1223" i="8" s="1"/>
  <c r="I1224" i="8"/>
  <c r="K1223" i="8"/>
  <c r="F1223" i="8" s="1"/>
  <c r="G1142" i="8"/>
  <c r="B1142" i="8" s="1"/>
  <c r="AF1142" i="8"/>
  <c r="AA1142" i="8" s="1"/>
  <c r="AG1142" i="8"/>
  <c r="I1143" i="8"/>
  <c r="K1142" i="8"/>
  <c r="F1142" i="8" s="1"/>
  <c r="A1141" i="8"/>
  <c r="B82" i="8"/>
  <c r="B927" i="8"/>
  <c r="AG928" i="8"/>
  <c r="G928" i="8"/>
  <c r="AF928" i="8"/>
  <c r="AA928" i="8" s="1"/>
  <c r="I929" i="8"/>
  <c r="K928" i="8"/>
  <c r="L927" i="8"/>
  <c r="A927" i="8"/>
  <c r="A82" i="8"/>
  <c r="L82" i="8"/>
  <c r="AG83" i="8"/>
  <c r="K83" i="8"/>
  <c r="G83" i="8"/>
  <c r="AF83" i="8"/>
  <c r="AA83" i="8" s="1"/>
  <c r="I84" i="8"/>
  <c r="AD82" i="8" l="1"/>
  <c r="AD927" i="8"/>
  <c r="AI927" i="8"/>
  <c r="AI1222" i="8"/>
  <c r="AI1303" i="8"/>
  <c r="AI1141" i="8"/>
  <c r="G128" i="9"/>
  <c r="F128" i="9" s="1"/>
  <c r="E128" i="9"/>
  <c r="F928" i="8"/>
  <c r="E83" i="8"/>
  <c r="F83" i="8"/>
  <c r="AI82" i="8"/>
  <c r="E928" i="8"/>
  <c r="I129" i="9"/>
  <c r="E1304" i="8"/>
  <c r="E1223" i="8"/>
  <c r="E1142" i="8"/>
  <c r="Z929" i="8"/>
  <c r="M84" i="8"/>
  <c r="M1305" i="8"/>
  <c r="M1224" i="8"/>
  <c r="M929" i="8"/>
  <c r="M1143" i="8"/>
  <c r="AH84" i="8"/>
  <c r="AH1143" i="8"/>
  <c r="AH1224" i="8"/>
  <c r="AH1305" i="8"/>
  <c r="AH929" i="8"/>
  <c r="L1223" i="8"/>
  <c r="AD1223" i="8" s="1"/>
  <c r="L1304" i="8"/>
  <c r="AD1304" i="8" s="1"/>
  <c r="L1142" i="8"/>
  <c r="AD1142" i="8" s="1"/>
  <c r="A1304" i="8"/>
  <c r="I1306" i="8"/>
  <c r="G1305" i="8"/>
  <c r="B1305" i="8" s="1"/>
  <c r="AF1305" i="8"/>
  <c r="AA1305" i="8" s="1"/>
  <c r="AG1305" i="8"/>
  <c r="K1305" i="8"/>
  <c r="F1305" i="8" s="1"/>
  <c r="A1142" i="8"/>
  <c r="A1223" i="8"/>
  <c r="G1224" i="8"/>
  <c r="B1224" i="8" s="1"/>
  <c r="I1225" i="8"/>
  <c r="AF1224" i="8"/>
  <c r="AA1224" i="8" s="1"/>
  <c r="AG1224" i="8"/>
  <c r="K1224" i="8"/>
  <c r="F1224" i="8" s="1"/>
  <c r="AG1143" i="8"/>
  <c r="I1144" i="8"/>
  <c r="AF1143" i="8"/>
  <c r="AA1143" i="8" s="1"/>
  <c r="G1143" i="8"/>
  <c r="B1143" i="8" s="1"/>
  <c r="K1143" i="8"/>
  <c r="F1143" i="8" s="1"/>
  <c r="B928" i="8"/>
  <c r="B83" i="8"/>
  <c r="A928" i="8"/>
  <c r="AG929" i="8"/>
  <c r="G929" i="8"/>
  <c r="AF929" i="8"/>
  <c r="AA929" i="8" s="1"/>
  <c r="I930" i="8"/>
  <c r="K929" i="8"/>
  <c r="L928" i="8"/>
  <c r="A83" i="8"/>
  <c r="AG84" i="8"/>
  <c r="G84" i="8"/>
  <c r="AF84" i="8"/>
  <c r="AA84" i="8" s="1"/>
  <c r="I85" i="8"/>
  <c r="K84" i="8"/>
  <c r="L83" i="8"/>
  <c r="AD928" i="8" l="1"/>
  <c r="AD83" i="8"/>
  <c r="AI1142" i="8"/>
  <c r="AI1223" i="8"/>
  <c r="AI1304" i="8"/>
  <c r="G129" i="9"/>
  <c r="F129" i="9" s="1"/>
  <c r="E129" i="9"/>
  <c r="AI83" i="8"/>
  <c r="AI928" i="8"/>
  <c r="E84" i="8"/>
  <c r="F929" i="8"/>
  <c r="F84" i="8"/>
  <c r="E929" i="8"/>
  <c r="I130" i="9"/>
  <c r="E1143" i="8"/>
  <c r="E1224" i="8"/>
  <c r="E1305" i="8"/>
  <c r="Z930" i="8"/>
  <c r="M1306" i="8"/>
  <c r="M1144" i="8"/>
  <c r="M85" i="8"/>
  <c r="M930" i="8"/>
  <c r="M1225" i="8"/>
  <c r="AH1225" i="8"/>
  <c r="AH1144" i="8"/>
  <c r="AH85" i="8"/>
  <c r="AH930" i="8"/>
  <c r="AH1306" i="8"/>
  <c r="L1143" i="8"/>
  <c r="AD1143" i="8" s="1"/>
  <c r="L1224" i="8"/>
  <c r="AD1224" i="8" s="1"/>
  <c r="L84" i="8"/>
  <c r="L1305" i="8"/>
  <c r="AD1305" i="8" s="1"/>
  <c r="A1305" i="8"/>
  <c r="G1306" i="8"/>
  <c r="B1306" i="8" s="1"/>
  <c r="I1307" i="8"/>
  <c r="AF1306" i="8"/>
  <c r="AA1306" i="8" s="1"/>
  <c r="AG1306" i="8"/>
  <c r="K1306" i="8"/>
  <c r="F1306" i="8" s="1"/>
  <c r="AG1225" i="8"/>
  <c r="G1225" i="8"/>
  <c r="B1225" i="8" s="1"/>
  <c r="AF1225" i="8"/>
  <c r="AA1225" i="8" s="1"/>
  <c r="K1225" i="8"/>
  <c r="F1225" i="8" s="1"/>
  <c r="A1224" i="8"/>
  <c r="A1143" i="8"/>
  <c r="I1145" i="8"/>
  <c r="G1144" i="8"/>
  <c r="B1144" i="8" s="1"/>
  <c r="AG1144" i="8"/>
  <c r="AF1144" i="8"/>
  <c r="AA1144" i="8" s="1"/>
  <c r="K1144" i="8"/>
  <c r="F1144" i="8" s="1"/>
  <c r="B929" i="8"/>
  <c r="B84" i="8"/>
  <c r="A84" i="8"/>
  <c r="A929" i="8"/>
  <c r="AG930" i="8"/>
  <c r="K930" i="8"/>
  <c r="I931" i="8"/>
  <c r="AF930" i="8"/>
  <c r="AA930" i="8" s="1"/>
  <c r="G930" i="8"/>
  <c r="L929" i="8"/>
  <c r="AG85" i="8"/>
  <c r="G85" i="8"/>
  <c r="I86" i="8"/>
  <c r="K85" i="8"/>
  <c r="AF85" i="8"/>
  <c r="AA85" i="8" s="1"/>
  <c r="AD929" i="8" l="1"/>
  <c r="AD84" i="8"/>
  <c r="AI1143" i="8"/>
  <c r="AI1305" i="8"/>
  <c r="AI1224" i="8"/>
  <c r="E130" i="9"/>
  <c r="G130" i="9"/>
  <c r="F130" i="9" s="1"/>
  <c r="AI84" i="8"/>
  <c r="AI929" i="8"/>
  <c r="E85" i="8"/>
  <c r="E930" i="8"/>
  <c r="F85" i="8"/>
  <c r="F930" i="8"/>
  <c r="I131" i="9"/>
  <c r="E1144" i="8"/>
  <c r="E1225" i="8"/>
  <c r="E1306" i="8"/>
  <c r="Z931" i="8"/>
  <c r="M1145" i="8"/>
  <c r="M931" i="8"/>
  <c r="M1307" i="8"/>
  <c r="M86" i="8"/>
  <c r="AH86" i="8"/>
  <c r="AH1307" i="8"/>
  <c r="AH1145" i="8"/>
  <c r="AH931" i="8"/>
  <c r="L1306" i="8"/>
  <c r="AD1306" i="8" s="1"/>
  <c r="L85" i="8"/>
  <c r="L1144" i="8"/>
  <c r="AD1144" i="8" s="1"/>
  <c r="L1225" i="8"/>
  <c r="AD1225" i="8" s="1"/>
  <c r="AF1307" i="8"/>
  <c r="AA1307" i="8" s="1"/>
  <c r="G1307" i="8"/>
  <c r="B1307" i="8" s="1"/>
  <c r="I1308" i="8"/>
  <c r="AG1307" i="8"/>
  <c r="K1307" i="8"/>
  <c r="F1307" i="8" s="1"/>
  <c r="A1306" i="8"/>
  <c r="A1225" i="8"/>
  <c r="AF1145" i="8"/>
  <c r="AA1145" i="8" s="1"/>
  <c r="I1146" i="8"/>
  <c r="G1145" i="8"/>
  <c r="B1145" i="8" s="1"/>
  <c r="AG1145" i="8"/>
  <c r="K1145" i="8"/>
  <c r="F1145" i="8" s="1"/>
  <c r="A1144" i="8"/>
  <c r="B930" i="8"/>
  <c r="B85" i="8"/>
  <c r="AG931" i="8"/>
  <c r="I932" i="8"/>
  <c r="G931" i="8"/>
  <c r="AF931" i="8"/>
  <c r="AA931" i="8" s="1"/>
  <c r="K931" i="8"/>
  <c r="L930" i="8"/>
  <c r="A930" i="8"/>
  <c r="A85" i="8"/>
  <c r="AG86" i="8"/>
  <c r="I87" i="8"/>
  <c r="AF86" i="8"/>
  <c r="AA86" i="8" s="1"/>
  <c r="G86" i="8"/>
  <c r="K86" i="8"/>
  <c r="AD85" i="8" l="1"/>
  <c r="AD930" i="8"/>
  <c r="AI1306" i="8"/>
  <c r="AI1144" i="8"/>
  <c r="AI1225" i="8"/>
  <c r="E131" i="9"/>
  <c r="G131" i="9"/>
  <c r="F131" i="9" s="1"/>
  <c r="AI85" i="8"/>
  <c r="AI930" i="8"/>
  <c r="F86" i="8"/>
  <c r="F931" i="8"/>
  <c r="E86" i="8"/>
  <c r="E931" i="8"/>
  <c r="I132" i="9"/>
  <c r="E1307" i="8"/>
  <c r="E1145" i="8"/>
  <c r="Z932" i="8"/>
  <c r="M87" i="8"/>
  <c r="M1308" i="8"/>
  <c r="M932" i="8"/>
  <c r="M1146" i="8"/>
  <c r="AH87" i="8"/>
  <c r="AH1308" i="8"/>
  <c r="AH1146" i="8"/>
  <c r="AH932" i="8"/>
  <c r="L1307" i="8"/>
  <c r="AD1307" i="8" s="1"/>
  <c r="L1145" i="8"/>
  <c r="AD1145" i="8" s="1"/>
  <c r="L931" i="8"/>
  <c r="A1307" i="8"/>
  <c r="AG1308" i="8"/>
  <c r="I1309" i="8"/>
  <c r="AF1308" i="8"/>
  <c r="AA1308" i="8" s="1"/>
  <c r="G1308" i="8"/>
  <c r="B1308" i="8" s="1"/>
  <c r="K1308" i="8"/>
  <c r="F1308" i="8" s="1"/>
  <c r="G1146" i="8"/>
  <c r="B1146" i="8" s="1"/>
  <c r="I1147" i="8"/>
  <c r="AG1146" i="8"/>
  <c r="AF1146" i="8"/>
  <c r="AA1146" i="8" s="1"/>
  <c r="K1146" i="8"/>
  <c r="F1146" i="8" s="1"/>
  <c r="A1145" i="8"/>
  <c r="B931" i="8"/>
  <c r="B86" i="8"/>
  <c r="A931" i="8"/>
  <c r="AG932" i="8"/>
  <c r="I933" i="8"/>
  <c r="AF932" i="8"/>
  <c r="AA932" i="8" s="1"/>
  <c r="G932" i="8"/>
  <c r="K932" i="8"/>
  <c r="AG87" i="8"/>
  <c r="I88" i="8"/>
  <c r="G87" i="8"/>
  <c r="K87" i="8"/>
  <c r="AF87" i="8"/>
  <c r="AA87" i="8" s="1"/>
  <c r="L86" i="8"/>
  <c r="A86" i="8"/>
  <c r="AD86" i="8" l="1"/>
  <c r="AD931" i="8"/>
  <c r="AI1307" i="8"/>
  <c r="AI1145" i="8"/>
  <c r="E132" i="9"/>
  <c r="G132" i="9"/>
  <c r="F132" i="9" s="1"/>
  <c r="AI931" i="8"/>
  <c r="AI86" i="8"/>
  <c r="E87" i="8"/>
  <c r="F87" i="8"/>
  <c r="F932" i="8"/>
  <c r="E932" i="8"/>
  <c r="I133" i="9"/>
  <c r="E1146" i="8"/>
  <c r="E1308" i="8"/>
  <c r="Z933" i="8"/>
  <c r="M933" i="8"/>
  <c r="M1309" i="8"/>
  <c r="M88" i="8"/>
  <c r="M1147" i="8"/>
  <c r="AH1309" i="8"/>
  <c r="AH1147" i="8"/>
  <c r="AH933" i="8"/>
  <c r="AH88" i="8"/>
  <c r="L1146" i="8"/>
  <c r="AD1146" i="8" s="1"/>
  <c r="L1308" i="8"/>
  <c r="AD1308" i="8" s="1"/>
  <c r="A1308" i="8"/>
  <c r="G1309" i="8"/>
  <c r="B1309" i="8" s="1"/>
  <c r="AG1309" i="8"/>
  <c r="I1310" i="8"/>
  <c r="AF1309" i="8"/>
  <c r="AA1309" i="8" s="1"/>
  <c r="K1309" i="8"/>
  <c r="F1309" i="8" s="1"/>
  <c r="A1146" i="8"/>
  <c r="I1148" i="8"/>
  <c r="AF1147" i="8"/>
  <c r="AA1147" i="8" s="1"/>
  <c r="G1147" i="8"/>
  <c r="B1147" i="8" s="1"/>
  <c r="AG1147" i="8"/>
  <c r="K1147" i="8"/>
  <c r="F1147" i="8" s="1"/>
  <c r="B932" i="8"/>
  <c r="B87" i="8"/>
  <c r="AG933" i="8"/>
  <c r="I934" i="8"/>
  <c r="AF933" i="8"/>
  <c r="AA933" i="8" s="1"/>
  <c r="K933" i="8"/>
  <c r="G933" i="8"/>
  <c r="L932" i="8"/>
  <c r="A932" i="8"/>
  <c r="A87" i="8"/>
  <c r="AG88" i="8"/>
  <c r="K88" i="8"/>
  <c r="G88" i="8"/>
  <c r="I89" i="8"/>
  <c r="AF88" i="8"/>
  <c r="AA88" i="8" s="1"/>
  <c r="L87" i="8"/>
  <c r="AD87" i="8" l="1"/>
  <c r="AD932" i="8"/>
  <c r="AI1308" i="8"/>
  <c r="AI1146" i="8"/>
  <c r="G133" i="9"/>
  <c r="F133" i="9" s="1"/>
  <c r="E133" i="9"/>
  <c r="AI87" i="8"/>
  <c r="AI932" i="8"/>
  <c r="E933" i="8"/>
  <c r="F933" i="8"/>
  <c r="E88" i="8"/>
  <c r="F88" i="8"/>
  <c r="I134" i="9"/>
  <c r="E1147" i="8"/>
  <c r="E1309" i="8"/>
  <c r="Z934" i="8"/>
  <c r="M1148" i="8"/>
  <c r="M89" i="8"/>
  <c r="M1310" i="8"/>
  <c r="M934" i="8"/>
  <c r="AH934" i="8"/>
  <c r="AH1148" i="8"/>
  <c r="AH1310" i="8"/>
  <c r="AH89" i="8"/>
  <c r="L1309" i="8"/>
  <c r="AD1309" i="8" s="1"/>
  <c r="L933" i="8"/>
  <c r="L1147" i="8"/>
  <c r="AD1147" i="8" s="1"/>
  <c r="A1309" i="8"/>
  <c r="AF1310" i="8"/>
  <c r="AA1310" i="8" s="1"/>
  <c r="G1310" i="8"/>
  <c r="B1310" i="8" s="1"/>
  <c r="I1311" i="8"/>
  <c r="AG1310" i="8"/>
  <c r="K1310" i="8"/>
  <c r="F1310" i="8" s="1"/>
  <c r="AG1148" i="8"/>
  <c r="I1149" i="8"/>
  <c r="AF1148" i="8"/>
  <c r="AA1148" i="8" s="1"/>
  <c r="G1148" i="8"/>
  <c r="B1148" i="8" s="1"/>
  <c r="K1148" i="8"/>
  <c r="F1148" i="8" s="1"/>
  <c r="A1147" i="8"/>
  <c r="B933" i="8"/>
  <c r="B88" i="8"/>
  <c r="AG934" i="8"/>
  <c r="K934" i="8"/>
  <c r="I935" i="8"/>
  <c r="AF934" i="8"/>
  <c r="AA934" i="8" s="1"/>
  <c r="G934" i="8"/>
  <c r="A933" i="8"/>
  <c r="A88" i="8"/>
  <c r="AG89" i="8"/>
  <c r="AF89" i="8"/>
  <c r="AA89" i="8" s="1"/>
  <c r="G89" i="8"/>
  <c r="I90" i="8"/>
  <c r="K89" i="8"/>
  <c r="L88" i="8"/>
  <c r="AD88" i="8" l="1"/>
  <c r="AD933" i="8"/>
  <c r="AI1147" i="8"/>
  <c r="AI1309" i="8"/>
  <c r="E134" i="9"/>
  <c r="G134" i="9"/>
  <c r="F134" i="9" s="1"/>
  <c r="AI88" i="8"/>
  <c r="E934" i="8"/>
  <c r="F89" i="8"/>
  <c r="E89" i="8"/>
  <c r="F934" i="8"/>
  <c r="AI933" i="8"/>
  <c r="I135" i="9"/>
  <c r="E1148" i="8"/>
  <c r="E1310" i="8"/>
  <c r="Z935" i="8"/>
  <c r="M935" i="8"/>
  <c r="M1149" i="8"/>
  <c r="M90" i="8"/>
  <c r="M1311" i="8"/>
  <c r="AH935" i="8"/>
  <c r="AH1311" i="8"/>
  <c r="AH1149" i="8"/>
  <c r="AH90" i="8"/>
  <c r="L934" i="8"/>
  <c r="L1310" i="8"/>
  <c r="AD1310" i="8" s="1"/>
  <c r="L1148" i="8"/>
  <c r="AD1148" i="8" s="1"/>
  <c r="AF1311" i="8"/>
  <c r="AA1311" i="8" s="1"/>
  <c r="I1312" i="8"/>
  <c r="AG1311" i="8"/>
  <c r="G1311" i="8"/>
  <c r="B1311" i="8" s="1"/>
  <c r="K1311" i="8"/>
  <c r="F1311" i="8" s="1"/>
  <c r="A1310" i="8"/>
  <c r="A1148" i="8"/>
  <c r="I1150" i="8"/>
  <c r="AG1149" i="8"/>
  <c r="AF1149" i="8"/>
  <c r="AA1149" i="8" s="1"/>
  <c r="G1149" i="8"/>
  <c r="B1149" i="8" s="1"/>
  <c r="K1149" i="8"/>
  <c r="F1149" i="8" s="1"/>
  <c r="B934" i="8"/>
  <c r="B89" i="8"/>
  <c r="AG935" i="8"/>
  <c r="K935" i="8"/>
  <c r="G935" i="8"/>
  <c r="AF935" i="8"/>
  <c r="AA935" i="8" s="1"/>
  <c r="I936" i="8"/>
  <c r="A934" i="8"/>
  <c r="A89" i="8"/>
  <c r="L89" i="8"/>
  <c r="AG90" i="8"/>
  <c r="K90" i="8"/>
  <c r="G90" i="8"/>
  <c r="AF90" i="8"/>
  <c r="AA90" i="8" s="1"/>
  <c r="I91" i="8"/>
  <c r="AD89" i="8" l="1"/>
  <c r="AD934" i="8"/>
  <c r="AI1310" i="8"/>
  <c r="AI1148" i="8"/>
  <c r="G135" i="9"/>
  <c r="F135" i="9" s="1"/>
  <c r="E135" i="9"/>
  <c r="AI934" i="8"/>
  <c r="E90" i="8"/>
  <c r="E935" i="8"/>
  <c r="F90" i="8"/>
  <c r="F935" i="8"/>
  <c r="AI89" i="8"/>
  <c r="I136" i="9"/>
  <c r="E1311" i="8"/>
  <c r="E1149" i="8"/>
  <c r="Z936" i="8"/>
  <c r="M1150" i="8"/>
  <c r="M91" i="8"/>
  <c r="M936" i="8"/>
  <c r="M1312" i="8"/>
  <c r="AH936" i="8"/>
  <c r="AH1312" i="8"/>
  <c r="AH1150" i="8"/>
  <c r="AH91" i="8"/>
  <c r="L1311" i="8"/>
  <c r="AD1311" i="8" s="1"/>
  <c r="L1149" i="8"/>
  <c r="AD1149" i="8" s="1"/>
  <c r="A1311" i="8"/>
  <c r="I1313" i="8"/>
  <c r="G1312" i="8"/>
  <c r="B1312" i="8" s="1"/>
  <c r="AG1312" i="8"/>
  <c r="AF1312" i="8"/>
  <c r="AA1312" i="8" s="1"/>
  <c r="K1312" i="8"/>
  <c r="F1312" i="8" s="1"/>
  <c r="A1149" i="8"/>
  <c r="G1150" i="8"/>
  <c r="B1150" i="8" s="1"/>
  <c r="AF1150" i="8"/>
  <c r="AA1150" i="8" s="1"/>
  <c r="I1151" i="8"/>
  <c r="AG1150" i="8"/>
  <c r="K1150" i="8"/>
  <c r="F1150" i="8" s="1"/>
  <c r="B935" i="8"/>
  <c r="B90" i="8"/>
  <c r="AG936" i="8"/>
  <c r="AF936" i="8"/>
  <c r="AA936" i="8" s="1"/>
  <c r="K936" i="8"/>
  <c r="G936" i="8"/>
  <c r="I937" i="8"/>
  <c r="L935" i="8"/>
  <c r="A935" i="8"/>
  <c r="A90" i="8"/>
  <c r="AG91" i="8"/>
  <c r="AF91" i="8"/>
  <c r="AA91" i="8" s="1"/>
  <c r="G91" i="8"/>
  <c r="I92" i="8"/>
  <c r="K91" i="8"/>
  <c r="L90" i="8"/>
  <c r="AD90" i="8" l="1"/>
  <c r="AD935" i="8"/>
  <c r="AI935" i="8"/>
  <c r="AI1149" i="8"/>
  <c r="AI1311" i="8"/>
  <c r="G136" i="9"/>
  <c r="F136" i="9" s="1"/>
  <c r="E136" i="9"/>
  <c r="AI90" i="8"/>
  <c r="F91" i="8"/>
  <c r="E936" i="8"/>
  <c r="E91" i="8"/>
  <c r="F936" i="8"/>
  <c r="I137" i="9"/>
  <c r="E1150" i="8"/>
  <c r="E1312" i="8"/>
  <c r="Z937" i="8"/>
  <c r="M1313" i="8"/>
  <c r="M92" i="8"/>
  <c r="M937" i="8"/>
  <c r="M1151" i="8"/>
  <c r="AH1151" i="8"/>
  <c r="AH92" i="8"/>
  <c r="AH937" i="8"/>
  <c r="AH1313" i="8"/>
  <c r="L936" i="8"/>
  <c r="L1312" i="8"/>
  <c r="AD1312" i="8" s="1"/>
  <c r="L1150" i="8"/>
  <c r="AD1150" i="8" s="1"/>
  <c r="A1150" i="8"/>
  <c r="A1312" i="8"/>
  <c r="G1313" i="8"/>
  <c r="B1313" i="8" s="1"/>
  <c r="I1314" i="8"/>
  <c r="AF1313" i="8"/>
  <c r="AA1313" i="8" s="1"/>
  <c r="AG1313" i="8"/>
  <c r="K1313" i="8"/>
  <c r="F1313" i="8" s="1"/>
  <c r="AF1151" i="8"/>
  <c r="AA1151" i="8" s="1"/>
  <c r="AG1151" i="8"/>
  <c r="I1152" i="8"/>
  <c r="G1151" i="8"/>
  <c r="B1151" i="8" s="1"/>
  <c r="K1151" i="8"/>
  <c r="F1151" i="8" s="1"/>
  <c r="B936" i="8"/>
  <c r="B91" i="8"/>
  <c r="AG937" i="8"/>
  <c r="G937" i="8"/>
  <c r="I938" i="8"/>
  <c r="AF937" i="8"/>
  <c r="AA937" i="8" s="1"/>
  <c r="K937" i="8"/>
  <c r="A936" i="8"/>
  <c r="A91" i="8"/>
  <c r="AG92" i="8"/>
  <c r="G92" i="8"/>
  <c r="K92" i="8"/>
  <c r="AF92" i="8"/>
  <c r="AA92" i="8" s="1"/>
  <c r="I93" i="8"/>
  <c r="L91" i="8"/>
  <c r="AD91" i="8" l="1"/>
  <c r="AD936" i="8"/>
  <c r="AI1150" i="8"/>
  <c r="AI1312" i="8"/>
  <c r="AI91" i="8"/>
  <c r="L137" i="9"/>
  <c r="G137" i="9"/>
  <c r="F137" i="9" s="1"/>
  <c r="E137" i="9"/>
  <c r="K137" i="9" s="1"/>
  <c r="AI936" i="8"/>
  <c r="F937" i="8"/>
  <c r="F92" i="8"/>
  <c r="E937" i="8"/>
  <c r="E92" i="8"/>
  <c r="I138" i="9"/>
  <c r="E1151" i="8"/>
  <c r="E1313" i="8"/>
  <c r="M93" i="8"/>
  <c r="M1314" i="8"/>
  <c r="M938" i="8"/>
  <c r="M1152" i="8"/>
  <c r="AH938" i="8"/>
  <c r="AH93" i="8"/>
  <c r="AH1314" i="8"/>
  <c r="AH1152" i="8"/>
  <c r="L1151" i="8"/>
  <c r="AD1151" i="8" s="1"/>
  <c r="L1313" i="8"/>
  <c r="AD1313" i="8" s="1"/>
  <c r="A1313" i="8"/>
  <c r="A1151" i="8"/>
  <c r="G1314" i="8"/>
  <c r="B1314" i="8" s="1"/>
  <c r="AG1314" i="8"/>
  <c r="AF1314" i="8"/>
  <c r="AA1314" i="8" s="1"/>
  <c r="I1315" i="8"/>
  <c r="K1314" i="8"/>
  <c r="F1314" i="8" s="1"/>
  <c r="I1153" i="8"/>
  <c r="AG1152" i="8"/>
  <c r="AF1152" i="8"/>
  <c r="AA1152" i="8" s="1"/>
  <c r="G1152" i="8"/>
  <c r="B1152" i="8" s="1"/>
  <c r="K1152" i="8"/>
  <c r="F1152" i="8" s="1"/>
  <c r="B92" i="8"/>
  <c r="B937" i="8"/>
  <c r="I94" i="8"/>
  <c r="A937" i="8"/>
  <c r="AG938" i="8"/>
  <c r="G938" i="8"/>
  <c r="AF938" i="8"/>
  <c r="AA938" i="8" s="1"/>
  <c r="K938" i="8"/>
  <c r="I939" i="8"/>
  <c r="L937" i="8"/>
  <c r="A92" i="8"/>
  <c r="L92" i="8"/>
  <c r="AG93" i="8"/>
  <c r="AF93" i="8"/>
  <c r="AA93" i="8" s="1"/>
  <c r="K93" i="8"/>
  <c r="G93" i="8"/>
  <c r="AD92" i="8" l="1"/>
  <c r="AD937" i="8"/>
  <c r="AI92" i="8"/>
  <c r="AI1151" i="8"/>
  <c r="AI1313" i="8"/>
  <c r="E138" i="9"/>
  <c r="K138" i="9" s="1"/>
  <c r="L138" i="9"/>
  <c r="G138" i="9"/>
  <c r="F138" i="9" s="1"/>
  <c r="E93" i="8"/>
  <c r="E938" i="8"/>
  <c r="F938" i="8"/>
  <c r="F93" i="8"/>
  <c r="AI937" i="8"/>
  <c r="I139" i="9"/>
  <c r="E1152" i="8"/>
  <c r="E1314" i="8"/>
  <c r="M1315" i="8"/>
  <c r="M94" i="8"/>
  <c r="M939" i="8"/>
  <c r="M1153" i="8"/>
  <c r="AH1153" i="8"/>
  <c r="AH94" i="8"/>
  <c r="AH1315" i="8"/>
  <c r="AH939" i="8"/>
  <c r="L1314" i="8"/>
  <c r="AD1314" i="8" s="1"/>
  <c r="L1152" i="8"/>
  <c r="AD1152" i="8" s="1"/>
  <c r="A1152" i="8"/>
  <c r="A1314" i="8"/>
  <c r="G1315" i="8"/>
  <c r="B1315" i="8" s="1"/>
  <c r="I1316" i="8"/>
  <c r="AF1315" i="8"/>
  <c r="AA1315" i="8" s="1"/>
  <c r="AG1315" i="8"/>
  <c r="K1315" i="8"/>
  <c r="F1315" i="8" s="1"/>
  <c r="AF1153" i="8"/>
  <c r="AA1153" i="8" s="1"/>
  <c r="I1154" i="8"/>
  <c r="AG1153" i="8"/>
  <c r="G1153" i="8"/>
  <c r="B1153" i="8" s="1"/>
  <c r="K1153" i="8"/>
  <c r="F1153" i="8" s="1"/>
  <c r="B938" i="8"/>
  <c r="B93" i="8"/>
  <c r="I95" i="8"/>
  <c r="AF94" i="8"/>
  <c r="AA94" i="8" s="1"/>
  <c r="AG94" i="8"/>
  <c r="K94" i="8"/>
  <c r="G94" i="8"/>
  <c r="A938" i="8"/>
  <c r="AG939" i="8"/>
  <c r="G939" i="8"/>
  <c r="I940" i="8"/>
  <c r="AF939" i="8"/>
  <c r="AA939" i="8" s="1"/>
  <c r="K939" i="8"/>
  <c r="L938" i="8"/>
  <c r="A93" i="8"/>
  <c r="L93" i="8"/>
  <c r="AD93" i="8" l="1"/>
  <c r="AD938" i="8"/>
  <c r="AI1152" i="8"/>
  <c r="AI93" i="8"/>
  <c r="AI1314" i="8"/>
  <c r="E139" i="9"/>
  <c r="K139" i="9" s="1"/>
  <c r="G139" i="9"/>
  <c r="F139" i="9" s="1"/>
  <c r="AI938" i="8"/>
  <c r="E939" i="8"/>
  <c r="F94" i="8"/>
  <c r="E94" i="8"/>
  <c r="F939" i="8"/>
  <c r="I140" i="9"/>
  <c r="E1153" i="8"/>
  <c r="E1315" i="8"/>
  <c r="M940" i="8"/>
  <c r="M95" i="8"/>
  <c r="M1316" i="8"/>
  <c r="M1154" i="8"/>
  <c r="AH1316" i="8"/>
  <c r="AH1154" i="8"/>
  <c r="AH940" i="8"/>
  <c r="AH95" i="8"/>
  <c r="L939" i="8"/>
  <c r="L1153" i="8"/>
  <c r="AD1153" i="8" s="1"/>
  <c r="L1315" i="8"/>
  <c r="AD1315" i="8" s="1"/>
  <c r="I1317" i="8"/>
  <c r="AF1316" i="8"/>
  <c r="AA1316" i="8" s="1"/>
  <c r="AG1316" i="8"/>
  <c r="G1316" i="8"/>
  <c r="B1316" i="8" s="1"/>
  <c r="K1316" i="8"/>
  <c r="F1316" i="8" s="1"/>
  <c r="A1315" i="8"/>
  <c r="I1155" i="8"/>
  <c r="G1154" i="8"/>
  <c r="B1154" i="8" s="1"/>
  <c r="AG1154" i="8"/>
  <c r="AF1154" i="8"/>
  <c r="AA1154" i="8" s="1"/>
  <c r="K1154" i="8"/>
  <c r="F1154" i="8" s="1"/>
  <c r="A1153" i="8"/>
  <c r="B94" i="8"/>
  <c r="B939" i="8"/>
  <c r="L94" i="8"/>
  <c r="G95" i="8"/>
  <c r="K95" i="8"/>
  <c r="AG95" i="8"/>
  <c r="AF95" i="8"/>
  <c r="AA95" i="8" s="1"/>
  <c r="I96" i="8"/>
  <c r="A94" i="8"/>
  <c r="A939" i="8"/>
  <c r="AG940" i="8"/>
  <c r="G940" i="8"/>
  <c r="I941" i="8"/>
  <c r="AF940" i="8"/>
  <c r="AA940" i="8" s="1"/>
  <c r="K940" i="8"/>
  <c r="I767" i="8"/>
  <c r="AD94" i="8" l="1"/>
  <c r="AD939" i="8"/>
  <c r="AI1315" i="8"/>
  <c r="AI1153" i="8"/>
  <c r="AI939" i="8"/>
  <c r="E140" i="9"/>
  <c r="K140" i="9" s="1"/>
  <c r="G140" i="9"/>
  <c r="F140" i="9" s="1"/>
  <c r="F940" i="8"/>
  <c r="F95" i="8"/>
  <c r="E940" i="8"/>
  <c r="E95" i="8"/>
  <c r="AI94" i="8"/>
  <c r="I141" i="9"/>
  <c r="E1154" i="8"/>
  <c r="E1316" i="8"/>
  <c r="W767" i="8"/>
  <c r="Z767" i="8"/>
  <c r="X767" i="8"/>
  <c r="M941" i="8"/>
  <c r="M1155" i="8"/>
  <c r="M96" i="8"/>
  <c r="M1317" i="8"/>
  <c r="M767" i="8"/>
  <c r="AH1155" i="8"/>
  <c r="AH1317" i="8"/>
  <c r="AH96" i="8"/>
  <c r="AH941" i="8"/>
  <c r="AH767" i="8"/>
  <c r="L1316" i="8"/>
  <c r="AD1316" i="8" s="1"/>
  <c r="L1154" i="8"/>
  <c r="AD1154" i="8" s="1"/>
  <c r="AG1317" i="8"/>
  <c r="I1318" i="8"/>
  <c r="AF1317" i="8"/>
  <c r="AA1317" i="8" s="1"/>
  <c r="G1317" i="8"/>
  <c r="B1317" i="8" s="1"/>
  <c r="K1317" i="8"/>
  <c r="F1317" i="8" s="1"/>
  <c r="A1316" i="8"/>
  <c r="A1154" i="8"/>
  <c r="AG1155" i="8"/>
  <c r="G1155" i="8"/>
  <c r="B1155" i="8" s="1"/>
  <c r="AF1155" i="8"/>
  <c r="AA1155" i="8" s="1"/>
  <c r="I1156" i="8"/>
  <c r="K1155" i="8"/>
  <c r="F1155" i="8" s="1"/>
  <c r="B95" i="8"/>
  <c r="B940" i="8"/>
  <c r="L95" i="8"/>
  <c r="L940" i="8"/>
  <c r="I97" i="8"/>
  <c r="A95" i="8"/>
  <c r="K96" i="8"/>
  <c r="AF96" i="8"/>
  <c r="AA96" i="8" s="1"/>
  <c r="G96" i="8"/>
  <c r="AG96" i="8"/>
  <c r="AG941" i="8"/>
  <c r="K941" i="8"/>
  <c r="AF941" i="8"/>
  <c r="AA941" i="8" s="1"/>
  <c r="I942" i="8"/>
  <c r="G941" i="8"/>
  <c r="A940" i="8"/>
  <c r="AG767" i="8"/>
  <c r="AF767" i="8"/>
  <c r="AA767" i="8" s="1"/>
  <c r="G767" i="8"/>
  <c r="I768" i="8"/>
  <c r="K767" i="8"/>
  <c r="AD940" i="8" l="1"/>
  <c r="AD95" i="8"/>
  <c r="AI1316" i="8"/>
  <c r="AI1154" i="8"/>
  <c r="G141" i="9"/>
  <c r="F141" i="9" s="1"/>
  <c r="E141" i="9"/>
  <c r="K141" i="9" s="1"/>
  <c r="AI95" i="8"/>
  <c r="AI940" i="8"/>
  <c r="E96" i="8"/>
  <c r="E941" i="8"/>
  <c r="F96" i="8"/>
  <c r="F767" i="8"/>
  <c r="F941" i="8"/>
  <c r="I142" i="9"/>
  <c r="E1317" i="8"/>
  <c r="E1155" i="8"/>
  <c r="Z768" i="8"/>
  <c r="M97" i="8"/>
  <c r="M1318" i="8"/>
  <c r="M942" i="8"/>
  <c r="M1156" i="8"/>
  <c r="M768" i="8"/>
  <c r="AH768" i="8"/>
  <c r="AH1318" i="8"/>
  <c r="AH97" i="8"/>
  <c r="AH1156" i="8"/>
  <c r="AH942" i="8"/>
  <c r="L767" i="8"/>
  <c r="L1155" i="8"/>
  <c r="AD1155" i="8" s="1"/>
  <c r="L1317" i="8"/>
  <c r="AD1317" i="8" s="1"/>
  <c r="A1317" i="8"/>
  <c r="A1155" i="8"/>
  <c r="AG1318" i="8"/>
  <c r="I1319" i="8"/>
  <c r="G1318" i="8"/>
  <c r="B1318" i="8" s="1"/>
  <c r="AF1318" i="8"/>
  <c r="AA1318" i="8" s="1"/>
  <c r="K1318" i="8"/>
  <c r="F1318" i="8" s="1"/>
  <c r="G1156" i="8"/>
  <c r="B1156" i="8" s="1"/>
  <c r="I1157" i="8"/>
  <c r="AG1156" i="8"/>
  <c r="AF1156" i="8"/>
  <c r="AA1156" i="8" s="1"/>
  <c r="K1156" i="8"/>
  <c r="F1156" i="8" s="1"/>
  <c r="L96" i="8"/>
  <c r="B941" i="8"/>
  <c r="B767" i="8"/>
  <c r="B96" i="8"/>
  <c r="AF97" i="8"/>
  <c r="AA97" i="8" s="1"/>
  <c r="G97" i="8"/>
  <c r="L941" i="8"/>
  <c r="AG97" i="8"/>
  <c r="K97" i="8"/>
  <c r="I98" i="8"/>
  <c r="A96" i="8"/>
  <c r="A941" i="8"/>
  <c r="AG942" i="8"/>
  <c r="I943" i="8"/>
  <c r="AF942" i="8"/>
  <c r="AA942" i="8" s="1"/>
  <c r="K942" i="8"/>
  <c r="G942" i="8"/>
  <c r="A767" i="8"/>
  <c r="AG768" i="8"/>
  <c r="AF768" i="8"/>
  <c r="AA768" i="8" s="1"/>
  <c r="I769" i="8"/>
  <c r="G768" i="8"/>
  <c r="K768" i="8"/>
  <c r="AD767" i="8" l="1"/>
  <c r="AD96" i="8"/>
  <c r="AD941" i="8"/>
  <c r="AI1155" i="8"/>
  <c r="AI1317" i="8"/>
  <c r="E142" i="9"/>
  <c r="K142" i="9" s="1"/>
  <c r="G142" i="9"/>
  <c r="F142" i="9" s="1"/>
  <c r="AI941" i="8"/>
  <c r="AI96" i="8"/>
  <c r="F942" i="8"/>
  <c r="F768" i="8"/>
  <c r="E768" i="8"/>
  <c r="E97" i="8"/>
  <c r="E942" i="8"/>
  <c r="F97" i="8"/>
  <c r="I143" i="9"/>
  <c r="E1318" i="8"/>
  <c r="E1156" i="8"/>
  <c r="Z769" i="8"/>
  <c r="M1157" i="8"/>
  <c r="M769" i="8"/>
  <c r="M98" i="8"/>
  <c r="M943" i="8"/>
  <c r="M1319" i="8"/>
  <c r="AH769" i="8"/>
  <c r="AH1319" i="8"/>
  <c r="AH943" i="8"/>
  <c r="AH1157" i="8"/>
  <c r="AH98" i="8"/>
  <c r="L942" i="8"/>
  <c r="L1318" i="8"/>
  <c r="AD1318" i="8" s="1"/>
  <c r="L768" i="8"/>
  <c r="L1156" i="8"/>
  <c r="AD1156" i="8" s="1"/>
  <c r="A1318" i="8"/>
  <c r="A1156" i="8"/>
  <c r="G1319" i="8"/>
  <c r="B1319" i="8" s="1"/>
  <c r="I1320" i="8"/>
  <c r="AF1319" i="8"/>
  <c r="AA1319" i="8" s="1"/>
  <c r="AG1319" i="8"/>
  <c r="K1319" i="8"/>
  <c r="F1319" i="8" s="1"/>
  <c r="AF1157" i="8"/>
  <c r="AA1157" i="8" s="1"/>
  <c r="I1158" i="8"/>
  <c r="AG1157" i="8"/>
  <c r="G1157" i="8"/>
  <c r="B1157" i="8" s="1"/>
  <c r="K1157" i="8"/>
  <c r="F1157" i="8" s="1"/>
  <c r="B942" i="8"/>
  <c r="B768" i="8"/>
  <c r="B97" i="8"/>
  <c r="A97" i="8"/>
  <c r="AG98" i="8"/>
  <c r="L97" i="8"/>
  <c r="K98" i="8"/>
  <c r="AF98" i="8"/>
  <c r="AA98" i="8" s="1"/>
  <c r="I99" i="8"/>
  <c r="G98" i="8"/>
  <c r="A942" i="8"/>
  <c r="AG943" i="8"/>
  <c r="AF943" i="8"/>
  <c r="AA943" i="8" s="1"/>
  <c r="I944" i="8"/>
  <c r="K943" i="8"/>
  <c r="G943" i="8"/>
  <c r="A768" i="8"/>
  <c r="AG769" i="8"/>
  <c r="G769" i="8"/>
  <c r="AF769" i="8"/>
  <c r="AA769" i="8" s="1"/>
  <c r="I770" i="8"/>
  <c r="K769" i="8"/>
  <c r="AD768" i="8" l="1"/>
  <c r="AD97" i="8"/>
  <c r="AD942" i="8"/>
  <c r="AI768" i="8"/>
  <c r="AI1318" i="8"/>
  <c r="AI1156" i="8"/>
  <c r="G143" i="9"/>
  <c r="F143" i="9" s="1"/>
  <c r="E143" i="9"/>
  <c r="K143" i="9" s="1"/>
  <c r="AI97" i="8"/>
  <c r="E769" i="8"/>
  <c r="K9" i="10"/>
  <c r="F943" i="8"/>
  <c r="F98" i="8"/>
  <c r="F769" i="8"/>
  <c r="AI942" i="8"/>
  <c r="E98" i="8"/>
  <c r="E943" i="8"/>
  <c r="E767" i="8"/>
  <c r="I144" i="9"/>
  <c r="E1319" i="8"/>
  <c r="E1157" i="8"/>
  <c r="Z770" i="8"/>
  <c r="M770" i="8"/>
  <c r="M944" i="8"/>
  <c r="M1158" i="8"/>
  <c r="M1320" i="8"/>
  <c r="M99" i="8"/>
  <c r="AH1158" i="8"/>
  <c r="AH99" i="8"/>
  <c r="AH770" i="8"/>
  <c r="AH944" i="8"/>
  <c r="AH1320" i="8"/>
  <c r="L943" i="8"/>
  <c r="L1319" i="8"/>
  <c r="AD1319" i="8" s="1"/>
  <c r="L769" i="8"/>
  <c r="L1157" i="8"/>
  <c r="AD1157" i="8" s="1"/>
  <c r="A1157" i="8"/>
  <c r="A1319" i="8"/>
  <c r="AF1320" i="8"/>
  <c r="AA1320" i="8" s="1"/>
  <c r="G1320" i="8"/>
  <c r="B1320" i="8" s="1"/>
  <c r="AG1320" i="8"/>
  <c r="I1321" i="8"/>
  <c r="K1320" i="8"/>
  <c r="F1320" i="8" s="1"/>
  <c r="AG1158" i="8"/>
  <c r="AF1158" i="8"/>
  <c r="AA1158" i="8" s="1"/>
  <c r="G1158" i="8"/>
  <c r="B1158" i="8" s="1"/>
  <c r="I1159" i="8"/>
  <c r="K1158" i="8"/>
  <c r="F1158" i="8" s="1"/>
  <c r="B943" i="8"/>
  <c r="B98" i="8"/>
  <c r="B769" i="8"/>
  <c r="L98" i="8"/>
  <c r="I100" i="8"/>
  <c r="A98" i="8"/>
  <c r="K99" i="8"/>
  <c r="AF99" i="8"/>
  <c r="AA99" i="8" s="1"/>
  <c r="G99" i="8"/>
  <c r="AG99" i="8"/>
  <c r="A943" i="8"/>
  <c r="AG944" i="8"/>
  <c r="G944" i="8"/>
  <c r="I945" i="8"/>
  <c r="K944" i="8"/>
  <c r="AF944" i="8"/>
  <c r="AA944" i="8" s="1"/>
  <c r="A769" i="8"/>
  <c r="AG770" i="8"/>
  <c r="I771" i="8"/>
  <c r="AF770" i="8"/>
  <c r="AA770" i="8" s="1"/>
  <c r="G770" i="8"/>
  <c r="K770" i="8"/>
  <c r="AD98" i="8" l="1"/>
  <c r="AD769" i="8"/>
  <c r="AD943" i="8"/>
  <c r="AI1157" i="8"/>
  <c r="AI1319" i="8"/>
  <c r="AI943" i="8"/>
  <c r="G144" i="9"/>
  <c r="F144" i="9" s="1"/>
  <c r="E144" i="9"/>
  <c r="AI769" i="8"/>
  <c r="AI767" i="8"/>
  <c r="F944" i="8"/>
  <c r="F99" i="8"/>
  <c r="F770" i="8"/>
  <c r="E770" i="8"/>
  <c r="E944" i="8"/>
  <c r="E99" i="8"/>
  <c r="AI98" i="8"/>
  <c r="I145" i="9"/>
  <c r="E1158" i="8"/>
  <c r="E1320" i="8"/>
  <c r="Z771" i="8"/>
  <c r="M771" i="8"/>
  <c r="M100" i="8"/>
  <c r="M1159" i="8"/>
  <c r="M945" i="8"/>
  <c r="M1321" i="8"/>
  <c r="AH100" i="8"/>
  <c r="AH1321" i="8"/>
  <c r="AH945" i="8"/>
  <c r="AH1159" i="8"/>
  <c r="AH771" i="8"/>
  <c r="L1158" i="8"/>
  <c r="AD1158" i="8" s="1"/>
  <c r="L944" i="8"/>
  <c r="L1320" i="8"/>
  <c r="AD1320" i="8" s="1"/>
  <c r="A1158" i="8"/>
  <c r="A1320" i="8"/>
  <c r="AG1321" i="8"/>
  <c r="I1322" i="8"/>
  <c r="G1321" i="8"/>
  <c r="B1321" i="8" s="1"/>
  <c r="AF1321" i="8"/>
  <c r="AA1321" i="8" s="1"/>
  <c r="K1321" i="8"/>
  <c r="F1321" i="8" s="1"/>
  <c r="G1159" i="8"/>
  <c r="B1159" i="8" s="1"/>
  <c r="AG1159" i="8"/>
  <c r="I1160" i="8"/>
  <c r="AF1159" i="8"/>
  <c r="AA1159" i="8" s="1"/>
  <c r="K1159" i="8"/>
  <c r="F1159" i="8" s="1"/>
  <c r="B770" i="8"/>
  <c r="B99" i="8"/>
  <c r="B944" i="8"/>
  <c r="K100" i="8"/>
  <c r="I101" i="8"/>
  <c r="AF100" i="8"/>
  <c r="AA100" i="8" s="1"/>
  <c r="L99" i="8"/>
  <c r="G100" i="8"/>
  <c r="AG100" i="8"/>
  <c r="A99" i="8"/>
  <c r="A770" i="8"/>
  <c r="A944" i="8"/>
  <c r="AG945" i="8"/>
  <c r="AF945" i="8"/>
  <c r="AA945" i="8" s="1"/>
  <c r="K945" i="8"/>
  <c r="I946" i="8"/>
  <c r="G945" i="8"/>
  <c r="AG771" i="8"/>
  <c r="K771" i="8"/>
  <c r="G771" i="8"/>
  <c r="AF771" i="8"/>
  <c r="AA771" i="8" s="1"/>
  <c r="I772" i="8"/>
  <c r="L770" i="8"/>
  <c r="AD99" i="8" l="1"/>
  <c r="AD770" i="8"/>
  <c r="AD944" i="8"/>
  <c r="AI1320" i="8"/>
  <c r="AI1158" i="8"/>
  <c r="G145" i="9"/>
  <c r="F145" i="9" s="1"/>
  <c r="E145" i="9"/>
  <c r="AI770" i="8"/>
  <c r="AI99" i="8"/>
  <c r="AI944" i="8"/>
  <c r="E100" i="8"/>
  <c r="E945" i="8"/>
  <c r="F945" i="8"/>
  <c r="E771" i="8"/>
  <c r="F100" i="8"/>
  <c r="F771" i="8"/>
  <c r="I146" i="9"/>
  <c r="E1159" i="8"/>
  <c r="E1321" i="8"/>
  <c r="Z772" i="8"/>
  <c r="M946" i="8"/>
  <c r="M772" i="8"/>
  <c r="M101" i="8"/>
  <c r="M1160" i="8"/>
  <c r="M1322" i="8"/>
  <c r="AH101" i="8"/>
  <c r="AH946" i="8"/>
  <c r="AH1160" i="8"/>
  <c r="AH772" i="8"/>
  <c r="AH1322" i="8"/>
  <c r="L771" i="8"/>
  <c r="L1321" i="8"/>
  <c r="AD1321" i="8" s="1"/>
  <c r="L1159" i="8"/>
  <c r="AD1159" i="8" s="1"/>
  <c r="A1321" i="8"/>
  <c r="G1322" i="8"/>
  <c r="B1322" i="8" s="1"/>
  <c r="AG1322" i="8"/>
  <c r="AF1322" i="8"/>
  <c r="AA1322" i="8" s="1"/>
  <c r="I1323" i="8"/>
  <c r="K1322" i="8"/>
  <c r="F1322" i="8" s="1"/>
  <c r="A1159" i="8"/>
  <c r="AG1160" i="8"/>
  <c r="I1161" i="8"/>
  <c r="G1160" i="8"/>
  <c r="B1160" i="8" s="1"/>
  <c r="AF1160" i="8"/>
  <c r="AA1160" i="8" s="1"/>
  <c r="K1160" i="8"/>
  <c r="F1160" i="8" s="1"/>
  <c r="B771" i="8"/>
  <c r="B945" i="8"/>
  <c r="B100" i="8"/>
  <c r="K101" i="8"/>
  <c r="I102" i="8"/>
  <c r="AF101" i="8"/>
  <c r="AA101" i="8" s="1"/>
  <c r="G101" i="8"/>
  <c r="AG101" i="8"/>
  <c r="L100" i="8"/>
  <c r="A100" i="8"/>
  <c r="A945" i="8"/>
  <c r="AG946" i="8"/>
  <c r="G946" i="8"/>
  <c r="I947" i="8"/>
  <c r="AF946" i="8"/>
  <c r="AA946" i="8" s="1"/>
  <c r="K946" i="8"/>
  <c r="L945" i="8"/>
  <c r="AG772" i="8"/>
  <c r="G772" i="8"/>
  <c r="AF772" i="8"/>
  <c r="AA772" i="8" s="1"/>
  <c r="I773" i="8"/>
  <c r="K772" i="8"/>
  <c r="A771" i="8"/>
  <c r="AD771" i="8" l="1"/>
  <c r="AD945" i="8"/>
  <c r="AD100" i="8"/>
  <c r="AI1321" i="8"/>
  <c r="AI1159" i="8"/>
  <c r="E146" i="9"/>
  <c r="G146" i="9"/>
  <c r="F146" i="9" s="1"/>
  <c r="E946" i="8"/>
  <c r="E772" i="8"/>
  <c r="F946" i="8"/>
  <c r="AI100" i="8"/>
  <c r="AI771" i="8"/>
  <c r="F101" i="8"/>
  <c r="E101" i="8"/>
  <c r="AI945" i="8"/>
  <c r="F772" i="8"/>
  <c r="I147" i="9"/>
  <c r="E1322" i="8"/>
  <c r="E1160" i="8"/>
  <c r="Z773" i="8"/>
  <c r="M773" i="8"/>
  <c r="M1161" i="8"/>
  <c r="M1323" i="8"/>
  <c r="M947" i="8"/>
  <c r="M102" i="8"/>
  <c r="AH947" i="8"/>
  <c r="AH1161" i="8"/>
  <c r="AH102" i="8"/>
  <c r="AH1323" i="8"/>
  <c r="AH773" i="8"/>
  <c r="L1322" i="8"/>
  <c r="AD1322" i="8" s="1"/>
  <c r="L1160" i="8"/>
  <c r="AD1160" i="8" s="1"/>
  <c r="A1322" i="8"/>
  <c r="AF1323" i="8"/>
  <c r="AA1323" i="8" s="1"/>
  <c r="AG1323" i="8"/>
  <c r="G1323" i="8"/>
  <c r="B1323" i="8" s="1"/>
  <c r="I1324" i="8"/>
  <c r="K1323" i="8"/>
  <c r="F1323" i="8" s="1"/>
  <c r="A1160" i="8"/>
  <c r="AG1161" i="8"/>
  <c r="G1161" i="8"/>
  <c r="B1161" i="8" s="1"/>
  <c r="I1162" i="8"/>
  <c r="AF1161" i="8"/>
  <c r="AA1161" i="8" s="1"/>
  <c r="K1161" i="8"/>
  <c r="F1161" i="8" s="1"/>
  <c r="B946" i="8"/>
  <c r="B772" i="8"/>
  <c r="B101" i="8"/>
  <c r="L101" i="8"/>
  <c r="G102" i="8"/>
  <c r="K102" i="8"/>
  <c r="I103" i="8"/>
  <c r="AF102" i="8"/>
  <c r="AA102" i="8" s="1"/>
  <c r="AG102" i="8"/>
  <c r="A101" i="8"/>
  <c r="A946" i="8"/>
  <c r="AG947" i="8"/>
  <c r="AF947" i="8"/>
  <c r="AA947" i="8" s="1"/>
  <c r="G947" i="8"/>
  <c r="K947" i="8"/>
  <c r="I948" i="8"/>
  <c r="L946" i="8"/>
  <c r="A772" i="8"/>
  <c r="AG773" i="8"/>
  <c r="K773" i="8"/>
  <c r="AF773" i="8"/>
  <c r="AA773" i="8" s="1"/>
  <c r="I774" i="8"/>
  <c r="G773" i="8"/>
  <c r="L772" i="8"/>
  <c r="AD772" i="8" l="1"/>
  <c r="AD101" i="8"/>
  <c r="AD946" i="8"/>
  <c r="AI946" i="8"/>
  <c r="AI1160" i="8"/>
  <c r="AI1322" i="8"/>
  <c r="E147" i="9"/>
  <c r="G147" i="9"/>
  <c r="F147" i="9" s="1"/>
  <c r="AI101" i="8"/>
  <c r="AI772" i="8"/>
  <c r="E773" i="8"/>
  <c r="F947" i="8"/>
  <c r="E947" i="8"/>
  <c r="F102" i="8"/>
  <c r="E102" i="8"/>
  <c r="F773" i="8"/>
  <c r="I148" i="9"/>
  <c r="E1161" i="8"/>
  <c r="E1323" i="8"/>
  <c r="Z774" i="8"/>
  <c r="M1162" i="8"/>
  <c r="M774" i="8"/>
  <c r="M948" i="8"/>
  <c r="M103" i="8"/>
  <c r="M1324" i="8"/>
  <c r="AH103" i="8"/>
  <c r="AH1162" i="8"/>
  <c r="AH774" i="8"/>
  <c r="AH948" i="8"/>
  <c r="AH1324" i="8"/>
  <c r="L1323" i="8"/>
  <c r="AD1323" i="8" s="1"/>
  <c r="L1161" i="8"/>
  <c r="AD1161" i="8" s="1"/>
  <c r="A1323" i="8"/>
  <c r="AF1324" i="8"/>
  <c r="AA1324" i="8" s="1"/>
  <c r="G1324" i="8"/>
  <c r="B1324" i="8" s="1"/>
  <c r="I1325" i="8"/>
  <c r="AG1324" i="8"/>
  <c r="K1324" i="8"/>
  <c r="F1324" i="8" s="1"/>
  <c r="A1161" i="8"/>
  <c r="AG1162" i="8"/>
  <c r="G1162" i="8"/>
  <c r="B1162" i="8" s="1"/>
  <c r="I1163" i="8"/>
  <c r="AF1162" i="8"/>
  <c r="AA1162" i="8" s="1"/>
  <c r="K1162" i="8"/>
  <c r="F1162" i="8" s="1"/>
  <c r="B102" i="8"/>
  <c r="B947" i="8"/>
  <c r="B773" i="8"/>
  <c r="L102" i="8"/>
  <c r="K103" i="8"/>
  <c r="AF103" i="8"/>
  <c r="AA103" i="8" s="1"/>
  <c r="A102" i="8"/>
  <c r="I104" i="8"/>
  <c r="AG103" i="8"/>
  <c r="G103" i="8"/>
  <c r="AG948" i="8"/>
  <c r="AF948" i="8"/>
  <c r="AA948" i="8" s="1"/>
  <c r="I949" i="8"/>
  <c r="G948" i="8"/>
  <c r="K948" i="8"/>
  <c r="L947" i="8"/>
  <c r="A947" i="8"/>
  <c r="A773" i="8"/>
  <c r="AG774" i="8"/>
  <c r="K774" i="8"/>
  <c r="G774" i="8"/>
  <c r="AF774" i="8"/>
  <c r="AA774" i="8" s="1"/>
  <c r="I775" i="8"/>
  <c r="L773" i="8"/>
  <c r="AD947" i="8" l="1"/>
  <c r="AD773" i="8"/>
  <c r="AD102" i="8"/>
  <c r="AI1161" i="8"/>
  <c r="AI1323" i="8"/>
  <c r="E148" i="9"/>
  <c r="G148" i="9"/>
  <c r="F148" i="9" s="1"/>
  <c r="AI947" i="8"/>
  <c r="F774" i="8"/>
  <c r="E103" i="8"/>
  <c r="AI773" i="8"/>
  <c r="E948" i="8"/>
  <c r="E774" i="8"/>
  <c r="AI102" i="8"/>
  <c r="F103" i="8"/>
  <c r="F948" i="8"/>
  <c r="I149" i="9"/>
  <c r="E1324" i="8"/>
  <c r="E1162" i="8"/>
  <c r="Z775" i="8"/>
  <c r="W104" i="8"/>
  <c r="Z104" i="8"/>
  <c r="X104" i="8"/>
  <c r="M1163" i="8"/>
  <c r="M775" i="8"/>
  <c r="M104" i="8"/>
  <c r="M1325" i="8"/>
  <c r="M949" i="8"/>
  <c r="AH775" i="8"/>
  <c r="AH1163" i="8"/>
  <c r="AH949" i="8"/>
  <c r="AH1325" i="8"/>
  <c r="AH104" i="8"/>
  <c r="L774" i="8"/>
  <c r="L1162" i="8"/>
  <c r="AD1162" i="8" s="1"/>
  <c r="L948" i="8"/>
  <c r="L1324" i="8"/>
  <c r="AD1324" i="8" s="1"/>
  <c r="I1326" i="8"/>
  <c r="AF1325" i="8"/>
  <c r="AA1325" i="8" s="1"/>
  <c r="AG1325" i="8"/>
  <c r="G1325" i="8"/>
  <c r="B1325" i="8" s="1"/>
  <c r="K1325" i="8"/>
  <c r="F1325" i="8" s="1"/>
  <c r="A1324" i="8"/>
  <c r="I1164" i="8"/>
  <c r="AF1163" i="8"/>
  <c r="AA1163" i="8" s="1"/>
  <c r="AG1163" i="8"/>
  <c r="G1163" i="8"/>
  <c r="B1163" i="8" s="1"/>
  <c r="K1163" i="8"/>
  <c r="F1163" i="8" s="1"/>
  <c r="A1162" i="8"/>
  <c r="B103" i="8"/>
  <c r="B948" i="8"/>
  <c r="B774" i="8"/>
  <c r="A103" i="8"/>
  <c r="L103" i="8"/>
  <c r="AG104" i="8"/>
  <c r="K104" i="8"/>
  <c r="G104" i="8"/>
  <c r="AF104" i="8"/>
  <c r="AA104" i="8" s="1"/>
  <c r="I105" i="8"/>
  <c r="A774" i="8"/>
  <c r="AG949" i="8"/>
  <c r="I950" i="8"/>
  <c r="AF949" i="8"/>
  <c r="AA949" i="8" s="1"/>
  <c r="K949" i="8"/>
  <c r="G949" i="8"/>
  <c r="A948" i="8"/>
  <c r="AG775" i="8"/>
  <c r="K775" i="8"/>
  <c r="I776" i="8"/>
  <c r="G775" i="8"/>
  <c r="AF775" i="8"/>
  <c r="AA775" i="8" s="1"/>
  <c r="AD774" i="8" l="1"/>
  <c r="AD948" i="8"/>
  <c r="AD103" i="8"/>
  <c r="AI1162" i="8"/>
  <c r="AI1324" i="8"/>
  <c r="G149" i="9"/>
  <c r="F149" i="9" s="1"/>
  <c r="E149" i="9"/>
  <c r="AI774" i="8"/>
  <c r="E949" i="8"/>
  <c r="AI103" i="8"/>
  <c r="E775" i="8"/>
  <c r="F775" i="8"/>
  <c r="AI948" i="8"/>
  <c r="F949" i="8"/>
  <c r="F104" i="8"/>
  <c r="I150" i="9"/>
  <c r="E1163" i="8"/>
  <c r="E1325" i="8"/>
  <c r="Z105" i="8"/>
  <c r="Z776" i="8"/>
  <c r="M950" i="8"/>
  <c r="M1164" i="8"/>
  <c r="M776" i="8"/>
  <c r="M105" i="8"/>
  <c r="M1326" i="8"/>
  <c r="AH776" i="8"/>
  <c r="AH105" i="8"/>
  <c r="AH1164" i="8"/>
  <c r="AH1326" i="8"/>
  <c r="AH950" i="8"/>
  <c r="L1163" i="8"/>
  <c r="AD1163" i="8" s="1"/>
  <c r="L1325" i="8"/>
  <c r="AD1325" i="8" s="1"/>
  <c r="L949" i="8"/>
  <c r="G1326" i="8"/>
  <c r="B1326" i="8" s="1"/>
  <c r="I1327" i="8"/>
  <c r="AF1326" i="8"/>
  <c r="AA1326" i="8" s="1"/>
  <c r="AG1326" i="8"/>
  <c r="K1326" i="8"/>
  <c r="F1326" i="8" s="1"/>
  <c r="A1325" i="8"/>
  <c r="A1163" i="8"/>
  <c r="G1164" i="8"/>
  <c r="B1164" i="8" s="1"/>
  <c r="AF1164" i="8"/>
  <c r="AA1164" i="8" s="1"/>
  <c r="AG1164" i="8"/>
  <c r="I1165" i="8"/>
  <c r="K1164" i="8"/>
  <c r="F1164" i="8" s="1"/>
  <c r="B775" i="8"/>
  <c r="B104" i="8"/>
  <c r="B949" i="8"/>
  <c r="L104" i="8"/>
  <c r="A104" i="8"/>
  <c r="I106" i="8"/>
  <c r="K105" i="8"/>
  <c r="G105" i="8"/>
  <c r="AG105" i="8"/>
  <c r="AF105" i="8"/>
  <c r="AA105" i="8" s="1"/>
  <c r="AG950" i="8"/>
  <c r="AF950" i="8"/>
  <c r="AA950" i="8" s="1"/>
  <c r="K950" i="8"/>
  <c r="G950" i="8"/>
  <c r="I951" i="8"/>
  <c r="A949" i="8"/>
  <c r="A775" i="8"/>
  <c r="AG776" i="8"/>
  <c r="G776" i="8"/>
  <c r="I777" i="8"/>
  <c r="AF776" i="8"/>
  <c r="AA776" i="8" s="1"/>
  <c r="K776" i="8"/>
  <c r="L775" i="8"/>
  <c r="AD949" i="8" l="1"/>
  <c r="AD775" i="8"/>
  <c r="AD104" i="8"/>
  <c r="AI1163" i="8"/>
  <c r="AI1325" i="8"/>
  <c r="G150" i="9"/>
  <c r="F150" i="9" s="1"/>
  <c r="E150" i="9"/>
  <c r="AI949" i="8"/>
  <c r="F950" i="8"/>
  <c r="E776" i="8"/>
  <c r="E105" i="8"/>
  <c r="AI775" i="8"/>
  <c r="F105" i="8"/>
  <c r="F776" i="8"/>
  <c r="E950" i="8"/>
  <c r="I151" i="9"/>
  <c r="E1326" i="8"/>
  <c r="E1164" i="8"/>
  <c r="Z106" i="8"/>
  <c r="Z777" i="8"/>
  <c r="M951" i="8"/>
  <c r="M777" i="8"/>
  <c r="M106" i="8"/>
  <c r="M1165" i="8"/>
  <c r="M1327" i="8"/>
  <c r="AH1327" i="8"/>
  <c r="AH951" i="8"/>
  <c r="AH1165" i="8"/>
  <c r="AH777" i="8"/>
  <c r="AH106" i="8"/>
  <c r="L1164" i="8"/>
  <c r="AD1164" i="8" s="1"/>
  <c r="L1326" i="8"/>
  <c r="AD1326" i="8" s="1"/>
  <c r="A1326" i="8"/>
  <c r="AG1327" i="8"/>
  <c r="AF1327" i="8"/>
  <c r="AA1327" i="8" s="1"/>
  <c r="G1327" i="8"/>
  <c r="B1327" i="8" s="1"/>
  <c r="K1327" i="8"/>
  <c r="F1327" i="8" s="1"/>
  <c r="A1164" i="8"/>
  <c r="AG1165" i="8"/>
  <c r="I1166" i="8"/>
  <c r="G1165" i="8"/>
  <c r="B1165" i="8" s="1"/>
  <c r="AF1165" i="8"/>
  <c r="AA1165" i="8" s="1"/>
  <c r="K1165" i="8"/>
  <c r="F1165" i="8" s="1"/>
  <c r="B950" i="8"/>
  <c r="B776" i="8"/>
  <c r="B105" i="8"/>
  <c r="L105" i="8"/>
  <c r="AF106" i="8"/>
  <c r="AA106" i="8" s="1"/>
  <c r="K106" i="8"/>
  <c r="I107" i="8"/>
  <c r="G106" i="8"/>
  <c r="AG106" i="8"/>
  <c r="A105" i="8"/>
  <c r="L950" i="8"/>
  <c r="AG951" i="8"/>
  <c r="G951" i="8"/>
  <c r="I952" i="8"/>
  <c r="K951" i="8"/>
  <c r="AF951" i="8"/>
  <c r="AA951" i="8" s="1"/>
  <c r="A950" i="8"/>
  <c r="A776" i="8"/>
  <c r="AG777" i="8"/>
  <c r="I778" i="8"/>
  <c r="AF777" i="8"/>
  <c r="AA777" i="8" s="1"/>
  <c r="G777" i="8"/>
  <c r="K777" i="8"/>
  <c r="L776" i="8"/>
  <c r="AD776" i="8" l="1"/>
  <c r="AD105" i="8"/>
  <c r="AD950" i="8"/>
  <c r="AI1326" i="8"/>
  <c r="AI105" i="8"/>
  <c r="AI1164" i="8"/>
  <c r="G151" i="9"/>
  <c r="F151" i="9" s="1"/>
  <c r="E151" i="9"/>
  <c r="AI776" i="8"/>
  <c r="AI950" i="8"/>
  <c r="E951" i="8"/>
  <c r="E104" i="8"/>
  <c r="E106" i="8"/>
  <c r="F777" i="8"/>
  <c r="F951" i="8"/>
  <c r="E777" i="8"/>
  <c r="F106" i="8"/>
  <c r="I152" i="9"/>
  <c r="E1165" i="8"/>
  <c r="E1327" i="8"/>
  <c r="Z107" i="8"/>
  <c r="Z778" i="8"/>
  <c r="M1166" i="8"/>
  <c r="M107" i="8"/>
  <c r="M778" i="8"/>
  <c r="M952" i="8"/>
  <c r="AH952" i="8"/>
  <c r="AH107" i="8"/>
  <c r="AH778" i="8"/>
  <c r="AH1166" i="8"/>
  <c r="L1165" i="8"/>
  <c r="AD1165" i="8" s="1"/>
  <c r="L777" i="8"/>
  <c r="L1327" i="8"/>
  <c r="AD1327" i="8" s="1"/>
  <c r="A1165" i="8"/>
  <c r="A1327" i="8"/>
  <c r="G1166" i="8"/>
  <c r="B1166" i="8" s="1"/>
  <c r="AG1166" i="8"/>
  <c r="I1167" i="8"/>
  <c r="AF1166" i="8"/>
  <c r="AA1166" i="8" s="1"/>
  <c r="K1166" i="8"/>
  <c r="F1166" i="8" s="1"/>
  <c r="B951" i="8"/>
  <c r="B777" i="8"/>
  <c r="B106" i="8"/>
  <c r="L106" i="8"/>
  <c r="AG107" i="8"/>
  <c r="K107" i="8"/>
  <c r="G107" i="8"/>
  <c r="I108" i="8"/>
  <c r="AF107" i="8"/>
  <c r="AA107" i="8" s="1"/>
  <c r="A106" i="8"/>
  <c r="AG952" i="8"/>
  <c r="I953" i="8"/>
  <c r="AF952" i="8"/>
  <c r="AA952" i="8" s="1"/>
  <c r="K952" i="8"/>
  <c r="G952" i="8"/>
  <c r="L951" i="8"/>
  <c r="A951" i="8"/>
  <c r="A777" i="8"/>
  <c r="AG778" i="8"/>
  <c r="G778" i="8"/>
  <c r="I779" i="8"/>
  <c r="AF778" i="8"/>
  <c r="AA778" i="8" s="1"/>
  <c r="K778" i="8"/>
  <c r="AD106" i="8" l="1"/>
  <c r="AD951" i="8"/>
  <c r="AD777" i="8"/>
  <c r="AI1327" i="8"/>
  <c r="AI106" i="8"/>
  <c r="AI1165" i="8"/>
  <c r="AI951" i="8"/>
  <c r="G152" i="9"/>
  <c r="F152" i="9" s="1"/>
  <c r="E152" i="9"/>
  <c r="AI777" i="8"/>
  <c r="AI104" i="8"/>
  <c r="F778" i="8"/>
  <c r="E952" i="8"/>
  <c r="E107" i="8"/>
  <c r="F952" i="8"/>
  <c r="F107" i="8"/>
  <c r="E778" i="8"/>
  <c r="I153" i="9"/>
  <c r="E1166" i="8"/>
  <c r="Z108" i="8"/>
  <c r="Z779" i="8"/>
  <c r="M953" i="8"/>
  <c r="M108" i="8"/>
  <c r="M1167" i="8"/>
  <c r="M779" i="8"/>
  <c r="AH953" i="8"/>
  <c r="AH1167" i="8"/>
  <c r="AH779" i="8"/>
  <c r="AH108" i="8"/>
  <c r="L1166" i="8"/>
  <c r="AD1166" i="8" s="1"/>
  <c r="A1166" i="8"/>
  <c r="AG1167" i="8"/>
  <c r="I1168" i="8"/>
  <c r="G1167" i="8"/>
  <c r="B1167" i="8" s="1"/>
  <c r="AF1167" i="8"/>
  <c r="AA1167" i="8" s="1"/>
  <c r="K1167" i="8"/>
  <c r="F1167" i="8" s="1"/>
  <c r="B778" i="8"/>
  <c r="B107" i="8"/>
  <c r="B952" i="8"/>
  <c r="L107" i="8"/>
  <c r="AF108" i="8"/>
  <c r="AA108" i="8" s="1"/>
  <c r="G108" i="8"/>
  <c r="AG108" i="8"/>
  <c r="A107" i="8"/>
  <c r="K108" i="8"/>
  <c r="I109" i="8"/>
  <c r="A952" i="8"/>
  <c r="AG953" i="8"/>
  <c r="K953" i="8"/>
  <c r="AF953" i="8"/>
  <c r="AA953" i="8" s="1"/>
  <c r="G953" i="8"/>
  <c r="I954" i="8"/>
  <c r="L952" i="8"/>
  <c r="A778" i="8"/>
  <c r="AG779" i="8"/>
  <c r="K779" i="8"/>
  <c r="AF779" i="8"/>
  <c r="AA779" i="8" s="1"/>
  <c r="G779" i="8"/>
  <c r="I780" i="8"/>
  <c r="L778" i="8"/>
  <c r="AD952" i="8" l="1"/>
  <c r="AD778" i="8"/>
  <c r="AD107" i="8"/>
  <c r="AI1166" i="8"/>
  <c r="G153" i="9"/>
  <c r="F153" i="9" s="1"/>
  <c r="E153" i="9"/>
  <c r="AI107" i="8"/>
  <c r="AI778" i="8"/>
  <c r="AI952" i="8"/>
  <c r="E953" i="8"/>
  <c r="E108" i="8"/>
  <c r="F108" i="8"/>
  <c r="F953" i="8"/>
  <c r="E779" i="8"/>
  <c r="F779" i="8"/>
  <c r="I154" i="9"/>
  <c r="E1167" i="8"/>
  <c r="Z109" i="8"/>
  <c r="Z780" i="8"/>
  <c r="M1168" i="8"/>
  <c r="M109" i="8"/>
  <c r="M780" i="8"/>
  <c r="M954" i="8"/>
  <c r="AH780" i="8"/>
  <c r="AH954" i="8"/>
  <c r="AH109" i="8"/>
  <c r="AH1168" i="8"/>
  <c r="L1167" i="8"/>
  <c r="AD1167" i="8" s="1"/>
  <c r="A1167" i="8"/>
  <c r="I1169" i="8"/>
  <c r="AG1168" i="8"/>
  <c r="AF1168" i="8"/>
  <c r="AA1168" i="8" s="1"/>
  <c r="G1168" i="8"/>
  <c r="B1168" i="8" s="1"/>
  <c r="K1168" i="8"/>
  <c r="F1168" i="8" s="1"/>
  <c r="B953" i="8"/>
  <c r="B108" i="8"/>
  <c r="B779" i="8"/>
  <c r="L108" i="8"/>
  <c r="A108" i="8"/>
  <c r="K109" i="8"/>
  <c r="G109" i="8"/>
  <c r="I110" i="8"/>
  <c r="AG109" i="8"/>
  <c r="AF109" i="8"/>
  <c r="AA109" i="8" s="1"/>
  <c r="AG954" i="8"/>
  <c r="I955" i="8"/>
  <c r="G954" i="8"/>
  <c r="AF954" i="8"/>
  <c r="AA954" i="8" s="1"/>
  <c r="K954" i="8"/>
  <c r="L953" i="8"/>
  <c r="A953" i="8"/>
  <c r="A779" i="8"/>
  <c r="AG780" i="8"/>
  <c r="K780" i="8"/>
  <c r="G780" i="8"/>
  <c r="I781" i="8"/>
  <c r="AF780" i="8"/>
  <c r="AA780" i="8" s="1"/>
  <c r="L779" i="8"/>
  <c r="AD108" i="8" l="1"/>
  <c r="AD779" i="8"/>
  <c r="AD953" i="8"/>
  <c r="AI1167" i="8"/>
  <c r="E154" i="9"/>
  <c r="G154" i="9"/>
  <c r="F154" i="9" s="1"/>
  <c r="AI108" i="8"/>
  <c r="AI953" i="8"/>
  <c r="F954" i="8"/>
  <c r="E109" i="8"/>
  <c r="AI779" i="8"/>
  <c r="F109" i="8"/>
  <c r="E780" i="8"/>
  <c r="E954" i="8"/>
  <c r="F780" i="8"/>
  <c r="I155" i="9"/>
  <c r="E1168" i="8"/>
  <c r="Z110" i="8"/>
  <c r="Z781" i="8"/>
  <c r="M955" i="8"/>
  <c r="M1169" i="8"/>
  <c r="M110" i="8"/>
  <c r="M781" i="8"/>
  <c r="AH955" i="8"/>
  <c r="AH110" i="8"/>
  <c r="AH781" i="8"/>
  <c r="AH1169" i="8"/>
  <c r="L1168" i="8"/>
  <c r="AD1168" i="8" s="1"/>
  <c r="A1168" i="8"/>
  <c r="I1170" i="8"/>
  <c r="AF1169" i="8"/>
  <c r="AA1169" i="8" s="1"/>
  <c r="G1169" i="8"/>
  <c r="B1169" i="8" s="1"/>
  <c r="AG1169" i="8"/>
  <c r="K1169" i="8"/>
  <c r="F1169" i="8" s="1"/>
  <c r="B109" i="8"/>
  <c r="B780" i="8"/>
  <c r="B954" i="8"/>
  <c r="L109" i="8"/>
  <c r="A109" i="8"/>
  <c r="G110" i="8"/>
  <c r="AG110" i="8"/>
  <c r="I111" i="8"/>
  <c r="K110" i="8"/>
  <c r="AF110" i="8"/>
  <c r="AA110" i="8" s="1"/>
  <c r="A954" i="8"/>
  <c r="AG955" i="8"/>
  <c r="I956" i="8"/>
  <c r="K955" i="8"/>
  <c r="G955" i="8"/>
  <c r="AF955" i="8"/>
  <c r="AA955" i="8" s="1"/>
  <c r="L954" i="8"/>
  <c r="A780" i="8"/>
  <c r="AG781" i="8"/>
  <c r="K781" i="8"/>
  <c r="G781" i="8"/>
  <c r="AF781" i="8"/>
  <c r="AA781" i="8" s="1"/>
  <c r="I782" i="8"/>
  <c r="L780" i="8"/>
  <c r="AD780" i="8" l="1"/>
  <c r="AD109" i="8"/>
  <c r="AD954" i="8"/>
  <c r="AI1168" i="8"/>
  <c r="E155" i="9"/>
  <c r="G155" i="9"/>
  <c r="F155" i="9" s="1"/>
  <c r="AI109" i="8"/>
  <c r="AI954" i="8"/>
  <c r="F955" i="8"/>
  <c r="E110" i="8"/>
  <c r="F110" i="8"/>
  <c r="E781" i="8"/>
  <c r="AI780" i="8"/>
  <c r="F781" i="8"/>
  <c r="E955" i="8"/>
  <c r="I156" i="9"/>
  <c r="E1169" i="8"/>
  <c r="Z782" i="8"/>
  <c r="Z111" i="8"/>
  <c r="M1170" i="8"/>
  <c r="M111" i="8"/>
  <c r="M956" i="8"/>
  <c r="M782" i="8"/>
  <c r="AH956" i="8"/>
  <c r="AH111" i="8"/>
  <c r="AH1170" i="8"/>
  <c r="AH782" i="8"/>
  <c r="L1169" i="8"/>
  <c r="AD1169" i="8" s="1"/>
  <c r="AG1170" i="8"/>
  <c r="AF1170" i="8"/>
  <c r="AA1170" i="8" s="1"/>
  <c r="I1171" i="8"/>
  <c r="G1170" i="8"/>
  <c r="B1170" i="8" s="1"/>
  <c r="K1170" i="8"/>
  <c r="F1170" i="8" s="1"/>
  <c r="A1169" i="8"/>
  <c r="B110" i="8"/>
  <c r="B955" i="8"/>
  <c r="B781" i="8"/>
  <c r="A110" i="8"/>
  <c r="L110" i="8"/>
  <c r="K111" i="8"/>
  <c r="G111" i="8"/>
  <c r="I112" i="8"/>
  <c r="AF111" i="8"/>
  <c r="AA111" i="8" s="1"/>
  <c r="AG111" i="8"/>
  <c r="AG956" i="8"/>
  <c r="K956" i="8"/>
  <c r="G956" i="8"/>
  <c r="I957" i="8"/>
  <c r="AF956" i="8"/>
  <c r="AA956" i="8" s="1"/>
  <c r="L955" i="8"/>
  <c r="A955" i="8"/>
  <c r="A781" i="8"/>
  <c r="AG782" i="8"/>
  <c r="G782" i="8"/>
  <c r="I783" i="8"/>
  <c r="AF782" i="8"/>
  <c r="AA782" i="8" s="1"/>
  <c r="K782" i="8"/>
  <c r="L781" i="8"/>
  <c r="AD781" i="8" l="1"/>
  <c r="AD110" i="8"/>
  <c r="AD955" i="8"/>
  <c r="AI1169" i="8"/>
  <c r="E156" i="9"/>
  <c r="G156" i="9"/>
  <c r="F156" i="9" s="1"/>
  <c r="AI781" i="8"/>
  <c r="AI955" i="8"/>
  <c r="E956" i="8"/>
  <c r="E782" i="8"/>
  <c r="F956" i="8"/>
  <c r="AI110" i="8"/>
  <c r="F782" i="8"/>
  <c r="E111" i="8"/>
  <c r="F111" i="8"/>
  <c r="I157" i="9"/>
  <c r="E1170" i="8"/>
  <c r="Z112" i="8"/>
  <c r="Z783" i="8"/>
  <c r="M783" i="8"/>
  <c r="M112" i="8"/>
  <c r="M957" i="8"/>
  <c r="M1171" i="8"/>
  <c r="AH957" i="8"/>
  <c r="AH1171" i="8"/>
  <c r="AH783" i="8"/>
  <c r="AH112" i="8"/>
  <c r="A1170" i="8"/>
  <c r="L1170" i="8"/>
  <c r="AD1170" i="8" s="1"/>
  <c r="K1171" i="8"/>
  <c r="F1171" i="8" s="1"/>
  <c r="I1172" i="8"/>
  <c r="AG1171" i="8"/>
  <c r="AF1171" i="8"/>
  <c r="AA1171" i="8" s="1"/>
  <c r="G1171" i="8"/>
  <c r="B1171" i="8" s="1"/>
  <c r="B111" i="8"/>
  <c r="B956" i="8"/>
  <c r="B782" i="8"/>
  <c r="L111" i="8"/>
  <c r="A111" i="8"/>
  <c r="AF112" i="8"/>
  <c r="AA112" i="8" s="1"/>
  <c r="I113" i="8"/>
  <c r="K112" i="8"/>
  <c r="G112" i="8"/>
  <c r="AG112" i="8"/>
  <c r="A782" i="8"/>
  <c r="AG957" i="8"/>
  <c r="G957" i="8"/>
  <c r="AF957" i="8"/>
  <c r="AA957" i="8" s="1"/>
  <c r="I958" i="8"/>
  <c r="K957" i="8"/>
  <c r="L956" i="8"/>
  <c r="A956" i="8"/>
  <c r="AG783" i="8"/>
  <c r="I784" i="8"/>
  <c r="K783" i="8"/>
  <c r="G783" i="8"/>
  <c r="AF783" i="8"/>
  <c r="AA783" i="8" s="1"/>
  <c r="L782" i="8"/>
  <c r="AD782" i="8" l="1"/>
  <c r="AD111" i="8"/>
  <c r="AD956" i="8"/>
  <c r="AI1170" i="8"/>
  <c r="G157" i="9"/>
  <c r="F157" i="9" s="1"/>
  <c r="E157" i="9"/>
  <c r="AI956" i="8"/>
  <c r="AI782" i="8"/>
  <c r="F783" i="8"/>
  <c r="E957" i="8"/>
  <c r="E783" i="8"/>
  <c r="E112" i="8"/>
  <c r="F957" i="8"/>
  <c r="F112" i="8"/>
  <c r="AI111" i="8"/>
  <c r="I158" i="9"/>
  <c r="E1171" i="8"/>
  <c r="Z784" i="8"/>
  <c r="Z113" i="8"/>
  <c r="M958" i="8"/>
  <c r="M113" i="8"/>
  <c r="M784" i="8"/>
  <c r="M1172" i="8"/>
  <c r="AH784" i="8"/>
  <c r="AH113" i="8"/>
  <c r="AH958" i="8"/>
  <c r="AH1172" i="8"/>
  <c r="L957" i="8"/>
  <c r="L1171" i="8"/>
  <c r="AD1171" i="8" s="1"/>
  <c r="AG1172" i="8"/>
  <c r="K1172" i="8"/>
  <c r="F1172" i="8" s="1"/>
  <c r="G1172" i="8"/>
  <c r="B1172" i="8" s="1"/>
  <c r="AF1172" i="8"/>
  <c r="AA1172" i="8" s="1"/>
  <c r="I1173" i="8"/>
  <c r="A1171" i="8"/>
  <c r="B112" i="8"/>
  <c r="B783" i="8"/>
  <c r="B957" i="8"/>
  <c r="L112" i="8"/>
  <c r="AG113" i="8"/>
  <c r="A112" i="8"/>
  <c r="G113" i="8"/>
  <c r="I114" i="8"/>
  <c r="K113" i="8"/>
  <c r="AF113" i="8"/>
  <c r="AA113" i="8" s="1"/>
  <c r="I665" i="8"/>
  <c r="A957" i="8"/>
  <c r="AG958" i="8"/>
  <c r="G958" i="8"/>
  <c r="AF958" i="8"/>
  <c r="AA958" i="8" s="1"/>
  <c r="K958" i="8"/>
  <c r="I959" i="8"/>
  <c r="A783" i="8"/>
  <c r="AG784" i="8"/>
  <c r="AF784" i="8"/>
  <c r="AA784" i="8" s="1"/>
  <c r="I785" i="8"/>
  <c r="K784" i="8"/>
  <c r="G784" i="8"/>
  <c r="L783" i="8"/>
  <c r="AD783" i="8" l="1"/>
  <c r="AD112" i="8"/>
  <c r="AD957" i="8"/>
  <c r="AI1171" i="8"/>
  <c r="E158" i="9"/>
  <c r="G158" i="9"/>
  <c r="F158" i="9" s="1"/>
  <c r="AI112" i="8"/>
  <c r="AI957" i="8"/>
  <c r="AI783" i="8"/>
  <c r="E784" i="8"/>
  <c r="E113" i="8"/>
  <c r="E958" i="8"/>
  <c r="F113" i="8"/>
  <c r="F784" i="8"/>
  <c r="F958" i="8"/>
  <c r="I159" i="9"/>
  <c r="E1172" i="8"/>
  <c r="Z114" i="8"/>
  <c r="W665" i="8"/>
  <c r="Z665" i="8"/>
  <c r="X665" i="8"/>
  <c r="M785" i="8"/>
  <c r="M665" i="8"/>
  <c r="M959" i="8"/>
  <c r="M1173" i="8"/>
  <c r="M114" i="8"/>
  <c r="AH114" i="8"/>
  <c r="AH959" i="8"/>
  <c r="AH1173" i="8"/>
  <c r="AH785" i="8"/>
  <c r="AH665" i="8"/>
  <c r="L1172" i="8"/>
  <c r="AD1172" i="8" s="1"/>
  <c r="A1172" i="8"/>
  <c r="I1174" i="8"/>
  <c r="K1173" i="8"/>
  <c r="F1173" i="8" s="1"/>
  <c r="G1173" i="8"/>
  <c r="B1173" i="8" s="1"/>
  <c r="AF1173" i="8"/>
  <c r="AA1173" i="8" s="1"/>
  <c r="AG1173" i="8"/>
  <c r="B113" i="8"/>
  <c r="B784" i="8"/>
  <c r="B958" i="8"/>
  <c r="L113" i="8"/>
  <c r="I115" i="8"/>
  <c r="AG114" i="8"/>
  <c r="A113" i="8"/>
  <c r="K114" i="8"/>
  <c r="AF114" i="8"/>
  <c r="AA114" i="8" s="1"/>
  <c r="G114" i="8"/>
  <c r="AF665" i="8"/>
  <c r="AA665" i="8" s="1"/>
  <c r="I666" i="8"/>
  <c r="G665" i="8"/>
  <c r="AG665" i="8"/>
  <c r="K665" i="8"/>
  <c r="A958" i="8"/>
  <c r="AG959" i="8"/>
  <c r="I960" i="8"/>
  <c r="G959" i="8"/>
  <c r="AF959" i="8"/>
  <c r="AA959" i="8" s="1"/>
  <c r="K959" i="8"/>
  <c r="L958" i="8"/>
  <c r="AG785" i="8"/>
  <c r="I786" i="8"/>
  <c r="K785" i="8"/>
  <c r="G785" i="8"/>
  <c r="AF785" i="8"/>
  <c r="AA785" i="8" s="1"/>
  <c r="L784" i="8"/>
  <c r="A784" i="8"/>
  <c r="AD784" i="8" l="1"/>
  <c r="AD113" i="8"/>
  <c r="AD958" i="8"/>
  <c r="AI1172" i="8"/>
  <c r="G159" i="9"/>
  <c r="F159" i="9" s="1"/>
  <c r="E159" i="9"/>
  <c r="AI784" i="8"/>
  <c r="AI958" i="8"/>
  <c r="E959" i="8"/>
  <c r="E114" i="8"/>
  <c r="F959" i="8"/>
  <c r="E785" i="8"/>
  <c r="F665" i="8"/>
  <c r="F785" i="8"/>
  <c r="F114" i="8"/>
  <c r="AI113" i="8"/>
  <c r="I160" i="9"/>
  <c r="E1173" i="8"/>
  <c r="Z666" i="8"/>
  <c r="Z115" i="8"/>
  <c r="M960" i="8"/>
  <c r="M786" i="8"/>
  <c r="M1174" i="8"/>
  <c r="M115" i="8"/>
  <c r="M666" i="8"/>
  <c r="AH1174" i="8"/>
  <c r="AH960" i="8"/>
  <c r="AH786" i="8"/>
  <c r="AH666" i="8"/>
  <c r="AH115" i="8"/>
  <c r="L1173" i="8"/>
  <c r="AD1173" i="8" s="1"/>
  <c r="L959" i="8"/>
  <c r="A1173" i="8"/>
  <c r="AG1174" i="8"/>
  <c r="AF1174" i="8"/>
  <c r="AA1174" i="8" s="1"/>
  <c r="K1174" i="8"/>
  <c r="F1174" i="8" s="1"/>
  <c r="G1174" i="8"/>
  <c r="B1174" i="8" s="1"/>
  <c r="B959" i="8"/>
  <c r="B114" i="8"/>
  <c r="B785" i="8"/>
  <c r="B665" i="8"/>
  <c r="L114" i="8"/>
  <c r="AG115" i="8"/>
  <c r="AF115" i="8"/>
  <c r="AA115" i="8" s="1"/>
  <c r="I116" i="8"/>
  <c r="G115" i="8"/>
  <c r="K115" i="8"/>
  <c r="A114" i="8"/>
  <c r="L665" i="8"/>
  <c r="G666" i="8"/>
  <c r="AG666" i="8"/>
  <c r="AF666" i="8"/>
  <c r="AA666" i="8" s="1"/>
  <c r="K666" i="8"/>
  <c r="A665" i="8"/>
  <c r="I667" i="8"/>
  <c r="A959" i="8"/>
  <c r="AG960" i="8"/>
  <c r="K960" i="8"/>
  <c r="I961" i="8"/>
  <c r="AF960" i="8"/>
  <c r="AA960" i="8" s="1"/>
  <c r="G960" i="8"/>
  <c r="A785" i="8"/>
  <c r="AG786" i="8"/>
  <c r="AF786" i="8"/>
  <c r="AA786" i="8" s="1"/>
  <c r="I787" i="8"/>
  <c r="K786" i="8"/>
  <c r="G786" i="8"/>
  <c r="L785" i="8"/>
  <c r="AD785" i="8" l="1"/>
  <c r="AD114" i="8"/>
  <c r="AD959" i="8"/>
  <c r="AD665" i="8"/>
  <c r="AI1173" i="8"/>
  <c r="G160" i="9"/>
  <c r="F160" i="9" s="1"/>
  <c r="E160" i="9"/>
  <c r="AI959" i="8"/>
  <c r="AI785" i="8"/>
  <c r="E115" i="8"/>
  <c r="E960" i="8"/>
  <c r="F666" i="8"/>
  <c r="AI114" i="8"/>
  <c r="E786" i="8"/>
  <c r="F786" i="8"/>
  <c r="F115" i="8"/>
  <c r="F960" i="8"/>
  <c r="I161" i="9"/>
  <c r="E1174" i="8"/>
  <c r="Z116" i="8"/>
  <c r="Z667" i="8"/>
  <c r="M116" i="8"/>
  <c r="M961" i="8"/>
  <c r="M787" i="8"/>
  <c r="M667" i="8"/>
  <c r="AH961" i="8"/>
  <c r="AH667" i="8"/>
  <c r="AH787" i="8"/>
  <c r="AH116" i="8"/>
  <c r="L960" i="8"/>
  <c r="L666" i="8"/>
  <c r="L1174" i="8"/>
  <c r="AD1174" i="8" s="1"/>
  <c r="A1174" i="8"/>
  <c r="B786" i="8"/>
  <c r="B960" i="8"/>
  <c r="B666" i="8"/>
  <c r="B115" i="8"/>
  <c r="L115" i="8"/>
  <c r="G116" i="8"/>
  <c r="AG116" i="8"/>
  <c r="AF116" i="8"/>
  <c r="AA116" i="8" s="1"/>
  <c r="K116" i="8"/>
  <c r="I117" i="8"/>
  <c r="A115" i="8"/>
  <c r="A666" i="8"/>
  <c r="K667" i="8"/>
  <c r="AF667" i="8"/>
  <c r="AA667" i="8" s="1"/>
  <c r="G667" i="8"/>
  <c r="I668" i="8"/>
  <c r="AG667" i="8"/>
  <c r="A960" i="8"/>
  <c r="AG961" i="8"/>
  <c r="K961" i="8"/>
  <c r="G961" i="8"/>
  <c r="AF961" i="8"/>
  <c r="AA961" i="8" s="1"/>
  <c r="I962" i="8"/>
  <c r="AG787" i="8"/>
  <c r="I788" i="8"/>
  <c r="AF787" i="8"/>
  <c r="AA787" i="8" s="1"/>
  <c r="K787" i="8"/>
  <c r="G787" i="8"/>
  <c r="L786" i="8"/>
  <c r="A786" i="8"/>
  <c r="AD666" i="8" l="1"/>
  <c r="AD786" i="8"/>
  <c r="AD115" i="8"/>
  <c r="AD960" i="8"/>
  <c r="AI1174" i="8"/>
  <c r="G161" i="9"/>
  <c r="F161" i="9" s="1"/>
  <c r="E161" i="9"/>
  <c r="AI960" i="8"/>
  <c r="AI115" i="8"/>
  <c r="AI786" i="8"/>
  <c r="E961" i="8"/>
  <c r="F667" i="8"/>
  <c r="E787" i="8"/>
  <c r="F961" i="8"/>
  <c r="F787" i="8"/>
  <c r="F116" i="8"/>
  <c r="E116" i="8"/>
  <c r="E667" i="8"/>
  <c r="I162" i="9"/>
  <c r="Z117" i="8"/>
  <c r="Z668" i="8"/>
  <c r="M668" i="8"/>
  <c r="M962" i="8"/>
  <c r="M788" i="8"/>
  <c r="M117" i="8"/>
  <c r="AH668" i="8"/>
  <c r="AH117" i="8"/>
  <c r="AH788" i="8"/>
  <c r="AH962" i="8"/>
  <c r="L961" i="8"/>
  <c r="L787" i="8"/>
  <c r="B667" i="8"/>
  <c r="B787" i="8"/>
  <c r="B961" i="8"/>
  <c r="B116" i="8"/>
  <c r="L116" i="8"/>
  <c r="A116" i="8"/>
  <c r="K117" i="8"/>
  <c r="G117" i="8"/>
  <c r="AG117" i="8"/>
  <c r="AF117" i="8"/>
  <c r="AA117" i="8" s="1"/>
  <c r="I118" i="8"/>
  <c r="L667" i="8"/>
  <c r="K668" i="8"/>
  <c r="A667" i="8"/>
  <c r="AF668" i="8"/>
  <c r="AA668" i="8" s="1"/>
  <c r="G668" i="8"/>
  <c r="I669" i="8"/>
  <c r="AG668" i="8"/>
  <c r="A961" i="8"/>
  <c r="AG962" i="8"/>
  <c r="K962" i="8"/>
  <c r="G962" i="8"/>
  <c r="I963" i="8"/>
  <c r="AF962" i="8"/>
  <c r="AA962" i="8" s="1"/>
  <c r="A787" i="8"/>
  <c r="AG788" i="8"/>
  <c r="AF788" i="8"/>
  <c r="AA788" i="8" s="1"/>
  <c r="G788" i="8"/>
  <c r="I789" i="8"/>
  <c r="K788" i="8"/>
  <c r="AD787" i="8" l="1"/>
  <c r="AD116" i="8"/>
  <c r="AD667" i="8"/>
  <c r="AD961" i="8"/>
  <c r="E162" i="9"/>
  <c r="G162" i="9"/>
  <c r="F162" i="9" s="1"/>
  <c r="AI787" i="8"/>
  <c r="AI667" i="8"/>
  <c r="F788" i="8"/>
  <c r="E962" i="8"/>
  <c r="E668" i="8"/>
  <c r="E117" i="8"/>
  <c r="AI116" i="8"/>
  <c r="F117" i="8"/>
  <c r="F962" i="8"/>
  <c r="E788" i="8"/>
  <c r="AI961" i="8"/>
  <c r="F668" i="8"/>
  <c r="I163" i="9"/>
  <c r="Z118" i="8"/>
  <c r="Z669" i="8"/>
  <c r="M118" i="8"/>
  <c r="M963" i="8"/>
  <c r="M669" i="8"/>
  <c r="M789" i="8"/>
  <c r="AH789" i="8"/>
  <c r="AH118" i="8"/>
  <c r="AH669" i="8"/>
  <c r="AH963" i="8"/>
  <c r="L668" i="8"/>
  <c r="B668" i="8"/>
  <c r="B117" i="8"/>
  <c r="B788" i="8"/>
  <c r="B962" i="8"/>
  <c r="L117" i="8"/>
  <c r="A117" i="8"/>
  <c r="I119" i="8"/>
  <c r="K118" i="8"/>
  <c r="AG118" i="8"/>
  <c r="G118" i="8"/>
  <c r="AF118" i="8"/>
  <c r="AA118" i="8" s="1"/>
  <c r="A668" i="8"/>
  <c r="K669" i="8"/>
  <c r="G669" i="8"/>
  <c r="AG669" i="8"/>
  <c r="I670" i="8"/>
  <c r="AF669" i="8"/>
  <c r="AA669" i="8" s="1"/>
  <c r="A788" i="8"/>
  <c r="AG963" i="8"/>
  <c r="I964" i="8"/>
  <c r="K963" i="8"/>
  <c r="G963" i="8"/>
  <c r="AF963" i="8"/>
  <c r="AA963" i="8" s="1"/>
  <c r="L962" i="8"/>
  <c r="A962" i="8"/>
  <c r="AG789" i="8"/>
  <c r="I790" i="8"/>
  <c r="K789" i="8"/>
  <c r="AF789" i="8"/>
  <c r="AA789" i="8" s="1"/>
  <c r="G789" i="8"/>
  <c r="L788" i="8"/>
  <c r="AD788" i="8" l="1"/>
  <c r="AD117" i="8"/>
  <c r="AD962" i="8"/>
  <c r="AD668" i="8"/>
  <c r="E163" i="9"/>
  <c r="G163" i="9"/>
  <c r="F163" i="9" s="1"/>
  <c r="AI117" i="8"/>
  <c r="AI668" i="8"/>
  <c r="F118" i="8"/>
  <c r="E789" i="8"/>
  <c r="E963" i="8"/>
  <c r="E669" i="8"/>
  <c r="F963" i="8"/>
  <c r="F669" i="8"/>
  <c r="AI962" i="8"/>
  <c r="F789" i="8"/>
  <c r="AI788" i="8"/>
  <c r="E118" i="8"/>
  <c r="I164" i="9"/>
  <c r="Z119" i="8"/>
  <c r="Z670" i="8"/>
  <c r="M119" i="8"/>
  <c r="M790" i="8"/>
  <c r="M670" i="8"/>
  <c r="M964" i="8"/>
  <c r="AH670" i="8"/>
  <c r="AH119" i="8"/>
  <c r="AH790" i="8"/>
  <c r="AH964" i="8"/>
  <c r="L789" i="8"/>
  <c r="B669" i="8"/>
  <c r="B789" i="8"/>
  <c r="B118" i="8"/>
  <c r="B963" i="8"/>
  <c r="L118" i="8"/>
  <c r="G119" i="8"/>
  <c r="K119" i="8"/>
  <c r="AF119" i="8"/>
  <c r="AA119" i="8" s="1"/>
  <c r="I120" i="8"/>
  <c r="AG119" i="8"/>
  <c r="A118" i="8"/>
  <c r="L669" i="8"/>
  <c r="AF670" i="8"/>
  <c r="AA670" i="8" s="1"/>
  <c r="I671" i="8"/>
  <c r="G670" i="8"/>
  <c r="A669" i="8"/>
  <c r="K670" i="8"/>
  <c r="AG670" i="8"/>
  <c r="A963" i="8"/>
  <c r="A789" i="8"/>
  <c r="AG964" i="8"/>
  <c r="K964" i="8"/>
  <c r="I965" i="8"/>
  <c r="AF964" i="8"/>
  <c r="AA964" i="8" s="1"/>
  <c r="G964" i="8"/>
  <c r="L963" i="8"/>
  <c r="AG790" i="8"/>
  <c r="G790" i="8"/>
  <c r="I791" i="8"/>
  <c r="K790" i="8"/>
  <c r="AF790" i="8"/>
  <c r="AA790" i="8" s="1"/>
  <c r="AD118" i="8" l="1"/>
  <c r="AD789" i="8"/>
  <c r="AD669" i="8"/>
  <c r="AD963" i="8"/>
  <c r="E164" i="9"/>
  <c r="K164" i="9" s="1"/>
  <c r="G164" i="9"/>
  <c r="F164" i="9" s="1"/>
  <c r="L164" i="9"/>
  <c r="AI118" i="8"/>
  <c r="AI669" i="8"/>
  <c r="AI789" i="8"/>
  <c r="E964" i="8"/>
  <c r="F670" i="8"/>
  <c r="E670" i="8"/>
  <c r="F119" i="8"/>
  <c r="F790" i="8"/>
  <c r="F964" i="8"/>
  <c r="E119" i="8"/>
  <c r="E790" i="8"/>
  <c r="AI963" i="8"/>
  <c r="A164" i="9"/>
  <c r="I165" i="9"/>
  <c r="Z120" i="8"/>
  <c r="Z671" i="8"/>
  <c r="M671" i="8"/>
  <c r="M965" i="8"/>
  <c r="M791" i="8"/>
  <c r="M120" i="8"/>
  <c r="AH791" i="8"/>
  <c r="AH120" i="8"/>
  <c r="AH671" i="8"/>
  <c r="AH965" i="8"/>
  <c r="L670" i="8"/>
  <c r="B119" i="8"/>
  <c r="B964" i="8"/>
  <c r="B670" i="8"/>
  <c r="B790" i="8"/>
  <c r="L119" i="8"/>
  <c r="K120" i="8"/>
  <c r="A119" i="8"/>
  <c r="I121" i="8"/>
  <c r="AF120" i="8"/>
  <c r="AA120" i="8" s="1"/>
  <c r="G120" i="8"/>
  <c r="AG120" i="8"/>
  <c r="AF671" i="8"/>
  <c r="AA671" i="8" s="1"/>
  <c r="G671" i="8"/>
  <c r="AG671" i="8"/>
  <c r="I672" i="8"/>
  <c r="K671" i="8"/>
  <c r="A670" i="8"/>
  <c r="A964" i="8"/>
  <c r="L964" i="8"/>
  <c r="AG965" i="8"/>
  <c r="AF965" i="8"/>
  <c r="AA965" i="8" s="1"/>
  <c r="I966" i="8"/>
  <c r="G965" i="8"/>
  <c r="K965" i="8"/>
  <c r="A790" i="8"/>
  <c r="AG791" i="8"/>
  <c r="I792" i="8"/>
  <c r="AF791" i="8"/>
  <c r="AA791" i="8" s="1"/>
  <c r="G791" i="8"/>
  <c r="K791" i="8"/>
  <c r="L790" i="8"/>
  <c r="AD670" i="8" l="1"/>
  <c r="AD790" i="8"/>
  <c r="AD119" i="8"/>
  <c r="AD964" i="8"/>
  <c r="L165" i="9"/>
  <c r="G165" i="9"/>
  <c r="F165" i="9" s="1"/>
  <c r="E165" i="9"/>
  <c r="K165" i="9" s="1"/>
  <c r="AI119" i="8"/>
  <c r="AI964" i="8"/>
  <c r="F791" i="8"/>
  <c r="E120" i="8"/>
  <c r="F965" i="8"/>
  <c r="F671" i="8"/>
  <c r="E965" i="8"/>
  <c r="F120" i="8"/>
  <c r="AI670" i="8"/>
  <c r="E791" i="8"/>
  <c r="E671" i="8"/>
  <c r="AI790" i="8"/>
  <c r="A165" i="9"/>
  <c r="I166" i="9"/>
  <c r="Z672" i="8"/>
  <c r="Z121" i="8"/>
  <c r="M121" i="8"/>
  <c r="M792" i="8"/>
  <c r="M966" i="8"/>
  <c r="M672" i="8"/>
  <c r="AH672" i="8"/>
  <c r="AH792" i="8"/>
  <c r="AH121" i="8"/>
  <c r="AH966" i="8"/>
  <c r="L965" i="8"/>
  <c r="L120" i="8"/>
  <c r="B791" i="8"/>
  <c r="B120" i="8"/>
  <c r="B671" i="8"/>
  <c r="B965" i="8"/>
  <c r="AG121" i="8"/>
  <c r="K121" i="8"/>
  <c r="I122" i="8"/>
  <c r="AF121" i="8"/>
  <c r="AA121" i="8" s="1"/>
  <c r="G121" i="8"/>
  <c r="A120" i="8"/>
  <c r="A671" i="8"/>
  <c r="I673" i="8"/>
  <c r="G672" i="8"/>
  <c r="K672" i="8"/>
  <c r="AF672" i="8"/>
  <c r="AA672" i="8" s="1"/>
  <c r="AG672" i="8"/>
  <c r="L671" i="8"/>
  <c r="A965" i="8"/>
  <c r="AG966" i="8"/>
  <c r="K966" i="8"/>
  <c r="I967" i="8"/>
  <c r="AF966" i="8"/>
  <c r="AA966" i="8" s="1"/>
  <c r="G966" i="8"/>
  <c r="A791" i="8"/>
  <c r="AG792" i="8"/>
  <c r="I793" i="8"/>
  <c r="K792" i="8"/>
  <c r="G792" i="8"/>
  <c r="AF792" i="8"/>
  <c r="AA792" i="8" s="1"/>
  <c r="L791" i="8"/>
  <c r="AD120" i="8" l="1"/>
  <c r="AD965" i="8"/>
  <c r="AD791" i="8"/>
  <c r="AD671" i="8"/>
  <c r="G166" i="9"/>
  <c r="F166" i="9" s="1"/>
  <c r="E166" i="9"/>
  <c r="K166" i="9" s="1"/>
  <c r="AI120" i="8"/>
  <c r="AI791" i="8"/>
  <c r="AI965" i="8"/>
  <c r="AI671" i="8"/>
  <c r="F672" i="8"/>
  <c r="F121" i="8"/>
  <c r="E792" i="8"/>
  <c r="F966" i="8"/>
  <c r="E966" i="8"/>
  <c r="E121" i="8"/>
  <c r="E672" i="8"/>
  <c r="F792" i="8"/>
  <c r="A166" i="9"/>
  <c r="I167" i="9"/>
  <c r="Z673" i="8"/>
  <c r="M793" i="8"/>
  <c r="M673" i="8"/>
  <c r="M967" i="8"/>
  <c r="M122" i="8"/>
  <c r="AH793" i="8"/>
  <c r="AH122" i="8"/>
  <c r="AH673" i="8"/>
  <c r="AH967" i="8"/>
  <c r="L121" i="8"/>
  <c r="L672" i="8"/>
  <c r="B121" i="8"/>
  <c r="B966" i="8"/>
  <c r="B672" i="8"/>
  <c r="B792" i="8"/>
  <c r="K122" i="8"/>
  <c r="AG122" i="8"/>
  <c r="G122" i="8"/>
  <c r="I123" i="8"/>
  <c r="AF122" i="8"/>
  <c r="AA122" i="8" s="1"/>
  <c r="A121" i="8"/>
  <c r="A672" i="8"/>
  <c r="AF673" i="8"/>
  <c r="AA673" i="8" s="1"/>
  <c r="K673" i="8"/>
  <c r="G673" i="8"/>
  <c r="I674" i="8"/>
  <c r="AG673" i="8"/>
  <c r="AG967" i="8"/>
  <c r="G967" i="8"/>
  <c r="I968" i="8"/>
  <c r="K967" i="8"/>
  <c r="AF967" i="8"/>
  <c r="AA967" i="8" s="1"/>
  <c r="L966" i="8"/>
  <c r="A966" i="8"/>
  <c r="AG793" i="8"/>
  <c r="G793" i="8"/>
  <c r="K793" i="8"/>
  <c r="I794" i="8"/>
  <c r="AF793" i="8"/>
  <c r="AA793" i="8" s="1"/>
  <c r="L792" i="8"/>
  <c r="A792" i="8"/>
  <c r="AD121" i="8" l="1"/>
  <c r="AD672" i="8"/>
  <c r="AD966" i="8"/>
  <c r="AD792" i="8"/>
  <c r="G167" i="9"/>
  <c r="F167" i="9" s="1"/>
  <c r="E167" i="9"/>
  <c r="K167" i="9" s="1"/>
  <c r="AI792" i="8"/>
  <c r="AI121" i="8"/>
  <c r="AI672" i="8"/>
  <c r="F967" i="8"/>
  <c r="E122" i="8"/>
  <c r="E673" i="8"/>
  <c r="AI966" i="8"/>
  <c r="F673" i="8"/>
  <c r="F122" i="8"/>
  <c r="F793" i="8"/>
  <c r="E967" i="8"/>
  <c r="E793" i="8"/>
  <c r="A167" i="9"/>
  <c r="I168" i="9"/>
  <c r="Z674" i="8"/>
  <c r="M794" i="8"/>
  <c r="M968" i="8"/>
  <c r="M674" i="8"/>
  <c r="M123" i="8"/>
  <c r="AH794" i="8"/>
  <c r="AH968" i="8"/>
  <c r="AH123" i="8"/>
  <c r="AH674" i="8"/>
  <c r="L967" i="8"/>
  <c r="L122" i="8"/>
  <c r="B673" i="8"/>
  <c r="B793" i="8"/>
  <c r="B122" i="8"/>
  <c r="B967" i="8"/>
  <c r="G123" i="8"/>
  <c r="A122" i="8"/>
  <c r="K123" i="8"/>
  <c r="I124" i="8"/>
  <c r="AG123" i="8"/>
  <c r="AF123" i="8"/>
  <c r="AA123" i="8" s="1"/>
  <c r="A673" i="8"/>
  <c r="L673" i="8"/>
  <c r="G674" i="8"/>
  <c r="K674" i="8"/>
  <c r="I675" i="8"/>
  <c r="AF674" i="8"/>
  <c r="AA674" i="8" s="1"/>
  <c r="AG674" i="8"/>
  <c r="A967" i="8"/>
  <c r="AG968" i="8"/>
  <c r="K968" i="8"/>
  <c r="I969" i="8"/>
  <c r="G968" i="8"/>
  <c r="AF968" i="8"/>
  <c r="AA968" i="8" s="1"/>
  <c r="A793" i="8"/>
  <c r="AG794" i="8"/>
  <c r="AF794" i="8"/>
  <c r="AA794" i="8" s="1"/>
  <c r="I795" i="8"/>
  <c r="G794" i="8"/>
  <c r="K794" i="8"/>
  <c r="L793" i="8"/>
  <c r="AD673" i="8" l="1"/>
  <c r="AD122" i="8"/>
  <c r="AD967" i="8"/>
  <c r="AD793" i="8"/>
  <c r="G168" i="9"/>
  <c r="F168" i="9" s="1"/>
  <c r="E168" i="9"/>
  <c r="K168" i="9" s="1"/>
  <c r="AI673" i="8"/>
  <c r="AI122" i="8"/>
  <c r="AI967" i="8"/>
  <c r="F794" i="8"/>
  <c r="E674" i="8"/>
  <c r="E123" i="8"/>
  <c r="F123" i="8"/>
  <c r="F674" i="8"/>
  <c r="E968" i="8"/>
  <c r="E794" i="8"/>
  <c r="F968" i="8"/>
  <c r="AI793" i="8"/>
  <c r="A168" i="9"/>
  <c r="I169" i="9"/>
  <c r="Z675" i="8"/>
  <c r="M969" i="8"/>
  <c r="M795" i="8"/>
  <c r="M675" i="8"/>
  <c r="M124" i="8"/>
  <c r="AH675" i="8"/>
  <c r="AH795" i="8"/>
  <c r="AH124" i="8"/>
  <c r="AH969" i="8"/>
  <c r="L123" i="8"/>
  <c r="B794" i="8"/>
  <c r="B674" i="8"/>
  <c r="B123" i="8"/>
  <c r="B968" i="8"/>
  <c r="A123" i="8"/>
  <c r="K124" i="8"/>
  <c r="AF124" i="8"/>
  <c r="AA124" i="8" s="1"/>
  <c r="I125" i="8"/>
  <c r="G124" i="8"/>
  <c r="AG124" i="8"/>
  <c r="A674" i="8"/>
  <c r="I676" i="8"/>
  <c r="AF675" i="8"/>
  <c r="AA675" i="8" s="1"/>
  <c r="AG675" i="8"/>
  <c r="G675" i="8"/>
  <c r="K675" i="8"/>
  <c r="L674" i="8"/>
  <c r="A794" i="8"/>
  <c r="A968" i="8"/>
  <c r="AG969" i="8"/>
  <c r="AF969" i="8"/>
  <c r="AA969" i="8" s="1"/>
  <c r="K969" i="8"/>
  <c r="G969" i="8"/>
  <c r="I970" i="8"/>
  <c r="L968" i="8"/>
  <c r="AG795" i="8"/>
  <c r="K795" i="8"/>
  <c r="AF795" i="8"/>
  <c r="AA795" i="8" s="1"/>
  <c r="I796" i="8"/>
  <c r="G795" i="8"/>
  <c r="L794" i="8"/>
  <c r="AD968" i="8" l="1"/>
  <c r="AD674" i="8"/>
  <c r="AD123" i="8"/>
  <c r="AD794" i="8"/>
  <c r="AI123" i="8"/>
  <c r="G169" i="9"/>
  <c r="F169" i="9" s="1"/>
  <c r="E169" i="9"/>
  <c r="K169" i="9" s="1"/>
  <c r="AI968" i="8"/>
  <c r="F795" i="8"/>
  <c r="E124" i="8"/>
  <c r="E795" i="8"/>
  <c r="F675" i="8"/>
  <c r="E969" i="8"/>
  <c r="E675" i="8"/>
  <c r="F969" i="8"/>
  <c r="F124" i="8"/>
  <c r="AI794" i="8"/>
  <c r="AI674" i="8"/>
  <c r="A169" i="9"/>
  <c r="I170" i="9"/>
  <c r="Z676" i="8"/>
  <c r="M676" i="8"/>
  <c r="M125" i="8"/>
  <c r="M796" i="8"/>
  <c r="M970" i="8"/>
  <c r="AH970" i="8"/>
  <c r="AH676" i="8"/>
  <c r="AH796" i="8"/>
  <c r="AH125" i="8"/>
  <c r="L969" i="8"/>
  <c r="L795" i="8"/>
  <c r="L124" i="8"/>
  <c r="B124" i="8"/>
  <c r="B675" i="8"/>
  <c r="B795" i="8"/>
  <c r="B969" i="8"/>
  <c r="A124" i="8"/>
  <c r="K125" i="8"/>
  <c r="AF125" i="8"/>
  <c r="AA125" i="8" s="1"/>
  <c r="I126" i="8"/>
  <c r="AG125" i="8"/>
  <c r="G125" i="8"/>
  <c r="L675" i="8"/>
  <c r="A675" i="8"/>
  <c r="G676" i="8"/>
  <c r="K676" i="8"/>
  <c r="AF676" i="8"/>
  <c r="AA676" i="8" s="1"/>
  <c r="AG676" i="8"/>
  <c r="I677" i="8"/>
  <c r="AG970" i="8"/>
  <c r="AF970" i="8"/>
  <c r="AA970" i="8" s="1"/>
  <c r="I971" i="8"/>
  <c r="K970" i="8"/>
  <c r="G970" i="8"/>
  <c r="A969" i="8"/>
  <c r="AG796" i="8"/>
  <c r="G796" i="8"/>
  <c r="I797" i="8"/>
  <c r="K796" i="8"/>
  <c r="AF796" i="8"/>
  <c r="AA796" i="8" s="1"/>
  <c r="A795" i="8"/>
  <c r="AD675" i="8" l="1"/>
  <c r="AD124" i="8"/>
  <c r="AD795" i="8"/>
  <c r="AD969" i="8"/>
  <c r="AI124" i="8"/>
  <c r="E170" i="9"/>
  <c r="K170" i="9" s="1"/>
  <c r="G170" i="9"/>
  <c r="F170" i="9" s="1"/>
  <c r="AI675" i="8"/>
  <c r="AI795" i="8"/>
  <c r="E125" i="8"/>
  <c r="E796" i="8"/>
  <c r="F796" i="8"/>
  <c r="E970" i="8"/>
  <c r="F125" i="8"/>
  <c r="E676" i="8"/>
  <c r="F676" i="8"/>
  <c r="F970" i="8"/>
  <c r="AI969" i="8"/>
  <c r="A170" i="9"/>
  <c r="I171" i="9"/>
  <c r="Z677" i="8"/>
  <c r="W971" i="8"/>
  <c r="Z971" i="8"/>
  <c r="X971" i="8"/>
  <c r="M797" i="8"/>
  <c r="M971" i="8"/>
  <c r="M677" i="8"/>
  <c r="M126" i="8"/>
  <c r="AH797" i="8"/>
  <c r="AH126" i="8"/>
  <c r="AH677" i="8"/>
  <c r="AH971" i="8"/>
  <c r="L125" i="8"/>
  <c r="L970" i="8"/>
  <c r="B676" i="8"/>
  <c r="B970" i="8"/>
  <c r="B796" i="8"/>
  <c r="B125" i="8"/>
  <c r="AG126" i="8"/>
  <c r="I127" i="8"/>
  <c r="A125" i="8"/>
  <c r="G126" i="8"/>
  <c r="K126" i="8"/>
  <c r="AF126" i="8"/>
  <c r="AA126" i="8" s="1"/>
  <c r="A676" i="8"/>
  <c r="K677" i="8"/>
  <c r="AF677" i="8"/>
  <c r="AA677" i="8" s="1"/>
  <c r="I678" i="8"/>
  <c r="G677" i="8"/>
  <c r="AG677" i="8"/>
  <c r="L676" i="8"/>
  <c r="A970" i="8"/>
  <c r="A796" i="8"/>
  <c r="AG971" i="8"/>
  <c r="G971" i="8"/>
  <c r="I972" i="8"/>
  <c r="AF971" i="8"/>
  <c r="AA971" i="8" s="1"/>
  <c r="K971" i="8"/>
  <c r="AG797" i="8"/>
  <c r="K797" i="8"/>
  <c r="G797" i="8"/>
  <c r="AF797" i="8"/>
  <c r="AA797" i="8" s="1"/>
  <c r="I798" i="8"/>
  <c r="L796" i="8"/>
  <c r="AD970" i="8" l="1"/>
  <c r="AD125" i="8"/>
  <c r="AD796" i="8"/>
  <c r="AD676" i="8"/>
  <c r="AI125" i="8"/>
  <c r="E171" i="9"/>
  <c r="G171" i="9"/>
  <c r="F171" i="9" s="1"/>
  <c r="AI676" i="8"/>
  <c r="F126" i="8"/>
  <c r="F971" i="8"/>
  <c r="E126" i="8"/>
  <c r="F797" i="8"/>
  <c r="E677" i="8"/>
  <c r="AI970" i="8"/>
  <c r="F677" i="8"/>
  <c r="E797" i="8"/>
  <c r="AI796" i="8"/>
  <c r="A171" i="9"/>
  <c r="I172" i="9"/>
  <c r="Z972" i="8"/>
  <c r="Z678" i="8"/>
  <c r="M127" i="8"/>
  <c r="M798" i="8"/>
  <c r="M972" i="8"/>
  <c r="M678" i="8"/>
  <c r="AH127" i="8"/>
  <c r="AH972" i="8"/>
  <c r="AH678" i="8"/>
  <c r="AH798" i="8"/>
  <c r="L126" i="8"/>
  <c r="L971" i="8"/>
  <c r="B126" i="8"/>
  <c r="B797" i="8"/>
  <c r="B677" i="8"/>
  <c r="B971" i="8"/>
  <c r="K127" i="8"/>
  <c r="AG127" i="8"/>
  <c r="I128" i="8"/>
  <c r="AF127" i="8"/>
  <c r="AA127" i="8" s="1"/>
  <c r="G127" i="8"/>
  <c r="A126" i="8"/>
  <c r="L677" i="8"/>
  <c r="G678" i="8"/>
  <c r="I679" i="8"/>
  <c r="AF678" i="8"/>
  <c r="AA678" i="8" s="1"/>
  <c r="K678" i="8"/>
  <c r="AG678" i="8"/>
  <c r="A677" i="8"/>
  <c r="A971" i="8"/>
  <c r="AG972" i="8"/>
  <c r="G972" i="8"/>
  <c r="K972" i="8"/>
  <c r="AF972" i="8"/>
  <c r="AA972" i="8" s="1"/>
  <c r="I973" i="8"/>
  <c r="A797" i="8"/>
  <c r="AG798" i="8"/>
  <c r="G798" i="8"/>
  <c r="K798" i="8"/>
  <c r="I799" i="8"/>
  <c r="AF798" i="8"/>
  <c r="AA798" i="8" s="1"/>
  <c r="L797" i="8"/>
  <c r="AD797" i="8" l="1"/>
  <c r="AD971" i="8"/>
  <c r="AD126" i="8"/>
  <c r="AD677" i="8"/>
  <c r="E172" i="9"/>
  <c r="G172" i="9"/>
  <c r="F172" i="9" s="1"/>
  <c r="AI126" i="8"/>
  <c r="AI797" i="8"/>
  <c r="E678" i="8"/>
  <c r="AI677" i="8"/>
  <c r="F972" i="8"/>
  <c r="F798" i="8"/>
  <c r="E798" i="8"/>
  <c r="F127" i="8"/>
  <c r="E127" i="8"/>
  <c r="F678" i="8"/>
  <c r="A172" i="9"/>
  <c r="I173" i="9"/>
  <c r="Z973" i="8"/>
  <c r="Z679" i="8"/>
  <c r="M128" i="8"/>
  <c r="M679" i="8"/>
  <c r="M973" i="8"/>
  <c r="M799" i="8"/>
  <c r="AH679" i="8"/>
  <c r="AH973" i="8"/>
  <c r="AH799" i="8"/>
  <c r="AH128" i="8"/>
  <c r="L127" i="8"/>
  <c r="L798" i="8"/>
  <c r="B678" i="8"/>
  <c r="B798" i="8"/>
  <c r="B972" i="8"/>
  <c r="B127" i="8"/>
  <c r="K128" i="8"/>
  <c r="I129" i="8"/>
  <c r="AF128" i="8"/>
  <c r="AA128" i="8" s="1"/>
  <c r="A127" i="8"/>
  <c r="AG128" i="8"/>
  <c r="G128" i="8"/>
  <c r="A678" i="8"/>
  <c r="K679" i="8"/>
  <c r="AF679" i="8"/>
  <c r="AA679" i="8" s="1"/>
  <c r="AG679" i="8"/>
  <c r="G679" i="8"/>
  <c r="I680" i="8"/>
  <c r="L678" i="8"/>
  <c r="A972" i="8"/>
  <c r="AG973" i="8"/>
  <c r="AF973" i="8"/>
  <c r="AA973" i="8" s="1"/>
  <c r="G973" i="8"/>
  <c r="K973" i="8"/>
  <c r="I974" i="8"/>
  <c r="A798" i="8"/>
  <c r="L972" i="8"/>
  <c r="AG799" i="8"/>
  <c r="K799" i="8"/>
  <c r="G799" i="8"/>
  <c r="AF799" i="8"/>
  <c r="AA799" i="8" s="1"/>
  <c r="I800" i="8"/>
  <c r="AD678" i="8" l="1"/>
  <c r="AD798" i="8"/>
  <c r="AD972" i="8"/>
  <c r="AD127" i="8"/>
  <c r="AI798" i="8"/>
  <c r="G173" i="9"/>
  <c r="F173" i="9" s="1"/>
  <c r="E173" i="9"/>
  <c r="AI127" i="8"/>
  <c r="E679" i="8"/>
  <c r="E973" i="8"/>
  <c r="F128" i="8"/>
  <c r="E799" i="8"/>
  <c r="F679" i="8"/>
  <c r="F799" i="8"/>
  <c r="E128" i="8"/>
  <c r="F973" i="8"/>
  <c r="AI678" i="8"/>
  <c r="A173" i="9"/>
  <c r="I174" i="9"/>
  <c r="Z974" i="8"/>
  <c r="Z680" i="8"/>
  <c r="M129" i="8"/>
  <c r="M800" i="8"/>
  <c r="M974" i="8"/>
  <c r="M680" i="8"/>
  <c r="AH129" i="8"/>
  <c r="AH800" i="8"/>
  <c r="AH974" i="8"/>
  <c r="AH680" i="8"/>
  <c r="L679" i="8"/>
  <c r="B679" i="8"/>
  <c r="B799" i="8"/>
  <c r="B973" i="8"/>
  <c r="B128" i="8"/>
  <c r="K129" i="8"/>
  <c r="L128" i="8"/>
  <c r="A128" i="8"/>
  <c r="AG129" i="8"/>
  <c r="AF129" i="8"/>
  <c r="AA129" i="8" s="1"/>
  <c r="I130" i="8"/>
  <c r="G129" i="8"/>
  <c r="K680" i="8"/>
  <c r="AG680" i="8"/>
  <c r="G680" i="8"/>
  <c r="I681" i="8"/>
  <c r="AF680" i="8"/>
  <c r="AA680" i="8" s="1"/>
  <c r="A679" i="8"/>
  <c r="A973" i="8"/>
  <c r="AG974" i="8"/>
  <c r="I975" i="8"/>
  <c r="G974" i="8"/>
  <c r="AF974" i="8"/>
  <c r="AA974" i="8" s="1"/>
  <c r="K974" i="8"/>
  <c r="A799" i="8"/>
  <c r="L973" i="8"/>
  <c r="AG800" i="8"/>
  <c r="K800" i="8"/>
  <c r="AF800" i="8"/>
  <c r="AA800" i="8" s="1"/>
  <c r="G800" i="8"/>
  <c r="I801" i="8"/>
  <c r="L799" i="8"/>
  <c r="AD128" i="8" l="1"/>
  <c r="AD973" i="8"/>
  <c r="AD679" i="8"/>
  <c r="AD799" i="8"/>
  <c r="E174" i="9"/>
  <c r="G174" i="9"/>
  <c r="F174" i="9" s="1"/>
  <c r="AI799" i="8"/>
  <c r="AI679" i="8"/>
  <c r="AI128" i="8"/>
  <c r="AI973" i="8"/>
  <c r="F800" i="8"/>
  <c r="E129" i="8"/>
  <c r="F974" i="8"/>
  <c r="E800" i="8"/>
  <c r="E974" i="8"/>
  <c r="F129" i="8"/>
  <c r="F680" i="8"/>
  <c r="E680" i="8"/>
  <c r="A174" i="9"/>
  <c r="I175" i="9"/>
  <c r="Z681" i="8"/>
  <c r="Z975" i="8"/>
  <c r="M975" i="8"/>
  <c r="M130" i="8"/>
  <c r="M801" i="8"/>
  <c r="M681" i="8"/>
  <c r="AH130" i="8"/>
  <c r="AH681" i="8"/>
  <c r="AH975" i="8"/>
  <c r="AH801" i="8"/>
  <c r="L974" i="8"/>
  <c r="B680" i="8"/>
  <c r="B974" i="8"/>
  <c r="B129" i="8"/>
  <c r="B800" i="8"/>
  <c r="AG130" i="8"/>
  <c r="AF130" i="8"/>
  <c r="AA130" i="8" s="1"/>
  <c r="I131" i="8"/>
  <c r="L129" i="8"/>
  <c r="K130" i="8"/>
  <c r="G130" i="8"/>
  <c r="A129" i="8"/>
  <c r="I682" i="8"/>
  <c r="G681" i="8"/>
  <c r="AF681" i="8"/>
  <c r="AA681" i="8" s="1"/>
  <c r="K681" i="8"/>
  <c r="AG681" i="8"/>
  <c r="L680" i="8"/>
  <c r="A680" i="8"/>
  <c r="A974" i="8"/>
  <c r="A800" i="8"/>
  <c r="AG975" i="8"/>
  <c r="K975" i="8"/>
  <c r="I976" i="8"/>
  <c r="AF975" i="8"/>
  <c r="AA975" i="8" s="1"/>
  <c r="G975" i="8"/>
  <c r="AG801" i="8"/>
  <c r="I802" i="8"/>
  <c r="G801" i="8"/>
  <c r="K801" i="8"/>
  <c r="AF801" i="8"/>
  <c r="AA801" i="8" s="1"/>
  <c r="L800" i="8"/>
  <c r="AD680" i="8" l="1"/>
  <c r="AD129" i="8"/>
  <c r="AD800" i="8"/>
  <c r="AD974" i="8"/>
  <c r="G175" i="9"/>
  <c r="F175" i="9" s="1"/>
  <c r="E175" i="9"/>
  <c r="AI129" i="8"/>
  <c r="AI680" i="8"/>
  <c r="F801" i="8"/>
  <c r="E681" i="8"/>
  <c r="E801" i="8"/>
  <c r="E130" i="8"/>
  <c r="E975" i="8"/>
  <c r="F130" i="8"/>
  <c r="AI800" i="8"/>
  <c r="F681" i="8"/>
  <c r="F975" i="8"/>
  <c r="AI974" i="8"/>
  <c r="A175" i="9"/>
  <c r="I176" i="9"/>
  <c r="Z976" i="8"/>
  <c r="Z682" i="8"/>
  <c r="M682" i="8"/>
  <c r="M976" i="8"/>
  <c r="M802" i="8"/>
  <c r="M131" i="8"/>
  <c r="AH802" i="8"/>
  <c r="AH682" i="8"/>
  <c r="AH131" i="8"/>
  <c r="AH976" i="8"/>
  <c r="L130" i="8"/>
  <c r="B130" i="8"/>
  <c r="B681" i="8"/>
  <c r="B975" i="8"/>
  <c r="B801" i="8"/>
  <c r="G131" i="8"/>
  <c r="K131" i="8"/>
  <c r="I132" i="8"/>
  <c r="A130" i="8"/>
  <c r="AF131" i="8"/>
  <c r="AA131" i="8" s="1"/>
  <c r="AG131" i="8"/>
  <c r="A681" i="8"/>
  <c r="L681" i="8"/>
  <c r="I683" i="8"/>
  <c r="AG682" i="8"/>
  <c r="G682" i="8"/>
  <c r="K682" i="8"/>
  <c r="AF682" i="8"/>
  <c r="AA682" i="8" s="1"/>
  <c r="I803" i="8"/>
  <c r="AG976" i="8"/>
  <c r="I977" i="8"/>
  <c r="AF976" i="8"/>
  <c r="AA976" i="8" s="1"/>
  <c r="G976" i="8"/>
  <c r="K976" i="8"/>
  <c r="L975" i="8"/>
  <c r="A975" i="8"/>
  <c r="A801" i="8"/>
  <c r="AG802" i="8"/>
  <c r="K802" i="8"/>
  <c r="G802" i="8"/>
  <c r="AF802" i="8"/>
  <c r="AA802" i="8" s="1"/>
  <c r="L801" i="8"/>
  <c r="AD681" i="8" l="1"/>
  <c r="AD975" i="8"/>
  <c r="AD130" i="8"/>
  <c r="AD801" i="8"/>
  <c r="G176" i="9"/>
  <c r="F176" i="9" s="1"/>
  <c r="E176" i="9"/>
  <c r="AI975" i="8"/>
  <c r="AI681" i="8"/>
  <c r="AI130" i="8"/>
  <c r="AI801" i="8"/>
  <c r="F802" i="8"/>
  <c r="F682" i="8"/>
  <c r="E682" i="8"/>
  <c r="E976" i="8"/>
  <c r="F131" i="8"/>
  <c r="F976" i="8"/>
  <c r="E802" i="8"/>
  <c r="E131" i="8"/>
  <c r="A176" i="9"/>
  <c r="I177" i="9"/>
  <c r="Z977" i="8"/>
  <c r="M132" i="8"/>
  <c r="M977" i="8"/>
  <c r="M683" i="8"/>
  <c r="M803" i="8"/>
  <c r="AH977" i="8"/>
  <c r="AH132" i="8"/>
  <c r="AH683" i="8"/>
  <c r="AH803" i="8"/>
  <c r="L802" i="8"/>
  <c r="L976" i="8"/>
  <c r="B131" i="8"/>
  <c r="B682" i="8"/>
  <c r="B802" i="8"/>
  <c r="B976" i="8"/>
  <c r="L131" i="8"/>
  <c r="A131" i="8"/>
  <c r="I133" i="8"/>
  <c r="AG132" i="8"/>
  <c r="AF132" i="8"/>
  <c r="AA132" i="8" s="1"/>
  <c r="G132" i="8"/>
  <c r="K132" i="8"/>
  <c r="A682" i="8"/>
  <c r="L682" i="8"/>
  <c r="G683" i="8"/>
  <c r="I684" i="8"/>
  <c r="K683" i="8"/>
  <c r="AF683" i="8"/>
  <c r="AA683" i="8" s="1"/>
  <c r="AG683" i="8"/>
  <c r="G803" i="8"/>
  <c r="AG803" i="8"/>
  <c r="AF803" i="8"/>
  <c r="AA803" i="8" s="1"/>
  <c r="K803" i="8"/>
  <c r="I804" i="8"/>
  <c r="A976" i="8"/>
  <c r="A802" i="8"/>
  <c r="AG977" i="8"/>
  <c r="AF977" i="8"/>
  <c r="AA977" i="8" s="1"/>
  <c r="I978" i="8"/>
  <c r="G977" i="8"/>
  <c r="K977" i="8"/>
  <c r="AD682" i="8" l="1"/>
  <c r="AD131" i="8"/>
  <c r="AD802" i="8"/>
  <c r="AD976" i="8"/>
  <c r="AI682" i="8"/>
  <c r="G177" i="9"/>
  <c r="F177" i="9" s="1"/>
  <c r="E177" i="9"/>
  <c r="AI802" i="8"/>
  <c r="AI131" i="8"/>
  <c r="E977" i="8"/>
  <c r="E803" i="8"/>
  <c r="F132" i="8"/>
  <c r="E132" i="8"/>
  <c r="F977" i="8"/>
  <c r="F803" i="8"/>
  <c r="E683" i="8"/>
  <c r="F683" i="8"/>
  <c r="AI976" i="8"/>
  <c r="A177" i="9"/>
  <c r="I178" i="9"/>
  <c r="Z978" i="8"/>
  <c r="M684" i="8"/>
  <c r="M133" i="8"/>
  <c r="M804" i="8"/>
  <c r="M978" i="8"/>
  <c r="AH684" i="8"/>
  <c r="AH133" i="8"/>
  <c r="AH804" i="8"/>
  <c r="AH978" i="8"/>
  <c r="L803" i="8"/>
  <c r="L132" i="8"/>
  <c r="L977" i="8"/>
  <c r="B977" i="8"/>
  <c r="B803" i="8"/>
  <c r="B683" i="8"/>
  <c r="B132" i="8"/>
  <c r="K133" i="8"/>
  <c r="AF133" i="8"/>
  <c r="AA133" i="8" s="1"/>
  <c r="I134" i="8"/>
  <c r="AG133" i="8"/>
  <c r="G133" i="8"/>
  <c r="A132" i="8"/>
  <c r="I979" i="8"/>
  <c r="AG804" i="8"/>
  <c r="A683" i="8"/>
  <c r="AF684" i="8"/>
  <c r="AA684" i="8" s="1"/>
  <c r="G684" i="8"/>
  <c r="K684" i="8"/>
  <c r="AG684" i="8"/>
  <c r="I685" i="8"/>
  <c r="L683" i="8"/>
  <c r="A803" i="8"/>
  <c r="AF804" i="8"/>
  <c r="AA804" i="8" s="1"/>
  <c r="G804" i="8"/>
  <c r="I805" i="8"/>
  <c r="K804" i="8"/>
  <c r="AG978" i="8"/>
  <c r="AF978" i="8"/>
  <c r="AA978" i="8" s="1"/>
  <c r="G978" i="8"/>
  <c r="K978" i="8"/>
  <c r="A977" i="8"/>
  <c r="AD683" i="8" l="1"/>
  <c r="AD977" i="8"/>
  <c r="AD132" i="8"/>
  <c r="AD803" i="8"/>
  <c r="AI803" i="8"/>
  <c r="AI977" i="8"/>
  <c r="E178" i="9"/>
  <c r="G178" i="9"/>
  <c r="F178" i="9" s="1"/>
  <c r="AI132" i="8"/>
  <c r="E978" i="8"/>
  <c r="AI683" i="8"/>
  <c r="E133" i="8"/>
  <c r="F804" i="8"/>
  <c r="F684" i="8"/>
  <c r="E684" i="8"/>
  <c r="E804" i="8"/>
  <c r="F133" i="8"/>
  <c r="F978" i="8"/>
  <c r="A178" i="9"/>
  <c r="I179" i="9"/>
  <c r="Z979" i="8"/>
  <c r="M979" i="8"/>
  <c r="M134" i="8"/>
  <c r="M685" i="8"/>
  <c r="M805" i="8"/>
  <c r="AH134" i="8"/>
  <c r="AH805" i="8"/>
  <c r="AH685" i="8"/>
  <c r="AH979" i="8"/>
  <c r="L684" i="8"/>
  <c r="L133" i="8"/>
  <c r="B978" i="8"/>
  <c r="B804" i="8"/>
  <c r="B684" i="8"/>
  <c r="B133" i="8"/>
  <c r="A133" i="8"/>
  <c r="K134" i="8"/>
  <c r="AG134" i="8"/>
  <c r="G134" i="8"/>
  <c r="I135" i="8"/>
  <c r="AF134" i="8"/>
  <c r="AA134" i="8" s="1"/>
  <c r="L804" i="8"/>
  <c r="AG979" i="8"/>
  <c r="AF979" i="8"/>
  <c r="AA979" i="8" s="1"/>
  <c r="I980" i="8"/>
  <c r="G979" i="8"/>
  <c r="K979" i="8"/>
  <c r="A684" i="8"/>
  <c r="AG685" i="8"/>
  <c r="I686" i="8"/>
  <c r="G685" i="8"/>
  <c r="AF685" i="8"/>
  <c r="AA685" i="8" s="1"/>
  <c r="K685" i="8"/>
  <c r="I806" i="8"/>
  <c r="AG805" i="8"/>
  <c r="G805" i="8"/>
  <c r="AF805" i="8"/>
  <c r="AA805" i="8" s="1"/>
  <c r="A804" i="8"/>
  <c r="K805" i="8"/>
  <c r="L978" i="8"/>
  <c r="A978" i="8"/>
  <c r="AD978" i="8" l="1"/>
  <c r="AD804" i="8"/>
  <c r="AD133" i="8"/>
  <c r="AD684" i="8"/>
  <c r="E179" i="9"/>
  <c r="G179" i="9"/>
  <c r="F179" i="9" s="1"/>
  <c r="AI804" i="8"/>
  <c r="AI978" i="8"/>
  <c r="AI684" i="8"/>
  <c r="F805" i="8"/>
  <c r="E685" i="8"/>
  <c r="F979" i="8"/>
  <c r="E134" i="8"/>
  <c r="E805" i="8"/>
  <c r="E979" i="8"/>
  <c r="AI133" i="8"/>
  <c r="F685" i="8"/>
  <c r="F134" i="8"/>
  <c r="A179" i="9"/>
  <c r="I180" i="9"/>
  <c r="Z980" i="8"/>
  <c r="M980" i="8"/>
  <c r="M686" i="8"/>
  <c r="M806" i="8"/>
  <c r="M135" i="8"/>
  <c r="AH980" i="8"/>
  <c r="AH686" i="8"/>
  <c r="AH135" i="8"/>
  <c r="AH806" i="8"/>
  <c r="L979" i="8"/>
  <c r="B134" i="8"/>
  <c r="B805" i="8"/>
  <c r="B979" i="8"/>
  <c r="B685" i="8"/>
  <c r="L134" i="8"/>
  <c r="I136" i="8"/>
  <c r="AG135" i="8"/>
  <c r="AF135" i="8"/>
  <c r="AA135" i="8" s="1"/>
  <c r="G135" i="8"/>
  <c r="K135" i="8"/>
  <c r="A134" i="8"/>
  <c r="L805" i="8"/>
  <c r="K980" i="8"/>
  <c r="G980" i="8"/>
  <c r="I981" i="8"/>
  <c r="A979" i="8"/>
  <c r="AF980" i="8"/>
  <c r="AA980" i="8" s="1"/>
  <c r="AG980" i="8"/>
  <c r="AG806" i="8"/>
  <c r="AF686" i="8"/>
  <c r="AA686" i="8" s="1"/>
  <c r="AG686" i="8"/>
  <c r="K686" i="8"/>
  <c r="I687" i="8"/>
  <c r="G686" i="8"/>
  <c r="L685" i="8"/>
  <c r="A685" i="8"/>
  <c r="K806" i="8"/>
  <c r="AF806" i="8"/>
  <c r="AA806" i="8" s="1"/>
  <c r="G806" i="8"/>
  <c r="I807" i="8"/>
  <c r="A805" i="8"/>
  <c r="AD805" i="8" l="1"/>
  <c r="AD134" i="8"/>
  <c r="AD685" i="8"/>
  <c r="AD979" i="8"/>
  <c r="E180" i="9"/>
  <c r="G180" i="9"/>
  <c r="F180" i="9" s="1"/>
  <c r="AI979" i="8"/>
  <c r="AI685" i="8"/>
  <c r="F806" i="8"/>
  <c r="F686" i="8"/>
  <c r="E980" i="8"/>
  <c r="E806" i="8"/>
  <c r="F980" i="8"/>
  <c r="F135" i="8"/>
  <c r="E135" i="8"/>
  <c r="AI805" i="8"/>
  <c r="E686" i="8"/>
  <c r="AI134" i="8"/>
  <c r="A180" i="9"/>
  <c r="I181" i="9"/>
  <c r="Z981" i="8"/>
  <c r="M136" i="8"/>
  <c r="M687" i="8"/>
  <c r="M807" i="8"/>
  <c r="M981" i="8"/>
  <c r="AH807" i="8"/>
  <c r="AH687" i="8"/>
  <c r="AH136" i="8"/>
  <c r="AH981" i="8"/>
  <c r="L686" i="8"/>
  <c r="B806" i="8"/>
  <c r="B980" i="8"/>
  <c r="AF136" i="8"/>
  <c r="AA136" i="8" s="1"/>
  <c r="B686" i="8"/>
  <c r="B135" i="8"/>
  <c r="AG136" i="8"/>
  <c r="L135" i="8"/>
  <c r="G136" i="8"/>
  <c r="I137" i="8"/>
  <c r="K136" i="8"/>
  <c r="A135" i="8"/>
  <c r="L980" i="8"/>
  <c r="L806" i="8"/>
  <c r="I982" i="8"/>
  <c r="AF981" i="8"/>
  <c r="AA981" i="8" s="1"/>
  <c r="K981" i="8"/>
  <c r="G981" i="8"/>
  <c r="AG981" i="8"/>
  <c r="A980" i="8"/>
  <c r="I688" i="8"/>
  <c r="K687" i="8"/>
  <c r="AG687" i="8"/>
  <c r="AF687" i="8"/>
  <c r="AA687" i="8" s="1"/>
  <c r="G687" i="8"/>
  <c r="A686" i="8"/>
  <c r="A806" i="8"/>
  <c r="I808" i="8"/>
  <c r="AG807" i="8"/>
  <c r="K807" i="8"/>
  <c r="G807" i="8"/>
  <c r="AF807" i="8"/>
  <c r="AA807" i="8" s="1"/>
  <c r="AD806" i="8" l="1"/>
  <c r="AD980" i="8"/>
  <c r="AD686" i="8"/>
  <c r="AD135" i="8"/>
  <c r="G181" i="9"/>
  <c r="F181" i="9" s="1"/>
  <c r="E181" i="9"/>
  <c r="AI980" i="8"/>
  <c r="AI135" i="8"/>
  <c r="AI806" i="8"/>
  <c r="AI686" i="8"/>
  <c r="F136" i="8"/>
  <c r="E981" i="8"/>
  <c r="E687" i="8"/>
  <c r="F981" i="8"/>
  <c r="E136" i="8"/>
  <c r="F807" i="8"/>
  <c r="F687" i="8"/>
  <c r="E807" i="8"/>
  <c r="A181" i="9"/>
  <c r="I182" i="9"/>
  <c r="Z982" i="8"/>
  <c r="M137" i="8"/>
  <c r="M982" i="8"/>
  <c r="M808" i="8"/>
  <c r="M688" i="8"/>
  <c r="AH137" i="8"/>
  <c r="AH808" i="8"/>
  <c r="AH982" i="8"/>
  <c r="AH688" i="8"/>
  <c r="L136" i="8"/>
  <c r="B136" i="8"/>
  <c r="B807" i="8"/>
  <c r="B981" i="8"/>
  <c r="B687" i="8"/>
  <c r="K137" i="8"/>
  <c r="I138" i="8"/>
  <c r="AF137" i="8"/>
  <c r="AA137" i="8" s="1"/>
  <c r="G137" i="8"/>
  <c r="AG137" i="8"/>
  <c r="A136" i="8"/>
  <c r="L981" i="8"/>
  <c r="I983" i="8"/>
  <c r="AF982" i="8"/>
  <c r="AA982" i="8" s="1"/>
  <c r="L807" i="8"/>
  <c r="AG982" i="8"/>
  <c r="K982" i="8"/>
  <c r="G982" i="8"/>
  <c r="A981" i="8"/>
  <c r="L687" i="8"/>
  <c r="A687" i="8"/>
  <c r="G688" i="8"/>
  <c r="K688" i="8"/>
  <c r="AF688" i="8"/>
  <c r="AA688" i="8" s="1"/>
  <c r="AG688" i="8"/>
  <c r="I689" i="8"/>
  <c r="K808" i="8"/>
  <c r="AF808" i="8"/>
  <c r="AA808" i="8" s="1"/>
  <c r="A807" i="8"/>
  <c r="I809" i="8"/>
  <c r="G808" i="8"/>
  <c r="AG808" i="8"/>
  <c r="AD687" i="8" l="1"/>
  <c r="AD807" i="8"/>
  <c r="AD981" i="8"/>
  <c r="AD136" i="8"/>
  <c r="AI687" i="8"/>
  <c r="E182" i="9"/>
  <c r="G182" i="9"/>
  <c r="F182" i="9" s="1"/>
  <c r="AI981" i="8"/>
  <c r="AI136" i="8"/>
  <c r="E688" i="8"/>
  <c r="F137" i="8"/>
  <c r="AI807" i="8"/>
  <c r="E808" i="8"/>
  <c r="F688" i="8"/>
  <c r="F808" i="8"/>
  <c r="E982" i="8"/>
  <c r="F982" i="8"/>
  <c r="E137" i="8"/>
  <c r="A182" i="9"/>
  <c r="I183" i="9"/>
  <c r="Z983" i="8"/>
  <c r="M138" i="8"/>
  <c r="M809" i="8"/>
  <c r="M689" i="8"/>
  <c r="M983" i="8"/>
  <c r="AH689" i="8"/>
  <c r="AH983" i="8"/>
  <c r="AH138" i="8"/>
  <c r="AH809" i="8"/>
  <c r="L808" i="8"/>
  <c r="B688" i="8"/>
  <c r="B982" i="8"/>
  <c r="B808" i="8"/>
  <c r="B137" i="8"/>
  <c r="L137" i="8"/>
  <c r="AG138" i="8"/>
  <c r="G138" i="8"/>
  <c r="I139" i="8"/>
  <c r="AF138" i="8"/>
  <c r="AA138" i="8" s="1"/>
  <c r="K138" i="8"/>
  <c r="A137" i="8"/>
  <c r="AG983" i="8"/>
  <c r="AF983" i="8"/>
  <c r="AA983" i="8" s="1"/>
  <c r="I984" i="8"/>
  <c r="K983" i="8"/>
  <c r="G983" i="8"/>
  <c r="L982" i="8"/>
  <c r="A982" i="8"/>
  <c r="I810" i="8"/>
  <c r="A688" i="8"/>
  <c r="I690" i="8"/>
  <c r="K689" i="8"/>
  <c r="AF689" i="8"/>
  <c r="AA689" i="8" s="1"/>
  <c r="AG689" i="8"/>
  <c r="G689" i="8"/>
  <c r="L688" i="8"/>
  <c r="AF809" i="8"/>
  <c r="AA809" i="8" s="1"/>
  <c r="G809" i="8"/>
  <c r="AG809" i="8"/>
  <c r="K809" i="8"/>
  <c r="A808" i="8"/>
  <c r="AD137" i="8" l="1"/>
  <c r="AD688" i="8"/>
  <c r="AD982" i="8"/>
  <c r="AD808" i="8"/>
  <c r="G183" i="9"/>
  <c r="F183" i="9" s="1"/>
  <c r="E183" i="9"/>
  <c r="AI982" i="8"/>
  <c r="AI137" i="8"/>
  <c r="AI688" i="8"/>
  <c r="AI808" i="8"/>
  <c r="E809" i="8"/>
  <c r="F689" i="8"/>
  <c r="F138" i="8"/>
  <c r="F809" i="8"/>
  <c r="E983" i="8"/>
  <c r="E689" i="8"/>
  <c r="F983" i="8"/>
  <c r="E138" i="8"/>
  <c r="A183" i="9"/>
  <c r="I184" i="9"/>
  <c r="Z984" i="8"/>
  <c r="M139" i="8"/>
  <c r="M984" i="8"/>
  <c r="M810" i="8"/>
  <c r="M690" i="8"/>
  <c r="AH984" i="8"/>
  <c r="AH690" i="8"/>
  <c r="AH139" i="8"/>
  <c r="AH810" i="8"/>
  <c r="L689" i="8"/>
  <c r="L983" i="8"/>
  <c r="B138" i="8"/>
  <c r="B809" i="8"/>
  <c r="B689" i="8"/>
  <c r="B983" i="8"/>
  <c r="L138" i="8"/>
  <c r="AG139" i="8"/>
  <c r="I140" i="8"/>
  <c r="G139" i="8"/>
  <c r="K139" i="8"/>
  <c r="A138" i="8"/>
  <c r="AF139" i="8"/>
  <c r="AA139" i="8" s="1"/>
  <c r="I985" i="8"/>
  <c r="G984" i="8"/>
  <c r="AG984" i="8"/>
  <c r="K984" i="8"/>
  <c r="AF984" i="8"/>
  <c r="AA984" i="8" s="1"/>
  <c r="A983" i="8"/>
  <c r="L809" i="8"/>
  <c r="AF810" i="8"/>
  <c r="AA810" i="8" s="1"/>
  <c r="G810" i="8"/>
  <c r="I811" i="8"/>
  <c r="K810" i="8"/>
  <c r="AG810" i="8"/>
  <c r="A689" i="8"/>
  <c r="AF690" i="8"/>
  <c r="AA690" i="8" s="1"/>
  <c r="K690" i="8"/>
  <c r="G690" i="8"/>
  <c r="AG690" i="8"/>
  <c r="I691" i="8"/>
  <c r="A809" i="8"/>
  <c r="AD138" i="8" l="1"/>
  <c r="AD689" i="8"/>
  <c r="AD809" i="8"/>
  <c r="AD983" i="8"/>
  <c r="G184" i="9"/>
  <c r="F184" i="9" s="1"/>
  <c r="E184" i="9"/>
  <c r="AI809" i="8"/>
  <c r="AI689" i="8"/>
  <c r="AI983" i="8"/>
  <c r="F810" i="8"/>
  <c r="E810" i="8"/>
  <c r="F139" i="8"/>
  <c r="E984" i="8"/>
  <c r="E690" i="8"/>
  <c r="F690" i="8"/>
  <c r="E139" i="8"/>
  <c r="AI138" i="8"/>
  <c r="F984" i="8"/>
  <c r="A184" i="9"/>
  <c r="I185" i="9"/>
  <c r="Z985" i="8"/>
  <c r="M691" i="8"/>
  <c r="M140" i="8"/>
  <c r="M985" i="8"/>
  <c r="M811" i="8"/>
  <c r="AH691" i="8"/>
  <c r="AH811" i="8"/>
  <c r="AH140" i="8"/>
  <c r="AH985" i="8"/>
  <c r="I812" i="8"/>
  <c r="L690" i="8"/>
  <c r="L984" i="8"/>
  <c r="AF140" i="8"/>
  <c r="AA140" i="8" s="1"/>
  <c r="B690" i="8"/>
  <c r="B984" i="8"/>
  <c r="B810" i="8"/>
  <c r="B139" i="8"/>
  <c r="L139" i="8"/>
  <c r="K140" i="8"/>
  <c r="AG140" i="8"/>
  <c r="A139" i="8"/>
  <c r="G140" i="8"/>
  <c r="I141" i="8"/>
  <c r="G985" i="8"/>
  <c r="I986" i="8"/>
  <c r="AF985" i="8"/>
  <c r="AA985" i="8" s="1"/>
  <c r="K985" i="8"/>
  <c r="A984" i="8"/>
  <c r="AG985" i="8"/>
  <c r="L810" i="8"/>
  <c r="A810" i="8"/>
  <c r="G811" i="8"/>
  <c r="AG811" i="8"/>
  <c r="AF811" i="8"/>
  <c r="AA811" i="8" s="1"/>
  <c r="K811" i="8"/>
  <c r="A690" i="8"/>
  <c r="I692" i="8"/>
  <c r="K691" i="8"/>
  <c r="G691" i="8"/>
  <c r="AG691" i="8"/>
  <c r="AF691" i="8"/>
  <c r="AA691" i="8" s="1"/>
  <c r="AD810" i="8" l="1"/>
  <c r="AD984" i="8"/>
  <c r="AD690" i="8"/>
  <c r="AD139" i="8"/>
  <c r="G185" i="9"/>
  <c r="F185" i="9" s="1"/>
  <c r="E185" i="9"/>
  <c r="AI984" i="8"/>
  <c r="AI139" i="8"/>
  <c r="AI810" i="8"/>
  <c r="E985" i="8"/>
  <c r="E691" i="8"/>
  <c r="E140" i="8"/>
  <c r="F811" i="8"/>
  <c r="F985" i="8"/>
  <c r="F140" i="8"/>
  <c r="E811" i="8"/>
  <c r="F691" i="8"/>
  <c r="AI690" i="8"/>
  <c r="A185" i="9"/>
  <c r="I186" i="9"/>
  <c r="Z986" i="8"/>
  <c r="M986" i="8"/>
  <c r="M692" i="8"/>
  <c r="M141" i="8"/>
  <c r="M812" i="8"/>
  <c r="AH812" i="8"/>
  <c r="AH692" i="8"/>
  <c r="AH986" i="8"/>
  <c r="AH141" i="8"/>
  <c r="AG812" i="8"/>
  <c r="I813" i="8"/>
  <c r="G812" i="8"/>
  <c r="K812" i="8"/>
  <c r="AF812" i="8"/>
  <c r="AA812" i="8" s="1"/>
  <c r="L691" i="8"/>
  <c r="B691" i="8"/>
  <c r="B811" i="8"/>
  <c r="B985" i="8"/>
  <c r="B140" i="8"/>
  <c r="A140" i="8"/>
  <c r="L140" i="8"/>
  <c r="I142" i="8"/>
  <c r="K141" i="8"/>
  <c r="AF141" i="8"/>
  <c r="AA141" i="8" s="1"/>
  <c r="AG141" i="8"/>
  <c r="G141" i="8"/>
  <c r="L985" i="8"/>
  <c r="G986" i="8"/>
  <c r="A985" i="8"/>
  <c r="K986" i="8"/>
  <c r="AG986" i="8"/>
  <c r="AF986" i="8"/>
  <c r="AA986" i="8" s="1"/>
  <c r="I987" i="8"/>
  <c r="L811" i="8"/>
  <c r="A811" i="8"/>
  <c r="A691" i="8"/>
  <c r="K692" i="8"/>
  <c r="AF692" i="8"/>
  <c r="AA692" i="8" s="1"/>
  <c r="AG692" i="8"/>
  <c r="I693" i="8"/>
  <c r="G692" i="8"/>
  <c r="AD691" i="8" l="1"/>
  <c r="AD140" i="8"/>
  <c r="AD985" i="8"/>
  <c r="AD811" i="8"/>
  <c r="E186" i="9"/>
  <c r="G186" i="9"/>
  <c r="F186" i="9" s="1"/>
  <c r="AI985" i="8"/>
  <c r="AI691" i="8"/>
  <c r="AI140" i="8"/>
  <c r="F986" i="8"/>
  <c r="F141" i="8"/>
  <c r="AI811" i="8"/>
  <c r="B812" i="8"/>
  <c r="E141" i="8"/>
  <c r="F692" i="8"/>
  <c r="E986" i="8"/>
  <c r="E692" i="8"/>
  <c r="F812" i="8"/>
  <c r="A186" i="9"/>
  <c r="I187" i="9"/>
  <c r="E812" i="8"/>
  <c r="Z987" i="8"/>
  <c r="M813" i="8"/>
  <c r="M142" i="8"/>
  <c r="M693" i="8"/>
  <c r="M987" i="8"/>
  <c r="AH142" i="8"/>
  <c r="AH987" i="8"/>
  <c r="AH693" i="8"/>
  <c r="AH813" i="8"/>
  <c r="L812" i="8"/>
  <c r="A812" i="8"/>
  <c r="AG813" i="8"/>
  <c r="AF813" i="8"/>
  <c r="AA813" i="8" s="1"/>
  <c r="K813" i="8"/>
  <c r="I814" i="8"/>
  <c r="G813" i="8"/>
  <c r="L141" i="8"/>
  <c r="B986" i="8"/>
  <c r="B141" i="8"/>
  <c r="B692" i="8"/>
  <c r="AF142" i="8"/>
  <c r="AA142" i="8" s="1"/>
  <c r="G142" i="8"/>
  <c r="I143" i="8"/>
  <c r="A141" i="8"/>
  <c r="AG142" i="8"/>
  <c r="K142" i="8"/>
  <c r="L986" i="8"/>
  <c r="A986" i="8"/>
  <c r="G987" i="8"/>
  <c r="I988" i="8"/>
  <c r="AF987" i="8"/>
  <c r="AA987" i="8" s="1"/>
  <c r="K987" i="8"/>
  <c r="AG987" i="8"/>
  <c r="A692" i="8"/>
  <c r="L692" i="8"/>
  <c r="K693" i="8"/>
  <c r="AG693" i="8"/>
  <c r="AF693" i="8"/>
  <c r="AA693" i="8" s="1"/>
  <c r="I694" i="8"/>
  <c r="G693" i="8"/>
  <c r="AD986" i="8" l="1"/>
  <c r="AD692" i="8"/>
  <c r="AD812" i="8"/>
  <c r="AD141" i="8"/>
  <c r="E187" i="9"/>
  <c r="G187" i="9"/>
  <c r="F187" i="9" s="1"/>
  <c r="AI692" i="8"/>
  <c r="E693" i="8"/>
  <c r="F987" i="8"/>
  <c r="A142" i="8"/>
  <c r="AI986" i="8"/>
  <c r="E987" i="8"/>
  <c r="A813" i="8"/>
  <c r="AI812" i="8"/>
  <c r="F813" i="8"/>
  <c r="F693" i="8"/>
  <c r="F142" i="8"/>
  <c r="AI141" i="8"/>
  <c r="A187" i="9"/>
  <c r="I188" i="9"/>
  <c r="E813" i="8"/>
  <c r="E142" i="8"/>
  <c r="Z988" i="8"/>
  <c r="M694" i="8"/>
  <c r="M814" i="8"/>
  <c r="M143" i="8"/>
  <c r="M988" i="8"/>
  <c r="AH814" i="8"/>
  <c r="AH143" i="8"/>
  <c r="AH988" i="8"/>
  <c r="AH694" i="8"/>
  <c r="L813" i="8"/>
  <c r="K814" i="8"/>
  <c r="AG814" i="8"/>
  <c r="I815" i="8"/>
  <c r="B813" i="8"/>
  <c r="AF814" i="8"/>
  <c r="AA814" i="8" s="1"/>
  <c r="G814" i="8"/>
  <c r="L693" i="8"/>
  <c r="L142" i="8"/>
  <c r="B693" i="8"/>
  <c r="B987" i="8"/>
  <c r="B142" i="8"/>
  <c r="G143" i="8"/>
  <c r="I144" i="8"/>
  <c r="AF143" i="8"/>
  <c r="AA143" i="8" s="1"/>
  <c r="K143" i="8"/>
  <c r="AG143" i="8"/>
  <c r="L987" i="8"/>
  <c r="A987" i="8"/>
  <c r="K988" i="8"/>
  <c r="AG988" i="8"/>
  <c r="I989" i="8"/>
  <c r="G988" i="8"/>
  <c r="AF988" i="8"/>
  <c r="AA988" i="8" s="1"/>
  <c r="A693" i="8"/>
  <c r="K694" i="8"/>
  <c r="AG694" i="8"/>
  <c r="G694" i="8"/>
  <c r="AF694" i="8"/>
  <c r="AA694" i="8" s="1"/>
  <c r="I695" i="8"/>
  <c r="AD987" i="8" l="1"/>
  <c r="AD813" i="8"/>
  <c r="AD693" i="8"/>
  <c r="AD142" i="8"/>
  <c r="E188" i="9"/>
  <c r="G188" i="9"/>
  <c r="F188" i="9" s="1"/>
  <c r="AI693" i="8"/>
  <c r="F694" i="8"/>
  <c r="F814" i="8"/>
  <c r="F988" i="8"/>
  <c r="AI813" i="8"/>
  <c r="E988" i="8"/>
  <c r="AI987" i="8"/>
  <c r="E694" i="8"/>
  <c r="F143" i="8"/>
  <c r="A143" i="8"/>
  <c r="B814" i="8"/>
  <c r="AI142" i="8"/>
  <c r="A188" i="9"/>
  <c r="I189" i="9"/>
  <c r="E143" i="8"/>
  <c r="E814" i="8"/>
  <c r="M815" i="8"/>
  <c r="M695" i="8"/>
  <c r="M989" i="8"/>
  <c r="M144" i="8"/>
  <c r="AH989" i="8"/>
  <c r="AH815" i="8"/>
  <c r="AH144" i="8"/>
  <c r="AH695" i="8"/>
  <c r="L814" i="8"/>
  <c r="G815" i="8"/>
  <c r="K815" i="8"/>
  <c r="AG815" i="8"/>
  <c r="AF815" i="8"/>
  <c r="AA815" i="8" s="1"/>
  <c r="I816" i="8"/>
  <c r="A814" i="8"/>
  <c r="I145" i="8"/>
  <c r="L143" i="8"/>
  <c r="AF144" i="8"/>
  <c r="AA144" i="8" s="1"/>
  <c r="G144" i="8"/>
  <c r="AG144" i="8"/>
  <c r="K144" i="8"/>
  <c r="B143" i="8"/>
  <c r="B988" i="8"/>
  <c r="B694" i="8"/>
  <c r="L988" i="8"/>
  <c r="A988" i="8"/>
  <c r="AF989" i="8"/>
  <c r="AA989" i="8" s="1"/>
  <c r="G989" i="8"/>
  <c r="K989" i="8"/>
  <c r="AG989" i="8"/>
  <c r="I990" i="8"/>
  <c r="L694" i="8"/>
  <c r="A694" i="8"/>
  <c r="AF695" i="8"/>
  <c r="AA695" i="8" s="1"/>
  <c r="G695" i="8"/>
  <c r="I696" i="8"/>
  <c r="AG695" i="8"/>
  <c r="K695" i="8"/>
  <c r="AD814" i="8" l="1"/>
  <c r="AD988" i="8"/>
  <c r="AD143" i="8"/>
  <c r="AD694" i="8"/>
  <c r="G189" i="9"/>
  <c r="F189" i="9" s="1"/>
  <c r="E189" i="9"/>
  <c r="AI694" i="8"/>
  <c r="F815" i="8"/>
  <c r="AI988" i="8"/>
  <c r="A815" i="8"/>
  <c r="E695" i="8"/>
  <c r="F695" i="8"/>
  <c r="E989" i="8"/>
  <c r="E144" i="8"/>
  <c r="AI814" i="8"/>
  <c r="F989" i="8"/>
  <c r="F144" i="8"/>
  <c r="AI143" i="8"/>
  <c r="A189" i="9"/>
  <c r="I190" i="9"/>
  <c r="E815" i="8"/>
  <c r="M145" i="8"/>
  <c r="M816" i="8"/>
  <c r="M990" i="8"/>
  <c r="M696" i="8"/>
  <c r="AH990" i="8"/>
  <c r="AH145" i="8"/>
  <c r="AH816" i="8"/>
  <c r="AH696" i="8"/>
  <c r="AG816" i="8"/>
  <c r="L815" i="8"/>
  <c r="B815" i="8"/>
  <c r="G816" i="8"/>
  <c r="K816" i="8"/>
  <c r="AF816" i="8"/>
  <c r="AA816" i="8" s="1"/>
  <c r="I817" i="8"/>
  <c r="K145" i="8"/>
  <c r="I146" i="8"/>
  <c r="AG145" i="8"/>
  <c r="AF145" i="8"/>
  <c r="AA145" i="8" s="1"/>
  <c r="G145" i="8"/>
  <c r="L144" i="8"/>
  <c r="B144" i="8"/>
  <c r="A144" i="8"/>
  <c r="B695" i="8"/>
  <c r="B989" i="8"/>
  <c r="A989" i="8"/>
  <c r="L989" i="8"/>
  <c r="AG990" i="8"/>
  <c r="K990" i="8"/>
  <c r="G990" i="8"/>
  <c r="I991" i="8"/>
  <c r="AF990" i="8"/>
  <c r="AA990" i="8" s="1"/>
  <c r="I818" i="8"/>
  <c r="A695" i="8"/>
  <c r="K696" i="8"/>
  <c r="AG696" i="8"/>
  <c r="AF696" i="8"/>
  <c r="AA696" i="8" s="1"/>
  <c r="G696" i="8"/>
  <c r="I697" i="8"/>
  <c r="L695" i="8"/>
  <c r="AD989" i="8" l="1"/>
  <c r="AD695" i="8"/>
  <c r="AD144" i="8"/>
  <c r="AD815" i="8"/>
  <c r="G190" i="9"/>
  <c r="F190" i="9" s="1"/>
  <c r="E190" i="9"/>
  <c r="AI144" i="8"/>
  <c r="AI989" i="8"/>
  <c r="AI695" i="8"/>
  <c r="F816" i="8"/>
  <c r="F696" i="8"/>
  <c r="B145" i="8"/>
  <c r="A816" i="8"/>
  <c r="E696" i="8"/>
  <c r="E990" i="8"/>
  <c r="F990" i="8"/>
  <c r="F145" i="8"/>
  <c r="AI815" i="8"/>
  <c r="A190" i="9"/>
  <c r="I191" i="9"/>
  <c r="E816" i="8"/>
  <c r="E145" i="8"/>
  <c r="W818" i="8"/>
  <c r="Z818" i="8"/>
  <c r="X818" i="8"/>
  <c r="M818" i="8"/>
  <c r="M991" i="8"/>
  <c r="M146" i="8"/>
  <c r="M697" i="8"/>
  <c r="M817" i="8"/>
  <c r="AH817" i="8"/>
  <c r="AH697" i="8"/>
  <c r="AH146" i="8"/>
  <c r="AH991" i="8"/>
  <c r="AH818" i="8"/>
  <c r="L816" i="8"/>
  <c r="L145" i="8"/>
  <c r="K817" i="8"/>
  <c r="B816" i="8"/>
  <c r="AF817" i="8"/>
  <c r="AA817" i="8" s="1"/>
  <c r="G817" i="8"/>
  <c r="AG817" i="8"/>
  <c r="I147" i="8"/>
  <c r="A145" i="8"/>
  <c r="K146" i="8"/>
  <c r="G146" i="8"/>
  <c r="AG146" i="8"/>
  <c r="AF146" i="8"/>
  <c r="AA146" i="8" s="1"/>
  <c r="B696" i="8"/>
  <c r="B990" i="8"/>
  <c r="L990" i="8"/>
  <c r="I992" i="8"/>
  <c r="A990" i="8"/>
  <c r="AF991" i="8"/>
  <c r="AA991" i="8" s="1"/>
  <c r="K991" i="8"/>
  <c r="G991" i="8"/>
  <c r="AG991" i="8"/>
  <c r="AG818" i="8"/>
  <c r="G818" i="8"/>
  <c r="AF818" i="8"/>
  <c r="AA818" i="8" s="1"/>
  <c r="K818" i="8"/>
  <c r="I819" i="8"/>
  <c r="G697" i="8"/>
  <c r="AF697" i="8"/>
  <c r="AA697" i="8" s="1"/>
  <c r="I698" i="8"/>
  <c r="K697" i="8"/>
  <c r="AG697" i="8"/>
  <c r="L696" i="8"/>
  <c r="A696" i="8"/>
  <c r="AD696" i="8" l="1"/>
  <c r="AD816" i="8"/>
  <c r="AD990" i="8"/>
  <c r="AD145" i="8"/>
  <c r="G191" i="9"/>
  <c r="F191" i="9" s="1"/>
  <c r="E191" i="9"/>
  <c r="K191" i="9" s="1"/>
  <c r="L191" i="9"/>
  <c r="AI990" i="8"/>
  <c r="AI696" i="8"/>
  <c r="B146" i="8"/>
  <c r="F817" i="8"/>
  <c r="AI816" i="8"/>
  <c r="F697" i="8"/>
  <c r="E697" i="8"/>
  <c r="F991" i="8"/>
  <c r="A817" i="8"/>
  <c r="AI145" i="8"/>
  <c r="E991" i="8"/>
  <c r="F146" i="8"/>
  <c r="F818" i="8"/>
  <c r="I192" i="9"/>
  <c r="E817" i="8"/>
  <c r="E146" i="8"/>
  <c r="Z819" i="8"/>
  <c r="M698" i="8"/>
  <c r="M992" i="8"/>
  <c r="M819" i="8"/>
  <c r="M147" i="8"/>
  <c r="AH147" i="8"/>
  <c r="AH819" i="8"/>
  <c r="AH698" i="8"/>
  <c r="AH992" i="8"/>
  <c r="L146" i="8"/>
  <c r="L817" i="8"/>
  <c r="AF147" i="8"/>
  <c r="AA147" i="8" s="1"/>
  <c r="G147" i="8"/>
  <c r="K147" i="8"/>
  <c r="I148" i="8"/>
  <c r="AG147" i="8"/>
  <c r="B817" i="8"/>
  <c r="A146" i="8"/>
  <c r="B818" i="8"/>
  <c r="B697" i="8"/>
  <c r="B991" i="8"/>
  <c r="L991" i="8"/>
  <c r="K992" i="8"/>
  <c r="G992" i="8"/>
  <c r="AF992" i="8"/>
  <c r="AA992" i="8" s="1"/>
  <c r="AG992" i="8"/>
  <c r="I993" i="8"/>
  <c r="A991" i="8"/>
  <c r="I820" i="8"/>
  <c r="A818" i="8"/>
  <c r="L818" i="8"/>
  <c r="K819" i="8"/>
  <c r="G819" i="8"/>
  <c r="AF819" i="8"/>
  <c r="AA819" i="8" s="1"/>
  <c r="AG819" i="8"/>
  <c r="A697" i="8"/>
  <c r="L697" i="8"/>
  <c r="AF698" i="8"/>
  <c r="AA698" i="8" s="1"/>
  <c r="K698" i="8"/>
  <c r="G698" i="8"/>
  <c r="AG698" i="8"/>
  <c r="I699" i="8"/>
  <c r="AD697" i="8" l="1"/>
  <c r="AD146" i="8"/>
  <c r="AD818" i="8"/>
  <c r="AD817" i="8"/>
  <c r="AD991" i="8"/>
  <c r="AI697" i="8"/>
  <c r="G192" i="9"/>
  <c r="F192" i="9" s="1"/>
  <c r="E192" i="9"/>
  <c r="K192" i="9" s="1"/>
  <c r="L192" i="9"/>
  <c r="AI991" i="8"/>
  <c r="AI146" i="8"/>
  <c r="B147" i="8"/>
  <c r="F147" i="8"/>
  <c r="E819" i="8"/>
  <c r="AI817" i="8"/>
  <c r="E698" i="8"/>
  <c r="F819" i="8"/>
  <c r="E992" i="8"/>
  <c r="F698" i="8"/>
  <c r="F992" i="8"/>
  <c r="I193" i="9"/>
  <c r="E147" i="8"/>
  <c r="Z820" i="8"/>
  <c r="M820" i="8"/>
  <c r="M699" i="8"/>
  <c r="M993" i="8"/>
  <c r="M148" i="8"/>
  <c r="AH820" i="8"/>
  <c r="AH699" i="8"/>
  <c r="AH993" i="8"/>
  <c r="AH148" i="8"/>
  <c r="I149" i="8"/>
  <c r="A147" i="8"/>
  <c r="AF148" i="8"/>
  <c r="AA148" i="8" s="1"/>
  <c r="L147" i="8"/>
  <c r="AG148" i="8"/>
  <c r="G148" i="8"/>
  <c r="K148" i="8"/>
  <c r="L698" i="8"/>
  <c r="B992" i="8"/>
  <c r="B698" i="8"/>
  <c r="B819" i="8"/>
  <c r="L992" i="8"/>
  <c r="A992" i="8"/>
  <c r="I994" i="8"/>
  <c r="AF993" i="8"/>
  <c r="AA993" i="8" s="1"/>
  <c r="K993" i="8"/>
  <c r="G993" i="8"/>
  <c r="AG993" i="8"/>
  <c r="AG820" i="8"/>
  <c r="AF820" i="8"/>
  <c r="AA820" i="8" s="1"/>
  <c r="I821" i="8"/>
  <c r="K820" i="8"/>
  <c r="G820" i="8"/>
  <c r="L819" i="8"/>
  <c r="A819" i="8"/>
  <c r="A698" i="8"/>
  <c r="I700" i="8"/>
  <c r="G699" i="8"/>
  <c r="K699" i="8"/>
  <c r="AG699" i="8"/>
  <c r="AF699" i="8"/>
  <c r="AA699" i="8" s="1"/>
  <c r="AD992" i="8" l="1"/>
  <c r="AD147" i="8"/>
  <c r="AD698" i="8"/>
  <c r="AD819" i="8"/>
  <c r="E921" i="8"/>
  <c r="G193" i="9"/>
  <c r="F193" i="9" s="1"/>
  <c r="E193" i="9"/>
  <c r="K193" i="9" s="1"/>
  <c r="AI819" i="8"/>
  <c r="E972" i="8"/>
  <c r="AI992" i="8"/>
  <c r="AI698" i="8"/>
  <c r="E818" i="8"/>
  <c r="F993" i="8"/>
  <c r="F820" i="8"/>
  <c r="F148" i="8"/>
  <c r="B148" i="8"/>
  <c r="E820" i="8"/>
  <c r="F699" i="8"/>
  <c r="AI147" i="8"/>
  <c r="E699" i="8"/>
  <c r="K10" i="10"/>
  <c r="A193" i="9" s="1"/>
  <c r="E993" i="8"/>
  <c r="I194" i="9"/>
  <c r="E148" i="8"/>
  <c r="Z821" i="8"/>
  <c r="M994" i="8"/>
  <c r="M821" i="8"/>
  <c r="M700" i="8"/>
  <c r="M149" i="8"/>
  <c r="AH994" i="8"/>
  <c r="AH700" i="8"/>
  <c r="AH821" i="8"/>
  <c r="AH149" i="8"/>
  <c r="L148" i="8"/>
  <c r="AG149" i="8"/>
  <c r="K149" i="8"/>
  <c r="AF149" i="8"/>
  <c r="AA149" i="8" s="1"/>
  <c r="G149" i="8"/>
  <c r="I150" i="8"/>
  <c r="A148" i="8"/>
  <c r="L699" i="8"/>
  <c r="B699" i="8"/>
  <c r="B820" i="8"/>
  <c r="B993" i="8"/>
  <c r="L820" i="8"/>
  <c r="L993" i="8"/>
  <c r="G994" i="8"/>
  <c r="AG994" i="8"/>
  <c r="AF994" i="8"/>
  <c r="AA994" i="8" s="1"/>
  <c r="K994" i="8"/>
  <c r="I995" i="8"/>
  <c r="A993" i="8"/>
  <c r="I822" i="8"/>
  <c r="G821" i="8"/>
  <c r="AG821" i="8"/>
  <c r="K821" i="8"/>
  <c r="AF821" i="8"/>
  <c r="AA821" i="8" s="1"/>
  <c r="A820" i="8"/>
  <c r="G700" i="8"/>
  <c r="AG700" i="8"/>
  <c r="I701" i="8"/>
  <c r="AF700" i="8"/>
  <c r="AA700" i="8" s="1"/>
  <c r="K700" i="8"/>
  <c r="A699" i="8"/>
  <c r="AD148" i="8" l="1"/>
  <c r="AD699" i="8"/>
  <c r="AD993" i="8"/>
  <c r="AD820" i="8"/>
  <c r="AI921" i="8"/>
  <c r="E971" i="8"/>
  <c r="E920" i="8"/>
  <c r="AI818" i="8"/>
  <c r="E194" i="9"/>
  <c r="K194" i="9" s="1"/>
  <c r="G194" i="9"/>
  <c r="F194" i="9" s="1"/>
  <c r="AI972" i="8"/>
  <c r="AI699" i="8"/>
  <c r="A192" i="9"/>
  <c r="AI820" i="8"/>
  <c r="A194" i="9"/>
  <c r="A191" i="9"/>
  <c r="AI993" i="8"/>
  <c r="F994" i="8"/>
  <c r="F149" i="8"/>
  <c r="F700" i="8"/>
  <c r="E994" i="8"/>
  <c r="E821" i="8"/>
  <c r="AI148" i="8"/>
  <c r="F821" i="8"/>
  <c r="E700" i="8"/>
  <c r="B149" i="8"/>
  <c r="I195" i="9"/>
  <c r="E149" i="8"/>
  <c r="Z822" i="8"/>
  <c r="M701" i="8"/>
  <c r="M995" i="8"/>
  <c r="M822" i="8"/>
  <c r="M150" i="8"/>
  <c r="AH822" i="8"/>
  <c r="AH150" i="8"/>
  <c r="AH995" i="8"/>
  <c r="AH701" i="8"/>
  <c r="L149" i="8"/>
  <c r="G150" i="8"/>
  <c r="A149" i="8"/>
  <c r="AG150" i="8"/>
  <c r="AF150" i="8"/>
  <c r="AA150" i="8" s="1"/>
  <c r="I151" i="8"/>
  <c r="K150" i="8"/>
  <c r="L821" i="8"/>
  <c r="B821" i="8"/>
  <c r="B700" i="8"/>
  <c r="B994" i="8"/>
  <c r="L994" i="8"/>
  <c r="A994" i="8"/>
  <c r="K995" i="8"/>
  <c r="G995" i="8"/>
  <c r="AF995" i="8"/>
  <c r="AA995" i="8" s="1"/>
  <c r="AG995" i="8"/>
  <c r="I996" i="8"/>
  <c r="G822" i="8"/>
  <c r="AG822" i="8"/>
  <c r="I823" i="8"/>
  <c r="K822" i="8"/>
  <c r="AF822" i="8"/>
  <c r="AA822" i="8" s="1"/>
  <c r="A821" i="8"/>
  <c r="L700" i="8"/>
  <c r="I702" i="8"/>
  <c r="AG701" i="8"/>
  <c r="K701" i="8"/>
  <c r="AF701" i="8"/>
  <c r="AA701" i="8" s="1"/>
  <c r="G701" i="8"/>
  <c r="A700" i="8"/>
  <c r="AD994" i="8" l="1"/>
  <c r="AD700" i="8"/>
  <c r="AD149" i="8"/>
  <c r="AD821" i="8"/>
  <c r="AI971" i="8"/>
  <c r="AI920" i="8"/>
  <c r="E195" i="9"/>
  <c r="K195" i="9" s="1"/>
  <c r="G195" i="9"/>
  <c r="F195" i="9" s="1"/>
  <c r="AI821" i="8"/>
  <c r="AI700" i="8"/>
  <c r="AI994" i="8"/>
  <c r="E995" i="8"/>
  <c r="B150" i="8"/>
  <c r="E822" i="8"/>
  <c r="E701" i="8"/>
  <c r="F822" i="8"/>
  <c r="F995" i="8"/>
  <c r="F701" i="8"/>
  <c r="F150" i="8"/>
  <c r="AI149" i="8"/>
  <c r="A195" i="9"/>
  <c r="I196" i="9"/>
  <c r="E150" i="8"/>
  <c r="Z823" i="8"/>
  <c r="M823" i="8"/>
  <c r="M702" i="8"/>
  <c r="M996" i="8"/>
  <c r="M151" i="8"/>
  <c r="AH702" i="8"/>
  <c r="AH151" i="8"/>
  <c r="AH823" i="8"/>
  <c r="AH996" i="8"/>
  <c r="L150" i="8"/>
  <c r="K151" i="8"/>
  <c r="A150" i="8"/>
  <c r="I152" i="8"/>
  <c r="G151" i="8"/>
  <c r="AG151" i="8"/>
  <c r="AF151" i="8"/>
  <c r="AA151" i="8" s="1"/>
  <c r="B995" i="8"/>
  <c r="B822" i="8"/>
  <c r="B701" i="8"/>
  <c r="L995" i="8"/>
  <c r="L822" i="8"/>
  <c r="A995" i="8"/>
  <c r="I997" i="8"/>
  <c r="AG996" i="8"/>
  <c r="G996" i="8"/>
  <c r="K996" i="8"/>
  <c r="AF996" i="8"/>
  <c r="AA996" i="8" s="1"/>
  <c r="A822" i="8"/>
  <c r="K823" i="8"/>
  <c r="G823" i="8"/>
  <c r="AG823" i="8"/>
  <c r="I824" i="8"/>
  <c r="AF823" i="8"/>
  <c r="AA823" i="8" s="1"/>
  <c r="L701" i="8"/>
  <c r="AF702" i="8"/>
  <c r="AA702" i="8" s="1"/>
  <c r="I703" i="8"/>
  <c r="AG702" i="8"/>
  <c r="G702" i="8"/>
  <c r="K702" i="8"/>
  <c r="A701" i="8"/>
  <c r="AD822" i="8" l="1"/>
  <c r="AD150" i="8"/>
  <c r="AD701" i="8"/>
  <c r="AD995" i="8"/>
  <c r="E196" i="9"/>
  <c r="K196" i="9" s="1"/>
  <c r="G196" i="9"/>
  <c r="F196" i="9" s="1"/>
  <c r="AI701" i="8"/>
  <c r="AI995" i="8"/>
  <c r="AI822" i="8"/>
  <c r="F702" i="8"/>
  <c r="F823" i="8"/>
  <c r="AI150" i="8"/>
  <c r="A151" i="8"/>
  <c r="E702" i="8"/>
  <c r="E823" i="8"/>
  <c r="F996" i="8"/>
  <c r="F151" i="8"/>
  <c r="E996" i="8"/>
  <c r="A196" i="9"/>
  <c r="I197" i="9"/>
  <c r="E151" i="8"/>
  <c r="Z824" i="8"/>
  <c r="M824" i="8"/>
  <c r="M152" i="8"/>
  <c r="M997" i="8"/>
  <c r="M703" i="8"/>
  <c r="AH152" i="8"/>
  <c r="AH997" i="8"/>
  <c r="AH703" i="8"/>
  <c r="AH824" i="8"/>
  <c r="L151" i="8"/>
  <c r="B151" i="8"/>
  <c r="K152" i="8"/>
  <c r="AF152" i="8"/>
  <c r="AA152" i="8" s="1"/>
  <c r="AG152" i="8"/>
  <c r="I153" i="8"/>
  <c r="G152" i="8"/>
  <c r="B823" i="8"/>
  <c r="B996" i="8"/>
  <c r="B702" i="8"/>
  <c r="L823" i="8"/>
  <c r="L996" i="8"/>
  <c r="I998" i="8"/>
  <c r="K997" i="8"/>
  <c r="G997" i="8"/>
  <c r="AF997" i="8"/>
  <c r="AA997" i="8" s="1"/>
  <c r="AG997" i="8"/>
  <c r="A996" i="8"/>
  <c r="G824" i="8"/>
  <c r="A823" i="8"/>
  <c r="AF824" i="8"/>
  <c r="AA824" i="8" s="1"/>
  <c r="AG824" i="8"/>
  <c r="I825" i="8"/>
  <c r="K824" i="8"/>
  <c r="L702" i="8"/>
  <c r="K703" i="8"/>
  <c r="AG703" i="8"/>
  <c r="AF703" i="8"/>
  <c r="AA703" i="8" s="1"/>
  <c r="I704" i="8"/>
  <c r="G703" i="8"/>
  <c r="A702" i="8"/>
  <c r="AD996" i="8" l="1"/>
  <c r="AD702" i="8"/>
  <c r="AD823" i="8"/>
  <c r="AD151" i="8"/>
  <c r="G197" i="9"/>
  <c r="F197" i="9" s="1"/>
  <c r="E197" i="9"/>
  <c r="AI996" i="8"/>
  <c r="AI823" i="8"/>
  <c r="AI702" i="8"/>
  <c r="E997" i="8"/>
  <c r="F997" i="8"/>
  <c r="E703" i="8"/>
  <c r="A152" i="8"/>
  <c r="E824" i="8"/>
  <c r="AI151" i="8"/>
  <c r="F703" i="8"/>
  <c r="F824" i="8"/>
  <c r="F152" i="8"/>
  <c r="A197" i="9"/>
  <c r="I198" i="9"/>
  <c r="E152" i="8"/>
  <c r="Z825" i="8"/>
  <c r="M825" i="8"/>
  <c r="M704" i="8"/>
  <c r="M998" i="8"/>
  <c r="M153" i="8"/>
  <c r="AH704" i="8"/>
  <c r="AH825" i="8"/>
  <c r="AH998" i="8"/>
  <c r="AH153" i="8"/>
  <c r="L152" i="8"/>
  <c r="B152" i="8"/>
  <c r="AG153" i="8"/>
  <c r="G153" i="8"/>
  <c r="AF153" i="8"/>
  <c r="AA153" i="8" s="1"/>
  <c r="I154" i="8"/>
  <c r="K153" i="8"/>
  <c r="L703" i="8"/>
  <c r="B997" i="8"/>
  <c r="B824" i="8"/>
  <c r="B703" i="8"/>
  <c r="L997" i="8"/>
  <c r="L824" i="8"/>
  <c r="I155" i="8"/>
  <c r="G998" i="8"/>
  <c r="I999" i="8"/>
  <c r="AF998" i="8"/>
  <c r="AA998" i="8" s="1"/>
  <c r="AG998" i="8"/>
  <c r="K998" i="8"/>
  <c r="A997" i="8"/>
  <c r="G825" i="8"/>
  <c r="A824" i="8"/>
  <c r="I826" i="8"/>
  <c r="K825" i="8"/>
  <c r="AF825" i="8"/>
  <c r="AA825" i="8" s="1"/>
  <c r="AG825" i="8"/>
  <c r="AF704" i="8"/>
  <c r="AA704" i="8" s="1"/>
  <c r="K704" i="8"/>
  <c r="I705" i="8"/>
  <c r="G704" i="8"/>
  <c r="AG704" i="8"/>
  <c r="A703" i="8"/>
  <c r="AD824" i="8" l="1"/>
  <c r="AD997" i="8"/>
  <c r="AD152" i="8"/>
  <c r="AD703" i="8"/>
  <c r="E198" i="9"/>
  <c r="G198" i="9"/>
  <c r="F198" i="9" s="1"/>
  <c r="AI997" i="8"/>
  <c r="AI824" i="8"/>
  <c r="AI703" i="8"/>
  <c r="E704" i="8"/>
  <c r="F704" i="8"/>
  <c r="F153" i="8"/>
  <c r="AI152" i="8"/>
  <c r="F998" i="8"/>
  <c r="E825" i="8"/>
  <c r="B153" i="8"/>
  <c r="F825" i="8"/>
  <c r="E998" i="8"/>
  <c r="A198" i="9"/>
  <c r="I199" i="9"/>
  <c r="E153" i="8"/>
  <c r="Z826" i="8"/>
  <c r="W155" i="8"/>
  <c r="Z155" i="8"/>
  <c r="X155" i="8"/>
  <c r="M999" i="8"/>
  <c r="M705" i="8"/>
  <c r="M155" i="8"/>
  <c r="M826" i="8"/>
  <c r="M154" i="8"/>
  <c r="AH154" i="8"/>
  <c r="AH826" i="8"/>
  <c r="AH705" i="8"/>
  <c r="AH999" i="8"/>
  <c r="AH155" i="8"/>
  <c r="L153" i="8"/>
  <c r="A153" i="8"/>
  <c r="AF154" i="8"/>
  <c r="AA154" i="8" s="1"/>
  <c r="G154" i="8"/>
  <c r="K154" i="8"/>
  <c r="AG154" i="8"/>
  <c r="L998" i="8"/>
  <c r="B825" i="8"/>
  <c r="B704" i="8"/>
  <c r="B998" i="8"/>
  <c r="L825" i="8"/>
  <c r="AG155" i="8"/>
  <c r="G155" i="8"/>
  <c r="I156" i="8"/>
  <c r="AF155" i="8"/>
  <c r="AA155" i="8" s="1"/>
  <c r="K155" i="8"/>
  <c r="G999" i="8"/>
  <c r="A998" i="8"/>
  <c r="AG999" i="8"/>
  <c r="K999" i="8"/>
  <c r="AF999" i="8"/>
  <c r="AA999" i="8" s="1"/>
  <c r="I1000" i="8"/>
  <c r="G826" i="8"/>
  <c r="AF826" i="8"/>
  <c r="AA826" i="8" s="1"/>
  <c r="A825" i="8"/>
  <c r="I827" i="8"/>
  <c r="K826" i="8"/>
  <c r="AG826" i="8"/>
  <c r="A704" i="8"/>
  <c r="L704" i="8"/>
  <c r="G705" i="8"/>
  <c r="I706" i="8"/>
  <c r="AG705" i="8"/>
  <c r="K705" i="8"/>
  <c r="AF705" i="8"/>
  <c r="AA705" i="8" s="1"/>
  <c r="AD998" i="8" l="1"/>
  <c r="AD153" i="8"/>
  <c r="AD704" i="8"/>
  <c r="AD825" i="8"/>
  <c r="G199" i="9"/>
  <c r="F199" i="9" s="1"/>
  <c r="E199" i="9"/>
  <c r="AI704" i="8"/>
  <c r="AI825" i="8"/>
  <c r="E705" i="8"/>
  <c r="E826" i="8"/>
  <c r="AI153" i="8"/>
  <c r="F155" i="8"/>
  <c r="F999" i="8"/>
  <c r="AI998" i="8"/>
  <c r="F826" i="8"/>
  <c r="E999" i="8"/>
  <c r="B154" i="8"/>
  <c r="F705" i="8"/>
  <c r="F154" i="8"/>
  <c r="A199" i="9"/>
  <c r="I200" i="9"/>
  <c r="E154" i="8"/>
  <c r="Z156" i="8"/>
  <c r="Z827" i="8"/>
  <c r="M706" i="8"/>
  <c r="M1000" i="8"/>
  <c r="M156" i="8"/>
  <c r="M827" i="8"/>
  <c r="AH827" i="8"/>
  <c r="AH156" i="8"/>
  <c r="AH706" i="8"/>
  <c r="AH1000" i="8"/>
  <c r="L154" i="8"/>
  <c r="A154" i="8"/>
  <c r="L999" i="8"/>
  <c r="B826" i="8"/>
  <c r="B155" i="8"/>
  <c r="B705" i="8"/>
  <c r="B999" i="8"/>
  <c r="L826" i="8"/>
  <c r="L155" i="8"/>
  <c r="G156" i="8"/>
  <c r="K156" i="8"/>
  <c r="AG156" i="8"/>
  <c r="AF156" i="8"/>
  <c r="AA156" i="8" s="1"/>
  <c r="I157" i="8"/>
  <c r="A155" i="8"/>
  <c r="A999" i="8"/>
  <c r="K1000" i="8"/>
  <c r="I1001" i="8"/>
  <c r="AF1000" i="8"/>
  <c r="AA1000" i="8" s="1"/>
  <c r="G1000" i="8"/>
  <c r="AG1000" i="8"/>
  <c r="A826" i="8"/>
  <c r="G827" i="8"/>
  <c r="AF827" i="8"/>
  <c r="AA827" i="8" s="1"/>
  <c r="I828" i="8"/>
  <c r="AG827" i="8"/>
  <c r="K827" i="8"/>
  <c r="A705" i="8"/>
  <c r="L705" i="8"/>
  <c r="G706" i="8"/>
  <c r="AF706" i="8"/>
  <c r="AA706" i="8" s="1"/>
  <c r="AG706" i="8"/>
  <c r="K706" i="8"/>
  <c r="I707" i="8"/>
  <c r="AD155" i="8" l="1"/>
  <c r="AD826" i="8"/>
  <c r="AD999" i="8"/>
  <c r="AD154" i="8"/>
  <c r="AD705" i="8"/>
  <c r="G200" i="9"/>
  <c r="F200" i="9" s="1"/>
  <c r="E200" i="9"/>
  <c r="AI705" i="8"/>
  <c r="AI999" i="8"/>
  <c r="AI826" i="8"/>
  <c r="F706" i="8"/>
  <c r="AI154" i="8"/>
  <c r="F1000" i="8"/>
  <c r="E827" i="8"/>
  <c r="E706" i="8"/>
  <c r="F827" i="8"/>
  <c r="F156" i="8"/>
  <c r="E156" i="8"/>
  <c r="E1000" i="8"/>
  <c r="A200" i="9"/>
  <c r="I201" i="9"/>
  <c r="Z828" i="8"/>
  <c r="Z157" i="8"/>
  <c r="M707" i="8"/>
  <c r="M828" i="8"/>
  <c r="M1001" i="8"/>
  <c r="M157" i="8"/>
  <c r="AH828" i="8"/>
  <c r="AH1001" i="8"/>
  <c r="AH157" i="8"/>
  <c r="AH707" i="8"/>
  <c r="L1000" i="8"/>
  <c r="L827" i="8"/>
  <c r="B827" i="8"/>
  <c r="B1000" i="8"/>
  <c r="B156" i="8"/>
  <c r="B706" i="8"/>
  <c r="L156" i="8"/>
  <c r="A156" i="8"/>
  <c r="AG157" i="8"/>
  <c r="I158" i="8"/>
  <c r="G157" i="8"/>
  <c r="AF157" i="8"/>
  <c r="AA157" i="8" s="1"/>
  <c r="K157" i="8"/>
  <c r="AF1001" i="8"/>
  <c r="AA1001" i="8" s="1"/>
  <c r="K1001" i="8"/>
  <c r="AG1001" i="8"/>
  <c r="G1001" i="8"/>
  <c r="I1002" i="8"/>
  <c r="A1000" i="8"/>
  <c r="G828" i="8"/>
  <c r="AF828" i="8"/>
  <c r="AA828" i="8" s="1"/>
  <c r="A827" i="8"/>
  <c r="K828" i="8"/>
  <c r="I829" i="8"/>
  <c r="AG828" i="8"/>
  <c r="L706" i="8"/>
  <c r="A706" i="8"/>
  <c r="K707" i="8"/>
  <c r="AG707" i="8"/>
  <c r="G707" i="8"/>
  <c r="AF707" i="8"/>
  <c r="AA707" i="8" s="1"/>
  <c r="I708" i="8"/>
  <c r="AD1000" i="8" l="1"/>
  <c r="AD156" i="8"/>
  <c r="AD706" i="8"/>
  <c r="AD827" i="8"/>
  <c r="G201" i="9"/>
  <c r="F201" i="9" s="1"/>
  <c r="E201" i="9"/>
  <c r="AI1000" i="8"/>
  <c r="AI706" i="8"/>
  <c r="AI827" i="8"/>
  <c r="F828" i="8"/>
  <c r="F1001" i="8"/>
  <c r="E707" i="8"/>
  <c r="E157" i="8"/>
  <c r="E155" i="8"/>
  <c r="F157" i="8"/>
  <c r="AI156" i="8"/>
  <c r="E1001" i="8"/>
  <c r="F707" i="8"/>
  <c r="E828" i="8"/>
  <c r="A201" i="9"/>
  <c r="I202" i="9"/>
  <c r="Z158" i="8"/>
  <c r="Z829" i="8"/>
  <c r="M1002" i="8"/>
  <c r="M829" i="8"/>
  <c r="M158" i="8"/>
  <c r="M708" i="8"/>
  <c r="AH829" i="8"/>
  <c r="AH708" i="8"/>
  <c r="AH1002" i="8"/>
  <c r="AH158" i="8"/>
  <c r="L707" i="8"/>
  <c r="L1001" i="8"/>
  <c r="B707" i="8"/>
  <c r="B828" i="8"/>
  <c r="B157" i="8"/>
  <c r="B1001" i="8"/>
  <c r="AG158" i="8"/>
  <c r="G158" i="8"/>
  <c r="K158" i="8"/>
  <c r="L828" i="8"/>
  <c r="AF158" i="8"/>
  <c r="AA158" i="8" s="1"/>
  <c r="L157" i="8"/>
  <c r="I159" i="8"/>
  <c r="A157" i="8"/>
  <c r="K1002" i="8"/>
  <c r="A1001" i="8"/>
  <c r="G1002" i="8"/>
  <c r="AG1002" i="8"/>
  <c r="I1003" i="8"/>
  <c r="AF1002" i="8"/>
  <c r="AA1002" i="8" s="1"/>
  <c r="AF829" i="8"/>
  <c r="AA829" i="8" s="1"/>
  <c r="G829" i="8"/>
  <c r="A828" i="8"/>
  <c r="I830" i="8"/>
  <c r="K829" i="8"/>
  <c r="AG829" i="8"/>
  <c r="A707" i="8"/>
  <c r="AG708" i="8"/>
  <c r="G708" i="8"/>
  <c r="AF708" i="8"/>
  <c r="AA708" i="8" s="1"/>
  <c r="K708" i="8"/>
  <c r="I709" i="8"/>
  <c r="AD157" i="8" l="1"/>
  <c r="AD828" i="8"/>
  <c r="AD707" i="8"/>
  <c r="AD1001" i="8"/>
  <c r="E202" i="9"/>
  <c r="G202" i="9"/>
  <c r="F202" i="9" s="1"/>
  <c r="AI828" i="8"/>
  <c r="AI1001" i="8"/>
  <c r="E1002" i="8"/>
  <c r="F158" i="8"/>
  <c r="F708" i="8"/>
  <c r="F1002" i="8"/>
  <c r="AI707" i="8"/>
  <c r="E829" i="8"/>
  <c r="F829" i="8"/>
  <c r="E158" i="8"/>
  <c r="E708" i="8"/>
  <c r="AI157" i="8"/>
  <c r="AI155" i="8"/>
  <c r="A202" i="9"/>
  <c r="I203" i="9"/>
  <c r="Z159" i="8"/>
  <c r="Z830" i="8"/>
  <c r="M830" i="8"/>
  <c r="M159" i="8"/>
  <c r="M1003" i="8"/>
  <c r="M709" i="8"/>
  <c r="AH1003" i="8"/>
  <c r="AH159" i="8"/>
  <c r="AH830" i="8"/>
  <c r="AH709" i="8"/>
  <c r="L158" i="8"/>
  <c r="L708" i="8"/>
  <c r="L1002" i="8"/>
  <c r="B829" i="8"/>
  <c r="B1002" i="8"/>
  <c r="B708" i="8"/>
  <c r="B158" i="8"/>
  <c r="I160" i="8"/>
  <c r="A158" i="8"/>
  <c r="K159" i="8"/>
  <c r="AG159" i="8"/>
  <c r="AF159" i="8"/>
  <c r="AA159" i="8" s="1"/>
  <c r="G159" i="8"/>
  <c r="L829" i="8"/>
  <c r="AF1003" i="8"/>
  <c r="AA1003" i="8" s="1"/>
  <c r="I1004" i="8"/>
  <c r="K1003" i="8"/>
  <c r="AG1003" i="8"/>
  <c r="A1002" i="8"/>
  <c r="G1003" i="8"/>
  <c r="A829" i="8"/>
  <c r="AG830" i="8"/>
  <c r="AF830" i="8"/>
  <c r="AA830" i="8" s="1"/>
  <c r="I831" i="8"/>
  <c r="G830" i="8"/>
  <c r="K830" i="8"/>
  <c r="A708" i="8"/>
  <c r="K709" i="8"/>
  <c r="G709" i="8"/>
  <c r="I710" i="8"/>
  <c r="AF709" i="8"/>
  <c r="AA709" i="8" s="1"/>
  <c r="AG709" i="8"/>
  <c r="AD1002" i="8" l="1"/>
  <c r="AD708" i="8"/>
  <c r="AD158" i="8"/>
  <c r="AD829" i="8"/>
  <c r="E203" i="9"/>
  <c r="G203" i="9"/>
  <c r="F203" i="9" s="1"/>
  <c r="AI1002" i="8"/>
  <c r="F159" i="8"/>
  <c r="AI708" i="8"/>
  <c r="AI158" i="8"/>
  <c r="F830" i="8"/>
  <c r="E709" i="8"/>
  <c r="E159" i="8"/>
  <c r="AI829" i="8"/>
  <c r="E830" i="8"/>
  <c r="F1003" i="8"/>
  <c r="F709" i="8"/>
  <c r="E1003" i="8"/>
  <c r="A203" i="9"/>
  <c r="I204" i="9"/>
  <c r="Z831" i="8"/>
  <c r="Z160" i="8"/>
  <c r="M710" i="8"/>
  <c r="M160" i="8"/>
  <c r="M1004" i="8"/>
  <c r="M831" i="8"/>
  <c r="AH1004" i="8"/>
  <c r="AH160" i="8"/>
  <c r="AH710" i="8"/>
  <c r="AH831" i="8"/>
  <c r="L1003" i="8"/>
  <c r="L709" i="8"/>
  <c r="L159" i="8"/>
  <c r="B830" i="8"/>
  <c r="B709" i="8"/>
  <c r="B1003" i="8"/>
  <c r="B159" i="8"/>
  <c r="K160" i="8"/>
  <c r="I161" i="8"/>
  <c r="G160" i="8"/>
  <c r="AF160" i="8"/>
  <c r="AA160" i="8" s="1"/>
  <c r="AG160" i="8"/>
  <c r="A159" i="8"/>
  <c r="L830" i="8"/>
  <c r="AF1004" i="8"/>
  <c r="AA1004" i="8" s="1"/>
  <c r="G1004" i="8"/>
  <c r="AG1004" i="8"/>
  <c r="K1004" i="8"/>
  <c r="A1003" i="8"/>
  <c r="I1005" i="8"/>
  <c r="A830" i="8"/>
  <c r="I832" i="8"/>
  <c r="K831" i="8"/>
  <c r="AF831" i="8"/>
  <c r="AA831" i="8" s="1"/>
  <c r="G831" i="8"/>
  <c r="AG831" i="8"/>
  <c r="A709" i="8"/>
  <c r="AF710" i="8"/>
  <c r="AA710" i="8" s="1"/>
  <c r="K710" i="8"/>
  <c r="G710" i="8"/>
  <c r="AG710" i="8"/>
  <c r="I711" i="8"/>
  <c r="AD709" i="8" l="1"/>
  <c r="AD830" i="8"/>
  <c r="AD1003" i="8"/>
  <c r="AD159" i="8"/>
  <c r="E204" i="9"/>
  <c r="G204" i="9"/>
  <c r="F204" i="9" s="1"/>
  <c r="AI159" i="8"/>
  <c r="AI1003" i="8"/>
  <c r="AI709" i="8"/>
  <c r="F1004" i="8"/>
  <c r="E160" i="8"/>
  <c r="E831" i="8"/>
  <c r="E1004" i="8"/>
  <c r="F160" i="8"/>
  <c r="F831" i="8"/>
  <c r="E710" i="8"/>
  <c r="F710" i="8"/>
  <c r="AI830" i="8"/>
  <c r="A204" i="9"/>
  <c r="I205" i="9"/>
  <c r="Z832" i="8"/>
  <c r="Z161" i="8"/>
  <c r="M1005" i="8"/>
  <c r="M161" i="8"/>
  <c r="M832" i="8"/>
  <c r="M711" i="8"/>
  <c r="AH161" i="8"/>
  <c r="AH711" i="8"/>
  <c r="AH832" i="8"/>
  <c r="AH1005" i="8"/>
  <c r="L710" i="8"/>
  <c r="L831" i="8"/>
  <c r="L160" i="8"/>
  <c r="B1004" i="8"/>
  <c r="I162" i="8"/>
  <c r="B831" i="8"/>
  <c r="B710" i="8"/>
  <c r="B160" i="8"/>
  <c r="A160" i="8"/>
  <c r="G161" i="8"/>
  <c r="AF161" i="8"/>
  <c r="AA161" i="8" s="1"/>
  <c r="K161" i="8"/>
  <c r="AG161" i="8"/>
  <c r="L1004" i="8"/>
  <c r="A1004" i="8"/>
  <c r="I1006" i="8"/>
  <c r="G1005" i="8"/>
  <c r="K1005" i="8"/>
  <c r="AF1005" i="8"/>
  <c r="AA1005" i="8" s="1"/>
  <c r="AG1005" i="8"/>
  <c r="AG832" i="8"/>
  <c r="I833" i="8"/>
  <c r="K832" i="8"/>
  <c r="AF832" i="8"/>
  <c r="AA832" i="8" s="1"/>
  <c r="G832" i="8"/>
  <c r="A831" i="8"/>
  <c r="I712" i="8"/>
  <c r="G711" i="8"/>
  <c r="AF711" i="8"/>
  <c r="AA711" i="8" s="1"/>
  <c r="K711" i="8"/>
  <c r="AG711" i="8"/>
  <c r="A710" i="8"/>
  <c r="AD160" i="8" l="1"/>
  <c r="AD1004" i="8"/>
  <c r="AD831" i="8"/>
  <c r="AD710" i="8"/>
  <c r="AI831" i="8"/>
  <c r="AI1004" i="8"/>
  <c r="G205" i="9"/>
  <c r="F205" i="9" s="1"/>
  <c r="E205" i="9"/>
  <c r="AI710" i="8"/>
  <c r="F1005" i="8"/>
  <c r="E161" i="8"/>
  <c r="AI160" i="8"/>
  <c r="E711" i="8"/>
  <c r="F711" i="8"/>
  <c r="F161" i="8"/>
  <c r="E832" i="8"/>
  <c r="E1005" i="8"/>
  <c r="F832" i="8"/>
  <c r="A205" i="9"/>
  <c r="I206" i="9"/>
  <c r="Z833" i="8"/>
  <c r="Z162" i="8"/>
  <c r="M1006" i="8"/>
  <c r="M712" i="8"/>
  <c r="M162" i="8"/>
  <c r="M833" i="8"/>
  <c r="AH833" i="8"/>
  <c r="AH1006" i="8"/>
  <c r="AH712" i="8"/>
  <c r="AH162" i="8"/>
  <c r="L1005" i="8"/>
  <c r="L161" i="8"/>
  <c r="K162" i="8"/>
  <c r="G162" i="8"/>
  <c r="I163" i="8"/>
  <c r="B161" i="8"/>
  <c r="B1005" i="8"/>
  <c r="AF162" i="8"/>
  <c r="AA162" i="8" s="1"/>
  <c r="B711" i="8"/>
  <c r="AG162" i="8"/>
  <c r="B832" i="8"/>
  <c r="A161" i="8"/>
  <c r="A1005" i="8"/>
  <c r="L832" i="8"/>
  <c r="AF1006" i="8"/>
  <c r="AA1006" i="8" s="1"/>
  <c r="G1006" i="8"/>
  <c r="AG1006" i="8"/>
  <c r="K1006" i="8"/>
  <c r="I1007" i="8"/>
  <c r="K833" i="8"/>
  <c r="I834" i="8"/>
  <c r="AG833" i="8"/>
  <c r="AF833" i="8"/>
  <c r="AA833" i="8" s="1"/>
  <c r="A832" i="8"/>
  <c r="G833" i="8"/>
  <c r="A711" i="8"/>
  <c r="K712" i="8"/>
  <c r="AF712" i="8"/>
  <c r="AA712" i="8" s="1"/>
  <c r="AG712" i="8"/>
  <c r="I713" i="8"/>
  <c r="G712" i="8"/>
  <c r="L711" i="8"/>
  <c r="AD161" i="8" l="1"/>
  <c r="AD1005" i="8"/>
  <c r="AD832" i="8"/>
  <c r="AD711" i="8"/>
  <c r="E206" i="9"/>
  <c r="G206" i="9"/>
  <c r="F206" i="9" s="1"/>
  <c r="AI711" i="8"/>
  <c r="AI161" i="8"/>
  <c r="AI1005" i="8"/>
  <c r="AI832" i="8"/>
  <c r="F833" i="8"/>
  <c r="A162" i="8"/>
  <c r="F712" i="8"/>
  <c r="F162" i="8"/>
  <c r="F1006" i="8"/>
  <c r="E1006" i="8"/>
  <c r="E833" i="8"/>
  <c r="E712" i="8"/>
  <c r="A206" i="9"/>
  <c r="I207" i="9"/>
  <c r="E162" i="8"/>
  <c r="Z163" i="8"/>
  <c r="Z834" i="8"/>
  <c r="M834" i="8"/>
  <c r="M1007" i="8"/>
  <c r="M163" i="8"/>
  <c r="M713" i="8"/>
  <c r="AH1007" i="8"/>
  <c r="AH713" i="8"/>
  <c r="AH834" i="8"/>
  <c r="AH163" i="8"/>
  <c r="L162" i="8"/>
  <c r="L712" i="8"/>
  <c r="L833" i="8"/>
  <c r="I164" i="8"/>
  <c r="AF163" i="8"/>
  <c r="AA163" i="8" s="1"/>
  <c r="AG163" i="8"/>
  <c r="G163" i="8"/>
  <c r="K163" i="8"/>
  <c r="B162" i="8"/>
  <c r="B712" i="8"/>
  <c r="B833" i="8"/>
  <c r="B1006" i="8"/>
  <c r="L1006" i="8"/>
  <c r="A1006" i="8"/>
  <c r="AF1007" i="8"/>
  <c r="AA1007" i="8" s="1"/>
  <c r="AG1007" i="8"/>
  <c r="G1007" i="8"/>
  <c r="K1007" i="8"/>
  <c r="I1008" i="8"/>
  <c r="I835" i="8"/>
  <c r="G834" i="8"/>
  <c r="AF834" i="8"/>
  <c r="AA834" i="8" s="1"/>
  <c r="K834" i="8"/>
  <c r="AG834" i="8"/>
  <c r="A833" i="8"/>
  <c r="K713" i="8"/>
  <c r="AG713" i="8"/>
  <c r="G713" i="8"/>
  <c r="I714" i="8"/>
  <c r="AF713" i="8"/>
  <c r="AA713" i="8" s="1"/>
  <c r="A712" i="8"/>
  <c r="AD833" i="8" l="1"/>
  <c r="AD1006" i="8"/>
  <c r="AD162" i="8"/>
  <c r="AD712" i="8"/>
  <c r="G207" i="9"/>
  <c r="F207" i="9" s="1"/>
  <c r="E207" i="9"/>
  <c r="AI1006" i="8"/>
  <c r="E834" i="8"/>
  <c r="AI162" i="8"/>
  <c r="F713" i="8"/>
  <c r="F1007" i="8"/>
  <c r="AI833" i="8"/>
  <c r="F834" i="8"/>
  <c r="E163" i="8"/>
  <c r="E713" i="8"/>
  <c r="E1007" i="8"/>
  <c r="F163" i="8"/>
  <c r="AI712" i="8"/>
  <c r="A207" i="9"/>
  <c r="I208" i="9"/>
  <c r="Z164" i="8"/>
  <c r="Z835" i="8"/>
  <c r="M1008" i="8"/>
  <c r="M714" i="8"/>
  <c r="M835" i="8"/>
  <c r="M164" i="8"/>
  <c r="AH164" i="8"/>
  <c r="AH835" i="8"/>
  <c r="AH1008" i="8"/>
  <c r="AH714" i="8"/>
  <c r="L1007" i="8"/>
  <c r="L834" i="8"/>
  <c r="L163" i="8"/>
  <c r="AG164" i="8"/>
  <c r="G164" i="8"/>
  <c r="I165" i="8"/>
  <c r="AF164" i="8"/>
  <c r="AA164" i="8" s="1"/>
  <c r="K164" i="8"/>
  <c r="A163" i="8"/>
  <c r="B163" i="8"/>
  <c r="B834" i="8"/>
  <c r="B713" i="8"/>
  <c r="B1007" i="8"/>
  <c r="I1009" i="8"/>
  <c r="G1008" i="8"/>
  <c r="A1007" i="8"/>
  <c r="K1008" i="8"/>
  <c r="AG1008" i="8"/>
  <c r="AF1008" i="8"/>
  <c r="AA1008" i="8" s="1"/>
  <c r="G835" i="8"/>
  <c r="AG835" i="8"/>
  <c r="A834" i="8"/>
  <c r="I836" i="8"/>
  <c r="K835" i="8"/>
  <c r="AF835" i="8"/>
  <c r="AA835" i="8" s="1"/>
  <c r="A713" i="8"/>
  <c r="G714" i="8"/>
  <c r="AF714" i="8"/>
  <c r="AA714" i="8" s="1"/>
  <c r="K714" i="8"/>
  <c r="AG714" i="8"/>
  <c r="I715" i="8"/>
  <c r="L713" i="8"/>
  <c r="AD1007" i="8" l="1"/>
  <c r="AD834" i="8"/>
  <c r="AD713" i="8"/>
  <c r="AD163" i="8"/>
  <c r="AI713" i="8"/>
  <c r="G208" i="9"/>
  <c r="F208" i="9" s="1"/>
  <c r="E208" i="9"/>
  <c r="AI834" i="8"/>
  <c r="AI163" i="8"/>
  <c r="F1008" i="8"/>
  <c r="F835" i="8"/>
  <c r="F164" i="8"/>
  <c r="E1008" i="8"/>
  <c r="AI1007" i="8"/>
  <c r="E714" i="8"/>
  <c r="F714" i="8"/>
  <c r="B164" i="8"/>
  <c r="E835" i="8"/>
  <c r="A208" i="9"/>
  <c r="I209" i="9"/>
  <c r="E164" i="8"/>
  <c r="Z165" i="8"/>
  <c r="M165" i="8"/>
  <c r="M1009" i="8"/>
  <c r="M836" i="8"/>
  <c r="M715" i="8"/>
  <c r="AH1009" i="8"/>
  <c r="AH715" i="8"/>
  <c r="AH836" i="8"/>
  <c r="AH165" i="8"/>
  <c r="L164" i="8"/>
  <c r="K165" i="8"/>
  <c r="A164" i="8"/>
  <c r="AG165" i="8"/>
  <c r="G165" i="8"/>
  <c r="AF165" i="8"/>
  <c r="AA165" i="8" s="1"/>
  <c r="I166" i="8"/>
  <c r="B714" i="8"/>
  <c r="B1008" i="8"/>
  <c r="B835" i="8"/>
  <c r="L1008" i="8"/>
  <c r="L835" i="8"/>
  <c r="AF1009" i="8"/>
  <c r="AA1009" i="8" s="1"/>
  <c r="K1009" i="8"/>
  <c r="AG1009" i="8"/>
  <c r="G1009" i="8"/>
  <c r="I1010" i="8"/>
  <c r="A1008" i="8"/>
  <c r="A835" i="8"/>
  <c r="AG836" i="8"/>
  <c r="AF836" i="8"/>
  <c r="AA836" i="8" s="1"/>
  <c r="K836" i="8"/>
  <c r="G836" i="8"/>
  <c r="I837" i="8"/>
  <c r="A714" i="8"/>
  <c r="AF715" i="8"/>
  <c r="AA715" i="8" s="1"/>
  <c r="K715" i="8"/>
  <c r="AG715" i="8"/>
  <c r="G715" i="8"/>
  <c r="I716" i="8"/>
  <c r="L714" i="8"/>
  <c r="AD835" i="8" l="1"/>
  <c r="AD164" i="8"/>
  <c r="AD1008" i="8"/>
  <c r="AD714" i="8"/>
  <c r="G209" i="9"/>
  <c r="F209" i="9" s="1"/>
  <c r="E209" i="9"/>
  <c r="AI835" i="8"/>
  <c r="AI714" i="8"/>
  <c r="AI164" i="8"/>
  <c r="F715" i="8"/>
  <c r="E715" i="8"/>
  <c r="F836" i="8"/>
  <c r="A165" i="8"/>
  <c r="F165" i="8"/>
  <c r="E1009" i="8"/>
  <c r="AI1008" i="8"/>
  <c r="F1009" i="8"/>
  <c r="E836" i="8"/>
  <c r="A209" i="9"/>
  <c r="I210" i="9"/>
  <c r="E165" i="8"/>
  <c r="Z166" i="8"/>
  <c r="W716" i="8"/>
  <c r="Z716" i="8"/>
  <c r="X716" i="8"/>
  <c r="M166" i="8"/>
  <c r="M837" i="8"/>
  <c r="M716" i="8"/>
  <c r="M1010" i="8"/>
  <c r="AH1010" i="8"/>
  <c r="AH166" i="8"/>
  <c r="AH837" i="8"/>
  <c r="AH716" i="8"/>
  <c r="K166" i="8"/>
  <c r="AF166" i="8"/>
  <c r="AA166" i="8" s="1"/>
  <c r="L836" i="8"/>
  <c r="B165" i="8"/>
  <c r="L165" i="8"/>
  <c r="G166" i="8"/>
  <c r="AG166" i="8"/>
  <c r="I167" i="8"/>
  <c r="B1009" i="8"/>
  <c r="B836" i="8"/>
  <c r="B715" i="8"/>
  <c r="L1009" i="8"/>
  <c r="A1009" i="8"/>
  <c r="AF1010" i="8"/>
  <c r="AA1010" i="8" s="1"/>
  <c r="K1010" i="8"/>
  <c r="AG1010" i="8"/>
  <c r="G1010" i="8"/>
  <c r="I1011" i="8"/>
  <c r="A836" i="8"/>
  <c r="G837" i="8"/>
  <c r="AF837" i="8"/>
  <c r="AA837" i="8" s="1"/>
  <c r="AG837" i="8"/>
  <c r="K837" i="8"/>
  <c r="I838" i="8"/>
  <c r="A715" i="8"/>
  <c r="G716" i="8"/>
  <c r="K716" i="8"/>
  <c r="AG716" i="8"/>
  <c r="AF716" i="8"/>
  <c r="AA716" i="8" s="1"/>
  <c r="I717" i="8"/>
  <c r="L715" i="8"/>
  <c r="AD715" i="8" l="1"/>
  <c r="AD836" i="8"/>
  <c r="AD165" i="8"/>
  <c r="AD1009" i="8"/>
  <c r="E210" i="9"/>
  <c r="G210" i="9"/>
  <c r="F210" i="9" s="1"/>
  <c r="AI836" i="8"/>
  <c r="AI715" i="8"/>
  <c r="AI1009" i="8"/>
  <c r="AI165" i="8"/>
  <c r="F837" i="8"/>
  <c r="F1010" i="8"/>
  <c r="A166" i="8"/>
  <c r="F166" i="8"/>
  <c r="E837" i="8"/>
  <c r="E1010" i="8"/>
  <c r="F716" i="8"/>
  <c r="A210" i="9"/>
  <c r="I211" i="9"/>
  <c r="E166" i="8"/>
  <c r="Z717" i="8"/>
  <c r="Z167" i="8"/>
  <c r="M167" i="8"/>
  <c r="M1011" i="8"/>
  <c r="M838" i="8"/>
  <c r="M717" i="8"/>
  <c r="AH167" i="8"/>
  <c r="AH1011" i="8"/>
  <c r="AH717" i="8"/>
  <c r="AH838" i="8"/>
  <c r="B166" i="8"/>
  <c r="AG167" i="8"/>
  <c r="L716" i="8"/>
  <c r="L1010" i="8"/>
  <c r="L166" i="8"/>
  <c r="G167" i="8"/>
  <c r="AF167" i="8"/>
  <c r="AA167" i="8" s="1"/>
  <c r="K167" i="8"/>
  <c r="I168" i="8"/>
  <c r="B716" i="8"/>
  <c r="B1010" i="8"/>
  <c r="B837" i="8"/>
  <c r="L837" i="8"/>
  <c r="K1011" i="8"/>
  <c r="AG1011" i="8"/>
  <c r="I1012" i="8"/>
  <c r="G1011" i="8"/>
  <c r="AF1011" i="8"/>
  <c r="AA1011" i="8" s="1"/>
  <c r="A1010" i="8"/>
  <c r="A837" i="8"/>
  <c r="K838" i="8"/>
  <c r="AF838" i="8"/>
  <c r="AA838" i="8" s="1"/>
  <c r="AG838" i="8"/>
  <c r="G838" i="8"/>
  <c r="I839" i="8"/>
  <c r="A716" i="8"/>
  <c r="G717" i="8"/>
  <c r="AF717" i="8"/>
  <c r="AA717" i="8" s="1"/>
  <c r="K717" i="8"/>
  <c r="AG717" i="8"/>
  <c r="I718" i="8"/>
  <c r="AD1010" i="8" l="1"/>
  <c r="AD837" i="8"/>
  <c r="AD716" i="8"/>
  <c r="AD166" i="8"/>
  <c r="E211" i="9"/>
  <c r="G211" i="9"/>
  <c r="F211" i="9" s="1"/>
  <c r="F1011" i="8"/>
  <c r="F717" i="8"/>
  <c r="AI166" i="8"/>
  <c r="F838" i="8"/>
  <c r="AI1010" i="8"/>
  <c r="E838" i="8"/>
  <c r="B167" i="8"/>
  <c r="F167" i="8"/>
  <c r="E1011" i="8"/>
  <c r="AI837" i="8"/>
  <c r="A211" i="9"/>
  <c r="I212" i="9"/>
  <c r="E167" i="8"/>
  <c r="Z168" i="8"/>
  <c r="Z718" i="8"/>
  <c r="M168" i="8"/>
  <c r="M839" i="8"/>
  <c r="M718" i="8"/>
  <c r="M1012" i="8"/>
  <c r="AH1012" i="8"/>
  <c r="AH168" i="8"/>
  <c r="AH718" i="8"/>
  <c r="AH839" i="8"/>
  <c r="L717" i="8"/>
  <c r="AG168" i="8"/>
  <c r="G168" i="8"/>
  <c r="L167" i="8"/>
  <c r="A167" i="8"/>
  <c r="K168" i="8"/>
  <c r="AF168" i="8"/>
  <c r="AA168" i="8" s="1"/>
  <c r="I169" i="8"/>
  <c r="B717" i="8"/>
  <c r="B838" i="8"/>
  <c r="B1011" i="8"/>
  <c r="L1011" i="8"/>
  <c r="L838" i="8"/>
  <c r="AF1012" i="8"/>
  <c r="AA1012" i="8" s="1"/>
  <c r="AG1012" i="8"/>
  <c r="I1013" i="8"/>
  <c r="K1012" i="8"/>
  <c r="G1012" i="8"/>
  <c r="A1011" i="8"/>
  <c r="I840" i="8"/>
  <c r="AF839" i="8"/>
  <c r="AA839" i="8" s="1"/>
  <c r="A838" i="8"/>
  <c r="K839" i="8"/>
  <c r="AG839" i="8"/>
  <c r="G839" i="8"/>
  <c r="A717" i="8"/>
  <c r="AG718" i="8"/>
  <c r="G718" i="8"/>
  <c r="K718" i="8"/>
  <c r="AF718" i="8"/>
  <c r="AA718" i="8" s="1"/>
  <c r="I719" i="8"/>
  <c r="AD167" i="8" l="1"/>
  <c r="AD838" i="8"/>
  <c r="AD1011" i="8"/>
  <c r="AD717" i="8"/>
  <c r="E212" i="9"/>
  <c r="G212" i="9"/>
  <c r="F212" i="9" s="1"/>
  <c r="F718" i="8"/>
  <c r="AI167" i="8"/>
  <c r="E1012" i="8"/>
  <c r="F168" i="8"/>
  <c r="E718" i="8"/>
  <c r="B168" i="8"/>
  <c r="E839" i="8"/>
  <c r="AI838" i="8"/>
  <c r="F1012" i="8"/>
  <c r="F839" i="8"/>
  <c r="AI1011" i="8"/>
  <c r="A212" i="9"/>
  <c r="I213" i="9"/>
  <c r="E168" i="8"/>
  <c r="Z719" i="8"/>
  <c r="Z169" i="8"/>
  <c r="M840" i="8"/>
  <c r="M169" i="8"/>
  <c r="M719" i="8"/>
  <c r="M1013" i="8"/>
  <c r="AH169" i="8"/>
  <c r="AH840" i="8"/>
  <c r="AH719" i="8"/>
  <c r="AH1013" i="8"/>
  <c r="I170" i="8"/>
  <c r="K169" i="8"/>
  <c r="AF169" i="8"/>
  <c r="AA169" i="8" s="1"/>
  <c r="AG169" i="8"/>
  <c r="A168" i="8"/>
  <c r="L839" i="8"/>
  <c r="L1012" i="8"/>
  <c r="L168" i="8"/>
  <c r="G169" i="8"/>
  <c r="B718" i="8"/>
  <c r="B839" i="8"/>
  <c r="B1012" i="8"/>
  <c r="I1014" i="8"/>
  <c r="G1013" i="8"/>
  <c r="K1013" i="8"/>
  <c r="AG1013" i="8"/>
  <c r="A1012" i="8"/>
  <c r="AF1013" i="8"/>
  <c r="AA1013" i="8" s="1"/>
  <c r="G840" i="8"/>
  <c r="K840" i="8"/>
  <c r="I841" i="8"/>
  <c r="AF840" i="8"/>
  <c r="AA840" i="8" s="1"/>
  <c r="AG840" i="8"/>
  <c r="A839" i="8"/>
  <c r="A718" i="8"/>
  <c r="G719" i="8"/>
  <c r="I720" i="8"/>
  <c r="K719" i="8"/>
  <c r="AG719" i="8"/>
  <c r="AF719" i="8"/>
  <c r="AA719" i="8" s="1"/>
  <c r="L718" i="8"/>
  <c r="AD839" i="8" l="1"/>
  <c r="AD168" i="8"/>
  <c r="AD718" i="8"/>
  <c r="AD1012" i="8"/>
  <c r="G213" i="9"/>
  <c r="F213" i="9" s="1"/>
  <c r="E213" i="9"/>
  <c r="AI718" i="8"/>
  <c r="AI1012" i="8"/>
  <c r="E719" i="8"/>
  <c r="A169" i="8"/>
  <c r="F169" i="8"/>
  <c r="E840" i="8"/>
  <c r="AI168" i="8"/>
  <c r="F1013" i="8"/>
  <c r="E1013" i="8"/>
  <c r="F719" i="8"/>
  <c r="F840" i="8"/>
  <c r="AI839" i="8"/>
  <c r="A213" i="9"/>
  <c r="I214" i="9"/>
  <c r="E169" i="8"/>
  <c r="Z720" i="8"/>
  <c r="Z170" i="8"/>
  <c r="M720" i="8"/>
  <c r="M1014" i="8"/>
  <c r="M841" i="8"/>
  <c r="M170" i="8"/>
  <c r="AH720" i="8"/>
  <c r="AH1014" i="8"/>
  <c r="AH841" i="8"/>
  <c r="AH170" i="8"/>
  <c r="L169" i="8"/>
  <c r="AG170" i="8"/>
  <c r="AF170" i="8"/>
  <c r="AA170" i="8" s="1"/>
  <c r="I171" i="8"/>
  <c r="G170" i="8"/>
  <c r="B169" i="8"/>
  <c r="K170" i="8"/>
  <c r="L840" i="8"/>
  <c r="B1013" i="8"/>
  <c r="B840" i="8"/>
  <c r="B719" i="8"/>
  <c r="L1013" i="8"/>
  <c r="K1014" i="8"/>
  <c r="G1014" i="8"/>
  <c r="I1015" i="8"/>
  <c r="AG1014" i="8"/>
  <c r="A1013" i="8"/>
  <c r="AF1014" i="8"/>
  <c r="AA1014" i="8" s="1"/>
  <c r="A840" i="8"/>
  <c r="I842" i="8"/>
  <c r="AG841" i="8"/>
  <c r="AF841" i="8"/>
  <c r="AA841" i="8" s="1"/>
  <c r="G841" i="8"/>
  <c r="K841" i="8"/>
  <c r="A719" i="8"/>
  <c r="L719" i="8"/>
  <c r="G720" i="8"/>
  <c r="AF720" i="8"/>
  <c r="AA720" i="8" s="1"/>
  <c r="I721" i="8"/>
  <c r="K720" i="8"/>
  <c r="AG720" i="8"/>
  <c r="AD719" i="8" l="1"/>
  <c r="AD169" i="8"/>
  <c r="AD840" i="8"/>
  <c r="AD1013" i="8"/>
  <c r="G214" i="9"/>
  <c r="F214" i="9" s="1"/>
  <c r="E214" i="9"/>
  <c r="AI719" i="8"/>
  <c r="AI840" i="8"/>
  <c r="AI1013" i="8"/>
  <c r="B170" i="8"/>
  <c r="AI169" i="8"/>
  <c r="F841" i="8"/>
  <c r="F720" i="8"/>
  <c r="F170" i="8"/>
  <c r="E720" i="8"/>
  <c r="E841" i="8"/>
  <c r="E1014" i="8"/>
  <c r="F1014" i="8"/>
  <c r="A214" i="9"/>
  <c r="I215" i="9"/>
  <c r="E170" i="8"/>
  <c r="Z171" i="8"/>
  <c r="Z721" i="8"/>
  <c r="M842" i="8"/>
  <c r="M171" i="8"/>
  <c r="M721" i="8"/>
  <c r="M1015" i="8"/>
  <c r="AH721" i="8"/>
  <c r="AH1015" i="8"/>
  <c r="AH171" i="8"/>
  <c r="AH842" i="8"/>
  <c r="L170" i="8"/>
  <c r="K171" i="8"/>
  <c r="AG171" i="8"/>
  <c r="I172" i="8"/>
  <c r="G171" i="8"/>
  <c r="A170" i="8"/>
  <c r="AF171" i="8"/>
  <c r="AA171" i="8" s="1"/>
  <c r="B841" i="8"/>
  <c r="B720" i="8"/>
  <c r="B1014" i="8"/>
  <c r="L1014" i="8"/>
  <c r="A1014" i="8"/>
  <c r="AF1015" i="8"/>
  <c r="AA1015" i="8" s="1"/>
  <c r="K1015" i="8"/>
  <c r="G1015" i="8"/>
  <c r="I1016" i="8"/>
  <c r="L841" i="8"/>
  <c r="AG1015" i="8"/>
  <c r="AF842" i="8"/>
  <c r="AA842" i="8" s="1"/>
  <c r="AG842" i="8"/>
  <c r="I843" i="8"/>
  <c r="G842" i="8"/>
  <c r="A841" i="8"/>
  <c r="K842" i="8"/>
  <c r="A720" i="8"/>
  <c r="K721" i="8"/>
  <c r="G721" i="8"/>
  <c r="AG721" i="8"/>
  <c r="I722" i="8"/>
  <c r="AF721" i="8"/>
  <c r="AA721" i="8" s="1"/>
  <c r="L720" i="8"/>
  <c r="AD841" i="8" l="1"/>
  <c r="AD170" i="8"/>
  <c r="AD720" i="8"/>
  <c r="AD1014" i="8"/>
  <c r="G215" i="9"/>
  <c r="F215" i="9" s="1"/>
  <c r="E215" i="9"/>
  <c r="AI841" i="8"/>
  <c r="AI720" i="8"/>
  <c r="E721" i="8"/>
  <c r="AI170" i="8"/>
  <c r="F842" i="8"/>
  <c r="E1015" i="8"/>
  <c r="AI1014" i="8"/>
  <c r="F171" i="8"/>
  <c r="F721" i="8"/>
  <c r="B171" i="8"/>
  <c r="E842" i="8"/>
  <c r="F1015" i="8"/>
  <c r="A215" i="9"/>
  <c r="I216" i="9"/>
  <c r="E171" i="8"/>
  <c r="Z172" i="8"/>
  <c r="Z722" i="8"/>
  <c r="M1016" i="8"/>
  <c r="M172" i="8"/>
  <c r="M722" i="8"/>
  <c r="M843" i="8"/>
  <c r="AH843" i="8"/>
  <c r="AH722" i="8"/>
  <c r="AH1016" i="8"/>
  <c r="AH172" i="8"/>
  <c r="L171" i="8"/>
  <c r="G172" i="8"/>
  <c r="K172" i="8"/>
  <c r="A171" i="8"/>
  <c r="AG172" i="8"/>
  <c r="I173" i="8"/>
  <c r="AF172" i="8"/>
  <c r="AA172" i="8" s="1"/>
  <c r="L1015" i="8"/>
  <c r="L721" i="8"/>
  <c r="B842" i="8"/>
  <c r="B721" i="8"/>
  <c r="B1015" i="8"/>
  <c r="A1015" i="8"/>
  <c r="K1016" i="8"/>
  <c r="AF1016" i="8"/>
  <c r="AA1016" i="8" s="1"/>
  <c r="G1016" i="8"/>
  <c r="I1017" i="8"/>
  <c r="AG1016" i="8"/>
  <c r="L842" i="8"/>
  <c r="AG843" i="8"/>
  <c r="G843" i="8"/>
  <c r="I844" i="8"/>
  <c r="AF843" i="8"/>
  <c r="AA843" i="8" s="1"/>
  <c r="A842" i="8"/>
  <c r="K843" i="8"/>
  <c r="A721" i="8"/>
  <c r="I723" i="8"/>
  <c r="G722" i="8"/>
  <c r="AF722" i="8"/>
  <c r="AA722" i="8" s="1"/>
  <c r="K722" i="8"/>
  <c r="AG722" i="8"/>
  <c r="AD171" i="8" l="1"/>
  <c r="AD1015" i="8"/>
  <c r="AD842" i="8"/>
  <c r="AD721" i="8"/>
  <c r="G216" i="9"/>
  <c r="F216" i="9" s="1"/>
  <c r="E216" i="9"/>
  <c r="AI721" i="8"/>
  <c r="AI1015" i="8"/>
  <c r="F843" i="8"/>
  <c r="A172" i="8"/>
  <c r="E722" i="8"/>
  <c r="F722" i="8"/>
  <c r="F1016" i="8"/>
  <c r="AI171" i="8"/>
  <c r="E1016" i="8"/>
  <c r="F172" i="8"/>
  <c r="E843" i="8"/>
  <c r="AI842" i="8"/>
  <c r="A216" i="9"/>
  <c r="I217" i="9"/>
  <c r="E172" i="8"/>
  <c r="Z723" i="8"/>
  <c r="M1017" i="8"/>
  <c r="M844" i="8"/>
  <c r="M723" i="8"/>
  <c r="M173" i="8"/>
  <c r="AH173" i="8"/>
  <c r="AH844" i="8"/>
  <c r="AH1017" i="8"/>
  <c r="AH723" i="8"/>
  <c r="L172" i="8"/>
  <c r="B172" i="8"/>
  <c r="AG173" i="8"/>
  <c r="G173" i="8"/>
  <c r="AF173" i="8"/>
  <c r="AA173" i="8" s="1"/>
  <c r="I174" i="8"/>
  <c r="K173" i="8"/>
  <c r="L843" i="8"/>
  <c r="B1016" i="8"/>
  <c r="B722" i="8"/>
  <c r="B843" i="8"/>
  <c r="L1016" i="8"/>
  <c r="I1018" i="8"/>
  <c r="G1017" i="8"/>
  <c r="AF1017" i="8"/>
  <c r="AA1017" i="8" s="1"/>
  <c r="K1017" i="8"/>
  <c r="A1016" i="8"/>
  <c r="AG1017" i="8"/>
  <c r="A843" i="8"/>
  <c r="I845" i="8"/>
  <c r="AF844" i="8"/>
  <c r="AA844" i="8" s="1"/>
  <c r="AG844" i="8"/>
  <c r="G844" i="8"/>
  <c r="K844" i="8"/>
  <c r="A722" i="8"/>
  <c r="L722" i="8"/>
  <c r="AG723" i="8"/>
  <c r="AF723" i="8"/>
  <c r="AA723" i="8" s="1"/>
  <c r="I724" i="8"/>
  <c r="K723" i="8"/>
  <c r="G723" i="8"/>
  <c r="AD1016" i="8" l="1"/>
  <c r="AD722" i="8"/>
  <c r="AD172" i="8"/>
  <c r="AD843" i="8"/>
  <c r="G217" i="9"/>
  <c r="F217" i="9" s="1"/>
  <c r="E217" i="9"/>
  <c r="AI722" i="8"/>
  <c r="AI1016" i="8"/>
  <c r="AI172" i="8"/>
  <c r="F844" i="8"/>
  <c r="F1017" i="8"/>
  <c r="B173" i="8"/>
  <c r="E723" i="8"/>
  <c r="E844" i="8"/>
  <c r="AI843" i="8"/>
  <c r="F173" i="8"/>
  <c r="F723" i="8"/>
  <c r="E1017" i="8"/>
  <c r="A217" i="9"/>
  <c r="I218" i="9"/>
  <c r="E173" i="8"/>
  <c r="Z724" i="8"/>
  <c r="M1018" i="8"/>
  <c r="M724" i="8"/>
  <c r="M845" i="8"/>
  <c r="M174" i="8"/>
  <c r="AH174" i="8"/>
  <c r="AH845" i="8"/>
  <c r="AH724" i="8"/>
  <c r="AH1018" i="8"/>
  <c r="L173" i="8"/>
  <c r="A173" i="8"/>
  <c r="I175" i="8"/>
  <c r="AG174" i="8"/>
  <c r="AF174" i="8"/>
  <c r="AA174" i="8" s="1"/>
  <c r="G174" i="8"/>
  <c r="K174" i="8"/>
  <c r="L844" i="8"/>
  <c r="B844" i="8"/>
  <c r="B723" i="8"/>
  <c r="B1017" i="8"/>
  <c r="L1017" i="8"/>
  <c r="K1018" i="8"/>
  <c r="A1017" i="8"/>
  <c r="AF1018" i="8"/>
  <c r="AA1018" i="8" s="1"/>
  <c r="I1019" i="8"/>
  <c r="AG1018" i="8"/>
  <c r="G1018" i="8"/>
  <c r="A844" i="8"/>
  <c r="G845" i="8"/>
  <c r="AF845" i="8"/>
  <c r="AA845" i="8" s="1"/>
  <c r="K845" i="8"/>
  <c r="AG845" i="8"/>
  <c r="I846" i="8"/>
  <c r="A723" i="8"/>
  <c r="AF724" i="8"/>
  <c r="AA724" i="8" s="1"/>
  <c r="G724" i="8"/>
  <c r="I725" i="8"/>
  <c r="AG724" i="8"/>
  <c r="K724" i="8"/>
  <c r="L723" i="8"/>
  <c r="AD1017" i="8" l="1"/>
  <c r="AD173" i="8"/>
  <c r="AD844" i="8"/>
  <c r="AD723" i="8"/>
  <c r="AI1017" i="8"/>
  <c r="E218" i="9"/>
  <c r="K218" i="9" s="1"/>
  <c r="L218" i="9"/>
  <c r="G218" i="9"/>
  <c r="F218" i="9" s="1"/>
  <c r="F1018" i="8"/>
  <c r="E845" i="8"/>
  <c r="F174" i="8"/>
  <c r="AI173" i="8"/>
  <c r="E724" i="8"/>
  <c r="A174" i="8"/>
  <c r="E1018" i="8"/>
  <c r="AI844" i="8"/>
  <c r="F724" i="8"/>
  <c r="F845" i="8"/>
  <c r="AI723" i="8"/>
  <c r="I219" i="9"/>
  <c r="E174" i="8"/>
  <c r="Z725" i="8"/>
  <c r="M1019" i="8"/>
  <c r="M725" i="8"/>
  <c r="M175" i="8"/>
  <c r="M846" i="8"/>
  <c r="AH725" i="8"/>
  <c r="AH1019" i="8"/>
  <c r="AH175" i="8"/>
  <c r="AH846" i="8"/>
  <c r="L174" i="8"/>
  <c r="G175" i="8"/>
  <c r="K175" i="8"/>
  <c r="AG175" i="8"/>
  <c r="AF175" i="8"/>
  <c r="AA175" i="8" s="1"/>
  <c r="I176" i="8"/>
  <c r="B174" i="8"/>
  <c r="L1018" i="8"/>
  <c r="B1018" i="8"/>
  <c r="B845" i="8"/>
  <c r="B724" i="8"/>
  <c r="I1020" i="8"/>
  <c r="A1018" i="8"/>
  <c r="AG1019" i="8"/>
  <c r="K1019" i="8"/>
  <c r="G1019" i="8"/>
  <c r="AF1019" i="8"/>
  <c r="AA1019" i="8" s="1"/>
  <c r="L845" i="8"/>
  <c r="A845" i="8"/>
  <c r="AG846" i="8"/>
  <c r="I847" i="8"/>
  <c r="AF846" i="8"/>
  <c r="AA846" i="8" s="1"/>
  <c r="K846" i="8"/>
  <c r="G846" i="8"/>
  <c r="A724" i="8"/>
  <c r="L724" i="8"/>
  <c r="G725" i="8"/>
  <c r="I726" i="8"/>
  <c r="AF725" i="8"/>
  <c r="AA725" i="8" s="1"/>
  <c r="K725" i="8"/>
  <c r="AG725" i="8"/>
  <c r="AD845" i="8" l="1"/>
  <c r="AD174" i="8"/>
  <c r="AD1018" i="8"/>
  <c r="AD724" i="8"/>
  <c r="E219" i="9"/>
  <c r="K219" i="9" s="1"/>
  <c r="L219" i="9"/>
  <c r="G219" i="9"/>
  <c r="F219" i="9" s="1"/>
  <c r="AI845" i="8"/>
  <c r="AI724" i="8"/>
  <c r="AI174" i="8"/>
  <c r="E725" i="8"/>
  <c r="E846" i="8"/>
  <c r="E1019" i="8"/>
  <c r="F175" i="8"/>
  <c r="F846" i="8"/>
  <c r="F1019" i="8"/>
  <c r="B175" i="8"/>
  <c r="F725" i="8"/>
  <c r="AI1018" i="8"/>
  <c r="I220" i="9"/>
  <c r="E175" i="8"/>
  <c r="Z726" i="8"/>
  <c r="M726" i="8"/>
  <c r="M847" i="8"/>
  <c r="M1020" i="8"/>
  <c r="M176" i="8"/>
  <c r="AH1020" i="8"/>
  <c r="AH726" i="8"/>
  <c r="AH176" i="8"/>
  <c r="AH847" i="8"/>
  <c r="L175" i="8"/>
  <c r="A175" i="8"/>
  <c r="AF176" i="8"/>
  <c r="AA176" i="8" s="1"/>
  <c r="K176" i="8"/>
  <c r="G176" i="8"/>
  <c r="AG176" i="8"/>
  <c r="I177" i="8"/>
  <c r="L725" i="8"/>
  <c r="L1019" i="8"/>
  <c r="B725" i="8"/>
  <c r="B846" i="8"/>
  <c r="B1019" i="8"/>
  <c r="I1021" i="8"/>
  <c r="AF1020" i="8"/>
  <c r="AA1020" i="8" s="1"/>
  <c r="K1020" i="8"/>
  <c r="G1020" i="8"/>
  <c r="AG1020" i="8"/>
  <c r="A1019" i="8"/>
  <c r="L846" i="8"/>
  <c r="G847" i="8"/>
  <c r="AF847" i="8"/>
  <c r="AA847" i="8" s="1"/>
  <c r="I848" i="8"/>
  <c r="AG847" i="8"/>
  <c r="K847" i="8"/>
  <c r="A846" i="8"/>
  <c r="A725" i="8"/>
  <c r="G726" i="8"/>
  <c r="I727" i="8"/>
  <c r="AF726" i="8"/>
  <c r="AA726" i="8" s="1"/>
  <c r="K726" i="8"/>
  <c r="AG726" i="8"/>
  <c r="AD175" i="8" l="1"/>
  <c r="AD1019" i="8"/>
  <c r="AD725" i="8"/>
  <c r="AD846" i="8"/>
  <c r="E220" i="9"/>
  <c r="K220" i="9" s="1"/>
  <c r="G220" i="9"/>
  <c r="F220" i="9" s="1"/>
  <c r="AI846" i="8"/>
  <c r="AI1019" i="8"/>
  <c r="AI725" i="8"/>
  <c r="E847" i="8"/>
  <c r="A176" i="8"/>
  <c r="F176" i="8"/>
  <c r="AI175" i="8"/>
  <c r="F847" i="8"/>
  <c r="E1020" i="8"/>
  <c r="F726" i="8"/>
  <c r="E726" i="8"/>
  <c r="F1020" i="8"/>
  <c r="I221" i="9"/>
  <c r="E176" i="8"/>
  <c r="Z727" i="8"/>
  <c r="M848" i="8"/>
  <c r="M727" i="8"/>
  <c r="M1021" i="8"/>
  <c r="M177" i="8"/>
  <c r="AH727" i="8"/>
  <c r="AH848" i="8"/>
  <c r="AH1021" i="8"/>
  <c r="AH177" i="8"/>
  <c r="L176" i="8"/>
  <c r="AF177" i="8"/>
  <c r="AA177" i="8" s="1"/>
  <c r="I178" i="8"/>
  <c r="G177" i="8"/>
  <c r="B176" i="8"/>
  <c r="AG177" i="8"/>
  <c r="K177" i="8"/>
  <c r="L726" i="8"/>
  <c r="G1021" i="8"/>
  <c r="B847" i="8"/>
  <c r="B726" i="8"/>
  <c r="B1020" i="8"/>
  <c r="I1022" i="8"/>
  <c r="AF1021" i="8"/>
  <c r="AA1021" i="8" s="1"/>
  <c r="K1021" i="8"/>
  <c r="AG1021" i="8"/>
  <c r="A1020" i="8"/>
  <c r="L1020" i="8"/>
  <c r="L847" i="8"/>
  <c r="A847" i="8"/>
  <c r="AG848" i="8"/>
  <c r="I849" i="8"/>
  <c r="G848" i="8"/>
  <c r="K848" i="8"/>
  <c r="AF848" i="8"/>
  <c r="AA848" i="8" s="1"/>
  <c r="A726" i="8"/>
  <c r="G727" i="8"/>
  <c r="AG727" i="8"/>
  <c r="I728" i="8"/>
  <c r="K727" i="8"/>
  <c r="AF727" i="8"/>
  <c r="AA727" i="8" s="1"/>
  <c r="AD847" i="8" l="1"/>
  <c r="AD176" i="8"/>
  <c r="AD1020" i="8"/>
  <c r="AD726" i="8"/>
  <c r="G221" i="9"/>
  <c r="F221" i="9" s="1"/>
  <c r="E221" i="9"/>
  <c r="K221" i="9" s="1"/>
  <c r="AI847" i="8"/>
  <c r="AI726" i="8"/>
  <c r="F848" i="8"/>
  <c r="AI1020" i="8"/>
  <c r="F177" i="8"/>
  <c r="AI176" i="8"/>
  <c r="E848" i="8"/>
  <c r="F1021" i="8"/>
  <c r="F727" i="8"/>
  <c r="E727" i="8"/>
  <c r="E1021" i="8"/>
  <c r="A177" i="8"/>
  <c r="I222" i="9"/>
  <c r="E177" i="8"/>
  <c r="Z728" i="8"/>
  <c r="W1022" i="8"/>
  <c r="Z1022" i="8"/>
  <c r="X1022" i="8"/>
  <c r="M178" i="8"/>
  <c r="M1022" i="8"/>
  <c r="M849" i="8"/>
  <c r="M728" i="8"/>
  <c r="AH728" i="8"/>
  <c r="AH178" i="8"/>
  <c r="AH849" i="8"/>
  <c r="AH1022" i="8"/>
  <c r="L177" i="8"/>
  <c r="AF178" i="8"/>
  <c r="AA178" i="8" s="1"/>
  <c r="B177" i="8"/>
  <c r="AG178" i="8"/>
  <c r="K178" i="8"/>
  <c r="I179" i="8"/>
  <c r="G178" i="8"/>
  <c r="L1021" i="8"/>
  <c r="L848" i="8"/>
  <c r="B1021" i="8"/>
  <c r="A1021" i="8"/>
  <c r="B727" i="8"/>
  <c r="K1022" i="8"/>
  <c r="B848" i="8"/>
  <c r="G1022" i="8"/>
  <c r="AG1022" i="8"/>
  <c r="AF1022" i="8"/>
  <c r="AA1022" i="8" s="1"/>
  <c r="I1023" i="8"/>
  <c r="K849" i="8"/>
  <c r="AF849" i="8"/>
  <c r="AA849" i="8" s="1"/>
  <c r="G849" i="8"/>
  <c r="I850" i="8"/>
  <c r="AG849" i="8"/>
  <c r="A848" i="8"/>
  <c r="A727" i="8"/>
  <c r="K728" i="8"/>
  <c r="G728" i="8"/>
  <c r="AG728" i="8"/>
  <c r="I729" i="8"/>
  <c r="AF728" i="8"/>
  <c r="AA728" i="8" s="1"/>
  <c r="L727" i="8"/>
  <c r="AD1021" i="8" l="1"/>
  <c r="AD177" i="8"/>
  <c r="AD727" i="8"/>
  <c r="AD848" i="8"/>
  <c r="E222" i="9"/>
  <c r="K222" i="9" s="1"/>
  <c r="G222" i="9"/>
  <c r="F222" i="9" s="1"/>
  <c r="F849" i="8"/>
  <c r="F728" i="8"/>
  <c r="AI177" i="8"/>
  <c r="AI848" i="8"/>
  <c r="E728" i="8"/>
  <c r="AI1021" i="8"/>
  <c r="E849" i="8"/>
  <c r="F1022" i="8"/>
  <c r="AI727" i="8"/>
  <c r="F178" i="8"/>
  <c r="B178" i="8"/>
  <c r="I223" i="9"/>
  <c r="E178" i="8"/>
  <c r="Z729" i="8"/>
  <c r="Z1023" i="8"/>
  <c r="M729" i="8"/>
  <c r="M1023" i="8"/>
  <c r="M179" i="8"/>
  <c r="M850" i="8"/>
  <c r="AH850" i="8"/>
  <c r="AH1023" i="8"/>
  <c r="AH729" i="8"/>
  <c r="AH179" i="8"/>
  <c r="L178" i="8"/>
  <c r="AF179" i="8"/>
  <c r="AA179" i="8" s="1"/>
  <c r="AG179" i="8"/>
  <c r="A178" i="8"/>
  <c r="I180" i="8"/>
  <c r="G179" i="8"/>
  <c r="K179" i="8"/>
  <c r="L1022" i="8"/>
  <c r="B849" i="8"/>
  <c r="B1022" i="8"/>
  <c r="B728" i="8"/>
  <c r="A1022" i="8"/>
  <c r="AF1023" i="8"/>
  <c r="AA1023" i="8" s="1"/>
  <c r="K1023" i="8"/>
  <c r="I1024" i="8"/>
  <c r="G1023" i="8"/>
  <c r="AG1023" i="8"/>
  <c r="L849" i="8"/>
  <c r="AF850" i="8"/>
  <c r="AA850" i="8" s="1"/>
  <c r="AG850" i="8"/>
  <c r="A849" i="8"/>
  <c r="K850" i="8"/>
  <c r="I851" i="8"/>
  <c r="G850" i="8"/>
  <c r="A728" i="8"/>
  <c r="AG729" i="8"/>
  <c r="G729" i="8"/>
  <c r="AF729" i="8"/>
  <c r="AA729" i="8" s="1"/>
  <c r="K729" i="8"/>
  <c r="I730" i="8"/>
  <c r="L728" i="8"/>
  <c r="AD849" i="8" l="1"/>
  <c r="AD728" i="8"/>
  <c r="AD178" i="8"/>
  <c r="AD1022" i="8"/>
  <c r="G223" i="9"/>
  <c r="F223" i="9" s="1"/>
  <c r="E223" i="9"/>
  <c r="K223" i="9" s="1"/>
  <c r="AI849" i="8"/>
  <c r="AI728" i="8"/>
  <c r="F1023" i="8"/>
  <c r="B179" i="8"/>
  <c r="AI178" i="8"/>
  <c r="E729" i="8"/>
  <c r="F729" i="8"/>
  <c r="F179" i="8"/>
  <c r="F850" i="8"/>
  <c r="E850" i="8"/>
  <c r="E1023" i="8"/>
  <c r="I224" i="9"/>
  <c r="E179" i="8"/>
  <c r="Z730" i="8"/>
  <c r="Z1024" i="8"/>
  <c r="M1024" i="8"/>
  <c r="M730" i="8"/>
  <c r="M851" i="8"/>
  <c r="M180" i="8"/>
  <c r="AH1024" i="8"/>
  <c r="AH180" i="8"/>
  <c r="AH730" i="8"/>
  <c r="AH851" i="8"/>
  <c r="L179" i="8"/>
  <c r="K180" i="8"/>
  <c r="AF180" i="8"/>
  <c r="AA180" i="8" s="1"/>
  <c r="A179" i="8"/>
  <c r="G180" i="8"/>
  <c r="I181" i="8"/>
  <c r="AG180" i="8"/>
  <c r="I731" i="8"/>
  <c r="L1023" i="8"/>
  <c r="L729" i="8"/>
  <c r="B850" i="8"/>
  <c r="B729" i="8"/>
  <c r="B1023" i="8"/>
  <c r="G1024" i="8"/>
  <c r="AF1024" i="8"/>
  <c r="AA1024" i="8" s="1"/>
  <c r="K1024" i="8"/>
  <c r="AG1024" i="8"/>
  <c r="I1025" i="8"/>
  <c r="A1023" i="8"/>
  <c r="L850" i="8"/>
  <c r="I852" i="8"/>
  <c r="G851" i="8"/>
  <c r="K851" i="8"/>
  <c r="AF851" i="8"/>
  <c r="AA851" i="8" s="1"/>
  <c r="AG851" i="8"/>
  <c r="A850" i="8"/>
  <c r="A729" i="8"/>
  <c r="G730" i="8"/>
  <c r="K730" i="8"/>
  <c r="AG730" i="8"/>
  <c r="AF730" i="8"/>
  <c r="AA730" i="8" s="1"/>
  <c r="AD850" i="8" l="1"/>
  <c r="AD729" i="8"/>
  <c r="AD1023" i="8"/>
  <c r="AD179" i="8"/>
  <c r="AI1023" i="8"/>
  <c r="G224" i="9"/>
  <c r="F224" i="9" s="1"/>
  <c r="E224" i="9"/>
  <c r="K224" i="9" s="1"/>
  <c r="AI850" i="8"/>
  <c r="K11" i="10"/>
  <c r="AI179" i="8"/>
  <c r="F730" i="8"/>
  <c r="A180" i="8"/>
  <c r="E1022" i="8"/>
  <c r="E851" i="8"/>
  <c r="A1024" i="8"/>
  <c r="E730" i="8"/>
  <c r="F1024" i="8"/>
  <c r="AI729" i="8"/>
  <c r="F851" i="8"/>
  <c r="F180" i="8"/>
  <c r="I225" i="9"/>
  <c r="E1024" i="8"/>
  <c r="E180" i="8"/>
  <c r="Z1025" i="8"/>
  <c r="Z731" i="8"/>
  <c r="M852" i="8"/>
  <c r="M731" i="8"/>
  <c r="M1025" i="8"/>
  <c r="M181" i="8"/>
  <c r="AH181" i="8"/>
  <c r="AH852" i="8"/>
  <c r="AH1025" i="8"/>
  <c r="AH731" i="8"/>
  <c r="L180" i="8"/>
  <c r="K181" i="8"/>
  <c r="AG181" i="8"/>
  <c r="AF181" i="8"/>
  <c r="AA181" i="8" s="1"/>
  <c r="B180" i="8"/>
  <c r="I182" i="8"/>
  <c r="G181" i="8"/>
  <c r="I732" i="8"/>
  <c r="AG731" i="8"/>
  <c r="K731" i="8"/>
  <c r="AF731" i="8"/>
  <c r="AA731" i="8" s="1"/>
  <c r="G731" i="8"/>
  <c r="L1024" i="8"/>
  <c r="L730" i="8"/>
  <c r="B851" i="8"/>
  <c r="B730" i="8"/>
  <c r="B1024" i="8"/>
  <c r="G1025" i="8"/>
  <c r="I1026" i="8"/>
  <c r="K1025" i="8"/>
  <c r="AG1025" i="8"/>
  <c r="AF1025" i="8"/>
  <c r="AA1025" i="8" s="1"/>
  <c r="L851" i="8"/>
  <c r="G852" i="8"/>
  <c r="I853" i="8"/>
  <c r="AG852" i="8"/>
  <c r="K852" i="8"/>
  <c r="AF852" i="8"/>
  <c r="AA852" i="8" s="1"/>
  <c r="A851" i="8"/>
  <c r="A730" i="8"/>
  <c r="AD851" i="8" l="1"/>
  <c r="AD180" i="8"/>
  <c r="AD730" i="8"/>
  <c r="AD1024" i="8"/>
  <c r="A225" i="9"/>
  <c r="G225" i="9"/>
  <c r="F225" i="9" s="1"/>
  <c r="E225" i="9"/>
  <c r="K225" i="9" s="1"/>
  <c r="AI851" i="8"/>
  <c r="A218" i="9"/>
  <c r="A223" i="9"/>
  <c r="A224" i="9"/>
  <c r="F181" i="8"/>
  <c r="AI1022" i="8"/>
  <c r="A221" i="9"/>
  <c r="A222" i="9"/>
  <c r="F1025" i="8"/>
  <c r="AI730" i="8"/>
  <c r="AI180" i="8"/>
  <c r="A220" i="9"/>
  <c r="F852" i="8"/>
  <c r="AI1024" i="8"/>
  <c r="A219" i="9"/>
  <c r="E852" i="8"/>
  <c r="F731" i="8"/>
  <c r="A181" i="8"/>
  <c r="E1025" i="8"/>
  <c r="E731" i="8"/>
  <c r="I226" i="9"/>
  <c r="E181" i="8"/>
  <c r="Z1026" i="8"/>
  <c r="Z732" i="8"/>
  <c r="M1026" i="8"/>
  <c r="M853" i="8"/>
  <c r="M732" i="8"/>
  <c r="M182" i="8"/>
  <c r="AH182" i="8"/>
  <c r="AH853" i="8"/>
  <c r="AH1026" i="8"/>
  <c r="AH732" i="8"/>
  <c r="L181" i="8"/>
  <c r="L731" i="8"/>
  <c r="AF182" i="8"/>
  <c r="AA182" i="8" s="1"/>
  <c r="B181" i="8"/>
  <c r="K182" i="8"/>
  <c r="AG182" i="8"/>
  <c r="I183" i="8"/>
  <c r="G182" i="8"/>
  <c r="I733" i="8"/>
  <c r="G732" i="8"/>
  <c r="K732" i="8"/>
  <c r="AF732" i="8"/>
  <c r="AA732" i="8" s="1"/>
  <c r="AG732" i="8"/>
  <c r="B731" i="8"/>
  <c r="A731" i="8"/>
  <c r="L1025" i="8"/>
  <c r="B852" i="8"/>
  <c r="K1026" i="8"/>
  <c r="B1025" i="8"/>
  <c r="A1025" i="8"/>
  <c r="G1026" i="8"/>
  <c r="I1027" i="8"/>
  <c r="AF1026" i="8"/>
  <c r="AA1026" i="8" s="1"/>
  <c r="AG1026" i="8"/>
  <c r="AG853" i="8"/>
  <c r="A852" i="8"/>
  <c r="L852" i="8"/>
  <c r="AF853" i="8"/>
  <c r="AA853" i="8" s="1"/>
  <c r="K853" i="8"/>
  <c r="I854" i="8"/>
  <c r="G853" i="8"/>
  <c r="AD852" i="8" l="1"/>
  <c r="AD731" i="8"/>
  <c r="AD181" i="8"/>
  <c r="AD1025" i="8"/>
  <c r="E226" i="9"/>
  <c r="G226" i="9"/>
  <c r="F226" i="9" s="1"/>
  <c r="AI731" i="8"/>
  <c r="AI852" i="8"/>
  <c r="F182" i="8"/>
  <c r="AI181" i="8"/>
  <c r="F1026" i="8"/>
  <c r="F853" i="8"/>
  <c r="B732" i="8"/>
  <c r="F732" i="8"/>
  <c r="E853" i="8"/>
  <c r="AI1025" i="8"/>
  <c r="A1026" i="8"/>
  <c r="A182" i="8"/>
  <c r="A226" i="9"/>
  <c r="I227" i="9"/>
  <c r="E182" i="8"/>
  <c r="E1026" i="8"/>
  <c r="E732" i="8"/>
  <c r="Z1027" i="8"/>
  <c r="Z733" i="8"/>
  <c r="M854" i="8"/>
  <c r="M1027" i="8"/>
  <c r="M733" i="8"/>
  <c r="M183" i="8"/>
  <c r="AH733" i="8"/>
  <c r="AH1027" i="8"/>
  <c r="AH183" i="8"/>
  <c r="AH854" i="8"/>
  <c r="L182" i="8"/>
  <c r="L732" i="8"/>
  <c r="B182" i="8"/>
  <c r="I184" i="8"/>
  <c r="K183" i="8"/>
  <c r="G183" i="8"/>
  <c r="AG183" i="8"/>
  <c r="AF183" i="8"/>
  <c r="AA183" i="8" s="1"/>
  <c r="G733" i="8"/>
  <c r="K733" i="8"/>
  <c r="AG733" i="8"/>
  <c r="AF733" i="8"/>
  <c r="AA733" i="8" s="1"/>
  <c r="I734" i="8"/>
  <c r="A732" i="8"/>
  <c r="L1026" i="8"/>
  <c r="I1028" i="8"/>
  <c r="G1027" i="8"/>
  <c r="AF1027" i="8"/>
  <c r="AA1027" i="8" s="1"/>
  <c r="AG1027" i="8"/>
  <c r="K1027" i="8"/>
  <c r="B1026" i="8"/>
  <c r="B853" i="8"/>
  <c r="AF854" i="8"/>
  <c r="AA854" i="8" s="1"/>
  <c r="L853" i="8"/>
  <c r="I855" i="8"/>
  <c r="AG854" i="8"/>
  <c r="G854" i="8"/>
  <c r="K854" i="8"/>
  <c r="A853" i="8"/>
  <c r="AD182" i="8" l="1"/>
  <c r="AD853" i="8"/>
  <c r="AD1026" i="8"/>
  <c r="AD732" i="8"/>
  <c r="E227" i="9"/>
  <c r="G227" i="9"/>
  <c r="F227" i="9" s="1"/>
  <c r="AI853" i="8"/>
  <c r="E854" i="8"/>
  <c r="AI182" i="8"/>
  <c r="B1027" i="8"/>
  <c r="F733" i="8"/>
  <c r="B733" i="8"/>
  <c r="F854" i="8"/>
  <c r="F183" i="8"/>
  <c r="F1027" i="8"/>
  <c r="AI1026" i="8"/>
  <c r="A183" i="8"/>
  <c r="AI732" i="8"/>
  <c r="A227" i="9"/>
  <c r="I228" i="9"/>
  <c r="E733" i="8"/>
  <c r="E183" i="8"/>
  <c r="E1027" i="8"/>
  <c r="Z1028" i="8"/>
  <c r="M734" i="8"/>
  <c r="M1028" i="8"/>
  <c r="M855" i="8"/>
  <c r="M184" i="8"/>
  <c r="AH1028" i="8"/>
  <c r="AH184" i="8"/>
  <c r="AH855" i="8"/>
  <c r="AH734" i="8"/>
  <c r="L733" i="8"/>
  <c r="K184" i="8"/>
  <c r="B183" i="8"/>
  <c r="L183" i="8"/>
  <c r="I185" i="8"/>
  <c r="G184" i="8"/>
  <c r="AG184" i="8"/>
  <c r="AF184" i="8"/>
  <c r="AA184" i="8" s="1"/>
  <c r="A733" i="8"/>
  <c r="I735" i="8"/>
  <c r="K734" i="8"/>
  <c r="AF734" i="8"/>
  <c r="AA734" i="8" s="1"/>
  <c r="G734" i="8"/>
  <c r="AG734" i="8"/>
  <c r="G1028" i="8"/>
  <c r="L1027" i="8"/>
  <c r="I1029" i="8"/>
  <c r="K1028" i="8"/>
  <c r="AF1028" i="8"/>
  <c r="AA1028" i="8" s="1"/>
  <c r="AG1028" i="8"/>
  <c r="A1027" i="8"/>
  <c r="B854" i="8"/>
  <c r="K855" i="8"/>
  <c r="AG855" i="8"/>
  <c r="A854" i="8"/>
  <c r="L854" i="8"/>
  <c r="AF855" i="8"/>
  <c r="AA855" i="8" s="1"/>
  <c r="I856" i="8"/>
  <c r="G855" i="8"/>
  <c r="AD183" i="8" l="1"/>
  <c r="AD733" i="8"/>
  <c r="AD1027" i="8"/>
  <c r="AD854" i="8"/>
  <c r="E228" i="9"/>
  <c r="G228" i="9"/>
  <c r="F228" i="9" s="1"/>
  <c r="AI854" i="8"/>
  <c r="F1028" i="8"/>
  <c r="A1028" i="8"/>
  <c r="E855" i="8"/>
  <c r="B184" i="8"/>
  <c r="AI183" i="8"/>
  <c r="F734" i="8"/>
  <c r="F184" i="8"/>
  <c r="F855" i="8"/>
  <c r="AI1027" i="8"/>
  <c r="B734" i="8"/>
  <c r="AI733" i="8"/>
  <c r="A228" i="9"/>
  <c r="I229" i="9"/>
  <c r="E1028" i="8"/>
  <c r="E184" i="8"/>
  <c r="E734" i="8"/>
  <c r="Z1029" i="8"/>
  <c r="M856" i="8"/>
  <c r="M735" i="8"/>
  <c r="M1029" i="8"/>
  <c r="M185" i="8"/>
  <c r="AH185" i="8"/>
  <c r="AH856" i="8"/>
  <c r="AH735" i="8"/>
  <c r="AH1029" i="8"/>
  <c r="L184" i="8"/>
  <c r="L734" i="8"/>
  <c r="K185" i="8"/>
  <c r="AF185" i="8"/>
  <c r="AA185" i="8" s="1"/>
  <c r="I186" i="8"/>
  <c r="AG185" i="8"/>
  <c r="G185" i="8"/>
  <c r="A184" i="8"/>
  <c r="I736" i="8"/>
  <c r="AF735" i="8"/>
  <c r="AA735" i="8" s="1"/>
  <c r="G735" i="8"/>
  <c r="K735" i="8"/>
  <c r="B1028" i="8"/>
  <c r="AG735" i="8"/>
  <c r="A734" i="8"/>
  <c r="AF1029" i="8"/>
  <c r="AA1029" i="8" s="1"/>
  <c r="L1028" i="8"/>
  <c r="AG1029" i="8"/>
  <c r="K1029" i="8"/>
  <c r="I1030" i="8"/>
  <c r="G1029" i="8"/>
  <c r="B855" i="8"/>
  <c r="A855" i="8"/>
  <c r="L855" i="8"/>
  <c r="K856" i="8"/>
  <c r="AF856" i="8"/>
  <c r="AA856" i="8" s="1"/>
  <c r="AG856" i="8"/>
  <c r="I857" i="8"/>
  <c r="G856" i="8"/>
  <c r="AD734" i="8" l="1"/>
  <c r="AD184" i="8"/>
  <c r="AD1028" i="8"/>
  <c r="AD855" i="8"/>
  <c r="G229" i="9"/>
  <c r="F229" i="9" s="1"/>
  <c r="E229" i="9"/>
  <c r="AI855" i="8"/>
  <c r="F185" i="8"/>
  <c r="AI734" i="8"/>
  <c r="E856" i="8"/>
  <c r="B1029" i="8"/>
  <c r="AI184" i="8"/>
  <c r="B735" i="8"/>
  <c r="F856" i="8"/>
  <c r="B185" i="8"/>
  <c r="AI1028" i="8"/>
  <c r="F1029" i="8"/>
  <c r="F735" i="8"/>
  <c r="A229" i="9"/>
  <c r="I230" i="9"/>
  <c r="E185" i="8"/>
  <c r="E735" i="8"/>
  <c r="E1029" i="8"/>
  <c r="Z1030" i="8"/>
  <c r="M186" i="8"/>
  <c r="M1030" i="8"/>
  <c r="M857" i="8"/>
  <c r="M736" i="8"/>
  <c r="AH857" i="8"/>
  <c r="AH1030" i="8"/>
  <c r="AH736" i="8"/>
  <c r="AH186" i="8"/>
  <c r="L185" i="8"/>
  <c r="G186" i="8"/>
  <c r="AG736" i="8"/>
  <c r="AF186" i="8"/>
  <c r="AA186" i="8" s="1"/>
  <c r="AF736" i="8"/>
  <c r="AA736" i="8" s="1"/>
  <c r="I187" i="8"/>
  <c r="K186" i="8"/>
  <c r="A185" i="8"/>
  <c r="AG186" i="8"/>
  <c r="K736" i="8"/>
  <c r="G736" i="8"/>
  <c r="I737" i="8"/>
  <c r="L735" i="8"/>
  <c r="A735" i="8"/>
  <c r="AG1030" i="8"/>
  <c r="L1029" i="8"/>
  <c r="K1030" i="8"/>
  <c r="A1029" i="8"/>
  <c r="AF1030" i="8"/>
  <c r="AA1030" i="8" s="1"/>
  <c r="G1030" i="8"/>
  <c r="I1031" i="8"/>
  <c r="B856" i="8"/>
  <c r="L856" i="8"/>
  <c r="A856" i="8"/>
  <c r="K857" i="8"/>
  <c r="AG857" i="8"/>
  <c r="AF857" i="8"/>
  <c r="AA857" i="8" s="1"/>
  <c r="I858" i="8"/>
  <c r="G857" i="8"/>
  <c r="AD856" i="8" l="1"/>
  <c r="AD185" i="8"/>
  <c r="AD1029" i="8"/>
  <c r="AD735" i="8"/>
  <c r="AI856" i="8"/>
  <c r="G230" i="9"/>
  <c r="F230" i="9" s="1"/>
  <c r="E230" i="9"/>
  <c r="B736" i="8"/>
  <c r="F1030" i="8"/>
  <c r="B186" i="8"/>
  <c r="F186" i="8"/>
  <c r="AI1029" i="8"/>
  <c r="F857" i="8"/>
  <c r="AI735" i="8"/>
  <c r="A1030" i="8"/>
  <c r="AI185" i="8"/>
  <c r="F736" i="8"/>
  <c r="E857" i="8"/>
  <c r="A230" i="9"/>
  <c r="I231" i="9"/>
  <c r="E1030" i="8"/>
  <c r="E736" i="8"/>
  <c r="E186" i="8"/>
  <c r="Z1031" i="8"/>
  <c r="M737" i="8"/>
  <c r="M1031" i="8"/>
  <c r="M858" i="8"/>
  <c r="M187" i="8"/>
  <c r="AH858" i="8"/>
  <c r="AH737" i="8"/>
  <c r="AH1031" i="8"/>
  <c r="AH187" i="8"/>
  <c r="L186" i="8"/>
  <c r="L736" i="8"/>
  <c r="A186" i="8"/>
  <c r="A736" i="8"/>
  <c r="K187" i="8"/>
  <c r="I188" i="8"/>
  <c r="AG187" i="8"/>
  <c r="G187" i="8"/>
  <c r="AF187" i="8"/>
  <c r="AA187" i="8" s="1"/>
  <c r="AG737" i="8"/>
  <c r="K737" i="8"/>
  <c r="G737" i="8"/>
  <c r="AF737" i="8"/>
  <c r="AA737" i="8" s="1"/>
  <c r="I738" i="8"/>
  <c r="AF1031" i="8"/>
  <c r="AA1031" i="8" s="1"/>
  <c r="L1030" i="8"/>
  <c r="B1030" i="8"/>
  <c r="K1031" i="8"/>
  <c r="AG1031" i="8"/>
  <c r="G1031" i="8"/>
  <c r="I1032" i="8"/>
  <c r="B857" i="8"/>
  <c r="L857" i="8"/>
  <c r="I859" i="8"/>
  <c r="K858" i="8"/>
  <c r="G858" i="8"/>
  <c r="AF858" i="8"/>
  <c r="AA858" i="8" s="1"/>
  <c r="AG858" i="8"/>
  <c r="A857" i="8"/>
  <c r="AD736" i="8" l="1"/>
  <c r="AD1030" i="8"/>
  <c r="AD857" i="8"/>
  <c r="AD186" i="8"/>
  <c r="G231" i="9"/>
  <c r="F231" i="9" s="1"/>
  <c r="E231" i="9"/>
  <c r="AI857" i="8"/>
  <c r="F858" i="8"/>
  <c r="B187" i="8"/>
  <c r="AI736" i="8"/>
  <c r="AI186" i="8"/>
  <c r="A1031" i="8"/>
  <c r="F187" i="8"/>
  <c r="AI1030" i="8"/>
  <c r="E858" i="8"/>
  <c r="F1031" i="8"/>
  <c r="F737" i="8"/>
  <c r="B737" i="8"/>
  <c r="A231" i="9"/>
  <c r="I232" i="9"/>
  <c r="E737" i="8"/>
  <c r="E187" i="8"/>
  <c r="E1031" i="8"/>
  <c r="Z1032" i="8"/>
  <c r="M1032" i="8"/>
  <c r="M738" i="8"/>
  <c r="M188" i="8"/>
  <c r="M859" i="8"/>
  <c r="AH1032" i="8"/>
  <c r="AH188" i="8"/>
  <c r="AH859" i="8"/>
  <c r="AH738" i="8"/>
  <c r="L737" i="8"/>
  <c r="L187" i="8"/>
  <c r="K188" i="8"/>
  <c r="G188" i="8"/>
  <c r="AF188" i="8"/>
  <c r="AA188" i="8" s="1"/>
  <c r="I189" i="8"/>
  <c r="AG188" i="8"/>
  <c r="A187" i="8"/>
  <c r="G738" i="8"/>
  <c r="K738" i="8"/>
  <c r="I739" i="8"/>
  <c r="A737" i="8"/>
  <c r="AG738" i="8"/>
  <c r="AF738" i="8"/>
  <c r="AA738" i="8" s="1"/>
  <c r="G1032" i="8"/>
  <c r="L1031" i="8"/>
  <c r="L858" i="8"/>
  <c r="B1031" i="8"/>
  <c r="AG1032" i="8"/>
  <c r="I1033" i="8"/>
  <c r="AF1032" i="8"/>
  <c r="AA1032" i="8" s="1"/>
  <c r="K1032" i="8"/>
  <c r="B858" i="8"/>
  <c r="I860" i="8"/>
  <c r="AF859" i="8"/>
  <c r="AA859" i="8" s="1"/>
  <c r="K859" i="8"/>
  <c r="G859" i="8"/>
  <c r="AG859" i="8"/>
  <c r="A858" i="8"/>
  <c r="AD187" i="8" l="1"/>
  <c r="AD858" i="8"/>
  <c r="AD1031" i="8"/>
  <c r="AD737" i="8"/>
  <c r="G232" i="9"/>
  <c r="F232" i="9" s="1"/>
  <c r="E232" i="9"/>
  <c r="AI858" i="8"/>
  <c r="F859" i="8"/>
  <c r="F738" i="8"/>
  <c r="AI737" i="8"/>
  <c r="F188" i="8"/>
  <c r="B738" i="8"/>
  <c r="F1032" i="8"/>
  <c r="A1032" i="8"/>
  <c r="AI1031" i="8"/>
  <c r="E859" i="8"/>
  <c r="A188" i="8"/>
  <c r="AI187" i="8"/>
  <c r="A232" i="9"/>
  <c r="I233" i="9"/>
  <c r="E1032" i="8"/>
  <c r="E738" i="8"/>
  <c r="E188" i="8"/>
  <c r="Z1033" i="8"/>
  <c r="M739" i="8"/>
  <c r="M1033" i="8"/>
  <c r="M189" i="8"/>
  <c r="M860" i="8"/>
  <c r="AH1033" i="8"/>
  <c r="AH189" i="8"/>
  <c r="AH860" i="8"/>
  <c r="AH739" i="8"/>
  <c r="L188" i="8"/>
  <c r="L738" i="8"/>
  <c r="B188" i="8"/>
  <c r="AF189" i="8"/>
  <c r="AA189" i="8" s="1"/>
  <c r="AG189" i="8"/>
  <c r="K189" i="8"/>
  <c r="I190" i="8"/>
  <c r="G189" i="8"/>
  <c r="A738" i="8"/>
  <c r="I740" i="8"/>
  <c r="K739" i="8"/>
  <c r="AF739" i="8"/>
  <c r="AA739" i="8" s="1"/>
  <c r="AG739" i="8"/>
  <c r="G739" i="8"/>
  <c r="B1032" i="8"/>
  <c r="L1032" i="8"/>
  <c r="I1034" i="8"/>
  <c r="G1033" i="8"/>
  <c r="AG1033" i="8"/>
  <c r="AF1033" i="8"/>
  <c r="AA1033" i="8" s="1"/>
  <c r="K1033" i="8"/>
  <c r="B859" i="8"/>
  <c r="L859" i="8"/>
  <c r="K860" i="8"/>
  <c r="G860" i="8"/>
  <c r="AG860" i="8"/>
  <c r="AF860" i="8"/>
  <c r="AA860" i="8" s="1"/>
  <c r="I861" i="8"/>
  <c r="A859" i="8"/>
  <c r="AD738" i="8" l="1"/>
  <c r="AD859" i="8"/>
  <c r="AD1032" i="8"/>
  <c r="AD188" i="8"/>
  <c r="G233" i="9"/>
  <c r="F233" i="9" s="1"/>
  <c r="E233" i="9"/>
  <c r="AI859" i="8"/>
  <c r="B189" i="8"/>
  <c r="AI188" i="8"/>
  <c r="F1033" i="8"/>
  <c r="B739" i="8"/>
  <c r="F189" i="8"/>
  <c r="AI738" i="8"/>
  <c r="AI1032" i="8"/>
  <c r="B1033" i="8"/>
  <c r="F739" i="8"/>
  <c r="E860" i="8"/>
  <c r="F860" i="8"/>
  <c r="A233" i="9"/>
  <c r="I234" i="9"/>
  <c r="E1033" i="8"/>
  <c r="E189" i="8"/>
  <c r="E739" i="8"/>
  <c r="Z1034" i="8"/>
  <c r="M861" i="8"/>
  <c r="M740" i="8"/>
  <c r="M190" i="8"/>
  <c r="M1034" i="8"/>
  <c r="AH740" i="8"/>
  <c r="AH861" i="8"/>
  <c r="AH1034" i="8"/>
  <c r="AH190" i="8"/>
  <c r="L739" i="8"/>
  <c r="L189" i="8"/>
  <c r="I191" i="8"/>
  <c r="A189" i="8"/>
  <c r="G740" i="8"/>
  <c r="AG740" i="8"/>
  <c r="K190" i="8"/>
  <c r="K740" i="8"/>
  <c r="AF190" i="8"/>
  <c r="AA190" i="8" s="1"/>
  <c r="AF740" i="8"/>
  <c r="AA740" i="8" s="1"/>
  <c r="AG190" i="8"/>
  <c r="G190" i="8"/>
  <c r="I741" i="8"/>
  <c r="A739" i="8"/>
  <c r="G1034" i="8"/>
  <c r="L860" i="8"/>
  <c r="L1033" i="8"/>
  <c r="AG1034" i="8"/>
  <c r="A1033" i="8"/>
  <c r="AF1034" i="8"/>
  <c r="AA1034" i="8" s="1"/>
  <c r="I1035" i="8"/>
  <c r="K1034" i="8"/>
  <c r="AF861" i="8"/>
  <c r="AA861" i="8" s="1"/>
  <c r="B860" i="8"/>
  <c r="A860" i="8"/>
  <c r="K861" i="8"/>
  <c r="G861" i="8"/>
  <c r="I862" i="8"/>
  <c r="AG861" i="8"/>
  <c r="AD189" i="8" l="1"/>
  <c r="AD1033" i="8"/>
  <c r="AD860" i="8"/>
  <c r="AD739" i="8"/>
  <c r="E234" i="9"/>
  <c r="G234" i="9"/>
  <c r="F234" i="9" s="1"/>
  <c r="E861" i="8"/>
  <c r="AI1033" i="8"/>
  <c r="AI860" i="8"/>
  <c r="F740" i="8"/>
  <c r="B190" i="8"/>
  <c r="F1034" i="8"/>
  <c r="B1034" i="8"/>
  <c r="F190" i="8"/>
  <c r="AI739" i="8"/>
  <c r="F861" i="8"/>
  <c r="B740" i="8"/>
  <c r="AI189" i="8"/>
  <c r="A234" i="9"/>
  <c r="I235" i="9"/>
  <c r="E190" i="8"/>
  <c r="E740" i="8"/>
  <c r="E1034" i="8"/>
  <c r="Z1035" i="8"/>
  <c r="M862" i="8"/>
  <c r="M191" i="8"/>
  <c r="M1035" i="8"/>
  <c r="M741" i="8"/>
  <c r="AH1035" i="8"/>
  <c r="AH741" i="8"/>
  <c r="AH191" i="8"/>
  <c r="AH862" i="8"/>
  <c r="L740" i="8"/>
  <c r="L190" i="8"/>
  <c r="AF191" i="8"/>
  <c r="AA191" i="8" s="1"/>
  <c r="K191" i="8"/>
  <c r="AG191" i="8"/>
  <c r="G191" i="8"/>
  <c r="I192" i="8"/>
  <c r="A740" i="8"/>
  <c r="A1034" i="8"/>
  <c r="A190" i="8"/>
  <c r="I742" i="8"/>
  <c r="G741" i="8"/>
  <c r="AG741" i="8"/>
  <c r="K741" i="8"/>
  <c r="AF741" i="8"/>
  <c r="AA741" i="8" s="1"/>
  <c r="L861" i="8"/>
  <c r="L1034" i="8"/>
  <c r="I1036" i="8"/>
  <c r="AF1035" i="8"/>
  <c r="AA1035" i="8" s="1"/>
  <c r="AG1035" i="8"/>
  <c r="G1035" i="8"/>
  <c r="K1035" i="8"/>
  <c r="B861" i="8"/>
  <c r="G862" i="8"/>
  <c r="AF862" i="8"/>
  <c r="AA862" i="8" s="1"/>
  <c r="K862" i="8"/>
  <c r="AG862" i="8"/>
  <c r="I863" i="8"/>
  <c r="A861" i="8"/>
  <c r="AD1034" i="8" l="1"/>
  <c r="AD190" i="8"/>
  <c r="AD861" i="8"/>
  <c r="AD740" i="8"/>
  <c r="E235" i="9"/>
  <c r="G235" i="9"/>
  <c r="F235" i="9" s="1"/>
  <c r="AI861" i="8"/>
  <c r="F1035" i="8"/>
  <c r="AI1034" i="8"/>
  <c r="F741" i="8"/>
  <c r="AI740" i="8"/>
  <c r="AI190" i="8"/>
  <c r="A862" i="8"/>
  <c r="B741" i="8"/>
  <c r="F191" i="8"/>
  <c r="A1035" i="8"/>
  <c r="A191" i="8"/>
  <c r="F862" i="8"/>
  <c r="A235" i="9"/>
  <c r="I236" i="9"/>
  <c r="E1035" i="8"/>
  <c r="E862" i="8"/>
  <c r="E741" i="8"/>
  <c r="E191" i="8"/>
  <c r="Z1036" i="8"/>
  <c r="M863" i="8"/>
  <c r="M192" i="8"/>
  <c r="M742" i="8"/>
  <c r="M1036" i="8"/>
  <c r="AH742" i="8"/>
  <c r="AH192" i="8"/>
  <c r="AH1036" i="8"/>
  <c r="AH863" i="8"/>
  <c r="L191" i="8"/>
  <c r="L741" i="8"/>
  <c r="G192" i="8"/>
  <c r="B191" i="8"/>
  <c r="AF192" i="8"/>
  <c r="AA192" i="8" s="1"/>
  <c r="K192" i="8"/>
  <c r="I193" i="8"/>
  <c r="AG192" i="8"/>
  <c r="I743" i="8"/>
  <c r="AG742" i="8"/>
  <c r="K742" i="8"/>
  <c r="AF742" i="8"/>
  <c r="AA742" i="8" s="1"/>
  <c r="G742" i="8"/>
  <c r="A741" i="8"/>
  <c r="AF1036" i="8"/>
  <c r="AA1036" i="8" s="1"/>
  <c r="L1035" i="8"/>
  <c r="L862" i="8"/>
  <c r="G1036" i="8"/>
  <c r="AG1036" i="8"/>
  <c r="K1036" i="8"/>
  <c r="I1037" i="8"/>
  <c r="B1035" i="8"/>
  <c r="AF863" i="8"/>
  <c r="AA863" i="8" s="1"/>
  <c r="B862" i="8"/>
  <c r="G863" i="8"/>
  <c r="K863" i="8"/>
  <c r="AG863" i="8"/>
  <c r="I864" i="8"/>
  <c r="AD862" i="8" l="1"/>
  <c r="AD741" i="8"/>
  <c r="AD1035" i="8"/>
  <c r="AD191" i="8"/>
  <c r="E236" i="9"/>
  <c r="G236" i="9"/>
  <c r="F236" i="9" s="1"/>
  <c r="E863" i="8"/>
  <c r="F192" i="8"/>
  <c r="AI741" i="8"/>
  <c r="B742" i="8"/>
  <c r="AI862" i="8"/>
  <c r="AI191" i="8"/>
  <c r="AI1035" i="8"/>
  <c r="F863" i="8"/>
  <c r="A1036" i="8"/>
  <c r="F1036" i="8"/>
  <c r="F742" i="8"/>
  <c r="B192" i="8"/>
  <c r="A236" i="9"/>
  <c r="I237" i="9"/>
  <c r="E192" i="8"/>
  <c r="E742" i="8"/>
  <c r="E1036" i="8"/>
  <c r="Z1037" i="8"/>
  <c r="M743" i="8"/>
  <c r="M193" i="8"/>
  <c r="M1037" i="8"/>
  <c r="M864" i="8"/>
  <c r="AH864" i="8"/>
  <c r="AH193" i="8"/>
  <c r="AH1037" i="8"/>
  <c r="AH743" i="8"/>
  <c r="L192" i="8"/>
  <c r="L742" i="8"/>
  <c r="A192" i="8"/>
  <c r="I194" i="8"/>
  <c r="G193" i="8"/>
  <c r="AF193" i="8"/>
  <c r="AA193" i="8" s="1"/>
  <c r="K193" i="8"/>
  <c r="AG193" i="8"/>
  <c r="G743" i="8"/>
  <c r="AG743" i="8"/>
  <c r="I744" i="8"/>
  <c r="AF743" i="8"/>
  <c r="AA743" i="8" s="1"/>
  <c r="K743" i="8"/>
  <c r="A742" i="8"/>
  <c r="L863" i="8"/>
  <c r="L1036" i="8"/>
  <c r="B1036" i="8"/>
  <c r="G1037" i="8"/>
  <c r="K1037" i="8"/>
  <c r="AF1037" i="8"/>
  <c r="AA1037" i="8" s="1"/>
  <c r="I1038" i="8"/>
  <c r="AG1037" i="8"/>
  <c r="B863" i="8"/>
  <c r="I865" i="8"/>
  <c r="A863" i="8"/>
  <c r="K864" i="8"/>
  <c r="AF864" i="8"/>
  <c r="AA864" i="8" s="1"/>
  <c r="G864" i="8"/>
  <c r="AG864" i="8"/>
  <c r="AD742" i="8" l="1"/>
  <c r="AD1036" i="8"/>
  <c r="AD863" i="8"/>
  <c r="AD192" i="8"/>
  <c r="G237" i="9"/>
  <c r="F237" i="9" s="1"/>
  <c r="E237" i="9"/>
  <c r="AI863" i="8"/>
  <c r="B1037" i="8"/>
  <c r="B743" i="8"/>
  <c r="F864" i="8"/>
  <c r="AI192" i="8"/>
  <c r="F193" i="8"/>
  <c r="E864" i="8"/>
  <c r="F743" i="8"/>
  <c r="A193" i="8"/>
  <c r="AI1036" i="8"/>
  <c r="F1037" i="8"/>
  <c r="AI742" i="8"/>
  <c r="A237" i="9"/>
  <c r="I238" i="9"/>
  <c r="E193" i="8"/>
  <c r="E743" i="8"/>
  <c r="E1037" i="8"/>
  <c r="Z1038" i="8"/>
  <c r="M1038" i="8"/>
  <c r="M744" i="8"/>
  <c r="M194" i="8"/>
  <c r="M865" i="8"/>
  <c r="AH744" i="8"/>
  <c r="AH865" i="8"/>
  <c r="AH1038" i="8"/>
  <c r="AH194" i="8"/>
  <c r="L193" i="8"/>
  <c r="L743" i="8"/>
  <c r="L1037" i="8"/>
  <c r="B193" i="8"/>
  <c r="AF194" i="8"/>
  <c r="AA194" i="8" s="1"/>
  <c r="K194" i="8"/>
  <c r="I195" i="8"/>
  <c r="G194" i="8"/>
  <c r="AG194" i="8"/>
  <c r="I745" i="8"/>
  <c r="G744" i="8"/>
  <c r="A743" i="8"/>
  <c r="AG744" i="8"/>
  <c r="K744" i="8"/>
  <c r="AF744" i="8"/>
  <c r="AA744" i="8" s="1"/>
  <c r="L864" i="8"/>
  <c r="G1038" i="8"/>
  <c r="A1037" i="8"/>
  <c r="AF1038" i="8"/>
  <c r="AA1038" i="8" s="1"/>
  <c r="K1038" i="8"/>
  <c r="AG1038" i="8"/>
  <c r="I1039" i="8"/>
  <c r="G865" i="8"/>
  <c r="AF865" i="8"/>
  <c r="AA865" i="8" s="1"/>
  <c r="I866" i="8"/>
  <c r="AG865" i="8"/>
  <c r="K865" i="8"/>
  <c r="B864" i="8"/>
  <c r="A864" i="8"/>
  <c r="AD743" i="8" l="1"/>
  <c r="AD864" i="8"/>
  <c r="AD1037" i="8"/>
  <c r="AD193" i="8"/>
  <c r="E238" i="9"/>
  <c r="G238" i="9"/>
  <c r="F238" i="9" s="1"/>
  <c r="AI193" i="8"/>
  <c r="B744" i="8"/>
  <c r="A1038" i="8"/>
  <c r="F744" i="8"/>
  <c r="F194" i="8"/>
  <c r="AI1037" i="8"/>
  <c r="F865" i="8"/>
  <c r="B865" i="8"/>
  <c r="AI864" i="8"/>
  <c r="A194" i="8"/>
  <c r="F1038" i="8"/>
  <c r="AI743" i="8"/>
  <c r="A238" i="9"/>
  <c r="I239" i="9"/>
  <c r="E194" i="8"/>
  <c r="E744" i="8"/>
  <c r="E1038" i="8"/>
  <c r="E865" i="8"/>
  <c r="Z1039" i="8"/>
  <c r="M1039" i="8"/>
  <c r="M866" i="8"/>
  <c r="M195" i="8"/>
  <c r="M745" i="8"/>
  <c r="AH866" i="8"/>
  <c r="AH195" i="8"/>
  <c r="AH745" i="8"/>
  <c r="AH1039" i="8"/>
  <c r="L744" i="8"/>
  <c r="L194" i="8"/>
  <c r="AG195" i="8"/>
  <c r="G195" i="8"/>
  <c r="K195" i="8"/>
  <c r="AF745" i="8"/>
  <c r="AA745" i="8" s="1"/>
  <c r="I196" i="8"/>
  <c r="AF195" i="8"/>
  <c r="AA195" i="8" s="1"/>
  <c r="B194" i="8"/>
  <c r="G745" i="8"/>
  <c r="K745" i="8"/>
  <c r="I746" i="8"/>
  <c r="A744" i="8"/>
  <c r="AG745" i="8"/>
  <c r="K1039" i="8"/>
  <c r="L865" i="8"/>
  <c r="B1038" i="8"/>
  <c r="L1038" i="8"/>
  <c r="AF1039" i="8"/>
  <c r="AA1039" i="8" s="1"/>
  <c r="G1039" i="8"/>
  <c r="AG1039" i="8"/>
  <c r="I1040" i="8"/>
  <c r="G866" i="8"/>
  <c r="K866" i="8"/>
  <c r="I867" i="8"/>
  <c r="A865" i="8"/>
  <c r="AF866" i="8"/>
  <c r="AA866" i="8" s="1"/>
  <c r="AG866" i="8"/>
  <c r="AD1038" i="8" l="1"/>
  <c r="AD194" i="8"/>
  <c r="AD744" i="8"/>
  <c r="AD865" i="8"/>
  <c r="G239" i="9"/>
  <c r="F239" i="9" s="1"/>
  <c r="E239" i="9"/>
  <c r="A866" i="8"/>
  <c r="F1039" i="8"/>
  <c r="B745" i="8"/>
  <c r="F866" i="8"/>
  <c r="AI865" i="8"/>
  <c r="AI1038" i="8"/>
  <c r="B1039" i="8"/>
  <c r="B195" i="8"/>
  <c r="AI744" i="8"/>
  <c r="F195" i="8"/>
  <c r="F745" i="8"/>
  <c r="AI194" i="8"/>
  <c r="A239" i="9"/>
  <c r="I240" i="9"/>
  <c r="E866" i="8"/>
  <c r="E195" i="8"/>
  <c r="E1039" i="8"/>
  <c r="E745" i="8"/>
  <c r="M867" i="8"/>
  <c r="M196" i="8"/>
  <c r="M746" i="8"/>
  <c r="M1040" i="8"/>
  <c r="AH746" i="8"/>
  <c r="AH867" i="8"/>
  <c r="AH196" i="8"/>
  <c r="AH1040" i="8"/>
  <c r="L195" i="8"/>
  <c r="L745" i="8"/>
  <c r="AG196" i="8"/>
  <c r="A195" i="8"/>
  <c r="AF196" i="8"/>
  <c r="AA196" i="8" s="1"/>
  <c r="G196" i="8"/>
  <c r="K196" i="8"/>
  <c r="I197" i="8"/>
  <c r="A745" i="8"/>
  <c r="AG746" i="8"/>
  <c r="K746" i="8"/>
  <c r="AF746" i="8"/>
  <c r="AA746" i="8" s="1"/>
  <c r="G746" i="8"/>
  <c r="I747" i="8"/>
  <c r="K1040" i="8"/>
  <c r="L1039" i="8"/>
  <c r="L866" i="8"/>
  <c r="A1039" i="8"/>
  <c r="AG1040" i="8"/>
  <c r="G1040" i="8"/>
  <c r="I1041" i="8"/>
  <c r="AF1040" i="8"/>
  <c r="AA1040" i="8" s="1"/>
  <c r="B866" i="8"/>
  <c r="G867" i="8"/>
  <c r="AG867" i="8"/>
  <c r="K867" i="8"/>
  <c r="I868" i="8"/>
  <c r="AF867" i="8"/>
  <c r="AA867" i="8" s="1"/>
  <c r="AD745" i="8" l="1"/>
  <c r="AD1039" i="8"/>
  <c r="AD866" i="8"/>
  <c r="AD195" i="8"/>
  <c r="G240" i="9"/>
  <c r="F240" i="9" s="1"/>
  <c r="E240" i="9"/>
  <c r="F1040" i="8"/>
  <c r="F196" i="8"/>
  <c r="AI1039" i="8"/>
  <c r="B196" i="8"/>
  <c r="AI195" i="8"/>
  <c r="B746" i="8"/>
  <c r="AI866" i="8"/>
  <c r="E867" i="8"/>
  <c r="AI745" i="8"/>
  <c r="F746" i="8"/>
  <c r="A1040" i="8"/>
  <c r="F867" i="8"/>
  <c r="A240" i="9"/>
  <c r="I241" i="9"/>
  <c r="E1040" i="8"/>
  <c r="E196" i="8"/>
  <c r="E746" i="8"/>
  <c r="M1041" i="8"/>
  <c r="M868" i="8"/>
  <c r="M747" i="8"/>
  <c r="M197" i="8"/>
  <c r="AH1041" i="8"/>
  <c r="AH747" i="8"/>
  <c r="AH868" i="8"/>
  <c r="AH197" i="8"/>
  <c r="L196" i="8"/>
  <c r="L746" i="8"/>
  <c r="A196" i="8"/>
  <c r="G197" i="8"/>
  <c r="I198" i="8"/>
  <c r="AF197" i="8"/>
  <c r="AA197" i="8" s="1"/>
  <c r="K197" i="8"/>
  <c r="AG197" i="8"/>
  <c r="A746" i="8"/>
  <c r="I748" i="8"/>
  <c r="AG747" i="8"/>
  <c r="G747" i="8"/>
  <c r="AF747" i="8"/>
  <c r="AA747" i="8" s="1"/>
  <c r="K747" i="8"/>
  <c r="L1040" i="8"/>
  <c r="AF1041" i="8"/>
  <c r="AA1041" i="8" s="1"/>
  <c r="AG1041" i="8"/>
  <c r="L867" i="8"/>
  <c r="I1042" i="8"/>
  <c r="K1041" i="8"/>
  <c r="G1041" i="8"/>
  <c r="B1040" i="8"/>
  <c r="A867" i="8"/>
  <c r="B867" i="8"/>
  <c r="AF868" i="8"/>
  <c r="AA868" i="8" s="1"/>
  <c r="K868" i="8"/>
  <c r="AG868" i="8"/>
  <c r="I869" i="8"/>
  <c r="G868" i="8"/>
  <c r="AD867" i="8" l="1"/>
  <c r="AD196" i="8"/>
  <c r="AD746" i="8"/>
  <c r="AD1040" i="8"/>
  <c r="G241" i="9"/>
  <c r="F241" i="9" s="1"/>
  <c r="E241" i="9"/>
  <c r="AI1040" i="8"/>
  <c r="B868" i="8"/>
  <c r="B1041" i="8"/>
  <c r="F747" i="8"/>
  <c r="AI746" i="8"/>
  <c r="B747" i="8"/>
  <c r="B197" i="8"/>
  <c r="F868" i="8"/>
  <c r="AI867" i="8"/>
  <c r="F197" i="8"/>
  <c r="F1041" i="8"/>
  <c r="AI196" i="8"/>
  <c r="A241" i="9"/>
  <c r="I242" i="9"/>
  <c r="E868" i="8"/>
  <c r="E197" i="8"/>
  <c r="E747" i="8"/>
  <c r="E1041" i="8"/>
  <c r="W869" i="8"/>
  <c r="Z869" i="8"/>
  <c r="X869" i="8"/>
  <c r="M748" i="8"/>
  <c r="M198" i="8"/>
  <c r="M869" i="8"/>
  <c r="M1042" i="8"/>
  <c r="AH198" i="8"/>
  <c r="AH748" i="8"/>
  <c r="AH1042" i="8"/>
  <c r="AH869" i="8"/>
  <c r="L197" i="8"/>
  <c r="L747" i="8"/>
  <c r="AG198" i="8"/>
  <c r="AF198" i="8"/>
  <c r="AA198" i="8" s="1"/>
  <c r="K198" i="8"/>
  <c r="I199" i="8"/>
  <c r="A197" i="8"/>
  <c r="G198" i="8"/>
  <c r="A747" i="8"/>
  <c r="AF748" i="8"/>
  <c r="AA748" i="8" s="1"/>
  <c r="G748" i="8"/>
  <c r="I749" i="8"/>
  <c r="K748" i="8"/>
  <c r="AG748" i="8"/>
  <c r="L1041" i="8"/>
  <c r="L868" i="8"/>
  <c r="AG1042" i="8"/>
  <c r="AF1042" i="8"/>
  <c r="AA1042" i="8" s="1"/>
  <c r="G1042" i="8"/>
  <c r="K1042" i="8"/>
  <c r="I1043" i="8"/>
  <c r="A1041" i="8"/>
  <c r="I870" i="8"/>
  <c r="A868" i="8"/>
  <c r="G869" i="8"/>
  <c r="AG869" i="8"/>
  <c r="K869" i="8"/>
  <c r="AF869" i="8"/>
  <c r="AA869" i="8" s="1"/>
  <c r="AD197" i="8" l="1"/>
  <c r="AD868" i="8"/>
  <c r="AD1041" i="8"/>
  <c r="AD747" i="8"/>
  <c r="E242" i="9"/>
  <c r="G242" i="9"/>
  <c r="F242" i="9" s="1"/>
  <c r="AI1041" i="8"/>
  <c r="AI747" i="8"/>
  <c r="F869" i="8"/>
  <c r="B1042" i="8"/>
  <c r="B748" i="8"/>
  <c r="AI197" i="8"/>
  <c r="F198" i="8"/>
  <c r="AI868" i="8"/>
  <c r="F748" i="8"/>
  <c r="F1042" i="8"/>
  <c r="B198" i="8"/>
  <c r="A242" i="9"/>
  <c r="I243" i="9"/>
  <c r="E198" i="8"/>
  <c r="E1042" i="8"/>
  <c r="E748" i="8"/>
  <c r="Z870" i="8"/>
  <c r="M749" i="8"/>
  <c r="M1043" i="8"/>
  <c r="M199" i="8"/>
  <c r="M870" i="8"/>
  <c r="AH199" i="8"/>
  <c r="AH870" i="8"/>
  <c r="AH1043" i="8"/>
  <c r="AH749" i="8"/>
  <c r="I200" i="8"/>
  <c r="L748" i="8"/>
  <c r="L198" i="8"/>
  <c r="AG199" i="8"/>
  <c r="G199" i="8"/>
  <c r="AF199" i="8"/>
  <c r="AA199" i="8" s="1"/>
  <c r="A198" i="8"/>
  <c r="K199" i="8"/>
  <c r="K749" i="8"/>
  <c r="AF749" i="8"/>
  <c r="AA749" i="8" s="1"/>
  <c r="I750" i="8"/>
  <c r="A748" i="8"/>
  <c r="AG749" i="8"/>
  <c r="G749" i="8"/>
  <c r="L1042" i="8"/>
  <c r="A1042" i="8"/>
  <c r="G870" i="8"/>
  <c r="L869" i="8"/>
  <c r="AG1043" i="8"/>
  <c r="K1043" i="8"/>
  <c r="G1043" i="8"/>
  <c r="I1044" i="8"/>
  <c r="AF1043" i="8"/>
  <c r="AA1043" i="8" s="1"/>
  <c r="B869" i="8"/>
  <c r="A869" i="8"/>
  <c r="AG870" i="8"/>
  <c r="AF870" i="8"/>
  <c r="AA870" i="8" s="1"/>
  <c r="I871" i="8"/>
  <c r="K870" i="8"/>
  <c r="AD198" i="8" l="1"/>
  <c r="AD869" i="8"/>
  <c r="AD1042" i="8"/>
  <c r="AD748" i="8"/>
  <c r="E243" i="9"/>
  <c r="G243" i="9"/>
  <c r="F243" i="9" s="1"/>
  <c r="AI748" i="8"/>
  <c r="A870" i="8"/>
  <c r="F749" i="8"/>
  <c r="F199" i="8"/>
  <c r="B749" i="8"/>
  <c r="AI1042" i="8"/>
  <c r="F870" i="8"/>
  <c r="B1043" i="8"/>
  <c r="A199" i="8"/>
  <c r="AI198" i="8"/>
  <c r="F1043" i="8"/>
  <c r="A243" i="9"/>
  <c r="I244" i="9"/>
  <c r="E749" i="8"/>
  <c r="E1043" i="8"/>
  <c r="E199" i="8"/>
  <c r="E870" i="8"/>
  <c r="Z871" i="8"/>
  <c r="M1044" i="8"/>
  <c r="M871" i="8"/>
  <c r="M200" i="8"/>
  <c r="M750" i="8"/>
  <c r="L199" i="8"/>
  <c r="AH871" i="8"/>
  <c r="AH1044" i="8"/>
  <c r="AH750" i="8"/>
  <c r="AH200" i="8"/>
  <c r="G200" i="8"/>
  <c r="I201" i="8"/>
  <c r="AG200" i="8"/>
  <c r="K200" i="8"/>
  <c r="AF200" i="8"/>
  <c r="AA200" i="8" s="1"/>
  <c r="L749" i="8"/>
  <c r="B199" i="8"/>
  <c r="I751" i="8"/>
  <c r="AG750" i="8"/>
  <c r="AF750" i="8"/>
  <c r="AA750" i="8" s="1"/>
  <c r="G750" i="8"/>
  <c r="K750" i="8"/>
  <c r="A749" i="8"/>
  <c r="L1043" i="8"/>
  <c r="B870" i="8"/>
  <c r="G1044" i="8"/>
  <c r="L870" i="8"/>
  <c r="A1043" i="8"/>
  <c r="AG1044" i="8"/>
  <c r="AF1044" i="8"/>
  <c r="AA1044" i="8" s="1"/>
  <c r="K1044" i="8"/>
  <c r="I1045" i="8"/>
  <c r="K871" i="8"/>
  <c r="G871" i="8"/>
  <c r="I872" i="8"/>
  <c r="AF871" i="8"/>
  <c r="AA871" i="8" s="1"/>
  <c r="AG871" i="8"/>
  <c r="AD870" i="8" l="1"/>
  <c r="AD1043" i="8"/>
  <c r="AD749" i="8"/>
  <c r="AD199" i="8"/>
  <c r="E244" i="9"/>
  <c r="G244" i="9"/>
  <c r="F244" i="9" s="1"/>
  <c r="L200" i="8"/>
  <c r="E869" i="8"/>
  <c r="F1044" i="8"/>
  <c r="AI199" i="8"/>
  <c r="F871" i="8"/>
  <c r="F750" i="8"/>
  <c r="F200" i="8"/>
  <c r="AI1043" i="8"/>
  <c r="B871" i="8"/>
  <c r="A1044" i="8"/>
  <c r="B750" i="8"/>
  <c r="AI749" i="8"/>
  <c r="B200" i="8"/>
  <c r="A244" i="9"/>
  <c r="I245" i="9"/>
  <c r="E750" i="8"/>
  <c r="E1044" i="8"/>
  <c r="E200" i="8"/>
  <c r="AI870" i="8"/>
  <c r="E871" i="8"/>
  <c r="Z872" i="8"/>
  <c r="M1045" i="8"/>
  <c r="M751" i="8"/>
  <c r="M201" i="8"/>
  <c r="M872" i="8"/>
  <c r="AH872" i="8"/>
  <c r="AH1045" i="8"/>
  <c r="AH751" i="8"/>
  <c r="AG201" i="8"/>
  <c r="AH201" i="8"/>
  <c r="A200" i="8"/>
  <c r="G201" i="8"/>
  <c r="I202" i="8"/>
  <c r="AF201" i="8"/>
  <c r="AA201" i="8" s="1"/>
  <c r="K201" i="8"/>
  <c r="L750" i="8"/>
  <c r="L871" i="8"/>
  <c r="A750" i="8"/>
  <c r="AF751" i="8"/>
  <c r="AA751" i="8" s="1"/>
  <c r="K751" i="8"/>
  <c r="I752" i="8"/>
  <c r="AG751" i="8"/>
  <c r="G751" i="8"/>
  <c r="B1044" i="8"/>
  <c r="G1045" i="8"/>
  <c r="L1044" i="8"/>
  <c r="AF1045" i="8"/>
  <c r="AA1045" i="8" s="1"/>
  <c r="AG1045" i="8"/>
  <c r="K1045" i="8"/>
  <c r="I1046" i="8"/>
  <c r="A871" i="8"/>
  <c r="I873" i="8"/>
  <c r="K872" i="8"/>
  <c r="G872" i="8"/>
  <c r="AF872" i="8"/>
  <c r="AA872" i="8" s="1"/>
  <c r="AG872" i="8"/>
  <c r="AD750" i="8" l="1"/>
  <c r="AD871" i="8"/>
  <c r="AD1044" i="8"/>
  <c r="AD200" i="8"/>
  <c r="L245" i="9"/>
  <c r="G245" i="9"/>
  <c r="F245" i="9" s="1"/>
  <c r="E245" i="9"/>
  <c r="K245" i="9" s="1"/>
  <c r="L201" i="8"/>
  <c r="AI871" i="8"/>
  <c r="B201" i="8"/>
  <c r="AI750" i="8"/>
  <c r="F201" i="8"/>
  <c r="F1045" i="8"/>
  <c r="AI200" i="8"/>
  <c r="F751" i="8"/>
  <c r="AI1044" i="8"/>
  <c r="E872" i="8"/>
  <c r="AI869" i="8"/>
  <c r="B751" i="8"/>
  <c r="F872" i="8"/>
  <c r="A1045" i="8"/>
  <c r="I246" i="9"/>
  <c r="A245" i="9"/>
  <c r="E1045" i="8"/>
  <c r="E751" i="8"/>
  <c r="E201" i="8"/>
  <c r="Z873" i="8"/>
  <c r="M873" i="8"/>
  <c r="M1046" i="8"/>
  <c r="M202" i="8"/>
  <c r="M752" i="8"/>
  <c r="AH873" i="8"/>
  <c r="AH1046" i="8"/>
  <c r="AH752" i="8"/>
  <c r="K202" i="8"/>
  <c r="AH202" i="8"/>
  <c r="I203" i="8"/>
  <c r="AG202" i="8"/>
  <c r="AF202" i="8"/>
  <c r="AA202" i="8" s="1"/>
  <c r="A201" i="8"/>
  <c r="G202" i="8"/>
  <c r="L751" i="8"/>
  <c r="G752" i="8"/>
  <c r="AG752" i="8"/>
  <c r="K752" i="8"/>
  <c r="I753" i="8"/>
  <c r="A751" i="8"/>
  <c r="AF752" i="8"/>
  <c r="AA752" i="8" s="1"/>
  <c r="B1045" i="8"/>
  <c r="AF873" i="8"/>
  <c r="AA873" i="8" s="1"/>
  <c r="AG1046" i="8"/>
  <c r="L1045" i="8"/>
  <c r="AF1046" i="8"/>
  <c r="AA1046" i="8" s="1"/>
  <c r="G1046" i="8"/>
  <c r="I1047" i="8"/>
  <c r="L872" i="8"/>
  <c r="K1046" i="8"/>
  <c r="K873" i="8"/>
  <c r="AG873" i="8"/>
  <c r="B872" i="8"/>
  <c r="G873" i="8"/>
  <c r="A872" i="8"/>
  <c r="I874" i="8"/>
  <c r="AD1045" i="8" l="1"/>
  <c r="AD751" i="8"/>
  <c r="AD201" i="8"/>
  <c r="AD872" i="8"/>
  <c r="E246" i="9"/>
  <c r="K246" i="9" s="1"/>
  <c r="L246" i="9"/>
  <c r="G246" i="9"/>
  <c r="F246" i="9" s="1"/>
  <c r="L202" i="8"/>
  <c r="AI872" i="8"/>
  <c r="F873" i="8"/>
  <c r="B752" i="8"/>
  <c r="F1046" i="8"/>
  <c r="F202" i="8"/>
  <c r="A202" i="8"/>
  <c r="AI201" i="8"/>
  <c r="AI751" i="8"/>
  <c r="E873" i="8"/>
  <c r="B1046" i="8"/>
  <c r="AI1045" i="8"/>
  <c r="F752" i="8"/>
  <c r="I247" i="9"/>
  <c r="A246" i="9"/>
  <c r="E202" i="8"/>
  <c r="E752" i="8"/>
  <c r="E1046" i="8"/>
  <c r="Z874" i="8"/>
  <c r="M874" i="8"/>
  <c r="M1047" i="8"/>
  <c r="M203" i="8"/>
  <c r="M753" i="8"/>
  <c r="AH874" i="8"/>
  <c r="AH753" i="8"/>
  <c r="AH203" i="8"/>
  <c r="AH1047" i="8"/>
  <c r="K203" i="8"/>
  <c r="I204" i="8"/>
  <c r="AG203" i="8"/>
  <c r="AF203" i="8"/>
  <c r="AA203" i="8" s="1"/>
  <c r="G203" i="8"/>
  <c r="B202" i="8"/>
  <c r="L752" i="8"/>
  <c r="A752" i="8"/>
  <c r="K753" i="8"/>
  <c r="I754" i="8"/>
  <c r="AG753" i="8"/>
  <c r="AF753" i="8"/>
  <c r="AA753" i="8" s="1"/>
  <c r="G753" i="8"/>
  <c r="L1046" i="8"/>
  <c r="AF1047" i="8"/>
  <c r="AA1047" i="8" s="1"/>
  <c r="A1046" i="8"/>
  <c r="AG1047" i="8"/>
  <c r="I1048" i="8"/>
  <c r="K1047" i="8"/>
  <c r="G1047" i="8"/>
  <c r="L873" i="8"/>
  <c r="A873" i="8"/>
  <c r="G874" i="8"/>
  <c r="AG874" i="8"/>
  <c r="B873" i="8"/>
  <c r="K874" i="8"/>
  <c r="I875" i="8"/>
  <c r="AF874" i="8"/>
  <c r="AA874" i="8" s="1"/>
  <c r="AD1046" i="8" l="1"/>
  <c r="AD202" i="8"/>
  <c r="AD752" i="8"/>
  <c r="AD873" i="8"/>
  <c r="G247" i="9"/>
  <c r="F247" i="9" s="1"/>
  <c r="E247" i="9"/>
  <c r="K247" i="9" s="1"/>
  <c r="AI873" i="8"/>
  <c r="L203" i="8"/>
  <c r="AI752" i="8"/>
  <c r="F874" i="8"/>
  <c r="F753" i="8"/>
  <c r="B203" i="8"/>
  <c r="F1047" i="8"/>
  <c r="F203" i="8"/>
  <c r="AI202" i="8"/>
  <c r="B874" i="8"/>
  <c r="B753" i="8"/>
  <c r="AI1046" i="8"/>
  <c r="A1047" i="8"/>
  <c r="I248" i="9"/>
  <c r="A247" i="9"/>
  <c r="E874" i="8"/>
  <c r="E203" i="8"/>
  <c r="E753" i="8"/>
  <c r="E1047" i="8"/>
  <c r="Z875" i="8"/>
  <c r="M754" i="8"/>
  <c r="M875" i="8"/>
  <c r="M204" i="8"/>
  <c r="M1048" i="8"/>
  <c r="AH875" i="8"/>
  <c r="AH754" i="8"/>
  <c r="AH1048" i="8"/>
  <c r="AH204" i="8"/>
  <c r="G204" i="8"/>
  <c r="AF204" i="8"/>
  <c r="AA204" i="8" s="1"/>
  <c r="K204" i="8"/>
  <c r="I205" i="8"/>
  <c r="A203" i="8"/>
  <c r="AG204" i="8"/>
  <c r="L753" i="8"/>
  <c r="AF754" i="8"/>
  <c r="AA754" i="8" s="1"/>
  <c r="G754" i="8"/>
  <c r="I755" i="8"/>
  <c r="AG754" i="8"/>
  <c r="K754" i="8"/>
  <c r="A753" i="8"/>
  <c r="L1047" i="8"/>
  <c r="B1047" i="8"/>
  <c r="K1048" i="8"/>
  <c r="AG1048" i="8"/>
  <c r="I1049" i="8"/>
  <c r="AF1048" i="8"/>
  <c r="AA1048" i="8" s="1"/>
  <c r="G1048" i="8"/>
  <c r="L874" i="8"/>
  <c r="A874" i="8"/>
  <c r="G875" i="8"/>
  <c r="AF875" i="8"/>
  <c r="AA875" i="8" s="1"/>
  <c r="AG875" i="8"/>
  <c r="K875" i="8"/>
  <c r="I876" i="8"/>
  <c r="I206" i="8"/>
  <c r="AD1047" i="8" l="1"/>
  <c r="AD203" i="8"/>
  <c r="AD753" i="8"/>
  <c r="AD874" i="8"/>
  <c r="G248" i="9"/>
  <c r="F248" i="9" s="1"/>
  <c r="E248" i="9"/>
  <c r="K248" i="9" s="1"/>
  <c r="L204" i="8"/>
  <c r="F875" i="8"/>
  <c r="AI874" i="8"/>
  <c r="B1048" i="8"/>
  <c r="F754" i="8"/>
  <c r="AI753" i="8"/>
  <c r="AI203" i="8"/>
  <c r="F1048" i="8"/>
  <c r="B204" i="8"/>
  <c r="F204" i="8"/>
  <c r="B754" i="8"/>
  <c r="B875" i="8"/>
  <c r="AI1047" i="8"/>
  <c r="I249" i="9"/>
  <c r="A248" i="9"/>
  <c r="E204" i="8"/>
  <c r="E754" i="8"/>
  <c r="E875" i="8"/>
  <c r="E1048" i="8"/>
  <c r="Z876" i="8"/>
  <c r="W206" i="8"/>
  <c r="Z206" i="8"/>
  <c r="X206" i="8"/>
  <c r="M205" i="8"/>
  <c r="M755" i="8"/>
  <c r="M206" i="8"/>
  <c r="M876" i="8"/>
  <c r="M1049" i="8"/>
  <c r="K205" i="8"/>
  <c r="AH876" i="8"/>
  <c r="AH755" i="8"/>
  <c r="AH1049" i="8"/>
  <c r="A204" i="8"/>
  <c r="AG205" i="8"/>
  <c r="AH206" i="8"/>
  <c r="AF205" i="8"/>
  <c r="AA205" i="8" s="1"/>
  <c r="AH205" i="8"/>
  <c r="G205" i="8"/>
  <c r="L754" i="8"/>
  <c r="A754" i="8"/>
  <c r="AG755" i="8"/>
  <c r="I756" i="8"/>
  <c r="AF755" i="8"/>
  <c r="AA755" i="8" s="1"/>
  <c r="G755" i="8"/>
  <c r="K755" i="8"/>
  <c r="L1048" i="8"/>
  <c r="AF1049" i="8"/>
  <c r="AA1049" i="8" s="1"/>
  <c r="AG1049" i="8"/>
  <c r="K1049" i="8"/>
  <c r="I1050" i="8"/>
  <c r="G1049" i="8"/>
  <c r="A1048" i="8"/>
  <c r="AG876" i="8"/>
  <c r="G206" i="8"/>
  <c r="L875" i="8"/>
  <c r="A875" i="8"/>
  <c r="G876" i="8"/>
  <c r="I877" i="8"/>
  <c r="AF876" i="8"/>
  <c r="AA876" i="8" s="1"/>
  <c r="K876" i="8"/>
  <c r="AF206" i="8"/>
  <c r="AA206" i="8" s="1"/>
  <c r="AG206" i="8"/>
  <c r="I207" i="8"/>
  <c r="K206" i="8"/>
  <c r="A206" i="8"/>
  <c r="AD204" i="8" l="1"/>
  <c r="AD1048" i="8"/>
  <c r="AD875" i="8"/>
  <c r="AD754" i="8"/>
  <c r="G249" i="9"/>
  <c r="F249" i="9" s="1"/>
  <c r="E249" i="9"/>
  <c r="K249" i="9" s="1"/>
  <c r="L205" i="8"/>
  <c r="F876" i="8"/>
  <c r="B1049" i="8"/>
  <c r="A205" i="8"/>
  <c r="B876" i="8"/>
  <c r="F1049" i="8"/>
  <c r="F206" i="8"/>
  <c r="AI754" i="8"/>
  <c r="B755" i="8"/>
  <c r="F205" i="8"/>
  <c r="AI204" i="8"/>
  <c r="F755" i="8"/>
  <c r="AI1048" i="8"/>
  <c r="AI875" i="8"/>
  <c r="B206" i="8"/>
  <c r="I250" i="9"/>
  <c r="A249" i="9"/>
  <c r="E876" i="8"/>
  <c r="E755" i="8"/>
  <c r="E205" i="8"/>
  <c r="E1049" i="8"/>
  <c r="Z877" i="8"/>
  <c r="Z207" i="8"/>
  <c r="M207" i="8"/>
  <c r="M756" i="8"/>
  <c r="M1050" i="8"/>
  <c r="M877" i="8"/>
  <c r="AH207" i="8"/>
  <c r="AH877" i="8"/>
  <c r="AH756" i="8"/>
  <c r="AH1050" i="8"/>
  <c r="B205" i="8"/>
  <c r="L755" i="8"/>
  <c r="L1049" i="8"/>
  <c r="AG756" i="8"/>
  <c r="A755" i="8"/>
  <c r="AF756" i="8"/>
  <c r="AA756" i="8" s="1"/>
  <c r="G756" i="8"/>
  <c r="K756" i="8"/>
  <c r="I757" i="8"/>
  <c r="G1050" i="8"/>
  <c r="AF1050" i="8"/>
  <c r="AA1050" i="8" s="1"/>
  <c r="I1051" i="8"/>
  <c r="A1049" i="8"/>
  <c r="K1050" i="8"/>
  <c r="AG1050" i="8"/>
  <c r="G207" i="8"/>
  <c r="G877" i="8"/>
  <c r="L206" i="8"/>
  <c r="L876" i="8"/>
  <c r="I878" i="8"/>
  <c r="A876" i="8"/>
  <c r="K877" i="8"/>
  <c r="AG877" i="8"/>
  <c r="AF877" i="8"/>
  <c r="AA877" i="8" s="1"/>
  <c r="I208" i="8"/>
  <c r="AG207" i="8"/>
  <c r="K207" i="8"/>
  <c r="AF207" i="8"/>
  <c r="AA207" i="8" s="1"/>
  <c r="AD206" i="8" l="1"/>
  <c r="AD205" i="8"/>
  <c r="AD1049" i="8"/>
  <c r="AD755" i="8"/>
  <c r="AD876" i="8"/>
  <c r="E250" i="9"/>
  <c r="K250" i="9" s="1"/>
  <c r="G250" i="9"/>
  <c r="F250" i="9" s="1"/>
  <c r="AI205" i="8"/>
  <c r="B1050" i="8"/>
  <c r="A877" i="8"/>
  <c r="AI876" i="8"/>
  <c r="AI1049" i="8"/>
  <c r="AI755" i="8"/>
  <c r="B756" i="8"/>
  <c r="F207" i="8"/>
  <c r="B207" i="8"/>
  <c r="F756" i="8"/>
  <c r="F877" i="8"/>
  <c r="F1050" i="8"/>
  <c r="I251" i="9"/>
  <c r="A250" i="9"/>
  <c r="E877" i="8"/>
  <c r="E756" i="8"/>
  <c r="E207" i="8"/>
  <c r="E1050" i="8"/>
  <c r="Z878" i="8"/>
  <c r="Z208" i="8"/>
  <c r="M878" i="8"/>
  <c r="M757" i="8"/>
  <c r="M208" i="8"/>
  <c r="M1051" i="8"/>
  <c r="AH1051" i="8"/>
  <c r="AH757" i="8"/>
  <c r="AH208" i="8"/>
  <c r="AH878" i="8"/>
  <c r="L756" i="8"/>
  <c r="L1050" i="8"/>
  <c r="AF757" i="8"/>
  <c r="AA757" i="8" s="1"/>
  <c r="I758" i="8"/>
  <c r="G757" i="8"/>
  <c r="A756" i="8"/>
  <c r="AG757" i="8"/>
  <c r="K757" i="8"/>
  <c r="A1050" i="8"/>
  <c r="AG1051" i="8"/>
  <c r="AF1051" i="8"/>
  <c r="AA1051" i="8" s="1"/>
  <c r="B877" i="8"/>
  <c r="G1051" i="8"/>
  <c r="K1051" i="8"/>
  <c r="I1052" i="8"/>
  <c r="A207" i="8"/>
  <c r="I879" i="8"/>
  <c r="AG878" i="8"/>
  <c r="L877" i="8"/>
  <c r="AF878" i="8"/>
  <c r="AA878" i="8" s="1"/>
  <c r="L207" i="8"/>
  <c r="G878" i="8"/>
  <c r="K878" i="8"/>
  <c r="K208" i="8"/>
  <c r="I209" i="8"/>
  <c r="G208" i="8"/>
  <c r="AF208" i="8"/>
  <c r="AA208" i="8" s="1"/>
  <c r="AG208" i="8"/>
  <c r="AD207" i="8" l="1"/>
  <c r="AD877" i="8"/>
  <c r="AD1050" i="8"/>
  <c r="AD756" i="8"/>
  <c r="E251" i="9"/>
  <c r="K251" i="9" s="1"/>
  <c r="G251" i="9"/>
  <c r="F251" i="9" s="1"/>
  <c r="W193" i="8"/>
  <c r="W181" i="8"/>
  <c r="W194" i="8"/>
  <c r="W169" i="8"/>
  <c r="W162" i="8"/>
  <c r="W183" i="8"/>
  <c r="W709" i="8"/>
  <c r="W197" i="8"/>
  <c r="W695" i="8"/>
  <c r="W205" i="8"/>
  <c r="W168" i="8"/>
  <c r="W184" i="8"/>
  <c r="W680" i="8"/>
  <c r="W192" i="8"/>
  <c r="W161" i="8"/>
  <c r="W200" i="8"/>
  <c r="W170" i="8"/>
  <c r="W673" i="8"/>
  <c r="W175" i="8"/>
  <c r="W701" i="8"/>
  <c r="W186" i="8"/>
  <c r="W163" i="8"/>
  <c r="W671" i="8"/>
  <c r="W687" i="8"/>
  <c r="W178" i="8"/>
  <c r="W160" i="8"/>
  <c r="W1217" i="8"/>
  <c r="W705" i="8"/>
  <c r="W1221" i="8"/>
  <c r="W167" i="8"/>
  <c r="W698" i="8"/>
  <c r="W1209" i="8"/>
  <c r="W690" i="8"/>
  <c r="W1218" i="8"/>
  <c r="W707" i="8"/>
  <c r="W685" i="8"/>
  <c r="W1216" i="8"/>
  <c r="W704" i="8"/>
  <c r="W674" i="8"/>
  <c r="W1202" i="8"/>
  <c r="W672" i="8"/>
  <c r="W1205" i="8"/>
  <c r="W688" i="8"/>
  <c r="W1225" i="8"/>
  <c r="W1199" i="8"/>
  <c r="W1200" i="8"/>
  <c r="W1185" i="8"/>
  <c r="W202" i="8"/>
  <c r="W191" i="8"/>
  <c r="W177" i="8"/>
  <c r="W165" i="8"/>
  <c r="W159" i="8"/>
  <c r="W697" i="8"/>
  <c r="W682" i="8"/>
  <c r="W669" i="8"/>
  <c r="W1215" i="8"/>
  <c r="W1193" i="8"/>
  <c r="W201" i="8"/>
  <c r="W189" i="8"/>
  <c r="W176" i="8"/>
  <c r="W164" i="8"/>
  <c r="W708" i="8"/>
  <c r="W696" i="8"/>
  <c r="W681" i="8"/>
  <c r="W666" i="8"/>
  <c r="W1213" i="8"/>
  <c r="W1191" i="8"/>
  <c r="W199" i="8"/>
  <c r="W185" i="8"/>
  <c r="W173" i="8"/>
  <c r="W713" i="8"/>
  <c r="W156" i="8"/>
  <c r="W693" i="8"/>
  <c r="W679" i="8"/>
  <c r="W1223" i="8"/>
  <c r="W1207" i="8"/>
  <c r="W1184" i="8"/>
  <c r="W1181" i="8"/>
  <c r="W703" i="8"/>
  <c r="W689" i="8"/>
  <c r="W677" i="8"/>
  <c r="W1224" i="8"/>
  <c r="W1210" i="8"/>
  <c r="W1192" i="8"/>
  <c r="W1186" i="8"/>
  <c r="W1197" i="8"/>
  <c r="W1178" i="8"/>
  <c r="W1177" i="8"/>
  <c r="W1208" i="8"/>
  <c r="W1194" i="8"/>
  <c r="W1183" i="8"/>
  <c r="W1201" i="8"/>
  <c r="W1189" i="8"/>
  <c r="W1176" i="8"/>
  <c r="W198" i="8"/>
  <c r="W190" i="8"/>
  <c r="W182" i="8"/>
  <c r="W174" i="8"/>
  <c r="W166" i="8"/>
  <c r="W712" i="8"/>
  <c r="W158" i="8"/>
  <c r="W702" i="8"/>
  <c r="W694" i="8"/>
  <c r="W686" i="8"/>
  <c r="W678" i="8"/>
  <c r="W670" i="8"/>
  <c r="W1222" i="8"/>
  <c r="W1214" i="8"/>
  <c r="W1206" i="8"/>
  <c r="W1198" i="8"/>
  <c r="W1190" i="8"/>
  <c r="W1182" i="8"/>
  <c r="W204" i="8"/>
  <c r="W196" i="8"/>
  <c r="W188" i="8"/>
  <c r="W180" i="8"/>
  <c r="W172" i="8"/>
  <c r="W715" i="8"/>
  <c r="W711" i="8"/>
  <c r="W157" i="8"/>
  <c r="W700" i="8"/>
  <c r="W692" i="8"/>
  <c r="W684" i="8"/>
  <c r="W676" i="8"/>
  <c r="W668" i="8"/>
  <c r="W1220" i="8"/>
  <c r="W1212" i="8"/>
  <c r="W1204" i="8"/>
  <c r="W1196" i="8"/>
  <c r="W1188" i="8"/>
  <c r="W1180" i="8"/>
  <c r="W203" i="8"/>
  <c r="W195" i="8"/>
  <c r="W187" i="8"/>
  <c r="W179" i="8"/>
  <c r="W171" i="8"/>
  <c r="W714" i="8"/>
  <c r="W710" i="8"/>
  <c r="W706" i="8"/>
  <c r="W699" i="8"/>
  <c r="W691" i="8"/>
  <c r="W683" i="8"/>
  <c r="W675" i="8"/>
  <c r="W667" i="8"/>
  <c r="W1219" i="8"/>
  <c r="W1211" i="8"/>
  <c r="W1203" i="8"/>
  <c r="W1195" i="8"/>
  <c r="W1187" i="8"/>
  <c r="W1179" i="8"/>
  <c r="F208" i="8"/>
  <c r="F757" i="8"/>
  <c r="F878" i="8"/>
  <c r="AI1050" i="8"/>
  <c r="B208" i="8"/>
  <c r="B878" i="8"/>
  <c r="AI756" i="8"/>
  <c r="AI877" i="8"/>
  <c r="F1051" i="8"/>
  <c r="E206" i="8"/>
  <c r="B1051" i="8"/>
  <c r="B757" i="8"/>
  <c r="I252" i="9"/>
  <c r="A251" i="9"/>
  <c r="AI207" i="8"/>
  <c r="E757" i="8"/>
  <c r="E208" i="8"/>
  <c r="E1051" i="8"/>
  <c r="E878" i="8"/>
  <c r="Z209" i="8"/>
  <c r="Z879" i="8"/>
  <c r="M209" i="8"/>
  <c r="M879" i="8"/>
  <c r="M758" i="8"/>
  <c r="M1052" i="8"/>
  <c r="AH1052" i="8"/>
  <c r="AH209" i="8"/>
  <c r="AH758" i="8"/>
  <c r="AH879" i="8"/>
  <c r="L757" i="8"/>
  <c r="L1051" i="8"/>
  <c r="I759" i="8"/>
  <c r="A757" i="8"/>
  <c r="K758" i="8"/>
  <c r="G758" i="8"/>
  <c r="AF758" i="8"/>
  <c r="AA758" i="8" s="1"/>
  <c r="AG758" i="8"/>
  <c r="A1051" i="8"/>
  <c r="AF1052" i="8"/>
  <c r="AA1052" i="8" s="1"/>
  <c r="K879" i="8"/>
  <c r="AG1052" i="8"/>
  <c r="K1052" i="8"/>
  <c r="I1053" i="8"/>
  <c r="G1052" i="8"/>
  <c r="G879" i="8"/>
  <c r="AF879" i="8"/>
  <c r="AA879" i="8" s="1"/>
  <c r="I880" i="8"/>
  <c r="AG879" i="8"/>
  <c r="A878" i="8"/>
  <c r="K209" i="8"/>
  <c r="L208" i="8"/>
  <c r="L878" i="8"/>
  <c r="G209" i="8"/>
  <c r="AF209" i="8"/>
  <c r="AA209" i="8" s="1"/>
  <c r="I210" i="8"/>
  <c r="AG209" i="8"/>
  <c r="A208" i="8"/>
  <c r="AD757" i="8" l="1"/>
  <c r="AD1051" i="8"/>
  <c r="AD878" i="8"/>
  <c r="AD208" i="8"/>
  <c r="Z1211" i="8"/>
  <c r="Z1224" i="8"/>
  <c r="Z1208" i="8"/>
  <c r="Z1193" i="8"/>
  <c r="Z1215" i="8"/>
  <c r="Z1202" i="8"/>
  <c r="Z1209" i="8"/>
  <c r="Z1212" i="8"/>
  <c r="Z1218" i="8"/>
  <c r="Z181" i="8"/>
  <c r="Z1196" i="8"/>
  <c r="Z1220" i="8"/>
  <c r="Z1206" i="8"/>
  <c r="Z1199" i="8"/>
  <c r="Z1216" i="8"/>
  <c r="Z1221" i="8"/>
  <c r="Z1213" i="8"/>
  <c r="Z1205" i="8"/>
  <c r="Z1204" i="8"/>
  <c r="Z1198" i="8"/>
  <c r="Z1197" i="8"/>
  <c r="Z1195" i="8"/>
  <c r="Z1214" i="8"/>
  <c r="Z1201" i="8"/>
  <c r="Z1207" i="8"/>
  <c r="Z1225" i="8"/>
  <c r="Z1194" i="8"/>
  <c r="Z1219" i="8"/>
  <c r="X1176" i="8"/>
  <c r="Z1200" i="8"/>
  <c r="Z1203" i="8"/>
  <c r="Z1222" i="8"/>
  <c r="Z1210" i="8"/>
  <c r="Z1223" i="8"/>
  <c r="Z1217" i="8"/>
  <c r="Z685" i="8"/>
  <c r="Z701" i="8"/>
  <c r="Z706" i="8"/>
  <c r="Z683" i="8"/>
  <c r="Z187" i="8"/>
  <c r="Z715" i="8"/>
  <c r="Z702" i="8"/>
  <c r="Z173" i="8"/>
  <c r="Z192" i="8"/>
  <c r="Z183" i="8"/>
  <c r="Z185" i="8"/>
  <c r="Z203" i="8"/>
  <c r="Z684" i="8"/>
  <c r="Z189" i="8"/>
  <c r="Z201" i="8"/>
  <c r="Z177" i="8"/>
  <c r="Z205" i="8"/>
  <c r="Z691" i="8"/>
  <c r="Z176" i="8"/>
  <c r="Z688" i="8"/>
  <c r="Z194" i="8"/>
  <c r="Z714" i="8"/>
  <c r="Z693" i="8"/>
  <c r="Z191" i="8"/>
  <c r="Z690" i="8"/>
  <c r="Z178" i="8"/>
  <c r="Z695" i="8"/>
  <c r="Z193" i="8"/>
  <c r="Z195" i="8"/>
  <c r="Z686" i="8"/>
  <c r="Z190" i="8"/>
  <c r="Z689" i="8"/>
  <c r="Z202" i="8"/>
  <c r="Z200" i="8"/>
  <c r="Z697" i="8"/>
  <c r="Z188" i="8"/>
  <c r="Z707" i="8"/>
  <c r="Z179" i="8"/>
  <c r="Z711" i="8"/>
  <c r="Z694" i="8"/>
  <c r="Z198" i="8"/>
  <c r="Z703" i="8"/>
  <c r="Z713" i="8"/>
  <c r="Z696" i="8"/>
  <c r="Z709" i="8"/>
  <c r="E252" i="9"/>
  <c r="G252" i="9"/>
  <c r="F252" i="9" s="1"/>
  <c r="Z197" i="8"/>
  <c r="Z175" i="8"/>
  <c r="Z184" i="8"/>
  <c r="Z186" i="8"/>
  <c r="Z705" i="8"/>
  <c r="Z687" i="8"/>
  <c r="X666" i="8"/>
  <c r="Z704" i="8"/>
  <c r="Z698" i="8"/>
  <c r="Z182" i="8"/>
  <c r="Z199" i="8"/>
  <c r="X156" i="8"/>
  <c r="Z708" i="8"/>
  <c r="Z700" i="8"/>
  <c r="Z204" i="8"/>
  <c r="Z712" i="8"/>
  <c r="Z180" i="8"/>
  <c r="Z196" i="8"/>
  <c r="Z174" i="8"/>
  <c r="Z699" i="8"/>
  <c r="Z710" i="8"/>
  <c r="Z692" i="8"/>
  <c r="F209" i="8"/>
  <c r="AI878" i="8"/>
  <c r="AI206" i="8"/>
  <c r="AI208" i="8"/>
  <c r="F758" i="8"/>
  <c r="A879" i="8"/>
  <c r="B1052" i="8"/>
  <c r="F1052" i="8"/>
  <c r="F879" i="8"/>
  <c r="AI1051" i="8"/>
  <c r="A209" i="8"/>
  <c r="AI757" i="8"/>
  <c r="B758" i="8"/>
  <c r="I253" i="9"/>
  <c r="A252" i="9"/>
  <c r="E1052" i="8"/>
  <c r="E879" i="8"/>
  <c r="E758" i="8"/>
  <c r="E209" i="8"/>
  <c r="Z880" i="8"/>
  <c r="Z210" i="8"/>
  <c r="M1053" i="8"/>
  <c r="M210" i="8"/>
  <c r="M880" i="8"/>
  <c r="M759" i="8"/>
  <c r="AH210" i="8"/>
  <c r="AH1053" i="8"/>
  <c r="AH880" i="8"/>
  <c r="AH759" i="8"/>
  <c r="L758" i="8"/>
  <c r="L879" i="8"/>
  <c r="A758" i="8"/>
  <c r="K759" i="8"/>
  <c r="I760" i="8"/>
  <c r="AG759" i="8"/>
  <c r="AF759" i="8"/>
  <c r="AA759" i="8" s="1"/>
  <c r="G759" i="8"/>
  <c r="L1052" i="8"/>
  <c r="G880" i="8"/>
  <c r="I881" i="8"/>
  <c r="AG880" i="8"/>
  <c r="AF880" i="8"/>
  <c r="AA880" i="8" s="1"/>
  <c r="K880" i="8"/>
  <c r="G1053" i="8"/>
  <c r="I1054" i="8"/>
  <c r="A1052" i="8"/>
  <c r="AG1053" i="8"/>
  <c r="AF1053" i="8"/>
  <c r="AA1053" i="8" s="1"/>
  <c r="K1053" i="8"/>
  <c r="B879" i="8"/>
  <c r="L209" i="8"/>
  <c r="B209" i="8"/>
  <c r="G210" i="8"/>
  <c r="K210" i="8"/>
  <c r="I211" i="8"/>
  <c r="AF210" i="8"/>
  <c r="AA210" i="8" s="1"/>
  <c r="AG210" i="8"/>
  <c r="AD758" i="8" l="1"/>
  <c r="AD209" i="8"/>
  <c r="AD879" i="8"/>
  <c r="AD1052" i="8"/>
  <c r="X1177" i="8"/>
  <c r="G253" i="9"/>
  <c r="F253" i="9" s="1"/>
  <c r="E253" i="9"/>
  <c r="X667" i="8"/>
  <c r="X157" i="8"/>
  <c r="B880" i="8"/>
  <c r="AI879" i="8"/>
  <c r="F210" i="8"/>
  <c r="AI1052" i="8"/>
  <c r="A210" i="8"/>
  <c r="B759" i="8"/>
  <c r="B1053" i="8"/>
  <c r="F880" i="8"/>
  <c r="F1053" i="8"/>
  <c r="F759" i="8"/>
  <c r="AI209" i="8"/>
  <c r="AI758" i="8"/>
  <c r="I254" i="9"/>
  <c r="A253" i="9"/>
  <c r="E880" i="8"/>
  <c r="E210" i="8"/>
  <c r="E759" i="8"/>
  <c r="E1053" i="8"/>
  <c r="Z881" i="8"/>
  <c r="Z211" i="8"/>
  <c r="M211" i="8"/>
  <c r="M1054" i="8"/>
  <c r="M881" i="8"/>
  <c r="M760" i="8"/>
  <c r="AH881" i="8"/>
  <c r="AH1054" i="8"/>
  <c r="AH211" i="8"/>
  <c r="AH760" i="8"/>
  <c r="L759" i="8"/>
  <c r="L1053" i="8"/>
  <c r="L880" i="8"/>
  <c r="G760" i="8"/>
  <c r="I761" i="8"/>
  <c r="K760" i="8"/>
  <c r="AG760" i="8"/>
  <c r="AF760" i="8"/>
  <c r="AA760" i="8" s="1"/>
  <c r="A759" i="8"/>
  <c r="I1055" i="8"/>
  <c r="A880" i="8"/>
  <c r="AF881" i="8"/>
  <c r="AA881" i="8" s="1"/>
  <c r="K881" i="8"/>
  <c r="I882" i="8"/>
  <c r="AG881" i="8"/>
  <c r="G881" i="8"/>
  <c r="K1054" i="8"/>
  <c r="A1053" i="8"/>
  <c r="AF1054" i="8"/>
  <c r="AA1054" i="8" s="1"/>
  <c r="G1054" i="8"/>
  <c r="AG1054" i="8"/>
  <c r="AF211" i="8"/>
  <c r="AA211" i="8" s="1"/>
  <c r="L210" i="8"/>
  <c r="B210" i="8"/>
  <c r="K211" i="8"/>
  <c r="G211" i="8"/>
  <c r="I212" i="8"/>
  <c r="AG211" i="8"/>
  <c r="AD1053" i="8" l="1"/>
  <c r="AD210" i="8"/>
  <c r="AD880" i="8"/>
  <c r="AD759" i="8"/>
  <c r="X1178" i="8"/>
  <c r="X158" i="8"/>
  <c r="G254" i="9"/>
  <c r="F254" i="9" s="1"/>
  <c r="E254" i="9"/>
  <c r="X668" i="8"/>
  <c r="AI880" i="8"/>
  <c r="A881" i="8"/>
  <c r="F760" i="8"/>
  <c r="A1054" i="8"/>
  <c r="B760" i="8"/>
  <c r="AI759" i="8"/>
  <c r="E211" i="8"/>
  <c r="F211" i="8"/>
  <c r="F1054" i="8"/>
  <c r="F881" i="8"/>
  <c r="AI1053" i="8"/>
  <c r="AI210" i="8"/>
  <c r="I255" i="9"/>
  <c r="A254" i="9"/>
  <c r="E1054" i="8"/>
  <c r="E760" i="8"/>
  <c r="E881" i="8"/>
  <c r="Z212" i="8"/>
  <c r="Z882" i="8"/>
  <c r="M882" i="8"/>
  <c r="M212" i="8"/>
  <c r="M1055" i="8"/>
  <c r="M761" i="8"/>
  <c r="AH761" i="8"/>
  <c r="AH212" i="8"/>
  <c r="AH882" i="8"/>
  <c r="AH1055" i="8"/>
  <c r="L760" i="8"/>
  <c r="AG761" i="8"/>
  <c r="G761" i="8"/>
  <c r="I762" i="8"/>
  <c r="L1054" i="8"/>
  <c r="L881" i="8"/>
  <c r="A760" i="8"/>
  <c r="K761" i="8"/>
  <c r="AF761" i="8"/>
  <c r="AA761" i="8" s="1"/>
  <c r="AG1055" i="8"/>
  <c r="AF1055" i="8"/>
  <c r="AA1055" i="8" s="1"/>
  <c r="K1055" i="8"/>
  <c r="G1055" i="8"/>
  <c r="I1056" i="8"/>
  <c r="G882" i="8"/>
  <c r="AF882" i="8"/>
  <c r="AA882" i="8" s="1"/>
  <c r="K882" i="8"/>
  <c r="I883" i="8"/>
  <c r="AG882" i="8"/>
  <c r="B881" i="8"/>
  <c r="B1054" i="8"/>
  <c r="L211" i="8"/>
  <c r="G212" i="8"/>
  <c r="AG212" i="8"/>
  <c r="K212" i="8"/>
  <c r="I213" i="8"/>
  <c r="AF212" i="8"/>
  <c r="AA212" i="8" s="1"/>
  <c r="B211" i="8"/>
  <c r="A211" i="8"/>
  <c r="AD211" i="8" l="1"/>
  <c r="AD1054" i="8"/>
  <c r="AD760" i="8"/>
  <c r="AD881" i="8"/>
  <c r="X159" i="8"/>
  <c r="X1179" i="8"/>
  <c r="X669" i="8"/>
  <c r="G255" i="9"/>
  <c r="F255" i="9" s="1"/>
  <c r="E255" i="9"/>
  <c r="AI211" i="8"/>
  <c r="B761" i="8"/>
  <c r="AI1054" i="8"/>
  <c r="F212" i="8"/>
  <c r="F882" i="8"/>
  <c r="B212" i="8"/>
  <c r="F761" i="8"/>
  <c r="B882" i="8"/>
  <c r="B1055" i="8"/>
  <c r="AI881" i="8"/>
  <c r="F1055" i="8"/>
  <c r="AI760" i="8"/>
  <c r="I256" i="9"/>
  <c r="A255" i="9"/>
  <c r="E1055" i="8"/>
  <c r="E212" i="8"/>
  <c r="E882" i="8"/>
  <c r="E761" i="8"/>
  <c r="Z883" i="8"/>
  <c r="Z213" i="8"/>
  <c r="M213" i="8"/>
  <c r="M762" i="8"/>
  <c r="M1056" i="8"/>
  <c r="M883" i="8"/>
  <c r="AH762" i="8"/>
  <c r="AH213" i="8"/>
  <c r="AH883" i="8"/>
  <c r="AH1056" i="8"/>
  <c r="I763" i="8"/>
  <c r="A761" i="8"/>
  <c r="K762" i="8"/>
  <c r="AG762" i="8"/>
  <c r="AF762" i="8"/>
  <c r="AA762" i="8" s="1"/>
  <c r="G762" i="8"/>
  <c r="L882" i="8"/>
  <c r="L1055" i="8"/>
  <c r="L761" i="8"/>
  <c r="A1055" i="8"/>
  <c r="I1057" i="8"/>
  <c r="AG1056" i="8"/>
  <c r="K1056" i="8"/>
  <c r="AF1056" i="8"/>
  <c r="AA1056" i="8" s="1"/>
  <c r="G1056" i="8"/>
  <c r="A882" i="8"/>
  <c r="G883" i="8"/>
  <c r="AF883" i="8"/>
  <c r="AA883" i="8" s="1"/>
  <c r="AG883" i="8"/>
  <c r="I884" i="8"/>
  <c r="K883" i="8"/>
  <c r="L212" i="8"/>
  <c r="A212" i="8"/>
  <c r="G213" i="8"/>
  <c r="K213" i="8"/>
  <c r="AF213" i="8"/>
  <c r="AA213" i="8" s="1"/>
  <c r="I214" i="8"/>
  <c r="AG213" i="8"/>
  <c r="AD212" i="8" l="1"/>
  <c r="AD882" i="8"/>
  <c r="AD761" i="8"/>
  <c r="AD1055" i="8"/>
  <c r="X160" i="8"/>
  <c r="X670" i="8"/>
  <c r="X1180" i="8"/>
  <c r="G256" i="9"/>
  <c r="F256" i="9" s="1"/>
  <c r="E256" i="9"/>
  <c r="L762" i="8"/>
  <c r="AI882" i="8"/>
  <c r="F762" i="8"/>
  <c r="AI212" i="8"/>
  <c r="AI1055" i="8"/>
  <c r="A213" i="8"/>
  <c r="B1056" i="8"/>
  <c r="B762" i="8"/>
  <c r="F213" i="8"/>
  <c r="A883" i="8"/>
  <c r="F883" i="8"/>
  <c r="F1056" i="8"/>
  <c r="AI761" i="8"/>
  <c r="I257" i="9"/>
  <c r="A256" i="9"/>
  <c r="E883" i="8"/>
  <c r="E213" i="8"/>
  <c r="E762" i="8"/>
  <c r="E1056" i="8"/>
  <c r="Z214" i="8"/>
  <c r="Z884" i="8"/>
  <c r="M214" i="8"/>
  <c r="M1057" i="8"/>
  <c r="M884" i="8"/>
  <c r="M763" i="8"/>
  <c r="AH214" i="8"/>
  <c r="AH1057" i="8"/>
  <c r="AH884" i="8"/>
  <c r="AG763" i="8"/>
  <c r="AH763" i="8"/>
  <c r="K763" i="8"/>
  <c r="G763" i="8"/>
  <c r="AF763" i="8"/>
  <c r="AA763" i="8" s="1"/>
  <c r="I764" i="8"/>
  <c r="A762" i="8"/>
  <c r="L1056" i="8"/>
  <c r="K1057" i="8"/>
  <c r="G1057" i="8"/>
  <c r="A1056" i="8"/>
  <c r="AG1057" i="8"/>
  <c r="AF1057" i="8"/>
  <c r="AA1057" i="8" s="1"/>
  <c r="I1058" i="8"/>
  <c r="L883" i="8"/>
  <c r="AG884" i="8"/>
  <c r="B883" i="8"/>
  <c r="G884" i="8"/>
  <c r="I885" i="8"/>
  <c r="K884" i="8"/>
  <c r="AF884" i="8"/>
  <c r="AA884" i="8" s="1"/>
  <c r="L213" i="8"/>
  <c r="B213" i="8"/>
  <c r="I215" i="8"/>
  <c r="K214" i="8"/>
  <c r="AG214" i="8"/>
  <c r="G214" i="8"/>
  <c r="AF214" i="8"/>
  <c r="AA214" i="8" s="1"/>
  <c r="AD883" i="8" l="1"/>
  <c r="AD762" i="8"/>
  <c r="AD213" i="8"/>
  <c r="AD1056" i="8"/>
  <c r="X161" i="8"/>
  <c r="X671" i="8"/>
  <c r="X1181" i="8"/>
  <c r="G257" i="9"/>
  <c r="F257" i="9" s="1"/>
  <c r="E257" i="9"/>
  <c r="L763" i="8"/>
  <c r="AI762" i="8"/>
  <c r="A884" i="8"/>
  <c r="B1057" i="8"/>
  <c r="B763" i="8"/>
  <c r="AI213" i="8"/>
  <c r="A214" i="8"/>
  <c r="F214" i="8"/>
  <c r="F1057" i="8"/>
  <c r="F763" i="8"/>
  <c r="AI883" i="8"/>
  <c r="F884" i="8"/>
  <c r="AI1056" i="8"/>
  <c r="I258" i="9"/>
  <c r="A257" i="9"/>
  <c r="E1057" i="8"/>
  <c r="E214" i="8"/>
  <c r="E763" i="8"/>
  <c r="E884" i="8"/>
  <c r="Z215" i="8"/>
  <c r="Z885" i="8"/>
  <c r="M885" i="8"/>
  <c r="M1058" i="8"/>
  <c r="M764" i="8"/>
  <c r="M215" i="8"/>
  <c r="AH1058" i="8"/>
  <c r="AH215" i="8"/>
  <c r="AH885" i="8"/>
  <c r="A763" i="8"/>
  <c r="AF764" i="8"/>
  <c r="AA764" i="8" s="1"/>
  <c r="AH764" i="8"/>
  <c r="K764" i="8"/>
  <c r="G764" i="8"/>
  <c r="I765" i="8"/>
  <c r="AG764" i="8"/>
  <c r="L1057" i="8"/>
  <c r="L884" i="8"/>
  <c r="L214" i="8"/>
  <c r="A1057" i="8"/>
  <c r="G1058" i="8"/>
  <c r="K1058" i="8"/>
  <c r="AG1058" i="8"/>
  <c r="AF1058" i="8"/>
  <c r="AA1058" i="8" s="1"/>
  <c r="I1059" i="8"/>
  <c r="B884" i="8"/>
  <c r="K885" i="8"/>
  <c r="AG885" i="8"/>
  <c r="AF885" i="8"/>
  <c r="AA885" i="8" s="1"/>
  <c r="G885" i="8"/>
  <c r="I886" i="8"/>
  <c r="AF215" i="8"/>
  <c r="AA215" i="8" s="1"/>
  <c r="AG215" i="8"/>
  <c r="K215" i="8"/>
  <c r="I216" i="8"/>
  <c r="G215" i="8"/>
  <c r="B214" i="8"/>
  <c r="AD214" i="8" l="1"/>
  <c r="AD763" i="8"/>
  <c r="AD884" i="8"/>
  <c r="AD1057" i="8"/>
  <c r="X162" i="8"/>
  <c r="X672" i="8"/>
  <c r="X1182" i="8"/>
  <c r="E258" i="9"/>
  <c r="G258" i="9"/>
  <c r="F258" i="9" s="1"/>
  <c r="L764" i="8"/>
  <c r="AI214" i="8"/>
  <c r="F215" i="8"/>
  <c r="B1058" i="8"/>
  <c r="F764" i="8"/>
  <c r="AI763" i="8"/>
  <c r="B215" i="8"/>
  <c r="F885" i="8"/>
  <c r="AI1057" i="8"/>
  <c r="B885" i="8"/>
  <c r="F1058" i="8"/>
  <c r="B764" i="8"/>
  <c r="AI884" i="8"/>
  <c r="I259" i="9"/>
  <c r="A258" i="9"/>
  <c r="E764" i="8"/>
  <c r="E1058" i="8"/>
  <c r="E215" i="8"/>
  <c r="E885" i="8"/>
  <c r="Z216" i="8"/>
  <c r="Z886" i="8"/>
  <c r="M765" i="8"/>
  <c r="M886" i="8"/>
  <c r="M1059" i="8"/>
  <c r="M216" i="8"/>
  <c r="AH216" i="8"/>
  <c r="AH1059" i="8"/>
  <c r="AH886" i="8"/>
  <c r="AF765" i="8"/>
  <c r="AA765" i="8" s="1"/>
  <c r="AH765" i="8"/>
  <c r="AG765" i="8"/>
  <c r="A764" i="8"/>
  <c r="K765" i="8"/>
  <c r="I766" i="8"/>
  <c r="G765" i="8"/>
  <c r="L1058" i="8"/>
  <c r="A1058" i="8"/>
  <c r="K1059" i="8"/>
  <c r="I1060" i="8"/>
  <c r="AG1059" i="8"/>
  <c r="G1059" i="8"/>
  <c r="AF1059" i="8"/>
  <c r="AA1059" i="8" s="1"/>
  <c r="L885" i="8"/>
  <c r="A885" i="8"/>
  <c r="G886" i="8"/>
  <c r="K886" i="8"/>
  <c r="AF886" i="8"/>
  <c r="AA886" i="8" s="1"/>
  <c r="AG886" i="8"/>
  <c r="I887" i="8"/>
  <c r="L215" i="8"/>
  <c r="AG216" i="8"/>
  <c r="K216" i="8"/>
  <c r="G216" i="8"/>
  <c r="AF216" i="8"/>
  <c r="AA216" i="8" s="1"/>
  <c r="I217" i="8"/>
  <c r="A215" i="8"/>
  <c r="AD764" i="8" l="1"/>
  <c r="AD885" i="8"/>
  <c r="AD215" i="8"/>
  <c r="AD1058" i="8"/>
  <c r="X163" i="8"/>
  <c r="X673" i="8"/>
  <c r="X1183" i="8"/>
  <c r="E259" i="9"/>
  <c r="G259" i="9"/>
  <c r="F259" i="9" s="1"/>
  <c r="L765" i="8"/>
  <c r="AI215" i="8"/>
  <c r="F886" i="8"/>
  <c r="F1059" i="8"/>
  <c r="AI1058" i="8"/>
  <c r="AI885" i="8"/>
  <c r="F216" i="8"/>
  <c r="B1059" i="8"/>
  <c r="F765" i="8"/>
  <c r="B216" i="8"/>
  <c r="A886" i="8"/>
  <c r="AI764" i="8"/>
  <c r="B765" i="8"/>
  <c r="I260" i="9"/>
  <c r="A259" i="9"/>
  <c r="E1059" i="8"/>
  <c r="E216" i="8"/>
  <c r="E765" i="8"/>
  <c r="E886" i="8"/>
  <c r="Z217" i="8"/>
  <c r="M766" i="8"/>
  <c r="M887" i="8"/>
  <c r="M217" i="8"/>
  <c r="M1060" i="8"/>
  <c r="AH217" i="8"/>
  <c r="AH887" i="8"/>
  <c r="AH1060" i="8"/>
  <c r="AH766" i="8"/>
  <c r="AG766" i="8"/>
  <c r="K766" i="8"/>
  <c r="G766" i="8"/>
  <c r="AF766" i="8"/>
  <c r="AA766" i="8" s="1"/>
  <c r="A765" i="8"/>
  <c r="L886" i="8"/>
  <c r="L1059" i="8"/>
  <c r="AF1060" i="8"/>
  <c r="AA1060" i="8" s="1"/>
  <c r="K1060" i="8"/>
  <c r="AG1060" i="8"/>
  <c r="G1060" i="8"/>
  <c r="I1061" i="8"/>
  <c r="A1059" i="8"/>
  <c r="B886" i="8"/>
  <c r="AF887" i="8"/>
  <c r="AA887" i="8" s="1"/>
  <c r="G887" i="8"/>
  <c r="I888" i="8"/>
  <c r="AG887" i="8"/>
  <c r="K887" i="8"/>
  <c r="K217" i="8"/>
  <c r="L216" i="8"/>
  <c r="AG217" i="8"/>
  <c r="A216" i="8"/>
  <c r="G217" i="8"/>
  <c r="AF217" i="8"/>
  <c r="AA217" i="8" s="1"/>
  <c r="I218" i="8"/>
  <c r="AD886" i="8" l="1"/>
  <c r="AD216" i="8"/>
  <c r="AD765" i="8"/>
  <c r="AD1059" i="8"/>
  <c r="X164" i="8"/>
  <c r="X674" i="8"/>
  <c r="X1184" i="8"/>
  <c r="E260" i="9"/>
  <c r="G260" i="9"/>
  <c r="F260" i="9" s="1"/>
  <c r="F217" i="8"/>
  <c r="AI765" i="8"/>
  <c r="F887" i="8"/>
  <c r="B1060" i="8"/>
  <c r="B766" i="8"/>
  <c r="F1060" i="8"/>
  <c r="AI216" i="8"/>
  <c r="F766" i="8"/>
  <c r="AI1059" i="8"/>
  <c r="B217" i="8"/>
  <c r="B887" i="8"/>
  <c r="AI886" i="8"/>
  <c r="I261" i="9"/>
  <c r="A260" i="9"/>
  <c r="E887" i="8"/>
  <c r="E1060" i="8"/>
  <c r="E766" i="8"/>
  <c r="E217" i="8"/>
  <c r="Z218" i="8"/>
  <c r="M218" i="8"/>
  <c r="M1061" i="8"/>
  <c r="M888" i="8"/>
  <c r="AH1061" i="8"/>
  <c r="AH218" i="8"/>
  <c r="AH888" i="8"/>
  <c r="A766" i="8"/>
  <c r="L1060" i="8"/>
  <c r="AG1061" i="8"/>
  <c r="K1061" i="8"/>
  <c r="I1062" i="8"/>
  <c r="A1060" i="8"/>
  <c r="AF1061" i="8"/>
  <c r="AA1061" i="8" s="1"/>
  <c r="G1061" i="8"/>
  <c r="L887" i="8"/>
  <c r="A887" i="8"/>
  <c r="AF888" i="8"/>
  <c r="AA888" i="8" s="1"/>
  <c r="G888" i="8"/>
  <c r="I889" i="8"/>
  <c r="AG888" i="8"/>
  <c r="K888" i="8"/>
  <c r="L766" i="8"/>
  <c r="L217" i="8"/>
  <c r="A217" i="8"/>
  <c r="I219" i="8"/>
  <c r="K218" i="8"/>
  <c r="AG218" i="8"/>
  <c r="AF218" i="8"/>
  <c r="AA218" i="8" s="1"/>
  <c r="G218" i="8"/>
  <c r="X165" i="8" l="1"/>
  <c r="AD766" i="8"/>
  <c r="AD1060" i="8"/>
  <c r="AD217" i="8"/>
  <c r="AD887" i="8"/>
  <c r="X675" i="8"/>
  <c r="X1185" i="8"/>
  <c r="G261" i="9"/>
  <c r="F261" i="9" s="1"/>
  <c r="E261" i="9"/>
  <c r="AI887" i="8"/>
  <c r="F218" i="8"/>
  <c r="B888" i="8"/>
  <c r="F1061" i="8"/>
  <c r="AI766" i="8"/>
  <c r="B218" i="8"/>
  <c r="F888" i="8"/>
  <c r="AI1060" i="8"/>
  <c r="B1061" i="8"/>
  <c r="AI217" i="8"/>
  <c r="I262" i="9"/>
  <c r="A261" i="9"/>
  <c r="E888" i="8"/>
  <c r="E218" i="8"/>
  <c r="E1061" i="8"/>
  <c r="Z219" i="8"/>
  <c r="M889" i="8"/>
  <c r="M219" i="8"/>
  <c r="M1062" i="8"/>
  <c r="AH219" i="8"/>
  <c r="AH889" i="8"/>
  <c r="AH1062" i="8"/>
  <c r="L1061" i="8"/>
  <c r="L888" i="8"/>
  <c r="I1063" i="8"/>
  <c r="AG1062" i="8"/>
  <c r="G1062" i="8"/>
  <c r="AF1062" i="8"/>
  <c r="AA1062" i="8" s="1"/>
  <c r="K1062" i="8"/>
  <c r="A1061" i="8"/>
  <c r="I890" i="8"/>
  <c r="AF889" i="8"/>
  <c r="AA889" i="8" s="1"/>
  <c r="G889" i="8"/>
  <c r="K889" i="8"/>
  <c r="AG889" i="8"/>
  <c r="A888" i="8"/>
  <c r="L218" i="8"/>
  <c r="I220" i="8"/>
  <c r="G219" i="8"/>
  <c r="K219" i="8"/>
  <c r="AG219" i="8"/>
  <c r="AF219" i="8"/>
  <c r="AA219" i="8" s="1"/>
  <c r="A218" i="8"/>
  <c r="X166" i="8" l="1"/>
  <c r="AD1061" i="8"/>
  <c r="AD888" i="8"/>
  <c r="AD218" i="8"/>
  <c r="X676" i="8"/>
  <c r="X1186" i="8"/>
  <c r="E262" i="9"/>
  <c r="G262" i="9"/>
  <c r="F262" i="9" s="1"/>
  <c r="AI1061" i="8"/>
  <c r="F1062" i="8"/>
  <c r="AI218" i="8"/>
  <c r="B219" i="8"/>
  <c r="AI888" i="8"/>
  <c r="F219" i="8"/>
  <c r="B1062" i="8"/>
  <c r="F889" i="8"/>
  <c r="B889" i="8"/>
  <c r="I263" i="9"/>
  <c r="A262" i="9"/>
  <c r="E219" i="8"/>
  <c r="E1062" i="8"/>
  <c r="E889" i="8"/>
  <c r="Z220" i="8"/>
  <c r="M220" i="8"/>
  <c r="M890" i="8"/>
  <c r="M1063" i="8"/>
  <c r="AH1063" i="8"/>
  <c r="AH220" i="8"/>
  <c r="AH890" i="8"/>
  <c r="L889" i="8"/>
  <c r="L1062" i="8"/>
  <c r="I1064" i="8"/>
  <c r="AF1063" i="8"/>
  <c r="AA1063" i="8" s="1"/>
  <c r="AG1063" i="8"/>
  <c r="G1063" i="8"/>
  <c r="K1063" i="8"/>
  <c r="A1062" i="8"/>
  <c r="AG890" i="8"/>
  <c r="G890" i="8"/>
  <c r="I891" i="8"/>
  <c r="AF890" i="8"/>
  <c r="AA890" i="8" s="1"/>
  <c r="K890" i="8"/>
  <c r="A889" i="8"/>
  <c r="L219" i="8"/>
  <c r="AG220" i="8"/>
  <c r="AF220" i="8"/>
  <c r="AA220" i="8" s="1"/>
  <c r="G220" i="8"/>
  <c r="A219" i="8"/>
  <c r="K220" i="8"/>
  <c r="I221" i="8"/>
  <c r="X167" i="8" l="1"/>
  <c r="AD219" i="8"/>
  <c r="AD1062" i="8"/>
  <c r="AD889" i="8"/>
  <c r="X677" i="8"/>
  <c r="X1187" i="8"/>
  <c r="G263" i="9"/>
  <c r="F263" i="9" s="1"/>
  <c r="E263" i="9"/>
  <c r="AI889" i="8"/>
  <c r="B1063" i="8"/>
  <c r="AI219" i="8"/>
  <c r="F890" i="8"/>
  <c r="F220" i="8"/>
  <c r="B220" i="8"/>
  <c r="B890" i="8"/>
  <c r="F1063" i="8"/>
  <c r="AI1062" i="8"/>
  <c r="I264" i="9"/>
  <c r="A263" i="9"/>
  <c r="E220" i="8"/>
  <c r="E890" i="8"/>
  <c r="E1063" i="8"/>
  <c r="Z221" i="8"/>
  <c r="M891" i="8"/>
  <c r="M1064" i="8"/>
  <c r="M221" i="8"/>
  <c r="AH1064" i="8"/>
  <c r="AH221" i="8"/>
  <c r="AH891" i="8"/>
  <c r="L1063" i="8"/>
  <c r="L890" i="8"/>
  <c r="AF1064" i="8"/>
  <c r="AA1064" i="8" s="1"/>
  <c r="I1065" i="8"/>
  <c r="K1064" i="8"/>
  <c r="AG1064" i="8"/>
  <c r="G1064" i="8"/>
  <c r="A1063" i="8"/>
  <c r="I892" i="8"/>
  <c r="A890" i="8"/>
  <c r="G891" i="8"/>
  <c r="K891" i="8"/>
  <c r="AG891" i="8"/>
  <c r="AF891" i="8"/>
  <c r="AA891" i="8" s="1"/>
  <c r="L220" i="8"/>
  <c r="A220" i="8"/>
  <c r="G221" i="8"/>
  <c r="I222" i="8"/>
  <c r="K221" i="8"/>
  <c r="AF221" i="8"/>
  <c r="AA221" i="8" s="1"/>
  <c r="AG221" i="8"/>
  <c r="X168" i="8" l="1"/>
  <c r="AD220" i="8"/>
  <c r="X678" i="8"/>
  <c r="AD890" i="8"/>
  <c r="AD1063" i="8"/>
  <c r="X1188" i="8"/>
  <c r="G264" i="9"/>
  <c r="F264" i="9" s="1"/>
  <c r="E264" i="9"/>
  <c r="B1064" i="8"/>
  <c r="AI890" i="8"/>
  <c r="F1064" i="8"/>
  <c r="F221" i="8"/>
  <c r="B891" i="8"/>
  <c r="AI1063" i="8"/>
  <c r="AI220" i="8"/>
  <c r="F891" i="8"/>
  <c r="A221" i="8"/>
  <c r="I265" i="9"/>
  <c r="A264" i="9"/>
  <c r="E1064" i="8"/>
  <c r="E221" i="8"/>
  <c r="E891" i="8"/>
  <c r="Z222" i="8"/>
  <c r="M1065" i="8"/>
  <c r="M222" i="8"/>
  <c r="M892" i="8"/>
  <c r="AH892" i="8"/>
  <c r="AH222" i="8"/>
  <c r="AH1065" i="8"/>
  <c r="L891" i="8"/>
  <c r="L1064" i="8"/>
  <c r="L221" i="8"/>
  <c r="AG1065" i="8"/>
  <c r="I1066" i="8"/>
  <c r="A1064" i="8"/>
  <c r="G1065" i="8"/>
  <c r="AF1065" i="8"/>
  <c r="AA1065" i="8" s="1"/>
  <c r="K1065" i="8"/>
  <c r="K892" i="8"/>
  <c r="AG892" i="8"/>
  <c r="G892" i="8"/>
  <c r="AF892" i="8"/>
  <c r="AA892" i="8" s="1"/>
  <c r="A891" i="8"/>
  <c r="I893" i="8"/>
  <c r="AF222" i="8"/>
  <c r="AA222" i="8" s="1"/>
  <c r="I223" i="8"/>
  <c r="K222" i="8"/>
  <c r="G222" i="8"/>
  <c r="AG222" i="8"/>
  <c r="B221" i="8"/>
  <c r="X679" i="8" l="1"/>
  <c r="X169" i="8"/>
  <c r="AD1064" i="8"/>
  <c r="AD221" i="8"/>
  <c r="AD891" i="8"/>
  <c r="X1189" i="8"/>
  <c r="G265" i="9"/>
  <c r="F265" i="9" s="1"/>
  <c r="E265" i="9"/>
  <c r="B1065" i="8"/>
  <c r="B222" i="8"/>
  <c r="AI221" i="8"/>
  <c r="AI1064" i="8"/>
  <c r="B892" i="8"/>
  <c r="F222" i="8"/>
  <c r="F892" i="8"/>
  <c r="F1065" i="8"/>
  <c r="AI891" i="8"/>
  <c r="I266" i="9"/>
  <c r="A265" i="9"/>
  <c r="E892" i="8"/>
  <c r="E222" i="8"/>
  <c r="E1065" i="8"/>
  <c r="Z223" i="8"/>
  <c r="M1066" i="8"/>
  <c r="M223" i="8"/>
  <c r="M893" i="8"/>
  <c r="AH893" i="8"/>
  <c r="AH1066" i="8"/>
  <c r="AH223" i="8"/>
  <c r="L1065" i="8"/>
  <c r="L892" i="8"/>
  <c r="K1066" i="8"/>
  <c r="AG1066" i="8"/>
  <c r="I1067" i="8"/>
  <c r="AF1066" i="8"/>
  <c r="AA1066" i="8" s="1"/>
  <c r="G1066" i="8"/>
  <c r="A1065" i="8"/>
  <c r="A892" i="8"/>
  <c r="G893" i="8"/>
  <c r="I894" i="8"/>
  <c r="AF893" i="8"/>
  <c r="AA893" i="8" s="1"/>
  <c r="K893" i="8"/>
  <c r="AG893" i="8"/>
  <c r="L222" i="8"/>
  <c r="G223" i="8"/>
  <c r="I224" i="8"/>
  <c r="AF223" i="8"/>
  <c r="AA223" i="8" s="1"/>
  <c r="AG223" i="8"/>
  <c r="K223" i="8"/>
  <c r="A222" i="8"/>
  <c r="X680" i="8" l="1"/>
  <c r="X170" i="8"/>
  <c r="AD222" i="8"/>
  <c r="AD892" i="8"/>
  <c r="AD1065" i="8"/>
  <c r="X1190" i="8"/>
  <c r="E266" i="9"/>
  <c r="G266" i="9"/>
  <c r="F266" i="9" s="1"/>
  <c r="B1066" i="8"/>
  <c r="AI1065" i="8"/>
  <c r="F893" i="8"/>
  <c r="AI892" i="8"/>
  <c r="F223" i="8"/>
  <c r="F1066" i="8"/>
  <c r="AI222" i="8"/>
  <c r="B893" i="8"/>
  <c r="A223" i="8"/>
  <c r="I267" i="9"/>
  <c r="A266" i="9"/>
  <c r="E893" i="8"/>
  <c r="E223" i="8"/>
  <c r="E1066" i="8"/>
  <c r="M894" i="8"/>
  <c r="M1067" i="8"/>
  <c r="M224" i="8"/>
  <c r="AH1067" i="8"/>
  <c r="AH224" i="8"/>
  <c r="AH894" i="8"/>
  <c r="L1066" i="8"/>
  <c r="L893" i="8"/>
  <c r="K1067" i="8"/>
  <c r="AG1067" i="8"/>
  <c r="I1068" i="8"/>
  <c r="AF1067" i="8"/>
  <c r="AA1067" i="8" s="1"/>
  <c r="G1067" i="8"/>
  <c r="A1066" i="8"/>
  <c r="G894" i="8"/>
  <c r="A893" i="8"/>
  <c r="I895" i="8"/>
  <c r="AF894" i="8"/>
  <c r="AA894" i="8" s="1"/>
  <c r="AG894" i="8"/>
  <c r="K894" i="8"/>
  <c r="L223" i="8"/>
  <c r="AF224" i="8"/>
  <c r="AA224" i="8" s="1"/>
  <c r="B223" i="8"/>
  <c r="AG224" i="8"/>
  <c r="G224" i="8"/>
  <c r="I225" i="8"/>
  <c r="K224" i="8"/>
  <c r="X681" i="8" l="1"/>
  <c r="X171" i="8"/>
  <c r="X172" i="8" s="1"/>
  <c r="AD223" i="8"/>
  <c r="AD1066" i="8"/>
  <c r="AD893" i="8"/>
  <c r="X1191" i="8"/>
  <c r="E267" i="9"/>
  <c r="G267" i="9"/>
  <c r="F267" i="9" s="1"/>
  <c r="AI1066" i="8"/>
  <c r="B1067" i="8"/>
  <c r="AI223" i="8"/>
  <c r="F894" i="8"/>
  <c r="AI893" i="8"/>
  <c r="F224" i="8"/>
  <c r="B224" i="8"/>
  <c r="F1067" i="8"/>
  <c r="B894" i="8"/>
  <c r="I268" i="9"/>
  <c r="A267" i="9"/>
  <c r="E894" i="8"/>
  <c r="E224" i="8"/>
  <c r="E1067" i="8"/>
  <c r="M1068" i="8"/>
  <c r="M895" i="8"/>
  <c r="M225" i="8"/>
  <c r="AH1068" i="8"/>
  <c r="AH895" i="8"/>
  <c r="AH225" i="8"/>
  <c r="A1067" i="8"/>
  <c r="L894" i="8"/>
  <c r="L1067" i="8"/>
  <c r="K1068" i="8"/>
  <c r="I1069" i="8"/>
  <c r="AF1068" i="8"/>
  <c r="AA1068" i="8" s="1"/>
  <c r="AG1068" i="8"/>
  <c r="G1068" i="8"/>
  <c r="A894" i="8"/>
  <c r="G895" i="8"/>
  <c r="AG895" i="8"/>
  <c r="AF895" i="8"/>
  <c r="AA895" i="8" s="1"/>
  <c r="K895" i="8"/>
  <c r="I896" i="8"/>
  <c r="L224" i="8"/>
  <c r="A224" i="8"/>
  <c r="AF225" i="8"/>
  <c r="AA225" i="8" s="1"/>
  <c r="G225" i="8"/>
  <c r="K225" i="8"/>
  <c r="AG225" i="8"/>
  <c r="I226" i="8"/>
  <c r="X682" i="8" l="1"/>
  <c r="AD224" i="8"/>
  <c r="AD1067" i="8"/>
  <c r="AD894" i="8"/>
  <c r="X1192" i="8"/>
  <c r="E268" i="9"/>
  <c r="G268" i="9"/>
  <c r="F268" i="9" s="1"/>
  <c r="B1068" i="8"/>
  <c r="AI224" i="8"/>
  <c r="AI894" i="8"/>
  <c r="F895" i="8"/>
  <c r="F225" i="8"/>
  <c r="AI1067" i="8"/>
  <c r="F1068" i="8"/>
  <c r="B895" i="8"/>
  <c r="B225" i="8"/>
  <c r="X173" i="8"/>
  <c r="I269" i="9"/>
  <c r="A268" i="9"/>
  <c r="E225" i="8"/>
  <c r="E895" i="8"/>
  <c r="E1068" i="8"/>
  <c r="M1069" i="8"/>
  <c r="M896" i="8"/>
  <c r="M226" i="8"/>
  <c r="AH896" i="8"/>
  <c r="AH226" i="8"/>
  <c r="AH1069" i="8"/>
  <c r="L895" i="8"/>
  <c r="L1068" i="8"/>
  <c r="AF1069" i="8"/>
  <c r="AA1069" i="8" s="1"/>
  <c r="I1070" i="8"/>
  <c r="G1069" i="8"/>
  <c r="AG1069" i="8"/>
  <c r="K1069" i="8"/>
  <c r="A1068" i="8"/>
  <c r="A895" i="8"/>
  <c r="AG896" i="8"/>
  <c r="K896" i="8"/>
  <c r="I897" i="8"/>
  <c r="G896" i="8"/>
  <c r="AF896" i="8"/>
  <c r="AA896" i="8" s="1"/>
  <c r="AG226" i="8"/>
  <c r="L225" i="8"/>
  <c r="A225" i="8"/>
  <c r="I227" i="8"/>
  <c r="AF226" i="8"/>
  <c r="AA226" i="8" s="1"/>
  <c r="G226" i="8"/>
  <c r="K226" i="8"/>
  <c r="X683" i="8" l="1"/>
  <c r="X684" i="8" s="1"/>
  <c r="AD225" i="8"/>
  <c r="AD895" i="8"/>
  <c r="AD1068" i="8"/>
  <c r="X1193" i="8"/>
  <c r="G269" i="9"/>
  <c r="F269" i="9" s="1"/>
  <c r="E269" i="9"/>
  <c r="F226" i="8"/>
  <c r="B896" i="8"/>
  <c r="B1069" i="8"/>
  <c r="B226" i="8"/>
  <c r="F1069" i="8"/>
  <c r="X174" i="8"/>
  <c r="AI225" i="8"/>
  <c r="AI1068" i="8"/>
  <c r="F896" i="8"/>
  <c r="AI895" i="8"/>
  <c r="I270" i="9"/>
  <c r="A269" i="9"/>
  <c r="E226" i="8"/>
  <c r="E1069" i="8"/>
  <c r="E896" i="8"/>
  <c r="M897" i="8"/>
  <c r="M227" i="8"/>
  <c r="M1070" i="8"/>
  <c r="AH227" i="8"/>
  <c r="AH897" i="8"/>
  <c r="AH1070" i="8"/>
  <c r="L1069" i="8"/>
  <c r="L896" i="8"/>
  <c r="AG1070" i="8"/>
  <c r="AF1070" i="8"/>
  <c r="AA1070" i="8" s="1"/>
  <c r="I1071" i="8"/>
  <c r="K1070" i="8"/>
  <c r="G1070" i="8"/>
  <c r="A1069" i="8"/>
  <c r="AF897" i="8"/>
  <c r="AA897" i="8" s="1"/>
  <c r="AG897" i="8"/>
  <c r="G897" i="8"/>
  <c r="K897" i="8"/>
  <c r="A896" i="8"/>
  <c r="I898" i="8"/>
  <c r="AG227" i="8"/>
  <c r="L226" i="8"/>
  <c r="I228" i="8"/>
  <c r="AF227" i="8"/>
  <c r="AA227" i="8" s="1"/>
  <c r="G227" i="8"/>
  <c r="A226" i="8"/>
  <c r="K227" i="8"/>
  <c r="AD1069" i="8" l="1"/>
  <c r="AD226" i="8"/>
  <c r="AD896" i="8"/>
  <c r="X1194" i="8"/>
  <c r="G270" i="9"/>
  <c r="F270" i="9" s="1"/>
  <c r="E270" i="9"/>
  <c r="AI896" i="8"/>
  <c r="AI1069" i="8"/>
  <c r="F1070" i="8"/>
  <c r="AI226" i="8"/>
  <c r="F227" i="8"/>
  <c r="X175" i="8"/>
  <c r="A227" i="8"/>
  <c r="B897" i="8"/>
  <c r="B1070" i="8"/>
  <c r="F897" i="8"/>
  <c r="X685" i="8"/>
  <c r="I271" i="9"/>
  <c r="A270" i="9"/>
  <c r="E1070" i="8"/>
  <c r="E897" i="8"/>
  <c r="E227" i="8"/>
  <c r="M898" i="8"/>
  <c r="M1071" i="8"/>
  <c r="M228" i="8"/>
  <c r="AH1071" i="8"/>
  <c r="AH898" i="8"/>
  <c r="AH228" i="8"/>
  <c r="L897" i="8"/>
  <c r="L1070" i="8"/>
  <c r="AF1071" i="8"/>
  <c r="AA1071" i="8" s="1"/>
  <c r="I1072" i="8"/>
  <c r="K1071" i="8"/>
  <c r="AG1071" i="8"/>
  <c r="G1071" i="8"/>
  <c r="A1070" i="8"/>
  <c r="AG898" i="8"/>
  <c r="A897" i="8"/>
  <c r="G898" i="8"/>
  <c r="AF898" i="8"/>
  <c r="AA898" i="8" s="1"/>
  <c r="K898" i="8"/>
  <c r="I899" i="8"/>
  <c r="L227" i="8"/>
  <c r="B227" i="8"/>
  <c r="I229" i="8"/>
  <c r="K228" i="8"/>
  <c r="G228" i="8"/>
  <c r="AG228" i="8"/>
  <c r="AF228" i="8"/>
  <c r="AA228" i="8" s="1"/>
  <c r="AD227" i="8" l="1"/>
  <c r="AD897" i="8"/>
  <c r="AD1070" i="8"/>
  <c r="X1195" i="8"/>
  <c r="G271" i="9"/>
  <c r="F271" i="9" s="1"/>
  <c r="E271" i="9"/>
  <c r="AI227" i="8"/>
  <c r="AI1070" i="8"/>
  <c r="F898" i="8"/>
  <c r="F1071" i="8"/>
  <c r="X176" i="8"/>
  <c r="B1071" i="8"/>
  <c r="AI897" i="8"/>
  <c r="B228" i="8"/>
  <c r="B898" i="8"/>
  <c r="F228" i="8"/>
  <c r="X686" i="8"/>
  <c r="I272" i="9"/>
  <c r="A271" i="9"/>
  <c r="E228" i="8"/>
  <c r="E1071" i="8"/>
  <c r="E898" i="8"/>
  <c r="M899" i="8"/>
  <c r="M229" i="8"/>
  <c r="M1072" i="8"/>
  <c r="AH899" i="8"/>
  <c r="AH1072" i="8"/>
  <c r="AH229" i="8"/>
  <c r="L898" i="8"/>
  <c r="L1071" i="8"/>
  <c r="AG1072" i="8"/>
  <c r="A1071" i="8"/>
  <c r="AF1072" i="8"/>
  <c r="AA1072" i="8" s="1"/>
  <c r="G1072" i="8"/>
  <c r="K1072" i="8"/>
  <c r="A898" i="8"/>
  <c r="K899" i="8"/>
  <c r="I900" i="8"/>
  <c r="G899" i="8"/>
  <c r="AG899" i="8"/>
  <c r="AF899" i="8"/>
  <c r="AA899" i="8" s="1"/>
  <c r="L228" i="8"/>
  <c r="A228" i="8"/>
  <c r="AG229" i="8"/>
  <c r="G229" i="8"/>
  <c r="AF229" i="8"/>
  <c r="AA229" i="8" s="1"/>
  <c r="K229" i="8"/>
  <c r="I230" i="8"/>
  <c r="AD898" i="8" l="1"/>
  <c r="AD228" i="8"/>
  <c r="AD1071" i="8"/>
  <c r="X1196" i="8"/>
  <c r="G272" i="9"/>
  <c r="F272" i="9" s="1"/>
  <c r="E272" i="9"/>
  <c r="K272" i="9" s="1"/>
  <c r="L272" i="9"/>
  <c r="F1072" i="8"/>
  <c r="B899" i="8"/>
  <c r="X687" i="8"/>
  <c r="F229" i="8"/>
  <c r="F899" i="8"/>
  <c r="AI898" i="8"/>
  <c r="AI228" i="8"/>
  <c r="B1072" i="8"/>
  <c r="A229" i="8"/>
  <c r="AI1071" i="8"/>
  <c r="X177" i="8"/>
  <c r="I273" i="9"/>
  <c r="A272" i="9"/>
  <c r="E899" i="8"/>
  <c r="E229" i="8"/>
  <c r="E1072" i="8"/>
  <c r="M230" i="8"/>
  <c r="M900" i="8"/>
  <c r="AH900" i="8"/>
  <c r="AH230" i="8"/>
  <c r="L899" i="8"/>
  <c r="L1072" i="8"/>
  <c r="A1072" i="8"/>
  <c r="K900" i="8"/>
  <c r="G900" i="8"/>
  <c r="I901" i="8"/>
  <c r="AF900" i="8"/>
  <c r="AA900" i="8" s="1"/>
  <c r="A899" i="8"/>
  <c r="AG900" i="8"/>
  <c r="L229" i="8"/>
  <c r="B229" i="8"/>
  <c r="AG230" i="8"/>
  <c r="G230" i="8"/>
  <c r="K230" i="8"/>
  <c r="I231" i="8"/>
  <c r="AF230" i="8"/>
  <c r="AA230" i="8" s="1"/>
  <c r="AD1072" i="8" l="1"/>
  <c r="AD899" i="8"/>
  <c r="AD229" i="8"/>
  <c r="X1197" i="8"/>
  <c r="G273" i="9"/>
  <c r="F273" i="9" s="1"/>
  <c r="L273" i="9"/>
  <c r="E273" i="9"/>
  <c r="K273" i="9" s="1"/>
  <c r="X688" i="8"/>
  <c r="AI1072" i="8"/>
  <c r="AI229" i="8"/>
  <c r="F230" i="8"/>
  <c r="B230" i="8"/>
  <c r="B900" i="8"/>
  <c r="F900" i="8"/>
  <c r="AI899" i="8"/>
  <c r="X178" i="8"/>
  <c r="I274" i="9"/>
  <c r="A273" i="9"/>
  <c r="E900" i="8"/>
  <c r="E230" i="8"/>
  <c r="M231" i="8"/>
  <c r="M901" i="8"/>
  <c r="AH231" i="8"/>
  <c r="AH901" i="8"/>
  <c r="L900" i="8"/>
  <c r="AG901" i="8"/>
  <c r="A900" i="8"/>
  <c r="I902" i="8"/>
  <c r="AF901" i="8"/>
  <c r="AA901" i="8" s="1"/>
  <c r="K901" i="8"/>
  <c r="G901" i="8"/>
  <c r="L230" i="8"/>
  <c r="AF231" i="8"/>
  <c r="AA231" i="8" s="1"/>
  <c r="I232" i="8"/>
  <c r="A230" i="8"/>
  <c r="AG231" i="8"/>
  <c r="G231" i="8"/>
  <c r="K231" i="8"/>
  <c r="AD900" i="8" l="1"/>
  <c r="AD230" i="8"/>
  <c r="X1198" i="8"/>
  <c r="E274" i="9"/>
  <c r="K274" i="9" s="1"/>
  <c r="G274" i="9"/>
  <c r="F274" i="9" s="1"/>
  <c r="B231" i="8"/>
  <c r="AI900" i="8"/>
  <c r="X689" i="8"/>
  <c r="F231" i="8"/>
  <c r="F901" i="8"/>
  <c r="B901" i="8"/>
  <c r="X179" i="8"/>
  <c r="AI230" i="8"/>
  <c r="I275" i="9"/>
  <c r="A274" i="9"/>
  <c r="E231" i="8"/>
  <c r="E901" i="8"/>
  <c r="M902" i="8"/>
  <c r="M232" i="8"/>
  <c r="AH232" i="8"/>
  <c r="AH902" i="8"/>
  <c r="L901" i="8"/>
  <c r="AG902" i="8"/>
  <c r="I903" i="8"/>
  <c r="AF902" i="8"/>
  <c r="AA902" i="8" s="1"/>
  <c r="K902" i="8"/>
  <c r="G902" i="8"/>
  <c r="A901" i="8"/>
  <c r="L231" i="8"/>
  <c r="K232" i="8"/>
  <c r="AF232" i="8"/>
  <c r="AA232" i="8" s="1"/>
  <c r="G232" i="8"/>
  <c r="I233" i="8"/>
  <c r="AG232" i="8"/>
  <c r="A231" i="8"/>
  <c r="AD901" i="8" l="1"/>
  <c r="AD231" i="8"/>
  <c r="X1199" i="8"/>
  <c r="E275" i="9"/>
  <c r="K275" i="9" s="1"/>
  <c r="G275" i="9"/>
  <c r="F275" i="9" s="1"/>
  <c r="X180" i="8"/>
  <c r="X690" i="8"/>
  <c r="F232" i="8"/>
  <c r="B232" i="8"/>
  <c r="AI901" i="8"/>
  <c r="AI231" i="8"/>
  <c r="B902" i="8"/>
  <c r="F902" i="8"/>
  <c r="I276" i="9"/>
  <c r="A275" i="9"/>
  <c r="E232" i="8"/>
  <c r="E902" i="8"/>
  <c r="M903" i="8"/>
  <c r="M233" i="8"/>
  <c r="AH903" i="8"/>
  <c r="AH233" i="8"/>
  <c r="L902" i="8"/>
  <c r="G903" i="8"/>
  <c r="AF903" i="8"/>
  <c r="AA903" i="8" s="1"/>
  <c r="K903" i="8"/>
  <c r="AG903" i="8"/>
  <c r="I904" i="8"/>
  <c r="A902" i="8"/>
  <c r="A232" i="8"/>
  <c r="AG233" i="8"/>
  <c r="L232" i="8"/>
  <c r="I234" i="8"/>
  <c r="G233" i="8"/>
  <c r="K233" i="8"/>
  <c r="AF233" i="8"/>
  <c r="AA233" i="8" s="1"/>
  <c r="AD902" i="8" l="1"/>
  <c r="AD232" i="8"/>
  <c r="X1200" i="8"/>
  <c r="E276" i="9"/>
  <c r="K276" i="9" s="1"/>
  <c r="G276" i="9"/>
  <c r="F276" i="9" s="1"/>
  <c r="AI902" i="8"/>
  <c r="B903" i="8"/>
  <c r="AI232" i="8"/>
  <c r="X691" i="8"/>
  <c r="B233" i="8"/>
  <c r="F903" i="8"/>
  <c r="F233" i="8"/>
  <c r="X181" i="8"/>
  <c r="I277" i="9"/>
  <c r="A276" i="9"/>
  <c r="E903" i="8"/>
  <c r="E233" i="8"/>
  <c r="M234" i="8"/>
  <c r="M904" i="8"/>
  <c r="AH234" i="8"/>
  <c r="AH904" i="8"/>
  <c r="L903" i="8"/>
  <c r="A903" i="8"/>
  <c r="AF904" i="8"/>
  <c r="AA904" i="8" s="1"/>
  <c r="G904" i="8"/>
  <c r="K904" i="8"/>
  <c r="AG904" i="8"/>
  <c r="I905" i="8"/>
  <c r="G234" i="8"/>
  <c r="A233" i="8"/>
  <c r="I235" i="8"/>
  <c r="AG234" i="8"/>
  <c r="K234" i="8"/>
  <c r="L233" i="8"/>
  <c r="AF234" i="8"/>
  <c r="AA234" i="8" s="1"/>
  <c r="AD233" i="8" l="1"/>
  <c r="AD903" i="8"/>
  <c r="X1201" i="8"/>
  <c r="G277" i="9"/>
  <c r="F277" i="9" s="1"/>
  <c r="E277" i="9"/>
  <c r="K277" i="9" s="1"/>
  <c r="AI903" i="8"/>
  <c r="AI233" i="8"/>
  <c r="A234" i="8"/>
  <c r="F904" i="8"/>
  <c r="F234" i="8"/>
  <c r="B904" i="8"/>
  <c r="X182" i="8"/>
  <c r="X692" i="8"/>
  <c r="I278" i="9"/>
  <c r="A277" i="9"/>
  <c r="E234" i="8"/>
  <c r="E904" i="8"/>
  <c r="M235" i="8"/>
  <c r="M905" i="8"/>
  <c r="AH905" i="8"/>
  <c r="AH235" i="8"/>
  <c r="L904" i="8"/>
  <c r="A904" i="8"/>
  <c r="AF905" i="8"/>
  <c r="AA905" i="8" s="1"/>
  <c r="G905" i="8"/>
  <c r="K905" i="8"/>
  <c r="I906" i="8"/>
  <c r="AG905" i="8"/>
  <c r="B234" i="8"/>
  <c r="L234" i="8"/>
  <c r="G235" i="8"/>
  <c r="AG235" i="8"/>
  <c r="I236" i="8"/>
  <c r="AF235" i="8"/>
  <c r="AA235" i="8" s="1"/>
  <c r="K235" i="8"/>
  <c r="AD904" i="8" l="1"/>
  <c r="AD234" i="8"/>
  <c r="X1202" i="8"/>
  <c r="G278" i="9"/>
  <c r="F278" i="9" s="1"/>
  <c r="E278" i="9"/>
  <c r="K278" i="9" s="1"/>
  <c r="E905" i="8"/>
  <c r="X693" i="8"/>
  <c r="AI234" i="8"/>
  <c r="F905" i="8"/>
  <c r="A235" i="8"/>
  <c r="AI904" i="8"/>
  <c r="X183" i="8"/>
  <c r="F235" i="8"/>
  <c r="I279" i="9"/>
  <c r="A278" i="9"/>
  <c r="E235" i="8"/>
  <c r="M236" i="8"/>
  <c r="M906" i="8"/>
  <c r="AH906" i="8"/>
  <c r="AH236" i="8"/>
  <c r="L235" i="8"/>
  <c r="G906" i="8"/>
  <c r="AG906" i="8"/>
  <c r="AF906" i="8"/>
  <c r="AA906" i="8" s="1"/>
  <c r="K906" i="8"/>
  <c r="I907" i="8"/>
  <c r="L905" i="8"/>
  <c r="B905" i="8"/>
  <c r="A905" i="8"/>
  <c r="B235" i="8"/>
  <c r="AF236" i="8"/>
  <c r="AA236" i="8" s="1"/>
  <c r="AG236" i="8"/>
  <c r="I237" i="8"/>
  <c r="K236" i="8"/>
  <c r="G236" i="8"/>
  <c r="AD235" i="8" l="1"/>
  <c r="AD905" i="8"/>
  <c r="X1203" i="8"/>
  <c r="G279" i="9"/>
  <c r="F279" i="9" s="1"/>
  <c r="E279" i="9"/>
  <c r="AI905" i="8"/>
  <c r="B236" i="8"/>
  <c r="F236" i="8"/>
  <c r="F906" i="8"/>
  <c r="B906" i="8"/>
  <c r="AI235" i="8"/>
  <c r="X694" i="8"/>
  <c r="X184" i="8"/>
  <c r="I280" i="9"/>
  <c r="A279" i="9"/>
  <c r="E236" i="8"/>
  <c r="E906" i="8"/>
  <c r="M907" i="8"/>
  <c r="M237" i="8"/>
  <c r="AH237" i="8"/>
  <c r="AH907" i="8"/>
  <c r="A906" i="8"/>
  <c r="L236" i="8"/>
  <c r="L906" i="8"/>
  <c r="I908" i="8"/>
  <c r="AG907" i="8"/>
  <c r="G907" i="8"/>
  <c r="K907" i="8"/>
  <c r="AF907" i="8"/>
  <c r="AA907" i="8" s="1"/>
  <c r="AF237" i="8"/>
  <c r="AA237" i="8" s="1"/>
  <c r="I238" i="8"/>
  <c r="G237" i="8"/>
  <c r="K237" i="8"/>
  <c r="AG237" i="8"/>
  <c r="A236" i="8"/>
  <c r="AD236" i="8" l="1"/>
  <c r="AD906" i="8"/>
  <c r="X1204" i="8"/>
  <c r="G280" i="9"/>
  <c r="F280" i="9" s="1"/>
  <c r="E280" i="9"/>
  <c r="X695" i="8"/>
  <c r="F907" i="8"/>
  <c r="E907" i="8"/>
  <c r="X185" i="8"/>
  <c r="F237" i="8"/>
  <c r="B237" i="8"/>
  <c r="AI906" i="8"/>
  <c r="AI236" i="8"/>
  <c r="I281" i="9"/>
  <c r="A280" i="9"/>
  <c r="E237" i="8"/>
  <c r="M908" i="8"/>
  <c r="M238" i="8"/>
  <c r="AH908" i="8"/>
  <c r="AH238" i="8"/>
  <c r="L907" i="8"/>
  <c r="B907" i="8"/>
  <c r="A907" i="8"/>
  <c r="K908" i="8"/>
  <c r="AF908" i="8"/>
  <c r="AA908" i="8" s="1"/>
  <c r="G908" i="8"/>
  <c r="AG908" i="8"/>
  <c r="I909" i="8"/>
  <c r="L237" i="8"/>
  <c r="AG238" i="8"/>
  <c r="AF238" i="8"/>
  <c r="AA238" i="8" s="1"/>
  <c r="K238" i="8"/>
  <c r="I239" i="8"/>
  <c r="G238" i="8"/>
  <c r="A237" i="8"/>
  <c r="AD907" i="8" l="1"/>
  <c r="AD237" i="8"/>
  <c r="X1205" i="8"/>
  <c r="G281" i="9"/>
  <c r="F281" i="9" s="1"/>
  <c r="E281" i="9"/>
  <c r="AI907" i="8"/>
  <c r="F238" i="8"/>
  <c r="F908" i="8"/>
  <c r="B238" i="8"/>
  <c r="E908" i="8"/>
  <c r="X186" i="8"/>
  <c r="AI237" i="8"/>
  <c r="X696" i="8"/>
  <c r="I282" i="9"/>
  <c r="A281" i="9"/>
  <c r="E238" i="8"/>
  <c r="M909" i="8"/>
  <c r="M239" i="8"/>
  <c r="AH239" i="8"/>
  <c r="AH909" i="8"/>
  <c r="L238" i="8"/>
  <c r="L908" i="8"/>
  <c r="B908" i="8"/>
  <c r="A908" i="8"/>
  <c r="K909" i="8"/>
  <c r="AG909" i="8"/>
  <c r="I910" i="8"/>
  <c r="AF909" i="8"/>
  <c r="AA909" i="8" s="1"/>
  <c r="G909" i="8"/>
  <c r="A238" i="8"/>
  <c r="AF239" i="8"/>
  <c r="AA239" i="8" s="1"/>
  <c r="K239" i="8"/>
  <c r="I240" i="8"/>
  <c r="AG239" i="8"/>
  <c r="G239" i="8"/>
  <c r="AD908" i="8" l="1"/>
  <c r="AD238" i="8"/>
  <c r="X1206" i="8"/>
  <c r="E282" i="9"/>
  <c r="G282" i="9"/>
  <c r="F282" i="9" s="1"/>
  <c r="AI908" i="8"/>
  <c r="E909" i="8"/>
  <c r="A239" i="8"/>
  <c r="F909" i="8"/>
  <c r="X697" i="8"/>
  <c r="X187" i="8"/>
  <c r="F239" i="8"/>
  <c r="AI238" i="8"/>
  <c r="I283" i="9"/>
  <c r="A282" i="9"/>
  <c r="E239" i="8"/>
  <c r="M240" i="8"/>
  <c r="M910" i="8"/>
  <c r="AH240" i="8"/>
  <c r="AH910" i="8"/>
  <c r="L239" i="8"/>
  <c r="G910" i="8"/>
  <c r="AG910" i="8"/>
  <c r="I911" i="8"/>
  <c r="AF910" i="8"/>
  <c r="AA910" i="8" s="1"/>
  <c r="K910" i="8"/>
  <c r="B909" i="8"/>
  <c r="A909" i="8"/>
  <c r="L909" i="8"/>
  <c r="K240" i="8"/>
  <c r="AG240" i="8"/>
  <c r="AF240" i="8"/>
  <c r="AA240" i="8" s="1"/>
  <c r="I241" i="8"/>
  <c r="G240" i="8"/>
  <c r="B239" i="8"/>
  <c r="AD239" i="8" l="1"/>
  <c r="AD909" i="8"/>
  <c r="X1207" i="8"/>
  <c r="E283" i="9"/>
  <c r="G283" i="9"/>
  <c r="F283" i="9" s="1"/>
  <c r="AI909" i="8"/>
  <c r="F240" i="8"/>
  <c r="B910" i="8"/>
  <c r="AI239" i="8"/>
  <c r="X188" i="8"/>
  <c r="A240" i="8"/>
  <c r="F910" i="8"/>
  <c r="X698" i="8"/>
  <c r="I284" i="9"/>
  <c r="A283" i="9"/>
  <c r="E240" i="8"/>
  <c r="E910" i="8"/>
  <c r="M911" i="8"/>
  <c r="M241" i="8"/>
  <c r="AH911" i="8"/>
  <c r="AH241" i="8"/>
  <c r="A910" i="8"/>
  <c r="AG911" i="8"/>
  <c r="AF911" i="8"/>
  <c r="AA911" i="8" s="1"/>
  <c r="G911" i="8"/>
  <c r="I912" i="8"/>
  <c r="K911" i="8"/>
  <c r="L910" i="8"/>
  <c r="AG241" i="8"/>
  <c r="L240" i="8"/>
  <c r="I242" i="8"/>
  <c r="K241" i="8"/>
  <c r="AF241" i="8"/>
  <c r="AA241" i="8" s="1"/>
  <c r="B240" i="8"/>
  <c r="G241" i="8"/>
  <c r="AD240" i="8" l="1"/>
  <c r="AD910" i="8"/>
  <c r="X1208" i="8"/>
  <c r="E284" i="9"/>
  <c r="G284" i="9"/>
  <c r="F284" i="9" s="1"/>
  <c r="AI910" i="8"/>
  <c r="AI240" i="8"/>
  <c r="B911" i="8"/>
  <c r="F241" i="8"/>
  <c r="B241" i="8"/>
  <c r="F911" i="8"/>
  <c r="X699" i="8"/>
  <c r="X189" i="8"/>
  <c r="I285" i="9"/>
  <c r="A284" i="9"/>
  <c r="E241" i="8"/>
  <c r="E911" i="8"/>
  <c r="M242" i="8"/>
  <c r="M912" i="8"/>
  <c r="AH912" i="8"/>
  <c r="AH242" i="8"/>
  <c r="L241" i="8"/>
  <c r="L911" i="8"/>
  <c r="G912" i="8"/>
  <c r="AG912" i="8"/>
  <c r="I913" i="8"/>
  <c r="K912" i="8"/>
  <c r="AF912" i="8"/>
  <c r="AA912" i="8" s="1"/>
  <c r="A911" i="8"/>
  <c r="AF242" i="8"/>
  <c r="AA242" i="8" s="1"/>
  <c r="A241" i="8"/>
  <c r="AG242" i="8"/>
  <c r="K242" i="8"/>
  <c r="G242" i="8"/>
  <c r="I243" i="8"/>
  <c r="AD241" i="8" l="1"/>
  <c r="AD911" i="8"/>
  <c r="X1209" i="8"/>
  <c r="G285" i="9"/>
  <c r="F285" i="9" s="1"/>
  <c r="E285" i="9"/>
  <c r="X190" i="8"/>
  <c r="F912" i="8"/>
  <c r="B242" i="8"/>
  <c r="F242" i="8"/>
  <c r="AI241" i="8"/>
  <c r="B912" i="8"/>
  <c r="AI911" i="8"/>
  <c r="X700" i="8"/>
  <c r="I286" i="9"/>
  <c r="A285" i="9"/>
  <c r="E242" i="8"/>
  <c r="E912" i="8"/>
  <c r="M243" i="8"/>
  <c r="M913" i="8"/>
  <c r="AH243" i="8"/>
  <c r="AH913" i="8"/>
  <c r="L912" i="8"/>
  <c r="L242" i="8"/>
  <c r="A912" i="8"/>
  <c r="AG913" i="8"/>
  <c r="AF913" i="8"/>
  <c r="AA913" i="8" s="1"/>
  <c r="K913" i="8"/>
  <c r="G913" i="8"/>
  <c r="I914" i="8"/>
  <c r="I244" i="8"/>
  <c r="K243" i="8"/>
  <c r="A242" i="8"/>
  <c r="AG243" i="8"/>
  <c r="AF243" i="8"/>
  <c r="AA243" i="8" s="1"/>
  <c r="G243" i="8"/>
  <c r="AD912" i="8" l="1"/>
  <c r="AD242" i="8"/>
  <c r="X1210" i="8"/>
  <c r="E286" i="9"/>
  <c r="G286" i="9"/>
  <c r="F286" i="9" s="1"/>
  <c r="F243" i="8"/>
  <c r="X701" i="8"/>
  <c r="AI242" i="8"/>
  <c r="E913" i="8"/>
  <c r="X191" i="8"/>
  <c r="B243" i="8"/>
  <c r="F913" i="8"/>
  <c r="AI912" i="8"/>
  <c r="I287" i="9"/>
  <c r="A286" i="9"/>
  <c r="E243" i="8"/>
  <c r="M244" i="8"/>
  <c r="M914" i="8"/>
  <c r="AH244" i="8"/>
  <c r="AH914" i="8"/>
  <c r="L243" i="8"/>
  <c r="L913" i="8"/>
  <c r="G914" i="8"/>
  <c r="I915" i="8"/>
  <c r="AG914" i="8"/>
  <c r="AF914" i="8"/>
  <c r="AA914" i="8" s="1"/>
  <c r="K914" i="8"/>
  <c r="B913" i="8"/>
  <c r="A913" i="8"/>
  <c r="AF244" i="8"/>
  <c r="AA244" i="8" s="1"/>
  <c r="K244" i="8"/>
  <c r="AG244" i="8"/>
  <c r="G244" i="8"/>
  <c r="A243" i="8"/>
  <c r="I245" i="8"/>
  <c r="AD913" i="8" l="1"/>
  <c r="AD243" i="8"/>
  <c r="X1211" i="8"/>
  <c r="G287" i="9"/>
  <c r="F287" i="9" s="1"/>
  <c r="E287" i="9"/>
  <c r="AI913" i="8"/>
  <c r="AI243" i="8"/>
  <c r="X702" i="8"/>
  <c r="F914" i="8"/>
  <c r="X192" i="8"/>
  <c r="A244" i="8"/>
  <c r="F244" i="8"/>
  <c r="B914" i="8"/>
  <c r="I288" i="9"/>
  <c r="A287" i="9"/>
  <c r="E914" i="8"/>
  <c r="E244" i="8"/>
  <c r="M915" i="8"/>
  <c r="M245" i="8"/>
  <c r="AH245" i="8"/>
  <c r="AH915" i="8"/>
  <c r="L914" i="8"/>
  <c r="L244" i="8"/>
  <c r="A914" i="8"/>
  <c r="G915" i="8"/>
  <c r="K915" i="8"/>
  <c r="AF915" i="8"/>
  <c r="AA915" i="8" s="1"/>
  <c r="I916" i="8"/>
  <c r="AG915" i="8"/>
  <c r="B244" i="8"/>
  <c r="AF245" i="8"/>
  <c r="AA245" i="8" s="1"/>
  <c r="K245" i="8"/>
  <c r="G245" i="8"/>
  <c r="AG245" i="8"/>
  <c r="I246" i="8"/>
  <c r="AD914" i="8" l="1"/>
  <c r="AD244" i="8"/>
  <c r="X1212" i="8"/>
  <c r="G288" i="9"/>
  <c r="F288" i="9" s="1"/>
  <c r="E288" i="9"/>
  <c r="AI914" i="8"/>
  <c r="AI244" i="8"/>
  <c r="X703" i="8"/>
  <c r="A245" i="8"/>
  <c r="B915" i="8"/>
  <c r="F245" i="8"/>
  <c r="F915" i="8"/>
  <c r="X193" i="8"/>
  <c r="I289" i="9"/>
  <c r="A288" i="9"/>
  <c r="E245" i="8"/>
  <c r="E915" i="8"/>
  <c r="M246" i="8"/>
  <c r="M916" i="8"/>
  <c r="AH246" i="8"/>
  <c r="AH916" i="8"/>
  <c r="L915" i="8"/>
  <c r="A915" i="8"/>
  <c r="AG916" i="8"/>
  <c r="AF916" i="8"/>
  <c r="AA916" i="8" s="1"/>
  <c r="K916" i="8"/>
  <c r="G916" i="8"/>
  <c r="I917" i="8"/>
  <c r="L245" i="8"/>
  <c r="B245" i="8"/>
  <c r="AF246" i="8"/>
  <c r="AA246" i="8" s="1"/>
  <c r="AG246" i="8"/>
  <c r="K246" i="8"/>
  <c r="I247" i="8"/>
  <c r="G246" i="8"/>
  <c r="AD915" i="8" l="1"/>
  <c r="AD245" i="8"/>
  <c r="X1213" i="8"/>
  <c r="G289" i="9"/>
  <c r="F289" i="9" s="1"/>
  <c r="E289" i="9"/>
  <c r="X704" i="8"/>
  <c r="AI245" i="8"/>
  <c r="X194" i="8"/>
  <c r="F916" i="8"/>
  <c r="F246" i="8"/>
  <c r="B246" i="8"/>
  <c r="E916" i="8"/>
  <c r="AI915" i="8"/>
  <c r="I290" i="9"/>
  <c r="A289" i="9"/>
  <c r="E246" i="8"/>
  <c r="M247" i="8"/>
  <c r="M917" i="8"/>
  <c r="AH247" i="8"/>
  <c r="AH917" i="8"/>
  <c r="L246" i="8"/>
  <c r="L916" i="8"/>
  <c r="G917" i="8"/>
  <c r="K917" i="8"/>
  <c r="AG917" i="8"/>
  <c r="AF917" i="8"/>
  <c r="AA917" i="8" s="1"/>
  <c r="I918" i="8"/>
  <c r="B916" i="8"/>
  <c r="A916" i="8"/>
  <c r="G247" i="8"/>
  <c r="AF247" i="8"/>
  <c r="AA247" i="8" s="1"/>
  <c r="I248" i="8"/>
  <c r="K247" i="8"/>
  <c r="AG247" i="8"/>
  <c r="A246" i="8"/>
  <c r="AD916" i="8" l="1"/>
  <c r="AD246" i="8"/>
  <c r="X1214" i="8"/>
  <c r="E290" i="9"/>
  <c r="G290" i="9"/>
  <c r="F290" i="9" s="1"/>
  <c r="AI916" i="8"/>
  <c r="F247" i="8"/>
  <c r="X705" i="8"/>
  <c r="F917" i="8"/>
  <c r="B247" i="8"/>
  <c r="AI246" i="8"/>
  <c r="B917" i="8"/>
  <c r="X195" i="8"/>
  <c r="I291" i="9"/>
  <c r="A290" i="9"/>
  <c r="E917" i="8"/>
  <c r="E247" i="8"/>
  <c r="M918" i="8"/>
  <c r="M248" i="8"/>
  <c r="AH248" i="8"/>
  <c r="AH918" i="8"/>
  <c r="L247" i="8"/>
  <c r="L917" i="8"/>
  <c r="A917" i="8"/>
  <c r="I919" i="8"/>
  <c r="AF918" i="8"/>
  <c r="AA918" i="8" s="1"/>
  <c r="G918" i="8"/>
  <c r="AG918" i="8"/>
  <c r="K918" i="8"/>
  <c r="AG248" i="8"/>
  <c r="I249" i="8"/>
  <c r="A247" i="8"/>
  <c r="AF248" i="8"/>
  <c r="AA248" i="8" s="1"/>
  <c r="G248" i="8"/>
  <c r="K248" i="8"/>
  <c r="AD247" i="8" l="1"/>
  <c r="AD917" i="8"/>
  <c r="X1215" i="8"/>
  <c r="E291" i="9"/>
  <c r="G291" i="9"/>
  <c r="F291" i="9" s="1"/>
  <c r="AI247" i="8"/>
  <c r="X706" i="8"/>
  <c r="AI917" i="8"/>
  <c r="F918" i="8"/>
  <c r="F248" i="8"/>
  <c r="E918" i="8"/>
  <c r="A248" i="8"/>
  <c r="X196" i="8"/>
  <c r="I292" i="9"/>
  <c r="A291" i="9"/>
  <c r="E248" i="8"/>
  <c r="M919" i="8"/>
  <c r="M249" i="8"/>
  <c r="AH249" i="8"/>
  <c r="AH919" i="8"/>
  <c r="L248" i="8"/>
  <c r="L918" i="8"/>
  <c r="AG919" i="8"/>
  <c r="K919" i="8"/>
  <c r="G919" i="8"/>
  <c r="AF919" i="8"/>
  <c r="AA919" i="8" s="1"/>
  <c r="B918" i="8"/>
  <c r="A918" i="8"/>
  <c r="I250" i="8"/>
  <c r="G249" i="8"/>
  <c r="AF249" i="8"/>
  <c r="AA249" i="8" s="1"/>
  <c r="AG249" i="8"/>
  <c r="K249" i="8"/>
  <c r="B248" i="8"/>
  <c r="AD918" i="8" l="1"/>
  <c r="AD248" i="8"/>
  <c r="X1216" i="8"/>
  <c r="E292" i="9"/>
  <c r="G292" i="9"/>
  <c r="F292" i="9" s="1"/>
  <c r="AI248" i="8"/>
  <c r="AI918" i="8"/>
  <c r="B249" i="8"/>
  <c r="X197" i="8"/>
  <c r="X707" i="8"/>
  <c r="B919" i="8"/>
  <c r="F919" i="8"/>
  <c r="F249" i="8"/>
  <c r="I293" i="9"/>
  <c r="A292" i="9"/>
  <c r="E919" i="8"/>
  <c r="E249" i="8"/>
  <c r="M250" i="8"/>
  <c r="AH250" i="8"/>
  <c r="L249" i="8"/>
  <c r="L919" i="8"/>
  <c r="A919" i="8"/>
  <c r="AF250" i="8"/>
  <c r="AA250" i="8" s="1"/>
  <c r="K250" i="8"/>
  <c r="G250" i="8"/>
  <c r="AG250" i="8"/>
  <c r="A249" i="8"/>
  <c r="I251" i="8"/>
  <c r="AD919" i="8" l="1"/>
  <c r="AD249" i="8"/>
  <c r="X1217" i="8"/>
  <c r="G293" i="9"/>
  <c r="F293" i="9" s="1"/>
  <c r="E293" i="9"/>
  <c r="X198" i="8"/>
  <c r="AI249" i="8"/>
  <c r="AI919" i="8"/>
  <c r="X708" i="8"/>
  <c r="F250" i="8"/>
  <c r="B250" i="8"/>
  <c r="I294" i="9"/>
  <c r="A293" i="9"/>
  <c r="E250" i="8"/>
  <c r="M251" i="8"/>
  <c r="AH251" i="8"/>
  <c r="L250" i="8"/>
  <c r="A250" i="8"/>
  <c r="I252" i="8"/>
  <c r="AF251" i="8"/>
  <c r="AA251" i="8" s="1"/>
  <c r="AG251" i="8"/>
  <c r="G251" i="8"/>
  <c r="K251" i="8"/>
  <c r="AD250" i="8" l="1"/>
  <c r="X1218" i="8"/>
  <c r="G294" i="9"/>
  <c r="F294" i="9" s="1"/>
  <c r="E294" i="9"/>
  <c r="AI250" i="8"/>
  <c r="X199" i="8"/>
  <c r="X709" i="8"/>
  <c r="F251" i="8"/>
  <c r="B251" i="8"/>
  <c r="I295" i="9"/>
  <c r="A294" i="9"/>
  <c r="E251" i="8"/>
  <c r="M252" i="8"/>
  <c r="AH252" i="8"/>
  <c r="L251" i="8"/>
  <c r="AF252" i="8"/>
  <c r="AA252" i="8" s="1"/>
  <c r="K252" i="8"/>
  <c r="I253" i="8"/>
  <c r="AG252" i="8"/>
  <c r="G252" i="8"/>
  <c r="A251" i="8"/>
  <c r="AD251" i="8" l="1"/>
  <c r="X1219" i="8"/>
  <c r="G295" i="9"/>
  <c r="F295" i="9" s="1"/>
  <c r="E295" i="9"/>
  <c r="F252" i="8"/>
  <c r="X200" i="8"/>
  <c r="X710" i="8"/>
  <c r="AI251" i="8"/>
  <c r="E252" i="8"/>
  <c r="I296" i="9"/>
  <c r="A295" i="9"/>
  <c r="M253" i="8"/>
  <c r="AH253" i="8"/>
  <c r="L252" i="8"/>
  <c r="AG253" i="8"/>
  <c r="AF253" i="8"/>
  <c r="AA253" i="8" s="1"/>
  <c r="K253" i="8"/>
  <c r="I254" i="8"/>
  <c r="G253" i="8"/>
  <c r="B252" i="8"/>
  <c r="A252" i="8"/>
  <c r="AD252" i="8" l="1"/>
  <c r="X1220" i="8"/>
  <c r="G296" i="9"/>
  <c r="F296" i="9" s="1"/>
  <c r="E296" i="9"/>
  <c r="AI252" i="8"/>
  <c r="X711" i="8"/>
  <c r="B253" i="8"/>
  <c r="F253" i="8"/>
  <c r="X201" i="8"/>
  <c r="I297" i="9"/>
  <c r="A296" i="9"/>
  <c r="E253" i="8"/>
  <c r="M254" i="8"/>
  <c r="AH254" i="8"/>
  <c r="L253" i="8"/>
  <c r="I255" i="8"/>
  <c r="AF254" i="8"/>
  <c r="AA254" i="8" s="1"/>
  <c r="K254" i="8"/>
  <c r="AG254" i="8"/>
  <c r="A253" i="8"/>
  <c r="G254" i="8"/>
  <c r="I257" i="8"/>
  <c r="AD253" i="8" l="1"/>
  <c r="X1221" i="8"/>
  <c r="G297" i="9"/>
  <c r="F297" i="9" s="1"/>
  <c r="E297" i="9"/>
  <c r="F254" i="8"/>
  <c r="AI253" i="8"/>
  <c r="B254" i="8"/>
  <c r="X202" i="8"/>
  <c r="X712" i="8"/>
  <c r="I298" i="9"/>
  <c r="A297" i="9"/>
  <c r="E254" i="8"/>
  <c r="W257" i="8"/>
  <c r="Z257" i="8"/>
  <c r="X257" i="8"/>
  <c r="M255" i="8"/>
  <c r="M257" i="8"/>
  <c r="AH255" i="8"/>
  <c r="AH257" i="8"/>
  <c r="L254" i="8"/>
  <c r="G255" i="8"/>
  <c r="I256" i="8"/>
  <c r="AF255" i="8"/>
  <c r="AA255" i="8" s="1"/>
  <c r="AG255" i="8"/>
  <c r="A254" i="8"/>
  <c r="K255" i="8"/>
  <c r="G257" i="8"/>
  <c r="K257" i="8"/>
  <c r="I258" i="8"/>
  <c r="AF257" i="8"/>
  <c r="AA257" i="8" s="1"/>
  <c r="AG257" i="8"/>
  <c r="AD254" i="8" l="1"/>
  <c r="X1222" i="8"/>
  <c r="E298" i="9"/>
  <c r="G298" i="9"/>
  <c r="F298" i="9" s="1"/>
  <c r="F257" i="8"/>
  <c r="AI254" i="8"/>
  <c r="X713" i="8"/>
  <c r="B255" i="8"/>
  <c r="F255" i="8"/>
  <c r="X203" i="8"/>
  <c r="I299" i="9"/>
  <c r="A298" i="9"/>
  <c r="E255" i="8"/>
  <c r="Z258" i="8"/>
  <c r="M258" i="8"/>
  <c r="M256" i="8"/>
  <c r="AH258" i="8"/>
  <c r="AH256" i="8"/>
  <c r="L255" i="8"/>
  <c r="A255" i="8"/>
  <c r="G256" i="8"/>
  <c r="AG256" i="8"/>
  <c r="K256" i="8"/>
  <c r="AF256" i="8"/>
  <c r="AA256" i="8" s="1"/>
  <c r="B257" i="8"/>
  <c r="L257" i="8"/>
  <c r="A257" i="8"/>
  <c r="AG258" i="8"/>
  <c r="I259" i="8"/>
  <c r="K258" i="8"/>
  <c r="G258" i="8"/>
  <c r="AF258" i="8"/>
  <c r="AA258" i="8" s="1"/>
  <c r="AD255" i="8" l="1"/>
  <c r="AD257" i="8"/>
  <c r="X1223" i="8"/>
  <c r="E299" i="9"/>
  <c r="K299" i="9" s="1"/>
  <c r="L299" i="9"/>
  <c r="G299" i="9"/>
  <c r="F299" i="9" s="1"/>
  <c r="F258" i="8"/>
  <c r="A256" i="8"/>
  <c r="AI255" i="8"/>
  <c r="X204" i="8"/>
  <c r="E258" i="8"/>
  <c r="F256" i="8"/>
  <c r="X714" i="8"/>
  <c r="I300" i="9"/>
  <c r="A299" i="9"/>
  <c r="E256" i="8"/>
  <c r="Z259" i="8"/>
  <c r="M259" i="8"/>
  <c r="AH259" i="8"/>
  <c r="L256" i="8"/>
  <c r="B256" i="8"/>
  <c r="B258" i="8"/>
  <c r="L258" i="8"/>
  <c r="K259" i="8"/>
  <c r="I260" i="8"/>
  <c r="AG259" i="8"/>
  <c r="G259" i="8"/>
  <c r="AF259" i="8"/>
  <c r="AA259" i="8" s="1"/>
  <c r="A258" i="8"/>
  <c r="AD256" i="8" l="1"/>
  <c r="AD258" i="8"/>
  <c r="X1224" i="8"/>
  <c r="E300" i="9"/>
  <c r="K300" i="9" s="1"/>
  <c r="G300" i="9"/>
  <c r="F300" i="9" s="1"/>
  <c r="L300" i="9"/>
  <c r="E257" i="8"/>
  <c r="F259" i="8"/>
  <c r="AI256" i="8"/>
  <c r="E259" i="8"/>
  <c r="X715" i="8"/>
  <c r="X205" i="8"/>
  <c r="AI258" i="8"/>
  <c r="I301" i="9"/>
  <c r="A300" i="9"/>
  <c r="Z260" i="8"/>
  <c r="K5" i="10"/>
  <c r="M260" i="8"/>
  <c r="AH260" i="8"/>
  <c r="B259" i="8"/>
  <c r="AF260" i="8"/>
  <c r="AA260" i="8" s="1"/>
  <c r="L259" i="8"/>
  <c r="AG260" i="8"/>
  <c r="K260" i="8"/>
  <c r="G260" i="8"/>
  <c r="I261" i="8"/>
  <c r="A259" i="8"/>
  <c r="AD259" i="8" l="1"/>
  <c r="X1225" i="8"/>
  <c r="G301" i="9"/>
  <c r="F301" i="9" s="1"/>
  <c r="E301" i="9"/>
  <c r="K301" i="9" s="1"/>
  <c r="AI259" i="8"/>
  <c r="E260" i="8"/>
  <c r="F260" i="8"/>
  <c r="AI257" i="8"/>
  <c r="I302" i="9"/>
  <c r="A301" i="9"/>
  <c r="A59" i="9"/>
  <c r="A67" i="9"/>
  <c r="A75" i="9"/>
  <c r="A78" i="9"/>
  <c r="A71" i="9"/>
  <c r="A64" i="9"/>
  <c r="A57" i="9"/>
  <c r="A81" i="9"/>
  <c r="A60" i="9"/>
  <c r="A68" i="9"/>
  <c r="A76" i="9"/>
  <c r="A70" i="9"/>
  <c r="A63" i="9"/>
  <c r="A56" i="9"/>
  <c r="A80" i="9"/>
  <c r="A65" i="9"/>
  <c r="A61" i="9"/>
  <c r="A69" i="9"/>
  <c r="A77" i="9"/>
  <c r="A62" i="9"/>
  <c r="A79" i="9"/>
  <c r="A72" i="9"/>
  <c r="A73" i="9"/>
  <c r="A74" i="9"/>
  <c r="A82" i="9"/>
  <c r="A58" i="9"/>
  <c r="P58" i="9" s="1"/>
  <c r="A66" i="9"/>
  <c r="Z261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207" i="8"/>
  <c r="W757" i="8"/>
  <c r="W208" i="8"/>
  <c r="W758" i="8"/>
  <c r="W209" i="8"/>
  <c r="W759" i="8"/>
  <c r="W210" i="8"/>
  <c r="W211" i="8"/>
  <c r="W760" i="8"/>
  <c r="W212" i="8"/>
  <c r="W761" i="8"/>
  <c r="W762" i="8"/>
  <c r="W213" i="8"/>
  <c r="W214" i="8"/>
  <c r="W763" i="8"/>
  <c r="W764" i="8"/>
  <c r="W215" i="8"/>
  <c r="W216" i="8"/>
  <c r="W765" i="8"/>
  <c r="W76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M261" i="8"/>
  <c r="AH261" i="8"/>
  <c r="B260" i="8"/>
  <c r="L260" i="8"/>
  <c r="G261" i="8"/>
  <c r="A260" i="8"/>
  <c r="I262" i="8"/>
  <c r="AF261" i="8"/>
  <c r="AA261" i="8" s="1"/>
  <c r="AG261" i="8"/>
  <c r="K261" i="8"/>
  <c r="AD260" i="8" l="1"/>
  <c r="Z1276" i="8"/>
  <c r="Z1268" i="8"/>
  <c r="Z1260" i="8"/>
  <c r="Z1252" i="8"/>
  <c r="Z1244" i="8"/>
  <c r="Z1275" i="8"/>
  <c r="Z1267" i="8"/>
  <c r="Z1259" i="8"/>
  <c r="Z1251" i="8"/>
  <c r="X1227" i="8"/>
  <c r="Z1266" i="8"/>
  <c r="Z1273" i="8"/>
  <c r="Z1265" i="8"/>
  <c r="Z1257" i="8"/>
  <c r="Z1249" i="8"/>
  <c r="Z1272" i="8"/>
  <c r="Z1264" i="8"/>
  <c r="Z1256" i="8"/>
  <c r="Z1248" i="8"/>
  <c r="Z1274" i="8"/>
  <c r="Z1250" i="8"/>
  <c r="Z1271" i="8"/>
  <c r="Z1255" i="8"/>
  <c r="Z1270" i="8"/>
  <c r="Z1262" i="8"/>
  <c r="Z1254" i="8"/>
  <c r="Z1246" i="8"/>
  <c r="Z1258" i="8"/>
  <c r="Z1263" i="8"/>
  <c r="Z1247" i="8"/>
  <c r="Z1269" i="8"/>
  <c r="Z1261" i="8"/>
  <c r="Z1253" i="8"/>
  <c r="Z1245" i="8"/>
  <c r="E302" i="9"/>
  <c r="K302" i="9" s="1"/>
  <c r="G302" i="9"/>
  <c r="F302" i="9" s="1"/>
  <c r="Z254" i="8"/>
  <c r="Z757" i="8"/>
  <c r="Z734" i="8"/>
  <c r="Z245" i="8"/>
  <c r="Z229" i="8"/>
  <c r="Z250" i="8"/>
  <c r="Z242" i="8"/>
  <c r="Z234" i="8"/>
  <c r="Z226" i="8"/>
  <c r="Z759" i="8"/>
  <c r="Z754" i="8"/>
  <c r="Z746" i="8"/>
  <c r="Z738" i="8"/>
  <c r="Z238" i="8"/>
  <c r="Z742" i="8"/>
  <c r="Z253" i="8"/>
  <c r="Z237" i="8"/>
  <c r="Z760" i="8"/>
  <c r="Z749" i="8"/>
  <c r="Z741" i="8"/>
  <c r="X717" i="8"/>
  <c r="Z252" i="8"/>
  <c r="Z236" i="8"/>
  <c r="Z748" i="8"/>
  <c r="Z251" i="8"/>
  <c r="Z227" i="8"/>
  <c r="Z739" i="8"/>
  <c r="Z249" i="8"/>
  <c r="Z241" i="8"/>
  <c r="Z233" i="8"/>
  <c r="Z225" i="8"/>
  <c r="Z753" i="8"/>
  <c r="Z745" i="8"/>
  <c r="Z737" i="8"/>
  <c r="F261" i="8"/>
  <c r="AI260" i="8"/>
  <c r="Z244" i="8"/>
  <c r="Z228" i="8"/>
  <c r="Z764" i="8"/>
  <c r="Z756" i="8"/>
  <c r="Z740" i="8"/>
  <c r="Z235" i="8"/>
  <c r="Z763" i="8"/>
  <c r="Z755" i="8"/>
  <c r="Z248" i="8"/>
  <c r="Z232" i="8"/>
  <c r="Z224" i="8"/>
  <c r="Z766" i="8"/>
  <c r="Z762" i="8"/>
  <c r="Z758" i="8"/>
  <c r="Z752" i="8"/>
  <c r="Z744" i="8"/>
  <c r="Z736" i="8"/>
  <c r="Z246" i="8"/>
  <c r="Z230" i="8"/>
  <c r="Z750" i="8"/>
  <c r="Z243" i="8"/>
  <c r="Z747" i="8"/>
  <c r="Z256" i="8"/>
  <c r="Z240" i="8"/>
  <c r="E261" i="8"/>
  <c r="Z255" i="8"/>
  <c r="Z247" i="8"/>
  <c r="Z239" i="8"/>
  <c r="Z231" i="8"/>
  <c r="Z765" i="8"/>
  <c r="Z761" i="8"/>
  <c r="Z751" i="8"/>
  <c r="Z743" i="8"/>
  <c r="Z735" i="8"/>
  <c r="I303" i="9"/>
  <c r="A302" i="9"/>
  <c r="Z262" i="8"/>
  <c r="X207" i="8"/>
  <c r="M262" i="8"/>
  <c r="AH262" i="8"/>
  <c r="B261" i="8"/>
  <c r="L261" i="8"/>
  <c r="AF262" i="8"/>
  <c r="AA262" i="8" s="1"/>
  <c r="I263" i="8"/>
  <c r="A261" i="8"/>
  <c r="G262" i="8"/>
  <c r="AG262" i="8"/>
  <c r="K262" i="8"/>
  <c r="AD261" i="8" l="1"/>
  <c r="X1228" i="8"/>
  <c r="G303" i="9"/>
  <c r="F303" i="9" s="1"/>
  <c r="E303" i="9"/>
  <c r="K303" i="9" s="1"/>
  <c r="AI261" i="8"/>
  <c r="X718" i="8"/>
  <c r="P59" i="9"/>
  <c r="X208" i="8"/>
  <c r="E262" i="8"/>
  <c r="F262" i="8"/>
  <c r="I304" i="9"/>
  <c r="A303" i="9"/>
  <c r="Z263" i="8"/>
  <c r="M263" i="8"/>
  <c r="AH263" i="8"/>
  <c r="B262" i="8"/>
  <c r="L262" i="8"/>
  <c r="I264" i="8"/>
  <c r="K263" i="8"/>
  <c r="AF263" i="8"/>
  <c r="AA263" i="8" s="1"/>
  <c r="AG263" i="8"/>
  <c r="G263" i="8"/>
  <c r="A262" i="8"/>
  <c r="AD262" i="8" l="1"/>
  <c r="X1229" i="8"/>
  <c r="X719" i="8"/>
  <c r="G304" i="9"/>
  <c r="F304" i="9" s="1"/>
  <c r="E304" i="9"/>
  <c r="K304" i="9" s="1"/>
  <c r="AI262" i="8"/>
  <c r="E263" i="8"/>
  <c r="F263" i="8"/>
  <c r="X209" i="8"/>
  <c r="I305" i="9"/>
  <c r="A304" i="9"/>
  <c r="Z264" i="8"/>
  <c r="M264" i="8"/>
  <c r="AH264" i="8"/>
  <c r="B263" i="8"/>
  <c r="L263" i="8"/>
  <c r="A263" i="8"/>
  <c r="I265" i="8"/>
  <c r="K264" i="8"/>
  <c r="AG264" i="8"/>
  <c r="G264" i="8"/>
  <c r="AF264" i="8"/>
  <c r="AA264" i="8" s="1"/>
  <c r="AD263" i="8" l="1"/>
  <c r="P60" i="9"/>
  <c r="X1230" i="8"/>
  <c r="X720" i="8"/>
  <c r="G305" i="9"/>
  <c r="F305" i="9" s="1"/>
  <c r="E305" i="9"/>
  <c r="AI263" i="8"/>
  <c r="X210" i="8"/>
  <c r="E264" i="8"/>
  <c r="F264" i="8"/>
  <c r="I306" i="9"/>
  <c r="A305" i="9"/>
  <c r="Z265" i="8"/>
  <c r="M265" i="8"/>
  <c r="AH265" i="8"/>
  <c r="B264" i="8"/>
  <c r="L264" i="8"/>
  <c r="AF265" i="8"/>
  <c r="AA265" i="8" s="1"/>
  <c r="K265" i="8"/>
  <c r="G265" i="8"/>
  <c r="I266" i="8"/>
  <c r="AG265" i="8"/>
  <c r="A264" i="8"/>
  <c r="AD264" i="8" l="1"/>
  <c r="X1231" i="8"/>
  <c r="X721" i="8"/>
  <c r="E306" i="9"/>
  <c r="G306" i="9"/>
  <c r="F306" i="9" s="1"/>
  <c r="E265" i="8"/>
  <c r="F265" i="8"/>
  <c r="AI264" i="8"/>
  <c r="X211" i="8"/>
  <c r="I307" i="9"/>
  <c r="A306" i="9"/>
  <c r="Z266" i="8"/>
  <c r="M266" i="8"/>
  <c r="AH266" i="8"/>
  <c r="B265" i="8"/>
  <c r="L265" i="8"/>
  <c r="AF266" i="8"/>
  <c r="AA266" i="8" s="1"/>
  <c r="I267" i="8"/>
  <c r="G266" i="8"/>
  <c r="AG266" i="8"/>
  <c r="A265" i="8"/>
  <c r="K266" i="8"/>
  <c r="AD265" i="8" l="1"/>
  <c r="X1232" i="8"/>
  <c r="X722" i="8"/>
  <c r="E307" i="9"/>
  <c r="G307" i="9"/>
  <c r="F307" i="9" s="1"/>
  <c r="AI265" i="8"/>
  <c r="F266" i="8"/>
  <c r="P61" i="9"/>
  <c r="X212" i="8"/>
  <c r="E266" i="8"/>
  <c r="I308" i="9"/>
  <c r="A307" i="9"/>
  <c r="Z267" i="8"/>
  <c r="M267" i="8"/>
  <c r="AH267" i="8"/>
  <c r="B266" i="8"/>
  <c r="L266" i="8"/>
  <c r="AF267" i="8"/>
  <c r="AA267" i="8" s="1"/>
  <c r="K267" i="8"/>
  <c r="AG267" i="8"/>
  <c r="I268" i="8"/>
  <c r="A266" i="8"/>
  <c r="G267" i="8"/>
  <c r="AD266" i="8" l="1"/>
  <c r="X723" i="8"/>
  <c r="X1233" i="8"/>
  <c r="E308" i="9"/>
  <c r="G308" i="9"/>
  <c r="F308" i="9" s="1"/>
  <c r="AI266" i="8"/>
  <c r="F267" i="8"/>
  <c r="X213" i="8"/>
  <c r="E267" i="8"/>
  <c r="I309" i="9"/>
  <c r="A308" i="9"/>
  <c r="Z268" i="8"/>
  <c r="M268" i="8"/>
  <c r="AH268" i="8"/>
  <c r="B267" i="8"/>
  <c r="L267" i="8"/>
  <c r="I269" i="8"/>
  <c r="G268" i="8"/>
  <c r="AF268" i="8"/>
  <c r="AA268" i="8" s="1"/>
  <c r="K268" i="8"/>
  <c r="AG268" i="8"/>
  <c r="A267" i="8"/>
  <c r="AD267" i="8" l="1"/>
  <c r="X724" i="8"/>
  <c r="X1234" i="8"/>
  <c r="G309" i="9"/>
  <c r="F309" i="9" s="1"/>
  <c r="E309" i="9"/>
  <c r="X214" i="8"/>
  <c r="E268" i="8"/>
  <c r="F268" i="8"/>
  <c r="AI267" i="8"/>
  <c r="I310" i="9"/>
  <c r="A309" i="9"/>
  <c r="Z269" i="8"/>
  <c r="M269" i="8"/>
  <c r="AH269" i="8"/>
  <c r="B268" i="8"/>
  <c r="L268" i="8"/>
  <c r="AG269" i="8"/>
  <c r="A268" i="8"/>
  <c r="K269" i="8"/>
  <c r="AF269" i="8"/>
  <c r="AA269" i="8" s="1"/>
  <c r="I270" i="8"/>
  <c r="G269" i="8"/>
  <c r="AD268" i="8" l="1"/>
  <c r="X725" i="8"/>
  <c r="X1235" i="8"/>
  <c r="E310" i="9"/>
  <c r="G310" i="9"/>
  <c r="F310" i="9" s="1"/>
  <c r="AI268" i="8"/>
  <c r="F269" i="8"/>
  <c r="E269" i="8"/>
  <c r="X215" i="8"/>
  <c r="I311" i="9"/>
  <c r="A310" i="9"/>
  <c r="Z270" i="8"/>
  <c r="M270" i="8"/>
  <c r="AH270" i="8"/>
  <c r="B269" i="8"/>
  <c r="L269" i="8"/>
  <c r="AF270" i="8"/>
  <c r="AA270" i="8" s="1"/>
  <c r="AG270" i="8"/>
  <c r="K270" i="8"/>
  <c r="G270" i="8"/>
  <c r="A269" i="8"/>
  <c r="I271" i="8"/>
  <c r="AD269" i="8" l="1"/>
  <c r="X726" i="8"/>
  <c r="X1236" i="8"/>
  <c r="G311" i="9"/>
  <c r="F311" i="9" s="1"/>
  <c r="E311" i="9"/>
  <c r="E270" i="8"/>
  <c r="F270" i="8"/>
  <c r="AI269" i="8"/>
  <c r="X216" i="8"/>
  <c r="I312" i="9"/>
  <c r="A311" i="9"/>
  <c r="Z271" i="8"/>
  <c r="M271" i="8"/>
  <c r="AH271" i="8"/>
  <c r="B270" i="8"/>
  <c r="L270" i="8"/>
  <c r="A270" i="8"/>
  <c r="K271" i="8"/>
  <c r="AG271" i="8"/>
  <c r="AF271" i="8"/>
  <c r="AA271" i="8" s="1"/>
  <c r="G271" i="8"/>
  <c r="I272" i="8"/>
  <c r="AD270" i="8" l="1"/>
  <c r="X727" i="8"/>
  <c r="X1237" i="8"/>
  <c r="G312" i="9"/>
  <c r="F312" i="9" s="1"/>
  <c r="E312" i="9"/>
  <c r="AI270" i="8"/>
  <c r="F271" i="8"/>
  <c r="E271" i="8"/>
  <c r="X217" i="8"/>
  <c r="I313" i="9"/>
  <c r="A312" i="9"/>
  <c r="Z272" i="8"/>
  <c r="M272" i="8"/>
  <c r="AH272" i="8"/>
  <c r="B271" i="8"/>
  <c r="L271" i="8"/>
  <c r="AF272" i="8"/>
  <c r="AA272" i="8" s="1"/>
  <c r="K272" i="8"/>
  <c r="G272" i="8"/>
  <c r="I273" i="8"/>
  <c r="AG272" i="8"/>
  <c r="A271" i="8"/>
  <c r="AD271" i="8" l="1"/>
  <c r="X728" i="8"/>
  <c r="X1238" i="8"/>
  <c r="G313" i="9"/>
  <c r="F313" i="9" s="1"/>
  <c r="E313" i="9"/>
  <c r="AW12" i="6" s="1" a="1"/>
  <c r="AW12" i="6" s="1"/>
  <c r="AW85" i="6" a="1"/>
  <c r="AW85" i="6" s="1"/>
  <c r="E272" i="8"/>
  <c r="X218" i="8"/>
  <c r="AI271" i="8"/>
  <c r="F272" i="8"/>
  <c r="AW88" i="6" a="1"/>
  <c r="AW88" i="6" s="1"/>
  <c r="I314" i="9"/>
  <c r="A313" i="9"/>
  <c r="Z273" i="8"/>
  <c r="M273" i="8"/>
  <c r="AH273" i="8"/>
  <c r="B272" i="8"/>
  <c r="L272" i="8"/>
  <c r="A272" i="8"/>
  <c r="AG273" i="8"/>
  <c r="AF273" i="8"/>
  <c r="AA273" i="8" s="1"/>
  <c r="G273" i="8"/>
  <c r="K273" i="8"/>
  <c r="I274" i="8"/>
  <c r="AD272" i="8" l="1"/>
  <c r="X729" i="8"/>
  <c r="X1239" i="8"/>
  <c r="E314" i="9"/>
  <c r="G314" i="9"/>
  <c r="F314" i="9" s="1"/>
  <c r="AI272" i="8"/>
  <c r="F273" i="8"/>
  <c r="E273" i="8"/>
  <c r="X219" i="8"/>
  <c r="BA96" i="6" a="1"/>
  <c r="BA96" i="6" s="1"/>
  <c r="AW106" i="6" a="1"/>
  <c r="AW106" i="6" s="1"/>
  <c r="AW91" i="6" a="1"/>
  <c r="AW91" i="6" s="1"/>
  <c r="AW94" i="6" a="1"/>
  <c r="AW94" i="6" s="1"/>
  <c r="AW97" i="6" a="1"/>
  <c r="AW97" i="6" s="1"/>
  <c r="AW100" i="6" a="1"/>
  <c r="AW100" i="6" s="1"/>
  <c r="AW103" i="6" a="1"/>
  <c r="AW103" i="6" s="1"/>
  <c r="I315" i="9"/>
  <c r="A314" i="9"/>
  <c r="AW63" i="6" a="1"/>
  <c r="AW63" i="6" s="1"/>
  <c r="BA101" i="6" a="1"/>
  <c r="BA101" i="6" s="1"/>
  <c r="BE92" i="6" a="1"/>
  <c r="BE92" i="6" s="1"/>
  <c r="BE101" i="6" a="1"/>
  <c r="BE101" i="6" s="1"/>
  <c r="BI46" i="6" a="1"/>
  <c r="BI46" i="6" s="1"/>
  <c r="BI68" i="6" a="1"/>
  <c r="BI68" i="6" s="1"/>
  <c r="AW10" i="6" a="1"/>
  <c r="AW10" i="6" s="1"/>
  <c r="AW51" i="6" a="1"/>
  <c r="AW51" i="6" s="1"/>
  <c r="BA103" i="6" a="1"/>
  <c r="BA103" i="6" s="1"/>
  <c r="AW96" i="6" a="1"/>
  <c r="AW96" i="6" s="1"/>
  <c r="AW23" i="6" a="1"/>
  <c r="AW23" i="6" s="1"/>
  <c r="BA22" i="6" a="1"/>
  <c r="BA22" i="6" s="1"/>
  <c r="BA33" i="6" a="1"/>
  <c r="BA33" i="6" s="1"/>
  <c r="BE14" i="6" a="1"/>
  <c r="BE14" i="6" s="1"/>
  <c r="BA77" i="6" a="1"/>
  <c r="BA77" i="6" s="1"/>
  <c r="BA17" i="6" a="1"/>
  <c r="BA17" i="6" s="1"/>
  <c r="BI90" i="6" a="1"/>
  <c r="BI90" i="6" s="1"/>
  <c r="BI8" i="6" a="1"/>
  <c r="BI8" i="6" s="1"/>
  <c r="BI48" i="6" a="1"/>
  <c r="BI48" i="6" s="1"/>
  <c r="BA39" i="6" a="1"/>
  <c r="BA39" i="6" s="1"/>
  <c r="BE103" i="6" a="1"/>
  <c r="BE103" i="6" s="1"/>
  <c r="BI34" i="6" a="1"/>
  <c r="BI34" i="6" s="1"/>
  <c r="BA93" i="6" a="1"/>
  <c r="BA93" i="6" s="1"/>
  <c r="BE16" i="6" a="1"/>
  <c r="BE16" i="6" s="1"/>
  <c r="BA11" i="6" a="1"/>
  <c r="BA11" i="6" s="1"/>
  <c r="BA82" i="6" a="1"/>
  <c r="BA82" i="6" s="1"/>
  <c r="BI67" i="6" a="1"/>
  <c r="BI67" i="6" s="1"/>
  <c r="BI59" i="6" a="1"/>
  <c r="BI59" i="6" s="1"/>
  <c r="BA104" i="6" a="1"/>
  <c r="BA104" i="6" s="1"/>
  <c r="AW27" i="6" a="1"/>
  <c r="AW27" i="6" s="1"/>
  <c r="BA92" i="6" a="1"/>
  <c r="BA92" i="6" s="1"/>
  <c r="BI91" i="6" a="1"/>
  <c r="BI91" i="6" s="1"/>
  <c r="BA74" i="6" a="1"/>
  <c r="BA74" i="6" s="1"/>
  <c r="BA19" i="6" a="1"/>
  <c r="BA19" i="6" s="1"/>
  <c r="BE36" i="6" a="1"/>
  <c r="BE36" i="6" s="1"/>
  <c r="AW62" i="6" a="1"/>
  <c r="AW62" i="6" s="1"/>
  <c r="BA86" i="6" a="1"/>
  <c r="BA86" i="6" s="1"/>
  <c r="AW80" i="6" a="1"/>
  <c r="AW80" i="6" s="1"/>
  <c r="AW81" i="6" a="1"/>
  <c r="AW81" i="6" s="1"/>
  <c r="BI69" i="6" a="1"/>
  <c r="BI69" i="6" s="1"/>
  <c r="BI18" i="6" a="1"/>
  <c r="BI18" i="6" s="1"/>
  <c r="AW48" i="6" a="1"/>
  <c r="AW48" i="6" s="1"/>
  <c r="BA75" i="6" a="1"/>
  <c r="BA75" i="6" s="1"/>
  <c r="BE100" i="6" a="1"/>
  <c r="BE100" i="6" s="1"/>
  <c r="BA64" i="6" a="1"/>
  <c r="BA64" i="6" s="1"/>
  <c r="BA24" i="6" a="1"/>
  <c r="BA24" i="6" s="1"/>
  <c r="AW102" i="6" a="1"/>
  <c r="AW102" i="6" s="1"/>
  <c r="BI51" i="6" a="1"/>
  <c r="BI51" i="6" s="1"/>
  <c r="BE46" i="6" a="1"/>
  <c r="BE46" i="6" s="1"/>
  <c r="AW18" i="6" a="1"/>
  <c r="AW18" i="6" s="1"/>
  <c r="BE40" i="6" a="1"/>
  <c r="BE40" i="6" s="1"/>
  <c r="BI43" i="6" a="1"/>
  <c r="BI43" i="6" s="1"/>
  <c r="AW95" i="6" a="1"/>
  <c r="AW95" i="6" s="1"/>
  <c r="BE21" i="6" a="1"/>
  <c r="BE21" i="6" s="1"/>
  <c r="BA51" i="6" a="1"/>
  <c r="BA51" i="6" s="1"/>
  <c r="BE22" i="6" a="1"/>
  <c r="BE22" i="6" s="1"/>
  <c r="BI36" i="6" a="1"/>
  <c r="BI36" i="6" s="1"/>
  <c r="AW74" i="6" a="1"/>
  <c r="AW74" i="6" s="1"/>
  <c r="AW56" i="6" a="1"/>
  <c r="AW56" i="6" s="1"/>
  <c r="AW44" i="6" a="1"/>
  <c r="AW44" i="6" s="1"/>
  <c r="BA91" i="6" a="1"/>
  <c r="BA91" i="6" s="1"/>
  <c r="BE53" i="6" a="1"/>
  <c r="BE53" i="6" s="1"/>
  <c r="BE74" i="6" a="1"/>
  <c r="BE74" i="6" s="1"/>
  <c r="BA71" i="6" a="1"/>
  <c r="BA71" i="6" s="1"/>
  <c r="BA37" i="6" a="1"/>
  <c r="BA37" i="6" s="1"/>
  <c r="BI95" i="6" a="1"/>
  <c r="BI95" i="6" s="1"/>
  <c r="BA105" i="6" a="1"/>
  <c r="BA105" i="6" s="1"/>
  <c r="AW69" i="6" a="1"/>
  <c r="AW69" i="6" s="1"/>
  <c r="BE55" i="6" a="1"/>
  <c r="BE55" i="6" s="1"/>
  <c r="BE66" i="6" a="1"/>
  <c r="BE66" i="6" s="1"/>
  <c r="BA44" i="6" a="1"/>
  <c r="BA44" i="6" s="1"/>
  <c r="BI32" i="6" a="1"/>
  <c r="BI32" i="6" s="1"/>
  <c r="BA100" i="6" a="1"/>
  <c r="BA100" i="6" s="1"/>
  <c r="AW53" i="6" a="1"/>
  <c r="AW53" i="6" s="1"/>
  <c r="AW84" i="6" a="1"/>
  <c r="AW84" i="6" s="1"/>
  <c r="BE49" i="6" a="1"/>
  <c r="BE49" i="6" s="1"/>
  <c r="BE24" i="6" a="1"/>
  <c r="BE24" i="6" s="1"/>
  <c r="BI11" i="6" a="1"/>
  <c r="BI11" i="6" s="1"/>
  <c r="BI40" i="6" a="1"/>
  <c r="BI40" i="6" s="1"/>
  <c r="BE12" i="6" a="1"/>
  <c r="BE12" i="6" s="1"/>
  <c r="BA40" i="6" a="1"/>
  <c r="BA40" i="6" s="1"/>
  <c r="BE93" i="6" a="1"/>
  <c r="BE93" i="6" s="1"/>
  <c r="BI45" i="6" a="1"/>
  <c r="BI45" i="6" s="1"/>
  <c r="BA60" i="6" a="1"/>
  <c r="BA60" i="6" s="1"/>
  <c r="BE42" i="6" a="1"/>
  <c r="BE42" i="6" s="1"/>
  <c r="BE39" i="6" a="1"/>
  <c r="BE39" i="6" s="1"/>
  <c r="AW57" i="6" a="1"/>
  <c r="AW57" i="6" s="1"/>
  <c r="BA66" i="6" a="1"/>
  <c r="BA66" i="6" s="1"/>
  <c r="BI98" i="6" a="1"/>
  <c r="BI98" i="6" s="1"/>
  <c r="AW26" i="6" a="1"/>
  <c r="AW26" i="6" s="1"/>
  <c r="BI80" i="6" a="1"/>
  <c r="BI80" i="6" s="1"/>
  <c r="BE51" i="6" a="1"/>
  <c r="BE51" i="6" s="1"/>
  <c r="BI96" i="6" a="1"/>
  <c r="BI96" i="6" s="1"/>
  <c r="AW98" i="6" a="1"/>
  <c r="AW98" i="6" s="1"/>
  <c r="AW66" i="6" a="1"/>
  <c r="AW66" i="6" s="1"/>
  <c r="BE83" i="6" a="1"/>
  <c r="BE83" i="6" s="1"/>
  <c r="BI23" i="6" a="1"/>
  <c r="BI23" i="6" s="1"/>
  <c r="AW92" i="6" a="1"/>
  <c r="AW92" i="6" s="1"/>
  <c r="BE37" i="6" a="1"/>
  <c r="BE37" i="6" s="1"/>
  <c r="AW77" i="6" a="1"/>
  <c r="AW77" i="6" s="1"/>
  <c r="AW24" i="6" a="1"/>
  <c r="AW24" i="6" s="1"/>
  <c r="BI89" i="6" a="1"/>
  <c r="BI89" i="6" s="1"/>
  <c r="BE23" i="6" a="1"/>
  <c r="BE23" i="6" s="1"/>
  <c r="AW59" i="6" a="1"/>
  <c r="AW59" i="6" s="1"/>
  <c r="BA45" i="6" a="1"/>
  <c r="BA45" i="6" s="1"/>
  <c r="BI78" i="6" a="1"/>
  <c r="BI78" i="6" s="1"/>
  <c r="BE20" i="6" a="1"/>
  <c r="BE20" i="6" s="1"/>
  <c r="BI54" i="6" a="1"/>
  <c r="BI54" i="6" s="1"/>
  <c r="BA36" i="6" a="1"/>
  <c r="BA36" i="6" s="1"/>
  <c r="BA46" i="6" a="1"/>
  <c r="BA46" i="6" s="1"/>
  <c r="BI10" i="6" a="1"/>
  <c r="BI10" i="6" s="1"/>
  <c r="BE76" i="6" a="1"/>
  <c r="BE76" i="6" s="1"/>
  <c r="BE89" i="6" a="1"/>
  <c r="BE89" i="6" s="1"/>
  <c r="BA98" i="6" a="1"/>
  <c r="BA98" i="6" s="1"/>
  <c r="BE61" i="6" a="1"/>
  <c r="BE61" i="6" s="1"/>
  <c r="BE80" i="6" a="1"/>
  <c r="BE80" i="6" s="1"/>
  <c r="BA61" i="6" a="1"/>
  <c r="BA61" i="6" s="1"/>
  <c r="BA55" i="6" a="1"/>
  <c r="BA55" i="6" s="1"/>
  <c r="BE56" i="6" a="1"/>
  <c r="BE56" i="6" s="1"/>
  <c r="BI87" i="6" a="1"/>
  <c r="BI87" i="6" s="1"/>
  <c r="BE67" i="6" a="1"/>
  <c r="BE67" i="6" s="1"/>
  <c r="BI81" i="6" a="1"/>
  <c r="BI81" i="6" s="1"/>
  <c r="BA68" i="6" a="1"/>
  <c r="BA68" i="6" s="1"/>
  <c r="BA80" i="6" a="1"/>
  <c r="BA80" i="6" s="1"/>
  <c r="BE106" i="6" a="1"/>
  <c r="BE106" i="6" s="1"/>
  <c r="BA67" i="6" a="1"/>
  <c r="BA67" i="6" s="1"/>
  <c r="BE29" i="6" a="1"/>
  <c r="BE29" i="6" s="1"/>
  <c r="BI73" i="6" a="1"/>
  <c r="BI73" i="6" s="1"/>
  <c r="BA81" i="6" a="1"/>
  <c r="BA81" i="6" s="1"/>
  <c r="BA34" i="6" a="1"/>
  <c r="BA34" i="6" s="1"/>
  <c r="AW17" i="6" a="1"/>
  <c r="AW17" i="6" s="1"/>
  <c r="AW41" i="6" a="1"/>
  <c r="AW41" i="6" s="1"/>
  <c r="BE102" i="6" a="1"/>
  <c r="BE102" i="6" s="1"/>
  <c r="BA76" i="6" a="1"/>
  <c r="BA76" i="6" s="1"/>
  <c r="BA62" i="6" a="1"/>
  <c r="BA62" i="6" s="1"/>
  <c r="BE104" i="6" a="1"/>
  <c r="BE104" i="6" s="1"/>
  <c r="BE60" i="6" a="1"/>
  <c r="BE60" i="6" s="1"/>
  <c r="BA57" i="6" a="1"/>
  <c r="BA57" i="6" s="1"/>
  <c r="BA35" i="6" a="1"/>
  <c r="BA35" i="6" s="1"/>
  <c r="BI31" i="6" a="1"/>
  <c r="BI31" i="6" s="1"/>
  <c r="BE84" i="6" a="1"/>
  <c r="BE84" i="6" s="1"/>
  <c r="AW11" i="6" a="1"/>
  <c r="AW11" i="6" s="1"/>
  <c r="BA10" i="6" a="1"/>
  <c r="BA10" i="6" s="1"/>
  <c r="AW83" i="6" a="1"/>
  <c r="AW83" i="6" s="1"/>
  <c r="BA90" i="6" a="1"/>
  <c r="BA90" i="6" s="1"/>
  <c r="AW65" i="6" a="1"/>
  <c r="AW65" i="6" s="1"/>
  <c r="BI17" i="6" a="1"/>
  <c r="BI17" i="6" s="1"/>
  <c r="BE9" i="6" a="1"/>
  <c r="BE9" i="6" s="1"/>
  <c r="AW20" i="6" a="1"/>
  <c r="AW20" i="6" s="1"/>
  <c r="BA30" i="6" a="1"/>
  <c r="BA30" i="6" s="1"/>
  <c r="BE7" i="6" a="1"/>
  <c r="BE7" i="6" s="1"/>
  <c r="BI64" i="6" a="1"/>
  <c r="BI64" i="6" s="1"/>
  <c r="BA89" i="6" a="1"/>
  <c r="BA89" i="6" s="1"/>
  <c r="BI20" i="6" a="1"/>
  <c r="BI20" i="6" s="1"/>
  <c r="BE31" i="6" a="1"/>
  <c r="BE31" i="6" s="1"/>
  <c r="BE25" i="6" a="1"/>
  <c r="BE25" i="6" s="1"/>
  <c r="BA15" i="6" a="1"/>
  <c r="BA15" i="6" s="1"/>
  <c r="AW54" i="6" a="1"/>
  <c r="AW54" i="6" s="1"/>
  <c r="BE72" i="6" a="1"/>
  <c r="BE72" i="6" s="1"/>
  <c r="BE91" i="6" a="1"/>
  <c r="BE91" i="6" s="1"/>
  <c r="BI37" i="6" a="1"/>
  <c r="BI37" i="6" s="1"/>
  <c r="BI61" i="6" a="1"/>
  <c r="BI61" i="6" s="1"/>
  <c r="BE97" i="6" a="1"/>
  <c r="BE97" i="6" s="1"/>
  <c r="AW60" i="6" a="1"/>
  <c r="AW60" i="6" s="1"/>
  <c r="BA99" i="6" a="1"/>
  <c r="BA99" i="6" s="1"/>
  <c r="BI83" i="6" a="1"/>
  <c r="BI83" i="6" s="1"/>
  <c r="BA56" i="6" a="1"/>
  <c r="BA56" i="6" s="1"/>
  <c r="BI39" i="6" a="1"/>
  <c r="BI39" i="6" s="1"/>
  <c r="BE85" i="6" a="1"/>
  <c r="BE85" i="6" s="1"/>
  <c r="BE94" i="6" a="1"/>
  <c r="BE94" i="6" s="1"/>
  <c r="BE75" i="6" a="1"/>
  <c r="BE75" i="6" s="1"/>
  <c r="BI49" i="6" a="1"/>
  <c r="BI49" i="6" s="1"/>
  <c r="BI30" i="6" a="1"/>
  <c r="BI30" i="6" s="1"/>
  <c r="BE64" i="6" a="1"/>
  <c r="BE64" i="6" s="1"/>
  <c r="AW104" i="6" a="1"/>
  <c r="AW104" i="6" s="1"/>
  <c r="AW29" i="6" a="1"/>
  <c r="AW29" i="6" s="1"/>
  <c r="AW39" i="6" a="1"/>
  <c r="AW39" i="6" s="1"/>
  <c r="BI27" i="6" a="1"/>
  <c r="BI27" i="6" s="1"/>
  <c r="BI19" i="6" a="1"/>
  <c r="BI19" i="6" s="1"/>
  <c r="AW13" i="6" a="1"/>
  <c r="AW13" i="6" s="1"/>
  <c r="BA70" i="6" a="1"/>
  <c r="BA70" i="6" s="1"/>
  <c r="BI92" i="6" a="1"/>
  <c r="BI92" i="6" s="1"/>
  <c r="AW36" i="6" a="1"/>
  <c r="AW36" i="6" s="1"/>
  <c r="BI44" i="6" a="1"/>
  <c r="BI44" i="6" s="1"/>
  <c r="BA79" i="6" a="1"/>
  <c r="BA79" i="6" s="1"/>
  <c r="AW32" i="6" a="1"/>
  <c r="AW32" i="6" s="1"/>
  <c r="BI105" i="6" a="1"/>
  <c r="BI105" i="6" s="1"/>
  <c r="BI66" i="6" a="1"/>
  <c r="BI66" i="6" s="1"/>
  <c r="AW72" i="6" a="1"/>
  <c r="AW72" i="6" s="1"/>
  <c r="BE69" i="6" a="1"/>
  <c r="BE69" i="6" s="1"/>
  <c r="BA9" i="6" a="1"/>
  <c r="BA9" i="6" s="1"/>
  <c r="BI71" i="6" a="1"/>
  <c r="BI71" i="6" s="1"/>
  <c r="BE10" i="6" a="1"/>
  <c r="BE10" i="6" s="1"/>
  <c r="BI35" i="6" a="1"/>
  <c r="BI35" i="6" s="1"/>
  <c r="BA72" i="6" a="1"/>
  <c r="BA72" i="6" s="1"/>
  <c r="BA87" i="6" a="1"/>
  <c r="BA87" i="6" s="1"/>
  <c r="BA41" i="6" a="1"/>
  <c r="BA41" i="6" s="1"/>
  <c r="BI75" i="6" a="1"/>
  <c r="BI75" i="6" s="1"/>
  <c r="AW45" i="6" a="1"/>
  <c r="AW45" i="6" s="1"/>
  <c r="BE63" i="6" a="1"/>
  <c r="BE63" i="6" s="1"/>
  <c r="BE59" i="6" a="1"/>
  <c r="BE59" i="6" s="1"/>
  <c r="BI26" i="6" a="1"/>
  <c r="BI26" i="6" s="1"/>
  <c r="BE30" i="6" a="1"/>
  <c r="BE30" i="6" s="1"/>
  <c r="BE86" i="6" a="1"/>
  <c r="BE86" i="6" s="1"/>
  <c r="AW86" i="6" a="1"/>
  <c r="AW86" i="6" s="1"/>
  <c r="BA63" i="6" a="1"/>
  <c r="BA63" i="6" s="1"/>
  <c r="BI13" i="6" a="1"/>
  <c r="BI13" i="6" s="1"/>
  <c r="BE41" i="6" a="1"/>
  <c r="BE41" i="6" s="1"/>
  <c r="BI74" i="6" a="1"/>
  <c r="BI74" i="6" s="1"/>
  <c r="BI102" i="6" a="1"/>
  <c r="BI102" i="6" s="1"/>
  <c r="BI12" i="6" a="1"/>
  <c r="BI12" i="6" s="1"/>
  <c r="BI9" i="6" a="1"/>
  <c r="BI9" i="6" s="1"/>
  <c r="AW89" i="6" a="1"/>
  <c r="AW89" i="6" s="1"/>
  <c r="BA16" i="6" a="1"/>
  <c r="BA16" i="6" s="1"/>
  <c r="BA7" i="6" a="1"/>
  <c r="BA7" i="6" s="1"/>
  <c r="BE47" i="6" a="1"/>
  <c r="BE47" i="6" s="1"/>
  <c r="AW35" i="6" a="1"/>
  <c r="AW35" i="6" s="1"/>
  <c r="BA94" i="6" a="1"/>
  <c r="BA94" i="6" s="1"/>
  <c r="BI70" i="6" a="1"/>
  <c r="BI70" i="6" s="1"/>
  <c r="BI94" i="6" a="1"/>
  <c r="BI94" i="6" s="1"/>
  <c r="BI93" i="6" a="1"/>
  <c r="BI93" i="6" s="1"/>
  <c r="BA73" i="6" a="1"/>
  <c r="BA73" i="6" s="1"/>
  <c r="AW15" i="6" a="1"/>
  <c r="AW15" i="6" s="1"/>
  <c r="BI41" i="6" a="1"/>
  <c r="BI41" i="6" s="1"/>
  <c r="BE105" i="6" a="1"/>
  <c r="BE105" i="6" s="1"/>
  <c r="BE90" i="6" a="1"/>
  <c r="BE90" i="6" s="1"/>
  <c r="BI79" i="6" a="1"/>
  <c r="BI79" i="6" s="1"/>
  <c r="BE35" i="6" a="1"/>
  <c r="BE35" i="6" s="1"/>
  <c r="BA78" i="6" a="1"/>
  <c r="BA78" i="6" s="1"/>
  <c r="BA58" i="6" a="1"/>
  <c r="BA58" i="6" s="1"/>
  <c r="BA47" i="6" a="1"/>
  <c r="BA47" i="6" s="1"/>
  <c r="BA54" i="6" a="1"/>
  <c r="BA54" i="6" s="1"/>
  <c r="BE13" i="6" a="1"/>
  <c r="BE13" i="6" s="1"/>
  <c r="BI65" i="6" a="1"/>
  <c r="BI65" i="6" s="1"/>
  <c r="BA21" i="6" a="1"/>
  <c r="BA21" i="6" s="1"/>
  <c r="BI57" i="6" a="1"/>
  <c r="BI57" i="6" s="1"/>
  <c r="BI15" i="6" a="1"/>
  <c r="BI15" i="6" s="1"/>
  <c r="BA27" i="6" a="1"/>
  <c r="BA27" i="6" s="1"/>
  <c r="BI76" i="6" a="1"/>
  <c r="BI76" i="6" s="1"/>
  <c r="BA23" i="6" a="1"/>
  <c r="BA23" i="6" s="1"/>
  <c r="AW87" i="6" a="1"/>
  <c r="AW87" i="6" s="1"/>
  <c r="AW99" i="6" a="1"/>
  <c r="AW99" i="6" s="1"/>
  <c r="BE73" i="6" a="1"/>
  <c r="BE73" i="6" s="1"/>
  <c r="BI53" i="6" a="1"/>
  <c r="BI53" i="6" s="1"/>
  <c r="BI50" i="6" a="1"/>
  <c r="BI50" i="6" s="1"/>
  <c r="BA97" i="6" a="1"/>
  <c r="BA97" i="6" s="1"/>
  <c r="BI24" i="6" a="1"/>
  <c r="BI24" i="6" s="1"/>
  <c r="BI60" i="6" a="1"/>
  <c r="BI60" i="6" s="1"/>
  <c r="BA13" i="6" a="1"/>
  <c r="BA13" i="6" s="1"/>
  <c r="BE33" i="6" a="1"/>
  <c r="BE33" i="6" s="1"/>
  <c r="AW105" i="6" a="1"/>
  <c r="AW105" i="6" s="1"/>
  <c r="BA88" i="6" a="1"/>
  <c r="BA88" i="6" s="1"/>
  <c r="BI100" i="6" a="1"/>
  <c r="BI100" i="6" s="1"/>
  <c r="BI28" i="6" a="1"/>
  <c r="BI28" i="6" s="1"/>
  <c r="BI62" i="6" a="1"/>
  <c r="BI62" i="6" s="1"/>
  <c r="BE54" i="6" a="1"/>
  <c r="BE54" i="6" s="1"/>
  <c r="BE38" i="6" a="1"/>
  <c r="BE38" i="6" s="1"/>
  <c r="BA52" i="6" a="1"/>
  <c r="BA52" i="6" s="1"/>
  <c r="BI38" i="6" a="1"/>
  <c r="BI38" i="6" s="1"/>
  <c r="BA42" i="6" a="1"/>
  <c r="BA42" i="6" s="1"/>
  <c r="BA48" i="6" a="1"/>
  <c r="BA48" i="6" s="1"/>
  <c r="BA102" i="6" a="1"/>
  <c r="BA102" i="6" s="1"/>
  <c r="BA95" i="6" a="1"/>
  <c r="BA95" i="6" s="1"/>
  <c r="BA83" i="6" a="1"/>
  <c r="BA83" i="6" s="1"/>
  <c r="AW93" i="6" a="1"/>
  <c r="AW93" i="6" s="1"/>
  <c r="BA28" i="6" a="1"/>
  <c r="BA28" i="6" s="1"/>
  <c r="AW50" i="6" a="1"/>
  <c r="AW50" i="6" s="1"/>
  <c r="BI86" i="6" a="1"/>
  <c r="BI86" i="6" s="1"/>
  <c r="BI103" i="6" a="1"/>
  <c r="BI103" i="6" s="1"/>
  <c r="AW33" i="6" a="1"/>
  <c r="AW33" i="6" s="1"/>
  <c r="BE43" i="6" a="1"/>
  <c r="BE43" i="6" s="1"/>
  <c r="BA50" i="6" a="1"/>
  <c r="BA50" i="6" s="1"/>
  <c r="BE58" i="6" a="1"/>
  <c r="BE58" i="6" s="1"/>
  <c r="BA26" i="6" a="1"/>
  <c r="BA26" i="6" s="1"/>
  <c r="BA84" i="6" a="1"/>
  <c r="BA84" i="6" s="1"/>
  <c r="BE68" i="6" a="1"/>
  <c r="BE68" i="6" s="1"/>
  <c r="BI58" i="6" a="1"/>
  <c r="BI58" i="6" s="1"/>
  <c r="BI97" i="6" a="1"/>
  <c r="BI97" i="6" s="1"/>
  <c r="BI82" i="6" a="1"/>
  <c r="BI82" i="6" s="1"/>
  <c r="BA12" i="6" a="1"/>
  <c r="BA12" i="6" s="1"/>
  <c r="AW42" i="6" a="1"/>
  <c r="AW42" i="6" s="1"/>
  <c r="BE50" i="6" a="1"/>
  <c r="BE50" i="6" s="1"/>
  <c r="BA85" i="6" a="1"/>
  <c r="BA85" i="6" s="1"/>
  <c r="BE11" i="6" a="1"/>
  <c r="BE11" i="6" s="1"/>
  <c r="BA29" i="6" a="1"/>
  <c r="BA29" i="6" s="1"/>
  <c r="BE98" i="6" a="1"/>
  <c r="BE98" i="6" s="1"/>
  <c r="BA20" i="6" a="1"/>
  <c r="BA20" i="6" s="1"/>
  <c r="AW9" i="6" a="1"/>
  <c r="AW9" i="6" s="1"/>
  <c r="AW38" i="6" a="1"/>
  <c r="AW38" i="6" s="1"/>
  <c r="BI101" i="6" a="1"/>
  <c r="BI101" i="6" s="1"/>
  <c r="BA31" i="6" a="1"/>
  <c r="BA31" i="6" s="1"/>
  <c r="AW68" i="6" a="1"/>
  <c r="AW68" i="6" s="1"/>
  <c r="BE62" i="6" a="1"/>
  <c r="BE62" i="6" s="1"/>
  <c r="BI14" i="6" a="1"/>
  <c r="BI14" i="6" s="1"/>
  <c r="BE71" i="6" a="1"/>
  <c r="BE71" i="6" s="1"/>
  <c r="BE96" i="6" a="1"/>
  <c r="BE96" i="6" s="1"/>
  <c r="BI7" i="6" a="1"/>
  <c r="BI7" i="6" s="1"/>
  <c r="BA49" i="6" a="1"/>
  <c r="BA49" i="6" s="1"/>
  <c r="BE88" i="6" a="1"/>
  <c r="BE88" i="6" s="1"/>
  <c r="BI104" i="6" a="1"/>
  <c r="BI104" i="6" s="1"/>
  <c r="BI77" i="6" a="1"/>
  <c r="BI77" i="6" s="1"/>
  <c r="BA8" i="6" a="1"/>
  <c r="BA8" i="6" s="1"/>
  <c r="BE32" i="6" a="1"/>
  <c r="BE32" i="6" s="1"/>
  <c r="BI63" i="6" a="1"/>
  <c r="BI63" i="6" s="1"/>
  <c r="BE95" i="6" a="1"/>
  <c r="BE95" i="6" s="1"/>
  <c r="BE28" i="6" a="1"/>
  <c r="BE28" i="6" s="1"/>
  <c r="BI29" i="6" a="1"/>
  <c r="BI29" i="6" s="1"/>
  <c r="BE57" i="6" a="1"/>
  <c r="BE57" i="6" s="1"/>
  <c r="BI88" i="6" a="1"/>
  <c r="BI88" i="6" s="1"/>
  <c r="BA69" i="6" a="1"/>
  <c r="BA69" i="6" s="1"/>
  <c r="BE78" i="6" a="1"/>
  <c r="BE78" i="6" s="1"/>
  <c r="BE82" i="6" a="1"/>
  <c r="BE82" i="6" s="1"/>
  <c r="AW47" i="6" a="1"/>
  <c r="AW47" i="6" s="1"/>
  <c r="BA14" i="6" a="1"/>
  <c r="BA14" i="6" s="1"/>
  <c r="BA106" i="6" a="1"/>
  <c r="BA106" i="6" s="1"/>
  <c r="BI22" i="6" a="1"/>
  <c r="BI22" i="6" s="1"/>
  <c r="BE81" i="6" a="1"/>
  <c r="BE81" i="6" s="1"/>
  <c r="BE45" i="6" a="1"/>
  <c r="BE45" i="6" s="1"/>
  <c r="BI21" i="6" a="1"/>
  <c r="BI21" i="6" s="1"/>
  <c r="BA38" i="6" a="1"/>
  <c r="BA38" i="6" s="1"/>
  <c r="AW21" i="6" a="1"/>
  <c r="AW21" i="6" s="1"/>
  <c r="BA25" i="6" a="1"/>
  <c r="BA25" i="6" s="1"/>
  <c r="BE79" i="6" a="1"/>
  <c r="BE79" i="6" s="1"/>
  <c r="BI16" i="6" a="1"/>
  <c r="BI16" i="6" s="1"/>
  <c r="AW30" i="6" a="1"/>
  <c r="AW30" i="6" s="1"/>
  <c r="BE19" i="6" a="1"/>
  <c r="BE19" i="6" s="1"/>
  <c r="BE44" i="6" a="1"/>
  <c r="BE44" i="6" s="1"/>
  <c r="BE18" i="6" a="1"/>
  <c r="BE18" i="6" s="1"/>
  <c r="BE34" i="6" a="1"/>
  <c r="BE34" i="6" s="1"/>
  <c r="BI52" i="6" a="1"/>
  <c r="BI52" i="6" s="1"/>
  <c r="BI84" i="6" a="1"/>
  <c r="BI84" i="6" s="1"/>
  <c r="BE70" i="6" a="1"/>
  <c r="BE70" i="6" s="1"/>
  <c r="BA43" i="6" a="1"/>
  <c r="BA43" i="6" s="1"/>
  <c r="BI72" i="6" a="1"/>
  <c r="BI72" i="6" s="1"/>
  <c r="BI85" i="6" a="1"/>
  <c r="BI85" i="6" s="1"/>
  <c r="AW90" i="6" a="1"/>
  <c r="AW90" i="6" s="1"/>
  <c r="BI99" i="6" a="1"/>
  <c r="BI99" i="6" s="1"/>
  <c r="BE26" i="6" a="1"/>
  <c r="BE26" i="6" s="1"/>
  <c r="BE52" i="6" a="1"/>
  <c r="BE52" i="6" s="1"/>
  <c r="BE15" i="6" a="1"/>
  <c r="BE15" i="6" s="1"/>
  <c r="AW75" i="6" a="1"/>
  <c r="AW75" i="6" s="1"/>
  <c r="BA53" i="6" a="1"/>
  <c r="BA53" i="6" s="1"/>
  <c r="BE77" i="6" a="1"/>
  <c r="BE77" i="6" s="1"/>
  <c r="BA59" i="6" a="1"/>
  <c r="BA59" i="6" s="1"/>
  <c r="BE27" i="6" a="1"/>
  <c r="BE27" i="6" s="1"/>
  <c r="AW71" i="6" a="1"/>
  <c r="AW71" i="6" s="1"/>
  <c r="BE17" i="6" a="1"/>
  <c r="BE17" i="6" s="1"/>
  <c r="AW14" i="6" a="1"/>
  <c r="AW14" i="6" s="1"/>
  <c r="BE65" i="6" a="1"/>
  <c r="BE65" i="6" s="1"/>
  <c r="BE99" i="6" a="1"/>
  <c r="BE99" i="6" s="1"/>
  <c r="BI25" i="6" a="1"/>
  <c r="BI25" i="6" s="1"/>
  <c r="BI47" i="6" a="1"/>
  <c r="BI47" i="6" s="1"/>
  <c r="BE8" i="6" a="1"/>
  <c r="BE8" i="6" s="1"/>
  <c r="BA65" i="6" a="1"/>
  <c r="BA65" i="6" s="1"/>
  <c r="BI33" i="6" a="1"/>
  <c r="BI33" i="6" s="1"/>
  <c r="BI42" i="6" a="1"/>
  <c r="BI42" i="6" s="1"/>
  <c r="BA18" i="6" a="1"/>
  <c r="BA18" i="6" s="1"/>
  <c r="BE87" i="6" a="1"/>
  <c r="BE87" i="6" s="1"/>
  <c r="BA32" i="6" a="1"/>
  <c r="BA32" i="6" s="1"/>
  <c r="BI106" i="6" a="1"/>
  <c r="BI106" i="6" s="1"/>
  <c r="BI56" i="6" a="1"/>
  <c r="BI56" i="6" s="1"/>
  <c r="BE48" i="6" a="1"/>
  <c r="BE48" i="6" s="1"/>
  <c r="AW78" i="6" a="1"/>
  <c r="AW78" i="6" s="1"/>
  <c r="BI55" i="6" a="1"/>
  <c r="BI55" i="6" s="1"/>
  <c r="AW101" i="6" a="1"/>
  <c r="AW101" i="6" s="1"/>
  <c r="Z274" i="8"/>
  <c r="M274" i="8"/>
  <c r="AH274" i="8"/>
  <c r="B273" i="8"/>
  <c r="L273" i="8"/>
  <c r="K274" i="8"/>
  <c r="I275" i="8"/>
  <c r="A273" i="8"/>
  <c r="G274" i="8"/>
  <c r="AF274" i="8"/>
  <c r="AA274" i="8" s="1"/>
  <c r="AG274" i="8"/>
  <c r="AD273" i="8" l="1"/>
  <c r="X730" i="8"/>
  <c r="X1240" i="8"/>
  <c r="E315" i="9"/>
  <c r="G315" i="9"/>
  <c r="F315" i="9" s="1"/>
  <c r="AI273" i="8"/>
  <c r="E274" i="8"/>
  <c r="F274" i="8"/>
  <c r="X220" i="8"/>
  <c r="I316" i="9"/>
  <c r="A315" i="9"/>
  <c r="M275" i="8"/>
  <c r="AH275" i="8"/>
  <c r="B274" i="8"/>
  <c r="L274" i="8"/>
  <c r="K275" i="8"/>
  <c r="AF275" i="8"/>
  <c r="AA275" i="8" s="1"/>
  <c r="I276" i="8"/>
  <c r="G275" i="8"/>
  <c r="AG275" i="8"/>
  <c r="A274" i="8"/>
  <c r="AD274" i="8" l="1"/>
  <c r="X731" i="8"/>
  <c r="X1241" i="8"/>
  <c r="E316" i="9"/>
  <c r="G316" i="9"/>
  <c r="F316" i="9" s="1"/>
  <c r="E275" i="8"/>
  <c r="F275" i="8"/>
  <c r="AI274" i="8"/>
  <c r="X221" i="8"/>
  <c r="I317" i="9"/>
  <c r="A316" i="9"/>
  <c r="M276" i="8"/>
  <c r="AH276" i="8"/>
  <c r="B275" i="8"/>
  <c r="AG276" i="8"/>
  <c r="L275" i="8"/>
  <c r="K276" i="8"/>
  <c r="I277" i="8"/>
  <c r="AF276" i="8"/>
  <c r="AA276" i="8" s="1"/>
  <c r="G276" i="8"/>
  <c r="A275" i="8"/>
  <c r="AD275" i="8" l="1"/>
  <c r="X732" i="8"/>
  <c r="X1242" i="8"/>
  <c r="G317" i="9"/>
  <c r="F317" i="9" s="1"/>
  <c r="E317" i="9"/>
  <c r="AI275" i="8"/>
  <c r="X222" i="8"/>
  <c r="F276" i="8"/>
  <c r="E276" i="8"/>
  <c r="I318" i="9"/>
  <c r="A317" i="9"/>
  <c r="M277" i="8"/>
  <c r="AH277" i="8"/>
  <c r="B276" i="8"/>
  <c r="AG277" i="8"/>
  <c r="A276" i="8"/>
  <c r="L276" i="8"/>
  <c r="I278" i="8"/>
  <c r="G277" i="8"/>
  <c r="AF277" i="8"/>
  <c r="AA277" i="8" s="1"/>
  <c r="K277" i="8"/>
  <c r="AD276" i="8" l="1"/>
  <c r="X733" i="8"/>
  <c r="X1243" i="8"/>
  <c r="G318" i="9"/>
  <c r="F318" i="9" s="1"/>
  <c r="E318" i="9"/>
  <c r="AI276" i="8"/>
  <c r="E277" i="8"/>
  <c r="F277" i="8"/>
  <c r="X223" i="8"/>
  <c r="I319" i="9"/>
  <c r="A318" i="9"/>
  <c r="M278" i="8"/>
  <c r="AH278" i="8"/>
  <c r="B277" i="8"/>
  <c r="L277" i="8"/>
  <c r="I279" i="8"/>
  <c r="A277" i="8"/>
  <c r="G278" i="8"/>
  <c r="K278" i="8"/>
  <c r="AG278" i="8"/>
  <c r="AF278" i="8"/>
  <c r="AA278" i="8" s="1"/>
  <c r="AD277" i="8" l="1"/>
  <c r="X734" i="8"/>
  <c r="X1244" i="8"/>
  <c r="G319" i="9"/>
  <c r="F319" i="9" s="1"/>
  <c r="E319" i="9"/>
  <c r="E278" i="8"/>
  <c r="F278" i="8"/>
  <c r="AI277" i="8"/>
  <c r="X224" i="8"/>
  <c r="I320" i="9"/>
  <c r="A319" i="9"/>
  <c r="M279" i="8"/>
  <c r="AH279" i="8"/>
  <c r="B278" i="8"/>
  <c r="L278" i="8"/>
  <c r="AF279" i="8"/>
  <c r="AA279" i="8" s="1"/>
  <c r="I280" i="8"/>
  <c r="G279" i="8"/>
  <c r="K279" i="8"/>
  <c r="A278" i="8"/>
  <c r="AG279" i="8"/>
  <c r="AD278" i="8" l="1"/>
  <c r="X735" i="8"/>
  <c r="X1245" i="8"/>
  <c r="G320" i="9"/>
  <c r="F320" i="9" s="1"/>
  <c r="E320" i="9"/>
  <c r="AI278" i="8"/>
  <c r="F279" i="8"/>
  <c r="X225" i="8"/>
  <c r="E279" i="8"/>
  <c r="I321" i="9"/>
  <c r="A320" i="9"/>
  <c r="M280" i="8"/>
  <c r="AH280" i="8"/>
  <c r="B279" i="8"/>
  <c r="L279" i="8"/>
  <c r="AF280" i="8"/>
  <c r="AA280" i="8" s="1"/>
  <c r="G280" i="8"/>
  <c r="K280" i="8"/>
  <c r="I281" i="8"/>
  <c r="AG280" i="8"/>
  <c r="A279" i="8"/>
  <c r="AD279" i="8" l="1"/>
  <c r="X736" i="8"/>
  <c r="X1246" i="8"/>
  <c r="G321" i="9"/>
  <c r="F321" i="9" s="1"/>
  <c r="E321" i="9"/>
  <c r="AI279" i="8"/>
  <c r="X226" i="8"/>
  <c r="F280" i="8"/>
  <c r="A280" i="8"/>
  <c r="I322" i="9"/>
  <c r="A321" i="9"/>
  <c r="E280" i="8"/>
  <c r="M281" i="8"/>
  <c r="AH281" i="8"/>
  <c r="B280" i="8"/>
  <c r="L280" i="8"/>
  <c r="G281" i="8"/>
  <c r="AG281" i="8"/>
  <c r="I282" i="8"/>
  <c r="K281" i="8"/>
  <c r="AF281" i="8"/>
  <c r="AA281" i="8" s="1"/>
  <c r="AD280" i="8" l="1"/>
  <c r="X737" i="8"/>
  <c r="X1247" i="8"/>
  <c r="E322" i="9"/>
  <c r="G322" i="9"/>
  <c r="F322" i="9" s="1"/>
  <c r="F281" i="8"/>
  <c r="AI280" i="8"/>
  <c r="E281" i="8"/>
  <c r="X227" i="8"/>
  <c r="I323" i="9"/>
  <c r="A322" i="9"/>
  <c r="M282" i="8"/>
  <c r="AH282" i="8"/>
  <c r="B281" i="8"/>
  <c r="L281" i="8"/>
  <c r="A281" i="8"/>
  <c r="AF282" i="8"/>
  <c r="AA282" i="8" s="1"/>
  <c r="I283" i="8"/>
  <c r="G282" i="8"/>
  <c r="K282" i="8"/>
  <c r="AG282" i="8"/>
  <c r="AD281" i="8" l="1"/>
  <c r="X738" i="8"/>
  <c r="X1248" i="8"/>
  <c r="E323" i="9"/>
  <c r="G323" i="9"/>
  <c r="F323" i="9" s="1"/>
  <c r="AI281" i="8"/>
  <c r="X228" i="8"/>
  <c r="F282" i="8"/>
  <c r="E282" i="8"/>
  <c r="I324" i="9"/>
  <c r="A323" i="9"/>
  <c r="M283" i="8"/>
  <c r="AH283" i="8"/>
  <c r="B282" i="8"/>
  <c r="G283" i="8"/>
  <c r="L282" i="8"/>
  <c r="AF283" i="8"/>
  <c r="AA283" i="8" s="1"/>
  <c r="I284" i="8"/>
  <c r="A282" i="8"/>
  <c r="AG283" i="8"/>
  <c r="K283" i="8"/>
  <c r="AD282" i="8" l="1"/>
  <c r="X739" i="8"/>
  <c r="X1249" i="8"/>
  <c r="E324" i="9"/>
  <c r="G324" i="9"/>
  <c r="F324" i="9" s="1"/>
  <c r="E283" i="8"/>
  <c r="X229" i="8"/>
  <c r="F283" i="8"/>
  <c r="AI282" i="8"/>
  <c r="I325" i="9"/>
  <c r="A324" i="9"/>
  <c r="M284" i="8"/>
  <c r="AH284" i="8"/>
  <c r="B283" i="8"/>
  <c r="A283" i="8"/>
  <c r="AG284" i="8"/>
  <c r="I285" i="8"/>
  <c r="AF284" i="8"/>
  <c r="AA284" i="8" s="1"/>
  <c r="G284" i="8"/>
  <c r="K284" i="8"/>
  <c r="L283" i="8"/>
  <c r="AD283" i="8" l="1"/>
  <c r="X740" i="8"/>
  <c r="X1250" i="8"/>
  <c r="G325" i="9"/>
  <c r="F325" i="9" s="1"/>
  <c r="E325" i="9"/>
  <c r="E284" i="8"/>
  <c r="X230" i="8"/>
  <c r="AI283" i="8"/>
  <c r="F284" i="8"/>
  <c r="A325" i="9"/>
  <c r="M285" i="8"/>
  <c r="AH285" i="8"/>
  <c r="B284" i="8"/>
  <c r="L284" i="8"/>
  <c r="I286" i="8"/>
  <c r="K285" i="8"/>
  <c r="AF285" i="8"/>
  <c r="AA285" i="8" s="1"/>
  <c r="AG285" i="8"/>
  <c r="G285" i="8"/>
  <c r="A284" i="8"/>
  <c r="AD284" i="8" l="1"/>
  <c r="X741" i="8"/>
  <c r="X1251" i="8"/>
  <c r="AI284" i="8"/>
  <c r="F285" i="8"/>
  <c r="E285" i="8"/>
  <c r="X231" i="8"/>
  <c r="M286" i="8"/>
  <c r="AH286" i="8"/>
  <c r="L285" i="8"/>
  <c r="B285" i="8"/>
  <c r="I287" i="8"/>
  <c r="K286" i="8"/>
  <c r="AF286" i="8"/>
  <c r="AA286" i="8" s="1"/>
  <c r="G286" i="8"/>
  <c r="AG286" i="8"/>
  <c r="A285" i="8"/>
  <c r="AD285" i="8" l="1"/>
  <c r="X742" i="8"/>
  <c r="X1252" i="8"/>
  <c r="E286" i="8"/>
  <c r="AI285" i="8"/>
  <c r="F286" i="8"/>
  <c r="X232" i="8"/>
  <c r="M287" i="8"/>
  <c r="AH287" i="8"/>
  <c r="L286" i="8"/>
  <c r="B286" i="8"/>
  <c r="K287" i="8"/>
  <c r="I288" i="8"/>
  <c r="AF287" i="8"/>
  <c r="AA287" i="8" s="1"/>
  <c r="AG287" i="8"/>
  <c r="G287" i="8"/>
  <c r="A286" i="8"/>
  <c r="X743" i="8" l="1"/>
  <c r="AD286" i="8"/>
  <c r="X1253" i="8"/>
  <c r="AI286" i="8"/>
  <c r="E287" i="8"/>
  <c r="F287" i="8"/>
  <c r="X233" i="8"/>
  <c r="M288" i="8"/>
  <c r="AH288" i="8"/>
  <c r="B287" i="8"/>
  <c r="L287" i="8"/>
  <c r="AF288" i="8"/>
  <c r="AA288" i="8" s="1"/>
  <c r="G288" i="8"/>
  <c r="I289" i="8"/>
  <c r="K288" i="8"/>
  <c r="A287" i="8"/>
  <c r="AG288" i="8"/>
  <c r="X744" i="8" l="1"/>
  <c r="AD287" i="8"/>
  <c r="X1254" i="8"/>
  <c r="AI287" i="8"/>
  <c r="F288" i="8"/>
  <c r="E288" i="8"/>
  <c r="X234" i="8"/>
  <c r="M289" i="8"/>
  <c r="AH289" i="8"/>
  <c r="L288" i="8"/>
  <c r="B288" i="8"/>
  <c r="A288" i="8"/>
  <c r="K289" i="8"/>
  <c r="G289" i="8"/>
  <c r="I290" i="8"/>
  <c r="AG289" i="8"/>
  <c r="AF289" i="8"/>
  <c r="AA289" i="8" s="1"/>
  <c r="X745" i="8" l="1"/>
  <c r="AD288" i="8"/>
  <c r="X1255" i="8"/>
  <c r="AI288" i="8"/>
  <c r="E289" i="8"/>
  <c r="F289" i="8"/>
  <c r="X235" i="8"/>
  <c r="M290" i="8"/>
  <c r="AH290" i="8"/>
  <c r="L289" i="8"/>
  <c r="B289" i="8"/>
  <c r="A289" i="8"/>
  <c r="G290" i="8"/>
  <c r="AG290" i="8"/>
  <c r="AF290" i="8"/>
  <c r="AA290" i="8" s="1"/>
  <c r="K290" i="8"/>
  <c r="I291" i="8"/>
  <c r="X746" i="8" l="1"/>
  <c r="AD289" i="8"/>
  <c r="X1256" i="8"/>
  <c r="AI289" i="8"/>
  <c r="E290" i="8"/>
  <c r="X236" i="8"/>
  <c r="F290" i="8"/>
  <c r="M291" i="8"/>
  <c r="AH291" i="8"/>
  <c r="L290" i="8"/>
  <c r="B290" i="8"/>
  <c r="A290" i="8"/>
  <c r="G291" i="8"/>
  <c r="I292" i="8"/>
  <c r="AG291" i="8"/>
  <c r="K291" i="8"/>
  <c r="AF291" i="8"/>
  <c r="AA291" i="8" s="1"/>
  <c r="X747" i="8" l="1"/>
  <c r="AD290" i="8"/>
  <c r="X1257" i="8"/>
  <c r="AI290" i="8"/>
  <c r="F291" i="8"/>
  <c r="E291" i="8"/>
  <c r="X237" i="8"/>
  <c r="M292" i="8"/>
  <c r="AH292" i="8"/>
  <c r="B291" i="8"/>
  <c r="L291" i="8"/>
  <c r="I293" i="8"/>
  <c r="AG292" i="8"/>
  <c r="K292" i="8"/>
  <c r="A291" i="8"/>
  <c r="AF292" i="8"/>
  <c r="AA292" i="8" s="1"/>
  <c r="G292" i="8"/>
  <c r="X748" i="8" l="1"/>
  <c r="AD291" i="8"/>
  <c r="X1258" i="8"/>
  <c r="X238" i="8"/>
  <c r="E292" i="8"/>
  <c r="AI291" i="8"/>
  <c r="F292" i="8"/>
  <c r="M293" i="8"/>
  <c r="AH293" i="8"/>
  <c r="B292" i="8"/>
  <c r="L292" i="8"/>
  <c r="K293" i="8"/>
  <c r="AF293" i="8"/>
  <c r="AA293" i="8" s="1"/>
  <c r="I294" i="8"/>
  <c r="G293" i="8"/>
  <c r="AG293" i="8"/>
  <c r="A292" i="8"/>
  <c r="X749" i="8" l="1"/>
  <c r="AD292" i="8"/>
  <c r="X1259" i="8"/>
  <c r="AI292" i="8"/>
  <c r="E293" i="8"/>
  <c r="F293" i="8"/>
  <c r="X239" i="8"/>
  <c r="M294" i="8"/>
  <c r="AH294" i="8"/>
  <c r="B293" i="8"/>
  <c r="L293" i="8"/>
  <c r="I295" i="8"/>
  <c r="AF294" i="8"/>
  <c r="AA294" i="8" s="1"/>
  <c r="A293" i="8"/>
  <c r="G294" i="8"/>
  <c r="AG294" i="8"/>
  <c r="K294" i="8"/>
  <c r="X750" i="8" l="1"/>
  <c r="AD293" i="8"/>
  <c r="X1260" i="8"/>
  <c r="F294" i="8"/>
  <c r="AI293" i="8"/>
  <c r="E294" i="8"/>
  <c r="X240" i="8"/>
  <c r="M295" i="8"/>
  <c r="AH295" i="8"/>
  <c r="B294" i="8"/>
  <c r="L294" i="8"/>
  <c r="K295" i="8"/>
  <c r="AG295" i="8"/>
  <c r="AF295" i="8"/>
  <c r="AA295" i="8" s="1"/>
  <c r="A294" i="8"/>
  <c r="I296" i="8"/>
  <c r="G295" i="8"/>
  <c r="X751" i="8" l="1"/>
  <c r="AD294" i="8"/>
  <c r="X1261" i="8"/>
  <c r="AI294" i="8"/>
  <c r="X241" i="8"/>
  <c r="E295" i="8"/>
  <c r="F295" i="8"/>
  <c r="M296" i="8"/>
  <c r="AH296" i="8"/>
  <c r="B295" i="8"/>
  <c r="L295" i="8"/>
  <c r="G296" i="8"/>
  <c r="K296" i="8"/>
  <c r="AG296" i="8"/>
  <c r="A295" i="8"/>
  <c r="I297" i="8"/>
  <c r="AF296" i="8"/>
  <c r="AA296" i="8" s="1"/>
  <c r="X752" i="8" l="1"/>
  <c r="AD295" i="8"/>
  <c r="X1262" i="8"/>
  <c r="AI295" i="8"/>
  <c r="F296" i="8"/>
  <c r="E296" i="8"/>
  <c r="X242" i="8"/>
  <c r="M297" i="8"/>
  <c r="AH297" i="8"/>
  <c r="B296" i="8"/>
  <c r="A296" i="8"/>
  <c r="L296" i="8"/>
  <c r="AF297" i="8"/>
  <c r="AA297" i="8" s="1"/>
  <c r="AG297" i="8"/>
  <c r="G297" i="8"/>
  <c r="I298" i="8"/>
  <c r="K297" i="8"/>
  <c r="X753" i="8" l="1"/>
  <c r="AD296" i="8"/>
  <c r="X1263" i="8"/>
  <c r="AI296" i="8"/>
  <c r="F297" i="8"/>
  <c r="E297" i="8"/>
  <c r="X243" i="8"/>
  <c r="M298" i="8"/>
  <c r="AH298" i="8"/>
  <c r="B297" i="8"/>
  <c r="L297" i="8"/>
  <c r="K298" i="8"/>
  <c r="AG298" i="8"/>
  <c r="I299" i="8"/>
  <c r="AF298" i="8"/>
  <c r="AA298" i="8" s="1"/>
  <c r="G298" i="8"/>
  <c r="A297" i="8"/>
  <c r="X754" i="8" l="1"/>
  <c r="AD297" i="8"/>
  <c r="X1264" i="8"/>
  <c r="AI297" i="8"/>
  <c r="E298" i="8"/>
  <c r="F298" i="8"/>
  <c r="X244" i="8"/>
  <c r="M299" i="8"/>
  <c r="AH299" i="8"/>
  <c r="B298" i="8"/>
  <c r="L298" i="8"/>
  <c r="AG299" i="8"/>
  <c r="AF299" i="8"/>
  <c r="AA299" i="8" s="1"/>
  <c r="I300" i="8"/>
  <c r="K299" i="8"/>
  <c r="G299" i="8"/>
  <c r="A298" i="8"/>
  <c r="X755" i="8" l="1"/>
  <c r="AD298" i="8"/>
  <c r="X1265" i="8"/>
  <c r="AI298" i="8"/>
  <c r="E299" i="8"/>
  <c r="X245" i="8"/>
  <c r="F299" i="8"/>
  <c r="M300" i="8"/>
  <c r="AH300" i="8"/>
  <c r="B299" i="8"/>
  <c r="L299" i="8"/>
  <c r="I301" i="8"/>
  <c r="AG300" i="8"/>
  <c r="G300" i="8"/>
  <c r="K300" i="8"/>
  <c r="AF300" i="8"/>
  <c r="AA300" i="8" s="1"/>
  <c r="A299" i="8"/>
  <c r="X756" i="8" l="1"/>
  <c r="AD299" i="8"/>
  <c r="X1266" i="8"/>
  <c r="AI299" i="8"/>
  <c r="X246" i="8"/>
  <c r="F300" i="8"/>
  <c r="E300" i="8"/>
  <c r="M301" i="8"/>
  <c r="AH301" i="8"/>
  <c r="B300" i="8"/>
  <c r="L300" i="8"/>
  <c r="AG301" i="8"/>
  <c r="G301" i="8"/>
  <c r="I302" i="8"/>
  <c r="K301" i="8"/>
  <c r="AF301" i="8"/>
  <c r="AA301" i="8" s="1"/>
  <c r="A300" i="8"/>
  <c r="X757" i="8" l="1"/>
  <c r="AD300" i="8"/>
  <c r="X1267" i="8"/>
  <c r="AI300" i="8"/>
  <c r="F301" i="8"/>
  <c r="E301" i="8"/>
  <c r="X247" i="8"/>
  <c r="M302" i="8"/>
  <c r="AH302" i="8"/>
  <c r="B301" i="8"/>
  <c r="L301" i="8"/>
  <c r="AF302" i="8"/>
  <c r="AA302" i="8" s="1"/>
  <c r="A301" i="8"/>
  <c r="G302" i="8"/>
  <c r="I303" i="8"/>
  <c r="K302" i="8"/>
  <c r="AG302" i="8"/>
  <c r="X758" i="8" l="1"/>
  <c r="AD301" i="8"/>
  <c r="X1268" i="8"/>
  <c r="AI301" i="8"/>
  <c r="F302" i="8"/>
  <c r="E302" i="8"/>
  <c r="X248" i="8"/>
  <c r="M303" i="8"/>
  <c r="AH303" i="8"/>
  <c r="B302" i="8"/>
  <c r="L302" i="8"/>
  <c r="K303" i="8"/>
  <c r="AG303" i="8"/>
  <c r="G303" i="8"/>
  <c r="I304" i="8"/>
  <c r="A302" i="8"/>
  <c r="AF303" i="8"/>
  <c r="AA303" i="8" s="1"/>
  <c r="X759" i="8" l="1"/>
  <c r="AD302" i="8"/>
  <c r="X1269" i="8"/>
  <c r="X249" i="8"/>
  <c r="AI302" i="8"/>
  <c r="E303" i="8"/>
  <c r="F303" i="8"/>
  <c r="M304" i="8"/>
  <c r="AH304" i="8"/>
  <c r="B303" i="8"/>
  <c r="L303" i="8"/>
  <c r="AF304" i="8"/>
  <c r="AA304" i="8" s="1"/>
  <c r="I305" i="8"/>
  <c r="G304" i="8"/>
  <c r="K304" i="8"/>
  <c r="AG304" i="8"/>
  <c r="A303" i="8"/>
  <c r="X760" i="8" l="1"/>
  <c r="AD303" i="8"/>
  <c r="X1270" i="8"/>
  <c r="AI303" i="8"/>
  <c r="F304" i="8"/>
  <c r="E304" i="8"/>
  <c r="X250" i="8"/>
  <c r="M305" i="8"/>
  <c r="AH305" i="8"/>
  <c r="B304" i="8"/>
  <c r="K305" i="8"/>
  <c r="L304" i="8"/>
  <c r="I306" i="8"/>
  <c r="A304" i="8"/>
  <c r="AG305" i="8"/>
  <c r="AF305" i="8"/>
  <c r="AA305" i="8" s="1"/>
  <c r="G305" i="8"/>
  <c r="X761" i="8" l="1"/>
  <c r="AD304" i="8"/>
  <c r="X1271" i="8"/>
  <c r="AI304" i="8"/>
  <c r="E305" i="8"/>
  <c r="F305" i="8"/>
  <c r="X251" i="8"/>
  <c r="M306" i="8"/>
  <c r="AH306" i="8"/>
  <c r="B305" i="8"/>
  <c r="AG306" i="8"/>
  <c r="K306" i="8"/>
  <c r="AF306" i="8"/>
  <c r="AA306" i="8" s="1"/>
  <c r="I307" i="8"/>
  <c r="L305" i="8"/>
  <c r="G306" i="8"/>
  <c r="A305" i="8"/>
  <c r="X762" i="8" l="1"/>
  <c r="AD305" i="8"/>
  <c r="X1272" i="8"/>
  <c r="AI305" i="8"/>
  <c r="E306" i="8"/>
  <c r="F306" i="8"/>
  <c r="X252" i="8"/>
  <c r="M307" i="8"/>
  <c r="AH307" i="8"/>
  <c r="L306" i="8"/>
  <c r="B306" i="8"/>
  <c r="G307" i="8"/>
  <c r="AG307" i="8"/>
  <c r="I308" i="8"/>
  <c r="AF307" i="8"/>
  <c r="AA307" i="8" s="1"/>
  <c r="K307" i="8"/>
  <c r="A306" i="8"/>
  <c r="X763" i="8" l="1"/>
  <c r="AD306" i="8"/>
  <c r="X1273" i="8"/>
  <c r="AI306" i="8"/>
  <c r="F307" i="8"/>
  <c r="E307" i="8"/>
  <c r="X253" i="8"/>
  <c r="W308" i="8"/>
  <c r="Z308" i="8"/>
  <c r="X308" i="8"/>
  <c r="M308" i="8"/>
  <c r="AH308" i="8"/>
  <c r="L307" i="8"/>
  <c r="B307" i="8"/>
  <c r="A307" i="8"/>
  <c r="AG308" i="8"/>
  <c r="I309" i="8"/>
  <c r="G308" i="8"/>
  <c r="K308" i="8"/>
  <c r="AF308" i="8"/>
  <c r="AA308" i="8" s="1"/>
  <c r="X764" i="8" l="1"/>
  <c r="AD307" i="8"/>
  <c r="X1274" i="8"/>
  <c r="F308" i="8"/>
  <c r="AI307" i="8"/>
  <c r="X254" i="8"/>
  <c r="Z309" i="8"/>
  <c r="M309" i="8"/>
  <c r="AH309" i="8"/>
  <c r="B308" i="8"/>
  <c r="L308" i="8"/>
  <c r="I310" i="8"/>
  <c r="A308" i="8"/>
  <c r="G309" i="8"/>
  <c r="AF309" i="8"/>
  <c r="AA309" i="8" s="1"/>
  <c r="K309" i="8"/>
  <c r="AG309" i="8"/>
  <c r="X765" i="8" l="1"/>
  <c r="X766" i="8" s="1"/>
  <c r="AD308" i="8"/>
  <c r="W802" i="8"/>
  <c r="X1275" i="8"/>
  <c r="W1319" i="8"/>
  <c r="W793" i="8"/>
  <c r="W786" i="8"/>
  <c r="W1314" i="8"/>
  <c r="W281" i="8"/>
  <c r="W1298" i="8"/>
  <c r="W280" i="8"/>
  <c r="W265" i="8"/>
  <c r="W274" i="8"/>
  <c r="W792" i="8"/>
  <c r="W1305" i="8"/>
  <c r="W306" i="8"/>
  <c r="W264" i="8"/>
  <c r="W777" i="8"/>
  <c r="W1289" i="8"/>
  <c r="W297" i="8"/>
  <c r="W258" i="8"/>
  <c r="W1327" i="8"/>
  <c r="W1282" i="8"/>
  <c r="W296" i="8"/>
  <c r="W809" i="8"/>
  <c r="W774" i="8"/>
  <c r="W290" i="8"/>
  <c r="W808" i="8"/>
  <c r="W769" i="8"/>
  <c r="W1304" i="8"/>
  <c r="W1288" i="8"/>
  <c r="W307" i="8"/>
  <c r="W291" i="8"/>
  <c r="W275" i="8"/>
  <c r="W259" i="8"/>
  <c r="W803" i="8"/>
  <c r="W787" i="8"/>
  <c r="W1324" i="8"/>
  <c r="W1315" i="8"/>
  <c r="W1299" i="8"/>
  <c r="W1283" i="8"/>
  <c r="W289" i="8"/>
  <c r="W801" i="8"/>
  <c r="W1323" i="8"/>
  <c r="W1313" i="8"/>
  <c r="W1297" i="8"/>
  <c r="W1281" i="8"/>
  <c r="W304" i="8"/>
  <c r="W816" i="8"/>
  <c r="W773" i="8"/>
  <c r="W1280" i="8"/>
  <c r="W299" i="8"/>
  <c r="W283" i="8"/>
  <c r="W267" i="8"/>
  <c r="W811" i="8"/>
  <c r="W795" i="8"/>
  <c r="W779" i="8"/>
  <c r="W1320" i="8"/>
  <c r="W1307" i="8"/>
  <c r="W1291" i="8"/>
  <c r="W305" i="8"/>
  <c r="W273" i="8"/>
  <c r="W817" i="8"/>
  <c r="W785" i="8"/>
  <c r="W288" i="8"/>
  <c r="W272" i="8"/>
  <c r="W800" i="8"/>
  <c r="W784" i="8"/>
  <c r="W1312" i="8"/>
  <c r="W1296" i="8"/>
  <c r="W298" i="8"/>
  <c r="W282" i="8"/>
  <c r="W266" i="8"/>
  <c r="W810" i="8"/>
  <c r="W794" i="8"/>
  <c r="W778" i="8"/>
  <c r="W770" i="8"/>
  <c r="W1306" i="8"/>
  <c r="W1290" i="8"/>
  <c r="E309" i="8"/>
  <c r="X255" i="8"/>
  <c r="W295" i="8"/>
  <c r="W271" i="8"/>
  <c r="W807" i="8"/>
  <c r="W791" i="8"/>
  <c r="W1322" i="8"/>
  <c r="W1311" i="8"/>
  <c r="W1295" i="8"/>
  <c r="W1287" i="8"/>
  <c r="W1279" i="8"/>
  <c r="W302" i="8"/>
  <c r="W294" i="8"/>
  <c r="W286" i="8"/>
  <c r="W278" i="8"/>
  <c r="W270" i="8"/>
  <c r="W262" i="8"/>
  <c r="W814" i="8"/>
  <c r="W806" i="8"/>
  <c r="W798" i="8"/>
  <c r="W790" i="8"/>
  <c r="W782" i="8"/>
  <c r="W1326" i="8"/>
  <c r="W772" i="8"/>
  <c r="W768" i="8"/>
  <c r="W1310" i="8"/>
  <c r="W1302" i="8"/>
  <c r="W1294" i="8"/>
  <c r="W1286" i="8"/>
  <c r="W1278" i="8"/>
  <c r="W287" i="8"/>
  <c r="W263" i="8"/>
  <c r="W799" i="8"/>
  <c r="W776" i="8"/>
  <c r="W1303" i="8"/>
  <c r="F309" i="8"/>
  <c r="W301" i="8"/>
  <c r="W293" i="8"/>
  <c r="W285" i="8"/>
  <c r="W277" i="8"/>
  <c r="W269" i="8"/>
  <c r="W261" i="8"/>
  <c r="W813" i="8"/>
  <c r="W805" i="8"/>
  <c r="W797" i="8"/>
  <c r="W789" i="8"/>
  <c r="W781" i="8"/>
  <c r="W1325" i="8"/>
  <c r="W1321" i="8"/>
  <c r="W1317" i="8"/>
  <c r="W1309" i="8"/>
  <c r="W1301" i="8"/>
  <c r="W1293" i="8"/>
  <c r="W1285" i="8"/>
  <c r="W303" i="8"/>
  <c r="W279" i="8"/>
  <c r="W815" i="8"/>
  <c r="W783" i="8"/>
  <c r="W1318" i="8"/>
  <c r="W300" i="8"/>
  <c r="W292" i="8"/>
  <c r="W284" i="8"/>
  <c r="W276" i="8"/>
  <c r="W268" i="8"/>
  <c r="W260" i="8"/>
  <c r="W812" i="8"/>
  <c r="W804" i="8"/>
  <c r="W796" i="8"/>
  <c r="W788" i="8"/>
  <c r="W780" i="8"/>
  <c r="W775" i="8"/>
  <c r="W771" i="8"/>
  <c r="W1316" i="8"/>
  <c r="W1308" i="8"/>
  <c r="W1300" i="8"/>
  <c r="W1292" i="8"/>
  <c r="W1284" i="8"/>
  <c r="Z310" i="8"/>
  <c r="M310" i="8"/>
  <c r="AH310" i="8"/>
  <c r="B309" i="8"/>
  <c r="G310" i="8"/>
  <c r="L309" i="8"/>
  <c r="AG310" i="8"/>
  <c r="K310" i="8"/>
  <c r="AF310" i="8"/>
  <c r="AA310" i="8" s="1"/>
  <c r="I311" i="8"/>
  <c r="A309" i="8"/>
  <c r="AD309" i="8" l="1"/>
  <c r="Z802" i="8"/>
  <c r="X1276" i="8"/>
  <c r="Z1317" i="8"/>
  <c r="Z1320" i="8"/>
  <c r="Z1298" i="8"/>
  <c r="Z1316" i="8"/>
  <c r="Z1321" i="8"/>
  <c r="Z1295" i="8"/>
  <c r="Z1315" i="8"/>
  <c r="Z1305" i="8"/>
  <c r="Z1326" i="8"/>
  <c r="Z1322" i="8"/>
  <c r="Z1306" i="8"/>
  <c r="Z1296" i="8"/>
  <c r="Z1297" i="8"/>
  <c r="Z1324" i="8"/>
  <c r="Z1304" i="8"/>
  <c r="Z1327" i="8"/>
  <c r="X1278" i="8"/>
  <c r="Z1312" i="8"/>
  <c r="Z1313" i="8"/>
  <c r="Z1319" i="8"/>
  <c r="Z1308" i="8"/>
  <c r="Z1302" i="8"/>
  <c r="Z1310" i="8"/>
  <c r="Z1325" i="8"/>
  <c r="Z1299" i="8"/>
  <c r="Z1314" i="8"/>
  <c r="Z1311" i="8"/>
  <c r="Z1301" i="8"/>
  <c r="Z1323" i="8"/>
  <c r="Z1300" i="8"/>
  <c r="Z1318" i="8"/>
  <c r="Z1309" i="8"/>
  <c r="Z1303" i="8"/>
  <c r="Z1307" i="8"/>
  <c r="Z291" i="8"/>
  <c r="Z809" i="8"/>
  <c r="Z296" i="8"/>
  <c r="Z817" i="8"/>
  <c r="Z786" i="8"/>
  <c r="Z792" i="8"/>
  <c r="Z793" i="8"/>
  <c r="Z288" i="8"/>
  <c r="Z281" i="8"/>
  <c r="Z811" i="8"/>
  <c r="Z305" i="8"/>
  <c r="Z283" i="8"/>
  <c r="Z299" i="8"/>
  <c r="Z803" i="8"/>
  <c r="Z297" i="8"/>
  <c r="Z816" i="8"/>
  <c r="Z304" i="8"/>
  <c r="Z800" i="8"/>
  <c r="Z801" i="8"/>
  <c r="AI309" i="8"/>
  <c r="Z306" i="8"/>
  <c r="Z282" i="8"/>
  <c r="Z307" i="8"/>
  <c r="X258" i="8"/>
  <c r="Z275" i="8"/>
  <c r="Z289" i="8"/>
  <c r="Z280" i="8"/>
  <c r="Z810" i="8"/>
  <c r="Z290" i="8"/>
  <c r="Z298" i="8"/>
  <c r="Z787" i="8"/>
  <c r="Z808" i="8"/>
  <c r="Z794" i="8"/>
  <c r="Z785" i="8"/>
  <c r="Z795" i="8"/>
  <c r="Z789" i="8"/>
  <c r="Z293" i="8"/>
  <c r="Z287" i="8"/>
  <c r="Z790" i="8"/>
  <c r="Z294" i="8"/>
  <c r="Z807" i="8"/>
  <c r="X256" i="8"/>
  <c r="F310" i="8"/>
  <c r="Z788" i="8"/>
  <c r="Z292" i="8"/>
  <c r="Z797" i="8"/>
  <c r="Z301" i="8"/>
  <c r="Z798" i="8"/>
  <c r="Z302" i="8"/>
  <c r="Z276" i="8"/>
  <c r="Z285" i="8"/>
  <c r="Z286" i="8"/>
  <c r="Z300" i="8"/>
  <c r="Z295" i="8"/>
  <c r="Z814" i="8"/>
  <c r="Z812" i="8"/>
  <c r="X768" i="8"/>
  <c r="Z806" i="8"/>
  <c r="Z804" i="8"/>
  <c r="Z813" i="8"/>
  <c r="Z815" i="8"/>
  <c r="Z303" i="8"/>
  <c r="Z791" i="8"/>
  <c r="Z284" i="8"/>
  <c r="Z796" i="8"/>
  <c r="Z805" i="8"/>
  <c r="E310" i="8"/>
  <c r="K6" i="10"/>
  <c r="A105" i="9" s="1"/>
  <c r="Z279" i="8"/>
  <c r="Z277" i="8"/>
  <c r="Z799" i="8"/>
  <c r="Z278" i="8"/>
  <c r="E308" i="8"/>
  <c r="Z311" i="8"/>
  <c r="M311" i="8"/>
  <c r="AH311" i="8"/>
  <c r="B310" i="8"/>
  <c r="A310" i="8"/>
  <c r="L310" i="8"/>
  <c r="AG311" i="8"/>
  <c r="K311" i="8"/>
  <c r="I312" i="8"/>
  <c r="AF311" i="8"/>
  <c r="AA311" i="8" s="1"/>
  <c r="G311" i="8"/>
  <c r="AD310" i="8" l="1"/>
  <c r="X1279" i="8"/>
  <c r="X259" i="8"/>
  <c r="A95" i="9"/>
  <c r="A88" i="9"/>
  <c r="A87" i="9"/>
  <c r="A96" i="9"/>
  <c r="A86" i="9"/>
  <c r="A94" i="9"/>
  <c r="A102" i="9"/>
  <c r="A103" i="9"/>
  <c r="A104" i="9"/>
  <c r="X769" i="8"/>
  <c r="A107" i="9"/>
  <c r="A98" i="9"/>
  <c r="A99" i="9"/>
  <c r="A90" i="9"/>
  <c r="A93" i="9"/>
  <c r="A92" i="9"/>
  <c r="A91" i="9"/>
  <c r="AI308" i="8"/>
  <c r="A109" i="9"/>
  <c r="A100" i="9"/>
  <c r="A106" i="9"/>
  <c r="A85" i="9"/>
  <c r="P85" i="9" s="1"/>
  <c r="A84" i="9"/>
  <c r="A83" i="9"/>
  <c r="F311" i="8"/>
  <c r="A108" i="9"/>
  <c r="A101" i="9"/>
  <c r="E311" i="8"/>
  <c r="AI310" i="8"/>
  <c r="A97" i="9"/>
  <c r="A89" i="9"/>
  <c r="Z312" i="8"/>
  <c r="M312" i="8"/>
  <c r="AH312" i="8"/>
  <c r="B311" i="8"/>
  <c r="K312" i="8"/>
  <c r="L311" i="8"/>
  <c r="AF312" i="8"/>
  <c r="AA312" i="8" s="1"/>
  <c r="AG312" i="8"/>
  <c r="A311" i="8"/>
  <c r="I313" i="8"/>
  <c r="G312" i="8"/>
  <c r="AD311" i="8" l="1"/>
  <c r="X1280" i="8"/>
  <c r="X260" i="8"/>
  <c r="AI311" i="8"/>
  <c r="F312" i="8"/>
  <c r="E312" i="8"/>
  <c r="X770" i="8"/>
  <c r="Z313" i="8"/>
  <c r="M313" i="8"/>
  <c r="AH313" i="8"/>
  <c r="B312" i="8"/>
  <c r="L312" i="8"/>
  <c r="K313" i="8"/>
  <c r="AF313" i="8"/>
  <c r="AA313" i="8" s="1"/>
  <c r="AG313" i="8"/>
  <c r="I314" i="8"/>
  <c r="G313" i="8"/>
  <c r="A312" i="8"/>
  <c r="AD312" i="8" l="1"/>
  <c r="X1281" i="8"/>
  <c r="X261" i="8"/>
  <c r="AI312" i="8"/>
  <c r="E313" i="8"/>
  <c r="F313" i="8"/>
  <c r="X771" i="8"/>
  <c r="P86" i="9"/>
  <c r="Z314" i="8"/>
  <c r="M314" i="8"/>
  <c r="AH314" i="8"/>
  <c r="L313" i="8"/>
  <c r="B313" i="8"/>
  <c r="AG314" i="8"/>
  <c r="I315" i="8"/>
  <c r="AF314" i="8"/>
  <c r="AA314" i="8" s="1"/>
  <c r="A313" i="8"/>
  <c r="K314" i="8"/>
  <c r="G314" i="8"/>
  <c r="AD313" i="8" l="1"/>
  <c r="X262" i="8"/>
  <c r="X1282" i="8"/>
  <c r="E314" i="8"/>
  <c r="AI313" i="8"/>
  <c r="X772" i="8"/>
  <c r="F314" i="8"/>
  <c r="Z315" i="8"/>
  <c r="M315" i="8"/>
  <c r="AH315" i="8"/>
  <c r="L314" i="8"/>
  <c r="I316" i="8"/>
  <c r="B314" i="8"/>
  <c r="AF315" i="8"/>
  <c r="AA315" i="8" s="1"/>
  <c r="AG315" i="8"/>
  <c r="K315" i="8"/>
  <c r="G315" i="8"/>
  <c r="A314" i="8"/>
  <c r="AD314" i="8" l="1"/>
  <c r="P87" i="9"/>
  <c r="X263" i="8"/>
  <c r="X1283" i="8"/>
  <c r="A315" i="8"/>
  <c r="X773" i="8"/>
  <c r="F315" i="8"/>
  <c r="AI314" i="8"/>
  <c r="E315" i="8"/>
  <c r="Z316" i="8"/>
  <c r="M316" i="8"/>
  <c r="AH316" i="8"/>
  <c r="AG316" i="8"/>
  <c r="L315" i="8"/>
  <c r="G316" i="8"/>
  <c r="K316" i="8"/>
  <c r="AF316" i="8"/>
  <c r="AA316" i="8" s="1"/>
  <c r="I317" i="8"/>
  <c r="B315" i="8"/>
  <c r="AD315" i="8" l="1"/>
  <c r="X264" i="8"/>
  <c r="X1284" i="8"/>
  <c r="F316" i="8"/>
  <c r="E316" i="8"/>
  <c r="X774" i="8"/>
  <c r="AI315" i="8"/>
  <c r="Z317" i="8"/>
  <c r="M317" i="8"/>
  <c r="AH317" i="8"/>
  <c r="L316" i="8"/>
  <c r="A316" i="8"/>
  <c r="B316" i="8"/>
  <c r="G317" i="8"/>
  <c r="I318" i="8"/>
  <c r="AG317" i="8"/>
  <c r="K317" i="8"/>
  <c r="AF317" i="8"/>
  <c r="AA317" i="8" s="1"/>
  <c r="AD316" i="8" l="1"/>
  <c r="X265" i="8"/>
  <c r="X1285" i="8"/>
  <c r="AI316" i="8"/>
  <c r="X775" i="8"/>
  <c r="A317" i="8"/>
  <c r="F317" i="8"/>
  <c r="P88" i="9"/>
  <c r="E317" i="8"/>
  <c r="Z318" i="8"/>
  <c r="M318" i="8"/>
  <c r="AH318" i="8"/>
  <c r="L317" i="8"/>
  <c r="B317" i="8"/>
  <c r="AF318" i="8"/>
  <c r="AA318" i="8" s="1"/>
  <c r="I319" i="8"/>
  <c r="AG318" i="8"/>
  <c r="K318" i="8"/>
  <c r="G318" i="8"/>
  <c r="AD317" i="8" l="1"/>
  <c r="X266" i="8"/>
  <c r="X1286" i="8"/>
  <c r="AI317" i="8"/>
  <c r="F318" i="8"/>
  <c r="B318" i="8"/>
  <c r="X776" i="8"/>
  <c r="E318" i="8"/>
  <c r="Z319" i="8"/>
  <c r="M319" i="8"/>
  <c r="AH319" i="8"/>
  <c r="AF319" i="8"/>
  <c r="AA319" i="8" s="1"/>
  <c r="L318" i="8"/>
  <c r="G319" i="8"/>
  <c r="K319" i="8"/>
  <c r="I320" i="8"/>
  <c r="AG319" i="8"/>
  <c r="A318" i="8"/>
  <c r="AD318" i="8" l="1"/>
  <c r="X267" i="8"/>
  <c r="X1287" i="8"/>
  <c r="F319" i="8"/>
  <c r="X777" i="8"/>
  <c r="AI318" i="8"/>
  <c r="B319" i="8"/>
  <c r="E319" i="8"/>
  <c r="Z320" i="8"/>
  <c r="M320" i="8"/>
  <c r="AH320" i="8"/>
  <c r="L319" i="8"/>
  <c r="A319" i="8"/>
  <c r="G320" i="8"/>
  <c r="I321" i="8"/>
  <c r="AF320" i="8"/>
  <c r="AA320" i="8" s="1"/>
  <c r="K320" i="8"/>
  <c r="AG320" i="8"/>
  <c r="AD319" i="8" l="1"/>
  <c r="X268" i="8"/>
  <c r="X1288" i="8"/>
  <c r="F320" i="8"/>
  <c r="AI319" i="8"/>
  <c r="A320" i="8"/>
  <c r="X778" i="8"/>
  <c r="E320" i="8"/>
  <c r="Z321" i="8"/>
  <c r="M321" i="8"/>
  <c r="AH321" i="8"/>
  <c r="L320" i="8"/>
  <c r="B320" i="8"/>
  <c r="I322" i="8"/>
  <c r="G321" i="8"/>
  <c r="K321" i="8"/>
  <c r="AG321" i="8"/>
  <c r="AF321" i="8"/>
  <c r="AA321" i="8" s="1"/>
  <c r="AD320" i="8" l="1"/>
  <c r="X269" i="8"/>
  <c r="X1289" i="8"/>
  <c r="F321" i="8"/>
  <c r="AI320" i="8"/>
  <c r="A321" i="8"/>
  <c r="X779" i="8"/>
  <c r="E321" i="8"/>
  <c r="Z322" i="8"/>
  <c r="M322" i="8"/>
  <c r="AH322" i="8"/>
  <c r="L321" i="8"/>
  <c r="AG322" i="8"/>
  <c r="G322" i="8"/>
  <c r="K322" i="8"/>
  <c r="AF322" i="8"/>
  <c r="AA322" i="8" s="1"/>
  <c r="B321" i="8"/>
  <c r="I323" i="8"/>
  <c r="AD321" i="8" l="1"/>
  <c r="X270" i="8"/>
  <c r="X1290" i="8"/>
  <c r="F322" i="8"/>
  <c r="B322" i="8"/>
  <c r="AI321" i="8"/>
  <c r="X780" i="8"/>
  <c r="E322" i="8"/>
  <c r="Z323" i="8"/>
  <c r="M323" i="8"/>
  <c r="AH323" i="8"/>
  <c r="L322" i="8"/>
  <c r="A322" i="8"/>
  <c r="G323" i="8"/>
  <c r="AF323" i="8"/>
  <c r="AA323" i="8" s="1"/>
  <c r="I324" i="8"/>
  <c r="AG323" i="8"/>
  <c r="K323" i="8"/>
  <c r="AD322" i="8" l="1"/>
  <c r="X271" i="8"/>
  <c r="X1291" i="8"/>
  <c r="F323" i="8"/>
  <c r="X781" i="8"/>
  <c r="AI322" i="8"/>
  <c r="A323" i="8"/>
  <c r="E323" i="8"/>
  <c r="Z324" i="8"/>
  <c r="M324" i="8"/>
  <c r="AH324" i="8"/>
  <c r="L323" i="8"/>
  <c r="B323" i="8"/>
  <c r="AF324" i="8"/>
  <c r="AA324" i="8" s="1"/>
  <c r="G324" i="8"/>
  <c r="K324" i="8"/>
  <c r="AG324" i="8"/>
  <c r="I325" i="8"/>
  <c r="AD323" i="8" l="1"/>
  <c r="X272" i="8"/>
  <c r="X1292" i="8"/>
  <c r="F324" i="8"/>
  <c r="E324" i="8"/>
  <c r="X782" i="8"/>
  <c r="AI323" i="8"/>
  <c r="Z325" i="8"/>
  <c r="M325" i="8"/>
  <c r="AH325" i="8"/>
  <c r="L324" i="8"/>
  <c r="G325" i="8"/>
  <c r="I326" i="8"/>
  <c r="B324" i="8"/>
  <c r="A324" i="8"/>
  <c r="AG325" i="8"/>
  <c r="K325" i="8"/>
  <c r="AF325" i="8"/>
  <c r="AA325" i="8" s="1"/>
  <c r="AD324" i="8" l="1"/>
  <c r="X273" i="8"/>
  <c r="X1293" i="8"/>
  <c r="X783" i="8"/>
  <c r="B325" i="8"/>
  <c r="F325" i="8"/>
  <c r="AI324" i="8"/>
  <c r="E325" i="8"/>
  <c r="M326" i="8"/>
  <c r="AH326" i="8"/>
  <c r="L325" i="8"/>
  <c r="A325" i="8"/>
  <c r="G326" i="8"/>
  <c r="K326" i="8"/>
  <c r="I327" i="8"/>
  <c r="AG326" i="8"/>
  <c r="AF326" i="8"/>
  <c r="AA326" i="8" s="1"/>
  <c r="AD325" i="8" l="1"/>
  <c r="X274" i="8"/>
  <c r="X1294" i="8"/>
  <c r="AI325" i="8"/>
  <c r="F326" i="8"/>
  <c r="B326" i="8"/>
  <c r="X784" i="8"/>
  <c r="E326" i="8"/>
  <c r="M327" i="8"/>
  <c r="AH327" i="8"/>
  <c r="L326" i="8"/>
  <c r="A326" i="8"/>
  <c r="G327" i="8"/>
  <c r="AF327" i="8"/>
  <c r="AA327" i="8" s="1"/>
  <c r="AG327" i="8"/>
  <c r="K327" i="8"/>
  <c r="I328" i="8"/>
  <c r="AD326" i="8" l="1"/>
  <c r="X275" i="8"/>
  <c r="X1295" i="8"/>
  <c r="AI326" i="8"/>
  <c r="B327" i="8"/>
  <c r="X785" i="8"/>
  <c r="F327" i="8"/>
  <c r="E327" i="8"/>
  <c r="M328" i="8"/>
  <c r="AH328" i="8"/>
  <c r="L327" i="8"/>
  <c r="A327" i="8"/>
  <c r="G328" i="8"/>
  <c r="I329" i="8"/>
  <c r="AG328" i="8"/>
  <c r="AF328" i="8"/>
  <c r="AA328" i="8" s="1"/>
  <c r="K328" i="8"/>
  <c r="AD327" i="8" l="1"/>
  <c r="X276" i="8"/>
  <c r="X1296" i="8"/>
  <c r="F328" i="8"/>
  <c r="AI327" i="8"/>
  <c r="X786" i="8"/>
  <c r="B328" i="8"/>
  <c r="E328" i="8"/>
  <c r="M329" i="8"/>
  <c r="AH329" i="8"/>
  <c r="L328" i="8"/>
  <c r="A328" i="8"/>
  <c r="AF329" i="8"/>
  <c r="AA329" i="8" s="1"/>
  <c r="G329" i="8"/>
  <c r="I330" i="8"/>
  <c r="AG329" i="8"/>
  <c r="K329" i="8"/>
  <c r="AD328" i="8" l="1"/>
  <c r="X277" i="8"/>
  <c r="X1297" i="8"/>
  <c r="F329" i="8"/>
  <c r="AI328" i="8"/>
  <c r="X787" i="8"/>
  <c r="B329" i="8"/>
  <c r="E329" i="8"/>
  <c r="M330" i="8"/>
  <c r="AH330" i="8"/>
  <c r="L329" i="8"/>
  <c r="G330" i="8"/>
  <c r="AF330" i="8"/>
  <c r="AA330" i="8" s="1"/>
  <c r="I331" i="8"/>
  <c r="AG330" i="8"/>
  <c r="K330" i="8"/>
  <c r="A329" i="8"/>
  <c r="AD329" i="8" l="1"/>
  <c r="X278" i="8"/>
  <c r="X1298" i="8"/>
  <c r="F330" i="8"/>
  <c r="AI329" i="8"/>
  <c r="X788" i="8"/>
  <c r="B330" i="8"/>
  <c r="E330" i="8"/>
  <c r="M331" i="8"/>
  <c r="AH331" i="8"/>
  <c r="L330" i="8"/>
  <c r="A330" i="8"/>
  <c r="AG331" i="8"/>
  <c r="K331" i="8"/>
  <c r="I332" i="8"/>
  <c r="AF331" i="8"/>
  <c r="AA331" i="8" s="1"/>
  <c r="G331" i="8"/>
  <c r="AD330" i="8" l="1"/>
  <c r="X279" i="8"/>
  <c r="X1299" i="8"/>
  <c r="B331" i="8"/>
  <c r="AI330" i="8"/>
  <c r="X789" i="8"/>
  <c r="F331" i="8"/>
  <c r="E331" i="8"/>
  <c r="M332" i="8"/>
  <c r="AH332" i="8"/>
  <c r="A331" i="8"/>
  <c r="L331" i="8"/>
  <c r="K332" i="8"/>
  <c r="G332" i="8"/>
  <c r="AG332" i="8"/>
  <c r="I333" i="8"/>
  <c r="AF332" i="8"/>
  <c r="AA332" i="8" s="1"/>
  <c r="AD331" i="8" l="1"/>
  <c r="X280" i="8"/>
  <c r="X1300" i="8"/>
  <c r="AI331" i="8"/>
  <c r="X790" i="8"/>
  <c r="B332" i="8"/>
  <c r="F332" i="8"/>
  <c r="E332" i="8"/>
  <c r="M333" i="8"/>
  <c r="AH333" i="8"/>
  <c r="L332" i="8"/>
  <c r="A332" i="8"/>
  <c r="I334" i="8"/>
  <c r="AF333" i="8"/>
  <c r="AA333" i="8" s="1"/>
  <c r="G333" i="8"/>
  <c r="AG333" i="8"/>
  <c r="K333" i="8"/>
  <c r="AD332" i="8" l="1"/>
  <c r="X281" i="8"/>
  <c r="X1301" i="8"/>
  <c r="X791" i="8"/>
  <c r="F333" i="8"/>
  <c r="B333" i="8"/>
  <c r="AI332" i="8"/>
  <c r="E333" i="8"/>
  <c r="M334" i="8"/>
  <c r="AH334" i="8"/>
  <c r="L333" i="8"/>
  <c r="A333" i="8"/>
  <c r="G334" i="8"/>
  <c r="I335" i="8"/>
  <c r="K334" i="8"/>
  <c r="AG334" i="8"/>
  <c r="AF334" i="8"/>
  <c r="AA334" i="8" s="1"/>
  <c r="AD333" i="8" l="1"/>
  <c r="X282" i="8"/>
  <c r="X1302" i="8"/>
  <c r="F334" i="8"/>
  <c r="B334" i="8"/>
  <c r="X792" i="8"/>
  <c r="AI333" i="8"/>
  <c r="E334" i="8"/>
  <c r="M335" i="8"/>
  <c r="AH335" i="8"/>
  <c r="A334" i="8"/>
  <c r="L334" i="8"/>
  <c r="K335" i="8"/>
  <c r="I336" i="8"/>
  <c r="AG335" i="8"/>
  <c r="AF335" i="8"/>
  <c r="AA335" i="8" s="1"/>
  <c r="G335" i="8"/>
  <c r="AD334" i="8" l="1"/>
  <c r="X283" i="8"/>
  <c r="X1303" i="8"/>
  <c r="F335" i="8"/>
  <c r="X793" i="8"/>
  <c r="B335" i="8"/>
  <c r="AI334" i="8"/>
  <c r="E335" i="8"/>
  <c r="M336" i="8"/>
  <c r="AH336" i="8"/>
  <c r="L335" i="8"/>
  <c r="A335" i="8"/>
  <c r="AF336" i="8"/>
  <c r="AA336" i="8" s="1"/>
  <c r="K336" i="8"/>
  <c r="G336" i="8"/>
  <c r="I337" i="8"/>
  <c r="AG336" i="8"/>
  <c r="AD335" i="8" l="1"/>
  <c r="X284" i="8"/>
  <c r="X1304" i="8"/>
  <c r="B336" i="8"/>
  <c r="AI335" i="8"/>
  <c r="X794" i="8"/>
  <c r="F336" i="8"/>
  <c r="E336" i="8"/>
  <c r="M337" i="8"/>
  <c r="AH337" i="8"/>
  <c r="L336" i="8"/>
  <c r="I338" i="8"/>
  <c r="AG337" i="8"/>
  <c r="G337" i="8"/>
  <c r="K337" i="8"/>
  <c r="AF337" i="8"/>
  <c r="AA337" i="8" s="1"/>
  <c r="A336" i="8"/>
  <c r="AD336" i="8" l="1"/>
  <c r="X285" i="8"/>
  <c r="X1305" i="8"/>
  <c r="F337" i="8"/>
  <c r="AI336" i="8"/>
  <c r="X795" i="8"/>
  <c r="B337" i="8"/>
  <c r="E337" i="8"/>
  <c r="M338" i="8"/>
  <c r="AH338" i="8"/>
  <c r="L337" i="8"/>
  <c r="A337" i="8"/>
  <c r="AG338" i="8"/>
  <c r="K338" i="8"/>
  <c r="AF338" i="8"/>
  <c r="AA338" i="8" s="1"/>
  <c r="G338" i="8"/>
  <c r="I339" i="8"/>
  <c r="AD337" i="8" l="1"/>
  <c r="X286" i="8"/>
  <c r="X1306" i="8"/>
  <c r="B338" i="8"/>
  <c r="AI337" i="8"/>
  <c r="F338" i="8"/>
  <c r="X796" i="8"/>
  <c r="E338" i="8"/>
  <c r="M339" i="8"/>
  <c r="AH339" i="8"/>
  <c r="L338" i="8"/>
  <c r="A338" i="8"/>
  <c r="AG339" i="8"/>
  <c r="G339" i="8"/>
  <c r="K339" i="8"/>
  <c r="I340" i="8"/>
  <c r="AF339" i="8"/>
  <c r="AA339" i="8" s="1"/>
  <c r="AD338" i="8" l="1"/>
  <c r="X287" i="8"/>
  <c r="X1307" i="8"/>
  <c r="AI338" i="8"/>
  <c r="F339" i="8"/>
  <c r="B339" i="8"/>
  <c r="X797" i="8"/>
  <c r="E339" i="8"/>
  <c r="M340" i="8"/>
  <c r="AH340" i="8"/>
  <c r="L339" i="8"/>
  <c r="I341" i="8"/>
  <c r="AF340" i="8"/>
  <c r="AA340" i="8" s="1"/>
  <c r="K340" i="8"/>
  <c r="AG340" i="8"/>
  <c r="G340" i="8"/>
  <c r="A339" i="8"/>
  <c r="X288" i="8" l="1"/>
  <c r="AD339" i="8"/>
  <c r="X1308" i="8"/>
  <c r="B340" i="8"/>
  <c r="X798" i="8"/>
  <c r="F340" i="8"/>
  <c r="AI339" i="8"/>
  <c r="E340" i="8"/>
  <c r="M341" i="8"/>
  <c r="AH341" i="8"/>
  <c r="L340" i="8"/>
  <c r="A340" i="8"/>
  <c r="G341" i="8"/>
  <c r="AG341" i="8"/>
  <c r="AF341" i="8"/>
  <c r="AA341" i="8" s="1"/>
  <c r="I342" i="8"/>
  <c r="K341" i="8"/>
  <c r="X289" i="8" l="1"/>
  <c r="AD340" i="8"/>
  <c r="X1309" i="8"/>
  <c r="F341" i="8"/>
  <c r="AI340" i="8"/>
  <c r="B341" i="8"/>
  <c r="X799" i="8"/>
  <c r="E341" i="8"/>
  <c r="M342" i="8"/>
  <c r="AH342" i="8"/>
  <c r="L341" i="8"/>
  <c r="A341" i="8"/>
  <c r="K342" i="8"/>
  <c r="AF342" i="8"/>
  <c r="AA342" i="8" s="1"/>
  <c r="AG342" i="8"/>
  <c r="G342" i="8"/>
  <c r="I343" i="8"/>
  <c r="X290" i="8" l="1"/>
  <c r="AD341" i="8"/>
  <c r="X1310" i="8"/>
  <c r="B342" i="8"/>
  <c r="F342" i="8"/>
  <c r="AI341" i="8"/>
  <c r="X800" i="8"/>
  <c r="E342" i="8"/>
  <c r="M343" i="8"/>
  <c r="AH343" i="8"/>
  <c r="L342" i="8"/>
  <c r="A342" i="8"/>
  <c r="I344" i="8"/>
  <c r="K343" i="8"/>
  <c r="G343" i="8"/>
  <c r="AG343" i="8"/>
  <c r="AF343" i="8"/>
  <c r="AA343" i="8" s="1"/>
  <c r="X291" i="8" l="1"/>
  <c r="AD342" i="8"/>
  <c r="X1311" i="8"/>
  <c r="B343" i="8"/>
  <c r="AI342" i="8"/>
  <c r="F343" i="8"/>
  <c r="X801" i="8"/>
  <c r="E343" i="8"/>
  <c r="M344" i="8"/>
  <c r="AH344" i="8"/>
  <c r="L343" i="8"/>
  <c r="A343" i="8"/>
  <c r="G344" i="8"/>
  <c r="AF344" i="8"/>
  <c r="AA344" i="8" s="1"/>
  <c r="I345" i="8"/>
  <c r="K344" i="8"/>
  <c r="AG344" i="8"/>
  <c r="X292" i="8" l="1"/>
  <c r="AD343" i="8"/>
  <c r="X1312" i="8"/>
  <c r="AI343" i="8"/>
  <c r="B344" i="8"/>
  <c r="F344" i="8"/>
  <c r="X802" i="8"/>
  <c r="E344" i="8"/>
  <c r="M345" i="8"/>
  <c r="AH345" i="8"/>
  <c r="L344" i="8"/>
  <c r="AF345" i="8"/>
  <c r="AA345" i="8" s="1"/>
  <c r="I346" i="8"/>
  <c r="AG345" i="8"/>
  <c r="G345" i="8"/>
  <c r="K345" i="8"/>
  <c r="A344" i="8"/>
  <c r="X293" i="8" l="1"/>
  <c r="AD344" i="8"/>
  <c r="X1313" i="8"/>
  <c r="F345" i="8"/>
  <c r="B345" i="8"/>
  <c r="AI344" i="8"/>
  <c r="X803" i="8"/>
  <c r="E345" i="8"/>
  <c r="M346" i="8"/>
  <c r="AH346" i="8"/>
  <c r="L345" i="8"/>
  <c r="A345" i="8"/>
  <c r="I347" i="8"/>
  <c r="AF346" i="8"/>
  <c r="AA346" i="8" s="1"/>
  <c r="K346" i="8"/>
  <c r="AG346" i="8"/>
  <c r="G346" i="8"/>
  <c r="X294" i="8" l="1"/>
  <c r="AD345" i="8"/>
  <c r="X1314" i="8"/>
  <c r="X804" i="8"/>
  <c r="F346" i="8"/>
  <c r="B346" i="8"/>
  <c r="AI345" i="8"/>
  <c r="E346" i="8"/>
  <c r="M347" i="8"/>
  <c r="AH347" i="8"/>
  <c r="L346" i="8"/>
  <c r="A346" i="8"/>
  <c r="K347" i="8"/>
  <c r="G347" i="8"/>
  <c r="AG347" i="8"/>
  <c r="AF347" i="8"/>
  <c r="AA347" i="8" s="1"/>
  <c r="I348" i="8"/>
  <c r="X295" i="8" l="1"/>
  <c r="AD346" i="8"/>
  <c r="X1315" i="8"/>
  <c r="AI346" i="8"/>
  <c r="B347" i="8"/>
  <c r="F347" i="8"/>
  <c r="X805" i="8"/>
  <c r="E347" i="8"/>
  <c r="M348" i="8"/>
  <c r="AH348" i="8"/>
  <c r="L347" i="8"/>
  <c r="A347" i="8"/>
  <c r="G348" i="8"/>
  <c r="K348" i="8"/>
  <c r="I349" i="8"/>
  <c r="AG348" i="8"/>
  <c r="AF348" i="8"/>
  <c r="AA348" i="8" s="1"/>
  <c r="X296" i="8" l="1"/>
  <c r="AD347" i="8"/>
  <c r="X1316" i="8"/>
  <c r="AI347" i="8"/>
  <c r="F348" i="8"/>
  <c r="B348" i="8"/>
  <c r="X806" i="8"/>
  <c r="E348" i="8"/>
  <c r="M349" i="8"/>
  <c r="AH349" i="8"/>
  <c r="L348" i="8"/>
  <c r="A348" i="8"/>
  <c r="AF349" i="8"/>
  <c r="AA349" i="8" s="1"/>
  <c r="K349" i="8"/>
  <c r="AG349" i="8"/>
  <c r="I350" i="8"/>
  <c r="G349" i="8"/>
  <c r="X297" i="8" l="1"/>
  <c r="AD348" i="8"/>
  <c r="X1317" i="8"/>
  <c r="AI348" i="8"/>
  <c r="B349" i="8"/>
  <c r="F349" i="8"/>
  <c r="X807" i="8"/>
  <c r="E349" i="8"/>
  <c r="M350" i="8"/>
  <c r="AH350" i="8"/>
  <c r="L349" i="8"/>
  <c r="AF350" i="8"/>
  <c r="AA350" i="8" s="1"/>
  <c r="G350" i="8"/>
  <c r="K350" i="8"/>
  <c r="AG350" i="8"/>
  <c r="I351" i="8"/>
  <c r="A349" i="8"/>
  <c r="X298" i="8" l="1"/>
  <c r="AD349" i="8"/>
  <c r="X1318" i="8"/>
  <c r="AI349" i="8"/>
  <c r="F350" i="8"/>
  <c r="B350" i="8"/>
  <c r="X808" i="8"/>
  <c r="E350" i="8"/>
  <c r="M351" i="8"/>
  <c r="AH351" i="8"/>
  <c r="L350" i="8"/>
  <c r="A350" i="8"/>
  <c r="AF351" i="8"/>
  <c r="AA351" i="8" s="1"/>
  <c r="G351" i="8"/>
  <c r="K351" i="8"/>
  <c r="I352" i="8"/>
  <c r="AG351" i="8"/>
  <c r="X299" i="8" l="1"/>
  <c r="AD350" i="8"/>
  <c r="X1319" i="8"/>
  <c r="F351" i="8"/>
  <c r="AI350" i="8"/>
  <c r="B351" i="8"/>
  <c r="X809" i="8"/>
  <c r="E351" i="8"/>
  <c r="M352" i="8"/>
  <c r="AH352" i="8"/>
  <c r="L351" i="8"/>
  <c r="A351" i="8"/>
  <c r="AG352" i="8"/>
  <c r="AF352" i="8"/>
  <c r="AA352" i="8" s="1"/>
  <c r="K352" i="8"/>
  <c r="G352" i="8"/>
  <c r="I353" i="8"/>
  <c r="X300" i="8" l="1"/>
  <c r="AD351" i="8"/>
  <c r="X1320" i="8"/>
  <c r="B352" i="8"/>
  <c r="F352" i="8"/>
  <c r="AI351" i="8"/>
  <c r="X810" i="8"/>
  <c r="E352" i="8"/>
  <c r="M353" i="8"/>
  <c r="AH353" i="8"/>
  <c r="L352" i="8"/>
  <c r="A352" i="8"/>
  <c r="I354" i="8"/>
  <c r="AG353" i="8"/>
  <c r="K353" i="8"/>
  <c r="G353" i="8"/>
  <c r="AF353" i="8"/>
  <c r="AA353" i="8" s="1"/>
  <c r="X301" i="8" l="1"/>
  <c r="AD352" i="8"/>
  <c r="X1321" i="8"/>
  <c r="B353" i="8"/>
  <c r="AI352" i="8"/>
  <c r="F353" i="8"/>
  <c r="X811" i="8"/>
  <c r="E353" i="8"/>
  <c r="M354" i="8"/>
  <c r="AH354" i="8"/>
  <c r="L353" i="8"/>
  <c r="A353" i="8"/>
  <c r="AG354" i="8"/>
  <c r="G354" i="8"/>
  <c r="AF354" i="8"/>
  <c r="AA354" i="8" s="1"/>
  <c r="K354" i="8"/>
  <c r="I355" i="8"/>
  <c r="X302" i="8" l="1"/>
  <c r="AD353" i="8"/>
  <c r="X1322" i="8"/>
  <c r="F354" i="8"/>
  <c r="AI353" i="8"/>
  <c r="B354" i="8"/>
  <c r="X812" i="8"/>
  <c r="E354" i="8"/>
  <c r="M355" i="8"/>
  <c r="AH355" i="8"/>
  <c r="L354" i="8"/>
  <c r="A354" i="8"/>
  <c r="G355" i="8"/>
  <c r="AG355" i="8"/>
  <c r="AF355" i="8"/>
  <c r="AA355" i="8" s="1"/>
  <c r="I356" i="8"/>
  <c r="K355" i="8"/>
  <c r="I359" i="8"/>
  <c r="X303" i="8" l="1"/>
  <c r="X304" i="8" s="1"/>
  <c r="AD354" i="8"/>
  <c r="X1323" i="8"/>
  <c r="AI354" i="8"/>
  <c r="F355" i="8"/>
  <c r="X813" i="8"/>
  <c r="B355" i="8"/>
  <c r="E355" i="8"/>
  <c r="W359" i="8"/>
  <c r="Z359" i="8"/>
  <c r="X359" i="8"/>
  <c r="M359" i="8"/>
  <c r="M356" i="8"/>
  <c r="AH356" i="8"/>
  <c r="AH359" i="8"/>
  <c r="L355" i="8"/>
  <c r="A355" i="8"/>
  <c r="AG356" i="8"/>
  <c r="G356" i="8"/>
  <c r="K356" i="8"/>
  <c r="I357" i="8"/>
  <c r="AF356" i="8"/>
  <c r="AA356" i="8" s="1"/>
  <c r="AF359" i="8"/>
  <c r="AA359" i="8" s="1"/>
  <c r="K359" i="8"/>
  <c r="I360" i="8"/>
  <c r="G359" i="8"/>
  <c r="AG359" i="8"/>
  <c r="AD355" i="8" l="1"/>
  <c r="X1324" i="8"/>
  <c r="F359" i="8"/>
  <c r="AI355" i="8"/>
  <c r="X814" i="8"/>
  <c r="X305" i="8"/>
  <c r="F356" i="8"/>
  <c r="B356" i="8"/>
  <c r="E356" i="8"/>
  <c r="Z360" i="8"/>
  <c r="M360" i="8"/>
  <c r="M357" i="8"/>
  <c r="AH357" i="8"/>
  <c r="AH360" i="8"/>
  <c r="L356" i="8"/>
  <c r="A356" i="8"/>
  <c r="AF357" i="8"/>
  <c r="AA357" i="8" s="1"/>
  <c r="K357" i="8"/>
  <c r="I358" i="8"/>
  <c r="AG357" i="8"/>
  <c r="G357" i="8"/>
  <c r="B359" i="8"/>
  <c r="L359" i="8"/>
  <c r="G360" i="8"/>
  <c r="AF360" i="8"/>
  <c r="AA360" i="8" s="1"/>
  <c r="AG360" i="8"/>
  <c r="A359" i="8"/>
  <c r="I361" i="8"/>
  <c r="K360" i="8"/>
  <c r="AD359" i="8" l="1"/>
  <c r="AD356" i="8"/>
  <c r="X1325" i="8"/>
  <c r="X815" i="8"/>
  <c r="F360" i="8"/>
  <c r="B357" i="8"/>
  <c r="X306" i="8"/>
  <c r="AI356" i="8"/>
  <c r="E360" i="8"/>
  <c r="F357" i="8"/>
  <c r="E357" i="8"/>
  <c r="Z361" i="8"/>
  <c r="M361" i="8"/>
  <c r="M358" i="8"/>
  <c r="AH361" i="8"/>
  <c r="AH358" i="8"/>
  <c r="L357" i="8"/>
  <c r="A357" i="8"/>
  <c r="AG358" i="8"/>
  <c r="K358" i="8"/>
  <c r="AF358" i="8"/>
  <c r="AA358" i="8" s="1"/>
  <c r="G358" i="8"/>
  <c r="B360" i="8"/>
  <c r="L360" i="8"/>
  <c r="A360" i="8"/>
  <c r="I362" i="8"/>
  <c r="AF361" i="8"/>
  <c r="AA361" i="8" s="1"/>
  <c r="AG361" i="8"/>
  <c r="K361" i="8"/>
  <c r="G361" i="8"/>
  <c r="AD357" i="8" l="1"/>
  <c r="AD360" i="8"/>
  <c r="X1326" i="8"/>
  <c r="AI360" i="8"/>
  <c r="F361" i="8"/>
  <c r="B358" i="8"/>
  <c r="E359" i="8"/>
  <c r="F358" i="8"/>
  <c r="AI357" i="8"/>
  <c r="X816" i="8"/>
  <c r="E361" i="8"/>
  <c r="X307" i="8"/>
  <c r="E358" i="8"/>
  <c r="Z362" i="8"/>
  <c r="M362" i="8"/>
  <c r="AH362" i="8"/>
  <c r="L358" i="8"/>
  <c r="A358" i="8"/>
  <c r="B361" i="8"/>
  <c r="L361" i="8"/>
  <c r="I363" i="8"/>
  <c r="AF362" i="8"/>
  <c r="AA362" i="8" s="1"/>
  <c r="A361" i="8"/>
  <c r="K362" i="8"/>
  <c r="AG362" i="8"/>
  <c r="G362" i="8"/>
  <c r="AD361" i="8" l="1"/>
  <c r="AD358" i="8"/>
  <c r="X1327" i="8"/>
  <c r="AI358" i="8"/>
  <c r="X817" i="8"/>
  <c r="AI359" i="8"/>
  <c r="E362" i="8"/>
  <c r="AI361" i="8"/>
  <c r="F362" i="8"/>
  <c r="Z363" i="8"/>
  <c r="M363" i="8"/>
  <c r="AH363" i="8"/>
  <c r="B362" i="8"/>
  <c r="L362" i="8"/>
  <c r="AF363" i="8"/>
  <c r="AA363" i="8" s="1"/>
  <c r="K363" i="8"/>
  <c r="AG363" i="8"/>
  <c r="G363" i="8"/>
  <c r="I364" i="8"/>
  <c r="A362" i="8"/>
  <c r="AD362" i="8" l="1"/>
  <c r="W334" i="8"/>
  <c r="AI362" i="8"/>
  <c r="W335" i="8"/>
  <c r="W319" i="8"/>
  <c r="W831" i="8"/>
  <c r="W830" i="8"/>
  <c r="W1375" i="8"/>
  <c r="W863" i="8"/>
  <c r="W1359" i="8"/>
  <c r="W862" i="8"/>
  <c r="W1358" i="8"/>
  <c r="W1374" i="8"/>
  <c r="W847" i="8"/>
  <c r="W318" i="8"/>
  <c r="W351" i="8"/>
  <c r="W1343" i="8"/>
  <c r="W350" i="8"/>
  <c r="W846" i="8"/>
  <c r="W1342" i="8"/>
  <c r="W331" i="8"/>
  <c r="W827" i="8"/>
  <c r="W352" i="8"/>
  <c r="W336" i="8"/>
  <c r="W320" i="8"/>
  <c r="W864" i="8"/>
  <c r="W848" i="8"/>
  <c r="W832" i="8"/>
  <c r="W1376" i="8"/>
  <c r="W1360" i="8"/>
  <c r="W1344" i="8"/>
  <c r="W344" i="8"/>
  <c r="W328" i="8"/>
  <c r="W312" i="8"/>
  <c r="W856" i="8"/>
  <c r="W840" i="8"/>
  <c r="W824" i="8"/>
  <c r="W1368" i="8"/>
  <c r="W1352" i="8"/>
  <c r="W1336" i="8"/>
  <c r="W859" i="8"/>
  <c r="W1371" i="8"/>
  <c r="W1339" i="8"/>
  <c r="W343" i="8"/>
  <c r="W327" i="8"/>
  <c r="W311" i="8"/>
  <c r="W855" i="8"/>
  <c r="W839" i="8"/>
  <c r="W823" i="8"/>
  <c r="W1367" i="8"/>
  <c r="W1351" i="8"/>
  <c r="W1335" i="8"/>
  <c r="W347" i="8"/>
  <c r="W843" i="8"/>
  <c r="W1355" i="8"/>
  <c r="W358" i="8"/>
  <c r="W342" i="8"/>
  <c r="W326" i="8"/>
  <c r="W310" i="8"/>
  <c r="W854" i="8"/>
  <c r="W838" i="8"/>
  <c r="W822" i="8"/>
  <c r="W1366" i="8"/>
  <c r="W1350" i="8"/>
  <c r="W1334" i="8"/>
  <c r="W315" i="8"/>
  <c r="W355" i="8"/>
  <c r="W339" i="8"/>
  <c r="W323" i="8"/>
  <c r="W867" i="8"/>
  <c r="W851" i="8"/>
  <c r="W835" i="8"/>
  <c r="W819" i="8"/>
  <c r="W1363" i="8"/>
  <c r="W1347" i="8"/>
  <c r="W1331" i="8"/>
  <c r="F363" i="8"/>
  <c r="W357" i="8"/>
  <c r="W349" i="8"/>
  <c r="W341" i="8"/>
  <c r="W333" i="8"/>
  <c r="W325" i="8"/>
  <c r="W317" i="8"/>
  <c r="W309" i="8"/>
  <c r="W861" i="8"/>
  <c r="W853" i="8"/>
  <c r="W845" i="8"/>
  <c r="W837" i="8"/>
  <c r="W829" i="8"/>
  <c r="W821" i="8"/>
  <c r="W1373" i="8"/>
  <c r="W1365" i="8"/>
  <c r="W1357" i="8"/>
  <c r="W1349" i="8"/>
  <c r="W1341" i="8"/>
  <c r="W1333" i="8"/>
  <c r="E363" i="8"/>
  <c r="W356" i="8"/>
  <c r="W348" i="8"/>
  <c r="W340" i="8"/>
  <c r="W332" i="8"/>
  <c r="W324" i="8"/>
  <c r="W316" i="8"/>
  <c r="W868" i="8"/>
  <c r="W860" i="8"/>
  <c r="W852" i="8"/>
  <c r="W844" i="8"/>
  <c r="W836" i="8"/>
  <c r="W828" i="8"/>
  <c r="W820" i="8"/>
  <c r="W1372" i="8"/>
  <c r="W1364" i="8"/>
  <c r="W1356" i="8"/>
  <c r="W1348" i="8"/>
  <c r="W1340" i="8"/>
  <c r="W1332" i="8"/>
  <c r="W354" i="8"/>
  <c r="W346" i="8"/>
  <c r="W338" i="8"/>
  <c r="W330" i="8"/>
  <c r="W322" i="8"/>
  <c r="W314" i="8"/>
  <c r="W866" i="8"/>
  <c r="W858" i="8"/>
  <c r="W850" i="8"/>
  <c r="W842" i="8"/>
  <c r="W834" i="8"/>
  <c r="W826" i="8"/>
  <c r="W1378" i="8"/>
  <c r="W1370" i="8"/>
  <c r="W1362" i="8"/>
  <c r="W1354" i="8"/>
  <c r="W1346" i="8"/>
  <c r="W1338" i="8"/>
  <c r="W1330" i="8"/>
  <c r="W353" i="8"/>
  <c r="W345" i="8"/>
  <c r="W337" i="8"/>
  <c r="W329" i="8"/>
  <c r="W321" i="8"/>
  <c r="W313" i="8"/>
  <c r="W865" i="8"/>
  <c r="W857" i="8"/>
  <c r="W849" i="8"/>
  <c r="W841" i="8"/>
  <c r="W833" i="8"/>
  <c r="W825" i="8"/>
  <c r="W1377" i="8"/>
  <c r="W1369" i="8"/>
  <c r="W1361" i="8"/>
  <c r="W1353" i="8"/>
  <c r="W1345" i="8"/>
  <c r="W1337" i="8"/>
  <c r="W1329" i="8"/>
  <c r="Z364" i="8"/>
  <c r="M364" i="8"/>
  <c r="AH364" i="8"/>
  <c r="B363" i="8"/>
  <c r="L363" i="8"/>
  <c r="AF364" i="8"/>
  <c r="AA364" i="8" s="1"/>
  <c r="A363" i="8"/>
  <c r="I365" i="8"/>
  <c r="AG364" i="8"/>
  <c r="K364" i="8"/>
  <c r="G364" i="8"/>
  <c r="AD363" i="8" l="1"/>
  <c r="Z1364" i="8"/>
  <c r="Z1350" i="8"/>
  <c r="Z1353" i="8"/>
  <c r="Z1355" i="8"/>
  <c r="Z1349" i="8"/>
  <c r="Z1368" i="8"/>
  <c r="Z1357" i="8"/>
  <c r="Z1376" i="8"/>
  <c r="Z1365" i="8"/>
  <c r="Z1362" i="8"/>
  <c r="Z1373" i="8"/>
  <c r="Z1347" i="8"/>
  <c r="Z1351" i="8"/>
  <c r="Z1372" i="8"/>
  <c r="Z1366" i="8"/>
  <c r="Z1352" i="8"/>
  <c r="Z1369" i="8"/>
  <c r="Z1354" i="8"/>
  <c r="Z1358" i="8"/>
  <c r="X1329" i="8"/>
  <c r="Z1370" i="8"/>
  <c r="Z1348" i="8"/>
  <c r="Z1363" i="8"/>
  <c r="Z1367" i="8"/>
  <c r="Z1371" i="8"/>
  <c r="Z1359" i="8"/>
  <c r="Z1375" i="8"/>
  <c r="Z1361" i="8"/>
  <c r="Z1360" i="8"/>
  <c r="Z1346" i="8"/>
  <c r="Z1374" i="8"/>
  <c r="Z1377" i="8"/>
  <c r="Z1378" i="8"/>
  <c r="Z1356" i="8"/>
  <c r="Z847" i="8"/>
  <c r="Z838" i="8"/>
  <c r="Z851" i="8"/>
  <c r="Z352" i="8"/>
  <c r="Z867" i="8"/>
  <c r="Z840" i="8"/>
  <c r="Z355" i="8"/>
  <c r="Z846" i="8"/>
  <c r="Z864" i="8"/>
  <c r="Z350" i="8"/>
  <c r="Z334" i="8"/>
  <c r="Z327" i="8"/>
  <c r="Z339" i="8"/>
  <c r="X819" i="8"/>
  <c r="Z342" i="8"/>
  <c r="Z328" i="8"/>
  <c r="Z843" i="8"/>
  <c r="Z347" i="8"/>
  <c r="Z343" i="8"/>
  <c r="Z358" i="8"/>
  <c r="Z344" i="8"/>
  <c r="Z336" i="8"/>
  <c r="Z351" i="8"/>
  <c r="Z335" i="8"/>
  <c r="Z855" i="8"/>
  <c r="Z863" i="8"/>
  <c r="X309" i="8"/>
  <c r="Z839" i="8"/>
  <c r="Z848" i="8"/>
  <c r="Z862" i="8"/>
  <c r="Z856" i="8"/>
  <c r="Z859" i="8"/>
  <c r="Z331" i="8"/>
  <c r="Z854" i="8"/>
  <c r="Z326" i="8"/>
  <c r="AI363" i="8"/>
  <c r="Z329" i="8"/>
  <c r="Z866" i="8"/>
  <c r="Z332" i="8"/>
  <c r="E364" i="8"/>
  <c r="Z337" i="8"/>
  <c r="Z836" i="8"/>
  <c r="Z340" i="8"/>
  <c r="Z333" i="8"/>
  <c r="Z844" i="8"/>
  <c r="Z348" i="8"/>
  <c r="Z837" i="8"/>
  <c r="Z341" i="8"/>
  <c r="Z849" i="8"/>
  <c r="Z353" i="8"/>
  <c r="Z330" i="8"/>
  <c r="Z852" i="8"/>
  <c r="Z356" i="8"/>
  <c r="Z845" i="8"/>
  <c r="Z349" i="8"/>
  <c r="F364" i="8"/>
  <c r="Z345" i="8"/>
  <c r="Z857" i="8"/>
  <c r="Z357" i="8"/>
  <c r="Z865" i="8"/>
  <c r="Z842" i="8"/>
  <c r="Z346" i="8"/>
  <c r="Z868" i="8"/>
  <c r="Z861" i="8"/>
  <c r="Z858" i="8"/>
  <c r="Z841" i="8"/>
  <c r="Z338" i="8"/>
  <c r="Z860" i="8"/>
  <c r="Z853" i="8"/>
  <c r="Z850" i="8"/>
  <c r="Z354" i="8"/>
  <c r="Z365" i="8"/>
  <c r="M365" i="8"/>
  <c r="AH365" i="8"/>
  <c r="B364" i="8"/>
  <c r="L364" i="8"/>
  <c r="AF365" i="8"/>
  <c r="AA365" i="8" s="1"/>
  <c r="I366" i="8"/>
  <c r="AG365" i="8"/>
  <c r="K365" i="8"/>
  <c r="G365" i="8"/>
  <c r="A364" i="8"/>
  <c r="AD364" i="8" l="1"/>
  <c r="X1330" i="8"/>
  <c r="X820" i="8"/>
  <c r="X310" i="8"/>
  <c r="AI364" i="8"/>
  <c r="F365" i="8"/>
  <c r="E365" i="8"/>
  <c r="Z366" i="8"/>
  <c r="M366" i="8"/>
  <c r="AH366" i="8"/>
  <c r="B365" i="8"/>
  <c r="L365" i="8"/>
  <c r="AF366" i="8"/>
  <c r="AA366" i="8" s="1"/>
  <c r="I367" i="8"/>
  <c r="K366" i="8"/>
  <c r="AG366" i="8"/>
  <c r="G366" i="8"/>
  <c r="A365" i="8"/>
  <c r="AD365" i="8" l="1"/>
  <c r="X821" i="8"/>
  <c r="X1331" i="8"/>
  <c r="X311" i="8"/>
  <c r="AI365" i="8"/>
  <c r="F366" i="8"/>
  <c r="E366" i="8"/>
  <c r="Z367" i="8"/>
  <c r="M367" i="8"/>
  <c r="AH367" i="8"/>
  <c r="B366" i="8"/>
  <c r="L366" i="8"/>
  <c r="AF367" i="8"/>
  <c r="AA367" i="8" s="1"/>
  <c r="G367" i="8"/>
  <c r="I368" i="8"/>
  <c r="AG367" i="8"/>
  <c r="K367" i="8"/>
  <c r="A366" i="8"/>
  <c r="AD366" i="8" l="1"/>
  <c r="X822" i="8"/>
  <c r="X312" i="8"/>
  <c r="X1332" i="8"/>
  <c r="AI366" i="8"/>
  <c r="E367" i="8"/>
  <c r="F367" i="8"/>
  <c r="Z368" i="8"/>
  <c r="M368" i="8"/>
  <c r="AH368" i="8"/>
  <c r="B367" i="8"/>
  <c r="L367" i="8"/>
  <c r="AG368" i="8"/>
  <c r="AF368" i="8"/>
  <c r="AA368" i="8" s="1"/>
  <c r="I369" i="8"/>
  <c r="G368" i="8"/>
  <c r="K368" i="8"/>
  <c r="A367" i="8"/>
  <c r="AD367" i="8" l="1"/>
  <c r="X823" i="8"/>
  <c r="X313" i="8"/>
  <c r="X1333" i="8"/>
  <c r="AI367" i="8"/>
  <c r="F368" i="8"/>
  <c r="E368" i="8"/>
  <c r="Z369" i="8"/>
  <c r="M369" i="8"/>
  <c r="AH369" i="8"/>
  <c r="B368" i="8"/>
  <c r="L368" i="8"/>
  <c r="I370" i="8"/>
  <c r="AF369" i="8"/>
  <c r="AA369" i="8" s="1"/>
  <c r="G369" i="8"/>
  <c r="AG369" i="8"/>
  <c r="A368" i="8"/>
  <c r="K369" i="8"/>
  <c r="AD368" i="8" l="1"/>
  <c r="X824" i="8"/>
  <c r="X314" i="8"/>
  <c r="X1334" i="8"/>
  <c r="AI368" i="8"/>
  <c r="F369" i="8"/>
  <c r="E369" i="8"/>
  <c r="Z370" i="8"/>
  <c r="M370" i="8"/>
  <c r="AH370" i="8"/>
  <c r="L369" i="8"/>
  <c r="B369" i="8"/>
  <c r="AF370" i="8"/>
  <c r="AA370" i="8" s="1"/>
  <c r="G370" i="8"/>
  <c r="I371" i="8"/>
  <c r="K370" i="8"/>
  <c r="AG370" i="8"/>
  <c r="A369" i="8"/>
  <c r="AD369" i="8" l="1"/>
  <c r="X825" i="8"/>
  <c r="X315" i="8"/>
  <c r="X1335" i="8"/>
  <c r="AI369" i="8"/>
  <c r="F370" i="8"/>
  <c r="E370" i="8"/>
  <c r="Z371" i="8"/>
  <c r="M371" i="8"/>
  <c r="AH371" i="8"/>
  <c r="B370" i="8"/>
  <c r="L370" i="8"/>
  <c r="AG371" i="8"/>
  <c r="I372" i="8"/>
  <c r="AF371" i="8"/>
  <c r="AA371" i="8" s="1"/>
  <c r="G371" i="8"/>
  <c r="A370" i="8"/>
  <c r="K371" i="8"/>
  <c r="AD370" i="8" l="1"/>
  <c r="X826" i="8"/>
  <c r="X316" i="8"/>
  <c r="X1336" i="8"/>
  <c r="AI370" i="8"/>
  <c r="F371" i="8"/>
  <c r="E371" i="8"/>
  <c r="Z372" i="8"/>
  <c r="M372" i="8"/>
  <c r="AH372" i="8"/>
  <c r="B371" i="8"/>
  <c r="I373" i="8"/>
  <c r="L371" i="8"/>
  <c r="G372" i="8"/>
  <c r="AF372" i="8"/>
  <c r="AA372" i="8" s="1"/>
  <c r="AG372" i="8"/>
  <c r="K372" i="8"/>
  <c r="A371" i="8"/>
  <c r="AD371" i="8" l="1"/>
  <c r="X827" i="8"/>
  <c r="X317" i="8"/>
  <c r="X1337" i="8"/>
  <c r="AI371" i="8"/>
  <c r="F372" i="8"/>
  <c r="E372" i="8"/>
  <c r="Z373" i="8"/>
  <c r="M373" i="8"/>
  <c r="AH373" i="8"/>
  <c r="B372" i="8"/>
  <c r="G373" i="8"/>
  <c r="AF373" i="8"/>
  <c r="AA373" i="8" s="1"/>
  <c r="I374" i="8"/>
  <c r="K373" i="8"/>
  <c r="AG373" i="8"/>
  <c r="L372" i="8"/>
  <c r="A372" i="8"/>
  <c r="AD372" i="8" l="1"/>
  <c r="X828" i="8"/>
  <c r="X318" i="8"/>
  <c r="X1338" i="8"/>
  <c r="AI372" i="8"/>
  <c r="F373" i="8"/>
  <c r="E373" i="8"/>
  <c r="Z374" i="8"/>
  <c r="M374" i="8"/>
  <c r="AH374" i="8"/>
  <c r="B373" i="8"/>
  <c r="A373" i="8"/>
  <c r="L373" i="8"/>
  <c r="I375" i="8"/>
  <c r="AG374" i="8"/>
  <c r="G374" i="8"/>
  <c r="K374" i="8"/>
  <c r="AF374" i="8"/>
  <c r="AA374" i="8" s="1"/>
  <c r="AD373" i="8" l="1"/>
  <c r="X319" i="8"/>
  <c r="X829" i="8"/>
  <c r="X1339" i="8"/>
  <c r="AI373" i="8"/>
  <c r="F374" i="8"/>
  <c r="E374" i="8"/>
  <c r="Z375" i="8"/>
  <c r="M375" i="8"/>
  <c r="AH375" i="8"/>
  <c r="B374" i="8"/>
  <c r="I376" i="8"/>
  <c r="AG375" i="8"/>
  <c r="L374" i="8"/>
  <c r="AF375" i="8"/>
  <c r="AA375" i="8" s="1"/>
  <c r="K375" i="8"/>
  <c r="G375" i="8"/>
  <c r="A374" i="8"/>
  <c r="AD374" i="8" l="1"/>
  <c r="X320" i="8"/>
  <c r="X830" i="8"/>
  <c r="X1340" i="8"/>
  <c r="AI374" i="8"/>
  <c r="E375" i="8"/>
  <c r="F375" i="8"/>
  <c r="Z376" i="8"/>
  <c r="M376" i="8"/>
  <c r="AH376" i="8"/>
  <c r="B375" i="8"/>
  <c r="K376" i="8"/>
  <c r="AF376" i="8"/>
  <c r="AA376" i="8" s="1"/>
  <c r="G376" i="8"/>
  <c r="AG376" i="8"/>
  <c r="I377" i="8"/>
  <c r="L375" i="8"/>
  <c r="A375" i="8"/>
  <c r="AD375" i="8" l="1"/>
  <c r="X321" i="8"/>
  <c r="X831" i="8"/>
  <c r="X1341" i="8"/>
  <c r="AI375" i="8"/>
  <c r="E376" i="8"/>
  <c r="F376" i="8"/>
  <c r="M377" i="8"/>
  <c r="AH377" i="8"/>
  <c r="B376" i="8"/>
  <c r="L376" i="8"/>
  <c r="AF377" i="8"/>
  <c r="AA377" i="8" s="1"/>
  <c r="A376" i="8"/>
  <c r="K377" i="8"/>
  <c r="I378" i="8"/>
  <c r="AG377" i="8"/>
  <c r="G377" i="8"/>
  <c r="AD376" i="8" l="1"/>
  <c r="X322" i="8"/>
  <c r="X832" i="8"/>
  <c r="X1342" i="8"/>
  <c r="E377" i="8"/>
  <c r="AI376" i="8"/>
  <c r="F377" i="8"/>
  <c r="M378" i="8"/>
  <c r="AH378" i="8"/>
  <c r="B377" i="8"/>
  <c r="L377" i="8"/>
  <c r="AF378" i="8"/>
  <c r="AA378" i="8" s="1"/>
  <c r="A377" i="8"/>
  <c r="AG378" i="8"/>
  <c r="K378" i="8"/>
  <c r="G378" i="8"/>
  <c r="I379" i="8"/>
  <c r="AD377" i="8" l="1"/>
  <c r="X323" i="8"/>
  <c r="X833" i="8"/>
  <c r="X1343" i="8"/>
  <c r="AI377" i="8"/>
  <c r="E378" i="8"/>
  <c r="F378" i="8"/>
  <c r="M379" i="8"/>
  <c r="AH379" i="8"/>
  <c r="B378" i="8"/>
  <c r="L378" i="8"/>
  <c r="AG379" i="8"/>
  <c r="A378" i="8"/>
  <c r="I380" i="8"/>
  <c r="K379" i="8"/>
  <c r="G379" i="8"/>
  <c r="AF379" i="8"/>
  <c r="AA379" i="8" s="1"/>
  <c r="AD378" i="8" l="1"/>
  <c r="X324" i="8"/>
  <c r="X834" i="8"/>
  <c r="X1344" i="8"/>
  <c r="AI378" i="8"/>
  <c r="E379" i="8"/>
  <c r="F379" i="8"/>
  <c r="M380" i="8"/>
  <c r="AH380" i="8"/>
  <c r="B379" i="8"/>
  <c r="L379" i="8"/>
  <c r="I381" i="8"/>
  <c r="AG380" i="8"/>
  <c r="G380" i="8"/>
  <c r="K380" i="8"/>
  <c r="AF380" i="8"/>
  <c r="AA380" i="8" s="1"/>
  <c r="A379" i="8"/>
  <c r="AD379" i="8" l="1"/>
  <c r="X325" i="8"/>
  <c r="X835" i="8"/>
  <c r="X1345" i="8"/>
  <c r="AI379" i="8"/>
  <c r="F380" i="8"/>
  <c r="E380" i="8"/>
  <c r="M381" i="8"/>
  <c r="AH381" i="8"/>
  <c r="G381" i="8"/>
  <c r="AG381" i="8"/>
  <c r="AF381" i="8"/>
  <c r="AA381" i="8" s="1"/>
  <c r="B380" i="8"/>
  <c r="I382" i="8"/>
  <c r="K381" i="8"/>
  <c r="L380" i="8"/>
  <c r="A380" i="8"/>
  <c r="AD380" i="8" l="1"/>
  <c r="X326" i="8"/>
  <c r="X836" i="8"/>
  <c r="X1346" i="8"/>
  <c r="A381" i="8"/>
  <c r="AI380" i="8"/>
  <c r="F381" i="8"/>
  <c r="E381" i="8"/>
  <c r="M382" i="8"/>
  <c r="AH382" i="8"/>
  <c r="L381" i="8"/>
  <c r="AG382" i="8"/>
  <c r="I383" i="8"/>
  <c r="G382" i="8"/>
  <c r="AF382" i="8"/>
  <c r="AA382" i="8" s="1"/>
  <c r="K382" i="8"/>
  <c r="B381" i="8"/>
  <c r="X327" i="8" l="1"/>
  <c r="AD381" i="8"/>
  <c r="X837" i="8"/>
  <c r="X1347" i="8"/>
  <c r="F382" i="8"/>
  <c r="AI381" i="8"/>
  <c r="E382" i="8"/>
  <c r="M383" i="8"/>
  <c r="AH383" i="8"/>
  <c r="L382" i="8"/>
  <c r="I384" i="8"/>
  <c r="K383" i="8"/>
  <c r="AG383" i="8"/>
  <c r="G383" i="8"/>
  <c r="A382" i="8"/>
  <c r="AF383" i="8"/>
  <c r="AA383" i="8" s="1"/>
  <c r="B382" i="8"/>
  <c r="X328" i="8" l="1"/>
  <c r="AD382" i="8"/>
  <c r="X838" i="8"/>
  <c r="X1348" i="8"/>
  <c r="AI382" i="8"/>
  <c r="B383" i="8"/>
  <c r="F383" i="8"/>
  <c r="E383" i="8"/>
  <c r="M384" i="8"/>
  <c r="AH384" i="8"/>
  <c r="L383" i="8"/>
  <c r="G384" i="8"/>
  <c r="I385" i="8"/>
  <c r="K384" i="8"/>
  <c r="AG384" i="8"/>
  <c r="A383" i="8"/>
  <c r="AF384" i="8"/>
  <c r="AA384" i="8" s="1"/>
  <c r="X329" i="8" l="1"/>
  <c r="AD383" i="8"/>
  <c r="X839" i="8"/>
  <c r="X1349" i="8"/>
  <c r="B384" i="8"/>
  <c r="AI383" i="8"/>
  <c r="F384" i="8"/>
  <c r="E384" i="8"/>
  <c r="M385" i="8"/>
  <c r="AH385" i="8"/>
  <c r="I386" i="8"/>
  <c r="L384" i="8"/>
  <c r="K385" i="8"/>
  <c r="A384" i="8"/>
  <c r="AF385" i="8"/>
  <c r="AA385" i="8" s="1"/>
  <c r="G385" i="8"/>
  <c r="AG385" i="8"/>
  <c r="X330" i="8" l="1"/>
  <c r="AD384" i="8"/>
  <c r="X840" i="8"/>
  <c r="X1350" i="8"/>
  <c r="B385" i="8"/>
  <c r="F385" i="8"/>
  <c r="AI384" i="8"/>
  <c r="E385" i="8"/>
  <c r="M386" i="8"/>
  <c r="AH386" i="8"/>
  <c r="I387" i="8"/>
  <c r="K386" i="8"/>
  <c r="AG386" i="8"/>
  <c r="G386" i="8"/>
  <c r="AF386" i="8"/>
  <c r="AA386" i="8" s="1"/>
  <c r="L385" i="8"/>
  <c r="A385" i="8"/>
  <c r="X331" i="8" l="1"/>
  <c r="AD385" i="8"/>
  <c r="X841" i="8"/>
  <c r="X1351" i="8"/>
  <c r="AI385" i="8"/>
  <c r="A386" i="8"/>
  <c r="F386" i="8"/>
  <c r="E386" i="8"/>
  <c r="M387" i="8"/>
  <c r="AH387" i="8"/>
  <c r="L386" i="8"/>
  <c r="B386" i="8"/>
  <c r="AG387" i="8"/>
  <c r="K387" i="8"/>
  <c r="G387" i="8"/>
  <c r="AF387" i="8"/>
  <c r="AA387" i="8" s="1"/>
  <c r="I388" i="8"/>
  <c r="X332" i="8" l="1"/>
  <c r="AD386" i="8"/>
  <c r="X842" i="8"/>
  <c r="X1352" i="8"/>
  <c r="B387" i="8"/>
  <c r="AI386" i="8"/>
  <c r="F387" i="8"/>
  <c r="E387" i="8"/>
  <c r="M388" i="8"/>
  <c r="AH388" i="8"/>
  <c r="L387" i="8"/>
  <c r="A387" i="8"/>
  <c r="I389" i="8"/>
  <c r="G388" i="8"/>
  <c r="K388" i="8"/>
  <c r="AG388" i="8"/>
  <c r="AF388" i="8"/>
  <c r="AA388" i="8" s="1"/>
  <c r="X333" i="8" l="1"/>
  <c r="AD387" i="8"/>
  <c r="X843" i="8"/>
  <c r="X1353" i="8"/>
  <c r="F388" i="8"/>
  <c r="AI387" i="8"/>
  <c r="B388" i="8"/>
  <c r="E388" i="8"/>
  <c r="M389" i="8"/>
  <c r="AH389" i="8"/>
  <c r="L388" i="8"/>
  <c r="I390" i="8"/>
  <c r="AG389" i="8"/>
  <c r="AF389" i="8"/>
  <c r="AA389" i="8" s="1"/>
  <c r="A388" i="8"/>
  <c r="G389" i="8"/>
  <c r="K389" i="8"/>
  <c r="X334" i="8" l="1"/>
  <c r="AD388" i="8"/>
  <c r="X844" i="8"/>
  <c r="X1354" i="8"/>
  <c r="B389" i="8"/>
  <c r="AI388" i="8"/>
  <c r="F389" i="8"/>
  <c r="E389" i="8"/>
  <c r="M390" i="8"/>
  <c r="AH390" i="8"/>
  <c r="L389" i="8"/>
  <c r="AF390" i="8"/>
  <c r="AA390" i="8" s="1"/>
  <c r="I391" i="8"/>
  <c r="AG390" i="8"/>
  <c r="G390" i="8"/>
  <c r="K390" i="8"/>
  <c r="A389" i="8"/>
  <c r="X335" i="8" l="1"/>
  <c r="AD389" i="8"/>
  <c r="X845" i="8"/>
  <c r="X1355" i="8"/>
  <c r="F390" i="8"/>
  <c r="B390" i="8"/>
  <c r="AI389" i="8"/>
  <c r="E390" i="8"/>
  <c r="M391" i="8"/>
  <c r="AH391" i="8"/>
  <c r="L390" i="8"/>
  <c r="G391" i="8"/>
  <c r="AF391" i="8"/>
  <c r="AA391" i="8" s="1"/>
  <c r="A390" i="8"/>
  <c r="K391" i="8"/>
  <c r="AG391" i="8"/>
  <c r="I392" i="8"/>
  <c r="X336" i="8" l="1"/>
  <c r="AD390" i="8"/>
  <c r="X846" i="8"/>
  <c r="X1356" i="8"/>
  <c r="F391" i="8"/>
  <c r="AI390" i="8"/>
  <c r="A391" i="8"/>
  <c r="E391" i="8"/>
  <c r="M392" i="8"/>
  <c r="AH392" i="8"/>
  <c r="L391" i="8"/>
  <c r="B391" i="8"/>
  <c r="I393" i="8"/>
  <c r="G392" i="8"/>
  <c r="AF392" i="8"/>
  <c r="AA392" i="8" s="1"/>
  <c r="AG392" i="8"/>
  <c r="K392" i="8"/>
  <c r="X337" i="8" l="1"/>
  <c r="AD391" i="8"/>
  <c r="X847" i="8"/>
  <c r="X1357" i="8"/>
  <c r="F392" i="8"/>
  <c r="A392" i="8"/>
  <c r="AI391" i="8"/>
  <c r="E392" i="8"/>
  <c r="M393" i="8"/>
  <c r="AH393" i="8"/>
  <c r="L392" i="8"/>
  <c r="G393" i="8"/>
  <c r="I394" i="8"/>
  <c r="B392" i="8"/>
  <c r="AG393" i="8"/>
  <c r="K393" i="8"/>
  <c r="AF393" i="8"/>
  <c r="AA393" i="8" s="1"/>
  <c r="X338" i="8" l="1"/>
  <c r="X848" i="8"/>
  <c r="AD392" i="8"/>
  <c r="X1358" i="8"/>
  <c r="F393" i="8"/>
  <c r="B393" i="8"/>
  <c r="AI392" i="8"/>
  <c r="E393" i="8"/>
  <c r="M394" i="8"/>
  <c r="AH394" i="8"/>
  <c r="L393" i="8"/>
  <c r="A393" i="8"/>
  <c r="G394" i="8"/>
  <c r="AF394" i="8"/>
  <c r="AA394" i="8" s="1"/>
  <c r="I395" i="8"/>
  <c r="AG394" i="8"/>
  <c r="K394" i="8"/>
  <c r="X339" i="8" l="1"/>
  <c r="X849" i="8"/>
  <c r="AD393" i="8"/>
  <c r="X1359" i="8"/>
  <c r="F394" i="8"/>
  <c r="AI393" i="8"/>
  <c r="A394" i="8"/>
  <c r="E394" i="8"/>
  <c r="M395" i="8"/>
  <c r="AH395" i="8"/>
  <c r="L394" i="8"/>
  <c r="B394" i="8"/>
  <c r="AG395" i="8"/>
  <c r="AF395" i="8"/>
  <c r="AA395" i="8" s="1"/>
  <c r="K395" i="8"/>
  <c r="G395" i="8"/>
  <c r="I396" i="8"/>
  <c r="X340" i="8" l="1"/>
  <c r="X850" i="8"/>
  <c r="AD394" i="8"/>
  <c r="X1360" i="8"/>
  <c r="A395" i="8"/>
  <c r="F395" i="8"/>
  <c r="AI394" i="8"/>
  <c r="E395" i="8"/>
  <c r="M396" i="8"/>
  <c r="AH396" i="8"/>
  <c r="L395" i="8"/>
  <c r="B395" i="8"/>
  <c r="I397" i="8"/>
  <c r="AG396" i="8"/>
  <c r="AF396" i="8"/>
  <c r="AA396" i="8" s="1"/>
  <c r="K396" i="8"/>
  <c r="G396" i="8"/>
  <c r="X341" i="8" l="1"/>
  <c r="X851" i="8"/>
  <c r="AD395" i="8"/>
  <c r="X1361" i="8"/>
  <c r="AI395" i="8"/>
  <c r="F396" i="8"/>
  <c r="B396" i="8"/>
  <c r="E396" i="8"/>
  <c r="M397" i="8"/>
  <c r="AH397" i="8"/>
  <c r="L396" i="8"/>
  <c r="AG397" i="8"/>
  <c r="A396" i="8"/>
  <c r="I398" i="8"/>
  <c r="K397" i="8"/>
  <c r="G397" i="8"/>
  <c r="AF397" i="8"/>
  <c r="AA397" i="8" s="1"/>
  <c r="X342" i="8" l="1"/>
  <c r="X852" i="8"/>
  <c r="AD396" i="8"/>
  <c r="X1362" i="8"/>
  <c r="B397" i="8"/>
  <c r="F397" i="8"/>
  <c r="AI396" i="8"/>
  <c r="E397" i="8"/>
  <c r="M398" i="8"/>
  <c r="AH398" i="8"/>
  <c r="G398" i="8"/>
  <c r="I399" i="8"/>
  <c r="L397" i="8"/>
  <c r="K398" i="8"/>
  <c r="A397" i="8"/>
  <c r="AF398" i="8"/>
  <c r="AA398" i="8" s="1"/>
  <c r="AG398" i="8"/>
  <c r="X343" i="8" l="1"/>
  <c r="X344" i="8" s="1"/>
  <c r="X853" i="8"/>
  <c r="AD397" i="8"/>
  <c r="X1363" i="8"/>
  <c r="AI397" i="8"/>
  <c r="F398" i="8"/>
  <c r="A398" i="8"/>
  <c r="E398" i="8"/>
  <c r="M399" i="8"/>
  <c r="AH399" i="8"/>
  <c r="L398" i="8"/>
  <c r="B398" i="8"/>
  <c r="G399" i="8"/>
  <c r="AG399" i="8"/>
  <c r="K399" i="8"/>
  <c r="AF399" i="8"/>
  <c r="AA399" i="8" s="1"/>
  <c r="I400" i="8"/>
  <c r="X854" i="8" l="1"/>
  <c r="AD398" i="8"/>
  <c r="X1364" i="8"/>
  <c r="X345" i="8"/>
  <c r="F399" i="8"/>
  <c r="A399" i="8"/>
  <c r="AI398" i="8"/>
  <c r="E399" i="8"/>
  <c r="M400" i="8"/>
  <c r="AH400" i="8"/>
  <c r="L399" i="8"/>
  <c r="B399" i="8"/>
  <c r="AG400" i="8"/>
  <c r="G400" i="8"/>
  <c r="K400" i="8"/>
  <c r="I401" i="8"/>
  <c r="AF400" i="8"/>
  <c r="AA400" i="8" s="1"/>
  <c r="X855" i="8" l="1"/>
  <c r="AD399" i="8"/>
  <c r="X1365" i="8"/>
  <c r="F400" i="8"/>
  <c r="B400" i="8"/>
  <c r="AI399" i="8"/>
  <c r="X346" i="8"/>
  <c r="E400" i="8"/>
  <c r="M401" i="8"/>
  <c r="AH401" i="8"/>
  <c r="L400" i="8"/>
  <c r="A400" i="8"/>
  <c r="G401" i="8"/>
  <c r="AF401" i="8"/>
  <c r="AA401" i="8" s="1"/>
  <c r="K401" i="8"/>
  <c r="AG401" i="8"/>
  <c r="I402" i="8"/>
  <c r="X856" i="8" l="1"/>
  <c r="AD400" i="8"/>
  <c r="X1366" i="8"/>
  <c r="F401" i="8"/>
  <c r="AI400" i="8"/>
  <c r="B401" i="8"/>
  <c r="X347" i="8"/>
  <c r="E401" i="8"/>
  <c r="M402" i="8"/>
  <c r="AH402" i="8"/>
  <c r="L401" i="8"/>
  <c r="A401" i="8"/>
  <c r="AF402" i="8"/>
  <c r="AA402" i="8" s="1"/>
  <c r="I403" i="8"/>
  <c r="AG402" i="8"/>
  <c r="G402" i="8"/>
  <c r="K402" i="8"/>
  <c r="X857" i="8" l="1"/>
  <c r="AD401" i="8"/>
  <c r="X1367" i="8"/>
  <c r="A402" i="8"/>
  <c r="F402" i="8"/>
  <c r="X348" i="8"/>
  <c r="AI401" i="8"/>
  <c r="E402" i="8"/>
  <c r="M403" i="8"/>
  <c r="AH403" i="8"/>
  <c r="L402" i="8"/>
  <c r="AG403" i="8"/>
  <c r="I404" i="8"/>
  <c r="AF403" i="8"/>
  <c r="AA403" i="8" s="1"/>
  <c r="G403" i="8"/>
  <c r="K403" i="8"/>
  <c r="B402" i="8"/>
  <c r="X858" i="8" l="1"/>
  <c r="AD402" i="8"/>
  <c r="X1368" i="8"/>
  <c r="F403" i="8"/>
  <c r="AI402" i="8"/>
  <c r="X349" i="8"/>
  <c r="A403" i="8"/>
  <c r="E403" i="8"/>
  <c r="M404" i="8"/>
  <c r="AH404" i="8"/>
  <c r="L403" i="8"/>
  <c r="I405" i="8"/>
  <c r="AG404" i="8"/>
  <c r="K404" i="8"/>
  <c r="AF404" i="8"/>
  <c r="AA404" i="8" s="1"/>
  <c r="B403" i="8"/>
  <c r="G404" i="8"/>
  <c r="X859" i="8" l="1"/>
  <c r="AD403" i="8"/>
  <c r="X1369" i="8"/>
  <c r="F404" i="8"/>
  <c r="AI403" i="8"/>
  <c r="X350" i="8"/>
  <c r="A404" i="8"/>
  <c r="E404" i="8"/>
  <c r="M405" i="8"/>
  <c r="AH405" i="8"/>
  <c r="L404" i="8"/>
  <c r="AF405" i="8"/>
  <c r="AA405" i="8" s="1"/>
  <c r="G405" i="8"/>
  <c r="K405" i="8"/>
  <c r="AG405" i="8"/>
  <c r="I406" i="8"/>
  <c r="B404" i="8"/>
  <c r="X860" i="8" l="1"/>
  <c r="AD404" i="8"/>
  <c r="X1370" i="8"/>
  <c r="X351" i="8"/>
  <c r="AI404" i="8"/>
  <c r="F405" i="8"/>
  <c r="B405" i="8"/>
  <c r="E405" i="8"/>
  <c r="M406" i="8"/>
  <c r="AH406" i="8"/>
  <c r="L405" i="8"/>
  <c r="A405" i="8"/>
  <c r="K406" i="8"/>
  <c r="AF406" i="8"/>
  <c r="AA406" i="8" s="1"/>
  <c r="I407" i="8"/>
  <c r="G406" i="8"/>
  <c r="AG406" i="8"/>
  <c r="X861" i="8" l="1"/>
  <c r="AD405" i="8"/>
  <c r="X1371" i="8"/>
  <c r="AI405" i="8"/>
  <c r="F406" i="8"/>
  <c r="B406" i="8"/>
  <c r="X352" i="8"/>
  <c r="E406" i="8"/>
  <c r="M407" i="8"/>
  <c r="AH407" i="8"/>
  <c r="L406" i="8"/>
  <c r="A406" i="8"/>
  <c r="AF407" i="8"/>
  <c r="AA407" i="8" s="1"/>
  <c r="AG407" i="8"/>
  <c r="K407" i="8"/>
  <c r="I408" i="8"/>
  <c r="G407" i="8"/>
  <c r="I410" i="8"/>
  <c r="X862" i="8" l="1"/>
  <c r="X863" i="8" s="1"/>
  <c r="AD406" i="8"/>
  <c r="X1372" i="8"/>
  <c r="F407" i="8"/>
  <c r="AI406" i="8"/>
  <c r="B407" i="8"/>
  <c r="X353" i="8"/>
  <c r="E407" i="8"/>
  <c r="W410" i="8"/>
  <c r="Z410" i="8"/>
  <c r="X410" i="8"/>
  <c r="M410" i="8"/>
  <c r="M408" i="8"/>
  <c r="AH408" i="8"/>
  <c r="AH410" i="8"/>
  <c r="L407" i="8"/>
  <c r="AF408" i="8"/>
  <c r="AA408" i="8" s="1"/>
  <c r="G408" i="8"/>
  <c r="AG408" i="8"/>
  <c r="I409" i="8"/>
  <c r="K408" i="8"/>
  <c r="A407" i="8"/>
  <c r="AG410" i="8"/>
  <c r="G410" i="8"/>
  <c r="K410" i="8"/>
  <c r="I411" i="8"/>
  <c r="AF410" i="8"/>
  <c r="AA410" i="8" s="1"/>
  <c r="AD407" i="8" l="1"/>
  <c r="X1373" i="8"/>
  <c r="F410" i="8"/>
  <c r="AI407" i="8"/>
  <c r="B408" i="8"/>
  <c r="X354" i="8"/>
  <c r="F408" i="8"/>
  <c r="X864" i="8"/>
  <c r="E408" i="8"/>
  <c r="Z411" i="8"/>
  <c r="M411" i="8"/>
  <c r="M409" i="8"/>
  <c r="AH409" i="8"/>
  <c r="AH411" i="8"/>
  <c r="A408" i="8"/>
  <c r="L408" i="8"/>
  <c r="G409" i="8"/>
  <c r="AG409" i="8"/>
  <c r="AF409" i="8"/>
  <c r="AA409" i="8" s="1"/>
  <c r="K409" i="8"/>
  <c r="B410" i="8"/>
  <c r="A410" i="8"/>
  <c r="AG411" i="8"/>
  <c r="G411" i="8"/>
  <c r="K411" i="8"/>
  <c r="AF411" i="8"/>
  <c r="AA411" i="8" s="1"/>
  <c r="I412" i="8"/>
  <c r="L410" i="8"/>
  <c r="AD410" i="8" l="1"/>
  <c r="AD408" i="8"/>
  <c r="X1374" i="8"/>
  <c r="F411" i="8"/>
  <c r="B409" i="8"/>
  <c r="X355" i="8"/>
  <c r="E411" i="8"/>
  <c r="AI408" i="8"/>
  <c r="X865" i="8"/>
  <c r="F409" i="8"/>
  <c r="E409" i="8"/>
  <c r="Z412" i="8"/>
  <c r="M412" i="8"/>
  <c r="AH412" i="8"/>
  <c r="L409" i="8"/>
  <c r="A409" i="8"/>
  <c r="B411" i="8"/>
  <c r="A411" i="8"/>
  <c r="AG412" i="8"/>
  <c r="AF412" i="8"/>
  <c r="AA412" i="8" s="1"/>
  <c r="G412" i="8"/>
  <c r="I413" i="8"/>
  <c r="K412" i="8"/>
  <c r="L411" i="8"/>
  <c r="AD411" i="8" l="1"/>
  <c r="AD409" i="8"/>
  <c r="X1375" i="8"/>
  <c r="X356" i="8"/>
  <c r="X866" i="8"/>
  <c r="E412" i="8"/>
  <c r="E410" i="8"/>
  <c r="AI411" i="8"/>
  <c r="F412" i="8"/>
  <c r="AI409" i="8"/>
  <c r="Z413" i="8"/>
  <c r="M413" i="8"/>
  <c r="AH413" i="8"/>
  <c r="B412" i="8"/>
  <c r="A412" i="8"/>
  <c r="L412" i="8"/>
  <c r="AG413" i="8"/>
  <c r="G413" i="8"/>
  <c r="I414" i="8"/>
  <c r="AF413" i="8"/>
  <c r="AA413" i="8" s="1"/>
  <c r="K413" i="8"/>
  <c r="AD412" i="8" l="1"/>
  <c r="W1401" i="8"/>
  <c r="X1376" i="8"/>
  <c r="W905" i="8"/>
  <c r="W873" i="8"/>
  <c r="W1421" i="8"/>
  <c r="W366" i="8"/>
  <c r="W1398" i="8"/>
  <c r="W397" i="8"/>
  <c r="W393" i="8"/>
  <c r="W377" i="8"/>
  <c r="W1417" i="8"/>
  <c r="W902" i="8"/>
  <c r="W1389" i="8"/>
  <c r="W894" i="8"/>
  <c r="W398" i="8"/>
  <c r="W893" i="8"/>
  <c r="W374" i="8"/>
  <c r="W889" i="8"/>
  <c r="W1390" i="8"/>
  <c r="W409" i="8"/>
  <c r="W365" i="8"/>
  <c r="W870" i="8"/>
  <c r="W1385" i="8"/>
  <c r="W406" i="8"/>
  <c r="W361" i="8"/>
  <c r="W1422" i="8"/>
  <c r="W390" i="8"/>
  <c r="W918" i="8"/>
  <c r="W886" i="8"/>
  <c r="W1414" i="8"/>
  <c r="W1382" i="8"/>
  <c r="W382" i="8"/>
  <c r="W910" i="8"/>
  <c r="W878" i="8"/>
  <c r="W1406" i="8"/>
  <c r="W381" i="8"/>
  <c r="W909" i="8"/>
  <c r="W877" i="8"/>
  <c r="W1405" i="8"/>
  <c r="W408" i="8"/>
  <c r="W392" i="8"/>
  <c r="W376" i="8"/>
  <c r="W360" i="8"/>
  <c r="W904" i="8"/>
  <c r="W888" i="8"/>
  <c r="W872" i="8"/>
  <c r="W1416" i="8"/>
  <c r="W1400" i="8"/>
  <c r="W1384" i="8"/>
  <c r="W389" i="8"/>
  <c r="W373" i="8"/>
  <c r="W917" i="8"/>
  <c r="W901" i="8"/>
  <c r="W885" i="8"/>
  <c r="W1429" i="8"/>
  <c r="W1413" i="8"/>
  <c r="W1397" i="8"/>
  <c r="W1381" i="8"/>
  <c r="W401" i="8"/>
  <c r="W385" i="8"/>
  <c r="W369" i="8"/>
  <c r="W913" i="8"/>
  <c r="W897" i="8"/>
  <c r="W881" i="8"/>
  <c r="W1425" i="8"/>
  <c r="W1409" i="8"/>
  <c r="W1393" i="8"/>
  <c r="W405" i="8"/>
  <c r="W400" i="8"/>
  <c r="W384" i="8"/>
  <c r="W368" i="8"/>
  <c r="W912" i="8"/>
  <c r="W896" i="8"/>
  <c r="W880" i="8"/>
  <c r="W1424" i="8"/>
  <c r="W1408" i="8"/>
  <c r="W1392" i="8"/>
  <c r="AI410" i="8"/>
  <c r="W407" i="8"/>
  <c r="W399" i="8"/>
  <c r="W391" i="8"/>
  <c r="W383" i="8"/>
  <c r="W375" i="8"/>
  <c r="W367" i="8"/>
  <c r="W919" i="8"/>
  <c r="W911" i="8"/>
  <c r="W903" i="8"/>
  <c r="W895" i="8"/>
  <c r="W887" i="8"/>
  <c r="W879" i="8"/>
  <c r="W871" i="8"/>
  <c r="W1423" i="8"/>
  <c r="W1415" i="8"/>
  <c r="W1407" i="8"/>
  <c r="W1399" i="8"/>
  <c r="W1391" i="8"/>
  <c r="W1383" i="8"/>
  <c r="F413" i="8"/>
  <c r="AI412" i="8"/>
  <c r="W404" i="8"/>
  <c r="W396" i="8"/>
  <c r="W388" i="8"/>
  <c r="W380" i="8"/>
  <c r="W372" i="8"/>
  <c r="W364" i="8"/>
  <c r="W916" i="8"/>
  <c r="W908" i="8"/>
  <c r="W900" i="8"/>
  <c r="W892" i="8"/>
  <c r="W884" i="8"/>
  <c r="W876" i="8"/>
  <c r="W1428" i="8"/>
  <c r="W1420" i="8"/>
  <c r="W1412" i="8"/>
  <c r="W1404" i="8"/>
  <c r="W1396" i="8"/>
  <c r="W1388" i="8"/>
  <c r="W1380" i="8"/>
  <c r="X867" i="8"/>
  <c r="W403" i="8"/>
  <c r="W395" i="8"/>
  <c r="W387" i="8"/>
  <c r="W379" i="8"/>
  <c r="W371" i="8"/>
  <c r="W363" i="8"/>
  <c r="W915" i="8"/>
  <c r="W907" i="8"/>
  <c r="W899" i="8"/>
  <c r="W891" i="8"/>
  <c r="W883" i="8"/>
  <c r="W875" i="8"/>
  <c r="W1427" i="8"/>
  <c r="W1419" i="8"/>
  <c r="W1411" i="8"/>
  <c r="W1403" i="8"/>
  <c r="W1395" i="8"/>
  <c r="W1387" i="8"/>
  <c r="E413" i="8"/>
  <c r="W402" i="8"/>
  <c r="W394" i="8"/>
  <c r="W386" i="8"/>
  <c r="W378" i="8"/>
  <c r="W370" i="8"/>
  <c r="W362" i="8"/>
  <c r="W914" i="8"/>
  <c r="W906" i="8"/>
  <c r="W898" i="8"/>
  <c r="W890" i="8"/>
  <c r="W882" i="8"/>
  <c r="W874" i="8"/>
  <c r="W1426" i="8"/>
  <c r="W1418" i="8"/>
  <c r="W1410" i="8"/>
  <c r="W1402" i="8"/>
  <c r="W1394" i="8"/>
  <c r="W1386" i="8"/>
  <c r="X357" i="8"/>
  <c r="Z414" i="8"/>
  <c r="M414" i="8"/>
  <c r="AH414" i="8"/>
  <c r="B413" i="8"/>
  <c r="A413" i="8"/>
  <c r="L413" i="8"/>
  <c r="AG414" i="8"/>
  <c r="K414" i="8"/>
  <c r="G414" i="8"/>
  <c r="AF414" i="8"/>
  <c r="AA414" i="8" s="1"/>
  <c r="I415" i="8"/>
  <c r="Z905" i="8" l="1"/>
  <c r="AD413" i="8"/>
  <c r="Z1401" i="8"/>
  <c r="X1377" i="8"/>
  <c r="Z1421" i="8"/>
  <c r="Z1402" i="8"/>
  <c r="Z1406" i="8"/>
  <c r="Z1417" i="8"/>
  <c r="Z1410" i="8"/>
  <c r="Z1422" i="8"/>
  <c r="Z1411" i="8"/>
  <c r="X1380" i="8"/>
  <c r="Z1399" i="8"/>
  <c r="Z1429" i="8"/>
  <c r="Z1416" i="8"/>
  <c r="Z1405" i="8"/>
  <c r="Z1398" i="8"/>
  <c r="Z1419" i="8"/>
  <c r="Z1407" i="8"/>
  <c r="Z1414" i="8"/>
  <c r="Z1427" i="8"/>
  <c r="Z1404" i="8"/>
  <c r="Z1423" i="8"/>
  <c r="Z1408" i="8"/>
  <c r="Z1412" i="8"/>
  <c r="Z1424" i="8"/>
  <c r="Z1420" i="8"/>
  <c r="Z1409" i="8"/>
  <c r="Z1428" i="8"/>
  <c r="Z1425" i="8"/>
  <c r="Z1415" i="8"/>
  <c r="Z1418" i="8"/>
  <c r="Z1397" i="8"/>
  <c r="Z1426" i="8"/>
  <c r="Z1403" i="8"/>
  <c r="Z1413" i="8"/>
  <c r="Z1400" i="8"/>
  <c r="Z392" i="8"/>
  <c r="Z393" i="8"/>
  <c r="Z405" i="8"/>
  <c r="Z385" i="8"/>
  <c r="Z409" i="8"/>
  <c r="Z902" i="8"/>
  <c r="Z390" i="8"/>
  <c r="Z896" i="8"/>
  <c r="Z408" i="8"/>
  <c r="Z382" i="8"/>
  <c r="Z406" i="8"/>
  <c r="Z893" i="8"/>
  <c r="Z397" i="8"/>
  <c r="Z910" i="8"/>
  <c r="Z897" i="8"/>
  <c r="Z398" i="8"/>
  <c r="Z889" i="8"/>
  <c r="Z384" i="8"/>
  <c r="Z913" i="8"/>
  <c r="X870" i="8"/>
  <c r="Z894" i="8"/>
  <c r="Z400" i="8"/>
  <c r="Z901" i="8"/>
  <c r="Z888" i="8"/>
  <c r="Z909" i="8"/>
  <c r="Z377" i="8"/>
  <c r="Z918" i="8"/>
  <c r="Z381" i="8"/>
  <c r="Z401" i="8"/>
  <c r="Z912" i="8"/>
  <c r="Z389" i="8"/>
  <c r="Z917" i="8"/>
  <c r="Z904" i="8"/>
  <c r="X360" i="8"/>
  <c r="AI413" i="8"/>
  <c r="Z898" i="8"/>
  <c r="Z892" i="8"/>
  <c r="Z906" i="8"/>
  <c r="Z900" i="8"/>
  <c r="Z404" i="8"/>
  <c r="Z914" i="8"/>
  <c r="Z908" i="8"/>
  <c r="Z383" i="8"/>
  <c r="F414" i="8"/>
  <c r="Z399" i="8"/>
  <c r="Z378" i="8"/>
  <c r="Z891" i="8"/>
  <c r="Z395" i="8"/>
  <c r="Z903" i="8"/>
  <c r="Z407" i="8"/>
  <c r="Z915" i="8"/>
  <c r="Z396" i="8"/>
  <c r="Z379" i="8"/>
  <c r="Z391" i="8"/>
  <c r="Z387" i="8"/>
  <c r="X358" i="8"/>
  <c r="Z386" i="8"/>
  <c r="Z899" i="8"/>
  <c r="Z403" i="8"/>
  <c r="X868" i="8"/>
  <c r="Z380" i="8"/>
  <c r="Z911" i="8"/>
  <c r="Z402" i="8"/>
  <c r="Z916" i="8"/>
  <c r="Z887" i="8"/>
  <c r="Z895" i="8"/>
  <c r="E414" i="8"/>
  <c r="Z890" i="8"/>
  <c r="Z394" i="8"/>
  <c r="Z907" i="8"/>
  <c r="Z388" i="8"/>
  <c r="Z919" i="8"/>
  <c r="Z415" i="8"/>
  <c r="M415" i="8"/>
  <c r="AH415" i="8"/>
  <c r="B414" i="8"/>
  <c r="A414" i="8"/>
  <c r="L414" i="8"/>
  <c r="AG415" i="8"/>
  <c r="AF415" i="8"/>
  <c r="AA415" i="8" s="1"/>
  <c r="K415" i="8"/>
  <c r="I416" i="8"/>
  <c r="G415" i="8"/>
  <c r="AD414" i="8" l="1"/>
  <c r="X871" i="8"/>
  <c r="X1381" i="8"/>
  <c r="X1378" i="8"/>
  <c r="X361" i="8"/>
  <c r="AI414" i="8"/>
  <c r="E415" i="8"/>
  <c r="F415" i="8"/>
  <c r="Z416" i="8"/>
  <c r="M416" i="8"/>
  <c r="AH416" i="8"/>
  <c r="B415" i="8"/>
  <c r="A415" i="8"/>
  <c r="AG416" i="8"/>
  <c r="G416" i="8"/>
  <c r="I417" i="8"/>
  <c r="AF416" i="8"/>
  <c r="AA416" i="8" s="1"/>
  <c r="K416" i="8"/>
  <c r="L415" i="8"/>
  <c r="AD415" i="8" l="1"/>
  <c r="X872" i="8"/>
  <c r="X362" i="8"/>
  <c r="X1382" i="8"/>
  <c r="AI415" i="8"/>
  <c r="F416" i="8"/>
  <c r="E416" i="8"/>
  <c r="Z417" i="8"/>
  <c r="M417" i="8"/>
  <c r="AH417" i="8"/>
  <c r="B416" i="8"/>
  <c r="A416" i="8"/>
  <c r="AG417" i="8"/>
  <c r="I418" i="8"/>
  <c r="K417" i="8"/>
  <c r="AF417" i="8"/>
  <c r="AA417" i="8" s="1"/>
  <c r="G417" i="8"/>
  <c r="L416" i="8"/>
  <c r="AD416" i="8" l="1"/>
  <c r="X873" i="8"/>
  <c r="X363" i="8"/>
  <c r="X1383" i="8"/>
  <c r="AI416" i="8"/>
  <c r="E417" i="8"/>
  <c r="F417" i="8"/>
  <c r="Z418" i="8"/>
  <c r="M418" i="8"/>
  <c r="AH418" i="8"/>
  <c r="B417" i="8"/>
  <c r="A417" i="8"/>
  <c r="L417" i="8"/>
  <c r="AG418" i="8"/>
  <c r="I419" i="8"/>
  <c r="AF418" i="8"/>
  <c r="AA418" i="8" s="1"/>
  <c r="K418" i="8"/>
  <c r="G418" i="8"/>
  <c r="AD417" i="8" l="1"/>
  <c r="X874" i="8"/>
  <c r="X364" i="8"/>
  <c r="X1384" i="8"/>
  <c r="AI417" i="8"/>
  <c r="E418" i="8"/>
  <c r="F418" i="8"/>
  <c r="Z419" i="8"/>
  <c r="M419" i="8"/>
  <c r="AH419" i="8"/>
  <c r="B418" i="8"/>
  <c r="AG419" i="8"/>
  <c r="G419" i="8"/>
  <c r="AF419" i="8"/>
  <c r="AA419" i="8" s="1"/>
  <c r="I420" i="8"/>
  <c r="K419" i="8"/>
  <c r="L418" i="8"/>
  <c r="A418" i="8"/>
  <c r="AD418" i="8" l="1"/>
  <c r="X875" i="8"/>
  <c r="X365" i="8"/>
  <c r="X1385" i="8"/>
  <c r="AI418" i="8"/>
  <c r="F419" i="8"/>
  <c r="E419" i="8"/>
  <c r="Z420" i="8"/>
  <c r="M420" i="8"/>
  <c r="AH420" i="8"/>
  <c r="B419" i="8"/>
  <c r="A419" i="8"/>
  <c r="L419" i="8"/>
  <c r="AG420" i="8"/>
  <c r="AF420" i="8"/>
  <c r="AA420" i="8" s="1"/>
  <c r="I421" i="8"/>
  <c r="G420" i="8"/>
  <c r="K420" i="8"/>
  <c r="AD419" i="8" l="1"/>
  <c r="X876" i="8"/>
  <c r="X366" i="8"/>
  <c r="X1386" i="8"/>
  <c r="F420" i="8"/>
  <c r="AI419" i="8"/>
  <c r="E420" i="8"/>
  <c r="Z421" i="8"/>
  <c r="M421" i="8"/>
  <c r="AH421" i="8"/>
  <c r="B420" i="8"/>
  <c r="A420" i="8"/>
  <c r="AG421" i="8"/>
  <c r="AF421" i="8"/>
  <c r="AA421" i="8" s="1"/>
  <c r="G421" i="8"/>
  <c r="I422" i="8"/>
  <c r="K421" i="8"/>
  <c r="L420" i="8"/>
  <c r="AD420" i="8" l="1"/>
  <c r="X877" i="8"/>
  <c r="X367" i="8"/>
  <c r="X1387" i="8"/>
  <c r="AI420" i="8"/>
  <c r="E421" i="8"/>
  <c r="F421" i="8"/>
  <c r="Z422" i="8"/>
  <c r="M422" i="8"/>
  <c r="AH422" i="8"/>
  <c r="B421" i="8"/>
  <c r="A421" i="8"/>
  <c r="L421" i="8"/>
  <c r="AG422" i="8"/>
  <c r="AF422" i="8"/>
  <c r="AA422" i="8" s="1"/>
  <c r="G422" i="8"/>
  <c r="I423" i="8"/>
  <c r="K422" i="8"/>
  <c r="X878" i="8" l="1"/>
  <c r="AD421" i="8"/>
  <c r="X368" i="8"/>
  <c r="X1388" i="8"/>
  <c r="AI421" i="8"/>
  <c r="F422" i="8"/>
  <c r="E422" i="8"/>
  <c r="Z423" i="8"/>
  <c r="M423" i="8"/>
  <c r="AH423" i="8"/>
  <c r="B422" i="8"/>
  <c r="A422" i="8"/>
  <c r="L422" i="8"/>
  <c r="AG423" i="8"/>
  <c r="G423" i="8"/>
  <c r="AF423" i="8"/>
  <c r="AA423" i="8" s="1"/>
  <c r="K423" i="8"/>
  <c r="I424" i="8"/>
  <c r="X879" i="8" l="1"/>
  <c r="AD422" i="8"/>
  <c r="X369" i="8"/>
  <c r="X1389" i="8"/>
  <c r="F423" i="8"/>
  <c r="E423" i="8"/>
  <c r="AI422" i="8"/>
  <c r="Z424" i="8"/>
  <c r="M424" i="8"/>
  <c r="AH424" i="8"/>
  <c r="B423" i="8"/>
  <c r="L423" i="8"/>
  <c r="A423" i="8"/>
  <c r="AG424" i="8"/>
  <c r="G424" i="8"/>
  <c r="K424" i="8"/>
  <c r="AF424" i="8"/>
  <c r="AA424" i="8" s="1"/>
  <c r="I425" i="8"/>
  <c r="X880" i="8" l="1"/>
  <c r="X370" i="8"/>
  <c r="AD423" i="8"/>
  <c r="X1390" i="8"/>
  <c r="AI423" i="8"/>
  <c r="F424" i="8"/>
  <c r="E424" i="8"/>
  <c r="Z425" i="8"/>
  <c r="M425" i="8"/>
  <c r="AH425" i="8"/>
  <c r="B424" i="8"/>
  <c r="L424" i="8"/>
  <c r="A424" i="8"/>
  <c r="AG425" i="8"/>
  <c r="I426" i="8"/>
  <c r="K425" i="8"/>
  <c r="AF425" i="8"/>
  <c r="AA425" i="8" s="1"/>
  <c r="G425" i="8"/>
  <c r="X371" i="8" l="1"/>
  <c r="X881" i="8"/>
  <c r="AD424" i="8"/>
  <c r="X1391" i="8"/>
  <c r="AI424" i="8"/>
  <c r="E425" i="8"/>
  <c r="F425" i="8"/>
  <c r="Z426" i="8"/>
  <c r="M426" i="8"/>
  <c r="AH426" i="8"/>
  <c r="B425" i="8"/>
  <c r="A425" i="8"/>
  <c r="L425" i="8"/>
  <c r="AG426" i="8"/>
  <c r="I427" i="8"/>
  <c r="G426" i="8"/>
  <c r="K426" i="8"/>
  <c r="AF426" i="8"/>
  <c r="AA426" i="8" s="1"/>
  <c r="X372" i="8" l="1"/>
  <c r="X882" i="8"/>
  <c r="AD425" i="8"/>
  <c r="X1392" i="8"/>
  <c r="AI425" i="8"/>
  <c r="F426" i="8"/>
  <c r="E426" i="8"/>
  <c r="Z427" i="8"/>
  <c r="M427" i="8"/>
  <c r="AH427" i="8"/>
  <c r="B426" i="8"/>
  <c r="A426" i="8"/>
  <c r="AG427" i="8"/>
  <c r="AF427" i="8"/>
  <c r="AA427" i="8" s="1"/>
  <c r="K427" i="8"/>
  <c r="I428" i="8"/>
  <c r="G427" i="8"/>
  <c r="L426" i="8"/>
  <c r="X373" i="8" l="1"/>
  <c r="X883" i="8"/>
  <c r="AD426" i="8"/>
  <c r="X1393" i="8"/>
  <c r="AI426" i="8"/>
  <c r="F427" i="8"/>
  <c r="E427" i="8"/>
  <c r="M428" i="8"/>
  <c r="AH428" i="8"/>
  <c r="B427" i="8"/>
  <c r="A427" i="8"/>
  <c r="AG428" i="8"/>
  <c r="G428" i="8"/>
  <c r="K428" i="8"/>
  <c r="AF428" i="8"/>
  <c r="AA428" i="8" s="1"/>
  <c r="I429" i="8"/>
  <c r="L427" i="8"/>
  <c r="X374" i="8" l="1"/>
  <c r="X884" i="8"/>
  <c r="AD427" i="8"/>
  <c r="X1394" i="8"/>
  <c r="AI427" i="8"/>
  <c r="E428" i="8"/>
  <c r="F428" i="8"/>
  <c r="M429" i="8"/>
  <c r="AH429" i="8"/>
  <c r="B428" i="8"/>
  <c r="A428" i="8"/>
  <c r="L428" i="8"/>
  <c r="AG429" i="8"/>
  <c r="G429" i="8"/>
  <c r="I430" i="8"/>
  <c r="AF429" i="8"/>
  <c r="AA429" i="8" s="1"/>
  <c r="K429" i="8"/>
  <c r="X375" i="8" l="1"/>
  <c r="X885" i="8"/>
  <c r="AD428" i="8"/>
  <c r="X1395" i="8"/>
  <c r="F429" i="8"/>
  <c r="AI428" i="8"/>
  <c r="E429" i="8"/>
  <c r="M430" i="8"/>
  <c r="AH430" i="8"/>
  <c r="B429" i="8"/>
  <c r="A429" i="8"/>
  <c r="AG430" i="8"/>
  <c r="G430" i="8"/>
  <c r="I431" i="8"/>
  <c r="K430" i="8"/>
  <c r="AF430" i="8"/>
  <c r="AA430" i="8" s="1"/>
  <c r="L429" i="8"/>
  <c r="X376" i="8" l="1"/>
  <c r="X886" i="8"/>
  <c r="AD429" i="8"/>
  <c r="X1396" i="8"/>
  <c r="AI429" i="8"/>
  <c r="F430" i="8"/>
  <c r="E430" i="8"/>
  <c r="M431" i="8"/>
  <c r="AH431" i="8"/>
  <c r="B430" i="8"/>
  <c r="A430" i="8"/>
  <c r="L430" i="8"/>
  <c r="AG431" i="8"/>
  <c r="I432" i="8"/>
  <c r="G431" i="8"/>
  <c r="K431" i="8"/>
  <c r="AF431" i="8"/>
  <c r="AA431" i="8" s="1"/>
  <c r="X377" i="8" l="1"/>
  <c r="X887" i="8"/>
  <c r="X888" i="8" s="1"/>
  <c r="AD430" i="8"/>
  <c r="X1397" i="8"/>
  <c r="AI430" i="8"/>
  <c r="F431" i="8"/>
  <c r="E431" i="8"/>
  <c r="M432" i="8"/>
  <c r="AH432" i="8"/>
  <c r="B431" i="8"/>
  <c r="I433" i="8"/>
  <c r="A431" i="8"/>
  <c r="AG432" i="8"/>
  <c r="K432" i="8"/>
  <c r="AF432" i="8"/>
  <c r="AA432" i="8" s="1"/>
  <c r="G432" i="8"/>
  <c r="L431" i="8"/>
  <c r="X378" i="8" l="1"/>
  <c r="X889" i="8"/>
  <c r="AD431" i="8"/>
  <c r="X1398" i="8"/>
  <c r="AI431" i="8"/>
  <c r="F432" i="8"/>
  <c r="E432" i="8"/>
  <c r="M433" i="8"/>
  <c r="AH433" i="8"/>
  <c r="B432" i="8"/>
  <c r="I434" i="8"/>
  <c r="AG433" i="8"/>
  <c r="K433" i="8"/>
  <c r="AF433" i="8"/>
  <c r="AA433" i="8" s="1"/>
  <c r="G433" i="8"/>
  <c r="A432" i="8"/>
  <c r="L432" i="8"/>
  <c r="X379" i="8" l="1"/>
  <c r="X380" i="8" s="1"/>
  <c r="X890" i="8"/>
  <c r="AD432" i="8"/>
  <c r="X1399" i="8"/>
  <c r="AI432" i="8"/>
  <c r="F433" i="8"/>
  <c r="E433" i="8"/>
  <c r="M434" i="8"/>
  <c r="AH434" i="8"/>
  <c r="B433" i="8"/>
  <c r="L433" i="8"/>
  <c r="I435" i="8"/>
  <c r="K434" i="8"/>
  <c r="G434" i="8"/>
  <c r="AG434" i="8"/>
  <c r="AF434" i="8"/>
  <c r="AA434" i="8" s="1"/>
  <c r="A433" i="8"/>
  <c r="X891" i="8" l="1"/>
  <c r="AD433" i="8"/>
  <c r="X1400" i="8"/>
  <c r="AI433" i="8"/>
  <c r="E434" i="8"/>
  <c r="F434" i="8"/>
  <c r="X381" i="8"/>
  <c r="M435" i="8"/>
  <c r="AH435" i="8"/>
  <c r="B434" i="8"/>
  <c r="L434" i="8"/>
  <c r="K435" i="8"/>
  <c r="I436" i="8"/>
  <c r="AG435" i="8"/>
  <c r="AF435" i="8"/>
  <c r="AA435" i="8" s="1"/>
  <c r="G435" i="8"/>
  <c r="A434" i="8"/>
  <c r="X892" i="8" l="1"/>
  <c r="X893" i="8" s="1"/>
  <c r="AD434" i="8"/>
  <c r="X1401" i="8"/>
  <c r="AI434" i="8"/>
  <c r="F435" i="8"/>
  <c r="X382" i="8"/>
  <c r="E435" i="8"/>
  <c r="M436" i="8"/>
  <c r="AH436" i="8"/>
  <c r="B435" i="8"/>
  <c r="L435" i="8"/>
  <c r="AF436" i="8"/>
  <c r="AA436" i="8" s="1"/>
  <c r="I437" i="8"/>
  <c r="AG436" i="8"/>
  <c r="K436" i="8"/>
  <c r="G436" i="8"/>
  <c r="A435" i="8"/>
  <c r="AD435" i="8" l="1"/>
  <c r="X1402" i="8"/>
  <c r="AI435" i="8"/>
  <c r="F436" i="8"/>
  <c r="E436" i="8"/>
  <c r="X383" i="8"/>
  <c r="X894" i="8"/>
  <c r="M437" i="8"/>
  <c r="AH437" i="8"/>
  <c r="B436" i="8"/>
  <c r="AF437" i="8"/>
  <c r="AA437" i="8" s="1"/>
  <c r="K437" i="8"/>
  <c r="L436" i="8"/>
  <c r="AG437" i="8"/>
  <c r="I438" i="8"/>
  <c r="G437" i="8"/>
  <c r="A436" i="8"/>
  <c r="AD436" i="8" l="1"/>
  <c r="X1403" i="8"/>
  <c r="AI436" i="8"/>
  <c r="E437" i="8"/>
  <c r="X384" i="8"/>
  <c r="F437" i="8"/>
  <c r="X895" i="8"/>
  <c r="M438" i="8"/>
  <c r="AH438" i="8"/>
  <c r="B437" i="8"/>
  <c r="AF438" i="8"/>
  <c r="AA438" i="8" s="1"/>
  <c r="L437" i="8"/>
  <c r="G438" i="8"/>
  <c r="I439" i="8"/>
  <c r="K438" i="8"/>
  <c r="A437" i="8"/>
  <c r="AG438" i="8"/>
  <c r="AD437" i="8" l="1"/>
  <c r="X1404" i="8"/>
  <c r="AI437" i="8"/>
  <c r="X385" i="8"/>
  <c r="F438" i="8"/>
  <c r="E438" i="8"/>
  <c r="X896" i="8"/>
  <c r="M439" i="8"/>
  <c r="AH439" i="8"/>
  <c r="B438" i="8"/>
  <c r="L438" i="8"/>
  <c r="AG439" i="8"/>
  <c r="A438" i="8"/>
  <c r="AF439" i="8"/>
  <c r="AA439" i="8" s="1"/>
  <c r="K439" i="8"/>
  <c r="I440" i="8"/>
  <c r="G439" i="8"/>
  <c r="AD438" i="8" l="1"/>
  <c r="X1405" i="8"/>
  <c r="AI438" i="8"/>
  <c r="E439" i="8"/>
  <c r="F439" i="8"/>
  <c r="X897" i="8"/>
  <c r="X386" i="8"/>
  <c r="M440" i="8"/>
  <c r="AH440" i="8"/>
  <c r="A439" i="8"/>
  <c r="B439" i="8"/>
  <c r="L439" i="8"/>
  <c r="I441" i="8"/>
  <c r="G440" i="8"/>
  <c r="K440" i="8"/>
  <c r="AF440" i="8"/>
  <c r="AA440" i="8" s="1"/>
  <c r="AG440" i="8"/>
  <c r="AD439" i="8" l="1"/>
  <c r="X1406" i="8"/>
  <c r="X898" i="8"/>
  <c r="AI439" i="8"/>
  <c r="F440" i="8"/>
  <c r="E440" i="8"/>
  <c r="X387" i="8"/>
  <c r="M441" i="8"/>
  <c r="AH441" i="8"/>
  <c r="B440" i="8"/>
  <c r="L440" i="8"/>
  <c r="AG441" i="8"/>
  <c r="AF441" i="8"/>
  <c r="AA441" i="8" s="1"/>
  <c r="A440" i="8"/>
  <c r="G441" i="8"/>
  <c r="I442" i="8"/>
  <c r="K441" i="8"/>
  <c r="AD440" i="8" l="1"/>
  <c r="X1407" i="8"/>
  <c r="AI440" i="8"/>
  <c r="F441" i="8"/>
  <c r="E441" i="8"/>
  <c r="X388" i="8"/>
  <c r="X899" i="8"/>
  <c r="M442" i="8"/>
  <c r="AH442" i="8"/>
  <c r="L441" i="8"/>
  <c r="B441" i="8"/>
  <c r="AF442" i="8"/>
  <c r="AA442" i="8" s="1"/>
  <c r="I443" i="8"/>
  <c r="A441" i="8"/>
  <c r="K442" i="8"/>
  <c r="G442" i="8"/>
  <c r="AG442" i="8"/>
  <c r="AD441" i="8" l="1"/>
  <c r="X1408" i="8"/>
  <c r="AI441" i="8"/>
  <c r="E442" i="8"/>
  <c r="X389" i="8"/>
  <c r="F442" i="8"/>
  <c r="X900" i="8"/>
  <c r="M443" i="8"/>
  <c r="AH443" i="8"/>
  <c r="L442" i="8"/>
  <c r="B442" i="8"/>
  <c r="K443" i="8"/>
  <c r="AF443" i="8"/>
  <c r="AA443" i="8" s="1"/>
  <c r="G443" i="8"/>
  <c r="AG443" i="8"/>
  <c r="I444" i="8"/>
  <c r="A442" i="8"/>
  <c r="AD442" i="8" l="1"/>
  <c r="X1409" i="8"/>
  <c r="AI442" i="8"/>
  <c r="X390" i="8"/>
  <c r="E443" i="8"/>
  <c r="F443" i="8"/>
  <c r="X901" i="8"/>
  <c r="M444" i="8"/>
  <c r="AH444" i="8"/>
  <c r="L443" i="8"/>
  <c r="B443" i="8"/>
  <c r="A443" i="8"/>
  <c r="AF444" i="8"/>
  <c r="AA444" i="8" s="1"/>
  <c r="G444" i="8"/>
  <c r="AG444" i="8"/>
  <c r="K444" i="8"/>
  <c r="I445" i="8"/>
  <c r="AD443" i="8" l="1"/>
  <c r="X1410" i="8"/>
  <c r="AI443" i="8"/>
  <c r="F444" i="8"/>
  <c r="E444" i="8"/>
  <c r="X391" i="8"/>
  <c r="X902" i="8"/>
  <c r="M445" i="8"/>
  <c r="AH445" i="8"/>
  <c r="L444" i="8"/>
  <c r="B444" i="8"/>
  <c r="A444" i="8"/>
  <c r="G445" i="8"/>
  <c r="K445" i="8"/>
  <c r="AF445" i="8"/>
  <c r="AA445" i="8" s="1"/>
  <c r="AG445" i="8"/>
  <c r="I446" i="8"/>
  <c r="AD444" i="8" l="1"/>
  <c r="X1411" i="8"/>
  <c r="AI444" i="8"/>
  <c r="X392" i="8"/>
  <c r="F445" i="8"/>
  <c r="E445" i="8"/>
  <c r="X903" i="8"/>
  <c r="M446" i="8"/>
  <c r="AH446" i="8"/>
  <c r="B445" i="8"/>
  <c r="A445" i="8"/>
  <c r="L445" i="8"/>
  <c r="AG446" i="8"/>
  <c r="I447" i="8"/>
  <c r="AF446" i="8"/>
  <c r="AA446" i="8" s="1"/>
  <c r="K446" i="8"/>
  <c r="G446" i="8"/>
  <c r="AD445" i="8" l="1"/>
  <c r="X1412" i="8"/>
  <c r="E446" i="8"/>
  <c r="AI445" i="8"/>
  <c r="F446" i="8"/>
  <c r="X393" i="8"/>
  <c r="X904" i="8"/>
  <c r="M447" i="8"/>
  <c r="AH447" i="8"/>
  <c r="L446" i="8"/>
  <c r="B446" i="8"/>
  <c r="AF447" i="8"/>
  <c r="AA447" i="8" s="1"/>
  <c r="AG447" i="8"/>
  <c r="I448" i="8"/>
  <c r="K447" i="8"/>
  <c r="G447" i="8"/>
  <c r="A446" i="8"/>
  <c r="AD446" i="8" l="1"/>
  <c r="X1413" i="8"/>
  <c r="AI446" i="8"/>
  <c r="E447" i="8"/>
  <c r="X394" i="8"/>
  <c r="F447" i="8"/>
  <c r="X905" i="8"/>
  <c r="M448" i="8"/>
  <c r="AH448" i="8"/>
  <c r="B447" i="8"/>
  <c r="L447" i="8"/>
  <c r="G448" i="8"/>
  <c r="I449" i="8"/>
  <c r="AF448" i="8"/>
  <c r="AA448" i="8" s="1"/>
  <c r="K448" i="8"/>
  <c r="AG448" i="8"/>
  <c r="A447" i="8"/>
  <c r="AD447" i="8" l="1"/>
  <c r="X1414" i="8"/>
  <c r="AI447" i="8"/>
  <c r="F448" i="8"/>
  <c r="X395" i="8"/>
  <c r="E448" i="8"/>
  <c r="X906" i="8"/>
  <c r="M449" i="8"/>
  <c r="AH449" i="8"/>
  <c r="B448" i="8"/>
  <c r="L448" i="8"/>
  <c r="A448" i="8"/>
  <c r="I450" i="8"/>
  <c r="K449" i="8"/>
  <c r="AF449" i="8"/>
  <c r="AA449" i="8" s="1"/>
  <c r="AG449" i="8"/>
  <c r="G449" i="8"/>
  <c r="AD448" i="8" l="1"/>
  <c r="X1415" i="8"/>
  <c r="F449" i="8"/>
  <c r="E449" i="8"/>
  <c r="AI448" i="8"/>
  <c r="X396" i="8"/>
  <c r="X907" i="8"/>
  <c r="M450" i="8"/>
  <c r="AH450" i="8"/>
  <c r="B449" i="8"/>
  <c r="L449" i="8"/>
  <c r="AF450" i="8"/>
  <c r="AA450" i="8" s="1"/>
  <c r="AG450" i="8"/>
  <c r="I451" i="8"/>
  <c r="G450" i="8"/>
  <c r="K450" i="8"/>
  <c r="A449" i="8"/>
  <c r="AD449" i="8" l="1"/>
  <c r="X1416" i="8"/>
  <c r="AI449" i="8"/>
  <c r="F450" i="8"/>
  <c r="X397" i="8"/>
  <c r="E450" i="8"/>
  <c r="X908" i="8"/>
  <c r="M451" i="8"/>
  <c r="AH451" i="8"/>
  <c r="B450" i="8"/>
  <c r="L450" i="8"/>
  <c r="AF451" i="8"/>
  <c r="AA451" i="8" s="1"/>
  <c r="I452" i="8"/>
  <c r="K451" i="8"/>
  <c r="G451" i="8"/>
  <c r="AG451" i="8"/>
  <c r="A450" i="8"/>
  <c r="AD450" i="8" l="1"/>
  <c r="X1417" i="8"/>
  <c r="AI450" i="8"/>
  <c r="X909" i="8"/>
  <c r="E451" i="8"/>
  <c r="X398" i="8"/>
  <c r="F451" i="8"/>
  <c r="M452" i="8"/>
  <c r="AH452" i="8"/>
  <c r="L451" i="8"/>
  <c r="B451" i="8"/>
  <c r="AG452" i="8"/>
  <c r="AF452" i="8"/>
  <c r="AA452" i="8" s="1"/>
  <c r="K452" i="8"/>
  <c r="I453" i="8"/>
  <c r="G452" i="8"/>
  <c r="A451" i="8"/>
  <c r="AD451" i="8" l="1"/>
  <c r="X1418" i="8"/>
  <c r="AI451" i="8"/>
  <c r="E452" i="8"/>
  <c r="X399" i="8"/>
  <c r="F452" i="8"/>
  <c r="X910" i="8"/>
  <c r="M453" i="8"/>
  <c r="AH453" i="8"/>
  <c r="B452" i="8"/>
  <c r="L452" i="8"/>
  <c r="AF453" i="8"/>
  <c r="AA453" i="8" s="1"/>
  <c r="A452" i="8"/>
  <c r="I454" i="8"/>
  <c r="K453" i="8"/>
  <c r="G453" i="8"/>
  <c r="AG453" i="8"/>
  <c r="AD452" i="8" l="1"/>
  <c r="X1419" i="8"/>
  <c r="AI452" i="8"/>
  <c r="X400" i="8"/>
  <c r="E453" i="8"/>
  <c r="F453" i="8"/>
  <c r="X911" i="8"/>
  <c r="M454" i="8"/>
  <c r="AH454" i="8"/>
  <c r="B453" i="8"/>
  <c r="L453" i="8"/>
  <c r="I455" i="8"/>
  <c r="K454" i="8"/>
  <c r="AF454" i="8"/>
  <c r="AA454" i="8" s="1"/>
  <c r="AG454" i="8"/>
  <c r="A453" i="8"/>
  <c r="G454" i="8"/>
  <c r="AD453" i="8" l="1"/>
  <c r="X1420" i="8"/>
  <c r="E454" i="8"/>
  <c r="AI453" i="8"/>
  <c r="X401" i="8"/>
  <c r="F454" i="8"/>
  <c r="X912" i="8"/>
  <c r="M455" i="8"/>
  <c r="AH455" i="8"/>
  <c r="B454" i="8"/>
  <c r="L454" i="8"/>
  <c r="AF455" i="8"/>
  <c r="AA455" i="8" s="1"/>
  <c r="I456" i="8"/>
  <c r="K455" i="8"/>
  <c r="G455" i="8"/>
  <c r="AG455" i="8"/>
  <c r="A454" i="8"/>
  <c r="AD454" i="8" l="1"/>
  <c r="X1421" i="8"/>
  <c r="AI454" i="8"/>
  <c r="X402" i="8"/>
  <c r="F455" i="8"/>
  <c r="X913" i="8"/>
  <c r="E455" i="8"/>
  <c r="M456" i="8"/>
  <c r="AH456" i="8"/>
  <c r="B455" i="8"/>
  <c r="L455" i="8"/>
  <c r="A455" i="8"/>
  <c r="G456" i="8"/>
  <c r="AF456" i="8"/>
  <c r="AA456" i="8" s="1"/>
  <c r="AG456" i="8"/>
  <c r="I457" i="8"/>
  <c r="K456" i="8"/>
  <c r="AD455" i="8" l="1"/>
  <c r="X1422" i="8"/>
  <c r="F456" i="8"/>
  <c r="E456" i="8"/>
  <c r="X403" i="8"/>
  <c r="AI455" i="8"/>
  <c r="X914" i="8"/>
  <c r="M457" i="8"/>
  <c r="AH457" i="8"/>
  <c r="B456" i="8"/>
  <c r="L456" i="8"/>
  <c r="I458" i="8"/>
  <c r="G457" i="8"/>
  <c r="A456" i="8"/>
  <c r="AG457" i="8"/>
  <c r="AF457" i="8"/>
  <c r="AA457" i="8" s="1"/>
  <c r="K457" i="8"/>
  <c r="AD456" i="8" l="1"/>
  <c r="X1423" i="8"/>
  <c r="AI456" i="8"/>
  <c r="X915" i="8"/>
  <c r="F457" i="8"/>
  <c r="E457" i="8"/>
  <c r="X404" i="8"/>
  <c r="M458" i="8"/>
  <c r="AH458" i="8"/>
  <c r="B457" i="8"/>
  <c r="L457" i="8"/>
  <c r="A457" i="8"/>
  <c r="AF458" i="8"/>
  <c r="AA458" i="8" s="1"/>
  <c r="K458" i="8"/>
  <c r="AG458" i="8"/>
  <c r="G458" i="8"/>
  <c r="I459" i="8"/>
  <c r="AD457" i="8" l="1"/>
  <c r="X1424" i="8"/>
  <c r="X405" i="8"/>
  <c r="AI457" i="8"/>
  <c r="E458" i="8"/>
  <c r="F458" i="8"/>
  <c r="X916" i="8"/>
  <c r="M459" i="8"/>
  <c r="AH459" i="8"/>
  <c r="B458" i="8"/>
  <c r="L458" i="8"/>
  <c r="G459" i="8"/>
  <c r="A458" i="8"/>
  <c r="AF459" i="8"/>
  <c r="AA459" i="8" s="1"/>
  <c r="AG459" i="8"/>
  <c r="I460" i="8"/>
  <c r="K459" i="8"/>
  <c r="AD458" i="8" l="1"/>
  <c r="X1425" i="8"/>
  <c r="AI458" i="8"/>
  <c r="F459" i="8"/>
  <c r="E459" i="8"/>
  <c r="X917" i="8"/>
  <c r="X406" i="8"/>
  <c r="M460" i="8"/>
  <c r="AH460" i="8"/>
  <c r="B459" i="8"/>
  <c r="L459" i="8"/>
  <c r="A459" i="8"/>
  <c r="G460" i="8"/>
  <c r="I461" i="8"/>
  <c r="AF460" i="8"/>
  <c r="AA460" i="8" s="1"/>
  <c r="K460" i="8"/>
  <c r="AG460" i="8"/>
  <c r="AD459" i="8" l="1"/>
  <c r="X1426" i="8"/>
  <c r="AI459" i="8"/>
  <c r="E460" i="8"/>
  <c r="F460" i="8"/>
  <c r="X918" i="8"/>
  <c r="X407" i="8"/>
  <c r="W461" i="8"/>
  <c r="Z461" i="8"/>
  <c r="X461" i="8"/>
  <c r="M461" i="8"/>
  <c r="AH461" i="8"/>
  <c r="B460" i="8"/>
  <c r="L460" i="8"/>
  <c r="A460" i="8"/>
  <c r="AG461" i="8"/>
  <c r="I462" i="8"/>
  <c r="K461" i="8"/>
  <c r="G461" i="8"/>
  <c r="AF461" i="8"/>
  <c r="AA461" i="8" s="1"/>
  <c r="AD460" i="8" l="1"/>
  <c r="X1427" i="8"/>
  <c r="X919" i="8"/>
  <c r="AI460" i="8"/>
  <c r="X408" i="8"/>
  <c r="F461" i="8"/>
  <c r="Z462" i="8"/>
  <c r="M462" i="8"/>
  <c r="AH462" i="8"/>
  <c r="B461" i="8"/>
  <c r="L461" i="8"/>
  <c r="AG462" i="8"/>
  <c r="G462" i="8"/>
  <c r="I463" i="8"/>
  <c r="AF462" i="8"/>
  <c r="AA462" i="8" s="1"/>
  <c r="A461" i="8"/>
  <c r="K462" i="8"/>
  <c r="AD461" i="8" l="1"/>
  <c r="X1428" i="8"/>
  <c r="W420" i="8"/>
  <c r="W1476" i="8"/>
  <c r="W964" i="8"/>
  <c r="W1460" i="8"/>
  <c r="W1468" i="8"/>
  <c r="W1444" i="8"/>
  <c r="W412" i="8"/>
  <c r="W1436" i="8"/>
  <c r="W956" i="8"/>
  <c r="W452" i="8"/>
  <c r="W444" i="8"/>
  <c r="W436" i="8"/>
  <c r="W932" i="8"/>
  <c r="W460" i="8"/>
  <c r="W1452" i="8"/>
  <c r="W948" i="8"/>
  <c r="W940" i="8"/>
  <c r="W428" i="8"/>
  <c r="W924" i="8"/>
  <c r="W459" i="8"/>
  <c r="W435" i="8"/>
  <c r="W411" i="8"/>
  <c r="W947" i="8"/>
  <c r="W923" i="8"/>
  <c r="W1459" i="8"/>
  <c r="W1435" i="8"/>
  <c r="W458" i="8"/>
  <c r="W434" i="8"/>
  <c r="W418" i="8"/>
  <c r="W954" i="8"/>
  <c r="W930" i="8"/>
  <c r="W922" i="8"/>
  <c r="W1458" i="8"/>
  <c r="W1450" i="8"/>
  <c r="W1442" i="8"/>
  <c r="W1434" i="8"/>
  <c r="W457" i="8"/>
  <c r="W433" i="8"/>
  <c r="W969" i="8"/>
  <c r="W945" i="8"/>
  <c r="W921" i="8"/>
  <c r="W440" i="8"/>
  <c r="W416" i="8"/>
  <c r="W960" i="8"/>
  <c r="W936" i="8"/>
  <c r="W1480" i="8"/>
  <c r="W1464" i="8"/>
  <c r="W1448" i="8"/>
  <c r="W1440" i="8"/>
  <c r="W1432" i="8"/>
  <c r="X409" i="8"/>
  <c r="F462" i="8"/>
  <c r="W455" i="8"/>
  <c r="W447" i="8"/>
  <c r="W439" i="8"/>
  <c r="W431" i="8"/>
  <c r="W423" i="8"/>
  <c r="W415" i="8"/>
  <c r="W967" i="8"/>
  <c r="W959" i="8"/>
  <c r="W951" i="8"/>
  <c r="W943" i="8"/>
  <c r="W935" i="8"/>
  <c r="W927" i="8"/>
  <c r="W1478" i="8"/>
  <c r="W1471" i="8"/>
  <c r="W1463" i="8"/>
  <c r="W1455" i="8"/>
  <c r="W1447" i="8"/>
  <c r="W1439" i="8"/>
  <c r="W1431" i="8"/>
  <c r="E462" i="8"/>
  <c r="W443" i="8"/>
  <c r="W419" i="8"/>
  <c r="W955" i="8"/>
  <c r="W931" i="8"/>
  <c r="W1467" i="8"/>
  <c r="W1443" i="8"/>
  <c r="W442" i="8"/>
  <c r="W970" i="8"/>
  <c r="W946" i="8"/>
  <c r="W1474" i="8"/>
  <c r="W449" i="8"/>
  <c r="W425" i="8"/>
  <c r="W961" i="8"/>
  <c r="W937" i="8"/>
  <c r="W1473" i="8"/>
  <c r="W1457" i="8"/>
  <c r="W1441" i="8"/>
  <c r="W456" i="8"/>
  <c r="W432" i="8"/>
  <c r="W968" i="8"/>
  <c r="W944" i="8"/>
  <c r="W1472" i="8"/>
  <c r="W454" i="8"/>
  <c r="W446" i="8"/>
  <c r="W438" i="8"/>
  <c r="W430" i="8"/>
  <c r="W422" i="8"/>
  <c r="W414" i="8"/>
  <c r="W966" i="8"/>
  <c r="W958" i="8"/>
  <c r="W950" i="8"/>
  <c r="W942" i="8"/>
  <c r="W934" i="8"/>
  <c r="W926" i="8"/>
  <c r="W1479" i="8"/>
  <c r="W1470" i="8"/>
  <c r="W1462" i="8"/>
  <c r="W1454" i="8"/>
  <c r="W1446" i="8"/>
  <c r="W1438" i="8"/>
  <c r="W451" i="8"/>
  <c r="W427" i="8"/>
  <c r="W963" i="8"/>
  <c r="W939" i="8"/>
  <c r="W1475" i="8"/>
  <c r="W1451" i="8"/>
  <c r="W450" i="8"/>
  <c r="W426" i="8"/>
  <c r="W962" i="8"/>
  <c r="W938" i="8"/>
  <c r="W1466" i="8"/>
  <c r="W441" i="8"/>
  <c r="W417" i="8"/>
  <c r="W953" i="8"/>
  <c r="W929" i="8"/>
  <c r="W1465" i="8"/>
  <c r="W1449" i="8"/>
  <c r="W1433" i="8"/>
  <c r="W448" i="8"/>
  <c r="W424" i="8"/>
  <c r="W952" i="8"/>
  <c r="W928" i="8"/>
  <c r="W1456" i="8"/>
  <c r="W453" i="8"/>
  <c r="W445" i="8"/>
  <c r="W437" i="8"/>
  <c r="W429" i="8"/>
  <c r="W421" i="8"/>
  <c r="W413" i="8"/>
  <c r="W965" i="8"/>
  <c r="W957" i="8"/>
  <c r="W949" i="8"/>
  <c r="W941" i="8"/>
  <c r="W933" i="8"/>
  <c r="W925" i="8"/>
  <c r="W1477" i="8"/>
  <c r="W1469" i="8"/>
  <c r="W1461" i="8"/>
  <c r="W1453" i="8"/>
  <c r="W1445" i="8"/>
  <c r="W1437" i="8"/>
  <c r="Z463" i="8"/>
  <c r="M463" i="8"/>
  <c r="AH463" i="8"/>
  <c r="B462" i="8"/>
  <c r="L462" i="8"/>
  <c r="I464" i="8"/>
  <c r="AG463" i="8"/>
  <c r="K463" i="8"/>
  <c r="G463" i="8"/>
  <c r="AF463" i="8"/>
  <c r="AA463" i="8" s="1"/>
  <c r="A462" i="8"/>
  <c r="AD462" i="8" l="1"/>
  <c r="X1429" i="8"/>
  <c r="Z1462" i="8"/>
  <c r="Z1477" i="8"/>
  <c r="Z1453" i="8"/>
  <c r="Z1456" i="8"/>
  <c r="Z1473" i="8"/>
  <c r="X1431" i="8"/>
  <c r="Z1464" i="8"/>
  <c r="Z1452" i="8"/>
  <c r="Z1461" i="8"/>
  <c r="Z1451" i="8"/>
  <c r="Z1454" i="8"/>
  <c r="Z1472" i="8"/>
  <c r="Z1480" i="8"/>
  <c r="Z1469" i="8"/>
  <c r="Z1467" i="8"/>
  <c r="Z1468" i="8"/>
  <c r="Z1455" i="8"/>
  <c r="Z1460" i="8"/>
  <c r="Z1466" i="8"/>
  <c r="Z1479" i="8"/>
  <c r="Z1463" i="8"/>
  <c r="Z1474" i="8"/>
  <c r="Z1471" i="8"/>
  <c r="Z1450" i="8"/>
  <c r="Z1476" i="8"/>
  <c r="Z1475" i="8"/>
  <c r="Z1470" i="8"/>
  <c r="Z1449" i="8"/>
  <c r="Z1478" i="8"/>
  <c r="Z1458" i="8"/>
  <c r="Z1459" i="8"/>
  <c r="Z1465" i="8"/>
  <c r="Z1457" i="8"/>
  <c r="Z1448" i="8"/>
  <c r="Z964" i="8"/>
  <c r="Z452" i="8"/>
  <c r="Z956" i="8"/>
  <c r="Z948" i="8"/>
  <c r="AI462" i="8"/>
  <c r="Z444" i="8"/>
  <c r="Z436" i="8"/>
  <c r="Z460" i="8"/>
  <c r="Z940" i="8"/>
  <c r="Z428" i="8"/>
  <c r="Z430" i="8"/>
  <c r="Z429" i="8"/>
  <c r="Z448" i="8"/>
  <c r="Z438" i="8"/>
  <c r="Z946" i="8"/>
  <c r="Z443" i="8"/>
  <c r="Z431" i="8"/>
  <c r="Z440" i="8"/>
  <c r="Z437" i="8"/>
  <c r="Z939" i="8"/>
  <c r="Z942" i="8"/>
  <c r="Z446" i="8"/>
  <c r="Z970" i="8"/>
  <c r="Z439" i="8"/>
  <c r="X921" i="8"/>
  <c r="Z454" i="8"/>
  <c r="Z447" i="8"/>
  <c r="Z951" i="8"/>
  <c r="Z969" i="8"/>
  <c r="Z957" i="8"/>
  <c r="Z962" i="8"/>
  <c r="Z451" i="8"/>
  <c r="Z966" i="8"/>
  <c r="Z944" i="8"/>
  <c r="Z961" i="8"/>
  <c r="Z959" i="8"/>
  <c r="Z433" i="8"/>
  <c r="Z954" i="8"/>
  <c r="X411" i="8"/>
  <c r="Z456" i="8"/>
  <c r="Z445" i="8"/>
  <c r="Z963" i="8"/>
  <c r="E461" i="8"/>
  <c r="Z453" i="8"/>
  <c r="Z958" i="8"/>
  <c r="Z455" i="8"/>
  <c r="Z965" i="8"/>
  <c r="Z953" i="8"/>
  <c r="Z968" i="8"/>
  <c r="Z967" i="8"/>
  <c r="Z457" i="8"/>
  <c r="Z435" i="8"/>
  <c r="Z441" i="8"/>
  <c r="Z458" i="8"/>
  <c r="Z941" i="8"/>
  <c r="Z950" i="8"/>
  <c r="Z442" i="8"/>
  <c r="Z943" i="8"/>
  <c r="Z945" i="8"/>
  <c r="E463" i="8"/>
  <c r="Z949" i="8"/>
  <c r="Z938" i="8"/>
  <c r="Z947" i="8"/>
  <c r="F463" i="8"/>
  <c r="Z952" i="8"/>
  <c r="Z450" i="8"/>
  <c r="Z432" i="8"/>
  <c r="Z449" i="8"/>
  <c r="Z955" i="8"/>
  <c r="Z960" i="8"/>
  <c r="Z434" i="8"/>
  <c r="Z459" i="8"/>
  <c r="Z464" i="8"/>
  <c r="M464" i="8"/>
  <c r="AH464" i="8"/>
  <c r="B463" i="8"/>
  <c r="L463" i="8"/>
  <c r="G464" i="8"/>
  <c r="AG464" i="8"/>
  <c r="I465" i="8"/>
  <c r="AF464" i="8"/>
  <c r="AA464" i="8" s="1"/>
  <c r="K464" i="8"/>
  <c r="A463" i="8"/>
  <c r="AD463" i="8" l="1"/>
  <c r="X1432" i="8"/>
  <c r="E464" i="8"/>
  <c r="AI463" i="8"/>
  <c r="AI461" i="8"/>
  <c r="X922" i="8"/>
  <c r="F464" i="8"/>
  <c r="X412" i="8"/>
  <c r="Z465" i="8"/>
  <c r="M465" i="8"/>
  <c r="AH465" i="8"/>
  <c r="B464" i="8"/>
  <c r="A464" i="8"/>
  <c r="L464" i="8"/>
  <c r="K465" i="8"/>
  <c r="G465" i="8"/>
  <c r="AF465" i="8"/>
  <c r="AA465" i="8" s="1"/>
  <c r="I466" i="8"/>
  <c r="AG465" i="8"/>
  <c r="AD464" i="8" l="1"/>
  <c r="X1433" i="8"/>
  <c r="AI464" i="8"/>
  <c r="E465" i="8"/>
  <c r="F465" i="8"/>
  <c r="X413" i="8"/>
  <c r="X923" i="8"/>
  <c r="Z466" i="8"/>
  <c r="M466" i="8"/>
  <c r="AH466" i="8"/>
  <c r="B465" i="8"/>
  <c r="L465" i="8"/>
  <c r="A465" i="8"/>
  <c r="G466" i="8"/>
  <c r="K466" i="8"/>
  <c r="I467" i="8"/>
  <c r="AF466" i="8"/>
  <c r="AA466" i="8" s="1"/>
  <c r="AG466" i="8"/>
  <c r="AD465" i="8" l="1"/>
  <c r="X1434" i="8"/>
  <c r="AI465" i="8"/>
  <c r="F466" i="8"/>
  <c r="X414" i="8"/>
  <c r="E466" i="8"/>
  <c r="X924" i="8"/>
  <c r="Z467" i="8"/>
  <c r="M467" i="8"/>
  <c r="AH467" i="8"/>
  <c r="B466" i="8"/>
  <c r="L466" i="8"/>
  <c r="AF467" i="8"/>
  <c r="AA467" i="8" s="1"/>
  <c r="G467" i="8"/>
  <c r="A466" i="8"/>
  <c r="I468" i="8"/>
  <c r="K467" i="8"/>
  <c r="AG467" i="8"/>
  <c r="AD466" i="8" l="1"/>
  <c r="X1435" i="8"/>
  <c r="AI466" i="8"/>
  <c r="F467" i="8"/>
  <c r="E467" i="8"/>
  <c r="X415" i="8"/>
  <c r="X925" i="8"/>
  <c r="Z468" i="8"/>
  <c r="M468" i="8"/>
  <c r="AH468" i="8"/>
  <c r="B467" i="8"/>
  <c r="L467" i="8"/>
  <c r="A467" i="8"/>
  <c r="AF468" i="8"/>
  <c r="AA468" i="8" s="1"/>
  <c r="I469" i="8"/>
  <c r="K468" i="8"/>
  <c r="G468" i="8"/>
  <c r="AG468" i="8"/>
  <c r="AD467" i="8" l="1"/>
  <c r="X1436" i="8"/>
  <c r="AI467" i="8"/>
  <c r="E468" i="8"/>
  <c r="F468" i="8"/>
  <c r="X416" i="8"/>
  <c r="X926" i="8"/>
  <c r="Z469" i="8"/>
  <c r="M469" i="8"/>
  <c r="AH469" i="8"/>
  <c r="B468" i="8"/>
  <c r="L468" i="8"/>
  <c r="AF469" i="8"/>
  <c r="AA469" i="8" s="1"/>
  <c r="AG469" i="8"/>
  <c r="G469" i="8"/>
  <c r="I470" i="8"/>
  <c r="A468" i="8"/>
  <c r="K469" i="8"/>
  <c r="AD468" i="8" l="1"/>
  <c r="X1437" i="8"/>
  <c r="AI468" i="8"/>
  <c r="E469" i="8"/>
  <c r="F469" i="8"/>
  <c r="X417" i="8"/>
  <c r="X927" i="8"/>
  <c r="Z470" i="8"/>
  <c r="M470" i="8"/>
  <c r="AH470" i="8"/>
  <c r="B469" i="8"/>
  <c r="A469" i="8"/>
  <c r="L469" i="8"/>
  <c r="G470" i="8"/>
  <c r="I471" i="8"/>
  <c r="K470" i="8"/>
  <c r="AF470" i="8"/>
  <c r="AA470" i="8" s="1"/>
  <c r="AG470" i="8"/>
  <c r="AD469" i="8" l="1"/>
  <c r="X1438" i="8"/>
  <c r="AI469" i="8"/>
  <c r="E470" i="8"/>
  <c r="F470" i="8"/>
  <c r="X418" i="8"/>
  <c r="X928" i="8"/>
  <c r="Z471" i="8"/>
  <c r="M471" i="8"/>
  <c r="AH471" i="8"/>
  <c r="B470" i="8"/>
  <c r="L470" i="8"/>
  <c r="A470" i="8"/>
  <c r="K471" i="8"/>
  <c r="G471" i="8"/>
  <c r="AF471" i="8"/>
  <c r="AA471" i="8" s="1"/>
  <c r="AG471" i="8"/>
  <c r="I472" i="8"/>
  <c r="AD470" i="8" l="1"/>
  <c r="X1439" i="8"/>
  <c r="AI470" i="8"/>
  <c r="E471" i="8"/>
  <c r="F471" i="8"/>
  <c r="X419" i="8"/>
  <c r="X929" i="8"/>
  <c r="Z472" i="8"/>
  <c r="M472" i="8"/>
  <c r="AH472" i="8"/>
  <c r="B471" i="8"/>
  <c r="L471" i="8"/>
  <c r="I473" i="8"/>
  <c r="A471" i="8"/>
  <c r="G472" i="8"/>
  <c r="AG472" i="8"/>
  <c r="AF472" i="8"/>
  <c r="AA472" i="8" s="1"/>
  <c r="K472" i="8"/>
  <c r="AD471" i="8" l="1"/>
  <c r="X1440" i="8"/>
  <c r="AI471" i="8"/>
  <c r="X420" i="8"/>
  <c r="F472" i="8"/>
  <c r="E472" i="8"/>
  <c r="X930" i="8"/>
  <c r="Z473" i="8"/>
  <c r="M473" i="8"/>
  <c r="AH473" i="8"/>
  <c r="B472" i="8"/>
  <c r="AF473" i="8"/>
  <c r="AA473" i="8" s="1"/>
  <c r="L472" i="8"/>
  <c r="K473" i="8"/>
  <c r="G473" i="8"/>
  <c r="AG473" i="8"/>
  <c r="I474" i="8"/>
  <c r="A472" i="8"/>
  <c r="AD472" i="8" l="1"/>
  <c r="X1441" i="8"/>
  <c r="AI472" i="8"/>
  <c r="E473" i="8"/>
  <c r="F473" i="8"/>
  <c r="X931" i="8"/>
  <c r="X421" i="8"/>
  <c r="Z474" i="8"/>
  <c r="M474" i="8"/>
  <c r="AH474" i="8"/>
  <c r="B473" i="8"/>
  <c r="L473" i="8"/>
  <c r="A473" i="8"/>
  <c r="AF474" i="8"/>
  <c r="AA474" i="8" s="1"/>
  <c r="G474" i="8"/>
  <c r="I475" i="8"/>
  <c r="K474" i="8"/>
  <c r="AG474" i="8"/>
  <c r="AD473" i="8" l="1"/>
  <c r="X1442" i="8"/>
  <c r="AI473" i="8"/>
  <c r="X932" i="8"/>
  <c r="F474" i="8"/>
  <c r="E474" i="8"/>
  <c r="X422" i="8"/>
  <c r="Z475" i="8"/>
  <c r="M475" i="8"/>
  <c r="AH475" i="8"/>
  <c r="B474" i="8"/>
  <c r="L474" i="8"/>
  <c r="K475" i="8"/>
  <c r="A474" i="8"/>
  <c r="I476" i="8"/>
  <c r="AG475" i="8"/>
  <c r="G475" i="8"/>
  <c r="AF475" i="8"/>
  <c r="AA475" i="8" s="1"/>
  <c r="AD474" i="8" l="1"/>
  <c r="X1443" i="8"/>
  <c r="AI474" i="8"/>
  <c r="E475" i="8"/>
  <c r="F475" i="8"/>
  <c r="X423" i="8"/>
  <c r="X933" i="8"/>
  <c r="Z476" i="8"/>
  <c r="M476" i="8"/>
  <c r="AH476" i="8"/>
  <c r="B475" i="8"/>
  <c r="L475" i="8"/>
  <c r="A475" i="8"/>
  <c r="I477" i="8"/>
  <c r="G476" i="8"/>
  <c r="K476" i="8"/>
  <c r="AF476" i="8"/>
  <c r="AA476" i="8" s="1"/>
  <c r="AG476" i="8"/>
  <c r="AD475" i="8" l="1"/>
  <c r="X1444" i="8"/>
  <c r="AI475" i="8"/>
  <c r="X424" i="8"/>
  <c r="E476" i="8"/>
  <c r="F476" i="8"/>
  <c r="X934" i="8"/>
  <c r="Z477" i="8"/>
  <c r="M477" i="8"/>
  <c r="AH477" i="8"/>
  <c r="L476" i="8"/>
  <c r="B476" i="8"/>
  <c r="AF477" i="8"/>
  <c r="AA477" i="8" s="1"/>
  <c r="AG477" i="8"/>
  <c r="G477" i="8"/>
  <c r="I478" i="8"/>
  <c r="K477" i="8"/>
  <c r="A476" i="8"/>
  <c r="AD476" i="8" l="1"/>
  <c r="X1445" i="8"/>
  <c r="AI476" i="8"/>
  <c r="E477" i="8"/>
  <c r="F477" i="8"/>
  <c r="X935" i="8"/>
  <c r="X425" i="8"/>
  <c r="Z478" i="8"/>
  <c r="M478" i="8"/>
  <c r="AH478" i="8"/>
  <c r="L477" i="8"/>
  <c r="B477" i="8"/>
  <c r="AG478" i="8"/>
  <c r="A477" i="8"/>
  <c r="G478" i="8"/>
  <c r="I479" i="8"/>
  <c r="K478" i="8"/>
  <c r="AF478" i="8"/>
  <c r="AA478" i="8" s="1"/>
  <c r="AD477" i="8" l="1"/>
  <c r="X1446" i="8"/>
  <c r="AI477" i="8"/>
  <c r="X936" i="8"/>
  <c r="F478" i="8"/>
  <c r="E478" i="8"/>
  <c r="X426" i="8"/>
  <c r="M479" i="8"/>
  <c r="AH479" i="8"/>
  <c r="B478" i="8"/>
  <c r="A478" i="8"/>
  <c r="I480" i="8"/>
  <c r="K479" i="8"/>
  <c r="AG479" i="8"/>
  <c r="AF479" i="8"/>
  <c r="AA479" i="8" s="1"/>
  <c r="L478" i="8"/>
  <c r="G479" i="8"/>
  <c r="AD478" i="8" l="1"/>
  <c r="X1447" i="8"/>
  <c r="F479" i="8"/>
  <c r="E479" i="8"/>
  <c r="AI478" i="8"/>
  <c r="X427" i="8"/>
  <c r="X937" i="8"/>
  <c r="M480" i="8"/>
  <c r="AH480" i="8"/>
  <c r="B479" i="8"/>
  <c r="L479" i="8"/>
  <c r="I481" i="8"/>
  <c r="G480" i="8"/>
  <c r="K480" i="8"/>
  <c r="AF480" i="8"/>
  <c r="AA480" i="8" s="1"/>
  <c r="AG480" i="8"/>
  <c r="A479" i="8"/>
  <c r="AD479" i="8" l="1"/>
  <c r="X1448" i="8"/>
  <c r="AI479" i="8"/>
  <c r="X428" i="8"/>
  <c r="X938" i="8"/>
  <c r="F480" i="8"/>
  <c r="E480" i="8"/>
  <c r="M481" i="8"/>
  <c r="AH481" i="8"/>
  <c r="B480" i="8"/>
  <c r="I482" i="8"/>
  <c r="L480" i="8"/>
  <c r="K481" i="8"/>
  <c r="AF481" i="8"/>
  <c r="AA481" i="8" s="1"/>
  <c r="AG481" i="8"/>
  <c r="G481" i="8"/>
  <c r="A480" i="8"/>
  <c r="AD480" i="8" l="1"/>
  <c r="X1449" i="8"/>
  <c r="AI480" i="8"/>
  <c r="E481" i="8"/>
  <c r="X939" i="8"/>
  <c r="F481" i="8"/>
  <c r="X429" i="8"/>
  <c r="M482" i="8"/>
  <c r="AH482" i="8"/>
  <c r="B481" i="8"/>
  <c r="K482" i="8"/>
  <c r="AG482" i="8"/>
  <c r="G482" i="8"/>
  <c r="I483" i="8"/>
  <c r="AF482" i="8"/>
  <c r="AA482" i="8" s="1"/>
  <c r="A481" i="8"/>
  <c r="L481" i="8"/>
  <c r="AD481" i="8" l="1"/>
  <c r="X1450" i="8"/>
  <c r="AI481" i="8"/>
  <c r="X940" i="8"/>
  <c r="E482" i="8"/>
  <c r="X430" i="8"/>
  <c r="F482" i="8"/>
  <c r="M483" i="8"/>
  <c r="AH483" i="8"/>
  <c r="L482" i="8"/>
  <c r="B482" i="8"/>
  <c r="A482" i="8"/>
  <c r="I484" i="8"/>
  <c r="K483" i="8"/>
  <c r="AG483" i="8"/>
  <c r="G483" i="8"/>
  <c r="AF483" i="8"/>
  <c r="AA483" i="8" s="1"/>
  <c r="AD482" i="8" l="1"/>
  <c r="X1451" i="8"/>
  <c r="AI482" i="8"/>
  <c r="F483" i="8"/>
  <c r="E483" i="8"/>
  <c r="X431" i="8"/>
  <c r="X941" i="8"/>
  <c r="M484" i="8"/>
  <c r="AH484" i="8"/>
  <c r="AF484" i="8"/>
  <c r="AA484" i="8" s="1"/>
  <c r="B483" i="8"/>
  <c r="L483" i="8"/>
  <c r="K484" i="8"/>
  <c r="AG484" i="8"/>
  <c r="I485" i="8"/>
  <c r="G484" i="8"/>
  <c r="A483" i="8"/>
  <c r="AD483" i="8" l="1"/>
  <c r="X1452" i="8"/>
  <c r="AI483" i="8"/>
  <c r="E484" i="8"/>
  <c r="F484" i="8"/>
  <c r="X942" i="8"/>
  <c r="X432" i="8"/>
  <c r="M485" i="8"/>
  <c r="AH485" i="8"/>
  <c r="L484" i="8"/>
  <c r="B484" i="8"/>
  <c r="AF485" i="8"/>
  <c r="AA485" i="8" s="1"/>
  <c r="K485" i="8"/>
  <c r="G485" i="8"/>
  <c r="A484" i="8"/>
  <c r="AG485" i="8"/>
  <c r="I486" i="8"/>
  <c r="AD484" i="8" l="1"/>
  <c r="X1453" i="8"/>
  <c r="AI484" i="8"/>
  <c r="X943" i="8"/>
  <c r="A485" i="8"/>
  <c r="F485" i="8"/>
  <c r="X433" i="8"/>
  <c r="E485" i="8"/>
  <c r="M486" i="8"/>
  <c r="AH486" i="8"/>
  <c r="L485" i="8"/>
  <c r="AF486" i="8"/>
  <c r="AA486" i="8" s="1"/>
  <c r="B485" i="8"/>
  <c r="AG486" i="8"/>
  <c r="G486" i="8"/>
  <c r="I487" i="8"/>
  <c r="K486" i="8"/>
  <c r="AD485" i="8" l="1"/>
  <c r="X1454" i="8"/>
  <c r="AI485" i="8"/>
  <c r="X944" i="8"/>
  <c r="E486" i="8"/>
  <c r="F486" i="8"/>
  <c r="X434" i="8"/>
  <c r="M487" i="8"/>
  <c r="AH487" i="8"/>
  <c r="I488" i="8"/>
  <c r="L486" i="8"/>
  <c r="B486" i="8"/>
  <c r="G487" i="8"/>
  <c r="AF487" i="8"/>
  <c r="AA487" i="8" s="1"/>
  <c r="A486" i="8"/>
  <c r="AG487" i="8"/>
  <c r="K487" i="8"/>
  <c r="AD486" i="8" l="1"/>
  <c r="X1455" i="8"/>
  <c r="X435" i="8"/>
  <c r="F487" i="8"/>
  <c r="X945" i="8"/>
  <c r="E487" i="8"/>
  <c r="AI486" i="8"/>
  <c r="M488" i="8"/>
  <c r="AH488" i="8"/>
  <c r="AF488" i="8"/>
  <c r="AA488" i="8" s="1"/>
  <c r="K488" i="8"/>
  <c r="G488" i="8"/>
  <c r="AG488" i="8"/>
  <c r="I489" i="8"/>
  <c r="B487" i="8"/>
  <c r="A487" i="8"/>
  <c r="L487" i="8"/>
  <c r="AD487" i="8" l="1"/>
  <c r="X1456" i="8"/>
  <c r="AI487" i="8"/>
  <c r="F488" i="8"/>
  <c r="X946" i="8"/>
  <c r="B488" i="8"/>
  <c r="X436" i="8"/>
  <c r="E488" i="8"/>
  <c r="M489" i="8"/>
  <c r="AH489" i="8"/>
  <c r="L488" i="8"/>
  <c r="AF489" i="8"/>
  <c r="AA489" i="8" s="1"/>
  <c r="G489" i="8"/>
  <c r="K489" i="8"/>
  <c r="A488" i="8"/>
  <c r="I490" i="8"/>
  <c r="AG489" i="8"/>
  <c r="AD488" i="8" l="1"/>
  <c r="X1457" i="8"/>
  <c r="X947" i="8"/>
  <c r="AI488" i="8"/>
  <c r="F489" i="8"/>
  <c r="B489" i="8"/>
  <c r="X437" i="8"/>
  <c r="E489" i="8"/>
  <c r="M490" i="8"/>
  <c r="AH490" i="8"/>
  <c r="L489" i="8"/>
  <c r="I491" i="8"/>
  <c r="G490" i="8"/>
  <c r="A489" i="8"/>
  <c r="AG490" i="8"/>
  <c r="AF490" i="8"/>
  <c r="AA490" i="8" s="1"/>
  <c r="K490" i="8"/>
  <c r="AD489" i="8" l="1"/>
  <c r="X1458" i="8"/>
  <c r="F490" i="8"/>
  <c r="AI489" i="8"/>
  <c r="B490" i="8"/>
  <c r="X438" i="8"/>
  <c r="X948" i="8"/>
  <c r="E490" i="8"/>
  <c r="M491" i="8"/>
  <c r="AH491" i="8"/>
  <c r="L490" i="8"/>
  <c r="A490" i="8"/>
  <c r="I492" i="8"/>
  <c r="AF491" i="8"/>
  <c r="AA491" i="8" s="1"/>
  <c r="K491" i="8"/>
  <c r="AG491" i="8"/>
  <c r="G491" i="8"/>
  <c r="AD490" i="8" l="1"/>
  <c r="X1459" i="8"/>
  <c r="X439" i="8"/>
  <c r="F491" i="8"/>
  <c r="AI490" i="8"/>
  <c r="A491" i="8"/>
  <c r="X949" i="8"/>
  <c r="E491" i="8"/>
  <c r="M492" i="8"/>
  <c r="AH492" i="8"/>
  <c r="L491" i="8"/>
  <c r="G492" i="8"/>
  <c r="AF492" i="8"/>
  <c r="AA492" i="8" s="1"/>
  <c r="AG492" i="8"/>
  <c r="K492" i="8"/>
  <c r="I493" i="8"/>
  <c r="B491" i="8"/>
  <c r="AD491" i="8" l="1"/>
  <c r="X1460" i="8"/>
  <c r="AI491" i="8"/>
  <c r="X950" i="8"/>
  <c r="A492" i="8"/>
  <c r="F492" i="8"/>
  <c r="X440" i="8"/>
  <c r="E492" i="8"/>
  <c r="M493" i="8"/>
  <c r="AH493" i="8"/>
  <c r="L492" i="8"/>
  <c r="B492" i="8"/>
  <c r="I494" i="8"/>
  <c r="AF493" i="8"/>
  <c r="AA493" i="8" s="1"/>
  <c r="AG493" i="8"/>
  <c r="K493" i="8"/>
  <c r="G493" i="8"/>
  <c r="AD492" i="8" l="1"/>
  <c r="X1461" i="8"/>
  <c r="F493" i="8"/>
  <c r="X441" i="8"/>
  <c r="X951" i="8"/>
  <c r="B493" i="8"/>
  <c r="AI492" i="8"/>
  <c r="E493" i="8"/>
  <c r="M494" i="8"/>
  <c r="AH494" i="8"/>
  <c r="L493" i="8"/>
  <c r="G494" i="8"/>
  <c r="K494" i="8"/>
  <c r="I495" i="8"/>
  <c r="AG494" i="8"/>
  <c r="AF494" i="8"/>
  <c r="AA494" i="8" s="1"/>
  <c r="A493" i="8"/>
  <c r="AD493" i="8" l="1"/>
  <c r="X1462" i="8"/>
  <c r="AI493" i="8"/>
  <c r="X952" i="8"/>
  <c r="F494" i="8"/>
  <c r="X442" i="8"/>
  <c r="A494" i="8"/>
  <c r="E494" i="8"/>
  <c r="M495" i="8"/>
  <c r="AH495" i="8"/>
  <c r="L494" i="8"/>
  <c r="B494" i="8"/>
  <c r="I496" i="8"/>
  <c r="AF495" i="8"/>
  <c r="AA495" i="8" s="1"/>
  <c r="K495" i="8"/>
  <c r="G495" i="8"/>
  <c r="AG495" i="8"/>
  <c r="AD494" i="8" l="1"/>
  <c r="X1463" i="8"/>
  <c r="X443" i="8"/>
  <c r="B495" i="8"/>
  <c r="AI494" i="8"/>
  <c r="X953" i="8"/>
  <c r="F495" i="8"/>
  <c r="E495" i="8"/>
  <c r="M496" i="8"/>
  <c r="AH496" i="8"/>
  <c r="L495" i="8"/>
  <c r="G496" i="8"/>
  <c r="AF496" i="8"/>
  <c r="AA496" i="8" s="1"/>
  <c r="I497" i="8"/>
  <c r="AG496" i="8"/>
  <c r="K496" i="8"/>
  <c r="A495" i="8"/>
  <c r="AD495" i="8" l="1"/>
  <c r="X1464" i="8"/>
  <c r="X954" i="8"/>
  <c r="F496" i="8"/>
  <c r="A496" i="8"/>
  <c r="AI495" i="8"/>
  <c r="X444" i="8"/>
  <c r="E496" i="8"/>
  <c r="M497" i="8"/>
  <c r="AH497" i="8"/>
  <c r="L496" i="8"/>
  <c r="B496" i="8"/>
  <c r="K497" i="8"/>
  <c r="I498" i="8"/>
  <c r="G497" i="8"/>
  <c r="AG497" i="8"/>
  <c r="AF497" i="8"/>
  <c r="AA497" i="8" s="1"/>
  <c r="AD496" i="8" l="1"/>
  <c r="X1465" i="8"/>
  <c r="A497" i="8"/>
  <c r="F497" i="8"/>
  <c r="X445" i="8"/>
  <c r="AI496" i="8"/>
  <c r="X955" i="8"/>
  <c r="E497" i="8"/>
  <c r="M498" i="8"/>
  <c r="AH498" i="8"/>
  <c r="L497" i="8"/>
  <c r="AG498" i="8"/>
  <c r="I499" i="8"/>
  <c r="G498" i="8"/>
  <c r="AF498" i="8"/>
  <c r="AA498" i="8" s="1"/>
  <c r="K498" i="8"/>
  <c r="B497" i="8"/>
  <c r="AD497" i="8" l="1"/>
  <c r="X1466" i="8"/>
  <c r="F498" i="8"/>
  <c r="B498" i="8"/>
  <c r="X446" i="8"/>
  <c r="AI497" i="8"/>
  <c r="X956" i="8"/>
  <c r="E498" i="8"/>
  <c r="M499" i="8"/>
  <c r="AH499" i="8"/>
  <c r="L498" i="8"/>
  <c r="AG499" i="8"/>
  <c r="AF499" i="8"/>
  <c r="AA499" i="8" s="1"/>
  <c r="G499" i="8"/>
  <c r="K499" i="8"/>
  <c r="I500" i="8"/>
  <c r="A498" i="8"/>
  <c r="AD498" i="8" l="1"/>
  <c r="X1467" i="8"/>
  <c r="F499" i="8"/>
  <c r="AI498" i="8"/>
  <c r="X447" i="8"/>
  <c r="B499" i="8"/>
  <c r="X957" i="8"/>
  <c r="E499" i="8"/>
  <c r="M500" i="8"/>
  <c r="AH500" i="8"/>
  <c r="L499" i="8"/>
  <c r="A499" i="8"/>
  <c r="K500" i="8"/>
  <c r="AF500" i="8"/>
  <c r="AA500" i="8" s="1"/>
  <c r="G500" i="8"/>
  <c r="AG500" i="8"/>
  <c r="I501" i="8"/>
  <c r="AD499" i="8" l="1"/>
  <c r="X1468" i="8"/>
  <c r="X448" i="8"/>
  <c r="B500" i="8"/>
  <c r="AI499" i="8"/>
  <c r="F500" i="8"/>
  <c r="X958" i="8"/>
  <c r="E500" i="8"/>
  <c r="M501" i="8"/>
  <c r="AH501" i="8"/>
  <c r="L500" i="8"/>
  <c r="K501" i="8"/>
  <c r="A500" i="8"/>
  <c r="G501" i="8"/>
  <c r="AF501" i="8"/>
  <c r="AA501" i="8" s="1"/>
  <c r="AG501" i="8"/>
  <c r="I502" i="8"/>
  <c r="AD500" i="8" l="1"/>
  <c r="X1469" i="8"/>
  <c r="AI500" i="8"/>
  <c r="A501" i="8"/>
  <c r="X959" i="8"/>
  <c r="X449" i="8"/>
  <c r="F501" i="8"/>
  <c r="E501" i="8"/>
  <c r="M502" i="8"/>
  <c r="AH502" i="8"/>
  <c r="L501" i="8"/>
  <c r="I503" i="8"/>
  <c r="AG502" i="8"/>
  <c r="G502" i="8"/>
  <c r="K502" i="8"/>
  <c r="AF502" i="8"/>
  <c r="AA502" i="8" s="1"/>
  <c r="B501" i="8"/>
  <c r="AD501" i="8" l="1"/>
  <c r="X1470" i="8"/>
  <c r="X450" i="8"/>
  <c r="X960" i="8"/>
  <c r="F502" i="8"/>
  <c r="A502" i="8"/>
  <c r="AI501" i="8"/>
  <c r="E502" i="8"/>
  <c r="M503" i="8"/>
  <c r="AH503" i="8"/>
  <c r="L502" i="8"/>
  <c r="I504" i="8"/>
  <c r="G503" i="8"/>
  <c r="AF503" i="8"/>
  <c r="AA503" i="8" s="1"/>
  <c r="AG503" i="8"/>
  <c r="K503" i="8"/>
  <c r="B502" i="8"/>
  <c r="AD502" i="8" l="1"/>
  <c r="X1471" i="8"/>
  <c r="F503" i="8"/>
  <c r="AI502" i="8"/>
  <c r="X961" i="8"/>
  <c r="B503" i="8"/>
  <c r="X451" i="8"/>
  <c r="E503" i="8"/>
  <c r="M504" i="8"/>
  <c r="AH504" i="8"/>
  <c r="L503" i="8"/>
  <c r="K504" i="8"/>
  <c r="AF504" i="8"/>
  <c r="AA504" i="8" s="1"/>
  <c r="G504" i="8"/>
  <c r="I505" i="8"/>
  <c r="AG504" i="8"/>
  <c r="A503" i="8"/>
  <c r="AD503" i="8" l="1"/>
  <c r="X1472" i="8"/>
  <c r="X962" i="8"/>
  <c r="AI503" i="8"/>
  <c r="X452" i="8"/>
  <c r="F504" i="8"/>
  <c r="A504" i="8"/>
  <c r="E504" i="8"/>
  <c r="M505" i="8"/>
  <c r="AH505" i="8"/>
  <c r="L504" i="8"/>
  <c r="B504" i="8"/>
  <c r="I506" i="8"/>
  <c r="AG505" i="8"/>
  <c r="G505" i="8"/>
  <c r="AF505" i="8"/>
  <c r="AA505" i="8" s="1"/>
  <c r="K505" i="8"/>
  <c r="AD504" i="8" l="1"/>
  <c r="X1473" i="8"/>
  <c r="AI504" i="8"/>
  <c r="B505" i="8"/>
  <c r="X453" i="8"/>
  <c r="F505" i="8"/>
  <c r="X963" i="8"/>
  <c r="E505" i="8"/>
  <c r="M506" i="8"/>
  <c r="AH506" i="8"/>
  <c r="L505" i="8"/>
  <c r="AG506" i="8"/>
  <c r="I507" i="8"/>
  <c r="K506" i="8"/>
  <c r="G506" i="8"/>
  <c r="AF506" i="8"/>
  <c r="AA506" i="8" s="1"/>
  <c r="A505" i="8"/>
  <c r="AD505" i="8" l="1"/>
  <c r="X1474" i="8"/>
  <c r="X454" i="8"/>
  <c r="AI505" i="8"/>
  <c r="E506" i="8"/>
  <c r="F506" i="8"/>
  <c r="X964" i="8"/>
  <c r="M507" i="8"/>
  <c r="AH507" i="8"/>
  <c r="L506" i="8"/>
  <c r="G507" i="8"/>
  <c r="AF507" i="8"/>
  <c r="AA507" i="8" s="1"/>
  <c r="AG507" i="8"/>
  <c r="K507" i="8"/>
  <c r="I508" i="8"/>
  <c r="B506" i="8"/>
  <c r="A506" i="8"/>
  <c r="AD506" i="8" l="1"/>
  <c r="X1475" i="8"/>
  <c r="AI506" i="8"/>
  <c r="X965" i="8"/>
  <c r="X455" i="8"/>
  <c r="F507" i="8"/>
  <c r="A507" i="8"/>
  <c r="E507" i="8"/>
  <c r="M508" i="8"/>
  <c r="AH508" i="8"/>
  <c r="I509" i="8"/>
  <c r="L507" i="8"/>
  <c r="B507" i="8"/>
  <c r="AF508" i="8"/>
  <c r="AA508" i="8" s="1"/>
  <c r="AG508" i="8"/>
  <c r="K508" i="8"/>
  <c r="G508" i="8"/>
  <c r="AD507" i="8" l="1"/>
  <c r="X1476" i="8"/>
  <c r="F508" i="8"/>
  <c r="AI507" i="8"/>
  <c r="X456" i="8"/>
  <c r="B508" i="8"/>
  <c r="X966" i="8"/>
  <c r="E508" i="8"/>
  <c r="M509" i="8"/>
  <c r="AH509" i="8"/>
  <c r="I510" i="8"/>
  <c r="G509" i="8"/>
  <c r="AG509" i="8"/>
  <c r="K509" i="8"/>
  <c r="AF509" i="8"/>
  <c r="AA509" i="8" s="1"/>
  <c r="L508" i="8"/>
  <c r="A508" i="8"/>
  <c r="I512" i="8"/>
  <c r="AD508" i="8" l="1"/>
  <c r="X1477" i="8"/>
  <c r="L509" i="8"/>
  <c r="B509" i="8"/>
  <c r="X457" i="8"/>
  <c r="AI508" i="8"/>
  <c r="F509" i="8"/>
  <c r="X967" i="8"/>
  <c r="E509" i="8"/>
  <c r="W512" i="8"/>
  <c r="Z512" i="8"/>
  <c r="X512" i="8"/>
  <c r="M512" i="8"/>
  <c r="M510" i="8"/>
  <c r="AH510" i="8"/>
  <c r="AH512" i="8"/>
  <c r="A509" i="8"/>
  <c r="I511" i="8"/>
  <c r="G510" i="8"/>
  <c r="AF510" i="8"/>
  <c r="AA510" i="8" s="1"/>
  <c r="K510" i="8"/>
  <c r="AG510" i="8"/>
  <c r="K512" i="8"/>
  <c r="G512" i="8"/>
  <c r="I513" i="8"/>
  <c r="AF512" i="8"/>
  <c r="AA512" i="8" s="1"/>
  <c r="AG512" i="8"/>
  <c r="AD509" i="8" l="1"/>
  <c r="X1478" i="8"/>
  <c r="L510" i="8"/>
  <c r="F512" i="8"/>
  <c r="X458" i="8"/>
  <c r="X968" i="8"/>
  <c r="AI509" i="8"/>
  <c r="F510" i="8"/>
  <c r="A510" i="8"/>
  <c r="E510" i="8"/>
  <c r="Z513" i="8"/>
  <c r="M513" i="8"/>
  <c r="M511" i="8"/>
  <c r="AH511" i="8"/>
  <c r="AH513" i="8"/>
  <c r="K511" i="8"/>
  <c r="G511" i="8"/>
  <c r="AF511" i="8"/>
  <c r="AA511" i="8" s="1"/>
  <c r="AG511" i="8"/>
  <c r="B510" i="8"/>
  <c r="B512" i="8"/>
  <c r="L512" i="8"/>
  <c r="A512" i="8"/>
  <c r="K513" i="8"/>
  <c r="G513" i="8"/>
  <c r="AG513" i="8"/>
  <c r="I514" i="8"/>
  <c r="AF513" i="8"/>
  <c r="AA513" i="8" s="1"/>
  <c r="AD512" i="8" l="1"/>
  <c r="AD510" i="8"/>
  <c r="X1479" i="8"/>
  <c r="L511" i="8"/>
  <c r="F513" i="8"/>
  <c r="B511" i="8"/>
  <c r="AI510" i="8"/>
  <c r="X969" i="8"/>
  <c r="F511" i="8"/>
  <c r="X459" i="8"/>
  <c r="E513" i="8"/>
  <c r="E511" i="8"/>
  <c r="Z514" i="8"/>
  <c r="M514" i="8"/>
  <c r="AH514" i="8"/>
  <c r="A511" i="8"/>
  <c r="B513" i="8"/>
  <c r="A513" i="8"/>
  <c r="L513" i="8"/>
  <c r="AF514" i="8"/>
  <c r="AA514" i="8" s="1"/>
  <c r="K514" i="8"/>
  <c r="AG514" i="8"/>
  <c r="I515" i="8"/>
  <c r="G514" i="8"/>
  <c r="AD513" i="8" l="1"/>
  <c r="AD511" i="8"/>
  <c r="X1480" i="8"/>
  <c r="X970" i="8"/>
  <c r="X460" i="8"/>
  <c r="K7" i="10"/>
  <c r="A129" i="9" s="1"/>
  <c r="E512" i="8"/>
  <c r="F514" i="8"/>
  <c r="E514" i="8"/>
  <c r="AI513" i="8"/>
  <c r="AI511" i="8"/>
  <c r="Z515" i="8"/>
  <c r="M515" i="8"/>
  <c r="AH515" i="8"/>
  <c r="B514" i="8"/>
  <c r="L514" i="8"/>
  <c r="K515" i="8"/>
  <c r="I516" i="8"/>
  <c r="AF515" i="8"/>
  <c r="AA515" i="8" s="1"/>
  <c r="G515" i="8"/>
  <c r="AG515" i="8"/>
  <c r="A514" i="8"/>
  <c r="AD514" i="8" l="1"/>
  <c r="W482" i="8"/>
  <c r="W510" i="8"/>
  <c r="W502" i="8"/>
  <c r="W503" i="8"/>
  <c r="W491" i="8"/>
  <c r="W490" i="8"/>
  <c r="W1009" i="8"/>
  <c r="W480" i="8"/>
  <c r="W469" i="8"/>
  <c r="W1016" i="8"/>
  <c r="W501" i="8"/>
  <c r="W1006" i="8"/>
  <c r="W492" i="8"/>
  <c r="W1003" i="8"/>
  <c r="W508" i="8"/>
  <c r="W487" i="8"/>
  <c r="W984" i="8"/>
  <c r="W504" i="8"/>
  <c r="W499" i="8"/>
  <c r="W475" i="8"/>
  <c r="W511" i="8"/>
  <c r="W493" i="8"/>
  <c r="W473" i="8"/>
  <c r="W509" i="8"/>
  <c r="W500" i="8"/>
  <c r="W488" i="8"/>
  <c r="W471" i="8"/>
  <c r="W994" i="8"/>
  <c r="W507" i="8"/>
  <c r="W498" i="8"/>
  <c r="W484" i="8"/>
  <c r="W467" i="8"/>
  <c r="W506" i="8"/>
  <c r="W495" i="8"/>
  <c r="W483" i="8"/>
  <c r="W466" i="8"/>
  <c r="W479" i="8"/>
  <c r="W465" i="8"/>
  <c r="W476" i="8"/>
  <c r="W463" i="8"/>
  <c r="W505" i="8"/>
  <c r="W496" i="8"/>
  <c r="W485" i="8"/>
  <c r="W474" i="8"/>
  <c r="W1017" i="8"/>
  <c r="W497" i="8"/>
  <c r="W489" i="8"/>
  <c r="W481" i="8"/>
  <c r="W472" i="8"/>
  <c r="W1018" i="8"/>
  <c r="W991" i="8"/>
  <c r="W494" i="8"/>
  <c r="W486" i="8"/>
  <c r="W477" i="8"/>
  <c r="W468" i="8"/>
  <c r="W1014" i="8"/>
  <c r="W989" i="8"/>
  <c r="W464" i="8"/>
  <c r="W1008" i="8"/>
  <c r="W979" i="8"/>
  <c r="W478" i="8"/>
  <c r="W470" i="8"/>
  <c r="W1019" i="8"/>
  <c r="W1005" i="8"/>
  <c r="W462" i="8"/>
  <c r="W1013" i="8"/>
  <c r="W1002" i="8"/>
  <c r="W1531" i="8"/>
  <c r="W1021" i="8"/>
  <c r="W1011" i="8"/>
  <c r="W1000" i="8"/>
  <c r="W1020" i="8"/>
  <c r="W1010" i="8"/>
  <c r="W999" i="8"/>
  <c r="W974" i="8"/>
  <c r="W1015" i="8"/>
  <c r="W1007" i="8"/>
  <c r="W997" i="8"/>
  <c r="W973" i="8"/>
  <c r="W1012" i="8"/>
  <c r="W1004" i="8"/>
  <c r="W990" i="8"/>
  <c r="W998" i="8"/>
  <c r="W987" i="8"/>
  <c r="W1517" i="8"/>
  <c r="W1501" i="8"/>
  <c r="W996" i="8"/>
  <c r="W983" i="8"/>
  <c r="W995" i="8"/>
  <c r="W982" i="8"/>
  <c r="W1526" i="8"/>
  <c r="W1001" i="8"/>
  <c r="W992" i="8"/>
  <c r="W981" i="8"/>
  <c r="W1521" i="8"/>
  <c r="W1503" i="8"/>
  <c r="W972" i="8"/>
  <c r="W1488" i="8"/>
  <c r="W988" i="8"/>
  <c r="W980" i="8"/>
  <c r="W1529" i="8"/>
  <c r="W1492" i="8"/>
  <c r="W986" i="8"/>
  <c r="W978" i="8"/>
  <c r="W1525" i="8"/>
  <c r="W993" i="8"/>
  <c r="W985" i="8"/>
  <c r="W977" i="8"/>
  <c r="W1522" i="8"/>
  <c r="W1530" i="8"/>
  <c r="W1520" i="8"/>
  <c r="W1487" i="8"/>
  <c r="W1486" i="8"/>
  <c r="W976" i="8"/>
  <c r="W1528" i="8"/>
  <c r="W1516" i="8"/>
  <c r="W975" i="8"/>
  <c r="W1527" i="8"/>
  <c r="W1513" i="8"/>
  <c r="W1524" i="8"/>
  <c r="W1512" i="8"/>
  <c r="W1523" i="8"/>
  <c r="W1506" i="8"/>
  <c r="W1485" i="8"/>
  <c r="W1504" i="8"/>
  <c r="W1482" i="8"/>
  <c r="W1515" i="8"/>
  <c r="W1498" i="8"/>
  <c r="W1514" i="8"/>
  <c r="W1496" i="8"/>
  <c r="W1519" i="8"/>
  <c r="W1510" i="8"/>
  <c r="W1495" i="8"/>
  <c r="W1518" i="8"/>
  <c r="W1507" i="8"/>
  <c r="W1494" i="8"/>
  <c r="W1511" i="8"/>
  <c r="W1502" i="8"/>
  <c r="W1493" i="8"/>
  <c r="W1483" i="8"/>
  <c r="W1509" i="8"/>
  <c r="W1500" i="8"/>
  <c r="W1491" i="8"/>
  <c r="W1508" i="8"/>
  <c r="W1499" i="8"/>
  <c r="W1490" i="8"/>
  <c r="W1484" i="8"/>
  <c r="W1505" i="8"/>
  <c r="W1497" i="8"/>
  <c r="W1489" i="8"/>
  <c r="A136" i="9"/>
  <c r="A128" i="9"/>
  <c r="A112" i="9"/>
  <c r="P112" i="9" s="1"/>
  <c r="A118" i="9"/>
  <c r="A130" i="9"/>
  <c r="A124" i="9"/>
  <c r="A120" i="9"/>
  <c r="A135" i="9"/>
  <c r="A134" i="9"/>
  <c r="A126" i="9"/>
  <c r="A133" i="9"/>
  <c r="A123" i="9"/>
  <c r="AI514" i="8"/>
  <c r="A113" i="9"/>
  <c r="A127" i="9"/>
  <c r="A119" i="9"/>
  <c r="A111" i="9"/>
  <c r="A122" i="9"/>
  <c r="A110" i="9"/>
  <c r="A132" i="9"/>
  <c r="A131" i="9"/>
  <c r="E515" i="8"/>
  <c r="F515" i="8"/>
  <c r="A114" i="9"/>
  <c r="A125" i="9"/>
  <c r="A116" i="9"/>
  <c r="A115" i="9"/>
  <c r="A121" i="9"/>
  <c r="A117" i="9"/>
  <c r="AI512" i="8"/>
  <c r="P38" i="9"/>
  <c r="P36" i="9"/>
  <c r="P55" i="9"/>
  <c r="P51" i="9"/>
  <c r="P34" i="9"/>
  <c r="P42" i="9"/>
  <c r="P39" i="9"/>
  <c r="P46" i="9"/>
  <c r="P53" i="9"/>
  <c r="P40" i="9"/>
  <c r="P50" i="9"/>
  <c r="P43" i="9"/>
  <c r="P52" i="9"/>
  <c r="P48" i="9"/>
  <c r="P49" i="9"/>
  <c r="P41" i="9"/>
  <c r="P54" i="9"/>
  <c r="P37" i="9"/>
  <c r="P45" i="9"/>
  <c r="P44" i="9"/>
  <c r="P47" i="9"/>
  <c r="P35" i="9"/>
  <c r="P63" i="9"/>
  <c r="P79" i="9"/>
  <c r="P74" i="9"/>
  <c r="P64" i="9"/>
  <c r="P66" i="9"/>
  <c r="P70" i="9"/>
  <c r="P71" i="9"/>
  <c r="P72" i="9"/>
  <c r="P78" i="9"/>
  <c r="P65" i="9"/>
  <c r="P77" i="9"/>
  <c r="P73" i="9"/>
  <c r="P81" i="9"/>
  <c r="P68" i="9"/>
  <c r="P76" i="9"/>
  <c r="P75" i="9"/>
  <c r="P80" i="9"/>
  <c r="P62" i="9"/>
  <c r="P82" i="9"/>
  <c r="P69" i="9"/>
  <c r="P67" i="9"/>
  <c r="P92" i="9"/>
  <c r="P96" i="9"/>
  <c r="P100" i="9"/>
  <c r="P95" i="9"/>
  <c r="P93" i="9"/>
  <c r="P90" i="9"/>
  <c r="P99" i="9"/>
  <c r="P103" i="9"/>
  <c r="P91" i="9"/>
  <c r="P98" i="9"/>
  <c r="P104" i="9"/>
  <c r="P107" i="9"/>
  <c r="P102" i="9"/>
  <c r="P101" i="9"/>
  <c r="P89" i="9"/>
  <c r="P108" i="9"/>
  <c r="P105" i="9"/>
  <c r="P94" i="9"/>
  <c r="P106" i="9"/>
  <c r="P109" i="9"/>
  <c r="P97" i="9"/>
  <c r="P24" i="9"/>
  <c r="P26" i="9"/>
  <c r="P27" i="9"/>
  <c r="P25" i="9"/>
  <c r="Z516" i="8"/>
  <c r="M516" i="8"/>
  <c r="AH516" i="8"/>
  <c r="B515" i="8"/>
  <c r="L515" i="8"/>
  <c r="G516" i="8"/>
  <c r="I517" i="8"/>
  <c r="AF516" i="8"/>
  <c r="AA516" i="8" s="1"/>
  <c r="A515" i="8"/>
  <c r="AG516" i="8"/>
  <c r="K516" i="8"/>
  <c r="AD515" i="8" l="1"/>
  <c r="Z482" i="8"/>
  <c r="Z1515" i="8"/>
  <c r="Z1521" i="8"/>
  <c r="Z1518" i="8"/>
  <c r="Z1522" i="8"/>
  <c r="Z1529" i="8"/>
  <c r="Z1517" i="8"/>
  <c r="Z1505" i="8"/>
  <c r="Z1510" i="8"/>
  <c r="Z1516" i="8"/>
  <c r="Z1531" i="8"/>
  <c r="Z503" i="8"/>
  <c r="Z1507" i="8"/>
  <c r="Z1500" i="8"/>
  <c r="Z1530" i="8"/>
  <c r="Z1528" i="8"/>
  <c r="Z1526" i="8"/>
  <c r="Z1502" i="8"/>
  <c r="Z1523" i="8"/>
  <c r="Z1513" i="8"/>
  <c r="Z1527" i="8"/>
  <c r="Z1501" i="8"/>
  <c r="Z1504" i="8"/>
  <c r="Z1506" i="8"/>
  <c r="Z1499" i="8"/>
  <c r="Z1511" i="8"/>
  <c r="Z1514" i="8"/>
  <c r="Z1512" i="8"/>
  <c r="Z1525" i="8"/>
  <c r="Z510" i="8"/>
  <c r="Z1520" i="8"/>
  <c r="X1482" i="8"/>
  <c r="Z1509" i="8"/>
  <c r="Z1519" i="8"/>
  <c r="Z1508" i="8"/>
  <c r="Z1524" i="8"/>
  <c r="Z1503" i="8"/>
  <c r="Z1009" i="8"/>
  <c r="Z1003" i="8"/>
  <c r="Z491" i="8"/>
  <c r="Z1012" i="8"/>
  <c r="Z1020" i="8"/>
  <c r="Z1014" i="8"/>
  <c r="Z481" i="8"/>
  <c r="Z509" i="8"/>
  <c r="Z487" i="8"/>
  <c r="Z480" i="8"/>
  <c r="Z992" i="8"/>
  <c r="Z511" i="8"/>
  <c r="Z1001" i="8"/>
  <c r="Z1015" i="8"/>
  <c r="Z494" i="8"/>
  <c r="Z994" i="8"/>
  <c r="Z1006" i="8"/>
  <c r="Z1000" i="8"/>
  <c r="Z484" i="8"/>
  <c r="Z997" i="8"/>
  <c r="Z493" i="8"/>
  <c r="Z1017" i="8"/>
  <c r="Z492" i="8"/>
  <c r="Z1008" i="8"/>
  <c r="Z483" i="8"/>
  <c r="Z499" i="8"/>
  <c r="Z501" i="8"/>
  <c r="Z502" i="8"/>
  <c r="Z996" i="8"/>
  <c r="Z507" i="8"/>
  <c r="Z990" i="8"/>
  <c r="Z999" i="8"/>
  <c r="Z1018" i="8"/>
  <c r="Z496" i="8"/>
  <c r="Z495" i="8"/>
  <c r="Z504" i="8"/>
  <c r="Z1016" i="8"/>
  <c r="Z1019" i="8"/>
  <c r="Z489" i="8"/>
  <c r="Z508" i="8"/>
  <c r="Z1011" i="8"/>
  <c r="Z497" i="8"/>
  <c r="Z498" i="8"/>
  <c r="Z490" i="8"/>
  <c r="Z1007" i="8"/>
  <c r="Z479" i="8"/>
  <c r="X972" i="8"/>
  <c r="Z1004" i="8"/>
  <c r="Z1010" i="8"/>
  <c r="X462" i="8"/>
  <c r="Z989" i="8"/>
  <c r="Z506" i="8"/>
  <c r="Z500" i="8"/>
  <c r="P28" i="9"/>
  <c r="Z488" i="8"/>
  <c r="Z485" i="8"/>
  <c r="Z1013" i="8"/>
  <c r="Z991" i="8"/>
  <c r="Z505" i="8"/>
  <c r="Z1002" i="8"/>
  <c r="Z486" i="8"/>
  <c r="Z1021" i="8"/>
  <c r="Z1005" i="8"/>
  <c r="Z998" i="8"/>
  <c r="Z995" i="8"/>
  <c r="Z993" i="8"/>
  <c r="AI515" i="8"/>
  <c r="E516" i="8"/>
  <c r="F516" i="8"/>
  <c r="Z517" i="8"/>
  <c r="M517" i="8"/>
  <c r="AH517" i="8"/>
  <c r="B516" i="8"/>
  <c r="L516" i="8"/>
  <c r="I518" i="8"/>
  <c r="AF517" i="8"/>
  <c r="AA517" i="8" s="1"/>
  <c r="G517" i="8"/>
  <c r="K517" i="8"/>
  <c r="AG517" i="8"/>
  <c r="A516" i="8"/>
  <c r="AD516" i="8" l="1"/>
  <c r="X1483" i="8"/>
  <c r="X973" i="8"/>
  <c r="P113" i="9"/>
  <c r="X463" i="8"/>
  <c r="AI516" i="8"/>
  <c r="F517" i="8"/>
  <c r="E517" i="8"/>
  <c r="Z518" i="8"/>
  <c r="M518" i="8"/>
  <c r="AH518" i="8"/>
  <c r="B517" i="8"/>
  <c r="L517" i="8"/>
  <c r="AF518" i="8"/>
  <c r="AA518" i="8" s="1"/>
  <c r="G518" i="8"/>
  <c r="AG518" i="8"/>
  <c r="I519" i="8"/>
  <c r="K518" i="8"/>
  <c r="A517" i="8"/>
  <c r="AD517" i="8" l="1"/>
  <c r="X464" i="8"/>
  <c r="X974" i="8"/>
  <c r="X1484" i="8"/>
  <c r="E518" i="8"/>
  <c r="AI517" i="8"/>
  <c r="F518" i="8"/>
  <c r="Z519" i="8"/>
  <c r="M519" i="8"/>
  <c r="AH519" i="8"/>
  <c r="B518" i="8"/>
  <c r="L518" i="8"/>
  <c r="A518" i="8"/>
  <c r="K519" i="8"/>
  <c r="I520" i="8"/>
  <c r="AG519" i="8"/>
  <c r="G519" i="8"/>
  <c r="AF519" i="8"/>
  <c r="AA519" i="8" s="1"/>
  <c r="AD518" i="8" l="1"/>
  <c r="X975" i="8"/>
  <c r="X465" i="8"/>
  <c r="X1485" i="8"/>
  <c r="P114" i="9"/>
  <c r="F519" i="8"/>
  <c r="E519" i="8"/>
  <c r="AI518" i="8"/>
  <c r="Z520" i="8"/>
  <c r="M520" i="8"/>
  <c r="AH520" i="8"/>
  <c r="B519" i="8"/>
  <c r="L519" i="8"/>
  <c r="K520" i="8"/>
  <c r="AG520" i="8"/>
  <c r="I521" i="8"/>
  <c r="AF520" i="8"/>
  <c r="AA520" i="8" s="1"/>
  <c r="A519" i="8"/>
  <c r="G520" i="8"/>
  <c r="AD519" i="8" l="1"/>
  <c r="X976" i="8"/>
  <c r="X466" i="8"/>
  <c r="X1486" i="8"/>
  <c r="E520" i="8"/>
  <c r="AI519" i="8"/>
  <c r="F520" i="8"/>
  <c r="Z521" i="8"/>
  <c r="M521" i="8"/>
  <c r="AH521" i="8"/>
  <c r="B520" i="8"/>
  <c r="L520" i="8"/>
  <c r="G521" i="8"/>
  <c r="K521" i="8"/>
  <c r="AG521" i="8"/>
  <c r="AF521" i="8"/>
  <c r="AA521" i="8" s="1"/>
  <c r="I522" i="8"/>
  <c r="A520" i="8"/>
  <c r="AD520" i="8" l="1"/>
  <c r="X977" i="8"/>
  <c r="X467" i="8"/>
  <c r="X1487" i="8"/>
  <c r="AI520" i="8"/>
  <c r="F521" i="8"/>
  <c r="E521" i="8"/>
  <c r="Z522" i="8"/>
  <c r="M522" i="8"/>
  <c r="AH522" i="8"/>
  <c r="B521" i="8"/>
  <c r="L521" i="8"/>
  <c r="A521" i="8"/>
  <c r="G522" i="8"/>
  <c r="K522" i="8"/>
  <c r="I523" i="8"/>
  <c r="AG522" i="8"/>
  <c r="AF522" i="8"/>
  <c r="AA522" i="8" s="1"/>
  <c r="AD521" i="8" l="1"/>
  <c r="X978" i="8"/>
  <c r="X468" i="8"/>
  <c r="X1488" i="8"/>
  <c r="AI521" i="8"/>
  <c r="F522" i="8"/>
  <c r="E522" i="8"/>
  <c r="Z523" i="8"/>
  <c r="M523" i="8"/>
  <c r="AH523" i="8"/>
  <c r="B522" i="8"/>
  <c r="L522" i="8"/>
  <c r="AF523" i="8"/>
  <c r="AA523" i="8" s="1"/>
  <c r="G523" i="8"/>
  <c r="AG523" i="8"/>
  <c r="A522" i="8"/>
  <c r="K523" i="8"/>
  <c r="I524" i="8"/>
  <c r="X469" i="8" l="1"/>
  <c r="AD522" i="8"/>
  <c r="X979" i="8"/>
  <c r="X1489" i="8"/>
  <c r="AI522" i="8"/>
  <c r="E523" i="8"/>
  <c r="F523" i="8"/>
  <c r="Z524" i="8"/>
  <c r="M524" i="8"/>
  <c r="AH524" i="8"/>
  <c r="B523" i="8"/>
  <c r="L523" i="8"/>
  <c r="AG524" i="8"/>
  <c r="I525" i="8"/>
  <c r="AF524" i="8"/>
  <c r="AA524" i="8" s="1"/>
  <c r="A523" i="8"/>
  <c r="K524" i="8"/>
  <c r="G524" i="8"/>
  <c r="X470" i="8" l="1"/>
  <c r="AD523" i="8"/>
  <c r="X980" i="8"/>
  <c r="X1490" i="8"/>
  <c r="AI523" i="8"/>
  <c r="E524" i="8"/>
  <c r="F524" i="8"/>
  <c r="Z525" i="8"/>
  <c r="M525" i="8"/>
  <c r="AH525" i="8"/>
  <c r="B524" i="8"/>
  <c r="L524" i="8"/>
  <c r="AG525" i="8"/>
  <c r="G525" i="8"/>
  <c r="AF525" i="8"/>
  <c r="AA525" i="8" s="1"/>
  <c r="A524" i="8"/>
  <c r="I526" i="8"/>
  <c r="K525" i="8"/>
  <c r="X471" i="8" l="1"/>
  <c r="AD524" i="8"/>
  <c r="X981" i="8"/>
  <c r="X1491" i="8"/>
  <c r="AI524" i="8"/>
  <c r="F525" i="8"/>
  <c r="E525" i="8"/>
  <c r="Z526" i="8"/>
  <c r="M526" i="8"/>
  <c r="AH526" i="8"/>
  <c r="B525" i="8"/>
  <c r="L525" i="8"/>
  <c r="K526" i="8"/>
  <c r="A525" i="8"/>
  <c r="AF526" i="8"/>
  <c r="AA526" i="8" s="1"/>
  <c r="G526" i="8"/>
  <c r="AG526" i="8"/>
  <c r="I527" i="8"/>
  <c r="X472" i="8" l="1"/>
  <c r="AD525" i="8"/>
  <c r="X982" i="8"/>
  <c r="X1492" i="8"/>
  <c r="AI525" i="8"/>
  <c r="F526" i="8"/>
  <c r="E526" i="8"/>
  <c r="Z527" i="8"/>
  <c r="M527" i="8"/>
  <c r="AH527" i="8"/>
  <c r="B526" i="8"/>
  <c r="L526" i="8"/>
  <c r="AG527" i="8"/>
  <c r="A526" i="8"/>
  <c r="G527" i="8"/>
  <c r="I528" i="8"/>
  <c r="K527" i="8"/>
  <c r="AF527" i="8"/>
  <c r="AA527" i="8" s="1"/>
  <c r="X473" i="8" l="1"/>
  <c r="AD526" i="8"/>
  <c r="X983" i="8"/>
  <c r="X1493" i="8"/>
  <c r="AI526" i="8"/>
  <c r="F527" i="8"/>
  <c r="E527" i="8"/>
  <c r="Z528" i="8"/>
  <c r="M528" i="8"/>
  <c r="AH528" i="8"/>
  <c r="B527" i="8"/>
  <c r="L527" i="8"/>
  <c r="AF528" i="8"/>
  <c r="AA528" i="8" s="1"/>
  <c r="A527" i="8"/>
  <c r="I529" i="8"/>
  <c r="K528" i="8"/>
  <c r="G528" i="8"/>
  <c r="AG528" i="8"/>
  <c r="X474" i="8" l="1"/>
  <c r="AD527" i="8"/>
  <c r="X984" i="8"/>
  <c r="X1494" i="8"/>
  <c r="AI527" i="8"/>
  <c r="E528" i="8"/>
  <c r="F528" i="8"/>
  <c r="Z529" i="8"/>
  <c r="M529" i="8"/>
  <c r="AH529" i="8"/>
  <c r="B528" i="8"/>
  <c r="L528" i="8"/>
  <c r="K529" i="8"/>
  <c r="AF529" i="8"/>
  <c r="AA529" i="8" s="1"/>
  <c r="AG529" i="8"/>
  <c r="I530" i="8"/>
  <c r="G529" i="8"/>
  <c r="A528" i="8"/>
  <c r="X475" i="8" l="1"/>
  <c r="AD528" i="8"/>
  <c r="X985" i="8"/>
  <c r="X1495" i="8"/>
  <c r="AI528" i="8"/>
  <c r="E529" i="8"/>
  <c r="F529" i="8"/>
  <c r="M530" i="8"/>
  <c r="AH530" i="8"/>
  <c r="B529" i="8"/>
  <c r="L529" i="8"/>
  <c r="K530" i="8"/>
  <c r="AF530" i="8"/>
  <c r="AA530" i="8" s="1"/>
  <c r="I531" i="8"/>
  <c r="G530" i="8"/>
  <c r="AG530" i="8"/>
  <c r="A529" i="8"/>
  <c r="X476" i="8" l="1"/>
  <c r="X477" i="8" s="1"/>
  <c r="AD529" i="8"/>
  <c r="X986" i="8"/>
  <c r="X1496" i="8"/>
  <c r="AI529" i="8"/>
  <c r="E530" i="8"/>
  <c r="F530" i="8"/>
  <c r="M531" i="8"/>
  <c r="AH531" i="8"/>
  <c r="B530" i="8"/>
  <c r="L530" i="8"/>
  <c r="I532" i="8"/>
  <c r="AF531" i="8"/>
  <c r="AA531" i="8" s="1"/>
  <c r="AG531" i="8"/>
  <c r="G531" i="8"/>
  <c r="A530" i="8"/>
  <c r="K531" i="8"/>
  <c r="X478" i="8" l="1"/>
  <c r="AD530" i="8"/>
  <c r="X987" i="8"/>
  <c r="X1497" i="8"/>
  <c r="F531" i="8"/>
  <c r="AI530" i="8"/>
  <c r="E531" i="8"/>
  <c r="M532" i="8"/>
  <c r="AH532" i="8"/>
  <c r="B531" i="8"/>
  <c r="L531" i="8"/>
  <c r="K532" i="8"/>
  <c r="G532" i="8"/>
  <c r="I533" i="8"/>
  <c r="AG532" i="8"/>
  <c r="AF532" i="8"/>
  <c r="AA532" i="8" s="1"/>
  <c r="A531" i="8"/>
  <c r="X479" i="8" l="1"/>
  <c r="AD531" i="8"/>
  <c r="X988" i="8"/>
  <c r="X1498" i="8"/>
  <c r="AI531" i="8"/>
  <c r="E532" i="8"/>
  <c r="F532" i="8"/>
  <c r="M533" i="8"/>
  <c r="AH533" i="8"/>
  <c r="B532" i="8"/>
  <c r="L532" i="8"/>
  <c r="AF533" i="8"/>
  <c r="AA533" i="8" s="1"/>
  <c r="G533" i="8"/>
  <c r="AG533" i="8"/>
  <c r="I534" i="8"/>
  <c r="K533" i="8"/>
  <c r="A532" i="8"/>
  <c r="X480" i="8" l="1"/>
  <c r="X481" i="8" s="1"/>
  <c r="AD532" i="8"/>
  <c r="X989" i="8"/>
  <c r="X1499" i="8"/>
  <c r="AI532" i="8"/>
  <c r="F533" i="8"/>
  <c r="E533" i="8"/>
  <c r="M534" i="8"/>
  <c r="AH534" i="8"/>
  <c r="B533" i="8"/>
  <c r="L533" i="8"/>
  <c r="A533" i="8"/>
  <c r="AF534" i="8"/>
  <c r="AA534" i="8" s="1"/>
  <c r="G534" i="8"/>
  <c r="I535" i="8"/>
  <c r="AG534" i="8"/>
  <c r="K534" i="8"/>
  <c r="AD533" i="8" l="1"/>
  <c r="X990" i="8"/>
  <c r="X1500" i="8"/>
  <c r="X482" i="8"/>
  <c r="F534" i="8"/>
  <c r="AI533" i="8"/>
  <c r="E534" i="8"/>
  <c r="M535" i="8"/>
  <c r="AH535" i="8"/>
  <c r="B534" i="8"/>
  <c r="L534" i="8"/>
  <c r="A534" i="8"/>
  <c r="K535" i="8"/>
  <c r="I536" i="8"/>
  <c r="AF535" i="8"/>
  <c r="AA535" i="8" s="1"/>
  <c r="AG535" i="8"/>
  <c r="G535" i="8"/>
  <c r="AD534" i="8" l="1"/>
  <c r="X991" i="8"/>
  <c r="X1501" i="8"/>
  <c r="E535" i="8"/>
  <c r="AI534" i="8"/>
  <c r="F535" i="8"/>
  <c r="X483" i="8"/>
  <c r="M536" i="8"/>
  <c r="AH536" i="8"/>
  <c r="B535" i="8"/>
  <c r="L535" i="8"/>
  <c r="AF536" i="8"/>
  <c r="AA536" i="8" s="1"/>
  <c r="AG536" i="8"/>
  <c r="K536" i="8"/>
  <c r="I537" i="8"/>
  <c r="G536" i="8"/>
  <c r="A535" i="8"/>
  <c r="X992" i="8" l="1"/>
  <c r="AD535" i="8"/>
  <c r="X1502" i="8"/>
  <c r="AI535" i="8"/>
  <c r="E536" i="8"/>
  <c r="X484" i="8"/>
  <c r="F536" i="8"/>
  <c r="M537" i="8"/>
  <c r="AH537" i="8"/>
  <c r="B536" i="8"/>
  <c r="L536" i="8"/>
  <c r="AF537" i="8"/>
  <c r="AA537" i="8" s="1"/>
  <c r="I538" i="8"/>
  <c r="G537" i="8"/>
  <c r="K537" i="8"/>
  <c r="AG537" i="8"/>
  <c r="A536" i="8"/>
  <c r="X993" i="8" l="1"/>
  <c r="AD536" i="8"/>
  <c r="X1503" i="8"/>
  <c r="AI536" i="8"/>
  <c r="F537" i="8"/>
  <c r="E537" i="8"/>
  <c r="X485" i="8"/>
  <c r="M538" i="8"/>
  <c r="AH538" i="8"/>
  <c r="B537" i="8"/>
  <c r="L537" i="8"/>
  <c r="AF538" i="8"/>
  <c r="AA538" i="8" s="1"/>
  <c r="A537" i="8"/>
  <c r="AG538" i="8"/>
  <c r="K538" i="8"/>
  <c r="I539" i="8"/>
  <c r="G538" i="8"/>
  <c r="X994" i="8" l="1"/>
  <c r="AD537" i="8"/>
  <c r="X1504" i="8"/>
  <c r="E538" i="8"/>
  <c r="AI537" i="8"/>
  <c r="F538" i="8"/>
  <c r="X486" i="8"/>
  <c r="M539" i="8"/>
  <c r="AH539" i="8"/>
  <c r="B538" i="8"/>
  <c r="L538" i="8"/>
  <c r="I540" i="8"/>
  <c r="K539" i="8"/>
  <c r="AF539" i="8"/>
  <c r="AA539" i="8" s="1"/>
  <c r="A538" i="8"/>
  <c r="G539" i="8"/>
  <c r="AG539" i="8"/>
  <c r="X995" i="8" l="1"/>
  <c r="AD538" i="8"/>
  <c r="X1505" i="8"/>
  <c r="AI538" i="8"/>
  <c r="F539" i="8"/>
  <c r="X487" i="8"/>
  <c r="E539" i="8"/>
  <c r="M540" i="8"/>
  <c r="AH540" i="8"/>
  <c r="B539" i="8"/>
  <c r="AG540" i="8"/>
  <c r="I541" i="8"/>
  <c r="G540" i="8"/>
  <c r="AF540" i="8"/>
  <c r="AA540" i="8" s="1"/>
  <c r="K540" i="8"/>
  <c r="L539" i="8"/>
  <c r="A539" i="8"/>
  <c r="X996" i="8" l="1"/>
  <c r="AD539" i="8"/>
  <c r="X1506" i="8"/>
  <c r="AI539" i="8"/>
  <c r="E540" i="8"/>
  <c r="X488" i="8"/>
  <c r="F540" i="8"/>
  <c r="M541" i="8"/>
  <c r="AH541" i="8"/>
  <c r="B540" i="8"/>
  <c r="I542" i="8"/>
  <c r="AG541" i="8"/>
  <c r="K541" i="8"/>
  <c r="AF541" i="8"/>
  <c r="AA541" i="8" s="1"/>
  <c r="G541" i="8"/>
  <c r="A540" i="8"/>
  <c r="L540" i="8"/>
  <c r="X997" i="8" l="1"/>
  <c r="AD540" i="8"/>
  <c r="X1507" i="8"/>
  <c r="AI540" i="8"/>
  <c r="F541" i="8"/>
  <c r="X489" i="8"/>
  <c r="E541" i="8"/>
  <c r="M542" i="8"/>
  <c r="AH542" i="8"/>
  <c r="B541" i="8"/>
  <c r="G542" i="8"/>
  <c r="I543" i="8"/>
  <c r="K542" i="8"/>
  <c r="L541" i="8"/>
  <c r="AG542" i="8"/>
  <c r="AF542" i="8"/>
  <c r="AA542" i="8" s="1"/>
  <c r="A541" i="8"/>
  <c r="X998" i="8" l="1"/>
  <c r="AD541" i="8"/>
  <c r="X1508" i="8"/>
  <c r="AI541" i="8"/>
  <c r="E542" i="8"/>
  <c r="X490" i="8"/>
  <c r="F542" i="8"/>
  <c r="M543" i="8"/>
  <c r="AH543" i="8"/>
  <c r="B542" i="8"/>
  <c r="L542" i="8"/>
  <c r="A542" i="8"/>
  <c r="K543" i="8"/>
  <c r="G543" i="8"/>
  <c r="AF543" i="8"/>
  <c r="AA543" i="8" s="1"/>
  <c r="AG543" i="8"/>
  <c r="I544" i="8"/>
  <c r="X999" i="8" l="1"/>
  <c r="AD542" i="8"/>
  <c r="X1509" i="8"/>
  <c r="AI542" i="8"/>
  <c r="E543" i="8"/>
  <c r="F543" i="8"/>
  <c r="X491" i="8"/>
  <c r="M544" i="8"/>
  <c r="AH544" i="8"/>
  <c r="B543" i="8"/>
  <c r="A543" i="8"/>
  <c r="L543" i="8"/>
  <c r="I545" i="8"/>
  <c r="K544" i="8"/>
  <c r="AF544" i="8"/>
  <c r="AA544" i="8" s="1"/>
  <c r="G544" i="8"/>
  <c r="AG544" i="8"/>
  <c r="X1000" i="8" l="1"/>
  <c r="X1001" i="8" s="1"/>
  <c r="AD543" i="8"/>
  <c r="X1510" i="8"/>
  <c r="AI543" i="8"/>
  <c r="X492" i="8"/>
  <c r="F544" i="8"/>
  <c r="E544" i="8"/>
  <c r="M545" i="8"/>
  <c r="AH545" i="8"/>
  <c r="B544" i="8"/>
  <c r="K545" i="8"/>
  <c r="L544" i="8"/>
  <c r="AG545" i="8"/>
  <c r="I546" i="8"/>
  <c r="A544" i="8"/>
  <c r="G545" i="8"/>
  <c r="AF545" i="8"/>
  <c r="AA545" i="8" s="1"/>
  <c r="AD544" i="8" l="1"/>
  <c r="X1511" i="8"/>
  <c r="AI544" i="8"/>
  <c r="E545" i="8"/>
  <c r="F545" i="8"/>
  <c r="X1002" i="8"/>
  <c r="X493" i="8"/>
  <c r="M546" i="8"/>
  <c r="AH546" i="8"/>
  <c r="L545" i="8"/>
  <c r="B545" i="8"/>
  <c r="K546" i="8"/>
  <c r="G546" i="8"/>
  <c r="A545" i="8"/>
  <c r="AG546" i="8"/>
  <c r="AF546" i="8"/>
  <c r="AA546" i="8" s="1"/>
  <c r="I547" i="8"/>
  <c r="AD545" i="8" l="1"/>
  <c r="X1512" i="8"/>
  <c r="AI545" i="8"/>
  <c r="X1003" i="8"/>
  <c r="E546" i="8"/>
  <c r="F546" i="8"/>
  <c r="X494" i="8"/>
  <c r="M547" i="8"/>
  <c r="AH547" i="8"/>
  <c r="L546" i="8"/>
  <c r="B546" i="8"/>
  <c r="A546" i="8"/>
  <c r="K547" i="8"/>
  <c r="AF547" i="8"/>
  <c r="AA547" i="8" s="1"/>
  <c r="I548" i="8"/>
  <c r="AG547" i="8"/>
  <c r="G547" i="8"/>
  <c r="AD546" i="8" l="1"/>
  <c r="X1513" i="8"/>
  <c r="AI546" i="8"/>
  <c r="X1004" i="8"/>
  <c r="F547" i="8"/>
  <c r="E547" i="8"/>
  <c r="X495" i="8"/>
  <c r="M548" i="8"/>
  <c r="AH548" i="8"/>
  <c r="B547" i="8"/>
  <c r="L547" i="8"/>
  <c r="AF548" i="8"/>
  <c r="AA548" i="8" s="1"/>
  <c r="A547" i="8"/>
  <c r="I549" i="8"/>
  <c r="K548" i="8"/>
  <c r="G548" i="8"/>
  <c r="AG548" i="8"/>
  <c r="AD547" i="8" l="1"/>
  <c r="X1514" i="8"/>
  <c r="AI547" i="8"/>
  <c r="E548" i="8"/>
  <c r="F548" i="8"/>
  <c r="X496" i="8"/>
  <c r="X1005" i="8"/>
  <c r="M549" i="8"/>
  <c r="AH549" i="8"/>
  <c r="L548" i="8"/>
  <c r="B548" i="8"/>
  <c r="I550" i="8"/>
  <c r="G549" i="8"/>
  <c r="K549" i="8"/>
  <c r="A548" i="8"/>
  <c r="AG549" i="8"/>
  <c r="AF549" i="8"/>
  <c r="AA549" i="8" s="1"/>
  <c r="AD548" i="8" l="1"/>
  <c r="X1515" i="8"/>
  <c r="AI548" i="8"/>
  <c r="E549" i="8"/>
  <c r="X1006" i="8"/>
  <c r="X497" i="8"/>
  <c r="F549" i="8"/>
  <c r="M550" i="8"/>
  <c r="AH550" i="8"/>
  <c r="L549" i="8"/>
  <c r="G550" i="8"/>
  <c r="B549" i="8"/>
  <c r="I551" i="8"/>
  <c r="AF550" i="8"/>
  <c r="AA550" i="8" s="1"/>
  <c r="K550" i="8"/>
  <c r="A549" i="8"/>
  <c r="AG550" i="8"/>
  <c r="AD549" i="8" l="1"/>
  <c r="X1516" i="8"/>
  <c r="AI549" i="8"/>
  <c r="X498" i="8"/>
  <c r="A550" i="8"/>
  <c r="X1007" i="8"/>
  <c r="F550" i="8"/>
  <c r="E550" i="8"/>
  <c r="M551" i="8"/>
  <c r="AH551" i="8"/>
  <c r="L550" i="8"/>
  <c r="AG551" i="8"/>
  <c r="G551" i="8"/>
  <c r="B550" i="8"/>
  <c r="I552" i="8"/>
  <c r="AF551" i="8"/>
  <c r="AA551" i="8" s="1"/>
  <c r="K551" i="8"/>
  <c r="AD550" i="8" l="1"/>
  <c r="X1517" i="8"/>
  <c r="AI550" i="8"/>
  <c r="X499" i="8"/>
  <c r="X1008" i="8"/>
  <c r="F551" i="8"/>
  <c r="A551" i="8"/>
  <c r="E551" i="8"/>
  <c r="M552" i="8"/>
  <c r="AH552" i="8"/>
  <c r="I553" i="8"/>
  <c r="L551" i="8"/>
  <c r="G552" i="8"/>
  <c r="K552" i="8"/>
  <c r="AF552" i="8"/>
  <c r="AA552" i="8" s="1"/>
  <c r="AG552" i="8"/>
  <c r="B551" i="8"/>
  <c r="AD551" i="8" l="1"/>
  <c r="X1518" i="8"/>
  <c r="AI551" i="8"/>
  <c r="X500" i="8"/>
  <c r="X1009" i="8"/>
  <c r="F552" i="8"/>
  <c r="B552" i="8"/>
  <c r="E552" i="8"/>
  <c r="M553" i="8"/>
  <c r="AH553" i="8"/>
  <c r="AF553" i="8"/>
  <c r="AA553" i="8" s="1"/>
  <c r="AG553" i="8"/>
  <c r="K553" i="8"/>
  <c r="I554" i="8"/>
  <c r="G553" i="8"/>
  <c r="L552" i="8"/>
  <c r="A552" i="8"/>
  <c r="AD552" i="8" l="1"/>
  <c r="X1519" i="8"/>
  <c r="B553" i="8"/>
  <c r="AI552" i="8"/>
  <c r="X1010" i="8"/>
  <c r="F553" i="8"/>
  <c r="X501" i="8"/>
  <c r="E553" i="8"/>
  <c r="M554" i="8"/>
  <c r="AH554" i="8"/>
  <c r="L553" i="8"/>
  <c r="AG554" i="8"/>
  <c r="A553" i="8"/>
  <c r="K554" i="8"/>
  <c r="AF554" i="8"/>
  <c r="AA554" i="8" s="1"/>
  <c r="G554" i="8"/>
  <c r="I555" i="8"/>
  <c r="AD553" i="8" l="1"/>
  <c r="X1520" i="8"/>
  <c r="X1011" i="8"/>
  <c r="A554" i="8"/>
  <c r="F554" i="8"/>
  <c r="X502" i="8"/>
  <c r="AI553" i="8"/>
  <c r="E554" i="8"/>
  <c r="M555" i="8"/>
  <c r="AH555" i="8"/>
  <c r="L554" i="8"/>
  <c r="B554" i="8"/>
  <c r="K555" i="8"/>
  <c r="AF555" i="8"/>
  <c r="AA555" i="8" s="1"/>
  <c r="I556" i="8"/>
  <c r="G555" i="8"/>
  <c r="AG555" i="8"/>
  <c r="AD554" i="8" l="1"/>
  <c r="X1521" i="8"/>
  <c r="B555" i="8"/>
  <c r="X503" i="8"/>
  <c r="AI554" i="8"/>
  <c r="F555" i="8"/>
  <c r="X1012" i="8"/>
  <c r="E555" i="8"/>
  <c r="M556" i="8"/>
  <c r="AH556" i="8"/>
  <c r="L555" i="8"/>
  <c r="AF556" i="8"/>
  <c r="AA556" i="8" s="1"/>
  <c r="AG556" i="8"/>
  <c r="K556" i="8"/>
  <c r="G556" i="8"/>
  <c r="A555" i="8"/>
  <c r="I557" i="8"/>
  <c r="AD555" i="8" l="1"/>
  <c r="X1522" i="8"/>
  <c r="A556" i="8"/>
  <c r="AI555" i="8"/>
  <c r="F556" i="8"/>
  <c r="X1013" i="8"/>
  <c r="X504" i="8"/>
  <c r="E556" i="8"/>
  <c r="M557" i="8"/>
  <c r="AH557" i="8"/>
  <c r="L556" i="8"/>
  <c r="I558" i="8"/>
  <c r="B556" i="8"/>
  <c r="K557" i="8"/>
  <c r="G557" i="8"/>
  <c r="AG557" i="8"/>
  <c r="AF557" i="8"/>
  <c r="AA557" i="8" s="1"/>
  <c r="AD556" i="8" l="1"/>
  <c r="X1523" i="8"/>
  <c r="X1014" i="8"/>
  <c r="AI556" i="8"/>
  <c r="F557" i="8"/>
  <c r="B557" i="8"/>
  <c r="X505" i="8"/>
  <c r="E557" i="8"/>
  <c r="M558" i="8"/>
  <c r="AH558" i="8"/>
  <c r="L557" i="8"/>
  <c r="G558" i="8"/>
  <c r="K558" i="8"/>
  <c r="I559" i="8"/>
  <c r="AG558" i="8"/>
  <c r="AF558" i="8"/>
  <c r="AA558" i="8" s="1"/>
  <c r="A557" i="8"/>
  <c r="AD557" i="8" l="1"/>
  <c r="X1524" i="8"/>
  <c r="AI557" i="8"/>
  <c r="F558" i="8"/>
  <c r="X506" i="8"/>
  <c r="B558" i="8"/>
  <c r="X1015" i="8"/>
  <c r="E558" i="8"/>
  <c r="M559" i="8"/>
  <c r="AH559" i="8"/>
  <c r="L558" i="8"/>
  <c r="AF559" i="8"/>
  <c r="AA559" i="8" s="1"/>
  <c r="A558" i="8"/>
  <c r="I560" i="8"/>
  <c r="G559" i="8"/>
  <c r="AG559" i="8"/>
  <c r="K559" i="8"/>
  <c r="AD558" i="8" l="1"/>
  <c r="X1525" i="8"/>
  <c r="F559" i="8"/>
  <c r="B559" i="8"/>
  <c r="X1016" i="8"/>
  <c r="AI558" i="8"/>
  <c r="X507" i="8"/>
  <c r="E559" i="8"/>
  <c r="M560" i="8"/>
  <c r="AH560" i="8"/>
  <c r="L559" i="8"/>
  <c r="AG560" i="8"/>
  <c r="K560" i="8"/>
  <c r="A559" i="8"/>
  <c r="AF560" i="8"/>
  <c r="AA560" i="8" s="1"/>
  <c r="I561" i="8"/>
  <c r="G560" i="8"/>
  <c r="AD559" i="8" l="1"/>
  <c r="X1526" i="8"/>
  <c r="B560" i="8"/>
  <c r="AI559" i="8"/>
  <c r="X1017" i="8"/>
  <c r="F560" i="8"/>
  <c r="X508" i="8"/>
  <c r="E560" i="8"/>
  <c r="M561" i="8"/>
  <c r="AH561" i="8"/>
  <c r="L560" i="8"/>
  <c r="I562" i="8"/>
  <c r="AF561" i="8"/>
  <c r="AA561" i="8" s="1"/>
  <c r="K561" i="8"/>
  <c r="A560" i="8"/>
  <c r="G561" i="8"/>
  <c r="AG561" i="8"/>
  <c r="I563" i="8"/>
  <c r="AD560" i="8" l="1"/>
  <c r="X1527" i="8"/>
  <c r="AI560" i="8"/>
  <c r="X1018" i="8"/>
  <c r="A561" i="8"/>
  <c r="F561" i="8"/>
  <c r="X509" i="8"/>
  <c r="E561" i="8"/>
  <c r="W563" i="8"/>
  <c r="Z563" i="8"/>
  <c r="X563" i="8"/>
  <c r="M562" i="8"/>
  <c r="M563" i="8"/>
  <c r="AH562" i="8"/>
  <c r="AH563" i="8"/>
  <c r="L561" i="8"/>
  <c r="K562" i="8"/>
  <c r="AG562" i="8"/>
  <c r="G562" i="8"/>
  <c r="AF562" i="8"/>
  <c r="AA562" i="8" s="1"/>
  <c r="B561" i="8"/>
  <c r="AF563" i="8"/>
  <c r="AA563" i="8" s="1"/>
  <c r="I564" i="8"/>
  <c r="G563" i="8"/>
  <c r="K563" i="8"/>
  <c r="AG563" i="8"/>
  <c r="AD561" i="8" l="1"/>
  <c r="X1528" i="8"/>
  <c r="F563" i="8"/>
  <c r="F562" i="8"/>
  <c r="AI561" i="8"/>
  <c r="X1019" i="8"/>
  <c r="B562" i="8"/>
  <c r="X510" i="8"/>
  <c r="E562" i="8"/>
  <c r="Z564" i="8"/>
  <c r="M564" i="8"/>
  <c r="AH564" i="8"/>
  <c r="A562" i="8"/>
  <c r="L562" i="8"/>
  <c r="L563" i="8"/>
  <c r="B563" i="8"/>
  <c r="G564" i="8"/>
  <c r="AG564" i="8"/>
  <c r="I565" i="8"/>
  <c r="AF564" i="8"/>
  <c r="AA564" i="8" s="1"/>
  <c r="K564" i="8"/>
  <c r="A563" i="8"/>
  <c r="AD562" i="8" l="1"/>
  <c r="AD563" i="8"/>
  <c r="X1529" i="8"/>
  <c r="AI562" i="8"/>
  <c r="X511" i="8"/>
  <c r="F564" i="8"/>
  <c r="E564" i="8"/>
  <c r="X1020" i="8"/>
  <c r="Z565" i="8"/>
  <c r="M565" i="8"/>
  <c r="AH565" i="8"/>
  <c r="B564" i="8"/>
  <c r="L564" i="8"/>
  <c r="AG565" i="8"/>
  <c r="A564" i="8"/>
  <c r="I566" i="8"/>
  <c r="K565" i="8"/>
  <c r="AF565" i="8"/>
  <c r="AA565" i="8" s="1"/>
  <c r="G565" i="8"/>
  <c r="W3" i="8" l="1"/>
  <c r="AD564" i="8"/>
  <c r="X1530" i="8"/>
  <c r="E717" i="8"/>
  <c r="AI564" i="8"/>
  <c r="W5" i="8"/>
  <c r="W6" i="8"/>
  <c r="W555" i="8"/>
  <c r="W1068" i="8"/>
  <c r="W10" i="8"/>
  <c r="W35" i="8"/>
  <c r="W523" i="8"/>
  <c r="W8" i="8"/>
  <c r="W561" i="8"/>
  <c r="W516" i="8"/>
  <c r="E666" i="8"/>
  <c r="W15" i="8"/>
  <c r="W556" i="8"/>
  <c r="W513" i="8"/>
  <c r="W545" i="8"/>
  <c r="W539" i="8"/>
  <c r="W1041" i="8"/>
  <c r="W46" i="8"/>
  <c r="W537" i="8"/>
  <c r="W1036" i="8"/>
  <c r="W50" i="8"/>
  <c r="W1044" i="8"/>
  <c r="W31" i="8"/>
  <c r="W30" i="8"/>
  <c r="W532" i="8"/>
  <c r="W16" i="8"/>
  <c r="W34" i="8"/>
  <c r="W27" i="8"/>
  <c r="W540" i="8"/>
  <c r="W521" i="8"/>
  <c r="W1049" i="8"/>
  <c r="W21" i="8"/>
  <c r="W29" i="8"/>
  <c r="W553" i="8"/>
  <c r="W531" i="8"/>
  <c r="W1065" i="8"/>
  <c r="W1033" i="8"/>
  <c r="W11" i="8"/>
  <c r="W52" i="8"/>
  <c r="W548" i="8"/>
  <c r="W529" i="8"/>
  <c r="W1060" i="8"/>
  <c r="W1028" i="8"/>
  <c r="W26" i="8"/>
  <c r="W40" i="8"/>
  <c r="W36" i="8"/>
  <c r="W547" i="8"/>
  <c r="W524" i="8"/>
  <c r="W1057" i="8"/>
  <c r="W1025" i="8"/>
  <c r="W1052" i="8"/>
  <c r="E563" i="8"/>
  <c r="K8" i="10"/>
  <c r="A144" i="9" s="1"/>
  <c r="W515" i="8"/>
  <c r="W1067" i="8"/>
  <c r="W1059" i="8"/>
  <c r="W1051" i="8"/>
  <c r="W1043" i="8"/>
  <c r="W1035" i="8"/>
  <c r="W1027" i="8"/>
  <c r="W18" i="8"/>
  <c r="W23" i="8"/>
  <c r="W13" i="8"/>
  <c r="W42" i="8"/>
  <c r="W38" i="8"/>
  <c r="W44" i="8"/>
  <c r="W562" i="8"/>
  <c r="W554" i="8"/>
  <c r="W546" i="8"/>
  <c r="W538" i="8"/>
  <c r="W530" i="8"/>
  <c r="W522" i="8"/>
  <c r="W514" i="8"/>
  <c r="W1066" i="8"/>
  <c r="W1058" i="8"/>
  <c r="W1050" i="8"/>
  <c r="W1042" i="8"/>
  <c r="W1034" i="8"/>
  <c r="W1026" i="8"/>
  <c r="X1021" i="8"/>
  <c r="W20" i="8"/>
  <c r="W28" i="8"/>
  <c r="W544" i="8"/>
  <c r="W520" i="8"/>
  <c r="W1056" i="8"/>
  <c r="W1032" i="8"/>
  <c r="W17" i="8"/>
  <c r="W19" i="8"/>
  <c r="W12" i="8"/>
  <c r="W32" i="8"/>
  <c r="W48" i="8"/>
  <c r="W41" i="8"/>
  <c r="W559" i="8"/>
  <c r="W551" i="8"/>
  <c r="W543" i="8"/>
  <c r="W535" i="8"/>
  <c r="W527" i="8"/>
  <c r="W519" i="8"/>
  <c r="W1071" i="8"/>
  <c r="W1063" i="8"/>
  <c r="W1055" i="8"/>
  <c r="W1047" i="8"/>
  <c r="W1039" i="8"/>
  <c r="W1031" i="8"/>
  <c r="W1023" i="8"/>
  <c r="W25" i="8"/>
  <c r="W33" i="8"/>
  <c r="W560" i="8"/>
  <c r="W536" i="8"/>
  <c r="W1072" i="8"/>
  <c r="W1040" i="8"/>
  <c r="W9" i="8"/>
  <c r="W22" i="8"/>
  <c r="W4" i="8"/>
  <c r="W47" i="8"/>
  <c r="W45" i="8"/>
  <c r="W51" i="8"/>
  <c r="W558" i="8"/>
  <c r="W550" i="8"/>
  <c r="W542" i="8"/>
  <c r="W534" i="8"/>
  <c r="W526" i="8"/>
  <c r="W518" i="8"/>
  <c r="W1070" i="8"/>
  <c r="W1062" i="8"/>
  <c r="W1054" i="8"/>
  <c r="W1046" i="8"/>
  <c r="W1038" i="8"/>
  <c r="W1030" i="8"/>
  <c r="E565" i="8"/>
  <c r="W7" i="8"/>
  <c r="W49" i="8"/>
  <c r="W552" i="8"/>
  <c r="W528" i="8"/>
  <c r="W1064" i="8"/>
  <c r="W1048" i="8"/>
  <c r="W1024" i="8"/>
  <c r="F565" i="8"/>
  <c r="W24" i="8"/>
  <c r="W14" i="8"/>
  <c r="W39" i="8"/>
  <c r="W37" i="8"/>
  <c r="W43" i="8"/>
  <c r="W557" i="8"/>
  <c r="W549" i="8"/>
  <c r="W541" i="8"/>
  <c r="W533" i="8"/>
  <c r="W525" i="8"/>
  <c r="W517" i="8"/>
  <c r="W1069" i="8"/>
  <c r="W1061" i="8"/>
  <c r="W1053" i="8"/>
  <c r="W1045" i="8"/>
  <c r="W1037" i="8"/>
  <c r="W1029" i="8"/>
  <c r="Z566" i="8"/>
  <c r="M566" i="8"/>
  <c r="AH566" i="8"/>
  <c r="B565" i="8"/>
  <c r="L565" i="8"/>
  <c r="I567" i="8"/>
  <c r="G566" i="8"/>
  <c r="K566" i="8"/>
  <c r="AG566" i="8"/>
  <c r="AF566" i="8"/>
  <c r="AA566" i="8" s="1"/>
  <c r="A565" i="8"/>
  <c r="AD565" i="8" l="1"/>
  <c r="X1531" i="8"/>
  <c r="Z1065" i="8"/>
  <c r="Z1068" i="8"/>
  <c r="Z1052" i="8"/>
  <c r="Z548" i="8"/>
  <c r="Z1057" i="8"/>
  <c r="Z1049" i="8"/>
  <c r="Z545" i="8"/>
  <c r="Z532" i="8"/>
  <c r="Z1044" i="8"/>
  <c r="Z537" i="8"/>
  <c r="Z1041" i="8"/>
  <c r="Z540" i="8"/>
  <c r="Z34" i="8"/>
  <c r="Z50" i="8"/>
  <c r="Z36" i="8"/>
  <c r="Z46" i="8"/>
  <c r="Z21" i="8"/>
  <c r="Z30" i="8"/>
  <c r="Z52" i="8"/>
  <c r="Z31" i="8"/>
  <c r="AI563" i="8"/>
  <c r="E716" i="8"/>
  <c r="AI717" i="8"/>
  <c r="Z553" i="8"/>
  <c r="AI666" i="8"/>
  <c r="Z531" i="8"/>
  <c r="E665" i="8"/>
  <c r="Z1060" i="8"/>
  <c r="Z555" i="8"/>
  <c r="A143" i="9"/>
  <c r="Z35" i="8"/>
  <c r="Z556" i="8"/>
  <c r="A162" i="9"/>
  <c r="A163" i="9"/>
  <c r="Z27" i="8"/>
  <c r="Z29" i="8"/>
  <c r="Z40" i="8"/>
  <c r="A142" i="9"/>
  <c r="A150" i="9"/>
  <c r="A155" i="9"/>
  <c r="Z561" i="8"/>
  <c r="Z26" i="8"/>
  <c r="A151" i="9"/>
  <c r="A145" i="9"/>
  <c r="A160" i="9"/>
  <c r="X513" i="8"/>
  <c r="A152" i="9"/>
  <c r="Z539" i="8"/>
  <c r="Z547" i="8"/>
  <c r="A156" i="9"/>
  <c r="A147" i="9"/>
  <c r="A138" i="9"/>
  <c r="A137" i="9"/>
  <c r="A159" i="9"/>
  <c r="A153" i="9"/>
  <c r="A157" i="9"/>
  <c r="A148" i="9"/>
  <c r="A139" i="9"/>
  <c r="P139" i="9" s="1"/>
  <c r="A161" i="9"/>
  <c r="A154" i="9"/>
  <c r="A149" i="9"/>
  <c r="A140" i="9"/>
  <c r="A158" i="9"/>
  <c r="X1023" i="8"/>
  <c r="A146" i="9"/>
  <c r="A141" i="9"/>
  <c r="AI665" i="8"/>
  <c r="E566" i="8"/>
  <c r="Z1048" i="8"/>
  <c r="Z1047" i="8"/>
  <c r="Z551" i="8"/>
  <c r="Z530" i="8"/>
  <c r="X3" i="8"/>
  <c r="Z1046" i="8"/>
  <c r="Z550" i="8"/>
  <c r="Z1040" i="8"/>
  <c r="Z1055" i="8"/>
  <c r="Z559" i="8"/>
  <c r="Z1056" i="8"/>
  <c r="Z538" i="8"/>
  <c r="Z23" i="8"/>
  <c r="Z1043" i="8"/>
  <c r="Z39" i="8"/>
  <c r="Z533" i="8"/>
  <c r="Z1072" i="8"/>
  <c r="Z1063" i="8"/>
  <c r="Z1042" i="8"/>
  <c r="Z1051" i="8"/>
  <c r="AI565" i="8"/>
  <c r="Z541" i="8"/>
  <c r="Z24" i="8"/>
  <c r="Z49" i="8"/>
  <c r="Z1062" i="8"/>
  <c r="Z51" i="8"/>
  <c r="Z536" i="8"/>
  <c r="Z1071" i="8"/>
  <c r="Z48" i="8"/>
  <c r="Z544" i="8"/>
  <c r="Z1050" i="8"/>
  <c r="Z554" i="8"/>
  <c r="Z1059" i="8"/>
  <c r="F566" i="8"/>
  <c r="Z43" i="8"/>
  <c r="Z535" i="8"/>
  <c r="Z38" i="8"/>
  <c r="Z37" i="8"/>
  <c r="Z22" i="8"/>
  <c r="Z1064" i="8"/>
  <c r="Z542" i="8"/>
  <c r="Z558" i="8"/>
  <c r="Z546" i="8"/>
  <c r="Z1045" i="8"/>
  <c r="Z549" i="8"/>
  <c r="Z1070" i="8"/>
  <c r="Z45" i="8"/>
  <c r="Z560" i="8"/>
  <c r="Z32" i="8"/>
  <c r="Z28" i="8"/>
  <c r="Z1058" i="8"/>
  <c r="Z562" i="8"/>
  <c r="Z1067" i="8"/>
  <c r="Z1061" i="8"/>
  <c r="Z25" i="8"/>
  <c r="Z1069" i="8"/>
  <c r="Z534" i="8"/>
  <c r="Z543" i="8"/>
  <c r="Z42" i="8"/>
  <c r="Z552" i="8"/>
  <c r="Z1054" i="8"/>
  <c r="Z41" i="8"/>
  <c r="Z1053" i="8"/>
  <c r="Z557" i="8"/>
  <c r="Z47" i="8"/>
  <c r="Z33" i="8"/>
  <c r="Z20" i="8"/>
  <c r="Z1066" i="8"/>
  <c r="Z44" i="8"/>
  <c r="Z567" i="8"/>
  <c r="M567" i="8"/>
  <c r="AH567" i="8"/>
  <c r="B566" i="8"/>
  <c r="AG567" i="8"/>
  <c r="G567" i="8"/>
  <c r="I568" i="8"/>
  <c r="K567" i="8"/>
  <c r="L566" i="8"/>
  <c r="AF567" i="8"/>
  <c r="AA567" i="8" s="1"/>
  <c r="A566" i="8"/>
  <c r="AD566" i="8" l="1"/>
  <c r="X514" i="8"/>
  <c r="X1024" i="8"/>
  <c r="AI716" i="8"/>
  <c r="AI566" i="8"/>
  <c r="E567" i="8"/>
  <c r="F567" i="8"/>
  <c r="X4" i="8"/>
  <c r="Z568" i="8"/>
  <c r="M568" i="8"/>
  <c r="AH568" i="8"/>
  <c r="I569" i="8"/>
  <c r="B567" i="8"/>
  <c r="L567" i="8"/>
  <c r="AG568" i="8"/>
  <c r="AF568" i="8"/>
  <c r="AA568" i="8" s="1"/>
  <c r="A567" i="8"/>
  <c r="K568" i="8"/>
  <c r="G568" i="8"/>
  <c r="AD567" i="8" l="1"/>
  <c r="X515" i="8"/>
  <c r="X1025" i="8"/>
  <c r="P140" i="9"/>
  <c r="AI567" i="8"/>
  <c r="F568" i="8"/>
  <c r="X5" i="8"/>
  <c r="E568" i="8"/>
  <c r="Z569" i="8"/>
  <c r="M569" i="8"/>
  <c r="AH569" i="8"/>
  <c r="I570" i="8"/>
  <c r="G569" i="8"/>
  <c r="AG569" i="8"/>
  <c r="AF569" i="8"/>
  <c r="AA569" i="8" s="1"/>
  <c r="K569" i="8"/>
  <c r="B568" i="8"/>
  <c r="L568" i="8"/>
  <c r="A568" i="8"/>
  <c r="AD568" i="8" l="1"/>
  <c r="X1026" i="8"/>
  <c r="X516" i="8"/>
  <c r="AI568" i="8"/>
  <c r="F569" i="8"/>
  <c r="B569" i="8"/>
  <c r="X6" i="8"/>
  <c r="E569" i="8"/>
  <c r="Z570" i="8"/>
  <c r="M570" i="8"/>
  <c r="AH570" i="8"/>
  <c r="L569" i="8"/>
  <c r="AG570" i="8"/>
  <c r="K570" i="8"/>
  <c r="AF570" i="8"/>
  <c r="AA570" i="8" s="1"/>
  <c r="G570" i="8"/>
  <c r="I571" i="8"/>
  <c r="A569" i="8"/>
  <c r="AD569" i="8" l="1"/>
  <c r="P141" i="9"/>
  <c r="X517" i="8"/>
  <c r="X1027" i="8"/>
  <c r="F570" i="8"/>
  <c r="AI569" i="8"/>
  <c r="B570" i="8"/>
  <c r="X7" i="8"/>
  <c r="E570" i="8"/>
  <c r="Z571" i="8"/>
  <c r="M571" i="8"/>
  <c r="AH571" i="8"/>
  <c r="L570" i="8"/>
  <c r="A570" i="8"/>
  <c r="K571" i="8"/>
  <c r="AG571" i="8"/>
  <c r="I572" i="8"/>
  <c r="AF571" i="8"/>
  <c r="AA571" i="8" s="1"/>
  <c r="G571" i="8"/>
  <c r="AD570" i="8" l="1"/>
  <c r="X518" i="8"/>
  <c r="X1028" i="8"/>
  <c r="AI570" i="8"/>
  <c r="X8" i="8"/>
  <c r="A571" i="8"/>
  <c r="F571" i="8"/>
  <c r="E571" i="8"/>
  <c r="Z572" i="8"/>
  <c r="M572" i="8"/>
  <c r="AH572" i="8"/>
  <c r="L571" i="8"/>
  <c r="AG572" i="8"/>
  <c r="AF572" i="8"/>
  <c r="AA572" i="8" s="1"/>
  <c r="I573" i="8"/>
  <c r="G572" i="8"/>
  <c r="K572" i="8"/>
  <c r="B571" i="8"/>
  <c r="AD571" i="8" l="1"/>
  <c r="X519" i="8"/>
  <c r="X1029" i="8"/>
  <c r="X9" i="8"/>
  <c r="F572" i="8"/>
  <c r="AI571" i="8"/>
  <c r="A572" i="8"/>
  <c r="E572" i="8"/>
  <c r="Z573" i="8"/>
  <c r="M573" i="8"/>
  <c r="AH573" i="8"/>
  <c r="L572" i="8"/>
  <c r="AG573" i="8"/>
  <c r="K573" i="8"/>
  <c r="G573" i="8"/>
  <c r="AF573" i="8"/>
  <c r="AA573" i="8" s="1"/>
  <c r="I574" i="8"/>
  <c r="B572" i="8"/>
  <c r="AD572" i="8" l="1"/>
  <c r="X520" i="8"/>
  <c r="X1030" i="8"/>
  <c r="X10" i="8"/>
  <c r="AI572" i="8"/>
  <c r="A573" i="8"/>
  <c r="F573" i="8"/>
  <c r="E573" i="8"/>
  <c r="Z574" i="8"/>
  <c r="M574" i="8"/>
  <c r="AH574" i="8"/>
  <c r="L573" i="8"/>
  <c r="B573" i="8"/>
  <c r="AF574" i="8"/>
  <c r="AA574" i="8" s="1"/>
  <c r="G574" i="8"/>
  <c r="AG574" i="8"/>
  <c r="I575" i="8"/>
  <c r="K574" i="8"/>
  <c r="AD573" i="8" l="1"/>
  <c r="X521" i="8"/>
  <c r="X1031" i="8"/>
  <c r="A574" i="8"/>
  <c r="AI573" i="8"/>
  <c r="X11" i="8"/>
  <c r="F574" i="8"/>
  <c r="E574" i="8"/>
  <c r="Z575" i="8"/>
  <c r="M575" i="8"/>
  <c r="AH575" i="8"/>
  <c r="L574" i="8"/>
  <c r="AF575" i="8"/>
  <c r="AA575" i="8" s="1"/>
  <c r="K575" i="8"/>
  <c r="G575" i="8"/>
  <c r="B574" i="8"/>
  <c r="I576" i="8"/>
  <c r="AG575" i="8"/>
  <c r="AD574" i="8" l="1"/>
  <c r="X522" i="8"/>
  <c r="X1032" i="8"/>
  <c r="A575" i="8"/>
  <c r="AI574" i="8"/>
  <c r="X12" i="8"/>
  <c r="F575" i="8"/>
  <c r="E575" i="8"/>
  <c r="Z576" i="8"/>
  <c r="M576" i="8"/>
  <c r="AH576" i="8"/>
  <c r="L575" i="8"/>
  <c r="G576" i="8"/>
  <c r="B575" i="8"/>
  <c r="AF576" i="8"/>
  <c r="AA576" i="8" s="1"/>
  <c r="I577" i="8"/>
  <c r="AG576" i="8"/>
  <c r="K576" i="8"/>
  <c r="AD575" i="8" l="1"/>
  <c r="X523" i="8"/>
  <c r="X1033" i="8"/>
  <c r="B576" i="8"/>
  <c r="AI575" i="8"/>
  <c r="F576" i="8"/>
  <c r="X13" i="8"/>
  <c r="E576" i="8"/>
  <c r="Z577" i="8"/>
  <c r="M577" i="8"/>
  <c r="AH577" i="8"/>
  <c r="A576" i="8"/>
  <c r="L576" i="8"/>
  <c r="I578" i="8"/>
  <c r="AF577" i="8"/>
  <c r="AA577" i="8" s="1"/>
  <c r="K577" i="8"/>
  <c r="AG577" i="8"/>
  <c r="G577" i="8"/>
  <c r="AD576" i="8" l="1"/>
  <c r="X524" i="8"/>
  <c r="X1034" i="8"/>
  <c r="AI576" i="8"/>
  <c r="X14" i="8"/>
  <c r="F577" i="8"/>
  <c r="E577" i="8"/>
  <c r="Z578" i="8"/>
  <c r="M578" i="8"/>
  <c r="AH578" i="8"/>
  <c r="L577" i="8"/>
  <c r="G578" i="8"/>
  <c r="AF578" i="8"/>
  <c r="AA578" i="8" s="1"/>
  <c r="AG578" i="8"/>
  <c r="I579" i="8"/>
  <c r="K578" i="8"/>
  <c r="B577" i="8"/>
  <c r="A577" i="8"/>
  <c r="AD577" i="8" l="1"/>
  <c r="X525" i="8"/>
  <c r="X1035" i="8"/>
  <c r="B578" i="8"/>
  <c r="AI577" i="8"/>
  <c r="X15" i="8"/>
  <c r="F578" i="8"/>
  <c r="E578" i="8"/>
  <c r="Z579" i="8"/>
  <c r="M579" i="8"/>
  <c r="AH579" i="8"/>
  <c r="L578" i="8"/>
  <c r="AF579" i="8"/>
  <c r="AA579" i="8" s="1"/>
  <c r="K579" i="8"/>
  <c r="I580" i="8"/>
  <c r="G579" i="8"/>
  <c r="AG579" i="8"/>
  <c r="A578" i="8"/>
  <c r="AD578" i="8" l="1"/>
  <c r="X526" i="8"/>
  <c r="X1036" i="8"/>
  <c r="AI578" i="8"/>
  <c r="F579" i="8"/>
  <c r="B579" i="8"/>
  <c r="X16" i="8"/>
  <c r="E579" i="8"/>
  <c r="Z580" i="8"/>
  <c r="M580" i="8"/>
  <c r="AH580" i="8"/>
  <c r="L579" i="8"/>
  <c r="I581" i="8"/>
  <c r="AG580" i="8"/>
  <c r="K580" i="8"/>
  <c r="AF580" i="8"/>
  <c r="AA580" i="8" s="1"/>
  <c r="G580" i="8"/>
  <c r="A579" i="8"/>
  <c r="AD579" i="8" l="1"/>
  <c r="X527" i="8"/>
  <c r="X1037" i="8"/>
  <c r="X17" i="8"/>
  <c r="E580" i="8"/>
  <c r="F580" i="8"/>
  <c r="AI579" i="8"/>
  <c r="M581" i="8"/>
  <c r="AH581" i="8"/>
  <c r="L580" i="8"/>
  <c r="AG581" i="8"/>
  <c r="K581" i="8"/>
  <c r="I582" i="8"/>
  <c r="AF581" i="8"/>
  <c r="AA581" i="8" s="1"/>
  <c r="G581" i="8"/>
  <c r="B580" i="8"/>
  <c r="A580" i="8"/>
  <c r="X528" i="8" l="1"/>
  <c r="AD580" i="8"/>
  <c r="X1038" i="8"/>
  <c r="AI580" i="8"/>
  <c r="X18" i="8"/>
  <c r="F581" i="8"/>
  <c r="B581" i="8"/>
  <c r="E581" i="8"/>
  <c r="M582" i="8"/>
  <c r="AH582" i="8"/>
  <c r="L581" i="8"/>
  <c r="I583" i="8"/>
  <c r="AG582" i="8"/>
  <c r="AF582" i="8"/>
  <c r="AA582" i="8" s="1"/>
  <c r="G582" i="8"/>
  <c r="K582" i="8"/>
  <c r="A581" i="8"/>
  <c r="X529" i="8" l="1"/>
  <c r="AD581" i="8"/>
  <c r="X1039" i="8"/>
  <c r="AI581" i="8"/>
  <c r="X19" i="8"/>
  <c r="F582" i="8"/>
  <c r="B582" i="8"/>
  <c r="E582" i="8"/>
  <c r="M583" i="8"/>
  <c r="AH583" i="8"/>
  <c r="L582" i="8"/>
  <c r="G583" i="8"/>
  <c r="I584" i="8"/>
  <c r="AG583" i="8"/>
  <c r="K583" i="8"/>
  <c r="AF583" i="8"/>
  <c r="AA583" i="8" s="1"/>
  <c r="A582" i="8"/>
  <c r="X530" i="8" l="1"/>
  <c r="AD582" i="8"/>
  <c r="X1040" i="8"/>
  <c r="AI582" i="8"/>
  <c r="B583" i="8"/>
  <c r="F583" i="8"/>
  <c r="X20" i="8"/>
  <c r="E583" i="8"/>
  <c r="M584" i="8"/>
  <c r="AH584" i="8"/>
  <c r="L583" i="8"/>
  <c r="AF584" i="8"/>
  <c r="AA584" i="8" s="1"/>
  <c r="K584" i="8"/>
  <c r="AG584" i="8"/>
  <c r="A583" i="8"/>
  <c r="G584" i="8"/>
  <c r="I585" i="8"/>
  <c r="X531" i="8" l="1"/>
  <c r="AD583" i="8"/>
  <c r="X1041" i="8"/>
  <c r="X21" i="8"/>
  <c r="AI583" i="8"/>
  <c r="F584" i="8"/>
  <c r="A584" i="8"/>
  <c r="E584" i="8"/>
  <c r="M585" i="8"/>
  <c r="AH585" i="8"/>
  <c r="L584" i="8"/>
  <c r="AG585" i="8"/>
  <c r="B584" i="8"/>
  <c r="K585" i="8"/>
  <c r="G585" i="8"/>
  <c r="I586" i="8"/>
  <c r="AF585" i="8"/>
  <c r="AA585" i="8" s="1"/>
  <c r="X532" i="8" l="1"/>
  <c r="AD584" i="8"/>
  <c r="X1042" i="8"/>
  <c r="AI584" i="8"/>
  <c r="X22" i="8"/>
  <c r="F585" i="8"/>
  <c r="A585" i="8"/>
  <c r="E585" i="8"/>
  <c r="M586" i="8"/>
  <c r="AH586" i="8"/>
  <c r="L585" i="8"/>
  <c r="K586" i="8"/>
  <c r="AF586" i="8"/>
  <c r="AA586" i="8" s="1"/>
  <c r="I587" i="8"/>
  <c r="G586" i="8"/>
  <c r="AG586" i="8"/>
  <c r="B585" i="8"/>
  <c r="X533" i="8" l="1"/>
  <c r="AD585" i="8"/>
  <c r="X1043" i="8"/>
  <c r="F586" i="8"/>
  <c r="AI585" i="8"/>
  <c r="X23" i="8"/>
  <c r="E586" i="8"/>
  <c r="M587" i="8"/>
  <c r="AH587" i="8"/>
  <c r="L586" i="8"/>
  <c r="I588" i="8"/>
  <c r="AG587" i="8"/>
  <c r="K587" i="8"/>
  <c r="AF587" i="8"/>
  <c r="AA587" i="8" s="1"/>
  <c r="A586" i="8"/>
  <c r="B586" i="8"/>
  <c r="G587" i="8"/>
  <c r="X534" i="8" l="1"/>
  <c r="AD586" i="8"/>
  <c r="X1044" i="8"/>
  <c r="F587" i="8"/>
  <c r="X24" i="8"/>
  <c r="A587" i="8"/>
  <c r="AI586" i="8"/>
  <c r="E587" i="8"/>
  <c r="M588" i="8"/>
  <c r="AH588" i="8"/>
  <c r="L587" i="8"/>
  <c r="AG588" i="8"/>
  <c r="G588" i="8"/>
  <c r="I589" i="8"/>
  <c r="AF588" i="8"/>
  <c r="AA588" i="8" s="1"/>
  <c r="K588" i="8"/>
  <c r="B587" i="8"/>
  <c r="X535" i="8" l="1"/>
  <c r="X536" i="8" s="1"/>
  <c r="AD587" i="8"/>
  <c r="X1045" i="8"/>
  <c r="B588" i="8"/>
  <c r="AI587" i="8"/>
  <c r="X25" i="8"/>
  <c r="F588" i="8"/>
  <c r="E588" i="8"/>
  <c r="M589" i="8"/>
  <c r="AH589" i="8"/>
  <c r="L588" i="8"/>
  <c r="G589" i="8"/>
  <c r="A588" i="8"/>
  <c r="AG589" i="8"/>
  <c r="AF589" i="8"/>
  <c r="AA589" i="8" s="1"/>
  <c r="I590" i="8"/>
  <c r="K589" i="8"/>
  <c r="AD588" i="8" l="1"/>
  <c r="X1046" i="8"/>
  <c r="X26" i="8"/>
  <c r="B589" i="8"/>
  <c r="AI588" i="8"/>
  <c r="X537" i="8"/>
  <c r="F589" i="8"/>
  <c r="E589" i="8"/>
  <c r="M590" i="8"/>
  <c r="AH590" i="8"/>
  <c r="L589" i="8"/>
  <c r="A589" i="8"/>
  <c r="K590" i="8"/>
  <c r="AF590" i="8"/>
  <c r="AA590" i="8" s="1"/>
  <c r="G590" i="8"/>
  <c r="AG590" i="8"/>
  <c r="I591" i="8"/>
  <c r="AD589" i="8" l="1"/>
  <c r="X1047" i="8"/>
  <c r="F590" i="8"/>
  <c r="AI589" i="8"/>
  <c r="X538" i="8"/>
  <c r="X27" i="8"/>
  <c r="E590" i="8"/>
  <c r="M591" i="8"/>
  <c r="AH591" i="8"/>
  <c r="L590" i="8"/>
  <c r="B590" i="8"/>
  <c r="A590" i="8"/>
  <c r="AG591" i="8"/>
  <c r="AF591" i="8"/>
  <c r="AA591" i="8" s="1"/>
  <c r="K591" i="8"/>
  <c r="I592" i="8"/>
  <c r="G591" i="8"/>
  <c r="AD590" i="8" l="1"/>
  <c r="X1048" i="8"/>
  <c r="X539" i="8"/>
  <c r="E591" i="8"/>
  <c r="AI590" i="8"/>
  <c r="X28" i="8"/>
  <c r="F591" i="8"/>
  <c r="M592" i="8"/>
  <c r="AH592" i="8"/>
  <c r="L591" i="8"/>
  <c r="A591" i="8"/>
  <c r="B591" i="8"/>
  <c r="AF592" i="8"/>
  <c r="AA592" i="8" s="1"/>
  <c r="K592" i="8"/>
  <c r="I593" i="8"/>
  <c r="AG592" i="8"/>
  <c r="G592" i="8"/>
  <c r="AD591" i="8" l="1"/>
  <c r="X1049" i="8"/>
  <c r="E592" i="8"/>
  <c r="AI591" i="8"/>
  <c r="F592" i="8"/>
  <c r="X29" i="8"/>
  <c r="X540" i="8"/>
  <c r="M593" i="8"/>
  <c r="AH593" i="8"/>
  <c r="L592" i="8"/>
  <c r="K593" i="8"/>
  <c r="I594" i="8"/>
  <c r="AG593" i="8"/>
  <c r="G593" i="8"/>
  <c r="AF593" i="8"/>
  <c r="AA593" i="8" s="1"/>
  <c r="B592" i="8"/>
  <c r="A592" i="8"/>
  <c r="AD592" i="8" l="1"/>
  <c r="X1050" i="8"/>
  <c r="F593" i="8"/>
  <c r="X30" i="8"/>
  <c r="AI592" i="8"/>
  <c r="X541" i="8"/>
  <c r="E593" i="8"/>
  <c r="M594" i="8"/>
  <c r="AH594" i="8"/>
  <c r="L593" i="8"/>
  <c r="B593" i="8"/>
  <c r="A593" i="8"/>
  <c r="I595" i="8"/>
  <c r="AF594" i="8"/>
  <c r="AA594" i="8" s="1"/>
  <c r="K594" i="8"/>
  <c r="AG594" i="8"/>
  <c r="G594" i="8"/>
  <c r="AD593" i="8" l="1"/>
  <c r="X1051" i="8"/>
  <c r="AI593" i="8"/>
  <c r="X31" i="8"/>
  <c r="E594" i="8"/>
  <c r="F594" i="8"/>
  <c r="X542" i="8"/>
  <c r="M595" i="8"/>
  <c r="AH595" i="8"/>
  <c r="L594" i="8"/>
  <c r="AG595" i="8"/>
  <c r="K595" i="8"/>
  <c r="G595" i="8"/>
  <c r="I596" i="8"/>
  <c r="AF595" i="8"/>
  <c r="AA595" i="8" s="1"/>
  <c r="B594" i="8"/>
  <c r="A594" i="8"/>
  <c r="AD594" i="8" l="1"/>
  <c r="X1052" i="8"/>
  <c r="AI594" i="8"/>
  <c r="B595" i="8"/>
  <c r="F595" i="8"/>
  <c r="X32" i="8"/>
  <c r="X543" i="8"/>
  <c r="E595" i="8"/>
  <c r="M596" i="8"/>
  <c r="AH596" i="8"/>
  <c r="L595" i="8"/>
  <c r="A595" i="8"/>
  <c r="AG596" i="8"/>
  <c r="I597" i="8"/>
  <c r="AF596" i="8"/>
  <c r="AA596" i="8" s="1"/>
  <c r="G596" i="8"/>
  <c r="K596" i="8"/>
  <c r="AD595" i="8" l="1"/>
  <c r="X1053" i="8"/>
  <c r="X33" i="8"/>
  <c r="E596" i="8"/>
  <c r="X544" i="8"/>
  <c r="AI595" i="8"/>
  <c r="F596" i="8"/>
  <c r="M597" i="8"/>
  <c r="AH597" i="8"/>
  <c r="L596" i="8"/>
  <c r="A596" i="8"/>
  <c r="B596" i="8"/>
  <c r="K597" i="8"/>
  <c r="AF597" i="8"/>
  <c r="AA597" i="8" s="1"/>
  <c r="G597" i="8"/>
  <c r="AG597" i="8"/>
  <c r="I598" i="8"/>
  <c r="AD596" i="8" l="1"/>
  <c r="X1054" i="8"/>
  <c r="AI596" i="8"/>
  <c r="X545" i="8"/>
  <c r="X34" i="8"/>
  <c r="B597" i="8"/>
  <c r="F597" i="8"/>
  <c r="E597" i="8"/>
  <c r="M598" i="8"/>
  <c r="AH598" i="8"/>
  <c r="L597" i="8"/>
  <c r="A597" i="8"/>
  <c r="K598" i="8"/>
  <c r="AG598" i="8"/>
  <c r="G598" i="8"/>
  <c r="AF598" i="8"/>
  <c r="AA598" i="8" s="1"/>
  <c r="I599" i="8"/>
  <c r="AD597" i="8" l="1"/>
  <c r="X1055" i="8"/>
  <c r="E598" i="8"/>
  <c r="AI597" i="8"/>
  <c r="X35" i="8"/>
  <c r="F598" i="8"/>
  <c r="X546" i="8"/>
  <c r="M599" i="8"/>
  <c r="AH599" i="8"/>
  <c r="L598" i="8"/>
  <c r="A598" i="8"/>
  <c r="B598" i="8"/>
  <c r="AG599" i="8"/>
  <c r="K599" i="8"/>
  <c r="I600" i="8"/>
  <c r="AF599" i="8"/>
  <c r="AA599" i="8" s="1"/>
  <c r="G599" i="8"/>
  <c r="AD598" i="8" l="1"/>
  <c r="X1056" i="8"/>
  <c r="AI598" i="8"/>
  <c r="X36" i="8"/>
  <c r="X547" i="8"/>
  <c r="E599" i="8"/>
  <c r="F599" i="8"/>
  <c r="M600" i="8"/>
  <c r="AH600" i="8"/>
  <c r="L599" i="8"/>
  <c r="I601" i="8"/>
  <c r="G600" i="8"/>
  <c r="AG600" i="8"/>
  <c r="K600" i="8"/>
  <c r="AF600" i="8"/>
  <c r="AA600" i="8" s="1"/>
  <c r="A599" i="8"/>
  <c r="B599" i="8"/>
  <c r="AD599" i="8" l="1"/>
  <c r="X1057" i="8"/>
  <c r="AI599" i="8"/>
  <c r="F600" i="8"/>
  <c r="B600" i="8"/>
  <c r="X548" i="8"/>
  <c r="X37" i="8"/>
  <c r="E600" i="8"/>
  <c r="M601" i="8"/>
  <c r="AH601" i="8"/>
  <c r="L600" i="8"/>
  <c r="A600" i="8"/>
  <c r="G601" i="8"/>
  <c r="AG601" i="8"/>
  <c r="I602" i="8"/>
  <c r="K601" i="8"/>
  <c r="AF601" i="8"/>
  <c r="AA601" i="8" s="1"/>
  <c r="AD600" i="8" l="1"/>
  <c r="X1058" i="8"/>
  <c r="X549" i="8"/>
  <c r="E601" i="8"/>
  <c r="AI600" i="8"/>
  <c r="X38" i="8"/>
  <c r="F601" i="8"/>
  <c r="M602" i="8"/>
  <c r="AH602" i="8"/>
  <c r="L601" i="8"/>
  <c r="AG602" i="8"/>
  <c r="I603" i="8"/>
  <c r="K602" i="8"/>
  <c r="G602" i="8"/>
  <c r="AF602" i="8"/>
  <c r="AA602" i="8" s="1"/>
  <c r="B601" i="8"/>
  <c r="A601" i="8"/>
  <c r="AD601" i="8" l="1"/>
  <c r="X1059" i="8"/>
  <c r="AI601" i="8"/>
  <c r="X39" i="8"/>
  <c r="B602" i="8"/>
  <c r="F602" i="8"/>
  <c r="X550" i="8"/>
  <c r="E602" i="8"/>
  <c r="M603" i="8"/>
  <c r="AH603" i="8"/>
  <c r="L602" i="8"/>
  <c r="A602" i="8"/>
  <c r="AF603" i="8"/>
  <c r="AA603" i="8" s="1"/>
  <c r="AG603" i="8"/>
  <c r="G603" i="8"/>
  <c r="K603" i="8"/>
  <c r="I604" i="8"/>
  <c r="AD602" i="8" l="1"/>
  <c r="X1060" i="8"/>
  <c r="X551" i="8"/>
  <c r="X40" i="8"/>
  <c r="AI602" i="8"/>
  <c r="E603" i="8"/>
  <c r="F603" i="8"/>
  <c r="M604" i="8"/>
  <c r="AH604" i="8"/>
  <c r="L603" i="8"/>
  <c r="B603" i="8"/>
  <c r="A603" i="8"/>
  <c r="I605" i="8"/>
  <c r="G604" i="8"/>
  <c r="AG604" i="8"/>
  <c r="K604" i="8"/>
  <c r="AF604" i="8"/>
  <c r="AA604" i="8" s="1"/>
  <c r="AD603" i="8" l="1"/>
  <c r="X1061" i="8"/>
  <c r="AI603" i="8"/>
  <c r="X41" i="8"/>
  <c r="F604" i="8"/>
  <c r="B604" i="8"/>
  <c r="X552" i="8"/>
  <c r="E604" i="8"/>
  <c r="M605" i="8"/>
  <c r="AH605" i="8"/>
  <c r="L604" i="8"/>
  <c r="AF605" i="8"/>
  <c r="AA605" i="8" s="1"/>
  <c r="AG605" i="8"/>
  <c r="K605" i="8"/>
  <c r="I606" i="8"/>
  <c r="G605" i="8"/>
  <c r="A604" i="8"/>
  <c r="AD604" i="8" l="1"/>
  <c r="X1062" i="8"/>
  <c r="F605" i="8"/>
  <c r="AI604" i="8"/>
  <c r="X42" i="8"/>
  <c r="X553" i="8"/>
  <c r="B605" i="8"/>
  <c r="E605" i="8"/>
  <c r="M606" i="8"/>
  <c r="AH606" i="8"/>
  <c r="L605" i="8"/>
  <c r="AF606" i="8"/>
  <c r="AA606" i="8" s="1"/>
  <c r="K606" i="8"/>
  <c r="G606" i="8"/>
  <c r="AG606" i="8"/>
  <c r="I607" i="8"/>
  <c r="A605" i="8"/>
  <c r="X1063" i="8" l="1"/>
  <c r="AD605" i="8"/>
  <c r="F606" i="8"/>
  <c r="X43" i="8"/>
  <c r="X554" i="8"/>
  <c r="AI605" i="8"/>
  <c r="B606" i="8"/>
  <c r="E606" i="8"/>
  <c r="M607" i="8"/>
  <c r="AH607" i="8"/>
  <c r="L606" i="8"/>
  <c r="AF607" i="8"/>
  <c r="AA607" i="8" s="1"/>
  <c r="G607" i="8"/>
  <c r="K607" i="8"/>
  <c r="I608" i="8"/>
  <c r="AG607" i="8"/>
  <c r="A606" i="8"/>
  <c r="X1064" i="8" l="1"/>
  <c r="AD606" i="8"/>
  <c r="E607" i="8"/>
  <c r="X44" i="8"/>
  <c r="AI606" i="8"/>
  <c r="X555" i="8"/>
  <c r="F607" i="8"/>
  <c r="M608" i="8"/>
  <c r="AH608" i="8"/>
  <c r="L607" i="8"/>
  <c r="AF608" i="8"/>
  <c r="AA608" i="8" s="1"/>
  <c r="AG608" i="8"/>
  <c r="G608" i="8"/>
  <c r="I609" i="8"/>
  <c r="K608" i="8"/>
  <c r="B607" i="8"/>
  <c r="A607" i="8"/>
  <c r="X1065" i="8" l="1"/>
  <c r="AD607" i="8"/>
  <c r="AI607" i="8"/>
  <c r="B608" i="8"/>
  <c r="X45" i="8"/>
  <c r="F608" i="8"/>
  <c r="X556" i="8"/>
  <c r="E608" i="8"/>
  <c r="M609" i="8"/>
  <c r="AH609" i="8"/>
  <c r="L608" i="8"/>
  <c r="A608" i="8"/>
  <c r="AG609" i="8"/>
  <c r="AF609" i="8"/>
  <c r="AA609" i="8" s="1"/>
  <c r="I610" i="8"/>
  <c r="K609" i="8"/>
  <c r="G609" i="8"/>
  <c r="X1066" i="8" l="1"/>
  <c r="AD608" i="8"/>
  <c r="AI608" i="8"/>
  <c r="X46" i="8"/>
  <c r="X557" i="8"/>
  <c r="B609" i="8"/>
  <c r="F609" i="8"/>
  <c r="E609" i="8"/>
  <c r="M610" i="8"/>
  <c r="AH610" i="8"/>
  <c r="L609" i="8"/>
  <c r="AF610" i="8"/>
  <c r="AA610" i="8" s="1"/>
  <c r="AG610" i="8"/>
  <c r="G610" i="8"/>
  <c r="I611" i="8"/>
  <c r="K610" i="8"/>
  <c r="A609" i="8"/>
  <c r="X1067" i="8" l="1"/>
  <c r="AD609" i="8"/>
  <c r="X558" i="8"/>
  <c r="X47" i="8"/>
  <c r="F610" i="8"/>
  <c r="AI609" i="8"/>
  <c r="E610" i="8"/>
  <c r="M611" i="8"/>
  <c r="AH611" i="8"/>
  <c r="L610" i="8"/>
  <c r="K611" i="8"/>
  <c r="AG611" i="8"/>
  <c r="AF611" i="8"/>
  <c r="AA611" i="8" s="1"/>
  <c r="I612" i="8"/>
  <c r="G611" i="8"/>
  <c r="A610" i="8"/>
  <c r="B610" i="8"/>
  <c r="I614" i="8"/>
  <c r="X1068" i="8" l="1"/>
  <c r="AD610" i="8"/>
  <c r="AI610" i="8"/>
  <c r="F611" i="8"/>
  <c r="X48" i="8"/>
  <c r="B611" i="8"/>
  <c r="X559" i="8"/>
  <c r="E611" i="8"/>
  <c r="W614" i="8"/>
  <c r="Z614" i="8"/>
  <c r="X614" i="8"/>
  <c r="M614" i="8"/>
  <c r="M612" i="8"/>
  <c r="AH612" i="8"/>
  <c r="AH614" i="8"/>
  <c r="L611" i="8"/>
  <c r="AF612" i="8"/>
  <c r="AA612" i="8" s="1"/>
  <c r="AG612" i="8"/>
  <c r="I613" i="8"/>
  <c r="G612" i="8"/>
  <c r="K612" i="8"/>
  <c r="A611" i="8"/>
  <c r="AG614" i="8"/>
  <c r="AF614" i="8"/>
  <c r="AA614" i="8" s="1"/>
  <c r="K614" i="8"/>
  <c r="G614" i="8"/>
  <c r="I615" i="8"/>
  <c r="X1069" i="8" l="1"/>
  <c r="AD611" i="8"/>
  <c r="X49" i="8"/>
  <c r="F612" i="8"/>
  <c r="X560" i="8"/>
  <c r="F614" i="8"/>
  <c r="AI611" i="8"/>
  <c r="B612" i="8"/>
  <c r="E612" i="8"/>
  <c r="Z615" i="8"/>
  <c r="M613" i="8"/>
  <c r="M615" i="8"/>
  <c r="AH615" i="8"/>
  <c r="AH613" i="8"/>
  <c r="L612" i="8"/>
  <c r="A612" i="8"/>
  <c r="AF613" i="8"/>
  <c r="AA613" i="8" s="1"/>
  <c r="G613" i="8"/>
  <c r="K613" i="8"/>
  <c r="AG613" i="8"/>
  <c r="B614" i="8"/>
  <c r="A614" i="8"/>
  <c r="AG615" i="8"/>
  <c r="G615" i="8"/>
  <c r="K615" i="8"/>
  <c r="I616" i="8"/>
  <c r="AF615" i="8"/>
  <c r="AA615" i="8" s="1"/>
  <c r="L614" i="8"/>
  <c r="X1070" i="8" l="1"/>
  <c r="AD612" i="8"/>
  <c r="AD614" i="8"/>
  <c r="AI612" i="8"/>
  <c r="F613" i="8"/>
  <c r="X561" i="8"/>
  <c r="E613" i="8"/>
  <c r="E615" i="8"/>
  <c r="X50" i="8"/>
  <c r="F615" i="8"/>
  <c r="Z616" i="8"/>
  <c r="M616" i="8"/>
  <c r="AH616" i="8"/>
  <c r="L613" i="8"/>
  <c r="A613" i="8"/>
  <c r="B613" i="8"/>
  <c r="B615" i="8"/>
  <c r="A615" i="8"/>
  <c r="AG616" i="8"/>
  <c r="K616" i="8"/>
  <c r="AF616" i="8"/>
  <c r="AA616" i="8" s="1"/>
  <c r="I617" i="8"/>
  <c r="G616" i="8"/>
  <c r="L615" i="8"/>
  <c r="X1071" i="8" l="1"/>
  <c r="AD613" i="8"/>
  <c r="AD615" i="8"/>
  <c r="AI615" i="8"/>
  <c r="AI613" i="8"/>
  <c r="X562" i="8"/>
  <c r="X51" i="8"/>
  <c r="E616" i="8"/>
  <c r="E614" i="8"/>
  <c r="F616" i="8"/>
  <c r="Z617" i="8"/>
  <c r="M617" i="8"/>
  <c r="AH617" i="8"/>
  <c r="B616" i="8"/>
  <c r="I618" i="8"/>
  <c r="A616" i="8"/>
  <c r="L616" i="8"/>
  <c r="AG617" i="8"/>
  <c r="K617" i="8"/>
  <c r="AF617" i="8"/>
  <c r="AA617" i="8" s="1"/>
  <c r="G617" i="8"/>
  <c r="X1072" i="8" l="1"/>
  <c r="AD616" i="8"/>
  <c r="W1115" i="8"/>
  <c r="W602" i="8"/>
  <c r="W577" i="8"/>
  <c r="W564" i="8"/>
  <c r="W598" i="8"/>
  <c r="W1105" i="8"/>
  <c r="W610" i="8"/>
  <c r="W90" i="8"/>
  <c r="W601" i="8"/>
  <c r="W594" i="8"/>
  <c r="W604" i="8"/>
  <c r="W569" i="8"/>
  <c r="W582" i="8"/>
  <c r="W607" i="8"/>
  <c r="W572" i="8"/>
  <c r="W590" i="8"/>
  <c r="W1096" i="8"/>
  <c r="W585" i="8"/>
  <c r="W1098" i="8"/>
  <c r="W591" i="8"/>
  <c r="W566" i="8"/>
  <c r="W588" i="8"/>
  <c r="W1107" i="8"/>
  <c r="W78" i="8"/>
  <c r="W578" i="8"/>
  <c r="W1092" i="8"/>
  <c r="W575" i="8"/>
  <c r="W1075" i="8"/>
  <c r="W64" i="8"/>
  <c r="W1110" i="8"/>
  <c r="W85" i="8"/>
  <c r="W91" i="8"/>
  <c r="W89" i="8"/>
  <c r="W606" i="8"/>
  <c r="W593" i="8"/>
  <c r="W580" i="8"/>
  <c r="W567" i="8"/>
  <c r="W59" i="8"/>
  <c r="W75" i="8"/>
  <c r="W1095" i="8"/>
  <c r="W92" i="8"/>
  <c r="W66" i="8"/>
  <c r="W612" i="8"/>
  <c r="W599" i="8"/>
  <c r="W586" i="8"/>
  <c r="W574" i="8"/>
  <c r="W1118" i="8"/>
  <c r="W62" i="8"/>
  <c r="W1112" i="8"/>
  <c r="W609" i="8"/>
  <c r="W596" i="8"/>
  <c r="W583" i="8"/>
  <c r="W570" i="8"/>
  <c r="W1076" i="8"/>
  <c r="W1082" i="8"/>
  <c r="W1088" i="8"/>
  <c r="W61" i="8"/>
  <c r="W1122" i="8"/>
  <c r="W97" i="8"/>
  <c r="W82" i="8"/>
  <c r="W1120" i="8"/>
  <c r="W100" i="8"/>
  <c r="W57" i="8"/>
  <c r="W1079" i="8"/>
  <c r="W1103" i="8"/>
  <c r="W1100" i="8"/>
  <c r="W1108" i="8"/>
  <c r="W73" i="8"/>
  <c r="W93" i="8"/>
  <c r="W79" i="8"/>
  <c r="W70" i="8"/>
  <c r="W1089" i="8"/>
  <c r="W1083" i="8"/>
  <c r="W86" i="8"/>
  <c r="W68" i="8"/>
  <c r="W56" i="8"/>
  <c r="W1090" i="8"/>
  <c r="W1081" i="8"/>
  <c r="W67" i="8"/>
  <c r="W55" i="8"/>
  <c r="W88" i="8"/>
  <c r="W54" i="8"/>
  <c r="W1094" i="8"/>
  <c r="W1106" i="8"/>
  <c r="W80" i="8"/>
  <c r="W83" i="8"/>
  <c r="W1086" i="8"/>
  <c r="W87" i="8"/>
  <c r="W1123" i="8"/>
  <c r="W1101" i="8"/>
  <c r="W1085" i="8"/>
  <c r="W103" i="8"/>
  <c r="W613" i="8"/>
  <c r="W605" i="8"/>
  <c r="W597" i="8"/>
  <c r="W589" i="8"/>
  <c r="W581" i="8"/>
  <c r="W573" i="8"/>
  <c r="W565" i="8"/>
  <c r="W101" i="8"/>
  <c r="W76" i="8"/>
  <c r="W1121" i="8"/>
  <c r="W1116" i="8"/>
  <c r="W81" i="8"/>
  <c r="W1087" i="8"/>
  <c r="W1084" i="8"/>
  <c r="W84" i="8"/>
  <c r="W1117" i="8"/>
  <c r="W72" i="8"/>
  <c r="W1078" i="8"/>
  <c r="W1109" i="8"/>
  <c r="W611" i="8"/>
  <c r="W603" i="8"/>
  <c r="W595" i="8"/>
  <c r="W587" i="8"/>
  <c r="W579" i="8"/>
  <c r="W571" i="8"/>
  <c r="W94" i="8"/>
  <c r="W69" i="8"/>
  <c r="W1113" i="8"/>
  <c r="W98" i="8"/>
  <c r="W1104" i="8"/>
  <c r="W65" i="8"/>
  <c r="W102" i="8"/>
  <c r="W77" i="8"/>
  <c r="W58" i="8"/>
  <c r="W1097" i="8"/>
  <c r="W1119" i="8"/>
  <c r="W95" i="8"/>
  <c r="W1093" i="8"/>
  <c r="W608" i="8"/>
  <c r="W600" i="8"/>
  <c r="W592" i="8"/>
  <c r="W584" i="8"/>
  <c r="W576" i="8"/>
  <c r="W568" i="8"/>
  <c r="W1114" i="8"/>
  <c r="W1091" i="8"/>
  <c r="W1074" i="8"/>
  <c r="W74" i="8"/>
  <c r="W1080" i="8"/>
  <c r="W1111" i="8"/>
  <c r="W63" i="8"/>
  <c r="W1099" i="8"/>
  <c r="W99" i="8"/>
  <c r="W96" i="8"/>
  <c r="W1102" i="8"/>
  <c r="W71" i="8"/>
  <c r="W1077" i="8"/>
  <c r="W60" i="8"/>
  <c r="Z597" i="8"/>
  <c r="E617" i="8"/>
  <c r="AI616" i="8"/>
  <c r="AI614" i="8"/>
  <c r="X52" i="8"/>
  <c r="F617" i="8"/>
  <c r="Z618" i="8"/>
  <c r="M618" i="8"/>
  <c r="AH618" i="8"/>
  <c r="B617" i="8"/>
  <c r="AG618" i="8"/>
  <c r="I619" i="8"/>
  <c r="AF618" i="8"/>
  <c r="AA618" i="8" s="1"/>
  <c r="G618" i="8"/>
  <c r="K618" i="8"/>
  <c r="L617" i="8"/>
  <c r="A617" i="8"/>
  <c r="AD617" i="8" l="1"/>
  <c r="Z1115" i="8"/>
  <c r="Z602" i="8"/>
  <c r="Z1095" i="8"/>
  <c r="Z590" i="8"/>
  <c r="Z85" i="8"/>
  <c r="Z100" i="8"/>
  <c r="Z1110" i="8"/>
  <c r="Z598" i="8"/>
  <c r="Z1106" i="8"/>
  <c r="Z73" i="8"/>
  <c r="Z82" i="8"/>
  <c r="Z583" i="8"/>
  <c r="Z599" i="8"/>
  <c r="Z591" i="8"/>
  <c r="X564" i="8"/>
  <c r="Z91" i="8"/>
  <c r="Z1107" i="8"/>
  <c r="Z607" i="8"/>
  <c r="Z93" i="8"/>
  <c r="Z586" i="8"/>
  <c r="Z582" i="8"/>
  <c r="Z1094" i="8"/>
  <c r="Z1108" i="8"/>
  <c r="Z97" i="8"/>
  <c r="Z596" i="8"/>
  <c r="Z612" i="8"/>
  <c r="Z593" i="8"/>
  <c r="Z1098" i="8"/>
  <c r="Z604" i="8"/>
  <c r="Z90" i="8"/>
  <c r="Z1121" i="8"/>
  <c r="Z75" i="8"/>
  <c r="Z610" i="8"/>
  <c r="Z79" i="8"/>
  <c r="Z588" i="8"/>
  <c r="Z1120" i="8"/>
  <c r="Z1123" i="8"/>
  <c r="X54" i="8"/>
  <c r="Z86" i="8"/>
  <c r="Z1100" i="8"/>
  <c r="Z1122" i="8"/>
  <c r="Z609" i="8"/>
  <c r="Z606" i="8"/>
  <c r="Z1092" i="8"/>
  <c r="Z585" i="8"/>
  <c r="Z594" i="8"/>
  <c r="Z87" i="8"/>
  <c r="Z78" i="8"/>
  <c r="Z1118" i="8"/>
  <c r="Z83" i="8"/>
  <c r="Z1105" i="8"/>
  <c r="Z80" i="8"/>
  <c r="Z1119" i="8"/>
  <c r="Z88" i="8"/>
  <c r="Z1103" i="8"/>
  <c r="Z1112" i="8"/>
  <c r="Z92" i="8"/>
  <c r="Z89" i="8"/>
  <c r="Z1096" i="8"/>
  <c r="Z601" i="8"/>
  <c r="Z600" i="8"/>
  <c r="Z584" i="8"/>
  <c r="Z103" i="8"/>
  <c r="Z96" i="8"/>
  <c r="Z1091" i="8"/>
  <c r="Z595" i="8"/>
  <c r="Z613" i="8"/>
  <c r="Z71" i="8"/>
  <c r="Z102" i="8"/>
  <c r="Z95" i="8"/>
  <c r="Z98" i="8"/>
  <c r="Z603" i="8"/>
  <c r="Z1099" i="8"/>
  <c r="Z1113" i="8"/>
  <c r="Z589" i="8"/>
  <c r="Z592" i="8"/>
  <c r="Z76" i="8"/>
  <c r="Z74" i="8"/>
  <c r="Z1117" i="8"/>
  <c r="Z608" i="8"/>
  <c r="Z1097" i="8"/>
  <c r="Z1109" i="8"/>
  <c r="Z1116" i="8"/>
  <c r="Z1114" i="8"/>
  <c r="Z99" i="8"/>
  <c r="Z1101" i="8"/>
  <c r="Z1093" i="8"/>
  <c r="Z1104" i="8"/>
  <c r="Z1111" i="8"/>
  <c r="Z605" i="8"/>
  <c r="Z72" i="8"/>
  <c r="Z77" i="8"/>
  <c r="Z1102" i="8"/>
  <c r="Z94" i="8"/>
  <c r="Z587" i="8"/>
  <c r="Z81" i="8"/>
  <c r="Z101" i="8"/>
  <c r="Z611" i="8"/>
  <c r="Z581" i="8"/>
  <c r="Z84" i="8"/>
  <c r="X1074" i="8"/>
  <c r="AI617" i="8"/>
  <c r="E618" i="8"/>
  <c r="F618" i="8"/>
  <c r="Z619" i="8"/>
  <c r="M619" i="8"/>
  <c r="AH619" i="8"/>
  <c r="B618" i="8"/>
  <c r="L618" i="8"/>
  <c r="G619" i="8"/>
  <c r="AF619" i="8"/>
  <c r="AA619" i="8" s="1"/>
  <c r="A618" i="8"/>
  <c r="I620" i="8"/>
  <c r="AG619" i="8"/>
  <c r="K619" i="8"/>
  <c r="AD618" i="8" l="1"/>
  <c r="X565" i="8"/>
  <c r="X55" i="8"/>
  <c r="X1075" i="8"/>
  <c r="AI618" i="8"/>
  <c r="F619" i="8"/>
  <c r="E619" i="8"/>
  <c r="Z620" i="8"/>
  <c r="M620" i="8"/>
  <c r="AH620" i="8"/>
  <c r="B619" i="8"/>
  <c r="L619" i="8"/>
  <c r="A619" i="8"/>
  <c r="G620" i="8"/>
  <c r="K620" i="8"/>
  <c r="AF620" i="8"/>
  <c r="AA620" i="8" s="1"/>
  <c r="AG620" i="8"/>
  <c r="I621" i="8"/>
  <c r="AD619" i="8" l="1"/>
  <c r="X566" i="8"/>
  <c r="X56" i="8"/>
  <c r="X1076" i="8"/>
  <c r="E620" i="8"/>
  <c r="AI619" i="8"/>
  <c r="F620" i="8"/>
  <c r="Z621" i="8"/>
  <c r="M621" i="8"/>
  <c r="AH621" i="8"/>
  <c r="B620" i="8"/>
  <c r="L620" i="8"/>
  <c r="A620" i="8"/>
  <c r="I622" i="8"/>
  <c r="G621" i="8"/>
  <c r="K621" i="8"/>
  <c r="AF621" i="8"/>
  <c r="AA621" i="8" s="1"/>
  <c r="AG621" i="8"/>
  <c r="X567" i="8" l="1"/>
  <c r="AD620" i="8"/>
  <c r="X57" i="8"/>
  <c r="X1077" i="8"/>
  <c r="E621" i="8"/>
  <c r="F621" i="8"/>
  <c r="AI620" i="8"/>
  <c r="Z622" i="8"/>
  <c r="M622" i="8"/>
  <c r="AH622" i="8"/>
  <c r="B621" i="8"/>
  <c r="L621" i="8"/>
  <c r="A621" i="8"/>
  <c r="K622" i="8"/>
  <c r="AF622" i="8"/>
  <c r="AA622" i="8" s="1"/>
  <c r="AG622" i="8"/>
  <c r="I623" i="8"/>
  <c r="G622" i="8"/>
  <c r="X568" i="8" l="1"/>
  <c r="AD621" i="8"/>
  <c r="X1078" i="8"/>
  <c r="X58" i="8"/>
  <c r="F622" i="8"/>
  <c r="E622" i="8"/>
  <c r="AI621" i="8"/>
  <c r="Z623" i="8"/>
  <c r="M623" i="8"/>
  <c r="AH623" i="8"/>
  <c r="B622" i="8"/>
  <c r="L622" i="8"/>
  <c r="AF623" i="8"/>
  <c r="AA623" i="8" s="1"/>
  <c r="A622" i="8"/>
  <c r="G623" i="8"/>
  <c r="K623" i="8"/>
  <c r="I624" i="8"/>
  <c r="AG623" i="8"/>
  <c r="X569" i="8" l="1"/>
  <c r="AD622" i="8"/>
  <c r="X1079" i="8"/>
  <c r="X59" i="8"/>
  <c r="E623" i="8"/>
  <c r="F623" i="8"/>
  <c r="AI622" i="8"/>
  <c r="Z624" i="8"/>
  <c r="M624" i="8"/>
  <c r="AH624" i="8"/>
  <c r="L623" i="8"/>
  <c r="B623" i="8"/>
  <c r="I625" i="8"/>
  <c r="AF624" i="8"/>
  <c r="AA624" i="8" s="1"/>
  <c r="K624" i="8"/>
  <c r="G624" i="8"/>
  <c r="AG624" i="8"/>
  <c r="A623" i="8"/>
  <c r="X570" i="8" l="1"/>
  <c r="AD623" i="8"/>
  <c r="X1080" i="8"/>
  <c r="X60" i="8"/>
  <c r="AI623" i="8"/>
  <c r="E624" i="8"/>
  <c r="F624" i="8"/>
  <c r="Z625" i="8"/>
  <c r="M625" i="8"/>
  <c r="AH625" i="8"/>
  <c r="B624" i="8"/>
  <c r="L624" i="8"/>
  <c r="I626" i="8"/>
  <c r="K625" i="8"/>
  <c r="G625" i="8"/>
  <c r="AF625" i="8"/>
  <c r="AA625" i="8" s="1"/>
  <c r="AG625" i="8"/>
  <c r="A624" i="8"/>
  <c r="X571" i="8" l="1"/>
  <c r="AD624" i="8"/>
  <c r="X1081" i="8"/>
  <c r="X61" i="8"/>
  <c r="AI624" i="8"/>
  <c r="E625" i="8"/>
  <c r="F625" i="8"/>
  <c r="Z626" i="8"/>
  <c r="M626" i="8"/>
  <c r="AH626" i="8"/>
  <c r="B625" i="8"/>
  <c r="L625" i="8"/>
  <c r="K626" i="8"/>
  <c r="AF626" i="8"/>
  <c r="AA626" i="8" s="1"/>
  <c r="I627" i="8"/>
  <c r="G626" i="8"/>
  <c r="AG626" i="8"/>
  <c r="A625" i="8"/>
  <c r="X572" i="8" l="1"/>
  <c r="X573" i="8" s="1"/>
  <c r="AD625" i="8"/>
  <c r="X1082" i="8"/>
  <c r="X62" i="8"/>
  <c r="AI625" i="8"/>
  <c r="E626" i="8"/>
  <c r="F626" i="8"/>
  <c r="Z627" i="8"/>
  <c r="M627" i="8"/>
  <c r="AH627" i="8"/>
  <c r="B626" i="8"/>
  <c r="L626" i="8"/>
  <c r="AG627" i="8"/>
  <c r="I628" i="8"/>
  <c r="G627" i="8"/>
  <c r="AF627" i="8"/>
  <c r="AA627" i="8" s="1"/>
  <c r="K627" i="8"/>
  <c r="A626" i="8"/>
  <c r="AD626" i="8" l="1"/>
  <c r="X1083" i="8"/>
  <c r="X63" i="8"/>
  <c r="E627" i="8"/>
  <c r="F627" i="8"/>
  <c r="AI626" i="8"/>
  <c r="X574" i="8"/>
  <c r="Z628" i="8"/>
  <c r="M628" i="8"/>
  <c r="AH628" i="8"/>
  <c r="L627" i="8"/>
  <c r="A627" i="8"/>
  <c r="B627" i="8"/>
  <c r="I629" i="8"/>
  <c r="G628" i="8"/>
  <c r="K628" i="8"/>
  <c r="AG628" i="8"/>
  <c r="AF628" i="8"/>
  <c r="AA628" i="8" s="1"/>
  <c r="AD627" i="8" l="1"/>
  <c r="X1084" i="8"/>
  <c r="X64" i="8"/>
  <c r="AI627" i="8"/>
  <c r="X575" i="8"/>
  <c r="E628" i="8"/>
  <c r="F628" i="8"/>
  <c r="Z629" i="8"/>
  <c r="M629" i="8"/>
  <c r="AH629" i="8"/>
  <c r="B628" i="8"/>
  <c r="L628" i="8"/>
  <c r="AG629" i="8"/>
  <c r="K629" i="8"/>
  <c r="G629" i="8"/>
  <c r="AF629" i="8"/>
  <c r="AA629" i="8" s="1"/>
  <c r="I630" i="8"/>
  <c r="A628" i="8"/>
  <c r="AD628" i="8" l="1"/>
  <c r="X1085" i="8"/>
  <c r="X65" i="8"/>
  <c r="E629" i="8"/>
  <c r="F629" i="8"/>
  <c r="AI628" i="8"/>
  <c r="X576" i="8"/>
  <c r="Z630" i="8"/>
  <c r="M630" i="8"/>
  <c r="AH630" i="8"/>
  <c r="B629" i="8"/>
  <c r="L629" i="8"/>
  <c r="AF630" i="8"/>
  <c r="AA630" i="8" s="1"/>
  <c r="I631" i="8"/>
  <c r="K630" i="8"/>
  <c r="AG630" i="8"/>
  <c r="G630" i="8"/>
  <c r="A629" i="8"/>
  <c r="AD629" i="8" l="1"/>
  <c r="X1086" i="8"/>
  <c r="X66" i="8"/>
  <c r="F630" i="8"/>
  <c r="AI629" i="8"/>
  <c r="X577" i="8"/>
  <c r="E630" i="8"/>
  <c r="Z631" i="8"/>
  <c r="M631" i="8"/>
  <c r="AH631" i="8"/>
  <c r="B630" i="8"/>
  <c r="L630" i="8"/>
  <c r="AG631" i="8"/>
  <c r="K631" i="8"/>
  <c r="AF631" i="8"/>
  <c r="AA631" i="8" s="1"/>
  <c r="G631" i="8"/>
  <c r="I632" i="8"/>
  <c r="A630" i="8"/>
  <c r="AD630" i="8" l="1"/>
  <c r="X1087" i="8"/>
  <c r="X67" i="8"/>
  <c r="F631" i="8"/>
  <c r="AI630" i="8"/>
  <c r="E631" i="8"/>
  <c r="X578" i="8"/>
  <c r="M632" i="8"/>
  <c r="AH632" i="8"/>
  <c r="B631" i="8"/>
  <c r="L631" i="8"/>
  <c r="AF632" i="8"/>
  <c r="AA632" i="8" s="1"/>
  <c r="K632" i="8"/>
  <c r="A631" i="8"/>
  <c r="I633" i="8"/>
  <c r="G632" i="8"/>
  <c r="AG632" i="8"/>
  <c r="AD631" i="8" l="1"/>
  <c r="X1088" i="8"/>
  <c r="X68" i="8"/>
  <c r="F632" i="8"/>
  <c r="E632" i="8"/>
  <c r="X579" i="8"/>
  <c r="AI631" i="8"/>
  <c r="M633" i="8"/>
  <c r="AH633" i="8"/>
  <c r="B632" i="8"/>
  <c r="L632" i="8"/>
  <c r="AG633" i="8"/>
  <c r="A632" i="8"/>
  <c r="I634" i="8"/>
  <c r="G633" i="8"/>
  <c r="AF633" i="8"/>
  <c r="AA633" i="8" s="1"/>
  <c r="K633" i="8"/>
  <c r="AD632" i="8" l="1"/>
  <c r="X1089" i="8"/>
  <c r="X69" i="8"/>
  <c r="AI632" i="8"/>
  <c r="E633" i="8"/>
  <c r="F633" i="8"/>
  <c r="X580" i="8"/>
  <c r="M634" i="8"/>
  <c r="AH634" i="8"/>
  <c r="B633" i="8"/>
  <c r="L633" i="8"/>
  <c r="AF634" i="8"/>
  <c r="AA634" i="8" s="1"/>
  <c r="AG634" i="8"/>
  <c r="I635" i="8"/>
  <c r="G634" i="8"/>
  <c r="K634" i="8"/>
  <c r="A633" i="8"/>
  <c r="AD633" i="8" l="1"/>
  <c r="X1090" i="8"/>
  <c r="X70" i="8"/>
  <c r="AI633" i="8"/>
  <c r="F634" i="8"/>
  <c r="E634" i="8"/>
  <c r="X581" i="8"/>
  <c r="M635" i="8"/>
  <c r="AH635" i="8"/>
  <c r="B634" i="8"/>
  <c r="L634" i="8"/>
  <c r="K635" i="8"/>
  <c r="AF635" i="8"/>
  <c r="AA635" i="8" s="1"/>
  <c r="AG635" i="8"/>
  <c r="A634" i="8"/>
  <c r="I636" i="8"/>
  <c r="G635" i="8"/>
  <c r="AD634" i="8" l="1"/>
  <c r="X1091" i="8"/>
  <c r="X71" i="8"/>
  <c r="E635" i="8"/>
  <c r="AI634" i="8"/>
  <c r="F635" i="8"/>
  <c r="X582" i="8"/>
  <c r="M636" i="8"/>
  <c r="AH636" i="8"/>
  <c r="B635" i="8"/>
  <c r="L635" i="8"/>
  <c r="G636" i="8"/>
  <c r="AF636" i="8"/>
  <c r="AA636" i="8" s="1"/>
  <c r="K636" i="8"/>
  <c r="I637" i="8"/>
  <c r="A635" i="8"/>
  <c r="AG636" i="8"/>
  <c r="X1092" i="8" l="1"/>
  <c r="AD635" i="8"/>
  <c r="X72" i="8"/>
  <c r="AI635" i="8"/>
  <c r="F636" i="8"/>
  <c r="X583" i="8"/>
  <c r="E636" i="8"/>
  <c r="M637" i="8"/>
  <c r="AH637" i="8"/>
  <c r="B636" i="8"/>
  <c r="L636" i="8"/>
  <c r="A636" i="8"/>
  <c r="I638" i="8"/>
  <c r="G637" i="8"/>
  <c r="K637" i="8"/>
  <c r="AF637" i="8"/>
  <c r="AA637" i="8" s="1"/>
  <c r="AG637" i="8"/>
  <c r="X1093" i="8" l="1"/>
  <c r="AD636" i="8"/>
  <c r="X73" i="8"/>
  <c r="AI636" i="8"/>
  <c r="F637" i="8"/>
  <c r="X584" i="8"/>
  <c r="E637" i="8"/>
  <c r="M638" i="8"/>
  <c r="AH638" i="8"/>
  <c r="B637" i="8"/>
  <c r="L637" i="8"/>
  <c r="G638" i="8"/>
  <c r="AG638" i="8"/>
  <c r="A637" i="8"/>
  <c r="AF638" i="8"/>
  <c r="AA638" i="8" s="1"/>
  <c r="K638" i="8"/>
  <c r="I639" i="8"/>
  <c r="X1094" i="8" l="1"/>
  <c r="AD637" i="8"/>
  <c r="X74" i="8"/>
  <c r="AI637" i="8"/>
  <c r="F638" i="8"/>
  <c r="E638" i="8"/>
  <c r="X585" i="8"/>
  <c r="M639" i="8"/>
  <c r="AH639" i="8"/>
  <c r="B638" i="8"/>
  <c r="L638" i="8"/>
  <c r="A638" i="8"/>
  <c r="I640" i="8"/>
  <c r="K639" i="8"/>
  <c r="G639" i="8"/>
  <c r="AF639" i="8"/>
  <c r="AA639" i="8" s="1"/>
  <c r="AG639" i="8"/>
  <c r="X1095" i="8" l="1"/>
  <c r="X1096" i="8" s="1"/>
  <c r="AD638" i="8"/>
  <c r="X75" i="8"/>
  <c r="E639" i="8"/>
  <c r="F639" i="8"/>
  <c r="X586" i="8"/>
  <c r="AI638" i="8"/>
  <c r="M640" i="8"/>
  <c r="AH640" i="8"/>
  <c r="B639" i="8"/>
  <c r="L639" i="8"/>
  <c r="K640" i="8"/>
  <c r="G640" i="8"/>
  <c r="I641" i="8"/>
  <c r="AG640" i="8"/>
  <c r="AF640" i="8"/>
  <c r="AA640" i="8" s="1"/>
  <c r="A639" i="8"/>
  <c r="AD639" i="8" l="1"/>
  <c r="X76" i="8"/>
  <c r="AI639" i="8"/>
  <c r="F640" i="8"/>
  <c r="E640" i="8"/>
  <c r="X587" i="8"/>
  <c r="X1097" i="8"/>
  <c r="M641" i="8"/>
  <c r="AH641" i="8"/>
  <c r="B640" i="8"/>
  <c r="L640" i="8"/>
  <c r="A640" i="8"/>
  <c r="G641" i="8"/>
  <c r="AG641" i="8"/>
  <c r="K641" i="8"/>
  <c r="AF641" i="8"/>
  <c r="AA641" i="8" s="1"/>
  <c r="I642" i="8"/>
  <c r="AD640" i="8" l="1"/>
  <c r="X77" i="8"/>
  <c r="AI640" i="8"/>
  <c r="X588" i="8"/>
  <c r="E641" i="8"/>
  <c r="F641" i="8"/>
  <c r="X1098" i="8"/>
  <c r="M642" i="8"/>
  <c r="AH642" i="8"/>
  <c r="B641" i="8"/>
  <c r="A641" i="8"/>
  <c r="L641" i="8"/>
  <c r="AG642" i="8"/>
  <c r="K642" i="8"/>
  <c r="AF642" i="8"/>
  <c r="AA642" i="8" s="1"/>
  <c r="G642" i="8"/>
  <c r="I643" i="8"/>
  <c r="AD641" i="8" l="1"/>
  <c r="X78" i="8"/>
  <c r="AI641" i="8"/>
  <c r="E642" i="8"/>
  <c r="F642" i="8"/>
  <c r="X1099" i="8"/>
  <c r="X589" i="8"/>
  <c r="M643" i="8"/>
  <c r="AH643" i="8"/>
  <c r="B642" i="8"/>
  <c r="L642" i="8"/>
  <c r="K643" i="8"/>
  <c r="I644" i="8"/>
  <c r="G643" i="8"/>
  <c r="AF643" i="8"/>
  <c r="AA643" i="8" s="1"/>
  <c r="AG643" i="8"/>
  <c r="A642" i="8"/>
  <c r="AD642" i="8" l="1"/>
  <c r="X79" i="8"/>
  <c r="AI642" i="8"/>
  <c r="X1100" i="8"/>
  <c r="E643" i="8"/>
  <c r="F643" i="8"/>
  <c r="X590" i="8"/>
  <c r="M644" i="8"/>
  <c r="AH644" i="8"/>
  <c r="B643" i="8"/>
  <c r="L643" i="8"/>
  <c r="A643" i="8"/>
  <c r="AF644" i="8"/>
  <c r="AA644" i="8" s="1"/>
  <c r="G644" i="8"/>
  <c r="I645" i="8"/>
  <c r="AG644" i="8"/>
  <c r="K644" i="8"/>
  <c r="AD643" i="8" l="1"/>
  <c r="X80" i="8"/>
  <c r="AI643" i="8"/>
  <c r="F644" i="8"/>
  <c r="E644" i="8"/>
  <c r="X591" i="8"/>
  <c r="X1101" i="8"/>
  <c r="M645" i="8"/>
  <c r="AH645" i="8"/>
  <c r="L644" i="8"/>
  <c r="AG645" i="8"/>
  <c r="AF645" i="8"/>
  <c r="AA645" i="8" s="1"/>
  <c r="I646" i="8"/>
  <c r="K645" i="8"/>
  <c r="G645" i="8"/>
  <c r="B644" i="8"/>
  <c r="A644" i="8"/>
  <c r="AD644" i="8" l="1"/>
  <c r="X81" i="8"/>
  <c r="AI644" i="8"/>
  <c r="X592" i="8"/>
  <c r="E645" i="8"/>
  <c r="F645" i="8"/>
  <c r="X1102" i="8"/>
  <c r="M646" i="8"/>
  <c r="AH646" i="8"/>
  <c r="L645" i="8"/>
  <c r="B645" i="8"/>
  <c r="A645" i="8"/>
  <c r="AG646" i="8"/>
  <c r="K646" i="8"/>
  <c r="G646" i="8"/>
  <c r="I647" i="8"/>
  <c r="AF646" i="8"/>
  <c r="AA646" i="8" s="1"/>
  <c r="AD645" i="8" l="1"/>
  <c r="X82" i="8"/>
  <c r="AI645" i="8"/>
  <c r="F646" i="8"/>
  <c r="E646" i="8"/>
  <c r="X1103" i="8"/>
  <c r="X593" i="8"/>
  <c r="M647" i="8"/>
  <c r="AH647" i="8"/>
  <c r="B646" i="8"/>
  <c r="L646" i="8"/>
  <c r="K647" i="8"/>
  <c r="AF647" i="8"/>
  <c r="AA647" i="8" s="1"/>
  <c r="G647" i="8"/>
  <c r="AG647" i="8"/>
  <c r="I648" i="8"/>
  <c r="A646" i="8"/>
  <c r="AD646" i="8" l="1"/>
  <c r="X83" i="8"/>
  <c r="AI646" i="8"/>
  <c r="F647" i="8"/>
  <c r="X1104" i="8"/>
  <c r="E647" i="8"/>
  <c r="X594" i="8"/>
  <c r="M648" i="8"/>
  <c r="AH648" i="8"/>
  <c r="L647" i="8"/>
  <c r="AG648" i="8"/>
  <c r="K648" i="8"/>
  <c r="I649" i="8"/>
  <c r="G648" i="8"/>
  <c r="AF648" i="8"/>
  <c r="AA648" i="8" s="1"/>
  <c r="B647" i="8"/>
  <c r="A647" i="8"/>
  <c r="AD647" i="8" l="1"/>
  <c r="X84" i="8"/>
  <c r="E648" i="8"/>
  <c r="X1105" i="8"/>
  <c r="F648" i="8"/>
  <c r="AI647" i="8"/>
  <c r="X595" i="8"/>
  <c r="M649" i="8"/>
  <c r="AH649" i="8"/>
  <c r="I650" i="8"/>
  <c r="L648" i="8"/>
  <c r="B648" i="8"/>
  <c r="A648" i="8"/>
  <c r="G649" i="8"/>
  <c r="AF649" i="8"/>
  <c r="AA649" i="8" s="1"/>
  <c r="AG649" i="8"/>
  <c r="K649" i="8"/>
  <c r="AD648" i="8" l="1"/>
  <c r="X85" i="8"/>
  <c r="AI648" i="8"/>
  <c r="E649" i="8"/>
  <c r="X1106" i="8"/>
  <c r="X596" i="8"/>
  <c r="F649" i="8"/>
  <c r="M650" i="8"/>
  <c r="AH650" i="8"/>
  <c r="I651" i="8"/>
  <c r="AG650" i="8"/>
  <c r="K650" i="8"/>
  <c r="G650" i="8"/>
  <c r="AF650" i="8"/>
  <c r="AA650" i="8" s="1"/>
  <c r="L649" i="8"/>
  <c r="B649" i="8"/>
  <c r="A649" i="8"/>
  <c r="AD649" i="8" l="1"/>
  <c r="X86" i="8"/>
  <c r="AI649" i="8"/>
  <c r="X1107" i="8"/>
  <c r="B650" i="8"/>
  <c r="X597" i="8"/>
  <c r="F650" i="8"/>
  <c r="E650" i="8"/>
  <c r="M651" i="8"/>
  <c r="AH651" i="8"/>
  <c r="L650" i="8"/>
  <c r="G651" i="8"/>
  <c r="AG651" i="8"/>
  <c r="AF651" i="8"/>
  <c r="AA651" i="8" s="1"/>
  <c r="K651" i="8"/>
  <c r="I652" i="8"/>
  <c r="A650" i="8"/>
  <c r="AD650" i="8" l="1"/>
  <c r="X87" i="8"/>
  <c r="X598" i="8"/>
  <c r="AI650" i="8"/>
  <c r="B651" i="8"/>
  <c r="F651" i="8"/>
  <c r="X1108" i="8"/>
  <c r="E651" i="8"/>
  <c r="M652" i="8"/>
  <c r="AH652" i="8"/>
  <c r="A651" i="8"/>
  <c r="L651" i="8"/>
  <c r="I653" i="8"/>
  <c r="AF652" i="8"/>
  <c r="AA652" i="8" s="1"/>
  <c r="AG652" i="8"/>
  <c r="K652" i="8"/>
  <c r="G652" i="8"/>
  <c r="AD651" i="8" l="1"/>
  <c r="X88" i="8"/>
  <c r="F652" i="8"/>
  <c r="B652" i="8"/>
  <c r="AI651" i="8"/>
  <c r="X1109" i="8"/>
  <c r="X599" i="8"/>
  <c r="E652" i="8"/>
  <c r="M653" i="8"/>
  <c r="AH653" i="8"/>
  <c r="I654" i="8"/>
  <c r="L652" i="8"/>
  <c r="AG653" i="8"/>
  <c r="AF653" i="8"/>
  <c r="AA653" i="8" s="1"/>
  <c r="K653" i="8"/>
  <c r="G653" i="8"/>
  <c r="A652" i="8"/>
  <c r="AD652" i="8" l="1"/>
  <c r="X89" i="8"/>
  <c r="F653" i="8"/>
  <c r="AI652" i="8"/>
  <c r="X600" i="8"/>
  <c r="B653" i="8"/>
  <c r="X1110" i="8"/>
  <c r="E653" i="8"/>
  <c r="M654" i="8"/>
  <c r="AH654" i="8"/>
  <c r="L653" i="8"/>
  <c r="AF654" i="8"/>
  <c r="AA654" i="8" s="1"/>
  <c r="G654" i="8"/>
  <c r="K654" i="8"/>
  <c r="I655" i="8"/>
  <c r="AG654" i="8"/>
  <c r="A653" i="8"/>
  <c r="AD653" i="8" l="1"/>
  <c r="X90" i="8"/>
  <c r="X601" i="8"/>
  <c r="F654" i="8"/>
  <c r="B654" i="8"/>
  <c r="AI653" i="8"/>
  <c r="X1111" i="8"/>
  <c r="E654" i="8"/>
  <c r="M655" i="8"/>
  <c r="AH655" i="8"/>
  <c r="L654" i="8"/>
  <c r="A654" i="8"/>
  <c r="I656" i="8"/>
  <c r="G655" i="8"/>
  <c r="AG655" i="8"/>
  <c r="K655" i="8"/>
  <c r="AF655" i="8"/>
  <c r="AA655" i="8" s="1"/>
  <c r="AD654" i="8" l="1"/>
  <c r="X91" i="8"/>
  <c r="B655" i="8"/>
  <c r="F655" i="8"/>
  <c r="AI654" i="8"/>
  <c r="X1112" i="8"/>
  <c r="X602" i="8"/>
  <c r="E655" i="8"/>
  <c r="M656" i="8"/>
  <c r="AH656" i="8"/>
  <c r="L655" i="8"/>
  <c r="K656" i="8"/>
  <c r="AG656" i="8"/>
  <c r="AF656" i="8"/>
  <c r="AA656" i="8" s="1"/>
  <c r="I657" i="8"/>
  <c r="A655" i="8"/>
  <c r="G656" i="8"/>
  <c r="AD655" i="8" l="1"/>
  <c r="X92" i="8"/>
  <c r="AI655" i="8"/>
  <c r="F656" i="8"/>
  <c r="B656" i="8"/>
  <c r="X603" i="8"/>
  <c r="X1113" i="8"/>
  <c r="E656" i="8"/>
  <c r="M657" i="8"/>
  <c r="AH657" i="8"/>
  <c r="L656" i="8"/>
  <c r="K657" i="8"/>
  <c r="I658" i="8"/>
  <c r="AG657" i="8"/>
  <c r="A656" i="8"/>
  <c r="G657" i="8"/>
  <c r="AF657" i="8"/>
  <c r="AA657" i="8" s="1"/>
  <c r="AD656" i="8" l="1"/>
  <c r="X93" i="8"/>
  <c r="AI656" i="8"/>
  <c r="F657" i="8"/>
  <c r="B657" i="8"/>
  <c r="X1114" i="8"/>
  <c r="X604" i="8"/>
  <c r="E657" i="8"/>
  <c r="M658" i="8"/>
  <c r="AH658" i="8"/>
  <c r="L657" i="8"/>
  <c r="AF658" i="8"/>
  <c r="AA658" i="8" s="1"/>
  <c r="G658" i="8"/>
  <c r="K658" i="8"/>
  <c r="I659" i="8"/>
  <c r="AG658" i="8"/>
  <c r="A657" i="8"/>
  <c r="AD657" i="8" l="1"/>
  <c r="X94" i="8"/>
  <c r="F658" i="8"/>
  <c r="B658" i="8"/>
  <c r="AI657" i="8"/>
  <c r="X605" i="8"/>
  <c r="X1115" i="8"/>
  <c r="E658" i="8"/>
  <c r="M659" i="8"/>
  <c r="AH659" i="8"/>
  <c r="L658" i="8"/>
  <c r="A658" i="8"/>
  <c r="G659" i="8"/>
  <c r="AF659" i="8"/>
  <c r="AA659" i="8" s="1"/>
  <c r="AG659" i="8"/>
  <c r="I660" i="8"/>
  <c r="K659" i="8"/>
  <c r="AD658" i="8" l="1"/>
  <c r="X95" i="8"/>
  <c r="X606" i="8"/>
  <c r="B659" i="8"/>
  <c r="AI658" i="8"/>
  <c r="F659" i="8"/>
  <c r="X1116" i="8"/>
  <c r="E659" i="8"/>
  <c r="M660" i="8"/>
  <c r="AH660" i="8"/>
  <c r="A659" i="8"/>
  <c r="L659" i="8"/>
  <c r="AG660" i="8"/>
  <c r="G660" i="8"/>
  <c r="K660" i="8"/>
  <c r="AF660" i="8"/>
  <c r="AA660" i="8" s="1"/>
  <c r="I661" i="8"/>
  <c r="AD659" i="8" l="1"/>
  <c r="X96" i="8"/>
  <c r="F660" i="8"/>
  <c r="B660" i="8"/>
  <c r="AI659" i="8"/>
  <c r="X1117" i="8"/>
  <c r="X607" i="8"/>
  <c r="E660" i="8"/>
  <c r="M661" i="8"/>
  <c r="AH661" i="8"/>
  <c r="AF661" i="8"/>
  <c r="AA661" i="8" s="1"/>
  <c r="A660" i="8"/>
  <c r="L660" i="8"/>
  <c r="AG661" i="8"/>
  <c r="I662" i="8"/>
  <c r="G661" i="8"/>
  <c r="K661" i="8"/>
  <c r="AD660" i="8" l="1"/>
  <c r="X97" i="8"/>
  <c r="F661" i="8"/>
  <c r="B661" i="8"/>
  <c r="AI660" i="8"/>
  <c r="X608" i="8"/>
  <c r="X1118" i="8"/>
  <c r="E661" i="8"/>
  <c r="M662" i="8"/>
  <c r="AH662" i="8"/>
  <c r="L661" i="8"/>
  <c r="I663" i="8"/>
  <c r="AF662" i="8"/>
  <c r="AA662" i="8" s="1"/>
  <c r="A661" i="8"/>
  <c r="AG662" i="8"/>
  <c r="G662" i="8"/>
  <c r="K662" i="8"/>
  <c r="AD661" i="8" l="1"/>
  <c r="X98" i="8"/>
  <c r="B662" i="8"/>
  <c r="F662" i="8"/>
  <c r="AI661" i="8"/>
  <c r="X1119" i="8"/>
  <c r="X609" i="8"/>
  <c r="E662" i="8"/>
  <c r="M663" i="8"/>
  <c r="AH663" i="8"/>
  <c r="L662" i="8"/>
  <c r="AF663" i="8"/>
  <c r="AA663" i="8" s="1"/>
  <c r="AG663" i="8"/>
  <c r="K663" i="8"/>
  <c r="I664" i="8"/>
  <c r="G663" i="8"/>
  <c r="A662" i="8"/>
  <c r="AD662" i="8" l="1"/>
  <c r="X99" i="8"/>
  <c r="X1120" i="8"/>
  <c r="F663" i="8"/>
  <c r="B663" i="8"/>
  <c r="AI662" i="8"/>
  <c r="X610" i="8"/>
  <c r="E663" i="8"/>
  <c r="M664" i="8"/>
  <c r="AH664" i="8"/>
  <c r="AF664" i="8"/>
  <c r="AA664" i="8" s="1"/>
  <c r="A663" i="8"/>
  <c r="L663" i="8"/>
  <c r="K664" i="8"/>
  <c r="AG664" i="8"/>
  <c r="G664" i="8"/>
  <c r="AD663" i="8" l="1"/>
  <c r="X100" i="8"/>
  <c r="X1121" i="8"/>
  <c r="B664" i="8"/>
  <c r="F664" i="8"/>
  <c r="AI663" i="8"/>
  <c r="X611" i="8"/>
  <c r="E664" i="8"/>
  <c r="A664" i="8"/>
  <c r="L664" i="8"/>
  <c r="AD664" i="8" l="1"/>
  <c r="X101" i="8"/>
  <c r="X1122" i="8"/>
  <c r="AI664" i="8"/>
  <c r="X612" i="8"/>
  <c r="X102" i="8" l="1"/>
  <c r="W1172" i="8"/>
  <c r="X1123" i="8"/>
  <c r="W641" i="8"/>
  <c r="W664" i="8"/>
  <c r="W662" i="8"/>
  <c r="W656" i="8"/>
  <c r="W647" i="8"/>
  <c r="W652" i="8"/>
  <c r="W649" i="8"/>
  <c r="W627" i="8"/>
  <c r="W658" i="8"/>
  <c r="W659" i="8"/>
  <c r="W657" i="8"/>
  <c r="W663" i="8"/>
  <c r="W655" i="8"/>
  <c r="W624" i="8"/>
  <c r="W661" i="8"/>
  <c r="W651" i="8"/>
  <c r="W623" i="8"/>
  <c r="W660" i="8"/>
  <c r="W650" i="8"/>
  <c r="W636" i="8"/>
  <c r="W132" i="8"/>
  <c r="W643" i="8"/>
  <c r="W642" i="8"/>
  <c r="W644" i="8"/>
  <c r="W622" i="8"/>
  <c r="W648" i="8"/>
  <c r="W640" i="8"/>
  <c r="W140" i="8"/>
  <c r="W654" i="8"/>
  <c r="W646" i="8"/>
  <c r="W634" i="8"/>
  <c r="W653" i="8"/>
  <c r="W645" i="8"/>
  <c r="W633" i="8"/>
  <c r="W635" i="8"/>
  <c r="W133" i="8"/>
  <c r="W632" i="8"/>
  <c r="W1146" i="8"/>
  <c r="W628" i="8"/>
  <c r="W112" i="8"/>
  <c r="W639" i="8"/>
  <c r="W631" i="8"/>
  <c r="W620" i="8"/>
  <c r="W1130" i="8"/>
  <c r="W638" i="8"/>
  <c r="W630" i="8"/>
  <c r="W618" i="8"/>
  <c r="W637" i="8"/>
  <c r="W629" i="8"/>
  <c r="W617" i="8"/>
  <c r="W626" i="8"/>
  <c r="W616" i="8"/>
  <c r="W625" i="8"/>
  <c r="W615" i="8"/>
  <c r="W621" i="8"/>
  <c r="W117" i="8"/>
  <c r="W123" i="8"/>
  <c r="W1163" i="8"/>
  <c r="W619" i="8"/>
  <c r="W1147" i="8"/>
  <c r="W148" i="8"/>
  <c r="W115" i="8"/>
  <c r="W1145" i="8"/>
  <c r="W124" i="8"/>
  <c r="W1161" i="8"/>
  <c r="W1167" i="8"/>
  <c r="W1154" i="8"/>
  <c r="W1162" i="8"/>
  <c r="W1166" i="8"/>
  <c r="W1138" i="8"/>
  <c r="W107" i="8"/>
  <c r="W116" i="8"/>
  <c r="W147" i="8"/>
  <c r="W138" i="8"/>
  <c r="W139" i="8"/>
  <c r="W1174" i="8"/>
  <c r="W111" i="8"/>
  <c r="W1128" i="8"/>
  <c r="W153" i="8"/>
  <c r="W1153" i="8"/>
  <c r="W137" i="8"/>
  <c r="W131" i="8"/>
  <c r="W1137" i="8"/>
  <c r="W1129" i="8"/>
  <c r="W1165" i="8"/>
  <c r="W130" i="8"/>
  <c r="W122" i="8"/>
  <c r="W1142" i="8"/>
  <c r="W1170" i="8"/>
  <c r="W151" i="8"/>
  <c r="W154" i="8"/>
  <c r="W1160" i="8"/>
  <c r="W146" i="8"/>
  <c r="W1136" i="8"/>
  <c r="W1127" i="8"/>
  <c r="W149" i="8"/>
  <c r="W1171" i="8"/>
  <c r="W1139" i="8"/>
  <c r="W143" i="8"/>
  <c r="W1152" i="8"/>
  <c r="W121" i="8"/>
  <c r="W1144" i="8"/>
  <c r="W1151" i="8"/>
  <c r="W1168" i="8"/>
  <c r="W106" i="8"/>
  <c r="W125" i="8"/>
  <c r="W114" i="8"/>
  <c r="W1133" i="8"/>
  <c r="W1156" i="8"/>
  <c r="W135" i="8"/>
  <c r="W127" i="8"/>
  <c r="W136" i="8"/>
  <c r="W119" i="8"/>
  <c r="W120" i="8"/>
  <c r="W113" i="8"/>
  <c r="W1159" i="8"/>
  <c r="W1149" i="8"/>
  <c r="W1141" i="8"/>
  <c r="W128" i="8"/>
  <c r="W1125" i="8"/>
  <c r="W141" i="8"/>
  <c r="W1134" i="8"/>
  <c r="W1164" i="8"/>
  <c r="W1155" i="8"/>
  <c r="W1157" i="8"/>
  <c r="W1131" i="8"/>
  <c r="W126" i="8"/>
  <c r="W109" i="8"/>
  <c r="W1169" i="8"/>
  <c r="W105" i="8"/>
  <c r="W1143" i="8"/>
  <c r="W108" i="8"/>
  <c r="W144" i="8"/>
  <c r="W1148" i="8"/>
  <c r="W145" i="8"/>
  <c r="W1173" i="8"/>
  <c r="W129" i="8"/>
  <c r="W110" i="8"/>
  <c r="W1126" i="8"/>
  <c r="W1132" i="8"/>
  <c r="W1135" i="8"/>
  <c r="W150" i="8"/>
  <c r="W152" i="8"/>
  <c r="W142" i="8"/>
  <c r="W134" i="8"/>
  <c r="W1140" i="8"/>
  <c r="W1158" i="8"/>
  <c r="W118" i="8"/>
  <c r="W1150" i="8"/>
  <c r="X613" i="8"/>
  <c r="Z1172" i="8" l="1"/>
  <c r="X103" i="8"/>
  <c r="Z641" i="8"/>
  <c r="Z140" i="8"/>
  <c r="Z644" i="8"/>
  <c r="Z663" i="8"/>
  <c r="Z662" i="8"/>
  <c r="Z150" i="8"/>
  <c r="Z135" i="8"/>
  <c r="Z130" i="8"/>
  <c r="Z144" i="8"/>
  <c r="Z1166" i="8"/>
  <c r="Z632" i="8"/>
  <c r="Z1152" i="8"/>
  <c r="Z1162" i="8"/>
  <c r="Z133" i="8"/>
  <c r="Z636" i="8"/>
  <c r="Z1158" i="8"/>
  <c r="Z1143" i="8"/>
  <c r="Z1164" i="8"/>
  <c r="Z143" i="8"/>
  <c r="Z154" i="8"/>
  <c r="Z139" i="8"/>
  <c r="Z1154" i="8"/>
  <c r="Z635" i="8"/>
  <c r="Z640" i="8"/>
  <c r="Z650" i="8"/>
  <c r="Z657" i="8"/>
  <c r="Z1148" i="8"/>
  <c r="Z1144" i="8"/>
  <c r="Z1146" i="8"/>
  <c r="Z652" i="8"/>
  <c r="Z1157" i="8"/>
  <c r="Z1165" i="8"/>
  <c r="Z1159" i="8"/>
  <c r="Z1174" i="8"/>
  <c r="X105" i="8"/>
  <c r="Z125" i="8"/>
  <c r="Z131" i="8"/>
  <c r="Z1163" i="8"/>
  <c r="Z633" i="8"/>
  <c r="Z660" i="8"/>
  <c r="Z132" i="8"/>
  <c r="Z134" i="8"/>
  <c r="Z129" i="8"/>
  <c r="Z1169" i="8"/>
  <c r="Z141" i="8"/>
  <c r="Z1171" i="8"/>
  <c r="Z1170" i="8"/>
  <c r="Z137" i="8"/>
  <c r="Z147" i="8"/>
  <c r="Z1161" i="8"/>
  <c r="Z123" i="8"/>
  <c r="Z639" i="8"/>
  <c r="Z645" i="8"/>
  <c r="Z658" i="8"/>
  <c r="Z646" i="8"/>
  <c r="Z1150" i="8"/>
  <c r="Z1149" i="8"/>
  <c r="Z146" i="8"/>
  <c r="Z148" i="8"/>
  <c r="Z654" i="8"/>
  <c r="Z647" i="8"/>
  <c r="Z138" i="8"/>
  <c r="Z648" i="8"/>
  <c r="Z659" i="8"/>
  <c r="Z656" i="8"/>
  <c r="Z142" i="8"/>
  <c r="Z1173" i="8"/>
  <c r="X1125" i="8"/>
  <c r="Z136" i="8"/>
  <c r="Z1168" i="8"/>
  <c r="Z149" i="8"/>
  <c r="Z1142" i="8"/>
  <c r="Z1153" i="8"/>
  <c r="Z124" i="8"/>
  <c r="Z637" i="8"/>
  <c r="Z653" i="8"/>
  <c r="Z651" i="8"/>
  <c r="X615" i="8"/>
  <c r="Z643" i="8"/>
  <c r="Z1156" i="8"/>
  <c r="Z638" i="8"/>
  <c r="Z1155" i="8"/>
  <c r="Z1160" i="8"/>
  <c r="Z1147" i="8"/>
  <c r="Z151" i="8"/>
  <c r="Z1167" i="8"/>
  <c r="Z664" i="8"/>
  <c r="Z655" i="8"/>
  <c r="Z152" i="8"/>
  <c r="Z145" i="8"/>
  <c r="Z126" i="8"/>
  <c r="Z128" i="8"/>
  <c r="Z127" i="8"/>
  <c r="Z1151" i="8"/>
  <c r="Z122" i="8"/>
  <c r="Z153" i="8"/>
  <c r="Z1145" i="8"/>
  <c r="Z634" i="8"/>
  <c r="Z642" i="8"/>
  <c r="Z661" i="8"/>
  <c r="Z649" i="8"/>
  <c r="AN18" i="8"/>
  <c r="AN19" i="8"/>
  <c r="AN17" i="8"/>
  <c r="X106" i="8" l="1"/>
  <c r="X1126" i="8"/>
  <c r="X616" i="8"/>
  <c r="AN16" i="8"/>
  <c r="AO16" i="8" l="1"/>
  <c r="X107" i="8"/>
  <c r="X1127" i="8"/>
  <c r="X617" i="8"/>
  <c r="X108" i="8" l="1"/>
  <c r="X618" i="8"/>
  <c r="X1128" i="8"/>
  <c r="X619" i="8" l="1"/>
  <c r="X109" i="8"/>
  <c r="X1129" i="8"/>
  <c r="X620" i="8" l="1"/>
  <c r="X110" i="8"/>
  <c r="X1130" i="8"/>
  <c r="X621" i="8" l="1"/>
  <c r="X111" i="8"/>
  <c r="X1131" i="8"/>
  <c r="X622" i="8" l="1"/>
  <c r="X112" i="8"/>
  <c r="X1132" i="8"/>
  <c r="X623" i="8" l="1"/>
  <c r="X113" i="8"/>
  <c r="X1133" i="8"/>
  <c r="X624" i="8" l="1"/>
  <c r="X114" i="8"/>
  <c r="X1134" i="8"/>
  <c r="X625" i="8" l="1"/>
  <c r="X115" i="8"/>
  <c r="X1135" i="8"/>
  <c r="X626" i="8" l="1"/>
  <c r="X116" i="8"/>
  <c r="X1136" i="8"/>
  <c r="X627" i="8" l="1"/>
  <c r="X117" i="8"/>
  <c r="X1137" i="8"/>
  <c r="X628" i="8" l="1"/>
  <c r="X118" i="8"/>
  <c r="X1138" i="8"/>
  <c r="X629" i="8" l="1"/>
  <c r="X119" i="8"/>
  <c r="X1139" i="8"/>
  <c r="X630" i="8" l="1"/>
  <c r="X120" i="8"/>
  <c r="X1140" i="8"/>
  <c r="X631" i="8" l="1"/>
  <c r="X121" i="8"/>
  <c r="X1141" i="8"/>
  <c r="X632" i="8" l="1"/>
  <c r="X122" i="8"/>
  <c r="X1142" i="8"/>
  <c r="X633" i="8" l="1"/>
  <c r="X123" i="8"/>
  <c r="X1143" i="8"/>
  <c r="X634" i="8" l="1"/>
  <c r="X124" i="8"/>
  <c r="X1144" i="8"/>
  <c r="X635" i="8" l="1"/>
  <c r="X125" i="8"/>
  <c r="X1145" i="8"/>
  <c r="X636" i="8" l="1"/>
  <c r="X126" i="8"/>
  <c r="X1146" i="8"/>
  <c r="X637" i="8" l="1"/>
  <c r="X127" i="8"/>
  <c r="X1147" i="8"/>
  <c r="X638" i="8" l="1"/>
  <c r="X128" i="8"/>
  <c r="X1148" i="8"/>
  <c r="X639" i="8" l="1"/>
  <c r="X129" i="8"/>
  <c r="X1149" i="8"/>
  <c r="X640" i="8" l="1"/>
  <c r="X130" i="8"/>
  <c r="X1150" i="8"/>
  <c r="X641" i="8" l="1"/>
  <c r="X131" i="8"/>
  <c r="X1151" i="8"/>
  <c r="X642" i="8" l="1"/>
  <c r="X132" i="8"/>
  <c r="X1152" i="8"/>
  <c r="X643" i="8" l="1"/>
  <c r="X133" i="8"/>
  <c r="X1153" i="8"/>
  <c r="X644" i="8" l="1"/>
  <c r="X134" i="8"/>
  <c r="X1154" i="8"/>
  <c r="X645" i="8" l="1"/>
  <c r="X135" i="8"/>
  <c r="X1155" i="8"/>
  <c r="X646" i="8" l="1"/>
  <c r="X136" i="8"/>
  <c r="X1156" i="8"/>
  <c r="X647" i="8" l="1"/>
  <c r="X137" i="8"/>
  <c r="X1157" i="8"/>
  <c r="X648" i="8" l="1"/>
  <c r="X138" i="8"/>
  <c r="X1158" i="8"/>
  <c r="X649" i="8" l="1"/>
  <c r="X139" i="8"/>
  <c r="X1159" i="8"/>
  <c r="X650" i="8" l="1"/>
  <c r="X140" i="8"/>
  <c r="X1160" i="8"/>
  <c r="X651" i="8" l="1"/>
  <c r="X141" i="8"/>
  <c r="X1161" i="8"/>
  <c r="X652" i="8" l="1"/>
  <c r="X142" i="8"/>
  <c r="X1162" i="8"/>
  <c r="X653" i="8" l="1"/>
  <c r="X143" i="8"/>
  <c r="X1163" i="8"/>
  <c r="X654" i="8" l="1"/>
  <c r="X144" i="8"/>
  <c r="X1164" i="8"/>
  <c r="X655" i="8" l="1"/>
  <c r="X145" i="8"/>
  <c r="X1165" i="8"/>
  <c r="X656" i="8" l="1"/>
  <c r="X146" i="8"/>
  <c r="X1166" i="8"/>
  <c r="X657" i="8" l="1"/>
  <c r="X147" i="8"/>
  <c r="X1167" i="8"/>
  <c r="X658" i="8" l="1"/>
  <c r="X148" i="8"/>
  <c r="X1168" i="8"/>
  <c r="X659" i="8" l="1"/>
  <c r="X149" i="8"/>
  <c r="X1169" i="8"/>
  <c r="X660" i="8" l="1"/>
  <c r="X150" i="8"/>
  <c r="X1170" i="8"/>
  <c r="X661" i="8" l="1"/>
  <c r="X151" i="8"/>
  <c r="X1171" i="8"/>
  <c r="X662" i="8" l="1"/>
  <c r="X152" i="8"/>
  <c r="X1172" i="8"/>
  <c r="X663" i="8" l="1"/>
  <c r="X153" i="8"/>
  <c r="X1173" i="8"/>
  <c r="X664" i="8" l="1"/>
  <c r="X154" i="8"/>
  <c r="X1174" i="8"/>
  <c r="P129" i="9"/>
  <c r="P124" i="9"/>
  <c r="P127" i="9"/>
  <c r="P130" i="9"/>
  <c r="P132" i="9"/>
  <c r="P115" i="9"/>
  <c r="P254" i="9"/>
  <c r="P116" i="9"/>
  <c r="P197" i="9"/>
  <c r="P125" i="9"/>
  <c r="P136" i="9"/>
  <c r="P134" i="9"/>
  <c r="P126" i="9"/>
  <c r="P122" i="9"/>
  <c r="P218" i="9"/>
  <c r="P270" i="9"/>
  <c r="P217" i="9"/>
  <c r="P120" i="9"/>
  <c r="P205" i="9"/>
  <c r="P133" i="9"/>
  <c r="P188" i="9"/>
  <c r="P288" i="9"/>
  <c r="P202" i="9"/>
  <c r="P320" i="9"/>
  <c r="P259" i="9"/>
  <c r="P284" i="9"/>
  <c r="P203" i="9"/>
  <c r="P316" i="9"/>
  <c r="P229" i="9"/>
  <c r="P268" i="9"/>
  <c r="P252" i="9"/>
  <c r="P213" i="9"/>
  <c r="P235" i="9"/>
  <c r="P318" i="9"/>
  <c r="P253" i="9"/>
  <c r="P111" i="9"/>
  <c r="P117" i="9"/>
  <c r="P168" i="9"/>
  <c r="P119" i="9"/>
  <c r="P304" i="9"/>
  <c r="P274" i="9"/>
  <c r="P182" i="9"/>
  <c r="P225" i="9"/>
  <c r="P266" i="9"/>
  <c r="P128" i="9"/>
  <c r="P208" i="9"/>
  <c r="P196" i="9"/>
  <c r="P181" i="9"/>
  <c r="P223" i="9"/>
  <c r="P121" i="9"/>
  <c r="P291" i="9"/>
  <c r="P247" i="9"/>
  <c r="P135" i="9"/>
  <c r="P262" i="9"/>
  <c r="P243" i="9"/>
  <c r="P173" i="9"/>
  <c r="P256" i="9"/>
  <c r="P273" i="9"/>
  <c r="P309" i="9"/>
  <c r="P211" i="9"/>
  <c r="P277" i="9"/>
  <c r="P194" i="9"/>
  <c r="P195" i="9"/>
  <c r="P293" i="9"/>
  <c r="P215" i="9"/>
  <c r="P118" i="9"/>
  <c r="P110" i="9"/>
  <c r="P308" i="9"/>
  <c r="P299" i="9"/>
  <c r="P237" i="9"/>
  <c r="P192" i="9"/>
  <c r="P296" i="9"/>
  <c r="P185" i="9"/>
  <c r="P278" i="9"/>
  <c r="P294" i="9"/>
  <c r="P290" i="9"/>
  <c r="P175" i="9"/>
  <c r="P209" i="9"/>
  <c r="P189" i="9"/>
  <c r="P165" i="9"/>
  <c r="P131" i="9"/>
  <c r="P248" i="9"/>
  <c r="P255" i="9"/>
  <c r="P286" i="9"/>
  <c r="P179" i="9"/>
  <c r="P226" i="9"/>
  <c r="P287" i="9"/>
  <c r="P272" i="9"/>
  <c r="P180" i="9"/>
  <c r="P314" i="9"/>
  <c r="P265" i="9"/>
  <c r="P183" i="9"/>
  <c r="P167" i="9"/>
  <c r="P227" i="9"/>
  <c r="P191" i="9"/>
  <c r="P283" i="9"/>
  <c r="P204" i="9"/>
  <c r="P244" i="9"/>
  <c r="P267" i="9"/>
  <c r="P176" i="9"/>
  <c r="P234" i="9"/>
  <c r="P219" i="9"/>
  <c r="P238" i="9"/>
  <c r="P172" i="9"/>
  <c r="P312" i="9"/>
  <c r="P233" i="9"/>
  <c r="P317" i="9"/>
  <c r="P170" i="9"/>
  <c r="P198" i="9"/>
  <c r="P279" i="9"/>
  <c r="P171" i="9"/>
  <c r="P303" i="9"/>
  <c r="P315" i="9"/>
  <c r="P246" i="9"/>
  <c r="P281" i="9"/>
  <c r="P251" i="9"/>
  <c r="P210" i="9"/>
  <c r="P224" i="9"/>
  <c r="P231" i="9"/>
  <c r="P166" i="9"/>
  <c r="P300" i="9"/>
  <c r="P264" i="9"/>
  <c r="P323" i="9"/>
  <c r="P261" i="9"/>
  <c r="P263" i="9"/>
  <c r="P321" i="9"/>
  <c r="P164" i="9"/>
  <c r="P260" i="9"/>
  <c r="P250" i="9"/>
  <c r="P57" i="9"/>
  <c r="P324" i="9"/>
  <c r="P123" i="9"/>
  <c r="P240" i="9"/>
  <c r="P199" i="9"/>
  <c r="P216" i="9"/>
  <c r="P307" i="9"/>
  <c r="P298" i="9"/>
  <c r="P187" i="9"/>
  <c r="P214" i="9"/>
  <c r="P29" i="9"/>
  <c r="P295" i="9"/>
  <c r="P186" i="9"/>
  <c r="P83" i="9"/>
  <c r="P313" i="9"/>
  <c r="P212" i="9"/>
  <c r="P30" i="9"/>
  <c r="P322" i="9"/>
  <c r="P305" i="9"/>
  <c r="P292" i="9"/>
  <c r="P325" i="9"/>
  <c r="P232" i="9"/>
  <c r="P206" i="9"/>
  <c r="P275" i="9"/>
  <c r="P257" i="9"/>
  <c r="P258" i="9"/>
  <c r="P311" i="9"/>
  <c r="P280" i="9"/>
  <c r="P220" i="9"/>
  <c r="P239" i="9"/>
  <c r="P276" i="9"/>
  <c r="P174" i="9"/>
  <c r="P301" i="9"/>
  <c r="P190" i="9"/>
  <c r="P302" i="9"/>
  <c r="P177" i="9"/>
  <c r="P169" i="9"/>
  <c r="P245" i="9"/>
  <c r="P310" i="9"/>
  <c r="P193" i="9"/>
  <c r="P236" i="9"/>
  <c r="P282" i="9"/>
  <c r="P241" i="9"/>
  <c r="P230" i="9"/>
  <c r="P297" i="9"/>
  <c r="P271" i="9"/>
  <c r="P222" i="9"/>
  <c r="P56" i="9"/>
  <c r="P228" i="9"/>
  <c r="P319" i="9"/>
  <c r="P221" i="9"/>
  <c r="P289" i="9"/>
  <c r="P178" i="9"/>
  <c r="P184" i="9"/>
  <c r="P207" i="9"/>
  <c r="P269" i="9"/>
  <c r="P285" i="9"/>
  <c r="P242" i="9"/>
  <c r="P249" i="9"/>
  <c r="P200" i="9"/>
  <c r="P84" i="9"/>
  <c r="P306" i="9"/>
  <c r="P201" i="9"/>
  <c r="P144" i="9"/>
  <c r="P137" i="9"/>
  <c r="P160" i="9"/>
  <c r="P147" i="9"/>
  <c r="P159" i="9"/>
  <c r="P157" i="9"/>
  <c r="P158" i="9"/>
  <c r="P143" i="9"/>
  <c r="P151" i="9"/>
  <c r="P149" i="9"/>
  <c r="P145" i="9"/>
  <c r="P161" i="9"/>
  <c r="P155" i="9"/>
  <c r="P146" i="9"/>
  <c r="P148" i="9"/>
  <c r="P162" i="9"/>
  <c r="P142" i="9"/>
  <c r="P150" i="9"/>
  <c r="P163" i="9"/>
  <c r="P154" i="9"/>
  <c r="P138" i="9"/>
  <c r="P156" i="9"/>
  <c r="P152" i="9"/>
  <c r="P153" i="9"/>
  <c r="P2" i="9"/>
  <c r="P3" i="9"/>
  <c r="L35" i="9" l="1"/>
  <c r="L259" i="9"/>
  <c r="K259" i="9" s="1"/>
  <c r="L160" i="9"/>
  <c r="K160" i="9" s="1"/>
  <c r="L44" i="9"/>
  <c r="K44" i="9" s="1"/>
  <c r="L46" i="9"/>
  <c r="K46" i="9" s="1"/>
  <c r="L144" i="9"/>
  <c r="K144" i="9" s="1"/>
  <c r="L53" i="9"/>
  <c r="K53" i="9" s="1"/>
  <c r="L150" i="9"/>
  <c r="K150" i="9" s="1"/>
  <c r="L153" i="9"/>
  <c r="K153" i="9" s="1"/>
  <c r="L43" i="9"/>
  <c r="K43" i="9" s="1"/>
  <c r="L267" i="9"/>
  <c r="K267" i="9" s="1"/>
  <c r="L264" i="9"/>
  <c r="K264" i="9" s="1"/>
  <c r="L52" i="9"/>
  <c r="K52" i="9" s="1"/>
  <c r="L142" i="9"/>
  <c r="L248" i="9"/>
  <c r="L141" i="9"/>
  <c r="L254" i="9"/>
  <c r="K254" i="9" s="1"/>
  <c r="L249" i="9"/>
  <c r="L163" i="9"/>
  <c r="K163" i="9" s="1"/>
  <c r="L146" i="9"/>
  <c r="K146" i="9" s="1"/>
  <c r="L271" i="9"/>
  <c r="K271" i="9" s="1"/>
  <c r="L269" i="9"/>
  <c r="K269" i="9" s="1"/>
  <c r="L258" i="9"/>
  <c r="K258" i="9" s="1"/>
  <c r="L48" i="9"/>
  <c r="K48" i="9" s="1"/>
  <c r="L51" i="9"/>
  <c r="K51" i="9" s="1"/>
  <c r="L54" i="9"/>
  <c r="K54" i="9" s="1"/>
  <c r="L49" i="9"/>
  <c r="K49" i="9" s="1"/>
  <c r="L140" i="9"/>
  <c r="L262" i="9"/>
  <c r="K262" i="9" s="1"/>
  <c r="L41" i="9"/>
  <c r="K41" i="9" s="1"/>
  <c r="L149" i="9"/>
  <c r="K149" i="9" s="1"/>
  <c r="L39" i="9"/>
  <c r="K39" i="9" s="1"/>
  <c r="L42" i="9"/>
  <c r="K42" i="9" s="1"/>
  <c r="L139" i="9"/>
  <c r="L158" i="9"/>
  <c r="K158" i="9" s="1"/>
  <c r="L161" i="9"/>
  <c r="K161" i="9" s="1"/>
  <c r="L148" i="9"/>
  <c r="K148" i="9" s="1"/>
  <c r="L47" i="9"/>
  <c r="K47" i="9" s="1"/>
  <c r="L145" i="9"/>
  <c r="K145" i="9" s="1"/>
  <c r="L157" i="9"/>
  <c r="K157" i="9" s="1"/>
  <c r="L159" i="9"/>
  <c r="K159" i="9" s="1"/>
  <c r="L162" i="9"/>
  <c r="K162" i="9" s="1"/>
  <c r="L251" i="9"/>
  <c r="L268" i="9"/>
  <c r="K268" i="9" s="1"/>
  <c r="L38" i="9"/>
  <c r="K38" i="9" s="1"/>
  <c r="L147" i="9"/>
  <c r="K147" i="9" s="1"/>
  <c r="L270" i="9"/>
  <c r="K270" i="9" s="1"/>
  <c r="L257" i="9"/>
  <c r="K257" i="9" s="1"/>
  <c r="L156" i="9"/>
  <c r="K156" i="9" s="1"/>
  <c r="L143" i="9"/>
  <c r="L265" i="9"/>
  <c r="K265" i="9" s="1"/>
  <c r="L253" i="9"/>
  <c r="K253" i="9" s="1"/>
  <c r="L247" i="9"/>
  <c r="L250" i="9"/>
  <c r="L155" i="9"/>
  <c r="K155" i="9" s="1"/>
  <c r="L55" i="9"/>
  <c r="K55" i="9" s="1"/>
  <c r="L50" i="9"/>
  <c r="K50" i="9" s="1"/>
  <c r="L252" i="9"/>
  <c r="K252" i="9" s="1"/>
  <c r="L255" i="9"/>
  <c r="K255" i="9" s="1"/>
  <c r="L154" i="9"/>
  <c r="K154" i="9" s="1"/>
  <c r="L261" i="9"/>
  <c r="K261" i="9" s="1"/>
  <c r="L40" i="9"/>
  <c r="K40" i="9" s="1"/>
  <c r="L266" i="9"/>
  <c r="K266" i="9" s="1"/>
  <c r="L151" i="9"/>
  <c r="K151" i="9" s="1"/>
  <c r="L260" i="9"/>
  <c r="K260" i="9" s="1"/>
  <c r="L37" i="9"/>
  <c r="K37" i="9" s="1"/>
  <c r="L152" i="9"/>
  <c r="K152" i="9" s="1"/>
  <c r="L263" i="9"/>
  <c r="K263" i="9" s="1"/>
  <c r="L36" i="9"/>
  <c r="K36" i="9" s="1"/>
  <c r="L45" i="9"/>
  <c r="K45" i="9" s="1"/>
  <c r="L256" i="9"/>
  <c r="K256" i="9" s="1"/>
  <c r="L67" i="9"/>
  <c r="K67" i="9" s="1"/>
  <c r="L62" i="9"/>
  <c r="L288" i="9"/>
  <c r="K288" i="9" s="1"/>
  <c r="L68" i="9"/>
  <c r="K68" i="9" s="1"/>
  <c r="L70" i="9"/>
  <c r="K70" i="9" s="1"/>
  <c r="L176" i="9"/>
  <c r="K176" i="9" s="1"/>
  <c r="L69" i="9"/>
  <c r="K69" i="9" s="1"/>
  <c r="L78" i="9"/>
  <c r="K78" i="9" s="1"/>
  <c r="L280" i="9"/>
  <c r="K280" i="9" s="1"/>
  <c r="L282" i="9"/>
  <c r="K282" i="9" s="1"/>
  <c r="L75" i="9"/>
  <c r="K75" i="9" s="1"/>
  <c r="L182" i="9"/>
  <c r="K182" i="9" s="1"/>
  <c r="L65" i="9"/>
  <c r="K65" i="9" s="1"/>
  <c r="L76" i="9"/>
  <c r="K76" i="9" s="1"/>
  <c r="L166" i="9"/>
  <c r="L296" i="9"/>
  <c r="K296" i="9" s="1"/>
  <c r="L77" i="9"/>
  <c r="K77" i="9" s="1"/>
  <c r="L174" i="9"/>
  <c r="K174" i="9" s="1"/>
  <c r="L73" i="9"/>
  <c r="K73" i="9" s="1"/>
  <c r="L290" i="9"/>
  <c r="K290" i="9" s="1"/>
  <c r="L178" i="9"/>
  <c r="K178" i="9" s="1"/>
  <c r="L72" i="9"/>
  <c r="K72" i="9" s="1"/>
  <c r="L284" i="9"/>
  <c r="K284" i="9" s="1"/>
  <c r="L82" i="9"/>
  <c r="K82" i="9" s="1"/>
  <c r="L80" i="9"/>
  <c r="K80" i="9" s="1"/>
  <c r="L59" i="9"/>
  <c r="L60" i="9"/>
  <c r="L61" i="9"/>
  <c r="L274" i="9"/>
  <c r="L171" i="9"/>
  <c r="K171" i="9" s="1"/>
  <c r="L294" i="9"/>
  <c r="K294" i="9" s="1"/>
  <c r="L185" i="9"/>
  <c r="K185" i="9" s="1"/>
  <c r="L172" i="9"/>
  <c r="K172" i="9" s="1"/>
  <c r="L190" i="9"/>
  <c r="K190" i="9" s="1"/>
  <c r="L81" i="9"/>
  <c r="K81" i="9" s="1"/>
  <c r="L173" i="9"/>
  <c r="K173" i="9" s="1"/>
  <c r="L286" i="9"/>
  <c r="K286" i="9" s="1"/>
  <c r="L177" i="9"/>
  <c r="K177" i="9" s="1"/>
  <c r="L179" i="9"/>
  <c r="K179" i="9" s="1"/>
  <c r="L79" i="9"/>
  <c r="K79" i="9" s="1"/>
  <c r="L281" i="9"/>
  <c r="K281" i="9" s="1"/>
  <c r="L180" i="9"/>
  <c r="K180" i="9" s="1"/>
  <c r="L278" i="9"/>
  <c r="L169" i="9"/>
  <c r="L181" i="9"/>
  <c r="K181" i="9" s="1"/>
  <c r="L63" i="9"/>
  <c r="K63" i="9" s="1"/>
  <c r="L74" i="9"/>
  <c r="K74" i="9" s="1"/>
  <c r="L291" i="9"/>
  <c r="K291" i="9" s="1"/>
  <c r="L292" i="9"/>
  <c r="K292" i="9" s="1"/>
  <c r="L293" i="9"/>
  <c r="K293" i="9" s="1"/>
  <c r="L187" i="9"/>
  <c r="K187" i="9" s="1"/>
  <c r="L175" i="9"/>
  <c r="K175" i="9" s="1"/>
  <c r="L297" i="9"/>
  <c r="K297" i="9" s="1"/>
  <c r="L188" i="9"/>
  <c r="K188" i="9" s="1"/>
  <c r="L71" i="9"/>
  <c r="K71" i="9" s="1"/>
  <c r="L289" i="9"/>
  <c r="K289" i="9" s="1"/>
  <c r="L189" i="9"/>
  <c r="K189" i="9" s="1"/>
  <c r="L183" i="9"/>
  <c r="K183" i="9" s="1"/>
  <c r="L298" i="9"/>
  <c r="K298" i="9" s="1"/>
  <c r="L275" i="9"/>
  <c r="L279" i="9"/>
  <c r="K279" i="9" s="1"/>
  <c r="L66" i="9"/>
  <c r="K66" i="9" s="1"/>
  <c r="L276" i="9"/>
  <c r="L167" i="9"/>
  <c r="L58" i="9"/>
  <c r="L277" i="9"/>
  <c r="L287" i="9"/>
  <c r="K287" i="9" s="1"/>
  <c r="L283" i="9"/>
  <c r="K283" i="9" s="1"/>
  <c r="L170" i="9"/>
  <c r="L295" i="9"/>
  <c r="K295" i="9" s="1"/>
  <c r="L285" i="9"/>
  <c r="K285" i="9" s="1"/>
  <c r="L186" i="9"/>
  <c r="K186" i="9" s="1"/>
  <c r="L184" i="9"/>
  <c r="K184" i="9" s="1"/>
  <c r="L64" i="9"/>
  <c r="K64" i="9" s="1"/>
  <c r="L168" i="9"/>
  <c r="L115" i="9"/>
  <c r="L119" i="9"/>
  <c r="K119" i="9" s="1"/>
  <c r="L116" i="9"/>
  <c r="L238" i="9"/>
  <c r="K238" i="9" s="1"/>
  <c r="L117" i="9"/>
  <c r="L135" i="9"/>
  <c r="K135" i="9" s="1"/>
  <c r="L234" i="9"/>
  <c r="K234" i="9" s="1"/>
  <c r="L123" i="9"/>
  <c r="K123" i="9" s="1"/>
  <c r="L239" i="9"/>
  <c r="K239" i="9" s="1"/>
  <c r="L124" i="9"/>
  <c r="K124" i="9" s="1"/>
  <c r="L127" i="9"/>
  <c r="K127" i="9" s="1"/>
  <c r="L125" i="9"/>
  <c r="K125" i="9" s="1"/>
  <c r="L223" i="9"/>
  <c r="L242" i="9"/>
  <c r="K242" i="9" s="1"/>
  <c r="L131" i="9"/>
  <c r="K131" i="9" s="1"/>
  <c r="L112" i="9"/>
  <c r="L132" i="9"/>
  <c r="K132" i="9" s="1"/>
  <c r="L231" i="9"/>
  <c r="K231" i="9" s="1"/>
  <c r="L133" i="9"/>
  <c r="K133" i="9" s="1"/>
  <c r="L128" i="9"/>
  <c r="K128" i="9" s="1"/>
  <c r="L230" i="9"/>
  <c r="K230" i="9" s="1"/>
  <c r="L227" i="9"/>
  <c r="K227" i="9" s="1"/>
  <c r="L136" i="9"/>
  <c r="K136" i="9" s="1"/>
  <c r="L220" i="9"/>
  <c r="L120" i="9"/>
  <c r="K120" i="9" s="1"/>
  <c r="L221" i="9"/>
  <c r="L232" i="9"/>
  <c r="K232" i="9" s="1"/>
  <c r="L235" i="9"/>
  <c r="K235" i="9" s="1"/>
  <c r="L240" i="9"/>
  <c r="K240" i="9" s="1"/>
  <c r="L228" i="9"/>
  <c r="K228" i="9" s="1"/>
  <c r="L224" i="9"/>
  <c r="L229" i="9"/>
  <c r="K229" i="9" s="1"/>
  <c r="L129" i="9"/>
  <c r="K129" i="9" s="1"/>
  <c r="L243" i="9"/>
  <c r="K243" i="9" s="1"/>
  <c r="L113" i="9"/>
  <c r="L236" i="9"/>
  <c r="K236" i="9" s="1"/>
  <c r="L121" i="9"/>
  <c r="K121" i="9" s="1"/>
  <c r="L237" i="9"/>
  <c r="K237" i="9" s="1"/>
  <c r="L225" i="9"/>
  <c r="L134" i="9"/>
  <c r="K134" i="9" s="1"/>
  <c r="L241" i="9"/>
  <c r="K241" i="9" s="1"/>
  <c r="L244" i="9"/>
  <c r="K244" i="9" s="1"/>
  <c r="L233" i="9"/>
  <c r="K233" i="9" s="1"/>
  <c r="L126" i="9"/>
  <c r="K126" i="9" s="1"/>
  <c r="L122" i="9"/>
  <c r="K122" i="9" s="1"/>
  <c r="L222" i="9"/>
  <c r="L114" i="9"/>
  <c r="L118" i="9"/>
  <c r="K118" i="9" s="1"/>
  <c r="L130" i="9"/>
  <c r="K130" i="9" s="1"/>
  <c r="L226" i="9"/>
  <c r="K226" i="9" s="1"/>
  <c r="L307" i="9"/>
  <c r="K307" i="9" s="1"/>
  <c r="L303" i="9"/>
  <c r="L92" i="9"/>
  <c r="K92" i="9" s="1"/>
  <c r="L324" i="9"/>
  <c r="K324" i="9" s="1"/>
  <c r="L320" i="9"/>
  <c r="K320" i="9" s="1"/>
  <c r="L101" i="9"/>
  <c r="K101" i="9" s="1"/>
  <c r="L325" i="9"/>
  <c r="K325" i="9" s="1"/>
  <c r="L200" i="9"/>
  <c r="K200" i="9" s="1"/>
  <c r="L306" i="9"/>
  <c r="K306" i="9" s="1"/>
  <c r="L315" i="9"/>
  <c r="K315" i="9" s="1"/>
  <c r="L96" i="9"/>
  <c r="K96" i="9" s="1"/>
  <c r="L100" i="9"/>
  <c r="K100" i="9" s="1"/>
  <c r="L94" i="9"/>
  <c r="K94" i="9" s="1"/>
  <c r="L105" i="9"/>
  <c r="K105" i="9" s="1"/>
  <c r="L109" i="9"/>
  <c r="K109" i="9" s="1"/>
  <c r="L102" i="9"/>
  <c r="K102" i="9" s="1"/>
  <c r="L216" i="9"/>
  <c r="K216" i="9" s="1"/>
  <c r="L314" i="9"/>
  <c r="K314" i="9" s="1"/>
  <c r="L209" i="9"/>
  <c r="K209" i="9" s="1"/>
  <c r="L106" i="9"/>
  <c r="K106" i="9" s="1"/>
  <c r="L207" i="9"/>
  <c r="K207" i="9" s="1"/>
  <c r="L203" i="9"/>
  <c r="K203" i="9" s="1"/>
  <c r="L321" i="9"/>
  <c r="K321" i="9" s="1"/>
  <c r="L85" i="9"/>
  <c r="L98" i="9"/>
  <c r="K98" i="9" s="1"/>
  <c r="L215" i="9"/>
  <c r="K215" i="9" s="1"/>
  <c r="L88" i="9"/>
  <c r="L104" i="9"/>
  <c r="K104" i="9" s="1"/>
  <c r="L91" i="9"/>
  <c r="K91" i="9" s="1"/>
  <c r="L323" i="9"/>
  <c r="K323" i="9" s="1"/>
  <c r="L208" i="9"/>
  <c r="K208" i="9" s="1"/>
  <c r="L108" i="9"/>
  <c r="K108" i="9" s="1"/>
  <c r="L214" i="9"/>
  <c r="K214" i="9" s="1"/>
  <c r="L193" i="9"/>
  <c r="L197" i="9"/>
  <c r="K197" i="9" s="1"/>
  <c r="L206" i="9"/>
  <c r="K206" i="9" s="1"/>
  <c r="L304" i="9"/>
  <c r="L322" i="9"/>
  <c r="K322" i="9" s="1"/>
  <c r="L99" i="9"/>
  <c r="K99" i="9" s="1"/>
  <c r="L86" i="9"/>
  <c r="L312" i="9"/>
  <c r="K312" i="9" s="1"/>
  <c r="L196" i="9"/>
  <c r="L302" i="9"/>
  <c r="L217" i="9"/>
  <c r="K217" i="9" s="1"/>
  <c r="L205" i="9"/>
  <c r="K205" i="9" s="1"/>
  <c r="L310" i="9"/>
  <c r="K310" i="9" s="1"/>
  <c r="L97" i="9"/>
  <c r="K97" i="9" s="1"/>
  <c r="L194" i="9"/>
  <c r="L195" i="9"/>
  <c r="L212" i="9"/>
  <c r="K212" i="9" s="1"/>
  <c r="L301" i="9"/>
  <c r="L308" i="9"/>
  <c r="K308" i="9" s="1"/>
  <c r="L309" i="9"/>
  <c r="K309" i="9" s="1"/>
  <c r="L211" i="9"/>
  <c r="K211" i="9" s="1"/>
  <c r="L316" i="9"/>
  <c r="K316" i="9" s="1"/>
  <c r="L317" i="9"/>
  <c r="K317" i="9" s="1"/>
  <c r="L107" i="9"/>
  <c r="K107" i="9" s="1"/>
  <c r="L198" i="9"/>
  <c r="K198" i="9" s="1"/>
  <c r="L89" i="9"/>
  <c r="K89" i="9" s="1"/>
  <c r="L204" i="9"/>
  <c r="K204" i="9" s="1"/>
  <c r="L103" i="9"/>
  <c r="K103" i="9" s="1"/>
  <c r="L313" i="9"/>
  <c r="K313" i="9" s="1"/>
  <c r="L213" i="9"/>
  <c r="K213" i="9" s="1"/>
  <c r="L87" i="9"/>
  <c r="L201" i="9"/>
  <c r="K201" i="9" s="1"/>
  <c r="L202" i="9"/>
  <c r="K202" i="9" s="1"/>
  <c r="L318" i="9"/>
  <c r="K318" i="9" s="1"/>
  <c r="L199" i="9"/>
  <c r="K199" i="9" s="1"/>
  <c r="L305" i="9"/>
  <c r="K305" i="9" s="1"/>
  <c r="L95" i="9"/>
  <c r="K95" i="9" s="1"/>
  <c r="L319" i="9"/>
  <c r="K319" i="9" s="1"/>
  <c r="L311" i="9"/>
  <c r="K311" i="9" s="1"/>
  <c r="L90" i="9"/>
  <c r="K90" i="9" s="1"/>
  <c r="L93" i="9"/>
  <c r="K93" i="9" s="1"/>
  <c r="L210" i="9"/>
  <c r="K210" i="9" s="1"/>
  <c r="L32" i="9"/>
  <c r="L31" i="9"/>
  <c r="L33" i="9"/>
  <c r="L34" i="9"/>
  <c r="L20" i="9"/>
  <c r="K20" i="9" s="1"/>
  <c r="L27" i="9"/>
  <c r="K27" i="9" s="1"/>
  <c r="L26" i="9"/>
  <c r="L28" i="9"/>
  <c r="L23" i="9"/>
  <c r="K23" i="9" s="1"/>
  <c r="L21" i="9"/>
  <c r="K21" i="9" s="1"/>
  <c r="L22" i="9"/>
  <c r="K22" i="9" s="1"/>
  <c r="L24" i="9"/>
  <c r="K24" i="9" s="1"/>
  <c r="L25" i="9"/>
  <c r="L10" i="9"/>
  <c r="K10" i="9" s="1"/>
  <c r="L5" i="9"/>
  <c r="L18" i="9"/>
  <c r="K18" i="9" s="1"/>
  <c r="L14" i="9"/>
  <c r="K14" i="9" s="1"/>
  <c r="L11" i="9"/>
  <c r="K11" i="9" s="1"/>
  <c r="L4" i="9"/>
  <c r="L12" i="9"/>
  <c r="K12" i="9" s="1"/>
  <c r="L7" i="9"/>
  <c r="L15" i="9"/>
  <c r="K15" i="9" s="1"/>
  <c r="L13" i="9"/>
  <c r="K13" i="9" s="1"/>
  <c r="L8" i="9"/>
  <c r="L9" i="9"/>
  <c r="L16" i="9"/>
  <c r="K16" i="9" s="1"/>
  <c r="L6" i="9"/>
  <c r="L17" i="9"/>
  <c r="K17" i="9" s="1"/>
  <c r="L19" i="9"/>
  <c r="K19" i="9" s="1"/>
  <c r="M3" i="9"/>
  <c r="H3" i="9" s="1"/>
  <c r="BK102" i="6" l="1" a="1"/>
  <c r="BK102" i="6" s="1"/>
  <c r="BK93" i="6" a="1"/>
  <c r="BK93" i="6" s="1"/>
  <c r="BK33" i="6" a="1"/>
  <c r="BK33" i="6" s="1"/>
  <c r="BK81" i="6" a="1"/>
  <c r="BK81" i="6" s="1"/>
  <c r="BK87" i="6" a="1"/>
  <c r="BK87" i="6" s="1"/>
  <c r="BK60" i="6" a="1"/>
  <c r="BK60" i="6" s="1"/>
  <c r="BK46" i="6" a="1"/>
  <c r="BK46" i="6" s="1"/>
  <c r="BK39" i="6" a="1"/>
  <c r="BK39" i="6" s="1"/>
  <c r="BK10" i="6" a="1"/>
  <c r="BK10" i="6" s="1"/>
  <c r="BK17" i="6" a="1"/>
  <c r="BK17" i="6" s="1"/>
  <c r="BK80" i="6" a="1"/>
  <c r="BK80" i="6" s="1"/>
  <c r="BK21" i="6" a="1"/>
  <c r="BK21" i="6" s="1"/>
  <c r="BK59" i="6" a="1"/>
  <c r="BK59" i="6" s="1"/>
  <c r="BK96" i="6" a="1"/>
  <c r="BK96" i="6" s="1"/>
  <c r="BK7" i="6" a="1"/>
  <c r="BK7" i="6" s="1"/>
  <c r="BK89" i="6" a="1"/>
  <c r="BK89" i="6" s="1"/>
  <c r="BK79" i="6" a="1"/>
  <c r="BK79" i="6" s="1"/>
  <c r="BK27" i="6" a="1"/>
  <c r="BK27" i="6" s="1"/>
  <c r="BK55" i="6" a="1"/>
  <c r="BK55" i="6" s="1"/>
  <c r="BK47" i="6" a="1"/>
  <c r="BK47" i="6" s="1"/>
  <c r="BK91" i="6" a="1"/>
  <c r="BK91" i="6" s="1"/>
  <c r="BK34" i="6" a="1"/>
  <c r="BK34" i="6" s="1"/>
  <c r="BK84" i="6" a="1"/>
  <c r="BK84" i="6" s="1"/>
  <c r="BK74" i="6" a="1"/>
  <c r="BK74" i="6" s="1"/>
  <c r="BK22" i="6" a="1"/>
  <c r="BK22" i="6" s="1"/>
  <c r="BK31" i="6" a="1"/>
  <c r="BK31" i="6" s="1"/>
  <c r="BK38" i="6" a="1"/>
  <c r="BK38" i="6" s="1"/>
  <c r="BK90" i="6" a="1"/>
  <c r="BK90" i="6" s="1"/>
  <c r="BK94" i="6" a="1"/>
  <c r="BK94" i="6" s="1"/>
  <c r="BK69" i="6" a="1"/>
  <c r="BK69" i="6" s="1"/>
  <c r="BK36" i="6" a="1"/>
  <c r="BK36" i="6" s="1"/>
  <c r="BK20" i="6" a="1"/>
  <c r="BK20" i="6" s="1"/>
  <c r="BK30" i="6" a="1"/>
  <c r="BK30" i="6" s="1"/>
  <c r="BK43" i="6" a="1"/>
  <c r="BK43" i="6" s="1"/>
  <c r="BK42" i="6" a="1"/>
  <c r="BK42" i="6" s="1"/>
  <c r="BK61" i="6" a="1"/>
  <c r="BK61" i="6" s="1"/>
  <c r="BK51" i="6" a="1"/>
  <c r="BK51" i="6" s="1"/>
  <c r="BK72" i="6" a="1"/>
  <c r="BK72" i="6" s="1"/>
  <c r="BK104" i="6" a="1"/>
  <c r="BK104" i="6" s="1"/>
  <c r="BK63" i="6" a="1"/>
  <c r="BK63" i="6" s="1"/>
  <c r="BK48" i="6" a="1"/>
  <c r="BK48" i="6" s="1"/>
  <c r="BK37" i="6" a="1"/>
  <c r="BK37" i="6" s="1"/>
  <c r="BK97" i="6" a="1"/>
  <c r="BK97" i="6" s="1"/>
  <c r="BK28" i="6" a="1"/>
  <c r="BK28" i="6" s="1"/>
  <c r="BK83" i="6" a="1"/>
  <c r="BK83" i="6" s="1"/>
  <c r="BK52" i="6" a="1"/>
  <c r="BK52" i="6" s="1"/>
  <c r="BK88" i="6" a="1"/>
  <c r="BK88" i="6" s="1"/>
  <c r="BK44" i="6" a="1"/>
  <c r="BK44" i="6" s="1"/>
  <c r="BK45" i="6" a="1"/>
  <c r="BK45" i="6" s="1"/>
  <c r="BK98" i="6" a="1"/>
  <c r="BK98" i="6" s="1"/>
  <c r="BK85" i="6" a="1"/>
  <c r="BK85" i="6" s="1"/>
  <c r="BK24" i="6" a="1"/>
  <c r="BK24" i="6" s="1"/>
  <c r="BK86" i="6" a="1"/>
  <c r="BK86" i="6" s="1"/>
  <c r="BK65" i="6" a="1"/>
  <c r="BK65" i="6" s="1"/>
  <c r="BK16" i="6" a="1"/>
  <c r="BK16" i="6" s="1"/>
  <c r="BK78" i="6" a="1"/>
  <c r="BK78" i="6" s="1"/>
  <c r="BK57" i="6" a="1"/>
  <c r="BK57" i="6" s="1"/>
  <c r="BK68" i="6" a="1"/>
  <c r="BK68" i="6" s="1"/>
  <c r="BK77" i="6" a="1"/>
  <c r="BK77" i="6" s="1"/>
  <c r="BK58" i="6" a="1"/>
  <c r="BK58" i="6" s="1"/>
  <c r="BK26" i="6" a="1"/>
  <c r="BK26" i="6" s="1"/>
  <c r="BK54" i="6" a="1"/>
  <c r="BK54" i="6" s="1"/>
  <c r="BK40" i="6" a="1"/>
  <c r="BK40" i="6" s="1"/>
  <c r="BK105" i="6" a="1"/>
  <c r="BK105" i="6" s="1"/>
  <c r="BK23" i="6" a="1"/>
  <c r="BK23" i="6" s="1"/>
  <c r="BK41" i="6" a="1"/>
  <c r="BK41" i="6" s="1"/>
  <c r="BK56" i="6" a="1"/>
  <c r="BK56" i="6" s="1"/>
  <c r="BK73" i="6" a="1"/>
  <c r="BK73" i="6" s="1"/>
  <c r="BK62" i="6" a="1"/>
  <c r="BK62" i="6" s="1"/>
  <c r="BK15" i="6" a="1"/>
  <c r="BK15" i="6" s="1"/>
  <c r="BK82" i="6" a="1"/>
  <c r="BK82" i="6" s="1"/>
  <c r="BK99" i="6" a="1"/>
  <c r="BK99" i="6" s="1"/>
  <c r="BK32" i="6" a="1"/>
  <c r="BK32" i="6" s="1"/>
  <c r="BK92" i="6" a="1"/>
  <c r="BK92" i="6" s="1"/>
  <c r="BK19" i="6" a="1"/>
  <c r="BK19" i="6" s="1"/>
  <c r="BK18" i="6" a="1"/>
  <c r="BK18" i="6" s="1"/>
  <c r="BK53" i="6" a="1"/>
  <c r="BK53" i="6" s="1"/>
  <c r="BK29" i="6" a="1"/>
  <c r="BK29" i="6" s="1"/>
  <c r="BK9" i="6" a="1"/>
  <c r="BK9" i="6" s="1"/>
  <c r="BK71" i="6" a="1"/>
  <c r="BK71" i="6" s="1"/>
  <c r="BK49" i="6" a="1"/>
  <c r="BK49" i="6" s="1"/>
  <c r="BK11" i="6" a="1"/>
  <c r="BK11" i="6" s="1"/>
  <c r="BK8" i="6" a="1"/>
  <c r="BK8" i="6" s="1"/>
  <c r="BK13" i="6" a="1"/>
  <c r="BK13" i="6" s="1"/>
  <c r="BK35" i="6" a="1"/>
  <c r="BK35" i="6" s="1"/>
  <c r="BK103" i="6" a="1"/>
  <c r="BK103" i="6" s="1"/>
  <c r="BK14" i="6" a="1"/>
  <c r="BK14" i="6" s="1"/>
  <c r="BK101" i="6" a="1"/>
  <c r="BK101" i="6" s="1"/>
  <c r="BK95" i="6" a="1"/>
  <c r="BK95" i="6" s="1"/>
  <c r="BK64" i="6" a="1"/>
  <c r="BK64" i="6" s="1"/>
  <c r="BK12" i="6" a="1"/>
  <c r="BK12" i="6" s="1"/>
  <c r="BK100" i="6" a="1"/>
  <c r="BK100" i="6" s="1"/>
  <c r="BK76" i="6" a="1"/>
  <c r="BK76" i="6" s="1"/>
  <c r="BK50" i="6" a="1"/>
  <c r="BK50" i="6" s="1"/>
  <c r="BK106" i="6" a="1"/>
  <c r="BK106" i="6" s="1"/>
  <c r="BK67" i="6" a="1"/>
  <c r="BK67" i="6" s="1"/>
  <c r="BK75" i="6" a="1"/>
  <c r="BK75" i="6" s="1"/>
  <c r="BK70" i="6" a="1"/>
  <c r="BK70" i="6" s="1"/>
  <c r="BK25" i="6" a="1"/>
  <c r="BK25" i="6" s="1"/>
  <c r="BK66" i="6" a="1"/>
  <c r="BK66" i="6" s="1"/>
  <c r="BG98" i="6" a="1"/>
  <c r="BG98" i="6" s="1"/>
  <c r="BG27" i="6" a="1"/>
  <c r="BG27" i="6" s="1"/>
  <c r="BG103" i="6" a="1"/>
  <c r="BG103" i="6" s="1"/>
  <c r="BG84" i="6" a="1"/>
  <c r="BG84" i="6" s="1"/>
  <c r="BG43" i="6" a="1"/>
  <c r="BG43" i="6" s="1"/>
  <c r="BG16" i="6" a="1"/>
  <c r="BG16" i="6" s="1"/>
  <c r="BG94" i="6" a="1"/>
  <c r="BG94" i="6" s="1"/>
  <c r="BG91" i="6" a="1"/>
  <c r="BG91" i="6" s="1"/>
  <c r="BG54" i="6" a="1"/>
  <c r="BG54" i="6" s="1"/>
  <c r="BG14" i="6" a="1"/>
  <c r="BG14" i="6" s="1"/>
  <c r="BG34" i="6" a="1"/>
  <c r="BG34" i="6" s="1"/>
  <c r="BG81" i="6" a="1"/>
  <c r="BG81" i="6" s="1"/>
  <c r="BG73" i="6" a="1"/>
  <c r="BG73" i="6" s="1"/>
  <c r="BG35" i="6" a="1"/>
  <c r="BG35" i="6" s="1"/>
  <c r="BG90" i="6" a="1"/>
  <c r="BG90" i="6" s="1"/>
  <c r="BG15" i="6" a="1"/>
  <c r="BG15" i="6" s="1"/>
  <c r="BG100" i="6" a="1"/>
  <c r="BG100" i="6" s="1"/>
  <c r="BG69" i="6" a="1"/>
  <c r="BG69" i="6" s="1"/>
  <c r="BG39" i="6" a="1"/>
  <c r="BG39" i="6" s="1"/>
  <c r="BG76" i="6" a="1"/>
  <c r="BG76" i="6" s="1"/>
  <c r="BG44" i="6" a="1"/>
  <c r="BG44" i="6" s="1"/>
  <c r="BG60" i="6" a="1"/>
  <c r="BG60" i="6" s="1"/>
  <c r="BG23" i="6" a="1"/>
  <c r="BG23" i="6" s="1"/>
  <c r="BG104" i="6" a="1"/>
  <c r="BG104" i="6" s="1"/>
  <c r="BG99" i="6" a="1"/>
  <c r="BG99" i="6" s="1"/>
  <c r="BG26" i="6" a="1"/>
  <c r="BG26" i="6" s="1"/>
  <c r="BG105" i="6" a="1"/>
  <c r="BG105" i="6" s="1"/>
  <c r="BG36" i="6" a="1"/>
  <c r="BG36" i="6" s="1"/>
  <c r="BG47" i="6" a="1"/>
  <c r="BG47" i="6" s="1"/>
  <c r="BG40" i="6" a="1"/>
  <c r="BG40" i="6" s="1"/>
  <c r="BG24" i="6" a="1"/>
  <c r="BG24" i="6" s="1"/>
  <c r="BG45" i="6" a="1"/>
  <c r="BG45" i="6" s="1"/>
  <c r="BG9" i="6" a="1"/>
  <c r="BG9" i="6" s="1"/>
  <c r="BG32" i="6" a="1"/>
  <c r="BG32" i="6" s="1"/>
  <c r="BG97" i="6" a="1"/>
  <c r="BG97" i="6" s="1"/>
  <c r="BG50" i="6" a="1"/>
  <c r="BG50" i="6" s="1"/>
  <c r="BG11" i="6" a="1"/>
  <c r="BG11" i="6" s="1"/>
  <c r="BG68" i="6" a="1"/>
  <c r="BG68" i="6" s="1"/>
  <c r="BG95" i="6" a="1"/>
  <c r="BG95" i="6" s="1"/>
  <c r="BG7" i="6" a="1"/>
  <c r="BG7" i="6" s="1"/>
  <c r="BG53" i="6" a="1"/>
  <c r="BG53" i="6" s="1"/>
  <c r="BG61" i="6" a="1"/>
  <c r="BG61" i="6" s="1"/>
  <c r="BG80" i="6" a="1"/>
  <c r="BG80" i="6" s="1"/>
  <c r="BG78" i="6" a="1"/>
  <c r="BG78" i="6" s="1"/>
  <c r="BG48" i="6" a="1"/>
  <c r="BG48" i="6" s="1"/>
  <c r="BG42" i="6" a="1"/>
  <c r="BG42" i="6" s="1"/>
  <c r="BG21" i="6" a="1"/>
  <c r="BG21" i="6" s="1"/>
  <c r="BG52" i="6" a="1"/>
  <c r="BG52" i="6" s="1"/>
  <c r="BG77" i="6" a="1"/>
  <c r="BG77" i="6" s="1"/>
  <c r="BG87" i="6" a="1"/>
  <c r="BG87" i="6" s="1"/>
  <c r="BG79" i="6" a="1"/>
  <c r="BG79" i="6" s="1"/>
  <c r="BG67" i="6" a="1"/>
  <c r="BG67" i="6" s="1"/>
  <c r="BG8" i="6" a="1"/>
  <c r="BG8" i="6" s="1"/>
  <c r="BG74" i="6" a="1"/>
  <c r="BG74" i="6" s="1"/>
  <c r="BG92" i="6" a="1"/>
  <c r="BG92" i="6" s="1"/>
  <c r="BG96" i="6" a="1"/>
  <c r="BG96" i="6" s="1"/>
  <c r="BG66" i="6" a="1"/>
  <c r="BG66" i="6" s="1"/>
  <c r="BG70" i="6" a="1"/>
  <c r="BG70" i="6" s="1"/>
  <c r="BG33" i="6" a="1"/>
  <c r="BG33" i="6" s="1"/>
  <c r="BG31" i="6" a="1"/>
  <c r="BG31" i="6" s="1"/>
  <c r="BG102" i="6" a="1"/>
  <c r="BG102" i="6" s="1"/>
  <c r="BG12" i="6" a="1"/>
  <c r="BG12" i="6" s="1"/>
  <c r="BG49" i="6" a="1"/>
  <c r="BG49" i="6" s="1"/>
  <c r="BG65" i="6" a="1"/>
  <c r="BG65" i="6" s="1"/>
  <c r="BG29" i="6" a="1"/>
  <c r="BG29" i="6" s="1"/>
  <c r="BG85" i="6" a="1"/>
  <c r="BG85" i="6" s="1"/>
  <c r="BG22" i="6" a="1"/>
  <c r="BG22" i="6" s="1"/>
  <c r="BG58" i="6" a="1"/>
  <c r="BG58" i="6" s="1"/>
  <c r="BG41" i="6" a="1"/>
  <c r="BG41" i="6" s="1"/>
  <c r="BG46" i="6" a="1"/>
  <c r="BG46" i="6" s="1"/>
  <c r="BG18" i="6" a="1"/>
  <c r="BG18" i="6" s="1"/>
  <c r="BG86" i="6" a="1"/>
  <c r="BG86" i="6" s="1"/>
  <c r="BG20" i="6" a="1"/>
  <c r="BG20" i="6" s="1"/>
  <c r="BG106" i="6" a="1"/>
  <c r="BG106" i="6" s="1"/>
  <c r="BG19" i="6" a="1"/>
  <c r="BG19" i="6" s="1"/>
  <c r="BG10" i="6" a="1"/>
  <c r="BG10" i="6" s="1"/>
  <c r="BG89" i="6" a="1"/>
  <c r="BG89" i="6" s="1"/>
  <c r="BG56" i="6" a="1"/>
  <c r="BG56" i="6" s="1"/>
  <c r="BG72" i="6" a="1"/>
  <c r="BG72" i="6" s="1"/>
  <c r="BG64" i="6" a="1"/>
  <c r="BG64" i="6" s="1"/>
  <c r="BG62" i="6" a="1"/>
  <c r="BG62" i="6" s="1"/>
  <c r="BG25" i="6" a="1"/>
  <c r="BG25" i="6" s="1"/>
  <c r="BG83" i="6" a="1"/>
  <c r="BG83" i="6" s="1"/>
  <c r="BG88" i="6" a="1"/>
  <c r="BG88" i="6" s="1"/>
  <c r="BG37" i="6" a="1"/>
  <c r="BG37" i="6" s="1"/>
  <c r="BG38" i="6" a="1"/>
  <c r="BG38" i="6" s="1"/>
  <c r="BG82" i="6" a="1"/>
  <c r="BG82" i="6" s="1"/>
  <c r="BG71" i="6" a="1"/>
  <c r="BG71" i="6" s="1"/>
  <c r="BG55" i="6" a="1"/>
  <c r="BG55" i="6" s="1"/>
  <c r="BG59" i="6" a="1"/>
  <c r="BG59" i="6" s="1"/>
  <c r="BG75" i="6" a="1"/>
  <c r="BG75" i="6" s="1"/>
  <c r="BG63" i="6" a="1"/>
  <c r="BG63" i="6" s="1"/>
  <c r="BG51" i="6" a="1"/>
  <c r="BG51" i="6" s="1"/>
  <c r="BG28" i="6" a="1"/>
  <c r="BG28" i="6" s="1"/>
  <c r="BG30" i="6" a="1"/>
  <c r="BG30" i="6" s="1"/>
  <c r="BG101" i="6" a="1"/>
  <c r="BG101" i="6" s="1"/>
  <c r="BG13" i="6" a="1"/>
  <c r="BG13" i="6" s="1"/>
  <c r="BG17" i="6" a="1"/>
  <c r="BG17" i="6" s="1"/>
  <c r="BG93" i="6" a="1"/>
  <c r="BG93" i="6" s="1"/>
  <c r="BG57" i="6" a="1"/>
  <c r="BG57" i="6" s="1"/>
  <c r="BC102" i="6" a="1"/>
  <c r="BC102" i="6" s="1"/>
  <c r="BC104" i="6" a="1"/>
  <c r="BC104" i="6" s="1"/>
  <c r="BC61" i="6" a="1"/>
  <c r="BC61" i="6" s="1"/>
  <c r="BC43" i="6" a="1"/>
  <c r="BC43" i="6" s="1"/>
  <c r="BC35" i="6" a="1"/>
  <c r="BC35" i="6" s="1"/>
  <c r="BC32" i="6" a="1"/>
  <c r="BC32" i="6" s="1"/>
  <c r="BC10" i="6" a="1"/>
  <c r="BC10" i="6" s="1"/>
  <c r="BC37" i="6" a="1"/>
  <c r="BC37" i="6" s="1"/>
  <c r="BC21" i="6" a="1"/>
  <c r="BC21" i="6" s="1"/>
  <c r="BC53" i="6" a="1"/>
  <c r="BC53" i="6" s="1"/>
  <c r="BC81" i="6" a="1"/>
  <c r="BC81" i="6" s="1"/>
  <c r="BC73" i="6" a="1"/>
  <c r="BC73" i="6" s="1"/>
  <c r="BC57" i="6" a="1"/>
  <c r="BC57" i="6" s="1"/>
  <c r="BC55" i="6" a="1"/>
  <c r="BC55" i="6" s="1"/>
  <c r="BC41" i="6" a="1"/>
  <c r="BC41" i="6" s="1"/>
  <c r="BC94" i="6" a="1"/>
  <c r="BC94" i="6" s="1"/>
  <c r="BC46" i="6" a="1"/>
  <c r="BC46" i="6" s="1"/>
  <c r="BC78" i="6" a="1"/>
  <c r="BC78" i="6" s="1"/>
  <c r="BC11" i="6" a="1"/>
  <c r="BC11" i="6" s="1"/>
  <c r="BC95" i="6" a="1"/>
  <c r="BC95" i="6" s="1"/>
  <c r="BC16" i="6" a="1"/>
  <c r="BC16" i="6" s="1"/>
  <c r="BC9" i="6" a="1"/>
  <c r="BC9" i="6" s="1"/>
  <c r="BC39" i="6" a="1"/>
  <c r="BC39" i="6" s="1"/>
  <c r="BC63" i="6" a="1"/>
  <c r="BC63" i="6" s="1"/>
  <c r="BC30" i="6" a="1"/>
  <c r="BC30" i="6" s="1"/>
  <c r="BC97" i="6" a="1"/>
  <c r="BC97" i="6" s="1"/>
  <c r="BC26" i="6" a="1"/>
  <c r="BC26" i="6" s="1"/>
  <c r="BC54" i="6" a="1"/>
  <c r="BC54" i="6" s="1"/>
  <c r="BC71" i="6" a="1"/>
  <c r="BC71" i="6" s="1"/>
  <c r="BC84" i="6" a="1"/>
  <c r="BC84" i="6" s="1"/>
  <c r="BC75" i="6" a="1"/>
  <c r="BC75" i="6" s="1"/>
  <c r="BC105" i="6" a="1"/>
  <c r="BC105" i="6" s="1"/>
  <c r="BC79" i="6" a="1"/>
  <c r="BC79" i="6" s="1"/>
  <c r="BC42" i="6" a="1"/>
  <c r="BC42" i="6" s="1"/>
  <c r="BC72" i="6" a="1"/>
  <c r="BC72" i="6" s="1"/>
  <c r="BC96" i="6" a="1"/>
  <c r="BC96" i="6" s="1"/>
  <c r="BC24" i="6" a="1"/>
  <c r="BC24" i="6" s="1"/>
  <c r="BC98" i="6" a="1"/>
  <c r="BC98" i="6" s="1"/>
  <c r="BC100" i="6" a="1"/>
  <c r="BC100" i="6" s="1"/>
  <c r="BC20" i="6" a="1"/>
  <c r="BC20" i="6" s="1"/>
  <c r="BC52" i="6" a="1"/>
  <c r="BC52" i="6" s="1"/>
  <c r="BC44" i="6" a="1"/>
  <c r="BC44" i="6" s="1"/>
  <c r="BC8" i="6" a="1"/>
  <c r="BC8" i="6" s="1"/>
  <c r="BC17" i="6" a="1"/>
  <c r="BC17" i="6" s="1"/>
  <c r="BC38" i="6" a="1"/>
  <c r="BC38" i="6" s="1"/>
  <c r="BC22" i="6" a="1"/>
  <c r="BC22" i="6" s="1"/>
  <c r="BC99" i="6" a="1"/>
  <c r="BC99" i="6" s="1"/>
  <c r="BC80" i="6" a="1"/>
  <c r="BC80" i="6" s="1"/>
  <c r="BC15" i="6" a="1"/>
  <c r="BC15" i="6" s="1"/>
  <c r="BC60" i="6" a="1"/>
  <c r="BC60" i="6" s="1"/>
  <c r="BC67" i="6" a="1"/>
  <c r="BC67" i="6" s="1"/>
  <c r="BC56" i="6" a="1"/>
  <c r="BC56" i="6" s="1"/>
  <c r="BC47" i="6" a="1"/>
  <c r="BC47" i="6" s="1"/>
  <c r="BC25" i="6" a="1"/>
  <c r="BC25" i="6" s="1"/>
  <c r="BC65" i="6" a="1"/>
  <c r="BC65" i="6" s="1"/>
  <c r="BC90" i="6" a="1"/>
  <c r="BC90" i="6" s="1"/>
  <c r="BC70" i="6" a="1"/>
  <c r="BC70" i="6" s="1"/>
  <c r="BC48" i="6" a="1"/>
  <c r="BC48" i="6" s="1"/>
  <c r="BC45" i="6" a="1"/>
  <c r="BC45" i="6" s="1"/>
  <c r="BC33" i="6" a="1"/>
  <c r="BC33" i="6" s="1"/>
  <c r="BC14" i="6" a="1"/>
  <c r="BC14" i="6" s="1"/>
  <c r="BC50" i="6" a="1"/>
  <c r="BC50" i="6" s="1"/>
  <c r="BC88" i="6" a="1"/>
  <c r="BC88" i="6" s="1"/>
  <c r="BC62" i="6" a="1"/>
  <c r="BC62" i="6" s="1"/>
  <c r="BC69" i="6" a="1"/>
  <c r="BC69" i="6" s="1"/>
  <c r="BC86" i="6" a="1"/>
  <c r="BC86" i="6" s="1"/>
  <c r="BC19" i="6" a="1"/>
  <c r="BC19" i="6" s="1"/>
  <c r="BC49" i="6" a="1"/>
  <c r="BC49" i="6" s="1"/>
  <c r="BC40" i="6" a="1"/>
  <c r="BC40" i="6" s="1"/>
  <c r="BC28" i="6" a="1"/>
  <c r="BC28" i="6" s="1"/>
  <c r="BC93" i="6" a="1"/>
  <c r="BC93" i="6" s="1"/>
  <c r="BC34" i="6" a="1"/>
  <c r="BC34" i="6" s="1"/>
  <c r="BC68" i="6" a="1"/>
  <c r="BC68" i="6" s="1"/>
  <c r="BC64" i="6" a="1"/>
  <c r="BC64" i="6" s="1"/>
  <c r="BC58" i="6" a="1"/>
  <c r="BC58" i="6" s="1"/>
  <c r="BC82" i="6" a="1"/>
  <c r="BC82" i="6" s="1"/>
  <c r="BC92" i="6" a="1"/>
  <c r="BC92" i="6" s="1"/>
  <c r="BC51" i="6" a="1"/>
  <c r="BC51" i="6" s="1"/>
  <c r="BC83" i="6" a="1"/>
  <c r="BC83" i="6" s="1"/>
  <c r="BC59" i="6" a="1"/>
  <c r="BC59" i="6" s="1"/>
  <c r="BC7" i="6" a="1"/>
  <c r="BC7" i="6" s="1"/>
  <c r="BC36" i="6" a="1"/>
  <c r="BC36" i="6" s="1"/>
  <c r="BC89" i="6" a="1"/>
  <c r="BC89" i="6" s="1"/>
  <c r="BC91" i="6" a="1"/>
  <c r="BC91" i="6" s="1"/>
  <c r="BC23" i="6" a="1"/>
  <c r="BC23" i="6" s="1"/>
  <c r="BC87" i="6" a="1"/>
  <c r="BC87" i="6" s="1"/>
  <c r="BC29" i="6" a="1"/>
  <c r="BC29" i="6" s="1"/>
  <c r="BC101" i="6" a="1"/>
  <c r="BC101" i="6" s="1"/>
  <c r="BC18" i="6" a="1"/>
  <c r="BC18" i="6" s="1"/>
  <c r="BC12" i="6" a="1"/>
  <c r="BC12" i="6" s="1"/>
  <c r="BC103" i="6" a="1"/>
  <c r="BC103" i="6" s="1"/>
  <c r="BC31" i="6" a="1"/>
  <c r="BC31" i="6" s="1"/>
  <c r="BC77" i="6" a="1"/>
  <c r="BC77" i="6" s="1"/>
  <c r="BC85" i="6" a="1"/>
  <c r="BC85" i="6" s="1"/>
  <c r="BC66" i="6" a="1"/>
  <c r="BC66" i="6" s="1"/>
  <c r="BC27" i="6" a="1"/>
  <c r="BC27" i="6" s="1"/>
  <c r="BC13" i="6" a="1"/>
  <c r="BC13" i="6" s="1"/>
  <c r="BC76" i="6" a="1"/>
  <c r="BC76" i="6" s="1"/>
  <c r="BC106" i="6" a="1"/>
  <c r="BC106" i="6" s="1"/>
  <c r="BC74" i="6" a="1"/>
  <c r="BC74" i="6" s="1"/>
  <c r="AY36" i="6" a="1"/>
  <c r="AY36" i="6" s="1"/>
  <c r="AY30" i="6" a="1"/>
  <c r="AY30" i="6" s="1"/>
  <c r="AY95" i="6" a="1"/>
  <c r="AY95" i="6" s="1"/>
  <c r="AY75" i="6" a="1"/>
  <c r="AY75" i="6" s="1"/>
  <c r="AY51" i="6" a="1"/>
  <c r="AY51" i="6" s="1"/>
  <c r="AY105" i="6" a="1"/>
  <c r="AY105" i="6" s="1"/>
  <c r="AY49" i="6" a="1"/>
  <c r="AY49" i="6" s="1"/>
  <c r="AY50" i="6" a="1"/>
  <c r="AY50" i="6" s="1"/>
  <c r="AY67" i="6" a="1"/>
  <c r="AY67" i="6" s="1"/>
  <c r="AY77" i="6" a="1"/>
  <c r="AY77" i="6" s="1"/>
  <c r="AY84" i="6" a="1"/>
  <c r="AY84" i="6" s="1"/>
  <c r="AY85" i="6" a="1"/>
  <c r="AY85" i="6" s="1"/>
  <c r="AY71" i="6" a="1"/>
  <c r="AY71" i="6" s="1"/>
  <c r="AY68" i="6" a="1"/>
  <c r="AY68" i="6" s="1"/>
  <c r="AY62" i="6" a="1"/>
  <c r="AY62" i="6" s="1"/>
  <c r="AY37" i="6" a="1"/>
  <c r="AY37" i="6" s="1"/>
  <c r="AY92" i="6" a="1"/>
  <c r="AY92" i="6" s="1"/>
  <c r="AY12" i="6" a="1"/>
  <c r="AY12" i="6" s="1"/>
  <c r="AY103" i="6" a="1"/>
  <c r="AY103" i="6" s="1"/>
  <c r="AY31" i="6" a="1"/>
  <c r="AY31" i="6" s="1"/>
  <c r="AY27" i="6" a="1"/>
  <c r="AY27" i="6" s="1"/>
  <c r="AY90" i="6" a="1"/>
  <c r="AY90" i="6" s="1"/>
  <c r="AY19" i="6" a="1"/>
  <c r="AY19" i="6" s="1"/>
  <c r="AY17" i="6" a="1"/>
  <c r="AY17" i="6" s="1"/>
  <c r="AY18" i="6" a="1"/>
  <c r="AY18" i="6" s="1"/>
  <c r="AY93" i="6" a="1"/>
  <c r="AY93" i="6" s="1"/>
  <c r="AY72" i="6" a="1"/>
  <c r="AY72" i="6" s="1"/>
  <c r="AY41" i="6" a="1"/>
  <c r="AY41" i="6" s="1"/>
  <c r="AY64" i="6" a="1"/>
  <c r="AY64" i="6" s="1"/>
  <c r="AY88" i="6" a="1"/>
  <c r="AY88" i="6" s="1"/>
  <c r="AY104" i="6" a="1"/>
  <c r="AY104" i="6" s="1"/>
  <c r="AY73" i="6" a="1"/>
  <c r="AY73" i="6" s="1"/>
  <c r="AY29" i="6" a="1"/>
  <c r="AY29" i="6" s="1"/>
  <c r="AY21" i="6" a="1"/>
  <c r="AY21" i="6" s="1"/>
  <c r="AY100" i="6" a="1"/>
  <c r="AY100" i="6" s="1"/>
  <c r="AY94" i="6" a="1"/>
  <c r="AY94" i="6" s="1"/>
  <c r="AY69" i="6" a="1"/>
  <c r="AY69" i="6" s="1"/>
  <c r="AY57" i="6" a="1"/>
  <c r="AY57" i="6" s="1"/>
  <c r="AY44" i="6" a="1"/>
  <c r="AY44" i="6" s="1"/>
  <c r="AY38" i="6" a="1"/>
  <c r="AY38" i="6" s="1"/>
  <c r="AY46" i="6" a="1"/>
  <c r="AY46" i="6" s="1"/>
  <c r="AY60" i="6" a="1"/>
  <c r="AY60" i="6" s="1"/>
  <c r="AY16" i="6" a="1"/>
  <c r="AY16" i="6" s="1"/>
  <c r="AY10" i="6" a="1"/>
  <c r="AY10" i="6" s="1"/>
  <c r="AY81" i="6" a="1"/>
  <c r="AY81" i="6" s="1"/>
  <c r="AY82" i="6" a="1"/>
  <c r="AY82" i="6" s="1"/>
  <c r="AY58" i="6" a="1"/>
  <c r="AY58" i="6" s="1"/>
  <c r="AY42" i="6" a="1"/>
  <c r="AY42" i="6" s="1"/>
  <c r="AY28" i="6" a="1"/>
  <c r="AY28" i="6" s="1"/>
  <c r="AY39" i="6" a="1"/>
  <c r="AY39" i="6" s="1"/>
  <c r="AY102" i="6" a="1"/>
  <c r="AY102" i="6" s="1"/>
  <c r="AY55" i="6" a="1"/>
  <c r="AY55" i="6" s="1"/>
  <c r="AY74" i="6" a="1"/>
  <c r="AY74" i="6" s="1"/>
  <c r="AY59" i="6" a="1"/>
  <c r="AY59" i="6" s="1"/>
  <c r="AY40" i="6" a="1"/>
  <c r="AY40" i="6" s="1"/>
  <c r="AY96" i="6" a="1"/>
  <c r="AY96" i="6" s="1"/>
  <c r="AY87" i="6" a="1"/>
  <c r="AY87" i="6" s="1"/>
  <c r="AY86" i="6" a="1"/>
  <c r="AY86" i="6" s="1"/>
  <c r="AY106" i="6" a="1"/>
  <c r="AY106" i="6" s="1"/>
  <c r="AY89" i="6" a="1"/>
  <c r="AY89" i="6" s="1"/>
  <c r="AY66" i="6" a="1"/>
  <c r="AY66" i="6" s="1"/>
  <c r="AY52" i="6" a="1"/>
  <c r="AY52" i="6" s="1"/>
  <c r="AY13" i="6" a="1"/>
  <c r="AY13" i="6" s="1"/>
  <c r="AY54" i="6" a="1"/>
  <c r="AY54" i="6" s="1"/>
  <c r="AY98" i="6" a="1"/>
  <c r="AY98" i="6" s="1"/>
  <c r="AY35" i="6" a="1"/>
  <c r="AY35" i="6" s="1"/>
  <c r="AY45" i="6" a="1"/>
  <c r="AY45" i="6" s="1"/>
  <c r="AY32" i="6" a="1"/>
  <c r="AY32" i="6" s="1"/>
  <c r="AY83" i="6" a="1"/>
  <c r="AY83" i="6" s="1"/>
  <c r="AY63" i="6" a="1"/>
  <c r="AY63" i="6" s="1"/>
  <c r="AY101" i="6" a="1"/>
  <c r="AY101" i="6" s="1"/>
  <c r="AY22" i="6" a="1"/>
  <c r="AY22" i="6" s="1"/>
  <c r="AY76" i="6" a="1"/>
  <c r="AY76" i="6" s="1"/>
  <c r="AY70" i="6" a="1"/>
  <c r="AY70" i="6" s="1"/>
  <c r="AY15" i="6" a="1"/>
  <c r="AY15" i="6" s="1"/>
  <c r="AY25" i="6" a="1"/>
  <c r="AY25" i="6" s="1"/>
  <c r="AY48" i="6" a="1"/>
  <c r="AY48" i="6" s="1"/>
  <c r="AY14" i="6" a="1"/>
  <c r="AY14" i="6" s="1"/>
  <c r="AY33" i="6" a="1"/>
  <c r="AY33" i="6" s="1"/>
  <c r="AY91" i="6" a="1"/>
  <c r="AY91" i="6" s="1"/>
  <c r="AY11" i="6" a="1"/>
  <c r="AY11" i="6" s="1"/>
  <c r="AY56" i="6" a="1"/>
  <c r="AY56" i="6" s="1"/>
  <c r="AY80" i="6" a="1"/>
  <c r="AY80" i="6" s="1"/>
  <c r="AY78" i="6" a="1"/>
  <c r="AY78" i="6" s="1"/>
  <c r="AY65" i="6" a="1"/>
  <c r="AY65" i="6" s="1"/>
  <c r="AY34" i="6" a="1"/>
  <c r="AY34" i="6" s="1"/>
  <c r="AY9" i="6" a="1"/>
  <c r="AY9" i="6" s="1"/>
  <c r="AY47" i="6" a="1"/>
  <c r="AY47" i="6" s="1"/>
  <c r="AY23" i="6" a="1"/>
  <c r="AY23" i="6" s="1"/>
  <c r="AY24" i="6" a="1"/>
  <c r="AY24" i="6" s="1"/>
  <c r="AY97" i="6" a="1"/>
  <c r="AY97" i="6" s="1"/>
  <c r="AY61" i="6" a="1"/>
  <c r="AY61" i="6" s="1"/>
  <c r="AY53" i="6" a="1"/>
  <c r="AY53" i="6" s="1"/>
  <c r="AY99" i="6" a="1"/>
  <c r="AY99" i="6" s="1"/>
  <c r="AY79" i="6" a="1"/>
  <c r="AY79" i="6" s="1"/>
  <c r="AY26" i="6" a="1"/>
  <c r="AY26" i="6" s="1"/>
  <c r="AY43" i="6" a="1"/>
  <c r="AY43" i="6" s="1"/>
  <c r="AY20" i="6" a="1"/>
  <c r="AY20" i="6" s="1"/>
  <c r="K28" i="9"/>
  <c r="K26" i="9"/>
  <c r="K25" i="9"/>
  <c r="M4" i="9"/>
  <c r="H4" i="9" s="1"/>
  <c r="T7" i="9" l="1"/>
  <c r="T6" i="9"/>
  <c r="M5" i="9"/>
  <c r="H5" i="9" s="1"/>
  <c r="AZ8" i="6" a="1"/>
  <c r="AZ8" i="6" s="1"/>
  <c r="AZ14" i="6" a="1"/>
  <c r="AZ14" i="6" s="1"/>
  <c r="AZ17" i="6" a="1"/>
  <c r="AZ17" i="6" s="1"/>
  <c r="AZ20" i="6" a="1"/>
  <c r="AZ20" i="6" s="1"/>
  <c r="AZ11" i="6" a="1"/>
  <c r="AZ11" i="6" s="1"/>
  <c r="AZ23" i="6" a="1"/>
  <c r="AZ23" i="6" s="1"/>
  <c r="BD30" i="6" a="1"/>
  <c r="BD30" i="6" s="1"/>
  <c r="BD60" i="6" a="1"/>
  <c r="BD60" i="6" s="1"/>
  <c r="BD57" i="6" a="1"/>
  <c r="BD57" i="6" s="1"/>
  <c r="BD63" i="6" a="1"/>
  <c r="BD63" i="6" s="1"/>
  <c r="BD45" i="6" a="1"/>
  <c r="BD45" i="6" s="1"/>
  <c r="BD36" i="6" a="1"/>
  <c r="BD36" i="6" s="1"/>
  <c r="BD33" i="6" a="1"/>
  <c r="BD33" i="6" s="1"/>
  <c r="AZ29" i="6" a="1"/>
  <c r="AZ29" i="6" s="1"/>
  <c r="AZ32" i="6" a="1"/>
  <c r="AZ32" i="6" s="1"/>
  <c r="AZ26" i="6" a="1"/>
  <c r="AZ26" i="6" s="1"/>
  <c r="AZ35" i="6" a="1"/>
  <c r="AZ35" i="6" s="1"/>
  <c r="AZ41" i="6" a="1"/>
  <c r="AZ41" i="6" s="1"/>
  <c r="AZ44" i="6" a="1"/>
  <c r="AZ44" i="6" s="1"/>
  <c r="AZ47" i="6" a="1"/>
  <c r="AZ47" i="6" s="1"/>
  <c r="AZ38" i="6" a="1"/>
  <c r="AZ38" i="6" s="1"/>
  <c r="AZ50" i="6" a="1"/>
  <c r="AZ50" i="6" s="1"/>
  <c r="AZ53" i="6" a="1"/>
  <c r="AZ53" i="6" s="1"/>
  <c r="AZ56" i="6" a="1"/>
  <c r="AZ56" i="6" s="1"/>
  <c r="AZ59" i="6" a="1"/>
  <c r="AZ59" i="6" s="1"/>
  <c r="AZ62" i="6" a="1"/>
  <c r="AZ62" i="6" s="1"/>
  <c r="AZ65" i="6" a="1"/>
  <c r="AZ65" i="6" s="1"/>
  <c r="AZ68" i="6" a="1"/>
  <c r="AZ68" i="6" s="1"/>
  <c r="AZ71" i="6" a="1"/>
  <c r="AZ71" i="6" s="1"/>
  <c r="AZ74" i="6" a="1"/>
  <c r="AZ74" i="6" s="1"/>
  <c r="AZ77" i="6" a="1"/>
  <c r="AZ77" i="6" s="1"/>
  <c r="AZ80" i="6" a="1"/>
  <c r="AZ80" i="6" s="1"/>
  <c r="BD9" i="6" a="1"/>
  <c r="BD9" i="6" s="1"/>
  <c r="BD12" i="6" a="1"/>
  <c r="BD12" i="6" s="1"/>
  <c r="AZ83" i="6" a="1"/>
  <c r="AZ83" i="6" s="1"/>
  <c r="BD24" i="6" a="1"/>
  <c r="BD24" i="6" s="1"/>
  <c r="BD21" i="6" a="1"/>
  <c r="BD21" i="6" s="1"/>
  <c r="BD15" i="6" a="1"/>
  <c r="BD15" i="6" s="1"/>
  <c r="BD18" i="6" a="1"/>
  <c r="BD18" i="6" s="1"/>
  <c r="BD39" i="6" a="1"/>
  <c r="BD39" i="6" s="1"/>
  <c r="T5" i="9"/>
  <c r="BD42" i="6" a="1"/>
  <c r="BD42" i="6" s="1"/>
  <c r="BD51" i="6" a="1"/>
  <c r="BD51" i="6" s="1"/>
  <c r="BD27" i="6" a="1"/>
  <c r="BD27" i="6" s="1"/>
  <c r="BD54" i="6" a="1"/>
  <c r="BD54" i="6" s="1"/>
  <c r="BD48" i="6" a="1"/>
  <c r="BD48" i="6" s="1"/>
  <c r="BL40" i="6" a="1"/>
  <c r="BL40" i="6" s="1"/>
  <c r="AZ52" i="6" a="1"/>
  <c r="AZ52" i="6" s="1"/>
  <c r="BL17" i="6" a="1"/>
  <c r="BL17" i="6" s="1"/>
  <c r="AZ40" i="6" a="1"/>
  <c r="AZ40" i="6" s="1"/>
  <c r="AZ72" i="6" a="1"/>
  <c r="AZ72" i="6" s="1"/>
  <c r="BD72" i="6" a="1"/>
  <c r="BD72" i="6" s="1"/>
  <c r="BH17" i="6" a="1"/>
  <c r="BH17" i="6" s="1"/>
  <c r="BD38" i="6" a="1"/>
  <c r="BD38" i="6" s="1"/>
  <c r="BD65" i="6" a="1"/>
  <c r="BD65" i="6" s="1"/>
  <c r="BL106" i="6" a="1"/>
  <c r="BL106" i="6" s="1"/>
  <c r="BL105" i="6" a="1"/>
  <c r="BL105" i="6" s="1"/>
  <c r="BD23" i="6" a="1"/>
  <c r="BD23" i="6" s="1"/>
  <c r="BL51" i="6" a="1"/>
  <c r="BL51" i="6" s="1"/>
  <c r="AZ100" i="6" a="1"/>
  <c r="AZ100" i="6" s="1"/>
  <c r="BH60" i="6" a="1"/>
  <c r="BH60" i="6" s="1"/>
  <c r="AZ64" i="6" a="1"/>
  <c r="AZ64" i="6" s="1"/>
  <c r="AZ24" i="6" a="1"/>
  <c r="AZ24" i="6" s="1"/>
  <c r="BH81" i="6" a="1"/>
  <c r="BH81" i="6" s="1"/>
  <c r="AZ12" i="6" a="1"/>
  <c r="AZ12" i="6" s="1"/>
  <c r="BH75" i="6" a="1"/>
  <c r="BH75" i="6" s="1"/>
  <c r="BL104" i="6" a="1"/>
  <c r="BL104" i="6" s="1"/>
  <c r="AZ102" i="6" a="1"/>
  <c r="AZ102" i="6" s="1"/>
  <c r="BL96" i="6" a="1"/>
  <c r="BL96" i="6" s="1"/>
  <c r="AZ28" i="6" a="1"/>
  <c r="AZ28" i="6" s="1"/>
  <c r="AZ66" i="6" a="1"/>
  <c r="AZ66" i="6" s="1"/>
  <c r="BL91" i="6" a="1"/>
  <c r="BL91" i="6" s="1"/>
  <c r="BH26" i="6" a="1"/>
  <c r="BH26" i="6" s="1"/>
  <c r="BH95" i="6" a="1"/>
  <c r="BH95" i="6" s="1"/>
  <c r="BL42" i="6" a="1"/>
  <c r="BL42" i="6" s="1"/>
  <c r="BH106" i="6" a="1"/>
  <c r="BH106" i="6" s="1"/>
  <c r="BH80" i="6" a="1"/>
  <c r="BH80" i="6" s="1"/>
  <c r="BL37" i="6" a="1"/>
  <c r="BL37" i="6" s="1"/>
  <c r="BD44" i="6" a="1"/>
  <c r="BD44" i="6" s="1"/>
  <c r="BH83" i="6" a="1"/>
  <c r="BH83" i="6" s="1"/>
  <c r="BD104" i="6" a="1"/>
  <c r="BD104" i="6" s="1"/>
  <c r="BD88" i="6" a="1"/>
  <c r="BD88" i="6" s="1"/>
  <c r="AZ101" i="6" a="1"/>
  <c r="AZ101" i="6" s="1"/>
  <c r="AZ96" i="6" a="1"/>
  <c r="AZ96" i="6" s="1"/>
  <c r="BL99" i="6" a="1"/>
  <c r="BL99" i="6" s="1"/>
  <c r="AZ58" i="6" a="1"/>
  <c r="AZ58" i="6" s="1"/>
  <c r="AZ94" i="6" a="1"/>
  <c r="AZ94" i="6" s="1"/>
  <c r="BL20" i="6" a="1"/>
  <c r="BL20" i="6" s="1"/>
  <c r="AZ89" i="6" a="1"/>
  <c r="AZ89" i="6" s="1"/>
  <c r="BL83" i="6" a="1"/>
  <c r="BL83" i="6" s="1"/>
  <c r="AZ63" i="6" a="1"/>
  <c r="AZ63" i="6" s="1"/>
  <c r="BH92" i="6" a="1"/>
  <c r="BH92" i="6" s="1"/>
  <c r="BL38" i="6" a="1"/>
  <c r="BL38" i="6" s="1"/>
  <c r="BL59" i="6" a="1"/>
  <c r="BL59" i="6" s="1"/>
  <c r="BL102" i="6" a="1"/>
  <c r="BL102" i="6" s="1"/>
  <c r="BL47" i="6" a="1"/>
  <c r="BL47" i="6" s="1"/>
  <c r="AZ46" i="6" a="1"/>
  <c r="AZ46" i="6" s="1"/>
  <c r="AZ22" i="6" a="1"/>
  <c r="AZ22" i="6" s="1"/>
  <c r="BH37" i="6" a="1"/>
  <c r="BH37" i="6" s="1"/>
  <c r="AZ15" i="6" a="1"/>
  <c r="AZ15" i="6" s="1"/>
  <c r="BL88" i="6" a="1"/>
  <c r="BL88" i="6" s="1"/>
  <c r="AZ90" i="6" a="1"/>
  <c r="AZ90" i="6" s="1"/>
  <c r="BH45" i="6" a="1"/>
  <c r="BH45" i="6" s="1"/>
  <c r="AZ61" i="6" a="1"/>
  <c r="AZ61" i="6" s="1"/>
  <c r="BH44" i="6" a="1"/>
  <c r="BH44" i="6" s="1"/>
  <c r="BD100" i="6" a="1"/>
  <c r="BD100" i="6" s="1"/>
  <c r="BH52" i="6" a="1"/>
  <c r="BH52" i="6" s="1"/>
  <c r="BL55" i="6" a="1"/>
  <c r="BL55" i="6" s="1"/>
  <c r="AZ36" i="6" a="1"/>
  <c r="AZ36" i="6" s="1"/>
  <c r="BL74" i="6" a="1"/>
  <c r="BL74" i="6" s="1"/>
  <c r="BL44" i="6" a="1"/>
  <c r="BL44" i="6" s="1"/>
  <c r="BH47" i="6" a="1"/>
  <c r="BH47" i="6" s="1"/>
  <c r="BD52" i="6" a="1"/>
  <c r="BD52" i="6" s="1"/>
  <c r="AZ84" i="6" a="1"/>
  <c r="AZ84" i="6" s="1"/>
  <c r="BD53" i="6" a="1"/>
  <c r="BD53" i="6" s="1"/>
  <c r="BH7" i="6" a="1"/>
  <c r="BH7" i="6" s="1"/>
  <c r="BD94" i="6" a="1"/>
  <c r="BD94" i="6" s="1"/>
  <c r="AZ49" i="6" a="1"/>
  <c r="AZ49" i="6" s="1"/>
  <c r="BL64" i="6" a="1"/>
  <c r="BL64" i="6" s="1"/>
  <c r="BH69" i="6" a="1"/>
  <c r="BH69" i="6" s="1"/>
  <c r="AZ9" i="6" a="1"/>
  <c r="AZ9" i="6" s="1"/>
  <c r="BH30" i="6" a="1"/>
  <c r="BH30" i="6" s="1"/>
  <c r="BD105" i="6" a="1"/>
  <c r="BD105" i="6" s="1"/>
  <c r="BL28" i="6" a="1"/>
  <c r="BL28" i="6" s="1"/>
  <c r="BH74" i="6" a="1"/>
  <c r="BH74" i="6" s="1"/>
  <c r="BL78" i="6" a="1"/>
  <c r="BL78" i="6" s="1"/>
  <c r="BL43" i="6" a="1"/>
  <c r="BL43" i="6" s="1"/>
  <c r="BH66" i="6" a="1"/>
  <c r="BH66" i="6" s="1"/>
  <c r="BD40" i="6" a="1"/>
  <c r="BD40" i="6" s="1"/>
  <c r="BH32" i="6" a="1"/>
  <c r="BH32" i="6" s="1"/>
  <c r="BD58" i="6" a="1"/>
  <c r="BD58" i="6" s="1"/>
  <c r="BD69" i="6" a="1"/>
  <c r="BD69" i="6" s="1"/>
  <c r="AZ91" i="6" a="1"/>
  <c r="AZ91" i="6" s="1"/>
  <c r="AZ25" i="6" a="1"/>
  <c r="AZ25" i="6" s="1"/>
  <c r="BL85" i="6" a="1"/>
  <c r="BL85" i="6" s="1"/>
  <c r="BH78" i="6" a="1"/>
  <c r="BH78" i="6" s="1"/>
  <c r="BH46" i="6" a="1"/>
  <c r="BH46" i="6" s="1"/>
  <c r="BH76" i="6" a="1"/>
  <c r="BH76" i="6" s="1"/>
  <c r="BD75" i="6" a="1"/>
  <c r="BD75" i="6" s="1"/>
  <c r="AZ42" i="6" a="1"/>
  <c r="AZ42" i="6" s="1"/>
  <c r="BL70" i="6" a="1"/>
  <c r="BL70" i="6" s="1"/>
  <c r="AZ75" i="6" a="1"/>
  <c r="AZ75" i="6" s="1"/>
  <c r="BH100" i="6" a="1"/>
  <c r="BH100" i="6" s="1"/>
  <c r="BL26" i="6" a="1"/>
  <c r="BL26" i="6" s="1"/>
  <c r="BH49" i="6" a="1"/>
  <c r="BH49" i="6" s="1"/>
  <c r="BL53" i="6" a="1"/>
  <c r="BL53" i="6" s="1"/>
  <c r="BD106" i="6" a="1"/>
  <c r="BD106" i="6" s="1"/>
  <c r="BD78" i="6" a="1"/>
  <c r="BD78" i="6" s="1"/>
  <c r="BD86" i="6" a="1"/>
  <c r="BD86" i="6" s="1"/>
  <c r="BL73" i="6" a="1"/>
  <c r="BL73" i="6" s="1"/>
  <c r="AZ105" i="6" a="1"/>
  <c r="AZ105" i="6" s="1"/>
  <c r="BH20" i="6" a="1"/>
  <c r="BH20" i="6" s="1"/>
  <c r="AZ54" i="6" a="1"/>
  <c r="AZ54" i="6" s="1"/>
  <c r="BD37" i="6" a="1"/>
  <c r="BD37" i="6" s="1"/>
  <c r="BD10" i="6" a="1"/>
  <c r="BD10" i="6" s="1"/>
  <c r="AZ69" i="6" a="1"/>
  <c r="AZ69" i="6" s="1"/>
  <c r="BH77" i="6" a="1"/>
  <c r="BH77" i="6" s="1"/>
  <c r="BL49" i="6" a="1"/>
  <c r="BL49" i="6" s="1"/>
  <c r="BD34" i="6" a="1"/>
  <c r="BD34" i="6" s="1"/>
  <c r="AZ43" i="6" a="1"/>
  <c r="AZ43" i="6" s="1"/>
  <c r="BL13" i="6" a="1"/>
  <c r="BL13" i="6" s="1"/>
  <c r="BL21" i="6" a="1"/>
  <c r="BL21" i="6" s="1"/>
  <c r="BL98" i="6" a="1"/>
  <c r="BL98" i="6" s="1"/>
  <c r="BH9" i="6" a="1"/>
  <c r="BH9" i="6" s="1"/>
  <c r="BH63" i="6" a="1"/>
  <c r="BH63" i="6" s="1"/>
  <c r="BD49" i="6" a="1"/>
  <c r="BD49" i="6" s="1"/>
  <c r="BH41" i="6" a="1"/>
  <c r="BH41" i="6" s="1"/>
  <c r="AZ27" i="6" a="1"/>
  <c r="AZ27" i="6" s="1"/>
  <c r="BD81" i="6" a="1"/>
  <c r="BD81" i="6" s="1"/>
  <c r="BL69" i="6" a="1"/>
  <c r="BL69" i="6" s="1"/>
  <c r="BL100" i="6" a="1"/>
  <c r="BL100" i="6" s="1"/>
  <c r="BL34" i="6" a="1"/>
  <c r="BL34" i="6" s="1"/>
  <c r="BD28" i="6" a="1"/>
  <c r="BD28" i="6" s="1"/>
  <c r="BD41" i="6" a="1"/>
  <c r="BD41" i="6" s="1"/>
  <c r="BD93" i="6" a="1"/>
  <c r="BD93" i="6" s="1"/>
  <c r="BD32" i="6" a="1"/>
  <c r="BD32" i="6" s="1"/>
  <c r="BH27" i="6" a="1"/>
  <c r="BH27" i="6" s="1"/>
  <c r="BD73" i="6" a="1"/>
  <c r="BD73" i="6" s="1"/>
  <c r="BL24" i="6" a="1"/>
  <c r="BL24" i="6" s="1"/>
  <c r="BH102" i="6" a="1"/>
  <c r="BH102" i="6" s="1"/>
  <c r="BH16" i="6" a="1"/>
  <c r="BH16" i="6" s="1"/>
  <c r="BL18" i="6" a="1"/>
  <c r="BL18" i="6" s="1"/>
  <c r="BL75" i="6" a="1"/>
  <c r="BL75" i="6" s="1"/>
  <c r="BH84" i="6" a="1"/>
  <c r="BH84" i="6" s="1"/>
  <c r="BD20" i="6" a="1"/>
  <c r="BD20" i="6" s="1"/>
  <c r="AZ60" i="6" a="1"/>
  <c r="AZ60" i="6" s="1"/>
  <c r="BL50" i="6" a="1"/>
  <c r="BL50" i="6" s="1"/>
  <c r="BL35" i="6" a="1"/>
  <c r="BL35" i="6" s="1"/>
  <c r="BL8" i="6" a="1"/>
  <c r="BL8" i="6" s="1"/>
  <c r="AZ97" i="6" a="1"/>
  <c r="AZ97" i="6" s="1"/>
  <c r="AZ31" i="6" a="1"/>
  <c r="AZ31" i="6" s="1"/>
  <c r="BL39" i="6" a="1"/>
  <c r="BL39" i="6" s="1"/>
  <c r="BL62" i="6" a="1"/>
  <c r="BL62" i="6" s="1"/>
  <c r="AZ73" i="6" a="1"/>
  <c r="AZ73" i="6" s="1"/>
  <c r="AZ81" i="6" a="1"/>
  <c r="AZ81" i="6" s="1"/>
  <c r="BL79" i="6" a="1"/>
  <c r="BL79" i="6" s="1"/>
  <c r="BH31" i="6" a="1"/>
  <c r="BH31" i="6" s="1"/>
  <c r="BH24" i="6" a="1"/>
  <c r="BH24" i="6" s="1"/>
  <c r="AZ45" i="6" a="1"/>
  <c r="AZ45" i="6" s="1"/>
  <c r="BL89" i="6" a="1"/>
  <c r="BL89" i="6" s="1"/>
  <c r="BH93" i="6" a="1"/>
  <c r="BH93" i="6" s="1"/>
  <c r="AZ39" i="6" a="1"/>
  <c r="AZ39" i="6" s="1"/>
  <c r="BL90" i="6" a="1"/>
  <c r="BL90" i="6" s="1"/>
  <c r="BD59" i="6" a="1"/>
  <c r="BD59" i="6" s="1"/>
  <c r="BH87" i="6" a="1"/>
  <c r="BH87" i="6" s="1"/>
  <c r="BL94" i="6" a="1"/>
  <c r="BL94" i="6" s="1"/>
  <c r="BL32" i="6" a="1"/>
  <c r="BL32" i="6" s="1"/>
  <c r="BL66" i="6" a="1"/>
  <c r="BL66" i="6" s="1"/>
  <c r="BH42" i="6" a="1"/>
  <c r="BH42" i="6" s="1"/>
  <c r="BD82" i="6" a="1"/>
  <c r="BD82" i="6" s="1"/>
  <c r="BL61" i="6" a="1"/>
  <c r="BL61" i="6" s="1"/>
  <c r="BD90" i="6" a="1"/>
  <c r="BD90" i="6" s="1"/>
  <c r="BD95" i="6" a="1"/>
  <c r="BD95" i="6" s="1"/>
  <c r="AZ103" i="6" a="1"/>
  <c r="AZ103" i="6" s="1"/>
  <c r="BH90" i="6" a="1"/>
  <c r="BH90" i="6" s="1"/>
  <c r="BD103" i="6" a="1"/>
  <c r="BD103" i="6" s="1"/>
  <c r="BL63" i="6" a="1"/>
  <c r="BL63" i="6" s="1"/>
  <c r="AZ30" i="6" a="1"/>
  <c r="AZ30" i="6" s="1"/>
  <c r="AZ57" i="6" a="1"/>
  <c r="AZ57" i="6" s="1"/>
  <c r="BL81" i="6" a="1"/>
  <c r="BL81" i="6" s="1"/>
  <c r="BH86" i="6" a="1"/>
  <c r="BH86" i="6" s="1"/>
  <c r="BL14" i="6" a="1"/>
  <c r="BL14" i="6" s="1"/>
  <c r="BL16" i="6" a="1"/>
  <c r="BL16" i="6" s="1"/>
  <c r="BD11" i="6" a="1"/>
  <c r="BD11" i="6" s="1"/>
  <c r="BL54" i="6" a="1"/>
  <c r="BL54" i="6" s="1"/>
  <c r="BH15" i="6" a="1"/>
  <c r="BH15" i="6" s="1"/>
  <c r="BD47" i="6" a="1"/>
  <c r="BD47" i="6" s="1"/>
  <c r="BL36" i="6" a="1"/>
  <c r="BL36" i="6" s="1"/>
  <c r="BD76" i="6" a="1"/>
  <c r="BD76" i="6" s="1"/>
  <c r="BL82" i="6" a="1"/>
  <c r="BL82" i="6" s="1"/>
  <c r="BL103" i="6" a="1"/>
  <c r="BL103" i="6" s="1"/>
  <c r="BH70" i="6" a="1"/>
  <c r="BH70" i="6" s="1"/>
  <c r="BL67" i="6" a="1"/>
  <c r="BL67" i="6" s="1"/>
  <c r="BD74" i="6" a="1"/>
  <c r="BD74" i="6" s="1"/>
  <c r="BH72" i="6" a="1"/>
  <c r="BH72" i="6" s="1"/>
  <c r="BL7" i="6" a="1"/>
  <c r="BL7" i="6" s="1"/>
  <c r="AZ78" i="6" a="1"/>
  <c r="AZ78" i="6" s="1"/>
  <c r="BH61" i="6" a="1"/>
  <c r="BH61" i="6" s="1"/>
  <c r="BD56" i="6" a="1"/>
  <c r="BD56" i="6" s="1"/>
  <c r="BH19" i="6" a="1"/>
  <c r="BH19" i="6" s="1"/>
  <c r="BH65" i="6" a="1"/>
  <c r="BH65" i="6" s="1"/>
  <c r="BD46" i="6" a="1"/>
  <c r="BD46" i="6" s="1"/>
  <c r="AZ67" i="6" a="1"/>
  <c r="AZ67" i="6" s="1"/>
  <c r="BD43" i="6" a="1"/>
  <c r="BD43" i="6" s="1"/>
  <c r="BH64" i="6" a="1"/>
  <c r="BH64" i="6" s="1"/>
  <c r="BH67" i="6" a="1"/>
  <c r="BH67" i="6" s="1"/>
  <c r="AZ92" i="6" a="1"/>
  <c r="AZ92" i="6" s="1"/>
  <c r="BH58" i="6" a="1"/>
  <c r="BH58" i="6" s="1"/>
  <c r="BL31" i="6" a="1"/>
  <c r="BL31" i="6" s="1"/>
  <c r="AZ51" i="6" a="1"/>
  <c r="AZ51" i="6" s="1"/>
  <c r="AZ21" i="6" a="1"/>
  <c r="AZ21" i="6" s="1"/>
  <c r="BL10" i="6" a="1"/>
  <c r="BL10" i="6" s="1"/>
  <c r="BH98" i="6" a="1"/>
  <c r="BH98" i="6" s="1"/>
  <c r="BH50" i="6" a="1"/>
  <c r="BH50" i="6" s="1"/>
  <c r="BH39" i="6" a="1"/>
  <c r="BH39" i="6" s="1"/>
  <c r="BH85" i="6" a="1"/>
  <c r="BH85" i="6" s="1"/>
  <c r="BH51" i="6" a="1"/>
  <c r="BH51" i="6" s="1"/>
  <c r="BD35" i="6" a="1"/>
  <c r="BD35" i="6" s="1"/>
  <c r="BH12" i="6" a="1"/>
  <c r="BH12" i="6" s="1"/>
  <c r="BD61" i="6" a="1"/>
  <c r="BD61" i="6" s="1"/>
  <c r="BD101" i="6" a="1"/>
  <c r="BD101" i="6" s="1"/>
  <c r="BD84" i="6" a="1"/>
  <c r="BD84" i="6" s="1"/>
  <c r="BD31" i="6" a="1"/>
  <c r="BD31" i="6" s="1"/>
  <c r="AZ87" i="6" a="1"/>
  <c r="AZ87" i="6" s="1"/>
  <c r="BD71" i="6" a="1"/>
  <c r="BD71" i="6" s="1"/>
  <c r="BL25" i="6" a="1"/>
  <c r="BL25" i="6" s="1"/>
  <c r="BD64" i="6" a="1"/>
  <c r="BD64" i="6" s="1"/>
  <c r="BH104" i="6" a="1"/>
  <c r="BH104" i="6" s="1"/>
  <c r="BH101" i="6" a="1"/>
  <c r="BH101" i="6" s="1"/>
  <c r="BL12" i="6" a="1"/>
  <c r="BL12" i="6" s="1"/>
  <c r="AZ104" i="6" a="1"/>
  <c r="AZ104" i="6" s="1"/>
  <c r="BH38" i="6" a="1"/>
  <c r="BH38" i="6" s="1"/>
  <c r="BL9" i="6" a="1"/>
  <c r="BL9" i="6" s="1"/>
  <c r="BL76" i="6" a="1"/>
  <c r="BL76" i="6" s="1"/>
  <c r="BH91" i="6" a="1"/>
  <c r="BH91" i="6" s="1"/>
  <c r="BH97" i="6" a="1"/>
  <c r="BH97" i="6" s="1"/>
  <c r="BD102" i="6" a="1"/>
  <c r="BD102" i="6" s="1"/>
  <c r="BH23" i="6" a="1"/>
  <c r="BH23" i="6" s="1"/>
  <c r="AZ19" i="6" a="1"/>
  <c r="AZ19" i="6" s="1"/>
  <c r="BH88" i="6" a="1"/>
  <c r="BH88" i="6" s="1"/>
  <c r="BL72" i="6" a="1"/>
  <c r="BL72" i="6" s="1"/>
  <c r="BL58" i="6" a="1"/>
  <c r="BL58" i="6" s="1"/>
  <c r="BD85" i="6" a="1"/>
  <c r="BD85" i="6" s="1"/>
  <c r="BH34" i="6" a="1"/>
  <c r="BH34" i="6" s="1"/>
  <c r="AZ7" i="6" a="1"/>
  <c r="AZ7" i="6" s="1"/>
  <c r="BD79" i="6" a="1"/>
  <c r="BD79" i="6" s="1"/>
  <c r="BD50" i="6" a="1"/>
  <c r="BD50" i="6" s="1"/>
  <c r="BD66" i="6" a="1"/>
  <c r="BD66" i="6" s="1"/>
  <c r="BH55" i="6" a="1"/>
  <c r="BH55" i="6" s="1"/>
  <c r="BH21" i="6" a="1"/>
  <c r="BH21" i="6" s="1"/>
  <c r="BH96" i="6" a="1"/>
  <c r="BH96" i="6" s="1"/>
  <c r="BD70" i="6" a="1"/>
  <c r="BD70" i="6" s="1"/>
  <c r="BL93" i="6" a="1"/>
  <c r="BL93" i="6" s="1"/>
  <c r="AZ37" i="6" a="1"/>
  <c r="AZ37" i="6" s="1"/>
  <c r="BH54" i="6" a="1"/>
  <c r="BH54" i="6" s="1"/>
  <c r="BD19" i="6" a="1"/>
  <c r="BD19" i="6" s="1"/>
  <c r="BL86" i="6" a="1"/>
  <c r="BL86" i="6" s="1"/>
  <c r="BH22" i="6" a="1"/>
  <c r="BH22" i="6" s="1"/>
  <c r="AZ95" i="6" a="1"/>
  <c r="AZ95" i="6" s="1"/>
  <c r="BD80" i="6" a="1"/>
  <c r="BD80" i="6" s="1"/>
  <c r="BD91" i="6" a="1"/>
  <c r="BD91" i="6" s="1"/>
  <c r="BD67" i="6" a="1"/>
  <c r="BD67" i="6" s="1"/>
  <c r="BH8" i="6" a="1"/>
  <c r="BH8" i="6" s="1"/>
  <c r="AZ82" i="6" a="1"/>
  <c r="AZ82" i="6" s="1"/>
  <c r="BD8" i="6" a="1"/>
  <c r="BD8" i="6" s="1"/>
  <c r="BD29" i="6" a="1"/>
  <c r="BD29" i="6" s="1"/>
  <c r="BL27" i="6" a="1"/>
  <c r="BL27" i="6" s="1"/>
  <c r="BH56" i="6" a="1"/>
  <c r="BH56" i="6" s="1"/>
  <c r="BD14" i="6" a="1"/>
  <c r="BD14" i="6" s="1"/>
  <c r="BL87" i="6" a="1"/>
  <c r="BL87" i="6" s="1"/>
  <c r="AZ88" i="6" a="1"/>
  <c r="AZ88" i="6" s="1"/>
  <c r="BH13" i="6" a="1"/>
  <c r="BH13" i="6" s="1"/>
  <c r="BL52" i="6" a="1"/>
  <c r="BL52" i="6" s="1"/>
  <c r="BL57" i="6" a="1"/>
  <c r="BL57" i="6" s="1"/>
  <c r="BD96" i="6" a="1"/>
  <c r="BD96" i="6" s="1"/>
  <c r="AZ98" i="6" a="1"/>
  <c r="AZ98" i="6" s="1"/>
  <c r="BH53" i="6" a="1"/>
  <c r="BH53" i="6" s="1"/>
  <c r="BH11" i="6" a="1"/>
  <c r="BH11" i="6" s="1"/>
  <c r="BD13" i="6" a="1"/>
  <c r="BD13" i="6" s="1"/>
  <c r="BD25" i="6" a="1"/>
  <c r="BD25" i="6" s="1"/>
  <c r="BD17" i="6" a="1"/>
  <c r="BD17" i="6" s="1"/>
  <c r="AZ79" i="6" a="1"/>
  <c r="AZ79" i="6" s="1"/>
  <c r="BL101" i="6" a="1"/>
  <c r="BL101" i="6" s="1"/>
  <c r="BH14" i="6" a="1"/>
  <c r="BH14" i="6" s="1"/>
  <c r="BH103" i="6" a="1"/>
  <c r="BH103" i="6" s="1"/>
  <c r="AZ33" i="6" a="1"/>
  <c r="AZ33" i="6" s="1"/>
  <c r="BD99" i="6" a="1"/>
  <c r="BD99" i="6" s="1"/>
  <c r="BH79" i="6" a="1"/>
  <c r="BH79" i="6" s="1"/>
  <c r="AZ13" i="6" a="1"/>
  <c r="AZ13" i="6" s="1"/>
  <c r="BD87" i="6" a="1"/>
  <c r="BD87" i="6" s="1"/>
  <c r="BH35" i="6" a="1"/>
  <c r="BH35" i="6" s="1"/>
  <c r="BD7" i="6" a="1"/>
  <c r="BD7" i="6" s="1"/>
  <c r="BH36" i="6" a="1"/>
  <c r="BH36" i="6" s="1"/>
  <c r="AZ48" i="6" a="1"/>
  <c r="AZ48" i="6" s="1"/>
  <c r="BD83" i="6" a="1"/>
  <c r="BD83" i="6" s="1"/>
  <c r="BL19" i="6" a="1"/>
  <c r="BL19" i="6" s="1"/>
  <c r="BD89" i="6" a="1"/>
  <c r="BD89" i="6" s="1"/>
  <c r="AZ10" i="6" a="1"/>
  <c r="AZ10" i="6" s="1"/>
  <c r="BL33" i="6" a="1"/>
  <c r="BL33" i="6" s="1"/>
  <c r="BL30" i="6" a="1"/>
  <c r="BL30" i="6" s="1"/>
  <c r="AZ99" i="6" a="1"/>
  <c r="AZ99" i="6" s="1"/>
  <c r="BH25" i="6" a="1"/>
  <c r="BH25" i="6" s="1"/>
  <c r="BL77" i="6" a="1"/>
  <c r="BL77" i="6" s="1"/>
  <c r="BL65" i="6" a="1"/>
  <c r="BL65" i="6" s="1"/>
  <c r="BH43" i="6" a="1"/>
  <c r="BH43" i="6" s="1"/>
  <c r="AZ55" i="6" a="1"/>
  <c r="AZ55" i="6" s="1"/>
  <c r="BH59" i="6" a="1"/>
  <c r="BH59" i="6" s="1"/>
  <c r="BH105" i="6" a="1"/>
  <c r="BH105" i="6" s="1"/>
  <c r="BD22" i="6" a="1"/>
  <c r="BD22" i="6" s="1"/>
  <c r="BD92" i="6" a="1"/>
  <c r="BD92" i="6" s="1"/>
  <c r="BL22" i="6" a="1"/>
  <c r="BL22" i="6" s="1"/>
  <c r="BD77" i="6" a="1"/>
  <c r="BD77" i="6" s="1"/>
  <c r="AZ16" i="6" a="1"/>
  <c r="AZ16" i="6" s="1"/>
  <c r="BL11" i="6" a="1"/>
  <c r="BL11" i="6" s="1"/>
  <c r="BL68" i="6" a="1"/>
  <c r="BL68" i="6" s="1"/>
  <c r="BH94" i="6" a="1"/>
  <c r="BH94" i="6" s="1"/>
  <c r="BD97" i="6" a="1"/>
  <c r="BD97" i="6" s="1"/>
  <c r="BH48" i="6" a="1"/>
  <c r="BH48" i="6" s="1"/>
  <c r="BH18" i="6" a="1"/>
  <c r="BH18" i="6" s="1"/>
  <c r="BD68" i="6" a="1"/>
  <c r="BD68" i="6" s="1"/>
  <c r="BH57" i="6" a="1"/>
  <c r="BH57" i="6" s="1"/>
  <c r="AZ106" i="6" a="1"/>
  <c r="AZ106" i="6" s="1"/>
  <c r="BL23" i="6" a="1"/>
  <c r="BL23" i="6" s="1"/>
  <c r="BL48" i="6" a="1"/>
  <c r="BL48" i="6" s="1"/>
  <c r="BL84" i="6" a="1"/>
  <c r="BL84" i="6" s="1"/>
  <c r="BH68" i="6" a="1"/>
  <c r="BH68" i="6" s="1"/>
  <c r="AZ34" i="6" a="1"/>
  <c r="AZ34" i="6" s="1"/>
  <c r="AZ86" i="6" a="1"/>
  <c r="AZ86" i="6" s="1"/>
  <c r="AZ85" i="6" a="1"/>
  <c r="AZ85" i="6" s="1"/>
  <c r="BH89" i="6" a="1"/>
  <c r="BH89" i="6" s="1"/>
  <c r="BL80" i="6" a="1"/>
  <c r="BL80" i="6" s="1"/>
  <c r="AZ93" i="6" a="1"/>
  <c r="AZ93" i="6" s="1"/>
  <c r="BL71" i="6" a="1"/>
  <c r="BL71" i="6" s="1"/>
  <c r="BL95" i="6" a="1"/>
  <c r="BL95" i="6" s="1"/>
  <c r="BH62" i="6" a="1"/>
  <c r="BH62" i="6" s="1"/>
  <c r="BL15" i="6" a="1"/>
  <c r="BL15" i="6" s="1"/>
  <c r="BL41" i="6" a="1"/>
  <c r="BL41" i="6" s="1"/>
  <c r="AZ76" i="6" a="1"/>
  <c r="AZ76" i="6" s="1"/>
  <c r="BL29" i="6" a="1"/>
  <c r="BL29" i="6" s="1"/>
  <c r="BL60" i="6" a="1"/>
  <c r="BL60" i="6" s="1"/>
  <c r="BL46" i="6" a="1"/>
  <c r="BL46" i="6" s="1"/>
  <c r="BH29" i="6" a="1"/>
  <c r="BH29" i="6" s="1"/>
  <c r="BL45" i="6" a="1"/>
  <c r="BL45" i="6" s="1"/>
  <c r="BH33" i="6" a="1"/>
  <c r="BH33" i="6" s="1"/>
  <c r="BD26" i="6" a="1"/>
  <c r="BD26" i="6" s="1"/>
  <c r="BH71" i="6" a="1"/>
  <c r="BH71" i="6" s="1"/>
  <c r="BH28" i="6" a="1"/>
  <c r="BH28" i="6" s="1"/>
  <c r="BD55" i="6" a="1"/>
  <c r="BD55" i="6" s="1"/>
  <c r="BD16" i="6" a="1"/>
  <c r="BD16" i="6" s="1"/>
  <c r="AZ70" i="6" a="1"/>
  <c r="AZ70" i="6" s="1"/>
  <c r="BH40" i="6" a="1"/>
  <c r="BH40" i="6" s="1"/>
  <c r="BH82" i="6" a="1"/>
  <c r="BH82" i="6" s="1"/>
  <c r="BD98" i="6" a="1"/>
  <c r="BD98" i="6" s="1"/>
  <c r="BL56" i="6" a="1"/>
  <c r="BL56" i="6" s="1"/>
  <c r="AZ18" i="6" a="1"/>
  <c r="AZ18" i="6" s="1"/>
  <c r="BL97" i="6" a="1"/>
  <c r="BL97" i="6" s="1"/>
  <c r="BH99" i="6" a="1"/>
  <c r="BH99" i="6" s="1"/>
  <c r="BL92" i="6" a="1"/>
  <c r="BL92" i="6" s="1"/>
  <c r="BH10" i="6" a="1"/>
  <c r="BH10" i="6" s="1"/>
  <c r="BH73" i="6" a="1"/>
  <c r="BH73" i="6" s="1"/>
  <c r="BD62" i="6" a="1"/>
  <c r="BD62" i="6" s="1"/>
  <c r="M6" i="9" l="1"/>
  <c r="H6" i="9" s="1"/>
  <c r="U5" i="9"/>
  <c r="M7" i="9" l="1"/>
  <c r="H7" i="9" s="1"/>
  <c r="M8" i="9" l="1"/>
  <c r="H8" i="9" s="1"/>
  <c r="M9" i="9" l="1"/>
  <c r="H9" i="9" s="1"/>
  <c r="M10" i="9" l="1"/>
  <c r="H10" i="9" s="1"/>
  <c r="M11" i="9" l="1"/>
  <c r="H11" i="9" s="1"/>
  <c r="M12" i="9" l="1"/>
  <c r="H12" i="9" s="1"/>
  <c r="M13" i="9" l="1"/>
  <c r="H13" i="9" s="1"/>
  <c r="M14" i="9" l="1"/>
  <c r="H14" i="9" s="1"/>
  <c r="M15" i="9" l="1"/>
  <c r="H15" i="9" s="1"/>
  <c r="M16" i="9" l="1"/>
  <c r="H16" i="9" s="1"/>
  <c r="M17" i="9" l="1"/>
  <c r="H17" i="9" s="1"/>
  <c r="M18" i="9" l="1"/>
  <c r="H18" i="9" s="1"/>
  <c r="M19" i="9" l="1"/>
  <c r="H19" i="9" s="1"/>
  <c r="M20" i="9" l="1"/>
  <c r="H20" i="9" s="1"/>
  <c r="M21" i="9" l="1"/>
  <c r="H21" i="9" s="1"/>
  <c r="M22" i="9" l="1"/>
  <c r="H22" i="9" s="1"/>
  <c r="M23" i="9" l="1"/>
  <c r="H23" i="9" s="1"/>
  <c r="M24" i="9" l="1"/>
  <c r="H24" i="9" s="1"/>
  <c r="M25" i="9" l="1"/>
  <c r="H25" i="9" s="1"/>
  <c r="M26" i="9" l="1"/>
  <c r="H26" i="9" s="1"/>
  <c r="M27" i="9" l="1"/>
  <c r="H27" i="9" s="1"/>
  <c r="M29" i="9"/>
  <c r="M28" i="9" l="1"/>
  <c r="H28" i="9" s="1"/>
  <c r="M30" i="9"/>
  <c r="H30" i="9" s="1"/>
  <c r="M31" i="9" l="1"/>
  <c r="H31" i="9" s="1"/>
  <c r="AX7" i="6" a="1"/>
  <c r="AX7" i="6" s="1"/>
  <c r="M32" i="9" l="1"/>
  <c r="H32" i="9" s="1"/>
  <c r="M33" i="9" l="1"/>
  <c r="H33" i="9" s="1"/>
  <c r="AI3" i="8"/>
  <c r="G8" i="6" a="1"/>
  <c r="G8" i="6" s="1"/>
  <c r="D8" i="6" a="1"/>
  <c r="D8" i="6" s="1"/>
  <c r="F8" i="6" a="1"/>
  <c r="F8" i="6" s="1"/>
  <c r="G33" i="6" a="1"/>
  <c r="G33" i="6" s="1"/>
  <c r="G36" i="6" a="1"/>
  <c r="G36" i="6" s="1"/>
  <c r="G25" i="6" a="1"/>
  <c r="G25" i="6" s="1"/>
  <c r="G44" i="6" a="1"/>
  <c r="G44" i="6" s="1"/>
  <c r="G30" i="6" a="1"/>
  <c r="G30" i="6" s="1"/>
  <c r="G19" i="6" a="1"/>
  <c r="G19" i="6" s="1"/>
  <c r="F47" i="6" a="1"/>
  <c r="F47" i="6" s="1"/>
  <c r="G28" i="6" a="1"/>
  <c r="G28" i="6" s="1"/>
  <c r="F20" i="6" a="1"/>
  <c r="F20" i="6" s="1"/>
  <c r="F49" i="6" a="1"/>
  <c r="F49" i="6" s="1"/>
  <c r="G49" i="6" a="1"/>
  <c r="G49" i="6" s="1"/>
  <c r="G42" i="6" a="1"/>
  <c r="G42" i="6" s="1"/>
  <c r="G16" i="6" a="1"/>
  <c r="G16" i="6" s="1"/>
  <c r="G13" i="6" a="1"/>
  <c r="G13" i="6" s="1"/>
  <c r="G41" i="6" a="1"/>
  <c r="G41" i="6" s="1"/>
  <c r="G17" i="6" a="1"/>
  <c r="G17" i="6" s="1"/>
  <c r="F22" i="6" a="1"/>
  <c r="F22" i="6" s="1"/>
  <c r="G35" i="6" a="1"/>
  <c r="G35" i="6" s="1"/>
  <c r="F14" i="6" a="1"/>
  <c r="F14" i="6" s="1"/>
  <c r="G31" i="6" a="1"/>
  <c r="G31" i="6" s="1"/>
  <c r="G27" i="6" a="1"/>
  <c r="G27" i="6" s="1"/>
  <c r="G14" i="6" a="1"/>
  <c r="G14" i="6" s="1"/>
  <c r="F13" i="6" a="1"/>
  <c r="F13" i="6" s="1"/>
  <c r="F17" i="6" a="1"/>
  <c r="F17" i="6" s="1"/>
  <c r="G45" i="6" a="1"/>
  <c r="G45" i="6" s="1"/>
  <c r="F16" i="6" a="1"/>
  <c r="F16" i="6" s="1"/>
  <c r="F39" i="6" a="1"/>
  <c r="F39" i="6" s="1"/>
  <c r="F50" i="6" a="1"/>
  <c r="F50" i="6" s="1"/>
  <c r="G38" i="6" a="1"/>
  <c r="G38" i="6" s="1"/>
  <c r="G50" i="6" a="1"/>
  <c r="G50" i="6" s="1"/>
  <c r="F42" i="6" a="1"/>
  <c r="F42" i="6" s="1"/>
  <c r="G24" i="6" a="1"/>
  <c r="G24" i="6" s="1"/>
  <c r="D24" i="6" a="1"/>
  <c r="D24" i="6" s="1"/>
  <c r="F33" i="6" a="1"/>
  <c r="F33" i="6" s="1"/>
  <c r="F25" i="6" a="1"/>
  <c r="F25" i="6" s="1"/>
  <c r="D45" i="6" a="1"/>
  <c r="D45" i="6" s="1"/>
  <c r="F38" i="6" a="1"/>
  <c r="F38" i="6" s="1"/>
  <c r="G47" i="6" a="1"/>
  <c r="G47" i="6" s="1"/>
  <c r="F24" i="6" a="1"/>
  <c r="F24" i="6" s="1"/>
  <c r="AI4" i="8"/>
  <c r="F35" i="6" a="1"/>
  <c r="F35" i="6" s="1"/>
  <c r="D25" i="6" a="1"/>
  <c r="D25" i="6" s="1"/>
  <c r="F36" i="6" a="1"/>
  <c r="F36" i="6" s="1"/>
  <c r="D20" i="6" a="1"/>
  <c r="D20" i="6" s="1"/>
  <c r="D27" i="6" a="1"/>
  <c r="D27" i="6" s="1"/>
  <c r="F27" i="6" a="1"/>
  <c r="F27" i="6" s="1"/>
  <c r="F41" i="6" a="1"/>
  <c r="F41" i="6" s="1"/>
  <c r="F31" i="6" a="1"/>
  <c r="F31" i="6" s="1"/>
  <c r="D47" i="6" a="1"/>
  <c r="D47" i="6" s="1"/>
  <c r="D41" i="6" a="1"/>
  <c r="D41" i="6" s="1"/>
  <c r="D36" i="6" a="1"/>
  <c r="D36" i="6" s="1"/>
  <c r="G22" i="6" a="1"/>
  <c r="G22" i="6" s="1"/>
  <c r="D49" i="6" a="1"/>
  <c r="D49" i="6" s="1"/>
  <c r="D17" i="6" a="1"/>
  <c r="D17" i="6" s="1"/>
  <c r="D19" i="6" a="1"/>
  <c r="D19" i="6" s="1"/>
  <c r="D38" i="6" a="1"/>
  <c r="D38" i="6" s="1"/>
  <c r="D44" i="6" a="1"/>
  <c r="D44" i="6" s="1"/>
  <c r="F19" i="6" a="1"/>
  <c r="F19" i="6" s="1"/>
  <c r="F28" i="6" a="1"/>
  <c r="F28" i="6" s="1"/>
  <c r="D16" i="6" a="1"/>
  <c r="D16" i="6" s="1"/>
  <c r="D35" i="6" a="1"/>
  <c r="D35" i="6" s="1"/>
  <c r="D33" i="6" a="1"/>
  <c r="D33" i="6" s="1"/>
  <c r="D30" i="6" a="1"/>
  <c r="D30" i="6" s="1"/>
  <c r="F44" i="6" a="1"/>
  <c r="F44" i="6" s="1"/>
  <c r="F30" i="6" a="1"/>
  <c r="F30" i="6" s="1"/>
  <c r="D50" i="6" a="1"/>
  <c r="D50" i="6" s="1"/>
  <c r="G39" i="6" a="1"/>
  <c r="G39" i="6" s="1"/>
  <c r="F45" i="6" a="1"/>
  <c r="F45" i="6" s="1"/>
  <c r="D42" i="6" a="1"/>
  <c r="D42" i="6" s="1"/>
  <c r="G20" i="6" a="1"/>
  <c r="G20" i="6" s="1"/>
  <c r="D28" i="6" a="1"/>
  <c r="D28" i="6" s="1"/>
  <c r="D22" i="6" a="1"/>
  <c r="D22" i="6" s="1"/>
  <c r="D13" i="6" a="1"/>
  <c r="D13" i="6" s="1"/>
  <c r="D14" i="6" a="1"/>
  <c r="D14" i="6" s="1"/>
  <c r="D39" i="6" a="1"/>
  <c r="D39" i="6" s="1"/>
  <c r="D31" i="6" a="1"/>
  <c r="D31" i="6" s="1"/>
  <c r="AI8" i="8"/>
  <c r="AI27" i="8"/>
  <c r="AI24" i="8"/>
  <c r="AI13" i="8"/>
  <c r="AI19" i="8"/>
  <c r="AI26" i="8"/>
  <c r="AI16" i="8"/>
  <c r="AI18" i="8"/>
  <c r="AI22" i="8"/>
  <c r="AI9" i="8"/>
  <c r="AI7" i="8"/>
  <c r="AJ7" i="6"/>
  <c r="AI28" i="8"/>
  <c r="AI11" i="8"/>
  <c r="AI17" i="8"/>
  <c r="AI25" i="8"/>
  <c r="AI29" i="8"/>
  <c r="AI6" i="8"/>
  <c r="AI20" i="8"/>
  <c r="AI23" i="8"/>
  <c r="AI12" i="8"/>
  <c r="AI10" i="8"/>
  <c r="AI14" i="8"/>
  <c r="AI15" i="8"/>
  <c r="AI5" i="8"/>
  <c r="AI21" i="8"/>
  <c r="AI11" i="6" a="1"/>
  <c r="AI11" i="6" s="1"/>
  <c r="AI64" i="6" a="1"/>
  <c r="AI64" i="6" s="1"/>
  <c r="G56" i="6" a="1"/>
  <c r="G56" i="6" s="1"/>
  <c r="AM35" i="6" a="1"/>
  <c r="AM35" i="6" s="1"/>
  <c r="O77" i="6" a="1"/>
  <c r="O77" i="6" s="1"/>
  <c r="K99" i="6" a="1"/>
  <c r="K99" i="6" s="1"/>
  <c r="G60" i="6" a="1"/>
  <c r="G60" i="6" s="1"/>
  <c r="N88" i="6" a="1"/>
  <c r="N88" i="6" s="1"/>
  <c r="O92" i="6" a="1"/>
  <c r="O92" i="6" s="1"/>
  <c r="AI72" i="6" a="1"/>
  <c r="AI72" i="6" s="1"/>
  <c r="AM79" i="6" a="1"/>
  <c r="AM79" i="6" s="1"/>
  <c r="G61" i="6" a="1"/>
  <c r="G61" i="6" s="1"/>
  <c r="AM85" i="6" a="1"/>
  <c r="AM85" i="6" s="1"/>
  <c r="AM81" i="6" a="1"/>
  <c r="AM81" i="6" s="1"/>
  <c r="AI58" i="6" a="1"/>
  <c r="AI58" i="6" s="1"/>
  <c r="G64" i="6" a="1"/>
  <c r="G64" i="6" s="1"/>
  <c r="K56" i="6" a="1"/>
  <c r="K56" i="6" s="1"/>
  <c r="AA17" i="6" a="1"/>
  <c r="AA17" i="6" s="1"/>
  <c r="V88" i="6" a="1"/>
  <c r="V88" i="6" s="1"/>
  <c r="AA48" i="6" a="1"/>
  <c r="AA48" i="6" s="1"/>
  <c r="AI53" i="6" a="1"/>
  <c r="AI53" i="6" s="1"/>
  <c r="O93" i="6" a="1"/>
  <c r="O93" i="6" s="1"/>
  <c r="AD62" i="6" a="1"/>
  <c r="AD62" i="6" s="1"/>
  <c r="AQ27" i="6" a="1"/>
  <c r="AQ27" i="6" s="1"/>
  <c r="W45" i="6" a="1"/>
  <c r="W45" i="6" s="1"/>
  <c r="S64" i="6" a="1"/>
  <c r="S64" i="6" s="1"/>
  <c r="AD22" i="6" a="1"/>
  <c r="AD22" i="6" s="1"/>
  <c r="AE79" i="6" a="1"/>
  <c r="AE79" i="6" s="1"/>
  <c r="Z96" i="6" a="1"/>
  <c r="Z96" i="6" s="1"/>
  <c r="W101" i="6" a="1"/>
  <c r="W101" i="6" s="1"/>
  <c r="K87" i="6" a="1"/>
  <c r="K87" i="6" s="1"/>
  <c r="AE70" i="6" a="1"/>
  <c r="AE70" i="6" s="1"/>
  <c r="R45" i="6" a="1"/>
  <c r="R45" i="6" s="1"/>
  <c r="W9" i="6" a="1"/>
  <c r="W9" i="6" s="1"/>
  <c r="AM61" i="6" a="1"/>
  <c r="AM61" i="6" s="1"/>
  <c r="AQ36" i="6" a="1"/>
  <c r="AQ36" i="6" s="1"/>
  <c r="AQ24" i="6" a="1"/>
  <c r="AQ24" i="6" s="1"/>
  <c r="W76" i="6" a="1"/>
  <c r="W76" i="6" s="1"/>
  <c r="G86" i="6" a="1"/>
  <c r="G86" i="6" s="1"/>
  <c r="AQ62" i="6" a="1"/>
  <c r="AQ62" i="6" s="1"/>
  <c r="AA81" i="6" a="1"/>
  <c r="AA81" i="6" s="1"/>
  <c r="K18" i="6" a="1"/>
  <c r="K18" i="6" s="1"/>
  <c r="AA79" i="6" a="1"/>
  <c r="AA79" i="6" s="1"/>
  <c r="S46" i="6" a="1"/>
  <c r="S46" i="6" s="1"/>
  <c r="G70" i="6" a="1"/>
  <c r="G70" i="6" s="1"/>
  <c r="W47" i="6" a="1"/>
  <c r="W47" i="6" s="1"/>
  <c r="AQ22" i="6" a="1"/>
  <c r="AQ22" i="6" s="1"/>
  <c r="K11" i="6" a="1"/>
  <c r="K11" i="6" s="1"/>
  <c r="K98" i="6" a="1"/>
  <c r="K98" i="6" s="1"/>
  <c r="S67" i="6" a="1"/>
  <c r="S67" i="6" s="1"/>
  <c r="AD13" i="6" a="1"/>
  <c r="AD13" i="6" s="1"/>
  <c r="S39" i="6" a="1"/>
  <c r="S39" i="6" s="1"/>
  <c r="R89" i="6" a="1"/>
  <c r="R89" i="6" s="1"/>
  <c r="K58" i="6" a="1"/>
  <c r="K58" i="6" s="1"/>
  <c r="AQ104" i="6" a="1"/>
  <c r="AQ104" i="6" s="1"/>
  <c r="AA60" i="6" a="1"/>
  <c r="AA60" i="6" s="1"/>
  <c r="AM99" i="6" a="1"/>
  <c r="AM99" i="6" s="1"/>
  <c r="K22" i="6" a="1"/>
  <c r="K22" i="6" s="1"/>
  <c r="N33" i="6" a="1"/>
  <c r="N33" i="6" s="1"/>
  <c r="K77" i="6" a="1"/>
  <c r="K77" i="6" s="1"/>
  <c r="K91" i="6" a="1"/>
  <c r="K91" i="6" s="1"/>
  <c r="AI99" i="6" a="1"/>
  <c r="AI99" i="6" s="1"/>
  <c r="O30" i="6" a="1"/>
  <c r="O30" i="6" s="1"/>
  <c r="AM94" i="6" a="1"/>
  <c r="AM94" i="6" s="1"/>
  <c r="AQ39" i="6" a="1"/>
  <c r="AQ39" i="6" s="1"/>
  <c r="G34" i="6" a="1"/>
  <c r="G34" i="6" s="1"/>
  <c r="Z92" i="6" a="1"/>
  <c r="Z92" i="6" s="1"/>
  <c r="Z105" i="6" a="1"/>
  <c r="Z105" i="6" s="1"/>
  <c r="S44" i="6" a="1"/>
  <c r="S44" i="6" s="1"/>
  <c r="R43" i="6" a="1"/>
  <c r="R43" i="6" s="1"/>
  <c r="F48" i="6" a="1"/>
  <c r="F48" i="6" s="1"/>
  <c r="N8" i="6" a="1"/>
  <c r="N8" i="6" s="1"/>
  <c r="AH11" i="6" a="1"/>
  <c r="AH11" i="6" s="1"/>
  <c r="O21" i="6" a="1"/>
  <c r="O21" i="6" s="1"/>
  <c r="AM100" i="6" a="1"/>
  <c r="AM100" i="6" s="1"/>
  <c r="S48" i="6" a="1"/>
  <c r="S48" i="6" s="1"/>
  <c r="J93" i="6" a="1"/>
  <c r="J93" i="6" s="1"/>
  <c r="S83" i="6" a="1"/>
  <c r="S83" i="6" s="1"/>
  <c r="J106" i="6" a="1"/>
  <c r="J106" i="6" s="1"/>
  <c r="D65" i="6" a="1"/>
  <c r="D65" i="6" s="1"/>
  <c r="S89" i="6" a="1"/>
  <c r="S89" i="6" s="1"/>
  <c r="K48" i="6" a="1"/>
  <c r="K48" i="6" s="1"/>
  <c r="Z103" i="6" a="1"/>
  <c r="Z103" i="6" s="1"/>
  <c r="N16" i="6" a="1"/>
  <c r="N16" i="6" s="1"/>
  <c r="AE30" i="6" a="1"/>
  <c r="AE30" i="6" s="1"/>
  <c r="O63" i="6" a="1"/>
  <c r="O63" i="6" s="1"/>
  <c r="W11" i="6" a="1"/>
  <c r="W11" i="6" s="1"/>
  <c r="K29" i="6" a="1"/>
  <c r="K29" i="6" s="1"/>
  <c r="V20" i="6" a="1"/>
  <c r="V20" i="6" s="1"/>
  <c r="S45" i="6" a="1"/>
  <c r="S45" i="6" s="1"/>
  <c r="S50" i="6" a="1"/>
  <c r="S50" i="6" s="1"/>
  <c r="G105" i="6" a="1"/>
  <c r="G105" i="6" s="1"/>
  <c r="K21" i="6" a="1"/>
  <c r="K21" i="6" s="1"/>
  <c r="AI86" i="6" a="1"/>
  <c r="AI86" i="6" s="1"/>
  <c r="AM83" i="6" a="1"/>
  <c r="AM83" i="6" s="1"/>
  <c r="AL7" i="6" a="1"/>
  <c r="AL7" i="6" s="1"/>
  <c r="W71" i="6" a="1"/>
  <c r="W71" i="6" s="1"/>
  <c r="AE57" i="6" a="1"/>
  <c r="AE57" i="6" s="1"/>
  <c r="S36" i="6" a="1"/>
  <c r="S36" i="6" s="1"/>
  <c r="AJ84" i="6" a="1"/>
  <c r="AJ84" i="6" s="1"/>
  <c r="AI52" i="6" a="1"/>
  <c r="AI52" i="6" s="1"/>
  <c r="AA58" i="6" a="1"/>
  <c r="AA58" i="6" s="1"/>
  <c r="AJ88" i="6" a="1"/>
  <c r="AJ88" i="6" s="1"/>
  <c r="AP15" i="6" a="1"/>
  <c r="AP15" i="6" s="1"/>
  <c r="AM66" i="6" a="1"/>
  <c r="AM66" i="6" s="1"/>
  <c r="K14" i="6" a="1"/>
  <c r="K14" i="6" s="1"/>
  <c r="K79" i="6" a="1"/>
  <c r="K79" i="6" s="1"/>
  <c r="AM36" i="6" a="1"/>
  <c r="AM36" i="6" s="1"/>
  <c r="O71" i="6" a="1"/>
  <c r="O71" i="6" s="1"/>
  <c r="S51" i="6" a="1"/>
  <c r="S51" i="6" s="1"/>
  <c r="AQ67" i="6" a="1"/>
  <c r="AQ67" i="6" s="1"/>
  <c r="AQ102" i="6" a="1"/>
  <c r="AQ102" i="6" s="1"/>
  <c r="G75" i="6" a="1"/>
  <c r="G75" i="6" s="1"/>
  <c r="O14" i="6" a="1"/>
  <c r="O14" i="6" s="1"/>
  <c r="AM17" i="6" a="1"/>
  <c r="AM17" i="6" s="1"/>
  <c r="G55" i="6" a="1"/>
  <c r="G55" i="6" s="1"/>
  <c r="J39" i="6" a="1"/>
  <c r="J39" i="6" s="1"/>
  <c r="AQ31" i="6" a="1"/>
  <c r="AQ31" i="6" s="1"/>
  <c r="W68" i="6" a="1"/>
  <c r="W68" i="6" s="1"/>
  <c r="S86" i="6" a="1"/>
  <c r="S86" i="6" s="1"/>
  <c r="AM9" i="6" a="1"/>
  <c r="AM9" i="6" s="1"/>
  <c r="S16" i="6" a="1"/>
  <c r="S16" i="6" s="1"/>
  <c r="N92" i="6" a="1"/>
  <c r="N92" i="6" s="1"/>
  <c r="AQ90" i="6" a="1"/>
  <c r="AQ90" i="6" s="1"/>
  <c r="AH48" i="6" a="1"/>
  <c r="AH48" i="6" s="1"/>
  <c r="K15" i="6" a="1"/>
  <c r="K15" i="6" s="1"/>
  <c r="O41" i="6" a="1"/>
  <c r="O41" i="6" s="1"/>
  <c r="AD48" i="6" a="1"/>
  <c r="AD48" i="6" s="1"/>
  <c r="S84" i="6" a="1"/>
  <c r="S84" i="6" s="1"/>
  <c r="S92" i="6" a="1"/>
  <c r="S92" i="6" s="1"/>
  <c r="J104" i="6" a="1"/>
  <c r="J104" i="6" s="1"/>
  <c r="V17" i="6" a="1"/>
  <c r="V17" i="6" s="1"/>
  <c r="AA65" i="6" a="1"/>
  <c r="AA65" i="6" s="1"/>
  <c r="AQ28" i="6" a="1"/>
  <c r="AQ28" i="6" s="1"/>
  <c r="AA106" i="6" a="1"/>
  <c r="AA106" i="6" s="1"/>
  <c r="AM28" i="6" a="1"/>
  <c r="AM28" i="6" s="1"/>
  <c r="AQ19" i="6" a="1"/>
  <c r="AQ19" i="6" s="1"/>
  <c r="G51" i="6" a="1"/>
  <c r="G51" i="6" s="1"/>
  <c r="AP21" i="6" a="1"/>
  <c r="AP21" i="6" s="1"/>
  <c r="F92" i="6" a="1"/>
  <c r="F92" i="6" s="1"/>
  <c r="AM106" i="6" a="1"/>
  <c r="AM106" i="6" s="1"/>
  <c r="AE12" i="6" a="1"/>
  <c r="AE12" i="6" s="1"/>
  <c r="O18" i="6" a="1"/>
  <c r="O18" i="6" s="1"/>
  <c r="W90" i="6" a="1"/>
  <c r="W90" i="6" s="1"/>
  <c r="S25" i="6" a="1"/>
  <c r="S25" i="6" s="1"/>
  <c r="G102" i="6" a="1"/>
  <c r="G102" i="6" s="1"/>
  <c r="AN12" i="6" a="1"/>
  <c r="AN12" i="6" s="1"/>
  <c r="AE24" i="6" a="1"/>
  <c r="AE24" i="6" s="1"/>
  <c r="AE82" i="6" a="1"/>
  <c r="AE82" i="6" s="1"/>
  <c r="G57" i="6" a="1"/>
  <c r="G57" i="6" s="1"/>
  <c r="AI96" i="6" a="1"/>
  <c r="AI96" i="6" s="1"/>
  <c r="K86" i="6" a="1"/>
  <c r="K86" i="6" s="1"/>
  <c r="AP42" i="6" a="1"/>
  <c r="AP42" i="6" s="1"/>
  <c r="AA37" i="6" a="1"/>
  <c r="AA37" i="6" s="1"/>
  <c r="K60" i="6" a="1"/>
  <c r="K60" i="6" s="1"/>
  <c r="AM89" i="6" a="1"/>
  <c r="AM89" i="6" s="1"/>
  <c r="S90" i="6" a="1"/>
  <c r="S90" i="6" s="1"/>
  <c r="K66" i="6" a="1"/>
  <c r="K66" i="6" s="1"/>
  <c r="K74" i="6" a="1"/>
  <c r="K74" i="6" s="1"/>
  <c r="F12" i="6" a="1"/>
  <c r="F12" i="6" s="1"/>
  <c r="W94" i="6" a="1"/>
  <c r="W94" i="6" s="1"/>
  <c r="O91" i="6" a="1"/>
  <c r="O91" i="6" s="1"/>
  <c r="AI84" i="6" a="1"/>
  <c r="AI84" i="6" s="1"/>
  <c r="O86" i="6" a="1"/>
  <c r="O86" i="6" s="1"/>
  <c r="AL33" i="6" a="1"/>
  <c r="AL33" i="6" s="1"/>
  <c r="T62" i="6" a="1"/>
  <c r="T62" i="6" s="1"/>
  <c r="AM51" i="6" a="1"/>
  <c r="AM51" i="6" s="1"/>
  <c r="O7" i="6" a="1"/>
  <c r="O7" i="6" s="1"/>
  <c r="AD75" i="6" a="1"/>
  <c r="AD75" i="6" s="1"/>
  <c r="AI80" i="6" a="1"/>
  <c r="AI80" i="6" s="1"/>
  <c r="K59" i="6" a="1"/>
  <c r="K59" i="6" s="1"/>
  <c r="AA44" i="6" a="1"/>
  <c r="AA44" i="6" s="1"/>
  <c r="AA31" i="6" a="1"/>
  <c r="AA31" i="6" s="1"/>
  <c r="G91" i="6" a="1"/>
  <c r="G91" i="6" s="1"/>
  <c r="AM74" i="6" a="1"/>
  <c r="AM74" i="6" s="1"/>
  <c r="K39" i="6" a="1"/>
  <c r="K39" i="6" s="1"/>
  <c r="W38" i="6" a="1"/>
  <c r="W38" i="6" s="1"/>
  <c r="AD104" i="6" a="1"/>
  <c r="AD104" i="6" s="1"/>
  <c r="S104" i="6" a="1"/>
  <c r="S104" i="6" s="1"/>
  <c r="O48" i="6" a="1"/>
  <c r="O48" i="6" s="1"/>
  <c r="S78" i="6" a="1"/>
  <c r="S78" i="6" s="1"/>
  <c r="O99" i="6" a="1"/>
  <c r="O99" i="6" s="1"/>
  <c r="G52" i="6" a="1"/>
  <c r="G52" i="6" s="1"/>
  <c r="AD20" i="6" a="1"/>
  <c r="AD20" i="6" s="1"/>
  <c r="K51" i="6" a="1"/>
  <c r="K51" i="6" s="1"/>
  <c r="AE91" i="6" a="1"/>
  <c r="AE91" i="6" s="1"/>
  <c r="S43" i="6" a="1"/>
  <c r="S43" i="6" s="1"/>
  <c r="K69" i="6" a="1"/>
  <c r="K69" i="6" s="1"/>
  <c r="O65" i="6" a="1"/>
  <c r="O65" i="6" s="1"/>
  <c r="AA69" i="6" a="1"/>
  <c r="AA69" i="6" s="1"/>
  <c r="AA103" i="6" a="1"/>
  <c r="AA103" i="6" s="1"/>
  <c r="AP11" i="6" a="1"/>
  <c r="AP11" i="6" s="1"/>
  <c r="Z21" i="6" a="1"/>
  <c r="Z21" i="6" s="1"/>
  <c r="AQ23" i="6" a="1"/>
  <c r="AQ23" i="6" s="1"/>
  <c r="AI22" i="6" a="1"/>
  <c r="AI22" i="6" s="1"/>
  <c r="G54" i="6" a="1"/>
  <c r="G54" i="6" s="1"/>
  <c r="AA33" i="6" a="1"/>
  <c r="AA33" i="6" s="1"/>
  <c r="AI48" i="6" a="1"/>
  <c r="AI48" i="6" s="1"/>
  <c r="W54" i="6" a="1"/>
  <c r="W54" i="6" s="1"/>
  <c r="AA22" i="6" a="1"/>
  <c r="AA22" i="6" s="1"/>
  <c r="O64" i="6" a="1"/>
  <c r="O64" i="6" s="1"/>
  <c r="AI39" i="6" a="1"/>
  <c r="AI39" i="6" s="1"/>
  <c r="AE65" i="6" a="1"/>
  <c r="AE65" i="6" s="1"/>
  <c r="AM101" i="6" a="1"/>
  <c r="AM101" i="6" s="1"/>
  <c r="AD47" i="6" a="1"/>
  <c r="AD47" i="6" s="1"/>
  <c r="O98" i="6" a="1"/>
  <c r="O98" i="6" s="1"/>
  <c r="S21" i="6" a="1"/>
  <c r="S21" i="6" s="1"/>
  <c r="AA91" i="6" a="1"/>
  <c r="AA91" i="6" s="1"/>
  <c r="G15" i="6" a="1"/>
  <c r="G15" i="6" s="1"/>
  <c r="K105" i="6" a="1"/>
  <c r="K105" i="6" s="1"/>
  <c r="AE94" i="6" a="1"/>
  <c r="AE94" i="6" s="1"/>
  <c r="AQ46" i="6" a="1"/>
  <c r="AQ46" i="6" s="1"/>
  <c r="K47" i="6" a="1"/>
  <c r="K47" i="6" s="1"/>
  <c r="AI29" i="6" a="1"/>
  <c r="AI29" i="6" s="1"/>
  <c r="AQ11" i="6" a="1"/>
  <c r="AQ11" i="6" s="1"/>
  <c r="S61" i="6" a="1"/>
  <c r="S61" i="6" s="1"/>
  <c r="K92" i="6" a="1"/>
  <c r="K92" i="6" s="1"/>
  <c r="AE36" i="6" a="1"/>
  <c r="AE36" i="6" s="1"/>
  <c r="G11" i="6" a="1"/>
  <c r="G11" i="6" s="1"/>
  <c r="S60" i="6" a="1"/>
  <c r="S60" i="6" s="1"/>
  <c r="W20" i="6" a="1"/>
  <c r="W20" i="6" s="1"/>
  <c r="AA68" i="6" a="1"/>
  <c r="AA68" i="6" s="1"/>
  <c r="W67" i="6" a="1"/>
  <c r="W67" i="6" s="1"/>
  <c r="AE44" i="6" a="1"/>
  <c r="AE44" i="6" s="1"/>
  <c r="G71" i="6" a="1"/>
  <c r="G71" i="6" s="1"/>
  <c r="W63" i="6" a="1"/>
  <c r="W63" i="6" s="1"/>
  <c r="K43" i="6" a="1"/>
  <c r="K43" i="6" s="1"/>
  <c r="AE52" i="6" a="1"/>
  <c r="AE52" i="6" s="1"/>
  <c r="S58" i="6" a="1"/>
  <c r="S58" i="6" s="1"/>
  <c r="AI54" i="6" a="1"/>
  <c r="AI54" i="6" s="1"/>
  <c r="AE7" i="6" a="1"/>
  <c r="AE7" i="6" s="1"/>
  <c r="AM55" i="6" a="1"/>
  <c r="AM55" i="6" s="1"/>
  <c r="S57" i="6" a="1"/>
  <c r="S57" i="6" s="1"/>
  <c r="AM23" i="6" a="1"/>
  <c r="AM23" i="6" s="1"/>
  <c r="K19" i="6" a="1"/>
  <c r="K19" i="6" s="1"/>
  <c r="AQ72" i="6" a="1"/>
  <c r="AQ72" i="6" s="1"/>
  <c r="V9" i="6" a="1"/>
  <c r="V9" i="6" s="1"/>
  <c r="AM64" i="6" a="1"/>
  <c r="AM64" i="6" s="1"/>
  <c r="O94" i="6" a="1"/>
  <c r="O94" i="6" s="1"/>
  <c r="J103" i="6" a="1"/>
  <c r="J103" i="6" s="1"/>
  <c r="AE90" i="6" a="1"/>
  <c r="AE90" i="6" s="1"/>
  <c r="W25" i="6" a="1"/>
  <c r="W25" i="6" s="1"/>
  <c r="AQ51" i="6" a="1"/>
  <c r="AQ51" i="6" s="1"/>
  <c r="S102" i="6" a="1"/>
  <c r="S102" i="6" s="1"/>
  <c r="AD90" i="6" a="1"/>
  <c r="AD90" i="6" s="1"/>
  <c r="AI89" i="6" a="1"/>
  <c r="AI89" i="6" s="1"/>
  <c r="F40" i="6" a="1"/>
  <c r="F40" i="6" s="1"/>
  <c r="S85" i="6" a="1"/>
  <c r="S85" i="6" s="1"/>
  <c r="F56" i="6" a="1"/>
  <c r="F56" i="6" s="1"/>
  <c r="AA56" i="6" a="1"/>
  <c r="AA56" i="6" s="1"/>
  <c r="AI67" i="6" a="1"/>
  <c r="AI67" i="6" s="1"/>
  <c r="AI74" i="6" a="1"/>
  <c r="AI74" i="6" s="1"/>
  <c r="AI49" i="6" a="1"/>
  <c r="AI49" i="6" s="1"/>
  <c r="AE32" i="6" a="1"/>
  <c r="AE32" i="6" s="1"/>
  <c r="AA45" i="6" a="1"/>
  <c r="AA45" i="6" s="1"/>
  <c r="AQ25" i="6" a="1"/>
  <c r="AQ25" i="6" s="1"/>
  <c r="AM20" i="6" a="1"/>
  <c r="AM20" i="6" s="1"/>
  <c r="AQ20" i="6" a="1"/>
  <c r="AQ20" i="6" s="1"/>
  <c r="K44" i="6" a="1"/>
  <c r="K44" i="6" s="1"/>
  <c r="W48" i="6" a="1"/>
  <c r="W48" i="6" s="1"/>
  <c r="N93" i="6" a="1"/>
  <c r="N93" i="6" s="1"/>
  <c r="AE19" i="6" a="1"/>
  <c r="AE19" i="6" s="1"/>
  <c r="AE35" i="6" a="1"/>
  <c r="AE35" i="6" s="1"/>
  <c r="AE104" i="6" a="1"/>
  <c r="AE104" i="6" s="1"/>
  <c r="W73" i="6" a="1"/>
  <c r="W73" i="6" s="1"/>
  <c r="W91" i="6" a="1"/>
  <c r="W91" i="6" s="1"/>
  <c r="K49" i="6" a="1"/>
  <c r="K49" i="6" s="1"/>
  <c r="O75" i="6" a="1"/>
  <c r="O75" i="6" s="1"/>
  <c r="J72" i="6" a="1"/>
  <c r="J72" i="6" s="1"/>
  <c r="AI78" i="6" a="1"/>
  <c r="AI78" i="6" s="1"/>
  <c r="K40" i="6" a="1"/>
  <c r="K40" i="6" s="1"/>
  <c r="AQ16" i="6" a="1"/>
  <c r="AQ16" i="6" s="1"/>
  <c r="K82" i="6" a="1"/>
  <c r="K82" i="6" s="1"/>
  <c r="AE8" i="6" a="1"/>
  <c r="AE8" i="6" s="1"/>
  <c r="AI103" i="6" a="1"/>
  <c r="AI103" i="6" s="1"/>
  <c r="AL99" i="6" a="1"/>
  <c r="AL99" i="6" s="1"/>
  <c r="K7" i="6" a="1"/>
  <c r="K7" i="6" s="1"/>
  <c r="X60" i="6" a="1"/>
  <c r="X60" i="6" s="1"/>
  <c r="K90" i="6" a="1"/>
  <c r="K90" i="6" s="1"/>
  <c r="AH21" i="6" a="1"/>
  <c r="AH21" i="6" s="1"/>
  <c r="Z9" i="6" a="1"/>
  <c r="Z9" i="6" s="1"/>
  <c r="AE27" i="6" a="1"/>
  <c r="AE27" i="6" s="1"/>
  <c r="O84" i="6" a="1"/>
  <c r="O84" i="6" s="1"/>
  <c r="W87" i="6" a="1"/>
  <c r="W87" i="6" s="1"/>
  <c r="AI12" i="6" a="1"/>
  <c r="AI12" i="6" s="1"/>
  <c r="K96" i="6" a="1"/>
  <c r="K96" i="6" s="1"/>
  <c r="AA67" i="6" a="1"/>
  <c r="AA67" i="6" s="1"/>
  <c r="AI35" i="6" a="1"/>
  <c r="AI35" i="6" s="1"/>
  <c r="S24" i="6" a="1"/>
  <c r="S24" i="6" s="1"/>
  <c r="K13" i="6" a="1"/>
  <c r="K13" i="6" s="1"/>
  <c r="AA99" i="6" a="1"/>
  <c r="AA99" i="6" s="1"/>
  <c r="G93" i="6" a="1"/>
  <c r="G93" i="6" s="1"/>
  <c r="AA84" i="6" a="1"/>
  <c r="AA84" i="6" s="1"/>
  <c r="O42" i="6" a="1"/>
  <c r="O42" i="6" s="1"/>
  <c r="G83" i="6" a="1"/>
  <c r="G83" i="6" s="1"/>
  <c r="N96" i="6" a="1"/>
  <c r="N96" i="6" s="1"/>
  <c r="S12" i="6" a="1"/>
  <c r="S12" i="6" s="1"/>
  <c r="AM43" i="6" a="1"/>
  <c r="AM43" i="6" s="1"/>
  <c r="F73" i="6" a="1"/>
  <c r="F73" i="6" s="1"/>
  <c r="AI79" i="6" a="1"/>
  <c r="AI79" i="6" s="1"/>
  <c r="AD39" i="6" a="1"/>
  <c r="AD39" i="6" s="1"/>
  <c r="AM21" i="6" a="1"/>
  <c r="AM21" i="6" s="1"/>
  <c r="W95" i="6" a="1"/>
  <c r="W95" i="6" s="1"/>
  <c r="AE95" i="6" a="1"/>
  <c r="AE95" i="6" s="1"/>
  <c r="AQ97" i="6" a="1"/>
  <c r="AQ97" i="6" s="1"/>
  <c r="G18" i="6" a="1"/>
  <c r="G18" i="6" s="1"/>
  <c r="AQ14" i="6" a="1"/>
  <c r="AQ14" i="6" s="1"/>
  <c r="L33" i="6" a="1"/>
  <c r="L33" i="6" s="1"/>
  <c r="O22" i="6" a="1"/>
  <c r="O22" i="6" s="1"/>
  <c r="AE42" i="6" a="1"/>
  <c r="AE42" i="6" s="1"/>
  <c r="AQ49" i="6" a="1"/>
  <c r="AQ49" i="6" s="1"/>
  <c r="AM58" i="6" a="1"/>
  <c r="AM58" i="6" s="1"/>
  <c r="AM68" i="6" a="1"/>
  <c r="AM68" i="6" s="1"/>
  <c r="AL87" i="6" a="1"/>
  <c r="AL87" i="6" s="1"/>
  <c r="AA21" i="6" a="1"/>
  <c r="AA21" i="6" s="1"/>
  <c r="N81" i="6" a="1"/>
  <c r="N81" i="6" s="1"/>
  <c r="AI85" i="6" a="1"/>
  <c r="AI85" i="6" s="1"/>
  <c r="AE84" i="6" a="1"/>
  <c r="AE84" i="6" s="1"/>
  <c r="S96" i="6" a="1"/>
  <c r="S96" i="6" s="1"/>
  <c r="K106" i="6" a="1"/>
  <c r="K106" i="6" s="1"/>
  <c r="AM102" i="6" a="1"/>
  <c r="AM102" i="6" s="1"/>
  <c r="AM8" i="6" a="1"/>
  <c r="AM8" i="6" s="1"/>
  <c r="T51" i="6" a="1"/>
  <c r="T51" i="6" s="1"/>
  <c r="P32" i="6" a="1"/>
  <c r="P32" i="6" s="1"/>
  <c r="Z16" i="6" a="1"/>
  <c r="Z16" i="6" s="1"/>
  <c r="Z62" i="6" a="1"/>
  <c r="Z62" i="6" s="1"/>
  <c r="AD100" i="6" a="1"/>
  <c r="AD100" i="6" s="1"/>
  <c r="AI19" i="6" a="1"/>
  <c r="AI19" i="6" s="1"/>
  <c r="K45" i="6" a="1"/>
  <c r="K45" i="6" s="1"/>
  <c r="S29" i="6" a="1"/>
  <c r="S29" i="6" s="1"/>
  <c r="Z24" i="6" a="1"/>
  <c r="Z24" i="6" s="1"/>
  <c r="AN84" i="6" a="1"/>
  <c r="AN84" i="6" s="1"/>
  <c r="R34" i="6" a="1"/>
  <c r="R34" i="6" s="1"/>
  <c r="G106" i="6" a="1"/>
  <c r="G106" i="6" s="1"/>
  <c r="W60" i="6" a="1"/>
  <c r="W60" i="6" s="1"/>
  <c r="S30" i="6" a="1"/>
  <c r="S30" i="6" s="1"/>
  <c r="AQ18" i="6" a="1"/>
  <c r="AQ18" i="6" s="1"/>
  <c r="V13" i="6" a="1"/>
  <c r="V13" i="6" s="1"/>
  <c r="AA39" i="6" a="1"/>
  <c r="AA39" i="6" s="1"/>
  <c r="W85" i="6" a="1"/>
  <c r="W85" i="6" s="1"/>
  <c r="S11" i="6" a="1"/>
  <c r="S11" i="6" s="1"/>
  <c r="AQ48" i="6" a="1"/>
  <c r="AQ48" i="6" s="1"/>
  <c r="AM70" i="6" a="1"/>
  <c r="AM70" i="6" s="1"/>
  <c r="AE31" i="6" a="1"/>
  <c r="AE31" i="6" s="1"/>
  <c r="K8" i="6" a="1"/>
  <c r="K8" i="6" s="1"/>
  <c r="J101" i="6" a="1"/>
  <c r="J101" i="6" s="1"/>
  <c r="S75" i="6" a="1"/>
  <c r="S75" i="6" s="1"/>
  <c r="W77" i="6" a="1"/>
  <c r="W77" i="6" s="1"/>
  <c r="V74" i="6" a="1"/>
  <c r="V74" i="6" s="1"/>
  <c r="N62" i="6" a="1"/>
  <c r="N62" i="6" s="1"/>
  <c r="AI32" i="6" a="1"/>
  <c r="AI32" i="6" s="1"/>
  <c r="W70" i="6" a="1"/>
  <c r="W70" i="6" s="1"/>
  <c r="W7" i="6" a="1"/>
  <c r="W7" i="6" s="1"/>
  <c r="W30" i="6" a="1"/>
  <c r="W30" i="6" s="1"/>
  <c r="AA87" i="6" a="1"/>
  <c r="AA87" i="6" s="1"/>
  <c r="F96" i="6" a="1"/>
  <c r="F96" i="6" s="1"/>
  <c r="AI21" i="6" a="1"/>
  <c r="AI21" i="6" s="1"/>
  <c r="G103" i="6" a="1"/>
  <c r="G103" i="6" s="1"/>
  <c r="W24" i="6" a="1"/>
  <c r="W24" i="6" s="1"/>
  <c r="W69" i="6" a="1"/>
  <c r="W69" i="6" s="1"/>
  <c r="G26" i="6" a="1"/>
  <c r="G26" i="6" s="1"/>
  <c r="S62" i="6" a="1"/>
  <c r="S62" i="6" s="1"/>
  <c r="AD29" i="6" a="1"/>
  <c r="AD29" i="6" s="1"/>
  <c r="AP79" i="6" a="1"/>
  <c r="AP79" i="6" s="1"/>
  <c r="G88" i="6" a="1"/>
  <c r="G88" i="6" s="1"/>
  <c r="AE89" i="6" a="1"/>
  <c r="AE89" i="6" s="1"/>
  <c r="W105" i="6" a="1"/>
  <c r="W105" i="6" s="1"/>
  <c r="J100" i="6" a="1"/>
  <c r="J100" i="6" s="1"/>
  <c r="S105" i="6" a="1"/>
  <c r="S105" i="6" s="1"/>
  <c r="AI92" i="6" a="1"/>
  <c r="AI92" i="6" s="1"/>
  <c r="K94" i="6" a="1"/>
  <c r="K94" i="6" s="1"/>
  <c r="G43" i="6" a="1"/>
  <c r="G43" i="6" s="1"/>
  <c r="J56" i="6" a="1"/>
  <c r="J56" i="6" s="1"/>
  <c r="K80" i="6" a="1"/>
  <c r="K80" i="6" s="1"/>
  <c r="G73" i="6" a="1"/>
  <c r="G73" i="6" s="1"/>
  <c r="AD42" i="6" a="1"/>
  <c r="AD42" i="6" s="1"/>
  <c r="AI50" i="6" a="1"/>
  <c r="AI50" i="6" s="1"/>
  <c r="O100" i="6" a="1"/>
  <c r="O100" i="6" s="1"/>
  <c r="N28" i="6" a="1"/>
  <c r="N28" i="6" s="1"/>
  <c r="P97" i="6" a="1"/>
  <c r="P97" i="6" s="1"/>
  <c r="X89" i="6" a="1"/>
  <c r="X89" i="6" s="1"/>
  <c r="AD11" i="6" a="1"/>
  <c r="AD11" i="6" s="1"/>
  <c r="Z67" i="6" a="1"/>
  <c r="Z67" i="6" s="1"/>
  <c r="K50" i="6" a="1"/>
  <c r="K50" i="6" s="1"/>
  <c r="W23" i="6" a="1"/>
  <c r="W23" i="6" s="1"/>
  <c r="AA105" i="6" a="1"/>
  <c r="AA105" i="6" s="1"/>
  <c r="S28" i="6" a="1"/>
  <c r="S28" i="6" s="1"/>
  <c r="S52" i="6" a="1"/>
  <c r="S52" i="6" s="1"/>
  <c r="AE41" i="6" a="1"/>
  <c r="AE41" i="6" s="1"/>
  <c r="O51" i="6" a="1"/>
  <c r="O51" i="6" s="1"/>
  <c r="AM26" i="6" a="1"/>
  <c r="AM26" i="6" s="1"/>
  <c r="O88" i="6" a="1"/>
  <c r="O88" i="6" s="1"/>
  <c r="K38" i="6" a="1"/>
  <c r="K38" i="6" s="1"/>
  <c r="O55" i="6" a="1"/>
  <c r="O55" i="6" s="1"/>
  <c r="AM7" i="6" a="1"/>
  <c r="AM7" i="6" s="1"/>
  <c r="R103" i="6" a="1"/>
  <c r="R103" i="6" s="1"/>
  <c r="W81" i="6" a="1"/>
  <c r="W81" i="6" s="1"/>
  <c r="R41" i="6" a="1"/>
  <c r="R41" i="6" s="1"/>
  <c r="AM65" i="6" a="1"/>
  <c r="AM65" i="6" s="1"/>
  <c r="J76" i="6" a="1"/>
  <c r="J76" i="6" s="1"/>
  <c r="R74" i="6" a="1"/>
  <c r="R74" i="6" s="1"/>
  <c r="AA29" i="6" a="1"/>
  <c r="AA29" i="6" s="1"/>
  <c r="AE105" i="6" a="1"/>
  <c r="AE105" i="6" s="1"/>
  <c r="G10" i="6" a="1"/>
  <c r="G10" i="6" s="1"/>
  <c r="S9" i="6" a="1"/>
  <c r="S9" i="6" s="1"/>
  <c r="G37" i="6" a="1"/>
  <c r="G37" i="6" s="1"/>
  <c r="AE23" i="6" a="1"/>
  <c r="AE23" i="6" s="1"/>
  <c r="AD56" i="6" a="1"/>
  <c r="AD56" i="6" s="1"/>
  <c r="V84" i="6" a="1"/>
  <c r="V84" i="6" s="1"/>
  <c r="O53" i="6" a="1"/>
  <c r="O53" i="6" s="1"/>
  <c r="AA95" i="6" a="1"/>
  <c r="AA95" i="6" s="1"/>
  <c r="AE14" i="6" a="1"/>
  <c r="AE14" i="6" s="1"/>
  <c r="AI76" i="6" a="1"/>
  <c r="AI76" i="6" s="1"/>
  <c r="AA57" i="6" a="1"/>
  <c r="AA57" i="6" s="1"/>
  <c r="N18" i="6" a="1"/>
  <c r="N18" i="6" s="1"/>
  <c r="J94" i="6" a="1"/>
  <c r="J94" i="6" s="1"/>
  <c r="AP10" i="6" a="1"/>
  <c r="AP10" i="6" s="1"/>
  <c r="S47" i="6" a="1"/>
  <c r="S47" i="6" s="1"/>
  <c r="AE46" i="6" a="1"/>
  <c r="AE46" i="6" s="1"/>
  <c r="N77" i="6" a="1"/>
  <c r="N77" i="6" s="1"/>
  <c r="S54" i="6" a="1"/>
  <c r="S54" i="6" s="1"/>
  <c r="AH16" i="6" a="1"/>
  <c r="AH16" i="6" s="1"/>
  <c r="AI27" i="6" a="1"/>
  <c r="AI27" i="6" s="1"/>
  <c r="AA24" i="6" a="1"/>
  <c r="AA24" i="6" s="1"/>
  <c r="X106" i="6" a="1"/>
  <c r="X106" i="6" s="1"/>
  <c r="AL105" i="6" a="1"/>
  <c r="AL105" i="6" s="1"/>
  <c r="D72" i="6" a="1"/>
  <c r="D72" i="6" s="1"/>
  <c r="L62" i="6" a="1"/>
  <c r="L62" i="6" s="1"/>
  <c r="AB88" i="6" a="1"/>
  <c r="AB88" i="6" s="1"/>
  <c r="AI33" i="6" a="1"/>
  <c r="AI33" i="6" s="1"/>
  <c r="AI65" i="6" a="1"/>
  <c r="AI65" i="6" s="1"/>
  <c r="AM90" i="6" a="1"/>
  <c r="AM90" i="6" s="1"/>
  <c r="O106" i="6" a="1"/>
  <c r="O106" i="6" s="1"/>
  <c r="Z72" i="6" a="1"/>
  <c r="Z72" i="6" s="1"/>
  <c r="G80" i="6" a="1"/>
  <c r="G80" i="6" s="1"/>
  <c r="AP36" i="6" a="1"/>
  <c r="AP36" i="6" s="1"/>
  <c r="AM105" i="6" a="1"/>
  <c r="AM105" i="6" s="1"/>
  <c r="V50" i="6" a="1"/>
  <c r="V50" i="6" s="1"/>
  <c r="AM45" i="6" a="1"/>
  <c r="AM45" i="6" s="1"/>
  <c r="W96" i="6" a="1"/>
  <c r="W96" i="6" s="1"/>
  <c r="P95" i="6" a="1"/>
  <c r="P95" i="6" s="1"/>
  <c r="AE15" i="6" a="1"/>
  <c r="AE15" i="6" s="1"/>
  <c r="W64" i="6" a="1"/>
  <c r="W64" i="6" s="1"/>
  <c r="AD106" i="6" a="1"/>
  <c r="AD106" i="6" s="1"/>
  <c r="K17" i="6" a="1"/>
  <c r="K17" i="6" s="1"/>
  <c r="O28" i="6" a="1"/>
  <c r="O28" i="6" s="1"/>
  <c r="S95" i="6" a="1"/>
  <c r="S95" i="6" s="1"/>
  <c r="F85" i="6" a="1"/>
  <c r="F85" i="6" s="1"/>
  <c r="Z86" i="6" a="1"/>
  <c r="Z86" i="6" s="1"/>
  <c r="AE40" i="6" a="1"/>
  <c r="AE40" i="6" s="1"/>
  <c r="AI66" i="6" a="1"/>
  <c r="AI66" i="6" s="1"/>
  <c r="AM59" i="6" a="1"/>
  <c r="AM59" i="6" s="1"/>
  <c r="Z80" i="6" a="1"/>
  <c r="Z80" i="6" s="1"/>
  <c r="J8" i="6" a="1"/>
  <c r="J8" i="6" s="1"/>
  <c r="AF56" i="6" a="1"/>
  <c r="AF56" i="6" s="1"/>
  <c r="S94" i="6" a="1"/>
  <c r="S94" i="6" s="1"/>
  <c r="V65" i="6" a="1"/>
  <c r="V65" i="6" s="1"/>
  <c r="F26" i="6" a="1"/>
  <c r="F26" i="6" s="1"/>
  <c r="O61" i="6" a="1"/>
  <c r="O61" i="6" s="1"/>
  <c r="K71" i="6" a="1"/>
  <c r="K71" i="6" s="1"/>
  <c r="W53" i="6" a="1"/>
  <c r="W53" i="6" s="1"/>
  <c r="AD92" i="6" a="1"/>
  <c r="AD92" i="6" s="1"/>
  <c r="K78" i="6" a="1"/>
  <c r="K78" i="6" s="1"/>
  <c r="AI104" i="6" a="1"/>
  <c r="AI104" i="6" s="1"/>
  <c r="AQ37" i="6" a="1"/>
  <c r="AQ37" i="6" s="1"/>
  <c r="G63" i="6" a="1"/>
  <c r="G63" i="6" s="1"/>
  <c r="F21" i="6" a="1"/>
  <c r="F21" i="6" s="1"/>
  <c r="AM91" i="6" a="1"/>
  <c r="AM91" i="6" s="1"/>
  <c r="AM12" i="6" a="1"/>
  <c r="AM12" i="6" s="1"/>
  <c r="AE34" i="6" a="1"/>
  <c r="AE34" i="6" s="1"/>
  <c r="AD65" i="6" a="1"/>
  <c r="AD65" i="6" s="1"/>
  <c r="K101" i="6" a="1"/>
  <c r="K101" i="6" s="1"/>
  <c r="AE99" i="6" a="1"/>
  <c r="AE99" i="6" s="1"/>
  <c r="W104" i="6" a="1"/>
  <c r="W104" i="6" s="1"/>
  <c r="K76" i="6" a="1"/>
  <c r="K76" i="6" s="1"/>
  <c r="AE17" i="6" a="1"/>
  <c r="AE17" i="6" s="1"/>
  <c r="AQ92" i="6" a="1"/>
  <c r="AQ92" i="6" s="1"/>
  <c r="R60" i="6" a="1"/>
  <c r="R60" i="6" s="1"/>
  <c r="V98" i="6" a="1"/>
  <c r="V98" i="6" s="1"/>
  <c r="K20" i="6" a="1"/>
  <c r="K20" i="6" s="1"/>
  <c r="O13" i="6" a="1"/>
  <c r="O13" i="6" s="1"/>
  <c r="N35" i="6" a="1"/>
  <c r="N35" i="6" s="1"/>
  <c r="L27" i="6" a="1"/>
  <c r="L27" i="6" s="1"/>
  <c r="L30" i="6" a="1"/>
  <c r="L30" i="6" s="1"/>
  <c r="AD12" i="6" a="1"/>
  <c r="AD12" i="6" s="1"/>
  <c r="AQ87" i="6" a="1"/>
  <c r="AQ87" i="6" s="1"/>
  <c r="W12" i="6" a="1"/>
  <c r="W12" i="6" s="1"/>
  <c r="Z10" i="6" a="1"/>
  <c r="Z10" i="6" s="1"/>
  <c r="AI46" i="6" a="1"/>
  <c r="AI46" i="6" s="1"/>
  <c r="AI13" i="6" a="1"/>
  <c r="AI13" i="6" s="1"/>
  <c r="AM54" i="6" a="1"/>
  <c r="AM54" i="6" s="1"/>
  <c r="F57" i="6" a="1"/>
  <c r="F57" i="6" s="1"/>
  <c r="AQ56" i="6" a="1"/>
  <c r="AQ56" i="6" s="1"/>
  <c r="O17" i="6" a="1"/>
  <c r="O17" i="6" s="1"/>
  <c r="AE76" i="6" a="1"/>
  <c r="AE76" i="6" s="1"/>
  <c r="N36" i="6" a="1"/>
  <c r="N36" i="6" s="1"/>
  <c r="V100" i="6" a="1"/>
  <c r="V100" i="6" s="1"/>
  <c r="AQ50" i="6" a="1"/>
  <c r="AQ50" i="6" s="1"/>
  <c r="AI82" i="6" a="1"/>
  <c r="AI82" i="6" s="1"/>
  <c r="F106" i="6" a="1"/>
  <c r="F106" i="6" s="1"/>
  <c r="W28" i="6" a="1"/>
  <c r="W28" i="6" s="1"/>
  <c r="N97" i="6" a="1"/>
  <c r="N97" i="6" s="1"/>
  <c r="W65" i="6" a="1"/>
  <c r="W65" i="6" s="1"/>
  <c r="N64" i="6" a="1"/>
  <c r="N64" i="6" s="1"/>
  <c r="AQ12" i="6" a="1"/>
  <c r="AQ12" i="6" s="1"/>
  <c r="K85" i="6" a="1"/>
  <c r="K85" i="6" s="1"/>
  <c r="AA85" i="6" a="1"/>
  <c r="AA85" i="6" s="1"/>
  <c r="W35" i="6" a="1"/>
  <c r="W35" i="6" s="1"/>
  <c r="AE61" i="6" a="1"/>
  <c r="AE61" i="6" s="1"/>
  <c r="AE43" i="6" a="1"/>
  <c r="AE43" i="6" s="1"/>
  <c r="AM49" i="6" a="1"/>
  <c r="AM49" i="6" s="1"/>
  <c r="AA83" i="6" a="1"/>
  <c r="AA83" i="6" s="1"/>
  <c r="AE101" i="6" a="1"/>
  <c r="AE101" i="6" s="1"/>
  <c r="AQ21" i="6" a="1"/>
  <c r="AQ21" i="6" s="1"/>
  <c r="O83" i="6" a="1"/>
  <c r="O83" i="6" s="1"/>
  <c r="Z69" i="6" a="1"/>
  <c r="Z69" i="6" s="1"/>
  <c r="P101" i="6" a="1"/>
  <c r="P101" i="6" s="1"/>
  <c r="R16" i="6" a="1"/>
  <c r="R16" i="6" s="1"/>
  <c r="W22" i="6" a="1"/>
  <c r="W22" i="6" s="1"/>
  <c r="O24" i="6" a="1"/>
  <c r="O24" i="6" s="1"/>
  <c r="N47" i="6" a="1"/>
  <c r="N47" i="6" s="1"/>
  <c r="O87" i="6" a="1"/>
  <c r="O87" i="6" s="1"/>
  <c r="Z74" i="6" a="1"/>
  <c r="Z74" i="6" s="1"/>
  <c r="N63" i="6" a="1"/>
  <c r="N63" i="6" s="1"/>
  <c r="R55" i="6" a="1"/>
  <c r="R55" i="6" s="1"/>
  <c r="O72" i="6" a="1"/>
  <c r="O72" i="6" s="1"/>
  <c r="AM104" i="6" a="1"/>
  <c r="AM104" i="6" s="1"/>
  <c r="AA54" i="6" a="1"/>
  <c r="AA54" i="6" s="1"/>
  <c r="O104" i="6" a="1"/>
  <c r="O104" i="6" s="1"/>
  <c r="AI34" i="6" a="1"/>
  <c r="AI34" i="6" s="1"/>
  <c r="AE71" i="6" a="1"/>
  <c r="AE71" i="6" s="1"/>
  <c r="N25" i="6" a="1"/>
  <c r="N25" i="6" s="1"/>
  <c r="K36" i="6" a="1"/>
  <c r="K36" i="6" s="1"/>
  <c r="S20" i="6" a="1"/>
  <c r="S20" i="6" s="1"/>
  <c r="AP8" i="6" a="1"/>
  <c r="AP8" i="6" s="1"/>
  <c r="AI38" i="6" a="1"/>
  <c r="AI38" i="6" s="1"/>
  <c r="O37" i="6" a="1"/>
  <c r="O37" i="6" s="1"/>
  <c r="AL76" i="6" a="1"/>
  <c r="AL76" i="6" s="1"/>
  <c r="K103" i="6" a="1"/>
  <c r="K103" i="6" s="1"/>
  <c r="S66" i="6" a="1"/>
  <c r="S66" i="6" s="1"/>
  <c r="S79" i="6" a="1"/>
  <c r="S79" i="6" s="1"/>
  <c r="R20" i="6" a="1"/>
  <c r="R20" i="6" s="1"/>
  <c r="N30" i="6" a="1"/>
  <c r="N30" i="6" s="1"/>
  <c r="AI68" i="6" a="1"/>
  <c r="AI68" i="6" s="1"/>
  <c r="AH50" i="6" a="1"/>
  <c r="AH50" i="6" s="1"/>
  <c r="AM71" i="6" a="1"/>
  <c r="AM71" i="6" s="1"/>
  <c r="AQ89" i="6" a="1"/>
  <c r="AQ89" i="6" s="1"/>
  <c r="AM11" i="6" a="1"/>
  <c r="AM11" i="6" s="1"/>
  <c r="AE64" i="6" a="1"/>
  <c r="AE64" i="6" s="1"/>
  <c r="S27" i="6" a="1"/>
  <c r="S27" i="6" s="1"/>
  <c r="G76" i="6" a="1"/>
  <c r="G76" i="6" s="1"/>
  <c r="W32" i="6" a="1"/>
  <c r="W32" i="6" s="1"/>
  <c r="AI24" i="6" a="1"/>
  <c r="AI24" i="6" s="1"/>
  <c r="AP77" i="6" a="1"/>
  <c r="AP77" i="6" s="1"/>
  <c r="K68" i="6" a="1"/>
  <c r="K68" i="6" s="1"/>
  <c r="W66" i="6" a="1"/>
  <c r="W66" i="6" s="1"/>
  <c r="AA30" i="6" a="1"/>
  <c r="AA30" i="6" s="1"/>
  <c r="AH79" i="6" a="1"/>
  <c r="AH79" i="6" s="1"/>
  <c r="R15" i="6" a="1"/>
  <c r="R15" i="6" s="1"/>
  <c r="J96" i="6" a="1"/>
  <c r="J96" i="6" s="1"/>
  <c r="AM24" i="6" a="1"/>
  <c r="AM24" i="6" s="1"/>
  <c r="AM41" i="6" a="1"/>
  <c r="AM41" i="6" s="1"/>
  <c r="AM76" i="6" a="1"/>
  <c r="AM76" i="6" s="1"/>
  <c r="AI26" i="6" a="1"/>
  <c r="AI26" i="6" s="1"/>
  <c r="G23" i="6" a="1"/>
  <c r="G23" i="6" s="1"/>
  <c r="S23" i="6" a="1"/>
  <c r="S23" i="6" s="1"/>
  <c r="N95" i="6" a="1"/>
  <c r="N95" i="6" s="1"/>
  <c r="Z45" i="6" a="1"/>
  <c r="Z45" i="6" s="1"/>
  <c r="O78" i="6" a="1"/>
  <c r="O78" i="6" s="1"/>
  <c r="AB87" i="6" a="1"/>
  <c r="AB87" i="6" s="1"/>
  <c r="G59" i="6" a="1"/>
  <c r="G59" i="6" s="1"/>
  <c r="AH93" i="6" a="1"/>
  <c r="AH93" i="6" s="1"/>
  <c r="AB49" i="6" a="1"/>
  <c r="AB49" i="6" s="1"/>
  <c r="AQ81" i="6" a="1"/>
  <c r="AQ81" i="6" s="1"/>
  <c r="O8" i="6" a="1"/>
  <c r="O8" i="6" s="1"/>
  <c r="R18" i="6" a="1"/>
  <c r="R18" i="6" s="1"/>
  <c r="AH85" i="6" a="1"/>
  <c r="AH85" i="6" s="1"/>
  <c r="AE97" i="6" a="1"/>
  <c r="AE97" i="6" s="1"/>
  <c r="AM63" i="6" a="1"/>
  <c r="AM63" i="6" s="1"/>
  <c r="AA102" i="6" a="1"/>
  <c r="AA102" i="6" s="1"/>
  <c r="O23" i="6" a="1"/>
  <c r="O23" i="6" s="1"/>
  <c r="AE68" i="6" a="1"/>
  <c r="AE68" i="6" s="1"/>
  <c r="H88" i="6" a="1"/>
  <c r="H88" i="6" s="1"/>
  <c r="O58" i="6" a="1"/>
  <c r="O58" i="6" s="1"/>
  <c r="N19" i="6" a="1"/>
  <c r="N19" i="6" s="1"/>
  <c r="AJ101" i="6" a="1"/>
  <c r="AJ101" i="6" s="1"/>
  <c r="N80" i="6" a="1"/>
  <c r="N80" i="6" s="1"/>
  <c r="G92" i="6" a="1"/>
  <c r="G92" i="6" s="1"/>
  <c r="O60" i="6" a="1"/>
  <c r="O60" i="6" s="1"/>
  <c r="AL19" i="6" a="1"/>
  <c r="AL19" i="6" s="1"/>
  <c r="D56" i="6" a="1"/>
  <c r="D56" i="6" s="1"/>
  <c r="F78" i="6" a="1"/>
  <c r="F78" i="6" s="1"/>
  <c r="AM25" i="6" a="1"/>
  <c r="AM25" i="6" s="1"/>
  <c r="AJ81" i="6" a="1"/>
  <c r="AJ81" i="6" s="1"/>
  <c r="J13" i="6" a="1"/>
  <c r="J13" i="6" s="1"/>
  <c r="N46" i="6" a="1"/>
  <c r="N46" i="6" s="1"/>
  <c r="AM86" i="6" a="1"/>
  <c r="AM86" i="6" s="1"/>
  <c r="AA82" i="6" a="1"/>
  <c r="AA82" i="6" s="1"/>
  <c r="AL58" i="6" a="1"/>
  <c r="AL58" i="6" s="1"/>
  <c r="F23" i="6" a="1"/>
  <c r="F23" i="6" s="1"/>
  <c r="W80" i="6" a="1"/>
  <c r="W80" i="6" s="1"/>
  <c r="K41" i="6" a="1"/>
  <c r="K41" i="6" s="1"/>
  <c r="AM19" i="6" a="1"/>
  <c r="AM19" i="6" s="1"/>
  <c r="AQ96" i="6" a="1"/>
  <c r="AQ96" i="6" s="1"/>
  <c r="AA15" i="6" a="1"/>
  <c r="AA15" i="6" s="1"/>
  <c r="O105" i="6" a="1"/>
  <c r="O105" i="6" s="1"/>
  <c r="AD77" i="6" a="1"/>
  <c r="AD77" i="6" s="1"/>
  <c r="AQ15" i="6" a="1"/>
  <c r="AQ15" i="6" s="1"/>
  <c r="AA76" i="6" a="1"/>
  <c r="AA76" i="6" s="1"/>
  <c r="J22" i="6" a="1"/>
  <c r="J22" i="6" s="1"/>
  <c r="AL92" i="6" a="1"/>
  <c r="AL92" i="6" s="1"/>
  <c r="W14" i="6" a="1"/>
  <c r="W14" i="6" s="1"/>
  <c r="W86" i="6" a="1"/>
  <c r="W86" i="6" s="1"/>
  <c r="AQ29" i="6" a="1"/>
  <c r="AQ29" i="6" s="1"/>
  <c r="V16" i="6" a="1"/>
  <c r="V16" i="6" s="1"/>
  <c r="AD10" i="6" a="1"/>
  <c r="AD10" i="6" s="1"/>
  <c r="AL98" i="6" a="1"/>
  <c r="AL98" i="6" s="1"/>
  <c r="K9" i="6" a="1"/>
  <c r="K9" i="6" s="1"/>
  <c r="Z15" i="6" a="1"/>
  <c r="Z15" i="6" s="1"/>
  <c r="N102" i="6" a="1"/>
  <c r="N102" i="6" s="1"/>
  <c r="F94" i="6" a="1"/>
  <c r="F94" i="6" s="1"/>
  <c r="R52" i="6" a="1"/>
  <c r="R52" i="6" s="1"/>
  <c r="AA46" i="6" a="1"/>
  <c r="AA46" i="6" s="1"/>
  <c r="AI10" i="6" a="1"/>
  <c r="AI10" i="6" s="1"/>
  <c r="H66" i="6" a="1"/>
  <c r="H66" i="6" s="1"/>
  <c r="W72" i="6" a="1"/>
  <c r="W72" i="6" s="1"/>
  <c r="O38" i="6" a="1"/>
  <c r="O38" i="6" s="1"/>
  <c r="W62" i="6" a="1"/>
  <c r="W62" i="6" s="1"/>
  <c r="V21" i="6" a="1"/>
  <c r="V21" i="6" s="1"/>
  <c r="AF7" i="6" a="1"/>
  <c r="AF7" i="6" s="1"/>
  <c r="F72" i="6" a="1"/>
  <c r="F72" i="6" s="1"/>
  <c r="AA55" i="6" a="1"/>
  <c r="AA55" i="6" s="1"/>
  <c r="Z91" i="6" a="1"/>
  <c r="Z91" i="6" s="1"/>
  <c r="W29" i="6" a="1"/>
  <c r="W29" i="6" s="1"/>
  <c r="AL53" i="6" a="1"/>
  <c r="AL53" i="6" s="1"/>
  <c r="AH69" i="6" a="1"/>
  <c r="AH69" i="6" s="1"/>
  <c r="R86" i="6" a="1"/>
  <c r="R86" i="6" s="1"/>
  <c r="O96" i="6" a="1"/>
  <c r="O96" i="6" s="1"/>
  <c r="J66" i="6" a="1"/>
  <c r="J66" i="6" s="1"/>
  <c r="AI8" i="6" a="1"/>
  <c r="AI8" i="6" s="1"/>
  <c r="J73" i="6" a="1"/>
  <c r="J73" i="6" s="1"/>
  <c r="N105" i="6" a="1"/>
  <c r="N105" i="6" s="1"/>
  <c r="AA61" i="6" a="1"/>
  <c r="AA61" i="6" s="1"/>
  <c r="F52" i="6" a="1"/>
  <c r="F52" i="6" s="1"/>
  <c r="AE59" i="6" a="1"/>
  <c r="AE59" i="6" s="1"/>
  <c r="V96" i="6" a="1"/>
  <c r="V96" i="6" s="1"/>
  <c r="K31" i="6" a="1"/>
  <c r="K31" i="6" s="1"/>
  <c r="AA63" i="6" a="1"/>
  <c r="AA63" i="6" s="1"/>
  <c r="F84" i="6" a="1"/>
  <c r="F84" i="6" s="1"/>
  <c r="AA89" i="6" a="1"/>
  <c r="AA89" i="6" s="1"/>
  <c r="AM78" i="6" a="1"/>
  <c r="AM78" i="6" s="1"/>
  <c r="J47" i="6" a="1"/>
  <c r="J47" i="6" s="1"/>
  <c r="H47" i="6" a="1"/>
  <c r="H47" i="6" s="1"/>
  <c r="F18" i="6" a="1"/>
  <c r="F18" i="6" s="1"/>
  <c r="AQ59" i="6" a="1"/>
  <c r="AQ59" i="6" s="1"/>
  <c r="O27" i="6" a="1"/>
  <c r="O27" i="6" s="1"/>
  <c r="AQ52" i="6" a="1"/>
  <c r="AQ52" i="6" s="1"/>
  <c r="T91" i="6" a="1"/>
  <c r="T91" i="6" s="1"/>
  <c r="N94" i="6" a="1"/>
  <c r="N94" i="6" s="1"/>
  <c r="R24" i="6" a="1"/>
  <c r="R24" i="6" s="1"/>
  <c r="S63" i="6" a="1"/>
  <c r="S63" i="6" s="1"/>
  <c r="AQ58" i="6" a="1"/>
  <c r="AQ58" i="6" s="1"/>
  <c r="W100" i="6" a="1"/>
  <c r="W100" i="6" s="1"/>
  <c r="G65" i="6" a="1"/>
  <c r="G65" i="6" s="1"/>
  <c r="W26" i="6" a="1"/>
  <c r="W26" i="6" s="1"/>
  <c r="F64" i="6" a="1"/>
  <c r="F64" i="6" s="1"/>
  <c r="N103" i="6" a="1"/>
  <c r="N103" i="6" s="1"/>
  <c r="N13" i="6" a="1"/>
  <c r="N13" i="6" s="1"/>
  <c r="O80" i="6" a="1"/>
  <c r="O80" i="6" s="1"/>
  <c r="AB41" i="6" a="1"/>
  <c r="AB41" i="6" s="1"/>
  <c r="X39" i="6" a="1"/>
  <c r="X39" i="6" s="1"/>
  <c r="L32" i="6" a="1"/>
  <c r="L32" i="6" s="1"/>
  <c r="S91" i="6" a="1"/>
  <c r="S91" i="6" s="1"/>
  <c r="AE86" i="6" a="1"/>
  <c r="AE86" i="6" s="1"/>
  <c r="AN65" i="6" a="1"/>
  <c r="AN65" i="6" s="1"/>
  <c r="AE47" i="6" a="1"/>
  <c r="AE47" i="6" s="1"/>
  <c r="AF52" i="6" a="1"/>
  <c r="AF52" i="6" s="1"/>
  <c r="AE33" i="6" a="1"/>
  <c r="AE33" i="6" s="1"/>
  <c r="AE16" i="6" a="1"/>
  <c r="AE16" i="6" s="1"/>
  <c r="W83" i="6" a="1"/>
  <c r="W83" i="6" s="1"/>
  <c r="AP30" i="6" a="1"/>
  <c r="AP30" i="6" s="1"/>
  <c r="R56" i="6" a="1"/>
  <c r="R56" i="6" s="1"/>
  <c r="AM87" i="6" a="1"/>
  <c r="AM87" i="6" s="1"/>
  <c r="S32" i="6" a="1"/>
  <c r="S32" i="6" s="1"/>
  <c r="AE26" i="6" a="1"/>
  <c r="AE26" i="6" s="1"/>
  <c r="S53" i="6" a="1"/>
  <c r="S53" i="6" s="1"/>
  <c r="AM50" i="6" a="1"/>
  <c r="AM50" i="6" s="1"/>
  <c r="G62" i="6" a="1"/>
  <c r="G62" i="6" s="1"/>
  <c r="AA53" i="6" a="1"/>
  <c r="AA53" i="6" s="1"/>
  <c r="N29" i="6" a="1"/>
  <c r="N29" i="6" s="1"/>
  <c r="AL50" i="6" a="1"/>
  <c r="AL50" i="6" s="1"/>
  <c r="J26" i="6" a="1"/>
  <c r="J26" i="6" s="1"/>
  <c r="AD14" i="6" a="1"/>
  <c r="AD14" i="6" s="1"/>
  <c r="AE77" i="6" a="1"/>
  <c r="AE77" i="6" s="1"/>
  <c r="AQ64" i="6" a="1"/>
  <c r="AQ64" i="6" s="1"/>
  <c r="V37" i="6" a="1"/>
  <c r="V37" i="6" s="1"/>
  <c r="AI43" i="6" a="1"/>
  <c r="AI43" i="6" s="1"/>
  <c r="AP60" i="6" a="1"/>
  <c r="AP60" i="6" s="1"/>
  <c r="AH26" i="6" a="1"/>
  <c r="AH26" i="6" s="1"/>
  <c r="V99" i="6" a="1"/>
  <c r="V99" i="6" s="1"/>
  <c r="V67" i="6" a="1"/>
  <c r="V67" i="6" s="1"/>
  <c r="AM38" i="6" a="1"/>
  <c r="AM38" i="6" s="1"/>
  <c r="S88" i="6" a="1"/>
  <c r="S88" i="6" s="1"/>
  <c r="G82" i="6" a="1"/>
  <c r="G82" i="6" s="1"/>
  <c r="AM82" i="6" a="1"/>
  <c r="AM82" i="6" s="1"/>
  <c r="AF79" i="6" a="1"/>
  <c r="AF79" i="6" s="1"/>
  <c r="S55" i="6" a="1"/>
  <c r="S55" i="6" s="1"/>
  <c r="Z54" i="6" a="1"/>
  <c r="Z54" i="6" s="1"/>
  <c r="AB65" i="6" a="1"/>
  <c r="AB65" i="6" s="1"/>
  <c r="AA41" i="6" a="1"/>
  <c r="AA41" i="6" s="1"/>
  <c r="Z90" i="6" a="1"/>
  <c r="Z90" i="6" s="1"/>
  <c r="AI28" i="6" a="1"/>
  <c r="AI28" i="6" s="1"/>
  <c r="V30" i="6" a="1"/>
  <c r="V30" i="6" s="1"/>
  <c r="AH52" i="6" a="1"/>
  <c r="AH52" i="6" s="1"/>
  <c r="N104" i="6" a="1"/>
  <c r="N104" i="6" s="1"/>
  <c r="AM72" i="6" a="1"/>
  <c r="AM72" i="6" s="1"/>
  <c r="N31" i="6" a="1"/>
  <c r="N31" i="6" s="1"/>
  <c r="AD18" i="6" a="1"/>
  <c r="AD18" i="6" s="1"/>
  <c r="W49" i="6" a="1"/>
  <c r="W49" i="6" s="1"/>
  <c r="AA88" i="6" a="1"/>
  <c r="AA88" i="6" s="1"/>
  <c r="AL81" i="6" a="1"/>
  <c r="AL81" i="6" s="1"/>
  <c r="AL66" i="6" a="1"/>
  <c r="AL66" i="6" s="1"/>
  <c r="AA51" i="6" a="1"/>
  <c r="AA51" i="6" s="1"/>
  <c r="AD74" i="6" a="1"/>
  <c r="AD74" i="6" s="1"/>
  <c r="Z23" i="6" a="1"/>
  <c r="Z23" i="6" s="1"/>
  <c r="W34" i="6" a="1"/>
  <c r="W34" i="6" s="1"/>
  <c r="AH51" i="6" a="1"/>
  <c r="AH51" i="6" s="1"/>
  <c r="S71" i="6" a="1"/>
  <c r="S71" i="6" s="1"/>
  <c r="V53" i="6" a="1"/>
  <c r="V53" i="6" s="1"/>
  <c r="AQ53" i="6" a="1"/>
  <c r="AQ53" i="6" s="1"/>
  <c r="AJ12" i="6" a="1"/>
  <c r="AJ12" i="6" s="1"/>
  <c r="X91" i="6" a="1"/>
  <c r="X91" i="6" s="1"/>
  <c r="AI63" i="6" a="1"/>
  <c r="AI63" i="6" s="1"/>
  <c r="AM62" i="6" a="1"/>
  <c r="AM62" i="6" s="1"/>
  <c r="X36" i="6" a="1"/>
  <c r="X36" i="6" s="1"/>
  <c r="AA19" i="6" a="1"/>
  <c r="AA19" i="6" s="1"/>
  <c r="S77" i="6" a="1"/>
  <c r="S77" i="6" s="1"/>
  <c r="AQ106" i="6" a="1"/>
  <c r="AQ106" i="6" s="1"/>
  <c r="AI105" i="6" a="1"/>
  <c r="AI105" i="6" s="1"/>
  <c r="J27" i="6" a="1"/>
  <c r="J27" i="6" s="1"/>
  <c r="AI45" i="6" a="1"/>
  <c r="AI45" i="6" s="1"/>
  <c r="F90" i="6" a="1"/>
  <c r="F90" i="6" s="1"/>
  <c r="AQ73" i="6" a="1"/>
  <c r="AQ73" i="6" s="1"/>
  <c r="Z48" i="6" a="1"/>
  <c r="Z48" i="6" s="1"/>
  <c r="Z25" i="6" a="1"/>
  <c r="Z25" i="6" s="1"/>
  <c r="V95" i="6" a="1"/>
  <c r="V95" i="6" s="1"/>
  <c r="AL73" i="6" a="1"/>
  <c r="AL73" i="6" s="1"/>
  <c r="W74" i="6" a="1"/>
  <c r="W74" i="6" s="1"/>
  <c r="K75" i="6" a="1"/>
  <c r="K75" i="6" s="1"/>
  <c r="R66" i="6" a="1"/>
  <c r="R66" i="6" s="1"/>
  <c r="AE48" i="6" a="1"/>
  <c r="AE48" i="6" s="1"/>
  <c r="AH105" i="6" a="1"/>
  <c r="AH105" i="6" s="1"/>
  <c r="N98" i="6" a="1"/>
  <c r="N98" i="6" s="1"/>
  <c r="AH94" i="6" a="1"/>
  <c r="AH94" i="6" s="1"/>
  <c r="AH14" i="6" a="1"/>
  <c r="AH14" i="6" s="1"/>
  <c r="R105" i="6" a="1"/>
  <c r="R105" i="6" s="1"/>
  <c r="R70" i="6" a="1"/>
  <c r="R70" i="6" s="1"/>
  <c r="AL52" i="6" a="1"/>
  <c r="AL52" i="6" s="1"/>
  <c r="F89" i="6" a="1"/>
  <c r="F89" i="6" s="1"/>
  <c r="AD102" i="6" a="1"/>
  <c r="AD102" i="6" s="1"/>
  <c r="AE74" i="6" a="1"/>
  <c r="AE74" i="6" s="1"/>
  <c r="K55" i="6" a="1"/>
  <c r="K55" i="6" s="1"/>
  <c r="V72" i="6" a="1"/>
  <c r="V72" i="6" s="1"/>
  <c r="Z51" i="6" a="1"/>
  <c r="Z51" i="6" s="1"/>
  <c r="S49" i="6" a="1"/>
  <c r="S49" i="6" s="1"/>
  <c r="T65" i="6" a="1"/>
  <c r="T65" i="6" s="1"/>
  <c r="V87" i="6" a="1"/>
  <c r="V87" i="6" s="1"/>
  <c r="AQ79" i="6" a="1"/>
  <c r="AQ79" i="6" s="1"/>
  <c r="AP44" i="6" a="1"/>
  <c r="AP44" i="6" s="1"/>
  <c r="J62" i="6" a="1"/>
  <c r="J62" i="6" s="1"/>
  <c r="AN69" i="6" a="1"/>
  <c r="AN69" i="6" s="1"/>
  <c r="K26" i="6" a="1"/>
  <c r="K26" i="6" s="1"/>
  <c r="G96" i="6" a="1"/>
  <c r="G96" i="6" s="1"/>
  <c r="J53" i="6" a="1"/>
  <c r="J53" i="6" s="1"/>
  <c r="AE96" i="6" a="1"/>
  <c r="AE96" i="6" s="1"/>
  <c r="Z78" i="6" a="1"/>
  <c r="Z78" i="6" s="1"/>
  <c r="AF95" i="6" a="1"/>
  <c r="AF95" i="6" s="1"/>
  <c r="S34" i="6" a="1"/>
  <c r="S34" i="6" s="1"/>
  <c r="AA90" i="6" a="1"/>
  <c r="AA90" i="6" s="1"/>
  <c r="AQ9" i="6" a="1"/>
  <c r="AQ9" i="6" s="1"/>
  <c r="Z13" i="6" a="1"/>
  <c r="Z13" i="6" s="1"/>
  <c r="AL97" i="6" a="1"/>
  <c r="AL97" i="6" s="1"/>
  <c r="AH64" i="6" a="1"/>
  <c r="AH64" i="6" s="1"/>
  <c r="AD81" i="6" a="1"/>
  <c r="AD81" i="6" s="1"/>
  <c r="K34" i="6" a="1"/>
  <c r="K34" i="6" s="1"/>
  <c r="F68" i="6" a="1"/>
  <c r="F68" i="6" s="1"/>
  <c r="AE85" i="6" a="1"/>
  <c r="AE85" i="6" s="1"/>
  <c r="AJ98" i="6" a="1"/>
  <c r="AJ98" i="6" s="1"/>
  <c r="N73" i="6" a="1"/>
  <c r="N73" i="6" s="1"/>
  <c r="N56" i="6" a="1"/>
  <c r="N56" i="6" s="1"/>
  <c r="AE53" i="6" a="1"/>
  <c r="AE53" i="6" s="1"/>
  <c r="AQ8" i="6" a="1"/>
  <c r="AQ8" i="6" s="1"/>
  <c r="R91" i="6" a="1"/>
  <c r="R91" i="6" s="1"/>
  <c r="AP105" i="6" a="1"/>
  <c r="AP105" i="6" s="1"/>
  <c r="AD82" i="6" a="1"/>
  <c r="AD82" i="6" s="1"/>
  <c r="J92" i="6" a="1"/>
  <c r="J92" i="6" s="1"/>
  <c r="Z31" i="6" a="1"/>
  <c r="Z31" i="6" s="1"/>
  <c r="N66" i="6" a="1"/>
  <c r="N66" i="6" s="1"/>
  <c r="AA94" i="6" a="1"/>
  <c r="AA94" i="6" s="1"/>
  <c r="Z60" i="6" a="1"/>
  <c r="Z60" i="6" s="1"/>
  <c r="AI100" i="6" a="1"/>
  <c r="AI100" i="6" s="1"/>
  <c r="AP50" i="6" a="1"/>
  <c r="AP50" i="6" s="1"/>
  <c r="AM92" i="6" a="1"/>
  <c r="AM92" i="6" s="1"/>
  <c r="G32" i="6" a="1"/>
  <c r="G32" i="6" s="1"/>
  <c r="AQ94" i="6" a="1"/>
  <c r="AQ94" i="6" s="1"/>
  <c r="AH31" i="6" a="1"/>
  <c r="AH31" i="6" s="1"/>
  <c r="AA59" i="6" a="1"/>
  <c r="AA59" i="6" s="1"/>
  <c r="F100" i="6" a="1"/>
  <c r="F100" i="6" s="1"/>
  <c r="AM73" i="6" a="1"/>
  <c r="AM73" i="6" s="1"/>
  <c r="N60" i="6" a="1"/>
  <c r="N60" i="6" s="1"/>
  <c r="J90" i="6" a="1"/>
  <c r="J90" i="6" s="1"/>
  <c r="G53" i="6" a="1"/>
  <c r="G53" i="6" s="1"/>
  <c r="Z106" i="6" a="1"/>
  <c r="Z106" i="6" s="1"/>
  <c r="AE54" i="6" a="1"/>
  <c r="AE54" i="6" s="1"/>
  <c r="AH95" i="6" a="1"/>
  <c r="AH95" i="6" s="1"/>
  <c r="Z97" i="6" a="1"/>
  <c r="Z97" i="6" s="1"/>
  <c r="AQ77" i="6" a="1"/>
  <c r="AQ77" i="6" s="1"/>
  <c r="K61" i="6" a="1"/>
  <c r="K61" i="6" s="1"/>
  <c r="J9" i="6" a="1"/>
  <c r="J9" i="6" s="1"/>
  <c r="V102" i="6" a="1"/>
  <c r="V102" i="6" s="1"/>
  <c r="AD55" i="6" a="1"/>
  <c r="AD55" i="6" s="1"/>
  <c r="AN63" i="6" a="1"/>
  <c r="AN63" i="6" s="1"/>
  <c r="AQ65" i="6" a="1"/>
  <c r="AQ65" i="6" s="1"/>
  <c r="AH62" i="6" a="1"/>
  <c r="AH62" i="6" s="1"/>
  <c r="AP47" i="6" a="1"/>
  <c r="AP47" i="6" s="1"/>
  <c r="J59" i="6" a="1"/>
  <c r="J59" i="6" s="1"/>
  <c r="H36" i="6" a="1"/>
  <c r="H36" i="6" s="1"/>
  <c r="N7" i="6" a="1"/>
  <c r="N7" i="6" s="1"/>
  <c r="AH19" i="6" a="1"/>
  <c r="AH19" i="6" s="1"/>
  <c r="AH65" i="6" a="1"/>
  <c r="AH65" i="6" s="1"/>
  <c r="N21" i="6" a="1"/>
  <c r="N21" i="6" s="1"/>
  <c r="J99" i="6" a="1"/>
  <c r="J99" i="6" s="1"/>
  <c r="AH42" i="6" a="1"/>
  <c r="AH42" i="6" s="1"/>
  <c r="AP20" i="6" a="1"/>
  <c r="AP20" i="6" s="1"/>
  <c r="S76" i="6" a="1"/>
  <c r="S76" i="6" s="1"/>
  <c r="O12" i="6" a="1"/>
  <c r="O12" i="6" s="1"/>
  <c r="K30" i="6" a="1"/>
  <c r="K30" i="6" s="1"/>
  <c r="V27" i="6" a="1"/>
  <c r="V27" i="6" s="1"/>
  <c r="AD101" i="6" a="1"/>
  <c r="AD101" i="6" s="1"/>
  <c r="AH58" i="6" a="1"/>
  <c r="AH58" i="6" s="1"/>
  <c r="N38" i="6" a="1"/>
  <c r="N38" i="6" s="1"/>
  <c r="K81" i="6" a="1"/>
  <c r="K81" i="6" s="1"/>
  <c r="H14" i="6" a="1"/>
  <c r="H14" i="6" s="1"/>
  <c r="P90" i="6" a="1"/>
  <c r="P90" i="6" s="1"/>
  <c r="AD70" i="6" a="1"/>
  <c r="AD70" i="6" s="1"/>
  <c r="S26" i="6" a="1"/>
  <c r="S26" i="6" s="1"/>
  <c r="AA34" i="6" a="1"/>
  <c r="AA34" i="6" s="1"/>
  <c r="O54" i="6" a="1"/>
  <c r="O54" i="6" s="1"/>
  <c r="J65" i="6" a="1"/>
  <c r="J65" i="6" s="1"/>
  <c r="AH67" i="6" a="1"/>
  <c r="AH67" i="6" s="1"/>
  <c r="AE67" i="6" a="1"/>
  <c r="AE67" i="6" s="1"/>
  <c r="K83" i="6" a="1"/>
  <c r="K83" i="6" s="1"/>
  <c r="V28" i="6" a="1"/>
  <c r="V28" i="6" s="1"/>
  <c r="G77" i="6" a="1"/>
  <c r="G77" i="6" s="1"/>
  <c r="AQ7" i="6" a="1"/>
  <c r="AQ7" i="6" s="1"/>
  <c r="AA74" i="6" a="1"/>
  <c r="AA74" i="6" s="1"/>
  <c r="AD26" i="6" a="1"/>
  <c r="AD26" i="6" s="1"/>
  <c r="K97" i="6" a="1"/>
  <c r="K97" i="6" s="1"/>
  <c r="J85" i="6" a="1"/>
  <c r="J85" i="6" s="1"/>
  <c r="H44" i="6" a="1"/>
  <c r="H44" i="6" s="1"/>
  <c r="AN54" i="6" a="1"/>
  <c r="AN54" i="6" s="1"/>
  <c r="K16" i="6" a="1"/>
  <c r="K16" i="6" s="1"/>
  <c r="Z101" i="6" a="1"/>
  <c r="Z101" i="6" s="1"/>
  <c r="AE72" i="6" a="1"/>
  <c r="AE72" i="6" s="1"/>
  <c r="K57" i="6" a="1"/>
  <c r="K57" i="6" s="1"/>
  <c r="AL72" i="6" a="1"/>
  <c r="AL72" i="6" s="1"/>
  <c r="N59" i="6" a="1"/>
  <c r="N59" i="6" s="1"/>
  <c r="W10" i="6" a="1"/>
  <c r="W10" i="6" s="1"/>
  <c r="AE73" i="6" a="1"/>
  <c r="AE73" i="6" s="1"/>
  <c r="W36" i="6" a="1"/>
  <c r="W36" i="6" s="1"/>
  <c r="AI62" i="6" a="1"/>
  <c r="AI62" i="6" s="1"/>
  <c r="AQ80" i="6" a="1"/>
  <c r="AQ80" i="6" s="1"/>
  <c r="O97" i="6" a="1"/>
  <c r="O97" i="6" s="1"/>
  <c r="J102" i="6" a="1"/>
  <c r="J102" i="6" s="1"/>
  <c r="G67" i="6" a="1"/>
  <c r="G67" i="6" s="1"/>
  <c r="N84" i="6" a="1"/>
  <c r="N84" i="6" s="1"/>
  <c r="R95" i="6" a="1"/>
  <c r="R95" i="6" s="1"/>
  <c r="AP82" i="6" a="1"/>
  <c r="AP82" i="6" s="1"/>
  <c r="W41" i="6" a="1"/>
  <c r="W41" i="6" s="1"/>
  <c r="N50" i="6" a="1"/>
  <c r="N50" i="6" s="1"/>
  <c r="K12" i="6" a="1"/>
  <c r="K12" i="6" s="1"/>
  <c r="O50" i="6" a="1"/>
  <c r="O50" i="6" s="1"/>
  <c r="K46" i="6" a="1"/>
  <c r="K46" i="6" s="1"/>
  <c r="J75" i="6" a="1"/>
  <c r="J75" i="6" s="1"/>
  <c r="O81" i="6" a="1"/>
  <c r="O81" i="6" s="1"/>
  <c r="AH18" i="6" a="1"/>
  <c r="AH18" i="6" s="1"/>
  <c r="X72" i="6" a="1"/>
  <c r="X72" i="6" s="1"/>
  <c r="AE29" i="6" a="1"/>
  <c r="AE29" i="6" s="1"/>
  <c r="O49" i="6" a="1"/>
  <c r="O49" i="6" s="1"/>
  <c r="J86" i="6" a="1"/>
  <c r="J86" i="6" s="1"/>
  <c r="AF72" i="6" a="1"/>
  <c r="AF72" i="6" s="1"/>
  <c r="AP57" i="6" a="1"/>
  <c r="AP57" i="6" s="1"/>
  <c r="AA70" i="6" a="1"/>
  <c r="AA70" i="6" s="1"/>
  <c r="AN97" i="6" a="1"/>
  <c r="AN97" i="6" s="1"/>
  <c r="S33" i="6" a="1"/>
  <c r="S33" i="6" s="1"/>
  <c r="AH81" i="6" a="1"/>
  <c r="AH81" i="6" s="1"/>
  <c r="O40" i="6" a="1"/>
  <c r="O40" i="6" s="1"/>
  <c r="F29" i="6" a="1"/>
  <c r="F29" i="6" s="1"/>
  <c r="N20" i="6" a="1"/>
  <c r="N20" i="6" s="1"/>
  <c r="AL62" i="6" a="1"/>
  <c r="AL62" i="6" s="1"/>
  <c r="V38" i="6" a="1"/>
  <c r="V38" i="6" s="1"/>
  <c r="AB72" i="6" a="1"/>
  <c r="AB72" i="6" s="1"/>
  <c r="AQ78" i="6" a="1"/>
  <c r="AQ78" i="6" s="1"/>
  <c r="O26" i="6" a="1"/>
  <c r="O26" i="6" s="1"/>
  <c r="R98" i="6" a="1"/>
  <c r="R98" i="6" s="1"/>
  <c r="N90" i="6" a="1"/>
  <c r="N90" i="6" s="1"/>
  <c r="F99" i="6" a="1"/>
  <c r="F99" i="6" s="1"/>
  <c r="V94" i="6" a="1"/>
  <c r="V94" i="6" s="1"/>
  <c r="F97" i="6" a="1"/>
  <c r="F97" i="6" s="1"/>
  <c r="K28" i="6" a="1"/>
  <c r="K28" i="6" s="1"/>
  <c r="O34" i="6" a="1"/>
  <c r="O34" i="6" s="1"/>
  <c r="AP64" i="6" a="1"/>
  <c r="AP64" i="6" s="1"/>
  <c r="J44" i="6" a="1"/>
  <c r="J44" i="6" s="1"/>
  <c r="J29" i="6" a="1"/>
  <c r="J29" i="6" s="1"/>
  <c r="Z20" i="6" a="1"/>
  <c r="Z20" i="6" s="1"/>
  <c r="AL106" i="6" a="1"/>
  <c r="AL106" i="6" s="1"/>
  <c r="AI59" i="6" a="1"/>
  <c r="AI59" i="6" s="1"/>
  <c r="AF9" i="6" a="1"/>
  <c r="AF9" i="6" s="1"/>
  <c r="AF101" i="6" a="1"/>
  <c r="AF101" i="6" s="1"/>
  <c r="T13" i="6" a="1"/>
  <c r="T13" i="6" s="1"/>
  <c r="X97" i="6" a="1"/>
  <c r="X97" i="6" s="1"/>
  <c r="T44" i="6" a="1"/>
  <c r="T44" i="6" s="1"/>
  <c r="AP31" i="6" a="1"/>
  <c r="AP31" i="6" s="1"/>
  <c r="S38" i="6" a="1"/>
  <c r="S38" i="6" s="1"/>
  <c r="AN10" i="6" a="1"/>
  <c r="AN10" i="6" s="1"/>
  <c r="R14" i="6" a="1"/>
  <c r="R14" i="6" s="1"/>
  <c r="X15" i="6" a="1"/>
  <c r="X15" i="6" s="1"/>
  <c r="AB90" i="6" a="1"/>
  <c r="AB90" i="6" s="1"/>
  <c r="V106" i="6" a="1"/>
  <c r="V106" i="6" s="1"/>
  <c r="N83" i="6" a="1"/>
  <c r="N83" i="6" s="1"/>
  <c r="AJ95" i="6" a="1"/>
  <c r="AJ95" i="6" s="1"/>
  <c r="AH73" i="6" a="1"/>
  <c r="AH73" i="6" s="1"/>
  <c r="R69" i="6" a="1"/>
  <c r="R69" i="6" s="1"/>
  <c r="Z84" i="6" a="1"/>
  <c r="Z84" i="6" s="1"/>
  <c r="AQ98" i="6" a="1"/>
  <c r="AQ98" i="6" s="1"/>
  <c r="AL104" i="6" a="1"/>
  <c r="AL104" i="6" s="1"/>
  <c r="AP85" i="6" a="1"/>
  <c r="AP85" i="6" s="1"/>
  <c r="F87" i="6" a="1"/>
  <c r="F87" i="6" s="1"/>
  <c r="G87" i="6" a="1"/>
  <c r="G87" i="6" s="1"/>
  <c r="J98" i="6" a="1"/>
  <c r="J98" i="6" s="1"/>
  <c r="AP89" i="6" a="1"/>
  <c r="AP89" i="6" s="1"/>
  <c r="P18" i="6" a="1"/>
  <c r="P18" i="6" s="1"/>
  <c r="N22" i="6" a="1"/>
  <c r="N22" i="6" s="1"/>
  <c r="AQ43" i="6" a="1"/>
  <c r="AQ43" i="6" s="1"/>
  <c r="W88" i="6" a="1"/>
  <c r="W88" i="6" s="1"/>
  <c r="K62" i="6" a="1"/>
  <c r="K62" i="6" s="1"/>
  <c r="AN55" i="6" a="1"/>
  <c r="AN55" i="6" s="1"/>
  <c r="AE18" i="6" a="1"/>
  <c r="AE18" i="6" s="1"/>
  <c r="F37" i="6" a="1"/>
  <c r="F37" i="6" s="1"/>
  <c r="AE56" i="6" a="1"/>
  <c r="AE56" i="6" s="1"/>
  <c r="R54" i="6" a="1"/>
  <c r="R54" i="6" s="1"/>
  <c r="R106" i="6" a="1"/>
  <c r="R106" i="6" s="1"/>
  <c r="W16" i="6" a="1"/>
  <c r="W16" i="6" s="1"/>
  <c r="S80" i="6" a="1"/>
  <c r="S80" i="6" s="1"/>
  <c r="R22" i="6" a="1"/>
  <c r="R22" i="6" s="1"/>
  <c r="Z27" i="6" a="1"/>
  <c r="Z27" i="6" s="1"/>
  <c r="AA73" i="6" a="1"/>
  <c r="AA73" i="6" s="1"/>
  <c r="AE20" i="6" a="1"/>
  <c r="AE20" i="6" s="1"/>
  <c r="AL91" i="6" a="1"/>
  <c r="AL91" i="6" s="1"/>
  <c r="AI37" i="6" a="1"/>
  <c r="AI37" i="6" s="1"/>
  <c r="AN8" i="6" a="1"/>
  <c r="AN8" i="6" s="1"/>
  <c r="J7" i="6" a="1"/>
  <c r="J7" i="6" s="1"/>
  <c r="AD8" i="6" a="1"/>
  <c r="AD8" i="6" s="1"/>
  <c r="R10" i="6" a="1"/>
  <c r="R10" i="6" s="1"/>
  <c r="Z100" i="6" a="1"/>
  <c r="Z100" i="6" s="1"/>
  <c r="R8" i="6" a="1"/>
  <c r="R8" i="6" s="1"/>
  <c r="AN52" i="6" a="1"/>
  <c r="AN52" i="6" s="1"/>
  <c r="AL103" i="6" a="1"/>
  <c r="AL103" i="6" s="1"/>
  <c r="T94" i="6" a="1"/>
  <c r="T94" i="6" s="1"/>
  <c r="AI70" i="6" a="1"/>
  <c r="AI70" i="6" s="1"/>
  <c r="AD78" i="6" a="1"/>
  <c r="AD78" i="6" s="1"/>
  <c r="AE103" i="6" a="1"/>
  <c r="AE103" i="6" s="1"/>
  <c r="AN21" i="6" a="1"/>
  <c r="AN21" i="6" s="1"/>
  <c r="AI71" i="6" a="1"/>
  <c r="AI71" i="6" s="1"/>
  <c r="AM39" i="6" a="1"/>
  <c r="AM39" i="6" s="1"/>
  <c r="O16" i="6" a="1"/>
  <c r="O16" i="6" s="1"/>
  <c r="AD76" i="6" a="1"/>
  <c r="AD76" i="6" s="1"/>
  <c r="G78" i="6" a="1"/>
  <c r="G78" i="6" s="1"/>
  <c r="N24" i="6" a="1"/>
  <c r="N24" i="6" s="1"/>
  <c r="F58" i="6" a="1"/>
  <c r="F58" i="6" s="1"/>
  <c r="J87" i="6" a="1"/>
  <c r="J87" i="6" s="1"/>
  <c r="O74" i="6" a="1"/>
  <c r="O74" i="6" s="1"/>
  <c r="L96" i="6" a="1"/>
  <c r="L96" i="6" s="1"/>
  <c r="AQ76" i="6" a="1"/>
  <c r="AQ76" i="6" s="1"/>
  <c r="N58" i="6" a="1"/>
  <c r="N58" i="6" s="1"/>
  <c r="AM37" i="6" a="1"/>
  <c r="AM37" i="6" s="1"/>
  <c r="AA27" i="6" a="1"/>
  <c r="AA27" i="6" s="1"/>
  <c r="W42" i="6" a="1"/>
  <c r="W42" i="6" s="1"/>
  <c r="K84" i="6" a="1"/>
  <c r="K84" i="6" s="1"/>
  <c r="R84" i="6" a="1"/>
  <c r="R84" i="6" s="1"/>
  <c r="AF24" i="6" a="1"/>
  <c r="AF24" i="6" s="1"/>
  <c r="R72" i="6" a="1"/>
  <c r="R72" i="6" s="1"/>
  <c r="AJ55" i="6" a="1"/>
  <c r="AJ55" i="6" s="1"/>
  <c r="AI69" i="6" a="1"/>
  <c r="AI69" i="6" s="1"/>
  <c r="AI7" i="6" a="1"/>
  <c r="AI7" i="6" s="1"/>
  <c r="L36" i="6" a="1"/>
  <c r="L36" i="6" s="1"/>
  <c r="R94" i="6" a="1"/>
  <c r="R94" i="6" s="1"/>
  <c r="Z8" i="6" a="1"/>
  <c r="Z8" i="6" s="1"/>
  <c r="V52" i="6" a="1"/>
  <c r="V52" i="6" s="1"/>
  <c r="O56" i="6" a="1"/>
  <c r="O56" i="6" s="1"/>
  <c r="J70" i="6" a="1"/>
  <c r="J70" i="6" s="1"/>
  <c r="T38" i="6" a="1"/>
  <c r="T38" i="6" s="1"/>
  <c r="V78" i="6" a="1"/>
  <c r="V78" i="6" s="1"/>
  <c r="D73" i="6" a="1"/>
  <c r="D73" i="6" s="1"/>
  <c r="Z12" i="6" a="1"/>
  <c r="Z12" i="6" s="1"/>
  <c r="O31" i="6" a="1"/>
  <c r="O31" i="6" s="1"/>
  <c r="AE11" i="6" a="1"/>
  <c r="AE11" i="6" s="1"/>
  <c r="S18" i="6" a="1"/>
  <c r="S18" i="6" s="1"/>
  <c r="L8" i="6" a="1"/>
  <c r="L8" i="6" s="1"/>
  <c r="F69" i="6" a="1"/>
  <c r="F69" i="6" s="1"/>
  <c r="AB79" i="6" a="1"/>
  <c r="AB79" i="6" s="1"/>
  <c r="O44" i="6" a="1"/>
  <c r="O44" i="6" s="1"/>
  <c r="S100" i="6" a="1"/>
  <c r="S100" i="6" s="1"/>
  <c r="AD96" i="6" a="1"/>
  <c r="AD96" i="6" s="1"/>
  <c r="AL90" i="6" a="1"/>
  <c r="AL90" i="6" s="1"/>
  <c r="J16" i="6" a="1"/>
  <c r="J16" i="6" s="1"/>
  <c r="O20" i="6" a="1"/>
  <c r="O20" i="6" s="1"/>
  <c r="X37" i="6" a="1"/>
  <c r="X37" i="6" s="1"/>
  <c r="AJ56" i="6" a="1"/>
  <c r="AJ56" i="6" s="1"/>
  <c r="AE55" i="6" a="1"/>
  <c r="AE55" i="6" s="1"/>
  <c r="R90" i="6" a="1"/>
  <c r="R90" i="6" s="1"/>
  <c r="AQ69" i="6" a="1"/>
  <c r="AQ69" i="6" s="1"/>
  <c r="AL84" i="6" a="1"/>
  <c r="AL84" i="6" s="1"/>
  <c r="AJ87" i="6" a="1"/>
  <c r="AJ87" i="6" s="1"/>
  <c r="K10" i="6" a="1"/>
  <c r="K10" i="6" s="1"/>
  <c r="AD69" i="6" a="1"/>
  <c r="AD69" i="6" s="1"/>
  <c r="F86" i="6" a="1"/>
  <c r="F86" i="6" s="1"/>
  <c r="V81" i="6" a="1"/>
  <c r="V81" i="6" s="1"/>
  <c r="J43" i="6" a="1"/>
  <c r="J43" i="6" s="1"/>
  <c r="AE80" i="6" a="1"/>
  <c r="AE80" i="6" s="1"/>
  <c r="AD34" i="6" a="1"/>
  <c r="AD34" i="6" s="1"/>
  <c r="AD68" i="6" a="1"/>
  <c r="AD68" i="6" s="1"/>
  <c r="AE69" i="6" a="1"/>
  <c r="AE69" i="6" s="1"/>
  <c r="AH89" i="6" a="1"/>
  <c r="AH89" i="6" s="1"/>
  <c r="S35" i="6" a="1"/>
  <c r="S35" i="6" s="1"/>
  <c r="K24" i="6" a="1"/>
  <c r="K24" i="6" s="1"/>
  <c r="Z102" i="6" a="1"/>
  <c r="Z102" i="6" s="1"/>
  <c r="H74" i="6" a="1"/>
  <c r="H74" i="6" s="1"/>
  <c r="Z14" i="6" a="1"/>
  <c r="Z14" i="6" s="1"/>
  <c r="AE25" i="6" a="1"/>
  <c r="AE25" i="6" s="1"/>
  <c r="W52" i="6" a="1"/>
  <c r="W52" i="6" s="1"/>
  <c r="L56" i="6" a="1"/>
  <c r="L56" i="6" s="1"/>
  <c r="AJ32" i="6" a="1"/>
  <c r="AJ32" i="6" s="1"/>
  <c r="R32" i="6" a="1"/>
  <c r="R32" i="6" s="1"/>
  <c r="AM18" i="6" a="1"/>
  <c r="AM18" i="6" s="1"/>
  <c r="Z41" i="6" a="1"/>
  <c r="Z41" i="6" s="1"/>
  <c r="O68" i="6" a="1"/>
  <c r="O68" i="6" s="1"/>
  <c r="Z47" i="6" a="1"/>
  <c r="Z47" i="6" s="1"/>
  <c r="L38" i="6" a="1"/>
  <c r="L38" i="6" s="1"/>
  <c r="AA25" i="6" a="1"/>
  <c r="AA25" i="6" s="1"/>
  <c r="AD36" i="6" a="1"/>
  <c r="AD36" i="6" s="1"/>
  <c r="F10" i="6" a="1"/>
  <c r="F10" i="6" s="1"/>
  <c r="W56" i="6" a="1"/>
  <c r="W56" i="6" s="1"/>
  <c r="F54" i="6" a="1"/>
  <c r="F54" i="6" s="1"/>
  <c r="AD98" i="6" a="1"/>
  <c r="AD98" i="6" s="1"/>
  <c r="P14" i="6" a="1"/>
  <c r="P14" i="6" s="1"/>
  <c r="AJ79" i="6" a="1"/>
  <c r="AJ79" i="6" s="1"/>
  <c r="AD71" i="6" a="1"/>
  <c r="AD71" i="6" s="1"/>
  <c r="X75" i="6" a="1"/>
  <c r="X75" i="6" s="1"/>
  <c r="S68" i="6" a="1"/>
  <c r="S68" i="6" s="1"/>
  <c r="AH78" i="6" a="1"/>
  <c r="AH78" i="6" s="1"/>
  <c r="F82" i="6" a="1"/>
  <c r="F82" i="6" s="1"/>
  <c r="AQ26" i="6" a="1"/>
  <c r="AQ26" i="6" s="1"/>
  <c r="F91" i="6" a="1"/>
  <c r="F91" i="6" s="1"/>
  <c r="G69" i="6" a="1"/>
  <c r="G69" i="6" s="1"/>
  <c r="J52" i="6" a="1"/>
  <c r="J52" i="6" s="1"/>
  <c r="K64" i="6" a="1"/>
  <c r="K64" i="6" s="1"/>
  <c r="AQ55" i="6" a="1"/>
  <c r="AQ55" i="6" s="1"/>
  <c r="J42" i="6" a="1"/>
  <c r="J42" i="6" s="1"/>
  <c r="J54" i="6" a="1"/>
  <c r="J54" i="6" s="1"/>
  <c r="G46" i="6" a="1"/>
  <c r="G46" i="6" s="1"/>
  <c r="L104" i="6" a="1"/>
  <c r="L104" i="6" s="1"/>
  <c r="AA26" i="6" a="1"/>
  <c r="AA26" i="6" s="1"/>
  <c r="O9" i="6" a="1"/>
  <c r="O9" i="6" s="1"/>
  <c r="R104" i="6" a="1"/>
  <c r="R104" i="6" s="1"/>
  <c r="K54" i="6" a="1"/>
  <c r="K54" i="6" s="1"/>
  <c r="J30" i="6" a="1"/>
  <c r="J30" i="6" s="1"/>
  <c r="Z44" i="6" a="1"/>
  <c r="Z44" i="6" s="1"/>
  <c r="R44" i="6" a="1"/>
  <c r="R44" i="6" s="1"/>
  <c r="R75" i="6" a="1"/>
  <c r="R75" i="6" s="1"/>
  <c r="AF51" i="6" a="1"/>
  <c r="AF51" i="6" s="1"/>
  <c r="W39" i="6" a="1"/>
  <c r="W39" i="6" s="1"/>
  <c r="V34" i="6" a="1"/>
  <c r="V34" i="6" s="1"/>
  <c r="AQ71" i="6" a="1"/>
  <c r="AQ71" i="6" s="1"/>
  <c r="O32" i="6" a="1"/>
  <c r="O32" i="6" s="1"/>
  <c r="J95" i="6" a="1"/>
  <c r="J95" i="6" s="1"/>
  <c r="R46" i="6" a="1"/>
  <c r="R46" i="6" s="1"/>
  <c r="N34" i="6" a="1"/>
  <c r="N34" i="6" s="1"/>
  <c r="V101" i="6" a="1"/>
  <c r="V101" i="6" s="1"/>
  <c r="D54" i="6" a="1"/>
  <c r="D54" i="6" s="1"/>
  <c r="AQ47" i="6" a="1"/>
  <c r="AQ47" i="6" s="1"/>
  <c r="N86" i="6" a="1"/>
  <c r="N86" i="6" s="1"/>
  <c r="V24" i="6" a="1"/>
  <c r="V24" i="6" s="1"/>
  <c r="AQ38" i="6" a="1"/>
  <c r="AQ38" i="6" s="1"/>
  <c r="AP43" i="6" a="1"/>
  <c r="AP43" i="6" s="1"/>
  <c r="D103" i="6" a="1"/>
  <c r="D103" i="6" s="1"/>
  <c r="V54" i="6" a="1"/>
  <c r="V54" i="6" s="1"/>
  <c r="R102" i="6" a="1"/>
  <c r="R102" i="6" s="1"/>
  <c r="AD87" i="6" a="1"/>
  <c r="AD87" i="6" s="1"/>
  <c r="W99" i="6" a="1"/>
  <c r="W99" i="6" s="1"/>
  <c r="K102" i="6" a="1"/>
  <c r="K102" i="6" s="1"/>
  <c r="Z76" i="6" a="1"/>
  <c r="Z76" i="6" s="1"/>
  <c r="AL9" i="6" a="1"/>
  <c r="AL9" i="6" s="1"/>
  <c r="O10" i="6" a="1"/>
  <c r="O10" i="6" s="1"/>
  <c r="AH9" i="6" a="1"/>
  <c r="AH9" i="6" s="1"/>
  <c r="AM34" i="6" a="1"/>
  <c r="AM34" i="6" s="1"/>
  <c r="F43" i="6" a="1"/>
  <c r="F43" i="6" s="1"/>
  <c r="AA28" i="6" a="1"/>
  <c r="AA28" i="6" s="1"/>
  <c r="AE28" i="6" a="1"/>
  <c r="AE28" i="6" s="1"/>
  <c r="AE83" i="6" a="1"/>
  <c r="AE83" i="6" s="1"/>
  <c r="O36" i="6" a="1"/>
  <c r="O36" i="6" s="1"/>
  <c r="Z37" i="6" a="1"/>
  <c r="Z37" i="6" s="1"/>
  <c r="R11" i="6" a="1"/>
  <c r="R11" i="6" s="1"/>
  <c r="AE38" i="6" a="1"/>
  <c r="AE38" i="6" s="1"/>
  <c r="AP88" i="6" a="1"/>
  <c r="AP88" i="6" s="1"/>
  <c r="W19" i="6" a="1"/>
  <c r="W19" i="6" s="1"/>
  <c r="AD84" i="6" a="1"/>
  <c r="AD84" i="6" s="1"/>
  <c r="O76" i="6" a="1"/>
  <c r="O76" i="6" s="1"/>
  <c r="W79" i="6" a="1"/>
  <c r="W79" i="6" s="1"/>
  <c r="AL20" i="6" a="1"/>
  <c r="AL20" i="6" s="1"/>
  <c r="AA35" i="6" a="1"/>
  <c r="AA35" i="6" s="1"/>
  <c r="AH92" i="6" a="1"/>
  <c r="AH92" i="6" s="1"/>
  <c r="N53" i="6" a="1"/>
  <c r="N53" i="6" s="1"/>
  <c r="G79" i="6" a="1"/>
  <c r="G79" i="6" s="1"/>
  <c r="AP101" i="6" a="1"/>
  <c r="AP101" i="6" s="1"/>
  <c r="AD93" i="6" a="1"/>
  <c r="AD93" i="6" s="1"/>
  <c r="N85" i="6" a="1"/>
  <c r="N85" i="6" s="1"/>
  <c r="AF96" i="6" a="1"/>
  <c r="AF96" i="6" s="1"/>
  <c r="AH41" i="6" a="1"/>
  <c r="AH41" i="6" s="1"/>
  <c r="N51" i="6" a="1"/>
  <c r="N51" i="6" s="1"/>
  <c r="AP72" i="6" a="1"/>
  <c r="AP72" i="6" s="1"/>
  <c r="AD25" i="6" a="1"/>
  <c r="AD25" i="6" s="1"/>
  <c r="V71" i="6" a="1"/>
  <c r="V71" i="6" s="1"/>
  <c r="AN90" i="6" a="1"/>
  <c r="AN90" i="6" s="1"/>
  <c r="AI16" i="6" a="1"/>
  <c r="AI16" i="6" s="1"/>
  <c r="N42" i="6" a="1"/>
  <c r="N42" i="6" s="1"/>
  <c r="AA14" i="6" a="1"/>
  <c r="AA14" i="6" s="1"/>
  <c r="K42" i="6" a="1"/>
  <c r="K42" i="6" s="1"/>
  <c r="Z57" i="6" a="1"/>
  <c r="Z57" i="6" s="1"/>
  <c r="AD46" i="6" a="1"/>
  <c r="AD46" i="6" s="1"/>
  <c r="AQ74" i="6" a="1"/>
  <c r="AQ74" i="6" s="1"/>
  <c r="R26" i="6" a="1"/>
  <c r="R26" i="6" s="1"/>
  <c r="AF17" i="6" a="1"/>
  <c r="AF17" i="6" s="1"/>
  <c r="D55" i="6" a="1"/>
  <c r="D55" i="6" s="1"/>
  <c r="AH98" i="6" a="1"/>
  <c r="AH98" i="6" s="1"/>
  <c r="O57" i="6" a="1"/>
  <c r="O57" i="6" s="1"/>
  <c r="X95" i="6" a="1"/>
  <c r="X95" i="6" s="1"/>
  <c r="AM69" i="6" a="1"/>
  <c r="AM69" i="6" s="1"/>
  <c r="R62" i="6" a="1"/>
  <c r="R62" i="6" s="1"/>
  <c r="AP100" i="6" a="1"/>
  <c r="AP100" i="6" s="1"/>
  <c r="AI93" i="6" a="1"/>
  <c r="AI93" i="6" s="1"/>
  <c r="Z83" i="6" a="1"/>
  <c r="Z83" i="6" s="1"/>
  <c r="X57" i="6" a="1"/>
  <c r="X57" i="6" s="1"/>
  <c r="AA80" i="6" a="1"/>
  <c r="AA80" i="6" s="1"/>
  <c r="AI47" i="6" a="1"/>
  <c r="AI47" i="6" s="1"/>
  <c r="O46" i="6" a="1"/>
  <c r="O46" i="6" s="1"/>
  <c r="AP14" i="6" a="1"/>
  <c r="AP14" i="6" s="1"/>
  <c r="AP35" i="6" a="1"/>
  <c r="AP35" i="6" s="1"/>
  <c r="AA23" i="6" a="1"/>
  <c r="AA23" i="6" s="1"/>
  <c r="AQ42" i="6" a="1"/>
  <c r="AQ42" i="6" s="1"/>
  <c r="AH76" i="6" a="1"/>
  <c r="AH76" i="6" s="1"/>
  <c r="N49" i="6" a="1"/>
  <c r="N49" i="6" s="1"/>
  <c r="Z53" i="6" a="1"/>
  <c r="Z53" i="6" s="1"/>
  <c r="AD97" i="6" a="1"/>
  <c r="AD97" i="6" s="1"/>
  <c r="AL69" i="6" a="1"/>
  <c r="AL69" i="6" s="1"/>
  <c r="J46" i="6" a="1"/>
  <c r="J46" i="6" s="1"/>
  <c r="AD52" i="6" a="1"/>
  <c r="AD52" i="6" s="1"/>
  <c r="AN94" i="6" a="1"/>
  <c r="AN94" i="6" s="1"/>
  <c r="AE75" i="6" a="1"/>
  <c r="AE75" i="6" s="1"/>
  <c r="H91" i="6" a="1"/>
  <c r="H91" i="6" s="1"/>
  <c r="AM31" i="6" a="1"/>
  <c r="AM31" i="6" s="1"/>
  <c r="AI97" i="6" a="1"/>
  <c r="AI97" i="6" s="1"/>
  <c r="G48" i="6" a="1"/>
  <c r="G48" i="6" s="1"/>
  <c r="V46" i="6" a="1"/>
  <c r="V46" i="6" s="1"/>
  <c r="AH22" i="6" a="1"/>
  <c r="AH22" i="6" s="1"/>
  <c r="R42" i="6" a="1"/>
  <c r="R42" i="6" s="1"/>
  <c r="AH32" i="6" a="1"/>
  <c r="AH32" i="6" s="1"/>
  <c r="F63" i="6" a="1"/>
  <c r="F63" i="6" s="1"/>
  <c r="AP55" i="6" a="1"/>
  <c r="AP55" i="6" s="1"/>
  <c r="K104" i="6" a="1"/>
  <c r="K104" i="6" s="1"/>
  <c r="AL8" i="6" a="1"/>
  <c r="AL8" i="6" s="1"/>
  <c r="AJ90" i="6" a="1"/>
  <c r="AJ90" i="6" s="1"/>
  <c r="AN30" i="6" a="1"/>
  <c r="AN30" i="6" s="1"/>
  <c r="K37" i="6" a="1"/>
  <c r="K37" i="6" s="1"/>
  <c r="AI15" i="6" a="1"/>
  <c r="AI15" i="6" s="1"/>
  <c r="J14" i="6" a="1"/>
  <c r="J14" i="6" s="1"/>
  <c r="V14" i="6" a="1"/>
  <c r="V14" i="6" s="1"/>
  <c r="AQ83" i="6" a="1"/>
  <c r="AQ83" i="6" s="1"/>
  <c r="D26" i="6" a="1"/>
  <c r="D26" i="6" s="1"/>
  <c r="K27" i="6" a="1"/>
  <c r="K27" i="6" s="1"/>
  <c r="AL95" i="6" a="1"/>
  <c r="AL95" i="6" s="1"/>
  <c r="AD89" i="6" a="1"/>
  <c r="AD89" i="6" s="1"/>
  <c r="AP96" i="6" a="1"/>
  <c r="AP96" i="6" s="1"/>
  <c r="L92" i="6" a="1"/>
  <c r="L92" i="6" s="1"/>
  <c r="AD38" i="6" a="1"/>
  <c r="AD38" i="6" s="1"/>
  <c r="F93" i="6" a="1"/>
  <c r="F93" i="6" s="1"/>
  <c r="AF61" i="6" a="1"/>
  <c r="AF61" i="6" s="1"/>
  <c r="AL29" i="6" a="1"/>
  <c r="AL29" i="6" s="1"/>
  <c r="V33" i="6" a="1"/>
  <c r="V33" i="6" s="1"/>
  <c r="AP93" i="6" a="1"/>
  <c r="AP93" i="6" s="1"/>
  <c r="AI40" i="6" a="1"/>
  <c r="AI40" i="6" s="1"/>
  <c r="P76" i="6" a="1"/>
  <c r="P76" i="6" s="1"/>
  <c r="N99" i="6" a="1"/>
  <c r="N99" i="6" s="1"/>
  <c r="AE21" i="6" a="1"/>
  <c r="AE21" i="6" s="1"/>
  <c r="X27" i="6" a="1"/>
  <c r="X27" i="6" s="1"/>
  <c r="S59" i="6" a="1"/>
  <c r="S59" i="6" s="1"/>
  <c r="R73" i="6" a="1"/>
  <c r="R73" i="6" s="1"/>
  <c r="J71" i="6" a="1"/>
  <c r="J71" i="6" s="1"/>
  <c r="AH36" i="6" a="1"/>
  <c r="AH36" i="6" s="1"/>
  <c r="AL83" i="6" a="1"/>
  <c r="AL83" i="6" s="1"/>
  <c r="AP38" i="6" a="1"/>
  <c r="AP38" i="6" s="1"/>
  <c r="Z87" i="6" a="1"/>
  <c r="Z87" i="6" s="1"/>
  <c r="AN20" i="6" a="1"/>
  <c r="AN20" i="6" s="1"/>
  <c r="AE102" i="6" a="1"/>
  <c r="AE102" i="6" s="1"/>
  <c r="AH63" i="6" a="1"/>
  <c r="AH63" i="6" s="1"/>
  <c r="V25" i="6" a="1"/>
  <c r="V25" i="6" s="1"/>
  <c r="X79" i="6" a="1"/>
  <c r="X79" i="6" s="1"/>
  <c r="AP67" i="6" a="1"/>
  <c r="AP67" i="6" s="1"/>
  <c r="AM93" i="6" a="1"/>
  <c r="AM93" i="6" s="1"/>
  <c r="AF39" i="6" a="1"/>
  <c r="AF39" i="6" s="1"/>
  <c r="P8" i="6" a="1"/>
  <c r="P8" i="6" s="1"/>
  <c r="AQ91" i="6" a="1"/>
  <c r="AQ91" i="6" s="1"/>
  <c r="AD88" i="6" a="1"/>
  <c r="AD88" i="6" s="1"/>
  <c r="AA9" i="6" a="1"/>
  <c r="AA9" i="6" s="1"/>
  <c r="AP104" i="6" a="1"/>
  <c r="AP104" i="6" s="1"/>
  <c r="D69" i="6" a="1"/>
  <c r="D69" i="6" s="1"/>
  <c r="AD67" i="6" a="1"/>
  <c r="AD67" i="6" s="1"/>
  <c r="Z52" i="6" a="1"/>
  <c r="Z52" i="6" s="1"/>
  <c r="R96" i="6" a="1"/>
  <c r="R96" i="6" s="1"/>
  <c r="D34" i="6" a="1"/>
  <c r="D34" i="6" s="1"/>
  <c r="G85" i="6" a="1"/>
  <c r="G85" i="6" s="1"/>
  <c r="AP80" i="6" a="1"/>
  <c r="AP80" i="6" s="1"/>
  <c r="S42" i="6" a="1"/>
  <c r="S42" i="6" s="1"/>
  <c r="D78" i="6" a="1"/>
  <c r="D78" i="6" s="1"/>
  <c r="AM95" i="6" a="1"/>
  <c r="AM95" i="6" s="1"/>
  <c r="H58" i="6" a="1"/>
  <c r="H58" i="6" s="1"/>
  <c r="AM98" i="6" a="1"/>
  <c r="AM98" i="6" s="1"/>
  <c r="AI18" i="6" a="1"/>
  <c r="AI18" i="6" s="1"/>
  <c r="Z65" i="6" a="1"/>
  <c r="Z65" i="6" s="1"/>
  <c r="AA49" i="6" a="1"/>
  <c r="AA49" i="6" s="1"/>
  <c r="AA86" i="6" a="1"/>
  <c r="AA86" i="6" s="1"/>
  <c r="AF45" i="6" a="1"/>
  <c r="AF45" i="6" s="1"/>
  <c r="AD105" i="6" a="1"/>
  <c r="AD105" i="6" s="1"/>
  <c r="AD72" i="6" a="1"/>
  <c r="AD72" i="6" s="1"/>
  <c r="AF32" i="6" a="1"/>
  <c r="AF32" i="6" s="1"/>
  <c r="AH12" i="6" a="1"/>
  <c r="AH12" i="6" s="1"/>
  <c r="AA50" i="6" a="1"/>
  <c r="AA50" i="6" s="1"/>
  <c r="G58" i="6" a="1"/>
  <c r="G58" i="6" s="1"/>
  <c r="K23" i="6" a="1"/>
  <c r="K23" i="6" s="1"/>
  <c r="T17" i="6" a="1"/>
  <c r="T17" i="6" s="1"/>
  <c r="AL41" i="6" a="1"/>
  <c r="AL41" i="6" s="1"/>
  <c r="Z42" i="6" a="1"/>
  <c r="Z42" i="6" s="1"/>
  <c r="AP26" i="6" a="1"/>
  <c r="AP26" i="6" s="1"/>
  <c r="F81" i="6" a="1"/>
  <c r="F81" i="6" s="1"/>
  <c r="P27" i="6" a="1"/>
  <c r="P27" i="6" s="1"/>
  <c r="AF21" i="6" a="1"/>
  <c r="AF21" i="6" s="1"/>
  <c r="AD57" i="6" a="1"/>
  <c r="AD57" i="6" s="1"/>
  <c r="F104" i="6" a="1"/>
  <c r="F104" i="6" s="1"/>
  <c r="AQ40" i="6" a="1"/>
  <c r="AQ40" i="6" s="1"/>
  <c r="P24" i="6" a="1"/>
  <c r="P24" i="6" s="1"/>
  <c r="T55" i="6" a="1"/>
  <c r="T55" i="6" s="1"/>
  <c r="AL56" i="6" a="1"/>
  <c r="AL56" i="6" s="1"/>
  <c r="W15" i="6" a="1"/>
  <c r="W15" i="6" s="1"/>
  <c r="AH47" i="6" a="1"/>
  <c r="AH47" i="6" s="1"/>
  <c r="AB45" i="6" a="1"/>
  <c r="AB45" i="6" s="1"/>
  <c r="L41" i="6" a="1"/>
  <c r="L41" i="6" s="1"/>
  <c r="N14" i="6" a="1"/>
  <c r="N14" i="6" s="1"/>
  <c r="AH24" i="6" a="1"/>
  <c r="AH24" i="6" s="1"/>
  <c r="D9" i="6" a="1"/>
  <c r="D9" i="6" s="1"/>
  <c r="S101" i="6" a="1"/>
  <c r="S101" i="6" s="1"/>
  <c r="T53" i="6" a="1"/>
  <c r="T53" i="6" s="1"/>
  <c r="AH57" i="6" a="1"/>
  <c r="AH57" i="6" s="1"/>
  <c r="AB8" i="6" a="1"/>
  <c r="AB8" i="6" s="1"/>
  <c r="H42" i="6" a="1"/>
  <c r="H42" i="6" s="1"/>
  <c r="AH44" i="6" a="1"/>
  <c r="AH44" i="6" s="1"/>
  <c r="AH84" i="6" a="1"/>
  <c r="AH84" i="6" s="1"/>
  <c r="AD95" i="6" a="1"/>
  <c r="AD95" i="6" s="1"/>
  <c r="F98" i="6" a="1"/>
  <c r="F98" i="6" s="1"/>
  <c r="Z81" i="6" a="1"/>
  <c r="Z81" i="6" s="1"/>
  <c r="Z63" i="6" a="1"/>
  <c r="Z63" i="6" s="1"/>
  <c r="L58" i="6" a="1"/>
  <c r="L58" i="6" s="1"/>
  <c r="J23" i="6" a="1"/>
  <c r="J23" i="6" s="1"/>
  <c r="R92" i="6" a="1"/>
  <c r="R92" i="6" s="1"/>
  <c r="AP37" i="6" a="1"/>
  <c r="AP37" i="6" s="1"/>
  <c r="Z68" i="6" a="1"/>
  <c r="Z68" i="6" s="1"/>
  <c r="F88" i="6" a="1"/>
  <c r="F88" i="6" s="1"/>
  <c r="V35" i="6" a="1"/>
  <c r="V35" i="6" s="1"/>
  <c r="D12" i="6" a="1"/>
  <c r="D12" i="6" s="1"/>
  <c r="Z40" i="6" a="1"/>
  <c r="Z40" i="6" s="1"/>
  <c r="O15" i="6" a="1"/>
  <c r="O15" i="6" s="1"/>
  <c r="AQ99" i="6" a="1"/>
  <c r="AQ99" i="6" s="1"/>
  <c r="N57" i="6" a="1"/>
  <c r="N57" i="6" s="1"/>
  <c r="AL51" i="6" a="1"/>
  <c r="AL51" i="6" s="1"/>
  <c r="X28" i="6" a="1"/>
  <c r="X28" i="6" s="1"/>
  <c r="X51" i="6" a="1"/>
  <c r="X51" i="6" s="1"/>
  <c r="W51" i="6" a="1"/>
  <c r="W51" i="6" s="1"/>
  <c r="AD79" i="6" a="1"/>
  <c r="AD79" i="6" s="1"/>
  <c r="J32" i="6" a="1"/>
  <c r="J32" i="6" s="1"/>
  <c r="V45" i="6" a="1"/>
  <c r="V45" i="6" s="1"/>
  <c r="R27" i="6" a="1"/>
  <c r="R27" i="6" s="1"/>
  <c r="L13" i="6" a="1"/>
  <c r="L13" i="6" s="1"/>
  <c r="W8" i="6" a="1"/>
  <c r="W8" i="6" s="1"/>
  <c r="AM44" i="6" a="1"/>
  <c r="AM44" i="6" s="1"/>
  <c r="V64" i="6" a="1"/>
  <c r="V64" i="6" s="1"/>
  <c r="Z43" i="6" a="1"/>
  <c r="Z43" i="6" s="1"/>
  <c r="AQ57" i="6" a="1"/>
  <c r="AQ57" i="6" s="1"/>
  <c r="AH80" i="6" a="1"/>
  <c r="AH80" i="6" s="1"/>
  <c r="N101" i="6" a="1"/>
  <c r="N101" i="6" s="1"/>
  <c r="AH102" i="6" a="1"/>
  <c r="AH102" i="6" s="1"/>
  <c r="Z104" i="6" a="1"/>
  <c r="Z104" i="6" s="1"/>
  <c r="AH37" i="6" a="1"/>
  <c r="AH37" i="6" s="1"/>
  <c r="AL64" i="6" a="1"/>
  <c r="AL64" i="6" s="1"/>
  <c r="AF99" i="6" a="1"/>
  <c r="AF99" i="6" s="1"/>
  <c r="T105" i="6" a="1"/>
  <c r="T105" i="6" s="1"/>
  <c r="K63" i="6" a="1"/>
  <c r="K63" i="6" s="1"/>
  <c r="D76" i="6" a="1"/>
  <c r="D76" i="6" s="1"/>
  <c r="F71" i="6" a="1"/>
  <c r="F71" i="6" s="1"/>
  <c r="AP33" i="6" a="1"/>
  <c r="AP33" i="6" s="1"/>
  <c r="AB42" i="6" a="1"/>
  <c r="AB42" i="6" s="1"/>
  <c r="X71" i="6" a="1"/>
  <c r="X71" i="6" s="1"/>
  <c r="Z30" i="6" a="1"/>
  <c r="Z30" i="6" s="1"/>
  <c r="F60" i="6" a="1"/>
  <c r="F60" i="6" s="1"/>
  <c r="S73" i="6" a="1"/>
  <c r="S73" i="6" s="1"/>
  <c r="V43" i="6" a="1"/>
  <c r="V43" i="6" s="1"/>
  <c r="AN16" i="6" a="1"/>
  <c r="AN16" i="6" s="1"/>
  <c r="AN36" i="6" a="1"/>
  <c r="AN36" i="6" s="1"/>
  <c r="J12" i="6" a="1"/>
  <c r="J12" i="6" s="1"/>
  <c r="Z89" i="6" a="1"/>
  <c r="Z89" i="6" s="1"/>
  <c r="V77" i="6" a="1"/>
  <c r="V77" i="6" s="1"/>
  <c r="V55" i="6" a="1"/>
  <c r="V55" i="6" s="1"/>
  <c r="AL46" i="6" a="1"/>
  <c r="AL46" i="6" s="1"/>
  <c r="Z46" i="6" a="1"/>
  <c r="Z46" i="6" s="1"/>
  <c r="AP76" i="6" a="1"/>
  <c r="AP76" i="6" s="1"/>
  <c r="AF80" i="6" a="1"/>
  <c r="AF80" i="6" s="1"/>
  <c r="AL21" i="6" a="1"/>
  <c r="AL21" i="6" s="1"/>
  <c r="D63" i="6" a="1"/>
  <c r="D63" i="6" s="1"/>
  <c r="AD91" i="6" a="1"/>
  <c r="AD91" i="6" s="1"/>
  <c r="D37" i="6" a="1"/>
  <c r="D37" i="6" s="1"/>
  <c r="N100" i="6" a="1"/>
  <c r="N100" i="6" s="1"/>
  <c r="AB50" i="6" a="1"/>
  <c r="AB50" i="6" s="1"/>
  <c r="X12" i="6" a="1"/>
  <c r="X12" i="6" s="1"/>
  <c r="AI88" i="6" a="1"/>
  <c r="AI88" i="6" s="1"/>
  <c r="AD31" i="6" a="1"/>
  <c r="AD31" i="6" s="1"/>
  <c r="AH30" i="6" a="1"/>
  <c r="AH30" i="6" s="1"/>
  <c r="H78" i="6" a="1"/>
  <c r="H78" i="6" s="1"/>
  <c r="N10" i="6" a="1"/>
  <c r="N10" i="6" s="1"/>
  <c r="H30" i="6" a="1"/>
  <c r="H30" i="6" s="1"/>
  <c r="J91" i="6" a="1"/>
  <c r="J91" i="6" s="1"/>
  <c r="V105" i="6" a="1"/>
  <c r="V105" i="6" s="1"/>
  <c r="AP63" i="6" a="1"/>
  <c r="AP63" i="6" s="1"/>
  <c r="AH87" i="6" a="1"/>
  <c r="AH87" i="6" s="1"/>
  <c r="R23" i="6" a="1"/>
  <c r="R23" i="6" s="1"/>
  <c r="AL101" i="6" a="1"/>
  <c r="AL101" i="6" s="1"/>
  <c r="AA64" i="6" a="1"/>
  <c r="AA64" i="6" s="1"/>
  <c r="AM48" i="6" a="1"/>
  <c r="AM48" i="6" s="1"/>
  <c r="AH10" i="6" a="1"/>
  <c r="AH10" i="6" s="1"/>
  <c r="Z55" i="6" a="1"/>
  <c r="Z55" i="6" s="1"/>
  <c r="P66" i="6" a="1"/>
  <c r="P66" i="6" s="1"/>
  <c r="J45" i="6" a="1"/>
  <c r="J45" i="6" s="1"/>
  <c r="O73" i="6" a="1"/>
  <c r="O73" i="6" s="1"/>
  <c r="AM52" i="6" a="1"/>
  <c r="AM52" i="6" s="1"/>
  <c r="X18" i="6" a="1"/>
  <c r="X18" i="6" s="1"/>
  <c r="V7" i="6" a="1"/>
  <c r="V7" i="6" s="1"/>
  <c r="T33" i="6" a="1"/>
  <c r="T33" i="6" s="1"/>
  <c r="AL17" i="6" a="1"/>
  <c r="AL17" i="6" s="1"/>
  <c r="F34" i="6" a="1"/>
  <c r="F34" i="6" s="1"/>
  <c r="F76" i="6" a="1"/>
  <c r="F76" i="6" s="1"/>
  <c r="AA20" i="6" a="1"/>
  <c r="AA20" i="6" s="1"/>
  <c r="L86" i="6" a="1"/>
  <c r="L86" i="6" s="1"/>
  <c r="R63" i="6" a="1"/>
  <c r="R63" i="6" s="1"/>
  <c r="F95" i="6" a="1"/>
  <c r="F95" i="6" s="1"/>
  <c r="H19" i="6" a="1"/>
  <c r="H19" i="6" s="1"/>
  <c r="AN83" i="6" a="1"/>
  <c r="AN83" i="6" s="1"/>
  <c r="AJ26" i="6" a="1"/>
  <c r="AJ26" i="6" s="1"/>
  <c r="AH90" i="6" a="1"/>
  <c r="AH90" i="6" s="1"/>
  <c r="AF42" i="6" a="1"/>
  <c r="AF42" i="6" s="1"/>
  <c r="AM47" i="6" a="1"/>
  <c r="AM47" i="6" s="1"/>
  <c r="AP65" i="6" a="1"/>
  <c r="AP65" i="6" s="1"/>
  <c r="N32" i="6" a="1"/>
  <c r="N32" i="6" s="1"/>
  <c r="J11" i="6" a="1"/>
  <c r="J11" i="6" s="1"/>
  <c r="Z88" i="6" a="1"/>
  <c r="Z88" i="6" s="1"/>
  <c r="AE98" i="6" a="1"/>
  <c r="AE98" i="6" s="1"/>
  <c r="N54" i="6" a="1"/>
  <c r="N54" i="6" s="1"/>
  <c r="R48" i="6" a="1"/>
  <c r="R48" i="6" s="1"/>
  <c r="H100" i="6" a="1"/>
  <c r="H100" i="6" s="1"/>
  <c r="V73" i="6" a="1"/>
  <c r="V73" i="6" s="1"/>
  <c r="J81" i="6" a="1"/>
  <c r="J81" i="6" s="1"/>
  <c r="W33" i="6" a="1"/>
  <c r="W33" i="6" s="1"/>
  <c r="P78" i="6" a="1"/>
  <c r="P78" i="6" s="1"/>
  <c r="AN100" i="6" a="1"/>
  <c r="AN100" i="6" s="1"/>
  <c r="L54" i="6" a="1"/>
  <c r="L54" i="6" s="1"/>
  <c r="F70" i="6" a="1"/>
  <c r="F70" i="6" s="1"/>
  <c r="J58" i="6" a="1"/>
  <c r="J58" i="6" s="1"/>
  <c r="R28" i="6" a="1"/>
  <c r="R28" i="6" s="1"/>
  <c r="AP24" i="6" a="1"/>
  <c r="AP24" i="6" s="1"/>
  <c r="S7" i="6" a="1"/>
  <c r="S7" i="6" s="1"/>
  <c r="D100" i="6" a="1"/>
  <c r="D100" i="6" s="1"/>
  <c r="AH91" i="6" a="1"/>
  <c r="AH91" i="6" s="1"/>
  <c r="AL74" i="6" a="1"/>
  <c r="AL74" i="6" s="1"/>
  <c r="X81" i="6" a="1"/>
  <c r="X81" i="6" s="1"/>
  <c r="AF89" i="6" a="1"/>
  <c r="AF89" i="6" s="1"/>
  <c r="R80" i="6" a="1"/>
  <c r="R80" i="6" s="1"/>
  <c r="T42" i="6" a="1"/>
  <c r="T42" i="6" s="1"/>
  <c r="AJ36" i="6" a="1"/>
  <c r="AJ36" i="6" s="1"/>
  <c r="AH53" i="6" a="1"/>
  <c r="AH53" i="6" s="1"/>
  <c r="G21" i="6" a="1"/>
  <c r="G21" i="6" s="1"/>
  <c r="AI81" i="6" a="1"/>
  <c r="AI81" i="6" s="1"/>
  <c r="AB13" i="6" a="1"/>
  <c r="AB13" i="6" s="1"/>
  <c r="X63" i="6" a="1"/>
  <c r="X63" i="6" s="1"/>
  <c r="L28" i="6" a="1"/>
  <c r="L28" i="6" s="1"/>
  <c r="D96" i="6" a="1"/>
  <c r="D96" i="6" s="1"/>
  <c r="AL14" i="6" a="1"/>
  <c r="AL14" i="6" s="1"/>
  <c r="AF74" i="6" a="1"/>
  <c r="AF74" i="6" s="1"/>
  <c r="N9" i="6" a="1"/>
  <c r="N9" i="6" s="1"/>
  <c r="AB48" i="6" a="1"/>
  <c r="AB48" i="6" s="1"/>
  <c r="AD50" i="6" a="1"/>
  <c r="AD50" i="6" s="1"/>
  <c r="D94" i="6" a="1"/>
  <c r="D94" i="6" s="1"/>
  <c r="V48" i="6" a="1"/>
  <c r="V48" i="6" s="1"/>
  <c r="AI106" i="6" a="1"/>
  <c r="AI106" i="6" s="1"/>
  <c r="H89" i="6" a="1"/>
  <c r="H89" i="6" s="1"/>
  <c r="N91" i="6" a="1"/>
  <c r="N91" i="6" s="1"/>
  <c r="AP103" i="6" a="1"/>
  <c r="AP103" i="6" s="1"/>
  <c r="L18" i="6" a="1"/>
  <c r="L18" i="6" s="1"/>
  <c r="H52" i="6" a="1"/>
  <c r="H52" i="6" s="1"/>
  <c r="AP69" i="6" a="1"/>
  <c r="AP69" i="6" s="1"/>
  <c r="R40" i="6" a="1"/>
  <c r="R40" i="6" s="1"/>
  <c r="AJ106" i="6" a="1"/>
  <c r="AJ106" i="6" s="1"/>
  <c r="AH17" i="6" a="1"/>
  <c r="AH17" i="6" s="1"/>
  <c r="AP40" i="6" a="1"/>
  <c r="AP40" i="6" s="1"/>
  <c r="AM57" i="6" a="1"/>
  <c r="AM57" i="6" s="1"/>
  <c r="N67" i="6" a="1"/>
  <c r="N67" i="6" s="1"/>
  <c r="S87" i="6" a="1"/>
  <c r="S87" i="6" s="1"/>
  <c r="V91" i="6" a="1"/>
  <c r="V91" i="6" s="1"/>
  <c r="J33" i="6" a="1"/>
  <c r="J33" i="6" s="1"/>
  <c r="AP19" i="6" a="1"/>
  <c r="AP19" i="6" s="1"/>
  <c r="V80" i="6" a="1"/>
  <c r="V80" i="6" s="1"/>
  <c r="V85" i="6" a="1"/>
  <c r="V85" i="6" s="1"/>
  <c r="AN101" i="6" a="1"/>
  <c r="AN101" i="6" s="1"/>
  <c r="J50" i="6" a="1"/>
  <c r="J50" i="6" s="1"/>
  <c r="AI30" i="6" a="1"/>
  <c r="AI30" i="6" s="1"/>
  <c r="AN17" i="6" a="1"/>
  <c r="AN17" i="6" s="1"/>
  <c r="F11" i="6" a="1"/>
  <c r="F11" i="6" s="1"/>
  <c r="N11" i="6" a="1"/>
  <c r="N11" i="6" s="1"/>
  <c r="H64" i="6" a="1"/>
  <c r="H64" i="6" s="1"/>
  <c r="S40" i="6" a="1"/>
  <c r="S40" i="6" s="1"/>
  <c r="V26" i="6" a="1"/>
  <c r="V26" i="6" s="1"/>
  <c r="L25" i="6" a="1"/>
  <c r="L25" i="6" s="1"/>
  <c r="AQ33" i="6" a="1"/>
  <c r="AQ33" i="6" s="1"/>
  <c r="AH103" i="6" a="1"/>
  <c r="AH103" i="6" s="1"/>
  <c r="AD60" i="6" a="1"/>
  <c r="AD60" i="6" s="1"/>
  <c r="J25" i="6" a="1"/>
  <c r="J25" i="6" s="1"/>
  <c r="AB94" i="6" a="1"/>
  <c r="AB94" i="6" s="1"/>
  <c r="AP81" i="6" a="1"/>
  <c r="AP81" i="6" s="1"/>
  <c r="AD54" i="6" a="1"/>
  <c r="AD54" i="6" s="1"/>
  <c r="F51" i="6" a="1"/>
  <c r="F51" i="6" s="1"/>
  <c r="J69" i="6" a="1"/>
  <c r="J69" i="6" s="1"/>
  <c r="X80" i="6" a="1"/>
  <c r="X80" i="6" s="1"/>
  <c r="AM80" i="6" a="1"/>
  <c r="AM80" i="6" s="1"/>
  <c r="AI9" i="6" a="1"/>
  <c r="AI9" i="6" s="1"/>
  <c r="N41" i="6" a="1"/>
  <c r="N41" i="6" s="1"/>
  <c r="V11" i="6" a="1"/>
  <c r="V11" i="6" s="1"/>
  <c r="F55" i="6" a="1"/>
  <c r="F55" i="6" s="1"/>
  <c r="AH97" i="6" a="1"/>
  <c r="AH97" i="6" s="1"/>
  <c r="AJ82" i="6" a="1"/>
  <c r="AJ82" i="6" s="1"/>
  <c r="R53" i="6" a="1"/>
  <c r="R53" i="6" s="1"/>
  <c r="R47" i="6" a="1"/>
  <c r="R47" i="6" s="1"/>
  <c r="AI95" i="6" a="1"/>
  <c r="AI95" i="6" s="1"/>
  <c r="AB73" i="6" a="1"/>
  <c r="AB73" i="6" s="1"/>
  <c r="P57" i="6" a="1"/>
  <c r="P57" i="6" s="1"/>
  <c r="J63" i="6" a="1"/>
  <c r="J63" i="6" s="1"/>
  <c r="V10" i="6" a="1"/>
  <c r="V10" i="6" s="1"/>
  <c r="Z39" i="6" a="1"/>
  <c r="Z39" i="6" s="1"/>
  <c r="V70" i="6" a="1"/>
  <c r="V70" i="6" s="1"/>
  <c r="X22" i="6" a="1"/>
  <c r="X22" i="6" s="1"/>
  <c r="R100" i="6" a="1"/>
  <c r="R100" i="6" s="1"/>
  <c r="AP58" i="6" a="1"/>
  <c r="AP58" i="6" s="1"/>
  <c r="AD19" i="6" a="1"/>
  <c r="AD19" i="6" s="1"/>
  <c r="AP87" i="6" a="1"/>
  <c r="AP87" i="6" s="1"/>
  <c r="AF34" i="6" a="1"/>
  <c r="AF34" i="6" s="1"/>
  <c r="AL37" i="6" a="1"/>
  <c r="AL37" i="6" s="1"/>
  <c r="AQ45" i="6" a="1"/>
  <c r="AQ45" i="6" s="1"/>
  <c r="AF91" i="6" a="1"/>
  <c r="AF91" i="6" s="1"/>
  <c r="AQ60" i="6" a="1"/>
  <c r="AQ60" i="6" s="1"/>
  <c r="J79" i="6" a="1"/>
  <c r="J79" i="6" s="1"/>
  <c r="Z11" i="6" a="1"/>
  <c r="Z11" i="6" s="1"/>
  <c r="AE58" i="6" a="1"/>
  <c r="AE58" i="6" s="1"/>
  <c r="T74" i="6" a="1"/>
  <c r="T74" i="6" s="1"/>
  <c r="J28" i="6" a="1"/>
  <c r="J28" i="6" s="1"/>
  <c r="N78" i="6" a="1"/>
  <c r="N78" i="6" s="1"/>
  <c r="Z66" i="6" a="1"/>
  <c r="Z66" i="6" s="1"/>
  <c r="AE62" i="6" a="1"/>
  <c r="AE62" i="6" s="1"/>
  <c r="P9" i="6" a="1"/>
  <c r="P9" i="6" s="1"/>
  <c r="X35" i="6" a="1"/>
  <c r="X35" i="6" s="1"/>
  <c r="T100" i="6" a="1"/>
  <c r="T100" i="6" s="1"/>
  <c r="H68" i="6" a="1"/>
  <c r="H68" i="6" s="1"/>
  <c r="AQ93" i="6" a="1"/>
  <c r="AQ93" i="6" s="1"/>
  <c r="AJ69" i="6" a="1"/>
  <c r="AJ69" i="6" s="1"/>
  <c r="S70" i="6" a="1"/>
  <c r="S70" i="6" s="1"/>
  <c r="F59" i="6" a="1"/>
  <c r="F59" i="6" s="1"/>
  <c r="R13" i="6" a="1"/>
  <c r="R13" i="6" s="1"/>
  <c r="AL36" i="6" a="1"/>
  <c r="AL36" i="6" s="1"/>
  <c r="V93" i="6" a="1"/>
  <c r="V93" i="6" s="1"/>
  <c r="F102" i="6" a="1"/>
  <c r="F102" i="6" s="1"/>
  <c r="AA72" i="6" a="1"/>
  <c r="AA72" i="6" s="1"/>
  <c r="AI23" i="6" a="1"/>
  <c r="AI23" i="6" s="1"/>
  <c r="AE51" i="6" a="1"/>
  <c r="AE51" i="6" s="1"/>
  <c r="AA47" i="6" a="1"/>
  <c r="AA47" i="6" s="1"/>
  <c r="S31" i="6" a="1"/>
  <c r="S31" i="6" s="1"/>
  <c r="P39" i="6" a="1"/>
  <c r="P39" i="6" s="1"/>
  <c r="Z70" i="6" a="1"/>
  <c r="Z70" i="6" s="1"/>
  <c r="R61" i="6" a="1"/>
  <c r="R61" i="6" s="1"/>
  <c r="AI77" i="6" a="1"/>
  <c r="AI77" i="6" s="1"/>
  <c r="N74" i="6" a="1"/>
  <c r="N74" i="6" s="1"/>
  <c r="V41" i="6" a="1"/>
  <c r="V41" i="6" s="1"/>
  <c r="AN18" i="6" a="1"/>
  <c r="AN18" i="6" s="1"/>
  <c r="V32" i="6" a="1"/>
  <c r="V32" i="6" s="1"/>
  <c r="AL16" i="6" a="1"/>
  <c r="AL16" i="6" s="1"/>
  <c r="AP83" i="6" a="1"/>
  <c r="AP83" i="6" s="1"/>
  <c r="AQ68" i="6" a="1"/>
  <c r="AQ68" i="6" s="1"/>
  <c r="AL47" i="6" a="1"/>
  <c r="AL47" i="6" s="1"/>
  <c r="AB101" i="6" a="1"/>
  <c r="AB101" i="6" s="1"/>
  <c r="R30" i="6" a="1"/>
  <c r="R30" i="6" s="1"/>
  <c r="AP29" i="6" a="1"/>
  <c r="AP29" i="6" s="1"/>
  <c r="W58" i="6" a="1"/>
  <c r="W58" i="6" s="1"/>
  <c r="AM75" i="6" a="1"/>
  <c r="AM75" i="6" s="1"/>
  <c r="F9" i="6" a="1"/>
  <c r="F9" i="6" s="1"/>
  <c r="AD103" i="6" a="1"/>
  <c r="AD103" i="6" s="1"/>
  <c r="G74" i="6" a="1"/>
  <c r="G74" i="6" s="1"/>
  <c r="J64" i="6" a="1"/>
  <c r="J64" i="6" s="1"/>
  <c r="AD83" i="6" a="1"/>
  <c r="AD83" i="6" s="1"/>
  <c r="AD53" i="6" a="1"/>
  <c r="AD53" i="6" s="1"/>
  <c r="F103" i="6" a="1"/>
  <c r="F103" i="6" s="1"/>
  <c r="O43" i="6" a="1"/>
  <c r="O43" i="6" s="1"/>
  <c r="R37" i="6" a="1"/>
  <c r="R37" i="6" s="1"/>
  <c r="AJ102" i="6" a="1"/>
  <c r="AJ102" i="6" s="1"/>
  <c r="R67" i="6" a="1"/>
  <c r="R67" i="6" s="1"/>
  <c r="AN98" i="6" a="1"/>
  <c r="AN98" i="6" s="1"/>
  <c r="AL63" i="6" a="1"/>
  <c r="AL63" i="6" s="1"/>
  <c r="AM30" i="6" a="1"/>
  <c r="AM30" i="6" s="1"/>
  <c r="AF18" i="6" a="1"/>
  <c r="AF18" i="6" s="1"/>
  <c r="AH27" i="6" a="1"/>
  <c r="AH27" i="6" s="1"/>
  <c r="X86" i="6" a="1"/>
  <c r="X86" i="6" s="1"/>
  <c r="L82" i="6" a="1"/>
  <c r="L82" i="6" s="1"/>
  <c r="N17" i="6" a="1"/>
  <c r="N17" i="6" s="1"/>
  <c r="R49" i="6" a="1"/>
  <c r="R49" i="6" s="1"/>
  <c r="T78" i="6" a="1"/>
  <c r="T78" i="6" s="1"/>
  <c r="AM10" i="6" a="1"/>
  <c r="AM10" i="6" s="1"/>
  <c r="V76" i="6" a="1"/>
  <c r="V76" i="6" s="1"/>
  <c r="J51" i="6" a="1"/>
  <c r="J51" i="6" s="1"/>
  <c r="AJ96" i="6" a="1"/>
  <c r="AJ96" i="6" s="1"/>
  <c r="AI83" i="6" a="1"/>
  <c r="AI83" i="6" s="1"/>
  <c r="AD64" i="6" a="1"/>
  <c r="AD64" i="6" s="1"/>
  <c r="V83" i="6" a="1"/>
  <c r="V83" i="6" s="1"/>
  <c r="AH72" i="6" a="1"/>
  <c r="AH72" i="6" s="1"/>
  <c r="H105" i="6" a="1"/>
  <c r="H105" i="6" s="1"/>
  <c r="AL77" i="6" a="1"/>
  <c r="AL77" i="6" s="1"/>
  <c r="F61" i="6" a="1"/>
  <c r="F61" i="6" s="1"/>
  <c r="T76" i="6" a="1"/>
  <c r="T76" i="6" s="1"/>
  <c r="F75" i="6" a="1"/>
  <c r="F75" i="6" s="1"/>
  <c r="H99" i="6" a="1"/>
  <c r="H99" i="6" s="1"/>
  <c r="J37" i="6" a="1"/>
  <c r="J37" i="6" s="1"/>
  <c r="T97" i="6" a="1"/>
  <c r="T97" i="6" s="1"/>
  <c r="AF68" i="6" a="1"/>
  <c r="AF68" i="6" s="1"/>
  <c r="AJ9" i="6" a="1"/>
  <c r="AJ9" i="6" s="1"/>
  <c r="AA97" i="6" a="1"/>
  <c r="AA97" i="6" s="1"/>
  <c r="L46" i="6" a="1"/>
  <c r="L46" i="6" s="1"/>
  <c r="AL23" i="6" a="1"/>
  <c r="AL23" i="6" s="1"/>
  <c r="AJ14" i="6" a="1"/>
  <c r="AJ14" i="6" s="1"/>
  <c r="AF58" i="6" a="1"/>
  <c r="AF58" i="6" s="1"/>
  <c r="F32" i="6" a="1"/>
  <c r="F32" i="6" s="1"/>
  <c r="Z38" i="6" a="1"/>
  <c r="Z38" i="6" s="1"/>
  <c r="R25" i="6" a="1"/>
  <c r="R25" i="6" s="1"/>
  <c r="AL88" i="6" a="1"/>
  <c r="AL88" i="6" s="1"/>
  <c r="AH49" i="6" a="1"/>
  <c r="AH49" i="6" s="1"/>
  <c r="J55" i="6" a="1"/>
  <c r="J55" i="6" s="1"/>
  <c r="AH88" i="6" a="1"/>
  <c r="AH88" i="6" s="1"/>
  <c r="AL96" i="6" a="1"/>
  <c r="AL96" i="6" s="1"/>
  <c r="AM13" i="6" a="1"/>
  <c r="AM13" i="6" s="1"/>
  <c r="AB63" i="6" a="1"/>
  <c r="AB63" i="6" s="1"/>
  <c r="AF87" i="6" a="1"/>
  <c r="AF87" i="6" s="1"/>
  <c r="AP46" i="6" a="1"/>
  <c r="AP46" i="6" s="1"/>
  <c r="AJ73" i="6" a="1"/>
  <c r="AJ73" i="6" s="1"/>
  <c r="W102" i="6" a="1"/>
  <c r="W102" i="6" s="1"/>
  <c r="X74" i="6" a="1"/>
  <c r="X74" i="6" s="1"/>
  <c r="AH106" i="6" a="1"/>
  <c r="AH106" i="6" s="1"/>
  <c r="N15" i="6" a="1"/>
  <c r="N15" i="6" s="1"/>
  <c r="R7" i="6" a="1"/>
  <c r="R7" i="6" s="1"/>
  <c r="L94" i="6" a="1"/>
  <c r="L94" i="6" s="1"/>
  <c r="X13" i="6" a="1"/>
  <c r="X13" i="6" s="1"/>
  <c r="AN34" i="6" a="1"/>
  <c r="AN34" i="6" s="1"/>
  <c r="O62" i="6" a="1"/>
  <c r="O62" i="6" s="1"/>
  <c r="AH13" i="6" a="1"/>
  <c r="AH13" i="6" s="1"/>
  <c r="AM67" i="6" a="1"/>
  <c r="AM67" i="6" s="1"/>
  <c r="O35" i="6" a="1"/>
  <c r="O35" i="6" s="1"/>
  <c r="F15" i="6" a="1"/>
  <c r="F15" i="6" s="1"/>
  <c r="T90" i="6" a="1"/>
  <c r="T90" i="6" s="1"/>
  <c r="S99" i="6" a="1"/>
  <c r="S99" i="6" s="1"/>
  <c r="AI42" i="6" a="1"/>
  <c r="AI42" i="6" s="1"/>
  <c r="H72" i="6" a="1"/>
  <c r="H72" i="6" s="1"/>
  <c r="P68" i="6" a="1"/>
  <c r="P68" i="6" s="1"/>
  <c r="T40" i="6" a="1"/>
  <c r="T40" i="6" s="1"/>
  <c r="AD35" i="6" a="1"/>
  <c r="AD35" i="6" s="1"/>
  <c r="V15" i="6" a="1"/>
  <c r="V15" i="6" s="1"/>
  <c r="D10" i="6" a="1"/>
  <c r="D10" i="6" s="1"/>
  <c r="AP9" i="6" a="1"/>
  <c r="AP9" i="6" s="1"/>
  <c r="Z26" i="6" a="1"/>
  <c r="Z26" i="6" s="1"/>
  <c r="AH74" i="6" a="1"/>
  <c r="AH74" i="6" s="1"/>
  <c r="F66" i="6" a="1"/>
  <c r="F66" i="6" s="1"/>
  <c r="AB80" i="6" a="1"/>
  <c r="AB80" i="6" s="1"/>
  <c r="P25" i="6" a="1"/>
  <c r="P25" i="6" s="1"/>
  <c r="N45" i="6" a="1"/>
  <c r="N45" i="6" s="1"/>
  <c r="AJ58" i="6" a="1"/>
  <c r="AJ58" i="6" s="1"/>
  <c r="AD59" i="6" a="1"/>
  <c r="AD59" i="6" s="1"/>
  <c r="X34" i="6" a="1"/>
  <c r="X34" i="6" s="1"/>
  <c r="H101" i="6" a="1"/>
  <c r="H101" i="6" s="1"/>
  <c r="P82" i="6" a="1"/>
  <c r="P82" i="6" s="1"/>
  <c r="AI41" i="6" a="1"/>
  <c r="AI41" i="6" s="1"/>
  <c r="AJ100" i="6" a="1"/>
  <c r="AJ100" i="6" s="1"/>
  <c r="H25" i="6" a="1"/>
  <c r="H25" i="6" s="1"/>
  <c r="D40" i="6" a="1"/>
  <c r="D40" i="6" s="1"/>
  <c r="P87" i="6" a="1"/>
  <c r="P87" i="6" s="1"/>
  <c r="F80" i="6" a="1"/>
  <c r="F80" i="6" s="1"/>
  <c r="R85" i="6" a="1"/>
  <c r="R85" i="6" s="1"/>
  <c r="AH45" i="6" a="1"/>
  <c r="AH45" i="6" s="1"/>
  <c r="N39" i="6" a="1"/>
  <c r="N39" i="6" s="1"/>
  <c r="X88" i="6" a="1"/>
  <c r="X88" i="6" s="1"/>
  <c r="AB56" i="6" a="1"/>
  <c r="AB56" i="6" s="1"/>
  <c r="J48" i="6" a="1"/>
  <c r="J48" i="6" s="1"/>
  <c r="AP102" i="6" a="1"/>
  <c r="AP102" i="6" s="1"/>
  <c r="P81" i="6" a="1"/>
  <c r="P81" i="6" s="1"/>
  <c r="P86" i="6" a="1"/>
  <c r="P86" i="6" s="1"/>
  <c r="X32" i="6" a="1"/>
  <c r="X32" i="6" s="1"/>
  <c r="AP86" i="6" a="1"/>
  <c r="AP86" i="6" s="1"/>
  <c r="P47" i="6" a="1"/>
  <c r="P47" i="6" s="1"/>
  <c r="AF25" i="6" a="1"/>
  <c r="AF25" i="6" s="1"/>
  <c r="AN73" i="6" a="1"/>
  <c r="AN73" i="6" s="1"/>
  <c r="Z35" i="6" a="1"/>
  <c r="Z35" i="6" s="1"/>
  <c r="AL45" i="6" a="1"/>
  <c r="AL45" i="6" s="1"/>
  <c r="AI61" i="6" a="1"/>
  <c r="AI61" i="6" s="1"/>
  <c r="V44" i="6" a="1"/>
  <c r="V44" i="6" s="1"/>
  <c r="AF15" i="6" a="1"/>
  <c r="AF15" i="6" s="1"/>
  <c r="X96" i="6" a="1"/>
  <c r="X96" i="6" s="1"/>
  <c r="J15" i="6" a="1"/>
  <c r="J15" i="6" s="1"/>
  <c r="AD27" i="6" a="1"/>
  <c r="AD27" i="6" s="1"/>
  <c r="AB14" i="6" a="1"/>
  <c r="AB14" i="6" s="1"/>
  <c r="T103" i="6" a="1"/>
  <c r="T103" i="6" s="1"/>
  <c r="L29" i="6" a="1"/>
  <c r="L29" i="6" s="1"/>
  <c r="R58" i="6" a="1"/>
  <c r="R58" i="6" s="1"/>
  <c r="N65" i="6" a="1"/>
  <c r="N65" i="6" s="1"/>
  <c r="Z85" i="6" a="1"/>
  <c r="Z85" i="6" s="1"/>
  <c r="AJ50" i="6" a="1"/>
  <c r="AJ50" i="6" s="1"/>
  <c r="P37" i="6" a="1"/>
  <c r="P37" i="6" s="1"/>
  <c r="H18" i="6" a="1"/>
  <c r="H18" i="6" s="1"/>
  <c r="AL67" i="6" a="1"/>
  <c r="AL67" i="6" s="1"/>
  <c r="Z19" i="6" a="1"/>
  <c r="Z19" i="6" s="1"/>
  <c r="AH33" i="6" a="1"/>
  <c r="AH33" i="6" s="1"/>
  <c r="X16" i="6" a="1"/>
  <c r="X16" i="6" s="1"/>
  <c r="AP62" i="6" a="1"/>
  <c r="AP62" i="6" s="1"/>
  <c r="H10" i="6" a="1"/>
  <c r="H10" i="6" s="1"/>
  <c r="T16" i="6" a="1"/>
  <c r="T16" i="6" s="1"/>
  <c r="X45" i="6" a="1"/>
  <c r="X45" i="6" s="1"/>
  <c r="AJ61" i="6" a="1"/>
  <c r="AJ61" i="6" s="1"/>
  <c r="AB28" i="6" a="1"/>
  <c r="AB28" i="6" s="1"/>
  <c r="AL100" i="6" a="1"/>
  <c r="AL100" i="6" s="1"/>
  <c r="P58" i="6" a="1"/>
  <c r="P58" i="6" s="1"/>
  <c r="N12" i="6" a="1"/>
  <c r="N12" i="6" s="1"/>
  <c r="AB34" i="6" a="1"/>
  <c r="AB34" i="6" s="1"/>
  <c r="J19" i="6" a="1"/>
  <c r="J19" i="6" s="1"/>
  <c r="N79" i="6" a="1"/>
  <c r="N79" i="6" s="1"/>
  <c r="H34" i="6" a="1"/>
  <c r="H34" i="6" s="1"/>
  <c r="AM40" i="6" a="1"/>
  <c r="AM40" i="6" s="1"/>
  <c r="F74" i="6" a="1"/>
  <c r="F74" i="6" s="1"/>
  <c r="Z50" i="6" a="1"/>
  <c r="Z50" i="6" s="1"/>
  <c r="AJ72" i="6" a="1"/>
  <c r="AJ72" i="6" s="1"/>
  <c r="X48" i="6" a="1"/>
  <c r="X48" i="6" s="1"/>
  <c r="H9" i="6" a="1"/>
  <c r="H9" i="6" s="1"/>
  <c r="AJ91" i="6" a="1"/>
  <c r="AJ91" i="6" s="1"/>
  <c r="X20" i="6" a="1"/>
  <c r="X20" i="6" s="1"/>
  <c r="AL57" i="6" a="1"/>
  <c r="AL57" i="6" s="1"/>
  <c r="D106" i="6" a="1"/>
  <c r="D106" i="6" s="1"/>
  <c r="K33" i="6" a="1"/>
  <c r="K33" i="6" s="1"/>
  <c r="R93" i="6" a="1"/>
  <c r="R93" i="6" s="1"/>
  <c r="P59" i="6" a="1"/>
  <c r="P59" i="6" s="1"/>
  <c r="V57" i="6" a="1"/>
  <c r="V57" i="6" s="1"/>
  <c r="AL55" i="6" a="1"/>
  <c r="AL55" i="6" s="1"/>
  <c r="Z79" i="6" a="1"/>
  <c r="Z79" i="6" s="1"/>
  <c r="Z33" i="6" a="1"/>
  <c r="Z33" i="6" s="1"/>
  <c r="AF33" i="6" a="1"/>
  <c r="AF33" i="6" s="1"/>
  <c r="AI94" i="6" a="1"/>
  <c r="AI94" i="6" s="1"/>
  <c r="V92" i="6" a="1"/>
  <c r="V92" i="6" s="1"/>
  <c r="N76" i="6" a="1"/>
  <c r="N76" i="6" s="1"/>
  <c r="AP94" i="6" a="1"/>
  <c r="AP94" i="6" s="1"/>
  <c r="T92" i="6" a="1"/>
  <c r="T92" i="6" s="1"/>
  <c r="AH8" i="6" a="1"/>
  <c r="AH8" i="6" s="1"/>
  <c r="R19" i="6" a="1"/>
  <c r="R19" i="6" s="1"/>
  <c r="T64" i="6" a="1"/>
  <c r="T64" i="6" s="1"/>
  <c r="L9" i="6" a="1"/>
  <c r="L9" i="6" s="1"/>
  <c r="H65" i="6" a="1"/>
  <c r="H65" i="6" s="1"/>
  <c r="L105" i="6" a="1"/>
  <c r="L105" i="6" s="1"/>
  <c r="AN13" i="6" a="1"/>
  <c r="AN13" i="6" s="1"/>
  <c r="AE9" i="6" a="1"/>
  <c r="AE9" i="6" s="1"/>
  <c r="P79" i="6" a="1"/>
  <c r="P79" i="6" s="1"/>
  <c r="AJ42" i="6" a="1"/>
  <c r="AJ42" i="6" s="1"/>
  <c r="N55" i="6" a="1"/>
  <c r="N55" i="6" s="1"/>
  <c r="V29" i="6" a="1"/>
  <c r="V29" i="6" s="1"/>
  <c r="T75" i="6" a="1"/>
  <c r="T75" i="6" s="1"/>
  <c r="AP59" i="6" a="1"/>
  <c r="AP59" i="6" s="1"/>
  <c r="AJ65" i="6" a="1"/>
  <c r="AJ65" i="6" s="1"/>
  <c r="AL59" i="6" a="1"/>
  <c r="AL59" i="6" s="1"/>
  <c r="AL49" i="6" a="1"/>
  <c r="AL49" i="6" s="1"/>
  <c r="AF76" i="6" a="1"/>
  <c r="AF76" i="6" s="1"/>
  <c r="J21" i="6" a="1"/>
  <c r="J21" i="6" s="1"/>
  <c r="AB100" i="6" a="1"/>
  <c r="AB100" i="6" s="1"/>
  <c r="AN88" i="6" a="1"/>
  <c r="AN88" i="6" s="1"/>
  <c r="N69" i="6" a="1"/>
  <c r="N69" i="6" s="1"/>
  <c r="AI91" i="6" a="1"/>
  <c r="AI91" i="6" s="1"/>
  <c r="L66" i="6" a="1"/>
  <c r="L66" i="6" s="1"/>
  <c r="P30" i="6" a="1"/>
  <c r="P30" i="6" s="1"/>
  <c r="Z93" i="6" a="1"/>
  <c r="Z93" i="6" s="1"/>
  <c r="AH28" i="6" a="1"/>
  <c r="AH28" i="6" s="1"/>
  <c r="AI44" i="6" a="1"/>
  <c r="AI44" i="6" s="1"/>
  <c r="J89" i="6" a="1"/>
  <c r="J89" i="6" s="1"/>
  <c r="J67" i="6" a="1"/>
  <c r="J67" i="6" s="1"/>
  <c r="AB102" i="6" a="1"/>
  <c r="AB102" i="6" s="1"/>
  <c r="T96" i="6" a="1"/>
  <c r="T96" i="6" s="1"/>
  <c r="AF93" i="6" a="1"/>
  <c r="AF93" i="6" s="1"/>
  <c r="AQ82" i="6" a="1"/>
  <c r="AQ82" i="6" s="1"/>
  <c r="AB83" i="6" a="1"/>
  <c r="AB83" i="6" s="1"/>
  <c r="G101" i="6" a="1"/>
  <c r="G101" i="6" s="1"/>
  <c r="AF70" i="6" a="1"/>
  <c r="AF70" i="6" s="1"/>
  <c r="AB52" i="6" a="1"/>
  <c r="AB52" i="6" s="1"/>
  <c r="AP74" i="6" a="1"/>
  <c r="AP74" i="6" s="1"/>
  <c r="P105" i="6" a="1"/>
  <c r="P105" i="6" s="1"/>
  <c r="L93" i="6" a="1"/>
  <c r="L93" i="6" s="1"/>
  <c r="D11" i="6" a="1"/>
  <c r="D11" i="6" s="1"/>
  <c r="AP51" i="6" a="1"/>
  <c r="AP51" i="6" s="1"/>
  <c r="Z36" i="6" a="1"/>
  <c r="Z36" i="6" s="1"/>
  <c r="P21" i="6" a="1"/>
  <c r="P21" i="6" s="1"/>
  <c r="V23" i="6" a="1"/>
  <c r="V23" i="6" s="1"/>
  <c r="AL24" i="6" a="1"/>
  <c r="AL24" i="6" s="1"/>
  <c r="AF14" i="6" a="1"/>
  <c r="AF14" i="6" s="1"/>
  <c r="J34" i="6" a="1"/>
  <c r="J34" i="6" s="1"/>
  <c r="AP95" i="6" a="1"/>
  <c r="AP95" i="6" s="1"/>
  <c r="AF78" i="6" a="1"/>
  <c r="AF78" i="6" s="1"/>
  <c r="J35" i="6" a="1"/>
  <c r="J35" i="6" s="1"/>
  <c r="L103" i="6" a="1"/>
  <c r="L103" i="6" s="1"/>
  <c r="Z94" i="6" a="1"/>
  <c r="Z94" i="6" s="1"/>
  <c r="AP54" i="6" a="1"/>
  <c r="AP54" i="6" s="1"/>
  <c r="AB23" i="6" a="1"/>
  <c r="AB23" i="6" s="1"/>
  <c r="L98" i="6" a="1"/>
  <c r="L98" i="6" s="1"/>
  <c r="R88" i="6" a="1"/>
  <c r="R88" i="6" s="1"/>
  <c r="AJ33" i="6" a="1"/>
  <c r="AJ33" i="6" s="1"/>
  <c r="AL35" i="6" a="1"/>
  <c r="AL35" i="6" s="1"/>
  <c r="AL38" i="6" a="1"/>
  <c r="AL38" i="6" s="1"/>
  <c r="R83" i="6" a="1"/>
  <c r="R83" i="6" s="1"/>
  <c r="L47" i="6" a="1"/>
  <c r="L47" i="6" s="1"/>
  <c r="AL28" i="6" a="1"/>
  <c r="AL28" i="6" s="1"/>
  <c r="AQ32" i="6" a="1"/>
  <c r="AQ32" i="6" s="1"/>
  <c r="D80" i="6" a="1"/>
  <c r="D80" i="6" s="1"/>
  <c r="X17" i="6" a="1"/>
  <c r="X17" i="6" s="1"/>
  <c r="AP92" i="6" a="1"/>
  <c r="AP92" i="6" s="1"/>
  <c r="AB105" i="6" a="1"/>
  <c r="AB105" i="6" s="1"/>
  <c r="X46" i="6" a="1"/>
  <c r="X46" i="6" s="1"/>
  <c r="L48" i="6" a="1"/>
  <c r="L48" i="6" s="1"/>
  <c r="AM15" i="6" a="1"/>
  <c r="AM15" i="6" s="1"/>
  <c r="AA11" i="6" a="1"/>
  <c r="AA11" i="6" s="1"/>
  <c r="AP97" i="6" a="1"/>
  <c r="AP97" i="6" s="1"/>
  <c r="AA52" i="6" a="1"/>
  <c r="AA52" i="6" s="1"/>
  <c r="R21" i="6" a="1"/>
  <c r="R21" i="6" s="1"/>
  <c r="AP32" i="6" a="1"/>
  <c r="AP32" i="6" s="1"/>
  <c r="J105" i="6" a="1"/>
  <c r="J105" i="6" s="1"/>
  <c r="AN78" i="6" a="1"/>
  <c r="AN78" i="6" s="1"/>
  <c r="D48" i="6" a="1"/>
  <c r="D48" i="6" s="1"/>
  <c r="J82" i="6" a="1"/>
  <c r="J82" i="6" s="1"/>
  <c r="AJ46" i="6" a="1"/>
  <c r="AJ46" i="6" s="1"/>
  <c r="T23" i="6" a="1"/>
  <c r="T23" i="6" s="1"/>
  <c r="T59" i="6" a="1"/>
  <c r="T59" i="6" s="1"/>
  <c r="Z61" i="6" a="1"/>
  <c r="Z61" i="6" s="1"/>
  <c r="AH71" i="6" a="1"/>
  <c r="AH71" i="6" s="1"/>
  <c r="V61" i="6" a="1"/>
  <c r="V61" i="6" s="1"/>
  <c r="V31" i="6" a="1"/>
  <c r="V31" i="6" s="1"/>
  <c r="T70" i="6" a="1"/>
  <c r="T70" i="6" s="1"/>
  <c r="AD66" i="6" a="1"/>
  <c r="AD66" i="6" s="1"/>
  <c r="P92" i="6" a="1"/>
  <c r="P92" i="6" s="1"/>
  <c r="AA10" i="6" a="1"/>
  <c r="AA10" i="6" s="1"/>
  <c r="H46" i="6" a="1"/>
  <c r="H46" i="6" s="1"/>
  <c r="D52" i="6" a="1"/>
  <c r="D52" i="6" s="1"/>
  <c r="T84" i="6" a="1"/>
  <c r="T84" i="6" s="1"/>
  <c r="AN82" i="6" a="1"/>
  <c r="AN82" i="6" s="1"/>
  <c r="T21" i="6" a="1"/>
  <c r="T21" i="6" s="1"/>
  <c r="V68" i="6" a="1"/>
  <c r="V68" i="6" s="1"/>
  <c r="R68" i="6" a="1"/>
  <c r="R68" i="6" s="1"/>
  <c r="AN87" i="6" a="1"/>
  <c r="AN87" i="6" s="1"/>
  <c r="J24" i="6" a="1"/>
  <c r="J24" i="6" s="1"/>
  <c r="AL39" i="6" a="1"/>
  <c r="AL39" i="6" s="1"/>
  <c r="AL80" i="6" a="1"/>
  <c r="AL80" i="6" s="1"/>
  <c r="AF84" i="6" a="1"/>
  <c r="AF84" i="6" s="1"/>
  <c r="AP98" i="6" a="1"/>
  <c r="AP98" i="6" s="1"/>
  <c r="T50" i="6" a="1"/>
  <c r="T50" i="6" s="1"/>
  <c r="AB69" i="6" a="1"/>
  <c r="AB69" i="6" s="1"/>
  <c r="P75" i="6" a="1"/>
  <c r="P75" i="6" s="1"/>
  <c r="AB96" i="6" a="1"/>
  <c r="AB96" i="6" s="1"/>
  <c r="AB35" i="6" a="1"/>
  <c r="AB35" i="6" s="1"/>
  <c r="P13" i="6" a="1"/>
  <c r="P13" i="6" s="1"/>
  <c r="AN77" i="6" a="1"/>
  <c r="AN77" i="6" s="1"/>
  <c r="AN106" i="6" a="1"/>
  <c r="AN106" i="6" s="1"/>
  <c r="P11" i="6" a="1"/>
  <c r="P11" i="6" s="1"/>
  <c r="V12" i="6" a="1"/>
  <c r="V12" i="6" s="1"/>
  <c r="AF55" i="6" a="1"/>
  <c r="AF55" i="6" s="1"/>
  <c r="AH70" i="6" a="1"/>
  <c r="AH70" i="6" s="1"/>
  <c r="N71" i="6" a="1"/>
  <c r="N71" i="6" s="1"/>
  <c r="X93" i="6" a="1"/>
  <c r="X93" i="6" s="1"/>
  <c r="P104" i="6" a="1"/>
  <c r="P104" i="6" s="1"/>
  <c r="AL15" i="6" a="1"/>
  <c r="AL15" i="6" s="1"/>
  <c r="J83" i="6" a="1"/>
  <c r="J83" i="6" s="1"/>
  <c r="P22" i="6" a="1"/>
  <c r="P22" i="6" s="1"/>
  <c r="R97" i="6" a="1"/>
  <c r="R97" i="6" s="1"/>
  <c r="AL32" i="6" a="1"/>
  <c r="AL32" i="6" s="1"/>
  <c r="AP66" i="6" a="1"/>
  <c r="AP66" i="6" s="1"/>
  <c r="X92" i="6" a="1"/>
  <c r="X92" i="6" s="1"/>
  <c r="AH34" i="6" a="1"/>
  <c r="AH34" i="6" s="1"/>
  <c r="AB86" i="6" a="1"/>
  <c r="AB86" i="6" s="1"/>
  <c r="AD37" i="6" a="1"/>
  <c r="AD37" i="6" s="1"/>
  <c r="Z58" i="6" a="1"/>
  <c r="Z58" i="6" s="1"/>
  <c r="AP22" i="6" a="1"/>
  <c r="AP22" i="6" s="1"/>
  <c r="R76" i="6" a="1"/>
  <c r="R76" i="6" s="1"/>
  <c r="F101" i="6" a="1"/>
  <c r="F101" i="6" s="1"/>
  <c r="H59" i="6" a="1"/>
  <c r="H59" i="6" s="1"/>
  <c r="F67" i="6" a="1"/>
  <c r="F67" i="6" s="1"/>
  <c r="V82" i="6" a="1"/>
  <c r="V82" i="6" s="1"/>
  <c r="J41" i="6" a="1"/>
  <c r="J41" i="6" s="1"/>
  <c r="R87" i="6" a="1"/>
  <c r="R87" i="6" s="1"/>
  <c r="L55" i="6" a="1"/>
  <c r="L55" i="6" s="1"/>
  <c r="AI60" i="6" a="1"/>
  <c r="AI60" i="6" s="1"/>
  <c r="AN74" i="6" a="1"/>
  <c r="AN74" i="6" s="1"/>
  <c r="AN33" i="6" a="1"/>
  <c r="AN33" i="6" s="1"/>
  <c r="Z71" i="6" a="1"/>
  <c r="Z71" i="6" s="1"/>
  <c r="P51" i="6" a="1"/>
  <c r="P51" i="6" s="1"/>
  <c r="AB12" i="6" a="1"/>
  <c r="AB12" i="6" s="1"/>
  <c r="J61" i="6" a="1"/>
  <c r="J61" i="6" s="1"/>
  <c r="R12" i="6" a="1"/>
  <c r="R12" i="6" s="1"/>
  <c r="AB27" i="6" a="1"/>
  <c r="AB27" i="6" s="1"/>
  <c r="P72" i="6" a="1"/>
  <c r="P72" i="6" s="1"/>
  <c r="P34" i="6" a="1"/>
  <c r="P34" i="6" s="1"/>
  <c r="F105" i="6" a="1"/>
  <c r="F105" i="6" s="1"/>
  <c r="Z77" i="6" a="1"/>
  <c r="Z77" i="6" s="1"/>
  <c r="AH20" i="6" a="1"/>
  <c r="AH20" i="6" s="1"/>
  <c r="T102" i="6" a="1"/>
  <c r="T102" i="6" s="1"/>
  <c r="H53" i="6" a="1"/>
  <c r="H53" i="6" s="1"/>
  <c r="AF75" i="6" a="1"/>
  <c r="AF75" i="6" s="1"/>
  <c r="L79" i="6" a="1"/>
  <c r="L79" i="6" s="1"/>
  <c r="AB75" i="6" a="1"/>
  <c r="AB75" i="6" s="1"/>
  <c r="AH75" i="6" a="1"/>
  <c r="AH75" i="6" s="1"/>
  <c r="AJ20" i="6" a="1"/>
  <c r="AJ20" i="6" s="1"/>
  <c r="AN32" i="6" a="1"/>
  <c r="AN32" i="6" s="1"/>
  <c r="L53" i="6" a="1"/>
  <c r="L53" i="6" s="1"/>
  <c r="AF57" i="6" a="1"/>
  <c r="AF57" i="6" s="1"/>
  <c r="D66" i="6" a="1"/>
  <c r="D66" i="6" s="1"/>
  <c r="AJ31" i="6" a="1"/>
  <c r="AJ31" i="6" s="1"/>
  <c r="AP23" i="6" a="1"/>
  <c r="AP23" i="6" s="1"/>
  <c r="AE22" i="6" a="1"/>
  <c r="AE22" i="6" s="1"/>
  <c r="AJ63" i="6" a="1"/>
  <c r="AJ63" i="6" s="1"/>
  <c r="X99" i="6" a="1"/>
  <c r="X99" i="6" s="1"/>
  <c r="T25" i="6" a="1"/>
  <c r="T25" i="6" s="1"/>
  <c r="X29" i="6" a="1"/>
  <c r="X29" i="6" s="1"/>
  <c r="L7" i="6" a="1"/>
  <c r="L7" i="6" s="1"/>
  <c r="P20" i="6" a="1"/>
  <c r="P20" i="6" s="1"/>
  <c r="AF49" i="6" a="1"/>
  <c r="AF49" i="6" s="1"/>
  <c r="AJ17" i="6" a="1"/>
  <c r="AJ17" i="6" s="1"/>
  <c r="H40" i="6" a="1"/>
  <c r="H40" i="6" s="1"/>
  <c r="Z28" i="6" a="1"/>
  <c r="Z28" i="6" s="1"/>
  <c r="T66" i="6" a="1"/>
  <c r="T66" i="6" s="1"/>
  <c r="P70" i="6" a="1"/>
  <c r="P70" i="6" s="1"/>
  <c r="R50" i="6" a="1"/>
  <c r="R50" i="6" s="1"/>
  <c r="AF64" i="6" a="1"/>
  <c r="AF64" i="6" s="1"/>
  <c r="P33" i="6" a="1"/>
  <c r="P33" i="6" s="1"/>
  <c r="AJ18" i="6" a="1"/>
  <c r="AJ18" i="6" s="1"/>
  <c r="AN64" i="6" a="1"/>
  <c r="AN64" i="6" s="1"/>
  <c r="AJ105" i="6" a="1"/>
  <c r="AJ105" i="6" s="1"/>
  <c r="AJ23" i="6" a="1"/>
  <c r="AJ23" i="6" s="1"/>
  <c r="AA93" i="6" a="1"/>
  <c r="AA93" i="6" s="1"/>
  <c r="J97" i="6" a="1"/>
  <c r="J97" i="6" s="1"/>
  <c r="S15" i="6" a="1"/>
  <c r="S15" i="6" s="1"/>
  <c r="D18" i="6" a="1"/>
  <c r="D18" i="6" s="1"/>
  <c r="F65" i="6" a="1"/>
  <c r="F65" i="6" s="1"/>
  <c r="N23" i="6" a="1"/>
  <c r="N23" i="6" s="1"/>
  <c r="L84" i="6" a="1"/>
  <c r="L84" i="6" s="1"/>
  <c r="T57" i="6" a="1"/>
  <c r="T57" i="6" s="1"/>
  <c r="AJ49" i="6" a="1"/>
  <c r="AJ49" i="6" s="1"/>
  <c r="X33" i="6" a="1"/>
  <c r="X33" i="6" s="1"/>
  <c r="T98" i="6" a="1"/>
  <c r="T98" i="6" s="1"/>
  <c r="Z64" i="6" a="1"/>
  <c r="Z64" i="6" s="1"/>
  <c r="Z99" i="6" a="1"/>
  <c r="Z99" i="6" s="1"/>
  <c r="AJ54" i="6" a="1"/>
  <c r="AJ54" i="6" s="1"/>
  <c r="V86" i="6" a="1"/>
  <c r="V86" i="6" s="1"/>
  <c r="AL61" i="6" a="1"/>
  <c r="AL61" i="6" s="1"/>
  <c r="L70" i="6" a="1"/>
  <c r="L70" i="6" s="1"/>
  <c r="AF43" i="6" a="1"/>
  <c r="AF43" i="6" s="1"/>
  <c r="AD16" i="6" a="1"/>
  <c r="AD16" i="6" s="1"/>
  <c r="H62" i="6" a="1"/>
  <c r="H62" i="6" s="1"/>
  <c r="AN11" i="6" a="1"/>
  <c r="AN11" i="6" s="1"/>
  <c r="AL43" i="6" a="1"/>
  <c r="AL43" i="6" s="1"/>
  <c r="H98" i="6" a="1"/>
  <c r="H98" i="6" s="1"/>
  <c r="Z59" i="6" a="1"/>
  <c r="Z59" i="6" s="1"/>
  <c r="D93" i="6" a="1"/>
  <c r="D93" i="6" s="1"/>
  <c r="H29" i="6" a="1"/>
  <c r="H29" i="6" s="1"/>
  <c r="L35" i="6" a="1"/>
  <c r="L35" i="6" s="1"/>
  <c r="V69" i="6" a="1"/>
  <c r="V69" i="6" s="1"/>
  <c r="N37" i="6" a="1"/>
  <c r="N37" i="6" s="1"/>
  <c r="AF36" i="6" a="1"/>
  <c r="AF36" i="6" s="1"/>
  <c r="X50" i="6" a="1"/>
  <c r="X50" i="6" s="1"/>
  <c r="AQ10" i="6" a="1"/>
  <c r="AQ10" i="6" s="1"/>
  <c r="AP71" i="6" a="1"/>
  <c r="AP71" i="6" s="1"/>
  <c r="W27" i="6" a="1"/>
  <c r="W27" i="6" s="1"/>
  <c r="AH23" i="6" a="1"/>
  <c r="AH23" i="6" s="1"/>
  <c r="V90" i="6" a="1"/>
  <c r="V90" i="6" s="1"/>
  <c r="T58" i="6" a="1"/>
  <c r="T58" i="6" s="1"/>
  <c r="L22" i="6" a="1"/>
  <c r="L22" i="6" s="1"/>
  <c r="AN67" i="6" a="1"/>
  <c r="AN67" i="6" s="1"/>
  <c r="H76" i="6" a="1"/>
  <c r="H76" i="6" s="1"/>
  <c r="AP16" i="6" a="1"/>
  <c r="AP16" i="6" s="1"/>
  <c r="AL42" i="6" a="1"/>
  <c r="AL42" i="6" s="1"/>
  <c r="X19" i="6" a="1"/>
  <c r="X19" i="6" s="1"/>
  <c r="AI20" i="6" a="1"/>
  <c r="AI20" i="6" s="1"/>
  <c r="P40" i="6" a="1"/>
  <c r="P40" i="6" s="1"/>
  <c r="AD7" i="6" a="1"/>
  <c r="AD7" i="6" s="1"/>
  <c r="P74" i="6" a="1"/>
  <c r="P74" i="6" s="1"/>
  <c r="Z49" i="6" a="1"/>
  <c r="Z49" i="6" s="1"/>
  <c r="R77" i="6" a="1"/>
  <c r="R77" i="6" s="1"/>
  <c r="L68" i="6" a="1"/>
  <c r="L68" i="6" s="1"/>
  <c r="AJ70" i="6" a="1"/>
  <c r="AJ70" i="6" s="1"/>
  <c r="AJ89" i="6" a="1"/>
  <c r="AJ89" i="6" s="1"/>
  <c r="X78" i="6" a="1"/>
  <c r="X78" i="6" s="1"/>
  <c r="P62" i="6" a="1"/>
  <c r="P62" i="6" s="1"/>
  <c r="AH29" i="6" a="1"/>
  <c r="AH29" i="6" s="1"/>
  <c r="AP28" i="6" a="1"/>
  <c r="AP28" i="6" s="1"/>
  <c r="AH83" i="6" a="1"/>
  <c r="AH83" i="6" s="1"/>
  <c r="AB84" i="6" a="1"/>
  <c r="AB84" i="6" s="1"/>
  <c r="H17" i="6" a="1"/>
  <c r="H17" i="6" s="1"/>
  <c r="X9" i="6" a="1"/>
  <c r="X9" i="6" s="1"/>
  <c r="AF53" i="6" a="1"/>
  <c r="AF53" i="6" s="1"/>
  <c r="AB62" i="6" a="1"/>
  <c r="AB62" i="6" s="1"/>
  <c r="AB53" i="6" a="1"/>
  <c r="AB53" i="6" s="1"/>
  <c r="D87" i="6" a="1"/>
  <c r="D87" i="6" s="1"/>
  <c r="AN53" i="6" a="1"/>
  <c r="AN53" i="6" s="1"/>
  <c r="P10" i="6" a="1"/>
  <c r="P10" i="6" s="1"/>
  <c r="D58" i="6" a="1"/>
  <c r="D58" i="6" s="1"/>
  <c r="V40" i="6" a="1"/>
  <c r="V40" i="6" s="1"/>
  <c r="AL54" i="6" a="1"/>
  <c r="AL54" i="6" s="1"/>
  <c r="L97" i="6" a="1"/>
  <c r="L97" i="6" s="1"/>
  <c r="P85" i="6" a="1"/>
  <c r="P85" i="6" s="1"/>
  <c r="P53" i="6" a="1"/>
  <c r="P53" i="6" s="1"/>
  <c r="AB37" i="6" a="1"/>
  <c r="AB37" i="6" s="1"/>
  <c r="T18" i="6" a="1"/>
  <c r="T18" i="6" s="1"/>
  <c r="X11" i="6" a="1"/>
  <c r="X11" i="6" s="1"/>
  <c r="N26" i="6" a="1"/>
  <c r="N26" i="6" s="1"/>
  <c r="AF28" i="6" a="1"/>
  <c r="AF28" i="6" s="1"/>
  <c r="H85" i="6" a="1"/>
  <c r="H85" i="6" s="1"/>
  <c r="AD32" i="6" a="1"/>
  <c r="AD32" i="6" s="1"/>
  <c r="H56" i="6" a="1"/>
  <c r="H56" i="6" s="1"/>
  <c r="P67" i="6" a="1"/>
  <c r="P67" i="6" s="1"/>
  <c r="D21" i="6" a="1"/>
  <c r="D21" i="6" s="1"/>
  <c r="AL89" i="6" a="1"/>
  <c r="AL89" i="6" s="1"/>
  <c r="AL93" i="6" a="1"/>
  <c r="AL93" i="6" s="1"/>
  <c r="AM14" i="6" a="1"/>
  <c r="AM14" i="6" s="1"/>
  <c r="AI36" i="6" a="1"/>
  <c r="AI36" i="6" s="1"/>
  <c r="L74" i="6" a="1"/>
  <c r="L74" i="6" s="1"/>
  <c r="D102" i="6" a="1"/>
  <c r="D102" i="6" s="1"/>
  <c r="AB7" i="6" a="1"/>
  <c r="AB7" i="6" s="1"/>
  <c r="AL85" i="6" a="1"/>
  <c r="AL85" i="6" s="1"/>
  <c r="AN75" i="6" a="1"/>
  <c r="AN75" i="6" s="1"/>
  <c r="T36" i="6" a="1"/>
  <c r="T36" i="6" s="1"/>
  <c r="V49" i="6" a="1"/>
  <c r="V49" i="6" s="1"/>
  <c r="AN56" i="6" a="1"/>
  <c r="AN56" i="6" s="1"/>
  <c r="AA13" i="6" a="1"/>
  <c r="AA13" i="6" s="1"/>
  <c r="AD45" i="6" a="1"/>
  <c r="AD45" i="6" s="1"/>
  <c r="V89" i="6" a="1"/>
  <c r="V89" i="6" s="1"/>
  <c r="H7" i="6" a="1"/>
  <c r="H7" i="6" s="1"/>
  <c r="T88" i="6" a="1"/>
  <c r="T88" i="6" s="1"/>
  <c r="AQ66" i="6" a="1"/>
  <c r="AQ66" i="6" s="1"/>
  <c r="AI102" i="6" a="1"/>
  <c r="AI102" i="6" s="1"/>
  <c r="AJ43" i="6" a="1"/>
  <c r="AJ43" i="6" s="1"/>
  <c r="X31" i="6" a="1"/>
  <c r="X31" i="6" s="1"/>
  <c r="D62" i="6" a="1"/>
  <c r="D62" i="6" s="1"/>
  <c r="T86" i="6" a="1"/>
  <c r="T86" i="6" s="1"/>
  <c r="L88" i="6" a="1"/>
  <c r="L88" i="6" s="1"/>
  <c r="H39" i="6" a="1"/>
  <c r="H39" i="6" s="1"/>
  <c r="H22" i="6" a="1"/>
  <c r="H22" i="6" s="1"/>
  <c r="S17" i="6" a="1"/>
  <c r="S17" i="6" s="1"/>
  <c r="AB40" i="6" a="1"/>
  <c r="AB40" i="6" s="1"/>
  <c r="T54" i="6" a="1"/>
  <c r="T54" i="6" s="1"/>
  <c r="L67" i="6" a="1"/>
  <c r="L67" i="6" s="1"/>
  <c r="J40" i="6" a="1"/>
  <c r="J40" i="6" s="1"/>
  <c r="AP52" i="6" a="1"/>
  <c r="AP52" i="6" s="1"/>
  <c r="J60" i="6" a="1"/>
  <c r="J60" i="6" s="1"/>
  <c r="AN104" i="6" a="1"/>
  <c r="AN104" i="6" s="1"/>
  <c r="AH7" i="6" a="1"/>
  <c r="AH7" i="6" s="1"/>
  <c r="T34" i="6" a="1"/>
  <c r="T34" i="6" s="1"/>
  <c r="X73" i="6" a="1"/>
  <c r="X73" i="6" s="1"/>
  <c r="AL31" i="6" a="1"/>
  <c r="AL31" i="6" s="1"/>
  <c r="R71" i="6" a="1"/>
  <c r="R71" i="6" s="1"/>
  <c r="AL78" i="6" a="1"/>
  <c r="AL78" i="6" s="1"/>
  <c r="V18" i="6" a="1"/>
  <c r="V18" i="6" s="1"/>
  <c r="AL13" i="6" a="1"/>
  <c r="AL13" i="6" s="1"/>
  <c r="P94" i="6" a="1"/>
  <c r="P94" i="6" s="1"/>
  <c r="H90" i="6" a="1"/>
  <c r="H90" i="6" s="1"/>
  <c r="AP27" i="6" a="1"/>
  <c r="AP27" i="6" s="1"/>
  <c r="AJ53" i="6" a="1"/>
  <c r="AJ53" i="6" s="1"/>
  <c r="AB39" i="6" a="1"/>
  <c r="AB39" i="6" s="1"/>
  <c r="AI87" i="6" a="1"/>
  <c r="AI87" i="6" s="1"/>
  <c r="P80" i="6" a="1"/>
  <c r="P80" i="6" s="1"/>
  <c r="Z7" i="6" a="1"/>
  <c r="Z7" i="6" s="1"/>
  <c r="AF65" i="6" a="1"/>
  <c r="AF65" i="6" s="1"/>
  <c r="L16" i="6" a="1"/>
  <c r="L16" i="6" s="1"/>
  <c r="AF94" i="6" a="1"/>
  <c r="AF94" i="6" s="1"/>
  <c r="AN28" i="6" a="1"/>
  <c r="AN28" i="6" s="1"/>
  <c r="D89" i="6" a="1"/>
  <c r="D89" i="6" s="1"/>
  <c r="H104" i="6" a="1"/>
  <c r="H104" i="6" s="1"/>
  <c r="AF60" i="6" a="1"/>
  <c r="AF60" i="6" s="1"/>
  <c r="AN103" i="6" a="1"/>
  <c r="AN103" i="6" s="1"/>
  <c r="V47" i="6" a="1"/>
  <c r="V47" i="6" s="1"/>
  <c r="J17" i="6" a="1"/>
  <c r="J17" i="6" s="1"/>
  <c r="L77" i="6" a="1"/>
  <c r="L77" i="6" s="1"/>
  <c r="J36" i="6" a="1"/>
  <c r="J36" i="6" s="1"/>
  <c r="V51" i="6" a="1"/>
  <c r="V51" i="6" s="1"/>
  <c r="T20" i="6" a="1"/>
  <c r="T20" i="6" s="1"/>
  <c r="AA40" i="6" a="1"/>
  <c r="AA40" i="6" s="1"/>
  <c r="V60" i="6" a="1"/>
  <c r="V60" i="6" s="1"/>
  <c r="AF44" i="6" a="1"/>
  <c r="AF44" i="6" s="1"/>
  <c r="T39" i="6" a="1"/>
  <c r="T39" i="6" s="1"/>
  <c r="X59" i="6" a="1"/>
  <c r="X59" i="6" s="1"/>
  <c r="H16" i="6" a="1"/>
  <c r="H16" i="6" s="1"/>
  <c r="W46" i="6" a="1"/>
  <c r="W46" i="6" s="1"/>
  <c r="AL82" i="6" a="1"/>
  <c r="AL82" i="6" s="1"/>
  <c r="AB43" i="6" a="1"/>
  <c r="AB43" i="6" s="1"/>
  <c r="AN91" i="6" a="1"/>
  <c r="AN91" i="6" s="1"/>
  <c r="N82" i="6" a="1"/>
  <c r="N82" i="6" s="1"/>
  <c r="AL68" i="6" a="1"/>
  <c r="AL68" i="6" s="1"/>
  <c r="P44" i="6" a="1"/>
  <c r="P44" i="6" s="1"/>
  <c r="AL65" i="6" a="1"/>
  <c r="AL65" i="6" s="1"/>
  <c r="AJ74" i="6" a="1"/>
  <c r="AJ74" i="6" s="1"/>
  <c r="H15" i="6" a="1"/>
  <c r="H15" i="6" s="1"/>
  <c r="T68" i="6" a="1"/>
  <c r="T68" i="6" s="1"/>
  <c r="P46" i="6" a="1"/>
  <c r="P46" i="6" s="1"/>
  <c r="AH86" i="6" a="1"/>
  <c r="AH86" i="6" s="1"/>
  <c r="AH35" i="6" a="1"/>
  <c r="AH35" i="6" s="1"/>
  <c r="N75" i="6" a="1"/>
  <c r="N75" i="6" s="1"/>
  <c r="N89" i="6" a="1"/>
  <c r="N89" i="6" s="1"/>
  <c r="AF62" i="6" a="1"/>
  <c r="AF62" i="6" s="1"/>
  <c r="AJ45" i="6" a="1"/>
  <c r="AJ45" i="6" s="1"/>
  <c r="X101" i="6" a="1"/>
  <c r="X101" i="6" s="1"/>
  <c r="L11" i="6" a="1"/>
  <c r="L11" i="6" s="1"/>
  <c r="AF54" i="6" a="1"/>
  <c r="AF54" i="6" s="1"/>
  <c r="R57" i="6" a="1"/>
  <c r="R57" i="6" s="1"/>
  <c r="AH60" i="6" a="1"/>
  <c r="AH60" i="6" s="1"/>
  <c r="P63" i="6" a="1"/>
  <c r="P63" i="6" s="1"/>
  <c r="D77" i="6" a="1"/>
  <c r="D77" i="6" s="1"/>
  <c r="AD94" i="6" a="1"/>
  <c r="AD94" i="6" s="1"/>
  <c r="X8" i="6" a="1"/>
  <c r="X8" i="6" s="1"/>
  <c r="AF50" i="6" a="1"/>
  <c r="AF50" i="6" s="1"/>
  <c r="AJ104" i="6" a="1"/>
  <c r="AJ104" i="6" s="1"/>
  <c r="AF23" i="6" a="1"/>
  <c r="AF23" i="6" s="1"/>
  <c r="AN60" i="6" a="1"/>
  <c r="AN60" i="6" s="1"/>
  <c r="AB77" i="6" a="1"/>
  <c r="AB77" i="6" s="1"/>
  <c r="AF90" i="6" a="1"/>
  <c r="AF90" i="6" s="1"/>
  <c r="AJ76" i="6" a="1"/>
  <c r="AJ76" i="6" s="1"/>
  <c r="L61" i="6" a="1"/>
  <c r="L61" i="6" s="1"/>
  <c r="L44" i="6" a="1"/>
  <c r="L44" i="6" s="1"/>
  <c r="T11" i="6" a="1"/>
  <c r="T11" i="6" s="1"/>
  <c r="R38" i="6" a="1"/>
  <c r="R38" i="6" s="1"/>
  <c r="AB16" i="6" a="1"/>
  <c r="AB16" i="6" s="1"/>
  <c r="H57" i="6" a="1"/>
  <c r="H57" i="6" s="1"/>
  <c r="X85" i="6" a="1"/>
  <c r="X85" i="6" s="1"/>
  <c r="AH82" i="6" a="1"/>
  <c r="AH82" i="6" s="1"/>
  <c r="G12" i="6" a="1"/>
  <c r="G12" i="6" s="1"/>
  <c r="T71" i="6" a="1"/>
  <c r="T71" i="6" s="1"/>
  <c r="AP90" i="6" a="1"/>
  <c r="AP90" i="6" s="1"/>
  <c r="X100" i="6" a="1"/>
  <c r="X100" i="6" s="1"/>
  <c r="X56" i="6" a="1"/>
  <c r="X56" i="6" s="1"/>
  <c r="AB104" i="6" a="1"/>
  <c r="AB104" i="6" s="1"/>
  <c r="G29" i="6" a="1"/>
  <c r="G29" i="6" s="1"/>
  <c r="P48" i="6" a="1"/>
  <c r="P48" i="6" s="1"/>
  <c r="W13" i="6" a="1"/>
  <c r="W13" i="6" s="1"/>
  <c r="AL75" i="6" a="1"/>
  <c r="AL75" i="6" s="1"/>
  <c r="X66" i="6" a="1"/>
  <c r="X66" i="6" s="1"/>
  <c r="D97" i="6" a="1"/>
  <c r="D97" i="6" s="1"/>
  <c r="T45" i="6" a="1"/>
  <c r="T45" i="6" s="1"/>
  <c r="R82" i="6" a="1"/>
  <c r="R82" i="6" s="1"/>
  <c r="AL12" i="6" a="1"/>
  <c r="AL12" i="6" s="1"/>
  <c r="AB106" i="6" a="1"/>
  <c r="AB106" i="6" s="1"/>
  <c r="J77" i="6" a="1"/>
  <c r="J77" i="6" s="1"/>
  <c r="K67" i="6" a="1"/>
  <c r="K67" i="6" s="1"/>
  <c r="AP18" i="6" a="1"/>
  <c r="AP18" i="6" s="1"/>
  <c r="X54" i="6" a="1"/>
  <c r="X54" i="6" s="1"/>
  <c r="AF66" i="6" a="1"/>
  <c r="AF66" i="6" s="1"/>
  <c r="AD73" i="6" a="1"/>
  <c r="AD73" i="6" s="1"/>
  <c r="T60" i="6" a="1"/>
  <c r="T60" i="6" s="1"/>
  <c r="P54" i="6" a="1"/>
  <c r="P54" i="6" s="1"/>
  <c r="AF19" i="6" a="1"/>
  <c r="AF19" i="6" s="1"/>
  <c r="V75" i="6" a="1"/>
  <c r="V75" i="6" s="1"/>
  <c r="AL30" i="6" a="1"/>
  <c r="AL30" i="6" s="1"/>
  <c r="AF67" i="6" a="1"/>
  <c r="AF67" i="6" s="1"/>
  <c r="L19" i="6" a="1"/>
  <c r="L19" i="6" s="1"/>
  <c r="R31" i="6" a="1"/>
  <c r="R31" i="6" s="1"/>
  <c r="AL25" i="6" a="1"/>
  <c r="AL25" i="6" s="1"/>
  <c r="AH39" i="6" a="1"/>
  <c r="AH39" i="6" s="1"/>
  <c r="AN89" i="6" a="1"/>
  <c r="AN89" i="6" s="1"/>
  <c r="AB32" i="6" a="1"/>
  <c r="AB32" i="6" s="1"/>
  <c r="AB30" i="6" a="1"/>
  <c r="AB30" i="6" s="1"/>
  <c r="AM29" i="6" a="1"/>
  <c r="AM29" i="6" s="1"/>
  <c r="P31" i="6" a="1"/>
  <c r="P31" i="6" s="1"/>
  <c r="Z56" i="6" a="1"/>
  <c r="Z56" i="6" s="1"/>
  <c r="H84" i="6" a="1"/>
  <c r="H84" i="6" s="1"/>
  <c r="AF10" i="6" a="1"/>
  <c r="AF10" i="6" s="1"/>
  <c r="AJ83" i="6" a="1"/>
  <c r="AJ83" i="6" s="1"/>
  <c r="AJ11" i="6" a="1"/>
  <c r="AJ11" i="6" s="1"/>
  <c r="AA18" i="6" a="1"/>
  <c r="AA18" i="6" s="1"/>
  <c r="T32" i="6" a="1"/>
  <c r="T32" i="6" s="1"/>
  <c r="L100" i="6" a="1"/>
  <c r="L100" i="6" s="1"/>
  <c r="T101" i="6" a="1"/>
  <c r="T101" i="6" s="1"/>
  <c r="AH54" i="6" a="1"/>
  <c r="AH54" i="6" s="1"/>
  <c r="J68" i="6" a="1"/>
  <c r="J68" i="6" s="1"/>
  <c r="D71" i="6" a="1"/>
  <c r="D71" i="6" s="1"/>
  <c r="AF35" i="6" a="1"/>
  <c r="AF35" i="6" s="1"/>
  <c r="P65" i="6" a="1"/>
  <c r="P65" i="6" s="1"/>
  <c r="AB51" i="6" a="1"/>
  <c r="AB51" i="6" s="1"/>
  <c r="H80" i="6" a="1"/>
  <c r="H80" i="6" s="1"/>
  <c r="L90" i="6" a="1"/>
  <c r="L90" i="6" s="1"/>
  <c r="R35" i="6" a="1"/>
  <c r="R35" i="6" s="1"/>
  <c r="AA100" i="6" a="1"/>
  <c r="AA100" i="6" s="1"/>
  <c r="AJ29" i="6" a="1"/>
  <c r="AJ29" i="6" s="1"/>
  <c r="AB31" i="6" a="1"/>
  <c r="AB31" i="6" s="1"/>
  <c r="Z98" i="6" a="1"/>
  <c r="Z98" i="6" s="1"/>
  <c r="T82" i="6" a="1"/>
  <c r="T82" i="6" s="1"/>
  <c r="AN93" i="6" a="1"/>
  <c r="AN93" i="6" s="1"/>
  <c r="AP56" i="6" a="1"/>
  <c r="AP56" i="6" s="1"/>
  <c r="T80" i="6" a="1"/>
  <c r="T80" i="6" s="1"/>
  <c r="P64" i="6" a="1"/>
  <c r="P64" i="6" s="1"/>
  <c r="AD33" i="6" a="1"/>
  <c r="AD33" i="6" s="1"/>
  <c r="H13" i="6" a="1"/>
  <c r="H13" i="6" s="1"/>
  <c r="H69" i="6" a="1"/>
  <c r="H69" i="6" s="1"/>
  <c r="AP73" i="6" a="1"/>
  <c r="AP73" i="6" s="1"/>
  <c r="J31" i="6" a="1"/>
  <c r="J31" i="6" s="1"/>
  <c r="AD61" i="6" a="1"/>
  <c r="AD61" i="6" s="1"/>
  <c r="H41" i="6" a="1"/>
  <c r="H41" i="6" s="1"/>
  <c r="T83" i="6" a="1"/>
  <c r="T83" i="6" s="1"/>
  <c r="Z75" i="6" a="1"/>
  <c r="Z75" i="6" s="1"/>
  <c r="N70" i="6" a="1"/>
  <c r="N70" i="6" s="1"/>
  <c r="AJ37" i="6" a="1"/>
  <c r="AJ37" i="6" s="1"/>
  <c r="AN22" i="6" a="1"/>
  <c r="AN22" i="6" s="1"/>
  <c r="AB97" i="6" a="1"/>
  <c r="AB97" i="6" s="1"/>
  <c r="AN76" i="6" a="1"/>
  <c r="AN76" i="6" s="1"/>
  <c r="P7" i="6" a="1"/>
  <c r="P7" i="6" s="1"/>
  <c r="AD28" i="6" a="1"/>
  <c r="AD28" i="6" s="1"/>
  <c r="AH59" i="6" a="1"/>
  <c r="AH59" i="6" s="1"/>
  <c r="AA7" i="6" a="1"/>
  <c r="AA7" i="6" s="1"/>
  <c r="L75" i="6" a="1"/>
  <c r="L75" i="6" s="1"/>
  <c r="P61" i="6" a="1"/>
  <c r="P61" i="6" s="1"/>
  <c r="AN51" i="6" a="1"/>
  <c r="AN51" i="6" s="1"/>
  <c r="T61" i="6" a="1"/>
  <c r="T61" i="6" s="1"/>
  <c r="H12" i="6" a="1"/>
  <c r="H12" i="6" s="1"/>
  <c r="AD41" i="6" a="1"/>
  <c r="AD41" i="6" s="1"/>
  <c r="L40" i="6" a="1"/>
  <c r="L40" i="6" s="1"/>
  <c r="L39" i="6" a="1"/>
  <c r="L39" i="6" s="1"/>
  <c r="N87" i="6" a="1"/>
  <c r="N87" i="6" s="1"/>
  <c r="O66" i="6" a="1"/>
  <c r="O66" i="6" s="1"/>
  <c r="AP68" i="6" a="1"/>
  <c r="AP68" i="6" s="1"/>
  <c r="H102" i="6" a="1"/>
  <c r="H102" i="6" s="1"/>
  <c r="J10" i="6" a="1"/>
  <c r="J10" i="6" s="1"/>
  <c r="O29" i="6" a="1"/>
  <c r="O29" i="6" s="1"/>
  <c r="L20" i="6" a="1"/>
  <c r="L20" i="6" s="1"/>
  <c r="V42" i="6" a="1"/>
  <c r="V42" i="6" s="1"/>
  <c r="AA66" i="6" a="1"/>
  <c r="AA66" i="6" s="1"/>
  <c r="AH56" i="6" a="1"/>
  <c r="AH56" i="6" s="1"/>
  <c r="X70" i="6" a="1"/>
  <c r="X70" i="6" s="1"/>
  <c r="X64" i="6" a="1"/>
  <c r="X64" i="6" s="1"/>
  <c r="W43" i="6" a="1"/>
  <c r="W43" i="6" s="1"/>
  <c r="AP61" i="6" a="1"/>
  <c r="AP61" i="6" s="1"/>
  <c r="V58" i="6" a="1"/>
  <c r="V58" i="6" s="1"/>
  <c r="AN15" i="6" a="1"/>
  <c r="AN15" i="6" s="1"/>
  <c r="D75" i="6" a="1"/>
  <c r="D75" i="6" s="1"/>
  <c r="H28" i="6" a="1"/>
  <c r="H28" i="6" s="1"/>
  <c r="Z34" i="6" a="1"/>
  <c r="Z34" i="6" s="1"/>
  <c r="H35" i="6" a="1"/>
  <c r="H35" i="6" s="1"/>
  <c r="AN31" i="6" a="1"/>
  <c r="AN31" i="6" s="1"/>
  <c r="AJ13" i="6" a="1"/>
  <c r="AJ13" i="6" s="1"/>
  <c r="AI75" i="6" a="1"/>
  <c r="AI75" i="6" s="1"/>
  <c r="AD51" i="6" a="1"/>
  <c r="AD51" i="6" s="1"/>
  <c r="L59" i="6" a="1"/>
  <c r="L59" i="6" s="1"/>
  <c r="W31" i="6" a="1"/>
  <c r="W31" i="6" s="1"/>
  <c r="Z18" i="6" a="1"/>
  <c r="Z18" i="6" s="1"/>
  <c r="AN81" i="6" a="1"/>
  <c r="AN81" i="6" s="1"/>
  <c r="AH100" i="6" a="1"/>
  <c r="AH100" i="6" s="1"/>
  <c r="D43" i="6" a="1"/>
  <c r="D43" i="6" s="1"/>
  <c r="AD85" i="6" a="1"/>
  <c r="AD85" i="6" s="1"/>
  <c r="T8" i="6" a="1"/>
  <c r="T8" i="6" s="1"/>
  <c r="AB99" i="6" a="1"/>
  <c r="AB99" i="6" s="1"/>
  <c r="AP17" i="6" a="1"/>
  <c r="AP17" i="6" s="1"/>
  <c r="P43" i="6" a="1"/>
  <c r="P43" i="6" s="1"/>
  <c r="W59" i="6" a="1"/>
  <c r="W59" i="6" s="1"/>
  <c r="X84" i="6" a="1"/>
  <c r="X84" i="6" s="1"/>
  <c r="D59" i="6" a="1"/>
  <c r="D59" i="6" s="1"/>
  <c r="P29" i="6" a="1"/>
  <c r="P29" i="6" s="1"/>
  <c r="P36" i="6" a="1"/>
  <c r="P36" i="6" s="1"/>
  <c r="T89" i="6" a="1"/>
  <c r="T89" i="6" s="1"/>
  <c r="AH15" i="6" a="1"/>
  <c r="AH15" i="6" s="1"/>
  <c r="AM56" i="6" a="1"/>
  <c r="AM56" i="6" s="1"/>
  <c r="AD49" i="6" a="1"/>
  <c r="AD49" i="6" s="1"/>
  <c r="AB91" i="6" a="1"/>
  <c r="AB91" i="6" s="1"/>
  <c r="AF81" i="6" a="1"/>
  <c r="AF81" i="6" s="1"/>
  <c r="AF27" i="6" a="1"/>
  <c r="AF27" i="6" s="1"/>
  <c r="D29" i="6" a="1"/>
  <c r="D29" i="6" s="1"/>
  <c r="P84" i="6" a="1"/>
  <c r="P84" i="6" s="1"/>
  <c r="G81" i="6" a="1"/>
  <c r="G81" i="6" s="1"/>
  <c r="AQ44" i="6" a="1"/>
  <c r="AQ44" i="6" s="1"/>
  <c r="T24" i="6" a="1"/>
  <c r="T24" i="6" s="1"/>
  <c r="AQ105" i="6" a="1"/>
  <c r="AQ105" i="6" s="1"/>
  <c r="T9" i="6" a="1"/>
  <c r="T9" i="6" s="1"/>
  <c r="AF11" i="6" a="1"/>
  <c r="AF11" i="6" s="1"/>
  <c r="D105" i="6" a="1"/>
  <c r="D105" i="6" s="1"/>
  <c r="R99" i="6" a="1"/>
  <c r="R99" i="6" s="1"/>
  <c r="T22" i="6" a="1"/>
  <c r="T22" i="6" s="1"/>
  <c r="P55" i="6" a="1"/>
  <c r="P55" i="6" s="1"/>
  <c r="P91" i="6" a="1"/>
  <c r="P91" i="6" s="1"/>
  <c r="N43" i="6" a="1"/>
  <c r="N43" i="6" s="1"/>
  <c r="N40" i="6" a="1"/>
  <c r="N40" i="6" s="1"/>
  <c r="P71" i="6" a="1"/>
  <c r="P71" i="6" s="1"/>
  <c r="AJ47" i="6" a="1"/>
  <c r="AJ47" i="6" s="1"/>
  <c r="D23" i="6" a="1"/>
  <c r="D23" i="6" s="1"/>
  <c r="AH104" i="6" a="1"/>
  <c r="AH104" i="6" s="1"/>
  <c r="H83" i="6" a="1"/>
  <c r="H83" i="6" s="1"/>
  <c r="X23" i="6" a="1"/>
  <c r="X23" i="6" s="1"/>
  <c r="L83" i="6" a="1"/>
  <c r="L83" i="6" s="1"/>
  <c r="AF104" i="6" a="1"/>
  <c r="AF104" i="6" s="1"/>
  <c r="AJ85" i="6" a="1"/>
  <c r="AJ85" i="6" s="1"/>
  <c r="L102" i="6" a="1"/>
  <c r="L102" i="6" s="1"/>
  <c r="R64" i="6" a="1"/>
  <c r="R64" i="6" s="1"/>
  <c r="T87" i="6" a="1"/>
  <c r="T87" i="6" s="1"/>
  <c r="X103" i="6" a="1"/>
  <c r="X103" i="6" s="1"/>
  <c r="D99" i="6" a="1"/>
  <c r="D99" i="6" s="1"/>
  <c r="D84" i="6" a="1"/>
  <c r="D84" i="6" s="1"/>
  <c r="AB25" i="6" a="1"/>
  <c r="AB25" i="6" s="1"/>
  <c r="AH46" i="6" a="1"/>
  <c r="AH46" i="6" s="1"/>
  <c r="AF37" i="6" a="1"/>
  <c r="AF37" i="6" s="1"/>
  <c r="AE78" i="6" a="1"/>
  <c r="AE78" i="6" s="1"/>
  <c r="AN59" i="6" a="1"/>
  <c r="AN59" i="6" s="1"/>
  <c r="P83" i="6" a="1"/>
  <c r="P83" i="6" s="1"/>
  <c r="AB47" i="6" a="1"/>
  <c r="AB47" i="6" s="1"/>
  <c r="AP49" i="6" a="1"/>
  <c r="AP49" i="6" s="1"/>
  <c r="W44" i="6" a="1"/>
  <c r="W44" i="6" s="1"/>
  <c r="AB44" i="6" a="1"/>
  <c r="AB44" i="6" s="1"/>
  <c r="P102" i="6" a="1"/>
  <c r="P102" i="6" s="1"/>
  <c r="J78" i="6" a="1"/>
  <c r="J78" i="6" s="1"/>
  <c r="AN61" i="6" a="1"/>
  <c r="AN61" i="6" s="1"/>
  <c r="AL26" i="6" a="1"/>
  <c r="AL26" i="6" s="1"/>
  <c r="L12" i="6" a="1"/>
  <c r="L12" i="6" s="1"/>
  <c r="O89" i="6" a="1"/>
  <c r="O89" i="6" s="1"/>
  <c r="X53" i="6" a="1"/>
  <c r="X53" i="6" s="1"/>
  <c r="AF40" i="6" a="1"/>
  <c r="AF40" i="6" s="1"/>
  <c r="T19" i="6" a="1"/>
  <c r="T19" i="6" s="1"/>
  <c r="L78" i="6" a="1"/>
  <c r="L78" i="6" s="1"/>
  <c r="H49" i="6" a="1"/>
  <c r="H49" i="6" s="1"/>
  <c r="K93" i="6" a="1"/>
  <c r="K93" i="6" s="1"/>
  <c r="P35" i="6" a="1"/>
  <c r="P35" i="6" s="1"/>
  <c r="P88" i="6" a="1"/>
  <c r="P88" i="6" s="1"/>
  <c r="F77" i="6" a="1"/>
  <c r="F77" i="6" s="1"/>
  <c r="AD23" i="6" a="1"/>
  <c r="AD23" i="6" s="1"/>
  <c r="AM22" i="6" a="1"/>
  <c r="AM22" i="6" s="1"/>
  <c r="AJ77" i="6" a="1"/>
  <c r="AJ77" i="6" s="1"/>
  <c r="H103" i="6" a="1"/>
  <c r="H103" i="6" s="1"/>
  <c r="V62" i="6" a="1"/>
  <c r="V62" i="6" s="1"/>
  <c r="AJ8" i="6" a="1"/>
  <c r="AJ8" i="6" s="1"/>
  <c r="T15" i="6" a="1"/>
  <c r="T15" i="6" s="1"/>
  <c r="AB15" i="6" a="1"/>
  <c r="AB15" i="6" s="1"/>
  <c r="K72" i="6" a="1"/>
  <c r="K72" i="6" s="1"/>
  <c r="W103" i="6" a="1"/>
  <c r="W103" i="6" s="1"/>
  <c r="AN27" i="6" a="1"/>
  <c r="AN27" i="6" s="1"/>
  <c r="AF48" i="6" a="1"/>
  <c r="AF48" i="6" s="1"/>
  <c r="X43" i="6" a="1"/>
  <c r="X43" i="6" s="1"/>
  <c r="AD86" i="6" a="1"/>
  <c r="AD86" i="6" s="1"/>
  <c r="D7" i="6" a="1"/>
  <c r="D7" i="6" s="1"/>
  <c r="AL94" i="6" a="1"/>
  <c r="AL94" i="6" s="1"/>
  <c r="Z17" i="6" a="1"/>
  <c r="Z17" i="6" s="1"/>
  <c r="AD40" i="6" a="1"/>
  <c r="AD40" i="6" s="1"/>
  <c r="P56" i="6" a="1"/>
  <c r="P56" i="6" s="1"/>
  <c r="AB11" i="6" a="1"/>
  <c r="AB11" i="6" s="1"/>
  <c r="X26" i="6" a="1"/>
  <c r="X26" i="6" s="1"/>
  <c r="O39" i="6" a="1"/>
  <c r="O39" i="6" s="1"/>
  <c r="AE66" i="6" a="1"/>
  <c r="AE66" i="6" s="1"/>
  <c r="T49" i="6" a="1"/>
  <c r="T49" i="6" s="1"/>
  <c r="G97" i="6" a="1"/>
  <c r="G97" i="6" s="1"/>
  <c r="AI56" i="6" a="1"/>
  <c r="AI56" i="6" s="1"/>
  <c r="R51" i="6" a="1"/>
  <c r="R51" i="6" s="1"/>
  <c r="L23" i="6" a="1"/>
  <c r="L23" i="6" s="1"/>
  <c r="AF105" i="6" a="1"/>
  <c r="AF105" i="6" s="1"/>
  <c r="H50" i="6" a="1"/>
  <c r="H50" i="6" s="1"/>
  <c r="L15" i="6" a="1"/>
  <c r="L15" i="6" s="1"/>
  <c r="AN37" i="6" a="1"/>
  <c r="AN37" i="6" s="1"/>
  <c r="T67" i="6" a="1"/>
  <c r="T67" i="6" s="1"/>
  <c r="J57" i="6" a="1"/>
  <c r="J57" i="6" s="1"/>
  <c r="H23" i="6" a="1"/>
  <c r="H23" i="6" s="1"/>
  <c r="D82" i="6" a="1"/>
  <c r="D82" i="6" s="1"/>
  <c r="T77" i="6" a="1"/>
  <c r="T77" i="6" s="1"/>
  <c r="AM46" i="6" a="1"/>
  <c r="AM46" i="6" s="1"/>
  <c r="K25" i="6" a="1"/>
  <c r="K25" i="6" s="1"/>
  <c r="X61" i="6" a="1"/>
  <c r="X61" i="6" s="1"/>
  <c r="L49" i="6" a="1"/>
  <c r="L49" i="6" s="1"/>
  <c r="H63" i="6" a="1"/>
  <c r="H63" i="6" s="1"/>
  <c r="AL34" i="6" a="1"/>
  <c r="AL34" i="6" s="1"/>
  <c r="O11" i="6" a="1"/>
  <c r="O11" i="6" s="1"/>
  <c r="AF77" i="6" a="1"/>
  <c r="AF77" i="6" s="1"/>
  <c r="H81" i="6" a="1"/>
  <c r="H81" i="6" s="1"/>
  <c r="AB58" i="6" a="1"/>
  <c r="AB58" i="6" s="1"/>
  <c r="K53" i="6" a="1"/>
  <c r="K53" i="6" s="1"/>
  <c r="F46" i="6" a="1"/>
  <c r="F46" i="6" s="1"/>
  <c r="AJ64" i="6" a="1"/>
  <c r="AJ64" i="6" s="1"/>
  <c r="J84" i="6" a="1"/>
  <c r="J84" i="6" s="1"/>
  <c r="AH61" i="6" a="1"/>
  <c r="AH61" i="6" s="1"/>
  <c r="P12" i="6" a="1"/>
  <c r="P12" i="6" s="1"/>
  <c r="X77" i="6" a="1"/>
  <c r="X77" i="6" s="1"/>
  <c r="AB20" i="6" a="1"/>
  <c r="AB20" i="6" s="1"/>
  <c r="AB81" i="6" a="1"/>
  <c r="AB81" i="6" s="1"/>
  <c r="T72" i="6" a="1"/>
  <c r="T72" i="6" s="1"/>
  <c r="R78" i="6" a="1"/>
  <c r="R78" i="6" s="1"/>
  <c r="AN25" i="6" a="1"/>
  <c r="AN25" i="6" s="1"/>
  <c r="AN19" i="6" a="1"/>
  <c r="AN19" i="6" s="1"/>
  <c r="P96" i="6" a="1"/>
  <c r="P96" i="6" s="1"/>
  <c r="AJ62" i="6" a="1"/>
  <c r="AJ62" i="6" s="1"/>
  <c r="AJ103" i="6" a="1"/>
  <c r="AJ103" i="6" s="1"/>
  <c r="AF59" i="6" a="1"/>
  <c r="AF59" i="6" s="1"/>
  <c r="AF88" i="6" a="1"/>
  <c r="AF88" i="6" s="1"/>
  <c r="AF38" i="6" a="1"/>
  <c r="AF38" i="6" s="1"/>
  <c r="AQ88" i="6" a="1"/>
  <c r="AQ88" i="6" s="1"/>
  <c r="H86" i="6" a="1"/>
  <c r="H86" i="6" s="1"/>
  <c r="AJ80" i="6" a="1"/>
  <c r="AJ80" i="6" s="1"/>
  <c r="AE100" i="6" a="1"/>
  <c r="AE100" i="6" s="1"/>
  <c r="W84" i="6" a="1"/>
  <c r="W84" i="6" s="1"/>
  <c r="AF16" i="6" a="1"/>
  <c r="AF16" i="6" s="1"/>
  <c r="L52" i="6" a="1"/>
  <c r="L52" i="6" s="1"/>
  <c r="V36" i="6" a="1"/>
  <c r="V36" i="6" s="1"/>
  <c r="AB76" i="6" a="1"/>
  <c r="AB76" i="6" s="1"/>
  <c r="AN43" i="6" a="1"/>
  <c r="AN43" i="6" s="1"/>
  <c r="AF20" i="6" a="1"/>
  <c r="AF20" i="6" s="1"/>
  <c r="AJ44" i="6" a="1"/>
  <c r="AJ44" i="6" s="1"/>
  <c r="AN45" i="6" a="1"/>
  <c r="AN45" i="6" s="1"/>
  <c r="AJ16" i="6" a="1"/>
  <c r="AJ16" i="6" s="1"/>
  <c r="Z82" i="6" a="1"/>
  <c r="Z82" i="6" s="1"/>
  <c r="AI25" i="6" a="1"/>
  <c r="AI25" i="6" s="1"/>
  <c r="D46" i="6" a="1"/>
  <c r="D46" i="6" s="1"/>
  <c r="H26" i="6" a="1"/>
  <c r="H26" i="6" s="1"/>
  <c r="AQ41" i="6" a="1"/>
  <c r="AQ41" i="6" s="1"/>
  <c r="AJ92" i="6" a="1"/>
  <c r="AJ92" i="6" s="1"/>
  <c r="Z73" i="6" a="1"/>
  <c r="Z73" i="6" s="1"/>
  <c r="AB29" i="6" a="1"/>
  <c r="AB29" i="6" s="1"/>
  <c r="L101" i="6" a="1"/>
  <c r="L101" i="6" s="1"/>
  <c r="L45" i="6" a="1"/>
  <c r="L45" i="6" s="1"/>
  <c r="AQ13" i="6" a="1"/>
  <c r="AQ13" i="6" s="1"/>
  <c r="L26" i="6" a="1"/>
  <c r="L26" i="6" s="1"/>
  <c r="X69" i="6" a="1"/>
  <c r="X69" i="6" s="1"/>
  <c r="AB46" i="6" a="1"/>
  <c r="AB46" i="6" s="1"/>
  <c r="W17" i="6" a="1"/>
  <c r="W17" i="6" s="1"/>
  <c r="AN86" i="6" a="1"/>
  <c r="AN86" i="6" s="1"/>
  <c r="H33" i="6" a="1"/>
  <c r="H33" i="6" s="1"/>
  <c r="AF8" i="6" a="1"/>
  <c r="AF8" i="6" s="1"/>
  <c r="AF106" i="6" a="1"/>
  <c r="AF106" i="6" s="1"/>
  <c r="AB54" i="6" a="1"/>
  <c r="AB54" i="6" s="1"/>
  <c r="G68" i="6" a="1"/>
  <c r="G68" i="6" s="1"/>
  <c r="T73" i="6" a="1"/>
  <c r="T73" i="6" s="1"/>
  <c r="AJ27" i="6" a="1"/>
  <c r="AJ27" i="6" s="1"/>
  <c r="AN26" i="6" a="1"/>
  <c r="AN26" i="6" s="1"/>
  <c r="AJ41" i="6" a="1"/>
  <c r="AJ41" i="6" s="1"/>
  <c r="T95" i="6" a="1"/>
  <c r="T95" i="6" s="1"/>
  <c r="D81" i="6" a="1"/>
  <c r="D81" i="6" s="1"/>
  <c r="AN50" i="6" a="1"/>
  <c r="AN50" i="6" s="1"/>
  <c r="AB21" i="6" a="1"/>
  <c r="AB21" i="6" s="1"/>
  <c r="X87" i="6" a="1"/>
  <c r="X87" i="6" s="1"/>
  <c r="AJ19" i="6" a="1"/>
  <c r="AJ19" i="6" s="1"/>
  <c r="AF12" i="6" a="1"/>
  <c r="AF12" i="6" s="1"/>
  <c r="V97" i="6" a="1"/>
  <c r="V97" i="6" s="1"/>
  <c r="AH77" i="6" a="1"/>
  <c r="AH77" i="6" s="1"/>
  <c r="AN96" i="6" a="1"/>
  <c r="AN96" i="6" s="1"/>
  <c r="AL40" i="6" a="1"/>
  <c r="AL40" i="6" s="1"/>
  <c r="AJ99" i="6" a="1"/>
  <c r="AJ99" i="6" s="1"/>
  <c r="P26" i="6" a="1"/>
  <c r="P26" i="6" s="1"/>
  <c r="R29" i="6" a="1"/>
  <c r="R29" i="6" s="1"/>
  <c r="H71" i="6" a="1"/>
  <c r="H71" i="6" s="1"/>
  <c r="AA75" i="6" a="1"/>
  <c r="AA75" i="6" s="1"/>
  <c r="X68" i="6" a="1"/>
  <c r="X68" i="6" s="1"/>
  <c r="AB26" i="6" a="1"/>
  <c r="AB26" i="6" s="1"/>
  <c r="H60" i="6" a="1"/>
  <c r="H60" i="6" s="1"/>
  <c r="F83" i="6" a="1"/>
  <c r="F83" i="6" s="1"/>
  <c r="P98" i="6" a="1"/>
  <c r="P98" i="6" s="1"/>
  <c r="W98" i="6" a="1"/>
  <c r="W98" i="6" s="1"/>
  <c r="AJ68" i="6" a="1"/>
  <c r="AJ68" i="6" s="1"/>
  <c r="X30" i="6" a="1"/>
  <c r="X30" i="6" s="1"/>
  <c r="L51" i="6" a="1"/>
  <c r="L51" i="6" s="1"/>
  <c r="L99" i="6" a="1"/>
  <c r="L99" i="6" s="1"/>
  <c r="T79" i="6" a="1"/>
  <c r="T79" i="6" s="1"/>
  <c r="AP34" i="6" a="1"/>
  <c r="AP34" i="6" s="1"/>
  <c r="L72" i="6" a="1"/>
  <c r="L72" i="6" s="1"/>
  <c r="P103" i="6" a="1"/>
  <c r="P103" i="6" s="1"/>
  <c r="V104" i="6" a="1"/>
  <c r="V104" i="6" s="1"/>
  <c r="AN80" i="6" a="1"/>
  <c r="AN80" i="6" s="1"/>
  <c r="T7" i="6" a="1"/>
  <c r="T7" i="6" s="1"/>
  <c r="O101" i="6" a="1"/>
  <c r="O101" i="6" s="1"/>
  <c r="X7" i="6" a="1"/>
  <c r="X7" i="6" s="1"/>
  <c r="K35" i="6" a="1"/>
  <c r="K35" i="6" s="1"/>
  <c r="S14" i="6" a="1"/>
  <c r="S14" i="6" s="1"/>
  <c r="T85" i="6" a="1"/>
  <c r="T85" i="6" s="1"/>
  <c r="L42" i="6" a="1"/>
  <c r="L42" i="6" s="1"/>
  <c r="AJ25" i="6" a="1"/>
  <c r="AJ25" i="6" s="1"/>
  <c r="AL11" i="6" a="1"/>
  <c r="AL11" i="6" s="1"/>
  <c r="J49" i="6" a="1"/>
  <c r="J49" i="6" s="1"/>
  <c r="H75" i="6" a="1"/>
  <c r="H75" i="6" s="1"/>
  <c r="F79" i="6" a="1"/>
  <c r="F79" i="6" s="1"/>
  <c r="H97" i="6" a="1"/>
  <c r="H97" i="6" s="1"/>
  <c r="AD21" i="6" a="1"/>
  <c r="AD21" i="6" s="1"/>
  <c r="X76" i="6" a="1"/>
  <c r="X76" i="6" s="1"/>
  <c r="L60" i="6" a="1"/>
  <c r="L60" i="6" s="1"/>
  <c r="S72" i="6" a="1"/>
  <c r="S72" i="6" s="1"/>
  <c r="AQ85" i="6" a="1"/>
  <c r="AQ85" i="6" s="1"/>
  <c r="H11" i="6" a="1"/>
  <c r="H11" i="6" s="1"/>
  <c r="L43" i="6" a="1"/>
  <c r="L43" i="6" s="1"/>
  <c r="AL71" i="6" a="1"/>
  <c r="AL71" i="6" s="1"/>
  <c r="H21" i="6" a="1"/>
  <c r="H21" i="6" s="1"/>
  <c r="AJ67" i="6" a="1"/>
  <c r="AJ67" i="6" s="1"/>
  <c r="AL27" i="6" a="1"/>
  <c r="AL27" i="6" s="1"/>
  <c r="AF73" i="6" a="1"/>
  <c r="AF73" i="6" s="1"/>
  <c r="H106" i="6" a="1"/>
  <c r="H106" i="6" s="1"/>
  <c r="AP39" i="6" a="1"/>
  <c r="AP39" i="6" s="1"/>
  <c r="L63" i="6" a="1"/>
  <c r="L63" i="6" s="1"/>
  <c r="D92" i="6" a="1"/>
  <c r="D92" i="6" s="1"/>
  <c r="T37" i="6" a="1"/>
  <c r="T37" i="6" s="1"/>
  <c r="AP41" i="6" a="1"/>
  <c r="AP41" i="6" s="1"/>
  <c r="AB92" i="6" a="1"/>
  <c r="AB92" i="6" s="1"/>
  <c r="AF47" i="6" a="1"/>
  <c r="AF47" i="6" s="1"/>
  <c r="AL60" i="6" a="1"/>
  <c r="AL60" i="6" s="1"/>
  <c r="AL48" i="6" a="1"/>
  <c r="AL48" i="6" s="1"/>
  <c r="H24" i="6" a="1"/>
  <c r="H24" i="6" s="1"/>
  <c r="P38" i="6" a="1"/>
  <c r="P38" i="6" s="1"/>
  <c r="L21" i="6" a="1"/>
  <c r="L21" i="6" s="1"/>
  <c r="AE81" i="6" a="1"/>
  <c r="AE81" i="6" s="1"/>
  <c r="AN85" i="6" a="1"/>
  <c r="AN85" i="6" s="1"/>
  <c r="X41" i="6" a="1"/>
  <c r="X41" i="6" s="1"/>
  <c r="AD80" i="6" a="1"/>
  <c r="AD80" i="6" s="1"/>
  <c r="AN14" i="6" a="1"/>
  <c r="AN14" i="6" s="1"/>
  <c r="P106" i="6" a="1"/>
  <c r="P106" i="6" s="1"/>
  <c r="P17" i="6" a="1"/>
  <c r="P17" i="6" s="1"/>
  <c r="AB82" i="6" a="1"/>
  <c r="AB82" i="6" s="1"/>
  <c r="AN39" i="6" a="1"/>
  <c r="AN39" i="6" s="1"/>
  <c r="AB19" i="6" a="1"/>
  <c r="AB19" i="6" s="1"/>
  <c r="AJ40" i="6" a="1"/>
  <c r="AJ40" i="6" s="1"/>
  <c r="AH38" i="6" a="1"/>
  <c r="AH38" i="6" s="1"/>
  <c r="D64" i="6" a="1"/>
  <c r="D64" i="6" s="1"/>
  <c r="AB55" i="6" a="1"/>
  <c r="AB55" i="6" s="1"/>
  <c r="T56" i="6" a="1"/>
  <c r="T56" i="6" s="1"/>
  <c r="X55" i="6" a="1"/>
  <c r="X55" i="6" s="1"/>
  <c r="H8" i="6" a="1"/>
  <c r="H8" i="6" s="1"/>
  <c r="AJ10" i="6" a="1"/>
  <c r="AJ10" i="6" s="1"/>
  <c r="X44" i="6" a="1"/>
  <c r="X44" i="6" s="1"/>
  <c r="T99" i="6" a="1"/>
  <c r="T99" i="6" s="1"/>
  <c r="AP75" i="6" a="1"/>
  <c r="AP75" i="6" s="1"/>
  <c r="G66" i="6" a="1"/>
  <c r="G66" i="6" s="1"/>
  <c r="H79" i="6" a="1"/>
  <c r="H79" i="6" s="1"/>
  <c r="H67" i="6" a="1"/>
  <c r="H67" i="6" s="1"/>
  <c r="T31" i="6" a="1"/>
  <c r="T31" i="6" s="1"/>
  <c r="AP45" i="6" a="1"/>
  <c r="AP45" i="6" s="1"/>
  <c r="AH43" i="6" a="1"/>
  <c r="AH43" i="6" s="1"/>
  <c r="AB71" i="6" a="1"/>
  <c r="AB71" i="6" s="1"/>
  <c r="O103" i="6" a="1"/>
  <c r="O103" i="6" s="1"/>
  <c r="AB24" i="6" a="1"/>
  <c r="AB24" i="6" s="1"/>
  <c r="S19" i="6" a="1"/>
  <c r="S19" i="6" s="1"/>
  <c r="J88" i="6" a="1"/>
  <c r="J88" i="6" s="1"/>
  <c r="AP91" i="6" a="1"/>
  <c r="AP91" i="6" s="1"/>
  <c r="AB95" i="6" a="1"/>
  <c r="AB95" i="6" s="1"/>
  <c r="D79" i="6" a="1"/>
  <c r="D79" i="6" s="1"/>
  <c r="L50" i="6" a="1"/>
  <c r="L50" i="6" s="1"/>
  <c r="P16" i="6" a="1"/>
  <c r="P16" i="6" s="1"/>
  <c r="AB89" i="6" a="1"/>
  <c r="AB89" i="6" s="1"/>
  <c r="N61" i="6" a="1"/>
  <c r="N61" i="6" s="1"/>
  <c r="AJ35" i="6" a="1"/>
  <c r="AJ35" i="6" s="1"/>
  <c r="D86" i="6" a="1"/>
  <c r="D86" i="6" s="1"/>
  <c r="V79" i="6" a="1"/>
  <c r="V79" i="6" s="1"/>
  <c r="P69" i="6" a="1"/>
  <c r="P69" i="6" s="1"/>
  <c r="AJ52" i="6" a="1"/>
  <c r="AJ52" i="6" s="1"/>
  <c r="L69" i="6" a="1"/>
  <c r="L69" i="6" s="1"/>
  <c r="X62" i="6" a="1"/>
  <c r="X62" i="6" s="1"/>
  <c r="D95" i="6" a="1"/>
  <c r="D95" i="6" s="1"/>
  <c r="X38" i="6" a="1"/>
  <c r="X38" i="6" s="1"/>
  <c r="AJ97" i="6" a="1"/>
  <c r="AJ97" i="6" s="1"/>
  <c r="AF92" i="6" a="1"/>
  <c r="AF92" i="6" s="1"/>
  <c r="D15" i="6" a="1"/>
  <c r="D15" i="6" s="1"/>
  <c r="AQ35" i="6" a="1"/>
  <c r="AQ35" i="6" s="1"/>
  <c r="J38" i="6" a="1"/>
  <c r="J38" i="6" s="1"/>
  <c r="L89" i="6" a="1"/>
  <c r="L89" i="6" s="1"/>
  <c r="AB57" i="6" a="1"/>
  <c r="AB57" i="6" s="1"/>
  <c r="N72" i="6" a="1"/>
  <c r="N72" i="6" s="1"/>
  <c r="H43" i="6" a="1"/>
  <c r="H43" i="6" s="1"/>
  <c r="T104" i="6" a="1"/>
  <c r="T104" i="6" s="1"/>
  <c r="P60" i="6" a="1"/>
  <c r="P60" i="6" s="1"/>
  <c r="G90" i="6" a="1"/>
  <c r="G90" i="6" s="1"/>
  <c r="H93" i="6" a="1"/>
  <c r="H93" i="6" s="1"/>
  <c r="H51" i="6" a="1"/>
  <c r="H51" i="6" s="1"/>
  <c r="AB74" i="6" a="1"/>
  <c r="AB74" i="6" s="1"/>
  <c r="AP106" i="6" a="1"/>
  <c r="AP106" i="6" s="1"/>
  <c r="AB78" i="6" a="1"/>
  <c r="AB78" i="6" s="1"/>
  <c r="AJ66" i="6" a="1"/>
  <c r="AJ66" i="6" s="1"/>
  <c r="L85" i="6" a="1"/>
  <c r="L85" i="6" s="1"/>
  <c r="H31" i="6" a="1"/>
  <c r="H31" i="6" s="1"/>
  <c r="D70" i="6" a="1"/>
  <c r="D70" i="6" s="1"/>
  <c r="R9" i="6" a="1"/>
  <c r="R9" i="6" s="1"/>
  <c r="X102" i="6" a="1"/>
  <c r="X102" i="6" s="1"/>
  <c r="AB103" i="6" a="1"/>
  <c r="AB103" i="6" s="1"/>
  <c r="AN49" i="6" a="1"/>
  <c r="AN49" i="6" s="1"/>
  <c r="N68" i="6" a="1"/>
  <c r="N68" i="6" s="1"/>
  <c r="H48" i="6" a="1"/>
  <c r="H48" i="6" s="1"/>
  <c r="H82" i="6" a="1"/>
  <c r="H82" i="6" s="1"/>
  <c r="AQ101" i="6" a="1"/>
  <c r="AQ101" i="6" s="1"/>
  <c r="T63" i="6" a="1"/>
  <c r="T63" i="6" s="1"/>
  <c r="AA36" i="6" a="1"/>
  <c r="AA36" i="6" s="1"/>
  <c r="AF86" i="6" a="1"/>
  <c r="AF86" i="6" s="1"/>
  <c r="AN44" i="6" a="1"/>
  <c r="AN44" i="6" s="1"/>
  <c r="AF69" i="6" a="1"/>
  <c r="AF69" i="6" s="1"/>
  <c r="T30" i="6" a="1"/>
  <c r="T30" i="6" s="1"/>
  <c r="K32" i="6" a="1"/>
  <c r="K32" i="6" s="1"/>
  <c r="AN46" i="6" a="1"/>
  <c r="AN46" i="6" s="1"/>
  <c r="AJ94" i="6" a="1"/>
  <c r="AJ94" i="6" s="1"/>
  <c r="AJ24" i="6" a="1"/>
  <c r="AJ24" i="6" s="1"/>
  <c r="AB93" i="6" a="1"/>
  <c r="AB93" i="6" s="1"/>
  <c r="V63" i="6" a="1"/>
  <c r="V63" i="6" s="1"/>
  <c r="AJ28" i="6" a="1"/>
  <c r="AJ28" i="6" s="1"/>
  <c r="L64" i="6" a="1"/>
  <c r="L64" i="6" s="1"/>
  <c r="AJ22" i="6" a="1"/>
  <c r="AJ22" i="6" s="1"/>
  <c r="L24" i="6" a="1"/>
  <c r="L24" i="6" s="1"/>
  <c r="G84" i="6" a="1"/>
  <c r="G84" i="6" s="1"/>
  <c r="N48" i="6" a="1"/>
  <c r="N48" i="6" s="1"/>
  <c r="L17" i="6" a="1"/>
  <c r="L17" i="6" s="1"/>
  <c r="H45" i="6" a="1"/>
  <c r="H45" i="6" s="1"/>
  <c r="L37" i="6" a="1"/>
  <c r="L37" i="6" s="1"/>
  <c r="AQ103" i="6" a="1"/>
  <c r="AQ103" i="6" s="1"/>
  <c r="G100" i="6" a="1"/>
  <c r="G100" i="6" s="1"/>
  <c r="H92" i="6" a="1"/>
  <c r="H92" i="6" s="1"/>
  <c r="X58" i="6" a="1"/>
  <c r="X58" i="6" s="1"/>
  <c r="AF85" i="6" a="1"/>
  <c r="AF85" i="6" s="1"/>
  <c r="AP7" i="6" a="1"/>
  <c r="AP7" i="6" s="1"/>
  <c r="AM97" i="6" a="1"/>
  <c r="AM97" i="6" s="1"/>
  <c r="T46" i="6" a="1"/>
  <c r="T46" i="6" s="1"/>
  <c r="S56" i="6" a="1"/>
  <c r="S56" i="6" s="1"/>
  <c r="L91" i="6" a="1"/>
  <c r="L91" i="6" s="1"/>
  <c r="X21" i="6" a="1"/>
  <c r="X21" i="6" s="1"/>
  <c r="R79" i="6" a="1"/>
  <c r="R79" i="6" s="1"/>
  <c r="AD24" i="6" a="1"/>
  <c r="AD24" i="6" s="1"/>
  <c r="AE60" i="6" a="1"/>
  <c r="AE60" i="6" s="1"/>
  <c r="D85" i="6" a="1"/>
  <c r="D85" i="6" s="1"/>
  <c r="P73" i="6" a="1"/>
  <c r="P73" i="6" s="1"/>
  <c r="X90" i="6" a="1"/>
  <c r="X90" i="6" s="1"/>
  <c r="V56" i="6" a="1"/>
  <c r="V56" i="6" s="1"/>
  <c r="T52" i="6" a="1"/>
  <c r="T52" i="6" s="1"/>
  <c r="P42" i="6" a="1"/>
  <c r="P42" i="6" s="1"/>
  <c r="G99" i="6" a="1"/>
  <c r="G99" i="6" s="1"/>
  <c r="AE93" i="6" a="1"/>
  <c r="AE93" i="6" s="1"/>
  <c r="AN58" i="6" a="1"/>
  <c r="AN58" i="6" s="1"/>
  <c r="AI73" i="6" a="1"/>
  <c r="AI73" i="6" s="1"/>
  <c r="AA77" i="6" a="1"/>
  <c r="AA77" i="6" s="1"/>
  <c r="AD15" i="6" a="1"/>
  <c r="AD15" i="6" s="1"/>
  <c r="AN41" i="6" a="1"/>
  <c r="AN41" i="6" s="1"/>
  <c r="AD99" i="6" a="1"/>
  <c r="AD99" i="6" s="1"/>
  <c r="AP12" i="6" a="1"/>
  <c r="AP12" i="6" s="1"/>
  <c r="AQ54" i="6" a="1"/>
  <c r="AQ54" i="6" s="1"/>
  <c r="AN95" i="6" a="1"/>
  <c r="AN95" i="6" s="1"/>
  <c r="F62" i="6" a="1"/>
  <c r="F62" i="6" s="1"/>
  <c r="H95" i="6" a="1"/>
  <c r="H95" i="6" s="1"/>
  <c r="P23" i="6" a="1"/>
  <c r="P23" i="6" s="1"/>
  <c r="AN24" i="6" a="1"/>
  <c r="AN24" i="6" s="1"/>
  <c r="X14" i="6" a="1"/>
  <c r="X14" i="6" s="1"/>
  <c r="AA78" i="6" a="1"/>
  <c r="AA78" i="6" s="1"/>
  <c r="AB66" i="6" a="1"/>
  <c r="AB66" i="6" s="1"/>
  <c r="N44" i="6" a="1"/>
  <c r="N44" i="6" s="1"/>
  <c r="AQ34" i="6" a="1"/>
  <c r="AQ34" i="6" s="1"/>
  <c r="O90" i="6" a="1"/>
  <c r="O90" i="6" s="1"/>
  <c r="AB36" i="6" a="1"/>
  <c r="AB36" i="6" s="1"/>
  <c r="AP84" i="6" a="1"/>
  <c r="AP84" i="6" s="1"/>
  <c r="AJ51" i="6" a="1"/>
  <c r="AJ51" i="6" s="1"/>
  <c r="D101" i="6" a="1"/>
  <c r="D101" i="6" s="1"/>
  <c r="L10" i="6" a="1"/>
  <c r="L10" i="6" s="1"/>
  <c r="AB9" i="6" a="1"/>
  <c r="AB9" i="6" s="1"/>
  <c r="V66" i="6" a="1"/>
  <c r="V66" i="6" s="1"/>
  <c r="AN92" i="6" a="1"/>
  <c r="AN92" i="6" s="1"/>
  <c r="AF29" i="6" a="1"/>
  <c r="AF29" i="6" s="1"/>
  <c r="AI51" i="6" a="1"/>
  <c r="AI51" i="6" s="1"/>
  <c r="AE87" i="6" a="1"/>
  <c r="AE87" i="6" s="1"/>
  <c r="AH99" i="6" a="1"/>
  <c r="AH99" i="6" s="1"/>
  <c r="L81" i="6" a="1"/>
  <c r="L81" i="6" s="1"/>
  <c r="AF30" i="6" a="1"/>
  <c r="AF30" i="6" s="1"/>
  <c r="AN105" i="6" a="1"/>
  <c r="AN105" i="6" s="1"/>
  <c r="O85" i="6" a="1"/>
  <c r="O85" i="6" s="1"/>
  <c r="AA101" i="6" a="1"/>
  <c r="AA101" i="6" s="1"/>
  <c r="D83" i="6" a="1"/>
  <c r="D83" i="6" s="1"/>
  <c r="H20" i="6" a="1"/>
  <c r="H20" i="6" s="1"/>
  <c r="H77" i="6" a="1"/>
  <c r="H77" i="6" s="1"/>
  <c r="T48" i="6" a="1"/>
  <c r="T48" i="6" s="1"/>
  <c r="R101" i="6" a="1"/>
  <c r="R101" i="6" s="1"/>
  <c r="AE88" i="6" a="1"/>
  <c r="AE88" i="6" s="1"/>
  <c r="T81" i="6" a="1"/>
  <c r="T81" i="6" s="1"/>
  <c r="AA62" i="6" a="1"/>
  <c r="AA62" i="6" s="1"/>
  <c r="AB10" i="6" a="1"/>
  <c r="AB10" i="6" s="1"/>
  <c r="W92" i="6" a="1"/>
  <c r="W92" i="6" s="1"/>
  <c r="R59" i="6" a="1"/>
  <c r="R59" i="6" s="1"/>
  <c r="AA32" i="6" a="1"/>
  <c r="AA32" i="6" s="1"/>
  <c r="S8" i="6" a="1"/>
  <c r="S8" i="6" s="1"/>
  <c r="H61" i="6" a="1"/>
  <c r="H61" i="6" s="1"/>
  <c r="D91" i="6" a="1"/>
  <c r="D91" i="6" s="1"/>
  <c r="AD9" i="6" a="1"/>
  <c r="AD9" i="6" s="1"/>
  <c r="L95" i="6" a="1"/>
  <c r="L95" i="6" s="1"/>
  <c r="AA92" i="6" a="1"/>
  <c r="AA92" i="6" s="1"/>
  <c r="V103" i="6" a="1"/>
  <c r="V103" i="6" s="1"/>
  <c r="O70" i="6" a="1"/>
  <c r="O70" i="6" s="1"/>
  <c r="P50" i="6" a="1"/>
  <c r="P50" i="6" s="1"/>
  <c r="AB33" i="6" a="1"/>
  <c r="AB33" i="6" s="1"/>
  <c r="AN29" i="6" a="1"/>
  <c r="AN29" i="6" s="1"/>
  <c r="Z22" i="6" a="1"/>
  <c r="Z22" i="6" s="1"/>
  <c r="AF63" i="6" a="1"/>
  <c r="AF63" i="6" s="1"/>
  <c r="AN68" i="6" a="1"/>
  <c r="AN68" i="6" s="1"/>
  <c r="T12" i="6" a="1"/>
  <c r="T12" i="6" s="1"/>
  <c r="K100" i="6" a="1"/>
  <c r="K100" i="6" s="1"/>
  <c r="X65" i="6" a="1"/>
  <c r="X65" i="6" s="1"/>
  <c r="J80" i="6" a="1"/>
  <c r="J80" i="6" s="1"/>
  <c r="AA104" i="6" a="1"/>
  <c r="AA104" i="6" s="1"/>
  <c r="S97" i="6" a="1"/>
  <c r="S97" i="6" s="1"/>
  <c r="AQ61" i="6" a="1"/>
  <c r="AQ61" i="6" s="1"/>
  <c r="R65" i="6" a="1"/>
  <c r="R65" i="6" s="1"/>
  <c r="AI98" i="6" a="1"/>
  <c r="AI98" i="6" s="1"/>
  <c r="X25" i="6" a="1"/>
  <c r="X25" i="6" s="1"/>
  <c r="W37" i="6" a="1"/>
  <c r="W37" i="6" s="1"/>
  <c r="AE37" i="6" a="1"/>
  <c r="AE37" i="6" s="1"/>
  <c r="T35" i="6" a="1"/>
  <c r="T35" i="6" s="1"/>
  <c r="AM53" i="6" a="1"/>
  <c r="AM53" i="6" s="1"/>
  <c r="AF97" i="6" a="1"/>
  <c r="AF97" i="6" s="1"/>
  <c r="X67" i="6" a="1"/>
  <c r="X67" i="6" s="1"/>
  <c r="AN38" i="6" a="1"/>
  <c r="AN38" i="6" s="1"/>
  <c r="AN102" i="6" a="1"/>
  <c r="AN102" i="6" s="1"/>
  <c r="K95" i="6" a="1"/>
  <c r="K95" i="6" s="1"/>
  <c r="O45" i="6" a="1"/>
  <c r="O45" i="6" s="1"/>
  <c r="K88" i="6" a="1"/>
  <c r="K88" i="6" s="1"/>
  <c r="T93" i="6" a="1"/>
  <c r="T93" i="6" s="1"/>
  <c r="G72" i="6" a="1"/>
  <c r="G72" i="6" s="1"/>
  <c r="AN66" i="6" a="1"/>
  <c r="AN66" i="6" s="1"/>
  <c r="T27" i="6" a="1"/>
  <c r="T27" i="6" s="1"/>
  <c r="X49" i="6" a="1"/>
  <c r="X49" i="6" s="1"/>
  <c r="O102" i="6" a="1"/>
  <c r="O102" i="6" s="1"/>
  <c r="AI30" i="8"/>
  <c r="AN57" i="6" a="1"/>
  <c r="AN57" i="6" s="1"/>
  <c r="AN72" i="6" a="1"/>
  <c r="AN72" i="6" s="1"/>
  <c r="AE13" i="6" a="1"/>
  <c r="AE13" i="6" s="1"/>
  <c r="S41" i="6" a="1"/>
  <c r="S41" i="6" s="1"/>
  <c r="D51" i="6" a="1"/>
  <c r="D51" i="6" s="1"/>
  <c r="X10" i="6" a="1"/>
  <c r="X10" i="6" s="1"/>
  <c r="G104" i="6" a="1"/>
  <c r="G104" i="6" s="1"/>
  <c r="V39" i="6" a="1"/>
  <c r="V39" i="6" s="1"/>
  <c r="AD63" i="6" a="1"/>
  <c r="AD63" i="6" s="1"/>
  <c r="AB98" i="6" a="1"/>
  <c r="AB98" i="6" s="1"/>
  <c r="P19" i="6" a="1"/>
  <c r="P19" i="6" s="1"/>
  <c r="S93" i="6" a="1"/>
  <c r="S93" i="6" s="1"/>
  <c r="AE10" i="6" a="1"/>
  <c r="AE10" i="6" s="1"/>
  <c r="T10" i="6" a="1"/>
  <c r="T10" i="6" s="1"/>
  <c r="W78" i="6" a="1"/>
  <c r="W78" i="6" s="1"/>
  <c r="AN23" i="6" a="1"/>
  <c r="AN23" i="6" s="1"/>
  <c r="P89" i="6" a="1"/>
  <c r="P89" i="6" s="1"/>
  <c r="T43" i="6" a="1"/>
  <c r="T43" i="6" s="1"/>
  <c r="AJ86" i="6" a="1"/>
  <c r="AJ86" i="6" s="1"/>
  <c r="S74" i="6" a="1"/>
  <c r="S74" i="6" s="1"/>
  <c r="S69" i="6" a="1"/>
  <c r="S69" i="6" s="1"/>
  <c r="AA43" i="6" a="1"/>
  <c r="AA43" i="6" s="1"/>
  <c r="O67" i="6" a="1"/>
  <c r="O67" i="6" s="1"/>
  <c r="AB64" i="6" a="1"/>
  <c r="AB64" i="6" s="1"/>
  <c r="P45" i="6" a="1"/>
  <c r="P45" i="6" s="1"/>
  <c r="AE39" i="6" a="1"/>
  <c r="AE39" i="6" s="1"/>
  <c r="AB18" i="6" a="1"/>
  <c r="AB18" i="6" s="1"/>
  <c r="R33" i="6" a="1"/>
  <c r="R33" i="6" s="1"/>
  <c r="L106" i="6" a="1"/>
  <c r="L106" i="6" s="1"/>
  <c r="O33" i="6" a="1"/>
  <c r="O33" i="6" s="1"/>
  <c r="AJ39" i="6" a="1"/>
  <c r="AJ39" i="6" s="1"/>
  <c r="AB67" i="6" a="1"/>
  <c r="AB67" i="6" s="1"/>
  <c r="AF83" i="6" a="1"/>
  <c r="AF83" i="6" s="1"/>
  <c r="AM77" i="6" a="1"/>
  <c r="AM77" i="6" s="1"/>
  <c r="S82" i="6" a="1"/>
  <c r="S82" i="6" s="1"/>
  <c r="H27" i="6" a="1"/>
  <c r="H27" i="6" s="1"/>
  <c r="W82" i="6" a="1"/>
  <c r="W82" i="6" s="1"/>
  <c r="G9" i="6" a="1"/>
  <c r="G9" i="6" s="1"/>
  <c r="T14" i="6" a="1"/>
  <c r="T14" i="6" s="1"/>
  <c r="Z32" i="6" a="1"/>
  <c r="Z32" i="6" s="1"/>
  <c r="D67" i="6" a="1"/>
  <c r="D67" i="6" s="1"/>
  <c r="AH96" i="6" a="1"/>
  <c r="AH96" i="6" s="1"/>
  <c r="AQ17" i="6" a="1"/>
  <c r="AQ17" i="6" s="1"/>
  <c r="L87" i="6" a="1"/>
  <c r="L87" i="6" s="1"/>
  <c r="X82" i="6" a="1"/>
  <c r="X82" i="6" s="1"/>
  <c r="AJ30" i="6" a="1"/>
  <c r="AJ30" i="6" s="1"/>
  <c r="AI31" i="6" a="1"/>
  <c r="AI31" i="6" s="1"/>
  <c r="W55" i="6" a="1"/>
  <c r="W55" i="6" s="1"/>
  <c r="W57" i="6" a="1"/>
  <c r="W57" i="6" s="1"/>
  <c r="AJ34" i="6" a="1"/>
  <c r="AJ34" i="6" s="1"/>
  <c r="AQ86" i="6" a="1"/>
  <c r="AQ86" i="6" s="1"/>
  <c r="W18" i="6" a="1"/>
  <c r="W18" i="6" s="1"/>
  <c r="AA16" i="6" a="1"/>
  <c r="AA16" i="6" s="1"/>
  <c r="AL70" i="6" a="1"/>
  <c r="AL70" i="6" s="1"/>
  <c r="AQ70" i="6" a="1"/>
  <c r="AQ70" i="6" s="1"/>
  <c r="K73" i="6" a="1"/>
  <c r="K73" i="6" s="1"/>
  <c r="T47" i="6" a="1"/>
  <c r="T47" i="6" s="1"/>
  <c r="L65" i="6" a="1"/>
  <c r="L65" i="6" s="1"/>
  <c r="W97" i="6" a="1"/>
  <c r="W97" i="6" s="1"/>
  <c r="AL44" i="6" a="1"/>
  <c r="AL44" i="6" s="1"/>
  <c r="L73" i="6" a="1"/>
  <c r="L73" i="6" s="1"/>
  <c r="X105" i="6" a="1"/>
  <c r="X105" i="6" s="1"/>
  <c r="O59" i="6" a="1"/>
  <c r="O59" i="6" s="1"/>
  <c r="AL102" i="6" a="1"/>
  <c r="AL102" i="6" s="1"/>
  <c r="AL86" i="6" a="1"/>
  <c r="AL86" i="6" s="1"/>
  <c r="O79" i="6" a="1"/>
  <c r="O79" i="6" s="1"/>
  <c r="H73" i="6" a="1"/>
  <c r="H73" i="6" s="1"/>
  <c r="S103" i="6" a="1"/>
  <c r="S103" i="6" s="1"/>
  <c r="O25" i="6" a="1"/>
  <c r="O25" i="6" s="1"/>
  <c r="AL10" i="6" a="1"/>
  <c r="AL10" i="6" s="1"/>
  <c r="P52" i="6" a="1"/>
  <c r="P52" i="6" s="1"/>
  <c r="S10" i="6" a="1"/>
  <c r="S10" i="6" s="1"/>
  <c r="AJ15" i="6" a="1"/>
  <c r="AJ15" i="6" s="1"/>
  <c r="AN62" i="6" a="1"/>
  <c r="AN62" i="6" s="1"/>
  <c r="AP25" i="6" a="1"/>
  <c r="AP25" i="6" s="1"/>
  <c r="H37" i="6" a="1"/>
  <c r="H37" i="6" s="1"/>
  <c r="AJ78" i="6" a="1"/>
  <c r="AJ78" i="6" s="1"/>
  <c r="AJ75" i="6" a="1"/>
  <c r="AJ75" i="6" s="1"/>
  <c r="X42" i="6" a="1"/>
  <c r="X42" i="6" s="1"/>
  <c r="AQ30" i="6" a="1"/>
  <c r="AQ30" i="6" s="1"/>
  <c r="V19" i="6" a="1"/>
  <c r="V19" i="6" s="1"/>
  <c r="D68" i="6" a="1"/>
  <c r="D68" i="6" s="1"/>
  <c r="AI55" i="6" a="1"/>
  <c r="AI55" i="6" s="1"/>
  <c r="AQ63" i="6" a="1"/>
  <c r="AQ63" i="6" s="1"/>
  <c r="N27" i="6" a="1"/>
  <c r="N27" i="6" s="1"/>
  <c r="P100" i="6" a="1"/>
  <c r="P100" i="6" s="1"/>
  <c r="AJ59" i="6" a="1"/>
  <c r="AJ59" i="6" s="1"/>
  <c r="AI17" i="6" a="1"/>
  <c r="AI17" i="6" s="1"/>
  <c r="D60" i="6" a="1"/>
  <c r="D60" i="6" s="1"/>
  <c r="AB60" i="6" a="1"/>
  <c r="AB60" i="6" s="1"/>
  <c r="AM103" i="6" a="1"/>
  <c r="AM103" i="6" s="1"/>
  <c r="K70" i="6" a="1"/>
  <c r="K70" i="6" s="1"/>
  <c r="L76" i="6" a="1"/>
  <c r="L76" i="6" s="1"/>
  <c r="AA38" i="6" a="1"/>
  <c r="AA38" i="6" s="1"/>
  <c r="AF13" i="6" a="1"/>
  <c r="AF13" i="6" s="1"/>
  <c r="AH101" i="6" a="1"/>
  <c r="AH101" i="6" s="1"/>
  <c r="AE106" i="6" a="1"/>
  <c r="AE106" i="6" s="1"/>
  <c r="K52" i="6" a="1"/>
  <c r="K52" i="6" s="1"/>
  <c r="AA8" i="6" a="1"/>
  <c r="AA8" i="6" s="1"/>
  <c r="AQ75" i="6" a="1"/>
  <c r="AQ75" i="6" s="1"/>
  <c r="X94" i="6" a="1"/>
  <c r="X94" i="6" s="1"/>
  <c r="X104" i="6" a="1"/>
  <c r="X104" i="6" s="1"/>
  <c r="D104" i="6" a="1"/>
  <c r="D104" i="6" s="1"/>
  <c r="AM16" i="6" a="1"/>
  <c r="AM16" i="6" s="1"/>
  <c r="AD43" i="6" a="1"/>
  <c r="AD43" i="6" s="1"/>
  <c r="X83" i="6" a="1"/>
  <c r="X83" i="6" s="1"/>
  <c r="D88" i="6" a="1"/>
  <c r="D88" i="6" s="1"/>
  <c r="X52" i="6" a="1"/>
  <c r="X52" i="6" s="1"/>
  <c r="O52" i="6" a="1"/>
  <c r="O52" i="6" s="1"/>
  <c r="AN99" i="6" a="1"/>
  <c r="AN99" i="6" s="1"/>
  <c r="G89" i="6" a="1"/>
  <c r="G89" i="6" s="1"/>
  <c r="P41" i="6" a="1"/>
  <c r="P41" i="6" s="1"/>
  <c r="AJ48" i="6" a="1"/>
  <c r="AJ48" i="6" s="1"/>
  <c r="AN71" i="6" a="1"/>
  <c r="AN71" i="6" s="1"/>
  <c r="AA71" i="6" a="1"/>
  <c r="AA71" i="6" s="1"/>
  <c r="AA96" i="6" a="1"/>
  <c r="AA96" i="6" s="1"/>
  <c r="AB61" i="6" a="1"/>
  <c r="AB61" i="6" s="1"/>
  <c r="S65" i="6" a="1"/>
  <c r="S65" i="6" s="1"/>
  <c r="H38" i="6" a="1"/>
  <c r="H38" i="6" s="1"/>
  <c r="AJ71" i="6" a="1"/>
  <c r="AJ71" i="6" s="1"/>
  <c r="AQ100" i="6" a="1"/>
  <c r="AQ100" i="6" s="1"/>
  <c r="L71" i="6" a="1"/>
  <c r="L71" i="6" s="1"/>
  <c r="AD58" i="6" a="1"/>
  <c r="AD58" i="6" s="1"/>
  <c r="P99" i="6" a="1"/>
  <c r="P99" i="6" s="1"/>
  <c r="V59" i="6" a="1"/>
  <c r="V59" i="6" s="1"/>
  <c r="G40" i="6" a="1"/>
  <c r="G40" i="6" s="1"/>
  <c r="T41" i="6" a="1"/>
  <c r="T41" i="6" s="1"/>
  <c r="T29" i="6" a="1"/>
  <c r="T29" i="6" s="1"/>
  <c r="R39" i="6" a="1"/>
  <c r="R39" i="6" s="1"/>
  <c r="AD44" i="6" a="1"/>
  <c r="AD44" i="6" s="1"/>
  <c r="AB68" i="6" a="1"/>
  <c r="AB68" i="6" s="1"/>
  <c r="D32" i="6" a="1"/>
  <c r="D32" i="6" s="1"/>
  <c r="G95" i="6" a="1"/>
  <c r="G95" i="6" s="1"/>
  <c r="AM32" i="6" a="1"/>
  <c r="AM32" i="6" s="1"/>
  <c r="S106" i="6" a="1"/>
  <c r="S106" i="6" s="1"/>
  <c r="W89" i="6" a="1"/>
  <c r="W89" i="6" s="1"/>
  <c r="AF102" i="6" a="1"/>
  <c r="AF102" i="6" s="1"/>
  <c r="AL18" i="6" a="1"/>
  <c r="AL18" i="6" s="1"/>
  <c r="AE63" i="6" a="1"/>
  <c r="AE63" i="6" s="1"/>
  <c r="AP53" i="6" a="1"/>
  <c r="AP53" i="6" s="1"/>
  <c r="O69" i="6" a="1"/>
  <c r="O69" i="6" s="1"/>
  <c r="W61" i="6" a="1"/>
  <c r="W61" i="6" s="1"/>
  <c r="T69" i="6" a="1"/>
  <c r="T69" i="6" s="1"/>
  <c r="P28" i="6" a="1"/>
  <c r="P28" i="6" s="1"/>
  <c r="AP13" i="6" a="1"/>
  <c r="AP13" i="6" s="1"/>
  <c r="T106" i="6" a="1"/>
  <c r="T106" i="6" s="1"/>
  <c r="D90" i="6" a="1"/>
  <c r="D90" i="6" s="1"/>
  <c r="AE92" i="6" a="1"/>
  <c r="AE92" i="6" s="1"/>
  <c r="AH25" i="6" a="1"/>
  <c r="AH25" i="6" s="1"/>
  <c r="W93" i="6" a="1"/>
  <c r="W93" i="6" s="1"/>
  <c r="P93" i="6" a="1"/>
  <c r="P93" i="6" s="1"/>
  <c r="AP70" i="6" a="1"/>
  <c r="AP70" i="6" s="1"/>
  <c r="AP48" i="6" a="1"/>
  <c r="AP48" i="6" s="1"/>
  <c r="AH55" i="6" a="1"/>
  <c r="AH55" i="6" s="1"/>
  <c r="R17" i="6" a="1"/>
  <c r="R17" i="6" s="1"/>
  <c r="AN47" i="6" a="1"/>
  <c r="AN47" i="6" s="1"/>
  <c r="AM33" i="6" a="1"/>
  <c r="AM33" i="6" s="1"/>
  <c r="O82" i="6" a="1"/>
  <c r="O82" i="6" s="1"/>
  <c r="AB17" i="6" a="1"/>
  <c r="AB17" i="6" s="1"/>
  <c r="AJ93" i="6" a="1"/>
  <c r="AJ93" i="6" s="1"/>
  <c r="AB85" i="6" a="1"/>
  <c r="AB85" i="6" s="1"/>
  <c r="AB59" i="6" a="1"/>
  <c r="AB59" i="6" s="1"/>
  <c r="W40" i="6" a="1"/>
  <c r="W40" i="6" s="1"/>
  <c r="AN48" i="6" a="1"/>
  <c r="AN48" i="6" s="1"/>
  <c r="H87" i="6" a="1"/>
  <c r="H87" i="6" s="1"/>
  <c r="N106" i="6" a="1"/>
  <c r="N106" i="6" s="1"/>
  <c r="Z29" i="6" a="1"/>
  <c r="Z29" i="6" s="1"/>
  <c r="O95" i="6" a="1"/>
  <c r="O95" i="6" s="1"/>
  <c r="AF71" i="6" a="1"/>
  <c r="AF71" i="6" s="1"/>
  <c r="G98" i="6" a="1"/>
  <c r="G98" i="6" s="1"/>
  <c r="D98" i="6" a="1"/>
  <c r="D98" i="6" s="1"/>
  <c r="D61" i="6" a="1"/>
  <c r="D61" i="6" s="1"/>
  <c r="AN40" i="6" a="1"/>
  <c r="AN40" i="6" s="1"/>
  <c r="H94" i="6" a="1"/>
  <c r="H94" i="6" s="1"/>
  <c r="AN9" i="6" a="1"/>
  <c r="AN9" i="6" s="1"/>
  <c r="AJ57" i="6" a="1"/>
  <c r="AJ57" i="6" s="1"/>
  <c r="AN35" i="6" a="1"/>
  <c r="AN35" i="6" s="1"/>
  <c r="AH66" i="6" a="1"/>
  <c r="AH66" i="6" s="1"/>
  <c r="AD30" i="6" a="1"/>
  <c r="AD30" i="6" s="1"/>
  <c r="T28" i="6" a="1"/>
  <c r="T28" i="6" s="1"/>
  <c r="F53" i="6" a="1"/>
  <c r="F53" i="6" s="1"/>
  <c r="AM60" i="6" a="1"/>
  <c r="AM60" i="6" s="1"/>
  <c r="D74" i="6" a="1"/>
  <c r="D74" i="6" s="1"/>
  <c r="W106" i="6" a="1"/>
  <c r="W106" i="6" s="1"/>
  <c r="O19" i="6" a="1"/>
  <c r="O19" i="6" s="1"/>
  <c r="H55" i="6" a="1"/>
  <c r="H55" i="6" s="1"/>
  <c r="AF22" i="6" a="1"/>
  <c r="AF22" i="6" s="1"/>
  <c r="AI57" i="6" a="1"/>
  <c r="AI57" i="6" s="1"/>
  <c r="AB22" i="6" a="1"/>
  <c r="AB22" i="6" s="1"/>
  <c r="S37" i="6" a="1"/>
  <c r="S37" i="6" s="1"/>
  <c r="H70" i="6" a="1"/>
  <c r="H70" i="6" s="1"/>
  <c r="AE49" i="6" a="1"/>
  <c r="AE49" i="6" s="1"/>
  <c r="L57" i="6" a="1"/>
  <c r="L57" i="6" s="1"/>
  <c r="AM84" i="6" a="1"/>
  <c r="AM84" i="6" s="1"/>
  <c r="AF98" i="6" a="1"/>
  <c r="AF98" i="6" s="1"/>
  <c r="P77" i="6" a="1"/>
  <c r="P77" i="6" s="1"/>
  <c r="O47" i="6" a="1"/>
  <c r="O47" i="6" s="1"/>
  <c r="AD17" i="6" a="1"/>
  <c r="AD17" i="6" s="1"/>
  <c r="AN70" i="6" a="1"/>
  <c r="AN70" i="6" s="1"/>
  <c r="P49" i="6" a="1"/>
  <c r="P49" i="6" s="1"/>
  <c r="AM96" i="6" a="1"/>
  <c r="AM96" i="6" s="1"/>
  <c r="AH40" i="6" a="1"/>
  <c r="AH40" i="6" s="1"/>
  <c r="H96" i="6" a="1"/>
  <c r="H96" i="6" s="1"/>
  <c r="AF26" i="6" a="1"/>
  <c r="AF26" i="6" s="1"/>
  <c r="AN42" i="6" a="1"/>
  <c r="AN42" i="6" s="1"/>
  <c r="V22" i="6" a="1"/>
  <c r="V22" i="6" s="1"/>
  <c r="V8" i="6" a="1"/>
  <c r="V8" i="6" s="1"/>
  <c r="D53" i="6" a="1"/>
  <c r="D53" i="6" s="1"/>
  <c r="AQ95" i="6" a="1"/>
  <c r="AQ95" i="6" s="1"/>
  <c r="R81" i="6" a="1"/>
  <c r="R81" i="6" s="1"/>
  <c r="X24" i="6" a="1"/>
  <c r="X24" i="6" s="1"/>
  <c r="AM42" i="6" a="1"/>
  <c r="AM42" i="6" s="1"/>
  <c r="J18" i="6" a="1"/>
  <c r="J18" i="6" s="1"/>
  <c r="W75" i="6" a="1"/>
  <c r="W75" i="6" s="1"/>
  <c r="AB70" i="6" a="1"/>
  <c r="AB70" i="6" s="1"/>
  <c r="X47" i="6" a="1"/>
  <c r="X47" i="6" s="1"/>
  <c r="AF100" i="6" a="1"/>
  <c r="AF100" i="6" s="1"/>
  <c r="AM27" i="6" a="1"/>
  <c r="AM27" i="6" s="1"/>
  <c r="AE45" i="6" a="1"/>
  <c r="AE45" i="6" s="1"/>
  <c r="AM88" i="6" a="1"/>
  <c r="AM88" i="6" s="1"/>
  <c r="AP78" i="6" a="1"/>
  <c r="AP78" i="6" s="1"/>
  <c r="P15" i="6" a="1"/>
  <c r="P15" i="6" s="1"/>
  <c r="AF103" i="6" a="1"/>
  <c r="AF103" i="6" s="1"/>
  <c r="X98" i="6" a="1"/>
  <c r="X98" i="6" s="1"/>
  <c r="AL79" i="6" a="1"/>
  <c r="AL79" i="6" s="1"/>
  <c r="AN7" i="6" a="1"/>
  <c r="AN7" i="6" s="1"/>
  <c r="AJ38" i="6" a="1"/>
  <c r="AJ38" i="6" s="1"/>
  <c r="AA12" i="6" a="1"/>
  <c r="AA12" i="6" s="1"/>
  <c r="AQ84" i="6" a="1"/>
  <c r="AQ84" i="6" s="1"/>
  <c r="S22" i="6" a="1"/>
  <c r="S22" i="6" s="1"/>
  <c r="T26" i="6" a="1"/>
  <c r="T26" i="6" s="1"/>
  <c r="W21" i="6" a="1"/>
  <c r="W21" i="6" s="1"/>
  <c r="L80" i="6" a="1"/>
  <c r="L80" i="6" s="1"/>
  <c r="AB38" i="6" a="1"/>
  <c r="AB38" i="6" s="1"/>
  <c r="L14" i="6" a="1"/>
  <c r="L14" i="6" s="1"/>
  <c r="W50" i="6" a="1"/>
  <c r="W50" i="6" s="1"/>
  <c r="AI101" i="6" a="1"/>
  <c r="AI101" i="6" s="1"/>
  <c r="S13" i="6" a="1"/>
  <c r="S13" i="6" s="1"/>
  <c r="D57" i="6" a="1"/>
  <c r="D57" i="6" s="1"/>
  <c r="AL22" i="6" a="1"/>
  <c r="AL22" i="6" s="1"/>
  <c r="AI90" i="6" a="1"/>
  <c r="AI90" i="6" s="1"/>
  <c r="AA98" i="6" a="1"/>
  <c r="AA98" i="6" s="1"/>
  <c r="AE50" i="6" a="1"/>
  <c r="AE50" i="6" s="1"/>
  <c r="H32" i="6" a="1"/>
  <c r="H32" i="6" s="1"/>
  <c r="S81" i="6" a="1"/>
  <c r="S81" i="6" s="1"/>
  <c r="N52" i="6" a="1"/>
  <c r="N52" i="6" s="1"/>
  <c r="AF31" i="6" a="1"/>
  <c r="AF31" i="6" s="1"/>
  <c r="AP99" i="6" a="1"/>
  <c r="AP99" i="6" s="1"/>
  <c r="AF41" i="6" a="1"/>
  <c r="AF41" i="6" s="1"/>
  <c r="H54" i="6" a="1"/>
  <c r="H54" i="6" s="1"/>
  <c r="L34" i="6" a="1"/>
  <c r="L34" i="6" s="1"/>
  <c r="J74" i="6" a="1"/>
  <c r="J74" i="6" s="1"/>
  <c r="R36" i="6" a="1"/>
  <c r="R36" i="6" s="1"/>
  <c r="X40" i="6" a="1"/>
  <c r="X40" i="6" s="1"/>
  <c r="G94" i="6" a="1"/>
  <c r="G94" i="6" s="1"/>
  <c r="K65" i="6" a="1"/>
  <c r="K65" i="6" s="1"/>
  <c r="AJ21" i="6" a="1"/>
  <c r="AJ21" i="6" s="1"/>
  <c r="AI14" i="6" a="1"/>
  <c r="AI14" i="6" s="1"/>
  <c r="AF82" i="6" a="1"/>
  <c r="AF82" i="6" s="1"/>
  <c r="AH68" i="6" a="1"/>
  <c r="AH68" i="6" s="1"/>
  <c r="K89" i="6" a="1"/>
  <c r="K89" i="6" s="1"/>
  <c r="AN79" i="6" a="1"/>
  <c r="AN79" i="6" s="1"/>
  <c r="AF46" i="6" a="1"/>
  <c r="AF46" i="6" s="1"/>
  <c r="AJ60" i="6" a="1"/>
  <c r="AJ60" i="6" s="1"/>
  <c r="Z95" i="6" a="1"/>
  <c r="Z95" i="6" s="1"/>
  <c r="S98" i="6" a="1"/>
  <c r="S98" i="6" s="1"/>
  <c r="AA42" i="6" a="1"/>
  <c r="AA42" i="6" s="1"/>
  <c r="J20" i="6" a="1"/>
  <c r="J20" i="6" s="1"/>
  <c r="L31" i="6" a="1"/>
  <c r="L31" i="6" s="1"/>
  <c r="F7" i="6" a="1"/>
  <c r="F7" i="6" s="1"/>
  <c r="G7" i="6" a="1"/>
  <c r="G7" i="6" s="1"/>
  <c r="AI31" i="8"/>
  <c r="AI33" i="8"/>
  <c r="AI39" i="8"/>
  <c r="AI40" i="8"/>
  <c r="AI38" i="8"/>
  <c r="AI32" i="8"/>
  <c r="AI35" i="8"/>
  <c r="AI37" i="8"/>
  <c r="AI34" i="8"/>
  <c r="AI36" i="8"/>
  <c r="AT62" i="6" l="1"/>
  <c r="AT105" i="6"/>
  <c r="AT7" i="6"/>
  <c r="AT83" i="6"/>
  <c r="AT80" i="6"/>
  <c r="AT66" i="6"/>
  <c r="AT71" i="6"/>
  <c r="AT69" i="6"/>
  <c r="AT37" i="6"/>
  <c r="AT97" i="6"/>
  <c r="AT90" i="6"/>
  <c r="AT72" i="6"/>
  <c r="AT106" i="6"/>
  <c r="AT73" i="6"/>
  <c r="AT24" i="6"/>
  <c r="AT42" i="6"/>
  <c r="AT49" i="6"/>
  <c r="AT79" i="6"/>
  <c r="AT101" i="6"/>
  <c r="AT11" i="6"/>
  <c r="AT70" i="6"/>
  <c r="AT88" i="6"/>
  <c r="AT98" i="6"/>
  <c r="AT82" i="6"/>
  <c r="AT54" i="6"/>
  <c r="AT64" i="6"/>
  <c r="AT57" i="6"/>
  <c r="AT12" i="6"/>
  <c r="AT45" i="6"/>
  <c r="AT22" i="6"/>
  <c r="AT20" i="6"/>
  <c r="AT32" i="6"/>
  <c r="AT75" i="6"/>
  <c r="AT59" i="6"/>
  <c r="AT55" i="6"/>
  <c r="AT76" i="6"/>
  <c r="AT60" i="6"/>
  <c r="AT81" i="6"/>
  <c r="AT99" i="6"/>
  <c r="AT100" i="6"/>
  <c r="AT68" i="6"/>
  <c r="AT52" i="6"/>
  <c r="AT17" i="6"/>
  <c r="AT8" i="6"/>
  <c r="AT51" i="6"/>
  <c r="AT34" i="6"/>
  <c r="AT63" i="6"/>
  <c r="AT10" i="6"/>
  <c r="AT87" i="6"/>
  <c r="AT29" i="6"/>
  <c r="AT23" i="6"/>
  <c r="AT85" i="6"/>
  <c r="AT56" i="6"/>
  <c r="AT31" i="6"/>
  <c r="AT25" i="6"/>
  <c r="AT13" i="6"/>
  <c r="AT47" i="6"/>
  <c r="AT9" i="6"/>
  <c r="AT84" i="6"/>
  <c r="AT96" i="6"/>
  <c r="AT30" i="6"/>
  <c r="AT36" i="6"/>
  <c r="AT38" i="6"/>
  <c r="AT33" i="6"/>
  <c r="AT50" i="6"/>
  <c r="AT77" i="6"/>
  <c r="AT65" i="6"/>
  <c r="AT15" i="6"/>
  <c r="AT61" i="6"/>
  <c r="AT94" i="6"/>
  <c r="AT21" i="6"/>
  <c r="AT40" i="6"/>
  <c r="AT92" i="6"/>
  <c r="AT48" i="6"/>
  <c r="AT44" i="6"/>
  <c r="AT28" i="6"/>
  <c r="AT41" i="6"/>
  <c r="AT39" i="6"/>
  <c r="AT103" i="6"/>
  <c r="AT102" i="6"/>
  <c r="AT95" i="6"/>
  <c r="AT104" i="6"/>
  <c r="AT91" i="6"/>
  <c r="AT86" i="6"/>
  <c r="AT78" i="6"/>
  <c r="AT27" i="6"/>
  <c r="AT35" i="6"/>
  <c r="AT16" i="6"/>
  <c r="AT53" i="6"/>
  <c r="AT46" i="6"/>
  <c r="AT67" i="6"/>
  <c r="AT74" i="6"/>
  <c r="AT93" i="6"/>
  <c r="AT43" i="6"/>
  <c r="AT58" i="6"/>
  <c r="AT89" i="6"/>
  <c r="AT18" i="6"/>
  <c r="AT26" i="6"/>
  <c r="AT19" i="6"/>
  <c r="AT14" i="6"/>
  <c r="AS13" i="6"/>
  <c r="M34" i="9"/>
  <c r="H34" i="9" s="1"/>
  <c r="AR7" i="6"/>
  <c r="AS9" i="6"/>
  <c r="AS14" i="6"/>
  <c r="AS37" i="6"/>
  <c r="AR38" i="6"/>
  <c r="AS65" i="6"/>
  <c r="AR77" i="6"/>
  <c r="AR72" i="6"/>
  <c r="AR81" i="6"/>
  <c r="AR89" i="6"/>
  <c r="AR75" i="6"/>
  <c r="AR76" i="6"/>
  <c r="AR103" i="6"/>
  <c r="AR97" i="6"/>
  <c r="AR95" i="6"/>
  <c r="AR104" i="6"/>
  <c r="AR98" i="6"/>
  <c r="AR68" i="6"/>
  <c r="AR67" i="6"/>
  <c r="AR80" i="6"/>
  <c r="AR91" i="6"/>
  <c r="AR100" i="6"/>
  <c r="AR105" i="6"/>
  <c r="AR73" i="6"/>
  <c r="AR101" i="6"/>
  <c r="AR41" i="6"/>
  <c r="AR52" i="6"/>
  <c r="AR13" i="6"/>
  <c r="AR53" i="6"/>
  <c r="AR44" i="6"/>
  <c r="AR54" i="6"/>
  <c r="AR45" i="6"/>
  <c r="AR43" i="6"/>
  <c r="AR33" i="6"/>
  <c r="AR14" i="6"/>
  <c r="AR50" i="6"/>
  <c r="AR55" i="6"/>
  <c r="AR51" i="6"/>
  <c r="AR12" i="6"/>
  <c r="AR20" i="6"/>
  <c r="AR61" i="6"/>
  <c r="AR40" i="6"/>
  <c r="AR15" i="6"/>
  <c r="AR23" i="6"/>
  <c r="AR22" i="6"/>
  <c r="AR9" i="6"/>
  <c r="AR21" i="6"/>
  <c r="AR42" i="6"/>
  <c r="AR83" i="6"/>
  <c r="AR46" i="6"/>
  <c r="AR85" i="6"/>
  <c r="AR8" i="6"/>
  <c r="AR11" i="6"/>
  <c r="AS69" i="6"/>
  <c r="AS56" i="6"/>
  <c r="AS34" i="6"/>
  <c r="AS76" i="6"/>
  <c r="AS75" i="6"/>
  <c r="AS99" i="6"/>
  <c r="AS67" i="6"/>
  <c r="AS20" i="6"/>
  <c r="AS25" i="6"/>
  <c r="AS101" i="6"/>
  <c r="AS42" i="6"/>
  <c r="AS44" i="6"/>
  <c r="AS35" i="6"/>
  <c r="AS12" i="6"/>
  <c r="AS82" i="6"/>
  <c r="AS97" i="6"/>
  <c r="AS81" i="6"/>
  <c r="AS57" i="6"/>
  <c r="AS92" i="6"/>
  <c r="AS52" i="6"/>
  <c r="AS77" i="6"/>
  <c r="AS73" i="6"/>
  <c r="AS87" i="6"/>
  <c r="AS7" i="6"/>
  <c r="AS10" i="6"/>
  <c r="AS51" i="6"/>
  <c r="AS72" i="6"/>
  <c r="AS86" i="6"/>
  <c r="AS15" i="6"/>
  <c r="AS46" i="6"/>
  <c r="AS31" i="6"/>
  <c r="AS47" i="6"/>
  <c r="AS98" i="6"/>
  <c r="AS93" i="6"/>
  <c r="AS66" i="6"/>
  <c r="AS54" i="6"/>
  <c r="AS49" i="6"/>
  <c r="AS59" i="6"/>
  <c r="AS64" i="6"/>
  <c r="AS89" i="6"/>
  <c r="AS60" i="6"/>
  <c r="AS32" i="6"/>
  <c r="AS62" i="6"/>
  <c r="AS74" i="6"/>
  <c r="AS84" i="6"/>
  <c r="AS106" i="6"/>
  <c r="AS29" i="6"/>
  <c r="AS80" i="6"/>
  <c r="AS40" i="6"/>
  <c r="AS103" i="6"/>
  <c r="AS33" i="6"/>
  <c r="AS58" i="6"/>
  <c r="AS104" i="6"/>
  <c r="AS105" i="6"/>
  <c r="AS24" i="6"/>
  <c r="AS39" i="6"/>
  <c r="AS26" i="6"/>
  <c r="AS78" i="6"/>
  <c r="AS70" i="6"/>
  <c r="AS30" i="6"/>
  <c r="AS43" i="6"/>
  <c r="AS19" i="6"/>
  <c r="AS48" i="6"/>
  <c r="AS18" i="6"/>
  <c r="AS91" i="6"/>
  <c r="AS55" i="6"/>
  <c r="AS27" i="6"/>
  <c r="AS45" i="6"/>
  <c r="AS63" i="6"/>
  <c r="AR99" i="6"/>
  <c r="AR102" i="6"/>
  <c r="AR39" i="6"/>
  <c r="AR37" i="6"/>
  <c r="AR93" i="6"/>
  <c r="AR88" i="6"/>
  <c r="AR35" i="6"/>
  <c r="AR49" i="6"/>
  <c r="AR34" i="6"/>
  <c r="AS96" i="6"/>
  <c r="AS50" i="6"/>
  <c r="AS71" i="6"/>
  <c r="AS95" i="6"/>
  <c r="AS94" i="6"/>
  <c r="AS41" i="6"/>
  <c r="AS17" i="6"/>
  <c r="AS53" i="6"/>
  <c r="AS28" i="6"/>
  <c r="AS36" i="6"/>
  <c r="AR57" i="6"/>
  <c r="AR87" i="6"/>
  <c r="AR78" i="6"/>
  <c r="AR18" i="6"/>
  <c r="AR10" i="6"/>
  <c r="AR25" i="6"/>
  <c r="AR66" i="6"/>
  <c r="AR16" i="6"/>
  <c r="AR64" i="6"/>
  <c r="AS79" i="6"/>
  <c r="AS90" i="6"/>
  <c r="AS102" i="6"/>
  <c r="AS61" i="6"/>
  <c r="AS21" i="6"/>
  <c r="AS68" i="6"/>
  <c r="AS100" i="6"/>
  <c r="AS88" i="6"/>
  <c r="AR36" i="6"/>
  <c r="AR47" i="6"/>
  <c r="AR70" i="6"/>
  <c r="AR92" i="6"/>
  <c r="AR17" i="6"/>
  <c r="AR32" i="6"/>
  <c r="AR24" i="6"/>
  <c r="AR86" i="6"/>
  <c r="AR27" i="6"/>
  <c r="AR28" i="6"/>
  <c r="AR60" i="6"/>
  <c r="AR19" i="6"/>
  <c r="AR58" i="6"/>
  <c r="AR59" i="6"/>
  <c r="AR63" i="6"/>
  <c r="AR84" i="6"/>
  <c r="AR106" i="6"/>
  <c r="AR31" i="6"/>
  <c r="AR30" i="6"/>
  <c r="AR56" i="6"/>
  <c r="AR29" i="6"/>
  <c r="AR96" i="6"/>
  <c r="AR71" i="6"/>
  <c r="AR26" i="6"/>
  <c r="AR69" i="6"/>
  <c r="AR79" i="6"/>
  <c r="AR65" i="6"/>
  <c r="AR90" i="6"/>
  <c r="AR62" i="6"/>
  <c r="AR48" i="6"/>
  <c r="AR94" i="6"/>
  <c r="AR74" i="6"/>
  <c r="AR82" i="6"/>
  <c r="AS11" i="6"/>
  <c r="AS83" i="6"/>
  <c r="AS22" i="6"/>
  <c r="AS8" i="6"/>
  <c r="AS85" i="6"/>
  <c r="AS16" i="6"/>
  <c r="AS38" i="6"/>
  <c r="AS23" i="6"/>
  <c r="M35" i="9" l="1"/>
  <c r="H35" i="9" s="1"/>
  <c r="M36" i="9" l="1"/>
  <c r="H36" i="9" s="1"/>
  <c r="M37" i="9" l="1"/>
  <c r="H37" i="9" s="1"/>
  <c r="M38" i="9" l="1"/>
  <c r="H38" i="9" s="1"/>
  <c r="M39" i="9" l="1"/>
  <c r="H39" i="9" s="1"/>
  <c r="M40" i="9" l="1"/>
  <c r="H40" i="9" s="1"/>
  <c r="M41" i="9" l="1"/>
  <c r="H41" i="9" s="1"/>
  <c r="M42" i="9" l="1"/>
  <c r="H42" i="9" s="1"/>
  <c r="M43" i="9" l="1"/>
  <c r="H43" i="9" s="1"/>
  <c r="M44" i="9" l="1"/>
  <c r="H44" i="9" s="1"/>
  <c r="M45" i="9" l="1"/>
  <c r="H45" i="9" s="1"/>
  <c r="M46" i="9" l="1"/>
  <c r="H46" i="9" s="1"/>
  <c r="M47" i="9" l="1"/>
  <c r="H47" i="9" s="1"/>
  <c r="M48" i="9" l="1"/>
  <c r="H48" i="9" s="1"/>
  <c r="M49" i="9" l="1"/>
  <c r="H49" i="9" s="1"/>
  <c r="M50" i="9" l="1"/>
  <c r="H50" i="9" s="1"/>
  <c r="M51" i="9" l="1"/>
  <c r="H51" i="9" s="1"/>
  <c r="M52" i="9" l="1"/>
  <c r="H52" i="9" s="1"/>
  <c r="M53" i="9" l="1"/>
  <c r="H53" i="9" s="1"/>
  <c r="M54" i="9" l="1"/>
  <c r="H54" i="9" s="1"/>
  <c r="M55" i="9" l="1"/>
  <c r="H55" i="9" s="1"/>
  <c r="M56" i="9" l="1"/>
  <c r="M57" i="9" l="1"/>
  <c r="H57" i="9" s="1"/>
  <c r="M58" i="9" l="1"/>
  <c r="H58" i="9" s="1"/>
  <c r="M59" i="9" l="1"/>
  <c r="H59" i="9" s="1"/>
  <c r="M60" i="9" l="1"/>
  <c r="H60" i="9" s="1"/>
  <c r="M61" i="9" l="1"/>
  <c r="H61" i="9" s="1"/>
  <c r="M62" i="9" l="1"/>
  <c r="H62" i="9" s="1"/>
  <c r="M63" i="9" l="1"/>
  <c r="H63" i="9" s="1"/>
  <c r="M64" i="9" l="1"/>
  <c r="H64" i="9" s="1"/>
  <c r="M65" i="9" l="1"/>
  <c r="H65" i="9" s="1"/>
  <c r="M66" i="9" l="1"/>
  <c r="H66" i="9" s="1"/>
  <c r="M67" i="9" l="1"/>
  <c r="H67" i="9" s="1"/>
  <c r="M68" i="9" l="1"/>
  <c r="H68" i="9" s="1"/>
  <c r="M69" i="9" l="1"/>
  <c r="H69" i="9" s="1"/>
  <c r="M70" i="9" l="1"/>
  <c r="H70" i="9" s="1"/>
  <c r="M71" i="9" l="1"/>
  <c r="H71" i="9" s="1"/>
  <c r="M72" i="9" l="1"/>
  <c r="H72" i="9" s="1"/>
  <c r="M73" i="9" l="1"/>
  <c r="H73" i="9" s="1"/>
  <c r="M74" i="9" l="1"/>
  <c r="H74" i="9" s="1"/>
  <c r="M75" i="9" l="1"/>
  <c r="H75" i="9" s="1"/>
  <c r="M76" i="9" l="1"/>
  <c r="H76" i="9" s="1"/>
  <c r="M77" i="9" l="1"/>
  <c r="H77" i="9" s="1"/>
  <c r="M78" i="9" l="1"/>
  <c r="H78" i="9" s="1"/>
  <c r="M79" i="9" l="1"/>
  <c r="H79" i="9" s="1"/>
  <c r="M80" i="9" l="1"/>
  <c r="H80" i="9" s="1"/>
  <c r="M81" i="9" l="1"/>
  <c r="H81" i="9" s="1"/>
  <c r="M82" i="9" l="1"/>
  <c r="H82" i="9" s="1"/>
  <c r="M83" i="9" l="1"/>
  <c r="M84" i="9" l="1"/>
  <c r="H84" i="9" s="1"/>
  <c r="M85" i="9" l="1"/>
  <c r="H85" i="9" s="1"/>
  <c r="M86" i="9" l="1"/>
  <c r="H86" i="9" s="1"/>
  <c r="M87" i="9" l="1"/>
  <c r="H87" i="9" s="1"/>
  <c r="M88" i="9" l="1"/>
  <c r="H88" i="9" s="1"/>
  <c r="M89" i="9" l="1"/>
  <c r="H89" i="9" s="1"/>
  <c r="M90" i="9" l="1"/>
  <c r="H90" i="9" s="1"/>
  <c r="M91" i="9" l="1"/>
  <c r="H91" i="9" s="1"/>
  <c r="M92" i="9" l="1"/>
  <c r="H92" i="9" s="1"/>
  <c r="M93" i="9" l="1"/>
  <c r="H93" i="9" s="1"/>
  <c r="M94" i="9" l="1"/>
  <c r="H94" i="9" s="1"/>
  <c r="M95" i="9" l="1"/>
  <c r="H95" i="9" s="1"/>
  <c r="M96" i="9" l="1"/>
  <c r="H96" i="9" s="1"/>
  <c r="M97" i="9" l="1"/>
  <c r="H97" i="9" s="1"/>
  <c r="M98" i="9" l="1"/>
  <c r="H98" i="9" s="1"/>
  <c r="M99" i="9" l="1"/>
  <c r="H99" i="9" s="1"/>
  <c r="M100" i="9" l="1"/>
  <c r="H100" i="9" s="1"/>
  <c r="M101" i="9" l="1"/>
  <c r="H101" i="9" s="1"/>
  <c r="M102" i="9" l="1"/>
  <c r="H102" i="9" s="1"/>
  <c r="M103" i="9" l="1"/>
  <c r="H103" i="9" s="1"/>
  <c r="M104" i="9" l="1"/>
  <c r="H104" i="9" s="1"/>
  <c r="M105" i="9" l="1"/>
  <c r="H105" i="9" s="1"/>
  <c r="M106" i="9" l="1"/>
  <c r="H106" i="9" s="1"/>
  <c r="M107" i="9" l="1"/>
  <c r="H107" i="9" s="1"/>
  <c r="M108" i="9" l="1"/>
  <c r="H108" i="9" s="1"/>
  <c r="M109" i="9" l="1"/>
  <c r="H109" i="9" s="1"/>
  <c r="T8" i="9" l="1"/>
  <c r="M110" i="9"/>
  <c r="M111" i="9" l="1"/>
  <c r="H111" i="9" s="1"/>
  <c r="M112" i="9" l="1"/>
  <c r="H112" i="9" s="1"/>
  <c r="M113" i="9" l="1"/>
  <c r="H113" i="9" s="1"/>
  <c r="M114" i="9" l="1"/>
  <c r="H114" i="9" s="1"/>
  <c r="M115" i="9" l="1"/>
  <c r="H115" i="9" s="1"/>
  <c r="M116" i="9" l="1"/>
  <c r="H116" i="9" s="1"/>
  <c r="M117" i="9" l="1"/>
  <c r="H117" i="9" s="1"/>
  <c r="M118" i="9" l="1"/>
  <c r="H118" i="9" s="1"/>
  <c r="M119" i="9" l="1"/>
  <c r="H119" i="9" s="1"/>
  <c r="M120" i="9" l="1"/>
  <c r="H120" i="9" s="1"/>
  <c r="M121" i="9" l="1"/>
  <c r="H121" i="9" s="1"/>
  <c r="M122" i="9" l="1"/>
  <c r="H122" i="9" s="1"/>
  <c r="M123" i="9" l="1"/>
  <c r="H123" i="9" s="1"/>
  <c r="M124" i="9" l="1"/>
  <c r="H124" i="9" s="1"/>
  <c r="M125" i="9" l="1"/>
  <c r="H125" i="9" s="1"/>
  <c r="M126" i="9" l="1"/>
  <c r="H126" i="9" s="1"/>
  <c r="M127" i="9" l="1"/>
  <c r="H127" i="9" s="1"/>
  <c r="M128" i="9" l="1"/>
  <c r="H128" i="9" s="1"/>
  <c r="M129" i="9" l="1"/>
  <c r="H129" i="9" s="1"/>
  <c r="M130" i="9" l="1"/>
  <c r="H130" i="9" s="1"/>
  <c r="M131" i="9" l="1"/>
  <c r="H131" i="9" s="1"/>
  <c r="M132" i="9" l="1"/>
  <c r="H132" i="9" s="1"/>
  <c r="M133" i="9" l="1"/>
  <c r="H133" i="9" s="1"/>
  <c r="M134" i="9" l="1"/>
  <c r="H134" i="9" s="1"/>
  <c r="M135" i="9" l="1"/>
  <c r="H135" i="9" s="1"/>
  <c r="M136" i="9" l="1"/>
  <c r="H136" i="9" s="1"/>
  <c r="M137" i="9" l="1"/>
  <c r="M138" i="9" l="1"/>
  <c r="H138" i="9" s="1"/>
  <c r="M139" i="9" l="1"/>
  <c r="H139" i="9" s="1"/>
  <c r="M140" i="9" l="1"/>
  <c r="H140" i="9" s="1"/>
  <c r="M141" i="9" l="1"/>
  <c r="H141" i="9" s="1"/>
  <c r="M142" i="9" l="1"/>
  <c r="H142" i="9" s="1"/>
  <c r="M143" i="9" l="1"/>
  <c r="H143" i="9" s="1"/>
  <c r="M144" i="9" l="1"/>
  <c r="H144" i="9" s="1"/>
  <c r="M145" i="9" l="1"/>
  <c r="H145" i="9" s="1"/>
  <c r="M146" i="9" l="1"/>
  <c r="H146" i="9" s="1"/>
  <c r="M147" i="9" l="1"/>
  <c r="H147" i="9" s="1"/>
  <c r="M148" i="9" l="1"/>
  <c r="H148" i="9" s="1"/>
  <c r="M149" i="9" l="1"/>
  <c r="H149" i="9" s="1"/>
  <c r="M150" i="9" l="1"/>
  <c r="H150" i="9" s="1"/>
  <c r="M151" i="9" l="1"/>
  <c r="H151" i="9" s="1"/>
  <c r="M152" i="9" l="1"/>
  <c r="H152" i="9" s="1"/>
  <c r="M153" i="9" l="1"/>
  <c r="H153" i="9" s="1"/>
  <c r="M154" i="9" l="1"/>
  <c r="H154" i="9" s="1"/>
  <c r="M155" i="9" l="1"/>
  <c r="H155" i="9" s="1"/>
  <c r="M156" i="9" l="1"/>
  <c r="H156" i="9" s="1"/>
  <c r="M157" i="9" l="1"/>
  <c r="H157" i="9" s="1"/>
  <c r="M158" i="9" l="1"/>
  <c r="H158" i="9" s="1"/>
  <c r="M159" i="9" l="1"/>
  <c r="H159" i="9" s="1"/>
  <c r="M160" i="9" l="1"/>
  <c r="H160" i="9" s="1"/>
  <c r="M161" i="9" l="1"/>
  <c r="H161" i="9" s="1"/>
  <c r="M162" i="9" l="1"/>
  <c r="H162" i="9" s="1"/>
  <c r="M163" i="9" l="1"/>
  <c r="H163" i="9" s="1"/>
  <c r="M164" i="9" l="1"/>
  <c r="M165" i="9" l="1"/>
  <c r="H165" i="9" s="1"/>
  <c r="M166" i="9" l="1"/>
  <c r="H166" i="9" s="1"/>
  <c r="M167" i="9" l="1"/>
  <c r="H167" i="9" s="1"/>
  <c r="M168" i="9" l="1"/>
  <c r="H168" i="9" s="1"/>
  <c r="M169" i="9" l="1"/>
  <c r="H169" i="9" s="1"/>
  <c r="M170" i="9" l="1"/>
  <c r="H170" i="9" s="1"/>
  <c r="M171" i="9" l="1"/>
  <c r="H171" i="9" s="1"/>
  <c r="M172" i="9" l="1"/>
  <c r="H172" i="9" s="1"/>
  <c r="M173" i="9" l="1"/>
  <c r="H173" i="9" s="1"/>
  <c r="M174" i="9" l="1"/>
  <c r="H174" i="9" s="1"/>
  <c r="M175" i="9" l="1"/>
  <c r="H175" i="9" s="1"/>
  <c r="M176" i="9" l="1"/>
  <c r="H176" i="9" s="1"/>
  <c r="M177" i="9" l="1"/>
  <c r="H177" i="9" s="1"/>
  <c r="M178" i="9" l="1"/>
  <c r="H178" i="9" s="1"/>
  <c r="M179" i="9" l="1"/>
  <c r="H179" i="9" s="1"/>
  <c r="M180" i="9" l="1"/>
  <c r="H180" i="9" s="1"/>
  <c r="M181" i="9" l="1"/>
  <c r="H181" i="9" s="1"/>
  <c r="M182" i="9" l="1"/>
  <c r="H182" i="9" s="1"/>
  <c r="M183" i="9" l="1"/>
  <c r="H183" i="9" s="1"/>
  <c r="M184" i="9" l="1"/>
  <c r="H184" i="9" s="1"/>
  <c r="M185" i="9" l="1"/>
  <c r="H185" i="9" s="1"/>
  <c r="M186" i="9" l="1"/>
  <c r="H186" i="9" s="1"/>
  <c r="M187" i="9" l="1"/>
  <c r="H187" i="9" s="1"/>
  <c r="M188" i="9" l="1"/>
  <c r="H188" i="9" s="1"/>
  <c r="M189" i="9" l="1"/>
  <c r="H189" i="9" s="1"/>
  <c r="M190" i="9" l="1"/>
  <c r="H190" i="9" s="1"/>
  <c r="M191" i="9" l="1"/>
  <c r="M192" i="9" l="1"/>
  <c r="H192" i="9" s="1"/>
  <c r="M193" i="9" l="1"/>
  <c r="H193" i="9" s="1"/>
  <c r="M194" i="9" l="1"/>
  <c r="H194" i="9" s="1"/>
  <c r="M195" i="9" l="1"/>
  <c r="H195" i="9" s="1"/>
  <c r="M196" i="9" l="1"/>
  <c r="H196" i="9" s="1"/>
  <c r="M197" i="9" l="1"/>
  <c r="H197" i="9" s="1"/>
  <c r="M198" i="9" l="1"/>
  <c r="H198" i="9" s="1"/>
  <c r="M199" i="9" l="1"/>
  <c r="H199" i="9" s="1"/>
  <c r="M200" i="9" l="1"/>
  <c r="H200" i="9" s="1"/>
  <c r="M201" i="9" l="1"/>
  <c r="H201" i="9" s="1"/>
  <c r="M202" i="9" l="1"/>
  <c r="H202" i="9" s="1"/>
  <c r="M203" i="9" l="1"/>
  <c r="H203" i="9" s="1"/>
  <c r="M204" i="9" l="1"/>
  <c r="H204" i="9" s="1"/>
  <c r="M205" i="9" l="1"/>
  <c r="H205" i="9" s="1"/>
  <c r="M206" i="9" l="1"/>
  <c r="H206" i="9" s="1"/>
  <c r="M207" i="9" l="1"/>
  <c r="H207" i="9" s="1"/>
  <c r="M208" i="9" l="1"/>
  <c r="H208" i="9" s="1"/>
  <c r="M209" i="9" l="1"/>
  <c r="H209" i="9" s="1"/>
  <c r="M210" i="9" l="1"/>
  <c r="H210" i="9" s="1"/>
  <c r="M211" i="9" l="1"/>
  <c r="H211" i="9" s="1"/>
  <c r="M212" i="9" l="1"/>
  <c r="H212" i="9" s="1"/>
  <c r="M213" i="9" l="1"/>
  <c r="H213" i="9" s="1"/>
  <c r="M214" i="9" l="1"/>
  <c r="H214" i="9" s="1"/>
  <c r="M215" i="9" l="1"/>
  <c r="H215" i="9" s="1"/>
  <c r="M216" i="9" l="1"/>
  <c r="H216" i="9" s="1"/>
  <c r="M217" i="9" l="1"/>
  <c r="H217" i="9" s="1"/>
  <c r="M218" i="9" l="1"/>
  <c r="M219" i="9" l="1"/>
  <c r="H219" i="9" s="1"/>
  <c r="M220" i="9" l="1"/>
  <c r="H220" i="9" s="1"/>
  <c r="M221" i="9" l="1"/>
  <c r="H221" i="9" s="1"/>
  <c r="M222" i="9" l="1"/>
  <c r="H222" i="9" s="1"/>
  <c r="M223" i="9" l="1"/>
  <c r="H223" i="9" s="1"/>
  <c r="M224" i="9" l="1"/>
  <c r="H224" i="9" s="1"/>
  <c r="M225" i="9" l="1"/>
  <c r="H225" i="9" s="1"/>
  <c r="M226" i="9" l="1"/>
  <c r="H226" i="9" s="1"/>
  <c r="M227" i="9" l="1"/>
  <c r="H227" i="9" s="1"/>
  <c r="M228" i="9" l="1"/>
  <c r="H228" i="9" s="1"/>
  <c r="M229" i="9" l="1"/>
  <c r="H229" i="9" s="1"/>
  <c r="M230" i="9" l="1"/>
  <c r="H230" i="9" s="1"/>
  <c r="M231" i="9" l="1"/>
  <c r="H231" i="9" s="1"/>
  <c r="M232" i="9" l="1"/>
  <c r="H232" i="9" s="1"/>
  <c r="M233" i="9" l="1"/>
  <c r="H233" i="9" s="1"/>
  <c r="M234" i="9" l="1"/>
  <c r="H234" i="9" s="1"/>
  <c r="M235" i="9" l="1"/>
  <c r="H235" i="9" s="1"/>
  <c r="M236" i="9" l="1"/>
  <c r="H236" i="9" s="1"/>
  <c r="M237" i="9" l="1"/>
  <c r="H237" i="9" s="1"/>
  <c r="M238" i="9" l="1"/>
  <c r="H238" i="9" s="1"/>
  <c r="M239" i="9" l="1"/>
  <c r="H239" i="9" s="1"/>
  <c r="M240" i="9" l="1"/>
  <c r="H240" i="9" s="1"/>
  <c r="M241" i="9" l="1"/>
  <c r="H241" i="9" s="1"/>
  <c r="M242" i="9" l="1"/>
  <c r="H242" i="9" s="1"/>
  <c r="M243" i="9" l="1"/>
  <c r="H243" i="9" s="1"/>
  <c r="M244" i="9" l="1"/>
  <c r="H244" i="9" s="1"/>
  <c r="M245" i="9" l="1"/>
  <c r="M246" i="9" l="1"/>
  <c r="H246" i="9" s="1"/>
  <c r="M247" i="9" l="1"/>
  <c r="H247" i="9" s="1"/>
  <c r="M248" i="9" l="1"/>
  <c r="H248" i="9" s="1"/>
  <c r="M249" i="9" l="1"/>
  <c r="H249" i="9" s="1"/>
  <c r="M250" i="9" l="1"/>
  <c r="H250" i="9" s="1"/>
  <c r="M251" i="9" l="1"/>
  <c r="H251" i="9" s="1"/>
  <c r="M252" i="9" l="1"/>
  <c r="H252" i="9" s="1"/>
  <c r="M253" i="9" l="1"/>
  <c r="H253" i="9" s="1"/>
  <c r="M254" i="9" l="1"/>
  <c r="H254" i="9" s="1"/>
  <c r="M255" i="9" l="1"/>
  <c r="H255" i="9" s="1"/>
  <c r="M256" i="9" l="1"/>
  <c r="H256" i="9" s="1"/>
  <c r="M257" i="9" l="1"/>
  <c r="H257" i="9" s="1"/>
  <c r="M258" i="9" l="1"/>
  <c r="H258" i="9" s="1"/>
  <c r="M259" i="9" l="1"/>
  <c r="H259" i="9" s="1"/>
  <c r="M260" i="9" l="1"/>
  <c r="H260" i="9" s="1"/>
  <c r="M261" i="9" l="1"/>
  <c r="H261" i="9" s="1"/>
  <c r="M262" i="9" l="1"/>
  <c r="H262" i="9" s="1"/>
  <c r="M263" i="9" l="1"/>
  <c r="H263" i="9" s="1"/>
  <c r="M264" i="9" l="1"/>
  <c r="H264" i="9" s="1"/>
  <c r="M265" i="9" l="1"/>
  <c r="H265" i="9" s="1"/>
  <c r="M266" i="9" l="1"/>
  <c r="H266" i="9" s="1"/>
  <c r="M267" i="9" l="1"/>
  <c r="H267" i="9" s="1"/>
  <c r="M268" i="9" l="1"/>
  <c r="H268" i="9" s="1"/>
  <c r="M269" i="9" l="1"/>
  <c r="H269" i="9" s="1"/>
  <c r="M270" i="9" l="1"/>
  <c r="H270" i="9" s="1"/>
  <c r="M271" i="9" l="1"/>
  <c r="H271" i="9" s="1"/>
  <c r="M272" i="9" l="1"/>
  <c r="M273" i="9" l="1"/>
  <c r="H273" i="9" s="1"/>
  <c r="M274" i="9" l="1"/>
  <c r="H274" i="9" s="1"/>
  <c r="M275" i="9" l="1"/>
  <c r="H275" i="9" s="1"/>
  <c r="M276" i="9" l="1"/>
  <c r="H276" i="9" s="1"/>
  <c r="M277" i="9" l="1"/>
  <c r="H277" i="9" s="1"/>
  <c r="M278" i="9" l="1"/>
  <c r="H278" i="9" s="1"/>
  <c r="M279" i="9" l="1"/>
  <c r="H279" i="9" s="1"/>
  <c r="M280" i="9" l="1"/>
  <c r="H280" i="9" s="1"/>
  <c r="M281" i="9" l="1"/>
  <c r="H281" i="9" s="1"/>
  <c r="M282" i="9" l="1"/>
  <c r="H282" i="9" s="1"/>
  <c r="M283" i="9" l="1"/>
  <c r="H283" i="9" s="1"/>
  <c r="M284" i="9" l="1"/>
  <c r="H284" i="9" s="1"/>
  <c r="M285" i="9" l="1"/>
  <c r="H285" i="9" s="1"/>
  <c r="M286" i="9" l="1"/>
  <c r="H286" i="9" s="1"/>
  <c r="M287" i="9" l="1"/>
  <c r="H287" i="9" s="1"/>
  <c r="M288" i="9" l="1"/>
  <c r="H288" i="9" s="1"/>
  <c r="M289" i="9" l="1"/>
  <c r="H289" i="9" s="1"/>
  <c r="M290" i="9" l="1"/>
  <c r="H290" i="9" s="1"/>
  <c r="M291" i="9" l="1"/>
  <c r="H291" i="9" s="1"/>
  <c r="M292" i="9" l="1"/>
  <c r="H292" i="9" s="1"/>
  <c r="M293" i="9" l="1"/>
  <c r="H293" i="9" s="1"/>
  <c r="M294" i="9" l="1"/>
  <c r="H294" i="9" s="1"/>
  <c r="M295" i="9" l="1"/>
  <c r="H295" i="9" s="1"/>
  <c r="M296" i="9" l="1"/>
  <c r="H296" i="9" s="1"/>
  <c r="M297" i="9" l="1"/>
  <c r="H297" i="9" s="1"/>
  <c r="M298" i="9" l="1"/>
  <c r="H298" i="9" s="1"/>
  <c r="M299" i="9" l="1"/>
  <c r="M300" i="9" l="1"/>
  <c r="H300" i="9" s="1"/>
  <c r="M301" i="9" l="1"/>
  <c r="H301" i="9" s="1"/>
  <c r="M302" i="9" l="1"/>
  <c r="H302" i="9" s="1"/>
  <c r="M303" i="9" l="1"/>
  <c r="H303" i="9" s="1"/>
  <c r="M304" i="9" l="1"/>
  <c r="H304" i="9" s="1"/>
  <c r="M305" i="9" l="1"/>
  <c r="H305" i="9" s="1"/>
  <c r="M306" i="9" l="1"/>
  <c r="H306" i="9" s="1"/>
  <c r="M307" i="9" l="1"/>
  <c r="H307" i="9" s="1"/>
  <c r="M308" i="9" l="1"/>
  <c r="H308" i="9" s="1"/>
  <c r="M309" i="9" l="1"/>
  <c r="H309" i="9" s="1"/>
  <c r="M310" i="9" l="1"/>
  <c r="H310" i="9" s="1"/>
  <c r="M311" i="9" l="1"/>
  <c r="H311" i="9" s="1"/>
  <c r="M312" i="9" l="1"/>
  <c r="H312" i="9" s="1"/>
  <c r="M313" i="9" l="1"/>
  <c r="H313" i="9" s="1"/>
  <c r="AX29" i="6" l="1" a="1"/>
  <c r="AX29" i="6" s="1"/>
  <c r="M314" i="9"/>
  <c r="H314" i="9" s="1"/>
  <c r="AX22" i="6" a="1"/>
  <c r="AX22" i="6" s="1"/>
  <c r="BJ104" i="6" a="1"/>
  <c r="BJ104" i="6" s="1"/>
  <c r="BB24" i="6" a="1"/>
  <c r="BB24" i="6" s="1"/>
  <c r="BJ69" i="6" a="1"/>
  <c r="BJ69" i="6" s="1"/>
  <c r="BF43" i="6" a="1"/>
  <c r="BF43" i="6" s="1"/>
  <c r="BJ29" i="6" a="1"/>
  <c r="BJ29" i="6" s="1"/>
  <c r="BF22" i="6" a="1"/>
  <c r="BF22" i="6" s="1"/>
  <c r="BB66" i="6" a="1"/>
  <c r="BB66" i="6" s="1"/>
  <c r="BF76" i="6" a="1"/>
  <c r="BF76" i="6" s="1"/>
  <c r="BJ36" i="6" a="1"/>
  <c r="BJ36" i="6" s="1"/>
  <c r="BJ47" i="6" a="1"/>
  <c r="BJ47" i="6" s="1"/>
  <c r="BB19" i="6" a="1"/>
  <c r="BB19" i="6" s="1"/>
  <c r="BF31" i="6" a="1"/>
  <c r="BF31" i="6" s="1"/>
  <c r="BJ73" i="6" a="1"/>
  <c r="BJ73" i="6" s="1"/>
  <c r="BJ32" i="6" a="1"/>
  <c r="BJ32" i="6" s="1"/>
  <c r="AX84" i="6" a="1"/>
  <c r="AX84" i="6" s="1"/>
  <c r="BB15" i="6" a="1"/>
  <c r="BB15" i="6" s="1"/>
  <c r="BF36" i="6" a="1"/>
  <c r="BF36" i="6" s="1"/>
  <c r="BF61" i="6" a="1"/>
  <c r="BF61" i="6" s="1"/>
  <c r="AX66" i="6" a="1"/>
  <c r="AX66" i="6" s="1"/>
  <c r="BB29" i="6" a="1"/>
  <c r="BB29" i="6" s="1"/>
  <c r="AX75" i="6" a="1"/>
  <c r="AX75" i="6" s="1"/>
  <c r="BB34" i="6" a="1"/>
  <c r="BB34" i="6" s="1"/>
  <c r="BF45" i="6" a="1"/>
  <c r="BF45" i="6" s="1"/>
  <c r="BF55" i="6" a="1"/>
  <c r="BF55" i="6" s="1"/>
  <c r="BF47" i="6" a="1"/>
  <c r="BF47" i="6" s="1"/>
  <c r="BJ94" i="6" a="1"/>
  <c r="BJ94" i="6" s="1"/>
  <c r="BF99" i="6" a="1"/>
  <c r="BF99" i="6" s="1"/>
  <c r="BF71" i="6" l="1" a="1"/>
  <c r="BF71" i="6" s="1"/>
  <c r="AX27" i="6" a="1"/>
  <c r="AX27" i="6" s="1"/>
  <c r="AX83" i="6" a="1"/>
  <c r="AX83" i="6" s="1"/>
  <c r="AX33" i="6" a="1"/>
  <c r="AX33" i="6" s="1"/>
  <c r="AX89" i="6" a="1"/>
  <c r="AX89" i="6" s="1"/>
  <c r="AX102" i="6" a="1"/>
  <c r="AX102" i="6" s="1"/>
  <c r="BJ93" i="6" a="1"/>
  <c r="BJ93" i="6" s="1"/>
  <c r="BJ24" i="6" a="1"/>
  <c r="BJ24" i="6" s="1"/>
  <c r="BF38" i="6" a="1"/>
  <c r="BF38" i="6" s="1"/>
  <c r="BB8" i="6" a="1"/>
  <c r="BB8" i="6" s="1"/>
  <c r="AX99" i="6" a="1"/>
  <c r="AX99" i="6" s="1"/>
  <c r="BB41" i="6" a="1"/>
  <c r="BB41" i="6" s="1"/>
  <c r="AX14" i="6" a="1"/>
  <c r="AX14" i="6" s="1"/>
  <c r="BB37" i="6" a="1"/>
  <c r="BB37" i="6" s="1"/>
  <c r="BF35" i="6" a="1"/>
  <c r="BF35" i="6" s="1"/>
  <c r="BF86" i="6" a="1"/>
  <c r="BF86" i="6" s="1"/>
  <c r="AX96" i="6" a="1"/>
  <c r="AX96" i="6" s="1"/>
  <c r="BJ45" i="6" a="1"/>
  <c r="BJ45" i="6" s="1"/>
  <c r="BB17" i="6" a="1"/>
  <c r="BB17" i="6" s="1"/>
  <c r="BJ34" i="6" a="1"/>
  <c r="BJ34" i="6" s="1"/>
  <c r="AX104" i="6" a="1"/>
  <c r="AX104" i="6" s="1"/>
  <c r="AX26" i="6" a="1"/>
  <c r="AX26" i="6" s="1"/>
  <c r="AX80" i="6" a="1"/>
  <c r="AX80" i="6" s="1"/>
  <c r="BJ54" i="6" a="1"/>
  <c r="BJ54" i="6" s="1"/>
  <c r="AX8" i="6" a="1"/>
  <c r="AX8" i="6" s="1"/>
  <c r="AX70" i="6" a="1"/>
  <c r="AX70" i="6" s="1"/>
  <c r="AX34" i="6" a="1"/>
  <c r="AX34" i="6" s="1"/>
  <c r="AX40" i="6" a="1"/>
  <c r="AX40" i="6" s="1"/>
  <c r="AX49" i="6" a="1"/>
  <c r="AX49" i="6" s="1"/>
  <c r="AX23" i="6" a="1"/>
  <c r="AX23" i="6" s="1"/>
  <c r="AX58" i="6" a="1"/>
  <c r="AX58" i="6" s="1"/>
  <c r="AX82" i="6" a="1"/>
  <c r="AX82" i="6" s="1"/>
  <c r="AX46" i="6" a="1"/>
  <c r="AX46" i="6" s="1"/>
  <c r="AX25" i="6" a="1"/>
  <c r="AX25" i="6" s="1"/>
  <c r="AX55" i="6" a="1"/>
  <c r="AX55" i="6" s="1"/>
  <c r="AX12" i="6" a="1"/>
  <c r="AX12" i="6" s="1"/>
  <c r="AX16" i="6" a="1"/>
  <c r="AX16" i="6" s="1"/>
  <c r="AX85" i="6" a="1"/>
  <c r="AX85" i="6" s="1"/>
  <c r="AX64" i="6" a="1"/>
  <c r="AX64" i="6" s="1"/>
  <c r="AX52" i="6" a="1"/>
  <c r="AX52" i="6" s="1"/>
  <c r="AX61" i="6" a="1"/>
  <c r="AX61" i="6" s="1"/>
  <c r="AX37" i="6" a="1"/>
  <c r="AX37" i="6" s="1"/>
  <c r="AX79" i="6" a="1"/>
  <c r="AX79" i="6" s="1"/>
  <c r="AX67" i="6" a="1"/>
  <c r="AX67" i="6" s="1"/>
  <c r="AX28" i="6" a="1"/>
  <c r="AX28" i="6" s="1"/>
  <c r="AX73" i="6" a="1"/>
  <c r="AX73" i="6" s="1"/>
  <c r="AX43" i="6" a="1"/>
  <c r="AX43" i="6" s="1"/>
  <c r="AX76" i="6" a="1"/>
  <c r="AX76" i="6" s="1"/>
  <c r="AX19" i="6" a="1"/>
  <c r="AX19" i="6" s="1"/>
  <c r="AX31" i="6" a="1"/>
  <c r="AX31" i="6" s="1"/>
  <c r="AX106" i="6" a="1"/>
  <c r="AX106" i="6" s="1"/>
  <c r="AX97" i="6" a="1"/>
  <c r="AX97" i="6" s="1"/>
  <c r="AX94" i="6" a="1"/>
  <c r="AX94" i="6" s="1"/>
  <c r="AX103" i="6" a="1"/>
  <c r="AX103" i="6" s="1"/>
  <c r="AX88" i="6" a="1"/>
  <c r="AX88" i="6" s="1"/>
  <c r="AX100" i="6" a="1"/>
  <c r="AX100" i="6" s="1"/>
  <c r="AX91" i="6" a="1"/>
  <c r="AX91" i="6" s="1"/>
  <c r="BF62" i="6" a="1"/>
  <c r="BF62" i="6" s="1"/>
  <c r="BB48" i="6" a="1"/>
  <c r="BB48" i="6" s="1"/>
  <c r="BB62" i="6" a="1"/>
  <c r="BB62" i="6" s="1"/>
  <c r="BJ21" i="6" a="1"/>
  <c r="BJ21" i="6" s="1"/>
  <c r="BB54" i="6" a="1"/>
  <c r="BB54" i="6" s="1"/>
  <c r="BF17" i="6" a="1"/>
  <c r="BF17" i="6" s="1"/>
  <c r="BJ14" i="6" a="1"/>
  <c r="BJ14" i="6" s="1"/>
  <c r="BJ76" i="6" a="1"/>
  <c r="BJ76" i="6" s="1"/>
  <c r="BJ17" i="6" a="1"/>
  <c r="BJ17" i="6" s="1"/>
  <c r="BB81" i="6" a="1"/>
  <c r="BB81" i="6" s="1"/>
  <c r="BB22" i="6" a="1"/>
  <c r="BB22" i="6" s="1"/>
  <c r="BJ26" i="6" a="1"/>
  <c r="BJ26" i="6" s="1"/>
  <c r="BJ89" i="6" a="1"/>
  <c r="BJ89" i="6" s="1"/>
  <c r="AX71" i="6" a="1"/>
  <c r="AX71" i="6" s="1"/>
  <c r="BJ61" i="6" a="1"/>
  <c r="BJ61" i="6" s="1"/>
  <c r="BJ18" i="6" a="1"/>
  <c r="BJ18" i="6" s="1"/>
  <c r="BF85" i="6" a="1"/>
  <c r="BF85" i="6" s="1"/>
  <c r="BJ74" i="6" a="1"/>
  <c r="BJ74" i="6" s="1"/>
  <c r="BJ7" i="6" a="1"/>
  <c r="BJ7" i="6" s="1"/>
  <c r="BF39" i="6" a="1"/>
  <c r="BF39" i="6" s="1"/>
  <c r="BB28" i="6" a="1"/>
  <c r="BB28" i="6" s="1"/>
  <c r="AX42" i="6" a="1"/>
  <c r="AX42" i="6" s="1"/>
  <c r="BB53" i="6" a="1"/>
  <c r="BB53" i="6" s="1"/>
  <c r="BJ9" i="6" a="1"/>
  <c r="BJ9" i="6" s="1"/>
  <c r="BF42" i="6" a="1"/>
  <c r="BF42" i="6" s="1"/>
  <c r="AX47" i="6" a="1"/>
  <c r="AX47" i="6" s="1"/>
  <c r="BF29" i="6" a="1"/>
  <c r="BF29" i="6" s="1"/>
  <c r="BF69" i="6" a="1"/>
  <c r="BF69" i="6" s="1"/>
  <c r="BF79" i="6" a="1"/>
  <c r="BF79" i="6" s="1"/>
  <c r="BJ19" i="6" a="1"/>
  <c r="BJ19" i="6" s="1"/>
  <c r="AX81" i="6" a="1"/>
  <c r="AX81" i="6" s="1"/>
  <c r="BB16" i="6" a="1"/>
  <c r="BB16" i="6" s="1"/>
  <c r="BJ41" i="6" a="1"/>
  <c r="BJ41" i="6" s="1"/>
  <c r="BF48" i="6" a="1"/>
  <c r="BF48" i="6" s="1"/>
  <c r="BJ48" i="6" a="1"/>
  <c r="BJ48" i="6" s="1"/>
  <c r="BF56" i="6" a="1"/>
  <c r="BF56" i="6" s="1"/>
  <c r="BJ64" i="6" a="1"/>
  <c r="BJ64" i="6" s="1"/>
  <c r="BF73" i="6" a="1"/>
  <c r="BF73" i="6" s="1"/>
  <c r="BB49" i="6" a="1"/>
  <c r="BB49" i="6" s="1"/>
  <c r="AX74" i="6" a="1"/>
  <c r="AX74" i="6" s="1"/>
  <c r="BJ88" i="6" a="1"/>
  <c r="BJ88" i="6" s="1"/>
  <c r="BJ39" i="6" a="1"/>
  <c r="BJ39" i="6" s="1"/>
  <c r="BJ55" i="6" a="1"/>
  <c r="BJ55" i="6" s="1"/>
  <c r="AX20" i="6" a="1"/>
  <c r="AX20" i="6" s="1"/>
  <c r="BB91" i="6" a="1"/>
  <c r="BB91" i="6" s="1"/>
  <c r="BF51" i="6" a="1"/>
  <c r="BF51" i="6" s="1"/>
  <c r="BB42" i="6" a="1"/>
  <c r="BB42" i="6" s="1"/>
  <c r="BJ79" i="6" a="1"/>
  <c r="BJ79" i="6" s="1"/>
  <c r="AX62" i="6" a="1"/>
  <c r="AX62" i="6" s="1"/>
  <c r="BF52" i="6" a="1"/>
  <c r="BF52" i="6" s="1"/>
  <c r="BB9" i="6" a="1"/>
  <c r="BB9" i="6" s="1"/>
  <c r="AX36" i="6" a="1"/>
  <c r="AX36" i="6" s="1"/>
  <c r="BB38" i="6" a="1"/>
  <c r="BB38" i="6" s="1"/>
  <c r="BF37" i="6" a="1"/>
  <c r="BF37" i="6" s="1"/>
  <c r="BF67" i="6" a="1"/>
  <c r="BF67" i="6" s="1"/>
  <c r="BF58" i="6" a="1"/>
  <c r="BF58" i="6" s="1"/>
  <c r="BB33" i="6" a="1"/>
  <c r="BB33" i="6" s="1"/>
  <c r="BJ43" i="6" a="1"/>
  <c r="BJ43" i="6" s="1"/>
  <c r="BF50" i="6" a="1"/>
  <c r="BF50" i="6" s="1"/>
  <c r="BF94" i="6" a="1"/>
  <c r="BF94" i="6" s="1"/>
  <c r="AX90" i="6" a="1"/>
  <c r="AX90" i="6" s="1"/>
  <c r="AX68" i="6" a="1"/>
  <c r="AX68" i="6" s="1"/>
  <c r="BF25" i="6" a="1"/>
  <c r="BF25" i="6" s="1"/>
  <c r="BJ77" i="6" a="1"/>
  <c r="BJ77" i="6" s="1"/>
  <c r="BF70" i="6" a="1"/>
  <c r="BF70" i="6" s="1"/>
  <c r="BB12" i="6" a="1"/>
  <c r="BB12" i="6" s="1"/>
  <c r="BB51" i="6" a="1"/>
  <c r="BB51" i="6" s="1"/>
  <c r="BB104" i="6" a="1"/>
  <c r="BB104" i="6" s="1"/>
  <c r="BF102" i="6" a="1"/>
  <c r="BF102" i="6" s="1"/>
  <c r="BB106" i="6" a="1"/>
  <c r="BB106" i="6" s="1"/>
  <c r="BB47" i="6" a="1"/>
  <c r="BB47" i="6" s="1"/>
  <c r="BF66" i="6" a="1"/>
  <c r="BF66" i="6" s="1"/>
  <c r="BB105" i="6" a="1"/>
  <c r="BB105" i="6" s="1"/>
  <c r="AX13" i="6" a="1"/>
  <c r="AX13" i="6" s="1"/>
  <c r="BB52" i="6" a="1"/>
  <c r="BB52" i="6" s="1"/>
  <c r="BB32" i="6" a="1"/>
  <c r="BB32" i="6" s="1"/>
  <c r="BF10" i="6" a="1"/>
  <c r="BF10" i="6" s="1"/>
  <c r="BJ68" i="6" a="1"/>
  <c r="BJ68" i="6" s="1"/>
  <c r="BJ87" i="6" a="1"/>
  <c r="BJ87" i="6" s="1"/>
  <c r="AX38" i="6" a="1"/>
  <c r="AX38" i="6" s="1"/>
  <c r="BJ65" i="6" a="1"/>
  <c r="BJ65" i="6" s="1"/>
  <c r="BF96" i="6" a="1"/>
  <c r="BF96" i="6" s="1"/>
  <c r="BB35" i="6" a="1"/>
  <c r="BB35" i="6" s="1"/>
  <c r="BJ60" i="6" a="1"/>
  <c r="BJ60" i="6" s="1"/>
  <c r="BJ28" i="6" a="1"/>
  <c r="BJ28" i="6" s="1"/>
  <c r="AX24" i="6" a="1"/>
  <c r="AX24" i="6" s="1"/>
  <c r="AX21" i="6" a="1"/>
  <c r="AX21" i="6" s="1"/>
  <c r="BF72" i="6" a="1"/>
  <c r="BF72" i="6" s="1"/>
  <c r="BB26" i="6" a="1"/>
  <c r="BB26" i="6" s="1"/>
  <c r="BJ92" i="6" a="1"/>
  <c r="BJ92" i="6" s="1"/>
  <c r="BB56" i="6" a="1"/>
  <c r="BB56" i="6" s="1"/>
  <c r="BF9" i="6" a="1"/>
  <c r="BF9" i="6" s="1"/>
  <c r="BF20" i="6" a="1"/>
  <c r="BF20" i="6" s="1"/>
  <c r="BF15" i="6" a="1"/>
  <c r="BF15" i="6" s="1"/>
  <c r="BB68" i="6" a="1"/>
  <c r="BB68" i="6" s="1"/>
  <c r="BF7" i="6" a="1"/>
  <c r="BF7" i="6" s="1"/>
  <c r="BF77" i="6" a="1"/>
  <c r="BF77" i="6" s="1"/>
  <c r="BF18" i="6" a="1"/>
  <c r="BF18" i="6" s="1"/>
  <c r="BJ98" i="6" a="1"/>
  <c r="BJ98" i="6" s="1"/>
  <c r="BB86" i="6" a="1"/>
  <c r="BB86" i="6" s="1"/>
  <c r="BB84" i="6" a="1"/>
  <c r="BB84" i="6" s="1"/>
  <c r="BF82" i="6" a="1"/>
  <c r="BF82" i="6" s="1"/>
  <c r="BJ16" i="6" a="1"/>
  <c r="BJ16" i="6" s="1"/>
  <c r="BF63" i="6" a="1"/>
  <c r="BF63" i="6" s="1"/>
  <c r="AX60" i="6" a="1"/>
  <c r="AX60" i="6" s="1"/>
  <c r="BJ63" i="6" a="1"/>
  <c r="BJ63" i="6" s="1"/>
  <c r="BB25" i="6" a="1"/>
  <c r="BB25" i="6" s="1"/>
  <c r="BJ33" i="6" a="1"/>
  <c r="BJ33" i="6" s="1"/>
  <c r="BB10" i="6" a="1"/>
  <c r="BB10" i="6" s="1"/>
  <c r="BJ23" i="6" a="1"/>
  <c r="BJ23" i="6" s="1"/>
  <c r="BB40" i="6" a="1"/>
  <c r="BB40" i="6" s="1"/>
  <c r="AX101" i="6" a="1"/>
  <c r="AX101" i="6" s="1"/>
  <c r="BB83" i="6" a="1"/>
  <c r="BB83" i="6" s="1"/>
  <c r="BB76" i="6" a="1"/>
  <c r="BB76" i="6" s="1"/>
  <c r="BB75" i="6" a="1"/>
  <c r="BB75" i="6" s="1"/>
  <c r="AX17" i="6" a="1"/>
  <c r="AX17" i="6" s="1"/>
  <c r="BB74" i="6" a="1"/>
  <c r="BB74" i="6" s="1"/>
  <c r="BF68" i="6" a="1"/>
  <c r="BF68" i="6" s="1"/>
  <c r="AX57" i="6" a="1"/>
  <c r="AX57" i="6" s="1"/>
  <c r="BB63" i="6" a="1"/>
  <c r="BB63" i="6" s="1"/>
  <c r="BF26" i="6" a="1"/>
  <c r="BF26" i="6" s="1"/>
  <c r="BB27" i="6" a="1"/>
  <c r="BB27" i="6" s="1"/>
  <c r="BJ13" i="6" a="1"/>
  <c r="BJ13" i="6" s="1"/>
  <c r="BJ100" i="6" a="1"/>
  <c r="BJ100" i="6" s="1"/>
  <c r="AX87" i="6" a="1"/>
  <c r="AX87" i="6" s="1"/>
  <c r="AX30" i="6" a="1"/>
  <c r="AX30" i="6" s="1"/>
  <c r="BJ27" i="6" a="1"/>
  <c r="BJ27" i="6" s="1"/>
  <c r="BF23" i="6" a="1"/>
  <c r="BF23" i="6" s="1"/>
  <c r="BF46" i="6" a="1"/>
  <c r="BF46" i="6" s="1"/>
  <c r="AX72" i="6" a="1"/>
  <c r="AX72" i="6" s="1"/>
  <c r="AX59" i="6" a="1"/>
  <c r="AX59" i="6" s="1"/>
  <c r="BB30" i="6" a="1"/>
  <c r="BB30" i="6" s="1"/>
  <c r="BB44" i="6" a="1"/>
  <c r="BB44" i="6" s="1"/>
  <c r="BF84" i="6" a="1"/>
  <c r="BF84" i="6" s="1"/>
  <c r="BB58" i="6" a="1"/>
  <c r="BB58" i="6" s="1"/>
  <c r="BJ80" i="6" a="1"/>
  <c r="BJ80" i="6" s="1"/>
  <c r="BB69" i="6" a="1"/>
  <c r="BB69" i="6" s="1"/>
  <c r="AX18" i="6" a="1"/>
  <c r="AX18" i="6" s="1"/>
  <c r="BF106" i="6" a="1"/>
  <c r="BF106" i="6" s="1"/>
  <c r="BJ56" i="6" a="1"/>
  <c r="BJ56" i="6" s="1"/>
  <c r="BF21" i="6" a="1"/>
  <c r="BF21" i="6" s="1"/>
  <c r="BF101" i="6" a="1"/>
  <c r="BF101" i="6" s="1"/>
  <c r="AX95" i="6" a="1"/>
  <c r="AX95" i="6" s="1"/>
  <c r="BJ11" i="6" a="1"/>
  <c r="BJ11" i="6" s="1"/>
  <c r="BB36" i="6" a="1"/>
  <c r="BB36" i="6" s="1"/>
  <c r="BB39" i="6" a="1"/>
  <c r="BB39" i="6" s="1"/>
  <c r="BB73" i="6" a="1"/>
  <c r="BB73" i="6" s="1"/>
  <c r="BJ50" i="6" a="1"/>
  <c r="BJ50" i="6" s="1"/>
  <c r="BF41" i="6" a="1"/>
  <c r="BF41" i="6" s="1"/>
  <c r="BJ102" i="6" a="1"/>
  <c r="BJ102" i="6" s="1"/>
  <c r="AX15" i="6" a="1"/>
  <c r="AX15" i="6" s="1"/>
  <c r="BB64" i="6" a="1"/>
  <c r="BB64" i="6" s="1"/>
  <c r="BB103" i="6" a="1"/>
  <c r="BB103" i="6" s="1"/>
  <c r="BJ95" i="6" a="1"/>
  <c r="BJ95" i="6" s="1"/>
  <c r="BF105" i="6" a="1"/>
  <c r="BF105" i="6" s="1"/>
  <c r="BJ52" i="6" a="1"/>
  <c r="BJ52" i="6" s="1"/>
  <c r="BB93" i="6" a="1"/>
  <c r="BB93" i="6" s="1"/>
  <c r="BB82" i="6" a="1"/>
  <c r="BB82" i="6" s="1"/>
  <c r="BJ90" i="6" a="1"/>
  <c r="BJ90" i="6" s="1"/>
  <c r="BF27" i="6" a="1"/>
  <c r="BF27" i="6" s="1"/>
  <c r="BB13" i="6" a="1"/>
  <c r="BB13" i="6" s="1"/>
  <c r="BF98" i="6" a="1"/>
  <c r="BF98" i="6" s="1"/>
  <c r="BJ67" i="6" a="1"/>
  <c r="BJ67" i="6" s="1"/>
  <c r="BJ53" i="6" a="1"/>
  <c r="BJ53" i="6" s="1"/>
  <c r="BF95" i="6" a="1"/>
  <c r="BF95" i="6" s="1"/>
  <c r="BJ30" i="6" a="1"/>
  <c r="BJ30" i="6" s="1"/>
  <c r="BJ51" i="6" a="1"/>
  <c r="BJ51" i="6" s="1"/>
  <c r="AX9" i="6" a="1"/>
  <c r="AX9" i="6" s="1"/>
  <c r="AX105" i="6" a="1"/>
  <c r="AX105" i="6" s="1"/>
  <c r="BF75" i="6" a="1"/>
  <c r="BF75" i="6" s="1"/>
  <c r="AX45" i="6" a="1"/>
  <c r="AX45" i="6" s="1"/>
  <c r="BB92" i="6" a="1"/>
  <c r="BB92" i="6" s="1"/>
  <c r="AX11" i="6" a="1"/>
  <c r="AX11" i="6" s="1"/>
  <c r="BJ46" i="6" a="1"/>
  <c r="BJ46" i="6" s="1"/>
  <c r="AX50" i="6" a="1"/>
  <c r="AX50" i="6" s="1"/>
  <c r="BB90" i="6" a="1"/>
  <c r="BB90" i="6" s="1"/>
  <c r="BF92" i="6" a="1"/>
  <c r="BF92" i="6" s="1"/>
  <c r="BF89" i="6" a="1"/>
  <c r="BF89" i="6" s="1"/>
  <c r="BB7" i="6" a="1"/>
  <c r="BB7" i="6" s="1"/>
  <c r="BF78" i="6" a="1"/>
  <c r="BF78" i="6" s="1"/>
  <c r="BF87" i="6" a="1"/>
  <c r="BF87" i="6" s="1"/>
  <c r="BF53" i="6" a="1"/>
  <c r="BF53" i="6" s="1"/>
  <c r="BB20" i="6" a="1"/>
  <c r="BB20" i="6" s="1"/>
  <c r="BB78" i="6" a="1"/>
  <c r="BB78" i="6" s="1"/>
  <c r="BF104" i="6" a="1"/>
  <c r="BF104" i="6" s="1"/>
  <c r="BF30" i="6" a="1"/>
  <c r="BF30" i="6" s="1"/>
  <c r="BB88" i="6" a="1"/>
  <c r="BB88" i="6" s="1"/>
  <c r="BJ99" i="6" a="1"/>
  <c r="BJ99" i="6" s="1"/>
  <c r="BJ103" i="6" a="1"/>
  <c r="BJ103" i="6" s="1"/>
  <c r="BB21" i="6" a="1"/>
  <c r="BB21" i="6" s="1"/>
  <c r="BF91" i="6" a="1"/>
  <c r="BF91" i="6" s="1"/>
  <c r="BF12" i="6" a="1"/>
  <c r="BF12" i="6" s="1"/>
  <c r="BB87" i="6" a="1"/>
  <c r="BB87" i="6" s="1"/>
  <c r="BB70" i="6" a="1"/>
  <c r="BB70" i="6" s="1"/>
  <c r="AX77" i="6" a="1"/>
  <c r="AX77" i="6" s="1"/>
  <c r="BB50" i="6" a="1"/>
  <c r="BB50" i="6" s="1"/>
  <c r="BJ66" i="6" a="1"/>
  <c r="BJ66" i="6" s="1"/>
  <c r="BB96" i="6" a="1"/>
  <c r="BB96" i="6" s="1"/>
  <c r="BF8" i="6" a="1"/>
  <c r="BF8" i="6" s="1"/>
  <c r="BJ84" i="6" a="1"/>
  <c r="BJ84" i="6" s="1"/>
  <c r="BB23" i="6" a="1"/>
  <c r="BB23" i="6" s="1"/>
  <c r="BJ86" i="6" a="1"/>
  <c r="BJ86" i="6" s="1"/>
  <c r="BB80" i="6" a="1"/>
  <c r="BB80" i="6" s="1"/>
  <c r="BF54" i="6" a="1"/>
  <c r="BF54" i="6" s="1"/>
  <c r="BB43" i="6" a="1"/>
  <c r="BB43" i="6" s="1"/>
  <c r="BJ71" i="6" a="1"/>
  <c r="BJ71" i="6" s="1"/>
  <c r="BF19" i="6" a="1"/>
  <c r="BF19" i="6" s="1"/>
  <c r="BJ62" i="6" a="1"/>
  <c r="BJ62" i="6" s="1"/>
  <c r="BJ59" i="6" a="1"/>
  <c r="BJ59" i="6" s="1"/>
  <c r="BB99" i="6" a="1"/>
  <c r="BB99" i="6" s="1"/>
  <c r="BJ85" i="6" a="1"/>
  <c r="BJ85" i="6" s="1"/>
  <c r="BB57" i="6" a="1"/>
  <c r="BB57" i="6" s="1"/>
  <c r="BB100" i="6" a="1"/>
  <c r="BB100" i="6" s="1"/>
  <c r="BJ58" i="6" a="1"/>
  <c r="BJ58" i="6" s="1"/>
  <c r="BB61" i="6" a="1"/>
  <c r="BB61" i="6" s="1"/>
  <c r="BB85" i="6" a="1"/>
  <c r="BB85" i="6" s="1"/>
  <c r="BF90" i="6" a="1"/>
  <c r="BF90" i="6" s="1"/>
  <c r="AX39" i="6" a="1"/>
  <c r="AX39" i="6" s="1"/>
  <c r="AX86" i="6" a="1"/>
  <c r="AX86" i="6" s="1"/>
  <c r="BF32" i="6" a="1"/>
  <c r="BF32" i="6" s="1"/>
  <c r="BJ25" i="6" a="1"/>
  <c r="BJ25" i="6" s="1"/>
  <c r="AX65" i="6" a="1"/>
  <c r="AX65" i="6" s="1"/>
  <c r="BF24" i="6" a="1"/>
  <c r="BF24" i="6" s="1"/>
  <c r="BB71" i="6" a="1"/>
  <c r="BB71" i="6" s="1"/>
  <c r="AX10" i="6" a="1"/>
  <c r="AX10" i="6" s="1"/>
  <c r="BF88" i="6" a="1"/>
  <c r="BF88" i="6" s="1"/>
  <c r="BB11" i="6" a="1"/>
  <c r="BB11" i="6" s="1"/>
  <c r="BJ83" i="6" a="1"/>
  <c r="BJ83" i="6" s="1"/>
  <c r="BJ35" i="6" a="1"/>
  <c r="BJ35" i="6" s="1"/>
  <c r="BJ42" i="6" a="1"/>
  <c r="BJ42" i="6" s="1"/>
  <c r="BB14" i="6" a="1"/>
  <c r="BB14" i="6" s="1"/>
  <c r="BF100" i="6" a="1"/>
  <c r="BF100" i="6" s="1"/>
  <c r="BF44" i="6" a="1"/>
  <c r="BF44" i="6" s="1"/>
  <c r="BF59" i="6" a="1"/>
  <c r="BF59" i="6" s="1"/>
  <c r="BJ97" i="6" a="1"/>
  <c r="BJ97" i="6" s="1"/>
  <c r="BJ38" i="6" a="1"/>
  <c r="BJ38" i="6" s="1"/>
  <c r="AX44" i="6" a="1"/>
  <c r="AX44" i="6" s="1"/>
  <c r="BF28" i="6" a="1"/>
  <c r="BF28" i="6" s="1"/>
  <c r="BF93" i="6" a="1"/>
  <c r="BF93" i="6" s="1"/>
  <c r="BB97" i="6" a="1"/>
  <c r="BB97" i="6" s="1"/>
  <c r="BF13" i="6" a="1"/>
  <c r="BF13" i="6" s="1"/>
  <c r="M315" i="9"/>
  <c r="H315" i="9" s="1"/>
  <c r="BJ37" i="6" a="1"/>
  <c r="BJ37" i="6" s="1"/>
  <c r="BF83" i="6" a="1"/>
  <c r="BF83" i="6" s="1"/>
  <c r="BJ12" i="6" a="1"/>
  <c r="BJ12" i="6" s="1"/>
  <c r="BJ91" i="6" a="1"/>
  <c r="BJ91" i="6" s="1"/>
  <c r="BF34" i="6" a="1"/>
  <c r="BF34" i="6" s="1"/>
  <c r="BJ22" i="6" a="1"/>
  <c r="BJ22" i="6" s="1"/>
  <c r="AX98" i="6" a="1"/>
  <c r="AX98" i="6" s="1"/>
  <c r="BB45" i="6" a="1"/>
  <c r="BB45" i="6" s="1"/>
  <c r="BB60" i="6" a="1"/>
  <c r="BB60" i="6" s="1"/>
  <c r="BB98" i="6" a="1"/>
  <c r="BB98" i="6" s="1"/>
  <c r="BB101" i="6" a="1"/>
  <c r="BB101" i="6" s="1"/>
  <c r="BB46" i="6" a="1"/>
  <c r="BB46" i="6" s="1"/>
  <c r="AX51" i="6" a="1"/>
  <c r="AX51" i="6" s="1"/>
  <c r="BF65" i="6" a="1"/>
  <c r="BF65" i="6" s="1"/>
  <c r="BF60" i="6" a="1"/>
  <c r="BF60" i="6" s="1"/>
  <c r="BB89" i="6" a="1"/>
  <c r="BB89" i="6" s="1"/>
  <c r="BJ40" i="6" a="1"/>
  <c r="BJ40" i="6" s="1"/>
  <c r="AX78" i="6" a="1"/>
  <c r="AX78" i="6" s="1"/>
  <c r="BJ10" i="6" a="1"/>
  <c r="BJ10" i="6" s="1"/>
  <c r="BJ44" i="6" a="1"/>
  <c r="BJ44" i="6" s="1"/>
  <c r="BF81" i="6" a="1"/>
  <c r="BF81" i="6" s="1"/>
  <c r="BB59" i="6" a="1"/>
  <c r="BB59" i="6" s="1"/>
  <c r="BB31" i="6" a="1"/>
  <c r="BB31" i="6" s="1"/>
  <c r="BJ75" i="6" a="1"/>
  <c r="BJ75" i="6" s="1"/>
  <c r="AX63" i="6" a="1"/>
  <c r="AX63" i="6" s="1"/>
  <c r="BJ49" i="6" a="1"/>
  <c r="BJ49" i="6" s="1"/>
  <c r="BF11" i="6" a="1"/>
  <c r="BF11" i="6" s="1"/>
  <c r="BJ101" i="6" a="1"/>
  <c r="BJ101" i="6" s="1"/>
  <c r="BF74" i="6" a="1"/>
  <c r="BF74" i="6" s="1"/>
  <c r="BJ72" i="6" a="1"/>
  <c r="BJ72" i="6" s="1"/>
  <c r="BF40" i="6" a="1"/>
  <c r="BF40" i="6" s="1"/>
  <c r="BF16" i="6" a="1"/>
  <c r="BF16" i="6" s="1"/>
  <c r="BB65" i="6" a="1"/>
  <c r="BB65" i="6" s="1"/>
  <c r="BJ82" i="6" a="1"/>
  <c r="BJ82" i="6" s="1"/>
  <c r="BB72" i="6" a="1"/>
  <c r="BB72" i="6" s="1"/>
  <c r="BF64" i="6" a="1"/>
  <c r="BF64" i="6" s="1"/>
  <c r="AX32" i="6" a="1"/>
  <c r="AX32" i="6" s="1"/>
  <c r="BB102" i="6" a="1"/>
  <c r="BB102" i="6" s="1"/>
  <c r="BJ31" i="6" a="1"/>
  <c r="BJ31" i="6" s="1"/>
  <c r="BB55" i="6" a="1"/>
  <c r="BB55" i="6" s="1"/>
  <c r="AX35" i="6" a="1"/>
  <c r="AX35" i="6" s="1"/>
  <c r="BB67" i="6" a="1"/>
  <c r="BB67" i="6" s="1"/>
  <c r="BJ78" i="6" a="1"/>
  <c r="BJ78" i="6" s="1"/>
  <c r="BJ81" i="6" a="1"/>
  <c r="BJ81" i="6" s="1"/>
  <c r="BF97" i="6" a="1"/>
  <c r="BF97" i="6" s="1"/>
  <c r="AX93" i="6" a="1"/>
  <c r="AX93" i="6" s="1"/>
  <c r="AX56" i="6" a="1"/>
  <c r="AX56" i="6" s="1"/>
  <c r="BF14" i="6" a="1"/>
  <c r="BF14" i="6" s="1"/>
  <c r="BB77" i="6" a="1"/>
  <c r="BB77" i="6" s="1"/>
  <c r="BJ20" i="6" a="1"/>
  <c r="BJ20" i="6" s="1"/>
  <c r="BJ57" i="6" a="1"/>
  <c r="BJ57" i="6" s="1"/>
  <c r="AX69" i="6" a="1"/>
  <c r="AX69" i="6" s="1"/>
  <c r="BB94" i="6" a="1"/>
  <c r="BB94" i="6" s="1"/>
  <c r="BJ106" i="6" a="1"/>
  <c r="BJ106" i="6" s="1"/>
  <c r="AX53" i="6" a="1"/>
  <c r="AX53" i="6" s="1"/>
  <c r="BJ8" i="6" a="1"/>
  <c r="BJ8" i="6" s="1"/>
  <c r="AX41" i="6" a="1"/>
  <c r="AX41" i="6" s="1"/>
  <c r="BF103" i="6" a="1"/>
  <c r="BF103" i="6" s="1"/>
  <c r="BB18" i="6" a="1"/>
  <c r="BB18" i="6" s="1"/>
  <c r="AX54" i="6" a="1"/>
  <c r="AX54" i="6" s="1"/>
  <c r="BJ96" i="6" a="1"/>
  <c r="BJ96" i="6" s="1"/>
  <c r="AX92" i="6" a="1"/>
  <c r="AX92" i="6" s="1"/>
  <c r="BF49" i="6" a="1"/>
  <c r="BF49" i="6" s="1"/>
  <c r="BF33" i="6" a="1"/>
  <c r="BF33" i="6" s="1"/>
  <c r="BJ15" i="6" a="1"/>
  <c r="BJ15" i="6" s="1"/>
  <c r="BJ70" i="6" a="1"/>
  <c r="BJ70" i="6" s="1"/>
  <c r="BB95" i="6" a="1"/>
  <c r="BB95" i="6" s="1"/>
  <c r="AX48" i="6" a="1"/>
  <c r="AX48" i="6" s="1"/>
  <c r="BF80" i="6" a="1"/>
  <c r="BF80" i="6" s="1"/>
  <c r="BF57" i="6" a="1"/>
  <c r="BF57" i="6" s="1"/>
  <c r="BB79" i="6" a="1"/>
  <c r="BB79" i="6" s="1"/>
  <c r="BJ105" i="6" a="1"/>
  <c r="BJ105" i="6" s="1"/>
  <c r="AU8" i="6" l="1"/>
  <c r="AU14" i="6"/>
  <c r="AU10" i="6"/>
  <c r="AU13" i="6"/>
  <c r="AU11" i="6"/>
  <c r="AU12" i="6"/>
  <c r="AU9" i="6"/>
  <c r="AU26" i="6"/>
  <c r="AU49" i="6"/>
  <c r="AU34" i="6"/>
  <c r="AU28" i="6"/>
  <c r="AU19" i="6"/>
  <c r="AU33" i="6"/>
  <c r="AU24" i="6"/>
  <c r="AU15" i="6"/>
  <c r="AU42" i="6"/>
  <c r="AU45" i="6"/>
  <c r="AU38" i="6"/>
  <c r="AU17" i="6"/>
  <c r="AU18" i="6"/>
  <c r="AU36" i="6"/>
  <c r="AU37" i="6"/>
  <c r="AU41" i="6"/>
  <c r="M316" i="9"/>
  <c r="H316" i="9" s="1"/>
  <c r="AU66" i="6"/>
  <c r="AU91" i="6"/>
  <c r="AU47" i="6"/>
  <c r="AU80" i="6"/>
  <c r="AU95" i="6"/>
  <c r="AU43" i="6"/>
  <c r="AU23" i="6"/>
  <c r="AU77" i="6"/>
  <c r="AU82" i="6"/>
  <c r="AU100" i="6"/>
  <c r="AU92" i="6"/>
  <c r="AU74" i="6"/>
  <c r="AU48" i="6"/>
  <c r="AU65" i="6"/>
  <c r="AU31" i="6"/>
  <c r="AU52" i="6"/>
  <c r="AU71" i="6"/>
  <c r="AU99" i="6"/>
  <c r="AU69" i="6"/>
  <c r="AU22" i="6"/>
  <c r="AU44" i="6"/>
  <c r="AU64" i="6"/>
  <c r="AU54" i="6"/>
  <c r="AU59" i="6"/>
  <c r="AU56" i="6"/>
  <c r="AU32" i="6"/>
  <c r="AU106" i="6"/>
  <c r="AU88" i="6"/>
  <c r="AU21" i="6"/>
  <c r="AU27" i="6"/>
  <c r="AU58" i="6"/>
  <c r="AU30" i="6"/>
  <c r="AU35" i="6"/>
  <c r="AU89" i="6"/>
  <c r="AU16" i="6"/>
  <c r="AU46" i="6"/>
  <c r="AU83" i="6"/>
  <c r="AU75" i="6"/>
  <c r="AU55" i="6"/>
  <c r="AU25" i="6"/>
  <c r="AU84" i="6"/>
  <c r="AU94" i="6"/>
  <c r="AU40" i="6"/>
  <c r="AU70" i="6"/>
  <c r="AU50" i="6"/>
  <c r="AU103" i="6"/>
  <c r="AU53" i="6"/>
  <c r="AU62" i="6"/>
  <c r="AU51" i="6"/>
  <c r="AU93" i="6"/>
  <c r="AU90" i="6"/>
  <c r="AU81" i="6"/>
  <c r="AU78" i="6"/>
  <c r="AU60" i="6"/>
  <c r="AU96" i="6"/>
  <c r="AU102" i="6"/>
  <c r="AU57" i="6"/>
  <c r="AU98" i="6"/>
  <c r="AU67" i="6"/>
  <c r="AU101" i="6"/>
  <c r="AU79" i="6"/>
  <c r="AU68" i="6"/>
  <c r="AU73" i="6"/>
  <c r="AU72" i="6"/>
  <c r="AU104" i="6"/>
  <c r="AU86" i="6"/>
  <c r="AU85" i="6"/>
  <c r="AU76" i="6"/>
  <c r="AU105" i="6"/>
  <c r="AU61" i="6"/>
  <c r="AU87" i="6"/>
  <c r="AU39" i="6"/>
  <c r="AU63" i="6"/>
  <c r="AU97" i="6"/>
  <c r="AU29" i="6"/>
  <c r="AU20" i="6"/>
  <c r="M317" i="9" l="1"/>
  <c r="H317" i="9" s="1"/>
  <c r="M318" i="9" l="1"/>
  <c r="H318" i="9" s="1"/>
  <c r="M319" i="9" l="1"/>
  <c r="H319" i="9" s="1"/>
  <c r="M320" i="9" l="1"/>
  <c r="H320" i="9" s="1"/>
  <c r="M321" i="9" l="1"/>
  <c r="H321" i="9" s="1"/>
  <c r="M322" i="9" l="1"/>
  <c r="H322" i="9" s="1"/>
  <c r="M323" i="9" l="1"/>
  <c r="H323" i="9" s="1"/>
  <c r="M324" i="9" l="1"/>
  <c r="H324" i="9" s="1"/>
  <c r="M325" i="9" l="1"/>
  <c r="H325" i="9" s="1"/>
  <c r="U1481" i="8" l="1"/>
  <c r="N1481" i="8" s="1"/>
  <c r="U869" i="8"/>
  <c r="U461" i="8"/>
  <c r="U1329" i="8"/>
  <c r="N1329" i="8" s="1"/>
  <c r="U819" i="8"/>
  <c r="U309" i="8"/>
  <c r="U1328" i="8"/>
  <c r="N1328" i="8" s="1"/>
  <c r="U921" i="8"/>
  <c r="U308" i="8"/>
  <c r="U870" i="8"/>
  <c r="U1482" i="8"/>
  <c r="N1482" i="8" s="1"/>
  <c r="U818" i="8"/>
  <c r="U360" i="8"/>
  <c r="U1430" i="8"/>
  <c r="N1430" i="8" s="1"/>
  <c r="U1380" i="8"/>
  <c r="N1380" i="8" s="1"/>
  <c r="U972" i="8"/>
  <c r="U359" i="8"/>
  <c r="U1431" i="8"/>
  <c r="N1431" i="8" s="1"/>
  <c r="U920" i="8"/>
  <c r="U411" i="8"/>
  <c r="U1379" i="8"/>
  <c r="N1379" i="8" s="1"/>
  <c r="U971" i="8"/>
  <c r="U410" i="8"/>
  <c r="U462" i="8"/>
  <c r="U5" i="8"/>
  <c r="U616" i="8"/>
  <c r="U1075" i="8"/>
  <c r="U55" i="8"/>
  <c r="U565" i="8"/>
  <c r="U1126" i="8"/>
  <c r="N1126" i="8" s="1"/>
  <c r="U106" i="8"/>
  <c r="U1025" i="8"/>
  <c r="U515" i="8"/>
  <c r="U1331" i="8"/>
  <c r="N1331" i="8" s="1"/>
  <c r="U821" i="8"/>
  <c r="U618" i="8"/>
  <c r="U1177" i="8"/>
  <c r="N1177" i="8" s="1"/>
  <c r="U157" i="8"/>
  <c r="U57" i="8"/>
  <c r="U1027" i="8"/>
  <c r="U1280" i="8"/>
  <c r="N1280" i="8" s="1"/>
  <c r="U260" i="8"/>
  <c r="U667" i="8"/>
  <c r="U1128" i="8"/>
  <c r="N1128" i="8" s="1"/>
  <c r="U311" i="8"/>
  <c r="U1077" i="8"/>
  <c r="U770" i="8"/>
  <c r="U517" i="8"/>
  <c r="U7" i="8"/>
  <c r="U108" i="8"/>
  <c r="U567" i="8"/>
  <c r="U1278" i="8"/>
  <c r="N1278" i="8" s="1"/>
  <c r="U1277" i="8"/>
  <c r="N1277" i="8" s="1"/>
  <c r="U768" i="8"/>
  <c r="U767" i="8"/>
  <c r="U257" i="8"/>
  <c r="U258" i="8"/>
  <c r="U820" i="8"/>
  <c r="U107" i="8"/>
  <c r="U310" i="8"/>
  <c r="U566" i="8"/>
  <c r="U1076" i="8"/>
  <c r="U617" i="8"/>
  <c r="U1330" i="8"/>
  <c r="N1330" i="8" s="1"/>
  <c r="U56" i="8"/>
  <c r="U1127" i="8"/>
  <c r="N1127" i="8" s="1"/>
  <c r="U1381" i="8"/>
  <c r="N1381" i="8" s="1"/>
  <c r="U871" i="8"/>
  <c r="U8" i="8"/>
  <c r="U261" i="8"/>
  <c r="U1178" i="8"/>
  <c r="N1178" i="8" s="1"/>
  <c r="U361" i="8"/>
  <c r="U1028" i="8"/>
  <c r="U1281" i="8"/>
  <c r="N1281" i="8" s="1"/>
  <c r="U518" i="8"/>
  <c r="U771" i="8"/>
  <c r="U668" i="8"/>
  <c r="U158" i="8"/>
  <c r="U923" i="8"/>
  <c r="U413" i="8"/>
  <c r="U773" i="8"/>
  <c r="U520" i="8"/>
  <c r="U670" i="8"/>
  <c r="U1433" i="8"/>
  <c r="N1433" i="8" s="1"/>
  <c r="U160" i="8"/>
  <c r="U363" i="8"/>
  <c r="U1383" i="8"/>
  <c r="N1383" i="8" s="1"/>
  <c r="U1030" i="8"/>
  <c r="U1283" i="8"/>
  <c r="N1283" i="8" s="1"/>
  <c r="U10" i="8"/>
  <c r="U873" i="8"/>
  <c r="U1180" i="8"/>
  <c r="N1180" i="8" s="1"/>
  <c r="U263" i="8"/>
  <c r="U58" i="8"/>
  <c r="U362" i="8"/>
  <c r="U1129" i="8"/>
  <c r="N1129" i="8" s="1"/>
  <c r="U568" i="8"/>
  <c r="U109" i="8"/>
  <c r="U619" i="8"/>
  <c r="U312" i="8"/>
  <c r="U822" i="8"/>
  <c r="U1332" i="8"/>
  <c r="N1332" i="8" s="1"/>
  <c r="U1382" i="8"/>
  <c r="N1382" i="8" s="1"/>
  <c r="U718" i="8"/>
  <c r="U1228" i="8"/>
  <c r="N1228" i="8" s="1"/>
  <c r="U872" i="8"/>
  <c r="U1078" i="8"/>
  <c r="U208" i="8"/>
  <c r="U111" i="8"/>
  <c r="U463" i="8"/>
  <c r="U1483" i="8"/>
  <c r="N1483" i="8" s="1"/>
  <c r="U973" i="8"/>
  <c r="U570" i="8"/>
  <c r="U1384" i="8"/>
  <c r="N1384" i="8" s="1"/>
  <c r="U824" i="8"/>
  <c r="U621" i="8"/>
  <c r="U1230" i="8"/>
  <c r="N1230" i="8" s="1"/>
  <c r="U720" i="8"/>
  <c r="U1080" i="8"/>
  <c r="U874" i="8"/>
  <c r="U364" i="8"/>
  <c r="U1334" i="8"/>
  <c r="N1334" i="8" s="1"/>
  <c r="U210" i="8"/>
  <c r="U1131" i="8"/>
  <c r="N1131" i="8" s="1"/>
  <c r="U60" i="8"/>
  <c r="U314" i="8"/>
  <c r="U1082" i="8"/>
  <c r="U1032" i="8"/>
  <c r="U623" i="8"/>
  <c r="U572" i="8"/>
  <c r="U1336" i="8"/>
  <c r="N1336" i="8" s="1"/>
  <c r="U876" i="8"/>
  <c r="U722" i="8"/>
  <c r="U62" i="8"/>
  <c r="U212" i="8"/>
  <c r="U1133" i="8"/>
  <c r="N1133" i="8" s="1"/>
  <c r="U316" i="8"/>
  <c r="U1436" i="8"/>
  <c r="N1436" i="8" s="1"/>
  <c r="U926" i="8"/>
  <c r="U366" i="8"/>
  <c r="U12" i="8"/>
  <c r="U1386" i="8"/>
  <c r="N1386" i="8" s="1"/>
  <c r="U113" i="8"/>
  <c r="U416" i="8"/>
  <c r="U1232" i="8"/>
  <c r="N1232" i="8" s="1"/>
  <c r="U826" i="8"/>
  <c r="U522" i="8"/>
  <c r="U1333" i="8"/>
  <c r="N1333" i="8" s="1"/>
  <c r="U669" i="8"/>
  <c r="U412" i="8"/>
  <c r="U1179" i="8"/>
  <c r="N1179" i="8" s="1"/>
  <c r="U823" i="8"/>
  <c r="U519" i="8"/>
  <c r="U59" i="8"/>
  <c r="U159" i="8"/>
  <c r="U569" i="8"/>
  <c r="U1282" i="8"/>
  <c r="N1282" i="8" s="1"/>
  <c r="U719" i="8"/>
  <c r="U620" i="8"/>
  <c r="U1432" i="8"/>
  <c r="N1432" i="8" s="1"/>
  <c r="U1130" i="8"/>
  <c r="N1130" i="8" s="1"/>
  <c r="U1029" i="8"/>
  <c r="U313" i="8"/>
  <c r="U1229" i="8"/>
  <c r="N1229" i="8" s="1"/>
  <c r="U922" i="8"/>
  <c r="U209" i="8"/>
  <c r="U110" i="8"/>
  <c r="U9" i="8"/>
  <c r="U772" i="8"/>
  <c r="U262" i="8"/>
  <c r="U1079" i="8"/>
  <c r="U775" i="8"/>
  <c r="U465" i="8"/>
  <c r="U672" i="8"/>
  <c r="U1485" i="8"/>
  <c r="N1485" i="8" s="1"/>
  <c r="U975" i="8"/>
  <c r="U925" i="8"/>
  <c r="U1435" i="8"/>
  <c r="N1435" i="8" s="1"/>
  <c r="U162" i="8"/>
  <c r="U1385" i="8"/>
  <c r="N1385" i="8" s="1"/>
  <c r="U875" i="8"/>
  <c r="U1182" i="8"/>
  <c r="N1182" i="8" s="1"/>
  <c r="U265" i="8"/>
  <c r="U1285" i="8"/>
  <c r="N1285" i="8" s="1"/>
  <c r="U365" i="8"/>
  <c r="U415" i="8"/>
  <c r="U1175" i="8"/>
  <c r="N1175" i="8" s="1"/>
  <c r="U155" i="8"/>
  <c r="U665" i="8"/>
  <c r="U156" i="8"/>
  <c r="U54" i="8"/>
  <c r="U207" i="8"/>
  <c r="U615" i="8"/>
  <c r="U53" i="8"/>
  <c r="U206" i="8"/>
  <c r="U614" i="8"/>
  <c r="U1074" i="8"/>
  <c r="U1125" i="8"/>
  <c r="N1125" i="8" s="1"/>
  <c r="U564" i="8"/>
  <c r="U1227" i="8"/>
  <c r="N1227" i="8" s="1"/>
  <c r="U1124" i="8"/>
  <c r="N1124" i="8" s="1"/>
  <c r="U666" i="8"/>
  <c r="U1073" i="8"/>
  <c r="U105" i="8"/>
  <c r="U717" i="8"/>
  <c r="U716" i="8"/>
  <c r="U1226" i="8"/>
  <c r="N1226" i="8" s="1"/>
  <c r="U104" i="8"/>
  <c r="U563" i="8"/>
  <c r="U1176" i="8"/>
  <c r="N1176" i="8" s="1"/>
  <c r="U1286" i="8"/>
  <c r="N1286" i="8" s="1"/>
  <c r="U723" i="8"/>
  <c r="U624" i="8"/>
  <c r="U63" i="8"/>
  <c r="U573" i="8"/>
  <c r="U1486" i="8"/>
  <c r="N1486" i="8" s="1"/>
  <c r="U1134" i="8"/>
  <c r="N1134" i="8" s="1"/>
  <c r="U1033" i="8"/>
  <c r="U1233" i="8"/>
  <c r="N1233" i="8" s="1"/>
  <c r="U776" i="8"/>
  <c r="U213" i="8"/>
  <c r="U13" i="8"/>
  <c r="U114" i="8"/>
  <c r="U266" i="8"/>
  <c r="U163" i="8"/>
  <c r="U1083" i="8"/>
  <c r="U673" i="8"/>
  <c r="U317" i="8"/>
  <c r="U1337" i="8"/>
  <c r="N1337" i="8" s="1"/>
  <c r="U976" i="8"/>
  <c r="U466" i="8"/>
  <c r="U1183" i="8"/>
  <c r="N1183" i="8" s="1"/>
  <c r="U827" i="8"/>
  <c r="U523" i="8"/>
  <c r="U61" i="8"/>
  <c r="U825" i="8"/>
  <c r="U464" i="8"/>
  <c r="U1484" i="8"/>
  <c r="N1484" i="8" s="1"/>
  <c r="U1284" i="8"/>
  <c r="N1284" i="8" s="1"/>
  <c r="U161" i="8"/>
  <c r="U521" i="8"/>
  <c r="U1434" i="8"/>
  <c r="N1434" i="8" s="1"/>
  <c r="U1132" i="8"/>
  <c r="N1132" i="8" s="1"/>
  <c r="U721" i="8"/>
  <c r="U571" i="8"/>
  <c r="U1231" i="8"/>
  <c r="N1231" i="8" s="1"/>
  <c r="U924" i="8"/>
  <c r="U1031" i="8"/>
  <c r="U622" i="8"/>
  <c r="U1181" i="8"/>
  <c r="N1181" i="8" s="1"/>
  <c r="U11" i="8"/>
  <c r="U774" i="8"/>
  <c r="U211" i="8"/>
  <c r="U1081" i="8"/>
  <c r="U112" i="8"/>
  <c r="U264" i="8"/>
  <c r="U974" i="8"/>
  <c r="U1335" i="8"/>
  <c r="N1335" i="8" s="1"/>
  <c r="U671" i="8"/>
  <c r="U315" i="8"/>
  <c r="U414" i="8"/>
  <c r="U512" i="8"/>
  <c r="U513" i="8"/>
  <c r="U3" i="8"/>
  <c r="N3" i="8" s="1"/>
  <c r="U514" i="8"/>
  <c r="U2" i="8"/>
  <c r="U4" i="8"/>
  <c r="U1023" i="8"/>
  <c r="U1024" i="8"/>
  <c r="U1022" i="8"/>
  <c r="U6" i="8"/>
  <c r="N6" i="8" s="1"/>
  <c r="U1279" i="8"/>
  <c r="N1279" i="8" s="1"/>
  <c r="U769" i="8"/>
  <c r="U1026" i="8"/>
  <c r="U259" i="8"/>
  <c r="U516" i="8"/>
  <c r="N9" i="8" l="1"/>
  <c r="N12" i="8"/>
  <c r="N8" i="8"/>
  <c r="N13" i="8"/>
  <c r="N4" i="8"/>
  <c r="N11" i="8"/>
  <c r="N2" i="8"/>
  <c r="N10" i="8"/>
  <c r="N7" i="8"/>
  <c r="N5" i="8"/>
  <c r="N264" i="8"/>
  <c r="N59" i="8"/>
  <c r="N769" i="8"/>
  <c r="N514" i="8"/>
  <c r="N974" i="8"/>
  <c r="N622" i="8"/>
  <c r="N521" i="8"/>
  <c r="N827" i="8"/>
  <c r="N163" i="8"/>
  <c r="N1073" i="8"/>
  <c r="N206" i="8"/>
  <c r="N162" i="8"/>
  <c r="N1079" i="8"/>
  <c r="N313" i="8"/>
  <c r="N159" i="8"/>
  <c r="N522" i="8"/>
  <c r="N926" i="8"/>
  <c r="N210" i="8"/>
  <c r="N824" i="8"/>
  <c r="N1078" i="8"/>
  <c r="N619" i="8"/>
  <c r="N873" i="8"/>
  <c r="N670" i="8"/>
  <c r="N518" i="8"/>
  <c r="N107" i="8"/>
  <c r="N567" i="8"/>
  <c r="N667" i="8"/>
  <c r="N821" i="8"/>
  <c r="N106" i="8"/>
  <c r="N410" i="8"/>
  <c r="N108" i="8"/>
  <c r="N924" i="8"/>
  <c r="N466" i="8"/>
  <c r="N114" i="8"/>
  <c r="N573" i="8"/>
  <c r="N563" i="8"/>
  <c r="N615" i="8"/>
  <c r="N365" i="8"/>
  <c r="N925" i="8"/>
  <c r="N772" i="8"/>
  <c r="N519" i="8"/>
  <c r="N316" i="8"/>
  <c r="N623" i="8"/>
  <c r="N364" i="8"/>
  <c r="N570" i="8"/>
  <c r="N568" i="8"/>
  <c r="N773" i="8"/>
  <c r="N1028" i="8"/>
  <c r="N56" i="8"/>
  <c r="N258" i="8"/>
  <c r="N565" i="8"/>
  <c r="N360" i="8"/>
  <c r="N819" i="8"/>
  <c r="N161" i="8"/>
  <c r="N415" i="8"/>
  <c r="N520" i="8"/>
  <c r="N260" i="8"/>
  <c r="N1022" i="8"/>
  <c r="N512" i="8"/>
  <c r="N1081" i="8"/>
  <c r="N976" i="8"/>
  <c r="N63" i="8"/>
  <c r="N104" i="8"/>
  <c r="N207" i="8"/>
  <c r="N975" i="8"/>
  <c r="N823" i="8"/>
  <c r="N416" i="8"/>
  <c r="N1032" i="8"/>
  <c r="N874" i="8"/>
  <c r="N973" i="8"/>
  <c r="N718" i="8"/>
  <c r="N1030" i="8"/>
  <c r="N413" i="8"/>
  <c r="N361" i="8"/>
  <c r="N257" i="8"/>
  <c r="N517" i="8"/>
  <c r="N1027" i="8"/>
  <c r="N55" i="8"/>
  <c r="N411" i="8"/>
  <c r="N818" i="8"/>
  <c r="N1031" i="8"/>
  <c r="N53" i="8"/>
  <c r="N826" i="8"/>
  <c r="N109" i="8"/>
  <c r="N1024" i="8"/>
  <c r="N414" i="8"/>
  <c r="N211" i="8"/>
  <c r="N571" i="8"/>
  <c r="N464" i="8"/>
  <c r="N213" i="8"/>
  <c r="N624" i="8"/>
  <c r="N564" i="8"/>
  <c r="N54" i="8"/>
  <c r="N265" i="8"/>
  <c r="N110" i="8"/>
  <c r="N620" i="8"/>
  <c r="N113" i="8"/>
  <c r="N212" i="8"/>
  <c r="N1082" i="8"/>
  <c r="N1080" i="8"/>
  <c r="N362" i="8"/>
  <c r="N923" i="8"/>
  <c r="N617" i="8"/>
  <c r="N767" i="8"/>
  <c r="N770" i="8"/>
  <c r="N57" i="8"/>
  <c r="N1075" i="8"/>
  <c r="N920" i="8"/>
  <c r="N461" i="8"/>
  <c r="N266" i="8"/>
  <c r="N262" i="8"/>
  <c r="N572" i="8"/>
  <c r="N971" i="8"/>
  <c r="N513" i="8"/>
  <c r="N516" i="8"/>
  <c r="N1023" i="8"/>
  <c r="N315" i="8"/>
  <c r="N774" i="8"/>
  <c r="N721" i="8"/>
  <c r="N825" i="8"/>
  <c r="N317" i="8"/>
  <c r="N776" i="8"/>
  <c r="N723" i="8"/>
  <c r="N716" i="8"/>
  <c r="N156" i="8"/>
  <c r="N672" i="8"/>
  <c r="N209" i="8"/>
  <c r="N719" i="8"/>
  <c r="N412" i="8"/>
  <c r="N62" i="8"/>
  <c r="N314" i="8"/>
  <c r="N720" i="8"/>
  <c r="N463" i="8"/>
  <c r="N58" i="8"/>
  <c r="N363" i="8"/>
  <c r="N158" i="8"/>
  <c r="N261" i="8"/>
  <c r="N1076" i="8"/>
  <c r="N768" i="8"/>
  <c r="N1077" i="8"/>
  <c r="N157" i="8"/>
  <c r="N616" i="8"/>
  <c r="N870" i="8"/>
  <c r="N869" i="8"/>
  <c r="N666" i="8"/>
  <c r="N1029" i="8"/>
  <c r="N872" i="8"/>
  <c r="N820" i="8"/>
  <c r="N309" i="8"/>
  <c r="N259" i="8"/>
  <c r="N671" i="8"/>
  <c r="N61" i="8"/>
  <c r="N673" i="8"/>
  <c r="N717" i="8"/>
  <c r="N1074" i="8"/>
  <c r="N665" i="8"/>
  <c r="N875" i="8"/>
  <c r="N465" i="8"/>
  <c r="N922" i="8"/>
  <c r="N669" i="8"/>
  <c r="N722" i="8"/>
  <c r="N60" i="8"/>
  <c r="N111" i="8"/>
  <c r="N822" i="8"/>
  <c r="N263" i="8"/>
  <c r="N160" i="8"/>
  <c r="N668" i="8"/>
  <c r="N566" i="8"/>
  <c r="N311" i="8"/>
  <c r="N515" i="8"/>
  <c r="N359" i="8"/>
  <c r="N308" i="8"/>
  <c r="N112" i="8"/>
  <c r="N1026" i="8"/>
  <c r="N523" i="8"/>
  <c r="N1083" i="8"/>
  <c r="N1033" i="8"/>
  <c r="N105" i="8"/>
  <c r="N614" i="8"/>
  <c r="N155" i="8"/>
  <c r="N775" i="8"/>
  <c r="N569" i="8"/>
  <c r="N366" i="8"/>
  <c r="N876" i="8"/>
  <c r="N621" i="8"/>
  <c r="N208" i="8"/>
  <c r="N312" i="8"/>
  <c r="N771" i="8"/>
  <c r="N871" i="8"/>
  <c r="N310" i="8"/>
  <c r="N618" i="8"/>
  <c r="N1025" i="8"/>
  <c r="N462" i="8"/>
  <c r="N972" i="8"/>
  <c r="N921" i="8"/>
  <c r="E14" i="6" l="1" a="1"/>
  <c r="E14" i="6" s="1"/>
  <c r="E16" i="6" a="1"/>
  <c r="E16" i="6" s="1"/>
  <c r="E24" i="6" a="1"/>
  <c r="E24" i="6" s="1"/>
  <c r="E20" i="6" a="1"/>
  <c r="E20" i="6" s="1"/>
  <c r="E25" i="6" a="1"/>
  <c r="E25" i="6" s="1"/>
  <c r="E19" i="6" a="1"/>
  <c r="E19" i="6" s="1"/>
  <c r="E17" i="6" a="1"/>
  <c r="E17" i="6" s="1"/>
  <c r="E13" i="6" a="1"/>
  <c r="E13" i="6" s="1"/>
  <c r="E22" i="6" a="1"/>
  <c r="E22" i="6" s="1"/>
  <c r="E8" i="6" a="1"/>
  <c r="E8" i="6" s="1"/>
  <c r="U927" i="8" l="1"/>
  <c r="U267" i="8"/>
  <c r="U777" i="8"/>
  <c r="U367" i="8"/>
  <c r="U1487" i="8"/>
  <c r="N1487" i="8" s="1"/>
  <c r="U674" i="8"/>
  <c r="U417" i="8"/>
  <c r="U1437" i="8"/>
  <c r="N1437" i="8" s="1"/>
  <c r="U977" i="8"/>
  <c r="U467" i="8"/>
  <c r="U1387" i="8"/>
  <c r="N1387" i="8" s="1"/>
  <c r="U164" i="8"/>
  <c r="U1184" i="8"/>
  <c r="N1184" i="8" s="1"/>
  <c r="U877" i="8"/>
  <c r="U1287" i="8"/>
  <c r="N1287" i="8" s="1"/>
  <c r="U214" i="8"/>
  <c r="U1234" i="8"/>
  <c r="N1234" i="8" s="1"/>
  <c r="U724" i="8"/>
  <c r="U1388" i="8"/>
  <c r="N1388" i="8" s="1"/>
  <c r="U828" i="8"/>
  <c r="U625" i="8"/>
  <c r="U14" i="8"/>
  <c r="U1034" i="8"/>
  <c r="U1084" i="8"/>
  <c r="U878" i="8"/>
  <c r="U1338" i="8"/>
  <c r="N1338" i="8" s="1"/>
  <c r="U318" i="8"/>
  <c r="U64" i="8"/>
  <c r="U368" i="8"/>
  <c r="U1438" i="8"/>
  <c r="N1438" i="8" s="1"/>
  <c r="U115" i="8"/>
  <c r="U574" i="8"/>
  <c r="U524" i="8"/>
  <c r="U1135" i="8"/>
  <c r="N1135" i="8" s="1"/>
  <c r="U418" i="8"/>
  <c r="U928" i="8"/>
  <c r="N574" i="8" l="1"/>
  <c r="N1084" i="8"/>
  <c r="N214" i="8"/>
  <c r="N115" i="8"/>
  <c r="N1034" i="8"/>
  <c r="N417" i="8"/>
  <c r="N14" i="8"/>
  <c r="N877" i="8"/>
  <c r="N674" i="8"/>
  <c r="N368" i="8"/>
  <c r="N625" i="8"/>
  <c r="N928" i="8"/>
  <c r="N64" i="8"/>
  <c r="N828" i="8"/>
  <c r="N164" i="8"/>
  <c r="N367" i="8"/>
  <c r="N418" i="8"/>
  <c r="N318" i="8"/>
  <c r="N777" i="8"/>
  <c r="N724" i="8"/>
  <c r="N467" i="8"/>
  <c r="N267" i="8"/>
  <c r="N524" i="8"/>
  <c r="N878" i="8"/>
  <c r="N977" i="8"/>
  <c r="N927" i="8"/>
  <c r="E27" i="6" l="1" a="1"/>
  <c r="E27" i="6" s="1"/>
  <c r="U1512" i="8" l="1"/>
  <c r="N1512" i="8" s="1"/>
  <c r="U697" i="8"/>
  <c r="U596" i="8"/>
  <c r="U1411" i="8"/>
  <c r="N1411" i="8" s="1"/>
  <c r="U1002" i="8"/>
  <c r="U647" i="8"/>
  <c r="U1258" i="8"/>
  <c r="N1258" i="8" s="1"/>
  <c r="U187" i="8"/>
  <c r="U1106" i="8"/>
  <c r="U748" i="8"/>
  <c r="U1207" i="8"/>
  <c r="N1207" i="8" s="1"/>
  <c r="U901" i="8"/>
  <c r="U137" i="8"/>
  <c r="U492" i="8"/>
  <c r="U86" i="8"/>
  <c r="U1157" i="8"/>
  <c r="N1157" i="8" s="1"/>
  <c r="U238" i="8"/>
  <c r="U391" i="8"/>
  <c r="U36" i="8"/>
  <c r="U188" i="8"/>
  <c r="U1361" i="8"/>
  <c r="N1361" i="8" s="1"/>
  <c r="U1056" i="8"/>
  <c r="U1208" i="8"/>
  <c r="N1208" i="8" s="1"/>
  <c r="U290" i="8"/>
  <c r="U1310" i="8"/>
  <c r="N1310" i="8" s="1"/>
  <c r="U341" i="8"/>
  <c r="U952" i="8"/>
  <c r="U442" i="8"/>
  <c r="U1462" i="8"/>
  <c r="N1462" i="8" s="1"/>
  <c r="U851" i="8"/>
  <c r="U800" i="8"/>
  <c r="U546" i="8"/>
  <c r="U698" i="8"/>
  <c r="U1311" i="8"/>
  <c r="N1311" i="8" s="1"/>
  <c r="U902" i="8"/>
  <c r="U1412" i="8"/>
  <c r="N1412" i="8" s="1"/>
  <c r="U1158" i="8"/>
  <c r="N1158" i="8" s="1"/>
  <c r="U239" i="8"/>
  <c r="U1513" i="8"/>
  <c r="N1513" i="8" s="1"/>
  <c r="U953" i="8"/>
  <c r="U291" i="8"/>
  <c r="U1463" i="8"/>
  <c r="N1463" i="8" s="1"/>
  <c r="U801" i="8"/>
  <c r="U342" i="8"/>
  <c r="U1259" i="8"/>
  <c r="N1259" i="8" s="1"/>
  <c r="U138" i="8"/>
  <c r="U392" i="8"/>
  <c r="U87" i="8"/>
  <c r="U749" i="8"/>
  <c r="U597" i="8"/>
  <c r="U443" i="8"/>
  <c r="U493" i="8"/>
  <c r="U648" i="8"/>
  <c r="U1107" i="8"/>
  <c r="U1003" i="8"/>
  <c r="U852" i="8"/>
  <c r="U1362" i="8"/>
  <c r="N1362" i="8" s="1"/>
  <c r="U1159" i="8"/>
  <c r="N1159" i="8" s="1"/>
  <c r="U240" i="8"/>
  <c r="U1514" i="8"/>
  <c r="N1514" i="8" s="1"/>
  <c r="U139" i="8"/>
  <c r="U393" i="8"/>
  <c r="U1413" i="8"/>
  <c r="N1413" i="8" s="1"/>
  <c r="U699" i="8"/>
  <c r="U494" i="8"/>
  <c r="U37" i="8"/>
  <c r="U1004" i="8"/>
  <c r="U547" i="8"/>
  <c r="U1260" i="8"/>
  <c r="N1260" i="8" s="1"/>
  <c r="U189" i="8"/>
  <c r="U598" i="8"/>
  <c r="U88" i="8"/>
  <c r="U903" i="8"/>
  <c r="U1108" i="8"/>
  <c r="U1209" i="8"/>
  <c r="N1209" i="8" s="1"/>
  <c r="U649" i="8"/>
  <c r="U750" i="8"/>
  <c r="U1057" i="8"/>
  <c r="U1266" i="8"/>
  <c r="N1266" i="8" s="1"/>
  <c r="U1063" i="8"/>
  <c r="U655" i="8"/>
  <c r="U1114" i="8"/>
  <c r="U909" i="8"/>
  <c r="U94" i="8"/>
  <c r="U246" i="8"/>
  <c r="U1165" i="8"/>
  <c r="N1165" i="8" s="1"/>
  <c r="U399" i="8"/>
  <c r="U1470" i="8"/>
  <c r="N1470" i="8" s="1"/>
  <c r="U960" i="8"/>
  <c r="U450" i="8"/>
  <c r="U43" i="8"/>
  <c r="U756" i="8"/>
  <c r="U604" i="8"/>
  <c r="U145" i="8"/>
  <c r="U1011" i="8"/>
  <c r="U501" i="8"/>
  <c r="U553" i="8"/>
  <c r="U1521" i="8"/>
  <c r="N1521" i="8" s="1"/>
  <c r="U1419" i="8"/>
  <c r="N1419" i="8" s="1"/>
  <c r="U1318" i="8"/>
  <c r="N1318" i="8" s="1"/>
  <c r="U247" i="8"/>
  <c r="U961" i="8"/>
  <c r="U298" i="8"/>
  <c r="U808" i="8"/>
  <c r="U349" i="8"/>
  <c r="U1420" i="8"/>
  <c r="N1420" i="8" s="1"/>
  <c r="U706" i="8"/>
  <c r="U400" i="8"/>
  <c r="U1471" i="8"/>
  <c r="N1471" i="8" s="1"/>
  <c r="U859" i="8"/>
  <c r="U451" i="8"/>
  <c r="U1369" i="8"/>
  <c r="N1369" i="8" s="1"/>
  <c r="U757" i="8"/>
  <c r="U1216" i="8"/>
  <c r="N1216" i="8" s="1"/>
  <c r="U910" i="8"/>
  <c r="U1267" i="8"/>
  <c r="N1267" i="8" s="1"/>
  <c r="U196" i="8"/>
  <c r="U1375" i="8"/>
  <c r="N1375" i="8" s="1"/>
  <c r="U202" i="8"/>
  <c r="U508" i="8"/>
  <c r="U1222" i="8"/>
  <c r="N1222" i="8" s="1"/>
  <c r="U763" i="8"/>
  <c r="U1324" i="8"/>
  <c r="N1324" i="8" s="1"/>
  <c r="U916" i="8"/>
  <c r="U967" i="8"/>
  <c r="U253" i="8"/>
  <c r="U1528" i="8"/>
  <c r="N1528" i="8" s="1"/>
  <c r="U814" i="8"/>
  <c r="U304" i="8"/>
  <c r="U1477" i="8"/>
  <c r="N1477" i="8" s="1"/>
  <c r="U1018" i="8"/>
  <c r="U406" i="8"/>
  <c r="U1273" i="8"/>
  <c r="N1273" i="8" s="1"/>
  <c r="U865" i="8"/>
  <c r="U457" i="8"/>
  <c r="U1426" i="8"/>
  <c r="N1426" i="8" s="1"/>
  <c r="U712" i="8"/>
  <c r="U355" i="8"/>
  <c r="U1071" i="8"/>
  <c r="U561" i="8"/>
  <c r="U612" i="8"/>
  <c r="U51" i="8"/>
  <c r="U663" i="8"/>
  <c r="U1122" i="8"/>
  <c r="N1122" i="8" s="1"/>
  <c r="U153" i="8"/>
  <c r="U102" i="8"/>
  <c r="U1173" i="8"/>
  <c r="N1173" i="8" s="1"/>
  <c r="U1326" i="8"/>
  <c r="N1326" i="8" s="1"/>
  <c r="U918" i="8"/>
  <c r="U969" i="8"/>
  <c r="U255" i="8"/>
  <c r="U1479" i="8"/>
  <c r="N1479" i="8" s="1"/>
  <c r="U816" i="8"/>
  <c r="U306" i="8"/>
  <c r="U1428" i="8"/>
  <c r="N1428" i="8" s="1"/>
  <c r="U714" i="8"/>
  <c r="U357" i="8"/>
  <c r="U1530" i="8"/>
  <c r="N1530" i="8" s="1"/>
  <c r="U1020" i="8"/>
  <c r="U408" i="8"/>
  <c r="U1224" i="8"/>
  <c r="N1224" i="8" s="1"/>
  <c r="U765" i="8"/>
  <c r="U867" i="8"/>
  <c r="U204" i="8"/>
  <c r="U459" i="8"/>
  <c r="U510" i="8"/>
  <c r="U1275" i="8"/>
  <c r="N1275" i="8" s="1"/>
  <c r="U1377" i="8"/>
  <c r="N1377" i="8" s="1"/>
  <c r="U1378" i="8"/>
  <c r="N1378" i="8" s="1"/>
  <c r="U715" i="8"/>
  <c r="U307" i="8"/>
  <c r="U1225" i="8"/>
  <c r="N1225" i="8" s="1"/>
  <c r="U1021" i="8"/>
  <c r="U358" i="8"/>
  <c r="U1429" i="8"/>
  <c r="N1429" i="8" s="1"/>
  <c r="U103" i="8"/>
  <c r="U868" i="8"/>
  <c r="U409" i="8"/>
  <c r="U1531" i="8"/>
  <c r="N1531" i="8" s="1"/>
  <c r="U1327" i="8"/>
  <c r="N1327" i="8" s="1"/>
  <c r="U205" i="8"/>
  <c r="U460" i="8"/>
  <c r="U1480" i="8"/>
  <c r="N1480" i="8" s="1"/>
  <c r="U1174" i="8"/>
  <c r="N1174" i="8" s="1"/>
  <c r="U766" i="8"/>
  <c r="U511" i="8"/>
  <c r="U1123" i="8"/>
  <c r="N1123" i="8" s="1"/>
  <c r="U154" i="8"/>
  <c r="U256" i="8"/>
  <c r="U664" i="8"/>
  <c r="U52" i="8"/>
  <c r="U1276" i="8"/>
  <c r="N1276" i="8" s="1"/>
  <c r="U970" i="8"/>
  <c r="U817" i="8"/>
  <c r="U1072" i="8"/>
  <c r="U562" i="8"/>
  <c r="U613" i="8"/>
  <c r="U919" i="8"/>
  <c r="U1238" i="8"/>
  <c r="N1238" i="8" s="1"/>
  <c r="U218" i="8"/>
  <c r="U1188" i="8"/>
  <c r="N1188" i="8" s="1"/>
  <c r="U271" i="8"/>
  <c r="U1291" i="8"/>
  <c r="N1291" i="8" s="1"/>
  <c r="U471" i="8"/>
  <c r="U781" i="8"/>
  <c r="U678" i="8"/>
  <c r="U1491" i="8"/>
  <c r="N1491" i="8" s="1"/>
  <c r="U728" i="8"/>
  <c r="U981" i="8"/>
  <c r="U168" i="8"/>
  <c r="U1189" i="8"/>
  <c r="N1189" i="8" s="1"/>
  <c r="U169" i="8"/>
  <c r="U472" i="8"/>
  <c r="U1492" i="8"/>
  <c r="N1492" i="8" s="1"/>
  <c r="U68" i="8"/>
  <c r="U729" i="8"/>
  <c r="U528" i="8"/>
  <c r="U1442" i="8"/>
  <c r="N1442" i="8" s="1"/>
  <c r="U1139" i="8"/>
  <c r="N1139" i="8" s="1"/>
  <c r="U1038" i="8"/>
  <c r="U578" i="8"/>
  <c r="U1392" i="8"/>
  <c r="N1392" i="8" s="1"/>
  <c r="U932" i="8"/>
  <c r="U882" i="8"/>
  <c r="U629" i="8"/>
  <c r="U18" i="8"/>
  <c r="U119" i="8"/>
  <c r="U219" i="8"/>
  <c r="U1088" i="8"/>
  <c r="U982" i="8"/>
  <c r="U372" i="8"/>
  <c r="U1342" i="8"/>
  <c r="N1342" i="8" s="1"/>
  <c r="U832" i="8"/>
  <c r="U422" i="8"/>
  <c r="U1239" i="8"/>
  <c r="N1239" i="8" s="1"/>
  <c r="U679" i="8"/>
  <c r="U322" i="8"/>
  <c r="U1145" i="8"/>
  <c r="N1145" i="8" s="1"/>
  <c r="U225" i="8"/>
  <c r="U1499" i="8"/>
  <c r="N1499" i="8" s="1"/>
  <c r="U125" i="8"/>
  <c r="U328" i="8"/>
  <c r="U24" i="8"/>
  <c r="U685" i="8"/>
  <c r="U479" i="8"/>
  <c r="U1245" i="8"/>
  <c r="N1245" i="8" s="1"/>
  <c r="U989" i="8"/>
  <c r="U534" i="8"/>
  <c r="U1094" i="8"/>
  <c r="U838" i="8"/>
  <c r="U584" i="8"/>
  <c r="U74" i="8"/>
  <c r="U1044" i="8"/>
  <c r="U635" i="8"/>
  <c r="U1348" i="8"/>
  <c r="N1348" i="8" s="1"/>
  <c r="U175" i="8"/>
  <c r="U735" i="8"/>
  <c r="U1195" i="8"/>
  <c r="N1195" i="8" s="1"/>
  <c r="U1246" i="8"/>
  <c r="N1246" i="8" s="1"/>
  <c r="U126" i="8"/>
  <c r="U429" i="8"/>
  <c r="U1095" i="8"/>
  <c r="U839" i="8"/>
  <c r="U585" i="8"/>
  <c r="U1349" i="8"/>
  <c r="N1349" i="8" s="1"/>
  <c r="U736" i="8"/>
  <c r="U636" i="8"/>
  <c r="U75" i="8"/>
  <c r="U889" i="8"/>
  <c r="U1298" i="8"/>
  <c r="N1298" i="8" s="1"/>
  <c r="U226" i="8"/>
  <c r="U1399" i="8"/>
  <c r="N1399" i="8" s="1"/>
  <c r="U788" i="8"/>
  <c r="U379" i="8"/>
  <c r="U1449" i="8"/>
  <c r="N1449" i="8" s="1"/>
  <c r="U1146" i="8"/>
  <c r="N1146" i="8" s="1"/>
  <c r="U939" i="8"/>
  <c r="U278" i="8"/>
  <c r="U329" i="8"/>
  <c r="U1400" i="8"/>
  <c r="N1400" i="8" s="1"/>
  <c r="U176" i="8"/>
  <c r="U25" i="8"/>
  <c r="U1045" i="8"/>
  <c r="U1196" i="8"/>
  <c r="N1196" i="8" s="1"/>
  <c r="U890" i="8"/>
  <c r="U1299" i="8"/>
  <c r="N1299" i="8" s="1"/>
  <c r="U279" i="8"/>
  <c r="U940" i="8"/>
  <c r="U380" i="8"/>
  <c r="U1450" i="8"/>
  <c r="N1450" i="8" s="1"/>
  <c r="U990" i="8"/>
  <c r="U535" i="8"/>
  <c r="U1500" i="8"/>
  <c r="N1500" i="8" s="1"/>
  <c r="U789" i="8"/>
  <c r="U430" i="8"/>
  <c r="U480" i="8"/>
  <c r="U686" i="8"/>
  <c r="U1096" i="8"/>
  <c r="U991" i="8"/>
  <c r="U481" i="8"/>
  <c r="U1350" i="8"/>
  <c r="N1350" i="8" s="1"/>
  <c r="U840" i="8"/>
  <c r="U536" i="8"/>
  <c r="U1197" i="8"/>
  <c r="N1197" i="8" s="1"/>
  <c r="U177" i="8"/>
  <c r="U586" i="8"/>
  <c r="U76" i="8"/>
  <c r="U737" i="8"/>
  <c r="U637" i="8"/>
  <c r="U1501" i="8"/>
  <c r="N1501" i="8" s="1"/>
  <c r="U1147" i="8"/>
  <c r="N1147" i="8" s="1"/>
  <c r="U1046" i="8"/>
  <c r="U1247" i="8"/>
  <c r="N1247" i="8" s="1"/>
  <c r="U687" i="8"/>
  <c r="U431" i="8"/>
  <c r="U330" i="8"/>
  <c r="U941" i="8"/>
  <c r="U1451" i="8"/>
  <c r="N1451" i="8" s="1"/>
  <c r="U26" i="8"/>
  <c r="U127" i="8"/>
  <c r="U227" i="8"/>
  <c r="U1300" i="8"/>
  <c r="N1300" i="8" s="1"/>
  <c r="U280" i="8"/>
  <c r="U1148" i="8"/>
  <c r="N1148" i="8" s="1"/>
  <c r="U331" i="8"/>
  <c r="U790" i="8"/>
  <c r="U381" i="8"/>
  <c r="U1401" i="8"/>
  <c r="N1401" i="8" s="1"/>
  <c r="U128" i="8"/>
  <c r="U587" i="8"/>
  <c r="U1248" i="8"/>
  <c r="N1248" i="8" s="1"/>
  <c r="U841" i="8"/>
  <c r="U638" i="8"/>
  <c r="U1351" i="8"/>
  <c r="N1351" i="8" s="1"/>
  <c r="U891" i="8"/>
  <c r="U77" i="8"/>
  <c r="U228" i="8"/>
  <c r="U1097" i="8"/>
  <c r="U738" i="8"/>
  <c r="U1502" i="8"/>
  <c r="N1502" i="8" s="1"/>
  <c r="U688" i="8"/>
  <c r="U482" i="8"/>
  <c r="U1452" i="8"/>
  <c r="N1452" i="8" s="1"/>
  <c r="U992" i="8"/>
  <c r="U537" i="8"/>
  <c r="U1402" i="8"/>
  <c r="N1402" i="8" s="1"/>
  <c r="U178" i="8"/>
  <c r="U27" i="8"/>
  <c r="U1047" i="8"/>
  <c r="U1198" i="8"/>
  <c r="N1198" i="8" s="1"/>
  <c r="U892" i="8"/>
  <c r="U791" i="8"/>
  <c r="U432" i="8"/>
  <c r="U1301" i="8"/>
  <c r="N1301" i="8" s="1"/>
  <c r="U942" i="8"/>
  <c r="U281" i="8"/>
  <c r="U382" i="8"/>
  <c r="U1509" i="8"/>
  <c r="N1509" i="8" s="1"/>
  <c r="U1154" i="8"/>
  <c r="N1154" i="8" s="1"/>
  <c r="U1408" i="8"/>
  <c r="N1408" i="8" s="1"/>
  <c r="U1255" i="8"/>
  <c r="N1255" i="8" s="1"/>
  <c r="U1103" i="8"/>
  <c r="U1307" i="8"/>
  <c r="N1307" i="8" s="1"/>
  <c r="U134" i="8"/>
  <c r="U338" i="8"/>
  <c r="U1358" i="8"/>
  <c r="N1358" i="8" s="1"/>
  <c r="U83" i="8"/>
  <c r="U999" i="8"/>
  <c r="U388" i="8"/>
  <c r="U644" i="8"/>
  <c r="U848" i="8"/>
  <c r="U489" i="8"/>
  <c r="U745" i="8"/>
  <c r="U543" i="8"/>
  <c r="U33" i="8"/>
  <c r="U1053" i="8"/>
  <c r="U593" i="8"/>
  <c r="U898" i="8"/>
  <c r="U235" i="8"/>
  <c r="U797" i="8"/>
  <c r="U287" i="8"/>
  <c r="U1205" i="8"/>
  <c r="N1205" i="8" s="1"/>
  <c r="U899" i="8"/>
  <c r="U84" i="8"/>
  <c r="U1510" i="8"/>
  <c r="N1510" i="8" s="1"/>
  <c r="U1459" i="8"/>
  <c r="N1459" i="8" s="1"/>
  <c r="U645" i="8"/>
  <c r="U1155" i="8"/>
  <c r="N1155" i="8" s="1"/>
  <c r="U439" i="8"/>
  <c r="U949" i="8"/>
  <c r="U490" i="8"/>
  <c r="U1409" i="8"/>
  <c r="N1409" i="8" s="1"/>
  <c r="U135" i="8"/>
  <c r="U594" i="8"/>
  <c r="U695" i="8"/>
  <c r="U1000" i="8"/>
  <c r="U1104" i="8"/>
  <c r="U185" i="8"/>
  <c r="U389" i="8"/>
  <c r="U90" i="8"/>
  <c r="U1059" i="8"/>
  <c r="U651" i="8"/>
  <c r="U1415" i="8"/>
  <c r="N1415" i="8" s="1"/>
  <c r="U1161" i="8"/>
  <c r="N1161" i="8" s="1"/>
  <c r="U905" i="8"/>
  <c r="U1516" i="8"/>
  <c r="N1516" i="8" s="1"/>
  <c r="U956" i="8"/>
  <c r="U242" i="8"/>
  <c r="U1466" i="8"/>
  <c r="N1466" i="8" s="1"/>
  <c r="U141" i="8"/>
  <c r="U395" i="8"/>
  <c r="U39" i="8"/>
  <c r="U701" i="8"/>
  <c r="U446" i="8"/>
  <c r="U1211" i="8"/>
  <c r="N1211" i="8" s="1"/>
  <c r="U752" i="8"/>
  <c r="U600" i="8"/>
  <c r="U1262" i="8"/>
  <c r="N1262" i="8" s="1"/>
  <c r="U1110" i="8"/>
  <c r="U1006" i="8"/>
  <c r="U191" i="8"/>
  <c r="U496" i="8"/>
  <c r="U549" i="8"/>
  <c r="U702" i="8"/>
  <c r="U396" i="8"/>
  <c r="U1416" i="8"/>
  <c r="N1416" i="8" s="1"/>
  <c r="U1007" i="8"/>
  <c r="U497" i="8"/>
  <c r="U1517" i="8"/>
  <c r="N1517" i="8" s="1"/>
  <c r="U855" i="8"/>
  <c r="U550" i="8"/>
  <c r="U40" i="8"/>
  <c r="U192" i="8"/>
  <c r="U1365" i="8"/>
  <c r="N1365" i="8" s="1"/>
  <c r="U1060" i="8"/>
  <c r="U1314" i="8"/>
  <c r="N1314" i="8" s="1"/>
  <c r="U294" i="8"/>
  <c r="U804" i="8"/>
  <c r="U345" i="8"/>
  <c r="U1212" i="8"/>
  <c r="N1212" i="8" s="1"/>
  <c r="U906" i="8"/>
  <c r="U1518" i="8"/>
  <c r="N1518" i="8" s="1"/>
  <c r="U1162" i="8"/>
  <c r="N1162" i="8" s="1"/>
  <c r="U753" i="8"/>
  <c r="U1467" i="8"/>
  <c r="N1467" i="8" s="1"/>
  <c r="U957" i="8"/>
  <c r="U243" i="8"/>
  <c r="U1263" i="8"/>
  <c r="N1263" i="8" s="1"/>
  <c r="U805" i="8"/>
  <c r="U295" i="8"/>
  <c r="U1111" i="8"/>
  <c r="U142" i="8"/>
  <c r="U346" i="8"/>
  <c r="U1366" i="8"/>
  <c r="N1366" i="8" s="1"/>
  <c r="U703" i="8"/>
  <c r="U447" i="8"/>
  <c r="U1315" i="8"/>
  <c r="N1315" i="8" s="1"/>
  <c r="U193" i="8"/>
  <c r="U652" i="8"/>
  <c r="U1213" i="8"/>
  <c r="N1213" i="8" s="1"/>
  <c r="U91" i="8"/>
  <c r="U1008" i="8"/>
  <c r="U498" i="8"/>
  <c r="U601" i="8"/>
  <c r="U856" i="8"/>
  <c r="U1163" i="8"/>
  <c r="N1163" i="8" s="1"/>
  <c r="U448" i="8"/>
  <c r="U958" i="8"/>
  <c r="U551" i="8"/>
  <c r="U1417" i="8"/>
  <c r="N1417" i="8" s="1"/>
  <c r="U143" i="8"/>
  <c r="U602" i="8"/>
  <c r="U1468" i="8"/>
  <c r="N1468" i="8" s="1"/>
  <c r="U754" i="8"/>
  <c r="U653" i="8"/>
  <c r="U41" i="8"/>
  <c r="U1061" i="8"/>
  <c r="U92" i="8"/>
  <c r="U397" i="8"/>
  <c r="U1264" i="8"/>
  <c r="N1264" i="8" s="1"/>
  <c r="U1112" i="8"/>
  <c r="U907" i="8"/>
  <c r="U244" i="8"/>
  <c r="U806" i="8"/>
  <c r="U245" i="8"/>
  <c r="U1519" i="8"/>
  <c r="N1519" i="8" s="1"/>
  <c r="U704" i="8"/>
  <c r="U296" i="8"/>
  <c r="U1418" i="8"/>
  <c r="N1418" i="8" s="1"/>
  <c r="U1009" i="8"/>
  <c r="U347" i="8"/>
  <c r="U42" i="8"/>
  <c r="U857" i="8"/>
  <c r="U398" i="8"/>
  <c r="U1265" i="8"/>
  <c r="N1265" i="8" s="1"/>
  <c r="U194" i="8"/>
  <c r="U499" i="8"/>
  <c r="U1316" i="8"/>
  <c r="N1316" i="8" s="1"/>
  <c r="U908" i="8"/>
  <c r="U1062" i="8"/>
  <c r="U552" i="8"/>
  <c r="U1214" i="8"/>
  <c r="N1214" i="8" s="1"/>
  <c r="U1367" i="8"/>
  <c r="N1367" i="8" s="1"/>
  <c r="U755" i="8"/>
  <c r="U1215" i="8"/>
  <c r="N1215" i="8" s="1"/>
  <c r="U1010" i="8"/>
  <c r="U654" i="8"/>
  <c r="U93" i="8"/>
  <c r="U858" i="8"/>
  <c r="U1317" i="8"/>
  <c r="N1317" i="8" s="1"/>
  <c r="U195" i="8"/>
  <c r="U1164" i="8"/>
  <c r="N1164" i="8" s="1"/>
  <c r="U297" i="8"/>
  <c r="U1469" i="8"/>
  <c r="N1469" i="8" s="1"/>
  <c r="U959" i="8"/>
  <c r="U348" i="8"/>
  <c r="U1113" i="8"/>
  <c r="U144" i="8"/>
  <c r="U500" i="8"/>
  <c r="U1368" i="8"/>
  <c r="N1368" i="8" s="1"/>
  <c r="U705" i="8"/>
  <c r="U603" i="8"/>
  <c r="U449" i="8"/>
  <c r="U1520" i="8"/>
  <c r="N1520" i="8" s="1"/>
  <c r="U807" i="8"/>
  <c r="U99" i="8"/>
  <c r="U201" i="8"/>
  <c r="U456" i="8"/>
  <c r="U1425" i="8"/>
  <c r="N1425" i="8" s="1"/>
  <c r="U1323" i="8"/>
  <c r="N1323" i="8" s="1"/>
  <c r="U762" i="8"/>
  <c r="U558" i="8"/>
  <c r="U1476" i="8"/>
  <c r="N1476" i="8" s="1"/>
  <c r="U1170" i="8"/>
  <c r="N1170" i="8" s="1"/>
  <c r="U1068" i="8"/>
  <c r="U609" i="8"/>
  <c r="U48" i="8"/>
  <c r="U966" i="8"/>
  <c r="U915" i="8"/>
  <c r="U660" i="8"/>
  <c r="U1272" i="8"/>
  <c r="N1272" i="8" s="1"/>
  <c r="U813" i="8"/>
  <c r="U252" i="8"/>
  <c r="U1374" i="8"/>
  <c r="N1374" i="8" s="1"/>
  <c r="U711" i="8"/>
  <c r="U354" i="8"/>
  <c r="U1221" i="8"/>
  <c r="N1221" i="8" s="1"/>
  <c r="U864" i="8"/>
  <c r="U405" i="8"/>
  <c r="U150" i="8"/>
  <c r="U303" i="8"/>
  <c r="U1119" i="8"/>
  <c r="N1119" i="8" s="1"/>
  <c r="U1120" i="8"/>
  <c r="N1120" i="8" s="1"/>
  <c r="U610" i="8"/>
  <c r="U100" i="8"/>
  <c r="U661" i="8"/>
  <c r="U1527" i="8"/>
  <c r="N1527" i="8" s="1"/>
  <c r="U1171" i="8"/>
  <c r="N1171" i="8" s="1"/>
  <c r="U151" i="8"/>
  <c r="U1017" i="8"/>
  <c r="U49" i="8"/>
  <c r="U559" i="8"/>
  <c r="U1069" i="8"/>
  <c r="U507" i="8"/>
  <c r="U1235" i="8"/>
  <c r="N1235" i="8" s="1"/>
  <c r="U778" i="8"/>
  <c r="U879" i="8"/>
  <c r="U626" i="8"/>
  <c r="U15" i="8"/>
  <c r="U116" i="8"/>
  <c r="U215" i="8"/>
  <c r="U1085" i="8"/>
  <c r="U675" i="8"/>
  <c r="U268" i="8"/>
  <c r="U1339" i="8"/>
  <c r="N1339" i="8" s="1"/>
  <c r="U978" i="8"/>
  <c r="U319" i="8"/>
  <c r="U1185" i="8"/>
  <c r="N1185" i="8" s="1"/>
  <c r="U829" i="8"/>
  <c r="U369" i="8"/>
  <c r="U1389" i="8"/>
  <c r="N1389" i="8" s="1"/>
  <c r="U1136" i="8"/>
  <c r="N1136" i="8" s="1"/>
  <c r="U1035" i="8"/>
  <c r="U575" i="8"/>
  <c r="U65" i="8"/>
  <c r="U1288" i="8"/>
  <c r="N1288" i="8" s="1"/>
  <c r="U165" i="8"/>
  <c r="U725" i="8"/>
  <c r="U468" i="8"/>
  <c r="U1488" i="8"/>
  <c r="N1488" i="8" s="1"/>
  <c r="U525" i="8"/>
  <c r="U1489" i="8"/>
  <c r="N1489" i="8" s="1"/>
  <c r="U979" i="8"/>
  <c r="U1439" i="8"/>
  <c r="N1439" i="8" s="1"/>
  <c r="U166" i="8"/>
  <c r="U1236" i="8"/>
  <c r="N1236" i="8" s="1"/>
  <c r="U726" i="8"/>
  <c r="U1186" i="8"/>
  <c r="N1186" i="8" s="1"/>
  <c r="U216" i="8"/>
  <c r="U1289" i="8"/>
  <c r="N1289" i="8" s="1"/>
  <c r="U269" i="8"/>
  <c r="U676" i="8"/>
  <c r="U929" i="8"/>
  <c r="U779" i="8"/>
  <c r="U419" i="8"/>
  <c r="U469" i="8"/>
  <c r="U1086" i="8"/>
  <c r="U1036" i="8"/>
  <c r="U627" i="8"/>
  <c r="U1340" i="8"/>
  <c r="N1340" i="8" s="1"/>
  <c r="U880" i="8"/>
  <c r="U66" i="8"/>
  <c r="U320" i="8"/>
  <c r="U1137" i="8"/>
  <c r="N1137" i="8" s="1"/>
  <c r="U370" i="8"/>
  <c r="U1490" i="8"/>
  <c r="N1490" i="8" s="1"/>
  <c r="U930" i="8"/>
  <c r="U420" i="8"/>
  <c r="U16" i="8"/>
  <c r="U830" i="8"/>
  <c r="U576" i="8"/>
  <c r="U117" i="8"/>
  <c r="U980" i="8"/>
  <c r="U470" i="8"/>
  <c r="U526" i="8"/>
  <c r="U1440" i="8"/>
  <c r="N1440" i="8" s="1"/>
  <c r="U1390" i="8"/>
  <c r="N1390" i="8" s="1"/>
  <c r="U1237" i="8"/>
  <c r="N1237" i="8" s="1"/>
  <c r="U931" i="8"/>
  <c r="U881" i="8"/>
  <c r="U628" i="8"/>
  <c r="U17" i="8"/>
  <c r="N17" i="8" s="1"/>
  <c r="U780" i="8"/>
  <c r="U217" i="8"/>
  <c r="U1087" i="8"/>
  <c r="U118" i="8"/>
  <c r="U270" i="8"/>
  <c r="U1341" i="8"/>
  <c r="N1341" i="8" s="1"/>
  <c r="U677" i="8"/>
  <c r="U321" i="8"/>
  <c r="U1187" i="8"/>
  <c r="N1187" i="8" s="1"/>
  <c r="U831" i="8"/>
  <c r="U371" i="8"/>
  <c r="U1391" i="8"/>
  <c r="N1391" i="8" s="1"/>
  <c r="U1138" i="8"/>
  <c r="N1138" i="8" s="1"/>
  <c r="U1037" i="8"/>
  <c r="U577" i="8"/>
  <c r="U527" i="8"/>
  <c r="U727" i="8"/>
  <c r="U1441" i="8"/>
  <c r="N1441" i="8" s="1"/>
  <c r="U67" i="8"/>
  <c r="U1290" i="8"/>
  <c r="N1290" i="8" s="1"/>
  <c r="U421" i="8"/>
  <c r="U167" i="8"/>
  <c r="U1447" i="8"/>
  <c r="N1447" i="8" s="1"/>
  <c r="U786" i="8"/>
  <c r="U427" i="8"/>
  <c r="U1397" i="8"/>
  <c r="N1397" i="8" s="1"/>
  <c r="U124" i="8"/>
  <c r="U477" i="8"/>
  <c r="U1093" i="8"/>
  <c r="U987" i="8"/>
  <c r="U583" i="8"/>
  <c r="U1347" i="8"/>
  <c r="N1347" i="8" s="1"/>
  <c r="U837" i="8"/>
  <c r="U634" i="8"/>
  <c r="U73" i="8"/>
  <c r="U887" i="8"/>
  <c r="U1497" i="8"/>
  <c r="N1497" i="8" s="1"/>
  <c r="U937" i="8"/>
  <c r="U377" i="8"/>
  <c r="U1296" i="8"/>
  <c r="N1296" i="8" s="1"/>
  <c r="U1144" i="8"/>
  <c r="N1144" i="8" s="1"/>
  <c r="U276" i="8"/>
  <c r="U327" i="8"/>
  <c r="U1398" i="8"/>
  <c r="N1398" i="8" s="1"/>
  <c r="U988" i="8"/>
  <c r="U428" i="8"/>
  <c r="U23" i="8"/>
  <c r="U174" i="8"/>
  <c r="U478" i="8"/>
  <c r="U1244" i="8"/>
  <c r="N1244" i="8" s="1"/>
  <c r="U734" i="8"/>
  <c r="U533" i="8"/>
  <c r="U1194" i="8"/>
  <c r="N1194" i="8" s="1"/>
  <c r="U1043" i="8"/>
  <c r="U1297" i="8"/>
  <c r="N1297" i="8" s="1"/>
  <c r="U888" i="8"/>
  <c r="U1448" i="8"/>
  <c r="N1448" i="8" s="1"/>
  <c r="U684" i="8"/>
  <c r="U378" i="8"/>
  <c r="U938" i="8"/>
  <c r="U787" i="8"/>
  <c r="U224" i="8"/>
  <c r="U277" i="8"/>
  <c r="U1498" i="8"/>
  <c r="N1498" i="8" s="1"/>
  <c r="U1354" i="8"/>
  <c r="N1354" i="8" s="1"/>
  <c r="U690" i="8"/>
  <c r="U434" i="8"/>
  <c r="U1200" i="8"/>
  <c r="N1200" i="8" s="1"/>
  <c r="U844" i="8"/>
  <c r="U539" i="8"/>
  <c r="U79" i="8"/>
  <c r="U180" i="8"/>
  <c r="U589" i="8"/>
  <c r="U1303" i="8"/>
  <c r="N1303" i="8" s="1"/>
  <c r="U1049" i="8"/>
  <c r="U640" i="8"/>
  <c r="U1454" i="8"/>
  <c r="N1454" i="8" s="1"/>
  <c r="U1150" i="8"/>
  <c r="N1150" i="8" s="1"/>
  <c r="U894" i="8"/>
  <c r="U29" i="8"/>
  <c r="U793" i="8"/>
  <c r="U334" i="8"/>
  <c r="U1099" i="8"/>
  <c r="U130" i="8"/>
  <c r="U384" i="8"/>
  <c r="U1404" i="8"/>
  <c r="N1404" i="8" s="1"/>
  <c r="U944" i="8"/>
  <c r="U283" i="8"/>
  <c r="U1201" i="8"/>
  <c r="N1201" i="8" s="1"/>
  <c r="U741" i="8"/>
  <c r="U80" i="8"/>
  <c r="U895" i="8"/>
  <c r="U1151" i="8"/>
  <c r="N1151" i="8" s="1"/>
  <c r="U231" i="8"/>
  <c r="U1505" i="8"/>
  <c r="N1505" i="8" s="1"/>
  <c r="U945" i="8"/>
  <c r="U385" i="8"/>
  <c r="U1455" i="8"/>
  <c r="N1455" i="8" s="1"/>
  <c r="U131" i="8"/>
  <c r="U435" i="8"/>
  <c r="U1100" i="8"/>
  <c r="U181" i="8"/>
  <c r="U641" i="8"/>
  <c r="U691" i="8"/>
  <c r="U995" i="8"/>
  <c r="U485" i="8"/>
  <c r="U590" i="8"/>
  <c r="U1405" i="8"/>
  <c r="N1405" i="8" s="1"/>
  <c r="U1251" i="8"/>
  <c r="N1251" i="8" s="1"/>
  <c r="U30" i="8"/>
  <c r="U996" i="8"/>
  <c r="U436" i="8"/>
  <c r="U1252" i="8"/>
  <c r="N1252" i="8" s="1"/>
  <c r="U845" i="8"/>
  <c r="U486" i="8"/>
  <c r="U1355" i="8"/>
  <c r="N1355" i="8" s="1"/>
  <c r="U182" i="8"/>
  <c r="U540" i="8"/>
  <c r="U1202" i="8"/>
  <c r="N1202" i="8" s="1"/>
  <c r="U742" i="8"/>
  <c r="U1304" i="8"/>
  <c r="N1304" i="8" s="1"/>
  <c r="U1050" i="8"/>
  <c r="U1456" i="8"/>
  <c r="N1456" i="8" s="1"/>
  <c r="U692" i="8"/>
  <c r="U335" i="8"/>
  <c r="U284" i="8"/>
  <c r="U794" i="8"/>
  <c r="U1506" i="8"/>
  <c r="N1506" i="8" s="1"/>
  <c r="U946" i="8"/>
  <c r="U232" i="8"/>
  <c r="U1305" i="8"/>
  <c r="N1305" i="8" s="1"/>
  <c r="U896" i="8"/>
  <c r="U642" i="8"/>
  <c r="U1507" i="8"/>
  <c r="N1507" i="8" s="1"/>
  <c r="U1152" i="8"/>
  <c r="N1152" i="8" s="1"/>
  <c r="U233" i="8"/>
  <c r="U1406" i="8"/>
  <c r="N1406" i="8" s="1"/>
  <c r="U795" i="8"/>
  <c r="U285" i="8"/>
  <c r="U31" i="8"/>
  <c r="U132" i="8"/>
  <c r="U336" i="8"/>
  <c r="U1253" i="8"/>
  <c r="N1253" i="8" s="1"/>
  <c r="U997" i="8"/>
  <c r="U386" i="8"/>
  <c r="U81" i="8"/>
  <c r="U1051" i="8"/>
  <c r="U591" i="8"/>
  <c r="U846" i="8"/>
  <c r="U743" i="8"/>
  <c r="U487" i="8"/>
  <c r="U541" i="8"/>
  <c r="U1101" i="8"/>
  <c r="U1356" i="8"/>
  <c r="N1356" i="8" s="1"/>
  <c r="U1153" i="8"/>
  <c r="N1153" i="8" s="1"/>
  <c r="U592" i="8"/>
  <c r="U947" i="8"/>
  <c r="U643" i="8"/>
  <c r="U133" i="8"/>
  <c r="U1457" i="8"/>
  <c r="N1457" i="8" s="1"/>
  <c r="U693" i="8"/>
  <c r="U1407" i="8"/>
  <c r="N1407" i="8" s="1"/>
  <c r="U183" i="8"/>
  <c r="U82" i="8"/>
  <c r="U437" i="8"/>
  <c r="U1102" i="8"/>
  <c r="U897" i="8"/>
  <c r="U387" i="8"/>
  <c r="U1203" i="8"/>
  <c r="N1203" i="8" s="1"/>
  <c r="U1254" i="8"/>
  <c r="N1254" i="8" s="1"/>
  <c r="U847" i="8"/>
  <c r="U488" i="8"/>
  <c r="U1357" i="8"/>
  <c r="N1357" i="8" s="1"/>
  <c r="U184" i="8"/>
  <c r="U542" i="8"/>
  <c r="U1204" i="8"/>
  <c r="N1204" i="8" s="1"/>
  <c r="U744" i="8"/>
  <c r="U1306" i="8"/>
  <c r="N1306" i="8" s="1"/>
  <c r="U1052" i="8"/>
  <c r="U948" i="8"/>
  <c r="U234" i="8"/>
  <c r="U1458" i="8"/>
  <c r="N1458" i="8" s="1"/>
  <c r="U694" i="8"/>
  <c r="U337" i="8"/>
  <c r="U32" i="8"/>
  <c r="U998" i="8"/>
  <c r="U438" i="8"/>
  <c r="U796" i="8"/>
  <c r="U286" i="8"/>
  <c r="U1508" i="8"/>
  <c r="N1508" i="8" s="1"/>
  <c r="U954" i="8"/>
  <c r="U292" i="8"/>
  <c r="U1414" i="8"/>
  <c r="N1414" i="8" s="1"/>
  <c r="U802" i="8"/>
  <c r="U343" i="8"/>
  <c r="U1515" i="8"/>
  <c r="N1515" i="8" s="1"/>
  <c r="U700" i="8"/>
  <c r="U394" i="8"/>
  <c r="U1464" i="8"/>
  <c r="N1464" i="8" s="1"/>
  <c r="U1005" i="8"/>
  <c r="U444" i="8"/>
  <c r="U38" i="8"/>
  <c r="U853" i="8"/>
  <c r="U495" i="8"/>
  <c r="U1312" i="8"/>
  <c r="N1312" i="8" s="1"/>
  <c r="U904" i="8"/>
  <c r="U190" i="8"/>
  <c r="U1058" i="8"/>
  <c r="U548" i="8"/>
  <c r="U1363" i="8"/>
  <c r="N1363" i="8" s="1"/>
  <c r="U1210" i="8"/>
  <c r="N1210" i="8" s="1"/>
  <c r="U89" i="8"/>
  <c r="U241" i="8"/>
  <c r="U1313" i="8"/>
  <c r="N1313" i="8" s="1"/>
  <c r="U293" i="8"/>
  <c r="U1160" i="8"/>
  <c r="N1160" i="8" s="1"/>
  <c r="U344" i="8"/>
  <c r="U955" i="8"/>
  <c r="U445" i="8"/>
  <c r="U1465" i="8"/>
  <c r="N1465" i="8" s="1"/>
  <c r="U803" i="8"/>
  <c r="U599" i="8"/>
  <c r="U1364" i="8"/>
  <c r="N1364" i="8" s="1"/>
  <c r="U751" i="8"/>
  <c r="U1109" i="8"/>
  <c r="U140" i="8"/>
  <c r="U854" i="8"/>
  <c r="U650" i="8"/>
  <c r="U1261" i="8"/>
  <c r="N1261" i="8" s="1"/>
  <c r="U44" i="8"/>
  <c r="U146" i="8"/>
  <c r="U350" i="8"/>
  <c r="U1115" i="8"/>
  <c r="U707" i="8"/>
  <c r="U401" i="8"/>
  <c r="U1370" i="8"/>
  <c r="N1370" i="8" s="1"/>
  <c r="U1012" i="8"/>
  <c r="U502" i="8"/>
  <c r="U1217" i="8"/>
  <c r="N1217" i="8" s="1"/>
  <c r="U860" i="8"/>
  <c r="U554" i="8"/>
  <c r="U95" i="8"/>
  <c r="U197" i="8"/>
  <c r="U605" i="8"/>
  <c r="U1421" i="8"/>
  <c r="N1421" i="8" s="1"/>
  <c r="U809" i="8"/>
  <c r="U299" i="8"/>
  <c r="U1522" i="8"/>
  <c r="N1522" i="8" s="1"/>
  <c r="U1319" i="8"/>
  <c r="N1319" i="8" s="1"/>
  <c r="U1166" i="8"/>
  <c r="N1166" i="8" s="1"/>
  <c r="U1064" i="8"/>
  <c r="U656" i="8"/>
  <c r="U911" i="8"/>
  <c r="U1427" i="8"/>
  <c r="N1427" i="8" s="1"/>
  <c r="U101" i="8"/>
  <c r="U866" i="8"/>
  <c r="U407" i="8"/>
  <c r="U1529" i="8"/>
  <c r="N1529" i="8" s="1"/>
  <c r="U1325" i="8"/>
  <c r="N1325" i="8" s="1"/>
  <c r="U203" i="8"/>
  <c r="U458" i="8"/>
  <c r="U1478" i="8"/>
  <c r="N1478" i="8" s="1"/>
  <c r="U1172" i="8"/>
  <c r="N1172" i="8" s="1"/>
  <c r="U764" i="8"/>
  <c r="U509" i="8"/>
  <c r="U50" i="8"/>
  <c r="U968" i="8"/>
  <c r="U1070" i="8"/>
  <c r="U560" i="8"/>
  <c r="U1274" i="8"/>
  <c r="N1274" i="8" s="1"/>
  <c r="U815" i="8"/>
  <c r="U917" i="8"/>
  <c r="U611" i="8"/>
  <c r="U1223" i="8"/>
  <c r="N1223" i="8" s="1"/>
  <c r="U1019" i="8"/>
  <c r="U356" i="8"/>
  <c r="U254" i="8"/>
  <c r="U305" i="8"/>
  <c r="U662" i="8"/>
  <c r="U1121" i="8"/>
  <c r="N1121" i="8" s="1"/>
  <c r="U152" i="8"/>
  <c r="U713" i="8"/>
  <c r="U1376" i="8"/>
  <c r="N1376" i="8" s="1"/>
  <c r="U1422" i="8"/>
  <c r="N1422" i="8" s="1"/>
  <c r="U810" i="8"/>
  <c r="U300" i="8"/>
  <c r="U1524" i="8"/>
  <c r="N1524" i="8" s="1"/>
  <c r="U708" i="8"/>
  <c r="U351" i="8"/>
  <c r="U1473" i="8"/>
  <c r="N1473" i="8" s="1"/>
  <c r="U1014" i="8"/>
  <c r="U402" i="8"/>
  <c r="U1269" i="8"/>
  <c r="N1269" i="8" s="1"/>
  <c r="U861" i="8"/>
  <c r="U453" i="8"/>
  <c r="U1371" i="8"/>
  <c r="N1371" i="8" s="1"/>
  <c r="U198" i="8"/>
  <c r="U504" i="8"/>
  <c r="U963" i="8"/>
  <c r="U249" i="8"/>
  <c r="U1218" i="8"/>
  <c r="N1218" i="8" s="1"/>
  <c r="U1320" i="8"/>
  <c r="N1320" i="8" s="1"/>
  <c r="U759" i="8"/>
  <c r="U912" i="8"/>
  <c r="U1372" i="8"/>
  <c r="N1372" i="8" s="1"/>
  <c r="U862" i="8"/>
  <c r="U403" i="8"/>
  <c r="U1219" i="8"/>
  <c r="N1219" i="8" s="1"/>
  <c r="U199" i="8"/>
  <c r="U556" i="8"/>
  <c r="U97" i="8"/>
  <c r="U760" i="8"/>
  <c r="U607" i="8"/>
  <c r="U1321" i="8"/>
  <c r="N1321" i="8" s="1"/>
  <c r="U1066" i="8"/>
  <c r="U658" i="8"/>
  <c r="U1423" i="8"/>
  <c r="N1423" i="8" s="1"/>
  <c r="U1168" i="8"/>
  <c r="N1168" i="8" s="1"/>
  <c r="U913" i="8"/>
  <c r="U1117" i="8"/>
  <c r="U709" i="8"/>
  <c r="U352" i="8"/>
  <c r="U46" i="8"/>
  <c r="U250" i="8"/>
  <c r="U1270" i="8"/>
  <c r="N1270" i="8" s="1"/>
  <c r="U811" i="8"/>
  <c r="U148" i="8"/>
  <c r="U301" i="8"/>
  <c r="U964" i="8"/>
  <c r="U659" i="8"/>
  <c r="U149" i="8"/>
  <c r="U1525" i="8"/>
  <c r="N1525" i="8" s="1"/>
  <c r="U1015" i="8"/>
  <c r="U1474" i="8"/>
  <c r="N1474" i="8" s="1"/>
  <c r="U1067" i="8"/>
  <c r="U47" i="8"/>
  <c r="U454" i="8"/>
  <c r="U1169" i="8"/>
  <c r="N1169" i="8" s="1"/>
  <c r="U608" i="8"/>
  <c r="U1118" i="8"/>
  <c r="U505" i="8"/>
  <c r="U557" i="8"/>
  <c r="U98" i="8"/>
  <c r="U1322" i="8"/>
  <c r="N1322" i="8" s="1"/>
  <c r="U914" i="8"/>
  <c r="U965" i="8"/>
  <c r="U251" i="8"/>
  <c r="U1475" i="8"/>
  <c r="N1475" i="8" s="1"/>
  <c r="U812" i="8"/>
  <c r="U302" i="8"/>
  <c r="U1526" i="8"/>
  <c r="N1526" i="8" s="1"/>
  <c r="U710" i="8"/>
  <c r="U353" i="8"/>
  <c r="U1424" i="8"/>
  <c r="N1424" i="8" s="1"/>
  <c r="U1016" i="8"/>
  <c r="U404" i="8"/>
  <c r="U1220" i="8"/>
  <c r="N1220" i="8" s="1"/>
  <c r="U761" i="8"/>
  <c r="U455" i="8"/>
  <c r="U506" i="8"/>
  <c r="U1271" i="8"/>
  <c r="N1271" i="8" s="1"/>
  <c r="U863" i="8"/>
  <c r="U200" i="8"/>
  <c r="U1373" i="8"/>
  <c r="N1373" i="8" s="1"/>
  <c r="U96" i="8"/>
  <c r="U452" i="8"/>
  <c r="U1167" i="8"/>
  <c r="N1167" i="8" s="1"/>
  <c r="U503" i="8"/>
  <c r="U962" i="8"/>
  <c r="U555" i="8"/>
  <c r="U1472" i="8"/>
  <c r="N1472" i="8" s="1"/>
  <c r="U147" i="8"/>
  <c r="U606" i="8"/>
  <c r="U1523" i="8"/>
  <c r="N1523" i="8" s="1"/>
  <c r="U1013" i="8"/>
  <c r="U657" i="8"/>
  <c r="U1116" i="8"/>
  <c r="U248" i="8"/>
  <c r="U758" i="8"/>
  <c r="U1065" i="8"/>
  <c r="U45" i="8"/>
  <c r="U1268" i="8"/>
  <c r="N1268" i="8" s="1"/>
  <c r="U1140" i="8"/>
  <c r="N1140" i="8" s="1"/>
  <c r="U323" i="8"/>
  <c r="U1493" i="8"/>
  <c r="N1493" i="8" s="1"/>
  <c r="U933" i="8"/>
  <c r="U373" i="8"/>
  <c r="U1443" i="8"/>
  <c r="N1443" i="8" s="1"/>
  <c r="U782" i="8"/>
  <c r="U423" i="8"/>
  <c r="U1393" i="8"/>
  <c r="N1393" i="8" s="1"/>
  <c r="U120" i="8"/>
  <c r="U473" i="8"/>
  <c r="U1089" i="8"/>
  <c r="U983" i="8"/>
  <c r="U579" i="8"/>
  <c r="U1292" i="8"/>
  <c r="N1292" i="8" s="1"/>
  <c r="U272" i="8"/>
  <c r="U630" i="8"/>
  <c r="U1343" i="8"/>
  <c r="N1343" i="8" s="1"/>
  <c r="U833" i="8"/>
  <c r="U883" i="8"/>
  <c r="U69" i="8"/>
  <c r="U1190" i="8"/>
  <c r="N1190" i="8" s="1"/>
  <c r="U273" i="8"/>
  <c r="U1293" i="8"/>
  <c r="N1293" i="8" s="1"/>
  <c r="U529" i="8"/>
  <c r="U783" i="8"/>
  <c r="U680" i="8"/>
  <c r="U170" i="8"/>
  <c r="U1240" i="8"/>
  <c r="N1240" i="8" s="1"/>
  <c r="U220" i="8"/>
  <c r="U19" i="8"/>
  <c r="U730" i="8"/>
  <c r="U1039" i="8"/>
  <c r="U20" i="8"/>
  <c r="U121" i="8"/>
  <c r="U221" i="8"/>
  <c r="U1241" i="8"/>
  <c r="N1241" i="8" s="1"/>
  <c r="U681" i="8"/>
  <c r="U324" i="8"/>
  <c r="U1090" i="8"/>
  <c r="U984" i="8"/>
  <c r="U374" i="8"/>
  <c r="U1344" i="8"/>
  <c r="N1344" i="8" s="1"/>
  <c r="U834" i="8"/>
  <c r="U424" i="8"/>
  <c r="U1191" i="8"/>
  <c r="N1191" i="8" s="1"/>
  <c r="U171" i="8"/>
  <c r="U474" i="8"/>
  <c r="U1394" i="8"/>
  <c r="N1394" i="8" s="1"/>
  <c r="U934" i="8"/>
  <c r="U884" i="8"/>
  <c r="U631" i="8"/>
  <c r="U530" i="8"/>
  <c r="U580" i="8"/>
  <c r="U1494" i="8"/>
  <c r="N1494" i="8" s="1"/>
  <c r="U1444" i="8"/>
  <c r="N1444" i="8" s="1"/>
  <c r="U70" i="8"/>
  <c r="U731" i="8"/>
  <c r="U1040" i="8"/>
  <c r="U1141" i="8"/>
  <c r="N1141" i="8" s="1"/>
  <c r="U1091" i="8"/>
  <c r="U985" i="8"/>
  <c r="U581" i="8"/>
  <c r="U1345" i="8"/>
  <c r="N1345" i="8" s="1"/>
  <c r="U835" i="8"/>
  <c r="U632" i="8"/>
  <c r="U71" i="8"/>
  <c r="U885" i="8"/>
  <c r="U1294" i="8"/>
  <c r="N1294" i="8" s="1"/>
  <c r="U274" i="8"/>
  <c r="U1142" i="8"/>
  <c r="N1142" i="8" s="1"/>
  <c r="U325" i="8"/>
  <c r="U1395" i="8"/>
  <c r="N1395" i="8" s="1"/>
  <c r="U122" i="8"/>
  <c r="U475" i="8"/>
  <c r="U375" i="8"/>
  <c r="U425" i="8"/>
  <c r="U1495" i="8"/>
  <c r="N1495" i="8" s="1"/>
  <c r="U935" i="8"/>
  <c r="U784" i="8"/>
  <c r="U1445" i="8"/>
  <c r="N1445" i="8" s="1"/>
  <c r="U1242" i="8"/>
  <c r="N1242" i="8" s="1"/>
  <c r="U732" i="8"/>
  <c r="U531" i="8"/>
  <c r="U1192" i="8"/>
  <c r="N1192" i="8" s="1"/>
  <c r="U1041" i="8"/>
  <c r="U1295" i="8"/>
  <c r="N1295" i="8" s="1"/>
  <c r="U886" i="8"/>
  <c r="U936" i="8"/>
  <c r="U222" i="8"/>
  <c r="U1496" i="8"/>
  <c r="N1496" i="8" s="1"/>
  <c r="U785" i="8"/>
  <c r="U275" i="8"/>
  <c r="U21" i="8"/>
  <c r="U172" i="8"/>
  <c r="U476" i="8"/>
  <c r="U1396" i="8"/>
  <c r="N1396" i="8" s="1"/>
  <c r="U682" i="8"/>
  <c r="U986" i="8"/>
  <c r="U376" i="8"/>
  <c r="U426" i="8"/>
  <c r="U1446" i="8"/>
  <c r="N1446" i="8" s="1"/>
  <c r="U1346" i="8"/>
  <c r="N1346" i="8" s="1"/>
  <c r="U733" i="8"/>
  <c r="U1193" i="8"/>
  <c r="N1193" i="8" s="1"/>
  <c r="U1042" i="8"/>
  <c r="U72" i="8"/>
  <c r="U223" i="8"/>
  <c r="U1143" i="8"/>
  <c r="N1143" i="8" s="1"/>
  <c r="U326" i="8"/>
  <c r="U123" i="8"/>
  <c r="U532" i="8"/>
  <c r="U1243" i="8"/>
  <c r="N1243" i="8" s="1"/>
  <c r="U836" i="8"/>
  <c r="U633" i="8"/>
  <c r="U1092" i="8"/>
  <c r="U173" i="8"/>
  <c r="U22" i="8"/>
  <c r="U683" i="8"/>
  <c r="U582" i="8"/>
  <c r="U1352" i="8"/>
  <c r="N1352" i="8" s="1"/>
  <c r="U842" i="8"/>
  <c r="U639" i="8"/>
  <c r="U1199" i="8"/>
  <c r="N1199" i="8" s="1"/>
  <c r="U179" i="8"/>
  <c r="U78" i="8"/>
  <c r="U739" i="8"/>
  <c r="U1149" i="8"/>
  <c r="N1149" i="8" s="1"/>
  <c r="U229" i="8"/>
  <c r="U1503" i="8"/>
  <c r="N1503" i="8" s="1"/>
  <c r="U943" i="8"/>
  <c r="U332" i="8"/>
  <c r="U1249" i="8"/>
  <c r="N1249" i="8" s="1"/>
  <c r="U689" i="8"/>
  <c r="U483" i="8"/>
  <c r="U1098" i="8"/>
  <c r="U993" i="8"/>
  <c r="U588" i="8"/>
  <c r="U433" i="8"/>
  <c r="U1453" i="8"/>
  <c r="N1453" i="8" s="1"/>
  <c r="U129" i="8"/>
  <c r="U28" i="8"/>
  <c r="U1048" i="8"/>
  <c r="U1250" i="8"/>
  <c r="N1250" i="8" s="1"/>
  <c r="U893" i="8"/>
  <c r="U1353" i="8"/>
  <c r="N1353" i="8" s="1"/>
  <c r="U1302" i="8"/>
  <c r="N1302" i="8" s="1"/>
  <c r="U282" i="8"/>
  <c r="U792" i="8"/>
  <c r="U333" i="8"/>
  <c r="U1403" i="8"/>
  <c r="N1403" i="8" s="1"/>
  <c r="U740" i="8"/>
  <c r="U538" i="8"/>
  <c r="U843" i="8"/>
  <c r="U230" i="8"/>
  <c r="U383" i="8"/>
  <c r="U484" i="8"/>
  <c r="U1504" i="8"/>
  <c r="N1504" i="8" s="1"/>
  <c r="U994" i="8"/>
  <c r="U950" i="8"/>
  <c r="U288" i="8"/>
  <c r="U798" i="8"/>
  <c r="U339" i="8"/>
  <c r="U1460" i="8"/>
  <c r="N1460" i="8" s="1"/>
  <c r="U696" i="8"/>
  <c r="U440" i="8"/>
  <c r="U746" i="8"/>
  <c r="U1206" i="8"/>
  <c r="N1206" i="8" s="1"/>
  <c r="U34" i="8"/>
  <c r="U849" i="8"/>
  <c r="U544" i="8"/>
  <c r="U1359" i="8"/>
  <c r="N1359" i="8" s="1"/>
  <c r="U1054" i="8"/>
  <c r="U1256" i="8"/>
  <c r="N1256" i="8" s="1"/>
  <c r="U186" i="8"/>
  <c r="U1308" i="8"/>
  <c r="N1308" i="8" s="1"/>
  <c r="U236" i="8"/>
  <c r="U85" i="8"/>
  <c r="U747" i="8"/>
  <c r="U491" i="8"/>
  <c r="U1410" i="8"/>
  <c r="N1410" i="8" s="1"/>
  <c r="U1309" i="8"/>
  <c r="N1309" i="8" s="1"/>
  <c r="U1055" i="8"/>
  <c r="U545" i="8"/>
  <c r="U1511" i="8"/>
  <c r="N1511" i="8" s="1"/>
  <c r="U1156" i="8"/>
  <c r="N1156" i="8" s="1"/>
  <c r="U900" i="8"/>
  <c r="U595" i="8"/>
  <c r="U1461" i="8"/>
  <c r="N1461" i="8" s="1"/>
  <c r="U951" i="8"/>
  <c r="U237" i="8"/>
  <c r="U646" i="8"/>
  <c r="U35" i="8"/>
  <c r="U799" i="8"/>
  <c r="U289" i="8"/>
  <c r="U1360" i="8"/>
  <c r="N1360" i="8" s="1"/>
  <c r="U850" i="8"/>
  <c r="U441" i="8"/>
  <c r="U1257" i="8"/>
  <c r="N1257" i="8" s="1"/>
  <c r="U1105" i="8"/>
  <c r="U136" i="8"/>
  <c r="U390" i="8"/>
  <c r="U1001" i="8"/>
  <c r="U340" i="8"/>
  <c r="N1105" i="8" l="1"/>
  <c r="N646" i="8"/>
  <c r="N545" i="8"/>
  <c r="N849" i="8"/>
  <c r="N798" i="8"/>
  <c r="N383" i="8"/>
  <c r="N282" i="8"/>
  <c r="N689" i="8"/>
  <c r="N78" i="8"/>
  <c r="N582" i="8"/>
  <c r="N532" i="8"/>
  <c r="N733" i="8"/>
  <c r="N682" i="8"/>
  <c r="N222" i="8"/>
  <c r="N375" i="8"/>
  <c r="N885" i="8"/>
  <c r="N580" i="8"/>
  <c r="N681" i="8"/>
  <c r="N730" i="8"/>
  <c r="N120" i="8"/>
  <c r="N323" i="8"/>
  <c r="N248" i="8"/>
  <c r="N555" i="8"/>
  <c r="N404" i="8"/>
  <c r="N557" i="8"/>
  <c r="N709" i="8"/>
  <c r="N607" i="8"/>
  <c r="N963" i="8"/>
  <c r="N1014" i="8"/>
  <c r="N254" i="8"/>
  <c r="N560" i="8"/>
  <c r="N458" i="8"/>
  <c r="N911" i="8"/>
  <c r="N1012" i="8"/>
  <c r="N293" i="8"/>
  <c r="N548" i="8"/>
  <c r="N444" i="8"/>
  <c r="N438" i="8"/>
  <c r="N1052" i="8"/>
  <c r="N847" i="8"/>
  <c r="N437" i="8"/>
  <c r="N947" i="8"/>
  <c r="N487" i="8"/>
  <c r="N946" i="8"/>
  <c r="N181" i="8"/>
  <c r="N231" i="8"/>
  <c r="N283" i="8"/>
  <c r="N29" i="8"/>
  <c r="N180" i="8"/>
  <c r="N684" i="8"/>
  <c r="N887" i="8"/>
  <c r="N477" i="8"/>
  <c r="N167" i="8"/>
  <c r="N1037" i="8"/>
  <c r="N881" i="8"/>
  <c r="N470" i="8"/>
  <c r="N1036" i="8"/>
  <c r="N676" i="8"/>
  <c r="N725" i="8"/>
  <c r="N369" i="8"/>
  <c r="N1085" i="8"/>
  <c r="N49" i="8"/>
  <c r="N915" i="8"/>
  <c r="N762" i="8"/>
  <c r="N807" i="8"/>
  <c r="N1113" i="8"/>
  <c r="N858" i="8"/>
  <c r="N704" i="8"/>
  <c r="N1112" i="8"/>
  <c r="N652" i="8"/>
  <c r="N1111" i="8"/>
  <c r="N1060" i="8"/>
  <c r="N1007" i="8"/>
  <c r="N191" i="8"/>
  <c r="N701" i="8"/>
  <c r="N905" i="8"/>
  <c r="N389" i="8"/>
  <c r="N490" i="8"/>
  <c r="N899" i="8"/>
  <c r="N593" i="8"/>
  <c r="N388" i="8"/>
  <c r="N942" i="8"/>
  <c r="N178" i="8"/>
  <c r="N638" i="8"/>
  <c r="N331" i="8"/>
  <c r="N26" i="8"/>
  <c r="N536" i="8"/>
  <c r="N686" i="8"/>
  <c r="N380" i="8"/>
  <c r="N176" i="8"/>
  <c r="N636" i="8"/>
  <c r="N1044" i="8"/>
  <c r="N479" i="8"/>
  <c r="N372" i="8"/>
  <c r="N932" i="8"/>
  <c r="N68" i="8"/>
  <c r="N981" i="8"/>
  <c r="N1072" i="8"/>
  <c r="N307" i="8"/>
  <c r="N459" i="8"/>
  <c r="N357" i="8"/>
  <c r="N918" i="8"/>
  <c r="N663" i="8"/>
  <c r="N1018" i="8"/>
  <c r="N196" i="8"/>
  <c r="N247" i="8"/>
  <c r="N1011" i="8"/>
  <c r="N399" i="8"/>
  <c r="N903" i="8"/>
  <c r="N494" i="8"/>
  <c r="N443" i="8"/>
  <c r="N801" i="8"/>
  <c r="N902" i="8"/>
  <c r="N86" i="8"/>
  <c r="N237" i="8"/>
  <c r="N1055" i="8"/>
  <c r="N236" i="8"/>
  <c r="N34" i="8"/>
  <c r="N288" i="8"/>
  <c r="N230" i="8"/>
  <c r="N129" i="8"/>
  <c r="N179" i="8"/>
  <c r="N683" i="8"/>
  <c r="N123" i="8"/>
  <c r="N936" i="8"/>
  <c r="N475" i="8"/>
  <c r="N71" i="8"/>
  <c r="N530" i="8"/>
  <c r="N424" i="8"/>
  <c r="N19" i="8"/>
  <c r="N273" i="8"/>
  <c r="N630" i="8"/>
  <c r="N1116" i="8"/>
  <c r="N962" i="8"/>
  <c r="N200" i="8"/>
  <c r="N1016" i="8"/>
  <c r="N251" i="8"/>
  <c r="N505" i="8"/>
  <c r="N1015" i="8"/>
  <c r="N301" i="8"/>
  <c r="N1117" i="8"/>
  <c r="N760" i="8"/>
  <c r="N504" i="8"/>
  <c r="N356" i="8"/>
  <c r="N1070" i="8"/>
  <c r="N203" i="8"/>
  <c r="N656" i="8"/>
  <c r="N605" i="8"/>
  <c r="N599" i="8"/>
  <c r="N1058" i="8"/>
  <c r="N1005" i="8"/>
  <c r="N292" i="8"/>
  <c r="N998" i="8"/>
  <c r="N82" i="8"/>
  <c r="N592" i="8"/>
  <c r="N743" i="8"/>
  <c r="N336" i="8"/>
  <c r="N742" i="8"/>
  <c r="N436" i="8"/>
  <c r="N1100" i="8"/>
  <c r="N944" i="8"/>
  <c r="N894" i="8"/>
  <c r="N79" i="8"/>
  <c r="N478" i="8"/>
  <c r="N327" i="8"/>
  <c r="N73" i="8"/>
  <c r="N124" i="8"/>
  <c r="N421" i="8"/>
  <c r="N270" i="8"/>
  <c r="N931" i="8"/>
  <c r="N980" i="8"/>
  <c r="N370" i="8"/>
  <c r="N1086" i="8"/>
  <c r="N269" i="8"/>
  <c r="N979" i="8"/>
  <c r="N165" i="8"/>
  <c r="N829" i="8"/>
  <c r="N215" i="8"/>
  <c r="N1017" i="8"/>
  <c r="N354" i="8"/>
  <c r="N966" i="8"/>
  <c r="N348" i="8"/>
  <c r="N93" i="8"/>
  <c r="N398" i="8"/>
  <c r="N602" i="8"/>
  <c r="N193" i="8"/>
  <c r="N295" i="8"/>
  <c r="N1006" i="8"/>
  <c r="N39" i="8"/>
  <c r="N185" i="8"/>
  <c r="N949" i="8"/>
  <c r="N1053" i="8"/>
  <c r="N999" i="8"/>
  <c r="N841" i="8"/>
  <c r="N840" i="8"/>
  <c r="N480" i="8"/>
  <c r="N940" i="8"/>
  <c r="N379" i="8"/>
  <c r="N736" i="8"/>
  <c r="N74" i="8"/>
  <c r="N685" i="8"/>
  <c r="N982" i="8"/>
  <c r="N728" i="8"/>
  <c r="N218" i="8"/>
  <c r="N817" i="8"/>
  <c r="N511" i="8"/>
  <c r="N409" i="8"/>
  <c r="N715" i="8"/>
  <c r="N204" i="8"/>
  <c r="N714" i="8"/>
  <c r="N51" i="8"/>
  <c r="N355" i="8"/>
  <c r="N763" i="8"/>
  <c r="N400" i="8"/>
  <c r="N145" i="8"/>
  <c r="N88" i="8"/>
  <c r="N699" i="8"/>
  <c r="N597" i="8"/>
  <c r="N442" i="8"/>
  <c r="N188" i="8"/>
  <c r="N492" i="8"/>
  <c r="N647" i="8"/>
  <c r="N441" i="8"/>
  <c r="N951" i="8"/>
  <c r="N950" i="8"/>
  <c r="N843" i="8"/>
  <c r="N332" i="8"/>
  <c r="N22" i="8"/>
  <c r="N326" i="8"/>
  <c r="N476" i="8"/>
  <c r="N886" i="8"/>
  <c r="N122" i="8"/>
  <c r="N632" i="8"/>
  <c r="N631" i="8"/>
  <c r="N834" i="8"/>
  <c r="N221" i="8"/>
  <c r="N220" i="8"/>
  <c r="N272" i="8"/>
  <c r="N423" i="8"/>
  <c r="N657" i="8"/>
  <c r="N503" i="8"/>
  <c r="N863" i="8"/>
  <c r="N965" i="8"/>
  <c r="N1118" i="8"/>
  <c r="N148" i="8"/>
  <c r="N913" i="8"/>
  <c r="N97" i="8"/>
  <c r="N198" i="8"/>
  <c r="N351" i="8"/>
  <c r="N1019" i="8"/>
  <c r="N968" i="8"/>
  <c r="N1064" i="8"/>
  <c r="N197" i="8"/>
  <c r="N401" i="8"/>
  <c r="N803" i="8"/>
  <c r="N241" i="8"/>
  <c r="N190" i="8"/>
  <c r="N954" i="8"/>
  <c r="N32" i="8"/>
  <c r="N744" i="8"/>
  <c r="N183" i="8"/>
  <c r="N846" i="8"/>
  <c r="N132" i="8"/>
  <c r="N642" i="8"/>
  <c r="N794" i="8"/>
  <c r="N996" i="8"/>
  <c r="N435" i="8"/>
  <c r="N895" i="8"/>
  <c r="N539" i="8"/>
  <c r="N888" i="8"/>
  <c r="N174" i="8"/>
  <c r="N276" i="8"/>
  <c r="N634" i="8"/>
  <c r="N118" i="8"/>
  <c r="N117" i="8"/>
  <c r="N116" i="8"/>
  <c r="N151" i="8"/>
  <c r="N711" i="8"/>
  <c r="N48" i="8"/>
  <c r="N449" i="8"/>
  <c r="N959" i="8"/>
  <c r="N654" i="8"/>
  <c r="N552" i="8"/>
  <c r="N857" i="8"/>
  <c r="N245" i="8"/>
  <c r="N397" i="8"/>
  <c r="N143" i="8"/>
  <c r="N856" i="8"/>
  <c r="N805" i="8"/>
  <c r="N906" i="8"/>
  <c r="N192" i="8"/>
  <c r="N396" i="8"/>
  <c r="N1110" i="8"/>
  <c r="N395" i="8"/>
  <c r="N1104" i="8"/>
  <c r="N439" i="8"/>
  <c r="N33" i="8"/>
  <c r="N83" i="8"/>
  <c r="N432" i="8"/>
  <c r="N537" i="8"/>
  <c r="N738" i="8"/>
  <c r="N280" i="8"/>
  <c r="N941" i="8"/>
  <c r="N637" i="8"/>
  <c r="N430" i="8"/>
  <c r="N279" i="8"/>
  <c r="N788" i="8"/>
  <c r="N584" i="8"/>
  <c r="N24" i="8"/>
  <c r="N322" i="8"/>
  <c r="N1088" i="8"/>
  <c r="N578" i="8"/>
  <c r="N472" i="8"/>
  <c r="N970" i="8"/>
  <c r="N766" i="8"/>
  <c r="N868" i="8"/>
  <c r="N867" i="8"/>
  <c r="N612" i="8"/>
  <c r="N712" i="8"/>
  <c r="N304" i="8"/>
  <c r="N910" i="8"/>
  <c r="N706" i="8"/>
  <c r="N604" i="8"/>
  <c r="N246" i="8"/>
  <c r="N598" i="8"/>
  <c r="N749" i="8"/>
  <c r="N291" i="8"/>
  <c r="N952" i="8"/>
  <c r="N36" i="8"/>
  <c r="N137" i="8"/>
  <c r="N1002" i="8"/>
  <c r="N850" i="8"/>
  <c r="N186" i="8"/>
  <c r="N746" i="8"/>
  <c r="N538" i="8"/>
  <c r="N893" i="8"/>
  <c r="N433" i="8"/>
  <c r="N943" i="8"/>
  <c r="N639" i="8"/>
  <c r="N173" i="8"/>
  <c r="N172" i="8"/>
  <c r="N835" i="8"/>
  <c r="N1040" i="8"/>
  <c r="N884" i="8"/>
  <c r="N121" i="8"/>
  <c r="N782" i="8"/>
  <c r="N1013" i="8"/>
  <c r="N353" i="8"/>
  <c r="N914" i="8"/>
  <c r="N608" i="8"/>
  <c r="N149" i="8"/>
  <c r="N811" i="8"/>
  <c r="N556" i="8"/>
  <c r="N912" i="8"/>
  <c r="N708" i="8"/>
  <c r="N713" i="8"/>
  <c r="N50" i="8"/>
  <c r="N95" i="8"/>
  <c r="N707" i="8"/>
  <c r="N650" i="8"/>
  <c r="N89" i="8"/>
  <c r="N904" i="8"/>
  <c r="N394" i="8"/>
  <c r="N337" i="8"/>
  <c r="N591" i="8"/>
  <c r="N31" i="8"/>
  <c r="N896" i="8"/>
  <c r="N284" i="8"/>
  <c r="N540" i="8"/>
  <c r="N30" i="8"/>
  <c r="N590" i="8"/>
  <c r="N131" i="8"/>
  <c r="N80" i="8"/>
  <c r="N384" i="8"/>
  <c r="N844" i="8"/>
  <c r="N277" i="8"/>
  <c r="N23" i="8"/>
  <c r="N837" i="8"/>
  <c r="N427" i="8"/>
  <c r="N67" i="8"/>
  <c r="N371" i="8"/>
  <c r="N1087" i="8"/>
  <c r="N576" i="8"/>
  <c r="N320" i="8"/>
  <c r="N216" i="8"/>
  <c r="N65" i="8"/>
  <c r="N319" i="8"/>
  <c r="N15" i="8"/>
  <c r="N609" i="8"/>
  <c r="N456" i="8"/>
  <c r="N603" i="8"/>
  <c r="N1010" i="8"/>
  <c r="N1062" i="8"/>
  <c r="N42" i="8"/>
  <c r="N806" i="8"/>
  <c r="N92" i="8"/>
  <c r="N601" i="8"/>
  <c r="N447" i="8"/>
  <c r="N40" i="8"/>
  <c r="N702" i="8"/>
  <c r="N141" i="8"/>
  <c r="N651" i="8"/>
  <c r="N1000" i="8"/>
  <c r="N543" i="8"/>
  <c r="N791" i="8"/>
  <c r="N992" i="8"/>
  <c r="N1097" i="8"/>
  <c r="N587" i="8"/>
  <c r="N330" i="8"/>
  <c r="N737" i="8"/>
  <c r="N481" i="8"/>
  <c r="N789" i="8"/>
  <c r="N585" i="8"/>
  <c r="N838" i="8"/>
  <c r="N328" i="8"/>
  <c r="N679" i="8"/>
  <c r="N219" i="8"/>
  <c r="N1038" i="8"/>
  <c r="N169" i="8"/>
  <c r="N678" i="8"/>
  <c r="N103" i="8"/>
  <c r="N765" i="8"/>
  <c r="N306" i="8"/>
  <c r="N561" i="8"/>
  <c r="N814" i="8"/>
  <c r="N508" i="8"/>
  <c r="N756" i="8"/>
  <c r="N94" i="8"/>
  <c r="N1057" i="8"/>
  <c r="N189" i="8"/>
  <c r="N393" i="8"/>
  <c r="N852" i="8"/>
  <c r="N87" i="8"/>
  <c r="N953" i="8"/>
  <c r="N341" i="8"/>
  <c r="N901" i="8"/>
  <c r="N340" i="8"/>
  <c r="N595" i="8"/>
  <c r="N491" i="8"/>
  <c r="N440" i="8"/>
  <c r="N740" i="8"/>
  <c r="N588" i="8"/>
  <c r="N842" i="8"/>
  <c r="N1092" i="8"/>
  <c r="N223" i="8"/>
  <c r="N21" i="8"/>
  <c r="N1041" i="8"/>
  <c r="N784" i="8"/>
  <c r="N325" i="8"/>
  <c r="N731" i="8"/>
  <c r="N934" i="8"/>
  <c r="N374" i="8"/>
  <c r="N20" i="8"/>
  <c r="N170" i="8"/>
  <c r="N579" i="8"/>
  <c r="N452" i="8"/>
  <c r="N506" i="8"/>
  <c r="N710" i="8"/>
  <c r="N659" i="8"/>
  <c r="N199" i="8"/>
  <c r="N759" i="8"/>
  <c r="N453" i="8"/>
  <c r="N152" i="8"/>
  <c r="N611" i="8"/>
  <c r="N509" i="8"/>
  <c r="N407" i="8"/>
  <c r="N554" i="8"/>
  <c r="N1115" i="8"/>
  <c r="N854" i="8"/>
  <c r="N445" i="8"/>
  <c r="N700" i="8"/>
  <c r="N694" i="8"/>
  <c r="N542" i="8"/>
  <c r="N693" i="8"/>
  <c r="N1051" i="8"/>
  <c r="N285" i="8"/>
  <c r="N335" i="8"/>
  <c r="N182" i="8"/>
  <c r="N485" i="8"/>
  <c r="N741" i="8"/>
  <c r="N130" i="8"/>
  <c r="N640" i="8"/>
  <c r="N224" i="8"/>
  <c r="N1043" i="8"/>
  <c r="N428" i="8"/>
  <c r="N786" i="8"/>
  <c r="N831" i="8"/>
  <c r="N217" i="8"/>
  <c r="N830" i="8"/>
  <c r="N66" i="8"/>
  <c r="N469" i="8"/>
  <c r="N575" i="8"/>
  <c r="N978" i="8"/>
  <c r="N626" i="8"/>
  <c r="N303" i="8"/>
  <c r="N252" i="8"/>
  <c r="N1068" i="8"/>
  <c r="N201" i="8"/>
  <c r="N705" i="8"/>
  <c r="N297" i="8"/>
  <c r="N908" i="8"/>
  <c r="N347" i="8"/>
  <c r="N1061" i="8"/>
  <c r="N551" i="8"/>
  <c r="N498" i="8"/>
  <c r="N703" i="8"/>
  <c r="N243" i="8"/>
  <c r="N345" i="8"/>
  <c r="N550" i="8"/>
  <c r="N600" i="8"/>
  <c r="N1059" i="8"/>
  <c r="N695" i="8"/>
  <c r="N645" i="8"/>
  <c r="N287" i="8"/>
  <c r="N745" i="8"/>
  <c r="N338" i="8"/>
  <c r="N892" i="8"/>
  <c r="N228" i="8"/>
  <c r="N128" i="8"/>
  <c r="N431" i="8"/>
  <c r="N76" i="8"/>
  <c r="N991" i="8"/>
  <c r="N890" i="8"/>
  <c r="N329" i="8"/>
  <c r="N226" i="8"/>
  <c r="N839" i="8"/>
  <c r="N735" i="8"/>
  <c r="N1094" i="8"/>
  <c r="N125" i="8"/>
  <c r="N119" i="8"/>
  <c r="N781" i="8"/>
  <c r="N52" i="8"/>
  <c r="N816" i="8"/>
  <c r="N1071" i="8"/>
  <c r="N457" i="8"/>
  <c r="N202" i="8"/>
  <c r="N757" i="8"/>
  <c r="N349" i="8"/>
  <c r="N43" i="8"/>
  <c r="N909" i="8"/>
  <c r="N750" i="8"/>
  <c r="N139" i="8"/>
  <c r="N1003" i="8"/>
  <c r="N392" i="8"/>
  <c r="N698" i="8"/>
  <c r="N596" i="8"/>
  <c r="N1001" i="8"/>
  <c r="N289" i="8"/>
  <c r="N900" i="8"/>
  <c r="N747" i="8"/>
  <c r="N1054" i="8"/>
  <c r="N696" i="8"/>
  <c r="N994" i="8"/>
  <c r="N1048" i="8"/>
  <c r="N993" i="8"/>
  <c r="N229" i="8"/>
  <c r="N633" i="8"/>
  <c r="N72" i="8"/>
  <c r="N426" i="8"/>
  <c r="N275" i="8"/>
  <c r="N935" i="8"/>
  <c r="N581" i="8"/>
  <c r="N70" i="8"/>
  <c r="N984" i="8"/>
  <c r="N680" i="8"/>
  <c r="N69" i="8"/>
  <c r="N983" i="8"/>
  <c r="N373" i="8"/>
  <c r="N45" i="8"/>
  <c r="N606" i="8"/>
  <c r="N96" i="8"/>
  <c r="N455" i="8"/>
  <c r="N454" i="8"/>
  <c r="N964" i="8"/>
  <c r="N250" i="8"/>
  <c r="N658" i="8"/>
  <c r="N861" i="8"/>
  <c r="N300" i="8"/>
  <c r="N917" i="8"/>
  <c r="N764" i="8"/>
  <c r="N866" i="8"/>
  <c r="N860" i="8"/>
  <c r="N350" i="8"/>
  <c r="N140" i="8"/>
  <c r="N955" i="8"/>
  <c r="N495" i="8"/>
  <c r="N184" i="8"/>
  <c r="N387" i="8"/>
  <c r="N81" i="8"/>
  <c r="N795" i="8"/>
  <c r="N692" i="8"/>
  <c r="N995" i="8"/>
  <c r="N385" i="8"/>
  <c r="N1099" i="8"/>
  <c r="N1049" i="8"/>
  <c r="N434" i="8"/>
  <c r="N787" i="8"/>
  <c r="N988" i="8"/>
  <c r="N377" i="8"/>
  <c r="N583" i="8"/>
  <c r="N727" i="8"/>
  <c r="N780" i="8"/>
  <c r="N16" i="8"/>
  <c r="N880" i="8"/>
  <c r="N419" i="8"/>
  <c r="N726" i="8"/>
  <c r="N525" i="8"/>
  <c r="N1035" i="8"/>
  <c r="N879" i="8"/>
  <c r="N507" i="8"/>
  <c r="N661" i="8"/>
  <c r="N150" i="8"/>
  <c r="N813" i="8"/>
  <c r="N99" i="8"/>
  <c r="N1009" i="8"/>
  <c r="N41" i="8"/>
  <c r="N958" i="8"/>
  <c r="N1008" i="8"/>
  <c r="N957" i="8"/>
  <c r="N804" i="8"/>
  <c r="N855" i="8"/>
  <c r="N752" i="8"/>
  <c r="N242" i="8"/>
  <c r="N90" i="8"/>
  <c r="N594" i="8"/>
  <c r="N797" i="8"/>
  <c r="N489" i="8"/>
  <c r="N134" i="8"/>
  <c r="N482" i="8"/>
  <c r="N77" i="8"/>
  <c r="N687" i="8"/>
  <c r="N586" i="8"/>
  <c r="N1096" i="8"/>
  <c r="N535" i="8"/>
  <c r="N278" i="8"/>
  <c r="N1095" i="8"/>
  <c r="N175" i="8"/>
  <c r="N534" i="8"/>
  <c r="N422" i="8"/>
  <c r="N18" i="8"/>
  <c r="N471" i="8"/>
  <c r="N919" i="8"/>
  <c r="N664" i="8"/>
  <c r="N460" i="8"/>
  <c r="N358" i="8"/>
  <c r="N408" i="8"/>
  <c r="N102" i="8"/>
  <c r="N865" i="8"/>
  <c r="N253" i="8"/>
  <c r="N808" i="8"/>
  <c r="N450" i="8"/>
  <c r="N1114" i="8"/>
  <c r="N649" i="8"/>
  <c r="N547" i="8"/>
  <c r="N1107" i="8"/>
  <c r="N138" i="8"/>
  <c r="N239" i="8"/>
  <c r="N546" i="8"/>
  <c r="N290" i="8"/>
  <c r="N391" i="8"/>
  <c r="N748" i="8"/>
  <c r="N697" i="8"/>
  <c r="N390" i="8"/>
  <c r="N799" i="8"/>
  <c r="N85" i="8"/>
  <c r="N333" i="8"/>
  <c r="N28" i="8"/>
  <c r="N1098" i="8"/>
  <c r="N836" i="8"/>
  <c r="N1042" i="8"/>
  <c r="N376" i="8"/>
  <c r="N785" i="8"/>
  <c r="N531" i="8"/>
  <c r="N274" i="8"/>
  <c r="N985" i="8"/>
  <c r="N474" i="8"/>
  <c r="N1090" i="8"/>
  <c r="N783" i="8"/>
  <c r="N883" i="8"/>
  <c r="N1089" i="8"/>
  <c r="N933" i="8"/>
  <c r="N1065" i="8"/>
  <c r="N147" i="8"/>
  <c r="N761" i="8"/>
  <c r="N302" i="8"/>
  <c r="N47" i="8"/>
  <c r="N46" i="8"/>
  <c r="N1066" i="8"/>
  <c r="N403" i="8"/>
  <c r="N810" i="8"/>
  <c r="N662" i="8"/>
  <c r="N815" i="8"/>
  <c r="N101" i="8"/>
  <c r="N299" i="8"/>
  <c r="N146" i="8"/>
  <c r="N1109" i="8"/>
  <c r="N344" i="8"/>
  <c r="N853" i="8"/>
  <c r="N343" i="8"/>
  <c r="N286" i="8"/>
  <c r="N234" i="8"/>
  <c r="N897" i="8"/>
  <c r="N133" i="8"/>
  <c r="N1101" i="8"/>
  <c r="N386" i="8"/>
  <c r="N486" i="8"/>
  <c r="N691" i="8"/>
  <c r="N945" i="8"/>
  <c r="N334" i="8"/>
  <c r="N690" i="8"/>
  <c r="N938" i="8"/>
  <c r="N533" i="8"/>
  <c r="N937" i="8"/>
  <c r="N987" i="8"/>
  <c r="N527" i="8"/>
  <c r="N321" i="8"/>
  <c r="N420" i="8"/>
  <c r="N779" i="8"/>
  <c r="N268" i="8"/>
  <c r="N778" i="8"/>
  <c r="N1069" i="8"/>
  <c r="N100" i="8"/>
  <c r="N405" i="8"/>
  <c r="N500" i="8"/>
  <c r="N195" i="8"/>
  <c r="N499" i="8"/>
  <c r="N244" i="8"/>
  <c r="N653" i="8"/>
  <c r="N448" i="8"/>
  <c r="N91" i="8"/>
  <c r="N346" i="8"/>
  <c r="N294" i="8"/>
  <c r="N549" i="8"/>
  <c r="N956" i="8"/>
  <c r="N135" i="8"/>
  <c r="N235" i="8"/>
  <c r="N848" i="8"/>
  <c r="N382" i="8"/>
  <c r="N1047" i="8"/>
  <c r="N688" i="8"/>
  <c r="N891" i="8"/>
  <c r="N381" i="8"/>
  <c r="N227" i="8"/>
  <c r="N177" i="8"/>
  <c r="N990" i="8"/>
  <c r="N1045" i="8"/>
  <c r="N939" i="8"/>
  <c r="N889" i="8"/>
  <c r="N429" i="8"/>
  <c r="N989" i="8"/>
  <c r="N225" i="8"/>
  <c r="N832" i="8"/>
  <c r="N629" i="8"/>
  <c r="N528" i="8"/>
  <c r="N613" i="8"/>
  <c r="N256" i="8"/>
  <c r="N205" i="8"/>
  <c r="N1021" i="8"/>
  <c r="N1020" i="8"/>
  <c r="N255" i="8"/>
  <c r="N153" i="8"/>
  <c r="N967" i="8"/>
  <c r="N451" i="8"/>
  <c r="N298" i="8"/>
  <c r="N553" i="8"/>
  <c r="N960" i="8"/>
  <c r="N655" i="8"/>
  <c r="N1004" i="8"/>
  <c r="N240" i="8"/>
  <c r="N648" i="8"/>
  <c r="N800" i="8"/>
  <c r="N238" i="8"/>
  <c r="N1106" i="8"/>
  <c r="N136" i="8"/>
  <c r="N35" i="8"/>
  <c r="N544" i="8"/>
  <c r="N339" i="8"/>
  <c r="N484" i="8"/>
  <c r="N792" i="8"/>
  <c r="N483" i="8"/>
  <c r="N739" i="8"/>
  <c r="N986" i="8"/>
  <c r="N732" i="8"/>
  <c r="N425" i="8"/>
  <c r="N1091" i="8"/>
  <c r="N171" i="8"/>
  <c r="N324" i="8"/>
  <c r="N1039" i="8"/>
  <c r="N529" i="8"/>
  <c r="N833" i="8"/>
  <c r="N473" i="8"/>
  <c r="N758" i="8"/>
  <c r="N812" i="8"/>
  <c r="N98" i="8"/>
  <c r="N1067" i="8"/>
  <c r="N352" i="8"/>
  <c r="N862" i="8"/>
  <c r="N249" i="8"/>
  <c r="N402" i="8"/>
  <c r="N305" i="8"/>
  <c r="N809" i="8"/>
  <c r="N502" i="8"/>
  <c r="N44" i="8"/>
  <c r="N751" i="8"/>
  <c r="N38" i="8"/>
  <c r="N802" i="8"/>
  <c r="N796" i="8"/>
  <c r="N948" i="8"/>
  <c r="N488" i="8"/>
  <c r="N1102" i="8"/>
  <c r="N643" i="8"/>
  <c r="N541" i="8"/>
  <c r="N997" i="8"/>
  <c r="N233" i="8"/>
  <c r="N232" i="8"/>
  <c r="N1050" i="8"/>
  <c r="N845" i="8"/>
  <c r="N641" i="8"/>
  <c r="N793" i="8"/>
  <c r="N589" i="8"/>
  <c r="N378" i="8"/>
  <c r="N734" i="8"/>
  <c r="N1093" i="8"/>
  <c r="N577" i="8"/>
  <c r="N677" i="8"/>
  <c r="N628" i="8"/>
  <c r="N526" i="8"/>
  <c r="N930" i="8"/>
  <c r="N627" i="8"/>
  <c r="N929" i="8"/>
  <c r="N166" i="8"/>
  <c r="N468" i="8"/>
  <c r="N675" i="8"/>
  <c r="N559" i="8"/>
  <c r="N610" i="8"/>
  <c r="N864" i="8"/>
  <c r="N660" i="8"/>
  <c r="N558" i="8"/>
  <c r="N144" i="8"/>
  <c r="N755" i="8"/>
  <c r="N194" i="8"/>
  <c r="N296" i="8"/>
  <c r="N907" i="8"/>
  <c r="N754" i="8"/>
  <c r="N142" i="8"/>
  <c r="N753" i="8"/>
  <c r="N497" i="8"/>
  <c r="N496" i="8"/>
  <c r="N446" i="8"/>
  <c r="N84" i="8"/>
  <c r="N898" i="8"/>
  <c r="N644" i="8"/>
  <c r="N1103" i="8"/>
  <c r="N281" i="8"/>
  <c r="N27" i="8"/>
  <c r="N790" i="8"/>
  <c r="N127" i="8"/>
  <c r="N1046" i="8"/>
  <c r="N25" i="8"/>
  <c r="N75" i="8"/>
  <c r="N126" i="8"/>
  <c r="N635" i="8"/>
  <c r="N882" i="8"/>
  <c r="N729" i="8"/>
  <c r="N168" i="8"/>
  <c r="N271" i="8"/>
  <c r="N562" i="8"/>
  <c r="N154" i="8"/>
  <c r="N510" i="8"/>
  <c r="N969" i="8"/>
  <c r="N406" i="8"/>
  <c r="N916" i="8"/>
  <c r="N859" i="8"/>
  <c r="N961" i="8"/>
  <c r="N501" i="8"/>
  <c r="N1063" i="8"/>
  <c r="N1108" i="8"/>
  <c r="N37" i="8"/>
  <c r="N493" i="8"/>
  <c r="N342" i="8"/>
  <c r="N851" i="8"/>
  <c r="N1056" i="8"/>
  <c r="N187" i="8"/>
  <c r="AN10" i="8" l="1"/>
  <c r="AN9" i="8"/>
  <c r="U24" i="6" a="1"/>
  <c r="U24" i="6" s="1"/>
  <c r="AG32" i="6" a="1"/>
  <c r="AG32" i="6" s="1"/>
  <c r="AK45" i="6" a="1"/>
  <c r="AK45" i="6" s="1"/>
  <c r="AK47" i="6" a="1"/>
  <c r="AK47" i="6" s="1"/>
  <c r="AK46" i="6" a="1"/>
  <c r="AK46" i="6" s="1"/>
  <c r="U58" i="6" a="1"/>
  <c r="U58" i="6" s="1"/>
  <c r="U54" i="6" a="1"/>
  <c r="U54" i="6" s="1"/>
  <c r="M105" i="6" a="1"/>
  <c r="M105" i="6" s="1"/>
  <c r="Q30" i="6" a="1"/>
  <c r="Q30" i="6" s="1"/>
  <c r="AG94" i="6" a="1"/>
  <c r="AG94" i="6" s="1"/>
  <c r="I49" i="6" a="1"/>
  <c r="I49" i="6" s="1"/>
  <c r="M14" i="6" a="1"/>
  <c r="M14" i="6" s="1"/>
  <c r="E7" i="6" a="1"/>
  <c r="E7" i="6" s="1"/>
  <c r="E26" i="6" a="1"/>
  <c r="E26" i="6" s="1"/>
  <c r="U26" i="6" a="1"/>
  <c r="U26" i="6" s="1"/>
  <c r="I71" i="6" a="1"/>
  <c r="I71" i="6" s="1"/>
  <c r="Q101" i="6" a="1"/>
  <c r="Q101" i="6" s="1"/>
  <c r="Q64" i="6" a="1"/>
  <c r="Q64" i="6" s="1"/>
  <c r="AO19" i="6" a="1"/>
  <c r="AO19" i="6" s="1"/>
  <c r="E33" i="6" a="1"/>
  <c r="E33" i="6" s="1"/>
  <c r="AC59" i="6" a="1"/>
  <c r="AC59" i="6" s="1"/>
  <c r="M58" i="6" a="1"/>
  <c r="M58" i="6" s="1"/>
  <c r="U74" i="6" a="1"/>
  <c r="U74" i="6" s="1"/>
  <c r="AO38" i="6" a="1"/>
  <c r="AO38" i="6" s="1"/>
  <c r="U25" i="6" a="1"/>
  <c r="U25" i="6" s="1"/>
  <c r="Y70" i="6" a="1"/>
  <c r="Y70" i="6" s="1"/>
  <c r="AG103" i="6" a="1"/>
  <c r="AG103" i="6" s="1"/>
  <c r="AC105" i="6" a="1"/>
  <c r="AC105" i="6" s="1"/>
  <c r="M41" i="6" a="1"/>
  <c r="M41" i="6" s="1"/>
  <c r="AO24" i="6" a="1"/>
  <c r="AO24" i="6" s="1"/>
  <c r="U55" i="6" a="1"/>
  <c r="U55" i="6" s="1"/>
  <c r="AO83" i="6" a="1"/>
  <c r="AO83" i="6" s="1"/>
  <c r="AG25" i="6" a="1"/>
  <c r="AG25" i="6" s="1"/>
  <c r="AG11" i="6" a="1"/>
  <c r="AG11" i="6" s="1"/>
  <c r="Q15" i="6" a="1"/>
  <c r="Q15" i="6" s="1"/>
  <c r="Q63" i="6" a="1"/>
  <c r="Q63" i="6" s="1"/>
  <c r="Q38" i="6" a="1"/>
  <c r="Q38" i="6" s="1"/>
  <c r="I30" i="6" a="1"/>
  <c r="I30" i="6" s="1"/>
  <c r="AO12" i="6" a="1"/>
  <c r="AO12" i="6" s="1"/>
  <c r="Y8" i="6" a="1"/>
  <c r="Y8" i="6" s="1"/>
  <c r="I103" i="6" a="1"/>
  <c r="I103" i="6" s="1"/>
  <c r="AK42" i="6" a="1"/>
  <c r="AK42" i="6" s="1"/>
  <c r="AK52" i="6" a="1"/>
  <c r="AK52" i="6" s="1"/>
  <c r="M67" i="6" a="1"/>
  <c r="M67" i="6" s="1"/>
  <c r="AO50" i="6" a="1"/>
  <c r="AO50" i="6" s="1"/>
  <c r="E29" i="6" a="1"/>
  <c r="E29" i="6" s="1"/>
  <c r="AO47" i="6" a="1"/>
  <c r="AO47" i="6" s="1"/>
  <c r="Q69" i="6" a="1"/>
  <c r="Q69" i="6" s="1"/>
  <c r="AO63" i="6" a="1"/>
  <c r="AO63" i="6" s="1"/>
  <c r="M60" i="6" a="1"/>
  <c r="M60" i="6" s="1"/>
  <c r="Y82" i="6" a="1"/>
  <c r="Y82" i="6" s="1"/>
  <c r="M25" i="6" a="1"/>
  <c r="M25" i="6" s="1"/>
  <c r="Y44" i="6" a="1"/>
  <c r="Y44" i="6" s="1"/>
  <c r="U100" i="6" a="1"/>
  <c r="U100" i="6" s="1"/>
  <c r="Y101" i="6" a="1"/>
  <c r="Y101" i="6" s="1"/>
  <c r="I96" i="6" a="1"/>
  <c r="I96" i="6" s="1"/>
  <c r="M40" i="6" a="1"/>
  <c r="M40" i="6" s="1"/>
  <c r="AK25" i="6" a="1"/>
  <c r="AK25" i="6" s="1"/>
  <c r="AG58" i="6" a="1"/>
  <c r="AG58" i="6" s="1"/>
  <c r="M64" i="6" a="1"/>
  <c r="M64" i="6" s="1"/>
  <c r="AC34" i="6" a="1"/>
  <c r="AC34" i="6" s="1"/>
  <c r="AG18" i="6" a="1"/>
  <c r="AG18" i="6" s="1"/>
  <c r="AK26" i="6" a="1"/>
  <c r="AK26" i="6" s="1"/>
  <c r="AG38" i="6" a="1"/>
  <c r="AG38" i="6" s="1"/>
  <c r="Q11" i="6" a="1"/>
  <c r="Q11" i="6" s="1"/>
  <c r="U82" i="6" a="1"/>
  <c r="U82" i="6" s="1"/>
  <c r="AG64" i="6" a="1"/>
  <c r="AG64" i="6" s="1"/>
  <c r="Q58" i="6" a="1"/>
  <c r="Q58" i="6" s="1"/>
  <c r="Q27" i="6" a="1"/>
  <c r="Q27" i="6" s="1"/>
  <c r="U48" i="6" a="1"/>
  <c r="U48" i="6" s="1"/>
  <c r="Y62" i="6" a="1"/>
  <c r="Y62" i="6" s="1"/>
  <c r="E55" i="6" a="1"/>
  <c r="E55" i="6" s="1"/>
  <c r="AC101" i="6" a="1"/>
  <c r="AC101" i="6" s="1"/>
  <c r="AC28" i="6" a="1"/>
  <c r="AC28" i="6" s="1"/>
  <c r="AC87" i="6" a="1"/>
  <c r="AC87" i="6" s="1"/>
  <c r="AC10" i="6" a="1"/>
  <c r="AC10" i="6" s="1"/>
  <c r="AK53" i="6" a="1"/>
  <c r="AK53" i="6" s="1"/>
  <c r="Y16" i="6" a="1"/>
  <c r="Y16" i="6" s="1"/>
  <c r="AG63" i="6" a="1"/>
  <c r="AG63" i="6" s="1"/>
  <c r="U44" i="6" a="1"/>
  <c r="U44" i="6" s="1"/>
  <c r="M17" i="6" a="1"/>
  <c r="M17" i="6" s="1"/>
  <c r="Q92" i="6" a="1"/>
  <c r="Q92" i="6" s="1"/>
  <c r="AO91" i="6" a="1"/>
  <c r="AO91" i="6" s="1"/>
  <c r="E49" i="6" a="1"/>
  <c r="E49" i="6" s="1"/>
  <c r="I59" i="6" a="1"/>
  <c r="I59" i="6" s="1"/>
  <c r="Y53" i="6" a="1"/>
  <c r="Y53" i="6" s="1"/>
  <c r="AG26" i="6" a="1"/>
  <c r="AG26" i="6" s="1"/>
  <c r="AG16" i="6" a="1"/>
  <c r="AG16" i="6" s="1"/>
  <c r="Y32" i="6" a="1"/>
  <c r="Y32" i="6" s="1"/>
  <c r="I52" i="6" a="1"/>
  <c r="I52" i="6" s="1"/>
  <c r="AO17" i="6" a="1"/>
  <c r="AO17" i="6" s="1"/>
  <c r="M97" i="6" a="1"/>
  <c r="M97" i="6" s="1"/>
  <c r="U103" i="6" a="1"/>
  <c r="U103" i="6" s="1"/>
  <c r="AC90" i="6" a="1"/>
  <c r="AC90" i="6" s="1"/>
  <c r="Y52" i="6" a="1"/>
  <c r="Y52" i="6" s="1"/>
  <c r="I29" i="6" a="1"/>
  <c r="I29" i="6" s="1"/>
  <c r="AG37" i="6" a="1"/>
  <c r="AG37" i="6" s="1"/>
  <c r="I35" i="6" a="1"/>
  <c r="I35" i="6" s="1"/>
  <c r="AG88" i="6" a="1"/>
  <c r="AG88" i="6" s="1"/>
  <c r="AK57" i="6" a="1"/>
  <c r="AK57" i="6" s="1"/>
  <c r="AC15" i="6" a="1"/>
  <c r="AC15" i="6" s="1"/>
  <c r="E74" i="6" a="1"/>
  <c r="E74" i="6" s="1"/>
  <c r="U81" i="6" a="1"/>
  <c r="U81" i="6" s="1"/>
  <c r="U53" i="6" a="1"/>
  <c r="U53" i="6" s="1"/>
  <c r="Y24" i="6" a="1"/>
  <c r="Y24" i="6" s="1"/>
  <c r="AO8" i="6" a="1"/>
  <c r="AO8" i="6" s="1"/>
  <c r="U101" i="6" a="1"/>
  <c r="U101" i="6" s="1"/>
  <c r="I37" i="6" a="1"/>
  <c r="I37" i="6" s="1"/>
  <c r="E105" i="6" a="1"/>
  <c r="E105" i="6" s="1"/>
  <c r="M22" i="6" a="1"/>
  <c r="M22" i="6" s="1"/>
  <c r="E84" i="6" a="1"/>
  <c r="E84" i="6" s="1"/>
  <c r="AG40" i="6" a="1"/>
  <c r="AG40" i="6" s="1"/>
  <c r="M89" i="6" a="1"/>
  <c r="M89" i="6" s="1"/>
  <c r="AC22" i="6" a="1"/>
  <c r="AC22" i="6" s="1"/>
  <c r="AK71" i="6" a="1"/>
  <c r="AK71" i="6" s="1"/>
  <c r="AC84" i="6" a="1"/>
  <c r="AC84" i="6" s="1"/>
  <c r="AG96" i="6" a="1"/>
  <c r="AG96" i="6" s="1"/>
  <c r="E60" i="6" a="1"/>
  <c r="E60" i="6" s="1"/>
  <c r="AO41" i="6" a="1"/>
  <c r="AO41" i="6" s="1"/>
  <c r="U71" i="6" a="1"/>
  <c r="U71" i="6" s="1"/>
  <c r="Q57" i="6" a="1"/>
  <c r="Q57" i="6" s="1"/>
  <c r="I19" i="6" a="1"/>
  <c r="I19" i="6" s="1"/>
  <c r="Y42" i="6" a="1"/>
  <c r="Y42" i="6" s="1"/>
  <c r="E15" i="6" a="1"/>
  <c r="E15" i="6" s="1"/>
  <c r="E78" i="6" a="1"/>
  <c r="E78" i="6" s="1"/>
  <c r="Y67" i="6" a="1"/>
  <c r="Y67" i="6" s="1"/>
  <c r="AG21" i="6" a="1"/>
  <c r="AG21" i="6" s="1"/>
  <c r="AG47" i="6" a="1"/>
  <c r="AG47" i="6" s="1"/>
  <c r="AC73" i="6" a="1"/>
  <c r="AC73" i="6" s="1"/>
  <c r="I72" i="6" a="1"/>
  <c r="I72" i="6" s="1"/>
  <c r="Q89" i="6" a="1"/>
  <c r="Q89" i="6" s="1"/>
  <c r="Y91" i="6" a="1"/>
  <c r="Y91" i="6" s="1"/>
  <c r="AC32" i="6" a="1"/>
  <c r="AC32" i="6" s="1"/>
  <c r="AG50" i="6" a="1"/>
  <c r="AG50" i="6" s="1"/>
  <c r="E90" i="6" a="1"/>
  <c r="E90" i="6" s="1"/>
  <c r="AK60" i="6" a="1"/>
  <c r="AK60" i="6" s="1"/>
  <c r="AG65" i="6" a="1"/>
  <c r="AG65" i="6" s="1"/>
  <c r="U93" i="6" a="1"/>
  <c r="U93" i="6" s="1"/>
  <c r="AG74" i="6" a="1"/>
  <c r="AG74" i="6" s="1"/>
  <c r="AO46" i="6" a="1"/>
  <c r="AO46" i="6" s="1"/>
  <c r="Y49" i="6" a="1"/>
  <c r="Y49" i="6" s="1"/>
  <c r="U96" i="6" a="1"/>
  <c r="U96" i="6" s="1"/>
  <c r="AK44" i="6" a="1"/>
  <c r="AK44" i="6" s="1"/>
  <c r="AG100" i="6" a="1"/>
  <c r="AG100" i="6" s="1"/>
  <c r="E68" i="6" a="1"/>
  <c r="E68" i="6" s="1"/>
  <c r="Y80" i="6" a="1"/>
  <c r="Y80" i="6" s="1"/>
  <c r="AK104" i="6" a="1"/>
  <c r="AK104" i="6" s="1"/>
  <c r="AG35" i="6" a="1"/>
  <c r="AG35" i="6" s="1"/>
  <c r="Y90" i="6" a="1"/>
  <c r="Y90" i="6" s="1"/>
  <c r="AG8" i="6" a="1"/>
  <c r="AG8" i="6" s="1"/>
  <c r="AC70" i="6" a="1"/>
  <c r="AC70" i="6" s="1"/>
  <c r="I13" i="6" a="1"/>
  <c r="I13" i="6" s="1"/>
  <c r="U57" i="6" a="1"/>
  <c r="U57" i="6" s="1"/>
  <c r="AO13" i="6" a="1"/>
  <c r="AO13" i="6" s="1"/>
  <c r="U92" i="6" a="1"/>
  <c r="U92" i="6" s="1"/>
  <c r="Q74" i="6" a="1"/>
  <c r="Q74" i="6" s="1"/>
  <c r="I97" i="6" a="1"/>
  <c r="I97" i="6" s="1"/>
  <c r="AG45" i="6" a="1"/>
  <c r="AG45" i="6" s="1"/>
  <c r="AK77" i="6" a="1"/>
  <c r="AK77" i="6" s="1"/>
  <c r="Y81" i="6" a="1"/>
  <c r="Y81" i="6" s="1"/>
  <c r="Q95" i="6" a="1"/>
  <c r="Q95" i="6" s="1"/>
  <c r="AC31" i="6" a="1"/>
  <c r="AC31" i="6" s="1"/>
  <c r="AG90" i="6" a="1"/>
  <c r="AG90" i="6" s="1"/>
  <c r="Q84" i="6" a="1"/>
  <c r="Q84" i="6" s="1"/>
  <c r="M48" i="6" a="1"/>
  <c r="M48" i="6" s="1"/>
  <c r="I95" i="6" a="1"/>
  <c r="I95" i="6" s="1"/>
  <c r="U94" i="6" a="1"/>
  <c r="U94" i="6" s="1"/>
  <c r="Q104" i="6" a="1"/>
  <c r="Q104" i="6" s="1"/>
  <c r="Q42" i="6" a="1"/>
  <c r="Q42" i="6" s="1"/>
  <c r="E67" i="6" a="1"/>
  <c r="E67" i="6" s="1"/>
  <c r="AK41" i="6" a="1"/>
  <c r="AK41" i="6" s="1"/>
  <c r="U84" i="6" a="1"/>
  <c r="U84" i="6" s="1"/>
  <c r="AC67" i="6" a="1"/>
  <c r="AC67" i="6" s="1"/>
  <c r="I12" i="6" a="1"/>
  <c r="I12" i="6" s="1"/>
  <c r="E36" i="6" a="1"/>
  <c r="E36" i="6" s="1"/>
  <c r="AO71" i="6" a="1"/>
  <c r="AO71" i="6" s="1"/>
  <c r="E59" i="6" a="1"/>
  <c r="E59" i="6" s="1"/>
  <c r="U12" i="6" a="1"/>
  <c r="U12" i="6" s="1"/>
  <c r="M42" i="6" a="1"/>
  <c r="M42" i="6" s="1"/>
  <c r="Q96" i="6" a="1"/>
  <c r="Q96" i="6" s="1"/>
  <c r="AC93" i="6" a="1"/>
  <c r="AC93" i="6" s="1"/>
  <c r="AK23" i="6" a="1"/>
  <c r="AK23" i="6" s="1"/>
  <c r="AG19" i="6" a="1"/>
  <c r="AG19" i="6" s="1"/>
  <c r="E58" i="6" a="1"/>
  <c r="E58" i="6" s="1"/>
  <c r="AG98" i="6" a="1"/>
  <c r="AG98" i="6" s="1"/>
  <c r="Y36" i="6" a="1"/>
  <c r="Y36" i="6" s="1"/>
  <c r="I33" i="6" a="1"/>
  <c r="I33" i="6" s="1"/>
  <c r="Y88" i="6" a="1"/>
  <c r="Y88" i="6" s="1"/>
  <c r="I79" i="6" a="1"/>
  <c r="I79" i="6" s="1"/>
  <c r="AO77" i="6" a="1"/>
  <c r="AO77" i="6" s="1"/>
  <c r="AC65" i="6" a="1"/>
  <c r="AC65" i="6" s="1"/>
  <c r="M30" i="6" a="1"/>
  <c r="M30" i="6" s="1"/>
  <c r="Y41" i="6" a="1"/>
  <c r="Y41" i="6" s="1"/>
  <c r="U10" i="6" a="1"/>
  <c r="U10" i="6" s="1"/>
  <c r="AC72" i="6" a="1"/>
  <c r="AC72" i="6" s="1"/>
  <c r="Q62" i="6" a="1"/>
  <c r="Q62" i="6" s="1"/>
  <c r="Y38" i="6" a="1"/>
  <c r="Y38" i="6" s="1"/>
  <c r="AC80" i="6" a="1"/>
  <c r="AC80" i="6" s="1"/>
  <c r="AC71" i="6" a="1"/>
  <c r="AC71" i="6" s="1"/>
  <c r="Q73" i="6" a="1"/>
  <c r="Q73" i="6" s="1"/>
  <c r="AC91" i="6" a="1"/>
  <c r="AC91" i="6" s="1"/>
  <c r="AK93" i="6" a="1"/>
  <c r="AK93" i="6" s="1"/>
  <c r="Y76" i="6" a="1"/>
  <c r="Y76" i="6" s="1"/>
  <c r="AG30" i="6" a="1"/>
  <c r="AG30" i="6" s="1"/>
  <c r="AG83" i="6" a="1"/>
  <c r="AG83" i="6" s="1"/>
  <c r="Y95" i="6" a="1"/>
  <c r="Y95" i="6" s="1"/>
  <c r="AC16" i="6" a="1"/>
  <c r="AC16" i="6" s="1"/>
  <c r="U87" i="6" a="1"/>
  <c r="U87" i="6" s="1"/>
  <c r="E93" i="6" a="1"/>
  <c r="E93" i="6" s="1"/>
  <c r="Q100" i="6" a="1"/>
  <c r="Q100" i="6" s="1"/>
  <c r="I8" i="6" a="1"/>
  <c r="I8" i="6" s="1"/>
  <c r="U31" i="6" a="1"/>
  <c r="U31" i="6" s="1"/>
  <c r="M35" i="6" a="1"/>
  <c r="M35" i="6" s="1"/>
  <c r="AO16" i="6" a="1"/>
  <c r="AO16" i="6" s="1"/>
  <c r="Q56" i="6" a="1"/>
  <c r="Q56" i="6" s="1"/>
  <c r="AK75" i="6" a="1"/>
  <c r="AK75" i="6" s="1"/>
  <c r="M7" i="6" a="1"/>
  <c r="M7" i="6" s="1"/>
  <c r="AK64" i="6" a="1"/>
  <c r="AK64" i="6" s="1"/>
  <c r="AG27" i="6" a="1"/>
  <c r="AG27" i="6" s="1"/>
  <c r="AO26" i="6" a="1"/>
  <c r="AO26" i="6" s="1"/>
  <c r="Y55" i="6" a="1"/>
  <c r="Y55" i="6" s="1"/>
  <c r="Q32" i="6" a="1"/>
  <c r="Q32" i="6" s="1"/>
  <c r="AC102" i="6" a="1"/>
  <c r="AC102" i="6" s="1"/>
  <c r="AK103" i="6" a="1"/>
  <c r="AK103" i="6" s="1"/>
  <c r="Y10" i="6" a="1"/>
  <c r="Y10" i="6" s="1"/>
  <c r="AG20" i="6" a="1"/>
  <c r="AG20" i="6" s="1"/>
  <c r="Y69" i="6" a="1"/>
  <c r="Y69" i="6" s="1"/>
  <c r="E66" i="6" a="1"/>
  <c r="E66" i="6" s="1"/>
  <c r="AK29" i="6" a="1"/>
  <c r="AK29" i="6" s="1"/>
  <c r="E37" i="6" a="1"/>
  <c r="E37" i="6" s="1"/>
  <c r="AG62" i="6" a="1"/>
  <c r="AG62" i="6" s="1"/>
  <c r="AO89" i="6" a="1"/>
  <c r="AO89" i="6" s="1"/>
  <c r="I44" i="6" a="1"/>
  <c r="I44" i="6" s="1"/>
  <c r="AG79" i="6" a="1"/>
  <c r="AG79" i="6" s="1"/>
  <c r="AC95" i="6" a="1"/>
  <c r="AC95" i="6" s="1"/>
  <c r="U23" i="6" a="1"/>
  <c r="U23" i="6" s="1"/>
  <c r="I43" i="6" a="1"/>
  <c r="I43" i="6" s="1"/>
  <c r="U60" i="6" a="1"/>
  <c r="U60" i="6" s="1"/>
  <c r="AG48" i="6" a="1"/>
  <c r="AG48" i="6" s="1"/>
  <c r="AO86" i="6" a="1"/>
  <c r="AO86" i="6" s="1"/>
  <c r="M74" i="6" a="1"/>
  <c r="M74" i="6" s="1"/>
  <c r="E51" i="6" a="1"/>
  <c r="E51" i="6" s="1"/>
  <c r="AC24" i="6" a="1"/>
  <c r="AC24" i="6" s="1"/>
  <c r="Y97" i="6" a="1"/>
  <c r="Y97" i="6" s="1"/>
  <c r="I54" i="6" a="1"/>
  <c r="I54" i="6" s="1"/>
  <c r="AK84" i="6" a="1"/>
  <c r="AK84" i="6" s="1"/>
  <c r="Q37" i="6" a="1"/>
  <c r="Q37" i="6" s="1"/>
  <c r="I18" i="6" a="1"/>
  <c r="I18" i="6" s="1"/>
  <c r="E101" i="6" a="1"/>
  <c r="E101" i="6" s="1"/>
  <c r="AO30" i="6" a="1"/>
  <c r="AO30" i="6" s="1"/>
  <c r="M43" i="6" a="1"/>
  <c r="M43" i="6" s="1"/>
  <c r="AO33" i="6" a="1"/>
  <c r="AO33" i="6" s="1"/>
  <c r="AG17" i="6" a="1"/>
  <c r="AG17" i="6" s="1"/>
  <c r="AC75" i="6" a="1"/>
  <c r="AC75" i="6" s="1"/>
  <c r="I47" i="6" a="1"/>
  <c r="I47" i="6" s="1"/>
  <c r="I57" i="6" a="1"/>
  <c r="I57" i="6" s="1"/>
  <c r="Q33" i="6" a="1"/>
  <c r="Q33" i="6" s="1"/>
  <c r="AC13" i="6" a="1"/>
  <c r="AC13" i="6" s="1"/>
  <c r="I104" i="6" a="1"/>
  <c r="I104" i="6" s="1"/>
  <c r="AG59" i="6" a="1"/>
  <c r="AG59" i="6" s="1"/>
  <c r="M70" i="6" a="1"/>
  <c r="M70" i="6" s="1"/>
  <c r="AO106" i="6" a="1"/>
  <c r="AO106" i="6" s="1"/>
  <c r="Q50" i="6" a="1"/>
  <c r="Q50" i="6" s="1"/>
  <c r="AO29" i="6" a="1"/>
  <c r="AO29" i="6" s="1"/>
  <c r="M57" i="6" a="1"/>
  <c r="M57" i="6" s="1"/>
  <c r="E85" i="6" a="1"/>
  <c r="E85" i="6" s="1"/>
  <c r="I17" i="6" a="1"/>
  <c r="I17" i="6" s="1"/>
  <c r="U90" i="6" a="1"/>
  <c r="U90" i="6" s="1"/>
  <c r="Q52" i="6" a="1"/>
  <c r="Q52" i="6" s="1"/>
  <c r="AC51" i="6" a="1"/>
  <c r="AC51" i="6" s="1"/>
  <c r="AK63" i="6" a="1"/>
  <c r="AK63" i="6" s="1"/>
  <c r="AO98" i="6" a="1"/>
  <c r="AO98" i="6" s="1"/>
  <c r="E52" i="6" a="1"/>
  <c r="E52" i="6" s="1"/>
  <c r="AC78" i="6" a="1"/>
  <c r="AC78" i="6" s="1"/>
  <c r="Q83" i="6" a="1"/>
  <c r="Q83" i="6" s="1"/>
  <c r="Q34" i="6" a="1"/>
  <c r="Q34" i="6" s="1"/>
  <c r="AC35" i="6" a="1"/>
  <c r="AC35" i="6" s="1"/>
  <c r="Y15" i="6" a="1"/>
  <c r="Y15" i="6" s="1"/>
  <c r="AC89" i="6" a="1"/>
  <c r="AC89" i="6" s="1"/>
  <c r="AK30" i="6" a="1"/>
  <c r="AK30" i="6" s="1"/>
  <c r="E32" i="6" a="1"/>
  <c r="E32" i="6" s="1"/>
  <c r="M65" i="6" a="1"/>
  <c r="M65" i="6" s="1"/>
  <c r="E45" i="6" a="1"/>
  <c r="E45" i="6" s="1"/>
  <c r="AK17" i="6" a="1"/>
  <c r="AK17" i="6" s="1"/>
  <c r="Q29" i="6" a="1"/>
  <c r="Q29" i="6" s="1"/>
  <c r="Q21" i="6" a="1"/>
  <c r="Q21" i="6" s="1"/>
  <c r="I81" i="6" a="1"/>
  <c r="I81" i="6" s="1"/>
  <c r="Y59" i="6" a="1"/>
  <c r="Y59" i="6" s="1"/>
  <c r="M20" i="6" a="1"/>
  <c r="M20" i="6" s="1"/>
  <c r="AK24" i="6" a="1"/>
  <c r="AK24" i="6" s="1"/>
  <c r="AG82" i="6" a="1"/>
  <c r="AG82" i="6" s="1"/>
  <c r="AK27" i="6" a="1"/>
  <c r="AK27" i="6" s="1"/>
  <c r="AK34" i="6" a="1"/>
  <c r="AK34" i="6" s="1"/>
  <c r="AO88" i="6" a="1"/>
  <c r="AO88" i="6" s="1"/>
  <c r="AO95" i="6" a="1"/>
  <c r="AO95" i="6" s="1"/>
  <c r="I25" i="6" a="1"/>
  <c r="I25" i="6" s="1"/>
  <c r="U83" i="6" a="1"/>
  <c r="U83" i="6" s="1"/>
  <c r="M28" i="6" a="1"/>
  <c r="M28" i="6" s="1"/>
  <c r="AO35" i="6" a="1"/>
  <c r="AO35" i="6" s="1"/>
  <c r="Q31" i="6" a="1"/>
  <c r="Q31" i="6" s="1"/>
  <c r="AO39" i="6" a="1"/>
  <c r="AO39" i="6" s="1"/>
  <c r="AK81" i="6" a="1"/>
  <c r="AK81" i="6" s="1"/>
  <c r="AK59" i="6" a="1"/>
  <c r="AK59" i="6" s="1"/>
  <c r="AO22" i="6" a="1"/>
  <c r="AO22" i="6" s="1"/>
  <c r="AK18" i="6" a="1"/>
  <c r="AK18" i="6" s="1"/>
  <c r="E21" i="6" a="1"/>
  <c r="E21" i="6" s="1"/>
  <c r="AO49" i="6" a="1"/>
  <c r="AO49" i="6" s="1"/>
  <c r="Y45" i="6" a="1"/>
  <c r="Y45" i="6" s="1"/>
  <c r="AO37" i="6" a="1"/>
  <c r="AO37" i="6" s="1"/>
  <c r="I70" i="6" a="1"/>
  <c r="I70" i="6" s="1"/>
  <c r="AO10" i="6" a="1"/>
  <c r="AO10" i="6" s="1"/>
  <c r="E75" i="6" a="1"/>
  <c r="E75" i="6" s="1"/>
  <c r="AG9" i="6" a="1"/>
  <c r="AG9" i="6" s="1"/>
  <c r="AC56" i="6" a="1"/>
  <c r="AC56" i="6" s="1"/>
  <c r="E44" i="6" a="1"/>
  <c r="E44" i="6" s="1"/>
  <c r="Q24" i="6" a="1"/>
  <c r="Q24" i="6" s="1"/>
  <c r="AC100" i="6" a="1"/>
  <c r="AC100" i="6" s="1"/>
  <c r="I80" i="6" a="1"/>
  <c r="I80" i="6" s="1"/>
  <c r="U69" i="6" a="1"/>
  <c r="U69" i="6" s="1"/>
  <c r="E79" i="6" a="1"/>
  <c r="E79" i="6" s="1"/>
  <c r="Y25" i="6" a="1"/>
  <c r="Y25" i="6" s="1"/>
  <c r="AG81" i="6" a="1"/>
  <c r="AG81" i="6" s="1"/>
  <c r="E104" i="6" a="1"/>
  <c r="E104" i="6" s="1"/>
  <c r="AC49" i="6" a="1"/>
  <c r="AC49" i="6" s="1"/>
  <c r="M68" i="6" a="1"/>
  <c r="M68" i="6" s="1"/>
  <c r="U22" i="6" a="1"/>
  <c r="U22" i="6" s="1"/>
  <c r="Q41" i="6" a="1"/>
  <c r="Q41" i="6" s="1"/>
  <c r="Y29" i="6" a="1"/>
  <c r="Y29" i="6" s="1"/>
  <c r="U16" i="6" a="1"/>
  <c r="U16" i="6" s="1"/>
  <c r="Y65" i="6" a="1"/>
  <c r="Y65" i="6" s="1"/>
  <c r="U98" i="6" a="1"/>
  <c r="U98" i="6" s="1"/>
  <c r="I92" i="6" a="1"/>
  <c r="I92" i="6" s="1"/>
  <c r="AK70" i="6" a="1"/>
  <c r="AK70" i="6" s="1"/>
  <c r="I9" i="6" a="1"/>
  <c r="I9" i="6" s="1"/>
  <c r="AG92" i="6" a="1"/>
  <c r="AG92" i="6" s="1"/>
  <c r="Q35" i="6" a="1"/>
  <c r="Q35" i="6" s="1"/>
  <c r="AG55" i="6" a="1"/>
  <c r="AG55" i="6" s="1"/>
  <c r="U9" i="6" a="1"/>
  <c r="U9" i="6" s="1"/>
  <c r="AC30" i="6" a="1"/>
  <c r="AC30" i="6" s="1"/>
  <c r="M27" i="6" a="1"/>
  <c r="M27" i="6" s="1"/>
  <c r="AO96" i="6" a="1"/>
  <c r="AO96" i="6" s="1"/>
  <c r="E80" i="6" a="1"/>
  <c r="E80" i="6" s="1"/>
  <c r="AC29" i="6" a="1"/>
  <c r="AC29" i="6" s="1"/>
  <c r="Q105" i="6" a="1"/>
  <c r="Q105" i="6" s="1"/>
  <c r="M34" i="6" a="1"/>
  <c r="M34" i="6" s="1"/>
  <c r="U34" i="6" a="1"/>
  <c r="U34" i="6" s="1"/>
  <c r="Y18" i="6" a="1"/>
  <c r="Y18" i="6" s="1"/>
  <c r="AC77" i="6" a="1"/>
  <c r="AC77" i="6" s="1"/>
  <c r="Q71" i="6" a="1"/>
  <c r="Q71" i="6" s="1"/>
  <c r="I11" i="6" a="1"/>
  <c r="I11" i="6" s="1"/>
  <c r="I98" i="6" a="1"/>
  <c r="I98" i="6" s="1"/>
  <c r="AK101" i="6" a="1"/>
  <c r="AK101" i="6" s="1"/>
  <c r="AG46" i="6" a="1"/>
  <c r="AG46" i="6" s="1"/>
  <c r="I51" i="6" a="1"/>
  <c r="I51" i="6" s="1"/>
  <c r="AC66" i="6" a="1"/>
  <c r="AC66" i="6" s="1"/>
  <c r="AG87" i="6" a="1"/>
  <c r="AG87" i="6" s="1"/>
  <c r="AG93" i="6" a="1"/>
  <c r="AG93" i="6" s="1"/>
  <c r="Y14" i="6" a="1"/>
  <c r="Y14" i="6" s="1"/>
  <c r="AO101" i="6" a="1"/>
  <c r="AO101" i="6" s="1"/>
  <c r="AG61" i="6" a="1"/>
  <c r="AG61" i="6" s="1"/>
  <c r="I32" i="6" a="1"/>
  <c r="I32" i="6" s="1"/>
  <c r="Q45" i="6" a="1"/>
  <c r="Q45" i="6" s="1"/>
  <c r="M99" i="6" a="1"/>
  <c r="M99" i="6" s="1"/>
  <c r="I105" i="6" a="1"/>
  <c r="I105" i="6" s="1"/>
  <c r="M21" i="6" a="1"/>
  <c r="M21" i="6" s="1"/>
  <c r="AO78" i="6" a="1"/>
  <c r="AO78" i="6" s="1"/>
  <c r="AK37" i="6" a="1"/>
  <c r="AK37" i="6" s="1"/>
  <c r="M31" i="6" a="1"/>
  <c r="M31" i="6" s="1"/>
  <c r="U20" i="6" a="1"/>
  <c r="U20" i="6" s="1"/>
  <c r="Y87" i="6" a="1"/>
  <c r="Y87" i="6" s="1"/>
  <c r="AC99" i="6" a="1"/>
  <c r="AC99" i="6" s="1"/>
  <c r="I64" i="6" a="1"/>
  <c r="I64" i="6" s="1"/>
  <c r="E64" i="6" a="1"/>
  <c r="E64" i="6" s="1"/>
  <c r="I84" i="6" a="1"/>
  <c r="I84" i="6" s="1"/>
  <c r="AC43" i="6" a="1"/>
  <c r="AC43" i="6" s="1"/>
  <c r="Y71" i="6" a="1"/>
  <c r="Y71" i="6" s="1"/>
  <c r="U7" i="6" a="1"/>
  <c r="U7" i="6" s="1"/>
  <c r="I73" i="6" a="1"/>
  <c r="I73" i="6" s="1"/>
  <c r="M78" i="6" a="1"/>
  <c r="M78" i="6" s="1"/>
  <c r="Y28" i="6" a="1"/>
  <c r="Y28" i="6" s="1"/>
  <c r="Q12" i="6" a="1"/>
  <c r="Q12" i="6" s="1"/>
  <c r="U102" i="6" a="1"/>
  <c r="U102" i="6" s="1"/>
  <c r="M73" i="6" a="1"/>
  <c r="M73" i="6" s="1"/>
  <c r="I88" i="6" a="1"/>
  <c r="I88" i="6" s="1"/>
  <c r="AK65" i="6" a="1"/>
  <c r="AK65" i="6" s="1"/>
  <c r="AK49" i="6" a="1"/>
  <c r="AK49" i="6" s="1"/>
  <c r="Y48" i="6" a="1"/>
  <c r="Y48" i="6" s="1"/>
  <c r="AG105" i="6" a="1"/>
  <c r="AG105" i="6" s="1"/>
  <c r="AO80" i="6" a="1"/>
  <c r="AO80" i="6" s="1"/>
  <c r="AO25" i="6" a="1"/>
  <c r="AO25" i="6" s="1"/>
  <c r="AO70" i="6" a="1"/>
  <c r="AO70" i="6" s="1"/>
  <c r="AC12" i="6" a="1"/>
  <c r="AC12" i="6" s="1"/>
  <c r="AK12" i="6" a="1"/>
  <c r="AK12" i="6" s="1"/>
  <c r="U29" i="6" a="1"/>
  <c r="U29" i="6" s="1"/>
  <c r="I34" i="6" a="1"/>
  <c r="I34" i="6" s="1"/>
  <c r="E96" i="6" a="1"/>
  <c r="E96" i="6" s="1"/>
  <c r="Q61" i="6" a="1"/>
  <c r="Q61" i="6" s="1"/>
  <c r="M11" i="6" a="1"/>
  <c r="M11" i="6" s="1"/>
  <c r="U77" i="6" a="1"/>
  <c r="U77" i="6" s="1"/>
  <c r="AK40" i="6" a="1"/>
  <c r="AK40" i="6" s="1"/>
  <c r="I40" i="6" a="1"/>
  <c r="I40" i="6" s="1"/>
  <c r="Q59" i="6" a="1"/>
  <c r="Q59" i="6" s="1"/>
  <c r="U106" i="6" a="1"/>
  <c r="U106" i="6" s="1"/>
  <c r="Q103" i="6" a="1"/>
  <c r="Q103" i="6" s="1"/>
  <c r="Q76" i="6" a="1"/>
  <c r="Q76" i="6" s="1"/>
  <c r="Q55" i="6" a="1"/>
  <c r="Q55" i="6" s="1"/>
  <c r="AG52" i="6" a="1"/>
  <c r="AG52" i="6" s="1"/>
  <c r="I85" i="6" a="1"/>
  <c r="I85" i="6" s="1"/>
  <c r="E72" i="6" a="1"/>
  <c r="E72" i="6" s="1"/>
  <c r="U50" i="6" a="1"/>
  <c r="U50" i="6" s="1"/>
  <c r="U35" i="6" a="1"/>
  <c r="U35" i="6" s="1"/>
  <c r="Y104" i="6" a="1"/>
  <c r="Y104" i="6" s="1"/>
  <c r="AC57" i="6" a="1"/>
  <c r="AC57" i="6" s="1"/>
  <c r="Y51" i="6" a="1"/>
  <c r="Y51" i="6" s="1"/>
  <c r="I94" i="6" a="1"/>
  <c r="I94" i="6" s="1"/>
  <c r="AG73" i="6" a="1"/>
  <c r="AG73" i="6" s="1"/>
  <c r="Q44" i="6" a="1"/>
  <c r="Q44" i="6" s="1"/>
  <c r="AO43" i="6" a="1"/>
  <c r="AO43" i="6" s="1"/>
  <c r="AO62" i="6" a="1"/>
  <c r="AO62" i="6" s="1"/>
  <c r="AG75" i="6" a="1"/>
  <c r="AG75" i="6" s="1"/>
  <c r="I106" i="6" a="1"/>
  <c r="I106" i="6" s="1"/>
  <c r="AC46" i="6" a="1"/>
  <c r="AC46" i="6" s="1"/>
  <c r="Y64" i="6" a="1"/>
  <c r="Y64" i="6" s="1"/>
  <c r="E88" i="6" a="1"/>
  <c r="E88" i="6" s="1"/>
  <c r="Y20" i="6" a="1"/>
  <c r="Y20" i="6" s="1"/>
  <c r="E56" i="6" a="1"/>
  <c r="E56" i="6" s="1"/>
  <c r="AK102" i="6" a="1"/>
  <c r="AK102" i="6" s="1"/>
  <c r="Y89" i="6" a="1"/>
  <c r="Y89" i="6" s="1"/>
  <c r="E97" i="6" a="1"/>
  <c r="E97" i="6" s="1"/>
  <c r="M12" i="6" a="1"/>
  <c r="M12" i="6" s="1"/>
  <c r="AO21" i="6" a="1"/>
  <c r="AO21" i="6" s="1"/>
  <c r="AO45" i="6" a="1"/>
  <c r="AO45" i="6" s="1"/>
  <c r="M9" i="6" a="1"/>
  <c r="M9" i="6" s="1"/>
  <c r="Y23" i="6" a="1"/>
  <c r="Y23" i="6" s="1"/>
  <c r="AG54" i="6" a="1"/>
  <c r="AG54" i="6" s="1"/>
  <c r="Q22" i="6" a="1"/>
  <c r="Q22" i="6" s="1"/>
  <c r="I77" i="6" a="1"/>
  <c r="I77" i="6" s="1"/>
  <c r="AC42" i="6" a="1"/>
  <c r="AC42" i="6" s="1"/>
  <c r="AK31" i="6" a="1"/>
  <c r="AK31" i="6" s="1"/>
  <c r="M47" i="6" a="1"/>
  <c r="M47" i="6" s="1"/>
  <c r="AG71" i="6" a="1"/>
  <c r="AG71" i="6" s="1"/>
  <c r="Q94" i="6" a="1"/>
  <c r="Q94" i="6" s="1"/>
  <c r="AC26" i="6" a="1"/>
  <c r="AC26" i="6" s="1"/>
  <c r="AC8" i="6" a="1"/>
  <c r="AC8" i="6" s="1"/>
  <c r="AO44" i="6" a="1"/>
  <c r="AO44" i="6" s="1"/>
  <c r="AG91" i="6" a="1"/>
  <c r="AG91" i="6" s="1"/>
  <c r="AC53" i="6" a="1"/>
  <c r="AC53" i="6" s="1"/>
  <c r="U79" i="6" a="1"/>
  <c r="U79" i="6" s="1"/>
  <c r="AO11" i="6" a="1"/>
  <c r="AO11" i="6" s="1"/>
  <c r="E98" i="6" a="1"/>
  <c r="E98" i="6" s="1"/>
  <c r="Y54" i="6" a="1"/>
  <c r="Y54" i="6" s="1"/>
  <c r="AG95" i="6" a="1"/>
  <c r="AG95" i="6" s="1"/>
  <c r="AO55" i="6" a="1"/>
  <c r="AO55" i="6" s="1"/>
  <c r="AK58" i="6" a="1"/>
  <c r="AK58" i="6" s="1"/>
  <c r="AO105" i="6" a="1"/>
  <c r="AO105" i="6" s="1"/>
  <c r="E69" i="6" a="1"/>
  <c r="E69" i="6" s="1"/>
  <c r="M23" i="6" a="1"/>
  <c r="M23" i="6" s="1"/>
  <c r="I46" i="6" a="1"/>
  <c r="I46" i="6" s="1"/>
  <c r="I90" i="6" a="1"/>
  <c r="I90" i="6" s="1"/>
  <c r="I55" i="6" a="1"/>
  <c r="I55" i="6" s="1"/>
  <c r="Y17" i="6" a="1"/>
  <c r="Y17" i="6" s="1"/>
  <c r="AO23" i="6" a="1"/>
  <c r="AO23" i="6" s="1"/>
  <c r="AO56" i="6" a="1"/>
  <c r="AO56" i="6" s="1"/>
  <c r="AO54" i="6" a="1"/>
  <c r="AO54" i="6" s="1"/>
  <c r="AK22" i="6" a="1"/>
  <c r="AK22" i="6" s="1"/>
  <c r="I56" i="6" a="1"/>
  <c r="I56" i="6" s="1"/>
  <c r="Q47" i="6" a="1"/>
  <c r="Q47" i="6" s="1"/>
  <c r="M86" i="6" a="1"/>
  <c r="M86" i="6" s="1"/>
  <c r="M106" i="6" a="1"/>
  <c r="M106" i="6" s="1"/>
  <c r="Q8" i="6" a="1"/>
  <c r="Q8" i="6" s="1"/>
  <c r="I16" i="6" a="1"/>
  <c r="I16" i="6" s="1"/>
  <c r="AG57" i="6" a="1"/>
  <c r="AG57" i="6" s="1"/>
  <c r="AO53" i="6" a="1"/>
  <c r="AO53" i="6" s="1"/>
  <c r="AG31" i="6" a="1"/>
  <c r="AG31" i="6" s="1"/>
  <c r="AO81" i="6" a="1"/>
  <c r="AO81" i="6" s="1"/>
  <c r="M8" i="6" a="1"/>
  <c r="M8" i="6" s="1"/>
  <c r="AO85" i="6" a="1"/>
  <c r="AO85" i="6" s="1"/>
  <c r="M54" i="6" a="1"/>
  <c r="M54" i="6" s="1"/>
  <c r="Y63" i="6" a="1"/>
  <c r="Y63" i="6" s="1"/>
  <c r="E62" i="6" a="1"/>
  <c r="E62" i="6" s="1"/>
  <c r="AO60" i="6" a="1"/>
  <c r="AO60" i="6" s="1"/>
  <c r="Q25" i="6" a="1"/>
  <c r="Q25" i="6" s="1"/>
  <c r="I61" i="6" a="1"/>
  <c r="I61" i="6" s="1"/>
  <c r="AC45" i="6" a="1"/>
  <c r="AC45" i="6" s="1"/>
  <c r="I53" i="6" a="1"/>
  <c r="I53" i="6" s="1"/>
  <c r="AO27" i="6" a="1"/>
  <c r="AO27" i="6" s="1"/>
  <c r="E54" i="6" a="1"/>
  <c r="E54" i="6" s="1"/>
  <c r="Q53" i="6" a="1"/>
  <c r="Q53" i="6" s="1"/>
  <c r="E94" i="6" a="1"/>
  <c r="E94" i="6" s="1"/>
  <c r="U59" i="6" a="1"/>
  <c r="U59" i="6" s="1"/>
  <c r="I86" i="6" a="1"/>
  <c r="I86" i="6" s="1"/>
  <c r="AC54" i="6" a="1"/>
  <c r="AC54" i="6" s="1"/>
  <c r="Q102" i="6" a="1"/>
  <c r="Q102" i="6" s="1"/>
  <c r="AG104" i="6" a="1"/>
  <c r="AG104" i="6" s="1"/>
  <c r="AK106" i="6" a="1"/>
  <c r="AK106" i="6" s="1"/>
  <c r="AO9" i="6" a="1"/>
  <c r="AO9" i="6" s="1"/>
  <c r="AK74" i="6" a="1"/>
  <c r="AK74" i="6" s="1"/>
  <c r="U95" i="6" a="1"/>
  <c r="U95" i="6" s="1"/>
  <c r="Q98" i="6" a="1"/>
  <c r="Q98" i="6" s="1"/>
  <c r="E65" i="6" a="1"/>
  <c r="E65" i="6" s="1"/>
  <c r="Q18" i="6" a="1"/>
  <c r="Q18" i="6" s="1"/>
  <c r="Q88" i="6" a="1"/>
  <c r="Q88" i="6" s="1"/>
  <c r="Q49" i="6" a="1"/>
  <c r="Q49" i="6" s="1"/>
  <c r="AK61" i="6" a="1"/>
  <c r="AK61" i="6" s="1"/>
  <c r="U45" i="6" a="1"/>
  <c r="U45" i="6" s="1"/>
  <c r="AK35" i="6" a="1"/>
  <c r="AK35" i="6" s="1"/>
  <c r="AC74" i="6" a="1"/>
  <c r="AC74" i="6" s="1"/>
  <c r="Y43" i="6" a="1"/>
  <c r="Y43" i="6" s="1"/>
  <c r="AO103" i="6" a="1"/>
  <c r="AO103" i="6" s="1"/>
  <c r="E76" i="6" a="1"/>
  <c r="E76" i="6" s="1"/>
  <c r="AG13" i="6" a="1"/>
  <c r="AG13" i="6" s="1"/>
  <c r="Y72" i="6" a="1"/>
  <c r="Y72" i="6" s="1"/>
  <c r="AC33" i="6" a="1"/>
  <c r="AC33" i="6" s="1"/>
  <c r="U40" i="6" a="1"/>
  <c r="U40" i="6" s="1"/>
  <c r="AC106" i="6" a="1"/>
  <c r="AC106" i="6" s="1"/>
  <c r="AC44" i="6" a="1"/>
  <c r="AC44" i="6" s="1"/>
  <c r="AK28" i="6" a="1"/>
  <c r="AK28" i="6" s="1"/>
  <c r="U72" i="6" a="1"/>
  <c r="U72" i="6" s="1"/>
  <c r="E95" i="6" a="1"/>
  <c r="E95" i="6" s="1"/>
  <c r="AC38" i="6" a="1"/>
  <c r="AC38" i="6" s="1"/>
  <c r="Q43" i="6" a="1"/>
  <c r="Q43" i="6" s="1"/>
  <c r="AK33" i="6" a="1"/>
  <c r="AK33" i="6" s="1"/>
  <c r="AC19" i="6" a="1"/>
  <c r="AC19" i="6" s="1"/>
  <c r="Q46" i="6" a="1"/>
  <c r="Q46" i="6" s="1"/>
  <c r="M49" i="6" a="1"/>
  <c r="M49" i="6" s="1"/>
  <c r="AK95" i="6" a="1"/>
  <c r="AK95" i="6" s="1"/>
  <c r="U86" i="6" a="1"/>
  <c r="U86" i="6" s="1"/>
  <c r="U28" i="6" a="1"/>
  <c r="U28" i="6" s="1"/>
  <c r="I66" i="6" a="1"/>
  <c r="I66" i="6" s="1"/>
  <c r="AO48" i="6" a="1"/>
  <c r="AO48" i="6" s="1"/>
  <c r="AK73" i="6" a="1"/>
  <c r="AK73" i="6" s="1"/>
  <c r="I102" i="6" a="1"/>
  <c r="I102" i="6" s="1"/>
  <c r="AO58" i="6" a="1"/>
  <c r="AO58" i="6" s="1"/>
  <c r="U66" i="6" a="1"/>
  <c r="U66" i="6" s="1"/>
  <c r="AK69" i="6" a="1"/>
  <c r="AK69" i="6" s="1"/>
  <c r="AC11" i="6" a="1"/>
  <c r="AC11" i="6" s="1"/>
  <c r="AK72" i="6" a="1"/>
  <c r="AK72" i="6" s="1"/>
  <c r="E23" i="6" a="1"/>
  <c r="E23" i="6" s="1"/>
  <c r="M24" i="6" a="1"/>
  <c r="M24" i="6" s="1"/>
  <c r="U73" i="6" a="1"/>
  <c r="U73" i="6" s="1"/>
  <c r="AK11" i="6" a="1"/>
  <c r="AK11" i="6" s="1"/>
  <c r="I15" i="6" a="1"/>
  <c r="I15" i="6" s="1"/>
  <c r="AO73" i="6" a="1"/>
  <c r="AO73" i="6" s="1"/>
  <c r="U52" i="6" a="1"/>
  <c r="U52" i="6" s="1"/>
  <c r="AO93" i="6" a="1"/>
  <c r="AO93" i="6" s="1"/>
  <c r="Y35" i="6" a="1"/>
  <c r="Y35" i="6" s="1"/>
  <c r="I69" i="6" a="1"/>
  <c r="I69" i="6" s="1"/>
  <c r="AC96" i="6" a="1"/>
  <c r="AC96" i="6" s="1"/>
  <c r="E102" i="6" a="1"/>
  <c r="E102" i="6" s="1"/>
  <c r="I82" i="6" a="1"/>
  <c r="I82" i="6" s="1"/>
  <c r="Q90" i="6" a="1"/>
  <c r="Q90" i="6" s="1"/>
  <c r="Y21" i="6" a="1"/>
  <c r="Y21" i="6" s="1"/>
  <c r="M98" i="6" a="1"/>
  <c r="M98" i="6" s="1"/>
  <c r="E106" i="6" a="1"/>
  <c r="E106" i="6" s="1"/>
  <c r="AG101" i="6" a="1"/>
  <c r="AG101" i="6" s="1"/>
  <c r="U43" i="6" a="1"/>
  <c r="U43" i="6" s="1"/>
  <c r="Y105" i="6" a="1"/>
  <c r="Y105" i="6" s="1"/>
  <c r="M104" i="6" a="1"/>
  <c r="M104" i="6" s="1"/>
  <c r="M55" i="6" a="1"/>
  <c r="M55" i="6" s="1"/>
  <c r="Q40" i="6" a="1"/>
  <c r="Q40" i="6" s="1"/>
  <c r="AO67" i="6" a="1"/>
  <c r="AO67" i="6" s="1"/>
  <c r="AK54" i="6" a="1"/>
  <c r="AK54" i="6" s="1"/>
  <c r="I101" i="6" a="1"/>
  <c r="I101" i="6" s="1"/>
  <c r="E77" i="6" a="1"/>
  <c r="E77" i="6" s="1"/>
  <c r="AO64" i="6" a="1"/>
  <c r="AO64" i="6" s="1"/>
  <c r="AC23" i="6" a="1"/>
  <c r="AC23" i="6" s="1"/>
  <c r="AK32" i="6" a="1"/>
  <c r="AK32" i="6" s="1"/>
  <c r="AG23" i="6" a="1"/>
  <c r="AG23" i="6" s="1"/>
  <c r="I27" i="6" a="1"/>
  <c r="I27" i="6" s="1"/>
  <c r="AC40" i="6" a="1"/>
  <c r="AC40" i="6" s="1"/>
  <c r="I74" i="6" a="1"/>
  <c r="I74" i="6" s="1"/>
  <c r="AC27" i="6" a="1"/>
  <c r="AC27" i="6" s="1"/>
  <c r="AK90" i="6" a="1"/>
  <c r="AK90" i="6" s="1"/>
  <c r="Y19" i="6" a="1"/>
  <c r="Y19" i="6" s="1"/>
  <c r="Y102" i="6" a="1"/>
  <c r="Y102" i="6" s="1"/>
  <c r="AG72" i="6" a="1"/>
  <c r="AG72" i="6" s="1"/>
  <c r="AC62" i="6" a="1"/>
  <c r="AC62" i="6" s="1"/>
  <c r="AG106" i="6" a="1"/>
  <c r="AG106" i="6" s="1"/>
  <c r="Y99" i="6" a="1"/>
  <c r="Y99" i="6" s="1"/>
  <c r="AO84" i="6" a="1"/>
  <c r="AO84" i="6" s="1"/>
  <c r="AC55" i="6" a="1"/>
  <c r="AC55" i="6" s="1"/>
  <c r="I22" i="6" a="1"/>
  <c r="I22" i="6" s="1"/>
  <c r="AK92" i="6" a="1"/>
  <c r="AK92" i="6" s="1"/>
  <c r="AK105" i="6" a="1"/>
  <c r="AK105" i="6" s="1"/>
  <c r="E83" i="6" a="1"/>
  <c r="E83" i="6" s="1"/>
  <c r="M72" i="6" a="1"/>
  <c r="M72" i="6" s="1"/>
  <c r="AO40" i="6" a="1"/>
  <c r="AO40" i="6" s="1"/>
  <c r="E89" i="6" a="1"/>
  <c r="E89" i="6" s="1"/>
  <c r="Q86" i="6" a="1"/>
  <c r="Q86" i="6" s="1"/>
  <c r="U21" i="6" a="1"/>
  <c r="U21" i="6" s="1"/>
  <c r="AG68" i="6" a="1"/>
  <c r="AG68" i="6" s="1"/>
  <c r="Y98" i="6" a="1"/>
  <c r="Y98" i="6" s="1"/>
  <c r="AO59" i="6" a="1"/>
  <c r="AO59" i="6" s="1"/>
  <c r="I14" i="6" a="1"/>
  <c r="I14" i="6" s="1"/>
  <c r="Q14" i="6" a="1"/>
  <c r="Q14" i="6" s="1"/>
  <c r="AC17" i="6" a="1"/>
  <c r="AC17" i="6" s="1"/>
  <c r="M36" i="6" a="1"/>
  <c r="M36" i="6" s="1"/>
  <c r="E103" i="6" a="1"/>
  <c r="E103" i="6" s="1"/>
  <c r="AK20" i="6" a="1"/>
  <c r="AK20" i="6" s="1"/>
  <c r="M90" i="6" a="1"/>
  <c r="M90" i="6" s="1"/>
  <c r="AO97" i="6" a="1"/>
  <c r="AO97" i="6" s="1"/>
  <c r="AO65" i="6" a="1"/>
  <c r="AO65" i="6" s="1"/>
  <c r="Y11" i="6" a="1"/>
  <c r="Y11" i="6" s="1"/>
  <c r="Q72" i="6" a="1"/>
  <c r="Q72" i="6" s="1"/>
  <c r="M44" i="6" a="1"/>
  <c r="M44" i="6" s="1"/>
  <c r="I58" i="6" a="1"/>
  <c r="I58" i="6" s="1"/>
  <c r="AG102" i="6" a="1"/>
  <c r="AG102" i="6" s="1"/>
  <c r="AK82" i="6" a="1"/>
  <c r="AK82" i="6" s="1"/>
  <c r="I99" i="6" a="1"/>
  <c r="I99" i="6" s="1"/>
  <c r="AO100" i="6" a="1"/>
  <c r="AO100" i="6" s="1"/>
  <c r="U64" i="6" a="1"/>
  <c r="U64" i="6" s="1"/>
  <c r="M62" i="6" a="1"/>
  <c r="M62" i="6" s="1"/>
  <c r="AG24" i="6" a="1"/>
  <c r="AG24" i="6" s="1"/>
  <c r="E86" i="6" a="1"/>
  <c r="E86" i="6" s="1"/>
  <c r="I68" i="6" a="1"/>
  <c r="I68" i="6" s="1"/>
  <c r="M91" i="6" a="1"/>
  <c r="M91" i="6" s="1"/>
  <c r="M76" i="6" a="1"/>
  <c r="M76" i="6" s="1"/>
  <c r="Q26" i="6" a="1"/>
  <c r="Q26" i="6" s="1"/>
  <c r="U14" i="6" a="1"/>
  <c r="U14" i="6" s="1"/>
  <c r="M33" i="6" a="1"/>
  <c r="M33" i="6" s="1"/>
  <c r="AO92" i="6" a="1"/>
  <c r="AO92" i="6" s="1"/>
  <c r="E73" i="6" a="1"/>
  <c r="E73" i="6" s="1"/>
  <c r="Q36" i="6" a="1"/>
  <c r="Q36" i="6" s="1"/>
  <c r="Y46" i="6" a="1"/>
  <c r="Y46" i="6" s="1"/>
  <c r="Q78" i="6" a="1"/>
  <c r="Q78" i="6" s="1"/>
  <c r="AK68" i="6" a="1"/>
  <c r="AK68" i="6" s="1"/>
  <c r="AC68" i="6" a="1"/>
  <c r="AC68" i="6" s="1"/>
  <c r="AC37" i="6" a="1"/>
  <c r="AC37" i="6" s="1"/>
  <c r="M88" i="6" a="1"/>
  <c r="M88" i="6" s="1"/>
  <c r="AK13" i="6" a="1"/>
  <c r="AK13" i="6" s="1"/>
  <c r="AK43" i="6" a="1"/>
  <c r="AK43" i="6" s="1"/>
  <c r="U65" i="6" a="1"/>
  <c r="U65" i="6" s="1"/>
  <c r="AO52" i="6" a="1"/>
  <c r="AO52" i="6" s="1"/>
  <c r="I28" i="6" a="1"/>
  <c r="I28" i="6" s="1"/>
  <c r="AC61" i="6" a="1"/>
  <c r="AC61" i="6" s="1"/>
  <c r="AK56" i="6" a="1"/>
  <c r="AK56" i="6" s="1"/>
  <c r="AC82" i="6" a="1"/>
  <c r="AC82" i="6" s="1"/>
  <c r="AC47" i="6" a="1"/>
  <c r="AC47" i="6" s="1"/>
  <c r="AK9" i="6" a="1"/>
  <c r="AK9" i="6" s="1"/>
  <c r="I87" i="6" a="1"/>
  <c r="I87" i="6" s="1"/>
  <c r="AK66" i="6" a="1"/>
  <c r="AK66" i="6" s="1"/>
  <c r="AC88" i="6" a="1"/>
  <c r="AC88" i="6" s="1"/>
  <c r="M15" i="6" a="1"/>
  <c r="M15" i="6" s="1"/>
  <c r="AG22" i="6" a="1"/>
  <c r="AG22" i="6" s="1"/>
  <c r="E82" i="6" a="1"/>
  <c r="E82" i="6" s="1"/>
  <c r="M96" i="6" a="1"/>
  <c r="M96" i="6" s="1"/>
  <c r="E81" i="6" a="1"/>
  <c r="E81" i="6" s="1"/>
  <c r="AK8" i="6" a="1"/>
  <c r="AK8" i="6" s="1"/>
  <c r="Y96" i="6" a="1"/>
  <c r="Y96" i="6" s="1"/>
  <c r="AG39" i="6" a="1"/>
  <c r="AG39" i="6" s="1"/>
  <c r="Y27" i="6" a="1"/>
  <c r="Y27" i="6" s="1"/>
  <c r="Q99" i="6" a="1"/>
  <c r="Q99" i="6" s="1"/>
  <c r="I93" i="6" a="1"/>
  <c r="I93" i="6" s="1"/>
  <c r="M101" i="6" a="1"/>
  <c r="M101" i="6" s="1"/>
  <c r="M61" i="6" a="1"/>
  <c r="M61" i="6" s="1"/>
  <c r="U89" i="6" a="1"/>
  <c r="U89" i="6" s="1"/>
  <c r="AC86" i="6" a="1"/>
  <c r="AC86" i="6" s="1"/>
  <c r="Q67" i="6" a="1"/>
  <c r="Q67" i="6" s="1"/>
  <c r="E87" i="6" a="1"/>
  <c r="E87" i="6" s="1"/>
  <c r="E57" i="6" a="1"/>
  <c r="E57" i="6" s="1"/>
  <c r="AC85" i="6" a="1"/>
  <c r="AC85" i="6" s="1"/>
  <c r="M85" i="6" a="1"/>
  <c r="M85" i="6" s="1"/>
  <c r="M82" i="6" a="1"/>
  <c r="M82" i="6" s="1"/>
  <c r="AO66" i="6" a="1"/>
  <c r="AO66" i="6" s="1"/>
  <c r="AG41" i="6" a="1"/>
  <c r="AG41" i="6" s="1"/>
  <c r="Y83" i="6" a="1"/>
  <c r="Y83" i="6" s="1"/>
  <c r="AO34" i="6" a="1"/>
  <c r="AO34" i="6" s="1"/>
  <c r="AC48" i="6" a="1"/>
  <c r="AC48" i="6" s="1"/>
  <c r="E34" i="6" a="1"/>
  <c r="E34" i="6" s="1"/>
  <c r="I10" i="6" a="1"/>
  <c r="I10" i="6" s="1"/>
  <c r="AO28" i="6" a="1"/>
  <c r="AO28" i="6" s="1"/>
  <c r="Y13" i="6" a="1"/>
  <c r="Y13" i="6" s="1"/>
  <c r="Y94" i="6" a="1"/>
  <c r="Y94" i="6" s="1"/>
  <c r="Y106" i="6" a="1"/>
  <c r="Y106" i="6" s="1"/>
  <c r="AO82" i="6" a="1"/>
  <c r="AO82" i="6" s="1"/>
  <c r="U13" i="6" a="1"/>
  <c r="U13" i="6" s="1"/>
  <c r="Y74" i="6" a="1"/>
  <c r="Y74" i="6" s="1"/>
  <c r="I100" i="6" a="1"/>
  <c r="I100" i="6" s="1"/>
  <c r="AK55" i="6" a="1"/>
  <c r="AK55" i="6" s="1"/>
  <c r="U76" i="6" a="1"/>
  <c r="U76" i="6" s="1"/>
  <c r="AO32" i="6" a="1"/>
  <c r="AO32" i="6" s="1"/>
  <c r="E9" i="6" a="1"/>
  <c r="E9" i="6" s="1"/>
  <c r="AC21" i="6" a="1"/>
  <c r="AC21" i="6" s="1"/>
  <c r="U27" i="6" a="1"/>
  <c r="U27" i="6" s="1"/>
  <c r="Q20" i="6" a="1"/>
  <c r="Q20" i="6" s="1"/>
  <c r="AG67" i="6" a="1"/>
  <c r="AG67" i="6" s="1"/>
  <c r="Y86" i="6" a="1"/>
  <c r="Y86" i="6" s="1"/>
  <c r="AO51" i="6" a="1"/>
  <c r="AO51" i="6" s="1"/>
  <c r="AO36" i="6" a="1"/>
  <c r="AO36" i="6" s="1"/>
  <c r="I67" i="6" a="1"/>
  <c r="I67" i="6" s="1"/>
  <c r="M18" i="6" a="1"/>
  <c r="M18" i="6" s="1"/>
  <c r="AK51" i="6" a="1"/>
  <c r="AK51" i="6" s="1"/>
  <c r="I36" i="6" a="1"/>
  <c r="I36" i="6" s="1"/>
  <c r="I91" i="6" a="1"/>
  <c r="I91" i="6" s="1"/>
  <c r="Y31" i="6" a="1"/>
  <c r="Y31" i="6" s="1"/>
  <c r="M87" i="6" a="1"/>
  <c r="M87" i="6" s="1"/>
  <c r="AO76" i="6" a="1"/>
  <c r="AO76" i="6" s="1"/>
  <c r="M63" i="6" a="1"/>
  <c r="M63" i="6" s="1"/>
  <c r="AG44" i="6" a="1"/>
  <c r="AG44" i="6" s="1"/>
  <c r="M10" i="6" a="1"/>
  <c r="M10" i="6" s="1"/>
  <c r="AG85" i="6" a="1"/>
  <c r="AG85" i="6" s="1"/>
  <c r="AC76" i="6" a="1"/>
  <c r="AC76" i="6" s="1"/>
  <c r="Q39" i="6" a="1"/>
  <c r="Q39" i="6" s="1"/>
  <c r="I62" i="6" a="1"/>
  <c r="I62" i="6" s="1"/>
  <c r="E71" i="6" a="1"/>
  <c r="E71" i="6" s="1"/>
  <c r="AC52" i="6" a="1"/>
  <c r="AC52" i="6" s="1"/>
  <c r="AK39" i="6" a="1"/>
  <c r="AK39" i="6" s="1"/>
  <c r="AK96" i="6" a="1"/>
  <c r="AK96" i="6" s="1"/>
  <c r="U32" i="6" a="1"/>
  <c r="U32" i="6" s="1"/>
  <c r="I31" i="6" a="1"/>
  <c r="I31" i="6" s="1"/>
  <c r="AG99" i="6" a="1"/>
  <c r="AG99" i="6" s="1"/>
  <c r="M52" i="6" a="1"/>
  <c r="M52" i="6" s="1"/>
  <c r="U30" i="6" a="1"/>
  <c r="U30" i="6" s="1"/>
  <c r="AG33" i="6" a="1"/>
  <c r="AG33" i="6" s="1"/>
  <c r="AK50" i="6" a="1"/>
  <c r="AK50" i="6" s="1"/>
  <c r="I75" i="6" a="1"/>
  <c r="I75" i="6" s="1"/>
  <c r="AC58" i="6" a="1"/>
  <c r="AC58" i="6" s="1"/>
  <c r="Y93" i="6" a="1"/>
  <c r="Y93" i="6" s="1"/>
  <c r="AC18" i="6" a="1"/>
  <c r="AC18" i="6" s="1"/>
  <c r="AK89" i="6" a="1"/>
  <c r="AK89" i="6" s="1"/>
  <c r="Q9" i="6" a="1"/>
  <c r="Q9" i="6" s="1"/>
  <c r="AC63" i="6" a="1"/>
  <c r="AC63" i="6" s="1"/>
  <c r="U75" i="6" a="1"/>
  <c r="U75" i="6" s="1"/>
  <c r="E63" i="6" a="1"/>
  <c r="E63" i="6" s="1"/>
  <c r="AG53" i="6" a="1"/>
  <c r="AG53" i="6" s="1"/>
  <c r="AG76" i="6" a="1"/>
  <c r="AG76" i="6" s="1"/>
  <c r="AG56" i="6" a="1"/>
  <c r="AG56" i="6" s="1"/>
  <c r="AK76" i="6" a="1"/>
  <c r="AK76" i="6" s="1"/>
  <c r="Q77" i="6" a="1"/>
  <c r="Q77" i="6" s="1"/>
  <c r="M92" i="6" a="1"/>
  <c r="M92" i="6" s="1"/>
  <c r="AO57" i="6" a="1"/>
  <c r="AO57" i="6" s="1"/>
  <c r="I65" i="6" a="1"/>
  <c r="I65" i="6" s="1"/>
  <c r="Y61" i="6" a="1"/>
  <c r="Y61" i="6" s="1"/>
  <c r="U97" i="6" a="1"/>
  <c r="U97" i="6" s="1"/>
  <c r="E100" i="6" a="1"/>
  <c r="E100" i="6" s="1"/>
  <c r="AO20" i="6" a="1"/>
  <c r="AO20" i="6" s="1"/>
  <c r="U18" i="6" a="1"/>
  <c r="U18" i="6" s="1"/>
  <c r="Y85" i="6" a="1"/>
  <c r="Y85" i="6" s="1"/>
  <c r="AC14" i="6" a="1"/>
  <c r="AC14" i="6" s="1"/>
  <c r="M19" i="6" a="1"/>
  <c r="M19" i="6" s="1"/>
  <c r="M66" i="6" a="1"/>
  <c r="M66" i="6" s="1"/>
  <c r="Q10" i="6" a="1"/>
  <c r="Q10" i="6" s="1"/>
  <c r="M32" i="6" a="1"/>
  <c r="M32" i="6" s="1"/>
  <c r="Y66" i="6" a="1"/>
  <c r="Y66" i="6" s="1"/>
  <c r="AG89" i="6" a="1"/>
  <c r="AG89" i="6" s="1"/>
  <c r="M26" i="6" a="1"/>
  <c r="M26" i="6" s="1"/>
  <c r="E91" i="6" a="1"/>
  <c r="E91" i="6" s="1"/>
  <c r="U47" i="6" a="1"/>
  <c r="U47" i="6" s="1"/>
  <c r="Y58" i="6" a="1"/>
  <c r="Y58" i="6" s="1"/>
  <c r="E10" i="6" a="1"/>
  <c r="E10" i="6" s="1"/>
  <c r="I26" i="6" a="1"/>
  <c r="I26" i="6" s="1"/>
  <c r="Q80" i="6" a="1"/>
  <c r="Q80" i="6" s="1"/>
  <c r="U85" i="6" a="1"/>
  <c r="U85" i="6" s="1"/>
  <c r="U105" i="6" a="1"/>
  <c r="U105" i="6" s="1"/>
  <c r="AG34" i="6" a="1"/>
  <c r="AG34" i="6" s="1"/>
  <c r="Q60" i="6" a="1"/>
  <c r="Q60" i="6" s="1"/>
  <c r="U39" i="6" a="1"/>
  <c r="U39" i="6" s="1"/>
  <c r="Q82" i="6" a="1"/>
  <c r="Q82" i="6" s="1"/>
  <c r="AG10" i="6" a="1"/>
  <c r="AG10" i="6" s="1"/>
  <c r="AK83" i="6" a="1"/>
  <c r="AK83" i="6" s="1"/>
  <c r="M79" i="6" a="1"/>
  <c r="M79" i="6" s="1"/>
  <c r="Y57" i="6" a="1"/>
  <c r="Y57" i="6" s="1"/>
  <c r="U56" i="6" a="1"/>
  <c r="U56" i="6" s="1"/>
  <c r="M37" i="6" a="1"/>
  <c r="M37" i="6" s="1"/>
  <c r="AG70" i="6" a="1"/>
  <c r="AG70" i="6" s="1"/>
  <c r="U51" i="6" a="1"/>
  <c r="U51" i="6" s="1"/>
  <c r="Q91" i="6" a="1"/>
  <c r="Q91" i="6" s="1"/>
  <c r="Q106" i="6" a="1"/>
  <c r="Q106" i="6" s="1"/>
  <c r="U78" i="6" a="1"/>
  <c r="U78" i="6" s="1"/>
  <c r="E92" i="6" a="1"/>
  <c r="E92" i="6" s="1"/>
  <c r="M83" i="6" a="1"/>
  <c r="M83" i="6" s="1"/>
  <c r="U99" i="6" a="1"/>
  <c r="U99" i="6" s="1"/>
  <c r="I83" i="6" a="1"/>
  <c r="I83" i="6" s="1"/>
  <c r="AC20" i="6" a="1"/>
  <c r="AC20" i="6" s="1"/>
  <c r="AG36" i="6" a="1"/>
  <c r="AG36" i="6" s="1"/>
  <c r="AG49" i="6" a="1"/>
  <c r="AG49" i="6" s="1"/>
  <c r="AG86" i="6" a="1"/>
  <c r="AG86" i="6" s="1"/>
  <c r="U62" i="6" a="1"/>
  <c r="U62" i="6" s="1"/>
  <c r="M39" i="6" a="1"/>
  <c r="M39" i="6" s="1"/>
  <c r="AG84" i="6" a="1"/>
  <c r="AG84" i="6" s="1"/>
  <c r="Y26" i="6" a="1"/>
  <c r="Y26" i="6" s="1"/>
  <c r="I7" i="6" a="1"/>
  <c r="I7" i="6" s="1"/>
  <c r="I89" i="6" a="1"/>
  <c r="I89" i="6" s="1"/>
  <c r="Q7" i="6" a="1"/>
  <c r="Q7" i="6" s="1"/>
  <c r="AG78" i="6" a="1"/>
  <c r="AG78" i="6" s="1"/>
  <c r="AO42" i="6" a="1"/>
  <c r="AO42" i="6" s="1"/>
  <c r="AN8" i="8"/>
  <c r="AG77" i="6" a="1"/>
  <c r="AG77" i="6" s="1"/>
  <c r="AO69" i="6" a="1"/>
  <c r="AO69" i="6" s="1"/>
  <c r="Y79" i="6" a="1"/>
  <c r="Y79" i="6" s="1"/>
  <c r="AG69" i="6" a="1"/>
  <c r="AG69" i="6" s="1"/>
  <c r="AG12" i="6" a="1"/>
  <c r="AG12" i="6" s="1"/>
  <c r="AO74" i="6" a="1"/>
  <c r="AO74" i="6" s="1"/>
  <c r="U15" i="6" a="1"/>
  <c r="U15" i="6" s="1"/>
  <c r="Q97" i="6" a="1"/>
  <c r="Q97" i="6" s="1"/>
  <c r="U67" i="6" a="1"/>
  <c r="U67" i="6" s="1"/>
  <c r="I60" i="6" a="1"/>
  <c r="I60" i="6" s="1"/>
  <c r="Y22" i="6" a="1"/>
  <c r="Y22" i="6" s="1"/>
  <c r="I63" i="6" a="1"/>
  <c r="I63" i="6" s="1"/>
  <c r="AC69" i="6" a="1"/>
  <c r="AC69" i="6" s="1"/>
  <c r="AG14" i="6" a="1"/>
  <c r="AG14" i="6" s="1"/>
  <c r="E61" i="6" a="1"/>
  <c r="E61" i="6" s="1"/>
  <c r="U37" i="6" a="1"/>
  <c r="U37" i="6" s="1"/>
  <c r="AC41" i="6" a="1"/>
  <c r="AC41" i="6" s="1"/>
  <c r="E28" i="6" a="1"/>
  <c r="E28" i="6" s="1"/>
  <c r="AG42" i="6" a="1"/>
  <c r="AG42" i="6" s="1"/>
  <c r="AC50" i="6" a="1"/>
  <c r="AC50" i="6" s="1"/>
  <c r="Y7" i="6" a="1"/>
  <c r="Y7" i="6" s="1"/>
  <c r="Y12" i="6" a="1"/>
  <c r="Y12" i="6" s="1"/>
  <c r="I38" i="6" a="1"/>
  <c r="I38" i="6" s="1"/>
  <c r="Y100" i="6" a="1"/>
  <c r="Y100" i="6" s="1"/>
  <c r="AK86" i="6" a="1"/>
  <c r="AK86" i="6" s="1"/>
  <c r="Y9" i="6" a="1"/>
  <c r="Y9" i="6" s="1"/>
  <c r="E35" i="6" a="1"/>
  <c r="E35" i="6" s="1"/>
  <c r="Y68" i="6" a="1"/>
  <c r="Y68" i="6" s="1"/>
  <c r="AC64" i="6" a="1"/>
  <c r="AC64" i="6" s="1"/>
  <c r="AG15" i="6" a="1"/>
  <c r="AG15" i="6" s="1"/>
  <c r="M75" i="6" a="1"/>
  <c r="M75" i="6" s="1"/>
  <c r="M38" i="6" a="1"/>
  <c r="M38" i="6" s="1"/>
  <c r="AC98" i="6" a="1"/>
  <c r="AC98" i="6" s="1"/>
  <c r="U63" i="6" a="1"/>
  <c r="U63" i="6" s="1"/>
  <c r="M53" i="6" a="1"/>
  <c r="M53" i="6" s="1"/>
  <c r="Q81" i="6" a="1"/>
  <c r="Q81" i="6" s="1"/>
  <c r="AK100" i="6" a="1"/>
  <c r="AK100" i="6" s="1"/>
  <c r="I45" i="6" a="1"/>
  <c r="I45" i="6" s="1"/>
  <c r="M81" i="6" a="1"/>
  <c r="M81" i="6" s="1"/>
  <c r="AK67" i="6" a="1"/>
  <c r="AK67" i="6" s="1"/>
  <c r="U17" i="6" a="1"/>
  <c r="U17" i="6" s="1"/>
  <c r="AO75" i="6" a="1"/>
  <c r="AO75" i="6" s="1"/>
  <c r="AO61" i="6" a="1"/>
  <c r="AO61" i="6" s="1"/>
  <c r="U41" i="6" a="1"/>
  <c r="U41" i="6" s="1"/>
  <c r="AK80" i="6" a="1"/>
  <c r="AK80" i="6" s="1"/>
  <c r="M46" i="6" a="1"/>
  <c r="M46" i="6" s="1"/>
  <c r="AO31" i="6" a="1"/>
  <c r="AO31" i="6" s="1"/>
  <c r="AK16" i="6" a="1"/>
  <c r="AK16" i="6" s="1"/>
  <c r="Q66" i="6" a="1"/>
  <c r="Q66" i="6" s="1"/>
  <c r="M103" i="6" a="1"/>
  <c r="M103" i="6" s="1"/>
  <c r="Y39" i="6" a="1"/>
  <c r="Y39" i="6" s="1"/>
  <c r="U68" i="6" a="1"/>
  <c r="U68" i="6" s="1"/>
  <c r="Y84" i="6" a="1"/>
  <c r="Y84" i="6" s="1"/>
  <c r="AO68" i="6" a="1"/>
  <c r="AO68" i="6" s="1"/>
  <c r="Q13" i="6" a="1"/>
  <c r="Q13" i="6" s="1"/>
  <c r="AK21" i="6" a="1"/>
  <c r="AK21" i="6" s="1"/>
  <c r="U46" i="6" a="1"/>
  <c r="U46" i="6" s="1"/>
  <c r="AK97" i="6" a="1"/>
  <c r="AK97" i="6" s="1"/>
  <c r="U42" i="6" a="1"/>
  <c r="U42" i="6" s="1"/>
  <c r="E48" i="6" a="1"/>
  <c r="E48" i="6" s="1"/>
  <c r="Y92" i="6" a="1"/>
  <c r="Y92" i="6" s="1"/>
  <c r="U8" i="6" a="1"/>
  <c r="U8" i="6" s="1"/>
  <c r="Q54" i="6" a="1"/>
  <c r="Q54" i="6" s="1"/>
  <c r="AK19" i="6" a="1"/>
  <c r="AK19" i="6" s="1"/>
  <c r="E39" i="6" a="1"/>
  <c r="E39" i="6" s="1"/>
  <c r="U33" i="6" a="1"/>
  <c r="U33" i="6" s="1"/>
  <c r="M59" i="6" a="1"/>
  <c r="M59" i="6" s="1"/>
  <c r="AC36" i="6" a="1"/>
  <c r="AC36" i="6" s="1"/>
  <c r="Y37" i="6" a="1"/>
  <c r="Y37" i="6" s="1"/>
  <c r="M80" i="6" a="1"/>
  <c r="M80" i="6" s="1"/>
  <c r="M45" i="6" a="1"/>
  <c r="M45" i="6" s="1"/>
  <c r="U19" i="6" a="1"/>
  <c r="U19" i="6" s="1"/>
  <c r="U36" i="6" a="1"/>
  <c r="U36" i="6" s="1"/>
  <c r="Q17" i="6" a="1"/>
  <c r="Q17" i="6" s="1"/>
  <c r="AO14" i="6" a="1"/>
  <c r="AO14" i="6" s="1"/>
  <c r="Y30" i="6" a="1"/>
  <c r="Y30" i="6" s="1"/>
  <c r="AC103" i="6" a="1"/>
  <c r="AC103" i="6" s="1"/>
  <c r="I24" i="6" a="1"/>
  <c r="I24" i="6" s="1"/>
  <c r="M94" i="6" a="1"/>
  <c r="M94" i="6" s="1"/>
  <c r="AK79" i="6" a="1"/>
  <c r="AK79" i="6" s="1"/>
  <c r="Q16" i="6" a="1"/>
  <c r="Q16" i="6" s="1"/>
  <c r="M100" i="6" a="1"/>
  <c r="M100" i="6" s="1"/>
  <c r="U88" i="6" a="1"/>
  <c r="U88" i="6" s="1"/>
  <c r="Q68" i="6" a="1"/>
  <c r="Q68" i="6" s="1"/>
  <c r="E43" i="6" a="1"/>
  <c r="E43" i="6" s="1"/>
  <c r="AC94" i="6" a="1"/>
  <c r="AC94" i="6" s="1"/>
  <c r="AO18" i="6" a="1"/>
  <c r="AO18" i="6" s="1"/>
  <c r="E40" i="6" a="1"/>
  <c r="E40" i="6" s="1"/>
  <c r="Q28" i="6" a="1"/>
  <c r="Q28" i="6" s="1"/>
  <c r="E11" i="6" a="1"/>
  <c r="E11" i="6" s="1"/>
  <c r="E31" i="6" a="1"/>
  <c r="E31" i="6" s="1"/>
  <c r="I23" i="6" a="1"/>
  <c r="I23" i="6" s="1"/>
  <c r="Q23" i="6" a="1"/>
  <c r="Q23" i="6" s="1"/>
  <c r="U11" i="6" a="1"/>
  <c r="U11" i="6" s="1"/>
  <c r="AC104" i="6" a="1"/>
  <c r="AC104" i="6" s="1"/>
  <c r="M95" i="6" a="1"/>
  <c r="M95" i="6" s="1"/>
  <c r="U91" i="6" a="1"/>
  <c r="U91" i="6" s="1"/>
  <c r="I48" i="6" a="1"/>
  <c r="I48" i="6" s="1"/>
  <c r="I41" i="6" a="1"/>
  <c r="I41" i="6" s="1"/>
  <c r="AO72" i="6" a="1"/>
  <c r="AO72" i="6" s="1"/>
  <c r="AO94" i="6" a="1"/>
  <c r="AO94" i="6" s="1"/>
  <c r="AK14" i="6" a="1"/>
  <c r="AK14" i="6" s="1"/>
  <c r="AK10" i="6" a="1"/>
  <c r="AK10" i="6" s="1"/>
  <c r="E12" i="6" a="1"/>
  <c r="E12" i="6" s="1"/>
  <c r="U49" i="6" a="1"/>
  <c r="U49" i="6" s="1"/>
  <c r="Y103" i="6" a="1"/>
  <c r="Y103" i="6" s="1"/>
  <c r="AG7" i="6" a="1"/>
  <c r="AG7" i="6" s="1"/>
  <c r="E47" i="6" a="1"/>
  <c r="E47" i="6" s="1"/>
  <c r="Y47" i="6" a="1"/>
  <c r="Y47" i="6" s="1"/>
  <c r="AO90" i="6" a="1"/>
  <c r="AO90" i="6" s="1"/>
  <c r="I21" i="6" a="1"/>
  <c r="I21" i="6" s="1"/>
  <c r="U61" i="6" a="1"/>
  <c r="U61" i="6" s="1"/>
  <c r="AC25" i="6" a="1"/>
  <c r="AC25" i="6" s="1"/>
  <c r="Y40" i="6" a="1"/>
  <c r="Y40" i="6" s="1"/>
  <c r="AO15" i="6" a="1"/>
  <c r="AO15" i="6" s="1"/>
  <c r="AK88" i="6" a="1"/>
  <c r="AK88" i="6" s="1"/>
  <c r="I50" i="6" a="1"/>
  <c r="I50" i="6" s="1"/>
  <c r="E70" i="6" a="1"/>
  <c r="E70" i="6" s="1"/>
  <c r="U38" i="6" a="1"/>
  <c r="U38" i="6" s="1"/>
  <c r="I39" i="6" a="1"/>
  <c r="I39" i="6" s="1"/>
  <c r="E46" i="6" a="1"/>
  <c r="E46" i="6" s="1"/>
  <c r="AK7" i="6" a="1"/>
  <c r="AK7" i="6" s="1"/>
  <c r="AC60" i="6" a="1"/>
  <c r="AC60" i="6" s="1"/>
  <c r="M71" i="6" a="1"/>
  <c r="M71" i="6" s="1"/>
  <c r="E53" i="6" a="1"/>
  <c r="E53" i="6" s="1"/>
  <c r="Q85" i="6" a="1"/>
  <c r="Q85" i="6" s="1"/>
  <c r="Y73" i="6" a="1"/>
  <c r="Y73" i="6" s="1"/>
  <c r="M13" i="6" a="1"/>
  <c r="M13" i="6" s="1"/>
  <c r="Q65" i="6" a="1"/>
  <c r="Q65" i="6" s="1"/>
  <c r="AK78" i="6" a="1"/>
  <c r="AK78" i="6" s="1"/>
  <c r="E42" i="6" a="1"/>
  <c r="E42" i="6" s="1"/>
  <c r="AO99" i="6" a="1"/>
  <c r="AO99" i="6" s="1"/>
  <c r="Q70" i="6" a="1"/>
  <c r="Q70" i="6" s="1"/>
  <c r="U70" i="6" a="1"/>
  <c r="U70" i="6" s="1"/>
  <c r="Q48" i="6" a="1"/>
  <c r="Q48" i="6" s="1"/>
  <c r="U104" i="6" a="1"/>
  <c r="U104" i="6" s="1"/>
  <c r="AK62" i="6" a="1"/>
  <c r="AK62" i="6" s="1"/>
  <c r="AO102" i="6" a="1"/>
  <c r="AO102" i="6" s="1"/>
  <c r="Y56" i="6" a="1"/>
  <c r="Y56" i="6" s="1"/>
  <c r="AK91" i="6" a="1"/>
  <c r="AK91" i="6" s="1"/>
  <c r="AC97" i="6" a="1"/>
  <c r="AC97" i="6" s="1"/>
  <c r="AK15" i="6" a="1"/>
  <c r="AK15" i="6" s="1"/>
  <c r="I78" i="6" a="1"/>
  <c r="I78" i="6" s="1"/>
  <c r="Y75" i="6" a="1"/>
  <c r="Y75" i="6" s="1"/>
  <c r="AC83" i="6" a="1"/>
  <c r="AC83" i="6" s="1"/>
  <c r="Q93" i="6" a="1"/>
  <c r="Q93" i="6" s="1"/>
  <c r="M56" i="6" a="1"/>
  <c r="M56" i="6" s="1"/>
  <c r="AK85" i="6" a="1"/>
  <c r="AK85" i="6" s="1"/>
  <c r="AK94" i="6" a="1"/>
  <c r="AK94" i="6" s="1"/>
  <c r="M69" i="6" a="1"/>
  <c r="M69" i="6" s="1"/>
  <c r="E18" i="6" a="1"/>
  <c r="E18" i="6" s="1"/>
  <c r="AK36" i="6" a="1"/>
  <c r="AK36" i="6" s="1"/>
  <c r="AK38" i="6" a="1"/>
  <c r="AK38" i="6" s="1"/>
  <c r="Y34" i="6" a="1"/>
  <c r="Y34" i="6" s="1"/>
  <c r="AC7" i="6" a="1"/>
  <c r="AC7" i="6" s="1"/>
  <c r="E99" i="6" a="1"/>
  <c r="E99" i="6" s="1"/>
  <c r="AC9" i="6" a="1"/>
  <c r="AC9" i="6" s="1"/>
  <c r="AK98" i="6" a="1"/>
  <c r="AK98" i="6" s="1"/>
  <c r="AG97" i="6" a="1"/>
  <c r="AG97" i="6" s="1"/>
  <c r="E38" i="6" a="1"/>
  <c r="E38" i="6" s="1"/>
  <c r="AG51" i="6" a="1"/>
  <c r="AG51" i="6" s="1"/>
  <c r="M77" i="6" a="1"/>
  <c r="M77" i="6" s="1"/>
  <c r="Q87" i="6" a="1"/>
  <c r="Q87" i="6" s="1"/>
  <c r="AK48" i="6" a="1"/>
  <c r="AK48" i="6" s="1"/>
  <c r="AK99" i="6" a="1"/>
  <c r="AK99" i="6" s="1"/>
  <c r="M29" i="6" a="1"/>
  <c r="M29" i="6" s="1"/>
  <c r="M102" i="6" a="1"/>
  <c r="M102" i="6" s="1"/>
  <c r="Q79" i="6" a="1"/>
  <c r="Q79" i="6" s="1"/>
  <c r="AO104" i="6" a="1"/>
  <c r="AO104" i="6" s="1"/>
  <c r="AO87" i="6" a="1"/>
  <c r="AO87" i="6" s="1"/>
  <c r="Y60" i="6" a="1"/>
  <c r="Y60" i="6" s="1"/>
  <c r="AG43" i="6" a="1"/>
  <c r="AG43" i="6" s="1"/>
  <c r="AC79" i="6" a="1"/>
  <c r="AC79" i="6" s="1"/>
  <c r="Y50" i="6" a="1"/>
  <c r="Y50" i="6" s="1"/>
  <c r="AC39" i="6" a="1"/>
  <c r="AC39" i="6" s="1"/>
  <c r="AG60" i="6" a="1"/>
  <c r="AG60" i="6" s="1"/>
  <c r="U80" i="6" a="1"/>
  <c r="U80" i="6" s="1"/>
  <c r="Y33" i="6" a="1"/>
  <c r="Y33" i="6" s="1"/>
  <c r="E41" i="6" a="1"/>
  <c r="E41" i="6" s="1"/>
  <c r="I20" i="6" a="1"/>
  <c r="I20" i="6" s="1"/>
  <c r="I76" i="6" a="1"/>
  <c r="I76" i="6" s="1"/>
  <c r="Q51" i="6" a="1"/>
  <c r="Q51" i="6" s="1"/>
  <c r="I42" i="6" a="1"/>
  <c r="I42" i="6" s="1"/>
  <c r="M93" i="6" a="1"/>
  <c r="M93" i="6" s="1"/>
  <c r="Y78" i="6" a="1"/>
  <c r="Y78" i="6" s="1"/>
  <c r="AG28" i="6" a="1"/>
  <c r="AG28" i="6" s="1"/>
  <c r="AK87" i="6" a="1"/>
  <c r="AK87" i="6" s="1"/>
  <c r="M16" i="6" a="1"/>
  <c r="M16" i="6" s="1"/>
  <c r="Y77" i="6" a="1"/>
  <c r="Y77" i="6" s="1"/>
  <c r="AO7" i="6"/>
  <c r="AC81" i="6" a="1"/>
  <c r="AC81" i="6" s="1"/>
  <c r="M51" i="6" a="1"/>
  <c r="M51" i="6" s="1"/>
  <c r="AG29" i="6" a="1"/>
  <c r="AG29" i="6" s="1"/>
  <c r="AG66" i="6" a="1"/>
  <c r="AG66" i="6" s="1"/>
  <c r="E30" i="6" a="1"/>
  <c r="E30" i="6" s="1"/>
  <c r="M50" i="6" a="1"/>
  <c r="M50" i="6" s="1"/>
  <c r="Q19" i="6" a="1"/>
  <c r="Q19" i="6" s="1"/>
  <c r="AO79" i="6" a="1"/>
  <c r="AO79" i="6" s="1"/>
  <c r="Q75" i="6" a="1"/>
  <c r="Q75" i="6" s="1"/>
  <c r="M84" i="6" a="1"/>
  <c r="M84" i="6" s="1"/>
  <c r="AG80" i="6" a="1"/>
  <c r="AG80" i="6" s="1"/>
  <c r="E50" i="6" a="1"/>
  <c r="E50" i="6" s="1"/>
  <c r="AC92" i="6" a="1"/>
  <c r="AC92" i="6" s="1"/>
  <c r="B8" i="6" l="1"/>
  <c r="B87" i="6"/>
  <c r="A87" i="6" s="1"/>
  <c r="B102" i="6"/>
  <c r="A102" i="6" s="1"/>
  <c r="B22" i="6"/>
  <c r="B57" i="6"/>
  <c r="B67" i="6"/>
  <c r="B74" i="6"/>
  <c r="B54" i="6"/>
  <c r="B14" i="6"/>
  <c r="B40" i="6"/>
  <c r="B15" i="6"/>
  <c r="B79" i="6"/>
  <c r="B56" i="6"/>
  <c r="B73" i="6"/>
  <c r="B78" i="6"/>
  <c r="B91" i="6"/>
  <c r="A91" i="6" s="1"/>
  <c r="B24" i="6"/>
  <c r="B84" i="6"/>
  <c r="B49" i="6"/>
  <c r="B21" i="6"/>
  <c r="B13" i="6"/>
  <c r="B82" i="6"/>
  <c r="B98" i="6"/>
  <c r="A98" i="6" s="1"/>
  <c r="B81" i="6"/>
  <c r="B39" i="6"/>
  <c r="B68" i="6"/>
  <c r="B41" i="6"/>
  <c r="B95" i="6"/>
  <c r="A95" i="6" s="1"/>
  <c r="B69" i="6"/>
  <c r="B75" i="6"/>
  <c r="B86" i="6"/>
  <c r="B25" i="6"/>
  <c r="B72" i="6"/>
  <c r="B47" i="6"/>
  <c r="B23" i="6"/>
  <c r="B62" i="6"/>
  <c r="B92" i="6"/>
  <c r="A92" i="6" s="1"/>
  <c r="B45" i="6"/>
  <c r="B99" i="6"/>
  <c r="A99" i="6" s="1"/>
  <c r="B83" i="6"/>
  <c r="B16" i="6"/>
  <c r="B66" i="6"/>
  <c r="B80" i="6"/>
  <c r="B18" i="6"/>
  <c r="B10" i="6"/>
  <c r="B90" i="6"/>
  <c r="A90" i="6" s="1"/>
  <c r="B44" i="6"/>
  <c r="B42" i="6"/>
  <c r="B26" i="6"/>
  <c r="B60" i="6"/>
  <c r="B37" i="6"/>
  <c r="B27" i="6"/>
  <c r="B103" i="6"/>
  <c r="A103" i="6" s="1"/>
  <c r="B76" i="6"/>
  <c r="B105" i="6"/>
  <c r="A105" i="6" s="1"/>
  <c r="B20" i="6"/>
  <c r="B52" i="6"/>
  <c r="B34" i="6"/>
  <c r="B33" i="6"/>
  <c r="B77" i="6"/>
  <c r="B32" i="6"/>
  <c r="B61" i="6"/>
  <c r="B36" i="6"/>
  <c r="B53" i="6"/>
  <c r="B100" i="6"/>
  <c r="A100" i="6" s="1"/>
  <c r="B58" i="6"/>
  <c r="B9" i="6"/>
  <c r="B93" i="6"/>
  <c r="A93" i="6" s="1"/>
  <c r="B63" i="6"/>
  <c r="B89" i="6"/>
  <c r="A89" i="6" s="1"/>
  <c r="B29" i="6"/>
  <c r="B35" i="6"/>
  <c r="B51" i="6"/>
  <c r="B97" i="6"/>
  <c r="A97" i="6" s="1"/>
  <c r="B38" i="6"/>
  <c r="B30" i="6"/>
  <c r="B19" i="6"/>
  <c r="B59" i="6"/>
  <c r="B46" i="6"/>
  <c r="B31" i="6"/>
  <c r="B48" i="6"/>
  <c r="B55" i="6"/>
  <c r="B43" i="6"/>
  <c r="B70" i="6"/>
  <c r="B104" i="6"/>
  <c r="A104" i="6" s="1"/>
  <c r="B28" i="6"/>
  <c r="B71" i="6"/>
  <c r="B94" i="6"/>
  <c r="A94" i="6" s="1"/>
  <c r="B11" i="6"/>
  <c r="B65" i="6"/>
  <c r="B85" i="6"/>
  <c r="B17" i="6"/>
  <c r="B64" i="6"/>
  <c r="B101" i="6"/>
  <c r="A101" i="6" s="1"/>
  <c r="B88" i="6"/>
  <c r="A88" i="6" s="1"/>
  <c r="B12" i="6"/>
  <c r="B106" i="6"/>
  <c r="A106" i="6" s="1"/>
  <c r="B96" i="6"/>
  <c r="A96" i="6" s="1"/>
  <c r="B50" i="6"/>
  <c r="A36" i="6" l="1"/>
  <c r="A12" i="6"/>
  <c r="A31" i="6"/>
  <c r="A35" i="6"/>
  <c r="A53" i="6"/>
  <c r="A20" i="6"/>
  <c r="A42" i="6"/>
  <c r="A83" i="6"/>
  <c r="A25" i="6"/>
  <c r="A81" i="6"/>
  <c r="A54" i="6"/>
  <c r="A29" i="6"/>
  <c r="A61" i="6"/>
  <c r="A76" i="6"/>
  <c r="A45" i="6"/>
  <c r="A75" i="6"/>
  <c r="A82" i="6"/>
  <c r="A73" i="6"/>
  <c r="A67" i="6"/>
  <c r="A44" i="6"/>
  <c r="A74" i="6"/>
  <c r="A28" i="6"/>
  <c r="A19" i="6"/>
  <c r="A63" i="6"/>
  <c r="A32" i="6"/>
  <c r="A10" i="6"/>
  <c r="A69" i="6"/>
  <c r="A13" i="6"/>
  <c r="A56" i="6"/>
  <c r="A57" i="6"/>
  <c r="A71" i="6"/>
  <c r="A59" i="6"/>
  <c r="A17" i="6"/>
  <c r="A70" i="6"/>
  <c r="A30" i="6"/>
  <c r="A77" i="6"/>
  <c r="A27" i="6"/>
  <c r="A18" i="6"/>
  <c r="A62" i="6"/>
  <c r="A21" i="6"/>
  <c r="A79" i="6"/>
  <c r="A22" i="6"/>
  <c r="A46" i="6"/>
  <c r="A86" i="6"/>
  <c r="A64" i="6"/>
  <c r="A50" i="6"/>
  <c r="A85" i="6"/>
  <c r="A43" i="6"/>
  <c r="A38" i="6"/>
  <c r="A9" i="6"/>
  <c r="A33" i="6"/>
  <c r="A37" i="6"/>
  <c r="A80" i="6"/>
  <c r="A23" i="6"/>
  <c r="A41" i="6"/>
  <c r="A49" i="6"/>
  <c r="A15" i="6"/>
  <c r="A65" i="6"/>
  <c r="A55" i="6"/>
  <c r="A58" i="6"/>
  <c r="A34" i="6"/>
  <c r="A60" i="6"/>
  <c r="A66" i="6"/>
  <c r="A47" i="6"/>
  <c r="A68" i="6"/>
  <c r="A84" i="6"/>
  <c r="A40" i="6"/>
  <c r="A78" i="6"/>
  <c r="A11" i="6"/>
  <c r="A48" i="6"/>
  <c r="A51" i="6"/>
  <c r="A52" i="6"/>
  <c r="A26" i="6"/>
  <c r="A16" i="6"/>
  <c r="A72" i="6"/>
  <c r="A39" i="6"/>
  <c r="A24" i="6"/>
  <c r="A14" i="6"/>
  <c r="A8" i="6"/>
  <c r="B17" i="11" l="1"/>
  <c r="Q8" i="9" s="1"/>
  <c r="B60" i="11"/>
  <c r="B51" i="11"/>
  <c r="B42" i="11"/>
  <c r="B96" i="11"/>
  <c r="B52" i="11"/>
  <c r="Q46" i="9" s="1"/>
  <c r="B91" i="11"/>
  <c r="B101" i="11"/>
  <c r="B22" i="11"/>
  <c r="Q36" i="9" s="1"/>
  <c r="B98" i="11"/>
  <c r="B47" i="11"/>
  <c r="Q18" i="9" s="1"/>
  <c r="B99" i="11"/>
  <c r="B76" i="11"/>
  <c r="Q54" i="9" s="1"/>
  <c r="B79" i="11"/>
  <c r="Q55" i="9" s="1"/>
  <c r="B50" i="11"/>
  <c r="Q19" i="9" s="1"/>
  <c r="B56" i="11"/>
  <c r="Q21" i="9" s="1"/>
  <c r="B28" i="11"/>
  <c r="Q38" i="9" s="1"/>
  <c r="B29" i="11"/>
  <c r="Q12" i="9" s="1"/>
  <c r="B81" i="11"/>
  <c r="B39" i="11"/>
  <c r="B62" i="11"/>
  <c r="Q23" i="9" s="1"/>
  <c r="B31" i="11"/>
  <c r="Q39" i="9" s="1"/>
  <c r="B65" i="11"/>
  <c r="Q24" i="9" s="1"/>
  <c r="B68" i="11"/>
  <c r="Q25" i="9" s="1"/>
  <c r="B43" i="11"/>
  <c r="Q43" i="9" s="1"/>
  <c r="B85" i="11"/>
  <c r="B21" i="11"/>
  <c r="B35" i="11"/>
  <c r="Q14" i="9" s="1"/>
  <c r="B32" i="11"/>
  <c r="Q13" i="9" s="1"/>
  <c r="B93" i="11"/>
  <c r="B94" i="11"/>
  <c r="B80" i="11"/>
  <c r="B37" i="11"/>
  <c r="Q41" i="9" s="1"/>
  <c r="B82" i="11"/>
  <c r="B87" i="11"/>
  <c r="B36" i="11"/>
  <c r="B26" i="11"/>
  <c r="Q11" i="9" s="1"/>
  <c r="B46" i="11"/>
  <c r="Q44" i="9" s="1"/>
  <c r="B84" i="11"/>
  <c r="B54" i="11"/>
  <c r="B70" i="11"/>
  <c r="Q52" i="9" s="1"/>
  <c r="B95" i="11"/>
  <c r="B83" i="11"/>
  <c r="B86" i="11"/>
  <c r="B75" i="11"/>
  <c r="B34" i="11"/>
  <c r="Q40" i="9" s="1"/>
  <c r="B44" i="11"/>
  <c r="Q17" i="9" s="1"/>
  <c r="B24" i="11"/>
  <c r="B27" i="11"/>
  <c r="B100" i="11"/>
  <c r="B59" i="11"/>
  <c r="Q22" i="9" s="1"/>
  <c r="B30" i="11"/>
  <c r="B45" i="11"/>
  <c r="B73" i="11"/>
  <c r="Q53" i="9" s="1"/>
  <c r="B18" i="11"/>
  <c r="B49" i="11"/>
  <c r="Q45" i="9" s="1"/>
  <c r="B88" i="11"/>
  <c r="B48" i="11"/>
  <c r="B58" i="11"/>
  <c r="Q48" i="9" s="1"/>
  <c r="B41" i="11"/>
  <c r="Q16" i="9" s="1"/>
  <c r="B67" i="11"/>
  <c r="Q51" i="9" s="1"/>
  <c r="B74" i="11"/>
  <c r="Q27" i="9" s="1"/>
  <c r="B57" i="11"/>
  <c r="B69" i="11"/>
  <c r="B25" i="11"/>
  <c r="Q37" i="9" s="1"/>
  <c r="B64" i="11"/>
  <c r="Q50" i="9" s="1"/>
  <c r="B40" i="11"/>
  <c r="Q42" i="9" s="1"/>
  <c r="B61" i="11"/>
  <c r="Q49" i="9" s="1"/>
  <c r="B19" i="11"/>
  <c r="Q35" i="9" s="1"/>
  <c r="B38" i="11"/>
  <c r="Q15" i="9" s="1"/>
  <c r="B78" i="11"/>
  <c r="B92" i="11"/>
  <c r="B97" i="11"/>
  <c r="B63" i="11"/>
  <c r="B72" i="11"/>
  <c r="B55" i="11"/>
  <c r="Q47" i="9" s="1"/>
  <c r="B33" i="11"/>
  <c r="B53" i="11"/>
  <c r="Q20" i="9" s="1"/>
  <c r="B89" i="11"/>
  <c r="B77" i="11"/>
  <c r="Q28" i="9" s="1"/>
  <c r="B71" i="11"/>
  <c r="Q26" i="9" s="1"/>
  <c r="B90" i="11"/>
  <c r="B66" i="11"/>
  <c r="B23" i="11"/>
  <c r="Q10" i="9" s="1"/>
  <c r="B20" i="11"/>
  <c r="Q9" i="9" s="1"/>
  <c r="B16" i="11" l="1"/>
  <c r="Q34" i="9" s="1"/>
  <c r="C44" i="11"/>
  <c r="C31" i="11"/>
  <c r="C98" i="11"/>
  <c r="C17" i="11"/>
  <c r="C16" i="11" s="1"/>
  <c r="C15" i="11" s="1"/>
  <c r="C14" i="11" s="1"/>
  <c r="C13" i="11" s="1"/>
  <c r="C12" i="11" s="1"/>
  <c r="C11" i="11" s="1"/>
  <c r="C10" i="11" s="1"/>
  <c r="C9" i="11" s="1"/>
  <c r="C8" i="11" s="1"/>
  <c r="C7" i="11" s="1"/>
  <c r="C6" i="11" s="1"/>
  <c r="C5" i="11" s="1"/>
  <c r="C4" i="11" s="1"/>
  <c r="C3" i="11" s="1"/>
  <c r="C2" i="11" s="1"/>
  <c r="C38" i="11"/>
  <c r="C51" i="11"/>
  <c r="C74" i="11"/>
  <c r="C82" i="11"/>
  <c r="C85" i="11"/>
  <c r="C66" i="11"/>
  <c r="C92" i="11"/>
  <c r="C34" i="11"/>
  <c r="C32" i="11"/>
  <c r="C95" i="11"/>
  <c r="C64" i="11"/>
  <c r="C20" i="11"/>
  <c r="C68" i="11"/>
  <c r="C52" i="11"/>
  <c r="C29" i="11"/>
  <c r="C47" i="11"/>
  <c r="C37" i="11"/>
  <c r="C36" i="11"/>
  <c r="C26" i="11"/>
  <c r="C69" i="11"/>
  <c r="C57" i="11"/>
  <c r="C60" i="11"/>
  <c r="C65" i="11"/>
  <c r="C54" i="11"/>
  <c r="C27" i="11"/>
  <c r="C50" i="11"/>
  <c r="C91" i="11"/>
  <c r="C24" i="11"/>
  <c r="C77" i="11"/>
  <c r="C81" i="11"/>
  <c r="C87" i="11"/>
  <c r="C35" i="11"/>
  <c r="C18" i="11"/>
  <c r="C73" i="11"/>
  <c r="C23" i="11"/>
  <c r="C42" i="11"/>
  <c r="C49" i="11"/>
  <c r="C96" i="11"/>
  <c r="C41" i="11"/>
  <c r="C56" i="11"/>
  <c r="C40" i="11"/>
  <c r="C45" i="11"/>
  <c r="C86" i="11"/>
  <c r="C76" i="11"/>
  <c r="C75" i="11"/>
  <c r="C39" i="11"/>
  <c r="C43" i="11"/>
  <c r="C71" i="11"/>
  <c r="C84" i="11"/>
  <c r="C25" i="11"/>
  <c r="C48" i="11"/>
  <c r="C33" i="11"/>
  <c r="C55" i="11"/>
  <c r="C72" i="11"/>
  <c r="C22" i="11"/>
  <c r="C97" i="11"/>
  <c r="C61" i="11"/>
  <c r="C58" i="11"/>
  <c r="C100" i="11"/>
  <c r="C46" i="11"/>
  <c r="C19" i="11"/>
  <c r="C101" i="11"/>
  <c r="C70" i="11"/>
  <c r="C89" i="11"/>
  <c r="C93" i="11"/>
  <c r="C80" i="11"/>
  <c r="C30" i="11"/>
  <c r="C78" i="11"/>
  <c r="C88" i="11"/>
  <c r="C53" i="11"/>
  <c r="C21" i="11"/>
  <c r="C28" i="11"/>
  <c r="C83" i="11"/>
  <c r="C59" i="11"/>
  <c r="C90" i="11"/>
  <c r="C94" i="11"/>
  <c r="C67" i="11"/>
  <c r="C79" i="11"/>
  <c r="C63" i="11"/>
  <c r="C99" i="11"/>
  <c r="C62" i="11"/>
  <c r="B15" i="11" l="1"/>
  <c r="B14" i="11" s="1"/>
  <c r="Q7" i="9" s="1"/>
  <c r="B13" i="11" l="1"/>
  <c r="Q33" i="9" s="1"/>
  <c r="B12" i="11" l="1"/>
  <c r="B11" i="11" s="1"/>
  <c r="Q6" i="9" s="1"/>
  <c r="B10" i="11" l="1"/>
  <c r="Q32" i="9" s="1"/>
  <c r="B9" i="11" l="1"/>
  <c r="B8" i="11" s="1"/>
  <c r="Q5" i="9" s="1"/>
  <c r="B7" i="11" l="1"/>
  <c r="Q31" i="9" s="1"/>
  <c r="B6" i="11" l="1"/>
  <c r="B5" i="11" s="1"/>
  <c r="Q4" i="9" l="1"/>
  <c r="Q30" i="9"/>
  <c r="B4" i="11"/>
  <c r="B3" i="11" s="1"/>
  <c r="B2" i="11" s="1"/>
  <c r="Q29" i="9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9：表示技能
第二位：表示职业
第三位：表示类型
第四位：表示技能序号
第五位：表示技能阶段
第六、七位：表示等级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
0.通用</t>
        </r>
        <r>
          <rPr>
            <sz val="9"/>
            <color indexed="81"/>
            <rFont val="宋体"/>
            <family val="3"/>
            <charset val="134"/>
          </rPr>
          <t xml:space="preserve">
1.陈浩南
2.山鸡
3.细细粒
4.神父
5.boss技能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每个品级间的等级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
0.普攻</t>
        </r>
        <r>
          <rPr>
            <sz val="9"/>
            <color indexed="81"/>
            <rFont val="宋体"/>
            <family val="3"/>
            <charset val="134"/>
          </rPr>
          <t xml:space="preserve">
1.一招技能
2.连招技能
3.霸体技能
4.sp技能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百分比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数值类型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单位MS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技能攻击的时候，招数可能会攻击两次，导致次数相乘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增加次数</t>
        </r>
      </text>
    </comment>
    <comment ref="A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数值类型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
0.通用</t>
        </r>
        <r>
          <rPr>
            <sz val="9"/>
            <color indexed="81"/>
            <rFont val="宋体"/>
            <family val="3"/>
            <charset val="134"/>
          </rPr>
          <t xml:space="preserve">
1.陈浩南
2.山鸡
3.细细粒
4.神父
5.boss技能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单位MS</t>
        </r>
      </text>
    </comment>
  </commentList>
</comments>
</file>

<file path=xl/comments3.xml><?xml version="1.0" encoding="utf-8"?>
<comments xmlns="http://schemas.openxmlformats.org/spreadsheetml/2006/main">
  <authors>
    <author>bobuchen</author>
    <author>作者</author>
  </authors>
  <commentLis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陈浩南总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山鸡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细细粒</t>
        </r>
      </text>
    </comment>
    <comment ref="E2" authorId="1" shapeId="0">
      <text>
        <r>
          <rPr>
            <b/>
            <sz val="9"/>
            <color indexed="81"/>
            <rFont val="宋体"/>
            <family val="3"/>
            <charset val="134"/>
          </rPr>
          <t>作者:
0.通用</t>
        </r>
        <r>
          <rPr>
            <sz val="9"/>
            <color indexed="81"/>
            <rFont val="宋体"/>
            <family val="3"/>
            <charset val="134"/>
          </rPr>
          <t xml:space="preserve">
1.陈浩南
2.山鸡
3.细细粒
4.神父
5.boss技能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特殊的地方，多了一下结尾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
0.通用</t>
        </r>
        <r>
          <rPr>
            <sz val="9"/>
            <color indexed="81"/>
            <rFont val="宋体"/>
            <family val="3"/>
            <charset val="134"/>
          </rPr>
          <t xml:space="preserve">
1.陈浩南
2.山鸡
3.细细粒
4.神父
5.boss技能</t>
        </r>
      </text>
    </comment>
  </commentList>
</comments>
</file>

<file path=xl/sharedStrings.xml><?xml version="1.0" encoding="utf-8"?>
<sst xmlns="http://schemas.openxmlformats.org/spreadsheetml/2006/main" count="2092" uniqueCount="203">
  <si>
    <t>技能名称</t>
    <phoneticPr fontId="2" type="noConversion"/>
  </si>
  <si>
    <t>职业</t>
    <phoneticPr fontId="1" type="noConversion"/>
  </si>
  <si>
    <t>技能说明</t>
    <phoneticPr fontId="1" type="noConversion"/>
  </si>
  <si>
    <t>技能等级</t>
    <phoneticPr fontId="1" type="noConversion"/>
  </si>
  <si>
    <t>技能类型</t>
    <phoneticPr fontId="1" type="noConversion"/>
  </si>
  <si>
    <t>次数</t>
    <phoneticPr fontId="2" type="noConversion"/>
  </si>
  <si>
    <t>技能CD</t>
    <phoneticPr fontId="1" type="noConversion"/>
  </si>
  <si>
    <t>攻击框个数</t>
    <phoneticPr fontId="2" type="noConversion"/>
  </si>
  <si>
    <t>段数</t>
    <phoneticPr fontId="1" type="noConversion"/>
  </si>
  <si>
    <t>顺序</t>
    <phoneticPr fontId="1" type="noConversion"/>
  </si>
  <si>
    <t>聚能手雷</t>
  </si>
  <si>
    <t>攻击框个数</t>
    <phoneticPr fontId="1" type="noConversion"/>
  </si>
  <si>
    <t>打击次数</t>
    <phoneticPr fontId="1" type="noConversion"/>
  </si>
  <si>
    <t>总打击次数</t>
    <phoneticPr fontId="1" type="noConversion"/>
  </si>
  <si>
    <t>顺序</t>
    <phoneticPr fontId="2" type="noConversion"/>
  </si>
  <si>
    <t>总技能等级</t>
    <phoneticPr fontId="1" type="noConversion"/>
  </si>
  <si>
    <t>技能类型</t>
    <phoneticPr fontId="1" type="noConversion"/>
  </si>
  <si>
    <t>开启等级</t>
    <phoneticPr fontId="1" type="noConversion"/>
  </si>
  <si>
    <t>技能段数</t>
    <phoneticPr fontId="1" type="noConversion"/>
  </si>
  <si>
    <t>辅助ID</t>
    <phoneticPr fontId="1" type="noConversion"/>
  </si>
  <si>
    <t>伤害系数</t>
    <phoneticPr fontId="1" type="noConversion"/>
  </si>
  <si>
    <t>伤害总系数</t>
    <phoneticPr fontId="1" type="noConversion"/>
  </si>
  <si>
    <t>技能伤害系数</t>
    <phoneticPr fontId="1" type="noConversion"/>
  </si>
  <si>
    <t>初始金币</t>
    <phoneticPr fontId="1" type="noConversion"/>
  </si>
  <si>
    <t>初始CD时间</t>
    <phoneticPr fontId="1" type="noConversion"/>
  </si>
  <si>
    <t>玫瑰之舞第1段</t>
    <phoneticPr fontId="1" type="noConversion"/>
  </si>
  <si>
    <t>玫瑰之舞第2段</t>
  </si>
  <si>
    <t>玫瑰之舞第3段</t>
  </si>
  <si>
    <t>玫瑰之舞第4段</t>
  </si>
  <si>
    <t>开启等级</t>
  </si>
  <si>
    <t>总技能等级</t>
  </si>
  <si>
    <t>伤害系数</t>
  </si>
  <si>
    <t>剑手金币总消耗</t>
    <phoneticPr fontId="1" type="noConversion"/>
  </si>
  <si>
    <t>女枪金币总消耗</t>
    <phoneticPr fontId="1" type="noConversion"/>
  </si>
  <si>
    <t>山鸡金币总消耗</t>
    <phoneticPr fontId="1" type="noConversion"/>
  </si>
  <si>
    <t>需求物品等级</t>
    <phoneticPr fontId="1" type="noConversion"/>
  </si>
  <si>
    <t>随机伤害</t>
    <phoneticPr fontId="1" type="noConversion"/>
  </si>
  <si>
    <t>招式ID</t>
    <phoneticPr fontId="1" type="noConversion"/>
  </si>
  <si>
    <t>ICONID</t>
    <phoneticPr fontId="1" type="noConversion"/>
  </si>
  <si>
    <t>初始金币</t>
    <phoneticPr fontId="1" type="noConversion"/>
  </si>
  <si>
    <t>角色等级</t>
    <phoneticPr fontId="1" type="noConversion"/>
  </si>
  <si>
    <t>属性价值</t>
    <phoneticPr fontId="1" type="noConversion"/>
  </si>
  <si>
    <t>总伤害系数</t>
    <phoneticPr fontId="1" type="noConversion"/>
  </si>
  <si>
    <t>等级</t>
    <phoneticPr fontId="1" type="noConversion"/>
  </si>
  <si>
    <t>金钱</t>
    <phoneticPr fontId="1" type="noConversion"/>
  </si>
  <si>
    <t>等级</t>
    <phoneticPr fontId="1" type="noConversion"/>
  </si>
  <si>
    <t>金钱</t>
    <phoneticPr fontId="1" type="noConversion"/>
  </si>
  <si>
    <t>角色等级</t>
    <phoneticPr fontId="1" type="noConversion"/>
  </si>
  <si>
    <t>原顺序</t>
    <phoneticPr fontId="1" type="noConversion"/>
  </si>
  <si>
    <t>普通玩家期望属性</t>
    <phoneticPr fontId="1" type="noConversion"/>
  </si>
  <si>
    <t>随机总伤害</t>
    <phoneticPr fontId="1" type="noConversion"/>
  </si>
  <si>
    <t>最终伤害系数</t>
    <phoneticPr fontId="1" type="noConversion"/>
  </si>
  <si>
    <t>总段数</t>
    <phoneticPr fontId="1" type="noConversion"/>
  </si>
  <si>
    <t>消耗金币</t>
    <phoneticPr fontId="1" type="noConversion"/>
  </si>
  <si>
    <t>总战斗力</t>
    <phoneticPr fontId="1" type="noConversion"/>
  </si>
  <si>
    <t>比重</t>
    <phoneticPr fontId="1" type="noConversion"/>
  </si>
  <si>
    <t>总量</t>
    <phoneticPr fontId="1" type="noConversion"/>
  </si>
  <si>
    <t>伤害百分比</t>
    <phoneticPr fontId="1" type="noConversion"/>
  </si>
  <si>
    <t>辅助技能段数</t>
    <phoneticPr fontId="1" type="noConversion"/>
  </si>
  <si>
    <t>战斗力</t>
    <phoneticPr fontId="1" type="noConversion"/>
  </si>
  <si>
    <t>招式ID</t>
    <phoneticPr fontId="1" type="noConversion"/>
  </si>
  <si>
    <t>伤害百分比</t>
    <phoneticPr fontId="1" type="noConversion"/>
  </si>
  <si>
    <t>额外伤害百分比</t>
    <phoneticPr fontId="1" type="noConversion"/>
  </si>
  <si>
    <t>真实伤害</t>
    <phoneticPr fontId="1" type="noConversion"/>
  </si>
  <si>
    <t>参考DPS</t>
    <phoneticPr fontId="1" type="noConversion"/>
  </si>
  <si>
    <t>额外伤害系数</t>
    <phoneticPr fontId="1" type="noConversion"/>
  </si>
  <si>
    <t>伤害评估</t>
    <phoneticPr fontId="1" type="noConversion"/>
  </si>
  <si>
    <t>辅助解锁等级</t>
    <phoneticPr fontId="1" type="noConversion"/>
  </si>
  <si>
    <t>参考伤害</t>
    <phoneticPr fontId="1" type="noConversion"/>
  </si>
  <si>
    <t>参考伤害百分比</t>
    <phoneticPr fontId="1" type="noConversion"/>
  </si>
  <si>
    <t>参考伤害</t>
    <phoneticPr fontId="1" type="noConversion"/>
  </si>
  <si>
    <t>需求物品数量</t>
    <phoneticPr fontId="1" type="noConversion"/>
  </si>
  <si>
    <t>需要物品等级</t>
    <phoneticPr fontId="1" type="noConversion"/>
  </si>
  <si>
    <t>道具</t>
    <phoneticPr fontId="1" type="noConversion"/>
  </si>
  <si>
    <t>道具数量</t>
    <phoneticPr fontId="1" type="noConversion"/>
  </si>
  <si>
    <t>技能平均DPS</t>
    <phoneticPr fontId="1" type="noConversion"/>
  </si>
  <si>
    <t>参考伤害2</t>
    <phoneticPr fontId="1" type="noConversion"/>
  </si>
  <si>
    <t>预期最后伤害</t>
    <phoneticPr fontId="1" type="noConversion"/>
  </si>
  <si>
    <t>技能等级</t>
    <phoneticPr fontId="1" type="noConversion"/>
  </si>
  <si>
    <t>总打击次数</t>
    <phoneticPr fontId="1" type="noConversion"/>
  </si>
  <si>
    <t>战斗力</t>
    <phoneticPr fontId="1" type="noConversion"/>
  </si>
  <si>
    <t>总战斗力</t>
    <phoneticPr fontId="1" type="noConversion"/>
  </si>
  <si>
    <t>瞬狱·斩</t>
    <phoneticPr fontId="1" type="noConversion"/>
  </si>
  <si>
    <t>影袭·斩第1段</t>
    <phoneticPr fontId="1" type="noConversion"/>
  </si>
  <si>
    <t>影袭·斩第2段</t>
    <phoneticPr fontId="1" type="noConversion"/>
  </si>
  <si>
    <t>影袭·斩第3段</t>
    <phoneticPr fontId="1" type="noConversion"/>
  </si>
  <si>
    <t>影袭·斩第4段</t>
    <phoneticPr fontId="1" type="noConversion"/>
  </si>
  <si>
    <t>光刃·斩</t>
    <phoneticPr fontId="1" type="noConversion"/>
  </si>
  <si>
    <t>裂空·斩第1段</t>
    <phoneticPr fontId="1" type="noConversion"/>
  </si>
  <si>
    <t>裂空·斩第2段</t>
    <phoneticPr fontId="1" type="noConversion"/>
  </si>
  <si>
    <t>裂空·斩第3段</t>
    <phoneticPr fontId="1" type="noConversion"/>
  </si>
  <si>
    <t>裂空·斩第4段</t>
    <phoneticPr fontId="1" type="noConversion"/>
  </si>
  <si>
    <t>虎啸</t>
    <phoneticPr fontId="2" type="noConversion"/>
  </si>
  <si>
    <t>龙拳第1段</t>
    <phoneticPr fontId="2" type="noConversion"/>
  </si>
  <si>
    <t>龙拳第2段</t>
    <phoneticPr fontId="1" type="noConversion"/>
  </si>
  <si>
    <t>龙拳第3段</t>
    <phoneticPr fontId="1" type="noConversion"/>
  </si>
  <si>
    <t>龙拳第4段</t>
    <phoneticPr fontId="1" type="noConversion"/>
  </si>
  <si>
    <t>裂地诀</t>
    <phoneticPr fontId="2" type="noConversion"/>
  </si>
  <si>
    <t>幻影脚第1段</t>
    <phoneticPr fontId="2" type="noConversion"/>
  </si>
  <si>
    <t>幻影脚第2段</t>
    <phoneticPr fontId="1" type="noConversion"/>
  </si>
  <si>
    <t>幻影脚第3段</t>
    <phoneticPr fontId="1" type="noConversion"/>
  </si>
  <si>
    <t>幻影脚第4段</t>
    <phoneticPr fontId="1" type="noConversion"/>
  </si>
  <si>
    <t>激光轰击</t>
    <phoneticPr fontId="1" type="noConversion"/>
  </si>
  <si>
    <t>玫瑰之舞第2段</t>
    <phoneticPr fontId="1" type="noConversion"/>
  </si>
  <si>
    <t>子弹风暴第1段</t>
    <phoneticPr fontId="1" type="noConversion"/>
  </si>
  <si>
    <t>子弹风暴第2段</t>
  </si>
  <si>
    <t>子弹风暴第3段</t>
  </si>
  <si>
    <t>子弹风暴第4段</t>
  </si>
  <si>
    <t>瞬狱·斩</t>
    <phoneticPr fontId="1" type="noConversion"/>
  </si>
  <si>
    <t>ID</t>
  </si>
  <si>
    <t>ID</t>
    <phoneticPr fontId="1" type="noConversion"/>
  </si>
  <si>
    <t>技能名称</t>
  </si>
  <si>
    <t>技能名称</t>
    <phoneticPr fontId="1" type="noConversion"/>
  </si>
  <si>
    <t>辅助技能名称</t>
  </si>
  <si>
    <t>辅助技能名称</t>
    <phoneticPr fontId="2" type="noConversion"/>
  </si>
  <si>
    <t>解锁等级</t>
    <phoneticPr fontId="1" type="noConversion"/>
  </si>
  <si>
    <t>影袭·斩</t>
    <phoneticPr fontId="1" type="noConversion"/>
  </si>
  <si>
    <t>裂空·斩</t>
    <phoneticPr fontId="1" type="noConversion"/>
  </si>
  <si>
    <t>龙拳</t>
    <phoneticPr fontId="2" type="noConversion"/>
  </si>
  <si>
    <t>幻影脚</t>
    <phoneticPr fontId="2" type="noConversion"/>
  </si>
  <si>
    <t>玫瑰之舞</t>
    <phoneticPr fontId="1" type="noConversion"/>
  </si>
  <si>
    <t>子弹风暴</t>
    <phoneticPr fontId="1" type="noConversion"/>
  </si>
  <si>
    <t>影袭·斩</t>
    <phoneticPr fontId="1" type="noConversion"/>
  </si>
  <si>
    <t>光刃·斩</t>
    <phoneticPr fontId="1" type="noConversion"/>
  </si>
  <si>
    <t>激光轰击</t>
    <phoneticPr fontId="1" type="noConversion"/>
  </si>
  <si>
    <t>等级</t>
    <phoneticPr fontId="1" type="noConversion"/>
  </si>
  <si>
    <t>裂空·斩</t>
    <phoneticPr fontId="1" type="noConversion"/>
  </si>
  <si>
    <t>金币/属性价值=40</t>
    <phoneticPr fontId="1" type="noConversion"/>
  </si>
  <si>
    <t>战斗力</t>
    <phoneticPr fontId="1" type="noConversion"/>
  </si>
  <si>
    <t>总战斗力</t>
    <phoneticPr fontId="1" type="noConversion"/>
  </si>
  <si>
    <t>需求物品等级</t>
  </si>
  <si>
    <t>需求物品等级</t>
    <phoneticPr fontId="1" type="noConversion"/>
  </si>
  <si>
    <t>物品数量</t>
    <phoneticPr fontId="1" type="noConversion"/>
  </si>
  <si>
    <t>技能升级</t>
    <phoneticPr fontId="1" type="noConversion"/>
  </si>
  <si>
    <t>技能CD</t>
    <phoneticPr fontId="1" type="noConversion"/>
  </si>
  <si>
    <t>技能升级总金币</t>
    <phoneticPr fontId="1" type="noConversion"/>
  </si>
  <si>
    <t>技能CD总金币</t>
    <phoneticPr fontId="1" type="noConversion"/>
  </si>
  <si>
    <t>技能总金币</t>
    <phoneticPr fontId="1" type="noConversion"/>
  </si>
  <si>
    <t>最终CD</t>
    <phoneticPr fontId="1" type="noConversion"/>
  </si>
  <si>
    <t>等比系数</t>
    <phoneticPr fontId="1" type="noConversion"/>
  </si>
  <si>
    <t>伤害评估</t>
    <phoneticPr fontId="1" type="noConversion"/>
  </si>
  <si>
    <t>总等级</t>
    <phoneticPr fontId="1" type="noConversion"/>
  </si>
  <si>
    <t>技能石价值</t>
    <phoneticPr fontId="1" type="noConversion"/>
  </si>
  <si>
    <t>冷却石价值</t>
    <phoneticPr fontId="1" type="noConversion"/>
  </si>
  <si>
    <t>冷却石总需求</t>
    <phoneticPr fontId="1" type="noConversion"/>
  </si>
  <si>
    <t>技能石总消耗</t>
    <phoneticPr fontId="1" type="noConversion"/>
  </si>
  <si>
    <t>伤害倍数</t>
    <phoneticPr fontId="1" type="noConversion"/>
  </si>
  <si>
    <t>技能展示ID</t>
    <phoneticPr fontId="1" type="noConversion"/>
  </si>
  <si>
    <t>招式展示ID</t>
    <phoneticPr fontId="1" type="noConversion"/>
  </si>
  <si>
    <t>顺序</t>
    <phoneticPr fontId="1" type="noConversion"/>
  </si>
  <si>
    <t>瞬狱·斩</t>
    <phoneticPr fontId="1" type="noConversion"/>
  </si>
  <si>
    <t>影袭·斩第1段</t>
    <phoneticPr fontId="1" type="noConversion"/>
  </si>
  <si>
    <t>影袭·斩第2段</t>
    <phoneticPr fontId="1" type="noConversion"/>
  </si>
  <si>
    <t>影袭·斩第3段</t>
    <phoneticPr fontId="1" type="noConversion"/>
  </si>
  <si>
    <t>影袭·斩第4段</t>
    <phoneticPr fontId="1" type="noConversion"/>
  </si>
  <si>
    <t>光刃·斩</t>
    <phoneticPr fontId="1" type="noConversion"/>
  </si>
  <si>
    <t>裂空·斩第1段</t>
    <phoneticPr fontId="1" type="noConversion"/>
  </si>
  <si>
    <t>裂空·斩第2段</t>
    <phoneticPr fontId="1" type="noConversion"/>
  </si>
  <si>
    <t>裂空·斩第3段</t>
    <phoneticPr fontId="1" type="noConversion"/>
  </si>
  <si>
    <t>裂空·斩第4段</t>
    <phoneticPr fontId="1" type="noConversion"/>
  </si>
  <si>
    <t>虎啸</t>
    <phoneticPr fontId="1" type="noConversion"/>
  </si>
  <si>
    <t>龙拳第1段</t>
    <phoneticPr fontId="1" type="noConversion"/>
  </si>
  <si>
    <t>龙拳第1段</t>
    <phoneticPr fontId="1" type="noConversion"/>
  </si>
  <si>
    <t>龙拳第2段</t>
    <phoneticPr fontId="1" type="noConversion"/>
  </si>
  <si>
    <t>龙拳第3段</t>
    <phoneticPr fontId="1" type="noConversion"/>
  </si>
  <si>
    <t>龙拳第4段</t>
    <phoneticPr fontId="1" type="noConversion"/>
  </si>
  <si>
    <t>裂地诀</t>
    <phoneticPr fontId="1" type="noConversion"/>
  </si>
  <si>
    <t>幻影脚第1段</t>
    <phoneticPr fontId="1" type="noConversion"/>
  </si>
  <si>
    <t>幻影脚第2段</t>
    <phoneticPr fontId="1" type="noConversion"/>
  </si>
  <si>
    <t>幻影脚第3段</t>
    <phoneticPr fontId="1" type="noConversion"/>
  </si>
  <si>
    <t>幻影脚第4段</t>
    <phoneticPr fontId="1" type="noConversion"/>
  </si>
  <si>
    <t>激光轰击</t>
    <phoneticPr fontId="1" type="noConversion"/>
  </si>
  <si>
    <t>玫瑰之舞第1段</t>
    <phoneticPr fontId="1" type="noConversion"/>
  </si>
  <si>
    <t>玫瑰之舞第3段</t>
    <phoneticPr fontId="1" type="noConversion"/>
  </si>
  <si>
    <t>玫瑰之舞第3段</t>
    <phoneticPr fontId="1" type="noConversion"/>
  </si>
  <si>
    <t>玫瑰之舞第4段</t>
    <phoneticPr fontId="1" type="noConversion"/>
  </si>
  <si>
    <t>玫瑰之舞第4段</t>
    <phoneticPr fontId="1" type="noConversion"/>
  </si>
  <si>
    <t>聚能手雷</t>
    <phoneticPr fontId="1" type="noConversion"/>
  </si>
  <si>
    <t>聚能手雷</t>
    <phoneticPr fontId="1" type="noConversion"/>
  </si>
  <si>
    <t>子弹风暴第1段</t>
    <phoneticPr fontId="1" type="noConversion"/>
  </si>
  <si>
    <t>子弹风暴第2段</t>
    <phoneticPr fontId="1" type="noConversion"/>
  </si>
  <si>
    <t>子弹风暴第2段</t>
    <phoneticPr fontId="1" type="noConversion"/>
  </si>
  <si>
    <t>子弹风暴第3段</t>
    <phoneticPr fontId="1" type="noConversion"/>
  </si>
  <si>
    <t>子弹风暴第3段</t>
    <phoneticPr fontId="1" type="noConversion"/>
  </si>
  <si>
    <t>子弹风暴第4段</t>
    <phoneticPr fontId="1" type="noConversion"/>
  </si>
  <si>
    <t>裂地诀</t>
    <phoneticPr fontId="1" type="noConversion"/>
  </si>
  <si>
    <t>幻影脚</t>
    <phoneticPr fontId="1" type="noConversion"/>
  </si>
  <si>
    <t>玫瑰之舞</t>
    <phoneticPr fontId="1" type="noConversion"/>
  </si>
  <si>
    <t>瞬狱·斩</t>
    <phoneticPr fontId="1" type="noConversion"/>
  </si>
  <si>
    <t>影袭·斩</t>
    <phoneticPr fontId="1" type="noConversion"/>
  </si>
  <si>
    <t>裂空·斩</t>
    <phoneticPr fontId="1" type="noConversion"/>
  </si>
  <si>
    <t>龙拳</t>
    <phoneticPr fontId="1" type="noConversion"/>
  </si>
  <si>
    <t>子弹风暴</t>
    <phoneticPr fontId="1" type="noConversion"/>
  </si>
  <si>
    <t>剑手金币总战力</t>
    <phoneticPr fontId="1" type="noConversion"/>
  </si>
  <si>
    <t>山鸡金币总战力</t>
    <phoneticPr fontId="1" type="noConversion"/>
  </si>
  <si>
    <t>女枪金币总战力</t>
    <phoneticPr fontId="1" type="noConversion"/>
  </si>
  <si>
    <t>技能总战力</t>
    <phoneticPr fontId="1" type="noConversion"/>
  </si>
  <si>
    <t>等级</t>
    <phoneticPr fontId="1" type="noConversion"/>
  </si>
  <si>
    <t>时间</t>
    <phoneticPr fontId="1" type="noConversion"/>
  </si>
  <si>
    <t>时间</t>
    <phoneticPr fontId="1" type="noConversion"/>
  </si>
  <si>
    <t>战斗力</t>
    <phoneticPr fontId="1" type="noConversion"/>
  </si>
  <si>
    <t>生产力参考</t>
    <phoneticPr fontId="1" type="noConversion"/>
  </si>
  <si>
    <t>生产力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</si>
</sst>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Border="1" applyAlignment="1"/>
    <xf numFmtId="0" fontId="0" fillId="0" borderId="0" xfId="0" applyAlignment="1">
      <alignment vertical="center"/>
    </xf>
    <xf numFmtId="0" fontId="0" fillId="0" borderId="1" xfId="0" applyBorder="1"/>
    <xf numFmtId="0" fontId="0" fillId="2" borderId="1" xfId="0" applyFill="1" applyBorder="1" applyAlignment="1"/>
    <xf numFmtId="0" fontId="0" fillId="2" borderId="2" xfId="0" applyFill="1" applyBorder="1" applyAlignment="1"/>
    <xf numFmtId="0" fontId="0" fillId="0" borderId="2" xfId="0" applyFill="1" applyBorder="1"/>
    <xf numFmtId="0" fontId="0" fillId="2" borderId="3" xfId="0" applyFill="1" applyBorder="1" applyAlignment="1"/>
    <xf numFmtId="176" fontId="0" fillId="0" borderId="1" xfId="0" applyNumberFormat="1" applyBorder="1"/>
    <xf numFmtId="0" fontId="0" fillId="2" borderId="4" xfId="0" applyFill="1" applyBorder="1" applyAlignment="1"/>
    <xf numFmtId="176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/>
    </xf>
    <xf numFmtId="0" fontId="0" fillId="0" borderId="10" xfId="0" applyBorder="1"/>
    <xf numFmtId="10" fontId="0" fillId="0" borderId="1" xfId="0" applyNumberFormat="1" applyBorder="1"/>
    <xf numFmtId="0" fontId="0" fillId="3" borderId="0" xfId="0" applyFill="1" applyBorder="1" applyAlignment="1"/>
    <xf numFmtId="0" fontId="0" fillId="3" borderId="1" xfId="0" applyFill="1" applyBorder="1" applyAlignment="1"/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3" borderId="2" xfId="0" applyFill="1" applyBorder="1" applyAlignment="1"/>
    <xf numFmtId="0" fontId="0" fillId="3" borderId="4" xfId="0" applyFill="1" applyBorder="1" applyAlignment="1"/>
    <xf numFmtId="0" fontId="0" fillId="0" borderId="1" xfId="0" applyFill="1" applyBorder="1" applyAlignment="1"/>
    <xf numFmtId="0" fontId="0" fillId="2" borderId="1" xfId="0" applyFill="1" applyBorder="1"/>
    <xf numFmtId="10" fontId="0" fillId="0" borderId="0" xfId="0" applyNumberFormat="1"/>
    <xf numFmtId="10" fontId="0" fillId="0" borderId="2" xfId="0" applyNumberFormat="1" applyFill="1" applyBorder="1"/>
    <xf numFmtId="0" fontId="0" fillId="4" borderId="2" xfId="0" applyFill="1" applyBorder="1" applyAlignment="1"/>
    <xf numFmtId="0" fontId="0" fillId="4" borderId="0" xfId="0" applyFill="1"/>
    <xf numFmtId="0" fontId="0" fillId="5" borderId="0" xfId="0" applyFill="1" applyBorder="1" applyAlignment="1"/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1" xfId="0" applyFill="1" applyBorder="1" applyAlignment="1"/>
    <xf numFmtId="176" fontId="0" fillId="6" borderId="0" xfId="0" applyNumberFormat="1" applyFill="1"/>
    <xf numFmtId="0" fontId="0" fillId="6" borderId="0" xfId="0" applyFill="1"/>
    <xf numFmtId="0" fontId="0" fillId="7" borderId="1" xfId="0" applyFill="1" applyBorder="1" applyAlignment="1"/>
    <xf numFmtId="0" fontId="0" fillId="7" borderId="0" xfId="0" applyFill="1" applyBorder="1" applyAlignment="1"/>
    <xf numFmtId="0" fontId="0" fillId="7" borderId="0" xfId="0" applyFill="1"/>
    <xf numFmtId="0" fontId="5" fillId="8" borderId="1" xfId="0" applyFont="1" applyFill="1" applyBorder="1" applyAlignment="1"/>
    <xf numFmtId="176" fontId="0" fillId="8" borderId="0" xfId="0" applyNumberFormat="1" applyFill="1"/>
    <xf numFmtId="0" fontId="0" fillId="8" borderId="0" xfId="0" applyFill="1"/>
    <xf numFmtId="0" fontId="0" fillId="9" borderId="1" xfId="0" applyFill="1" applyBorder="1" applyAlignment="1"/>
    <xf numFmtId="0" fontId="0" fillId="9" borderId="0" xfId="0" applyFill="1"/>
    <xf numFmtId="0" fontId="0" fillId="10" borderId="1" xfId="0" applyFill="1" applyBorder="1" applyAlignment="1"/>
    <xf numFmtId="0" fontId="0" fillId="10" borderId="0" xfId="0" applyFill="1"/>
    <xf numFmtId="0" fontId="0" fillId="11" borderId="0" xfId="0" applyFill="1" applyAlignment="1">
      <alignment vertical="center"/>
    </xf>
    <xf numFmtId="0" fontId="0" fillId="11" borderId="0" xfId="0" applyFill="1"/>
    <xf numFmtId="0" fontId="0" fillId="12" borderId="4" xfId="0" applyFill="1" applyBorder="1" applyAlignment="1"/>
    <xf numFmtId="0" fontId="0" fillId="12" borderId="0" xfId="0" applyFill="1"/>
    <xf numFmtId="10" fontId="0" fillId="4" borderId="0" xfId="0" applyNumberFormat="1" applyFill="1"/>
    <xf numFmtId="0" fontId="0" fillId="13" borderId="1" xfId="0" applyFill="1" applyBorder="1"/>
    <xf numFmtId="0" fontId="0" fillId="13" borderId="2" xfId="0" applyFill="1" applyBorder="1" applyAlignment="1"/>
    <xf numFmtId="0" fontId="0" fillId="13" borderId="2" xfId="0" applyFont="1" applyFill="1" applyBorder="1" applyAlignment="1"/>
    <xf numFmtId="0" fontId="0" fillId="0" borderId="0" xfId="0" applyFill="1" applyBorder="1"/>
    <xf numFmtId="0" fontId="0" fillId="3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4" xfId="0" applyFill="1" applyBorder="1"/>
    <xf numFmtId="0" fontId="0" fillId="0" borderId="1" xfId="0" applyBorder="1" applyAlignment="1">
      <alignment horizontal="center"/>
    </xf>
    <xf numFmtId="0" fontId="0" fillId="2" borderId="0" xfId="0" applyFill="1" applyBorder="1" applyAlignment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Fill="1" applyBorder="1" applyAlignment="1">
      <alignment horizontal="center" vertical="center"/>
    </xf>
  </cellXfs>
  <cellStyles count="1">
    <cellStyle name="常规" xfId="0" builtinId="0"/>
  </cellStyles>
  <dxfs count="226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伤害参考系!$D$5:$D$84</c:f>
              <c:numCache>
                <c:formatCode>General</c:formatCode>
                <c:ptCount val="80"/>
                <c:pt idx="0">
                  <c:v>22.571300000000001</c:v>
                </c:pt>
                <c:pt idx="1">
                  <c:v>25.079765350249179</c:v>
                </c:pt>
                <c:pt idx="2">
                  <c:v>30.251016083144705</c:v>
                </c:pt>
                <c:pt idx="3">
                  <c:v>38.602406113417544</c:v>
                </c:pt>
                <c:pt idx="4">
                  <c:v>50.556884143974344</c:v>
                </c:pt>
                <c:pt idx="5">
                  <c:v>66.479596424326516</c:v>
                </c:pt>
                <c:pt idx="6">
                  <c:v>86.695639530011505</c:v>
                </c:pt>
                <c:pt idx="7">
                  <c:v>111.50028895303427</c:v>
                </c:pt>
                <c:pt idx="8">
                  <c:v>141.16552845144855</c:v>
                </c:pt>
                <c:pt idx="9">
                  <c:v>175.94451653718258</c:v>
                </c:pt>
                <c:pt idx="10">
                  <c:v>216.07479913111567</c:v>
                </c:pt>
                <c:pt idx="11">
                  <c:v>261.78071041608291</c:v>
                </c:pt>
                <c:pt idx="12">
                  <c:v>313.27522193781044</c:v>
                </c:pt>
                <c:pt idx="13">
                  <c:v>370.76140195473562</c:v>
                </c:pt>
                <c:pt idx="14">
                  <c:v>434.43359068165995</c:v>
                </c:pt>
                <c:pt idx="15">
                  <c:v>504.47836295264176</c:v>
                </c:pt>
                <c:pt idx="16">
                  <c:v>581.07532826888348</c:v>
                </c:pt>
                <c:pt idx="17">
                  <c:v>664.39780407649835</c:v>
                </c:pt>
                <c:pt idx="18">
                  <c:v>754.61338858338218</c:v>
                </c:pt>
                <c:pt idx="19">
                  <c:v>851.8844528130162</c:v>
                </c:pt>
                <c:pt idx="20">
                  <c:v>956.36856690260333</c:v>
                </c:pt>
                <c:pt idx="21">
                  <c:v>1068.2188722572716</c:v>
                </c:pt>
                <c:pt idx="22">
                  <c:v>1187.5844086692791</c:v>
                </c:pt>
                <c:pt idx="23">
                  <c:v>1314.6104036365905</c:v>
                </c:pt>
                <c:pt idx="24">
                  <c:v>1449.4385296908335</c:v>
                </c:pt>
                <c:pt idx="25">
                  <c:v>1592.207134448116</c:v>
                </c:pt>
                <c:pt idx="26">
                  <c:v>1743.0514472419727</c:v>
                </c:pt>
                <c:pt idx="27">
                  <c:v>1902.1037655251544</c:v>
                </c:pt>
                <c:pt idx="28">
                  <c:v>2069.4936236919402</c:v>
                </c:pt>
                <c:pt idx="29">
                  <c:v>2245.3479465433707</c:v>
                </c:pt>
                <c:pt idx="30">
                  <c:v>2429.7911892703642</c:v>
                </c:pt>
                <c:pt idx="31">
                  <c:v>2622.9454655461104</c:v>
                </c:pt>
                <c:pt idx="32">
                  <c:v>2824.9306650864883</c:v>
                </c:pt>
                <c:pt idx="33">
                  <c:v>3035.8645618443788</c:v>
                </c:pt>
                <c:pt idx="34">
                  <c:v>3255.8629138436313</c:v>
                </c:pt>
                <c:pt idx="35">
                  <c:v>3485.0395555241726</c:v>
                </c:pt>
                <c:pt idx="36">
                  <c:v>3723.5064833565775</c:v>
                </c:pt>
                <c:pt idx="37">
                  <c:v>3971.3739353890028</c:v>
                </c:pt>
                <c:pt idx="38">
                  <c:v>4228.7504653079259</c:v>
                </c:pt>
                <c:pt idx="39">
                  <c:v>4495.7430115246425</c:v>
                </c:pt>
                <c:pt idx="40">
                  <c:v>4772.4569617399748</c:v>
                </c:pt>
                <c:pt idx="41">
                  <c:v>5058.9962133880954</c:v>
                </c:pt>
                <c:pt idx="42">
                  <c:v>5355.4632303161043</c:v>
                </c:pt>
                <c:pt idx="43">
                  <c:v>5661.9590960173573</c:v>
                </c:pt>
                <c:pt idx="44">
                  <c:v>5978.5835637029477</c:v>
                </c:pt>
                <c:pt idx="45">
                  <c:v>6305.4351034663405</c:v>
                </c:pt>
                <c:pt idx="46">
                  <c:v>6642.6109467705255</c:v>
                </c:pt>
                <c:pt idx="47">
                  <c:v>6990.2071284641625</c:v>
                </c:pt>
                <c:pt idx="48">
                  <c:v>7348.3185265135407</c:v>
                </c:pt>
                <c:pt idx="49">
                  <c:v>7717.0388996192223</c:v>
                </c:pt>
                <c:pt idx="50">
                  <c:v>8096.4609228705749</c:v>
                </c:pt>
                <c:pt idx="51">
                  <c:v>8486.6762215777435</c:v>
                </c:pt>
                <c:pt idx="52">
                  <c:v>8887.7754034077989</c:v>
                </c:pt>
                <c:pt idx="53">
                  <c:v>9299.8480889410621</c:v>
                </c:pt>
                <c:pt idx="54">
                  <c:v>9722.9829407533125</c:v>
                </c:pt>
                <c:pt idx="55">
                  <c:v>10157.267691120926</c:v>
                </c:pt>
                <c:pt idx="56">
                  <c:v>10602.789168437999</c:v>
                </c:pt>
                <c:pt idx="57">
                  <c:v>11059.633322427038</c:v>
                </c:pt>
                <c:pt idx="58">
                  <c:v>11527.885248218427</c:v>
                </c:pt>
                <c:pt idx="59">
                  <c:v>12007.629209367993</c:v>
                </c:pt>
                <c:pt idx="60">
                  <c:v>12498.948659876931</c:v>
                </c:pt>
                <c:pt idx="61">
                  <c:v>13001.92626527241</c:v>
                </c:pt>
                <c:pt idx="62">
                  <c:v>13516.643922804546</c:v>
                </c:pt>
                <c:pt idx="63">
                  <c:v>14043.182780809781</c:v>
                </c:pt>
                <c:pt idx="64">
                  <c:v>14581.623257287694</c:v>
                </c:pt>
                <c:pt idx="65">
                  <c:v>15132.04505773543</c:v>
                </c:pt>
                <c:pt idx="66">
                  <c:v>15694.527192279666</c:v>
                </c:pt>
                <c:pt idx="67">
                  <c:v>16269.14799214465</c:v>
                </c:pt>
                <c:pt idx="68">
                  <c:v>16855.985125490857</c:v>
                </c:pt>
                <c:pt idx="69">
                  <c:v>17455.115612657901</c:v>
                </c:pt>
                <c:pt idx="70">
                  <c:v>18066.615840841678</c:v>
                </c:pt>
                <c:pt idx="71">
                  <c:v>18690.561578235011</c:v>
                </c:pt>
                <c:pt idx="72">
                  <c:v>19327.027987658439</c:v>
                </c:pt>
                <c:pt idx="73">
                  <c:v>19976.08963970645</c:v>
                </c:pt>
                <c:pt idx="74">
                  <c:v>20637.820525432347</c:v>
                </c:pt>
                <c:pt idx="75">
                  <c:v>21312.294068594932</c:v>
                </c:pt>
                <c:pt idx="76">
                  <c:v>21999.583137486519</c:v>
                </c:pt>
                <c:pt idx="77">
                  <c:v>22699.760056362607</c:v>
                </c:pt>
                <c:pt idx="78">
                  <c:v>23412.896616491726</c:v>
                </c:pt>
                <c:pt idx="79">
                  <c:v>24139.064086842252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伤害参考系!$E$5:$E$84</c:f>
              <c:numCache>
                <c:formatCode>General</c:formatCode>
                <c:ptCount val="80"/>
                <c:pt idx="0">
                  <c:v>66</c:v>
                </c:pt>
                <c:pt idx="1">
                  <c:v>72</c:v>
                </c:pt>
                <c:pt idx="2">
                  <c:v>78</c:v>
                </c:pt>
                <c:pt idx="3">
                  <c:v>84</c:v>
                </c:pt>
                <c:pt idx="4">
                  <c:v>90</c:v>
                </c:pt>
                <c:pt idx="5">
                  <c:v>148.19999999999999</c:v>
                </c:pt>
                <c:pt idx="6">
                  <c:v>169.89374999999998</c:v>
                </c:pt>
                <c:pt idx="7">
                  <c:v>193.05</c:v>
                </c:pt>
                <c:pt idx="8">
                  <c:v>242.45135869565217</c:v>
                </c:pt>
                <c:pt idx="9">
                  <c:v>295.92391304347831</c:v>
                </c:pt>
                <c:pt idx="10">
                  <c:v>353.46766304347824</c:v>
                </c:pt>
                <c:pt idx="11">
                  <c:v>415.08260869565214</c:v>
                </c:pt>
                <c:pt idx="12">
                  <c:v>480.76874999999995</c:v>
                </c:pt>
                <c:pt idx="13">
                  <c:v>550.52608695652179</c:v>
                </c:pt>
                <c:pt idx="14">
                  <c:v>624.35461956521738</c:v>
                </c:pt>
                <c:pt idx="15">
                  <c:v>702.25434782608704</c:v>
                </c:pt>
                <c:pt idx="16">
                  <c:v>784.22527173913045</c:v>
                </c:pt>
                <c:pt idx="17">
                  <c:v>870.26739130434817</c:v>
                </c:pt>
                <c:pt idx="18">
                  <c:v>960.38070652173917</c:v>
                </c:pt>
                <c:pt idx="19">
                  <c:v>1054.5652173913045</c:v>
                </c:pt>
                <c:pt idx="20">
                  <c:v>1152.8209239130438</c:v>
                </c:pt>
                <c:pt idx="21">
                  <c:v>1255.1478260869567</c:v>
                </c:pt>
                <c:pt idx="22">
                  <c:v>1386.9305392976592</c:v>
                </c:pt>
                <c:pt idx="23">
                  <c:v>1524.3229096989967</c:v>
                </c:pt>
                <c:pt idx="24">
                  <c:v>1667.3249372909704</c:v>
                </c:pt>
                <c:pt idx="25">
                  <c:v>1838.9766220735789</c:v>
                </c:pt>
                <c:pt idx="26">
                  <c:v>2017.5179640468232</c:v>
                </c:pt>
                <c:pt idx="27">
                  <c:v>2202.9489632107029</c:v>
                </c:pt>
                <c:pt idx="28">
                  <c:v>2395.2696195652184</c:v>
                </c:pt>
                <c:pt idx="29">
                  <c:v>2626.9109322742484</c:v>
                </c:pt>
                <c:pt idx="30">
                  <c:v>2868.8867307692312</c:v>
                </c:pt>
                <c:pt idx="31">
                  <c:v>3122.3317976588637</c:v>
                </c:pt>
                <c:pt idx="32">
                  <c:v>3386.1896112040149</c:v>
                </c:pt>
                <c:pt idx="33">
                  <c:v>3660.4601714046826</c:v>
                </c:pt>
                <c:pt idx="34">
                  <c:v>3945.1434782608699</c:v>
                </c:pt>
                <c:pt idx="35">
                  <c:v>4240.2395317725759</c:v>
                </c:pt>
                <c:pt idx="36">
                  <c:v>4545.7483319397998</c:v>
                </c:pt>
                <c:pt idx="37">
                  <c:v>4861.6698787625419</c:v>
                </c:pt>
                <c:pt idx="38">
                  <c:v>5188.0041722408032</c:v>
                </c:pt>
                <c:pt idx="39">
                  <c:v>5574.5237458194006</c:v>
                </c:pt>
                <c:pt idx="40">
                  <c:v>5974.9269816053529</c:v>
                </c:pt>
                <c:pt idx="41">
                  <c:v>6389.2138795986639</c:v>
                </c:pt>
                <c:pt idx="42">
                  <c:v>6817.3844397993325</c:v>
                </c:pt>
                <c:pt idx="43">
                  <c:v>7259.4386622073589</c:v>
                </c:pt>
                <c:pt idx="44">
                  <c:v>7715.3765468227448</c:v>
                </c:pt>
                <c:pt idx="45">
                  <c:v>8185.1980936454875</c:v>
                </c:pt>
                <c:pt idx="46">
                  <c:v>8668.9033026755878</c:v>
                </c:pt>
                <c:pt idx="47">
                  <c:v>9166.4921739130477</c:v>
                </c:pt>
                <c:pt idx="48">
                  <c:v>9677.9647073578635</c:v>
                </c:pt>
                <c:pt idx="49">
                  <c:v>10270.448014214051</c:v>
                </c:pt>
                <c:pt idx="50">
                  <c:v>10880.285898829434</c:v>
                </c:pt>
                <c:pt idx="51">
                  <c:v>11507.478361204016</c:v>
                </c:pt>
                <c:pt idx="52">
                  <c:v>12152.025401337796</c:v>
                </c:pt>
                <c:pt idx="53">
                  <c:v>12813.927019230772</c:v>
                </c:pt>
                <c:pt idx="54">
                  <c:v>13493.183214882944</c:v>
                </c:pt>
                <c:pt idx="55">
                  <c:v>14189.793988294317</c:v>
                </c:pt>
                <c:pt idx="56">
                  <c:v>14903.759339464887</c:v>
                </c:pt>
                <c:pt idx="57">
                  <c:v>15635.079268394653</c:v>
                </c:pt>
                <c:pt idx="58">
                  <c:v>16383.753775083616</c:v>
                </c:pt>
                <c:pt idx="59">
                  <c:v>17234.26454849499</c:v>
                </c:pt>
                <c:pt idx="60">
                  <c:v>18105.600815217396</c:v>
                </c:pt>
                <c:pt idx="61">
                  <c:v>18997.762575250843</c:v>
                </c:pt>
                <c:pt idx="62">
                  <c:v>19910.749828595326</c:v>
                </c:pt>
                <c:pt idx="63">
                  <c:v>20844.562575250846</c:v>
                </c:pt>
                <c:pt idx="64">
                  <c:v>21799.200815217395</c:v>
                </c:pt>
                <c:pt idx="65">
                  <c:v>22774.664548494995</c:v>
                </c:pt>
                <c:pt idx="66">
                  <c:v>23770.953775083628</c:v>
                </c:pt>
                <c:pt idx="67">
                  <c:v>24788.068494983298</c:v>
                </c:pt>
                <c:pt idx="68">
                  <c:v>25826.008708194004</c:v>
                </c:pt>
                <c:pt idx="69">
                  <c:v>26986.610681438149</c:v>
                </c:pt>
                <c:pt idx="70">
                  <c:v>28171.509063545167</c:v>
                </c:pt>
                <c:pt idx="71">
                  <c:v>29380.703854515068</c:v>
                </c:pt>
                <c:pt idx="72">
                  <c:v>30614.195054347845</c:v>
                </c:pt>
                <c:pt idx="73">
                  <c:v>31871.982663043495</c:v>
                </c:pt>
                <c:pt idx="74">
                  <c:v>33154.066680602024</c:v>
                </c:pt>
                <c:pt idx="75">
                  <c:v>34460.447107023429</c:v>
                </c:pt>
                <c:pt idx="76">
                  <c:v>35791.123942307706</c:v>
                </c:pt>
                <c:pt idx="77">
                  <c:v>37146.097186454856</c:v>
                </c:pt>
                <c:pt idx="78">
                  <c:v>38525.366839464899</c:v>
                </c:pt>
                <c:pt idx="79">
                  <c:v>40048.123745819401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伤害参考系!$R$5:$R$84</c:f>
              <c:numCache>
                <c:formatCode>General</c:formatCode>
                <c:ptCount val="80"/>
                <c:pt idx="0">
                  <c:v>21.998980166878493</c:v>
                </c:pt>
                <c:pt idx="1">
                  <c:v>25.045548226606293</c:v>
                </c:pt>
                <c:pt idx="2">
                  <c:v>28.514025705413786</c:v>
                </c:pt>
                <c:pt idx="3">
                  <c:v>32.462841482754307</c:v>
                </c:pt>
                <c:pt idx="4">
                  <c:v>36.958516065809263</c:v>
                </c:pt>
                <c:pt idx="5">
                  <c:v>42.076782173006166</c:v>
                </c:pt>
                <c:pt idx="6">
                  <c:v>47.903860503546511</c:v>
                </c:pt>
                <c:pt idx="7">
                  <c:v>54.537912184155353</c:v>
                </c:pt>
                <c:pt idx="8">
                  <c:v>62.090692360513088</c:v>
                </c:pt>
                <c:pt idx="9">
                  <c:v>70.689432789250205</c:v>
                </c:pt>
                <c:pt idx="10">
                  <c:v>80.478985144056566</c:v>
                </c:pt>
                <c:pt idx="11">
                  <c:v>91.624261141365707</c:v>
                </c:pt>
                <c:pt idx="12">
                  <c:v>104.31301059120221</c:v>
                </c:pt>
                <c:pt idx="13">
                  <c:v>118.75898417136281</c:v>
                </c:pt>
                <c:pt idx="14">
                  <c:v>135.20553420402877</c:v>
                </c:pt>
                <c:pt idx="15">
                  <c:v>153.92971409235832</c:v>
                </c:pt>
                <c:pt idx="16">
                  <c:v>175.24694547487806</c:v>
                </c:pt>
                <c:pt idx="17">
                  <c:v>199.51633171908495</c:v>
                </c:pt>
                <c:pt idx="18">
                  <c:v>227.14670726370133</c:v>
                </c:pt>
                <c:pt idx="19">
                  <c:v>258.60352471489529</c:v>
                </c:pt>
                <c:pt idx="20">
                  <c:v>294.41669571432237</c:v>
                </c:pt>
                <c:pt idx="21">
                  <c:v>335.18951766378308</c:v>
                </c:pt>
                <c:pt idx="22">
                  <c:v>381.60883668328586</c:v>
                </c:pt>
                <c:pt idx="23">
                  <c:v>434.45661800451154</c:v>
                </c:pt>
                <c:pt idx="24">
                  <c:v>494.62311871088122</c:v>
                </c:pt>
                <c:pt idx="25">
                  <c:v>563.12188472805792</c:v>
                </c:pt>
                <c:pt idx="26">
                  <c:v>641.1068246994663</c:v>
                </c:pt>
                <c:pt idx="27">
                  <c:v>729.89164836795533</c:v>
                </c:pt>
                <c:pt idx="28">
                  <c:v>830.97199691646756</c:v>
                </c:pt>
                <c:pt idx="29">
                  <c:v>946.05063806845681</c:v>
                </c:pt>
                <c:pt idx="30">
                  <c:v>1077.0661503767908</c:v>
                </c:pt>
                <c:pt idx="31">
                  <c:v>1226.2255799076324</c:v>
                </c:pt>
                <c:pt idx="32">
                  <c:v>1396.0416194435168</c:v>
                </c:pt>
                <c:pt idx="33">
                  <c:v>1589.3749365147689</c:v>
                </c:pt>
                <c:pt idx="34">
                  <c:v>1809.4823633039466</c:v>
                </c:pt>
                <c:pt idx="35">
                  <c:v>2060.071760215284</c:v>
                </c:pt>
                <c:pt idx="36">
                  <c:v>2345.3644773235278</c:v>
                </c:pt>
                <c:pt idx="37">
                  <c:v>2670.1664659080693</c:v>
                </c:pt>
                <c:pt idx="38">
                  <c:v>3039.9492379949093</c:v>
                </c:pt>
                <c:pt idx="39">
                  <c:v>3460.9420377253759</c:v>
                </c:pt>
                <c:pt idx="40">
                  <c:v>3940.2367772414514</c:v>
                </c:pt>
                <c:pt idx="41">
                  <c:v>4485.9075048046316</c:v>
                </c:pt>
                <c:pt idx="42">
                  <c:v>5107.1464176705767</c:v>
                </c:pt>
                <c:pt idx="43">
                  <c:v>5814.4187109496206</c:v>
                </c:pt>
                <c:pt idx="44">
                  <c:v>6619.6388709883495</c:v>
                </c:pt>
                <c:pt idx="45">
                  <c:v>7536.3713830549468</c:v>
                </c:pt>
                <c:pt idx="46">
                  <c:v>8580.059234386812</c:v>
                </c:pt>
                <c:pt idx="47">
                  <c:v>9768.2840618909122</c:v>
                </c:pt>
                <c:pt idx="48">
                  <c:v>11121.062326862992</c:v>
                </c:pt>
                <c:pt idx="49">
                  <c:v>12661.182505991743</c:v>
                </c:pt>
                <c:pt idx="50">
                  <c:v>14414.588978861537</c:v>
                </c:pt>
                <c:pt idx="51">
                  <c:v>16410.81907880144</c:v>
                </c:pt>
                <c:pt idx="52">
                  <c:v>18683.500669501835</c:v>
                </c:pt>
                <c:pt idx="53">
                  <c:v>21270.918629417389</c:v>
                </c:pt>
                <c:pt idx="54">
                  <c:v>24216.659786774271</c:v>
                </c:pt>
                <c:pt idx="55">
                  <c:v>27570.347169553948</c:v>
                </c:pt>
                <c:pt idx="56">
                  <c:v>31388.475939397209</c:v>
                </c:pt>
                <c:pt idx="57">
                  <c:v>35735.365091307867</c:v>
                </c:pt>
                <c:pt idx="58">
                  <c:v>40684.240951189953</c:v>
                </c:pt>
                <c:pt idx="59">
                  <c:v>46318.470723476385</c:v>
                </c:pt>
                <c:pt idx="60">
                  <c:v>52732.96686880396</c:v>
                </c:pt>
                <c:pt idx="61">
                  <c:v>60035.785969439508</c:v>
                </c:pt>
                <c:pt idx="62">
                  <c:v>68349.949016439554</c:v>
                </c:pt>
                <c:pt idx="63">
                  <c:v>77815.513782529088</c:v>
                </c:pt>
                <c:pt idx="64">
                  <c:v>88591.934191239299</c:v>
                </c:pt>
                <c:pt idx="65">
                  <c:v>100860.74642749455</c:v>
                </c:pt>
                <c:pt idx="66">
                  <c:v>114828.62703902174</c:v>
                </c:pt>
                <c:pt idx="67">
                  <c:v>130730.87454439403</c:v>
                </c:pt>
                <c:pt idx="68">
                  <c:v>148835.37319778523</c:v>
                </c:pt>
                <c:pt idx="69">
                  <c:v>169447.1056827633</c:v>
                </c:pt>
                <c:pt idx="70">
                  <c:v>192913.29075454501</c:v>
                </c:pt>
                <c:pt idx="71">
                  <c:v>219629.23237781393</c:v>
                </c:pt>
                <c:pt idx="72">
                  <c:v>250044.97889283672</c:v>
                </c:pt>
                <c:pt idx="73">
                  <c:v>284672.90438809007</c:v>
                </c:pt>
                <c:pt idx="74">
                  <c:v>324096.33999282145</c:v>
                </c:pt>
                <c:pt idx="75">
                  <c:v>368979.40048957133</c:v>
                </c:pt>
                <c:pt idx="76">
                  <c:v>420078.17178268358</c:v>
                </c:pt>
                <c:pt idx="77">
                  <c:v>478253.44768337364</c:v>
                </c:pt>
                <c:pt idx="78">
                  <c:v>544485.2305712268</c:v>
                </c:pt>
                <c:pt idx="79">
                  <c:v>619889.24020569667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2758992"/>
        <c:axId val="392758432"/>
      </c:lineChart>
      <c:catAx>
        <c:axId val="392758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2758432"/>
        <c:crosses val="autoZero"/>
        <c:auto val="1"/>
        <c:lblAlgn val="ctr"/>
        <c:lblOffset val="100"/>
        <c:noMultiLvlLbl val="0"/>
      </c:catAx>
      <c:valAx>
        <c:axId val="39275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275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yVal>
            <c:numRef>
              <c:f>伤害参考系!$Q$5:$Q$54</c:f>
              <c:numCache>
                <c:formatCode>General</c:formatCode>
                <c:ptCount val="50"/>
                <c:pt idx="0">
                  <c:v>22</c:v>
                </c:pt>
                <c:pt idx="49">
                  <c:v>12680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689744"/>
        <c:axId val="384690304"/>
      </c:scatterChart>
      <c:valAx>
        <c:axId val="38468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4690304"/>
        <c:crosses val="autoZero"/>
        <c:crossBetween val="midCat"/>
      </c:valAx>
      <c:valAx>
        <c:axId val="38469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468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548640</xdr:colOff>
      <xdr:row>8</xdr:row>
      <xdr:rowOff>152400</xdr:rowOff>
    </xdr:from>
    <xdr:to>
      <xdr:col>14</xdr:col>
      <xdr:colOff>243840</xdr:colOff>
      <xdr:row>23</xdr:row>
      <xdr:rowOff>152400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60960</xdr:colOff>
      <xdr:row>7</xdr:row>
      <xdr:rowOff>129540</xdr:rowOff>
    </xdr:from>
    <xdr:to>
      <xdr:col>26</xdr:col>
      <xdr:colOff>365760</xdr:colOff>
      <xdr:row>22</xdr:row>
      <xdr:rowOff>129540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198120</xdr:colOff>
      <xdr:row>6</xdr:row>
      <xdr:rowOff>0</xdr:rowOff>
    </xdr:from>
    <xdr:to>
      <xdr:col>32</xdr:col>
      <xdr:colOff>457200</xdr:colOff>
      <xdr:row>7</xdr:row>
      <xdr:rowOff>121920</xdr:rowOff>
    </xdr:to>
    <xdr:sp macro="[0]!Sheet3.createSkillData" textlink="">
      <xdr:nvSpPr>
        <xdr:cNvPr id="2" name="圆角矩形 1"/>
        <xdr:cNvSpPr/>
      </xdr:nvSpPr>
      <xdr:spPr>
        <a:xfrm>
          <a:off x="21762720" y="1097280"/>
          <a:ext cx="86868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生成数据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541020</xdr:colOff>
      <xdr:row>1</xdr:row>
      <xdr:rowOff>129540</xdr:rowOff>
    </xdr:from>
    <xdr:to>
      <xdr:col>17</xdr:col>
      <xdr:colOff>30480</xdr:colOff>
      <xdr:row>3</xdr:row>
      <xdr:rowOff>45720</xdr:rowOff>
    </xdr:to>
    <xdr:sp macro="[0]!Sheet2.createSkillCDData" textlink="">
      <xdr:nvSpPr>
        <xdr:cNvPr id="2" name="圆角矩形 1"/>
        <xdr:cNvSpPr/>
      </xdr:nvSpPr>
      <xdr:spPr>
        <a:xfrm>
          <a:off x="9189720" y="312420"/>
          <a:ext cx="1318260" cy="281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sheetDataSet>
      <sheetData sheetId="0">
        <row r="18">
          <cell r="C18">
            <v>50</v>
          </cell>
        </row>
      </sheetData>
      <sheetData sheetId="1">
        <row r="3">
          <cell r="G3">
            <v>99.068315759458088</v>
          </cell>
        </row>
      </sheetData>
      <sheetData sheetId="2">
        <row r="19">
          <cell r="K19">
            <v>0</v>
          </cell>
          <cell r="L19">
            <v>2.2763925741477758E-2</v>
          </cell>
        </row>
        <row r="20">
          <cell r="K20">
            <v>0</v>
          </cell>
          <cell r="L20">
            <v>2.2763925741477758E-2</v>
          </cell>
        </row>
        <row r="21">
          <cell r="K21">
            <v>0</v>
          </cell>
          <cell r="L21">
            <v>2.2763925741477758E-2</v>
          </cell>
        </row>
        <row r="22">
          <cell r="K22">
            <v>0</v>
          </cell>
          <cell r="L22">
            <v>2.2763925741477758E-2</v>
          </cell>
        </row>
        <row r="23">
          <cell r="K23">
            <v>0</v>
          </cell>
          <cell r="L23">
            <v>2.2763925741477758E-2</v>
          </cell>
        </row>
        <row r="24">
          <cell r="K24">
            <v>0</v>
          </cell>
          <cell r="L24">
            <v>2.2763925741477758E-2</v>
          </cell>
        </row>
        <row r="25">
          <cell r="K25">
            <v>0</v>
          </cell>
          <cell r="L25">
            <v>2.2763925741477758E-2</v>
          </cell>
        </row>
        <row r="26">
          <cell r="K26">
            <v>0</v>
          </cell>
          <cell r="L26">
            <v>2.2763925741477758E-2</v>
          </cell>
        </row>
        <row r="27">
          <cell r="K27">
            <v>0</v>
          </cell>
          <cell r="L27">
            <v>2.2763925741477758E-2</v>
          </cell>
        </row>
        <row r="28">
          <cell r="K28">
            <v>0</v>
          </cell>
          <cell r="L28">
            <v>2.2763925741477758E-2</v>
          </cell>
        </row>
        <row r="29">
          <cell r="K29">
            <v>0</v>
          </cell>
          <cell r="L29">
            <v>2.2763925741477758E-2</v>
          </cell>
        </row>
        <row r="30">
          <cell r="K30">
            <v>0.22327960665936386</v>
          </cell>
          <cell r="L30">
            <v>0.24604353240084162</v>
          </cell>
        </row>
        <row r="31">
          <cell r="K31">
            <v>0.10496609525786471</v>
          </cell>
          <cell r="L31">
            <v>0.35100962765870636</v>
          </cell>
        </row>
        <row r="32">
          <cell r="K32">
            <v>0.20197410843763797</v>
          </cell>
          <cell r="L32">
            <v>0.55298373609634432</v>
          </cell>
        </row>
        <row r="33">
          <cell r="K33">
            <v>0.24705904283657248</v>
          </cell>
          <cell r="L33">
            <v>0.80004277893291675</v>
          </cell>
        </row>
        <row r="34">
          <cell r="K34">
            <v>0.35201515299786718</v>
          </cell>
          <cell r="L34">
            <v>1.152057931930784</v>
          </cell>
        </row>
        <row r="35">
          <cell r="K35">
            <v>0.46400855023894211</v>
          </cell>
          <cell r="L35">
            <v>1.6160664821697261</v>
          </cell>
        </row>
        <row r="36">
          <cell r="K36">
            <v>0.41097756545916919</v>
          </cell>
          <cell r="L36">
            <v>2.0270440476288956</v>
          </cell>
        </row>
        <row r="37">
          <cell r="K37">
            <v>0.58776427017050703</v>
          </cell>
          <cell r="L37">
            <v>2.6148083177994028</v>
          </cell>
        </row>
        <row r="38">
          <cell r="K38">
            <v>0.56615479075265474</v>
          </cell>
          <cell r="L38">
            <v>3.1809631085520573</v>
          </cell>
        </row>
        <row r="39">
          <cell r="K39">
            <v>0.6928818493982255</v>
          </cell>
          <cell r="L39">
            <v>3.8738449579502827</v>
          </cell>
        </row>
        <row r="40">
          <cell r="K40">
            <v>0.59312806313053945</v>
          </cell>
          <cell r="L40">
            <v>4.4669730210808218</v>
          </cell>
        </row>
        <row r="41">
          <cell r="K41">
            <v>0.78993830842812307</v>
          </cell>
          <cell r="L41">
            <v>5.2569113295089451</v>
          </cell>
        </row>
        <row r="42">
          <cell r="K42">
            <v>0.80569637808046635</v>
          </cell>
          <cell r="L42">
            <v>6.0626077075894118</v>
          </cell>
        </row>
        <row r="43">
          <cell r="K43">
            <v>0.96060699133404548</v>
          </cell>
          <cell r="L43">
            <v>7.0232146989234572</v>
          </cell>
        </row>
        <row r="44">
          <cell r="K44">
            <v>1.1375857698043312</v>
          </cell>
          <cell r="L44">
            <v>8.1608004687277891</v>
          </cell>
        </row>
        <row r="45">
          <cell r="K45">
            <v>1.080293200206131</v>
          </cell>
          <cell r="L45">
            <v>9.2410936689339209</v>
          </cell>
        </row>
        <row r="46">
          <cell r="K46">
            <v>1.3570262301120297</v>
          </cell>
          <cell r="L46">
            <v>10.598119899045951</v>
          </cell>
        </row>
        <row r="47">
          <cell r="K47">
            <v>1.3894274689779536</v>
          </cell>
          <cell r="L47">
            <v>11.987547368023904</v>
          </cell>
        </row>
        <row r="48">
          <cell r="K48">
            <v>1.6087734650323986</v>
          </cell>
          <cell r="L48">
            <v>13.596320833056303</v>
          </cell>
        </row>
        <row r="49">
          <cell r="K49">
            <v>1.4485620915145954</v>
          </cell>
          <cell r="L49">
            <v>15.044882924570899</v>
          </cell>
        </row>
        <row r="50">
          <cell r="K50">
            <v>1.779423138534705</v>
          </cell>
          <cell r="L50">
            <v>16.824306063105603</v>
          </cell>
        </row>
        <row r="51">
          <cell r="K51">
            <v>1.806865004104824</v>
          </cell>
          <cell r="L51">
            <v>18.631171067210428</v>
          </cell>
        </row>
        <row r="52">
          <cell r="K52">
            <v>2.0697590209090966</v>
          </cell>
          <cell r="L52">
            <v>20.700930088119524</v>
          </cell>
        </row>
        <row r="53">
          <cell r="K53">
            <v>2.2240681391493489</v>
          </cell>
          <cell r="L53">
            <v>22.924998227268873</v>
          </cell>
        </row>
        <row r="54">
          <cell r="K54">
            <v>2.2359953333160996</v>
          </cell>
          <cell r="L54">
            <v>25.160993560584973</v>
          </cell>
        </row>
        <row r="55">
          <cell r="K55">
            <v>2.1443963678378539</v>
          </cell>
          <cell r="L55">
            <v>27.305389928422827</v>
          </cell>
        </row>
        <row r="56">
          <cell r="K56">
            <v>2.7427832277531237</v>
          </cell>
          <cell r="L56">
            <v>30.048173156175949</v>
          </cell>
        </row>
        <row r="57">
          <cell r="K57">
            <v>2.9366354902577791</v>
          </cell>
          <cell r="L57">
            <v>32.984808646433727</v>
          </cell>
        </row>
        <row r="58">
          <cell r="K58">
            <v>3.141094941250651</v>
          </cell>
          <cell r="L58">
            <v>36.125903587684377</v>
          </cell>
        </row>
        <row r="59">
          <cell r="K59">
            <v>3.3329671952375062</v>
          </cell>
          <cell r="L59">
            <v>39.458870782921885</v>
          </cell>
        </row>
        <row r="60">
          <cell r="K60">
            <v>3.5550110075908443</v>
          </cell>
          <cell r="L60">
            <v>43.013881790512727</v>
          </cell>
        </row>
        <row r="61">
          <cell r="K61">
            <v>3.7886991557512468</v>
          </cell>
          <cell r="L61">
            <v>46.802580946263973</v>
          </cell>
        </row>
        <row r="62">
          <cell r="K62">
            <v>3.7516447106324096</v>
          </cell>
          <cell r="L62">
            <v>50.554225656896385</v>
          </cell>
        </row>
        <row r="63">
          <cell r="K63">
            <v>4.2704626415545279</v>
          </cell>
          <cell r="L63">
            <v>54.824688298450916</v>
          </cell>
        </row>
        <row r="64">
          <cell r="K64">
            <v>4.1644962936680985</v>
          </cell>
          <cell r="L64">
            <v>58.989184592119017</v>
          </cell>
        </row>
        <row r="65">
          <cell r="K65">
            <v>4.8245744145166034</v>
          </cell>
          <cell r="L65">
            <v>63.813759006635621</v>
          </cell>
        </row>
        <row r="66">
          <cell r="K66">
            <v>5.1216754449583952</v>
          </cell>
          <cell r="L66">
            <v>68.93543445159402</v>
          </cell>
        </row>
        <row r="67">
          <cell r="K67">
            <v>5.425693461696504</v>
          </cell>
          <cell r="L67">
            <v>74.361127913290517</v>
          </cell>
        </row>
        <row r="68">
          <cell r="K68">
            <v>5.7110309100017034</v>
          </cell>
          <cell r="L68">
            <v>80.072158823292227</v>
          </cell>
        </row>
        <row r="69">
          <cell r="K69">
            <v>6.0346235274151026</v>
          </cell>
          <cell r="L69">
            <v>86.106782350707334</v>
          </cell>
        </row>
        <row r="70">
          <cell r="K70">
            <v>6.3733676386204339</v>
          </cell>
          <cell r="L70">
            <v>92.480149989327771</v>
          </cell>
        </row>
        <row r="71">
          <cell r="K71">
            <v>6.7275926239175217</v>
          </cell>
          <cell r="L71">
            <v>99.207742613245287</v>
          </cell>
        </row>
        <row r="72">
          <cell r="K72">
            <v>7.0977690265918296</v>
          </cell>
          <cell r="L72">
            <v>106.30551163983712</v>
          </cell>
        </row>
        <row r="73">
          <cell r="K73">
            <v>6.9301518117080239</v>
          </cell>
          <cell r="L73">
            <v>113.23566345154515</v>
          </cell>
        </row>
        <row r="74">
          <cell r="K74">
            <v>7.8493220381760178</v>
          </cell>
          <cell r="L74">
            <v>121.08498548972116</v>
          </cell>
        </row>
        <row r="75">
          <cell r="K75">
            <v>8.2456205600163397</v>
          </cell>
          <cell r="L75">
            <v>129.3306060497375</v>
          </cell>
        </row>
        <row r="76">
          <cell r="K76">
            <v>8.659531305806663</v>
          </cell>
          <cell r="L76">
            <v>137.99013735554416</v>
          </cell>
        </row>
        <row r="77">
          <cell r="K77">
            <v>9.084479045272321</v>
          </cell>
          <cell r="L77">
            <v>147.0746164008165</v>
          </cell>
        </row>
        <row r="78">
          <cell r="K78">
            <v>10.279386249901554</v>
          </cell>
          <cell r="L78">
            <v>157.35400265071806</v>
          </cell>
        </row>
        <row r="79">
          <cell r="K79">
            <v>10.788778732466158</v>
          </cell>
          <cell r="L79">
            <v>168.14278138318423</v>
          </cell>
        </row>
        <row r="80">
          <cell r="K80">
            <v>11.317615110271564</v>
          </cell>
          <cell r="L80">
            <v>179.46039649345579</v>
          </cell>
        </row>
        <row r="81">
          <cell r="K81">
            <v>11.866318076692572</v>
          </cell>
          <cell r="L81">
            <v>191.32671457014837</v>
          </cell>
        </row>
        <row r="82">
          <cell r="K82">
            <v>12.435404256965052</v>
          </cell>
          <cell r="L82">
            <v>203.76211882711343</v>
          </cell>
        </row>
        <row r="83">
          <cell r="K83">
            <v>13.000919299486762</v>
          </cell>
          <cell r="L83">
            <v>216.76303812660018</v>
          </cell>
        </row>
        <row r="84">
          <cell r="K84">
            <v>13.611034699877697</v>
          </cell>
          <cell r="L84">
            <v>230.37407282647789</v>
          </cell>
        </row>
        <row r="85">
          <cell r="K85">
            <v>14.242901429179994</v>
          </cell>
          <cell r="L85">
            <v>244.61697425565788</v>
          </cell>
        </row>
        <row r="86">
          <cell r="K86">
            <v>14.89703514389802</v>
          </cell>
          <cell r="L86">
            <v>259.5140093995559</v>
          </cell>
        </row>
        <row r="87">
          <cell r="K87">
            <v>15.559841263462172</v>
          </cell>
          <cell r="L87">
            <v>275.07385066301805</v>
          </cell>
        </row>
        <row r="88">
          <cell r="K88">
            <v>16.857654929218839</v>
          </cell>
          <cell r="L88">
            <v>291.93150559223687</v>
          </cell>
        </row>
        <row r="89">
          <cell r="K89">
            <v>17.602637944433031</v>
          </cell>
          <cell r="L89">
            <v>309.53414353666989</v>
          </cell>
        </row>
        <row r="90">
          <cell r="K90">
            <v>18.371856815352345</v>
          </cell>
          <cell r="L90">
            <v>327.90600035202226</v>
          </cell>
        </row>
        <row r="91">
          <cell r="K91">
            <v>19.165920954209206</v>
          </cell>
          <cell r="L91">
            <v>347.07192130623145</v>
          </cell>
        </row>
        <row r="92">
          <cell r="K92">
            <v>19.985299139643946</v>
          </cell>
          <cell r="L92">
            <v>367.05722044587537</v>
          </cell>
        </row>
        <row r="93">
          <cell r="K93">
            <v>20.791473755107301</v>
          </cell>
          <cell r="L93">
            <v>387.84869420098266</v>
          </cell>
        </row>
        <row r="94">
          <cell r="K94">
            <v>21.661442589845009</v>
          </cell>
          <cell r="L94">
            <v>409.51013679082769</v>
          </cell>
        </row>
        <row r="95">
          <cell r="K95">
            <v>22.558222167459324</v>
          </cell>
          <cell r="L95">
            <v>432.06835895828704</v>
          </cell>
        </row>
        <row r="96">
          <cell r="K96">
            <v>23.482420759603642</v>
          </cell>
          <cell r="L96">
            <v>455.55077971789069</v>
          </cell>
        </row>
        <row r="97">
          <cell r="K97">
            <v>24.434599847804169</v>
          </cell>
          <cell r="L97">
            <v>479.98537956569487</v>
          </cell>
        </row>
        <row r="98">
          <cell r="K98">
            <v>25.415274123459934</v>
          </cell>
          <cell r="L98">
            <v>505.40065368915481</v>
          </cell>
        </row>
        <row r="99">
          <cell r="K99">
            <v>26.425005068097153</v>
          </cell>
          <cell r="L99">
            <v>531.82565875725197</v>
          </cell>
        </row>
        <row r="100">
          <cell r="K100">
            <v>27.464400953369218</v>
          </cell>
          <cell r="L100">
            <v>559.29005971062122</v>
          </cell>
        </row>
        <row r="101">
          <cell r="K101">
            <v>28.533976470675157</v>
          </cell>
          <cell r="L101">
            <v>587.82403618129638</v>
          </cell>
        </row>
        <row r="102">
          <cell r="K102">
            <v>29.634293101541179</v>
          </cell>
          <cell r="L102">
            <v>617.45832928283755</v>
          </cell>
        </row>
        <row r="103">
          <cell r="K103">
            <v>30.708578366378578</v>
          </cell>
          <cell r="L103">
            <v>648.16690764921611</v>
          </cell>
        </row>
      </sheetData>
      <sheetData sheetId="3">
        <row r="2">
          <cell r="M2">
            <v>50</v>
          </cell>
        </row>
        <row r="3">
          <cell r="M3">
            <v>56</v>
          </cell>
        </row>
        <row r="4">
          <cell r="M4">
            <v>62</v>
          </cell>
        </row>
        <row r="5">
          <cell r="M5">
            <v>68</v>
          </cell>
        </row>
        <row r="6">
          <cell r="M6">
            <v>74</v>
          </cell>
        </row>
        <row r="7">
          <cell r="M7">
            <v>80</v>
          </cell>
        </row>
        <row r="8">
          <cell r="M8">
            <v>86</v>
          </cell>
        </row>
        <row r="9">
          <cell r="M9">
            <v>92</v>
          </cell>
        </row>
        <row r="10">
          <cell r="M10">
            <v>98</v>
          </cell>
        </row>
        <row r="11">
          <cell r="M11">
            <v>104</v>
          </cell>
        </row>
        <row r="12">
          <cell r="M12">
            <v>110</v>
          </cell>
        </row>
        <row r="13">
          <cell r="M13">
            <v>116</v>
          </cell>
        </row>
        <row r="14">
          <cell r="M14">
            <v>122</v>
          </cell>
        </row>
        <row r="15">
          <cell r="M15">
            <v>128</v>
          </cell>
        </row>
        <row r="16">
          <cell r="M16">
            <v>134</v>
          </cell>
        </row>
        <row r="17">
          <cell r="M17">
            <v>140</v>
          </cell>
        </row>
        <row r="18">
          <cell r="M18">
            <v>146</v>
          </cell>
        </row>
        <row r="19">
          <cell r="M19">
            <v>152</v>
          </cell>
        </row>
        <row r="20">
          <cell r="M20">
            <v>158</v>
          </cell>
        </row>
        <row r="21">
          <cell r="M21">
            <v>182</v>
          </cell>
        </row>
        <row r="22">
          <cell r="M22">
            <v>210</v>
          </cell>
        </row>
        <row r="23">
          <cell r="M23">
            <v>239</v>
          </cell>
        </row>
        <row r="24">
          <cell r="M24">
            <v>270</v>
          </cell>
        </row>
        <row r="25">
          <cell r="M25">
            <v>302</v>
          </cell>
        </row>
        <row r="26">
          <cell r="M26">
            <v>335</v>
          </cell>
        </row>
        <row r="27">
          <cell r="M27">
            <v>370</v>
          </cell>
        </row>
        <row r="28">
          <cell r="M28">
            <v>406</v>
          </cell>
        </row>
        <row r="29">
          <cell r="M29">
            <v>443</v>
          </cell>
        </row>
        <row r="30">
          <cell r="M30">
            <v>482</v>
          </cell>
        </row>
        <row r="31">
          <cell r="M31">
            <v>522</v>
          </cell>
        </row>
        <row r="32">
          <cell r="M32">
            <v>563</v>
          </cell>
        </row>
        <row r="33">
          <cell r="M33">
            <v>606</v>
          </cell>
        </row>
        <row r="34">
          <cell r="M34">
            <v>651</v>
          </cell>
        </row>
        <row r="35">
          <cell r="M35">
            <v>696</v>
          </cell>
        </row>
        <row r="36">
          <cell r="M36">
            <v>743</v>
          </cell>
        </row>
        <row r="37">
          <cell r="M37">
            <v>791</v>
          </cell>
        </row>
        <row r="38">
          <cell r="M38">
            <v>841</v>
          </cell>
        </row>
        <row r="39">
          <cell r="M39">
            <v>892</v>
          </cell>
        </row>
        <row r="40">
          <cell r="M40">
            <v>944</v>
          </cell>
        </row>
        <row r="41">
          <cell r="M41">
            <v>998</v>
          </cell>
        </row>
        <row r="42">
          <cell r="M42">
            <v>1053</v>
          </cell>
        </row>
        <row r="43">
          <cell r="M43">
            <v>1110</v>
          </cell>
        </row>
        <row r="44">
          <cell r="M44">
            <v>1167</v>
          </cell>
        </row>
        <row r="45">
          <cell r="M45">
            <v>1226</v>
          </cell>
        </row>
        <row r="46">
          <cell r="M46">
            <v>1287</v>
          </cell>
        </row>
        <row r="47">
          <cell r="M47">
            <v>1349</v>
          </cell>
        </row>
        <row r="48">
          <cell r="M48">
            <v>1412</v>
          </cell>
        </row>
        <row r="49">
          <cell r="M49">
            <v>1477</v>
          </cell>
        </row>
        <row r="50">
          <cell r="M50">
            <v>1543</v>
          </cell>
        </row>
        <row r="51">
          <cell r="M51">
            <v>1610</v>
          </cell>
        </row>
        <row r="52">
          <cell r="M52">
            <v>1679</v>
          </cell>
        </row>
        <row r="53">
          <cell r="M53">
            <v>1749</v>
          </cell>
        </row>
        <row r="54">
          <cell r="M54">
            <v>1820</v>
          </cell>
        </row>
        <row r="55">
          <cell r="M55">
            <v>1893</v>
          </cell>
        </row>
        <row r="56">
          <cell r="M56">
            <v>1967</v>
          </cell>
        </row>
        <row r="57">
          <cell r="M57">
            <v>2042</v>
          </cell>
        </row>
        <row r="58">
          <cell r="M58">
            <v>2119</v>
          </cell>
        </row>
        <row r="59">
          <cell r="M59">
            <v>2198</v>
          </cell>
        </row>
        <row r="60">
          <cell r="M60">
            <v>2277</v>
          </cell>
        </row>
        <row r="61">
          <cell r="M61">
            <v>2358</v>
          </cell>
        </row>
        <row r="62">
          <cell r="M62">
            <v>2440</v>
          </cell>
        </row>
        <row r="63">
          <cell r="M63">
            <v>2524</v>
          </cell>
        </row>
        <row r="64">
          <cell r="M64">
            <v>2609</v>
          </cell>
        </row>
        <row r="65">
          <cell r="M65">
            <v>2695</v>
          </cell>
        </row>
        <row r="66">
          <cell r="M66">
            <v>2783</v>
          </cell>
        </row>
        <row r="67">
          <cell r="M67">
            <v>2872</v>
          </cell>
        </row>
        <row r="68">
          <cell r="M68">
            <v>2963</v>
          </cell>
        </row>
        <row r="69">
          <cell r="M69">
            <v>3054</v>
          </cell>
        </row>
        <row r="70">
          <cell r="M70">
            <v>3147</v>
          </cell>
        </row>
        <row r="71">
          <cell r="M71">
            <v>3242</v>
          </cell>
        </row>
        <row r="72">
          <cell r="M72">
            <v>3338</v>
          </cell>
        </row>
        <row r="73">
          <cell r="M73">
            <v>3435</v>
          </cell>
        </row>
        <row r="74">
          <cell r="M74">
            <v>3534</v>
          </cell>
        </row>
        <row r="75">
          <cell r="M75">
            <v>3634</v>
          </cell>
        </row>
        <row r="76">
          <cell r="M76">
            <v>3735</v>
          </cell>
        </row>
        <row r="77">
          <cell r="M77">
            <v>3838</v>
          </cell>
        </row>
        <row r="78">
          <cell r="M78">
            <v>3942</v>
          </cell>
        </row>
        <row r="79">
          <cell r="M79">
            <v>4047</v>
          </cell>
        </row>
        <row r="80">
          <cell r="M80">
            <v>4154</v>
          </cell>
        </row>
        <row r="81">
          <cell r="M81">
            <v>4262</v>
          </cell>
        </row>
        <row r="82">
          <cell r="M82">
            <v>4371</v>
          </cell>
        </row>
        <row r="83">
          <cell r="M83">
            <v>4482</v>
          </cell>
        </row>
        <row r="84">
          <cell r="M84">
            <v>4595</v>
          </cell>
        </row>
        <row r="85">
          <cell r="M85">
            <v>4708</v>
          </cell>
        </row>
        <row r="86">
          <cell r="M86">
            <v>4823</v>
          </cell>
        </row>
        <row r="87">
          <cell r="M87">
            <v>4939</v>
          </cell>
        </row>
        <row r="88">
          <cell r="M88">
            <v>5057</v>
          </cell>
        </row>
        <row r="89">
          <cell r="M89">
            <v>5176</v>
          </cell>
        </row>
        <row r="90">
          <cell r="M90">
            <v>5296</v>
          </cell>
        </row>
        <row r="91">
          <cell r="M91">
            <v>5418</v>
          </cell>
        </row>
        <row r="92">
          <cell r="M92">
            <v>5541</v>
          </cell>
        </row>
        <row r="93">
          <cell r="M93">
            <v>5666</v>
          </cell>
        </row>
        <row r="94">
          <cell r="M94">
            <v>5791</v>
          </cell>
        </row>
        <row r="95">
          <cell r="M95">
            <v>5918</v>
          </cell>
        </row>
        <row r="96">
          <cell r="M96">
            <v>6047</v>
          </cell>
        </row>
        <row r="97">
          <cell r="M97">
            <v>6177</v>
          </cell>
        </row>
        <row r="98">
          <cell r="M98">
            <v>6308</v>
          </cell>
        </row>
        <row r="99">
          <cell r="M99">
            <v>6441</v>
          </cell>
        </row>
        <row r="100">
          <cell r="M100">
            <v>6575</v>
          </cell>
        </row>
        <row r="101">
          <cell r="M101">
            <v>6710</v>
          </cell>
        </row>
      </sheetData>
      <sheetData sheetId="4"/>
      <sheetData sheetId="5"/>
      <sheetData sheetId="6"/>
      <sheetData sheetId="7"/>
      <sheetData sheetId="8"/>
      <sheetData sheetId="9">
        <row r="5">
          <cell r="H5">
            <v>8</v>
          </cell>
        </row>
      </sheetData>
      <sheetData sheetId="10"/>
      <sheetData sheetId="11"/>
      <sheetData sheetId="12"/>
      <sheetData sheetId="13"/>
      <sheetData sheetId="14">
        <row r="46">
          <cell r="K46">
            <v>45.5</v>
          </cell>
        </row>
      </sheetData>
      <sheetData sheetId="15"/>
      <sheetData sheetId="16">
        <row r="40">
          <cell r="V40">
            <v>1.794533598230978</v>
          </cell>
        </row>
      </sheetData>
      <sheetData sheetId="17"/>
      <sheetData sheetId="18"/>
      <sheetData sheetId="19">
        <row r="2">
          <cell r="A2">
            <v>91001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sheetDataSet>
      <sheetData sheetId="0">
        <row r="2">
          <cell r="B2" t="str">
            <v>无属性</v>
          </cell>
        </row>
      </sheetData>
      <sheetData sheetId="1">
        <row r="6">
          <cell r="M6">
            <v>0.3</v>
          </cell>
        </row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</row>
      </sheetData>
      <sheetData sheetId="2"/>
      <sheetData sheetId="3"/>
      <sheetData sheetId="4">
        <row r="5">
          <cell r="G5">
            <v>66</v>
          </cell>
        </row>
        <row r="6">
          <cell r="G6">
            <v>72</v>
          </cell>
        </row>
        <row r="7">
          <cell r="G7">
            <v>78</v>
          </cell>
        </row>
        <row r="8">
          <cell r="G8">
            <v>84</v>
          </cell>
        </row>
        <row r="9">
          <cell r="G9">
            <v>90</v>
          </cell>
        </row>
        <row r="10">
          <cell r="G10">
            <v>148.19999999999999</v>
          </cell>
        </row>
        <row r="11">
          <cell r="G11">
            <v>169.89374999999998</v>
          </cell>
        </row>
        <row r="12">
          <cell r="G12">
            <v>193.05</v>
          </cell>
        </row>
        <row r="13">
          <cell r="G13">
            <v>242.45135869565217</v>
          </cell>
        </row>
        <row r="14">
          <cell r="G14">
            <v>295.92391304347831</v>
          </cell>
        </row>
        <row r="15">
          <cell r="G15">
            <v>353.46766304347824</v>
          </cell>
        </row>
        <row r="16">
          <cell r="G16">
            <v>415.08260869565214</v>
          </cell>
        </row>
        <row r="17">
          <cell r="G17">
            <v>480.76874999999995</v>
          </cell>
        </row>
        <row r="18">
          <cell r="G18">
            <v>550.52608695652179</v>
          </cell>
        </row>
        <row r="19">
          <cell r="G19">
            <v>624.35461956521738</v>
          </cell>
        </row>
        <row r="20">
          <cell r="G20">
            <v>702.25434782608704</v>
          </cell>
        </row>
        <row r="21">
          <cell r="G21">
            <v>784.22527173913045</v>
          </cell>
        </row>
        <row r="22">
          <cell r="G22">
            <v>870.26739130434817</v>
          </cell>
        </row>
        <row r="23">
          <cell r="G23">
            <v>960.38070652173917</v>
          </cell>
        </row>
        <row r="24">
          <cell r="G24">
            <v>1054.5652173913045</v>
          </cell>
        </row>
        <row r="25">
          <cell r="G25">
            <v>1152.8209239130438</v>
          </cell>
        </row>
        <row r="26">
          <cell r="G26">
            <v>1255.1478260869567</v>
          </cell>
        </row>
        <row r="27">
          <cell r="G27">
            <v>1386.9305392976592</v>
          </cell>
        </row>
        <row r="28">
          <cell r="G28">
            <v>1524.3229096989967</v>
          </cell>
        </row>
        <row r="29">
          <cell r="G29">
            <v>1667.3249372909704</v>
          </cell>
        </row>
        <row r="30">
          <cell r="G30">
            <v>1838.9766220735789</v>
          </cell>
        </row>
        <row r="31">
          <cell r="G31">
            <v>2017.5179640468232</v>
          </cell>
        </row>
        <row r="32">
          <cell r="G32">
            <v>2202.9489632107029</v>
          </cell>
        </row>
        <row r="33">
          <cell r="G33">
            <v>2395.2696195652184</v>
          </cell>
        </row>
        <row r="34">
          <cell r="G34">
            <v>2626.9109322742484</v>
          </cell>
        </row>
        <row r="35">
          <cell r="G35">
            <v>2868.8867307692312</v>
          </cell>
        </row>
        <row r="36">
          <cell r="G36">
            <v>3122.3317976588637</v>
          </cell>
        </row>
        <row r="37">
          <cell r="G37">
            <v>3386.1896112040149</v>
          </cell>
        </row>
        <row r="38">
          <cell r="G38">
            <v>3660.4601714046826</v>
          </cell>
        </row>
        <row r="39">
          <cell r="G39">
            <v>3945.1434782608699</v>
          </cell>
        </row>
        <row r="40">
          <cell r="G40">
            <v>4240.2395317725759</v>
          </cell>
        </row>
        <row r="41">
          <cell r="G41">
            <v>4545.7483319397998</v>
          </cell>
        </row>
        <row r="42">
          <cell r="G42">
            <v>4861.6698787625419</v>
          </cell>
        </row>
        <row r="43">
          <cell r="G43">
            <v>5188.0041722408032</v>
          </cell>
        </row>
        <row r="44">
          <cell r="G44">
            <v>5574.5237458194006</v>
          </cell>
        </row>
        <row r="45">
          <cell r="G45">
            <v>5974.9269816053529</v>
          </cell>
        </row>
        <row r="46">
          <cell r="G46">
            <v>6389.2138795986639</v>
          </cell>
        </row>
        <row r="47">
          <cell r="G47">
            <v>6817.3844397993325</v>
          </cell>
        </row>
        <row r="48">
          <cell r="G48">
            <v>7259.4386622073589</v>
          </cell>
        </row>
        <row r="49">
          <cell r="G49">
            <v>7715.3765468227448</v>
          </cell>
        </row>
        <row r="50">
          <cell r="G50">
            <v>8185.1980936454875</v>
          </cell>
        </row>
        <row r="51">
          <cell r="G51">
            <v>8668.9033026755878</v>
          </cell>
        </row>
        <row r="52">
          <cell r="G52">
            <v>9166.4921739130477</v>
          </cell>
        </row>
        <row r="53">
          <cell r="G53">
            <v>9677.9647073578635</v>
          </cell>
        </row>
        <row r="54">
          <cell r="G54">
            <v>10270.448014214051</v>
          </cell>
        </row>
        <row r="55">
          <cell r="G55">
            <v>10880.285898829434</v>
          </cell>
        </row>
        <row r="56">
          <cell r="G56">
            <v>11507.478361204016</v>
          </cell>
        </row>
        <row r="57">
          <cell r="G57">
            <v>12152.025401337796</v>
          </cell>
        </row>
        <row r="58">
          <cell r="G58">
            <v>12813.927019230772</v>
          </cell>
        </row>
        <row r="59">
          <cell r="G59">
            <v>13493.183214882944</v>
          </cell>
        </row>
        <row r="60">
          <cell r="G60">
            <v>14189.793988294317</v>
          </cell>
        </row>
        <row r="61">
          <cell r="G61">
            <v>14903.759339464887</v>
          </cell>
        </row>
        <row r="62">
          <cell r="G62">
            <v>15635.079268394653</v>
          </cell>
        </row>
        <row r="63">
          <cell r="G63">
            <v>16383.753775083616</v>
          </cell>
        </row>
        <row r="64">
          <cell r="G64">
            <v>17234.26454849499</v>
          </cell>
        </row>
        <row r="65">
          <cell r="G65">
            <v>18105.600815217396</v>
          </cell>
        </row>
        <row r="66">
          <cell r="G66">
            <v>18997.762575250843</v>
          </cell>
        </row>
        <row r="67">
          <cell r="G67">
            <v>19910.749828595326</v>
          </cell>
        </row>
        <row r="68">
          <cell r="G68">
            <v>20844.562575250846</v>
          </cell>
        </row>
        <row r="69">
          <cell r="G69">
            <v>21799.200815217395</v>
          </cell>
        </row>
        <row r="70">
          <cell r="G70">
            <v>22774.664548494995</v>
          </cell>
        </row>
        <row r="71">
          <cell r="G71">
            <v>23770.953775083628</v>
          </cell>
        </row>
        <row r="72">
          <cell r="G72">
            <v>24788.068494983298</v>
          </cell>
        </row>
        <row r="73">
          <cell r="G73">
            <v>25826.008708194004</v>
          </cell>
        </row>
        <row r="74">
          <cell r="G74">
            <v>26986.610681438149</v>
          </cell>
        </row>
        <row r="75">
          <cell r="G75">
            <v>28171.509063545167</v>
          </cell>
        </row>
        <row r="76">
          <cell r="G76">
            <v>29380.703854515068</v>
          </cell>
        </row>
        <row r="77">
          <cell r="G77">
            <v>30614.195054347845</v>
          </cell>
        </row>
        <row r="78">
          <cell r="G78">
            <v>31871.982663043495</v>
          </cell>
        </row>
        <row r="79">
          <cell r="G79">
            <v>33154.066680602024</v>
          </cell>
        </row>
        <row r="80">
          <cell r="G80">
            <v>34460.447107023429</v>
          </cell>
        </row>
        <row r="81">
          <cell r="G81">
            <v>35791.123942307706</v>
          </cell>
        </row>
        <row r="82">
          <cell r="G82">
            <v>37146.097186454856</v>
          </cell>
        </row>
        <row r="83">
          <cell r="G83">
            <v>38525.366839464899</v>
          </cell>
        </row>
        <row r="84">
          <cell r="G84">
            <v>40048.123745819401</v>
          </cell>
        </row>
        <row r="85">
          <cell r="G85">
            <v>41598.647976588647</v>
          </cell>
        </row>
        <row r="86">
          <cell r="G86">
            <v>43176.939531772587</v>
          </cell>
        </row>
        <row r="87">
          <cell r="G87">
            <v>44782.998411371249</v>
          </cell>
        </row>
        <row r="88">
          <cell r="G88">
            <v>46416.824615384627</v>
          </cell>
        </row>
        <row r="89">
          <cell r="G89">
            <v>48078.418143812705</v>
          </cell>
        </row>
        <row r="90">
          <cell r="G90">
            <v>49767.778996655521</v>
          </cell>
        </row>
        <row r="91">
          <cell r="G91">
            <v>51484.90717391303</v>
          </cell>
        </row>
        <row r="92">
          <cell r="G92">
            <v>53229.80267558527</v>
          </cell>
        </row>
        <row r="93">
          <cell r="G93">
            <v>55002.465501672232</v>
          </cell>
        </row>
        <row r="94">
          <cell r="G94">
            <v>56802.895652173887</v>
          </cell>
        </row>
        <row r="95">
          <cell r="G95">
            <v>58631.09312709028</v>
          </cell>
        </row>
        <row r="96">
          <cell r="G96">
            <v>60487.057926421388</v>
          </cell>
        </row>
        <row r="97">
          <cell r="G97">
            <v>62370.790050167183</v>
          </cell>
        </row>
        <row r="98">
          <cell r="G98">
            <v>64282.289498327722</v>
          </cell>
        </row>
        <row r="99">
          <cell r="G99">
            <v>66221.556270902962</v>
          </cell>
        </row>
        <row r="100">
          <cell r="G100">
            <v>68188.590367892932</v>
          </cell>
        </row>
        <row r="101">
          <cell r="G101">
            <v>70183.391789297617</v>
          </cell>
        </row>
        <row r="102">
          <cell r="G102">
            <v>72205.960535116988</v>
          </cell>
        </row>
        <row r="103">
          <cell r="G103">
            <v>74256.296605351105</v>
          </cell>
        </row>
        <row r="104">
          <cell r="G104">
            <v>76334.399999999936</v>
          </cell>
        </row>
      </sheetData>
      <sheetData sheetId="5"/>
      <sheetData sheetId="6">
        <row r="4">
          <cell r="B4">
            <v>1</v>
          </cell>
        </row>
      </sheetData>
      <sheetData sheetId="7">
        <row r="45">
          <cell r="B45" t="str">
            <v>龙魂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B1">
            <v>8</v>
          </cell>
        </row>
      </sheetData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1:AO2188"/>
  <sheetViews>
    <sheetView tabSelected="1" zoomScaleNormal="100" workbookViewId="0">
      <pane xSplit="3" ySplit="1" topLeftCell="J2" activePane="bottomRight" state="frozen"/>
      <selection pane="topRight" activeCell="D1" sqref="D1"/>
      <selection pane="bottomLeft" activeCell="A2" sqref="A2"/>
      <selection pane="bottomRight" activeCell="P9" sqref="P9"/>
    </sheetView>
  </sheetViews>
  <sheetFormatPr defaultRowHeight="13.5" x14ac:dyDescent="0.15"/>
  <cols>
    <col min="1" max="1" width="8.5" bestFit="1" customWidth="1"/>
    <col min="2" max="2" width="15" bestFit="1" customWidth="1"/>
    <col min="3" max="3" width="16.125" bestFit="1" customWidth="1"/>
    <col min="4" max="4" width="7.75" bestFit="1" customWidth="1"/>
    <col min="5" max="5" width="11.75" style="42" bestFit="1" customWidth="1"/>
    <col min="6" max="6" width="45.125" bestFit="1" customWidth="1"/>
    <col min="7" max="7" width="8.25" customWidth="1"/>
    <col min="8" max="8" width="11.75" bestFit="1" customWidth="1"/>
    <col min="9" max="9" width="9.5" style="44" bestFit="1" customWidth="1"/>
    <col min="10" max="10" width="9.5" customWidth="1"/>
    <col min="11" max="11" width="13.875" style="37" customWidth="1"/>
    <col min="12" max="12" width="9.5" style="40" customWidth="1"/>
    <col min="13" max="13" width="10.875" customWidth="1"/>
    <col min="14" max="14" width="11.75" style="34" bestFit="1" customWidth="1"/>
    <col min="15" max="15" width="7.75" bestFit="1" customWidth="1"/>
    <col min="16" max="16" width="11.625" customWidth="1"/>
    <col min="17" max="17" width="7.375" customWidth="1"/>
    <col min="18" max="18" width="12.125" customWidth="1"/>
    <col min="19" max="19" width="11.625" customWidth="1"/>
    <col min="20" max="20" width="12.75" customWidth="1"/>
    <col min="21" max="21" width="13" customWidth="1"/>
    <col min="22" max="22" width="15.5" customWidth="1"/>
    <col min="23" max="23" width="11.625" style="46" customWidth="1"/>
    <col min="24" max="24" width="12" style="48" customWidth="1"/>
    <col min="25" max="25" width="16.125" bestFit="1" customWidth="1"/>
    <col min="26" max="26" width="14.625" customWidth="1"/>
    <col min="27" max="27" width="12.75" bestFit="1" customWidth="1"/>
    <col min="28" max="28" width="13.5" customWidth="1"/>
    <col min="29" max="29" width="13.75" customWidth="1"/>
    <col min="30" max="30" width="13.875" customWidth="1"/>
    <col min="33" max="33" width="15.625" customWidth="1"/>
    <col min="34" max="35" width="12.75" bestFit="1" customWidth="1"/>
    <col min="37" max="37" width="13.125" bestFit="1" customWidth="1"/>
    <col min="39" max="39" width="16.125" bestFit="1" customWidth="1"/>
    <col min="40" max="40" width="12.75" bestFit="1" customWidth="1"/>
    <col min="47" max="47" width="12.75" bestFit="1" customWidth="1"/>
  </cols>
  <sheetData>
    <row r="1" spans="1:41" x14ac:dyDescent="0.15">
      <c r="A1" s="18" t="s">
        <v>110</v>
      </c>
      <c r="B1" s="18" t="s">
        <v>112</v>
      </c>
      <c r="C1" s="23" t="s">
        <v>114</v>
      </c>
      <c r="D1" s="18" t="s">
        <v>1</v>
      </c>
      <c r="E1" s="41" t="s">
        <v>115</v>
      </c>
      <c r="F1" s="18" t="s">
        <v>2</v>
      </c>
      <c r="G1" s="18" t="s">
        <v>58</v>
      </c>
      <c r="H1" s="18" t="s">
        <v>18</v>
      </c>
      <c r="I1" s="43" t="s">
        <v>3</v>
      </c>
      <c r="J1" s="18" t="s">
        <v>4</v>
      </c>
      <c r="K1" s="35" t="s">
        <v>22</v>
      </c>
      <c r="L1" s="38" t="s">
        <v>63</v>
      </c>
      <c r="M1" s="18" t="s">
        <v>6</v>
      </c>
      <c r="N1" s="32" t="s">
        <v>53</v>
      </c>
      <c r="O1" s="18" t="s">
        <v>14</v>
      </c>
      <c r="P1" s="18" t="s">
        <v>7</v>
      </c>
      <c r="Q1" s="18" t="s">
        <v>5</v>
      </c>
      <c r="R1" s="19" t="s">
        <v>29</v>
      </c>
      <c r="S1" s="20" t="s">
        <v>30</v>
      </c>
      <c r="T1" s="2" t="s">
        <v>31</v>
      </c>
      <c r="U1" s="2" t="s">
        <v>39</v>
      </c>
      <c r="V1" s="2" t="s">
        <v>42</v>
      </c>
      <c r="W1" s="45" t="s">
        <v>59</v>
      </c>
      <c r="X1" s="47" t="s">
        <v>54</v>
      </c>
      <c r="Y1" s="22" t="s">
        <v>72</v>
      </c>
      <c r="Z1" s="5" t="s">
        <v>71</v>
      </c>
      <c r="AA1" s="5" t="s">
        <v>38</v>
      </c>
      <c r="AB1" s="21" t="s">
        <v>36</v>
      </c>
      <c r="AC1" s="5" t="s">
        <v>37</v>
      </c>
      <c r="AD1" s="17" t="s">
        <v>66</v>
      </c>
      <c r="AE1" s="9" t="s">
        <v>52</v>
      </c>
      <c r="AG1" t="s">
        <v>67</v>
      </c>
      <c r="AH1" t="s">
        <v>68</v>
      </c>
      <c r="AI1" t="s">
        <v>76</v>
      </c>
      <c r="AJ1" t="s">
        <v>79</v>
      </c>
      <c r="AK1" t="s">
        <v>147</v>
      </c>
    </row>
    <row r="2" spans="1:41" x14ac:dyDescent="0.15">
      <c r="A2" s="1">
        <f ca="1">IF(I2=0,IF(H2=1,VALUE("9"&amp;D2&amp;J2&amp;O2&amp;G2&amp;IF(I2&gt;9,I2,"0"&amp;I2)),1),VALUE("9"&amp;D2&amp;J2&amp;O2&amp;G2&amp;IF(I2&gt;9,I2,"0"&amp;I2)))</f>
        <v>9111000</v>
      </c>
      <c r="B2" s="1" t="str">
        <f t="shared" ref="B2:B65" ca="1" si="0">IF(AND(G2=0,AE2=4),LEFT(C2,LEN(C2)-3),C2)</f>
        <v>瞬狱·斩</v>
      </c>
      <c r="C2" t="s">
        <v>150</v>
      </c>
      <c r="D2">
        <f t="shared" ref="D2:D65" si="1">VLOOKUP(C2,技能辅助查询表,3,FALSE)</f>
        <v>1</v>
      </c>
      <c r="E2" s="42">
        <f ca="1">IF(I2=0,E3,IF(AND(I2=1,G2&gt;1),OFFSET(E2,(1-G2)*51,0),IF(OR(I2=1,AND(I2=2,R2=2)),R2,IF(I2=0,0,ROUND(I2*(80-R2)/S2,0)+R2))))</f>
        <v>2</v>
      </c>
      <c r="F2" t="str">
        <f ca="1">"第"&amp;I2&amp;"级，共造成"&amp;ROUND(AJ2*K2,1)&amp;"%点伤害"</f>
        <v>第0级，共造成214.3%点伤害</v>
      </c>
      <c r="G2">
        <f ca="1">IF(I2=0,0,H2)</f>
        <v>0</v>
      </c>
      <c r="H2">
        <f t="shared" ref="H2:H65" si="2">VLOOKUP(C2,技能辅助查询表,2,FALSE)</f>
        <v>1</v>
      </c>
      <c r="I2" s="44">
        <f ca="1">IF(OFFSET(C2,-1,0)=C2,I1+1,0)</f>
        <v>0</v>
      </c>
      <c r="J2">
        <f t="shared" ref="J2:J65" si="3">VLOOKUP(C2,技能辅助查询表,4,FALSE)</f>
        <v>1</v>
      </c>
      <c r="K2" s="36">
        <f ca="1">IF(OR(I2=0,I2=1),T2,T2+T2*($AN$6-1)/S2*I2)</f>
        <v>19.480519480519479</v>
      </c>
      <c r="L2" s="10">
        <f ca="1">AH2*VLOOKUP(C2,技能辅助查询表,技能配置辅助表!$T$1,FALSE)</f>
        <v>0</v>
      </c>
      <c r="M2">
        <f t="shared" ref="M2:M65" ca="1" si="4">IF(OR(I2=0,I2=1),VLOOKUP(C2,技能辅助查询表,14,FALSE),VLOOKUP(C2,技能辅助查询表,14,FALSE)-VLOOKUP(C2,技能辅助查询表,14,FALSE)*0.5/S2*I2)</f>
        <v>10000</v>
      </c>
      <c r="N2" s="33">
        <f ca="1">CHOOSE(1,W2*U2,X2*'[1]0、经济设定'!$C$18)</f>
        <v>0</v>
      </c>
      <c r="O2">
        <f t="shared" ref="O2:O65" si="5">VLOOKUP(C2,技能辅助查询表,5,FALSE)</f>
        <v>1</v>
      </c>
      <c r="P2">
        <f t="shared" ref="P2:P65" si="6">VLOOKUP(C2,技能辅助查询表,6,FALSE)</f>
        <v>1</v>
      </c>
      <c r="Q2">
        <f t="shared" ref="Q2:Q65" si="7">VLOOKUP(C2,技能辅助查询表,7,FALSE)</f>
        <v>10</v>
      </c>
      <c r="R2" s="2">
        <f t="shared" ref="R2:R65" si="8">VLOOKUP(C2,技能辅助查询表,9,FALSE)</f>
        <v>2</v>
      </c>
      <c r="S2" s="2">
        <f t="shared" ref="S2:S65" si="9">VLOOKUP(C2,技能辅助查询表,8,FALSE)</f>
        <v>50</v>
      </c>
      <c r="T2" s="2">
        <f t="shared" ref="T2:T65" si="10">VLOOKUP(C2,技能辅助查询表,11,FALSE)</f>
        <v>19.480519480519479</v>
      </c>
      <c r="U2" s="2">
        <f ca="1">VLOOKUP(E2,金币生产率!$A$2:$B$120,2,0)</f>
        <v>56</v>
      </c>
      <c r="V2" s="2">
        <f t="shared" ref="V2:V65" si="11">VLOOKUP(C2,技能辅助查询表,12,FALSE)</f>
        <v>214.28571428571428</v>
      </c>
      <c r="W2" s="45">
        <f ca="1">IF(I2=0,0,ROUNDUP(X2-X1,0))</f>
        <v>0</v>
      </c>
      <c r="X2" s="48">
        <f t="shared" ref="X2:X67" ca="1" si="12">IF(I2=0,0,X1+W2)</f>
        <v>0</v>
      </c>
      <c r="Y2">
        <f t="shared" ref="Y2:Y65" si="13">VLOOKUP(C2,技能辅助查询表,15,FALSE)</f>
        <v>18</v>
      </c>
      <c r="Z2">
        <f ca="1">IF(I2&gt;=Y2,ROUNDUP(W2/$AN$15,0),0)</f>
        <v>0</v>
      </c>
      <c r="AA2" t="str">
        <f ca="1">AF2-MOD(AF2,100)&amp;".png"</f>
        <v>9111100.png</v>
      </c>
      <c r="AB2">
        <f t="shared" ref="AB2:AB65" si="14">VLOOKUP(C2,技能辅助查询表,17,FALSE)</f>
        <v>2</v>
      </c>
      <c r="AC2">
        <f>VLOOKUP(C2,技能辅助查询表,技能配置辅助表!$W$1,FALSE)</f>
        <v>1472</v>
      </c>
      <c r="AD2">
        <f ca="1">((AH2*K2/100+L2)*AJ2-AH2)/5</f>
        <v>2.6500114285714278</v>
      </c>
      <c r="AE2">
        <f>VLOOKUP(C2,技能辅助查询表,技能配置辅助表!$U$1,FALSE)</f>
        <v>1</v>
      </c>
      <c r="AF2">
        <f ca="1">VALUE("9"&amp;D2&amp;J2&amp;O2&amp;H2&amp;IF(I2&gt;9,I2,"0"&amp;I2))</f>
        <v>9111100</v>
      </c>
      <c r="AG2">
        <f ca="1">IF(I2=1,R2,IF(I2=0,0,I2*(80-R2)/S2+R2))</f>
        <v>0</v>
      </c>
      <c r="AH2">
        <f ca="1">(19.323*EXP(I2*0.1297))*$AN$12</f>
        <v>11.5938</v>
      </c>
      <c r="AI2">
        <f ca="1">VLOOKUP(E2,伤害参考系!$C$4:$E$104,3,FALSE)*$AN$12</f>
        <v>43.199999999999996</v>
      </c>
      <c r="AJ2">
        <f>VLOOKUP(C2,技能辅助查询表,技能配置辅助表!$L$1,FALSE)</f>
        <v>11</v>
      </c>
      <c r="AK2">
        <f>VLOOKUP(C2,技能辅助查询表,技能配置辅助表!$AE$1,FALSE)</f>
        <v>66000096</v>
      </c>
    </row>
    <row r="3" spans="1:41" x14ac:dyDescent="0.15">
      <c r="A3" s="1">
        <f t="shared" ref="A3:A66" ca="1" si="15">IF(I3=0,IF(H3=1,VALUE("9"&amp;D3&amp;J3&amp;O3&amp;G3&amp;IF(I3&gt;9,I3,"0"&amp;I3)),1),VALUE("9"&amp;D3&amp;J3&amp;O3&amp;G3&amp;IF(I3&gt;9,I3,"0"&amp;I3)))</f>
        <v>9111101</v>
      </c>
      <c r="B3" s="1" t="str">
        <f t="shared" ca="1" si="0"/>
        <v>瞬狱·斩</v>
      </c>
      <c r="C3" t="s">
        <v>150</v>
      </c>
      <c r="D3">
        <f t="shared" si="1"/>
        <v>1</v>
      </c>
      <c r="E3" s="42">
        <f t="shared" ref="E3:E66" ca="1" si="16">IF(I3=0,E4,IF(AND(I3=1,G3&gt;1),OFFSET(E3,(1-G3)*51,0),IF(OR(I3=1,AND(I3=2,R3=2)),R3,IF(I3=0,0,ROUND(I3*(80-R3)/S3,0)+R3))))</f>
        <v>2</v>
      </c>
      <c r="F3" t="str">
        <f t="shared" ref="F3:F66" ca="1" si="17">"第"&amp;I3&amp;"级，共造成"&amp;ROUND(AJ3*K3,1)&amp;"%点伤害"</f>
        <v>第1级，共造成214.3%点伤害</v>
      </c>
      <c r="G3">
        <f ca="1">IF(I3=0,0,H3)</f>
        <v>1</v>
      </c>
      <c r="H3">
        <f t="shared" si="2"/>
        <v>1</v>
      </c>
      <c r="I3" s="44">
        <f ca="1">IF(OFFSET(C3,-1,0)=C3,I2+1,0)</f>
        <v>1</v>
      </c>
      <c r="J3">
        <f t="shared" si="3"/>
        <v>1</v>
      </c>
      <c r="K3" s="36">
        <f ca="1">IF(OR(I3=0,I3=1),T3,T3+T3*($AN$6-1)/S3*I3)</f>
        <v>19.480519480519479</v>
      </c>
      <c r="L3" s="39">
        <f ca="1">AH3*VLOOKUP(C3,技能辅助查询表,技能配置辅助表!$T$1,FALSE)</f>
        <v>0</v>
      </c>
      <c r="M3">
        <f t="shared" ca="1" si="4"/>
        <v>10000</v>
      </c>
      <c r="N3" s="33">
        <f ca="1">CHOOSE(1,W3*U3,X3*'[1]0、经济设定'!$C$18)</f>
        <v>448</v>
      </c>
      <c r="O3">
        <f t="shared" si="5"/>
        <v>1</v>
      </c>
      <c r="P3">
        <f t="shared" si="6"/>
        <v>1</v>
      </c>
      <c r="Q3">
        <f t="shared" si="7"/>
        <v>10</v>
      </c>
      <c r="R3" s="2">
        <f t="shared" si="8"/>
        <v>2</v>
      </c>
      <c r="S3" s="2">
        <f t="shared" si="9"/>
        <v>50</v>
      </c>
      <c r="T3" s="2">
        <f>VLOOKUP(C3,技能辅助查询表,11,FALSE)</f>
        <v>19.480519480519479</v>
      </c>
      <c r="U3" s="2">
        <f ca="1">VLOOKUP(E3,金币生产率!$A$2:$B$120,2,0)</f>
        <v>56</v>
      </c>
      <c r="V3" s="2">
        <f t="shared" si="11"/>
        <v>214.28571428571428</v>
      </c>
      <c r="W3" s="45">
        <f ca="1">ROUND((IF(I3=0,0,ROUND(OFFSET(AD3,S3-I3+510*(1-D3),0)*(1-$AN$13)/(1-$AN$13^S3)*$AN$13^(I3-1),0))+IF(I3=0,0,ROUND(OFFSET(AD3,S3-I3+510*(2-D3),0)*(1-$AN$13)/(1-$AN$13^S3)*$AN$13^(I3-1),0))+IF(I3=0,0,ROUND(OFFSET(AD3,S3-I3+510*(3-D3),0)*(1-$AN$13)/(1-$AN$13^S3)*$AN$13^(I3-1),0)))/3,0)</f>
        <v>8</v>
      </c>
      <c r="X3" s="48">
        <f t="shared" ca="1" si="12"/>
        <v>8</v>
      </c>
      <c r="Y3">
        <f t="shared" si="13"/>
        <v>18</v>
      </c>
      <c r="Z3">
        <f t="shared" ref="Z3:Z66" ca="1" si="18">IF(I3&gt;=Y3,ROUNDUP(W3/$AN$15,0),0)</f>
        <v>0</v>
      </c>
      <c r="AA3" t="str">
        <f t="shared" ref="AA3:AA66" ca="1" si="19">AF3-MOD(AF3,100)&amp;".png"</f>
        <v>9111100.png</v>
      </c>
      <c r="AB3">
        <f t="shared" si="14"/>
        <v>2</v>
      </c>
      <c r="AC3">
        <f>VLOOKUP(C3,技能辅助查询表,技能配置辅助表!$W$1,FALSE)</f>
        <v>1472</v>
      </c>
      <c r="AD3">
        <f t="shared" ref="AD3:AD66" ca="1" si="20">((AH3*K3/100+L3)*AJ3-AH3)/5</f>
        <v>3.017002994314764</v>
      </c>
      <c r="AE3">
        <f>VLOOKUP(C3,技能辅助查询表,技能配置辅助表!$U$1,FALSE)</f>
        <v>1</v>
      </c>
      <c r="AF3">
        <f t="shared" ref="AF3:AF66" ca="1" si="21">VALUE("9"&amp;D3&amp;J3&amp;O3&amp;H3&amp;IF(I3&gt;9,I3,"0"&amp;I3))</f>
        <v>9111101</v>
      </c>
      <c r="AG3">
        <f t="shared" ref="AG3" ca="1" si="22">IF(I3=1,R3,IF(I3=0,0,I3*(80-R3)/S3+R3))</f>
        <v>2</v>
      </c>
      <c r="AH3">
        <f t="shared" ref="AH3:AH66" ca="1" si="23">(19.323*EXP(I3*0.1297))*$AN$12</f>
        <v>13.199388100127095</v>
      </c>
      <c r="AI3">
        <f ca="1">VLOOKUP(E3,伤害参考系!$C$4:$E$104,3,FALSE)*$AN$12</f>
        <v>43.199999999999996</v>
      </c>
      <c r="AJ3">
        <f>VLOOKUP(C3,技能辅助查询表,技能配置辅助表!$L$1,FALSE)</f>
        <v>11</v>
      </c>
      <c r="AK3">
        <f>VLOOKUP(C3,技能辅助查询表,技能配置辅助表!$AE$1,FALSE)</f>
        <v>66000096</v>
      </c>
    </row>
    <row r="4" spans="1:41" x14ac:dyDescent="0.15">
      <c r="A4" s="1">
        <f t="shared" ca="1" si="15"/>
        <v>9111102</v>
      </c>
      <c r="B4" s="1" t="str">
        <f t="shared" ca="1" si="0"/>
        <v>瞬狱·斩</v>
      </c>
      <c r="C4" t="s">
        <v>150</v>
      </c>
      <c r="D4">
        <f t="shared" si="1"/>
        <v>1</v>
      </c>
      <c r="E4" s="42">
        <f t="shared" ca="1" si="16"/>
        <v>2</v>
      </c>
      <c r="F4" t="str">
        <f t="shared" ca="1" si="17"/>
        <v>第2级，共造成218.6%点伤害</v>
      </c>
      <c r="G4">
        <f t="shared" ref="G4:G66" ca="1" si="24">IF(I4=0,0,H4)</f>
        <v>1</v>
      </c>
      <c r="H4">
        <f t="shared" si="2"/>
        <v>1</v>
      </c>
      <c r="I4" s="44">
        <f t="shared" ref="I4:I66" ca="1" si="25">IF(OFFSET(C4,-1,0)=C4,I3+1,0)</f>
        <v>2</v>
      </c>
      <c r="J4">
        <f t="shared" si="3"/>
        <v>1</v>
      </c>
      <c r="K4" s="36">
        <f t="shared" ref="K4:K65" ca="1" si="26">IF(OR(I4=0,I4=1),T4,T4+T4*($AN$6-1)/S4*I4)</f>
        <v>19.870129870129869</v>
      </c>
      <c r="L4" s="10">
        <f ca="1">AH4*VLOOKUP(C4,技能辅助查询表,技能配置辅助表!$T$1,FALSE)</f>
        <v>0</v>
      </c>
      <c r="M4">
        <f t="shared" ca="1" si="4"/>
        <v>9800</v>
      </c>
      <c r="N4" s="33">
        <f ca="1">CHOOSE(1,W4*U4,X4*'[1]0、经济设定'!$C$18)</f>
        <v>504</v>
      </c>
      <c r="O4">
        <f t="shared" si="5"/>
        <v>1</v>
      </c>
      <c r="P4">
        <f t="shared" si="6"/>
        <v>1</v>
      </c>
      <c r="Q4">
        <f t="shared" si="7"/>
        <v>10</v>
      </c>
      <c r="R4" s="2">
        <f t="shared" si="8"/>
        <v>2</v>
      </c>
      <c r="S4" s="2">
        <f t="shared" si="9"/>
        <v>50</v>
      </c>
      <c r="T4" s="2">
        <f t="shared" si="10"/>
        <v>19.480519480519479</v>
      </c>
      <c r="U4" s="2">
        <f ca="1">VLOOKUP(E4,金币生产率!$A$2:$B$120,2,0)</f>
        <v>56</v>
      </c>
      <c r="V4" s="2">
        <f t="shared" si="11"/>
        <v>214.28571428571428</v>
      </c>
      <c r="W4" s="45">
        <f t="shared" ref="W4:W67" ca="1" si="27">ROUND((IF(I4=0,0,ROUND(OFFSET(AD4,S4-I4+510*(1-D4),0)*(1-$AN$13)/(1-$AN$13^S4)*$AN$13^(I4-1),0))+IF(I4=0,0,ROUND(OFFSET(AD4,S4-I4+510*(2-D4),0)*(1-$AN$13)/(1-$AN$13^S4)*$AN$13^(I4-1),0))+IF(I4=0,0,ROUND(OFFSET(AD4,S4-I4+510*(3-D4),0)*(1-$AN$13)/(1-$AN$13^S4)*$AN$13^(I4-1),0)))/3,0)</f>
        <v>9</v>
      </c>
      <c r="X4" s="48">
        <f t="shared" ca="1" si="12"/>
        <v>17</v>
      </c>
      <c r="Y4">
        <f t="shared" si="13"/>
        <v>18</v>
      </c>
      <c r="Z4">
        <f t="shared" ca="1" si="18"/>
        <v>0</v>
      </c>
      <c r="AA4" t="str">
        <f t="shared" ca="1" si="19"/>
        <v>9111100.png</v>
      </c>
      <c r="AB4">
        <f t="shared" si="14"/>
        <v>2</v>
      </c>
      <c r="AC4">
        <f>VLOOKUP(C4,技能辅助查询表,技能配置辅助表!$W$1,FALSE)</f>
        <v>1472</v>
      </c>
      <c r="AD4">
        <f t="shared" ca="1" si="20"/>
        <v>3.5636237190999807</v>
      </c>
      <c r="AE4">
        <f>VLOOKUP(C4,技能辅助查询表,技能配置辅助表!$U$1,FALSE)</f>
        <v>1</v>
      </c>
      <c r="AF4">
        <f t="shared" ca="1" si="21"/>
        <v>9111102</v>
      </c>
      <c r="AG4">
        <f ca="1">IF(I4=1,R4,IF(I4=0,0,(I4-1)*(80-R4)/(S4-1)+R4))</f>
        <v>3.5918367346938775</v>
      </c>
      <c r="AH4">
        <f ca="1">(19.323*EXP(I4*0.1297))*$AN$12</f>
        <v>15.027328935963775</v>
      </c>
      <c r="AI4">
        <f ca="1">VLOOKUP(E4,伤害参考系!$C$4:$E$104,3,FALSE)*$AN$12</f>
        <v>43.199999999999996</v>
      </c>
      <c r="AJ4">
        <f>VLOOKUP(C4,技能辅助查询表,技能配置辅助表!$L$1,FALSE)</f>
        <v>11</v>
      </c>
      <c r="AK4">
        <f>VLOOKUP(C4,技能辅助查询表,技能配置辅助表!$AE$1,FALSE)</f>
        <v>66000096</v>
      </c>
    </row>
    <row r="5" spans="1:41" x14ac:dyDescent="0.15">
      <c r="A5" s="1">
        <f t="shared" ca="1" si="15"/>
        <v>9111103</v>
      </c>
      <c r="B5" s="1" t="str">
        <f t="shared" ca="1" si="0"/>
        <v>瞬狱·斩</v>
      </c>
      <c r="C5" t="s">
        <v>150</v>
      </c>
      <c r="D5">
        <f t="shared" si="1"/>
        <v>1</v>
      </c>
      <c r="E5" s="42">
        <f t="shared" ca="1" si="16"/>
        <v>7</v>
      </c>
      <c r="F5" t="str">
        <f t="shared" ca="1" si="17"/>
        <v>第3级，共造成220.7%点伤害</v>
      </c>
      <c r="G5">
        <f t="shared" ca="1" si="24"/>
        <v>1</v>
      </c>
      <c r="H5">
        <f t="shared" si="2"/>
        <v>1</v>
      </c>
      <c r="I5" s="44">
        <f t="shared" ca="1" si="25"/>
        <v>3</v>
      </c>
      <c r="J5">
        <f t="shared" si="3"/>
        <v>1</v>
      </c>
      <c r="K5" s="36">
        <f t="shared" ca="1" si="26"/>
        <v>20.064935064935064</v>
      </c>
      <c r="L5" s="10">
        <f ca="1">AH5*VLOOKUP(C5,技能辅助查询表,技能配置辅助表!$T$1,FALSE)</f>
        <v>0</v>
      </c>
      <c r="M5">
        <f t="shared" ca="1" si="4"/>
        <v>9700</v>
      </c>
      <c r="N5" s="33">
        <f ca="1">CHOOSE(1,W5*U5,X5*'[1]0、经济设定'!$C$18)</f>
        <v>860</v>
      </c>
      <c r="O5">
        <f t="shared" si="5"/>
        <v>1</v>
      </c>
      <c r="P5">
        <f t="shared" si="6"/>
        <v>1</v>
      </c>
      <c r="Q5">
        <f t="shared" si="7"/>
        <v>10</v>
      </c>
      <c r="R5" s="2">
        <f t="shared" si="8"/>
        <v>2</v>
      </c>
      <c r="S5" s="2">
        <f t="shared" si="9"/>
        <v>50</v>
      </c>
      <c r="T5" s="2">
        <f t="shared" si="10"/>
        <v>19.480519480519479</v>
      </c>
      <c r="U5" s="2">
        <f ca="1">VLOOKUP(E5,金币生产率!$A$2:$B$120,2,0)</f>
        <v>86</v>
      </c>
      <c r="V5" s="2">
        <f t="shared" si="11"/>
        <v>214.28571428571428</v>
      </c>
      <c r="W5" s="45">
        <f ca="1">ROUND((IF(I5=0,0,ROUND(OFFSET(AD5,S5-I5+510*(1-D5),0)*(1-$AN$13)/(1-$AN$13^S5)*$AN$13^(I5-1),0))+IF(I5=0,0,ROUND(OFFSET(AD5,S5-I5+510*(2-D5),0)*(1-$AN$13)/(1-$AN$13^S5)*$AN$13^(I5-1),0))+IF(I5=0,0,ROUND(OFFSET(AD5,S5-I5+510*(3-D5),0)*(1-$AN$13)/(1-$AN$13^S5)*$AN$13^(I5-1),0)))/3,0)</f>
        <v>10</v>
      </c>
      <c r="X5" s="48">
        <f t="shared" ca="1" si="12"/>
        <v>27</v>
      </c>
      <c r="Y5">
        <f t="shared" si="13"/>
        <v>18</v>
      </c>
      <c r="Z5">
        <f t="shared" ca="1" si="18"/>
        <v>0</v>
      </c>
      <c r="AA5" t="str">
        <f t="shared" ca="1" si="19"/>
        <v>9111100.png</v>
      </c>
      <c r="AB5">
        <f t="shared" si="14"/>
        <v>2</v>
      </c>
      <c r="AC5">
        <f>VLOOKUP(C5,技能辅助查询表,技能配置辅助表!$W$1,FALSE)</f>
        <v>1472</v>
      </c>
      <c r="AD5">
        <f t="shared" ca="1" si="20"/>
        <v>4.1304602950413676</v>
      </c>
      <c r="AE5">
        <f>VLOOKUP(C5,技能辅助查询表,技能配置辅助表!$U$1,FALSE)</f>
        <v>1</v>
      </c>
      <c r="AF5">
        <f t="shared" ca="1" si="21"/>
        <v>9111103</v>
      </c>
      <c r="AG5">
        <f t="shared" ref="AG5:AG68" ca="1" si="28">IF(I5=1,R5,IF(I5=0,0,(I5-1)*(80-R5)/(S5-1)+R5))</f>
        <v>5.1836734693877551</v>
      </c>
      <c r="AH5">
        <f t="shared" ca="1" si="23"/>
        <v>17.108415423248271</v>
      </c>
      <c r="AI5">
        <f ca="1">VLOOKUP(E5,伤害参考系!$C$4:$E$104,3,FALSE)*$AN$12</f>
        <v>101.93624999999999</v>
      </c>
      <c r="AJ5">
        <f>VLOOKUP(C5,技能辅助查询表,技能配置辅助表!$L$1,FALSE)</f>
        <v>11</v>
      </c>
      <c r="AK5">
        <f>VLOOKUP(C5,技能辅助查询表,技能配置辅助表!$AE$1,FALSE)</f>
        <v>66000096</v>
      </c>
    </row>
    <row r="6" spans="1:41" x14ac:dyDescent="0.15">
      <c r="A6" s="1">
        <f t="shared" ca="1" si="15"/>
        <v>9111104</v>
      </c>
      <c r="B6" s="1" t="str">
        <f t="shared" ca="1" si="0"/>
        <v>瞬狱·斩</v>
      </c>
      <c r="C6" t="s">
        <v>150</v>
      </c>
      <c r="D6">
        <f t="shared" si="1"/>
        <v>1</v>
      </c>
      <c r="E6" s="42">
        <f t="shared" ca="1" si="16"/>
        <v>8</v>
      </c>
      <c r="F6" t="str">
        <f t="shared" ca="1" si="17"/>
        <v>第4级，共造成222.9%点伤害</v>
      </c>
      <c r="G6">
        <f t="shared" ca="1" si="24"/>
        <v>1</v>
      </c>
      <c r="H6">
        <f t="shared" si="2"/>
        <v>1</v>
      </c>
      <c r="I6" s="44">
        <f t="shared" ca="1" si="25"/>
        <v>4</v>
      </c>
      <c r="J6">
        <f t="shared" si="3"/>
        <v>1</v>
      </c>
      <c r="K6" s="36">
        <f t="shared" ca="1" si="26"/>
        <v>20.259740259740258</v>
      </c>
      <c r="L6" s="10">
        <f ca="1">AH6*VLOOKUP(C6,技能辅助查询表,技能配置辅助表!$T$1,FALSE)</f>
        <v>0</v>
      </c>
      <c r="M6">
        <f t="shared" ca="1" si="4"/>
        <v>9600</v>
      </c>
      <c r="N6" s="33">
        <f ca="1">CHOOSE(1,W6*U6,X6*'[1]0、经济设定'!$C$18)</f>
        <v>920</v>
      </c>
      <c r="O6">
        <f t="shared" si="5"/>
        <v>1</v>
      </c>
      <c r="P6">
        <f t="shared" si="6"/>
        <v>1</v>
      </c>
      <c r="Q6">
        <f t="shared" si="7"/>
        <v>10</v>
      </c>
      <c r="R6" s="2">
        <f t="shared" si="8"/>
        <v>2</v>
      </c>
      <c r="S6" s="2">
        <f t="shared" si="9"/>
        <v>50</v>
      </c>
      <c r="T6" s="2">
        <f t="shared" si="10"/>
        <v>19.480519480519479</v>
      </c>
      <c r="U6" s="2">
        <f ca="1">VLOOKUP(E6,金币生产率!$A$2:$B$120,2,0)</f>
        <v>92</v>
      </c>
      <c r="V6" s="2">
        <f t="shared" si="11"/>
        <v>214.28571428571428</v>
      </c>
      <c r="W6" s="45">
        <f t="shared" ca="1" si="27"/>
        <v>10</v>
      </c>
      <c r="X6" s="48">
        <f t="shared" ca="1" si="12"/>
        <v>37</v>
      </c>
      <c r="Y6">
        <f t="shared" si="13"/>
        <v>18</v>
      </c>
      <c r="Z6">
        <f t="shared" ca="1" si="18"/>
        <v>0</v>
      </c>
      <c r="AA6" t="str">
        <f t="shared" ca="1" si="19"/>
        <v>9111100.png</v>
      </c>
      <c r="AB6">
        <f t="shared" si="14"/>
        <v>2</v>
      </c>
      <c r="AC6">
        <f>VLOOKUP(C6,技能辅助查询表,技能配置辅助表!$W$1,FALSE)</f>
        <v>1472</v>
      </c>
      <c r="AD6">
        <f t="shared" ca="1" si="20"/>
        <v>4.7859503443146334</v>
      </c>
      <c r="AE6">
        <f>VLOOKUP(C6,技能辅助查询表,技能配置辅助表!$U$1,FALSE)</f>
        <v>1</v>
      </c>
      <c r="AF6">
        <f t="shared" ca="1" si="21"/>
        <v>9111104</v>
      </c>
      <c r="AG6">
        <f t="shared" ca="1" si="28"/>
        <v>6.7755102040816331</v>
      </c>
      <c r="AH6">
        <f t="shared" ca="1" si="23"/>
        <v>19.477704889652582</v>
      </c>
      <c r="AI6">
        <f ca="1">VLOOKUP(E6,伤害参考系!$C$4:$E$104,3,FALSE)*$AN$12</f>
        <v>115.83</v>
      </c>
      <c r="AJ6">
        <f>VLOOKUP(C6,技能辅助查询表,技能配置辅助表!$L$1,FALSE)</f>
        <v>11</v>
      </c>
      <c r="AK6">
        <f>VLOOKUP(C6,技能辅助查询表,技能配置辅助表!$AE$1,FALSE)</f>
        <v>66000096</v>
      </c>
      <c r="AM6" s="24" t="s">
        <v>51</v>
      </c>
      <c r="AN6" s="3">
        <v>1.5</v>
      </c>
    </row>
    <row r="7" spans="1:41" x14ac:dyDescent="0.15">
      <c r="A7" s="1">
        <f t="shared" ca="1" si="15"/>
        <v>9111105</v>
      </c>
      <c r="B7" s="1" t="str">
        <f t="shared" ca="1" si="0"/>
        <v>瞬狱·斩</v>
      </c>
      <c r="C7" t="s">
        <v>150</v>
      </c>
      <c r="D7">
        <f t="shared" si="1"/>
        <v>1</v>
      </c>
      <c r="E7" s="42">
        <f t="shared" ca="1" si="16"/>
        <v>10</v>
      </c>
      <c r="F7" t="str">
        <f t="shared" ca="1" si="17"/>
        <v>第5级，共造成225%点伤害</v>
      </c>
      <c r="G7">
        <f t="shared" ca="1" si="24"/>
        <v>1</v>
      </c>
      <c r="H7">
        <f t="shared" si="2"/>
        <v>1</v>
      </c>
      <c r="I7" s="44">
        <f t="shared" ca="1" si="25"/>
        <v>5</v>
      </c>
      <c r="J7">
        <f t="shared" si="3"/>
        <v>1</v>
      </c>
      <c r="K7" s="36">
        <f t="shared" ca="1" si="26"/>
        <v>20.454545454545453</v>
      </c>
      <c r="L7" s="10">
        <f ca="1">AH7*VLOOKUP(C7,技能辅助查询表,技能配置辅助表!$T$1,FALSE)</f>
        <v>0</v>
      </c>
      <c r="M7">
        <f t="shared" ca="1" si="4"/>
        <v>9500</v>
      </c>
      <c r="N7" s="33">
        <f ca="1">CHOOSE(1,W7*U7,X7*'[1]0、经济设定'!$C$18)</f>
        <v>1144</v>
      </c>
      <c r="O7">
        <f t="shared" si="5"/>
        <v>1</v>
      </c>
      <c r="P7">
        <f t="shared" si="6"/>
        <v>1</v>
      </c>
      <c r="Q7">
        <f t="shared" si="7"/>
        <v>10</v>
      </c>
      <c r="R7" s="2">
        <f t="shared" si="8"/>
        <v>2</v>
      </c>
      <c r="S7" s="2">
        <f t="shared" si="9"/>
        <v>50</v>
      </c>
      <c r="T7" s="2">
        <f t="shared" si="10"/>
        <v>19.480519480519479</v>
      </c>
      <c r="U7" s="2">
        <f ca="1">VLOOKUP(E7,金币生产率!$A$2:$B$120,2,0)</f>
        <v>104</v>
      </c>
      <c r="V7" s="2">
        <f t="shared" si="11"/>
        <v>214.28571428571428</v>
      </c>
      <c r="W7" s="45">
        <f t="shared" ca="1" si="27"/>
        <v>11</v>
      </c>
      <c r="X7" s="48">
        <f t="shared" ca="1" si="12"/>
        <v>48</v>
      </c>
      <c r="Y7">
        <f t="shared" si="13"/>
        <v>18</v>
      </c>
      <c r="Z7">
        <f t="shared" ca="1" si="18"/>
        <v>0</v>
      </c>
      <c r="AA7" t="str">
        <f t="shared" ca="1" si="19"/>
        <v>9111100.png</v>
      </c>
      <c r="AB7">
        <f t="shared" si="14"/>
        <v>2</v>
      </c>
      <c r="AC7">
        <f>VLOOKUP(C7,技能辅助查询表,技能配置辅助表!$W$1,FALSE)</f>
        <v>1472</v>
      </c>
      <c r="AD7">
        <f t="shared" ca="1" si="20"/>
        <v>5.5437774098713897</v>
      </c>
      <c r="AE7">
        <f>VLOOKUP(C7,技能辅助查询表,技能配置辅助表!$U$1,FALSE)</f>
        <v>1</v>
      </c>
      <c r="AF7">
        <f t="shared" ca="1" si="21"/>
        <v>9111105</v>
      </c>
      <c r="AG7">
        <f t="shared" ca="1" si="28"/>
        <v>8.3673469387755102</v>
      </c>
      <c r="AH7">
        <f t="shared" ca="1" si="23"/>
        <v>22.175109639485559</v>
      </c>
      <c r="AI7">
        <f ca="1">VLOOKUP(E7,伤害参考系!$C$4:$E$104,3,FALSE)*$AN$12</f>
        <v>177.55434782608697</v>
      </c>
      <c r="AJ7">
        <f>VLOOKUP(C7,技能辅助查询表,技能配置辅助表!$L$1,FALSE)</f>
        <v>11</v>
      </c>
      <c r="AK7">
        <f>VLOOKUP(C7,技能辅助查询表,技能配置辅助表!$AE$1,FALSE)</f>
        <v>66000096</v>
      </c>
      <c r="AM7" s="24" t="s">
        <v>75</v>
      </c>
      <c r="AN7" s="3"/>
    </row>
    <row r="8" spans="1:41" x14ac:dyDescent="0.15">
      <c r="A8" s="1">
        <f t="shared" ca="1" si="15"/>
        <v>9111106</v>
      </c>
      <c r="B8" s="1" t="str">
        <f t="shared" ca="1" si="0"/>
        <v>瞬狱·斩</v>
      </c>
      <c r="C8" t="s">
        <v>150</v>
      </c>
      <c r="D8">
        <f t="shared" si="1"/>
        <v>1</v>
      </c>
      <c r="E8" s="42">
        <f t="shared" ca="1" si="16"/>
        <v>11</v>
      </c>
      <c r="F8" t="str">
        <f t="shared" ca="1" si="17"/>
        <v>第6级，共造成227.1%点伤害</v>
      </c>
      <c r="G8">
        <f t="shared" ca="1" si="24"/>
        <v>1</v>
      </c>
      <c r="H8">
        <f t="shared" si="2"/>
        <v>1</v>
      </c>
      <c r="I8" s="44">
        <f t="shared" ca="1" si="25"/>
        <v>6</v>
      </c>
      <c r="J8">
        <f t="shared" si="3"/>
        <v>1</v>
      </c>
      <c r="K8" s="36">
        <f ca="1">IF(OR(I8=0,I8=1),T8,T8+T8*($AN$6-1)/S8*I8)</f>
        <v>20.649350649350648</v>
      </c>
      <c r="L8" s="10">
        <f ca="1">AH8*VLOOKUP(C8,技能辅助查询表,技能配置辅助表!$T$1,FALSE)</f>
        <v>0</v>
      </c>
      <c r="M8">
        <f t="shared" ca="1" si="4"/>
        <v>9400</v>
      </c>
      <c r="N8" s="33">
        <f ca="1">CHOOSE(1,W8*U8,X8*'[1]0、经济设定'!$C$18)</f>
        <v>1320</v>
      </c>
      <c r="O8">
        <f t="shared" si="5"/>
        <v>1</v>
      </c>
      <c r="P8">
        <f t="shared" si="6"/>
        <v>1</v>
      </c>
      <c r="Q8">
        <f t="shared" si="7"/>
        <v>10</v>
      </c>
      <c r="R8" s="2">
        <f t="shared" si="8"/>
        <v>2</v>
      </c>
      <c r="S8" s="2">
        <f t="shared" si="9"/>
        <v>50</v>
      </c>
      <c r="T8" s="2">
        <f t="shared" si="10"/>
        <v>19.480519480519479</v>
      </c>
      <c r="U8" s="2">
        <f ca="1">VLOOKUP(E8,金币生产率!$A$2:$B$120,2,0)</f>
        <v>110</v>
      </c>
      <c r="V8" s="2">
        <f t="shared" si="11"/>
        <v>214.28571428571428</v>
      </c>
      <c r="W8" s="45">
        <f t="shared" ca="1" si="27"/>
        <v>12</v>
      </c>
      <c r="X8" s="48">
        <f t="shared" ca="1" si="12"/>
        <v>60</v>
      </c>
      <c r="Y8">
        <f t="shared" si="13"/>
        <v>18</v>
      </c>
      <c r="Z8">
        <f t="shared" ca="1" si="18"/>
        <v>0</v>
      </c>
      <c r="AA8" t="str">
        <f t="shared" ca="1" si="19"/>
        <v>9111100.png</v>
      </c>
      <c r="AB8">
        <f t="shared" si="14"/>
        <v>2</v>
      </c>
      <c r="AC8">
        <f>VLOOKUP(C8,技能辅助查询表,技能配置辅助表!$W$1,FALSE)</f>
        <v>1472</v>
      </c>
      <c r="AD8">
        <f t="shared" ca="1" si="20"/>
        <v>6.4197147658243665</v>
      </c>
      <c r="AE8">
        <f>VLOOKUP(C8,技能辅助查询表,技能配置辅助表!$U$1,FALSE)</f>
        <v>1</v>
      </c>
      <c r="AF8">
        <f t="shared" ca="1" si="21"/>
        <v>9111106</v>
      </c>
      <c r="AG8">
        <f t="shared" ca="1" si="28"/>
        <v>9.9591836734693882</v>
      </c>
      <c r="AH8">
        <f t="shared" ca="1" si="23"/>
        <v>25.246069303803697</v>
      </c>
      <c r="AI8">
        <f ca="1">VLOOKUP(E8,伤害参考系!$C$4:$E$104,3,FALSE)*$AN$12</f>
        <v>212.08059782608694</v>
      </c>
      <c r="AJ8">
        <f>VLOOKUP(C8,技能辅助查询表,技能配置辅助表!$L$1,FALSE)</f>
        <v>11</v>
      </c>
      <c r="AK8">
        <f>VLOOKUP(C8,技能辅助查询表,技能配置辅助表!$AE$1,FALSE)</f>
        <v>66000096</v>
      </c>
      <c r="AM8" s="4" t="s">
        <v>32</v>
      </c>
      <c r="AN8" s="8">
        <f ca="1">SUMIF($D:$D,1,$N:$N)</f>
        <v>55053296</v>
      </c>
    </row>
    <row r="9" spans="1:41" x14ac:dyDescent="0.15">
      <c r="A9" s="1">
        <f t="shared" ca="1" si="15"/>
        <v>9111107</v>
      </c>
      <c r="B9" s="1" t="str">
        <f t="shared" ca="1" si="0"/>
        <v>瞬狱·斩</v>
      </c>
      <c r="C9" t="s">
        <v>150</v>
      </c>
      <c r="D9">
        <f t="shared" si="1"/>
        <v>1</v>
      </c>
      <c r="E9" s="42">
        <f t="shared" ca="1" si="16"/>
        <v>13</v>
      </c>
      <c r="F9" t="str">
        <f t="shared" ca="1" si="17"/>
        <v>第7级，共造成229.3%点伤害</v>
      </c>
      <c r="G9">
        <f t="shared" ca="1" si="24"/>
        <v>1</v>
      </c>
      <c r="H9">
        <f t="shared" si="2"/>
        <v>1</v>
      </c>
      <c r="I9" s="44">
        <f t="shared" ca="1" si="25"/>
        <v>7</v>
      </c>
      <c r="J9">
        <f t="shared" si="3"/>
        <v>1</v>
      </c>
      <c r="K9" s="36">
        <f t="shared" ca="1" si="26"/>
        <v>20.844155844155843</v>
      </c>
      <c r="L9" s="10">
        <f ca="1">AH9*VLOOKUP(C9,技能辅助查询表,技能配置辅助表!$T$1,FALSE)</f>
        <v>0</v>
      </c>
      <c r="M9">
        <f t="shared" ca="1" si="4"/>
        <v>9300</v>
      </c>
      <c r="N9" s="33">
        <f ca="1">CHOOSE(1,W9*U9,X9*'[1]0、经济设定'!$C$18)</f>
        <v>1464</v>
      </c>
      <c r="O9">
        <f t="shared" si="5"/>
        <v>1</v>
      </c>
      <c r="P9">
        <f t="shared" si="6"/>
        <v>1</v>
      </c>
      <c r="Q9">
        <f t="shared" si="7"/>
        <v>10</v>
      </c>
      <c r="R9" s="2">
        <f t="shared" si="8"/>
        <v>2</v>
      </c>
      <c r="S9" s="2">
        <f t="shared" si="9"/>
        <v>50</v>
      </c>
      <c r="T9" s="2">
        <f>VLOOKUP(C9,技能辅助查询表,11,FALSE)</f>
        <v>19.480519480519479</v>
      </c>
      <c r="U9" s="2">
        <f ca="1">VLOOKUP(E9,金币生产率!$A$2:$B$120,2,0)</f>
        <v>122</v>
      </c>
      <c r="V9" s="2">
        <f t="shared" si="11"/>
        <v>214.28571428571428</v>
      </c>
      <c r="W9" s="45">
        <f t="shared" ca="1" si="27"/>
        <v>12</v>
      </c>
      <c r="X9" s="48">
        <f t="shared" ca="1" si="12"/>
        <v>72</v>
      </c>
      <c r="Y9">
        <f t="shared" si="13"/>
        <v>18</v>
      </c>
      <c r="Z9">
        <f t="shared" ca="1" si="18"/>
        <v>0</v>
      </c>
      <c r="AA9" t="str">
        <f t="shared" ca="1" si="19"/>
        <v>9111100.png</v>
      </c>
      <c r="AB9">
        <f t="shared" si="14"/>
        <v>2</v>
      </c>
      <c r="AC9">
        <f>VLOOKUP(C9,技能辅助查询表,技能配置辅助表!$W$1,FALSE)</f>
        <v>1472</v>
      </c>
      <c r="AD9">
        <f t="shared" ca="1" si="20"/>
        <v>7.4319417866930735</v>
      </c>
      <c r="AE9">
        <f>VLOOKUP(C9,技能辅助查询表,技能配置辅助表!$U$1,FALSE)</f>
        <v>1</v>
      </c>
      <c r="AF9">
        <f t="shared" ca="1" si="21"/>
        <v>9111107</v>
      </c>
      <c r="AG9">
        <f t="shared" ca="1" si="28"/>
        <v>11.551020408163266</v>
      </c>
      <c r="AH9">
        <f ca="1">(19.323*EXP(I9*0.1297))*$AN$12</f>
        <v>28.742316302127907</v>
      </c>
      <c r="AI9">
        <f ca="1">VLOOKUP(E9,伤害参考系!$C$4:$E$104,3,FALSE)*$AN$12</f>
        <v>288.46124999999995</v>
      </c>
      <c r="AJ9">
        <f>VLOOKUP(C9,技能辅助查询表,技能配置辅助表!$L$1,FALSE)</f>
        <v>11</v>
      </c>
      <c r="AK9">
        <f>VLOOKUP(C9,技能辅助查询表,技能配置辅助表!$AE$1,FALSE)</f>
        <v>66000096</v>
      </c>
      <c r="AM9" s="4" t="s">
        <v>34</v>
      </c>
      <c r="AN9" s="8">
        <f ca="1">SUMIF($D:$D,2,$N:$N)</f>
        <v>55053296</v>
      </c>
    </row>
    <row r="10" spans="1:41" x14ac:dyDescent="0.15">
      <c r="A10" s="1">
        <f t="shared" ca="1" si="15"/>
        <v>9111108</v>
      </c>
      <c r="B10" s="1" t="str">
        <f t="shared" ca="1" si="0"/>
        <v>瞬狱·斩</v>
      </c>
      <c r="C10" t="s">
        <v>150</v>
      </c>
      <c r="D10">
        <f t="shared" si="1"/>
        <v>1</v>
      </c>
      <c r="E10" s="42">
        <f t="shared" ca="1" si="16"/>
        <v>14</v>
      </c>
      <c r="F10" t="str">
        <f t="shared" ca="1" si="17"/>
        <v>第8级，共造成231.4%点伤害</v>
      </c>
      <c r="G10">
        <f t="shared" ca="1" si="24"/>
        <v>1</v>
      </c>
      <c r="H10">
        <f t="shared" si="2"/>
        <v>1</v>
      </c>
      <c r="I10" s="44">
        <f t="shared" ca="1" si="25"/>
        <v>8</v>
      </c>
      <c r="J10">
        <f t="shared" si="3"/>
        <v>1</v>
      </c>
      <c r="K10" s="36">
        <f t="shared" ca="1" si="26"/>
        <v>21.038961038961038</v>
      </c>
      <c r="L10" s="10">
        <f ca="1">AH10*VLOOKUP(C10,技能辅助查询表,技能配置辅助表!$T$1,FALSE)</f>
        <v>0</v>
      </c>
      <c r="M10">
        <f t="shared" ca="1" si="4"/>
        <v>9200</v>
      </c>
      <c r="N10" s="33">
        <f ca="1">CHOOSE(1,W10*U10,X10*'[1]0、经济设定'!$C$18)</f>
        <v>1664</v>
      </c>
      <c r="O10">
        <f t="shared" si="5"/>
        <v>1</v>
      </c>
      <c r="P10">
        <f t="shared" si="6"/>
        <v>1</v>
      </c>
      <c r="Q10">
        <f t="shared" si="7"/>
        <v>10</v>
      </c>
      <c r="R10" s="2">
        <f t="shared" si="8"/>
        <v>2</v>
      </c>
      <c r="S10" s="2">
        <f t="shared" si="9"/>
        <v>50</v>
      </c>
      <c r="T10" s="2">
        <f t="shared" si="10"/>
        <v>19.480519480519479</v>
      </c>
      <c r="U10" s="2">
        <f ca="1">VLOOKUP(E10,金币生产率!$A$2:$B$120,2,0)</f>
        <v>128</v>
      </c>
      <c r="V10" s="2">
        <f t="shared" si="11"/>
        <v>214.28571428571428</v>
      </c>
      <c r="W10" s="45">
        <f t="shared" ca="1" si="27"/>
        <v>13</v>
      </c>
      <c r="X10" s="48">
        <f t="shared" ca="1" si="12"/>
        <v>85</v>
      </c>
      <c r="Y10">
        <f t="shared" si="13"/>
        <v>18</v>
      </c>
      <c r="Z10">
        <f t="shared" ca="1" si="18"/>
        <v>0</v>
      </c>
      <c r="AA10" t="str">
        <f t="shared" ca="1" si="19"/>
        <v>9111100.png</v>
      </c>
      <c r="AB10">
        <f t="shared" si="14"/>
        <v>2</v>
      </c>
      <c r="AC10">
        <f>VLOOKUP(C10,技能辅助查询表,技能配置辅助表!$W$1,FALSE)</f>
        <v>1472</v>
      </c>
      <c r="AD10">
        <f t="shared" ca="1" si="20"/>
        <v>8.6014078644725025</v>
      </c>
      <c r="AE10">
        <f>VLOOKUP(C10,技能辅助查询表,技能配置辅助表!$U$1,FALSE)</f>
        <v>1</v>
      </c>
      <c r="AF10">
        <f t="shared" ca="1" si="21"/>
        <v>9111108</v>
      </c>
      <c r="AG10">
        <f t="shared" ca="1" si="28"/>
        <v>13.142857142857142</v>
      </c>
      <c r="AH10">
        <f t="shared" ca="1" si="23"/>
        <v>32.722747310493212</v>
      </c>
      <c r="AI10">
        <f ca="1">VLOOKUP(E10,伤害参考系!$C$4:$E$104,3,FALSE)*$AN$12</f>
        <v>330.31565217391307</v>
      </c>
      <c r="AJ10">
        <f>VLOOKUP(C10,技能辅助查询表,技能配置辅助表!$L$1,FALSE)</f>
        <v>11</v>
      </c>
      <c r="AK10">
        <f>VLOOKUP(C10,技能辅助查询表,技能配置辅助表!$AE$1,FALSE)</f>
        <v>66000096</v>
      </c>
      <c r="AM10" s="4" t="s">
        <v>33</v>
      </c>
      <c r="AN10" s="8">
        <f ca="1">SUMIF($D:$D,3,$N:$N)</f>
        <v>55053296</v>
      </c>
    </row>
    <row r="11" spans="1:41" x14ac:dyDescent="0.15">
      <c r="A11" s="1">
        <f t="shared" ca="1" si="15"/>
        <v>9111109</v>
      </c>
      <c r="B11" s="1" t="str">
        <f t="shared" ca="1" si="0"/>
        <v>瞬狱·斩</v>
      </c>
      <c r="C11" t="s">
        <v>150</v>
      </c>
      <c r="D11">
        <f t="shared" si="1"/>
        <v>1</v>
      </c>
      <c r="E11" s="42">
        <f t="shared" ca="1" si="16"/>
        <v>16</v>
      </c>
      <c r="F11" t="str">
        <f t="shared" ca="1" si="17"/>
        <v>第9级，共造成233.6%点伤害</v>
      </c>
      <c r="G11">
        <f t="shared" ca="1" si="24"/>
        <v>1</v>
      </c>
      <c r="H11">
        <f t="shared" si="2"/>
        <v>1</v>
      </c>
      <c r="I11" s="44">
        <f t="shared" ca="1" si="25"/>
        <v>9</v>
      </c>
      <c r="J11">
        <f t="shared" si="3"/>
        <v>1</v>
      </c>
      <c r="K11" s="36">
        <f t="shared" ca="1" si="26"/>
        <v>21.233766233766232</v>
      </c>
      <c r="L11" s="10">
        <f ca="1">AH11*VLOOKUP(C11,技能辅助查询表,技能配置辅助表!$T$1,FALSE)</f>
        <v>0</v>
      </c>
      <c r="M11">
        <f t="shared" ca="1" si="4"/>
        <v>9100</v>
      </c>
      <c r="N11" s="33">
        <f ca="1">CHOOSE(1,W11*U11,X11*'[1]0、经济设定'!$C$18)</f>
        <v>1960</v>
      </c>
      <c r="O11">
        <f t="shared" si="5"/>
        <v>1</v>
      </c>
      <c r="P11">
        <f t="shared" si="6"/>
        <v>1</v>
      </c>
      <c r="Q11">
        <f t="shared" si="7"/>
        <v>10</v>
      </c>
      <c r="R11" s="2">
        <f t="shared" si="8"/>
        <v>2</v>
      </c>
      <c r="S11" s="2">
        <f t="shared" si="9"/>
        <v>50</v>
      </c>
      <c r="T11" s="2">
        <f t="shared" si="10"/>
        <v>19.480519480519479</v>
      </c>
      <c r="U11" s="2">
        <f ca="1">VLOOKUP(E11,金币生产率!$A$2:$B$120,2,0)</f>
        <v>140</v>
      </c>
      <c r="V11" s="2">
        <f t="shared" si="11"/>
        <v>214.28571428571428</v>
      </c>
      <c r="W11" s="45">
        <f t="shared" ca="1" si="27"/>
        <v>14</v>
      </c>
      <c r="X11" s="48">
        <f t="shared" ca="1" si="12"/>
        <v>99</v>
      </c>
      <c r="Y11">
        <f t="shared" si="13"/>
        <v>18</v>
      </c>
      <c r="Z11">
        <f t="shared" ca="1" si="18"/>
        <v>0</v>
      </c>
      <c r="AA11" t="str">
        <f t="shared" ca="1" si="19"/>
        <v>9111100.png</v>
      </c>
      <c r="AB11">
        <f t="shared" si="14"/>
        <v>2</v>
      </c>
      <c r="AC11">
        <f>VLOOKUP(C11,技能辅助查询表,技能配置辅助表!$W$1,FALSE)</f>
        <v>1472</v>
      </c>
      <c r="AD11">
        <f t="shared" ca="1" si="20"/>
        <v>9.952250975499382</v>
      </c>
      <c r="AE11">
        <f>VLOOKUP(C11,技能辅助查询表,技能配置辅助表!$U$1,FALSE)</f>
        <v>1</v>
      </c>
      <c r="AF11">
        <f t="shared" ca="1" si="21"/>
        <v>9111109</v>
      </c>
      <c r="AG11">
        <f t="shared" ca="1" si="28"/>
        <v>14.73469387755102</v>
      </c>
      <c r="AH11">
        <f t="shared" ca="1" si="23"/>
        <v>37.25441541630785</v>
      </c>
      <c r="AI11">
        <f ca="1">VLOOKUP(E11,伤害参考系!$C$4:$E$104,3,FALSE)*$AN$12</f>
        <v>421.35260869565224</v>
      </c>
      <c r="AJ11">
        <f>VLOOKUP(C11,技能辅助查询表,技能配置辅助表!$L$1,FALSE)</f>
        <v>11</v>
      </c>
      <c r="AK11">
        <f>VLOOKUP(C11,技能辅助查询表,技能配置辅助表!$AE$1,FALSE)</f>
        <v>66000096</v>
      </c>
    </row>
    <row r="12" spans="1:41" x14ac:dyDescent="0.15">
      <c r="A12" s="1">
        <f t="shared" ca="1" si="15"/>
        <v>9111110</v>
      </c>
      <c r="B12" s="1" t="str">
        <f t="shared" ca="1" si="0"/>
        <v>瞬狱·斩</v>
      </c>
      <c r="C12" t="s">
        <v>150</v>
      </c>
      <c r="D12">
        <f t="shared" si="1"/>
        <v>1</v>
      </c>
      <c r="E12" s="42">
        <f t="shared" ca="1" si="16"/>
        <v>18</v>
      </c>
      <c r="F12" t="str">
        <f t="shared" ca="1" si="17"/>
        <v>第10级，共造成235.7%点伤害</v>
      </c>
      <c r="G12">
        <f t="shared" ca="1" si="24"/>
        <v>1</v>
      </c>
      <c r="H12">
        <f t="shared" si="2"/>
        <v>1</v>
      </c>
      <c r="I12" s="44">
        <f t="shared" ca="1" si="25"/>
        <v>10</v>
      </c>
      <c r="J12">
        <f t="shared" si="3"/>
        <v>1</v>
      </c>
      <c r="K12" s="36">
        <f t="shared" ca="1" si="26"/>
        <v>21.428571428571427</v>
      </c>
      <c r="L12" s="10">
        <f ca="1">AH12*VLOOKUP(C12,技能辅助查询表,技能配置辅助表!$T$1,FALSE)</f>
        <v>0</v>
      </c>
      <c r="M12">
        <f t="shared" ca="1" si="4"/>
        <v>9000</v>
      </c>
      <c r="N12" s="33">
        <f ca="1">CHOOSE(1,W12*U12,X12*'[1]0、经济设定'!$C$18)</f>
        <v>2280</v>
      </c>
      <c r="O12">
        <f t="shared" si="5"/>
        <v>1</v>
      </c>
      <c r="P12">
        <f t="shared" si="6"/>
        <v>1</v>
      </c>
      <c r="Q12">
        <f t="shared" si="7"/>
        <v>10</v>
      </c>
      <c r="R12" s="2">
        <f t="shared" si="8"/>
        <v>2</v>
      </c>
      <c r="S12" s="2">
        <f t="shared" si="9"/>
        <v>50</v>
      </c>
      <c r="T12" s="2">
        <f t="shared" si="10"/>
        <v>19.480519480519479</v>
      </c>
      <c r="U12" s="2">
        <f ca="1">VLOOKUP(E12,金币生产率!$A$2:$B$120,2,0)</f>
        <v>152</v>
      </c>
      <c r="V12" s="2">
        <f t="shared" si="11"/>
        <v>214.28571428571428</v>
      </c>
      <c r="W12" s="45">
        <f t="shared" ca="1" si="27"/>
        <v>15</v>
      </c>
      <c r="X12" s="48">
        <f t="shared" ca="1" si="12"/>
        <v>114</v>
      </c>
      <c r="Y12">
        <f t="shared" si="13"/>
        <v>18</v>
      </c>
      <c r="Z12">
        <f t="shared" ca="1" si="18"/>
        <v>0</v>
      </c>
      <c r="AA12" t="str">
        <f t="shared" ca="1" si="19"/>
        <v>9111100.png</v>
      </c>
      <c r="AB12">
        <f t="shared" si="14"/>
        <v>2</v>
      </c>
      <c r="AC12">
        <f>VLOOKUP(C12,技能辅助查询表,技能配置辅助表!$W$1,FALSE)</f>
        <v>1472</v>
      </c>
      <c r="AD12">
        <f t="shared" ca="1" si="20"/>
        <v>11.512279054249317</v>
      </c>
      <c r="AE12">
        <f>VLOOKUP(C12,技能辅助查询表,技能配置辅助表!$U$1,FALSE)</f>
        <v>1</v>
      </c>
      <c r="AF12">
        <f t="shared" ca="1" si="21"/>
        <v>9111110</v>
      </c>
      <c r="AG12">
        <f t="shared" ca="1" si="28"/>
        <v>16.326530612244898</v>
      </c>
      <c r="AH12">
        <f t="shared" ca="1" si="23"/>
        <v>42.413659673550121</v>
      </c>
      <c r="AI12">
        <f ca="1">VLOOKUP(E12,伤害参考系!$C$4:$E$104,3,FALSE)*$AN$12</f>
        <v>522.16043478260883</v>
      </c>
      <c r="AJ12">
        <f>VLOOKUP(C12,技能辅助查询表,技能配置辅助表!$L$1,FALSE)</f>
        <v>11</v>
      </c>
      <c r="AK12">
        <f>VLOOKUP(C12,技能辅助查询表,技能配置辅助表!$AE$1,FALSE)</f>
        <v>66000096</v>
      </c>
      <c r="AM12" s="4" t="s">
        <v>69</v>
      </c>
      <c r="AN12" s="3">
        <v>0.6</v>
      </c>
    </row>
    <row r="13" spans="1:41" x14ac:dyDescent="0.15">
      <c r="A13" s="1">
        <f t="shared" ca="1" si="15"/>
        <v>9111111</v>
      </c>
      <c r="B13" s="1" t="str">
        <f t="shared" ca="1" si="0"/>
        <v>瞬狱·斩</v>
      </c>
      <c r="C13" t="s">
        <v>150</v>
      </c>
      <c r="D13">
        <f t="shared" si="1"/>
        <v>1</v>
      </c>
      <c r="E13" s="42">
        <f t="shared" ca="1" si="16"/>
        <v>19</v>
      </c>
      <c r="F13" t="str">
        <f t="shared" ca="1" si="17"/>
        <v>第11级，共造成237.9%点伤害</v>
      </c>
      <c r="G13">
        <f t="shared" ca="1" si="24"/>
        <v>1</v>
      </c>
      <c r="H13">
        <f t="shared" si="2"/>
        <v>1</v>
      </c>
      <c r="I13" s="44">
        <f t="shared" ca="1" si="25"/>
        <v>11</v>
      </c>
      <c r="J13">
        <f t="shared" si="3"/>
        <v>1</v>
      </c>
      <c r="K13" s="36">
        <f t="shared" ca="1" si="26"/>
        <v>21.623376623376622</v>
      </c>
      <c r="L13" s="10">
        <f ca="1">AH13*VLOOKUP(C13,技能辅助查询表,技能配置辅助表!$T$1,FALSE)</f>
        <v>0</v>
      </c>
      <c r="M13">
        <f t="shared" ca="1" si="4"/>
        <v>8900</v>
      </c>
      <c r="N13" s="33">
        <f ca="1">CHOOSE(1,W13*U13,X13*'[1]0、经济设定'!$C$18)</f>
        <v>2528</v>
      </c>
      <c r="O13">
        <f t="shared" si="5"/>
        <v>1</v>
      </c>
      <c r="P13">
        <f t="shared" si="6"/>
        <v>1</v>
      </c>
      <c r="Q13">
        <f t="shared" si="7"/>
        <v>10</v>
      </c>
      <c r="R13" s="2">
        <f t="shared" si="8"/>
        <v>2</v>
      </c>
      <c r="S13" s="2">
        <f t="shared" si="9"/>
        <v>50</v>
      </c>
      <c r="T13" s="2">
        <f t="shared" si="10"/>
        <v>19.480519480519479</v>
      </c>
      <c r="U13" s="2">
        <f ca="1">VLOOKUP(E13,金币生产率!$A$2:$B$120,2,0)</f>
        <v>158</v>
      </c>
      <c r="V13" s="2">
        <f t="shared" si="11"/>
        <v>214.28571428571428</v>
      </c>
      <c r="W13" s="45">
        <f t="shared" ca="1" si="27"/>
        <v>16</v>
      </c>
      <c r="X13" s="48">
        <f t="shared" ca="1" si="12"/>
        <v>130</v>
      </c>
      <c r="Y13">
        <f t="shared" si="13"/>
        <v>18</v>
      </c>
      <c r="Z13">
        <f t="shared" ca="1" si="18"/>
        <v>0</v>
      </c>
      <c r="AA13" t="str">
        <f t="shared" ca="1" si="19"/>
        <v>9111100.png</v>
      </c>
      <c r="AB13">
        <f t="shared" si="14"/>
        <v>2</v>
      </c>
      <c r="AC13">
        <f>VLOOKUP(C13,技能辅助查询表,技能配置辅助表!$W$1,FALSE)</f>
        <v>1472</v>
      </c>
      <c r="AD13">
        <f t="shared" ca="1" si="20"/>
        <v>13.313523542402498</v>
      </c>
      <c r="AE13">
        <f>VLOOKUP(C13,技能辅助查询表,技能配置辅助表!$U$1,FALSE)</f>
        <v>1</v>
      </c>
      <c r="AF13">
        <f t="shared" ca="1" si="21"/>
        <v>9111111</v>
      </c>
      <c r="AG13">
        <f t="shared" ca="1" si="28"/>
        <v>17.918367346938776</v>
      </c>
      <c r="AH13">
        <f t="shared" ca="1" si="23"/>
        <v>48.287391086433935</v>
      </c>
      <c r="AI13">
        <f ca="1">VLOOKUP(E13,伤害参考系!$C$4:$E$104,3,FALSE)*$AN$12</f>
        <v>576.22842391304346</v>
      </c>
      <c r="AJ13">
        <f>VLOOKUP(C13,技能辅助查询表,技能配置辅助表!$L$1,FALSE)</f>
        <v>11</v>
      </c>
      <c r="AK13">
        <f>VLOOKUP(C13,技能辅助查询表,技能配置辅助表!$AE$1,FALSE)</f>
        <v>66000096</v>
      </c>
      <c r="AM13" s="59" t="s">
        <v>139</v>
      </c>
      <c r="AN13">
        <v>1.07</v>
      </c>
    </row>
    <row r="14" spans="1:41" x14ac:dyDescent="0.15">
      <c r="A14" s="1">
        <f t="shared" ca="1" si="15"/>
        <v>9111112</v>
      </c>
      <c r="B14" s="1" t="str">
        <f t="shared" ca="1" si="0"/>
        <v>瞬狱·斩</v>
      </c>
      <c r="C14" t="s">
        <v>150</v>
      </c>
      <c r="D14">
        <f t="shared" si="1"/>
        <v>1</v>
      </c>
      <c r="E14" s="42">
        <f t="shared" ca="1" si="16"/>
        <v>21</v>
      </c>
      <c r="F14" t="str">
        <f t="shared" ca="1" si="17"/>
        <v>第12级，共造成240%点伤害</v>
      </c>
      <c r="G14">
        <f t="shared" ca="1" si="24"/>
        <v>1</v>
      </c>
      <c r="H14">
        <f t="shared" si="2"/>
        <v>1</v>
      </c>
      <c r="I14" s="44">
        <f t="shared" ca="1" si="25"/>
        <v>12</v>
      </c>
      <c r="J14">
        <f t="shared" si="3"/>
        <v>1</v>
      </c>
      <c r="K14" s="36">
        <f t="shared" ca="1" si="26"/>
        <v>21.818181818181817</v>
      </c>
      <c r="L14" s="10">
        <f ca="1">AH14*VLOOKUP(C14,技能辅助查询表,技能配置辅助表!$T$1,FALSE)</f>
        <v>0</v>
      </c>
      <c r="M14">
        <f t="shared" ca="1" si="4"/>
        <v>8800</v>
      </c>
      <c r="N14" s="33">
        <f ca="1">CHOOSE(1,W14*U14,X14*'[1]0、经济设定'!$C$18)</f>
        <v>3780</v>
      </c>
      <c r="O14">
        <f t="shared" si="5"/>
        <v>1</v>
      </c>
      <c r="P14">
        <f t="shared" si="6"/>
        <v>1</v>
      </c>
      <c r="Q14">
        <f t="shared" si="7"/>
        <v>10</v>
      </c>
      <c r="R14" s="2">
        <f t="shared" si="8"/>
        <v>2</v>
      </c>
      <c r="S14" s="2">
        <f t="shared" si="9"/>
        <v>50</v>
      </c>
      <c r="T14" s="2">
        <f t="shared" si="10"/>
        <v>19.480519480519479</v>
      </c>
      <c r="U14" s="2">
        <f ca="1">VLOOKUP(E14,金币生产率!$A$2:$B$120,2,0)</f>
        <v>210</v>
      </c>
      <c r="V14" s="2">
        <f t="shared" si="11"/>
        <v>214.28571428571428</v>
      </c>
      <c r="W14" s="45">
        <f t="shared" ca="1" si="27"/>
        <v>18</v>
      </c>
      <c r="X14" s="48">
        <f t="shared" ca="1" si="12"/>
        <v>148</v>
      </c>
      <c r="Y14">
        <f t="shared" si="13"/>
        <v>18</v>
      </c>
      <c r="Z14">
        <f t="shared" ca="1" si="18"/>
        <v>0</v>
      </c>
      <c r="AA14" t="str">
        <f t="shared" ca="1" si="19"/>
        <v>9111100.png</v>
      </c>
      <c r="AB14">
        <f t="shared" si="14"/>
        <v>2</v>
      </c>
      <c r="AC14">
        <f>VLOOKUP(C14,技能辅助查询表,技能配置辅助表!$W$1,FALSE)</f>
        <v>1472</v>
      </c>
      <c r="AD14">
        <f t="shared" ca="1" si="20"/>
        <v>15.392875871749435</v>
      </c>
      <c r="AE14">
        <f>VLOOKUP(C14,技能辅助查询表,技能配置辅助表!$U$1,FALSE)</f>
        <v>1</v>
      </c>
      <c r="AF14">
        <f t="shared" ca="1" si="21"/>
        <v>9111112</v>
      </c>
      <c r="AG14">
        <f t="shared" ca="1" si="28"/>
        <v>19.510204081632654</v>
      </c>
      <c r="AH14">
        <f t="shared" ca="1" si="23"/>
        <v>54.974556684819426</v>
      </c>
      <c r="AI14">
        <f ca="1">VLOOKUP(E14,伤害参考系!$C$4:$E$104,3,FALSE)*$AN$12</f>
        <v>691.69255434782622</v>
      </c>
      <c r="AJ14">
        <f>VLOOKUP(C14,技能辅助查询表,技能配置辅助表!$L$1,FALSE)</f>
        <v>11</v>
      </c>
      <c r="AK14">
        <f>VLOOKUP(C14,技能辅助查询表,技能配置辅助表!$AE$1,FALSE)</f>
        <v>66000096</v>
      </c>
    </row>
    <row r="15" spans="1:41" x14ac:dyDescent="0.15">
      <c r="A15" s="1">
        <f t="shared" ca="1" si="15"/>
        <v>9111113</v>
      </c>
      <c r="B15" s="1" t="str">
        <f t="shared" ca="1" si="0"/>
        <v>瞬狱·斩</v>
      </c>
      <c r="C15" t="s">
        <v>150</v>
      </c>
      <c r="D15">
        <f t="shared" si="1"/>
        <v>1</v>
      </c>
      <c r="E15" s="42">
        <f t="shared" ca="1" si="16"/>
        <v>22</v>
      </c>
      <c r="F15" t="str">
        <f t="shared" ca="1" si="17"/>
        <v>第13级，共造成242.1%点伤害</v>
      </c>
      <c r="G15">
        <f t="shared" ca="1" si="24"/>
        <v>1</v>
      </c>
      <c r="H15">
        <f t="shared" si="2"/>
        <v>1</v>
      </c>
      <c r="I15" s="44">
        <f t="shared" ca="1" si="25"/>
        <v>13</v>
      </c>
      <c r="J15">
        <f t="shared" si="3"/>
        <v>1</v>
      </c>
      <c r="K15" s="36">
        <f t="shared" ca="1" si="26"/>
        <v>22.012987012987011</v>
      </c>
      <c r="L15" s="10">
        <f ca="1">AH15*VLOOKUP(C15,技能辅助查询表,技能配置辅助表!$T$1,FALSE)</f>
        <v>0</v>
      </c>
      <c r="M15">
        <f t="shared" ca="1" si="4"/>
        <v>8700</v>
      </c>
      <c r="N15" s="33">
        <f ca="1">CHOOSE(1,W15*U15,X15*'[1]0、经济设定'!$C$18)</f>
        <v>4541</v>
      </c>
      <c r="O15">
        <f t="shared" si="5"/>
        <v>1</v>
      </c>
      <c r="P15">
        <f t="shared" si="6"/>
        <v>1</v>
      </c>
      <c r="Q15">
        <f t="shared" si="7"/>
        <v>10</v>
      </c>
      <c r="R15" s="2">
        <f t="shared" si="8"/>
        <v>2</v>
      </c>
      <c r="S15" s="2">
        <f t="shared" si="9"/>
        <v>50</v>
      </c>
      <c r="T15" s="2">
        <f t="shared" si="10"/>
        <v>19.480519480519479</v>
      </c>
      <c r="U15" s="2">
        <f ca="1">VLOOKUP(E15,金币生产率!$A$2:$B$120,2,0)</f>
        <v>239</v>
      </c>
      <c r="V15" s="2">
        <f t="shared" si="11"/>
        <v>214.28571428571428</v>
      </c>
      <c r="W15" s="45">
        <f t="shared" ca="1" si="27"/>
        <v>19</v>
      </c>
      <c r="X15" s="48">
        <f t="shared" ca="1" si="12"/>
        <v>167</v>
      </c>
      <c r="Y15">
        <f t="shared" si="13"/>
        <v>18</v>
      </c>
      <c r="Z15">
        <f t="shared" ca="1" si="18"/>
        <v>0</v>
      </c>
      <c r="AA15" t="str">
        <f t="shared" ca="1" si="19"/>
        <v>9111100.png</v>
      </c>
      <c r="AB15">
        <f t="shared" si="14"/>
        <v>2</v>
      </c>
      <c r="AC15">
        <f>VLOOKUP(C15,技能辅助查询表,技能配置辅助表!$W$1,FALSE)</f>
        <v>1472</v>
      </c>
      <c r="AD15">
        <f t="shared" ca="1" si="20"/>
        <v>17.792819235127915</v>
      </c>
      <c r="AE15">
        <f>VLOOKUP(C15,技能辅助查询表,技能配置辅助表!$U$1,FALSE)</f>
        <v>1</v>
      </c>
      <c r="AF15">
        <f t="shared" ca="1" si="21"/>
        <v>9111113</v>
      </c>
      <c r="AG15">
        <f t="shared" ca="1" si="28"/>
        <v>21.102040816326532</v>
      </c>
      <c r="AH15">
        <f t="shared" ca="1" si="23"/>
        <v>62.587806354721323</v>
      </c>
      <c r="AI15">
        <f ca="1">VLOOKUP(E15,伤害参考系!$C$4:$E$104,3,FALSE)*$AN$12</f>
        <v>753.08869565217401</v>
      </c>
      <c r="AJ15">
        <f>VLOOKUP(C15,技能辅助查询表,技能配置辅助表!$L$1,FALSE)</f>
        <v>11</v>
      </c>
      <c r="AK15">
        <f>VLOOKUP(C15,技能辅助查询表,技能配置辅助表!$AE$1,FALSE)</f>
        <v>66000096</v>
      </c>
      <c r="AM15" s="62" t="s">
        <v>142</v>
      </c>
      <c r="AN15">
        <v>2.5</v>
      </c>
    </row>
    <row r="16" spans="1:41" x14ac:dyDescent="0.15">
      <c r="A16" s="1">
        <f t="shared" ca="1" si="15"/>
        <v>9111114</v>
      </c>
      <c r="B16" s="1" t="str">
        <f t="shared" ca="1" si="0"/>
        <v>瞬狱·斩</v>
      </c>
      <c r="C16" t="s">
        <v>150</v>
      </c>
      <c r="D16">
        <f t="shared" si="1"/>
        <v>1</v>
      </c>
      <c r="E16" s="42">
        <f t="shared" ca="1" si="16"/>
        <v>24</v>
      </c>
      <c r="F16" t="str">
        <f t="shared" ca="1" si="17"/>
        <v>第14级，共造成244.3%点伤害</v>
      </c>
      <c r="G16">
        <f t="shared" ca="1" si="24"/>
        <v>1</v>
      </c>
      <c r="H16">
        <f t="shared" si="2"/>
        <v>1</v>
      </c>
      <c r="I16" s="44">
        <f t="shared" ca="1" si="25"/>
        <v>14</v>
      </c>
      <c r="J16">
        <f t="shared" si="3"/>
        <v>1</v>
      </c>
      <c r="K16" s="36">
        <f t="shared" ca="1" si="26"/>
        <v>22.207792207792206</v>
      </c>
      <c r="L16" s="10">
        <f ca="1">AH16*VLOOKUP(C16,技能辅助查询表,技能配置辅助表!$T$1,FALSE)</f>
        <v>0</v>
      </c>
      <c r="M16">
        <f t="shared" ca="1" si="4"/>
        <v>8600</v>
      </c>
      <c r="N16" s="33">
        <f ca="1">CHOOSE(1,W16*U16,X16*'[1]0、经济设定'!$C$18)</f>
        <v>6040</v>
      </c>
      <c r="O16">
        <f t="shared" si="5"/>
        <v>1</v>
      </c>
      <c r="P16">
        <f t="shared" si="6"/>
        <v>1</v>
      </c>
      <c r="Q16">
        <f t="shared" si="7"/>
        <v>10</v>
      </c>
      <c r="R16" s="2">
        <f t="shared" si="8"/>
        <v>2</v>
      </c>
      <c r="S16" s="2">
        <f t="shared" si="9"/>
        <v>50</v>
      </c>
      <c r="T16" s="2">
        <f t="shared" si="10"/>
        <v>19.480519480519479</v>
      </c>
      <c r="U16" s="2">
        <f ca="1">VLOOKUP(E16,金币生产率!$A$2:$B$120,2,0)</f>
        <v>302</v>
      </c>
      <c r="V16" s="2">
        <f t="shared" si="11"/>
        <v>214.28571428571428</v>
      </c>
      <c r="W16" s="45">
        <f t="shared" ca="1" si="27"/>
        <v>20</v>
      </c>
      <c r="X16" s="48">
        <f t="shared" ca="1" si="12"/>
        <v>187</v>
      </c>
      <c r="Y16">
        <f t="shared" si="13"/>
        <v>18</v>
      </c>
      <c r="Z16">
        <f t="shared" ca="1" si="18"/>
        <v>0</v>
      </c>
      <c r="AA16" t="str">
        <f t="shared" ca="1" si="19"/>
        <v>9111100.png</v>
      </c>
      <c r="AB16">
        <f t="shared" si="14"/>
        <v>2</v>
      </c>
      <c r="AC16">
        <f>VLOOKUP(C16,技能辅助查询表,技能配置辅助表!$W$1,FALSE)</f>
        <v>1472</v>
      </c>
      <c r="AD16">
        <f t="shared" ca="1" si="20"/>
        <v>20.562269830813104</v>
      </c>
      <c r="AE16">
        <f>VLOOKUP(C16,技能辅助查询表,技能配置辅助表!$U$1,FALSE)</f>
        <v>1</v>
      </c>
      <c r="AF16">
        <f t="shared" ca="1" si="21"/>
        <v>9111114</v>
      </c>
      <c r="AG16">
        <f t="shared" ca="1" si="28"/>
        <v>22.693877551020407</v>
      </c>
      <c r="AH16">
        <f t="shared" ca="1" si="23"/>
        <v>71.25539050281769</v>
      </c>
      <c r="AI16">
        <f ca="1">VLOOKUP(E16,伤害参考系!$C$4:$E$104,3,FALSE)*$AN$12</f>
        <v>914.59374581939801</v>
      </c>
      <c r="AJ16">
        <f>VLOOKUP(C16,技能辅助查询表,技能配置辅助表!$L$1,FALSE)</f>
        <v>11</v>
      </c>
      <c r="AK16">
        <f>VLOOKUP(C16,技能辅助查询表,技能配置辅助表!$AE$1,FALSE)</f>
        <v>66000096</v>
      </c>
      <c r="AM16" s="59" t="s">
        <v>145</v>
      </c>
      <c r="AN16">
        <f ca="1">ROUND(SUM(Z:Z)/3,0)</f>
        <v>7724</v>
      </c>
      <c r="AO16">
        <f ca="1">AN16/186</f>
        <v>41.526881720430104</v>
      </c>
    </row>
    <row r="17" spans="1:40" x14ac:dyDescent="0.15">
      <c r="A17" s="1">
        <f t="shared" ca="1" si="15"/>
        <v>9111115</v>
      </c>
      <c r="B17" s="1" t="str">
        <f t="shared" ca="1" si="0"/>
        <v>瞬狱·斩</v>
      </c>
      <c r="C17" t="s">
        <v>150</v>
      </c>
      <c r="D17">
        <f t="shared" si="1"/>
        <v>1</v>
      </c>
      <c r="E17" s="42">
        <f t="shared" ca="1" si="16"/>
        <v>25</v>
      </c>
      <c r="F17" t="str">
        <f t="shared" ca="1" si="17"/>
        <v>第15级，共造成246.4%点伤害</v>
      </c>
      <c r="G17">
        <f t="shared" ca="1" si="24"/>
        <v>1</v>
      </c>
      <c r="H17">
        <f t="shared" si="2"/>
        <v>1</v>
      </c>
      <c r="I17" s="44">
        <f t="shared" ca="1" si="25"/>
        <v>15</v>
      </c>
      <c r="J17">
        <f t="shared" si="3"/>
        <v>1</v>
      </c>
      <c r="K17" s="36">
        <f t="shared" ca="1" si="26"/>
        <v>22.402597402597401</v>
      </c>
      <c r="L17" s="10">
        <f ca="1">AH17*VLOOKUP(C17,技能辅助查询表,技能配置辅助表!$T$1,FALSE)</f>
        <v>0</v>
      </c>
      <c r="M17">
        <f t="shared" ca="1" si="4"/>
        <v>8500</v>
      </c>
      <c r="N17" s="33">
        <f ca="1">CHOOSE(1,W17*U17,X17*'[1]0、经济设定'!$C$18)</f>
        <v>7035</v>
      </c>
      <c r="O17">
        <f t="shared" si="5"/>
        <v>1</v>
      </c>
      <c r="P17">
        <f t="shared" si="6"/>
        <v>1</v>
      </c>
      <c r="Q17">
        <f t="shared" si="7"/>
        <v>10</v>
      </c>
      <c r="R17" s="2">
        <f t="shared" si="8"/>
        <v>2</v>
      </c>
      <c r="S17" s="2">
        <f t="shared" si="9"/>
        <v>50</v>
      </c>
      <c r="T17" s="2">
        <f t="shared" si="10"/>
        <v>19.480519480519479</v>
      </c>
      <c r="U17" s="2">
        <f ca="1">VLOOKUP(E17,金币生产率!$A$2:$B$120,2,0)</f>
        <v>335</v>
      </c>
      <c r="V17" s="2">
        <f t="shared" si="11"/>
        <v>214.28571428571428</v>
      </c>
      <c r="W17" s="45">
        <f t="shared" ca="1" si="27"/>
        <v>21</v>
      </c>
      <c r="X17" s="48">
        <f t="shared" ca="1" si="12"/>
        <v>208</v>
      </c>
      <c r="Y17">
        <f t="shared" si="13"/>
        <v>18</v>
      </c>
      <c r="Z17">
        <f t="shared" ca="1" si="18"/>
        <v>0</v>
      </c>
      <c r="AA17" t="str">
        <f t="shared" ca="1" si="19"/>
        <v>9111100.png</v>
      </c>
      <c r="AB17">
        <f t="shared" si="14"/>
        <v>2</v>
      </c>
      <c r="AC17">
        <f>VLOOKUP(C17,技能辅助查询表,技能配置辅助表!$W$1,FALSE)</f>
        <v>1472</v>
      </c>
      <c r="AD17">
        <f t="shared" ca="1" si="20"/>
        <v>23.757543867279331</v>
      </c>
      <c r="AE17">
        <f>VLOOKUP(C17,技能辅助查询表,技能配置辅助表!$U$1,FALSE)</f>
        <v>1</v>
      </c>
      <c r="AF17">
        <f t="shared" ca="1" si="21"/>
        <v>9111115</v>
      </c>
      <c r="AG17">
        <f t="shared" ca="1" si="28"/>
        <v>24.285714285714285</v>
      </c>
      <c r="AH17">
        <f t="shared" ca="1" si="23"/>
        <v>81.123320522417259</v>
      </c>
      <c r="AI17">
        <f ca="1">VLOOKUP(E17,伤害参考系!$C$4:$E$104,3,FALSE)*$AN$12</f>
        <v>1000.3949623745822</v>
      </c>
      <c r="AJ17">
        <f>VLOOKUP(C17,技能辅助查询表,技能配置辅助表!$L$1,FALSE)</f>
        <v>11</v>
      </c>
      <c r="AK17">
        <f>VLOOKUP(C17,技能辅助查询表,技能配置辅助表!$AE$1,FALSE)</f>
        <v>66000096</v>
      </c>
      <c r="AM17" s="4" t="s">
        <v>193</v>
      </c>
      <c r="AN17">
        <f ca="1">SUMIF(D:D,1,W:W)</f>
        <v>20533</v>
      </c>
    </row>
    <row r="18" spans="1:40" x14ac:dyDescent="0.15">
      <c r="A18" s="1">
        <f t="shared" ca="1" si="15"/>
        <v>9111116</v>
      </c>
      <c r="B18" s="1" t="str">
        <f t="shared" ca="1" si="0"/>
        <v>瞬狱·斩</v>
      </c>
      <c r="C18" t="s">
        <v>150</v>
      </c>
      <c r="D18">
        <f t="shared" si="1"/>
        <v>1</v>
      </c>
      <c r="E18" s="42">
        <f t="shared" ca="1" si="16"/>
        <v>27</v>
      </c>
      <c r="F18" t="str">
        <f t="shared" ca="1" si="17"/>
        <v>第16级，共造成248.6%点伤害</v>
      </c>
      <c r="G18">
        <f t="shared" ca="1" si="24"/>
        <v>1</v>
      </c>
      <c r="H18">
        <f t="shared" si="2"/>
        <v>1</v>
      </c>
      <c r="I18" s="44">
        <f t="shared" ca="1" si="25"/>
        <v>16</v>
      </c>
      <c r="J18">
        <f t="shared" si="3"/>
        <v>1</v>
      </c>
      <c r="K18" s="36">
        <f t="shared" ca="1" si="26"/>
        <v>22.597402597402596</v>
      </c>
      <c r="L18" s="10">
        <f ca="1">AH18*VLOOKUP(C18,技能辅助查询表,技能配置辅助表!$T$1,FALSE)</f>
        <v>0</v>
      </c>
      <c r="M18">
        <f t="shared" ca="1" si="4"/>
        <v>8400</v>
      </c>
      <c r="N18" s="33">
        <f ca="1">CHOOSE(1,W18*U18,X18*'[1]0、经济设定'!$C$18)</f>
        <v>9338</v>
      </c>
      <c r="O18">
        <f t="shared" si="5"/>
        <v>1</v>
      </c>
      <c r="P18">
        <f t="shared" si="6"/>
        <v>1</v>
      </c>
      <c r="Q18">
        <f t="shared" si="7"/>
        <v>10</v>
      </c>
      <c r="R18" s="2">
        <f t="shared" si="8"/>
        <v>2</v>
      </c>
      <c r="S18" s="2">
        <f t="shared" si="9"/>
        <v>50</v>
      </c>
      <c r="T18" s="2">
        <f t="shared" si="10"/>
        <v>19.480519480519479</v>
      </c>
      <c r="U18" s="2">
        <f ca="1">VLOOKUP(E18,金币生产率!$A$2:$B$120,2,0)</f>
        <v>406</v>
      </c>
      <c r="V18" s="2">
        <f t="shared" si="11"/>
        <v>214.28571428571428</v>
      </c>
      <c r="W18" s="45">
        <f t="shared" ca="1" si="27"/>
        <v>23</v>
      </c>
      <c r="X18" s="48">
        <f t="shared" ca="1" si="12"/>
        <v>231</v>
      </c>
      <c r="Y18">
        <f t="shared" si="13"/>
        <v>18</v>
      </c>
      <c r="Z18">
        <f t="shared" ca="1" si="18"/>
        <v>0</v>
      </c>
      <c r="AA18" t="str">
        <f t="shared" ca="1" si="19"/>
        <v>9111100.png</v>
      </c>
      <c r="AB18">
        <f t="shared" si="14"/>
        <v>2</v>
      </c>
      <c r="AC18">
        <f>VLOOKUP(C18,技能辅助查询表,技能配置辅助表!$W$1,FALSE)</f>
        <v>1472</v>
      </c>
      <c r="AD18">
        <f t="shared" ca="1" si="20"/>
        <v>27.443469026751888</v>
      </c>
      <c r="AE18">
        <f>VLOOKUP(C18,技能辅助查询表,技能配置辅助表!$U$1,FALSE)</f>
        <v>1</v>
      </c>
      <c r="AF18">
        <f t="shared" ca="1" si="21"/>
        <v>9111116</v>
      </c>
      <c r="AG18">
        <f t="shared" ca="1" si="28"/>
        <v>25.877551020408163</v>
      </c>
      <c r="AH18">
        <f t="shared" ca="1" si="23"/>
        <v>92.357828455414989</v>
      </c>
      <c r="AI18">
        <f ca="1">VLOOKUP(E18,伤害参考系!$C$4:$E$104,3,FALSE)*$AN$12</f>
        <v>1210.5107784280938</v>
      </c>
      <c r="AJ18">
        <f>VLOOKUP(C18,技能辅助查询表,技能配置辅助表!$L$1,FALSE)</f>
        <v>11</v>
      </c>
      <c r="AK18">
        <f>VLOOKUP(C18,技能辅助查询表,技能配置辅助表!$AE$1,FALSE)</f>
        <v>66000096</v>
      </c>
      <c r="AM18" s="4" t="s">
        <v>194</v>
      </c>
      <c r="AN18">
        <f ca="1">SUMIF(D:D,2,W:W)</f>
        <v>20533</v>
      </c>
    </row>
    <row r="19" spans="1:40" x14ac:dyDescent="0.15">
      <c r="A19" s="1">
        <f t="shared" ca="1" si="15"/>
        <v>9111117</v>
      </c>
      <c r="B19" s="1" t="str">
        <f t="shared" ca="1" si="0"/>
        <v>瞬狱·斩</v>
      </c>
      <c r="C19" t="s">
        <v>150</v>
      </c>
      <c r="D19">
        <f t="shared" si="1"/>
        <v>1</v>
      </c>
      <c r="E19" s="42">
        <f t="shared" ca="1" si="16"/>
        <v>29</v>
      </c>
      <c r="F19" t="str">
        <f t="shared" ca="1" si="17"/>
        <v>第17级，共造成250.7%点伤害</v>
      </c>
      <c r="G19">
        <f t="shared" ca="1" si="24"/>
        <v>1</v>
      </c>
      <c r="H19">
        <f t="shared" si="2"/>
        <v>1</v>
      </c>
      <c r="I19" s="44">
        <f t="shared" ca="1" si="25"/>
        <v>17</v>
      </c>
      <c r="J19">
        <f t="shared" si="3"/>
        <v>1</v>
      </c>
      <c r="K19" s="36">
        <f ca="1">IF(OR(I19=0,I19=1),T19,T19+T19*($AN$6-1)/S19*I19)</f>
        <v>22.79220779220779</v>
      </c>
      <c r="L19" s="10">
        <f ca="1">AH19*VLOOKUP(C19,技能辅助查询表,技能配置辅助表!$T$1,FALSE)</f>
        <v>0</v>
      </c>
      <c r="M19">
        <f t="shared" ca="1" si="4"/>
        <v>8300</v>
      </c>
      <c r="N19" s="33">
        <f ca="1">CHOOSE(1,W19*U19,X19*'[1]0、经济设定'!$C$18)</f>
        <v>12050</v>
      </c>
      <c r="O19">
        <f t="shared" si="5"/>
        <v>1</v>
      </c>
      <c r="P19">
        <f t="shared" si="6"/>
        <v>1</v>
      </c>
      <c r="Q19">
        <f t="shared" si="7"/>
        <v>10</v>
      </c>
      <c r="R19" s="2">
        <f t="shared" si="8"/>
        <v>2</v>
      </c>
      <c r="S19" s="2">
        <f t="shared" si="9"/>
        <v>50</v>
      </c>
      <c r="T19" s="2">
        <f t="shared" si="10"/>
        <v>19.480519480519479</v>
      </c>
      <c r="U19" s="2">
        <f ca="1">VLOOKUP(E19,金币生产率!$A$2:$B$120,2,0)</f>
        <v>482</v>
      </c>
      <c r="V19" s="2">
        <f t="shared" si="11"/>
        <v>214.28571428571428</v>
      </c>
      <c r="W19" s="45">
        <f t="shared" ca="1" si="27"/>
        <v>25</v>
      </c>
      <c r="X19" s="48">
        <f t="shared" ca="1" si="12"/>
        <v>256</v>
      </c>
      <c r="Y19">
        <f t="shared" si="13"/>
        <v>18</v>
      </c>
      <c r="Z19">
        <f t="shared" ca="1" si="18"/>
        <v>0</v>
      </c>
      <c r="AA19" t="str">
        <f t="shared" ca="1" si="19"/>
        <v>9111100.png</v>
      </c>
      <c r="AB19">
        <f t="shared" si="14"/>
        <v>2</v>
      </c>
      <c r="AC19">
        <f>VLOOKUP(C19,技能辅助查询表,技能配置辅助表!$W$1,FALSE)</f>
        <v>1472</v>
      </c>
      <c r="AD19">
        <f t="shared" ca="1" si="20"/>
        <v>31.694661853027934</v>
      </c>
      <c r="AE19">
        <f>VLOOKUP(C19,技能辅助查询表,技能配置辅助表!$U$1,FALSE)</f>
        <v>1</v>
      </c>
      <c r="AF19">
        <f t="shared" ca="1" si="21"/>
        <v>9111117</v>
      </c>
      <c r="AG19">
        <f t="shared" ca="1" si="28"/>
        <v>27.469387755102041</v>
      </c>
      <c r="AH19">
        <f t="shared" ca="1" si="23"/>
        <v>105.14816728492683</v>
      </c>
      <c r="AI19">
        <f ca="1">VLOOKUP(E19,伤害参考系!$C$4:$E$104,3,FALSE)*$AN$12</f>
        <v>1437.1617717391309</v>
      </c>
      <c r="AJ19">
        <f>VLOOKUP(C19,技能辅助查询表,技能配置辅助表!$L$1,FALSE)</f>
        <v>11</v>
      </c>
      <c r="AK19">
        <f>VLOOKUP(C19,技能辅助查询表,技能配置辅助表!$AE$1,FALSE)</f>
        <v>66000096</v>
      </c>
      <c r="AM19" s="4" t="s">
        <v>195</v>
      </c>
      <c r="AN19">
        <f ca="1">SUMIF(D:D,3,W:W)</f>
        <v>20533</v>
      </c>
    </row>
    <row r="20" spans="1:40" x14ac:dyDescent="0.15">
      <c r="A20" s="1">
        <f t="shared" ca="1" si="15"/>
        <v>9111118</v>
      </c>
      <c r="B20" s="1" t="str">
        <f t="shared" ca="1" si="0"/>
        <v>瞬狱·斩</v>
      </c>
      <c r="C20" t="s">
        <v>150</v>
      </c>
      <c r="D20">
        <f t="shared" si="1"/>
        <v>1</v>
      </c>
      <c r="E20" s="42">
        <f t="shared" ca="1" si="16"/>
        <v>30</v>
      </c>
      <c r="F20" t="str">
        <f t="shared" ca="1" si="17"/>
        <v>第18级，共造成252.9%点伤害</v>
      </c>
      <c r="G20">
        <f t="shared" ca="1" si="24"/>
        <v>1</v>
      </c>
      <c r="H20">
        <f t="shared" si="2"/>
        <v>1</v>
      </c>
      <c r="I20" s="44">
        <f t="shared" ca="1" si="25"/>
        <v>18</v>
      </c>
      <c r="J20">
        <f t="shared" si="3"/>
        <v>1</v>
      </c>
      <c r="K20" s="36">
        <f t="shared" ca="1" si="26"/>
        <v>22.987012987012985</v>
      </c>
      <c r="L20" s="10">
        <f ca="1">AH20*VLOOKUP(C20,技能辅助查询表,技能配置辅助表!$T$1,FALSE)</f>
        <v>0</v>
      </c>
      <c r="M20">
        <f t="shared" ca="1" si="4"/>
        <v>8200</v>
      </c>
      <c r="N20" s="33">
        <f ca="1">CHOOSE(1,W20*U20,X20*'[1]0、经济设定'!$C$18)</f>
        <v>13572</v>
      </c>
      <c r="O20">
        <f t="shared" si="5"/>
        <v>1</v>
      </c>
      <c r="P20">
        <f t="shared" si="6"/>
        <v>1</v>
      </c>
      <c r="Q20">
        <f t="shared" si="7"/>
        <v>10</v>
      </c>
      <c r="R20" s="2">
        <f t="shared" si="8"/>
        <v>2</v>
      </c>
      <c r="S20" s="2">
        <f t="shared" si="9"/>
        <v>50</v>
      </c>
      <c r="T20" s="2">
        <f t="shared" si="10"/>
        <v>19.480519480519479</v>
      </c>
      <c r="U20" s="2">
        <f ca="1">VLOOKUP(E20,金币生产率!$A$2:$B$120,2,0)</f>
        <v>522</v>
      </c>
      <c r="V20" s="2">
        <f t="shared" si="11"/>
        <v>214.28571428571428</v>
      </c>
      <c r="W20" s="45">
        <f t="shared" ca="1" si="27"/>
        <v>26</v>
      </c>
      <c r="X20" s="48">
        <f t="shared" ca="1" si="12"/>
        <v>282</v>
      </c>
      <c r="Y20">
        <f t="shared" si="13"/>
        <v>18</v>
      </c>
      <c r="Z20">
        <f t="shared" ca="1" si="18"/>
        <v>11</v>
      </c>
      <c r="AA20" t="str">
        <f t="shared" ca="1" si="19"/>
        <v>9111100.png</v>
      </c>
      <c r="AB20">
        <f t="shared" si="14"/>
        <v>2</v>
      </c>
      <c r="AC20">
        <f>VLOOKUP(C20,技能辅助查询表,技能配置辅助表!$W$1,FALSE)</f>
        <v>1472</v>
      </c>
      <c r="AD20">
        <f t="shared" ca="1" si="20"/>
        <v>36.596995703900703</v>
      </c>
      <c r="AE20">
        <f>VLOOKUP(C20,技能辅助查询表,技能配置辅助表!$U$1,FALSE)</f>
        <v>1</v>
      </c>
      <c r="AF20">
        <f t="shared" ca="1" si="21"/>
        <v>9111118</v>
      </c>
      <c r="AG20">
        <f t="shared" ca="1" si="28"/>
        <v>29.061224489795919</v>
      </c>
      <c r="AH20">
        <f t="shared" ca="1" si="23"/>
        <v>119.70979903145096</v>
      </c>
      <c r="AI20">
        <f ca="1">VLOOKUP(E20,伤害参考系!$C$4:$E$104,3,FALSE)*$AN$12</f>
        <v>1576.1465593645489</v>
      </c>
      <c r="AJ20">
        <f>VLOOKUP(C20,技能辅助查询表,技能配置辅助表!$L$1,FALSE)</f>
        <v>11</v>
      </c>
      <c r="AK20">
        <f>VLOOKUP(C20,技能辅助查询表,技能配置辅助表!$AE$1,FALSE)</f>
        <v>66000096</v>
      </c>
    </row>
    <row r="21" spans="1:40" x14ac:dyDescent="0.15">
      <c r="A21" s="1">
        <f t="shared" ca="1" si="15"/>
        <v>9111119</v>
      </c>
      <c r="B21" s="1" t="str">
        <f t="shared" ca="1" si="0"/>
        <v>瞬狱·斩</v>
      </c>
      <c r="C21" t="s">
        <v>150</v>
      </c>
      <c r="D21">
        <f t="shared" si="1"/>
        <v>1</v>
      </c>
      <c r="E21" s="42">
        <f t="shared" ca="1" si="16"/>
        <v>32</v>
      </c>
      <c r="F21" t="str">
        <f t="shared" ca="1" si="17"/>
        <v>第19级，共造成255%点伤害</v>
      </c>
      <c r="G21">
        <f t="shared" ca="1" si="24"/>
        <v>1</v>
      </c>
      <c r="H21">
        <f t="shared" si="2"/>
        <v>1</v>
      </c>
      <c r="I21" s="44">
        <f t="shared" ca="1" si="25"/>
        <v>19</v>
      </c>
      <c r="J21">
        <f t="shared" si="3"/>
        <v>1</v>
      </c>
      <c r="K21" s="36">
        <f t="shared" ca="1" si="26"/>
        <v>23.18181818181818</v>
      </c>
      <c r="L21" s="10">
        <f ca="1">AH21*VLOOKUP(C21,技能辅助查询表,技能配置辅助表!$T$1,FALSE)</f>
        <v>0</v>
      </c>
      <c r="M21">
        <f t="shared" ca="1" si="4"/>
        <v>8100</v>
      </c>
      <c r="N21" s="33">
        <f ca="1">CHOOSE(1,W21*U21,X21*'[1]0、经济设定'!$C$18)</f>
        <v>16968</v>
      </c>
      <c r="O21">
        <f t="shared" si="5"/>
        <v>1</v>
      </c>
      <c r="P21">
        <f t="shared" si="6"/>
        <v>1</v>
      </c>
      <c r="Q21">
        <f t="shared" si="7"/>
        <v>10</v>
      </c>
      <c r="R21" s="2">
        <f t="shared" si="8"/>
        <v>2</v>
      </c>
      <c r="S21" s="2">
        <f t="shared" si="9"/>
        <v>50</v>
      </c>
      <c r="T21" s="2">
        <f t="shared" si="10"/>
        <v>19.480519480519479</v>
      </c>
      <c r="U21" s="2">
        <f ca="1">VLOOKUP(E21,金币生产率!$A$2:$B$120,2,0)</f>
        <v>606</v>
      </c>
      <c r="V21" s="2">
        <f t="shared" si="11"/>
        <v>214.28571428571428</v>
      </c>
      <c r="W21" s="45">
        <f t="shared" ca="1" si="27"/>
        <v>28</v>
      </c>
      <c r="X21" s="48">
        <f t="shared" ca="1" si="12"/>
        <v>310</v>
      </c>
      <c r="Y21">
        <f t="shared" si="13"/>
        <v>18</v>
      </c>
      <c r="Z21">
        <f t="shared" ca="1" si="18"/>
        <v>12</v>
      </c>
      <c r="AA21" t="str">
        <f t="shared" ca="1" si="19"/>
        <v>9111100.png</v>
      </c>
      <c r="AB21">
        <f t="shared" si="14"/>
        <v>2</v>
      </c>
      <c r="AC21">
        <f>VLOOKUP(C21,技能辅助查询表,技能配置辅助表!$W$1,FALSE)</f>
        <v>1472</v>
      </c>
      <c r="AD21">
        <f t="shared" ca="1" si="20"/>
        <v>42.249287551048432</v>
      </c>
      <c r="AE21">
        <f>VLOOKUP(C21,技能辅助查询表,技能配置辅助表!$U$1,FALSE)</f>
        <v>1</v>
      </c>
      <c r="AF21">
        <f t="shared" ca="1" si="21"/>
        <v>9111119</v>
      </c>
      <c r="AG21">
        <f t="shared" ca="1" si="28"/>
        <v>30.653061224489797</v>
      </c>
      <c r="AH21">
        <f t="shared" ca="1" si="23"/>
        <v>136.28802435822078</v>
      </c>
      <c r="AI21">
        <f ca="1">VLOOKUP(E21,伤害参考系!$C$4:$E$104,3,FALSE)*$AN$12</f>
        <v>1873.3990785953181</v>
      </c>
      <c r="AJ21">
        <f>VLOOKUP(C21,技能辅助查询表,技能配置辅助表!$L$1,FALSE)</f>
        <v>11</v>
      </c>
      <c r="AK21">
        <f>VLOOKUP(C21,技能辅助查询表,技能配置辅助表!$AE$1,FALSE)</f>
        <v>66000096</v>
      </c>
    </row>
    <row r="22" spans="1:40" x14ac:dyDescent="0.15">
      <c r="A22" s="1">
        <f t="shared" ca="1" si="15"/>
        <v>9111120</v>
      </c>
      <c r="B22" s="1" t="str">
        <f t="shared" ca="1" si="0"/>
        <v>瞬狱·斩</v>
      </c>
      <c r="C22" t="s">
        <v>150</v>
      </c>
      <c r="D22">
        <f t="shared" si="1"/>
        <v>1</v>
      </c>
      <c r="E22" s="42">
        <f t="shared" ca="1" si="16"/>
        <v>33</v>
      </c>
      <c r="F22" t="str">
        <f t="shared" ca="1" si="17"/>
        <v>第20级，共造成257.1%点伤害</v>
      </c>
      <c r="G22">
        <f t="shared" ca="1" si="24"/>
        <v>1</v>
      </c>
      <c r="H22">
        <f t="shared" si="2"/>
        <v>1</v>
      </c>
      <c r="I22" s="44">
        <f t="shared" ca="1" si="25"/>
        <v>20</v>
      </c>
      <c r="J22">
        <f t="shared" si="3"/>
        <v>1</v>
      </c>
      <c r="K22" s="36">
        <f t="shared" ca="1" si="26"/>
        <v>23.376623376623375</v>
      </c>
      <c r="L22" s="10">
        <f ca="1">AH22*VLOOKUP(C22,技能辅助查询表,技能配置辅助表!$T$1,FALSE)</f>
        <v>0</v>
      </c>
      <c r="M22">
        <f t="shared" ca="1" si="4"/>
        <v>8000</v>
      </c>
      <c r="N22" s="33">
        <f ca="1">CHOOSE(1,W22*U22,X22*'[1]0、经济设定'!$C$18)</f>
        <v>19530</v>
      </c>
      <c r="O22">
        <f t="shared" si="5"/>
        <v>1</v>
      </c>
      <c r="P22">
        <f t="shared" si="6"/>
        <v>1</v>
      </c>
      <c r="Q22">
        <f t="shared" si="7"/>
        <v>10</v>
      </c>
      <c r="R22" s="2">
        <f t="shared" si="8"/>
        <v>2</v>
      </c>
      <c r="S22" s="2">
        <f t="shared" si="9"/>
        <v>50</v>
      </c>
      <c r="T22" s="2">
        <f t="shared" si="10"/>
        <v>19.480519480519479</v>
      </c>
      <c r="U22" s="2">
        <f ca="1">VLOOKUP(E22,金币生产率!$A$2:$B$120,2,0)</f>
        <v>651</v>
      </c>
      <c r="V22" s="2">
        <f t="shared" si="11"/>
        <v>214.28571428571428</v>
      </c>
      <c r="W22" s="45">
        <f t="shared" ca="1" si="27"/>
        <v>30</v>
      </c>
      <c r="X22" s="48">
        <f t="shared" ca="1" si="12"/>
        <v>340</v>
      </c>
      <c r="Y22">
        <f t="shared" si="13"/>
        <v>18</v>
      </c>
      <c r="Z22">
        <f t="shared" ca="1" si="18"/>
        <v>12</v>
      </c>
      <c r="AA22" t="str">
        <f t="shared" ca="1" si="19"/>
        <v>9111100.png</v>
      </c>
      <c r="AB22">
        <f t="shared" si="14"/>
        <v>2</v>
      </c>
      <c r="AC22">
        <f>VLOOKUP(C22,技能辅助查询表,技能配置辅助表!$W$1,FALSE)</f>
        <v>1472</v>
      </c>
      <c r="AD22">
        <f t="shared" ca="1" si="20"/>
        <v>48.765236089094543</v>
      </c>
      <c r="AE22">
        <f>VLOOKUP(C22,技能辅助查询表,技能配置辅助表!$U$1,FALSE)</f>
        <v>1</v>
      </c>
      <c r="AF22">
        <f t="shared" ca="1" si="21"/>
        <v>9111120</v>
      </c>
      <c r="AG22">
        <f t="shared" ca="1" si="28"/>
        <v>32.244897959183675</v>
      </c>
      <c r="AH22">
        <f t="shared" ca="1" si="23"/>
        <v>155.16211482893718</v>
      </c>
      <c r="AI22">
        <f ca="1">VLOOKUP(E22,伤害参考系!$C$4:$E$104,3,FALSE)*$AN$12</f>
        <v>2031.7137667224088</v>
      </c>
      <c r="AJ22">
        <f>VLOOKUP(C22,技能辅助查询表,技能配置辅助表!$L$1,FALSE)</f>
        <v>11</v>
      </c>
      <c r="AK22">
        <f>VLOOKUP(C22,技能辅助查询表,技能配置辅助表!$AE$1,FALSE)</f>
        <v>66000096</v>
      </c>
    </row>
    <row r="23" spans="1:40" x14ac:dyDescent="0.15">
      <c r="A23" s="1">
        <f t="shared" ca="1" si="15"/>
        <v>9111121</v>
      </c>
      <c r="B23" s="1" t="str">
        <f t="shared" ca="1" si="0"/>
        <v>瞬狱·斩</v>
      </c>
      <c r="C23" t="s">
        <v>150</v>
      </c>
      <c r="D23">
        <f t="shared" si="1"/>
        <v>1</v>
      </c>
      <c r="E23" s="42">
        <f t="shared" ca="1" si="16"/>
        <v>35</v>
      </c>
      <c r="F23" t="str">
        <f t="shared" ca="1" si="17"/>
        <v>第21级，共造成259.3%点伤害</v>
      </c>
      <c r="G23">
        <f t="shared" ca="1" si="24"/>
        <v>1</v>
      </c>
      <c r="H23">
        <f t="shared" si="2"/>
        <v>1</v>
      </c>
      <c r="I23" s="44">
        <f t="shared" ca="1" si="25"/>
        <v>21</v>
      </c>
      <c r="J23">
        <f t="shared" si="3"/>
        <v>1</v>
      </c>
      <c r="K23" s="36">
        <f t="shared" ca="1" si="26"/>
        <v>23.571428571428569</v>
      </c>
      <c r="L23" s="10">
        <f ca="1">AH23*VLOOKUP(C23,技能辅助查询表,技能配置辅助表!$T$1,FALSE)</f>
        <v>0</v>
      </c>
      <c r="M23">
        <f t="shared" ca="1" si="4"/>
        <v>7900</v>
      </c>
      <c r="N23" s="33">
        <f ca="1">CHOOSE(1,W23*U23,X23*'[1]0、经济设定'!$C$18)</f>
        <v>24519</v>
      </c>
      <c r="O23">
        <f t="shared" si="5"/>
        <v>1</v>
      </c>
      <c r="P23">
        <f t="shared" si="6"/>
        <v>1</v>
      </c>
      <c r="Q23">
        <f t="shared" si="7"/>
        <v>10</v>
      </c>
      <c r="R23" s="2">
        <f t="shared" si="8"/>
        <v>2</v>
      </c>
      <c r="S23" s="2">
        <f t="shared" si="9"/>
        <v>50</v>
      </c>
      <c r="T23" s="2">
        <f t="shared" si="10"/>
        <v>19.480519480519479</v>
      </c>
      <c r="U23" s="2">
        <f ca="1">VLOOKUP(E23,金币生产率!$A$2:$B$120,2,0)</f>
        <v>743</v>
      </c>
      <c r="V23" s="2">
        <f t="shared" si="11"/>
        <v>214.28571428571428</v>
      </c>
      <c r="W23" s="45">
        <f t="shared" ca="1" si="27"/>
        <v>33</v>
      </c>
      <c r="X23" s="48">
        <f t="shared" ca="1" si="12"/>
        <v>373</v>
      </c>
      <c r="Y23">
        <f t="shared" si="13"/>
        <v>18</v>
      </c>
      <c r="Z23">
        <f t="shared" ca="1" si="18"/>
        <v>14</v>
      </c>
      <c r="AA23" t="str">
        <f t="shared" ca="1" si="19"/>
        <v>9111100.png</v>
      </c>
      <c r="AB23">
        <f t="shared" si="14"/>
        <v>2</v>
      </c>
      <c r="AC23">
        <f>VLOOKUP(C23,技能辅助查询表,技能配置辅助表!$W$1,FALSE)</f>
        <v>1472</v>
      </c>
      <c r="AD23">
        <f t="shared" ca="1" si="20"/>
        <v>56.275648409394762</v>
      </c>
      <c r="AE23">
        <f>VLOOKUP(C23,技能辅助查询表,技能配置辅助表!$U$1,FALSE)</f>
        <v>1</v>
      </c>
      <c r="AF23">
        <f t="shared" ca="1" si="21"/>
        <v>9111121</v>
      </c>
      <c r="AG23">
        <f t="shared" ca="1" si="28"/>
        <v>33.836734693877553</v>
      </c>
      <c r="AH23">
        <f t="shared" ca="1" si="23"/>
        <v>176.65001742859343</v>
      </c>
      <c r="AI23">
        <f ca="1">VLOOKUP(E23,伤害参考系!$C$4:$E$104,3,FALSE)*$AN$12</f>
        <v>2367.0860869565217</v>
      </c>
      <c r="AJ23">
        <f>VLOOKUP(C23,技能辅助查询表,技能配置辅助表!$L$1,FALSE)</f>
        <v>11</v>
      </c>
      <c r="AK23">
        <f>VLOOKUP(C23,技能辅助查询表,技能配置辅助表!$AE$1,FALSE)</f>
        <v>66000096</v>
      </c>
    </row>
    <row r="24" spans="1:40" x14ac:dyDescent="0.15">
      <c r="A24" s="1">
        <f t="shared" ca="1" si="15"/>
        <v>9111122</v>
      </c>
      <c r="B24" s="1" t="str">
        <f t="shared" ca="1" si="0"/>
        <v>瞬狱·斩</v>
      </c>
      <c r="C24" t="s">
        <v>150</v>
      </c>
      <c r="D24">
        <f t="shared" si="1"/>
        <v>1</v>
      </c>
      <c r="E24" s="42">
        <f t="shared" ca="1" si="16"/>
        <v>36</v>
      </c>
      <c r="F24" t="str">
        <f t="shared" ca="1" si="17"/>
        <v>第22级，共造成261.4%点伤害</v>
      </c>
      <c r="G24">
        <f t="shared" ca="1" si="24"/>
        <v>1</v>
      </c>
      <c r="H24">
        <f t="shared" si="2"/>
        <v>1</v>
      </c>
      <c r="I24" s="44">
        <f t="shared" ca="1" si="25"/>
        <v>22</v>
      </c>
      <c r="J24">
        <f t="shared" si="3"/>
        <v>1</v>
      </c>
      <c r="K24" s="36">
        <f t="shared" ca="1" si="26"/>
        <v>23.766233766233764</v>
      </c>
      <c r="L24" s="10">
        <f ca="1">AH24*VLOOKUP(C24,技能辅助查询表,技能配置辅助表!$T$1,FALSE)</f>
        <v>0</v>
      </c>
      <c r="M24">
        <f t="shared" ca="1" si="4"/>
        <v>7800</v>
      </c>
      <c r="N24" s="33">
        <f ca="1">CHOOSE(1,W24*U24,X24*'[1]0、经济设定'!$C$18)</f>
        <v>27685</v>
      </c>
      <c r="O24">
        <f t="shared" si="5"/>
        <v>1</v>
      </c>
      <c r="P24">
        <f t="shared" si="6"/>
        <v>1</v>
      </c>
      <c r="Q24">
        <f t="shared" si="7"/>
        <v>10</v>
      </c>
      <c r="R24" s="2">
        <f t="shared" si="8"/>
        <v>2</v>
      </c>
      <c r="S24" s="2">
        <f t="shared" si="9"/>
        <v>50</v>
      </c>
      <c r="T24" s="2">
        <f t="shared" si="10"/>
        <v>19.480519480519479</v>
      </c>
      <c r="U24" s="2">
        <f ca="1">VLOOKUP(E24,金币生产率!$A$2:$B$120,2,0)</f>
        <v>791</v>
      </c>
      <c r="V24" s="2">
        <f t="shared" si="11"/>
        <v>214.28571428571428</v>
      </c>
      <c r="W24" s="45">
        <f t="shared" ca="1" si="27"/>
        <v>35</v>
      </c>
      <c r="X24" s="48">
        <f t="shared" ca="1" si="12"/>
        <v>408</v>
      </c>
      <c r="Y24">
        <f t="shared" si="13"/>
        <v>18</v>
      </c>
      <c r="Z24">
        <f t="shared" ca="1" si="18"/>
        <v>14</v>
      </c>
      <c r="AA24" t="str">
        <f t="shared" ca="1" si="19"/>
        <v>9111100.png</v>
      </c>
      <c r="AB24">
        <f t="shared" si="14"/>
        <v>2</v>
      </c>
      <c r="AC24">
        <f>VLOOKUP(C24,技能辅助查询表,技能配置辅助表!$W$1,FALSE)</f>
        <v>1472</v>
      </c>
      <c r="AD24">
        <f t="shared" ca="1" si="20"/>
        <v>64.930997993155671</v>
      </c>
      <c r="AE24">
        <f>VLOOKUP(C24,技能辅助查询表,技能配置辅助表!$U$1,FALSE)</f>
        <v>1</v>
      </c>
      <c r="AF24">
        <f t="shared" ca="1" si="21"/>
        <v>9111122</v>
      </c>
      <c r="AG24">
        <f t="shared" ca="1" si="28"/>
        <v>35.428571428571431</v>
      </c>
      <c r="AH24">
        <f t="shared" ca="1" si="23"/>
        <v>201.11371059826985</v>
      </c>
      <c r="AI24">
        <f ca="1">VLOOKUP(E24,伤害参考系!$C$4:$E$104,3,FALSE)*$AN$12</f>
        <v>2544.1437190635456</v>
      </c>
      <c r="AJ24">
        <f>VLOOKUP(C24,技能辅助查询表,技能配置辅助表!$L$1,FALSE)</f>
        <v>11</v>
      </c>
      <c r="AK24">
        <f>VLOOKUP(C24,技能辅助查询表,技能配置辅助表!$AE$1,FALSE)</f>
        <v>66000096</v>
      </c>
    </row>
    <row r="25" spans="1:40" x14ac:dyDescent="0.15">
      <c r="A25" s="1">
        <f t="shared" ca="1" si="15"/>
        <v>9111123</v>
      </c>
      <c r="B25" s="1" t="str">
        <f t="shared" ca="1" si="0"/>
        <v>瞬狱·斩</v>
      </c>
      <c r="C25" t="s">
        <v>150</v>
      </c>
      <c r="D25">
        <f t="shared" si="1"/>
        <v>1</v>
      </c>
      <c r="E25" s="42">
        <f t="shared" ca="1" si="16"/>
        <v>38</v>
      </c>
      <c r="F25" t="str">
        <f t="shared" ca="1" si="17"/>
        <v>第23级，共造成263.6%点伤害</v>
      </c>
      <c r="G25">
        <f t="shared" ca="1" si="24"/>
        <v>1</v>
      </c>
      <c r="H25">
        <f t="shared" si="2"/>
        <v>1</v>
      </c>
      <c r="I25" s="44">
        <f t="shared" ca="1" si="25"/>
        <v>23</v>
      </c>
      <c r="J25">
        <f t="shared" si="3"/>
        <v>1</v>
      </c>
      <c r="K25" s="36">
        <f t="shared" ca="1" si="26"/>
        <v>23.961038961038959</v>
      </c>
      <c r="L25" s="10">
        <f ca="1">AH25*VLOOKUP(C25,技能辅助查询表,技能配置辅助表!$T$1,FALSE)</f>
        <v>0</v>
      </c>
      <c r="M25">
        <f t="shared" ca="1" si="4"/>
        <v>7700</v>
      </c>
      <c r="N25" s="33">
        <f ca="1">CHOOSE(1,W25*U25,X25*'[1]0、经济设定'!$C$18)</f>
        <v>33004</v>
      </c>
      <c r="O25">
        <f t="shared" si="5"/>
        <v>1</v>
      </c>
      <c r="P25">
        <f t="shared" si="6"/>
        <v>1</v>
      </c>
      <c r="Q25">
        <f t="shared" si="7"/>
        <v>10</v>
      </c>
      <c r="R25" s="2">
        <f t="shared" si="8"/>
        <v>2</v>
      </c>
      <c r="S25" s="2">
        <f t="shared" si="9"/>
        <v>50</v>
      </c>
      <c r="T25" s="2">
        <f t="shared" si="10"/>
        <v>19.480519480519479</v>
      </c>
      <c r="U25" s="2">
        <f ca="1">VLOOKUP(E25,金币生产率!$A$2:$B$120,2,0)</f>
        <v>892</v>
      </c>
      <c r="V25" s="2">
        <f t="shared" si="11"/>
        <v>214.28571428571428</v>
      </c>
      <c r="W25" s="45">
        <f t="shared" ca="1" si="27"/>
        <v>37</v>
      </c>
      <c r="X25" s="48">
        <f t="shared" ca="1" si="12"/>
        <v>445</v>
      </c>
      <c r="Y25">
        <f t="shared" si="13"/>
        <v>18</v>
      </c>
      <c r="Z25">
        <f t="shared" ca="1" si="18"/>
        <v>15</v>
      </c>
      <c r="AA25" t="str">
        <f t="shared" ca="1" si="19"/>
        <v>9111100.png</v>
      </c>
      <c r="AB25">
        <f t="shared" si="14"/>
        <v>2</v>
      </c>
      <c r="AC25">
        <f>VLOOKUP(C25,技能辅助查询表,技能配置辅助表!$W$1,FALSE)</f>
        <v>1472</v>
      </c>
      <c r="AD25">
        <f t="shared" ca="1" si="20"/>
        <v>74.904363086119218</v>
      </c>
      <c r="AE25">
        <f>VLOOKUP(C25,技能辅助查询表,技能配置辅助表!$U$1,FALSE)</f>
        <v>1</v>
      </c>
      <c r="AF25">
        <f t="shared" ca="1" si="21"/>
        <v>9111123</v>
      </c>
      <c r="AG25">
        <f t="shared" ca="1" si="28"/>
        <v>37.020408163265309</v>
      </c>
      <c r="AH25">
        <f t="shared" ca="1" si="23"/>
        <v>228.96530200997151</v>
      </c>
      <c r="AI25">
        <f ca="1">VLOOKUP(E25,伤害参考系!$C$4:$E$104,3,FALSE)*$AN$12</f>
        <v>2917.001927257525</v>
      </c>
      <c r="AJ25">
        <f>VLOOKUP(C25,技能辅助查询表,技能配置辅助表!$L$1,FALSE)</f>
        <v>11</v>
      </c>
      <c r="AK25">
        <f>VLOOKUP(C25,技能辅助查询表,技能配置辅助表!$AE$1,FALSE)</f>
        <v>66000096</v>
      </c>
    </row>
    <row r="26" spans="1:40" x14ac:dyDescent="0.15">
      <c r="A26" s="1">
        <f t="shared" ca="1" si="15"/>
        <v>9111124</v>
      </c>
      <c r="B26" s="1" t="str">
        <f t="shared" ca="1" si="0"/>
        <v>瞬狱·斩</v>
      </c>
      <c r="C26" t="s">
        <v>150</v>
      </c>
      <c r="D26">
        <f t="shared" si="1"/>
        <v>1</v>
      </c>
      <c r="E26" s="42">
        <f t="shared" ca="1" si="16"/>
        <v>39</v>
      </c>
      <c r="F26" t="str">
        <f t="shared" ca="1" si="17"/>
        <v>第24级，共造成265.7%点伤害</v>
      </c>
      <c r="G26">
        <f t="shared" ca="1" si="24"/>
        <v>1</v>
      </c>
      <c r="H26">
        <f t="shared" si="2"/>
        <v>1</v>
      </c>
      <c r="I26" s="44">
        <f t="shared" ca="1" si="25"/>
        <v>24</v>
      </c>
      <c r="J26">
        <f t="shared" si="3"/>
        <v>1</v>
      </c>
      <c r="K26" s="36">
        <f t="shared" ca="1" si="26"/>
        <v>24.155844155844154</v>
      </c>
      <c r="L26" s="10">
        <f ca="1">AH26*VLOOKUP(C26,技能辅助查询表,技能配置辅助表!$T$1,FALSE)</f>
        <v>0</v>
      </c>
      <c r="M26">
        <f t="shared" ca="1" si="4"/>
        <v>7600</v>
      </c>
      <c r="N26" s="33">
        <f ca="1">CHOOSE(1,W26*U26,X26*'[1]0、经济设定'!$C$18)</f>
        <v>37760</v>
      </c>
      <c r="O26">
        <f t="shared" si="5"/>
        <v>1</v>
      </c>
      <c r="P26">
        <f t="shared" si="6"/>
        <v>1</v>
      </c>
      <c r="Q26">
        <f t="shared" si="7"/>
        <v>10</v>
      </c>
      <c r="R26" s="2">
        <f t="shared" si="8"/>
        <v>2</v>
      </c>
      <c r="S26" s="2">
        <f t="shared" si="9"/>
        <v>50</v>
      </c>
      <c r="T26" s="2">
        <f t="shared" si="10"/>
        <v>19.480519480519479</v>
      </c>
      <c r="U26" s="2">
        <f ca="1">VLOOKUP(E26,金币生产率!$A$2:$B$120,2,0)</f>
        <v>944</v>
      </c>
      <c r="V26" s="2">
        <f t="shared" si="11"/>
        <v>214.28571428571428</v>
      </c>
      <c r="W26" s="45">
        <f t="shared" ca="1" si="27"/>
        <v>40</v>
      </c>
      <c r="X26" s="48">
        <f t="shared" ca="1" si="12"/>
        <v>485</v>
      </c>
      <c r="Y26">
        <f t="shared" si="13"/>
        <v>18</v>
      </c>
      <c r="Z26">
        <f t="shared" ca="1" si="18"/>
        <v>16</v>
      </c>
      <c r="AA26" t="str">
        <f t="shared" ca="1" si="19"/>
        <v>9111100.png</v>
      </c>
      <c r="AB26">
        <f t="shared" si="14"/>
        <v>2</v>
      </c>
      <c r="AC26">
        <f>VLOOKUP(C26,技能辅助查询表,技能配置辅助表!$W$1,FALSE)</f>
        <v>1472</v>
      </c>
      <c r="AD26">
        <f t="shared" ca="1" si="20"/>
        <v>86.394801751754272</v>
      </c>
      <c r="AE26">
        <f>VLOOKUP(C26,技能辅助查询表,技能配置辅助表!$U$1,FALSE)</f>
        <v>1</v>
      </c>
      <c r="AF26">
        <f t="shared" ca="1" si="21"/>
        <v>9111124</v>
      </c>
      <c r="AG26">
        <f t="shared" ca="1" si="28"/>
        <v>38.612244897959187</v>
      </c>
      <c r="AH26">
        <f t="shared" ca="1" si="23"/>
        <v>260.67397080270689</v>
      </c>
      <c r="AI26">
        <f ca="1">VLOOKUP(E26,伤害参考系!$C$4:$E$104,3,FALSE)*$AN$12</f>
        <v>3112.8025033444819</v>
      </c>
      <c r="AJ26">
        <f>VLOOKUP(C26,技能辅助查询表,技能配置辅助表!$L$1,FALSE)</f>
        <v>11</v>
      </c>
      <c r="AK26">
        <f>VLOOKUP(C26,技能辅助查询表,技能配置辅助表!$AE$1,FALSE)</f>
        <v>66000096</v>
      </c>
    </row>
    <row r="27" spans="1:40" x14ac:dyDescent="0.15">
      <c r="A27" s="1">
        <f t="shared" ca="1" si="15"/>
        <v>9111125</v>
      </c>
      <c r="B27" s="1" t="str">
        <f t="shared" ca="1" si="0"/>
        <v>瞬狱·斩</v>
      </c>
      <c r="C27" t="s">
        <v>150</v>
      </c>
      <c r="D27">
        <f t="shared" si="1"/>
        <v>1</v>
      </c>
      <c r="E27" s="42">
        <f t="shared" ca="1" si="16"/>
        <v>41</v>
      </c>
      <c r="F27" t="str">
        <f t="shared" ca="1" si="17"/>
        <v>第25级，共造成267.9%点伤害</v>
      </c>
      <c r="G27">
        <f t="shared" ca="1" si="24"/>
        <v>1</v>
      </c>
      <c r="H27">
        <f t="shared" si="2"/>
        <v>1</v>
      </c>
      <c r="I27" s="44">
        <f t="shared" ca="1" si="25"/>
        <v>25</v>
      </c>
      <c r="J27">
        <f t="shared" si="3"/>
        <v>1</v>
      </c>
      <c r="K27" s="36">
        <f t="shared" ca="1" si="26"/>
        <v>24.350649350649348</v>
      </c>
      <c r="L27" s="10">
        <f ca="1">AH27*VLOOKUP(C27,技能辅助查询表,技能配置辅助表!$T$1,FALSE)</f>
        <v>0</v>
      </c>
      <c r="M27">
        <f t="shared" ca="1" si="4"/>
        <v>7500</v>
      </c>
      <c r="N27" s="33">
        <f ca="1">CHOOSE(1,W27*U27,X27*'[1]0、经济设定'!$C$18)</f>
        <v>45279</v>
      </c>
      <c r="O27">
        <f t="shared" si="5"/>
        <v>1</v>
      </c>
      <c r="P27">
        <f t="shared" si="6"/>
        <v>1</v>
      </c>
      <c r="Q27">
        <f t="shared" si="7"/>
        <v>10</v>
      </c>
      <c r="R27" s="2">
        <f t="shared" si="8"/>
        <v>2</v>
      </c>
      <c r="S27" s="2">
        <f t="shared" si="9"/>
        <v>50</v>
      </c>
      <c r="T27" s="2">
        <f t="shared" si="10"/>
        <v>19.480519480519479</v>
      </c>
      <c r="U27" s="2">
        <f ca="1">VLOOKUP(E27,金币生产率!$A$2:$B$120,2,0)</f>
        <v>1053</v>
      </c>
      <c r="V27" s="2">
        <f t="shared" si="11"/>
        <v>214.28571428571428</v>
      </c>
      <c r="W27" s="45">
        <f t="shared" ca="1" si="27"/>
        <v>43</v>
      </c>
      <c r="X27" s="48">
        <f t="shared" ca="1" si="12"/>
        <v>528</v>
      </c>
      <c r="Y27">
        <f t="shared" si="13"/>
        <v>18</v>
      </c>
      <c r="Z27">
        <f t="shared" ca="1" si="18"/>
        <v>18</v>
      </c>
      <c r="AA27" t="str">
        <f t="shared" ca="1" si="19"/>
        <v>9111100.png</v>
      </c>
      <c r="AB27">
        <f t="shared" si="14"/>
        <v>2</v>
      </c>
      <c r="AC27">
        <f>VLOOKUP(C27,技能辅助查询表,技能配置辅助表!$W$1,FALSE)</f>
        <v>1472</v>
      </c>
      <c r="AD27">
        <f t="shared" ca="1" si="20"/>
        <v>99.631228197477498</v>
      </c>
      <c r="AE27">
        <f>VLOOKUP(C27,技能辅助查询表,技能配置辅助表!$U$1,FALSE)</f>
        <v>1</v>
      </c>
      <c r="AF27">
        <f t="shared" ca="1" si="21"/>
        <v>9111125</v>
      </c>
      <c r="AG27">
        <f t="shared" ca="1" si="28"/>
        <v>40.204081632653065</v>
      </c>
      <c r="AH27">
        <f t="shared" ca="1" si="23"/>
        <v>296.77387122652874</v>
      </c>
      <c r="AI27">
        <f ca="1">VLOOKUP(E27,伤害参考系!$C$4:$E$104,3,FALSE)*$AN$12</f>
        <v>3584.9561889632118</v>
      </c>
      <c r="AJ27">
        <f>VLOOKUP(C27,技能辅助查询表,技能配置辅助表!$L$1,FALSE)</f>
        <v>11</v>
      </c>
      <c r="AK27">
        <f>VLOOKUP(C27,技能辅助查询表,技能配置辅助表!$AE$1,FALSE)</f>
        <v>66000096</v>
      </c>
    </row>
    <row r="28" spans="1:40" x14ac:dyDescent="0.15">
      <c r="A28" s="1">
        <f t="shared" ca="1" si="15"/>
        <v>9111126</v>
      </c>
      <c r="B28" s="1" t="str">
        <f t="shared" ca="1" si="0"/>
        <v>瞬狱·斩</v>
      </c>
      <c r="C28" t="s">
        <v>150</v>
      </c>
      <c r="D28">
        <f t="shared" si="1"/>
        <v>1</v>
      </c>
      <c r="E28" s="42">
        <f t="shared" ca="1" si="16"/>
        <v>43</v>
      </c>
      <c r="F28" t="str">
        <f t="shared" ca="1" si="17"/>
        <v>第26级，共造成270%点伤害</v>
      </c>
      <c r="G28">
        <f t="shared" ca="1" si="24"/>
        <v>1</v>
      </c>
      <c r="H28">
        <f t="shared" si="2"/>
        <v>1</v>
      </c>
      <c r="I28" s="44">
        <f t="shared" ca="1" si="25"/>
        <v>26</v>
      </c>
      <c r="J28">
        <f t="shared" si="3"/>
        <v>1</v>
      </c>
      <c r="K28" s="36">
        <f t="shared" ca="1" si="26"/>
        <v>24.545454545454543</v>
      </c>
      <c r="L28" s="10">
        <f ca="1">AH28*VLOOKUP(C28,技能辅助查询表,技能配置辅助表!$T$1,FALSE)</f>
        <v>0</v>
      </c>
      <c r="M28">
        <f t="shared" ca="1" si="4"/>
        <v>7400</v>
      </c>
      <c r="N28" s="33">
        <f ca="1">CHOOSE(1,W28*U28,X28*'[1]0、经济设定'!$C$18)</f>
        <v>53682</v>
      </c>
      <c r="O28">
        <f t="shared" si="5"/>
        <v>1</v>
      </c>
      <c r="P28">
        <f t="shared" si="6"/>
        <v>1</v>
      </c>
      <c r="Q28">
        <f t="shared" si="7"/>
        <v>10</v>
      </c>
      <c r="R28" s="2">
        <f t="shared" si="8"/>
        <v>2</v>
      </c>
      <c r="S28" s="2">
        <f t="shared" si="9"/>
        <v>50</v>
      </c>
      <c r="T28" s="2">
        <f t="shared" si="10"/>
        <v>19.480519480519479</v>
      </c>
      <c r="U28" s="2">
        <f ca="1">VLOOKUP(E28,金币生产率!$A$2:$B$120,2,0)</f>
        <v>1167</v>
      </c>
      <c r="V28" s="2">
        <f t="shared" si="11"/>
        <v>214.28571428571428</v>
      </c>
      <c r="W28" s="45">
        <f t="shared" ca="1" si="27"/>
        <v>46</v>
      </c>
      <c r="X28" s="48">
        <f t="shared" ca="1" si="12"/>
        <v>574</v>
      </c>
      <c r="Y28">
        <f t="shared" si="13"/>
        <v>18</v>
      </c>
      <c r="Z28">
        <f t="shared" ca="1" si="18"/>
        <v>19</v>
      </c>
      <c r="AA28" t="str">
        <f t="shared" ca="1" si="19"/>
        <v>9111100.png</v>
      </c>
      <c r="AB28">
        <f t="shared" si="14"/>
        <v>2</v>
      </c>
      <c r="AC28">
        <f>VLOOKUP(C28,技能辅助查询表,技能配置辅助表!$W$1,FALSE)</f>
        <v>1472</v>
      </c>
      <c r="AD28">
        <f t="shared" ca="1" si="20"/>
        <v>114.87686448452378</v>
      </c>
      <c r="AE28">
        <f>VLOOKUP(C28,技能辅助查询表,技能配置辅助表!$U$1,FALSE)</f>
        <v>1</v>
      </c>
      <c r="AF28">
        <f t="shared" ca="1" si="21"/>
        <v>9111126</v>
      </c>
      <c r="AG28">
        <f t="shared" ca="1" si="28"/>
        <v>41.795918367346935</v>
      </c>
      <c r="AH28">
        <f t="shared" ca="1" si="23"/>
        <v>337.87313083683472</v>
      </c>
      <c r="AI28">
        <f ca="1">VLOOKUP(E28,伤害参考系!$C$4:$E$104,3,FALSE)*$AN$12</f>
        <v>4090.4306638795993</v>
      </c>
      <c r="AJ28">
        <f>VLOOKUP(C28,技能辅助查询表,技能配置辅助表!$L$1,FALSE)</f>
        <v>11</v>
      </c>
      <c r="AK28">
        <f>VLOOKUP(C28,技能辅助查询表,技能配置辅助表!$AE$1,FALSE)</f>
        <v>66000096</v>
      </c>
    </row>
    <row r="29" spans="1:40" x14ac:dyDescent="0.15">
      <c r="A29" s="1">
        <f t="shared" ca="1" si="15"/>
        <v>9111127</v>
      </c>
      <c r="B29" s="1" t="str">
        <f t="shared" ca="1" si="0"/>
        <v>瞬狱·斩</v>
      </c>
      <c r="C29" t="s">
        <v>150</v>
      </c>
      <c r="D29">
        <f t="shared" si="1"/>
        <v>1</v>
      </c>
      <c r="E29" s="42">
        <f t="shared" ca="1" si="16"/>
        <v>44</v>
      </c>
      <c r="F29" t="str">
        <f t="shared" ca="1" si="17"/>
        <v>第27级，共造成272.1%点伤害</v>
      </c>
      <c r="G29">
        <f t="shared" ca="1" si="24"/>
        <v>1</v>
      </c>
      <c r="H29">
        <f t="shared" si="2"/>
        <v>1</v>
      </c>
      <c r="I29" s="44">
        <f t="shared" ca="1" si="25"/>
        <v>27</v>
      </c>
      <c r="J29">
        <f t="shared" si="3"/>
        <v>1</v>
      </c>
      <c r="K29" s="36">
        <f t="shared" ca="1" si="26"/>
        <v>24.740259740259738</v>
      </c>
      <c r="L29" s="10">
        <f ca="1">AH29*VLOOKUP(C29,技能辅助查询表,技能配置辅助表!$T$1,FALSE)</f>
        <v>0</v>
      </c>
      <c r="M29">
        <f t="shared" ca="1" si="4"/>
        <v>7300</v>
      </c>
      <c r="N29" s="33">
        <f ca="1">CHOOSE(1,W29*U29,X29*'[1]0、经济设定'!$C$18)</f>
        <v>60074</v>
      </c>
      <c r="O29">
        <f t="shared" si="5"/>
        <v>1</v>
      </c>
      <c r="P29">
        <f t="shared" si="6"/>
        <v>1</v>
      </c>
      <c r="Q29">
        <f t="shared" si="7"/>
        <v>10</v>
      </c>
      <c r="R29" s="2">
        <f t="shared" si="8"/>
        <v>2</v>
      </c>
      <c r="S29" s="2">
        <f t="shared" si="9"/>
        <v>50</v>
      </c>
      <c r="T29" s="2">
        <f t="shared" si="10"/>
        <v>19.480519480519479</v>
      </c>
      <c r="U29" s="2">
        <f ca="1">VLOOKUP(E29,金币生产率!$A$2:$B$120,2,0)</f>
        <v>1226</v>
      </c>
      <c r="V29" s="2">
        <f t="shared" si="11"/>
        <v>214.28571428571428</v>
      </c>
      <c r="W29" s="45">
        <f t="shared" ca="1" si="27"/>
        <v>49</v>
      </c>
      <c r="X29" s="48">
        <f t="shared" ca="1" si="12"/>
        <v>623</v>
      </c>
      <c r="Y29">
        <f t="shared" si="13"/>
        <v>18</v>
      </c>
      <c r="Z29">
        <f t="shared" ca="1" si="18"/>
        <v>20</v>
      </c>
      <c r="AA29" t="str">
        <f t="shared" ca="1" si="19"/>
        <v>9111100.png</v>
      </c>
      <c r="AB29">
        <f t="shared" si="14"/>
        <v>2</v>
      </c>
      <c r="AC29">
        <f>VLOOKUP(C29,技能辅助查询表,技能配置辅助表!$W$1,FALSE)</f>
        <v>1472</v>
      </c>
      <c r="AD29">
        <f t="shared" ca="1" si="20"/>
        <v>132.43435264506115</v>
      </c>
      <c r="AE29">
        <f>VLOOKUP(C29,技能辅助查询表,技能配置辅助表!$U$1,FALSE)</f>
        <v>1</v>
      </c>
      <c r="AF29">
        <f t="shared" ca="1" si="21"/>
        <v>9111127</v>
      </c>
      <c r="AG29">
        <f t="shared" ca="1" si="28"/>
        <v>43.387755102040813</v>
      </c>
      <c r="AH29">
        <f t="shared" ca="1" si="23"/>
        <v>384.66409481967975</v>
      </c>
      <c r="AI29">
        <f ca="1">VLOOKUP(E29,伤害参考系!$C$4:$E$104,3,FALSE)*$AN$12</f>
        <v>4355.6631973244148</v>
      </c>
      <c r="AJ29">
        <f>VLOOKUP(C29,技能辅助查询表,技能配置辅助表!$L$1,FALSE)</f>
        <v>11</v>
      </c>
      <c r="AK29">
        <f>VLOOKUP(C29,技能辅助查询表,技能配置辅助表!$AE$1,FALSE)</f>
        <v>66000096</v>
      </c>
    </row>
    <row r="30" spans="1:40" s="30" customFormat="1" x14ac:dyDescent="0.15">
      <c r="A30" s="29">
        <f t="shared" ca="1" si="15"/>
        <v>9111128</v>
      </c>
      <c r="B30" s="29" t="str">
        <f t="shared" ca="1" si="0"/>
        <v>瞬狱·斩</v>
      </c>
      <c r="C30" s="30" t="s">
        <v>150</v>
      </c>
      <c r="D30" s="30">
        <f t="shared" si="1"/>
        <v>1</v>
      </c>
      <c r="E30" s="42">
        <f t="shared" ca="1" si="16"/>
        <v>46</v>
      </c>
      <c r="F30" t="str">
        <f t="shared" ca="1" si="17"/>
        <v>第28级，共造成274.3%点伤害</v>
      </c>
      <c r="G30" s="30">
        <f t="shared" ca="1" si="24"/>
        <v>1</v>
      </c>
      <c r="H30" s="30">
        <f t="shared" si="2"/>
        <v>1</v>
      </c>
      <c r="I30" s="44">
        <f t="shared" ca="1" si="25"/>
        <v>28</v>
      </c>
      <c r="J30" s="30">
        <f t="shared" si="3"/>
        <v>1</v>
      </c>
      <c r="K30" s="36">
        <f t="shared" ca="1" si="26"/>
        <v>24.935064935064933</v>
      </c>
      <c r="L30" s="10">
        <f ca="1">AH30*VLOOKUP(C30,技能辅助查询表,技能配置辅助表!$T$1,FALSE)</f>
        <v>0</v>
      </c>
      <c r="M30">
        <f t="shared" ca="1" si="4"/>
        <v>7200</v>
      </c>
      <c r="N30" s="33">
        <f ca="1">CHOOSE(1,W30*U30,X30*'[1]0、经济设定'!$C$18)</f>
        <v>70148</v>
      </c>
      <c r="O30" s="30">
        <f t="shared" si="5"/>
        <v>1</v>
      </c>
      <c r="P30" s="30">
        <f t="shared" si="6"/>
        <v>1</v>
      </c>
      <c r="Q30" s="30">
        <f t="shared" si="7"/>
        <v>10</v>
      </c>
      <c r="R30" s="31">
        <f t="shared" si="8"/>
        <v>2</v>
      </c>
      <c r="S30" s="31">
        <f t="shared" si="9"/>
        <v>50</v>
      </c>
      <c r="T30" s="31">
        <f t="shared" si="10"/>
        <v>19.480519480519479</v>
      </c>
      <c r="U30" s="2">
        <f ca="1">VLOOKUP(E30,金币生产率!$A$2:$B$120,2,0)</f>
        <v>1349</v>
      </c>
      <c r="V30" s="31">
        <f t="shared" si="11"/>
        <v>214.28571428571428</v>
      </c>
      <c r="W30" s="45">
        <f t="shared" ca="1" si="27"/>
        <v>52</v>
      </c>
      <c r="X30" s="48">
        <f t="shared" ca="1" si="12"/>
        <v>675</v>
      </c>
      <c r="Y30">
        <f t="shared" si="13"/>
        <v>18</v>
      </c>
      <c r="Z30">
        <f t="shared" ca="1" si="18"/>
        <v>21</v>
      </c>
      <c r="AA30" s="30" t="str">
        <f t="shared" ca="1" si="19"/>
        <v>9111100.png</v>
      </c>
      <c r="AB30" s="30">
        <f t="shared" si="14"/>
        <v>2</v>
      </c>
      <c r="AC30" s="30">
        <f>VLOOKUP(C30,技能辅助查询表,技能配置辅助表!$W$1,FALSE)</f>
        <v>1472</v>
      </c>
      <c r="AD30">
        <f t="shared" ca="1" si="20"/>
        <v>152.65162474438375</v>
      </c>
      <c r="AE30" s="30">
        <f>VLOOKUP(C30,技能辅助查询表,技能配置辅助表!$U$1,FALSE)</f>
        <v>1</v>
      </c>
      <c r="AF30" s="30">
        <f t="shared" ca="1" si="21"/>
        <v>9111128</v>
      </c>
      <c r="AG30">
        <f t="shared" ca="1" si="28"/>
        <v>44.979591836734691</v>
      </c>
      <c r="AH30">
        <f t="shared" ca="1" si="23"/>
        <v>437.93498902077317</v>
      </c>
      <c r="AI30">
        <f ca="1">VLOOKUP(E30,伤害参考系!$C$4:$E$104,3,FALSE)*$AN$12</f>
        <v>4911.1188561872923</v>
      </c>
      <c r="AJ30">
        <f>VLOOKUP(C30,技能辅助查询表,技能配置辅助表!$L$1,FALSE)</f>
        <v>11</v>
      </c>
      <c r="AK30">
        <f>VLOOKUP(C30,技能辅助查询表,技能配置辅助表!$AE$1,FALSE)</f>
        <v>66000096</v>
      </c>
    </row>
    <row r="31" spans="1:40" s="30" customFormat="1" x14ac:dyDescent="0.15">
      <c r="A31" s="29">
        <f t="shared" ca="1" si="15"/>
        <v>9111129</v>
      </c>
      <c r="B31" s="29" t="str">
        <f t="shared" ca="1" si="0"/>
        <v>瞬狱·斩</v>
      </c>
      <c r="C31" s="30" t="s">
        <v>150</v>
      </c>
      <c r="D31" s="30">
        <f t="shared" si="1"/>
        <v>1</v>
      </c>
      <c r="E31" s="42">
        <f t="shared" ca="1" si="16"/>
        <v>47</v>
      </c>
      <c r="F31" t="str">
        <f t="shared" ca="1" si="17"/>
        <v>第29级，共造成276.4%点伤害</v>
      </c>
      <c r="G31" s="30">
        <f t="shared" ca="1" si="24"/>
        <v>1</v>
      </c>
      <c r="H31" s="30">
        <f t="shared" si="2"/>
        <v>1</v>
      </c>
      <c r="I31" s="44">
        <f t="shared" ca="1" si="25"/>
        <v>29</v>
      </c>
      <c r="J31" s="30">
        <f t="shared" si="3"/>
        <v>1</v>
      </c>
      <c r="K31" s="36">
        <f t="shared" ca="1" si="26"/>
        <v>25.129870129870127</v>
      </c>
      <c r="L31" s="10">
        <f ca="1">AH31*VLOOKUP(C31,技能辅助查询表,技能配置辅助表!$T$1,FALSE)</f>
        <v>0</v>
      </c>
      <c r="M31">
        <f t="shared" ca="1" si="4"/>
        <v>7100</v>
      </c>
      <c r="N31" s="33">
        <f ca="1">CHOOSE(1,W31*U31,X31*'[1]0、经济设定'!$C$18)</f>
        <v>79072</v>
      </c>
      <c r="O31" s="30">
        <f t="shared" si="5"/>
        <v>1</v>
      </c>
      <c r="P31" s="30">
        <f t="shared" si="6"/>
        <v>1</v>
      </c>
      <c r="Q31" s="30">
        <f t="shared" si="7"/>
        <v>10</v>
      </c>
      <c r="R31" s="31">
        <f t="shared" si="8"/>
        <v>2</v>
      </c>
      <c r="S31" s="31">
        <f t="shared" si="9"/>
        <v>50</v>
      </c>
      <c r="T31" s="31">
        <f t="shared" si="10"/>
        <v>19.480519480519479</v>
      </c>
      <c r="U31" s="2">
        <f ca="1">VLOOKUP(E31,金币生产率!$A$2:$B$120,2,0)</f>
        <v>1412</v>
      </c>
      <c r="V31" s="31">
        <f t="shared" si="11"/>
        <v>214.28571428571428</v>
      </c>
      <c r="W31" s="45">
        <f t="shared" ca="1" si="27"/>
        <v>56</v>
      </c>
      <c r="X31" s="48">
        <f t="shared" ca="1" si="12"/>
        <v>731</v>
      </c>
      <c r="Y31">
        <f t="shared" si="13"/>
        <v>18</v>
      </c>
      <c r="Z31">
        <f t="shared" ca="1" si="18"/>
        <v>23</v>
      </c>
      <c r="AA31" s="30" t="str">
        <f t="shared" ca="1" si="19"/>
        <v>9111100.png</v>
      </c>
      <c r="AB31" s="30">
        <f t="shared" si="14"/>
        <v>2</v>
      </c>
      <c r="AC31" s="30">
        <f>VLOOKUP(C31,技能辅助查询表,技能配置辅助表!$W$1,FALSE)</f>
        <v>1472</v>
      </c>
      <c r="AD31">
        <f t="shared" ca="1" si="20"/>
        <v>175.92864277574353</v>
      </c>
      <c r="AE31" s="30">
        <f>VLOOKUP(C31,技能辅助查询表,技能配置辅助表!$U$1,FALSE)</f>
        <v>1</v>
      </c>
      <c r="AF31" s="30">
        <f t="shared" ca="1" si="21"/>
        <v>9111129</v>
      </c>
      <c r="AG31">
        <f t="shared" ca="1" si="28"/>
        <v>46.571428571428569</v>
      </c>
      <c r="AH31">
        <f ca="1">(19.323*EXP(I31*0.1297))*$AN$12</f>
        <v>498.5831981498805</v>
      </c>
      <c r="AI31">
        <f ca="1">VLOOKUP(E31,伤害参考系!$C$4:$E$104,3,FALSE)*$AN$12</f>
        <v>5201.3419816053529</v>
      </c>
      <c r="AJ31">
        <f>VLOOKUP(C31,技能辅助查询表,技能配置辅助表!$L$1,FALSE)</f>
        <v>11</v>
      </c>
      <c r="AK31">
        <f>VLOOKUP(C31,技能辅助查询表,技能配置辅助表!$AE$1,FALSE)</f>
        <v>66000096</v>
      </c>
    </row>
    <row r="32" spans="1:40" x14ac:dyDescent="0.15">
      <c r="A32" s="1">
        <f t="shared" ca="1" si="15"/>
        <v>9111130</v>
      </c>
      <c r="B32" s="1" t="str">
        <f t="shared" ca="1" si="0"/>
        <v>瞬狱·斩</v>
      </c>
      <c r="C32" t="s">
        <v>150</v>
      </c>
      <c r="D32">
        <f t="shared" si="1"/>
        <v>1</v>
      </c>
      <c r="E32" s="42">
        <f t="shared" ca="1" si="16"/>
        <v>49</v>
      </c>
      <c r="F32" t="str">
        <f t="shared" ca="1" si="17"/>
        <v>第30级，共造成278.6%点伤害</v>
      </c>
      <c r="G32">
        <f t="shared" ca="1" si="24"/>
        <v>1</v>
      </c>
      <c r="H32">
        <f t="shared" si="2"/>
        <v>1</v>
      </c>
      <c r="I32" s="44">
        <f t="shared" ca="1" si="25"/>
        <v>30</v>
      </c>
      <c r="J32">
        <f t="shared" si="3"/>
        <v>1</v>
      </c>
      <c r="K32" s="36">
        <f t="shared" ca="1" si="26"/>
        <v>25.324675324675322</v>
      </c>
      <c r="L32" s="10">
        <f ca="1">AH32*VLOOKUP(C32,技能辅助查询表,技能配置辅助表!$T$1,FALSE)</f>
        <v>0</v>
      </c>
      <c r="M32">
        <f t="shared" ca="1" si="4"/>
        <v>7000</v>
      </c>
      <c r="N32" s="33">
        <f ca="1">CHOOSE(1,W32*U32,X32*'[1]0、经济设定'!$C$18)</f>
        <v>92580</v>
      </c>
      <c r="O32">
        <f t="shared" si="5"/>
        <v>1</v>
      </c>
      <c r="P32">
        <f t="shared" si="6"/>
        <v>1</v>
      </c>
      <c r="Q32">
        <f t="shared" si="7"/>
        <v>10</v>
      </c>
      <c r="R32" s="2">
        <f t="shared" si="8"/>
        <v>2</v>
      </c>
      <c r="S32" s="2">
        <f t="shared" si="9"/>
        <v>50</v>
      </c>
      <c r="T32" s="2">
        <f t="shared" si="10"/>
        <v>19.480519480519479</v>
      </c>
      <c r="U32" s="2">
        <f ca="1">VLOOKUP(E32,金币生产率!$A$2:$B$120,2,0)</f>
        <v>1543</v>
      </c>
      <c r="V32" s="2">
        <f t="shared" si="11"/>
        <v>214.28571428571428</v>
      </c>
      <c r="W32" s="45">
        <f t="shared" ca="1" si="27"/>
        <v>60</v>
      </c>
      <c r="X32" s="48">
        <f t="shared" ca="1" si="12"/>
        <v>791</v>
      </c>
      <c r="Y32">
        <f t="shared" si="13"/>
        <v>18</v>
      </c>
      <c r="Z32">
        <f t="shared" ca="1" si="18"/>
        <v>24</v>
      </c>
      <c r="AA32" t="str">
        <f t="shared" ca="1" si="19"/>
        <v>9111100.png</v>
      </c>
      <c r="AB32">
        <f t="shared" si="14"/>
        <v>2</v>
      </c>
      <c r="AC32">
        <f>VLOOKUP(C32,技能辅助查询表,技能配置辅助表!$W$1,FALSE)</f>
        <v>1472</v>
      </c>
      <c r="AD32">
        <f t="shared" ca="1" si="20"/>
        <v>202.72513672895499</v>
      </c>
      <c r="AE32">
        <f>VLOOKUP(C32,技能辅助查询表,技能配置辅助表!$U$1,FALSE)</f>
        <v>1</v>
      </c>
      <c r="AF32">
        <f t="shared" ca="1" si="21"/>
        <v>9111130</v>
      </c>
      <c r="AG32">
        <f t="shared" ca="1" si="28"/>
        <v>48.163265306122447</v>
      </c>
      <c r="AH32">
        <f t="shared" ca="1" si="23"/>
        <v>567.63038284107404</v>
      </c>
      <c r="AI32">
        <f ca="1">VLOOKUP(E32,伤害参考系!$C$4:$E$104,3,FALSE)*$AN$12</f>
        <v>5806.7788244147177</v>
      </c>
      <c r="AJ32">
        <f>VLOOKUP(C32,技能辅助查询表,技能配置辅助表!$L$1,FALSE)</f>
        <v>11</v>
      </c>
      <c r="AK32">
        <f>VLOOKUP(C32,技能辅助查询表,技能配置辅助表!$AE$1,FALSE)</f>
        <v>66000096</v>
      </c>
    </row>
    <row r="33" spans="1:37" x14ac:dyDescent="0.15">
      <c r="A33" s="1">
        <f t="shared" ca="1" si="15"/>
        <v>9111131</v>
      </c>
      <c r="B33" s="1" t="str">
        <f t="shared" ca="1" si="0"/>
        <v>瞬狱·斩</v>
      </c>
      <c r="C33" t="s">
        <v>150</v>
      </c>
      <c r="D33">
        <f t="shared" si="1"/>
        <v>1</v>
      </c>
      <c r="E33" s="42">
        <f t="shared" ca="1" si="16"/>
        <v>50</v>
      </c>
      <c r="F33" t="str">
        <f t="shared" ca="1" si="17"/>
        <v>第31级，共造成280.7%点伤害</v>
      </c>
      <c r="G33">
        <f t="shared" ca="1" si="24"/>
        <v>1</v>
      </c>
      <c r="H33">
        <f t="shared" si="2"/>
        <v>1</v>
      </c>
      <c r="I33" s="44">
        <f t="shared" ca="1" si="25"/>
        <v>31</v>
      </c>
      <c r="J33">
        <f t="shared" si="3"/>
        <v>1</v>
      </c>
      <c r="K33" s="36">
        <f t="shared" ca="1" si="26"/>
        <v>25.519480519480517</v>
      </c>
      <c r="L33" s="10">
        <f ca="1">AH33*VLOOKUP(C33,技能辅助查询表,技能配置辅助表!$T$1,FALSE)</f>
        <v>0</v>
      </c>
      <c r="M33">
        <f t="shared" ca="1" si="4"/>
        <v>6900</v>
      </c>
      <c r="N33" s="33">
        <f ca="1">CHOOSE(1,W33*U33,X33*'[1]0、经济设定'!$C$18)</f>
        <v>103040</v>
      </c>
      <c r="O33">
        <f t="shared" si="5"/>
        <v>1</v>
      </c>
      <c r="P33">
        <f t="shared" si="6"/>
        <v>1</v>
      </c>
      <c r="Q33">
        <f t="shared" si="7"/>
        <v>10</v>
      </c>
      <c r="R33" s="2">
        <f t="shared" si="8"/>
        <v>2</v>
      </c>
      <c r="S33" s="2">
        <f t="shared" si="9"/>
        <v>50</v>
      </c>
      <c r="T33" s="2">
        <f t="shared" si="10"/>
        <v>19.480519480519479</v>
      </c>
      <c r="U33" s="2">
        <f ca="1">VLOOKUP(E33,金币生产率!$A$2:$B$120,2,0)</f>
        <v>1610</v>
      </c>
      <c r="V33" s="2">
        <f t="shared" si="11"/>
        <v>214.28571428571428</v>
      </c>
      <c r="W33" s="45">
        <f t="shared" ca="1" si="27"/>
        <v>64</v>
      </c>
      <c r="X33" s="48">
        <f t="shared" ca="1" si="12"/>
        <v>855</v>
      </c>
      <c r="Y33">
        <f t="shared" si="13"/>
        <v>18</v>
      </c>
      <c r="Z33">
        <f t="shared" ca="1" si="18"/>
        <v>26</v>
      </c>
      <c r="AA33" t="str">
        <f t="shared" ca="1" si="19"/>
        <v>9111100.png</v>
      </c>
      <c r="AB33">
        <f t="shared" si="14"/>
        <v>2</v>
      </c>
      <c r="AC33">
        <f>VLOOKUP(C33,技能辅助查询表,技能配置辅助表!$W$1,FALSE)</f>
        <v>1472</v>
      </c>
      <c r="AD33">
        <f t="shared" ca="1" si="20"/>
        <v>233.56948803885263</v>
      </c>
      <c r="AE33">
        <f>VLOOKUP(C33,技能辅助查询表,技能配置辅助表!$U$1,FALSE)</f>
        <v>1</v>
      </c>
      <c r="AF33">
        <f t="shared" ca="1" si="21"/>
        <v>9111131</v>
      </c>
      <c r="AG33">
        <f t="shared" ca="1" si="28"/>
        <v>49.755102040816325</v>
      </c>
      <c r="AH33">
        <f t="shared" ca="1" si="23"/>
        <v>646.23969022607446</v>
      </c>
      <c r="AI33">
        <f ca="1">VLOOKUP(E33,伤害参考系!$C$4:$E$104,3,FALSE)*$AN$12</f>
        <v>6162.2688085284308</v>
      </c>
      <c r="AJ33">
        <f>VLOOKUP(C33,技能辅助查询表,技能配置辅助表!$L$1,FALSE)</f>
        <v>11</v>
      </c>
      <c r="AK33">
        <f>VLOOKUP(C33,技能辅助查询表,技能配置辅助表!$AE$1,FALSE)</f>
        <v>66000096</v>
      </c>
    </row>
    <row r="34" spans="1:37" x14ac:dyDescent="0.15">
      <c r="A34" s="1">
        <f t="shared" ca="1" si="15"/>
        <v>9111132</v>
      </c>
      <c r="B34" s="1" t="str">
        <f t="shared" ca="1" si="0"/>
        <v>瞬狱·斩</v>
      </c>
      <c r="C34" t="s">
        <v>150</v>
      </c>
      <c r="D34">
        <f t="shared" si="1"/>
        <v>1</v>
      </c>
      <c r="E34" s="42">
        <f t="shared" ca="1" si="16"/>
        <v>52</v>
      </c>
      <c r="F34" t="str">
        <f t="shared" ca="1" si="17"/>
        <v>第32级，共造成282.9%点伤害</v>
      </c>
      <c r="G34">
        <f t="shared" ca="1" si="24"/>
        <v>1</v>
      </c>
      <c r="H34">
        <f t="shared" si="2"/>
        <v>1</v>
      </c>
      <c r="I34" s="44">
        <f t="shared" ca="1" si="25"/>
        <v>32</v>
      </c>
      <c r="J34">
        <f t="shared" si="3"/>
        <v>1</v>
      </c>
      <c r="K34" s="36">
        <f t="shared" ca="1" si="26"/>
        <v>25.714285714285712</v>
      </c>
      <c r="L34" s="10">
        <f ca="1">AH34*VLOOKUP(C34,技能辅助查询表,技能配置辅助表!$T$1,FALSE)</f>
        <v>0</v>
      </c>
      <c r="M34">
        <f t="shared" ca="1" si="4"/>
        <v>6800</v>
      </c>
      <c r="N34" s="33">
        <f ca="1">CHOOSE(1,W34*U34,X34*'[1]0、经济设定'!$C$18)</f>
        <v>120681</v>
      </c>
      <c r="O34">
        <f t="shared" si="5"/>
        <v>1</v>
      </c>
      <c r="P34">
        <f t="shared" si="6"/>
        <v>1</v>
      </c>
      <c r="Q34">
        <f t="shared" si="7"/>
        <v>10</v>
      </c>
      <c r="R34" s="2">
        <f t="shared" si="8"/>
        <v>2</v>
      </c>
      <c r="S34" s="2">
        <f t="shared" si="9"/>
        <v>50</v>
      </c>
      <c r="T34" s="2">
        <f t="shared" si="10"/>
        <v>19.480519480519479</v>
      </c>
      <c r="U34" s="2">
        <f ca="1">VLOOKUP(E34,金币生产率!$A$2:$B$120,2,0)</f>
        <v>1749</v>
      </c>
      <c r="V34" s="2">
        <f t="shared" si="11"/>
        <v>214.28571428571428</v>
      </c>
      <c r="W34" s="45">
        <f t="shared" ca="1" si="27"/>
        <v>69</v>
      </c>
      <c r="X34" s="48">
        <f t="shared" ca="1" si="12"/>
        <v>924</v>
      </c>
      <c r="Y34">
        <f t="shared" si="13"/>
        <v>18</v>
      </c>
      <c r="Z34">
        <f t="shared" ca="1" si="18"/>
        <v>28</v>
      </c>
      <c r="AA34" t="str">
        <f t="shared" ca="1" si="19"/>
        <v>9111100.png</v>
      </c>
      <c r="AB34">
        <f t="shared" si="14"/>
        <v>2</v>
      </c>
      <c r="AC34">
        <f>VLOOKUP(C34,技能辅助查询表,技能配置辅助表!$W$1,FALSE)</f>
        <v>1472</v>
      </c>
      <c r="AD34">
        <f t="shared" ca="1" si="20"/>
        <v>269.06892724830328</v>
      </c>
      <c r="AE34">
        <f>VLOOKUP(C34,技能辅助查询表,技能配置辅助表!$U$1,FALSE)</f>
        <v>1</v>
      </c>
      <c r="AF34">
        <f t="shared" ca="1" si="21"/>
        <v>9111132</v>
      </c>
      <c r="AG34">
        <f t="shared" ca="1" si="28"/>
        <v>51.346938775510203</v>
      </c>
      <c r="AH34">
        <f ca="1">(19.323*EXP(I34*0.1297))*$AN$12</f>
        <v>735.73534794457942</v>
      </c>
      <c r="AI34">
        <f ca="1">VLOOKUP(E34,伤害参考系!$C$4:$E$104,3,FALSE)*$AN$12</f>
        <v>6904.487016722409</v>
      </c>
      <c r="AJ34">
        <f>VLOOKUP(C34,技能辅助查询表,技能配置辅助表!$L$1,FALSE)</f>
        <v>11</v>
      </c>
      <c r="AK34">
        <f>VLOOKUP(C34,技能辅助查询表,技能配置辅助表!$AE$1,FALSE)</f>
        <v>66000096</v>
      </c>
    </row>
    <row r="35" spans="1:37" x14ac:dyDescent="0.15">
      <c r="A35" s="1">
        <f t="shared" ca="1" si="15"/>
        <v>9111133</v>
      </c>
      <c r="B35" s="1" t="str">
        <f t="shared" ca="1" si="0"/>
        <v>瞬狱·斩</v>
      </c>
      <c r="C35" t="s">
        <v>150</v>
      </c>
      <c r="D35">
        <f t="shared" si="1"/>
        <v>1</v>
      </c>
      <c r="E35" s="42">
        <f t="shared" ca="1" si="16"/>
        <v>53</v>
      </c>
      <c r="F35" t="str">
        <f t="shared" ca="1" si="17"/>
        <v>第33级，共造成285%点伤害</v>
      </c>
      <c r="G35">
        <f t="shared" ca="1" si="24"/>
        <v>1</v>
      </c>
      <c r="H35">
        <f t="shared" si="2"/>
        <v>1</v>
      </c>
      <c r="I35" s="44">
        <f t="shared" ca="1" si="25"/>
        <v>33</v>
      </c>
      <c r="J35">
        <f t="shared" si="3"/>
        <v>1</v>
      </c>
      <c r="K35" s="36">
        <f t="shared" ca="1" si="26"/>
        <v>25.909090909090907</v>
      </c>
      <c r="L35" s="10">
        <f ca="1">AH35*VLOOKUP(C35,技能辅助查询表,技能配置辅助表!$T$1,FALSE)</f>
        <v>0</v>
      </c>
      <c r="M35">
        <f t="shared" ca="1" si="4"/>
        <v>6700</v>
      </c>
      <c r="N35" s="33">
        <f ca="1">CHOOSE(1,W35*U35,X35*'[1]0、经济设定'!$C$18)</f>
        <v>134680</v>
      </c>
      <c r="O35">
        <f t="shared" si="5"/>
        <v>1</v>
      </c>
      <c r="P35">
        <f t="shared" si="6"/>
        <v>1</v>
      </c>
      <c r="Q35">
        <f t="shared" si="7"/>
        <v>10</v>
      </c>
      <c r="R35" s="2">
        <f t="shared" si="8"/>
        <v>2</v>
      </c>
      <c r="S35" s="2">
        <f t="shared" si="9"/>
        <v>50</v>
      </c>
      <c r="T35" s="2">
        <f t="shared" si="10"/>
        <v>19.480519480519479</v>
      </c>
      <c r="U35" s="2">
        <f ca="1">VLOOKUP(E35,金币生产率!$A$2:$B$120,2,0)</f>
        <v>1820</v>
      </c>
      <c r="V35" s="2">
        <f t="shared" si="11"/>
        <v>214.28571428571428</v>
      </c>
      <c r="W35" s="45">
        <f t="shared" ca="1" si="27"/>
        <v>74</v>
      </c>
      <c r="X35" s="48">
        <f t="shared" ca="1" si="12"/>
        <v>998</v>
      </c>
      <c r="Y35">
        <f t="shared" si="13"/>
        <v>18</v>
      </c>
      <c r="Z35">
        <f t="shared" ca="1" si="18"/>
        <v>30</v>
      </c>
      <c r="AA35" t="str">
        <f t="shared" ca="1" si="19"/>
        <v>9111100.png</v>
      </c>
      <c r="AB35">
        <f t="shared" si="14"/>
        <v>2</v>
      </c>
      <c r="AC35">
        <f>VLOOKUP(C35,技能辅助查询表,技能配置辅助表!$W$1,FALSE)</f>
        <v>1472</v>
      </c>
      <c r="AD35">
        <f t="shared" ca="1" si="20"/>
        <v>309.92123951646073</v>
      </c>
      <c r="AE35">
        <f>VLOOKUP(C35,技能辅助查询表,技能配置辅助表!$U$1,FALSE)</f>
        <v>1</v>
      </c>
      <c r="AF35">
        <f t="shared" ca="1" si="21"/>
        <v>9111133</v>
      </c>
      <c r="AG35">
        <f t="shared" ca="1" si="28"/>
        <v>52.938775510204081</v>
      </c>
      <c r="AH35">
        <f t="shared" ca="1" si="23"/>
        <v>837.62497166611001</v>
      </c>
      <c r="AI35">
        <f ca="1">VLOOKUP(E35,伤害参考系!$C$4:$E$104,3,FALSE)*$AN$12</f>
        <v>7291.2152408026777</v>
      </c>
      <c r="AJ35">
        <f>VLOOKUP(C35,技能辅助查询表,技能配置辅助表!$L$1,FALSE)</f>
        <v>11</v>
      </c>
      <c r="AK35">
        <f>VLOOKUP(C35,技能辅助查询表,技能配置辅助表!$AE$1,FALSE)</f>
        <v>66000096</v>
      </c>
    </row>
    <row r="36" spans="1:37" x14ac:dyDescent="0.15">
      <c r="A36" s="1">
        <f t="shared" ca="1" si="15"/>
        <v>9111134</v>
      </c>
      <c r="B36" s="1" t="str">
        <f t="shared" ca="1" si="0"/>
        <v>瞬狱·斩</v>
      </c>
      <c r="C36" t="s">
        <v>150</v>
      </c>
      <c r="D36">
        <f t="shared" si="1"/>
        <v>1</v>
      </c>
      <c r="E36" s="42">
        <f t="shared" ca="1" si="16"/>
        <v>55</v>
      </c>
      <c r="F36" t="str">
        <f t="shared" ca="1" si="17"/>
        <v>第34级，共造成287.1%点伤害</v>
      </c>
      <c r="G36">
        <f t="shared" ca="1" si="24"/>
        <v>1</v>
      </c>
      <c r="H36">
        <f t="shared" si="2"/>
        <v>1</v>
      </c>
      <c r="I36" s="44">
        <f t="shared" ca="1" si="25"/>
        <v>34</v>
      </c>
      <c r="J36">
        <f t="shared" si="3"/>
        <v>1</v>
      </c>
      <c r="K36" s="36">
        <f t="shared" ca="1" si="26"/>
        <v>26.103896103896101</v>
      </c>
      <c r="L36" s="10">
        <f ca="1">AH36*VLOOKUP(C36,技能辅助查询表,技能配置辅助表!$T$1,FALSE)</f>
        <v>0</v>
      </c>
      <c r="M36">
        <f t="shared" ca="1" si="4"/>
        <v>6600</v>
      </c>
      <c r="N36" s="33">
        <f ca="1">CHOOSE(1,W36*U36,X36*'[1]0、经济设定'!$C$18)</f>
        <v>155393</v>
      </c>
      <c r="O36">
        <f t="shared" si="5"/>
        <v>1</v>
      </c>
      <c r="P36">
        <f t="shared" si="6"/>
        <v>1</v>
      </c>
      <c r="Q36">
        <f t="shared" si="7"/>
        <v>10</v>
      </c>
      <c r="R36" s="2">
        <f t="shared" si="8"/>
        <v>2</v>
      </c>
      <c r="S36" s="2">
        <f t="shared" si="9"/>
        <v>50</v>
      </c>
      <c r="T36" s="2">
        <f t="shared" si="10"/>
        <v>19.480519480519479</v>
      </c>
      <c r="U36" s="2">
        <f ca="1">VLOOKUP(E36,金币生产率!$A$2:$B$120,2,0)</f>
        <v>1967</v>
      </c>
      <c r="V36" s="2">
        <f t="shared" si="11"/>
        <v>214.28571428571428</v>
      </c>
      <c r="W36" s="45">
        <f t="shared" ca="1" si="27"/>
        <v>79</v>
      </c>
      <c r="X36" s="48">
        <f t="shared" ca="1" si="12"/>
        <v>1077</v>
      </c>
      <c r="Y36">
        <f t="shared" si="13"/>
        <v>18</v>
      </c>
      <c r="Z36">
        <f t="shared" ca="1" si="18"/>
        <v>32</v>
      </c>
      <c r="AA36" t="str">
        <f t="shared" ca="1" si="19"/>
        <v>9111100.png</v>
      </c>
      <c r="AB36">
        <f t="shared" si="14"/>
        <v>2</v>
      </c>
      <c r="AC36">
        <f>VLOOKUP(C36,技能辅助查询表,技能配置辅助表!$W$1,FALSE)</f>
        <v>1472</v>
      </c>
      <c r="AD36">
        <f t="shared" ca="1" si="20"/>
        <v>356.92820002874521</v>
      </c>
      <c r="AE36">
        <f>VLOOKUP(C36,技能辅助查询表,技能配置辅助表!$U$1,FALSE)</f>
        <v>1</v>
      </c>
      <c r="AF36">
        <f t="shared" ca="1" si="21"/>
        <v>9111134</v>
      </c>
      <c r="AG36">
        <f t="shared" ca="1" si="28"/>
        <v>54.530612244897959</v>
      </c>
      <c r="AH36">
        <f t="shared" ca="1" si="23"/>
        <v>953.62496190886134</v>
      </c>
      <c r="AI36">
        <f ca="1">VLOOKUP(E36,伤害参考系!$C$4:$E$104,3,FALSE)*$AN$12</f>
        <v>8095.9099289297656</v>
      </c>
      <c r="AJ36">
        <f>VLOOKUP(C36,技能辅助查询表,技能配置辅助表!$L$1,FALSE)</f>
        <v>11</v>
      </c>
      <c r="AK36">
        <f>VLOOKUP(C36,技能辅助查询表,技能配置辅助表!$AE$1,FALSE)</f>
        <v>66000096</v>
      </c>
    </row>
    <row r="37" spans="1:37" x14ac:dyDescent="0.15">
      <c r="A37" s="1">
        <f t="shared" ca="1" si="15"/>
        <v>9111135</v>
      </c>
      <c r="B37" s="1" t="str">
        <f t="shared" ca="1" si="0"/>
        <v>瞬狱·斩</v>
      </c>
      <c r="C37" t="s">
        <v>150</v>
      </c>
      <c r="D37">
        <f t="shared" si="1"/>
        <v>1</v>
      </c>
      <c r="E37" s="42">
        <f t="shared" ca="1" si="16"/>
        <v>57</v>
      </c>
      <c r="F37" t="str">
        <f t="shared" ca="1" si="17"/>
        <v>第35级，共造成289.3%点伤害</v>
      </c>
      <c r="G37">
        <f t="shared" ca="1" si="24"/>
        <v>1</v>
      </c>
      <c r="H37">
        <f t="shared" si="2"/>
        <v>1</v>
      </c>
      <c r="I37" s="44">
        <f t="shared" ca="1" si="25"/>
        <v>35</v>
      </c>
      <c r="J37">
        <f t="shared" si="3"/>
        <v>1</v>
      </c>
      <c r="K37" s="36">
        <f t="shared" ca="1" si="26"/>
        <v>26.298701298701296</v>
      </c>
      <c r="L37" s="10">
        <f ca="1">AH37*VLOOKUP(C37,技能辅助查询表,技能配置辅助表!$T$1,FALSE)</f>
        <v>0</v>
      </c>
      <c r="M37">
        <f t="shared" ca="1" si="4"/>
        <v>6500</v>
      </c>
      <c r="N37" s="33">
        <f ca="1">CHOOSE(1,W37*U37,X37*'[1]0、经济设定'!$C$18)</f>
        <v>177996</v>
      </c>
      <c r="O37">
        <f t="shared" si="5"/>
        <v>1</v>
      </c>
      <c r="P37">
        <f t="shared" si="6"/>
        <v>1</v>
      </c>
      <c r="Q37">
        <f t="shared" si="7"/>
        <v>10</v>
      </c>
      <c r="R37" s="2">
        <f t="shared" si="8"/>
        <v>2</v>
      </c>
      <c r="S37" s="2">
        <f t="shared" si="9"/>
        <v>50</v>
      </c>
      <c r="T37" s="2">
        <f t="shared" si="10"/>
        <v>19.480519480519479</v>
      </c>
      <c r="U37" s="2">
        <f ca="1">VLOOKUP(E37,金币生产率!$A$2:$B$120,2,0)</f>
        <v>2119</v>
      </c>
      <c r="V37" s="2">
        <f t="shared" si="11"/>
        <v>214.28571428571428</v>
      </c>
      <c r="W37" s="45">
        <f t="shared" ca="1" si="27"/>
        <v>84</v>
      </c>
      <c r="X37" s="48">
        <f t="shared" ca="1" si="12"/>
        <v>1161</v>
      </c>
      <c r="Y37">
        <f t="shared" si="13"/>
        <v>18</v>
      </c>
      <c r="Z37">
        <f t="shared" ca="1" si="18"/>
        <v>34</v>
      </c>
      <c r="AA37" t="str">
        <f t="shared" ca="1" si="19"/>
        <v>9111100.png</v>
      </c>
      <c r="AB37">
        <f t="shared" si="14"/>
        <v>2</v>
      </c>
      <c r="AC37">
        <f>VLOOKUP(C37,技能辅助查询表,技能配置辅助表!$W$1,FALSE)</f>
        <v>1472</v>
      </c>
      <c r="AD37">
        <f t="shared" ca="1" si="20"/>
        <v>411.01099395046776</v>
      </c>
      <c r="AE37">
        <f>VLOOKUP(C37,技能辅助查询表,技能配置辅助表!$U$1,FALSE)</f>
        <v>1</v>
      </c>
      <c r="AF37">
        <f t="shared" ca="1" si="21"/>
        <v>9111135</v>
      </c>
      <c r="AG37">
        <f t="shared" ca="1" si="28"/>
        <v>56.122448979591837</v>
      </c>
      <c r="AH37">
        <f t="shared" ca="1" si="23"/>
        <v>1085.689417982368</v>
      </c>
      <c r="AI37">
        <f ca="1">VLOOKUP(E37,伤害参考系!$C$4:$E$104,3,FALSE)*$AN$12</f>
        <v>8942.2556036789319</v>
      </c>
      <c r="AJ37">
        <f>VLOOKUP(C37,技能辅助查询表,技能配置辅助表!$L$1,FALSE)</f>
        <v>11</v>
      </c>
      <c r="AK37">
        <f>VLOOKUP(C37,技能辅助查询表,技能配置辅助表!$AE$1,FALSE)</f>
        <v>66000096</v>
      </c>
    </row>
    <row r="38" spans="1:37" x14ac:dyDescent="0.15">
      <c r="A38" s="1">
        <f t="shared" ca="1" si="15"/>
        <v>9111136</v>
      </c>
      <c r="B38" s="1" t="str">
        <f t="shared" ca="1" si="0"/>
        <v>瞬狱·斩</v>
      </c>
      <c r="C38" t="s">
        <v>150</v>
      </c>
      <c r="D38">
        <f t="shared" si="1"/>
        <v>1</v>
      </c>
      <c r="E38" s="42">
        <f t="shared" ca="1" si="16"/>
        <v>58</v>
      </c>
      <c r="F38" t="str">
        <f t="shared" ca="1" si="17"/>
        <v>第36级，共造成291.4%点伤害</v>
      </c>
      <c r="G38">
        <f t="shared" ca="1" si="24"/>
        <v>1</v>
      </c>
      <c r="H38">
        <f t="shared" si="2"/>
        <v>1</v>
      </c>
      <c r="I38" s="44">
        <f t="shared" ca="1" si="25"/>
        <v>36</v>
      </c>
      <c r="J38">
        <f t="shared" si="3"/>
        <v>1</v>
      </c>
      <c r="K38" s="36">
        <f t="shared" ca="1" si="26"/>
        <v>26.493506493506491</v>
      </c>
      <c r="L38" s="10">
        <f ca="1">AH38*VLOOKUP(C38,技能辅助查询表,技能配置辅助表!$T$1,FALSE)</f>
        <v>0</v>
      </c>
      <c r="M38">
        <f t="shared" ca="1" si="4"/>
        <v>6400</v>
      </c>
      <c r="N38" s="33">
        <f ca="1">CHOOSE(1,W38*U38,X38*'[1]0、经济设定'!$C$18)</f>
        <v>197820</v>
      </c>
      <c r="O38">
        <f t="shared" si="5"/>
        <v>1</v>
      </c>
      <c r="P38">
        <f t="shared" si="6"/>
        <v>1</v>
      </c>
      <c r="Q38">
        <f t="shared" si="7"/>
        <v>10</v>
      </c>
      <c r="R38" s="2">
        <f t="shared" si="8"/>
        <v>2</v>
      </c>
      <c r="S38" s="2">
        <f t="shared" si="9"/>
        <v>50</v>
      </c>
      <c r="T38" s="2">
        <f t="shared" si="10"/>
        <v>19.480519480519479</v>
      </c>
      <c r="U38" s="2">
        <f ca="1">VLOOKUP(E38,金币生产率!$A$2:$B$120,2,0)</f>
        <v>2198</v>
      </c>
      <c r="V38" s="2">
        <f t="shared" si="11"/>
        <v>214.28571428571428</v>
      </c>
      <c r="W38" s="45">
        <f t="shared" ca="1" si="27"/>
        <v>90</v>
      </c>
      <c r="X38" s="48">
        <f t="shared" ca="1" si="12"/>
        <v>1251</v>
      </c>
      <c r="Y38">
        <f t="shared" si="13"/>
        <v>18</v>
      </c>
      <c r="Z38">
        <f t="shared" ca="1" si="18"/>
        <v>36</v>
      </c>
      <c r="AA38" t="str">
        <f t="shared" ca="1" si="19"/>
        <v>9111100.png</v>
      </c>
      <c r="AB38">
        <f t="shared" si="14"/>
        <v>2</v>
      </c>
      <c r="AC38">
        <f>VLOOKUP(C38,技能辅助查询表,技能配置辅助表!$W$1,FALSE)</f>
        <v>1472</v>
      </c>
      <c r="AD38">
        <f t="shared" ca="1" si="20"/>
        <v>473.22791291802514</v>
      </c>
      <c r="AE38">
        <f>VLOOKUP(C38,技能辅助查询表,技能配置辅助表!$U$1,FALSE)</f>
        <v>1</v>
      </c>
      <c r="AF38">
        <f t="shared" ca="1" si="21"/>
        <v>9111136</v>
      </c>
      <c r="AG38">
        <f t="shared" ca="1" si="28"/>
        <v>57.714285714285715</v>
      </c>
      <c r="AH38">
        <f t="shared" ca="1" si="23"/>
        <v>1236.0430561291703</v>
      </c>
      <c r="AI38">
        <f ca="1">VLOOKUP(E38,伤害参考系!$C$4:$E$104,3,FALSE)*$AN$12</f>
        <v>9381.0475610367921</v>
      </c>
      <c r="AJ38">
        <f>VLOOKUP(C38,技能辅助查询表,技能配置辅助表!$L$1,FALSE)</f>
        <v>11</v>
      </c>
      <c r="AK38">
        <f>VLOOKUP(C38,技能辅助查询表,技能配置辅助表!$AE$1,FALSE)</f>
        <v>66000096</v>
      </c>
    </row>
    <row r="39" spans="1:37" x14ac:dyDescent="0.15">
      <c r="A39" s="1">
        <f t="shared" ca="1" si="15"/>
        <v>9111137</v>
      </c>
      <c r="B39" s="1" t="str">
        <f t="shared" ca="1" si="0"/>
        <v>瞬狱·斩</v>
      </c>
      <c r="C39" t="s">
        <v>150</v>
      </c>
      <c r="D39">
        <f t="shared" si="1"/>
        <v>1</v>
      </c>
      <c r="E39" s="42">
        <f t="shared" ca="1" si="16"/>
        <v>60</v>
      </c>
      <c r="F39" t="str">
        <f t="shared" ca="1" si="17"/>
        <v>第37级，共造成293.6%点伤害</v>
      </c>
      <c r="G39">
        <f t="shared" ca="1" si="24"/>
        <v>1</v>
      </c>
      <c r="H39">
        <f t="shared" si="2"/>
        <v>1</v>
      </c>
      <c r="I39" s="44">
        <f t="shared" ca="1" si="25"/>
        <v>37</v>
      </c>
      <c r="J39">
        <f t="shared" si="3"/>
        <v>1</v>
      </c>
      <c r="K39" s="36">
        <f t="shared" ca="1" si="26"/>
        <v>26.688311688311686</v>
      </c>
      <c r="L39" s="10">
        <f ca="1">AH39*VLOOKUP(C39,技能辅助查询表,技能配置辅助表!$T$1,FALSE)</f>
        <v>0</v>
      </c>
      <c r="M39">
        <f t="shared" ca="1" si="4"/>
        <v>6300</v>
      </c>
      <c r="N39" s="33">
        <f ca="1">CHOOSE(1,W39*U39,X39*'[1]0、经济设定'!$C$18)</f>
        <v>226368</v>
      </c>
      <c r="O39">
        <f t="shared" si="5"/>
        <v>1</v>
      </c>
      <c r="P39">
        <f t="shared" si="6"/>
        <v>1</v>
      </c>
      <c r="Q39">
        <f t="shared" si="7"/>
        <v>10</v>
      </c>
      <c r="R39" s="2">
        <f t="shared" si="8"/>
        <v>2</v>
      </c>
      <c r="S39" s="2">
        <f t="shared" si="9"/>
        <v>50</v>
      </c>
      <c r="T39" s="2">
        <f t="shared" si="10"/>
        <v>19.480519480519479</v>
      </c>
      <c r="U39" s="2">
        <f ca="1">VLOOKUP(E39,金币生产率!$A$2:$B$120,2,0)</f>
        <v>2358</v>
      </c>
      <c r="V39" s="2">
        <f t="shared" si="11"/>
        <v>214.28571428571428</v>
      </c>
      <c r="W39" s="45">
        <f t="shared" ca="1" si="27"/>
        <v>96</v>
      </c>
      <c r="X39" s="48">
        <f t="shared" ca="1" si="12"/>
        <v>1347</v>
      </c>
      <c r="Y39">
        <f t="shared" si="13"/>
        <v>18</v>
      </c>
      <c r="Z39">
        <f t="shared" ca="1" si="18"/>
        <v>39</v>
      </c>
      <c r="AA39" t="str">
        <f t="shared" ca="1" si="19"/>
        <v>9111100.png</v>
      </c>
      <c r="AB39">
        <f t="shared" si="14"/>
        <v>2</v>
      </c>
      <c r="AC39">
        <f>VLOOKUP(C39,技能辅助查询表,技能配置辅助表!$W$1,FALSE)</f>
        <v>1472</v>
      </c>
      <c r="AD39">
        <f t="shared" ca="1" si="20"/>
        <v>544.79466287543653</v>
      </c>
      <c r="AE39">
        <f>VLOOKUP(C39,技能辅助查询表,技能配置辅助表!$U$1,FALSE)</f>
        <v>1</v>
      </c>
      <c r="AF39">
        <f t="shared" ca="1" si="21"/>
        <v>9111137</v>
      </c>
      <c r="AG39">
        <f t="shared" ca="1" si="28"/>
        <v>59.306122448979593</v>
      </c>
      <c r="AH39">
        <f t="shared" ca="1" si="23"/>
        <v>1407.2186863941167</v>
      </c>
      <c r="AI39">
        <f ca="1">VLOOKUP(E39,伤害参考系!$C$4:$E$104,3,FALSE)*$AN$12</f>
        <v>10340.558729096994</v>
      </c>
      <c r="AJ39">
        <f>VLOOKUP(C39,技能辅助查询表,技能配置辅助表!$L$1,FALSE)</f>
        <v>11</v>
      </c>
      <c r="AK39">
        <f>VLOOKUP(C39,技能辅助查询表,技能配置辅助表!$AE$1,FALSE)</f>
        <v>66000096</v>
      </c>
    </row>
    <row r="40" spans="1:37" x14ac:dyDescent="0.15">
      <c r="A40" s="1">
        <f t="shared" ca="1" si="15"/>
        <v>9111138</v>
      </c>
      <c r="B40" s="1" t="str">
        <f t="shared" ca="1" si="0"/>
        <v>瞬狱·斩</v>
      </c>
      <c r="C40" t="s">
        <v>150</v>
      </c>
      <c r="D40">
        <f t="shared" si="1"/>
        <v>1</v>
      </c>
      <c r="E40" s="42">
        <f t="shared" ca="1" si="16"/>
        <v>61</v>
      </c>
      <c r="F40" t="str">
        <f t="shared" ca="1" si="17"/>
        <v>第38级，共造成295.7%点伤害</v>
      </c>
      <c r="G40">
        <f t="shared" ca="1" si="24"/>
        <v>1</v>
      </c>
      <c r="H40">
        <f t="shared" si="2"/>
        <v>1</v>
      </c>
      <c r="I40" s="44">
        <f t="shared" ca="1" si="25"/>
        <v>38</v>
      </c>
      <c r="J40">
        <f t="shared" si="3"/>
        <v>1</v>
      </c>
      <c r="K40" s="36">
        <f t="shared" ca="1" si="26"/>
        <v>26.88311688311688</v>
      </c>
      <c r="L40" s="10">
        <f ca="1">AH40*VLOOKUP(C40,技能辅助查询表,技能配置辅助表!$T$1,FALSE)</f>
        <v>0</v>
      </c>
      <c r="M40">
        <f t="shared" ca="1" si="4"/>
        <v>6200</v>
      </c>
      <c r="N40" s="33">
        <f ca="1">CHOOSE(1,W40*U40,X40*'[1]0、经济设定'!$C$18)</f>
        <v>251320</v>
      </c>
      <c r="O40">
        <f t="shared" si="5"/>
        <v>1</v>
      </c>
      <c r="P40">
        <f t="shared" si="6"/>
        <v>1</v>
      </c>
      <c r="Q40">
        <f t="shared" si="7"/>
        <v>10</v>
      </c>
      <c r="R40" s="2">
        <f t="shared" si="8"/>
        <v>2</v>
      </c>
      <c r="S40" s="2">
        <f t="shared" si="9"/>
        <v>50</v>
      </c>
      <c r="T40" s="2">
        <f t="shared" si="10"/>
        <v>19.480519480519479</v>
      </c>
      <c r="U40" s="2">
        <f ca="1">VLOOKUP(E40,金币生产率!$A$2:$B$120,2,0)</f>
        <v>2440</v>
      </c>
      <c r="V40" s="2">
        <f t="shared" si="11"/>
        <v>214.28571428571428</v>
      </c>
      <c r="W40" s="45">
        <f t="shared" ca="1" si="27"/>
        <v>103</v>
      </c>
      <c r="X40" s="48">
        <f t="shared" ca="1" si="12"/>
        <v>1450</v>
      </c>
      <c r="Y40">
        <f t="shared" si="13"/>
        <v>18</v>
      </c>
      <c r="Z40">
        <f t="shared" ca="1" si="18"/>
        <v>42</v>
      </c>
      <c r="AA40" t="str">
        <f t="shared" ca="1" si="19"/>
        <v>9111100.png</v>
      </c>
      <c r="AB40">
        <f t="shared" si="14"/>
        <v>2</v>
      </c>
      <c r="AC40">
        <f>VLOOKUP(C40,技能辅助查询表,技能配置辅助表!$W$1,FALSE)</f>
        <v>1472</v>
      </c>
      <c r="AD40">
        <f t="shared" ca="1" si="20"/>
        <v>627.10766713612361</v>
      </c>
      <c r="AE40">
        <f>VLOOKUP(C40,技能辅助查询表,技能配置辅助表!$U$1,FALSE)</f>
        <v>1</v>
      </c>
      <c r="AF40">
        <f t="shared" ca="1" si="21"/>
        <v>9111138</v>
      </c>
      <c r="AG40">
        <f t="shared" ca="1" si="28"/>
        <v>60.897959183673471</v>
      </c>
      <c r="AH40">
        <f t="shared" ca="1" si="23"/>
        <v>1602.0998795448415</v>
      </c>
      <c r="AI40">
        <f ca="1">VLOOKUP(E40,伤害参考系!$C$4:$E$104,3,FALSE)*$AN$12</f>
        <v>10863.360489130437</v>
      </c>
      <c r="AJ40">
        <f>VLOOKUP(C40,技能辅助查询表,技能配置辅助表!$L$1,FALSE)</f>
        <v>11</v>
      </c>
      <c r="AK40">
        <f>VLOOKUP(C40,技能辅助查询表,技能配置辅助表!$AE$1,FALSE)</f>
        <v>66000096</v>
      </c>
    </row>
    <row r="41" spans="1:37" x14ac:dyDescent="0.15">
      <c r="A41" s="1">
        <f t="shared" ca="1" si="15"/>
        <v>9111139</v>
      </c>
      <c r="B41" s="1" t="str">
        <f t="shared" ca="1" si="0"/>
        <v>瞬狱·斩</v>
      </c>
      <c r="C41" t="s">
        <v>150</v>
      </c>
      <c r="D41">
        <f t="shared" si="1"/>
        <v>1</v>
      </c>
      <c r="E41" s="42">
        <f t="shared" ca="1" si="16"/>
        <v>63</v>
      </c>
      <c r="F41" t="str">
        <f t="shared" ca="1" si="17"/>
        <v>第39级，共造成297.9%点伤害</v>
      </c>
      <c r="G41">
        <f t="shared" ca="1" si="24"/>
        <v>1</v>
      </c>
      <c r="H41">
        <f t="shared" si="2"/>
        <v>1</v>
      </c>
      <c r="I41" s="44">
        <f t="shared" ca="1" si="25"/>
        <v>39</v>
      </c>
      <c r="J41">
        <f t="shared" si="3"/>
        <v>1</v>
      </c>
      <c r="K41" s="36">
        <f t="shared" ca="1" si="26"/>
        <v>27.077922077922075</v>
      </c>
      <c r="L41" s="10">
        <f ca="1">AH41*VLOOKUP(C41,技能辅助查询表,技能配置辅助表!$T$1,FALSE)</f>
        <v>0</v>
      </c>
      <c r="M41">
        <f t="shared" ca="1" si="4"/>
        <v>6100</v>
      </c>
      <c r="N41" s="33">
        <f ca="1">CHOOSE(1,W41*U41,X41*'[1]0、经济设定'!$C$18)</f>
        <v>286990</v>
      </c>
      <c r="O41">
        <f t="shared" si="5"/>
        <v>1</v>
      </c>
      <c r="P41">
        <f t="shared" si="6"/>
        <v>1</v>
      </c>
      <c r="Q41">
        <f t="shared" si="7"/>
        <v>10</v>
      </c>
      <c r="R41" s="2">
        <f t="shared" si="8"/>
        <v>2</v>
      </c>
      <c r="S41" s="2">
        <f t="shared" si="9"/>
        <v>50</v>
      </c>
      <c r="T41" s="2">
        <f t="shared" si="10"/>
        <v>19.480519480519479</v>
      </c>
      <c r="U41" s="2">
        <f ca="1">VLOOKUP(E41,金币生产率!$A$2:$B$120,2,0)</f>
        <v>2609</v>
      </c>
      <c r="V41" s="2">
        <f t="shared" si="11"/>
        <v>214.28571428571428</v>
      </c>
      <c r="W41" s="45">
        <f t="shared" ca="1" si="27"/>
        <v>110</v>
      </c>
      <c r="X41" s="48">
        <f t="shared" ca="1" si="12"/>
        <v>1560</v>
      </c>
      <c r="Y41">
        <f t="shared" si="13"/>
        <v>18</v>
      </c>
      <c r="Z41">
        <f t="shared" ca="1" si="18"/>
        <v>44</v>
      </c>
      <c r="AA41" t="str">
        <f t="shared" ca="1" si="19"/>
        <v>9111100.png</v>
      </c>
      <c r="AB41">
        <f t="shared" si="14"/>
        <v>2</v>
      </c>
      <c r="AC41">
        <f>VLOOKUP(C41,技能辅助查询表,技能配置辅助表!$W$1,FALSE)</f>
        <v>1472</v>
      </c>
      <c r="AD41">
        <f t="shared" ca="1" si="20"/>
        <v>721.77080479250549</v>
      </c>
      <c r="AE41">
        <f>VLOOKUP(C41,技能辅助查询表,技能配置辅助表!$U$1,FALSE)</f>
        <v>1</v>
      </c>
      <c r="AF41">
        <f t="shared" ca="1" si="21"/>
        <v>9111139</v>
      </c>
      <c r="AG41">
        <f t="shared" ca="1" si="28"/>
        <v>62.489795918367349</v>
      </c>
      <c r="AH41">
        <f t="shared" ca="1" si="23"/>
        <v>1823.9695427969455</v>
      </c>
      <c r="AI41">
        <f ca="1">VLOOKUP(E41,伤害参考系!$C$4:$E$104,3,FALSE)*$AN$12</f>
        <v>11946.449897157196</v>
      </c>
      <c r="AJ41">
        <f>VLOOKUP(C41,技能辅助查询表,技能配置辅助表!$L$1,FALSE)</f>
        <v>11</v>
      </c>
      <c r="AK41">
        <f>VLOOKUP(C41,技能辅助查询表,技能配置辅助表!$AE$1,FALSE)</f>
        <v>66000096</v>
      </c>
    </row>
    <row r="42" spans="1:37" x14ac:dyDescent="0.15">
      <c r="A42" s="1">
        <f t="shared" ca="1" si="15"/>
        <v>9111140</v>
      </c>
      <c r="B42" s="1" t="str">
        <f t="shared" ca="1" si="0"/>
        <v>瞬狱·斩</v>
      </c>
      <c r="C42" t="s">
        <v>150</v>
      </c>
      <c r="D42">
        <f t="shared" si="1"/>
        <v>1</v>
      </c>
      <c r="E42" s="42">
        <f t="shared" ca="1" si="16"/>
        <v>64</v>
      </c>
      <c r="F42" t="str">
        <f t="shared" ca="1" si="17"/>
        <v>第40级，共造成300%点伤害</v>
      </c>
      <c r="G42">
        <f t="shared" ca="1" si="24"/>
        <v>1</v>
      </c>
      <c r="H42">
        <f t="shared" si="2"/>
        <v>1</v>
      </c>
      <c r="I42" s="44">
        <f t="shared" ca="1" si="25"/>
        <v>40</v>
      </c>
      <c r="J42">
        <f t="shared" si="3"/>
        <v>1</v>
      </c>
      <c r="K42" s="36">
        <f t="shared" ca="1" si="26"/>
        <v>27.27272727272727</v>
      </c>
      <c r="L42" s="10">
        <f ca="1">AH42*VLOOKUP(C42,技能辅助查询表,技能配置辅助表!$T$1,FALSE)</f>
        <v>0</v>
      </c>
      <c r="M42">
        <f t="shared" ca="1" si="4"/>
        <v>6000</v>
      </c>
      <c r="N42" s="33">
        <f ca="1">CHOOSE(1,W42*U42,X42*'[1]0、经济设定'!$C$18)</f>
        <v>318010</v>
      </c>
      <c r="O42">
        <f t="shared" si="5"/>
        <v>1</v>
      </c>
      <c r="P42">
        <f t="shared" si="6"/>
        <v>1</v>
      </c>
      <c r="Q42">
        <f t="shared" si="7"/>
        <v>10</v>
      </c>
      <c r="R42" s="2">
        <f t="shared" si="8"/>
        <v>2</v>
      </c>
      <c r="S42" s="2">
        <f t="shared" si="9"/>
        <v>50</v>
      </c>
      <c r="T42" s="2">
        <f t="shared" si="10"/>
        <v>19.480519480519479</v>
      </c>
      <c r="U42" s="2">
        <f ca="1">VLOOKUP(E42,金币生产率!$A$2:$B$120,2,0)</f>
        <v>2695</v>
      </c>
      <c r="V42" s="2">
        <f t="shared" si="11"/>
        <v>214.28571428571428</v>
      </c>
      <c r="W42" s="45">
        <f t="shared" ca="1" si="27"/>
        <v>118</v>
      </c>
      <c r="X42" s="48">
        <f t="shared" ca="1" si="12"/>
        <v>1678</v>
      </c>
      <c r="Y42">
        <f t="shared" si="13"/>
        <v>18</v>
      </c>
      <c r="Z42">
        <f t="shared" ca="1" si="18"/>
        <v>48</v>
      </c>
      <c r="AA42" t="str">
        <f t="shared" ca="1" si="19"/>
        <v>9111100.png</v>
      </c>
      <c r="AB42">
        <f t="shared" si="14"/>
        <v>2</v>
      </c>
      <c r="AC42">
        <f>VLOOKUP(C42,技能辅助查询表,技能配置辅助表!$W$1,FALSE)</f>
        <v>1472</v>
      </c>
      <c r="AD42">
        <f t="shared" ca="1" si="20"/>
        <v>830.62608905409002</v>
      </c>
      <c r="AE42">
        <f>VLOOKUP(C42,技能辅助查询表,技能配置辅助表!$U$1,FALSE)</f>
        <v>1</v>
      </c>
      <c r="AF42">
        <f t="shared" ca="1" si="21"/>
        <v>9111140</v>
      </c>
      <c r="AG42">
        <f t="shared" ca="1" si="28"/>
        <v>64.081632653061234</v>
      </c>
      <c r="AH42">
        <f t="shared" ca="1" si="23"/>
        <v>2076.5652226352254</v>
      </c>
      <c r="AI42">
        <f ca="1">VLOOKUP(E42,伤害参考系!$C$4:$E$104,3,FALSE)*$AN$12</f>
        <v>12506.737545150507</v>
      </c>
      <c r="AJ42">
        <f>VLOOKUP(C42,技能辅助查询表,技能配置辅助表!$L$1,FALSE)</f>
        <v>11</v>
      </c>
      <c r="AK42">
        <f>VLOOKUP(C42,技能辅助查询表,技能配置辅助表!$AE$1,FALSE)</f>
        <v>66000096</v>
      </c>
    </row>
    <row r="43" spans="1:37" x14ac:dyDescent="0.15">
      <c r="A43" s="1">
        <f t="shared" ca="1" si="15"/>
        <v>9111141</v>
      </c>
      <c r="B43" s="1" t="str">
        <f t="shared" ca="1" si="0"/>
        <v>瞬狱·斩</v>
      </c>
      <c r="C43" t="s">
        <v>150</v>
      </c>
      <c r="D43">
        <f t="shared" si="1"/>
        <v>1</v>
      </c>
      <c r="E43" s="42">
        <f t="shared" ca="1" si="16"/>
        <v>66</v>
      </c>
      <c r="F43" t="str">
        <f t="shared" ca="1" si="17"/>
        <v>第41级，共造成302.1%点伤害</v>
      </c>
      <c r="G43">
        <f t="shared" ca="1" si="24"/>
        <v>1</v>
      </c>
      <c r="H43">
        <f t="shared" si="2"/>
        <v>1</v>
      </c>
      <c r="I43" s="44">
        <f t="shared" ca="1" si="25"/>
        <v>41</v>
      </c>
      <c r="J43">
        <f t="shared" si="3"/>
        <v>1</v>
      </c>
      <c r="K43" s="36">
        <f t="shared" ca="1" si="26"/>
        <v>27.467532467532465</v>
      </c>
      <c r="L43" s="10">
        <f ca="1">AH43*VLOOKUP(C43,技能辅助查询表,技能配置辅助表!$T$1,FALSE)</f>
        <v>0</v>
      </c>
      <c r="M43">
        <f t="shared" ca="1" si="4"/>
        <v>5900</v>
      </c>
      <c r="N43" s="33">
        <f ca="1">CHOOSE(1,W43*U43,X43*'[1]0、经济设定'!$C$18)</f>
        <v>361872</v>
      </c>
      <c r="O43">
        <f t="shared" si="5"/>
        <v>1</v>
      </c>
      <c r="P43">
        <f t="shared" si="6"/>
        <v>1</v>
      </c>
      <c r="Q43">
        <f t="shared" si="7"/>
        <v>10</v>
      </c>
      <c r="R43" s="2">
        <f t="shared" si="8"/>
        <v>2</v>
      </c>
      <c r="S43" s="2">
        <f t="shared" si="9"/>
        <v>50</v>
      </c>
      <c r="T43" s="2">
        <f t="shared" si="10"/>
        <v>19.480519480519479</v>
      </c>
      <c r="U43" s="2">
        <f ca="1">VLOOKUP(E43,金币生产率!$A$2:$B$120,2,0)</f>
        <v>2872</v>
      </c>
      <c r="V43" s="2">
        <f t="shared" si="11"/>
        <v>214.28571428571428</v>
      </c>
      <c r="W43" s="45">
        <f t="shared" ca="1" si="27"/>
        <v>126</v>
      </c>
      <c r="X43" s="48">
        <f t="shared" ca="1" si="12"/>
        <v>1804</v>
      </c>
      <c r="Y43">
        <f t="shared" si="13"/>
        <v>18</v>
      </c>
      <c r="Z43">
        <f t="shared" ca="1" si="18"/>
        <v>51</v>
      </c>
      <c r="AA43" t="str">
        <f t="shared" ca="1" si="19"/>
        <v>9111100.png</v>
      </c>
      <c r="AB43">
        <f t="shared" si="14"/>
        <v>2</v>
      </c>
      <c r="AC43">
        <f>VLOOKUP(C43,技能辅助查询表,技能配置辅助表!$W$1,FALSE)</f>
        <v>1472</v>
      </c>
      <c r="AD43">
        <f t="shared" ca="1" si="20"/>
        <v>955.78886396514065</v>
      </c>
      <c r="AE43">
        <f>VLOOKUP(C43,技能辅助查询表,技能配置辅助表!$U$1,FALSE)</f>
        <v>1</v>
      </c>
      <c r="AF43">
        <f t="shared" ca="1" si="21"/>
        <v>9111141</v>
      </c>
      <c r="AG43">
        <f t="shared" ca="1" si="28"/>
        <v>65.673469387755105</v>
      </c>
      <c r="AH43">
        <f t="shared" ca="1" si="23"/>
        <v>2364.1420663448707</v>
      </c>
      <c r="AI43">
        <f ca="1">VLOOKUP(E43,伤害参考系!$C$4:$E$104,3,FALSE)*$AN$12</f>
        <v>13664.798729096996</v>
      </c>
      <c r="AJ43">
        <f>VLOOKUP(C43,技能辅助查询表,技能配置辅助表!$L$1,FALSE)</f>
        <v>11</v>
      </c>
      <c r="AK43">
        <f>VLOOKUP(C43,技能辅助查询表,技能配置辅助表!$AE$1,FALSE)</f>
        <v>66000096</v>
      </c>
    </row>
    <row r="44" spans="1:37" x14ac:dyDescent="0.15">
      <c r="A44" s="1">
        <f t="shared" ca="1" si="15"/>
        <v>9111142</v>
      </c>
      <c r="B44" s="1" t="str">
        <f t="shared" ca="1" si="0"/>
        <v>瞬狱·斩</v>
      </c>
      <c r="C44" t="s">
        <v>150</v>
      </c>
      <c r="D44">
        <f t="shared" si="1"/>
        <v>1</v>
      </c>
      <c r="E44" s="42">
        <f t="shared" ca="1" si="16"/>
        <v>68</v>
      </c>
      <c r="F44" t="str">
        <f t="shared" ca="1" si="17"/>
        <v>第42级，共造成304.3%点伤害</v>
      </c>
      <c r="G44">
        <f t="shared" ca="1" si="24"/>
        <v>1</v>
      </c>
      <c r="H44">
        <f t="shared" si="2"/>
        <v>1</v>
      </c>
      <c r="I44" s="44">
        <f t="shared" ca="1" si="25"/>
        <v>42</v>
      </c>
      <c r="J44">
        <f t="shared" si="3"/>
        <v>1</v>
      </c>
      <c r="K44" s="36">
        <f t="shared" ca="1" si="26"/>
        <v>27.662337662337663</v>
      </c>
      <c r="L44" s="10">
        <f ca="1">AH44*VLOOKUP(C44,技能辅助查询表,技能配置辅助表!$T$1,FALSE)</f>
        <v>0</v>
      </c>
      <c r="M44">
        <f t="shared" ca="1" si="4"/>
        <v>5800</v>
      </c>
      <c r="N44" s="33">
        <f ca="1">CHOOSE(1,W44*U44,X44*'[1]0、经济设定'!$C$18)</f>
        <v>412290</v>
      </c>
      <c r="O44">
        <f t="shared" si="5"/>
        <v>1</v>
      </c>
      <c r="P44">
        <f t="shared" si="6"/>
        <v>1</v>
      </c>
      <c r="Q44">
        <f t="shared" si="7"/>
        <v>10</v>
      </c>
      <c r="R44" s="2">
        <f t="shared" si="8"/>
        <v>2</v>
      </c>
      <c r="S44" s="2">
        <f t="shared" si="9"/>
        <v>50</v>
      </c>
      <c r="T44" s="2">
        <f t="shared" si="10"/>
        <v>19.480519480519479</v>
      </c>
      <c r="U44" s="2">
        <f ca="1">VLOOKUP(E44,金币生产率!$A$2:$B$120,2,0)</f>
        <v>3054</v>
      </c>
      <c r="V44" s="2">
        <f t="shared" si="11"/>
        <v>214.28571428571428</v>
      </c>
      <c r="W44" s="45">
        <f t="shared" ca="1" si="27"/>
        <v>135</v>
      </c>
      <c r="X44" s="48">
        <f t="shared" ca="1" si="12"/>
        <v>1939</v>
      </c>
      <c r="Y44">
        <f t="shared" si="13"/>
        <v>18</v>
      </c>
      <c r="Z44">
        <f t="shared" ca="1" si="18"/>
        <v>54</v>
      </c>
      <c r="AA44" t="str">
        <f t="shared" ca="1" si="19"/>
        <v>9111100.png</v>
      </c>
      <c r="AB44">
        <f t="shared" si="14"/>
        <v>2</v>
      </c>
      <c r="AC44">
        <f>VLOOKUP(C44,技能辅助查询表,技能配置辅助表!$W$1,FALSE)</f>
        <v>1472</v>
      </c>
      <c r="AD44">
        <f t="shared" ca="1" si="20"/>
        <v>1099.6881826063925</v>
      </c>
      <c r="AE44">
        <f>VLOOKUP(C44,技能辅助查询表,技能配置辅助表!$U$1,FALSE)</f>
        <v>1</v>
      </c>
      <c r="AF44">
        <f t="shared" ca="1" si="21"/>
        <v>9111142</v>
      </c>
      <c r="AG44">
        <f t="shared" ca="1" si="28"/>
        <v>67.265306122448976</v>
      </c>
      <c r="AH44">
        <f t="shared" ca="1" si="23"/>
        <v>2691.5445028827789</v>
      </c>
      <c r="AI44">
        <f ca="1">VLOOKUP(E44,伤害参考系!$C$4:$E$104,3,FALSE)*$AN$12</f>
        <v>14872.841096989978</v>
      </c>
      <c r="AJ44">
        <f>VLOOKUP(C44,技能辅助查询表,技能配置辅助表!$L$1,FALSE)</f>
        <v>11</v>
      </c>
      <c r="AK44">
        <f>VLOOKUP(C44,技能辅助查询表,技能配置辅助表!$AE$1,FALSE)</f>
        <v>66000096</v>
      </c>
    </row>
    <row r="45" spans="1:37" x14ac:dyDescent="0.15">
      <c r="A45" s="1">
        <f t="shared" ca="1" si="15"/>
        <v>9111143</v>
      </c>
      <c r="B45" s="1" t="str">
        <f t="shared" ca="1" si="0"/>
        <v>瞬狱·斩</v>
      </c>
      <c r="C45" t="s">
        <v>150</v>
      </c>
      <c r="D45">
        <f t="shared" si="1"/>
        <v>1</v>
      </c>
      <c r="E45" s="42">
        <f t="shared" ca="1" si="16"/>
        <v>69</v>
      </c>
      <c r="F45" t="str">
        <f t="shared" ca="1" si="17"/>
        <v>第43级，共造成306.4%点伤害</v>
      </c>
      <c r="G45">
        <f t="shared" ca="1" si="24"/>
        <v>1</v>
      </c>
      <c r="H45">
        <f t="shared" si="2"/>
        <v>1</v>
      </c>
      <c r="I45" s="44">
        <f t="shared" ca="1" si="25"/>
        <v>43</v>
      </c>
      <c r="J45">
        <f t="shared" si="3"/>
        <v>1</v>
      </c>
      <c r="K45" s="36">
        <f t="shared" ca="1" si="26"/>
        <v>27.857142857142854</v>
      </c>
      <c r="L45" s="10">
        <f ca="1">AH45*VLOOKUP(C45,技能辅助查询表,技能配置辅助表!$T$1,FALSE)</f>
        <v>0</v>
      </c>
      <c r="M45">
        <f t="shared" ca="1" si="4"/>
        <v>5700</v>
      </c>
      <c r="N45" s="33">
        <f ca="1">CHOOSE(1,W45*U45,X45*'[1]0、经济设定'!$C$18)</f>
        <v>456315</v>
      </c>
      <c r="O45">
        <f t="shared" si="5"/>
        <v>1</v>
      </c>
      <c r="P45">
        <f t="shared" si="6"/>
        <v>1</v>
      </c>
      <c r="Q45">
        <f t="shared" si="7"/>
        <v>10</v>
      </c>
      <c r="R45" s="2">
        <f t="shared" si="8"/>
        <v>2</v>
      </c>
      <c r="S45" s="2">
        <f t="shared" si="9"/>
        <v>50</v>
      </c>
      <c r="T45" s="2">
        <f t="shared" si="10"/>
        <v>19.480519480519479</v>
      </c>
      <c r="U45" s="2">
        <f ca="1">VLOOKUP(E45,金币生产率!$A$2:$B$120,2,0)</f>
        <v>3147</v>
      </c>
      <c r="V45" s="2">
        <f t="shared" si="11"/>
        <v>214.28571428571428</v>
      </c>
      <c r="W45" s="45">
        <f t="shared" ca="1" si="27"/>
        <v>145</v>
      </c>
      <c r="X45" s="48">
        <f t="shared" ca="1" si="12"/>
        <v>2084</v>
      </c>
      <c r="Y45">
        <f t="shared" si="13"/>
        <v>18</v>
      </c>
      <c r="Z45">
        <f t="shared" ca="1" si="18"/>
        <v>58</v>
      </c>
      <c r="AA45" t="str">
        <f t="shared" ca="1" si="19"/>
        <v>9111100.png</v>
      </c>
      <c r="AB45">
        <f t="shared" si="14"/>
        <v>2</v>
      </c>
      <c r="AC45">
        <f>VLOOKUP(C45,技能辅助查询表,技能配置辅助表!$W$1,FALSE)</f>
        <v>1472</v>
      </c>
      <c r="AD45">
        <f t="shared" ca="1" si="20"/>
        <v>1265.1131268915397</v>
      </c>
      <c r="AE45">
        <f>VLOOKUP(C45,技能辅助查询表,技能配置辅助表!$U$1,FALSE)</f>
        <v>1</v>
      </c>
      <c r="AF45">
        <f t="shared" ca="1" si="21"/>
        <v>9111143</v>
      </c>
      <c r="AG45">
        <f t="shared" ca="1" si="28"/>
        <v>68.857142857142861</v>
      </c>
      <c r="AH45">
        <f t="shared" ca="1" si="23"/>
        <v>3064.2878506023458</v>
      </c>
      <c r="AI45">
        <f ca="1">VLOOKUP(E45,伤害参考系!$C$4:$E$104,3,FALSE)*$AN$12</f>
        <v>15495.605224916402</v>
      </c>
      <c r="AJ45">
        <f>VLOOKUP(C45,技能辅助查询表,技能配置辅助表!$L$1,FALSE)</f>
        <v>11</v>
      </c>
      <c r="AK45">
        <f>VLOOKUP(C45,技能辅助查询表,技能配置辅助表!$AE$1,FALSE)</f>
        <v>66000096</v>
      </c>
    </row>
    <row r="46" spans="1:37" x14ac:dyDescent="0.15">
      <c r="A46" s="1">
        <f t="shared" ca="1" si="15"/>
        <v>9111144</v>
      </c>
      <c r="B46" s="1" t="str">
        <f t="shared" ca="1" si="0"/>
        <v>瞬狱·斩</v>
      </c>
      <c r="C46" t="s">
        <v>150</v>
      </c>
      <c r="D46">
        <f t="shared" si="1"/>
        <v>1</v>
      </c>
      <c r="E46" s="42">
        <f t="shared" ca="1" si="16"/>
        <v>71</v>
      </c>
      <c r="F46" t="str">
        <f t="shared" ca="1" si="17"/>
        <v>第44级，共造成308.6%点伤害</v>
      </c>
      <c r="G46">
        <f t="shared" ca="1" si="24"/>
        <v>1</v>
      </c>
      <c r="H46">
        <f t="shared" si="2"/>
        <v>1</v>
      </c>
      <c r="I46" s="44">
        <f t="shared" ca="1" si="25"/>
        <v>44</v>
      </c>
      <c r="J46">
        <f t="shared" si="3"/>
        <v>1</v>
      </c>
      <c r="K46" s="36">
        <f t="shared" ca="1" si="26"/>
        <v>28.051948051948052</v>
      </c>
      <c r="L46" s="10">
        <f ca="1">AH46*VLOOKUP(C46,技能辅助查询表,技能配置辅助表!$T$1,FALSE)</f>
        <v>0</v>
      </c>
      <c r="M46">
        <f t="shared" ca="1" si="4"/>
        <v>5600</v>
      </c>
      <c r="N46" s="33">
        <f ca="1">CHOOSE(1,W46*U46,X46*'[1]0、经济设定'!$C$18)</f>
        <v>517390</v>
      </c>
      <c r="O46">
        <f t="shared" si="5"/>
        <v>1</v>
      </c>
      <c r="P46">
        <f t="shared" si="6"/>
        <v>1</v>
      </c>
      <c r="Q46">
        <f t="shared" si="7"/>
        <v>10</v>
      </c>
      <c r="R46" s="2">
        <f t="shared" si="8"/>
        <v>2</v>
      </c>
      <c r="S46" s="2">
        <f t="shared" si="9"/>
        <v>50</v>
      </c>
      <c r="T46" s="2">
        <f t="shared" si="10"/>
        <v>19.480519480519479</v>
      </c>
      <c r="U46" s="2">
        <f ca="1">VLOOKUP(E46,金币生产率!$A$2:$B$120,2,0)</f>
        <v>3338</v>
      </c>
      <c r="V46" s="2">
        <f t="shared" si="11"/>
        <v>214.28571428571428</v>
      </c>
      <c r="W46" s="45">
        <f t="shared" ca="1" si="27"/>
        <v>155</v>
      </c>
      <c r="X46" s="48">
        <f t="shared" ca="1" si="12"/>
        <v>2239</v>
      </c>
      <c r="Y46">
        <f t="shared" si="13"/>
        <v>18</v>
      </c>
      <c r="Z46">
        <f t="shared" ca="1" si="18"/>
        <v>62</v>
      </c>
      <c r="AA46" t="str">
        <f t="shared" ca="1" si="19"/>
        <v>9111100.png</v>
      </c>
      <c r="AB46">
        <f t="shared" si="14"/>
        <v>2</v>
      </c>
      <c r="AC46">
        <f>VLOOKUP(C46,技能辅助查询表,技能配置辅助表!$W$1,FALSE)</f>
        <v>1472</v>
      </c>
      <c r="AD46">
        <f t="shared" ca="1" si="20"/>
        <v>1455.2659402262477</v>
      </c>
      <c r="AE46">
        <f>VLOOKUP(C46,技能辅助查询表,技能配置辅助表!$U$1,FALSE)</f>
        <v>1</v>
      </c>
      <c r="AF46">
        <f t="shared" ca="1" si="21"/>
        <v>9111144</v>
      </c>
      <c r="AG46">
        <f t="shared" ca="1" si="28"/>
        <v>70.448979591836732</v>
      </c>
      <c r="AH46">
        <f t="shared" ca="1" si="23"/>
        <v>3488.6512265697725</v>
      </c>
      <c r="AI46">
        <f ca="1">VLOOKUP(E46,伤害参考系!$C$4:$E$104,3,FALSE)*$AN$12</f>
        <v>16902.905438127098</v>
      </c>
      <c r="AJ46">
        <f>VLOOKUP(C46,技能辅助查询表,技能配置辅助表!$L$1,FALSE)</f>
        <v>11</v>
      </c>
      <c r="AK46">
        <f>VLOOKUP(C46,技能辅助查询表,技能配置辅助表!$AE$1,FALSE)</f>
        <v>66000096</v>
      </c>
    </row>
    <row r="47" spans="1:37" x14ac:dyDescent="0.15">
      <c r="A47" s="1">
        <f t="shared" ca="1" si="15"/>
        <v>9111145</v>
      </c>
      <c r="B47" s="1" t="str">
        <f t="shared" ca="1" si="0"/>
        <v>瞬狱·斩</v>
      </c>
      <c r="C47" t="s">
        <v>150</v>
      </c>
      <c r="D47">
        <f t="shared" si="1"/>
        <v>1</v>
      </c>
      <c r="E47" s="42">
        <f t="shared" ca="1" si="16"/>
        <v>72</v>
      </c>
      <c r="F47" t="str">
        <f t="shared" ca="1" si="17"/>
        <v>第45级，共造成310.7%点伤害</v>
      </c>
      <c r="G47">
        <f t="shared" ca="1" si="24"/>
        <v>1</v>
      </c>
      <c r="H47">
        <f t="shared" si="2"/>
        <v>1</v>
      </c>
      <c r="I47" s="44">
        <f t="shared" ca="1" si="25"/>
        <v>45</v>
      </c>
      <c r="J47">
        <f t="shared" si="3"/>
        <v>1</v>
      </c>
      <c r="K47" s="36">
        <f t="shared" ca="1" si="26"/>
        <v>28.246753246753244</v>
      </c>
      <c r="L47" s="10">
        <f ca="1">AH47*VLOOKUP(C47,技能辅助查询表,技能配置辅助表!$T$1,FALSE)</f>
        <v>0</v>
      </c>
      <c r="M47">
        <f t="shared" ca="1" si="4"/>
        <v>5500</v>
      </c>
      <c r="N47" s="33">
        <f ca="1">CHOOSE(1,W47*U47,X47*'[1]0、经济设定'!$C$18)</f>
        <v>566775</v>
      </c>
      <c r="O47">
        <f t="shared" si="5"/>
        <v>1</v>
      </c>
      <c r="P47">
        <f t="shared" si="6"/>
        <v>1</v>
      </c>
      <c r="Q47">
        <f t="shared" si="7"/>
        <v>10</v>
      </c>
      <c r="R47" s="2">
        <f t="shared" si="8"/>
        <v>2</v>
      </c>
      <c r="S47" s="2">
        <f t="shared" si="9"/>
        <v>50</v>
      </c>
      <c r="T47" s="2">
        <f t="shared" si="10"/>
        <v>19.480519480519479</v>
      </c>
      <c r="U47" s="2">
        <f ca="1">VLOOKUP(E47,金币生产率!$A$2:$B$120,2,0)</f>
        <v>3435</v>
      </c>
      <c r="V47" s="2">
        <f t="shared" si="11"/>
        <v>214.28571428571428</v>
      </c>
      <c r="W47" s="45">
        <f t="shared" ca="1" si="27"/>
        <v>165</v>
      </c>
      <c r="X47" s="48">
        <f t="shared" ca="1" si="12"/>
        <v>2404</v>
      </c>
      <c r="Y47">
        <f t="shared" si="13"/>
        <v>18</v>
      </c>
      <c r="Z47">
        <f t="shared" ca="1" si="18"/>
        <v>66</v>
      </c>
      <c r="AA47" t="str">
        <f t="shared" ca="1" si="19"/>
        <v>9111100.png</v>
      </c>
      <c r="AB47">
        <f t="shared" si="14"/>
        <v>2</v>
      </c>
      <c r="AC47">
        <f>VLOOKUP(C47,技能辅助查询表,技能配置辅助表!$W$1,FALSE)</f>
        <v>1472</v>
      </c>
      <c r="AD47">
        <f t="shared" ca="1" si="20"/>
        <v>1673.8229716641968</v>
      </c>
      <c r="AE47">
        <f>VLOOKUP(C47,技能辅助查询表,技能配置辅助表!$U$1,FALSE)</f>
        <v>1</v>
      </c>
      <c r="AF47">
        <f t="shared" ca="1" si="21"/>
        <v>9111145</v>
      </c>
      <c r="AG47">
        <f t="shared" ca="1" si="28"/>
        <v>72.040816326530617</v>
      </c>
      <c r="AH47">
        <f t="shared" ca="1" si="23"/>
        <v>3971.7833225930094</v>
      </c>
      <c r="AI47">
        <f ca="1">VLOOKUP(E47,伤害参考系!$C$4:$E$104,3,FALSE)*$AN$12</f>
        <v>17628.422312709041</v>
      </c>
      <c r="AJ47">
        <f>VLOOKUP(C47,技能辅助查询表,技能配置辅助表!$L$1,FALSE)</f>
        <v>11</v>
      </c>
      <c r="AK47">
        <f>VLOOKUP(C47,技能辅助查询表,技能配置辅助表!$AE$1,FALSE)</f>
        <v>66000096</v>
      </c>
    </row>
    <row r="48" spans="1:37" x14ac:dyDescent="0.15">
      <c r="A48" s="1">
        <f t="shared" ca="1" si="15"/>
        <v>9111146</v>
      </c>
      <c r="B48" s="1" t="str">
        <f t="shared" ca="1" si="0"/>
        <v>瞬狱·斩</v>
      </c>
      <c r="C48" t="s">
        <v>150</v>
      </c>
      <c r="D48">
        <f t="shared" si="1"/>
        <v>1</v>
      </c>
      <c r="E48" s="42">
        <f t="shared" ca="1" si="16"/>
        <v>74</v>
      </c>
      <c r="F48" t="str">
        <f t="shared" ca="1" si="17"/>
        <v>第46级，共造成312.9%点伤害</v>
      </c>
      <c r="G48">
        <f t="shared" ca="1" si="24"/>
        <v>1</v>
      </c>
      <c r="H48">
        <f t="shared" si="2"/>
        <v>1</v>
      </c>
      <c r="I48" s="44">
        <f t="shared" ca="1" si="25"/>
        <v>46</v>
      </c>
      <c r="J48">
        <f t="shared" si="3"/>
        <v>1</v>
      </c>
      <c r="K48" s="36">
        <f t="shared" ca="1" si="26"/>
        <v>28.441558441558442</v>
      </c>
      <c r="L48" s="10">
        <f ca="1">AH48*VLOOKUP(C48,技能辅助查询表,技能配置辅助表!$T$1,FALSE)</f>
        <v>0</v>
      </c>
      <c r="M48">
        <f t="shared" ca="1" si="4"/>
        <v>5400</v>
      </c>
      <c r="N48" s="33">
        <f ca="1">CHOOSE(1,W48*U48,X48*'[1]0、经济设定'!$C$18)</f>
        <v>643218</v>
      </c>
      <c r="O48">
        <f t="shared" si="5"/>
        <v>1</v>
      </c>
      <c r="P48">
        <f t="shared" si="6"/>
        <v>1</v>
      </c>
      <c r="Q48">
        <f t="shared" si="7"/>
        <v>10</v>
      </c>
      <c r="R48" s="2">
        <f t="shared" si="8"/>
        <v>2</v>
      </c>
      <c r="S48" s="2">
        <f t="shared" si="9"/>
        <v>50</v>
      </c>
      <c r="T48" s="2">
        <f t="shared" si="10"/>
        <v>19.480519480519479</v>
      </c>
      <c r="U48" s="2">
        <f ca="1">VLOOKUP(E48,金币生产率!$A$2:$B$120,2,0)</f>
        <v>3634</v>
      </c>
      <c r="V48" s="2">
        <f t="shared" si="11"/>
        <v>214.28571428571428</v>
      </c>
      <c r="W48" s="45">
        <f t="shared" ca="1" si="27"/>
        <v>177</v>
      </c>
      <c r="X48" s="48">
        <f t="shared" ca="1" si="12"/>
        <v>2581</v>
      </c>
      <c r="Y48">
        <f t="shared" si="13"/>
        <v>18</v>
      </c>
      <c r="Z48">
        <f t="shared" ca="1" si="18"/>
        <v>71</v>
      </c>
      <c r="AA48" t="str">
        <f t="shared" ca="1" si="19"/>
        <v>9111100.png</v>
      </c>
      <c r="AB48">
        <f t="shared" si="14"/>
        <v>2</v>
      </c>
      <c r="AC48">
        <f>VLOOKUP(C48,技能辅助查询表,技能配置辅助表!$W$1,FALSE)</f>
        <v>1472</v>
      </c>
      <c r="AD48">
        <f t="shared" ca="1" si="20"/>
        <v>1925.0045761288923</v>
      </c>
      <c r="AE48">
        <f>VLOOKUP(C48,技能辅助查询表,技能配置辅助表!$U$1,FALSE)</f>
        <v>1</v>
      </c>
      <c r="AF48">
        <f t="shared" ca="1" si="21"/>
        <v>9111146</v>
      </c>
      <c r="AG48">
        <f t="shared" ca="1" si="28"/>
        <v>73.632653061224488</v>
      </c>
      <c r="AH48">
        <f t="shared" ca="1" si="23"/>
        <v>4521.8228298329677</v>
      </c>
      <c r="AI48">
        <f ca="1">VLOOKUP(E48,伤害参考系!$C$4:$E$104,3,FALSE)*$AN$12</f>
        <v>19123.189597826095</v>
      </c>
      <c r="AJ48">
        <f>VLOOKUP(C48,技能辅助查询表,技能配置辅助表!$L$1,FALSE)</f>
        <v>11</v>
      </c>
      <c r="AK48">
        <f>VLOOKUP(C48,技能辅助查询表,技能配置辅助表!$AE$1,FALSE)</f>
        <v>66000096</v>
      </c>
    </row>
    <row r="49" spans="1:37" x14ac:dyDescent="0.15">
      <c r="A49" s="1">
        <f t="shared" ca="1" si="15"/>
        <v>9111147</v>
      </c>
      <c r="B49" s="1" t="str">
        <f t="shared" ca="1" si="0"/>
        <v>瞬狱·斩</v>
      </c>
      <c r="C49" t="s">
        <v>150</v>
      </c>
      <c r="D49">
        <f t="shared" si="1"/>
        <v>1</v>
      </c>
      <c r="E49" s="42">
        <f t="shared" ca="1" si="16"/>
        <v>75</v>
      </c>
      <c r="F49" t="str">
        <f t="shared" ca="1" si="17"/>
        <v>第47级，共造成315%点伤害</v>
      </c>
      <c r="G49">
        <f t="shared" ca="1" si="24"/>
        <v>1</v>
      </c>
      <c r="H49">
        <f t="shared" si="2"/>
        <v>1</v>
      </c>
      <c r="I49" s="44">
        <f t="shared" ca="1" si="25"/>
        <v>47</v>
      </c>
      <c r="J49">
        <f t="shared" si="3"/>
        <v>1</v>
      </c>
      <c r="K49" s="36">
        <f t="shared" ca="1" si="26"/>
        <v>28.636363636363633</v>
      </c>
      <c r="L49" s="10">
        <f ca="1">AH49*VLOOKUP(C49,技能辅助查询表,技能配置辅助表!$T$1,FALSE)</f>
        <v>0</v>
      </c>
      <c r="M49">
        <f t="shared" ca="1" si="4"/>
        <v>5300</v>
      </c>
      <c r="N49" s="33">
        <f ca="1">CHOOSE(1,W49*U49,X49*'[1]0、经济设定'!$C$18)</f>
        <v>705915</v>
      </c>
      <c r="O49">
        <f t="shared" si="5"/>
        <v>1</v>
      </c>
      <c r="P49">
        <f t="shared" si="6"/>
        <v>1</v>
      </c>
      <c r="Q49">
        <f t="shared" si="7"/>
        <v>10</v>
      </c>
      <c r="R49" s="2">
        <f t="shared" si="8"/>
        <v>2</v>
      </c>
      <c r="S49" s="2">
        <f t="shared" si="9"/>
        <v>50</v>
      </c>
      <c r="T49" s="2">
        <f t="shared" si="10"/>
        <v>19.480519480519479</v>
      </c>
      <c r="U49" s="2">
        <f ca="1">VLOOKUP(E49,金币生产率!$A$2:$B$120,2,0)</f>
        <v>3735</v>
      </c>
      <c r="V49" s="2">
        <f t="shared" si="11"/>
        <v>214.28571428571428</v>
      </c>
      <c r="W49" s="45">
        <f t="shared" ca="1" si="27"/>
        <v>189</v>
      </c>
      <c r="X49" s="48">
        <f t="shared" ca="1" si="12"/>
        <v>2770</v>
      </c>
      <c r="Y49">
        <f t="shared" si="13"/>
        <v>18</v>
      </c>
      <c r="Z49">
        <f t="shared" ca="1" si="18"/>
        <v>76</v>
      </c>
      <c r="AA49" t="str">
        <f t="shared" ca="1" si="19"/>
        <v>9111100.png</v>
      </c>
      <c r="AB49">
        <f t="shared" si="14"/>
        <v>2</v>
      </c>
      <c r="AC49">
        <f>VLOOKUP(C49,技能辅助查询表,技能配置辅助表!$W$1,FALSE)</f>
        <v>1472</v>
      </c>
      <c r="AD49">
        <f t="shared" ca="1" si="20"/>
        <v>2213.6552824717969</v>
      </c>
      <c r="AE49">
        <f>VLOOKUP(C49,技能辅助查询表,技能配置辅助表!$U$1,FALSE)</f>
        <v>1</v>
      </c>
      <c r="AF49">
        <f t="shared" ca="1" si="21"/>
        <v>9111147</v>
      </c>
      <c r="AG49">
        <f t="shared" ca="1" si="28"/>
        <v>75.224489795918373</v>
      </c>
      <c r="AH49">
        <f t="shared" ca="1" si="23"/>
        <v>5148.0355406320868</v>
      </c>
      <c r="AI49">
        <f ca="1">VLOOKUP(E49,伤害参考系!$C$4:$E$104,3,FALSE)*$AN$12</f>
        <v>19892.440008361213</v>
      </c>
      <c r="AJ49">
        <f>VLOOKUP(C49,技能辅助查询表,技能配置辅助表!$L$1,FALSE)</f>
        <v>11</v>
      </c>
      <c r="AK49">
        <f>VLOOKUP(C49,技能辅助查询表,技能配置辅助表!$AE$1,FALSE)</f>
        <v>66000096</v>
      </c>
    </row>
    <row r="50" spans="1:37" x14ac:dyDescent="0.15">
      <c r="A50" s="1">
        <f t="shared" ca="1" si="15"/>
        <v>9111148</v>
      </c>
      <c r="B50" s="1" t="str">
        <f t="shared" ca="1" si="0"/>
        <v>瞬狱·斩</v>
      </c>
      <c r="C50" t="s">
        <v>150</v>
      </c>
      <c r="D50">
        <f t="shared" si="1"/>
        <v>1</v>
      </c>
      <c r="E50" s="42">
        <f t="shared" ca="1" si="16"/>
        <v>77</v>
      </c>
      <c r="F50" t="str">
        <f t="shared" ca="1" si="17"/>
        <v>第48级，共造成317.1%点伤害</v>
      </c>
      <c r="G50">
        <f t="shared" ca="1" si="24"/>
        <v>1</v>
      </c>
      <c r="H50">
        <f t="shared" si="2"/>
        <v>1</v>
      </c>
      <c r="I50" s="44">
        <f t="shared" ca="1" si="25"/>
        <v>48</v>
      </c>
      <c r="J50">
        <f t="shared" si="3"/>
        <v>1</v>
      </c>
      <c r="K50" s="36">
        <f t="shared" ca="1" si="26"/>
        <v>28.831168831168831</v>
      </c>
      <c r="L50" s="10">
        <f ca="1">AH50*VLOOKUP(C50,技能辅助查询表,技能配置辅助表!$T$1,FALSE)</f>
        <v>0</v>
      </c>
      <c r="M50">
        <f t="shared" ca="1" si="4"/>
        <v>5200</v>
      </c>
      <c r="N50" s="33">
        <f ca="1">CHOOSE(1,W50*U50,X50*'[1]0、经济设定'!$C$18)</f>
        <v>800226</v>
      </c>
      <c r="O50">
        <f t="shared" si="5"/>
        <v>1</v>
      </c>
      <c r="P50">
        <f t="shared" si="6"/>
        <v>1</v>
      </c>
      <c r="Q50">
        <f t="shared" si="7"/>
        <v>10</v>
      </c>
      <c r="R50" s="2">
        <f t="shared" si="8"/>
        <v>2</v>
      </c>
      <c r="S50" s="2">
        <f t="shared" si="9"/>
        <v>50</v>
      </c>
      <c r="T50" s="2">
        <f t="shared" si="10"/>
        <v>19.480519480519479</v>
      </c>
      <c r="U50" s="2">
        <f ca="1">VLOOKUP(E50,金币生产率!$A$2:$B$120,2,0)</f>
        <v>3942</v>
      </c>
      <c r="V50" s="2">
        <f t="shared" si="11"/>
        <v>214.28571428571428</v>
      </c>
      <c r="W50" s="45">
        <f t="shared" ca="1" si="27"/>
        <v>203</v>
      </c>
      <c r="X50" s="48">
        <f t="shared" ca="1" si="12"/>
        <v>2973</v>
      </c>
      <c r="Y50">
        <f t="shared" si="13"/>
        <v>18</v>
      </c>
      <c r="Z50">
        <f t="shared" ca="1" si="18"/>
        <v>82</v>
      </c>
      <c r="AA50" t="str">
        <f t="shared" ca="1" si="19"/>
        <v>9111100.png</v>
      </c>
      <c r="AB50">
        <f t="shared" si="14"/>
        <v>2</v>
      </c>
      <c r="AC50">
        <f>VLOOKUP(C50,技能辅助查询表,技能配置辅助表!$W$1,FALSE)</f>
        <v>1472</v>
      </c>
      <c r="AD50">
        <f t="shared" ca="1" si="20"/>
        <v>2545.3357326984319</v>
      </c>
      <c r="AE50">
        <f>VLOOKUP(C50,技能辅助查询表,技能配置辅助表!$U$1,FALSE)</f>
        <v>1</v>
      </c>
      <c r="AF50">
        <f t="shared" ca="1" si="21"/>
        <v>9111148</v>
      </c>
      <c r="AG50">
        <f t="shared" ca="1" si="28"/>
        <v>76.816326530612244</v>
      </c>
      <c r="AH50">
        <f t="shared" ca="1" si="23"/>
        <v>5860.970437134547</v>
      </c>
      <c r="AI50">
        <f ca="1">VLOOKUP(E50,伤害参考系!$C$4:$E$104,3,FALSE)*$AN$12</f>
        <v>21474.674365384624</v>
      </c>
      <c r="AJ50">
        <f>VLOOKUP(C50,技能辅助查询表,技能配置辅助表!$L$1,FALSE)</f>
        <v>11</v>
      </c>
      <c r="AK50">
        <f>VLOOKUP(C50,技能辅助查询表,技能配置辅助表!$AE$1,FALSE)</f>
        <v>66000096</v>
      </c>
    </row>
    <row r="51" spans="1:37" x14ac:dyDescent="0.15">
      <c r="A51" s="1">
        <f t="shared" ca="1" si="15"/>
        <v>9111149</v>
      </c>
      <c r="B51" s="1" t="str">
        <f t="shared" ca="1" si="0"/>
        <v>瞬狱·斩</v>
      </c>
      <c r="C51" t="s">
        <v>150</v>
      </c>
      <c r="D51">
        <f t="shared" si="1"/>
        <v>1</v>
      </c>
      <c r="E51" s="42">
        <f t="shared" ca="1" si="16"/>
        <v>78</v>
      </c>
      <c r="F51" t="str">
        <f t="shared" ca="1" si="17"/>
        <v>第49级，共造成319.3%点伤害</v>
      </c>
      <c r="G51">
        <f t="shared" ca="1" si="24"/>
        <v>1</v>
      </c>
      <c r="H51">
        <f t="shared" si="2"/>
        <v>1</v>
      </c>
      <c r="I51" s="44">
        <f t="shared" ca="1" si="25"/>
        <v>49</v>
      </c>
      <c r="J51">
        <f t="shared" si="3"/>
        <v>1</v>
      </c>
      <c r="K51" s="36">
        <f t="shared" ca="1" si="26"/>
        <v>29.025974025974023</v>
      </c>
      <c r="L51" s="10">
        <f ca="1">AH51*VLOOKUP(C51,技能辅助查询表,技能配置辅助表!$T$1,FALSE)</f>
        <v>0</v>
      </c>
      <c r="M51">
        <f t="shared" ca="1" si="4"/>
        <v>5100</v>
      </c>
      <c r="N51" s="33">
        <f ca="1">CHOOSE(1,W51*U51,X51*'[1]0、经济设定'!$C$18)</f>
        <v>878199</v>
      </c>
      <c r="O51">
        <f t="shared" si="5"/>
        <v>1</v>
      </c>
      <c r="P51">
        <f t="shared" si="6"/>
        <v>1</v>
      </c>
      <c r="Q51">
        <f t="shared" si="7"/>
        <v>10</v>
      </c>
      <c r="R51" s="2">
        <f t="shared" si="8"/>
        <v>2</v>
      </c>
      <c r="S51" s="2">
        <f t="shared" si="9"/>
        <v>50</v>
      </c>
      <c r="T51" s="2">
        <f t="shared" si="10"/>
        <v>19.480519480519479</v>
      </c>
      <c r="U51" s="2">
        <f ca="1">VLOOKUP(E51,金币生产率!$A$2:$B$120,2,0)</f>
        <v>4047</v>
      </c>
      <c r="V51" s="2">
        <f t="shared" si="11"/>
        <v>214.28571428571428</v>
      </c>
      <c r="W51" s="45">
        <f t="shared" ca="1" si="27"/>
        <v>217</v>
      </c>
      <c r="X51" s="48">
        <f t="shared" ca="1" si="12"/>
        <v>3190</v>
      </c>
      <c r="Y51">
        <f t="shared" si="13"/>
        <v>18</v>
      </c>
      <c r="Z51">
        <f t="shared" ca="1" si="18"/>
        <v>87</v>
      </c>
      <c r="AA51" t="str">
        <f t="shared" ca="1" si="19"/>
        <v>9111100.png</v>
      </c>
      <c r="AB51">
        <f t="shared" si="14"/>
        <v>2</v>
      </c>
      <c r="AC51">
        <f>VLOOKUP(C51,技能辅助查询表,技能配置辅助表!$W$1,FALSE)</f>
        <v>1472</v>
      </c>
      <c r="AD51">
        <f t="shared" ca="1" si="20"/>
        <v>2926.4281151545174</v>
      </c>
      <c r="AE51">
        <f>VLOOKUP(C51,技能辅助查询表,技能配置辅助表!$U$1,FALSE)</f>
        <v>1</v>
      </c>
      <c r="AF51">
        <f t="shared" ca="1" si="21"/>
        <v>9111149</v>
      </c>
      <c r="AG51">
        <f t="shared" ca="1" si="28"/>
        <v>78.408163265306129</v>
      </c>
      <c r="AH51">
        <f t="shared" ca="1" si="23"/>
        <v>6672.6373961177951</v>
      </c>
      <c r="AI51">
        <f ca="1">VLOOKUP(E51,伤害参考系!$C$4:$E$104,3,FALSE)*$AN$12</f>
        <v>22287.658311872914</v>
      </c>
      <c r="AJ51">
        <f>VLOOKUP(C51,技能辅助查询表,技能配置辅助表!$L$1,FALSE)</f>
        <v>11</v>
      </c>
      <c r="AK51">
        <f>VLOOKUP(C51,技能辅助查询表,技能配置辅助表!$AE$1,FALSE)</f>
        <v>66000096</v>
      </c>
    </row>
    <row r="52" spans="1:37" x14ac:dyDescent="0.15">
      <c r="A52" s="1">
        <f t="shared" ca="1" si="15"/>
        <v>9111150</v>
      </c>
      <c r="B52" s="1" t="str">
        <f t="shared" ca="1" si="0"/>
        <v>瞬狱·斩</v>
      </c>
      <c r="C52" t="s">
        <v>150</v>
      </c>
      <c r="D52">
        <f t="shared" si="1"/>
        <v>1</v>
      </c>
      <c r="E52" s="42">
        <f t="shared" ca="1" si="16"/>
        <v>80</v>
      </c>
      <c r="F52" t="str">
        <f t="shared" ca="1" si="17"/>
        <v>第50级，共造成321.4%点伤害</v>
      </c>
      <c r="G52">
        <f t="shared" ca="1" si="24"/>
        <v>1</v>
      </c>
      <c r="H52">
        <f t="shared" si="2"/>
        <v>1</v>
      </c>
      <c r="I52" s="44">
        <f t="shared" ca="1" si="25"/>
        <v>50</v>
      </c>
      <c r="J52">
        <f t="shared" si="3"/>
        <v>1</v>
      </c>
      <c r="K52" s="36">
        <f t="shared" ca="1" si="26"/>
        <v>29.220779220779221</v>
      </c>
      <c r="L52" s="10">
        <f ca="1">AH52*VLOOKUP(C52,技能辅助查询表,技能配置辅助表!$T$1,FALSE)</f>
        <v>0</v>
      </c>
      <c r="M52">
        <f t="shared" ca="1" si="4"/>
        <v>5000</v>
      </c>
      <c r="N52" s="33">
        <f ca="1">CHOOSE(1,W52*U52,X52*'[1]0、经济设定'!$C$18)</f>
        <v>988784</v>
      </c>
      <c r="O52">
        <f t="shared" si="5"/>
        <v>1</v>
      </c>
      <c r="P52">
        <f t="shared" si="6"/>
        <v>1</v>
      </c>
      <c r="Q52">
        <f t="shared" si="7"/>
        <v>10</v>
      </c>
      <c r="R52" s="2">
        <f t="shared" si="8"/>
        <v>2</v>
      </c>
      <c r="S52" s="2">
        <f t="shared" si="9"/>
        <v>50</v>
      </c>
      <c r="T52" s="2">
        <f t="shared" si="10"/>
        <v>19.480519480519479</v>
      </c>
      <c r="U52" s="2">
        <f ca="1">VLOOKUP(E52,金币生产率!$A$2:$B$120,2,0)</f>
        <v>4262</v>
      </c>
      <c r="V52" s="2">
        <f t="shared" si="11"/>
        <v>214.28571428571428</v>
      </c>
      <c r="W52" s="45">
        <f t="shared" ca="1" si="27"/>
        <v>232</v>
      </c>
      <c r="X52" s="48">
        <f t="shared" ca="1" si="12"/>
        <v>3422</v>
      </c>
      <c r="Y52">
        <f t="shared" si="13"/>
        <v>18</v>
      </c>
      <c r="Z52">
        <f t="shared" ca="1" si="18"/>
        <v>93</v>
      </c>
      <c r="AA52" t="str">
        <f t="shared" ca="1" si="19"/>
        <v>9111100.png</v>
      </c>
      <c r="AB52">
        <f t="shared" si="14"/>
        <v>2</v>
      </c>
      <c r="AC52">
        <f>VLOOKUP(C52,技能辅助查询表,技能配置辅助表!$W$1,FALSE)</f>
        <v>1472</v>
      </c>
      <c r="AD52">
        <f t="shared" ca="1" si="20"/>
        <v>3364.2570658778059</v>
      </c>
      <c r="AE52">
        <f>VLOOKUP(C52,技能辅助查询表,技能配置辅助表!$U$1,FALSE)</f>
        <v>1</v>
      </c>
      <c r="AF52">
        <f t="shared" ca="1" si="21"/>
        <v>9111150</v>
      </c>
      <c r="AG52">
        <f t="shared" ca="1" si="28"/>
        <v>80</v>
      </c>
      <c r="AH52">
        <f t="shared" ca="1" si="23"/>
        <v>7596.7095035950451</v>
      </c>
      <c r="AI52">
        <f ca="1">VLOOKUP(E52,伤害参考系!$C$4:$E$104,3,FALSE)*$AN$12</f>
        <v>24028.87424749164</v>
      </c>
      <c r="AJ52">
        <f>VLOOKUP(C52,技能辅助查询表,技能配置辅助表!$L$1,FALSE)</f>
        <v>11</v>
      </c>
      <c r="AK52">
        <f>VLOOKUP(C52,技能辅助查询表,技能配置辅助表!$AE$1,FALSE)</f>
        <v>66000096</v>
      </c>
    </row>
    <row r="53" spans="1:37" s="30" customFormat="1" x14ac:dyDescent="0.15">
      <c r="A53" s="29">
        <f t="shared" ca="1" si="15"/>
        <v>9122000</v>
      </c>
      <c r="B53" s="29" t="str">
        <f t="shared" ca="1" si="0"/>
        <v>影袭·斩</v>
      </c>
      <c r="C53" s="30" t="s">
        <v>151</v>
      </c>
      <c r="D53" s="30">
        <f t="shared" si="1"/>
        <v>1</v>
      </c>
      <c r="E53" s="42">
        <f t="shared" ca="1" si="16"/>
        <v>4</v>
      </c>
      <c r="F53" t="str">
        <f t="shared" ca="1" si="17"/>
        <v>第0级，共造成119%点伤害</v>
      </c>
      <c r="G53" s="30">
        <f t="shared" ca="1" si="24"/>
        <v>0</v>
      </c>
      <c r="H53" s="30">
        <f t="shared" si="2"/>
        <v>1</v>
      </c>
      <c r="I53" s="44">
        <f t="shared" ca="1" si="25"/>
        <v>0</v>
      </c>
      <c r="J53" s="30">
        <f t="shared" si="3"/>
        <v>2</v>
      </c>
      <c r="K53" s="36">
        <f t="shared" ca="1" si="26"/>
        <v>119.04761904761905</v>
      </c>
      <c r="L53" s="10">
        <f ca="1">AH53*VLOOKUP(C53,技能辅助查询表,技能配置辅助表!$T$1,FALSE)</f>
        <v>0</v>
      </c>
      <c r="M53">
        <f t="shared" ca="1" si="4"/>
        <v>8000</v>
      </c>
      <c r="N53" s="33">
        <f ca="1">CHOOSE(1,W53*U53,X53*'[1]0、经济设定'!$C$18)</f>
        <v>0</v>
      </c>
      <c r="O53" s="30">
        <f t="shared" si="5"/>
        <v>2</v>
      </c>
      <c r="P53" s="30">
        <f t="shared" si="6"/>
        <v>1</v>
      </c>
      <c r="Q53" s="30">
        <f t="shared" si="7"/>
        <v>1</v>
      </c>
      <c r="R53" s="31">
        <f t="shared" si="8"/>
        <v>4</v>
      </c>
      <c r="S53" s="31">
        <f t="shared" si="9"/>
        <v>50</v>
      </c>
      <c r="T53" s="31">
        <f t="shared" si="10"/>
        <v>119.04761904761905</v>
      </c>
      <c r="U53" s="2">
        <f ca="1">VLOOKUP(E53,金币生产率!$A$2:$B$120,2,0)</f>
        <v>68</v>
      </c>
      <c r="V53" s="31">
        <f t="shared" si="11"/>
        <v>119.04761904761905</v>
      </c>
      <c r="W53" s="45">
        <f t="shared" ca="1" si="27"/>
        <v>0</v>
      </c>
      <c r="X53" s="48">
        <f t="shared" ca="1" si="12"/>
        <v>0</v>
      </c>
      <c r="Y53">
        <f t="shared" si="13"/>
        <v>18</v>
      </c>
      <c r="Z53">
        <f t="shared" ca="1" si="18"/>
        <v>0</v>
      </c>
      <c r="AA53" s="30" t="str">
        <f t="shared" ca="1" si="19"/>
        <v>9122100.png</v>
      </c>
      <c r="AB53" s="30">
        <f t="shared" si="14"/>
        <v>20</v>
      </c>
      <c r="AC53" s="30">
        <f>VLOOKUP(C53,技能辅助查询表,技能配置辅助表!$W$1,FALSE)</f>
        <v>5600</v>
      </c>
      <c r="AD53">
        <f t="shared" ca="1" si="20"/>
        <v>0.44166857142857163</v>
      </c>
      <c r="AE53" s="30">
        <f>VLOOKUP(C53,技能辅助查询表,技能配置辅助表!$U$1,FALSE)</f>
        <v>4</v>
      </c>
      <c r="AF53" s="30">
        <f t="shared" ca="1" si="21"/>
        <v>9122100</v>
      </c>
      <c r="AG53">
        <f t="shared" ca="1" si="28"/>
        <v>0</v>
      </c>
      <c r="AH53">
        <f t="shared" ca="1" si="23"/>
        <v>11.5938</v>
      </c>
      <c r="AI53">
        <f ca="1">VLOOKUP(E53,伤害参考系!$C$4:$E$104,3,FALSE)*$AN$12</f>
        <v>50.4</v>
      </c>
      <c r="AJ53">
        <f>VLOOKUP(C53,技能辅助查询表,技能配置辅助表!$L$1,FALSE)</f>
        <v>1</v>
      </c>
      <c r="AK53">
        <f>VLOOKUP(C53,技能辅助查询表,技能配置辅助表!$AE$1,FALSE)</f>
        <v>66000113</v>
      </c>
    </row>
    <row r="54" spans="1:37" s="30" customFormat="1" x14ac:dyDescent="0.15">
      <c r="A54" s="29">
        <f t="shared" ca="1" si="15"/>
        <v>9122101</v>
      </c>
      <c r="B54" s="29" t="str">
        <f t="shared" ca="1" si="0"/>
        <v>影袭·斩第1段</v>
      </c>
      <c r="C54" s="30" t="s">
        <v>151</v>
      </c>
      <c r="D54" s="30">
        <f t="shared" si="1"/>
        <v>1</v>
      </c>
      <c r="E54" s="42">
        <f t="shared" ca="1" si="16"/>
        <v>4</v>
      </c>
      <c r="F54" t="str">
        <f t="shared" ca="1" si="17"/>
        <v>第1级，共造成119%点伤害</v>
      </c>
      <c r="G54" s="30">
        <f t="shared" ca="1" si="24"/>
        <v>1</v>
      </c>
      <c r="H54" s="30">
        <f t="shared" si="2"/>
        <v>1</v>
      </c>
      <c r="I54" s="44">
        <f t="shared" ca="1" si="25"/>
        <v>1</v>
      </c>
      <c r="J54" s="30">
        <f t="shared" si="3"/>
        <v>2</v>
      </c>
      <c r="K54" s="36">
        <f t="shared" ca="1" si="26"/>
        <v>119.04761904761905</v>
      </c>
      <c r="L54" s="10">
        <f ca="1">AH54*VLOOKUP(C54,技能辅助查询表,技能配置辅助表!$T$1,FALSE)</f>
        <v>0</v>
      </c>
      <c r="M54">
        <f t="shared" ca="1" si="4"/>
        <v>8000</v>
      </c>
      <c r="N54" s="33">
        <f ca="1">CHOOSE(1,W54*U54,X54*'[1]0、经济设定'!$C$18)</f>
        <v>272</v>
      </c>
      <c r="O54" s="30">
        <f t="shared" si="5"/>
        <v>2</v>
      </c>
      <c r="P54" s="30">
        <f t="shared" si="6"/>
        <v>1</v>
      </c>
      <c r="Q54" s="30">
        <f t="shared" si="7"/>
        <v>1</v>
      </c>
      <c r="R54" s="31">
        <f t="shared" si="8"/>
        <v>4</v>
      </c>
      <c r="S54" s="31">
        <f t="shared" si="9"/>
        <v>50</v>
      </c>
      <c r="T54" s="31">
        <f t="shared" si="10"/>
        <v>119.04761904761905</v>
      </c>
      <c r="U54" s="2">
        <f ca="1">VLOOKUP(E54,金币生产率!$A$2:$B$120,2,0)</f>
        <v>68</v>
      </c>
      <c r="V54" s="31">
        <f t="shared" si="11"/>
        <v>119.04761904761905</v>
      </c>
      <c r="W54" s="45">
        <f t="shared" ca="1" si="27"/>
        <v>4</v>
      </c>
      <c r="X54" s="48">
        <f t="shared" ca="1" si="12"/>
        <v>4</v>
      </c>
      <c r="Y54">
        <f t="shared" si="13"/>
        <v>18</v>
      </c>
      <c r="Z54">
        <f t="shared" ca="1" si="18"/>
        <v>0</v>
      </c>
      <c r="AA54" s="30" t="str">
        <f t="shared" ca="1" si="19"/>
        <v>9122100.png</v>
      </c>
      <c r="AB54" s="30">
        <f t="shared" si="14"/>
        <v>20</v>
      </c>
      <c r="AC54" s="30">
        <f>VLOOKUP(C54,技能辅助查询表,技能配置辅助表!$W$1,FALSE)</f>
        <v>5600</v>
      </c>
      <c r="AD54">
        <f t="shared" ca="1" si="20"/>
        <v>0.50283383238579415</v>
      </c>
      <c r="AE54" s="30">
        <f>VLOOKUP(C54,技能辅助查询表,技能配置辅助表!$U$1,FALSE)</f>
        <v>4</v>
      </c>
      <c r="AF54" s="30">
        <f t="shared" ca="1" si="21"/>
        <v>9122101</v>
      </c>
      <c r="AG54">
        <f t="shared" ca="1" si="28"/>
        <v>4</v>
      </c>
      <c r="AH54">
        <f t="shared" ca="1" si="23"/>
        <v>13.199388100127095</v>
      </c>
      <c r="AI54">
        <f ca="1">VLOOKUP(E54,伤害参考系!$C$4:$E$104,3,FALSE)*$AN$12</f>
        <v>50.4</v>
      </c>
      <c r="AJ54">
        <f>VLOOKUP(C54,技能辅助查询表,技能配置辅助表!$L$1,FALSE)</f>
        <v>1</v>
      </c>
      <c r="AK54">
        <f>VLOOKUP(C54,技能辅助查询表,技能配置辅助表!$AE$1,FALSE)</f>
        <v>66000113</v>
      </c>
    </row>
    <row r="55" spans="1:37" x14ac:dyDescent="0.15">
      <c r="A55" s="1">
        <f t="shared" ca="1" si="15"/>
        <v>9122102</v>
      </c>
      <c r="B55" s="1" t="str">
        <f t="shared" ca="1" si="0"/>
        <v>影袭·斩第1段</v>
      </c>
      <c r="C55" t="s">
        <v>151</v>
      </c>
      <c r="D55">
        <f t="shared" si="1"/>
        <v>1</v>
      </c>
      <c r="E55" s="42">
        <f t="shared" ca="1" si="16"/>
        <v>7</v>
      </c>
      <c r="F55" t="str">
        <f t="shared" ca="1" si="17"/>
        <v>第2级，共造成121.4%点伤害</v>
      </c>
      <c r="G55">
        <f t="shared" ca="1" si="24"/>
        <v>1</v>
      </c>
      <c r="H55">
        <f t="shared" si="2"/>
        <v>1</v>
      </c>
      <c r="I55" s="44">
        <f t="shared" ca="1" si="25"/>
        <v>2</v>
      </c>
      <c r="J55">
        <f t="shared" si="3"/>
        <v>2</v>
      </c>
      <c r="K55" s="36">
        <f t="shared" ca="1" si="26"/>
        <v>121.42857142857143</v>
      </c>
      <c r="L55" s="10">
        <f ca="1">AH55*VLOOKUP(C55,技能辅助查询表,技能配置辅助表!$T$1,FALSE)</f>
        <v>0</v>
      </c>
      <c r="M55">
        <f t="shared" ca="1" si="4"/>
        <v>7840</v>
      </c>
      <c r="N55" s="33">
        <f ca="1">CHOOSE(1,W55*U55,X55*'[1]0、经济设定'!$C$18)</f>
        <v>344</v>
      </c>
      <c r="O55">
        <f t="shared" si="5"/>
        <v>2</v>
      </c>
      <c r="P55">
        <f t="shared" si="6"/>
        <v>1</v>
      </c>
      <c r="Q55">
        <f t="shared" si="7"/>
        <v>1</v>
      </c>
      <c r="R55" s="2">
        <f t="shared" si="8"/>
        <v>4</v>
      </c>
      <c r="S55" s="2">
        <f t="shared" si="9"/>
        <v>50</v>
      </c>
      <c r="T55" s="2">
        <f t="shared" si="10"/>
        <v>119.04761904761905</v>
      </c>
      <c r="U55" s="2">
        <f ca="1">VLOOKUP(E55,金币生产率!$A$2:$B$120,2,0)</f>
        <v>86</v>
      </c>
      <c r="V55" s="2">
        <f t="shared" si="11"/>
        <v>119.04761904761905</v>
      </c>
      <c r="W55" s="45">
        <f t="shared" ca="1" si="27"/>
        <v>4</v>
      </c>
      <c r="X55" s="48">
        <f t="shared" ca="1" si="12"/>
        <v>8</v>
      </c>
      <c r="Y55">
        <f t="shared" si="13"/>
        <v>18</v>
      </c>
      <c r="Z55">
        <f t="shared" ca="1" si="18"/>
        <v>0</v>
      </c>
      <c r="AA55" t="str">
        <f t="shared" ca="1" si="19"/>
        <v>9122100.png</v>
      </c>
      <c r="AB55">
        <f t="shared" si="14"/>
        <v>20</v>
      </c>
      <c r="AC55">
        <f>VLOOKUP(C55,技能辅助查询表,技能配置辅助表!$W$1,FALSE)</f>
        <v>5600</v>
      </c>
      <c r="AD55">
        <f t="shared" ca="1" si="20"/>
        <v>0.64402838296987608</v>
      </c>
      <c r="AE55">
        <f>VLOOKUP(C55,技能辅助查询表,技能配置辅助表!$U$1,FALSE)</f>
        <v>4</v>
      </c>
      <c r="AF55">
        <f t="shared" ca="1" si="21"/>
        <v>9122102</v>
      </c>
      <c r="AG55">
        <f t="shared" ca="1" si="28"/>
        <v>5.5510204081632653</v>
      </c>
      <c r="AH55">
        <f t="shared" ca="1" si="23"/>
        <v>15.027328935963775</v>
      </c>
      <c r="AI55">
        <f ca="1">VLOOKUP(E55,伤害参考系!$C$4:$E$104,3,FALSE)*$AN$12</f>
        <v>101.93624999999999</v>
      </c>
      <c r="AJ55">
        <f>VLOOKUP(C55,技能辅助查询表,技能配置辅助表!$L$1,FALSE)</f>
        <v>1</v>
      </c>
      <c r="AK55">
        <f>VLOOKUP(C55,技能辅助查询表,技能配置辅助表!$AE$1,FALSE)</f>
        <v>66000113</v>
      </c>
    </row>
    <row r="56" spans="1:37" x14ac:dyDescent="0.15">
      <c r="A56" s="1">
        <f t="shared" ca="1" si="15"/>
        <v>9122103</v>
      </c>
      <c r="B56" s="1" t="str">
        <f t="shared" ca="1" si="0"/>
        <v>影袭·斩第1段</v>
      </c>
      <c r="C56" t="s">
        <v>151</v>
      </c>
      <c r="D56">
        <f t="shared" si="1"/>
        <v>1</v>
      </c>
      <c r="E56" s="42">
        <f t="shared" ca="1" si="16"/>
        <v>9</v>
      </c>
      <c r="F56" t="str">
        <f t="shared" ca="1" si="17"/>
        <v>第3级，共造成122.6%点伤害</v>
      </c>
      <c r="G56">
        <f t="shared" ca="1" si="24"/>
        <v>1</v>
      </c>
      <c r="H56">
        <f t="shared" si="2"/>
        <v>1</v>
      </c>
      <c r="I56" s="44">
        <f t="shared" ca="1" si="25"/>
        <v>3</v>
      </c>
      <c r="J56">
        <f t="shared" si="3"/>
        <v>2</v>
      </c>
      <c r="K56" s="36">
        <f t="shared" ca="1" si="26"/>
        <v>122.61904761904762</v>
      </c>
      <c r="L56" s="10">
        <f ca="1">AH56*VLOOKUP(C56,技能辅助查询表,技能配置辅助表!$T$1,FALSE)</f>
        <v>0</v>
      </c>
      <c r="M56">
        <f t="shared" ca="1" si="4"/>
        <v>7760</v>
      </c>
      <c r="N56" s="33">
        <f ca="1">CHOOSE(1,W56*U56,X56*'[1]0、经济设定'!$C$18)</f>
        <v>392</v>
      </c>
      <c r="O56">
        <f t="shared" si="5"/>
        <v>2</v>
      </c>
      <c r="P56">
        <f t="shared" si="6"/>
        <v>1</v>
      </c>
      <c r="Q56">
        <f t="shared" si="7"/>
        <v>1</v>
      </c>
      <c r="R56" s="2">
        <f t="shared" si="8"/>
        <v>4</v>
      </c>
      <c r="S56" s="2">
        <f t="shared" si="9"/>
        <v>50</v>
      </c>
      <c r="T56" s="2">
        <f t="shared" si="10"/>
        <v>119.04761904761905</v>
      </c>
      <c r="U56" s="2">
        <f ca="1">VLOOKUP(E56,金币生产率!$A$2:$B$120,2,0)</f>
        <v>98</v>
      </c>
      <c r="V56" s="2">
        <f t="shared" si="11"/>
        <v>119.04761904761905</v>
      </c>
      <c r="W56" s="45">
        <f t="shared" ca="1" si="27"/>
        <v>4</v>
      </c>
      <c r="X56" s="48">
        <f t="shared" ca="1" si="12"/>
        <v>12</v>
      </c>
      <c r="Y56">
        <f t="shared" si="13"/>
        <v>18</v>
      </c>
      <c r="Z56">
        <f t="shared" ca="1" si="18"/>
        <v>0</v>
      </c>
      <c r="AA56" t="str">
        <f t="shared" ca="1" si="19"/>
        <v>9122100.png</v>
      </c>
      <c r="AB56">
        <f t="shared" si="14"/>
        <v>20</v>
      </c>
      <c r="AC56">
        <f>VLOOKUP(C56,技能辅助查询表,技能配置辅助表!$W$1,FALSE)</f>
        <v>5600</v>
      </c>
      <c r="AD56">
        <f t="shared" ca="1" si="20"/>
        <v>0.77395212628980237</v>
      </c>
      <c r="AE56">
        <f>VLOOKUP(C56,技能辅助查询表,技能配置辅助表!$U$1,FALSE)</f>
        <v>4</v>
      </c>
      <c r="AF56">
        <f t="shared" ca="1" si="21"/>
        <v>9122103</v>
      </c>
      <c r="AG56">
        <f t="shared" ca="1" si="28"/>
        <v>7.1020408163265305</v>
      </c>
      <c r="AH56">
        <f t="shared" ca="1" si="23"/>
        <v>17.108415423248271</v>
      </c>
      <c r="AI56">
        <f ca="1">VLOOKUP(E56,伤害参考系!$C$4:$E$104,3,FALSE)*$AN$12</f>
        <v>145.4708152173913</v>
      </c>
      <c r="AJ56">
        <f>VLOOKUP(C56,技能辅助查询表,技能配置辅助表!$L$1,FALSE)</f>
        <v>1</v>
      </c>
      <c r="AK56">
        <f>VLOOKUP(C56,技能辅助查询表,技能配置辅助表!$AE$1,FALSE)</f>
        <v>66000113</v>
      </c>
    </row>
    <row r="57" spans="1:37" x14ac:dyDescent="0.15">
      <c r="A57" s="1">
        <f t="shared" ca="1" si="15"/>
        <v>9122104</v>
      </c>
      <c r="B57" s="1" t="str">
        <f t="shared" ca="1" si="0"/>
        <v>影袭·斩第1段</v>
      </c>
      <c r="C57" t="s">
        <v>151</v>
      </c>
      <c r="D57">
        <f t="shared" si="1"/>
        <v>1</v>
      </c>
      <c r="E57" s="42">
        <f t="shared" ca="1" si="16"/>
        <v>10</v>
      </c>
      <c r="F57" t="str">
        <f t="shared" ca="1" si="17"/>
        <v>第4级，共造成123.8%点伤害</v>
      </c>
      <c r="G57">
        <f t="shared" ca="1" si="24"/>
        <v>1</v>
      </c>
      <c r="H57">
        <f t="shared" si="2"/>
        <v>1</v>
      </c>
      <c r="I57" s="44">
        <f t="shared" ca="1" si="25"/>
        <v>4</v>
      </c>
      <c r="J57">
        <f t="shared" si="3"/>
        <v>2</v>
      </c>
      <c r="K57" s="36">
        <f t="shared" ca="1" si="26"/>
        <v>123.80952380952381</v>
      </c>
      <c r="L57" s="10">
        <f ca="1">AH57*VLOOKUP(C57,技能辅助查询表,技能配置辅助表!$T$1,FALSE)</f>
        <v>0</v>
      </c>
      <c r="M57">
        <f t="shared" ca="1" si="4"/>
        <v>7680</v>
      </c>
      <c r="N57" s="33">
        <f ca="1">CHOOSE(1,W57*U57,X57*'[1]0、经济设定'!$C$18)</f>
        <v>520</v>
      </c>
      <c r="O57">
        <f t="shared" si="5"/>
        <v>2</v>
      </c>
      <c r="P57">
        <f t="shared" si="6"/>
        <v>1</v>
      </c>
      <c r="Q57">
        <f t="shared" si="7"/>
        <v>1</v>
      </c>
      <c r="R57" s="2">
        <f t="shared" si="8"/>
        <v>4</v>
      </c>
      <c r="S57" s="2">
        <f t="shared" si="9"/>
        <v>50</v>
      </c>
      <c r="T57" s="2">
        <f t="shared" si="10"/>
        <v>119.04761904761905</v>
      </c>
      <c r="U57" s="2">
        <f ca="1">VLOOKUP(E57,金币生产率!$A$2:$B$120,2,0)</f>
        <v>104</v>
      </c>
      <c r="V57" s="2">
        <f t="shared" si="11"/>
        <v>119.04761904761905</v>
      </c>
      <c r="W57" s="45">
        <f t="shared" ca="1" si="27"/>
        <v>5</v>
      </c>
      <c r="X57" s="48">
        <f t="shared" ca="1" si="12"/>
        <v>17</v>
      </c>
      <c r="Y57">
        <f t="shared" si="13"/>
        <v>18</v>
      </c>
      <c r="Z57">
        <f t="shared" ca="1" si="18"/>
        <v>0</v>
      </c>
      <c r="AA57" t="str">
        <f t="shared" ca="1" si="19"/>
        <v>9122100.png</v>
      </c>
      <c r="AB57">
        <f t="shared" si="14"/>
        <v>20</v>
      </c>
      <c r="AC57">
        <f>VLOOKUP(C57,技能辅助查询表,技能配置辅助表!$W$1,FALSE)</f>
        <v>5600</v>
      </c>
      <c r="AD57">
        <f t="shared" ca="1" si="20"/>
        <v>0.92750975665012236</v>
      </c>
      <c r="AE57">
        <f>VLOOKUP(C57,技能辅助查询表,技能配置辅助表!$U$1,FALSE)</f>
        <v>4</v>
      </c>
      <c r="AF57">
        <f t="shared" ca="1" si="21"/>
        <v>9122104</v>
      </c>
      <c r="AG57">
        <f t="shared" ca="1" si="28"/>
        <v>8.6530612244897966</v>
      </c>
      <c r="AH57">
        <f t="shared" ca="1" si="23"/>
        <v>19.477704889652582</v>
      </c>
      <c r="AI57">
        <f ca="1">VLOOKUP(E57,伤害参考系!$C$4:$E$104,3,FALSE)*$AN$12</f>
        <v>177.55434782608697</v>
      </c>
      <c r="AJ57">
        <f>VLOOKUP(C57,技能辅助查询表,技能配置辅助表!$L$1,FALSE)</f>
        <v>1</v>
      </c>
      <c r="AK57">
        <f>VLOOKUP(C57,技能辅助查询表,技能配置辅助表!$AE$1,FALSE)</f>
        <v>66000113</v>
      </c>
    </row>
    <row r="58" spans="1:37" x14ac:dyDescent="0.15">
      <c r="A58" s="1">
        <f t="shared" ca="1" si="15"/>
        <v>9122105</v>
      </c>
      <c r="B58" s="1" t="str">
        <f t="shared" ca="1" si="0"/>
        <v>影袭·斩第1段</v>
      </c>
      <c r="C58" t="s">
        <v>151</v>
      </c>
      <c r="D58">
        <f t="shared" si="1"/>
        <v>1</v>
      </c>
      <c r="E58" s="42">
        <f t="shared" ca="1" si="16"/>
        <v>12</v>
      </c>
      <c r="F58" t="str">
        <f t="shared" ca="1" si="17"/>
        <v>第5级，共造成125%点伤害</v>
      </c>
      <c r="G58">
        <f t="shared" ca="1" si="24"/>
        <v>1</v>
      </c>
      <c r="H58">
        <f t="shared" si="2"/>
        <v>1</v>
      </c>
      <c r="I58" s="44">
        <f t="shared" ca="1" si="25"/>
        <v>5</v>
      </c>
      <c r="J58">
        <f t="shared" si="3"/>
        <v>2</v>
      </c>
      <c r="K58" s="36">
        <f t="shared" ca="1" si="26"/>
        <v>125</v>
      </c>
      <c r="L58" s="10">
        <f ca="1">AH58*VLOOKUP(C58,技能辅助查询表,技能配置辅助表!$T$1,FALSE)</f>
        <v>0</v>
      </c>
      <c r="M58">
        <f t="shared" ca="1" si="4"/>
        <v>7600</v>
      </c>
      <c r="N58" s="33">
        <f ca="1">CHOOSE(1,W58*U58,X58*'[1]0、经济设定'!$C$18)</f>
        <v>580</v>
      </c>
      <c r="O58">
        <f t="shared" si="5"/>
        <v>2</v>
      </c>
      <c r="P58">
        <f t="shared" si="6"/>
        <v>1</v>
      </c>
      <c r="Q58">
        <f t="shared" si="7"/>
        <v>1</v>
      </c>
      <c r="R58" s="2">
        <f t="shared" si="8"/>
        <v>4</v>
      </c>
      <c r="S58" s="2">
        <f t="shared" si="9"/>
        <v>50</v>
      </c>
      <c r="T58" s="2">
        <f t="shared" si="10"/>
        <v>119.04761904761905</v>
      </c>
      <c r="U58" s="2">
        <f ca="1">VLOOKUP(E58,金币生产率!$A$2:$B$120,2,0)</f>
        <v>116</v>
      </c>
      <c r="V58" s="2">
        <f t="shared" si="11"/>
        <v>119.04761904761905</v>
      </c>
      <c r="W58" s="45">
        <f t="shared" ca="1" si="27"/>
        <v>5</v>
      </c>
      <c r="X58" s="48">
        <f t="shared" ca="1" si="12"/>
        <v>22</v>
      </c>
      <c r="Y58">
        <f t="shared" si="13"/>
        <v>18</v>
      </c>
      <c r="Z58">
        <f t="shared" ca="1" si="18"/>
        <v>0</v>
      </c>
      <c r="AA58" t="str">
        <f t="shared" ca="1" si="19"/>
        <v>9122100.png</v>
      </c>
      <c r="AB58">
        <f t="shared" si="14"/>
        <v>20</v>
      </c>
      <c r="AC58">
        <f>VLOOKUP(C58,技能辅助查询表,技能配置辅助表!$W$1,FALSE)</f>
        <v>5600</v>
      </c>
      <c r="AD58">
        <f t="shared" ca="1" si="20"/>
        <v>1.1087554819742784</v>
      </c>
      <c r="AE58">
        <f>VLOOKUP(C58,技能辅助查询表,技能配置辅助表!$U$1,FALSE)</f>
        <v>4</v>
      </c>
      <c r="AF58">
        <f t="shared" ca="1" si="21"/>
        <v>9122105</v>
      </c>
      <c r="AG58">
        <f t="shared" ca="1" si="28"/>
        <v>10.204081632653061</v>
      </c>
      <c r="AH58">
        <f t="shared" ca="1" si="23"/>
        <v>22.175109639485559</v>
      </c>
      <c r="AI58">
        <f ca="1">VLOOKUP(E58,伤害参考系!$C$4:$E$104,3,FALSE)*$AN$12</f>
        <v>249.04956521739126</v>
      </c>
      <c r="AJ58">
        <f>VLOOKUP(C58,技能辅助查询表,技能配置辅助表!$L$1,FALSE)</f>
        <v>1</v>
      </c>
      <c r="AK58">
        <f>VLOOKUP(C58,技能辅助查询表,技能配置辅助表!$AE$1,FALSE)</f>
        <v>66000113</v>
      </c>
    </row>
    <row r="59" spans="1:37" x14ac:dyDescent="0.15">
      <c r="A59" s="1">
        <f t="shared" ca="1" si="15"/>
        <v>9122106</v>
      </c>
      <c r="B59" s="1" t="str">
        <f t="shared" ca="1" si="0"/>
        <v>影袭·斩第1段</v>
      </c>
      <c r="C59" t="s">
        <v>151</v>
      </c>
      <c r="D59">
        <f t="shared" si="1"/>
        <v>1</v>
      </c>
      <c r="E59" s="42">
        <f t="shared" ca="1" si="16"/>
        <v>13</v>
      </c>
      <c r="F59" t="str">
        <f t="shared" ca="1" si="17"/>
        <v>第6级，共造成126.2%点伤害</v>
      </c>
      <c r="G59">
        <f t="shared" ca="1" si="24"/>
        <v>1</v>
      </c>
      <c r="H59">
        <f t="shared" si="2"/>
        <v>1</v>
      </c>
      <c r="I59" s="44">
        <f t="shared" ca="1" si="25"/>
        <v>6</v>
      </c>
      <c r="J59">
        <f t="shared" si="3"/>
        <v>2</v>
      </c>
      <c r="K59" s="36">
        <f t="shared" ca="1" si="26"/>
        <v>126.19047619047619</v>
      </c>
      <c r="L59" s="10">
        <f ca="1">AH59*VLOOKUP(C59,技能辅助查询表,技能配置辅助表!$T$1,FALSE)</f>
        <v>0</v>
      </c>
      <c r="M59">
        <f t="shared" ca="1" si="4"/>
        <v>7520</v>
      </c>
      <c r="N59" s="33">
        <f ca="1">CHOOSE(1,W59*U59,X59*'[1]0、经济设定'!$C$18)</f>
        <v>610</v>
      </c>
      <c r="O59">
        <f t="shared" si="5"/>
        <v>2</v>
      </c>
      <c r="P59">
        <f t="shared" si="6"/>
        <v>1</v>
      </c>
      <c r="Q59">
        <f t="shared" si="7"/>
        <v>1</v>
      </c>
      <c r="R59" s="2">
        <f t="shared" si="8"/>
        <v>4</v>
      </c>
      <c r="S59" s="2">
        <f t="shared" si="9"/>
        <v>50</v>
      </c>
      <c r="T59" s="2">
        <f t="shared" si="10"/>
        <v>119.04761904761905</v>
      </c>
      <c r="U59" s="2">
        <f ca="1">VLOOKUP(E59,金币生产率!$A$2:$B$120,2,0)</f>
        <v>122</v>
      </c>
      <c r="V59" s="2">
        <f t="shared" si="11"/>
        <v>119.04761904761905</v>
      </c>
      <c r="W59" s="45">
        <f t="shared" ca="1" si="27"/>
        <v>5</v>
      </c>
      <c r="X59" s="48">
        <f t="shared" ca="1" si="12"/>
        <v>27</v>
      </c>
      <c r="Y59">
        <f t="shared" si="13"/>
        <v>18</v>
      </c>
      <c r="Z59">
        <f t="shared" ca="1" si="18"/>
        <v>0</v>
      </c>
      <c r="AA59" t="str">
        <f t="shared" ca="1" si="19"/>
        <v>9122100.png</v>
      </c>
      <c r="AB59">
        <f t="shared" si="14"/>
        <v>20</v>
      </c>
      <c r="AC59">
        <f>VLOOKUP(C59,技能辅助查询表,技能配置辅助表!$W$1,FALSE)</f>
        <v>5600</v>
      </c>
      <c r="AD59">
        <f t="shared" ca="1" si="20"/>
        <v>1.3224131540087647</v>
      </c>
      <c r="AE59">
        <f>VLOOKUP(C59,技能辅助查询表,技能配置辅助表!$U$1,FALSE)</f>
        <v>4</v>
      </c>
      <c r="AF59">
        <f t="shared" ca="1" si="21"/>
        <v>9122106</v>
      </c>
      <c r="AG59">
        <f t="shared" ca="1" si="28"/>
        <v>11.755102040816325</v>
      </c>
      <c r="AH59">
        <f t="shared" ca="1" si="23"/>
        <v>25.246069303803697</v>
      </c>
      <c r="AI59">
        <f ca="1">VLOOKUP(E59,伤害参考系!$C$4:$E$104,3,FALSE)*$AN$12</f>
        <v>288.46124999999995</v>
      </c>
      <c r="AJ59">
        <f>VLOOKUP(C59,技能辅助查询表,技能配置辅助表!$L$1,FALSE)</f>
        <v>1</v>
      </c>
      <c r="AK59">
        <f>VLOOKUP(C59,技能辅助查询表,技能配置辅助表!$AE$1,FALSE)</f>
        <v>66000113</v>
      </c>
    </row>
    <row r="60" spans="1:37" s="30" customFormat="1" x14ac:dyDescent="0.15">
      <c r="A60" s="29">
        <f t="shared" ca="1" si="15"/>
        <v>9122107</v>
      </c>
      <c r="B60" s="29" t="str">
        <f t="shared" ca="1" si="0"/>
        <v>影袭·斩第1段</v>
      </c>
      <c r="C60" s="30" t="s">
        <v>151</v>
      </c>
      <c r="D60" s="30">
        <f t="shared" si="1"/>
        <v>1</v>
      </c>
      <c r="E60" s="42">
        <f t="shared" ca="1" si="16"/>
        <v>15</v>
      </c>
      <c r="F60" t="str">
        <f t="shared" ca="1" si="17"/>
        <v>第7级，共造成127.4%点伤害</v>
      </c>
      <c r="G60" s="30">
        <f t="shared" ca="1" si="24"/>
        <v>1</v>
      </c>
      <c r="H60" s="30">
        <f t="shared" si="2"/>
        <v>1</v>
      </c>
      <c r="I60" s="44">
        <f t="shared" ca="1" si="25"/>
        <v>7</v>
      </c>
      <c r="J60" s="30">
        <f t="shared" si="3"/>
        <v>2</v>
      </c>
      <c r="K60" s="36">
        <f t="shared" ca="1" si="26"/>
        <v>127.38095238095238</v>
      </c>
      <c r="L60" s="10">
        <f ca="1">AH60*VLOOKUP(C60,技能辅助查询表,技能配置辅助表!$T$1,FALSE)</f>
        <v>0</v>
      </c>
      <c r="M60">
        <f t="shared" ca="1" si="4"/>
        <v>7440</v>
      </c>
      <c r="N60" s="33">
        <f ca="1">CHOOSE(1,W60*U60,X60*'[1]0、经济设定'!$C$18)</f>
        <v>670</v>
      </c>
      <c r="O60" s="30">
        <f t="shared" si="5"/>
        <v>2</v>
      </c>
      <c r="P60" s="30">
        <f t="shared" si="6"/>
        <v>1</v>
      </c>
      <c r="Q60" s="30">
        <f t="shared" si="7"/>
        <v>1</v>
      </c>
      <c r="R60" s="31">
        <f t="shared" si="8"/>
        <v>4</v>
      </c>
      <c r="S60" s="31">
        <f t="shared" si="9"/>
        <v>50</v>
      </c>
      <c r="T60" s="31">
        <f t="shared" si="10"/>
        <v>119.04761904761905</v>
      </c>
      <c r="U60" s="2">
        <f ca="1">VLOOKUP(E60,金币生产率!$A$2:$B$120,2,0)</f>
        <v>134</v>
      </c>
      <c r="V60" s="31">
        <f t="shared" si="11"/>
        <v>119.04761904761905</v>
      </c>
      <c r="W60" s="45">
        <f t="shared" ca="1" si="27"/>
        <v>5</v>
      </c>
      <c r="X60" s="48">
        <f t="shared" ca="1" si="12"/>
        <v>32</v>
      </c>
      <c r="Y60">
        <f t="shared" si="13"/>
        <v>18</v>
      </c>
      <c r="Z60">
        <f t="shared" ca="1" si="18"/>
        <v>0</v>
      </c>
      <c r="AA60" s="30" t="str">
        <f t="shared" ca="1" si="19"/>
        <v>9122100.png</v>
      </c>
      <c r="AB60" s="30">
        <f t="shared" si="14"/>
        <v>20</v>
      </c>
      <c r="AC60" s="30">
        <f>VLOOKUP(C60,技能辅助查询表,技能配置辅助表!$W$1,FALSE)</f>
        <v>5600</v>
      </c>
      <c r="AD60">
        <f t="shared" ca="1" si="20"/>
        <v>1.5739839879736715</v>
      </c>
      <c r="AE60" s="30">
        <f>VLOOKUP(C60,技能辅助查询表,技能配置辅助表!$U$1,FALSE)</f>
        <v>4</v>
      </c>
      <c r="AF60" s="30">
        <f t="shared" ca="1" si="21"/>
        <v>9122107</v>
      </c>
      <c r="AG60">
        <f t="shared" ca="1" si="28"/>
        <v>13.306122448979592</v>
      </c>
      <c r="AH60">
        <f t="shared" ca="1" si="23"/>
        <v>28.742316302127907</v>
      </c>
      <c r="AI60">
        <f ca="1">VLOOKUP(E60,伤害参考系!$C$4:$E$104,3,FALSE)*$AN$12</f>
        <v>374.61277173913044</v>
      </c>
      <c r="AJ60">
        <f>VLOOKUP(C60,技能辅助查询表,技能配置辅助表!$L$1,FALSE)</f>
        <v>1</v>
      </c>
      <c r="AK60">
        <f>VLOOKUP(C60,技能辅助查询表,技能配置辅助表!$AE$1,FALSE)</f>
        <v>66000113</v>
      </c>
    </row>
    <row r="61" spans="1:37" s="30" customFormat="1" x14ac:dyDescent="0.15">
      <c r="A61" s="29">
        <f t="shared" ca="1" si="15"/>
        <v>9122108</v>
      </c>
      <c r="B61" s="29" t="str">
        <f t="shared" ca="1" si="0"/>
        <v>影袭·斩第1段</v>
      </c>
      <c r="C61" s="30" t="s">
        <v>151</v>
      </c>
      <c r="D61" s="30">
        <f t="shared" si="1"/>
        <v>1</v>
      </c>
      <c r="E61" s="42">
        <f t="shared" ca="1" si="16"/>
        <v>16</v>
      </c>
      <c r="F61" t="str">
        <f t="shared" ca="1" si="17"/>
        <v>第8级，共造成128.6%点伤害</v>
      </c>
      <c r="G61" s="30">
        <f t="shared" ca="1" si="24"/>
        <v>1</v>
      </c>
      <c r="H61" s="30">
        <f t="shared" si="2"/>
        <v>1</v>
      </c>
      <c r="I61" s="44">
        <f t="shared" ca="1" si="25"/>
        <v>8</v>
      </c>
      <c r="J61" s="30">
        <f t="shared" si="3"/>
        <v>2</v>
      </c>
      <c r="K61" s="36">
        <f t="shared" ca="1" si="26"/>
        <v>128.57142857142858</v>
      </c>
      <c r="L61" s="10">
        <f ca="1">AH61*VLOOKUP(C61,技能辅助查询表,技能配置辅助表!$T$1,FALSE)</f>
        <v>0</v>
      </c>
      <c r="M61">
        <f t="shared" ca="1" si="4"/>
        <v>7360</v>
      </c>
      <c r="N61" s="33">
        <f ca="1">CHOOSE(1,W61*U61,X61*'[1]0、经济设定'!$C$18)</f>
        <v>840</v>
      </c>
      <c r="O61" s="30">
        <f t="shared" si="5"/>
        <v>2</v>
      </c>
      <c r="P61" s="30">
        <f t="shared" si="6"/>
        <v>1</v>
      </c>
      <c r="Q61" s="30">
        <f t="shared" si="7"/>
        <v>1</v>
      </c>
      <c r="R61" s="31">
        <f t="shared" si="8"/>
        <v>4</v>
      </c>
      <c r="S61" s="31">
        <f t="shared" si="9"/>
        <v>50</v>
      </c>
      <c r="T61" s="31">
        <f t="shared" si="10"/>
        <v>119.04761904761905</v>
      </c>
      <c r="U61" s="2">
        <f ca="1">VLOOKUP(E61,金币生产率!$A$2:$B$120,2,0)</f>
        <v>140</v>
      </c>
      <c r="V61" s="31">
        <f t="shared" si="11"/>
        <v>119.04761904761905</v>
      </c>
      <c r="W61" s="45">
        <f t="shared" ca="1" si="27"/>
        <v>6</v>
      </c>
      <c r="X61" s="48">
        <f t="shared" ca="1" si="12"/>
        <v>38</v>
      </c>
      <c r="Y61">
        <f t="shared" si="13"/>
        <v>18</v>
      </c>
      <c r="Z61">
        <f t="shared" ca="1" si="18"/>
        <v>0</v>
      </c>
      <c r="AA61" s="30" t="str">
        <f t="shared" ca="1" si="19"/>
        <v>9122100.png</v>
      </c>
      <c r="AB61" s="30">
        <f t="shared" si="14"/>
        <v>20</v>
      </c>
      <c r="AC61" s="30">
        <f>VLOOKUP(C61,技能辅助查询表,技能配置辅助表!$W$1,FALSE)</f>
        <v>5600</v>
      </c>
      <c r="AD61">
        <f t="shared" ca="1" si="20"/>
        <v>1.8698712748853268</v>
      </c>
      <c r="AE61" s="30">
        <f>VLOOKUP(C61,技能辅助查询表,技能配置辅助表!$U$1,FALSE)</f>
        <v>4</v>
      </c>
      <c r="AF61" s="30">
        <f t="shared" ca="1" si="21"/>
        <v>9122108</v>
      </c>
      <c r="AG61">
        <f t="shared" ca="1" si="28"/>
        <v>14.857142857142858</v>
      </c>
      <c r="AH61">
        <f t="shared" ca="1" si="23"/>
        <v>32.722747310493212</v>
      </c>
      <c r="AI61">
        <f ca="1">VLOOKUP(E61,伤害参考系!$C$4:$E$104,3,FALSE)*$AN$12</f>
        <v>421.35260869565224</v>
      </c>
      <c r="AJ61">
        <f>VLOOKUP(C61,技能辅助查询表,技能配置辅助表!$L$1,FALSE)</f>
        <v>1</v>
      </c>
      <c r="AK61">
        <f>VLOOKUP(C61,技能辅助查询表,技能配置辅助表!$AE$1,FALSE)</f>
        <v>66000113</v>
      </c>
    </row>
    <row r="62" spans="1:37" x14ac:dyDescent="0.15">
      <c r="A62" s="1">
        <f t="shared" ca="1" si="15"/>
        <v>9122109</v>
      </c>
      <c r="B62" s="1" t="str">
        <f t="shared" ca="1" si="0"/>
        <v>影袭·斩第1段</v>
      </c>
      <c r="C62" t="s">
        <v>151</v>
      </c>
      <c r="D62">
        <f t="shared" si="1"/>
        <v>1</v>
      </c>
      <c r="E62" s="42">
        <f t="shared" ca="1" si="16"/>
        <v>18</v>
      </c>
      <c r="F62" t="str">
        <f t="shared" ca="1" si="17"/>
        <v>第9级，共造成129.8%点伤害</v>
      </c>
      <c r="G62">
        <f t="shared" ca="1" si="24"/>
        <v>1</v>
      </c>
      <c r="H62">
        <f t="shared" si="2"/>
        <v>1</v>
      </c>
      <c r="I62" s="44">
        <f t="shared" ca="1" si="25"/>
        <v>9</v>
      </c>
      <c r="J62">
        <f t="shared" si="3"/>
        <v>2</v>
      </c>
      <c r="K62" s="36">
        <f t="shared" ca="1" si="26"/>
        <v>129.76190476190476</v>
      </c>
      <c r="L62" s="10">
        <f ca="1">AH62*VLOOKUP(C62,技能辅助查询表,技能配置辅助表!$T$1,FALSE)</f>
        <v>0</v>
      </c>
      <c r="M62">
        <f t="shared" ca="1" si="4"/>
        <v>7280</v>
      </c>
      <c r="N62" s="33">
        <f ca="1">CHOOSE(1,W62*U62,X62*'[1]0、经济设定'!$C$18)</f>
        <v>912</v>
      </c>
      <c r="O62">
        <f t="shared" si="5"/>
        <v>2</v>
      </c>
      <c r="P62">
        <f t="shared" si="6"/>
        <v>1</v>
      </c>
      <c r="Q62">
        <f t="shared" si="7"/>
        <v>1</v>
      </c>
      <c r="R62" s="2">
        <f t="shared" si="8"/>
        <v>4</v>
      </c>
      <c r="S62" s="2">
        <f t="shared" si="9"/>
        <v>50</v>
      </c>
      <c r="T62" s="2">
        <f t="shared" si="10"/>
        <v>119.04761904761905</v>
      </c>
      <c r="U62" s="2">
        <f ca="1">VLOOKUP(E62,金币生产率!$A$2:$B$120,2,0)</f>
        <v>152</v>
      </c>
      <c r="V62" s="2">
        <f t="shared" si="11"/>
        <v>119.04761904761905</v>
      </c>
      <c r="W62" s="45">
        <f t="shared" ca="1" si="27"/>
        <v>6</v>
      </c>
      <c r="X62" s="48">
        <f t="shared" ca="1" si="12"/>
        <v>44</v>
      </c>
      <c r="Y62">
        <f t="shared" si="13"/>
        <v>18</v>
      </c>
      <c r="Z62">
        <f t="shared" ca="1" si="18"/>
        <v>0</v>
      </c>
      <c r="AA62" t="str">
        <f t="shared" ca="1" si="19"/>
        <v>9122100.png</v>
      </c>
      <c r="AB62">
        <f t="shared" si="14"/>
        <v>20</v>
      </c>
      <c r="AC62">
        <f>VLOOKUP(C62,技能辅助查询表,技能配置辅助表!$W$1,FALSE)</f>
        <v>5600</v>
      </c>
      <c r="AD62">
        <f t="shared" ca="1" si="20"/>
        <v>2.2175247271611824</v>
      </c>
      <c r="AE62">
        <f>VLOOKUP(C62,技能辅助查询表,技能配置辅助表!$U$1,FALSE)</f>
        <v>4</v>
      </c>
      <c r="AF62">
        <f t="shared" ca="1" si="21"/>
        <v>9122109</v>
      </c>
      <c r="AG62">
        <f t="shared" ca="1" si="28"/>
        <v>16.408163265306122</v>
      </c>
      <c r="AH62">
        <f t="shared" ca="1" si="23"/>
        <v>37.25441541630785</v>
      </c>
      <c r="AI62">
        <f ca="1">VLOOKUP(E62,伤害参考系!$C$4:$E$104,3,FALSE)*$AN$12</f>
        <v>522.16043478260883</v>
      </c>
      <c r="AJ62">
        <f>VLOOKUP(C62,技能辅助查询表,技能配置辅助表!$L$1,FALSE)</f>
        <v>1</v>
      </c>
      <c r="AK62">
        <f>VLOOKUP(C62,技能辅助查询表,技能配置辅助表!$AE$1,FALSE)</f>
        <v>66000113</v>
      </c>
    </row>
    <row r="63" spans="1:37" x14ac:dyDescent="0.15">
      <c r="A63" s="1">
        <f t="shared" ca="1" si="15"/>
        <v>9122110</v>
      </c>
      <c r="B63" s="1" t="str">
        <f t="shared" ca="1" si="0"/>
        <v>影袭·斩第1段</v>
      </c>
      <c r="C63" t="s">
        <v>151</v>
      </c>
      <c r="D63">
        <f t="shared" si="1"/>
        <v>1</v>
      </c>
      <c r="E63" s="42">
        <f t="shared" ca="1" si="16"/>
        <v>19</v>
      </c>
      <c r="F63" t="str">
        <f t="shared" ca="1" si="17"/>
        <v>第10级，共造成131%点伤害</v>
      </c>
      <c r="G63">
        <f t="shared" ca="1" si="24"/>
        <v>1</v>
      </c>
      <c r="H63">
        <f t="shared" si="2"/>
        <v>1</v>
      </c>
      <c r="I63" s="44">
        <f t="shared" ca="1" si="25"/>
        <v>10</v>
      </c>
      <c r="J63">
        <f t="shared" si="3"/>
        <v>2</v>
      </c>
      <c r="K63" s="36">
        <f t="shared" ca="1" si="26"/>
        <v>130.95238095238096</v>
      </c>
      <c r="L63" s="10">
        <f ca="1">AH63*VLOOKUP(C63,技能辅助查询表,技能配置辅助表!$T$1,FALSE)</f>
        <v>0</v>
      </c>
      <c r="M63">
        <f t="shared" ca="1" si="4"/>
        <v>7200</v>
      </c>
      <c r="N63" s="33">
        <f ca="1">CHOOSE(1,W63*U63,X63*'[1]0、经济设定'!$C$18)</f>
        <v>1106</v>
      </c>
      <c r="O63">
        <f t="shared" si="5"/>
        <v>2</v>
      </c>
      <c r="P63">
        <f t="shared" si="6"/>
        <v>1</v>
      </c>
      <c r="Q63">
        <f t="shared" si="7"/>
        <v>1</v>
      </c>
      <c r="R63" s="2">
        <f t="shared" si="8"/>
        <v>4</v>
      </c>
      <c r="S63" s="2">
        <f t="shared" si="9"/>
        <v>50</v>
      </c>
      <c r="T63" s="2">
        <f t="shared" si="10"/>
        <v>119.04761904761905</v>
      </c>
      <c r="U63" s="2">
        <f ca="1">VLOOKUP(E63,金币生产率!$A$2:$B$120,2,0)</f>
        <v>158</v>
      </c>
      <c r="V63" s="2">
        <f t="shared" si="11"/>
        <v>119.04761904761905</v>
      </c>
      <c r="W63" s="45">
        <f t="shared" ca="1" si="27"/>
        <v>7</v>
      </c>
      <c r="X63" s="48">
        <f t="shared" ca="1" si="12"/>
        <v>51</v>
      </c>
      <c r="Y63">
        <f t="shared" si="13"/>
        <v>18</v>
      </c>
      <c r="Z63">
        <f t="shared" ca="1" si="18"/>
        <v>0</v>
      </c>
      <c r="AA63" t="str">
        <f t="shared" ca="1" si="19"/>
        <v>9122100.png</v>
      </c>
      <c r="AB63">
        <f t="shared" si="14"/>
        <v>20</v>
      </c>
      <c r="AC63">
        <f>VLOOKUP(C63,技能辅助查询表,技能配置辅助表!$W$1,FALSE)</f>
        <v>5600</v>
      </c>
      <c r="AD63">
        <f t="shared" ca="1" si="20"/>
        <v>2.6256075036007216</v>
      </c>
      <c r="AE63">
        <f>VLOOKUP(C63,技能辅助查询表,技能配置辅助表!$U$1,FALSE)</f>
        <v>4</v>
      </c>
      <c r="AF63">
        <f t="shared" ca="1" si="21"/>
        <v>9122110</v>
      </c>
      <c r="AG63">
        <f t="shared" ca="1" si="28"/>
        <v>17.95918367346939</v>
      </c>
      <c r="AH63">
        <f t="shared" ca="1" si="23"/>
        <v>42.413659673550121</v>
      </c>
      <c r="AI63">
        <f ca="1">VLOOKUP(E63,伤害参考系!$C$4:$E$104,3,FALSE)*$AN$12</f>
        <v>576.22842391304346</v>
      </c>
      <c r="AJ63">
        <f>VLOOKUP(C63,技能辅助查询表,技能配置辅助表!$L$1,FALSE)</f>
        <v>1</v>
      </c>
      <c r="AK63">
        <f>VLOOKUP(C63,技能辅助查询表,技能配置辅助表!$AE$1,FALSE)</f>
        <v>66000113</v>
      </c>
    </row>
    <row r="64" spans="1:37" x14ac:dyDescent="0.15">
      <c r="A64" s="1">
        <f t="shared" ca="1" si="15"/>
        <v>9122111</v>
      </c>
      <c r="B64" s="1" t="str">
        <f t="shared" ca="1" si="0"/>
        <v>影袭·斩第1段</v>
      </c>
      <c r="C64" t="s">
        <v>151</v>
      </c>
      <c r="D64">
        <f t="shared" si="1"/>
        <v>1</v>
      </c>
      <c r="E64" s="42">
        <f t="shared" ca="1" si="16"/>
        <v>21</v>
      </c>
      <c r="F64" t="str">
        <f t="shared" ca="1" si="17"/>
        <v>第11级，共造成132.1%点伤害</v>
      </c>
      <c r="G64">
        <f t="shared" ca="1" si="24"/>
        <v>1</v>
      </c>
      <c r="H64">
        <f t="shared" si="2"/>
        <v>1</v>
      </c>
      <c r="I64" s="44">
        <f t="shared" ca="1" si="25"/>
        <v>11</v>
      </c>
      <c r="J64">
        <f t="shared" si="3"/>
        <v>2</v>
      </c>
      <c r="K64" s="36">
        <f t="shared" ca="1" si="26"/>
        <v>132.14285714285714</v>
      </c>
      <c r="L64" s="10">
        <f ca="1">AH64*VLOOKUP(C64,技能辅助查询表,技能配置辅助表!$T$1,FALSE)</f>
        <v>0</v>
      </c>
      <c r="M64">
        <f t="shared" ca="1" si="4"/>
        <v>7120</v>
      </c>
      <c r="N64" s="33">
        <f ca="1">CHOOSE(1,W64*U64,X64*'[1]0、经济设定'!$C$18)</f>
        <v>1470</v>
      </c>
      <c r="O64">
        <f t="shared" si="5"/>
        <v>2</v>
      </c>
      <c r="P64">
        <f t="shared" si="6"/>
        <v>1</v>
      </c>
      <c r="Q64">
        <f t="shared" si="7"/>
        <v>1</v>
      </c>
      <c r="R64" s="2">
        <f t="shared" si="8"/>
        <v>4</v>
      </c>
      <c r="S64" s="2">
        <f t="shared" si="9"/>
        <v>50</v>
      </c>
      <c r="T64" s="2">
        <f t="shared" si="10"/>
        <v>119.04761904761905</v>
      </c>
      <c r="U64" s="2">
        <f ca="1">VLOOKUP(E64,金币生产率!$A$2:$B$120,2,0)</f>
        <v>210</v>
      </c>
      <c r="V64" s="2">
        <f t="shared" si="11"/>
        <v>119.04761904761905</v>
      </c>
      <c r="W64" s="45">
        <f t="shared" ca="1" si="27"/>
        <v>7</v>
      </c>
      <c r="X64" s="48">
        <f t="shared" ca="1" si="12"/>
        <v>58</v>
      </c>
      <c r="Y64">
        <f t="shared" si="13"/>
        <v>18</v>
      </c>
      <c r="Z64">
        <f t="shared" ca="1" si="18"/>
        <v>0</v>
      </c>
      <c r="AA64" t="str">
        <f t="shared" ca="1" si="19"/>
        <v>9122100.png</v>
      </c>
      <c r="AB64">
        <f t="shared" si="14"/>
        <v>20</v>
      </c>
      <c r="AC64">
        <f>VLOOKUP(C64,技能辅助查询表,技能配置辅助表!$W$1,FALSE)</f>
        <v>5600</v>
      </c>
      <c r="AD64">
        <f t="shared" ca="1" si="20"/>
        <v>3.1041894269850387</v>
      </c>
      <c r="AE64">
        <f>VLOOKUP(C64,技能辅助查询表,技能配置辅助表!$U$1,FALSE)</f>
        <v>4</v>
      </c>
      <c r="AF64">
        <f t="shared" ca="1" si="21"/>
        <v>9122111</v>
      </c>
      <c r="AG64">
        <f t="shared" ca="1" si="28"/>
        <v>19.510204081632651</v>
      </c>
      <c r="AH64">
        <f t="shared" ca="1" si="23"/>
        <v>48.287391086433935</v>
      </c>
      <c r="AI64">
        <f ca="1">VLOOKUP(E64,伤害参考系!$C$4:$E$104,3,FALSE)*$AN$12</f>
        <v>691.69255434782622</v>
      </c>
      <c r="AJ64">
        <f>VLOOKUP(C64,技能辅助查询表,技能配置辅助表!$L$1,FALSE)</f>
        <v>1</v>
      </c>
      <c r="AK64">
        <f>VLOOKUP(C64,技能辅助查询表,技能配置辅助表!$AE$1,FALSE)</f>
        <v>66000113</v>
      </c>
    </row>
    <row r="65" spans="1:37" x14ac:dyDescent="0.15">
      <c r="A65" s="1">
        <f t="shared" ca="1" si="15"/>
        <v>9122112</v>
      </c>
      <c r="B65" s="1" t="str">
        <f t="shared" ca="1" si="0"/>
        <v>影袭·斩第1段</v>
      </c>
      <c r="C65" t="s">
        <v>151</v>
      </c>
      <c r="D65">
        <f t="shared" si="1"/>
        <v>1</v>
      </c>
      <c r="E65" s="42">
        <f t="shared" ca="1" si="16"/>
        <v>22</v>
      </c>
      <c r="F65" t="str">
        <f t="shared" ca="1" si="17"/>
        <v>第12级，共造成133.3%点伤害</v>
      </c>
      <c r="G65">
        <f t="shared" ca="1" si="24"/>
        <v>1</v>
      </c>
      <c r="H65">
        <f t="shared" si="2"/>
        <v>1</v>
      </c>
      <c r="I65" s="44">
        <f t="shared" ca="1" si="25"/>
        <v>12</v>
      </c>
      <c r="J65">
        <f t="shared" si="3"/>
        <v>2</v>
      </c>
      <c r="K65" s="36">
        <f t="shared" ca="1" si="26"/>
        <v>133.33333333333334</v>
      </c>
      <c r="L65" s="10">
        <f ca="1">AH65*VLOOKUP(C65,技能辅助查询表,技能配置辅助表!$T$1,FALSE)</f>
        <v>0</v>
      </c>
      <c r="M65">
        <f t="shared" ca="1" si="4"/>
        <v>7040</v>
      </c>
      <c r="N65" s="33">
        <f ca="1">CHOOSE(1,W65*U65,X65*'[1]0、经济设定'!$C$18)</f>
        <v>1912</v>
      </c>
      <c r="O65">
        <f t="shared" si="5"/>
        <v>2</v>
      </c>
      <c r="P65">
        <f t="shared" si="6"/>
        <v>1</v>
      </c>
      <c r="Q65">
        <f t="shared" si="7"/>
        <v>1</v>
      </c>
      <c r="R65" s="2">
        <f t="shared" si="8"/>
        <v>4</v>
      </c>
      <c r="S65" s="2">
        <f t="shared" si="9"/>
        <v>50</v>
      </c>
      <c r="T65" s="2">
        <f t="shared" si="10"/>
        <v>119.04761904761905</v>
      </c>
      <c r="U65" s="2">
        <f ca="1">VLOOKUP(E65,金币生产率!$A$2:$B$120,2,0)</f>
        <v>239</v>
      </c>
      <c r="V65" s="2">
        <f t="shared" si="11"/>
        <v>119.04761904761905</v>
      </c>
      <c r="W65" s="45">
        <f t="shared" ca="1" si="27"/>
        <v>8</v>
      </c>
      <c r="X65" s="48">
        <f t="shared" ca="1" si="12"/>
        <v>66</v>
      </c>
      <c r="Y65">
        <f t="shared" si="13"/>
        <v>18</v>
      </c>
      <c r="Z65">
        <f t="shared" ca="1" si="18"/>
        <v>0</v>
      </c>
      <c r="AA65" t="str">
        <f t="shared" ca="1" si="19"/>
        <v>9122100.png</v>
      </c>
      <c r="AB65">
        <f t="shared" si="14"/>
        <v>20</v>
      </c>
      <c r="AC65">
        <f>VLOOKUP(C65,技能辅助查询表,技能配置辅助表!$W$1,FALSE)</f>
        <v>5600</v>
      </c>
      <c r="AD65">
        <f t="shared" ca="1" si="20"/>
        <v>3.6649704456546304</v>
      </c>
      <c r="AE65">
        <f>VLOOKUP(C65,技能辅助查询表,技能配置辅助表!$U$1,FALSE)</f>
        <v>4</v>
      </c>
      <c r="AF65">
        <f t="shared" ca="1" si="21"/>
        <v>9122112</v>
      </c>
      <c r="AG65">
        <f t="shared" ca="1" si="28"/>
        <v>21.061224489795919</v>
      </c>
      <c r="AH65">
        <f t="shared" ca="1" si="23"/>
        <v>54.974556684819426</v>
      </c>
      <c r="AI65">
        <f ca="1">VLOOKUP(E65,伤害参考系!$C$4:$E$104,3,FALSE)*$AN$12</f>
        <v>753.08869565217401</v>
      </c>
      <c r="AJ65">
        <f>VLOOKUP(C65,技能辅助查询表,技能配置辅助表!$L$1,FALSE)</f>
        <v>1</v>
      </c>
      <c r="AK65">
        <f>VLOOKUP(C65,技能辅助查询表,技能配置辅助表!$AE$1,FALSE)</f>
        <v>66000113</v>
      </c>
    </row>
    <row r="66" spans="1:37" x14ac:dyDescent="0.15">
      <c r="A66" s="1">
        <f t="shared" ca="1" si="15"/>
        <v>9122113</v>
      </c>
      <c r="B66" s="1" t="str">
        <f t="shared" ref="B66:B129" ca="1" si="29">IF(AND(G66=0,AE66=4),LEFT(C66,LEN(C66)-3),C66)</f>
        <v>影袭·斩第1段</v>
      </c>
      <c r="C66" t="s">
        <v>151</v>
      </c>
      <c r="D66">
        <f t="shared" ref="D66:D129" si="30">VLOOKUP(C66,技能辅助查询表,3,FALSE)</f>
        <v>1</v>
      </c>
      <c r="E66" s="42">
        <f t="shared" ca="1" si="16"/>
        <v>24</v>
      </c>
      <c r="F66" t="str">
        <f t="shared" ca="1" si="17"/>
        <v>第13级，共造成134.5%点伤害</v>
      </c>
      <c r="G66">
        <f t="shared" ca="1" si="24"/>
        <v>1</v>
      </c>
      <c r="H66">
        <f t="shared" ref="H66:H129" si="31">VLOOKUP(C66,技能辅助查询表,2,FALSE)</f>
        <v>1</v>
      </c>
      <c r="I66" s="44">
        <f t="shared" ca="1" si="25"/>
        <v>13</v>
      </c>
      <c r="J66">
        <f t="shared" ref="J66:J129" si="32">VLOOKUP(C66,技能辅助查询表,4,FALSE)</f>
        <v>2</v>
      </c>
      <c r="K66" s="36">
        <f t="shared" ref="K66:K129" ca="1" si="33">IF(OR(I66=0,I66=1),T66,T66+T66*($AN$6-1)/S66*I66)</f>
        <v>134.52380952380952</v>
      </c>
      <c r="L66" s="10">
        <f ca="1">AH66*VLOOKUP(C66,技能辅助查询表,技能配置辅助表!$T$1,FALSE)</f>
        <v>0</v>
      </c>
      <c r="M66">
        <f t="shared" ref="M66:M129" ca="1" si="34">IF(OR(I66=0,I66=1),VLOOKUP(C66,技能辅助查询表,14,FALSE),VLOOKUP(C66,技能辅助查询表,14,FALSE)-VLOOKUP(C66,技能辅助查询表,14,FALSE)*0.5/S66*I66)</f>
        <v>6960</v>
      </c>
      <c r="N66" s="33">
        <f ca="1">CHOOSE(1,W66*U66,X66*'[1]0、经济设定'!$C$18)</f>
        <v>2416</v>
      </c>
      <c r="O66">
        <f t="shared" ref="O66:O129" si="35">VLOOKUP(C66,技能辅助查询表,5,FALSE)</f>
        <v>2</v>
      </c>
      <c r="P66">
        <f t="shared" ref="P66:P129" si="36">VLOOKUP(C66,技能辅助查询表,6,FALSE)</f>
        <v>1</v>
      </c>
      <c r="Q66">
        <f t="shared" ref="Q66:Q129" si="37">VLOOKUP(C66,技能辅助查询表,7,FALSE)</f>
        <v>1</v>
      </c>
      <c r="R66" s="2">
        <f t="shared" ref="R66:R129" si="38">VLOOKUP(C66,技能辅助查询表,9,FALSE)</f>
        <v>4</v>
      </c>
      <c r="S66" s="2">
        <f t="shared" ref="S66:S129" si="39">VLOOKUP(C66,技能辅助查询表,8,FALSE)</f>
        <v>50</v>
      </c>
      <c r="T66" s="2">
        <f t="shared" ref="T66:T129" si="40">VLOOKUP(C66,技能辅助查询表,11,FALSE)</f>
        <v>119.04761904761905</v>
      </c>
      <c r="U66" s="2">
        <f ca="1">VLOOKUP(E66,金币生产率!$A$2:$B$120,2,0)</f>
        <v>302</v>
      </c>
      <c r="V66" s="2">
        <f t="shared" ref="V66:V129" si="41">VLOOKUP(C66,技能辅助查询表,12,FALSE)</f>
        <v>119.04761904761905</v>
      </c>
      <c r="W66" s="45">
        <f t="shared" ca="1" si="27"/>
        <v>8</v>
      </c>
      <c r="X66" s="48">
        <f t="shared" ca="1" si="12"/>
        <v>74</v>
      </c>
      <c r="Y66">
        <f t="shared" ref="Y66:Y129" si="42">VLOOKUP(C66,技能辅助查询表,15,FALSE)</f>
        <v>18</v>
      </c>
      <c r="Z66">
        <f t="shared" ca="1" si="18"/>
        <v>0</v>
      </c>
      <c r="AA66" t="str">
        <f t="shared" ca="1" si="19"/>
        <v>9122100.png</v>
      </c>
      <c r="AB66">
        <f t="shared" ref="AB66:AB129" si="43">VLOOKUP(C66,技能辅助查询表,17,FALSE)</f>
        <v>20</v>
      </c>
      <c r="AC66">
        <f>VLOOKUP(C66,技能辅助查询表,技能配置辅助表!$W$1,FALSE)</f>
        <v>5600</v>
      </c>
      <c r="AD66">
        <f t="shared" ca="1" si="20"/>
        <v>4.3215390102069478</v>
      </c>
      <c r="AE66">
        <f>VLOOKUP(C66,技能辅助查询表,技能配置辅助表!$U$1,FALSE)</f>
        <v>4</v>
      </c>
      <c r="AF66">
        <f t="shared" ca="1" si="21"/>
        <v>9122113</v>
      </c>
      <c r="AG66">
        <f t="shared" ca="1" si="28"/>
        <v>22.612244897959183</v>
      </c>
      <c r="AH66">
        <f t="shared" ca="1" si="23"/>
        <v>62.587806354721323</v>
      </c>
      <c r="AI66">
        <f ca="1">VLOOKUP(E66,伤害参考系!$C$4:$E$104,3,FALSE)*$AN$12</f>
        <v>914.59374581939801</v>
      </c>
      <c r="AJ66">
        <f>VLOOKUP(C66,技能辅助查询表,技能配置辅助表!$L$1,FALSE)</f>
        <v>1</v>
      </c>
      <c r="AK66">
        <f>VLOOKUP(C66,技能辅助查询表,技能配置辅助表!$AE$1,FALSE)</f>
        <v>66000113</v>
      </c>
    </row>
    <row r="67" spans="1:37" x14ac:dyDescent="0.15">
      <c r="A67" s="1">
        <f t="shared" ref="A67:A130" ca="1" si="44">IF(I67=0,IF(H67=1,VALUE("9"&amp;D67&amp;J67&amp;O67&amp;G67&amp;IF(I67&gt;9,I67,"0"&amp;I67)),1),VALUE("9"&amp;D67&amp;J67&amp;O67&amp;G67&amp;IF(I67&gt;9,I67,"0"&amp;I67)))</f>
        <v>9122114</v>
      </c>
      <c r="B67" s="1" t="str">
        <f t="shared" ca="1" si="29"/>
        <v>影袭·斩第1段</v>
      </c>
      <c r="C67" t="s">
        <v>151</v>
      </c>
      <c r="D67">
        <f t="shared" si="30"/>
        <v>1</v>
      </c>
      <c r="E67" s="42">
        <f t="shared" ref="E67:E130" ca="1" si="45">IF(I67=0,E68,IF(AND(I67=1,G67&gt;1),OFFSET(E67,(1-G67)*51,0),IF(OR(I67=1,AND(I67=2,R67=2)),R67,IF(I67=0,0,ROUND(I67*(80-R67)/S67,0)+R67))))</f>
        <v>25</v>
      </c>
      <c r="F67" t="str">
        <f t="shared" ref="F67:F130" ca="1" si="46">"第"&amp;I67&amp;"级，共造成"&amp;ROUND(AJ67*K67,1)&amp;"%点伤害"</f>
        <v>第14级，共造成135.7%点伤害</v>
      </c>
      <c r="G67">
        <f t="shared" ref="G67:G130" ca="1" si="47">IF(I67=0,0,H67)</f>
        <v>1</v>
      </c>
      <c r="H67">
        <f t="shared" si="31"/>
        <v>1</v>
      </c>
      <c r="I67" s="44">
        <f t="shared" ref="I67:I130" ca="1" si="48">IF(OFFSET(C67,-1,0)=C67,I66+1,0)</f>
        <v>14</v>
      </c>
      <c r="J67">
        <f t="shared" si="32"/>
        <v>2</v>
      </c>
      <c r="K67" s="36">
        <f t="shared" ca="1" si="33"/>
        <v>135.71428571428572</v>
      </c>
      <c r="L67" s="10">
        <f ca="1">AH67*VLOOKUP(C67,技能辅助查询表,技能配置辅助表!$T$1,FALSE)</f>
        <v>0</v>
      </c>
      <c r="M67">
        <f t="shared" ca="1" si="34"/>
        <v>6880</v>
      </c>
      <c r="N67" s="33">
        <f ca="1">CHOOSE(1,W67*U67,X67*'[1]0、经济设定'!$C$18)</f>
        <v>3015</v>
      </c>
      <c r="O67">
        <f t="shared" si="35"/>
        <v>2</v>
      </c>
      <c r="P67">
        <f t="shared" si="36"/>
        <v>1</v>
      </c>
      <c r="Q67">
        <f t="shared" si="37"/>
        <v>1</v>
      </c>
      <c r="R67" s="2">
        <f t="shared" si="38"/>
        <v>4</v>
      </c>
      <c r="S67" s="2">
        <f t="shared" si="39"/>
        <v>50</v>
      </c>
      <c r="T67" s="2">
        <f t="shared" si="40"/>
        <v>119.04761904761905</v>
      </c>
      <c r="U67" s="2">
        <f ca="1">VLOOKUP(E67,金币生产率!$A$2:$B$120,2,0)</f>
        <v>335</v>
      </c>
      <c r="V67" s="2">
        <f t="shared" si="41"/>
        <v>119.04761904761905</v>
      </c>
      <c r="W67" s="45">
        <f t="shared" ca="1" si="27"/>
        <v>9</v>
      </c>
      <c r="X67" s="48">
        <f t="shared" ca="1" si="12"/>
        <v>83</v>
      </c>
      <c r="Y67">
        <f t="shared" si="42"/>
        <v>18</v>
      </c>
      <c r="Z67">
        <f t="shared" ref="Z67:Z130" ca="1" si="49">IF(I67&gt;=Y67,ROUNDUP(W67/$AN$15,0),0)</f>
        <v>0</v>
      </c>
      <c r="AA67" t="str">
        <f t="shared" ref="AA67:AA130" ca="1" si="50">AF67-MOD(AF67,100)&amp;".png"</f>
        <v>9122100.png</v>
      </c>
      <c r="AB67">
        <f t="shared" si="43"/>
        <v>20</v>
      </c>
      <c r="AC67">
        <f>VLOOKUP(C67,技能辅助查询表,技能配置辅助表!$W$1,FALSE)</f>
        <v>5600</v>
      </c>
      <c r="AD67">
        <f t="shared" ref="AD67:AD130" ca="1" si="51">((AH67*K67/100+L67)*AJ67-AH67)/5</f>
        <v>5.0896707502012646</v>
      </c>
      <c r="AE67">
        <f>VLOOKUP(C67,技能辅助查询表,技能配置辅助表!$U$1,FALSE)</f>
        <v>4</v>
      </c>
      <c r="AF67">
        <f t="shared" ref="AF67:AF130" ca="1" si="52">VALUE("9"&amp;D67&amp;J67&amp;O67&amp;H67&amp;IF(I67&gt;9,I67,"0"&amp;I67))</f>
        <v>9122114</v>
      </c>
      <c r="AG67">
        <f t="shared" ca="1" si="28"/>
        <v>24.163265306122447</v>
      </c>
      <c r="AH67">
        <f t="shared" ref="AH67:AH130" ca="1" si="53">(19.323*EXP(I67*0.1297))*$AN$12</f>
        <v>71.25539050281769</v>
      </c>
      <c r="AI67">
        <f ca="1">VLOOKUP(E67,伤害参考系!$C$4:$E$104,3,FALSE)*$AN$12</f>
        <v>1000.3949623745822</v>
      </c>
      <c r="AJ67">
        <f>VLOOKUP(C67,技能辅助查询表,技能配置辅助表!$L$1,FALSE)</f>
        <v>1</v>
      </c>
      <c r="AK67">
        <f>VLOOKUP(C67,技能辅助查询表,技能配置辅助表!$AE$1,FALSE)</f>
        <v>66000113</v>
      </c>
    </row>
    <row r="68" spans="1:37" x14ac:dyDescent="0.15">
      <c r="A68" s="1">
        <f t="shared" ca="1" si="44"/>
        <v>9122115</v>
      </c>
      <c r="B68" s="1" t="str">
        <f t="shared" ca="1" si="29"/>
        <v>影袭·斩第1段</v>
      </c>
      <c r="C68" t="s">
        <v>151</v>
      </c>
      <c r="D68">
        <f t="shared" si="30"/>
        <v>1</v>
      </c>
      <c r="E68" s="42">
        <f t="shared" ca="1" si="45"/>
        <v>27</v>
      </c>
      <c r="F68" t="str">
        <f t="shared" ca="1" si="46"/>
        <v>第15级，共造成136.9%点伤害</v>
      </c>
      <c r="G68">
        <f t="shared" ca="1" si="47"/>
        <v>1</v>
      </c>
      <c r="H68">
        <f t="shared" si="31"/>
        <v>1</v>
      </c>
      <c r="I68" s="44">
        <f t="shared" ca="1" si="48"/>
        <v>15</v>
      </c>
      <c r="J68">
        <f t="shared" si="32"/>
        <v>2</v>
      </c>
      <c r="K68" s="36">
        <f t="shared" ca="1" si="33"/>
        <v>136.9047619047619</v>
      </c>
      <c r="L68" s="10">
        <f ca="1">AH68*VLOOKUP(C68,技能辅助查询表,技能配置辅助表!$T$1,FALSE)</f>
        <v>0</v>
      </c>
      <c r="M68">
        <f t="shared" ca="1" si="34"/>
        <v>6800</v>
      </c>
      <c r="N68" s="33">
        <f ca="1">CHOOSE(1,W68*U68,X68*'[1]0、经济设定'!$C$18)</f>
        <v>4060</v>
      </c>
      <c r="O68">
        <f t="shared" si="35"/>
        <v>2</v>
      </c>
      <c r="P68">
        <f t="shared" si="36"/>
        <v>1</v>
      </c>
      <c r="Q68">
        <f t="shared" si="37"/>
        <v>1</v>
      </c>
      <c r="R68" s="2">
        <f t="shared" si="38"/>
        <v>4</v>
      </c>
      <c r="S68" s="2">
        <f t="shared" si="39"/>
        <v>50</v>
      </c>
      <c r="T68" s="2">
        <f t="shared" si="40"/>
        <v>119.04761904761905</v>
      </c>
      <c r="U68" s="2">
        <f ca="1">VLOOKUP(E68,金币生产率!$A$2:$B$120,2,0)</f>
        <v>406</v>
      </c>
      <c r="V68" s="2">
        <f t="shared" si="41"/>
        <v>119.04761904761905</v>
      </c>
      <c r="W68" s="45">
        <f t="shared" ref="W68:W131" ca="1" si="54">ROUND((IF(I68=0,0,ROUND(OFFSET(AD68,S68-I68+510*(1-D68),0)*(1-$AN$13)/(1-$AN$13^S68)*$AN$13^(I68-1),0))+IF(I68=0,0,ROUND(OFFSET(AD68,S68-I68+510*(2-D68),0)*(1-$AN$13)/(1-$AN$13^S68)*$AN$13^(I68-1),0))+IF(I68=0,0,ROUND(OFFSET(AD68,S68-I68+510*(3-D68),0)*(1-$AN$13)/(1-$AN$13^S68)*$AN$13^(I68-1),0)))/3,0)</f>
        <v>10</v>
      </c>
      <c r="X68" s="48">
        <f t="shared" ref="X68:X131" ca="1" si="55">IF(I68=0,0,X67+W68)</f>
        <v>93</v>
      </c>
      <c r="Y68">
        <f t="shared" si="42"/>
        <v>18</v>
      </c>
      <c r="Z68">
        <f t="shared" ca="1" si="49"/>
        <v>0</v>
      </c>
      <c r="AA68" t="str">
        <f t="shared" ca="1" si="50"/>
        <v>9122100.png</v>
      </c>
      <c r="AB68">
        <f t="shared" si="43"/>
        <v>20</v>
      </c>
      <c r="AC68">
        <f>VLOOKUP(C68,技能辅助查询表,技能配置辅助表!$W$1,FALSE)</f>
        <v>5600</v>
      </c>
      <c r="AD68">
        <f t="shared" ca="1" si="51"/>
        <v>5.9876736576069876</v>
      </c>
      <c r="AE68">
        <f>VLOOKUP(C68,技能辅助查询表,技能配置辅助表!$U$1,FALSE)</f>
        <v>4</v>
      </c>
      <c r="AF68">
        <f t="shared" ca="1" si="52"/>
        <v>9122115</v>
      </c>
      <c r="AG68">
        <f t="shared" ca="1" si="28"/>
        <v>25.714285714285715</v>
      </c>
      <c r="AH68">
        <f t="shared" ca="1" si="53"/>
        <v>81.123320522417259</v>
      </c>
      <c r="AI68">
        <f ca="1">VLOOKUP(E68,伤害参考系!$C$4:$E$104,3,FALSE)*$AN$12</f>
        <v>1210.5107784280938</v>
      </c>
      <c r="AJ68">
        <f>VLOOKUP(C68,技能辅助查询表,技能配置辅助表!$L$1,FALSE)</f>
        <v>1</v>
      </c>
      <c r="AK68">
        <f>VLOOKUP(C68,技能辅助查询表,技能配置辅助表!$AE$1,FALSE)</f>
        <v>66000113</v>
      </c>
    </row>
    <row r="69" spans="1:37" x14ac:dyDescent="0.15">
      <c r="A69" s="1">
        <f t="shared" ca="1" si="44"/>
        <v>9122116</v>
      </c>
      <c r="B69" s="1" t="str">
        <f t="shared" ca="1" si="29"/>
        <v>影袭·斩第1段</v>
      </c>
      <c r="C69" t="s">
        <v>151</v>
      </c>
      <c r="D69">
        <f t="shared" si="30"/>
        <v>1</v>
      </c>
      <c r="E69" s="42">
        <f t="shared" ca="1" si="45"/>
        <v>28</v>
      </c>
      <c r="F69" t="str">
        <f t="shared" ca="1" si="46"/>
        <v>第16级，共造成138.1%点伤害</v>
      </c>
      <c r="G69">
        <f t="shared" ca="1" si="47"/>
        <v>1</v>
      </c>
      <c r="H69">
        <f t="shared" si="31"/>
        <v>1</v>
      </c>
      <c r="I69" s="44">
        <f t="shared" ca="1" si="48"/>
        <v>16</v>
      </c>
      <c r="J69">
        <f t="shared" si="32"/>
        <v>2</v>
      </c>
      <c r="K69" s="36">
        <f t="shared" ca="1" si="33"/>
        <v>138.0952380952381</v>
      </c>
      <c r="L69" s="10">
        <f ca="1">AH69*VLOOKUP(C69,技能辅助查询表,技能配置辅助表!$T$1,FALSE)</f>
        <v>0</v>
      </c>
      <c r="M69">
        <f t="shared" ca="1" si="34"/>
        <v>6720</v>
      </c>
      <c r="N69" s="33">
        <f ca="1">CHOOSE(1,W69*U69,X69*'[1]0、经济设定'!$C$18)</f>
        <v>4430</v>
      </c>
      <c r="O69">
        <f t="shared" si="35"/>
        <v>2</v>
      </c>
      <c r="P69">
        <f t="shared" si="36"/>
        <v>1</v>
      </c>
      <c r="Q69">
        <f t="shared" si="37"/>
        <v>1</v>
      </c>
      <c r="R69" s="2">
        <f t="shared" si="38"/>
        <v>4</v>
      </c>
      <c r="S69" s="2">
        <f t="shared" si="39"/>
        <v>50</v>
      </c>
      <c r="T69" s="2">
        <f t="shared" si="40"/>
        <v>119.04761904761905</v>
      </c>
      <c r="U69" s="2">
        <f ca="1">VLOOKUP(E69,金币生产率!$A$2:$B$120,2,0)</f>
        <v>443</v>
      </c>
      <c r="V69" s="2">
        <f t="shared" si="41"/>
        <v>119.04761904761905</v>
      </c>
      <c r="W69" s="45">
        <f t="shared" ca="1" si="54"/>
        <v>10</v>
      </c>
      <c r="X69" s="48">
        <f t="shared" ca="1" si="55"/>
        <v>103</v>
      </c>
      <c r="Y69">
        <f t="shared" si="42"/>
        <v>18</v>
      </c>
      <c r="Z69">
        <f t="shared" ca="1" si="49"/>
        <v>0</v>
      </c>
      <c r="AA69" t="str">
        <f t="shared" ca="1" si="50"/>
        <v>9122100.png</v>
      </c>
      <c r="AB69">
        <f t="shared" si="43"/>
        <v>20</v>
      </c>
      <c r="AC69">
        <f>VLOOKUP(C69,技能辅助查询表,技能配置辅助表!$W$1,FALSE)</f>
        <v>5600</v>
      </c>
      <c r="AD69">
        <f t="shared" ca="1" si="51"/>
        <v>7.0367869299363806</v>
      </c>
      <c r="AE69">
        <f>VLOOKUP(C69,技能辅助查询表,技能配置辅助表!$U$1,FALSE)</f>
        <v>4</v>
      </c>
      <c r="AF69">
        <f t="shared" ca="1" si="52"/>
        <v>9122116</v>
      </c>
      <c r="AG69">
        <f t="shared" ref="AG69:AG132" ca="1" si="56">IF(I69=1,R69,IF(I69=0,0,(I69-1)*(80-R69)/(S69-1)+R69))</f>
        <v>27.26530612244898</v>
      </c>
      <c r="AH69">
        <f t="shared" ca="1" si="53"/>
        <v>92.357828455414989</v>
      </c>
      <c r="AI69">
        <f ca="1">VLOOKUP(E69,伤害参考系!$C$4:$E$104,3,FALSE)*$AN$12</f>
        <v>1321.7693779264216</v>
      </c>
      <c r="AJ69">
        <f>VLOOKUP(C69,技能辅助查询表,技能配置辅助表!$L$1,FALSE)</f>
        <v>1</v>
      </c>
      <c r="AK69">
        <f>VLOOKUP(C69,技能辅助查询表,技能配置辅助表!$AE$1,FALSE)</f>
        <v>66000113</v>
      </c>
    </row>
    <row r="70" spans="1:37" x14ac:dyDescent="0.15">
      <c r="A70" s="1">
        <f t="shared" ca="1" si="44"/>
        <v>9122117</v>
      </c>
      <c r="B70" s="1" t="str">
        <f t="shared" ca="1" si="29"/>
        <v>影袭·斩第1段</v>
      </c>
      <c r="C70" t="s">
        <v>151</v>
      </c>
      <c r="D70">
        <f t="shared" si="30"/>
        <v>1</v>
      </c>
      <c r="E70" s="42">
        <f t="shared" ca="1" si="45"/>
        <v>30</v>
      </c>
      <c r="F70" t="str">
        <f t="shared" ca="1" si="46"/>
        <v>第17级，共造成139.3%点伤害</v>
      </c>
      <c r="G70">
        <f t="shared" ca="1" si="47"/>
        <v>1</v>
      </c>
      <c r="H70">
        <f t="shared" si="31"/>
        <v>1</v>
      </c>
      <c r="I70" s="44">
        <f t="shared" ca="1" si="48"/>
        <v>17</v>
      </c>
      <c r="J70">
        <f t="shared" si="32"/>
        <v>2</v>
      </c>
      <c r="K70" s="36">
        <f t="shared" ca="1" si="33"/>
        <v>139.28571428571428</v>
      </c>
      <c r="L70" s="10">
        <f ca="1">AH70*VLOOKUP(C70,技能辅助查询表,技能配置辅助表!$T$1,FALSE)</f>
        <v>0</v>
      </c>
      <c r="M70">
        <f t="shared" ca="1" si="34"/>
        <v>6640</v>
      </c>
      <c r="N70" s="33">
        <f ca="1">CHOOSE(1,W70*U70,X70*'[1]0、经济设定'!$C$18)</f>
        <v>5742</v>
      </c>
      <c r="O70">
        <f t="shared" si="35"/>
        <v>2</v>
      </c>
      <c r="P70">
        <f t="shared" si="36"/>
        <v>1</v>
      </c>
      <c r="Q70">
        <f t="shared" si="37"/>
        <v>1</v>
      </c>
      <c r="R70" s="2">
        <f t="shared" si="38"/>
        <v>4</v>
      </c>
      <c r="S70" s="2">
        <f t="shared" si="39"/>
        <v>50</v>
      </c>
      <c r="T70" s="2">
        <f t="shared" si="40"/>
        <v>119.04761904761905</v>
      </c>
      <c r="U70" s="2">
        <f ca="1">VLOOKUP(E70,金币生产率!$A$2:$B$120,2,0)</f>
        <v>522</v>
      </c>
      <c r="V70" s="2">
        <f t="shared" si="41"/>
        <v>119.04761904761905</v>
      </c>
      <c r="W70" s="45">
        <f t="shared" ca="1" si="54"/>
        <v>11</v>
      </c>
      <c r="X70" s="48">
        <f t="shared" ca="1" si="55"/>
        <v>114</v>
      </c>
      <c r="Y70">
        <f t="shared" si="42"/>
        <v>18</v>
      </c>
      <c r="Z70">
        <f t="shared" ca="1" si="49"/>
        <v>0</v>
      </c>
      <c r="AA70" t="str">
        <f t="shared" ca="1" si="50"/>
        <v>9122100.png</v>
      </c>
      <c r="AB70">
        <f t="shared" si="43"/>
        <v>20</v>
      </c>
      <c r="AC70">
        <f>VLOOKUP(C70,技能辅助查询表,技能配置辅助表!$W$1,FALSE)</f>
        <v>5600</v>
      </c>
      <c r="AD70">
        <f t="shared" ca="1" si="51"/>
        <v>8.2616417152442487</v>
      </c>
      <c r="AE70">
        <f>VLOOKUP(C70,技能辅助查询表,技能配置辅助表!$U$1,FALSE)</f>
        <v>4</v>
      </c>
      <c r="AF70">
        <f t="shared" ca="1" si="52"/>
        <v>9122117</v>
      </c>
      <c r="AG70">
        <f t="shared" ca="1" si="56"/>
        <v>28.816326530612244</v>
      </c>
      <c r="AH70">
        <f t="shared" ca="1" si="53"/>
        <v>105.14816728492683</v>
      </c>
      <c r="AI70">
        <f ca="1">VLOOKUP(E70,伤害参考系!$C$4:$E$104,3,FALSE)*$AN$12</f>
        <v>1576.1465593645489</v>
      </c>
      <c r="AJ70">
        <f>VLOOKUP(C70,技能辅助查询表,技能配置辅助表!$L$1,FALSE)</f>
        <v>1</v>
      </c>
      <c r="AK70">
        <f>VLOOKUP(C70,技能辅助查询表,技能配置辅助表!$AE$1,FALSE)</f>
        <v>66000113</v>
      </c>
    </row>
    <row r="71" spans="1:37" x14ac:dyDescent="0.15">
      <c r="A71" s="1">
        <f t="shared" ca="1" si="44"/>
        <v>9122118</v>
      </c>
      <c r="B71" s="1" t="str">
        <f t="shared" ca="1" si="29"/>
        <v>影袭·斩第1段</v>
      </c>
      <c r="C71" t="s">
        <v>151</v>
      </c>
      <c r="D71">
        <f t="shared" si="30"/>
        <v>1</v>
      </c>
      <c r="E71" s="42">
        <f t="shared" ca="1" si="45"/>
        <v>31</v>
      </c>
      <c r="F71" t="str">
        <f t="shared" ca="1" si="46"/>
        <v>第18级，共造成140.5%点伤害</v>
      </c>
      <c r="G71">
        <f t="shared" ca="1" si="47"/>
        <v>1</v>
      </c>
      <c r="H71">
        <f t="shared" si="31"/>
        <v>1</v>
      </c>
      <c r="I71" s="44">
        <f t="shared" ca="1" si="48"/>
        <v>18</v>
      </c>
      <c r="J71">
        <f t="shared" si="32"/>
        <v>2</v>
      </c>
      <c r="K71" s="36">
        <f t="shared" ca="1" si="33"/>
        <v>140.47619047619048</v>
      </c>
      <c r="L71" s="10">
        <f ca="1">AH71*VLOOKUP(C71,技能辅助查询表,技能配置辅助表!$T$1,FALSE)</f>
        <v>0</v>
      </c>
      <c r="M71">
        <f t="shared" ca="1" si="34"/>
        <v>6560</v>
      </c>
      <c r="N71" s="33">
        <f ca="1">CHOOSE(1,W71*U71,X71*'[1]0、经济设定'!$C$18)</f>
        <v>6756</v>
      </c>
      <c r="O71">
        <f t="shared" si="35"/>
        <v>2</v>
      </c>
      <c r="P71">
        <f t="shared" si="36"/>
        <v>1</v>
      </c>
      <c r="Q71">
        <f t="shared" si="37"/>
        <v>1</v>
      </c>
      <c r="R71" s="2">
        <f t="shared" si="38"/>
        <v>4</v>
      </c>
      <c r="S71" s="2">
        <f t="shared" si="39"/>
        <v>50</v>
      </c>
      <c r="T71" s="2">
        <f t="shared" si="40"/>
        <v>119.04761904761905</v>
      </c>
      <c r="U71" s="2">
        <f ca="1">VLOOKUP(E71,金币生产率!$A$2:$B$120,2,0)</f>
        <v>563</v>
      </c>
      <c r="V71" s="2">
        <f t="shared" si="41"/>
        <v>119.04761904761905</v>
      </c>
      <c r="W71" s="45">
        <f t="shared" ca="1" si="54"/>
        <v>12</v>
      </c>
      <c r="X71" s="48">
        <f t="shared" ca="1" si="55"/>
        <v>126</v>
      </c>
      <c r="Y71">
        <f t="shared" si="42"/>
        <v>18</v>
      </c>
      <c r="Z71">
        <f t="shared" ca="1" si="49"/>
        <v>5</v>
      </c>
      <c r="AA71" t="str">
        <f t="shared" ca="1" si="50"/>
        <v>9122100.png</v>
      </c>
      <c r="AB71">
        <f t="shared" si="43"/>
        <v>20</v>
      </c>
      <c r="AC71">
        <f>VLOOKUP(C71,技能辅助查询表,技能配置辅助表!$W$1,FALSE)</f>
        <v>5600</v>
      </c>
      <c r="AD71">
        <f t="shared" ca="1" si="51"/>
        <v>9.6907932549269837</v>
      </c>
      <c r="AE71">
        <f>VLOOKUP(C71,技能辅助查询表,技能配置辅助表!$U$1,FALSE)</f>
        <v>4</v>
      </c>
      <c r="AF71">
        <f t="shared" ca="1" si="52"/>
        <v>9122118</v>
      </c>
      <c r="AG71">
        <f t="shared" ca="1" si="56"/>
        <v>30.367346938775512</v>
      </c>
      <c r="AH71">
        <f t="shared" ca="1" si="53"/>
        <v>119.70979903145096</v>
      </c>
      <c r="AI71">
        <f ca="1">VLOOKUP(E71,伤害参考系!$C$4:$E$104,3,FALSE)*$AN$12</f>
        <v>1721.3320384615388</v>
      </c>
      <c r="AJ71">
        <f>VLOOKUP(C71,技能辅助查询表,技能配置辅助表!$L$1,FALSE)</f>
        <v>1</v>
      </c>
      <c r="AK71">
        <f>VLOOKUP(C71,技能辅助查询表,技能配置辅助表!$AE$1,FALSE)</f>
        <v>66000113</v>
      </c>
    </row>
    <row r="72" spans="1:37" x14ac:dyDescent="0.15">
      <c r="A72" s="1">
        <f t="shared" ca="1" si="44"/>
        <v>9122119</v>
      </c>
      <c r="B72" s="1" t="str">
        <f t="shared" ca="1" si="29"/>
        <v>影袭·斩第1段</v>
      </c>
      <c r="C72" t="s">
        <v>151</v>
      </c>
      <c r="D72">
        <f t="shared" si="30"/>
        <v>1</v>
      </c>
      <c r="E72" s="42">
        <f t="shared" ca="1" si="45"/>
        <v>33</v>
      </c>
      <c r="F72" t="str">
        <f t="shared" ca="1" si="46"/>
        <v>第19级，共造成141.7%点伤害</v>
      </c>
      <c r="G72">
        <f t="shared" ca="1" si="47"/>
        <v>1</v>
      </c>
      <c r="H72">
        <f t="shared" si="31"/>
        <v>1</v>
      </c>
      <c r="I72" s="44">
        <f t="shared" ca="1" si="48"/>
        <v>19</v>
      </c>
      <c r="J72">
        <f t="shared" si="32"/>
        <v>2</v>
      </c>
      <c r="K72" s="36">
        <f t="shared" ca="1" si="33"/>
        <v>141.66666666666669</v>
      </c>
      <c r="L72" s="10">
        <f ca="1">AH72*VLOOKUP(C72,技能辅助查询表,技能配置辅助表!$T$1,FALSE)</f>
        <v>0</v>
      </c>
      <c r="M72">
        <f t="shared" ca="1" si="34"/>
        <v>6480</v>
      </c>
      <c r="N72" s="33">
        <f ca="1">CHOOSE(1,W72*U72,X72*'[1]0、经济设定'!$C$18)</f>
        <v>8463</v>
      </c>
      <c r="O72">
        <f t="shared" si="35"/>
        <v>2</v>
      </c>
      <c r="P72">
        <f t="shared" si="36"/>
        <v>1</v>
      </c>
      <c r="Q72">
        <f t="shared" si="37"/>
        <v>1</v>
      </c>
      <c r="R72" s="2">
        <f t="shared" si="38"/>
        <v>4</v>
      </c>
      <c r="S72" s="2">
        <f t="shared" si="39"/>
        <v>50</v>
      </c>
      <c r="T72" s="2">
        <f t="shared" si="40"/>
        <v>119.04761904761905</v>
      </c>
      <c r="U72" s="2">
        <f ca="1">VLOOKUP(E72,金币生产率!$A$2:$B$120,2,0)</f>
        <v>651</v>
      </c>
      <c r="V72" s="2">
        <f t="shared" si="41"/>
        <v>119.04761904761905</v>
      </c>
      <c r="W72" s="45">
        <f t="shared" ca="1" si="54"/>
        <v>13</v>
      </c>
      <c r="X72" s="48">
        <f t="shared" ca="1" si="55"/>
        <v>139</v>
      </c>
      <c r="Y72">
        <f t="shared" si="42"/>
        <v>18</v>
      </c>
      <c r="Z72">
        <f t="shared" ca="1" si="49"/>
        <v>6</v>
      </c>
      <c r="AA72" t="str">
        <f t="shared" ca="1" si="50"/>
        <v>9122100.png</v>
      </c>
      <c r="AB72">
        <f t="shared" si="43"/>
        <v>20</v>
      </c>
      <c r="AC72">
        <f>VLOOKUP(C72,技能辅助查询表,技能配置辅助表!$W$1,FALSE)</f>
        <v>5600</v>
      </c>
      <c r="AD72">
        <f t="shared" ca="1" si="51"/>
        <v>11.357335363185069</v>
      </c>
      <c r="AE72">
        <f>VLOOKUP(C72,技能辅助查询表,技能配置辅助表!$U$1,FALSE)</f>
        <v>4</v>
      </c>
      <c r="AF72">
        <f t="shared" ca="1" si="52"/>
        <v>9122119</v>
      </c>
      <c r="AG72">
        <f t="shared" ca="1" si="56"/>
        <v>31.918367346938776</v>
      </c>
      <c r="AH72">
        <f t="shared" ca="1" si="53"/>
        <v>136.28802435822078</v>
      </c>
      <c r="AI72">
        <f ca="1">VLOOKUP(E72,伤害参考系!$C$4:$E$104,3,FALSE)*$AN$12</f>
        <v>2031.7137667224088</v>
      </c>
      <c r="AJ72">
        <f>VLOOKUP(C72,技能辅助查询表,技能配置辅助表!$L$1,FALSE)</f>
        <v>1</v>
      </c>
      <c r="AK72">
        <f>VLOOKUP(C72,技能辅助查询表,技能配置辅助表!$AE$1,FALSE)</f>
        <v>66000113</v>
      </c>
    </row>
    <row r="73" spans="1:37" x14ac:dyDescent="0.15">
      <c r="A73" s="1">
        <f t="shared" ca="1" si="44"/>
        <v>9122120</v>
      </c>
      <c r="B73" s="1" t="str">
        <f t="shared" ca="1" si="29"/>
        <v>影袭·斩第1段</v>
      </c>
      <c r="C73" t="s">
        <v>151</v>
      </c>
      <c r="D73">
        <f t="shared" si="30"/>
        <v>1</v>
      </c>
      <c r="E73" s="42">
        <f t="shared" ca="1" si="45"/>
        <v>34</v>
      </c>
      <c r="F73" t="str">
        <f t="shared" ca="1" si="46"/>
        <v>第20级，共造成142.9%点伤害</v>
      </c>
      <c r="G73">
        <f t="shared" ca="1" si="47"/>
        <v>1</v>
      </c>
      <c r="H73">
        <f t="shared" si="31"/>
        <v>1</v>
      </c>
      <c r="I73" s="44">
        <f t="shared" ca="1" si="48"/>
        <v>20</v>
      </c>
      <c r="J73">
        <f t="shared" si="32"/>
        <v>2</v>
      </c>
      <c r="K73" s="36">
        <f t="shared" ca="1" si="33"/>
        <v>142.85714285714286</v>
      </c>
      <c r="L73" s="10">
        <f ca="1">AH73*VLOOKUP(C73,技能辅助查询表,技能配置辅助表!$T$1,FALSE)</f>
        <v>0</v>
      </c>
      <c r="M73">
        <f t="shared" ca="1" si="34"/>
        <v>6400</v>
      </c>
      <c r="N73" s="33">
        <f ca="1">CHOOSE(1,W73*U73,X73*'[1]0、经济设定'!$C$18)</f>
        <v>9048</v>
      </c>
      <c r="O73">
        <f t="shared" si="35"/>
        <v>2</v>
      </c>
      <c r="P73">
        <f t="shared" si="36"/>
        <v>1</v>
      </c>
      <c r="Q73">
        <f t="shared" si="37"/>
        <v>1</v>
      </c>
      <c r="R73" s="2">
        <f t="shared" si="38"/>
        <v>4</v>
      </c>
      <c r="S73" s="2">
        <f t="shared" si="39"/>
        <v>50</v>
      </c>
      <c r="T73" s="2">
        <f t="shared" si="40"/>
        <v>119.04761904761905</v>
      </c>
      <c r="U73" s="2">
        <f ca="1">VLOOKUP(E73,金币生产率!$A$2:$B$120,2,0)</f>
        <v>696</v>
      </c>
      <c r="V73" s="2">
        <f t="shared" si="41"/>
        <v>119.04761904761905</v>
      </c>
      <c r="W73" s="45">
        <f t="shared" ca="1" si="54"/>
        <v>13</v>
      </c>
      <c r="X73" s="48">
        <f t="shared" ca="1" si="55"/>
        <v>152</v>
      </c>
      <c r="Y73">
        <f t="shared" si="42"/>
        <v>18</v>
      </c>
      <c r="Z73">
        <f t="shared" ca="1" si="49"/>
        <v>6</v>
      </c>
      <c r="AA73" t="str">
        <f t="shared" ca="1" si="50"/>
        <v>9122100.png</v>
      </c>
      <c r="AB73">
        <f t="shared" si="43"/>
        <v>20</v>
      </c>
      <c r="AC73">
        <f>VLOOKUP(C73,技能辅助查询表,技能配置辅助表!$W$1,FALSE)</f>
        <v>5600</v>
      </c>
      <c r="AD73">
        <f t="shared" ca="1" si="51"/>
        <v>13.299609842480328</v>
      </c>
      <c r="AE73">
        <f>VLOOKUP(C73,技能辅助查询表,技能配置辅助表!$U$1,FALSE)</f>
        <v>4</v>
      </c>
      <c r="AF73">
        <f t="shared" ca="1" si="52"/>
        <v>9122120</v>
      </c>
      <c r="AG73">
        <f t="shared" ca="1" si="56"/>
        <v>33.469387755102041</v>
      </c>
      <c r="AH73">
        <f t="shared" ca="1" si="53"/>
        <v>155.16211482893718</v>
      </c>
      <c r="AI73">
        <f ca="1">VLOOKUP(E73,伤害参考系!$C$4:$E$104,3,FALSE)*$AN$12</f>
        <v>2196.2761028428095</v>
      </c>
      <c r="AJ73">
        <f>VLOOKUP(C73,技能辅助查询表,技能配置辅助表!$L$1,FALSE)</f>
        <v>1</v>
      </c>
      <c r="AK73">
        <f>VLOOKUP(C73,技能辅助查询表,技能配置辅助表!$AE$1,FALSE)</f>
        <v>66000113</v>
      </c>
    </row>
    <row r="74" spans="1:37" x14ac:dyDescent="0.15">
      <c r="A74" s="1">
        <f t="shared" ca="1" si="44"/>
        <v>9122121</v>
      </c>
      <c r="B74" s="1" t="str">
        <f t="shared" ca="1" si="29"/>
        <v>影袭·斩第1段</v>
      </c>
      <c r="C74" t="s">
        <v>151</v>
      </c>
      <c r="D74">
        <f t="shared" si="30"/>
        <v>1</v>
      </c>
      <c r="E74" s="42">
        <f t="shared" ca="1" si="45"/>
        <v>36</v>
      </c>
      <c r="F74" t="str">
        <f t="shared" ca="1" si="46"/>
        <v>第21级，共造成144%点伤害</v>
      </c>
      <c r="G74">
        <f t="shared" ca="1" si="47"/>
        <v>1</v>
      </c>
      <c r="H74">
        <f t="shared" si="31"/>
        <v>1</v>
      </c>
      <c r="I74" s="44">
        <f t="shared" ca="1" si="48"/>
        <v>21</v>
      </c>
      <c r="J74">
        <f t="shared" si="32"/>
        <v>2</v>
      </c>
      <c r="K74" s="36">
        <f t="shared" ca="1" si="33"/>
        <v>144.04761904761904</v>
      </c>
      <c r="L74" s="10">
        <f ca="1">AH74*VLOOKUP(C74,技能辅助查询表,技能配置辅助表!$T$1,FALSE)</f>
        <v>0</v>
      </c>
      <c r="M74">
        <f t="shared" ca="1" si="34"/>
        <v>6320</v>
      </c>
      <c r="N74" s="33">
        <f ca="1">CHOOSE(1,W74*U74,X74*'[1]0、经济设定'!$C$18)</f>
        <v>11074</v>
      </c>
      <c r="O74">
        <f t="shared" si="35"/>
        <v>2</v>
      </c>
      <c r="P74">
        <f t="shared" si="36"/>
        <v>1</v>
      </c>
      <c r="Q74">
        <f t="shared" si="37"/>
        <v>1</v>
      </c>
      <c r="R74" s="2">
        <f t="shared" si="38"/>
        <v>4</v>
      </c>
      <c r="S74" s="2">
        <f t="shared" si="39"/>
        <v>50</v>
      </c>
      <c r="T74" s="2">
        <f t="shared" si="40"/>
        <v>119.04761904761905</v>
      </c>
      <c r="U74" s="2">
        <f ca="1">VLOOKUP(E74,金币生产率!$A$2:$B$120,2,0)</f>
        <v>791</v>
      </c>
      <c r="V74" s="2">
        <f t="shared" si="41"/>
        <v>119.04761904761905</v>
      </c>
      <c r="W74" s="45">
        <f t="shared" ca="1" si="54"/>
        <v>14</v>
      </c>
      <c r="X74" s="48">
        <f t="shared" ca="1" si="55"/>
        <v>166</v>
      </c>
      <c r="Y74">
        <f t="shared" si="42"/>
        <v>18</v>
      </c>
      <c r="Z74">
        <f t="shared" ca="1" si="49"/>
        <v>6</v>
      </c>
      <c r="AA74" t="str">
        <f t="shared" ca="1" si="50"/>
        <v>9122100.png</v>
      </c>
      <c r="AB74">
        <f t="shared" si="43"/>
        <v>20</v>
      </c>
      <c r="AC74">
        <f>VLOOKUP(C74,技能辅助查询表,技能配置辅助表!$W$1,FALSE)</f>
        <v>5600</v>
      </c>
      <c r="AD74">
        <f t="shared" ca="1" si="51"/>
        <v>15.562025344899888</v>
      </c>
      <c r="AE74">
        <f>VLOOKUP(C74,技能辅助查询表,技能配置辅助表!$U$1,FALSE)</f>
        <v>4</v>
      </c>
      <c r="AF74">
        <f t="shared" ca="1" si="52"/>
        <v>9122121</v>
      </c>
      <c r="AG74">
        <f t="shared" ca="1" si="56"/>
        <v>35.020408163265301</v>
      </c>
      <c r="AH74">
        <f t="shared" ca="1" si="53"/>
        <v>176.65001742859343</v>
      </c>
      <c r="AI74">
        <f ca="1">VLOOKUP(E74,伤害参考系!$C$4:$E$104,3,FALSE)*$AN$12</f>
        <v>2544.1437190635456</v>
      </c>
      <c r="AJ74">
        <f>VLOOKUP(C74,技能辅助查询表,技能配置辅助表!$L$1,FALSE)</f>
        <v>1</v>
      </c>
      <c r="AK74">
        <f>VLOOKUP(C74,技能辅助查询表,技能配置辅助表!$AE$1,FALSE)</f>
        <v>66000113</v>
      </c>
    </row>
    <row r="75" spans="1:37" x14ac:dyDescent="0.15">
      <c r="A75" s="1">
        <f t="shared" ca="1" si="44"/>
        <v>9122122</v>
      </c>
      <c r="B75" s="1" t="str">
        <f t="shared" ca="1" si="29"/>
        <v>影袭·斩第1段</v>
      </c>
      <c r="C75" t="s">
        <v>151</v>
      </c>
      <c r="D75">
        <f t="shared" si="30"/>
        <v>1</v>
      </c>
      <c r="E75" s="42">
        <f t="shared" ca="1" si="45"/>
        <v>37</v>
      </c>
      <c r="F75" t="str">
        <f t="shared" ca="1" si="46"/>
        <v>第22级，共造成145.2%点伤害</v>
      </c>
      <c r="G75">
        <f t="shared" ca="1" si="47"/>
        <v>1</v>
      </c>
      <c r="H75">
        <f t="shared" si="31"/>
        <v>1</v>
      </c>
      <c r="I75" s="44">
        <f t="shared" ca="1" si="48"/>
        <v>22</v>
      </c>
      <c r="J75">
        <f t="shared" si="32"/>
        <v>2</v>
      </c>
      <c r="K75" s="36">
        <f t="shared" ca="1" si="33"/>
        <v>145.23809523809524</v>
      </c>
      <c r="L75" s="10">
        <f ca="1">AH75*VLOOKUP(C75,技能辅助查询表,技能配置辅助表!$T$1,FALSE)</f>
        <v>0</v>
      </c>
      <c r="M75">
        <f t="shared" ca="1" si="34"/>
        <v>6240</v>
      </c>
      <c r="N75" s="33">
        <f ca="1">CHOOSE(1,W75*U75,X75*'[1]0、经济设定'!$C$18)</f>
        <v>12615</v>
      </c>
      <c r="O75">
        <f t="shared" si="35"/>
        <v>2</v>
      </c>
      <c r="P75">
        <f t="shared" si="36"/>
        <v>1</v>
      </c>
      <c r="Q75">
        <f t="shared" si="37"/>
        <v>1</v>
      </c>
      <c r="R75" s="2">
        <f t="shared" si="38"/>
        <v>4</v>
      </c>
      <c r="S75" s="2">
        <f t="shared" si="39"/>
        <v>50</v>
      </c>
      <c r="T75" s="2">
        <f t="shared" si="40"/>
        <v>119.04761904761905</v>
      </c>
      <c r="U75" s="2">
        <f ca="1">VLOOKUP(E75,金币生产率!$A$2:$B$120,2,0)</f>
        <v>841</v>
      </c>
      <c r="V75" s="2">
        <f t="shared" si="41"/>
        <v>119.04761904761905</v>
      </c>
      <c r="W75" s="45">
        <f t="shared" ca="1" si="54"/>
        <v>15</v>
      </c>
      <c r="X75" s="48">
        <f t="shared" ca="1" si="55"/>
        <v>181</v>
      </c>
      <c r="Y75">
        <f t="shared" si="42"/>
        <v>18</v>
      </c>
      <c r="Z75">
        <f t="shared" ca="1" si="49"/>
        <v>6</v>
      </c>
      <c r="AA75" t="str">
        <f t="shared" ca="1" si="50"/>
        <v>9122100.png</v>
      </c>
      <c r="AB75">
        <f t="shared" si="43"/>
        <v>20</v>
      </c>
      <c r="AC75">
        <f>VLOOKUP(C75,技能辅助查询表,技能配置辅助表!$W$1,FALSE)</f>
        <v>5600</v>
      </c>
      <c r="AD75">
        <f t="shared" ca="1" si="51"/>
        <v>18.19600238746251</v>
      </c>
      <c r="AE75">
        <f>VLOOKUP(C75,技能辅助查询表,技能配置辅助表!$U$1,FALSE)</f>
        <v>4</v>
      </c>
      <c r="AF75">
        <f t="shared" ca="1" si="52"/>
        <v>9122122</v>
      </c>
      <c r="AG75">
        <f t="shared" ca="1" si="56"/>
        <v>36.571428571428569</v>
      </c>
      <c r="AH75">
        <f t="shared" ca="1" si="53"/>
        <v>201.11371059826985</v>
      </c>
      <c r="AI75">
        <f ca="1">VLOOKUP(E75,伤害参考系!$C$4:$E$104,3,FALSE)*$AN$12</f>
        <v>2727.4489991638798</v>
      </c>
      <c r="AJ75">
        <f>VLOOKUP(C75,技能辅助查询表,技能配置辅助表!$L$1,FALSE)</f>
        <v>1</v>
      </c>
      <c r="AK75">
        <f>VLOOKUP(C75,技能辅助查询表,技能配置辅助表!$AE$1,FALSE)</f>
        <v>66000113</v>
      </c>
    </row>
    <row r="76" spans="1:37" x14ac:dyDescent="0.15">
      <c r="A76" s="1">
        <f t="shared" ca="1" si="44"/>
        <v>9122123</v>
      </c>
      <c r="B76" s="1" t="str">
        <f t="shared" ca="1" si="29"/>
        <v>影袭·斩第1段</v>
      </c>
      <c r="C76" t="s">
        <v>151</v>
      </c>
      <c r="D76">
        <f t="shared" si="30"/>
        <v>1</v>
      </c>
      <c r="E76" s="42">
        <f t="shared" ca="1" si="45"/>
        <v>39</v>
      </c>
      <c r="F76" t="str">
        <f t="shared" ca="1" si="46"/>
        <v>第23级，共造成146.4%点伤害</v>
      </c>
      <c r="G76">
        <f t="shared" ca="1" si="47"/>
        <v>1</v>
      </c>
      <c r="H76">
        <f t="shared" si="31"/>
        <v>1</v>
      </c>
      <c r="I76" s="44">
        <f t="shared" ca="1" si="48"/>
        <v>23</v>
      </c>
      <c r="J76">
        <f t="shared" si="32"/>
        <v>2</v>
      </c>
      <c r="K76" s="36">
        <f t="shared" ca="1" si="33"/>
        <v>146.42857142857144</v>
      </c>
      <c r="L76" s="10">
        <f ca="1">AH76*VLOOKUP(C76,技能辅助查询表,技能配置辅助表!$T$1,FALSE)</f>
        <v>0</v>
      </c>
      <c r="M76">
        <f t="shared" ca="1" si="34"/>
        <v>6160</v>
      </c>
      <c r="N76" s="33">
        <f ca="1">CHOOSE(1,W76*U76,X76*'[1]0、经济设定'!$C$18)</f>
        <v>15104</v>
      </c>
      <c r="O76">
        <f t="shared" si="35"/>
        <v>2</v>
      </c>
      <c r="P76">
        <f t="shared" si="36"/>
        <v>1</v>
      </c>
      <c r="Q76">
        <f t="shared" si="37"/>
        <v>1</v>
      </c>
      <c r="R76" s="2">
        <f t="shared" si="38"/>
        <v>4</v>
      </c>
      <c r="S76" s="2">
        <f t="shared" si="39"/>
        <v>50</v>
      </c>
      <c r="T76" s="2">
        <f t="shared" si="40"/>
        <v>119.04761904761905</v>
      </c>
      <c r="U76" s="2">
        <f ca="1">VLOOKUP(E76,金币生产率!$A$2:$B$120,2,0)</f>
        <v>944</v>
      </c>
      <c r="V76" s="2">
        <f t="shared" si="41"/>
        <v>119.04761904761905</v>
      </c>
      <c r="W76" s="45">
        <f t="shared" ca="1" si="54"/>
        <v>16</v>
      </c>
      <c r="X76" s="48">
        <f t="shared" ca="1" si="55"/>
        <v>197</v>
      </c>
      <c r="Y76">
        <f t="shared" si="42"/>
        <v>18</v>
      </c>
      <c r="Z76">
        <f t="shared" ca="1" si="49"/>
        <v>7</v>
      </c>
      <c r="AA76" t="str">
        <f t="shared" ca="1" si="50"/>
        <v>9122100.png</v>
      </c>
      <c r="AB76">
        <f t="shared" si="43"/>
        <v>20</v>
      </c>
      <c r="AC76">
        <f>VLOOKUP(C76,技能辅助查询表,技能配置辅助表!$W$1,FALSE)</f>
        <v>5600</v>
      </c>
      <c r="AD76">
        <f t="shared" ca="1" si="51"/>
        <v>21.261063758068786</v>
      </c>
      <c r="AE76">
        <f>VLOOKUP(C76,技能辅助查询表,技能配置辅助表!$U$1,FALSE)</f>
        <v>4</v>
      </c>
      <c r="AF76">
        <f t="shared" ca="1" si="52"/>
        <v>9122123</v>
      </c>
      <c r="AG76">
        <f t="shared" ca="1" si="56"/>
        <v>38.122448979591837</v>
      </c>
      <c r="AH76">
        <f t="shared" ca="1" si="53"/>
        <v>228.96530200997151</v>
      </c>
      <c r="AI76">
        <f ca="1">VLOOKUP(E76,伤害参考系!$C$4:$E$104,3,FALSE)*$AN$12</f>
        <v>3112.8025033444819</v>
      </c>
      <c r="AJ76">
        <f>VLOOKUP(C76,技能辅助查询表,技能配置辅助表!$L$1,FALSE)</f>
        <v>1</v>
      </c>
      <c r="AK76">
        <f>VLOOKUP(C76,技能辅助查询表,技能配置辅助表!$AE$1,FALSE)</f>
        <v>66000113</v>
      </c>
    </row>
    <row r="77" spans="1:37" x14ac:dyDescent="0.15">
      <c r="A77" s="1">
        <f t="shared" ca="1" si="44"/>
        <v>9122124</v>
      </c>
      <c r="B77" s="1" t="str">
        <f t="shared" ca="1" si="29"/>
        <v>影袭·斩第1段</v>
      </c>
      <c r="C77" t="s">
        <v>151</v>
      </c>
      <c r="D77">
        <f t="shared" si="30"/>
        <v>1</v>
      </c>
      <c r="E77" s="42">
        <f t="shared" ca="1" si="45"/>
        <v>40</v>
      </c>
      <c r="F77" t="str">
        <f t="shared" ca="1" si="46"/>
        <v>第24级，共造成147.6%点伤害</v>
      </c>
      <c r="G77">
        <f t="shared" ca="1" si="47"/>
        <v>1</v>
      </c>
      <c r="H77">
        <f t="shared" si="31"/>
        <v>1</v>
      </c>
      <c r="I77" s="44">
        <f t="shared" ca="1" si="48"/>
        <v>24</v>
      </c>
      <c r="J77">
        <f t="shared" si="32"/>
        <v>2</v>
      </c>
      <c r="K77" s="36">
        <f t="shared" ca="1" si="33"/>
        <v>147.61904761904762</v>
      </c>
      <c r="L77" s="10">
        <f ca="1">AH77*VLOOKUP(C77,技能辅助查询表,技能配置辅助表!$T$1,FALSE)</f>
        <v>0</v>
      </c>
      <c r="M77">
        <f t="shared" ca="1" si="34"/>
        <v>6080</v>
      </c>
      <c r="N77" s="33">
        <f ca="1">CHOOSE(1,W77*U77,X77*'[1]0、经济设定'!$C$18)</f>
        <v>16966</v>
      </c>
      <c r="O77">
        <f t="shared" si="35"/>
        <v>2</v>
      </c>
      <c r="P77">
        <f t="shared" si="36"/>
        <v>1</v>
      </c>
      <c r="Q77">
        <f t="shared" si="37"/>
        <v>1</v>
      </c>
      <c r="R77" s="2">
        <f t="shared" si="38"/>
        <v>4</v>
      </c>
      <c r="S77" s="2">
        <f t="shared" si="39"/>
        <v>50</v>
      </c>
      <c r="T77" s="2">
        <f t="shared" si="40"/>
        <v>119.04761904761905</v>
      </c>
      <c r="U77" s="2">
        <f ca="1">VLOOKUP(E77,金币生产率!$A$2:$B$120,2,0)</f>
        <v>998</v>
      </c>
      <c r="V77" s="2">
        <f t="shared" si="41"/>
        <v>119.04761904761905</v>
      </c>
      <c r="W77" s="45">
        <f t="shared" ca="1" si="54"/>
        <v>17</v>
      </c>
      <c r="X77" s="48">
        <f t="shared" ca="1" si="55"/>
        <v>214</v>
      </c>
      <c r="Y77">
        <f t="shared" si="42"/>
        <v>18</v>
      </c>
      <c r="Z77">
        <f t="shared" ca="1" si="49"/>
        <v>7</v>
      </c>
      <c r="AA77" t="str">
        <f t="shared" ca="1" si="50"/>
        <v>9122100.png</v>
      </c>
      <c r="AB77">
        <f t="shared" si="43"/>
        <v>20</v>
      </c>
      <c r="AC77">
        <f>VLOOKUP(C77,技能辅助查询表,技能配置辅助表!$W$1,FALSE)</f>
        <v>5600</v>
      </c>
      <c r="AD77">
        <f t="shared" ca="1" si="51"/>
        <v>24.826092457400648</v>
      </c>
      <c r="AE77">
        <f>VLOOKUP(C77,技能辅助查询表,技能配置辅助表!$U$1,FALSE)</f>
        <v>4</v>
      </c>
      <c r="AF77">
        <f t="shared" ca="1" si="52"/>
        <v>9122124</v>
      </c>
      <c r="AG77">
        <f t="shared" ca="1" si="56"/>
        <v>39.673469387755105</v>
      </c>
      <c r="AH77">
        <f t="shared" ca="1" si="53"/>
        <v>260.67397080270689</v>
      </c>
      <c r="AI77">
        <f ca="1">VLOOKUP(E77,伤害参考系!$C$4:$E$104,3,FALSE)*$AN$12</f>
        <v>3344.7142474916404</v>
      </c>
      <c r="AJ77">
        <f>VLOOKUP(C77,技能辅助查询表,技能配置辅助表!$L$1,FALSE)</f>
        <v>1</v>
      </c>
      <c r="AK77">
        <f>VLOOKUP(C77,技能辅助查询表,技能配置辅助表!$AE$1,FALSE)</f>
        <v>66000113</v>
      </c>
    </row>
    <row r="78" spans="1:37" x14ac:dyDescent="0.15">
      <c r="A78" s="1">
        <f t="shared" ca="1" si="44"/>
        <v>9122125</v>
      </c>
      <c r="B78" s="1" t="str">
        <f t="shared" ca="1" si="29"/>
        <v>影袭·斩第1段</v>
      </c>
      <c r="C78" t="s">
        <v>151</v>
      </c>
      <c r="D78">
        <f t="shared" si="30"/>
        <v>1</v>
      </c>
      <c r="E78" s="42">
        <f t="shared" ca="1" si="45"/>
        <v>42</v>
      </c>
      <c r="F78" t="str">
        <f t="shared" ca="1" si="46"/>
        <v>第25级，共造成148.8%点伤害</v>
      </c>
      <c r="G78">
        <f t="shared" ca="1" si="47"/>
        <v>1</v>
      </c>
      <c r="H78">
        <f t="shared" si="31"/>
        <v>1</v>
      </c>
      <c r="I78" s="44">
        <f t="shared" ca="1" si="48"/>
        <v>25</v>
      </c>
      <c r="J78">
        <f t="shared" si="32"/>
        <v>2</v>
      </c>
      <c r="K78" s="36">
        <f t="shared" ca="1" si="33"/>
        <v>148.80952380952382</v>
      </c>
      <c r="L78" s="10">
        <f ca="1">AH78*VLOOKUP(C78,技能辅助查询表,技能配置辅助表!$T$1,FALSE)</f>
        <v>0</v>
      </c>
      <c r="M78">
        <f t="shared" ca="1" si="34"/>
        <v>6000</v>
      </c>
      <c r="N78" s="33">
        <f ca="1">CHOOSE(1,W78*U78,X78*'[1]0、经济设定'!$C$18)</f>
        <v>21090</v>
      </c>
      <c r="O78">
        <f t="shared" si="35"/>
        <v>2</v>
      </c>
      <c r="P78">
        <f t="shared" si="36"/>
        <v>1</v>
      </c>
      <c r="Q78">
        <f t="shared" si="37"/>
        <v>1</v>
      </c>
      <c r="R78" s="2">
        <f t="shared" si="38"/>
        <v>4</v>
      </c>
      <c r="S78" s="2">
        <f t="shared" si="39"/>
        <v>50</v>
      </c>
      <c r="T78" s="2">
        <f t="shared" si="40"/>
        <v>119.04761904761905</v>
      </c>
      <c r="U78" s="2">
        <f ca="1">VLOOKUP(E78,金币生产率!$A$2:$B$120,2,0)</f>
        <v>1110</v>
      </c>
      <c r="V78" s="2">
        <f t="shared" si="41"/>
        <v>119.04761904761905</v>
      </c>
      <c r="W78" s="45">
        <f t="shared" ca="1" si="54"/>
        <v>19</v>
      </c>
      <c r="X78" s="48">
        <f t="shared" ca="1" si="55"/>
        <v>233</v>
      </c>
      <c r="Y78">
        <f t="shared" si="42"/>
        <v>18</v>
      </c>
      <c r="Z78">
        <f t="shared" ca="1" si="49"/>
        <v>8</v>
      </c>
      <c r="AA78" t="str">
        <f t="shared" ca="1" si="50"/>
        <v>9122100.png</v>
      </c>
      <c r="AB78">
        <f t="shared" si="43"/>
        <v>20</v>
      </c>
      <c r="AC78">
        <f>VLOOKUP(C78,技能辅助查询表,技能配置辅助表!$W$1,FALSE)</f>
        <v>5600</v>
      </c>
      <c r="AD78">
        <f t="shared" ca="1" si="51"/>
        <v>28.970782667351624</v>
      </c>
      <c r="AE78">
        <f>VLOOKUP(C78,技能辅助查询表,技能配置辅助表!$U$1,FALSE)</f>
        <v>4</v>
      </c>
      <c r="AF78">
        <f t="shared" ca="1" si="52"/>
        <v>9122125</v>
      </c>
      <c r="AG78">
        <f t="shared" ca="1" si="56"/>
        <v>41.224489795918366</v>
      </c>
      <c r="AH78">
        <f t="shared" ca="1" si="53"/>
        <v>296.77387122652874</v>
      </c>
      <c r="AI78">
        <f ca="1">VLOOKUP(E78,伤害参考系!$C$4:$E$104,3,FALSE)*$AN$12</f>
        <v>3833.528327759198</v>
      </c>
      <c r="AJ78">
        <f>VLOOKUP(C78,技能辅助查询表,技能配置辅助表!$L$1,FALSE)</f>
        <v>1</v>
      </c>
      <c r="AK78">
        <f>VLOOKUP(C78,技能辅助查询表,技能配置辅助表!$AE$1,FALSE)</f>
        <v>66000113</v>
      </c>
    </row>
    <row r="79" spans="1:37" x14ac:dyDescent="0.15">
      <c r="A79" s="1">
        <f t="shared" ca="1" si="44"/>
        <v>9122126</v>
      </c>
      <c r="B79" s="1" t="str">
        <f t="shared" ca="1" si="29"/>
        <v>影袭·斩第1段</v>
      </c>
      <c r="C79" t="s">
        <v>151</v>
      </c>
      <c r="D79">
        <f t="shared" si="30"/>
        <v>1</v>
      </c>
      <c r="E79" s="42">
        <f t="shared" ca="1" si="45"/>
        <v>44</v>
      </c>
      <c r="F79" t="str">
        <f t="shared" ca="1" si="46"/>
        <v>第26级，共造成150%点伤害</v>
      </c>
      <c r="G79">
        <f t="shared" ca="1" si="47"/>
        <v>1</v>
      </c>
      <c r="H79">
        <f t="shared" si="31"/>
        <v>1</v>
      </c>
      <c r="I79" s="44">
        <f t="shared" ca="1" si="48"/>
        <v>26</v>
      </c>
      <c r="J79">
        <f t="shared" si="32"/>
        <v>2</v>
      </c>
      <c r="K79" s="36">
        <f t="shared" ca="1" si="33"/>
        <v>150</v>
      </c>
      <c r="L79" s="10">
        <f ca="1">AH79*VLOOKUP(C79,技能辅助查询表,技能配置辅助表!$T$1,FALSE)</f>
        <v>0</v>
      </c>
      <c r="M79">
        <f t="shared" ca="1" si="34"/>
        <v>5920</v>
      </c>
      <c r="N79" s="33">
        <f ca="1">CHOOSE(1,W79*U79,X79*'[1]0、经济设定'!$C$18)</f>
        <v>24520</v>
      </c>
      <c r="O79">
        <f t="shared" si="35"/>
        <v>2</v>
      </c>
      <c r="P79">
        <f t="shared" si="36"/>
        <v>1</v>
      </c>
      <c r="Q79">
        <f t="shared" si="37"/>
        <v>1</v>
      </c>
      <c r="R79" s="2">
        <f t="shared" si="38"/>
        <v>4</v>
      </c>
      <c r="S79" s="2">
        <f t="shared" si="39"/>
        <v>50</v>
      </c>
      <c r="T79" s="2">
        <f t="shared" si="40"/>
        <v>119.04761904761905</v>
      </c>
      <c r="U79" s="2">
        <f ca="1">VLOOKUP(E79,金币生产率!$A$2:$B$120,2,0)</f>
        <v>1226</v>
      </c>
      <c r="V79" s="2">
        <f t="shared" si="41"/>
        <v>119.04761904761905</v>
      </c>
      <c r="W79" s="45">
        <f t="shared" ca="1" si="54"/>
        <v>20</v>
      </c>
      <c r="X79" s="48">
        <f t="shared" ca="1" si="55"/>
        <v>253</v>
      </c>
      <c r="Y79">
        <f t="shared" si="42"/>
        <v>18</v>
      </c>
      <c r="Z79">
        <f t="shared" ca="1" si="49"/>
        <v>8</v>
      </c>
      <c r="AA79" t="str">
        <f t="shared" ca="1" si="50"/>
        <v>9122100.png</v>
      </c>
      <c r="AB79">
        <f t="shared" si="43"/>
        <v>20</v>
      </c>
      <c r="AC79">
        <f>VLOOKUP(C79,技能辅助查询表,技能配置辅助表!$W$1,FALSE)</f>
        <v>5600</v>
      </c>
      <c r="AD79">
        <f t="shared" ca="1" si="51"/>
        <v>33.787313083683465</v>
      </c>
      <c r="AE79">
        <f>VLOOKUP(C79,技能辅助查询表,技能配置辅助表!$U$1,FALSE)</f>
        <v>4</v>
      </c>
      <c r="AF79">
        <f t="shared" ca="1" si="52"/>
        <v>9122126</v>
      </c>
      <c r="AG79">
        <f t="shared" ca="1" si="56"/>
        <v>42.775510204081634</v>
      </c>
      <c r="AH79">
        <f t="shared" ca="1" si="53"/>
        <v>337.87313083683472</v>
      </c>
      <c r="AI79">
        <f ca="1">VLOOKUP(E79,伤害参考系!$C$4:$E$104,3,FALSE)*$AN$12</f>
        <v>4355.6631973244148</v>
      </c>
      <c r="AJ79">
        <f>VLOOKUP(C79,技能辅助查询表,技能配置辅助表!$L$1,FALSE)</f>
        <v>1</v>
      </c>
      <c r="AK79">
        <f>VLOOKUP(C79,技能辅助查询表,技能配置辅助表!$AE$1,FALSE)</f>
        <v>66000113</v>
      </c>
    </row>
    <row r="80" spans="1:37" x14ac:dyDescent="0.15">
      <c r="A80" s="1">
        <f t="shared" ca="1" si="44"/>
        <v>9122127</v>
      </c>
      <c r="B80" s="1" t="str">
        <f t="shared" ca="1" si="29"/>
        <v>影袭·斩第1段</v>
      </c>
      <c r="C80" t="s">
        <v>151</v>
      </c>
      <c r="D80">
        <f t="shared" si="30"/>
        <v>1</v>
      </c>
      <c r="E80" s="42">
        <f t="shared" ca="1" si="45"/>
        <v>45</v>
      </c>
      <c r="F80" t="str">
        <f t="shared" ca="1" si="46"/>
        <v>第27级，共造成151.2%点伤害</v>
      </c>
      <c r="G80">
        <f t="shared" ca="1" si="47"/>
        <v>1</v>
      </c>
      <c r="H80">
        <f t="shared" si="31"/>
        <v>1</v>
      </c>
      <c r="I80" s="44">
        <f t="shared" ca="1" si="48"/>
        <v>27</v>
      </c>
      <c r="J80">
        <f t="shared" si="32"/>
        <v>2</v>
      </c>
      <c r="K80" s="36">
        <f t="shared" ca="1" si="33"/>
        <v>151.1904761904762</v>
      </c>
      <c r="L80" s="10">
        <f ca="1">AH80*VLOOKUP(C80,技能辅助查询表,技能配置辅助表!$T$1,FALSE)</f>
        <v>0</v>
      </c>
      <c r="M80">
        <f t="shared" ca="1" si="34"/>
        <v>5840</v>
      </c>
      <c r="N80" s="33">
        <f ca="1">CHOOSE(1,W80*U80,X80*'[1]0、经济设定'!$C$18)</f>
        <v>27027</v>
      </c>
      <c r="O80">
        <f t="shared" si="35"/>
        <v>2</v>
      </c>
      <c r="P80">
        <f t="shared" si="36"/>
        <v>1</v>
      </c>
      <c r="Q80">
        <f t="shared" si="37"/>
        <v>1</v>
      </c>
      <c r="R80" s="2">
        <f t="shared" si="38"/>
        <v>4</v>
      </c>
      <c r="S80" s="2">
        <f t="shared" si="39"/>
        <v>50</v>
      </c>
      <c r="T80" s="2">
        <f t="shared" si="40"/>
        <v>119.04761904761905</v>
      </c>
      <c r="U80" s="2">
        <f ca="1">VLOOKUP(E80,金币生产率!$A$2:$B$120,2,0)</f>
        <v>1287</v>
      </c>
      <c r="V80" s="2">
        <f t="shared" si="41"/>
        <v>119.04761904761905</v>
      </c>
      <c r="W80" s="45">
        <f t="shared" ca="1" si="54"/>
        <v>21</v>
      </c>
      <c r="X80" s="48">
        <f t="shared" ca="1" si="55"/>
        <v>274</v>
      </c>
      <c r="Y80">
        <f t="shared" si="42"/>
        <v>18</v>
      </c>
      <c r="Z80">
        <f t="shared" ca="1" si="49"/>
        <v>9</v>
      </c>
      <c r="AA80" t="str">
        <f t="shared" ca="1" si="50"/>
        <v>9122100.png</v>
      </c>
      <c r="AB80">
        <f t="shared" si="43"/>
        <v>20</v>
      </c>
      <c r="AC80">
        <f>VLOOKUP(C80,技能辅助查询表,技能配置辅助表!$W$1,FALSE)</f>
        <v>5600</v>
      </c>
      <c r="AD80">
        <f t="shared" ca="1" si="51"/>
        <v>39.382276374395779</v>
      </c>
      <c r="AE80">
        <f>VLOOKUP(C80,技能辅助查询表,技能配置辅助表!$U$1,FALSE)</f>
        <v>4</v>
      </c>
      <c r="AF80">
        <f t="shared" ca="1" si="52"/>
        <v>9122127</v>
      </c>
      <c r="AG80">
        <f t="shared" ca="1" si="56"/>
        <v>44.326530612244895</v>
      </c>
      <c r="AH80">
        <f t="shared" ca="1" si="53"/>
        <v>384.66409481967975</v>
      </c>
      <c r="AI80">
        <f ca="1">VLOOKUP(E80,伤害参考系!$C$4:$E$104,3,FALSE)*$AN$12</f>
        <v>4629.2259280936469</v>
      </c>
      <c r="AJ80">
        <f>VLOOKUP(C80,技能辅助查询表,技能配置辅助表!$L$1,FALSE)</f>
        <v>1</v>
      </c>
      <c r="AK80">
        <f>VLOOKUP(C80,技能辅助查询表,技能配置辅助表!$AE$1,FALSE)</f>
        <v>66000113</v>
      </c>
    </row>
    <row r="81" spans="1:37" x14ac:dyDescent="0.15">
      <c r="A81" s="1">
        <f t="shared" ca="1" si="44"/>
        <v>9122128</v>
      </c>
      <c r="B81" s="1" t="str">
        <f t="shared" ca="1" si="29"/>
        <v>影袭·斩第1段</v>
      </c>
      <c r="C81" t="s">
        <v>151</v>
      </c>
      <c r="D81">
        <f t="shared" si="30"/>
        <v>1</v>
      </c>
      <c r="E81" s="42">
        <f t="shared" ca="1" si="45"/>
        <v>47</v>
      </c>
      <c r="F81" t="str">
        <f t="shared" ca="1" si="46"/>
        <v>第28级，共造成152.4%点伤害</v>
      </c>
      <c r="G81">
        <f t="shared" ca="1" si="47"/>
        <v>1</v>
      </c>
      <c r="H81">
        <f t="shared" si="31"/>
        <v>1</v>
      </c>
      <c r="I81" s="44">
        <f t="shared" ca="1" si="48"/>
        <v>28</v>
      </c>
      <c r="J81">
        <f t="shared" si="32"/>
        <v>2</v>
      </c>
      <c r="K81" s="36">
        <f t="shared" ca="1" si="33"/>
        <v>152.38095238095238</v>
      </c>
      <c r="L81" s="10">
        <f ca="1">AH81*VLOOKUP(C81,技能辅助查询表,技能配置辅助表!$T$1,FALSE)</f>
        <v>0</v>
      </c>
      <c r="M81">
        <f t="shared" ca="1" si="34"/>
        <v>5760</v>
      </c>
      <c r="N81" s="33">
        <f ca="1">CHOOSE(1,W81*U81,X81*'[1]0、经济设定'!$C$18)</f>
        <v>32476</v>
      </c>
      <c r="O81">
        <f t="shared" si="35"/>
        <v>2</v>
      </c>
      <c r="P81">
        <f t="shared" si="36"/>
        <v>1</v>
      </c>
      <c r="Q81">
        <f t="shared" si="37"/>
        <v>1</v>
      </c>
      <c r="R81" s="2">
        <f t="shared" si="38"/>
        <v>4</v>
      </c>
      <c r="S81" s="2">
        <f t="shared" si="39"/>
        <v>50</v>
      </c>
      <c r="T81" s="2">
        <f t="shared" si="40"/>
        <v>119.04761904761905</v>
      </c>
      <c r="U81" s="2">
        <f ca="1">VLOOKUP(E81,金币生产率!$A$2:$B$120,2,0)</f>
        <v>1412</v>
      </c>
      <c r="V81" s="2">
        <f t="shared" si="41"/>
        <v>119.04761904761905</v>
      </c>
      <c r="W81" s="45">
        <f t="shared" ca="1" si="54"/>
        <v>23</v>
      </c>
      <c r="X81" s="48">
        <f t="shared" ca="1" si="55"/>
        <v>297</v>
      </c>
      <c r="Y81">
        <f t="shared" si="42"/>
        <v>18</v>
      </c>
      <c r="Z81">
        <f t="shared" ca="1" si="49"/>
        <v>10</v>
      </c>
      <c r="AA81" t="str">
        <f t="shared" ca="1" si="50"/>
        <v>9122100.png</v>
      </c>
      <c r="AB81">
        <f t="shared" si="43"/>
        <v>20</v>
      </c>
      <c r="AC81">
        <f>VLOOKUP(C81,技能辅助查询表,技能配置辅助表!$W$1,FALSE)</f>
        <v>5600</v>
      </c>
      <c r="AD81">
        <f t="shared" ca="1" si="51"/>
        <v>45.878903611700046</v>
      </c>
      <c r="AE81">
        <f>VLOOKUP(C81,技能辅助查询表,技能配置辅助表!$U$1,FALSE)</f>
        <v>4</v>
      </c>
      <c r="AF81">
        <f t="shared" ca="1" si="52"/>
        <v>9122128</v>
      </c>
      <c r="AG81">
        <f t="shared" ca="1" si="56"/>
        <v>45.877551020408163</v>
      </c>
      <c r="AH81">
        <f t="shared" ca="1" si="53"/>
        <v>437.93498902077317</v>
      </c>
      <c r="AI81">
        <f ca="1">VLOOKUP(E81,伤害参考系!$C$4:$E$104,3,FALSE)*$AN$12</f>
        <v>5201.3419816053529</v>
      </c>
      <c r="AJ81">
        <f>VLOOKUP(C81,技能辅助查询表,技能配置辅助表!$L$1,FALSE)</f>
        <v>1</v>
      </c>
      <c r="AK81">
        <f>VLOOKUP(C81,技能辅助查询表,技能配置辅助表!$AE$1,FALSE)</f>
        <v>66000113</v>
      </c>
    </row>
    <row r="82" spans="1:37" x14ac:dyDescent="0.15">
      <c r="A82" s="1">
        <f t="shared" ca="1" si="44"/>
        <v>9122129</v>
      </c>
      <c r="B82" s="1" t="str">
        <f t="shared" ca="1" si="29"/>
        <v>影袭·斩第1段</v>
      </c>
      <c r="C82" t="s">
        <v>151</v>
      </c>
      <c r="D82">
        <f t="shared" si="30"/>
        <v>1</v>
      </c>
      <c r="E82" s="42">
        <f t="shared" ca="1" si="45"/>
        <v>48</v>
      </c>
      <c r="F82" t="str">
        <f t="shared" ca="1" si="46"/>
        <v>第29级，共造成153.6%点伤害</v>
      </c>
      <c r="G82">
        <f t="shared" ca="1" si="47"/>
        <v>1</v>
      </c>
      <c r="H82">
        <f t="shared" si="31"/>
        <v>1</v>
      </c>
      <c r="I82" s="44">
        <f t="shared" ca="1" si="48"/>
        <v>29</v>
      </c>
      <c r="J82">
        <f t="shared" si="32"/>
        <v>2</v>
      </c>
      <c r="K82" s="36">
        <f t="shared" ca="1" si="33"/>
        <v>153.57142857142858</v>
      </c>
      <c r="L82" s="10">
        <f ca="1">AH82*VLOOKUP(C82,技能辅助查询表,技能配置辅助表!$T$1,FALSE)</f>
        <v>0</v>
      </c>
      <c r="M82">
        <f t="shared" ca="1" si="34"/>
        <v>5680</v>
      </c>
      <c r="N82" s="33">
        <f ca="1">CHOOSE(1,W82*U82,X82*'[1]0、经济设定'!$C$18)</f>
        <v>36925</v>
      </c>
      <c r="O82">
        <f t="shared" si="35"/>
        <v>2</v>
      </c>
      <c r="P82">
        <f t="shared" si="36"/>
        <v>1</v>
      </c>
      <c r="Q82">
        <f t="shared" si="37"/>
        <v>1</v>
      </c>
      <c r="R82" s="2">
        <f t="shared" si="38"/>
        <v>4</v>
      </c>
      <c r="S82" s="2">
        <f t="shared" si="39"/>
        <v>50</v>
      </c>
      <c r="T82" s="2">
        <f t="shared" si="40"/>
        <v>119.04761904761905</v>
      </c>
      <c r="U82" s="2">
        <f ca="1">VLOOKUP(E82,金币生产率!$A$2:$B$120,2,0)</f>
        <v>1477</v>
      </c>
      <c r="V82" s="2">
        <f t="shared" si="41"/>
        <v>119.04761904761905</v>
      </c>
      <c r="W82" s="45">
        <f t="shared" ca="1" si="54"/>
        <v>25</v>
      </c>
      <c r="X82" s="48">
        <f t="shared" ca="1" si="55"/>
        <v>322</v>
      </c>
      <c r="Y82">
        <f t="shared" si="42"/>
        <v>18</v>
      </c>
      <c r="Z82">
        <f t="shared" ca="1" si="49"/>
        <v>10</v>
      </c>
      <c r="AA82" t="str">
        <f t="shared" ca="1" si="50"/>
        <v>9122100.png</v>
      </c>
      <c r="AB82">
        <f t="shared" si="43"/>
        <v>20</v>
      </c>
      <c r="AC82">
        <f>VLOOKUP(C82,技能辅助查询表,技能配置辅助表!$W$1,FALSE)</f>
        <v>5600</v>
      </c>
      <c r="AD82">
        <f t="shared" ca="1" si="51"/>
        <v>53.41962837320149</v>
      </c>
      <c r="AE82">
        <f>VLOOKUP(C82,技能辅助查询表,技能配置辅助表!$U$1,FALSE)</f>
        <v>4</v>
      </c>
      <c r="AF82">
        <f t="shared" ca="1" si="52"/>
        <v>9122129</v>
      </c>
      <c r="AG82">
        <f t="shared" ca="1" si="56"/>
        <v>47.428571428571431</v>
      </c>
      <c r="AH82">
        <f t="shared" ca="1" si="53"/>
        <v>498.5831981498805</v>
      </c>
      <c r="AI82">
        <f ca="1">VLOOKUP(E82,伤害参考系!$C$4:$E$104,3,FALSE)*$AN$12</f>
        <v>5499.8953043478286</v>
      </c>
      <c r="AJ82">
        <f>VLOOKUP(C82,技能辅助查询表,技能配置辅助表!$L$1,FALSE)</f>
        <v>1</v>
      </c>
      <c r="AK82">
        <f>VLOOKUP(C82,技能辅助查询表,技能配置辅助表!$AE$1,FALSE)</f>
        <v>66000113</v>
      </c>
    </row>
    <row r="83" spans="1:37" x14ac:dyDescent="0.15">
      <c r="A83" s="1">
        <f t="shared" ca="1" si="44"/>
        <v>9122130</v>
      </c>
      <c r="B83" s="1" t="str">
        <f t="shared" ca="1" si="29"/>
        <v>影袭·斩第1段</v>
      </c>
      <c r="C83" t="s">
        <v>151</v>
      </c>
      <c r="D83">
        <f t="shared" si="30"/>
        <v>1</v>
      </c>
      <c r="E83" s="42">
        <f t="shared" ca="1" si="45"/>
        <v>50</v>
      </c>
      <c r="F83" t="str">
        <f t="shared" ca="1" si="46"/>
        <v>第30级，共造成154.8%点伤害</v>
      </c>
      <c r="G83">
        <f t="shared" ca="1" si="47"/>
        <v>1</v>
      </c>
      <c r="H83">
        <f t="shared" si="31"/>
        <v>1</v>
      </c>
      <c r="I83" s="44">
        <f t="shared" ca="1" si="48"/>
        <v>30</v>
      </c>
      <c r="J83">
        <f t="shared" si="32"/>
        <v>2</v>
      </c>
      <c r="K83" s="36">
        <f t="shared" ca="1" si="33"/>
        <v>154.76190476190476</v>
      </c>
      <c r="L83" s="10">
        <f ca="1">AH83*VLOOKUP(C83,技能辅助查询表,技能配置辅助表!$T$1,FALSE)</f>
        <v>0</v>
      </c>
      <c r="M83">
        <f t="shared" ca="1" si="34"/>
        <v>5600</v>
      </c>
      <c r="N83" s="33">
        <f ca="1">CHOOSE(1,W83*U83,X83*'[1]0、经济设定'!$C$18)</f>
        <v>41860</v>
      </c>
      <c r="O83">
        <f t="shared" si="35"/>
        <v>2</v>
      </c>
      <c r="P83">
        <f t="shared" si="36"/>
        <v>1</v>
      </c>
      <c r="Q83">
        <f t="shared" si="37"/>
        <v>1</v>
      </c>
      <c r="R83" s="2">
        <f t="shared" si="38"/>
        <v>4</v>
      </c>
      <c r="S83" s="2">
        <f t="shared" si="39"/>
        <v>50</v>
      </c>
      <c r="T83" s="2">
        <f t="shared" si="40"/>
        <v>119.04761904761905</v>
      </c>
      <c r="U83" s="2">
        <f ca="1">VLOOKUP(E83,金币生产率!$A$2:$B$120,2,0)</f>
        <v>1610</v>
      </c>
      <c r="V83" s="2">
        <f t="shared" si="41"/>
        <v>119.04761904761905</v>
      </c>
      <c r="W83" s="45">
        <f t="shared" ca="1" si="54"/>
        <v>26</v>
      </c>
      <c r="X83" s="48">
        <f t="shared" ca="1" si="55"/>
        <v>348</v>
      </c>
      <c r="Y83">
        <f t="shared" si="42"/>
        <v>18</v>
      </c>
      <c r="Z83">
        <f t="shared" ca="1" si="49"/>
        <v>11</v>
      </c>
      <c r="AA83" t="str">
        <f t="shared" ca="1" si="50"/>
        <v>9122100.png</v>
      </c>
      <c r="AB83">
        <f t="shared" si="43"/>
        <v>20</v>
      </c>
      <c r="AC83">
        <f>VLOOKUP(C83,技能辅助查询表,技能配置辅助表!$W$1,FALSE)</f>
        <v>5600</v>
      </c>
      <c r="AD83">
        <f t="shared" ca="1" si="51"/>
        <v>62.16904193021287</v>
      </c>
      <c r="AE83">
        <f>VLOOKUP(C83,技能辅助查询表,技能配置辅助表!$U$1,FALSE)</f>
        <v>4</v>
      </c>
      <c r="AF83">
        <f t="shared" ca="1" si="52"/>
        <v>9122130</v>
      </c>
      <c r="AG83">
        <f t="shared" ca="1" si="56"/>
        <v>48.979591836734691</v>
      </c>
      <c r="AH83">
        <f t="shared" ca="1" si="53"/>
        <v>567.63038284107404</v>
      </c>
      <c r="AI83">
        <f ca="1">VLOOKUP(E83,伤害参考系!$C$4:$E$104,3,FALSE)*$AN$12</f>
        <v>6162.2688085284308</v>
      </c>
      <c r="AJ83">
        <f>VLOOKUP(C83,技能辅助查询表,技能配置辅助表!$L$1,FALSE)</f>
        <v>1</v>
      </c>
      <c r="AK83">
        <f>VLOOKUP(C83,技能辅助查询表,技能配置辅助表!$AE$1,FALSE)</f>
        <v>66000113</v>
      </c>
    </row>
    <row r="84" spans="1:37" x14ac:dyDescent="0.15">
      <c r="A84" s="1">
        <f t="shared" ca="1" si="44"/>
        <v>9122131</v>
      </c>
      <c r="B84" s="1" t="str">
        <f t="shared" ca="1" si="29"/>
        <v>影袭·斩第1段</v>
      </c>
      <c r="C84" t="s">
        <v>151</v>
      </c>
      <c r="D84">
        <f t="shared" si="30"/>
        <v>1</v>
      </c>
      <c r="E84" s="42">
        <f t="shared" ca="1" si="45"/>
        <v>51</v>
      </c>
      <c r="F84" t="str">
        <f t="shared" ca="1" si="46"/>
        <v>第31级，共造成156%点伤害</v>
      </c>
      <c r="G84">
        <f t="shared" ca="1" si="47"/>
        <v>1</v>
      </c>
      <c r="H84">
        <f t="shared" si="31"/>
        <v>1</v>
      </c>
      <c r="I84" s="44">
        <f t="shared" ca="1" si="48"/>
        <v>31</v>
      </c>
      <c r="J84">
        <f t="shared" si="32"/>
        <v>2</v>
      </c>
      <c r="K84" s="36">
        <f t="shared" ca="1" si="33"/>
        <v>155.95238095238096</v>
      </c>
      <c r="L84" s="39">
        <f ca="1">AH84*VLOOKUP(C84,技能辅助查询表,技能配置辅助表!$T$1,FALSE)</f>
        <v>0</v>
      </c>
      <c r="M84">
        <f t="shared" ca="1" si="34"/>
        <v>5520</v>
      </c>
      <c r="N84" s="33">
        <f ca="1">CHOOSE(1,W84*U84,X84*'[1]0、经济设定'!$C$18)</f>
        <v>47012</v>
      </c>
      <c r="O84">
        <f t="shared" si="35"/>
        <v>2</v>
      </c>
      <c r="P84">
        <f t="shared" si="36"/>
        <v>1</v>
      </c>
      <c r="Q84">
        <f t="shared" si="37"/>
        <v>1</v>
      </c>
      <c r="R84" s="2">
        <f t="shared" si="38"/>
        <v>4</v>
      </c>
      <c r="S84" s="2">
        <f t="shared" si="39"/>
        <v>50</v>
      </c>
      <c r="T84" s="2">
        <f t="shared" si="40"/>
        <v>119.04761904761905</v>
      </c>
      <c r="U84" s="2">
        <f ca="1">VLOOKUP(E84,金币生产率!$A$2:$B$120,2,0)</f>
        <v>1679</v>
      </c>
      <c r="V84" s="2">
        <f t="shared" si="41"/>
        <v>119.04761904761905</v>
      </c>
      <c r="W84" s="45">
        <f t="shared" ca="1" si="54"/>
        <v>28</v>
      </c>
      <c r="X84" s="48">
        <f t="shared" ca="1" si="55"/>
        <v>376</v>
      </c>
      <c r="Y84">
        <f t="shared" si="42"/>
        <v>18</v>
      </c>
      <c r="Z84">
        <f t="shared" ca="1" si="49"/>
        <v>12</v>
      </c>
      <c r="AA84" t="str">
        <f t="shared" ca="1" si="50"/>
        <v>9122100.png</v>
      </c>
      <c r="AB84">
        <f t="shared" si="43"/>
        <v>20</v>
      </c>
      <c r="AC84">
        <f>VLOOKUP(C84,技能辅助查询表,技能配置辅助表!$W$1,FALSE)</f>
        <v>5600</v>
      </c>
      <c r="AD84">
        <f t="shared" ca="1" si="51"/>
        <v>72.317298668155971</v>
      </c>
      <c r="AE84">
        <f>VLOOKUP(C84,技能辅助查询表,技能配置辅助表!$U$1,FALSE)</f>
        <v>4</v>
      </c>
      <c r="AF84">
        <f t="shared" ca="1" si="52"/>
        <v>9122131</v>
      </c>
      <c r="AG84">
        <f t="shared" ca="1" si="56"/>
        <v>50.530612244897959</v>
      </c>
      <c r="AH84">
        <f t="shared" ca="1" si="53"/>
        <v>646.23969022607446</v>
      </c>
      <c r="AI84">
        <f ca="1">VLOOKUP(E84,伤害参考系!$C$4:$E$104,3,FALSE)*$AN$12</f>
        <v>6528.1715392976603</v>
      </c>
      <c r="AJ84">
        <f>VLOOKUP(C84,技能辅助查询表,技能配置辅助表!$L$1,FALSE)</f>
        <v>1</v>
      </c>
      <c r="AK84">
        <f>VLOOKUP(C84,技能辅助查询表,技能配置辅助表!$AE$1,FALSE)</f>
        <v>66000113</v>
      </c>
    </row>
    <row r="85" spans="1:37" x14ac:dyDescent="0.15">
      <c r="A85" s="1">
        <f t="shared" ca="1" si="44"/>
        <v>9122132</v>
      </c>
      <c r="B85" s="1" t="str">
        <f t="shared" ca="1" si="29"/>
        <v>影袭·斩第1段</v>
      </c>
      <c r="C85" t="s">
        <v>151</v>
      </c>
      <c r="D85">
        <f t="shared" si="30"/>
        <v>1</v>
      </c>
      <c r="E85" s="42">
        <f t="shared" ca="1" si="45"/>
        <v>53</v>
      </c>
      <c r="F85" t="str">
        <f t="shared" ca="1" si="46"/>
        <v>第32级，共造成157.1%点伤害</v>
      </c>
      <c r="G85">
        <f t="shared" ca="1" si="47"/>
        <v>1</v>
      </c>
      <c r="H85">
        <f t="shared" si="31"/>
        <v>1</v>
      </c>
      <c r="I85" s="44">
        <f t="shared" ca="1" si="48"/>
        <v>32</v>
      </c>
      <c r="J85">
        <f t="shared" si="32"/>
        <v>2</v>
      </c>
      <c r="K85" s="36">
        <f t="shared" ca="1" si="33"/>
        <v>157.14285714285714</v>
      </c>
      <c r="L85" s="10">
        <f ca="1">AH85*VLOOKUP(C85,技能辅助查询表,技能配置辅助表!$T$1,FALSE)</f>
        <v>0</v>
      </c>
      <c r="M85">
        <f t="shared" ca="1" si="34"/>
        <v>5440</v>
      </c>
      <c r="N85" s="33">
        <f ca="1">CHOOSE(1,W85*U85,X85*'[1]0、经济设定'!$C$18)</f>
        <v>54600</v>
      </c>
      <c r="O85">
        <f t="shared" si="35"/>
        <v>2</v>
      </c>
      <c r="P85">
        <f t="shared" si="36"/>
        <v>1</v>
      </c>
      <c r="Q85">
        <f t="shared" si="37"/>
        <v>1</v>
      </c>
      <c r="R85" s="2">
        <f t="shared" si="38"/>
        <v>4</v>
      </c>
      <c r="S85" s="2">
        <f t="shared" si="39"/>
        <v>50</v>
      </c>
      <c r="T85" s="2">
        <f t="shared" si="40"/>
        <v>119.04761904761905</v>
      </c>
      <c r="U85" s="2">
        <f ca="1">VLOOKUP(E85,金币生产率!$A$2:$B$120,2,0)</f>
        <v>1820</v>
      </c>
      <c r="V85" s="2">
        <f t="shared" si="41"/>
        <v>119.04761904761905</v>
      </c>
      <c r="W85" s="45">
        <f t="shared" ca="1" si="54"/>
        <v>30</v>
      </c>
      <c r="X85" s="48">
        <f t="shared" ca="1" si="55"/>
        <v>406</v>
      </c>
      <c r="Y85">
        <f t="shared" si="42"/>
        <v>18</v>
      </c>
      <c r="Z85">
        <f t="shared" ca="1" si="49"/>
        <v>12</v>
      </c>
      <c r="AA85" t="str">
        <f t="shared" ca="1" si="50"/>
        <v>9122100.png</v>
      </c>
      <c r="AB85">
        <f t="shared" si="43"/>
        <v>20</v>
      </c>
      <c r="AC85">
        <f>VLOOKUP(C85,技能辅助查询表,技能配置辅助表!$W$1,FALSE)</f>
        <v>5600</v>
      </c>
      <c r="AD85">
        <f t="shared" ca="1" si="51"/>
        <v>84.084039765094801</v>
      </c>
      <c r="AE85">
        <f>VLOOKUP(C85,技能辅助查询表,技能配置辅助表!$U$1,FALSE)</f>
        <v>4</v>
      </c>
      <c r="AF85">
        <f t="shared" ca="1" si="52"/>
        <v>9122132</v>
      </c>
      <c r="AG85">
        <f t="shared" ca="1" si="56"/>
        <v>52.081632653061227</v>
      </c>
      <c r="AH85">
        <f t="shared" ca="1" si="53"/>
        <v>735.73534794457942</v>
      </c>
      <c r="AI85">
        <f ca="1">VLOOKUP(E85,伤害参考系!$C$4:$E$104,3,FALSE)*$AN$12</f>
        <v>7291.2152408026777</v>
      </c>
      <c r="AJ85">
        <f>VLOOKUP(C85,技能辅助查询表,技能配置辅助表!$L$1,FALSE)</f>
        <v>1</v>
      </c>
      <c r="AK85">
        <f>VLOOKUP(C85,技能辅助查询表,技能配置辅助表!$AE$1,FALSE)</f>
        <v>66000113</v>
      </c>
    </row>
    <row r="86" spans="1:37" x14ac:dyDescent="0.15">
      <c r="A86" s="1">
        <f t="shared" ca="1" si="44"/>
        <v>9122133</v>
      </c>
      <c r="B86" s="1" t="str">
        <f t="shared" ca="1" si="29"/>
        <v>影袭·斩第1段</v>
      </c>
      <c r="C86" t="s">
        <v>151</v>
      </c>
      <c r="D86">
        <f t="shared" si="30"/>
        <v>1</v>
      </c>
      <c r="E86" s="42">
        <f t="shared" ca="1" si="45"/>
        <v>54</v>
      </c>
      <c r="F86" t="str">
        <f t="shared" ca="1" si="46"/>
        <v>第33级，共造成158.3%点伤害</v>
      </c>
      <c r="G86">
        <f t="shared" ca="1" si="47"/>
        <v>1</v>
      </c>
      <c r="H86">
        <f t="shared" si="31"/>
        <v>1</v>
      </c>
      <c r="I86" s="44">
        <f t="shared" ca="1" si="48"/>
        <v>33</v>
      </c>
      <c r="J86">
        <f t="shared" si="32"/>
        <v>2</v>
      </c>
      <c r="K86" s="36">
        <f t="shared" ca="1" si="33"/>
        <v>158.33333333333334</v>
      </c>
      <c r="L86" s="10">
        <f ca="1">AH86*VLOOKUP(C86,技能辅助查询表,技能配置辅助表!$T$1,FALSE)</f>
        <v>0</v>
      </c>
      <c r="M86">
        <f t="shared" ca="1" si="34"/>
        <v>5360</v>
      </c>
      <c r="N86" s="33">
        <f ca="1">CHOOSE(1,W86*U86,X86*'[1]0、经济设定'!$C$18)</f>
        <v>60576</v>
      </c>
      <c r="O86">
        <f t="shared" si="35"/>
        <v>2</v>
      </c>
      <c r="P86">
        <f t="shared" si="36"/>
        <v>1</v>
      </c>
      <c r="Q86">
        <f t="shared" si="37"/>
        <v>1</v>
      </c>
      <c r="R86" s="2">
        <f t="shared" si="38"/>
        <v>4</v>
      </c>
      <c r="S86" s="2">
        <f t="shared" si="39"/>
        <v>50</v>
      </c>
      <c r="T86" s="2">
        <f t="shared" si="40"/>
        <v>119.04761904761905</v>
      </c>
      <c r="U86" s="2">
        <f ca="1">VLOOKUP(E86,金币生产率!$A$2:$B$120,2,0)</f>
        <v>1893</v>
      </c>
      <c r="V86" s="2">
        <f t="shared" si="41"/>
        <v>119.04761904761905</v>
      </c>
      <c r="W86" s="45">
        <f t="shared" ca="1" si="54"/>
        <v>32</v>
      </c>
      <c r="X86" s="48">
        <f t="shared" ca="1" si="55"/>
        <v>438</v>
      </c>
      <c r="Y86">
        <f t="shared" si="42"/>
        <v>18</v>
      </c>
      <c r="Z86">
        <f t="shared" ca="1" si="49"/>
        <v>13</v>
      </c>
      <c r="AA86" t="str">
        <f t="shared" ca="1" si="50"/>
        <v>9122100.png</v>
      </c>
      <c r="AB86">
        <f t="shared" si="43"/>
        <v>20</v>
      </c>
      <c r="AC86">
        <f>VLOOKUP(C86,技能辅助查询表,技能配置辅助表!$W$1,FALSE)</f>
        <v>5600</v>
      </c>
      <c r="AD86">
        <f t="shared" ca="1" si="51"/>
        <v>97.722913361046224</v>
      </c>
      <c r="AE86">
        <f>VLOOKUP(C86,技能辅助查询表,技能配置辅助表!$U$1,FALSE)</f>
        <v>4</v>
      </c>
      <c r="AF86">
        <f t="shared" ca="1" si="52"/>
        <v>9122133</v>
      </c>
      <c r="AG86">
        <f t="shared" ca="1" si="56"/>
        <v>53.632653061224488</v>
      </c>
      <c r="AH86">
        <f t="shared" ca="1" si="53"/>
        <v>837.62497166611001</v>
      </c>
      <c r="AI86">
        <f ca="1">VLOOKUP(E86,伤害参考系!$C$4:$E$104,3,FALSE)*$AN$12</f>
        <v>7688.356211538463</v>
      </c>
      <c r="AJ86">
        <f>VLOOKUP(C86,技能辅助查询表,技能配置辅助表!$L$1,FALSE)</f>
        <v>1</v>
      </c>
      <c r="AK86">
        <f>VLOOKUP(C86,技能辅助查询表,技能配置辅助表!$AE$1,FALSE)</f>
        <v>66000113</v>
      </c>
    </row>
    <row r="87" spans="1:37" x14ac:dyDescent="0.15">
      <c r="A87" s="1">
        <f t="shared" ca="1" si="44"/>
        <v>9122134</v>
      </c>
      <c r="B87" s="1" t="str">
        <f t="shared" ca="1" si="29"/>
        <v>影袭·斩第1段</v>
      </c>
      <c r="C87" t="s">
        <v>151</v>
      </c>
      <c r="D87">
        <f t="shared" si="30"/>
        <v>1</v>
      </c>
      <c r="E87" s="42">
        <f t="shared" ca="1" si="45"/>
        <v>56</v>
      </c>
      <c r="F87" t="str">
        <f t="shared" ca="1" si="46"/>
        <v>第34级，共造成159.5%点伤害</v>
      </c>
      <c r="G87">
        <f t="shared" ca="1" si="47"/>
        <v>1</v>
      </c>
      <c r="H87">
        <f t="shared" si="31"/>
        <v>1</v>
      </c>
      <c r="I87" s="44">
        <f t="shared" ca="1" si="48"/>
        <v>34</v>
      </c>
      <c r="J87">
        <f t="shared" si="32"/>
        <v>2</v>
      </c>
      <c r="K87" s="36">
        <f t="shared" ca="1" si="33"/>
        <v>159.52380952380952</v>
      </c>
      <c r="L87" s="10">
        <f ca="1">AH87*VLOOKUP(C87,技能辅助查询表,技能配置辅助表!$T$1,FALSE)</f>
        <v>0</v>
      </c>
      <c r="M87">
        <f t="shared" ca="1" si="34"/>
        <v>5280</v>
      </c>
      <c r="N87" s="33">
        <f ca="1">CHOOSE(1,W87*U87,X87*'[1]0、经济设定'!$C$18)</f>
        <v>69428</v>
      </c>
      <c r="O87">
        <f t="shared" si="35"/>
        <v>2</v>
      </c>
      <c r="P87">
        <f t="shared" si="36"/>
        <v>1</v>
      </c>
      <c r="Q87">
        <f t="shared" si="37"/>
        <v>1</v>
      </c>
      <c r="R87" s="2">
        <f t="shared" si="38"/>
        <v>4</v>
      </c>
      <c r="S87" s="2">
        <f t="shared" si="39"/>
        <v>50</v>
      </c>
      <c r="T87" s="2">
        <f t="shared" si="40"/>
        <v>119.04761904761905</v>
      </c>
      <c r="U87" s="2">
        <f ca="1">VLOOKUP(E87,金币生产率!$A$2:$B$120,2,0)</f>
        <v>2042</v>
      </c>
      <c r="V87" s="2">
        <f t="shared" si="41"/>
        <v>119.04761904761905</v>
      </c>
      <c r="W87" s="45">
        <f t="shared" ca="1" si="54"/>
        <v>34</v>
      </c>
      <c r="X87" s="48">
        <f t="shared" ca="1" si="55"/>
        <v>472</v>
      </c>
      <c r="Y87">
        <f t="shared" si="42"/>
        <v>18</v>
      </c>
      <c r="Z87">
        <f t="shared" ca="1" si="49"/>
        <v>14</v>
      </c>
      <c r="AA87" t="str">
        <f t="shared" ca="1" si="50"/>
        <v>9122100.png</v>
      </c>
      <c r="AB87">
        <f t="shared" si="43"/>
        <v>20</v>
      </c>
      <c r="AC87">
        <f>VLOOKUP(C87,技能辅助查询表,技能配置辅助表!$W$1,FALSE)</f>
        <v>5600</v>
      </c>
      <c r="AD87">
        <f t="shared" ca="1" si="51"/>
        <v>113.52678117962634</v>
      </c>
      <c r="AE87">
        <f>VLOOKUP(C87,技能辅助查询表,技能配置辅助表!$U$1,FALSE)</f>
        <v>4</v>
      </c>
      <c r="AF87">
        <f t="shared" ca="1" si="52"/>
        <v>9122134</v>
      </c>
      <c r="AG87">
        <f t="shared" ca="1" si="56"/>
        <v>55.183673469387756</v>
      </c>
      <c r="AH87">
        <f t="shared" ca="1" si="53"/>
        <v>953.62496190886134</v>
      </c>
      <c r="AI87">
        <f ca="1">VLOOKUP(E87,伤害参考系!$C$4:$E$104,3,FALSE)*$AN$12</f>
        <v>8513.8763929765901</v>
      </c>
      <c r="AJ87">
        <f>VLOOKUP(C87,技能辅助查询表,技能配置辅助表!$L$1,FALSE)</f>
        <v>1</v>
      </c>
      <c r="AK87">
        <f>VLOOKUP(C87,技能辅助查询表,技能配置辅助表!$AE$1,FALSE)</f>
        <v>66000113</v>
      </c>
    </row>
    <row r="88" spans="1:37" x14ac:dyDescent="0.15">
      <c r="A88" s="1">
        <f t="shared" ca="1" si="44"/>
        <v>9122135</v>
      </c>
      <c r="B88" s="1" t="str">
        <f t="shared" ca="1" si="29"/>
        <v>影袭·斩第1段</v>
      </c>
      <c r="C88" t="s">
        <v>151</v>
      </c>
      <c r="D88">
        <f t="shared" si="30"/>
        <v>1</v>
      </c>
      <c r="E88" s="42">
        <f t="shared" ca="1" si="45"/>
        <v>57</v>
      </c>
      <c r="F88" t="str">
        <f t="shared" ca="1" si="46"/>
        <v>第35级，共造成160.7%点伤害</v>
      </c>
      <c r="G88">
        <f t="shared" ca="1" si="47"/>
        <v>1</v>
      </c>
      <c r="H88">
        <f t="shared" si="31"/>
        <v>1</v>
      </c>
      <c r="I88" s="44">
        <f t="shared" ca="1" si="48"/>
        <v>35</v>
      </c>
      <c r="J88">
        <f t="shared" si="32"/>
        <v>2</v>
      </c>
      <c r="K88" s="36">
        <f t="shared" ca="1" si="33"/>
        <v>160.71428571428572</v>
      </c>
      <c r="L88" s="10">
        <f ca="1">AH88*VLOOKUP(C88,技能辅助查询表,技能配置辅助表!$T$1,FALSE)</f>
        <v>0</v>
      </c>
      <c r="M88">
        <f t="shared" ca="1" si="34"/>
        <v>5200</v>
      </c>
      <c r="N88" s="33">
        <f ca="1">CHOOSE(1,W88*U88,X88*'[1]0、经济设定'!$C$18)</f>
        <v>76284</v>
      </c>
      <c r="O88">
        <f t="shared" si="35"/>
        <v>2</v>
      </c>
      <c r="P88">
        <f t="shared" si="36"/>
        <v>1</v>
      </c>
      <c r="Q88">
        <f t="shared" si="37"/>
        <v>1</v>
      </c>
      <c r="R88" s="2">
        <f t="shared" si="38"/>
        <v>4</v>
      </c>
      <c r="S88" s="2">
        <f t="shared" si="39"/>
        <v>50</v>
      </c>
      <c r="T88" s="2">
        <f t="shared" si="40"/>
        <v>119.04761904761905</v>
      </c>
      <c r="U88" s="2">
        <f ca="1">VLOOKUP(E88,金币生产率!$A$2:$B$120,2,0)</f>
        <v>2119</v>
      </c>
      <c r="V88" s="2">
        <f t="shared" si="41"/>
        <v>119.04761904761905</v>
      </c>
      <c r="W88" s="45">
        <f t="shared" ca="1" si="54"/>
        <v>36</v>
      </c>
      <c r="X88" s="48">
        <f t="shared" ca="1" si="55"/>
        <v>508</v>
      </c>
      <c r="Y88">
        <f t="shared" si="42"/>
        <v>18</v>
      </c>
      <c r="Z88">
        <f t="shared" ca="1" si="49"/>
        <v>15</v>
      </c>
      <c r="AA88" t="str">
        <f t="shared" ca="1" si="50"/>
        <v>9122100.png</v>
      </c>
      <c r="AB88">
        <f t="shared" si="43"/>
        <v>20</v>
      </c>
      <c r="AC88">
        <f>VLOOKUP(C88,技能辅助查询表,技能配置辅助表!$W$1,FALSE)</f>
        <v>5600</v>
      </c>
      <c r="AD88">
        <f t="shared" ca="1" si="51"/>
        <v>131.8337150407161</v>
      </c>
      <c r="AE88">
        <f>VLOOKUP(C88,技能辅助查询表,技能配置辅助表!$U$1,FALSE)</f>
        <v>4</v>
      </c>
      <c r="AF88">
        <f t="shared" ca="1" si="52"/>
        <v>9122135</v>
      </c>
      <c r="AG88">
        <f t="shared" ca="1" si="56"/>
        <v>56.734693877551024</v>
      </c>
      <c r="AH88">
        <f t="shared" ca="1" si="53"/>
        <v>1085.689417982368</v>
      </c>
      <c r="AI88">
        <f ca="1">VLOOKUP(E88,伤害参考系!$C$4:$E$104,3,FALSE)*$AN$12</f>
        <v>8942.2556036789319</v>
      </c>
      <c r="AJ88">
        <f>VLOOKUP(C88,技能辅助查询表,技能配置辅助表!$L$1,FALSE)</f>
        <v>1</v>
      </c>
      <c r="AK88">
        <f>VLOOKUP(C88,技能辅助查询表,技能配置辅助表!$AE$1,FALSE)</f>
        <v>66000113</v>
      </c>
    </row>
    <row r="89" spans="1:37" x14ac:dyDescent="0.15">
      <c r="A89" s="1">
        <f t="shared" ca="1" si="44"/>
        <v>9122136</v>
      </c>
      <c r="B89" s="1" t="str">
        <f t="shared" ca="1" si="29"/>
        <v>影袭·斩第1段</v>
      </c>
      <c r="C89" t="s">
        <v>151</v>
      </c>
      <c r="D89">
        <f t="shared" si="30"/>
        <v>1</v>
      </c>
      <c r="E89" s="42">
        <f t="shared" ca="1" si="45"/>
        <v>59</v>
      </c>
      <c r="F89" t="str">
        <f t="shared" ca="1" si="46"/>
        <v>第36级，共造成161.9%点伤害</v>
      </c>
      <c r="G89">
        <f t="shared" ca="1" si="47"/>
        <v>1</v>
      </c>
      <c r="H89">
        <f t="shared" si="31"/>
        <v>1</v>
      </c>
      <c r="I89" s="44">
        <f t="shared" ca="1" si="48"/>
        <v>36</v>
      </c>
      <c r="J89">
        <f t="shared" si="32"/>
        <v>2</v>
      </c>
      <c r="K89" s="36">
        <f t="shared" ca="1" si="33"/>
        <v>161.9047619047619</v>
      </c>
      <c r="L89" s="10">
        <f ca="1">AH89*VLOOKUP(C89,技能辅助查询表,技能配置辅助表!$T$1,FALSE)</f>
        <v>0</v>
      </c>
      <c r="M89">
        <f t="shared" ca="1" si="34"/>
        <v>5120</v>
      </c>
      <c r="N89" s="33">
        <f ca="1">CHOOSE(1,W89*U89,X89*'[1]0、经济设定'!$C$18)</f>
        <v>88803</v>
      </c>
      <c r="O89">
        <f t="shared" si="35"/>
        <v>2</v>
      </c>
      <c r="P89">
        <f t="shared" si="36"/>
        <v>1</v>
      </c>
      <c r="Q89">
        <f t="shared" si="37"/>
        <v>1</v>
      </c>
      <c r="R89" s="2">
        <f t="shared" si="38"/>
        <v>4</v>
      </c>
      <c r="S89" s="2">
        <f t="shared" si="39"/>
        <v>50</v>
      </c>
      <c r="T89" s="2">
        <f t="shared" si="40"/>
        <v>119.04761904761905</v>
      </c>
      <c r="U89" s="2">
        <f ca="1">VLOOKUP(E89,金币生产率!$A$2:$B$120,2,0)</f>
        <v>2277</v>
      </c>
      <c r="V89" s="2">
        <f t="shared" si="41"/>
        <v>119.04761904761905</v>
      </c>
      <c r="W89" s="45">
        <f t="shared" ca="1" si="54"/>
        <v>39</v>
      </c>
      <c r="X89" s="48">
        <f t="shared" ca="1" si="55"/>
        <v>547</v>
      </c>
      <c r="Y89">
        <f t="shared" si="42"/>
        <v>18</v>
      </c>
      <c r="Z89">
        <f t="shared" ca="1" si="49"/>
        <v>16</v>
      </c>
      <c r="AA89" t="str">
        <f t="shared" ca="1" si="50"/>
        <v>9122100.png</v>
      </c>
      <c r="AB89">
        <f t="shared" si="43"/>
        <v>20</v>
      </c>
      <c r="AC89">
        <f>VLOOKUP(C89,技能辅助查询表,技能配置辅助表!$W$1,FALSE)</f>
        <v>5600</v>
      </c>
      <c r="AD89">
        <f t="shared" ca="1" si="51"/>
        <v>153.03390218742106</v>
      </c>
      <c r="AE89">
        <f>VLOOKUP(C89,技能辅助查询表,技能配置辅助表!$U$1,FALSE)</f>
        <v>4</v>
      </c>
      <c r="AF89">
        <f t="shared" ca="1" si="52"/>
        <v>9122136</v>
      </c>
      <c r="AG89">
        <f t="shared" ca="1" si="56"/>
        <v>58.285714285714285</v>
      </c>
      <c r="AH89">
        <f t="shared" ca="1" si="53"/>
        <v>1236.0430561291703</v>
      </c>
      <c r="AI89">
        <f ca="1">VLOOKUP(E89,伤害参考系!$C$4:$E$104,3,FALSE)*$AN$12</f>
        <v>9830.2522650501687</v>
      </c>
      <c r="AJ89">
        <f>VLOOKUP(C89,技能辅助查询表,技能配置辅助表!$L$1,FALSE)</f>
        <v>1</v>
      </c>
      <c r="AK89">
        <f>VLOOKUP(C89,技能辅助查询表,技能配置辅助表!$AE$1,FALSE)</f>
        <v>66000113</v>
      </c>
    </row>
    <row r="90" spans="1:37" x14ac:dyDescent="0.15">
      <c r="A90" s="1">
        <f t="shared" ca="1" si="44"/>
        <v>9122137</v>
      </c>
      <c r="B90" s="1" t="str">
        <f t="shared" ca="1" si="29"/>
        <v>影袭·斩第1段</v>
      </c>
      <c r="C90" t="s">
        <v>151</v>
      </c>
      <c r="D90">
        <f t="shared" si="30"/>
        <v>1</v>
      </c>
      <c r="E90" s="42">
        <f t="shared" ca="1" si="45"/>
        <v>60</v>
      </c>
      <c r="F90" t="str">
        <f t="shared" ca="1" si="46"/>
        <v>第37级，共造成163.1%点伤害</v>
      </c>
      <c r="G90">
        <f t="shared" ca="1" si="47"/>
        <v>1</v>
      </c>
      <c r="H90">
        <f t="shared" si="31"/>
        <v>1</v>
      </c>
      <c r="I90" s="44">
        <f t="shared" ca="1" si="48"/>
        <v>37</v>
      </c>
      <c r="J90">
        <f t="shared" si="32"/>
        <v>2</v>
      </c>
      <c r="K90" s="36">
        <f t="shared" ca="1" si="33"/>
        <v>163.0952380952381</v>
      </c>
      <c r="L90" s="10">
        <f ca="1">AH90*VLOOKUP(C90,技能辅助查询表,技能配置辅助表!$T$1,FALSE)</f>
        <v>0</v>
      </c>
      <c r="M90">
        <f t="shared" ca="1" si="34"/>
        <v>5040</v>
      </c>
      <c r="N90" s="33">
        <f ca="1">CHOOSE(1,W90*U90,X90*'[1]0、经济设定'!$C$18)</f>
        <v>99036</v>
      </c>
      <c r="O90">
        <f t="shared" si="35"/>
        <v>2</v>
      </c>
      <c r="P90">
        <f t="shared" si="36"/>
        <v>1</v>
      </c>
      <c r="Q90">
        <f t="shared" si="37"/>
        <v>1</v>
      </c>
      <c r="R90" s="2">
        <f t="shared" si="38"/>
        <v>4</v>
      </c>
      <c r="S90" s="2">
        <f t="shared" si="39"/>
        <v>50</v>
      </c>
      <c r="T90" s="2">
        <f t="shared" si="40"/>
        <v>119.04761904761905</v>
      </c>
      <c r="U90" s="2">
        <f ca="1">VLOOKUP(E90,金币生产率!$A$2:$B$120,2,0)</f>
        <v>2358</v>
      </c>
      <c r="V90" s="2">
        <f t="shared" si="41"/>
        <v>119.04761904761905</v>
      </c>
      <c r="W90" s="45">
        <f t="shared" ca="1" si="54"/>
        <v>42</v>
      </c>
      <c r="X90" s="48">
        <f t="shared" ca="1" si="55"/>
        <v>589</v>
      </c>
      <c r="Y90">
        <f t="shared" si="42"/>
        <v>18</v>
      </c>
      <c r="Z90">
        <f t="shared" ca="1" si="49"/>
        <v>17</v>
      </c>
      <c r="AA90" t="str">
        <f t="shared" ca="1" si="50"/>
        <v>9122100.png</v>
      </c>
      <c r="AB90">
        <f t="shared" si="43"/>
        <v>20</v>
      </c>
      <c r="AC90">
        <f>VLOOKUP(C90,技能辅助查询表,技能配置辅助表!$W$1,FALSE)</f>
        <v>5600</v>
      </c>
      <c r="AD90">
        <f t="shared" ca="1" si="51"/>
        <v>177.57759614021001</v>
      </c>
      <c r="AE90">
        <f>VLOOKUP(C90,技能辅助查询表,技能配置辅助表!$U$1,FALSE)</f>
        <v>4</v>
      </c>
      <c r="AF90">
        <f t="shared" ca="1" si="52"/>
        <v>9122137</v>
      </c>
      <c r="AG90">
        <f t="shared" ca="1" si="56"/>
        <v>59.836734693877553</v>
      </c>
      <c r="AH90">
        <f t="shared" ca="1" si="53"/>
        <v>1407.2186863941167</v>
      </c>
      <c r="AI90">
        <f ca="1">VLOOKUP(E90,伤害参考系!$C$4:$E$104,3,FALSE)*$AN$12</f>
        <v>10340.558729096994</v>
      </c>
      <c r="AJ90">
        <f>VLOOKUP(C90,技能辅助查询表,技能配置辅助表!$L$1,FALSE)</f>
        <v>1</v>
      </c>
      <c r="AK90">
        <f>VLOOKUP(C90,技能辅助查询表,技能配置辅助表!$AE$1,FALSE)</f>
        <v>66000113</v>
      </c>
    </row>
    <row r="91" spans="1:37" x14ac:dyDescent="0.15">
      <c r="A91" s="1">
        <f t="shared" ca="1" si="44"/>
        <v>9122138</v>
      </c>
      <c r="B91" s="1" t="str">
        <f t="shared" ca="1" si="29"/>
        <v>影袭·斩第1段</v>
      </c>
      <c r="C91" t="s">
        <v>151</v>
      </c>
      <c r="D91">
        <f t="shared" si="30"/>
        <v>1</v>
      </c>
      <c r="E91" s="42">
        <f t="shared" ca="1" si="45"/>
        <v>62</v>
      </c>
      <c r="F91" t="str">
        <f t="shared" ca="1" si="46"/>
        <v>第38级，共造成164.3%点伤害</v>
      </c>
      <c r="G91">
        <f t="shared" ca="1" si="47"/>
        <v>1</v>
      </c>
      <c r="H91">
        <f t="shared" si="31"/>
        <v>1</v>
      </c>
      <c r="I91" s="44">
        <f t="shared" ca="1" si="48"/>
        <v>38</v>
      </c>
      <c r="J91">
        <f t="shared" si="32"/>
        <v>2</v>
      </c>
      <c r="K91" s="36">
        <f t="shared" ca="1" si="33"/>
        <v>164.28571428571428</v>
      </c>
      <c r="L91" s="10">
        <f ca="1">AH91*VLOOKUP(C91,技能辅助查询表,技能配置辅助表!$T$1,FALSE)</f>
        <v>0</v>
      </c>
      <c r="M91">
        <f t="shared" ca="1" si="34"/>
        <v>4960</v>
      </c>
      <c r="N91" s="33">
        <f ca="1">CHOOSE(1,W91*U91,X91*'[1]0、经济设定'!$C$18)</f>
        <v>113580</v>
      </c>
      <c r="O91">
        <f t="shared" si="35"/>
        <v>2</v>
      </c>
      <c r="P91">
        <f t="shared" si="36"/>
        <v>1</v>
      </c>
      <c r="Q91">
        <f t="shared" si="37"/>
        <v>1</v>
      </c>
      <c r="R91" s="2">
        <f t="shared" si="38"/>
        <v>4</v>
      </c>
      <c r="S91" s="2">
        <f t="shared" si="39"/>
        <v>50</v>
      </c>
      <c r="T91" s="2">
        <f t="shared" si="40"/>
        <v>119.04761904761905</v>
      </c>
      <c r="U91" s="2">
        <f ca="1">VLOOKUP(E91,金币生产率!$A$2:$B$120,2,0)</f>
        <v>2524</v>
      </c>
      <c r="V91" s="2">
        <f t="shared" si="41"/>
        <v>119.04761904761905</v>
      </c>
      <c r="W91" s="45">
        <f t="shared" ca="1" si="54"/>
        <v>45</v>
      </c>
      <c r="X91" s="48">
        <f t="shared" ca="1" si="55"/>
        <v>634</v>
      </c>
      <c r="Y91">
        <f t="shared" si="42"/>
        <v>18</v>
      </c>
      <c r="Z91">
        <f t="shared" ca="1" si="49"/>
        <v>18</v>
      </c>
      <c r="AA91" t="str">
        <f t="shared" ca="1" si="50"/>
        <v>9122100.png</v>
      </c>
      <c r="AB91">
        <f t="shared" si="43"/>
        <v>20</v>
      </c>
      <c r="AC91">
        <f>VLOOKUP(C91,技能辅助查询表,技能配置辅助表!$W$1,FALSE)</f>
        <v>5600</v>
      </c>
      <c r="AD91">
        <f t="shared" ca="1" si="51"/>
        <v>205.98427022719392</v>
      </c>
      <c r="AE91">
        <f>VLOOKUP(C91,技能辅助查询表,技能配置辅助表!$U$1,FALSE)</f>
        <v>4</v>
      </c>
      <c r="AF91">
        <f t="shared" ca="1" si="52"/>
        <v>9122138</v>
      </c>
      <c r="AG91">
        <f t="shared" ca="1" si="56"/>
        <v>61.387755102040813</v>
      </c>
      <c r="AH91">
        <f t="shared" ca="1" si="53"/>
        <v>1602.0998795448415</v>
      </c>
      <c r="AI91">
        <f ca="1">VLOOKUP(E91,伤害参考系!$C$4:$E$104,3,FALSE)*$AN$12</f>
        <v>11398.657545150505</v>
      </c>
      <c r="AJ91">
        <f>VLOOKUP(C91,技能辅助查询表,技能配置辅助表!$L$1,FALSE)</f>
        <v>1</v>
      </c>
      <c r="AK91">
        <f>VLOOKUP(C91,技能辅助查询表,技能配置辅助表!$AE$1,FALSE)</f>
        <v>66000113</v>
      </c>
    </row>
    <row r="92" spans="1:37" x14ac:dyDescent="0.15">
      <c r="A92" s="1">
        <f t="shared" ca="1" si="44"/>
        <v>9122139</v>
      </c>
      <c r="B92" s="1" t="str">
        <f t="shared" ca="1" si="29"/>
        <v>影袭·斩第1段</v>
      </c>
      <c r="C92" t="s">
        <v>151</v>
      </c>
      <c r="D92">
        <f t="shared" si="30"/>
        <v>1</v>
      </c>
      <c r="E92" s="42">
        <f t="shared" ca="1" si="45"/>
        <v>63</v>
      </c>
      <c r="F92" t="str">
        <f t="shared" ca="1" si="46"/>
        <v>第39级，共造成165.5%点伤害</v>
      </c>
      <c r="G92">
        <f t="shared" ca="1" si="47"/>
        <v>1</v>
      </c>
      <c r="H92">
        <f t="shared" si="31"/>
        <v>1</v>
      </c>
      <c r="I92" s="44">
        <f t="shared" ca="1" si="48"/>
        <v>39</v>
      </c>
      <c r="J92">
        <f t="shared" si="32"/>
        <v>2</v>
      </c>
      <c r="K92" s="36">
        <f t="shared" ca="1" si="33"/>
        <v>165.47619047619048</v>
      </c>
      <c r="L92" s="10">
        <f ca="1">AH92*VLOOKUP(C92,技能辅助查询表,技能配置辅助表!$T$1,FALSE)</f>
        <v>0</v>
      </c>
      <c r="M92">
        <f t="shared" ca="1" si="34"/>
        <v>4880</v>
      </c>
      <c r="N92" s="33">
        <f ca="1">CHOOSE(1,W92*U92,X92*'[1]0、经济设定'!$C$18)</f>
        <v>125232</v>
      </c>
      <c r="O92">
        <f t="shared" si="35"/>
        <v>2</v>
      </c>
      <c r="P92">
        <f t="shared" si="36"/>
        <v>1</v>
      </c>
      <c r="Q92">
        <f t="shared" si="37"/>
        <v>1</v>
      </c>
      <c r="R92" s="2">
        <f t="shared" si="38"/>
        <v>4</v>
      </c>
      <c r="S92" s="2">
        <f t="shared" si="39"/>
        <v>50</v>
      </c>
      <c r="T92" s="2">
        <f t="shared" si="40"/>
        <v>119.04761904761905</v>
      </c>
      <c r="U92" s="2">
        <f ca="1">VLOOKUP(E92,金币生产率!$A$2:$B$120,2,0)</f>
        <v>2609</v>
      </c>
      <c r="V92" s="2">
        <f t="shared" si="41"/>
        <v>119.04761904761905</v>
      </c>
      <c r="W92" s="45">
        <f t="shared" ca="1" si="54"/>
        <v>48</v>
      </c>
      <c r="X92" s="48">
        <f t="shared" ca="1" si="55"/>
        <v>682</v>
      </c>
      <c r="Y92">
        <f t="shared" si="42"/>
        <v>18</v>
      </c>
      <c r="Z92">
        <f t="shared" ca="1" si="49"/>
        <v>20</v>
      </c>
      <c r="AA92" t="str">
        <f t="shared" ca="1" si="50"/>
        <v>9122100.png</v>
      </c>
      <c r="AB92">
        <f t="shared" si="43"/>
        <v>20</v>
      </c>
      <c r="AC92">
        <f>VLOOKUP(C92,技能辅助查询表,技能配置辅助表!$W$1,FALSE)</f>
        <v>5600</v>
      </c>
      <c r="AD92">
        <f t="shared" ca="1" si="51"/>
        <v>238.85315441388576</v>
      </c>
      <c r="AE92">
        <f>VLOOKUP(C92,技能辅助查询表,技能配置辅助表!$U$1,FALSE)</f>
        <v>4</v>
      </c>
      <c r="AF92">
        <f t="shared" ca="1" si="52"/>
        <v>9122139</v>
      </c>
      <c r="AG92">
        <f t="shared" ca="1" si="56"/>
        <v>62.938775510204081</v>
      </c>
      <c r="AH92">
        <f t="shared" ca="1" si="53"/>
        <v>1823.9695427969455</v>
      </c>
      <c r="AI92">
        <f ca="1">VLOOKUP(E92,伤害参考系!$C$4:$E$104,3,FALSE)*$AN$12</f>
        <v>11946.449897157196</v>
      </c>
      <c r="AJ92">
        <f>VLOOKUP(C92,技能辅助查询表,技能配置辅助表!$L$1,FALSE)</f>
        <v>1</v>
      </c>
      <c r="AK92">
        <f>VLOOKUP(C92,技能辅助查询表,技能配置辅助表!$AE$1,FALSE)</f>
        <v>66000113</v>
      </c>
    </row>
    <row r="93" spans="1:37" x14ac:dyDescent="0.15">
      <c r="A93" s="1">
        <f t="shared" ca="1" si="44"/>
        <v>9122140</v>
      </c>
      <c r="B93" s="1" t="str">
        <f t="shared" ca="1" si="29"/>
        <v>影袭·斩第1段</v>
      </c>
      <c r="C93" t="s">
        <v>151</v>
      </c>
      <c r="D93">
        <f t="shared" si="30"/>
        <v>1</v>
      </c>
      <c r="E93" s="42">
        <f t="shared" ca="1" si="45"/>
        <v>65</v>
      </c>
      <c r="F93" t="str">
        <f t="shared" ca="1" si="46"/>
        <v>第40级，共造成166.7%点伤害</v>
      </c>
      <c r="G93">
        <f t="shared" ca="1" si="47"/>
        <v>1</v>
      </c>
      <c r="H93">
        <f t="shared" si="31"/>
        <v>1</v>
      </c>
      <c r="I93" s="44">
        <f t="shared" ca="1" si="48"/>
        <v>40</v>
      </c>
      <c r="J93">
        <f t="shared" si="32"/>
        <v>2</v>
      </c>
      <c r="K93" s="36">
        <f t="shared" ca="1" si="33"/>
        <v>166.66666666666669</v>
      </c>
      <c r="L93" s="10">
        <f ca="1">AH93*VLOOKUP(C93,技能辅助查询表,技能配置辅助表!$T$1,FALSE)</f>
        <v>0</v>
      </c>
      <c r="M93">
        <f t="shared" ca="1" si="34"/>
        <v>4800</v>
      </c>
      <c r="N93" s="33">
        <f ca="1">CHOOSE(1,W93*U93,X93*'[1]0、经济设定'!$C$18)</f>
        <v>141933</v>
      </c>
      <c r="O93">
        <f t="shared" si="35"/>
        <v>2</v>
      </c>
      <c r="P93">
        <f t="shared" si="36"/>
        <v>1</v>
      </c>
      <c r="Q93">
        <f t="shared" si="37"/>
        <v>1</v>
      </c>
      <c r="R93" s="2">
        <f t="shared" si="38"/>
        <v>4</v>
      </c>
      <c r="S93" s="2">
        <f t="shared" si="39"/>
        <v>50</v>
      </c>
      <c r="T93" s="2">
        <f t="shared" si="40"/>
        <v>119.04761904761905</v>
      </c>
      <c r="U93" s="2">
        <f ca="1">VLOOKUP(E93,金币生产率!$A$2:$B$120,2,0)</f>
        <v>2783</v>
      </c>
      <c r="V93" s="2">
        <f t="shared" si="41"/>
        <v>119.04761904761905</v>
      </c>
      <c r="W93" s="45">
        <f t="shared" ca="1" si="54"/>
        <v>51</v>
      </c>
      <c r="X93" s="48">
        <f t="shared" ca="1" si="55"/>
        <v>733</v>
      </c>
      <c r="Y93">
        <f t="shared" si="42"/>
        <v>18</v>
      </c>
      <c r="Z93">
        <f t="shared" ca="1" si="49"/>
        <v>21</v>
      </c>
      <c r="AA93" t="str">
        <f t="shared" ca="1" si="50"/>
        <v>9122100.png</v>
      </c>
      <c r="AB93">
        <f t="shared" si="43"/>
        <v>20</v>
      </c>
      <c r="AC93">
        <f>VLOOKUP(C93,技能辅助查询表,技能配置辅助表!$W$1,FALSE)</f>
        <v>5600</v>
      </c>
      <c r="AD93">
        <f t="shared" ca="1" si="51"/>
        <v>276.8753630180301</v>
      </c>
      <c r="AE93">
        <f>VLOOKUP(C93,技能辅助查询表,技能配置辅助表!$U$1,FALSE)</f>
        <v>4</v>
      </c>
      <c r="AF93">
        <f t="shared" ca="1" si="52"/>
        <v>9122140</v>
      </c>
      <c r="AG93">
        <f t="shared" ca="1" si="56"/>
        <v>64.489795918367349</v>
      </c>
      <c r="AH93">
        <f t="shared" ca="1" si="53"/>
        <v>2076.5652226352254</v>
      </c>
      <c r="AI93">
        <f ca="1">VLOOKUP(E93,伤害参考系!$C$4:$E$104,3,FALSE)*$AN$12</f>
        <v>13079.520489130437</v>
      </c>
      <c r="AJ93">
        <f>VLOOKUP(C93,技能辅助查询表,技能配置辅助表!$L$1,FALSE)</f>
        <v>1</v>
      </c>
      <c r="AK93">
        <f>VLOOKUP(C93,技能辅助查询表,技能配置辅助表!$AE$1,FALSE)</f>
        <v>66000113</v>
      </c>
    </row>
    <row r="94" spans="1:37" x14ac:dyDescent="0.15">
      <c r="A94" s="1">
        <f t="shared" ca="1" si="44"/>
        <v>9122141</v>
      </c>
      <c r="B94" s="1" t="str">
        <f t="shared" ca="1" si="29"/>
        <v>影袭·斩第1段</v>
      </c>
      <c r="C94" t="s">
        <v>151</v>
      </c>
      <c r="D94">
        <f t="shared" si="30"/>
        <v>1</v>
      </c>
      <c r="E94" s="42">
        <f t="shared" ca="1" si="45"/>
        <v>66</v>
      </c>
      <c r="F94" t="str">
        <f t="shared" ca="1" si="46"/>
        <v>第41级，共造成167.9%点伤害</v>
      </c>
      <c r="G94">
        <f t="shared" ca="1" si="47"/>
        <v>1</v>
      </c>
      <c r="H94">
        <f t="shared" si="31"/>
        <v>1</v>
      </c>
      <c r="I94" s="44">
        <f t="shared" ca="1" si="48"/>
        <v>41</v>
      </c>
      <c r="J94">
        <f t="shared" si="32"/>
        <v>2</v>
      </c>
      <c r="K94" s="36">
        <f t="shared" ca="1" si="33"/>
        <v>167.85714285714286</v>
      </c>
      <c r="L94" s="10">
        <f ca="1">AH94*VLOOKUP(C94,技能辅助查询表,技能配置辅助表!$T$1,FALSE)</f>
        <v>0</v>
      </c>
      <c r="M94">
        <f t="shared" ca="1" si="34"/>
        <v>4720</v>
      </c>
      <c r="N94" s="33">
        <f ca="1">CHOOSE(1,W94*U94,X94*'[1]0、经济设定'!$C$18)</f>
        <v>157960</v>
      </c>
      <c r="O94">
        <f t="shared" si="35"/>
        <v>2</v>
      </c>
      <c r="P94">
        <f t="shared" si="36"/>
        <v>1</v>
      </c>
      <c r="Q94">
        <f t="shared" si="37"/>
        <v>1</v>
      </c>
      <c r="R94" s="2">
        <f t="shared" si="38"/>
        <v>4</v>
      </c>
      <c r="S94" s="2">
        <f t="shared" si="39"/>
        <v>50</v>
      </c>
      <c r="T94" s="2">
        <f t="shared" si="40"/>
        <v>119.04761904761905</v>
      </c>
      <c r="U94" s="2">
        <f ca="1">VLOOKUP(E94,金币生产率!$A$2:$B$120,2,0)</f>
        <v>2872</v>
      </c>
      <c r="V94" s="2">
        <f t="shared" si="41"/>
        <v>119.04761904761905</v>
      </c>
      <c r="W94" s="45">
        <f t="shared" ca="1" si="54"/>
        <v>55</v>
      </c>
      <c r="X94" s="48">
        <f t="shared" ca="1" si="55"/>
        <v>788</v>
      </c>
      <c r="Y94">
        <f t="shared" si="42"/>
        <v>18</v>
      </c>
      <c r="Z94">
        <f t="shared" ca="1" si="49"/>
        <v>22</v>
      </c>
      <c r="AA94" t="str">
        <f t="shared" ca="1" si="50"/>
        <v>9122100.png</v>
      </c>
      <c r="AB94">
        <f t="shared" si="43"/>
        <v>20</v>
      </c>
      <c r="AC94">
        <f>VLOOKUP(C94,技能辅助查询表,技能配置辅助表!$W$1,FALSE)</f>
        <v>5600</v>
      </c>
      <c r="AD94">
        <f t="shared" ca="1" si="51"/>
        <v>320.84785186108957</v>
      </c>
      <c r="AE94">
        <f>VLOOKUP(C94,技能辅助查询表,技能配置辅助表!$U$1,FALSE)</f>
        <v>4</v>
      </c>
      <c r="AF94">
        <f t="shared" ca="1" si="52"/>
        <v>9122141</v>
      </c>
      <c r="AG94">
        <f t="shared" ca="1" si="56"/>
        <v>66.040816326530603</v>
      </c>
      <c r="AH94">
        <f t="shared" ca="1" si="53"/>
        <v>2364.1420663448707</v>
      </c>
      <c r="AI94">
        <f ca="1">VLOOKUP(E94,伤害参考系!$C$4:$E$104,3,FALSE)*$AN$12</f>
        <v>13664.798729096996</v>
      </c>
      <c r="AJ94">
        <f>VLOOKUP(C94,技能辅助查询表,技能配置辅助表!$L$1,FALSE)</f>
        <v>1</v>
      </c>
      <c r="AK94">
        <f>VLOOKUP(C94,技能辅助查询表,技能配置辅助表!$AE$1,FALSE)</f>
        <v>66000113</v>
      </c>
    </row>
    <row r="95" spans="1:37" x14ac:dyDescent="0.15">
      <c r="A95" s="1">
        <f t="shared" ca="1" si="44"/>
        <v>9122142</v>
      </c>
      <c r="B95" s="1" t="str">
        <f t="shared" ca="1" si="29"/>
        <v>影袭·斩第1段</v>
      </c>
      <c r="C95" t="s">
        <v>151</v>
      </c>
      <c r="D95">
        <f t="shared" si="30"/>
        <v>1</v>
      </c>
      <c r="E95" s="42">
        <f t="shared" ca="1" si="45"/>
        <v>68</v>
      </c>
      <c r="F95" t="str">
        <f t="shared" ca="1" si="46"/>
        <v>第42级，共造成169%点伤害</v>
      </c>
      <c r="G95">
        <f t="shared" ca="1" si="47"/>
        <v>1</v>
      </c>
      <c r="H95">
        <f t="shared" si="31"/>
        <v>1</v>
      </c>
      <c r="I95" s="44">
        <f t="shared" ca="1" si="48"/>
        <v>42</v>
      </c>
      <c r="J95">
        <f t="shared" si="32"/>
        <v>2</v>
      </c>
      <c r="K95" s="36">
        <f t="shared" ca="1" si="33"/>
        <v>169.04761904761904</v>
      </c>
      <c r="L95" s="10">
        <f ca="1">AH95*VLOOKUP(C95,技能辅助查询表,技能配置辅助表!$T$1,FALSE)</f>
        <v>0</v>
      </c>
      <c r="M95">
        <f t="shared" ca="1" si="34"/>
        <v>4640</v>
      </c>
      <c r="N95" s="33">
        <f ca="1">CHOOSE(1,W95*U95,X95*'[1]0、经济设定'!$C$18)</f>
        <v>177132</v>
      </c>
      <c r="O95">
        <f t="shared" si="35"/>
        <v>2</v>
      </c>
      <c r="P95">
        <f t="shared" si="36"/>
        <v>1</v>
      </c>
      <c r="Q95">
        <f t="shared" si="37"/>
        <v>1</v>
      </c>
      <c r="R95" s="2">
        <f t="shared" si="38"/>
        <v>4</v>
      </c>
      <c r="S95" s="2">
        <f t="shared" si="39"/>
        <v>50</v>
      </c>
      <c r="T95" s="2">
        <f t="shared" si="40"/>
        <v>119.04761904761905</v>
      </c>
      <c r="U95" s="2">
        <f ca="1">VLOOKUP(E95,金币生产率!$A$2:$B$120,2,0)</f>
        <v>3054</v>
      </c>
      <c r="V95" s="2">
        <f t="shared" si="41"/>
        <v>119.04761904761905</v>
      </c>
      <c r="W95" s="45">
        <f t="shared" ca="1" si="54"/>
        <v>58</v>
      </c>
      <c r="X95" s="48">
        <f t="shared" ca="1" si="55"/>
        <v>846</v>
      </c>
      <c r="Y95">
        <f t="shared" si="42"/>
        <v>18</v>
      </c>
      <c r="Z95">
        <f t="shared" ca="1" si="49"/>
        <v>24</v>
      </c>
      <c r="AA95" t="str">
        <f t="shared" ca="1" si="50"/>
        <v>9122100.png</v>
      </c>
      <c r="AB95">
        <f t="shared" si="43"/>
        <v>20</v>
      </c>
      <c r="AC95">
        <f>VLOOKUP(C95,技能辅助查询表,技能配置辅助表!$W$1,FALSE)</f>
        <v>5600</v>
      </c>
      <c r="AD95">
        <f t="shared" ca="1" si="51"/>
        <v>371.68947896952648</v>
      </c>
      <c r="AE95">
        <f>VLOOKUP(C95,技能辅助查询表,技能配置辅助表!$U$1,FALSE)</f>
        <v>4</v>
      </c>
      <c r="AF95">
        <f t="shared" ca="1" si="52"/>
        <v>9122142</v>
      </c>
      <c r="AG95">
        <f t="shared" ca="1" si="56"/>
        <v>67.591836734693885</v>
      </c>
      <c r="AH95">
        <f t="shared" ca="1" si="53"/>
        <v>2691.5445028827789</v>
      </c>
      <c r="AI95">
        <f ca="1">VLOOKUP(E95,伤害参考系!$C$4:$E$104,3,FALSE)*$AN$12</f>
        <v>14872.841096989978</v>
      </c>
      <c r="AJ95">
        <f>VLOOKUP(C95,技能辅助查询表,技能配置辅助表!$L$1,FALSE)</f>
        <v>1</v>
      </c>
      <c r="AK95">
        <f>VLOOKUP(C95,技能辅助查询表,技能配置辅助表!$AE$1,FALSE)</f>
        <v>66000113</v>
      </c>
    </row>
    <row r="96" spans="1:37" x14ac:dyDescent="0.15">
      <c r="A96" s="1">
        <f t="shared" ca="1" si="44"/>
        <v>9122143</v>
      </c>
      <c r="B96" s="1" t="str">
        <f t="shared" ca="1" si="29"/>
        <v>影袭·斩第1段</v>
      </c>
      <c r="C96" t="s">
        <v>151</v>
      </c>
      <c r="D96">
        <f t="shared" si="30"/>
        <v>1</v>
      </c>
      <c r="E96" s="42">
        <f t="shared" ca="1" si="45"/>
        <v>69</v>
      </c>
      <c r="F96" t="str">
        <f t="shared" ca="1" si="46"/>
        <v>第43级，共造成170.2%点伤害</v>
      </c>
      <c r="G96">
        <f t="shared" ca="1" si="47"/>
        <v>1</v>
      </c>
      <c r="H96">
        <f t="shared" si="31"/>
        <v>1</v>
      </c>
      <c r="I96" s="44">
        <f t="shared" ca="1" si="48"/>
        <v>43</v>
      </c>
      <c r="J96">
        <f t="shared" si="32"/>
        <v>2</v>
      </c>
      <c r="K96" s="36">
        <f t="shared" ca="1" si="33"/>
        <v>170.23809523809524</v>
      </c>
      <c r="L96" s="10">
        <f ca="1">AH96*VLOOKUP(C96,技能辅助查询表,技能配置辅助表!$T$1,FALSE)</f>
        <v>0</v>
      </c>
      <c r="M96">
        <f t="shared" ca="1" si="34"/>
        <v>4560</v>
      </c>
      <c r="N96" s="33">
        <f ca="1">CHOOSE(1,W96*U96,X96*'[1]0、经济设定'!$C$18)</f>
        <v>198261</v>
      </c>
      <c r="O96">
        <f t="shared" si="35"/>
        <v>2</v>
      </c>
      <c r="P96">
        <f t="shared" si="36"/>
        <v>1</v>
      </c>
      <c r="Q96">
        <f t="shared" si="37"/>
        <v>1</v>
      </c>
      <c r="R96" s="2">
        <f t="shared" si="38"/>
        <v>4</v>
      </c>
      <c r="S96" s="2">
        <f t="shared" si="39"/>
        <v>50</v>
      </c>
      <c r="T96" s="2">
        <f t="shared" si="40"/>
        <v>119.04761904761905</v>
      </c>
      <c r="U96" s="2">
        <f ca="1">VLOOKUP(E96,金币生产率!$A$2:$B$120,2,0)</f>
        <v>3147</v>
      </c>
      <c r="V96" s="2">
        <f t="shared" si="41"/>
        <v>119.04761904761905</v>
      </c>
      <c r="W96" s="45">
        <f t="shared" ca="1" si="54"/>
        <v>63</v>
      </c>
      <c r="X96" s="48">
        <f t="shared" ca="1" si="55"/>
        <v>909</v>
      </c>
      <c r="Y96">
        <f t="shared" si="42"/>
        <v>18</v>
      </c>
      <c r="Z96">
        <f t="shared" ca="1" si="49"/>
        <v>26</v>
      </c>
      <c r="AA96" t="str">
        <f t="shared" ca="1" si="50"/>
        <v>9122100.png</v>
      </c>
      <c r="AB96">
        <f t="shared" si="43"/>
        <v>20</v>
      </c>
      <c r="AC96">
        <f>VLOOKUP(C96,技能辅助查询表,技能配置辅助表!$W$1,FALSE)</f>
        <v>5600</v>
      </c>
      <c r="AD96">
        <f t="shared" ca="1" si="51"/>
        <v>430.45948377509148</v>
      </c>
      <c r="AE96">
        <f>VLOOKUP(C96,技能辅助查询表,技能配置辅助表!$U$1,FALSE)</f>
        <v>4</v>
      </c>
      <c r="AF96">
        <f t="shared" ca="1" si="52"/>
        <v>9122143</v>
      </c>
      <c r="AG96">
        <f t="shared" ca="1" si="56"/>
        <v>69.142857142857139</v>
      </c>
      <c r="AH96">
        <f t="shared" ca="1" si="53"/>
        <v>3064.2878506023458</v>
      </c>
      <c r="AI96">
        <f ca="1">VLOOKUP(E96,伤害参考系!$C$4:$E$104,3,FALSE)*$AN$12</f>
        <v>15495.605224916402</v>
      </c>
      <c r="AJ96">
        <f>VLOOKUP(C96,技能辅助查询表,技能配置辅助表!$L$1,FALSE)</f>
        <v>1</v>
      </c>
      <c r="AK96">
        <f>VLOOKUP(C96,技能辅助查询表,技能配置辅助表!$AE$1,FALSE)</f>
        <v>66000113</v>
      </c>
    </row>
    <row r="97" spans="1:37" x14ac:dyDescent="0.15">
      <c r="A97" s="1">
        <f t="shared" ca="1" si="44"/>
        <v>9122144</v>
      </c>
      <c r="B97" s="1" t="str">
        <f t="shared" ca="1" si="29"/>
        <v>影袭·斩第1段</v>
      </c>
      <c r="C97" t="s">
        <v>151</v>
      </c>
      <c r="D97">
        <f t="shared" si="30"/>
        <v>1</v>
      </c>
      <c r="E97" s="42">
        <f t="shared" ca="1" si="45"/>
        <v>71</v>
      </c>
      <c r="F97" t="str">
        <f t="shared" ca="1" si="46"/>
        <v>第44级，共造成171.4%点伤害</v>
      </c>
      <c r="G97">
        <f t="shared" ca="1" si="47"/>
        <v>1</v>
      </c>
      <c r="H97">
        <f t="shared" si="31"/>
        <v>1</v>
      </c>
      <c r="I97" s="44">
        <f t="shared" ca="1" si="48"/>
        <v>44</v>
      </c>
      <c r="J97">
        <f t="shared" si="32"/>
        <v>2</v>
      </c>
      <c r="K97" s="36">
        <f t="shared" ca="1" si="33"/>
        <v>171.42857142857144</v>
      </c>
      <c r="L97" s="10">
        <f ca="1">AH97*VLOOKUP(C97,技能辅助查询表,技能配置辅助表!$T$1,FALSE)</f>
        <v>0</v>
      </c>
      <c r="M97">
        <f t="shared" ca="1" si="34"/>
        <v>4480</v>
      </c>
      <c r="N97" s="33">
        <f ca="1">CHOOSE(1,W97*U97,X97*'[1]0、经济设定'!$C$18)</f>
        <v>223646</v>
      </c>
      <c r="O97">
        <f t="shared" si="35"/>
        <v>2</v>
      </c>
      <c r="P97">
        <f t="shared" si="36"/>
        <v>1</v>
      </c>
      <c r="Q97">
        <f t="shared" si="37"/>
        <v>1</v>
      </c>
      <c r="R97" s="2">
        <f t="shared" si="38"/>
        <v>4</v>
      </c>
      <c r="S97" s="2">
        <f t="shared" si="39"/>
        <v>50</v>
      </c>
      <c r="T97" s="2">
        <f t="shared" si="40"/>
        <v>119.04761904761905</v>
      </c>
      <c r="U97" s="2">
        <f ca="1">VLOOKUP(E97,金币生产率!$A$2:$B$120,2,0)</f>
        <v>3338</v>
      </c>
      <c r="V97" s="2">
        <f t="shared" si="41"/>
        <v>119.04761904761905</v>
      </c>
      <c r="W97" s="45">
        <f t="shared" ca="1" si="54"/>
        <v>67</v>
      </c>
      <c r="X97" s="48">
        <f t="shared" ca="1" si="55"/>
        <v>976</v>
      </c>
      <c r="Y97">
        <f t="shared" si="42"/>
        <v>18</v>
      </c>
      <c r="Z97">
        <f t="shared" ca="1" si="49"/>
        <v>27</v>
      </c>
      <c r="AA97" t="str">
        <f t="shared" ca="1" si="50"/>
        <v>9122100.png</v>
      </c>
      <c r="AB97">
        <f t="shared" si="43"/>
        <v>20</v>
      </c>
      <c r="AC97">
        <f>VLOOKUP(C97,技能辅助查询表,技能配置辅助表!$W$1,FALSE)</f>
        <v>5600</v>
      </c>
      <c r="AD97">
        <f t="shared" ca="1" si="51"/>
        <v>498.37874665282482</v>
      </c>
      <c r="AE97">
        <f>VLOOKUP(C97,技能辅助查询表,技能配置辅助表!$U$1,FALSE)</f>
        <v>4</v>
      </c>
      <c r="AF97">
        <f t="shared" ca="1" si="52"/>
        <v>9122144</v>
      </c>
      <c r="AG97">
        <f t="shared" ca="1" si="56"/>
        <v>70.693877551020407</v>
      </c>
      <c r="AH97">
        <f t="shared" ca="1" si="53"/>
        <v>3488.6512265697725</v>
      </c>
      <c r="AI97">
        <f ca="1">VLOOKUP(E97,伤害参考系!$C$4:$E$104,3,FALSE)*$AN$12</f>
        <v>16902.905438127098</v>
      </c>
      <c r="AJ97">
        <f>VLOOKUP(C97,技能辅助查询表,技能配置辅助表!$L$1,FALSE)</f>
        <v>1</v>
      </c>
      <c r="AK97">
        <f>VLOOKUP(C97,技能辅助查询表,技能配置辅助表!$AE$1,FALSE)</f>
        <v>66000113</v>
      </c>
    </row>
    <row r="98" spans="1:37" x14ac:dyDescent="0.15">
      <c r="A98" s="1">
        <f t="shared" ca="1" si="44"/>
        <v>9122145</v>
      </c>
      <c r="B98" s="1" t="str">
        <f t="shared" ca="1" si="29"/>
        <v>影袭·斩第1段</v>
      </c>
      <c r="C98" t="s">
        <v>151</v>
      </c>
      <c r="D98">
        <f t="shared" si="30"/>
        <v>1</v>
      </c>
      <c r="E98" s="42">
        <f t="shared" ca="1" si="45"/>
        <v>72</v>
      </c>
      <c r="F98" t="str">
        <f t="shared" ca="1" si="46"/>
        <v>第45级，共造成172.6%点伤害</v>
      </c>
      <c r="G98">
        <f t="shared" ca="1" si="47"/>
        <v>1</v>
      </c>
      <c r="H98">
        <f t="shared" si="31"/>
        <v>1</v>
      </c>
      <c r="I98" s="44">
        <f t="shared" ca="1" si="48"/>
        <v>45</v>
      </c>
      <c r="J98">
        <f t="shared" si="32"/>
        <v>2</v>
      </c>
      <c r="K98" s="36">
        <f t="shared" ca="1" si="33"/>
        <v>172.61904761904762</v>
      </c>
      <c r="L98" s="10">
        <f ca="1">AH98*VLOOKUP(C98,技能辅助查询表,技能配置辅助表!$T$1,FALSE)</f>
        <v>0</v>
      </c>
      <c r="M98">
        <f t="shared" ca="1" si="34"/>
        <v>4400</v>
      </c>
      <c r="N98" s="33">
        <f ca="1">CHOOSE(1,W98*U98,X98*'[1]0、经济设定'!$C$18)</f>
        <v>247320</v>
      </c>
      <c r="O98">
        <f t="shared" si="35"/>
        <v>2</v>
      </c>
      <c r="P98">
        <f t="shared" si="36"/>
        <v>1</v>
      </c>
      <c r="Q98">
        <f t="shared" si="37"/>
        <v>1</v>
      </c>
      <c r="R98" s="2">
        <f t="shared" si="38"/>
        <v>4</v>
      </c>
      <c r="S98" s="2">
        <f t="shared" si="39"/>
        <v>50</v>
      </c>
      <c r="T98" s="2">
        <f t="shared" si="40"/>
        <v>119.04761904761905</v>
      </c>
      <c r="U98" s="2">
        <f ca="1">VLOOKUP(E98,金币生产率!$A$2:$B$120,2,0)</f>
        <v>3435</v>
      </c>
      <c r="V98" s="2">
        <f t="shared" si="41"/>
        <v>119.04761904761905</v>
      </c>
      <c r="W98" s="45">
        <f t="shared" ca="1" si="54"/>
        <v>72</v>
      </c>
      <c r="X98" s="48">
        <f t="shared" ca="1" si="55"/>
        <v>1048</v>
      </c>
      <c r="Y98">
        <f t="shared" si="42"/>
        <v>18</v>
      </c>
      <c r="Z98">
        <f t="shared" ca="1" si="49"/>
        <v>29</v>
      </c>
      <c r="AA98" t="str">
        <f t="shared" ca="1" si="50"/>
        <v>9122100.png</v>
      </c>
      <c r="AB98">
        <f t="shared" si="43"/>
        <v>20</v>
      </c>
      <c r="AC98">
        <f>VLOOKUP(C98,技能辅助查询表,技能配置辅助表!$W$1,FALSE)</f>
        <v>5600</v>
      </c>
      <c r="AD98">
        <f t="shared" ca="1" si="51"/>
        <v>576.85424447184187</v>
      </c>
      <c r="AE98">
        <f>VLOOKUP(C98,技能辅助查询表,技能配置辅助表!$U$1,FALSE)</f>
        <v>4</v>
      </c>
      <c r="AF98">
        <f t="shared" ca="1" si="52"/>
        <v>9122145</v>
      </c>
      <c r="AG98">
        <f t="shared" ca="1" si="56"/>
        <v>72.244897959183675</v>
      </c>
      <c r="AH98">
        <f t="shared" ca="1" si="53"/>
        <v>3971.7833225930094</v>
      </c>
      <c r="AI98">
        <f ca="1">VLOOKUP(E98,伤害参考系!$C$4:$E$104,3,FALSE)*$AN$12</f>
        <v>17628.422312709041</v>
      </c>
      <c r="AJ98">
        <f>VLOOKUP(C98,技能辅助查询表,技能配置辅助表!$L$1,FALSE)</f>
        <v>1</v>
      </c>
      <c r="AK98">
        <f>VLOOKUP(C98,技能辅助查询表,技能配置辅助表!$AE$1,FALSE)</f>
        <v>66000113</v>
      </c>
    </row>
    <row r="99" spans="1:37" x14ac:dyDescent="0.15">
      <c r="A99" s="1">
        <f t="shared" ca="1" si="44"/>
        <v>9122146</v>
      </c>
      <c r="B99" s="1" t="str">
        <f t="shared" ca="1" si="29"/>
        <v>影袭·斩第1段</v>
      </c>
      <c r="C99" t="s">
        <v>151</v>
      </c>
      <c r="D99">
        <f t="shared" si="30"/>
        <v>1</v>
      </c>
      <c r="E99" s="42">
        <f t="shared" ca="1" si="45"/>
        <v>74</v>
      </c>
      <c r="F99" t="str">
        <f t="shared" ca="1" si="46"/>
        <v>第46级，共造成173.8%点伤害</v>
      </c>
      <c r="G99">
        <f t="shared" ca="1" si="47"/>
        <v>1</v>
      </c>
      <c r="H99">
        <f t="shared" si="31"/>
        <v>1</v>
      </c>
      <c r="I99" s="44">
        <f t="shared" ca="1" si="48"/>
        <v>46</v>
      </c>
      <c r="J99">
        <f t="shared" si="32"/>
        <v>2</v>
      </c>
      <c r="K99" s="36">
        <f t="shared" ca="1" si="33"/>
        <v>173.8095238095238</v>
      </c>
      <c r="L99" s="10">
        <f ca="1">AH99*VLOOKUP(C99,技能辅助查询表,技能配置辅助表!$T$1,FALSE)</f>
        <v>0</v>
      </c>
      <c r="M99">
        <f t="shared" ca="1" si="34"/>
        <v>4320</v>
      </c>
      <c r="N99" s="33">
        <f ca="1">CHOOSE(1,W99*U99,X99*'[1]0、经济设定'!$C$18)</f>
        <v>279818</v>
      </c>
      <c r="O99">
        <f t="shared" si="35"/>
        <v>2</v>
      </c>
      <c r="P99">
        <f t="shared" si="36"/>
        <v>1</v>
      </c>
      <c r="Q99">
        <f t="shared" si="37"/>
        <v>1</v>
      </c>
      <c r="R99" s="2">
        <f t="shared" si="38"/>
        <v>4</v>
      </c>
      <c r="S99" s="2">
        <f t="shared" si="39"/>
        <v>50</v>
      </c>
      <c r="T99" s="2">
        <f t="shared" si="40"/>
        <v>119.04761904761905</v>
      </c>
      <c r="U99" s="2">
        <f ca="1">VLOOKUP(E99,金币生产率!$A$2:$B$120,2,0)</f>
        <v>3634</v>
      </c>
      <c r="V99" s="2">
        <f t="shared" si="41"/>
        <v>119.04761904761905</v>
      </c>
      <c r="W99" s="45">
        <f t="shared" ca="1" si="54"/>
        <v>77</v>
      </c>
      <c r="X99" s="48">
        <f t="shared" ca="1" si="55"/>
        <v>1125</v>
      </c>
      <c r="Y99">
        <f t="shared" si="42"/>
        <v>18</v>
      </c>
      <c r="Z99">
        <f t="shared" ca="1" si="49"/>
        <v>31</v>
      </c>
      <c r="AA99" t="str">
        <f t="shared" ca="1" si="50"/>
        <v>9122100.png</v>
      </c>
      <c r="AB99">
        <f t="shared" si="43"/>
        <v>20</v>
      </c>
      <c r="AC99">
        <f>VLOOKUP(C99,技能辅助查询表,技能配置辅助表!$W$1,FALSE)</f>
        <v>5600</v>
      </c>
      <c r="AD99">
        <f t="shared" ca="1" si="51"/>
        <v>667.50717964200942</v>
      </c>
      <c r="AE99">
        <f>VLOOKUP(C99,技能辅助查询表,技能配置辅助表!$U$1,FALSE)</f>
        <v>4</v>
      </c>
      <c r="AF99">
        <f t="shared" ca="1" si="52"/>
        <v>9122146</v>
      </c>
      <c r="AG99">
        <f t="shared" ca="1" si="56"/>
        <v>73.795918367346943</v>
      </c>
      <c r="AH99">
        <f t="shared" ca="1" si="53"/>
        <v>4521.8228298329677</v>
      </c>
      <c r="AI99">
        <f ca="1">VLOOKUP(E99,伤害参考系!$C$4:$E$104,3,FALSE)*$AN$12</f>
        <v>19123.189597826095</v>
      </c>
      <c r="AJ99">
        <f>VLOOKUP(C99,技能辅助查询表,技能配置辅助表!$L$1,FALSE)</f>
        <v>1</v>
      </c>
      <c r="AK99">
        <f>VLOOKUP(C99,技能辅助查询表,技能配置辅助表!$AE$1,FALSE)</f>
        <v>66000113</v>
      </c>
    </row>
    <row r="100" spans="1:37" x14ac:dyDescent="0.15">
      <c r="A100" s="1">
        <f t="shared" ca="1" si="44"/>
        <v>9122147</v>
      </c>
      <c r="B100" s="1" t="str">
        <f t="shared" ca="1" si="29"/>
        <v>影袭·斩第1段</v>
      </c>
      <c r="C100" t="s">
        <v>151</v>
      </c>
      <c r="D100">
        <f t="shared" si="30"/>
        <v>1</v>
      </c>
      <c r="E100" s="42">
        <f t="shared" ca="1" si="45"/>
        <v>75</v>
      </c>
      <c r="F100" t="str">
        <f t="shared" ca="1" si="46"/>
        <v>第47级，共造成175%点伤害</v>
      </c>
      <c r="G100">
        <f t="shared" ca="1" si="47"/>
        <v>1</v>
      </c>
      <c r="H100">
        <f t="shared" si="31"/>
        <v>1</v>
      </c>
      <c r="I100" s="44">
        <f t="shared" ca="1" si="48"/>
        <v>47</v>
      </c>
      <c r="J100">
        <f t="shared" si="32"/>
        <v>2</v>
      </c>
      <c r="K100" s="36">
        <f t="shared" ca="1" si="33"/>
        <v>175</v>
      </c>
      <c r="L100" s="10">
        <f ca="1">AH100*VLOOKUP(C100,技能辅助查询表,技能配置辅助表!$T$1,FALSE)</f>
        <v>0</v>
      </c>
      <c r="M100">
        <f t="shared" ca="1" si="34"/>
        <v>4240</v>
      </c>
      <c r="N100" s="33">
        <f ca="1">CHOOSE(1,W100*U100,X100*'[1]0、经济设定'!$C$18)</f>
        <v>306270</v>
      </c>
      <c r="O100">
        <f t="shared" si="35"/>
        <v>2</v>
      </c>
      <c r="P100">
        <f t="shared" si="36"/>
        <v>1</v>
      </c>
      <c r="Q100">
        <f t="shared" si="37"/>
        <v>1</v>
      </c>
      <c r="R100" s="2">
        <f t="shared" si="38"/>
        <v>4</v>
      </c>
      <c r="S100" s="2">
        <f t="shared" si="39"/>
        <v>50</v>
      </c>
      <c r="T100" s="2">
        <f t="shared" si="40"/>
        <v>119.04761904761905</v>
      </c>
      <c r="U100" s="2">
        <f ca="1">VLOOKUP(E100,金币生产率!$A$2:$B$120,2,0)</f>
        <v>3735</v>
      </c>
      <c r="V100" s="2">
        <f t="shared" si="41"/>
        <v>119.04761904761905</v>
      </c>
      <c r="W100" s="45">
        <f t="shared" ca="1" si="54"/>
        <v>82</v>
      </c>
      <c r="X100" s="48">
        <f t="shared" ca="1" si="55"/>
        <v>1207</v>
      </c>
      <c r="Y100">
        <f t="shared" si="42"/>
        <v>18</v>
      </c>
      <c r="Z100">
        <f t="shared" ca="1" si="49"/>
        <v>33</v>
      </c>
      <c r="AA100" t="str">
        <f t="shared" ca="1" si="50"/>
        <v>9122100.png</v>
      </c>
      <c r="AB100">
        <f t="shared" si="43"/>
        <v>20</v>
      </c>
      <c r="AC100">
        <f>VLOOKUP(C100,技能辅助查询表,技能配置辅助表!$W$1,FALSE)</f>
        <v>5600</v>
      </c>
      <c r="AD100">
        <f t="shared" ca="1" si="51"/>
        <v>772.20533109481289</v>
      </c>
      <c r="AE100">
        <f>VLOOKUP(C100,技能辅助查询表,技能配置辅助表!$U$1,FALSE)</f>
        <v>4</v>
      </c>
      <c r="AF100">
        <f t="shared" ca="1" si="52"/>
        <v>9122147</v>
      </c>
      <c r="AG100">
        <f t="shared" ca="1" si="56"/>
        <v>75.34693877551021</v>
      </c>
      <c r="AH100">
        <f t="shared" ca="1" si="53"/>
        <v>5148.0355406320868</v>
      </c>
      <c r="AI100">
        <f ca="1">VLOOKUP(E100,伤害参考系!$C$4:$E$104,3,FALSE)*$AN$12</f>
        <v>19892.440008361213</v>
      </c>
      <c r="AJ100">
        <f>VLOOKUP(C100,技能辅助查询表,技能配置辅助表!$L$1,FALSE)</f>
        <v>1</v>
      </c>
      <c r="AK100">
        <f>VLOOKUP(C100,技能辅助查询表,技能配置辅助表!$AE$1,FALSE)</f>
        <v>66000113</v>
      </c>
    </row>
    <row r="101" spans="1:37" x14ac:dyDescent="0.15">
      <c r="A101" s="1">
        <f t="shared" ca="1" si="44"/>
        <v>9122148</v>
      </c>
      <c r="B101" s="1" t="str">
        <f t="shared" ca="1" si="29"/>
        <v>影袭·斩第1段</v>
      </c>
      <c r="C101" t="s">
        <v>151</v>
      </c>
      <c r="D101">
        <f t="shared" si="30"/>
        <v>1</v>
      </c>
      <c r="E101" s="42">
        <f t="shared" ca="1" si="45"/>
        <v>77</v>
      </c>
      <c r="F101" t="str">
        <f t="shared" ca="1" si="46"/>
        <v>第48级，共造成176.2%点伤害</v>
      </c>
      <c r="G101">
        <f t="shared" ca="1" si="47"/>
        <v>1</v>
      </c>
      <c r="H101">
        <f t="shared" si="31"/>
        <v>1</v>
      </c>
      <c r="I101" s="44">
        <f t="shared" ca="1" si="48"/>
        <v>48</v>
      </c>
      <c r="J101">
        <f t="shared" si="32"/>
        <v>2</v>
      </c>
      <c r="K101" s="36">
        <f t="shared" ca="1" si="33"/>
        <v>176.1904761904762</v>
      </c>
      <c r="L101" s="10">
        <f ca="1">AH101*VLOOKUP(C101,技能辅助查询表,技能配置辅助表!$T$1,FALSE)</f>
        <v>0</v>
      </c>
      <c r="M101">
        <f t="shared" ca="1" si="34"/>
        <v>4160</v>
      </c>
      <c r="N101" s="33">
        <f ca="1">CHOOSE(1,W101*U101,X101*'[1]0、经济设定'!$C$18)</f>
        <v>346896</v>
      </c>
      <c r="O101">
        <f t="shared" si="35"/>
        <v>2</v>
      </c>
      <c r="P101">
        <f t="shared" si="36"/>
        <v>1</v>
      </c>
      <c r="Q101">
        <f t="shared" si="37"/>
        <v>1</v>
      </c>
      <c r="R101" s="2">
        <f t="shared" si="38"/>
        <v>4</v>
      </c>
      <c r="S101" s="2">
        <f t="shared" si="39"/>
        <v>50</v>
      </c>
      <c r="T101" s="2">
        <f t="shared" si="40"/>
        <v>119.04761904761905</v>
      </c>
      <c r="U101" s="2">
        <f ca="1">VLOOKUP(E101,金币生产率!$A$2:$B$120,2,0)</f>
        <v>3942</v>
      </c>
      <c r="V101" s="2">
        <f t="shared" si="41"/>
        <v>119.04761904761905</v>
      </c>
      <c r="W101" s="45">
        <f t="shared" ca="1" si="54"/>
        <v>88</v>
      </c>
      <c r="X101" s="48">
        <f t="shared" ca="1" si="55"/>
        <v>1295</v>
      </c>
      <c r="Y101">
        <f t="shared" si="42"/>
        <v>18</v>
      </c>
      <c r="Z101">
        <f t="shared" ca="1" si="49"/>
        <v>36</v>
      </c>
      <c r="AA101" t="str">
        <f t="shared" ca="1" si="50"/>
        <v>9122100.png</v>
      </c>
      <c r="AB101">
        <f t="shared" si="43"/>
        <v>20</v>
      </c>
      <c r="AC101">
        <f>VLOOKUP(C101,技能辅助查询表,技能配置辅助表!$W$1,FALSE)</f>
        <v>5600</v>
      </c>
      <c r="AD101">
        <f t="shared" ca="1" si="51"/>
        <v>893.10025708716933</v>
      </c>
      <c r="AE101">
        <f>VLOOKUP(C101,技能辅助查询表,技能配置辅助表!$U$1,FALSE)</f>
        <v>4</v>
      </c>
      <c r="AF101">
        <f t="shared" ca="1" si="52"/>
        <v>9122148</v>
      </c>
      <c r="AG101">
        <f t="shared" ca="1" si="56"/>
        <v>76.897959183673464</v>
      </c>
      <c r="AH101">
        <f t="shared" ca="1" si="53"/>
        <v>5860.970437134547</v>
      </c>
      <c r="AI101">
        <f ca="1">VLOOKUP(E101,伤害参考系!$C$4:$E$104,3,FALSE)*$AN$12</f>
        <v>21474.674365384624</v>
      </c>
      <c r="AJ101">
        <f>VLOOKUP(C101,技能辅助查询表,技能配置辅助表!$L$1,FALSE)</f>
        <v>1</v>
      </c>
      <c r="AK101">
        <f>VLOOKUP(C101,技能辅助查询表,技能配置辅助表!$AE$1,FALSE)</f>
        <v>66000113</v>
      </c>
    </row>
    <row r="102" spans="1:37" x14ac:dyDescent="0.15">
      <c r="A102" s="1">
        <f t="shared" ca="1" si="44"/>
        <v>9122149</v>
      </c>
      <c r="B102" s="1" t="str">
        <f t="shared" ca="1" si="29"/>
        <v>影袭·斩第1段</v>
      </c>
      <c r="C102" t="s">
        <v>151</v>
      </c>
      <c r="D102">
        <f t="shared" si="30"/>
        <v>1</v>
      </c>
      <c r="E102" s="42">
        <f t="shared" ca="1" si="45"/>
        <v>78</v>
      </c>
      <c r="F102" t="str">
        <f t="shared" ca="1" si="46"/>
        <v>第49级，共造成177.4%点伤害</v>
      </c>
      <c r="G102">
        <f t="shared" ca="1" si="47"/>
        <v>1</v>
      </c>
      <c r="H102">
        <f t="shared" si="31"/>
        <v>1</v>
      </c>
      <c r="I102" s="44">
        <f t="shared" ca="1" si="48"/>
        <v>49</v>
      </c>
      <c r="J102">
        <f t="shared" si="32"/>
        <v>2</v>
      </c>
      <c r="K102" s="36">
        <f t="shared" ca="1" si="33"/>
        <v>177.38095238095238</v>
      </c>
      <c r="L102" s="10">
        <f ca="1">AH102*VLOOKUP(C102,技能辅助查询表,技能配置辅助表!$T$1,FALSE)</f>
        <v>0</v>
      </c>
      <c r="M102">
        <f t="shared" ca="1" si="34"/>
        <v>4080</v>
      </c>
      <c r="N102" s="33">
        <f ca="1">CHOOSE(1,W102*U102,X102*'[1]0、经济设定'!$C$18)</f>
        <v>380418</v>
      </c>
      <c r="O102">
        <f t="shared" si="35"/>
        <v>2</v>
      </c>
      <c r="P102">
        <f t="shared" si="36"/>
        <v>1</v>
      </c>
      <c r="Q102">
        <f t="shared" si="37"/>
        <v>1</v>
      </c>
      <c r="R102" s="2">
        <f t="shared" si="38"/>
        <v>4</v>
      </c>
      <c r="S102" s="2">
        <f t="shared" si="39"/>
        <v>50</v>
      </c>
      <c r="T102" s="2">
        <f t="shared" si="40"/>
        <v>119.04761904761905</v>
      </c>
      <c r="U102" s="2">
        <f ca="1">VLOOKUP(E102,金币生产率!$A$2:$B$120,2,0)</f>
        <v>4047</v>
      </c>
      <c r="V102" s="2">
        <f t="shared" si="41"/>
        <v>119.04761904761905</v>
      </c>
      <c r="W102" s="45">
        <f t="shared" ca="1" si="54"/>
        <v>94</v>
      </c>
      <c r="X102" s="48">
        <f t="shared" ca="1" si="55"/>
        <v>1389</v>
      </c>
      <c r="Y102">
        <f t="shared" si="42"/>
        <v>18</v>
      </c>
      <c r="Z102">
        <f t="shared" ca="1" si="49"/>
        <v>38</v>
      </c>
      <c r="AA102" t="str">
        <f t="shared" ca="1" si="50"/>
        <v>9122100.png</v>
      </c>
      <c r="AB102">
        <f t="shared" si="43"/>
        <v>20</v>
      </c>
      <c r="AC102">
        <f>VLOOKUP(C102,技能辅助查询表,技能配置辅助表!$W$1,FALSE)</f>
        <v>5600</v>
      </c>
      <c r="AD102">
        <f t="shared" ca="1" si="51"/>
        <v>1032.6700732087068</v>
      </c>
      <c r="AE102">
        <f>VLOOKUP(C102,技能辅助查询表,技能配置辅助表!$U$1,FALSE)</f>
        <v>4</v>
      </c>
      <c r="AF102">
        <f t="shared" ca="1" si="52"/>
        <v>9122149</v>
      </c>
      <c r="AG102">
        <f t="shared" ca="1" si="56"/>
        <v>78.448979591836732</v>
      </c>
      <c r="AH102">
        <f t="shared" ca="1" si="53"/>
        <v>6672.6373961177951</v>
      </c>
      <c r="AI102">
        <f ca="1">VLOOKUP(E102,伤害参考系!$C$4:$E$104,3,FALSE)*$AN$12</f>
        <v>22287.658311872914</v>
      </c>
      <c r="AJ102">
        <f>VLOOKUP(C102,技能辅助查询表,技能配置辅助表!$L$1,FALSE)</f>
        <v>1</v>
      </c>
      <c r="AK102">
        <f>VLOOKUP(C102,技能辅助查询表,技能配置辅助表!$AE$1,FALSE)</f>
        <v>66000113</v>
      </c>
    </row>
    <row r="103" spans="1:37" x14ac:dyDescent="0.15">
      <c r="A103" s="1">
        <f t="shared" ca="1" si="44"/>
        <v>9122150</v>
      </c>
      <c r="B103" s="1" t="str">
        <f t="shared" ca="1" si="29"/>
        <v>影袭·斩第1段</v>
      </c>
      <c r="C103" t="s">
        <v>151</v>
      </c>
      <c r="D103">
        <f t="shared" si="30"/>
        <v>1</v>
      </c>
      <c r="E103" s="42">
        <f t="shared" ca="1" si="45"/>
        <v>80</v>
      </c>
      <c r="F103" t="str">
        <f t="shared" ca="1" si="46"/>
        <v>第50级，共造成178.6%点伤害</v>
      </c>
      <c r="G103">
        <f t="shared" ca="1" si="47"/>
        <v>1</v>
      </c>
      <c r="H103">
        <f t="shared" si="31"/>
        <v>1</v>
      </c>
      <c r="I103" s="44">
        <f t="shared" ca="1" si="48"/>
        <v>50</v>
      </c>
      <c r="J103">
        <f t="shared" si="32"/>
        <v>2</v>
      </c>
      <c r="K103" s="36">
        <f t="shared" ca="1" si="33"/>
        <v>178.57142857142858</v>
      </c>
      <c r="L103" s="10">
        <f ca="1">AH103*VLOOKUP(C103,技能辅助查询表,技能配置辅助表!$T$1,FALSE)</f>
        <v>0</v>
      </c>
      <c r="M103">
        <f t="shared" ca="1" si="34"/>
        <v>4000</v>
      </c>
      <c r="N103" s="33">
        <f ca="1">CHOOSE(1,W103*U103,X103*'[1]0、经济设定'!$C$18)</f>
        <v>430462</v>
      </c>
      <c r="O103">
        <f t="shared" si="35"/>
        <v>2</v>
      </c>
      <c r="P103">
        <f t="shared" si="36"/>
        <v>1</v>
      </c>
      <c r="Q103">
        <f t="shared" si="37"/>
        <v>1</v>
      </c>
      <c r="R103" s="2">
        <f t="shared" si="38"/>
        <v>4</v>
      </c>
      <c r="S103" s="2">
        <f t="shared" si="39"/>
        <v>50</v>
      </c>
      <c r="T103" s="2">
        <f t="shared" si="40"/>
        <v>119.04761904761905</v>
      </c>
      <c r="U103" s="2">
        <f ca="1">VLOOKUP(E103,金币生产率!$A$2:$B$120,2,0)</f>
        <v>4262</v>
      </c>
      <c r="V103" s="2">
        <f t="shared" si="41"/>
        <v>119.04761904761905</v>
      </c>
      <c r="W103" s="45">
        <f t="shared" ca="1" si="54"/>
        <v>101</v>
      </c>
      <c r="X103" s="48">
        <f t="shared" ca="1" si="55"/>
        <v>1490</v>
      </c>
      <c r="Y103">
        <f t="shared" si="42"/>
        <v>18</v>
      </c>
      <c r="Z103">
        <f t="shared" ca="1" si="49"/>
        <v>41</v>
      </c>
      <c r="AA103" t="str">
        <f t="shared" ca="1" si="50"/>
        <v>9122100.png</v>
      </c>
      <c r="AB103">
        <f t="shared" si="43"/>
        <v>20</v>
      </c>
      <c r="AC103">
        <f>VLOOKUP(C103,技能辅助查询表,技能配置辅助表!$W$1,FALSE)</f>
        <v>5600</v>
      </c>
      <c r="AD103">
        <f t="shared" ca="1" si="51"/>
        <v>1193.7686362792215</v>
      </c>
      <c r="AE103">
        <f>VLOOKUP(C103,技能辅助查询表,技能配置辅助表!$U$1,FALSE)</f>
        <v>4</v>
      </c>
      <c r="AF103">
        <f t="shared" ca="1" si="52"/>
        <v>9122150</v>
      </c>
      <c r="AG103">
        <f t="shared" ca="1" si="56"/>
        <v>80</v>
      </c>
      <c r="AH103">
        <f t="shared" ca="1" si="53"/>
        <v>7596.7095035950451</v>
      </c>
      <c r="AI103">
        <f ca="1">VLOOKUP(E103,伤害参考系!$C$4:$E$104,3,FALSE)*$AN$12</f>
        <v>24028.87424749164</v>
      </c>
      <c r="AJ103">
        <f>VLOOKUP(C103,技能辅助查询表,技能配置辅助表!$L$1,FALSE)</f>
        <v>1</v>
      </c>
      <c r="AK103">
        <f>VLOOKUP(C103,技能辅助查询表,技能配置辅助表!$AE$1,FALSE)</f>
        <v>66000113</v>
      </c>
    </row>
    <row r="104" spans="1:37" x14ac:dyDescent="0.15">
      <c r="A104" s="1">
        <f t="shared" ca="1" si="44"/>
        <v>1</v>
      </c>
      <c r="B104" s="1" t="str">
        <f t="shared" ca="1" si="29"/>
        <v>影袭·斩</v>
      </c>
      <c r="C104" t="s">
        <v>152</v>
      </c>
      <c r="D104">
        <f t="shared" si="30"/>
        <v>1</v>
      </c>
      <c r="E104" s="42">
        <f t="shared" ca="1" si="45"/>
        <v>4</v>
      </c>
      <c r="F104" t="str">
        <f t="shared" ca="1" si="46"/>
        <v>第0级，共造成119%点伤害</v>
      </c>
      <c r="G104">
        <f t="shared" ca="1" si="47"/>
        <v>0</v>
      </c>
      <c r="H104">
        <f t="shared" si="31"/>
        <v>2</v>
      </c>
      <c r="I104" s="44">
        <f t="shared" ca="1" si="48"/>
        <v>0</v>
      </c>
      <c r="J104">
        <f t="shared" si="32"/>
        <v>2</v>
      </c>
      <c r="K104" s="36">
        <f t="shared" ca="1" si="33"/>
        <v>119.04761904761905</v>
      </c>
      <c r="L104" s="10">
        <f ca="1">AH104*VLOOKUP(C104,技能辅助查询表,技能配置辅助表!$T$1,FALSE)</f>
        <v>0</v>
      </c>
      <c r="M104">
        <f t="shared" ca="1" si="34"/>
        <v>8000</v>
      </c>
      <c r="N104" s="33">
        <f ca="1">CHOOSE(1,W104*U104,X104*'[1]0、经济设定'!$C$18)</f>
        <v>0</v>
      </c>
      <c r="O104">
        <f t="shared" si="35"/>
        <v>2</v>
      </c>
      <c r="P104">
        <f t="shared" si="36"/>
        <v>1</v>
      </c>
      <c r="Q104">
        <f t="shared" si="37"/>
        <v>1</v>
      </c>
      <c r="R104" s="2">
        <f t="shared" si="38"/>
        <v>4</v>
      </c>
      <c r="S104" s="2">
        <f t="shared" si="39"/>
        <v>50</v>
      </c>
      <c r="T104" s="2">
        <f t="shared" si="40"/>
        <v>119.04761904761905</v>
      </c>
      <c r="U104" s="2">
        <f ca="1">VLOOKUP(E104,金币生产率!$A$2:$B$120,2,0)</f>
        <v>68</v>
      </c>
      <c r="V104" s="2">
        <f t="shared" si="41"/>
        <v>119.04761904761905</v>
      </c>
      <c r="W104" s="45">
        <f t="shared" ca="1" si="54"/>
        <v>0</v>
      </c>
      <c r="X104" s="48">
        <f t="shared" ca="1" si="55"/>
        <v>0</v>
      </c>
      <c r="Y104">
        <f t="shared" si="42"/>
        <v>18</v>
      </c>
      <c r="Z104">
        <f t="shared" ca="1" si="49"/>
        <v>0</v>
      </c>
      <c r="AA104" t="str">
        <f t="shared" ca="1" si="50"/>
        <v>9122200.png</v>
      </c>
      <c r="AB104">
        <f t="shared" si="43"/>
        <v>20</v>
      </c>
      <c r="AC104">
        <f>VLOOKUP(C104,技能辅助查询表,技能配置辅助表!$W$1,FALSE)</f>
        <v>5601</v>
      </c>
      <c r="AD104">
        <f t="shared" ca="1" si="51"/>
        <v>0.44166857142857163</v>
      </c>
      <c r="AE104">
        <f>VLOOKUP(C104,技能辅助查询表,技能配置辅助表!$U$1,FALSE)</f>
        <v>4</v>
      </c>
      <c r="AF104">
        <f t="shared" ca="1" si="52"/>
        <v>9122200</v>
      </c>
      <c r="AG104">
        <f t="shared" ca="1" si="56"/>
        <v>0</v>
      </c>
      <c r="AH104">
        <f t="shared" ca="1" si="53"/>
        <v>11.5938</v>
      </c>
      <c r="AI104">
        <f ca="1">VLOOKUP(E104,伤害参考系!$C$4:$E$104,3,FALSE)*$AN$12</f>
        <v>50.4</v>
      </c>
      <c r="AJ104">
        <f>VLOOKUP(C104,技能辅助查询表,技能配置辅助表!$L$1,FALSE)</f>
        <v>1</v>
      </c>
      <c r="AK104">
        <f>VLOOKUP(C104,技能辅助查询表,技能配置辅助表!$AE$1,FALSE)</f>
        <v>66000113</v>
      </c>
    </row>
    <row r="105" spans="1:37" x14ac:dyDescent="0.15">
      <c r="A105" s="1">
        <f t="shared" ca="1" si="44"/>
        <v>9122201</v>
      </c>
      <c r="B105" s="1" t="str">
        <f t="shared" ca="1" si="29"/>
        <v>影袭·斩第2段</v>
      </c>
      <c r="C105" t="s">
        <v>152</v>
      </c>
      <c r="D105">
        <f t="shared" si="30"/>
        <v>1</v>
      </c>
      <c r="E105" s="42">
        <f t="shared" ca="1" si="45"/>
        <v>4</v>
      </c>
      <c r="F105" t="str">
        <f t="shared" ca="1" si="46"/>
        <v>第1级，共造成119%点伤害</v>
      </c>
      <c r="G105">
        <f t="shared" ca="1" si="47"/>
        <v>2</v>
      </c>
      <c r="H105">
        <f t="shared" si="31"/>
        <v>2</v>
      </c>
      <c r="I105" s="44">
        <f t="shared" ca="1" si="48"/>
        <v>1</v>
      </c>
      <c r="J105">
        <f t="shared" si="32"/>
        <v>2</v>
      </c>
      <c r="K105" s="36">
        <f t="shared" ca="1" si="33"/>
        <v>119.04761904761905</v>
      </c>
      <c r="L105" s="10">
        <f ca="1">AH105*VLOOKUP(C105,技能辅助查询表,技能配置辅助表!$T$1,FALSE)</f>
        <v>0</v>
      </c>
      <c r="M105">
        <f t="shared" ca="1" si="34"/>
        <v>8000</v>
      </c>
      <c r="N105" s="33">
        <f ca="1">CHOOSE(1,W105*U105,X105*'[1]0、经济设定'!$C$18)</f>
        <v>272</v>
      </c>
      <c r="O105">
        <f t="shared" si="35"/>
        <v>2</v>
      </c>
      <c r="P105">
        <f t="shared" si="36"/>
        <v>1</v>
      </c>
      <c r="Q105">
        <f t="shared" si="37"/>
        <v>1</v>
      </c>
      <c r="R105" s="2">
        <f t="shared" si="38"/>
        <v>4</v>
      </c>
      <c r="S105" s="2">
        <f t="shared" si="39"/>
        <v>50</v>
      </c>
      <c r="T105" s="2">
        <f t="shared" si="40"/>
        <v>119.04761904761905</v>
      </c>
      <c r="U105" s="2">
        <f ca="1">VLOOKUP(E105,金币生产率!$A$2:$B$120,2,0)</f>
        <v>68</v>
      </c>
      <c r="V105" s="2">
        <f t="shared" si="41"/>
        <v>119.04761904761905</v>
      </c>
      <c r="W105" s="45">
        <f t="shared" ca="1" si="54"/>
        <v>4</v>
      </c>
      <c r="X105" s="48">
        <f t="shared" ca="1" si="55"/>
        <v>4</v>
      </c>
      <c r="Y105">
        <f t="shared" si="42"/>
        <v>18</v>
      </c>
      <c r="Z105">
        <f t="shared" ca="1" si="49"/>
        <v>0</v>
      </c>
      <c r="AA105" t="str">
        <f t="shared" ca="1" si="50"/>
        <v>9122200.png</v>
      </c>
      <c r="AB105">
        <f t="shared" si="43"/>
        <v>20</v>
      </c>
      <c r="AC105">
        <f>VLOOKUP(C105,技能辅助查询表,技能配置辅助表!$W$1,FALSE)</f>
        <v>5601</v>
      </c>
      <c r="AD105">
        <f t="shared" ca="1" si="51"/>
        <v>0.50283383238579415</v>
      </c>
      <c r="AE105">
        <f>VLOOKUP(C105,技能辅助查询表,技能配置辅助表!$U$1,FALSE)</f>
        <v>4</v>
      </c>
      <c r="AF105">
        <f t="shared" ca="1" si="52"/>
        <v>9122201</v>
      </c>
      <c r="AG105">
        <f t="shared" ca="1" si="56"/>
        <v>4</v>
      </c>
      <c r="AH105">
        <f t="shared" ca="1" si="53"/>
        <v>13.199388100127095</v>
      </c>
      <c r="AI105">
        <f ca="1">VLOOKUP(E105,伤害参考系!$C$4:$E$104,3,FALSE)*$AN$12</f>
        <v>50.4</v>
      </c>
      <c r="AJ105">
        <f>VLOOKUP(C105,技能辅助查询表,技能配置辅助表!$L$1,FALSE)</f>
        <v>1</v>
      </c>
      <c r="AK105">
        <f>VLOOKUP(C105,技能辅助查询表,技能配置辅助表!$AE$1,FALSE)</f>
        <v>66000113</v>
      </c>
    </row>
    <row r="106" spans="1:37" x14ac:dyDescent="0.15">
      <c r="A106" s="1">
        <f t="shared" ca="1" si="44"/>
        <v>9122202</v>
      </c>
      <c r="B106" s="1" t="str">
        <f t="shared" ca="1" si="29"/>
        <v>影袭·斩第2段</v>
      </c>
      <c r="C106" t="s">
        <v>152</v>
      </c>
      <c r="D106">
        <f t="shared" si="30"/>
        <v>1</v>
      </c>
      <c r="E106" s="42">
        <f t="shared" ca="1" si="45"/>
        <v>7</v>
      </c>
      <c r="F106" t="str">
        <f t="shared" ca="1" si="46"/>
        <v>第2级，共造成121.4%点伤害</v>
      </c>
      <c r="G106">
        <f t="shared" ca="1" si="47"/>
        <v>2</v>
      </c>
      <c r="H106">
        <f t="shared" si="31"/>
        <v>2</v>
      </c>
      <c r="I106" s="44">
        <f t="shared" ca="1" si="48"/>
        <v>2</v>
      </c>
      <c r="J106">
        <f t="shared" si="32"/>
        <v>2</v>
      </c>
      <c r="K106" s="36">
        <f t="shared" ca="1" si="33"/>
        <v>121.42857142857143</v>
      </c>
      <c r="L106" s="10">
        <f ca="1">AH106*VLOOKUP(C106,技能辅助查询表,技能配置辅助表!$T$1,FALSE)</f>
        <v>0</v>
      </c>
      <c r="M106">
        <f t="shared" ca="1" si="34"/>
        <v>7840</v>
      </c>
      <c r="N106" s="33">
        <f ca="1">CHOOSE(1,W106*U106,X106*'[1]0、经济设定'!$C$18)</f>
        <v>344</v>
      </c>
      <c r="O106">
        <f t="shared" si="35"/>
        <v>2</v>
      </c>
      <c r="P106">
        <f t="shared" si="36"/>
        <v>1</v>
      </c>
      <c r="Q106">
        <f t="shared" si="37"/>
        <v>1</v>
      </c>
      <c r="R106" s="2">
        <f t="shared" si="38"/>
        <v>4</v>
      </c>
      <c r="S106" s="2">
        <f t="shared" si="39"/>
        <v>50</v>
      </c>
      <c r="T106" s="2">
        <f t="shared" si="40"/>
        <v>119.04761904761905</v>
      </c>
      <c r="U106" s="2">
        <f ca="1">VLOOKUP(E106,金币生产率!$A$2:$B$120,2,0)</f>
        <v>86</v>
      </c>
      <c r="V106" s="2">
        <f t="shared" si="41"/>
        <v>119.04761904761905</v>
      </c>
      <c r="W106" s="45">
        <f t="shared" ca="1" si="54"/>
        <v>4</v>
      </c>
      <c r="X106" s="48">
        <f t="shared" ca="1" si="55"/>
        <v>8</v>
      </c>
      <c r="Y106">
        <f t="shared" si="42"/>
        <v>18</v>
      </c>
      <c r="Z106">
        <f t="shared" ca="1" si="49"/>
        <v>0</v>
      </c>
      <c r="AA106" t="str">
        <f t="shared" ca="1" si="50"/>
        <v>9122200.png</v>
      </c>
      <c r="AB106">
        <f t="shared" si="43"/>
        <v>20</v>
      </c>
      <c r="AC106">
        <f>VLOOKUP(C106,技能辅助查询表,技能配置辅助表!$W$1,FALSE)</f>
        <v>5601</v>
      </c>
      <c r="AD106">
        <f t="shared" ca="1" si="51"/>
        <v>0.64402838296987608</v>
      </c>
      <c r="AE106">
        <f>VLOOKUP(C106,技能辅助查询表,技能配置辅助表!$U$1,FALSE)</f>
        <v>4</v>
      </c>
      <c r="AF106">
        <f t="shared" ca="1" si="52"/>
        <v>9122202</v>
      </c>
      <c r="AG106">
        <f t="shared" ca="1" si="56"/>
        <v>5.5510204081632653</v>
      </c>
      <c r="AH106">
        <f t="shared" ca="1" si="53"/>
        <v>15.027328935963775</v>
      </c>
      <c r="AI106">
        <f ca="1">VLOOKUP(E106,伤害参考系!$C$4:$E$104,3,FALSE)*$AN$12</f>
        <v>101.93624999999999</v>
      </c>
      <c r="AJ106">
        <f>VLOOKUP(C106,技能辅助查询表,技能配置辅助表!$L$1,FALSE)</f>
        <v>1</v>
      </c>
      <c r="AK106">
        <f>VLOOKUP(C106,技能辅助查询表,技能配置辅助表!$AE$1,FALSE)</f>
        <v>66000113</v>
      </c>
    </row>
    <row r="107" spans="1:37" x14ac:dyDescent="0.15">
      <c r="A107" s="1">
        <f t="shared" ca="1" si="44"/>
        <v>9122203</v>
      </c>
      <c r="B107" s="1" t="str">
        <f t="shared" ca="1" si="29"/>
        <v>影袭·斩第2段</v>
      </c>
      <c r="C107" t="s">
        <v>152</v>
      </c>
      <c r="D107">
        <f t="shared" si="30"/>
        <v>1</v>
      </c>
      <c r="E107" s="42">
        <f t="shared" ca="1" si="45"/>
        <v>9</v>
      </c>
      <c r="F107" t="str">
        <f t="shared" ca="1" si="46"/>
        <v>第3级，共造成122.6%点伤害</v>
      </c>
      <c r="G107">
        <f t="shared" ca="1" si="47"/>
        <v>2</v>
      </c>
      <c r="H107">
        <f t="shared" si="31"/>
        <v>2</v>
      </c>
      <c r="I107" s="44">
        <f t="shared" ca="1" si="48"/>
        <v>3</v>
      </c>
      <c r="J107">
        <f t="shared" si="32"/>
        <v>2</v>
      </c>
      <c r="K107" s="36">
        <f t="shared" ca="1" si="33"/>
        <v>122.61904761904762</v>
      </c>
      <c r="L107" s="10">
        <f ca="1">AH107*VLOOKUP(C107,技能辅助查询表,技能配置辅助表!$T$1,FALSE)</f>
        <v>0</v>
      </c>
      <c r="M107">
        <f t="shared" ca="1" si="34"/>
        <v>7760</v>
      </c>
      <c r="N107" s="33">
        <f ca="1">CHOOSE(1,W107*U107,X107*'[1]0、经济设定'!$C$18)</f>
        <v>392</v>
      </c>
      <c r="O107">
        <f t="shared" si="35"/>
        <v>2</v>
      </c>
      <c r="P107">
        <f t="shared" si="36"/>
        <v>1</v>
      </c>
      <c r="Q107">
        <f t="shared" si="37"/>
        <v>1</v>
      </c>
      <c r="R107" s="2">
        <f t="shared" si="38"/>
        <v>4</v>
      </c>
      <c r="S107" s="2">
        <f t="shared" si="39"/>
        <v>50</v>
      </c>
      <c r="T107" s="2">
        <f t="shared" si="40"/>
        <v>119.04761904761905</v>
      </c>
      <c r="U107" s="2">
        <f ca="1">VLOOKUP(E107,金币生产率!$A$2:$B$120,2,0)</f>
        <v>98</v>
      </c>
      <c r="V107" s="2">
        <f t="shared" si="41"/>
        <v>119.04761904761905</v>
      </c>
      <c r="W107" s="45">
        <f t="shared" ca="1" si="54"/>
        <v>4</v>
      </c>
      <c r="X107" s="48">
        <f t="shared" ca="1" si="55"/>
        <v>12</v>
      </c>
      <c r="Y107">
        <f t="shared" si="42"/>
        <v>18</v>
      </c>
      <c r="Z107">
        <f t="shared" ca="1" si="49"/>
        <v>0</v>
      </c>
      <c r="AA107" t="str">
        <f t="shared" ca="1" si="50"/>
        <v>9122200.png</v>
      </c>
      <c r="AB107">
        <f t="shared" si="43"/>
        <v>20</v>
      </c>
      <c r="AC107">
        <f>VLOOKUP(C107,技能辅助查询表,技能配置辅助表!$W$1,FALSE)</f>
        <v>5601</v>
      </c>
      <c r="AD107">
        <f t="shared" ca="1" si="51"/>
        <v>0.77395212628980237</v>
      </c>
      <c r="AE107">
        <f>VLOOKUP(C107,技能辅助查询表,技能配置辅助表!$U$1,FALSE)</f>
        <v>4</v>
      </c>
      <c r="AF107">
        <f t="shared" ca="1" si="52"/>
        <v>9122203</v>
      </c>
      <c r="AG107">
        <f t="shared" ca="1" si="56"/>
        <v>7.1020408163265305</v>
      </c>
      <c r="AH107">
        <f t="shared" ca="1" si="53"/>
        <v>17.108415423248271</v>
      </c>
      <c r="AI107">
        <f ca="1">VLOOKUP(E107,伤害参考系!$C$4:$E$104,3,FALSE)*$AN$12</f>
        <v>145.4708152173913</v>
      </c>
      <c r="AJ107">
        <f>VLOOKUP(C107,技能辅助查询表,技能配置辅助表!$L$1,FALSE)</f>
        <v>1</v>
      </c>
      <c r="AK107">
        <f>VLOOKUP(C107,技能辅助查询表,技能配置辅助表!$AE$1,FALSE)</f>
        <v>66000113</v>
      </c>
    </row>
    <row r="108" spans="1:37" x14ac:dyDescent="0.15">
      <c r="A108" s="1">
        <f t="shared" ca="1" si="44"/>
        <v>9122204</v>
      </c>
      <c r="B108" s="1" t="str">
        <f t="shared" ca="1" si="29"/>
        <v>影袭·斩第2段</v>
      </c>
      <c r="C108" t="s">
        <v>152</v>
      </c>
      <c r="D108">
        <f t="shared" si="30"/>
        <v>1</v>
      </c>
      <c r="E108" s="42">
        <f t="shared" ca="1" si="45"/>
        <v>10</v>
      </c>
      <c r="F108" t="str">
        <f t="shared" ca="1" si="46"/>
        <v>第4级，共造成123.8%点伤害</v>
      </c>
      <c r="G108">
        <f t="shared" ca="1" si="47"/>
        <v>2</v>
      </c>
      <c r="H108">
        <f t="shared" si="31"/>
        <v>2</v>
      </c>
      <c r="I108" s="44">
        <f t="shared" ca="1" si="48"/>
        <v>4</v>
      </c>
      <c r="J108">
        <f t="shared" si="32"/>
        <v>2</v>
      </c>
      <c r="K108" s="36">
        <f t="shared" ca="1" si="33"/>
        <v>123.80952380952381</v>
      </c>
      <c r="L108" s="10">
        <f ca="1">AH108*VLOOKUP(C108,技能辅助查询表,技能配置辅助表!$T$1,FALSE)</f>
        <v>0</v>
      </c>
      <c r="M108">
        <f t="shared" ca="1" si="34"/>
        <v>7680</v>
      </c>
      <c r="N108" s="33">
        <f ca="1">CHOOSE(1,W108*U108,X108*'[1]0、经济设定'!$C$18)</f>
        <v>520</v>
      </c>
      <c r="O108">
        <f t="shared" si="35"/>
        <v>2</v>
      </c>
      <c r="P108">
        <f t="shared" si="36"/>
        <v>1</v>
      </c>
      <c r="Q108">
        <f t="shared" si="37"/>
        <v>1</v>
      </c>
      <c r="R108" s="2">
        <f t="shared" si="38"/>
        <v>4</v>
      </c>
      <c r="S108" s="2">
        <f t="shared" si="39"/>
        <v>50</v>
      </c>
      <c r="T108" s="2">
        <f t="shared" si="40"/>
        <v>119.04761904761905</v>
      </c>
      <c r="U108" s="2">
        <f ca="1">VLOOKUP(E108,金币生产率!$A$2:$B$120,2,0)</f>
        <v>104</v>
      </c>
      <c r="V108" s="2">
        <f t="shared" si="41"/>
        <v>119.04761904761905</v>
      </c>
      <c r="W108" s="45">
        <f t="shared" ca="1" si="54"/>
        <v>5</v>
      </c>
      <c r="X108" s="48">
        <f t="shared" ca="1" si="55"/>
        <v>17</v>
      </c>
      <c r="Y108">
        <f t="shared" si="42"/>
        <v>18</v>
      </c>
      <c r="Z108">
        <f t="shared" ca="1" si="49"/>
        <v>0</v>
      </c>
      <c r="AA108" t="str">
        <f t="shared" ca="1" si="50"/>
        <v>9122200.png</v>
      </c>
      <c r="AB108">
        <f t="shared" si="43"/>
        <v>20</v>
      </c>
      <c r="AC108">
        <f>VLOOKUP(C108,技能辅助查询表,技能配置辅助表!$W$1,FALSE)</f>
        <v>5601</v>
      </c>
      <c r="AD108">
        <f t="shared" ca="1" si="51"/>
        <v>0.92750975665012236</v>
      </c>
      <c r="AE108">
        <f>VLOOKUP(C108,技能辅助查询表,技能配置辅助表!$U$1,FALSE)</f>
        <v>4</v>
      </c>
      <c r="AF108">
        <f t="shared" ca="1" si="52"/>
        <v>9122204</v>
      </c>
      <c r="AG108">
        <f t="shared" ca="1" si="56"/>
        <v>8.6530612244897966</v>
      </c>
      <c r="AH108">
        <f t="shared" ca="1" si="53"/>
        <v>19.477704889652582</v>
      </c>
      <c r="AI108">
        <f ca="1">VLOOKUP(E108,伤害参考系!$C$4:$E$104,3,FALSE)*$AN$12</f>
        <v>177.55434782608697</v>
      </c>
      <c r="AJ108">
        <f>VLOOKUP(C108,技能辅助查询表,技能配置辅助表!$L$1,FALSE)</f>
        <v>1</v>
      </c>
      <c r="AK108">
        <f>VLOOKUP(C108,技能辅助查询表,技能配置辅助表!$AE$1,FALSE)</f>
        <v>66000113</v>
      </c>
    </row>
    <row r="109" spans="1:37" x14ac:dyDescent="0.15">
      <c r="A109" s="1">
        <f t="shared" ca="1" si="44"/>
        <v>9122205</v>
      </c>
      <c r="B109" s="1" t="str">
        <f t="shared" ca="1" si="29"/>
        <v>影袭·斩第2段</v>
      </c>
      <c r="C109" t="s">
        <v>152</v>
      </c>
      <c r="D109">
        <f t="shared" si="30"/>
        <v>1</v>
      </c>
      <c r="E109" s="42">
        <f t="shared" ca="1" si="45"/>
        <v>12</v>
      </c>
      <c r="F109" t="str">
        <f t="shared" ca="1" si="46"/>
        <v>第5级，共造成125%点伤害</v>
      </c>
      <c r="G109">
        <f t="shared" ca="1" si="47"/>
        <v>2</v>
      </c>
      <c r="H109">
        <f t="shared" si="31"/>
        <v>2</v>
      </c>
      <c r="I109" s="44">
        <f t="shared" ca="1" si="48"/>
        <v>5</v>
      </c>
      <c r="J109">
        <f t="shared" si="32"/>
        <v>2</v>
      </c>
      <c r="K109" s="36">
        <f t="shared" ca="1" si="33"/>
        <v>125</v>
      </c>
      <c r="L109" s="10">
        <f ca="1">AH109*VLOOKUP(C109,技能辅助查询表,技能配置辅助表!$T$1,FALSE)</f>
        <v>0</v>
      </c>
      <c r="M109">
        <f t="shared" ca="1" si="34"/>
        <v>7600</v>
      </c>
      <c r="N109" s="33">
        <f ca="1">CHOOSE(1,W109*U109,X109*'[1]0、经济设定'!$C$18)</f>
        <v>580</v>
      </c>
      <c r="O109">
        <f t="shared" si="35"/>
        <v>2</v>
      </c>
      <c r="P109">
        <f t="shared" si="36"/>
        <v>1</v>
      </c>
      <c r="Q109">
        <f t="shared" si="37"/>
        <v>1</v>
      </c>
      <c r="R109" s="2">
        <f t="shared" si="38"/>
        <v>4</v>
      </c>
      <c r="S109" s="2">
        <f t="shared" si="39"/>
        <v>50</v>
      </c>
      <c r="T109" s="2">
        <f t="shared" si="40"/>
        <v>119.04761904761905</v>
      </c>
      <c r="U109" s="2">
        <f ca="1">VLOOKUP(E109,金币生产率!$A$2:$B$120,2,0)</f>
        <v>116</v>
      </c>
      <c r="V109" s="2">
        <f t="shared" si="41"/>
        <v>119.04761904761905</v>
      </c>
      <c r="W109" s="45">
        <f t="shared" ca="1" si="54"/>
        <v>5</v>
      </c>
      <c r="X109" s="48">
        <f t="shared" ca="1" si="55"/>
        <v>22</v>
      </c>
      <c r="Y109">
        <f t="shared" si="42"/>
        <v>18</v>
      </c>
      <c r="Z109">
        <f t="shared" ca="1" si="49"/>
        <v>0</v>
      </c>
      <c r="AA109" t="str">
        <f t="shared" ca="1" si="50"/>
        <v>9122200.png</v>
      </c>
      <c r="AB109">
        <f t="shared" si="43"/>
        <v>20</v>
      </c>
      <c r="AC109">
        <f>VLOOKUP(C109,技能辅助查询表,技能配置辅助表!$W$1,FALSE)</f>
        <v>5601</v>
      </c>
      <c r="AD109">
        <f t="shared" ca="1" si="51"/>
        <v>1.1087554819742784</v>
      </c>
      <c r="AE109">
        <f>VLOOKUP(C109,技能辅助查询表,技能配置辅助表!$U$1,FALSE)</f>
        <v>4</v>
      </c>
      <c r="AF109">
        <f t="shared" ca="1" si="52"/>
        <v>9122205</v>
      </c>
      <c r="AG109">
        <f t="shared" ca="1" si="56"/>
        <v>10.204081632653061</v>
      </c>
      <c r="AH109">
        <f t="shared" ca="1" si="53"/>
        <v>22.175109639485559</v>
      </c>
      <c r="AI109">
        <f ca="1">VLOOKUP(E109,伤害参考系!$C$4:$E$104,3,FALSE)*$AN$12</f>
        <v>249.04956521739126</v>
      </c>
      <c r="AJ109">
        <f>VLOOKUP(C109,技能辅助查询表,技能配置辅助表!$L$1,FALSE)</f>
        <v>1</v>
      </c>
      <c r="AK109">
        <f>VLOOKUP(C109,技能辅助查询表,技能配置辅助表!$AE$1,FALSE)</f>
        <v>66000113</v>
      </c>
    </row>
    <row r="110" spans="1:37" x14ac:dyDescent="0.15">
      <c r="A110" s="1">
        <f t="shared" ca="1" si="44"/>
        <v>9122206</v>
      </c>
      <c r="B110" s="1" t="str">
        <f t="shared" ca="1" si="29"/>
        <v>影袭·斩第2段</v>
      </c>
      <c r="C110" t="s">
        <v>152</v>
      </c>
      <c r="D110">
        <f t="shared" si="30"/>
        <v>1</v>
      </c>
      <c r="E110" s="42">
        <f t="shared" ca="1" si="45"/>
        <v>13</v>
      </c>
      <c r="F110" t="str">
        <f t="shared" ca="1" si="46"/>
        <v>第6级，共造成126.2%点伤害</v>
      </c>
      <c r="G110">
        <f t="shared" ca="1" si="47"/>
        <v>2</v>
      </c>
      <c r="H110">
        <f t="shared" si="31"/>
        <v>2</v>
      </c>
      <c r="I110" s="44">
        <f t="shared" ca="1" si="48"/>
        <v>6</v>
      </c>
      <c r="J110">
        <f t="shared" si="32"/>
        <v>2</v>
      </c>
      <c r="K110" s="36">
        <f t="shared" ca="1" si="33"/>
        <v>126.19047619047619</v>
      </c>
      <c r="L110" s="10">
        <f ca="1">AH110*VLOOKUP(C110,技能辅助查询表,技能配置辅助表!$T$1,FALSE)</f>
        <v>0</v>
      </c>
      <c r="M110">
        <f t="shared" ca="1" si="34"/>
        <v>7520</v>
      </c>
      <c r="N110" s="33">
        <f ca="1">CHOOSE(1,W110*U110,X110*'[1]0、经济设定'!$C$18)</f>
        <v>610</v>
      </c>
      <c r="O110">
        <f t="shared" si="35"/>
        <v>2</v>
      </c>
      <c r="P110">
        <f t="shared" si="36"/>
        <v>1</v>
      </c>
      <c r="Q110">
        <f t="shared" si="37"/>
        <v>1</v>
      </c>
      <c r="R110" s="2">
        <f t="shared" si="38"/>
        <v>4</v>
      </c>
      <c r="S110" s="2">
        <f t="shared" si="39"/>
        <v>50</v>
      </c>
      <c r="T110" s="2">
        <f t="shared" si="40"/>
        <v>119.04761904761905</v>
      </c>
      <c r="U110" s="2">
        <f ca="1">VLOOKUP(E110,金币生产率!$A$2:$B$120,2,0)</f>
        <v>122</v>
      </c>
      <c r="V110" s="2">
        <f t="shared" si="41"/>
        <v>119.04761904761905</v>
      </c>
      <c r="W110" s="45">
        <f t="shared" ca="1" si="54"/>
        <v>5</v>
      </c>
      <c r="X110" s="48">
        <f t="shared" ca="1" si="55"/>
        <v>27</v>
      </c>
      <c r="Y110">
        <f t="shared" si="42"/>
        <v>18</v>
      </c>
      <c r="Z110">
        <f t="shared" ca="1" si="49"/>
        <v>0</v>
      </c>
      <c r="AA110" t="str">
        <f t="shared" ca="1" si="50"/>
        <v>9122200.png</v>
      </c>
      <c r="AB110">
        <f t="shared" si="43"/>
        <v>20</v>
      </c>
      <c r="AC110">
        <f>VLOOKUP(C110,技能辅助查询表,技能配置辅助表!$W$1,FALSE)</f>
        <v>5601</v>
      </c>
      <c r="AD110">
        <f t="shared" ca="1" si="51"/>
        <v>1.3224131540087647</v>
      </c>
      <c r="AE110">
        <f>VLOOKUP(C110,技能辅助查询表,技能配置辅助表!$U$1,FALSE)</f>
        <v>4</v>
      </c>
      <c r="AF110">
        <f t="shared" ca="1" si="52"/>
        <v>9122206</v>
      </c>
      <c r="AG110">
        <f t="shared" ca="1" si="56"/>
        <v>11.755102040816325</v>
      </c>
      <c r="AH110">
        <f t="shared" ca="1" si="53"/>
        <v>25.246069303803697</v>
      </c>
      <c r="AI110">
        <f ca="1">VLOOKUP(E110,伤害参考系!$C$4:$E$104,3,FALSE)*$AN$12</f>
        <v>288.46124999999995</v>
      </c>
      <c r="AJ110">
        <f>VLOOKUP(C110,技能辅助查询表,技能配置辅助表!$L$1,FALSE)</f>
        <v>1</v>
      </c>
      <c r="AK110">
        <f>VLOOKUP(C110,技能辅助查询表,技能配置辅助表!$AE$1,FALSE)</f>
        <v>66000113</v>
      </c>
    </row>
    <row r="111" spans="1:37" x14ac:dyDescent="0.15">
      <c r="A111" s="1">
        <f t="shared" ca="1" si="44"/>
        <v>9122207</v>
      </c>
      <c r="B111" s="1" t="str">
        <f t="shared" ca="1" si="29"/>
        <v>影袭·斩第2段</v>
      </c>
      <c r="C111" t="s">
        <v>152</v>
      </c>
      <c r="D111">
        <f t="shared" si="30"/>
        <v>1</v>
      </c>
      <c r="E111" s="42">
        <f t="shared" ca="1" si="45"/>
        <v>15</v>
      </c>
      <c r="F111" t="str">
        <f t="shared" ca="1" si="46"/>
        <v>第7级，共造成127.4%点伤害</v>
      </c>
      <c r="G111">
        <f t="shared" ca="1" si="47"/>
        <v>2</v>
      </c>
      <c r="H111">
        <f t="shared" si="31"/>
        <v>2</v>
      </c>
      <c r="I111" s="44">
        <f t="shared" ca="1" si="48"/>
        <v>7</v>
      </c>
      <c r="J111">
        <f t="shared" si="32"/>
        <v>2</v>
      </c>
      <c r="K111" s="36">
        <f t="shared" ca="1" si="33"/>
        <v>127.38095238095238</v>
      </c>
      <c r="L111" s="10">
        <f ca="1">AH111*VLOOKUP(C111,技能辅助查询表,技能配置辅助表!$T$1,FALSE)</f>
        <v>0</v>
      </c>
      <c r="M111">
        <f t="shared" ca="1" si="34"/>
        <v>7440</v>
      </c>
      <c r="N111" s="33">
        <f ca="1">CHOOSE(1,W111*U111,X111*'[1]0、经济设定'!$C$18)</f>
        <v>670</v>
      </c>
      <c r="O111">
        <f t="shared" si="35"/>
        <v>2</v>
      </c>
      <c r="P111">
        <f t="shared" si="36"/>
        <v>1</v>
      </c>
      <c r="Q111">
        <f t="shared" si="37"/>
        <v>1</v>
      </c>
      <c r="R111" s="2">
        <f t="shared" si="38"/>
        <v>4</v>
      </c>
      <c r="S111" s="2">
        <f t="shared" si="39"/>
        <v>50</v>
      </c>
      <c r="T111" s="2">
        <f t="shared" si="40"/>
        <v>119.04761904761905</v>
      </c>
      <c r="U111" s="2">
        <f ca="1">VLOOKUP(E111,金币生产率!$A$2:$B$120,2,0)</f>
        <v>134</v>
      </c>
      <c r="V111" s="2">
        <f t="shared" si="41"/>
        <v>119.04761904761905</v>
      </c>
      <c r="W111" s="45">
        <f t="shared" ca="1" si="54"/>
        <v>5</v>
      </c>
      <c r="X111" s="48">
        <f t="shared" ca="1" si="55"/>
        <v>32</v>
      </c>
      <c r="Y111">
        <f t="shared" si="42"/>
        <v>18</v>
      </c>
      <c r="Z111">
        <f t="shared" ca="1" si="49"/>
        <v>0</v>
      </c>
      <c r="AA111" t="str">
        <f t="shared" ca="1" si="50"/>
        <v>9122200.png</v>
      </c>
      <c r="AB111">
        <f t="shared" si="43"/>
        <v>20</v>
      </c>
      <c r="AC111">
        <f>VLOOKUP(C111,技能辅助查询表,技能配置辅助表!$W$1,FALSE)</f>
        <v>5601</v>
      </c>
      <c r="AD111">
        <f t="shared" ca="1" si="51"/>
        <v>1.5739839879736715</v>
      </c>
      <c r="AE111">
        <f>VLOOKUP(C111,技能辅助查询表,技能配置辅助表!$U$1,FALSE)</f>
        <v>4</v>
      </c>
      <c r="AF111">
        <f t="shared" ca="1" si="52"/>
        <v>9122207</v>
      </c>
      <c r="AG111">
        <f t="shared" ca="1" si="56"/>
        <v>13.306122448979592</v>
      </c>
      <c r="AH111">
        <f t="shared" ca="1" si="53"/>
        <v>28.742316302127907</v>
      </c>
      <c r="AI111">
        <f ca="1">VLOOKUP(E111,伤害参考系!$C$4:$E$104,3,FALSE)*$AN$12</f>
        <v>374.61277173913044</v>
      </c>
      <c r="AJ111">
        <f>VLOOKUP(C111,技能辅助查询表,技能配置辅助表!$L$1,FALSE)</f>
        <v>1</v>
      </c>
      <c r="AK111">
        <f>VLOOKUP(C111,技能辅助查询表,技能配置辅助表!$AE$1,FALSE)</f>
        <v>66000113</v>
      </c>
    </row>
    <row r="112" spans="1:37" x14ac:dyDescent="0.15">
      <c r="A112" s="1">
        <f t="shared" ca="1" si="44"/>
        <v>9122208</v>
      </c>
      <c r="B112" s="1" t="str">
        <f t="shared" ca="1" si="29"/>
        <v>影袭·斩第2段</v>
      </c>
      <c r="C112" t="s">
        <v>152</v>
      </c>
      <c r="D112">
        <f t="shared" si="30"/>
        <v>1</v>
      </c>
      <c r="E112" s="42">
        <f t="shared" ca="1" si="45"/>
        <v>16</v>
      </c>
      <c r="F112" t="str">
        <f t="shared" ca="1" si="46"/>
        <v>第8级，共造成128.6%点伤害</v>
      </c>
      <c r="G112">
        <f t="shared" ca="1" si="47"/>
        <v>2</v>
      </c>
      <c r="H112">
        <f t="shared" si="31"/>
        <v>2</v>
      </c>
      <c r="I112" s="44">
        <f t="shared" ca="1" si="48"/>
        <v>8</v>
      </c>
      <c r="J112">
        <f t="shared" si="32"/>
        <v>2</v>
      </c>
      <c r="K112" s="36">
        <f t="shared" ca="1" si="33"/>
        <v>128.57142857142858</v>
      </c>
      <c r="L112" s="10">
        <f ca="1">AH112*VLOOKUP(C112,技能辅助查询表,技能配置辅助表!$T$1,FALSE)</f>
        <v>0</v>
      </c>
      <c r="M112">
        <f t="shared" ca="1" si="34"/>
        <v>7360</v>
      </c>
      <c r="N112" s="33">
        <f ca="1">CHOOSE(1,W112*U112,X112*'[1]0、经济设定'!$C$18)</f>
        <v>840</v>
      </c>
      <c r="O112">
        <f t="shared" si="35"/>
        <v>2</v>
      </c>
      <c r="P112">
        <f t="shared" si="36"/>
        <v>1</v>
      </c>
      <c r="Q112">
        <f t="shared" si="37"/>
        <v>1</v>
      </c>
      <c r="R112" s="2">
        <f t="shared" si="38"/>
        <v>4</v>
      </c>
      <c r="S112" s="2">
        <f t="shared" si="39"/>
        <v>50</v>
      </c>
      <c r="T112" s="2">
        <f t="shared" si="40"/>
        <v>119.04761904761905</v>
      </c>
      <c r="U112" s="2">
        <f ca="1">VLOOKUP(E112,金币生产率!$A$2:$B$120,2,0)</f>
        <v>140</v>
      </c>
      <c r="V112" s="2">
        <f t="shared" si="41"/>
        <v>119.04761904761905</v>
      </c>
      <c r="W112" s="45">
        <f t="shared" ca="1" si="54"/>
        <v>6</v>
      </c>
      <c r="X112" s="48">
        <f t="shared" ca="1" si="55"/>
        <v>38</v>
      </c>
      <c r="Y112">
        <f t="shared" si="42"/>
        <v>18</v>
      </c>
      <c r="Z112">
        <f t="shared" ca="1" si="49"/>
        <v>0</v>
      </c>
      <c r="AA112" t="str">
        <f t="shared" ca="1" si="50"/>
        <v>9122200.png</v>
      </c>
      <c r="AB112">
        <f t="shared" si="43"/>
        <v>20</v>
      </c>
      <c r="AC112">
        <f>VLOOKUP(C112,技能辅助查询表,技能配置辅助表!$W$1,FALSE)</f>
        <v>5601</v>
      </c>
      <c r="AD112">
        <f t="shared" ca="1" si="51"/>
        <v>1.8698712748853268</v>
      </c>
      <c r="AE112">
        <f>VLOOKUP(C112,技能辅助查询表,技能配置辅助表!$U$1,FALSE)</f>
        <v>4</v>
      </c>
      <c r="AF112">
        <f t="shared" ca="1" si="52"/>
        <v>9122208</v>
      </c>
      <c r="AG112">
        <f t="shared" ca="1" si="56"/>
        <v>14.857142857142858</v>
      </c>
      <c r="AH112">
        <f t="shared" ca="1" si="53"/>
        <v>32.722747310493212</v>
      </c>
      <c r="AI112">
        <f ca="1">VLOOKUP(E112,伤害参考系!$C$4:$E$104,3,FALSE)*$AN$12</f>
        <v>421.35260869565224</v>
      </c>
      <c r="AJ112">
        <f>VLOOKUP(C112,技能辅助查询表,技能配置辅助表!$L$1,FALSE)</f>
        <v>1</v>
      </c>
      <c r="AK112">
        <f>VLOOKUP(C112,技能辅助查询表,技能配置辅助表!$AE$1,FALSE)</f>
        <v>66000113</v>
      </c>
    </row>
    <row r="113" spans="1:37" x14ac:dyDescent="0.15">
      <c r="A113" s="1">
        <f t="shared" ca="1" si="44"/>
        <v>9122209</v>
      </c>
      <c r="B113" s="1" t="str">
        <f t="shared" ca="1" si="29"/>
        <v>影袭·斩第2段</v>
      </c>
      <c r="C113" t="s">
        <v>152</v>
      </c>
      <c r="D113">
        <f t="shared" si="30"/>
        <v>1</v>
      </c>
      <c r="E113" s="42">
        <f t="shared" ca="1" si="45"/>
        <v>18</v>
      </c>
      <c r="F113" t="str">
        <f t="shared" ca="1" si="46"/>
        <v>第9级，共造成129.8%点伤害</v>
      </c>
      <c r="G113">
        <f t="shared" ca="1" si="47"/>
        <v>2</v>
      </c>
      <c r="H113">
        <f t="shared" si="31"/>
        <v>2</v>
      </c>
      <c r="I113" s="44">
        <f t="shared" ca="1" si="48"/>
        <v>9</v>
      </c>
      <c r="J113">
        <f t="shared" si="32"/>
        <v>2</v>
      </c>
      <c r="K113" s="36">
        <f t="shared" ca="1" si="33"/>
        <v>129.76190476190476</v>
      </c>
      <c r="L113" s="10">
        <f ca="1">AH113*VLOOKUP(C113,技能辅助查询表,技能配置辅助表!$T$1,FALSE)</f>
        <v>0</v>
      </c>
      <c r="M113">
        <f t="shared" ca="1" si="34"/>
        <v>7280</v>
      </c>
      <c r="N113" s="33">
        <f ca="1">CHOOSE(1,W113*U113,X113*'[1]0、经济设定'!$C$18)</f>
        <v>912</v>
      </c>
      <c r="O113">
        <f t="shared" si="35"/>
        <v>2</v>
      </c>
      <c r="P113">
        <f t="shared" si="36"/>
        <v>1</v>
      </c>
      <c r="Q113">
        <f t="shared" si="37"/>
        <v>1</v>
      </c>
      <c r="R113" s="2">
        <f t="shared" si="38"/>
        <v>4</v>
      </c>
      <c r="S113" s="2">
        <f t="shared" si="39"/>
        <v>50</v>
      </c>
      <c r="T113" s="2">
        <f t="shared" si="40"/>
        <v>119.04761904761905</v>
      </c>
      <c r="U113" s="2">
        <f ca="1">VLOOKUP(E113,金币生产率!$A$2:$B$120,2,0)</f>
        <v>152</v>
      </c>
      <c r="V113" s="2">
        <f t="shared" si="41"/>
        <v>119.04761904761905</v>
      </c>
      <c r="W113" s="45">
        <f t="shared" ca="1" si="54"/>
        <v>6</v>
      </c>
      <c r="X113" s="48">
        <f t="shared" ca="1" si="55"/>
        <v>44</v>
      </c>
      <c r="Y113">
        <f t="shared" si="42"/>
        <v>18</v>
      </c>
      <c r="Z113">
        <f t="shared" ca="1" si="49"/>
        <v>0</v>
      </c>
      <c r="AA113" t="str">
        <f t="shared" ca="1" si="50"/>
        <v>9122200.png</v>
      </c>
      <c r="AB113">
        <f t="shared" si="43"/>
        <v>20</v>
      </c>
      <c r="AC113">
        <f>VLOOKUP(C113,技能辅助查询表,技能配置辅助表!$W$1,FALSE)</f>
        <v>5601</v>
      </c>
      <c r="AD113">
        <f t="shared" ca="1" si="51"/>
        <v>2.2175247271611824</v>
      </c>
      <c r="AE113">
        <f>VLOOKUP(C113,技能辅助查询表,技能配置辅助表!$U$1,FALSE)</f>
        <v>4</v>
      </c>
      <c r="AF113">
        <f t="shared" ca="1" si="52"/>
        <v>9122209</v>
      </c>
      <c r="AG113">
        <f t="shared" ca="1" si="56"/>
        <v>16.408163265306122</v>
      </c>
      <c r="AH113">
        <f t="shared" ca="1" si="53"/>
        <v>37.25441541630785</v>
      </c>
      <c r="AI113">
        <f ca="1">VLOOKUP(E113,伤害参考系!$C$4:$E$104,3,FALSE)*$AN$12</f>
        <v>522.16043478260883</v>
      </c>
      <c r="AJ113">
        <f>VLOOKUP(C113,技能辅助查询表,技能配置辅助表!$L$1,FALSE)</f>
        <v>1</v>
      </c>
      <c r="AK113">
        <f>VLOOKUP(C113,技能辅助查询表,技能配置辅助表!$AE$1,FALSE)</f>
        <v>66000113</v>
      </c>
    </row>
    <row r="114" spans="1:37" x14ac:dyDescent="0.15">
      <c r="A114" s="1">
        <f t="shared" ca="1" si="44"/>
        <v>9122210</v>
      </c>
      <c r="B114" s="1" t="str">
        <f t="shared" ca="1" si="29"/>
        <v>影袭·斩第2段</v>
      </c>
      <c r="C114" t="s">
        <v>152</v>
      </c>
      <c r="D114">
        <f t="shared" si="30"/>
        <v>1</v>
      </c>
      <c r="E114" s="42">
        <f t="shared" ca="1" si="45"/>
        <v>19</v>
      </c>
      <c r="F114" t="str">
        <f t="shared" ca="1" si="46"/>
        <v>第10级，共造成131%点伤害</v>
      </c>
      <c r="G114">
        <f t="shared" ca="1" si="47"/>
        <v>2</v>
      </c>
      <c r="H114">
        <f t="shared" si="31"/>
        <v>2</v>
      </c>
      <c r="I114" s="44">
        <f t="shared" ca="1" si="48"/>
        <v>10</v>
      </c>
      <c r="J114">
        <f t="shared" si="32"/>
        <v>2</v>
      </c>
      <c r="K114" s="36">
        <f t="shared" ca="1" si="33"/>
        <v>130.95238095238096</v>
      </c>
      <c r="L114" s="10">
        <f ca="1">AH114*VLOOKUP(C114,技能辅助查询表,技能配置辅助表!$T$1,FALSE)</f>
        <v>0</v>
      </c>
      <c r="M114">
        <f t="shared" ca="1" si="34"/>
        <v>7200</v>
      </c>
      <c r="N114" s="33">
        <f ca="1">CHOOSE(1,W114*U114,X114*'[1]0、经济设定'!$C$18)</f>
        <v>1106</v>
      </c>
      <c r="O114">
        <f t="shared" si="35"/>
        <v>2</v>
      </c>
      <c r="P114">
        <f t="shared" si="36"/>
        <v>1</v>
      </c>
      <c r="Q114">
        <f t="shared" si="37"/>
        <v>1</v>
      </c>
      <c r="R114" s="2">
        <f t="shared" si="38"/>
        <v>4</v>
      </c>
      <c r="S114" s="2">
        <f t="shared" si="39"/>
        <v>50</v>
      </c>
      <c r="T114" s="2">
        <f t="shared" si="40"/>
        <v>119.04761904761905</v>
      </c>
      <c r="U114" s="2">
        <f ca="1">VLOOKUP(E114,金币生产率!$A$2:$B$120,2,0)</f>
        <v>158</v>
      </c>
      <c r="V114" s="2">
        <f t="shared" si="41"/>
        <v>119.04761904761905</v>
      </c>
      <c r="W114" s="45">
        <f t="shared" ca="1" si="54"/>
        <v>7</v>
      </c>
      <c r="X114" s="48">
        <f t="shared" ca="1" si="55"/>
        <v>51</v>
      </c>
      <c r="Y114">
        <f t="shared" si="42"/>
        <v>18</v>
      </c>
      <c r="Z114">
        <f t="shared" ca="1" si="49"/>
        <v>0</v>
      </c>
      <c r="AA114" t="str">
        <f t="shared" ca="1" si="50"/>
        <v>9122200.png</v>
      </c>
      <c r="AB114">
        <f t="shared" si="43"/>
        <v>20</v>
      </c>
      <c r="AC114">
        <f>VLOOKUP(C114,技能辅助查询表,技能配置辅助表!$W$1,FALSE)</f>
        <v>5601</v>
      </c>
      <c r="AD114">
        <f t="shared" ca="1" si="51"/>
        <v>2.6256075036007216</v>
      </c>
      <c r="AE114">
        <f>VLOOKUP(C114,技能辅助查询表,技能配置辅助表!$U$1,FALSE)</f>
        <v>4</v>
      </c>
      <c r="AF114">
        <f t="shared" ca="1" si="52"/>
        <v>9122210</v>
      </c>
      <c r="AG114">
        <f t="shared" ca="1" si="56"/>
        <v>17.95918367346939</v>
      </c>
      <c r="AH114">
        <f t="shared" ca="1" si="53"/>
        <v>42.413659673550121</v>
      </c>
      <c r="AI114">
        <f ca="1">VLOOKUP(E114,伤害参考系!$C$4:$E$104,3,FALSE)*$AN$12</f>
        <v>576.22842391304346</v>
      </c>
      <c r="AJ114">
        <f>VLOOKUP(C114,技能辅助查询表,技能配置辅助表!$L$1,FALSE)</f>
        <v>1</v>
      </c>
      <c r="AK114">
        <f>VLOOKUP(C114,技能辅助查询表,技能配置辅助表!$AE$1,FALSE)</f>
        <v>66000113</v>
      </c>
    </row>
    <row r="115" spans="1:37" x14ac:dyDescent="0.15">
      <c r="A115" s="1">
        <f t="shared" ca="1" si="44"/>
        <v>9122211</v>
      </c>
      <c r="B115" s="1" t="str">
        <f t="shared" ca="1" si="29"/>
        <v>影袭·斩第2段</v>
      </c>
      <c r="C115" t="s">
        <v>152</v>
      </c>
      <c r="D115">
        <f t="shared" si="30"/>
        <v>1</v>
      </c>
      <c r="E115" s="42">
        <f t="shared" ca="1" si="45"/>
        <v>21</v>
      </c>
      <c r="F115" t="str">
        <f t="shared" ca="1" si="46"/>
        <v>第11级，共造成132.1%点伤害</v>
      </c>
      <c r="G115">
        <f t="shared" ca="1" si="47"/>
        <v>2</v>
      </c>
      <c r="H115">
        <f t="shared" si="31"/>
        <v>2</v>
      </c>
      <c r="I115" s="44">
        <f t="shared" ca="1" si="48"/>
        <v>11</v>
      </c>
      <c r="J115">
        <f t="shared" si="32"/>
        <v>2</v>
      </c>
      <c r="K115" s="36">
        <f t="shared" ca="1" si="33"/>
        <v>132.14285714285714</v>
      </c>
      <c r="L115" s="10">
        <f ca="1">AH115*VLOOKUP(C115,技能辅助查询表,技能配置辅助表!$T$1,FALSE)</f>
        <v>0</v>
      </c>
      <c r="M115">
        <f t="shared" ca="1" si="34"/>
        <v>7120</v>
      </c>
      <c r="N115" s="33">
        <f ca="1">CHOOSE(1,W115*U115,X115*'[1]0、经济设定'!$C$18)</f>
        <v>1470</v>
      </c>
      <c r="O115">
        <f t="shared" si="35"/>
        <v>2</v>
      </c>
      <c r="P115">
        <f t="shared" si="36"/>
        <v>1</v>
      </c>
      <c r="Q115">
        <f t="shared" si="37"/>
        <v>1</v>
      </c>
      <c r="R115" s="2">
        <f t="shared" si="38"/>
        <v>4</v>
      </c>
      <c r="S115" s="2">
        <f t="shared" si="39"/>
        <v>50</v>
      </c>
      <c r="T115" s="2">
        <f t="shared" si="40"/>
        <v>119.04761904761905</v>
      </c>
      <c r="U115" s="2">
        <f ca="1">VLOOKUP(E115,金币生产率!$A$2:$B$120,2,0)</f>
        <v>210</v>
      </c>
      <c r="V115" s="2">
        <f t="shared" si="41"/>
        <v>119.04761904761905</v>
      </c>
      <c r="W115" s="45">
        <f t="shared" ca="1" si="54"/>
        <v>7</v>
      </c>
      <c r="X115" s="48">
        <f t="shared" ca="1" si="55"/>
        <v>58</v>
      </c>
      <c r="Y115">
        <f t="shared" si="42"/>
        <v>18</v>
      </c>
      <c r="Z115">
        <f t="shared" ca="1" si="49"/>
        <v>0</v>
      </c>
      <c r="AA115" t="str">
        <f t="shared" ca="1" si="50"/>
        <v>9122200.png</v>
      </c>
      <c r="AB115">
        <f t="shared" si="43"/>
        <v>20</v>
      </c>
      <c r="AC115">
        <f>VLOOKUP(C115,技能辅助查询表,技能配置辅助表!$W$1,FALSE)</f>
        <v>5601</v>
      </c>
      <c r="AD115">
        <f t="shared" ca="1" si="51"/>
        <v>3.1041894269850387</v>
      </c>
      <c r="AE115">
        <f>VLOOKUP(C115,技能辅助查询表,技能配置辅助表!$U$1,FALSE)</f>
        <v>4</v>
      </c>
      <c r="AF115">
        <f t="shared" ca="1" si="52"/>
        <v>9122211</v>
      </c>
      <c r="AG115">
        <f t="shared" ca="1" si="56"/>
        <v>19.510204081632651</v>
      </c>
      <c r="AH115">
        <f t="shared" ca="1" si="53"/>
        <v>48.287391086433935</v>
      </c>
      <c r="AI115">
        <f ca="1">VLOOKUP(E115,伤害参考系!$C$4:$E$104,3,FALSE)*$AN$12</f>
        <v>691.69255434782622</v>
      </c>
      <c r="AJ115">
        <f>VLOOKUP(C115,技能辅助查询表,技能配置辅助表!$L$1,FALSE)</f>
        <v>1</v>
      </c>
      <c r="AK115">
        <f>VLOOKUP(C115,技能辅助查询表,技能配置辅助表!$AE$1,FALSE)</f>
        <v>66000113</v>
      </c>
    </row>
    <row r="116" spans="1:37" x14ac:dyDescent="0.15">
      <c r="A116" s="1">
        <f t="shared" ca="1" si="44"/>
        <v>9122212</v>
      </c>
      <c r="B116" s="1" t="str">
        <f t="shared" ca="1" si="29"/>
        <v>影袭·斩第2段</v>
      </c>
      <c r="C116" t="s">
        <v>152</v>
      </c>
      <c r="D116">
        <f t="shared" si="30"/>
        <v>1</v>
      </c>
      <c r="E116" s="42">
        <f t="shared" ca="1" si="45"/>
        <v>22</v>
      </c>
      <c r="F116" t="str">
        <f t="shared" ca="1" si="46"/>
        <v>第12级，共造成133.3%点伤害</v>
      </c>
      <c r="G116">
        <f t="shared" ca="1" si="47"/>
        <v>2</v>
      </c>
      <c r="H116">
        <f t="shared" si="31"/>
        <v>2</v>
      </c>
      <c r="I116" s="44">
        <f t="shared" ca="1" si="48"/>
        <v>12</v>
      </c>
      <c r="J116">
        <f t="shared" si="32"/>
        <v>2</v>
      </c>
      <c r="K116" s="36">
        <f t="shared" ca="1" si="33"/>
        <v>133.33333333333334</v>
      </c>
      <c r="L116" s="10">
        <f ca="1">AH116*VLOOKUP(C116,技能辅助查询表,技能配置辅助表!$T$1,FALSE)</f>
        <v>0</v>
      </c>
      <c r="M116">
        <f t="shared" ca="1" si="34"/>
        <v>7040</v>
      </c>
      <c r="N116" s="33">
        <f ca="1">CHOOSE(1,W116*U116,X116*'[1]0、经济设定'!$C$18)</f>
        <v>1912</v>
      </c>
      <c r="O116">
        <f t="shared" si="35"/>
        <v>2</v>
      </c>
      <c r="P116">
        <f t="shared" si="36"/>
        <v>1</v>
      </c>
      <c r="Q116">
        <f t="shared" si="37"/>
        <v>1</v>
      </c>
      <c r="R116" s="2">
        <f t="shared" si="38"/>
        <v>4</v>
      </c>
      <c r="S116" s="2">
        <f t="shared" si="39"/>
        <v>50</v>
      </c>
      <c r="T116" s="2">
        <f t="shared" si="40"/>
        <v>119.04761904761905</v>
      </c>
      <c r="U116" s="2">
        <f ca="1">VLOOKUP(E116,金币生产率!$A$2:$B$120,2,0)</f>
        <v>239</v>
      </c>
      <c r="V116" s="2">
        <f t="shared" si="41"/>
        <v>119.04761904761905</v>
      </c>
      <c r="W116" s="45">
        <f t="shared" ca="1" si="54"/>
        <v>8</v>
      </c>
      <c r="X116" s="48">
        <f t="shared" ca="1" si="55"/>
        <v>66</v>
      </c>
      <c r="Y116">
        <f t="shared" si="42"/>
        <v>18</v>
      </c>
      <c r="Z116">
        <f t="shared" ca="1" si="49"/>
        <v>0</v>
      </c>
      <c r="AA116" t="str">
        <f t="shared" ca="1" si="50"/>
        <v>9122200.png</v>
      </c>
      <c r="AB116">
        <f t="shared" si="43"/>
        <v>20</v>
      </c>
      <c r="AC116">
        <f>VLOOKUP(C116,技能辅助查询表,技能配置辅助表!$W$1,FALSE)</f>
        <v>5601</v>
      </c>
      <c r="AD116">
        <f t="shared" ca="1" si="51"/>
        <v>3.6649704456546304</v>
      </c>
      <c r="AE116">
        <f>VLOOKUP(C116,技能辅助查询表,技能配置辅助表!$U$1,FALSE)</f>
        <v>4</v>
      </c>
      <c r="AF116">
        <f t="shared" ca="1" si="52"/>
        <v>9122212</v>
      </c>
      <c r="AG116">
        <f t="shared" ca="1" si="56"/>
        <v>21.061224489795919</v>
      </c>
      <c r="AH116">
        <f t="shared" ca="1" si="53"/>
        <v>54.974556684819426</v>
      </c>
      <c r="AI116">
        <f ca="1">VLOOKUP(E116,伤害参考系!$C$4:$E$104,3,FALSE)*$AN$12</f>
        <v>753.08869565217401</v>
      </c>
      <c r="AJ116">
        <f>VLOOKUP(C116,技能辅助查询表,技能配置辅助表!$L$1,FALSE)</f>
        <v>1</v>
      </c>
      <c r="AK116">
        <f>VLOOKUP(C116,技能辅助查询表,技能配置辅助表!$AE$1,FALSE)</f>
        <v>66000113</v>
      </c>
    </row>
    <row r="117" spans="1:37" x14ac:dyDescent="0.15">
      <c r="A117" s="1">
        <f t="shared" ca="1" si="44"/>
        <v>9122213</v>
      </c>
      <c r="B117" s="1" t="str">
        <f t="shared" ca="1" si="29"/>
        <v>影袭·斩第2段</v>
      </c>
      <c r="C117" t="s">
        <v>152</v>
      </c>
      <c r="D117">
        <f t="shared" si="30"/>
        <v>1</v>
      </c>
      <c r="E117" s="42">
        <f t="shared" ca="1" si="45"/>
        <v>24</v>
      </c>
      <c r="F117" t="str">
        <f t="shared" ca="1" si="46"/>
        <v>第13级，共造成134.5%点伤害</v>
      </c>
      <c r="G117">
        <f t="shared" ca="1" si="47"/>
        <v>2</v>
      </c>
      <c r="H117">
        <f t="shared" si="31"/>
        <v>2</v>
      </c>
      <c r="I117" s="44">
        <f t="shared" ca="1" si="48"/>
        <v>13</v>
      </c>
      <c r="J117">
        <f t="shared" si="32"/>
        <v>2</v>
      </c>
      <c r="K117" s="36">
        <f t="shared" ca="1" si="33"/>
        <v>134.52380952380952</v>
      </c>
      <c r="L117" s="10">
        <f ca="1">AH117*VLOOKUP(C117,技能辅助查询表,技能配置辅助表!$T$1,FALSE)</f>
        <v>0</v>
      </c>
      <c r="M117">
        <f t="shared" ca="1" si="34"/>
        <v>6960</v>
      </c>
      <c r="N117" s="33">
        <f ca="1">CHOOSE(1,W117*U117,X117*'[1]0、经济设定'!$C$18)</f>
        <v>2416</v>
      </c>
      <c r="O117">
        <f t="shared" si="35"/>
        <v>2</v>
      </c>
      <c r="P117">
        <f t="shared" si="36"/>
        <v>1</v>
      </c>
      <c r="Q117">
        <f t="shared" si="37"/>
        <v>1</v>
      </c>
      <c r="R117" s="2">
        <f t="shared" si="38"/>
        <v>4</v>
      </c>
      <c r="S117" s="2">
        <f t="shared" si="39"/>
        <v>50</v>
      </c>
      <c r="T117" s="2">
        <f t="shared" si="40"/>
        <v>119.04761904761905</v>
      </c>
      <c r="U117" s="2">
        <f ca="1">VLOOKUP(E117,金币生产率!$A$2:$B$120,2,0)</f>
        <v>302</v>
      </c>
      <c r="V117" s="2">
        <f t="shared" si="41"/>
        <v>119.04761904761905</v>
      </c>
      <c r="W117" s="45">
        <f t="shared" ca="1" si="54"/>
        <v>8</v>
      </c>
      <c r="X117" s="48">
        <f t="shared" ca="1" si="55"/>
        <v>74</v>
      </c>
      <c r="Y117">
        <f t="shared" si="42"/>
        <v>18</v>
      </c>
      <c r="Z117">
        <f t="shared" ca="1" si="49"/>
        <v>0</v>
      </c>
      <c r="AA117" t="str">
        <f t="shared" ca="1" si="50"/>
        <v>9122200.png</v>
      </c>
      <c r="AB117">
        <f t="shared" si="43"/>
        <v>20</v>
      </c>
      <c r="AC117">
        <f>VLOOKUP(C117,技能辅助查询表,技能配置辅助表!$W$1,FALSE)</f>
        <v>5601</v>
      </c>
      <c r="AD117">
        <f t="shared" ca="1" si="51"/>
        <v>4.3215390102069478</v>
      </c>
      <c r="AE117">
        <f>VLOOKUP(C117,技能辅助查询表,技能配置辅助表!$U$1,FALSE)</f>
        <v>4</v>
      </c>
      <c r="AF117">
        <f t="shared" ca="1" si="52"/>
        <v>9122213</v>
      </c>
      <c r="AG117">
        <f t="shared" ca="1" si="56"/>
        <v>22.612244897959183</v>
      </c>
      <c r="AH117">
        <f t="shared" ca="1" si="53"/>
        <v>62.587806354721323</v>
      </c>
      <c r="AI117">
        <f ca="1">VLOOKUP(E117,伤害参考系!$C$4:$E$104,3,FALSE)*$AN$12</f>
        <v>914.59374581939801</v>
      </c>
      <c r="AJ117">
        <f>VLOOKUP(C117,技能辅助查询表,技能配置辅助表!$L$1,FALSE)</f>
        <v>1</v>
      </c>
      <c r="AK117">
        <f>VLOOKUP(C117,技能辅助查询表,技能配置辅助表!$AE$1,FALSE)</f>
        <v>66000113</v>
      </c>
    </row>
    <row r="118" spans="1:37" x14ac:dyDescent="0.15">
      <c r="A118" s="1">
        <f t="shared" ca="1" si="44"/>
        <v>9122214</v>
      </c>
      <c r="B118" s="1" t="str">
        <f t="shared" ca="1" si="29"/>
        <v>影袭·斩第2段</v>
      </c>
      <c r="C118" t="s">
        <v>152</v>
      </c>
      <c r="D118">
        <f t="shared" si="30"/>
        <v>1</v>
      </c>
      <c r="E118" s="42">
        <f t="shared" ca="1" si="45"/>
        <v>25</v>
      </c>
      <c r="F118" t="str">
        <f t="shared" ca="1" si="46"/>
        <v>第14级，共造成135.7%点伤害</v>
      </c>
      <c r="G118">
        <f t="shared" ca="1" si="47"/>
        <v>2</v>
      </c>
      <c r="H118">
        <f t="shared" si="31"/>
        <v>2</v>
      </c>
      <c r="I118" s="44">
        <f t="shared" ca="1" si="48"/>
        <v>14</v>
      </c>
      <c r="J118">
        <f t="shared" si="32"/>
        <v>2</v>
      </c>
      <c r="K118" s="36">
        <f t="shared" ca="1" si="33"/>
        <v>135.71428571428572</v>
      </c>
      <c r="L118" s="10">
        <f ca="1">AH118*VLOOKUP(C118,技能辅助查询表,技能配置辅助表!$T$1,FALSE)</f>
        <v>0</v>
      </c>
      <c r="M118">
        <f t="shared" ca="1" si="34"/>
        <v>6880</v>
      </c>
      <c r="N118" s="33">
        <f ca="1">CHOOSE(1,W118*U118,X118*'[1]0、经济设定'!$C$18)</f>
        <v>3015</v>
      </c>
      <c r="O118">
        <f t="shared" si="35"/>
        <v>2</v>
      </c>
      <c r="P118">
        <f t="shared" si="36"/>
        <v>1</v>
      </c>
      <c r="Q118">
        <f t="shared" si="37"/>
        <v>1</v>
      </c>
      <c r="R118" s="2">
        <f t="shared" si="38"/>
        <v>4</v>
      </c>
      <c r="S118" s="2">
        <f t="shared" si="39"/>
        <v>50</v>
      </c>
      <c r="T118" s="2">
        <f t="shared" si="40"/>
        <v>119.04761904761905</v>
      </c>
      <c r="U118" s="2">
        <f ca="1">VLOOKUP(E118,金币生产率!$A$2:$B$120,2,0)</f>
        <v>335</v>
      </c>
      <c r="V118" s="2">
        <f t="shared" si="41"/>
        <v>119.04761904761905</v>
      </c>
      <c r="W118" s="45">
        <f t="shared" ca="1" si="54"/>
        <v>9</v>
      </c>
      <c r="X118" s="48">
        <f t="shared" ca="1" si="55"/>
        <v>83</v>
      </c>
      <c r="Y118">
        <f t="shared" si="42"/>
        <v>18</v>
      </c>
      <c r="Z118">
        <f t="shared" ca="1" si="49"/>
        <v>0</v>
      </c>
      <c r="AA118" t="str">
        <f t="shared" ca="1" si="50"/>
        <v>9122200.png</v>
      </c>
      <c r="AB118">
        <f t="shared" si="43"/>
        <v>20</v>
      </c>
      <c r="AC118">
        <f>VLOOKUP(C118,技能辅助查询表,技能配置辅助表!$W$1,FALSE)</f>
        <v>5601</v>
      </c>
      <c r="AD118">
        <f t="shared" ca="1" si="51"/>
        <v>5.0896707502012646</v>
      </c>
      <c r="AE118">
        <f>VLOOKUP(C118,技能辅助查询表,技能配置辅助表!$U$1,FALSE)</f>
        <v>4</v>
      </c>
      <c r="AF118">
        <f t="shared" ca="1" si="52"/>
        <v>9122214</v>
      </c>
      <c r="AG118">
        <f t="shared" ca="1" si="56"/>
        <v>24.163265306122447</v>
      </c>
      <c r="AH118">
        <f t="shared" ca="1" si="53"/>
        <v>71.25539050281769</v>
      </c>
      <c r="AI118">
        <f ca="1">VLOOKUP(E118,伤害参考系!$C$4:$E$104,3,FALSE)*$AN$12</f>
        <v>1000.3949623745822</v>
      </c>
      <c r="AJ118">
        <f>VLOOKUP(C118,技能辅助查询表,技能配置辅助表!$L$1,FALSE)</f>
        <v>1</v>
      </c>
      <c r="AK118">
        <f>VLOOKUP(C118,技能辅助查询表,技能配置辅助表!$AE$1,FALSE)</f>
        <v>66000113</v>
      </c>
    </row>
    <row r="119" spans="1:37" x14ac:dyDescent="0.15">
      <c r="A119" s="1">
        <f t="shared" ca="1" si="44"/>
        <v>9122215</v>
      </c>
      <c r="B119" s="1" t="str">
        <f t="shared" ca="1" si="29"/>
        <v>影袭·斩第2段</v>
      </c>
      <c r="C119" t="s">
        <v>152</v>
      </c>
      <c r="D119">
        <f t="shared" si="30"/>
        <v>1</v>
      </c>
      <c r="E119" s="42">
        <f t="shared" ca="1" si="45"/>
        <v>27</v>
      </c>
      <c r="F119" t="str">
        <f t="shared" ca="1" si="46"/>
        <v>第15级，共造成136.9%点伤害</v>
      </c>
      <c r="G119">
        <f t="shared" ca="1" si="47"/>
        <v>2</v>
      </c>
      <c r="H119">
        <f t="shared" si="31"/>
        <v>2</v>
      </c>
      <c r="I119" s="44">
        <f t="shared" ca="1" si="48"/>
        <v>15</v>
      </c>
      <c r="J119">
        <f t="shared" si="32"/>
        <v>2</v>
      </c>
      <c r="K119" s="36">
        <f t="shared" ca="1" si="33"/>
        <v>136.9047619047619</v>
      </c>
      <c r="L119" s="10">
        <f ca="1">AH119*VLOOKUP(C119,技能辅助查询表,技能配置辅助表!$T$1,FALSE)</f>
        <v>0</v>
      </c>
      <c r="M119">
        <f t="shared" ca="1" si="34"/>
        <v>6800</v>
      </c>
      <c r="N119" s="33">
        <f ca="1">CHOOSE(1,W119*U119,X119*'[1]0、经济设定'!$C$18)</f>
        <v>4060</v>
      </c>
      <c r="O119">
        <f t="shared" si="35"/>
        <v>2</v>
      </c>
      <c r="P119">
        <f t="shared" si="36"/>
        <v>1</v>
      </c>
      <c r="Q119">
        <f t="shared" si="37"/>
        <v>1</v>
      </c>
      <c r="R119" s="2">
        <f t="shared" si="38"/>
        <v>4</v>
      </c>
      <c r="S119" s="2">
        <f t="shared" si="39"/>
        <v>50</v>
      </c>
      <c r="T119" s="2">
        <f t="shared" si="40"/>
        <v>119.04761904761905</v>
      </c>
      <c r="U119" s="2">
        <f ca="1">VLOOKUP(E119,金币生产率!$A$2:$B$120,2,0)</f>
        <v>406</v>
      </c>
      <c r="V119" s="2">
        <f t="shared" si="41"/>
        <v>119.04761904761905</v>
      </c>
      <c r="W119" s="45">
        <f t="shared" ca="1" si="54"/>
        <v>10</v>
      </c>
      <c r="X119" s="48">
        <f t="shared" ca="1" si="55"/>
        <v>93</v>
      </c>
      <c r="Y119">
        <f t="shared" si="42"/>
        <v>18</v>
      </c>
      <c r="Z119">
        <f t="shared" ca="1" si="49"/>
        <v>0</v>
      </c>
      <c r="AA119" t="str">
        <f t="shared" ca="1" si="50"/>
        <v>9122200.png</v>
      </c>
      <c r="AB119">
        <f t="shared" si="43"/>
        <v>20</v>
      </c>
      <c r="AC119">
        <f>VLOOKUP(C119,技能辅助查询表,技能配置辅助表!$W$1,FALSE)</f>
        <v>5601</v>
      </c>
      <c r="AD119">
        <f t="shared" ca="1" si="51"/>
        <v>5.9876736576069876</v>
      </c>
      <c r="AE119">
        <f>VLOOKUP(C119,技能辅助查询表,技能配置辅助表!$U$1,FALSE)</f>
        <v>4</v>
      </c>
      <c r="AF119">
        <f t="shared" ca="1" si="52"/>
        <v>9122215</v>
      </c>
      <c r="AG119">
        <f t="shared" ca="1" si="56"/>
        <v>25.714285714285715</v>
      </c>
      <c r="AH119">
        <f t="shared" ca="1" si="53"/>
        <v>81.123320522417259</v>
      </c>
      <c r="AI119">
        <f ca="1">VLOOKUP(E119,伤害参考系!$C$4:$E$104,3,FALSE)*$AN$12</f>
        <v>1210.5107784280938</v>
      </c>
      <c r="AJ119">
        <f>VLOOKUP(C119,技能辅助查询表,技能配置辅助表!$L$1,FALSE)</f>
        <v>1</v>
      </c>
      <c r="AK119">
        <f>VLOOKUP(C119,技能辅助查询表,技能配置辅助表!$AE$1,FALSE)</f>
        <v>66000113</v>
      </c>
    </row>
    <row r="120" spans="1:37" x14ac:dyDescent="0.15">
      <c r="A120" s="1">
        <f t="shared" ca="1" si="44"/>
        <v>9122216</v>
      </c>
      <c r="B120" s="1" t="str">
        <f t="shared" ca="1" si="29"/>
        <v>影袭·斩第2段</v>
      </c>
      <c r="C120" t="s">
        <v>152</v>
      </c>
      <c r="D120">
        <f t="shared" si="30"/>
        <v>1</v>
      </c>
      <c r="E120" s="42">
        <f t="shared" ca="1" si="45"/>
        <v>28</v>
      </c>
      <c r="F120" t="str">
        <f t="shared" ca="1" si="46"/>
        <v>第16级，共造成138.1%点伤害</v>
      </c>
      <c r="G120">
        <f t="shared" ca="1" si="47"/>
        <v>2</v>
      </c>
      <c r="H120">
        <f t="shared" si="31"/>
        <v>2</v>
      </c>
      <c r="I120" s="44">
        <f t="shared" ca="1" si="48"/>
        <v>16</v>
      </c>
      <c r="J120">
        <f t="shared" si="32"/>
        <v>2</v>
      </c>
      <c r="K120" s="36">
        <f t="shared" ca="1" si="33"/>
        <v>138.0952380952381</v>
      </c>
      <c r="L120" s="10">
        <f ca="1">AH120*VLOOKUP(C120,技能辅助查询表,技能配置辅助表!$T$1,FALSE)</f>
        <v>0</v>
      </c>
      <c r="M120">
        <f t="shared" ca="1" si="34"/>
        <v>6720</v>
      </c>
      <c r="N120" s="33">
        <f ca="1">CHOOSE(1,W120*U120,X120*'[1]0、经济设定'!$C$18)</f>
        <v>4430</v>
      </c>
      <c r="O120">
        <f t="shared" si="35"/>
        <v>2</v>
      </c>
      <c r="P120">
        <f t="shared" si="36"/>
        <v>1</v>
      </c>
      <c r="Q120">
        <f t="shared" si="37"/>
        <v>1</v>
      </c>
      <c r="R120" s="2">
        <f t="shared" si="38"/>
        <v>4</v>
      </c>
      <c r="S120" s="2">
        <f t="shared" si="39"/>
        <v>50</v>
      </c>
      <c r="T120" s="2">
        <f t="shared" si="40"/>
        <v>119.04761904761905</v>
      </c>
      <c r="U120" s="2">
        <f ca="1">VLOOKUP(E120,金币生产率!$A$2:$B$120,2,0)</f>
        <v>443</v>
      </c>
      <c r="V120" s="2">
        <f t="shared" si="41"/>
        <v>119.04761904761905</v>
      </c>
      <c r="W120" s="45">
        <f t="shared" ca="1" si="54"/>
        <v>10</v>
      </c>
      <c r="X120" s="48">
        <f t="shared" ca="1" si="55"/>
        <v>103</v>
      </c>
      <c r="Y120">
        <f t="shared" si="42"/>
        <v>18</v>
      </c>
      <c r="Z120">
        <f t="shared" ca="1" si="49"/>
        <v>0</v>
      </c>
      <c r="AA120" t="str">
        <f t="shared" ca="1" si="50"/>
        <v>9122200.png</v>
      </c>
      <c r="AB120">
        <f t="shared" si="43"/>
        <v>20</v>
      </c>
      <c r="AC120">
        <f>VLOOKUP(C120,技能辅助查询表,技能配置辅助表!$W$1,FALSE)</f>
        <v>5601</v>
      </c>
      <c r="AD120">
        <f t="shared" ca="1" si="51"/>
        <v>7.0367869299363806</v>
      </c>
      <c r="AE120">
        <f>VLOOKUP(C120,技能辅助查询表,技能配置辅助表!$U$1,FALSE)</f>
        <v>4</v>
      </c>
      <c r="AF120">
        <f t="shared" ca="1" si="52"/>
        <v>9122216</v>
      </c>
      <c r="AG120">
        <f t="shared" ca="1" si="56"/>
        <v>27.26530612244898</v>
      </c>
      <c r="AH120">
        <f t="shared" ca="1" si="53"/>
        <v>92.357828455414989</v>
      </c>
      <c r="AI120">
        <f ca="1">VLOOKUP(E120,伤害参考系!$C$4:$E$104,3,FALSE)*$AN$12</f>
        <v>1321.7693779264216</v>
      </c>
      <c r="AJ120">
        <f>VLOOKUP(C120,技能辅助查询表,技能配置辅助表!$L$1,FALSE)</f>
        <v>1</v>
      </c>
      <c r="AK120">
        <f>VLOOKUP(C120,技能辅助查询表,技能配置辅助表!$AE$1,FALSE)</f>
        <v>66000113</v>
      </c>
    </row>
    <row r="121" spans="1:37" x14ac:dyDescent="0.15">
      <c r="A121" s="1">
        <f t="shared" ca="1" si="44"/>
        <v>9122217</v>
      </c>
      <c r="B121" s="1" t="str">
        <f t="shared" ca="1" si="29"/>
        <v>影袭·斩第2段</v>
      </c>
      <c r="C121" t="s">
        <v>152</v>
      </c>
      <c r="D121">
        <f t="shared" si="30"/>
        <v>1</v>
      </c>
      <c r="E121" s="42">
        <f t="shared" ca="1" si="45"/>
        <v>30</v>
      </c>
      <c r="F121" t="str">
        <f t="shared" ca="1" si="46"/>
        <v>第17级，共造成139.3%点伤害</v>
      </c>
      <c r="G121">
        <f t="shared" ca="1" si="47"/>
        <v>2</v>
      </c>
      <c r="H121">
        <f t="shared" si="31"/>
        <v>2</v>
      </c>
      <c r="I121" s="44">
        <f t="shared" ca="1" si="48"/>
        <v>17</v>
      </c>
      <c r="J121">
        <f t="shared" si="32"/>
        <v>2</v>
      </c>
      <c r="K121" s="36">
        <f t="shared" ca="1" si="33"/>
        <v>139.28571428571428</v>
      </c>
      <c r="L121" s="10">
        <f ca="1">AH121*VLOOKUP(C121,技能辅助查询表,技能配置辅助表!$T$1,FALSE)</f>
        <v>0</v>
      </c>
      <c r="M121">
        <f t="shared" ca="1" si="34"/>
        <v>6640</v>
      </c>
      <c r="N121" s="33">
        <f ca="1">CHOOSE(1,W121*U121,X121*'[1]0、经济设定'!$C$18)</f>
        <v>5742</v>
      </c>
      <c r="O121">
        <f t="shared" si="35"/>
        <v>2</v>
      </c>
      <c r="P121">
        <f t="shared" si="36"/>
        <v>1</v>
      </c>
      <c r="Q121">
        <f t="shared" si="37"/>
        <v>1</v>
      </c>
      <c r="R121" s="2">
        <f t="shared" si="38"/>
        <v>4</v>
      </c>
      <c r="S121" s="2">
        <f t="shared" si="39"/>
        <v>50</v>
      </c>
      <c r="T121" s="2">
        <f t="shared" si="40"/>
        <v>119.04761904761905</v>
      </c>
      <c r="U121" s="2">
        <f ca="1">VLOOKUP(E121,金币生产率!$A$2:$B$120,2,0)</f>
        <v>522</v>
      </c>
      <c r="V121" s="2">
        <f t="shared" si="41"/>
        <v>119.04761904761905</v>
      </c>
      <c r="W121" s="45">
        <f t="shared" ca="1" si="54"/>
        <v>11</v>
      </c>
      <c r="X121" s="48">
        <f t="shared" ca="1" si="55"/>
        <v>114</v>
      </c>
      <c r="Y121">
        <f t="shared" si="42"/>
        <v>18</v>
      </c>
      <c r="Z121">
        <f t="shared" ca="1" si="49"/>
        <v>0</v>
      </c>
      <c r="AA121" t="str">
        <f t="shared" ca="1" si="50"/>
        <v>9122200.png</v>
      </c>
      <c r="AB121">
        <f t="shared" si="43"/>
        <v>20</v>
      </c>
      <c r="AC121">
        <f>VLOOKUP(C121,技能辅助查询表,技能配置辅助表!$W$1,FALSE)</f>
        <v>5601</v>
      </c>
      <c r="AD121">
        <f t="shared" ca="1" si="51"/>
        <v>8.2616417152442487</v>
      </c>
      <c r="AE121">
        <f>VLOOKUP(C121,技能辅助查询表,技能配置辅助表!$U$1,FALSE)</f>
        <v>4</v>
      </c>
      <c r="AF121">
        <f t="shared" ca="1" si="52"/>
        <v>9122217</v>
      </c>
      <c r="AG121">
        <f t="shared" ca="1" si="56"/>
        <v>28.816326530612244</v>
      </c>
      <c r="AH121">
        <f t="shared" ca="1" si="53"/>
        <v>105.14816728492683</v>
      </c>
      <c r="AI121">
        <f ca="1">VLOOKUP(E121,伤害参考系!$C$4:$E$104,3,FALSE)*$AN$12</f>
        <v>1576.1465593645489</v>
      </c>
      <c r="AJ121">
        <f>VLOOKUP(C121,技能辅助查询表,技能配置辅助表!$L$1,FALSE)</f>
        <v>1</v>
      </c>
      <c r="AK121">
        <f>VLOOKUP(C121,技能辅助查询表,技能配置辅助表!$AE$1,FALSE)</f>
        <v>66000113</v>
      </c>
    </row>
    <row r="122" spans="1:37" x14ac:dyDescent="0.15">
      <c r="A122" s="1">
        <f t="shared" ca="1" si="44"/>
        <v>9122218</v>
      </c>
      <c r="B122" s="1" t="str">
        <f t="shared" ca="1" si="29"/>
        <v>影袭·斩第2段</v>
      </c>
      <c r="C122" t="s">
        <v>152</v>
      </c>
      <c r="D122">
        <f t="shared" si="30"/>
        <v>1</v>
      </c>
      <c r="E122" s="42">
        <f t="shared" ca="1" si="45"/>
        <v>31</v>
      </c>
      <c r="F122" t="str">
        <f t="shared" ca="1" si="46"/>
        <v>第18级，共造成140.5%点伤害</v>
      </c>
      <c r="G122">
        <f t="shared" ca="1" si="47"/>
        <v>2</v>
      </c>
      <c r="H122">
        <f t="shared" si="31"/>
        <v>2</v>
      </c>
      <c r="I122" s="44">
        <f t="shared" ca="1" si="48"/>
        <v>18</v>
      </c>
      <c r="J122">
        <f t="shared" si="32"/>
        <v>2</v>
      </c>
      <c r="K122" s="36">
        <f t="shared" ca="1" si="33"/>
        <v>140.47619047619048</v>
      </c>
      <c r="L122" s="10">
        <f ca="1">AH122*VLOOKUP(C122,技能辅助查询表,技能配置辅助表!$T$1,FALSE)</f>
        <v>0</v>
      </c>
      <c r="M122">
        <f t="shared" ca="1" si="34"/>
        <v>6560</v>
      </c>
      <c r="N122" s="33">
        <f ca="1">CHOOSE(1,W122*U122,X122*'[1]0、经济设定'!$C$18)</f>
        <v>6756</v>
      </c>
      <c r="O122">
        <f t="shared" si="35"/>
        <v>2</v>
      </c>
      <c r="P122">
        <f t="shared" si="36"/>
        <v>1</v>
      </c>
      <c r="Q122">
        <f t="shared" si="37"/>
        <v>1</v>
      </c>
      <c r="R122" s="2">
        <f t="shared" si="38"/>
        <v>4</v>
      </c>
      <c r="S122" s="2">
        <f t="shared" si="39"/>
        <v>50</v>
      </c>
      <c r="T122" s="2">
        <f t="shared" si="40"/>
        <v>119.04761904761905</v>
      </c>
      <c r="U122" s="2">
        <f ca="1">VLOOKUP(E122,金币生产率!$A$2:$B$120,2,0)</f>
        <v>563</v>
      </c>
      <c r="V122" s="2">
        <f t="shared" si="41"/>
        <v>119.04761904761905</v>
      </c>
      <c r="W122" s="45">
        <f t="shared" ca="1" si="54"/>
        <v>12</v>
      </c>
      <c r="X122" s="48">
        <f t="shared" ca="1" si="55"/>
        <v>126</v>
      </c>
      <c r="Y122">
        <f t="shared" si="42"/>
        <v>18</v>
      </c>
      <c r="Z122">
        <f t="shared" ca="1" si="49"/>
        <v>5</v>
      </c>
      <c r="AA122" t="str">
        <f t="shared" ca="1" si="50"/>
        <v>9122200.png</v>
      </c>
      <c r="AB122">
        <f t="shared" si="43"/>
        <v>20</v>
      </c>
      <c r="AC122">
        <f>VLOOKUP(C122,技能辅助查询表,技能配置辅助表!$W$1,FALSE)</f>
        <v>5601</v>
      </c>
      <c r="AD122">
        <f t="shared" ca="1" si="51"/>
        <v>9.6907932549269837</v>
      </c>
      <c r="AE122">
        <f>VLOOKUP(C122,技能辅助查询表,技能配置辅助表!$U$1,FALSE)</f>
        <v>4</v>
      </c>
      <c r="AF122">
        <f t="shared" ca="1" si="52"/>
        <v>9122218</v>
      </c>
      <c r="AG122">
        <f t="shared" ca="1" si="56"/>
        <v>30.367346938775512</v>
      </c>
      <c r="AH122">
        <f t="shared" ca="1" si="53"/>
        <v>119.70979903145096</v>
      </c>
      <c r="AI122">
        <f ca="1">VLOOKUP(E122,伤害参考系!$C$4:$E$104,3,FALSE)*$AN$12</f>
        <v>1721.3320384615388</v>
      </c>
      <c r="AJ122">
        <f>VLOOKUP(C122,技能辅助查询表,技能配置辅助表!$L$1,FALSE)</f>
        <v>1</v>
      </c>
      <c r="AK122">
        <f>VLOOKUP(C122,技能辅助查询表,技能配置辅助表!$AE$1,FALSE)</f>
        <v>66000113</v>
      </c>
    </row>
    <row r="123" spans="1:37" x14ac:dyDescent="0.15">
      <c r="A123" s="1">
        <f t="shared" ca="1" si="44"/>
        <v>9122219</v>
      </c>
      <c r="B123" s="1" t="str">
        <f t="shared" ca="1" si="29"/>
        <v>影袭·斩第2段</v>
      </c>
      <c r="C123" t="s">
        <v>152</v>
      </c>
      <c r="D123">
        <f t="shared" si="30"/>
        <v>1</v>
      </c>
      <c r="E123" s="42">
        <f t="shared" ca="1" si="45"/>
        <v>33</v>
      </c>
      <c r="F123" t="str">
        <f t="shared" ca="1" si="46"/>
        <v>第19级，共造成141.7%点伤害</v>
      </c>
      <c r="G123">
        <f t="shared" ca="1" si="47"/>
        <v>2</v>
      </c>
      <c r="H123">
        <f t="shared" si="31"/>
        <v>2</v>
      </c>
      <c r="I123" s="44">
        <f t="shared" ca="1" si="48"/>
        <v>19</v>
      </c>
      <c r="J123">
        <f t="shared" si="32"/>
        <v>2</v>
      </c>
      <c r="K123" s="36">
        <f t="shared" ca="1" si="33"/>
        <v>141.66666666666669</v>
      </c>
      <c r="L123" s="10">
        <f ca="1">AH123*VLOOKUP(C123,技能辅助查询表,技能配置辅助表!$T$1,FALSE)</f>
        <v>0</v>
      </c>
      <c r="M123">
        <f t="shared" ca="1" si="34"/>
        <v>6480</v>
      </c>
      <c r="N123" s="33">
        <f ca="1">CHOOSE(1,W123*U123,X123*'[1]0、经济设定'!$C$18)</f>
        <v>8463</v>
      </c>
      <c r="O123">
        <f t="shared" si="35"/>
        <v>2</v>
      </c>
      <c r="P123">
        <f t="shared" si="36"/>
        <v>1</v>
      </c>
      <c r="Q123">
        <f t="shared" si="37"/>
        <v>1</v>
      </c>
      <c r="R123" s="2">
        <f t="shared" si="38"/>
        <v>4</v>
      </c>
      <c r="S123" s="2">
        <f t="shared" si="39"/>
        <v>50</v>
      </c>
      <c r="T123" s="2">
        <f t="shared" si="40"/>
        <v>119.04761904761905</v>
      </c>
      <c r="U123" s="2">
        <f ca="1">VLOOKUP(E123,金币生产率!$A$2:$B$120,2,0)</f>
        <v>651</v>
      </c>
      <c r="V123" s="2">
        <f t="shared" si="41"/>
        <v>119.04761904761905</v>
      </c>
      <c r="W123" s="45">
        <f t="shared" ca="1" si="54"/>
        <v>13</v>
      </c>
      <c r="X123" s="48">
        <f t="shared" ca="1" si="55"/>
        <v>139</v>
      </c>
      <c r="Y123">
        <f t="shared" si="42"/>
        <v>18</v>
      </c>
      <c r="Z123">
        <f t="shared" ca="1" si="49"/>
        <v>6</v>
      </c>
      <c r="AA123" t="str">
        <f t="shared" ca="1" si="50"/>
        <v>9122200.png</v>
      </c>
      <c r="AB123">
        <f t="shared" si="43"/>
        <v>20</v>
      </c>
      <c r="AC123">
        <f>VLOOKUP(C123,技能辅助查询表,技能配置辅助表!$W$1,FALSE)</f>
        <v>5601</v>
      </c>
      <c r="AD123">
        <f t="shared" ca="1" si="51"/>
        <v>11.357335363185069</v>
      </c>
      <c r="AE123">
        <f>VLOOKUP(C123,技能辅助查询表,技能配置辅助表!$U$1,FALSE)</f>
        <v>4</v>
      </c>
      <c r="AF123">
        <f t="shared" ca="1" si="52"/>
        <v>9122219</v>
      </c>
      <c r="AG123">
        <f t="shared" ca="1" si="56"/>
        <v>31.918367346938776</v>
      </c>
      <c r="AH123">
        <f t="shared" ca="1" si="53"/>
        <v>136.28802435822078</v>
      </c>
      <c r="AI123">
        <f ca="1">VLOOKUP(E123,伤害参考系!$C$4:$E$104,3,FALSE)*$AN$12</f>
        <v>2031.7137667224088</v>
      </c>
      <c r="AJ123">
        <f>VLOOKUP(C123,技能辅助查询表,技能配置辅助表!$L$1,FALSE)</f>
        <v>1</v>
      </c>
      <c r="AK123">
        <f>VLOOKUP(C123,技能辅助查询表,技能配置辅助表!$AE$1,FALSE)</f>
        <v>66000113</v>
      </c>
    </row>
    <row r="124" spans="1:37" x14ac:dyDescent="0.15">
      <c r="A124" s="1">
        <f t="shared" ca="1" si="44"/>
        <v>9122220</v>
      </c>
      <c r="B124" s="1" t="str">
        <f t="shared" ca="1" si="29"/>
        <v>影袭·斩第2段</v>
      </c>
      <c r="C124" t="s">
        <v>152</v>
      </c>
      <c r="D124">
        <f t="shared" si="30"/>
        <v>1</v>
      </c>
      <c r="E124" s="42">
        <f t="shared" ca="1" si="45"/>
        <v>34</v>
      </c>
      <c r="F124" t="str">
        <f t="shared" ca="1" si="46"/>
        <v>第20级，共造成142.9%点伤害</v>
      </c>
      <c r="G124">
        <f t="shared" ca="1" si="47"/>
        <v>2</v>
      </c>
      <c r="H124">
        <f t="shared" si="31"/>
        <v>2</v>
      </c>
      <c r="I124" s="44">
        <f t="shared" ca="1" si="48"/>
        <v>20</v>
      </c>
      <c r="J124">
        <f t="shared" si="32"/>
        <v>2</v>
      </c>
      <c r="K124" s="36">
        <f t="shared" ca="1" si="33"/>
        <v>142.85714285714286</v>
      </c>
      <c r="L124" s="10">
        <f ca="1">AH124*VLOOKUP(C124,技能辅助查询表,技能配置辅助表!$T$1,FALSE)</f>
        <v>0</v>
      </c>
      <c r="M124">
        <f t="shared" ca="1" si="34"/>
        <v>6400</v>
      </c>
      <c r="N124" s="33">
        <f ca="1">CHOOSE(1,W124*U124,X124*'[1]0、经济设定'!$C$18)</f>
        <v>9048</v>
      </c>
      <c r="O124">
        <f t="shared" si="35"/>
        <v>2</v>
      </c>
      <c r="P124">
        <f t="shared" si="36"/>
        <v>1</v>
      </c>
      <c r="Q124">
        <f t="shared" si="37"/>
        <v>1</v>
      </c>
      <c r="R124" s="2">
        <f t="shared" si="38"/>
        <v>4</v>
      </c>
      <c r="S124" s="2">
        <f t="shared" si="39"/>
        <v>50</v>
      </c>
      <c r="T124" s="2">
        <f t="shared" si="40"/>
        <v>119.04761904761905</v>
      </c>
      <c r="U124" s="2">
        <f ca="1">VLOOKUP(E124,金币生产率!$A$2:$B$120,2,0)</f>
        <v>696</v>
      </c>
      <c r="V124" s="2">
        <f t="shared" si="41"/>
        <v>119.04761904761905</v>
      </c>
      <c r="W124" s="45">
        <f t="shared" ca="1" si="54"/>
        <v>13</v>
      </c>
      <c r="X124" s="48">
        <f t="shared" ca="1" si="55"/>
        <v>152</v>
      </c>
      <c r="Y124">
        <f t="shared" si="42"/>
        <v>18</v>
      </c>
      <c r="Z124">
        <f t="shared" ca="1" si="49"/>
        <v>6</v>
      </c>
      <c r="AA124" t="str">
        <f t="shared" ca="1" si="50"/>
        <v>9122200.png</v>
      </c>
      <c r="AB124">
        <f t="shared" si="43"/>
        <v>20</v>
      </c>
      <c r="AC124">
        <f>VLOOKUP(C124,技能辅助查询表,技能配置辅助表!$W$1,FALSE)</f>
        <v>5601</v>
      </c>
      <c r="AD124">
        <f t="shared" ca="1" si="51"/>
        <v>13.299609842480328</v>
      </c>
      <c r="AE124">
        <f>VLOOKUP(C124,技能辅助查询表,技能配置辅助表!$U$1,FALSE)</f>
        <v>4</v>
      </c>
      <c r="AF124">
        <f t="shared" ca="1" si="52"/>
        <v>9122220</v>
      </c>
      <c r="AG124">
        <f t="shared" ca="1" si="56"/>
        <v>33.469387755102041</v>
      </c>
      <c r="AH124">
        <f t="shared" ca="1" si="53"/>
        <v>155.16211482893718</v>
      </c>
      <c r="AI124">
        <f ca="1">VLOOKUP(E124,伤害参考系!$C$4:$E$104,3,FALSE)*$AN$12</f>
        <v>2196.2761028428095</v>
      </c>
      <c r="AJ124">
        <f>VLOOKUP(C124,技能辅助查询表,技能配置辅助表!$L$1,FALSE)</f>
        <v>1</v>
      </c>
      <c r="AK124">
        <f>VLOOKUP(C124,技能辅助查询表,技能配置辅助表!$AE$1,FALSE)</f>
        <v>66000113</v>
      </c>
    </row>
    <row r="125" spans="1:37" x14ac:dyDescent="0.15">
      <c r="A125" s="1">
        <f t="shared" ca="1" si="44"/>
        <v>9122221</v>
      </c>
      <c r="B125" s="1" t="str">
        <f t="shared" ca="1" si="29"/>
        <v>影袭·斩第2段</v>
      </c>
      <c r="C125" t="s">
        <v>152</v>
      </c>
      <c r="D125">
        <f t="shared" si="30"/>
        <v>1</v>
      </c>
      <c r="E125" s="42">
        <f t="shared" ca="1" si="45"/>
        <v>36</v>
      </c>
      <c r="F125" t="str">
        <f t="shared" ca="1" si="46"/>
        <v>第21级，共造成144%点伤害</v>
      </c>
      <c r="G125">
        <f t="shared" ca="1" si="47"/>
        <v>2</v>
      </c>
      <c r="H125">
        <f t="shared" si="31"/>
        <v>2</v>
      </c>
      <c r="I125" s="44">
        <f t="shared" ca="1" si="48"/>
        <v>21</v>
      </c>
      <c r="J125">
        <f t="shared" si="32"/>
        <v>2</v>
      </c>
      <c r="K125" s="36">
        <f t="shared" ca="1" si="33"/>
        <v>144.04761904761904</v>
      </c>
      <c r="L125" s="10">
        <f ca="1">AH125*VLOOKUP(C125,技能辅助查询表,技能配置辅助表!$T$1,FALSE)</f>
        <v>0</v>
      </c>
      <c r="M125">
        <f t="shared" ca="1" si="34"/>
        <v>6320</v>
      </c>
      <c r="N125" s="33">
        <f ca="1">CHOOSE(1,W125*U125,X125*'[1]0、经济设定'!$C$18)</f>
        <v>11074</v>
      </c>
      <c r="O125">
        <f t="shared" si="35"/>
        <v>2</v>
      </c>
      <c r="P125">
        <f t="shared" si="36"/>
        <v>1</v>
      </c>
      <c r="Q125">
        <f t="shared" si="37"/>
        <v>1</v>
      </c>
      <c r="R125" s="2">
        <f t="shared" si="38"/>
        <v>4</v>
      </c>
      <c r="S125" s="2">
        <f t="shared" si="39"/>
        <v>50</v>
      </c>
      <c r="T125" s="2">
        <f t="shared" si="40"/>
        <v>119.04761904761905</v>
      </c>
      <c r="U125" s="2">
        <f ca="1">VLOOKUP(E125,金币生产率!$A$2:$B$120,2,0)</f>
        <v>791</v>
      </c>
      <c r="V125" s="2">
        <f t="shared" si="41"/>
        <v>119.04761904761905</v>
      </c>
      <c r="W125" s="45">
        <f t="shared" ca="1" si="54"/>
        <v>14</v>
      </c>
      <c r="X125" s="48">
        <f t="shared" ca="1" si="55"/>
        <v>166</v>
      </c>
      <c r="Y125">
        <f t="shared" si="42"/>
        <v>18</v>
      </c>
      <c r="Z125">
        <f t="shared" ca="1" si="49"/>
        <v>6</v>
      </c>
      <c r="AA125" t="str">
        <f t="shared" ca="1" si="50"/>
        <v>9122200.png</v>
      </c>
      <c r="AB125">
        <f t="shared" si="43"/>
        <v>20</v>
      </c>
      <c r="AC125">
        <f>VLOOKUP(C125,技能辅助查询表,技能配置辅助表!$W$1,FALSE)</f>
        <v>5601</v>
      </c>
      <c r="AD125">
        <f t="shared" ca="1" si="51"/>
        <v>15.562025344899888</v>
      </c>
      <c r="AE125">
        <f>VLOOKUP(C125,技能辅助查询表,技能配置辅助表!$U$1,FALSE)</f>
        <v>4</v>
      </c>
      <c r="AF125">
        <f t="shared" ca="1" si="52"/>
        <v>9122221</v>
      </c>
      <c r="AG125">
        <f t="shared" ca="1" si="56"/>
        <v>35.020408163265301</v>
      </c>
      <c r="AH125">
        <f t="shared" ca="1" si="53"/>
        <v>176.65001742859343</v>
      </c>
      <c r="AI125">
        <f ca="1">VLOOKUP(E125,伤害参考系!$C$4:$E$104,3,FALSE)*$AN$12</f>
        <v>2544.1437190635456</v>
      </c>
      <c r="AJ125">
        <f>VLOOKUP(C125,技能辅助查询表,技能配置辅助表!$L$1,FALSE)</f>
        <v>1</v>
      </c>
      <c r="AK125">
        <f>VLOOKUP(C125,技能辅助查询表,技能配置辅助表!$AE$1,FALSE)</f>
        <v>66000113</v>
      </c>
    </row>
    <row r="126" spans="1:37" x14ac:dyDescent="0.15">
      <c r="A126" s="1">
        <f t="shared" ca="1" si="44"/>
        <v>9122222</v>
      </c>
      <c r="B126" s="1" t="str">
        <f t="shared" ca="1" si="29"/>
        <v>影袭·斩第2段</v>
      </c>
      <c r="C126" t="s">
        <v>152</v>
      </c>
      <c r="D126">
        <f t="shared" si="30"/>
        <v>1</v>
      </c>
      <c r="E126" s="42">
        <f t="shared" ca="1" si="45"/>
        <v>37</v>
      </c>
      <c r="F126" t="str">
        <f t="shared" ca="1" si="46"/>
        <v>第22级，共造成145.2%点伤害</v>
      </c>
      <c r="G126">
        <f t="shared" ca="1" si="47"/>
        <v>2</v>
      </c>
      <c r="H126">
        <f t="shared" si="31"/>
        <v>2</v>
      </c>
      <c r="I126" s="44">
        <f t="shared" ca="1" si="48"/>
        <v>22</v>
      </c>
      <c r="J126">
        <f t="shared" si="32"/>
        <v>2</v>
      </c>
      <c r="K126" s="36">
        <f t="shared" ca="1" si="33"/>
        <v>145.23809523809524</v>
      </c>
      <c r="L126" s="10">
        <f ca="1">AH126*VLOOKUP(C126,技能辅助查询表,技能配置辅助表!$T$1,FALSE)</f>
        <v>0</v>
      </c>
      <c r="M126">
        <f t="shared" ca="1" si="34"/>
        <v>6240</v>
      </c>
      <c r="N126" s="33">
        <f ca="1">CHOOSE(1,W126*U126,X126*'[1]0、经济设定'!$C$18)</f>
        <v>12615</v>
      </c>
      <c r="O126">
        <f t="shared" si="35"/>
        <v>2</v>
      </c>
      <c r="P126">
        <f t="shared" si="36"/>
        <v>1</v>
      </c>
      <c r="Q126">
        <f t="shared" si="37"/>
        <v>1</v>
      </c>
      <c r="R126" s="2">
        <f t="shared" si="38"/>
        <v>4</v>
      </c>
      <c r="S126" s="2">
        <f t="shared" si="39"/>
        <v>50</v>
      </c>
      <c r="T126" s="2">
        <f t="shared" si="40"/>
        <v>119.04761904761905</v>
      </c>
      <c r="U126" s="2">
        <f ca="1">VLOOKUP(E126,金币生产率!$A$2:$B$120,2,0)</f>
        <v>841</v>
      </c>
      <c r="V126" s="2">
        <f t="shared" si="41"/>
        <v>119.04761904761905</v>
      </c>
      <c r="W126" s="45">
        <f t="shared" ca="1" si="54"/>
        <v>15</v>
      </c>
      <c r="X126" s="48">
        <f t="shared" ca="1" si="55"/>
        <v>181</v>
      </c>
      <c r="Y126">
        <f t="shared" si="42"/>
        <v>18</v>
      </c>
      <c r="Z126">
        <f t="shared" ca="1" si="49"/>
        <v>6</v>
      </c>
      <c r="AA126" t="str">
        <f t="shared" ca="1" si="50"/>
        <v>9122200.png</v>
      </c>
      <c r="AB126">
        <f t="shared" si="43"/>
        <v>20</v>
      </c>
      <c r="AC126">
        <f>VLOOKUP(C126,技能辅助查询表,技能配置辅助表!$W$1,FALSE)</f>
        <v>5601</v>
      </c>
      <c r="AD126">
        <f t="shared" ca="1" si="51"/>
        <v>18.19600238746251</v>
      </c>
      <c r="AE126">
        <f>VLOOKUP(C126,技能辅助查询表,技能配置辅助表!$U$1,FALSE)</f>
        <v>4</v>
      </c>
      <c r="AF126">
        <f t="shared" ca="1" si="52"/>
        <v>9122222</v>
      </c>
      <c r="AG126">
        <f t="shared" ca="1" si="56"/>
        <v>36.571428571428569</v>
      </c>
      <c r="AH126">
        <f t="shared" ca="1" si="53"/>
        <v>201.11371059826985</v>
      </c>
      <c r="AI126">
        <f ca="1">VLOOKUP(E126,伤害参考系!$C$4:$E$104,3,FALSE)*$AN$12</f>
        <v>2727.4489991638798</v>
      </c>
      <c r="AJ126">
        <f>VLOOKUP(C126,技能辅助查询表,技能配置辅助表!$L$1,FALSE)</f>
        <v>1</v>
      </c>
      <c r="AK126">
        <f>VLOOKUP(C126,技能辅助查询表,技能配置辅助表!$AE$1,FALSE)</f>
        <v>66000113</v>
      </c>
    </row>
    <row r="127" spans="1:37" x14ac:dyDescent="0.15">
      <c r="A127" s="1">
        <f t="shared" ca="1" si="44"/>
        <v>9122223</v>
      </c>
      <c r="B127" s="1" t="str">
        <f t="shared" ca="1" si="29"/>
        <v>影袭·斩第2段</v>
      </c>
      <c r="C127" t="s">
        <v>152</v>
      </c>
      <c r="D127">
        <f t="shared" si="30"/>
        <v>1</v>
      </c>
      <c r="E127" s="42">
        <f t="shared" ca="1" si="45"/>
        <v>39</v>
      </c>
      <c r="F127" t="str">
        <f t="shared" ca="1" si="46"/>
        <v>第23级，共造成146.4%点伤害</v>
      </c>
      <c r="G127">
        <f t="shared" ca="1" si="47"/>
        <v>2</v>
      </c>
      <c r="H127">
        <f t="shared" si="31"/>
        <v>2</v>
      </c>
      <c r="I127" s="44">
        <f t="shared" ca="1" si="48"/>
        <v>23</v>
      </c>
      <c r="J127">
        <f t="shared" si="32"/>
        <v>2</v>
      </c>
      <c r="K127" s="36">
        <f t="shared" ca="1" si="33"/>
        <v>146.42857142857144</v>
      </c>
      <c r="L127" s="10">
        <f ca="1">AH127*VLOOKUP(C127,技能辅助查询表,技能配置辅助表!$T$1,FALSE)</f>
        <v>0</v>
      </c>
      <c r="M127">
        <f t="shared" ca="1" si="34"/>
        <v>6160</v>
      </c>
      <c r="N127" s="33">
        <f ca="1">CHOOSE(1,W127*U127,X127*'[1]0、经济设定'!$C$18)</f>
        <v>15104</v>
      </c>
      <c r="O127">
        <f t="shared" si="35"/>
        <v>2</v>
      </c>
      <c r="P127">
        <f t="shared" si="36"/>
        <v>1</v>
      </c>
      <c r="Q127">
        <f t="shared" si="37"/>
        <v>1</v>
      </c>
      <c r="R127" s="2">
        <f t="shared" si="38"/>
        <v>4</v>
      </c>
      <c r="S127" s="2">
        <f t="shared" si="39"/>
        <v>50</v>
      </c>
      <c r="T127" s="2">
        <f t="shared" si="40"/>
        <v>119.04761904761905</v>
      </c>
      <c r="U127" s="2">
        <f ca="1">VLOOKUP(E127,金币生产率!$A$2:$B$120,2,0)</f>
        <v>944</v>
      </c>
      <c r="V127" s="2">
        <f t="shared" si="41"/>
        <v>119.04761904761905</v>
      </c>
      <c r="W127" s="45">
        <f t="shared" ca="1" si="54"/>
        <v>16</v>
      </c>
      <c r="X127" s="48">
        <f t="shared" ca="1" si="55"/>
        <v>197</v>
      </c>
      <c r="Y127">
        <f t="shared" si="42"/>
        <v>18</v>
      </c>
      <c r="Z127">
        <f t="shared" ca="1" si="49"/>
        <v>7</v>
      </c>
      <c r="AA127" t="str">
        <f t="shared" ca="1" si="50"/>
        <v>9122200.png</v>
      </c>
      <c r="AB127">
        <f t="shared" si="43"/>
        <v>20</v>
      </c>
      <c r="AC127">
        <f>VLOOKUP(C127,技能辅助查询表,技能配置辅助表!$W$1,FALSE)</f>
        <v>5601</v>
      </c>
      <c r="AD127">
        <f t="shared" ca="1" si="51"/>
        <v>21.261063758068786</v>
      </c>
      <c r="AE127">
        <f>VLOOKUP(C127,技能辅助查询表,技能配置辅助表!$U$1,FALSE)</f>
        <v>4</v>
      </c>
      <c r="AF127">
        <f t="shared" ca="1" si="52"/>
        <v>9122223</v>
      </c>
      <c r="AG127">
        <f t="shared" ca="1" si="56"/>
        <v>38.122448979591837</v>
      </c>
      <c r="AH127">
        <f t="shared" ca="1" si="53"/>
        <v>228.96530200997151</v>
      </c>
      <c r="AI127">
        <f ca="1">VLOOKUP(E127,伤害参考系!$C$4:$E$104,3,FALSE)*$AN$12</f>
        <v>3112.8025033444819</v>
      </c>
      <c r="AJ127">
        <f>VLOOKUP(C127,技能辅助查询表,技能配置辅助表!$L$1,FALSE)</f>
        <v>1</v>
      </c>
      <c r="AK127">
        <f>VLOOKUP(C127,技能辅助查询表,技能配置辅助表!$AE$1,FALSE)</f>
        <v>66000113</v>
      </c>
    </row>
    <row r="128" spans="1:37" x14ac:dyDescent="0.15">
      <c r="A128" s="1">
        <f t="shared" ca="1" si="44"/>
        <v>9122224</v>
      </c>
      <c r="B128" s="1" t="str">
        <f t="shared" ca="1" si="29"/>
        <v>影袭·斩第2段</v>
      </c>
      <c r="C128" t="s">
        <v>152</v>
      </c>
      <c r="D128">
        <f t="shared" si="30"/>
        <v>1</v>
      </c>
      <c r="E128" s="42">
        <f t="shared" ca="1" si="45"/>
        <v>40</v>
      </c>
      <c r="F128" t="str">
        <f t="shared" ca="1" si="46"/>
        <v>第24级，共造成147.6%点伤害</v>
      </c>
      <c r="G128">
        <f t="shared" ca="1" si="47"/>
        <v>2</v>
      </c>
      <c r="H128">
        <f t="shared" si="31"/>
        <v>2</v>
      </c>
      <c r="I128" s="44">
        <f t="shared" ca="1" si="48"/>
        <v>24</v>
      </c>
      <c r="J128">
        <f t="shared" si="32"/>
        <v>2</v>
      </c>
      <c r="K128" s="36">
        <f t="shared" ca="1" si="33"/>
        <v>147.61904761904762</v>
      </c>
      <c r="L128" s="10">
        <f ca="1">AH128*VLOOKUP(C128,技能辅助查询表,技能配置辅助表!$T$1,FALSE)</f>
        <v>0</v>
      </c>
      <c r="M128">
        <f t="shared" ca="1" si="34"/>
        <v>6080</v>
      </c>
      <c r="N128" s="33">
        <f ca="1">CHOOSE(1,W128*U128,X128*'[1]0、经济设定'!$C$18)</f>
        <v>16966</v>
      </c>
      <c r="O128">
        <f t="shared" si="35"/>
        <v>2</v>
      </c>
      <c r="P128">
        <f t="shared" si="36"/>
        <v>1</v>
      </c>
      <c r="Q128">
        <f t="shared" si="37"/>
        <v>1</v>
      </c>
      <c r="R128" s="2">
        <f t="shared" si="38"/>
        <v>4</v>
      </c>
      <c r="S128" s="2">
        <f t="shared" si="39"/>
        <v>50</v>
      </c>
      <c r="T128" s="2">
        <f t="shared" si="40"/>
        <v>119.04761904761905</v>
      </c>
      <c r="U128" s="2">
        <f ca="1">VLOOKUP(E128,金币生产率!$A$2:$B$120,2,0)</f>
        <v>998</v>
      </c>
      <c r="V128" s="2">
        <f t="shared" si="41"/>
        <v>119.04761904761905</v>
      </c>
      <c r="W128" s="45">
        <f t="shared" ca="1" si="54"/>
        <v>17</v>
      </c>
      <c r="X128" s="48">
        <f t="shared" ca="1" si="55"/>
        <v>214</v>
      </c>
      <c r="Y128">
        <f t="shared" si="42"/>
        <v>18</v>
      </c>
      <c r="Z128">
        <f t="shared" ca="1" si="49"/>
        <v>7</v>
      </c>
      <c r="AA128" t="str">
        <f t="shared" ca="1" si="50"/>
        <v>9122200.png</v>
      </c>
      <c r="AB128">
        <f t="shared" si="43"/>
        <v>20</v>
      </c>
      <c r="AC128">
        <f>VLOOKUP(C128,技能辅助查询表,技能配置辅助表!$W$1,FALSE)</f>
        <v>5601</v>
      </c>
      <c r="AD128">
        <f t="shared" ca="1" si="51"/>
        <v>24.826092457400648</v>
      </c>
      <c r="AE128">
        <f>VLOOKUP(C128,技能辅助查询表,技能配置辅助表!$U$1,FALSE)</f>
        <v>4</v>
      </c>
      <c r="AF128">
        <f t="shared" ca="1" si="52"/>
        <v>9122224</v>
      </c>
      <c r="AG128">
        <f t="shared" ca="1" si="56"/>
        <v>39.673469387755105</v>
      </c>
      <c r="AH128">
        <f t="shared" ca="1" si="53"/>
        <v>260.67397080270689</v>
      </c>
      <c r="AI128">
        <f ca="1">VLOOKUP(E128,伤害参考系!$C$4:$E$104,3,FALSE)*$AN$12</f>
        <v>3344.7142474916404</v>
      </c>
      <c r="AJ128">
        <f>VLOOKUP(C128,技能辅助查询表,技能配置辅助表!$L$1,FALSE)</f>
        <v>1</v>
      </c>
      <c r="AK128">
        <f>VLOOKUP(C128,技能辅助查询表,技能配置辅助表!$AE$1,FALSE)</f>
        <v>66000113</v>
      </c>
    </row>
    <row r="129" spans="1:37" x14ac:dyDescent="0.15">
      <c r="A129" s="1">
        <f t="shared" ca="1" si="44"/>
        <v>9122225</v>
      </c>
      <c r="B129" s="1" t="str">
        <f t="shared" ca="1" si="29"/>
        <v>影袭·斩第2段</v>
      </c>
      <c r="C129" t="s">
        <v>152</v>
      </c>
      <c r="D129">
        <f t="shared" si="30"/>
        <v>1</v>
      </c>
      <c r="E129" s="42">
        <f t="shared" ca="1" si="45"/>
        <v>42</v>
      </c>
      <c r="F129" t="str">
        <f t="shared" ca="1" si="46"/>
        <v>第25级，共造成148.8%点伤害</v>
      </c>
      <c r="G129">
        <f t="shared" ca="1" si="47"/>
        <v>2</v>
      </c>
      <c r="H129">
        <f t="shared" si="31"/>
        <v>2</v>
      </c>
      <c r="I129" s="44">
        <f t="shared" ca="1" si="48"/>
        <v>25</v>
      </c>
      <c r="J129">
        <f t="shared" si="32"/>
        <v>2</v>
      </c>
      <c r="K129" s="36">
        <f t="shared" ca="1" si="33"/>
        <v>148.80952380952382</v>
      </c>
      <c r="L129" s="10">
        <f ca="1">AH129*VLOOKUP(C129,技能辅助查询表,技能配置辅助表!$T$1,FALSE)</f>
        <v>0</v>
      </c>
      <c r="M129">
        <f t="shared" ca="1" si="34"/>
        <v>6000</v>
      </c>
      <c r="N129" s="33">
        <f ca="1">CHOOSE(1,W129*U129,X129*'[1]0、经济设定'!$C$18)</f>
        <v>21090</v>
      </c>
      <c r="O129">
        <f t="shared" si="35"/>
        <v>2</v>
      </c>
      <c r="P129">
        <f t="shared" si="36"/>
        <v>1</v>
      </c>
      <c r="Q129">
        <f t="shared" si="37"/>
        <v>1</v>
      </c>
      <c r="R129" s="2">
        <f t="shared" si="38"/>
        <v>4</v>
      </c>
      <c r="S129" s="2">
        <f t="shared" si="39"/>
        <v>50</v>
      </c>
      <c r="T129" s="2">
        <f t="shared" si="40"/>
        <v>119.04761904761905</v>
      </c>
      <c r="U129" s="2">
        <f ca="1">VLOOKUP(E129,金币生产率!$A$2:$B$120,2,0)</f>
        <v>1110</v>
      </c>
      <c r="V129" s="2">
        <f t="shared" si="41"/>
        <v>119.04761904761905</v>
      </c>
      <c r="W129" s="45">
        <f t="shared" ca="1" si="54"/>
        <v>19</v>
      </c>
      <c r="X129" s="48">
        <f t="shared" ca="1" si="55"/>
        <v>233</v>
      </c>
      <c r="Y129">
        <f t="shared" si="42"/>
        <v>18</v>
      </c>
      <c r="Z129">
        <f t="shared" ca="1" si="49"/>
        <v>8</v>
      </c>
      <c r="AA129" t="str">
        <f t="shared" ca="1" si="50"/>
        <v>9122200.png</v>
      </c>
      <c r="AB129">
        <f t="shared" si="43"/>
        <v>20</v>
      </c>
      <c r="AC129">
        <f>VLOOKUP(C129,技能辅助查询表,技能配置辅助表!$W$1,FALSE)</f>
        <v>5601</v>
      </c>
      <c r="AD129">
        <f t="shared" ca="1" si="51"/>
        <v>28.970782667351624</v>
      </c>
      <c r="AE129">
        <f>VLOOKUP(C129,技能辅助查询表,技能配置辅助表!$U$1,FALSE)</f>
        <v>4</v>
      </c>
      <c r="AF129">
        <f t="shared" ca="1" si="52"/>
        <v>9122225</v>
      </c>
      <c r="AG129">
        <f t="shared" ca="1" si="56"/>
        <v>41.224489795918366</v>
      </c>
      <c r="AH129">
        <f t="shared" ca="1" si="53"/>
        <v>296.77387122652874</v>
      </c>
      <c r="AI129">
        <f ca="1">VLOOKUP(E129,伤害参考系!$C$4:$E$104,3,FALSE)*$AN$12</f>
        <v>3833.528327759198</v>
      </c>
      <c r="AJ129">
        <f>VLOOKUP(C129,技能辅助查询表,技能配置辅助表!$L$1,FALSE)</f>
        <v>1</v>
      </c>
      <c r="AK129">
        <f>VLOOKUP(C129,技能辅助查询表,技能配置辅助表!$AE$1,FALSE)</f>
        <v>66000113</v>
      </c>
    </row>
    <row r="130" spans="1:37" x14ac:dyDescent="0.15">
      <c r="A130" s="1">
        <f t="shared" ca="1" si="44"/>
        <v>9122226</v>
      </c>
      <c r="B130" s="1" t="str">
        <f t="shared" ref="B130:B193" ca="1" si="57">IF(AND(G130=0,AE130=4),LEFT(C130,LEN(C130)-3),C130)</f>
        <v>影袭·斩第2段</v>
      </c>
      <c r="C130" t="s">
        <v>152</v>
      </c>
      <c r="D130">
        <f t="shared" ref="D130:D193" si="58">VLOOKUP(C130,技能辅助查询表,3,FALSE)</f>
        <v>1</v>
      </c>
      <c r="E130" s="42">
        <f t="shared" ca="1" si="45"/>
        <v>44</v>
      </c>
      <c r="F130" t="str">
        <f t="shared" ca="1" si="46"/>
        <v>第26级，共造成150%点伤害</v>
      </c>
      <c r="G130">
        <f t="shared" ca="1" si="47"/>
        <v>2</v>
      </c>
      <c r="H130">
        <f t="shared" ref="H130:H193" si="59">VLOOKUP(C130,技能辅助查询表,2,FALSE)</f>
        <v>2</v>
      </c>
      <c r="I130" s="44">
        <f t="shared" ca="1" si="48"/>
        <v>26</v>
      </c>
      <c r="J130">
        <f t="shared" ref="J130:J193" si="60">VLOOKUP(C130,技能辅助查询表,4,FALSE)</f>
        <v>2</v>
      </c>
      <c r="K130" s="36">
        <f t="shared" ref="K130:K193" ca="1" si="61">IF(OR(I130=0,I130=1),T130,T130+T130*($AN$6-1)/S130*I130)</f>
        <v>150</v>
      </c>
      <c r="L130" s="10">
        <f ca="1">AH130*VLOOKUP(C130,技能辅助查询表,技能配置辅助表!$T$1,FALSE)</f>
        <v>0</v>
      </c>
      <c r="M130">
        <f t="shared" ref="M130:M193" ca="1" si="62">IF(OR(I130=0,I130=1),VLOOKUP(C130,技能辅助查询表,14,FALSE),VLOOKUP(C130,技能辅助查询表,14,FALSE)-VLOOKUP(C130,技能辅助查询表,14,FALSE)*0.5/S130*I130)</f>
        <v>5920</v>
      </c>
      <c r="N130" s="33">
        <f ca="1">CHOOSE(1,W130*U130,X130*'[1]0、经济设定'!$C$18)</f>
        <v>24520</v>
      </c>
      <c r="O130">
        <f t="shared" ref="O130:O193" si="63">VLOOKUP(C130,技能辅助查询表,5,FALSE)</f>
        <v>2</v>
      </c>
      <c r="P130">
        <f t="shared" ref="P130:P193" si="64">VLOOKUP(C130,技能辅助查询表,6,FALSE)</f>
        <v>1</v>
      </c>
      <c r="Q130">
        <f t="shared" ref="Q130:Q193" si="65">VLOOKUP(C130,技能辅助查询表,7,FALSE)</f>
        <v>1</v>
      </c>
      <c r="R130" s="2">
        <f t="shared" ref="R130:R193" si="66">VLOOKUP(C130,技能辅助查询表,9,FALSE)</f>
        <v>4</v>
      </c>
      <c r="S130" s="2">
        <f t="shared" ref="S130:S193" si="67">VLOOKUP(C130,技能辅助查询表,8,FALSE)</f>
        <v>50</v>
      </c>
      <c r="T130" s="2">
        <f t="shared" ref="T130:T193" si="68">VLOOKUP(C130,技能辅助查询表,11,FALSE)</f>
        <v>119.04761904761905</v>
      </c>
      <c r="U130" s="2">
        <f ca="1">VLOOKUP(E130,金币生产率!$A$2:$B$120,2,0)</f>
        <v>1226</v>
      </c>
      <c r="V130" s="2">
        <f t="shared" ref="V130:V193" si="69">VLOOKUP(C130,技能辅助查询表,12,FALSE)</f>
        <v>119.04761904761905</v>
      </c>
      <c r="W130" s="45">
        <f t="shared" ca="1" si="54"/>
        <v>20</v>
      </c>
      <c r="X130" s="48">
        <f t="shared" ca="1" si="55"/>
        <v>253</v>
      </c>
      <c r="Y130">
        <f t="shared" ref="Y130:Y193" si="70">VLOOKUP(C130,技能辅助查询表,15,FALSE)</f>
        <v>18</v>
      </c>
      <c r="Z130">
        <f t="shared" ca="1" si="49"/>
        <v>8</v>
      </c>
      <c r="AA130" t="str">
        <f t="shared" ca="1" si="50"/>
        <v>9122200.png</v>
      </c>
      <c r="AB130">
        <f t="shared" ref="AB130:AB193" si="71">VLOOKUP(C130,技能辅助查询表,17,FALSE)</f>
        <v>20</v>
      </c>
      <c r="AC130">
        <f>VLOOKUP(C130,技能辅助查询表,技能配置辅助表!$W$1,FALSE)</f>
        <v>5601</v>
      </c>
      <c r="AD130">
        <f t="shared" ca="1" si="51"/>
        <v>33.787313083683465</v>
      </c>
      <c r="AE130">
        <f>VLOOKUP(C130,技能辅助查询表,技能配置辅助表!$U$1,FALSE)</f>
        <v>4</v>
      </c>
      <c r="AF130">
        <f t="shared" ca="1" si="52"/>
        <v>9122226</v>
      </c>
      <c r="AG130">
        <f t="shared" ca="1" si="56"/>
        <v>42.775510204081634</v>
      </c>
      <c r="AH130">
        <f t="shared" ca="1" si="53"/>
        <v>337.87313083683472</v>
      </c>
      <c r="AI130">
        <f ca="1">VLOOKUP(E130,伤害参考系!$C$4:$E$104,3,FALSE)*$AN$12</f>
        <v>4355.6631973244148</v>
      </c>
      <c r="AJ130">
        <f>VLOOKUP(C130,技能辅助查询表,技能配置辅助表!$L$1,FALSE)</f>
        <v>1</v>
      </c>
      <c r="AK130">
        <f>VLOOKUP(C130,技能辅助查询表,技能配置辅助表!$AE$1,FALSE)</f>
        <v>66000113</v>
      </c>
    </row>
    <row r="131" spans="1:37" x14ac:dyDescent="0.15">
      <c r="A131" s="1">
        <f t="shared" ref="A131:A194" ca="1" si="72">IF(I131=0,IF(H131=1,VALUE("9"&amp;D131&amp;J131&amp;O131&amp;G131&amp;IF(I131&gt;9,I131,"0"&amp;I131)),1),VALUE("9"&amp;D131&amp;J131&amp;O131&amp;G131&amp;IF(I131&gt;9,I131,"0"&amp;I131)))</f>
        <v>9122227</v>
      </c>
      <c r="B131" s="1" t="str">
        <f t="shared" ca="1" si="57"/>
        <v>影袭·斩第2段</v>
      </c>
      <c r="C131" t="s">
        <v>152</v>
      </c>
      <c r="D131">
        <f t="shared" si="58"/>
        <v>1</v>
      </c>
      <c r="E131" s="42">
        <f t="shared" ref="E131:E194" ca="1" si="73">IF(I131=0,E132,IF(AND(I131=1,G131&gt;1),OFFSET(E131,(1-G131)*51,0),IF(OR(I131=1,AND(I131=2,R131=2)),R131,IF(I131=0,0,ROUND(I131*(80-R131)/S131,0)+R131))))</f>
        <v>45</v>
      </c>
      <c r="F131" t="str">
        <f t="shared" ref="F131:F194" ca="1" si="74">"第"&amp;I131&amp;"级，共造成"&amp;ROUND(AJ131*K131,1)&amp;"%点伤害"</f>
        <v>第27级，共造成151.2%点伤害</v>
      </c>
      <c r="G131">
        <f t="shared" ref="G131:G194" ca="1" si="75">IF(I131=0,0,H131)</f>
        <v>2</v>
      </c>
      <c r="H131">
        <f t="shared" si="59"/>
        <v>2</v>
      </c>
      <c r="I131" s="44">
        <f t="shared" ref="I131:I194" ca="1" si="76">IF(OFFSET(C131,-1,0)=C131,I130+1,0)</f>
        <v>27</v>
      </c>
      <c r="J131">
        <f t="shared" si="60"/>
        <v>2</v>
      </c>
      <c r="K131" s="36">
        <f t="shared" ca="1" si="61"/>
        <v>151.1904761904762</v>
      </c>
      <c r="L131" s="10">
        <f ca="1">AH131*VLOOKUP(C131,技能辅助查询表,技能配置辅助表!$T$1,FALSE)</f>
        <v>0</v>
      </c>
      <c r="M131">
        <f t="shared" ca="1" si="62"/>
        <v>5840</v>
      </c>
      <c r="N131" s="33">
        <f ca="1">CHOOSE(1,W131*U131,X131*'[1]0、经济设定'!$C$18)</f>
        <v>27027</v>
      </c>
      <c r="O131">
        <f t="shared" si="63"/>
        <v>2</v>
      </c>
      <c r="P131">
        <f t="shared" si="64"/>
        <v>1</v>
      </c>
      <c r="Q131">
        <f t="shared" si="65"/>
        <v>1</v>
      </c>
      <c r="R131" s="2">
        <f t="shared" si="66"/>
        <v>4</v>
      </c>
      <c r="S131" s="2">
        <f t="shared" si="67"/>
        <v>50</v>
      </c>
      <c r="T131" s="2">
        <f t="shared" si="68"/>
        <v>119.04761904761905</v>
      </c>
      <c r="U131" s="2">
        <f ca="1">VLOOKUP(E131,金币生产率!$A$2:$B$120,2,0)</f>
        <v>1287</v>
      </c>
      <c r="V131" s="2">
        <f t="shared" si="69"/>
        <v>119.04761904761905</v>
      </c>
      <c r="W131" s="45">
        <f t="shared" ca="1" si="54"/>
        <v>21</v>
      </c>
      <c r="X131" s="48">
        <f t="shared" ca="1" si="55"/>
        <v>274</v>
      </c>
      <c r="Y131">
        <f t="shared" si="70"/>
        <v>18</v>
      </c>
      <c r="Z131">
        <f t="shared" ref="Z131:Z194" ca="1" si="77">IF(I131&gt;=Y131,ROUNDUP(W131/$AN$15,0),0)</f>
        <v>9</v>
      </c>
      <c r="AA131" t="str">
        <f t="shared" ref="AA131:AA194" ca="1" si="78">AF131-MOD(AF131,100)&amp;".png"</f>
        <v>9122200.png</v>
      </c>
      <c r="AB131">
        <f t="shared" si="71"/>
        <v>20</v>
      </c>
      <c r="AC131">
        <f>VLOOKUP(C131,技能辅助查询表,技能配置辅助表!$W$1,FALSE)</f>
        <v>5601</v>
      </c>
      <c r="AD131">
        <f t="shared" ref="AD131:AD194" ca="1" si="79">((AH131*K131/100+L131)*AJ131-AH131)/5</f>
        <v>39.382276374395779</v>
      </c>
      <c r="AE131">
        <f>VLOOKUP(C131,技能辅助查询表,技能配置辅助表!$U$1,FALSE)</f>
        <v>4</v>
      </c>
      <c r="AF131">
        <f t="shared" ref="AF131:AF194" ca="1" si="80">VALUE("9"&amp;D131&amp;J131&amp;O131&amp;H131&amp;IF(I131&gt;9,I131,"0"&amp;I131))</f>
        <v>9122227</v>
      </c>
      <c r="AG131">
        <f t="shared" ca="1" si="56"/>
        <v>44.326530612244895</v>
      </c>
      <c r="AH131">
        <f t="shared" ref="AH131:AH194" ca="1" si="81">(19.323*EXP(I131*0.1297))*$AN$12</f>
        <v>384.66409481967975</v>
      </c>
      <c r="AI131">
        <f ca="1">VLOOKUP(E131,伤害参考系!$C$4:$E$104,3,FALSE)*$AN$12</f>
        <v>4629.2259280936469</v>
      </c>
      <c r="AJ131">
        <f>VLOOKUP(C131,技能辅助查询表,技能配置辅助表!$L$1,FALSE)</f>
        <v>1</v>
      </c>
      <c r="AK131">
        <f>VLOOKUP(C131,技能辅助查询表,技能配置辅助表!$AE$1,FALSE)</f>
        <v>66000113</v>
      </c>
    </row>
    <row r="132" spans="1:37" x14ac:dyDescent="0.15">
      <c r="A132" s="1">
        <f t="shared" ca="1" si="72"/>
        <v>9122228</v>
      </c>
      <c r="B132" s="1" t="str">
        <f t="shared" ca="1" si="57"/>
        <v>影袭·斩第2段</v>
      </c>
      <c r="C132" t="s">
        <v>152</v>
      </c>
      <c r="D132">
        <f t="shared" si="58"/>
        <v>1</v>
      </c>
      <c r="E132" s="42">
        <f t="shared" ca="1" si="73"/>
        <v>47</v>
      </c>
      <c r="F132" t="str">
        <f t="shared" ca="1" si="74"/>
        <v>第28级，共造成152.4%点伤害</v>
      </c>
      <c r="G132">
        <f t="shared" ca="1" si="75"/>
        <v>2</v>
      </c>
      <c r="H132">
        <f t="shared" si="59"/>
        <v>2</v>
      </c>
      <c r="I132" s="44">
        <f t="shared" ca="1" si="76"/>
        <v>28</v>
      </c>
      <c r="J132">
        <f t="shared" si="60"/>
        <v>2</v>
      </c>
      <c r="K132" s="36">
        <f t="shared" ca="1" si="61"/>
        <v>152.38095238095238</v>
      </c>
      <c r="L132" s="10">
        <f ca="1">AH132*VLOOKUP(C132,技能辅助查询表,技能配置辅助表!$T$1,FALSE)</f>
        <v>0</v>
      </c>
      <c r="M132">
        <f t="shared" ca="1" si="62"/>
        <v>5760</v>
      </c>
      <c r="N132" s="33">
        <f ca="1">CHOOSE(1,W132*U132,X132*'[1]0、经济设定'!$C$18)</f>
        <v>32476</v>
      </c>
      <c r="O132">
        <f t="shared" si="63"/>
        <v>2</v>
      </c>
      <c r="P132">
        <f t="shared" si="64"/>
        <v>1</v>
      </c>
      <c r="Q132">
        <f t="shared" si="65"/>
        <v>1</v>
      </c>
      <c r="R132" s="2">
        <f t="shared" si="66"/>
        <v>4</v>
      </c>
      <c r="S132" s="2">
        <f t="shared" si="67"/>
        <v>50</v>
      </c>
      <c r="T132" s="2">
        <f t="shared" si="68"/>
        <v>119.04761904761905</v>
      </c>
      <c r="U132" s="2">
        <f ca="1">VLOOKUP(E132,金币生产率!$A$2:$B$120,2,0)</f>
        <v>1412</v>
      </c>
      <c r="V132" s="2">
        <f t="shared" si="69"/>
        <v>119.04761904761905</v>
      </c>
      <c r="W132" s="45">
        <f t="shared" ref="W132:W195" ca="1" si="82">ROUND((IF(I132=0,0,ROUND(OFFSET(AD132,S132-I132+510*(1-D132),0)*(1-$AN$13)/(1-$AN$13^S132)*$AN$13^(I132-1),0))+IF(I132=0,0,ROUND(OFFSET(AD132,S132-I132+510*(2-D132),0)*(1-$AN$13)/(1-$AN$13^S132)*$AN$13^(I132-1),0))+IF(I132=0,0,ROUND(OFFSET(AD132,S132-I132+510*(3-D132),0)*(1-$AN$13)/(1-$AN$13^S132)*$AN$13^(I132-1),0)))/3,0)</f>
        <v>23</v>
      </c>
      <c r="X132" s="48">
        <f t="shared" ref="X132:X195" ca="1" si="83">IF(I132=0,0,X131+W132)</f>
        <v>297</v>
      </c>
      <c r="Y132">
        <f t="shared" si="70"/>
        <v>18</v>
      </c>
      <c r="Z132">
        <f t="shared" ca="1" si="77"/>
        <v>10</v>
      </c>
      <c r="AA132" t="str">
        <f t="shared" ca="1" si="78"/>
        <v>9122200.png</v>
      </c>
      <c r="AB132">
        <f t="shared" si="71"/>
        <v>20</v>
      </c>
      <c r="AC132">
        <f>VLOOKUP(C132,技能辅助查询表,技能配置辅助表!$W$1,FALSE)</f>
        <v>5601</v>
      </c>
      <c r="AD132">
        <f t="shared" ca="1" si="79"/>
        <v>45.878903611700046</v>
      </c>
      <c r="AE132">
        <f>VLOOKUP(C132,技能辅助查询表,技能配置辅助表!$U$1,FALSE)</f>
        <v>4</v>
      </c>
      <c r="AF132">
        <f t="shared" ca="1" si="80"/>
        <v>9122228</v>
      </c>
      <c r="AG132">
        <f t="shared" ca="1" si="56"/>
        <v>45.877551020408163</v>
      </c>
      <c r="AH132">
        <f t="shared" ca="1" si="81"/>
        <v>437.93498902077317</v>
      </c>
      <c r="AI132">
        <f ca="1">VLOOKUP(E132,伤害参考系!$C$4:$E$104,3,FALSE)*$AN$12</f>
        <v>5201.3419816053529</v>
      </c>
      <c r="AJ132">
        <f>VLOOKUP(C132,技能辅助查询表,技能配置辅助表!$L$1,FALSE)</f>
        <v>1</v>
      </c>
      <c r="AK132">
        <f>VLOOKUP(C132,技能辅助查询表,技能配置辅助表!$AE$1,FALSE)</f>
        <v>66000113</v>
      </c>
    </row>
    <row r="133" spans="1:37" x14ac:dyDescent="0.15">
      <c r="A133" s="1">
        <f t="shared" ca="1" si="72"/>
        <v>9122229</v>
      </c>
      <c r="B133" s="1" t="str">
        <f t="shared" ca="1" si="57"/>
        <v>影袭·斩第2段</v>
      </c>
      <c r="C133" t="s">
        <v>152</v>
      </c>
      <c r="D133">
        <f t="shared" si="58"/>
        <v>1</v>
      </c>
      <c r="E133" s="42">
        <f t="shared" ca="1" si="73"/>
        <v>48</v>
      </c>
      <c r="F133" t="str">
        <f t="shared" ca="1" si="74"/>
        <v>第29级，共造成153.6%点伤害</v>
      </c>
      <c r="G133">
        <f t="shared" ca="1" si="75"/>
        <v>2</v>
      </c>
      <c r="H133">
        <f t="shared" si="59"/>
        <v>2</v>
      </c>
      <c r="I133" s="44">
        <f t="shared" ca="1" si="76"/>
        <v>29</v>
      </c>
      <c r="J133">
        <f t="shared" si="60"/>
        <v>2</v>
      </c>
      <c r="K133" s="36">
        <f t="shared" ca="1" si="61"/>
        <v>153.57142857142858</v>
      </c>
      <c r="L133" s="10">
        <f ca="1">AH133*VLOOKUP(C133,技能辅助查询表,技能配置辅助表!$T$1,FALSE)</f>
        <v>0</v>
      </c>
      <c r="M133">
        <f t="shared" ca="1" si="62"/>
        <v>5680</v>
      </c>
      <c r="N133" s="33">
        <f ca="1">CHOOSE(1,W133*U133,X133*'[1]0、经济设定'!$C$18)</f>
        <v>36925</v>
      </c>
      <c r="O133">
        <f t="shared" si="63"/>
        <v>2</v>
      </c>
      <c r="P133">
        <f t="shared" si="64"/>
        <v>1</v>
      </c>
      <c r="Q133">
        <f t="shared" si="65"/>
        <v>1</v>
      </c>
      <c r="R133" s="2">
        <f t="shared" si="66"/>
        <v>4</v>
      </c>
      <c r="S133" s="2">
        <f t="shared" si="67"/>
        <v>50</v>
      </c>
      <c r="T133" s="2">
        <f t="shared" si="68"/>
        <v>119.04761904761905</v>
      </c>
      <c r="U133" s="2">
        <f ca="1">VLOOKUP(E133,金币生产率!$A$2:$B$120,2,0)</f>
        <v>1477</v>
      </c>
      <c r="V133" s="2">
        <f t="shared" si="69"/>
        <v>119.04761904761905</v>
      </c>
      <c r="W133" s="45">
        <f t="shared" ca="1" si="82"/>
        <v>25</v>
      </c>
      <c r="X133" s="48">
        <f t="shared" ca="1" si="83"/>
        <v>322</v>
      </c>
      <c r="Y133">
        <f t="shared" si="70"/>
        <v>18</v>
      </c>
      <c r="Z133">
        <f t="shared" ca="1" si="77"/>
        <v>10</v>
      </c>
      <c r="AA133" t="str">
        <f t="shared" ca="1" si="78"/>
        <v>9122200.png</v>
      </c>
      <c r="AB133">
        <f t="shared" si="71"/>
        <v>20</v>
      </c>
      <c r="AC133">
        <f>VLOOKUP(C133,技能辅助查询表,技能配置辅助表!$W$1,FALSE)</f>
        <v>5601</v>
      </c>
      <c r="AD133">
        <f t="shared" ca="1" si="79"/>
        <v>53.41962837320149</v>
      </c>
      <c r="AE133">
        <f>VLOOKUP(C133,技能辅助查询表,技能配置辅助表!$U$1,FALSE)</f>
        <v>4</v>
      </c>
      <c r="AF133">
        <f t="shared" ca="1" si="80"/>
        <v>9122229</v>
      </c>
      <c r="AG133">
        <f t="shared" ref="AG133:AG196" ca="1" si="84">IF(I133=1,R133,IF(I133=0,0,(I133-1)*(80-R133)/(S133-1)+R133))</f>
        <v>47.428571428571431</v>
      </c>
      <c r="AH133">
        <f t="shared" ca="1" si="81"/>
        <v>498.5831981498805</v>
      </c>
      <c r="AI133">
        <f ca="1">VLOOKUP(E133,伤害参考系!$C$4:$E$104,3,FALSE)*$AN$12</f>
        <v>5499.8953043478286</v>
      </c>
      <c r="AJ133">
        <f>VLOOKUP(C133,技能辅助查询表,技能配置辅助表!$L$1,FALSE)</f>
        <v>1</v>
      </c>
      <c r="AK133">
        <f>VLOOKUP(C133,技能辅助查询表,技能配置辅助表!$AE$1,FALSE)</f>
        <v>66000113</v>
      </c>
    </row>
    <row r="134" spans="1:37" x14ac:dyDescent="0.15">
      <c r="A134" s="1">
        <f t="shared" ca="1" si="72"/>
        <v>9122230</v>
      </c>
      <c r="B134" s="1" t="str">
        <f t="shared" ca="1" si="57"/>
        <v>影袭·斩第2段</v>
      </c>
      <c r="C134" t="s">
        <v>152</v>
      </c>
      <c r="D134">
        <f t="shared" si="58"/>
        <v>1</v>
      </c>
      <c r="E134" s="42">
        <f t="shared" ca="1" si="73"/>
        <v>50</v>
      </c>
      <c r="F134" t="str">
        <f t="shared" ca="1" si="74"/>
        <v>第30级，共造成154.8%点伤害</v>
      </c>
      <c r="G134">
        <f t="shared" ca="1" si="75"/>
        <v>2</v>
      </c>
      <c r="H134">
        <f t="shared" si="59"/>
        <v>2</v>
      </c>
      <c r="I134" s="44">
        <f t="shared" ca="1" si="76"/>
        <v>30</v>
      </c>
      <c r="J134">
        <f t="shared" si="60"/>
        <v>2</v>
      </c>
      <c r="K134" s="36">
        <f t="shared" ca="1" si="61"/>
        <v>154.76190476190476</v>
      </c>
      <c r="L134" s="10">
        <f ca="1">AH134*VLOOKUP(C134,技能辅助查询表,技能配置辅助表!$T$1,FALSE)</f>
        <v>0</v>
      </c>
      <c r="M134">
        <f t="shared" ca="1" si="62"/>
        <v>5600</v>
      </c>
      <c r="N134" s="33">
        <f ca="1">CHOOSE(1,W134*U134,X134*'[1]0、经济设定'!$C$18)</f>
        <v>41860</v>
      </c>
      <c r="O134">
        <f t="shared" si="63"/>
        <v>2</v>
      </c>
      <c r="P134">
        <f t="shared" si="64"/>
        <v>1</v>
      </c>
      <c r="Q134">
        <f t="shared" si="65"/>
        <v>1</v>
      </c>
      <c r="R134" s="2">
        <f t="shared" si="66"/>
        <v>4</v>
      </c>
      <c r="S134" s="2">
        <f t="shared" si="67"/>
        <v>50</v>
      </c>
      <c r="T134" s="2">
        <f t="shared" si="68"/>
        <v>119.04761904761905</v>
      </c>
      <c r="U134" s="2">
        <f ca="1">VLOOKUP(E134,金币生产率!$A$2:$B$120,2,0)</f>
        <v>1610</v>
      </c>
      <c r="V134" s="2">
        <f t="shared" si="69"/>
        <v>119.04761904761905</v>
      </c>
      <c r="W134" s="45">
        <f t="shared" ca="1" si="82"/>
        <v>26</v>
      </c>
      <c r="X134" s="48">
        <f t="shared" ca="1" si="83"/>
        <v>348</v>
      </c>
      <c r="Y134">
        <f t="shared" si="70"/>
        <v>18</v>
      </c>
      <c r="Z134">
        <f t="shared" ca="1" si="77"/>
        <v>11</v>
      </c>
      <c r="AA134" t="str">
        <f t="shared" ca="1" si="78"/>
        <v>9122200.png</v>
      </c>
      <c r="AB134">
        <f t="shared" si="71"/>
        <v>20</v>
      </c>
      <c r="AC134">
        <f>VLOOKUP(C134,技能辅助查询表,技能配置辅助表!$W$1,FALSE)</f>
        <v>5601</v>
      </c>
      <c r="AD134">
        <f t="shared" ca="1" si="79"/>
        <v>62.16904193021287</v>
      </c>
      <c r="AE134">
        <f>VLOOKUP(C134,技能辅助查询表,技能配置辅助表!$U$1,FALSE)</f>
        <v>4</v>
      </c>
      <c r="AF134">
        <f t="shared" ca="1" si="80"/>
        <v>9122230</v>
      </c>
      <c r="AG134">
        <f t="shared" ca="1" si="84"/>
        <v>48.979591836734691</v>
      </c>
      <c r="AH134">
        <f t="shared" ca="1" si="81"/>
        <v>567.63038284107404</v>
      </c>
      <c r="AI134">
        <f ca="1">VLOOKUP(E134,伤害参考系!$C$4:$E$104,3,FALSE)*$AN$12</f>
        <v>6162.2688085284308</v>
      </c>
      <c r="AJ134">
        <f>VLOOKUP(C134,技能辅助查询表,技能配置辅助表!$L$1,FALSE)</f>
        <v>1</v>
      </c>
      <c r="AK134">
        <f>VLOOKUP(C134,技能辅助查询表,技能配置辅助表!$AE$1,FALSE)</f>
        <v>66000113</v>
      </c>
    </row>
    <row r="135" spans="1:37" x14ac:dyDescent="0.15">
      <c r="A135" s="1">
        <f t="shared" ca="1" si="72"/>
        <v>9122231</v>
      </c>
      <c r="B135" s="1" t="str">
        <f t="shared" ca="1" si="57"/>
        <v>影袭·斩第2段</v>
      </c>
      <c r="C135" t="s">
        <v>152</v>
      </c>
      <c r="D135">
        <f t="shared" si="58"/>
        <v>1</v>
      </c>
      <c r="E135" s="42">
        <f t="shared" ca="1" si="73"/>
        <v>51</v>
      </c>
      <c r="F135" t="str">
        <f t="shared" ca="1" si="74"/>
        <v>第31级，共造成156%点伤害</v>
      </c>
      <c r="G135">
        <f t="shared" ca="1" si="75"/>
        <v>2</v>
      </c>
      <c r="H135">
        <f t="shared" si="59"/>
        <v>2</v>
      </c>
      <c r="I135" s="44">
        <f t="shared" ca="1" si="76"/>
        <v>31</v>
      </c>
      <c r="J135">
        <f t="shared" si="60"/>
        <v>2</v>
      </c>
      <c r="K135" s="36">
        <f t="shared" ca="1" si="61"/>
        <v>155.95238095238096</v>
      </c>
      <c r="L135" s="10">
        <f ca="1">AH135*VLOOKUP(C135,技能辅助查询表,技能配置辅助表!$T$1,FALSE)</f>
        <v>0</v>
      </c>
      <c r="M135">
        <f t="shared" ca="1" si="62"/>
        <v>5520</v>
      </c>
      <c r="N135" s="33">
        <f ca="1">CHOOSE(1,W135*U135,X135*'[1]0、经济设定'!$C$18)</f>
        <v>47012</v>
      </c>
      <c r="O135">
        <f t="shared" si="63"/>
        <v>2</v>
      </c>
      <c r="P135">
        <f t="shared" si="64"/>
        <v>1</v>
      </c>
      <c r="Q135">
        <f t="shared" si="65"/>
        <v>1</v>
      </c>
      <c r="R135" s="2">
        <f t="shared" si="66"/>
        <v>4</v>
      </c>
      <c r="S135" s="2">
        <f t="shared" si="67"/>
        <v>50</v>
      </c>
      <c r="T135" s="2">
        <f t="shared" si="68"/>
        <v>119.04761904761905</v>
      </c>
      <c r="U135" s="2">
        <f ca="1">VLOOKUP(E135,金币生产率!$A$2:$B$120,2,0)</f>
        <v>1679</v>
      </c>
      <c r="V135" s="2">
        <f t="shared" si="69"/>
        <v>119.04761904761905</v>
      </c>
      <c r="W135" s="45">
        <f t="shared" ca="1" si="82"/>
        <v>28</v>
      </c>
      <c r="X135" s="48">
        <f t="shared" ca="1" si="83"/>
        <v>376</v>
      </c>
      <c r="Y135">
        <f t="shared" si="70"/>
        <v>18</v>
      </c>
      <c r="Z135">
        <f t="shared" ca="1" si="77"/>
        <v>12</v>
      </c>
      <c r="AA135" t="str">
        <f t="shared" ca="1" si="78"/>
        <v>9122200.png</v>
      </c>
      <c r="AB135">
        <f t="shared" si="71"/>
        <v>20</v>
      </c>
      <c r="AC135">
        <f>VLOOKUP(C135,技能辅助查询表,技能配置辅助表!$W$1,FALSE)</f>
        <v>5601</v>
      </c>
      <c r="AD135">
        <f t="shared" ca="1" si="79"/>
        <v>72.317298668155971</v>
      </c>
      <c r="AE135">
        <f>VLOOKUP(C135,技能辅助查询表,技能配置辅助表!$U$1,FALSE)</f>
        <v>4</v>
      </c>
      <c r="AF135">
        <f t="shared" ca="1" si="80"/>
        <v>9122231</v>
      </c>
      <c r="AG135">
        <f t="shared" ca="1" si="84"/>
        <v>50.530612244897959</v>
      </c>
      <c r="AH135">
        <f t="shared" ca="1" si="81"/>
        <v>646.23969022607446</v>
      </c>
      <c r="AI135">
        <f ca="1">VLOOKUP(E135,伤害参考系!$C$4:$E$104,3,FALSE)*$AN$12</f>
        <v>6528.1715392976603</v>
      </c>
      <c r="AJ135">
        <f>VLOOKUP(C135,技能辅助查询表,技能配置辅助表!$L$1,FALSE)</f>
        <v>1</v>
      </c>
      <c r="AK135">
        <f>VLOOKUP(C135,技能辅助查询表,技能配置辅助表!$AE$1,FALSE)</f>
        <v>66000113</v>
      </c>
    </row>
    <row r="136" spans="1:37" x14ac:dyDescent="0.15">
      <c r="A136" s="1">
        <f t="shared" ca="1" si="72"/>
        <v>9122232</v>
      </c>
      <c r="B136" s="1" t="str">
        <f t="shared" ca="1" si="57"/>
        <v>影袭·斩第2段</v>
      </c>
      <c r="C136" t="s">
        <v>152</v>
      </c>
      <c r="D136">
        <f t="shared" si="58"/>
        <v>1</v>
      </c>
      <c r="E136" s="42">
        <f t="shared" ca="1" si="73"/>
        <v>53</v>
      </c>
      <c r="F136" t="str">
        <f t="shared" ca="1" si="74"/>
        <v>第32级，共造成157.1%点伤害</v>
      </c>
      <c r="G136">
        <f t="shared" ca="1" si="75"/>
        <v>2</v>
      </c>
      <c r="H136">
        <f t="shared" si="59"/>
        <v>2</v>
      </c>
      <c r="I136" s="44">
        <f t="shared" ca="1" si="76"/>
        <v>32</v>
      </c>
      <c r="J136">
        <f t="shared" si="60"/>
        <v>2</v>
      </c>
      <c r="K136" s="36">
        <f t="shared" ca="1" si="61"/>
        <v>157.14285714285714</v>
      </c>
      <c r="L136" s="10">
        <f ca="1">AH136*VLOOKUP(C136,技能辅助查询表,技能配置辅助表!$T$1,FALSE)</f>
        <v>0</v>
      </c>
      <c r="M136">
        <f t="shared" ca="1" si="62"/>
        <v>5440</v>
      </c>
      <c r="N136" s="33">
        <f ca="1">CHOOSE(1,W136*U136,X136*'[1]0、经济设定'!$C$18)</f>
        <v>54600</v>
      </c>
      <c r="O136">
        <f t="shared" si="63"/>
        <v>2</v>
      </c>
      <c r="P136">
        <f t="shared" si="64"/>
        <v>1</v>
      </c>
      <c r="Q136">
        <f t="shared" si="65"/>
        <v>1</v>
      </c>
      <c r="R136" s="2">
        <f t="shared" si="66"/>
        <v>4</v>
      </c>
      <c r="S136" s="2">
        <f t="shared" si="67"/>
        <v>50</v>
      </c>
      <c r="T136" s="2">
        <f t="shared" si="68"/>
        <v>119.04761904761905</v>
      </c>
      <c r="U136" s="2">
        <f ca="1">VLOOKUP(E136,金币生产率!$A$2:$B$120,2,0)</f>
        <v>1820</v>
      </c>
      <c r="V136" s="2">
        <f t="shared" si="69"/>
        <v>119.04761904761905</v>
      </c>
      <c r="W136" s="45">
        <f t="shared" ca="1" si="82"/>
        <v>30</v>
      </c>
      <c r="X136" s="48">
        <f t="shared" ca="1" si="83"/>
        <v>406</v>
      </c>
      <c r="Y136">
        <f t="shared" si="70"/>
        <v>18</v>
      </c>
      <c r="Z136">
        <f t="shared" ca="1" si="77"/>
        <v>12</v>
      </c>
      <c r="AA136" t="str">
        <f t="shared" ca="1" si="78"/>
        <v>9122200.png</v>
      </c>
      <c r="AB136">
        <f t="shared" si="71"/>
        <v>20</v>
      </c>
      <c r="AC136">
        <f>VLOOKUP(C136,技能辅助查询表,技能配置辅助表!$W$1,FALSE)</f>
        <v>5601</v>
      </c>
      <c r="AD136">
        <f t="shared" ca="1" si="79"/>
        <v>84.084039765094801</v>
      </c>
      <c r="AE136">
        <f>VLOOKUP(C136,技能辅助查询表,技能配置辅助表!$U$1,FALSE)</f>
        <v>4</v>
      </c>
      <c r="AF136">
        <f t="shared" ca="1" si="80"/>
        <v>9122232</v>
      </c>
      <c r="AG136">
        <f t="shared" ca="1" si="84"/>
        <v>52.081632653061227</v>
      </c>
      <c r="AH136">
        <f t="shared" ca="1" si="81"/>
        <v>735.73534794457942</v>
      </c>
      <c r="AI136">
        <f ca="1">VLOOKUP(E136,伤害参考系!$C$4:$E$104,3,FALSE)*$AN$12</f>
        <v>7291.2152408026777</v>
      </c>
      <c r="AJ136">
        <f>VLOOKUP(C136,技能辅助查询表,技能配置辅助表!$L$1,FALSE)</f>
        <v>1</v>
      </c>
      <c r="AK136">
        <f>VLOOKUP(C136,技能辅助查询表,技能配置辅助表!$AE$1,FALSE)</f>
        <v>66000113</v>
      </c>
    </row>
    <row r="137" spans="1:37" x14ac:dyDescent="0.15">
      <c r="A137" s="1">
        <f t="shared" ca="1" si="72"/>
        <v>9122233</v>
      </c>
      <c r="B137" s="1" t="str">
        <f t="shared" ca="1" si="57"/>
        <v>影袭·斩第2段</v>
      </c>
      <c r="C137" t="s">
        <v>152</v>
      </c>
      <c r="D137">
        <f t="shared" si="58"/>
        <v>1</v>
      </c>
      <c r="E137" s="42">
        <f t="shared" ca="1" si="73"/>
        <v>54</v>
      </c>
      <c r="F137" t="str">
        <f t="shared" ca="1" si="74"/>
        <v>第33级，共造成158.3%点伤害</v>
      </c>
      <c r="G137">
        <f t="shared" ca="1" si="75"/>
        <v>2</v>
      </c>
      <c r="H137">
        <f t="shared" si="59"/>
        <v>2</v>
      </c>
      <c r="I137" s="44">
        <f t="shared" ca="1" si="76"/>
        <v>33</v>
      </c>
      <c r="J137">
        <f t="shared" si="60"/>
        <v>2</v>
      </c>
      <c r="K137" s="36">
        <f t="shared" ca="1" si="61"/>
        <v>158.33333333333334</v>
      </c>
      <c r="L137" s="10">
        <f ca="1">AH137*VLOOKUP(C137,技能辅助查询表,技能配置辅助表!$T$1,FALSE)</f>
        <v>0</v>
      </c>
      <c r="M137">
        <f t="shared" ca="1" si="62"/>
        <v>5360</v>
      </c>
      <c r="N137" s="33">
        <f ca="1">CHOOSE(1,W137*U137,X137*'[1]0、经济设定'!$C$18)</f>
        <v>60576</v>
      </c>
      <c r="O137">
        <f t="shared" si="63"/>
        <v>2</v>
      </c>
      <c r="P137">
        <f t="shared" si="64"/>
        <v>1</v>
      </c>
      <c r="Q137">
        <f t="shared" si="65"/>
        <v>1</v>
      </c>
      <c r="R137" s="2">
        <f t="shared" si="66"/>
        <v>4</v>
      </c>
      <c r="S137" s="2">
        <f t="shared" si="67"/>
        <v>50</v>
      </c>
      <c r="T137" s="2">
        <f t="shared" si="68"/>
        <v>119.04761904761905</v>
      </c>
      <c r="U137" s="2">
        <f ca="1">VLOOKUP(E137,金币生产率!$A$2:$B$120,2,0)</f>
        <v>1893</v>
      </c>
      <c r="V137" s="2">
        <f t="shared" si="69"/>
        <v>119.04761904761905</v>
      </c>
      <c r="W137" s="45">
        <f t="shared" ca="1" si="82"/>
        <v>32</v>
      </c>
      <c r="X137" s="48">
        <f t="shared" ca="1" si="83"/>
        <v>438</v>
      </c>
      <c r="Y137">
        <f t="shared" si="70"/>
        <v>18</v>
      </c>
      <c r="Z137">
        <f t="shared" ca="1" si="77"/>
        <v>13</v>
      </c>
      <c r="AA137" t="str">
        <f t="shared" ca="1" si="78"/>
        <v>9122200.png</v>
      </c>
      <c r="AB137">
        <f t="shared" si="71"/>
        <v>20</v>
      </c>
      <c r="AC137">
        <f>VLOOKUP(C137,技能辅助查询表,技能配置辅助表!$W$1,FALSE)</f>
        <v>5601</v>
      </c>
      <c r="AD137">
        <f t="shared" ca="1" si="79"/>
        <v>97.722913361046224</v>
      </c>
      <c r="AE137">
        <f>VLOOKUP(C137,技能辅助查询表,技能配置辅助表!$U$1,FALSE)</f>
        <v>4</v>
      </c>
      <c r="AF137">
        <f t="shared" ca="1" si="80"/>
        <v>9122233</v>
      </c>
      <c r="AG137">
        <f t="shared" ca="1" si="84"/>
        <v>53.632653061224488</v>
      </c>
      <c r="AH137">
        <f t="shared" ca="1" si="81"/>
        <v>837.62497166611001</v>
      </c>
      <c r="AI137">
        <f ca="1">VLOOKUP(E137,伤害参考系!$C$4:$E$104,3,FALSE)*$AN$12</f>
        <v>7688.356211538463</v>
      </c>
      <c r="AJ137">
        <f>VLOOKUP(C137,技能辅助查询表,技能配置辅助表!$L$1,FALSE)</f>
        <v>1</v>
      </c>
      <c r="AK137">
        <f>VLOOKUP(C137,技能辅助查询表,技能配置辅助表!$AE$1,FALSE)</f>
        <v>66000113</v>
      </c>
    </row>
    <row r="138" spans="1:37" x14ac:dyDescent="0.15">
      <c r="A138" s="1">
        <f t="shared" ca="1" si="72"/>
        <v>9122234</v>
      </c>
      <c r="B138" s="1" t="str">
        <f t="shared" ca="1" si="57"/>
        <v>影袭·斩第2段</v>
      </c>
      <c r="C138" t="s">
        <v>152</v>
      </c>
      <c r="D138">
        <f t="shared" si="58"/>
        <v>1</v>
      </c>
      <c r="E138" s="42">
        <f t="shared" ca="1" si="73"/>
        <v>56</v>
      </c>
      <c r="F138" t="str">
        <f t="shared" ca="1" si="74"/>
        <v>第34级，共造成159.5%点伤害</v>
      </c>
      <c r="G138">
        <f t="shared" ca="1" si="75"/>
        <v>2</v>
      </c>
      <c r="H138">
        <f t="shared" si="59"/>
        <v>2</v>
      </c>
      <c r="I138" s="44">
        <f t="shared" ca="1" si="76"/>
        <v>34</v>
      </c>
      <c r="J138">
        <f t="shared" si="60"/>
        <v>2</v>
      </c>
      <c r="K138" s="36">
        <f t="shared" ca="1" si="61"/>
        <v>159.52380952380952</v>
      </c>
      <c r="L138" s="10">
        <f ca="1">AH138*VLOOKUP(C138,技能辅助查询表,技能配置辅助表!$T$1,FALSE)</f>
        <v>0</v>
      </c>
      <c r="M138">
        <f t="shared" ca="1" si="62"/>
        <v>5280</v>
      </c>
      <c r="N138" s="33">
        <f ca="1">CHOOSE(1,W138*U138,X138*'[1]0、经济设定'!$C$18)</f>
        <v>69428</v>
      </c>
      <c r="O138">
        <f t="shared" si="63"/>
        <v>2</v>
      </c>
      <c r="P138">
        <f t="shared" si="64"/>
        <v>1</v>
      </c>
      <c r="Q138">
        <f t="shared" si="65"/>
        <v>1</v>
      </c>
      <c r="R138" s="2">
        <f t="shared" si="66"/>
        <v>4</v>
      </c>
      <c r="S138" s="2">
        <f t="shared" si="67"/>
        <v>50</v>
      </c>
      <c r="T138" s="2">
        <f t="shared" si="68"/>
        <v>119.04761904761905</v>
      </c>
      <c r="U138" s="2">
        <f ca="1">VLOOKUP(E138,金币生产率!$A$2:$B$120,2,0)</f>
        <v>2042</v>
      </c>
      <c r="V138" s="2">
        <f t="shared" si="69"/>
        <v>119.04761904761905</v>
      </c>
      <c r="W138" s="45">
        <f t="shared" ca="1" si="82"/>
        <v>34</v>
      </c>
      <c r="X138" s="48">
        <f t="shared" ca="1" si="83"/>
        <v>472</v>
      </c>
      <c r="Y138">
        <f t="shared" si="70"/>
        <v>18</v>
      </c>
      <c r="Z138">
        <f t="shared" ca="1" si="77"/>
        <v>14</v>
      </c>
      <c r="AA138" t="str">
        <f t="shared" ca="1" si="78"/>
        <v>9122200.png</v>
      </c>
      <c r="AB138">
        <f t="shared" si="71"/>
        <v>20</v>
      </c>
      <c r="AC138">
        <f>VLOOKUP(C138,技能辅助查询表,技能配置辅助表!$W$1,FALSE)</f>
        <v>5601</v>
      </c>
      <c r="AD138">
        <f t="shared" ca="1" si="79"/>
        <v>113.52678117962634</v>
      </c>
      <c r="AE138">
        <f>VLOOKUP(C138,技能辅助查询表,技能配置辅助表!$U$1,FALSE)</f>
        <v>4</v>
      </c>
      <c r="AF138">
        <f t="shared" ca="1" si="80"/>
        <v>9122234</v>
      </c>
      <c r="AG138">
        <f t="shared" ca="1" si="84"/>
        <v>55.183673469387756</v>
      </c>
      <c r="AH138">
        <f t="shared" ca="1" si="81"/>
        <v>953.62496190886134</v>
      </c>
      <c r="AI138">
        <f ca="1">VLOOKUP(E138,伤害参考系!$C$4:$E$104,3,FALSE)*$AN$12</f>
        <v>8513.8763929765901</v>
      </c>
      <c r="AJ138">
        <f>VLOOKUP(C138,技能辅助查询表,技能配置辅助表!$L$1,FALSE)</f>
        <v>1</v>
      </c>
      <c r="AK138">
        <f>VLOOKUP(C138,技能辅助查询表,技能配置辅助表!$AE$1,FALSE)</f>
        <v>66000113</v>
      </c>
    </row>
    <row r="139" spans="1:37" x14ac:dyDescent="0.15">
      <c r="A139" s="1">
        <f t="shared" ca="1" si="72"/>
        <v>9122235</v>
      </c>
      <c r="B139" s="1" t="str">
        <f t="shared" ca="1" si="57"/>
        <v>影袭·斩第2段</v>
      </c>
      <c r="C139" t="s">
        <v>152</v>
      </c>
      <c r="D139">
        <f t="shared" si="58"/>
        <v>1</v>
      </c>
      <c r="E139" s="42">
        <f t="shared" ca="1" si="73"/>
        <v>57</v>
      </c>
      <c r="F139" t="str">
        <f t="shared" ca="1" si="74"/>
        <v>第35级，共造成160.7%点伤害</v>
      </c>
      <c r="G139">
        <f t="shared" ca="1" si="75"/>
        <v>2</v>
      </c>
      <c r="H139">
        <f t="shared" si="59"/>
        <v>2</v>
      </c>
      <c r="I139" s="44">
        <f t="shared" ca="1" si="76"/>
        <v>35</v>
      </c>
      <c r="J139">
        <f t="shared" si="60"/>
        <v>2</v>
      </c>
      <c r="K139" s="36">
        <f t="shared" ca="1" si="61"/>
        <v>160.71428571428572</v>
      </c>
      <c r="L139" s="10">
        <f ca="1">AH139*VLOOKUP(C139,技能辅助查询表,技能配置辅助表!$T$1,FALSE)</f>
        <v>0</v>
      </c>
      <c r="M139">
        <f t="shared" ca="1" si="62"/>
        <v>5200</v>
      </c>
      <c r="N139" s="33">
        <f ca="1">CHOOSE(1,W139*U139,X139*'[1]0、经济设定'!$C$18)</f>
        <v>76284</v>
      </c>
      <c r="O139">
        <f t="shared" si="63"/>
        <v>2</v>
      </c>
      <c r="P139">
        <f t="shared" si="64"/>
        <v>1</v>
      </c>
      <c r="Q139">
        <f t="shared" si="65"/>
        <v>1</v>
      </c>
      <c r="R139" s="2">
        <f t="shared" si="66"/>
        <v>4</v>
      </c>
      <c r="S139" s="2">
        <f t="shared" si="67"/>
        <v>50</v>
      </c>
      <c r="T139" s="2">
        <f t="shared" si="68"/>
        <v>119.04761904761905</v>
      </c>
      <c r="U139" s="2">
        <f ca="1">VLOOKUP(E139,金币生产率!$A$2:$B$120,2,0)</f>
        <v>2119</v>
      </c>
      <c r="V139" s="2">
        <f t="shared" si="69"/>
        <v>119.04761904761905</v>
      </c>
      <c r="W139" s="45">
        <f t="shared" ca="1" si="82"/>
        <v>36</v>
      </c>
      <c r="X139" s="48">
        <f t="shared" ca="1" si="83"/>
        <v>508</v>
      </c>
      <c r="Y139">
        <f t="shared" si="70"/>
        <v>18</v>
      </c>
      <c r="Z139">
        <f t="shared" ca="1" si="77"/>
        <v>15</v>
      </c>
      <c r="AA139" t="str">
        <f t="shared" ca="1" si="78"/>
        <v>9122200.png</v>
      </c>
      <c r="AB139">
        <f t="shared" si="71"/>
        <v>20</v>
      </c>
      <c r="AC139">
        <f>VLOOKUP(C139,技能辅助查询表,技能配置辅助表!$W$1,FALSE)</f>
        <v>5601</v>
      </c>
      <c r="AD139">
        <f t="shared" ca="1" si="79"/>
        <v>131.8337150407161</v>
      </c>
      <c r="AE139">
        <f>VLOOKUP(C139,技能辅助查询表,技能配置辅助表!$U$1,FALSE)</f>
        <v>4</v>
      </c>
      <c r="AF139">
        <f t="shared" ca="1" si="80"/>
        <v>9122235</v>
      </c>
      <c r="AG139">
        <f t="shared" ca="1" si="84"/>
        <v>56.734693877551024</v>
      </c>
      <c r="AH139">
        <f t="shared" ca="1" si="81"/>
        <v>1085.689417982368</v>
      </c>
      <c r="AI139">
        <f ca="1">VLOOKUP(E139,伤害参考系!$C$4:$E$104,3,FALSE)*$AN$12</f>
        <v>8942.2556036789319</v>
      </c>
      <c r="AJ139">
        <f>VLOOKUP(C139,技能辅助查询表,技能配置辅助表!$L$1,FALSE)</f>
        <v>1</v>
      </c>
      <c r="AK139">
        <f>VLOOKUP(C139,技能辅助查询表,技能配置辅助表!$AE$1,FALSE)</f>
        <v>66000113</v>
      </c>
    </row>
    <row r="140" spans="1:37" x14ac:dyDescent="0.15">
      <c r="A140" s="1">
        <f t="shared" ca="1" si="72"/>
        <v>9122236</v>
      </c>
      <c r="B140" s="1" t="str">
        <f t="shared" ca="1" si="57"/>
        <v>影袭·斩第2段</v>
      </c>
      <c r="C140" t="s">
        <v>152</v>
      </c>
      <c r="D140">
        <f t="shared" si="58"/>
        <v>1</v>
      </c>
      <c r="E140" s="42">
        <f t="shared" ca="1" si="73"/>
        <v>59</v>
      </c>
      <c r="F140" t="str">
        <f t="shared" ca="1" si="74"/>
        <v>第36级，共造成161.9%点伤害</v>
      </c>
      <c r="G140">
        <f t="shared" ca="1" si="75"/>
        <v>2</v>
      </c>
      <c r="H140">
        <f t="shared" si="59"/>
        <v>2</v>
      </c>
      <c r="I140" s="44">
        <f t="shared" ca="1" si="76"/>
        <v>36</v>
      </c>
      <c r="J140">
        <f t="shared" si="60"/>
        <v>2</v>
      </c>
      <c r="K140" s="36">
        <f t="shared" ca="1" si="61"/>
        <v>161.9047619047619</v>
      </c>
      <c r="L140" s="10">
        <f ca="1">AH140*VLOOKUP(C140,技能辅助查询表,技能配置辅助表!$T$1,FALSE)</f>
        <v>0</v>
      </c>
      <c r="M140">
        <f t="shared" ca="1" si="62"/>
        <v>5120</v>
      </c>
      <c r="N140" s="33">
        <f ca="1">CHOOSE(1,W140*U140,X140*'[1]0、经济设定'!$C$18)</f>
        <v>88803</v>
      </c>
      <c r="O140">
        <f t="shared" si="63"/>
        <v>2</v>
      </c>
      <c r="P140">
        <f t="shared" si="64"/>
        <v>1</v>
      </c>
      <c r="Q140">
        <f t="shared" si="65"/>
        <v>1</v>
      </c>
      <c r="R140" s="2">
        <f t="shared" si="66"/>
        <v>4</v>
      </c>
      <c r="S140" s="2">
        <f t="shared" si="67"/>
        <v>50</v>
      </c>
      <c r="T140" s="2">
        <f t="shared" si="68"/>
        <v>119.04761904761905</v>
      </c>
      <c r="U140" s="2">
        <f ca="1">VLOOKUP(E140,金币生产率!$A$2:$B$120,2,0)</f>
        <v>2277</v>
      </c>
      <c r="V140" s="2">
        <f t="shared" si="69"/>
        <v>119.04761904761905</v>
      </c>
      <c r="W140" s="45">
        <f t="shared" ca="1" si="82"/>
        <v>39</v>
      </c>
      <c r="X140" s="48">
        <f t="shared" ca="1" si="83"/>
        <v>547</v>
      </c>
      <c r="Y140">
        <f t="shared" si="70"/>
        <v>18</v>
      </c>
      <c r="Z140">
        <f t="shared" ca="1" si="77"/>
        <v>16</v>
      </c>
      <c r="AA140" t="str">
        <f t="shared" ca="1" si="78"/>
        <v>9122200.png</v>
      </c>
      <c r="AB140">
        <f t="shared" si="71"/>
        <v>20</v>
      </c>
      <c r="AC140">
        <f>VLOOKUP(C140,技能辅助查询表,技能配置辅助表!$W$1,FALSE)</f>
        <v>5601</v>
      </c>
      <c r="AD140">
        <f t="shared" ca="1" si="79"/>
        <v>153.03390218742106</v>
      </c>
      <c r="AE140">
        <f>VLOOKUP(C140,技能辅助查询表,技能配置辅助表!$U$1,FALSE)</f>
        <v>4</v>
      </c>
      <c r="AF140">
        <f t="shared" ca="1" si="80"/>
        <v>9122236</v>
      </c>
      <c r="AG140">
        <f t="shared" ca="1" si="84"/>
        <v>58.285714285714285</v>
      </c>
      <c r="AH140">
        <f t="shared" ca="1" si="81"/>
        <v>1236.0430561291703</v>
      </c>
      <c r="AI140">
        <f ca="1">VLOOKUP(E140,伤害参考系!$C$4:$E$104,3,FALSE)*$AN$12</f>
        <v>9830.2522650501687</v>
      </c>
      <c r="AJ140">
        <f>VLOOKUP(C140,技能辅助查询表,技能配置辅助表!$L$1,FALSE)</f>
        <v>1</v>
      </c>
      <c r="AK140">
        <f>VLOOKUP(C140,技能辅助查询表,技能配置辅助表!$AE$1,FALSE)</f>
        <v>66000113</v>
      </c>
    </row>
    <row r="141" spans="1:37" x14ac:dyDescent="0.15">
      <c r="A141" s="1">
        <f t="shared" ca="1" si="72"/>
        <v>9122237</v>
      </c>
      <c r="B141" s="1" t="str">
        <f t="shared" ca="1" si="57"/>
        <v>影袭·斩第2段</v>
      </c>
      <c r="C141" t="s">
        <v>152</v>
      </c>
      <c r="D141">
        <f t="shared" si="58"/>
        <v>1</v>
      </c>
      <c r="E141" s="42">
        <f t="shared" ca="1" si="73"/>
        <v>60</v>
      </c>
      <c r="F141" t="str">
        <f t="shared" ca="1" si="74"/>
        <v>第37级，共造成163.1%点伤害</v>
      </c>
      <c r="G141">
        <f t="shared" ca="1" si="75"/>
        <v>2</v>
      </c>
      <c r="H141">
        <f t="shared" si="59"/>
        <v>2</v>
      </c>
      <c r="I141" s="44">
        <f t="shared" ca="1" si="76"/>
        <v>37</v>
      </c>
      <c r="J141">
        <f t="shared" si="60"/>
        <v>2</v>
      </c>
      <c r="K141" s="36">
        <f t="shared" ca="1" si="61"/>
        <v>163.0952380952381</v>
      </c>
      <c r="L141" s="10">
        <f ca="1">AH141*VLOOKUP(C141,技能辅助查询表,技能配置辅助表!$T$1,FALSE)</f>
        <v>0</v>
      </c>
      <c r="M141">
        <f t="shared" ca="1" si="62"/>
        <v>5040</v>
      </c>
      <c r="N141" s="33">
        <f ca="1">CHOOSE(1,W141*U141,X141*'[1]0、经济设定'!$C$18)</f>
        <v>99036</v>
      </c>
      <c r="O141">
        <f t="shared" si="63"/>
        <v>2</v>
      </c>
      <c r="P141">
        <f t="shared" si="64"/>
        <v>1</v>
      </c>
      <c r="Q141">
        <f t="shared" si="65"/>
        <v>1</v>
      </c>
      <c r="R141" s="2">
        <f t="shared" si="66"/>
        <v>4</v>
      </c>
      <c r="S141" s="2">
        <f t="shared" si="67"/>
        <v>50</v>
      </c>
      <c r="T141" s="2">
        <f t="shared" si="68"/>
        <v>119.04761904761905</v>
      </c>
      <c r="U141" s="2">
        <f ca="1">VLOOKUP(E141,金币生产率!$A$2:$B$120,2,0)</f>
        <v>2358</v>
      </c>
      <c r="V141" s="2">
        <f t="shared" si="69"/>
        <v>119.04761904761905</v>
      </c>
      <c r="W141" s="45">
        <f t="shared" ca="1" si="82"/>
        <v>42</v>
      </c>
      <c r="X141" s="48">
        <f t="shared" ca="1" si="83"/>
        <v>589</v>
      </c>
      <c r="Y141">
        <f t="shared" si="70"/>
        <v>18</v>
      </c>
      <c r="Z141">
        <f t="shared" ca="1" si="77"/>
        <v>17</v>
      </c>
      <c r="AA141" t="str">
        <f t="shared" ca="1" si="78"/>
        <v>9122200.png</v>
      </c>
      <c r="AB141">
        <f t="shared" si="71"/>
        <v>20</v>
      </c>
      <c r="AC141">
        <f>VLOOKUP(C141,技能辅助查询表,技能配置辅助表!$W$1,FALSE)</f>
        <v>5601</v>
      </c>
      <c r="AD141">
        <f t="shared" ca="1" si="79"/>
        <v>177.57759614021001</v>
      </c>
      <c r="AE141">
        <f>VLOOKUP(C141,技能辅助查询表,技能配置辅助表!$U$1,FALSE)</f>
        <v>4</v>
      </c>
      <c r="AF141">
        <f t="shared" ca="1" si="80"/>
        <v>9122237</v>
      </c>
      <c r="AG141">
        <f t="shared" ca="1" si="84"/>
        <v>59.836734693877553</v>
      </c>
      <c r="AH141">
        <f t="shared" ca="1" si="81"/>
        <v>1407.2186863941167</v>
      </c>
      <c r="AI141">
        <f ca="1">VLOOKUP(E141,伤害参考系!$C$4:$E$104,3,FALSE)*$AN$12</f>
        <v>10340.558729096994</v>
      </c>
      <c r="AJ141">
        <f>VLOOKUP(C141,技能辅助查询表,技能配置辅助表!$L$1,FALSE)</f>
        <v>1</v>
      </c>
      <c r="AK141">
        <f>VLOOKUP(C141,技能辅助查询表,技能配置辅助表!$AE$1,FALSE)</f>
        <v>66000113</v>
      </c>
    </row>
    <row r="142" spans="1:37" x14ac:dyDescent="0.15">
      <c r="A142" s="1">
        <f t="shared" ca="1" si="72"/>
        <v>9122238</v>
      </c>
      <c r="B142" s="1" t="str">
        <f t="shared" ca="1" si="57"/>
        <v>影袭·斩第2段</v>
      </c>
      <c r="C142" t="s">
        <v>152</v>
      </c>
      <c r="D142">
        <f t="shared" si="58"/>
        <v>1</v>
      </c>
      <c r="E142" s="42">
        <f t="shared" ca="1" si="73"/>
        <v>62</v>
      </c>
      <c r="F142" t="str">
        <f t="shared" ca="1" si="74"/>
        <v>第38级，共造成164.3%点伤害</v>
      </c>
      <c r="G142">
        <f t="shared" ca="1" si="75"/>
        <v>2</v>
      </c>
      <c r="H142">
        <f t="shared" si="59"/>
        <v>2</v>
      </c>
      <c r="I142" s="44">
        <f t="shared" ca="1" si="76"/>
        <v>38</v>
      </c>
      <c r="J142">
        <f t="shared" si="60"/>
        <v>2</v>
      </c>
      <c r="K142" s="36">
        <f t="shared" ca="1" si="61"/>
        <v>164.28571428571428</v>
      </c>
      <c r="L142" s="10">
        <f ca="1">AH142*VLOOKUP(C142,技能辅助查询表,技能配置辅助表!$T$1,FALSE)</f>
        <v>0</v>
      </c>
      <c r="M142">
        <f t="shared" ca="1" si="62"/>
        <v>4960</v>
      </c>
      <c r="N142" s="33">
        <f ca="1">CHOOSE(1,W142*U142,X142*'[1]0、经济设定'!$C$18)</f>
        <v>113580</v>
      </c>
      <c r="O142">
        <f t="shared" si="63"/>
        <v>2</v>
      </c>
      <c r="P142">
        <f t="shared" si="64"/>
        <v>1</v>
      </c>
      <c r="Q142">
        <f t="shared" si="65"/>
        <v>1</v>
      </c>
      <c r="R142" s="2">
        <f t="shared" si="66"/>
        <v>4</v>
      </c>
      <c r="S142" s="2">
        <f t="shared" si="67"/>
        <v>50</v>
      </c>
      <c r="T142" s="2">
        <f t="shared" si="68"/>
        <v>119.04761904761905</v>
      </c>
      <c r="U142" s="2">
        <f ca="1">VLOOKUP(E142,金币生产率!$A$2:$B$120,2,0)</f>
        <v>2524</v>
      </c>
      <c r="V142" s="2">
        <f t="shared" si="69"/>
        <v>119.04761904761905</v>
      </c>
      <c r="W142" s="45">
        <f t="shared" ca="1" si="82"/>
        <v>45</v>
      </c>
      <c r="X142" s="48">
        <f t="shared" ca="1" si="83"/>
        <v>634</v>
      </c>
      <c r="Y142">
        <f t="shared" si="70"/>
        <v>18</v>
      </c>
      <c r="Z142">
        <f t="shared" ca="1" si="77"/>
        <v>18</v>
      </c>
      <c r="AA142" t="str">
        <f t="shared" ca="1" si="78"/>
        <v>9122200.png</v>
      </c>
      <c r="AB142">
        <f t="shared" si="71"/>
        <v>20</v>
      </c>
      <c r="AC142">
        <f>VLOOKUP(C142,技能辅助查询表,技能配置辅助表!$W$1,FALSE)</f>
        <v>5601</v>
      </c>
      <c r="AD142">
        <f t="shared" ca="1" si="79"/>
        <v>205.98427022719392</v>
      </c>
      <c r="AE142">
        <f>VLOOKUP(C142,技能辅助查询表,技能配置辅助表!$U$1,FALSE)</f>
        <v>4</v>
      </c>
      <c r="AF142">
        <f t="shared" ca="1" si="80"/>
        <v>9122238</v>
      </c>
      <c r="AG142">
        <f t="shared" ca="1" si="84"/>
        <v>61.387755102040813</v>
      </c>
      <c r="AH142">
        <f t="shared" ca="1" si="81"/>
        <v>1602.0998795448415</v>
      </c>
      <c r="AI142">
        <f ca="1">VLOOKUP(E142,伤害参考系!$C$4:$E$104,3,FALSE)*$AN$12</f>
        <v>11398.657545150505</v>
      </c>
      <c r="AJ142">
        <f>VLOOKUP(C142,技能辅助查询表,技能配置辅助表!$L$1,FALSE)</f>
        <v>1</v>
      </c>
      <c r="AK142">
        <f>VLOOKUP(C142,技能辅助查询表,技能配置辅助表!$AE$1,FALSE)</f>
        <v>66000113</v>
      </c>
    </row>
    <row r="143" spans="1:37" x14ac:dyDescent="0.15">
      <c r="A143" s="1">
        <f t="shared" ca="1" si="72"/>
        <v>9122239</v>
      </c>
      <c r="B143" s="1" t="str">
        <f t="shared" ca="1" si="57"/>
        <v>影袭·斩第2段</v>
      </c>
      <c r="C143" t="s">
        <v>152</v>
      </c>
      <c r="D143">
        <f t="shared" si="58"/>
        <v>1</v>
      </c>
      <c r="E143" s="42">
        <f t="shared" ca="1" si="73"/>
        <v>63</v>
      </c>
      <c r="F143" t="str">
        <f t="shared" ca="1" si="74"/>
        <v>第39级，共造成165.5%点伤害</v>
      </c>
      <c r="G143">
        <f t="shared" ca="1" si="75"/>
        <v>2</v>
      </c>
      <c r="H143">
        <f t="shared" si="59"/>
        <v>2</v>
      </c>
      <c r="I143" s="44">
        <f t="shared" ca="1" si="76"/>
        <v>39</v>
      </c>
      <c r="J143">
        <f t="shared" si="60"/>
        <v>2</v>
      </c>
      <c r="K143" s="36">
        <f t="shared" ca="1" si="61"/>
        <v>165.47619047619048</v>
      </c>
      <c r="L143" s="10">
        <f ca="1">AH143*VLOOKUP(C143,技能辅助查询表,技能配置辅助表!$T$1,FALSE)</f>
        <v>0</v>
      </c>
      <c r="M143">
        <f t="shared" ca="1" si="62"/>
        <v>4880</v>
      </c>
      <c r="N143" s="33">
        <f ca="1">CHOOSE(1,W143*U143,X143*'[1]0、经济设定'!$C$18)</f>
        <v>125232</v>
      </c>
      <c r="O143">
        <f t="shared" si="63"/>
        <v>2</v>
      </c>
      <c r="P143">
        <f t="shared" si="64"/>
        <v>1</v>
      </c>
      <c r="Q143">
        <f t="shared" si="65"/>
        <v>1</v>
      </c>
      <c r="R143" s="2">
        <f t="shared" si="66"/>
        <v>4</v>
      </c>
      <c r="S143" s="2">
        <f t="shared" si="67"/>
        <v>50</v>
      </c>
      <c r="T143" s="2">
        <f t="shared" si="68"/>
        <v>119.04761904761905</v>
      </c>
      <c r="U143" s="2">
        <f ca="1">VLOOKUP(E143,金币生产率!$A$2:$B$120,2,0)</f>
        <v>2609</v>
      </c>
      <c r="V143" s="2">
        <f t="shared" si="69"/>
        <v>119.04761904761905</v>
      </c>
      <c r="W143" s="45">
        <f t="shared" ca="1" si="82"/>
        <v>48</v>
      </c>
      <c r="X143" s="48">
        <f t="shared" ca="1" si="83"/>
        <v>682</v>
      </c>
      <c r="Y143">
        <f t="shared" si="70"/>
        <v>18</v>
      </c>
      <c r="Z143">
        <f t="shared" ca="1" si="77"/>
        <v>20</v>
      </c>
      <c r="AA143" t="str">
        <f t="shared" ca="1" si="78"/>
        <v>9122200.png</v>
      </c>
      <c r="AB143">
        <f t="shared" si="71"/>
        <v>20</v>
      </c>
      <c r="AC143">
        <f>VLOOKUP(C143,技能辅助查询表,技能配置辅助表!$W$1,FALSE)</f>
        <v>5601</v>
      </c>
      <c r="AD143">
        <f t="shared" ca="1" si="79"/>
        <v>238.85315441388576</v>
      </c>
      <c r="AE143">
        <f>VLOOKUP(C143,技能辅助查询表,技能配置辅助表!$U$1,FALSE)</f>
        <v>4</v>
      </c>
      <c r="AF143">
        <f t="shared" ca="1" si="80"/>
        <v>9122239</v>
      </c>
      <c r="AG143">
        <f t="shared" ca="1" si="84"/>
        <v>62.938775510204081</v>
      </c>
      <c r="AH143">
        <f t="shared" ca="1" si="81"/>
        <v>1823.9695427969455</v>
      </c>
      <c r="AI143">
        <f ca="1">VLOOKUP(E143,伤害参考系!$C$4:$E$104,3,FALSE)*$AN$12</f>
        <v>11946.449897157196</v>
      </c>
      <c r="AJ143">
        <f>VLOOKUP(C143,技能辅助查询表,技能配置辅助表!$L$1,FALSE)</f>
        <v>1</v>
      </c>
      <c r="AK143">
        <f>VLOOKUP(C143,技能辅助查询表,技能配置辅助表!$AE$1,FALSE)</f>
        <v>66000113</v>
      </c>
    </row>
    <row r="144" spans="1:37" x14ac:dyDescent="0.15">
      <c r="A144" s="1">
        <f t="shared" ca="1" si="72"/>
        <v>9122240</v>
      </c>
      <c r="B144" s="1" t="str">
        <f t="shared" ca="1" si="57"/>
        <v>影袭·斩第2段</v>
      </c>
      <c r="C144" t="s">
        <v>152</v>
      </c>
      <c r="D144">
        <f t="shared" si="58"/>
        <v>1</v>
      </c>
      <c r="E144" s="42">
        <f t="shared" ca="1" si="73"/>
        <v>65</v>
      </c>
      <c r="F144" t="str">
        <f t="shared" ca="1" si="74"/>
        <v>第40级，共造成166.7%点伤害</v>
      </c>
      <c r="G144">
        <f t="shared" ca="1" si="75"/>
        <v>2</v>
      </c>
      <c r="H144">
        <f t="shared" si="59"/>
        <v>2</v>
      </c>
      <c r="I144" s="44">
        <f t="shared" ca="1" si="76"/>
        <v>40</v>
      </c>
      <c r="J144">
        <f t="shared" si="60"/>
        <v>2</v>
      </c>
      <c r="K144" s="36">
        <f t="shared" ca="1" si="61"/>
        <v>166.66666666666669</v>
      </c>
      <c r="L144" s="10">
        <f ca="1">AH144*VLOOKUP(C144,技能辅助查询表,技能配置辅助表!$T$1,FALSE)</f>
        <v>0</v>
      </c>
      <c r="M144">
        <f t="shared" ca="1" si="62"/>
        <v>4800</v>
      </c>
      <c r="N144" s="33">
        <f ca="1">CHOOSE(1,W144*U144,X144*'[1]0、经济设定'!$C$18)</f>
        <v>141933</v>
      </c>
      <c r="O144">
        <f t="shared" si="63"/>
        <v>2</v>
      </c>
      <c r="P144">
        <f t="shared" si="64"/>
        <v>1</v>
      </c>
      <c r="Q144">
        <f t="shared" si="65"/>
        <v>1</v>
      </c>
      <c r="R144" s="2">
        <f t="shared" si="66"/>
        <v>4</v>
      </c>
      <c r="S144" s="2">
        <f t="shared" si="67"/>
        <v>50</v>
      </c>
      <c r="T144" s="2">
        <f t="shared" si="68"/>
        <v>119.04761904761905</v>
      </c>
      <c r="U144" s="2">
        <f ca="1">VLOOKUP(E144,金币生产率!$A$2:$B$120,2,0)</f>
        <v>2783</v>
      </c>
      <c r="V144" s="2">
        <f t="shared" si="69"/>
        <v>119.04761904761905</v>
      </c>
      <c r="W144" s="45">
        <f t="shared" ca="1" si="82"/>
        <v>51</v>
      </c>
      <c r="X144" s="48">
        <f t="shared" ca="1" si="83"/>
        <v>733</v>
      </c>
      <c r="Y144">
        <f t="shared" si="70"/>
        <v>18</v>
      </c>
      <c r="Z144">
        <f t="shared" ca="1" si="77"/>
        <v>21</v>
      </c>
      <c r="AA144" t="str">
        <f t="shared" ca="1" si="78"/>
        <v>9122200.png</v>
      </c>
      <c r="AB144">
        <f t="shared" si="71"/>
        <v>20</v>
      </c>
      <c r="AC144">
        <f>VLOOKUP(C144,技能辅助查询表,技能配置辅助表!$W$1,FALSE)</f>
        <v>5601</v>
      </c>
      <c r="AD144">
        <f t="shared" ca="1" si="79"/>
        <v>276.8753630180301</v>
      </c>
      <c r="AE144">
        <f>VLOOKUP(C144,技能辅助查询表,技能配置辅助表!$U$1,FALSE)</f>
        <v>4</v>
      </c>
      <c r="AF144">
        <f t="shared" ca="1" si="80"/>
        <v>9122240</v>
      </c>
      <c r="AG144">
        <f t="shared" ca="1" si="84"/>
        <v>64.489795918367349</v>
      </c>
      <c r="AH144">
        <f t="shared" ca="1" si="81"/>
        <v>2076.5652226352254</v>
      </c>
      <c r="AI144">
        <f ca="1">VLOOKUP(E144,伤害参考系!$C$4:$E$104,3,FALSE)*$AN$12</f>
        <v>13079.520489130437</v>
      </c>
      <c r="AJ144">
        <f>VLOOKUP(C144,技能辅助查询表,技能配置辅助表!$L$1,FALSE)</f>
        <v>1</v>
      </c>
      <c r="AK144">
        <f>VLOOKUP(C144,技能辅助查询表,技能配置辅助表!$AE$1,FALSE)</f>
        <v>66000113</v>
      </c>
    </row>
    <row r="145" spans="1:37" x14ac:dyDescent="0.15">
      <c r="A145" s="1">
        <f t="shared" ca="1" si="72"/>
        <v>9122241</v>
      </c>
      <c r="B145" s="1" t="str">
        <f t="shared" ca="1" si="57"/>
        <v>影袭·斩第2段</v>
      </c>
      <c r="C145" t="s">
        <v>152</v>
      </c>
      <c r="D145">
        <f t="shared" si="58"/>
        <v>1</v>
      </c>
      <c r="E145" s="42">
        <f t="shared" ca="1" si="73"/>
        <v>66</v>
      </c>
      <c r="F145" t="str">
        <f t="shared" ca="1" si="74"/>
        <v>第41级，共造成167.9%点伤害</v>
      </c>
      <c r="G145">
        <f t="shared" ca="1" si="75"/>
        <v>2</v>
      </c>
      <c r="H145">
        <f t="shared" si="59"/>
        <v>2</v>
      </c>
      <c r="I145" s="44">
        <f t="shared" ca="1" si="76"/>
        <v>41</v>
      </c>
      <c r="J145">
        <f t="shared" si="60"/>
        <v>2</v>
      </c>
      <c r="K145" s="36">
        <f t="shared" ca="1" si="61"/>
        <v>167.85714285714286</v>
      </c>
      <c r="L145" s="10">
        <f ca="1">AH145*VLOOKUP(C145,技能辅助查询表,技能配置辅助表!$T$1,FALSE)</f>
        <v>0</v>
      </c>
      <c r="M145">
        <f t="shared" ca="1" si="62"/>
        <v>4720</v>
      </c>
      <c r="N145" s="33">
        <f ca="1">CHOOSE(1,W145*U145,X145*'[1]0、经济设定'!$C$18)</f>
        <v>157960</v>
      </c>
      <c r="O145">
        <f t="shared" si="63"/>
        <v>2</v>
      </c>
      <c r="P145">
        <f t="shared" si="64"/>
        <v>1</v>
      </c>
      <c r="Q145">
        <f t="shared" si="65"/>
        <v>1</v>
      </c>
      <c r="R145" s="2">
        <f t="shared" si="66"/>
        <v>4</v>
      </c>
      <c r="S145" s="2">
        <f t="shared" si="67"/>
        <v>50</v>
      </c>
      <c r="T145" s="2">
        <f t="shared" si="68"/>
        <v>119.04761904761905</v>
      </c>
      <c r="U145" s="2">
        <f ca="1">VLOOKUP(E145,金币生产率!$A$2:$B$120,2,0)</f>
        <v>2872</v>
      </c>
      <c r="V145" s="2">
        <f t="shared" si="69"/>
        <v>119.04761904761905</v>
      </c>
      <c r="W145" s="45">
        <f t="shared" ca="1" si="82"/>
        <v>55</v>
      </c>
      <c r="X145" s="48">
        <f t="shared" ca="1" si="83"/>
        <v>788</v>
      </c>
      <c r="Y145">
        <f t="shared" si="70"/>
        <v>18</v>
      </c>
      <c r="Z145">
        <f t="shared" ca="1" si="77"/>
        <v>22</v>
      </c>
      <c r="AA145" t="str">
        <f t="shared" ca="1" si="78"/>
        <v>9122200.png</v>
      </c>
      <c r="AB145">
        <f t="shared" si="71"/>
        <v>20</v>
      </c>
      <c r="AC145">
        <f>VLOOKUP(C145,技能辅助查询表,技能配置辅助表!$W$1,FALSE)</f>
        <v>5601</v>
      </c>
      <c r="AD145">
        <f t="shared" ca="1" si="79"/>
        <v>320.84785186108957</v>
      </c>
      <c r="AE145">
        <f>VLOOKUP(C145,技能辅助查询表,技能配置辅助表!$U$1,FALSE)</f>
        <v>4</v>
      </c>
      <c r="AF145">
        <f t="shared" ca="1" si="80"/>
        <v>9122241</v>
      </c>
      <c r="AG145">
        <f t="shared" ca="1" si="84"/>
        <v>66.040816326530603</v>
      </c>
      <c r="AH145">
        <f t="shared" ca="1" si="81"/>
        <v>2364.1420663448707</v>
      </c>
      <c r="AI145">
        <f ca="1">VLOOKUP(E145,伤害参考系!$C$4:$E$104,3,FALSE)*$AN$12</f>
        <v>13664.798729096996</v>
      </c>
      <c r="AJ145">
        <f>VLOOKUP(C145,技能辅助查询表,技能配置辅助表!$L$1,FALSE)</f>
        <v>1</v>
      </c>
      <c r="AK145">
        <f>VLOOKUP(C145,技能辅助查询表,技能配置辅助表!$AE$1,FALSE)</f>
        <v>66000113</v>
      </c>
    </row>
    <row r="146" spans="1:37" x14ac:dyDescent="0.15">
      <c r="A146" s="1">
        <f t="shared" ca="1" si="72"/>
        <v>9122242</v>
      </c>
      <c r="B146" s="1" t="str">
        <f t="shared" ca="1" si="57"/>
        <v>影袭·斩第2段</v>
      </c>
      <c r="C146" t="s">
        <v>152</v>
      </c>
      <c r="D146">
        <f t="shared" si="58"/>
        <v>1</v>
      </c>
      <c r="E146" s="42">
        <f t="shared" ca="1" si="73"/>
        <v>68</v>
      </c>
      <c r="F146" t="str">
        <f t="shared" ca="1" si="74"/>
        <v>第42级，共造成169%点伤害</v>
      </c>
      <c r="G146">
        <f t="shared" ca="1" si="75"/>
        <v>2</v>
      </c>
      <c r="H146">
        <f t="shared" si="59"/>
        <v>2</v>
      </c>
      <c r="I146" s="44">
        <f t="shared" ca="1" si="76"/>
        <v>42</v>
      </c>
      <c r="J146">
        <f t="shared" si="60"/>
        <v>2</v>
      </c>
      <c r="K146" s="36">
        <f t="shared" ca="1" si="61"/>
        <v>169.04761904761904</v>
      </c>
      <c r="L146" s="10">
        <f ca="1">AH146*VLOOKUP(C146,技能辅助查询表,技能配置辅助表!$T$1,FALSE)</f>
        <v>0</v>
      </c>
      <c r="M146">
        <f t="shared" ca="1" si="62"/>
        <v>4640</v>
      </c>
      <c r="N146" s="33">
        <f ca="1">CHOOSE(1,W146*U146,X146*'[1]0、经济设定'!$C$18)</f>
        <v>177132</v>
      </c>
      <c r="O146">
        <f t="shared" si="63"/>
        <v>2</v>
      </c>
      <c r="P146">
        <f t="shared" si="64"/>
        <v>1</v>
      </c>
      <c r="Q146">
        <f t="shared" si="65"/>
        <v>1</v>
      </c>
      <c r="R146" s="2">
        <f t="shared" si="66"/>
        <v>4</v>
      </c>
      <c r="S146" s="2">
        <f t="shared" si="67"/>
        <v>50</v>
      </c>
      <c r="T146" s="2">
        <f t="shared" si="68"/>
        <v>119.04761904761905</v>
      </c>
      <c r="U146" s="2">
        <f ca="1">VLOOKUP(E146,金币生产率!$A$2:$B$120,2,0)</f>
        <v>3054</v>
      </c>
      <c r="V146" s="2">
        <f t="shared" si="69"/>
        <v>119.04761904761905</v>
      </c>
      <c r="W146" s="45">
        <f t="shared" ca="1" si="82"/>
        <v>58</v>
      </c>
      <c r="X146" s="48">
        <f t="shared" ca="1" si="83"/>
        <v>846</v>
      </c>
      <c r="Y146">
        <f t="shared" si="70"/>
        <v>18</v>
      </c>
      <c r="Z146">
        <f t="shared" ca="1" si="77"/>
        <v>24</v>
      </c>
      <c r="AA146" t="str">
        <f t="shared" ca="1" si="78"/>
        <v>9122200.png</v>
      </c>
      <c r="AB146">
        <f t="shared" si="71"/>
        <v>20</v>
      </c>
      <c r="AC146">
        <f>VLOOKUP(C146,技能辅助查询表,技能配置辅助表!$W$1,FALSE)</f>
        <v>5601</v>
      </c>
      <c r="AD146">
        <f t="shared" ca="1" si="79"/>
        <v>371.68947896952648</v>
      </c>
      <c r="AE146">
        <f>VLOOKUP(C146,技能辅助查询表,技能配置辅助表!$U$1,FALSE)</f>
        <v>4</v>
      </c>
      <c r="AF146">
        <f t="shared" ca="1" si="80"/>
        <v>9122242</v>
      </c>
      <c r="AG146">
        <f t="shared" ca="1" si="84"/>
        <v>67.591836734693885</v>
      </c>
      <c r="AH146">
        <f t="shared" ca="1" si="81"/>
        <v>2691.5445028827789</v>
      </c>
      <c r="AI146">
        <f ca="1">VLOOKUP(E146,伤害参考系!$C$4:$E$104,3,FALSE)*$AN$12</f>
        <v>14872.841096989978</v>
      </c>
      <c r="AJ146">
        <f>VLOOKUP(C146,技能辅助查询表,技能配置辅助表!$L$1,FALSE)</f>
        <v>1</v>
      </c>
      <c r="AK146">
        <f>VLOOKUP(C146,技能辅助查询表,技能配置辅助表!$AE$1,FALSE)</f>
        <v>66000113</v>
      </c>
    </row>
    <row r="147" spans="1:37" x14ac:dyDescent="0.15">
      <c r="A147" s="1">
        <f t="shared" ca="1" si="72"/>
        <v>9122243</v>
      </c>
      <c r="B147" s="1" t="str">
        <f t="shared" ca="1" si="57"/>
        <v>影袭·斩第2段</v>
      </c>
      <c r="C147" t="s">
        <v>152</v>
      </c>
      <c r="D147">
        <f t="shared" si="58"/>
        <v>1</v>
      </c>
      <c r="E147" s="42">
        <f t="shared" ca="1" si="73"/>
        <v>69</v>
      </c>
      <c r="F147" t="str">
        <f t="shared" ca="1" si="74"/>
        <v>第43级，共造成170.2%点伤害</v>
      </c>
      <c r="G147">
        <f t="shared" ca="1" si="75"/>
        <v>2</v>
      </c>
      <c r="H147">
        <f t="shared" si="59"/>
        <v>2</v>
      </c>
      <c r="I147" s="44">
        <f t="shared" ca="1" si="76"/>
        <v>43</v>
      </c>
      <c r="J147">
        <f t="shared" si="60"/>
        <v>2</v>
      </c>
      <c r="K147" s="36">
        <f t="shared" ca="1" si="61"/>
        <v>170.23809523809524</v>
      </c>
      <c r="L147" s="10">
        <f ca="1">AH147*VLOOKUP(C147,技能辅助查询表,技能配置辅助表!$T$1,FALSE)</f>
        <v>0</v>
      </c>
      <c r="M147">
        <f t="shared" ca="1" si="62"/>
        <v>4560</v>
      </c>
      <c r="N147" s="33">
        <f ca="1">CHOOSE(1,W147*U147,X147*'[1]0、经济设定'!$C$18)</f>
        <v>198261</v>
      </c>
      <c r="O147">
        <f t="shared" si="63"/>
        <v>2</v>
      </c>
      <c r="P147">
        <f t="shared" si="64"/>
        <v>1</v>
      </c>
      <c r="Q147">
        <f t="shared" si="65"/>
        <v>1</v>
      </c>
      <c r="R147" s="2">
        <f t="shared" si="66"/>
        <v>4</v>
      </c>
      <c r="S147" s="2">
        <f t="shared" si="67"/>
        <v>50</v>
      </c>
      <c r="T147" s="2">
        <f t="shared" si="68"/>
        <v>119.04761904761905</v>
      </c>
      <c r="U147" s="2">
        <f ca="1">VLOOKUP(E147,金币生产率!$A$2:$B$120,2,0)</f>
        <v>3147</v>
      </c>
      <c r="V147" s="2">
        <f t="shared" si="69"/>
        <v>119.04761904761905</v>
      </c>
      <c r="W147" s="45">
        <f t="shared" ca="1" si="82"/>
        <v>63</v>
      </c>
      <c r="X147" s="48">
        <f t="shared" ca="1" si="83"/>
        <v>909</v>
      </c>
      <c r="Y147">
        <f t="shared" si="70"/>
        <v>18</v>
      </c>
      <c r="Z147">
        <f t="shared" ca="1" si="77"/>
        <v>26</v>
      </c>
      <c r="AA147" t="str">
        <f t="shared" ca="1" si="78"/>
        <v>9122200.png</v>
      </c>
      <c r="AB147">
        <f t="shared" si="71"/>
        <v>20</v>
      </c>
      <c r="AC147">
        <f>VLOOKUP(C147,技能辅助查询表,技能配置辅助表!$W$1,FALSE)</f>
        <v>5601</v>
      </c>
      <c r="AD147">
        <f t="shared" ca="1" si="79"/>
        <v>430.45948377509148</v>
      </c>
      <c r="AE147">
        <f>VLOOKUP(C147,技能辅助查询表,技能配置辅助表!$U$1,FALSE)</f>
        <v>4</v>
      </c>
      <c r="AF147">
        <f t="shared" ca="1" si="80"/>
        <v>9122243</v>
      </c>
      <c r="AG147">
        <f t="shared" ca="1" si="84"/>
        <v>69.142857142857139</v>
      </c>
      <c r="AH147">
        <f t="shared" ca="1" si="81"/>
        <v>3064.2878506023458</v>
      </c>
      <c r="AI147">
        <f ca="1">VLOOKUP(E147,伤害参考系!$C$4:$E$104,3,FALSE)*$AN$12</f>
        <v>15495.605224916402</v>
      </c>
      <c r="AJ147">
        <f>VLOOKUP(C147,技能辅助查询表,技能配置辅助表!$L$1,FALSE)</f>
        <v>1</v>
      </c>
      <c r="AK147">
        <f>VLOOKUP(C147,技能辅助查询表,技能配置辅助表!$AE$1,FALSE)</f>
        <v>66000113</v>
      </c>
    </row>
    <row r="148" spans="1:37" x14ac:dyDescent="0.15">
      <c r="A148" s="1">
        <f t="shared" ca="1" si="72"/>
        <v>9122244</v>
      </c>
      <c r="B148" s="1" t="str">
        <f t="shared" ca="1" si="57"/>
        <v>影袭·斩第2段</v>
      </c>
      <c r="C148" t="s">
        <v>152</v>
      </c>
      <c r="D148">
        <f t="shared" si="58"/>
        <v>1</v>
      </c>
      <c r="E148" s="42">
        <f t="shared" ca="1" si="73"/>
        <v>71</v>
      </c>
      <c r="F148" t="str">
        <f t="shared" ca="1" si="74"/>
        <v>第44级，共造成171.4%点伤害</v>
      </c>
      <c r="G148">
        <f t="shared" ca="1" si="75"/>
        <v>2</v>
      </c>
      <c r="H148">
        <f t="shared" si="59"/>
        <v>2</v>
      </c>
      <c r="I148" s="44">
        <f t="shared" ca="1" si="76"/>
        <v>44</v>
      </c>
      <c r="J148">
        <f t="shared" si="60"/>
        <v>2</v>
      </c>
      <c r="K148" s="36">
        <f t="shared" ca="1" si="61"/>
        <v>171.42857142857144</v>
      </c>
      <c r="L148" s="10">
        <f ca="1">AH148*VLOOKUP(C148,技能辅助查询表,技能配置辅助表!$T$1,FALSE)</f>
        <v>0</v>
      </c>
      <c r="M148">
        <f t="shared" ca="1" si="62"/>
        <v>4480</v>
      </c>
      <c r="N148" s="33">
        <f ca="1">CHOOSE(1,W148*U148,X148*'[1]0、经济设定'!$C$18)</f>
        <v>223646</v>
      </c>
      <c r="O148">
        <f t="shared" si="63"/>
        <v>2</v>
      </c>
      <c r="P148">
        <f t="shared" si="64"/>
        <v>1</v>
      </c>
      <c r="Q148">
        <f t="shared" si="65"/>
        <v>1</v>
      </c>
      <c r="R148" s="2">
        <f t="shared" si="66"/>
        <v>4</v>
      </c>
      <c r="S148" s="2">
        <f t="shared" si="67"/>
        <v>50</v>
      </c>
      <c r="T148" s="2">
        <f t="shared" si="68"/>
        <v>119.04761904761905</v>
      </c>
      <c r="U148" s="2">
        <f ca="1">VLOOKUP(E148,金币生产率!$A$2:$B$120,2,0)</f>
        <v>3338</v>
      </c>
      <c r="V148" s="2">
        <f t="shared" si="69"/>
        <v>119.04761904761905</v>
      </c>
      <c r="W148" s="45">
        <f t="shared" ca="1" si="82"/>
        <v>67</v>
      </c>
      <c r="X148" s="48">
        <f t="shared" ca="1" si="83"/>
        <v>976</v>
      </c>
      <c r="Y148">
        <f t="shared" si="70"/>
        <v>18</v>
      </c>
      <c r="Z148">
        <f t="shared" ca="1" si="77"/>
        <v>27</v>
      </c>
      <c r="AA148" t="str">
        <f t="shared" ca="1" si="78"/>
        <v>9122200.png</v>
      </c>
      <c r="AB148">
        <f t="shared" si="71"/>
        <v>20</v>
      </c>
      <c r="AC148">
        <f>VLOOKUP(C148,技能辅助查询表,技能配置辅助表!$W$1,FALSE)</f>
        <v>5601</v>
      </c>
      <c r="AD148">
        <f t="shared" ca="1" si="79"/>
        <v>498.37874665282482</v>
      </c>
      <c r="AE148">
        <f>VLOOKUP(C148,技能辅助查询表,技能配置辅助表!$U$1,FALSE)</f>
        <v>4</v>
      </c>
      <c r="AF148">
        <f t="shared" ca="1" si="80"/>
        <v>9122244</v>
      </c>
      <c r="AG148">
        <f t="shared" ca="1" si="84"/>
        <v>70.693877551020407</v>
      </c>
      <c r="AH148">
        <f t="shared" ca="1" si="81"/>
        <v>3488.6512265697725</v>
      </c>
      <c r="AI148">
        <f ca="1">VLOOKUP(E148,伤害参考系!$C$4:$E$104,3,FALSE)*$AN$12</f>
        <v>16902.905438127098</v>
      </c>
      <c r="AJ148">
        <f>VLOOKUP(C148,技能辅助查询表,技能配置辅助表!$L$1,FALSE)</f>
        <v>1</v>
      </c>
      <c r="AK148">
        <f>VLOOKUP(C148,技能辅助查询表,技能配置辅助表!$AE$1,FALSE)</f>
        <v>66000113</v>
      </c>
    </row>
    <row r="149" spans="1:37" x14ac:dyDescent="0.15">
      <c r="A149" s="1">
        <f t="shared" ca="1" si="72"/>
        <v>9122245</v>
      </c>
      <c r="B149" s="1" t="str">
        <f t="shared" ca="1" si="57"/>
        <v>影袭·斩第2段</v>
      </c>
      <c r="C149" t="s">
        <v>152</v>
      </c>
      <c r="D149">
        <f t="shared" si="58"/>
        <v>1</v>
      </c>
      <c r="E149" s="42">
        <f t="shared" ca="1" si="73"/>
        <v>72</v>
      </c>
      <c r="F149" t="str">
        <f t="shared" ca="1" si="74"/>
        <v>第45级，共造成172.6%点伤害</v>
      </c>
      <c r="G149">
        <f t="shared" ca="1" si="75"/>
        <v>2</v>
      </c>
      <c r="H149">
        <f t="shared" si="59"/>
        <v>2</v>
      </c>
      <c r="I149" s="44">
        <f t="shared" ca="1" si="76"/>
        <v>45</v>
      </c>
      <c r="J149">
        <f t="shared" si="60"/>
        <v>2</v>
      </c>
      <c r="K149" s="36">
        <f t="shared" ca="1" si="61"/>
        <v>172.61904761904762</v>
      </c>
      <c r="L149" s="10">
        <f ca="1">AH149*VLOOKUP(C149,技能辅助查询表,技能配置辅助表!$T$1,FALSE)</f>
        <v>0</v>
      </c>
      <c r="M149">
        <f t="shared" ca="1" si="62"/>
        <v>4400</v>
      </c>
      <c r="N149" s="33">
        <f ca="1">CHOOSE(1,W149*U149,X149*'[1]0、经济设定'!$C$18)</f>
        <v>247320</v>
      </c>
      <c r="O149">
        <f t="shared" si="63"/>
        <v>2</v>
      </c>
      <c r="P149">
        <f t="shared" si="64"/>
        <v>1</v>
      </c>
      <c r="Q149">
        <f t="shared" si="65"/>
        <v>1</v>
      </c>
      <c r="R149" s="2">
        <f t="shared" si="66"/>
        <v>4</v>
      </c>
      <c r="S149" s="2">
        <f t="shared" si="67"/>
        <v>50</v>
      </c>
      <c r="T149" s="2">
        <f t="shared" si="68"/>
        <v>119.04761904761905</v>
      </c>
      <c r="U149" s="2">
        <f ca="1">VLOOKUP(E149,金币生产率!$A$2:$B$120,2,0)</f>
        <v>3435</v>
      </c>
      <c r="V149" s="2">
        <f t="shared" si="69"/>
        <v>119.04761904761905</v>
      </c>
      <c r="W149" s="45">
        <f t="shared" ca="1" si="82"/>
        <v>72</v>
      </c>
      <c r="X149" s="48">
        <f t="shared" ca="1" si="83"/>
        <v>1048</v>
      </c>
      <c r="Y149">
        <f t="shared" si="70"/>
        <v>18</v>
      </c>
      <c r="Z149">
        <f t="shared" ca="1" si="77"/>
        <v>29</v>
      </c>
      <c r="AA149" t="str">
        <f t="shared" ca="1" si="78"/>
        <v>9122200.png</v>
      </c>
      <c r="AB149">
        <f t="shared" si="71"/>
        <v>20</v>
      </c>
      <c r="AC149">
        <f>VLOOKUP(C149,技能辅助查询表,技能配置辅助表!$W$1,FALSE)</f>
        <v>5601</v>
      </c>
      <c r="AD149">
        <f t="shared" ca="1" si="79"/>
        <v>576.85424447184187</v>
      </c>
      <c r="AE149">
        <f>VLOOKUP(C149,技能辅助查询表,技能配置辅助表!$U$1,FALSE)</f>
        <v>4</v>
      </c>
      <c r="AF149">
        <f t="shared" ca="1" si="80"/>
        <v>9122245</v>
      </c>
      <c r="AG149">
        <f t="shared" ca="1" si="84"/>
        <v>72.244897959183675</v>
      </c>
      <c r="AH149">
        <f t="shared" ca="1" si="81"/>
        <v>3971.7833225930094</v>
      </c>
      <c r="AI149">
        <f ca="1">VLOOKUP(E149,伤害参考系!$C$4:$E$104,3,FALSE)*$AN$12</f>
        <v>17628.422312709041</v>
      </c>
      <c r="AJ149">
        <f>VLOOKUP(C149,技能辅助查询表,技能配置辅助表!$L$1,FALSE)</f>
        <v>1</v>
      </c>
      <c r="AK149">
        <f>VLOOKUP(C149,技能辅助查询表,技能配置辅助表!$AE$1,FALSE)</f>
        <v>66000113</v>
      </c>
    </row>
    <row r="150" spans="1:37" x14ac:dyDescent="0.15">
      <c r="A150" s="1">
        <f t="shared" ca="1" si="72"/>
        <v>9122246</v>
      </c>
      <c r="B150" s="1" t="str">
        <f t="shared" ca="1" si="57"/>
        <v>影袭·斩第2段</v>
      </c>
      <c r="C150" t="s">
        <v>152</v>
      </c>
      <c r="D150">
        <f t="shared" si="58"/>
        <v>1</v>
      </c>
      <c r="E150" s="42">
        <f t="shared" ca="1" si="73"/>
        <v>74</v>
      </c>
      <c r="F150" t="str">
        <f t="shared" ca="1" si="74"/>
        <v>第46级，共造成173.8%点伤害</v>
      </c>
      <c r="G150">
        <f t="shared" ca="1" si="75"/>
        <v>2</v>
      </c>
      <c r="H150">
        <f t="shared" si="59"/>
        <v>2</v>
      </c>
      <c r="I150" s="44">
        <f t="shared" ca="1" si="76"/>
        <v>46</v>
      </c>
      <c r="J150">
        <f t="shared" si="60"/>
        <v>2</v>
      </c>
      <c r="K150" s="36">
        <f t="shared" ca="1" si="61"/>
        <v>173.8095238095238</v>
      </c>
      <c r="L150" s="10">
        <f ca="1">AH150*VLOOKUP(C150,技能辅助查询表,技能配置辅助表!$T$1,FALSE)</f>
        <v>0</v>
      </c>
      <c r="M150">
        <f t="shared" ca="1" si="62"/>
        <v>4320</v>
      </c>
      <c r="N150" s="33">
        <f ca="1">CHOOSE(1,W150*U150,X150*'[1]0、经济设定'!$C$18)</f>
        <v>279818</v>
      </c>
      <c r="O150">
        <f t="shared" si="63"/>
        <v>2</v>
      </c>
      <c r="P150">
        <f t="shared" si="64"/>
        <v>1</v>
      </c>
      <c r="Q150">
        <f t="shared" si="65"/>
        <v>1</v>
      </c>
      <c r="R150" s="2">
        <f t="shared" si="66"/>
        <v>4</v>
      </c>
      <c r="S150" s="2">
        <f t="shared" si="67"/>
        <v>50</v>
      </c>
      <c r="T150" s="2">
        <f t="shared" si="68"/>
        <v>119.04761904761905</v>
      </c>
      <c r="U150" s="2">
        <f ca="1">VLOOKUP(E150,金币生产率!$A$2:$B$120,2,0)</f>
        <v>3634</v>
      </c>
      <c r="V150" s="2">
        <f t="shared" si="69"/>
        <v>119.04761904761905</v>
      </c>
      <c r="W150" s="45">
        <f t="shared" ca="1" si="82"/>
        <v>77</v>
      </c>
      <c r="X150" s="48">
        <f t="shared" ca="1" si="83"/>
        <v>1125</v>
      </c>
      <c r="Y150">
        <f t="shared" si="70"/>
        <v>18</v>
      </c>
      <c r="Z150">
        <f t="shared" ca="1" si="77"/>
        <v>31</v>
      </c>
      <c r="AA150" t="str">
        <f t="shared" ca="1" si="78"/>
        <v>9122200.png</v>
      </c>
      <c r="AB150">
        <f t="shared" si="71"/>
        <v>20</v>
      </c>
      <c r="AC150">
        <f>VLOOKUP(C150,技能辅助查询表,技能配置辅助表!$W$1,FALSE)</f>
        <v>5601</v>
      </c>
      <c r="AD150">
        <f t="shared" ca="1" si="79"/>
        <v>667.50717964200942</v>
      </c>
      <c r="AE150">
        <f>VLOOKUP(C150,技能辅助查询表,技能配置辅助表!$U$1,FALSE)</f>
        <v>4</v>
      </c>
      <c r="AF150">
        <f t="shared" ca="1" si="80"/>
        <v>9122246</v>
      </c>
      <c r="AG150">
        <f t="shared" ca="1" si="84"/>
        <v>73.795918367346943</v>
      </c>
      <c r="AH150">
        <f t="shared" ca="1" si="81"/>
        <v>4521.8228298329677</v>
      </c>
      <c r="AI150">
        <f ca="1">VLOOKUP(E150,伤害参考系!$C$4:$E$104,3,FALSE)*$AN$12</f>
        <v>19123.189597826095</v>
      </c>
      <c r="AJ150">
        <f>VLOOKUP(C150,技能辅助查询表,技能配置辅助表!$L$1,FALSE)</f>
        <v>1</v>
      </c>
      <c r="AK150">
        <f>VLOOKUP(C150,技能辅助查询表,技能配置辅助表!$AE$1,FALSE)</f>
        <v>66000113</v>
      </c>
    </row>
    <row r="151" spans="1:37" x14ac:dyDescent="0.15">
      <c r="A151" s="1">
        <f t="shared" ca="1" si="72"/>
        <v>9122247</v>
      </c>
      <c r="B151" s="1" t="str">
        <f t="shared" ca="1" si="57"/>
        <v>影袭·斩第2段</v>
      </c>
      <c r="C151" t="s">
        <v>152</v>
      </c>
      <c r="D151">
        <f t="shared" si="58"/>
        <v>1</v>
      </c>
      <c r="E151" s="42">
        <f t="shared" ca="1" si="73"/>
        <v>75</v>
      </c>
      <c r="F151" t="str">
        <f t="shared" ca="1" si="74"/>
        <v>第47级，共造成175%点伤害</v>
      </c>
      <c r="G151">
        <f t="shared" ca="1" si="75"/>
        <v>2</v>
      </c>
      <c r="H151">
        <f t="shared" si="59"/>
        <v>2</v>
      </c>
      <c r="I151" s="44">
        <f t="shared" ca="1" si="76"/>
        <v>47</v>
      </c>
      <c r="J151">
        <f t="shared" si="60"/>
        <v>2</v>
      </c>
      <c r="K151" s="36">
        <f t="shared" ca="1" si="61"/>
        <v>175</v>
      </c>
      <c r="L151" s="10">
        <f ca="1">AH151*VLOOKUP(C151,技能辅助查询表,技能配置辅助表!$T$1,FALSE)</f>
        <v>0</v>
      </c>
      <c r="M151">
        <f t="shared" ca="1" si="62"/>
        <v>4240</v>
      </c>
      <c r="N151" s="33">
        <f ca="1">CHOOSE(1,W151*U151,X151*'[1]0、经济设定'!$C$18)</f>
        <v>306270</v>
      </c>
      <c r="O151">
        <f t="shared" si="63"/>
        <v>2</v>
      </c>
      <c r="P151">
        <f t="shared" si="64"/>
        <v>1</v>
      </c>
      <c r="Q151">
        <f t="shared" si="65"/>
        <v>1</v>
      </c>
      <c r="R151" s="2">
        <f t="shared" si="66"/>
        <v>4</v>
      </c>
      <c r="S151" s="2">
        <f t="shared" si="67"/>
        <v>50</v>
      </c>
      <c r="T151" s="2">
        <f t="shared" si="68"/>
        <v>119.04761904761905</v>
      </c>
      <c r="U151" s="2">
        <f ca="1">VLOOKUP(E151,金币生产率!$A$2:$B$120,2,0)</f>
        <v>3735</v>
      </c>
      <c r="V151" s="2">
        <f t="shared" si="69"/>
        <v>119.04761904761905</v>
      </c>
      <c r="W151" s="45">
        <f t="shared" ca="1" si="82"/>
        <v>82</v>
      </c>
      <c r="X151" s="48">
        <f t="shared" ca="1" si="83"/>
        <v>1207</v>
      </c>
      <c r="Y151">
        <f t="shared" si="70"/>
        <v>18</v>
      </c>
      <c r="Z151">
        <f t="shared" ca="1" si="77"/>
        <v>33</v>
      </c>
      <c r="AA151" t="str">
        <f t="shared" ca="1" si="78"/>
        <v>9122200.png</v>
      </c>
      <c r="AB151">
        <f t="shared" si="71"/>
        <v>20</v>
      </c>
      <c r="AC151">
        <f>VLOOKUP(C151,技能辅助查询表,技能配置辅助表!$W$1,FALSE)</f>
        <v>5601</v>
      </c>
      <c r="AD151">
        <f t="shared" ca="1" si="79"/>
        <v>772.20533109481289</v>
      </c>
      <c r="AE151">
        <f>VLOOKUP(C151,技能辅助查询表,技能配置辅助表!$U$1,FALSE)</f>
        <v>4</v>
      </c>
      <c r="AF151">
        <f t="shared" ca="1" si="80"/>
        <v>9122247</v>
      </c>
      <c r="AG151">
        <f t="shared" ca="1" si="84"/>
        <v>75.34693877551021</v>
      </c>
      <c r="AH151">
        <f t="shared" ca="1" si="81"/>
        <v>5148.0355406320868</v>
      </c>
      <c r="AI151">
        <f ca="1">VLOOKUP(E151,伤害参考系!$C$4:$E$104,3,FALSE)*$AN$12</f>
        <v>19892.440008361213</v>
      </c>
      <c r="AJ151">
        <f>VLOOKUP(C151,技能辅助查询表,技能配置辅助表!$L$1,FALSE)</f>
        <v>1</v>
      </c>
      <c r="AK151">
        <f>VLOOKUP(C151,技能辅助查询表,技能配置辅助表!$AE$1,FALSE)</f>
        <v>66000113</v>
      </c>
    </row>
    <row r="152" spans="1:37" x14ac:dyDescent="0.15">
      <c r="A152" s="1">
        <f t="shared" ca="1" si="72"/>
        <v>9122248</v>
      </c>
      <c r="B152" s="1" t="str">
        <f t="shared" ca="1" si="57"/>
        <v>影袭·斩第2段</v>
      </c>
      <c r="C152" t="s">
        <v>152</v>
      </c>
      <c r="D152">
        <f t="shared" si="58"/>
        <v>1</v>
      </c>
      <c r="E152" s="42">
        <f t="shared" ca="1" si="73"/>
        <v>77</v>
      </c>
      <c r="F152" t="str">
        <f t="shared" ca="1" si="74"/>
        <v>第48级，共造成176.2%点伤害</v>
      </c>
      <c r="G152">
        <f t="shared" ca="1" si="75"/>
        <v>2</v>
      </c>
      <c r="H152">
        <f t="shared" si="59"/>
        <v>2</v>
      </c>
      <c r="I152" s="44">
        <f t="shared" ca="1" si="76"/>
        <v>48</v>
      </c>
      <c r="J152">
        <f t="shared" si="60"/>
        <v>2</v>
      </c>
      <c r="K152" s="36">
        <f t="shared" ca="1" si="61"/>
        <v>176.1904761904762</v>
      </c>
      <c r="L152" s="10">
        <f ca="1">AH152*VLOOKUP(C152,技能辅助查询表,技能配置辅助表!$T$1,FALSE)</f>
        <v>0</v>
      </c>
      <c r="M152">
        <f t="shared" ca="1" si="62"/>
        <v>4160</v>
      </c>
      <c r="N152" s="33">
        <f ca="1">CHOOSE(1,W152*U152,X152*'[1]0、经济设定'!$C$18)</f>
        <v>346896</v>
      </c>
      <c r="O152">
        <f t="shared" si="63"/>
        <v>2</v>
      </c>
      <c r="P152">
        <f t="shared" si="64"/>
        <v>1</v>
      </c>
      <c r="Q152">
        <f t="shared" si="65"/>
        <v>1</v>
      </c>
      <c r="R152" s="2">
        <f t="shared" si="66"/>
        <v>4</v>
      </c>
      <c r="S152" s="2">
        <f t="shared" si="67"/>
        <v>50</v>
      </c>
      <c r="T152" s="2">
        <f t="shared" si="68"/>
        <v>119.04761904761905</v>
      </c>
      <c r="U152" s="2">
        <f ca="1">VLOOKUP(E152,金币生产率!$A$2:$B$120,2,0)</f>
        <v>3942</v>
      </c>
      <c r="V152" s="2">
        <f t="shared" si="69"/>
        <v>119.04761904761905</v>
      </c>
      <c r="W152" s="45">
        <f t="shared" ca="1" si="82"/>
        <v>88</v>
      </c>
      <c r="X152" s="48">
        <f t="shared" ca="1" si="83"/>
        <v>1295</v>
      </c>
      <c r="Y152">
        <f t="shared" si="70"/>
        <v>18</v>
      </c>
      <c r="Z152">
        <f t="shared" ca="1" si="77"/>
        <v>36</v>
      </c>
      <c r="AA152" t="str">
        <f t="shared" ca="1" si="78"/>
        <v>9122200.png</v>
      </c>
      <c r="AB152">
        <f t="shared" si="71"/>
        <v>20</v>
      </c>
      <c r="AC152">
        <f>VLOOKUP(C152,技能辅助查询表,技能配置辅助表!$W$1,FALSE)</f>
        <v>5601</v>
      </c>
      <c r="AD152">
        <f t="shared" ca="1" si="79"/>
        <v>893.10025708716933</v>
      </c>
      <c r="AE152">
        <f>VLOOKUP(C152,技能辅助查询表,技能配置辅助表!$U$1,FALSE)</f>
        <v>4</v>
      </c>
      <c r="AF152">
        <f t="shared" ca="1" si="80"/>
        <v>9122248</v>
      </c>
      <c r="AG152">
        <f t="shared" ca="1" si="84"/>
        <v>76.897959183673464</v>
      </c>
      <c r="AH152">
        <f t="shared" ca="1" si="81"/>
        <v>5860.970437134547</v>
      </c>
      <c r="AI152">
        <f ca="1">VLOOKUP(E152,伤害参考系!$C$4:$E$104,3,FALSE)*$AN$12</f>
        <v>21474.674365384624</v>
      </c>
      <c r="AJ152">
        <f>VLOOKUP(C152,技能辅助查询表,技能配置辅助表!$L$1,FALSE)</f>
        <v>1</v>
      </c>
      <c r="AK152">
        <f>VLOOKUP(C152,技能辅助查询表,技能配置辅助表!$AE$1,FALSE)</f>
        <v>66000113</v>
      </c>
    </row>
    <row r="153" spans="1:37" x14ac:dyDescent="0.15">
      <c r="A153" s="1">
        <f t="shared" ca="1" si="72"/>
        <v>9122249</v>
      </c>
      <c r="B153" s="1" t="str">
        <f t="shared" ca="1" si="57"/>
        <v>影袭·斩第2段</v>
      </c>
      <c r="C153" t="s">
        <v>152</v>
      </c>
      <c r="D153">
        <f t="shared" si="58"/>
        <v>1</v>
      </c>
      <c r="E153" s="42">
        <f t="shared" ca="1" si="73"/>
        <v>78</v>
      </c>
      <c r="F153" t="str">
        <f t="shared" ca="1" si="74"/>
        <v>第49级，共造成177.4%点伤害</v>
      </c>
      <c r="G153">
        <f t="shared" ca="1" si="75"/>
        <v>2</v>
      </c>
      <c r="H153">
        <f t="shared" si="59"/>
        <v>2</v>
      </c>
      <c r="I153" s="44">
        <f t="shared" ca="1" si="76"/>
        <v>49</v>
      </c>
      <c r="J153">
        <f t="shared" si="60"/>
        <v>2</v>
      </c>
      <c r="K153" s="36">
        <f t="shared" ca="1" si="61"/>
        <v>177.38095238095238</v>
      </c>
      <c r="L153" s="10">
        <f ca="1">AH153*VLOOKUP(C153,技能辅助查询表,技能配置辅助表!$T$1,FALSE)</f>
        <v>0</v>
      </c>
      <c r="M153">
        <f t="shared" ca="1" si="62"/>
        <v>4080</v>
      </c>
      <c r="N153" s="33">
        <f ca="1">CHOOSE(1,W153*U153,X153*'[1]0、经济设定'!$C$18)</f>
        <v>380418</v>
      </c>
      <c r="O153">
        <f t="shared" si="63"/>
        <v>2</v>
      </c>
      <c r="P153">
        <f t="shared" si="64"/>
        <v>1</v>
      </c>
      <c r="Q153">
        <f t="shared" si="65"/>
        <v>1</v>
      </c>
      <c r="R153" s="2">
        <f t="shared" si="66"/>
        <v>4</v>
      </c>
      <c r="S153" s="2">
        <f t="shared" si="67"/>
        <v>50</v>
      </c>
      <c r="T153" s="2">
        <f t="shared" si="68"/>
        <v>119.04761904761905</v>
      </c>
      <c r="U153" s="2">
        <f ca="1">VLOOKUP(E153,金币生产率!$A$2:$B$120,2,0)</f>
        <v>4047</v>
      </c>
      <c r="V153" s="2">
        <f t="shared" si="69"/>
        <v>119.04761904761905</v>
      </c>
      <c r="W153" s="45">
        <f t="shared" ca="1" si="82"/>
        <v>94</v>
      </c>
      <c r="X153" s="48">
        <f t="shared" ca="1" si="83"/>
        <v>1389</v>
      </c>
      <c r="Y153">
        <f t="shared" si="70"/>
        <v>18</v>
      </c>
      <c r="Z153">
        <f t="shared" ca="1" si="77"/>
        <v>38</v>
      </c>
      <c r="AA153" t="str">
        <f t="shared" ca="1" si="78"/>
        <v>9122200.png</v>
      </c>
      <c r="AB153">
        <f t="shared" si="71"/>
        <v>20</v>
      </c>
      <c r="AC153">
        <f>VLOOKUP(C153,技能辅助查询表,技能配置辅助表!$W$1,FALSE)</f>
        <v>5601</v>
      </c>
      <c r="AD153">
        <f t="shared" ca="1" si="79"/>
        <v>1032.6700732087068</v>
      </c>
      <c r="AE153">
        <f>VLOOKUP(C153,技能辅助查询表,技能配置辅助表!$U$1,FALSE)</f>
        <v>4</v>
      </c>
      <c r="AF153">
        <f t="shared" ca="1" si="80"/>
        <v>9122249</v>
      </c>
      <c r="AG153">
        <f t="shared" ca="1" si="84"/>
        <v>78.448979591836732</v>
      </c>
      <c r="AH153">
        <f t="shared" ca="1" si="81"/>
        <v>6672.6373961177951</v>
      </c>
      <c r="AI153">
        <f ca="1">VLOOKUP(E153,伤害参考系!$C$4:$E$104,3,FALSE)*$AN$12</f>
        <v>22287.658311872914</v>
      </c>
      <c r="AJ153">
        <f>VLOOKUP(C153,技能辅助查询表,技能配置辅助表!$L$1,FALSE)</f>
        <v>1</v>
      </c>
      <c r="AK153">
        <f>VLOOKUP(C153,技能辅助查询表,技能配置辅助表!$AE$1,FALSE)</f>
        <v>66000113</v>
      </c>
    </row>
    <row r="154" spans="1:37" x14ac:dyDescent="0.15">
      <c r="A154" s="1">
        <f t="shared" ca="1" si="72"/>
        <v>9122250</v>
      </c>
      <c r="B154" s="1" t="str">
        <f t="shared" ca="1" si="57"/>
        <v>影袭·斩第2段</v>
      </c>
      <c r="C154" t="s">
        <v>152</v>
      </c>
      <c r="D154">
        <f t="shared" si="58"/>
        <v>1</v>
      </c>
      <c r="E154" s="42">
        <f t="shared" ca="1" si="73"/>
        <v>80</v>
      </c>
      <c r="F154" t="str">
        <f t="shared" ca="1" si="74"/>
        <v>第50级，共造成178.6%点伤害</v>
      </c>
      <c r="G154">
        <f t="shared" ca="1" si="75"/>
        <v>2</v>
      </c>
      <c r="H154">
        <f t="shared" si="59"/>
        <v>2</v>
      </c>
      <c r="I154" s="44">
        <f t="shared" ca="1" si="76"/>
        <v>50</v>
      </c>
      <c r="J154">
        <f t="shared" si="60"/>
        <v>2</v>
      </c>
      <c r="K154" s="36">
        <f t="shared" ca="1" si="61"/>
        <v>178.57142857142858</v>
      </c>
      <c r="L154" s="10">
        <f ca="1">AH154*VLOOKUP(C154,技能辅助查询表,技能配置辅助表!$T$1,FALSE)</f>
        <v>0</v>
      </c>
      <c r="M154">
        <f t="shared" ca="1" si="62"/>
        <v>4000</v>
      </c>
      <c r="N154" s="33">
        <f ca="1">CHOOSE(1,W154*U154,X154*'[1]0、经济设定'!$C$18)</f>
        <v>430462</v>
      </c>
      <c r="O154">
        <f t="shared" si="63"/>
        <v>2</v>
      </c>
      <c r="P154">
        <f t="shared" si="64"/>
        <v>1</v>
      </c>
      <c r="Q154">
        <f t="shared" si="65"/>
        <v>1</v>
      </c>
      <c r="R154" s="2">
        <f t="shared" si="66"/>
        <v>4</v>
      </c>
      <c r="S154" s="2">
        <f t="shared" si="67"/>
        <v>50</v>
      </c>
      <c r="T154" s="2">
        <f t="shared" si="68"/>
        <v>119.04761904761905</v>
      </c>
      <c r="U154" s="2">
        <f ca="1">VLOOKUP(E154,金币生产率!$A$2:$B$120,2,0)</f>
        <v>4262</v>
      </c>
      <c r="V154" s="2">
        <f t="shared" si="69"/>
        <v>119.04761904761905</v>
      </c>
      <c r="W154" s="45">
        <f t="shared" ca="1" si="82"/>
        <v>101</v>
      </c>
      <c r="X154" s="48">
        <f t="shared" ca="1" si="83"/>
        <v>1490</v>
      </c>
      <c r="Y154">
        <f t="shared" si="70"/>
        <v>18</v>
      </c>
      <c r="Z154">
        <f t="shared" ca="1" si="77"/>
        <v>41</v>
      </c>
      <c r="AA154" t="str">
        <f t="shared" ca="1" si="78"/>
        <v>9122200.png</v>
      </c>
      <c r="AB154">
        <f t="shared" si="71"/>
        <v>20</v>
      </c>
      <c r="AC154">
        <f>VLOOKUP(C154,技能辅助查询表,技能配置辅助表!$W$1,FALSE)</f>
        <v>5601</v>
      </c>
      <c r="AD154">
        <f t="shared" ca="1" si="79"/>
        <v>1193.7686362792215</v>
      </c>
      <c r="AE154">
        <f>VLOOKUP(C154,技能辅助查询表,技能配置辅助表!$U$1,FALSE)</f>
        <v>4</v>
      </c>
      <c r="AF154">
        <f t="shared" ca="1" si="80"/>
        <v>9122250</v>
      </c>
      <c r="AG154">
        <f t="shared" ca="1" si="84"/>
        <v>80</v>
      </c>
      <c r="AH154">
        <f t="shared" ca="1" si="81"/>
        <v>7596.7095035950451</v>
      </c>
      <c r="AI154">
        <f ca="1">VLOOKUP(E154,伤害参考系!$C$4:$E$104,3,FALSE)*$AN$12</f>
        <v>24028.87424749164</v>
      </c>
      <c r="AJ154">
        <f>VLOOKUP(C154,技能辅助查询表,技能配置辅助表!$L$1,FALSE)</f>
        <v>1</v>
      </c>
      <c r="AK154">
        <f>VLOOKUP(C154,技能辅助查询表,技能配置辅助表!$AE$1,FALSE)</f>
        <v>66000113</v>
      </c>
    </row>
    <row r="155" spans="1:37" x14ac:dyDescent="0.15">
      <c r="A155" s="1">
        <f t="shared" ca="1" si="72"/>
        <v>1</v>
      </c>
      <c r="B155" s="1" t="str">
        <f t="shared" ca="1" si="57"/>
        <v>影袭·斩</v>
      </c>
      <c r="C155" t="s">
        <v>153</v>
      </c>
      <c r="D155">
        <f t="shared" si="58"/>
        <v>1</v>
      </c>
      <c r="E155" s="42">
        <f t="shared" ca="1" si="73"/>
        <v>4</v>
      </c>
      <c r="F155" t="str">
        <f t="shared" ca="1" si="74"/>
        <v>第0级，共造成119%点伤害</v>
      </c>
      <c r="G155">
        <f t="shared" ca="1" si="75"/>
        <v>0</v>
      </c>
      <c r="H155">
        <f t="shared" si="59"/>
        <v>3</v>
      </c>
      <c r="I155" s="44">
        <f t="shared" ca="1" si="76"/>
        <v>0</v>
      </c>
      <c r="J155">
        <f t="shared" si="60"/>
        <v>2</v>
      </c>
      <c r="K155" s="36">
        <f t="shared" ca="1" si="61"/>
        <v>119.04761904761905</v>
      </c>
      <c r="L155" s="10">
        <f ca="1">AH155*VLOOKUP(C155,技能辅助查询表,技能配置辅助表!$T$1,FALSE)</f>
        <v>0</v>
      </c>
      <c r="M155">
        <f t="shared" ca="1" si="62"/>
        <v>8000</v>
      </c>
      <c r="N155" s="33">
        <f ca="1">CHOOSE(1,W155*U155,X155*'[1]0、经济设定'!$C$18)</f>
        <v>0</v>
      </c>
      <c r="O155">
        <f t="shared" si="63"/>
        <v>2</v>
      </c>
      <c r="P155">
        <f t="shared" si="64"/>
        <v>1</v>
      </c>
      <c r="Q155">
        <f t="shared" si="65"/>
        <v>1</v>
      </c>
      <c r="R155" s="2">
        <f t="shared" si="66"/>
        <v>7</v>
      </c>
      <c r="S155" s="2">
        <f t="shared" si="67"/>
        <v>50</v>
      </c>
      <c r="T155" s="2">
        <f t="shared" si="68"/>
        <v>119.04761904761905</v>
      </c>
      <c r="U155" s="2">
        <f ca="1">VLOOKUP(E155,金币生产率!$A$2:$B$120,2,0)</f>
        <v>68</v>
      </c>
      <c r="V155" s="2">
        <f t="shared" si="69"/>
        <v>119.04761904761905</v>
      </c>
      <c r="W155" s="45">
        <f t="shared" ca="1" si="82"/>
        <v>0</v>
      </c>
      <c r="X155" s="48">
        <f t="shared" ca="1" si="83"/>
        <v>0</v>
      </c>
      <c r="Y155">
        <f t="shared" si="70"/>
        <v>18</v>
      </c>
      <c r="Z155">
        <f t="shared" ca="1" si="77"/>
        <v>0</v>
      </c>
      <c r="AA155" t="str">
        <f t="shared" ca="1" si="78"/>
        <v>9122300.png</v>
      </c>
      <c r="AB155">
        <f t="shared" si="71"/>
        <v>20</v>
      </c>
      <c r="AC155">
        <f>VLOOKUP(C155,技能辅助查询表,技能配置辅助表!$W$1,FALSE)</f>
        <v>5602</v>
      </c>
      <c r="AD155">
        <f t="shared" ca="1" si="79"/>
        <v>0.44166857142857163</v>
      </c>
      <c r="AE155">
        <f>VLOOKUP(C155,技能辅助查询表,技能配置辅助表!$U$1,FALSE)</f>
        <v>4</v>
      </c>
      <c r="AF155">
        <f t="shared" ca="1" si="80"/>
        <v>9122300</v>
      </c>
      <c r="AG155">
        <f t="shared" ca="1" si="84"/>
        <v>0</v>
      </c>
      <c r="AH155">
        <f t="shared" ca="1" si="81"/>
        <v>11.5938</v>
      </c>
      <c r="AI155">
        <f ca="1">VLOOKUP(E155,伤害参考系!$C$4:$E$104,3,FALSE)*$AN$12</f>
        <v>50.4</v>
      </c>
      <c r="AJ155">
        <f>VLOOKUP(C155,技能辅助查询表,技能配置辅助表!$L$1,FALSE)</f>
        <v>1</v>
      </c>
      <c r="AK155">
        <f>VLOOKUP(C155,技能辅助查询表,技能配置辅助表!$AE$1,FALSE)</f>
        <v>66000113</v>
      </c>
    </row>
    <row r="156" spans="1:37" x14ac:dyDescent="0.15">
      <c r="A156" s="1">
        <f t="shared" ca="1" si="72"/>
        <v>9122301</v>
      </c>
      <c r="B156" s="1" t="str">
        <f t="shared" ca="1" si="57"/>
        <v>影袭·斩第3段</v>
      </c>
      <c r="C156" t="s">
        <v>153</v>
      </c>
      <c r="D156">
        <f t="shared" si="58"/>
        <v>1</v>
      </c>
      <c r="E156" s="42">
        <f t="shared" ca="1" si="73"/>
        <v>4</v>
      </c>
      <c r="F156" t="str">
        <f t="shared" ca="1" si="74"/>
        <v>第1级，共造成119%点伤害</v>
      </c>
      <c r="G156">
        <f t="shared" ca="1" si="75"/>
        <v>3</v>
      </c>
      <c r="H156">
        <f t="shared" si="59"/>
        <v>3</v>
      </c>
      <c r="I156" s="44">
        <f t="shared" ca="1" si="76"/>
        <v>1</v>
      </c>
      <c r="J156">
        <f t="shared" si="60"/>
        <v>2</v>
      </c>
      <c r="K156" s="36">
        <f t="shared" ca="1" si="61"/>
        <v>119.04761904761905</v>
      </c>
      <c r="L156" s="10">
        <f ca="1">AH156*VLOOKUP(C156,技能辅助查询表,技能配置辅助表!$T$1,FALSE)</f>
        <v>0</v>
      </c>
      <c r="M156">
        <f t="shared" ca="1" si="62"/>
        <v>8000</v>
      </c>
      <c r="N156" s="33">
        <f ca="1">CHOOSE(1,W156*U156,X156*'[1]0、经济设定'!$C$18)</f>
        <v>272</v>
      </c>
      <c r="O156">
        <f t="shared" si="63"/>
        <v>2</v>
      </c>
      <c r="P156">
        <f t="shared" si="64"/>
        <v>1</v>
      </c>
      <c r="Q156">
        <f t="shared" si="65"/>
        <v>1</v>
      </c>
      <c r="R156" s="2">
        <f t="shared" si="66"/>
        <v>7</v>
      </c>
      <c r="S156" s="2">
        <f t="shared" si="67"/>
        <v>50</v>
      </c>
      <c r="T156" s="2">
        <f t="shared" si="68"/>
        <v>119.04761904761905</v>
      </c>
      <c r="U156" s="2">
        <f ca="1">VLOOKUP(E156,金币生产率!$A$2:$B$120,2,0)</f>
        <v>68</v>
      </c>
      <c r="V156" s="2">
        <f t="shared" si="69"/>
        <v>119.04761904761905</v>
      </c>
      <c r="W156" s="45">
        <f t="shared" ca="1" si="82"/>
        <v>4</v>
      </c>
      <c r="X156" s="48">
        <f t="shared" ca="1" si="83"/>
        <v>4</v>
      </c>
      <c r="Y156">
        <f t="shared" si="70"/>
        <v>18</v>
      </c>
      <c r="Z156">
        <f t="shared" ca="1" si="77"/>
        <v>0</v>
      </c>
      <c r="AA156" t="str">
        <f t="shared" ca="1" si="78"/>
        <v>9122300.png</v>
      </c>
      <c r="AB156">
        <f t="shared" si="71"/>
        <v>20</v>
      </c>
      <c r="AC156">
        <f>VLOOKUP(C156,技能辅助查询表,技能配置辅助表!$W$1,FALSE)</f>
        <v>5602</v>
      </c>
      <c r="AD156">
        <f t="shared" ca="1" si="79"/>
        <v>0.50283383238579415</v>
      </c>
      <c r="AE156">
        <f>VLOOKUP(C156,技能辅助查询表,技能配置辅助表!$U$1,FALSE)</f>
        <v>4</v>
      </c>
      <c r="AF156">
        <f t="shared" ca="1" si="80"/>
        <v>9122301</v>
      </c>
      <c r="AG156">
        <f t="shared" ca="1" si="84"/>
        <v>7</v>
      </c>
      <c r="AH156">
        <f t="shared" ca="1" si="81"/>
        <v>13.199388100127095</v>
      </c>
      <c r="AI156">
        <f ca="1">VLOOKUP(E156,伤害参考系!$C$4:$E$104,3,FALSE)*$AN$12</f>
        <v>50.4</v>
      </c>
      <c r="AJ156">
        <f>VLOOKUP(C156,技能辅助查询表,技能配置辅助表!$L$1,FALSE)</f>
        <v>1</v>
      </c>
      <c r="AK156">
        <f>VLOOKUP(C156,技能辅助查询表,技能配置辅助表!$AE$1,FALSE)</f>
        <v>66000113</v>
      </c>
    </row>
    <row r="157" spans="1:37" x14ac:dyDescent="0.15">
      <c r="A157" s="1">
        <f t="shared" ca="1" si="72"/>
        <v>9122302</v>
      </c>
      <c r="B157" s="1" t="str">
        <f t="shared" ca="1" si="57"/>
        <v>影袭·斩第3段</v>
      </c>
      <c r="C157" t="s">
        <v>153</v>
      </c>
      <c r="D157">
        <f t="shared" si="58"/>
        <v>1</v>
      </c>
      <c r="E157" s="42">
        <f t="shared" ca="1" si="73"/>
        <v>10</v>
      </c>
      <c r="F157" t="str">
        <f t="shared" ca="1" si="74"/>
        <v>第2级，共造成121.4%点伤害</v>
      </c>
      <c r="G157">
        <f t="shared" ca="1" si="75"/>
        <v>3</v>
      </c>
      <c r="H157">
        <f t="shared" si="59"/>
        <v>3</v>
      </c>
      <c r="I157" s="44">
        <f t="shared" ca="1" si="76"/>
        <v>2</v>
      </c>
      <c r="J157">
        <f t="shared" si="60"/>
        <v>2</v>
      </c>
      <c r="K157" s="36">
        <f t="shared" ca="1" si="61"/>
        <v>121.42857142857143</v>
      </c>
      <c r="L157" s="10">
        <f ca="1">AH157*VLOOKUP(C157,技能辅助查询表,技能配置辅助表!$T$1,FALSE)</f>
        <v>0</v>
      </c>
      <c r="M157">
        <f t="shared" ca="1" si="62"/>
        <v>7840</v>
      </c>
      <c r="N157" s="33">
        <f ca="1">CHOOSE(1,W157*U157,X157*'[1]0、经济设定'!$C$18)</f>
        <v>416</v>
      </c>
      <c r="O157">
        <f t="shared" si="63"/>
        <v>2</v>
      </c>
      <c r="P157">
        <f t="shared" si="64"/>
        <v>1</v>
      </c>
      <c r="Q157">
        <f t="shared" si="65"/>
        <v>1</v>
      </c>
      <c r="R157" s="2">
        <f t="shared" si="66"/>
        <v>7</v>
      </c>
      <c r="S157" s="2">
        <f t="shared" si="67"/>
        <v>50</v>
      </c>
      <c r="T157" s="2">
        <f t="shared" si="68"/>
        <v>119.04761904761905</v>
      </c>
      <c r="U157" s="2">
        <f ca="1">VLOOKUP(E157,金币生产率!$A$2:$B$120,2,0)</f>
        <v>104</v>
      </c>
      <c r="V157" s="2">
        <f t="shared" si="69"/>
        <v>119.04761904761905</v>
      </c>
      <c r="W157" s="45">
        <f t="shared" ca="1" si="82"/>
        <v>4</v>
      </c>
      <c r="X157" s="48">
        <f t="shared" ca="1" si="83"/>
        <v>8</v>
      </c>
      <c r="Y157">
        <f t="shared" si="70"/>
        <v>18</v>
      </c>
      <c r="Z157">
        <f t="shared" ca="1" si="77"/>
        <v>0</v>
      </c>
      <c r="AA157" t="str">
        <f t="shared" ca="1" si="78"/>
        <v>9122300.png</v>
      </c>
      <c r="AB157">
        <f t="shared" si="71"/>
        <v>20</v>
      </c>
      <c r="AC157">
        <f>VLOOKUP(C157,技能辅助查询表,技能配置辅助表!$W$1,FALSE)</f>
        <v>5602</v>
      </c>
      <c r="AD157">
        <f t="shared" ca="1" si="79"/>
        <v>0.64402838296987608</v>
      </c>
      <c r="AE157">
        <f>VLOOKUP(C157,技能辅助查询表,技能配置辅助表!$U$1,FALSE)</f>
        <v>4</v>
      </c>
      <c r="AF157">
        <f t="shared" ca="1" si="80"/>
        <v>9122302</v>
      </c>
      <c r="AG157">
        <f t="shared" ca="1" si="84"/>
        <v>8.4897959183673475</v>
      </c>
      <c r="AH157">
        <f t="shared" ca="1" si="81"/>
        <v>15.027328935963775</v>
      </c>
      <c r="AI157">
        <f ca="1">VLOOKUP(E157,伤害参考系!$C$4:$E$104,3,FALSE)*$AN$12</f>
        <v>177.55434782608697</v>
      </c>
      <c r="AJ157">
        <f>VLOOKUP(C157,技能辅助查询表,技能配置辅助表!$L$1,FALSE)</f>
        <v>1</v>
      </c>
      <c r="AK157">
        <f>VLOOKUP(C157,技能辅助查询表,技能配置辅助表!$AE$1,FALSE)</f>
        <v>66000113</v>
      </c>
    </row>
    <row r="158" spans="1:37" x14ac:dyDescent="0.15">
      <c r="A158" s="1">
        <f t="shared" ca="1" si="72"/>
        <v>9122303</v>
      </c>
      <c r="B158" s="1" t="str">
        <f t="shared" ca="1" si="57"/>
        <v>影袭·斩第3段</v>
      </c>
      <c r="C158" t="s">
        <v>153</v>
      </c>
      <c r="D158">
        <f t="shared" si="58"/>
        <v>1</v>
      </c>
      <c r="E158" s="42">
        <f t="shared" ca="1" si="73"/>
        <v>11</v>
      </c>
      <c r="F158" t="str">
        <f t="shared" ca="1" si="74"/>
        <v>第3级，共造成122.6%点伤害</v>
      </c>
      <c r="G158">
        <f t="shared" ca="1" si="75"/>
        <v>3</v>
      </c>
      <c r="H158">
        <f t="shared" si="59"/>
        <v>3</v>
      </c>
      <c r="I158" s="44">
        <f t="shared" ca="1" si="76"/>
        <v>3</v>
      </c>
      <c r="J158">
        <f t="shared" si="60"/>
        <v>2</v>
      </c>
      <c r="K158" s="36">
        <f t="shared" ca="1" si="61"/>
        <v>122.61904761904762</v>
      </c>
      <c r="L158" s="10">
        <f ca="1">AH158*VLOOKUP(C158,技能辅助查询表,技能配置辅助表!$T$1,FALSE)</f>
        <v>0</v>
      </c>
      <c r="M158">
        <f t="shared" ca="1" si="62"/>
        <v>7760</v>
      </c>
      <c r="N158" s="33">
        <f ca="1">CHOOSE(1,W158*U158,X158*'[1]0、经济设定'!$C$18)</f>
        <v>440</v>
      </c>
      <c r="O158">
        <f t="shared" si="63"/>
        <v>2</v>
      </c>
      <c r="P158">
        <f t="shared" si="64"/>
        <v>1</v>
      </c>
      <c r="Q158">
        <f t="shared" si="65"/>
        <v>1</v>
      </c>
      <c r="R158" s="2">
        <f t="shared" si="66"/>
        <v>7</v>
      </c>
      <c r="S158" s="2">
        <f t="shared" si="67"/>
        <v>50</v>
      </c>
      <c r="T158" s="2">
        <f t="shared" si="68"/>
        <v>119.04761904761905</v>
      </c>
      <c r="U158" s="2">
        <f ca="1">VLOOKUP(E158,金币生产率!$A$2:$B$120,2,0)</f>
        <v>110</v>
      </c>
      <c r="V158" s="2">
        <f t="shared" si="69"/>
        <v>119.04761904761905</v>
      </c>
      <c r="W158" s="45">
        <f t="shared" ca="1" si="82"/>
        <v>4</v>
      </c>
      <c r="X158" s="48">
        <f t="shared" ca="1" si="83"/>
        <v>12</v>
      </c>
      <c r="Y158">
        <f t="shared" si="70"/>
        <v>18</v>
      </c>
      <c r="Z158">
        <f t="shared" ca="1" si="77"/>
        <v>0</v>
      </c>
      <c r="AA158" t="str">
        <f t="shared" ca="1" si="78"/>
        <v>9122300.png</v>
      </c>
      <c r="AB158">
        <f t="shared" si="71"/>
        <v>20</v>
      </c>
      <c r="AC158">
        <f>VLOOKUP(C158,技能辅助查询表,技能配置辅助表!$W$1,FALSE)</f>
        <v>5602</v>
      </c>
      <c r="AD158">
        <f t="shared" ca="1" si="79"/>
        <v>0.77395212628980237</v>
      </c>
      <c r="AE158">
        <f>VLOOKUP(C158,技能辅助查询表,技能配置辅助表!$U$1,FALSE)</f>
        <v>4</v>
      </c>
      <c r="AF158">
        <f t="shared" ca="1" si="80"/>
        <v>9122303</v>
      </c>
      <c r="AG158">
        <f t="shared" ca="1" si="84"/>
        <v>9.979591836734695</v>
      </c>
      <c r="AH158">
        <f t="shared" ca="1" si="81"/>
        <v>17.108415423248271</v>
      </c>
      <c r="AI158">
        <f ca="1">VLOOKUP(E158,伤害参考系!$C$4:$E$104,3,FALSE)*$AN$12</f>
        <v>212.08059782608694</v>
      </c>
      <c r="AJ158">
        <f>VLOOKUP(C158,技能辅助查询表,技能配置辅助表!$L$1,FALSE)</f>
        <v>1</v>
      </c>
      <c r="AK158">
        <f>VLOOKUP(C158,技能辅助查询表,技能配置辅助表!$AE$1,FALSE)</f>
        <v>66000113</v>
      </c>
    </row>
    <row r="159" spans="1:37" x14ac:dyDescent="0.15">
      <c r="A159" s="1">
        <f t="shared" ca="1" si="72"/>
        <v>9122304</v>
      </c>
      <c r="B159" s="1" t="str">
        <f t="shared" ca="1" si="57"/>
        <v>影袭·斩第3段</v>
      </c>
      <c r="C159" t="s">
        <v>153</v>
      </c>
      <c r="D159">
        <f t="shared" si="58"/>
        <v>1</v>
      </c>
      <c r="E159" s="42">
        <f t="shared" ca="1" si="73"/>
        <v>13</v>
      </c>
      <c r="F159" t="str">
        <f t="shared" ca="1" si="74"/>
        <v>第4级，共造成123.8%点伤害</v>
      </c>
      <c r="G159">
        <f t="shared" ca="1" si="75"/>
        <v>3</v>
      </c>
      <c r="H159">
        <f t="shared" si="59"/>
        <v>3</v>
      </c>
      <c r="I159" s="44">
        <f t="shared" ca="1" si="76"/>
        <v>4</v>
      </c>
      <c r="J159">
        <f t="shared" si="60"/>
        <v>2</v>
      </c>
      <c r="K159" s="36">
        <f t="shared" ca="1" si="61"/>
        <v>123.80952380952381</v>
      </c>
      <c r="L159" s="10">
        <f ca="1">AH159*VLOOKUP(C159,技能辅助查询表,技能配置辅助表!$T$1,FALSE)</f>
        <v>0</v>
      </c>
      <c r="M159">
        <f t="shared" ca="1" si="62"/>
        <v>7680</v>
      </c>
      <c r="N159" s="33">
        <f ca="1">CHOOSE(1,W159*U159,X159*'[1]0、经济设定'!$C$18)</f>
        <v>610</v>
      </c>
      <c r="O159">
        <f t="shared" si="63"/>
        <v>2</v>
      </c>
      <c r="P159">
        <f t="shared" si="64"/>
        <v>1</v>
      </c>
      <c r="Q159">
        <f t="shared" si="65"/>
        <v>1</v>
      </c>
      <c r="R159" s="2">
        <f t="shared" si="66"/>
        <v>7</v>
      </c>
      <c r="S159" s="2">
        <f t="shared" si="67"/>
        <v>50</v>
      </c>
      <c r="T159" s="2">
        <f t="shared" si="68"/>
        <v>119.04761904761905</v>
      </c>
      <c r="U159" s="2">
        <f ca="1">VLOOKUP(E159,金币生产率!$A$2:$B$120,2,0)</f>
        <v>122</v>
      </c>
      <c r="V159" s="2">
        <f t="shared" si="69"/>
        <v>119.04761904761905</v>
      </c>
      <c r="W159" s="45">
        <f t="shared" ca="1" si="82"/>
        <v>5</v>
      </c>
      <c r="X159" s="48">
        <f t="shared" ca="1" si="83"/>
        <v>17</v>
      </c>
      <c r="Y159">
        <f t="shared" si="70"/>
        <v>18</v>
      </c>
      <c r="Z159">
        <f t="shared" ca="1" si="77"/>
        <v>0</v>
      </c>
      <c r="AA159" t="str">
        <f t="shared" ca="1" si="78"/>
        <v>9122300.png</v>
      </c>
      <c r="AB159">
        <f t="shared" si="71"/>
        <v>20</v>
      </c>
      <c r="AC159">
        <f>VLOOKUP(C159,技能辅助查询表,技能配置辅助表!$W$1,FALSE)</f>
        <v>5602</v>
      </c>
      <c r="AD159">
        <f t="shared" ca="1" si="79"/>
        <v>0.92750975665012236</v>
      </c>
      <c r="AE159">
        <f>VLOOKUP(C159,技能辅助查询表,技能配置辅助表!$U$1,FALSE)</f>
        <v>4</v>
      </c>
      <c r="AF159">
        <f t="shared" ca="1" si="80"/>
        <v>9122304</v>
      </c>
      <c r="AG159">
        <f t="shared" ca="1" si="84"/>
        <v>11.469387755102041</v>
      </c>
      <c r="AH159">
        <f t="shared" ca="1" si="81"/>
        <v>19.477704889652582</v>
      </c>
      <c r="AI159">
        <f ca="1">VLOOKUP(E159,伤害参考系!$C$4:$E$104,3,FALSE)*$AN$12</f>
        <v>288.46124999999995</v>
      </c>
      <c r="AJ159">
        <f>VLOOKUP(C159,技能辅助查询表,技能配置辅助表!$L$1,FALSE)</f>
        <v>1</v>
      </c>
      <c r="AK159">
        <f>VLOOKUP(C159,技能辅助查询表,技能配置辅助表!$AE$1,FALSE)</f>
        <v>66000113</v>
      </c>
    </row>
    <row r="160" spans="1:37" x14ac:dyDescent="0.15">
      <c r="A160" s="1">
        <f t="shared" ca="1" si="72"/>
        <v>9122305</v>
      </c>
      <c r="B160" s="1" t="str">
        <f t="shared" ca="1" si="57"/>
        <v>影袭·斩第3段</v>
      </c>
      <c r="C160" t="s">
        <v>153</v>
      </c>
      <c r="D160">
        <f t="shared" si="58"/>
        <v>1</v>
      </c>
      <c r="E160" s="42">
        <f t="shared" ca="1" si="73"/>
        <v>14</v>
      </c>
      <c r="F160" t="str">
        <f t="shared" ca="1" si="74"/>
        <v>第5级，共造成125%点伤害</v>
      </c>
      <c r="G160">
        <f t="shared" ca="1" si="75"/>
        <v>3</v>
      </c>
      <c r="H160">
        <f t="shared" si="59"/>
        <v>3</v>
      </c>
      <c r="I160" s="44">
        <f t="shared" ca="1" si="76"/>
        <v>5</v>
      </c>
      <c r="J160">
        <f t="shared" si="60"/>
        <v>2</v>
      </c>
      <c r="K160" s="36">
        <f t="shared" ca="1" si="61"/>
        <v>125</v>
      </c>
      <c r="L160" s="10">
        <f ca="1">AH160*VLOOKUP(C160,技能辅助查询表,技能配置辅助表!$T$1,FALSE)</f>
        <v>0</v>
      </c>
      <c r="M160">
        <f t="shared" ca="1" si="62"/>
        <v>7600</v>
      </c>
      <c r="N160" s="33">
        <f ca="1">CHOOSE(1,W160*U160,X160*'[1]0、经济设定'!$C$18)</f>
        <v>640</v>
      </c>
      <c r="O160">
        <f t="shared" si="63"/>
        <v>2</v>
      </c>
      <c r="P160">
        <f t="shared" si="64"/>
        <v>1</v>
      </c>
      <c r="Q160">
        <f t="shared" si="65"/>
        <v>1</v>
      </c>
      <c r="R160" s="2">
        <f t="shared" si="66"/>
        <v>7</v>
      </c>
      <c r="S160" s="2">
        <f t="shared" si="67"/>
        <v>50</v>
      </c>
      <c r="T160" s="2">
        <f t="shared" si="68"/>
        <v>119.04761904761905</v>
      </c>
      <c r="U160" s="2">
        <f ca="1">VLOOKUP(E160,金币生产率!$A$2:$B$120,2,0)</f>
        <v>128</v>
      </c>
      <c r="V160" s="2">
        <f t="shared" si="69"/>
        <v>119.04761904761905</v>
      </c>
      <c r="W160" s="45">
        <f t="shared" ca="1" si="82"/>
        <v>5</v>
      </c>
      <c r="X160" s="48">
        <f t="shared" ca="1" si="83"/>
        <v>22</v>
      </c>
      <c r="Y160">
        <f t="shared" si="70"/>
        <v>18</v>
      </c>
      <c r="Z160">
        <f t="shared" ca="1" si="77"/>
        <v>0</v>
      </c>
      <c r="AA160" t="str">
        <f t="shared" ca="1" si="78"/>
        <v>9122300.png</v>
      </c>
      <c r="AB160">
        <f t="shared" si="71"/>
        <v>20</v>
      </c>
      <c r="AC160">
        <f>VLOOKUP(C160,技能辅助查询表,技能配置辅助表!$W$1,FALSE)</f>
        <v>5602</v>
      </c>
      <c r="AD160">
        <f t="shared" ca="1" si="79"/>
        <v>1.1087554819742784</v>
      </c>
      <c r="AE160">
        <f>VLOOKUP(C160,技能辅助查询表,技能配置辅助表!$U$1,FALSE)</f>
        <v>4</v>
      </c>
      <c r="AF160">
        <f t="shared" ca="1" si="80"/>
        <v>9122305</v>
      </c>
      <c r="AG160">
        <f t="shared" ca="1" si="84"/>
        <v>12.959183673469388</v>
      </c>
      <c r="AH160">
        <f t="shared" ca="1" si="81"/>
        <v>22.175109639485559</v>
      </c>
      <c r="AI160">
        <f ca="1">VLOOKUP(E160,伤害参考系!$C$4:$E$104,3,FALSE)*$AN$12</f>
        <v>330.31565217391307</v>
      </c>
      <c r="AJ160">
        <f>VLOOKUP(C160,技能辅助查询表,技能配置辅助表!$L$1,FALSE)</f>
        <v>1</v>
      </c>
      <c r="AK160">
        <f>VLOOKUP(C160,技能辅助查询表,技能配置辅助表!$AE$1,FALSE)</f>
        <v>66000113</v>
      </c>
    </row>
    <row r="161" spans="1:37" x14ac:dyDescent="0.15">
      <c r="A161" s="1">
        <f t="shared" ca="1" si="72"/>
        <v>9122306</v>
      </c>
      <c r="B161" s="1" t="str">
        <f t="shared" ca="1" si="57"/>
        <v>影袭·斩第3段</v>
      </c>
      <c r="C161" t="s">
        <v>153</v>
      </c>
      <c r="D161">
        <f t="shared" si="58"/>
        <v>1</v>
      </c>
      <c r="E161" s="42">
        <f t="shared" ca="1" si="73"/>
        <v>16</v>
      </c>
      <c r="F161" t="str">
        <f t="shared" ca="1" si="74"/>
        <v>第6级，共造成126.2%点伤害</v>
      </c>
      <c r="G161">
        <f t="shared" ca="1" si="75"/>
        <v>3</v>
      </c>
      <c r="H161">
        <f t="shared" si="59"/>
        <v>3</v>
      </c>
      <c r="I161" s="44">
        <f t="shared" ca="1" si="76"/>
        <v>6</v>
      </c>
      <c r="J161">
        <f t="shared" si="60"/>
        <v>2</v>
      </c>
      <c r="K161" s="36">
        <f t="shared" ca="1" si="61"/>
        <v>126.19047619047619</v>
      </c>
      <c r="L161" s="10">
        <f ca="1">AH161*VLOOKUP(C161,技能辅助查询表,技能配置辅助表!$T$1,FALSE)</f>
        <v>0</v>
      </c>
      <c r="M161">
        <f t="shared" ca="1" si="62"/>
        <v>7520</v>
      </c>
      <c r="N161" s="33">
        <f ca="1">CHOOSE(1,W161*U161,X161*'[1]0、经济设定'!$C$18)</f>
        <v>700</v>
      </c>
      <c r="O161">
        <f t="shared" si="63"/>
        <v>2</v>
      </c>
      <c r="P161">
        <f t="shared" si="64"/>
        <v>1</v>
      </c>
      <c r="Q161">
        <f t="shared" si="65"/>
        <v>1</v>
      </c>
      <c r="R161" s="2">
        <f t="shared" si="66"/>
        <v>7</v>
      </c>
      <c r="S161" s="2">
        <f t="shared" si="67"/>
        <v>50</v>
      </c>
      <c r="T161" s="2">
        <f t="shared" si="68"/>
        <v>119.04761904761905</v>
      </c>
      <c r="U161" s="2">
        <f ca="1">VLOOKUP(E161,金币生产率!$A$2:$B$120,2,0)</f>
        <v>140</v>
      </c>
      <c r="V161" s="2">
        <f t="shared" si="69"/>
        <v>119.04761904761905</v>
      </c>
      <c r="W161" s="45">
        <f t="shared" ca="1" si="82"/>
        <v>5</v>
      </c>
      <c r="X161" s="48">
        <f t="shared" ca="1" si="83"/>
        <v>27</v>
      </c>
      <c r="Y161">
        <f t="shared" si="70"/>
        <v>18</v>
      </c>
      <c r="Z161">
        <f t="shared" ca="1" si="77"/>
        <v>0</v>
      </c>
      <c r="AA161" t="str">
        <f t="shared" ca="1" si="78"/>
        <v>9122300.png</v>
      </c>
      <c r="AB161">
        <f t="shared" si="71"/>
        <v>20</v>
      </c>
      <c r="AC161">
        <f>VLOOKUP(C161,技能辅助查询表,技能配置辅助表!$W$1,FALSE)</f>
        <v>5602</v>
      </c>
      <c r="AD161">
        <f t="shared" ca="1" si="79"/>
        <v>1.3224131540087647</v>
      </c>
      <c r="AE161">
        <f>VLOOKUP(C161,技能辅助查询表,技能配置辅助表!$U$1,FALSE)</f>
        <v>4</v>
      </c>
      <c r="AF161">
        <f t="shared" ca="1" si="80"/>
        <v>9122306</v>
      </c>
      <c r="AG161">
        <f t="shared" ca="1" si="84"/>
        <v>14.448979591836736</v>
      </c>
      <c r="AH161">
        <f t="shared" ca="1" si="81"/>
        <v>25.246069303803697</v>
      </c>
      <c r="AI161">
        <f ca="1">VLOOKUP(E161,伤害参考系!$C$4:$E$104,3,FALSE)*$AN$12</f>
        <v>421.35260869565224</v>
      </c>
      <c r="AJ161">
        <f>VLOOKUP(C161,技能辅助查询表,技能配置辅助表!$L$1,FALSE)</f>
        <v>1</v>
      </c>
      <c r="AK161">
        <f>VLOOKUP(C161,技能辅助查询表,技能配置辅助表!$AE$1,FALSE)</f>
        <v>66000113</v>
      </c>
    </row>
    <row r="162" spans="1:37" x14ac:dyDescent="0.15">
      <c r="A162" s="1">
        <f t="shared" ca="1" si="72"/>
        <v>9122307</v>
      </c>
      <c r="B162" s="1" t="str">
        <f t="shared" ca="1" si="57"/>
        <v>影袭·斩第3段</v>
      </c>
      <c r="C162" t="s">
        <v>153</v>
      </c>
      <c r="D162">
        <f t="shared" si="58"/>
        <v>1</v>
      </c>
      <c r="E162" s="42">
        <f t="shared" ca="1" si="73"/>
        <v>17</v>
      </c>
      <c r="F162" t="str">
        <f t="shared" ca="1" si="74"/>
        <v>第7级，共造成127.4%点伤害</v>
      </c>
      <c r="G162">
        <f t="shared" ca="1" si="75"/>
        <v>3</v>
      </c>
      <c r="H162">
        <f t="shared" si="59"/>
        <v>3</v>
      </c>
      <c r="I162" s="44">
        <f t="shared" ca="1" si="76"/>
        <v>7</v>
      </c>
      <c r="J162">
        <f t="shared" si="60"/>
        <v>2</v>
      </c>
      <c r="K162" s="36">
        <f t="shared" ca="1" si="61"/>
        <v>127.38095238095238</v>
      </c>
      <c r="L162" s="10">
        <f ca="1">AH162*VLOOKUP(C162,技能辅助查询表,技能配置辅助表!$T$1,FALSE)</f>
        <v>0</v>
      </c>
      <c r="M162">
        <f t="shared" ca="1" si="62"/>
        <v>7440</v>
      </c>
      <c r="N162" s="33">
        <f ca="1">CHOOSE(1,W162*U162,X162*'[1]0、经济设定'!$C$18)</f>
        <v>730</v>
      </c>
      <c r="O162">
        <f t="shared" si="63"/>
        <v>2</v>
      </c>
      <c r="P162">
        <f t="shared" si="64"/>
        <v>1</v>
      </c>
      <c r="Q162">
        <f t="shared" si="65"/>
        <v>1</v>
      </c>
      <c r="R162" s="2">
        <f t="shared" si="66"/>
        <v>7</v>
      </c>
      <c r="S162" s="2">
        <f t="shared" si="67"/>
        <v>50</v>
      </c>
      <c r="T162" s="2">
        <f t="shared" si="68"/>
        <v>119.04761904761905</v>
      </c>
      <c r="U162" s="2">
        <f ca="1">VLOOKUP(E162,金币生产率!$A$2:$B$120,2,0)</f>
        <v>146</v>
      </c>
      <c r="V162" s="2">
        <f t="shared" si="69"/>
        <v>119.04761904761905</v>
      </c>
      <c r="W162" s="45">
        <f t="shared" ca="1" si="82"/>
        <v>5</v>
      </c>
      <c r="X162" s="48">
        <f t="shared" ca="1" si="83"/>
        <v>32</v>
      </c>
      <c r="Y162">
        <f t="shared" si="70"/>
        <v>18</v>
      </c>
      <c r="Z162">
        <f t="shared" ca="1" si="77"/>
        <v>0</v>
      </c>
      <c r="AA162" t="str">
        <f t="shared" ca="1" si="78"/>
        <v>9122300.png</v>
      </c>
      <c r="AB162">
        <f t="shared" si="71"/>
        <v>20</v>
      </c>
      <c r="AC162">
        <f>VLOOKUP(C162,技能辅助查询表,技能配置辅助表!$W$1,FALSE)</f>
        <v>5602</v>
      </c>
      <c r="AD162">
        <f t="shared" ca="1" si="79"/>
        <v>1.5739839879736715</v>
      </c>
      <c r="AE162">
        <f>VLOOKUP(C162,技能辅助查询表,技能配置辅助表!$U$1,FALSE)</f>
        <v>4</v>
      </c>
      <c r="AF162">
        <f t="shared" ca="1" si="80"/>
        <v>9122307</v>
      </c>
      <c r="AG162">
        <f t="shared" ca="1" si="84"/>
        <v>15.938775510204081</v>
      </c>
      <c r="AH162">
        <f t="shared" ca="1" si="81"/>
        <v>28.742316302127907</v>
      </c>
      <c r="AI162">
        <f ca="1">VLOOKUP(E162,伤害参考系!$C$4:$E$104,3,FALSE)*$AN$12</f>
        <v>470.53516304347824</v>
      </c>
      <c r="AJ162">
        <f>VLOOKUP(C162,技能辅助查询表,技能配置辅助表!$L$1,FALSE)</f>
        <v>1</v>
      </c>
      <c r="AK162">
        <f>VLOOKUP(C162,技能辅助查询表,技能配置辅助表!$AE$1,FALSE)</f>
        <v>66000113</v>
      </c>
    </row>
    <row r="163" spans="1:37" x14ac:dyDescent="0.15">
      <c r="A163" s="1">
        <f t="shared" ca="1" si="72"/>
        <v>9122308</v>
      </c>
      <c r="B163" s="1" t="str">
        <f t="shared" ca="1" si="57"/>
        <v>影袭·斩第3段</v>
      </c>
      <c r="C163" t="s">
        <v>153</v>
      </c>
      <c r="D163">
        <f t="shared" si="58"/>
        <v>1</v>
      </c>
      <c r="E163" s="42">
        <f t="shared" ca="1" si="73"/>
        <v>19</v>
      </c>
      <c r="F163" t="str">
        <f t="shared" ca="1" si="74"/>
        <v>第8级，共造成128.6%点伤害</v>
      </c>
      <c r="G163">
        <f t="shared" ca="1" si="75"/>
        <v>3</v>
      </c>
      <c r="H163">
        <f t="shared" si="59"/>
        <v>3</v>
      </c>
      <c r="I163" s="44">
        <f t="shared" ca="1" si="76"/>
        <v>8</v>
      </c>
      <c r="J163">
        <f t="shared" si="60"/>
        <v>2</v>
      </c>
      <c r="K163" s="36">
        <f t="shared" ca="1" si="61"/>
        <v>128.57142857142858</v>
      </c>
      <c r="L163" s="10">
        <f ca="1">AH163*VLOOKUP(C163,技能辅助查询表,技能配置辅助表!$T$1,FALSE)</f>
        <v>0</v>
      </c>
      <c r="M163">
        <f t="shared" ca="1" si="62"/>
        <v>7360</v>
      </c>
      <c r="N163" s="33">
        <f ca="1">CHOOSE(1,W163*U163,X163*'[1]0、经济设定'!$C$18)</f>
        <v>948</v>
      </c>
      <c r="O163">
        <f t="shared" si="63"/>
        <v>2</v>
      </c>
      <c r="P163">
        <f t="shared" si="64"/>
        <v>1</v>
      </c>
      <c r="Q163">
        <f t="shared" si="65"/>
        <v>1</v>
      </c>
      <c r="R163" s="2">
        <f t="shared" si="66"/>
        <v>7</v>
      </c>
      <c r="S163" s="2">
        <f t="shared" si="67"/>
        <v>50</v>
      </c>
      <c r="T163" s="2">
        <f t="shared" si="68"/>
        <v>119.04761904761905</v>
      </c>
      <c r="U163" s="2">
        <f ca="1">VLOOKUP(E163,金币生产率!$A$2:$B$120,2,0)</f>
        <v>158</v>
      </c>
      <c r="V163" s="2">
        <f t="shared" si="69"/>
        <v>119.04761904761905</v>
      </c>
      <c r="W163" s="45">
        <f t="shared" ca="1" si="82"/>
        <v>6</v>
      </c>
      <c r="X163" s="48">
        <f t="shared" ca="1" si="83"/>
        <v>38</v>
      </c>
      <c r="Y163">
        <f t="shared" si="70"/>
        <v>18</v>
      </c>
      <c r="Z163">
        <f t="shared" ca="1" si="77"/>
        <v>0</v>
      </c>
      <c r="AA163" t="str">
        <f t="shared" ca="1" si="78"/>
        <v>9122300.png</v>
      </c>
      <c r="AB163">
        <f t="shared" si="71"/>
        <v>20</v>
      </c>
      <c r="AC163">
        <f>VLOOKUP(C163,技能辅助查询表,技能配置辅助表!$W$1,FALSE)</f>
        <v>5602</v>
      </c>
      <c r="AD163">
        <f t="shared" ca="1" si="79"/>
        <v>1.8698712748853268</v>
      </c>
      <c r="AE163">
        <f>VLOOKUP(C163,技能辅助查询表,技能配置辅助表!$U$1,FALSE)</f>
        <v>4</v>
      </c>
      <c r="AF163">
        <f t="shared" ca="1" si="80"/>
        <v>9122308</v>
      </c>
      <c r="AG163">
        <f t="shared" ca="1" si="84"/>
        <v>17.428571428571431</v>
      </c>
      <c r="AH163">
        <f t="shared" ca="1" si="81"/>
        <v>32.722747310493212</v>
      </c>
      <c r="AI163">
        <f ca="1">VLOOKUP(E163,伤害参考系!$C$4:$E$104,3,FALSE)*$AN$12</f>
        <v>576.22842391304346</v>
      </c>
      <c r="AJ163">
        <f>VLOOKUP(C163,技能辅助查询表,技能配置辅助表!$L$1,FALSE)</f>
        <v>1</v>
      </c>
      <c r="AK163">
        <f>VLOOKUP(C163,技能辅助查询表,技能配置辅助表!$AE$1,FALSE)</f>
        <v>66000113</v>
      </c>
    </row>
    <row r="164" spans="1:37" x14ac:dyDescent="0.15">
      <c r="A164" s="1">
        <f t="shared" ca="1" si="72"/>
        <v>9122309</v>
      </c>
      <c r="B164" s="1" t="str">
        <f t="shared" ca="1" si="57"/>
        <v>影袭·斩第3段</v>
      </c>
      <c r="C164" t="s">
        <v>153</v>
      </c>
      <c r="D164">
        <f t="shared" si="58"/>
        <v>1</v>
      </c>
      <c r="E164" s="42">
        <f t="shared" ca="1" si="73"/>
        <v>20</v>
      </c>
      <c r="F164" t="str">
        <f t="shared" ca="1" si="74"/>
        <v>第9级，共造成129.8%点伤害</v>
      </c>
      <c r="G164">
        <f t="shared" ca="1" si="75"/>
        <v>3</v>
      </c>
      <c r="H164">
        <f t="shared" si="59"/>
        <v>3</v>
      </c>
      <c r="I164" s="44">
        <f t="shared" ca="1" si="76"/>
        <v>9</v>
      </c>
      <c r="J164">
        <f t="shared" si="60"/>
        <v>2</v>
      </c>
      <c r="K164" s="36">
        <f t="shared" ca="1" si="61"/>
        <v>129.76190476190476</v>
      </c>
      <c r="L164" s="10">
        <f ca="1">AH164*VLOOKUP(C164,技能辅助查询表,技能配置辅助表!$T$1,FALSE)</f>
        <v>0</v>
      </c>
      <c r="M164">
        <f t="shared" ca="1" si="62"/>
        <v>7280</v>
      </c>
      <c r="N164" s="33">
        <f ca="1">CHOOSE(1,W164*U164,X164*'[1]0、经济设定'!$C$18)</f>
        <v>1092</v>
      </c>
      <c r="O164">
        <f t="shared" si="63"/>
        <v>2</v>
      </c>
      <c r="P164">
        <f t="shared" si="64"/>
        <v>1</v>
      </c>
      <c r="Q164">
        <f t="shared" si="65"/>
        <v>1</v>
      </c>
      <c r="R164" s="2">
        <f t="shared" si="66"/>
        <v>7</v>
      </c>
      <c r="S164" s="2">
        <f t="shared" si="67"/>
        <v>50</v>
      </c>
      <c r="T164" s="2">
        <f t="shared" si="68"/>
        <v>119.04761904761905</v>
      </c>
      <c r="U164" s="2">
        <f ca="1">VLOOKUP(E164,金币生产率!$A$2:$B$120,2,0)</f>
        <v>182</v>
      </c>
      <c r="V164" s="2">
        <f t="shared" si="69"/>
        <v>119.04761904761905</v>
      </c>
      <c r="W164" s="45">
        <f t="shared" ca="1" si="82"/>
        <v>6</v>
      </c>
      <c r="X164" s="48">
        <f t="shared" ca="1" si="83"/>
        <v>44</v>
      </c>
      <c r="Y164">
        <f t="shared" si="70"/>
        <v>18</v>
      </c>
      <c r="Z164">
        <f t="shared" ca="1" si="77"/>
        <v>0</v>
      </c>
      <c r="AA164" t="str">
        <f t="shared" ca="1" si="78"/>
        <v>9122300.png</v>
      </c>
      <c r="AB164">
        <f t="shared" si="71"/>
        <v>20</v>
      </c>
      <c r="AC164">
        <f>VLOOKUP(C164,技能辅助查询表,技能配置辅助表!$W$1,FALSE)</f>
        <v>5602</v>
      </c>
      <c r="AD164">
        <f t="shared" ca="1" si="79"/>
        <v>2.2175247271611824</v>
      </c>
      <c r="AE164">
        <f>VLOOKUP(C164,技能辅助查询表,技能配置辅助表!$U$1,FALSE)</f>
        <v>4</v>
      </c>
      <c r="AF164">
        <f t="shared" ca="1" si="80"/>
        <v>9122309</v>
      </c>
      <c r="AG164">
        <f t="shared" ca="1" si="84"/>
        <v>18.918367346938776</v>
      </c>
      <c r="AH164">
        <f t="shared" ca="1" si="81"/>
        <v>37.25441541630785</v>
      </c>
      <c r="AI164">
        <f ca="1">VLOOKUP(E164,伤害参考系!$C$4:$E$104,3,FALSE)*$AN$12</f>
        <v>632.73913043478262</v>
      </c>
      <c r="AJ164">
        <f>VLOOKUP(C164,技能辅助查询表,技能配置辅助表!$L$1,FALSE)</f>
        <v>1</v>
      </c>
      <c r="AK164">
        <f>VLOOKUP(C164,技能辅助查询表,技能配置辅助表!$AE$1,FALSE)</f>
        <v>66000113</v>
      </c>
    </row>
    <row r="165" spans="1:37" x14ac:dyDescent="0.15">
      <c r="A165" s="1">
        <f t="shared" ca="1" si="72"/>
        <v>9122310</v>
      </c>
      <c r="B165" s="1" t="str">
        <f t="shared" ca="1" si="57"/>
        <v>影袭·斩第3段</v>
      </c>
      <c r="C165" t="s">
        <v>153</v>
      </c>
      <c r="D165">
        <f t="shared" si="58"/>
        <v>1</v>
      </c>
      <c r="E165" s="42">
        <f t="shared" ca="1" si="73"/>
        <v>22</v>
      </c>
      <c r="F165" t="str">
        <f t="shared" ca="1" si="74"/>
        <v>第10级，共造成131%点伤害</v>
      </c>
      <c r="G165">
        <f t="shared" ca="1" si="75"/>
        <v>3</v>
      </c>
      <c r="H165">
        <f t="shared" si="59"/>
        <v>3</v>
      </c>
      <c r="I165" s="44">
        <f t="shared" ca="1" si="76"/>
        <v>10</v>
      </c>
      <c r="J165">
        <f t="shared" si="60"/>
        <v>2</v>
      </c>
      <c r="K165" s="36">
        <f t="shared" ca="1" si="61"/>
        <v>130.95238095238096</v>
      </c>
      <c r="L165" s="39">
        <f ca="1">AH165*VLOOKUP(C165,技能辅助查询表,技能配置辅助表!$T$1,FALSE)</f>
        <v>0</v>
      </c>
      <c r="M165">
        <f t="shared" ca="1" si="62"/>
        <v>7200</v>
      </c>
      <c r="N165" s="33">
        <f ca="1">CHOOSE(1,W165*U165,X165*'[1]0、经济设定'!$C$18)</f>
        <v>1673</v>
      </c>
      <c r="O165">
        <f t="shared" si="63"/>
        <v>2</v>
      </c>
      <c r="P165">
        <f t="shared" si="64"/>
        <v>1</v>
      </c>
      <c r="Q165">
        <f t="shared" si="65"/>
        <v>1</v>
      </c>
      <c r="R165" s="2">
        <f t="shared" si="66"/>
        <v>7</v>
      </c>
      <c r="S165" s="2">
        <f t="shared" si="67"/>
        <v>50</v>
      </c>
      <c r="T165" s="2">
        <f t="shared" si="68"/>
        <v>119.04761904761905</v>
      </c>
      <c r="U165" s="2">
        <f ca="1">VLOOKUP(E165,金币生产率!$A$2:$B$120,2,0)</f>
        <v>239</v>
      </c>
      <c r="V165" s="2">
        <f t="shared" si="69"/>
        <v>119.04761904761905</v>
      </c>
      <c r="W165" s="45">
        <f t="shared" ca="1" si="82"/>
        <v>7</v>
      </c>
      <c r="X165" s="48">
        <f t="shared" ca="1" si="83"/>
        <v>51</v>
      </c>
      <c r="Y165">
        <f t="shared" si="70"/>
        <v>18</v>
      </c>
      <c r="Z165">
        <f t="shared" ca="1" si="77"/>
        <v>0</v>
      </c>
      <c r="AA165" t="str">
        <f t="shared" ca="1" si="78"/>
        <v>9122300.png</v>
      </c>
      <c r="AB165">
        <f t="shared" si="71"/>
        <v>20</v>
      </c>
      <c r="AC165">
        <f>VLOOKUP(C165,技能辅助查询表,技能配置辅助表!$W$1,FALSE)</f>
        <v>5602</v>
      </c>
      <c r="AD165">
        <f t="shared" ca="1" si="79"/>
        <v>2.6256075036007216</v>
      </c>
      <c r="AE165">
        <f>VLOOKUP(C165,技能辅助查询表,技能配置辅助表!$U$1,FALSE)</f>
        <v>4</v>
      </c>
      <c r="AF165">
        <f t="shared" ca="1" si="80"/>
        <v>9122310</v>
      </c>
      <c r="AG165">
        <f t="shared" ca="1" si="84"/>
        <v>20.408163265306122</v>
      </c>
      <c r="AH165">
        <f t="shared" ca="1" si="81"/>
        <v>42.413659673550121</v>
      </c>
      <c r="AI165">
        <f ca="1">VLOOKUP(E165,伤害参考系!$C$4:$E$104,3,FALSE)*$AN$12</f>
        <v>753.08869565217401</v>
      </c>
      <c r="AJ165">
        <f>VLOOKUP(C165,技能辅助查询表,技能配置辅助表!$L$1,FALSE)</f>
        <v>1</v>
      </c>
      <c r="AK165">
        <f>VLOOKUP(C165,技能辅助查询表,技能配置辅助表!$AE$1,FALSE)</f>
        <v>66000113</v>
      </c>
    </row>
    <row r="166" spans="1:37" x14ac:dyDescent="0.15">
      <c r="A166" s="1">
        <f t="shared" ca="1" si="72"/>
        <v>9122311</v>
      </c>
      <c r="B166" s="1" t="str">
        <f t="shared" ca="1" si="57"/>
        <v>影袭·斩第3段</v>
      </c>
      <c r="C166" t="s">
        <v>153</v>
      </c>
      <c r="D166">
        <f t="shared" si="58"/>
        <v>1</v>
      </c>
      <c r="E166" s="42">
        <f t="shared" ca="1" si="73"/>
        <v>23</v>
      </c>
      <c r="F166" t="str">
        <f t="shared" ca="1" si="74"/>
        <v>第11级，共造成132.1%点伤害</v>
      </c>
      <c r="G166">
        <f t="shared" ca="1" si="75"/>
        <v>3</v>
      </c>
      <c r="H166">
        <f t="shared" si="59"/>
        <v>3</v>
      </c>
      <c r="I166" s="44">
        <f t="shared" ca="1" si="76"/>
        <v>11</v>
      </c>
      <c r="J166">
        <f t="shared" si="60"/>
        <v>2</v>
      </c>
      <c r="K166" s="36">
        <f t="shared" ca="1" si="61"/>
        <v>132.14285714285714</v>
      </c>
      <c r="L166" s="10">
        <f ca="1">AH166*VLOOKUP(C166,技能辅助查询表,技能配置辅助表!$T$1,FALSE)</f>
        <v>0</v>
      </c>
      <c r="M166">
        <f t="shared" ca="1" si="62"/>
        <v>7120</v>
      </c>
      <c r="N166" s="33">
        <f ca="1">CHOOSE(1,W166*U166,X166*'[1]0、经济设定'!$C$18)</f>
        <v>1890</v>
      </c>
      <c r="O166">
        <f t="shared" si="63"/>
        <v>2</v>
      </c>
      <c r="P166">
        <f t="shared" si="64"/>
        <v>1</v>
      </c>
      <c r="Q166">
        <f t="shared" si="65"/>
        <v>1</v>
      </c>
      <c r="R166" s="2">
        <f t="shared" si="66"/>
        <v>7</v>
      </c>
      <c r="S166" s="2">
        <f t="shared" si="67"/>
        <v>50</v>
      </c>
      <c r="T166" s="2">
        <f t="shared" si="68"/>
        <v>119.04761904761905</v>
      </c>
      <c r="U166" s="2">
        <f ca="1">VLOOKUP(E166,金币生产率!$A$2:$B$120,2,0)</f>
        <v>270</v>
      </c>
      <c r="V166" s="2">
        <f t="shared" si="69"/>
        <v>119.04761904761905</v>
      </c>
      <c r="W166" s="45">
        <f t="shared" ca="1" si="82"/>
        <v>7</v>
      </c>
      <c r="X166" s="48">
        <f t="shared" ca="1" si="83"/>
        <v>58</v>
      </c>
      <c r="Y166">
        <f t="shared" si="70"/>
        <v>18</v>
      </c>
      <c r="Z166">
        <f t="shared" ca="1" si="77"/>
        <v>0</v>
      </c>
      <c r="AA166" t="str">
        <f t="shared" ca="1" si="78"/>
        <v>9122300.png</v>
      </c>
      <c r="AB166">
        <f t="shared" si="71"/>
        <v>20</v>
      </c>
      <c r="AC166">
        <f>VLOOKUP(C166,技能辅助查询表,技能配置辅助表!$W$1,FALSE)</f>
        <v>5602</v>
      </c>
      <c r="AD166">
        <f t="shared" ca="1" si="79"/>
        <v>3.1041894269850387</v>
      </c>
      <c r="AE166">
        <f>VLOOKUP(C166,技能辅助查询表,技能配置辅助表!$U$1,FALSE)</f>
        <v>4</v>
      </c>
      <c r="AF166">
        <f t="shared" ca="1" si="80"/>
        <v>9122311</v>
      </c>
      <c r="AG166">
        <f t="shared" ca="1" si="84"/>
        <v>21.897959183673471</v>
      </c>
      <c r="AH166">
        <f t="shared" ca="1" si="81"/>
        <v>48.287391086433935</v>
      </c>
      <c r="AI166">
        <f ca="1">VLOOKUP(E166,伤害参考系!$C$4:$E$104,3,FALSE)*$AN$12</f>
        <v>832.15832357859551</v>
      </c>
      <c r="AJ166">
        <f>VLOOKUP(C166,技能辅助查询表,技能配置辅助表!$L$1,FALSE)</f>
        <v>1</v>
      </c>
      <c r="AK166">
        <f>VLOOKUP(C166,技能辅助查询表,技能配置辅助表!$AE$1,FALSE)</f>
        <v>66000113</v>
      </c>
    </row>
    <row r="167" spans="1:37" x14ac:dyDescent="0.15">
      <c r="A167" s="1">
        <f t="shared" ca="1" si="72"/>
        <v>9122312</v>
      </c>
      <c r="B167" s="1" t="str">
        <f t="shared" ca="1" si="57"/>
        <v>影袭·斩第3段</v>
      </c>
      <c r="C167" t="s">
        <v>153</v>
      </c>
      <c r="D167">
        <f t="shared" si="58"/>
        <v>1</v>
      </c>
      <c r="E167" s="42">
        <f t="shared" ca="1" si="73"/>
        <v>25</v>
      </c>
      <c r="F167" t="str">
        <f t="shared" ca="1" si="74"/>
        <v>第12级，共造成133.3%点伤害</v>
      </c>
      <c r="G167">
        <f t="shared" ca="1" si="75"/>
        <v>3</v>
      </c>
      <c r="H167">
        <f t="shared" si="59"/>
        <v>3</v>
      </c>
      <c r="I167" s="44">
        <f t="shared" ca="1" si="76"/>
        <v>12</v>
      </c>
      <c r="J167">
        <f t="shared" si="60"/>
        <v>2</v>
      </c>
      <c r="K167" s="36">
        <f t="shared" ca="1" si="61"/>
        <v>133.33333333333334</v>
      </c>
      <c r="L167" s="10">
        <f ca="1">AH167*VLOOKUP(C167,技能辅助查询表,技能配置辅助表!$T$1,FALSE)</f>
        <v>0</v>
      </c>
      <c r="M167">
        <f t="shared" ca="1" si="62"/>
        <v>7040</v>
      </c>
      <c r="N167" s="33">
        <f ca="1">CHOOSE(1,W167*U167,X167*'[1]0、经济设定'!$C$18)</f>
        <v>2680</v>
      </c>
      <c r="O167">
        <f t="shared" si="63"/>
        <v>2</v>
      </c>
      <c r="P167">
        <f t="shared" si="64"/>
        <v>1</v>
      </c>
      <c r="Q167">
        <f t="shared" si="65"/>
        <v>1</v>
      </c>
      <c r="R167" s="2">
        <f t="shared" si="66"/>
        <v>7</v>
      </c>
      <c r="S167" s="2">
        <f t="shared" si="67"/>
        <v>50</v>
      </c>
      <c r="T167" s="2">
        <f t="shared" si="68"/>
        <v>119.04761904761905</v>
      </c>
      <c r="U167" s="2">
        <f ca="1">VLOOKUP(E167,金币生产率!$A$2:$B$120,2,0)</f>
        <v>335</v>
      </c>
      <c r="V167" s="2">
        <f t="shared" si="69"/>
        <v>119.04761904761905</v>
      </c>
      <c r="W167" s="45">
        <f t="shared" ca="1" si="82"/>
        <v>8</v>
      </c>
      <c r="X167" s="48">
        <f t="shared" ca="1" si="83"/>
        <v>66</v>
      </c>
      <c r="Y167">
        <f t="shared" si="70"/>
        <v>18</v>
      </c>
      <c r="Z167">
        <f t="shared" ca="1" si="77"/>
        <v>0</v>
      </c>
      <c r="AA167" t="str">
        <f t="shared" ca="1" si="78"/>
        <v>9122300.png</v>
      </c>
      <c r="AB167">
        <f t="shared" si="71"/>
        <v>20</v>
      </c>
      <c r="AC167">
        <f>VLOOKUP(C167,技能辅助查询表,技能配置辅助表!$W$1,FALSE)</f>
        <v>5602</v>
      </c>
      <c r="AD167">
        <f t="shared" ca="1" si="79"/>
        <v>3.6649704456546304</v>
      </c>
      <c r="AE167">
        <f>VLOOKUP(C167,技能辅助查询表,技能配置辅助表!$U$1,FALSE)</f>
        <v>4</v>
      </c>
      <c r="AF167">
        <f t="shared" ca="1" si="80"/>
        <v>9122312</v>
      </c>
      <c r="AG167">
        <f t="shared" ca="1" si="84"/>
        <v>23.387755102040817</v>
      </c>
      <c r="AH167">
        <f t="shared" ca="1" si="81"/>
        <v>54.974556684819426</v>
      </c>
      <c r="AI167">
        <f ca="1">VLOOKUP(E167,伤害参考系!$C$4:$E$104,3,FALSE)*$AN$12</f>
        <v>1000.3949623745822</v>
      </c>
      <c r="AJ167">
        <f>VLOOKUP(C167,技能辅助查询表,技能配置辅助表!$L$1,FALSE)</f>
        <v>1</v>
      </c>
      <c r="AK167">
        <f>VLOOKUP(C167,技能辅助查询表,技能配置辅助表!$AE$1,FALSE)</f>
        <v>66000113</v>
      </c>
    </row>
    <row r="168" spans="1:37" x14ac:dyDescent="0.15">
      <c r="A168" s="1">
        <f t="shared" ca="1" si="72"/>
        <v>9122313</v>
      </c>
      <c r="B168" s="1" t="str">
        <f t="shared" ca="1" si="57"/>
        <v>影袭·斩第3段</v>
      </c>
      <c r="C168" t="s">
        <v>153</v>
      </c>
      <c r="D168">
        <f t="shared" si="58"/>
        <v>1</v>
      </c>
      <c r="E168" s="42">
        <f t="shared" ca="1" si="73"/>
        <v>26</v>
      </c>
      <c r="F168" t="str">
        <f t="shared" ca="1" si="74"/>
        <v>第13级，共造成134.5%点伤害</v>
      </c>
      <c r="G168">
        <f t="shared" ca="1" si="75"/>
        <v>3</v>
      </c>
      <c r="H168">
        <f t="shared" si="59"/>
        <v>3</v>
      </c>
      <c r="I168" s="44">
        <f t="shared" ca="1" si="76"/>
        <v>13</v>
      </c>
      <c r="J168">
        <f t="shared" si="60"/>
        <v>2</v>
      </c>
      <c r="K168" s="36">
        <f t="shared" ca="1" si="61"/>
        <v>134.52380952380952</v>
      </c>
      <c r="L168" s="10">
        <f ca="1">AH168*VLOOKUP(C168,技能辅助查询表,技能配置辅助表!$T$1,FALSE)</f>
        <v>0</v>
      </c>
      <c r="M168">
        <f t="shared" ca="1" si="62"/>
        <v>6960</v>
      </c>
      <c r="N168" s="33">
        <f ca="1">CHOOSE(1,W168*U168,X168*'[1]0、经济设定'!$C$18)</f>
        <v>2960</v>
      </c>
      <c r="O168">
        <f t="shared" si="63"/>
        <v>2</v>
      </c>
      <c r="P168">
        <f t="shared" si="64"/>
        <v>1</v>
      </c>
      <c r="Q168">
        <f t="shared" si="65"/>
        <v>1</v>
      </c>
      <c r="R168" s="2">
        <f t="shared" si="66"/>
        <v>7</v>
      </c>
      <c r="S168" s="2">
        <f t="shared" si="67"/>
        <v>50</v>
      </c>
      <c r="T168" s="2">
        <f t="shared" si="68"/>
        <v>119.04761904761905</v>
      </c>
      <c r="U168" s="2">
        <f ca="1">VLOOKUP(E168,金币生产率!$A$2:$B$120,2,0)</f>
        <v>370</v>
      </c>
      <c r="V168" s="2">
        <f t="shared" si="69"/>
        <v>119.04761904761905</v>
      </c>
      <c r="W168" s="45">
        <f t="shared" ca="1" si="82"/>
        <v>8</v>
      </c>
      <c r="X168" s="48">
        <f t="shared" ca="1" si="83"/>
        <v>74</v>
      </c>
      <c r="Y168">
        <f t="shared" si="70"/>
        <v>18</v>
      </c>
      <c r="Z168">
        <f t="shared" ca="1" si="77"/>
        <v>0</v>
      </c>
      <c r="AA168" t="str">
        <f t="shared" ca="1" si="78"/>
        <v>9122300.png</v>
      </c>
      <c r="AB168">
        <f t="shared" si="71"/>
        <v>20</v>
      </c>
      <c r="AC168">
        <f>VLOOKUP(C168,技能辅助查询表,技能配置辅助表!$W$1,FALSE)</f>
        <v>5602</v>
      </c>
      <c r="AD168">
        <f t="shared" ca="1" si="79"/>
        <v>4.3215390102069478</v>
      </c>
      <c r="AE168">
        <f>VLOOKUP(C168,技能辅助查询表,技能配置辅助表!$U$1,FALSE)</f>
        <v>4</v>
      </c>
      <c r="AF168">
        <f t="shared" ca="1" si="80"/>
        <v>9122313</v>
      </c>
      <c r="AG168">
        <f t="shared" ca="1" si="84"/>
        <v>24.877551020408163</v>
      </c>
      <c r="AH168">
        <f t="shared" ca="1" si="81"/>
        <v>62.587806354721323</v>
      </c>
      <c r="AI168">
        <f ca="1">VLOOKUP(E168,伤害参考系!$C$4:$E$104,3,FALSE)*$AN$12</f>
        <v>1103.3859732441474</v>
      </c>
      <c r="AJ168">
        <f>VLOOKUP(C168,技能辅助查询表,技能配置辅助表!$L$1,FALSE)</f>
        <v>1</v>
      </c>
      <c r="AK168">
        <f>VLOOKUP(C168,技能辅助查询表,技能配置辅助表!$AE$1,FALSE)</f>
        <v>66000113</v>
      </c>
    </row>
    <row r="169" spans="1:37" x14ac:dyDescent="0.15">
      <c r="A169" s="1">
        <f t="shared" ca="1" si="72"/>
        <v>9122314</v>
      </c>
      <c r="B169" s="1" t="str">
        <f t="shared" ca="1" si="57"/>
        <v>影袭·斩第3段</v>
      </c>
      <c r="C169" t="s">
        <v>153</v>
      </c>
      <c r="D169">
        <f t="shared" si="58"/>
        <v>1</v>
      </c>
      <c r="E169" s="42">
        <f t="shared" ca="1" si="73"/>
        <v>27</v>
      </c>
      <c r="F169" t="str">
        <f t="shared" ca="1" si="74"/>
        <v>第14级，共造成135.7%点伤害</v>
      </c>
      <c r="G169">
        <f t="shared" ca="1" si="75"/>
        <v>3</v>
      </c>
      <c r="H169">
        <f t="shared" si="59"/>
        <v>3</v>
      </c>
      <c r="I169" s="44">
        <f t="shared" ca="1" si="76"/>
        <v>14</v>
      </c>
      <c r="J169">
        <f t="shared" si="60"/>
        <v>2</v>
      </c>
      <c r="K169" s="36">
        <f t="shared" ca="1" si="61"/>
        <v>135.71428571428572</v>
      </c>
      <c r="L169" s="10">
        <f ca="1">AH169*VLOOKUP(C169,技能辅助查询表,技能配置辅助表!$T$1,FALSE)</f>
        <v>0</v>
      </c>
      <c r="M169">
        <f t="shared" ca="1" si="62"/>
        <v>6880</v>
      </c>
      <c r="N169" s="33">
        <f ca="1">CHOOSE(1,W169*U169,X169*'[1]0、经济设定'!$C$18)</f>
        <v>3654</v>
      </c>
      <c r="O169">
        <f t="shared" si="63"/>
        <v>2</v>
      </c>
      <c r="P169">
        <f t="shared" si="64"/>
        <v>1</v>
      </c>
      <c r="Q169">
        <f t="shared" si="65"/>
        <v>1</v>
      </c>
      <c r="R169" s="2">
        <f t="shared" si="66"/>
        <v>7</v>
      </c>
      <c r="S169" s="2">
        <f t="shared" si="67"/>
        <v>50</v>
      </c>
      <c r="T169" s="2">
        <f t="shared" si="68"/>
        <v>119.04761904761905</v>
      </c>
      <c r="U169" s="2">
        <f ca="1">VLOOKUP(E169,金币生产率!$A$2:$B$120,2,0)</f>
        <v>406</v>
      </c>
      <c r="V169" s="2">
        <f t="shared" si="69"/>
        <v>119.04761904761905</v>
      </c>
      <c r="W169" s="45">
        <f t="shared" ca="1" si="82"/>
        <v>9</v>
      </c>
      <c r="X169" s="48">
        <f t="shared" ca="1" si="83"/>
        <v>83</v>
      </c>
      <c r="Y169">
        <f t="shared" si="70"/>
        <v>18</v>
      </c>
      <c r="Z169">
        <f t="shared" ca="1" si="77"/>
        <v>0</v>
      </c>
      <c r="AA169" t="str">
        <f t="shared" ca="1" si="78"/>
        <v>9122300.png</v>
      </c>
      <c r="AB169">
        <f t="shared" si="71"/>
        <v>20</v>
      </c>
      <c r="AC169">
        <f>VLOOKUP(C169,技能辅助查询表,技能配置辅助表!$W$1,FALSE)</f>
        <v>5602</v>
      </c>
      <c r="AD169">
        <f t="shared" ca="1" si="79"/>
        <v>5.0896707502012646</v>
      </c>
      <c r="AE169">
        <f>VLOOKUP(C169,技能辅助查询表,技能配置辅助表!$U$1,FALSE)</f>
        <v>4</v>
      </c>
      <c r="AF169">
        <f t="shared" ca="1" si="80"/>
        <v>9122314</v>
      </c>
      <c r="AG169">
        <f t="shared" ca="1" si="84"/>
        <v>26.367346938775512</v>
      </c>
      <c r="AH169">
        <f t="shared" ca="1" si="81"/>
        <v>71.25539050281769</v>
      </c>
      <c r="AI169">
        <f ca="1">VLOOKUP(E169,伤害参考系!$C$4:$E$104,3,FALSE)*$AN$12</f>
        <v>1210.5107784280938</v>
      </c>
      <c r="AJ169">
        <f>VLOOKUP(C169,技能辅助查询表,技能配置辅助表!$L$1,FALSE)</f>
        <v>1</v>
      </c>
      <c r="AK169">
        <f>VLOOKUP(C169,技能辅助查询表,技能配置辅助表!$AE$1,FALSE)</f>
        <v>66000113</v>
      </c>
    </row>
    <row r="170" spans="1:37" x14ac:dyDescent="0.15">
      <c r="A170" s="1">
        <f t="shared" ca="1" si="72"/>
        <v>9122315</v>
      </c>
      <c r="B170" s="1" t="str">
        <f t="shared" ca="1" si="57"/>
        <v>影袭·斩第3段</v>
      </c>
      <c r="C170" t="s">
        <v>153</v>
      </c>
      <c r="D170">
        <f t="shared" si="58"/>
        <v>1</v>
      </c>
      <c r="E170" s="42">
        <f t="shared" ca="1" si="73"/>
        <v>29</v>
      </c>
      <c r="F170" t="str">
        <f t="shared" ca="1" si="74"/>
        <v>第15级，共造成136.9%点伤害</v>
      </c>
      <c r="G170">
        <f t="shared" ca="1" si="75"/>
        <v>3</v>
      </c>
      <c r="H170">
        <f t="shared" si="59"/>
        <v>3</v>
      </c>
      <c r="I170" s="44">
        <f t="shared" ca="1" si="76"/>
        <v>15</v>
      </c>
      <c r="J170">
        <f t="shared" si="60"/>
        <v>2</v>
      </c>
      <c r="K170" s="36">
        <f t="shared" ca="1" si="61"/>
        <v>136.9047619047619</v>
      </c>
      <c r="L170" s="10">
        <f ca="1">AH170*VLOOKUP(C170,技能辅助查询表,技能配置辅助表!$T$1,FALSE)</f>
        <v>0</v>
      </c>
      <c r="M170">
        <f t="shared" ca="1" si="62"/>
        <v>6800</v>
      </c>
      <c r="N170" s="33">
        <f ca="1">CHOOSE(1,W170*U170,X170*'[1]0、经济设定'!$C$18)</f>
        <v>4820</v>
      </c>
      <c r="O170">
        <f t="shared" si="63"/>
        <v>2</v>
      </c>
      <c r="P170">
        <f t="shared" si="64"/>
        <v>1</v>
      </c>
      <c r="Q170">
        <f t="shared" si="65"/>
        <v>1</v>
      </c>
      <c r="R170" s="2">
        <f t="shared" si="66"/>
        <v>7</v>
      </c>
      <c r="S170" s="2">
        <f t="shared" si="67"/>
        <v>50</v>
      </c>
      <c r="T170" s="2">
        <f t="shared" si="68"/>
        <v>119.04761904761905</v>
      </c>
      <c r="U170" s="2">
        <f ca="1">VLOOKUP(E170,金币生产率!$A$2:$B$120,2,0)</f>
        <v>482</v>
      </c>
      <c r="V170" s="2">
        <f t="shared" si="69"/>
        <v>119.04761904761905</v>
      </c>
      <c r="W170" s="45">
        <f t="shared" ca="1" si="82"/>
        <v>10</v>
      </c>
      <c r="X170" s="48">
        <f t="shared" ca="1" si="83"/>
        <v>93</v>
      </c>
      <c r="Y170">
        <f t="shared" si="70"/>
        <v>18</v>
      </c>
      <c r="Z170">
        <f t="shared" ca="1" si="77"/>
        <v>0</v>
      </c>
      <c r="AA170" t="str">
        <f t="shared" ca="1" si="78"/>
        <v>9122300.png</v>
      </c>
      <c r="AB170">
        <f t="shared" si="71"/>
        <v>20</v>
      </c>
      <c r="AC170">
        <f>VLOOKUP(C170,技能辅助查询表,技能配置辅助表!$W$1,FALSE)</f>
        <v>5602</v>
      </c>
      <c r="AD170">
        <f t="shared" ca="1" si="79"/>
        <v>5.9876736576069876</v>
      </c>
      <c r="AE170">
        <f>VLOOKUP(C170,技能辅助查询表,技能配置辅助表!$U$1,FALSE)</f>
        <v>4</v>
      </c>
      <c r="AF170">
        <f t="shared" ca="1" si="80"/>
        <v>9122315</v>
      </c>
      <c r="AG170">
        <f t="shared" ca="1" si="84"/>
        <v>27.857142857142858</v>
      </c>
      <c r="AH170">
        <f t="shared" ca="1" si="81"/>
        <v>81.123320522417259</v>
      </c>
      <c r="AI170">
        <f ca="1">VLOOKUP(E170,伤害参考系!$C$4:$E$104,3,FALSE)*$AN$12</f>
        <v>1437.1617717391309</v>
      </c>
      <c r="AJ170">
        <f>VLOOKUP(C170,技能辅助查询表,技能配置辅助表!$L$1,FALSE)</f>
        <v>1</v>
      </c>
      <c r="AK170">
        <f>VLOOKUP(C170,技能辅助查询表,技能配置辅助表!$AE$1,FALSE)</f>
        <v>66000113</v>
      </c>
    </row>
    <row r="171" spans="1:37" x14ac:dyDescent="0.15">
      <c r="A171" s="1">
        <f t="shared" ca="1" si="72"/>
        <v>9122316</v>
      </c>
      <c r="B171" s="1" t="str">
        <f t="shared" ca="1" si="57"/>
        <v>影袭·斩第3段</v>
      </c>
      <c r="C171" t="s">
        <v>153</v>
      </c>
      <c r="D171">
        <f t="shared" si="58"/>
        <v>1</v>
      </c>
      <c r="E171" s="42">
        <f t="shared" ca="1" si="73"/>
        <v>30</v>
      </c>
      <c r="F171" t="str">
        <f t="shared" ca="1" si="74"/>
        <v>第16级，共造成138.1%点伤害</v>
      </c>
      <c r="G171">
        <f t="shared" ca="1" si="75"/>
        <v>3</v>
      </c>
      <c r="H171">
        <f t="shared" si="59"/>
        <v>3</v>
      </c>
      <c r="I171" s="44">
        <f t="shared" ca="1" si="76"/>
        <v>16</v>
      </c>
      <c r="J171">
        <f t="shared" si="60"/>
        <v>2</v>
      </c>
      <c r="K171" s="36">
        <f t="shared" ca="1" si="61"/>
        <v>138.0952380952381</v>
      </c>
      <c r="L171" s="10">
        <f ca="1">AH171*VLOOKUP(C171,技能辅助查询表,技能配置辅助表!$T$1,FALSE)</f>
        <v>0</v>
      </c>
      <c r="M171">
        <f t="shared" ca="1" si="62"/>
        <v>6720</v>
      </c>
      <c r="N171" s="33">
        <f ca="1">CHOOSE(1,W171*U171,X171*'[1]0、经济设定'!$C$18)</f>
        <v>5220</v>
      </c>
      <c r="O171">
        <f t="shared" si="63"/>
        <v>2</v>
      </c>
      <c r="P171">
        <f t="shared" si="64"/>
        <v>1</v>
      </c>
      <c r="Q171">
        <f t="shared" si="65"/>
        <v>1</v>
      </c>
      <c r="R171" s="2">
        <f t="shared" si="66"/>
        <v>7</v>
      </c>
      <c r="S171" s="2">
        <f t="shared" si="67"/>
        <v>50</v>
      </c>
      <c r="T171" s="2">
        <f t="shared" si="68"/>
        <v>119.04761904761905</v>
      </c>
      <c r="U171" s="2">
        <f ca="1">VLOOKUP(E171,金币生产率!$A$2:$B$120,2,0)</f>
        <v>522</v>
      </c>
      <c r="V171" s="2">
        <f t="shared" si="69"/>
        <v>119.04761904761905</v>
      </c>
      <c r="W171" s="45">
        <f t="shared" ca="1" si="82"/>
        <v>10</v>
      </c>
      <c r="X171" s="48">
        <f t="shared" ca="1" si="83"/>
        <v>103</v>
      </c>
      <c r="Y171">
        <f t="shared" si="70"/>
        <v>18</v>
      </c>
      <c r="Z171">
        <f t="shared" ca="1" si="77"/>
        <v>0</v>
      </c>
      <c r="AA171" t="str">
        <f t="shared" ca="1" si="78"/>
        <v>9122300.png</v>
      </c>
      <c r="AB171">
        <f t="shared" si="71"/>
        <v>20</v>
      </c>
      <c r="AC171">
        <f>VLOOKUP(C171,技能辅助查询表,技能配置辅助表!$W$1,FALSE)</f>
        <v>5602</v>
      </c>
      <c r="AD171">
        <f t="shared" ca="1" si="79"/>
        <v>7.0367869299363806</v>
      </c>
      <c r="AE171">
        <f>VLOOKUP(C171,技能辅助查询表,技能配置辅助表!$U$1,FALSE)</f>
        <v>4</v>
      </c>
      <c r="AF171">
        <f t="shared" ca="1" si="80"/>
        <v>9122316</v>
      </c>
      <c r="AG171">
        <f t="shared" ca="1" si="84"/>
        <v>29.346938775510203</v>
      </c>
      <c r="AH171">
        <f t="shared" ca="1" si="81"/>
        <v>92.357828455414989</v>
      </c>
      <c r="AI171">
        <f ca="1">VLOOKUP(E171,伤害参考系!$C$4:$E$104,3,FALSE)*$AN$12</f>
        <v>1576.1465593645489</v>
      </c>
      <c r="AJ171">
        <f>VLOOKUP(C171,技能辅助查询表,技能配置辅助表!$L$1,FALSE)</f>
        <v>1</v>
      </c>
      <c r="AK171">
        <f>VLOOKUP(C171,技能辅助查询表,技能配置辅助表!$AE$1,FALSE)</f>
        <v>66000113</v>
      </c>
    </row>
    <row r="172" spans="1:37" x14ac:dyDescent="0.15">
      <c r="A172" s="1">
        <f t="shared" ca="1" si="72"/>
        <v>9122317</v>
      </c>
      <c r="B172" s="1" t="str">
        <f t="shared" ca="1" si="57"/>
        <v>影袭·斩第3段</v>
      </c>
      <c r="C172" t="s">
        <v>153</v>
      </c>
      <c r="D172">
        <f t="shared" si="58"/>
        <v>1</v>
      </c>
      <c r="E172" s="42">
        <f t="shared" ca="1" si="73"/>
        <v>32</v>
      </c>
      <c r="F172" t="str">
        <f t="shared" ca="1" si="74"/>
        <v>第17级，共造成139.3%点伤害</v>
      </c>
      <c r="G172">
        <f t="shared" ca="1" si="75"/>
        <v>3</v>
      </c>
      <c r="H172">
        <f t="shared" si="59"/>
        <v>3</v>
      </c>
      <c r="I172" s="44">
        <f t="shared" ca="1" si="76"/>
        <v>17</v>
      </c>
      <c r="J172">
        <f t="shared" si="60"/>
        <v>2</v>
      </c>
      <c r="K172" s="36">
        <f t="shared" ca="1" si="61"/>
        <v>139.28571428571428</v>
      </c>
      <c r="L172" s="10">
        <f ca="1">AH172*VLOOKUP(C172,技能辅助查询表,技能配置辅助表!$T$1,FALSE)</f>
        <v>0</v>
      </c>
      <c r="M172">
        <f t="shared" ca="1" si="62"/>
        <v>6640</v>
      </c>
      <c r="N172" s="33">
        <f ca="1">CHOOSE(1,W172*U172,X172*'[1]0、经济设定'!$C$18)</f>
        <v>6666</v>
      </c>
      <c r="O172">
        <f t="shared" si="63"/>
        <v>2</v>
      </c>
      <c r="P172">
        <f t="shared" si="64"/>
        <v>1</v>
      </c>
      <c r="Q172">
        <f t="shared" si="65"/>
        <v>1</v>
      </c>
      <c r="R172" s="2">
        <f t="shared" si="66"/>
        <v>7</v>
      </c>
      <c r="S172" s="2">
        <f t="shared" si="67"/>
        <v>50</v>
      </c>
      <c r="T172" s="2">
        <f t="shared" si="68"/>
        <v>119.04761904761905</v>
      </c>
      <c r="U172" s="2">
        <f ca="1">VLOOKUP(E172,金币生产率!$A$2:$B$120,2,0)</f>
        <v>606</v>
      </c>
      <c r="V172" s="2">
        <f t="shared" si="69"/>
        <v>119.04761904761905</v>
      </c>
      <c r="W172" s="45">
        <f t="shared" ca="1" si="82"/>
        <v>11</v>
      </c>
      <c r="X172" s="48">
        <f t="shared" ca="1" si="83"/>
        <v>114</v>
      </c>
      <c r="Y172">
        <f t="shared" si="70"/>
        <v>18</v>
      </c>
      <c r="Z172">
        <f t="shared" ca="1" si="77"/>
        <v>0</v>
      </c>
      <c r="AA172" t="str">
        <f t="shared" ca="1" si="78"/>
        <v>9122300.png</v>
      </c>
      <c r="AB172">
        <f t="shared" si="71"/>
        <v>20</v>
      </c>
      <c r="AC172">
        <f>VLOOKUP(C172,技能辅助查询表,技能配置辅助表!$W$1,FALSE)</f>
        <v>5602</v>
      </c>
      <c r="AD172">
        <f t="shared" ca="1" si="79"/>
        <v>8.2616417152442487</v>
      </c>
      <c r="AE172">
        <f>VLOOKUP(C172,技能辅助查询表,技能配置辅助表!$U$1,FALSE)</f>
        <v>4</v>
      </c>
      <c r="AF172">
        <f t="shared" ca="1" si="80"/>
        <v>9122317</v>
      </c>
      <c r="AG172">
        <f t="shared" ca="1" si="84"/>
        <v>30.836734693877553</v>
      </c>
      <c r="AH172">
        <f t="shared" ca="1" si="81"/>
        <v>105.14816728492683</v>
      </c>
      <c r="AI172">
        <f ca="1">VLOOKUP(E172,伤害参考系!$C$4:$E$104,3,FALSE)*$AN$12</f>
        <v>1873.3990785953181</v>
      </c>
      <c r="AJ172">
        <f>VLOOKUP(C172,技能辅助查询表,技能配置辅助表!$L$1,FALSE)</f>
        <v>1</v>
      </c>
      <c r="AK172">
        <f>VLOOKUP(C172,技能辅助查询表,技能配置辅助表!$AE$1,FALSE)</f>
        <v>66000113</v>
      </c>
    </row>
    <row r="173" spans="1:37" x14ac:dyDescent="0.15">
      <c r="A173" s="1">
        <f t="shared" ca="1" si="72"/>
        <v>9122318</v>
      </c>
      <c r="B173" s="1" t="str">
        <f t="shared" ca="1" si="57"/>
        <v>影袭·斩第3段</v>
      </c>
      <c r="C173" t="s">
        <v>153</v>
      </c>
      <c r="D173">
        <f t="shared" si="58"/>
        <v>1</v>
      </c>
      <c r="E173" s="42">
        <f t="shared" ca="1" si="73"/>
        <v>33</v>
      </c>
      <c r="F173" t="str">
        <f t="shared" ca="1" si="74"/>
        <v>第18级，共造成140.5%点伤害</v>
      </c>
      <c r="G173">
        <f t="shared" ca="1" si="75"/>
        <v>3</v>
      </c>
      <c r="H173">
        <f t="shared" si="59"/>
        <v>3</v>
      </c>
      <c r="I173" s="44">
        <f t="shared" ca="1" si="76"/>
        <v>18</v>
      </c>
      <c r="J173">
        <f t="shared" si="60"/>
        <v>2</v>
      </c>
      <c r="K173" s="36">
        <f t="shared" ca="1" si="61"/>
        <v>140.47619047619048</v>
      </c>
      <c r="L173" s="10">
        <f ca="1">AH173*VLOOKUP(C173,技能辅助查询表,技能配置辅助表!$T$1,FALSE)</f>
        <v>0</v>
      </c>
      <c r="M173">
        <f t="shared" ca="1" si="62"/>
        <v>6560</v>
      </c>
      <c r="N173" s="33">
        <f ca="1">CHOOSE(1,W173*U173,X173*'[1]0、经济设定'!$C$18)</f>
        <v>7812</v>
      </c>
      <c r="O173">
        <f t="shared" si="63"/>
        <v>2</v>
      </c>
      <c r="P173">
        <f t="shared" si="64"/>
        <v>1</v>
      </c>
      <c r="Q173">
        <f t="shared" si="65"/>
        <v>1</v>
      </c>
      <c r="R173" s="2">
        <f t="shared" si="66"/>
        <v>7</v>
      </c>
      <c r="S173" s="2">
        <f t="shared" si="67"/>
        <v>50</v>
      </c>
      <c r="T173" s="2">
        <f t="shared" si="68"/>
        <v>119.04761904761905</v>
      </c>
      <c r="U173" s="2">
        <f ca="1">VLOOKUP(E173,金币生产率!$A$2:$B$120,2,0)</f>
        <v>651</v>
      </c>
      <c r="V173" s="2">
        <f t="shared" si="69"/>
        <v>119.04761904761905</v>
      </c>
      <c r="W173" s="45">
        <f t="shared" ca="1" si="82"/>
        <v>12</v>
      </c>
      <c r="X173" s="48">
        <f t="shared" ca="1" si="83"/>
        <v>126</v>
      </c>
      <c r="Y173">
        <f t="shared" si="70"/>
        <v>18</v>
      </c>
      <c r="Z173">
        <f t="shared" ca="1" si="77"/>
        <v>5</v>
      </c>
      <c r="AA173" t="str">
        <f t="shared" ca="1" si="78"/>
        <v>9122300.png</v>
      </c>
      <c r="AB173">
        <f t="shared" si="71"/>
        <v>20</v>
      </c>
      <c r="AC173">
        <f>VLOOKUP(C173,技能辅助查询表,技能配置辅助表!$W$1,FALSE)</f>
        <v>5602</v>
      </c>
      <c r="AD173">
        <f t="shared" ca="1" si="79"/>
        <v>9.6907932549269837</v>
      </c>
      <c r="AE173">
        <f>VLOOKUP(C173,技能辅助查询表,技能配置辅助表!$U$1,FALSE)</f>
        <v>4</v>
      </c>
      <c r="AF173">
        <f t="shared" ca="1" si="80"/>
        <v>9122318</v>
      </c>
      <c r="AG173">
        <f t="shared" ca="1" si="84"/>
        <v>32.326530612244895</v>
      </c>
      <c r="AH173">
        <f t="shared" ca="1" si="81"/>
        <v>119.70979903145096</v>
      </c>
      <c r="AI173">
        <f ca="1">VLOOKUP(E173,伤害参考系!$C$4:$E$104,3,FALSE)*$AN$12</f>
        <v>2031.7137667224088</v>
      </c>
      <c r="AJ173">
        <f>VLOOKUP(C173,技能辅助查询表,技能配置辅助表!$L$1,FALSE)</f>
        <v>1</v>
      </c>
      <c r="AK173">
        <f>VLOOKUP(C173,技能辅助查询表,技能配置辅助表!$AE$1,FALSE)</f>
        <v>66000113</v>
      </c>
    </row>
    <row r="174" spans="1:37" x14ac:dyDescent="0.15">
      <c r="A174" s="1">
        <f t="shared" ca="1" si="72"/>
        <v>9122319</v>
      </c>
      <c r="B174" s="1" t="str">
        <f t="shared" ca="1" si="57"/>
        <v>影袭·斩第3段</v>
      </c>
      <c r="C174" t="s">
        <v>153</v>
      </c>
      <c r="D174">
        <f t="shared" si="58"/>
        <v>1</v>
      </c>
      <c r="E174" s="42">
        <f t="shared" ca="1" si="73"/>
        <v>35</v>
      </c>
      <c r="F174" t="str">
        <f t="shared" ca="1" si="74"/>
        <v>第19级，共造成141.7%点伤害</v>
      </c>
      <c r="G174">
        <f t="shared" ca="1" si="75"/>
        <v>3</v>
      </c>
      <c r="H174">
        <f t="shared" si="59"/>
        <v>3</v>
      </c>
      <c r="I174" s="44">
        <f t="shared" ca="1" si="76"/>
        <v>19</v>
      </c>
      <c r="J174">
        <f t="shared" si="60"/>
        <v>2</v>
      </c>
      <c r="K174" s="36">
        <f t="shared" ca="1" si="61"/>
        <v>141.66666666666669</v>
      </c>
      <c r="L174" s="10">
        <f ca="1">AH174*VLOOKUP(C174,技能辅助查询表,技能配置辅助表!$T$1,FALSE)</f>
        <v>0</v>
      </c>
      <c r="M174">
        <f t="shared" ca="1" si="62"/>
        <v>6480</v>
      </c>
      <c r="N174" s="33">
        <f ca="1">CHOOSE(1,W174*U174,X174*'[1]0、经济设定'!$C$18)</f>
        <v>9659</v>
      </c>
      <c r="O174">
        <f t="shared" si="63"/>
        <v>2</v>
      </c>
      <c r="P174">
        <f t="shared" si="64"/>
        <v>1</v>
      </c>
      <c r="Q174">
        <f t="shared" si="65"/>
        <v>1</v>
      </c>
      <c r="R174" s="2">
        <f t="shared" si="66"/>
        <v>7</v>
      </c>
      <c r="S174" s="2">
        <f t="shared" si="67"/>
        <v>50</v>
      </c>
      <c r="T174" s="2">
        <f t="shared" si="68"/>
        <v>119.04761904761905</v>
      </c>
      <c r="U174" s="2">
        <f ca="1">VLOOKUP(E174,金币生产率!$A$2:$B$120,2,0)</f>
        <v>743</v>
      </c>
      <c r="V174" s="2">
        <f t="shared" si="69"/>
        <v>119.04761904761905</v>
      </c>
      <c r="W174" s="45">
        <f t="shared" ca="1" si="82"/>
        <v>13</v>
      </c>
      <c r="X174" s="48">
        <f t="shared" ca="1" si="83"/>
        <v>139</v>
      </c>
      <c r="Y174">
        <f t="shared" si="70"/>
        <v>18</v>
      </c>
      <c r="Z174">
        <f t="shared" ca="1" si="77"/>
        <v>6</v>
      </c>
      <c r="AA174" t="str">
        <f t="shared" ca="1" si="78"/>
        <v>9122300.png</v>
      </c>
      <c r="AB174">
        <f t="shared" si="71"/>
        <v>20</v>
      </c>
      <c r="AC174">
        <f>VLOOKUP(C174,技能辅助查询表,技能配置辅助表!$W$1,FALSE)</f>
        <v>5602</v>
      </c>
      <c r="AD174">
        <f t="shared" ca="1" si="79"/>
        <v>11.357335363185069</v>
      </c>
      <c r="AE174">
        <f>VLOOKUP(C174,技能辅助查询表,技能配置辅助表!$U$1,FALSE)</f>
        <v>4</v>
      </c>
      <c r="AF174">
        <f t="shared" ca="1" si="80"/>
        <v>9122319</v>
      </c>
      <c r="AG174">
        <f t="shared" ca="1" si="84"/>
        <v>33.816326530612244</v>
      </c>
      <c r="AH174">
        <f t="shared" ca="1" si="81"/>
        <v>136.28802435822078</v>
      </c>
      <c r="AI174">
        <f ca="1">VLOOKUP(E174,伤害参考系!$C$4:$E$104,3,FALSE)*$AN$12</f>
        <v>2367.0860869565217</v>
      </c>
      <c r="AJ174">
        <f>VLOOKUP(C174,技能辅助查询表,技能配置辅助表!$L$1,FALSE)</f>
        <v>1</v>
      </c>
      <c r="AK174">
        <f>VLOOKUP(C174,技能辅助查询表,技能配置辅助表!$AE$1,FALSE)</f>
        <v>66000113</v>
      </c>
    </row>
    <row r="175" spans="1:37" x14ac:dyDescent="0.15">
      <c r="A175" s="1">
        <f t="shared" ca="1" si="72"/>
        <v>9122320</v>
      </c>
      <c r="B175" s="1" t="str">
        <f t="shared" ca="1" si="57"/>
        <v>影袭·斩第3段</v>
      </c>
      <c r="C175" t="s">
        <v>153</v>
      </c>
      <c r="D175">
        <f t="shared" si="58"/>
        <v>1</v>
      </c>
      <c r="E175" s="42">
        <f t="shared" ca="1" si="73"/>
        <v>36</v>
      </c>
      <c r="F175" t="str">
        <f t="shared" ca="1" si="74"/>
        <v>第20级，共造成142.9%点伤害</v>
      </c>
      <c r="G175">
        <f t="shared" ca="1" si="75"/>
        <v>3</v>
      </c>
      <c r="H175">
        <f t="shared" si="59"/>
        <v>3</v>
      </c>
      <c r="I175" s="44">
        <f t="shared" ca="1" si="76"/>
        <v>20</v>
      </c>
      <c r="J175">
        <f t="shared" si="60"/>
        <v>2</v>
      </c>
      <c r="K175" s="36">
        <f t="shared" ca="1" si="61"/>
        <v>142.85714285714286</v>
      </c>
      <c r="L175" s="10">
        <f ca="1">AH175*VLOOKUP(C175,技能辅助查询表,技能配置辅助表!$T$1,FALSE)</f>
        <v>0</v>
      </c>
      <c r="M175">
        <f t="shared" ca="1" si="62"/>
        <v>6400</v>
      </c>
      <c r="N175" s="33">
        <f ca="1">CHOOSE(1,W175*U175,X175*'[1]0、经济设定'!$C$18)</f>
        <v>10283</v>
      </c>
      <c r="O175">
        <f t="shared" si="63"/>
        <v>2</v>
      </c>
      <c r="P175">
        <f t="shared" si="64"/>
        <v>1</v>
      </c>
      <c r="Q175">
        <f t="shared" si="65"/>
        <v>1</v>
      </c>
      <c r="R175" s="2">
        <f t="shared" si="66"/>
        <v>7</v>
      </c>
      <c r="S175" s="2">
        <f t="shared" si="67"/>
        <v>50</v>
      </c>
      <c r="T175" s="2">
        <f t="shared" si="68"/>
        <v>119.04761904761905</v>
      </c>
      <c r="U175" s="2">
        <f ca="1">VLOOKUP(E175,金币生产率!$A$2:$B$120,2,0)</f>
        <v>791</v>
      </c>
      <c r="V175" s="2">
        <f t="shared" si="69"/>
        <v>119.04761904761905</v>
      </c>
      <c r="W175" s="45">
        <f t="shared" ca="1" si="82"/>
        <v>13</v>
      </c>
      <c r="X175" s="48">
        <f t="shared" ca="1" si="83"/>
        <v>152</v>
      </c>
      <c r="Y175">
        <f t="shared" si="70"/>
        <v>18</v>
      </c>
      <c r="Z175">
        <f t="shared" ca="1" si="77"/>
        <v>6</v>
      </c>
      <c r="AA175" t="str">
        <f t="shared" ca="1" si="78"/>
        <v>9122300.png</v>
      </c>
      <c r="AB175">
        <f t="shared" si="71"/>
        <v>20</v>
      </c>
      <c r="AC175">
        <f>VLOOKUP(C175,技能辅助查询表,技能配置辅助表!$W$1,FALSE)</f>
        <v>5602</v>
      </c>
      <c r="AD175">
        <f t="shared" ca="1" si="79"/>
        <v>13.299609842480328</v>
      </c>
      <c r="AE175">
        <f>VLOOKUP(C175,技能辅助查询表,技能配置辅助表!$U$1,FALSE)</f>
        <v>4</v>
      </c>
      <c r="AF175">
        <f t="shared" ca="1" si="80"/>
        <v>9122320</v>
      </c>
      <c r="AG175">
        <f t="shared" ca="1" si="84"/>
        <v>35.306122448979593</v>
      </c>
      <c r="AH175">
        <f t="shared" ca="1" si="81"/>
        <v>155.16211482893718</v>
      </c>
      <c r="AI175">
        <f ca="1">VLOOKUP(E175,伤害参考系!$C$4:$E$104,3,FALSE)*$AN$12</f>
        <v>2544.1437190635456</v>
      </c>
      <c r="AJ175">
        <f>VLOOKUP(C175,技能辅助查询表,技能配置辅助表!$L$1,FALSE)</f>
        <v>1</v>
      </c>
      <c r="AK175">
        <f>VLOOKUP(C175,技能辅助查询表,技能配置辅助表!$AE$1,FALSE)</f>
        <v>66000113</v>
      </c>
    </row>
    <row r="176" spans="1:37" x14ac:dyDescent="0.15">
      <c r="A176" s="1">
        <f t="shared" ca="1" si="72"/>
        <v>9122321</v>
      </c>
      <c r="B176" s="1" t="str">
        <f t="shared" ca="1" si="57"/>
        <v>影袭·斩第3段</v>
      </c>
      <c r="C176" t="s">
        <v>153</v>
      </c>
      <c r="D176">
        <f t="shared" si="58"/>
        <v>1</v>
      </c>
      <c r="E176" s="42">
        <f t="shared" ca="1" si="73"/>
        <v>38</v>
      </c>
      <c r="F176" t="str">
        <f t="shared" ca="1" si="74"/>
        <v>第21级，共造成144%点伤害</v>
      </c>
      <c r="G176">
        <f t="shared" ca="1" si="75"/>
        <v>3</v>
      </c>
      <c r="H176">
        <f t="shared" si="59"/>
        <v>3</v>
      </c>
      <c r="I176" s="44">
        <f t="shared" ca="1" si="76"/>
        <v>21</v>
      </c>
      <c r="J176">
        <f t="shared" si="60"/>
        <v>2</v>
      </c>
      <c r="K176" s="36">
        <f t="shared" ca="1" si="61"/>
        <v>144.04761904761904</v>
      </c>
      <c r="L176" s="10">
        <f ca="1">AH176*VLOOKUP(C176,技能辅助查询表,技能配置辅助表!$T$1,FALSE)</f>
        <v>0</v>
      </c>
      <c r="M176">
        <f t="shared" ca="1" si="62"/>
        <v>6320</v>
      </c>
      <c r="N176" s="33">
        <f ca="1">CHOOSE(1,W176*U176,X176*'[1]0、经济设定'!$C$18)</f>
        <v>12488</v>
      </c>
      <c r="O176">
        <f t="shared" si="63"/>
        <v>2</v>
      </c>
      <c r="P176">
        <f t="shared" si="64"/>
        <v>1</v>
      </c>
      <c r="Q176">
        <f t="shared" si="65"/>
        <v>1</v>
      </c>
      <c r="R176" s="2">
        <f t="shared" si="66"/>
        <v>7</v>
      </c>
      <c r="S176" s="2">
        <f t="shared" si="67"/>
        <v>50</v>
      </c>
      <c r="T176" s="2">
        <f t="shared" si="68"/>
        <v>119.04761904761905</v>
      </c>
      <c r="U176" s="2">
        <f ca="1">VLOOKUP(E176,金币生产率!$A$2:$B$120,2,0)</f>
        <v>892</v>
      </c>
      <c r="V176" s="2">
        <f t="shared" si="69"/>
        <v>119.04761904761905</v>
      </c>
      <c r="W176" s="45">
        <f t="shared" ca="1" si="82"/>
        <v>14</v>
      </c>
      <c r="X176" s="48">
        <f t="shared" ca="1" si="83"/>
        <v>166</v>
      </c>
      <c r="Y176">
        <f t="shared" si="70"/>
        <v>18</v>
      </c>
      <c r="Z176">
        <f t="shared" ca="1" si="77"/>
        <v>6</v>
      </c>
      <c r="AA176" t="str">
        <f t="shared" ca="1" si="78"/>
        <v>9122300.png</v>
      </c>
      <c r="AB176">
        <f t="shared" si="71"/>
        <v>20</v>
      </c>
      <c r="AC176">
        <f>VLOOKUP(C176,技能辅助查询表,技能配置辅助表!$W$1,FALSE)</f>
        <v>5602</v>
      </c>
      <c r="AD176">
        <f t="shared" ca="1" si="79"/>
        <v>15.562025344899888</v>
      </c>
      <c r="AE176">
        <f>VLOOKUP(C176,技能辅助查询表,技能配置辅助表!$U$1,FALSE)</f>
        <v>4</v>
      </c>
      <c r="AF176">
        <f t="shared" ca="1" si="80"/>
        <v>9122321</v>
      </c>
      <c r="AG176">
        <f t="shared" ca="1" si="84"/>
        <v>36.795918367346943</v>
      </c>
      <c r="AH176">
        <f t="shared" ca="1" si="81"/>
        <v>176.65001742859343</v>
      </c>
      <c r="AI176">
        <f ca="1">VLOOKUP(E176,伤害参考系!$C$4:$E$104,3,FALSE)*$AN$12</f>
        <v>2917.001927257525</v>
      </c>
      <c r="AJ176">
        <f>VLOOKUP(C176,技能辅助查询表,技能配置辅助表!$L$1,FALSE)</f>
        <v>1</v>
      </c>
      <c r="AK176">
        <f>VLOOKUP(C176,技能辅助查询表,技能配置辅助表!$AE$1,FALSE)</f>
        <v>66000113</v>
      </c>
    </row>
    <row r="177" spans="1:37" x14ac:dyDescent="0.15">
      <c r="A177" s="1">
        <f t="shared" ca="1" si="72"/>
        <v>9122322</v>
      </c>
      <c r="B177" s="1" t="str">
        <f t="shared" ca="1" si="57"/>
        <v>影袭·斩第3段</v>
      </c>
      <c r="C177" t="s">
        <v>153</v>
      </c>
      <c r="D177">
        <f t="shared" si="58"/>
        <v>1</v>
      </c>
      <c r="E177" s="42">
        <f t="shared" ca="1" si="73"/>
        <v>39</v>
      </c>
      <c r="F177" t="str">
        <f t="shared" ca="1" si="74"/>
        <v>第22级，共造成145.2%点伤害</v>
      </c>
      <c r="G177">
        <f t="shared" ca="1" si="75"/>
        <v>3</v>
      </c>
      <c r="H177">
        <f t="shared" si="59"/>
        <v>3</v>
      </c>
      <c r="I177" s="44">
        <f t="shared" ca="1" si="76"/>
        <v>22</v>
      </c>
      <c r="J177">
        <f t="shared" si="60"/>
        <v>2</v>
      </c>
      <c r="K177" s="36">
        <f t="shared" ca="1" si="61"/>
        <v>145.23809523809524</v>
      </c>
      <c r="L177" s="10">
        <f ca="1">AH177*VLOOKUP(C177,技能辅助查询表,技能配置辅助表!$T$1,FALSE)</f>
        <v>0</v>
      </c>
      <c r="M177">
        <f t="shared" ca="1" si="62"/>
        <v>6240</v>
      </c>
      <c r="N177" s="33">
        <f ca="1">CHOOSE(1,W177*U177,X177*'[1]0、经济设定'!$C$18)</f>
        <v>14160</v>
      </c>
      <c r="O177">
        <f t="shared" si="63"/>
        <v>2</v>
      </c>
      <c r="P177">
        <f t="shared" si="64"/>
        <v>1</v>
      </c>
      <c r="Q177">
        <f t="shared" si="65"/>
        <v>1</v>
      </c>
      <c r="R177" s="2">
        <f t="shared" si="66"/>
        <v>7</v>
      </c>
      <c r="S177" s="2">
        <f t="shared" si="67"/>
        <v>50</v>
      </c>
      <c r="T177" s="2">
        <f t="shared" si="68"/>
        <v>119.04761904761905</v>
      </c>
      <c r="U177" s="2">
        <f ca="1">VLOOKUP(E177,金币生产率!$A$2:$B$120,2,0)</f>
        <v>944</v>
      </c>
      <c r="V177" s="2">
        <f t="shared" si="69"/>
        <v>119.04761904761905</v>
      </c>
      <c r="W177" s="45">
        <f t="shared" ca="1" si="82"/>
        <v>15</v>
      </c>
      <c r="X177" s="48">
        <f t="shared" ca="1" si="83"/>
        <v>181</v>
      </c>
      <c r="Y177">
        <f t="shared" si="70"/>
        <v>18</v>
      </c>
      <c r="Z177">
        <f t="shared" ca="1" si="77"/>
        <v>6</v>
      </c>
      <c r="AA177" t="str">
        <f t="shared" ca="1" si="78"/>
        <v>9122300.png</v>
      </c>
      <c r="AB177">
        <f t="shared" si="71"/>
        <v>20</v>
      </c>
      <c r="AC177">
        <f>VLOOKUP(C177,技能辅助查询表,技能配置辅助表!$W$1,FALSE)</f>
        <v>5602</v>
      </c>
      <c r="AD177">
        <f t="shared" ca="1" si="79"/>
        <v>18.19600238746251</v>
      </c>
      <c r="AE177">
        <f>VLOOKUP(C177,技能辅助查询表,技能配置辅助表!$U$1,FALSE)</f>
        <v>4</v>
      </c>
      <c r="AF177">
        <f t="shared" ca="1" si="80"/>
        <v>9122322</v>
      </c>
      <c r="AG177">
        <f t="shared" ca="1" si="84"/>
        <v>38.285714285714285</v>
      </c>
      <c r="AH177">
        <f t="shared" ca="1" si="81"/>
        <v>201.11371059826985</v>
      </c>
      <c r="AI177">
        <f ca="1">VLOOKUP(E177,伤害参考系!$C$4:$E$104,3,FALSE)*$AN$12</f>
        <v>3112.8025033444819</v>
      </c>
      <c r="AJ177">
        <f>VLOOKUP(C177,技能辅助查询表,技能配置辅助表!$L$1,FALSE)</f>
        <v>1</v>
      </c>
      <c r="AK177">
        <f>VLOOKUP(C177,技能辅助查询表,技能配置辅助表!$AE$1,FALSE)</f>
        <v>66000113</v>
      </c>
    </row>
    <row r="178" spans="1:37" x14ac:dyDescent="0.15">
      <c r="A178" s="1">
        <f t="shared" ca="1" si="72"/>
        <v>9122323</v>
      </c>
      <c r="B178" s="1" t="str">
        <f t="shared" ca="1" si="57"/>
        <v>影袭·斩第3段</v>
      </c>
      <c r="C178" t="s">
        <v>153</v>
      </c>
      <c r="D178">
        <f t="shared" si="58"/>
        <v>1</v>
      </c>
      <c r="E178" s="42">
        <f t="shared" ca="1" si="73"/>
        <v>41</v>
      </c>
      <c r="F178" t="str">
        <f t="shared" ca="1" si="74"/>
        <v>第23级，共造成146.4%点伤害</v>
      </c>
      <c r="G178">
        <f t="shared" ca="1" si="75"/>
        <v>3</v>
      </c>
      <c r="H178">
        <f t="shared" si="59"/>
        <v>3</v>
      </c>
      <c r="I178" s="44">
        <f t="shared" ca="1" si="76"/>
        <v>23</v>
      </c>
      <c r="J178">
        <f t="shared" si="60"/>
        <v>2</v>
      </c>
      <c r="K178" s="36">
        <f t="shared" ca="1" si="61"/>
        <v>146.42857142857144</v>
      </c>
      <c r="L178" s="10">
        <f ca="1">AH178*VLOOKUP(C178,技能辅助查询表,技能配置辅助表!$T$1,FALSE)</f>
        <v>0</v>
      </c>
      <c r="M178">
        <f t="shared" ca="1" si="62"/>
        <v>6160</v>
      </c>
      <c r="N178" s="33">
        <f ca="1">CHOOSE(1,W178*U178,X178*'[1]0、经济设定'!$C$18)</f>
        <v>16848</v>
      </c>
      <c r="O178">
        <f t="shared" si="63"/>
        <v>2</v>
      </c>
      <c r="P178">
        <f t="shared" si="64"/>
        <v>1</v>
      </c>
      <c r="Q178">
        <f t="shared" si="65"/>
        <v>1</v>
      </c>
      <c r="R178" s="2">
        <f t="shared" si="66"/>
        <v>7</v>
      </c>
      <c r="S178" s="2">
        <f t="shared" si="67"/>
        <v>50</v>
      </c>
      <c r="T178" s="2">
        <f t="shared" si="68"/>
        <v>119.04761904761905</v>
      </c>
      <c r="U178" s="2">
        <f ca="1">VLOOKUP(E178,金币生产率!$A$2:$B$120,2,0)</f>
        <v>1053</v>
      </c>
      <c r="V178" s="2">
        <f t="shared" si="69"/>
        <v>119.04761904761905</v>
      </c>
      <c r="W178" s="45">
        <f t="shared" ca="1" si="82"/>
        <v>16</v>
      </c>
      <c r="X178" s="48">
        <f t="shared" ca="1" si="83"/>
        <v>197</v>
      </c>
      <c r="Y178">
        <f t="shared" si="70"/>
        <v>18</v>
      </c>
      <c r="Z178">
        <f t="shared" ca="1" si="77"/>
        <v>7</v>
      </c>
      <c r="AA178" t="str">
        <f t="shared" ca="1" si="78"/>
        <v>9122300.png</v>
      </c>
      <c r="AB178">
        <f t="shared" si="71"/>
        <v>20</v>
      </c>
      <c r="AC178">
        <f>VLOOKUP(C178,技能辅助查询表,技能配置辅助表!$W$1,FALSE)</f>
        <v>5602</v>
      </c>
      <c r="AD178">
        <f t="shared" ca="1" si="79"/>
        <v>21.261063758068786</v>
      </c>
      <c r="AE178">
        <f>VLOOKUP(C178,技能辅助查询表,技能配置辅助表!$U$1,FALSE)</f>
        <v>4</v>
      </c>
      <c r="AF178">
        <f t="shared" ca="1" si="80"/>
        <v>9122323</v>
      </c>
      <c r="AG178">
        <f t="shared" ca="1" si="84"/>
        <v>39.775510204081634</v>
      </c>
      <c r="AH178">
        <f t="shared" ca="1" si="81"/>
        <v>228.96530200997151</v>
      </c>
      <c r="AI178">
        <f ca="1">VLOOKUP(E178,伤害参考系!$C$4:$E$104,3,FALSE)*$AN$12</f>
        <v>3584.9561889632118</v>
      </c>
      <c r="AJ178">
        <f>VLOOKUP(C178,技能辅助查询表,技能配置辅助表!$L$1,FALSE)</f>
        <v>1</v>
      </c>
      <c r="AK178">
        <f>VLOOKUP(C178,技能辅助查询表,技能配置辅助表!$AE$1,FALSE)</f>
        <v>66000113</v>
      </c>
    </row>
    <row r="179" spans="1:37" x14ac:dyDescent="0.15">
      <c r="A179" s="1">
        <f t="shared" ca="1" si="72"/>
        <v>9122324</v>
      </c>
      <c r="B179" s="1" t="str">
        <f t="shared" ca="1" si="57"/>
        <v>影袭·斩第3段</v>
      </c>
      <c r="C179" t="s">
        <v>153</v>
      </c>
      <c r="D179">
        <f t="shared" si="58"/>
        <v>1</v>
      </c>
      <c r="E179" s="42">
        <f t="shared" ca="1" si="73"/>
        <v>42</v>
      </c>
      <c r="F179" t="str">
        <f t="shared" ca="1" si="74"/>
        <v>第24级，共造成147.6%点伤害</v>
      </c>
      <c r="G179">
        <f t="shared" ca="1" si="75"/>
        <v>3</v>
      </c>
      <c r="H179">
        <f t="shared" si="59"/>
        <v>3</v>
      </c>
      <c r="I179" s="44">
        <f t="shared" ca="1" si="76"/>
        <v>24</v>
      </c>
      <c r="J179">
        <f t="shared" si="60"/>
        <v>2</v>
      </c>
      <c r="K179" s="36">
        <f t="shared" ca="1" si="61"/>
        <v>147.61904761904762</v>
      </c>
      <c r="L179" s="10">
        <f ca="1">AH179*VLOOKUP(C179,技能辅助查询表,技能配置辅助表!$T$1,FALSE)</f>
        <v>0</v>
      </c>
      <c r="M179">
        <f t="shared" ca="1" si="62"/>
        <v>6080</v>
      </c>
      <c r="N179" s="33">
        <f ca="1">CHOOSE(1,W179*U179,X179*'[1]0、经济设定'!$C$18)</f>
        <v>18870</v>
      </c>
      <c r="O179">
        <f t="shared" si="63"/>
        <v>2</v>
      </c>
      <c r="P179">
        <f t="shared" si="64"/>
        <v>1</v>
      </c>
      <c r="Q179">
        <f t="shared" si="65"/>
        <v>1</v>
      </c>
      <c r="R179" s="2">
        <f t="shared" si="66"/>
        <v>7</v>
      </c>
      <c r="S179" s="2">
        <f t="shared" si="67"/>
        <v>50</v>
      </c>
      <c r="T179" s="2">
        <f t="shared" si="68"/>
        <v>119.04761904761905</v>
      </c>
      <c r="U179" s="2">
        <f ca="1">VLOOKUP(E179,金币生产率!$A$2:$B$120,2,0)</f>
        <v>1110</v>
      </c>
      <c r="V179" s="2">
        <f t="shared" si="69"/>
        <v>119.04761904761905</v>
      </c>
      <c r="W179" s="45">
        <f t="shared" ca="1" si="82"/>
        <v>17</v>
      </c>
      <c r="X179" s="48">
        <f t="shared" ca="1" si="83"/>
        <v>214</v>
      </c>
      <c r="Y179">
        <f t="shared" si="70"/>
        <v>18</v>
      </c>
      <c r="Z179">
        <f t="shared" ca="1" si="77"/>
        <v>7</v>
      </c>
      <c r="AA179" t="str">
        <f t="shared" ca="1" si="78"/>
        <v>9122300.png</v>
      </c>
      <c r="AB179">
        <f t="shared" si="71"/>
        <v>20</v>
      </c>
      <c r="AC179">
        <f>VLOOKUP(C179,技能辅助查询表,技能配置辅助表!$W$1,FALSE)</f>
        <v>5602</v>
      </c>
      <c r="AD179">
        <f t="shared" ca="1" si="79"/>
        <v>24.826092457400648</v>
      </c>
      <c r="AE179">
        <f>VLOOKUP(C179,技能辅助查询表,技能配置辅助表!$U$1,FALSE)</f>
        <v>4</v>
      </c>
      <c r="AF179">
        <f t="shared" ca="1" si="80"/>
        <v>9122324</v>
      </c>
      <c r="AG179">
        <f t="shared" ca="1" si="84"/>
        <v>41.265306122448976</v>
      </c>
      <c r="AH179">
        <f t="shared" ca="1" si="81"/>
        <v>260.67397080270689</v>
      </c>
      <c r="AI179">
        <f ca="1">VLOOKUP(E179,伤害参考系!$C$4:$E$104,3,FALSE)*$AN$12</f>
        <v>3833.528327759198</v>
      </c>
      <c r="AJ179">
        <f>VLOOKUP(C179,技能辅助查询表,技能配置辅助表!$L$1,FALSE)</f>
        <v>1</v>
      </c>
      <c r="AK179">
        <f>VLOOKUP(C179,技能辅助查询表,技能配置辅助表!$AE$1,FALSE)</f>
        <v>66000113</v>
      </c>
    </row>
    <row r="180" spans="1:37" x14ac:dyDescent="0.15">
      <c r="A180" s="1">
        <f t="shared" ca="1" si="72"/>
        <v>9122325</v>
      </c>
      <c r="B180" s="1" t="str">
        <f t="shared" ca="1" si="57"/>
        <v>影袭·斩第3段</v>
      </c>
      <c r="C180" t="s">
        <v>153</v>
      </c>
      <c r="D180">
        <f t="shared" si="58"/>
        <v>1</v>
      </c>
      <c r="E180" s="42">
        <f t="shared" ca="1" si="73"/>
        <v>44</v>
      </c>
      <c r="F180" t="str">
        <f t="shared" ca="1" si="74"/>
        <v>第25级，共造成148.8%点伤害</v>
      </c>
      <c r="G180">
        <f t="shared" ca="1" si="75"/>
        <v>3</v>
      </c>
      <c r="H180">
        <f t="shared" si="59"/>
        <v>3</v>
      </c>
      <c r="I180" s="44">
        <f t="shared" ca="1" si="76"/>
        <v>25</v>
      </c>
      <c r="J180">
        <f t="shared" si="60"/>
        <v>2</v>
      </c>
      <c r="K180" s="36">
        <f t="shared" ca="1" si="61"/>
        <v>148.80952380952382</v>
      </c>
      <c r="L180" s="10">
        <f ca="1">AH180*VLOOKUP(C180,技能辅助查询表,技能配置辅助表!$T$1,FALSE)</f>
        <v>0</v>
      </c>
      <c r="M180">
        <f t="shared" ca="1" si="62"/>
        <v>6000</v>
      </c>
      <c r="N180" s="33">
        <f ca="1">CHOOSE(1,W180*U180,X180*'[1]0、经济设定'!$C$18)</f>
        <v>23294</v>
      </c>
      <c r="O180">
        <f t="shared" si="63"/>
        <v>2</v>
      </c>
      <c r="P180">
        <f t="shared" si="64"/>
        <v>1</v>
      </c>
      <c r="Q180">
        <f t="shared" si="65"/>
        <v>1</v>
      </c>
      <c r="R180" s="2">
        <f t="shared" si="66"/>
        <v>7</v>
      </c>
      <c r="S180" s="2">
        <f t="shared" si="67"/>
        <v>50</v>
      </c>
      <c r="T180" s="2">
        <f t="shared" si="68"/>
        <v>119.04761904761905</v>
      </c>
      <c r="U180" s="2">
        <f ca="1">VLOOKUP(E180,金币生产率!$A$2:$B$120,2,0)</f>
        <v>1226</v>
      </c>
      <c r="V180" s="2">
        <f t="shared" si="69"/>
        <v>119.04761904761905</v>
      </c>
      <c r="W180" s="45">
        <f t="shared" ca="1" si="82"/>
        <v>19</v>
      </c>
      <c r="X180" s="48">
        <f t="shared" ca="1" si="83"/>
        <v>233</v>
      </c>
      <c r="Y180">
        <f t="shared" si="70"/>
        <v>18</v>
      </c>
      <c r="Z180">
        <f t="shared" ca="1" si="77"/>
        <v>8</v>
      </c>
      <c r="AA180" t="str">
        <f t="shared" ca="1" si="78"/>
        <v>9122300.png</v>
      </c>
      <c r="AB180">
        <f t="shared" si="71"/>
        <v>20</v>
      </c>
      <c r="AC180">
        <f>VLOOKUP(C180,技能辅助查询表,技能配置辅助表!$W$1,FALSE)</f>
        <v>5602</v>
      </c>
      <c r="AD180">
        <f t="shared" ca="1" si="79"/>
        <v>28.970782667351624</v>
      </c>
      <c r="AE180">
        <f>VLOOKUP(C180,技能辅助查询表,技能配置辅助表!$U$1,FALSE)</f>
        <v>4</v>
      </c>
      <c r="AF180">
        <f t="shared" ca="1" si="80"/>
        <v>9122325</v>
      </c>
      <c r="AG180">
        <f t="shared" ca="1" si="84"/>
        <v>42.755102040816325</v>
      </c>
      <c r="AH180">
        <f t="shared" ca="1" si="81"/>
        <v>296.77387122652874</v>
      </c>
      <c r="AI180">
        <f ca="1">VLOOKUP(E180,伤害参考系!$C$4:$E$104,3,FALSE)*$AN$12</f>
        <v>4355.6631973244148</v>
      </c>
      <c r="AJ180">
        <f>VLOOKUP(C180,技能辅助查询表,技能配置辅助表!$L$1,FALSE)</f>
        <v>1</v>
      </c>
      <c r="AK180">
        <f>VLOOKUP(C180,技能辅助查询表,技能配置辅助表!$AE$1,FALSE)</f>
        <v>66000113</v>
      </c>
    </row>
    <row r="181" spans="1:37" x14ac:dyDescent="0.15">
      <c r="A181" s="1">
        <f t="shared" ca="1" si="72"/>
        <v>9122326</v>
      </c>
      <c r="B181" s="1" t="str">
        <f t="shared" ca="1" si="57"/>
        <v>影袭·斩第3段</v>
      </c>
      <c r="C181" t="s">
        <v>153</v>
      </c>
      <c r="D181">
        <f t="shared" si="58"/>
        <v>1</v>
      </c>
      <c r="E181" s="42">
        <f t="shared" ca="1" si="73"/>
        <v>45</v>
      </c>
      <c r="F181" t="str">
        <f t="shared" ca="1" si="74"/>
        <v>第26级，共造成150%点伤害</v>
      </c>
      <c r="G181">
        <f t="shared" ca="1" si="75"/>
        <v>3</v>
      </c>
      <c r="H181">
        <f t="shared" si="59"/>
        <v>3</v>
      </c>
      <c r="I181" s="44">
        <f t="shared" ca="1" si="76"/>
        <v>26</v>
      </c>
      <c r="J181">
        <f t="shared" si="60"/>
        <v>2</v>
      </c>
      <c r="K181" s="36">
        <f t="shared" ca="1" si="61"/>
        <v>150</v>
      </c>
      <c r="L181" s="10">
        <f ca="1">AH181*VLOOKUP(C181,技能辅助查询表,技能配置辅助表!$T$1,FALSE)</f>
        <v>0</v>
      </c>
      <c r="M181">
        <f t="shared" ca="1" si="62"/>
        <v>5920</v>
      </c>
      <c r="N181" s="33">
        <f ca="1">CHOOSE(1,W181*U181,X181*'[1]0、经济设定'!$C$18)</f>
        <v>25740</v>
      </c>
      <c r="O181">
        <f t="shared" si="63"/>
        <v>2</v>
      </c>
      <c r="P181">
        <f t="shared" si="64"/>
        <v>1</v>
      </c>
      <c r="Q181">
        <f t="shared" si="65"/>
        <v>1</v>
      </c>
      <c r="R181" s="2">
        <f t="shared" si="66"/>
        <v>7</v>
      </c>
      <c r="S181" s="2">
        <f t="shared" si="67"/>
        <v>50</v>
      </c>
      <c r="T181" s="2">
        <f t="shared" si="68"/>
        <v>119.04761904761905</v>
      </c>
      <c r="U181" s="2">
        <f ca="1">VLOOKUP(E181,金币生产率!$A$2:$B$120,2,0)</f>
        <v>1287</v>
      </c>
      <c r="V181" s="2">
        <f t="shared" si="69"/>
        <v>119.04761904761905</v>
      </c>
      <c r="W181" s="45">
        <f t="shared" ca="1" si="82"/>
        <v>20</v>
      </c>
      <c r="X181" s="48">
        <f t="shared" ca="1" si="83"/>
        <v>253</v>
      </c>
      <c r="Y181">
        <f t="shared" si="70"/>
        <v>18</v>
      </c>
      <c r="Z181">
        <f t="shared" ca="1" si="77"/>
        <v>8</v>
      </c>
      <c r="AA181" t="str">
        <f t="shared" ca="1" si="78"/>
        <v>9122300.png</v>
      </c>
      <c r="AB181">
        <f t="shared" si="71"/>
        <v>20</v>
      </c>
      <c r="AC181">
        <f>VLOOKUP(C181,技能辅助查询表,技能配置辅助表!$W$1,FALSE)</f>
        <v>5602</v>
      </c>
      <c r="AD181">
        <f t="shared" ca="1" si="79"/>
        <v>33.787313083683465</v>
      </c>
      <c r="AE181">
        <f>VLOOKUP(C181,技能辅助查询表,技能配置辅助表!$U$1,FALSE)</f>
        <v>4</v>
      </c>
      <c r="AF181">
        <f t="shared" ca="1" si="80"/>
        <v>9122326</v>
      </c>
      <c r="AG181">
        <f t="shared" ca="1" si="84"/>
        <v>44.244897959183675</v>
      </c>
      <c r="AH181">
        <f t="shared" ca="1" si="81"/>
        <v>337.87313083683472</v>
      </c>
      <c r="AI181">
        <f ca="1">VLOOKUP(E181,伤害参考系!$C$4:$E$104,3,FALSE)*$AN$12</f>
        <v>4629.2259280936469</v>
      </c>
      <c r="AJ181">
        <f>VLOOKUP(C181,技能辅助查询表,技能配置辅助表!$L$1,FALSE)</f>
        <v>1</v>
      </c>
      <c r="AK181">
        <f>VLOOKUP(C181,技能辅助查询表,技能配置辅助表!$AE$1,FALSE)</f>
        <v>66000113</v>
      </c>
    </row>
    <row r="182" spans="1:37" x14ac:dyDescent="0.15">
      <c r="A182" s="1">
        <f t="shared" ca="1" si="72"/>
        <v>9122327</v>
      </c>
      <c r="B182" s="1" t="str">
        <f t="shared" ca="1" si="57"/>
        <v>影袭·斩第3段</v>
      </c>
      <c r="C182" t="s">
        <v>153</v>
      </c>
      <c r="D182">
        <f t="shared" si="58"/>
        <v>1</v>
      </c>
      <c r="E182" s="42">
        <f t="shared" ca="1" si="73"/>
        <v>46</v>
      </c>
      <c r="F182" t="str">
        <f t="shared" ca="1" si="74"/>
        <v>第27级，共造成151.2%点伤害</v>
      </c>
      <c r="G182">
        <f t="shared" ca="1" si="75"/>
        <v>3</v>
      </c>
      <c r="H182">
        <f t="shared" si="59"/>
        <v>3</v>
      </c>
      <c r="I182" s="44">
        <f t="shared" ca="1" si="76"/>
        <v>27</v>
      </c>
      <c r="J182">
        <f t="shared" si="60"/>
        <v>2</v>
      </c>
      <c r="K182" s="36">
        <f t="shared" ca="1" si="61"/>
        <v>151.1904761904762</v>
      </c>
      <c r="L182" s="10">
        <f ca="1">AH182*VLOOKUP(C182,技能辅助查询表,技能配置辅助表!$T$1,FALSE)</f>
        <v>0</v>
      </c>
      <c r="M182">
        <f t="shared" ca="1" si="62"/>
        <v>5840</v>
      </c>
      <c r="N182" s="33">
        <f ca="1">CHOOSE(1,W182*U182,X182*'[1]0、经济设定'!$C$18)</f>
        <v>28329</v>
      </c>
      <c r="O182">
        <f t="shared" si="63"/>
        <v>2</v>
      </c>
      <c r="P182">
        <f t="shared" si="64"/>
        <v>1</v>
      </c>
      <c r="Q182">
        <f t="shared" si="65"/>
        <v>1</v>
      </c>
      <c r="R182" s="2">
        <f t="shared" si="66"/>
        <v>7</v>
      </c>
      <c r="S182" s="2">
        <f t="shared" si="67"/>
        <v>50</v>
      </c>
      <c r="T182" s="2">
        <f t="shared" si="68"/>
        <v>119.04761904761905</v>
      </c>
      <c r="U182" s="2">
        <f ca="1">VLOOKUP(E182,金币生产率!$A$2:$B$120,2,0)</f>
        <v>1349</v>
      </c>
      <c r="V182" s="2">
        <f t="shared" si="69"/>
        <v>119.04761904761905</v>
      </c>
      <c r="W182" s="45">
        <f t="shared" ca="1" si="82"/>
        <v>21</v>
      </c>
      <c r="X182" s="48">
        <f t="shared" ca="1" si="83"/>
        <v>274</v>
      </c>
      <c r="Y182">
        <f t="shared" si="70"/>
        <v>18</v>
      </c>
      <c r="Z182">
        <f t="shared" ca="1" si="77"/>
        <v>9</v>
      </c>
      <c r="AA182" t="str">
        <f t="shared" ca="1" si="78"/>
        <v>9122300.png</v>
      </c>
      <c r="AB182">
        <f t="shared" si="71"/>
        <v>20</v>
      </c>
      <c r="AC182">
        <f>VLOOKUP(C182,技能辅助查询表,技能配置辅助表!$W$1,FALSE)</f>
        <v>5602</v>
      </c>
      <c r="AD182">
        <f t="shared" ca="1" si="79"/>
        <v>39.382276374395779</v>
      </c>
      <c r="AE182">
        <f>VLOOKUP(C182,技能辅助查询表,技能配置辅助表!$U$1,FALSE)</f>
        <v>4</v>
      </c>
      <c r="AF182">
        <f t="shared" ca="1" si="80"/>
        <v>9122327</v>
      </c>
      <c r="AG182">
        <f t="shared" ca="1" si="84"/>
        <v>45.734693877551024</v>
      </c>
      <c r="AH182">
        <f t="shared" ca="1" si="81"/>
        <v>384.66409481967975</v>
      </c>
      <c r="AI182">
        <f ca="1">VLOOKUP(E182,伤害参考系!$C$4:$E$104,3,FALSE)*$AN$12</f>
        <v>4911.1188561872923</v>
      </c>
      <c r="AJ182">
        <f>VLOOKUP(C182,技能辅助查询表,技能配置辅助表!$L$1,FALSE)</f>
        <v>1</v>
      </c>
      <c r="AK182">
        <f>VLOOKUP(C182,技能辅助查询表,技能配置辅助表!$AE$1,FALSE)</f>
        <v>66000113</v>
      </c>
    </row>
    <row r="183" spans="1:37" x14ac:dyDescent="0.15">
      <c r="A183" s="1">
        <f t="shared" ca="1" si="72"/>
        <v>9122328</v>
      </c>
      <c r="B183" s="1" t="str">
        <f t="shared" ca="1" si="57"/>
        <v>影袭·斩第3段</v>
      </c>
      <c r="C183" t="s">
        <v>153</v>
      </c>
      <c r="D183">
        <f t="shared" si="58"/>
        <v>1</v>
      </c>
      <c r="E183" s="42">
        <f t="shared" ca="1" si="73"/>
        <v>48</v>
      </c>
      <c r="F183" t="str">
        <f t="shared" ca="1" si="74"/>
        <v>第28级，共造成152.4%点伤害</v>
      </c>
      <c r="G183">
        <f t="shared" ca="1" si="75"/>
        <v>3</v>
      </c>
      <c r="H183">
        <f t="shared" si="59"/>
        <v>3</v>
      </c>
      <c r="I183" s="44">
        <f t="shared" ca="1" si="76"/>
        <v>28</v>
      </c>
      <c r="J183">
        <f t="shared" si="60"/>
        <v>2</v>
      </c>
      <c r="K183" s="36">
        <f t="shared" ca="1" si="61"/>
        <v>152.38095238095238</v>
      </c>
      <c r="L183" s="10">
        <f ca="1">AH183*VLOOKUP(C183,技能辅助查询表,技能配置辅助表!$T$1,FALSE)</f>
        <v>0</v>
      </c>
      <c r="M183">
        <f t="shared" ca="1" si="62"/>
        <v>5760</v>
      </c>
      <c r="N183" s="33">
        <f ca="1">CHOOSE(1,W183*U183,X183*'[1]0、经济设定'!$C$18)</f>
        <v>33971</v>
      </c>
      <c r="O183">
        <f t="shared" si="63"/>
        <v>2</v>
      </c>
      <c r="P183">
        <f t="shared" si="64"/>
        <v>1</v>
      </c>
      <c r="Q183">
        <f t="shared" si="65"/>
        <v>1</v>
      </c>
      <c r="R183" s="2">
        <f t="shared" si="66"/>
        <v>7</v>
      </c>
      <c r="S183" s="2">
        <f t="shared" si="67"/>
        <v>50</v>
      </c>
      <c r="T183" s="2">
        <f t="shared" si="68"/>
        <v>119.04761904761905</v>
      </c>
      <c r="U183" s="2">
        <f ca="1">VLOOKUP(E183,金币生产率!$A$2:$B$120,2,0)</f>
        <v>1477</v>
      </c>
      <c r="V183" s="2">
        <f t="shared" si="69"/>
        <v>119.04761904761905</v>
      </c>
      <c r="W183" s="45">
        <f t="shared" ca="1" si="82"/>
        <v>23</v>
      </c>
      <c r="X183" s="48">
        <f t="shared" ca="1" si="83"/>
        <v>297</v>
      </c>
      <c r="Y183">
        <f t="shared" si="70"/>
        <v>18</v>
      </c>
      <c r="Z183">
        <f t="shared" ca="1" si="77"/>
        <v>10</v>
      </c>
      <c r="AA183" t="str">
        <f t="shared" ca="1" si="78"/>
        <v>9122300.png</v>
      </c>
      <c r="AB183">
        <f t="shared" si="71"/>
        <v>20</v>
      </c>
      <c r="AC183">
        <f>VLOOKUP(C183,技能辅助查询表,技能配置辅助表!$W$1,FALSE)</f>
        <v>5602</v>
      </c>
      <c r="AD183">
        <f t="shared" ca="1" si="79"/>
        <v>45.878903611700046</v>
      </c>
      <c r="AE183">
        <f>VLOOKUP(C183,技能辅助查询表,技能配置辅助表!$U$1,FALSE)</f>
        <v>4</v>
      </c>
      <c r="AF183">
        <f t="shared" ca="1" si="80"/>
        <v>9122328</v>
      </c>
      <c r="AG183">
        <f t="shared" ca="1" si="84"/>
        <v>47.224489795918366</v>
      </c>
      <c r="AH183">
        <f t="shared" ca="1" si="81"/>
        <v>437.93498902077317</v>
      </c>
      <c r="AI183">
        <f ca="1">VLOOKUP(E183,伤害参考系!$C$4:$E$104,3,FALSE)*$AN$12</f>
        <v>5499.8953043478286</v>
      </c>
      <c r="AJ183">
        <f>VLOOKUP(C183,技能辅助查询表,技能配置辅助表!$L$1,FALSE)</f>
        <v>1</v>
      </c>
      <c r="AK183">
        <f>VLOOKUP(C183,技能辅助查询表,技能配置辅助表!$AE$1,FALSE)</f>
        <v>66000113</v>
      </c>
    </row>
    <row r="184" spans="1:37" x14ac:dyDescent="0.15">
      <c r="A184" s="1">
        <f t="shared" ca="1" si="72"/>
        <v>9122329</v>
      </c>
      <c r="B184" s="1" t="str">
        <f t="shared" ca="1" si="57"/>
        <v>影袭·斩第3段</v>
      </c>
      <c r="C184" t="s">
        <v>153</v>
      </c>
      <c r="D184">
        <f t="shared" si="58"/>
        <v>1</v>
      </c>
      <c r="E184" s="42">
        <f t="shared" ca="1" si="73"/>
        <v>49</v>
      </c>
      <c r="F184" t="str">
        <f t="shared" ca="1" si="74"/>
        <v>第29级，共造成153.6%点伤害</v>
      </c>
      <c r="G184">
        <f t="shared" ca="1" si="75"/>
        <v>3</v>
      </c>
      <c r="H184">
        <f t="shared" si="59"/>
        <v>3</v>
      </c>
      <c r="I184" s="44">
        <f t="shared" ca="1" si="76"/>
        <v>29</v>
      </c>
      <c r="J184">
        <f t="shared" si="60"/>
        <v>2</v>
      </c>
      <c r="K184" s="36">
        <f t="shared" ca="1" si="61"/>
        <v>153.57142857142858</v>
      </c>
      <c r="L184" s="10">
        <f ca="1">AH184*VLOOKUP(C184,技能辅助查询表,技能配置辅助表!$T$1,FALSE)</f>
        <v>0</v>
      </c>
      <c r="M184">
        <f t="shared" ca="1" si="62"/>
        <v>5680</v>
      </c>
      <c r="N184" s="33">
        <f ca="1">CHOOSE(1,W184*U184,X184*'[1]0、经济设定'!$C$18)</f>
        <v>38575</v>
      </c>
      <c r="O184">
        <f t="shared" si="63"/>
        <v>2</v>
      </c>
      <c r="P184">
        <f t="shared" si="64"/>
        <v>1</v>
      </c>
      <c r="Q184">
        <f t="shared" si="65"/>
        <v>1</v>
      </c>
      <c r="R184" s="2">
        <f t="shared" si="66"/>
        <v>7</v>
      </c>
      <c r="S184" s="2">
        <f t="shared" si="67"/>
        <v>50</v>
      </c>
      <c r="T184" s="2">
        <f t="shared" si="68"/>
        <v>119.04761904761905</v>
      </c>
      <c r="U184" s="2">
        <f ca="1">VLOOKUP(E184,金币生产率!$A$2:$B$120,2,0)</f>
        <v>1543</v>
      </c>
      <c r="V184" s="2">
        <f t="shared" si="69"/>
        <v>119.04761904761905</v>
      </c>
      <c r="W184" s="45">
        <f t="shared" ca="1" si="82"/>
        <v>25</v>
      </c>
      <c r="X184" s="48">
        <f t="shared" ca="1" si="83"/>
        <v>322</v>
      </c>
      <c r="Y184">
        <f t="shared" si="70"/>
        <v>18</v>
      </c>
      <c r="Z184">
        <f t="shared" ca="1" si="77"/>
        <v>10</v>
      </c>
      <c r="AA184" t="str">
        <f t="shared" ca="1" si="78"/>
        <v>9122300.png</v>
      </c>
      <c r="AB184">
        <f t="shared" si="71"/>
        <v>20</v>
      </c>
      <c r="AC184">
        <f>VLOOKUP(C184,技能辅助查询表,技能配置辅助表!$W$1,FALSE)</f>
        <v>5602</v>
      </c>
      <c r="AD184">
        <f t="shared" ca="1" si="79"/>
        <v>53.41962837320149</v>
      </c>
      <c r="AE184">
        <f>VLOOKUP(C184,技能辅助查询表,技能配置辅助表!$U$1,FALSE)</f>
        <v>4</v>
      </c>
      <c r="AF184">
        <f t="shared" ca="1" si="80"/>
        <v>9122329</v>
      </c>
      <c r="AG184">
        <f t="shared" ca="1" si="84"/>
        <v>48.714285714285715</v>
      </c>
      <c r="AH184">
        <f t="shared" ca="1" si="81"/>
        <v>498.5831981498805</v>
      </c>
      <c r="AI184">
        <f ca="1">VLOOKUP(E184,伤害参考系!$C$4:$E$104,3,FALSE)*$AN$12</f>
        <v>5806.7788244147177</v>
      </c>
      <c r="AJ184">
        <f>VLOOKUP(C184,技能辅助查询表,技能配置辅助表!$L$1,FALSE)</f>
        <v>1</v>
      </c>
      <c r="AK184">
        <f>VLOOKUP(C184,技能辅助查询表,技能配置辅助表!$AE$1,FALSE)</f>
        <v>66000113</v>
      </c>
    </row>
    <row r="185" spans="1:37" x14ac:dyDescent="0.15">
      <c r="A185" s="1">
        <f t="shared" ca="1" si="72"/>
        <v>9122330</v>
      </c>
      <c r="B185" s="1" t="str">
        <f t="shared" ca="1" si="57"/>
        <v>影袭·斩第3段</v>
      </c>
      <c r="C185" t="s">
        <v>153</v>
      </c>
      <c r="D185">
        <f t="shared" si="58"/>
        <v>1</v>
      </c>
      <c r="E185" s="42">
        <f t="shared" ca="1" si="73"/>
        <v>51</v>
      </c>
      <c r="F185" t="str">
        <f t="shared" ca="1" si="74"/>
        <v>第30级，共造成154.8%点伤害</v>
      </c>
      <c r="G185">
        <f t="shared" ca="1" si="75"/>
        <v>3</v>
      </c>
      <c r="H185">
        <f t="shared" si="59"/>
        <v>3</v>
      </c>
      <c r="I185" s="44">
        <f t="shared" ca="1" si="76"/>
        <v>30</v>
      </c>
      <c r="J185">
        <f t="shared" si="60"/>
        <v>2</v>
      </c>
      <c r="K185" s="36">
        <f t="shared" ca="1" si="61"/>
        <v>154.76190476190476</v>
      </c>
      <c r="L185" s="10">
        <f ca="1">AH185*VLOOKUP(C185,技能辅助查询表,技能配置辅助表!$T$1,FALSE)</f>
        <v>0</v>
      </c>
      <c r="M185">
        <f t="shared" ca="1" si="62"/>
        <v>5600</v>
      </c>
      <c r="N185" s="33">
        <f ca="1">CHOOSE(1,W185*U185,X185*'[1]0、经济设定'!$C$18)</f>
        <v>43654</v>
      </c>
      <c r="O185">
        <f t="shared" si="63"/>
        <v>2</v>
      </c>
      <c r="P185">
        <f t="shared" si="64"/>
        <v>1</v>
      </c>
      <c r="Q185">
        <f t="shared" si="65"/>
        <v>1</v>
      </c>
      <c r="R185" s="2">
        <f t="shared" si="66"/>
        <v>7</v>
      </c>
      <c r="S185" s="2">
        <f t="shared" si="67"/>
        <v>50</v>
      </c>
      <c r="T185" s="2">
        <f t="shared" si="68"/>
        <v>119.04761904761905</v>
      </c>
      <c r="U185" s="2">
        <f ca="1">VLOOKUP(E185,金币生产率!$A$2:$B$120,2,0)</f>
        <v>1679</v>
      </c>
      <c r="V185" s="2">
        <f t="shared" si="69"/>
        <v>119.04761904761905</v>
      </c>
      <c r="W185" s="45">
        <f t="shared" ca="1" si="82"/>
        <v>26</v>
      </c>
      <c r="X185" s="48">
        <f t="shared" ca="1" si="83"/>
        <v>348</v>
      </c>
      <c r="Y185">
        <f t="shared" si="70"/>
        <v>18</v>
      </c>
      <c r="Z185">
        <f t="shared" ca="1" si="77"/>
        <v>11</v>
      </c>
      <c r="AA185" t="str">
        <f t="shared" ca="1" si="78"/>
        <v>9122300.png</v>
      </c>
      <c r="AB185">
        <f t="shared" si="71"/>
        <v>20</v>
      </c>
      <c r="AC185">
        <f>VLOOKUP(C185,技能辅助查询表,技能配置辅助表!$W$1,FALSE)</f>
        <v>5602</v>
      </c>
      <c r="AD185">
        <f t="shared" ca="1" si="79"/>
        <v>62.16904193021287</v>
      </c>
      <c r="AE185">
        <f>VLOOKUP(C185,技能辅助查询表,技能配置辅助表!$U$1,FALSE)</f>
        <v>4</v>
      </c>
      <c r="AF185">
        <f t="shared" ca="1" si="80"/>
        <v>9122330</v>
      </c>
      <c r="AG185">
        <f t="shared" ca="1" si="84"/>
        <v>50.204081632653065</v>
      </c>
      <c r="AH185">
        <f t="shared" ca="1" si="81"/>
        <v>567.63038284107404</v>
      </c>
      <c r="AI185">
        <f ca="1">VLOOKUP(E185,伤害参考系!$C$4:$E$104,3,FALSE)*$AN$12</f>
        <v>6528.1715392976603</v>
      </c>
      <c r="AJ185">
        <f>VLOOKUP(C185,技能辅助查询表,技能配置辅助表!$L$1,FALSE)</f>
        <v>1</v>
      </c>
      <c r="AK185">
        <f>VLOOKUP(C185,技能辅助查询表,技能配置辅助表!$AE$1,FALSE)</f>
        <v>66000113</v>
      </c>
    </row>
    <row r="186" spans="1:37" x14ac:dyDescent="0.15">
      <c r="A186" s="1">
        <f t="shared" ca="1" si="72"/>
        <v>9122331</v>
      </c>
      <c r="B186" s="1" t="str">
        <f t="shared" ca="1" si="57"/>
        <v>影袭·斩第3段</v>
      </c>
      <c r="C186" t="s">
        <v>153</v>
      </c>
      <c r="D186">
        <f t="shared" si="58"/>
        <v>1</v>
      </c>
      <c r="E186" s="42">
        <f t="shared" ca="1" si="73"/>
        <v>52</v>
      </c>
      <c r="F186" t="str">
        <f t="shared" ca="1" si="74"/>
        <v>第31级，共造成156%点伤害</v>
      </c>
      <c r="G186">
        <f t="shared" ca="1" si="75"/>
        <v>3</v>
      </c>
      <c r="H186">
        <f t="shared" si="59"/>
        <v>3</v>
      </c>
      <c r="I186" s="44">
        <f t="shared" ca="1" si="76"/>
        <v>31</v>
      </c>
      <c r="J186">
        <f t="shared" si="60"/>
        <v>2</v>
      </c>
      <c r="K186" s="36">
        <f t="shared" ca="1" si="61"/>
        <v>155.95238095238096</v>
      </c>
      <c r="L186" s="10">
        <f ca="1">AH186*VLOOKUP(C186,技能辅助查询表,技能配置辅助表!$T$1,FALSE)</f>
        <v>0</v>
      </c>
      <c r="M186">
        <f t="shared" ca="1" si="62"/>
        <v>5520</v>
      </c>
      <c r="N186" s="33">
        <f ca="1">CHOOSE(1,W186*U186,X186*'[1]0、经济设定'!$C$18)</f>
        <v>48972</v>
      </c>
      <c r="O186">
        <f t="shared" si="63"/>
        <v>2</v>
      </c>
      <c r="P186">
        <f t="shared" si="64"/>
        <v>1</v>
      </c>
      <c r="Q186">
        <f t="shared" si="65"/>
        <v>1</v>
      </c>
      <c r="R186" s="2">
        <f t="shared" si="66"/>
        <v>7</v>
      </c>
      <c r="S186" s="2">
        <f t="shared" si="67"/>
        <v>50</v>
      </c>
      <c r="T186" s="2">
        <f t="shared" si="68"/>
        <v>119.04761904761905</v>
      </c>
      <c r="U186" s="2">
        <f ca="1">VLOOKUP(E186,金币生产率!$A$2:$B$120,2,0)</f>
        <v>1749</v>
      </c>
      <c r="V186" s="2">
        <f t="shared" si="69"/>
        <v>119.04761904761905</v>
      </c>
      <c r="W186" s="45">
        <f t="shared" ca="1" si="82"/>
        <v>28</v>
      </c>
      <c r="X186" s="48">
        <f t="shared" ca="1" si="83"/>
        <v>376</v>
      </c>
      <c r="Y186">
        <f t="shared" si="70"/>
        <v>18</v>
      </c>
      <c r="Z186">
        <f t="shared" ca="1" si="77"/>
        <v>12</v>
      </c>
      <c r="AA186" t="str">
        <f t="shared" ca="1" si="78"/>
        <v>9122300.png</v>
      </c>
      <c r="AB186">
        <f t="shared" si="71"/>
        <v>20</v>
      </c>
      <c r="AC186">
        <f>VLOOKUP(C186,技能辅助查询表,技能配置辅助表!$W$1,FALSE)</f>
        <v>5602</v>
      </c>
      <c r="AD186">
        <f t="shared" ca="1" si="79"/>
        <v>72.317298668155971</v>
      </c>
      <c r="AE186">
        <f>VLOOKUP(C186,技能辅助查询表,技能配置辅助表!$U$1,FALSE)</f>
        <v>4</v>
      </c>
      <c r="AF186">
        <f t="shared" ca="1" si="80"/>
        <v>9122331</v>
      </c>
      <c r="AG186">
        <f t="shared" ca="1" si="84"/>
        <v>51.693877551020407</v>
      </c>
      <c r="AH186">
        <f t="shared" ca="1" si="81"/>
        <v>646.23969022607446</v>
      </c>
      <c r="AI186">
        <f ca="1">VLOOKUP(E186,伤害参考系!$C$4:$E$104,3,FALSE)*$AN$12</f>
        <v>6904.487016722409</v>
      </c>
      <c r="AJ186">
        <f>VLOOKUP(C186,技能辅助查询表,技能配置辅助表!$L$1,FALSE)</f>
        <v>1</v>
      </c>
      <c r="AK186">
        <f>VLOOKUP(C186,技能辅助查询表,技能配置辅助表!$AE$1,FALSE)</f>
        <v>66000113</v>
      </c>
    </row>
    <row r="187" spans="1:37" x14ac:dyDescent="0.15">
      <c r="A187" s="1">
        <f t="shared" ca="1" si="72"/>
        <v>9122332</v>
      </c>
      <c r="B187" s="1" t="str">
        <f t="shared" ca="1" si="57"/>
        <v>影袭·斩第3段</v>
      </c>
      <c r="C187" t="s">
        <v>153</v>
      </c>
      <c r="D187">
        <f t="shared" si="58"/>
        <v>1</v>
      </c>
      <c r="E187" s="42">
        <f t="shared" ca="1" si="73"/>
        <v>54</v>
      </c>
      <c r="F187" t="str">
        <f t="shared" ca="1" si="74"/>
        <v>第32级，共造成157.1%点伤害</v>
      </c>
      <c r="G187">
        <f t="shared" ca="1" si="75"/>
        <v>3</v>
      </c>
      <c r="H187">
        <f t="shared" si="59"/>
        <v>3</v>
      </c>
      <c r="I187" s="44">
        <f t="shared" ca="1" si="76"/>
        <v>32</v>
      </c>
      <c r="J187">
        <f t="shared" si="60"/>
        <v>2</v>
      </c>
      <c r="K187" s="36">
        <f t="shared" ca="1" si="61"/>
        <v>157.14285714285714</v>
      </c>
      <c r="L187" s="10">
        <f ca="1">AH187*VLOOKUP(C187,技能辅助查询表,技能配置辅助表!$T$1,FALSE)</f>
        <v>0</v>
      </c>
      <c r="M187">
        <f t="shared" ca="1" si="62"/>
        <v>5440</v>
      </c>
      <c r="N187" s="33">
        <f ca="1">CHOOSE(1,W187*U187,X187*'[1]0、经济设定'!$C$18)</f>
        <v>56790</v>
      </c>
      <c r="O187">
        <f t="shared" si="63"/>
        <v>2</v>
      </c>
      <c r="P187">
        <f t="shared" si="64"/>
        <v>1</v>
      </c>
      <c r="Q187">
        <f t="shared" si="65"/>
        <v>1</v>
      </c>
      <c r="R187" s="2">
        <f t="shared" si="66"/>
        <v>7</v>
      </c>
      <c r="S187" s="2">
        <f t="shared" si="67"/>
        <v>50</v>
      </c>
      <c r="T187" s="2">
        <f t="shared" si="68"/>
        <v>119.04761904761905</v>
      </c>
      <c r="U187" s="2">
        <f ca="1">VLOOKUP(E187,金币生产率!$A$2:$B$120,2,0)</f>
        <v>1893</v>
      </c>
      <c r="V187" s="2">
        <f t="shared" si="69"/>
        <v>119.04761904761905</v>
      </c>
      <c r="W187" s="45">
        <f t="shared" ca="1" si="82"/>
        <v>30</v>
      </c>
      <c r="X187" s="48">
        <f t="shared" ca="1" si="83"/>
        <v>406</v>
      </c>
      <c r="Y187">
        <f t="shared" si="70"/>
        <v>18</v>
      </c>
      <c r="Z187">
        <f t="shared" ca="1" si="77"/>
        <v>12</v>
      </c>
      <c r="AA187" t="str">
        <f t="shared" ca="1" si="78"/>
        <v>9122300.png</v>
      </c>
      <c r="AB187">
        <f t="shared" si="71"/>
        <v>20</v>
      </c>
      <c r="AC187">
        <f>VLOOKUP(C187,技能辅助查询表,技能配置辅助表!$W$1,FALSE)</f>
        <v>5602</v>
      </c>
      <c r="AD187">
        <f t="shared" ca="1" si="79"/>
        <v>84.084039765094801</v>
      </c>
      <c r="AE187">
        <f>VLOOKUP(C187,技能辅助查询表,技能配置辅助表!$U$1,FALSE)</f>
        <v>4</v>
      </c>
      <c r="AF187">
        <f t="shared" ca="1" si="80"/>
        <v>9122332</v>
      </c>
      <c r="AG187">
        <f t="shared" ca="1" si="84"/>
        <v>53.183673469387756</v>
      </c>
      <c r="AH187">
        <f t="shared" ca="1" si="81"/>
        <v>735.73534794457942</v>
      </c>
      <c r="AI187">
        <f ca="1">VLOOKUP(E187,伤害参考系!$C$4:$E$104,3,FALSE)*$AN$12</f>
        <v>7688.356211538463</v>
      </c>
      <c r="AJ187">
        <f>VLOOKUP(C187,技能辅助查询表,技能配置辅助表!$L$1,FALSE)</f>
        <v>1</v>
      </c>
      <c r="AK187">
        <f>VLOOKUP(C187,技能辅助查询表,技能配置辅助表!$AE$1,FALSE)</f>
        <v>66000113</v>
      </c>
    </row>
    <row r="188" spans="1:37" x14ac:dyDescent="0.15">
      <c r="A188" s="1">
        <f t="shared" ca="1" si="72"/>
        <v>9122333</v>
      </c>
      <c r="B188" s="1" t="str">
        <f t="shared" ca="1" si="57"/>
        <v>影袭·斩第3段</v>
      </c>
      <c r="C188" t="s">
        <v>153</v>
      </c>
      <c r="D188">
        <f t="shared" si="58"/>
        <v>1</v>
      </c>
      <c r="E188" s="42">
        <f t="shared" ca="1" si="73"/>
        <v>55</v>
      </c>
      <c r="F188" t="str">
        <f t="shared" ca="1" si="74"/>
        <v>第33级，共造成158.3%点伤害</v>
      </c>
      <c r="G188">
        <f t="shared" ca="1" si="75"/>
        <v>3</v>
      </c>
      <c r="H188">
        <f t="shared" si="59"/>
        <v>3</v>
      </c>
      <c r="I188" s="44">
        <f t="shared" ca="1" si="76"/>
        <v>33</v>
      </c>
      <c r="J188">
        <f t="shared" si="60"/>
        <v>2</v>
      </c>
      <c r="K188" s="36">
        <f t="shared" ca="1" si="61"/>
        <v>158.33333333333334</v>
      </c>
      <c r="L188" s="10">
        <f ca="1">AH188*VLOOKUP(C188,技能辅助查询表,技能配置辅助表!$T$1,FALSE)</f>
        <v>0</v>
      </c>
      <c r="M188">
        <f t="shared" ca="1" si="62"/>
        <v>5360</v>
      </c>
      <c r="N188" s="33">
        <f ca="1">CHOOSE(1,W188*U188,X188*'[1]0、经济设定'!$C$18)</f>
        <v>62944</v>
      </c>
      <c r="O188">
        <f t="shared" si="63"/>
        <v>2</v>
      </c>
      <c r="P188">
        <f t="shared" si="64"/>
        <v>1</v>
      </c>
      <c r="Q188">
        <f t="shared" si="65"/>
        <v>1</v>
      </c>
      <c r="R188" s="2">
        <f t="shared" si="66"/>
        <v>7</v>
      </c>
      <c r="S188" s="2">
        <f t="shared" si="67"/>
        <v>50</v>
      </c>
      <c r="T188" s="2">
        <f t="shared" si="68"/>
        <v>119.04761904761905</v>
      </c>
      <c r="U188" s="2">
        <f ca="1">VLOOKUP(E188,金币生产率!$A$2:$B$120,2,0)</f>
        <v>1967</v>
      </c>
      <c r="V188" s="2">
        <f t="shared" si="69"/>
        <v>119.04761904761905</v>
      </c>
      <c r="W188" s="45">
        <f t="shared" ca="1" si="82"/>
        <v>32</v>
      </c>
      <c r="X188" s="48">
        <f t="shared" ca="1" si="83"/>
        <v>438</v>
      </c>
      <c r="Y188">
        <f t="shared" si="70"/>
        <v>18</v>
      </c>
      <c r="Z188">
        <f t="shared" ca="1" si="77"/>
        <v>13</v>
      </c>
      <c r="AA188" t="str">
        <f t="shared" ca="1" si="78"/>
        <v>9122300.png</v>
      </c>
      <c r="AB188">
        <f t="shared" si="71"/>
        <v>20</v>
      </c>
      <c r="AC188">
        <f>VLOOKUP(C188,技能辅助查询表,技能配置辅助表!$W$1,FALSE)</f>
        <v>5602</v>
      </c>
      <c r="AD188">
        <f t="shared" ca="1" si="79"/>
        <v>97.722913361046224</v>
      </c>
      <c r="AE188">
        <f>VLOOKUP(C188,技能辅助查询表,技能配置辅助表!$U$1,FALSE)</f>
        <v>4</v>
      </c>
      <c r="AF188">
        <f t="shared" ca="1" si="80"/>
        <v>9122333</v>
      </c>
      <c r="AG188">
        <f t="shared" ca="1" si="84"/>
        <v>54.673469387755105</v>
      </c>
      <c r="AH188">
        <f t="shared" ca="1" si="81"/>
        <v>837.62497166611001</v>
      </c>
      <c r="AI188">
        <f ca="1">VLOOKUP(E188,伤害参考系!$C$4:$E$104,3,FALSE)*$AN$12</f>
        <v>8095.9099289297656</v>
      </c>
      <c r="AJ188">
        <f>VLOOKUP(C188,技能辅助查询表,技能配置辅助表!$L$1,FALSE)</f>
        <v>1</v>
      </c>
      <c r="AK188">
        <f>VLOOKUP(C188,技能辅助查询表,技能配置辅助表!$AE$1,FALSE)</f>
        <v>66000113</v>
      </c>
    </row>
    <row r="189" spans="1:37" x14ac:dyDescent="0.15">
      <c r="A189" s="1">
        <f t="shared" ca="1" si="72"/>
        <v>9122334</v>
      </c>
      <c r="B189" s="1" t="str">
        <f t="shared" ca="1" si="57"/>
        <v>影袭·斩第3段</v>
      </c>
      <c r="C189" t="s">
        <v>153</v>
      </c>
      <c r="D189">
        <f t="shared" si="58"/>
        <v>1</v>
      </c>
      <c r="E189" s="42">
        <f t="shared" ca="1" si="73"/>
        <v>57</v>
      </c>
      <c r="F189" t="str">
        <f t="shared" ca="1" si="74"/>
        <v>第34级，共造成159.5%点伤害</v>
      </c>
      <c r="G189">
        <f t="shared" ca="1" si="75"/>
        <v>3</v>
      </c>
      <c r="H189">
        <f t="shared" si="59"/>
        <v>3</v>
      </c>
      <c r="I189" s="44">
        <f t="shared" ca="1" si="76"/>
        <v>34</v>
      </c>
      <c r="J189">
        <f t="shared" si="60"/>
        <v>2</v>
      </c>
      <c r="K189" s="36">
        <f t="shared" ca="1" si="61"/>
        <v>159.52380952380952</v>
      </c>
      <c r="L189" s="10">
        <f ca="1">AH189*VLOOKUP(C189,技能辅助查询表,技能配置辅助表!$T$1,FALSE)</f>
        <v>0</v>
      </c>
      <c r="M189">
        <f t="shared" ca="1" si="62"/>
        <v>5280</v>
      </c>
      <c r="N189" s="33">
        <f ca="1">CHOOSE(1,W189*U189,X189*'[1]0、经济设定'!$C$18)</f>
        <v>72046</v>
      </c>
      <c r="O189">
        <f t="shared" si="63"/>
        <v>2</v>
      </c>
      <c r="P189">
        <f t="shared" si="64"/>
        <v>1</v>
      </c>
      <c r="Q189">
        <f t="shared" si="65"/>
        <v>1</v>
      </c>
      <c r="R189" s="2">
        <f t="shared" si="66"/>
        <v>7</v>
      </c>
      <c r="S189" s="2">
        <f t="shared" si="67"/>
        <v>50</v>
      </c>
      <c r="T189" s="2">
        <f t="shared" si="68"/>
        <v>119.04761904761905</v>
      </c>
      <c r="U189" s="2">
        <f ca="1">VLOOKUP(E189,金币生产率!$A$2:$B$120,2,0)</f>
        <v>2119</v>
      </c>
      <c r="V189" s="2">
        <f t="shared" si="69"/>
        <v>119.04761904761905</v>
      </c>
      <c r="W189" s="45">
        <f t="shared" ca="1" si="82"/>
        <v>34</v>
      </c>
      <c r="X189" s="48">
        <f t="shared" ca="1" si="83"/>
        <v>472</v>
      </c>
      <c r="Y189">
        <f t="shared" si="70"/>
        <v>18</v>
      </c>
      <c r="Z189">
        <f t="shared" ca="1" si="77"/>
        <v>14</v>
      </c>
      <c r="AA189" t="str">
        <f t="shared" ca="1" si="78"/>
        <v>9122300.png</v>
      </c>
      <c r="AB189">
        <f t="shared" si="71"/>
        <v>20</v>
      </c>
      <c r="AC189">
        <f>VLOOKUP(C189,技能辅助查询表,技能配置辅助表!$W$1,FALSE)</f>
        <v>5602</v>
      </c>
      <c r="AD189">
        <f t="shared" ca="1" si="79"/>
        <v>113.52678117962634</v>
      </c>
      <c r="AE189">
        <f>VLOOKUP(C189,技能辅助查询表,技能配置辅助表!$U$1,FALSE)</f>
        <v>4</v>
      </c>
      <c r="AF189">
        <f t="shared" ca="1" si="80"/>
        <v>9122334</v>
      </c>
      <c r="AG189">
        <f t="shared" ca="1" si="84"/>
        <v>56.163265306122447</v>
      </c>
      <c r="AH189">
        <f t="shared" ca="1" si="81"/>
        <v>953.62496190886134</v>
      </c>
      <c r="AI189">
        <f ca="1">VLOOKUP(E189,伤害参考系!$C$4:$E$104,3,FALSE)*$AN$12</f>
        <v>8942.2556036789319</v>
      </c>
      <c r="AJ189">
        <f>VLOOKUP(C189,技能辅助查询表,技能配置辅助表!$L$1,FALSE)</f>
        <v>1</v>
      </c>
      <c r="AK189">
        <f>VLOOKUP(C189,技能辅助查询表,技能配置辅助表!$AE$1,FALSE)</f>
        <v>66000113</v>
      </c>
    </row>
    <row r="190" spans="1:37" x14ac:dyDescent="0.15">
      <c r="A190" s="1">
        <f t="shared" ca="1" si="72"/>
        <v>9122335</v>
      </c>
      <c r="B190" s="1" t="str">
        <f t="shared" ca="1" si="57"/>
        <v>影袭·斩第3段</v>
      </c>
      <c r="C190" t="s">
        <v>153</v>
      </c>
      <c r="D190">
        <f t="shared" si="58"/>
        <v>1</v>
      </c>
      <c r="E190" s="42">
        <f t="shared" ca="1" si="73"/>
        <v>58</v>
      </c>
      <c r="F190" t="str">
        <f t="shared" ca="1" si="74"/>
        <v>第35级，共造成160.7%点伤害</v>
      </c>
      <c r="G190">
        <f t="shared" ca="1" si="75"/>
        <v>3</v>
      </c>
      <c r="H190">
        <f t="shared" si="59"/>
        <v>3</v>
      </c>
      <c r="I190" s="44">
        <f t="shared" ca="1" si="76"/>
        <v>35</v>
      </c>
      <c r="J190">
        <f t="shared" si="60"/>
        <v>2</v>
      </c>
      <c r="K190" s="36">
        <f t="shared" ca="1" si="61"/>
        <v>160.71428571428572</v>
      </c>
      <c r="L190" s="10">
        <f ca="1">AH190*VLOOKUP(C190,技能辅助查询表,技能配置辅助表!$T$1,FALSE)</f>
        <v>0</v>
      </c>
      <c r="M190">
        <f t="shared" ca="1" si="62"/>
        <v>5200</v>
      </c>
      <c r="N190" s="33">
        <f ca="1">CHOOSE(1,W190*U190,X190*'[1]0、经济设定'!$C$18)</f>
        <v>79128</v>
      </c>
      <c r="O190">
        <f t="shared" si="63"/>
        <v>2</v>
      </c>
      <c r="P190">
        <f t="shared" si="64"/>
        <v>1</v>
      </c>
      <c r="Q190">
        <f t="shared" si="65"/>
        <v>1</v>
      </c>
      <c r="R190" s="2">
        <f t="shared" si="66"/>
        <v>7</v>
      </c>
      <c r="S190" s="2">
        <f t="shared" si="67"/>
        <v>50</v>
      </c>
      <c r="T190" s="2">
        <f t="shared" si="68"/>
        <v>119.04761904761905</v>
      </c>
      <c r="U190" s="2">
        <f ca="1">VLOOKUP(E190,金币生产率!$A$2:$B$120,2,0)</f>
        <v>2198</v>
      </c>
      <c r="V190" s="2">
        <f t="shared" si="69"/>
        <v>119.04761904761905</v>
      </c>
      <c r="W190" s="45">
        <f t="shared" ca="1" si="82"/>
        <v>36</v>
      </c>
      <c r="X190" s="48">
        <f t="shared" ca="1" si="83"/>
        <v>508</v>
      </c>
      <c r="Y190">
        <f t="shared" si="70"/>
        <v>18</v>
      </c>
      <c r="Z190">
        <f t="shared" ca="1" si="77"/>
        <v>15</v>
      </c>
      <c r="AA190" t="str">
        <f t="shared" ca="1" si="78"/>
        <v>9122300.png</v>
      </c>
      <c r="AB190">
        <f t="shared" si="71"/>
        <v>20</v>
      </c>
      <c r="AC190">
        <f>VLOOKUP(C190,技能辅助查询表,技能配置辅助表!$W$1,FALSE)</f>
        <v>5602</v>
      </c>
      <c r="AD190">
        <f t="shared" ca="1" si="79"/>
        <v>131.8337150407161</v>
      </c>
      <c r="AE190">
        <f>VLOOKUP(C190,技能辅助查询表,技能配置辅助表!$U$1,FALSE)</f>
        <v>4</v>
      </c>
      <c r="AF190">
        <f t="shared" ca="1" si="80"/>
        <v>9122335</v>
      </c>
      <c r="AG190">
        <f t="shared" ca="1" si="84"/>
        <v>57.653061224489797</v>
      </c>
      <c r="AH190">
        <f t="shared" ca="1" si="81"/>
        <v>1085.689417982368</v>
      </c>
      <c r="AI190">
        <f ca="1">VLOOKUP(E190,伤害参考系!$C$4:$E$104,3,FALSE)*$AN$12</f>
        <v>9381.0475610367921</v>
      </c>
      <c r="AJ190">
        <f>VLOOKUP(C190,技能辅助查询表,技能配置辅助表!$L$1,FALSE)</f>
        <v>1</v>
      </c>
      <c r="AK190">
        <f>VLOOKUP(C190,技能辅助查询表,技能配置辅助表!$AE$1,FALSE)</f>
        <v>66000113</v>
      </c>
    </row>
    <row r="191" spans="1:37" x14ac:dyDescent="0.15">
      <c r="A191" s="1">
        <f t="shared" ca="1" si="72"/>
        <v>9122336</v>
      </c>
      <c r="B191" s="1" t="str">
        <f t="shared" ca="1" si="57"/>
        <v>影袭·斩第3段</v>
      </c>
      <c r="C191" t="s">
        <v>153</v>
      </c>
      <c r="D191">
        <f t="shared" si="58"/>
        <v>1</v>
      </c>
      <c r="E191" s="42">
        <f t="shared" ca="1" si="73"/>
        <v>60</v>
      </c>
      <c r="F191" t="str">
        <f t="shared" ca="1" si="74"/>
        <v>第36级，共造成161.9%点伤害</v>
      </c>
      <c r="G191">
        <f t="shared" ca="1" si="75"/>
        <v>3</v>
      </c>
      <c r="H191">
        <f t="shared" si="59"/>
        <v>3</v>
      </c>
      <c r="I191" s="44">
        <f t="shared" ca="1" si="76"/>
        <v>36</v>
      </c>
      <c r="J191">
        <f t="shared" si="60"/>
        <v>2</v>
      </c>
      <c r="K191" s="36">
        <f t="shared" ca="1" si="61"/>
        <v>161.9047619047619</v>
      </c>
      <c r="L191" s="10">
        <f ca="1">AH191*VLOOKUP(C191,技能辅助查询表,技能配置辅助表!$T$1,FALSE)</f>
        <v>0</v>
      </c>
      <c r="M191">
        <f t="shared" ca="1" si="62"/>
        <v>5120</v>
      </c>
      <c r="N191" s="33">
        <f ca="1">CHOOSE(1,W191*U191,X191*'[1]0、经济设定'!$C$18)</f>
        <v>91962</v>
      </c>
      <c r="O191">
        <f t="shared" si="63"/>
        <v>2</v>
      </c>
      <c r="P191">
        <f t="shared" si="64"/>
        <v>1</v>
      </c>
      <c r="Q191">
        <f t="shared" si="65"/>
        <v>1</v>
      </c>
      <c r="R191" s="2">
        <f t="shared" si="66"/>
        <v>7</v>
      </c>
      <c r="S191" s="2">
        <f t="shared" si="67"/>
        <v>50</v>
      </c>
      <c r="T191" s="2">
        <f t="shared" si="68"/>
        <v>119.04761904761905</v>
      </c>
      <c r="U191" s="2">
        <f ca="1">VLOOKUP(E191,金币生产率!$A$2:$B$120,2,0)</f>
        <v>2358</v>
      </c>
      <c r="V191" s="2">
        <f t="shared" si="69"/>
        <v>119.04761904761905</v>
      </c>
      <c r="W191" s="45">
        <f t="shared" ca="1" si="82"/>
        <v>39</v>
      </c>
      <c r="X191" s="48">
        <f t="shared" ca="1" si="83"/>
        <v>547</v>
      </c>
      <c r="Y191">
        <f t="shared" si="70"/>
        <v>18</v>
      </c>
      <c r="Z191">
        <f t="shared" ca="1" si="77"/>
        <v>16</v>
      </c>
      <c r="AA191" t="str">
        <f t="shared" ca="1" si="78"/>
        <v>9122300.png</v>
      </c>
      <c r="AB191">
        <f t="shared" si="71"/>
        <v>20</v>
      </c>
      <c r="AC191">
        <f>VLOOKUP(C191,技能辅助查询表,技能配置辅助表!$W$1,FALSE)</f>
        <v>5602</v>
      </c>
      <c r="AD191">
        <f t="shared" ca="1" si="79"/>
        <v>153.03390218742106</v>
      </c>
      <c r="AE191">
        <f>VLOOKUP(C191,技能辅助查询表,技能配置辅助表!$U$1,FALSE)</f>
        <v>4</v>
      </c>
      <c r="AF191">
        <f t="shared" ca="1" si="80"/>
        <v>9122336</v>
      </c>
      <c r="AG191">
        <f t="shared" ca="1" si="84"/>
        <v>59.142857142857146</v>
      </c>
      <c r="AH191">
        <f t="shared" ca="1" si="81"/>
        <v>1236.0430561291703</v>
      </c>
      <c r="AI191">
        <f ca="1">VLOOKUP(E191,伤害参考系!$C$4:$E$104,3,FALSE)*$AN$12</f>
        <v>10340.558729096994</v>
      </c>
      <c r="AJ191">
        <f>VLOOKUP(C191,技能辅助查询表,技能配置辅助表!$L$1,FALSE)</f>
        <v>1</v>
      </c>
      <c r="AK191">
        <f>VLOOKUP(C191,技能辅助查询表,技能配置辅助表!$AE$1,FALSE)</f>
        <v>66000113</v>
      </c>
    </row>
    <row r="192" spans="1:37" x14ac:dyDescent="0.15">
      <c r="A192" s="1">
        <f t="shared" ca="1" si="72"/>
        <v>9122337</v>
      </c>
      <c r="B192" s="1" t="str">
        <f t="shared" ca="1" si="57"/>
        <v>影袭·斩第3段</v>
      </c>
      <c r="C192" t="s">
        <v>153</v>
      </c>
      <c r="D192">
        <f t="shared" si="58"/>
        <v>1</v>
      </c>
      <c r="E192" s="42">
        <f t="shared" ca="1" si="73"/>
        <v>61</v>
      </c>
      <c r="F192" t="str">
        <f t="shared" ca="1" si="74"/>
        <v>第37级，共造成163.1%点伤害</v>
      </c>
      <c r="G192">
        <f t="shared" ca="1" si="75"/>
        <v>3</v>
      </c>
      <c r="H192">
        <f t="shared" si="59"/>
        <v>3</v>
      </c>
      <c r="I192" s="44">
        <f t="shared" ca="1" si="76"/>
        <v>37</v>
      </c>
      <c r="J192">
        <f t="shared" si="60"/>
        <v>2</v>
      </c>
      <c r="K192" s="36">
        <f t="shared" ca="1" si="61"/>
        <v>163.0952380952381</v>
      </c>
      <c r="L192" s="10">
        <f ca="1">AH192*VLOOKUP(C192,技能辅助查询表,技能配置辅助表!$T$1,FALSE)</f>
        <v>0</v>
      </c>
      <c r="M192">
        <f t="shared" ca="1" si="62"/>
        <v>5040</v>
      </c>
      <c r="N192" s="33">
        <f ca="1">CHOOSE(1,W192*U192,X192*'[1]0、经济设定'!$C$18)</f>
        <v>102480</v>
      </c>
      <c r="O192">
        <f t="shared" si="63"/>
        <v>2</v>
      </c>
      <c r="P192">
        <f t="shared" si="64"/>
        <v>1</v>
      </c>
      <c r="Q192">
        <f t="shared" si="65"/>
        <v>1</v>
      </c>
      <c r="R192" s="2">
        <f t="shared" si="66"/>
        <v>7</v>
      </c>
      <c r="S192" s="2">
        <f t="shared" si="67"/>
        <v>50</v>
      </c>
      <c r="T192" s="2">
        <f t="shared" si="68"/>
        <v>119.04761904761905</v>
      </c>
      <c r="U192" s="2">
        <f ca="1">VLOOKUP(E192,金币生产率!$A$2:$B$120,2,0)</f>
        <v>2440</v>
      </c>
      <c r="V192" s="2">
        <f t="shared" si="69"/>
        <v>119.04761904761905</v>
      </c>
      <c r="W192" s="45">
        <f t="shared" ca="1" si="82"/>
        <v>42</v>
      </c>
      <c r="X192" s="48">
        <f t="shared" ca="1" si="83"/>
        <v>589</v>
      </c>
      <c r="Y192">
        <f t="shared" si="70"/>
        <v>18</v>
      </c>
      <c r="Z192">
        <f t="shared" ca="1" si="77"/>
        <v>17</v>
      </c>
      <c r="AA192" t="str">
        <f t="shared" ca="1" si="78"/>
        <v>9122300.png</v>
      </c>
      <c r="AB192">
        <f t="shared" si="71"/>
        <v>20</v>
      </c>
      <c r="AC192">
        <f>VLOOKUP(C192,技能辅助查询表,技能配置辅助表!$W$1,FALSE)</f>
        <v>5602</v>
      </c>
      <c r="AD192">
        <f t="shared" ca="1" si="79"/>
        <v>177.57759614021001</v>
      </c>
      <c r="AE192">
        <f>VLOOKUP(C192,技能辅助查询表,技能配置辅助表!$U$1,FALSE)</f>
        <v>4</v>
      </c>
      <c r="AF192">
        <f t="shared" ca="1" si="80"/>
        <v>9122337</v>
      </c>
      <c r="AG192">
        <f t="shared" ca="1" si="84"/>
        <v>60.632653061224488</v>
      </c>
      <c r="AH192">
        <f t="shared" ca="1" si="81"/>
        <v>1407.2186863941167</v>
      </c>
      <c r="AI192">
        <f ca="1">VLOOKUP(E192,伤害参考系!$C$4:$E$104,3,FALSE)*$AN$12</f>
        <v>10863.360489130437</v>
      </c>
      <c r="AJ192">
        <f>VLOOKUP(C192,技能辅助查询表,技能配置辅助表!$L$1,FALSE)</f>
        <v>1</v>
      </c>
      <c r="AK192">
        <f>VLOOKUP(C192,技能辅助查询表,技能配置辅助表!$AE$1,FALSE)</f>
        <v>66000113</v>
      </c>
    </row>
    <row r="193" spans="1:37" x14ac:dyDescent="0.15">
      <c r="A193" s="1">
        <f t="shared" ca="1" si="72"/>
        <v>9122338</v>
      </c>
      <c r="B193" s="1" t="str">
        <f t="shared" ca="1" si="57"/>
        <v>影袭·斩第3段</v>
      </c>
      <c r="C193" t="s">
        <v>153</v>
      </c>
      <c r="D193">
        <f t="shared" si="58"/>
        <v>1</v>
      </c>
      <c r="E193" s="42">
        <f t="shared" ca="1" si="73"/>
        <v>62</v>
      </c>
      <c r="F193" t="str">
        <f t="shared" ca="1" si="74"/>
        <v>第38级，共造成164.3%点伤害</v>
      </c>
      <c r="G193">
        <f t="shared" ca="1" si="75"/>
        <v>3</v>
      </c>
      <c r="H193">
        <f t="shared" si="59"/>
        <v>3</v>
      </c>
      <c r="I193" s="44">
        <f t="shared" ca="1" si="76"/>
        <v>38</v>
      </c>
      <c r="J193">
        <f t="shared" si="60"/>
        <v>2</v>
      </c>
      <c r="K193" s="36">
        <f t="shared" ca="1" si="61"/>
        <v>164.28571428571428</v>
      </c>
      <c r="L193" s="10">
        <f ca="1">AH193*VLOOKUP(C193,技能辅助查询表,技能配置辅助表!$T$1,FALSE)</f>
        <v>0</v>
      </c>
      <c r="M193">
        <f t="shared" ca="1" si="62"/>
        <v>4960</v>
      </c>
      <c r="N193" s="33">
        <f ca="1">CHOOSE(1,W193*U193,X193*'[1]0、经济设定'!$C$18)</f>
        <v>113580</v>
      </c>
      <c r="O193">
        <f t="shared" si="63"/>
        <v>2</v>
      </c>
      <c r="P193">
        <f t="shared" si="64"/>
        <v>1</v>
      </c>
      <c r="Q193">
        <f t="shared" si="65"/>
        <v>1</v>
      </c>
      <c r="R193" s="2">
        <f t="shared" si="66"/>
        <v>7</v>
      </c>
      <c r="S193" s="2">
        <f t="shared" si="67"/>
        <v>50</v>
      </c>
      <c r="T193" s="2">
        <f t="shared" si="68"/>
        <v>119.04761904761905</v>
      </c>
      <c r="U193" s="2">
        <f ca="1">VLOOKUP(E193,金币生产率!$A$2:$B$120,2,0)</f>
        <v>2524</v>
      </c>
      <c r="V193" s="2">
        <f t="shared" si="69"/>
        <v>119.04761904761905</v>
      </c>
      <c r="W193" s="45">
        <f t="shared" ca="1" si="82"/>
        <v>45</v>
      </c>
      <c r="X193" s="48">
        <f t="shared" ca="1" si="83"/>
        <v>634</v>
      </c>
      <c r="Y193">
        <f t="shared" si="70"/>
        <v>18</v>
      </c>
      <c r="Z193">
        <f t="shared" ca="1" si="77"/>
        <v>18</v>
      </c>
      <c r="AA193" t="str">
        <f t="shared" ca="1" si="78"/>
        <v>9122300.png</v>
      </c>
      <c r="AB193">
        <f t="shared" si="71"/>
        <v>20</v>
      </c>
      <c r="AC193">
        <f>VLOOKUP(C193,技能辅助查询表,技能配置辅助表!$W$1,FALSE)</f>
        <v>5602</v>
      </c>
      <c r="AD193">
        <f t="shared" ca="1" si="79"/>
        <v>205.98427022719392</v>
      </c>
      <c r="AE193">
        <f>VLOOKUP(C193,技能辅助查询表,技能配置辅助表!$U$1,FALSE)</f>
        <v>4</v>
      </c>
      <c r="AF193">
        <f t="shared" ca="1" si="80"/>
        <v>9122338</v>
      </c>
      <c r="AG193">
        <f t="shared" ca="1" si="84"/>
        <v>62.122448979591837</v>
      </c>
      <c r="AH193">
        <f t="shared" ca="1" si="81"/>
        <v>1602.0998795448415</v>
      </c>
      <c r="AI193">
        <f ca="1">VLOOKUP(E193,伤害参考系!$C$4:$E$104,3,FALSE)*$AN$12</f>
        <v>11398.657545150505</v>
      </c>
      <c r="AJ193">
        <f>VLOOKUP(C193,技能辅助查询表,技能配置辅助表!$L$1,FALSE)</f>
        <v>1</v>
      </c>
      <c r="AK193">
        <f>VLOOKUP(C193,技能辅助查询表,技能配置辅助表!$AE$1,FALSE)</f>
        <v>66000113</v>
      </c>
    </row>
    <row r="194" spans="1:37" x14ac:dyDescent="0.15">
      <c r="A194" s="1">
        <f t="shared" ca="1" si="72"/>
        <v>9122339</v>
      </c>
      <c r="B194" s="1" t="str">
        <f t="shared" ref="B194:B257" ca="1" si="85">IF(AND(G194=0,AE194=4),LEFT(C194,LEN(C194)-3),C194)</f>
        <v>影袭·斩第3段</v>
      </c>
      <c r="C194" t="s">
        <v>153</v>
      </c>
      <c r="D194">
        <f t="shared" ref="D194:D257" si="86">VLOOKUP(C194,技能辅助查询表,3,FALSE)</f>
        <v>1</v>
      </c>
      <c r="E194" s="42">
        <f t="shared" ca="1" si="73"/>
        <v>64</v>
      </c>
      <c r="F194" t="str">
        <f t="shared" ca="1" si="74"/>
        <v>第39级，共造成165.5%点伤害</v>
      </c>
      <c r="G194">
        <f t="shared" ca="1" si="75"/>
        <v>3</v>
      </c>
      <c r="H194">
        <f t="shared" ref="H194:H257" si="87">VLOOKUP(C194,技能辅助查询表,2,FALSE)</f>
        <v>3</v>
      </c>
      <c r="I194" s="44">
        <f t="shared" ca="1" si="76"/>
        <v>39</v>
      </c>
      <c r="J194">
        <f t="shared" ref="J194:J257" si="88">VLOOKUP(C194,技能辅助查询表,4,FALSE)</f>
        <v>2</v>
      </c>
      <c r="K194" s="36">
        <f t="shared" ref="K194:K257" ca="1" si="89">IF(OR(I194=0,I194=1),T194,T194+T194*($AN$6-1)/S194*I194)</f>
        <v>165.47619047619048</v>
      </c>
      <c r="L194" s="10">
        <f ca="1">AH194*VLOOKUP(C194,技能辅助查询表,技能配置辅助表!$T$1,FALSE)</f>
        <v>0</v>
      </c>
      <c r="M194">
        <f t="shared" ref="M194:M257" ca="1" si="90">IF(OR(I194=0,I194=1),VLOOKUP(C194,技能辅助查询表,14,FALSE),VLOOKUP(C194,技能辅助查询表,14,FALSE)-VLOOKUP(C194,技能辅助查询表,14,FALSE)*0.5/S194*I194)</f>
        <v>4880</v>
      </c>
      <c r="N194" s="33">
        <f ca="1">CHOOSE(1,W194*U194,X194*'[1]0、经济设定'!$C$18)</f>
        <v>129360</v>
      </c>
      <c r="O194">
        <f t="shared" ref="O194:O257" si="91">VLOOKUP(C194,技能辅助查询表,5,FALSE)</f>
        <v>2</v>
      </c>
      <c r="P194">
        <f t="shared" ref="P194:P257" si="92">VLOOKUP(C194,技能辅助查询表,6,FALSE)</f>
        <v>1</v>
      </c>
      <c r="Q194">
        <f t="shared" ref="Q194:Q257" si="93">VLOOKUP(C194,技能辅助查询表,7,FALSE)</f>
        <v>1</v>
      </c>
      <c r="R194" s="2">
        <f t="shared" ref="R194:R257" si="94">VLOOKUP(C194,技能辅助查询表,9,FALSE)</f>
        <v>7</v>
      </c>
      <c r="S194" s="2">
        <f t="shared" ref="S194:S257" si="95">VLOOKUP(C194,技能辅助查询表,8,FALSE)</f>
        <v>50</v>
      </c>
      <c r="T194" s="2">
        <f t="shared" ref="T194:T257" si="96">VLOOKUP(C194,技能辅助查询表,11,FALSE)</f>
        <v>119.04761904761905</v>
      </c>
      <c r="U194" s="2">
        <f ca="1">VLOOKUP(E194,金币生产率!$A$2:$B$120,2,0)</f>
        <v>2695</v>
      </c>
      <c r="V194" s="2">
        <f t="shared" ref="V194:V257" si="97">VLOOKUP(C194,技能辅助查询表,12,FALSE)</f>
        <v>119.04761904761905</v>
      </c>
      <c r="W194" s="45">
        <f t="shared" ca="1" si="82"/>
        <v>48</v>
      </c>
      <c r="X194" s="48">
        <f t="shared" ca="1" si="83"/>
        <v>682</v>
      </c>
      <c r="Y194">
        <f t="shared" ref="Y194:Y257" si="98">VLOOKUP(C194,技能辅助查询表,15,FALSE)</f>
        <v>18</v>
      </c>
      <c r="Z194">
        <f t="shared" ca="1" si="77"/>
        <v>20</v>
      </c>
      <c r="AA194" t="str">
        <f t="shared" ca="1" si="78"/>
        <v>9122300.png</v>
      </c>
      <c r="AB194">
        <f t="shared" ref="AB194:AB257" si="99">VLOOKUP(C194,技能辅助查询表,17,FALSE)</f>
        <v>20</v>
      </c>
      <c r="AC194">
        <f>VLOOKUP(C194,技能辅助查询表,技能配置辅助表!$W$1,FALSE)</f>
        <v>5602</v>
      </c>
      <c r="AD194">
        <f t="shared" ca="1" si="79"/>
        <v>238.85315441388576</v>
      </c>
      <c r="AE194">
        <f>VLOOKUP(C194,技能辅助查询表,技能配置辅助表!$U$1,FALSE)</f>
        <v>4</v>
      </c>
      <c r="AF194">
        <f t="shared" ca="1" si="80"/>
        <v>9122339</v>
      </c>
      <c r="AG194">
        <f t="shared" ca="1" si="84"/>
        <v>63.612244897959187</v>
      </c>
      <c r="AH194">
        <f t="shared" ca="1" si="81"/>
        <v>1823.9695427969455</v>
      </c>
      <c r="AI194">
        <f ca="1">VLOOKUP(E194,伤害参考系!$C$4:$E$104,3,FALSE)*$AN$12</f>
        <v>12506.737545150507</v>
      </c>
      <c r="AJ194">
        <f>VLOOKUP(C194,技能辅助查询表,技能配置辅助表!$L$1,FALSE)</f>
        <v>1</v>
      </c>
      <c r="AK194">
        <f>VLOOKUP(C194,技能辅助查询表,技能配置辅助表!$AE$1,FALSE)</f>
        <v>66000113</v>
      </c>
    </row>
    <row r="195" spans="1:37" x14ac:dyDescent="0.15">
      <c r="A195" s="1">
        <f t="shared" ref="A195:A258" ca="1" si="100">IF(I195=0,IF(H195=1,VALUE("9"&amp;D195&amp;J195&amp;O195&amp;G195&amp;IF(I195&gt;9,I195,"0"&amp;I195)),1),VALUE("9"&amp;D195&amp;J195&amp;O195&amp;G195&amp;IF(I195&gt;9,I195,"0"&amp;I195)))</f>
        <v>9122340</v>
      </c>
      <c r="B195" s="1" t="str">
        <f t="shared" ca="1" si="85"/>
        <v>影袭·斩第3段</v>
      </c>
      <c r="C195" t="s">
        <v>153</v>
      </c>
      <c r="D195">
        <f t="shared" si="86"/>
        <v>1</v>
      </c>
      <c r="E195" s="42">
        <f t="shared" ref="E195:E258" ca="1" si="101">IF(I195=0,E196,IF(AND(I195=1,G195&gt;1),OFFSET(E195,(1-G195)*51,0),IF(OR(I195=1,AND(I195=2,R195=2)),R195,IF(I195=0,0,ROUND(I195*(80-R195)/S195,0)+R195))))</f>
        <v>65</v>
      </c>
      <c r="F195" t="str">
        <f t="shared" ref="F195:F258" ca="1" si="102">"第"&amp;I195&amp;"级，共造成"&amp;ROUND(AJ195*K195,1)&amp;"%点伤害"</f>
        <v>第40级，共造成166.7%点伤害</v>
      </c>
      <c r="G195">
        <f t="shared" ref="G195:G258" ca="1" si="103">IF(I195=0,0,H195)</f>
        <v>3</v>
      </c>
      <c r="H195">
        <f t="shared" si="87"/>
        <v>3</v>
      </c>
      <c r="I195" s="44">
        <f t="shared" ref="I195:I258" ca="1" si="104">IF(OFFSET(C195,-1,0)=C195,I194+1,0)</f>
        <v>40</v>
      </c>
      <c r="J195">
        <f t="shared" si="88"/>
        <v>2</v>
      </c>
      <c r="K195" s="36">
        <f t="shared" ca="1" si="89"/>
        <v>166.66666666666669</v>
      </c>
      <c r="L195" s="10">
        <f ca="1">AH195*VLOOKUP(C195,技能辅助查询表,技能配置辅助表!$T$1,FALSE)</f>
        <v>0</v>
      </c>
      <c r="M195">
        <f t="shared" ca="1" si="90"/>
        <v>4800</v>
      </c>
      <c r="N195" s="33">
        <f ca="1">CHOOSE(1,W195*U195,X195*'[1]0、经济设定'!$C$18)</f>
        <v>141933</v>
      </c>
      <c r="O195">
        <f t="shared" si="91"/>
        <v>2</v>
      </c>
      <c r="P195">
        <f t="shared" si="92"/>
        <v>1</v>
      </c>
      <c r="Q195">
        <f t="shared" si="93"/>
        <v>1</v>
      </c>
      <c r="R195" s="2">
        <f t="shared" si="94"/>
        <v>7</v>
      </c>
      <c r="S195" s="2">
        <f t="shared" si="95"/>
        <v>50</v>
      </c>
      <c r="T195" s="2">
        <f t="shared" si="96"/>
        <v>119.04761904761905</v>
      </c>
      <c r="U195" s="2">
        <f ca="1">VLOOKUP(E195,金币生产率!$A$2:$B$120,2,0)</f>
        <v>2783</v>
      </c>
      <c r="V195" s="2">
        <f t="shared" si="97"/>
        <v>119.04761904761905</v>
      </c>
      <c r="W195" s="45">
        <f t="shared" ca="1" si="82"/>
        <v>51</v>
      </c>
      <c r="X195" s="48">
        <f t="shared" ca="1" si="83"/>
        <v>733</v>
      </c>
      <c r="Y195">
        <f t="shared" si="98"/>
        <v>18</v>
      </c>
      <c r="Z195">
        <f t="shared" ref="Z195:Z258" ca="1" si="105">IF(I195&gt;=Y195,ROUNDUP(W195/$AN$15,0),0)</f>
        <v>21</v>
      </c>
      <c r="AA195" t="str">
        <f t="shared" ref="AA195:AA258" ca="1" si="106">AF195-MOD(AF195,100)&amp;".png"</f>
        <v>9122300.png</v>
      </c>
      <c r="AB195">
        <f t="shared" si="99"/>
        <v>20</v>
      </c>
      <c r="AC195">
        <f>VLOOKUP(C195,技能辅助查询表,技能配置辅助表!$W$1,FALSE)</f>
        <v>5602</v>
      </c>
      <c r="AD195">
        <f t="shared" ref="AD195:AD258" ca="1" si="107">((AH195*K195/100+L195)*AJ195-AH195)/5</f>
        <v>276.8753630180301</v>
      </c>
      <c r="AE195">
        <f>VLOOKUP(C195,技能辅助查询表,技能配置辅助表!$U$1,FALSE)</f>
        <v>4</v>
      </c>
      <c r="AF195">
        <f t="shared" ref="AF195:AF258" ca="1" si="108">VALUE("9"&amp;D195&amp;J195&amp;O195&amp;H195&amp;IF(I195&gt;9,I195,"0"&amp;I195))</f>
        <v>9122340</v>
      </c>
      <c r="AG195">
        <f t="shared" ca="1" si="84"/>
        <v>65.102040816326536</v>
      </c>
      <c r="AH195">
        <f t="shared" ref="AH195:AH258" ca="1" si="109">(19.323*EXP(I195*0.1297))*$AN$12</f>
        <v>2076.5652226352254</v>
      </c>
      <c r="AI195">
        <f ca="1">VLOOKUP(E195,伤害参考系!$C$4:$E$104,3,FALSE)*$AN$12</f>
        <v>13079.520489130437</v>
      </c>
      <c r="AJ195">
        <f>VLOOKUP(C195,技能辅助查询表,技能配置辅助表!$L$1,FALSE)</f>
        <v>1</v>
      </c>
      <c r="AK195">
        <f>VLOOKUP(C195,技能辅助查询表,技能配置辅助表!$AE$1,FALSE)</f>
        <v>66000113</v>
      </c>
    </row>
    <row r="196" spans="1:37" x14ac:dyDescent="0.15">
      <c r="A196" s="1">
        <f t="shared" ca="1" si="100"/>
        <v>9122341</v>
      </c>
      <c r="B196" s="1" t="str">
        <f t="shared" ca="1" si="85"/>
        <v>影袭·斩第3段</v>
      </c>
      <c r="C196" t="s">
        <v>153</v>
      </c>
      <c r="D196">
        <f t="shared" si="86"/>
        <v>1</v>
      </c>
      <c r="E196" s="42">
        <f t="shared" ca="1" si="101"/>
        <v>67</v>
      </c>
      <c r="F196" t="str">
        <f t="shared" ca="1" si="102"/>
        <v>第41级，共造成167.9%点伤害</v>
      </c>
      <c r="G196">
        <f t="shared" ca="1" si="103"/>
        <v>3</v>
      </c>
      <c r="H196">
        <f t="shared" si="87"/>
        <v>3</v>
      </c>
      <c r="I196" s="44">
        <f t="shared" ca="1" si="104"/>
        <v>41</v>
      </c>
      <c r="J196">
        <f t="shared" si="88"/>
        <v>2</v>
      </c>
      <c r="K196" s="36">
        <f t="shared" ca="1" si="89"/>
        <v>167.85714285714286</v>
      </c>
      <c r="L196" s="10">
        <f ca="1">AH196*VLOOKUP(C196,技能辅助查询表,技能配置辅助表!$T$1,FALSE)</f>
        <v>0</v>
      </c>
      <c r="M196">
        <f t="shared" ca="1" si="90"/>
        <v>4720</v>
      </c>
      <c r="N196" s="33">
        <f ca="1">CHOOSE(1,W196*U196,X196*'[1]0、经济设定'!$C$18)</f>
        <v>162965</v>
      </c>
      <c r="O196">
        <f t="shared" si="91"/>
        <v>2</v>
      </c>
      <c r="P196">
        <f t="shared" si="92"/>
        <v>1</v>
      </c>
      <c r="Q196">
        <f t="shared" si="93"/>
        <v>1</v>
      </c>
      <c r="R196" s="2">
        <f t="shared" si="94"/>
        <v>7</v>
      </c>
      <c r="S196" s="2">
        <f t="shared" si="95"/>
        <v>50</v>
      </c>
      <c r="T196" s="2">
        <f t="shared" si="96"/>
        <v>119.04761904761905</v>
      </c>
      <c r="U196" s="2">
        <f ca="1">VLOOKUP(E196,金币生产率!$A$2:$B$120,2,0)</f>
        <v>2963</v>
      </c>
      <c r="V196" s="2">
        <f t="shared" si="97"/>
        <v>119.04761904761905</v>
      </c>
      <c r="W196" s="45">
        <f t="shared" ref="W196:W259" ca="1" si="110">ROUND((IF(I196=0,0,ROUND(OFFSET(AD196,S196-I196+510*(1-D196),0)*(1-$AN$13)/(1-$AN$13^S196)*$AN$13^(I196-1),0))+IF(I196=0,0,ROUND(OFFSET(AD196,S196-I196+510*(2-D196),0)*(1-$AN$13)/(1-$AN$13^S196)*$AN$13^(I196-1),0))+IF(I196=0,0,ROUND(OFFSET(AD196,S196-I196+510*(3-D196),0)*(1-$AN$13)/(1-$AN$13^S196)*$AN$13^(I196-1),0)))/3,0)</f>
        <v>55</v>
      </c>
      <c r="X196" s="48">
        <f t="shared" ref="X196:X259" ca="1" si="111">IF(I196=0,0,X195+W196)</f>
        <v>788</v>
      </c>
      <c r="Y196">
        <f t="shared" si="98"/>
        <v>18</v>
      </c>
      <c r="Z196">
        <f t="shared" ca="1" si="105"/>
        <v>22</v>
      </c>
      <c r="AA196" t="str">
        <f t="shared" ca="1" si="106"/>
        <v>9122300.png</v>
      </c>
      <c r="AB196">
        <f t="shared" si="99"/>
        <v>20</v>
      </c>
      <c r="AC196">
        <f>VLOOKUP(C196,技能辅助查询表,技能配置辅助表!$W$1,FALSE)</f>
        <v>5602</v>
      </c>
      <c r="AD196">
        <f t="shared" ca="1" si="107"/>
        <v>320.84785186108957</v>
      </c>
      <c r="AE196">
        <f>VLOOKUP(C196,技能辅助查询表,技能配置辅助表!$U$1,FALSE)</f>
        <v>4</v>
      </c>
      <c r="AF196">
        <f t="shared" ca="1" si="108"/>
        <v>9122341</v>
      </c>
      <c r="AG196">
        <f t="shared" ca="1" si="84"/>
        <v>66.591836734693885</v>
      </c>
      <c r="AH196">
        <f t="shared" ca="1" si="109"/>
        <v>2364.1420663448707</v>
      </c>
      <c r="AI196">
        <f ca="1">VLOOKUP(E196,伤害参考系!$C$4:$E$104,3,FALSE)*$AN$12</f>
        <v>14262.572265050176</v>
      </c>
      <c r="AJ196">
        <f>VLOOKUP(C196,技能辅助查询表,技能配置辅助表!$L$1,FALSE)</f>
        <v>1</v>
      </c>
      <c r="AK196">
        <f>VLOOKUP(C196,技能辅助查询表,技能配置辅助表!$AE$1,FALSE)</f>
        <v>66000113</v>
      </c>
    </row>
    <row r="197" spans="1:37" x14ac:dyDescent="0.15">
      <c r="A197" s="1">
        <f t="shared" ca="1" si="100"/>
        <v>9122342</v>
      </c>
      <c r="B197" s="1" t="str">
        <f t="shared" ca="1" si="85"/>
        <v>影袭·斩第3段</v>
      </c>
      <c r="C197" t="s">
        <v>153</v>
      </c>
      <c r="D197">
        <f t="shared" si="86"/>
        <v>1</v>
      </c>
      <c r="E197" s="42">
        <f t="shared" ca="1" si="101"/>
        <v>68</v>
      </c>
      <c r="F197" t="str">
        <f t="shared" ca="1" si="102"/>
        <v>第42级，共造成169%点伤害</v>
      </c>
      <c r="G197">
        <f t="shared" ca="1" si="103"/>
        <v>3</v>
      </c>
      <c r="H197">
        <f t="shared" si="87"/>
        <v>3</v>
      </c>
      <c r="I197" s="44">
        <f t="shared" ca="1" si="104"/>
        <v>42</v>
      </c>
      <c r="J197">
        <f t="shared" si="88"/>
        <v>2</v>
      </c>
      <c r="K197" s="36">
        <f t="shared" ca="1" si="89"/>
        <v>169.04761904761904</v>
      </c>
      <c r="L197" s="10">
        <f ca="1">AH197*VLOOKUP(C197,技能辅助查询表,技能配置辅助表!$T$1,FALSE)</f>
        <v>0</v>
      </c>
      <c r="M197">
        <f t="shared" ca="1" si="90"/>
        <v>4640</v>
      </c>
      <c r="N197" s="33">
        <f ca="1">CHOOSE(1,W197*U197,X197*'[1]0、经济设定'!$C$18)</f>
        <v>177132</v>
      </c>
      <c r="O197">
        <f t="shared" si="91"/>
        <v>2</v>
      </c>
      <c r="P197">
        <f t="shared" si="92"/>
        <v>1</v>
      </c>
      <c r="Q197">
        <f t="shared" si="93"/>
        <v>1</v>
      </c>
      <c r="R197" s="2">
        <f t="shared" si="94"/>
        <v>7</v>
      </c>
      <c r="S197" s="2">
        <f t="shared" si="95"/>
        <v>50</v>
      </c>
      <c r="T197" s="2">
        <f t="shared" si="96"/>
        <v>119.04761904761905</v>
      </c>
      <c r="U197" s="2">
        <f ca="1">VLOOKUP(E197,金币生产率!$A$2:$B$120,2,0)</f>
        <v>3054</v>
      </c>
      <c r="V197" s="2">
        <f t="shared" si="97"/>
        <v>119.04761904761905</v>
      </c>
      <c r="W197" s="45">
        <f t="shared" ca="1" si="110"/>
        <v>58</v>
      </c>
      <c r="X197" s="48">
        <f t="shared" ca="1" si="111"/>
        <v>846</v>
      </c>
      <c r="Y197">
        <f t="shared" si="98"/>
        <v>18</v>
      </c>
      <c r="Z197">
        <f t="shared" ca="1" si="105"/>
        <v>24</v>
      </c>
      <c r="AA197" t="str">
        <f t="shared" ca="1" si="106"/>
        <v>9122300.png</v>
      </c>
      <c r="AB197">
        <f t="shared" si="99"/>
        <v>20</v>
      </c>
      <c r="AC197">
        <f>VLOOKUP(C197,技能辅助查询表,技能配置辅助表!$W$1,FALSE)</f>
        <v>5602</v>
      </c>
      <c r="AD197">
        <f t="shared" ca="1" si="107"/>
        <v>371.68947896952648</v>
      </c>
      <c r="AE197">
        <f>VLOOKUP(C197,技能辅助查询表,技能配置辅助表!$U$1,FALSE)</f>
        <v>4</v>
      </c>
      <c r="AF197">
        <f t="shared" ca="1" si="108"/>
        <v>9122342</v>
      </c>
      <c r="AG197">
        <f t="shared" ref="AG197:AG260" ca="1" si="112">IF(I197=1,R197,IF(I197=0,0,(I197-1)*(80-R197)/(S197-1)+R197))</f>
        <v>68.081632653061234</v>
      </c>
      <c r="AH197">
        <f t="shared" ca="1" si="109"/>
        <v>2691.5445028827789</v>
      </c>
      <c r="AI197">
        <f ca="1">VLOOKUP(E197,伤害参考系!$C$4:$E$104,3,FALSE)*$AN$12</f>
        <v>14872.841096989978</v>
      </c>
      <c r="AJ197">
        <f>VLOOKUP(C197,技能辅助查询表,技能配置辅助表!$L$1,FALSE)</f>
        <v>1</v>
      </c>
      <c r="AK197">
        <f>VLOOKUP(C197,技能辅助查询表,技能配置辅助表!$AE$1,FALSE)</f>
        <v>66000113</v>
      </c>
    </row>
    <row r="198" spans="1:37" x14ac:dyDescent="0.15">
      <c r="A198" s="1">
        <f t="shared" ca="1" si="100"/>
        <v>9122343</v>
      </c>
      <c r="B198" s="1" t="str">
        <f t="shared" ca="1" si="85"/>
        <v>影袭·斩第3段</v>
      </c>
      <c r="C198" t="s">
        <v>153</v>
      </c>
      <c r="D198">
        <f t="shared" si="86"/>
        <v>1</v>
      </c>
      <c r="E198" s="42">
        <f t="shared" ca="1" si="101"/>
        <v>70</v>
      </c>
      <c r="F198" t="str">
        <f t="shared" ca="1" si="102"/>
        <v>第43级，共造成170.2%点伤害</v>
      </c>
      <c r="G198">
        <f t="shared" ca="1" si="103"/>
        <v>3</v>
      </c>
      <c r="H198">
        <f t="shared" si="87"/>
        <v>3</v>
      </c>
      <c r="I198" s="44">
        <f t="shared" ca="1" si="104"/>
        <v>43</v>
      </c>
      <c r="J198">
        <f t="shared" si="88"/>
        <v>2</v>
      </c>
      <c r="K198" s="36">
        <f t="shared" ca="1" si="89"/>
        <v>170.23809523809524</v>
      </c>
      <c r="L198" s="10">
        <f ca="1">AH198*VLOOKUP(C198,技能辅助查询表,技能配置辅助表!$T$1,FALSE)</f>
        <v>0</v>
      </c>
      <c r="M198">
        <f t="shared" ca="1" si="90"/>
        <v>4560</v>
      </c>
      <c r="N198" s="33">
        <f ca="1">CHOOSE(1,W198*U198,X198*'[1]0、经济设定'!$C$18)</f>
        <v>204246</v>
      </c>
      <c r="O198">
        <f t="shared" si="91"/>
        <v>2</v>
      </c>
      <c r="P198">
        <f t="shared" si="92"/>
        <v>1</v>
      </c>
      <c r="Q198">
        <f t="shared" si="93"/>
        <v>1</v>
      </c>
      <c r="R198" s="2">
        <f t="shared" si="94"/>
        <v>7</v>
      </c>
      <c r="S198" s="2">
        <f t="shared" si="95"/>
        <v>50</v>
      </c>
      <c r="T198" s="2">
        <f t="shared" si="96"/>
        <v>119.04761904761905</v>
      </c>
      <c r="U198" s="2">
        <f ca="1">VLOOKUP(E198,金币生产率!$A$2:$B$120,2,0)</f>
        <v>3242</v>
      </c>
      <c r="V198" s="2">
        <f t="shared" si="97"/>
        <v>119.04761904761905</v>
      </c>
      <c r="W198" s="45">
        <f t="shared" ca="1" si="110"/>
        <v>63</v>
      </c>
      <c r="X198" s="48">
        <f t="shared" ca="1" si="111"/>
        <v>909</v>
      </c>
      <c r="Y198">
        <f t="shared" si="98"/>
        <v>18</v>
      </c>
      <c r="Z198">
        <f t="shared" ca="1" si="105"/>
        <v>26</v>
      </c>
      <c r="AA198" t="str">
        <f t="shared" ca="1" si="106"/>
        <v>9122300.png</v>
      </c>
      <c r="AB198">
        <f t="shared" si="99"/>
        <v>20</v>
      </c>
      <c r="AC198">
        <f>VLOOKUP(C198,技能辅助查询表,技能配置辅助表!$W$1,FALSE)</f>
        <v>5602</v>
      </c>
      <c r="AD198">
        <f t="shared" ca="1" si="107"/>
        <v>430.45948377509148</v>
      </c>
      <c r="AE198">
        <f>VLOOKUP(C198,技能辅助查询表,技能配置辅助表!$U$1,FALSE)</f>
        <v>4</v>
      </c>
      <c r="AF198">
        <f t="shared" ca="1" si="108"/>
        <v>9122343</v>
      </c>
      <c r="AG198">
        <f t="shared" ca="1" si="112"/>
        <v>69.571428571428569</v>
      </c>
      <c r="AH198">
        <f t="shared" ca="1" si="109"/>
        <v>3064.2878506023458</v>
      </c>
      <c r="AI198">
        <f ca="1">VLOOKUP(E198,伤害参考系!$C$4:$E$104,3,FALSE)*$AN$12</f>
        <v>16191.966408862889</v>
      </c>
      <c r="AJ198">
        <f>VLOOKUP(C198,技能辅助查询表,技能配置辅助表!$L$1,FALSE)</f>
        <v>1</v>
      </c>
      <c r="AK198">
        <f>VLOOKUP(C198,技能辅助查询表,技能配置辅助表!$AE$1,FALSE)</f>
        <v>66000113</v>
      </c>
    </row>
    <row r="199" spans="1:37" x14ac:dyDescent="0.15">
      <c r="A199" s="1">
        <f t="shared" ca="1" si="100"/>
        <v>9122344</v>
      </c>
      <c r="B199" s="1" t="str">
        <f t="shared" ca="1" si="85"/>
        <v>影袭·斩第3段</v>
      </c>
      <c r="C199" t="s">
        <v>153</v>
      </c>
      <c r="D199">
        <f t="shared" si="86"/>
        <v>1</v>
      </c>
      <c r="E199" s="42">
        <f t="shared" ca="1" si="101"/>
        <v>71</v>
      </c>
      <c r="F199" t="str">
        <f t="shared" ca="1" si="102"/>
        <v>第44级，共造成171.4%点伤害</v>
      </c>
      <c r="G199">
        <f t="shared" ca="1" si="103"/>
        <v>3</v>
      </c>
      <c r="H199">
        <f t="shared" si="87"/>
        <v>3</v>
      </c>
      <c r="I199" s="44">
        <f t="shared" ca="1" si="104"/>
        <v>44</v>
      </c>
      <c r="J199">
        <f t="shared" si="88"/>
        <v>2</v>
      </c>
      <c r="K199" s="36">
        <f t="shared" ca="1" si="89"/>
        <v>171.42857142857144</v>
      </c>
      <c r="L199" s="10">
        <f ca="1">AH199*VLOOKUP(C199,技能辅助查询表,技能配置辅助表!$T$1,FALSE)</f>
        <v>0</v>
      </c>
      <c r="M199">
        <f t="shared" ca="1" si="90"/>
        <v>4480</v>
      </c>
      <c r="N199" s="33">
        <f ca="1">CHOOSE(1,W199*U199,X199*'[1]0、经济设定'!$C$18)</f>
        <v>223646</v>
      </c>
      <c r="O199">
        <f t="shared" si="91"/>
        <v>2</v>
      </c>
      <c r="P199">
        <f t="shared" si="92"/>
        <v>1</v>
      </c>
      <c r="Q199">
        <f t="shared" si="93"/>
        <v>1</v>
      </c>
      <c r="R199" s="2">
        <f t="shared" si="94"/>
        <v>7</v>
      </c>
      <c r="S199" s="2">
        <f t="shared" si="95"/>
        <v>50</v>
      </c>
      <c r="T199" s="2">
        <f t="shared" si="96"/>
        <v>119.04761904761905</v>
      </c>
      <c r="U199" s="2">
        <f ca="1">VLOOKUP(E199,金币生产率!$A$2:$B$120,2,0)</f>
        <v>3338</v>
      </c>
      <c r="V199" s="2">
        <f t="shared" si="97"/>
        <v>119.04761904761905</v>
      </c>
      <c r="W199" s="45">
        <f t="shared" ca="1" si="110"/>
        <v>67</v>
      </c>
      <c r="X199" s="48">
        <f t="shared" ca="1" si="111"/>
        <v>976</v>
      </c>
      <c r="Y199">
        <f t="shared" si="98"/>
        <v>18</v>
      </c>
      <c r="Z199">
        <f t="shared" ca="1" si="105"/>
        <v>27</v>
      </c>
      <c r="AA199" t="str">
        <f t="shared" ca="1" si="106"/>
        <v>9122300.png</v>
      </c>
      <c r="AB199">
        <f t="shared" si="99"/>
        <v>20</v>
      </c>
      <c r="AC199">
        <f>VLOOKUP(C199,技能辅助查询表,技能配置辅助表!$W$1,FALSE)</f>
        <v>5602</v>
      </c>
      <c r="AD199">
        <f t="shared" ca="1" si="107"/>
        <v>498.37874665282482</v>
      </c>
      <c r="AE199">
        <f>VLOOKUP(C199,技能辅助查询表,技能配置辅助表!$U$1,FALSE)</f>
        <v>4</v>
      </c>
      <c r="AF199">
        <f t="shared" ca="1" si="108"/>
        <v>9122344</v>
      </c>
      <c r="AG199">
        <f t="shared" ca="1" si="112"/>
        <v>71.061224489795919</v>
      </c>
      <c r="AH199">
        <f t="shared" ca="1" si="109"/>
        <v>3488.6512265697725</v>
      </c>
      <c r="AI199">
        <f ca="1">VLOOKUP(E199,伤害参考系!$C$4:$E$104,3,FALSE)*$AN$12</f>
        <v>16902.905438127098</v>
      </c>
      <c r="AJ199">
        <f>VLOOKUP(C199,技能辅助查询表,技能配置辅助表!$L$1,FALSE)</f>
        <v>1</v>
      </c>
      <c r="AK199">
        <f>VLOOKUP(C199,技能辅助查询表,技能配置辅助表!$AE$1,FALSE)</f>
        <v>66000113</v>
      </c>
    </row>
    <row r="200" spans="1:37" x14ac:dyDescent="0.15">
      <c r="A200" s="1">
        <f t="shared" ca="1" si="100"/>
        <v>9122345</v>
      </c>
      <c r="B200" s="1" t="str">
        <f t="shared" ca="1" si="85"/>
        <v>影袭·斩第3段</v>
      </c>
      <c r="C200" t="s">
        <v>153</v>
      </c>
      <c r="D200">
        <f t="shared" si="86"/>
        <v>1</v>
      </c>
      <c r="E200" s="42">
        <f t="shared" ca="1" si="101"/>
        <v>73</v>
      </c>
      <c r="F200" t="str">
        <f t="shared" ca="1" si="102"/>
        <v>第45级，共造成172.6%点伤害</v>
      </c>
      <c r="G200">
        <f t="shared" ca="1" si="103"/>
        <v>3</v>
      </c>
      <c r="H200">
        <f t="shared" si="87"/>
        <v>3</v>
      </c>
      <c r="I200" s="44">
        <f t="shared" ca="1" si="104"/>
        <v>45</v>
      </c>
      <c r="J200">
        <f t="shared" si="88"/>
        <v>2</v>
      </c>
      <c r="K200" s="36">
        <f t="shared" ca="1" si="89"/>
        <v>172.61904761904762</v>
      </c>
      <c r="L200" s="10">
        <f ca="1">AH200*VLOOKUP(C200,技能辅助查询表,技能配置辅助表!$T$1,FALSE)</f>
        <v>0</v>
      </c>
      <c r="M200">
        <f t="shared" ca="1" si="90"/>
        <v>4400</v>
      </c>
      <c r="N200" s="33">
        <f ca="1">CHOOSE(1,W200*U200,X200*'[1]0、经济设定'!$C$18)</f>
        <v>254448</v>
      </c>
      <c r="O200">
        <f t="shared" si="91"/>
        <v>2</v>
      </c>
      <c r="P200">
        <f t="shared" si="92"/>
        <v>1</v>
      </c>
      <c r="Q200">
        <f t="shared" si="93"/>
        <v>1</v>
      </c>
      <c r="R200" s="2">
        <f t="shared" si="94"/>
        <v>7</v>
      </c>
      <c r="S200" s="2">
        <f t="shared" si="95"/>
        <v>50</v>
      </c>
      <c r="T200" s="2">
        <f t="shared" si="96"/>
        <v>119.04761904761905</v>
      </c>
      <c r="U200" s="2">
        <f ca="1">VLOOKUP(E200,金币生产率!$A$2:$B$120,2,0)</f>
        <v>3534</v>
      </c>
      <c r="V200" s="2">
        <f t="shared" si="97"/>
        <v>119.04761904761905</v>
      </c>
      <c r="W200" s="45">
        <f t="shared" ca="1" si="110"/>
        <v>72</v>
      </c>
      <c r="X200" s="48">
        <f t="shared" ca="1" si="111"/>
        <v>1048</v>
      </c>
      <c r="Y200">
        <f t="shared" si="98"/>
        <v>18</v>
      </c>
      <c r="Z200">
        <f t="shared" ca="1" si="105"/>
        <v>29</v>
      </c>
      <c r="AA200" t="str">
        <f t="shared" ca="1" si="106"/>
        <v>9122300.png</v>
      </c>
      <c r="AB200">
        <f t="shared" si="99"/>
        <v>20</v>
      </c>
      <c r="AC200">
        <f>VLOOKUP(C200,技能辅助查询表,技能配置辅助表!$W$1,FALSE)</f>
        <v>5602</v>
      </c>
      <c r="AD200">
        <f t="shared" ca="1" si="107"/>
        <v>576.85424447184187</v>
      </c>
      <c r="AE200">
        <f>VLOOKUP(C200,技能辅助查询表,技能配置辅助表!$U$1,FALSE)</f>
        <v>4</v>
      </c>
      <c r="AF200">
        <f t="shared" ca="1" si="108"/>
        <v>9122345</v>
      </c>
      <c r="AG200">
        <f t="shared" ca="1" si="112"/>
        <v>72.551020408163268</v>
      </c>
      <c r="AH200">
        <f t="shared" ca="1" si="109"/>
        <v>3971.7833225930094</v>
      </c>
      <c r="AI200">
        <f ca="1">VLOOKUP(E200,伤害参考系!$C$4:$E$104,3,FALSE)*$AN$12</f>
        <v>18368.517032608706</v>
      </c>
      <c r="AJ200">
        <f>VLOOKUP(C200,技能辅助查询表,技能配置辅助表!$L$1,FALSE)</f>
        <v>1</v>
      </c>
      <c r="AK200">
        <f>VLOOKUP(C200,技能辅助查询表,技能配置辅助表!$AE$1,FALSE)</f>
        <v>66000113</v>
      </c>
    </row>
    <row r="201" spans="1:37" x14ac:dyDescent="0.15">
      <c r="A201" s="1">
        <f t="shared" ca="1" si="100"/>
        <v>9122346</v>
      </c>
      <c r="B201" s="1" t="str">
        <f t="shared" ca="1" si="85"/>
        <v>影袭·斩第3段</v>
      </c>
      <c r="C201" t="s">
        <v>153</v>
      </c>
      <c r="D201">
        <f t="shared" si="86"/>
        <v>1</v>
      </c>
      <c r="E201" s="42">
        <f t="shared" ca="1" si="101"/>
        <v>74</v>
      </c>
      <c r="F201" t="str">
        <f t="shared" ca="1" si="102"/>
        <v>第46级，共造成173.8%点伤害</v>
      </c>
      <c r="G201">
        <f t="shared" ca="1" si="103"/>
        <v>3</v>
      </c>
      <c r="H201">
        <f t="shared" si="87"/>
        <v>3</v>
      </c>
      <c r="I201" s="44">
        <f t="shared" ca="1" si="104"/>
        <v>46</v>
      </c>
      <c r="J201">
        <f t="shared" si="88"/>
        <v>2</v>
      </c>
      <c r="K201" s="36">
        <f t="shared" ca="1" si="89"/>
        <v>173.8095238095238</v>
      </c>
      <c r="L201" s="10">
        <f ca="1">AH201*VLOOKUP(C201,技能辅助查询表,技能配置辅助表!$T$1,FALSE)</f>
        <v>0</v>
      </c>
      <c r="M201">
        <f t="shared" ca="1" si="90"/>
        <v>4320</v>
      </c>
      <c r="N201" s="33">
        <f ca="1">CHOOSE(1,W201*U201,X201*'[1]0、经济设定'!$C$18)</f>
        <v>279818</v>
      </c>
      <c r="O201">
        <f t="shared" si="91"/>
        <v>2</v>
      </c>
      <c r="P201">
        <f t="shared" si="92"/>
        <v>1</v>
      </c>
      <c r="Q201">
        <f t="shared" si="93"/>
        <v>1</v>
      </c>
      <c r="R201" s="2">
        <f t="shared" si="94"/>
        <v>7</v>
      </c>
      <c r="S201" s="2">
        <f t="shared" si="95"/>
        <v>50</v>
      </c>
      <c r="T201" s="2">
        <f t="shared" si="96"/>
        <v>119.04761904761905</v>
      </c>
      <c r="U201" s="2">
        <f ca="1">VLOOKUP(E201,金币生产率!$A$2:$B$120,2,0)</f>
        <v>3634</v>
      </c>
      <c r="V201" s="2">
        <f t="shared" si="97"/>
        <v>119.04761904761905</v>
      </c>
      <c r="W201" s="45">
        <f t="shared" ca="1" si="110"/>
        <v>77</v>
      </c>
      <c r="X201" s="48">
        <f t="shared" ca="1" si="111"/>
        <v>1125</v>
      </c>
      <c r="Y201">
        <f t="shared" si="98"/>
        <v>18</v>
      </c>
      <c r="Z201">
        <f t="shared" ca="1" si="105"/>
        <v>31</v>
      </c>
      <c r="AA201" t="str">
        <f t="shared" ca="1" si="106"/>
        <v>9122300.png</v>
      </c>
      <c r="AB201">
        <f t="shared" si="99"/>
        <v>20</v>
      </c>
      <c r="AC201">
        <f>VLOOKUP(C201,技能辅助查询表,技能配置辅助表!$W$1,FALSE)</f>
        <v>5602</v>
      </c>
      <c r="AD201">
        <f t="shared" ca="1" si="107"/>
        <v>667.50717964200942</v>
      </c>
      <c r="AE201">
        <f>VLOOKUP(C201,技能辅助查询表,技能配置辅助表!$U$1,FALSE)</f>
        <v>4</v>
      </c>
      <c r="AF201">
        <f t="shared" ca="1" si="108"/>
        <v>9122346</v>
      </c>
      <c r="AG201">
        <f t="shared" ca="1" si="112"/>
        <v>74.040816326530617</v>
      </c>
      <c r="AH201">
        <f t="shared" ca="1" si="109"/>
        <v>4521.8228298329677</v>
      </c>
      <c r="AI201">
        <f ca="1">VLOOKUP(E201,伤害参考系!$C$4:$E$104,3,FALSE)*$AN$12</f>
        <v>19123.189597826095</v>
      </c>
      <c r="AJ201">
        <f>VLOOKUP(C201,技能辅助查询表,技能配置辅助表!$L$1,FALSE)</f>
        <v>1</v>
      </c>
      <c r="AK201">
        <f>VLOOKUP(C201,技能辅助查询表,技能配置辅助表!$AE$1,FALSE)</f>
        <v>66000113</v>
      </c>
    </row>
    <row r="202" spans="1:37" x14ac:dyDescent="0.15">
      <c r="A202" s="1">
        <f t="shared" ca="1" si="100"/>
        <v>9122347</v>
      </c>
      <c r="B202" s="1" t="str">
        <f t="shared" ca="1" si="85"/>
        <v>影袭·斩第3段</v>
      </c>
      <c r="C202" t="s">
        <v>153</v>
      </c>
      <c r="D202">
        <f t="shared" si="86"/>
        <v>1</v>
      </c>
      <c r="E202" s="42">
        <f t="shared" ca="1" si="101"/>
        <v>76</v>
      </c>
      <c r="F202" t="str">
        <f t="shared" ca="1" si="102"/>
        <v>第47级，共造成175%点伤害</v>
      </c>
      <c r="G202">
        <f t="shared" ca="1" si="103"/>
        <v>3</v>
      </c>
      <c r="H202">
        <f t="shared" si="87"/>
        <v>3</v>
      </c>
      <c r="I202" s="44">
        <f t="shared" ca="1" si="104"/>
        <v>47</v>
      </c>
      <c r="J202">
        <f t="shared" si="88"/>
        <v>2</v>
      </c>
      <c r="K202" s="36">
        <f t="shared" ca="1" si="89"/>
        <v>175</v>
      </c>
      <c r="L202" s="10">
        <f ca="1">AH202*VLOOKUP(C202,技能辅助查询表,技能配置辅助表!$T$1,FALSE)</f>
        <v>0</v>
      </c>
      <c r="M202">
        <f t="shared" ca="1" si="90"/>
        <v>4240</v>
      </c>
      <c r="N202" s="33">
        <f ca="1">CHOOSE(1,W202*U202,X202*'[1]0、经济设定'!$C$18)</f>
        <v>314716</v>
      </c>
      <c r="O202">
        <f t="shared" si="91"/>
        <v>2</v>
      </c>
      <c r="P202">
        <f t="shared" si="92"/>
        <v>1</v>
      </c>
      <c r="Q202">
        <f t="shared" si="93"/>
        <v>1</v>
      </c>
      <c r="R202" s="2">
        <f t="shared" si="94"/>
        <v>7</v>
      </c>
      <c r="S202" s="2">
        <f t="shared" si="95"/>
        <v>50</v>
      </c>
      <c r="T202" s="2">
        <f t="shared" si="96"/>
        <v>119.04761904761905</v>
      </c>
      <c r="U202" s="2">
        <f ca="1">VLOOKUP(E202,金币生产率!$A$2:$B$120,2,0)</f>
        <v>3838</v>
      </c>
      <c r="V202" s="2">
        <f t="shared" si="97"/>
        <v>119.04761904761905</v>
      </c>
      <c r="W202" s="45">
        <f t="shared" ca="1" si="110"/>
        <v>82</v>
      </c>
      <c r="X202" s="48">
        <f t="shared" ca="1" si="111"/>
        <v>1207</v>
      </c>
      <c r="Y202">
        <f t="shared" si="98"/>
        <v>18</v>
      </c>
      <c r="Z202">
        <f t="shared" ca="1" si="105"/>
        <v>33</v>
      </c>
      <c r="AA202" t="str">
        <f t="shared" ca="1" si="106"/>
        <v>9122300.png</v>
      </c>
      <c r="AB202">
        <f t="shared" si="99"/>
        <v>20</v>
      </c>
      <c r="AC202">
        <f>VLOOKUP(C202,技能辅助查询表,技能配置辅助表!$W$1,FALSE)</f>
        <v>5602</v>
      </c>
      <c r="AD202">
        <f t="shared" ca="1" si="107"/>
        <v>772.20533109481289</v>
      </c>
      <c r="AE202">
        <f>VLOOKUP(C202,技能辅助查询表,技能配置辅助表!$U$1,FALSE)</f>
        <v>4</v>
      </c>
      <c r="AF202">
        <f t="shared" ca="1" si="108"/>
        <v>9122347</v>
      </c>
      <c r="AG202">
        <f t="shared" ca="1" si="112"/>
        <v>75.530612244897952</v>
      </c>
      <c r="AH202">
        <f t="shared" ca="1" si="109"/>
        <v>5148.0355406320868</v>
      </c>
      <c r="AI202">
        <f ca="1">VLOOKUP(E202,伤害参考系!$C$4:$E$104,3,FALSE)*$AN$12</f>
        <v>20676.268264214057</v>
      </c>
      <c r="AJ202">
        <f>VLOOKUP(C202,技能辅助查询表,技能配置辅助表!$L$1,FALSE)</f>
        <v>1</v>
      </c>
      <c r="AK202">
        <f>VLOOKUP(C202,技能辅助查询表,技能配置辅助表!$AE$1,FALSE)</f>
        <v>66000113</v>
      </c>
    </row>
    <row r="203" spans="1:37" x14ac:dyDescent="0.15">
      <c r="A203" s="1">
        <f t="shared" ca="1" si="100"/>
        <v>9122348</v>
      </c>
      <c r="B203" s="1" t="str">
        <f t="shared" ca="1" si="85"/>
        <v>影袭·斩第3段</v>
      </c>
      <c r="C203" t="s">
        <v>153</v>
      </c>
      <c r="D203">
        <f t="shared" si="86"/>
        <v>1</v>
      </c>
      <c r="E203" s="42">
        <f t="shared" ca="1" si="101"/>
        <v>77</v>
      </c>
      <c r="F203" t="str">
        <f t="shared" ca="1" si="102"/>
        <v>第48级，共造成176.2%点伤害</v>
      </c>
      <c r="G203">
        <f t="shared" ca="1" si="103"/>
        <v>3</v>
      </c>
      <c r="H203">
        <f t="shared" si="87"/>
        <v>3</v>
      </c>
      <c r="I203" s="44">
        <f t="shared" ca="1" si="104"/>
        <v>48</v>
      </c>
      <c r="J203">
        <f t="shared" si="88"/>
        <v>2</v>
      </c>
      <c r="K203" s="36">
        <f t="shared" ca="1" si="89"/>
        <v>176.1904761904762</v>
      </c>
      <c r="L203" s="10">
        <f ca="1">AH203*VLOOKUP(C203,技能辅助查询表,技能配置辅助表!$T$1,FALSE)</f>
        <v>0</v>
      </c>
      <c r="M203">
        <f t="shared" ca="1" si="90"/>
        <v>4160</v>
      </c>
      <c r="N203" s="33">
        <f ca="1">CHOOSE(1,W203*U203,X203*'[1]0、经济设定'!$C$18)</f>
        <v>346896</v>
      </c>
      <c r="O203">
        <f t="shared" si="91"/>
        <v>2</v>
      </c>
      <c r="P203">
        <f t="shared" si="92"/>
        <v>1</v>
      </c>
      <c r="Q203">
        <f t="shared" si="93"/>
        <v>1</v>
      </c>
      <c r="R203" s="2">
        <f t="shared" si="94"/>
        <v>7</v>
      </c>
      <c r="S203" s="2">
        <f t="shared" si="95"/>
        <v>50</v>
      </c>
      <c r="T203" s="2">
        <f t="shared" si="96"/>
        <v>119.04761904761905</v>
      </c>
      <c r="U203" s="2">
        <f ca="1">VLOOKUP(E203,金币生产率!$A$2:$B$120,2,0)</f>
        <v>3942</v>
      </c>
      <c r="V203" s="2">
        <f t="shared" si="97"/>
        <v>119.04761904761905</v>
      </c>
      <c r="W203" s="45">
        <f t="shared" ca="1" si="110"/>
        <v>88</v>
      </c>
      <c r="X203" s="48">
        <f t="shared" ca="1" si="111"/>
        <v>1295</v>
      </c>
      <c r="Y203">
        <f t="shared" si="98"/>
        <v>18</v>
      </c>
      <c r="Z203">
        <f t="shared" ca="1" si="105"/>
        <v>36</v>
      </c>
      <c r="AA203" t="str">
        <f t="shared" ca="1" si="106"/>
        <v>9122300.png</v>
      </c>
      <c r="AB203">
        <f t="shared" si="99"/>
        <v>20</v>
      </c>
      <c r="AC203">
        <f>VLOOKUP(C203,技能辅助查询表,技能配置辅助表!$W$1,FALSE)</f>
        <v>5602</v>
      </c>
      <c r="AD203">
        <f t="shared" ca="1" si="107"/>
        <v>893.10025708716933</v>
      </c>
      <c r="AE203">
        <f>VLOOKUP(C203,技能辅助查询表,技能配置辅助表!$U$1,FALSE)</f>
        <v>4</v>
      </c>
      <c r="AF203">
        <f t="shared" ca="1" si="108"/>
        <v>9122348</v>
      </c>
      <c r="AG203">
        <f t="shared" ca="1" si="112"/>
        <v>77.020408163265301</v>
      </c>
      <c r="AH203">
        <f t="shared" ca="1" si="109"/>
        <v>5860.970437134547</v>
      </c>
      <c r="AI203">
        <f ca="1">VLOOKUP(E203,伤害参考系!$C$4:$E$104,3,FALSE)*$AN$12</f>
        <v>21474.674365384624</v>
      </c>
      <c r="AJ203">
        <f>VLOOKUP(C203,技能辅助查询表,技能配置辅助表!$L$1,FALSE)</f>
        <v>1</v>
      </c>
      <c r="AK203">
        <f>VLOOKUP(C203,技能辅助查询表,技能配置辅助表!$AE$1,FALSE)</f>
        <v>66000113</v>
      </c>
    </row>
    <row r="204" spans="1:37" x14ac:dyDescent="0.15">
      <c r="A204" s="1">
        <f t="shared" ca="1" si="100"/>
        <v>9122349</v>
      </c>
      <c r="B204" s="1" t="str">
        <f t="shared" ca="1" si="85"/>
        <v>影袭·斩第3段</v>
      </c>
      <c r="C204" t="s">
        <v>153</v>
      </c>
      <c r="D204">
        <f t="shared" si="86"/>
        <v>1</v>
      </c>
      <c r="E204" s="42">
        <f t="shared" ca="1" si="101"/>
        <v>79</v>
      </c>
      <c r="F204" t="str">
        <f t="shared" ca="1" si="102"/>
        <v>第49级，共造成177.4%点伤害</v>
      </c>
      <c r="G204">
        <f t="shared" ca="1" si="103"/>
        <v>3</v>
      </c>
      <c r="H204">
        <f t="shared" si="87"/>
        <v>3</v>
      </c>
      <c r="I204" s="44">
        <f t="shared" ca="1" si="104"/>
        <v>49</v>
      </c>
      <c r="J204">
        <f t="shared" si="88"/>
        <v>2</v>
      </c>
      <c r="K204" s="36">
        <f t="shared" ca="1" si="89"/>
        <v>177.38095238095238</v>
      </c>
      <c r="L204" s="10">
        <f ca="1">AH204*VLOOKUP(C204,技能辅助查询表,技能配置辅助表!$T$1,FALSE)</f>
        <v>0</v>
      </c>
      <c r="M204">
        <f t="shared" ca="1" si="90"/>
        <v>4080</v>
      </c>
      <c r="N204" s="33">
        <f ca="1">CHOOSE(1,W204*U204,X204*'[1]0、经济设定'!$C$18)</f>
        <v>390476</v>
      </c>
      <c r="O204">
        <f t="shared" si="91"/>
        <v>2</v>
      </c>
      <c r="P204">
        <f t="shared" si="92"/>
        <v>1</v>
      </c>
      <c r="Q204">
        <f t="shared" si="93"/>
        <v>1</v>
      </c>
      <c r="R204" s="2">
        <f t="shared" si="94"/>
        <v>7</v>
      </c>
      <c r="S204" s="2">
        <f t="shared" si="95"/>
        <v>50</v>
      </c>
      <c r="T204" s="2">
        <f t="shared" si="96"/>
        <v>119.04761904761905</v>
      </c>
      <c r="U204" s="2">
        <f ca="1">VLOOKUP(E204,金币生产率!$A$2:$B$120,2,0)</f>
        <v>4154</v>
      </c>
      <c r="V204" s="2">
        <f t="shared" si="97"/>
        <v>119.04761904761905</v>
      </c>
      <c r="W204" s="45">
        <f t="shared" ca="1" si="110"/>
        <v>94</v>
      </c>
      <c r="X204" s="48">
        <f t="shared" ca="1" si="111"/>
        <v>1389</v>
      </c>
      <c r="Y204">
        <f t="shared" si="98"/>
        <v>18</v>
      </c>
      <c r="Z204">
        <f t="shared" ca="1" si="105"/>
        <v>38</v>
      </c>
      <c r="AA204" t="str">
        <f t="shared" ca="1" si="106"/>
        <v>9122300.png</v>
      </c>
      <c r="AB204">
        <f t="shared" si="99"/>
        <v>20</v>
      </c>
      <c r="AC204">
        <f>VLOOKUP(C204,技能辅助查询表,技能配置辅助表!$W$1,FALSE)</f>
        <v>5602</v>
      </c>
      <c r="AD204">
        <f t="shared" ca="1" si="107"/>
        <v>1032.6700732087068</v>
      </c>
      <c r="AE204">
        <f>VLOOKUP(C204,技能辅助查询表,技能配置辅助表!$U$1,FALSE)</f>
        <v>4</v>
      </c>
      <c r="AF204">
        <f t="shared" ca="1" si="108"/>
        <v>9122349</v>
      </c>
      <c r="AG204">
        <f t="shared" ca="1" si="112"/>
        <v>78.510204081632651</v>
      </c>
      <c r="AH204">
        <f t="shared" ca="1" si="109"/>
        <v>6672.6373961177951</v>
      </c>
      <c r="AI204">
        <f ca="1">VLOOKUP(E204,伤害参考系!$C$4:$E$104,3,FALSE)*$AN$12</f>
        <v>23115.220103678937</v>
      </c>
      <c r="AJ204">
        <f>VLOOKUP(C204,技能辅助查询表,技能配置辅助表!$L$1,FALSE)</f>
        <v>1</v>
      </c>
      <c r="AK204">
        <f>VLOOKUP(C204,技能辅助查询表,技能配置辅助表!$AE$1,FALSE)</f>
        <v>66000113</v>
      </c>
    </row>
    <row r="205" spans="1:37" x14ac:dyDescent="0.15">
      <c r="A205" s="1">
        <f t="shared" ca="1" si="100"/>
        <v>9122350</v>
      </c>
      <c r="B205" s="1" t="str">
        <f t="shared" ca="1" si="85"/>
        <v>影袭·斩第3段</v>
      </c>
      <c r="C205" t="s">
        <v>153</v>
      </c>
      <c r="D205">
        <f t="shared" si="86"/>
        <v>1</v>
      </c>
      <c r="E205" s="42">
        <f t="shared" ca="1" si="101"/>
        <v>80</v>
      </c>
      <c r="F205" t="str">
        <f t="shared" ca="1" si="102"/>
        <v>第50级，共造成178.6%点伤害</v>
      </c>
      <c r="G205">
        <f t="shared" ca="1" si="103"/>
        <v>3</v>
      </c>
      <c r="H205">
        <f t="shared" si="87"/>
        <v>3</v>
      </c>
      <c r="I205" s="44">
        <f t="shared" ca="1" si="104"/>
        <v>50</v>
      </c>
      <c r="J205">
        <f t="shared" si="88"/>
        <v>2</v>
      </c>
      <c r="K205" s="36">
        <f t="shared" ca="1" si="89"/>
        <v>178.57142857142858</v>
      </c>
      <c r="L205" s="10">
        <f ca="1">AH205*VLOOKUP(C205,技能辅助查询表,技能配置辅助表!$T$1,FALSE)</f>
        <v>0</v>
      </c>
      <c r="M205">
        <f t="shared" ca="1" si="90"/>
        <v>4000</v>
      </c>
      <c r="N205" s="33">
        <f ca="1">CHOOSE(1,W205*U205,X205*'[1]0、经济设定'!$C$18)</f>
        <v>430462</v>
      </c>
      <c r="O205">
        <f t="shared" si="91"/>
        <v>2</v>
      </c>
      <c r="P205">
        <f t="shared" si="92"/>
        <v>1</v>
      </c>
      <c r="Q205">
        <f t="shared" si="93"/>
        <v>1</v>
      </c>
      <c r="R205" s="2">
        <f t="shared" si="94"/>
        <v>7</v>
      </c>
      <c r="S205" s="2">
        <f t="shared" si="95"/>
        <v>50</v>
      </c>
      <c r="T205" s="2">
        <f t="shared" si="96"/>
        <v>119.04761904761905</v>
      </c>
      <c r="U205" s="2">
        <f ca="1">VLOOKUP(E205,金币生产率!$A$2:$B$120,2,0)</f>
        <v>4262</v>
      </c>
      <c r="V205" s="2">
        <f t="shared" si="97"/>
        <v>119.04761904761905</v>
      </c>
      <c r="W205" s="45">
        <f t="shared" ca="1" si="110"/>
        <v>101</v>
      </c>
      <c r="X205" s="48">
        <f t="shared" ca="1" si="111"/>
        <v>1490</v>
      </c>
      <c r="Y205">
        <f t="shared" si="98"/>
        <v>18</v>
      </c>
      <c r="Z205">
        <f t="shared" ca="1" si="105"/>
        <v>41</v>
      </c>
      <c r="AA205" t="str">
        <f t="shared" ca="1" si="106"/>
        <v>9122300.png</v>
      </c>
      <c r="AB205">
        <f t="shared" si="99"/>
        <v>20</v>
      </c>
      <c r="AC205">
        <f>VLOOKUP(C205,技能辅助查询表,技能配置辅助表!$W$1,FALSE)</f>
        <v>5602</v>
      </c>
      <c r="AD205">
        <f t="shared" ca="1" si="107"/>
        <v>1193.7686362792215</v>
      </c>
      <c r="AE205">
        <f>VLOOKUP(C205,技能辅助查询表,技能配置辅助表!$U$1,FALSE)</f>
        <v>4</v>
      </c>
      <c r="AF205">
        <f t="shared" ca="1" si="108"/>
        <v>9122350</v>
      </c>
      <c r="AG205">
        <f t="shared" ca="1" si="112"/>
        <v>80</v>
      </c>
      <c r="AH205">
        <f t="shared" ca="1" si="109"/>
        <v>7596.7095035950451</v>
      </c>
      <c r="AI205">
        <f ca="1">VLOOKUP(E205,伤害参考系!$C$4:$E$104,3,FALSE)*$AN$12</f>
        <v>24028.87424749164</v>
      </c>
      <c r="AJ205">
        <f>VLOOKUP(C205,技能辅助查询表,技能配置辅助表!$L$1,FALSE)</f>
        <v>1</v>
      </c>
      <c r="AK205">
        <f>VLOOKUP(C205,技能辅助查询表,技能配置辅助表!$AE$1,FALSE)</f>
        <v>66000113</v>
      </c>
    </row>
    <row r="206" spans="1:37" x14ac:dyDescent="0.15">
      <c r="A206" s="1">
        <f t="shared" ca="1" si="100"/>
        <v>1</v>
      </c>
      <c r="B206" s="1" t="str">
        <f t="shared" ca="1" si="85"/>
        <v>影袭·斩</v>
      </c>
      <c r="C206" t="s">
        <v>154</v>
      </c>
      <c r="D206">
        <f t="shared" si="86"/>
        <v>1</v>
      </c>
      <c r="E206" s="42">
        <f t="shared" ca="1" si="101"/>
        <v>4</v>
      </c>
      <c r="F206" t="str">
        <f t="shared" ca="1" si="102"/>
        <v>第0级，共造成178.6%点伤害</v>
      </c>
      <c r="G206">
        <f t="shared" ca="1" si="103"/>
        <v>0</v>
      </c>
      <c r="H206">
        <f t="shared" si="87"/>
        <v>4</v>
      </c>
      <c r="I206" s="44">
        <f t="shared" ca="1" si="104"/>
        <v>0</v>
      </c>
      <c r="J206">
        <f t="shared" si="88"/>
        <v>2</v>
      </c>
      <c r="K206" s="36">
        <f t="shared" ca="1" si="89"/>
        <v>29.761904761904763</v>
      </c>
      <c r="L206" s="10">
        <f ca="1">AH206*VLOOKUP(C206,技能辅助查询表,技能配置辅助表!$T$1,FALSE)</f>
        <v>0</v>
      </c>
      <c r="M206">
        <f t="shared" ca="1" si="90"/>
        <v>8000</v>
      </c>
      <c r="N206" s="33">
        <f ca="1">CHOOSE(1,W206*U206,X206*'[1]0、经济设定'!$C$18)</f>
        <v>0</v>
      </c>
      <c r="O206">
        <f t="shared" si="91"/>
        <v>2</v>
      </c>
      <c r="P206">
        <f t="shared" si="92"/>
        <v>6</v>
      </c>
      <c r="Q206">
        <f t="shared" si="93"/>
        <v>1</v>
      </c>
      <c r="R206" s="2">
        <f t="shared" si="94"/>
        <v>9</v>
      </c>
      <c r="S206" s="2">
        <f t="shared" si="95"/>
        <v>50</v>
      </c>
      <c r="T206" s="2">
        <f t="shared" si="96"/>
        <v>29.761904761904763</v>
      </c>
      <c r="U206" s="2">
        <f ca="1">VLOOKUP(E206,金币生产率!$A$2:$B$120,2,0)</f>
        <v>68</v>
      </c>
      <c r="V206" s="2">
        <f t="shared" si="97"/>
        <v>178.57142857142858</v>
      </c>
      <c r="W206" s="45">
        <f t="shared" ca="1" si="110"/>
        <v>0</v>
      </c>
      <c r="X206" s="48">
        <f t="shared" ca="1" si="111"/>
        <v>0</v>
      </c>
      <c r="Y206">
        <f t="shared" si="98"/>
        <v>18</v>
      </c>
      <c r="Z206">
        <f t="shared" ca="1" si="105"/>
        <v>0</v>
      </c>
      <c r="AA206" t="str">
        <f t="shared" ca="1" si="106"/>
        <v>9122400.png</v>
      </c>
      <c r="AB206">
        <f t="shared" si="99"/>
        <v>3</v>
      </c>
      <c r="AC206">
        <f>VLOOKUP(C206,技能辅助查询表,技能配置辅助表!$W$1,FALSE)</f>
        <v>5603</v>
      </c>
      <c r="AD206">
        <f t="shared" ca="1" si="107"/>
        <v>1.8218828571428578</v>
      </c>
      <c r="AE206">
        <f>VLOOKUP(C206,技能辅助查询表,技能配置辅助表!$U$1,FALSE)</f>
        <v>4</v>
      </c>
      <c r="AF206">
        <f t="shared" ca="1" si="108"/>
        <v>9122400</v>
      </c>
      <c r="AG206">
        <f t="shared" ca="1" si="112"/>
        <v>0</v>
      </c>
      <c r="AH206">
        <f t="shared" ca="1" si="109"/>
        <v>11.5938</v>
      </c>
      <c r="AI206">
        <f ca="1">VLOOKUP(E206,伤害参考系!$C$4:$E$104,3,FALSE)*$AN$12</f>
        <v>50.4</v>
      </c>
      <c r="AJ206">
        <f>VLOOKUP(C206,技能辅助查询表,技能配置辅助表!$L$1,FALSE)</f>
        <v>6</v>
      </c>
      <c r="AK206">
        <f>VLOOKUP(C206,技能辅助查询表,技能配置辅助表!$AE$1,FALSE)</f>
        <v>66000113</v>
      </c>
    </row>
    <row r="207" spans="1:37" x14ac:dyDescent="0.15">
      <c r="A207" s="1">
        <f t="shared" ca="1" si="100"/>
        <v>9122401</v>
      </c>
      <c r="B207" s="1" t="str">
        <f t="shared" ca="1" si="85"/>
        <v>影袭·斩第4段</v>
      </c>
      <c r="C207" t="s">
        <v>154</v>
      </c>
      <c r="D207">
        <f t="shared" si="86"/>
        <v>1</v>
      </c>
      <c r="E207" s="42">
        <f t="shared" ca="1" si="101"/>
        <v>4</v>
      </c>
      <c r="F207" t="str">
        <f t="shared" ca="1" si="102"/>
        <v>第1级，共造成178.6%点伤害</v>
      </c>
      <c r="G207">
        <f t="shared" ca="1" si="103"/>
        <v>4</v>
      </c>
      <c r="H207">
        <f t="shared" si="87"/>
        <v>4</v>
      </c>
      <c r="I207" s="44">
        <f t="shared" ca="1" si="104"/>
        <v>1</v>
      </c>
      <c r="J207">
        <f t="shared" si="88"/>
        <v>2</v>
      </c>
      <c r="K207" s="36">
        <f t="shared" ca="1" si="89"/>
        <v>29.761904761904763</v>
      </c>
      <c r="L207" s="10">
        <f ca="1">AH207*VLOOKUP(C207,技能辅助查询表,技能配置辅助表!$T$1,FALSE)</f>
        <v>0</v>
      </c>
      <c r="M207">
        <f t="shared" ca="1" si="90"/>
        <v>8000</v>
      </c>
      <c r="N207" s="33">
        <f ca="1">CHOOSE(1,W207*U207,X207*'[1]0、经济设定'!$C$18)</f>
        <v>408</v>
      </c>
      <c r="O207">
        <f t="shared" si="91"/>
        <v>2</v>
      </c>
      <c r="P207">
        <f t="shared" si="92"/>
        <v>6</v>
      </c>
      <c r="Q207">
        <f t="shared" si="93"/>
        <v>1</v>
      </c>
      <c r="R207" s="2">
        <f t="shared" si="94"/>
        <v>9</v>
      </c>
      <c r="S207" s="2">
        <f t="shared" si="95"/>
        <v>50</v>
      </c>
      <c r="T207" s="2">
        <f t="shared" si="96"/>
        <v>29.761904761904763</v>
      </c>
      <c r="U207" s="2">
        <f ca="1">VLOOKUP(E207,金币生产率!$A$2:$B$120,2,0)</f>
        <v>68</v>
      </c>
      <c r="V207" s="2">
        <f t="shared" si="97"/>
        <v>178.57142857142858</v>
      </c>
      <c r="W207" s="45">
        <f t="shared" ca="1" si="110"/>
        <v>6</v>
      </c>
      <c r="X207" s="48">
        <f t="shared" ca="1" si="111"/>
        <v>6</v>
      </c>
      <c r="Y207">
        <f t="shared" si="98"/>
        <v>18</v>
      </c>
      <c r="Z207">
        <f t="shared" ca="1" si="105"/>
        <v>0</v>
      </c>
      <c r="AA207" t="str">
        <f t="shared" ca="1" si="106"/>
        <v>9122400.png</v>
      </c>
      <c r="AB207">
        <f t="shared" si="99"/>
        <v>3</v>
      </c>
      <c r="AC207">
        <f>VLOOKUP(C207,技能辅助查询表,技能配置辅助表!$W$1,FALSE)</f>
        <v>5603</v>
      </c>
      <c r="AD207">
        <f t="shared" ca="1" si="107"/>
        <v>2.0741895585914008</v>
      </c>
      <c r="AE207">
        <f>VLOOKUP(C207,技能辅助查询表,技能配置辅助表!$U$1,FALSE)</f>
        <v>4</v>
      </c>
      <c r="AF207">
        <f t="shared" ca="1" si="108"/>
        <v>9122401</v>
      </c>
      <c r="AG207">
        <f t="shared" ca="1" si="112"/>
        <v>9</v>
      </c>
      <c r="AH207">
        <f t="shared" ca="1" si="109"/>
        <v>13.199388100127095</v>
      </c>
      <c r="AI207">
        <f ca="1">VLOOKUP(E207,伤害参考系!$C$4:$E$104,3,FALSE)*$AN$12</f>
        <v>50.4</v>
      </c>
      <c r="AJ207">
        <f>VLOOKUP(C207,技能辅助查询表,技能配置辅助表!$L$1,FALSE)</f>
        <v>6</v>
      </c>
      <c r="AK207">
        <f>VLOOKUP(C207,技能辅助查询表,技能配置辅助表!$AE$1,FALSE)</f>
        <v>66000113</v>
      </c>
    </row>
    <row r="208" spans="1:37" x14ac:dyDescent="0.15">
      <c r="A208" s="1">
        <f t="shared" ca="1" si="100"/>
        <v>9122402</v>
      </c>
      <c r="B208" s="1" t="str">
        <f t="shared" ca="1" si="85"/>
        <v>影袭·斩第4段</v>
      </c>
      <c r="C208" t="s">
        <v>154</v>
      </c>
      <c r="D208">
        <f t="shared" si="86"/>
        <v>1</v>
      </c>
      <c r="E208" s="42">
        <f t="shared" ca="1" si="101"/>
        <v>12</v>
      </c>
      <c r="F208" t="str">
        <f t="shared" ca="1" si="102"/>
        <v>第2级，共造成182.1%点伤害</v>
      </c>
      <c r="G208">
        <f t="shared" ca="1" si="103"/>
        <v>4</v>
      </c>
      <c r="H208">
        <f t="shared" si="87"/>
        <v>4</v>
      </c>
      <c r="I208" s="44">
        <f t="shared" ca="1" si="104"/>
        <v>2</v>
      </c>
      <c r="J208">
        <f t="shared" si="88"/>
        <v>2</v>
      </c>
      <c r="K208" s="36">
        <f t="shared" ca="1" si="89"/>
        <v>30.357142857142858</v>
      </c>
      <c r="L208" s="10">
        <f ca="1">AH208*VLOOKUP(C208,技能辅助查询表,技能配置辅助表!$T$1,FALSE)</f>
        <v>0</v>
      </c>
      <c r="M208">
        <f t="shared" ca="1" si="90"/>
        <v>7840</v>
      </c>
      <c r="N208" s="33">
        <f ca="1">CHOOSE(1,W208*U208,X208*'[1]0、经济设定'!$C$18)</f>
        <v>812</v>
      </c>
      <c r="O208">
        <f t="shared" si="91"/>
        <v>2</v>
      </c>
      <c r="P208">
        <f t="shared" si="92"/>
        <v>6</v>
      </c>
      <c r="Q208">
        <f t="shared" si="93"/>
        <v>1</v>
      </c>
      <c r="R208" s="2">
        <f t="shared" si="94"/>
        <v>9</v>
      </c>
      <c r="S208" s="2">
        <f t="shared" si="95"/>
        <v>50</v>
      </c>
      <c r="T208" s="2">
        <f t="shared" si="96"/>
        <v>29.761904761904763</v>
      </c>
      <c r="U208" s="2">
        <f ca="1">VLOOKUP(E208,金币生产率!$A$2:$B$120,2,0)</f>
        <v>116</v>
      </c>
      <c r="V208" s="2">
        <f t="shared" si="97"/>
        <v>178.57142857142858</v>
      </c>
      <c r="W208" s="45">
        <f t="shared" ca="1" si="110"/>
        <v>7</v>
      </c>
      <c r="X208" s="48">
        <f t="shared" ca="1" si="111"/>
        <v>13</v>
      </c>
      <c r="Y208">
        <f t="shared" si="98"/>
        <v>18</v>
      </c>
      <c r="Z208">
        <f t="shared" ca="1" si="105"/>
        <v>0</v>
      </c>
      <c r="AA208" t="str">
        <f t="shared" ca="1" si="106"/>
        <v>9122400.png</v>
      </c>
      <c r="AB208">
        <f t="shared" si="99"/>
        <v>3</v>
      </c>
      <c r="AC208">
        <f>VLOOKUP(C208,技能辅助查询表,技能配置辅助表!$W$1,FALSE)</f>
        <v>5603</v>
      </c>
      <c r="AD208">
        <f t="shared" ca="1" si="107"/>
        <v>2.4687754680511911</v>
      </c>
      <c r="AE208">
        <f>VLOOKUP(C208,技能辅助查询表,技能配置辅助表!$U$1,FALSE)</f>
        <v>4</v>
      </c>
      <c r="AF208">
        <f t="shared" ca="1" si="108"/>
        <v>9122402</v>
      </c>
      <c r="AG208">
        <f t="shared" ca="1" si="112"/>
        <v>10.448979591836736</v>
      </c>
      <c r="AH208">
        <f t="shared" ca="1" si="109"/>
        <v>15.027328935963775</v>
      </c>
      <c r="AI208">
        <f ca="1">VLOOKUP(E208,伤害参考系!$C$4:$E$104,3,FALSE)*$AN$12</f>
        <v>249.04956521739126</v>
      </c>
      <c r="AJ208">
        <f>VLOOKUP(C208,技能辅助查询表,技能配置辅助表!$L$1,FALSE)</f>
        <v>6</v>
      </c>
      <c r="AK208">
        <f>VLOOKUP(C208,技能辅助查询表,技能配置辅助表!$AE$1,FALSE)</f>
        <v>66000113</v>
      </c>
    </row>
    <row r="209" spans="1:37" x14ac:dyDescent="0.15">
      <c r="A209" s="1">
        <f t="shared" ca="1" si="100"/>
        <v>9122403</v>
      </c>
      <c r="B209" s="1" t="str">
        <f t="shared" ca="1" si="85"/>
        <v>影袭·斩第4段</v>
      </c>
      <c r="C209" t="s">
        <v>154</v>
      </c>
      <c r="D209">
        <f t="shared" si="86"/>
        <v>1</v>
      </c>
      <c r="E209" s="42">
        <f t="shared" ca="1" si="101"/>
        <v>13</v>
      </c>
      <c r="F209" t="str">
        <f t="shared" ca="1" si="102"/>
        <v>第3级，共造成183.9%点伤害</v>
      </c>
      <c r="G209">
        <f t="shared" ca="1" si="103"/>
        <v>4</v>
      </c>
      <c r="H209">
        <f t="shared" si="87"/>
        <v>4</v>
      </c>
      <c r="I209" s="44">
        <f t="shared" ca="1" si="104"/>
        <v>3</v>
      </c>
      <c r="J209">
        <f t="shared" si="88"/>
        <v>2</v>
      </c>
      <c r="K209" s="36">
        <f t="shared" ca="1" si="89"/>
        <v>30.654761904761905</v>
      </c>
      <c r="L209" s="10">
        <f ca="1">AH209*VLOOKUP(C209,技能辅助查询表,技能配置辅助表!$T$1,FALSE)</f>
        <v>0</v>
      </c>
      <c r="M209">
        <f t="shared" ca="1" si="90"/>
        <v>7760</v>
      </c>
      <c r="N209" s="33">
        <f ca="1">CHOOSE(1,W209*U209,X209*'[1]0、经济设定'!$C$18)</f>
        <v>854</v>
      </c>
      <c r="O209">
        <f t="shared" si="91"/>
        <v>2</v>
      </c>
      <c r="P209">
        <f t="shared" si="92"/>
        <v>6</v>
      </c>
      <c r="Q209">
        <f t="shared" si="93"/>
        <v>1</v>
      </c>
      <c r="R209" s="2">
        <f t="shared" si="94"/>
        <v>9</v>
      </c>
      <c r="S209" s="2">
        <f t="shared" si="95"/>
        <v>50</v>
      </c>
      <c r="T209" s="2">
        <f t="shared" si="96"/>
        <v>29.761904761904763</v>
      </c>
      <c r="U209" s="2">
        <f ca="1">VLOOKUP(E209,金币生产率!$A$2:$B$120,2,0)</f>
        <v>122</v>
      </c>
      <c r="V209" s="2">
        <f t="shared" si="97"/>
        <v>178.57142857142858</v>
      </c>
      <c r="W209" s="45">
        <f t="shared" ca="1" si="110"/>
        <v>7</v>
      </c>
      <c r="X209" s="48">
        <f t="shared" ca="1" si="111"/>
        <v>20</v>
      </c>
      <c r="Y209">
        <f t="shared" si="98"/>
        <v>18</v>
      </c>
      <c r="Z209">
        <f t="shared" ca="1" si="105"/>
        <v>0</v>
      </c>
      <c r="AA209" t="str">
        <f t="shared" ca="1" si="106"/>
        <v>9122400.png</v>
      </c>
      <c r="AB209">
        <f t="shared" si="99"/>
        <v>3</v>
      </c>
      <c r="AC209">
        <f>VLOOKUP(C209,技能辅助查询表,技能配置辅助表!$W$1,FALSE)</f>
        <v>5603</v>
      </c>
      <c r="AD209">
        <f t="shared" ca="1" si="107"/>
        <v>2.8717697317595303</v>
      </c>
      <c r="AE209">
        <f>VLOOKUP(C209,技能辅助查询表,技能配置辅助表!$U$1,FALSE)</f>
        <v>4</v>
      </c>
      <c r="AF209">
        <f t="shared" ca="1" si="108"/>
        <v>9122403</v>
      </c>
      <c r="AG209">
        <f t="shared" ca="1" si="112"/>
        <v>11.897959183673469</v>
      </c>
      <c r="AH209">
        <f t="shared" ca="1" si="109"/>
        <v>17.108415423248271</v>
      </c>
      <c r="AI209">
        <f ca="1">VLOOKUP(E209,伤害参考系!$C$4:$E$104,3,FALSE)*$AN$12</f>
        <v>288.46124999999995</v>
      </c>
      <c r="AJ209">
        <f>VLOOKUP(C209,技能辅助查询表,技能配置辅助表!$L$1,FALSE)</f>
        <v>6</v>
      </c>
      <c r="AK209">
        <f>VLOOKUP(C209,技能辅助查询表,技能配置辅助表!$AE$1,FALSE)</f>
        <v>66000113</v>
      </c>
    </row>
    <row r="210" spans="1:37" x14ac:dyDescent="0.15">
      <c r="A210" s="1">
        <f t="shared" ca="1" si="100"/>
        <v>9122404</v>
      </c>
      <c r="B210" s="1" t="str">
        <f t="shared" ca="1" si="85"/>
        <v>影袭·斩第4段</v>
      </c>
      <c r="C210" t="s">
        <v>154</v>
      </c>
      <c r="D210">
        <f t="shared" si="86"/>
        <v>1</v>
      </c>
      <c r="E210" s="42">
        <f t="shared" ca="1" si="101"/>
        <v>15</v>
      </c>
      <c r="F210" t="str">
        <f t="shared" ca="1" si="102"/>
        <v>第4级，共造成185.7%点伤害</v>
      </c>
      <c r="G210">
        <f t="shared" ca="1" si="103"/>
        <v>4</v>
      </c>
      <c r="H210">
        <f t="shared" si="87"/>
        <v>4</v>
      </c>
      <c r="I210" s="44">
        <f t="shared" ca="1" si="104"/>
        <v>4</v>
      </c>
      <c r="J210">
        <f t="shared" si="88"/>
        <v>2</v>
      </c>
      <c r="K210" s="36">
        <f t="shared" ca="1" si="89"/>
        <v>30.952380952380953</v>
      </c>
      <c r="L210" s="10">
        <f ca="1">AH210*VLOOKUP(C210,技能辅助查询表,技能配置辅助表!$T$1,FALSE)</f>
        <v>0</v>
      </c>
      <c r="M210">
        <f t="shared" ca="1" si="90"/>
        <v>7680</v>
      </c>
      <c r="N210" s="33">
        <f ca="1">CHOOSE(1,W210*U210,X210*'[1]0、经济设定'!$C$18)</f>
        <v>1072</v>
      </c>
      <c r="O210">
        <f t="shared" si="91"/>
        <v>2</v>
      </c>
      <c r="P210">
        <f t="shared" si="92"/>
        <v>6</v>
      </c>
      <c r="Q210">
        <f t="shared" si="93"/>
        <v>1</v>
      </c>
      <c r="R210" s="2">
        <f t="shared" si="94"/>
        <v>9</v>
      </c>
      <c r="S210" s="2">
        <f t="shared" si="95"/>
        <v>50</v>
      </c>
      <c r="T210" s="2">
        <f t="shared" si="96"/>
        <v>29.761904761904763</v>
      </c>
      <c r="U210" s="2">
        <f ca="1">VLOOKUP(E210,金币生产率!$A$2:$B$120,2,0)</f>
        <v>134</v>
      </c>
      <c r="V210" s="2">
        <f t="shared" si="97"/>
        <v>178.57142857142858</v>
      </c>
      <c r="W210" s="45">
        <f t="shared" ca="1" si="110"/>
        <v>8</v>
      </c>
      <c r="X210" s="48">
        <f t="shared" ca="1" si="111"/>
        <v>28</v>
      </c>
      <c r="Y210">
        <f t="shared" si="98"/>
        <v>18</v>
      </c>
      <c r="Z210">
        <f t="shared" ca="1" si="105"/>
        <v>0</v>
      </c>
      <c r="AA210" t="str">
        <f t="shared" ca="1" si="106"/>
        <v>9122400.png</v>
      </c>
      <c r="AB210">
        <f t="shared" si="99"/>
        <v>3</v>
      </c>
      <c r="AC210">
        <f>VLOOKUP(C210,技能辅助查询表,技能配置辅助表!$W$1,FALSE)</f>
        <v>5603</v>
      </c>
      <c r="AD210">
        <f t="shared" ca="1" si="107"/>
        <v>3.3390351239404419</v>
      </c>
      <c r="AE210">
        <f>VLOOKUP(C210,技能辅助查询表,技能配置辅助表!$U$1,FALSE)</f>
        <v>4</v>
      </c>
      <c r="AF210">
        <f t="shared" ca="1" si="108"/>
        <v>9122404</v>
      </c>
      <c r="AG210">
        <f t="shared" ca="1" si="112"/>
        <v>13.346938775510203</v>
      </c>
      <c r="AH210">
        <f t="shared" ca="1" si="109"/>
        <v>19.477704889652582</v>
      </c>
      <c r="AI210">
        <f ca="1">VLOOKUP(E210,伤害参考系!$C$4:$E$104,3,FALSE)*$AN$12</f>
        <v>374.61277173913044</v>
      </c>
      <c r="AJ210">
        <f>VLOOKUP(C210,技能辅助查询表,技能配置辅助表!$L$1,FALSE)</f>
        <v>6</v>
      </c>
      <c r="AK210">
        <f>VLOOKUP(C210,技能辅助查询表,技能配置辅助表!$AE$1,FALSE)</f>
        <v>66000113</v>
      </c>
    </row>
    <row r="211" spans="1:37" x14ac:dyDescent="0.15">
      <c r="A211" s="1">
        <f t="shared" ca="1" si="100"/>
        <v>9122405</v>
      </c>
      <c r="B211" s="1" t="str">
        <f t="shared" ca="1" si="85"/>
        <v>影袭·斩第4段</v>
      </c>
      <c r="C211" t="s">
        <v>154</v>
      </c>
      <c r="D211">
        <f t="shared" si="86"/>
        <v>1</v>
      </c>
      <c r="E211" s="42">
        <f t="shared" ca="1" si="101"/>
        <v>16</v>
      </c>
      <c r="F211" t="str">
        <f t="shared" ca="1" si="102"/>
        <v>第5级，共造成187.5%点伤害</v>
      </c>
      <c r="G211">
        <f t="shared" ca="1" si="103"/>
        <v>4</v>
      </c>
      <c r="H211">
        <f t="shared" si="87"/>
        <v>4</v>
      </c>
      <c r="I211" s="44">
        <f t="shared" ca="1" si="104"/>
        <v>5</v>
      </c>
      <c r="J211">
        <f t="shared" si="88"/>
        <v>2</v>
      </c>
      <c r="K211" s="36">
        <f t="shared" ca="1" si="89"/>
        <v>31.25</v>
      </c>
      <c r="L211" s="10">
        <f ca="1">AH211*VLOOKUP(C211,技能辅助查询表,技能配置辅助表!$T$1,FALSE)</f>
        <v>0</v>
      </c>
      <c r="M211">
        <f t="shared" ca="1" si="90"/>
        <v>7600</v>
      </c>
      <c r="N211" s="33">
        <f ca="1">CHOOSE(1,W211*U211,X211*'[1]0、经济设定'!$C$18)</f>
        <v>1120</v>
      </c>
      <c r="O211">
        <f t="shared" si="91"/>
        <v>2</v>
      </c>
      <c r="P211">
        <f t="shared" si="92"/>
        <v>6</v>
      </c>
      <c r="Q211">
        <f t="shared" si="93"/>
        <v>1</v>
      </c>
      <c r="R211" s="2">
        <f t="shared" si="94"/>
        <v>9</v>
      </c>
      <c r="S211" s="2">
        <f t="shared" si="95"/>
        <v>50</v>
      </c>
      <c r="T211" s="2">
        <f t="shared" si="96"/>
        <v>29.761904761904763</v>
      </c>
      <c r="U211" s="2">
        <f ca="1">VLOOKUP(E211,金币生产率!$A$2:$B$120,2,0)</f>
        <v>140</v>
      </c>
      <c r="V211" s="2">
        <f t="shared" si="97"/>
        <v>178.57142857142858</v>
      </c>
      <c r="W211" s="45">
        <f t="shared" ca="1" si="110"/>
        <v>8</v>
      </c>
      <c r="X211" s="48">
        <f t="shared" ca="1" si="111"/>
        <v>36</v>
      </c>
      <c r="Y211">
        <f t="shared" si="98"/>
        <v>18</v>
      </c>
      <c r="Z211">
        <f t="shared" ca="1" si="105"/>
        <v>0</v>
      </c>
      <c r="AA211" t="str">
        <f t="shared" ca="1" si="106"/>
        <v>9122400.png</v>
      </c>
      <c r="AB211">
        <f t="shared" si="99"/>
        <v>3</v>
      </c>
      <c r="AC211">
        <f>VLOOKUP(C211,技能辅助查询表,技能配置辅助表!$W$1,FALSE)</f>
        <v>5603</v>
      </c>
      <c r="AD211">
        <f t="shared" ca="1" si="107"/>
        <v>3.8806441869099735</v>
      </c>
      <c r="AE211">
        <f>VLOOKUP(C211,技能辅助查询表,技能配置辅助表!$U$1,FALSE)</f>
        <v>4</v>
      </c>
      <c r="AF211">
        <f t="shared" ca="1" si="108"/>
        <v>9122405</v>
      </c>
      <c r="AG211">
        <f t="shared" ca="1" si="112"/>
        <v>14.795918367346939</v>
      </c>
      <c r="AH211">
        <f t="shared" ca="1" si="109"/>
        <v>22.175109639485559</v>
      </c>
      <c r="AI211">
        <f ca="1">VLOOKUP(E211,伤害参考系!$C$4:$E$104,3,FALSE)*$AN$12</f>
        <v>421.35260869565224</v>
      </c>
      <c r="AJ211">
        <f>VLOOKUP(C211,技能辅助查询表,技能配置辅助表!$L$1,FALSE)</f>
        <v>6</v>
      </c>
      <c r="AK211">
        <f>VLOOKUP(C211,技能辅助查询表,技能配置辅助表!$AE$1,FALSE)</f>
        <v>66000113</v>
      </c>
    </row>
    <row r="212" spans="1:37" x14ac:dyDescent="0.15">
      <c r="A212" s="1">
        <f t="shared" ca="1" si="100"/>
        <v>9122406</v>
      </c>
      <c r="B212" s="1" t="str">
        <f t="shared" ca="1" si="85"/>
        <v>影袭·斩第4段</v>
      </c>
      <c r="C212" t="s">
        <v>154</v>
      </c>
      <c r="D212">
        <f t="shared" si="86"/>
        <v>1</v>
      </c>
      <c r="E212" s="42">
        <f t="shared" ca="1" si="101"/>
        <v>18</v>
      </c>
      <c r="F212" t="str">
        <f t="shared" ca="1" si="102"/>
        <v>第6级，共造成189.3%点伤害</v>
      </c>
      <c r="G212">
        <f t="shared" ca="1" si="103"/>
        <v>4</v>
      </c>
      <c r="H212">
        <f t="shared" si="87"/>
        <v>4</v>
      </c>
      <c r="I212" s="44">
        <f t="shared" ca="1" si="104"/>
        <v>6</v>
      </c>
      <c r="J212">
        <f t="shared" si="88"/>
        <v>2</v>
      </c>
      <c r="K212" s="36">
        <f t="shared" ca="1" si="89"/>
        <v>31.547619047619047</v>
      </c>
      <c r="L212" s="10">
        <f ca="1">AH212*VLOOKUP(C212,技能辅助查询表,技能配置辅助表!$T$1,FALSE)</f>
        <v>0</v>
      </c>
      <c r="M212">
        <f t="shared" ca="1" si="90"/>
        <v>7520</v>
      </c>
      <c r="N212" s="33">
        <f ca="1">CHOOSE(1,W212*U212,X212*'[1]0、经济设定'!$C$18)</f>
        <v>1368</v>
      </c>
      <c r="O212">
        <f t="shared" si="91"/>
        <v>2</v>
      </c>
      <c r="P212">
        <f t="shared" si="92"/>
        <v>6</v>
      </c>
      <c r="Q212">
        <f t="shared" si="93"/>
        <v>1</v>
      </c>
      <c r="R212" s="2">
        <f t="shared" si="94"/>
        <v>9</v>
      </c>
      <c r="S212" s="2">
        <f t="shared" si="95"/>
        <v>50</v>
      </c>
      <c r="T212" s="2">
        <f t="shared" si="96"/>
        <v>29.761904761904763</v>
      </c>
      <c r="U212" s="2">
        <f ca="1">VLOOKUP(E212,金币生产率!$A$2:$B$120,2,0)</f>
        <v>152</v>
      </c>
      <c r="V212" s="2">
        <f t="shared" si="97"/>
        <v>178.57142857142858</v>
      </c>
      <c r="W212" s="45">
        <f t="shared" ca="1" si="110"/>
        <v>9</v>
      </c>
      <c r="X212" s="48">
        <f t="shared" ca="1" si="111"/>
        <v>45</v>
      </c>
      <c r="Y212">
        <f t="shared" si="98"/>
        <v>18</v>
      </c>
      <c r="Z212">
        <f t="shared" ca="1" si="105"/>
        <v>0</v>
      </c>
      <c r="AA212" t="str">
        <f t="shared" ca="1" si="106"/>
        <v>9122400.png</v>
      </c>
      <c r="AB212">
        <f t="shared" si="99"/>
        <v>3</v>
      </c>
      <c r="AC212">
        <f>VLOOKUP(C212,技能辅助查询表,技能配置辅助表!$W$1,FALSE)</f>
        <v>5603</v>
      </c>
      <c r="AD212">
        <f t="shared" ca="1" si="107"/>
        <v>4.5082266613935165</v>
      </c>
      <c r="AE212">
        <f>VLOOKUP(C212,技能辅助查询表,技能配置辅助表!$U$1,FALSE)</f>
        <v>4</v>
      </c>
      <c r="AF212">
        <f t="shared" ca="1" si="108"/>
        <v>9122406</v>
      </c>
      <c r="AG212">
        <f t="shared" ca="1" si="112"/>
        <v>16.244897959183675</v>
      </c>
      <c r="AH212">
        <f t="shared" ca="1" si="109"/>
        <v>25.246069303803697</v>
      </c>
      <c r="AI212">
        <f ca="1">VLOOKUP(E212,伤害参考系!$C$4:$E$104,3,FALSE)*$AN$12</f>
        <v>522.16043478260883</v>
      </c>
      <c r="AJ212">
        <f>VLOOKUP(C212,技能辅助查询表,技能配置辅助表!$L$1,FALSE)</f>
        <v>6</v>
      </c>
      <c r="AK212">
        <f>VLOOKUP(C212,技能辅助查询表,技能配置辅助表!$AE$1,FALSE)</f>
        <v>66000113</v>
      </c>
    </row>
    <row r="213" spans="1:37" x14ac:dyDescent="0.15">
      <c r="A213" s="1">
        <f t="shared" ca="1" si="100"/>
        <v>9122407</v>
      </c>
      <c r="B213" s="1" t="str">
        <f t="shared" ca="1" si="85"/>
        <v>影袭·斩第4段</v>
      </c>
      <c r="C213" t="s">
        <v>154</v>
      </c>
      <c r="D213">
        <f t="shared" si="86"/>
        <v>1</v>
      </c>
      <c r="E213" s="42">
        <f t="shared" ca="1" si="101"/>
        <v>19</v>
      </c>
      <c r="F213" t="str">
        <f t="shared" ca="1" si="102"/>
        <v>第7级，共造成191.1%点伤害</v>
      </c>
      <c r="G213">
        <f t="shared" ca="1" si="103"/>
        <v>4</v>
      </c>
      <c r="H213">
        <f t="shared" si="87"/>
        <v>4</v>
      </c>
      <c r="I213" s="44">
        <f t="shared" ca="1" si="104"/>
        <v>7</v>
      </c>
      <c r="J213">
        <f t="shared" si="88"/>
        <v>2</v>
      </c>
      <c r="K213" s="36">
        <f t="shared" ca="1" si="89"/>
        <v>31.845238095238095</v>
      </c>
      <c r="L213" s="10">
        <f ca="1">AH213*VLOOKUP(C213,技能辅助查询表,技能配置辅助表!$T$1,FALSE)</f>
        <v>0</v>
      </c>
      <c r="M213">
        <f t="shared" ca="1" si="90"/>
        <v>7440</v>
      </c>
      <c r="N213" s="33">
        <f ca="1">CHOOSE(1,W213*U213,X213*'[1]0、经济设定'!$C$18)</f>
        <v>1422</v>
      </c>
      <c r="O213">
        <f t="shared" si="91"/>
        <v>2</v>
      </c>
      <c r="P213">
        <f t="shared" si="92"/>
        <v>6</v>
      </c>
      <c r="Q213">
        <f t="shared" si="93"/>
        <v>1</v>
      </c>
      <c r="R213" s="2">
        <f t="shared" si="94"/>
        <v>9</v>
      </c>
      <c r="S213" s="2">
        <f t="shared" si="95"/>
        <v>50</v>
      </c>
      <c r="T213" s="2">
        <f t="shared" si="96"/>
        <v>29.761904761904763</v>
      </c>
      <c r="U213" s="2">
        <f ca="1">VLOOKUP(E213,金币生产率!$A$2:$B$120,2,0)</f>
        <v>158</v>
      </c>
      <c r="V213" s="2">
        <f t="shared" si="97"/>
        <v>178.57142857142858</v>
      </c>
      <c r="W213" s="45">
        <f t="shared" ca="1" si="110"/>
        <v>9</v>
      </c>
      <c r="X213" s="48">
        <f t="shared" ca="1" si="111"/>
        <v>54</v>
      </c>
      <c r="Y213">
        <f t="shared" si="98"/>
        <v>18</v>
      </c>
      <c r="Z213">
        <f t="shared" ca="1" si="105"/>
        <v>0</v>
      </c>
      <c r="AA213" t="str">
        <f t="shared" ca="1" si="106"/>
        <v>9122400.png</v>
      </c>
      <c r="AB213">
        <f t="shared" si="99"/>
        <v>3</v>
      </c>
      <c r="AC213">
        <f>VLOOKUP(C213,技能辅助查询表,技能配置辅助表!$W$1,FALSE)</f>
        <v>5603</v>
      </c>
      <c r="AD213">
        <f t="shared" ca="1" si="107"/>
        <v>5.2352076121732969</v>
      </c>
      <c r="AE213">
        <f>VLOOKUP(C213,技能辅助查询表,技能配置辅助表!$U$1,FALSE)</f>
        <v>4</v>
      </c>
      <c r="AF213">
        <f t="shared" ca="1" si="108"/>
        <v>9122407</v>
      </c>
      <c r="AG213">
        <f t="shared" ca="1" si="112"/>
        <v>17.693877551020407</v>
      </c>
      <c r="AH213">
        <f t="shared" ca="1" si="109"/>
        <v>28.742316302127907</v>
      </c>
      <c r="AI213">
        <f ca="1">VLOOKUP(E213,伤害参考系!$C$4:$E$104,3,FALSE)*$AN$12</f>
        <v>576.22842391304346</v>
      </c>
      <c r="AJ213">
        <f>VLOOKUP(C213,技能辅助查询表,技能配置辅助表!$L$1,FALSE)</f>
        <v>6</v>
      </c>
      <c r="AK213">
        <f>VLOOKUP(C213,技能辅助查询表,技能配置辅助表!$AE$1,FALSE)</f>
        <v>66000113</v>
      </c>
    </row>
    <row r="214" spans="1:37" x14ac:dyDescent="0.15">
      <c r="A214" s="1">
        <f t="shared" ca="1" si="100"/>
        <v>9122408</v>
      </c>
      <c r="B214" s="1" t="str">
        <f t="shared" ca="1" si="85"/>
        <v>影袭·斩第4段</v>
      </c>
      <c r="C214" t="s">
        <v>154</v>
      </c>
      <c r="D214">
        <f t="shared" si="86"/>
        <v>1</v>
      </c>
      <c r="E214" s="42">
        <f t="shared" ca="1" si="101"/>
        <v>20</v>
      </c>
      <c r="F214" t="str">
        <f t="shared" ca="1" si="102"/>
        <v>第8级，共造成192.9%点伤害</v>
      </c>
      <c r="G214">
        <f t="shared" ca="1" si="103"/>
        <v>4</v>
      </c>
      <c r="H214">
        <f t="shared" si="87"/>
        <v>4</v>
      </c>
      <c r="I214" s="44">
        <f t="shared" ca="1" si="104"/>
        <v>8</v>
      </c>
      <c r="J214">
        <f t="shared" si="88"/>
        <v>2</v>
      </c>
      <c r="K214" s="36">
        <f t="shared" ca="1" si="89"/>
        <v>32.142857142857146</v>
      </c>
      <c r="L214" s="10">
        <f ca="1">AH214*VLOOKUP(C214,技能辅助查询表,技能配置辅助表!$T$1,FALSE)</f>
        <v>0</v>
      </c>
      <c r="M214">
        <f t="shared" ca="1" si="90"/>
        <v>7360</v>
      </c>
      <c r="N214" s="33">
        <f ca="1">CHOOSE(1,W214*U214,X214*'[1]0、经济设定'!$C$18)</f>
        <v>1820</v>
      </c>
      <c r="O214">
        <f t="shared" si="91"/>
        <v>2</v>
      </c>
      <c r="P214">
        <f t="shared" si="92"/>
        <v>6</v>
      </c>
      <c r="Q214">
        <f t="shared" si="93"/>
        <v>1</v>
      </c>
      <c r="R214" s="2">
        <f t="shared" si="94"/>
        <v>9</v>
      </c>
      <c r="S214" s="2">
        <f t="shared" si="95"/>
        <v>50</v>
      </c>
      <c r="T214" s="2">
        <f t="shared" si="96"/>
        <v>29.761904761904763</v>
      </c>
      <c r="U214" s="2">
        <f ca="1">VLOOKUP(E214,金币生产率!$A$2:$B$120,2,0)</f>
        <v>182</v>
      </c>
      <c r="V214" s="2">
        <f t="shared" si="97"/>
        <v>178.57142857142858</v>
      </c>
      <c r="W214" s="45">
        <f t="shared" ca="1" si="110"/>
        <v>10</v>
      </c>
      <c r="X214" s="48">
        <f t="shared" ca="1" si="111"/>
        <v>64</v>
      </c>
      <c r="Y214">
        <f t="shared" si="98"/>
        <v>18</v>
      </c>
      <c r="Z214">
        <f t="shared" ca="1" si="105"/>
        <v>0</v>
      </c>
      <c r="AA214" t="str">
        <f t="shared" ca="1" si="106"/>
        <v>9122400.png</v>
      </c>
      <c r="AB214">
        <f t="shared" si="99"/>
        <v>3</v>
      </c>
      <c r="AC214">
        <f>VLOOKUP(C214,技能辅助查询表,技能配置辅助表!$W$1,FALSE)</f>
        <v>5603</v>
      </c>
      <c r="AD214">
        <f t="shared" ca="1" si="107"/>
        <v>6.0770816433773103</v>
      </c>
      <c r="AE214">
        <f>VLOOKUP(C214,技能辅助查询表,技能配置辅助表!$U$1,FALSE)</f>
        <v>4</v>
      </c>
      <c r="AF214">
        <f t="shared" ca="1" si="108"/>
        <v>9122408</v>
      </c>
      <c r="AG214">
        <f t="shared" ca="1" si="112"/>
        <v>19.142857142857142</v>
      </c>
      <c r="AH214">
        <f t="shared" ca="1" si="109"/>
        <v>32.722747310493212</v>
      </c>
      <c r="AI214">
        <f ca="1">VLOOKUP(E214,伤害参考系!$C$4:$E$104,3,FALSE)*$AN$12</f>
        <v>632.73913043478262</v>
      </c>
      <c r="AJ214">
        <f>VLOOKUP(C214,技能辅助查询表,技能配置辅助表!$L$1,FALSE)</f>
        <v>6</v>
      </c>
      <c r="AK214">
        <f>VLOOKUP(C214,技能辅助查询表,技能配置辅助表!$AE$1,FALSE)</f>
        <v>66000113</v>
      </c>
    </row>
    <row r="215" spans="1:37" x14ac:dyDescent="0.15">
      <c r="A215" s="1">
        <f t="shared" ca="1" si="100"/>
        <v>9122409</v>
      </c>
      <c r="B215" s="1" t="str">
        <f t="shared" ca="1" si="85"/>
        <v>影袭·斩第4段</v>
      </c>
      <c r="C215" t="s">
        <v>154</v>
      </c>
      <c r="D215">
        <f t="shared" si="86"/>
        <v>1</v>
      </c>
      <c r="E215" s="42">
        <f t="shared" ca="1" si="101"/>
        <v>22</v>
      </c>
      <c r="F215" t="str">
        <f t="shared" ca="1" si="102"/>
        <v>第9级，共造成194.6%点伤害</v>
      </c>
      <c r="G215">
        <f t="shared" ca="1" si="103"/>
        <v>4</v>
      </c>
      <c r="H215">
        <f t="shared" si="87"/>
        <v>4</v>
      </c>
      <c r="I215" s="44">
        <f t="shared" ca="1" si="104"/>
        <v>9</v>
      </c>
      <c r="J215">
        <f t="shared" si="88"/>
        <v>2</v>
      </c>
      <c r="K215" s="36">
        <f t="shared" ca="1" si="89"/>
        <v>32.44047619047619</v>
      </c>
      <c r="L215" s="10">
        <f ca="1">AH215*VLOOKUP(C215,技能辅助查询表,技能配置辅助表!$T$1,FALSE)</f>
        <v>0</v>
      </c>
      <c r="M215">
        <f t="shared" ca="1" si="90"/>
        <v>7280</v>
      </c>
      <c r="N215" s="33">
        <f ca="1">CHOOSE(1,W215*U215,X215*'[1]0、经济设定'!$C$18)</f>
        <v>2629</v>
      </c>
      <c r="O215">
        <f t="shared" si="91"/>
        <v>2</v>
      </c>
      <c r="P215">
        <f t="shared" si="92"/>
        <v>6</v>
      </c>
      <c r="Q215">
        <f t="shared" si="93"/>
        <v>1</v>
      </c>
      <c r="R215" s="2">
        <f t="shared" si="94"/>
        <v>9</v>
      </c>
      <c r="S215" s="2">
        <f t="shared" si="95"/>
        <v>50</v>
      </c>
      <c r="T215" s="2">
        <f t="shared" si="96"/>
        <v>29.761904761904763</v>
      </c>
      <c r="U215" s="2">
        <f ca="1">VLOOKUP(E215,金币生产率!$A$2:$B$120,2,0)</f>
        <v>239</v>
      </c>
      <c r="V215" s="2">
        <f t="shared" si="97"/>
        <v>178.57142857142858</v>
      </c>
      <c r="W215" s="45">
        <f t="shared" ca="1" si="110"/>
        <v>11</v>
      </c>
      <c r="X215" s="48">
        <f t="shared" ca="1" si="111"/>
        <v>75</v>
      </c>
      <c r="Y215">
        <f t="shared" si="98"/>
        <v>18</v>
      </c>
      <c r="Z215">
        <f t="shared" ca="1" si="105"/>
        <v>0</v>
      </c>
      <c r="AA215" t="str">
        <f t="shared" ca="1" si="106"/>
        <v>9122400.png</v>
      </c>
      <c r="AB215">
        <f t="shared" si="99"/>
        <v>3</v>
      </c>
      <c r="AC215">
        <f>VLOOKUP(C215,技能辅助查询表,技能配置辅助表!$W$1,FALSE)</f>
        <v>5603</v>
      </c>
      <c r="AD215">
        <f t="shared" ca="1" si="107"/>
        <v>7.0517286323725585</v>
      </c>
      <c r="AE215">
        <f>VLOOKUP(C215,技能辅助查询表,技能配置辅助表!$U$1,FALSE)</f>
        <v>4</v>
      </c>
      <c r="AF215">
        <f t="shared" ca="1" si="108"/>
        <v>9122409</v>
      </c>
      <c r="AG215">
        <f t="shared" ca="1" si="112"/>
        <v>20.591836734693878</v>
      </c>
      <c r="AH215">
        <f t="shared" ca="1" si="109"/>
        <v>37.25441541630785</v>
      </c>
      <c r="AI215">
        <f ca="1">VLOOKUP(E215,伤害参考系!$C$4:$E$104,3,FALSE)*$AN$12</f>
        <v>753.08869565217401</v>
      </c>
      <c r="AJ215">
        <f>VLOOKUP(C215,技能辅助查询表,技能配置辅助表!$L$1,FALSE)</f>
        <v>6</v>
      </c>
      <c r="AK215">
        <f>VLOOKUP(C215,技能辅助查询表,技能配置辅助表!$AE$1,FALSE)</f>
        <v>66000113</v>
      </c>
    </row>
    <row r="216" spans="1:37" x14ac:dyDescent="0.15">
      <c r="A216" s="1">
        <f t="shared" ca="1" si="100"/>
        <v>9122410</v>
      </c>
      <c r="B216" s="1" t="str">
        <f t="shared" ca="1" si="85"/>
        <v>影袭·斩第4段</v>
      </c>
      <c r="C216" t="s">
        <v>154</v>
      </c>
      <c r="D216">
        <f t="shared" si="86"/>
        <v>1</v>
      </c>
      <c r="E216" s="42">
        <f t="shared" ca="1" si="101"/>
        <v>23</v>
      </c>
      <c r="F216" t="str">
        <f t="shared" ca="1" si="102"/>
        <v>第10级，共造成196.4%点伤害</v>
      </c>
      <c r="G216">
        <f t="shared" ca="1" si="103"/>
        <v>4</v>
      </c>
      <c r="H216">
        <f t="shared" si="87"/>
        <v>4</v>
      </c>
      <c r="I216" s="44">
        <f t="shared" ca="1" si="104"/>
        <v>10</v>
      </c>
      <c r="J216">
        <f t="shared" si="88"/>
        <v>2</v>
      </c>
      <c r="K216" s="36">
        <f t="shared" ca="1" si="89"/>
        <v>32.738095238095241</v>
      </c>
      <c r="L216" s="10">
        <f ca="1">AH216*VLOOKUP(C216,技能辅助查询表,技能配置辅助表!$T$1,FALSE)</f>
        <v>0</v>
      </c>
      <c r="M216">
        <f t="shared" ca="1" si="90"/>
        <v>7200</v>
      </c>
      <c r="N216" s="33">
        <f ca="1">CHOOSE(1,W216*U216,X216*'[1]0、经济设定'!$C$18)</f>
        <v>2970</v>
      </c>
      <c r="O216">
        <f t="shared" si="91"/>
        <v>2</v>
      </c>
      <c r="P216">
        <f t="shared" si="92"/>
        <v>6</v>
      </c>
      <c r="Q216">
        <f t="shared" si="93"/>
        <v>1</v>
      </c>
      <c r="R216" s="2">
        <f t="shared" si="94"/>
        <v>9</v>
      </c>
      <c r="S216" s="2">
        <f t="shared" si="95"/>
        <v>50</v>
      </c>
      <c r="T216" s="2">
        <f t="shared" si="96"/>
        <v>29.761904761904763</v>
      </c>
      <c r="U216" s="2">
        <f ca="1">VLOOKUP(E216,金币生产率!$A$2:$B$120,2,0)</f>
        <v>270</v>
      </c>
      <c r="V216" s="2">
        <f t="shared" si="97"/>
        <v>178.57142857142858</v>
      </c>
      <c r="W216" s="45">
        <f t="shared" ca="1" si="110"/>
        <v>11</v>
      </c>
      <c r="X216" s="48">
        <f t="shared" ca="1" si="111"/>
        <v>86</v>
      </c>
      <c r="Y216">
        <f t="shared" si="98"/>
        <v>18</v>
      </c>
      <c r="Z216">
        <f t="shared" ca="1" si="105"/>
        <v>0</v>
      </c>
      <c r="AA216" t="str">
        <f t="shared" ca="1" si="106"/>
        <v>9122400.png</v>
      </c>
      <c r="AB216">
        <f t="shared" si="99"/>
        <v>3</v>
      </c>
      <c r="AC216">
        <f>VLOOKUP(C216,技能辅助查询表,技能配置辅助表!$W$1,FALSE)</f>
        <v>5603</v>
      </c>
      <c r="AD216">
        <f t="shared" ca="1" si="107"/>
        <v>8.1797772227560941</v>
      </c>
      <c r="AE216">
        <f>VLOOKUP(C216,技能辅助查询表,技能配置辅助表!$U$1,FALSE)</f>
        <v>4</v>
      </c>
      <c r="AF216">
        <f t="shared" ca="1" si="108"/>
        <v>9122410</v>
      </c>
      <c r="AG216">
        <f t="shared" ca="1" si="112"/>
        <v>22.04081632653061</v>
      </c>
      <c r="AH216">
        <f t="shared" ca="1" si="109"/>
        <v>42.413659673550121</v>
      </c>
      <c r="AI216">
        <f ca="1">VLOOKUP(E216,伤害参考系!$C$4:$E$104,3,FALSE)*$AN$12</f>
        <v>832.15832357859551</v>
      </c>
      <c r="AJ216">
        <f>VLOOKUP(C216,技能辅助查询表,技能配置辅助表!$L$1,FALSE)</f>
        <v>6</v>
      </c>
      <c r="AK216">
        <f>VLOOKUP(C216,技能辅助查询表,技能配置辅助表!$AE$1,FALSE)</f>
        <v>66000113</v>
      </c>
    </row>
    <row r="217" spans="1:37" x14ac:dyDescent="0.15">
      <c r="A217" s="1">
        <f t="shared" ca="1" si="100"/>
        <v>9122411</v>
      </c>
      <c r="B217" s="1" t="str">
        <f t="shared" ca="1" si="85"/>
        <v>影袭·斩第4段</v>
      </c>
      <c r="C217" t="s">
        <v>154</v>
      </c>
      <c r="D217">
        <f t="shared" si="86"/>
        <v>1</v>
      </c>
      <c r="E217" s="42">
        <f t="shared" ca="1" si="101"/>
        <v>25</v>
      </c>
      <c r="F217" t="str">
        <f t="shared" ca="1" si="102"/>
        <v>第11级，共造成198.2%点伤害</v>
      </c>
      <c r="G217">
        <f t="shared" ca="1" si="103"/>
        <v>4</v>
      </c>
      <c r="H217">
        <f t="shared" si="87"/>
        <v>4</v>
      </c>
      <c r="I217" s="44">
        <f t="shared" ca="1" si="104"/>
        <v>11</v>
      </c>
      <c r="J217">
        <f t="shared" si="88"/>
        <v>2</v>
      </c>
      <c r="K217" s="36">
        <f t="shared" ca="1" si="89"/>
        <v>33.035714285714285</v>
      </c>
      <c r="L217" s="10">
        <f ca="1">AH217*VLOOKUP(C217,技能辅助查询表,技能配置辅助表!$T$1,FALSE)</f>
        <v>0</v>
      </c>
      <c r="M217">
        <f t="shared" ca="1" si="90"/>
        <v>7120</v>
      </c>
      <c r="N217" s="33">
        <f ca="1">CHOOSE(1,W217*U217,X217*'[1]0、经济设定'!$C$18)</f>
        <v>4020</v>
      </c>
      <c r="O217">
        <f t="shared" si="91"/>
        <v>2</v>
      </c>
      <c r="P217">
        <f t="shared" si="92"/>
        <v>6</v>
      </c>
      <c r="Q217">
        <f t="shared" si="93"/>
        <v>1</v>
      </c>
      <c r="R217" s="2">
        <f t="shared" si="94"/>
        <v>9</v>
      </c>
      <c r="S217" s="2">
        <f t="shared" si="95"/>
        <v>50</v>
      </c>
      <c r="T217" s="2">
        <f t="shared" si="96"/>
        <v>29.761904761904763</v>
      </c>
      <c r="U217" s="2">
        <f ca="1">VLOOKUP(E217,金币生产率!$A$2:$B$120,2,0)</f>
        <v>335</v>
      </c>
      <c r="V217" s="2">
        <f t="shared" si="97"/>
        <v>178.57142857142858</v>
      </c>
      <c r="W217" s="45">
        <f t="shared" ca="1" si="110"/>
        <v>12</v>
      </c>
      <c r="X217" s="48">
        <f t="shared" ca="1" si="111"/>
        <v>98</v>
      </c>
      <c r="Y217">
        <f t="shared" si="98"/>
        <v>18</v>
      </c>
      <c r="Z217">
        <f t="shared" ca="1" si="105"/>
        <v>0</v>
      </c>
      <c r="AA217" t="str">
        <f t="shared" ca="1" si="106"/>
        <v>9122400.png</v>
      </c>
      <c r="AB217">
        <f t="shared" si="99"/>
        <v>3</v>
      </c>
      <c r="AC217">
        <f>VLOOKUP(C217,技能辅助查询表,技能配置辅助表!$W$1,FALSE)</f>
        <v>5603</v>
      </c>
      <c r="AD217">
        <f t="shared" ca="1" si="107"/>
        <v>9.4850232491209532</v>
      </c>
      <c r="AE217">
        <f>VLOOKUP(C217,技能辅助查询表,技能配置辅助表!$U$1,FALSE)</f>
        <v>4</v>
      </c>
      <c r="AF217">
        <f t="shared" ca="1" si="108"/>
        <v>9122411</v>
      </c>
      <c r="AG217">
        <f t="shared" ca="1" si="112"/>
        <v>23.489795918367349</v>
      </c>
      <c r="AH217">
        <f t="shared" ca="1" si="109"/>
        <v>48.287391086433935</v>
      </c>
      <c r="AI217">
        <f ca="1">VLOOKUP(E217,伤害参考系!$C$4:$E$104,3,FALSE)*$AN$12</f>
        <v>1000.3949623745822</v>
      </c>
      <c r="AJ217">
        <f>VLOOKUP(C217,技能辅助查询表,技能配置辅助表!$L$1,FALSE)</f>
        <v>6</v>
      </c>
      <c r="AK217">
        <f>VLOOKUP(C217,技能辅助查询表,技能配置辅助表!$AE$1,FALSE)</f>
        <v>66000113</v>
      </c>
    </row>
    <row r="218" spans="1:37" x14ac:dyDescent="0.15">
      <c r="A218" s="1">
        <f t="shared" ca="1" si="100"/>
        <v>9122412</v>
      </c>
      <c r="B218" s="1" t="str">
        <f t="shared" ca="1" si="85"/>
        <v>影袭·斩第4段</v>
      </c>
      <c r="C218" t="s">
        <v>154</v>
      </c>
      <c r="D218">
        <f t="shared" si="86"/>
        <v>1</v>
      </c>
      <c r="E218" s="42">
        <f t="shared" ca="1" si="101"/>
        <v>26</v>
      </c>
      <c r="F218" t="str">
        <f t="shared" ca="1" si="102"/>
        <v>第12级，共造成200%点伤害</v>
      </c>
      <c r="G218">
        <f t="shared" ca="1" si="103"/>
        <v>4</v>
      </c>
      <c r="H218">
        <f t="shared" si="87"/>
        <v>4</v>
      </c>
      <c r="I218" s="44">
        <f t="shared" ca="1" si="104"/>
        <v>12</v>
      </c>
      <c r="J218">
        <f t="shared" si="88"/>
        <v>2</v>
      </c>
      <c r="K218" s="36">
        <f t="shared" ca="1" si="89"/>
        <v>33.333333333333336</v>
      </c>
      <c r="L218" s="10">
        <f ca="1">AH218*VLOOKUP(C218,技能辅助查询表,技能配置辅助表!$T$1,FALSE)</f>
        <v>0</v>
      </c>
      <c r="M218">
        <f t="shared" ca="1" si="90"/>
        <v>7040</v>
      </c>
      <c r="N218" s="33">
        <f ca="1">CHOOSE(1,W218*U218,X218*'[1]0、经济设定'!$C$18)</f>
        <v>4810</v>
      </c>
      <c r="O218">
        <f t="shared" si="91"/>
        <v>2</v>
      </c>
      <c r="P218">
        <f t="shared" si="92"/>
        <v>6</v>
      </c>
      <c r="Q218">
        <f t="shared" si="93"/>
        <v>1</v>
      </c>
      <c r="R218" s="2">
        <f t="shared" si="94"/>
        <v>9</v>
      </c>
      <c r="S218" s="2">
        <f t="shared" si="95"/>
        <v>50</v>
      </c>
      <c r="T218" s="2">
        <f t="shared" si="96"/>
        <v>29.761904761904763</v>
      </c>
      <c r="U218" s="2">
        <f ca="1">VLOOKUP(E218,金币生产率!$A$2:$B$120,2,0)</f>
        <v>370</v>
      </c>
      <c r="V218" s="2">
        <f t="shared" si="97"/>
        <v>178.57142857142858</v>
      </c>
      <c r="W218" s="45">
        <f t="shared" ca="1" si="110"/>
        <v>13</v>
      </c>
      <c r="X218" s="48">
        <f t="shared" ca="1" si="111"/>
        <v>111</v>
      </c>
      <c r="Y218">
        <f t="shared" si="98"/>
        <v>18</v>
      </c>
      <c r="Z218">
        <f t="shared" ca="1" si="105"/>
        <v>0</v>
      </c>
      <c r="AA218" t="str">
        <f t="shared" ca="1" si="106"/>
        <v>9122400.png</v>
      </c>
      <c r="AB218">
        <f t="shared" si="99"/>
        <v>3</v>
      </c>
      <c r="AC218">
        <f>VLOOKUP(C218,技能辅助查询表,技能配置辅助表!$W$1,FALSE)</f>
        <v>5603</v>
      </c>
      <c r="AD218">
        <f t="shared" ca="1" si="107"/>
        <v>10.994911336963888</v>
      </c>
      <c r="AE218">
        <f>VLOOKUP(C218,技能辅助查询表,技能配置辅助表!$U$1,FALSE)</f>
        <v>4</v>
      </c>
      <c r="AF218">
        <f t="shared" ca="1" si="108"/>
        <v>9122412</v>
      </c>
      <c r="AG218">
        <f t="shared" ca="1" si="112"/>
        <v>24.938775510204081</v>
      </c>
      <c r="AH218">
        <f t="shared" ca="1" si="109"/>
        <v>54.974556684819426</v>
      </c>
      <c r="AI218">
        <f ca="1">VLOOKUP(E218,伤害参考系!$C$4:$E$104,3,FALSE)*$AN$12</f>
        <v>1103.3859732441474</v>
      </c>
      <c r="AJ218">
        <f>VLOOKUP(C218,技能辅助查询表,技能配置辅助表!$L$1,FALSE)</f>
        <v>6</v>
      </c>
      <c r="AK218">
        <f>VLOOKUP(C218,技能辅助查询表,技能配置辅助表!$AE$1,FALSE)</f>
        <v>66000113</v>
      </c>
    </row>
    <row r="219" spans="1:37" x14ac:dyDescent="0.15">
      <c r="A219" s="1">
        <f t="shared" ca="1" si="100"/>
        <v>9122413</v>
      </c>
      <c r="B219" s="1" t="str">
        <f t="shared" ca="1" si="85"/>
        <v>影袭·斩第4段</v>
      </c>
      <c r="C219" t="s">
        <v>154</v>
      </c>
      <c r="D219">
        <f t="shared" si="86"/>
        <v>1</v>
      </c>
      <c r="E219" s="42">
        <f t="shared" ca="1" si="101"/>
        <v>27</v>
      </c>
      <c r="F219" t="str">
        <f t="shared" ca="1" si="102"/>
        <v>第13级，共造成201.8%点伤害</v>
      </c>
      <c r="G219">
        <f t="shared" ca="1" si="103"/>
        <v>4</v>
      </c>
      <c r="H219">
        <f t="shared" si="87"/>
        <v>4</v>
      </c>
      <c r="I219" s="44">
        <f t="shared" ca="1" si="104"/>
        <v>13</v>
      </c>
      <c r="J219">
        <f t="shared" si="88"/>
        <v>2</v>
      </c>
      <c r="K219" s="36">
        <f t="shared" ca="1" si="89"/>
        <v>33.63095238095238</v>
      </c>
      <c r="L219" s="10">
        <f ca="1">AH219*VLOOKUP(C219,技能辅助查询表,技能配置辅助表!$T$1,FALSE)</f>
        <v>0</v>
      </c>
      <c r="M219">
        <f t="shared" ca="1" si="90"/>
        <v>6960</v>
      </c>
      <c r="N219" s="33">
        <f ca="1">CHOOSE(1,W219*U219,X219*'[1]0、经济设定'!$C$18)</f>
        <v>5684</v>
      </c>
      <c r="O219">
        <f t="shared" si="91"/>
        <v>2</v>
      </c>
      <c r="P219">
        <f t="shared" si="92"/>
        <v>6</v>
      </c>
      <c r="Q219">
        <f t="shared" si="93"/>
        <v>1</v>
      </c>
      <c r="R219" s="2">
        <f t="shared" si="94"/>
        <v>9</v>
      </c>
      <c r="S219" s="2">
        <f t="shared" si="95"/>
        <v>50</v>
      </c>
      <c r="T219" s="2">
        <f t="shared" si="96"/>
        <v>29.761904761904763</v>
      </c>
      <c r="U219" s="2">
        <f ca="1">VLOOKUP(E219,金币生产率!$A$2:$B$120,2,0)</f>
        <v>406</v>
      </c>
      <c r="V219" s="2">
        <f t="shared" si="97"/>
        <v>178.57142857142858</v>
      </c>
      <c r="W219" s="45">
        <f t="shared" ca="1" si="110"/>
        <v>14</v>
      </c>
      <c r="X219" s="48">
        <f t="shared" ca="1" si="111"/>
        <v>125</v>
      </c>
      <c r="Y219">
        <f t="shared" si="98"/>
        <v>18</v>
      </c>
      <c r="Z219">
        <f t="shared" ca="1" si="105"/>
        <v>0</v>
      </c>
      <c r="AA219" t="str">
        <f t="shared" ca="1" si="106"/>
        <v>9122400.png</v>
      </c>
      <c r="AB219">
        <f t="shared" si="99"/>
        <v>3</v>
      </c>
      <c r="AC219">
        <f>VLOOKUP(C219,技能辅助查询表,技能配置辅助表!$W$1,FALSE)</f>
        <v>5603</v>
      </c>
      <c r="AD219">
        <f t="shared" ca="1" si="107"/>
        <v>12.741089150782553</v>
      </c>
      <c r="AE219">
        <f>VLOOKUP(C219,技能辅助查询表,技能配置辅助表!$U$1,FALSE)</f>
        <v>4</v>
      </c>
      <c r="AF219">
        <f t="shared" ca="1" si="108"/>
        <v>9122413</v>
      </c>
      <c r="AG219">
        <f t="shared" ca="1" si="112"/>
        <v>26.387755102040817</v>
      </c>
      <c r="AH219">
        <f t="shared" ca="1" si="109"/>
        <v>62.587806354721323</v>
      </c>
      <c r="AI219">
        <f ca="1">VLOOKUP(E219,伤害参考系!$C$4:$E$104,3,FALSE)*$AN$12</f>
        <v>1210.5107784280938</v>
      </c>
      <c r="AJ219">
        <f>VLOOKUP(C219,技能辅助查询表,技能配置辅助表!$L$1,FALSE)</f>
        <v>6</v>
      </c>
      <c r="AK219">
        <f>VLOOKUP(C219,技能辅助查询表,技能配置辅助表!$AE$1,FALSE)</f>
        <v>66000113</v>
      </c>
    </row>
    <row r="220" spans="1:37" x14ac:dyDescent="0.15">
      <c r="A220" s="1">
        <f t="shared" ca="1" si="100"/>
        <v>9122414</v>
      </c>
      <c r="B220" s="1" t="str">
        <f t="shared" ca="1" si="85"/>
        <v>影袭·斩第4段</v>
      </c>
      <c r="C220" t="s">
        <v>154</v>
      </c>
      <c r="D220">
        <f t="shared" si="86"/>
        <v>1</v>
      </c>
      <c r="E220" s="42">
        <f t="shared" ca="1" si="101"/>
        <v>29</v>
      </c>
      <c r="F220" t="str">
        <f t="shared" ca="1" si="102"/>
        <v>第14级，共造成203.6%点伤害</v>
      </c>
      <c r="G220">
        <f t="shared" ca="1" si="103"/>
        <v>4</v>
      </c>
      <c r="H220">
        <f t="shared" si="87"/>
        <v>4</v>
      </c>
      <c r="I220" s="44">
        <f t="shared" ca="1" si="104"/>
        <v>14</v>
      </c>
      <c r="J220">
        <f t="shared" si="88"/>
        <v>2</v>
      </c>
      <c r="K220" s="36">
        <f t="shared" ca="1" si="89"/>
        <v>33.928571428571431</v>
      </c>
      <c r="L220" s="10">
        <f ca="1">AH220*VLOOKUP(C220,技能辅助查询表,技能配置辅助表!$T$1,FALSE)</f>
        <v>0</v>
      </c>
      <c r="M220">
        <f t="shared" ca="1" si="90"/>
        <v>6880</v>
      </c>
      <c r="N220" s="33">
        <f ca="1">CHOOSE(1,W220*U220,X220*'[1]0、经济设定'!$C$18)</f>
        <v>6748</v>
      </c>
      <c r="O220">
        <f t="shared" si="91"/>
        <v>2</v>
      </c>
      <c r="P220">
        <f t="shared" si="92"/>
        <v>6</v>
      </c>
      <c r="Q220">
        <f t="shared" si="93"/>
        <v>1</v>
      </c>
      <c r="R220" s="2">
        <f t="shared" si="94"/>
        <v>9</v>
      </c>
      <c r="S220" s="2">
        <f t="shared" si="95"/>
        <v>50</v>
      </c>
      <c r="T220" s="2">
        <f t="shared" si="96"/>
        <v>29.761904761904763</v>
      </c>
      <c r="U220" s="2">
        <f ca="1">VLOOKUP(E220,金币生产率!$A$2:$B$120,2,0)</f>
        <v>482</v>
      </c>
      <c r="V220" s="2">
        <f t="shared" si="97"/>
        <v>178.57142857142858</v>
      </c>
      <c r="W220" s="45">
        <f t="shared" ca="1" si="110"/>
        <v>14</v>
      </c>
      <c r="X220" s="48">
        <f t="shared" ca="1" si="111"/>
        <v>139</v>
      </c>
      <c r="Y220">
        <f t="shared" si="98"/>
        <v>18</v>
      </c>
      <c r="Z220">
        <f t="shared" ca="1" si="105"/>
        <v>0</v>
      </c>
      <c r="AA220" t="str">
        <f t="shared" ca="1" si="106"/>
        <v>9122400.png</v>
      </c>
      <c r="AB220">
        <f t="shared" si="99"/>
        <v>3</v>
      </c>
      <c r="AC220">
        <f>VLOOKUP(C220,技能辅助查询表,技能配置辅助表!$W$1,FALSE)</f>
        <v>5603</v>
      </c>
      <c r="AD220">
        <f t="shared" ca="1" si="107"/>
        <v>14.760045175583665</v>
      </c>
      <c r="AE220">
        <f>VLOOKUP(C220,技能辅助查询表,技能配置辅助表!$U$1,FALSE)</f>
        <v>4</v>
      </c>
      <c r="AF220">
        <f t="shared" ca="1" si="108"/>
        <v>9122414</v>
      </c>
      <c r="AG220">
        <f t="shared" ca="1" si="112"/>
        <v>27.836734693877553</v>
      </c>
      <c r="AH220">
        <f t="shared" ca="1" si="109"/>
        <v>71.25539050281769</v>
      </c>
      <c r="AI220">
        <f ca="1">VLOOKUP(E220,伤害参考系!$C$4:$E$104,3,FALSE)*$AN$12</f>
        <v>1437.1617717391309</v>
      </c>
      <c r="AJ220">
        <f>VLOOKUP(C220,技能辅助查询表,技能配置辅助表!$L$1,FALSE)</f>
        <v>6</v>
      </c>
      <c r="AK220">
        <f>VLOOKUP(C220,技能辅助查询表,技能配置辅助表!$AE$1,FALSE)</f>
        <v>66000113</v>
      </c>
    </row>
    <row r="221" spans="1:37" x14ac:dyDescent="0.15">
      <c r="A221" s="1">
        <f t="shared" ca="1" si="100"/>
        <v>9122415</v>
      </c>
      <c r="B221" s="1" t="str">
        <f t="shared" ca="1" si="85"/>
        <v>影袭·斩第4段</v>
      </c>
      <c r="C221" t="s">
        <v>154</v>
      </c>
      <c r="D221">
        <f t="shared" si="86"/>
        <v>1</v>
      </c>
      <c r="E221" s="42">
        <f t="shared" ca="1" si="101"/>
        <v>30</v>
      </c>
      <c r="F221" t="str">
        <f t="shared" ca="1" si="102"/>
        <v>第15级，共造成205.4%点伤害</v>
      </c>
      <c r="G221">
        <f t="shared" ca="1" si="103"/>
        <v>4</v>
      </c>
      <c r="H221">
        <f t="shared" si="87"/>
        <v>4</v>
      </c>
      <c r="I221" s="44">
        <f t="shared" ca="1" si="104"/>
        <v>15</v>
      </c>
      <c r="J221">
        <f t="shared" si="88"/>
        <v>2</v>
      </c>
      <c r="K221" s="36">
        <f t="shared" ca="1" si="89"/>
        <v>34.226190476190474</v>
      </c>
      <c r="L221" s="10">
        <f ca="1">AH221*VLOOKUP(C221,技能辅助查询表,技能配置辅助表!$T$1,FALSE)</f>
        <v>0</v>
      </c>
      <c r="M221">
        <f t="shared" ca="1" si="90"/>
        <v>6800</v>
      </c>
      <c r="N221" s="33">
        <f ca="1">CHOOSE(1,W221*U221,X221*'[1]0、经济设定'!$C$18)</f>
        <v>7830</v>
      </c>
      <c r="O221">
        <f t="shared" si="91"/>
        <v>2</v>
      </c>
      <c r="P221">
        <f t="shared" si="92"/>
        <v>6</v>
      </c>
      <c r="Q221">
        <f t="shared" si="93"/>
        <v>1</v>
      </c>
      <c r="R221" s="2">
        <f t="shared" si="94"/>
        <v>9</v>
      </c>
      <c r="S221" s="2">
        <f t="shared" si="95"/>
        <v>50</v>
      </c>
      <c r="T221" s="2">
        <f t="shared" si="96"/>
        <v>29.761904761904763</v>
      </c>
      <c r="U221" s="2">
        <f ca="1">VLOOKUP(E221,金币生产率!$A$2:$B$120,2,0)</f>
        <v>522</v>
      </c>
      <c r="V221" s="2">
        <f t="shared" si="97"/>
        <v>178.57142857142858</v>
      </c>
      <c r="W221" s="45">
        <f t="shared" ca="1" si="110"/>
        <v>15</v>
      </c>
      <c r="X221" s="48">
        <f t="shared" ca="1" si="111"/>
        <v>154</v>
      </c>
      <c r="Y221">
        <f t="shared" si="98"/>
        <v>18</v>
      </c>
      <c r="Z221">
        <f t="shared" ca="1" si="105"/>
        <v>0</v>
      </c>
      <c r="AA221" t="str">
        <f t="shared" ca="1" si="106"/>
        <v>9122400.png</v>
      </c>
      <c r="AB221">
        <f t="shared" si="99"/>
        <v>3</v>
      </c>
      <c r="AC221">
        <f>VLOOKUP(C221,技能辅助查询表,技能配置辅助表!$W$1,FALSE)</f>
        <v>5603</v>
      </c>
      <c r="AD221">
        <f t="shared" ca="1" si="107"/>
        <v>17.093842538652204</v>
      </c>
      <c r="AE221">
        <f>VLOOKUP(C221,技能辅助查询表,技能配置辅助表!$U$1,FALSE)</f>
        <v>4</v>
      </c>
      <c r="AF221">
        <f t="shared" ca="1" si="108"/>
        <v>9122415</v>
      </c>
      <c r="AG221">
        <f t="shared" ca="1" si="112"/>
        <v>29.285714285714285</v>
      </c>
      <c r="AH221">
        <f t="shared" ca="1" si="109"/>
        <v>81.123320522417259</v>
      </c>
      <c r="AI221">
        <f ca="1">VLOOKUP(E221,伤害参考系!$C$4:$E$104,3,FALSE)*$AN$12</f>
        <v>1576.1465593645489</v>
      </c>
      <c r="AJ221">
        <f>VLOOKUP(C221,技能辅助查询表,技能配置辅助表!$L$1,FALSE)</f>
        <v>6</v>
      </c>
      <c r="AK221">
        <f>VLOOKUP(C221,技能辅助查询表,技能配置辅助表!$AE$1,FALSE)</f>
        <v>66000113</v>
      </c>
    </row>
    <row r="222" spans="1:37" x14ac:dyDescent="0.15">
      <c r="A222" s="1">
        <f t="shared" ca="1" si="100"/>
        <v>9122416</v>
      </c>
      <c r="B222" s="1" t="str">
        <f t="shared" ca="1" si="85"/>
        <v>影袭·斩第4段</v>
      </c>
      <c r="C222" t="s">
        <v>154</v>
      </c>
      <c r="D222">
        <f t="shared" si="86"/>
        <v>1</v>
      </c>
      <c r="E222" s="42">
        <f t="shared" ca="1" si="101"/>
        <v>32</v>
      </c>
      <c r="F222" t="str">
        <f t="shared" ca="1" si="102"/>
        <v>第16级，共造成207.1%点伤害</v>
      </c>
      <c r="G222">
        <f t="shared" ca="1" si="103"/>
        <v>4</v>
      </c>
      <c r="H222">
        <f t="shared" si="87"/>
        <v>4</v>
      </c>
      <c r="I222" s="44">
        <f t="shared" ca="1" si="104"/>
        <v>16</v>
      </c>
      <c r="J222">
        <f t="shared" si="88"/>
        <v>2</v>
      </c>
      <c r="K222" s="36">
        <f t="shared" ca="1" si="89"/>
        <v>34.523809523809526</v>
      </c>
      <c r="L222" s="10">
        <f ca="1">AH222*VLOOKUP(C222,技能辅助查询表,技能配置辅助表!$T$1,FALSE)</f>
        <v>0</v>
      </c>
      <c r="M222">
        <f t="shared" ca="1" si="90"/>
        <v>6720</v>
      </c>
      <c r="N222" s="33">
        <f ca="1">CHOOSE(1,W222*U222,X222*'[1]0、经济设定'!$C$18)</f>
        <v>9696</v>
      </c>
      <c r="O222">
        <f t="shared" si="91"/>
        <v>2</v>
      </c>
      <c r="P222">
        <f t="shared" si="92"/>
        <v>6</v>
      </c>
      <c r="Q222">
        <f t="shared" si="93"/>
        <v>1</v>
      </c>
      <c r="R222" s="2">
        <f t="shared" si="94"/>
        <v>9</v>
      </c>
      <c r="S222" s="2">
        <f t="shared" si="95"/>
        <v>50</v>
      </c>
      <c r="T222" s="2">
        <f t="shared" si="96"/>
        <v>29.761904761904763</v>
      </c>
      <c r="U222" s="2">
        <f ca="1">VLOOKUP(E222,金币生产率!$A$2:$B$120,2,0)</f>
        <v>606</v>
      </c>
      <c r="V222" s="2">
        <f t="shared" si="97"/>
        <v>178.57142857142858</v>
      </c>
      <c r="W222" s="45">
        <f t="shared" ca="1" si="110"/>
        <v>16</v>
      </c>
      <c r="X222" s="48">
        <f t="shared" ca="1" si="111"/>
        <v>170</v>
      </c>
      <c r="Y222">
        <f t="shared" si="98"/>
        <v>18</v>
      </c>
      <c r="Z222">
        <f t="shared" ca="1" si="105"/>
        <v>0</v>
      </c>
      <c r="AA222" t="str">
        <f t="shared" ca="1" si="106"/>
        <v>9122400.png</v>
      </c>
      <c r="AB222">
        <f t="shared" si="99"/>
        <v>3</v>
      </c>
      <c r="AC222">
        <f>VLOOKUP(C222,技能辅助查询表,技能配置辅助表!$W$1,FALSE)</f>
        <v>5603</v>
      </c>
      <c r="AD222">
        <f t="shared" ca="1" si="107"/>
        <v>19.790963240446068</v>
      </c>
      <c r="AE222">
        <f>VLOOKUP(C222,技能辅助查询表,技能配置辅助表!$U$1,FALSE)</f>
        <v>4</v>
      </c>
      <c r="AF222">
        <f t="shared" ca="1" si="108"/>
        <v>9122416</v>
      </c>
      <c r="AG222">
        <f t="shared" ca="1" si="112"/>
        <v>30.73469387755102</v>
      </c>
      <c r="AH222">
        <f t="shared" ca="1" si="109"/>
        <v>92.357828455414989</v>
      </c>
      <c r="AI222">
        <f ca="1">VLOOKUP(E222,伤害参考系!$C$4:$E$104,3,FALSE)*$AN$12</f>
        <v>1873.3990785953181</v>
      </c>
      <c r="AJ222">
        <f>VLOOKUP(C222,技能辅助查询表,技能配置辅助表!$L$1,FALSE)</f>
        <v>6</v>
      </c>
      <c r="AK222">
        <f>VLOOKUP(C222,技能辅助查询表,技能配置辅助表!$AE$1,FALSE)</f>
        <v>66000113</v>
      </c>
    </row>
    <row r="223" spans="1:37" x14ac:dyDescent="0.15">
      <c r="A223" s="1">
        <f t="shared" ca="1" si="100"/>
        <v>9122417</v>
      </c>
      <c r="B223" s="1" t="str">
        <f t="shared" ca="1" si="85"/>
        <v>影袭·斩第4段</v>
      </c>
      <c r="C223" t="s">
        <v>154</v>
      </c>
      <c r="D223">
        <f t="shared" si="86"/>
        <v>1</v>
      </c>
      <c r="E223" s="42">
        <f t="shared" ca="1" si="101"/>
        <v>33</v>
      </c>
      <c r="F223" t="str">
        <f t="shared" ca="1" si="102"/>
        <v>第17级，共造成208.9%点伤害</v>
      </c>
      <c r="G223">
        <f t="shared" ca="1" si="103"/>
        <v>4</v>
      </c>
      <c r="H223">
        <f t="shared" si="87"/>
        <v>4</v>
      </c>
      <c r="I223" s="44">
        <f t="shared" ca="1" si="104"/>
        <v>17</v>
      </c>
      <c r="J223">
        <f t="shared" si="88"/>
        <v>2</v>
      </c>
      <c r="K223" s="36">
        <f t="shared" ca="1" si="89"/>
        <v>34.821428571428569</v>
      </c>
      <c r="L223" s="10">
        <f ca="1">AH223*VLOOKUP(C223,技能辅助查询表,技能配置辅助表!$T$1,FALSE)</f>
        <v>0</v>
      </c>
      <c r="M223">
        <f t="shared" ca="1" si="90"/>
        <v>6640</v>
      </c>
      <c r="N223" s="33">
        <f ca="1">CHOOSE(1,W223*U223,X223*'[1]0、经济设定'!$C$18)</f>
        <v>11718</v>
      </c>
      <c r="O223">
        <f t="shared" si="91"/>
        <v>2</v>
      </c>
      <c r="P223">
        <f t="shared" si="92"/>
        <v>6</v>
      </c>
      <c r="Q223">
        <f t="shared" si="93"/>
        <v>1</v>
      </c>
      <c r="R223" s="2">
        <f t="shared" si="94"/>
        <v>9</v>
      </c>
      <c r="S223" s="2">
        <f t="shared" si="95"/>
        <v>50</v>
      </c>
      <c r="T223" s="2">
        <f t="shared" si="96"/>
        <v>29.761904761904763</v>
      </c>
      <c r="U223" s="2">
        <f ca="1">VLOOKUP(E223,金币生产率!$A$2:$B$120,2,0)</f>
        <v>651</v>
      </c>
      <c r="V223" s="2">
        <f t="shared" si="97"/>
        <v>178.57142857142858</v>
      </c>
      <c r="W223" s="45">
        <f t="shared" ca="1" si="110"/>
        <v>18</v>
      </c>
      <c r="X223" s="48">
        <f t="shared" ca="1" si="111"/>
        <v>188</v>
      </c>
      <c r="Y223">
        <f t="shared" si="98"/>
        <v>18</v>
      </c>
      <c r="Z223">
        <f t="shared" ca="1" si="105"/>
        <v>0</v>
      </c>
      <c r="AA223" t="str">
        <f t="shared" ca="1" si="106"/>
        <v>9122400.png</v>
      </c>
      <c r="AB223">
        <f t="shared" si="99"/>
        <v>3</v>
      </c>
      <c r="AC223">
        <f>VLOOKUP(C223,技能辅助查询表,技能配置辅助表!$W$1,FALSE)</f>
        <v>5603</v>
      </c>
      <c r="AD223">
        <f t="shared" ca="1" si="107"/>
        <v>22.907279301359054</v>
      </c>
      <c r="AE223">
        <f>VLOOKUP(C223,技能辅助查询表,技能配置辅助表!$U$1,FALSE)</f>
        <v>4</v>
      </c>
      <c r="AF223">
        <f t="shared" ca="1" si="108"/>
        <v>9122417</v>
      </c>
      <c r="AG223">
        <f t="shared" ca="1" si="112"/>
        <v>32.183673469387756</v>
      </c>
      <c r="AH223">
        <f t="shared" ca="1" si="109"/>
        <v>105.14816728492683</v>
      </c>
      <c r="AI223">
        <f ca="1">VLOOKUP(E223,伤害参考系!$C$4:$E$104,3,FALSE)*$AN$12</f>
        <v>2031.7137667224088</v>
      </c>
      <c r="AJ223">
        <f>VLOOKUP(C223,技能辅助查询表,技能配置辅助表!$L$1,FALSE)</f>
        <v>6</v>
      </c>
      <c r="AK223">
        <f>VLOOKUP(C223,技能辅助查询表,技能配置辅助表!$AE$1,FALSE)</f>
        <v>66000113</v>
      </c>
    </row>
    <row r="224" spans="1:37" x14ac:dyDescent="0.15">
      <c r="A224" s="1">
        <f t="shared" ca="1" si="100"/>
        <v>9122418</v>
      </c>
      <c r="B224" s="1" t="str">
        <f t="shared" ca="1" si="85"/>
        <v>影袭·斩第4段</v>
      </c>
      <c r="C224" t="s">
        <v>154</v>
      </c>
      <c r="D224">
        <f t="shared" si="86"/>
        <v>1</v>
      </c>
      <c r="E224" s="42">
        <f t="shared" ca="1" si="101"/>
        <v>35</v>
      </c>
      <c r="F224" t="str">
        <f t="shared" ca="1" si="102"/>
        <v>第18级，共造成210.7%点伤害</v>
      </c>
      <c r="G224">
        <f t="shared" ca="1" si="103"/>
        <v>4</v>
      </c>
      <c r="H224">
        <f t="shared" si="87"/>
        <v>4</v>
      </c>
      <c r="I224" s="44">
        <f t="shared" ca="1" si="104"/>
        <v>18</v>
      </c>
      <c r="J224">
        <f t="shared" si="88"/>
        <v>2</v>
      </c>
      <c r="K224" s="36">
        <f t="shared" ca="1" si="89"/>
        <v>35.11904761904762</v>
      </c>
      <c r="L224" s="10">
        <f ca="1">AH224*VLOOKUP(C224,技能辅助查询表,技能配置辅助表!$T$1,FALSE)</f>
        <v>0</v>
      </c>
      <c r="M224">
        <f t="shared" ca="1" si="90"/>
        <v>6560</v>
      </c>
      <c r="N224" s="33">
        <f ca="1">CHOOSE(1,W224*U224,X224*'[1]0、经济设定'!$C$18)</f>
        <v>14117</v>
      </c>
      <c r="O224">
        <f t="shared" si="91"/>
        <v>2</v>
      </c>
      <c r="P224">
        <f t="shared" si="92"/>
        <v>6</v>
      </c>
      <c r="Q224">
        <f t="shared" si="93"/>
        <v>1</v>
      </c>
      <c r="R224" s="2">
        <f t="shared" si="94"/>
        <v>9</v>
      </c>
      <c r="S224" s="2">
        <f t="shared" si="95"/>
        <v>50</v>
      </c>
      <c r="T224" s="2">
        <f t="shared" si="96"/>
        <v>29.761904761904763</v>
      </c>
      <c r="U224" s="2">
        <f ca="1">VLOOKUP(E224,金币生产率!$A$2:$B$120,2,0)</f>
        <v>743</v>
      </c>
      <c r="V224" s="2">
        <f t="shared" si="97"/>
        <v>178.57142857142858</v>
      </c>
      <c r="W224" s="45">
        <f t="shared" ca="1" si="110"/>
        <v>19</v>
      </c>
      <c r="X224" s="48">
        <f t="shared" ca="1" si="111"/>
        <v>207</v>
      </c>
      <c r="Y224">
        <f t="shared" si="98"/>
        <v>18</v>
      </c>
      <c r="Z224">
        <f t="shared" ca="1" si="105"/>
        <v>8</v>
      </c>
      <c r="AA224" t="str">
        <f t="shared" ca="1" si="106"/>
        <v>9122400.png</v>
      </c>
      <c r="AB224">
        <f t="shared" si="99"/>
        <v>3</v>
      </c>
      <c r="AC224">
        <f>VLOOKUP(C224,技能辅助查询表,技能配置辅助表!$W$1,FALSE)</f>
        <v>5603</v>
      </c>
      <c r="AD224">
        <f t="shared" ca="1" si="107"/>
        <v>26.50716978553557</v>
      </c>
      <c r="AE224">
        <f>VLOOKUP(C224,技能辅助查询表,技能配置辅助表!$U$1,FALSE)</f>
        <v>4</v>
      </c>
      <c r="AF224">
        <f t="shared" ca="1" si="108"/>
        <v>9122418</v>
      </c>
      <c r="AG224">
        <f t="shared" ca="1" si="112"/>
        <v>33.632653061224488</v>
      </c>
      <c r="AH224">
        <f t="shared" ca="1" si="109"/>
        <v>119.70979903145096</v>
      </c>
      <c r="AI224">
        <f ca="1">VLOOKUP(E224,伤害参考系!$C$4:$E$104,3,FALSE)*$AN$12</f>
        <v>2367.0860869565217</v>
      </c>
      <c r="AJ224">
        <f>VLOOKUP(C224,技能辅助查询表,技能配置辅助表!$L$1,FALSE)</f>
        <v>6</v>
      </c>
      <c r="AK224">
        <f>VLOOKUP(C224,技能辅助查询表,技能配置辅助表!$AE$1,FALSE)</f>
        <v>66000113</v>
      </c>
    </row>
    <row r="225" spans="1:37" x14ac:dyDescent="0.15">
      <c r="A225" s="1">
        <f t="shared" ca="1" si="100"/>
        <v>9122419</v>
      </c>
      <c r="B225" s="1" t="str">
        <f t="shared" ca="1" si="85"/>
        <v>影袭·斩第4段</v>
      </c>
      <c r="C225" t="s">
        <v>154</v>
      </c>
      <c r="D225">
        <f t="shared" si="86"/>
        <v>1</v>
      </c>
      <c r="E225" s="42">
        <f t="shared" ca="1" si="101"/>
        <v>36</v>
      </c>
      <c r="F225" t="str">
        <f t="shared" ca="1" si="102"/>
        <v>第19级，共造成212.5%点伤害</v>
      </c>
      <c r="G225">
        <f t="shared" ca="1" si="103"/>
        <v>4</v>
      </c>
      <c r="H225">
        <f t="shared" si="87"/>
        <v>4</v>
      </c>
      <c r="I225" s="44">
        <f t="shared" ca="1" si="104"/>
        <v>19</v>
      </c>
      <c r="J225">
        <f t="shared" si="88"/>
        <v>2</v>
      </c>
      <c r="K225" s="36">
        <f t="shared" ca="1" si="89"/>
        <v>35.416666666666671</v>
      </c>
      <c r="L225" s="10">
        <f ca="1">AH225*VLOOKUP(C225,技能辅助查询表,技能配置辅助表!$T$1,FALSE)</f>
        <v>0</v>
      </c>
      <c r="M225">
        <f t="shared" ca="1" si="90"/>
        <v>6480</v>
      </c>
      <c r="N225" s="33">
        <f ca="1">CHOOSE(1,W225*U225,X225*'[1]0、经济设定'!$C$18)</f>
        <v>15820</v>
      </c>
      <c r="O225">
        <f t="shared" si="91"/>
        <v>2</v>
      </c>
      <c r="P225">
        <f t="shared" si="92"/>
        <v>6</v>
      </c>
      <c r="Q225">
        <f t="shared" si="93"/>
        <v>1</v>
      </c>
      <c r="R225" s="2">
        <f t="shared" si="94"/>
        <v>9</v>
      </c>
      <c r="S225" s="2">
        <f t="shared" si="95"/>
        <v>50</v>
      </c>
      <c r="T225" s="2">
        <f t="shared" si="96"/>
        <v>29.761904761904763</v>
      </c>
      <c r="U225" s="2">
        <f ca="1">VLOOKUP(E225,金币生产率!$A$2:$B$120,2,0)</f>
        <v>791</v>
      </c>
      <c r="V225" s="2">
        <f t="shared" si="97"/>
        <v>178.57142857142858</v>
      </c>
      <c r="W225" s="45">
        <f t="shared" ca="1" si="110"/>
        <v>20</v>
      </c>
      <c r="X225" s="48">
        <f t="shared" ca="1" si="111"/>
        <v>227</v>
      </c>
      <c r="Y225">
        <f t="shared" si="98"/>
        <v>18</v>
      </c>
      <c r="Z225">
        <f t="shared" ca="1" si="105"/>
        <v>8</v>
      </c>
      <c r="AA225" t="str">
        <f t="shared" ca="1" si="106"/>
        <v>9122400.png</v>
      </c>
      <c r="AB225">
        <f t="shared" si="99"/>
        <v>3</v>
      </c>
      <c r="AC225">
        <f>VLOOKUP(C225,技能辅助查询表,技能配置辅助表!$W$1,FALSE)</f>
        <v>5603</v>
      </c>
      <c r="AD225">
        <f t="shared" ca="1" si="107"/>
        <v>30.664805480599675</v>
      </c>
      <c r="AE225">
        <f>VLOOKUP(C225,技能辅助查询表,技能配置辅助表!$U$1,FALSE)</f>
        <v>4</v>
      </c>
      <c r="AF225">
        <f t="shared" ca="1" si="108"/>
        <v>9122419</v>
      </c>
      <c r="AG225">
        <f t="shared" ca="1" si="112"/>
        <v>35.08163265306122</v>
      </c>
      <c r="AH225">
        <f t="shared" ca="1" si="109"/>
        <v>136.28802435822078</v>
      </c>
      <c r="AI225">
        <f ca="1">VLOOKUP(E225,伤害参考系!$C$4:$E$104,3,FALSE)*$AN$12</f>
        <v>2544.1437190635456</v>
      </c>
      <c r="AJ225">
        <f>VLOOKUP(C225,技能辅助查询表,技能配置辅助表!$L$1,FALSE)</f>
        <v>6</v>
      </c>
      <c r="AK225">
        <f>VLOOKUP(C225,技能辅助查询表,技能配置辅助表!$AE$1,FALSE)</f>
        <v>66000113</v>
      </c>
    </row>
    <row r="226" spans="1:37" x14ac:dyDescent="0.15">
      <c r="A226" s="1">
        <f t="shared" ca="1" si="100"/>
        <v>9122420</v>
      </c>
      <c r="B226" s="1" t="str">
        <f t="shared" ca="1" si="85"/>
        <v>影袭·斩第4段</v>
      </c>
      <c r="C226" t="s">
        <v>154</v>
      </c>
      <c r="D226">
        <f t="shared" si="86"/>
        <v>1</v>
      </c>
      <c r="E226" s="42">
        <f t="shared" ca="1" si="101"/>
        <v>37</v>
      </c>
      <c r="F226" t="str">
        <f t="shared" ca="1" si="102"/>
        <v>第20级，共造成214.3%点伤害</v>
      </c>
      <c r="G226">
        <f t="shared" ca="1" si="103"/>
        <v>4</v>
      </c>
      <c r="H226">
        <f t="shared" si="87"/>
        <v>4</v>
      </c>
      <c r="I226" s="44">
        <f t="shared" ca="1" si="104"/>
        <v>20</v>
      </c>
      <c r="J226">
        <f t="shared" si="88"/>
        <v>2</v>
      </c>
      <c r="K226" s="36">
        <f t="shared" ca="1" si="89"/>
        <v>35.714285714285715</v>
      </c>
      <c r="L226" s="10">
        <f ca="1">AH226*VLOOKUP(C226,技能辅助查询表,技能配置辅助表!$T$1,FALSE)</f>
        <v>0</v>
      </c>
      <c r="M226">
        <f t="shared" ca="1" si="90"/>
        <v>6400</v>
      </c>
      <c r="N226" s="33">
        <f ca="1">CHOOSE(1,W226*U226,X226*'[1]0、经济设定'!$C$18)</f>
        <v>18502</v>
      </c>
      <c r="O226">
        <f t="shared" si="91"/>
        <v>2</v>
      </c>
      <c r="P226">
        <f t="shared" si="92"/>
        <v>6</v>
      </c>
      <c r="Q226">
        <f t="shared" si="93"/>
        <v>1</v>
      </c>
      <c r="R226" s="2">
        <f t="shared" si="94"/>
        <v>9</v>
      </c>
      <c r="S226" s="2">
        <f t="shared" si="95"/>
        <v>50</v>
      </c>
      <c r="T226" s="2">
        <f t="shared" si="96"/>
        <v>29.761904761904763</v>
      </c>
      <c r="U226" s="2">
        <f ca="1">VLOOKUP(E226,金币生产率!$A$2:$B$120,2,0)</f>
        <v>841</v>
      </c>
      <c r="V226" s="2">
        <f t="shared" si="97"/>
        <v>178.57142857142858</v>
      </c>
      <c r="W226" s="45">
        <f t="shared" ca="1" si="110"/>
        <v>22</v>
      </c>
      <c r="X226" s="48">
        <f t="shared" ca="1" si="111"/>
        <v>249</v>
      </c>
      <c r="Y226">
        <f t="shared" si="98"/>
        <v>18</v>
      </c>
      <c r="Z226">
        <f t="shared" ca="1" si="105"/>
        <v>9</v>
      </c>
      <c r="AA226" t="str">
        <f t="shared" ca="1" si="106"/>
        <v>9122400.png</v>
      </c>
      <c r="AB226">
        <f t="shared" si="99"/>
        <v>3</v>
      </c>
      <c r="AC226">
        <f>VLOOKUP(C226,技能辅助查询表,技能配置辅助表!$W$1,FALSE)</f>
        <v>5603</v>
      </c>
      <c r="AD226">
        <f t="shared" ca="1" si="107"/>
        <v>35.465626246614207</v>
      </c>
      <c r="AE226">
        <f>VLOOKUP(C226,技能辅助查询表,技能配置辅助表!$U$1,FALSE)</f>
        <v>4</v>
      </c>
      <c r="AF226">
        <f t="shared" ca="1" si="108"/>
        <v>9122420</v>
      </c>
      <c r="AG226">
        <f t="shared" ca="1" si="112"/>
        <v>36.530612244897959</v>
      </c>
      <c r="AH226">
        <f t="shared" ca="1" si="109"/>
        <v>155.16211482893718</v>
      </c>
      <c r="AI226">
        <f ca="1">VLOOKUP(E226,伤害参考系!$C$4:$E$104,3,FALSE)*$AN$12</f>
        <v>2727.4489991638798</v>
      </c>
      <c r="AJ226">
        <f>VLOOKUP(C226,技能辅助查询表,技能配置辅助表!$L$1,FALSE)</f>
        <v>6</v>
      </c>
      <c r="AK226">
        <f>VLOOKUP(C226,技能辅助查询表,技能配置辅助表!$AE$1,FALSE)</f>
        <v>66000113</v>
      </c>
    </row>
    <row r="227" spans="1:37" x14ac:dyDescent="0.15">
      <c r="A227" s="1">
        <f t="shared" ca="1" si="100"/>
        <v>9122421</v>
      </c>
      <c r="B227" s="1" t="str">
        <f t="shared" ca="1" si="85"/>
        <v>影袭·斩第4段</v>
      </c>
      <c r="C227" t="s">
        <v>154</v>
      </c>
      <c r="D227">
        <f t="shared" si="86"/>
        <v>1</v>
      </c>
      <c r="E227" s="42">
        <f t="shared" ca="1" si="101"/>
        <v>39</v>
      </c>
      <c r="F227" t="str">
        <f t="shared" ca="1" si="102"/>
        <v>第21级，共造成216.1%点伤害</v>
      </c>
      <c r="G227">
        <f t="shared" ca="1" si="103"/>
        <v>4</v>
      </c>
      <c r="H227">
        <f t="shared" si="87"/>
        <v>4</v>
      </c>
      <c r="I227" s="44">
        <f t="shared" ca="1" si="104"/>
        <v>21</v>
      </c>
      <c r="J227">
        <f t="shared" si="88"/>
        <v>2</v>
      </c>
      <c r="K227" s="36">
        <f t="shared" ca="1" si="89"/>
        <v>36.011904761904759</v>
      </c>
      <c r="L227" s="10">
        <f ca="1">AH227*VLOOKUP(C227,技能辅助查询表,技能配置辅助表!$T$1,FALSE)</f>
        <v>0</v>
      </c>
      <c r="M227">
        <f t="shared" ca="1" si="90"/>
        <v>6320</v>
      </c>
      <c r="N227" s="33">
        <f ca="1">CHOOSE(1,W227*U227,X227*'[1]0、经济设定'!$C$18)</f>
        <v>21712</v>
      </c>
      <c r="O227">
        <f t="shared" si="91"/>
        <v>2</v>
      </c>
      <c r="P227">
        <f t="shared" si="92"/>
        <v>6</v>
      </c>
      <c r="Q227">
        <f t="shared" si="93"/>
        <v>1</v>
      </c>
      <c r="R227" s="2">
        <f t="shared" si="94"/>
        <v>9</v>
      </c>
      <c r="S227" s="2">
        <f t="shared" si="95"/>
        <v>50</v>
      </c>
      <c r="T227" s="2">
        <f t="shared" si="96"/>
        <v>29.761904761904763</v>
      </c>
      <c r="U227" s="2">
        <f ca="1">VLOOKUP(E227,金币生产率!$A$2:$B$120,2,0)</f>
        <v>944</v>
      </c>
      <c r="V227" s="2">
        <f t="shared" si="97"/>
        <v>178.57142857142858</v>
      </c>
      <c r="W227" s="45">
        <f t="shared" ca="1" si="110"/>
        <v>23</v>
      </c>
      <c r="X227" s="48">
        <f t="shared" ca="1" si="111"/>
        <v>272</v>
      </c>
      <c r="Y227">
        <f t="shared" si="98"/>
        <v>18</v>
      </c>
      <c r="Z227">
        <f t="shared" ca="1" si="105"/>
        <v>10</v>
      </c>
      <c r="AA227" t="str">
        <f t="shared" ca="1" si="106"/>
        <v>9122400.png</v>
      </c>
      <c r="AB227">
        <f t="shared" si="99"/>
        <v>3</v>
      </c>
      <c r="AC227">
        <f>VLOOKUP(C227,技能辅助查询表,技能配置辅助表!$W$1,FALSE)</f>
        <v>5603</v>
      </c>
      <c r="AD227">
        <f t="shared" ca="1" si="107"/>
        <v>41.008039760209172</v>
      </c>
      <c r="AE227">
        <f>VLOOKUP(C227,技能辅助查询表,技能配置辅助表!$U$1,FALSE)</f>
        <v>4</v>
      </c>
      <c r="AF227">
        <f t="shared" ca="1" si="108"/>
        <v>9122421</v>
      </c>
      <c r="AG227">
        <f t="shared" ca="1" si="112"/>
        <v>37.979591836734699</v>
      </c>
      <c r="AH227">
        <f t="shared" ca="1" si="109"/>
        <v>176.65001742859343</v>
      </c>
      <c r="AI227">
        <f ca="1">VLOOKUP(E227,伤害参考系!$C$4:$E$104,3,FALSE)*$AN$12</f>
        <v>3112.8025033444819</v>
      </c>
      <c r="AJ227">
        <f>VLOOKUP(C227,技能辅助查询表,技能配置辅助表!$L$1,FALSE)</f>
        <v>6</v>
      </c>
      <c r="AK227">
        <f>VLOOKUP(C227,技能辅助查询表,技能配置辅助表!$AE$1,FALSE)</f>
        <v>66000113</v>
      </c>
    </row>
    <row r="228" spans="1:37" x14ac:dyDescent="0.15">
      <c r="A228" s="1">
        <f t="shared" ca="1" si="100"/>
        <v>9122422</v>
      </c>
      <c r="B228" s="1" t="str">
        <f t="shared" ca="1" si="85"/>
        <v>影袭·斩第4段</v>
      </c>
      <c r="C228" t="s">
        <v>154</v>
      </c>
      <c r="D228">
        <f t="shared" si="86"/>
        <v>1</v>
      </c>
      <c r="E228" s="42">
        <f t="shared" ca="1" si="101"/>
        <v>40</v>
      </c>
      <c r="F228" t="str">
        <f t="shared" ca="1" si="102"/>
        <v>第22级，共造成217.9%点伤害</v>
      </c>
      <c r="G228">
        <f t="shared" ca="1" si="103"/>
        <v>4</v>
      </c>
      <c r="H228">
        <f t="shared" si="87"/>
        <v>4</v>
      </c>
      <c r="I228" s="44">
        <f t="shared" ca="1" si="104"/>
        <v>22</v>
      </c>
      <c r="J228">
        <f t="shared" si="88"/>
        <v>2</v>
      </c>
      <c r="K228" s="36">
        <f t="shared" ca="1" si="89"/>
        <v>36.30952380952381</v>
      </c>
      <c r="L228" s="10">
        <f ca="1">AH228*VLOOKUP(C228,技能辅助查询表,技能配置辅助表!$T$1,FALSE)</f>
        <v>0</v>
      </c>
      <c r="M228">
        <f t="shared" ca="1" si="90"/>
        <v>6240</v>
      </c>
      <c r="N228" s="33">
        <f ca="1">CHOOSE(1,W228*U228,X228*'[1]0、经济设定'!$C$18)</f>
        <v>24950</v>
      </c>
      <c r="O228">
        <f t="shared" si="91"/>
        <v>2</v>
      </c>
      <c r="P228">
        <f t="shared" si="92"/>
        <v>6</v>
      </c>
      <c r="Q228">
        <f t="shared" si="93"/>
        <v>1</v>
      </c>
      <c r="R228" s="2">
        <f t="shared" si="94"/>
        <v>9</v>
      </c>
      <c r="S228" s="2">
        <f t="shared" si="95"/>
        <v>50</v>
      </c>
      <c r="T228" s="2">
        <f t="shared" si="96"/>
        <v>29.761904761904763</v>
      </c>
      <c r="U228" s="2">
        <f ca="1">VLOOKUP(E228,金币生产率!$A$2:$B$120,2,0)</f>
        <v>998</v>
      </c>
      <c r="V228" s="2">
        <f t="shared" si="97"/>
        <v>178.57142857142858</v>
      </c>
      <c r="W228" s="45">
        <f t="shared" ca="1" si="110"/>
        <v>25</v>
      </c>
      <c r="X228" s="48">
        <f t="shared" ca="1" si="111"/>
        <v>297</v>
      </c>
      <c r="Y228">
        <f t="shared" si="98"/>
        <v>18</v>
      </c>
      <c r="Z228">
        <f t="shared" ca="1" si="105"/>
        <v>10</v>
      </c>
      <c r="AA228" t="str">
        <f t="shared" ca="1" si="106"/>
        <v>9122400.png</v>
      </c>
      <c r="AB228">
        <f t="shared" si="99"/>
        <v>3</v>
      </c>
      <c r="AC228">
        <f>VLOOKUP(C228,技能辅助查询表,技能配置辅助表!$W$1,FALSE)</f>
        <v>5603</v>
      </c>
      <c r="AD228">
        <f t="shared" ca="1" si="107"/>
        <v>47.405374641020749</v>
      </c>
      <c r="AE228">
        <f>VLOOKUP(C228,技能辅助查询表,技能配置辅助表!$U$1,FALSE)</f>
        <v>4</v>
      </c>
      <c r="AF228">
        <f t="shared" ca="1" si="108"/>
        <v>9122422</v>
      </c>
      <c r="AG228">
        <f t="shared" ca="1" si="112"/>
        <v>39.428571428571431</v>
      </c>
      <c r="AH228">
        <f t="shared" ca="1" si="109"/>
        <v>201.11371059826985</v>
      </c>
      <c r="AI228">
        <f ca="1">VLOOKUP(E228,伤害参考系!$C$4:$E$104,3,FALSE)*$AN$12</f>
        <v>3344.7142474916404</v>
      </c>
      <c r="AJ228">
        <f>VLOOKUP(C228,技能辅助查询表,技能配置辅助表!$L$1,FALSE)</f>
        <v>6</v>
      </c>
      <c r="AK228">
        <f>VLOOKUP(C228,技能辅助查询表,技能配置辅助表!$AE$1,FALSE)</f>
        <v>66000113</v>
      </c>
    </row>
    <row r="229" spans="1:37" x14ac:dyDescent="0.15">
      <c r="A229" s="1">
        <f t="shared" ca="1" si="100"/>
        <v>9122423</v>
      </c>
      <c r="B229" s="1" t="str">
        <f t="shared" ca="1" si="85"/>
        <v>影袭·斩第4段</v>
      </c>
      <c r="C229" t="s">
        <v>154</v>
      </c>
      <c r="D229">
        <f t="shared" si="86"/>
        <v>1</v>
      </c>
      <c r="E229" s="42">
        <f t="shared" ca="1" si="101"/>
        <v>42</v>
      </c>
      <c r="F229" t="str">
        <f t="shared" ca="1" si="102"/>
        <v>第23级，共造成219.6%点伤害</v>
      </c>
      <c r="G229">
        <f t="shared" ca="1" si="103"/>
        <v>4</v>
      </c>
      <c r="H229">
        <f t="shared" si="87"/>
        <v>4</v>
      </c>
      <c r="I229" s="44">
        <f t="shared" ca="1" si="104"/>
        <v>23</v>
      </c>
      <c r="J229">
        <f t="shared" si="88"/>
        <v>2</v>
      </c>
      <c r="K229" s="36">
        <f t="shared" ca="1" si="89"/>
        <v>36.607142857142861</v>
      </c>
      <c r="L229" s="10">
        <f ca="1">AH229*VLOOKUP(C229,技能辅助查询表,技能配置辅助表!$T$1,FALSE)</f>
        <v>0</v>
      </c>
      <c r="M229">
        <f t="shared" ca="1" si="90"/>
        <v>6160</v>
      </c>
      <c r="N229" s="33">
        <f ca="1">CHOOSE(1,W229*U229,X229*'[1]0、经济设定'!$C$18)</f>
        <v>29970</v>
      </c>
      <c r="O229">
        <f t="shared" si="91"/>
        <v>2</v>
      </c>
      <c r="P229">
        <f t="shared" si="92"/>
        <v>6</v>
      </c>
      <c r="Q229">
        <f t="shared" si="93"/>
        <v>1</v>
      </c>
      <c r="R229" s="2">
        <f t="shared" si="94"/>
        <v>9</v>
      </c>
      <c r="S229" s="2">
        <f t="shared" si="95"/>
        <v>50</v>
      </c>
      <c r="T229" s="2">
        <f t="shared" si="96"/>
        <v>29.761904761904763</v>
      </c>
      <c r="U229" s="2">
        <f ca="1">VLOOKUP(E229,金币生产率!$A$2:$B$120,2,0)</f>
        <v>1110</v>
      </c>
      <c r="V229" s="2">
        <f t="shared" si="97"/>
        <v>178.57142857142858</v>
      </c>
      <c r="W229" s="45">
        <f t="shared" ca="1" si="110"/>
        <v>27</v>
      </c>
      <c r="X229" s="48">
        <f t="shared" ca="1" si="111"/>
        <v>324</v>
      </c>
      <c r="Y229">
        <f t="shared" si="98"/>
        <v>18</v>
      </c>
      <c r="Z229">
        <f t="shared" ca="1" si="105"/>
        <v>11</v>
      </c>
      <c r="AA229" t="str">
        <f t="shared" ca="1" si="106"/>
        <v>9122400.png</v>
      </c>
      <c r="AB229">
        <f t="shared" si="99"/>
        <v>3</v>
      </c>
      <c r="AC229">
        <f>VLOOKUP(C229,技能辅助查询表,技能配置辅助表!$W$1,FALSE)</f>
        <v>5603</v>
      </c>
      <c r="AD229">
        <f t="shared" ca="1" si="107"/>
        <v>54.788125838100335</v>
      </c>
      <c r="AE229">
        <f>VLOOKUP(C229,技能辅助查询表,技能配置辅助表!$U$1,FALSE)</f>
        <v>4</v>
      </c>
      <c r="AF229">
        <f t="shared" ca="1" si="108"/>
        <v>9122423</v>
      </c>
      <c r="AG229">
        <f t="shared" ca="1" si="112"/>
        <v>40.877551020408163</v>
      </c>
      <c r="AH229">
        <f t="shared" ca="1" si="109"/>
        <v>228.96530200997151</v>
      </c>
      <c r="AI229">
        <f ca="1">VLOOKUP(E229,伤害参考系!$C$4:$E$104,3,FALSE)*$AN$12</f>
        <v>3833.528327759198</v>
      </c>
      <c r="AJ229">
        <f>VLOOKUP(C229,技能辅助查询表,技能配置辅助表!$L$1,FALSE)</f>
        <v>6</v>
      </c>
      <c r="AK229">
        <f>VLOOKUP(C229,技能辅助查询表,技能配置辅助表!$AE$1,FALSE)</f>
        <v>66000113</v>
      </c>
    </row>
    <row r="230" spans="1:37" x14ac:dyDescent="0.15">
      <c r="A230" s="1">
        <f t="shared" ca="1" si="100"/>
        <v>9122424</v>
      </c>
      <c r="B230" s="1" t="str">
        <f t="shared" ca="1" si="85"/>
        <v>影袭·斩第4段</v>
      </c>
      <c r="C230" t="s">
        <v>154</v>
      </c>
      <c r="D230">
        <f t="shared" si="86"/>
        <v>1</v>
      </c>
      <c r="E230" s="42">
        <f t="shared" ca="1" si="101"/>
        <v>43</v>
      </c>
      <c r="F230" t="str">
        <f t="shared" ca="1" si="102"/>
        <v>第24级，共造成221.4%点伤害</v>
      </c>
      <c r="G230">
        <f t="shared" ca="1" si="103"/>
        <v>4</v>
      </c>
      <c r="H230">
        <f t="shared" si="87"/>
        <v>4</v>
      </c>
      <c r="I230" s="44">
        <f t="shared" ca="1" si="104"/>
        <v>24</v>
      </c>
      <c r="J230">
        <f t="shared" si="88"/>
        <v>2</v>
      </c>
      <c r="K230" s="36">
        <f t="shared" ca="1" si="89"/>
        <v>36.904761904761905</v>
      </c>
      <c r="L230" s="10">
        <f ca="1">AH230*VLOOKUP(C230,技能辅助查询表,技能配置辅助表!$T$1,FALSE)</f>
        <v>0</v>
      </c>
      <c r="M230">
        <f t="shared" ca="1" si="90"/>
        <v>6080</v>
      </c>
      <c r="N230" s="33">
        <f ca="1">CHOOSE(1,W230*U230,X230*'[1]0、经济设定'!$C$18)</f>
        <v>33843</v>
      </c>
      <c r="O230">
        <f t="shared" si="91"/>
        <v>2</v>
      </c>
      <c r="P230">
        <f t="shared" si="92"/>
        <v>6</v>
      </c>
      <c r="Q230">
        <f t="shared" si="93"/>
        <v>1</v>
      </c>
      <c r="R230" s="2">
        <f t="shared" si="94"/>
        <v>9</v>
      </c>
      <c r="S230" s="2">
        <f t="shared" si="95"/>
        <v>50</v>
      </c>
      <c r="T230" s="2">
        <f t="shared" si="96"/>
        <v>29.761904761904763</v>
      </c>
      <c r="U230" s="2">
        <f ca="1">VLOOKUP(E230,金币生产率!$A$2:$B$120,2,0)</f>
        <v>1167</v>
      </c>
      <c r="V230" s="2">
        <f t="shared" si="97"/>
        <v>178.57142857142858</v>
      </c>
      <c r="W230" s="45">
        <f t="shared" ca="1" si="110"/>
        <v>29</v>
      </c>
      <c r="X230" s="48">
        <f t="shared" ca="1" si="111"/>
        <v>353</v>
      </c>
      <c r="Y230">
        <f t="shared" si="98"/>
        <v>18</v>
      </c>
      <c r="Z230">
        <f t="shared" ca="1" si="105"/>
        <v>12</v>
      </c>
      <c r="AA230" t="str">
        <f t="shared" ca="1" si="106"/>
        <v>9122400.png</v>
      </c>
      <c r="AB230">
        <f t="shared" si="99"/>
        <v>3</v>
      </c>
      <c r="AC230">
        <f>VLOOKUP(C230,技能辅助查询表,技能配置辅助表!$W$1,FALSE)</f>
        <v>5603</v>
      </c>
      <c r="AD230">
        <f t="shared" ca="1" si="107"/>
        <v>63.306535766371667</v>
      </c>
      <c r="AE230">
        <f>VLOOKUP(C230,技能辅助查询表,技能配置辅助表!$U$1,FALSE)</f>
        <v>4</v>
      </c>
      <c r="AF230">
        <f t="shared" ca="1" si="108"/>
        <v>9122424</v>
      </c>
      <c r="AG230">
        <f t="shared" ca="1" si="112"/>
        <v>42.326530612244895</v>
      </c>
      <c r="AH230">
        <f t="shared" ca="1" si="109"/>
        <v>260.67397080270689</v>
      </c>
      <c r="AI230">
        <f ca="1">VLOOKUP(E230,伤害参考系!$C$4:$E$104,3,FALSE)*$AN$12</f>
        <v>4090.4306638795993</v>
      </c>
      <c r="AJ230">
        <f>VLOOKUP(C230,技能辅助查询表,技能配置辅助表!$L$1,FALSE)</f>
        <v>6</v>
      </c>
      <c r="AK230">
        <f>VLOOKUP(C230,技能辅助查询表,技能配置辅助表!$AE$1,FALSE)</f>
        <v>66000113</v>
      </c>
    </row>
    <row r="231" spans="1:37" x14ac:dyDescent="0.15">
      <c r="A231" s="1">
        <f t="shared" ca="1" si="100"/>
        <v>9122425</v>
      </c>
      <c r="B231" s="1" t="str">
        <f t="shared" ca="1" si="85"/>
        <v>影袭·斩第4段</v>
      </c>
      <c r="C231" t="s">
        <v>154</v>
      </c>
      <c r="D231">
        <f t="shared" si="86"/>
        <v>1</v>
      </c>
      <c r="E231" s="42">
        <f t="shared" ca="1" si="101"/>
        <v>45</v>
      </c>
      <c r="F231" t="str">
        <f t="shared" ca="1" si="102"/>
        <v>第25级，共造成223.2%点伤害</v>
      </c>
      <c r="G231">
        <f t="shared" ca="1" si="103"/>
        <v>4</v>
      </c>
      <c r="H231">
        <f t="shared" si="87"/>
        <v>4</v>
      </c>
      <c r="I231" s="44">
        <f t="shared" ca="1" si="104"/>
        <v>25</v>
      </c>
      <c r="J231">
        <f t="shared" si="88"/>
        <v>2</v>
      </c>
      <c r="K231" s="36">
        <f t="shared" ca="1" si="89"/>
        <v>37.202380952380956</v>
      </c>
      <c r="L231" s="10">
        <f ca="1">AH231*VLOOKUP(C231,技能辅助查询表,技能配置辅助表!$T$1,FALSE)</f>
        <v>0</v>
      </c>
      <c r="M231">
        <f t="shared" ca="1" si="90"/>
        <v>6000</v>
      </c>
      <c r="N231" s="33">
        <f ca="1">CHOOSE(1,W231*U231,X231*'[1]0、经济设定'!$C$18)</f>
        <v>39897</v>
      </c>
      <c r="O231">
        <f t="shared" si="91"/>
        <v>2</v>
      </c>
      <c r="P231">
        <f t="shared" si="92"/>
        <v>6</v>
      </c>
      <c r="Q231">
        <f t="shared" si="93"/>
        <v>1</v>
      </c>
      <c r="R231" s="2">
        <f t="shared" si="94"/>
        <v>9</v>
      </c>
      <c r="S231" s="2">
        <f t="shared" si="95"/>
        <v>50</v>
      </c>
      <c r="T231" s="2">
        <f t="shared" si="96"/>
        <v>29.761904761904763</v>
      </c>
      <c r="U231" s="2">
        <f ca="1">VLOOKUP(E231,金币生产率!$A$2:$B$120,2,0)</f>
        <v>1287</v>
      </c>
      <c r="V231" s="2">
        <f t="shared" si="97"/>
        <v>178.57142857142858</v>
      </c>
      <c r="W231" s="45">
        <f t="shared" ca="1" si="110"/>
        <v>31</v>
      </c>
      <c r="X231" s="48">
        <f t="shared" ca="1" si="111"/>
        <v>384</v>
      </c>
      <c r="Y231">
        <f t="shared" si="98"/>
        <v>18</v>
      </c>
      <c r="Z231">
        <f t="shared" ca="1" si="105"/>
        <v>13</v>
      </c>
      <c r="AA231" t="str">
        <f t="shared" ca="1" si="106"/>
        <v>9122400.png</v>
      </c>
      <c r="AB231">
        <f t="shared" si="99"/>
        <v>3</v>
      </c>
      <c r="AC231">
        <f>VLOOKUP(C231,技能辅助查询表,技能配置辅助表!$W$1,FALSE)</f>
        <v>5603</v>
      </c>
      <c r="AD231">
        <f t="shared" ca="1" si="107"/>
        <v>73.133561123680309</v>
      </c>
      <c r="AE231">
        <f>VLOOKUP(C231,技能辅助查询表,技能配置辅助表!$U$1,FALSE)</f>
        <v>4</v>
      </c>
      <c r="AF231">
        <f t="shared" ca="1" si="108"/>
        <v>9122425</v>
      </c>
      <c r="AG231">
        <f t="shared" ca="1" si="112"/>
        <v>43.775510204081634</v>
      </c>
      <c r="AH231">
        <f t="shared" ca="1" si="109"/>
        <v>296.77387122652874</v>
      </c>
      <c r="AI231">
        <f ca="1">VLOOKUP(E231,伤害参考系!$C$4:$E$104,3,FALSE)*$AN$12</f>
        <v>4629.2259280936469</v>
      </c>
      <c r="AJ231">
        <f>VLOOKUP(C231,技能辅助查询表,技能配置辅助表!$L$1,FALSE)</f>
        <v>6</v>
      </c>
      <c r="AK231">
        <f>VLOOKUP(C231,技能辅助查询表,技能配置辅助表!$AE$1,FALSE)</f>
        <v>66000113</v>
      </c>
    </row>
    <row r="232" spans="1:37" x14ac:dyDescent="0.15">
      <c r="A232" s="1">
        <f t="shared" ca="1" si="100"/>
        <v>9122426</v>
      </c>
      <c r="B232" s="1" t="str">
        <f t="shared" ca="1" si="85"/>
        <v>影袭·斩第4段</v>
      </c>
      <c r="C232" t="s">
        <v>154</v>
      </c>
      <c r="D232">
        <f t="shared" si="86"/>
        <v>1</v>
      </c>
      <c r="E232" s="42">
        <f t="shared" ca="1" si="101"/>
        <v>46</v>
      </c>
      <c r="F232" t="str">
        <f t="shared" ca="1" si="102"/>
        <v>第26级，共造成225%点伤害</v>
      </c>
      <c r="G232">
        <f t="shared" ca="1" si="103"/>
        <v>4</v>
      </c>
      <c r="H232">
        <f t="shared" si="87"/>
        <v>4</v>
      </c>
      <c r="I232" s="44">
        <f t="shared" ca="1" si="104"/>
        <v>26</v>
      </c>
      <c r="J232">
        <f t="shared" si="88"/>
        <v>2</v>
      </c>
      <c r="K232" s="36">
        <f t="shared" ca="1" si="89"/>
        <v>37.5</v>
      </c>
      <c r="L232" s="10">
        <f ca="1">AH232*VLOOKUP(C232,技能辅助查询表,技能配置辅助表!$T$1,FALSE)</f>
        <v>0</v>
      </c>
      <c r="M232">
        <f t="shared" ca="1" si="90"/>
        <v>5920</v>
      </c>
      <c r="N232" s="33">
        <f ca="1">CHOOSE(1,W232*U232,X232*'[1]0、经济设定'!$C$18)</f>
        <v>44517</v>
      </c>
      <c r="O232">
        <f t="shared" si="91"/>
        <v>2</v>
      </c>
      <c r="P232">
        <f t="shared" si="92"/>
        <v>6</v>
      </c>
      <c r="Q232">
        <f t="shared" si="93"/>
        <v>1</v>
      </c>
      <c r="R232" s="2">
        <f t="shared" si="94"/>
        <v>9</v>
      </c>
      <c r="S232" s="2">
        <f t="shared" si="95"/>
        <v>50</v>
      </c>
      <c r="T232" s="2">
        <f t="shared" si="96"/>
        <v>29.761904761904763</v>
      </c>
      <c r="U232" s="2">
        <f ca="1">VLOOKUP(E232,金币生产率!$A$2:$B$120,2,0)</f>
        <v>1349</v>
      </c>
      <c r="V232" s="2">
        <f t="shared" si="97"/>
        <v>178.57142857142858</v>
      </c>
      <c r="W232" s="45">
        <f t="shared" ca="1" si="110"/>
        <v>33</v>
      </c>
      <c r="X232" s="48">
        <f t="shared" ca="1" si="111"/>
        <v>417</v>
      </c>
      <c r="Y232">
        <f t="shared" si="98"/>
        <v>18</v>
      </c>
      <c r="Z232">
        <f t="shared" ca="1" si="105"/>
        <v>14</v>
      </c>
      <c r="AA232" t="str">
        <f t="shared" ca="1" si="106"/>
        <v>9122400.png</v>
      </c>
      <c r="AB232">
        <f t="shared" si="99"/>
        <v>3</v>
      </c>
      <c r="AC232">
        <f>VLOOKUP(C232,技能辅助查询表,技能配置辅助表!$W$1,FALSE)</f>
        <v>5603</v>
      </c>
      <c r="AD232">
        <f t="shared" ca="1" si="107"/>
        <v>84.46828270920868</v>
      </c>
      <c r="AE232">
        <f>VLOOKUP(C232,技能辅助查询表,技能配置辅助表!$U$1,FALSE)</f>
        <v>4</v>
      </c>
      <c r="AF232">
        <f t="shared" ca="1" si="108"/>
        <v>9122426</v>
      </c>
      <c r="AG232">
        <f t="shared" ca="1" si="112"/>
        <v>45.224489795918366</v>
      </c>
      <c r="AH232">
        <f t="shared" ca="1" si="109"/>
        <v>337.87313083683472</v>
      </c>
      <c r="AI232">
        <f ca="1">VLOOKUP(E232,伤害参考系!$C$4:$E$104,3,FALSE)*$AN$12</f>
        <v>4911.1188561872923</v>
      </c>
      <c r="AJ232">
        <f>VLOOKUP(C232,技能辅助查询表,技能配置辅助表!$L$1,FALSE)</f>
        <v>6</v>
      </c>
      <c r="AK232">
        <f>VLOOKUP(C232,技能辅助查询表,技能配置辅助表!$AE$1,FALSE)</f>
        <v>66000113</v>
      </c>
    </row>
    <row r="233" spans="1:37" x14ac:dyDescent="0.15">
      <c r="A233" s="1">
        <f t="shared" ca="1" si="100"/>
        <v>9122427</v>
      </c>
      <c r="B233" s="1" t="str">
        <f t="shared" ca="1" si="85"/>
        <v>影袭·斩第4段</v>
      </c>
      <c r="C233" t="s">
        <v>154</v>
      </c>
      <c r="D233">
        <f t="shared" si="86"/>
        <v>1</v>
      </c>
      <c r="E233" s="42">
        <f t="shared" ca="1" si="101"/>
        <v>47</v>
      </c>
      <c r="F233" t="str">
        <f t="shared" ca="1" si="102"/>
        <v>第27级，共造成226.8%点伤害</v>
      </c>
      <c r="G233">
        <f t="shared" ca="1" si="103"/>
        <v>4</v>
      </c>
      <c r="H233">
        <f t="shared" si="87"/>
        <v>4</v>
      </c>
      <c r="I233" s="44">
        <f t="shared" ca="1" si="104"/>
        <v>27</v>
      </c>
      <c r="J233">
        <f t="shared" si="88"/>
        <v>2</v>
      </c>
      <c r="K233" s="36">
        <f t="shared" ca="1" si="89"/>
        <v>37.797619047619051</v>
      </c>
      <c r="L233" s="10">
        <f ca="1">AH233*VLOOKUP(C233,技能辅助查询表,技能配置辅助表!$T$1,FALSE)</f>
        <v>0</v>
      </c>
      <c r="M233">
        <f t="shared" ca="1" si="90"/>
        <v>5840</v>
      </c>
      <c r="N233" s="33">
        <f ca="1">CHOOSE(1,W233*U233,X233*'[1]0、经济设定'!$C$18)</f>
        <v>49420</v>
      </c>
      <c r="O233">
        <f t="shared" si="91"/>
        <v>2</v>
      </c>
      <c r="P233">
        <f t="shared" si="92"/>
        <v>6</v>
      </c>
      <c r="Q233">
        <f t="shared" si="93"/>
        <v>1</v>
      </c>
      <c r="R233" s="2">
        <f t="shared" si="94"/>
        <v>9</v>
      </c>
      <c r="S233" s="2">
        <f t="shared" si="95"/>
        <v>50</v>
      </c>
      <c r="T233" s="2">
        <f t="shared" si="96"/>
        <v>29.761904761904763</v>
      </c>
      <c r="U233" s="2">
        <f ca="1">VLOOKUP(E233,金币生产率!$A$2:$B$120,2,0)</f>
        <v>1412</v>
      </c>
      <c r="V233" s="2">
        <f t="shared" si="97"/>
        <v>178.57142857142858</v>
      </c>
      <c r="W233" s="45">
        <f t="shared" ca="1" si="110"/>
        <v>35</v>
      </c>
      <c r="X233" s="48">
        <f t="shared" ca="1" si="111"/>
        <v>452</v>
      </c>
      <c r="Y233">
        <f t="shared" si="98"/>
        <v>18</v>
      </c>
      <c r="Z233">
        <f t="shared" ca="1" si="105"/>
        <v>14</v>
      </c>
      <c r="AA233" t="str">
        <f t="shared" ca="1" si="106"/>
        <v>9122400.png</v>
      </c>
      <c r="AB233">
        <f t="shared" si="99"/>
        <v>3</v>
      </c>
      <c r="AC233">
        <f>VLOOKUP(C233,技能辅助查询表,技能配置辅助表!$W$1,FALSE)</f>
        <v>5603</v>
      </c>
      <c r="AD233">
        <f t="shared" ca="1" si="107"/>
        <v>97.539824043561651</v>
      </c>
      <c r="AE233">
        <f>VLOOKUP(C233,技能辅助查询表,技能配置辅助表!$U$1,FALSE)</f>
        <v>4</v>
      </c>
      <c r="AF233">
        <f t="shared" ca="1" si="108"/>
        <v>9122427</v>
      </c>
      <c r="AG233">
        <f t="shared" ca="1" si="112"/>
        <v>46.673469387755105</v>
      </c>
      <c r="AH233">
        <f t="shared" ca="1" si="109"/>
        <v>384.66409481967975</v>
      </c>
      <c r="AI233">
        <f ca="1">VLOOKUP(E233,伤害参考系!$C$4:$E$104,3,FALSE)*$AN$12</f>
        <v>5201.3419816053529</v>
      </c>
      <c r="AJ233">
        <f>VLOOKUP(C233,技能辅助查询表,技能配置辅助表!$L$1,FALSE)</f>
        <v>6</v>
      </c>
      <c r="AK233">
        <f>VLOOKUP(C233,技能辅助查询表,技能配置辅助表!$AE$1,FALSE)</f>
        <v>66000113</v>
      </c>
    </row>
    <row r="234" spans="1:37" x14ac:dyDescent="0.15">
      <c r="A234" s="1">
        <f t="shared" ca="1" si="100"/>
        <v>9122428</v>
      </c>
      <c r="B234" s="1" t="str">
        <f t="shared" ca="1" si="85"/>
        <v>影袭·斩第4段</v>
      </c>
      <c r="C234" t="s">
        <v>154</v>
      </c>
      <c r="D234">
        <f t="shared" si="86"/>
        <v>1</v>
      </c>
      <c r="E234" s="42">
        <f t="shared" ca="1" si="101"/>
        <v>49</v>
      </c>
      <c r="F234" t="str">
        <f t="shared" ca="1" si="102"/>
        <v>第28级，共造成228.6%点伤害</v>
      </c>
      <c r="G234">
        <f t="shared" ca="1" si="103"/>
        <v>4</v>
      </c>
      <c r="H234">
        <f t="shared" si="87"/>
        <v>4</v>
      </c>
      <c r="I234" s="44">
        <f t="shared" ca="1" si="104"/>
        <v>28</v>
      </c>
      <c r="J234">
        <f t="shared" si="88"/>
        <v>2</v>
      </c>
      <c r="K234" s="36">
        <f t="shared" ca="1" si="89"/>
        <v>38.095238095238095</v>
      </c>
      <c r="L234" s="10">
        <f ca="1">AH234*VLOOKUP(C234,技能辅助查询表,技能配置辅助表!$T$1,FALSE)</f>
        <v>0</v>
      </c>
      <c r="M234">
        <f t="shared" ca="1" si="90"/>
        <v>5760</v>
      </c>
      <c r="N234" s="33">
        <f ca="1">CHOOSE(1,W234*U234,X234*'[1]0、经济设定'!$C$18)</f>
        <v>58634</v>
      </c>
      <c r="O234">
        <f t="shared" si="91"/>
        <v>2</v>
      </c>
      <c r="P234">
        <f t="shared" si="92"/>
        <v>6</v>
      </c>
      <c r="Q234">
        <f t="shared" si="93"/>
        <v>1</v>
      </c>
      <c r="R234" s="2">
        <f t="shared" si="94"/>
        <v>9</v>
      </c>
      <c r="S234" s="2">
        <f t="shared" si="95"/>
        <v>50</v>
      </c>
      <c r="T234" s="2">
        <f t="shared" si="96"/>
        <v>29.761904761904763</v>
      </c>
      <c r="U234" s="2">
        <f ca="1">VLOOKUP(E234,金币生产率!$A$2:$B$120,2,0)</f>
        <v>1543</v>
      </c>
      <c r="V234" s="2">
        <f t="shared" si="97"/>
        <v>178.57142857142858</v>
      </c>
      <c r="W234" s="45">
        <f t="shared" ca="1" si="110"/>
        <v>38</v>
      </c>
      <c r="X234" s="48">
        <f t="shared" ca="1" si="111"/>
        <v>490</v>
      </c>
      <c r="Y234">
        <f t="shared" si="98"/>
        <v>18</v>
      </c>
      <c r="Z234">
        <f t="shared" ca="1" si="105"/>
        <v>16</v>
      </c>
      <c r="AA234" t="str">
        <f t="shared" ca="1" si="106"/>
        <v>9122400.png</v>
      </c>
      <c r="AB234">
        <f t="shared" si="99"/>
        <v>3</v>
      </c>
      <c r="AC234">
        <f>VLOOKUP(C234,技能辅助查询表,技能配置辅助表!$W$1,FALSE)</f>
        <v>5603</v>
      </c>
      <c r="AD234">
        <f t="shared" ca="1" si="107"/>
        <v>112.6118543196274</v>
      </c>
      <c r="AE234">
        <f>VLOOKUP(C234,技能辅助查询表,技能配置辅助表!$U$1,FALSE)</f>
        <v>4</v>
      </c>
      <c r="AF234">
        <f t="shared" ca="1" si="108"/>
        <v>9122428</v>
      </c>
      <c r="AG234">
        <f t="shared" ca="1" si="112"/>
        <v>48.122448979591837</v>
      </c>
      <c r="AH234">
        <f t="shared" ca="1" si="109"/>
        <v>437.93498902077317</v>
      </c>
      <c r="AI234">
        <f ca="1">VLOOKUP(E234,伤害参考系!$C$4:$E$104,3,FALSE)*$AN$12</f>
        <v>5806.7788244147177</v>
      </c>
      <c r="AJ234">
        <f>VLOOKUP(C234,技能辅助查询表,技能配置辅助表!$L$1,FALSE)</f>
        <v>6</v>
      </c>
      <c r="AK234">
        <f>VLOOKUP(C234,技能辅助查询表,技能配置辅助表!$AE$1,FALSE)</f>
        <v>66000113</v>
      </c>
    </row>
    <row r="235" spans="1:37" x14ac:dyDescent="0.15">
      <c r="A235" s="1">
        <f t="shared" ca="1" si="100"/>
        <v>9122429</v>
      </c>
      <c r="B235" s="1" t="str">
        <f t="shared" ca="1" si="85"/>
        <v>影袭·斩第4段</v>
      </c>
      <c r="C235" t="s">
        <v>154</v>
      </c>
      <c r="D235">
        <f t="shared" si="86"/>
        <v>1</v>
      </c>
      <c r="E235" s="42">
        <f t="shared" ca="1" si="101"/>
        <v>50</v>
      </c>
      <c r="F235" t="str">
        <f t="shared" ca="1" si="102"/>
        <v>第29级，共造成230.4%点伤害</v>
      </c>
      <c r="G235">
        <f t="shared" ca="1" si="103"/>
        <v>4</v>
      </c>
      <c r="H235">
        <f t="shared" si="87"/>
        <v>4</v>
      </c>
      <c r="I235" s="44">
        <f t="shared" ca="1" si="104"/>
        <v>29</v>
      </c>
      <c r="J235">
        <f t="shared" si="88"/>
        <v>2</v>
      </c>
      <c r="K235" s="36">
        <f t="shared" ca="1" si="89"/>
        <v>38.392857142857146</v>
      </c>
      <c r="L235" s="10">
        <f ca="1">AH235*VLOOKUP(C235,技能辅助查询表,技能配置辅助表!$T$1,FALSE)</f>
        <v>0</v>
      </c>
      <c r="M235">
        <f t="shared" ca="1" si="90"/>
        <v>5680</v>
      </c>
      <c r="N235" s="33">
        <f ca="1">CHOOSE(1,W235*U235,X235*'[1]0、经济设定'!$C$18)</f>
        <v>64400</v>
      </c>
      <c r="O235">
        <f t="shared" si="91"/>
        <v>2</v>
      </c>
      <c r="P235">
        <f t="shared" si="92"/>
        <v>6</v>
      </c>
      <c r="Q235">
        <f t="shared" si="93"/>
        <v>1</v>
      </c>
      <c r="R235" s="2">
        <f t="shared" si="94"/>
        <v>9</v>
      </c>
      <c r="S235" s="2">
        <f t="shared" si="95"/>
        <v>50</v>
      </c>
      <c r="T235" s="2">
        <f t="shared" si="96"/>
        <v>29.761904761904763</v>
      </c>
      <c r="U235" s="2">
        <f ca="1">VLOOKUP(E235,金币生产率!$A$2:$B$120,2,0)</f>
        <v>1610</v>
      </c>
      <c r="V235" s="2">
        <f t="shared" si="97"/>
        <v>178.57142857142858</v>
      </c>
      <c r="W235" s="45">
        <f t="shared" ca="1" si="110"/>
        <v>40</v>
      </c>
      <c r="X235" s="48">
        <f t="shared" ca="1" si="111"/>
        <v>530</v>
      </c>
      <c r="Y235">
        <f t="shared" si="98"/>
        <v>18</v>
      </c>
      <c r="Z235">
        <f t="shared" ca="1" si="105"/>
        <v>16</v>
      </c>
      <c r="AA235" t="str">
        <f t="shared" ca="1" si="106"/>
        <v>9122400.png</v>
      </c>
      <c r="AB235">
        <f t="shared" si="99"/>
        <v>3</v>
      </c>
      <c r="AC235">
        <f>VLOOKUP(C235,技能辅助查询表,技能配置辅助表!$W$1,FALSE)</f>
        <v>5603</v>
      </c>
      <c r="AD235">
        <f t="shared" ca="1" si="107"/>
        <v>129.98776237479029</v>
      </c>
      <c r="AE235">
        <f>VLOOKUP(C235,技能辅助查询表,技能配置辅助表!$U$1,FALSE)</f>
        <v>4</v>
      </c>
      <c r="AF235">
        <f t="shared" ca="1" si="108"/>
        <v>9122429</v>
      </c>
      <c r="AG235">
        <f t="shared" ca="1" si="112"/>
        <v>49.571428571428569</v>
      </c>
      <c r="AH235">
        <f t="shared" ca="1" si="109"/>
        <v>498.5831981498805</v>
      </c>
      <c r="AI235">
        <f ca="1">VLOOKUP(E235,伤害参考系!$C$4:$E$104,3,FALSE)*$AN$12</f>
        <v>6162.2688085284308</v>
      </c>
      <c r="AJ235">
        <f>VLOOKUP(C235,技能辅助查询表,技能配置辅助表!$L$1,FALSE)</f>
        <v>6</v>
      </c>
      <c r="AK235">
        <f>VLOOKUP(C235,技能辅助查询表,技能配置辅助表!$AE$1,FALSE)</f>
        <v>66000113</v>
      </c>
    </row>
    <row r="236" spans="1:37" x14ac:dyDescent="0.15">
      <c r="A236" s="1">
        <f t="shared" ca="1" si="100"/>
        <v>9122430</v>
      </c>
      <c r="B236" s="1" t="str">
        <f t="shared" ca="1" si="85"/>
        <v>影袭·斩第4段</v>
      </c>
      <c r="C236" t="s">
        <v>154</v>
      </c>
      <c r="D236">
        <f t="shared" si="86"/>
        <v>1</v>
      </c>
      <c r="E236" s="42">
        <f t="shared" ca="1" si="101"/>
        <v>52</v>
      </c>
      <c r="F236" t="str">
        <f t="shared" ca="1" si="102"/>
        <v>第30级，共造成232.1%点伤害</v>
      </c>
      <c r="G236">
        <f t="shared" ca="1" si="103"/>
        <v>4</v>
      </c>
      <c r="H236">
        <f t="shared" si="87"/>
        <v>4</v>
      </c>
      <c r="I236" s="44">
        <f t="shared" ca="1" si="104"/>
        <v>30</v>
      </c>
      <c r="J236">
        <f t="shared" si="88"/>
        <v>2</v>
      </c>
      <c r="K236" s="36">
        <f t="shared" ca="1" si="89"/>
        <v>38.69047619047619</v>
      </c>
      <c r="L236" s="10">
        <f ca="1">AH236*VLOOKUP(C236,技能辅助查询表,技能配置辅助表!$T$1,FALSE)</f>
        <v>0</v>
      </c>
      <c r="M236">
        <f t="shared" ca="1" si="90"/>
        <v>5600</v>
      </c>
      <c r="N236" s="33">
        <f ca="1">CHOOSE(1,W236*U236,X236*'[1]0、经济设定'!$C$18)</f>
        <v>75207</v>
      </c>
      <c r="O236">
        <f t="shared" si="91"/>
        <v>2</v>
      </c>
      <c r="P236">
        <f t="shared" si="92"/>
        <v>6</v>
      </c>
      <c r="Q236">
        <f t="shared" si="93"/>
        <v>1</v>
      </c>
      <c r="R236" s="2">
        <f t="shared" si="94"/>
        <v>9</v>
      </c>
      <c r="S236" s="2">
        <f t="shared" si="95"/>
        <v>50</v>
      </c>
      <c r="T236" s="2">
        <f t="shared" si="96"/>
        <v>29.761904761904763</v>
      </c>
      <c r="U236" s="2">
        <f ca="1">VLOOKUP(E236,金币生产率!$A$2:$B$120,2,0)</f>
        <v>1749</v>
      </c>
      <c r="V236" s="2">
        <f t="shared" si="97"/>
        <v>178.57142857142858</v>
      </c>
      <c r="W236" s="45">
        <f t="shared" ca="1" si="110"/>
        <v>43</v>
      </c>
      <c r="X236" s="48">
        <f t="shared" ca="1" si="111"/>
        <v>573</v>
      </c>
      <c r="Y236">
        <f t="shared" si="98"/>
        <v>18</v>
      </c>
      <c r="Z236">
        <f t="shared" ca="1" si="105"/>
        <v>18</v>
      </c>
      <c r="AA236" t="str">
        <f t="shared" ca="1" si="106"/>
        <v>9122400.png</v>
      </c>
      <c r="AB236">
        <f t="shared" si="99"/>
        <v>3</v>
      </c>
      <c r="AC236">
        <f>VLOOKUP(C236,技能辅助查询表,技能配置辅助表!$W$1,FALSE)</f>
        <v>5603</v>
      </c>
      <c r="AD236">
        <f t="shared" ca="1" si="107"/>
        <v>150.01660117942671</v>
      </c>
      <c r="AE236">
        <f>VLOOKUP(C236,技能辅助查询表,技能配置辅助表!$U$1,FALSE)</f>
        <v>4</v>
      </c>
      <c r="AF236">
        <f t="shared" ca="1" si="108"/>
        <v>9122430</v>
      </c>
      <c r="AG236">
        <f t="shared" ca="1" si="112"/>
        <v>51.020408163265309</v>
      </c>
      <c r="AH236">
        <f t="shared" ca="1" si="109"/>
        <v>567.63038284107404</v>
      </c>
      <c r="AI236">
        <f ca="1">VLOOKUP(E236,伤害参考系!$C$4:$E$104,3,FALSE)*$AN$12</f>
        <v>6904.487016722409</v>
      </c>
      <c r="AJ236">
        <f>VLOOKUP(C236,技能辅助查询表,技能配置辅助表!$L$1,FALSE)</f>
        <v>6</v>
      </c>
      <c r="AK236">
        <f>VLOOKUP(C236,技能辅助查询表,技能配置辅助表!$AE$1,FALSE)</f>
        <v>66000113</v>
      </c>
    </row>
    <row r="237" spans="1:37" x14ac:dyDescent="0.15">
      <c r="A237" s="1">
        <f t="shared" ca="1" si="100"/>
        <v>9122431</v>
      </c>
      <c r="B237" s="1" t="str">
        <f t="shared" ca="1" si="85"/>
        <v>影袭·斩第4段</v>
      </c>
      <c r="C237" t="s">
        <v>154</v>
      </c>
      <c r="D237">
        <f t="shared" si="86"/>
        <v>1</v>
      </c>
      <c r="E237" s="42">
        <f t="shared" ca="1" si="101"/>
        <v>53</v>
      </c>
      <c r="F237" t="str">
        <f t="shared" ca="1" si="102"/>
        <v>第31级，共造成233.9%点伤害</v>
      </c>
      <c r="G237">
        <f t="shared" ca="1" si="103"/>
        <v>4</v>
      </c>
      <c r="H237">
        <f t="shared" si="87"/>
        <v>4</v>
      </c>
      <c r="I237" s="44">
        <f t="shared" ca="1" si="104"/>
        <v>31</v>
      </c>
      <c r="J237">
        <f t="shared" si="88"/>
        <v>2</v>
      </c>
      <c r="K237" s="36">
        <f t="shared" ca="1" si="89"/>
        <v>38.988095238095241</v>
      </c>
      <c r="L237" s="10">
        <f ca="1">AH237*VLOOKUP(C237,技能辅助查询表,技能配置辅助表!$T$1,FALSE)</f>
        <v>0</v>
      </c>
      <c r="M237">
        <f t="shared" ca="1" si="90"/>
        <v>5520</v>
      </c>
      <c r="N237" s="33">
        <f ca="1">CHOOSE(1,W237*U237,X237*'[1]0、经济设定'!$C$18)</f>
        <v>83720</v>
      </c>
      <c r="O237">
        <f t="shared" si="91"/>
        <v>2</v>
      </c>
      <c r="P237">
        <f t="shared" si="92"/>
        <v>6</v>
      </c>
      <c r="Q237">
        <f t="shared" si="93"/>
        <v>1</v>
      </c>
      <c r="R237" s="2">
        <f t="shared" si="94"/>
        <v>9</v>
      </c>
      <c r="S237" s="2">
        <f t="shared" si="95"/>
        <v>50</v>
      </c>
      <c r="T237" s="2">
        <f t="shared" si="96"/>
        <v>29.761904761904763</v>
      </c>
      <c r="U237" s="2">
        <f ca="1">VLOOKUP(E237,金币生产率!$A$2:$B$120,2,0)</f>
        <v>1820</v>
      </c>
      <c r="V237" s="2">
        <f t="shared" si="97"/>
        <v>178.57142857142858</v>
      </c>
      <c r="W237" s="45">
        <f t="shared" ca="1" si="110"/>
        <v>46</v>
      </c>
      <c r="X237" s="48">
        <f t="shared" ca="1" si="111"/>
        <v>619</v>
      </c>
      <c r="Y237">
        <f t="shared" si="98"/>
        <v>18</v>
      </c>
      <c r="Z237">
        <f t="shared" ca="1" si="105"/>
        <v>19</v>
      </c>
      <c r="AA237" t="str">
        <f t="shared" ca="1" si="106"/>
        <v>9122400.png</v>
      </c>
      <c r="AB237">
        <f t="shared" si="99"/>
        <v>3</v>
      </c>
      <c r="AC237">
        <f>VLOOKUP(C237,技能辅助查询表,技能配置辅助表!$W$1,FALSE)</f>
        <v>5603</v>
      </c>
      <c r="AD237">
        <f t="shared" ca="1" si="107"/>
        <v>173.09991702484137</v>
      </c>
      <c r="AE237">
        <f>VLOOKUP(C237,技能辅助查询表,技能配置辅助表!$U$1,FALSE)</f>
        <v>4</v>
      </c>
      <c r="AF237">
        <f t="shared" ca="1" si="108"/>
        <v>9122431</v>
      </c>
      <c r="AG237">
        <f t="shared" ca="1" si="112"/>
        <v>52.469387755102041</v>
      </c>
      <c r="AH237">
        <f t="shared" ca="1" si="109"/>
        <v>646.23969022607446</v>
      </c>
      <c r="AI237">
        <f ca="1">VLOOKUP(E237,伤害参考系!$C$4:$E$104,3,FALSE)*$AN$12</f>
        <v>7291.2152408026777</v>
      </c>
      <c r="AJ237">
        <f>VLOOKUP(C237,技能辅助查询表,技能配置辅助表!$L$1,FALSE)</f>
        <v>6</v>
      </c>
      <c r="AK237">
        <f>VLOOKUP(C237,技能辅助查询表,技能配置辅助表!$AE$1,FALSE)</f>
        <v>66000113</v>
      </c>
    </row>
    <row r="238" spans="1:37" x14ac:dyDescent="0.15">
      <c r="A238" s="1">
        <f t="shared" ca="1" si="100"/>
        <v>9122432</v>
      </c>
      <c r="B238" s="1" t="str">
        <f t="shared" ca="1" si="85"/>
        <v>影袭·斩第4段</v>
      </c>
      <c r="C238" t="s">
        <v>154</v>
      </c>
      <c r="D238">
        <f t="shared" si="86"/>
        <v>1</v>
      </c>
      <c r="E238" s="42">
        <f t="shared" ca="1" si="101"/>
        <v>54</v>
      </c>
      <c r="F238" t="str">
        <f t="shared" ca="1" si="102"/>
        <v>第32级，共造成235.7%点伤害</v>
      </c>
      <c r="G238">
        <f t="shared" ca="1" si="103"/>
        <v>4</v>
      </c>
      <c r="H238">
        <f t="shared" si="87"/>
        <v>4</v>
      </c>
      <c r="I238" s="44">
        <f t="shared" ca="1" si="104"/>
        <v>32</v>
      </c>
      <c r="J238">
        <f t="shared" si="88"/>
        <v>2</v>
      </c>
      <c r="K238" s="36">
        <f t="shared" ca="1" si="89"/>
        <v>39.285714285714285</v>
      </c>
      <c r="L238" s="10">
        <f ca="1">AH238*VLOOKUP(C238,技能辅助查询表,技能配置辅助表!$T$1,FALSE)</f>
        <v>0</v>
      </c>
      <c r="M238">
        <f t="shared" ca="1" si="90"/>
        <v>5440</v>
      </c>
      <c r="N238" s="33">
        <f ca="1">CHOOSE(1,W238*U238,X238*'[1]0、经济设定'!$C$18)</f>
        <v>92757</v>
      </c>
      <c r="O238">
        <f t="shared" si="91"/>
        <v>2</v>
      </c>
      <c r="P238">
        <f t="shared" si="92"/>
        <v>6</v>
      </c>
      <c r="Q238">
        <f t="shared" si="93"/>
        <v>1</v>
      </c>
      <c r="R238" s="2">
        <f t="shared" si="94"/>
        <v>9</v>
      </c>
      <c r="S238" s="2">
        <f t="shared" si="95"/>
        <v>50</v>
      </c>
      <c r="T238" s="2">
        <f t="shared" si="96"/>
        <v>29.761904761904763</v>
      </c>
      <c r="U238" s="2">
        <f ca="1">VLOOKUP(E238,金币生产率!$A$2:$B$120,2,0)</f>
        <v>1893</v>
      </c>
      <c r="V238" s="2">
        <f t="shared" si="97"/>
        <v>178.57142857142858</v>
      </c>
      <c r="W238" s="45">
        <f t="shared" ca="1" si="110"/>
        <v>49</v>
      </c>
      <c r="X238" s="48">
        <f t="shared" ca="1" si="111"/>
        <v>668</v>
      </c>
      <c r="Y238">
        <f t="shared" si="98"/>
        <v>18</v>
      </c>
      <c r="Z238">
        <f t="shared" ca="1" si="105"/>
        <v>20</v>
      </c>
      <c r="AA238" t="str">
        <f t="shared" ca="1" si="106"/>
        <v>9122400.png</v>
      </c>
      <c r="AB238">
        <f t="shared" si="99"/>
        <v>3</v>
      </c>
      <c r="AC238">
        <f>VLOOKUP(C238,技能辅助查询表,技能配置辅助表!$W$1,FALSE)</f>
        <v>5603</v>
      </c>
      <c r="AD238">
        <f t="shared" ca="1" si="107"/>
        <v>199.69959444210014</v>
      </c>
      <c r="AE238">
        <f>VLOOKUP(C238,技能辅助查询表,技能配置辅助表!$U$1,FALSE)</f>
        <v>4</v>
      </c>
      <c r="AF238">
        <f t="shared" ca="1" si="108"/>
        <v>9122432</v>
      </c>
      <c r="AG238">
        <f t="shared" ca="1" si="112"/>
        <v>53.918367346938773</v>
      </c>
      <c r="AH238">
        <f t="shared" ca="1" si="109"/>
        <v>735.73534794457942</v>
      </c>
      <c r="AI238">
        <f ca="1">VLOOKUP(E238,伤害参考系!$C$4:$E$104,3,FALSE)*$AN$12</f>
        <v>7688.356211538463</v>
      </c>
      <c r="AJ238">
        <f>VLOOKUP(C238,技能辅助查询表,技能配置辅助表!$L$1,FALSE)</f>
        <v>6</v>
      </c>
      <c r="AK238">
        <f>VLOOKUP(C238,技能辅助查询表,技能配置辅助表!$AE$1,FALSE)</f>
        <v>66000113</v>
      </c>
    </row>
    <row r="239" spans="1:37" x14ac:dyDescent="0.15">
      <c r="A239" s="1">
        <f t="shared" ca="1" si="100"/>
        <v>9122433</v>
      </c>
      <c r="B239" s="1" t="str">
        <f t="shared" ca="1" si="85"/>
        <v>影袭·斩第4段</v>
      </c>
      <c r="C239" t="s">
        <v>154</v>
      </c>
      <c r="D239">
        <f t="shared" si="86"/>
        <v>1</v>
      </c>
      <c r="E239" s="42">
        <f t="shared" ca="1" si="101"/>
        <v>56</v>
      </c>
      <c r="F239" t="str">
        <f t="shared" ca="1" si="102"/>
        <v>第33级，共造成237.5%点伤害</v>
      </c>
      <c r="G239">
        <f t="shared" ca="1" si="103"/>
        <v>4</v>
      </c>
      <c r="H239">
        <f t="shared" si="87"/>
        <v>4</v>
      </c>
      <c r="I239" s="44">
        <f t="shared" ca="1" si="104"/>
        <v>33</v>
      </c>
      <c r="J239">
        <f t="shared" si="88"/>
        <v>2</v>
      </c>
      <c r="K239" s="36">
        <f t="shared" ca="1" si="89"/>
        <v>39.583333333333336</v>
      </c>
      <c r="L239" s="10">
        <f ca="1">AH239*VLOOKUP(C239,技能辅助查询表,技能配置辅助表!$T$1,FALSE)</f>
        <v>0</v>
      </c>
      <c r="M239">
        <f t="shared" ca="1" si="90"/>
        <v>5360</v>
      </c>
      <c r="N239" s="33">
        <f ca="1">CHOOSE(1,W239*U239,X239*'[1]0、经济设定'!$C$18)</f>
        <v>108226</v>
      </c>
      <c r="O239">
        <f t="shared" si="91"/>
        <v>2</v>
      </c>
      <c r="P239">
        <f t="shared" si="92"/>
        <v>6</v>
      </c>
      <c r="Q239">
        <f t="shared" si="93"/>
        <v>1</v>
      </c>
      <c r="R239" s="2">
        <f t="shared" si="94"/>
        <v>9</v>
      </c>
      <c r="S239" s="2">
        <f t="shared" si="95"/>
        <v>50</v>
      </c>
      <c r="T239" s="2">
        <f t="shared" si="96"/>
        <v>29.761904761904763</v>
      </c>
      <c r="U239" s="2">
        <f ca="1">VLOOKUP(E239,金币生产率!$A$2:$B$120,2,0)</f>
        <v>2042</v>
      </c>
      <c r="V239" s="2">
        <f t="shared" si="97"/>
        <v>178.57142857142858</v>
      </c>
      <c r="W239" s="45">
        <f t="shared" ca="1" si="110"/>
        <v>53</v>
      </c>
      <c r="X239" s="48">
        <f t="shared" ca="1" si="111"/>
        <v>721</v>
      </c>
      <c r="Y239">
        <f t="shared" si="98"/>
        <v>18</v>
      </c>
      <c r="Z239">
        <f t="shared" ca="1" si="105"/>
        <v>22</v>
      </c>
      <c r="AA239" t="str">
        <f t="shared" ca="1" si="106"/>
        <v>9122400.png</v>
      </c>
      <c r="AB239">
        <f t="shared" si="99"/>
        <v>3</v>
      </c>
      <c r="AC239">
        <f>VLOOKUP(C239,技能辅助查询表,技能配置辅助表!$W$1,FALSE)</f>
        <v>5603</v>
      </c>
      <c r="AD239">
        <f t="shared" ca="1" si="107"/>
        <v>230.34686720818036</v>
      </c>
      <c r="AE239">
        <f>VLOOKUP(C239,技能辅助查询表,技能配置辅助表!$U$1,FALSE)</f>
        <v>4</v>
      </c>
      <c r="AF239">
        <f t="shared" ca="1" si="108"/>
        <v>9122433</v>
      </c>
      <c r="AG239">
        <f t="shared" ca="1" si="112"/>
        <v>55.367346938775512</v>
      </c>
      <c r="AH239">
        <f t="shared" ca="1" si="109"/>
        <v>837.62497166611001</v>
      </c>
      <c r="AI239">
        <f ca="1">VLOOKUP(E239,伤害参考系!$C$4:$E$104,3,FALSE)*$AN$12</f>
        <v>8513.8763929765901</v>
      </c>
      <c r="AJ239">
        <f>VLOOKUP(C239,技能辅助查询表,技能配置辅助表!$L$1,FALSE)</f>
        <v>6</v>
      </c>
      <c r="AK239">
        <f>VLOOKUP(C239,技能辅助查询表,技能配置辅助表!$AE$1,FALSE)</f>
        <v>66000113</v>
      </c>
    </row>
    <row r="240" spans="1:37" x14ac:dyDescent="0.15">
      <c r="A240" s="1">
        <f t="shared" ca="1" si="100"/>
        <v>9122434</v>
      </c>
      <c r="B240" s="1" t="str">
        <f t="shared" ca="1" si="85"/>
        <v>影袭·斩第4段</v>
      </c>
      <c r="C240" t="s">
        <v>154</v>
      </c>
      <c r="D240">
        <f t="shared" si="86"/>
        <v>1</v>
      </c>
      <c r="E240" s="42">
        <f t="shared" ca="1" si="101"/>
        <v>57</v>
      </c>
      <c r="F240" t="str">
        <f t="shared" ca="1" si="102"/>
        <v>第34级，共造成239.3%点伤害</v>
      </c>
      <c r="G240">
        <f t="shared" ca="1" si="103"/>
        <v>4</v>
      </c>
      <c r="H240">
        <f t="shared" si="87"/>
        <v>4</v>
      </c>
      <c r="I240" s="44">
        <f t="shared" ca="1" si="104"/>
        <v>34</v>
      </c>
      <c r="J240">
        <f t="shared" si="88"/>
        <v>2</v>
      </c>
      <c r="K240" s="36">
        <f t="shared" ca="1" si="89"/>
        <v>39.88095238095238</v>
      </c>
      <c r="L240" s="10">
        <f ca="1">AH240*VLOOKUP(C240,技能辅助查询表,技能配置辅助表!$T$1,FALSE)</f>
        <v>0</v>
      </c>
      <c r="M240">
        <f t="shared" ca="1" si="90"/>
        <v>5280</v>
      </c>
      <c r="N240" s="33">
        <f ca="1">CHOOSE(1,W240*U240,X240*'[1]0、经济设定'!$C$18)</f>
        <v>120783</v>
      </c>
      <c r="O240">
        <f t="shared" si="91"/>
        <v>2</v>
      </c>
      <c r="P240">
        <f t="shared" si="92"/>
        <v>6</v>
      </c>
      <c r="Q240">
        <f t="shared" si="93"/>
        <v>1</v>
      </c>
      <c r="R240" s="2">
        <f t="shared" si="94"/>
        <v>9</v>
      </c>
      <c r="S240" s="2">
        <f t="shared" si="95"/>
        <v>50</v>
      </c>
      <c r="T240" s="2">
        <f t="shared" si="96"/>
        <v>29.761904761904763</v>
      </c>
      <c r="U240" s="2">
        <f ca="1">VLOOKUP(E240,金币生产率!$A$2:$B$120,2,0)</f>
        <v>2119</v>
      </c>
      <c r="V240" s="2">
        <f t="shared" si="97"/>
        <v>178.57142857142858</v>
      </c>
      <c r="W240" s="45">
        <f t="shared" ca="1" si="110"/>
        <v>57</v>
      </c>
      <c r="X240" s="48">
        <f t="shared" ca="1" si="111"/>
        <v>778</v>
      </c>
      <c r="Y240">
        <f t="shared" si="98"/>
        <v>18</v>
      </c>
      <c r="Z240">
        <f t="shared" ca="1" si="105"/>
        <v>23</v>
      </c>
      <c r="AA240" t="str">
        <f t="shared" ca="1" si="106"/>
        <v>9122400.png</v>
      </c>
      <c r="AB240">
        <f t="shared" si="99"/>
        <v>3</v>
      </c>
      <c r="AC240">
        <f>VLOOKUP(C240,技能辅助查询表,技能配置辅助表!$W$1,FALSE)</f>
        <v>5603</v>
      </c>
      <c r="AD240">
        <f t="shared" ca="1" si="107"/>
        <v>265.65266796032563</v>
      </c>
      <c r="AE240">
        <f>VLOOKUP(C240,技能辅助查询表,技能配置辅助表!$U$1,FALSE)</f>
        <v>4</v>
      </c>
      <c r="AF240">
        <f t="shared" ca="1" si="108"/>
        <v>9122434</v>
      </c>
      <c r="AG240">
        <f t="shared" ca="1" si="112"/>
        <v>56.816326530612244</v>
      </c>
      <c r="AH240">
        <f t="shared" ca="1" si="109"/>
        <v>953.62496190886134</v>
      </c>
      <c r="AI240">
        <f ca="1">VLOOKUP(E240,伤害参考系!$C$4:$E$104,3,FALSE)*$AN$12</f>
        <v>8942.2556036789319</v>
      </c>
      <c r="AJ240">
        <f>VLOOKUP(C240,技能辅助查询表,技能配置辅助表!$L$1,FALSE)</f>
        <v>6</v>
      </c>
      <c r="AK240">
        <f>VLOOKUP(C240,技能辅助查询表,技能配置辅助表!$AE$1,FALSE)</f>
        <v>66000113</v>
      </c>
    </row>
    <row r="241" spans="1:37" x14ac:dyDescent="0.15">
      <c r="A241" s="1">
        <f t="shared" ca="1" si="100"/>
        <v>9122435</v>
      </c>
      <c r="B241" s="1" t="str">
        <f t="shared" ca="1" si="85"/>
        <v>影袭·斩第4段</v>
      </c>
      <c r="C241" t="s">
        <v>154</v>
      </c>
      <c r="D241">
        <f t="shared" si="86"/>
        <v>1</v>
      </c>
      <c r="E241" s="42">
        <f t="shared" ca="1" si="101"/>
        <v>59</v>
      </c>
      <c r="F241" t="str">
        <f t="shared" ca="1" si="102"/>
        <v>第35级，共造成241.1%点伤害</v>
      </c>
      <c r="G241">
        <f t="shared" ca="1" si="103"/>
        <v>4</v>
      </c>
      <c r="H241">
        <f t="shared" si="87"/>
        <v>4</v>
      </c>
      <c r="I241" s="44">
        <f t="shared" ca="1" si="104"/>
        <v>35</v>
      </c>
      <c r="J241">
        <f t="shared" si="88"/>
        <v>2</v>
      </c>
      <c r="K241" s="36">
        <f t="shared" ca="1" si="89"/>
        <v>40.178571428571431</v>
      </c>
      <c r="L241" s="10">
        <f ca="1">AH241*VLOOKUP(C241,技能辅助查询表,技能配置辅助表!$T$1,FALSE)</f>
        <v>0</v>
      </c>
      <c r="M241">
        <f t="shared" ca="1" si="90"/>
        <v>5200</v>
      </c>
      <c r="N241" s="33">
        <f ca="1">CHOOSE(1,W241*U241,X241*'[1]0、经济设定'!$C$18)</f>
        <v>138897</v>
      </c>
      <c r="O241">
        <f t="shared" si="91"/>
        <v>2</v>
      </c>
      <c r="P241">
        <f t="shared" si="92"/>
        <v>6</v>
      </c>
      <c r="Q241">
        <f t="shared" si="93"/>
        <v>1</v>
      </c>
      <c r="R241" s="2">
        <f t="shared" si="94"/>
        <v>9</v>
      </c>
      <c r="S241" s="2">
        <f t="shared" si="95"/>
        <v>50</v>
      </c>
      <c r="T241" s="2">
        <f t="shared" si="96"/>
        <v>29.761904761904763</v>
      </c>
      <c r="U241" s="2">
        <f ca="1">VLOOKUP(E241,金币生产率!$A$2:$B$120,2,0)</f>
        <v>2277</v>
      </c>
      <c r="V241" s="2">
        <f t="shared" si="97"/>
        <v>178.57142857142858</v>
      </c>
      <c r="W241" s="45">
        <f t="shared" ca="1" si="110"/>
        <v>61</v>
      </c>
      <c r="X241" s="48">
        <f t="shared" ca="1" si="111"/>
        <v>839</v>
      </c>
      <c r="Y241">
        <f t="shared" si="98"/>
        <v>18</v>
      </c>
      <c r="Z241">
        <f t="shared" ca="1" si="105"/>
        <v>25</v>
      </c>
      <c r="AA241" t="str">
        <f t="shared" ca="1" si="106"/>
        <v>9122400.png</v>
      </c>
      <c r="AB241">
        <f t="shared" si="99"/>
        <v>3</v>
      </c>
      <c r="AC241">
        <f>VLOOKUP(C241,技能辅助查询表,技能配置辅助表!$W$1,FALSE)</f>
        <v>5603</v>
      </c>
      <c r="AD241">
        <f t="shared" ca="1" si="107"/>
        <v>306.31951435931097</v>
      </c>
      <c r="AE241">
        <f>VLOOKUP(C241,技能辅助查询表,技能配置辅助表!$U$1,FALSE)</f>
        <v>4</v>
      </c>
      <c r="AF241">
        <f t="shared" ca="1" si="108"/>
        <v>9122435</v>
      </c>
      <c r="AG241">
        <f t="shared" ca="1" si="112"/>
        <v>58.265306122448976</v>
      </c>
      <c r="AH241">
        <f t="shared" ca="1" si="109"/>
        <v>1085.689417982368</v>
      </c>
      <c r="AI241">
        <f ca="1">VLOOKUP(E241,伤害参考系!$C$4:$E$104,3,FALSE)*$AN$12</f>
        <v>9830.2522650501687</v>
      </c>
      <c r="AJ241">
        <f>VLOOKUP(C241,技能辅助查询表,技能配置辅助表!$L$1,FALSE)</f>
        <v>6</v>
      </c>
      <c r="AK241">
        <f>VLOOKUP(C241,技能辅助查询表,技能配置辅助表!$AE$1,FALSE)</f>
        <v>66000113</v>
      </c>
    </row>
    <row r="242" spans="1:37" x14ac:dyDescent="0.15">
      <c r="A242" s="1">
        <f t="shared" ca="1" si="100"/>
        <v>9122436</v>
      </c>
      <c r="B242" s="1" t="str">
        <f t="shared" ca="1" si="85"/>
        <v>影袭·斩第4段</v>
      </c>
      <c r="C242" t="s">
        <v>154</v>
      </c>
      <c r="D242">
        <f t="shared" si="86"/>
        <v>1</v>
      </c>
      <c r="E242" s="42">
        <f t="shared" ca="1" si="101"/>
        <v>60</v>
      </c>
      <c r="F242" t="str">
        <f t="shared" ca="1" si="102"/>
        <v>第36级，共造成242.9%点伤害</v>
      </c>
      <c r="G242">
        <f t="shared" ca="1" si="103"/>
        <v>4</v>
      </c>
      <c r="H242">
        <f t="shared" si="87"/>
        <v>4</v>
      </c>
      <c r="I242" s="44">
        <f t="shared" ca="1" si="104"/>
        <v>36</v>
      </c>
      <c r="J242">
        <f t="shared" si="88"/>
        <v>2</v>
      </c>
      <c r="K242" s="36">
        <f t="shared" ca="1" si="89"/>
        <v>40.476190476190474</v>
      </c>
      <c r="L242" s="10">
        <f ca="1">AH242*VLOOKUP(C242,技能辅助查询表,技能配置辅助表!$T$1,FALSE)</f>
        <v>0</v>
      </c>
      <c r="M242">
        <f t="shared" ca="1" si="90"/>
        <v>5120</v>
      </c>
      <c r="N242" s="33">
        <f ca="1">CHOOSE(1,W242*U242,X242*'[1]0、经济设定'!$C$18)</f>
        <v>150912</v>
      </c>
      <c r="O242">
        <f t="shared" si="91"/>
        <v>2</v>
      </c>
      <c r="P242">
        <f t="shared" si="92"/>
        <v>6</v>
      </c>
      <c r="Q242">
        <f t="shared" si="93"/>
        <v>1</v>
      </c>
      <c r="R242" s="2">
        <f t="shared" si="94"/>
        <v>9</v>
      </c>
      <c r="S242" s="2">
        <f t="shared" si="95"/>
        <v>50</v>
      </c>
      <c r="T242" s="2">
        <f t="shared" si="96"/>
        <v>29.761904761904763</v>
      </c>
      <c r="U242" s="2">
        <f ca="1">VLOOKUP(E242,金币生产率!$A$2:$B$120,2,0)</f>
        <v>2358</v>
      </c>
      <c r="V242" s="2">
        <f t="shared" si="97"/>
        <v>178.57142857142858</v>
      </c>
      <c r="W242" s="45">
        <f t="shared" ca="1" si="110"/>
        <v>64</v>
      </c>
      <c r="X242" s="48">
        <f t="shared" ca="1" si="111"/>
        <v>903</v>
      </c>
      <c r="Y242">
        <f t="shared" si="98"/>
        <v>18</v>
      </c>
      <c r="Z242">
        <f t="shared" ca="1" si="105"/>
        <v>26</v>
      </c>
      <c r="AA242" t="str">
        <f t="shared" ca="1" si="106"/>
        <v>9122400.png</v>
      </c>
      <c r="AB242">
        <f t="shared" si="99"/>
        <v>3</v>
      </c>
      <c r="AC242">
        <f>VLOOKUP(C242,技能辅助查询表,技能配置辅助表!$W$1,FALSE)</f>
        <v>5603</v>
      </c>
      <c r="AD242">
        <f t="shared" ca="1" si="107"/>
        <v>353.15515889404867</v>
      </c>
      <c r="AE242">
        <f>VLOOKUP(C242,技能辅助查询表,技能配置辅助表!$U$1,FALSE)</f>
        <v>4</v>
      </c>
      <c r="AF242">
        <f t="shared" ca="1" si="108"/>
        <v>9122436</v>
      </c>
      <c r="AG242">
        <f t="shared" ca="1" si="112"/>
        <v>59.714285714285715</v>
      </c>
      <c r="AH242">
        <f t="shared" ca="1" si="109"/>
        <v>1236.0430561291703</v>
      </c>
      <c r="AI242">
        <f ca="1">VLOOKUP(E242,伤害参考系!$C$4:$E$104,3,FALSE)*$AN$12</f>
        <v>10340.558729096994</v>
      </c>
      <c r="AJ242">
        <f>VLOOKUP(C242,技能辅助查询表,技能配置辅助表!$L$1,FALSE)</f>
        <v>6</v>
      </c>
      <c r="AK242">
        <f>VLOOKUP(C242,技能辅助查询表,技能配置辅助表!$AE$1,FALSE)</f>
        <v>66000113</v>
      </c>
    </row>
    <row r="243" spans="1:37" x14ac:dyDescent="0.15">
      <c r="A243" s="1">
        <f t="shared" ca="1" si="100"/>
        <v>9122437</v>
      </c>
      <c r="B243" s="1" t="str">
        <f t="shared" ca="1" si="85"/>
        <v>影袭·斩第4段</v>
      </c>
      <c r="C243" t="s">
        <v>154</v>
      </c>
      <c r="D243">
        <f t="shared" si="86"/>
        <v>1</v>
      </c>
      <c r="E243" s="42">
        <f t="shared" ca="1" si="101"/>
        <v>62</v>
      </c>
      <c r="F243" t="str">
        <f t="shared" ca="1" si="102"/>
        <v>第37级，共造成244.6%点伤害</v>
      </c>
      <c r="G243">
        <f t="shared" ca="1" si="103"/>
        <v>4</v>
      </c>
      <c r="H243">
        <f t="shared" si="87"/>
        <v>4</v>
      </c>
      <c r="I243" s="44">
        <f t="shared" ca="1" si="104"/>
        <v>37</v>
      </c>
      <c r="J243">
        <f t="shared" si="88"/>
        <v>2</v>
      </c>
      <c r="K243" s="36">
        <f t="shared" ca="1" si="89"/>
        <v>40.773809523809526</v>
      </c>
      <c r="L243" s="10">
        <f ca="1">AH243*VLOOKUP(C243,技能辅助查询表,技能配置辅助表!$T$1,FALSE)</f>
        <v>0</v>
      </c>
      <c r="M243">
        <f t="shared" ca="1" si="90"/>
        <v>5040</v>
      </c>
      <c r="N243" s="33">
        <f ca="1">CHOOSE(1,W243*U243,X243*'[1]0、经济设定'!$C$18)</f>
        <v>174156</v>
      </c>
      <c r="O243">
        <f t="shared" si="91"/>
        <v>2</v>
      </c>
      <c r="P243">
        <f t="shared" si="92"/>
        <v>6</v>
      </c>
      <c r="Q243">
        <f t="shared" si="93"/>
        <v>1</v>
      </c>
      <c r="R243" s="2">
        <f t="shared" si="94"/>
        <v>9</v>
      </c>
      <c r="S243" s="2">
        <f t="shared" si="95"/>
        <v>50</v>
      </c>
      <c r="T243" s="2">
        <f t="shared" si="96"/>
        <v>29.761904761904763</v>
      </c>
      <c r="U243" s="2">
        <f ca="1">VLOOKUP(E243,金币生产率!$A$2:$B$120,2,0)</f>
        <v>2524</v>
      </c>
      <c r="V243" s="2">
        <f t="shared" si="97"/>
        <v>178.57142857142858</v>
      </c>
      <c r="W243" s="45">
        <f t="shared" ca="1" si="110"/>
        <v>69</v>
      </c>
      <c r="X243" s="48">
        <f t="shared" ca="1" si="111"/>
        <v>972</v>
      </c>
      <c r="Y243">
        <f t="shared" si="98"/>
        <v>18</v>
      </c>
      <c r="Z243">
        <f t="shared" ca="1" si="105"/>
        <v>28</v>
      </c>
      <c r="AA243" t="str">
        <f t="shared" ca="1" si="106"/>
        <v>9122400.png</v>
      </c>
      <c r="AB243">
        <f t="shared" si="99"/>
        <v>3</v>
      </c>
      <c r="AC243">
        <f>VLOOKUP(C243,技能辅助查询表,技能配置辅助表!$W$1,FALSE)</f>
        <v>5603</v>
      </c>
      <c r="AD243">
        <f t="shared" ca="1" si="107"/>
        <v>407.08826284972668</v>
      </c>
      <c r="AE243">
        <f>VLOOKUP(C243,技能辅助查询表,技能配置辅助表!$U$1,FALSE)</f>
        <v>4</v>
      </c>
      <c r="AF243">
        <f t="shared" ca="1" si="108"/>
        <v>9122437</v>
      </c>
      <c r="AG243">
        <f t="shared" ca="1" si="112"/>
        <v>61.163265306122447</v>
      </c>
      <c r="AH243">
        <f t="shared" ca="1" si="109"/>
        <v>1407.2186863941167</v>
      </c>
      <c r="AI243">
        <f ca="1">VLOOKUP(E243,伤害参考系!$C$4:$E$104,3,FALSE)*$AN$12</f>
        <v>11398.657545150505</v>
      </c>
      <c r="AJ243">
        <f>VLOOKUP(C243,技能辅助查询表,技能配置辅助表!$L$1,FALSE)</f>
        <v>6</v>
      </c>
      <c r="AK243">
        <f>VLOOKUP(C243,技能辅助查询表,技能配置辅助表!$AE$1,FALSE)</f>
        <v>66000113</v>
      </c>
    </row>
    <row r="244" spans="1:37" x14ac:dyDescent="0.15">
      <c r="A244" s="1">
        <f t="shared" ca="1" si="100"/>
        <v>9122438</v>
      </c>
      <c r="B244" s="1" t="str">
        <f t="shared" ca="1" si="85"/>
        <v>影袭·斩第4段</v>
      </c>
      <c r="C244" t="s">
        <v>154</v>
      </c>
      <c r="D244">
        <f t="shared" si="86"/>
        <v>1</v>
      </c>
      <c r="E244" s="42">
        <f t="shared" ca="1" si="101"/>
        <v>63</v>
      </c>
      <c r="F244" t="str">
        <f t="shared" ca="1" si="102"/>
        <v>第38级，共造成246.4%点伤害</v>
      </c>
      <c r="G244">
        <f t="shared" ca="1" si="103"/>
        <v>4</v>
      </c>
      <c r="H244">
        <f t="shared" si="87"/>
        <v>4</v>
      </c>
      <c r="I244" s="44">
        <f t="shared" ca="1" si="104"/>
        <v>38</v>
      </c>
      <c r="J244">
        <f t="shared" si="88"/>
        <v>2</v>
      </c>
      <c r="K244" s="36">
        <f t="shared" ca="1" si="89"/>
        <v>41.071428571428569</v>
      </c>
      <c r="L244" s="10">
        <f ca="1">AH244*VLOOKUP(C244,技能辅助查询表,技能配置辅助表!$T$1,FALSE)</f>
        <v>0</v>
      </c>
      <c r="M244">
        <f t="shared" ca="1" si="90"/>
        <v>4960</v>
      </c>
      <c r="N244" s="33">
        <f ca="1">CHOOSE(1,W244*U244,X244*'[1]0、经济设定'!$C$18)</f>
        <v>193066</v>
      </c>
      <c r="O244">
        <f t="shared" si="91"/>
        <v>2</v>
      </c>
      <c r="P244">
        <f t="shared" si="92"/>
        <v>6</v>
      </c>
      <c r="Q244">
        <f t="shared" si="93"/>
        <v>1</v>
      </c>
      <c r="R244" s="2">
        <f t="shared" si="94"/>
        <v>9</v>
      </c>
      <c r="S244" s="2">
        <f t="shared" si="95"/>
        <v>50</v>
      </c>
      <c r="T244" s="2">
        <f t="shared" si="96"/>
        <v>29.761904761904763</v>
      </c>
      <c r="U244" s="2">
        <f ca="1">VLOOKUP(E244,金币生产率!$A$2:$B$120,2,0)</f>
        <v>2609</v>
      </c>
      <c r="V244" s="2">
        <f t="shared" si="97"/>
        <v>178.57142857142858</v>
      </c>
      <c r="W244" s="45">
        <f t="shared" ca="1" si="110"/>
        <v>74</v>
      </c>
      <c r="X244" s="48">
        <f t="shared" ca="1" si="111"/>
        <v>1046</v>
      </c>
      <c r="Y244">
        <f t="shared" si="98"/>
        <v>18</v>
      </c>
      <c r="Z244">
        <f t="shared" ca="1" si="105"/>
        <v>30</v>
      </c>
      <c r="AA244" t="str">
        <f t="shared" ca="1" si="106"/>
        <v>9122400.png</v>
      </c>
      <c r="AB244">
        <f t="shared" si="99"/>
        <v>3</v>
      </c>
      <c r="AC244">
        <f>VLOOKUP(C244,技能辅助查询表,技能配置辅助表!$W$1,FALSE)</f>
        <v>5603</v>
      </c>
      <c r="AD244">
        <f t="shared" ca="1" si="107"/>
        <v>469.18639329527502</v>
      </c>
      <c r="AE244">
        <f>VLOOKUP(C244,技能辅助查询表,技能配置辅助表!$U$1,FALSE)</f>
        <v>4</v>
      </c>
      <c r="AF244">
        <f t="shared" ca="1" si="108"/>
        <v>9122438</v>
      </c>
      <c r="AG244">
        <f t="shared" ca="1" si="112"/>
        <v>62.612244897959187</v>
      </c>
      <c r="AH244">
        <f t="shared" ca="1" si="109"/>
        <v>1602.0998795448415</v>
      </c>
      <c r="AI244">
        <f ca="1">VLOOKUP(E244,伤害参考系!$C$4:$E$104,3,FALSE)*$AN$12</f>
        <v>11946.449897157196</v>
      </c>
      <c r="AJ244">
        <f>VLOOKUP(C244,技能辅助查询表,技能配置辅助表!$L$1,FALSE)</f>
        <v>6</v>
      </c>
      <c r="AK244">
        <f>VLOOKUP(C244,技能辅助查询表,技能配置辅助表!$AE$1,FALSE)</f>
        <v>66000113</v>
      </c>
    </row>
    <row r="245" spans="1:37" x14ac:dyDescent="0.15">
      <c r="A245" s="1">
        <f t="shared" ca="1" si="100"/>
        <v>9122439</v>
      </c>
      <c r="B245" s="1" t="str">
        <f t="shared" ca="1" si="85"/>
        <v>影袭·斩第4段</v>
      </c>
      <c r="C245" t="s">
        <v>154</v>
      </c>
      <c r="D245">
        <f t="shared" si="86"/>
        <v>1</v>
      </c>
      <c r="E245" s="42">
        <f t="shared" ca="1" si="101"/>
        <v>64</v>
      </c>
      <c r="F245" t="str">
        <f t="shared" ca="1" si="102"/>
        <v>第39级，共造成248.2%点伤害</v>
      </c>
      <c r="G245">
        <f t="shared" ca="1" si="103"/>
        <v>4</v>
      </c>
      <c r="H245">
        <f t="shared" si="87"/>
        <v>4</v>
      </c>
      <c r="I245" s="44">
        <f t="shared" ca="1" si="104"/>
        <v>39</v>
      </c>
      <c r="J245">
        <f t="shared" si="88"/>
        <v>2</v>
      </c>
      <c r="K245" s="36">
        <f t="shared" ca="1" si="89"/>
        <v>41.36904761904762</v>
      </c>
      <c r="L245" s="10">
        <f ca="1">AH245*VLOOKUP(C245,技能辅助查询表,技能配置辅助表!$T$1,FALSE)</f>
        <v>0</v>
      </c>
      <c r="M245">
        <f t="shared" ca="1" si="90"/>
        <v>4880</v>
      </c>
      <c r="N245" s="33">
        <f ca="1">CHOOSE(1,W245*U245,X245*'[1]0、经济设定'!$C$18)</f>
        <v>212905</v>
      </c>
      <c r="O245">
        <f t="shared" si="91"/>
        <v>2</v>
      </c>
      <c r="P245">
        <f t="shared" si="92"/>
        <v>6</v>
      </c>
      <c r="Q245">
        <f t="shared" si="93"/>
        <v>1</v>
      </c>
      <c r="R245" s="2">
        <f t="shared" si="94"/>
        <v>9</v>
      </c>
      <c r="S245" s="2">
        <f t="shared" si="95"/>
        <v>50</v>
      </c>
      <c r="T245" s="2">
        <f t="shared" si="96"/>
        <v>29.761904761904763</v>
      </c>
      <c r="U245" s="2">
        <f ca="1">VLOOKUP(E245,金币生产率!$A$2:$B$120,2,0)</f>
        <v>2695</v>
      </c>
      <c r="V245" s="2">
        <f t="shared" si="97"/>
        <v>178.57142857142858</v>
      </c>
      <c r="W245" s="45">
        <f t="shared" ca="1" si="110"/>
        <v>79</v>
      </c>
      <c r="X245" s="48">
        <f t="shared" ca="1" si="111"/>
        <v>1125</v>
      </c>
      <c r="Y245">
        <f t="shared" si="98"/>
        <v>18</v>
      </c>
      <c r="Z245">
        <f t="shared" ca="1" si="105"/>
        <v>32</v>
      </c>
      <c r="AA245" t="str">
        <f t="shared" ca="1" si="106"/>
        <v>9122400.png</v>
      </c>
      <c r="AB245">
        <f t="shared" si="99"/>
        <v>3</v>
      </c>
      <c r="AC245">
        <f>VLOOKUP(C245,技能辅助查询表,技能配置辅助表!$W$1,FALSE)</f>
        <v>5603</v>
      </c>
      <c r="AD245">
        <f t="shared" ca="1" si="107"/>
        <v>540.67668590052313</v>
      </c>
      <c r="AE245">
        <f>VLOOKUP(C245,技能辅助查询表,技能配置辅助表!$U$1,FALSE)</f>
        <v>4</v>
      </c>
      <c r="AF245">
        <f t="shared" ca="1" si="108"/>
        <v>9122439</v>
      </c>
      <c r="AG245">
        <f t="shared" ca="1" si="112"/>
        <v>64.061224489795919</v>
      </c>
      <c r="AH245">
        <f t="shared" ca="1" si="109"/>
        <v>1823.9695427969455</v>
      </c>
      <c r="AI245">
        <f ca="1">VLOOKUP(E245,伤害参考系!$C$4:$E$104,3,FALSE)*$AN$12</f>
        <v>12506.737545150507</v>
      </c>
      <c r="AJ245">
        <f>VLOOKUP(C245,技能辅助查询表,技能配置辅助表!$L$1,FALSE)</f>
        <v>6</v>
      </c>
      <c r="AK245">
        <f>VLOOKUP(C245,技能辅助查询表,技能配置辅助表!$AE$1,FALSE)</f>
        <v>66000113</v>
      </c>
    </row>
    <row r="246" spans="1:37" x14ac:dyDescent="0.15">
      <c r="A246" s="1">
        <f t="shared" ca="1" si="100"/>
        <v>9122440</v>
      </c>
      <c r="B246" s="1" t="str">
        <f t="shared" ca="1" si="85"/>
        <v>影袭·斩第4段</v>
      </c>
      <c r="C246" t="s">
        <v>154</v>
      </c>
      <c r="D246">
        <f t="shared" si="86"/>
        <v>1</v>
      </c>
      <c r="E246" s="42">
        <f t="shared" ca="1" si="101"/>
        <v>66</v>
      </c>
      <c r="F246" t="str">
        <f t="shared" ca="1" si="102"/>
        <v>第40级，共造成250%点伤害</v>
      </c>
      <c r="G246">
        <f t="shared" ca="1" si="103"/>
        <v>4</v>
      </c>
      <c r="H246">
        <f t="shared" si="87"/>
        <v>4</v>
      </c>
      <c r="I246" s="44">
        <f t="shared" ca="1" si="104"/>
        <v>40</v>
      </c>
      <c r="J246">
        <f t="shared" si="88"/>
        <v>2</v>
      </c>
      <c r="K246" s="36">
        <f t="shared" ca="1" si="89"/>
        <v>41.666666666666671</v>
      </c>
      <c r="L246" s="39">
        <f ca="1">AH246*VLOOKUP(C246,技能辅助查询表,技能配置辅助表!$T$1,FALSE)</f>
        <v>0</v>
      </c>
      <c r="M246">
        <f t="shared" ca="1" si="90"/>
        <v>4800</v>
      </c>
      <c r="N246" s="33">
        <f ca="1">CHOOSE(1,W246*U246,X246*'[1]0、经济设定'!$C$18)</f>
        <v>244120</v>
      </c>
      <c r="O246">
        <f t="shared" si="91"/>
        <v>2</v>
      </c>
      <c r="P246">
        <f t="shared" si="92"/>
        <v>6</v>
      </c>
      <c r="Q246">
        <f t="shared" si="93"/>
        <v>1</v>
      </c>
      <c r="R246" s="2">
        <f t="shared" si="94"/>
        <v>9</v>
      </c>
      <c r="S246" s="2">
        <f t="shared" si="95"/>
        <v>50</v>
      </c>
      <c r="T246" s="2">
        <f t="shared" si="96"/>
        <v>29.761904761904763</v>
      </c>
      <c r="U246" s="2">
        <f ca="1">VLOOKUP(E246,金币生产率!$A$2:$B$120,2,0)</f>
        <v>2872</v>
      </c>
      <c r="V246" s="2">
        <f t="shared" si="97"/>
        <v>178.57142857142858</v>
      </c>
      <c r="W246" s="45">
        <f t="shared" ca="1" si="110"/>
        <v>85</v>
      </c>
      <c r="X246" s="48">
        <f t="shared" ca="1" si="111"/>
        <v>1210</v>
      </c>
      <c r="Y246">
        <f t="shared" si="98"/>
        <v>18</v>
      </c>
      <c r="Z246">
        <f t="shared" ca="1" si="105"/>
        <v>34</v>
      </c>
      <c r="AA246" t="str">
        <f t="shared" ca="1" si="106"/>
        <v>9122400.png</v>
      </c>
      <c r="AB246">
        <f t="shared" si="99"/>
        <v>3</v>
      </c>
      <c r="AC246">
        <f>VLOOKUP(C246,技能辅助查询表,技能配置辅助表!$W$1,FALSE)</f>
        <v>5603</v>
      </c>
      <c r="AD246">
        <f t="shared" ca="1" si="107"/>
        <v>622.9695667905678</v>
      </c>
      <c r="AE246">
        <f>VLOOKUP(C246,技能辅助查询表,技能配置辅助表!$U$1,FALSE)</f>
        <v>4</v>
      </c>
      <c r="AF246">
        <f t="shared" ca="1" si="108"/>
        <v>9122440</v>
      </c>
      <c r="AG246">
        <f t="shared" ca="1" si="112"/>
        <v>65.510204081632651</v>
      </c>
      <c r="AH246">
        <f t="shared" ca="1" si="109"/>
        <v>2076.5652226352254</v>
      </c>
      <c r="AI246">
        <f ca="1">VLOOKUP(E246,伤害参考系!$C$4:$E$104,3,FALSE)*$AN$12</f>
        <v>13664.798729096996</v>
      </c>
      <c r="AJ246">
        <f>VLOOKUP(C246,技能辅助查询表,技能配置辅助表!$L$1,FALSE)</f>
        <v>6</v>
      </c>
      <c r="AK246">
        <f>VLOOKUP(C246,技能辅助查询表,技能配置辅助表!$AE$1,FALSE)</f>
        <v>66000113</v>
      </c>
    </row>
    <row r="247" spans="1:37" x14ac:dyDescent="0.15">
      <c r="A247" s="1">
        <f t="shared" ca="1" si="100"/>
        <v>9122441</v>
      </c>
      <c r="B247" s="1" t="str">
        <f t="shared" ca="1" si="85"/>
        <v>影袭·斩第4段</v>
      </c>
      <c r="C247" t="s">
        <v>154</v>
      </c>
      <c r="D247">
        <f t="shared" si="86"/>
        <v>1</v>
      </c>
      <c r="E247" s="42">
        <f t="shared" ca="1" si="101"/>
        <v>67</v>
      </c>
      <c r="F247" t="str">
        <f t="shared" ca="1" si="102"/>
        <v>第41级，共造成251.8%点伤害</v>
      </c>
      <c r="G247">
        <f t="shared" ca="1" si="103"/>
        <v>4</v>
      </c>
      <c r="H247">
        <f t="shared" si="87"/>
        <v>4</v>
      </c>
      <c r="I247" s="44">
        <f t="shared" ca="1" si="104"/>
        <v>41</v>
      </c>
      <c r="J247">
        <f t="shared" si="88"/>
        <v>2</v>
      </c>
      <c r="K247" s="36">
        <f t="shared" ca="1" si="89"/>
        <v>41.964285714285715</v>
      </c>
      <c r="L247" s="10">
        <f ca="1">AH247*VLOOKUP(C247,技能辅助查询表,技能配置辅助表!$T$1,FALSE)</f>
        <v>0</v>
      </c>
      <c r="M247">
        <f t="shared" ca="1" si="90"/>
        <v>4720</v>
      </c>
      <c r="N247" s="33">
        <f ca="1">CHOOSE(1,W247*U247,X247*'[1]0、经济设定'!$C$18)</f>
        <v>269633</v>
      </c>
      <c r="O247">
        <f t="shared" si="91"/>
        <v>2</v>
      </c>
      <c r="P247">
        <f t="shared" si="92"/>
        <v>6</v>
      </c>
      <c r="Q247">
        <f t="shared" si="93"/>
        <v>1</v>
      </c>
      <c r="R247" s="2">
        <f t="shared" si="94"/>
        <v>9</v>
      </c>
      <c r="S247" s="2">
        <f t="shared" si="95"/>
        <v>50</v>
      </c>
      <c r="T247" s="2">
        <f t="shared" si="96"/>
        <v>29.761904761904763</v>
      </c>
      <c r="U247" s="2">
        <f ca="1">VLOOKUP(E247,金币生产率!$A$2:$B$120,2,0)</f>
        <v>2963</v>
      </c>
      <c r="V247" s="2">
        <f t="shared" si="97"/>
        <v>178.57142857142858</v>
      </c>
      <c r="W247" s="45">
        <f t="shared" ca="1" si="110"/>
        <v>91</v>
      </c>
      <c r="X247" s="48">
        <f t="shared" ca="1" si="111"/>
        <v>1301</v>
      </c>
      <c r="Y247">
        <f t="shared" si="98"/>
        <v>18</v>
      </c>
      <c r="Z247">
        <f t="shared" ca="1" si="105"/>
        <v>37</v>
      </c>
      <c r="AA247" t="str">
        <f t="shared" ca="1" si="106"/>
        <v>9122400.png</v>
      </c>
      <c r="AB247">
        <f t="shared" si="99"/>
        <v>3</v>
      </c>
      <c r="AC247">
        <f>VLOOKUP(C247,技能辅助查询表,技能配置辅助表!$W$1,FALSE)</f>
        <v>5603</v>
      </c>
      <c r="AD247">
        <f t="shared" ca="1" si="107"/>
        <v>717.68598442612142</v>
      </c>
      <c r="AE247">
        <f>VLOOKUP(C247,技能辅助查询表,技能配置辅助表!$U$1,FALSE)</f>
        <v>4</v>
      </c>
      <c r="AF247">
        <f t="shared" ca="1" si="108"/>
        <v>9122441</v>
      </c>
      <c r="AG247">
        <f t="shared" ca="1" si="112"/>
        <v>66.959183673469397</v>
      </c>
      <c r="AH247">
        <f t="shared" ca="1" si="109"/>
        <v>2364.1420663448707</v>
      </c>
      <c r="AI247">
        <f ca="1">VLOOKUP(E247,伤害参考系!$C$4:$E$104,3,FALSE)*$AN$12</f>
        <v>14262.572265050176</v>
      </c>
      <c r="AJ247">
        <f>VLOOKUP(C247,技能辅助查询表,技能配置辅助表!$L$1,FALSE)</f>
        <v>6</v>
      </c>
      <c r="AK247">
        <f>VLOOKUP(C247,技能辅助查询表,技能配置辅助表!$AE$1,FALSE)</f>
        <v>66000113</v>
      </c>
    </row>
    <row r="248" spans="1:37" x14ac:dyDescent="0.15">
      <c r="A248" s="1">
        <f t="shared" ca="1" si="100"/>
        <v>9122442</v>
      </c>
      <c r="B248" s="1" t="str">
        <f t="shared" ca="1" si="85"/>
        <v>影袭·斩第4段</v>
      </c>
      <c r="C248" t="s">
        <v>154</v>
      </c>
      <c r="D248">
        <f t="shared" si="86"/>
        <v>1</v>
      </c>
      <c r="E248" s="42">
        <f t="shared" ca="1" si="101"/>
        <v>69</v>
      </c>
      <c r="F248" t="str">
        <f t="shared" ca="1" si="102"/>
        <v>第42级，共造成253.6%点伤害</v>
      </c>
      <c r="G248">
        <f t="shared" ca="1" si="103"/>
        <v>4</v>
      </c>
      <c r="H248">
        <f t="shared" si="87"/>
        <v>4</v>
      </c>
      <c r="I248" s="44">
        <f t="shared" ca="1" si="104"/>
        <v>42</v>
      </c>
      <c r="J248">
        <f t="shared" si="88"/>
        <v>2</v>
      </c>
      <c r="K248" s="36">
        <f t="shared" ca="1" si="89"/>
        <v>42.261904761904759</v>
      </c>
      <c r="L248" s="10">
        <f ca="1">AH248*VLOOKUP(C248,技能辅助查询表,技能配置辅助表!$T$1,FALSE)</f>
        <v>0</v>
      </c>
      <c r="M248">
        <f t="shared" ca="1" si="90"/>
        <v>4640</v>
      </c>
      <c r="N248" s="33">
        <f ca="1">CHOOSE(1,W248*U248,X248*'[1]0、经济设定'!$C$18)</f>
        <v>305259</v>
      </c>
      <c r="O248">
        <f t="shared" si="91"/>
        <v>2</v>
      </c>
      <c r="P248">
        <f t="shared" si="92"/>
        <v>6</v>
      </c>
      <c r="Q248">
        <f t="shared" si="93"/>
        <v>1</v>
      </c>
      <c r="R248" s="2">
        <f t="shared" si="94"/>
        <v>9</v>
      </c>
      <c r="S248" s="2">
        <f t="shared" si="95"/>
        <v>50</v>
      </c>
      <c r="T248" s="2">
        <f t="shared" si="96"/>
        <v>29.761904761904763</v>
      </c>
      <c r="U248" s="2">
        <f ca="1">VLOOKUP(E248,金币生产率!$A$2:$B$120,2,0)</f>
        <v>3147</v>
      </c>
      <c r="V248" s="2">
        <f t="shared" si="97"/>
        <v>178.57142857142858</v>
      </c>
      <c r="W248" s="45">
        <f t="shared" ca="1" si="110"/>
        <v>97</v>
      </c>
      <c r="X248" s="48">
        <f t="shared" ca="1" si="111"/>
        <v>1398</v>
      </c>
      <c r="Y248">
        <f t="shared" si="98"/>
        <v>18</v>
      </c>
      <c r="Z248">
        <f t="shared" ca="1" si="105"/>
        <v>39</v>
      </c>
      <c r="AA248" t="str">
        <f t="shared" ca="1" si="106"/>
        <v>9122400.png</v>
      </c>
      <c r="AB248">
        <f t="shared" si="99"/>
        <v>3</v>
      </c>
      <c r="AC248">
        <f>VLOOKUP(C248,技能辅助查询表,技能配置辅助表!$W$1,FALSE)</f>
        <v>5603</v>
      </c>
      <c r="AD248">
        <f t="shared" ca="1" si="107"/>
        <v>826.68866874256764</v>
      </c>
      <c r="AE248">
        <f>VLOOKUP(C248,技能辅助查询表,技能配置辅助表!$U$1,FALSE)</f>
        <v>4</v>
      </c>
      <c r="AF248">
        <f t="shared" ca="1" si="108"/>
        <v>9122442</v>
      </c>
      <c r="AG248">
        <f t="shared" ca="1" si="112"/>
        <v>68.408163265306115</v>
      </c>
      <c r="AH248">
        <f t="shared" ca="1" si="109"/>
        <v>2691.5445028827789</v>
      </c>
      <c r="AI248">
        <f ca="1">VLOOKUP(E248,伤害参考系!$C$4:$E$104,3,FALSE)*$AN$12</f>
        <v>15495.605224916402</v>
      </c>
      <c r="AJ248">
        <f>VLOOKUP(C248,技能辅助查询表,技能配置辅助表!$L$1,FALSE)</f>
        <v>6</v>
      </c>
      <c r="AK248">
        <f>VLOOKUP(C248,技能辅助查询表,技能配置辅助表!$AE$1,FALSE)</f>
        <v>66000113</v>
      </c>
    </row>
    <row r="249" spans="1:37" x14ac:dyDescent="0.15">
      <c r="A249" s="1">
        <f t="shared" ca="1" si="100"/>
        <v>9122443</v>
      </c>
      <c r="B249" s="1" t="str">
        <f t="shared" ca="1" si="85"/>
        <v>影袭·斩第4段</v>
      </c>
      <c r="C249" t="s">
        <v>154</v>
      </c>
      <c r="D249">
        <f t="shared" si="86"/>
        <v>1</v>
      </c>
      <c r="E249" s="42">
        <f t="shared" ca="1" si="101"/>
        <v>70</v>
      </c>
      <c r="F249" t="str">
        <f t="shared" ca="1" si="102"/>
        <v>第43级，共造成255.4%点伤害</v>
      </c>
      <c r="G249">
        <f t="shared" ca="1" si="103"/>
        <v>4</v>
      </c>
      <c r="H249">
        <f t="shared" si="87"/>
        <v>4</v>
      </c>
      <c r="I249" s="44">
        <f t="shared" ca="1" si="104"/>
        <v>43</v>
      </c>
      <c r="J249">
        <f t="shared" si="88"/>
        <v>2</v>
      </c>
      <c r="K249" s="36">
        <f t="shared" ca="1" si="89"/>
        <v>42.55952380952381</v>
      </c>
      <c r="L249" s="10">
        <f ca="1">AH249*VLOOKUP(C249,技能辅助查询表,技能配置辅助表!$T$1,FALSE)</f>
        <v>0</v>
      </c>
      <c r="M249">
        <f t="shared" ca="1" si="90"/>
        <v>4560</v>
      </c>
      <c r="N249" s="33">
        <f ca="1">CHOOSE(1,W249*U249,X249*'[1]0、经济设定'!$C$18)</f>
        <v>337168</v>
      </c>
      <c r="O249">
        <f t="shared" si="91"/>
        <v>2</v>
      </c>
      <c r="P249">
        <f t="shared" si="92"/>
        <v>6</v>
      </c>
      <c r="Q249">
        <f t="shared" si="93"/>
        <v>1</v>
      </c>
      <c r="R249" s="2">
        <f t="shared" si="94"/>
        <v>9</v>
      </c>
      <c r="S249" s="2">
        <f t="shared" si="95"/>
        <v>50</v>
      </c>
      <c r="T249" s="2">
        <f t="shared" si="96"/>
        <v>29.761904761904763</v>
      </c>
      <c r="U249" s="2">
        <f ca="1">VLOOKUP(E249,金币生产率!$A$2:$B$120,2,0)</f>
        <v>3242</v>
      </c>
      <c r="V249" s="2">
        <f t="shared" si="97"/>
        <v>178.57142857142858</v>
      </c>
      <c r="W249" s="45">
        <f t="shared" ca="1" si="110"/>
        <v>104</v>
      </c>
      <c r="X249" s="48">
        <f t="shared" ca="1" si="111"/>
        <v>1502</v>
      </c>
      <c r="Y249">
        <f t="shared" si="98"/>
        <v>18</v>
      </c>
      <c r="Z249">
        <f t="shared" ca="1" si="105"/>
        <v>42</v>
      </c>
      <c r="AA249" t="str">
        <f t="shared" ca="1" si="106"/>
        <v>9122400.png</v>
      </c>
      <c r="AB249">
        <f t="shared" si="99"/>
        <v>3</v>
      </c>
      <c r="AC249">
        <f>VLOOKUP(C249,技能辅助查询表,技能配置辅助表!$W$1,FALSE)</f>
        <v>5603</v>
      </c>
      <c r="AD249">
        <f t="shared" ca="1" si="107"/>
        <v>952.11801072287165</v>
      </c>
      <c r="AE249">
        <f>VLOOKUP(C249,技能辅助查询表,技能配置辅助表!$U$1,FALSE)</f>
        <v>4</v>
      </c>
      <c r="AF249">
        <f t="shared" ca="1" si="108"/>
        <v>9122443</v>
      </c>
      <c r="AG249">
        <f t="shared" ca="1" si="112"/>
        <v>69.857142857142861</v>
      </c>
      <c r="AH249">
        <f t="shared" ca="1" si="109"/>
        <v>3064.2878506023458</v>
      </c>
      <c r="AI249">
        <f ca="1">VLOOKUP(E249,伤害参考系!$C$4:$E$104,3,FALSE)*$AN$12</f>
        <v>16191.966408862889</v>
      </c>
      <c r="AJ249">
        <f>VLOOKUP(C249,技能辅助查询表,技能配置辅助表!$L$1,FALSE)</f>
        <v>6</v>
      </c>
      <c r="AK249">
        <f>VLOOKUP(C249,技能辅助查询表,技能配置辅助表!$AE$1,FALSE)</f>
        <v>66000113</v>
      </c>
    </row>
    <row r="250" spans="1:37" x14ac:dyDescent="0.15">
      <c r="A250" s="1">
        <f t="shared" ca="1" si="100"/>
        <v>9122444</v>
      </c>
      <c r="B250" s="1" t="str">
        <f t="shared" ca="1" si="85"/>
        <v>影袭·斩第4段</v>
      </c>
      <c r="C250" t="s">
        <v>154</v>
      </c>
      <c r="D250">
        <f t="shared" si="86"/>
        <v>1</v>
      </c>
      <c r="E250" s="42">
        <f t="shared" ca="1" si="101"/>
        <v>71</v>
      </c>
      <c r="F250" t="str">
        <f t="shared" ca="1" si="102"/>
        <v>第44级，共造成257.1%点伤害</v>
      </c>
      <c r="G250">
        <f t="shared" ca="1" si="103"/>
        <v>4</v>
      </c>
      <c r="H250">
        <f t="shared" si="87"/>
        <v>4</v>
      </c>
      <c r="I250" s="44">
        <f t="shared" ca="1" si="104"/>
        <v>44</v>
      </c>
      <c r="J250">
        <f t="shared" si="88"/>
        <v>2</v>
      </c>
      <c r="K250" s="36">
        <f t="shared" ca="1" si="89"/>
        <v>42.857142857142861</v>
      </c>
      <c r="L250" s="10">
        <f ca="1">AH250*VLOOKUP(C250,技能辅助查询表,技能配置辅助表!$T$1,FALSE)</f>
        <v>0</v>
      </c>
      <c r="M250">
        <f t="shared" ca="1" si="90"/>
        <v>4480</v>
      </c>
      <c r="N250" s="33">
        <f ca="1">CHOOSE(1,W250*U250,X250*'[1]0、经济设定'!$C$18)</f>
        <v>370518</v>
      </c>
      <c r="O250">
        <f t="shared" si="91"/>
        <v>2</v>
      </c>
      <c r="P250">
        <f t="shared" si="92"/>
        <v>6</v>
      </c>
      <c r="Q250">
        <f t="shared" si="93"/>
        <v>1</v>
      </c>
      <c r="R250" s="2">
        <f t="shared" si="94"/>
        <v>9</v>
      </c>
      <c r="S250" s="2">
        <f t="shared" si="95"/>
        <v>50</v>
      </c>
      <c r="T250" s="2">
        <f t="shared" si="96"/>
        <v>29.761904761904763</v>
      </c>
      <c r="U250" s="2">
        <f ca="1">VLOOKUP(E250,金币生产率!$A$2:$B$120,2,0)</f>
        <v>3338</v>
      </c>
      <c r="V250" s="2">
        <f t="shared" si="97"/>
        <v>178.57142857142858</v>
      </c>
      <c r="W250" s="45">
        <f t="shared" ca="1" si="110"/>
        <v>111</v>
      </c>
      <c r="X250" s="48">
        <f t="shared" ca="1" si="111"/>
        <v>1613</v>
      </c>
      <c r="Y250">
        <f t="shared" si="98"/>
        <v>18</v>
      </c>
      <c r="Z250">
        <f t="shared" ca="1" si="105"/>
        <v>45</v>
      </c>
      <c r="AA250" t="str">
        <f t="shared" ca="1" si="106"/>
        <v>9122400.png</v>
      </c>
      <c r="AB250">
        <f t="shared" si="99"/>
        <v>3</v>
      </c>
      <c r="AC250">
        <f>VLOOKUP(C250,技能辅助查询表,技能配置辅助表!$W$1,FALSE)</f>
        <v>5603</v>
      </c>
      <c r="AD250">
        <f t="shared" ca="1" si="107"/>
        <v>1096.4332426362143</v>
      </c>
      <c r="AE250">
        <f>VLOOKUP(C250,技能辅助查询表,技能配置辅助表!$U$1,FALSE)</f>
        <v>4</v>
      </c>
      <c r="AF250">
        <f t="shared" ca="1" si="108"/>
        <v>9122444</v>
      </c>
      <c r="AG250">
        <f t="shared" ca="1" si="112"/>
        <v>71.306122448979593</v>
      </c>
      <c r="AH250">
        <f t="shared" ca="1" si="109"/>
        <v>3488.6512265697725</v>
      </c>
      <c r="AI250">
        <f ca="1">VLOOKUP(E250,伤害参考系!$C$4:$E$104,3,FALSE)*$AN$12</f>
        <v>16902.905438127098</v>
      </c>
      <c r="AJ250">
        <f>VLOOKUP(C250,技能辅助查询表,技能配置辅助表!$L$1,FALSE)</f>
        <v>6</v>
      </c>
      <c r="AK250">
        <f>VLOOKUP(C250,技能辅助查询表,技能配置辅助表!$AE$1,FALSE)</f>
        <v>66000113</v>
      </c>
    </row>
    <row r="251" spans="1:37" x14ac:dyDescent="0.15">
      <c r="A251" s="1">
        <f t="shared" ca="1" si="100"/>
        <v>9122445</v>
      </c>
      <c r="B251" s="1" t="str">
        <f t="shared" ca="1" si="85"/>
        <v>影袭·斩第4段</v>
      </c>
      <c r="C251" t="s">
        <v>154</v>
      </c>
      <c r="D251">
        <f t="shared" si="86"/>
        <v>1</v>
      </c>
      <c r="E251" s="42">
        <f t="shared" ca="1" si="101"/>
        <v>73</v>
      </c>
      <c r="F251" t="str">
        <f t="shared" ca="1" si="102"/>
        <v>第45级，共造成258.9%点伤害</v>
      </c>
      <c r="G251">
        <f t="shared" ca="1" si="103"/>
        <v>4</v>
      </c>
      <c r="H251">
        <f t="shared" si="87"/>
        <v>4</v>
      </c>
      <c r="I251" s="44">
        <f t="shared" ca="1" si="104"/>
        <v>45</v>
      </c>
      <c r="J251">
        <f t="shared" si="88"/>
        <v>2</v>
      </c>
      <c r="K251" s="36">
        <f t="shared" ca="1" si="89"/>
        <v>43.154761904761905</v>
      </c>
      <c r="L251" s="10">
        <f ca="1">AH251*VLOOKUP(C251,技能辅助查询表,技能配置辅助表!$T$1,FALSE)</f>
        <v>0</v>
      </c>
      <c r="M251">
        <f t="shared" ca="1" si="90"/>
        <v>4400</v>
      </c>
      <c r="N251" s="33">
        <f ca="1">CHOOSE(1,W251*U251,X251*'[1]0、经济设定'!$C$18)</f>
        <v>420546</v>
      </c>
      <c r="O251">
        <f t="shared" si="91"/>
        <v>2</v>
      </c>
      <c r="P251">
        <f t="shared" si="92"/>
        <v>6</v>
      </c>
      <c r="Q251">
        <f t="shared" si="93"/>
        <v>1</v>
      </c>
      <c r="R251" s="2">
        <f t="shared" si="94"/>
        <v>9</v>
      </c>
      <c r="S251" s="2">
        <f t="shared" si="95"/>
        <v>50</v>
      </c>
      <c r="T251" s="2">
        <f t="shared" si="96"/>
        <v>29.761904761904763</v>
      </c>
      <c r="U251" s="2">
        <f ca="1">VLOOKUP(E251,金币生产率!$A$2:$B$120,2,0)</f>
        <v>3534</v>
      </c>
      <c r="V251" s="2">
        <f t="shared" si="97"/>
        <v>178.57142857142858</v>
      </c>
      <c r="W251" s="45">
        <f t="shared" ca="1" si="110"/>
        <v>119</v>
      </c>
      <c r="X251" s="48">
        <f t="shared" ca="1" si="111"/>
        <v>1732</v>
      </c>
      <c r="Y251">
        <f t="shared" si="98"/>
        <v>18</v>
      </c>
      <c r="Z251">
        <f t="shared" ca="1" si="105"/>
        <v>48</v>
      </c>
      <c r="AA251" t="str">
        <f t="shared" ca="1" si="106"/>
        <v>9122400.png</v>
      </c>
      <c r="AB251">
        <f t="shared" si="99"/>
        <v>3</v>
      </c>
      <c r="AC251">
        <f>VLOOKUP(C251,技能辅助查询表,技能配置辅助表!$W$1,FALSE)</f>
        <v>5603</v>
      </c>
      <c r="AD251">
        <f t="shared" ca="1" si="107"/>
        <v>1262.4596989670638</v>
      </c>
      <c r="AE251">
        <f>VLOOKUP(C251,技能辅助查询表,技能配置辅助表!$U$1,FALSE)</f>
        <v>4</v>
      </c>
      <c r="AF251">
        <f t="shared" ca="1" si="108"/>
        <v>9122445</v>
      </c>
      <c r="AG251">
        <f t="shared" ca="1" si="112"/>
        <v>72.755102040816325</v>
      </c>
      <c r="AH251">
        <f t="shared" ca="1" si="109"/>
        <v>3971.7833225930094</v>
      </c>
      <c r="AI251">
        <f ca="1">VLOOKUP(E251,伤害参考系!$C$4:$E$104,3,FALSE)*$AN$12</f>
        <v>18368.517032608706</v>
      </c>
      <c r="AJ251">
        <f>VLOOKUP(C251,技能辅助查询表,技能配置辅助表!$L$1,FALSE)</f>
        <v>6</v>
      </c>
      <c r="AK251">
        <f>VLOOKUP(C251,技能辅助查询表,技能配置辅助表!$AE$1,FALSE)</f>
        <v>66000113</v>
      </c>
    </row>
    <row r="252" spans="1:37" x14ac:dyDescent="0.15">
      <c r="A252" s="1">
        <f t="shared" ca="1" si="100"/>
        <v>9122446</v>
      </c>
      <c r="B252" s="1" t="str">
        <f t="shared" ca="1" si="85"/>
        <v>影袭·斩第4段</v>
      </c>
      <c r="C252" t="s">
        <v>154</v>
      </c>
      <c r="D252">
        <f t="shared" si="86"/>
        <v>1</v>
      </c>
      <c r="E252" s="42">
        <f t="shared" ca="1" si="101"/>
        <v>74</v>
      </c>
      <c r="F252" t="str">
        <f t="shared" ca="1" si="102"/>
        <v>第46级，共造成260.7%点伤害</v>
      </c>
      <c r="G252">
        <f t="shared" ca="1" si="103"/>
        <v>4</v>
      </c>
      <c r="H252">
        <f t="shared" si="87"/>
        <v>4</v>
      </c>
      <c r="I252" s="44">
        <f t="shared" ca="1" si="104"/>
        <v>46</v>
      </c>
      <c r="J252">
        <f t="shared" si="88"/>
        <v>2</v>
      </c>
      <c r="K252" s="36">
        <f t="shared" ca="1" si="89"/>
        <v>43.452380952380949</v>
      </c>
      <c r="L252" s="10">
        <f ca="1">AH252*VLOOKUP(C252,技能辅助查询表,技能配置辅助表!$T$1,FALSE)</f>
        <v>0</v>
      </c>
      <c r="M252">
        <f t="shared" ca="1" si="90"/>
        <v>4320</v>
      </c>
      <c r="N252" s="33">
        <f ca="1">CHOOSE(1,W252*U252,X252*'[1]0、经济设定'!$C$18)</f>
        <v>461518</v>
      </c>
      <c r="O252">
        <f t="shared" si="91"/>
        <v>2</v>
      </c>
      <c r="P252">
        <f t="shared" si="92"/>
        <v>6</v>
      </c>
      <c r="Q252">
        <f t="shared" si="93"/>
        <v>1</v>
      </c>
      <c r="R252" s="2">
        <f t="shared" si="94"/>
        <v>9</v>
      </c>
      <c r="S252" s="2">
        <f t="shared" si="95"/>
        <v>50</v>
      </c>
      <c r="T252" s="2">
        <f t="shared" si="96"/>
        <v>29.761904761904763</v>
      </c>
      <c r="U252" s="2">
        <f ca="1">VLOOKUP(E252,金币生产率!$A$2:$B$120,2,0)</f>
        <v>3634</v>
      </c>
      <c r="V252" s="2">
        <f t="shared" si="97"/>
        <v>178.57142857142858</v>
      </c>
      <c r="W252" s="45">
        <f t="shared" ca="1" si="110"/>
        <v>127</v>
      </c>
      <c r="X252" s="48">
        <f t="shared" ca="1" si="111"/>
        <v>1859</v>
      </c>
      <c r="Y252">
        <f t="shared" si="98"/>
        <v>18</v>
      </c>
      <c r="Z252">
        <f t="shared" ca="1" si="105"/>
        <v>51</v>
      </c>
      <c r="AA252" t="str">
        <f t="shared" ca="1" si="106"/>
        <v>9122400.png</v>
      </c>
      <c r="AB252">
        <f t="shared" si="99"/>
        <v>3</v>
      </c>
      <c r="AC252">
        <f>VLOOKUP(C252,技能辅助查询表,技能配置辅助表!$W$1,FALSE)</f>
        <v>5603</v>
      </c>
      <c r="AD252">
        <f t="shared" ca="1" si="107"/>
        <v>1453.443052446311</v>
      </c>
      <c r="AE252">
        <f>VLOOKUP(C252,技能辅助查询表,技能配置辅助表!$U$1,FALSE)</f>
        <v>4</v>
      </c>
      <c r="AF252">
        <f t="shared" ca="1" si="108"/>
        <v>9122446</v>
      </c>
      <c r="AG252">
        <f t="shared" ca="1" si="112"/>
        <v>74.204081632653057</v>
      </c>
      <c r="AH252">
        <f t="shared" ca="1" si="109"/>
        <v>4521.8228298329677</v>
      </c>
      <c r="AI252">
        <f ca="1">VLOOKUP(E252,伤害参考系!$C$4:$E$104,3,FALSE)*$AN$12</f>
        <v>19123.189597826095</v>
      </c>
      <c r="AJ252">
        <f>VLOOKUP(C252,技能辅助查询表,技能配置辅助表!$L$1,FALSE)</f>
        <v>6</v>
      </c>
      <c r="AK252">
        <f>VLOOKUP(C252,技能辅助查询表,技能配置辅助表!$AE$1,FALSE)</f>
        <v>66000113</v>
      </c>
    </row>
    <row r="253" spans="1:37" x14ac:dyDescent="0.15">
      <c r="A253" s="1">
        <f t="shared" ca="1" si="100"/>
        <v>9122447</v>
      </c>
      <c r="B253" s="1" t="str">
        <f t="shared" ca="1" si="85"/>
        <v>影袭·斩第4段</v>
      </c>
      <c r="C253" t="s">
        <v>154</v>
      </c>
      <c r="D253">
        <f t="shared" si="86"/>
        <v>1</v>
      </c>
      <c r="E253" s="42">
        <f t="shared" ca="1" si="101"/>
        <v>76</v>
      </c>
      <c r="F253" t="str">
        <f t="shared" ca="1" si="102"/>
        <v>第47级，共造成262.5%点伤害</v>
      </c>
      <c r="G253">
        <f t="shared" ca="1" si="103"/>
        <v>4</v>
      </c>
      <c r="H253">
        <f t="shared" si="87"/>
        <v>4</v>
      </c>
      <c r="I253" s="44">
        <f t="shared" ca="1" si="104"/>
        <v>47</v>
      </c>
      <c r="J253">
        <f t="shared" si="88"/>
        <v>2</v>
      </c>
      <c r="K253" s="36">
        <f t="shared" ca="1" si="89"/>
        <v>43.75</v>
      </c>
      <c r="L253" s="10">
        <f ca="1">AH253*VLOOKUP(C253,技能辅助查询表,技能配置辅助表!$T$1,FALSE)</f>
        <v>0</v>
      </c>
      <c r="M253">
        <f t="shared" ca="1" si="90"/>
        <v>4240</v>
      </c>
      <c r="N253" s="33">
        <f ca="1">CHOOSE(1,W253*U253,X253*'[1]0、经济设定'!$C$18)</f>
        <v>521968</v>
      </c>
      <c r="O253">
        <f t="shared" si="91"/>
        <v>2</v>
      </c>
      <c r="P253">
        <f t="shared" si="92"/>
        <v>6</v>
      </c>
      <c r="Q253">
        <f t="shared" si="93"/>
        <v>1</v>
      </c>
      <c r="R253" s="2">
        <f t="shared" si="94"/>
        <v>9</v>
      </c>
      <c r="S253" s="2">
        <f t="shared" si="95"/>
        <v>50</v>
      </c>
      <c r="T253" s="2">
        <f t="shared" si="96"/>
        <v>29.761904761904763</v>
      </c>
      <c r="U253" s="2">
        <f ca="1">VLOOKUP(E253,金币生产率!$A$2:$B$120,2,0)</f>
        <v>3838</v>
      </c>
      <c r="V253" s="2">
        <f t="shared" si="97"/>
        <v>178.57142857142858</v>
      </c>
      <c r="W253" s="45">
        <f t="shared" ca="1" si="110"/>
        <v>136</v>
      </c>
      <c r="X253" s="48">
        <f t="shared" ca="1" si="111"/>
        <v>1995</v>
      </c>
      <c r="Y253">
        <f t="shared" si="98"/>
        <v>18</v>
      </c>
      <c r="Z253">
        <f t="shared" ca="1" si="105"/>
        <v>55</v>
      </c>
      <c r="AA253" t="str">
        <f t="shared" ca="1" si="106"/>
        <v>9122400.png</v>
      </c>
      <c r="AB253">
        <f t="shared" si="99"/>
        <v>3</v>
      </c>
      <c r="AC253">
        <f>VLOOKUP(C253,技能辅助查询表,技能配置辅助表!$W$1,FALSE)</f>
        <v>5603</v>
      </c>
      <c r="AD253">
        <f t="shared" ca="1" si="107"/>
        <v>1673.111550705428</v>
      </c>
      <c r="AE253">
        <f>VLOOKUP(C253,技能辅助查询表,技能配置辅助表!$U$1,FALSE)</f>
        <v>4</v>
      </c>
      <c r="AF253">
        <f t="shared" ca="1" si="108"/>
        <v>9122447</v>
      </c>
      <c r="AG253">
        <f t="shared" ca="1" si="112"/>
        <v>75.65306122448979</v>
      </c>
      <c r="AH253">
        <f t="shared" ca="1" si="109"/>
        <v>5148.0355406320868</v>
      </c>
      <c r="AI253">
        <f ca="1">VLOOKUP(E253,伤害参考系!$C$4:$E$104,3,FALSE)*$AN$12</f>
        <v>20676.268264214057</v>
      </c>
      <c r="AJ253">
        <f>VLOOKUP(C253,技能辅助查询表,技能配置辅助表!$L$1,FALSE)</f>
        <v>6</v>
      </c>
      <c r="AK253">
        <f>VLOOKUP(C253,技能辅助查询表,技能配置辅助表!$AE$1,FALSE)</f>
        <v>66000113</v>
      </c>
    </row>
    <row r="254" spans="1:37" x14ac:dyDescent="0.15">
      <c r="A254" s="1">
        <f t="shared" ca="1" si="100"/>
        <v>9122448</v>
      </c>
      <c r="B254" s="1" t="str">
        <f t="shared" ca="1" si="85"/>
        <v>影袭·斩第4段</v>
      </c>
      <c r="C254" t="s">
        <v>154</v>
      </c>
      <c r="D254">
        <f t="shared" si="86"/>
        <v>1</v>
      </c>
      <c r="E254" s="42">
        <f t="shared" ca="1" si="101"/>
        <v>77</v>
      </c>
      <c r="F254" t="str">
        <f t="shared" ca="1" si="102"/>
        <v>第48级，共造成264.3%点伤害</v>
      </c>
      <c r="G254">
        <f t="shared" ca="1" si="103"/>
        <v>4</v>
      </c>
      <c r="H254">
        <f t="shared" si="87"/>
        <v>4</v>
      </c>
      <c r="I254" s="44">
        <f t="shared" ca="1" si="104"/>
        <v>48</v>
      </c>
      <c r="J254">
        <f t="shared" si="88"/>
        <v>2</v>
      </c>
      <c r="K254" s="36">
        <f t="shared" ca="1" si="89"/>
        <v>44.047619047619051</v>
      </c>
      <c r="L254" s="10">
        <f ca="1">AH254*VLOOKUP(C254,技能辅助查询表,技能配置辅助表!$T$1,FALSE)</f>
        <v>0</v>
      </c>
      <c r="M254">
        <f t="shared" ca="1" si="90"/>
        <v>4160</v>
      </c>
      <c r="N254" s="33">
        <f ca="1">CHOOSE(1,W254*U254,X254*'[1]0、经济设定'!$C$18)</f>
        <v>575532</v>
      </c>
      <c r="O254">
        <f t="shared" si="91"/>
        <v>2</v>
      </c>
      <c r="P254">
        <f t="shared" si="92"/>
        <v>6</v>
      </c>
      <c r="Q254">
        <f t="shared" si="93"/>
        <v>1</v>
      </c>
      <c r="R254" s="2">
        <f t="shared" si="94"/>
        <v>9</v>
      </c>
      <c r="S254" s="2">
        <f t="shared" si="95"/>
        <v>50</v>
      </c>
      <c r="T254" s="2">
        <f t="shared" si="96"/>
        <v>29.761904761904763</v>
      </c>
      <c r="U254" s="2">
        <f ca="1">VLOOKUP(E254,金币生产率!$A$2:$B$120,2,0)</f>
        <v>3942</v>
      </c>
      <c r="V254" s="2">
        <f t="shared" si="97"/>
        <v>178.57142857142858</v>
      </c>
      <c r="W254" s="45">
        <f t="shared" ca="1" si="110"/>
        <v>146</v>
      </c>
      <c r="X254" s="48">
        <f t="shared" ca="1" si="111"/>
        <v>2141</v>
      </c>
      <c r="Y254">
        <f t="shared" si="98"/>
        <v>18</v>
      </c>
      <c r="Z254">
        <f t="shared" ca="1" si="105"/>
        <v>59</v>
      </c>
      <c r="AA254" t="str">
        <f t="shared" ca="1" si="106"/>
        <v>9122400.png</v>
      </c>
      <c r="AB254">
        <f t="shared" si="99"/>
        <v>3</v>
      </c>
      <c r="AC254">
        <f>VLOOKUP(C254,技能辅助查询表,技能配置辅助表!$W$1,FALSE)</f>
        <v>5603</v>
      </c>
      <c r="AD254">
        <f t="shared" ca="1" si="107"/>
        <v>1925.7474293442087</v>
      </c>
      <c r="AE254">
        <f>VLOOKUP(C254,技能辅助查询表,技能配置辅助表!$U$1,FALSE)</f>
        <v>4</v>
      </c>
      <c r="AF254">
        <f t="shared" ca="1" si="108"/>
        <v>9122448</v>
      </c>
      <c r="AG254">
        <f t="shared" ca="1" si="112"/>
        <v>77.102040816326536</v>
      </c>
      <c r="AH254">
        <f t="shared" ca="1" si="109"/>
        <v>5860.970437134547</v>
      </c>
      <c r="AI254">
        <f ca="1">VLOOKUP(E254,伤害参考系!$C$4:$E$104,3,FALSE)*$AN$12</f>
        <v>21474.674365384624</v>
      </c>
      <c r="AJ254">
        <f>VLOOKUP(C254,技能辅助查询表,技能配置辅助表!$L$1,FALSE)</f>
        <v>6</v>
      </c>
      <c r="AK254">
        <f>VLOOKUP(C254,技能辅助查询表,技能配置辅助表!$AE$1,FALSE)</f>
        <v>66000113</v>
      </c>
    </row>
    <row r="255" spans="1:37" x14ac:dyDescent="0.15">
      <c r="A255" s="1">
        <f t="shared" ca="1" si="100"/>
        <v>9122449</v>
      </c>
      <c r="B255" s="1" t="str">
        <f t="shared" ca="1" si="85"/>
        <v>影袭·斩第4段</v>
      </c>
      <c r="C255" t="s">
        <v>154</v>
      </c>
      <c r="D255">
        <f t="shared" si="86"/>
        <v>1</v>
      </c>
      <c r="E255" s="42">
        <f t="shared" ca="1" si="101"/>
        <v>79</v>
      </c>
      <c r="F255" t="str">
        <f t="shared" ca="1" si="102"/>
        <v>第49级，共造成266.1%点伤害</v>
      </c>
      <c r="G255">
        <f t="shared" ca="1" si="103"/>
        <v>4</v>
      </c>
      <c r="H255">
        <f t="shared" si="87"/>
        <v>4</v>
      </c>
      <c r="I255" s="44">
        <f t="shared" ca="1" si="104"/>
        <v>49</v>
      </c>
      <c r="J255">
        <f t="shared" si="88"/>
        <v>2</v>
      </c>
      <c r="K255" s="36">
        <f t="shared" ca="1" si="89"/>
        <v>44.345238095238095</v>
      </c>
      <c r="L255" s="10">
        <f ca="1">AH255*VLOOKUP(C255,技能辅助查询表,技能配置辅助表!$T$1,FALSE)</f>
        <v>0</v>
      </c>
      <c r="M255">
        <f t="shared" ca="1" si="90"/>
        <v>4080</v>
      </c>
      <c r="N255" s="33">
        <f ca="1">CHOOSE(1,W255*U255,X255*'[1]0、经济设定'!$C$18)</f>
        <v>648024</v>
      </c>
      <c r="O255">
        <f t="shared" si="91"/>
        <v>2</v>
      </c>
      <c r="P255">
        <f t="shared" si="92"/>
        <v>6</v>
      </c>
      <c r="Q255">
        <f t="shared" si="93"/>
        <v>1</v>
      </c>
      <c r="R255" s="2">
        <f t="shared" si="94"/>
        <v>9</v>
      </c>
      <c r="S255" s="2">
        <f t="shared" si="95"/>
        <v>50</v>
      </c>
      <c r="T255" s="2">
        <f t="shared" si="96"/>
        <v>29.761904761904763</v>
      </c>
      <c r="U255" s="2">
        <f ca="1">VLOOKUP(E255,金币生产率!$A$2:$B$120,2,0)</f>
        <v>4154</v>
      </c>
      <c r="V255" s="2">
        <f t="shared" si="97"/>
        <v>178.57142857142858</v>
      </c>
      <c r="W255" s="45">
        <f t="shared" ca="1" si="110"/>
        <v>156</v>
      </c>
      <c r="X255" s="48">
        <f t="shared" ca="1" si="111"/>
        <v>2297</v>
      </c>
      <c r="Y255">
        <f t="shared" si="98"/>
        <v>18</v>
      </c>
      <c r="Z255">
        <f t="shared" ca="1" si="105"/>
        <v>63</v>
      </c>
      <c r="AA255" t="str">
        <f t="shared" ca="1" si="106"/>
        <v>9122400.png</v>
      </c>
      <c r="AB255">
        <f t="shared" si="99"/>
        <v>3</v>
      </c>
      <c r="AC255">
        <f>VLOOKUP(C255,技能辅助查询表,技能配置辅助表!$W$1,FALSE)</f>
        <v>5603</v>
      </c>
      <c r="AD255">
        <f t="shared" ca="1" si="107"/>
        <v>2216.2688494248396</v>
      </c>
      <c r="AE255">
        <f>VLOOKUP(C255,技能辅助查询表,技能配置辅助表!$U$1,FALSE)</f>
        <v>4</v>
      </c>
      <c r="AF255">
        <f t="shared" ca="1" si="108"/>
        <v>9122449</v>
      </c>
      <c r="AG255">
        <f t="shared" ca="1" si="112"/>
        <v>78.551020408163268</v>
      </c>
      <c r="AH255">
        <f t="shared" ca="1" si="109"/>
        <v>6672.6373961177951</v>
      </c>
      <c r="AI255">
        <f ca="1">VLOOKUP(E255,伤害参考系!$C$4:$E$104,3,FALSE)*$AN$12</f>
        <v>23115.220103678937</v>
      </c>
      <c r="AJ255">
        <f>VLOOKUP(C255,技能辅助查询表,技能配置辅助表!$L$1,FALSE)</f>
        <v>6</v>
      </c>
      <c r="AK255">
        <f>VLOOKUP(C255,技能辅助查询表,技能配置辅助表!$AE$1,FALSE)</f>
        <v>66000113</v>
      </c>
    </row>
    <row r="256" spans="1:37" x14ac:dyDescent="0.15">
      <c r="A256" s="1">
        <f t="shared" ca="1" si="100"/>
        <v>9122450</v>
      </c>
      <c r="B256" s="1" t="str">
        <f t="shared" ca="1" si="85"/>
        <v>影袭·斩第4段</v>
      </c>
      <c r="C256" t="s">
        <v>154</v>
      </c>
      <c r="D256">
        <f t="shared" si="86"/>
        <v>1</v>
      </c>
      <c r="E256" s="42">
        <f t="shared" ca="1" si="101"/>
        <v>80</v>
      </c>
      <c r="F256" t="str">
        <f t="shared" ca="1" si="102"/>
        <v>第50级，共造成267.9%点伤害</v>
      </c>
      <c r="G256">
        <f t="shared" ca="1" si="103"/>
        <v>4</v>
      </c>
      <c r="H256">
        <f t="shared" si="87"/>
        <v>4</v>
      </c>
      <c r="I256" s="44">
        <f t="shared" ca="1" si="104"/>
        <v>50</v>
      </c>
      <c r="J256">
        <f t="shared" si="88"/>
        <v>2</v>
      </c>
      <c r="K256" s="36">
        <f t="shared" ca="1" si="89"/>
        <v>44.642857142857146</v>
      </c>
      <c r="L256" s="10">
        <f ca="1">AH256*VLOOKUP(C256,技能辅助查询表,技能配置辅助表!$T$1,FALSE)</f>
        <v>0</v>
      </c>
      <c r="M256">
        <f t="shared" ca="1" si="90"/>
        <v>4000</v>
      </c>
      <c r="N256" s="33">
        <f ca="1">CHOOSE(1,W256*U256,X256*'[1]0、经济设定'!$C$18)</f>
        <v>711754</v>
      </c>
      <c r="O256">
        <f t="shared" si="91"/>
        <v>2</v>
      </c>
      <c r="P256">
        <f t="shared" si="92"/>
        <v>6</v>
      </c>
      <c r="Q256">
        <f t="shared" si="93"/>
        <v>1</v>
      </c>
      <c r="R256" s="2">
        <f t="shared" si="94"/>
        <v>9</v>
      </c>
      <c r="S256" s="2">
        <f t="shared" si="95"/>
        <v>50</v>
      </c>
      <c r="T256" s="2">
        <f t="shared" si="96"/>
        <v>29.761904761904763</v>
      </c>
      <c r="U256" s="2">
        <f ca="1">VLOOKUP(E256,金币生产率!$A$2:$B$120,2,0)</f>
        <v>4262</v>
      </c>
      <c r="V256" s="2">
        <f t="shared" si="97"/>
        <v>178.57142857142858</v>
      </c>
      <c r="W256" s="45">
        <f t="shared" ca="1" si="110"/>
        <v>167</v>
      </c>
      <c r="X256" s="48">
        <f t="shared" ca="1" si="111"/>
        <v>2464</v>
      </c>
      <c r="Y256">
        <f t="shared" si="98"/>
        <v>18</v>
      </c>
      <c r="Z256">
        <f t="shared" ca="1" si="105"/>
        <v>67</v>
      </c>
      <c r="AA256" t="str">
        <f t="shared" ca="1" si="106"/>
        <v>9122400.png</v>
      </c>
      <c r="AB256">
        <f t="shared" si="99"/>
        <v>3</v>
      </c>
      <c r="AC256">
        <f>VLOOKUP(C256,技能辅助查询表,技能配置辅助表!$W$1,FALSE)</f>
        <v>5603</v>
      </c>
      <c r="AD256">
        <f t="shared" ca="1" si="107"/>
        <v>2550.3239047783368</v>
      </c>
      <c r="AE256">
        <f>VLOOKUP(C256,技能辅助查询表,技能配置辅助表!$U$1,FALSE)</f>
        <v>4</v>
      </c>
      <c r="AF256">
        <f t="shared" ca="1" si="108"/>
        <v>9122450</v>
      </c>
      <c r="AG256">
        <f t="shared" ca="1" si="112"/>
        <v>80</v>
      </c>
      <c r="AH256">
        <f t="shared" ca="1" si="109"/>
        <v>7596.7095035950451</v>
      </c>
      <c r="AI256">
        <f ca="1">VLOOKUP(E256,伤害参考系!$C$4:$E$104,3,FALSE)*$AN$12</f>
        <v>24028.87424749164</v>
      </c>
      <c r="AJ256">
        <f>VLOOKUP(C256,技能辅助查询表,技能配置辅助表!$L$1,FALSE)</f>
        <v>6</v>
      </c>
      <c r="AK256">
        <f>VLOOKUP(C256,技能辅助查询表,技能配置辅助表!$AE$1,FALSE)</f>
        <v>66000113</v>
      </c>
    </row>
    <row r="257" spans="1:37" x14ac:dyDescent="0.15">
      <c r="A257" s="1">
        <f t="shared" ca="1" si="100"/>
        <v>9113000</v>
      </c>
      <c r="B257" s="1" t="str">
        <f t="shared" ca="1" si="85"/>
        <v>光刃·斩</v>
      </c>
      <c r="C257" t="s">
        <v>155</v>
      </c>
      <c r="D257">
        <f t="shared" si="86"/>
        <v>1</v>
      </c>
      <c r="E257" s="42">
        <f t="shared" ca="1" si="101"/>
        <v>5</v>
      </c>
      <c r="F257" t="str">
        <f t="shared" ca="1" si="102"/>
        <v>第0级，共造成214.3%点伤害</v>
      </c>
      <c r="G257">
        <f t="shared" ca="1" si="103"/>
        <v>0</v>
      </c>
      <c r="H257">
        <f t="shared" si="87"/>
        <v>1</v>
      </c>
      <c r="I257" s="44">
        <f t="shared" ca="1" si="104"/>
        <v>0</v>
      </c>
      <c r="J257">
        <f t="shared" si="88"/>
        <v>1</v>
      </c>
      <c r="K257" s="36">
        <f t="shared" ca="1" si="89"/>
        <v>71.428571428571431</v>
      </c>
      <c r="L257" s="10">
        <f ca="1">AH257*VLOOKUP(C257,技能辅助查询表,技能配置辅助表!$T$1,FALSE)</f>
        <v>0</v>
      </c>
      <c r="M257">
        <f t="shared" ca="1" si="90"/>
        <v>10000</v>
      </c>
      <c r="N257" s="33">
        <f ca="1">CHOOSE(1,W257*U257,X257*'[1]0、经济设定'!$C$18)</f>
        <v>0</v>
      </c>
      <c r="O257">
        <f t="shared" si="91"/>
        <v>3</v>
      </c>
      <c r="P257">
        <f t="shared" si="92"/>
        <v>3</v>
      </c>
      <c r="Q257">
        <f t="shared" si="93"/>
        <v>1</v>
      </c>
      <c r="R257" s="2">
        <f t="shared" si="94"/>
        <v>5</v>
      </c>
      <c r="S257" s="2">
        <f t="shared" si="95"/>
        <v>50</v>
      </c>
      <c r="T257" s="2">
        <f t="shared" si="96"/>
        <v>71.428571428571431</v>
      </c>
      <c r="U257" s="2">
        <f ca="1">VLOOKUP(E257,金币生产率!$A$2:$B$120,2,0)</f>
        <v>74</v>
      </c>
      <c r="V257" s="2">
        <f t="shared" si="97"/>
        <v>214.28571428571428</v>
      </c>
      <c r="W257" s="45">
        <f t="shared" ca="1" si="110"/>
        <v>0</v>
      </c>
      <c r="X257" s="48">
        <f t="shared" ca="1" si="111"/>
        <v>0</v>
      </c>
      <c r="Y257">
        <f t="shared" si="98"/>
        <v>18</v>
      </c>
      <c r="Z257">
        <f t="shared" ca="1" si="105"/>
        <v>0</v>
      </c>
      <c r="AA257" t="str">
        <f t="shared" ca="1" si="106"/>
        <v>9113100.png</v>
      </c>
      <c r="AB257">
        <f t="shared" si="99"/>
        <v>7</v>
      </c>
      <c r="AC257">
        <f>VLOOKUP(C257,技能辅助查询表,技能配置辅助表!$W$1,FALSE)</f>
        <v>22081</v>
      </c>
      <c r="AD257">
        <f t="shared" ca="1" si="107"/>
        <v>2.6500114285714291</v>
      </c>
      <c r="AE257">
        <f>VLOOKUP(C257,技能辅助查询表,技能配置辅助表!$U$1,FALSE)</f>
        <v>1</v>
      </c>
      <c r="AF257">
        <f t="shared" ca="1" si="108"/>
        <v>9113100</v>
      </c>
      <c r="AG257">
        <f t="shared" ca="1" si="112"/>
        <v>0</v>
      </c>
      <c r="AH257">
        <f t="shared" ca="1" si="109"/>
        <v>11.5938</v>
      </c>
      <c r="AI257">
        <f ca="1">VLOOKUP(E257,伤害参考系!$C$4:$E$104,3,FALSE)*$AN$12</f>
        <v>54</v>
      </c>
      <c r="AJ257">
        <f>VLOOKUP(C257,技能辅助查询表,技能配置辅助表!$L$1,FALSE)</f>
        <v>3</v>
      </c>
      <c r="AK257">
        <f>VLOOKUP(C257,技能辅助查询表,技能配置辅助表!$AE$1,FALSE)</f>
        <v>66000622</v>
      </c>
    </row>
    <row r="258" spans="1:37" x14ac:dyDescent="0.15">
      <c r="A258" s="1">
        <f t="shared" ca="1" si="100"/>
        <v>9113101</v>
      </c>
      <c r="B258" s="1" t="str">
        <f t="shared" ref="B258:B321" ca="1" si="113">IF(AND(G258=0,AE258=4),LEFT(C258,LEN(C258)-3),C258)</f>
        <v>光刃·斩</v>
      </c>
      <c r="C258" t="s">
        <v>155</v>
      </c>
      <c r="D258">
        <f t="shared" ref="D258:D321" si="114">VLOOKUP(C258,技能辅助查询表,3,FALSE)</f>
        <v>1</v>
      </c>
      <c r="E258" s="42">
        <f t="shared" ca="1" si="101"/>
        <v>5</v>
      </c>
      <c r="F258" t="str">
        <f t="shared" ca="1" si="102"/>
        <v>第1级，共造成214.3%点伤害</v>
      </c>
      <c r="G258">
        <f t="shared" ca="1" si="103"/>
        <v>1</v>
      </c>
      <c r="H258">
        <f t="shared" ref="H258:H321" si="115">VLOOKUP(C258,技能辅助查询表,2,FALSE)</f>
        <v>1</v>
      </c>
      <c r="I258" s="44">
        <f t="shared" ca="1" si="104"/>
        <v>1</v>
      </c>
      <c r="J258">
        <f t="shared" ref="J258:J321" si="116">VLOOKUP(C258,技能辅助查询表,4,FALSE)</f>
        <v>1</v>
      </c>
      <c r="K258" s="36">
        <f t="shared" ref="K258:K321" ca="1" si="117">IF(OR(I258=0,I258=1),T258,T258+T258*($AN$6-1)/S258*I258)</f>
        <v>71.428571428571431</v>
      </c>
      <c r="L258" s="10">
        <f ca="1">AH258*VLOOKUP(C258,技能辅助查询表,技能配置辅助表!$T$1,FALSE)</f>
        <v>0</v>
      </c>
      <c r="M258">
        <f t="shared" ref="M258:M321" ca="1" si="118">IF(OR(I258=0,I258=1),VLOOKUP(C258,技能辅助查询表,14,FALSE),VLOOKUP(C258,技能辅助查询表,14,FALSE)-VLOOKUP(C258,技能辅助查询表,14,FALSE)*0.5/S258*I258)</f>
        <v>10000</v>
      </c>
      <c r="N258" s="33">
        <f ca="1">CHOOSE(1,W258*U258,X258*'[1]0、经济设定'!$C$18)</f>
        <v>592</v>
      </c>
      <c r="O258">
        <f t="shared" ref="O258:O321" si="119">VLOOKUP(C258,技能辅助查询表,5,FALSE)</f>
        <v>3</v>
      </c>
      <c r="P258">
        <f t="shared" ref="P258:P321" si="120">VLOOKUP(C258,技能辅助查询表,6,FALSE)</f>
        <v>3</v>
      </c>
      <c r="Q258">
        <f t="shared" ref="Q258:Q321" si="121">VLOOKUP(C258,技能辅助查询表,7,FALSE)</f>
        <v>1</v>
      </c>
      <c r="R258" s="2">
        <f t="shared" ref="R258:R321" si="122">VLOOKUP(C258,技能辅助查询表,9,FALSE)</f>
        <v>5</v>
      </c>
      <c r="S258" s="2">
        <f t="shared" ref="S258:S321" si="123">VLOOKUP(C258,技能辅助查询表,8,FALSE)</f>
        <v>50</v>
      </c>
      <c r="T258" s="2">
        <f t="shared" ref="T258:T321" si="124">VLOOKUP(C258,技能辅助查询表,11,FALSE)</f>
        <v>71.428571428571431</v>
      </c>
      <c r="U258" s="2">
        <f ca="1">VLOOKUP(E258,金币生产率!$A$2:$B$120,2,0)</f>
        <v>74</v>
      </c>
      <c r="V258" s="2">
        <f t="shared" ref="V258:V321" si="125">VLOOKUP(C258,技能辅助查询表,12,FALSE)</f>
        <v>214.28571428571428</v>
      </c>
      <c r="W258" s="45">
        <f t="shared" ca="1" si="110"/>
        <v>8</v>
      </c>
      <c r="X258" s="48">
        <f t="shared" ca="1" si="111"/>
        <v>8</v>
      </c>
      <c r="Y258">
        <f t="shared" ref="Y258:Y321" si="126">VLOOKUP(C258,技能辅助查询表,15,FALSE)</f>
        <v>18</v>
      </c>
      <c r="Z258">
        <f t="shared" ca="1" si="105"/>
        <v>0</v>
      </c>
      <c r="AA258" t="str">
        <f t="shared" ca="1" si="106"/>
        <v>9113100.png</v>
      </c>
      <c r="AB258">
        <f t="shared" ref="AB258:AB321" si="127">VLOOKUP(C258,技能辅助查询表,17,FALSE)</f>
        <v>7</v>
      </c>
      <c r="AC258">
        <f>VLOOKUP(C258,技能辅助查询表,技能配置辅助表!$W$1,FALSE)</f>
        <v>22081</v>
      </c>
      <c r="AD258">
        <f t="shared" ca="1" si="107"/>
        <v>3.017002994314764</v>
      </c>
      <c r="AE258">
        <f>VLOOKUP(C258,技能辅助查询表,技能配置辅助表!$U$1,FALSE)</f>
        <v>1</v>
      </c>
      <c r="AF258">
        <f t="shared" ca="1" si="108"/>
        <v>9113101</v>
      </c>
      <c r="AG258">
        <f t="shared" ca="1" si="112"/>
        <v>5</v>
      </c>
      <c r="AH258">
        <f t="shared" ca="1" si="109"/>
        <v>13.199388100127095</v>
      </c>
      <c r="AI258">
        <f ca="1">VLOOKUP(E258,伤害参考系!$C$4:$E$104,3,FALSE)*$AN$12</f>
        <v>54</v>
      </c>
      <c r="AJ258">
        <f>VLOOKUP(C258,技能辅助查询表,技能配置辅助表!$L$1,FALSE)</f>
        <v>3</v>
      </c>
      <c r="AK258">
        <f>VLOOKUP(C258,技能辅助查询表,技能配置辅助表!$AE$1,FALSE)</f>
        <v>66000622</v>
      </c>
    </row>
    <row r="259" spans="1:37" x14ac:dyDescent="0.15">
      <c r="A259" s="1">
        <f t="shared" ref="A259:A322" ca="1" si="128">IF(I259=0,IF(H259=1,VALUE("9"&amp;D259&amp;J259&amp;O259&amp;G259&amp;IF(I259&gt;9,I259,"0"&amp;I259)),1),VALUE("9"&amp;D259&amp;J259&amp;O259&amp;G259&amp;IF(I259&gt;9,I259,"0"&amp;I259)))</f>
        <v>9113102</v>
      </c>
      <c r="B259" s="1" t="str">
        <f t="shared" ca="1" si="113"/>
        <v>光刃·斩</v>
      </c>
      <c r="C259" t="s">
        <v>155</v>
      </c>
      <c r="D259">
        <f t="shared" si="114"/>
        <v>1</v>
      </c>
      <c r="E259" s="42">
        <f t="shared" ref="E259:E322" ca="1" si="129">IF(I259=0,E260,IF(AND(I259=1,G259&gt;1),OFFSET(E259,(1-G259)*51,0),IF(OR(I259=1,AND(I259=2,R259=2)),R259,IF(I259=0,0,ROUND(I259*(80-R259)/S259,0)+R259))))</f>
        <v>8</v>
      </c>
      <c r="F259" t="str">
        <f t="shared" ref="F259:F322" ca="1" si="130">"第"&amp;I259&amp;"级，共造成"&amp;ROUND(AJ259*K259,1)&amp;"%点伤害"</f>
        <v>第2级，共造成218.6%点伤害</v>
      </c>
      <c r="G259">
        <f t="shared" ref="G259:G322" ca="1" si="131">IF(I259=0,0,H259)</f>
        <v>1</v>
      </c>
      <c r="H259">
        <f t="shared" si="115"/>
        <v>1</v>
      </c>
      <c r="I259" s="44">
        <f t="shared" ref="I259:I322" ca="1" si="132">IF(OFFSET(C259,-1,0)=C259,I258+1,0)</f>
        <v>2</v>
      </c>
      <c r="J259">
        <f t="shared" si="116"/>
        <v>1</v>
      </c>
      <c r="K259" s="36">
        <f t="shared" ca="1" si="117"/>
        <v>72.857142857142861</v>
      </c>
      <c r="L259" s="10">
        <f ca="1">AH259*VLOOKUP(C259,技能辅助查询表,技能配置辅助表!$T$1,FALSE)</f>
        <v>0</v>
      </c>
      <c r="M259">
        <f t="shared" ca="1" si="118"/>
        <v>9800</v>
      </c>
      <c r="N259" s="33">
        <f ca="1">CHOOSE(1,W259*U259,X259*'[1]0、经济设定'!$C$18)</f>
        <v>828</v>
      </c>
      <c r="O259">
        <f t="shared" si="119"/>
        <v>3</v>
      </c>
      <c r="P259">
        <f t="shared" si="120"/>
        <v>3</v>
      </c>
      <c r="Q259">
        <f t="shared" si="121"/>
        <v>1</v>
      </c>
      <c r="R259" s="2">
        <f t="shared" si="122"/>
        <v>5</v>
      </c>
      <c r="S259" s="2">
        <f t="shared" si="123"/>
        <v>50</v>
      </c>
      <c r="T259" s="2">
        <f t="shared" si="124"/>
        <v>71.428571428571431</v>
      </c>
      <c r="U259" s="2">
        <f ca="1">VLOOKUP(E259,金币生产率!$A$2:$B$120,2,0)</f>
        <v>92</v>
      </c>
      <c r="V259" s="2">
        <f t="shared" si="125"/>
        <v>214.28571428571428</v>
      </c>
      <c r="W259" s="45">
        <f t="shared" ca="1" si="110"/>
        <v>9</v>
      </c>
      <c r="X259" s="48">
        <f t="shared" ca="1" si="111"/>
        <v>17</v>
      </c>
      <c r="Y259">
        <f t="shared" si="126"/>
        <v>18</v>
      </c>
      <c r="Z259">
        <f t="shared" ref="Z259:Z322" ca="1" si="133">IF(I259&gt;=Y259,ROUNDUP(W259/$AN$15,0),0)</f>
        <v>0</v>
      </c>
      <c r="AA259" t="str">
        <f t="shared" ref="AA259:AA322" ca="1" si="134">AF259-MOD(AF259,100)&amp;".png"</f>
        <v>9113100.png</v>
      </c>
      <c r="AB259">
        <f t="shared" si="127"/>
        <v>7</v>
      </c>
      <c r="AC259">
        <f>VLOOKUP(C259,技能辅助查询表,技能配置辅助表!$W$1,FALSE)</f>
        <v>22081</v>
      </c>
      <c r="AD259">
        <f t="shared" ref="AD259:AD322" ca="1" si="135">((AH259*K259/100+L259)*AJ259-AH259)/5</f>
        <v>3.5636237190999807</v>
      </c>
      <c r="AE259">
        <f>VLOOKUP(C259,技能辅助查询表,技能配置辅助表!$U$1,FALSE)</f>
        <v>1</v>
      </c>
      <c r="AF259">
        <f t="shared" ref="AF259:AF322" ca="1" si="136">VALUE("9"&amp;D259&amp;J259&amp;O259&amp;H259&amp;IF(I259&gt;9,I259,"0"&amp;I259))</f>
        <v>9113102</v>
      </c>
      <c r="AG259">
        <f t="shared" ca="1" si="112"/>
        <v>6.5306122448979593</v>
      </c>
      <c r="AH259">
        <f t="shared" ref="AH259:AH322" ca="1" si="137">(19.323*EXP(I259*0.1297))*$AN$12</f>
        <v>15.027328935963775</v>
      </c>
      <c r="AI259">
        <f ca="1">VLOOKUP(E259,伤害参考系!$C$4:$E$104,3,FALSE)*$AN$12</f>
        <v>115.83</v>
      </c>
      <c r="AJ259">
        <f>VLOOKUP(C259,技能辅助查询表,技能配置辅助表!$L$1,FALSE)</f>
        <v>3</v>
      </c>
      <c r="AK259">
        <f>VLOOKUP(C259,技能辅助查询表,技能配置辅助表!$AE$1,FALSE)</f>
        <v>66000622</v>
      </c>
    </row>
    <row r="260" spans="1:37" x14ac:dyDescent="0.15">
      <c r="A260" s="1">
        <f t="shared" ca="1" si="128"/>
        <v>9113103</v>
      </c>
      <c r="B260" s="1" t="str">
        <f t="shared" ca="1" si="113"/>
        <v>光刃·斩</v>
      </c>
      <c r="C260" t="s">
        <v>155</v>
      </c>
      <c r="D260">
        <f t="shared" si="114"/>
        <v>1</v>
      </c>
      <c r="E260" s="42">
        <f t="shared" ca="1" si="129"/>
        <v>10</v>
      </c>
      <c r="F260" t="str">
        <f t="shared" ca="1" si="130"/>
        <v>第3级，共造成220.7%点伤害</v>
      </c>
      <c r="G260">
        <f t="shared" ca="1" si="131"/>
        <v>1</v>
      </c>
      <c r="H260">
        <f t="shared" si="115"/>
        <v>1</v>
      </c>
      <c r="I260" s="44">
        <f t="shared" ca="1" si="132"/>
        <v>3</v>
      </c>
      <c r="J260">
        <f t="shared" si="116"/>
        <v>1</v>
      </c>
      <c r="K260" s="36">
        <f t="shared" ca="1" si="117"/>
        <v>73.571428571428569</v>
      </c>
      <c r="L260" s="10">
        <f ca="1">AH260*VLOOKUP(C260,技能辅助查询表,技能配置辅助表!$T$1,FALSE)</f>
        <v>0</v>
      </c>
      <c r="M260">
        <f t="shared" ca="1" si="118"/>
        <v>9700</v>
      </c>
      <c r="N260" s="33">
        <f ca="1">CHOOSE(1,W260*U260,X260*'[1]0、经济设定'!$C$18)</f>
        <v>936</v>
      </c>
      <c r="O260">
        <f t="shared" si="119"/>
        <v>3</v>
      </c>
      <c r="P260">
        <f t="shared" si="120"/>
        <v>3</v>
      </c>
      <c r="Q260">
        <f t="shared" si="121"/>
        <v>1</v>
      </c>
      <c r="R260" s="2">
        <f t="shared" si="122"/>
        <v>5</v>
      </c>
      <c r="S260" s="2">
        <f t="shared" si="123"/>
        <v>50</v>
      </c>
      <c r="T260" s="2">
        <f t="shared" si="124"/>
        <v>71.428571428571431</v>
      </c>
      <c r="U260" s="2">
        <f ca="1">VLOOKUP(E260,金币生产率!$A$2:$B$120,2,0)</f>
        <v>104</v>
      </c>
      <c r="V260" s="2">
        <f t="shared" si="125"/>
        <v>214.28571428571428</v>
      </c>
      <c r="W260" s="45">
        <f t="shared" ref="W260:W323" ca="1" si="138">ROUND((IF(I260=0,0,ROUND(OFFSET(AD260,S260-I260+510*(1-D260),0)*(1-$AN$13)/(1-$AN$13^S260)*$AN$13^(I260-1),0))+IF(I260=0,0,ROUND(OFFSET(AD260,S260-I260+510*(2-D260),0)*(1-$AN$13)/(1-$AN$13^S260)*$AN$13^(I260-1),0))+IF(I260=0,0,ROUND(OFFSET(AD260,S260-I260+510*(3-D260),0)*(1-$AN$13)/(1-$AN$13^S260)*$AN$13^(I260-1),0)))/3,0)</f>
        <v>9</v>
      </c>
      <c r="X260" s="48">
        <f t="shared" ref="X260:X323" ca="1" si="139">IF(I260=0,0,X259+W260)</f>
        <v>26</v>
      </c>
      <c r="Y260">
        <f t="shared" si="126"/>
        <v>18</v>
      </c>
      <c r="Z260">
        <f t="shared" ca="1" si="133"/>
        <v>0</v>
      </c>
      <c r="AA260" t="str">
        <f t="shared" ca="1" si="134"/>
        <v>9113100.png</v>
      </c>
      <c r="AB260">
        <f t="shared" si="127"/>
        <v>7</v>
      </c>
      <c r="AC260">
        <f>VLOOKUP(C260,技能辅助查询表,技能配置辅助表!$W$1,FALSE)</f>
        <v>22081</v>
      </c>
      <c r="AD260">
        <f t="shared" ca="1" si="135"/>
        <v>4.1304602950413676</v>
      </c>
      <c r="AE260">
        <f>VLOOKUP(C260,技能辅助查询表,技能配置辅助表!$U$1,FALSE)</f>
        <v>1</v>
      </c>
      <c r="AF260">
        <f t="shared" ca="1" si="136"/>
        <v>9113103</v>
      </c>
      <c r="AG260">
        <f t="shared" ca="1" si="112"/>
        <v>8.0612244897959187</v>
      </c>
      <c r="AH260">
        <f t="shared" ca="1" si="137"/>
        <v>17.108415423248271</v>
      </c>
      <c r="AI260">
        <f ca="1">VLOOKUP(E260,伤害参考系!$C$4:$E$104,3,FALSE)*$AN$12</f>
        <v>177.55434782608697</v>
      </c>
      <c r="AJ260">
        <f>VLOOKUP(C260,技能辅助查询表,技能配置辅助表!$L$1,FALSE)</f>
        <v>3</v>
      </c>
      <c r="AK260">
        <f>VLOOKUP(C260,技能辅助查询表,技能配置辅助表!$AE$1,FALSE)</f>
        <v>66000622</v>
      </c>
    </row>
    <row r="261" spans="1:37" x14ac:dyDescent="0.15">
      <c r="A261" s="1">
        <f t="shared" ca="1" si="128"/>
        <v>9113104</v>
      </c>
      <c r="B261" s="1" t="str">
        <f t="shared" ca="1" si="113"/>
        <v>光刃·斩</v>
      </c>
      <c r="C261" t="s">
        <v>155</v>
      </c>
      <c r="D261">
        <f t="shared" si="114"/>
        <v>1</v>
      </c>
      <c r="E261" s="42">
        <f t="shared" ca="1" si="129"/>
        <v>11</v>
      </c>
      <c r="F261" t="str">
        <f t="shared" ca="1" si="130"/>
        <v>第4级，共造成222.9%点伤害</v>
      </c>
      <c r="G261">
        <f t="shared" ca="1" si="131"/>
        <v>1</v>
      </c>
      <c r="H261">
        <f t="shared" si="115"/>
        <v>1</v>
      </c>
      <c r="I261" s="44">
        <f t="shared" ca="1" si="132"/>
        <v>4</v>
      </c>
      <c r="J261">
        <f t="shared" si="116"/>
        <v>1</v>
      </c>
      <c r="K261" s="36">
        <f t="shared" ca="1" si="117"/>
        <v>74.285714285714292</v>
      </c>
      <c r="L261" s="10">
        <f ca="1">AH261*VLOOKUP(C261,技能辅助查询表,技能配置辅助表!$T$1,FALSE)</f>
        <v>0</v>
      </c>
      <c r="M261">
        <f t="shared" ca="1" si="118"/>
        <v>9600</v>
      </c>
      <c r="N261" s="33">
        <f ca="1">CHOOSE(1,W261*U261,X261*'[1]0、经济设定'!$C$18)</f>
        <v>1100</v>
      </c>
      <c r="O261">
        <f t="shared" si="119"/>
        <v>3</v>
      </c>
      <c r="P261">
        <f t="shared" si="120"/>
        <v>3</v>
      </c>
      <c r="Q261">
        <f t="shared" si="121"/>
        <v>1</v>
      </c>
      <c r="R261" s="2">
        <f t="shared" si="122"/>
        <v>5</v>
      </c>
      <c r="S261" s="2">
        <f t="shared" si="123"/>
        <v>50</v>
      </c>
      <c r="T261" s="2">
        <f t="shared" si="124"/>
        <v>71.428571428571431</v>
      </c>
      <c r="U261" s="2">
        <f ca="1">VLOOKUP(E261,金币生产率!$A$2:$B$120,2,0)</f>
        <v>110</v>
      </c>
      <c r="V261" s="2">
        <f t="shared" si="125"/>
        <v>214.28571428571428</v>
      </c>
      <c r="W261" s="45">
        <f t="shared" ca="1" si="138"/>
        <v>10</v>
      </c>
      <c r="X261" s="48">
        <f t="shared" ca="1" si="139"/>
        <v>36</v>
      </c>
      <c r="Y261">
        <f t="shared" si="126"/>
        <v>18</v>
      </c>
      <c r="Z261">
        <f t="shared" ca="1" si="133"/>
        <v>0</v>
      </c>
      <c r="AA261" t="str">
        <f t="shared" ca="1" si="134"/>
        <v>9113100.png</v>
      </c>
      <c r="AB261">
        <f t="shared" si="127"/>
        <v>7</v>
      </c>
      <c r="AC261">
        <f>VLOOKUP(C261,技能辅助查询表,技能配置辅助表!$W$1,FALSE)</f>
        <v>22081</v>
      </c>
      <c r="AD261">
        <f t="shared" ca="1" si="135"/>
        <v>4.7859503443146343</v>
      </c>
      <c r="AE261">
        <f>VLOOKUP(C261,技能辅助查询表,技能配置辅助表!$U$1,FALSE)</f>
        <v>1</v>
      </c>
      <c r="AF261">
        <f t="shared" ca="1" si="136"/>
        <v>9113104</v>
      </c>
      <c r="AG261">
        <f t="shared" ref="AG261:AG324" ca="1" si="140">IF(I261=1,R261,IF(I261=0,0,(I261-1)*(80-R261)/(S261-1)+R261))</f>
        <v>9.591836734693878</v>
      </c>
      <c r="AH261">
        <f t="shared" ca="1" si="137"/>
        <v>19.477704889652582</v>
      </c>
      <c r="AI261">
        <f ca="1">VLOOKUP(E261,伤害参考系!$C$4:$E$104,3,FALSE)*$AN$12</f>
        <v>212.08059782608694</v>
      </c>
      <c r="AJ261">
        <f>VLOOKUP(C261,技能辅助查询表,技能配置辅助表!$L$1,FALSE)</f>
        <v>3</v>
      </c>
      <c r="AK261">
        <f>VLOOKUP(C261,技能辅助查询表,技能配置辅助表!$AE$1,FALSE)</f>
        <v>66000622</v>
      </c>
    </row>
    <row r="262" spans="1:37" x14ac:dyDescent="0.15">
      <c r="A262" s="1">
        <f t="shared" ca="1" si="128"/>
        <v>9113105</v>
      </c>
      <c r="B262" s="1" t="str">
        <f t="shared" ca="1" si="113"/>
        <v>光刃·斩</v>
      </c>
      <c r="C262" t="s">
        <v>155</v>
      </c>
      <c r="D262">
        <f t="shared" si="114"/>
        <v>1</v>
      </c>
      <c r="E262" s="42">
        <f t="shared" ca="1" si="129"/>
        <v>13</v>
      </c>
      <c r="F262" t="str">
        <f t="shared" ca="1" si="130"/>
        <v>第5级，共造成225%点伤害</v>
      </c>
      <c r="G262">
        <f t="shared" ca="1" si="131"/>
        <v>1</v>
      </c>
      <c r="H262">
        <f t="shared" si="115"/>
        <v>1</v>
      </c>
      <c r="I262" s="44">
        <f t="shared" ca="1" si="132"/>
        <v>5</v>
      </c>
      <c r="J262">
        <f t="shared" si="116"/>
        <v>1</v>
      </c>
      <c r="K262" s="36">
        <f t="shared" ca="1" si="117"/>
        <v>75</v>
      </c>
      <c r="L262" s="10">
        <f ca="1">AH262*VLOOKUP(C262,技能辅助查询表,技能配置辅助表!$T$1,FALSE)</f>
        <v>0</v>
      </c>
      <c r="M262">
        <f t="shared" ca="1" si="118"/>
        <v>9500</v>
      </c>
      <c r="N262" s="33">
        <f ca="1">CHOOSE(1,W262*U262,X262*'[1]0、经济设定'!$C$18)</f>
        <v>1342</v>
      </c>
      <c r="O262">
        <f t="shared" si="119"/>
        <v>3</v>
      </c>
      <c r="P262">
        <f t="shared" si="120"/>
        <v>3</v>
      </c>
      <c r="Q262">
        <f t="shared" si="121"/>
        <v>1</v>
      </c>
      <c r="R262" s="2">
        <f t="shared" si="122"/>
        <v>5</v>
      </c>
      <c r="S262" s="2">
        <f t="shared" si="123"/>
        <v>50</v>
      </c>
      <c r="T262" s="2">
        <f t="shared" si="124"/>
        <v>71.428571428571431</v>
      </c>
      <c r="U262" s="2">
        <f ca="1">VLOOKUP(E262,金币生产率!$A$2:$B$120,2,0)</f>
        <v>122</v>
      </c>
      <c r="V262" s="2">
        <f t="shared" si="125"/>
        <v>214.28571428571428</v>
      </c>
      <c r="W262" s="45">
        <f t="shared" ca="1" si="138"/>
        <v>11</v>
      </c>
      <c r="X262" s="48">
        <f t="shared" ca="1" si="139"/>
        <v>47</v>
      </c>
      <c r="Y262">
        <f t="shared" si="126"/>
        <v>18</v>
      </c>
      <c r="Z262">
        <f t="shared" ca="1" si="133"/>
        <v>0</v>
      </c>
      <c r="AA262" t="str">
        <f t="shared" ca="1" si="134"/>
        <v>9113100.png</v>
      </c>
      <c r="AB262">
        <f t="shared" si="127"/>
        <v>7</v>
      </c>
      <c r="AC262">
        <f>VLOOKUP(C262,技能辅助查询表,技能配置辅助表!$W$1,FALSE)</f>
        <v>22081</v>
      </c>
      <c r="AD262">
        <f t="shared" ca="1" si="135"/>
        <v>5.5437774098713897</v>
      </c>
      <c r="AE262">
        <f>VLOOKUP(C262,技能辅助查询表,技能配置辅助表!$U$1,FALSE)</f>
        <v>1</v>
      </c>
      <c r="AF262">
        <f t="shared" ca="1" si="136"/>
        <v>9113105</v>
      </c>
      <c r="AG262">
        <f t="shared" ca="1" si="140"/>
        <v>11.122448979591837</v>
      </c>
      <c r="AH262">
        <f t="shared" ca="1" si="137"/>
        <v>22.175109639485559</v>
      </c>
      <c r="AI262">
        <f ca="1">VLOOKUP(E262,伤害参考系!$C$4:$E$104,3,FALSE)*$AN$12</f>
        <v>288.46124999999995</v>
      </c>
      <c r="AJ262">
        <f>VLOOKUP(C262,技能辅助查询表,技能配置辅助表!$L$1,FALSE)</f>
        <v>3</v>
      </c>
      <c r="AK262">
        <f>VLOOKUP(C262,技能辅助查询表,技能配置辅助表!$AE$1,FALSE)</f>
        <v>66000622</v>
      </c>
    </row>
    <row r="263" spans="1:37" x14ac:dyDescent="0.15">
      <c r="A263" s="1">
        <f t="shared" ca="1" si="128"/>
        <v>9113106</v>
      </c>
      <c r="B263" s="1" t="str">
        <f t="shared" ca="1" si="113"/>
        <v>光刃·斩</v>
      </c>
      <c r="C263" t="s">
        <v>155</v>
      </c>
      <c r="D263">
        <f t="shared" si="114"/>
        <v>1</v>
      </c>
      <c r="E263" s="42">
        <f t="shared" ca="1" si="129"/>
        <v>14</v>
      </c>
      <c r="F263" t="str">
        <f t="shared" ca="1" si="130"/>
        <v>第6级，共造成227.1%点伤害</v>
      </c>
      <c r="G263">
        <f t="shared" ca="1" si="131"/>
        <v>1</v>
      </c>
      <c r="H263">
        <f t="shared" si="115"/>
        <v>1</v>
      </c>
      <c r="I263" s="44">
        <f t="shared" ca="1" si="132"/>
        <v>6</v>
      </c>
      <c r="J263">
        <f t="shared" si="116"/>
        <v>1</v>
      </c>
      <c r="K263" s="36">
        <f t="shared" ca="1" si="117"/>
        <v>75.714285714285722</v>
      </c>
      <c r="L263" s="10">
        <f ca="1">AH263*VLOOKUP(C263,技能辅助查询表,技能配置辅助表!$T$1,FALSE)</f>
        <v>0</v>
      </c>
      <c r="M263">
        <f t="shared" ca="1" si="118"/>
        <v>9400</v>
      </c>
      <c r="N263" s="33">
        <f ca="1">CHOOSE(1,W263*U263,X263*'[1]0、经济设定'!$C$18)</f>
        <v>1408</v>
      </c>
      <c r="O263">
        <f t="shared" si="119"/>
        <v>3</v>
      </c>
      <c r="P263">
        <f t="shared" si="120"/>
        <v>3</v>
      </c>
      <c r="Q263">
        <f t="shared" si="121"/>
        <v>1</v>
      </c>
      <c r="R263" s="2">
        <f t="shared" si="122"/>
        <v>5</v>
      </c>
      <c r="S263" s="2">
        <f t="shared" si="123"/>
        <v>50</v>
      </c>
      <c r="T263" s="2">
        <f t="shared" si="124"/>
        <v>71.428571428571431</v>
      </c>
      <c r="U263" s="2">
        <f ca="1">VLOOKUP(E263,金币生产率!$A$2:$B$120,2,0)</f>
        <v>128</v>
      </c>
      <c r="V263" s="2">
        <f t="shared" si="125"/>
        <v>214.28571428571428</v>
      </c>
      <c r="W263" s="45">
        <f t="shared" ca="1" si="138"/>
        <v>11</v>
      </c>
      <c r="X263" s="48">
        <f t="shared" ca="1" si="139"/>
        <v>58</v>
      </c>
      <c r="Y263">
        <f t="shared" si="126"/>
        <v>18</v>
      </c>
      <c r="Z263">
        <f t="shared" ca="1" si="133"/>
        <v>0</v>
      </c>
      <c r="AA263" t="str">
        <f t="shared" ca="1" si="134"/>
        <v>9113100.png</v>
      </c>
      <c r="AB263">
        <f t="shared" si="127"/>
        <v>7</v>
      </c>
      <c r="AC263">
        <f>VLOOKUP(C263,技能辅助查询表,技能配置辅助表!$W$1,FALSE)</f>
        <v>22081</v>
      </c>
      <c r="AD263">
        <f t="shared" ca="1" si="135"/>
        <v>6.4197147658243692</v>
      </c>
      <c r="AE263">
        <f>VLOOKUP(C263,技能辅助查询表,技能配置辅助表!$U$1,FALSE)</f>
        <v>1</v>
      </c>
      <c r="AF263">
        <f t="shared" ca="1" si="136"/>
        <v>9113106</v>
      </c>
      <c r="AG263">
        <f t="shared" ca="1" si="140"/>
        <v>12.653061224489797</v>
      </c>
      <c r="AH263">
        <f t="shared" ca="1" si="137"/>
        <v>25.246069303803697</v>
      </c>
      <c r="AI263">
        <f ca="1">VLOOKUP(E263,伤害参考系!$C$4:$E$104,3,FALSE)*$AN$12</f>
        <v>330.31565217391307</v>
      </c>
      <c r="AJ263">
        <f>VLOOKUP(C263,技能辅助查询表,技能配置辅助表!$L$1,FALSE)</f>
        <v>3</v>
      </c>
      <c r="AK263">
        <f>VLOOKUP(C263,技能辅助查询表,技能配置辅助表!$AE$1,FALSE)</f>
        <v>66000622</v>
      </c>
    </row>
    <row r="264" spans="1:37" x14ac:dyDescent="0.15">
      <c r="A264" s="1">
        <f t="shared" ca="1" si="128"/>
        <v>9113107</v>
      </c>
      <c r="B264" s="1" t="str">
        <f t="shared" ca="1" si="113"/>
        <v>光刃·斩</v>
      </c>
      <c r="C264" t="s">
        <v>155</v>
      </c>
      <c r="D264">
        <f t="shared" si="114"/>
        <v>1</v>
      </c>
      <c r="E264" s="42">
        <f t="shared" ca="1" si="129"/>
        <v>16</v>
      </c>
      <c r="F264" t="str">
        <f t="shared" ca="1" si="130"/>
        <v>第7级，共造成229.3%点伤害</v>
      </c>
      <c r="G264">
        <f t="shared" ca="1" si="131"/>
        <v>1</v>
      </c>
      <c r="H264">
        <f t="shared" si="115"/>
        <v>1</v>
      </c>
      <c r="I264" s="44">
        <f t="shared" ca="1" si="132"/>
        <v>7</v>
      </c>
      <c r="J264">
        <f t="shared" si="116"/>
        <v>1</v>
      </c>
      <c r="K264" s="36">
        <f t="shared" ca="1" si="117"/>
        <v>76.428571428571431</v>
      </c>
      <c r="L264" s="10">
        <f ca="1">AH264*VLOOKUP(C264,技能辅助查询表,技能配置辅助表!$T$1,FALSE)</f>
        <v>0</v>
      </c>
      <c r="M264">
        <f t="shared" ca="1" si="118"/>
        <v>9300</v>
      </c>
      <c r="N264" s="33">
        <f ca="1">CHOOSE(1,W264*U264,X264*'[1]0、经济设定'!$C$18)</f>
        <v>1680</v>
      </c>
      <c r="O264">
        <f t="shared" si="119"/>
        <v>3</v>
      </c>
      <c r="P264">
        <f t="shared" si="120"/>
        <v>3</v>
      </c>
      <c r="Q264">
        <f t="shared" si="121"/>
        <v>1</v>
      </c>
      <c r="R264" s="2">
        <f t="shared" si="122"/>
        <v>5</v>
      </c>
      <c r="S264" s="2">
        <f t="shared" si="123"/>
        <v>50</v>
      </c>
      <c r="T264" s="2">
        <f t="shared" si="124"/>
        <v>71.428571428571431</v>
      </c>
      <c r="U264" s="2">
        <f ca="1">VLOOKUP(E264,金币生产率!$A$2:$B$120,2,0)</f>
        <v>140</v>
      </c>
      <c r="V264" s="2">
        <f t="shared" si="125"/>
        <v>214.28571428571428</v>
      </c>
      <c r="W264" s="45">
        <f t="shared" ca="1" si="138"/>
        <v>12</v>
      </c>
      <c r="X264" s="48">
        <f t="shared" ca="1" si="139"/>
        <v>70</v>
      </c>
      <c r="Y264">
        <f t="shared" si="126"/>
        <v>18</v>
      </c>
      <c r="Z264">
        <f t="shared" ca="1" si="133"/>
        <v>0</v>
      </c>
      <c r="AA264" t="str">
        <f t="shared" ca="1" si="134"/>
        <v>9113100.png</v>
      </c>
      <c r="AB264">
        <f t="shared" si="127"/>
        <v>7</v>
      </c>
      <c r="AC264">
        <f>VLOOKUP(C264,技能辅助查询表,技能配置辅助表!$W$1,FALSE)</f>
        <v>22081</v>
      </c>
      <c r="AD264">
        <f t="shared" ca="1" si="135"/>
        <v>7.4319417866930761</v>
      </c>
      <c r="AE264">
        <f>VLOOKUP(C264,技能辅助查询表,技能配置辅助表!$U$1,FALSE)</f>
        <v>1</v>
      </c>
      <c r="AF264">
        <f t="shared" ca="1" si="136"/>
        <v>9113107</v>
      </c>
      <c r="AG264">
        <f t="shared" ca="1" si="140"/>
        <v>14.183673469387756</v>
      </c>
      <c r="AH264">
        <f t="shared" ca="1" si="137"/>
        <v>28.742316302127907</v>
      </c>
      <c r="AI264">
        <f ca="1">VLOOKUP(E264,伤害参考系!$C$4:$E$104,3,FALSE)*$AN$12</f>
        <v>421.35260869565224</v>
      </c>
      <c r="AJ264">
        <f>VLOOKUP(C264,技能辅助查询表,技能配置辅助表!$L$1,FALSE)</f>
        <v>3</v>
      </c>
      <c r="AK264">
        <f>VLOOKUP(C264,技能辅助查询表,技能配置辅助表!$AE$1,FALSE)</f>
        <v>66000622</v>
      </c>
    </row>
    <row r="265" spans="1:37" x14ac:dyDescent="0.15">
      <c r="A265" s="1">
        <f t="shared" ca="1" si="128"/>
        <v>9113108</v>
      </c>
      <c r="B265" s="1" t="str">
        <f t="shared" ca="1" si="113"/>
        <v>光刃·斩</v>
      </c>
      <c r="C265" t="s">
        <v>155</v>
      </c>
      <c r="D265">
        <f t="shared" si="114"/>
        <v>1</v>
      </c>
      <c r="E265" s="42">
        <f t="shared" ca="1" si="129"/>
        <v>17</v>
      </c>
      <c r="F265" t="str">
        <f t="shared" ca="1" si="130"/>
        <v>第8级，共造成231.4%点伤害</v>
      </c>
      <c r="G265">
        <f t="shared" ca="1" si="131"/>
        <v>1</v>
      </c>
      <c r="H265">
        <f t="shared" si="115"/>
        <v>1</v>
      </c>
      <c r="I265" s="44">
        <f t="shared" ca="1" si="132"/>
        <v>8</v>
      </c>
      <c r="J265">
        <f t="shared" si="116"/>
        <v>1</v>
      </c>
      <c r="K265" s="36">
        <f t="shared" ca="1" si="117"/>
        <v>77.142857142857139</v>
      </c>
      <c r="L265" s="10">
        <f ca="1">AH265*VLOOKUP(C265,技能辅助查询表,技能配置辅助表!$T$1,FALSE)</f>
        <v>0</v>
      </c>
      <c r="M265">
        <f t="shared" ca="1" si="118"/>
        <v>9200</v>
      </c>
      <c r="N265" s="33">
        <f ca="1">CHOOSE(1,W265*U265,X265*'[1]0、经济设定'!$C$18)</f>
        <v>1898</v>
      </c>
      <c r="O265">
        <f t="shared" si="119"/>
        <v>3</v>
      </c>
      <c r="P265">
        <f t="shared" si="120"/>
        <v>3</v>
      </c>
      <c r="Q265">
        <f t="shared" si="121"/>
        <v>1</v>
      </c>
      <c r="R265" s="2">
        <f t="shared" si="122"/>
        <v>5</v>
      </c>
      <c r="S265" s="2">
        <f t="shared" si="123"/>
        <v>50</v>
      </c>
      <c r="T265" s="2">
        <f t="shared" si="124"/>
        <v>71.428571428571431</v>
      </c>
      <c r="U265" s="2">
        <f ca="1">VLOOKUP(E265,金币生产率!$A$2:$B$120,2,0)</f>
        <v>146</v>
      </c>
      <c r="V265" s="2">
        <f t="shared" si="125"/>
        <v>214.28571428571428</v>
      </c>
      <c r="W265" s="45">
        <f t="shared" ca="1" si="138"/>
        <v>13</v>
      </c>
      <c r="X265" s="48">
        <f t="shared" ca="1" si="139"/>
        <v>83</v>
      </c>
      <c r="Y265">
        <f t="shared" si="126"/>
        <v>18</v>
      </c>
      <c r="Z265">
        <f t="shared" ca="1" si="133"/>
        <v>0</v>
      </c>
      <c r="AA265" t="str">
        <f t="shared" ca="1" si="134"/>
        <v>9113100.png</v>
      </c>
      <c r="AB265">
        <f t="shared" si="127"/>
        <v>7</v>
      </c>
      <c r="AC265">
        <f>VLOOKUP(C265,技能辅助查询表,技能配置辅助表!$W$1,FALSE)</f>
        <v>22081</v>
      </c>
      <c r="AD265">
        <f t="shared" ca="1" si="135"/>
        <v>8.6014078644725025</v>
      </c>
      <c r="AE265">
        <f>VLOOKUP(C265,技能辅助查询表,技能配置辅助表!$U$1,FALSE)</f>
        <v>1</v>
      </c>
      <c r="AF265">
        <f t="shared" ca="1" si="136"/>
        <v>9113108</v>
      </c>
      <c r="AG265">
        <f t="shared" ca="1" si="140"/>
        <v>15.714285714285714</v>
      </c>
      <c r="AH265">
        <f t="shared" ca="1" si="137"/>
        <v>32.722747310493212</v>
      </c>
      <c r="AI265">
        <f ca="1">VLOOKUP(E265,伤害参考系!$C$4:$E$104,3,FALSE)*$AN$12</f>
        <v>470.53516304347824</v>
      </c>
      <c r="AJ265">
        <f>VLOOKUP(C265,技能辅助查询表,技能配置辅助表!$L$1,FALSE)</f>
        <v>3</v>
      </c>
      <c r="AK265">
        <f>VLOOKUP(C265,技能辅助查询表,技能配置辅助表!$AE$1,FALSE)</f>
        <v>66000622</v>
      </c>
    </row>
    <row r="266" spans="1:37" x14ac:dyDescent="0.15">
      <c r="A266" s="1">
        <f t="shared" ca="1" si="128"/>
        <v>9113109</v>
      </c>
      <c r="B266" s="1" t="str">
        <f t="shared" ca="1" si="113"/>
        <v>光刃·斩</v>
      </c>
      <c r="C266" t="s">
        <v>155</v>
      </c>
      <c r="D266">
        <f t="shared" si="114"/>
        <v>1</v>
      </c>
      <c r="E266" s="42">
        <f t="shared" ca="1" si="129"/>
        <v>19</v>
      </c>
      <c r="F266" t="str">
        <f t="shared" ca="1" si="130"/>
        <v>第9级，共造成233.6%点伤害</v>
      </c>
      <c r="G266">
        <f t="shared" ca="1" si="131"/>
        <v>1</v>
      </c>
      <c r="H266">
        <f t="shared" si="115"/>
        <v>1</v>
      </c>
      <c r="I266" s="44">
        <f t="shared" ca="1" si="132"/>
        <v>9</v>
      </c>
      <c r="J266">
        <f t="shared" si="116"/>
        <v>1</v>
      </c>
      <c r="K266" s="36">
        <f t="shared" ca="1" si="117"/>
        <v>77.857142857142861</v>
      </c>
      <c r="L266" s="10">
        <f ca="1">AH266*VLOOKUP(C266,技能辅助查询表,技能配置辅助表!$T$1,FALSE)</f>
        <v>0</v>
      </c>
      <c r="M266">
        <f t="shared" ca="1" si="118"/>
        <v>9100</v>
      </c>
      <c r="N266" s="33">
        <f ca="1">CHOOSE(1,W266*U266,X266*'[1]0、经济设定'!$C$18)</f>
        <v>2212</v>
      </c>
      <c r="O266">
        <f t="shared" si="119"/>
        <v>3</v>
      </c>
      <c r="P266">
        <f t="shared" si="120"/>
        <v>3</v>
      </c>
      <c r="Q266">
        <f t="shared" si="121"/>
        <v>1</v>
      </c>
      <c r="R266" s="2">
        <f t="shared" si="122"/>
        <v>5</v>
      </c>
      <c r="S266" s="2">
        <f t="shared" si="123"/>
        <v>50</v>
      </c>
      <c r="T266" s="2">
        <f t="shared" si="124"/>
        <v>71.428571428571431</v>
      </c>
      <c r="U266" s="2">
        <f ca="1">VLOOKUP(E266,金币生产率!$A$2:$B$120,2,0)</f>
        <v>158</v>
      </c>
      <c r="V266" s="2">
        <f t="shared" si="125"/>
        <v>214.28571428571428</v>
      </c>
      <c r="W266" s="45">
        <f t="shared" ca="1" si="138"/>
        <v>14</v>
      </c>
      <c r="X266" s="48">
        <f t="shared" ca="1" si="139"/>
        <v>97</v>
      </c>
      <c r="Y266">
        <f t="shared" si="126"/>
        <v>18</v>
      </c>
      <c r="Z266">
        <f t="shared" ca="1" si="133"/>
        <v>0</v>
      </c>
      <c r="AA266" t="str">
        <f t="shared" ca="1" si="134"/>
        <v>9113100.png</v>
      </c>
      <c r="AB266">
        <f t="shared" si="127"/>
        <v>7</v>
      </c>
      <c r="AC266">
        <f>VLOOKUP(C266,技能辅助查询表,技能配置辅助表!$W$1,FALSE)</f>
        <v>22081</v>
      </c>
      <c r="AD266">
        <f t="shared" ca="1" si="135"/>
        <v>9.952250975499382</v>
      </c>
      <c r="AE266">
        <f>VLOOKUP(C266,技能辅助查询表,技能配置辅助表!$U$1,FALSE)</f>
        <v>1</v>
      </c>
      <c r="AF266">
        <f t="shared" ca="1" si="136"/>
        <v>9113109</v>
      </c>
      <c r="AG266">
        <f t="shared" ca="1" si="140"/>
        <v>17.244897959183675</v>
      </c>
      <c r="AH266">
        <f t="shared" ca="1" si="137"/>
        <v>37.25441541630785</v>
      </c>
      <c r="AI266">
        <f ca="1">VLOOKUP(E266,伤害参考系!$C$4:$E$104,3,FALSE)*$AN$12</f>
        <v>576.22842391304346</v>
      </c>
      <c r="AJ266">
        <f>VLOOKUP(C266,技能辅助查询表,技能配置辅助表!$L$1,FALSE)</f>
        <v>3</v>
      </c>
      <c r="AK266">
        <f>VLOOKUP(C266,技能辅助查询表,技能配置辅助表!$AE$1,FALSE)</f>
        <v>66000622</v>
      </c>
    </row>
    <row r="267" spans="1:37" x14ac:dyDescent="0.15">
      <c r="A267" s="1">
        <f t="shared" ca="1" si="128"/>
        <v>9113110</v>
      </c>
      <c r="B267" s="1" t="str">
        <f t="shared" ca="1" si="113"/>
        <v>光刃·斩</v>
      </c>
      <c r="C267" t="s">
        <v>155</v>
      </c>
      <c r="D267">
        <f t="shared" si="114"/>
        <v>1</v>
      </c>
      <c r="E267" s="42">
        <f t="shared" ca="1" si="129"/>
        <v>20</v>
      </c>
      <c r="F267" t="str">
        <f t="shared" ca="1" si="130"/>
        <v>第10级，共造成235.7%点伤害</v>
      </c>
      <c r="G267">
        <f t="shared" ca="1" si="131"/>
        <v>1</v>
      </c>
      <c r="H267">
        <f t="shared" si="115"/>
        <v>1</v>
      </c>
      <c r="I267" s="44">
        <f t="shared" ca="1" si="132"/>
        <v>10</v>
      </c>
      <c r="J267">
        <f t="shared" si="116"/>
        <v>1</v>
      </c>
      <c r="K267" s="36">
        <f t="shared" ca="1" si="117"/>
        <v>78.571428571428569</v>
      </c>
      <c r="L267" s="10">
        <f ca="1">AH267*VLOOKUP(C267,技能辅助查询表,技能配置辅助表!$T$1,FALSE)</f>
        <v>0</v>
      </c>
      <c r="M267">
        <f t="shared" ca="1" si="118"/>
        <v>9000</v>
      </c>
      <c r="N267" s="33">
        <f ca="1">CHOOSE(1,W267*U267,X267*'[1]0、经济设定'!$C$18)</f>
        <v>2730</v>
      </c>
      <c r="O267">
        <f t="shared" si="119"/>
        <v>3</v>
      </c>
      <c r="P267">
        <f t="shared" si="120"/>
        <v>3</v>
      </c>
      <c r="Q267">
        <f t="shared" si="121"/>
        <v>1</v>
      </c>
      <c r="R267" s="2">
        <f t="shared" si="122"/>
        <v>5</v>
      </c>
      <c r="S267" s="2">
        <f t="shared" si="123"/>
        <v>50</v>
      </c>
      <c r="T267" s="2">
        <f t="shared" si="124"/>
        <v>71.428571428571431</v>
      </c>
      <c r="U267" s="2">
        <f ca="1">VLOOKUP(E267,金币生产率!$A$2:$B$120,2,0)</f>
        <v>182</v>
      </c>
      <c r="V267" s="2">
        <f t="shared" si="125"/>
        <v>214.28571428571428</v>
      </c>
      <c r="W267" s="45">
        <f t="shared" ca="1" si="138"/>
        <v>15</v>
      </c>
      <c r="X267" s="48">
        <f t="shared" ca="1" si="139"/>
        <v>112</v>
      </c>
      <c r="Y267">
        <f t="shared" si="126"/>
        <v>18</v>
      </c>
      <c r="Z267">
        <f t="shared" ca="1" si="133"/>
        <v>0</v>
      </c>
      <c r="AA267" t="str">
        <f t="shared" ca="1" si="134"/>
        <v>9113100.png</v>
      </c>
      <c r="AB267">
        <f t="shared" si="127"/>
        <v>7</v>
      </c>
      <c r="AC267">
        <f>VLOOKUP(C267,技能辅助查询表,技能配置辅助表!$W$1,FALSE)</f>
        <v>22081</v>
      </c>
      <c r="AD267">
        <f t="shared" ca="1" si="135"/>
        <v>11.512279054249317</v>
      </c>
      <c r="AE267">
        <f>VLOOKUP(C267,技能辅助查询表,技能配置辅助表!$U$1,FALSE)</f>
        <v>1</v>
      </c>
      <c r="AF267">
        <f t="shared" ca="1" si="136"/>
        <v>9113110</v>
      </c>
      <c r="AG267">
        <f t="shared" ca="1" si="140"/>
        <v>18.775510204081634</v>
      </c>
      <c r="AH267">
        <f t="shared" ca="1" si="137"/>
        <v>42.413659673550121</v>
      </c>
      <c r="AI267">
        <f ca="1">VLOOKUP(E267,伤害参考系!$C$4:$E$104,3,FALSE)*$AN$12</f>
        <v>632.73913043478262</v>
      </c>
      <c r="AJ267">
        <f>VLOOKUP(C267,技能辅助查询表,技能配置辅助表!$L$1,FALSE)</f>
        <v>3</v>
      </c>
      <c r="AK267">
        <f>VLOOKUP(C267,技能辅助查询表,技能配置辅助表!$AE$1,FALSE)</f>
        <v>66000622</v>
      </c>
    </row>
    <row r="268" spans="1:37" x14ac:dyDescent="0.15">
      <c r="A268" s="1">
        <f t="shared" ca="1" si="128"/>
        <v>9113111</v>
      </c>
      <c r="B268" s="1" t="str">
        <f t="shared" ca="1" si="113"/>
        <v>光刃·斩</v>
      </c>
      <c r="C268" t="s">
        <v>155</v>
      </c>
      <c r="D268">
        <f t="shared" si="114"/>
        <v>1</v>
      </c>
      <c r="E268" s="42">
        <f t="shared" ca="1" si="129"/>
        <v>22</v>
      </c>
      <c r="F268" t="str">
        <f t="shared" ca="1" si="130"/>
        <v>第11级，共造成237.9%点伤害</v>
      </c>
      <c r="G268">
        <f t="shared" ca="1" si="131"/>
        <v>1</v>
      </c>
      <c r="H268">
        <f t="shared" si="115"/>
        <v>1</v>
      </c>
      <c r="I268" s="44">
        <f t="shared" ca="1" si="132"/>
        <v>11</v>
      </c>
      <c r="J268">
        <f t="shared" si="116"/>
        <v>1</v>
      </c>
      <c r="K268" s="36">
        <f t="shared" ca="1" si="117"/>
        <v>79.285714285714292</v>
      </c>
      <c r="L268" s="10">
        <f ca="1">AH268*VLOOKUP(C268,技能辅助查询表,技能配置辅助表!$T$1,FALSE)</f>
        <v>0</v>
      </c>
      <c r="M268">
        <f t="shared" ca="1" si="118"/>
        <v>8900</v>
      </c>
      <c r="N268" s="33">
        <f ca="1">CHOOSE(1,W268*U268,X268*'[1]0、经济设定'!$C$18)</f>
        <v>3824</v>
      </c>
      <c r="O268">
        <f t="shared" si="119"/>
        <v>3</v>
      </c>
      <c r="P268">
        <f t="shared" si="120"/>
        <v>3</v>
      </c>
      <c r="Q268">
        <f t="shared" si="121"/>
        <v>1</v>
      </c>
      <c r="R268" s="2">
        <f t="shared" si="122"/>
        <v>5</v>
      </c>
      <c r="S268" s="2">
        <f t="shared" si="123"/>
        <v>50</v>
      </c>
      <c r="T268" s="2">
        <f t="shared" si="124"/>
        <v>71.428571428571431</v>
      </c>
      <c r="U268" s="2">
        <f ca="1">VLOOKUP(E268,金币生产率!$A$2:$B$120,2,0)</f>
        <v>239</v>
      </c>
      <c r="V268" s="2">
        <f t="shared" si="125"/>
        <v>214.28571428571428</v>
      </c>
      <c r="W268" s="45">
        <f t="shared" ca="1" si="138"/>
        <v>16</v>
      </c>
      <c r="X268" s="48">
        <f t="shared" ca="1" si="139"/>
        <v>128</v>
      </c>
      <c r="Y268">
        <f t="shared" si="126"/>
        <v>18</v>
      </c>
      <c r="Z268">
        <f t="shared" ca="1" si="133"/>
        <v>0</v>
      </c>
      <c r="AA268" t="str">
        <f t="shared" ca="1" si="134"/>
        <v>9113100.png</v>
      </c>
      <c r="AB268">
        <f t="shared" si="127"/>
        <v>7</v>
      </c>
      <c r="AC268">
        <f>VLOOKUP(C268,技能辅助查询表,技能配置辅助表!$W$1,FALSE)</f>
        <v>22081</v>
      </c>
      <c r="AD268">
        <f t="shared" ca="1" si="135"/>
        <v>13.313523542402503</v>
      </c>
      <c r="AE268">
        <f>VLOOKUP(C268,技能辅助查询表,技能配置辅助表!$U$1,FALSE)</f>
        <v>1</v>
      </c>
      <c r="AF268">
        <f t="shared" ca="1" si="136"/>
        <v>9113111</v>
      </c>
      <c r="AG268">
        <f t="shared" ca="1" si="140"/>
        <v>20.306122448979593</v>
      </c>
      <c r="AH268">
        <f t="shared" ca="1" si="137"/>
        <v>48.287391086433935</v>
      </c>
      <c r="AI268">
        <f ca="1">VLOOKUP(E268,伤害参考系!$C$4:$E$104,3,FALSE)*$AN$12</f>
        <v>753.08869565217401</v>
      </c>
      <c r="AJ268">
        <f>VLOOKUP(C268,技能辅助查询表,技能配置辅助表!$L$1,FALSE)</f>
        <v>3</v>
      </c>
      <c r="AK268">
        <f>VLOOKUP(C268,技能辅助查询表,技能配置辅助表!$AE$1,FALSE)</f>
        <v>66000622</v>
      </c>
    </row>
    <row r="269" spans="1:37" x14ac:dyDescent="0.15">
      <c r="A269" s="1">
        <f t="shared" ca="1" si="128"/>
        <v>9113112</v>
      </c>
      <c r="B269" s="1" t="str">
        <f t="shared" ca="1" si="113"/>
        <v>光刃·斩</v>
      </c>
      <c r="C269" t="s">
        <v>155</v>
      </c>
      <c r="D269">
        <f t="shared" si="114"/>
        <v>1</v>
      </c>
      <c r="E269" s="42">
        <f t="shared" ca="1" si="129"/>
        <v>23</v>
      </c>
      <c r="F269" t="str">
        <f t="shared" ca="1" si="130"/>
        <v>第12级，共造成240%点伤害</v>
      </c>
      <c r="G269">
        <f t="shared" ca="1" si="131"/>
        <v>1</v>
      </c>
      <c r="H269">
        <f t="shared" si="115"/>
        <v>1</v>
      </c>
      <c r="I269" s="44">
        <f t="shared" ca="1" si="132"/>
        <v>12</v>
      </c>
      <c r="J269">
        <f t="shared" si="116"/>
        <v>1</v>
      </c>
      <c r="K269" s="36">
        <f t="shared" ca="1" si="117"/>
        <v>80</v>
      </c>
      <c r="L269" s="10">
        <f ca="1">AH269*VLOOKUP(C269,技能辅助查询表,技能配置辅助表!$T$1,FALSE)</f>
        <v>0</v>
      </c>
      <c r="M269">
        <f t="shared" ca="1" si="118"/>
        <v>8800</v>
      </c>
      <c r="N269" s="33">
        <f ca="1">CHOOSE(1,W269*U269,X269*'[1]0、经济设定'!$C$18)</f>
        <v>4590</v>
      </c>
      <c r="O269">
        <f t="shared" si="119"/>
        <v>3</v>
      </c>
      <c r="P269">
        <f t="shared" si="120"/>
        <v>3</v>
      </c>
      <c r="Q269">
        <f t="shared" si="121"/>
        <v>1</v>
      </c>
      <c r="R269" s="2">
        <f t="shared" si="122"/>
        <v>5</v>
      </c>
      <c r="S269" s="2">
        <f t="shared" si="123"/>
        <v>50</v>
      </c>
      <c r="T269" s="2">
        <f t="shared" si="124"/>
        <v>71.428571428571431</v>
      </c>
      <c r="U269" s="2">
        <f ca="1">VLOOKUP(E269,金币生产率!$A$2:$B$120,2,0)</f>
        <v>270</v>
      </c>
      <c r="V269" s="2">
        <f t="shared" si="125"/>
        <v>214.28571428571428</v>
      </c>
      <c r="W269" s="45">
        <f t="shared" ca="1" si="138"/>
        <v>17</v>
      </c>
      <c r="X269" s="48">
        <f t="shared" ca="1" si="139"/>
        <v>145</v>
      </c>
      <c r="Y269">
        <f t="shared" si="126"/>
        <v>18</v>
      </c>
      <c r="Z269">
        <f t="shared" ca="1" si="133"/>
        <v>0</v>
      </c>
      <c r="AA269" t="str">
        <f t="shared" ca="1" si="134"/>
        <v>9113100.png</v>
      </c>
      <c r="AB269">
        <f t="shared" si="127"/>
        <v>7</v>
      </c>
      <c r="AC269">
        <f>VLOOKUP(C269,技能辅助查询表,技能配置辅助表!$W$1,FALSE)</f>
        <v>22081</v>
      </c>
      <c r="AD269">
        <f t="shared" ca="1" si="135"/>
        <v>15.392875871749442</v>
      </c>
      <c r="AE269">
        <f>VLOOKUP(C269,技能辅助查询表,技能配置辅助表!$U$1,FALSE)</f>
        <v>1</v>
      </c>
      <c r="AF269">
        <f t="shared" ca="1" si="136"/>
        <v>9113112</v>
      </c>
      <c r="AG269">
        <f t="shared" ca="1" si="140"/>
        <v>21.836734693877553</v>
      </c>
      <c r="AH269">
        <f t="shared" ca="1" si="137"/>
        <v>54.974556684819426</v>
      </c>
      <c r="AI269">
        <f ca="1">VLOOKUP(E269,伤害参考系!$C$4:$E$104,3,FALSE)*$AN$12</f>
        <v>832.15832357859551</v>
      </c>
      <c r="AJ269">
        <f>VLOOKUP(C269,技能辅助查询表,技能配置辅助表!$L$1,FALSE)</f>
        <v>3</v>
      </c>
      <c r="AK269">
        <f>VLOOKUP(C269,技能辅助查询表,技能配置辅助表!$AE$1,FALSE)</f>
        <v>66000622</v>
      </c>
    </row>
    <row r="270" spans="1:37" x14ac:dyDescent="0.15">
      <c r="A270" s="1">
        <f t="shared" ca="1" si="128"/>
        <v>9113113</v>
      </c>
      <c r="B270" s="1" t="str">
        <f t="shared" ca="1" si="113"/>
        <v>光刃·斩</v>
      </c>
      <c r="C270" t="s">
        <v>155</v>
      </c>
      <c r="D270">
        <f t="shared" si="114"/>
        <v>1</v>
      </c>
      <c r="E270" s="42">
        <f t="shared" ca="1" si="129"/>
        <v>25</v>
      </c>
      <c r="F270" t="str">
        <f t="shared" ca="1" si="130"/>
        <v>第13级，共造成242.1%点伤害</v>
      </c>
      <c r="G270">
        <f t="shared" ca="1" si="131"/>
        <v>1</v>
      </c>
      <c r="H270">
        <f t="shared" si="115"/>
        <v>1</v>
      </c>
      <c r="I270" s="44">
        <f t="shared" ca="1" si="132"/>
        <v>13</v>
      </c>
      <c r="J270">
        <f t="shared" si="116"/>
        <v>1</v>
      </c>
      <c r="K270" s="36">
        <f t="shared" ca="1" si="117"/>
        <v>80.714285714285722</v>
      </c>
      <c r="L270" s="10">
        <f ca="1">AH270*VLOOKUP(C270,技能辅助查询表,技能配置辅助表!$T$1,FALSE)</f>
        <v>0</v>
      </c>
      <c r="M270">
        <f t="shared" ca="1" si="118"/>
        <v>8700</v>
      </c>
      <c r="N270" s="33">
        <f ca="1">CHOOSE(1,W270*U270,X270*'[1]0、经济设定'!$C$18)</f>
        <v>6030</v>
      </c>
      <c r="O270">
        <f t="shared" si="119"/>
        <v>3</v>
      </c>
      <c r="P270">
        <f t="shared" si="120"/>
        <v>3</v>
      </c>
      <c r="Q270">
        <f t="shared" si="121"/>
        <v>1</v>
      </c>
      <c r="R270" s="2">
        <f t="shared" si="122"/>
        <v>5</v>
      </c>
      <c r="S270" s="2">
        <f t="shared" si="123"/>
        <v>50</v>
      </c>
      <c r="T270" s="2">
        <f t="shared" si="124"/>
        <v>71.428571428571431</v>
      </c>
      <c r="U270" s="2">
        <f ca="1">VLOOKUP(E270,金币生产率!$A$2:$B$120,2,0)</f>
        <v>335</v>
      </c>
      <c r="V270" s="2">
        <f t="shared" si="125"/>
        <v>214.28571428571428</v>
      </c>
      <c r="W270" s="45">
        <f t="shared" ca="1" si="138"/>
        <v>18</v>
      </c>
      <c r="X270" s="48">
        <f t="shared" ca="1" si="139"/>
        <v>163</v>
      </c>
      <c r="Y270">
        <f t="shared" si="126"/>
        <v>18</v>
      </c>
      <c r="Z270">
        <f t="shared" ca="1" si="133"/>
        <v>0</v>
      </c>
      <c r="AA270" t="str">
        <f t="shared" ca="1" si="134"/>
        <v>9113100.png</v>
      </c>
      <c r="AB270">
        <f t="shared" si="127"/>
        <v>7</v>
      </c>
      <c r="AC270">
        <f>VLOOKUP(C270,技能辅助查询表,技能配置辅助表!$W$1,FALSE)</f>
        <v>22081</v>
      </c>
      <c r="AD270">
        <f t="shared" ca="1" si="135"/>
        <v>17.792819235127915</v>
      </c>
      <c r="AE270">
        <f>VLOOKUP(C270,技能辅助查询表,技能配置辅助表!$U$1,FALSE)</f>
        <v>1</v>
      </c>
      <c r="AF270">
        <f t="shared" ca="1" si="136"/>
        <v>9113113</v>
      </c>
      <c r="AG270">
        <f t="shared" ca="1" si="140"/>
        <v>23.367346938775512</v>
      </c>
      <c r="AH270">
        <f t="shared" ca="1" si="137"/>
        <v>62.587806354721323</v>
      </c>
      <c r="AI270">
        <f ca="1">VLOOKUP(E270,伤害参考系!$C$4:$E$104,3,FALSE)*$AN$12</f>
        <v>1000.3949623745822</v>
      </c>
      <c r="AJ270">
        <f>VLOOKUP(C270,技能辅助查询表,技能配置辅助表!$L$1,FALSE)</f>
        <v>3</v>
      </c>
      <c r="AK270">
        <f>VLOOKUP(C270,技能辅助查询表,技能配置辅助表!$AE$1,FALSE)</f>
        <v>66000622</v>
      </c>
    </row>
    <row r="271" spans="1:37" x14ac:dyDescent="0.15">
      <c r="A271" s="1">
        <f t="shared" ca="1" si="128"/>
        <v>9113114</v>
      </c>
      <c r="B271" s="1" t="str">
        <f t="shared" ca="1" si="113"/>
        <v>光刃·斩</v>
      </c>
      <c r="C271" t="s">
        <v>155</v>
      </c>
      <c r="D271">
        <f t="shared" si="114"/>
        <v>1</v>
      </c>
      <c r="E271" s="42">
        <f t="shared" ca="1" si="129"/>
        <v>26</v>
      </c>
      <c r="F271" t="str">
        <f t="shared" ca="1" si="130"/>
        <v>第14级，共造成244.3%点伤害</v>
      </c>
      <c r="G271">
        <f t="shared" ca="1" si="131"/>
        <v>1</v>
      </c>
      <c r="H271">
        <f t="shared" si="115"/>
        <v>1</v>
      </c>
      <c r="I271" s="44">
        <f t="shared" ca="1" si="132"/>
        <v>14</v>
      </c>
      <c r="J271">
        <f t="shared" si="116"/>
        <v>1</v>
      </c>
      <c r="K271" s="36">
        <f t="shared" ca="1" si="117"/>
        <v>81.428571428571431</v>
      </c>
      <c r="L271" s="10">
        <f ca="1">AH271*VLOOKUP(C271,技能辅助查询表,技能配置辅助表!$T$1,FALSE)</f>
        <v>0</v>
      </c>
      <c r="M271">
        <f t="shared" ca="1" si="118"/>
        <v>8600</v>
      </c>
      <c r="N271" s="33">
        <f ca="1">CHOOSE(1,W271*U271,X271*'[1]0、经济设定'!$C$18)</f>
        <v>7030</v>
      </c>
      <c r="O271">
        <f t="shared" si="119"/>
        <v>3</v>
      </c>
      <c r="P271">
        <f t="shared" si="120"/>
        <v>3</v>
      </c>
      <c r="Q271">
        <f t="shared" si="121"/>
        <v>1</v>
      </c>
      <c r="R271" s="2">
        <f t="shared" si="122"/>
        <v>5</v>
      </c>
      <c r="S271" s="2">
        <f t="shared" si="123"/>
        <v>50</v>
      </c>
      <c r="T271" s="2">
        <f t="shared" si="124"/>
        <v>71.428571428571431</v>
      </c>
      <c r="U271" s="2">
        <f ca="1">VLOOKUP(E271,金币生产率!$A$2:$B$120,2,0)</f>
        <v>370</v>
      </c>
      <c r="V271" s="2">
        <f t="shared" si="125"/>
        <v>214.28571428571428</v>
      </c>
      <c r="W271" s="45">
        <f t="shared" ca="1" si="138"/>
        <v>19</v>
      </c>
      <c r="X271" s="48">
        <f t="shared" ca="1" si="139"/>
        <v>182</v>
      </c>
      <c r="Y271">
        <f t="shared" si="126"/>
        <v>18</v>
      </c>
      <c r="Z271">
        <f t="shared" ca="1" si="133"/>
        <v>0</v>
      </c>
      <c r="AA271" t="str">
        <f t="shared" ca="1" si="134"/>
        <v>9113100.png</v>
      </c>
      <c r="AB271">
        <f t="shared" si="127"/>
        <v>7</v>
      </c>
      <c r="AC271">
        <f>VLOOKUP(C271,技能辅助查询表,技能配置辅助表!$W$1,FALSE)</f>
        <v>22081</v>
      </c>
      <c r="AD271">
        <f t="shared" ca="1" si="135"/>
        <v>20.562269830813111</v>
      </c>
      <c r="AE271">
        <f>VLOOKUP(C271,技能辅助查询表,技能配置辅助表!$U$1,FALSE)</f>
        <v>1</v>
      </c>
      <c r="AF271">
        <f t="shared" ca="1" si="136"/>
        <v>9113114</v>
      </c>
      <c r="AG271">
        <f t="shared" ca="1" si="140"/>
        <v>24.897959183673468</v>
      </c>
      <c r="AH271">
        <f t="shared" ca="1" si="137"/>
        <v>71.25539050281769</v>
      </c>
      <c r="AI271">
        <f ca="1">VLOOKUP(E271,伤害参考系!$C$4:$E$104,3,FALSE)*$AN$12</f>
        <v>1103.3859732441474</v>
      </c>
      <c r="AJ271">
        <f>VLOOKUP(C271,技能辅助查询表,技能配置辅助表!$L$1,FALSE)</f>
        <v>3</v>
      </c>
      <c r="AK271">
        <f>VLOOKUP(C271,技能辅助查询表,技能配置辅助表!$AE$1,FALSE)</f>
        <v>66000622</v>
      </c>
    </row>
    <row r="272" spans="1:37" x14ac:dyDescent="0.15">
      <c r="A272" s="1">
        <f t="shared" ca="1" si="128"/>
        <v>9113115</v>
      </c>
      <c r="B272" s="1" t="str">
        <f t="shared" ca="1" si="113"/>
        <v>光刃·斩</v>
      </c>
      <c r="C272" t="s">
        <v>155</v>
      </c>
      <c r="D272">
        <f t="shared" si="114"/>
        <v>1</v>
      </c>
      <c r="E272" s="42">
        <f t="shared" ca="1" si="129"/>
        <v>28</v>
      </c>
      <c r="F272" t="str">
        <f t="shared" ca="1" si="130"/>
        <v>第15级，共造成246.4%点伤害</v>
      </c>
      <c r="G272">
        <f t="shared" ca="1" si="131"/>
        <v>1</v>
      </c>
      <c r="H272">
        <f t="shared" si="115"/>
        <v>1</v>
      </c>
      <c r="I272" s="44">
        <f t="shared" ca="1" si="132"/>
        <v>15</v>
      </c>
      <c r="J272">
        <f t="shared" si="116"/>
        <v>1</v>
      </c>
      <c r="K272" s="36">
        <f t="shared" ca="1" si="117"/>
        <v>82.142857142857139</v>
      </c>
      <c r="L272" s="10">
        <f ca="1">AH272*VLOOKUP(C272,技能辅助查询表,技能配置辅助表!$T$1,FALSE)</f>
        <v>0</v>
      </c>
      <c r="M272">
        <f t="shared" ca="1" si="118"/>
        <v>8500</v>
      </c>
      <c r="N272" s="33">
        <f ca="1">CHOOSE(1,W272*U272,X272*'[1]0、经济设定'!$C$18)</f>
        <v>8860</v>
      </c>
      <c r="O272">
        <f t="shared" si="119"/>
        <v>3</v>
      </c>
      <c r="P272">
        <f t="shared" si="120"/>
        <v>3</v>
      </c>
      <c r="Q272">
        <f t="shared" si="121"/>
        <v>1</v>
      </c>
      <c r="R272" s="2">
        <f t="shared" si="122"/>
        <v>5</v>
      </c>
      <c r="S272" s="2">
        <f t="shared" si="123"/>
        <v>50</v>
      </c>
      <c r="T272" s="2">
        <f t="shared" si="124"/>
        <v>71.428571428571431</v>
      </c>
      <c r="U272" s="2">
        <f ca="1">VLOOKUP(E272,金币生产率!$A$2:$B$120,2,0)</f>
        <v>443</v>
      </c>
      <c r="V272" s="2">
        <f t="shared" si="125"/>
        <v>214.28571428571428</v>
      </c>
      <c r="W272" s="45">
        <f t="shared" ca="1" si="138"/>
        <v>20</v>
      </c>
      <c r="X272" s="48">
        <f t="shared" ca="1" si="139"/>
        <v>202</v>
      </c>
      <c r="Y272">
        <f t="shared" si="126"/>
        <v>18</v>
      </c>
      <c r="Z272">
        <f t="shared" ca="1" si="133"/>
        <v>0</v>
      </c>
      <c r="AA272" t="str">
        <f t="shared" ca="1" si="134"/>
        <v>9113100.png</v>
      </c>
      <c r="AB272">
        <f t="shared" si="127"/>
        <v>7</v>
      </c>
      <c r="AC272">
        <f>VLOOKUP(C272,技能辅助查询表,技能配置辅助表!$W$1,FALSE)</f>
        <v>22081</v>
      </c>
      <c r="AD272">
        <f t="shared" ca="1" si="135"/>
        <v>23.757543867279331</v>
      </c>
      <c r="AE272">
        <f>VLOOKUP(C272,技能辅助查询表,技能配置辅助表!$U$1,FALSE)</f>
        <v>1</v>
      </c>
      <c r="AF272">
        <f t="shared" ca="1" si="136"/>
        <v>9113115</v>
      </c>
      <c r="AG272">
        <f t="shared" ca="1" si="140"/>
        <v>26.428571428571427</v>
      </c>
      <c r="AH272">
        <f t="shared" ca="1" si="137"/>
        <v>81.123320522417259</v>
      </c>
      <c r="AI272">
        <f ca="1">VLOOKUP(E272,伤害参考系!$C$4:$E$104,3,FALSE)*$AN$12</f>
        <v>1321.7693779264216</v>
      </c>
      <c r="AJ272">
        <f>VLOOKUP(C272,技能辅助查询表,技能配置辅助表!$L$1,FALSE)</f>
        <v>3</v>
      </c>
      <c r="AK272">
        <f>VLOOKUP(C272,技能辅助查询表,技能配置辅助表!$AE$1,FALSE)</f>
        <v>66000622</v>
      </c>
    </row>
    <row r="273" spans="1:37" x14ac:dyDescent="0.15">
      <c r="A273" s="1">
        <f t="shared" ca="1" si="128"/>
        <v>9113116</v>
      </c>
      <c r="B273" s="1" t="str">
        <f t="shared" ca="1" si="113"/>
        <v>光刃·斩</v>
      </c>
      <c r="C273" t="s">
        <v>155</v>
      </c>
      <c r="D273">
        <f t="shared" si="114"/>
        <v>1</v>
      </c>
      <c r="E273" s="42">
        <f t="shared" ca="1" si="129"/>
        <v>29</v>
      </c>
      <c r="F273" t="str">
        <f t="shared" ca="1" si="130"/>
        <v>第16级，共造成248.6%点伤害</v>
      </c>
      <c r="G273">
        <f t="shared" ca="1" si="131"/>
        <v>1</v>
      </c>
      <c r="H273">
        <f t="shared" si="115"/>
        <v>1</v>
      </c>
      <c r="I273" s="44">
        <f t="shared" ca="1" si="132"/>
        <v>16</v>
      </c>
      <c r="J273">
        <f t="shared" si="116"/>
        <v>1</v>
      </c>
      <c r="K273" s="36">
        <f t="shared" ca="1" si="117"/>
        <v>82.857142857142861</v>
      </c>
      <c r="L273" s="10">
        <f ca="1">AH273*VLOOKUP(C273,技能辅助查询表,技能配置辅助表!$T$1,FALSE)</f>
        <v>0</v>
      </c>
      <c r="M273">
        <f t="shared" ca="1" si="118"/>
        <v>8400</v>
      </c>
      <c r="N273" s="33">
        <f ca="1">CHOOSE(1,W273*U273,X273*'[1]0、经济设定'!$C$18)</f>
        <v>10604</v>
      </c>
      <c r="O273">
        <f t="shared" si="119"/>
        <v>3</v>
      </c>
      <c r="P273">
        <f t="shared" si="120"/>
        <v>3</v>
      </c>
      <c r="Q273">
        <f t="shared" si="121"/>
        <v>1</v>
      </c>
      <c r="R273" s="2">
        <f t="shared" si="122"/>
        <v>5</v>
      </c>
      <c r="S273" s="2">
        <f t="shared" si="123"/>
        <v>50</v>
      </c>
      <c r="T273" s="2">
        <f t="shared" si="124"/>
        <v>71.428571428571431</v>
      </c>
      <c r="U273" s="2">
        <f ca="1">VLOOKUP(E273,金币生产率!$A$2:$B$120,2,0)</f>
        <v>482</v>
      </c>
      <c r="V273" s="2">
        <f t="shared" si="125"/>
        <v>214.28571428571428</v>
      </c>
      <c r="W273" s="45">
        <f t="shared" ca="1" si="138"/>
        <v>22</v>
      </c>
      <c r="X273" s="48">
        <f t="shared" ca="1" si="139"/>
        <v>224</v>
      </c>
      <c r="Y273">
        <f t="shared" si="126"/>
        <v>18</v>
      </c>
      <c r="Z273">
        <f t="shared" ca="1" si="133"/>
        <v>0</v>
      </c>
      <c r="AA273" t="str">
        <f t="shared" ca="1" si="134"/>
        <v>9113100.png</v>
      </c>
      <c r="AB273">
        <f t="shared" si="127"/>
        <v>7</v>
      </c>
      <c r="AC273">
        <f>VLOOKUP(C273,技能辅助查询表,技能配置辅助表!$W$1,FALSE)</f>
        <v>22081</v>
      </c>
      <c r="AD273">
        <f t="shared" ca="1" si="135"/>
        <v>27.443469026751888</v>
      </c>
      <c r="AE273">
        <f>VLOOKUP(C273,技能辅助查询表,技能配置辅助表!$U$1,FALSE)</f>
        <v>1</v>
      </c>
      <c r="AF273">
        <f t="shared" ca="1" si="136"/>
        <v>9113116</v>
      </c>
      <c r="AG273">
        <f t="shared" ca="1" si="140"/>
        <v>27.959183673469386</v>
      </c>
      <c r="AH273">
        <f t="shared" ca="1" si="137"/>
        <v>92.357828455414989</v>
      </c>
      <c r="AI273">
        <f ca="1">VLOOKUP(E273,伤害参考系!$C$4:$E$104,3,FALSE)*$AN$12</f>
        <v>1437.1617717391309</v>
      </c>
      <c r="AJ273">
        <f>VLOOKUP(C273,技能辅助查询表,技能配置辅助表!$L$1,FALSE)</f>
        <v>3</v>
      </c>
      <c r="AK273">
        <f>VLOOKUP(C273,技能辅助查询表,技能配置辅助表!$AE$1,FALSE)</f>
        <v>66000622</v>
      </c>
    </row>
    <row r="274" spans="1:37" x14ac:dyDescent="0.15">
      <c r="A274" s="1">
        <f t="shared" ca="1" si="128"/>
        <v>9113117</v>
      </c>
      <c r="B274" s="1" t="str">
        <f t="shared" ca="1" si="113"/>
        <v>光刃·斩</v>
      </c>
      <c r="C274" t="s">
        <v>155</v>
      </c>
      <c r="D274">
        <f t="shared" si="114"/>
        <v>1</v>
      </c>
      <c r="E274" s="42">
        <f t="shared" ca="1" si="129"/>
        <v>31</v>
      </c>
      <c r="F274" t="str">
        <f t="shared" ca="1" si="130"/>
        <v>第17级，共造成250.7%点伤害</v>
      </c>
      <c r="G274">
        <f t="shared" ca="1" si="131"/>
        <v>1</v>
      </c>
      <c r="H274">
        <f t="shared" si="115"/>
        <v>1</v>
      </c>
      <c r="I274" s="44">
        <f t="shared" ca="1" si="132"/>
        <v>17</v>
      </c>
      <c r="J274">
        <f t="shared" si="116"/>
        <v>1</v>
      </c>
      <c r="K274" s="36">
        <f t="shared" ca="1" si="117"/>
        <v>83.571428571428569</v>
      </c>
      <c r="L274" s="10">
        <f ca="1">AH274*VLOOKUP(C274,技能辅助查询表,技能配置辅助表!$T$1,FALSE)</f>
        <v>0</v>
      </c>
      <c r="M274">
        <f t="shared" ca="1" si="118"/>
        <v>8300</v>
      </c>
      <c r="N274" s="33">
        <f ca="1">CHOOSE(1,W274*U274,X274*'[1]0、经济设定'!$C$18)</f>
        <v>13512</v>
      </c>
      <c r="O274">
        <f t="shared" si="119"/>
        <v>3</v>
      </c>
      <c r="P274">
        <f t="shared" si="120"/>
        <v>3</v>
      </c>
      <c r="Q274">
        <f t="shared" si="121"/>
        <v>1</v>
      </c>
      <c r="R274" s="2">
        <f t="shared" si="122"/>
        <v>5</v>
      </c>
      <c r="S274" s="2">
        <f t="shared" si="123"/>
        <v>50</v>
      </c>
      <c r="T274" s="2">
        <f t="shared" si="124"/>
        <v>71.428571428571431</v>
      </c>
      <c r="U274" s="2">
        <f ca="1">VLOOKUP(E274,金币生产率!$A$2:$B$120,2,0)</f>
        <v>563</v>
      </c>
      <c r="V274" s="2">
        <f t="shared" si="125"/>
        <v>214.28571428571428</v>
      </c>
      <c r="W274" s="45">
        <f t="shared" ca="1" si="138"/>
        <v>24</v>
      </c>
      <c r="X274" s="48">
        <f t="shared" ca="1" si="139"/>
        <v>248</v>
      </c>
      <c r="Y274">
        <f t="shared" si="126"/>
        <v>18</v>
      </c>
      <c r="Z274">
        <f t="shared" ca="1" si="133"/>
        <v>0</v>
      </c>
      <c r="AA274" t="str">
        <f t="shared" ca="1" si="134"/>
        <v>9113100.png</v>
      </c>
      <c r="AB274">
        <f t="shared" si="127"/>
        <v>7</v>
      </c>
      <c r="AC274">
        <f>VLOOKUP(C274,技能辅助查询表,技能配置辅助表!$W$1,FALSE)</f>
        <v>22081</v>
      </c>
      <c r="AD274">
        <f t="shared" ca="1" si="135"/>
        <v>31.694661853027945</v>
      </c>
      <c r="AE274">
        <f>VLOOKUP(C274,技能辅助查询表,技能配置辅助表!$U$1,FALSE)</f>
        <v>1</v>
      </c>
      <c r="AF274">
        <f t="shared" ca="1" si="136"/>
        <v>9113117</v>
      </c>
      <c r="AG274">
        <f t="shared" ca="1" si="140"/>
        <v>29.489795918367346</v>
      </c>
      <c r="AH274">
        <f t="shared" ca="1" si="137"/>
        <v>105.14816728492683</v>
      </c>
      <c r="AI274">
        <f ca="1">VLOOKUP(E274,伤害参考系!$C$4:$E$104,3,FALSE)*$AN$12</f>
        <v>1721.3320384615388</v>
      </c>
      <c r="AJ274">
        <f>VLOOKUP(C274,技能辅助查询表,技能配置辅助表!$L$1,FALSE)</f>
        <v>3</v>
      </c>
      <c r="AK274">
        <f>VLOOKUP(C274,技能辅助查询表,技能配置辅助表!$AE$1,FALSE)</f>
        <v>66000622</v>
      </c>
    </row>
    <row r="275" spans="1:37" x14ac:dyDescent="0.15">
      <c r="A275" s="1">
        <f t="shared" ca="1" si="128"/>
        <v>9113118</v>
      </c>
      <c r="B275" s="1" t="str">
        <f t="shared" ca="1" si="113"/>
        <v>光刃·斩</v>
      </c>
      <c r="C275" t="s">
        <v>155</v>
      </c>
      <c r="D275">
        <f t="shared" si="114"/>
        <v>1</v>
      </c>
      <c r="E275" s="42">
        <f t="shared" ca="1" si="129"/>
        <v>32</v>
      </c>
      <c r="F275" t="str">
        <f t="shared" ca="1" si="130"/>
        <v>第18级，共造成252.9%点伤害</v>
      </c>
      <c r="G275">
        <f t="shared" ca="1" si="131"/>
        <v>1</v>
      </c>
      <c r="H275">
        <f t="shared" si="115"/>
        <v>1</v>
      </c>
      <c r="I275" s="44">
        <f t="shared" ca="1" si="132"/>
        <v>18</v>
      </c>
      <c r="J275">
        <f t="shared" si="116"/>
        <v>1</v>
      </c>
      <c r="K275" s="36">
        <f t="shared" ca="1" si="117"/>
        <v>84.285714285714292</v>
      </c>
      <c r="L275" s="10">
        <f ca="1">AH275*VLOOKUP(C275,技能辅助查询表,技能配置辅助表!$T$1,FALSE)</f>
        <v>0</v>
      </c>
      <c r="M275">
        <f t="shared" ca="1" si="118"/>
        <v>8200</v>
      </c>
      <c r="N275" s="33">
        <f ca="1">CHOOSE(1,W275*U275,X275*'[1]0、经济设定'!$C$18)</f>
        <v>15150</v>
      </c>
      <c r="O275">
        <f t="shared" si="119"/>
        <v>3</v>
      </c>
      <c r="P275">
        <f t="shared" si="120"/>
        <v>3</v>
      </c>
      <c r="Q275">
        <f t="shared" si="121"/>
        <v>1</v>
      </c>
      <c r="R275" s="2">
        <f t="shared" si="122"/>
        <v>5</v>
      </c>
      <c r="S275" s="2">
        <f t="shared" si="123"/>
        <v>50</v>
      </c>
      <c r="T275" s="2">
        <f t="shared" si="124"/>
        <v>71.428571428571431</v>
      </c>
      <c r="U275" s="2">
        <f ca="1">VLOOKUP(E275,金币生产率!$A$2:$B$120,2,0)</f>
        <v>606</v>
      </c>
      <c r="V275" s="2">
        <f t="shared" si="125"/>
        <v>214.28571428571428</v>
      </c>
      <c r="W275" s="45">
        <f t="shared" ca="1" si="138"/>
        <v>25</v>
      </c>
      <c r="X275" s="48">
        <f t="shared" ca="1" si="139"/>
        <v>273</v>
      </c>
      <c r="Y275">
        <f t="shared" si="126"/>
        <v>18</v>
      </c>
      <c r="Z275">
        <f t="shared" ca="1" si="133"/>
        <v>10</v>
      </c>
      <c r="AA275" t="str">
        <f t="shared" ca="1" si="134"/>
        <v>9113100.png</v>
      </c>
      <c r="AB275">
        <f t="shared" si="127"/>
        <v>7</v>
      </c>
      <c r="AC275">
        <f>VLOOKUP(C275,技能辅助查询表,技能配置辅助表!$W$1,FALSE)</f>
        <v>22081</v>
      </c>
      <c r="AD275">
        <f t="shared" ca="1" si="135"/>
        <v>36.596995703900731</v>
      </c>
      <c r="AE275">
        <f>VLOOKUP(C275,技能辅助查询表,技能配置辅助表!$U$1,FALSE)</f>
        <v>1</v>
      </c>
      <c r="AF275">
        <f t="shared" ca="1" si="136"/>
        <v>9113118</v>
      </c>
      <c r="AG275">
        <f t="shared" ca="1" si="140"/>
        <v>31.020408163265305</v>
      </c>
      <c r="AH275">
        <f t="shared" ca="1" si="137"/>
        <v>119.70979903145096</v>
      </c>
      <c r="AI275">
        <f ca="1">VLOOKUP(E275,伤害参考系!$C$4:$E$104,3,FALSE)*$AN$12</f>
        <v>1873.3990785953181</v>
      </c>
      <c r="AJ275">
        <f>VLOOKUP(C275,技能辅助查询表,技能配置辅助表!$L$1,FALSE)</f>
        <v>3</v>
      </c>
      <c r="AK275">
        <f>VLOOKUP(C275,技能辅助查询表,技能配置辅助表!$AE$1,FALSE)</f>
        <v>66000622</v>
      </c>
    </row>
    <row r="276" spans="1:37" x14ac:dyDescent="0.15">
      <c r="A276" s="1">
        <f t="shared" ca="1" si="128"/>
        <v>9113119</v>
      </c>
      <c r="B276" s="1" t="str">
        <f t="shared" ca="1" si="113"/>
        <v>光刃·斩</v>
      </c>
      <c r="C276" t="s">
        <v>155</v>
      </c>
      <c r="D276">
        <f t="shared" si="114"/>
        <v>1</v>
      </c>
      <c r="E276" s="42">
        <f t="shared" ca="1" si="129"/>
        <v>34</v>
      </c>
      <c r="F276" t="str">
        <f t="shared" ca="1" si="130"/>
        <v>第19级，共造成255%点伤害</v>
      </c>
      <c r="G276">
        <f t="shared" ca="1" si="131"/>
        <v>1</v>
      </c>
      <c r="H276">
        <f t="shared" si="115"/>
        <v>1</v>
      </c>
      <c r="I276" s="44">
        <f t="shared" ca="1" si="132"/>
        <v>19</v>
      </c>
      <c r="J276">
        <f t="shared" si="116"/>
        <v>1</v>
      </c>
      <c r="K276" s="36">
        <f t="shared" ca="1" si="117"/>
        <v>85</v>
      </c>
      <c r="L276" s="10">
        <f ca="1">AH276*VLOOKUP(C276,技能辅助查询表,技能配置辅助表!$T$1,FALSE)</f>
        <v>0</v>
      </c>
      <c r="M276">
        <f t="shared" ca="1" si="118"/>
        <v>8100</v>
      </c>
      <c r="N276" s="33">
        <f ca="1">CHOOSE(1,W276*U276,X276*'[1]0、经济设定'!$C$18)</f>
        <v>18792</v>
      </c>
      <c r="O276">
        <f t="shared" si="119"/>
        <v>3</v>
      </c>
      <c r="P276">
        <f t="shared" si="120"/>
        <v>3</v>
      </c>
      <c r="Q276">
        <f t="shared" si="121"/>
        <v>1</v>
      </c>
      <c r="R276" s="2">
        <f t="shared" si="122"/>
        <v>5</v>
      </c>
      <c r="S276" s="2">
        <f t="shared" si="123"/>
        <v>50</v>
      </c>
      <c r="T276" s="2">
        <f t="shared" si="124"/>
        <v>71.428571428571431</v>
      </c>
      <c r="U276" s="2">
        <f ca="1">VLOOKUP(E276,金币生产率!$A$2:$B$120,2,0)</f>
        <v>696</v>
      </c>
      <c r="V276" s="2">
        <f t="shared" si="125"/>
        <v>214.28571428571428</v>
      </c>
      <c r="W276" s="45">
        <f t="shared" ca="1" si="138"/>
        <v>27</v>
      </c>
      <c r="X276" s="48">
        <f t="shared" ca="1" si="139"/>
        <v>300</v>
      </c>
      <c r="Y276">
        <f t="shared" si="126"/>
        <v>18</v>
      </c>
      <c r="Z276">
        <f t="shared" ca="1" si="133"/>
        <v>11</v>
      </c>
      <c r="AA276" t="str">
        <f t="shared" ca="1" si="134"/>
        <v>9113100.png</v>
      </c>
      <c r="AB276">
        <f t="shared" si="127"/>
        <v>7</v>
      </c>
      <c r="AC276">
        <f>VLOOKUP(C276,技能辅助查询表,技能配置辅助表!$W$1,FALSE)</f>
        <v>22081</v>
      </c>
      <c r="AD276">
        <f t="shared" ca="1" si="135"/>
        <v>42.249287551048432</v>
      </c>
      <c r="AE276">
        <f>VLOOKUP(C276,技能辅助查询表,技能配置辅助表!$U$1,FALSE)</f>
        <v>1</v>
      </c>
      <c r="AF276">
        <f t="shared" ca="1" si="136"/>
        <v>9113119</v>
      </c>
      <c r="AG276">
        <f t="shared" ca="1" si="140"/>
        <v>32.551020408163268</v>
      </c>
      <c r="AH276">
        <f t="shared" ca="1" si="137"/>
        <v>136.28802435822078</v>
      </c>
      <c r="AI276">
        <f ca="1">VLOOKUP(E276,伤害参考系!$C$4:$E$104,3,FALSE)*$AN$12</f>
        <v>2196.2761028428095</v>
      </c>
      <c r="AJ276">
        <f>VLOOKUP(C276,技能辅助查询表,技能配置辅助表!$L$1,FALSE)</f>
        <v>3</v>
      </c>
      <c r="AK276">
        <f>VLOOKUP(C276,技能辅助查询表,技能配置辅助表!$AE$1,FALSE)</f>
        <v>66000622</v>
      </c>
    </row>
    <row r="277" spans="1:37" x14ac:dyDescent="0.15">
      <c r="A277" s="1">
        <f t="shared" ca="1" si="128"/>
        <v>9113120</v>
      </c>
      <c r="B277" s="1" t="str">
        <f t="shared" ca="1" si="113"/>
        <v>光刃·斩</v>
      </c>
      <c r="C277" t="s">
        <v>155</v>
      </c>
      <c r="D277">
        <f t="shared" si="114"/>
        <v>1</v>
      </c>
      <c r="E277" s="42">
        <f t="shared" ca="1" si="129"/>
        <v>35</v>
      </c>
      <c r="F277" t="str">
        <f t="shared" ca="1" si="130"/>
        <v>第20级，共造成257.1%点伤害</v>
      </c>
      <c r="G277">
        <f t="shared" ca="1" si="131"/>
        <v>1</v>
      </c>
      <c r="H277">
        <f t="shared" si="115"/>
        <v>1</v>
      </c>
      <c r="I277" s="44">
        <f t="shared" ca="1" si="132"/>
        <v>20</v>
      </c>
      <c r="J277">
        <f t="shared" si="116"/>
        <v>1</v>
      </c>
      <c r="K277" s="36">
        <f t="shared" ca="1" si="117"/>
        <v>85.714285714285722</v>
      </c>
      <c r="L277" s="10">
        <f ca="1">AH277*VLOOKUP(C277,技能辅助查询表,技能配置辅助表!$T$1,FALSE)</f>
        <v>0</v>
      </c>
      <c r="M277">
        <f t="shared" ca="1" si="118"/>
        <v>8000</v>
      </c>
      <c r="N277" s="33">
        <f ca="1">CHOOSE(1,W277*U277,X277*'[1]0、经济设定'!$C$18)</f>
        <v>21547</v>
      </c>
      <c r="O277">
        <f t="shared" si="119"/>
        <v>3</v>
      </c>
      <c r="P277">
        <f t="shared" si="120"/>
        <v>3</v>
      </c>
      <c r="Q277">
        <f t="shared" si="121"/>
        <v>1</v>
      </c>
      <c r="R277" s="2">
        <f t="shared" si="122"/>
        <v>5</v>
      </c>
      <c r="S277" s="2">
        <f t="shared" si="123"/>
        <v>50</v>
      </c>
      <c r="T277" s="2">
        <f t="shared" si="124"/>
        <v>71.428571428571431</v>
      </c>
      <c r="U277" s="2">
        <f ca="1">VLOOKUP(E277,金币生产率!$A$2:$B$120,2,0)</f>
        <v>743</v>
      </c>
      <c r="V277" s="2">
        <f t="shared" si="125"/>
        <v>214.28571428571428</v>
      </c>
      <c r="W277" s="45">
        <f t="shared" ca="1" si="138"/>
        <v>29</v>
      </c>
      <c r="X277" s="48">
        <f t="shared" ca="1" si="139"/>
        <v>329</v>
      </c>
      <c r="Y277">
        <f t="shared" si="126"/>
        <v>18</v>
      </c>
      <c r="Z277">
        <f t="shared" ca="1" si="133"/>
        <v>12</v>
      </c>
      <c r="AA277" t="str">
        <f t="shared" ca="1" si="134"/>
        <v>9113100.png</v>
      </c>
      <c r="AB277">
        <f t="shared" si="127"/>
        <v>7</v>
      </c>
      <c r="AC277">
        <f>VLOOKUP(C277,技能辅助查询表,技能配置辅助表!$W$1,FALSE)</f>
        <v>22081</v>
      </c>
      <c r="AD277">
        <f t="shared" ca="1" si="135"/>
        <v>48.765236089094543</v>
      </c>
      <c r="AE277">
        <f>VLOOKUP(C277,技能辅助查询表,技能配置辅助表!$U$1,FALSE)</f>
        <v>1</v>
      </c>
      <c r="AF277">
        <f t="shared" ca="1" si="136"/>
        <v>9113120</v>
      </c>
      <c r="AG277">
        <f t="shared" ca="1" si="140"/>
        <v>34.08163265306122</v>
      </c>
      <c r="AH277">
        <f t="shared" ca="1" si="137"/>
        <v>155.16211482893718</v>
      </c>
      <c r="AI277">
        <f ca="1">VLOOKUP(E277,伤害参考系!$C$4:$E$104,3,FALSE)*$AN$12</f>
        <v>2367.0860869565217</v>
      </c>
      <c r="AJ277">
        <f>VLOOKUP(C277,技能辅助查询表,技能配置辅助表!$L$1,FALSE)</f>
        <v>3</v>
      </c>
      <c r="AK277">
        <f>VLOOKUP(C277,技能辅助查询表,技能配置辅助表!$AE$1,FALSE)</f>
        <v>66000622</v>
      </c>
    </row>
    <row r="278" spans="1:37" x14ac:dyDescent="0.15">
      <c r="A278" s="1">
        <f t="shared" ca="1" si="128"/>
        <v>9113121</v>
      </c>
      <c r="B278" s="1" t="str">
        <f t="shared" ca="1" si="113"/>
        <v>光刃·斩</v>
      </c>
      <c r="C278" t="s">
        <v>155</v>
      </c>
      <c r="D278">
        <f t="shared" si="114"/>
        <v>1</v>
      </c>
      <c r="E278" s="42">
        <f t="shared" ca="1" si="129"/>
        <v>37</v>
      </c>
      <c r="F278" t="str">
        <f t="shared" ca="1" si="130"/>
        <v>第21级，共造成259.3%点伤害</v>
      </c>
      <c r="G278">
        <f t="shared" ca="1" si="131"/>
        <v>1</v>
      </c>
      <c r="H278">
        <f t="shared" si="115"/>
        <v>1</v>
      </c>
      <c r="I278" s="44">
        <f t="shared" ca="1" si="132"/>
        <v>21</v>
      </c>
      <c r="J278">
        <f t="shared" si="116"/>
        <v>1</v>
      </c>
      <c r="K278" s="36">
        <f t="shared" ca="1" si="117"/>
        <v>86.428571428571431</v>
      </c>
      <c r="L278" s="10">
        <f ca="1">AH278*VLOOKUP(C278,技能辅助查询表,技能配置辅助表!$T$1,FALSE)</f>
        <v>0</v>
      </c>
      <c r="M278">
        <f t="shared" ca="1" si="118"/>
        <v>7900</v>
      </c>
      <c r="N278" s="33">
        <f ca="1">CHOOSE(1,W278*U278,X278*'[1]0、经济设定'!$C$18)</f>
        <v>26071</v>
      </c>
      <c r="O278">
        <f t="shared" si="119"/>
        <v>3</v>
      </c>
      <c r="P278">
        <f t="shared" si="120"/>
        <v>3</v>
      </c>
      <c r="Q278">
        <f t="shared" si="121"/>
        <v>1</v>
      </c>
      <c r="R278" s="2">
        <f t="shared" si="122"/>
        <v>5</v>
      </c>
      <c r="S278" s="2">
        <f t="shared" si="123"/>
        <v>50</v>
      </c>
      <c r="T278" s="2">
        <f t="shared" si="124"/>
        <v>71.428571428571431</v>
      </c>
      <c r="U278" s="2">
        <f ca="1">VLOOKUP(E278,金币生产率!$A$2:$B$120,2,0)</f>
        <v>841</v>
      </c>
      <c r="V278" s="2">
        <f t="shared" si="125"/>
        <v>214.28571428571428</v>
      </c>
      <c r="W278" s="45">
        <f t="shared" ca="1" si="138"/>
        <v>31</v>
      </c>
      <c r="X278" s="48">
        <f t="shared" ca="1" si="139"/>
        <v>360</v>
      </c>
      <c r="Y278">
        <f t="shared" si="126"/>
        <v>18</v>
      </c>
      <c r="Z278">
        <f t="shared" ca="1" si="133"/>
        <v>13</v>
      </c>
      <c r="AA278" t="str">
        <f t="shared" ca="1" si="134"/>
        <v>9113100.png</v>
      </c>
      <c r="AB278">
        <f t="shared" si="127"/>
        <v>7</v>
      </c>
      <c r="AC278">
        <f>VLOOKUP(C278,技能辅助查询表,技能配置辅助表!$W$1,FALSE)</f>
        <v>22081</v>
      </c>
      <c r="AD278">
        <f t="shared" ca="1" si="135"/>
        <v>56.275648409394762</v>
      </c>
      <c r="AE278">
        <f>VLOOKUP(C278,技能辅助查询表,技能配置辅助表!$U$1,FALSE)</f>
        <v>1</v>
      </c>
      <c r="AF278">
        <f t="shared" ca="1" si="136"/>
        <v>9113121</v>
      </c>
      <c r="AG278">
        <f t="shared" ca="1" si="140"/>
        <v>35.612244897959187</v>
      </c>
      <c r="AH278">
        <f t="shared" ca="1" si="137"/>
        <v>176.65001742859343</v>
      </c>
      <c r="AI278">
        <f ca="1">VLOOKUP(E278,伤害参考系!$C$4:$E$104,3,FALSE)*$AN$12</f>
        <v>2727.4489991638798</v>
      </c>
      <c r="AJ278">
        <f>VLOOKUP(C278,技能辅助查询表,技能配置辅助表!$L$1,FALSE)</f>
        <v>3</v>
      </c>
      <c r="AK278">
        <f>VLOOKUP(C278,技能辅助查询表,技能配置辅助表!$AE$1,FALSE)</f>
        <v>66000622</v>
      </c>
    </row>
    <row r="279" spans="1:37" x14ac:dyDescent="0.15">
      <c r="A279" s="1">
        <f t="shared" ca="1" si="128"/>
        <v>9113122</v>
      </c>
      <c r="B279" s="1" t="str">
        <f t="shared" ca="1" si="113"/>
        <v>光刃·斩</v>
      </c>
      <c r="C279" t="s">
        <v>155</v>
      </c>
      <c r="D279">
        <f t="shared" si="114"/>
        <v>1</v>
      </c>
      <c r="E279" s="42">
        <f t="shared" ca="1" si="129"/>
        <v>38</v>
      </c>
      <c r="F279" t="str">
        <f t="shared" ca="1" si="130"/>
        <v>第22级，共造成261.4%点伤害</v>
      </c>
      <c r="G279">
        <f t="shared" ca="1" si="131"/>
        <v>1</v>
      </c>
      <c r="H279">
        <f t="shared" si="115"/>
        <v>1</v>
      </c>
      <c r="I279" s="44">
        <f t="shared" ca="1" si="132"/>
        <v>22</v>
      </c>
      <c r="J279">
        <f t="shared" si="116"/>
        <v>1</v>
      </c>
      <c r="K279" s="36">
        <f t="shared" ca="1" si="117"/>
        <v>87.142857142857139</v>
      </c>
      <c r="L279" s="10">
        <f ca="1">AH279*VLOOKUP(C279,技能辅助查询表,技能配置辅助表!$T$1,FALSE)</f>
        <v>0</v>
      </c>
      <c r="M279">
        <f t="shared" ca="1" si="118"/>
        <v>7800</v>
      </c>
      <c r="N279" s="33">
        <f ca="1">CHOOSE(1,W279*U279,X279*'[1]0、经济设定'!$C$18)</f>
        <v>29436</v>
      </c>
      <c r="O279">
        <f t="shared" si="119"/>
        <v>3</v>
      </c>
      <c r="P279">
        <f t="shared" si="120"/>
        <v>3</v>
      </c>
      <c r="Q279">
        <f t="shared" si="121"/>
        <v>1</v>
      </c>
      <c r="R279" s="2">
        <f t="shared" si="122"/>
        <v>5</v>
      </c>
      <c r="S279" s="2">
        <f t="shared" si="123"/>
        <v>50</v>
      </c>
      <c r="T279" s="2">
        <f t="shared" si="124"/>
        <v>71.428571428571431</v>
      </c>
      <c r="U279" s="2">
        <f ca="1">VLOOKUP(E279,金币生产率!$A$2:$B$120,2,0)</f>
        <v>892</v>
      </c>
      <c r="V279" s="2">
        <f t="shared" si="125"/>
        <v>214.28571428571428</v>
      </c>
      <c r="W279" s="45">
        <f t="shared" ca="1" si="138"/>
        <v>33</v>
      </c>
      <c r="X279" s="48">
        <f t="shared" ca="1" si="139"/>
        <v>393</v>
      </c>
      <c r="Y279">
        <f t="shared" si="126"/>
        <v>18</v>
      </c>
      <c r="Z279">
        <f t="shared" ca="1" si="133"/>
        <v>14</v>
      </c>
      <c r="AA279" t="str">
        <f t="shared" ca="1" si="134"/>
        <v>9113100.png</v>
      </c>
      <c r="AB279">
        <f t="shared" si="127"/>
        <v>7</v>
      </c>
      <c r="AC279">
        <f>VLOOKUP(C279,技能辅助查询表,技能配置辅助表!$W$1,FALSE)</f>
        <v>22081</v>
      </c>
      <c r="AD279">
        <f t="shared" ca="1" si="135"/>
        <v>64.930997993155671</v>
      </c>
      <c r="AE279">
        <f>VLOOKUP(C279,技能辅助查询表,技能配置辅助表!$U$1,FALSE)</f>
        <v>1</v>
      </c>
      <c r="AF279">
        <f t="shared" ca="1" si="136"/>
        <v>9113122</v>
      </c>
      <c r="AG279">
        <f t="shared" ca="1" si="140"/>
        <v>37.142857142857146</v>
      </c>
      <c r="AH279">
        <f t="shared" ca="1" si="137"/>
        <v>201.11371059826985</v>
      </c>
      <c r="AI279">
        <f ca="1">VLOOKUP(E279,伤害参考系!$C$4:$E$104,3,FALSE)*$AN$12</f>
        <v>2917.001927257525</v>
      </c>
      <c r="AJ279">
        <f>VLOOKUP(C279,技能辅助查询表,技能配置辅助表!$L$1,FALSE)</f>
        <v>3</v>
      </c>
      <c r="AK279">
        <f>VLOOKUP(C279,技能辅助查询表,技能配置辅助表!$AE$1,FALSE)</f>
        <v>66000622</v>
      </c>
    </row>
    <row r="280" spans="1:37" x14ac:dyDescent="0.15">
      <c r="A280" s="1">
        <f t="shared" ca="1" si="128"/>
        <v>9113123</v>
      </c>
      <c r="B280" s="1" t="str">
        <f t="shared" ca="1" si="113"/>
        <v>光刃·斩</v>
      </c>
      <c r="C280" t="s">
        <v>155</v>
      </c>
      <c r="D280">
        <f t="shared" si="114"/>
        <v>1</v>
      </c>
      <c r="E280" s="42">
        <f t="shared" ca="1" si="129"/>
        <v>40</v>
      </c>
      <c r="F280" t="str">
        <f t="shared" ca="1" si="130"/>
        <v>第23级，共造成263.6%点伤害</v>
      </c>
      <c r="G280">
        <f t="shared" ca="1" si="131"/>
        <v>1</v>
      </c>
      <c r="H280">
        <f t="shared" si="115"/>
        <v>1</v>
      </c>
      <c r="I280" s="44">
        <f t="shared" ca="1" si="132"/>
        <v>23</v>
      </c>
      <c r="J280">
        <f t="shared" si="116"/>
        <v>1</v>
      </c>
      <c r="K280" s="36">
        <f t="shared" ca="1" si="117"/>
        <v>87.857142857142861</v>
      </c>
      <c r="L280" s="10">
        <f ca="1">AH280*VLOOKUP(C280,技能辅助查询表,技能配置辅助表!$T$1,FALSE)</f>
        <v>0</v>
      </c>
      <c r="M280">
        <f t="shared" ca="1" si="118"/>
        <v>7700</v>
      </c>
      <c r="N280" s="33">
        <f ca="1">CHOOSE(1,W280*U280,X280*'[1]0、经济设定'!$C$18)</f>
        <v>35928</v>
      </c>
      <c r="O280">
        <f t="shared" si="119"/>
        <v>3</v>
      </c>
      <c r="P280">
        <f t="shared" si="120"/>
        <v>3</v>
      </c>
      <c r="Q280">
        <f t="shared" si="121"/>
        <v>1</v>
      </c>
      <c r="R280" s="2">
        <f t="shared" si="122"/>
        <v>5</v>
      </c>
      <c r="S280" s="2">
        <f t="shared" si="123"/>
        <v>50</v>
      </c>
      <c r="T280" s="2">
        <f t="shared" si="124"/>
        <v>71.428571428571431</v>
      </c>
      <c r="U280" s="2">
        <f ca="1">VLOOKUP(E280,金币生产率!$A$2:$B$120,2,0)</f>
        <v>998</v>
      </c>
      <c r="V280" s="2">
        <f t="shared" si="125"/>
        <v>214.28571428571428</v>
      </c>
      <c r="W280" s="45">
        <f t="shared" ca="1" si="138"/>
        <v>36</v>
      </c>
      <c r="X280" s="48">
        <f t="shared" ca="1" si="139"/>
        <v>429</v>
      </c>
      <c r="Y280">
        <f t="shared" si="126"/>
        <v>18</v>
      </c>
      <c r="Z280">
        <f t="shared" ca="1" si="133"/>
        <v>15</v>
      </c>
      <c r="AA280" t="str">
        <f t="shared" ca="1" si="134"/>
        <v>9113100.png</v>
      </c>
      <c r="AB280">
        <f t="shared" si="127"/>
        <v>7</v>
      </c>
      <c r="AC280">
        <f>VLOOKUP(C280,技能辅助查询表,技能配置辅助表!$W$1,FALSE)</f>
        <v>22081</v>
      </c>
      <c r="AD280">
        <f t="shared" ca="1" si="135"/>
        <v>74.904363086119247</v>
      </c>
      <c r="AE280">
        <f>VLOOKUP(C280,技能辅助查询表,技能配置辅助表!$U$1,FALSE)</f>
        <v>1</v>
      </c>
      <c r="AF280">
        <f t="shared" ca="1" si="136"/>
        <v>9113123</v>
      </c>
      <c r="AG280">
        <f t="shared" ca="1" si="140"/>
        <v>38.673469387755105</v>
      </c>
      <c r="AH280">
        <f t="shared" ca="1" si="137"/>
        <v>228.96530200997151</v>
      </c>
      <c r="AI280">
        <f ca="1">VLOOKUP(E280,伤害参考系!$C$4:$E$104,3,FALSE)*$AN$12</f>
        <v>3344.7142474916404</v>
      </c>
      <c r="AJ280">
        <f>VLOOKUP(C280,技能辅助查询表,技能配置辅助表!$L$1,FALSE)</f>
        <v>3</v>
      </c>
      <c r="AK280">
        <f>VLOOKUP(C280,技能辅助查询表,技能配置辅助表!$AE$1,FALSE)</f>
        <v>66000622</v>
      </c>
    </row>
    <row r="281" spans="1:37" x14ac:dyDescent="0.15">
      <c r="A281" s="1">
        <f t="shared" ca="1" si="128"/>
        <v>9113124</v>
      </c>
      <c r="B281" s="1" t="str">
        <f t="shared" ca="1" si="113"/>
        <v>光刃·斩</v>
      </c>
      <c r="C281" t="s">
        <v>155</v>
      </c>
      <c r="D281">
        <f t="shared" si="114"/>
        <v>1</v>
      </c>
      <c r="E281" s="42">
        <f t="shared" ca="1" si="129"/>
        <v>41</v>
      </c>
      <c r="F281" t="str">
        <f t="shared" ca="1" si="130"/>
        <v>第24级，共造成265.7%点伤害</v>
      </c>
      <c r="G281">
        <f t="shared" ca="1" si="131"/>
        <v>1</v>
      </c>
      <c r="H281">
        <f t="shared" si="115"/>
        <v>1</v>
      </c>
      <c r="I281" s="44">
        <f t="shared" ca="1" si="132"/>
        <v>24</v>
      </c>
      <c r="J281">
        <f t="shared" si="116"/>
        <v>1</v>
      </c>
      <c r="K281" s="36">
        <f t="shared" ca="1" si="117"/>
        <v>88.571428571428569</v>
      </c>
      <c r="L281" s="10">
        <f ca="1">AH281*VLOOKUP(C281,技能辅助查询表,技能配置辅助表!$T$1,FALSE)</f>
        <v>0</v>
      </c>
      <c r="M281">
        <f t="shared" ca="1" si="118"/>
        <v>7600</v>
      </c>
      <c r="N281" s="33">
        <f ca="1">CHOOSE(1,W281*U281,X281*'[1]0、经济设定'!$C$18)</f>
        <v>40014</v>
      </c>
      <c r="O281">
        <f t="shared" si="119"/>
        <v>3</v>
      </c>
      <c r="P281">
        <f t="shared" si="120"/>
        <v>3</v>
      </c>
      <c r="Q281">
        <f t="shared" si="121"/>
        <v>1</v>
      </c>
      <c r="R281" s="2">
        <f t="shared" si="122"/>
        <v>5</v>
      </c>
      <c r="S281" s="2">
        <f t="shared" si="123"/>
        <v>50</v>
      </c>
      <c r="T281" s="2">
        <f t="shared" si="124"/>
        <v>71.428571428571431</v>
      </c>
      <c r="U281" s="2">
        <f ca="1">VLOOKUP(E281,金币生产率!$A$2:$B$120,2,0)</f>
        <v>1053</v>
      </c>
      <c r="V281" s="2">
        <f t="shared" si="125"/>
        <v>214.28571428571428</v>
      </c>
      <c r="W281" s="45">
        <f t="shared" ca="1" si="138"/>
        <v>38</v>
      </c>
      <c r="X281" s="48">
        <f t="shared" ca="1" si="139"/>
        <v>467</v>
      </c>
      <c r="Y281">
        <f t="shared" si="126"/>
        <v>18</v>
      </c>
      <c r="Z281">
        <f t="shared" ca="1" si="133"/>
        <v>16</v>
      </c>
      <c r="AA281" t="str">
        <f t="shared" ca="1" si="134"/>
        <v>9113100.png</v>
      </c>
      <c r="AB281">
        <f t="shared" si="127"/>
        <v>7</v>
      </c>
      <c r="AC281">
        <f>VLOOKUP(C281,技能辅助查询表,技能配置辅助表!$W$1,FALSE)</f>
        <v>22081</v>
      </c>
      <c r="AD281">
        <f t="shared" ca="1" si="135"/>
        <v>86.394801751754272</v>
      </c>
      <c r="AE281">
        <f>VLOOKUP(C281,技能辅助查询表,技能配置辅助表!$U$1,FALSE)</f>
        <v>1</v>
      </c>
      <c r="AF281">
        <f t="shared" ca="1" si="136"/>
        <v>9113124</v>
      </c>
      <c r="AG281">
        <f t="shared" ca="1" si="140"/>
        <v>40.204081632653065</v>
      </c>
      <c r="AH281">
        <f t="shared" ca="1" si="137"/>
        <v>260.67397080270689</v>
      </c>
      <c r="AI281">
        <f ca="1">VLOOKUP(E281,伤害参考系!$C$4:$E$104,3,FALSE)*$AN$12</f>
        <v>3584.9561889632118</v>
      </c>
      <c r="AJ281">
        <f>VLOOKUP(C281,技能辅助查询表,技能配置辅助表!$L$1,FALSE)</f>
        <v>3</v>
      </c>
      <c r="AK281">
        <f>VLOOKUP(C281,技能辅助查询表,技能配置辅助表!$AE$1,FALSE)</f>
        <v>66000622</v>
      </c>
    </row>
    <row r="282" spans="1:37" x14ac:dyDescent="0.15">
      <c r="A282" s="1">
        <f t="shared" ca="1" si="128"/>
        <v>9113125</v>
      </c>
      <c r="B282" s="1" t="str">
        <f t="shared" ca="1" si="113"/>
        <v>光刃·斩</v>
      </c>
      <c r="C282" t="s">
        <v>155</v>
      </c>
      <c r="D282">
        <f t="shared" si="114"/>
        <v>1</v>
      </c>
      <c r="E282" s="42">
        <f t="shared" ca="1" si="129"/>
        <v>43</v>
      </c>
      <c r="F282" t="str">
        <f t="shared" ca="1" si="130"/>
        <v>第25级，共造成267.9%点伤害</v>
      </c>
      <c r="G282">
        <f t="shared" ca="1" si="131"/>
        <v>1</v>
      </c>
      <c r="H282">
        <f t="shared" si="115"/>
        <v>1</v>
      </c>
      <c r="I282" s="44">
        <f t="shared" ca="1" si="132"/>
        <v>25</v>
      </c>
      <c r="J282">
        <f t="shared" si="116"/>
        <v>1</v>
      </c>
      <c r="K282" s="36">
        <f t="shared" ca="1" si="117"/>
        <v>89.285714285714292</v>
      </c>
      <c r="L282" s="10">
        <f ca="1">AH282*VLOOKUP(C282,技能辅助查询表,技能配置辅助表!$T$1,FALSE)</f>
        <v>0</v>
      </c>
      <c r="M282">
        <f t="shared" ca="1" si="118"/>
        <v>7500</v>
      </c>
      <c r="N282" s="33">
        <f ca="1">CHOOSE(1,W282*U282,X282*'[1]0、经济设定'!$C$18)</f>
        <v>47847</v>
      </c>
      <c r="O282">
        <f t="shared" si="119"/>
        <v>3</v>
      </c>
      <c r="P282">
        <f t="shared" si="120"/>
        <v>3</v>
      </c>
      <c r="Q282">
        <f t="shared" si="121"/>
        <v>1</v>
      </c>
      <c r="R282" s="2">
        <f t="shared" si="122"/>
        <v>5</v>
      </c>
      <c r="S282" s="2">
        <f t="shared" si="123"/>
        <v>50</v>
      </c>
      <c r="T282" s="2">
        <f t="shared" si="124"/>
        <v>71.428571428571431</v>
      </c>
      <c r="U282" s="2">
        <f ca="1">VLOOKUP(E282,金币生产率!$A$2:$B$120,2,0)</f>
        <v>1167</v>
      </c>
      <c r="V282" s="2">
        <f t="shared" si="125"/>
        <v>214.28571428571428</v>
      </c>
      <c r="W282" s="45">
        <f t="shared" ca="1" si="138"/>
        <v>41</v>
      </c>
      <c r="X282" s="48">
        <f t="shared" ca="1" si="139"/>
        <v>508</v>
      </c>
      <c r="Y282">
        <f t="shared" si="126"/>
        <v>18</v>
      </c>
      <c r="Z282">
        <f t="shared" ca="1" si="133"/>
        <v>17</v>
      </c>
      <c r="AA282" t="str">
        <f t="shared" ca="1" si="134"/>
        <v>9113100.png</v>
      </c>
      <c r="AB282">
        <f t="shared" si="127"/>
        <v>7</v>
      </c>
      <c r="AC282">
        <f>VLOOKUP(C282,技能辅助查询表,技能配置辅助表!$W$1,FALSE)</f>
        <v>22081</v>
      </c>
      <c r="AD282">
        <f t="shared" ca="1" si="135"/>
        <v>99.631228197477498</v>
      </c>
      <c r="AE282">
        <f>VLOOKUP(C282,技能辅助查询表,技能配置辅助表!$U$1,FALSE)</f>
        <v>1</v>
      </c>
      <c r="AF282">
        <f t="shared" ca="1" si="136"/>
        <v>9113125</v>
      </c>
      <c r="AG282">
        <f t="shared" ca="1" si="140"/>
        <v>41.734693877551024</v>
      </c>
      <c r="AH282">
        <f t="shared" ca="1" si="137"/>
        <v>296.77387122652874</v>
      </c>
      <c r="AI282">
        <f ca="1">VLOOKUP(E282,伤害参考系!$C$4:$E$104,3,FALSE)*$AN$12</f>
        <v>4090.4306638795993</v>
      </c>
      <c r="AJ282">
        <f>VLOOKUP(C282,技能辅助查询表,技能配置辅助表!$L$1,FALSE)</f>
        <v>3</v>
      </c>
      <c r="AK282">
        <f>VLOOKUP(C282,技能辅助查询表,技能配置辅助表!$AE$1,FALSE)</f>
        <v>66000622</v>
      </c>
    </row>
    <row r="283" spans="1:37" x14ac:dyDescent="0.15">
      <c r="A283" s="1">
        <f t="shared" ca="1" si="128"/>
        <v>9113126</v>
      </c>
      <c r="B283" s="1" t="str">
        <f t="shared" ca="1" si="113"/>
        <v>光刃·斩</v>
      </c>
      <c r="C283" t="s">
        <v>155</v>
      </c>
      <c r="D283">
        <f t="shared" si="114"/>
        <v>1</v>
      </c>
      <c r="E283" s="42">
        <f t="shared" ca="1" si="129"/>
        <v>44</v>
      </c>
      <c r="F283" t="str">
        <f t="shared" ca="1" si="130"/>
        <v>第26级，共造成270%点伤害</v>
      </c>
      <c r="G283">
        <f t="shared" ca="1" si="131"/>
        <v>1</v>
      </c>
      <c r="H283">
        <f t="shared" si="115"/>
        <v>1</v>
      </c>
      <c r="I283" s="44">
        <f t="shared" ca="1" si="132"/>
        <v>26</v>
      </c>
      <c r="J283">
        <f t="shared" si="116"/>
        <v>1</v>
      </c>
      <c r="K283" s="36">
        <f t="shared" ca="1" si="117"/>
        <v>90</v>
      </c>
      <c r="L283" s="10">
        <f ca="1">AH283*VLOOKUP(C283,技能辅助查询表,技能配置辅助表!$T$1,FALSE)</f>
        <v>0</v>
      </c>
      <c r="M283">
        <f t="shared" ca="1" si="118"/>
        <v>7400</v>
      </c>
      <c r="N283" s="33">
        <f ca="1">CHOOSE(1,W283*U283,X283*'[1]0、经济设定'!$C$18)</f>
        <v>52718</v>
      </c>
      <c r="O283">
        <f t="shared" si="119"/>
        <v>3</v>
      </c>
      <c r="P283">
        <f t="shared" si="120"/>
        <v>3</v>
      </c>
      <c r="Q283">
        <f t="shared" si="121"/>
        <v>1</v>
      </c>
      <c r="R283" s="2">
        <f t="shared" si="122"/>
        <v>5</v>
      </c>
      <c r="S283" s="2">
        <f t="shared" si="123"/>
        <v>50</v>
      </c>
      <c r="T283" s="2">
        <f t="shared" si="124"/>
        <v>71.428571428571431</v>
      </c>
      <c r="U283" s="2">
        <f ca="1">VLOOKUP(E283,金币生产率!$A$2:$B$120,2,0)</f>
        <v>1226</v>
      </c>
      <c r="V283" s="2">
        <f t="shared" si="125"/>
        <v>214.28571428571428</v>
      </c>
      <c r="W283" s="45">
        <f t="shared" ca="1" si="138"/>
        <v>43</v>
      </c>
      <c r="X283" s="48">
        <f t="shared" ca="1" si="139"/>
        <v>551</v>
      </c>
      <c r="Y283">
        <f t="shared" si="126"/>
        <v>18</v>
      </c>
      <c r="Z283">
        <f t="shared" ca="1" si="133"/>
        <v>18</v>
      </c>
      <c r="AA283" t="str">
        <f t="shared" ca="1" si="134"/>
        <v>9113100.png</v>
      </c>
      <c r="AB283">
        <f t="shared" si="127"/>
        <v>7</v>
      </c>
      <c r="AC283">
        <f>VLOOKUP(C283,技能辅助查询表,技能配置辅助表!$W$1,FALSE)</f>
        <v>22081</v>
      </c>
      <c r="AD283">
        <f t="shared" ca="1" si="135"/>
        <v>114.87686448452378</v>
      </c>
      <c r="AE283">
        <f>VLOOKUP(C283,技能辅助查询表,技能配置辅助表!$U$1,FALSE)</f>
        <v>1</v>
      </c>
      <c r="AF283">
        <f t="shared" ca="1" si="136"/>
        <v>9113126</v>
      </c>
      <c r="AG283">
        <f t="shared" ca="1" si="140"/>
        <v>43.265306122448976</v>
      </c>
      <c r="AH283">
        <f t="shared" ca="1" si="137"/>
        <v>337.87313083683472</v>
      </c>
      <c r="AI283">
        <f ca="1">VLOOKUP(E283,伤害参考系!$C$4:$E$104,3,FALSE)*$AN$12</f>
        <v>4355.6631973244148</v>
      </c>
      <c r="AJ283">
        <f>VLOOKUP(C283,技能辅助查询表,技能配置辅助表!$L$1,FALSE)</f>
        <v>3</v>
      </c>
      <c r="AK283">
        <f>VLOOKUP(C283,技能辅助查询表,技能配置辅助表!$AE$1,FALSE)</f>
        <v>66000622</v>
      </c>
    </row>
    <row r="284" spans="1:37" x14ac:dyDescent="0.15">
      <c r="A284" s="1">
        <f t="shared" ca="1" si="128"/>
        <v>9113127</v>
      </c>
      <c r="B284" s="1" t="str">
        <f t="shared" ca="1" si="113"/>
        <v>光刃·斩</v>
      </c>
      <c r="C284" t="s">
        <v>155</v>
      </c>
      <c r="D284">
        <f t="shared" si="114"/>
        <v>1</v>
      </c>
      <c r="E284" s="42">
        <f t="shared" ca="1" si="129"/>
        <v>46</v>
      </c>
      <c r="F284" t="str">
        <f t="shared" ca="1" si="130"/>
        <v>第27级，共造成272.1%点伤害</v>
      </c>
      <c r="G284">
        <f t="shared" ca="1" si="131"/>
        <v>1</v>
      </c>
      <c r="H284">
        <f t="shared" si="115"/>
        <v>1</v>
      </c>
      <c r="I284" s="44">
        <f t="shared" ca="1" si="132"/>
        <v>27</v>
      </c>
      <c r="J284">
        <f t="shared" si="116"/>
        <v>1</v>
      </c>
      <c r="K284" s="36">
        <f t="shared" ca="1" si="117"/>
        <v>90.714285714285722</v>
      </c>
      <c r="L284" s="10">
        <f ca="1">AH284*VLOOKUP(C284,技能辅助查询表,技能配置辅助表!$T$1,FALSE)</f>
        <v>0</v>
      </c>
      <c r="M284">
        <f t="shared" ca="1" si="118"/>
        <v>7300</v>
      </c>
      <c r="N284" s="33">
        <f ca="1">CHOOSE(1,W284*U284,X284*'[1]0、经济设定'!$C$18)</f>
        <v>62054</v>
      </c>
      <c r="O284">
        <f t="shared" si="119"/>
        <v>3</v>
      </c>
      <c r="P284">
        <f t="shared" si="120"/>
        <v>3</v>
      </c>
      <c r="Q284">
        <f t="shared" si="121"/>
        <v>1</v>
      </c>
      <c r="R284" s="2">
        <f t="shared" si="122"/>
        <v>5</v>
      </c>
      <c r="S284" s="2">
        <f t="shared" si="123"/>
        <v>50</v>
      </c>
      <c r="T284" s="2">
        <f t="shared" si="124"/>
        <v>71.428571428571431</v>
      </c>
      <c r="U284" s="2">
        <f ca="1">VLOOKUP(E284,金币生产率!$A$2:$B$120,2,0)</f>
        <v>1349</v>
      </c>
      <c r="V284" s="2">
        <f t="shared" si="125"/>
        <v>214.28571428571428</v>
      </c>
      <c r="W284" s="45">
        <f t="shared" ca="1" si="138"/>
        <v>46</v>
      </c>
      <c r="X284" s="48">
        <f t="shared" ca="1" si="139"/>
        <v>597</v>
      </c>
      <c r="Y284">
        <f t="shared" si="126"/>
        <v>18</v>
      </c>
      <c r="Z284">
        <f t="shared" ca="1" si="133"/>
        <v>19</v>
      </c>
      <c r="AA284" t="str">
        <f t="shared" ca="1" si="134"/>
        <v>9113100.png</v>
      </c>
      <c r="AB284">
        <f t="shared" si="127"/>
        <v>7</v>
      </c>
      <c r="AC284">
        <f>VLOOKUP(C284,技能辅助查询表,技能配置辅助表!$W$1,FALSE)</f>
        <v>22081</v>
      </c>
      <c r="AD284">
        <f t="shared" ca="1" si="135"/>
        <v>132.43435264506115</v>
      </c>
      <c r="AE284">
        <f>VLOOKUP(C284,技能辅助查询表,技能配置辅助表!$U$1,FALSE)</f>
        <v>1</v>
      </c>
      <c r="AF284">
        <f t="shared" ca="1" si="136"/>
        <v>9113127</v>
      </c>
      <c r="AG284">
        <f t="shared" ca="1" si="140"/>
        <v>44.795918367346935</v>
      </c>
      <c r="AH284">
        <f t="shared" ca="1" si="137"/>
        <v>384.66409481967975</v>
      </c>
      <c r="AI284">
        <f ca="1">VLOOKUP(E284,伤害参考系!$C$4:$E$104,3,FALSE)*$AN$12</f>
        <v>4911.1188561872923</v>
      </c>
      <c r="AJ284">
        <f>VLOOKUP(C284,技能辅助查询表,技能配置辅助表!$L$1,FALSE)</f>
        <v>3</v>
      </c>
      <c r="AK284">
        <f>VLOOKUP(C284,技能辅助查询表,技能配置辅助表!$AE$1,FALSE)</f>
        <v>66000622</v>
      </c>
    </row>
    <row r="285" spans="1:37" x14ac:dyDescent="0.15">
      <c r="A285" s="1">
        <f t="shared" ca="1" si="128"/>
        <v>9113128</v>
      </c>
      <c r="B285" s="1" t="str">
        <f t="shared" ca="1" si="113"/>
        <v>光刃·斩</v>
      </c>
      <c r="C285" t="s">
        <v>155</v>
      </c>
      <c r="D285">
        <f t="shared" si="114"/>
        <v>1</v>
      </c>
      <c r="E285" s="42">
        <f t="shared" ca="1" si="129"/>
        <v>47</v>
      </c>
      <c r="F285" t="str">
        <f t="shared" ca="1" si="130"/>
        <v>第28级，共造成274.3%点伤害</v>
      </c>
      <c r="G285">
        <f t="shared" ca="1" si="131"/>
        <v>1</v>
      </c>
      <c r="H285">
        <f t="shared" si="115"/>
        <v>1</v>
      </c>
      <c r="I285" s="44">
        <f t="shared" ca="1" si="132"/>
        <v>28</v>
      </c>
      <c r="J285">
        <f t="shared" si="116"/>
        <v>1</v>
      </c>
      <c r="K285" s="36">
        <f t="shared" ca="1" si="117"/>
        <v>91.428571428571431</v>
      </c>
      <c r="L285" s="10">
        <f ca="1">AH285*VLOOKUP(C285,技能辅助查询表,技能配置辅助表!$T$1,FALSE)</f>
        <v>0</v>
      </c>
      <c r="M285">
        <f t="shared" ca="1" si="118"/>
        <v>7200</v>
      </c>
      <c r="N285" s="33">
        <f ca="1">CHOOSE(1,W285*U285,X285*'[1]0、经济设定'!$C$18)</f>
        <v>70600</v>
      </c>
      <c r="O285">
        <f t="shared" si="119"/>
        <v>3</v>
      </c>
      <c r="P285">
        <f t="shared" si="120"/>
        <v>3</v>
      </c>
      <c r="Q285">
        <f t="shared" si="121"/>
        <v>1</v>
      </c>
      <c r="R285" s="2">
        <f t="shared" si="122"/>
        <v>5</v>
      </c>
      <c r="S285" s="2">
        <f t="shared" si="123"/>
        <v>50</v>
      </c>
      <c r="T285" s="2">
        <f t="shared" si="124"/>
        <v>71.428571428571431</v>
      </c>
      <c r="U285" s="2">
        <f ca="1">VLOOKUP(E285,金币生产率!$A$2:$B$120,2,0)</f>
        <v>1412</v>
      </c>
      <c r="V285" s="2">
        <f t="shared" si="125"/>
        <v>214.28571428571428</v>
      </c>
      <c r="W285" s="45">
        <f t="shared" ca="1" si="138"/>
        <v>50</v>
      </c>
      <c r="X285" s="48">
        <f t="shared" ca="1" si="139"/>
        <v>647</v>
      </c>
      <c r="Y285">
        <f t="shared" si="126"/>
        <v>18</v>
      </c>
      <c r="Z285">
        <f t="shared" ca="1" si="133"/>
        <v>20</v>
      </c>
      <c r="AA285" t="str">
        <f t="shared" ca="1" si="134"/>
        <v>9113100.png</v>
      </c>
      <c r="AB285">
        <f t="shared" si="127"/>
        <v>7</v>
      </c>
      <c r="AC285">
        <f>VLOOKUP(C285,技能辅助查询表,技能配置辅助表!$W$1,FALSE)</f>
        <v>22081</v>
      </c>
      <c r="AD285">
        <f t="shared" ca="1" si="135"/>
        <v>152.65162474438381</v>
      </c>
      <c r="AE285">
        <f>VLOOKUP(C285,技能辅助查询表,技能配置辅助表!$U$1,FALSE)</f>
        <v>1</v>
      </c>
      <c r="AF285">
        <f t="shared" ca="1" si="136"/>
        <v>9113128</v>
      </c>
      <c r="AG285">
        <f t="shared" ca="1" si="140"/>
        <v>46.326530612244895</v>
      </c>
      <c r="AH285">
        <f t="shared" ca="1" si="137"/>
        <v>437.93498902077317</v>
      </c>
      <c r="AI285">
        <f ca="1">VLOOKUP(E285,伤害参考系!$C$4:$E$104,3,FALSE)*$AN$12</f>
        <v>5201.3419816053529</v>
      </c>
      <c r="AJ285">
        <f>VLOOKUP(C285,技能辅助查询表,技能配置辅助表!$L$1,FALSE)</f>
        <v>3</v>
      </c>
      <c r="AK285">
        <f>VLOOKUP(C285,技能辅助查询表,技能配置辅助表!$AE$1,FALSE)</f>
        <v>66000622</v>
      </c>
    </row>
    <row r="286" spans="1:37" x14ac:dyDescent="0.15">
      <c r="A286" s="1">
        <f t="shared" ca="1" si="128"/>
        <v>9113129</v>
      </c>
      <c r="B286" s="1" t="str">
        <f t="shared" ca="1" si="113"/>
        <v>光刃·斩</v>
      </c>
      <c r="C286" t="s">
        <v>155</v>
      </c>
      <c r="D286">
        <f t="shared" si="114"/>
        <v>1</v>
      </c>
      <c r="E286" s="42">
        <f t="shared" ca="1" si="129"/>
        <v>49</v>
      </c>
      <c r="F286" t="str">
        <f t="shared" ca="1" si="130"/>
        <v>第29级，共造成276.4%点伤害</v>
      </c>
      <c r="G286">
        <f t="shared" ca="1" si="131"/>
        <v>1</v>
      </c>
      <c r="H286">
        <f t="shared" si="115"/>
        <v>1</v>
      </c>
      <c r="I286" s="44">
        <f t="shared" ca="1" si="132"/>
        <v>29</v>
      </c>
      <c r="J286">
        <f t="shared" si="116"/>
        <v>1</v>
      </c>
      <c r="K286" s="36">
        <f t="shared" ca="1" si="117"/>
        <v>92.142857142857139</v>
      </c>
      <c r="L286" s="10">
        <f ca="1">AH286*VLOOKUP(C286,技能辅助查询表,技能配置辅助表!$T$1,FALSE)</f>
        <v>0</v>
      </c>
      <c r="M286">
        <f t="shared" ca="1" si="118"/>
        <v>7100</v>
      </c>
      <c r="N286" s="33">
        <f ca="1">CHOOSE(1,W286*U286,X286*'[1]0、经济设定'!$C$18)</f>
        <v>81779</v>
      </c>
      <c r="O286">
        <f t="shared" si="119"/>
        <v>3</v>
      </c>
      <c r="P286">
        <f t="shared" si="120"/>
        <v>3</v>
      </c>
      <c r="Q286">
        <f t="shared" si="121"/>
        <v>1</v>
      </c>
      <c r="R286" s="2">
        <f t="shared" si="122"/>
        <v>5</v>
      </c>
      <c r="S286" s="2">
        <f t="shared" si="123"/>
        <v>50</v>
      </c>
      <c r="T286" s="2">
        <f t="shared" si="124"/>
        <v>71.428571428571431</v>
      </c>
      <c r="U286" s="2">
        <f ca="1">VLOOKUP(E286,金币生产率!$A$2:$B$120,2,0)</f>
        <v>1543</v>
      </c>
      <c r="V286" s="2">
        <f t="shared" si="125"/>
        <v>214.28571428571428</v>
      </c>
      <c r="W286" s="45">
        <f t="shared" ca="1" si="138"/>
        <v>53</v>
      </c>
      <c r="X286" s="48">
        <f t="shared" ca="1" si="139"/>
        <v>700</v>
      </c>
      <c r="Y286">
        <f t="shared" si="126"/>
        <v>18</v>
      </c>
      <c r="Z286">
        <f t="shared" ca="1" si="133"/>
        <v>22</v>
      </c>
      <c r="AA286" t="str">
        <f t="shared" ca="1" si="134"/>
        <v>9113100.png</v>
      </c>
      <c r="AB286">
        <f t="shared" si="127"/>
        <v>7</v>
      </c>
      <c r="AC286">
        <f>VLOOKUP(C286,技能辅助查询表,技能配置辅助表!$W$1,FALSE)</f>
        <v>22081</v>
      </c>
      <c r="AD286">
        <f t="shared" ca="1" si="135"/>
        <v>175.92864277574358</v>
      </c>
      <c r="AE286">
        <f>VLOOKUP(C286,技能辅助查询表,技能配置辅助表!$U$1,FALSE)</f>
        <v>1</v>
      </c>
      <c r="AF286">
        <f t="shared" ca="1" si="136"/>
        <v>9113129</v>
      </c>
      <c r="AG286">
        <f t="shared" ca="1" si="140"/>
        <v>47.857142857142854</v>
      </c>
      <c r="AH286">
        <f t="shared" ca="1" si="137"/>
        <v>498.5831981498805</v>
      </c>
      <c r="AI286">
        <f ca="1">VLOOKUP(E286,伤害参考系!$C$4:$E$104,3,FALSE)*$AN$12</f>
        <v>5806.7788244147177</v>
      </c>
      <c r="AJ286">
        <f>VLOOKUP(C286,技能辅助查询表,技能配置辅助表!$L$1,FALSE)</f>
        <v>3</v>
      </c>
      <c r="AK286">
        <f>VLOOKUP(C286,技能辅助查询表,技能配置辅助表!$AE$1,FALSE)</f>
        <v>66000622</v>
      </c>
    </row>
    <row r="287" spans="1:37" x14ac:dyDescent="0.15">
      <c r="A287" s="1">
        <f t="shared" ca="1" si="128"/>
        <v>9113130</v>
      </c>
      <c r="B287" s="1" t="str">
        <f t="shared" ca="1" si="113"/>
        <v>光刃·斩</v>
      </c>
      <c r="C287" t="s">
        <v>155</v>
      </c>
      <c r="D287">
        <f t="shared" si="114"/>
        <v>1</v>
      </c>
      <c r="E287" s="42">
        <f t="shared" ca="1" si="129"/>
        <v>50</v>
      </c>
      <c r="F287" t="str">
        <f t="shared" ca="1" si="130"/>
        <v>第30级，共造成278.6%点伤害</v>
      </c>
      <c r="G287">
        <f t="shared" ca="1" si="131"/>
        <v>1</v>
      </c>
      <c r="H287">
        <f t="shared" si="115"/>
        <v>1</v>
      </c>
      <c r="I287" s="44">
        <f t="shared" ca="1" si="132"/>
        <v>30</v>
      </c>
      <c r="J287">
        <f t="shared" si="116"/>
        <v>1</v>
      </c>
      <c r="K287" s="36">
        <f t="shared" ca="1" si="117"/>
        <v>92.857142857142861</v>
      </c>
      <c r="L287" s="10">
        <f ca="1">AH287*VLOOKUP(C287,技能辅助查询表,技能配置辅助表!$T$1,FALSE)</f>
        <v>0</v>
      </c>
      <c r="M287">
        <f t="shared" ca="1" si="118"/>
        <v>7000</v>
      </c>
      <c r="N287" s="33">
        <f ca="1">CHOOSE(1,W287*U287,X287*'[1]0、经济设定'!$C$18)</f>
        <v>91770</v>
      </c>
      <c r="O287">
        <f t="shared" si="119"/>
        <v>3</v>
      </c>
      <c r="P287">
        <f t="shared" si="120"/>
        <v>3</v>
      </c>
      <c r="Q287">
        <f t="shared" si="121"/>
        <v>1</v>
      </c>
      <c r="R287" s="2">
        <f t="shared" si="122"/>
        <v>5</v>
      </c>
      <c r="S287" s="2">
        <f t="shared" si="123"/>
        <v>50</v>
      </c>
      <c r="T287" s="2">
        <f t="shared" si="124"/>
        <v>71.428571428571431</v>
      </c>
      <c r="U287" s="2">
        <f ca="1">VLOOKUP(E287,金币生产率!$A$2:$B$120,2,0)</f>
        <v>1610</v>
      </c>
      <c r="V287" s="2">
        <f t="shared" si="125"/>
        <v>214.28571428571428</v>
      </c>
      <c r="W287" s="45">
        <f t="shared" ca="1" si="138"/>
        <v>57</v>
      </c>
      <c r="X287" s="48">
        <f t="shared" ca="1" si="139"/>
        <v>757</v>
      </c>
      <c r="Y287">
        <f t="shared" si="126"/>
        <v>18</v>
      </c>
      <c r="Z287">
        <f t="shared" ca="1" si="133"/>
        <v>23</v>
      </c>
      <c r="AA287" t="str">
        <f t="shared" ca="1" si="134"/>
        <v>9113100.png</v>
      </c>
      <c r="AB287">
        <f t="shared" si="127"/>
        <v>7</v>
      </c>
      <c r="AC287">
        <f>VLOOKUP(C287,技能辅助查询表,技能配置辅助表!$W$1,FALSE)</f>
        <v>22081</v>
      </c>
      <c r="AD287">
        <f t="shared" ca="1" si="135"/>
        <v>202.72513672895505</v>
      </c>
      <c r="AE287">
        <f>VLOOKUP(C287,技能辅助查询表,技能配置辅助表!$U$1,FALSE)</f>
        <v>1</v>
      </c>
      <c r="AF287">
        <f t="shared" ca="1" si="136"/>
        <v>9113130</v>
      </c>
      <c r="AG287">
        <f t="shared" ca="1" si="140"/>
        <v>49.387755102040813</v>
      </c>
      <c r="AH287">
        <f t="shared" ca="1" si="137"/>
        <v>567.63038284107404</v>
      </c>
      <c r="AI287">
        <f ca="1">VLOOKUP(E287,伤害参考系!$C$4:$E$104,3,FALSE)*$AN$12</f>
        <v>6162.2688085284308</v>
      </c>
      <c r="AJ287">
        <f>VLOOKUP(C287,技能辅助查询表,技能配置辅助表!$L$1,FALSE)</f>
        <v>3</v>
      </c>
      <c r="AK287">
        <f>VLOOKUP(C287,技能辅助查询表,技能配置辅助表!$AE$1,FALSE)</f>
        <v>66000622</v>
      </c>
    </row>
    <row r="288" spans="1:37" x14ac:dyDescent="0.15">
      <c r="A288" s="1">
        <f t="shared" ca="1" si="128"/>
        <v>9113131</v>
      </c>
      <c r="B288" s="1" t="str">
        <f t="shared" ca="1" si="113"/>
        <v>光刃·斩</v>
      </c>
      <c r="C288" t="s">
        <v>155</v>
      </c>
      <c r="D288">
        <f t="shared" si="114"/>
        <v>1</v>
      </c>
      <c r="E288" s="42">
        <f t="shared" ca="1" si="129"/>
        <v>52</v>
      </c>
      <c r="F288" t="str">
        <f t="shared" ca="1" si="130"/>
        <v>第31级，共造成280.7%点伤害</v>
      </c>
      <c r="G288">
        <f t="shared" ca="1" si="131"/>
        <v>1</v>
      </c>
      <c r="H288">
        <f t="shared" si="115"/>
        <v>1</v>
      </c>
      <c r="I288" s="44">
        <f t="shared" ca="1" si="132"/>
        <v>31</v>
      </c>
      <c r="J288">
        <f t="shared" si="116"/>
        <v>1</v>
      </c>
      <c r="K288" s="36">
        <f t="shared" ca="1" si="117"/>
        <v>93.571428571428569</v>
      </c>
      <c r="L288" s="10">
        <f ca="1">AH288*VLOOKUP(C288,技能辅助查询表,技能配置辅助表!$T$1,FALSE)</f>
        <v>0</v>
      </c>
      <c r="M288">
        <f t="shared" ca="1" si="118"/>
        <v>6900</v>
      </c>
      <c r="N288" s="33">
        <f ca="1">CHOOSE(1,W288*U288,X288*'[1]0、经济设定'!$C$18)</f>
        <v>106689</v>
      </c>
      <c r="O288">
        <f t="shared" si="119"/>
        <v>3</v>
      </c>
      <c r="P288">
        <f t="shared" si="120"/>
        <v>3</v>
      </c>
      <c r="Q288">
        <f t="shared" si="121"/>
        <v>1</v>
      </c>
      <c r="R288" s="2">
        <f t="shared" si="122"/>
        <v>5</v>
      </c>
      <c r="S288" s="2">
        <f t="shared" si="123"/>
        <v>50</v>
      </c>
      <c r="T288" s="2">
        <f t="shared" si="124"/>
        <v>71.428571428571431</v>
      </c>
      <c r="U288" s="2">
        <f ca="1">VLOOKUP(E288,金币生产率!$A$2:$B$120,2,0)</f>
        <v>1749</v>
      </c>
      <c r="V288" s="2">
        <f t="shared" si="125"/>
        <v>214.28571428571428</v>
      </c>
      <c r="W288" s="45">
        <f t="shared" ca="1" si="138"/>
        <v>61</v>
      </c>
      <c r="X288" s="48">
        <f t="shared" ca="1" si="139"/>
        <v>818</v>
      </c>
      <c r="Y288">
        <f t="shared" si="126"/>
        <v>18</v>
      </c>
      <c r="Z288">
        <f t="shared" ca="1" si="133"/>
        <v>25</v>
      </c>
      <c r="AA288" t="str">
        <f t="shared" ca="1" si="134"/>
        <v>9113100.png</v>
      </c>
      <c r="AB288">
        <f t="shared" si="127"/>
        <v>7</v>
      </c>
      <c r="AC288">
        <f>VLOOKUP(C288,技能辅助查询表,技能配置辅助表!$W$1,FALSE)</f>
        <v>22081</v>
      </c>
      <c r="AD288">
        <f t="shared" ca="1" si="135"/>
        <v>233.56948803885263</v>
      </c>
      <c r="AE288">
        <f>VLOOKUP(C288,技能辅助查询表,技能配置辅助表!$U$1,FALSE)</f>
        <v>1</v>
      </c>
      <c r="AF288">
        <f t="shared" ca="1" si="136"/>
        <v>9113131</v>
      </c>
      <c r="AG288">
        <f t="shared" ca="1" si="140"/>
        <v>50.918367346938773</v>
      </c>
      <c r="AH288">
        <f t="shared" ca="1" si="137"/>
        <v>646.23969022607446</v>
      </c>
      <c r="AI288">
        <f ca="1">VLOOKUP(E288,伤害参考系!$C$4:$E$104,3,FALSE)*$AN$12</f>
        <v>6904.487016722409</v>
      </c>
      <c r="AJ288">
        <f>VLOOKUP(C288,技能辅助查询表,技能配置辅助表!$L$1,FALSE)</f>
        <v>3</v>
      </c>
      <c r="AK288">
        <f>VLOOKUP(C288,技能辅助查询表,技能配置辅助表!$AE$1,FALSE)</f>
        <v>66000622</v>
      </c>
    </row>
    <row r="289" spans="1:37" x14ac:dyDescent="0.15">
      <c r="A289" s="1">
        <f t="shared" ca="1" si="128"/>
        <v>9113132</v>
      </c>
      <c r="B289" s="1" t="str">
        <f t="shared" ca="1" si="113"/>
        <v>光刃·斩</v>
      </c>
      <c r="C289" t="s">
        <v>155</v>
      </c>
      <c r="D289">
        <f t="shared" si="114"/>
        <v>1</v>
      </c>
      <c r="E289" s="42">
        <f t="shared" ca="1" si="129"/>
        <v>53</v>
      </c>
      <c r="F289" t="str">
        <f t="shared" ca="1" si="130"/>
        <v>第32级，共造成282.9%点伤害</v>
      </c>
      <c r="G289">
        <f t="shared" ca="1" si="131"/>
        <v>1</v>
      </c>
      <c r="H289">
        <f t="shared" si="115"/>
        <v>1</v>
      </c>
      <c r="I289" s="44">
        <f t="shared" ca="1" si="132"/>
        <v>32</v>
      </c>
      <c r="J289">
        <f t="shared" si="116"/>
        <v>1</v>
      </c>
      <c r="K289" s="36">
        <f t="shared" ca="1" si="117"/>
        <v>94.285714285714292</v>
      </c>
      <c r="L289" s="10">
        <f ca="1">AH289*VLOOKUP(C289,技能辅助查询表,技能配置辅助表!$T$1,FALSE)</f>
        <v>0</v>
      </c>
      <c r="M289">
        <f t="shared" ca="1" si="118"/>
        <v>6800</v>
      </c>
      <c r="N289" s="33">
        <f ca="1">CHOOSE(1,W289*U289,X289*'[1]0、经济设定'!$C$18)</f>
        <v>118300</v>
      </c>
      <c r="O289">
        <f t="shared" si="119"/>
        <v>3</v>
      </c>
      <c r="P289">
        <f t="shared" si="120"/>
        <v>3</v>
      </c>
      <c r="Q289">
        <f t="shared" si="121"/>
        <v>1</v>
      </c>
      <c r="R289" s="2">
        <f t="shared" si="122"/>
        <v>5</v>
      </c>
      <c r="S289" s="2">
        <f t="shared" si="123"/>
        <v>50</v>
      </c>
      <c r="T289" s="2">
        <f t="shared" si="124"/>
        <v>71.428571428571431</v>
      </c>
      <c r="U289" s="2">
        <f ca="1">VLOOKUP(E289,金币生产率!$A$2:$B$120,2,0)</f>
        <v>1820</v>
      </c>
      <c r="V289" s="2">
        <f t="shared" si="125"/>
        <v>214.28571428571428</v>
      </c>
      <c r="W289" s="45">
        <f t="shared" ca="1" si="138"/>
        <v>65</v>
      </c>
      <c r="X289" s="48">
        <f t="shared" ca="1" si="139"/>
        <v>883</v>
      </c>
      <c r="Y289">
        <f t="shared" si="126"/>
        <v>18</v>
      </c>
      <c r="Z289">
        <f t="shared" ca="1" si="133"/>
        <v>26</v>
      </c>
      <c r="AA289" t="str">
        <f t="shared" ca="1" si="134"/>
        <v>9113100.png</v>
      </c>
      <c r="AB289">
        <f t="shared" si="127"/>
        <v>7</v>
      </c>
      <c r="AC289">
        <f>VLOOKUP(C289,技能辅助查询表,技能配置辅助表!$W$1,FALSE)</f>
        <v>22081</v>
      </c>
      <c r="AD289">
        <f t="shared" ca="1" si="135"/>
        <v>269.06892724830334</v>
      </c>
      <c r="AE289">
        <f>VLOOKUP(C289,技能辅助查询表,技能配置辅助表!$U$1,FALSE)</f>
        <v>1</v>
      </c>
      <c r="AF289">
        <f t="shared" ca="1" si="136"/>
        <v>9113132</v>
      </c>
      <c r="AG289">
        <f t="shared" ca="1" si="140"/>
        <v>52.448979591836732</v>
      </c>
      <c r="AH289">
        <f t="shared" ca="1" si="137"/>
        <v>735.73534794457942</v>
      </c>
      <c r="AI289">
        <f ca="1">VLOOKUP(E289,伤害参考系!$C$4:$E$104,3,FALSE)*$AN$12</f>
        <v>7291.2152408026777</v>
      </c>
      <c r="AJ289">
        <f>VLOOKUP(C289,技能辅助查询表,技能配置辅助表!$L$1,FALSE)</f>
        <v>3</v>
      </c>
      <c r="AK289">
        <f>VLOOKUP(C289,技能辅助查询表,技能配置辅助表!$AE$1,FALSE)</f>
        <v>66000622</v>
      </c>
    </row>
    <row r="290" spans="1:37" x14ac:dyDescent="0.15">
      <c r="A290" s="1">
        <f t="shared" ca="1" si="128"/>
        <v>9113133</v>
      </c>
      <c r="B290" s="1" t="str">
        <f t="shared" ca="1" si="113"/>
        <v>光刃·斩</v>
      </c>
      <c r="C290" t="s">
        <v>155</v>
      </c>
      <c r="D290">
        <f t="shared" si="114"/>
        <v>1</v>
      </c>
      <c r="E290" s="42">
        <f t="shared" ca="1" si="129"/>
        <v>55</v>
      </c>
      <c r="F290" t="str">
        <f t="shared" ca="1" si="130"/>
        <v>第33级，共造成285%点伤害</v>
      </c>
      <c r="G290">
        <f t="shared" ca="1" si="131"/>
        <v>1</v>
      </c>
      <c r="H290">
        <f t="shared" si="115"/>
        <v>1</v>
      </c>
      <c r="I290" s="44">
        <f t="shared" ca="1" si="132"/>
        <v>33</v>
      </c>
      <c r="J290">
        <f t="shared" si="116"/>
        <v>1</v>
      </c>
      <c r="K290" s="36">
        <f t="shared" ca="1" si="117"/>
        <v>95</v>
      </c>
      <c r="L290" s="10">
        <f ca="1">AH290*VLOOKUP(C290,技能辅助查询表,技能配置辅助表!$T$1,FALSE)</f>
        <v>0</v>
      </c>
      <c r="M290">
        <f t="shared" ca="1" si="118"/>
        <v>6700</v>
      </c>
      <c r="N290" s="33">
        <f ca="1">CHOOSE(1,W290*U290,X290*'[1]0、经济设定'!$C$18)</f>
        <v>137690</v>
      </c>
      <c r="O290">
        <f t="shared" si="119"/>
        <v>3</v>
      </c>
      <c r="P290">
        <f t="shared" si="120"/>
        <v>3</v>
      </c>
      <c r="Q290">
        <f t="shared" si="121"/>
        <v>1</v>
      </c>
      <c r="R290" s="2">
        <f t="shared" si="122"/>
        <v>5</v>
      </c>
      <c r="S290" s="2">
        <f t="shared" si="123"/>
        <v>50</v>
      </c>
      <c r="T290" s="2">
        <f t="shared" si="124"/>
        <v>71.428571428571431</v>
      </c>
      <c r="U290" s="2">
        <f ca="1">VLOOKUP(E290,金币生产率!$A$2:$B$120,2,0)</f>
        <v>1967</v>
      </c>
      <c r="V290" s="2">
        <f t="shared" si="125"/>
        <v>214.28571428571428</v>
      </c>
      <c r="W290" s="45">
        <f t="shared" ca="1" si="138"/>
        <v>70</v>
      </c>
      <c r="X290" s="48">
        <f t="shared" ca="1" si="139"/>
        <v>953</v>
      </c>
      <c r="Y290">
        <f t="shared" si="126"/>
        <v>18</v>
      </c>
      <c r="Z290">
        <f t="shared" ca="1" si="133"/>
        <v>28</v>
      </c>
      <c r="AA290" t="str">
        <f t="shared" ca="1" si="134"/>
        <v>9113100.png</v>
      </c>
      <c r="AB290">
        <f t="shared" si="127"/>
        <v>7</v>
      </c>
      <c r="AC290">
        <f>VLOOKUP(C290,技能辅助查询表,技能配置辅助表!$W$1,FALSE)</f>
        <v>22081</v>
      </c>
      <c r="AD290">
        <f t="shared" ca="1" si="135"/>
        <v>309.92123951646073</v>
      </c>
      <c r="AE290">
        <f>VLOOKUP(C290,技能辅助查询表,技能配置辅助表!$U$1,FALSE)</f>
        <v>1</v>
      </c>
      <c r="AF290">
        <f t="shared" ca="1" si="136"/>
        <v>9113133</v>
      </c>
      <c r="AG290">
        <f t="shared" ca="1" si="140"/>
        <v>53.979591836734691</v>
      </c>
      <c r="AH290">
        <f t="shared" ca="1" si="137"/>
        <v>837.62497166611001</v>
      </c>
      <c r="AI290">
        <f ca="1">VLOOKUP(E290,伤害参考系!$C$4:$E$104,3,FALSE)*$AN$12</f>
        <v>8095.9099289297656</v>
      </c>
      <c r="AJ290">
        <f>VLOOKUP(C290,技能辅助查询表,技能配置辅助表!$L$1,FALSE)</f>
        <v>3</v>
      </c>
      <c r="AK290">
        <f>VLOOKUP(C290,技能辅助查询表,技能配置辅助表!$AE$1,FALSE)</f>
        <v>66000622</v>
      </c>
    </row>
    <row r="291" spans="1:37" x14ac:dyDescent="0.15">
      <c r="A291" s="1">
        <f t="shared" ca="1" si="128"/>
        <v>9113134</v>
      </c>
      <c r="B291" s="1" t="str">
        <f t="shared" ca="1" si="113"/>
        <v>光刃·斩</v>
      </c>
      <c r="C291" t="s">
        <v>155</v>
      </c>
      <c r="D291">
        <f t="shared" si="114"/>
        <v>1</v>
      </c>
      <c r="E291" s="42">
        <f t="shared" ca="1" si="129"/>
        <v>56</v>
      </c>
      <c r="F291" t="str">
        <f t="shared" ca="1" si="130"/>
        <v>第34级，共造成287.1%点伤害</v>
      </c>
      <c r="G291">
        <f t="shared" ca="1" si="131"/>
        <v>1</v>
      </c>
      <c r="H291">
        <f t="shared" si="115"/>
        <v>1</v>
      </c>
      <c r="I291" s="44">
        <f t="shared" ca="1" si="132"/>
        <v>34</v>
      </c>
      <c r="J291">
        <f t="shared" si="116"/>
        <v>1</v>
      </c>
      <c r="K291" s="36">
        <f t="shared" ca="1" si="117"/>
        <v>95.714285714285722</v>
      </c>
      <c r="L291" s="10">
        <f ca="1">AH291*VLOOKUP(C291,技能辅助查询表,技能配置辅助表!$T$1,FALSE)</f>
        <v>0</v>
      </c>
      <c r="M291">
        <f t="shared" ca="1" si="118"/>
        <v>6600</v>
      </c>
      <c r="N291" s="33">
        <f ca="1">CHOOSE(1,W291*U291,X291*'[1]0、经济设定'!$C$18)</f>
        <v>153150</v>
      </c>
      <c r="O291">
        <f t="shared" si="119"/>
        <v>3</v>
      </c>
      <c r="P291">
        <f t="shared" si="120"/>
        <v>3</v>
      </c>
      <c r="Q291">
        <f t="shared" si="121"/>
        <v>1</v>
      </c>
      <c r="R291" s="2">
        <f t="shared" si="122"/>
        <v>5</v>
      </c>
      <c r="S291" s="2">
        <f t="shared" si="123"/>
        <v>50</v>
      </c>
      <c r="T291" s="2">
        <f t="shared" si="124"/>
        <v>71.428571428571431</v>
      </c>
      <c r="U291" s="2">
        <f ca="1">VLOOKUP(E291,金币生产率!$A$2:$B$120,2,0)</f>
        <v>2042</v>
      </c>
      <c r="V291" s="2">
        <f t="shared" si="125"/>
        <v>214.28571428571428</v>
      </c>
      <c r="W291" s="45">
        <f t="shared" ca="1" si="138"/>
        <v>75</v>
      </c>
      <c r="X291" s="48">
        <f t="shared" ca="1" si="139"/>
        <v>1028</v>
      </c>
      <c r="Y291">
        <f t="shared" si="126"/>
        <v>18</v>
      </c>
      <c r="Z291">
        <f t="shared" ca="1" si="133"/>
        <v>30</v>
      </c>
      <c r="AA291" t="str">
        <f t="shared" ca="1" si="134"/>
        <v>9113100.png</v>
      </c>
      <c r="AB291">
        <f t="shared" si="127"/>
        <v>7</v>
      </c>
      <c r="AC291">
        <f>VLOOKUP(C291,技能辅助查询表,技能配置辅助表!$W$1,FALSE)</f>
        <v>22081</v>
      </c>
      <c r="AD291">
        <f t="shared" ca="1" si="135"/>
        <v>356.92820002874532</v>
      </c>
      <c r="AE291">
        <f>VLOOKUP(C291,技能辅助查询表,技能配置辅助表!$U$1,FALSE)</f>
        <v>1</v>
      </c>
      <c r="AF291">
        <f t="shared" ca="1" si="136"/>
        <v>9113134</v>
      </c>
      <c r="AG291">
        <f t="shared" ca="1" si="140"/>
        <v>55.510204081632651</v>
      </c>
      <c r="AH291">
        <f t="shared" ca="1" si="137"/>
        <v>953.62496190886134</v>
      </c>
      <c r="AI291">
        <f ca="1">VLOOKUP(E291,伤害参考系!$C$4:$E$104,3,FALSE)*$AN$12</f>
        <v>8513.8763929765901</v>
      </c>
      <c r="AJ291">
        <f>VLOOKUP(C291,技能辅助查询表,技能配置辅助表!$L$1,FALSE)</f>
        <v>3</v>
      </c>
      <c r="AK291">
        <f>VLOOKUP(C291,技能辅助查询表,技能配置辅助表!$AE$1,FALSE)</f>
        <v>66000622</v>
      </c>
    </row>
    <row r="292" spans="1:37" x14ac:dyDescent="0.15">
      <c r="A292" s="1">
        <f t="shared" ca="1" si="128"/>
        <v>9113135</v>
      </c>
      <c r="B292" s="1" t="str">
        <f t="shared" ca="1" si="113"/>
        <v>光刃·斩</v>
      </c>
      <c r="C292" t="s">
        <v>155</v>
      </c>
      <c r="D292">
        <f t="shared" si="114"/>
        <v>1</v>
      </c>
      <c r="E292" s="42">
        <f t="shared" ca="1" si="129"/>
        <v>58</v>
      </c>
      <c r="F292" t="str">
        <f t="shared" ca="1" si="130"/>
        <v>第35级，共造成289.3%点伤害</v>
      </c>
      <c r="G292">
        <f t="shared" ca="1" si="131"/>
        <v>1</v>
      </c>
      <c r="H292">
        <f t="shared" si="115"/>
        <v>1</v>
      </c>
      <c r="I292" s="44">
        <f t="shared" ca="1" si="132"/>
        <v>35</v>
      </c>
      <c r="J292">
        <f t="shared" si="116"/>
        <v>1</v>
      </c>
      <c r="K292" s="36">
        <f t="shared" ca="1" si="117"/>
        <v>96.428571428571431</v>
      </c>
      <c r="L292" s="10">
        <f ca="1">AH292*VLOOKUP(C292,技能辅助查询表,技能配置辅助表!$T$1,FALSE)</f>
        <v>0</v>
      </c>
      <c r="M292">
        <f t="shared" ca="1" si="118"/>
        <v>6500</v>
      </c>
      <c r="N292" s="33">
        <f ca="1">CHOOSE(1,W292*U292,X292*'[1]0、经济设定'!$C$18)</f>
        <v>175840</v>
      </c>
      <c r="O292">
        <f t="shared" si="119"/>
        <v>3</v>
      </c>
      <c r="P292">
        <f t="shared" si="120"/>
        <v>3</v>
      </c>
      <c r="Q292">
        <f t="shared" si="121"/>
        <v>1</v>
      </c>
      <c r="R292" s="2">
        <f t="shared" si="122"/>
        <v>5</v>
      </c>
      <c r="S292" s="2">
        <f t="shared" si="123"/>
        <v>50</v>
      </c>
      <c r="T292" s="2">
        <f t="shared" si="124"/>
        <v>71.428571428571431</v>
      </c>
      <c r="U292" s="2">
        <f ca="1">VLOOKUP(E292,金币生产率!$A$2:$B$120,2,0)</f>
        <v>2198</v>
      </c>
      <c r="V292" s="2">
        <f t="shared" si="125"/>
        <v>214.28571428571428</v>
      </c>
      <c r="W292" s="45">
        <f t="shared" ca="1" si="138"/>
        <v>80</v>
      </c>
      <c r="X292" s="48">
        <f t="shared" ca="1" si="139"/>
        <v>1108</v>
      </c>
      <c r="Y292">
        <f t="shared" si="126"/>
        <v>18</v>
      </c>
      <c r="Z292">
        <f t="shared" ca="1" si="133"/>
        <v>32</v>
      </c>
      <c r="AA292" t="str">
        <f t="shared" ca="1" si="134"/>
        <v>9113100.png</v>
      </c>
      <c r="AB292">
        <f t="shared" si="127"/>
        <v>7</v>
      </c>
      <c r="AC292">
        <f>VLOOKUP(C292,技能辅助查询表,技能配置辅助表!$W$1,FALSE)</f>
        <v>22081</v>
      </c>
      <c r="AD292">
        <f t="shared" ca="1" si="135"/>
        <v>411.01099395046793</v>
      </c>
      <c r="AE292">
        <f>VLOOKUP(C292,技能辅助查询表,技能配置辅助表!$U$1,FALSE)</f>
        <v>1</v>
      </c>
      <c r="AF292">
        <f t="shared" ca="1" si="136"/>
        <v>9113135</v>
      </c>
      <c r="AG292">
        <f t="shared" ca="1" si="140"/>
        <v>57.04081632653061</v>
      </c>
      <c r="AH292">
        <f t="shared" ca="1" si="137"/>
        <v>1085.689417982368</v>
      </c>
      <c r="AI292">
        <f ca="1">VLOOKUP(E292,伤害参考系!$C$4:$E$104,3,FALSE)*$AN$12</f>
        <v>9381.0475610367921</v>
      </c>
      <c r="AJ292">
        <f>VLOOKUP(C292,技能辅助查询表,技能配置辅助表!$L$1,FALSE)</f>
        <v>3</v>
      </c>
      <c r="AK292">
        <f>VLOOKUP(C292,技能辅助查询表,技能配置辅助表!$AE$1,FALSE)</f>
        <v>66000622</v>
      </c>
    </row>
    <row r="293" spans="1:37" x14ac:dyDescent="0.15">
      <c r="A293" s="1">
        <f t="shared" ca="1" si="128"/>
        <v>9113136</v>
      </c>
      <c r="B293" s="1" t="str">
        <f t="shared" ca="1" si="113"/>
        <v>光刃·斩</v>
      </c>
      <c r="C293" t="s">
        <v>155</v>
      </c>
      <c r="D293">
        <f t="shared" si="114"/>
        <v>1</v>
      </c>
      <c r="E293" s="42">
        <f t="shared" ca="1" si="129"/>
        <v>59</v>
      </c>
      <c r="F293" t="str">
        <f t="shared" ca="1" si="130"/>
        <v>第36级，共造成291.4%点伤害</v>
      </c>
      <c r="G293">
        <f t="shared" ca="1" si="131"/>
        <v>1</v>
      </c>
      <c r="H293">
        <f t="shared" si="115"/>
        <v>1</v>
      </c>
      <c r="I293" s="44">
        <f t="shared" ca="1" si="132"/>
        <v>36</v>
      </c>
      <c r="J293">
        <f t="shared" si="116"/>
        <v>1</v>
      </c>
      <c r="K293" s="36">
        <f t="shared" ca="1" si="117"/>
        <v>97.142857142857139</v>
      </c>
      <c r="L293" s="10">
        <f ca="1">AH293*VLOOKUP(C293,技能辅助查询表,技能配置辅助表!$T$1,FALSE)</f>
        <v>0</v>
      </c>
      <c r="M293">
        <f t="shared" ca="1" si="118"/>
        <v>6400</v>
      </c>
      <c r="N293" s="33">
        <f ca="1">CHOOSE(1,W293*U293,X293*'[1]0、经济设定'!$C$18)</f>
        <v>193545</v>
      </c>
      <c r="O293">
        <f t="shared" si="119"/>
        <v>3</v>
      </c>
      <c r="P293">
        <f t="shared" si="120"/>
        <v>3</v>
      </c>
      <c r="Q293">
        <f t="shared" si="121"/>
        <v>1</v>
      </c>
      <c r="R293" s="2">
        <f t="shared" si="122"/>
        <v>5</v>
      </c>
      <c r="S293" s="2">
        <f t="shared" si="123"/>
        <v>50</v>
      </c>
      <c r="T293" s="2">
        <f t="shared" si="124"/>
        <v>71.428571428571431</v>
      </c>
      <c r="U293" s="2">
        <f ca="1">VLOOKUP(E293,金币生产率!$A$2:$B$120,2,0)</f>
        <v>2277</v>
      </c>
      <c r="V293" s="2">
        <f t="shared" si="125"/>
        <v>214.28571428571428</v>
      </c>
      <c r="W293" s="45">
        <f t="shared" ca="1" si="138"/>
        <v>85</v>
      </c>
      <c r="X293" s="48">
        <f t="shared" ca="1" si="139"/>
        <v>1193</v>
      </c>
      <c r="Y293">
        <f t="shared" si="126"/>
        <v>18</v>
      </c>
      <c r="Z293">
        <f t="shared" ca="1" si="133"/>
        <v>34</v>
      </c>
      <c r="AA293" t="str">
        <f t="shared" ca="1" si="134"/>
        <v>9113100.png</v>
      </c>
      <c r="AB293">
        <f t="shared" si="127"/>
        <v>7</v>
      </c>
      <c r="AC293">
        <f>VLOOKUP(C293,技能辅助查询表,技能配置辅助表!$W$1,FALSE)</f>
        <v>22081</v>
      </c>
      <c r="AD293">
        <f t="shared" ca="1" si="135"/>
        <v>473.22791291802514</v>
      </c>
      <c r="AE293">
        <f>VLOOKUP(C293,技能辅助查询表,技能配置辅助表!$U$1,FALSE)</f>
        <v>1</v>
      </c>
      <c r="AF293">
        <f t="shared" ca="1" si="136"/>
        <v>9113136</v>
      </c>
      <c r="AG293">
        <f t="shared" ca="1" si="140"/>
        <v>58.571428571428569</v>
      </c>
      <c r="AH293">
        <f t="shared" ca="1" si="137"/>
        <v>1236.0430561291703</v>
      </c>
      <c r="AI293">
        <f ca="1">VLOOKUP(E293,伤害参考系!$C$4:$E$104,3,FALSE)*$AN$12</f>
        <v>9830.2522650501687</v>
      </c>
      <c r="AJ293">
        <f>VLOOKUP(C293,技能辅助查询表,技能配置辅助表!$L$1,FALSE)</f>
        <v>3</v>
      </c>
      <c r="AK293">
        <f>VLOOKUP(C293,技能辅助查询表,技能配置辅助表!$AE$1,FALSE)</f>
        <v>66000622</v>
      </c>
    </row>
    <row r="294" spans="1:37" x14ac:dyDescent="0.15">
      <c r="A294" s="1">
        <f t="shared" ca="1" si="128"/>
        <v>9113137</v>
      </c>
      <c r="B294" s="1" t="str">
        <f t="shared" ca="1" si="113"/>
        <v>光刃·斩</v>
      </c>
      <c r="C294" t="s">
        <v>155</v>
      </c>
      <c r="D294">
        <f t="shared" si="114"/>
        <v>1</v>
      </c>
      <c r="E294" s="42">
        <f t="shared" ca="1" si="129"/>
        <v>61</v>
      </c>
      <c r="F294" t="str">
        <f t="shared" ca="1" si="130"/>
        <v>第37级，共造成293.6%点伤害</v>
      </c>
      <c r="G294">
        <f t="shared" ca="1" si="131"/>
        <v>1</v>
      </c>
      <c r="H294">
        <f t="shared" si="115"/>
        <v>1</v>
      </c>
      <c r="I294" s="44">
        <f t="shared" ca="1" si="132"/>
        <v>37</v>
      </c>
      <c r="J294">
        <f t="shared" si="116"/>
        <v>1</v>
      </c>
      <c r="K294" s="36">
        <f t="shared" ca="1" si="117"/>
        <v>97.857142857142861</v>
      </c>
      <c r="L294" s="10">
        <f ca="1">AH294*VLOOKUP(C294,技能辅助查询表,技能配置辅助表!$T$1,FALSE)</f>
        <v>0</v>
      </c>
      <c r="M294">
        <f t="shared" ca="1" si="118"/>
        <v>6300</v>
      </c>
      <c r="N294" s="33">
        <f ca="1">CHOOSE(1,W294*U294,X294*'[1]0、经济设定'!$C$18)</f>
        <v>224480</v>
      </c>
      <c r="O294">
        <f t="shared" si="119"/>
        <v>3</v>
      </c>
      <c r="P294">
        <f t="shared" si="120"/>
        <v>3</v>
      </c>
      <c r="Q294">
        <f t="shared" si="121"/>
        <v>1</v>
      </c>
      <c r="R294" s="2">
        <f t="shared" si="122"/>
        <v>5</v>
      </c>
      <c r="S294" s="2">
        <f t="shared" si="123"/>
        <v>50</v>
      </c>
      <c r="T294" s="2">
        <f t="shared" si="124"/>
        <v>71.428571428571431</v>
      </c>
      <c r="U294" s="2">
        <f ca="1">VLOOKUP(E294,金币生产率!$A$2:$B$120,2,0)</f>
        <v>2440</v>
      </c>
      <c r="V294" s="2">
        <f t="shared" si="125"/>
        <v>214.28571428571428</v>
      </c>
      <c r="W294" s="45">
        <f t="shared" ca="1" si="138"/>
        <v>92</v>
      </c>
      <c r="X294" s="48">
        <f t="shared" ca="1" si="139"/>
        <v>1285</v>
      </c>
      <c r="Y294">
        <f t="shared" si="126"/>
        <v>18</v>
      </c>
      <c r="Z294">
        <f t="shared" ca="1" si="133"/>
        <v>37</v>
      </c>
      <c r="AA294" t="str">
        <f t="shared" ca="1" si="134"/>
        <v>9113100.png</v>
      </c>
      <c r="AB294">
        <f t="shared" si="127"/>
        <v>7</v>
      </c>
      <c r="AC294">
        <f>VLOOKUP(C294,技能辅助查询表,技能配置辅助表!$W$1,FALSE)</f>
        <v>22081</v>
      </c>
      <c r="AD294">
        <f t="shared" ca="1" si="135"/>
        <v>544.79466287543653</v>
      </c>
      <c r="AE294">
        <f>VLOOKUP(C294,技能辅助查询表,技能配置辅助表!$U$1,FALSE)</f>
        <v>1</v>
      </c>
      <c r="AF294">
        <f t="shared" ca="1" si="136"/>
        <v>9113137</v>
      </c>
      <c r="AG294">
        <f t="shared" ca="1" si="140"/>
        <v>60.102040816326529</v>
      </c>
      <c r="AH294">
        <f t="shared" ca="1" si="137"/>
        <v>1407.2186863941167</v>
      </c>
      <c r="AI294">
        <f ca="1">VLOOKUP(E294,伤害参考系!$C$4:$E$104,3,FALSE)*$AN$12</f>
        <v>10863.360489130437</v>
      </c>
      <c r="AJ294">
        <f>VLOOKUP(C294,技能辅助查询表,技能配置辅助表!$L$1,FALSE)</f>
        <v>3</v>
      </c>
      <c r="AK294">
        <f>VLOOKUP(C294,技能辅助查询表,技能配置辅助表!$AE$1,FALSE)</f>
        <v>66000622</v>
      </c>
    </row>
    <row r="295" spans="1:37" x14ac:dyDescent="0.15">
      <c r="A295" s="1">
        <f t="shared" ca="1" si="128"/>
        <v>9113138</v>
      </c>
      <c r="B295" s="1" t="str">
        <f t="shared" ca="1" si="113"/>
        <v>光刃·斩</v>
      </c>
      <c r="C295" t="s">
        <v>155</v>
      </c>
      <c r="D295">
        <f t="shared" si="114"/>
        <v>1</v>
      </c>
      <c r="E295" s="42">
        <f t="shared" ca="1" si="129"/>
        <v>62</v>
      </c>
      <c r="F295" t="str">
        <f t="shared" ca="1" si="130"/>
        <v>第38级，共造成295.7%点伤害</v>
      </c>
      <c r="G295">
        <f t="shared" ca="1" si="131"/>
        <v>1</v>
      </c>
      <c r="H295">
        <f t="shared" si="115"/>
        <v>1</v>
      </c>
      <c r="I295" s="44">
        <f t="shared" ca="1" si="132"/>
        <v>38</v>
      </c>
      <c r="J295">
        <f t="shared" si="116"/>
        <v>1</v>
      </c>
      <c r="K295" s="36">
        <f t="shared" ca="1" si="117"/>
        <v>98.571428571428569</v>
      </c>
      <c r="L295" s="10">
        <f ca="1">AH295*VLOOKUP(C295,技能辅助查询表,技能配置辅助表!$T$1,FALSE)</f>
        <v>0</v>
      </c>
      <c r="M295">
        <f t="shared" ca="1" si="118"/>
        <v>6200</v>
      </c>
      <c r="N295" s="33">
        <f ca="1">CHOOSE(1,W295*U295,X295*'[1]0、经济设定'!$C$18)</f>
        <v>247352</v>
      </c>
      <c r="O295">
        <f t="shared" si="119"/>
        <v>3</v>
      </c>
      <c r="P295">
        <f t="shared" si="120"/>
        <v>3</v>
      </c>
      <c r="Q295">
        <f t="shared" si="121"/>
        <v>1</v>
      </c>
      <c r="R295" s="2">
        <f t="shared" si="122"/>
        <v>5</v>
      </c>
      <c r="S295" s="2">
        <f t="shared" si="123"/>
        <v>50</v>
      </c>
      <c r="T295" s="2">
        <f t="shared" si="124"/>
        <v>71.428571428571431</v>
      </c>
      <c r="U295" s="2">
        <f ca="1">VLOOKUP(E295,金币生产率!$A$2:$B$120,2,0)</f>
        <v>2524</v>
      </c>
      <c r="V295" s="2">
        <f t="shared" si="125"/>
        <v>214.28571428571428</v>
      </c>
      <c r="W295" s="45">
        <f t="shared" ca="1" si="138"/>
        <v>98</v>
      </c>
      <c r="X295" s="48">
        <f t="shared" ca="1" si="139"/>
        <v>1383</v>
      </c>
      <c r="Y295">
        <f t="shared" si="126"/>
        <v>18</v>
      </c>
      <c r="Z295">
        <f t="shared" ca="1" si="133"/>
        <v>40</v>
      </c>
      <c r="AA295" t="str">
        <f t="shared" ca="1" si="134"/>
        <v>9113100.png</v>
      </c>
      <c r="AB295">
        <f t="shared" si="127"/>
        <v>7</v>
      </c>
      <c r="AC295">
        <f>VLOOKUP(C295,技能辅助查询表,技能配置辅助表!$W$1,FALSE)</f>
        <v>22081</v>
      </c>
      <c r="AD295">
        <f t="shared" ca="1" si="135"/>
        <v>627.10766713612372</v>
      </c>
      <c r="AE295">
        <f>VLOOKUP(C295,技能辅助查询表,技能配置辅助表!$U$1,FALSE)</f>
        <v>1</v>
      </c>
      <c r="AF295">
        <f t="shared" ca="1" si="136"/>
        <v>9113138</v>
      </c>
      <c r="AG295">
        <f t="shared" ca="1" si="140"/>
        <v>61.632653061224488</v>
      </c>
      <c r="AH295">
        <f t="shared" ca="1" si="137"/>
        <v>1602.0998795448415</v>
      </c>
      <c r="AI295">
        <f ca="1">VLOOKUP(E295,伤害参考系!$C$4:$E$104,3,FALSE)*$AN$12</f>
        <v>11398.657545150505</v>
      </c>
      <c r="AJ295">
        <f>VLOOKUP(C295,技能辅助查询表,技能配置辅助表!$L$1,FALSE)</f>
        <v>3</v>
      </c>
      <c r="AK295">
        <f>VLOOKUP(C295,技能辅助查询表,技能配置辅助表!$AE$1,FALSE)</f>
        <v>66000622</v>
      </c>
    </row>
    <row r="296" spans="1:37" x14ac:dyDescent="0.15">
      <c r="A296" s="1">
        <f t="shared" ca="1" si="128"/>
        <v>9113139</v>
      </c>
      <c r="B296" s="1" t="str">
        <f t="shared" ca="1" si="113"/>
        <v>光刃·斩</v>
      </c>
      <c r="C296" t="s">
        <v>155</v>
      </c>
      <c r="D296">
        <f t="shared" si="114"/>
        <v>1</v>
      </c>
      <c r="E296" s="42">
        <f t="shared" ca="1" si="129"/>
        <v>64</v>
      </c>
      <c r="F296" t="str">
        <f t="shared" ca="1" si="130"/>
        <v>第39级，共造成297.9%点伤害</v>
      </c>
      <c r="G296">
        <f t="shared" ca="1" si="131"/>
        <v>1</v>
      </c>
      <c r="H296">
        <f t="shared" si="115"/>
        <v>1</v>
      </c>
      <c r="I296" s="44">
        <f t="shared" ca="1" si="132"/>
        <v>39</v>
      </c>
      <c r="J296">
        <f t="shared" si="116"/>
        <v>1</v>
      </c>
      <c r="K296" s="36">
        <f t="shared" ca="1" si="117"/>
        <v>99.285714285714292</v>
      </c>
      <c r="L296" s="10">
        <f ca="1">AH296*VLOOKUP(C296,技能辅助查询表,技能配置辅助表!$T$1,FALSE)</f>
        <v>0</v>
      </c>
      <c r="M296">
        <f t="shared" ca="1" si="118"/>
        <v>6100</v>
      </c>
      <c r="N296" s="33">
        <f ca="1">CHOOSE(1,W296*U296,X296*'[1]0、经济设定'!$C$18)</f>
        <v>282975</v>
      </c>
      <c r="O296">
        <f t="shared" si="119"/>
        <v>3</v>
      </c>
      <c r="P296">
        <f t="shared" si="120"/>
        <v>3</v>
      </c>
      <c r="Q296">
        <f t="shared" si="121"/>
        <v>1</v>
      </c>
      <c r="R296" s="2">
        <f t="shared" si="122"/>
        <v>5</v>
      </c>
      <c r="S296" s="2">
        <f t="shared" si="123"/>
        <v>50</v>
      </c>
      <c r="T296" s="2">
        <f t="shared" si="124"/>
        <v>71.428571428571431</v>
      </c>
      <c r="U296" s="2">
        <f ca="1">VLOOKUP(E296,金币生产率!$A$2:$B$120,2,0)</f>
        <v>2695</v>
      </c>
      <c r="V296" s="2">
        <f t="shared" si="125"/>
        <v>214.28571428571428</v>
      </c>
      <c r="W296" s="45">
        <f t="shared" ca="1" si="138"/>
        <v>105</v>
      </c>
      <c r="X296" s="48">
        <f t="shared" ca="1" si="139"/>
        <v>1488</v>
      </c>
      <c r="Y296">
        <f t="shared" si="126"/>
        <v>18</v>
      </c>
      <c r="Z296">
        <f t="shared" ca="1" si="133"/>
        <v>42</v>
      </c>
      <c r="AA296" t="str">
        <f t="shared" ca="1" si="134"/>
        <v>9113100.png</v>
      </c>
      <c r="AB296">
        <f t="shared" si="127"/>
        <v>7</v>
      </c>
      <c r="AC296">
        <f>VLOOKUP(C296,技能辅助查询表,技能配置辅助表!$W$1,FALSE)</f>
        <v>22081</v>
      </c>
      <c r="AD296">
        <f t="shared" ca="1" si="135"/>
        <v>721.7708047925056</v>
      </c>
      <c r="AE296">
        <f>VLOOKUP(C296,技能辅助查询表,技能配置辅助表!$U$1,FALSE)</f>
        <v>1</v>
      </c>
      <c r="AF296">
        <f t="shared" ca="1" si="136"/>
        <v>9113139</v>
      </c>
      <c r="AG296">
        <f t="shared" ca="1" si="140"/>
        <v>63.163265306122447</v>
      </c>
      <c r="AH296">
        <f t="shared" ca="1" si="137"/>
        <v>1823.9695427969455</v>
      </c>
      <c r="AI296">
        <f ca="1">VLOOKUP(E296,伤害参考系!$C$4:$E$104,3,FALSE)*$AN$12</f>
        <v>12506.737545150507</v>
      </c>
      <c r="AJ296">
        <f>VLOOKUP(C296,技能辅助查询表,技能配置辅助表!$L$1,FALSE)</f>
        <v>3</v>
      </c>
      <c r="AK296">
        <f>VLOOKUP(C296,技能辅助查询表,技能配置辅助表!$AE$1,FALSE)</f>
        <v>66000622</v>
      </c>
    </row>
    <row r="297" spans="1:37" x14ac:dyDescent="0.15">
      <c r="A297" s="1">
        <f t="shared" ca="1" si="128"/>
        <v>9113140</v>
      </c>
      <c r="B297" s="1" t="str">
        <f t="shared" ca="1" si="113"/>
        <v>光刃·斩</v>
      </c>
      <c r="C297" t="s">
        <v>155</v>
      </c>
      <c r="D297">
        <f t="shared" si="114"/>
        <v>1</v>
      </c>
      <c r="E297" s="42">
        <f t="shared" ca="1" si="129"/>
        <v>65</v>
      </c>
      <c r="F297" t="str">
        <f t="shared" ca="1" si="130"/>
        <v>第40级，共造成300%点伤害</v>
      </c>
      <c r="G297">
        <f t="shared" ca="1" si="131"/>
        <v>1</v>
      </c>
      <c r="H297">
        <f t="shared" si="115"/>
        <v>1</v>
      </c>
      <c r="I297" s="44">
        <f t="shared" ca="1" si="132"/>
        <v>40</v>
      </c>
      <c r="J297">
        <f t="shared" si="116"/>
        <v>1</v>
      </c>
      <c r="K297" s="36">
        <f t="shared" ca="1" si="117"/>
        <v>100</v>
      </c>
      <c r="L297" s="10">
        <f ca="1">AH297*VLOOKUP(C297,技能辅助查询表,技能配置辅助表!$T$1,FALSE)</f>
        <v>0</v>
      </c>
      <c r="M297">
        <f t="shared" ca="1" si="118"/>
        <v>6000</v>
      </c>
      <c r="N297" s="33">
        <f ca="1">CHOOSE(1,W297*U297,X297*'[1]0、经济设定'!$C$18)</f>
        <v>311696</v>
      </c>
      <c r="O297">
        <f t="shared" si="119"/>
        <v>3</v>
      </c>
      <c r="P297">
        <f t="shared" si="120"/>
        <v>3</v>
      </c>
      <c r="Q297">
        <f t="shared" si="121"/>
        <v>1</v>
      </c>
      <c r="R297" s="2">
        <f t="shared" si="122"/>
        <v>5</v>
      </c>
      <c r="S297" s="2">
        <f t="shared" si="123"/>
        <v>50</v>
      </c>
      <c r="T297" s="2">
        <f t="shared" si="124"/>
        <v>71.428571428571431</v>
      </c>
      <c r="U297" s="2">
        <f ca="1">VLOOKUP(E297,金币生产率!$A$2:$B$120,2,0)</f>
        <v>2783</v>
      </c>
      <c r="V297" s="2">
        <f t="shared" si="125"/>
        <v>214.28571428571428</v>
      </c>
      <c r="W297" s="45">
        <f t="shared" ca="1" si="138"/>
        <v>112</v>
      </c>
      <c r="X297" s="48">
        <f t="shared" ca="1" si="139"/>
        <v>1600</v>
      </c>
      <c r="Y297">
        <f t="shared" si="126"/>
        <v>18</v>
      </c>
      <c r="Z297">
        <f t="shared" ca="1" si="133"/>
        <v>45</v>
      </c>
      <c r="AA297" t="str">
        <f t="shared" ca="1" si="134"/>
        <v>9113100.png</v>
      </c>
      <c r="AB297">
        <f t="shared" si="127"/>
        <v>7</v>
      </c>
      <c r="AC297">
        <f>VLOOKUP(C297,技能辅助查询表,技能配置辅助表!$W$1,FALSE)</f>
        <v>22081</v>
      </c>
      <c r="AD297">
        <f t="shared" ca="1" si="135"/>
        <v>830.62608905409036</v>
      </c>
      <c r="AE297">
        <f>VLOOKUP(C297,技能辅助查询表,技能配置辅助表!$U$1,FALSE)</f>
        <v>1</v>
      </c>
      <c r="AF297">
        <f t="shared" ca="1" si="136"/>
        <v>9113140</v>
      </c>
      <c r="AG297">
        <f t="shared" ca="1" si="140"/>
        <v>64.693877551020407</v>
      </c>
      <c r="AH297">
        <f t="shared" ca="1" si="137"/>
        <v>2076.5652226352254</v>
      </c>
      <c r="AI297">
        <f ca="1">VLOOKUP(E297,伤害参考系!$C$4:$E$104,3,FALSE)*$AN$12</f>
        <v>13079.520489130437</v>
      </c>
      <c r="AJ297">
        <f>VLOOKUP(C297,技能辅助查询表,技能配置辅助表!$L$1,FALSE)</f>
        <v>3</v>
      </c>
      <c r="AK297">
        <f>VLOOKUP(C297,技能辅助查询表,技能配置辅助表!$AE$1,FALSE)</f>
        <v>66000622</v>
      </c>
    </row>
    <row r="298" spans="1:37" x14ac:dyDescent="0.15">
      <c r="A298" s="1">
        <f t="shared" ca="1" si="128"/>
        <v>9113141</v>
      </c>
      <c r="B298" s="1" t="str">
        <f t="shared" ca="1" si="113"/>
        <v>光刃·斩</v>
      </c>
      <c r="C298" t="s">
        <v>155</v>
      </c>
      <c r="D298">
        <f t="shared" si="114"/>
        <v>1</v>
      </c>
      <c r="E298" s="42">
        <f t="shared" ca="1" si="129"/>
        <v>67</v>
      </c>
      <c r="F298" t="str">
        <f t="shared" ca="1" si="130"/>
        <v>第41级，共造成302.1%点伤害</v>
      </c>
      <c r="G298">
        <f t="shared" ca="1" si="131"/>
        <v>1</v>
      </c>
      <c r="H298">
        <f t="shared" si="115"/>
        <v>1</v>
      </c>
      <c r="I298" s="44">
        <f t="shared" ca="1" si="132"/>
        <v>41</v>
      </c>
      <c r="J298">
        <f t="shared" si="116"/>
        <v>1</v>
      </c>
      <c r="K298" s="36">
        <f t="shared" ca="1" si="117"/>
        <v>100.71428571428572</v>
      </c>
      <c r="L298" s="10">
        <f ca="1">AH298*VLOOKUP(C298,技能辅助查询表,技能配置辅助表!$T$1,FALSE)</f>
        <v>0</v>
      </c>
      <c r="M298">
        <f t="shared" ca="1" si="118"/>
        <v>5900</v>
      </c>
      <c r="N298" s="33">
        <f ca="1">CHOOSE(1,W298*U298,X298*'[1]0、经济设定'!$C$18)</f>
        <v>355560</v>
      </c>
      <c r="O298">
        <f t="shared" si="119"/>
        <v>3</v>
      </c>
      <c r="P298">
        <f t="shared" si="120"/>
        <v>3</v>
      </c>
      <c r="Q298">
        <f t="shared" si="121"/>
        <v>1</v>
      </c>
      <c r="R298" s="2">
        <f t="shared" si="122"/>
        <v>5</v>
      </c>
      <c r="S298" s="2">
        <f t="shared" si="123"/>
        <v>50</v>
      </c>
      <c r="T298" s="2">
        <f t="shared" si="124"/>
        <v>71.428571428571431</v>
      </c>
      <c r="U298" s="2">
        <f ca="1">VLOOKUP(E298,金币生产率!$A$2:$B$120,2,0)</f>
        <v>2963</v>
      </c>
      <c r="V298" s="2">
        <f t="shared" si="125"/>
        <v>214.28571428571428</v>
      </c>
      <c r="W298" s="45">
        <f t="shared" ca="1" si="138"/>
        <v>120</v>
      </c>
      <c r="X298" s="48">
        <f t="shared" ca="1" si="139"/>
        <v>1720</v>
      </c>
      <c r="Y298">
        <f t="shared" si="126"/>
        <v>18</v>
      </c>
      <c r="Z298">
        <f t="shared" ca="1" si="133"/>
        <v>48</v>
      </c>
      <c r="AA298" t="str">
        <f t="shared" ca="1" si="134"/>
        <v>9113100.png</v>
      </c>
      <c r="AB298">
        <f t="shared" si="127"/>
        <v>7</v>
      </c>
      <c r="AC298">
        <f>VLOOKUP(C298,技能辅助查询表,技能配置辅助表!$W$1,FALSE)</f>
        <v>22081</v>
      </c>
      <c r="AD298">
        <f t="shared" ca="1" si="135"/>
        <v>955.78886396514076</v>
      </c>
      <c r="AE298">
        <f>VLOOKUP(C298,技能辅助查询表,技能配置辅助表!$U$1,FALSE)</f>
        <v>1</v>
      </c>
      <c r="AF298">
        <f t="shared" ca="1" si="136"/>
        <v>9113141</v>
      </c>
      <c r="AG298">
        <f t="shared" ca="1" si="140"/>
        <v>66.224489795918373</v>
      </c>
      <c r="AH298">
        <f t="shared" ca="1" si="137"/>
        <v>2364.1420663448707</v>
      </c>
      <c r="AI298">
        <f ca="1">VLOOKUP(E298,伤害参考系!$C$4:$E$104,3,FALSE)*$AN$12</f>
        <v>14262.572265050176</v>
      </c>
      <c r="AJ298">
        <f>VLOOKUP(C298,技能辅助查询表,技能配置辅助表!$L$1,FALSE)</f>
        <v>3</v>
      </c>
      <c r="AK298">
        <f>VLOOKUP(C298,技能辅助查询表,技能配置辅助表!$AE$1,FALSE)</f>
        <v>66000622</v>
      </c>
    </row>
    <row r="299" spans="1:37" x14ac:dyDescent="0.15">
      <c r="A299" s="1">
        <f t="shared" ca="1" si="128"/>
        <v>9113142</v>
      </c>
      <c r="B299" s="1" t="str">
        <f t="shared" ca="1" si="113"/>
        <v>光刃·斩</v>
      </c>
      <c r="C299" t="s">
        <v>155</v>
      </c>
      <c r="D299">
        <f t="shared" si="114"/>
        <v>1</v>
      </c>
      <c r="E299" s="42">
        <f t="shared" ca="1" si="129"/>
        <v>68</v>
      </c>
      <c r="F299" t="str">
        <f t="shared" ca="1" si="130"/>
        <v>第42级，共造成304.3%点伤害</v>
      </c>
      <c r="G299">
        <f t="shared" ca="1" si="131"/>
        <v>1</v>
      </c>
      <c r="H299">
        <f t="shared" si="115"/>
        <v>1</v>
      </c>
      <c r="I299" s="44">
        <f t="shared" ca="1" si="132"/>
        <v>42</v>
      </c>
      <c r="J299">
        <f t="shared" si="116"/>
        <v>1</v>
      </c>
      <c r="K299" s="36">
        <f t="shared" ca="1" si="117"/>
        <v>101.42857142857143</v>
      </c>
      <c r="L299" s="10">
        <f ca="1">AH299*VLOOKUP(C299,技能辅助查询表,技能配置辅助表!$T$1,FALSE)</f>
        <v>0</v>
      </c>
      <c r="M299">
        <f t="shared" ca="1" si="118"/>
        <v>5800</v>
      </c>
      <c r="N299" s="33">
        <f ca="1">CHOOSE(1,W299*U299,X299*'[1]0、经济设定'!$C$18)</f>
        <v>390912</v>
      </c>
      <c r="O299">
        <f t="shared" si="119"/>
        <v>3</v>
      </c>
      <c r="P299">
        <f t="shared" si="120"/>
        <v>3</v>
      </c>
      <c r="Q299">
        <f t="shared" si="121"/>
        <v>1</v>
      </c>
      <c r="R299" s="2">
        <f t="shared" si="122"/>
        <v>5</v>
      </c>
      <c r="S299" s="2">
        <f t="shared" si="123"/>
        <v>50</v>
      </c>
      <c r="T299" s="2">
        <f t="shared" si="124"/>
        <v>71.428571428571431</v>
      </c>
      <c r="U299" s="2">
        <f ca="1">VLOOKUP(E299,金币生产率!$A$2:$B$120,2,0)</f>
        <v>3054</v>
      </c>
      <c r="V299" s="2">
        <f t="shared" si="125"/>
        <v>214.28571428571428</v>
      </c>
      <c r="W299" s="45">
        <f t="shared" ca="1" si="138"/>
        <v>128</v>
      </c>
      <c r="X299" s="48">
        <f t="shared" ca="1" si="139"/>
        <v>1848</v>
      </c>
      <c r="Y299">
        <f t="shared" si="126"/>
        <v>18</v>
      </c>
      <c r="Z299">
        <f t="shared" ca="1" si="133"/>
        <v>52</v>
      </c>
      <c r="AA299" t="str">
        <f t="shared" ca="1" si="134"/>
        <v>9113100.png</v>
      </c>
      <c r="AB299">
        <f t="shared" si="127"/>
        <v>7</v>
      </c>
      <c r="AC299">
        <f>VLOOKUP(C299,技能辅助查询表,技能配置辅助表!$W$1,FALSE)</f>
        <v>22081</v>
      </c>
      <c r="AD299">
        <f t="shared" ca="1" si="135"/>
        <v>1099.6881826063925</v>
      </c>
      <c r="AE299">
        <f>VLOOKUP(C299,技能辅助查询表,技能配置辅助表!$U$1,FALSE)</f>
        <v>1</v>
      </c>
      <c r="AF299">
        <f t="shared" ca="1" si="136"/>
        <v>9113142</v>
      </c>
      <c r="AG299">
        <f t="shared" ca="1" si="140"/>
        <v>67.755102040816325</v>
      </c>
      <c r="AH299">
        <f t="shared" ca="1" si="137"/>
        <v>2691.5445028827789</v>
      </c>
      <c r="AI299">
        <f ca="1">VLOOKUP(E299,伤害参考系!$C$4:$E$104,3,FALSE)*$AN$12</f>
        <v>14872.841096989978</v>
      </c>
      <c r="AJ299">
        <f>VLOOKUP(C299,技能辅助查询表,技能配置辅助表!$L$1,FALSE)</f>
        <v>3</v>
      </c>
      <c r="AK299">
        <f>VLOOKUP(C299,技能辅助查询表,技能配置辅助表!$AE$1,FALSE)</f>
        <v>66000622</v>
      </c>
    </row>
    <row r="300" spans="1:37" x14ac:dyDescent="0.15">
      <c r="A300" s="1">
        <f t="shared" ca="1" si="128"/>
        <v>9113143</v>
      </c>
      <c r="B300" s="1" t="str">
        <f t="shared" ca="1" si="113"/>
        <v>光刃·斩</v>
      </c>
      <c r="C300" t="s">
        <v>155</v>
      </c>
      <c r="D300">
        <f t="shared" si="114"/>
        <v>1</v>
      </c>
      <c r="E300" s="42">
        <f t="shared" ca="1" si="129"/>
        <v>70</v>
      </c>
      <c r="F300" t="str">
        <f t="shared" ca="1" si="130"/>
        <v>第43级，共造成306.4%点伤害</v>
      </c>
      <c r="G300">
        <f t="shared" ca="1" si="131"/>
        <v>1</v>
      </c>
      <c r="H300">
        <f t="shared" si="115"/>
        <v>1</v>
      </c>
      <c r="I300" s="44">
        <f t="shared" ca="1" si="132"/>
        <v>43</v>
      </c>
      <c r="J300">
        <f t="shared" si="116"/>
        <v>1</v>
      </c>
      <c r="K300" s="36">
        <f t="shared" ca="1" si="117"/>
        <v>102.14285714285714</v>
      </c>
      <c r="L300" s="10">
        <f ca="1">AH300*VLOOKUP(C300,技能辅助查询表,技能配置辅助表!$T$1,FALSE)</f>
        <v>0</v>
      </c>
      <c r="M300">
        <f t="shared" ca="1" si="118"/>
        <v>5700</v>
      </c>
      <c r="N300" s="33">
        <f ca="1">CHOOSE(1,W300*U300,X300*'[1]0、经济设定'!$C$18)</f>
        <v>444154</v>
      </c>
      <c r="O300">
        <f t="shared" si="119"/>
        <v>3</v>
      </c>
      <c r="P300">
        <f t="shared" si="120"/>
        <v>3</v>
      </c>
      <c r="Q300">
        <f t="shared" si="121"/>
        <v>1</v>
      </c>
      <c r="R300" s="2">
        <f t="shared" si="122"/>
        <v>5</v>
      </c>
      <c r="S300" s="2">
        <f t="shared" si="123"/>
        <v>50</v>
      </c>
      <c r="T300" s="2">
        <f t="shared" si="124"/>
        <v>71.428571428571431</v>
      </c>
      <c r="U300" s="2">
        <f ca="1">VLOOKUP(E300,金币生产率!$A$2:$B$120,2,0)</f>
        <v>3242</v>
      </c>
      <c r="V300" s="2">
        <f t="shared" si="125"/>
        <v>214.28571428571428</v>
      </c>
      <c r="W300" s="45">
        <f t="shared" ca="1" si="138"/>
        <v>137</v>
      </c>
      <c r="X300" s="48">
        <f t="shared" ca="1" si="139"/>
        <v>1985</v>
      </c>
      <c r="Y300">
        <f t="shared" si="126"/>
        <v>18</v>
      </c>
      <c r="Z300">
        <f t="shared" ca="1" si="133"/>
        <v>55</v>
      </c>
      <c r="AA300" t="str">
        <f t="shared" ca="1" si="134"/>
        <v>9113100.png</v>
      </c>
      <c r="AB300">
        <f t="shared" si="127"/>
        <v>7</v>
      </c>
      <c r="AC300">
        <f>VLOOKUP(C300,技能辅助查询表,技能配置辅助表!$W$1,FALSE)</f>
        <v>22081</v>
      </c>
      <c r="AD300">
        <f t="shared" ca="1" si="135"/>
        <v>1265.1131268915397</v>
      </c>
      <c r="AE300">
        <f>VLOOKUP(C300,技能辅助查询表,技能配置辅助表!$U$1,FALSE)</f>
        <v>1</v>
      </c>
      <c r="AF300">
        <f t="shared" ca="1" si="136"/>
        <v>9113143</v>
      </c>
      <c r="AG300">
        <f t="shared" ca="1" si="140"/>
        <v>69.285714285714292</v>
      </c>
      <c r="AH300">
        <f t="shared" ca="1" si="137"/>
        <v>3064.2878506023458</v>
      </c>
      <c r="AI300">
        <f ca="1">VLOOKUP(E300,伤害参考系!$C$4:$E$104,3,FALSE)*$AN$12</f>
        <v>16191.966408862889</v>
      </c>
      <c r="AJ300">
        <f>VLOOKUP(C300,技能辅助查询表,技能配置辅助表!$L$1,FALSE)</f>
        <v>3</v>
      </c>
      <c r="AK300">
        <f>VLOOKUP(C300,技能辅助查询表,技能配置辅助表!$AE$1,FALSE)</f>
        <v>66000622</v>
      </c>
    </row>
    <row r="301" spans="1:37" x14ac:dyDescent="0.15">
      <c r="A301" s="1">
        <f t="shared" ca="1" si="128"/>
        <v>9113144</v>
      </c>
      <c r="B301" s="1" t="str">
        <f t="shared" ca="1" si="113"/>
        <v>光刃·斩</v>
      </c>
      <c r="C301" t="s">
        <v>155</v>
      </c>
      <c r="D301">
        <f t="shared" si="114"/>
        <v>1</v>
      </c>
      <c r="E301" s="42">
        <f t="shared" ca="1" si="129"/>
        <v>71</v>
      </c>
      <c r="F301" t="str">
        <f t="shared" ca="1" si="130"/>
        <v>第44级，共造成308.6%点伤害</v>
      </c>
      <c r="G301">
        <f t="shared" ca="1" si="131"/>
        <v>1</v>
      </c>
      <c r="H301">
        <f t="shared" si="115"/>
        <v>1</v>
      </c>
      <c r="I301" s="44">
        <f t="shared" ca="1" si="132"/>
        <v>44</v>
      </c>
      <c r="J301">
        <f t="shared" si="116"/>
        <v>1</v>
      </c>
      <c r="K301" s="36">
        <f t="shared" ca="1" si="117"/>
        <v>102.85714285714286</v>
      </c>
      <c r="L301" s="10">
        <f ca="1">AH301*VLOOKUP(C301,技能辅助查询表,技能配置辅助表!$T$1,FALSE)</f>
        <v>0</v>
      </c>
      <c r="M301">
        <f t="shared" ca="1" si="118"/>
        <v>5600</v>
      </c>
      <c r="N301" s="33">
        <f ca="1">CHOOSE(1,W301*U301,X301*'[1]0、经济设定'!$C$18)</f>
        <v>490686</v>
      </c>
      <c r="O301">
        <f t="shared" si="119"/>
        <v>3</v>
      </c>
      <c r="P301">
        <f t="shared" si="120"/>
        <v>3</v>
      </c>
      <c r="Q301">
        <f t="shared" si="121"/>
        <v>1</v>
      </c>
      <c r="R301" s="2">
        <f t="shared" si="122"/>
        <v>5</v>
      </c>
      <c r="S301" s="2">
        <f t="shared" si="123"/>
        <v>50</v>
      </c>
      <c r="T301" s="2">
        <f t="shared" si="124"/>
        <v>71.428571428571431</v>
      </c>
      <c r="U301" s="2">
        <f ca="1">VLOOKUP(E301,金币生产率!$A$2:$B$120,2,0)</f>
        <v>3338</v>
      </c>
      <c r="V301" s="2">
        <f t="shared" si="125"/>
        <v>214.28571428571428</v>
      </c>
      <c r="W301" s="45">
        <f t="shared" ca="1" si="138"/>
        <v>147</v>
      </c>
      <c r="X301" s="48">
        <f t="shared" ca="1" si="139"/>
        <v>2132</v>
      </c>
      <c r="Y301">
        <f t="shared" si="126"/>
        <v>18</v>
      </c>
      <c r="Z301">
        <f t="shared" ca="1" si="133"/>
        <v>59</v>
      </c>
      <c r="AA301" t="str">
        <f t="shared" ca="1" si="134"/>
        <v>9113100.png</v>
      </c>
      <c r="AB301">
        <f t="shared" si="127"/>
        <v>7</v>
      </c>
      <c r="AC301">
        <f>VLOOKUP(C301,技能辅助查询表,技能配置辅助表!$W$1,FALSE)</f>
        <v>22081</v>
      </c>
      <c r="AD301">
        <f t="shared" ca="1" si="135"/>
        <v>1455.2659402262477</v>
      </c>
      <c r="AE301">
        <f>VLOOKUP(C301,技能辅助查询表,技能配置辅助表!$U$1,FALSE)</f>
        <v>1</v>
      </c>
      <c r="AF301">
        <f t="shared" ca="1" si="136"/>
        <v>9113144</v>
      </c>
      <c r="AG301">
        <f t="shared" ca="1" si="140"/>
        <v>70.816326530612244</v>
      </c>
      <c r="AH301">
        <f t="shared" ca="1" si="137"/>
        <v>3488.6512265697725</v>
      </c>
      <c r="AI301">
        <f ca="1">VLOOKUP(E301,伤害参考系!$C$4:$E$104,3,FALSE)*$AN$12</f>
        <v>16902.905438127098</v>
      </c>
      <c r="AJ301">
        <f>VLOOKUP(C301,技能辅助查询表,技能配置辅助表!$L$1,FALSE)</f>
        <v>3</v>
      </c>
      <c r="AK301">
        <f>VLOOKUP(C301,技能辅助查询表,技能配置辅助表!$AE$1,FALSE)</f>
        <v>66000622</v>
      </c>
    </row>
    <row r="302" spans="1:37" x14ac:dyDescent="0.15">
      <c r="A302" s="1">
        <f t="shared" ca="1" si="128"/>
        <v>9113145</v>
      </c>
      <c r="B302" s="1" t="str">
        <f t="shared" ca="1" si="113"/>
        <v>光刃·斩</v>
      </c>
      <c r="C302" t="s">
        <v>155</v>
      </c>
      <c r="D302">
        <f t="shared" si="114"/>
        <v>1</v>
      </c>
      <c r="E302" s="42">
        <f t="shared" ca="1" si="129"/>
        <v>73</v>
      </c>
      <c r="F302" t="str">
        <f t="shared" ca="1" si="130"/>
        <v>第45级，共造成310.7%点伤害</v>
      </c>
      <c r="G302">
        <f t="shared" ca="1" si="131"/>
        <v>1</v>
      </c>
      <c r="H302">
        <f t="shared" si="115"/>
        <v>1</v>
      </c>
      <c r="I302" s="44">
        <f t="shared" ca="1" si="132"/>
        <v>45</v>
      </c>
      <c r="J302">
        <f t="shared" si="116"/>
        <v>1</v>
      </c>
      <c r="K302" s="36">
        <f t="shared" ca="1" si="117"/>
        <v>103.57142857142858</v>
      </c>
      <c r="L302" s="10">
        <f ca="1">AH302*VLOOKUP(C302,技能辅助查询表,技能配置辅助表!$T$1,FALSE)</f>
        <v>0</v>
      </c>
      <c r="M302">
        <f t="shared" ca="1" si="118"/>
        <v>5500</v>
      </c>
      <c r="N302" s="33">
        <f ca="1">CHOOSE(1,W302*U302,X302*'[1]0、经济设定'!$C$18)</f>
        <v>554838</v>
      </c>
      <c r="O302">
        <f t="shared" si="119"/>
        <v>3</v>
      </c>
      <c r="P302">
        <f t="shared" si="120"/>
        <v>3</v>
      </c>
      <c r="Q302">
        <f t="shared" si="121"/>
        <v>1</v>
      </c>
      <c r="R302" s="2">
        <f t="shared" si="122"/>
        <v>5</v>
      </c>
      <c r="S302" s="2">
        <f t="shared" si="123"/>
        <v>50</v>
      </c>
      <c r="T302" s="2">
        <f t="shared" si="124"/>
        <v>71.428571428571431</v>
      </c>
      <c r="U302" s="2">
        <f ca="1">VLOOKUP(E302,金币生产率!$A$2:$B$120,2,0)</f>
        <v>3534</v>
      </c>
      <c r="V302" s="2">
        <f t="shared" si="125"/>
        <v>214.28571428571428</v>
      </c>
      <c r="W302" s="45">
        <f t="shared" ca="1" si="138"/>
        <v>157</v>
      </c>
      <c r="X302" s="48">
        <f t="shared" ca="1" si="139"/>
        <v>2289</v>
      </c>
      <c r="Y302">
        <f t="shared" si="126"/>
        <v>18</v>
      </c>
      <c r="Z302">
        <f t="shared" ca="1" si="133"/>
        <v>63</v>
      </c>
      <c r="AA302" t="str">
        <f t="shared" ca="1" si="134"/>
        <v>9113100.png</v>
      </c>
      <c r="AB302">
        <f t="shared" si="127"/>
        <v>7</v>
      </c>
      <c r="AC302">
        <f>VLOOKUP(C302,技能辅助查询表,技能配置辅助表!$W$1,FALSE)</f>
        <v>22081</v>
      </c>
      <c r="AD302">
        <f t="shared" ca="1" si="135"/>
        <v>1673.822971664197</v>
      </c>
      <c r="AE302">
        <f>VLOOKUP(C302,技能辅助查询表,技能配置辅助表!$U$1,FALSE)</f>
        <v>1</v>
      </c>
      <c r="AF302">
        <f t="shared" ca="1" si="136"/>
        <v>9113145</v>
      </c>
      <c r="AG302">
        <f t="shared" ca="1" si="140"/>
        <v>72.34693877551021</v>
      </c>
      <c r="AH302">
        <f t="shared" ca="1" si="137"/>
        <v>3971.7833225930094</v>
      </c>
      <c r="AI302">
        <f ca="1">VLOOKUP(E302,伤害参考系!$C$4:$E$104,3,FALSE)*$AN$12</f>
        <v>18368.517032608706</v>
      </c>
      <c r="AJ302">
        <f>VLOOKUP(C302,技能辅助查询表,技能配置辅助表!$L$1,FALSE)</f>
        <v>3</v>
      </c>
      <c r="AK302">
        <f>VLOOKUP(C302,技能辅助查询表,技能配置辅助表!$AE$1,FALSE)</f>
        <v>66000622</v>
      </c>
    </row>
    <row r="303" spans="1:37" x14ac:dyDescent="0.15">
      <c r="A303" s="1">
        <f t="shared" ca="1" si="128"/>
        <v>9113146</v>
      </c>
      <c r="B303" s="1" t="str">
        <f t="shared" ca="1" si="113"/>
        <v>光刃·斩</v>
      </c>
      <c r="C303" t="s">
        <v>155</v>
      </c>
      <c r="D303">
        <f t="shared" si="114"/>
        <v>1</v>
      </c>
      <c r="E303" s="42">
        <f t="shared" ca="1" si="129"/>
        <v>74</v>
      </c>
      <c r="F303" t="str">
        <f t="shared" ca="1" si="130"/>
        <v>第46级，共造成312.9%点伤害</v>
      </c>
      <c r="G303">
        <f t="shared" ca="1" si="131"/>
        <v>1</v>
      </c>
      <c r="H303">
        <f t="shared" si="115"/>
        <v>1</v>
      </c>
      <c r="I303" s="44">
        <f t="shared" ca="1" si="132"/>
        <v>46</v>
      </c>
      <c r="J303">
        <f t="shared" si="116"/>
        <v>1</v>
      </c>
      <c r="K303" s="36">
        <f t="shared" ca="1" si="117"/>
        <v>104.28571428571429</v>
      </c>
      <c r="L303" s="10">
        <f ca="1">AH303*VLOOKUP(C303,技能辅助查询表,技能配置辅助表!$T$1,FALSE)</f>
        <v>0</v>
      </c>
      <c r="M303">
        <f t="shared" ca="1" si="118"/>
        <v>5400</v>
      </c>
      <c r="N303" s="33">
        <f ca="1">CHOOSE(1,W303*U303,X303*'[1]0、经济设定'!$C$18)</f>
        <v>610512</v>
      </c>
      <c r="O303">
        <f t="shared" si="119"/>
        <v>3</v>
      </c>
      <c r="P303">
        <f t="shared" si="120"/>
        <v>3</v>
      </c>
      <c r="Q303">
        <f t="shared" si="121"/>
        <v>1</v>
      </c>
      <c r="R303" s="2">
        <f t="shared" si="122"/>
        <v>5</v>
      </c>
      <c r="S303" s="2">
        <f t="shared" si="123"/>
        <v>50</v>
      </c>
      <c r="T303" s="2">
        <f t="shared" si="124"/>
        <v>71.428571428571431</v>
      </c>
      <c r="U303" s="2">
        <f ca="1">VLOOKUP(E303,金币生产率!$A$2:$B$120,2,0)</f>
        <v>3634</v>
      </c>
      <c r="V303" s="2">
        <f t="shared" si="125"/>
        <v>214.28571428571428</v>
      </c>
      <c r="W303" s="45">
        <f t="shared" ca="1" si="138"/>
        <v>168</v>
      </c>
      <c r="X303" s="48">
        <f t="shared" ca="1" si="139"/>
        <v>2457</v>
      </c>
      <c r="Y303">
        <f t="shared" si="126"/>
        <v>18</v>
      </c>
      <c r="Z303">
        <f t="shared" ca="1" si="133"/>
        <v>68</v>
      </c>
      <c r="AA303" t="str">
        <f t="shared" ca="1" si="134"/>
        <v>9113100.png</v>
      </c>
      <c r="AB303">
        <f t="shared" si="127"/>
        <v>7</v>
      </c>
      <c r="AC303">
        <f>VLOOKUP(C303,技能辅助查询表,技能配置辅助表!$W$1,FALSE)</f>
        <v>22081</v>
      </c>
      <c r="AD303">
        <f t="shared" ca="1" si="135"/>
        <v>1925.0045761288923</v>
      </c>
      <c r="AE303">
        <f>VLOOKUP(C303,技能辅助查询表,技能配置辅助表!$U$1,FALSE)</f>
        <v>1</v>
      </c>
      <c r="AF303">
        <f t="shared" ca="1" si="136"/>
        <v>9113146</v>
      </c>
      <c r="AG303">
        <f t="shared" ca="1" si="140"/>
        <v>73.877551020408163</v>
      </c>
      <c r="AH303">
        <f t="shared" ca="1" si="137"/>
        <v>4521.8228298329677</v>
      </c>
      <c r="AI303">
        <f ca="1">VLOOKUP(E303,伤害参考系!$C$4:$E$104,3,FALSE)*$AN$12</f>
        <v>19123.189597826095</v>
      </c>
      <c r="AJ303">
        <f>VLOOKUP(C303,技能辅助查询表,技能配置辅助表!$L$1,FALSE)</f>
        <v>3</v>
      </c>
      <c r="AK303">
        <f>VLOOKUP(C303,技能辅助查询表,技能配置辅助表!$AE$1,FALSE)</f>
        <v>66000622</v>
      </c>
    </row>
    <row r="304" spans="1:37" x14ac:dyDescent="0.15">
      <c r="A304" s="1">
        <f t="shared" ca="1" si="128"/>
        <v>9113147</v>
      </c>
      <c r="B304" s="1" t="str">
        <f t="shared" ca="1" si="113"/>
        <v>光刃·斩</v>
      </c>
      <c r="C304" t="s">
        <v>155</v>
      </c>
      <c r="D304">
        <f t="shared" si="114"/>
        <v>1</v>
      </c>
      <c r="E304" s="42">
        <f t="shared" ca="1" si="129"/>
        <v>76</v>
      </c>
      <c r="F304" t="str">
        <f t="shared" ca="1" si="130"/>
        <v>第47级，共造成315%点伤害</v>
      </c>
      <c r="G304">
        <f t="shared" ca="1" si="131"/>
        <v>1</v>
      </c>
      <c r="H304">
        <f t="shared" si="115"/>
        <v>1</v>
      </c>
      <c r="I304" s="44">
        <f t="shared" ca="1" si="132"/>
        <v>47</v>
      </c>
      <c r="J304">
        <f t="shared" si="116"/>
        <v>1</v>
      </c>
      <c r="K304" s="36">
        <f t="shared" ca="1" si="117"/>
        <v>105</v>
      </c>
      <c r="L304" s="10">
        <f ca="1">AH304*VLOOKUP(C304,技能辅助查询表,技能配置辅助表!$T$1,FALSE)</f>
        <v>0</v>
      </c>
      <c r="M304">
        <f t="shared" ca="1" si="118"/>
        <v>5300</v>
      </c>
      <c r="N304" s="33">
        <f ca="1">CHOOSE(1,W304*U304,X304*'[1]0、经济设定'!$C$18)</f>
        <v>690840</v>
      </c>
      <c r="O304">
        <f t="shared" si="119"/>
        <v>3</v>
      </c>
      <c r="P304">
        <f t="shared" si="120"/>
        <v>3</v>
      </c>
      <c r="Q304">
        <f t="shared" si="121"/>
        <v>1</v>
      </c>
      <c r="R304" s="2">
        <f t="shared" si="122"/>
        <v>5</v>
      </c>
      <c r="S304" s="2">
        <f t="shared" si="123"/>
        <v>50</v>
      </c>
      <c r="T304" s="2">
        <f t="shared" si="124"/>
        <v>71.428571428571431</v>
      </c>
      <c r="U304" s="2">
        <f ca="1">VLOOKUP(E304,金币生产率!$A$2:$B$120,2,0)</f>
        <v>3838</v>
      </c>
      <c r="V304" s="2">
        <f t="shared" si="125"/>
        <v>214.28571428571428</v>
      </c>
      <c r="W304" s="45">
        <f t="shared" ca="1" si="138"/>
        <v>180</v>
      </c>
      <c r="X304" s="48">
        <f t="shared" ca="1" si="139"/>
        <v>2637</v>
      </c>
      <c r="Y304">
        <f t="shared" si="126"/>
        <v>18</v>
      </c>
      <c r="Z304">
        <f t="shared" ca="1" si="133"/>
        <v>72</v>
      </c>
      <c r="AA304" t="str">
        <f t="shared" ca="1" si="134"/>
        <v>9113100.png</v>
      </c>
      <c r="AB304">
        <f t="shared" si="127"/>
        <v>7</v>
      </c>
      <c r="AC304">
        <f>VLOOKUP(C304,技能辅助查询表,技能配置辅助表!$W$1,FALSE)</f>
        <v>22081</v>
      </c>
      <c r="AD304">
        <f t="shared" ca="1" si="135"/>
        <v>2213.6552824717974</v>
      </c>
      <c r="AE304">
        <f>VLOOKUP(C304,技能辅助查询表,技能配置辅助表!$U$1,FALSE)</f>
        <v>1</v>
      </c>
      <c r="AF304">
        <f t="shared" ca="1" si="136"/>
        <v>9113147</v>
      </c>
      <c r="AG304">
        <f t="shared" ca="1" si="140"/>
        <v>75.408163265306129</v>
      </c>
      <c r="AH304">
        <f t="shared" ca="1" si="137"/>
        <v>5148.0355406320868</v>
      </c>
      <c r="AI304">
        <f ca="1">VLOOKUP(E304,伤害参考系!$C$4:$E$104,3,FALSE)*$AN$12</f>
        <v>20676.268264214057</v>
      </c>
      <c r="AJ304">
        <f>VLOOKUP(C304,技能辅助查询表,技能配置辅助表!$L$1,FALSE)</f>
        <v>3</v>
      </c>
      <c r="AK304">
        <f>VLOOKUP(C304,技能辅助查询表,技能配置辅助表!$AE$1,FALSE)</f>
        <v>66000622</v>
      </c>
    </row>
    <row r="305" spans="1:37" x14ac:dyDescent="0.15">
      <c r="A305" s="1">
        <f t="shared" ca="1" si="128"/>
        <v>9113148</v>
      </c>
      <c r="B305" s="1" t="str">
        <f t="shared" ca="1" si="113"/>
        <v>光刃·斩</v>
      </c>
      <c r="C305" t="s">
        <v>155</v>
      </c>
      <c r="D305">
        <f t="shared" si="114"/>
        <v>1</v>
      </c>
      <c r="E305" s="42">
        <f t="shared" ca="1" si="129"/>
        <v>77</v>
      </c>
      <c r="F305" t="str">
        <f t="shared" ca="1" si="130"/>
        <v>第48级，共造成317.1%点伤害</v>
      </c>
      <c r="G305">
        <f t="shared" ca="1" si="131"/>
        <v>1</v>
      </c>
      <c r="H305">
        <f t="shared" si="115"/>
        <v>1</v>
      </c>
      <c r="I305" s="44">
        <f t="shared" ca="1" si="132"/>
        <v>48</v>
      </c>
      <c r="J305">
        <f t="shared" si="116"/>
        <v>1</v>
      </c>
      <c r="K305" s="36">
        <f t="shared" ca="1" si="117"/>
        <v>105.71428571428572</v>
      </c>
      <c r="L305" s="10">
        <f ca="1">AH305*VLOOKUP(C305,技能辅助查询表,技能配置辅助表!$T$1,FALSE)</f>
        <v>0</v>
      </c>
      <c r="M305">
        <f t="shared" ca="1" si="118"/>
        <v>5200</v>
      </c>
      <c r="N305" s="33">
        <f ca="1">CHOOSE(1,W305*U305,X305*'[1]0、经济设定'!$C$18)</f>
        <v>760806</v>
      </c>
      <c r="O305">
        <f t="shared" si="119"/>
        <v>3</v>
      </c>
      <c r="P305">
        <f t="shared" si="120"/>
        <v>3</v>
      </c>
      <c r="Q305">
        <f t="shared" si="121"/>
        <v>1</v>
      </c>
      <c r="R305" s="2">
        <f t="shared" si="122"/>
        <v>5</v>
      </c>
      <c r="S305" s="2">
        <f t="shared" si="123"/>
        <v>50</v>
      </c>
      <c r="T305" s="2">
        <f t="shared" si="124"/>
        <v>71.428571428571431</v>
      </c>
      <c r="U305" s="2">
        <f ca="1">VLOOKUP(E305,金币生产率!$A$2:$B$120,2,0)</f>
        <v>3942</v>
      </c>
      <c r="V305" s="2">
        <f t="shared" si="125"/>
        <v>214.28571428571428</v>
      </c>
      <c r="W305" s="45">
        <f t="shared" ca="1" si="138"/>
        <v>193</v>
      </c>
      <c r="X305" s="48">
        <f t="shared" ca="1" si="139"/>
        <v>2830</v>
      </c>
      <c r="Y305">
        <f t="shared" si="126"/>
        <v>18</v>
      </c>
      <c r="Z305">
        <f t="shared" ca="1" si="133"/>
        <v>78</v>
      </c>
      <c r="AA305" t="str">
        <f t="shared" ca="1" si="134"/>
        <v>9113100.png</v>
      </c>
      <c r="AB305">
        <f t="shared" si="127"/>
        <v>7</v>
      </c>
      <c r="AC305">
        <f>VLOOKUP(C305,技能辅助查询表,技能配置辅助表!$W$1,FALSE)</f>
        <v>22081</v>
      </c>
      <c r="AD305">
        <f t="shared" ca="1" si="135"/>
        <v>2545.3357326984324</v>
      </c>
      <c r="AE305">
        <f>VLOOKUP(C305,技能辅助查询表,技能配置辅助表!$U$1,FALSE)</f>
        <v>1</v>
      </c>
      <c r="AF305">
        <f t="shared" ca="1" si="136"/>
        <v>9113148</v>
      </c>
      <c r="AG305">
        <f t="shared" ca="1" si="140"/>
        <v>76.938775510204081</v>
      </c>
      <c r="AH305">
        <f t="shared" ca="1" si="137"/>
        <v>5860.970437134547</v>
      </c>
      <c r="AI305">
        <f ca="1">VLOOKUP(E305,伤害参考系!$C$4:$E$104,3,FALSE)*$AN$12</f>
        <v>21474.674365384624</v>
      </c>
      <c r="AJ305">
        <f>VLOOKUP(C305,技能辅助查询表,技能配置辅助表!$L$1,FALSE)</f>
        <v>3</v>
      </c>
      <c r="AK305">
        <f>VLOOKUP(C305,技能辅助查询表,技能配置辅助表!$AE$1,FALSE)</f>
        <v>66000622</v>
      </c>
    </row>
    <row r="306" spans="1:37" x14ac:dyDescent="0.15">
      <c r="A306" s="1">
        <f t="shared" ca="1" si="128"/>
        <v>9113149</v>
      </c>
      <c r="B306" s="1" t="str">
        <f t="shared" ca="1" si="113"/>
        <v>光刃·斩</v>
      </c>
      <c r="C306" t="s">
        <v>155</v>
      </c>
      <c r="D306">
        <f t="shared" si="114"/>
        <v>1</v>
      </c>
      <c r="E306" s="42">
        <f t="shared" ca="1" si="129"/>
        <v>79</v>
      </c>
      <c r="F306" t="str">
        <f t="shared" ca="1" si="130"/>
        <v>第49级，共造成319.3%点伤害</v>
      </c>
      <c r="G306">
        <f t="shared" ca="1" si="131"/>
        <v>1</v>
      </c>
      <c r="H306">
        <f t="shared" si="115"/>
        <v>1</v>
      </c>
      <c r="I306" s="44">
        <f t="shared" ca="1" si="132"/>
        <v>49</v>
      </c>
      <c r="J306">
        <f t="shared" si="116"/>
        <v>1</v>
      </c>
      <c r="K306" s="36">
        <f t="shared" ca="1" si="117"/>
        <v>106.42857142857143</v>
      </c>
      <c r="L306" s="10">
        <f ca="1">AH306*VLOOKUP(C306,技能辅助查询表,技能配置辅助表!$T$1,FALSE)</f>
        <v>0</v>
      </c>
      <c r="M306">
        <f t="shared" ca="1" si="118"/>
        <v>5100</v>
      </c>
      <c r="N306" s="33">
        <f ca="1">CHOOSE(1,W306*U306,X306*'[1]0、经济设定'!$C$18)</f>
        <v>855724</v>
      </c>
      <c r="O306">
        <f t="shared" si="119"/>
        <v>3</v>
      </c>
      <c r="P306">
        <f t="shared" si="120"/>
        <v>3</v>
      </c>
      <c r="Q306">
        <f t="shared" si="121"/>
        <v>1</v>
      </c>
      <c r="R306" s="2">
        <f t="shared" si="122"/>
        <v>5</v>
      </c>
      <c r="S306" s="2">
        <f t="shared" si="123"/>
        <v>50</v>
      </c>
      <c r="T306" s="2">
        <f t="shared" si="124"/>
        <v>71.428571428571431</v>
      </c>
      <c r="U306" s="2">
        <f ca="1">VLOOKUP(E306,金币生产率!$A$2:$B$120,2,0)</f>
        <v>4154</v>
      </c>
      <c r="V306" s="2">
        <f t="shared" si="125"/>
        <v>214.28571428571428</v>
      </c>
      <c r="W306" s="45">
        <f t="shared" ca="1" si="138"/>
        <v>206</v>
      </c>
      <c r="X306" s="48">
        <f t="shared" ca="1" si="139"/>
        <v>3036</v>
      </c>
      <c r="Y306">
        <f t="shared" si="126"/>
        <v>18</v>
      </c>
      <c r="Z306">
        <f t="shared" ca="1" si="133"/>
        <v>83</v>
      </c>
      <c r="AA306" t="str">
        <f t="shared" ca="1" si="134"/>
        <v>9113100.png</v>
      </c>
      <c r="AB306">
        <f t="shared" si="127"/>
        <v>7</v>
      </c>
      <c r="AC306">
        <f>VLOOKUP(C306,技能辅助查询表,技能配置辅助表!$W$1,FALSE)</f>
        <v>22081</v>
      </c>
      <c r="AD306">
        <f t="shared" ca="1" si="135"/>
        <v>2926.4281151545192</v>
      </c>
      <c r="AE306">
        <f>VLOOKUP(C306,技能辅助查询表,技能配置辅助表!$U$1,FALSE)</f>
        <v>1</v>
      </c>
      <c r="AF306">
        <f t="shared" ca="1" si="136"/>
        <v>9113149</v>
      </c>
      <c r="AG306">
        <f t="shared" ca="1" si="140"/>
        <v>78.469387755102048</v>
      </c>
      <c r="AH306">
        <f t="shared" ca="1" si="137"/>
        <v>6672.6373961177951</v>
      </c>
      <c r="AI306">
        <f ca="1">VLOOKUP(E306,伤害参考系!$C$4:$E$104,3,FALSE)*$AN$12</f>
        <v>23115.220103678937</v>
      </c>
      <c r="AJ306">
        <f>VLOOKUP(C306,技能辅助查询表,技能配置辅助表!$L$1,FALSE)</f>
        <v>3</v>
      </c>
      <c r="AK306">
        <f>VLOOKUP(C306,技能辅助查询表,技能配置辅助表!$AE$1,FALSE)</f>
        <v>66000622</v>
      </c>
    </row>
    <row r="307" spans="1:37" x14ac:dyDescent="0.15">
      <c r="A307" s="1">
        <f t="shared" ca="1" si="128"/>
        <v>9113150</v>
      </c>
      <c r="B307" s="1" t="str">
        <f t="shared" ca="1" si="113"/>
        <v>光刃·斩</v>
      </c>
      <c r="C307" t="s">
        <v>155</v>
      </c>
      <c r="D307">
        <f t="shared" si="114"/>
        <v>1</v>
      </c>
      <c r="E307" s="42">
        <f t="shared" ca="1" si="129"/>
        <v>80</v>
      </c>
      <c r="F307" t="str">
        <f t="shared" ca="1" si="130"/>
        <v>第50级，共造成321.4%点伤害</v>
      </c>
      <c r="G307">
        <f t="shared" ca="1" si="131"/>
        <v>1</v>
      </c>
      <c r="H307">
        <f t="shared" si="115"/>
        <v>1</v>
      </c>
      <c r="I307" s="44">
        <f t="shared" ca="1" si="132"/>
        <v>50</v>
      </c>
      <c r="J307">
        <f t="shared" si="116"/>
        <v>1</v>
      </c>
      <c r="K307" s="36">
        <f t="shared" ca="1" si="117"/>
        <v>107.14285714285714</v>
      </c>
      <c r="L307" s="10">
        <f ca="1">AH307*VLOOKUP(C307,技能辅助查询表,技能配置辅助表!$T$1,FALSE)</f>
        <v>0</v>
      </c>
      <c r="M307">
        <f t="shared" ca="1" si="118"/>
        <v>5000</v>
      </c>
      <c r="N307" s="33">
        <f ca="1">CHOOSE(1,W307*U307,X307*'[1]0、经济设定'!$C$18)</f>
        <v>941902</v>
      </c>
      <c r="O307">
        <f t="shared" si="119"/>
        <v>3</v>
      </c>
      <c r="P307">
        <f t="shared" si="120"/>
        <v>3</v>
      </c>
      <c r="Q307">
        <f t="shared" si="121"/>
        <v>1</v>
      </c>
      <c r="R307" s="2">
        <f t="shared" si="122"/>
        <v>5</v>
      </c>
      <c r="S307" s="2">
        <f t="shared" si="123"/>
        <v>50</v>
      </c>
      <c r="T307" s="2">
        <f t="shared" si="124"/>
        <v>71.428571428571431</v>
      </c>
      <c r="U307" s="2">
        <f ca="1">VLOOKUP(E307,金币生产率!$A$2:$B$120,2,0)</f>
        <v>4262</v>
      </c>
      <c r="V307" s="2">
        <f t="shared" si="125"/>
        <v>214.28571428571428</v>
      </c>
      <c r="W307" s="45">
        <f t="shared" ca="1" si="138"/>
        <v>221</v>
      </c>
      <c r="X307" s="48">
        <f t="shared" ca="1" si="139"/>
        <v>3257</v>
      </c>
      <c r="Y307">
        <f t="shared" si="126"/>
        <v>18</v>
      </c>
      <c r="Z307">
        <f t="shared" ca="1" si="133"/>
        <v>89</v>
      </c>
      <c r="AA307" t="str">
        <f t="shared" ca="1" si="134"/>
        <v>9113100.png</v>
      </c>
      <c r="AB307">
        <f t="shared" si="127"/>
        <v>7</v>
      </c>
      <c r="AC307">
        <f>VLOOKUP(C307,技能辅助查询表,技能配置辅助表!$W$1,FALSE)</f>
        <v>22081</v>
      </c>
      <c r="AD307">
        <f t="shared" ca="1" si="135"/>
        <v>3364.2570658778059</v>
      </c>
      <c r="AE307">
        <f>VLOOKUP(C307,技能辅助查询表,技能配置辅助表!$U$1,FALSE)</f>
        <v>1</v>
      </c>
      <c r="AF307">
        <f t="shared" ca="1" si="136"/>
        <v>9113150</v>
      </c>
      <c r="AG307">
        <f t="shared" ca="1" si="140"/>
        <v>80</v>
      </c>
      <c r="AH307">
        <f t="shared" ca="1" si="137"/>
        <v>7596.7095035950451</v>
      </c>
      <c r="AI307">
        <f ca="1">VLOOKUP(E307,伤害参考系!$C$4:$E$104,3,FALSE)*$AN$12</f>
        <v>24028.87424749164</v>
      </c>
      <c r="AJ307">
        <f>VLOOKUP(C307,技能辅助查询表,技能配置辅助表!$L$1,FALSE)</f>
        <v>3</v>
      </c>
      <c r="AK307">
        <f>VLOOKUP(C307,技能辅助查询表,技能配置辅助表!$AE$1,FALSE)</f>
        <v>66000622</v>
      </c>
    </row>
    <row r="308" spans="1:37" x14ac:dyDescent="0.15">
      <c r="A308" s="1">
        <f t="shared" ca="1" si="128"/>
        <v>9124000</v>
      </c>
      <c r="B308" s="1" t="str">
        <f t="shared" ca="1" si="113"/>
        <v>裂空·斩</v>
      </c>
      <c r="C308" t="s">
        <v>156</v>
      </c>
      <c r="D308">
        <f t="shared" si="114"/>
        <v>1</v>
      </c>
      <c r="E308" s="42">
        <f t="shared" ca="1" si="129"/>
        <v>6</v>
      </c>
      <c r="F308" t="str">
        <f t="shared" ca="1" si="130"/>
        <v>第0级，共造成119%点伤害</v>
      </c>
      <c r="G308">
        <f t="shared" ca="1" si="131"/>
        <v>0</v>
      </c>
      <c r="H308">
        <f t="shared" si="115"/>
        <v>1</v>
      </c>
      <c r="I308" s="44">
        <f t="shared" ca="1" si="132"/>
        <v>0</v>
      </c>
      <c r="J308">
        <f t="shared" si="116"/>
        <v>2</v>
      </c>
      <c r="K308" s="36">
        <f t="shared" ca="1" si="117"/>
        <v>119.04761904761905</v>
      </c>
      <c r="L308" s="10">
        <f ca="1">AH308*VLOOKUP(C308,技能辅助查询表,技能配置辅助表!$T$1,FALSE)</f>
        <v>0</v>
      </c>
      <c r="M308">
        <f t="shared" ca="1" si="118"/>
        <v>8000</v>
      </c>
      <c r="N308" s="33">
        <f ca="1">CHOOSE(1,W308*U308,X308*'[1]0、经济设定'!$C$18)</f>
        <v>0</v>
      </c>
      <c r="O308">
        <f t="shared" si="119"/>
        <v>4</v>
      </c>
      <c r="P308">
        <f t="shared" si="120"/>
        <v>1</v>
      </c>
      <c r="Q308">
        <f t="shared" si="121"/>
        <v>1</v>
      </c>
      <c r="R308" s="2">
        <f t="shared" si="122"/>
        <v>6</v>
      </c>
      <c r="S308" s="2">
        <f t="shared" si="123"/>
        <v>50</v>
      </c>
      <c r="T308" s="2">
        <f t="shared" si="124"/>
        <v>119.04761904761905</v>
      </c>
      <c r="U308" s="2">
        <f ca="1">VLOOKUP(E308,金币生产率!$A$2:$B$120,2,0)</f>
        <v>80</v>
      </c>
      <c r="V308" s="2">
        <f t="shared" si="125"/>
        <v>119.04761904761905</v>
      </c>
      <c r="W308" s="45">
        <f t="shared" ca="1" si="138"/>
        <v>0</v>
      </c>
      <c r="X308" s="48">
        <f t="shared" ca="1" si="139"/>
        <v>0</v>
      </c>
      <c r="Y308">
        <f t="shared" si="126"/>
        <v>18</v>
      </c>
      <c r="Z308">
        <f t="shared" ca="1" si="133"/>
        <v>0</v>
      </c>
      <c r="AA308" t="str">
        <f t="shared" ca="1" si="134"/>
        <v>9124100.png</v>
      </c>
      <c r="AB308">
        <f t="shared" si="127"/>
        <v>20</v>
      </c>
      <c r="AC308">
        <f>VLOOKUP(C308,技能辅助查询表,技能配置辅助表!$W$1,FALSE)</f>
        <v>945</v>
      </c>
      <c r="AD308">
        <f t="shared" ca="1" si="135"/>
        <v>0.44166857142857163</v>
      </c>
      <c r="AE308">
        <f>VLOOKUP(C308,技能辅助查询表,技能配置辅助表!$U$1,FALSE)</f>
        <v>4</v>
      </c>
      <c r="AF308">
        <f t="shared" ca="1" si="136"/>
        <v>9124100</v>
      </c>
      <c r="AG308">
        <f t="shared" ca="1" si="140"/>
        <v>0</v>
      </c>
      <c r="AH308">
        <f t="shared" ca="1" si="137"/>
        <v>11.5938</v>
      </c>
      <c r="AI308">
        <f ca="1">VLOOKUP(E308,伤害参考系!$C$4:$E$104,3,FALSE)*$AN$12</f>
        <v>88.919999999999987</v>
      </c>
      <c r="AJ308">
        <f>VLOOKUP(C308,技能辅助查询表,技能配置辅助表!$L$1,FALSE)</f>
        <v>1</v>
      </c>
      <c r="AK308">
        <f>VLOOKUP(C308,技能辅助查询表,技能配置辅助表!$AE$1,FALSE)</f>
        <v>66000009</v>
      </c>
    </row>
    <row r="309" spans="1:37" x14ac:dyDescent="0.15">
      <c r="A309" s="1">
        <f t="shared" ca="1" si="128"/>
        <v>9124101</v>
      </c>
      <c r="B309" s="1" t="str">
        <f t="shared" ca="1" si="113"/>
        <v>裂空·斩第1段</v>
      </c>
      <c r="C309" t="s">
        <v>156</v>
      </c>
      <c r="D309">
        <f t="shared" si="114"/>
        <v>1</v>
      </c>
      <c r="E309" s="42">
        <f t="shared" ca="1" si="129"/>
        <v>6</v>
      </c>
      <c r="F309" t="str">
        <f t="shared" ca="1" si="130"/>
        <v>第1级，共造成119%点伤害</v>
      </c>
      <c r="G309">
        <f t="shared" ca="1" si="131"/>
        <v>1</v>
      </c>
      <c r="H309">
        <f t="shared" si="115"/>
        <v>1</v>
      </c>
      <c r="I309" s="44">
        <f t="shared" ca="1" si="132"/>
        <v>1</v>
      </c>
      <c r="J309">
        <f t="shared" si="116"/>
        <v>2</v>
      </c>
      <c r="K309" s="36">
        <f t="shared" ca="1" si="117"/>
        <v>119.04761904761905</v>
      </c>
      <c r="L309" s="10">
        <f ca="1">AH309*VLOOKUP(C309,技能辅助查询表,技能配置辅助表!$T$1,FALSE)</f>
        <v>0</v>
      </c>
      <c r="M309">
        <f t="shared" ca="1" si="118"/>
        <v>8000</v>
      </c>
      <c r="N309" s="33">
        <f ca="1">CHOOSE(1,W309*U309,X309*'[1]0、经济设定'!$C$18)</f>
        <v>320</v>
      </c>
      <c r="O309">
        <f t="shared" si="119"/>
        <v>4</v>
      </c>
      <c r="P309">
        <f t="shared" si="120"/>
        <v>1</v>
      </c>
      <c r="Q309">
        <f t="shared" si="121"/>
        <v>1</v>
      </c>
      <c r="R309" s="2">
        <f t="shared" si="122"/>
        <v>6</v>
      </c>
      <c r="S309" s="2">
        <f t="shared" si="123"/>
        <v>50</v>
      </c>
      <c r="T309" s="2">
        <f t="shared" si="124"/>
        <v>119.04761904761905</v>
      </c>
      <c r="U309" s="2">
        <f ca="1">VLOOKUP(E309,金币生产率!$A$2:$B$120,2,0)</f>
        <v>80</v>
      </c>
      <c r="V309" s="2">
        <f t="shared" si="125"/>
        <v>119.04761904761905</v>
      </c>
      <c r="W309" s="45">
        <f t="shared" ca="1" si="138"/>
        <v>4</v>
      </c>
      <c r="X309" s="48">
        <f t="shared" ca="1" si="139"/>
        <v>4</v>
      </c>
      <c r="Y309">
        <f t="shared" si="126"/>
        <v>18</v>
      </c>
      <c r="Z309">
        <f t="shared" ca="1" si="133"/>
        <v>0</v>
      </c>
      <c r="AA309" t="str">
        <f t="shared" ca="1" si="134"/>
        <v>9124100.png</v>
      </c>
      <c r="AB309">
        <f t="shared" si="127"/>
        <v>20</v>
      </c>
      <c r="AC309">
        <f>VLOOKUP(C309,技能辅助查询表,技能配置辅助表!$W$1,FALSE)</f>
        <v>945</v>
      </c>
      <c r="AD309">
        <f t="shared" ca="1" si="135"/>
        <v>0.50283383238579415</v>
      </c>
      <c r="AE309">
        <f>VLOOKUP(C309,技能辅助查询表,技能配置辅助表!$U$1,FALSE)</f>
        <v>4</v>
      </c>
      <c r="AF309">
        <f t="shared" ca="1" si="136"/>
        <v>9124101</v>
      </c>
      <c r="AG309">
        <f t="shared" ca="1" si="140"/>
        <v>6</v>
      </c>
      <c r="AH309">
        <f t="shared" ca="1" si="137"/>
        <v>13.199388100127095</v>
      </c>
      <c r="AI309">
        <f ca="1">VLOOKUP(E309,伤害参考系!$C$4:$E$104,3,FALSE)*$AN$12</f>
        <v>88.919999999999987</v>
      </c>
      <c r="AJ309">
        <f>VLOOKUP(C309,技能辅助查询表,技能配置辅助表!$L$1,FALSE)</f>
        <v>1</v>
      </c>
      <c r="AK309">
        <f>VLOOKUP(C309,技能辅助查询表,技能配置辅助表!$AE$1,FALSE)</f>
        <v>66000009</v>
      </c>
    </row>
    <row r="310" spans="1:37" x14ac:dyDescent="0.15">
      <c r="A310" s="1">
        <f t="shared" ca="1" si="128"/>
        <v>9124102</v>
      </c>
      <c r="B310" s="1" t="str">
        <f t="shared" ca="1" si="113"/>
        <v>裂空·斩第1段</v>
      </c>
      <c r="C310" t="s">
        <v>156</v>
      </c>
      <c r="D310">
        <f t="shared" si="114"/>
        <v>1</v>
      </c>
      <c r="E310" s="42">
        <f t="shared" ca="1" si="129"/>
        <v>9</v>
      </c>
      <c r="F310" t="str">
        <f t="shared" ca="1" si="130"/>
        <v>第2级，共造成121.4%点伤害</v>
      </c>
      <c r="G310">
        <f t="shared" ca="1" si="131"/>
        <v>1</v>
      </c>
      <c r="H310">
        <f t="shared" si="115"/>
        <v>1</v>
      </c>
      <c r="I310" s="44">
        <f t="shared" ca="1" si="132"/>
        <v>2</v>
      </c>
      <c r="J310">
        <f t="shared" si="116"/>
        <v>2</v>
      </c>
      <c r="K310" s="36">
        <f t="shared" ca="1" si="117"/>
        <v>121.42857142857143</v>
      </c>
      <c r="L310" s="10">
        <f ca="1">AH310*VLOOKUP(C310,技能辅助查询表,技能配置辅助表!$T$1,FALSE)</f>
        <v>0</v>
      </c>
      <c r="M310">
        <f t="shared" ca="1" si="118"/>
        <v>7840</v>
      </c>
      <c r="N310" s="33">
        <f ca="1">CHOOSE(1,W310*U310,X310*'[1]0、经济设定'!$C$18)</f>
        <v>392</v>
      </c>
      <c r="O310">
        <f t="shared" si="119"/>
        <v>4</v>
      </c>
      <c r="P310">
        <f t="shared" si="120"/>
        <v>1</v>
      </c>
      <c r="Q310">
        <f t="shared" si="121"/>
        <v>1</v>
      </c>
      <c r="R310" s="2">
        <f t="shared" si="122"/>
        <v>6</v>
      </c>
      <c r="S310" s="2">
        <f t="shared" si="123"/>
        <v>50</v>
      </c>
      <c r="T310" s="2">
        <f t="shared" si="124"/>
        <v>119.04761904761905</v>
      </c>
      <c r="U310" s="2">
        <f ca="1">VLOOKUP(E310,金币生产率!$A$2:$B$120,2,0)</f>
        <v>98</v>
      </c>
      <c r="V310" s="2">
        <f t="shared" si="125"/>
        <v>119.04761904761905</v>
      </c>
      <c r="W310" s="45">
        <f t="shared" ca="1" si="138"/>
        <v>4</v>
      </c>
      <c r="X310" s="48">
        <f t="shared" ca="1" si="139"/>
        <v>8</v>
      </c>
      <c r="Y310">
        <f t="shared" si="126"/>
        <v>18</v>
      </c>
      <c r="Z310">
        <f t="shared" ca="1" si="133"/>
        <v>0</v>
      </c>
      <c r="AA310" t="str">
        <f t="shared" ca="1" si="134"/>
        <v>9124100.png</v>
      </c>
      <c r="AB310">
        <f t="shared" si="127"/>
        <v>20</v>
      </c>
      <c r="AC310">
        <f>VLOOKUP(C310,技能辅助查询表,技能配置辅助表!$W$1,FALSE)</f>
        <v>945</v>
      </c>
      <c r="AD310">
        <f t="shared" ca="1" si="135"/>
        <v>0.64402838296987608</v>
      </c>
      <c r="AE310">
        <f>VLOOKUP(C310,技能辅助查询表,技能配置辅助表!$U$1,FALSE)</f>
        <v>4</v>
      </c>
      <c r="AF310">
        <f t="shared" ca="1" si="136"/>
        <v>9124102</v>
      </c>
      <c r="AG310">
        <f t="shared" ca="1" si="140"/>
        <v>7.5102040816326525</v>
      </c>
      <c r="AH310">
        <f t="shared" ca="1" si="137"/>
        <v>15.027328935963775</v>
      </c>
      <c r="AI310">
        <f ca="1">VLOOKUP(E310,伤害参考系!$C$4:$E$104,3,FALSE)*$AN$12</f>
        <v>145.4708152173913</v>
      </c>
      <c r="AJ310">
        <f>VLOOKUP(C310,技能辅助查询表,技能配置辅助表!$L$1,FALSE)</f>
        <v>1</v>
      </c>
      <c r="AK310">
        <f>VLOOKUP(C310,技能辅助查询表,技能配置辅助表!$AE$1,FALSE)</f>
        <v>66000009</v>
      </c>
    </row>
    <row r="311" spans="1:37" x14ac:dyDescent="0.15">
      <c r="A311" s="1">
        <f t="shared" ca="1" si="128"/>
        <v>9124103</v>
      </c>
      <c r="B311" s="1" t="str">
        <f t="shared" ca="1" si="113"/>
        <v>裂空·斩第1段</v>
      </c>
      <c r="C311" t="s">
        <v>156</v>
      </c>
      <c r="D311">
        <f t="shared" si="114"/>
        <v>1</v>
      </c>
      <c r="E311" s="42">
        <f t="shared" ca="1" si="129"/>
        <v>10</v>
      </c>
      <c r="F311" t="str">
        <f t="shared" ca="1" si="130"/>
        <v>第3级，共造成122.6%点伤害</v>
      </c>
      <c r="G311">
        <f t="shared" ca="1" si="131"/>
        <v>1</v>
      </c>
      <c r="H311">
        <f t="shared" si="115"/>
        <v>1</v>
      </c>
      <c r="I311" s="44">
        <f t="shared" ca="1" si="132"/>
        <v>3</v>
      </c>
      <c r="J311">
        <f t="shared" si="116"/>
        <v>2</v>
      </c>
      <c r="K311" s="36">
        <f t="shared" ca="1" si="117"/>
        <v>122.61904761904762</v>
      </c>
      <c r="L311" s="10">
        <f ca="1">AH311*VLOOKUP(C311,技能辅助查询表,技能配置辅助表!$T$1,FALSE)</f>
        <v>0</v>
      </c>
      <c r="M311">
        <f t="shared" ca="1" si="118"/>
        <v>7760</v>
      </c>
      <c r="N311" s="33">
        <f ca="1">CHOOSE(1,W311*U311,X311*'[1]0、经济设定'!$C$18)</f>
        <v>416</v>
      </c>
      <c r="O311">
        <f t="shared" si="119"/>
        <v>4</v>
      </c>
      <c r="P311">
        <f t="shared" si="120"/>
        <v>1</v>
      </c>
      <c r="Q311">
        <f t="shared" si="121"/>
        <v>1</v>
      </c>
      <c r="R311" s="2">
        <f t="shared" si="122"/>
        <v>6</v>
      </c>
      <c r="S311" s="2">
        <f t="shared" si="123"/>
        <v>50</v>
      </c>
      <c r="T311" s="2">
        <f t="shared" si="124"/>
        <v>119.04761904761905</v>
      </c>
      <c r="U311" s="2">
        <f ca="1">VLOOKUP(E311,金币生产率!$A$2:$B$120,2,0)</f>
        <v>104</v>
      </c>
      <c r="V311" s="2">
        <f t="shared" si="125"/>
        <v>119.04761904761905</v>
      </c>
      <c r="W311" s="45">
        <f t="shared" ca="1" si="138"/>
        <v>4</v>
      </c>
      <c r="X311" s="48">
        <f t="shared" ca="1" si="139"/>
        <v>12</v>
      </c>
      <c r="Y311">
        <f t="shared" si="126"/>
        <v>18</v>
      </c>
      <c r="Z311">
        <f t="shared" ca="1" si="133"/>
        <v>0</v>
      </c>
      <c r="AA311" t="str">
        <f t="shared" ca="1" si="134"/>
        <v>9124100.png</v>
      </c>
      <c r="AB311">
        <f t="shared" si="127"/>
        <v>20</v>
      </c>
      <c r="AC311">
        <f>VLOOKUP(C311,技能辅助查询表,技能配置辅助表!$W$1,FALSE)</f>
        <v>945</v>
      </c>
      <c r="AD311">
        <f t="shared" ca="1" si="135"/>
        <v>0.77395212628980237</v>
      </c>
      <c r="AE311">
        <f>VLOOKUP(C311,技能辅助查询表,技能配置辅助表!$U$1,FALSE)</f>
        <v>4</v>
      </c>
      <c r="AF311">
        <f t="shared" ca="1" si="136"/>
        <v>9124103</v>
      </c>
      <c r="AG311">
        <f t="shared" ca="1" si="140"/>
        <v>9.020408163265305</v>
      </c>
      <c r="AH311">
        <f t="shared" ca="1" si="137"/>
        <v>17.108415423248271</v>
      </c>
      <c r="AI311">
        <f ca="1">VLOOKUP(E311,伤害参考系!$C$4:$E$104,3,FALSE)*$AN$12</f>
        <v>177.55434782608697</v>
      </c>
      <c r="AJ311">
        <f>VLOOKUP(C311,技能辅助查询表,技能配置辅助表!$L$1,FALSE)</f>
        <v>1</v>
      </c>
      <c r="AK311">
        <f>VLOOKUP(C311,技能辅助查询表,技能配置辅助表!$AE$1,FALSE)</f>
        <v>66000009</v>
      </c>
    </row>
    <row r="312" spans="1:37" x14ac:dyDescent="0.15">
      <c r="A312" s="1">
        <f t="shared" ca="1" si="128"/>
        <v>9124104</v>
      </c>
      <c r="B312" s="1" t="str">
        <f t="shared" ca="1" si="113"/>
        <v>裂空·斩第1段</v>
      </c>
      <c r="C312" t="s">
        <v>156</v>
      </c>
      <c r="D312">
        <f t="shared" si="114"/>
        <v>1</v>
      </c>
      <c r="E312" s="42">
        <f t="shared" ca="1" si="129"/>
        <v>12</v>
      </c>
      <c r="F312" t="str">
        <f t="shared" ca="1" si="130"/>
        <v>第4级，共造成123.8%点伤害</v>
      </c>
      <c r="G312">
        <f t="shared" ca="1" si="131"/>
        <v>1</v>
      </c>
      <c r="H312">
        <f t="shared" si="115"/>
        <v>1</v>
      </c>
      <c r="I312" s="44">
        <f t="shared" ca="1" si="132"/>
        <v>4</v>
      </c>
      <c r="J312">
        <f t="shared" si="116"/>
        <v>2</v>
      </c>
      <c r="K312" s="36">
        <f t="shared" ca="1" si="117"/>
        <v>123.80952380952381</v>
      </c>
      <c r="L312" s="10">
        <f ca="1">AH312*VLOOKUP(C312,技能辅助查询表,技能配置辅助表!$T$1,FALSE)</f>
        <v>0</v>
      </c>
      <c r="M312">
        <f t="shared" ca="1" si="118"/>
        <v>7680</v>
      </c>
      <c r="N312" s="33">
        <f ca="1">CHOOSE(1,W312*U312,X312*'[1]0、经济设定'!$C$18)</f>
        <v>580</v>
      </c>
      <c r="O312">
        <f t="shared" si="119"/>
        <v>4</v>
      </c>
      <c r="P312">
        <f t="shared" si="120"/>
        <v>1</v>
      </c>
      <c r="Q312">
        <f t="shared" si="121"/>
        <v>1</v>
      </c>
      <c r="R312" s="2">
        <f t="shared" si="122"/>
        <v>6</v>
      </c>
      <c r="S312" s="2">
        <f t="shared" si="123"/>
        <v>50</v>
      </c>
      <c r="T312" s="2">
        <f t="shared" si="124"/>
        <v>119.04761904761905</v>
      </c>
      <c r="U312" s="2">
        <f ca="1">VLOOKUP(E312,金币生产率!$A$2:$B$120,2,0)</f>
        <v>116</v>
      </c>
      <c r="V312" s="2">
        <f t="shared" si="125"/>
        <v>119.04761904761905</v>
      </c>
      <c r="W312" s="45">
        <f t="shared" ca="1" si="138"/>
        <v>5</v>
      </c>
      <c r="X312" s="48">
        <f t="shared" ca="1" si="139"/>
        <v>17</v>
      </c>
      <c r="Y312">
        <f t="shared" si="126"/>
        <v>18</v>
      </c>
      <c r="Z312">
        <f t="shared" ca="1" si="133"/>
        <v>0</v>
      </c>
      <c r="AA312" t="str">
        <f t="shared" ca="1" si="134"/>
        <v>9124100.png</v>
      </c>
      <c r="AB312">
        <f t="shared" si="127"/>
        <v>20</v>
      </c>
      <c r="AC312">
        <f>VLOOKUP(C312,技能辅助查询表,技能配置辅助表!$W$1,FALSE)</f>
        <v>945</v>
      </c>
      <c r="AD312">
        <f t="shared" ca="1" si="135"/>
        <v>0.92750975665012236</v>
      </c>
      <c r="AE312">
        <f>VLOOKUP(C312,技能辅助查询表,技能配置辅助表!$U$1,FALSE)</f>
        <v>4</v>
      </c>
      <c r="AF312">
        <f t="shared" ca="1" si="136"/>
        <v>9124104</v>
      </c>
      <c r="AG312">
        <f t="shared" ca="1" si="140"/>
        <v>10.530612244897959</v>
      </c>
      <c r="AH312">
        <f t="shared" ca="1" si="137"/>
        <v>19.477704889652582</v>
      </c>
      <c r="AI312">
        <f ca="1">VLOOKUP(E312,伤害参考系!$C$4:$E$104,3,FALSE)*$AN$12</f>
        <v>249.04956521739126</v>
      </c>
      <c r="AJ312">
        <f>VLOOKUP(C312,技能辅助查询表,技能配置辅助表!$L$1,FALSE)</f>
        <v>1</v>
      </c>
      <c r="AK312">
        <f>VLOOKUP(C312,技能辅助查询表,技能配置辅助表!$AE$1,FALSE)</f>
        <v>66000009</v>
      </c>
    </row>
    <row r="313" spans="1:37" x14ac:dyDescent="0.15">
      <c r="A313" s="1">
        <f t="shared" ca="1" si="128"/>
        <v>9124105</v>
      </c>
      <c r="B313" s="1" t="str">
        <f t="shared" ca="1" si="113"/>
        <v>裂空·斩第1段</v>
      </c>
      <c r="C313" t="s">
        <v>156</v>
      </c>
      <c r="D313">
        <f t="shared" si="114"/>
        <v>1</v>
      </c>
      <c r="E313" s="42">
        <f t="shared" ca="1" si="129"/>
        <v>13</v>
      </c>
      <c r="F313" t="str">
        <f t="shared" ca="1" si="130"/>
        <v>第5级，共造成125%点伤害</v>
      </c>
      <c r="G313">
        <f t="shared" ca="1" si="131"/>
        <v>1</v>
      </c>
      <c r="H313">
        <f t="shared" si="115"/>
        <v>1</v>
      </c>
      <c r="I313" s="44">
        <f t="shared" ca="1" si="132"/>
        <v>5</v>
      </c>
      <c r="J313">
        <f t="shared" si="116"/>
        <v>2</v>
      </c>
      <c r="K313" s="36">
        <f t="shared" ca="1" si="117"/>
        <v>125</v>
      </c>
      <c r="L313" s="10">
        <f ca="1">AH313*VLOOKUP(C313,技能辅助查询表,技能配置辅助表!$T$1,FALSE)</f>
        <v>0</v>
      </c>
      <c r="M313">
        <f t="shared" ca="1" si="118"/>
        <v>7600</v>
      </c>
      <c r="N313" s="33">
        <f ca="1">CHOOSE(1,W313*U313,X313*'[1]0、经济设定'!$C$18)</f>
        <v>610</v>
      </c>
      <c r="O313">
        <f t="shared" si="119"/>
        <v>4</v>
      </c>
      <c r="P313">
        <f t="shared" si="120"/>
        <v>1</v>
      </c>
      <c r="Q313">
        <f t="shared" si="121"/>
        <v>1</v>
      </c>
      <c r="R313" s="2">
        <f t="shared" si="122"/>
        <v>6</v>
      </c>
      <c r="S313" s="2">
        <f t="shared" si="123"/>
        <v>50</v>
      </c>
      <c r="T313" s="2">
        <f t="shared" si="124"/>
        <v>119.04761904761905</v>
      </c>
      <c r="U313" s="2">
        <f ca="1">VLOOKUP(E313,金币生产率!$A$2:$B$120,2,0)</f>
        <v>122</v>
      </c>
      <c r="V313" s="2">
        <f t="shared" si="125"/>
        <v>119.04761904761905</v>
      </c>
      <c r="W313" s="45">
        <f t="shared" ca="1" si="138"/>
        <v>5</v>
      </c>
      <c r="X313" s="48">
        <f t="shared" ca="1" si="139"/>
        <v>22</v>
      </c>
      <c r="Y313">
        <f t="shared" si="126"/>
        <v>18</v>
      </c>
      <c r="Z313">
        <f t="shared" ca="1" si="133"/>
        <v>0</v>
      </c>
      <c r="AA313" t="str">
        <f t="shared" ca="1" si="134"/>
        <v>9124100.png</v>
      </c>
      <c r="AB313">
        <f t="shared" si="127"/>
        <v>20</v>
      </c>
      <c r="AC313">
        <f>VLOOKUP(C313,技能辅助查询表,技能配置辅助表!$W$1,FALSE)</f>
        <v>945</v>
      </c>
      <c r="AD313">
        <f t="shared" ca="1" si="135"/>
        <v>1.1087554819742784</v>
      </c>
      <c r="AE313">
        <f>VLOOKUP(C313,技能辅助查询表,技能配置辅助表!$U$1,FALSE)</f>
        <v>4</v>
      </c>
      <c r="AF313">
        <f t="shared" ca="1" si="136"/>
        <v>9124105</v>
      </c>
      <c r="AG313">
        <f t="shared" ca="1" si="140"/>
        <v>12.040816326530612</v>
      </c>
      <c r="AH313">
        <f t="shared" ca="1" si="137"/>
        <v>22.175109639485559</v>
      </c>
      <c r="AI313">
        <f ca="1">VLOOKUP(E313,伤害参考系!$C$4:$E$104,3,FALSE)*$AN$12</f>
        <v>288.46124999999995</v>
      </c>
      <c r="AJ313">
        <f>VLOOKUP(C313,技能辅助查询表,技能配置辅助表!$L$1,FALSE)</f>
        <v>1</v>
      </c>
      <c r="AK313">
        <f>VLOOKUP(C313,技能辅助查询表,技能配置辅助表!$AE$1,FALSE)</f>
        <v>66000009</v>
      </c>
    </row>
    <row r="314" spans="1:37" x14ac:dyDescent="0.15">
      <c r="A314" s="1">
        <f t="shared" ca="1" si="128"/>
        <v>9124106</v>
      </c>
      <c r="B314" s="1" t="str">
        <f t="shared" ca="1" si="113"/>
        <v>裂空·斩第1段</v>
      </c>
      <c r="C314" t="s">
        <v>156</v>
      </c>
      <c r="D314">
        <f t="shared" si="114"/>
        <v>1</v>
      </c>
      <c r="E314" s="42">
        <f t="shared" ca="1" si="129"/>
        <v>15</v>
      </c>
      <c r="F314" t="str">
        <f t="shared" ca="1" si="130"/>
        <v>第6级，共造成126.2%点伤害</v>
      </c>
      <c r="G314">
        <f t="shared" ca="1" si="131"/>
        <v>1</v>
      </c>
      <c r="H314">
        <f t="shared" si="115"/>
        <v>1</v>
      </c>
      <c r="I314" s="44">
        <f t="shared" ca="1" si="132"/>
        <v>6</v>
      </c>
      <c r="J314">
        <f t="shared" si="116"/>
        <v>2</v>
      </c>
      <c r="K314" s="36">
        <f t="shared" ca="1" si="117"/>
        <v>126.19047619047619</v>
      </c>
      <c r="L314" s="10">
        <f ca="1">AH314*VLOOKUP(C314,技能辅助查询表,技能配置辅助表!$T$1,FALSE)</f>
        <v>0</v>
      </c>
      <c r="M314">
        <f t="shared" ca="1" si="118"/>
        <v>7520</v>
      </c>
      <c r="N314" s="33">
        <f ca="1">CHOOSE(1,W314*U314,X314*'[1]0、经济设定'!$C$18)</f>
        <v>670</v>
      </c>
      <c r="O314">
        <f t="shared" si="119"/>
        <v>4</v>
      </c>
      <c r="P314">
        <f t="shared" si="120"/>
        <v>1</v>
      </c>
      <c r="Q314">
        <f t="shared" si="121"/>
        <v>1</v>
      </c>
      <c r="R314" s="2">
        <f t="shared" si="122"/>
        <v>6</v>
      </c>
      <c r="S314" s="2">
        <f t="shared" si="123"/>
        <v>50</v>
      </c>
      <c r="T314" s="2">
        <f t="shared" si="124"/>
        <v>119.04761904761905</v>
      </c>
      <c r="U314" s="2">
        <f ca="1">VLOOKUP(E314,金币生产率!$A$2:$B$120,2,0)</f>
        <v>134</v>
      </c>
      <c r="V314" s="2">
        <f t="shared" si="125"/>
        <v>119.04761904761905</v>
      </c>
      <c r="W314" s="45">
        <f t="shared" ca="1" si="138"/>
        <v>5</v>
      </c>
      <c r="X314" s="48">
        <f t="shared" ca="1" si="139"/>
        <v>27</v>
      </c>
      <c r="Y314">
        <f t="shared" si="126"/>
        <v>18</v>
      </c>
      <c r="Z314">
        <f t="shared" ca="1" si="133"/>
        <v>0</v>
      </c>
      <c r="AA314" t="str">
        <f t="shared" ca="1" si="134"/>
        <v>9124100.png</v>
      </c>
      <c r="AB314">
        <f t="shared" si="127"/>
        <v>20</v>
      </c>
      <c r="AC314">
        <f>VLOOKUP(C314,技能辅助查询表,技能配置辅助表!$W$1,FALSE)</f>
        <v>945</v>
      </c>
      <c r="AD314">
        <f t="shared" ca="1" si="135"/>
        <v>1.3224131540087647</v>
      </c>
      <c r="AE314">
        <f>VLOOKUP(C314,技能辅助查询表,技能配置辅助表!$U$1,FALSE)</f>
        <v>4</v>
      </c>
      <c r="AF314">
        <f t="shared" ca="1" si="136"/>
        <v>9124106</v>
      </c>
      <c r="AG314">
        <f t="shared" ca="1" si="140"/>
        <v>13.551020408163264</v>
      </c>
      <c r="AH314">
        <f t="shared" ca="1" si="137"/>
        <v>25.246069303803697</v>
      </c>
      <c r="AI314">
        <f ca="1">VLOOKUP(E314,伤害参考系!$C$4:$E$104,3,FALSE)*$AN$12</f>
        <v>374.61277173913044</v>
      </c>
      <c r="AJ314">
        <f>VLOOKUP(C314,技能辅助查询表,技能配置辅助表!$L$1,FALSE)</f>
        <v>1</v>
      </c>
      <c r="AK314">
        <f>VLOOKUP(C314,技能辅助查询表,技能配置辅助表!$AE$1,FALSE)</f>
        <v>66000009</v>
      </c>
    </row>
    <row r="315" spans="1:37" x14ac:dyDescent="0.15">
      <c r="A315" s="1">
        <f t="shared" ca="1" si="128"/>
        <v>9124107</v>
      </c>
      <c r="B315" s="1" t="str">
        <f t="shared" ca="1" si="113"/>
        <v>裂空·斩第1段</v>
      </c>
      <c r="C315" t="s">
        <v>156</v>
      </c>
      <c r="D315">
        <f t="shared" si="114"/>
        <v>1</v>
      </c>
      <c r="E315" s="42">
        <f t="shared" ca="1" si="129"/>
        <v>16</v>
      </c>
      <c r="F315" t="str">
        <f t="shared" ca="1" si="130"/>
        <v>第7级，共造成127.4%点伤害</v>
      </c>
      <c r="G315">
        <f t="shared" ca="1" si="131"/>
        <v>1</v>
      </c>
      <c r="H315">
        <f t="shared" si="115"/>
        <v>1</v>
      </c>
      <c r="I315" s="44">
        <f t="shared" ca="1" si="132"/>
        <v>7</v>
      </c>
      <c r="J315">
        <f t="shared" si="116"/>
        <v>2</v>
      </c>
      <c r="K315" s="36">
        <f t="shared" ca="1" si="117"/>
        <v>127.38095238095238</v>
      </c>
      <c r="L315" s="10">
        <f ca="1">AH315*VLOOKUP(C315,技能辅助查询表,技能配置辅助表!$T$1,FALSE)</f>
        <v>0</v>
      </c>
      <c r="M315">
        <f t="shared" ca="1" si="118"/>
        <v>7440</v>
      </c>
      <c r="N315" s="33">
        <f ca="1">CHOOSE(1,W315*U315,X315*'[1]0、经济设定'!$C$18)</f>
        <v>840</v>
      </c>
      <c r="O315">
        <f t="shared" si="119"/>
        <v>4</v>
      </c>
      <c r="P315">
        <f t="shared" si="120"/>
        <v>1</v>
      </c>
      <c r="Q315">
        <f t="shared" si="121"/>
        <v>1</v>
      </c>
      <c r="R315" s="2">
        <f t="shared" si="122"/>
        <v>6</v>
      </c>
      <c r="S315" s="2">
        <f t="shared" si="123"/>
        <v>50</v>
      </c>
      <c r="T315" s="2">
        <f t="shared" si="124"/>
        <v>119.04761904761905</v>
      </c>
      <c r="U315" s="2">
        <f ca="1">VLOOKUP(E315,金币生产率!$A$2:$B$120,2,0)</f>
        <v>140</v>
      </c>
      <c r="V315" s="2">
        <f t="shared" si="125"/>
        <v>119.04761904761905</v>
      </c>
      <c r="W315" s="45">
        <f t="shared" ca="1" si="138"/>
        <v>6</v>
      </c>
      <c r="X315" s="48">
        <f t="shared" ca="1" si="139"/>
        <v>33</v>
      </c>
      <c r="Y315">
        <f t="shared" si="126"/>
        <v>18</v>
      </c>
      <c r="Z315">
        <f t="shared" ca="1" si="133"/>
        <v>0</v>
      </c>
      <c r="AA315" t="str">
        <f t="shared" ca="1" si="134"/>
        <v>9124100.png</v>
      </c>
      <c r="AB315">
        <f t="shared" si="127"/>
        <v>20</v>
      </c>
      <c r="AC315">
        <f>VLOOKUP(C315,技能辅助查询表,技能配置辅助表!$W$1,FALSE)</f>
        <v>945</v>
      </c>
      <c r="AD315">
        <f t="shared" ca="1" si="135"/>
        <v>1.5739839879736715</v>
      </c>
      <c r="AE315">
        <f>VLOOKUP(C315,技能辅助查询表,技能配置辅助表!$U$1,FALSE)</f>
        <v>4</v>
      </c>
      <c r="AF315">
        <f t="shared" ca="1" si="136"/>
        <v>9124107</v>
      </c>
      <c r="AG315">
        <f t="shared" ca="1" si="140"/>
        <v>15.061224489795919</v>
      </c>
      <c r="AH315">
        <f t="shared" ca="1" si="137"/>
        <v>28.742316302127907</v>
      </c>
      <c r="AI315">
        <f ca="1">VLOOKUP(E315,伤害参考系!$C$4:$E$104,3,FALSE)*$AN$12</f>
        <v>421.35260869565224</v>
      </c>
      <c r="AJ315">
        <f>VLOOKUP(C315,技能辅助查询表,技能配置辅助表!$L$1,FALSE)</f>
        <v>1</v>
      </c>
      <c r="AK315">
        <f>VLOOKUP(C315,技能辅助查询表,技能配置辅助表!$AE$1,FALSE)</f>
        <v>66000009</v>
      </c>
    </row>
    <row r="316" spans="1:37" x14ac:dyDescent="0.15">
      <c r="A316" s="1">
        <f t="shared" ca="1" si="128"/>
        <v>9124108</v>
      </c>
      <c r="B316" s="1" t="str">
        <f t="shared" ca="1" si="113"/>
        <v>裂空·斩第1段</v>
      </c>
      <c r="C316" t="s">
        <v>156</v>
      </c>
      <c r="D316">
        <f t="shared" si="114"/>
        <v>1</v>
      </c>
      <c r="E316" s="42">
        <f t="shared" ca="1" si="129"/>
        <v>18</v>
      </c>
      <c r="F316" t="str">
        <f t="shared" ca="1" si="130"/>
        <v>第8级，共造成128.6%点伤害</v>
      </c>
      <c r="G316">
        <f t="shared" ca="1" si="131"/>
        <v>1</v>
      </c>
      <c r="H316">
        <f t="shared" si="115"/>
        <v>1</v>
      </c>
      <c r="I316" s="44">
        <f t="shared" ca="1" si="132"/>
        <v>8</v>
      </c>
      <c r="J316">
        <f t="shared" si="116"/>
        <v>2</v>
      </c>
      <c r="K316" s="36">
        <f t="shared" ca="1" si="117"/>
        <v>128.57142857142858</v>
      </c>
      <c r="L316" s="10">
        <f ca="1">AH316*VLOOKUP(C316,技能辅助查询表,技能配置辅助表!$T$1,FALSE)</f>
        <v>0</v>
      </c>
      <c r="M316">
        <f t="shared" ca="1" si="118"/>
        <v>7360</v>
      </c>
      <c r="N316" s="33">
        <f ca="1">CHOOSE(1,W316*U316,X316*'[1]0、经济设定'!$C$18)</f>
        <v>912</v>
      </c>
      <c r="O316">
        <f t="shared" si="119"/>
        <v>4</v>
      </c>
      <c r="P316">
        <f t="shared" si="120"/>
        <v>1</v>
      </c>
      <c r="Q316">
        <f t="shared" si="121"/>
        <v>1</v>
      </c>
      <c r="R316" s="2">
        <f t="shared" si="122"/>
        <v>6</v>
      </c>
      <c r="S316" s="2">
        <f t="shared" si="123"/>
        <v>50</v>
      </c>
      <c r="T316" s="2">
        <f t="shared" si="124"/>
        <v>119.04761904761905</v>
      </c>
      <c r="U316" s="2">
        <f ca="1">VLOOKUP(E316,金币生产率!$A$2:$B$120,2,0)</f>
        <v>152</v>
      </c>
      <c r="V316" s="2">
        <f t="shared" si="125"/>
        <v>119.04761904761905</v>
      </c>
      <c r="W316" s="45">
        <f t="shared" ca="1" si="138"/>
        <v>6</v>
      </c>
      <c r="X316" s="48">
        <f t="shared" ca="1" si="139"/>
        <v>39</v>
      </c>
      <c r="Y316">
        <f t="shared" si="126"/>
        <v>18</v>
      </c>
      <c r="Z316">
        <f t="shared" ca="1" si="133"/>
        <v>0</v>
      </c>
      <c r="AA316" t="str">
        <f t="shared" ca="1" si="134"/>
        <v>9124100.png</v>
      </c>
      <c r="AB316">
        <f t="shared" si="127"/>
        <v>20</v>
      </c>
      <c r="AC316">
        <f>VLOOKUP(C316,技能辅助查询表,技能配置辅助表!$W$1,FALSE)</f>
        <v>945</v>
      </c>
      <c r="AD316">
        <f t="shared" ca="1" si="135"/>
        <v>1.8698712748853268</v>
      </c>
      <c r="AE316">
        <f>VLOOKUP(C316,技能辅助查询表,技能配置辅助表!$U$1,FALSE)</f>
        <v>4</v>
      </c>
      <c r="AF316">
        <f t="shared" ca="1" si="136"/>
        <v>9124108</v>
      </c>
      <c r="AG316">
        <f t="shared" ca="1" si="140"/>
        <v>16.571428571428569</v>
      </c>
      <c r="AH316">
        <f t="shared" ca="1" si="137"/>
        <v>32.722747310493212</v>
      </c>
      <c r="AI316">
        <f ca="1">VLOOKUP(E316,伤害参考系!$C$4:$E$104,3,FALSE)*$AN$12</f>
        <v>522.16043478260883</v>
      </c>
      <c r="AJ316">
        <f>VLOOKUP(C316,技能辅助查询表,技能配置辅助表!$L$1,FALSE)</f>
        <v>1</v>
      </c>
      <c r="AK316">
        <f>VLOOKUP(C316,技能辅助查询表,技能配置辅助表!$AE$1,FALSE)</f>
        <v>66000009</v>
      </c>
    </row>
    <row r="317" spans="1:37" x14ac:dyDescent="0.15">
      <c r="A317" s="1">
        <f t="shared" ca="1" si="128"/>
        <v>9124109</v>
      </c>
      <c r="B317" s="1" t="str">
        <f t="shared" ca="1" si="113"/>
        <v>裂空·斩第1段</v>
      </c>
      <c r="C317" t="s">
        <v>156</v>
      </c>
      <c r="D317">
        <f t="shared" si="114"/>
        <v>1</v>
      </c>
      <c r="E317" s="42">
        <f t="shared" ca="1" si="129"/>
        <v>19</v>
      </c>
      <c r="F317" t="str">
        <f t="shared" ca="1" si="130"/>
        <v>第9级，共造成129.8%点伤害</v>
      </c>
      <c r="G317">
        <f t="shared" ca="1" si="131"/>
        <v>1</v>
      </c>
      <c r="H317">
        <f t="shared" si="115"/>
        <v>1</v>
      </c>
      <c r="I317" s="44">
        <f t="shared" ca="1" si="132"/>
        <v>9</v>
      </c>
      <c r="J317">
        <f t="shared" si="116"/>
        <v>2</v>
      </c>
      <c r="K317" s="36">
        <f t="shared" ca="1" si="117"/>
        <v>129.76190476190476</v>
      </c>
      <c r="L317" s="10">
        <f ca="1">AH317*VLOOKUP(C317,技能辅助查询表,技能配置辅助表!$T$1,FALSE)</f>
        <v>0</v>
      </c>
      <c r="M317">
        <f t="shared" ca="1" si="118"/>
        <v>7280</v>
      </c>
      <c r="N317" s="33">
        <f ca="1">CHOOSE(1,W317*U317,X317*'[1]0、经济设定'!$C$18)</f>
        <v>948</v>
      </c>
      <c r="O317">
        <f t="shared" si="119"/>
        <v>4</v>
      </c>
      <c r="P317">
        <f t="shared" si="120"/>
        <v>1</v>
      </c>
      <c r="Q317">
        <f t="shared" si="121"/>
        <v>1</v>
      </c>
      <c r="R317" s="2">
        <f t="shared" si="122"/>
        <v>6</v>
      </c>
      <c r="S317" s="2">
        <f t="shared" si="123"/>
        <v>50</v>
      </c>
      <c r="T317" s="2">
        <f t="shared" si="124"/>
        <v>119.04761904761905</v>
      </c>
      <c r="U317" s="2">
        <f ca="1">VLOOKUP(E317,金币生产率!$A$2:$B$120,2,0)</f>
        <v>158</v>
      </c>
      <c r="V317" s="2">
        <f t="shared" si="125"/>
        <v>119.04761904761905</v>
      </c>
      <c r="W317" s="45">
        <f t="shared" ca="1" si="138"/>
        <v>6</v>
      </c>
      <c r="X317" s="48">
        <f t="shared" ca="1" si="139"/>
        <v>45</v>
      </c>
      <c r="Y317">
        <f t="shared" si="126"/>
        <v>18</v>
      </c>
      <c r="Z317">
        <f t="shared" ca="1" si="133"/>
        <v>0</v>
      </c>
      <c r="AA317" t="str">
        <f t="shared" ca="1" si="134"/>
        <v>9124100.png</v>
      </c>
      <c r="AB317">
        <f t="shared" si="127"/>
        <v>20</v>
      </c>
      <c r="AC317">
        <f>VLOOKUP(C317,技能辅助查询表,技能配置辅助表!$W$1,FALSE)</f>
        <v>945</v>
      </c>
      <c r="AD317">
        <f t="shared" ca="1" si="135"/>
        <v>2.2175247271611824</v>
      </c>
      <c r="AE317">
        <f>VLOOKUP(C317,技能辅助查询表,技能配置辅助表!$U$1,FALSE)</f>
        <v>4</v>
      </c>
      <c r="AF317">
        <f t="shared" ca="1" si="136"/>
        <v>9124109</v>
      </c>
      <c r="AG317">
        <f t="shared" ca="1" si="140"/>
        <v>18.081632653061224</v>
      </c>
      <c r="AH317">
        <f t="shared" ca="1" si="137"/>
        <v>37.25441541630785</v>
      </c>
      <c r="AI317">
        <f ca="1">VLOOKUP(E317,伤害参考系!$C$4:$E$104,3,FALSE)*$AN$12</f>
        <v>576.22842391304346</v>
      </c>
      <c r="AJ317">
        <f>VLOOKUP(C317,技能辅助查询表,技能配置辅助表!$L$1,FALSE)</f>
        <v>1</v>
      </c>
      <c r="AK317">
        <f>VLOOKUP(C317,技能辅助查询表,技能配置辅助表!$AE$1,FALSE)</f>
        <v>66000009</v>
      </c>
    </row>
    <row r="318" spans="1:37" x14ac:dyDescent="0.15">
      <c r="A318" s="1">
        <f t="shared" ca="1" si="128"/>
        <v>9124110</v>
      </c>
      <c r="B318" s="1" t="str">
        <f t="shared" ca="1" si="113"/>
        <v>裂空·斩第1段</v>
      </c>
      <c r="C318" t="s">
        <v>156</v>
      </c>
      <c r="D318">
        <f t="shared" si="114"/>
        <v>1</v>
      </c>
      <c r="E318" s="42">
        <f t="shared" ca="1" si="129"/>
        <v>21</v>
      </c>
      <c r="F318" t="str">
        <f t="shared" ca="1" si="130"/>
        <v>第10级，共造成131%点伤害</v>
      </c>
      <c r="G318">
        <f t="shared" ca="1" si="131"/>
        <v>1</v>
      </c>
      <c r="H318">
        <f t="shared" si="115"/>
        <v>1</v>
      </c>
      <c r="I318" s="44">
        <f t="shared" ca="1" si="132"/>
        <v>10</v>
      </c>
      <c r="J318">
        <f t="shared" si="116"/>
        <v>2</v>
      </c>
      <c r="K318" s="36">
        <f t="shared" ca="1" si="117"/>
        <v>130.95238095238096</v>
      </c>
      <c r="L318" s="10">
        <f ca="1">AH318*VLOOKUP(C318,技能辅助查询表,技能配置辅助表!$T$1,FALSE)</f>
        <v>0</v>
      </c>
      <c r="M318">
        <f t="shared" ca="1" si="118"/>
        <v>7200</v>
      </c>
      <c r="N318" s="33">
        <f ca="1">CHOOSE(1,W318*U318,X318*'[1]0、经济设定'!$C$18)</f>
        <v>1470</v>
      </c>
      <c r="O318">
        <f t="shared" si="119"/>
        <v>4</v>
      </c>
      <c r="P318">
        <f t="shared" si="120"/>
        <v>1</v>
      </c>
      <c r="Q318">
        <f t="shared" si="121"/>
        <v>1</v>
      </c>
      <c r="R318" s="2">
        <f t="shared" si="122"/>
        <v>6</v>
      </c>
      <c r="S318" s="2">
        <f t="shared" si="123"/>
        <v>50</v>
      </c>
      <c r="T318" s="2">
        <f t="shared" si="124"/>
        <v>119.04761904761905</v>
      </c>
      <c r="U318" s="2">
        <f ca="1">VLOOKUP(E318,金币生产率!$A$2:$B$120,2,0)</f>
        <v>210</v>
      </c>
      <c r="V318" s="2">
        <f t="shared" si="125"/>
        <v>119.04761904761905</v>
      </c>
      <c r="W318" s="45">
        <f t="shared" ca="1" si="138"/>
        <v>7</v>
      </c>
      <c r="X318" s="48">
        <f t="shared" ca="1" si="139"/>
        <v>52</v>
      </c>
      <c r="Y318">
        <f t="shared" si="126"/>
        <v>18</v>
      </c>
      <c r="Z318">
        <f t="shared" ca="1" si="133"/>
        <v>0</v>
      </c>
      <c r="AA318" t="str">
        <f t="shared" ca="1" si="134"/>
        <v>9124100.png</v>
      </c>
      <c r="AB318">
        <f t="shared" si="127"/>
        <v>20</v>
      </c>
      <c r="AC318">
        <f>VLOOKUP(C318,技能辅助查询表,技能配置辅助表!$W$1,FALSE)</f>
        <v>945</v>
      </c>
      <c r="AD318">
        <f t="shared" ca="1" si="135"/>
        <v>2.6256075036007216</v>
      </c>
      <c r="AE318">
        <f>VLOOKUP(C318,技能辅助查询表,技能配置辅助表!$U$1,FALSE)</f>
        <v>4</v>
      </c>
      <c r="AF318">
        <f t="shared" ca="1" si="136"/>
        <v>9124110</v>
      </c>
      <c r="AG318">
        <f t="shared" ca="1" si="140"/>
        <v>19.591836734693878</v>
      </c>
      <c r="AH318">
        <f t="shared" ca="1" si="137"/>
        <v>42.413659673550121</v>
      </c>
      <c r="AI318">
        <f ca="1">VLOOKUP(E318,伤害参考系!$C$4:$E$104,3,FALSE)*$AN$12</f>
        <v>691.69255434782622</v>
      </c>
      <c r="AJ318">
        <f>VLOOKUP(C318,技能辅助查询表,技能配置辅助表!$L$1,FALSE)</f>
        <v>1</v>
      </c>
      <c r="AK318">
        <f>VLOOKUP(C318,技能辅助查询表,技能配置辅助表!$AE$1,FALSE)</f>
        <v>66000009</v>
      </c>
    </row>
    <row r="319" spans="1:37" x14ac:dyDescent="0.15">
      <c r="A319" s="1">
        <f t="shared" ca="1" si="128"/>
        <v>9124111</v>
      </c>
      <c r="B319" s="1" t="str">
        <f t="shared" ca="1" si="113"/>
        <v>裂空·斩第1段</v>
      </c>
      <c r="C319" t="s">
        <v>156</v>
      </c>
      <c r="D319">
        <f t="shared" si="114"/>
        <v>1</v>
      </c>
      <c r="E319" s="42">
        <f t="shared" ca="1" si="129"/>
        <v>22</v>
      </c>
      <c r="F319" t="str">
        <f t="shared" ca="1" si="130"/>
        <v>第11级，共造成132.1%点伤害</v>
      </c>
      <c r="G319">
        <f t="shared" ca="1" si="131"/>
        <v>1</v>
      </c>
      <c r="H319">
        <f t="shared" si="115"/>
        <v>1</v>
      </c>
      <c r="I319" s="44">
        <f t="shared" ca="1" si="132"/>
        <v>11</v>
      </c>
      <c r="J319">
        <f t="shared" si="116"/>
        <v>2</v>
      </c>
      <c r="K319" s="36">
        <f t="shared" ca="1" si="117"/>
        <v>132.14285714285714</v>
      </c>
      <c r="L319" s="10">
        <f ca="1">AH319*VLOOKUP(C319,技能辅助查询表,技能配置辅助表!$T$1,FALSE)</f>
        <v>0</v>
      </c>
      <c r="M319">
        <f t="shared" ca="1" si="118"/>
        <v>7120</v>
      </c>
      <c r="N319" s="33">
        <f ca="1">CHOOSE(1,W319*U319,X319*'[1]0、经济设定'!$C$18)</f>
        <v>1912</v>
      </c>
      <c r="O319">
        <f t="shared" si="119"/>
        <v>4</v>
      </c>
      <c r="P319">
        <f t="shared" si="120"/>
        <v>1</v>
      </c>
      <c r="Q319">
        <f t="shared" si="121"/>
        <v>1</v>
      </c>
      <c r="R319" s="2">
        <f t="shared" si="122"/>
        <v>6</v>
      </c>
      <c r="S319" s="2">
        <f t="shared" si="123"/>
        <v>50</v>
      </c>
      <c r="T319" s="2">
        <f t="shared" si="124"/>
        <v>119.04761904761905</v>
      </c>
      <c r="U319" s="2">
        <f ca="1">VLOOKUP(E319,金币生产率!$A$2:$B$120,2,0)</f>
        <v>239</v>
      </c>
      <c r="V319" s="2">
        <f t="shared" si="125"/>
        <v>119.04761904761905</v>
      </c>
      <c r="W319" s="45">
        <f t="shared" ca="1" si="138"/>
        <v>8</v>
      </c>
      <c r="X319" s="48">
        <f t="shared" ca="1" si="139"/>
        <v>60</v>
      </c>
      <c r="Y319">
        <f t="shared" si="126"/>
        <v>18</v>
      </c>
      <c r="Z319">
        <f t="shared" ca="1" si="133"/>
        <v>0</v>
      </c>
      <c r="AA319" t="str">
        <f t="shared" ca="1" si="134"/>
        <v>9124100.png</v>
      </c>
      <c r="AB319">
        <f t="shared" si="127"/>
        <v>20</v>
      </c>
      <c r="AC319">
        <f>VLOOKUP(C319,技能辅助查询表,技能配置辅助表!$W$1,FALSE)</f>
        <v>945</v>
      </c>
      <c r="AD319">
        <f t="shared" ca="1" si="135"/>
        <v>3.1041894269850387</v>
      </c>
      <c r="AE319">
        <f>VLOOKUP(C319,技能辅助查询表,技能配置辅助表!$U$1,FALSE)</f>
        <v>4</v>
      </c>
      <c r="AF319">
        <f t="shared" ca="1" si="136"/>
        <v>9124111</v>
      </c>
      <c r="AG319">
        <f t="shared" ca="1" si="140"/>
        <v>21.102040816326529</v>
      </c>
      <c r="AH319">
        <f t="shared" ca="1" si="137"/>
        <v>48.287391086433935</v>
      </c>
      <c r="AI319">
        <f ca="1">VLOOKUP(E319,伤害参考系!$C$4:$E$104,3,FALSE)*$AN$12</f>
        <v>753.08869565217401</v>
      </c>
      <c r="AJ319">
        <f>VLOOKUP(C319,技能辅助查询表,技能配置辅助表!$L$1,FALSE)</f>
        <v>1</v>
      </c>
      <c r="AK319">
        <f>VLOOKUP(C319,技能辅助查询表,技能配置辅助表!$AE$1,FALSE)</f>
        <v>66000009</v>
      </c>
    </row>
    <row r="320" spans="1:37" x14ac:dyDescent="0.15">
      <c r="A320" s="1">
        <f t="shared" ca="1" si="128"/>
        <v>9124112</v>
      </c>
      <c r="B320" s="1" t="str">
        <f t="shared" ca="1" si="113"/>
        <v>裂空·斩第1段</v>
      </c>
      <c r="C320" t="s">
        <v>156</v>
      </c>
      <c r="D320">
        <f t="shared" si="114"/>
        <v>1</v>
      </c>
      <c r="E320" s="42">
        <f t="shared" ca="1" si="129"/>
        <v>24</v>
      </c>
      <c r="F320" t="str">
        <f t="shared" ca="1" si="130"/>
        <v>第12级，共造成133.3%点伤害</v>
      </c>
      <c r="G320">
        <f t="shared" ca="1" si="131"/>
        <v>1</v>
      </c>
      <c r="H320">
        <f t="shared" si="115"/>
        <v>1</v>
      </c>
      <c r="I320" s="44">
        <f t="shared" ca="1" si="132"/>
        <v>12</v>
      </c>
      <c r="J320">
        <f t="shared" si="116"/>
        <v>2</v>
      </c>
      <c r="K320" s="36">
        <f t="shared" ca="1" si="117"/>
        <v>133.33333333333334</v>
      </c>
      <c r="L320" s="10">
        <f ca="1">AH320*VLOOKUP(C320,技能辅助查询表,技能配置辅助表!$T$1,FALSE)</f>
        <v>0</v>
      </c>
      <c r="M320">
        <f t="shared" ca="1" si="118"/>
        <v>7040</v>
      </c>
      <c r="N320" s="33">
        <f ca="1">CHOOSE(1,W320*U320,X320*'[1]0、经济设定'!$C$18)</f>
        <v>2416</v>
      </c>
      <c r="O320">
        <f t="shared" si="119"/>
        <v>4</v>
      </c>
      <c r="P320">
        <f t="shared" si="120"/>
        <v>1</v>
      </c>
      <c r="Q320">
        <f t="shared" si="121"/>
        <v>1</v>
      </c>
      <c r="R320" s="2">
        <f t="shared" si="122"/>
        <v>6</v>
      </c>
      <c r="S320" s="2">
        <f t="shared" si="123"/>
        <v>50</v>
      </c>
      <c r="T320" s="2">
        <f t="shared" si="124"/>
        <v>119.04761904761905</v>
      </c>
      <c r="U320" s="2">
        <f ca="1">VLOOKUP(E320,金币生产率!$A$2:$B$120,2,0)</f>
        <v>302</v>
      </c>
      <c r="V320" s="2">
        <f t="shared" si="125"/>
        <v>119.04761904761905</v>
      </c>
      <c r="W320" s="45">
        <f t="shared" ca="1" si="138"/>
        <v>8</v>
      </c>
      <c r="X320" s="48">
        <f t="shared" ca="1" si="139"/>
        <v>68</v>
      </c>
      <c r="Y320">
        <f t="shared" si="126"/>
        <v>18</v>
      </c>
      <c r="Z320">
        <f t="shared" ca="1" si="133"/>
        <v>0</v>
      </c>
      <c r="AA320" t="str">
        <f t="shared" ca="1" si="134"/>
        <v>9124100.png</v>
      </c>
      <c r="AB320">
        <f t="shared" si="127"/>
        <v>20</v>
      </c>
      <c r="AC320">
        <f>VLOOKUP(C320,技能辅助查询表,技能配置辅助表!$W$1,FALSE)</f>
        <v>945</v>
      </c>
      <c r="AD320">
        <f t="shared" ca="1" si="135"/>
        <v>3.6649704456546304</v>
      </c>
      <c r="AE320">
        <f>VLOOKUP(C320,技能辅助查询表,技能配置辅助表!$U$1,FALSE)</f>
        <v>4</v>
      </c>
      <c r="AF320">
        <f t="shared" ca="1" si="136"/>
        <v>9124112</v>
      </c>
      <c r="AG320">
        <f t="shared" ca="1" si="140"/>
        <v>22.612244897959183</v>
      </c>
      <c r="AH320">
        <f t="shared" ca="1" si="137"/>
        <v>54.974556684819426</v>
      </c>
      <c r="AI320">
        <f ca="1">VLOOKUP(E320,伤害参考系!$C$4:$E$104,3,FALSE)*$AN$12</f>
        <v>914.59374581939801</v>
      </c>
      <c r="AJ320">
        <f>VLOOKUP(C320,技能辅助查询表,技能配置辅助表!$L$1,FALSE)</f>
        <v>1</v>
      </c>
      <c r="AK320">
        <f>VLOOKUP(C320,技能辅助查询表,技能配置辅助表!$AE$1,FALSE)</f>
        <v>66000009</v>
      </c>
    </row>
    <row r="321" spans="1:37" x14ac:dyDescent="0.15">
      <c r="A321" s="1">
        <f t="shared" ca="1" si="128"/>
        <v>9124113</v>
      </c>
      <c r="B321" s="1" t="str">
        <f t="shared" ca="1" si="113"/>
        <v>裂空·斩第1段</v>
      </c>
      <c r="C321" t="s">
        <v>156</v>
      </c>
      <c r="D321">
        <f t="shared" si="114"/>
        <v>1</v>
      </c>
      <c r="E321" s="42">
        <f t="shared" ca="1" si="129"/>
        <v>25</v>
      </c>
      <c r="F321" t="str">
        <f t="shared" ca="1" si="130"/>
        <v>第13级，共造成134.5%点伤害</v>
      </c>
      <c r="G321">
        <f t="shared" ca="1" si="131"/>
        <v>1</v>
      </c>
      <c r="H321">
        <f t="shared" si="115"/>
        <v>1</v>
      </c>
      <c r="I321" s="44">
        <f t="shared" ca="1" si="132"/>
        <v>13</v>
      </c>
      <c r="J321">
        <f t="shared" si="116"/>
        <v>2</v>
      </c>
      <c r="K321" s="36">
        <f t="shared" ca="1" si="117"/>
        <v>134.52380952380952</v>
      </c>
      <c r="L321" s="10">
        <f ca="1">AH321*VLOOKUP(C321,技能辅助查询表,技能配置辅助表!$T$1,FALSE)</f>
        <v>0</v>
      </c>
      <c r="M321">
        <f t="shared" ca="1" si="118"/>
        <v>6960</v>
      </c>
      <c r="N321" s="33">
        <f ca="1">CHOOSE(1,W321*U321,X321*'[1]0、经济设定'!$C$18)</f>
        <v>3015</v>
      </c>
      <c r="O321">
        <f t="shared" si="119"/>
        <v>4</v>
      </c>
      <c r="P321">
        <f t="shared" si="120"/>
        <v>1</v>
      </c>
      <c r="Q321">
        <f t="shared" si="121"/>
        <v>1</v>
      </c>
      <c r="R321" s="2">
        <f t="shared" si="122"/>
        <v>6</v>
      </c>
      <c r="S321" s="2">
        <f t="shared" si="123"/>
        <v>50</v>
      </c>
      <c r="T321" s="2">
        <f t="shared" si="124"/>
        <v>119.04761904761905</v>
      </c>
      <c r="U321" s="2">
        <f ca="1">VLOOKUP(E321,金币生产率!$A$2:$B$120,2,0)</f>
        <v>335</v>
      </c>
      <c r="V321" s="2">
        <f t="shared" si="125"/>
        <v>119.04761904761905</v>
      </c>
      <c r="W321" s="45">
        <f t="shared" ca="1" si="138"/>
        <v>9</v>
      </c>
      <c r="X321" s="48">
        <f t="shared" ca="1" si="139"/>
        <v>77</v>
      </c>
      <c r="Y321">
        <f t="shared" si="126"/>
        <v>18</v>
      </c>
      <c r="Z321">
        <f t="shared" ca="1" si="133"/>
        <v>0</v>
      </c>
      <c r="AA321" t="str">
        <f t="shared" ca="1" si="134"/>
        <v>9124100.png</v>
      </c>
      <c r="AB321">
        <f t="shared" si="127"/>
        <v>20</v>
      </c>
      <c r="AC321">
        <f>VLOOKUP(C321,技能辅助查询表,技能配置辅助表!$W$1,FALSE)</f>
        <v>945</v>
      </c>
      <c r="AD321">
        <f t="shared" ca="1" si="135"/>
        <v>4.3215390102069478</v>
      </c>
      <c r="AE321">
        <f>VLOOKUP(C321,技能辅助查询表,技能配置辅助表!$U$1,FALSE)</f>
        <v>4</v>
      </c>
      <c r="AF321">
        <f t="shared" ca="1" si="136"/>
        <v>9124113</v>
      </c>
      <c r="AG321">
        <f t="shared" ca="1" si="140"/>
        <v>24.122448979591837</v>
      </c>
      <c r="AH321">
        <f t="shared" ca="1" si="137"/>
        <v>62.587806354721323</v>
      </c>
      <c r="AI321">
        <f ca="1">VLOOKUP(E321,伤害参考系!$C$4:$E$104,3,FALSE)*$AN$12</f>
        <v>1000.3949623745822</v>
      </c>
      <c r="AJ321">
        <f>VLOOKUP(C321,技能辅助查询表,技能配置辅助表!$L$1,FALSE)</f>
        <v>1</v>
      </c>
      <c r="AK321">
        <f>VLOOKUP(C321,技能辅助查询表,技能配置辅助表!$AE$1,FALSE)</f>
        <v>66000009</v>
      </c>
    </row>
    <row r="322" spans="1:37" x14ac:dyDescent="0.15">
      <c r="A322" s="1">
        <f t="shared" ca="1" si="128"/>
        <v>9124114</v>
      </c>
      <c r="B322" s="1" t="str">
        <f t="shared" ref="B322:B385" ca="1" si="141">IF(AND(G322=0,AE322=4),LEFT(C322,LEN(C322)-3),C322)</f>
        <v>裂空·斩第1段</v>
      </c>
      <c r="C322" t="s">
        <v>156</v>
      </c>
      <c r="D322">
        <f t="shared" ref="D322:D385" si="142">VLOOKUP(C322,技能辅助查询表,3,FALSE)</f>
        <v>1</v>
      </c>
      <c r="E322" s="42">
        <f t="shared" ca="1" si="129"/>
        <v>27</v>
      </c>
      <c r="F322" t="str">
        <f t="shared" ca="1" si="130"/>
        <v>第14级，共造成135.7%点伤害</v>
      </c>
      <c r="G322">
        <f t="shared" ca="1" si="131"/>
        <v>1</v>
      </c>
      <c r="H322">
        <f t="shared" ref="H322:H385" si="143">VLOOKUP(C322,技能辅助查询表,2,FALSE)</f>
        <v>1</v>
      </c>
      <c r="I322" s="44">
        <f t="shared" ca="1" si="132"/>
        <v>14</v>
      </c>
      <c r="J322">
        <f t="shared" ref="J322:J385" si="144">VLOOKUP(C322,技能辅助查询表,4,FALSE)</f>
        <v>2</v>
      </c>
      <c r="K322" s="36">
        <f t="shared" ref="K322:K385" ca="1" si="145">IF(OR(I322=0,I322=1),T322,T322+T322*($AN$6-1)/S322*I322)</f>
        <v>135.71428571428572</v>
      </c>
      <c r="L322" s="10">
        <f ca="1">AH322*VLOOKUP(C322,技能辅助查询表,技能配置辅助表!$T$1,FALSE)</f>
        <v>0</v>
      </c>
      <c r="M322">
        <f t="shared" ref="M322:M385" ca="1" si="146">IF(OR(I322=0,I322=1),VLOOKUP(C322,技能辅助查询表,14,FALSE),VLOOKUP(C322,技能辅助查询表,14,FALSE)-VLOOKUP(C322,技能辅助查询表,14,FALSE)*0.5/S322*I322)</f>
        <v>6880</v>
      </c>
      <c r="N322" s="33">
        <f ca="1">CHOOSE(1,W322*U322,X322*'[1]0、经济设定'!$C$18)</f>
        <v>3654</v>
      </c>
      <c r="O322">
        <f t="shared" ref="O322:O385" si="147">VLOOKUP(C322,技能辅助查询表,5,FALSE)</f>
        <v>4</v>
      </c>
      <c r="P322">
        <f t="shared" ref="P322:P385" si="148">VLOOKUP(C322,技能辅助查询表,6,FALSE)</f>
        <v>1</v>
      </c>
      <c r="Q322">
        <f t="shared" ref="Q322:Q385" si="149">VLOOKUP(C322,技能辅助查询表,7,FALSE)</f>
        <v>1</v>
      </c>
      <c r="R322" s="2">
        <f t="shared" ref="R322:R385" si="150">VLOOKUP(C322,技能辅助查询表,9,FALSE)</f>
        <v>6</v>
      </c>
      <c r="S322" s="2">
        <f t="shared" ref="S322:S385" si="151">VLOOKUP(C322,技能辅助查询表,8,FALSE)</f>
        <v>50</v>
      </c>
      <c r="T322" s="2">
        <f t="shared" ref="T322:T385" si="152">VLOOKUP(C322,技能辅助查询表,11,FALSE)</f>
        <v>119.04761904761905</v>
      </c>
      <c r="U322" s="2">
        <f ca="1">VLOOKUP(E322,金币生产率!$A$2:$B$120,2,0)</f>
        <v>406</v>
      </c>
      <c r="V322" s="2">
        <f t="shared" ref="V322:V385" si="153">VLOOKUP(C322,技能辅助查询表,12,FALSE)</f>
        <v>119.04761904761905</v>
      </c>
      <c r="W322" s="45">
        <f t="shared" ca="1" si="138"/>
        <v>9</v>
      </c>
      <c r="X322" s="48">
        <f t="shared" ca="1" si="139"/>
        <v>86</v>
      </c>
      <c r="Y322">
        <f t="shared" ref="Y322:Y385" si="154">VLOOKUP(C322,技能辅助查询表,15,FALSE)</f>
        <v>18</v>
      </c>
      <c r="Z322">
        <f t="shared" ca="1" si="133"/>
        <v>0</v>
      </c>
      <c r="AA322" t="str">
        <f t="shared" ca="1" si="134"/>
        <v>9124100.png</v>
      </c>
      <c r="AB322">
        <f t="shared" ref="AB322:AB385" si="155">VLOOKUP(C322,技能辅助查询表,17,FALSE)</f>
        <v>20</v>
      </c>
      <c r="AC322">
        <f>VLOOKUP(C322,技能辅助查询表,技能配置辅助表!$W$1,FALSE)</f>
        <v>945</v>
      </c>
      <c r="AD322">
        <f t="shared" ca="1" si="135"/>
        <v>5.0896707502012646</v>
      </c>
      <c r="AE322">
        <f>VLOOKUP(C322,技能辅助查询表,技能配置辅助表!$U$1,FALSE)</f>
        <v>4</v>
      </c>
      <c r="AF322">
        <f t="shared" ca="1" si="136"/>
        <v>9124114</v>
      </c>
      <c r="AG322">
        <f t="shared" ca="1" si="140"/>
        <v>25.632653061224488</v>
      </c>
      <c r="AH322">
        <f t="shared" ca="1" si="137"/>
        <v>71.25539050281769</v>
      </c>
      <c r="AI322">
        <f ca="1">VLOOKUP(E322,伤害参考系!$C$4:$E$104,3,FALSE)*$AN$12</f>
        <v>1210.5107784280938</v>
      </c>
      <c r="AJ322">
        <f>VLOOKUP(C322,技能辅助查询表,技能配置辅助表!$L$1,FALSE)</f>
        <v>1</v>
      </c>
      <c r="AK322">
        <f>VLOOKUP(C322,技能辅助查询表,技能配置辅助表!$AE$1,FALSE)</f>
        <v>66000009</v>
      </c>
    </row>
    <row r="323" spans="1:37" x14ac:dyDescent="0.15">
      <c r="A323" s="1">
        <f t="shared" ref="A323:A386" ca="1" si="156">IF(I323=0,IF(H323=1,VALUE("9"&amp;D323&amp;J323&amp;O323&amp;G323&amp;IF(I323&gt;9,I323,"0"&amp;I323)),1),VALUE("9"&amp;D323&amp;J323&amp;O323&amp;G323&amp;IF(I323&gt;9,I323,"0"&amp;I323)))</f>
        <v>9124115</v>
      </c>
      <c r="B323" s="1" t="str">
        <f t="shared" ca="1" si="141"/>
        <v>裂空·斩第1段</v>
      </c>
      <c r="C323" t="s">
        <v>156</v>
      </c>
      <c r="D323">
        <f t="shared" si="142"/>
        <v>1</v>
      </c>
      <c r="E323" s="42">
        <f t="shared" ref="E323:E386" ca="1" si="157">IF(I323=0,E324,IF(AND(I323=1,G323&gt;1),OFFSET(E323,(1-G323)*51,0),IF(OR(I323=1,AND(I323=2,R323=2)),R323,IF(I323=0,0,ROUND(I323*(80-R323)/S323,0)+R323))))</f>
        <v>28</v>
      </c>
      <c r="F323" t="str">
        <f t="shared" ref="F323:F386" ca="1" si="158">"第"&amp;I323&amp;"级，共造成"&amp;ROUND(AJ323*K323,1)&amp;"%点伤害"</f>
        <v>第15级，共造成136.9%点伤害</v>
      </c>
      <c r="G323">
        <f t="shared" ref="G323:G386" ca="1" si="159">IF(I323=0,0,H323)</f>
        <v>1</v>
      </c>
      <c r="H323">
        <f t="shared" si="143"/>
        <v>1</v>
      </c>
      <c r="I323" s="44">
        <f t="shared" ref="I323:I386" ca="1" si="160">IF(OFFSET(C323,-1,0)=C323,I322+1,0)</f>
        <v>15</v>
      </c>
      <c r="J323">
        <f t="shared" si="144"/>
        <v>2</v>
      </c>
      <c r="K323" s="36">
        <f t="shared" ca="1" si="145"/>
        <v>136.9047619047619</v>
      </c>
      <c r="L323" s="10">
        <f ca="1">AH323*VLOOKUP(C323,技能辅助查询表,技能配置辅助表!$T$1,FALSE)</f>
        <v>0</v>
      </c>
      <c r="M323">
        <f t="shared" ca="1" si="146"/>
        <v>6800</v>
      </c>
      <c r="N323" s="33">
        <f ca="1">CHOOSE(1,W323*U323,X323*'[1]0、经济设定'!$C$18)</f>
        <v>4430</v>
      </c>
      <c r="O323">
        <f t="shared" si="147"/>
        <v>4</v>
      </c>
      <c r="P323">
        <f t="shared" si="148"/>
        <v>1</v>
      </c>
      <c r="Q323">
        <f t="shared" si="149"/>
        <v>1</v>
      </c>
      <c r="R323" s="2">
        <f t="shared" si="150"/>
        <v>6</v>
      </c>
      <c r="S323" s="2">
        <f t="shared" si="151"/>
        <v>50</v>
      </c>
      <c r="T323" s="2">
        <f t="shared" si="152"/>
        <v>119.04761904761905</v>
      </c>
      <c r="U323" s="2">
        <f ca="1">VLOOKUP(E323,金币生产率!$A$2:$B$120,2,0)</f>
        <v>443</v>
      </c>
      <c r="V323" s="2">
        <f t="shared" si="153"/>
        <v>119.04761904761905</v>
      </c>
      <c r="W323" s="45">
        <f t="shared" ca="1" si="138"/>
        <v>10</v>
      </c>
      <c r="X323" s="48">
        <f t="shared" ca="1" si="139"/>
        <v>96</v>
      </c>
      <c r="Y323">
        <f t="shared" si="154"/>
        <v>18</v>
      </c>
      <c r="Z323">
        <f t="shared" ref="Z323:Z386" ca="1" si="161">IF(I323&gt;=Y323,ROUNDUP(W323/$AN$15,0),0)</f>
        <v>0</v>
      </c>
      <c r="AA323" t="str">
        <f t="shared" ref="AA323:AA386" ca="1" si="162">AF323-MOD(AF323,100)&amp;".png"</f>
        <v>9124100.png</v>
      </c>
      <c r="AB323">
        <f t="shared" si="155"/>
        <v>20</v>
      </c>
      <c r="AC323">
        <f>VLOOKUP(C323,技能辅助查询表,技能配置辅助表!$W$1,FALSE)</f>
        <v>945</v>
      </c>
      <c r="AD323">
        <f t="shared" ref="AD323:AD386" ca="1" si="163">((AH323*K323/100+L323)*AJ323-AH323)/5</f>
        <v>5.9876736576069876</v>
      </c>
      <c r="AE323">
        <f>VLOOKUP(C323,技能辅助查询表,技能配置辅助表!$U$1,FALSE)</f>
        <v>4</v>
      </c>
      <c r="AF323">
        <f t="shared" ref="AF323:AF386" ca="1" si="164">VALUE("9"&amp;D323&amp;J323&amp;O323&amp;H323&amp;IF(I323&gt;9,I323,"0"&amp;I323))</f>
        <v>9124115</v>
      </c>
      <c r="AG323">
        <f t="shared" ca="1" si="140"/>
        <v>27.142857142857142</v>
      </c>
      <c r="AH323">
        <f t="shared" ref="AH323:AH386" ca="1" si="165">(19.323*EXP(I323*0.1297))*$AN$12</f>
        <v>81.123320522417259</v>
      </c>
      <c r="AI323">
        <f ca="1">VLOOKUP(E323,伤害参考系!$C$4:$E$104,3,FALSE)*$AN$12</f>
        <v>1321.7693779264216</v>
      </c>
      <c r="AJ323">
        <f>VLOOKUP(C323,技能辅助查询表,技能配置辅助表!$L$1,FALSE)</f>
        <v>1</v>
      </c>
      <c r="AK323">
        <f>VLOOKUP(C323,技能辅助查询表,技能配置辅助表!$AE$1,FALSE)</f>
        <v>66000009</v>
      </c>
    </row>
    <row r="324" spans="1:37" x14ac:dyDescent="0.15">
      <c r="A324" s="1">
        <f t="shared" ca="1" si="156"/>
        <v>9124116</v>
      </c>
      <c r="B324" s="1" t="str">
        <f t="shared" ca="1" si="141"/>
        <v>裂空·斩第1段</v>
      </c>
      <c r="C324" t="s">
        <v>156</v>
      </c>
      <c r="D324">
        <f t="shared" si="142"/>
        <v>1</v>
      </c>
      <c r="E324" s="42">
        <f t="shared" ca="1" si="157"/>
        <v>30</v>
      </c>
      <c r="F324" t="str">
        <f t="shared" ca="1" si="158"/>
        <v>第16级，共造成138.1%点伤害</v>
      </c>
      <c r="G324">
        <f t="shared" ca="1" si="159"/>
        <v>1</v>
      </c>
      <c r="H324">
        <f t="shared" si="143"/>
        <v>1</v>
      </c>
      <c r="I324" s="44">
        <f t="shared" ca="1" si="160"/>
        <v>16</v>
      </c>
      <c r="J324">
        <f t="shared" si="144"/>
        <v>2</v>
      </c>
      <c r="K324" s="36">
        <f t="shared" ca="1" si="145"/>
        <v>138.0952380952381</v>
      </c>
      <c r="L324" s="10">
        <f ca="1">AH324*VLOOKUP(C324,技能辅助查询表,技能配置辅助表!$T$1,FALSE)</f>
        <v>0</v>
      </c>
      <c r="M324">
        <f t="shared" ca="1" si="146"/>
        <v>6720</v>
      </c>
      <c r="N324" s="33">
        <f ca="1">CHOOSE(1,W324*U324,X324*'[1]0、经济设定'!$C$18)</f>
        <v>5742</v>
      </c>
      <c r="O324">
        <f t="shared" si="147"/>
        <v>4</v>
      </c>
      <c r="P324">
        <f t="shared" si="148"/>
        <v>1</v>
      </c>
      <c r="Q324">
        <f t="shared" si="149"/>
        <v>1</v>
      </c>
      <c r="R324" s="2">
        <f t="shared" si="150"/>
        <v>6</v>
      </c>
      <c r="S324" s="2">
        <f t="shared" si="151"/>
        <v>50</v>
      </c>
      <c r="T324" s="2">
        <f t="shared" si="152"/>
        <v>119.04761904761905</v>
      </c>
      <c r="U324" s="2">
        <f ca="1">VLOOKUP(E324,金币生产率!$A$2:$B$120,2,0)</f>
        <v>522</v>
      </c>
      <c r="V324" s="2">
        <f t="shared" si="153"/>
        <v>119.04761904761905</v>
      </c>
      <c r="W324" s="45">
        <f t="shared" ref="W324:W387" ca="1" si="166">ROUND((IF(I324=0,0,ROUND(OFFSET(AD324,S324-I324+510*(1-D324),0)*(1-$AN$13)/(1-$AN$13^S324)*$AN$13^(I324-1),0))+IF(I324=0,0,ROUND(OFFSET(AD324,S324-I324+510*(2-D324),0)*(1-$AN$13)/(1-$AN$13^S324)*$AN$13^(I324-1),0))+IF(I324=0,0,ROUND(OFFSET(AD324,S324-I324+510*(3-D324),0)*(1-$AN$13)/(1-$AN$13^S324)*$AN$13^(I324-1),0)))/3,0)</f>
        <v>11</v>
      </c>
      <c r="X324" s="48">
        <f t="shared" ref="X324:X387" ca="1" si="167">IF(I324=0,0,X323+W324)</f>
        <v>107</v>
      </c>
      <c r="Y324">
        <f t="shared" si="154"/>
        <v>18</v>
      </c>
      <c r="Z324">
        <f t="shared" ca="1" si="161"/>
        <v>0</v>
      </c>
      <c r="AA324" t="str">
        <f t="shared" ca="1" si="162"/>
        <v>9124100.png</v>
      </c>
      <c r="AB324">
        <f t="shared" si="155"/>
        <v>20</v>
      </c>
      <c r="AC324">
        <f>VLOOKUP(C324,技能辅助查询表,技能配置辅助表!$W$1,FALSE)</f>
        <v>945</v>
      </c>
      <c r="AD324">
        <f t="shared" ca="1" si="163"/>
        <v>7.0367869299363806</v>
      </c>
      <c r="AE324">
        <f>VLOOKUP(C324,技能辅助查询表,技能配置辅助表!$U$1,FALSE)</f>
        <v>4</v>
      </c>
      <c r="AF324">
        <f t="shared" ca="1" si="164"/>
        <v>9124116</v>
      </c>
      <c r="AG324">
        <f t="shared" ca="1" si="140"/>
        <v>28.653061224489797</v>
      </c>
      <c r="AH324">
        <f t="shared" ca="1" si="165"/>
        <v>92.357828455414989</v>
      </c>
      <c r="AI324">
        <f ca="1">VLOOKUP(E324,伤害参考系!$C$4:$E$104,3,FALSE)*$AN$12</f>
        <v>1576.1465593645489</v>
      </c>
      <c r="AJ324">
        <f>VLOOKUP(C324,技能辅助查询表,技能配置辅助表!$L$1,FALSE)</f>
        <v>1</v>
      </c>
      <c r="AK324">
        <f>VLOOKUP(C324,技能辅助查询表,技能配置辅助表!$AE$1,FALSE)</f>
        <v>66000009</v>
      </c>
    </row>
    <row r="325" spans="1:37" x14ac:dyDescent="0.15">
      <c r="A325" s="1">
        <f t="shared" ca="1" si="156"/>
        <v>9124117</v>
      </c>
      <c r="B325" s="1" t="str">
        <f t="shared" ca="1" si="141"/>
        <v>裂空·斩第1段</v>
      </c>
      <c r="C325" t="s">
        <v>156</v>
      </c>
      <c r="D325">
        <f t="shared" si="142"/>
        <v>1</v>
      </c>
      <c r="E325" s="42">
        <f t="shared" ca="1" si="157"/>
        <v>31</v>
      </c>
      <c r="F325" t="str">
        <f t="shared" ca="1" si="158"/>
        <v>第17级，共造成139.3%点伤害</v>
      </c>
      <c r="G325">
        <f t="shared" ca="1" si="159"/>
        <v>1</v>
      </c>
      <c r="H325">
        <f t="shared" si="143"/>
        <v>1</v>
      </c>
      <c r="I325" s="44">
        <f t="shared" ca="1" si="160"/>
        <v>17</v>
      </c>
      <c r="J325">
        <f t="shared" si="144"/>
        <v>2</v>
      </c>
      <c r="K325" s="36">
        <f t="shared" ca="1" si="145"/>
        <v>139.28571428571428</v>
      </c>
      <c r="L325" s="10">
        <f ca="1">AH325*VLOOKUP(C325,技能辅助查询表,技能配置辅助表!$T$1,FALSE)</f>
        <v>0</v>
      </c>
      <c r="M325">
        <f t="shared" ca="1" si="146"/>
        <v>6640</v>
      </c>
      <c r="N325" s="33">
        <f ca="1">CHOOSE(1,W325*U325,X325*'[1]0、经济设定'!$C$18)</f>
        <v>6756</v>
      </c>
      <c r="O325">
        <f t="shared" si="147"/>
        <v>4</v>
      </c>
      <c r="P325">
        <f t="shared" si="148"/>
        <v>1</v>
      </c>
      <c r="Q325">
        <f t="shared" si="149"/>
        <v>1</v>
      </c>
      <c r="R325" s="2">
        <f t="shared" si="150"/>
        <v>6</v>
      </c>
      <c r="S325" s="2">
        <f t="shared" si="151"/>
        <v>50</v>
      </c>
      <c r="T325" s="2">
        <f t="shared" si="152"/>
        <v>119.04761904761905</v>
      </c>
      <c r="U325" s="2">
        <f ca="1">VLOOKUP(E325,金币生产率!$A$2:$B$120,2,0)</f>
        <v>563</v>
      </c>
      <c r="V325" s="2">
        <f t="shared" si="153"/>
        <v>119.04761904761905</v>
      </c>
      <c r="W325" s="45">
        <f t="shared" ca="1" si="166"/>
        <v>12</v>
      </c>
      <c r="X325" s="48">
        <f t="shared" ca="1" si="167"/>
        <v>119</v>
      </c>
      <c r="Y325">
        <f t="shared" si="154"/>
        <v>18</v>
      </c>
      <c r="Z325">
        <f t="shared" ca="1" si="161"/>
        <v>0</v>
      </c>
      <c r="AA325" t="str">
        <f t="shared" ca="1" si="162"/>
        <v>9124100.png</v>
      </c>
      <c r="AB325">
        <f t="shared" si="155"/>
        <v>20</v>
      </c>
      <c r="AC325">
        <f>VLOOKUP(C325,技能辅助查询表,技能配置辅助表!$W$1,FALSE)</f>
        <v>945</v>
      </c>
      <c r="AD325">
        <f t="shared" ca="1" si="163"/>
        <v>8.2616417152442487</v>
      </c>
      <c r="AE325">
        <f>VLOOKUP(C325,技能辅助查询表,技能配置辅助表!$U$1,FALSE)</f>
        <v>4</v>
      </c>
      <c r="AF325">
        <f t="shared" ca="1" si="164"/>
        <v>9124117</v>
      </c>
      <c r="AG325">
        <f t="shared" ref="AG325:AG388" ca="1" si="168">IF(I325=1,R325,IF(I325=0,0,(I325-1)*(80-R325)/(S325-1)+R325))</f>
        <v>30.163265306122447</v>
      </c>
      <c r="AH325">
        <f t="shared" ca="1" si="165"/>
        <v>105.14816728492683</v>
      </c>
      <c r="AI325">
        <f ca="1">VLOOKUP(E325,伤害参考系!$C$4:$E$104,3,FALSE)*$AN$12</f>
        <v>1721.3320384615388</v>
      </c>
      <c r="AJ325">
        <f>VLOOKUP(C325,技能辅助查询表,技能配置辅助表!$L$1,FALSE)</f>
        <v>1</v>
      </c>
      <c r="AK325">
        <f>VLOOKUP(C325,技能辅助查询表,技能配置辅助表!$AE$1,FALSE)</f>
        <v>66000009</v>
      </c>
    </row>
    <row r="326" spans="1:37" x14ac:dyDescent="0.15">
      <c r="A326" s="1">
        <f t="shared" ca="1" si="156"/>
        <v>9124118</v>
      </c>
      <c r="B326" s="1" t="str">
        <f t="shared" ca="1" si="141"/>
        <v>裂空·斩第1段</v>
      </c>
      <c r="C326" t="s">
        <v>156</v>
      </c>
      <c r="D326">
        <f t="shared" si="142"/>
        <v>1</v>
      </c>
      <c r="E326" s="42">
        <f t="shared" ca="1" si="157"/>
        <v>33</v>
      </c>
      <c r="F326" t="str">
        <f t="shared" ca="1" si="158"/>
        <v>第18级，共造成140.5%点伤害</v>
      </c>
      <c r="G326">
        <f t="shared" ca="1" si="159"/>
        <v>1</v>
      </c>
      <c r="H326">
        <f t="shared" si="143"/>
        <v>1</v>
      </c>
      <c r="I326" s="44">
        <f t="shared" ca="1" si="160"/>
        <v>18</v>
      </c>
      <c r="J326">
        <f t="shared" si="144"/>
        <v>2</v>
      </c>
      <c r="K326" s="36">
        <f t="shared" ca="1" si="145"/>
        <v>140.47619047619048</v>
      </c>
      <c r="L326" s="10">
        <f ca="1">AH326*VLOOKUP(C326,技能辅助查询表,技能配置辅助表!$T$1,FALSE)</f>
        <v>0</v>
      </c>
      <c r="M326">
        <f t="shared" ca="1" si="146"/>
        <v>6560</v>
      </c>
      <c r="N326" s="33">
        <f ca="1">CHOOSE(1,W326*U326,X326*'[1]0、经济设定'!$C$18)</f>
        <v>7812</v>
      </c>
      <c r="O326">
        <f t="shared" si="147"/>
        <v>4</v>
      </c>
      <c r="P326">
        <f t="shared" si="148"/>
        <v>1</v>
      </c>
      <c r="Q326">
        <f t="shared" si="149"/>
        <v>1</v>
      </c>
      <c r="R326" s="2">
        <f t="shared" si="150"/>
        <v>6</v>
      </c>
      <c r="S326" s="2">
        <f t="shared" si="151"/>
        <v>50</v>
      </c>
      <c r="T326" s="2">
        <f t="shared" si="152"/>
        <v>119.04761904761905</v>
      </c>
      <c r="U326" s="2">
        <f ca="1">VLOOKUP(E326,金币生产率!$A$2:$B$120,2,0)</f>
        <v>651</v>
      </c>
      <c r="V326" s="2">
        <f t="shared" si="153"/>
        <v>119.04761904761905</v>
      </c>
      <c r="W326" s="45">
        <f t="shared" ca="1" si="166"/>
        <v>12</v>
      </c>
      <c r="X326" s="48">
        <f t="shared" ca="1" si="167"/>
        <v>131</v>
      </c>
      <c r="Y326">
        <f t="shared" si="154"/>
        <v>18</v>
      </c>
      <c r="Z326">
        <f t="shared" ca="1" si="161"/>
        <v>5</v>
      </c>
      <c r="AA326" t="str">
        <f t="shared" ca="1" si="162"/>
        <v>9124100.png</v>
      </c>
      <c r="AB326">
        <f t="shared" si="155"/>
        <v>20</v>
      </c>
      <c r="AC326">
        <f>VLOOKUP(C326,技能辅助查询表,技能配置辅助表!$W$1,FALSE)</f>
        <v>945</v>
      </c>
      <c r="AD326">
        <f t="shared" ca="1" si="163"/>
        <v>9.6907932549269837</v>
      </c>
      <c r="AE326">
        <f>VLOOKUP(C326,技能辅助查询表,技能配置辅助表!$U$1,FALSE)</f>
        <v>4</v>
      </c>
      <c r="AF326">
        <f t="shared" ca="1" si="164"/>
        <v>9124118</v>
      </c>
      <c r="AG326">
        <f t="shared" ca="1" si="168"/>
        <v>31.673469387755102</v>
      </c>
      <c r="AH326">
        <f t="shared" ca="1" si="165"/>
        <v>119.70979903145096</v>
      </c>
      <c r="AI326">
        <f ca="1">VLOOKUP(E326,伤害参考系!$C$4:$E$104,3,FALSE)*$AN$12</f>
        <v>2031.7137667224088</v>
      </c>
      <c r="AJ326">
        <f>VLOOKUP(C326,技能辅助查询表,技能配置辅助表!$L$1,FALSE)</f>
        <v>1</v>
      </c>
      <c r="AK326">
        <f>VLOOKUP(C326,技能辅助查询表,技能配置辅助表!$AE$1,FALSE)</f>
        <v>66000009</v>
      </c>
    </row>
    <row r="327" spans="1:37" x14ac:dyDescent="0.15">
      <c r="A327" s="1">
        <f t="shared" ca="1" si="156"/>
        <v>9124119</v>
      </c>
      <c r="B327" s="1" t="str">
        <f t="shared" ca="1" si="141"/>
        <v>裂空·斩第1段</v>
      </c>
      <c r="C327" t="s">
        <v>156</v>
      </c>
      <c r="D327">
        <f t="shared" si="142"/>
        <v>1</v>
      </c>
      <c r="E327" s="42">
        <f t="shared" ca="1" si="157"/>
        <v>34</v>
      </c>
      <c r="F327" t="str">
        <f t="shared" ca="1" si="158"/>
        <v>第19级，共造成141.7%点伤害</v>
      </c>
      <c r="G327">
        <f t="shared" ca="1" si="159"/>
        <v>1</v>
      </c>
      <c r="H327">
        <f t="shared" si="143"/>
        <v>1</v>
      </c>
      <c r="I327" s="44">
        <f t="shared" ca="1" si="160"/>
        <v>19</v>
      </c>
      <c r="J327">
        <f t="shared" si="144"/>
        <v>2</v>
      </c>
      <c r="K327" s="36">
        <f t="shared" ca="1" si="145"/>
        <v>141.66666666666669</v>
      </c>
      <c r="L327" s="39">
        <f ca="1">AH327*VLOOKUP(C327,技能辅助查询表,技能配置辅助表!$T$1,FALSE)</f>
        <v>0</v>
      </c>
      <c r="M327">
        <f t="shared" ca="1" si="146"/>
        <v>6480</v>
      </c>
      <c r="N327" s="33">
        <f ca="1">CHOOSE(1,W327*U327,X327*'[1]0、经济设定'!$C$18)</f>
        <v>9048</v>
      </c>
      <c r="O327">
        <f t="shared" si="147"/>
        <v>4</v>
      </c>
      <c r="P327">
        <f t="shared" si="148"/>
        <v>1</v>
      </c>
      <c r="Q327">
        <f t="shared" si="149"/>
        <v>1</v>
      </c>
      <c r="R327" s="2">
        <f t="shared" si="150"/>
        <v>6</v>
      </c>
      <c r="S327" s="2">
        <f t="shared" si="151"/>
        <v>50</v>
      </c>
      <c r="T327" s="2">
        <f t="shared" si="152"/>
        <v>119.04761904761905</v>
      </c>
      <c r="U327" s="2">
        <f ca="1">VLOOKUP(E327,金币生产率!$A$2:$B$120,2,0)</f>
        <v>696</v>
      </c>
      <c r="V327" s="2">
        <f t="shared" si="153"/>
        <v>119.04761904761905</v>
      </c>
      <c r="W327" s="45">
        <f t="shared" ca="1" si="166"/>
        <v>13</v>
      </c>
      <c r="X327" s="48">
        <f t="shared" ca="1" si="167"/>
        <v>144</v>
      </c>
      <c r="Y327">
        <f t="shared" si="154"/>
        <v>18</v>
      </c>
      <c r="Z327">
        <f t="shared" ca="1" si="161"/>
        <v>6</v>
      </c>
      <c r="AA327" t="str">
        <f t="shared" ca="1" si="162"/>
        <v>9124100.png</v>
      </c>
      <c r="AB327">
        <f t="shared" si="155"/>
        <v>20</v>
      </c>
      <c r="AC327">
        <f>VLOOKUP(C327,技能辅助查询表,技能配置辅助表!$W$1,FALSE)</f>
        <v>945</v>
      </c>
      <c r="AD327">
        <f t="shared" ca="1" si="163"/>
        <v>11.357335363185069</v>
      </c>
      <c r="AE327">
        <f>VLOOKUP(C327,技能辅助查询表,技能配置辅助表!$U$1,FALSE)</f>
        <v>4</v>
      </c>
      <c r="AF327">
        <f t="shared" ca="1" si="164"/>
        <v>9124119</v>
      </c>
      <c r="AG327">
        <f t="shared" ca="1" si="168"/>
        <v>33.183673469387756</v>
      </c>
      <c r="AH327">
        <f t="shared" ca="1" si="165"/>
        <v>136.28802435822078</v>
      </c>
      <c r="AI327">
        <f ca="1">VLOOKUP(E327,伤害参考系!$C$4:$E$104,3,FALSE)*$AN$12</f>
        <v>2196.2761028428095</v>
      </c>
      <c r="AJ327">
        <f>VLOOKUP(C327,技能辅助查询表,技能配置辅助表!$L$1,FALSE)</f>
        <v>1</v>
      </c>
      <c r="AK327">
        <f>VLOOKUP(C327,技能辅助查询表,技能配置辅助表!$AE$1,FALSE)</f>
        <v>66000009</v>
      </c>
    </row>
    <row r="328" spans="1:37" x14ac:dyDescent="0.15">
      <c r="A328" s="1">
        <f t="shared" ca="1" si="156"/>
        <v>9124120</v>
      </c>
      <c r="B328" s="1" t="str">
        <f t="shared" ca="1" si="141"/>
        <v>裂空·斩第1段</v>
      </c>
      <c r="C328" t="s">
        <v>156</v>
      </c>
      <c r="D328">
        <f t="shared" si="142"/>
        <v>1</v>
      </c>
      <c r="E328" s="42">
        <f t="shared" ca="1" si="157"/>
        <v>36</v>
      </c>
      <c r="F328" t="str">
        <f t="shared" ca="1" si="158"/>
        <v>第20级，共造成142.9%点伤害</v>
      </c>
      <c r="G328">
        <f t="shared" ca="1" si="159"/>
        <v>1</v>
      </c>
      <c r="H328">
        <f t="shared" si="143"/>
        <v>1</v>
      </c>
      <c r="I328" s="44">
        <f t="shared" ca="1" si="160"/>
        <v>20</v>
      </c>
      <c r="J328">
        <f t="shared" si="144"/>
        <v>2</v>
      </c>
      <c r="K328" s="36">
        <f t="shared" ca="1" si="145"/>
        <v>142.85714285714286</v>
      </c>
      <c r="L328" s="10">
        <f ca="1">AH328*VLOOKUP(C328,技能辅助查询表,技能配置辅助表!$T$1,FALSE)</f>
        <v>0</v>
      </c>
      <c r="M328">
        <f t="shared" ca="1" si="146"/>
        <v>6400</v>
      </c>
      <c r="N328" s="33">
        <f ca="1">CHOOSE(1,W328*U328,X328*'[1]0、经济设定'!$C$18)</f>
        <v>11074</v>
      </c>
      <c r="O328">
        <f t="shared" si="147"/>
        <v>4</v>
      </c>
      <c r="P328">
        <f t="shared" si="148"/>
        <v>1</v>
      </c>
      <c r="Q328">
        <f t="shared" si="149"/>
        <v>1</v>
      </c>
      <c r="R328" s="2">
        <f t="shared" si="150"/>
        <v>6</v>
      </c>
      <c r="S328" s="2">
        <f t="shared" si="151"/>
        <v>50</v>
      </c>
      <c r="T328" s="2">
        <f t="shared" si="152"/>
        <v>119.04761904761905</v>
      </c>
      <c r="U328" s="2">
        <f ca="1">VLOOKUP(E328,金币生产率!$A$2:$B$120,2,0)</f>
        <v>791</v>
      </c>
      <c r="V328" s="2">
        <f t="shared" si="153"/>
        <v>119.04761904761905</v>
      </c>
      <c r="W328" s="45">
        <f t="shared" ca="1" si="166"/>
        <v>14</v>
      </c>
      <c r="X328" s="48">
        <f t="shared" ca="1" si="167"/>
        <v>158</v>
      </c>
      <c r="Y328">
        <f t="shared" si="154"/>
        <v>18</v>
      </c>
      <c r="Z328">
        <f t="shared" ca="1" si="161"/>
        <v>6</v>
      </c>
      <c r="AA328" t="str">
        <f t="shared" ca="1" si="162"/>
        <v>9124100.png</v>
      </c>
      <c r="AB328">
        <f t="shared" si="155"/>
        <v>20</v>
      </c>
      <c r="AC328">
        <f>VLOOKUP(C328,技能辅助查询表,技能配置辅助表!$W$1,FALSE)</f>
        <v>945</v>
      </c>
      <c r="AD328">
        <f t="shared" ca="1" si="163"/>
        <v>13.299609842480328</v>
      </c>
      <c r="AE328">
        <f>VLOOKUP(C328,技能辅助查询表,技能配置辅助表!$U$1,FALSE)</f>
        <v>4</v>
      </c>
      <c r="AF328">
        <f t="shared" ca="1" si="164"/>
        <v>9124120</v>
      </c>
      <c r="AG328">
        <f t="shared" ca="1" si="168"/>
        <v>34.693877551020407</v>
      </c>
      <c r="AH328">
        <f t="shared" ca="1" si="165"/>
        <v>155.16211482893718</v>
      </c>
      <c r="AI328">
        <f ca="1">VLOOKUP(E328,伤害参考系!$C$4:$E$104,3,FALSE)*$AN$12</f>
        <v>2544.1437190635456</v>
      </c>
      <c r="AJ328">
        <f>VLOOKUP(C328,技能辅助查询表,技能配置辅助表!$L$1,FALSE)</f>
        <v>1</v>
      </c>
      <c r="AK328">
        <f>VLOOKUP(C328,技能辅助查询表,技能配置辅助表!$AE$1,FALSE)</f>
        <v>66000009</v>
      </c>
    </row>
    <row r="329" spans="1:37" x14ac:dyDescent="0.15">
      <c r="A329" s="1">
        <f t="shared" ca="1" si="156"/>
        <v>9124121</v>
      </c>
      <c r="B329" s="1" t="str">
        <f t="shared" ca="1" si="141"/>
        <v>裂空·斩第1段</v>
      </c>
      <c r="C329" t="s">
        <v>156</v>
      </c>
      <c r="D329">
        <f t="shared" si="142"/>
        <v>1</v>
      </c>
      <c r="E329" s="42">
        <f t="shared" ca="1" si="157"/>
        <v>37</v>
      </c>
      <c r="F329" t="str">
        <f t="shared" ca="1" si="158"/>
        <v>第21级，共造成144%点伤害</v>
      </c>
      <c r="G329">
        <f t="shared" ca="1" si="159"/>
        <v>1</v>
      </c>
      <c r="H329">
        <f t="shared" si="143"/>
        <v>1</v>
      </c>
      <c r="I329" s="44">
        <f t="shared" ca="1" si="160"/>
        <v>21</v>
      </c>
      <c r="J329">
        <f t="shared" si="144"/>
        <v>2</v>
      </c>
      <c r="K329" s="36">
        <f t="shared" ca="1" si="145"/>
        <v>144.04761904761904</v>
      </c>
      <c r="L329" s="10">
        <f ca="1">AH329*VLOOKUP(C329,技能辅助查询表,技能配置辅助表!$T$1,FALSE)</f>
        <v>0</v>
      </c>
      <c r="M329">
        <f t="shared" ca="1" si="146"/>
        <v>6320</v>
      </c>
      <c r="N329" s="33">
        <f ca="1">CHOOSE(1,W329*U329,X329*'[1]0、经济设定'!$C$18)</f>
        <v>12615</v>
      </c>
      <c r="O329">
        <f t="shared" si="147"/>
        <v>4</v>
      </c>
      <c r="P329">
        <f t="shared" si="148"/>
        <v>1</v>
      </c>
      <c r="Q329">
        <f t="shared" si="149"/>
        <v>1</v>
      </c>
      <c r="R329" s="2">
        <f t="shared" si="150"/>
        <v>6</v>
      </c>
      <c r="S329" s="2">
        <f t="shared" si="151"/>
        <v>50</v>
      </c>
      <c r="T329" s="2">
        <f t="shared" si="152"/>
        <v>119.04761904761905</v>
      </c>
      <c r="U329" s="2">
        <f ca="1">VLOOKUP(E329,金币生产率!$A$2:$B$120,2,0)</f>
        <v>841</v>
      </c>
      <c r="V329" s="2">
        <f t="shared" si="153"/>
        <v>119.04761904761905</v>
      </c>
      <c r="W329" s="45">
        <f t="shared" ca="1" si="166"/>
        <v>15</v>
      </c>
      <c r="X329" s="48">
        <f t="shared" ca="1" si="167"/>
        <v>173</v>
      </c>
      <c r="Y329">
        <f t="shared" si="154"/>
        <v>18</v>
      </c>
      <c r="Z329">
        <f t="shared" ca="1" si="161"/>
        <v>6</v>
      </c>
      <c r="AA329" t="str">
        <f t="shared" ca="1" si="162"/>
        <v>9124100.png</v>
      </c>
      <c r="AB329">
        <f t="shared" si="155"/>
        <v>20</v>
      </c>
      <c r="AC329">
        <f>VLOOKUP(C329,技能辅助查询表,技能配置辅助表!$W$1,FALSE)</f>
        <v>945</v>
      </c>
      <c r="AD329">
        <f t="shared" ca="1" si="163"/>
        <v>15.562025344899888</v>
      </c>
      <c r="AE329">
        <f>VLOOKUP(C329,技能辅助查询表,技能配置辅助表!$U$1,FALSE)</f>
        <v>4</v>
      </c>
      <c r="AF329">
        <f t="shared" ca="1" si="164"/>
        <v>9124121</v>
      </c>
      <c r="AG329">
        <f t="shared" ca="1" si="168"/>
        <v>36.204081632653057</v>
      </c>
      <c r="AH329">
        <f t="shared" ca="1" si="165"/>
        <v>176.65001742859343</v>
      </c>
      <c r="AI329">
        <f ca="1">VLOOKUP(E329,伤害参考系!$C$4:$E$104,3,FALSE)*$AN$12</f>
        <v>2727.4489991638798</v>
      </c>
      <c r="AJ329">
        <f>VLOOKUP(C329,技能辅助查询表,技能配置辅助表!$L$1,FALSE)</f>
        <v>1</v>
      </c>
      <c r="AK329">
        <f>VLOOKUP(C329,技能辅助查询表,技能配置辅助表!$AE$1,FALSE)</f>
        <v>66000009</v>
      </c>
    </row>
    <row r="330" spans="1:37" x14ac:dyDescent="0.15">
      <c r="A330" s="1">
        <f t="shared" ca="1" si="156"/>
        <v>9124122</v>
      </c>
      <c r="B330" s="1" t="str">
        <f t="shared" ca="1" si="141"/>
        <v>裂空·斩第1段</v>
      </c>
      <c r="C330" t="s">
        <v>156</v>
      </c>
      <c r="D330">
        <f t="shared" si="142"/>
        <v>1</v>
      </c>
      <c r="E330" s="42">
        <f t="shared" ca="1" si="157"/>
        <v>39</v>
      </c>
      <c r="F330" t="str">
        <f t="shared" ca="1" si="158"/>
        <v>第22级，共造成145.2%点伤害</v>
      </c>
      <c r="G330">
        <f t="shared" ca="1" si="159"/>
        <v>1</v>
      </c>
      <c r="H330">
        <f t="shared" si="143"/>
        <v>1</v>
      </c>
      <c r="I330" s="44">
        <f t="shared" ca="1" si="160"/>
        <v>22</v>
      </c>
      <c r="J330">
        <f t="shared" si="144"/>
        <v>2</v>
      </c>
      <c r="K330" s="36">
        <f t="shared" ca="1" si="145"/>
        <v>145.23809523809524</v>
      </c>
      <c r="L330" s="10">
        <f ca="1">AH330*VLOOKUP(C330,技能辅助查询表,技能配置辅助表!$T$1,FALSE)</f>
        <v>0</v>
      </c>
      <c r="M330">
        <f t="shared" ca="1" si="146"/>
        <v>6240</v>
      </c>
      <c r="N330" s="33">
        <f ca="1">CHOOSE(1,W330*U330,X330*'[1]0、经济设定'!$C$18)</f>
        <v>15104</v>
      </c>
      <c r="O330">
        <f t="shared" si="147"/>
        <v>4</v>
      </c>
      <c r="P330">
        <f t="shared" si="148"/>
        <v>1</v>
      </c>
      <c r="Q330">
        <f t="shared" si="149"/>
        <v>1</v>
      </c>
      <c r="R330" s="2">
        <f t="shared" si="150"/>
        <v>6</v>
      </c>
      <c r="S330" s="2">
        <f t="shared" si="151"/>
        <v>50</v>
      </c>
      <c r="T330" s="2">
        <f t="shared" si="152"/>
        <v>119.04761904761905</v>
      </c>
      <c r="U330" s="2">
        <f ca="1">VLOOKUP(E330,金币生产率!$A$2:$B$120,2,0)</f>
        <v>944</v>
      </c>
      <c r="V330" s="2">
        <f t="shared" si="153"/>
        <v>119.04761904761905</v>
      </c>
      <c r="W330" s="45">
        <f t="shared" ca="1" si="166"/>
        <v>16</v>
      </c>
      <c r="X330" s="48">
        <f t="shared" ca="1" si="167"/>
        <v>189</v>
      </c>
      <c r="Y330">
        <f t="shared" si="154"/>
        <v>18</v>
      </c>
      <c r="Z330">
        <f t="shared" ca="1" si="161"/>
        <v>7</v>
      </c>
      <c r="AA330" t="str">
        <f t="shared" ca="1" si="162"/>
        <v>9124100.png</v>
      </c>
      <c r="AB330">
        <f t="shared" si="155"/>
        <v>20</v>
      </c>
      <c r="AC330">
        <f>VLOOKUP(C330,技能辅助查询表,技能配置辅助表!$W$1,FALSE)</f>
        <v>945</v>
      </c>
      <c r="AD330">
        <f t="shared" ca="1" si="163"/>
        <v>18.19600238746251</v>
      </c>
      <c r="AE330">
        <f>VLOOKUP(C330,技能辅助查询表,技能配置辅助表!$U$1,FALSE)</f>
        <v>4</v>
      </c>
      <c r="AF330">
        <f t="shared" ca="1" si="164"/>
        <v>9124122</v>
      </c>
      <c r="AG330">
        <f t="shared" ca="1" si="168"/>
        <v>37.714285714285715</v>
      </c>
      <c r="AH330">
        <f t="shared" ca="1" si="165"/>
        <v>201.11371059826985</v>
      </c>
      <c r="AI330">
        <f ca="1">VLOOKUP(E330,伤害参考系!$C$4:$E$104,3,FALSE)*$AN$12</f>
        <v>3112.8025033444819</v>
      </c>
      <c r="AJ330">
        <f>VLOOKUP(C330,技能辅助查询表,技能配置辅助表!$L$1,FALSE)</f>
        <v>1</v>
      </c>
      <c r="AK330">
        <f>VLOOKUP(C330,技能辅助查询表,技能配置辅助表!$AE$1,FALSE)</f>
        <v>66000009</v>
      </c>
    </row>
    <row r="331" spans="1:37" x14ac:dyDescent="0.15">
      <c r="A331" s="1">
        <f t="shared" ca="1" si="156"/>
        <v>9124123</v>
      </c>
      <c r="B331" s="1" t="str">
        <f t="shared" ca="1" si="141"/>
        <v>裂空·斩第1段</v>
      </c>
      <c r="C331" t="s">
        <v>156</v>
      </c>
      <c r="D331">
        <f t="shared" si="142"/>
        <v>1</v>
      </c>
      <c r="E331" s="42">
        <f t="shared" ca="1" si="157"/>
        <v>40</v>
      </c>
      <c r="F331" t="str">
        <f t="shared" ca="1" si="158"/>
        <v>第23级，共造成146.4%点伤害</v>
      </c>
      <c r="G331">
        <f t="shared" ca="1" si="159"/>
        <v>1</v>
      </c>
      <c r="H331">
        <f t="shared" si="143"/>
        <v>1</v>
      </c>
      <c r="I331" s="44">
        <f t="shared" ca="1" si="160"/>
        <v>23</v>
      </c>
      <c r="J331">
        <f t="shared" si="144"/>
        <v>2</v>
      </c>
      <c r="K331" s="36">
        <f t="shared" ca="1" si="145"/>
        <v>146.42857142857144</v>
      </c>
      <c r="L331" s="10">
        <f ca="1">AH331*VLOOKUP(C331,技能辅助查询表,技能配置辅助表!$T$1,FALSE)</f>
        <v>0</v>
      </c>
      <c r="M331">
        <f t="shared" ca="1" si="146"/>
        <v>6160</v>
      </c>
      <c r="N331" s="33">
        <f ca="1">CHOOSE(1,W331*U331,X331*'[1]0、经济设定'!$C$18)</f>
        <v>16966</v>
      </c>
      <c r="O331">
        <f t="shared" si="147"/>
        <v>4</v>
      </c>
      <c r="P331">
        <f t="shared" si="148"/>
        <v>1</v>
      </c>
      <c r="Q331">
        <f t="shared" si="149"/>
        <v>1</v>
      </c>
      <c r="R331" s="2">
        <f t="shared" si="150"/>
        <v>6</v>
      </c>
      <c r="S331" s="2">
        <f t="shared" si="151"/>
        <v>50</v>
      </c>
      <c r="T331" s="2">
        <f t="shared" si="152"/>
        <v>119.04761904761905</v>
      </c>
      <c r="U331" s="2">
        <f ca="1">VLOOKUP(E331,金币生产率!$A$2:$B$120,2,0)</f>
        <v>998</v>
      </c>
      <c r="V331" s="2">
        <f t="shared" si="153"/>
        <v>119.04761904761905</v>
      </c>
      <c r="W331" s="45">
        <f t="shared" ca="1" si="166"/>
        <v>17</v>
      </c>
      <c r="X331" s="48">
        <f t="shared" ca="1" si="167"/>
        <v>206</v>
      </c>
      <c r="Y331">
        <f t="shared" si="154"/>
        <v>18</v>
      </c>
      <c r="Z331">
        <f t="shared" ca="1" si="161"/>
        <v>7</v>
      </c>
      <c r="AA331" t="str">
        <f t="shared" ca="1" si="162"/>
        <v>9124100.png</v>
      </c>
      <c r="AB331">
        <f t="shared" si="155"/>
        <v>20</v>
      </c>
      <c r="AC331">
        <f>VLOOKUP(C331,技能辅助查询表,技能配置辅助表!$W$1,FALSE)</f>
        <v>945</v>
      </c>
      <c r="AD331">
        <f t="shared" ca="1" si="163"/>
        <v>21.261063758068786</v>
      </c>
      <c r="AE331">
        <f>VLOOKUP(C331,技能辅助查询表,技能配置辅助表!$U$1,FALSE)</f>
        <v>4</v>
      </c>
      <c r="AF331">
        <f t="shared" ca="1" si="164"/>
        <v>9124123</v>
      </c>
      <c r="AG331">
        <f t="shared" ca="1" si="168"/>
        <v>39.224489795918366</v>
      </c>
      <c r="AH331">
        <f t="shared" ca="1" si="165"/>
        <v>228.96530200997151</v>
      </c>
      <c r="AI331">
        <f ca="1">VLOOKUP(E331,伤害参考系!$C$4:$E$104,3,FALSE)*$AN$12</f>
        <v>3344.7142474916404</v>
      </c>
      <c r="AJ331">
        <f>VLOOKUP(C331,技能辅助查询表,技能配置辅助表!$L$1,FALSE)</f>
        <v>1</v>
      </c>
      <c r="AK331">
        <f>VLOOKUP(C331,技能辅助查询表,技能配置辅助表!$AE$1,FALSE)</f>
        <v>66000009</v>
      </c>
    </row>
    <row r="332" spans="1:37" x14ac:dyDescent="0.15">
      <c r="A332" s="1">
        <f t="shared" ca="1" si="156"/>
        <v>9124124</v>
      </c>
      <c r="B332" s="1" t="str">
        <f t="shared" ca="1" si="141"/>
        <v>裂空·斩第1段</v>
      </c>
      <c r="C332" t="s">
        <v>156</v>
      </c>
      <c r="D332">
        <f t="shared" si="142"/>
        <v>1</v>
      </c>
      <c r="E332" s="42">
        <f t="shared" ca="1" si="157"/>
        <v>42</v>
      </c>
      <c r="F332" t="str">
        <f t="shared" ca="1" si="158"/>
        <v>第24级，共造成147.6%点伤害</v>
      </c>
      <c r="G332">
        <f t="shared" ca="1" si="159"/>
        <v>1</v>
      </c>
      <c r="H332">
        <f t="shared" si="143"/>
        <v>1</v>
      </c>
      <c r="I332" s="44">
        <f t="shared" ca="1" si="160"/>
        <v>24</v>
      </c>
      <c r="J332">
        <f t="shared" si="144"/>
        <v>2</v>
      </c>
      <c r="K332" s="36">
        <f t="shared" ca="1" si="145"/>
        <v>147.61904761904762</v>
      </c>
      <c r="L332" s="10">
        <f ca="1">AH332*VLOOKUP(C332,技能辅助查询表,技能配置辅助表!$T$1,FALSE)</f>
        <v>0</v>
      </c>
      <c r="M332">
        <f t="shared" ca="1" si="146"/>
        <v>6080</v>
      </c>
      <c r="N332" s="33">
        <f ca="1">CHOOSE(1,W332*U332,X332*'[1]0、经济设定'!$C$18)</f>
        <v>19980</v>
      </c>
      <c r="O332">
        <f t="shared" si="147"/>
        <v>4</v>
      </c>
      <c r="P332">
        <f t="shared" si="148"/>
        <v>1</v>
      </c>
      <c r="Q332">
        <f t="shared" si="149"/>
        <v>1</v>
      </c>
      <c r="R332" s="2">
        <f t="shared" si="150"/>
        <v>6</v>
      </c>
      <c r="S332" s="2">
        <f t="shared" si="151"/>
        <v>50</v>
      </c>
      <c r="T332" s="2">
        <f t="shared" si="152"/>
        <v>119.04761904761905</v>
      </c>
      <c r="U332" s="2">
        <f ca="1">VLOOKUP(E332,金币生产率!$A$2:$B$120,2,0)</f>
        <v>1110</v>
      </c>
      <c r="V332" s="2">
        <f t="shared" si="153"/>
        <v>119.04761904761905</v>
      </c>
      <c r="W332" s="45">
        <f t="shared" ca="1" si="166"/>
        <v>18</v>
      </c>
      <c r="X332" s="48">
        <f t="shared" ca="1" si="167"/>
        <v>224</v>
      </c>
      <c r="Y332">
        <f t="shared" si="154"/>
        <v>18</v>
      </c>
      <c r="Z332">
        <f t="shared" ca="1" si="161"/>
        <v>8</v>
      </c>
      <c r="AA332" t="str">
        <f t="shared" ca="1" si="162"/>
        <v>9124100.png</v>
      </c>
      <c r="AB332">
        <f t="shared" si="155"/>
        <v>20</v>
      </c>
      <c r="AC332">
        <f>VLOOKUP(C332,技能辅助查询表,技能配置辅助表!$W$1,FALSE)</f>
        <v>945</v>
      </c>
      <c r="AD332">
        <f t="shared" ca="1" si="163"/>
        <v>24.826092457400648</v>
      </c>
      <c r="AE332">
        <f>VLOOKUP(C332,技能辅助查询表,技能配置辅助表!$U$1,FALSE)</f>
        <v>4</v>
      </c>
      <c r="AF332">
        <f t="shared" ca="1" si="164"/>
        <v>9124124</v>
      </c>
      <c r="AG332">
        <f t="shared" ca="1" si="168"/>
        <v>40.734693877551024</v>
      </c>
      <c r="AH332">
        <f t="shared" ca="1" si="165"/>
        <v>260.67397080270689</v>
      </c>
      <c r="AI332">
        <f ca="1">VLOOKUP(E332,伤害参考系!$C$4:$E$104,3,FALSE)*$AN$12</f>
        <v>3833.528327759198</v>
      </c>
      <c r="AJ332">
        <f>VLOOKUP(C332,技能辅助查询表,技能配置辅助表!$L$1,FALSE)</f>
        <v>1</v>
      </c>
      <c r="AK332">
        <f>VLOOKUP(C332,技能辅助查询表,技能配置辅助表!$AE$1,FALSE)</f>
        <v>66000009</v>
      </c>
    </row>
    <row r="333" spans="1:37" x14ac:dyDescent="0.15">
      <c r="A333" s="1">
        <f t="shared" ca="1" si="156"/>
        <v>9124125</v>
      </c>
      <c r="B333" s="1" t="str">
        <f t="shared" ca="1" si="141"/>
        <v>裂空·斩第1段</v>
      </c>
      <c r="C333" t="s">
        <v>156</v>
      </c>
      <c r="D333">
        <f t="shared" si="142"/>
        <v>1</v>
      </c>
      <c r="E333" s="42">
        <f t="shared" ca="1" si="157"/>
        <v>43</v>
      </c>
      <c r="F333" t="str">
        <f t="shared" ca="1" si="158"/>
        <v>第25级，共造成148.8%点伤害</v>
      </c>
      <c r="G333">
        <f t="shared" ca="1" si="159"/>
        <v>1</v>
      </c>
      <c r="H333">
        <f t="shared" si="143"/>
        <v>1</v>
      </c>
      <c r="I333" s="44">
        <f t="shared" ca="1" si="160"/>
        <v>25</v>
      </c>
      <c r="J333">
        <f t="shared" si="144"/>
        <v>2</v>
      </c>
      <c r="K333" s="36">
        <f t="shared" ca="1" si="145"/>
        <v>148.80952380952382</v>
      </c>
      <c r="L333" s="10">
        <f ca="1">AH333*VLOOKUP(C333,技能辅助查询表,技能配置辅助表!$T$1,FALSE)</f>
        <v>0</v>
      </c>
      <c r="M333">
        <f t="shared" ca="1" si="146"/>
        <v>6000</v>
      </c>
      <c r="N333" s="33">
        <f ca="1">CHOOSE(1,W333*U333,X333*'[1]0、经济设定'!$C$18)</f>
        <v>23340</v>
      </c>
      <c r="O333">
        <f t="shared" si="147"/>
        <v>4</v>
      </c>
      <c r="P333">
        <f t="shared" si="148"/>
        <v>1</v>
      </c>
      <c r="Q333">
        <f t="shared" si="149"/>
        <v>1</v>
      </c>
      <c r="R333" s="2">
        <f t="shared" si="150"/>
        <v>6</v>
      </c>
      <c r="S333" s="2">
        <f t="shared" si="151"/>
        <v>50</v>
      </c>
      <c r="T333" s="2">
        <f t="shared" si="152"/>
        <v>119.04761904761905</v>
      </c>
      <c r="U333" s="2">
        <f ca="1">VLOOKUP(E333,金币生产率!$A$2:$B$120,2,0)</f>
        <v>1167</v>
      </c>
      <c r="V333" s="2">
        <f t="shared" si="153"/>
        <v>119.04761904761905</v>
      </c>
      <c r="W333" s="45">
        <f t="shared" ca="1" si="166"/>
        <v>20</v>
      </c>
      <c r="X333" s="48">
        <f t="shared" ca="1" si="167"/>
        <v>244</v>
      </c>
      <c r="Y333">
        <f t="shared" si="154"/>
        <v>18</v>
      </c>
      <c r="Z333">
        <f t="shared" ca="1" si="161"/>
        <v>8</v>
      </c>
      <c r="AA333" t="str">
        <f t="shared" ca="1" si="162"/>
        <v>9124100.png</v>
      </c>
      <c r="AB333">
        <f t="shared" si="155"/>
        <v>20</v>
      </c>
      <c r="AC333">
        <f>VLOOKUP(C333,技能辅助查询表,技能配置辅助表!$W$1,FALSE)</f>
        <v>945</v>
      </c>
      <c r="AD333">
        <f t="shared" ca="1" si="163"/>
        <v>28.970782667351624</v>
      </c>
      <c r="AE333">
        <f>VLOOKUP(C333,技能辅助查询表,技能配置辅助表!$U$1,FALSE)</f>
        <v>4</v>
      </c>
      <c r="AF333">
        <f t="shared" ca="1" si="164"/>
        <v>9124125</v>
      </c>
      <c r="AG333">
        <f t="shared" ca="1" si="168"/>
        <v>42.244897959183675</v>
      </c>
      <c r="AH333">
        <f t="shared" ca="1" si="165"/>
        <v>296.77387122652874</v>
      </c>
      <c r="AI333">
        <f ca="1">VLOOKUP(E333,伤害参考系!$C$4:$E$104,3,FALSE)*$AN$12</f>
        <v>4090.4306638795993</v>
      </c>
      <c r="AJ333">
        <f>VLOOKUP(C333,技能辅助查询表,技能配置辅助表!$L$1,FALSE)</f>
        <v>1</v>
      </c>
      <c r="AK333">
        <f>VLOOKUP(C333,技能辅助查询表,技能配置辅助表!$AE$1,FALSE)</f>
        <v>66000009</v>
      </c>
    </row>
    <row r="334" spans="1:37" x14ac:dyDescent="0.15">
      <c r="A334" s="1">
        <f t="shared" ca="1" si="156"/>
        <v>9124126</v>
      </c>
      <c r="B334" s="1" t="str">
        <f t="shared" ca="1" si="141"/>
        <v>裂空·斩第1段</v>
      </c>
      <c r="C334" t="s">
        <v>156</v>
      </c>
      <c r="D334">
        <f t="shared" si="142"/>
        <v>1</v>
      </c>
      <c r="E334" s="42">
        <f t="shared" ca="1" si="157"/>
        <v>44</v>
      </c>
      <c r="F334" t="str">
        <f t="shared" ca="1" si="158"/>
        <v>第26级，共造成150%点伤害</v>
      </c>
      <c r="G334">
        <f t="shared" ca="1" si="159"/>
        <v>1</v>
      </c>
      <c r="H334">
        <f t="shared" si="143"/>
        <v>1</v>
      </c>
      <c r="I334" s="44">
        <f t="shared" ca="1" si="160"/>
        <v>26</v>
      </c>
      <c r="J334">
        <f t="shared" si="144"/>
        <v>2</v>
      </c>
      <c r="K334" s="36">
        <f t="shared" ca="1" si="145"/>
        <v>150</v>
      </c>
      <c r="L334" s="10">
        <f ca="1">AH334*VLOOKUP(C334,技能辅助查询表,技能配置辅助表!$T$1,FALSE)</f>
        <v>0</v>
      </c>
      <c r="M334">
        <f t="shared" ca="1" si="146"/>
        <v>5920</v>
      </c>
      <c r="N334" s="33">
        <f ca="1">CHOOSE(1,W334*U334,X334*'[1]0、经济设定'!$C$18)</f>
        <v>25746</v>
      </c>
      <c r="O334">
        <f t="shared" si="147"/>
        <v>4</v>
      </c>
      <c r="P334">
        <f t="shared" si="148"/>
        <v>1</v>
      </c>
      <c r="Q334">
        <f t="shared" si="149"/>
        <v>1</v>
      </c>
      <c r="R334" s="2">
        <f t="shared" si="150"/>
        <v>6</v>
      </c>
      <c r="S334" s="2">
        <f t="shared" si="151"/>
        <v>50</v>
      </c>
      <c r="T334" s="2">
        <f t="shared" si="152"/>
        <v>119.04761904761905</v>
      </c>
      <c r="U334" s="2">
        <f ca="1">VLOOKUP(E334,金币生产率!$A$2:$B$120,2,0)</f>
        <v>1226</v>
      </c>
      <c r="V334" s="2">
        <f t="shared" si="153"/>
        <v>119.04761904761905</v>
      </c>
      <c r="W334" s="45">
        <f t="shared" ca="1" si="166"/>
        <v>21</v>
      </c>
      <c r="X334" s="48">
        <f t="shared" ca="1" si="167"/>
        <v>265</v>
      </c>
      <c r="Y334">
        <f t="shared" si="154"/>
        <v>18</v>
      </c>
      <c r="Z334">
        <f t="shared" ca="1" si="161"/>
        <v>9</v>
      </c>
      <c r="AA334" t="str">
        <f t="shared" ca="1" si="162"/>
        <v>9124100.png</v>
      </c>
      <c r="AB334">
        <f t="shared" si="155"/>
        <v>20</v>
      </c>
      <c r="AC334">
        <f>VLOOKUP(C334,技能辅助查询表,技能配置辅助表!$W$1,FALSE)</f>
        <v>945</v>
      </c>
      <c r="AD334">
        <f t="shared" ca="1" si="163"/>
        <v>33.787313083683465</v>
      </c>
      <c r="AE334">
        <f>VLOOKUP(C334,技能辅助查询表,技能配置辅助表!$U$1,FALSE)</f>
        <v>4</v>
      </c>
      <c r="AF334">
        <f t="shared" ca="1" si="164"/>
        <v>9124126</v>
      </c>
      <c r="AG334">
        <f t="shared" ca="1" si="168"/>
        <v>43.755102040816325</v>
      </c>
      <c r="AH334">
        <f t="shared" ca="1" si="165"/>
        <v>337.87313083683472</v>
      </c>
      <c r="AI334">
        <f ca="1">VLOOKUP(E334,伤害参考系!$C$4:$E$104,3,FALSE)*$AN$12</f>
        <v>4355.6631973244148</v>
      </c>
      <c r="AJ334">
        <f>VLOOKUP(C334,技能辅助查询表,技能配置辅助表!$L$1,FALSE)</f>
        <v>1</v>
      </c>
      <c r="AK334">
        <f>VLOOKUP(C334,技能辅助查询表,技能配置辅助表!$AE$1,FALSE)</f>
        <v>66000009</v>
      </c>
    </row>
    <row r="335" spans="1:37" x14ac:dyDescent="0.15">
      <c r="A335" s="1">
        <f t="shared" ca="1" si="156"/>
        <v>9124127</v>
      </c>
      <c r="B335" s="1" t="str">
        <f t="shared" ca="1" si="141"/>
        <v>裂空·斩第1段</v>
      </c>
      <c r="C335" t="s">
        <v>156</v>
      </c>
      <c r="D335">
        <f t="shared" si="142"/>
        <v>1</v>
      </c>
      <c r="E335" s="42">
        <f t="shared" ca="1" si="157"/>
        <v>46</v>
      </c>
      <c r="F335" t="str">
        <f t="shared" ca="1" si="158"/>
        <v>第27级，共造成151.2%点伤害</v>
      </c>
      <c r="G335">
        <f t="shared" ca="1" si="159"/>
        <v>1</v>
      </c>
      <c r="H335">
        <f t="shared" si="143"/>
        <v>1</v>
      </c>
      <c r="I335" s="44">
        <f t="shared" ca="1" si="160"/>
        <v>27</v>
      </c>
      <c r="J335">
        <f t="shared" si="144"/>
        <v>2</v>
      </c>
      <c r="K335" s="36">
        <f t="shared" ca="1" si="145"/>
        <v>151.1904761904762</v>
      </c>
      <c r="L335" s="10">
        <f ca="1">AH335*VLOOKUP(C335,技能辅助查询表,技能配置辅助表!$T$1,FALSE)</f>
        <v>0</v>
      </c>
      <c r="M335">
        <f t="shared" ca="1" si="146"/>
        <v>5840</v>
      </c>
      <c r="N335" s="33">
        <f ca="1">CHOOSE(1,W335*U335,X335*'[1]0、经济设定'!$C$18)</f>
        <v>29678</v>
      </c>
      <c r="O335">
        <f t="shared" si="147"/>
        <v>4</v>
      </c>
      <c r="P335">
        <f t="shared" si="148"/>
        <v>1</v>
      </c>
      <c r="Q335">
        <f t="shared" si="149"/>
        <v>1</v>
      </c>
      <c r="R335" s="2">
        <f t="shared" si="150"/>
        <v>6</v>
      </c>
      <c r="S335" s="2">
        <f t="shared" si="151"/>
        <v>50</v>
      </c>
      <c r="T335" s="2">
        <f t="shared" si="152"/>
        <v>119.04761904761905</v>
      </c>
      <c r="U335" s="2">
        <f ca="1">VLOOKUP(E335,金币生产率!$A$2:$B$120,2,0)</f>
        <v>1349</v>
      </c>
      <c r="V335" s="2">
        <f t="shared" si="153"/>
        <v>119.04761904761905</v>
      </c>
      <c r="W335" s="45">
        <f t="shared" ca="1" si="166"/>
        <v>22</v>
      </c>
      <c r="X335" s="48">
        <f t="shared" ca="1" si="167"/>
        <v>287</v>
      </c>
      <c r="Y335">
        <f t="shared" si="154"/>
        <v>18</v>
      </c>
      <c r="Z335">
        <f t="shared" ca="1" si="161"/>
        <v>9</v>
      </c>
      <c r="AA335" t="str">
        <f t="shared" ca="1" si="162"/>
        <v>9124100.png</v>
      </c>
      <c r="AB335">
        <f t="shared" si="155"/>
        <v>20</v>
      </c>
      <c r="AC335">
        <f>VLOOKUP(C335,技能辅助查询表,技能配置辅助表!$W$1,FALSE)</f>
        <v>945</v>
      </c>
      <c r="AD335">
        <f t="shared" ca="1" si="163"/>
        <v>39.382276374395779</v>
      </c>
      <c r="AE335">
        <f>VLOOKUP(C335,技能辅助查询表,技能配置辅助表!$U$1,FALSE)</f>
        <v>4</v>
      </c>
      <c r="AF335">
        <f t="shared" ca="1" si="164"/>
        <v>9124127</v>
      </c>
      <c r="AG335">
        <f t="shared" ca="1" si="168"/>
        <v>45.265306122448976</v>
      </c>
      <c r="AH335">
        <f t="shared" ca="1" si="165"/>
        <v>384.66409481967975</v>
      </c>
      <c r="AI335">
        <f ca="1">VLOOKUP(E335,伤害参考系!$C$4:$E$104,3,FALSE)*$AN$12</f>
        <v>4911.1188561872923</v>
      </c>
      <c r="AJ335">
        <f>VLOOKUP(C335,技能辅助查询表,技能配置辅助表!$L$1,FALSE)</f>
        <v>1</v>
      </c>
      <c r="AK335">
        <f>VLOOKUP(C335,技能辅助查询表,技能配置辅助表!$AE$1,FALSE)</f>
        <v>66000009</v>
      </c>
    </row>
    <row r="336" spans="1:37" x14ac:dyDescent="0.15">
      <c r="A336" s="1">
        <f t="shared" ca="1" si="156"/>
        <v>9124128</v>
      </c>
      <c r="B336" s="1" t="str">
        <f t="shared" ca="1" si="141"/>
        <v>裂空·斩第1段</v>
      </c>
      <c r="C336" t="s">
        <v>156</v>
      </c>
      <c r="D336">
        <f t="shared" si="142"/>
        <v>1</v>
      </c>
      <c r="E336" s="42">
        <f t="shared" ca="1" si="157"/>
        <v>47</v>
      </c>
      <c r="F336" t="str">
        <f t="shared" ca="1" si="158"/>
        <v>第28级，共造成152.4%点伤害</v>
      </c>
      <c r="G336">
        <f t="shared" ca="1" si="159"/>
        <v>1</v>
      </c>
      <c r="H336">
        <f t="shared" si="143"/>
        <v>1</v>
      </c>
      <c r="I336" s="44">
        <f t="shared" ca="1" si="160"/>
        <v>28</v>
      </c>
      <c r="J336">
        <f t="shared" si="144"/>
        <v>2</v>
      </c>
      <c r="K336" s="36">
        <f t="shared" ca="1" si="145"/>
        <v>152.38095238095238</v>
      </c>
      <c r="L336" s="10">
        <f ca="1">AH336*VLOOKUP(C336,技能辅助查询表,技能配置辅助表!$T$1,FALSE)</f>
        <v>0</v>
      </c>
      <c r="M336">
        <f t="shared" ca="1" si="146"/>
        <v>5760</v>
      </c>
      <c r="N336" s="33">
        <f ca="1">CHOOSE(1,W336*U336,X336*'[1]0、经济设定'!$C$18)</f>
        <v>33888</v>
      </c>
      <c r="O336">
        <f t="shared" si="147"/>
        <v>4</v>
      </c>
      <c r="P336">
        <f t="shared" si="148"/>
        <v>1</v>
      </c>
      <c r="Q336">
        <f t="shared" si="149"/>
        <v>1</v>
      </c>
      <c r="R336" s="2">
        <f t="shared" si="150"/>
        <v>6</v>
      </c>
      <c r="S336" s="2">
        <f t="shared" si="151"/>
        <v>50</v>
      </c>
      <c r="T336" s="2">
        <f t="shared" si="152"/>
        <v>119.04761904761905</v>
      </c>
      <c r="U336" s="2">
        <f ca="1">VLOOKUP(E336,金币生产率!$A$2:$B$120,2,0)</f>
        <v>1412</v>
      </c>
      <c r="V336" s="2">
        <f t="shared" si="153"/>
        <v>119.04761904761905</v>
      </c>
      <c r="W336" s="45">
        <f t="shared" ca="1" si="166"/>
        <v>24</v>
      </c>
      <c r="X336" s="48">
        <f t="shared" ca="1" si="167"/>
        <v>311</v>
      </c>
      <c r="Y336">
        <f t="shared" si="154"/>
        <v>18</v>
      </c>
      <c r="Z336">
        <f t="shared" ca="1" si="161"/>
        <v>10</v>
      </c>
      <c r="AA336" t="str">
        <f t="shared" ca="1" si="162"/>
        <v>9124100.png</v>
      </c>
      <c r="AB336">
        <f t="shared" si="155"/>
        <v>20</v>
      </c>
      <c r="AC336">
        <f>VLOOKUP(C336,技能辅助查询表,技能配置辅助表!$W$1,FALSE)</f>
        <v>945</v>
      </c>
      <c r="AD336">
        <f t="shared" ca="1" si="163"/>
        <v>45.878903611700046</v>
      </c>
      <c r="AE336">
        <f>VLOOKUP(C336,技能辅助查询表,技能配置辅助表!$U$1,FALSE)</f>
        <v>4</v>
      </c>
      <c r="AF336">
        <f t="shared" ca="1" si="164"/>
        <v>9124128</v>
      </c>
      <c r="AG336">
        <f t="shared" ca="1" si="168"/>
        <v>46.775510204081634</v>
      </c>
      <c r="AH336">
        <f t="shared" ca="1" si="165"/>
        <v>437.93498902077317</v>
      </c>
      <c r="AI336">
        <f ca="1">VLOOKUP(E336,伤害参考系!$C$4:$E$104,3,FALSE)*$AN$12</f>
        <v>5201.3419816053529</v>
      </c>
      <c r="AJ336">
        <f>VLOOKUP(C336,技能辅助查询表,技能配置辅助表!$L$1,FALSE)</f>
        <v>1</v>
      </c>
      <c r="AK336">
        <f>VLOOKUP(C336,技能辅助查询表,技能配置辅助表!$AE$1,FALSE)</f>
        <v>66000009</v>
      </c>
    </row>
    <row r="337" spans="1:37" x14ac:dyDescent="0.15">
      <c r="A337" s="1">
        <f t="shared" ca="1" si="156"/>
        <v>9124129</v>
      </c>
      <c r="B337" s="1" t="str">
        <f t="shared" ca="1" si="141"/>
        <v>裂空·斩第1段</v>
      </c>
      <c r="C337" t="s">
        <v>156</v>
      </c>
      <c r="D337">
        <f t="shared" si="142"/>
        <v>1</v>
      </c>
      <c r="E337" s="42">
        <f t="shared" ca="1" si="157"/>
        <v>49</v>
      </c>
      <c r="F337" t="str">
        <f t="shared" ca="1" si="158"/>
        <v>第29级，共造成153.6%点伤害</v>
      </c>
      <c r="G337">
        <f t="shared" ca="1" si="159"/>
        <v>1</v>
      </c>
      <c r="H337">
        <f t="shared" si="143"/>
        <v>1</v>
      </c>
      <c r="I337" s="44">
        <f t="shared" ca="1" si="160"/>
        <v>29</v>
      </c>
      <c r="J337">
        <f t="shared" si="144"/>
        <v>2</v>
      </c>
      <c r="K337" s="36">
        <f t="shared" ca="1" si="145"/>
        <v>153.57142857142858</v>
      </c>
      <c r="L337" s="10">
        <f ca="1">AH337*VLOOKUP(C337,技能辅助查询表,技能配置辅助表!$T$1,FALSE)</f>
        <v>0</v>
      </c>
      <c r="M337">
        <f t="shared" ca="1" si="146"/>
        <v>5680</v>
      </c>
      <c r="N337" s="33">
        <f ca="1">CHOOSE(1,W337*U337,X337*'[1]0、经济设定'!$C$18)</f>
        <v>40118</v>
      </c>
      <c r="O337">
        <f t="shared" si="147"/>
        <v>4</v>
      </c>
      <c r="P337">
        <f t="shared" si="148"/>
        <v>1</v>
      </c>
      <c r="Q337">
        <f t="shared" si="149"/>
        <v>1</v>
      </c>
      <c r="R337" s="2">
        <f t="shared" si="150"/>
        <v>6</v>
      </c>
      <c r="S337" s="2">
        <f t="shared" si="151"/>
        <v>50</v>
      </c>
      <c r="T337" s="2">
        <f t="shared" si="152"/>
        <v>119.04761904761905</v>
      </c>
      <c r="U337" s="2">
        <f ca="1">VLOOKUP(E337,金币生产率!$A$2:$B$120,2,0)</f>
        <v>1543</v>
      </c>
      <c r="V337" s="2">
        <f t="shared" si="153"/>
        <v>119.04761904761905</v>
      </c>
      <c r="W337" s="45">
        <f t="shared" ca="1" si="166"/>
        <v>26</v>
      </c>
      <c r="X337" s="48">
        <f t="shared" ca="1" si="167"/>
        <v>337</v>
      </c>
      <c r="Y337">
        <f t="shared" si="154"/>
        <v>18</v>
      </c>
      <c r="Z337">
        <f t="shared" ca="1" si="161"/>
        <v>11</v>
      </c>
      <c r="AA337" t="str">
        <f t="shared" ca="1" si="162"/>
        <v>9124100.png</v>
      </c>
      <c r="AB337">
        <f t="shared" si="155"/>
        <v>20</v>
      </c>
      <c r="AC337">
        <f>VLOOKUP(C337,技能辅助查询表,技能配置辅助表!$W$1,FALSE)</f>
        <v>945</v>
      </c>
      <c r="AD337">
        <f t="shared" ca="1" si="163"/>
        <v>53.41962837320149</v>
      </c>
      <c r="AE337">
        <f>VLOOKUP(C337,技能辅助查询表,技能配置辅助表!$U$1,FALSE)</f>
        <v>4</v>
      </c>
      <c r="AF337">
        <f t="shared" ca="1" si="164"/>
        <v>9124129</v>
      </c>
      <c r="AG337">
        <f t="shared" ca="1" si="168"/>
        <v>48.285714285714285</v>
      </c>
      <c r="AH337">
        <f t="shared" ca="1" si="165"/>
        <v>498.5831981498805</v>
      </c>
      <c r="AI337">
        <f ca="1">VLOOKUP(E337,伤害参考系!$C$4:$E$104,3,FALSE)*$AN$12</f>
        <v>5806.7788244147177</v>
      </c>
      <c r="AJ337">
        <f>VLOOKUP(C337,技能辅助查询表,技能配置辅助表!$L$1,FALSE)</f>
        <v>1</v>
      </c>
      <c r="AK337">
        <f>VLOOKUP(C337,技能辅助查询表,技能配置辅助表!$AE$1,FALSE)</f>
        <v>66000009</v>
      </c>
    </row>
    <row r="338" spans="1:37" x14ac:dyDescent="0.15">
      <c r="A338" s="1">
        <f t="shared" ca="1" si="156"/>
        <v>9124130</v>
      </c>
      <c r="B338" s="1" t="str">
        <f t="shared" ca="1" si="141"/>
        <v>裂空·斩第1段</v>
      </c>
      <c r="C338" t="s">
        <v>156</v>
      </c>
      <c r="D338">
        <f t="shared" si="142"/>
        <v>1</v>
      </c>
      <c r="E338" s="42">
        <f t="shared" ca="1" si="157"/>
        <v>50</v>
      </c>
      <c r="F338" t="str">
        <f t="shared" ca="1" si="158"/>
        <v>第30级，共造成154.8%点伤害</v>
      </c>
      <c r="G338">
        <f t="shared" ca="1" si="159"/>
        <v>1</v>
      </c>
      <c r="H338">
        <f t="shared" si="143"/>
        <v>1</v>
      </c>
      <c r="I338" s="44">
        <f t="shared" ca="1" si="160"/>
        <v>30</v>
      </c>
      <c r="J338">
        <f t="shared" si="144"/>
        <v>2</v>
      </c>
      <c r="K338" s="36">
        <f t="shared" ca="1" si="145"/>
        <v>154.76190476190476</v>
      </c>
      <c r="L338" s="10">
        <f ca="1">AH338*VLOOKUP(C338,技能辅助查询表,技能配置辅助表!$T$1,FALSE)</f>
        <v>0</v>
      </c>
      <c r="M338">
        <f t="shared" ca="1" si="146"/>
        <v>5600</v>
      </c>
      <c r="N338" s="33">
        <f ca="1">CHOOSE(1,W338*U338,X338*'[1]0、经济设定'!$C$18)</f>
        <v>45080</v>
      </c>
      <c r="O338">
        <f t="shared" si="147"/>
        <v>4</v>
      </c>
      <c r="P338">
        <f t="shared" si="148"/>
        <v>1</v>
      </c>
      <c r="Q338">
        <f t="shared" si="149"/>
        <v>1</v>
      </c>
      <c r="R338" s="2">
        <f t="shared" si="150"/>
        <v>6</v>
      </c>
      <c r="S338" s="2">
        <f t="shared" si="151"/>
        <v>50</v>
      </c>
      <c r="T338" s="2">
        <f t="shared" si="152"/>
        <v>119.04761904761905</v>
      </c>
      <c r="U338" s="2">
        <f ca="1">VLOOKUP(E338,金币生产率!$A$2:$B$120,2,0)</f>
        <v>1610</v>
      </c>
      <c r="V338" s="2">
        <f t="shared" si="153"/>
        <v>119.04761904761905</v>
      </c>
      <c r="W338" s="45">
        <f t="shared" ca="1" si="166"/>
        <v>28</v>
      </c>
      <c r="X338" s="48">
        <f t="shared" ca="1" si="167"/>
        <v>365</v>
      </c>
      <c r="Y338">
        <f t="shared" si="154"/>
        <v>18</v>
      </c>
      <c r="Z338">
        <f t="shared" ca="1" si="161"/>
        <v>12</v>
      </c>
      <c r="AA338" t="str">
        <f t="shared" ca="1" si="162"/>
        <v>9124100.png</v>
      </c>
      <c r="AB338">
        <f t="shared" si="155"/>
        <v>20</v>
      </c>
      <c r="AC338">
        <f>VLOOKUP(C338,技能辅助查询表,技能配置辅助表!$W$1,FALSE)</f>
        <v>945</v>
      </c>
      <c r="AD338">
        <f t="shared" ca="1" si="163"/>
        <v>62.16904193021287</v>
      </c>
      <c r="AE338">
        <f>VLOOKUP(C338,技能辅助查询表,技能配置辅助表!$U$1,FALSE)</f>
        <v>4</v>
      </c>
      <c r="AF338">
        <f t="shared" ca="1" si="164"/>
        <v>9124130</v>
      </c>
      <c r="AG338">
        <f t="shared" ca="1" si="168"/>
        <v>49.795918367346935</v>
      </c>
      <c r="AH338">
        <f t="shared" ca="1" si="165"/>
        <v>567.63038284107404</v>
      </c>
      <c r="AI338">
        <f ca="1">VLOOKUP(E338,伤害参考系!$C$4:$E$104,3,FALSE)*$AN$12</f>
        <v>6162.2688085284308</v>
      </c>
      <c r="AJ338">
        <f>VLOOKUP(C338,技能辅助查询表,技能配置辅助表!$L$1,FALSE)</f>
        <v>1</v>
      </c>
      <c r="AK338">
        <f>VLOOKUP(C338,技能辅助查询表,技能配置辅助表!$AE$1,FALSE)</f>
        <v>66000009</v>
      </c>
    </row>
    <row r="339" spans="1:37" x14ac:dyDescent="0.15">
      <c r="A339" s="1">
        <f t="shared" ca="1" si="156"/>
        <v>9124131</v>
      </c>
      <c r="B339" s="1" t="str">
        <f t="shared" ca="1" si="141"/>
        <v>裂空·斩第1段</v>
      </c>
      <c r="C339" t="s">
        <v>156</v>
      </c>
      <c r="D339">
        <f t="shared" si="142"/>
        <v>1</v>
      </c>
      <c r="E339" s="42">
        <f t="shared" ca="1" si="157"/>
        <v>52</v>
      </c>
      <c r="F339" t="str">
        <f t="shared" ca="1" si="158"/>
        <v>第31级，共造成156%点伤害</v>
      </c>
      <c r="G339">
        <f t="shared" ca="1" si="159"/>
        <v>1</v>
      </c>
      <c r="H339">
        <f t="shared" si="143"/>
        <v>1</v>
      </c>
      <c r="I339" s="44">
        <f t="shared" ca="1" si="160"/>
        <v>31</v>
      </c>
      <c r="J339">
        <f t="shared" si="144"/>
        <v>2</v>
      </c>
      <c r="K339" s="36">
        <f t="shared" ca="1" si="145"/>
        <v>155.95238095238096</v>
      </c>
      <c r="L339" s="10">
        <f ca="1">AH339*VLOOKUP(C339,技能辅助查询表,技能配置辅助表!$T$1,FALSE)</f>
        <v>0</v>
      </c>
      <c r="M339">
        <f t="shared" ca="1" si="146"/>
        <v>5520</v>
      </c>
      <c r="N339" s="33">
        <f ca="1">CHOOSE(1,W339*U339,X339*'[1]0、经济设定'!$C$18)</f>
        <v>50721</v>
      </c>
      <c r="O339">
        <f t="shared" si="147"/>
        <v>4</v>
      </c>
      <c r="P339">
        <f t="shared" si="148"/>
        <v>1</v>
      </c>
      <c r="Q339">
        <f t="shared" si="149"/>
        <v>1</v>
      </c>
      <c r="R339" s="2">
        <f t="shared" si="150"/>
        <v>6</v>
      </c>
      <c r="S339" s="2">
        <f t="shared" si="151"/>
        <v>50</v>
      </c>
      <c r="T339" s="2">
        <f t="shared" si="152"/>
        <v>119.04761904761905</v>
      </c>
      <c r="U339" s="2">
        <f ca="1">VLOOKUP(E339,金币生产率!$A$2:$B$120,2,0)</f>
        <v>1749</v>
      </c>
      <c r="V339" s="2">
        <f t="shared" si="153"/>
        <v>119.04761904761905</v>
      </c>
      <c r="W339" s="45">
        <f t="shared" ca="1" si="166"/>
        <v>29</v>
      </c>
      <c r="X339" s="48">
        <f t="shared" ca="1" si="167"/>
        <v>394</v>
      </c>
      <c r="Y339">
        <f t="shared" si="154"/>
        <v>18</v>
      </c>
      <c r="Z339">
        <f t="shared" ca="1" si="161"/>
        <v>12</v>
      </c>
      <c r="AA339" t="str">
        <f t="shared" ca="1" si="162"/>
        <v>9124100.png</v>
      </c>
      <c r="AB339">
        <f t="shared" si="155"/>
        <v>20</v>
      </c>
      <c r="AC339">
        <f>VLOOKUP(C339,技能辅助查询表,技能配置辅助表!$W$1,FALSE)</f>
        <v>945</v>
      </c>
      <c r="AD339">
        <f t="shared" ca="1" si="163"/>
        <v>72.317298668155971</v>
      </c>
      <c r="AE339">
        <f>VLOOKUP(C339,技能辅助查询表,技能配置辅助表!$U$1,FALSE)</f>
        <v>4</v>
      </c>
      <c r="AF339">
        <f t="shared" ca="1" si="164"/>
        <v>9124131</v>
      </c>
      <c r="AG339">
        <f t="shared" ca="1" si="168"/>
        <v>51.306122448979593</v>
      </c>
      <c r="AH339">
        <f t="shared" ca="1" si="165"/>
        <v>646.23969022607446</v>
      </c>
      <c r="AI339">
        <f ca="1">VLOOKUP(E339,伤害参考系!$C$4:$E$104,3,FALSE)*$AN$12</f>
        <v>6904.487016722409</v>
      </c>
      <c r="AJ339">
        <f>VLOOKUP(C339,技能辅助查询表,技能配置辅助表!$L$1,FALSE)</f>
        <v>1</v>
      </c>
      <c r="AK339">
        <f>VLOOKUP(C339,技能辅助查询表,技能配置辅助表!$AE$1,FALSE)</f>
        <v>66000009</v>
      </c>
    </row>
    <row r="340" spans="1:37" x14ac:dyDescent="0.15">
      <c r="A340" s="1">
        <f t="shared" ca="1" si="156"/>
        <v>9124132</v>
      </c>
      <c r="B340" s="1" t="str">
        <f t="shared" ca="1" si="141"/>
        <v>裂空·斩第1段</v>
      </c>
      <c r="C340" t="s">
        <v>156</v>
      </c>
      <c r="D340">
        <f t="shared" si="142"/>
        <v>1</v>
      </c>
      <c r="E340" s="42">
        <f t="shared" ca="1" si="157"/>
        <v>53</v>
      </c>
      <c r="F340" t="str">
        <f t="shared" ca="1" si="158"/>
        <v>第32级，共造成157.1%点伤害</v>
      </c>
      <c r="G340">
        <f t="shared" ca="1" si="159"/>
        <v>1</v>
      </c>
      <c r="H340">
        <f t="shared" si="143"/>
        <v>1</v>
      </c>
      <c r="I340" s="44">
        <f t="shared" ca="1" si="160"/>
        <v>32</v>
      </c>
      <c r="J340">
        <f t="shared" si="144"/>
        <v>2</v>
      </c>
      <c r="K340" s="36">
        <f t="shared" ca="1" si="145"/>
        <v>157.14285714285714</v>
      </c>
      <c r="L340" s="10">
        <f ca="1">AH340*VLOOKUP(C340,技能辅助查询表,技能配置辅助表!$T$1,FALSE)</f>
        <v>0</v>
      </c>
      <c r="M340">
        <f t="shared" ca="1" si="146"/>
        <v>5440</v>
      </c>
      <c r="N340" s="33">
        <f ca="1">CHOOSE(1,W340*U340,X340*'[1]0、经济设定'!$C$18)</f>
        <v>56420</v>
      </c>
      <c r="O340">
        <f t="shared" si="147"/>
        <v>4</v>
      </c>
      <c r="P340">
        <f t="shared" si="148"/>
        <v>1</v>
      </c>
      <c r="Q340">
        <f t="shared" si="149"/>
        <v>1</v>
      </c>
      <c r="R340" s="2">
        <f t="shared" si="150"/>
        <v>6</v>
      </c>
      <c r="S340" s="2">
        <f t="shared" si="151"/>
        <v>50</v>
      </c>
      <c r="T340" s="2">
        <f t="shared" si="152"/>
        <v>119.04761904761905</v>
      </c>
      <c r="U340" s="2">
        <f ca="1">VLOOKUP(E340,金币生产率!$A$2:$B$120,2,0)</f>
        <v>1820</v>
      </c>
      <c r="V340" s="2">
        <f t="shared" si="153"/>
        <v>119.04761904761905</v>
      </c>
      <c r="W340" s="45">
        <f t="shared" ca="1" si="166"/>
        <v>31</v>
      </c>
      <c r="X340" s="48">
        <f t="shared" ca="1" si="167"/>
        <v>425</v>
      </c>
      <c r="Y340">
        <f t="shared" si="154"/>
        <v>18</v>
      </c>
      <c r="Z340">
        <f t="shared" ca="1" si="161"/>
        <v>13</v>
      </c>
      <c r="AA340" t="str">
        <f t="shared" ca="1" si="162"/>
        <v>9124100.png</v>
      </c>
      <c r="AB340">
        <f t="shared" si="155"/>
        <v>20</v>
      </c>
      <c r="AC340">
        <f>VLOOKUP(C340,技能辅助查询表,技能配置辅助表!$W$1,FALSE)</f>
        <v>945</v>
      </c>
      <c r="AD340">
        <f t="shared" ca="1" si="163"/>
        <v>84.084039765094801</v>
      </c>
      <c r="AE340">
        <f>VLOOKUP(C340,技能辅助查询表,技能配置辅助表!$U$1,FALSE)</f>
        <v>4</v>
      </c>
      <c r="AF340">
        <f t="shared" ca="1" si="164"/>
        <v>9124132</v>
      </c>
      <c r="AG340">
        <f t="shared" ca="1" si="168"/>
        <v>52.816326530612244</v>
      </c>
      <c r="AH340">
        <f t="shared" ca="1" si="165"/>
        <v>735.73534794457942</v>
      </c>
      <c r="AI340">
        <f ca="1">VLOOKUP(E340,伤害参考系!$C$4:$E$104,3,FALSE)*$AN$12</f>
        <v>7291.2152408026777</v>
      </c>
      <c r="AJ340">
        <f>VLOOKUP(C340,技能辅助查询表,技能配置辅助表!$L$1,FALSE)</f>
        <v>1</v>
      </c>
      <c r="AK340">
        <f>VLOOKUP(C340,技能辅助查询表,技能配置辅助表!$AE$1,FALSE)</f>
        <v>66000009</v>
      </c>
    </row>
    <row r="341" spans="1:37" x14ac:dyDescent="0.15">
      <c r="A341" s="1">
        <f t="shared" ca="1" si="156"/>
        <v>9124133</v>
      </c>
      <c r="B341" s="1" t="str">
        <f t="shared" ca="1" si="141"/>
        <v>裂空·斩第1段</v>
      </c>
      <c r="C341" t="s">
        <v>156</v>
      </c>
      <c r="D341">
        <f t="shared" si="142"/>
        <v>1</v>
      </c>
      <c r="E341" s="42">
        <f t="shared" ca="1" si="157"/>
        <v>55</v>
      </c>
      <c r="F341" t="str">
        <f t="shared" ca="1" si="158"/>
        <v>第33级，共造成158.3%点伤害</v>
      </c>
      <c r="G341">
        <f t="shared" ca="1" si="159"/>
        <v>1</v>
      </c>
      <c r="H341">
        <f t="shared" si="143"/>
        <v>1</v>
      </c>
      <c r="I341" s="44">
        <f t="shared" ca="1" si="160"/>
        <v>33</v>
      </c>
      <c r="J341">
        <f t="shared" si="144"/>
        <v>2</v>
      </c>
      <c r="K341" s="36">
        <f t="shared" ca="1" si="145"/>
        <v>158.33333333333334</v>
      </c>
      <c r="L341" s="10">
        <f ca="1">AH341*VLOOKUP(C341,技能辅助查询表,技能配置辅助表!$T$1,FALSE)</f>
        <v>0</v>
      </c>
      <c r="M341">
        <f t="shared" ca="1" si="146"/>
        <v>5360</v>
      </c>
      <c r="N341" s="33">
        <f ca="1">CHOOSE(1,W341*U341,X341*'[1]0、经济设定'!$C$18)</f>
        <v>66878</v>
      </c>
      <c r="O341">
        <f t="shared" si="147"/>
        <v>4</v>
      </c>
      <c r="P341">
        <f t="shared" si="148"/>
        <v>1</v>
      </c>
      <c r="Q341">
        <f t="shared" si="149"/>
        <v>1</v>
      </c>
      <c r="R341" s="2">
        <f t="shared" si="150"/>
        <v>6</v>
      </c>
      <c r="S341" s="2">
        <f t="shared" si="151"/>
        <v>50</v>
      </c>
      <c r="T341" s="2">
        <f t="shared" si="152"/>
        <v>119.04761904761905</v>
      </c>
      <c r="U341" s="2">
        <f ca="1">VLOOKUP(E341,金币生产率!$A$2:$B$120,2,0)</f>
        <v>1967</v>
      </c>
      <c r="V341" s="2">
        <f t="shared" si="153"/>
        <v>119.04761904761905</v>
      </c>
      <c r="W341" s="45">
        <f t="shared" ca="1" si="166"/>
        <v>34</v>
      </c>
      <c r="X341" s="48">
        <f t="shared" ca="1" si="167"/>
        <v>459</v>
      </c>
      <c r="Y341">
        <f t="shared" si="154"/>
        <v>18</v>
      </c>
      <c r="Z341">
        <f t="shared" ca="1" si="161"/>
        <v>14</v>
      </c>
      <c r="AA341" t="str">
        <f t="shared" ca="1" si="162"/>
        <v>9124100.png</v>
      </c>
      <c r="AB341">
        <f t="shared" si="155"/>
        <v>20</v>
      </c>
      <c r="AC341">
        <f>VLOOKUP(C341,技能辅助查询表,技能配置辅助表!$W$1,FALSE)</f>
        <v>945</v>
      </c>
      <c r="AD341">
        <f t="shared" ca="1" si="163"/>
        <v>97.722913361046224</v>
      </c>
      <c r="AE341">
        <f>VLOOKUP(C341,技能辅助查询表,技能配置辅助表!$U$1,FALSE)</f>
        <v>4</v>
      </c>
      <c r="AF341">
        <f t="shared" ca="1" si="164"/>
        <v>9124133</v>
      </c>
      <c r="AG341">
        <f t="shared" ca="1" si="168"/>
        <v>54.326530612244895</v>
      </c>
      <c r="AH341">
        <f t="shared" ca="1" si="165"/>
        <v>837.62497166611001</v>
      </c>
      <c r="AI341">
        <f ca="1">VLOOKUP(E341,伤害参考系!$C$4:$E$104,3,FALSE)*$AN$12</f>
        <v>8095.9099289297656</v>
      </c>
      <c r="AJ341">
        <f>VLOOKUP(C341,技能辅助查询表,技能配置辅助表!$L$1,FALSE)</f>
        <v>1</v>
      </c>
      <c r="AK341">
        <f>VLOOKUP(C341,技能辅助查询表,技能配置辅助表!$AE$1,FALSE)</f>
        <v>66000009</v>
      </c>
    </row>
    <row r="342" spans="1:37" x14ac:dyDescent="0.15">
      <c r="A342" s="1">
        <f t="shared" ca="1" si="156"/>
        <v>9124134</v>
      </c>
      <c r="B342" s="1" t="str">
        <f t="shared" ca="1" si="141"/>
        <v>裂空·斩第1段</v>
      </c>
      <c r="C342" t="s">
        <v>156</v>
      </c>
      <c r="D342">
        <f t="shared" si="142"/>
        <v>1</v>
      </c>
      <c r="E342" s="42">
        <f t="shared" ca="1" si="157"/>
        <v>56</v>
      </c>
      <c r="F342" t="str">
        <f t="shared" ca="1" si="158"/>
        <v>第34级，共造成159.5%点伤害</v>
      </c>
      <c r="G342">
        <f t="shared" ca="1" si="159"/>
        <v>1</v>
      </c>
      <c r="H342">
        <f t="shared" si="143"/>
        <v>1</v>
      </c>
      <c r="I342" s="44">
        <f t="shared" ca="1" si="160"/>
        <v>34</v>
      </c>
      <c r="J342">
        <f t="shared" si="144"/>
        <v>2</v>
      </c>
      <c r="K342" s="36">
        <f t="shared" ca="1" si="145"/>
        <v>159.52380952380952</v>
      </c>
      <c r="L342" s="10">
        <f ca="1">AH342*VLOOKUP(C342,技能辅助查询表,技能配置辅助表!$T$1,FALSE)</f>
        <v>0</v>
      </c>
      <c r="M342">
        <f t="shared" ca="1" si="146"/>
        <v>5280</v>
      </c>
      <c r="N342" s="33">
        <f ca="1">CHOOSE(1,W342*U342,X342*'[1]0、经济设定'!$C$18)</f>
        <v>73512</v>
      </c>
      <c r="O342">
        <f t="shared" si="147"/>
        <v>4</v>
      </c>
      <c r="P342">
        <f t="shared" si="148"/>
        <v>1</v>
      </c>
      <c r="Q342">
        <f t="shared" si="149"/>
        <v>1</v>
      </c>
      <c r="R342" s="2">
        <f t="shared" si="150"/>
        <v>6</v>
      </c>
      <c r="S342" s="2">
        <f t="shared" si="151"/>
        <v>50</v>
      </c>
      <c r="T342" s="2">
        <f t="shared" si="152"/>
        <v>119.04761904761905</v>
      </c>
      <c r="U342" s="2">
        <f ca="1">VLOOKUP(E342,金币生产率!$A$2:$B$120,2,0)</f>
        <v>2042</v>
      </c>
      <c r="V342" s="2">
        <f t="shared" si="153"/>
        <v>119.04761904761905</v>
      </c>
      <c r="W342" s="45">
        <f t="shared" ca="1" si="166"/>
        <v>36</v>
      </c>
      <c r="X342" s="48">
        <f t="shared" ca="1" si="167"/>
        <v>495</v>
      </c>
      <c r="Y342">
        <f t="shared" si="154"/>
        <v>18</v>
      </c>
      <c r="Z342">
        <f t="shared" ca="1" si="161"/>
        <v>15</v>
      </c>
      <c r="AA342" t="str">
        <f t="shared" ca="1" si="162"/>
        <v>9124100.png</v>
      </c>
      <c r="AB342">
        <f t="shared" si="155"/>
        <v>20</v>
      </c>
      <c r="AC342">
        <f>VLOOKUP(C342,技能辅助查询表,技能配置辅助表!$W$1,FALSE)</f>
        <v>945</v>
      </c>
      <c r="AD342">
        <f t="shared" ca="1" si="163"/>
        <v>113.52678117962634</v>
      </c>
      <c r="AE342">
        <f>VLOOKUP(C342,技能辅助查询表,技能配置辅助表!$U$1,FALSE)</f>
        <v>4</v>
      </c>
      <c r="AF342">
        <f t="shared" ca="1" si="164"/>
        <v>9124134</v>
      </c>
      <c r="AG342">
        <f t="shared" ca="1" si="168"/>
        <v>55.836734693877553</v>
      </c>
      <c r="AH342">
        <f t="shared" ca="1" si="165"/>
        <v>953.62496190886134</v>
      </c>
      <c r="AI342">
        <f ca="1">VLOOKUP(E342,伤害参考系!$C$4:$E$104,3,FALSE)*$AN$12</f>
        <v>8513.8763929765901</v>
      </c>
      <c r="AJ342">
        <f>VLOOKUP(C342,技能辅助查询表,技能配置辅助表!$L$1,FALSE)</f>
        <v>1</v>
      </c>
      <c r="AK342">
        <f>VLOOKUP(C342,技能辅助查询表,技能配置辅助表!$AE$1,FALSE)</f>
        <v>66000009</v>
      </c>
    </row>
    <row r="343" spans="1:37" x14ac:dyDescent="0.15">
      <c r="A343" s="1">
        <f t="shared" ca="1" si="156"/>
        <v>9124135</v>
      </c>
      <c r="B343" s="1" t="str">
        <f t="shared" ca="1" si="141"/>
        <v>裂空·斩第1段</v>
      </c>
      <c r="C343" t="s">
        <v>156</v>
      </c>
      <c r="D343">
        <f t="shared" si="142"/>
        <v>1</v>
      </c>
      <c r="E343" s="42">
        <f t="shared" ca="1" si="157"/>
        <v>58</v>
      </c>
      <c r="F343" t="str">
        <f t="shared" ca="1" si="158"/>
        <v>第35级，共造成160.7%点伤害</v>
      </c>
      <c r="G343">
        <f t="shared" ca="1" si="159"/>
        <v>1</v>
      </c>
      <c r="H343">
        <f t="shared" si="143"/>
        <v>1</v>
      </c>
      <c r="I343" s="44">
        <f t="shared" ca="1" si="160"/>
        <v>35</v>
      </c>
      <c r="J343">
        <f t="shared" si="144"/>
        <v>2</v>
      </c>
      <c r="K343" s="36">
        <f t="shared" ca="1" si="145"/>
        <v>160.71428571428572</v>
      </c>
      <c r="L343" s="10">
        <f ca="1">AH343*VLOOKUP(C343,技能辅助查询表,技能配置辅助表!$T$1,FALSE)</f>
        <v>0</v>
      </c>
      <c r="M343">
        <f t="shared" ca="1" si="146"/>
        <v>5200</v>
      </c>
      <c r="N343" s="33">
        <f ca="1">CHOOSE(1,W343*U343,X343*'[1]0、经济设定'!$C$18)</f>
        <v>83524</v>
      </c>
      <c r="O343">
        <f t="shared" si="147"/>
        <v>4</v>
      </c>
      <c r="P343">
        <f t="shared" si="148"/>
        <v>1</v>
      </c>
      <c r="Q343">
        <f t="shared" si="149"/>
        <v>1</v>
      </c>
      <c r="R343" s="2">
        <f t="shared" si="150"/>
        <v>6</v>
      </c>
      <c r="S343" s="2">
        <f t="shared" si="151"/>
        <v>50</v>
      </c>
      <c r="T343" s="2">
        <f t="shared" si="152"/>
        <v>119.04761904761905</v>
      </c>
      <c r="U343" s="2">
        <f ca="1">VLOOKUP(E343,金币生产率!$A$2:$B$120,2,0)</f>
        <v>2198</v>
      </c>
      <c r="V343" s="2">
        <f t="shared" si="153"/>
        <v>119.04761904761905</v>
      </c>
      <c r="W343" s="45">
        <f t="shared" ca="1" si="166"/>
        <v>38</v>
      </c>
      <c r="X343" s="48">
        <f t="shared" ca="1" si="167"/>
        <v>533</v>
      </c>
      <c r="Y343">
        <f t="shared" si="154"/>
        <v>18</v>
      </c>
      <c r="Z343">
        <f t="shared" ca="1" si="161"/>
        <v>16</v>
      </c>
      <c r="AA343" t="str">
        <f t="shared" ca="1" si="162"/>
        <v>9124100.png</v>
      </c>
      <c r="AB343">
        <f t="shared" si="155"/>
        <v>20</v>
      </c>
      <c r="AC343">
        <f>VLOOKUP(C343,技能辅助查询表,技能配置辅助表!$W$1,FALSE)</f>
        <v>945</v>
      </c>
      <c r="AD343">
        <f t="shared" ca="1" si="163"/>
        <v>131.8337150407161</v>
      </c>
      <c r="AE343">
        <f>VLOOKUP(C343,技能辅助查询表,技能配置辅助表!$U$1,FALSE)</f>
        <v>4</v>
      </c>
      <c r="AF343">
        <f t="shared" ca="1" si="164"/>
        <v>9124135</v>
      </c>
      <c r="AG343">
        <f t="shared" ca="1" si="168"/>
        <v>57.346938775510203</v>
      </c>
      <c r="AH343">
        <f t="shared" ca="1" si="165"/>
        <v>1085.689417982368</v>
      </c>
      <c r="AI343">
        <f ca="1">VLOOKUP(E343,伤害参考系!$C$4:$E$104,3,FALSE)*$AN$12</f>
        <v>9381.0475610367921</v>
      </c>
      <c r="AJ343">
        <f>VLOOKUP(C343,技能辅助查询表,技能配置辅助表!$L$1,FALSE)</f>
        <v>1</v>
      </c>
      <c r="AK343">
        <f>VLOOKUP(C343,技能辅助查询表,技能配置辅助表!$AE$1,FALSE)</f>
        <v>66000009</v>
      </c>
    </row>
    <row r="344" spans="1:37" x14ac:dyDescent="0.15">
      <c r="A344" s="1">
        <f t="shared" ca="1" si="156"/>
        <v>9124136</v>
      </c>
      <c r="B344" s="1" t="str">
        <f t="shared" ca="1" si="141"/>
        <v>裂空·斩第1段</v>
      </c>
      <c r="C344" t="s">
        <v>156</v>
      </c>
      <c r="D344">
        <f t="shared" si="142"/>
        <v>1</v>
      </c>
      <c r="E344" s="42">
        <f t="shared" ca="1" si="157"/>
        <v>59</v>
      </c>
      <c r="F344" t="str">
        <f t="shared" ca="1" si="158"/>
        <v>第36级，共造成161.9%点伤害</v>
      </c>
      <c r="G344">
        <f t="shared" ca="1" si="159"/>
        <v>1</v>
      </c>
      <c r="H344">
        <f t="shared" si="143"/>
        <v>1</v>
      </c>
      <c r="I344" s="44">
        <f t="shared" ca="1" si="160"/>
        <v>36</v>
      </c>
      <c r="J344">
        <f t="shared" si="144"/>
        <v>2</v>
      </c>
      <c r="K344" s="36">
        <f t="shared" ca="1" si="145"/>
        <v>161.9047619047619</v>
      </c>
      <c r="L344" s="10">
        <f ca="1">AH344*VLOOKUP(C344,技能辅助查询表,技能配置辅助表!$T$1,FALSE)</f>
        <v>0</v>
      </c>
      <c r="M344">
        <f t="shared" ca="1" si="146"/>
        <v>5120</v>
      </c>
      <c r="N344" s="33">
        <f ca="1">CHOOSE(1,W344*U344,X344*'[1]0、经济设定'!$C$18)</f>
        <v>93357</v>
      </c>
      <c r="O344">
        <f t="shared" si="147"/>
        <v>4</v>
      </c>
      <c r="P344">
        <f t="shared" si="148"/>
        <v>1</v>
      </c>
      <c r="Q344">
        <f t="shared" si="149"/>
        <v>1</v>
      </c>
      <c r="R344" s="2">
        <f t="shared" si="150"/>
        <v>6</v>
      </c>
      <c r="S344" s="2">
        <f t="shared" si="151"/>
        <v>50</v>
      </c>
      <c r="T344" s="2">
        <f t="shared" si="152"/>
        <v>119.04761904761905</v>
      </c>
      <c r="U344" s="2">
        <f ca="1">VLOOKUP(E344,金币生产率!$A$2:$B$120,2,0)</f>
        <v>2277</v>
      </c>
      <c r="V344" s="2">
        <f t="shared" si="153"/>
        <v>119.04761904761905</v>
      </c>
      <c r="W344" s="45">
        <f t="shared" ca="1" si="166"/>
        <v>41</v>
      </c>
      <c r="X344" s="48">
        <f t="shared" ca="1" si="167"/>
        <v>574</v>
      </c>
      <c r="Y344">
        <f t="shared" si="154"/>
        <v>18</v>
      </c>
      <c r="Z344">
        <f t="shared" ca="1" si="161"/>
        <v>17</v>
      </c>
      <c r="AA344" t="str">
        <f t="shared" ca="1" si="162"/>
        <v>9124100.png</v>
      </c>
      <c r="AB344">
        <f t="shared" si="155"/>
        <v>20</v>
      </c>
      <c r="AC344">
        <f>VLOOKUP(C344,技能辅助查询表,技能配置辅助表!$W$1,FALSE)</f>
        <v>945</v>
      </c>
      <c r="AD344">
        <f t="shared" ca="1" si="163"/>
        <v>153.03390218742106</v>
      </c>
      <c r="AE344">
        <f>VLOOKUP(C344,技能辅助查询表,技能配置辅助表!$U$1,FALSE)</f>
        <v>4</v>
      </c>
      <c r="AF344">
        <f t="shared" ca="1" si="164"/>
        <v>9124136</v>
      </c>
      <c r="AG344">
        <f t="shared" ca="1" si="168"/>
        <v>58.857142857142854</v>
      </c>
      <c r="AH344">
        <f t="shared" ca="1" si="165"/>
        <v>1236.0430561291703</v>
      </c>
      <c r="AI344">
        <f ca="1">VLOOKUP(E344,伤害参考系!$C$4:$E$104,3,FALSE)*$AN$12</f>
        <v>9830.2522650501687</v>
      </c>
      <c r="AJ344">
        <f>VLOOKUP(C344,技能辅助查询表,技能配置辅助表!$L$1,FALSE)</f>
        <v>1</v>
      </c>
      <c r="AK344">
        <f>VLOOKUP(C344,技能辅助查询表,技能配置辅助表!$AE$1,FALSE)</f>
        <v>66000009</v>
      </c>
    </row>
    <row r="345" spans="1:37" x14ac:dyDescent="0.15">
      <c r="A345" s="1">
        <f t="shared" ca="1" si="156"/>
        <v>9124137</v>
      </c>
      <c r="B345" s="1" t="str">
        <f t="shared" ca="1" si="141"/>
        <v>裂空·斩第1段</v>
      </c>
      <c r="C345" t="s">
        <v>156</v>
      </c>
      <c r="D345">
        <f t="shared" si="142"/>
        <v>1</v>
      </c>
      <c r="E345" s="42">
        <f t="shared" ca="1" si="157"/>
        <v>61</v>
      </c>
      <c r="F345" t="str">
        <f t="shared" ca="1" si="158"/>
        <v>第37级，共造成163.1%点伤害</v>
      </c>
      <c r="G345">
        <f t="shared" ca="1" si="159"/>
        <v>1</v>
      </c>
      <c r="H345">
        <f t="shared" si="143"/>
        <v>1</v>
      </c>
      <c r="I345" s="44">
        <f t="shared" ca="1" si="160"/>
        <v>37</v>
      </c>
      <c r="J345">
        <f t="shared" si="144"/>
        <v>2</v>
      </c>
      <c r="K345" s="36">
        <f t="shared" ca="1" si="145"/>
        <v>163.0952380952381</v>
      </c>
      <c r="L345" s="10">
        <f ca="1">AH345*VLOOKUP(C345,技能辅助查询表,技能配置辅助表!$T$1,FALSE)</f>
        <v>0</v>
      </c>
      <c r="M345">
        <f t="shared" ca="1" si="146"/>
        <v>5040</v>
      </c>
      <c r="N345" s="33">
        <f ca="1">CHOOSE(1,W345*U345,X345*'[1]0、经济设定'!$C$18)</f>
        <v>107360</v>
      </c>
      <c r="O345">
        <f t="shared" si="147"/>
        <v>4</v>
      </c>
      <c r="P345">
        <f t="shared" si="148"/>
        <v>1</v>
      </c>
      <c r="Q345">
        <f t="shared" si="149"/>
        <v>1</v>
      </c>
      <c r="R345" s="2">
        <f t="shared" si="150"/>
        <v>6</v>
      </c>
      <c r="S345" s="2">
        <f t="shared" si="151"/>
        <v>50</v>
      </c>
      <c r="T345" s="2">
        <f t="shared" si="152"/>
        <v>119.04761904761905</v>
      </c>
      <c r="U345" s="2">
        <f ca="1">VLOOKUP(E345,金币生产率!$A$2:$B$120,2,0)</f>
        <v>2440</v>
      </c>
      <c r="V345" s="2">
        <f t="shared" si="153"/>
        <v>119.04761904761905</v>
      </c>
      <c r="W345" s="45">
        <f t="shared" ca="1" si="166"/>
        <v>44</v>
      </c>
      <c r="X345" s="48">
        <f t="shared" ca="1" si="167"/>
        <v>618</v>
      </c>
      <c r="Y345">
        <f t="shared" si="154"/>
        <v>18</v>
      </c>
      <c r="Z345">
        <f t="shared" ca="1" si="161"/>
        <v>18</v>
      </c>
      <c r="AA345" t="str">
        <f t="shared" ca="1" si="162"/>
        <v>9124100.png</v>
      </c>
      <c r="AB345">
        <f t="shared" si="155"/>
        <v>20</v>
      </c>
      <c r="AC345">
        <f>VLOOKUP(C345,技能辅助查询表,技能配置辅助表!$W$1,FALSE)</f>
        <v>945</v>
      </c>
      <c r="AD345">
        <f t="shared" ca="1" si="163"/>
        <v>177.57759614021001</v>
      </c>
      <c r="AE345">
        <f>VLOOKUP(C345,技能辅助查询表,技能配置辅助表!$U$1,FALSE)</f>
        <v>4</v>
      </c>
      <c r="AF345">
        <f t="shared" ca="1" si="164"/>
        <v>9124137</v>
      </c>
      <c r="AG345">
        <f t="shared" ca="1" si="168"/>
        <v>60.367346938775512</v>
      </c>
      <c r="AH345">
        <f t="shared" ca="1" si="165"/>
        <v>1407.2186863941167</v>
      </c>
      <c r="AI345">
        <f ca="1">VLOOKUP(E345,伤害参考系!$C$4:$E$104,3,FALSE)*$AN$12</f>
        <v>10863.360489130437</v>
      </c>
      <c r="AJ345">
        <f>VLOOKUP(C345,技能辅助查询表,技能配置辅助表!$L$1,FALSE)</f>
        <v>1</v>
      </c>
      <c r="AK345">
        <f>VLOOKUP(C345,技能辅助查询表,技能配置辅助表!$AE$1,FALSE)</f>
        <v>66000009</v>
      </c>
    </row>
    <row r="346" spans="1:37" x14ac:dyDescent="0.15">
      <c r="A346" s="1">
        <f t="shared" ca="1" si="156"/>
        <v>9124138</v>
      </c>
      <c r="B346" s="1" t="str">
        <f t="shared" ca="1" si="141"/>
        <v>裂空·斩第1段</v>
      </c>
      <c r="C346" t="s">
        <v>156</v>
      </c>
      <c r="D346">
        <f t="shared" si="142"/>
        <v>1</v>
      </c>
      <c r="E346" s="42">
        <f t="shared" ca="1" si="157"/>
        <v>62</v>
      </c>
      <c r="F346" t="str">
        <f t="shared" ca="1" si="158"/>
        <v>第38级，共造成164.3%点伤害</v>
      </c>
      <c r="G346">
        <f t="shared" ca="1" si="159"/>
        <v>1</v>
      </c>
      <c r="H346">
        <f t="shared" si="143"/>
        <v>1</v>
      </c>
      <c r="I346" s="44">
        <f t="shared" ca="1" si="160"/>
        <v>38</v>
      </c>
      <c r="J346">
        <f t="shared" si="144"/>
        <v>2</v>
      </c>
      <c r="K346" s="36">
        <f t="shared" ca="1" si="145"/>
        <v>164.28571428571428</v>
      </c>
      <c r="L346" s="10">
        <f ca="1">AH346*VLOOKUP(C346,技能辅助查询表,技能配置辅助表!$T$1,FALSE)</f>
        <v>0</v>
      </c>
      <c r="M346">
        <f t="shared" ca="1" si="146"/>
        <v>4960</v>
      </c>
      <c r="N346" s="33">
        <f ca="1">CHOOSE(1,W346*U346,X346*'[1]0、经济设定'!$C$18)</f>
        <v>118628</v>
      </c>
      <c r="O346">
        <f t="shared" si="147"/>
        <v>4</v>
      </c>
      <c r="P346">
        <f t="shared" si="148"/>
        <v>1</v>
      </c>
      <c r="Q346">
        <f t="shared" si="149"/>
        <v>1</v>
      </c>
      <c r="R346" s="2">
        <f t="shared" si="150"/>
        <v>6</v>
      </c>
      <c r="S346" s="2">
        <f t="shared" si="151"/>
        <v>50</v>
      </c>
      <c r="T346" s="2">
        <f t="shared" si="152"/>
        <v>119.04761904761905</v>
      </c>
      <c r="U346" s="2">
        <f ca="1">VLOOKUP(E346,金币生产率!$A$2:$B$120,2,0)</f>
        <v>2524</v>
      </c>
      <c r="V346" s="2">
        <f t="shared" si="153"/>
        <v>119.04761904761905</v>
      </c>
      <c r="W346" s="45">
        <f t="shared" ca="1" si="166"/>
        <v>47</v>
      </c>
      <c r="X346" s="48">
        <f t="shared" ca="1" si="167"/>
        <v>665</v>
      </c>
      <c r="Y346">
        <f t="shared" si="154"/>
        <v>18</v>
      </c>
      <c r="Z346">
        <f t="shared" ca="1" si="161"/>
        <v>19</v>
      </c>
      <c r="AA346" t="str">
        <f t="shared" ca="1" si="162"/>
        <v>9124100.png</v>
      </c>
      <c r="AB346">
        <f t="shared" si="155"/>
        <v>20</v>
      </c>
      <c r="AC346">
        <f>VLOOKUP(C346,技能辅助查询表,技能配置辅助表!$W$1,FALSE)</f>
        <v>945</v>
      </c>
      <c r="AD346">
        <f t="shared" ca="1" si="163"/>
        <v>205.98427022719392</v>
      </c>
      <c r="AE346">
        <f>VLOOKUP(C346,技能辅助查询表,技能配置辅助表!$U$1,FALSE)</f>
        <v>4</v>
      </c>
      <c r="AF346">
        <f t="shared" ca="1" si="164"/>
        <v>9124138</v>
      </c>
      <c r="AG346">
        <f t="shared" ca="1" si="168"/>
        <v>61.877551020408163</v>
      </c>
      <c r="AH346">
        <f t="shared" ca="1" si="165"/>
        <v>1602.0998795448415</v>
      </c>
      <c r="AI346">
        <f ca="1">VLOOKUP(E346,伤害参考系!$C$4:$E$104,3,FALSE)*$AN$12</f>
        <v>11398.657545150505</v>
      </c>
      <c r="AJ346">
        <f>VLOOKUP(C346,技能辅助查询表,技能配置辅助表!$L$1,FALSE)</f>
        <v>1</v>
      </c>
      <c r="AK346">
        <f>VLOOKUP(C346,技能辅助查询表,技能配置辅助表!$AE$1,FALSE)</f>
        <v>66000009</v>
      </c>
    </row>
    <row r="347" spans="1:37" x14ac:dyDescent="0.15">
      <c r="A347" s="1">
        <f t="shared" ca="1" si="156"/>
        <v>9124139</v>
      </c>
      <c r="B347" s="1" t="str">
        <f t="shared" ca="1" si="141"/>
        <v>裂空·斩第1段</v>
      </c>
      <c r="C347" t="s">
        <v>156</v>
      </c>
      <c r="D347">
        <f t="shared" si="142"/>
        <v>1</v>
      </c>
      <c r="E347" s="42">
        <f t="shared" ca="1" si="157"/>
        <v>64</v>
      </c>
      <c r="F347" t="str">
        <f t="shared" ca="1" si="158"/>
        <v>第39级，共造成165.5%点伤害</v>
      </c>
      <c r="G347">
        <f t="shared" ca="1" si="159"/>
        <v>1</v>
      </c>
      <c r="H347">
        <f t="shared" si="143"/>
        <v>1</v>
      </c>
      <c r="I347" s="44">
        <f t="shared" ca="1" si="160"/>
        <v>39</v>
      </c>
      <c r="J347">
        <f t="shared" si="144"/>
        <v>2</v>
      </c>
      <c r="K347" s="36">
        <f t="shared" ca="1" si="145"/>
        <v>165.47619047619048</v>
      </c>
      <c r="L347" s="10">
        <f ca="1">AH347*VLOOKUP(C347,技能辅助查询表,技能配置辅助表!$T$1,FALSE)</f>
        <v>0</v>
      </c>
      <c r="M347">
        <f t="shared" ca="1" si="146"/>
        <v>4880</v>
      </c>
      <c r="N347" s="33">
        <f ca="1">CHOOSE(1,W347*U347,X347*'[1]0、经济设定'!$C$18)</f>
        <v>134750</v>
      </c>
      <c r="O347">
        <f t="shared" si="147"/>
        <v>4</v>
      </c>
      <c r="P347">
        <f t="shared" si="148"/>
        <v>1</v>
      </c>
      <c r="Q347">
        <f t="shared" si="149"/>
        <v>1</v>
      </c>
      <c r="R347" s="2">
        <f t="shared" si="150"/>
        <v>6</v>
      </c>
      <c r="S347" s="2">
        <f t="shared" si="151"/>
        <v>50</v>
      </c>
      <c r="T347" s="2">
        <f t="shared" si="152"/>
        <v>119.04761904761905</v>
      </c>
      <c r="U347" s="2">
        <f ca="1">VLOOKUP(E347,金币生产率!$A$2:$B$120,2,0)</f>
        <v>2695</v>
      </c>
      <c r="V347" s="2">
        <f t="shared" si="153"/>
        <v>119.04761904761905</v>
      </c>
      <c r="W347" s="45">
        <f t="shared" ca="1" si="166"/>
        <v>50</v>
      </c>
      <c r="X347" s="48">
        <f t="shared" ca="1" si="167"/>
        <v>715</v>
      </c>
      <c r="Y347">
        <f t="shared" si="154"/>
        <v>18</v>
      </c>
      <c r="Z347">
        <f t="shared" ca="1" si="161"/>
        <v>20</v>
      </c>
      <c r="AA347" t="str">
        <f t="shared" ca="1" si="162"/>
        <v>9124100.png</v>
      </c>
      <c r="AB347">
        <f t="shared" si="155"/>
        <v>20</v>
      </c>
      <c r="AC347">
        <f>VLOOKUP(C347,技能辅助查询表,技能配置辅助表!$W$1,FALSE)</f>
        <v>945</v>
      </c>
      <c r="AD347">
        <f t="shared" ca="1" si="163"/>
        <v>238.85315441388576</v>
      </c>
      <c r="AE347">
        <f>VLOOKUP(C347,技能辅助查询表,技能配置辅助表!$U$1,FALSE)</f>
        <v>4</v>
      </c>
      <c r="AF347">
        <f t="shared" ca="1" si="164"/>
        <v>9124139</v>
      </c>
      <c r="AG347">
        <f t="shared" ca="1" si="168"/>
        <v>63.387755102040813</v>
      </c>
      <c r="AH347">
        <f t="shared" ca="1" si="165"/>
        <v>1823.9695427969455</v>
      </c>
      <c r="AI347">
        <f ca="1">VLOOKUP(E347,伤害参考系!$C$4:$E$104,3,FALSE)*$AN$12</f>
        <v>12506.737545150507</v>
      </c>
      <c r="AJ347">
        <f>VLOOKUP(C347,技能辅助查询表,技能配置辅助表!$L$1,FALSE)</f>
        <v>1</v>
      </c>
      <c r="AK347">
        <f>VLOOKUP(C347,技能辅助查询表,技能配置辅助表!$AE$1,FALSE)</f>
        <v>66000009</v>
      </c>
    </row>
    <row r="348" spans="1:37" x14ac:dyDescent="0.15">
      <c r="A348" s="1">
        <f t="shared" ca="1" si="156"/>
        <v>9124140</v>
      </c>
      <c r="B348" s="1" t="str">
        <f t="shared" ca="1" si="141"/>
        <v>裂空·斩第1段</v>
      </c>
      <c r="C348" t="s">
        <v>156</v>
      </c>
      <c r="D348">
        <f t="shared" si="142"/>
        <v>1</v>
      </c>
      <c r="E348" s="42">
        <f t="shared" ca="1" si="157"/>
        <v>65</v>
      </c>
      <c r="F348" t="str">
        <f t="shared" ca="1" si="158"/>
        <v>第40级，共造成166.7%点伤害</v>
      </c>
      <c r="G348">
        <f t="shared" ca="1" si="159"/>
        <v>1</v>
      </c>
      <c r="H348">
        <f t="shared" si="143"/>
        <v>1</v>
      </c>
      <c r="I348" s="44">
        <f t="shared" ca="1" si="160"/>
        <v>40</v>
      </c>
      <c r="J348">
        <f t="shared" si="144"/>
        <v>2</v>
      </c>
      <c r="K348" s="36">
        <f t="shared" ca="1" si="145"/>
        <v>166.66666666666669</v>
      </c>
      <c r="L348" s="10">
        <f ca="1">AH348*VLOOKUP(C348,技能辅助查询表,技能配置辅助表!$T$1,FALSE)</f>
        <v>0</v>
      </c>
      <c r="M348">
        <f t="shared" ca="1" si="146"/>
        <v>4800</v>
      </c>
      <c r="N348" s="33">
        <f ca="1">CHOOSE(1,W348*U348,X348*'[1]0、经济设定'!$C$18)</f>
        <v>150282</v>
      </c>
      <c r="O348">
        <f t="shared" si="147"/>
        <v>4</v>
      </c>
      <c r="P348">
        <f t="shared" si="148"/>
        <v>1</v>
      </c>
      <c r="Q348">
        <f t="shared" si="149"/>
        <v>1</v>
      </c>
      <c r="R348" s="2">
        <f t="shared" si="150"/>
        <v>6</v>
      </c>
      <c r="S348" s="2">
        <f t="shared" si="151"/>
        <v>50</v>
      </c>
      <c r="T348" s="2">
        <f t="shared" si="152"/>
        <v>119.04761904761905</v>
      </c>
      <c r="U348" s="2">
        <f ca="1">VLOOKUP(E348,金币生产率!$A$2:$B$120,2,0)</f>
        <v>2783</v>
      </c>
      <c r="V348" s="2">
        <f t="shared" si="153"/>
        <v>119.04761904761905</v>
      </c>
      <c r="W348" s="45">
        <f t="shared" ca="1" si="166"/>
        <v>54</v>
      </c>
      <c r="X348" s="48">
        <f t="shared" ca="1" si="167"/>
        <v>769</v>
      </c>
      <c r="Y348">
        <f t="shared" si="154"/>
        <v>18</v>
      </c>
      <c r="Z348">
        <f t="shared" ca="1" si="161"/>
        <v>22</v>
      </c>
      <c r="AA348" t="str">
        <f t="shared" ca="1" si="162"/>
        <v>9124100.png</v>
      </c>
      <c r="AB348">
        <f t="shared" si="155"/>
        <v>20</v>
      </c>
      <c r="AC348">
        <f>VLOOKUP(C348,技能辅助查询表,技能配置辅助表!$W$1,FALSE)</f>
        <v>945</v>
      </c>
      <c r="AD348">
        <f t="shared" ca="1" si="163"/>
        <v>276.8753630180301</v>
      </c>
      <c r="AE348">
        <f>VLOOKUP(C348,技能辅助查询表,技能配置辅助表!$U$1,FALSE)</f>
        <v>4</v>
      </c>
      <c r="AF348">
        <f t="shared" ca="1" si="164"/>
        <v>9124140</v>
      </c>
      <c r="AG348">
        <f t="shared" ca="1" si="168"/>
        <v>64.897959183673464</v>
      </c>
      <c r="AH348">
        <f t="shared" ca="1" si="165"/>
        <v>2076.5652226352254</v>
      </c>
      <c r="AI348">
        <f ca="1">VLOOKUP(E348,伤害参考系!$C$4:$E$104,3,FALSE)*$AN$12</f>
        <v>13079.520489130437</v>
      </c>
      <c r="AJ348">
        <f>VLOOKUP(C348,技能辅助查询表,技能配置辅助表!$L$1,FALSE)</f>
        <v>1</v>
      </c>
      <c r="AK348">
        <f>VLOOKUP(C348,技能辅助查询表,技能配置辅助表!$AE$1,FALSE)</f>
        <v>66000009</v>
      </c>
    </row>
    <row r="349" spans="1:37" x14ac:dyDescent="0.15">
      <c r="A349" s="1">
        <f t="shared" ca="1" si="156"/>
        <v>9124141</v>
      </c>
      <c r="B349" s="1" t="str">
        <f t="shared" ca="1" si="141"/>
        <v>裂空·斩第1段</v>
      </c>
      <c r="C349" t="s">
        <v>156</v>
      </c>
      <c r="D349">
        <f t="shared" si="142"/>
        <v>1</v>
      </c>
      <c r="E349" s="42">
        <f t="shared" ca="1" si="157"/>
        <v>67</v>
      </c>
      <c r="F349" t="str">
        <f t="shared" ca="1" si="158"/>
        <v>第41级，共造成167.9%点伤害</v>
      </c>
      <c r="G349">
        <f t="shared" ca="1" si="159"/>
        <v>1</v>
      </c>
      <c r="H349">
        <f t="shared" si="143"/>
        <v>1</v>
      </c>
      <c r="I349" s="44">
        <f t="shared" ca="1" si="160"/>
        <v>41</v>
      </c>
      <c r="J349">
        <f t="shared" si="144"/>
        <v>2</v>
      </c>
      <c r="K349" s="36">
        <f t="shared" ca="1" si="145"/>
        <v>167.85714285714286</v>
      </c>
      <c r="L349" s="10">
        <f ca="1">AH349*VLOOKUP(C349,技能辅助查询表,技能配置辅助表!$T$1,FALSE)</f>
        <v>0</v>
      </c>
      <c r="M349">
        <f t="shared" ca="1" si="146"/>
        <v>4720</v>
      </c>
      <c r="N349" s="33">
        <f ca="1">CHOOSE(1,W349*U349,X349*'[1]0、经济设定'!$C$18)</f>
        <v>171854</v>
      </c>
      <c r="O349">
        <f t="shared" si="147"/>
        <v>4</v>
      </c>
      <c r="P349">
        <f t="shared" si="148"/>
        <v>1</v>
      </c>
      <c r="Q349">
        <f t="shared" si="149"/>
        <v>1</v>
      </c>
      <c r="R349" s="2">
        <f t="shared" si="150"/>
        <v>6</v>
      </c>
      <c r="S349" s="2">
        <f t="shared" si="151"/>
        <v>50</v>
      </c>
      <c r="T349" s="2">
        <f t="shared" si="152"/>
        <v>119.04761904761905</v>
      </c>
      <c r="U349" s="2">
        <f ca="1">VLOOKUP(E349,金币生产率!$A$2:$B$120,2,0)</f>
        <v>2963</v>
      </c>
      <c r="V349" s="2">
        <f t="shared" si="153"/>
        <v>119.04761904761905</v>
      </c>
      <c r="W349" s="45">
        <f t="shared" ca="1" si="166"/>
        <v>58</v>
      </c>
      <c r="X349" s="48">
        <f t="shared" ca="1" si="167"/>
        <v>827</v>
      </c>
      <c r="Y349">
        <f t="shared" si="154"/>
        <v>18</v>
      </c>
      <c r="Z349">
        <f t="shared" ca="1" si="161"/>
        <v>24</v>
      </c>
      <c r="AA349" t="str">
        <f t="shared" ca="1" si="162"/>
        <v>9124100.png</v>
      </c>
      <c r="AB349">
        <f t="shared" si="155"/>
        <v>20</v>
      </c>
      <c r="AC349">
        <f>VLOOKUP(C349,技能辅助查询表,技能配置辅助表!$W$1,FALSE)</f>
        <v>945</v>
      </c>
      <c r="AD349">
        <f t="shared" ca="1" si="163"/>
        <v>320.84785186108957</v>
      </c>
      <c r="AE349">
        <f>VLOOKUP(C349,技能辅助查询表,技能配置辅助表!$U$1,FALSE)</f>
        <v>4</v>
      </c>
      <c r="AF349">
        <f t="shared" ca="1" si="164"/>
        <v>9124141</v>
      </c>
      <c r="AG349">
        <f t="shared" ca="1" si="168"/>
        <v>66.408163265306115</v>
      </c>
      <c r="AH349">
        <f t="shared" ca="1" si="165"/>
        <v>2364.1420663448707</v>
      </c>
      <c r="AI349">
        <f ca="1">VLOOKUP(E349,伤害参考系!$C$4:$E$104,3,FALSE)*$AN$12</f>
        <v>14262.572265050176</v>
      </c>
      <c r="AJ349">
        <f>VLOOKUP(C349,技能辅助查询表,技能配置辅助表!$L$1,FALSE)</f>
        <v>1</v>
      </c>
      <c r="AK349">
        <f>VLOOKUP(C349,技能辅助查询表,技能配置辅助表!$AE$1,FALSE)</f>
        <v>66000009</v>
      </c>
    </row>
    <row r="350" spans="1:37" x14ac:dyDescent="0.15">
      <c r="A350" s="1">
        <f t="shared" ca="1" si="156"/>
        <v>9124142</v>
      </c>
      <c r="B350" s="1" t="str">
        <f t="shared" ca="1" si="141"/>
        <v>裂空·斩第1段</v>
      </c>
      <c r="C350" t="s">
        <v>156</v>
      </c>
      <c r="D350">
        <f t="shared" si="142"/>
        <v>1</v>
      </c>
      <c r="E350" s="42">
        <f t="shared" ca="1" si="157"/>
        <v>68</v>
      </c>
      <c r="F350" t="str">
        <f t="shared" ca="1" si="158"/>
        <v>第42级，共造成169%点伤害</v>
      </c>
      <c r="G350">
        <f t="shared" ca="1" si="159"/>
        <v>1</v>
      </c>
      <c r="H350">
        <f t="shared" si="143"/>
        <v>1</v>
      </c>
      <c r="I350" s="44">
        <f t="shared" ca="1" si="160"/>
        <v>42</v>
      </c>
      <c r="J350">
        <f t="shared" si="144"/>
        <v>2</v>
      </c>
      <c r="K350" s="36">
        <f t="shared" ca="1" si="145"/>
        <v>169.04761904761904</v>
      </c>
      <c r="L350" s="10">
        <f ca="1">AH350*VLOOKUP(C350,技能辅助查询表,技能配置辅助表!$T$1,FALSE)</f>
        <v>0</v>
      </c>
      <c r="M350">
        <f t="shared" ca="1" si="146"/>
        <v>4640</v>
      </c>
      <c r="N350" s="33">
        <f ca="1">CHOOSE(1,W350*U350,X350*'[1]0、经济设定'!$C$18)</f>
        <v>189348</v>
      </c>
      <c r="O350">
        <f t="shared" si="147"/>
        <v>4</v>
      </c>
      <c r="P350">
        <f t="shared" si="148"/>
        <v>1</v>
      </c>
      <c r="Q350">
        <f t="shared" si="149"/>
        <v>1</v>
      </c>
      <c r="R350" s="2">
        <f t="shared" si="150"/>
        <v>6</v>
      </c>
      <c r="S350" s="2">
        <f t="shared" si="151"/>
        <v>50</v>
      </c>
      <c r="T350" s="2">
        <f t="shared" si="152"/>
        <v>119.04761904761905</v>
      </c>
      <c r="U350" s="2">
        <f ca="1">VLOOKUP(E350,金币生产率!$A$2:$B$120,2,0)</f>
        <v>3054</v>
      </c>
      <c r="V350" s="2">
        <f t="shared" si="153"/>
        <v>119.04761904761905</v>
      </c>
      <c r="W350" s="45">
        <f t="shared" ca="1" si="166"/>
        <v>62</v>
      </c>
      <c r="X350" s="48">
        <f t="shared" ca="1" si="167"/>
        <v>889</v>
      </c>
      <c r="Y350">
        <f t="shared" si="154"/>
        <v>18</v>
      </c>
      <c r="Z350">
        <f t="shared" ca="1" si="161"/>
        <v>25</v>
      </c>
      <c r="AA350" t="str">
        <f t="shared" ca="1" si="162"/>
        <v>9124100.png</v>
      </c>
      <c r="AB350">
        <f t="shared" si="155"/>
        <v>20</v>
      </c>
      <c r="AC350">
        <f>VLOOKUP(C350,技能辅助查询表,技能配置辅助表!$W$1,FALSE)</f>
        <v>945</v>
      </c>
      <c r="AD350">
        <f t="shared" ca="1" si="163"/>
        <v>371.68947896952648</v>
      </c>
      <c r="AE350">
        <f>VLOOKUP(C350,技能辅助查询表,技能配置辅助表!$U$1,FALSE)</f>
        <v>4</v>
      </c>
      <c r="AF350">
        <f t="shared" ca="1" si="164"/>
        <v>9124142</v>
      </c>
      <c r="AG350">
        <f t="shared" ca="1" si="168"/>
        <v>67.918367346938766</v>
      </c>
      <c r="AH350">
        <f t="shared" ca="1" si="165"/>
        <v>2691.5445028827789</v>
      </c>
      <c r="AI350">
        <f ca="1">VLOOKUP(E350,伤害参考系!$C$4:$E$104,3,FALSE)*$AN$12</f>
        <v>14872.841096989978</v>
      </c>
      <c r="AJ350">
        <f>VLOOKUP(C350,技能辅助查询表,技能配置辅助表!$L$1,FALSE)</f>
        <v>1</v>
      </c>
      <c r="AK350">
        <f>VLOOKUP(C350,技能辅助查询表,技能配置辅助表!$AE$1,FALSE)</f>
        <v>66000009</v>
      </c>
    </row>
    <row r="351" spans="1:37" x14ac:dyDescent="0.15">
      <c r="A351" s="1">
        <f t="shared" ca="1" si="156"/>
        <v>9124143</v>
      </c>
      <c r="B351" s="1" t="str">
        <f t="shared" ca="1" si="141"/>
        <v>裂空·斩第1段</v>
      </c>
      <c r="C351" t="s">
        <v>156</v>
      </c>
      <c r="D351">
        <f t="shared" si="142"/>
        <v>1</v>
      </c>
      <c r="E351" s="42">
        <f t="shared" ca="1" si="157"/>
        <v>70</v>
      </c>
      <c r="F351" t="str">
        <f t="shared" ca="1" si="158"/>
        <v>第43级，共造成170.2%点伤害</v>
      </c>
      <c r="G351">
        <f t="shared" ca="1" si="159"/>
        <v>1</v>
      </c>
      <c r="H351">
        <f t="shared" si="143"/>
        <v>1</v>
      </c>
      <c r="I351" s="44">
        <f t="shared" ca="1" si="160"/>
        <v>43</v>
      </c>
      <c r="J351">
        <f t="shared" si="144"/>
        <v>2</v>
      </c>
      <c r="K351" s="36">
        <f t="shared" ca="1" si="145"/>
        <v>170.23809523809524</v>
      </c>
      <c r="L351" s="10">
        <f ca="1">AH351*VLOOKUP(C351,技能辅助查询表,技能配置辅助表!$T$1,FALSE)</f>
        <v>0</v>
      </c>
      <c r="M351">
        <f t="shared" ca="1" si="146"/>
        <v>4560</v>
      </c>
      <c r="N351" s="33">
        <f ca="1">CHOOSE(1,W351*U351,X351*'[1]0、经济设定'!$C$18)</f>
        <v>213972</v>
      </c>
      <c r="O351">
        <f t="shared" si="147"/>
        <v>4</v>
      </c>
      <c r="P351">
        <f t="shared" si="148"/>
        <v>1</v>
      </c>
      <c r="Q351">
        <f t="shared" si="149"/>
        <v>1</v>
      </c>
      <c r="R351" s="2">
        <f t="shared" si="150"/>
        <v>6</v>
      </c>
      <c r="S351" s="2">
        <f t="shared" si="151"/>
        <v>50</v>
      </c>
      <c r="T351" s="2">
        <f t="shared" si="152"/>
        <v>119.04761904761905</v>
      </c>
      <c r="U351" s="2">
        <f ca="1">VLOOKUP(E351,金币生产率!$A$2:$B$120,2,0)</f>
        <v>3242</v>
      </c>
      <c r="V351" s="2">
        <f t="shared" si="153"/>
        <v>119.04761904761905</v>
      </c>
      <c r="W351" s="45">
        <f t="shared" ca="1" si="166"/>
        <v>66</v>
      </c>
      <c r="X351" s="48">
        <f t="shared" ca="1" si="167"/>
        <v>955</v>
      </c>
      <c r="Y351">
        <f t="shared" si="154"/>
        <v>18</v>
      </c>
      <c r="Z351">
        <f t="shared" ca="1" si="161"/>
        <v>27</v>
      </c>
      <c r="AA351" t="str">
        <f t="shared" ca="1" si="162"/>
        <v>9124100.png</v>
      </c>
      <c r="AB351">
        <f t="shared" si="155"/>
        <v>20</v>
      </c>
      <c r="AC351">
        <f>VLOOKUP(C351,技能辅助查询表,技能配置辅助表!$W$1,FALSE)</f>
        <v>945</v>
      </c>
      <c r="AD351">
        <f t="shared" ca="1" si="163"/>
        <v>430.45948377509148</v>
      </c>
      <c r="AE351">
        <f>VLOOKUP(C351,技能辅助查询表,技能配置辅助表!$U$1,FALSE)</f>
        <v>4</v>
      </c>
      <c r="AF351">
        <f t="shared" ca="1" si="164"/>
        <v>9124143</v>
      </c>
      <c r="AG351">
        <f t="shared" ca="1" si="168"/>
        <v>69.428571428571431</v>
      </c>
      <c r="AH351">
        <f t="shared" ca="1" si="165"/>
        <v>3064.2878506023458</v>
      </c>
      <c r="AI351">
        <f ca="1">VLOOKUP(E351,伤害参考系!$C$4:$E$104,3,FALSE)*$AN$12</f>
        <v>16191.966408862889</v>
      </c>
      <c r="AJ351">
        <f>VLOOKUP(C351,技能辅助查询表,技能配置辅助表!$L$1,FALSE)</f>
        <v>1</v>
      </c>
      <c r="AK351">
        <f>VLOOKUP(C351,技能辅助查询表,技能配置辅助表!$AE$1,FALSE)</f>
        <v>66000009</v>
      </c>
    </row>
    <row r="352" spans="1:37" x14ac:dyDescent="0.15">
      <c r="A352" s="1">
        <f t="shared" ca="1" si="156"/>
        <v>9124144</v>
      </c>
      <c r="B352" s="1" t="str">
        <f t="shared" ca="1" si="141"/>
        <v>裂空·斩第1段</v>
      </c>
      <c r="C352" t="s">
        <v>156</v>
      </c>
      <c r="D352">
        <f t="shared" si="142"/>
        <v>1</v>
      </c>
      <c r="E352" s="42">
        <f t="shared" ca="1" si="157"/>
        <v>71</v>
      </c>
      <c r="F352" t="str">
        <f t="shared" ca="1" si="158"/>
        <v>第44级，共造成171.4%点伤害</v>
      </c>
      <c r="G352">
        <f t="shared" ca="1" si="159"/>
        <v>1</v>
      </c>
      <c r="H352">
        <f t="shared" si="143"/>
        <v>1</v>
      </c>
      <c r="I352" s="44">
        <f t="shared" ca="1" si="160"/>
        <v>44</v>
      </c>
      <c r="J352">
        <f t="shared" si="144"/>
        <v>2</v>
      </c>
      <c r="K352" s="36">
        <f t="shared" ca="1" si="145"/>
        <v>171.42857142857144</v>
      </c>
      <c r="L352" s="10">
        <f ca="1">AH352*VLOOKUP(C352,技能辅助查询表,技能配置辅助表!$T$1,FALSE)</f>
        <v>0</v>
      </c>
      <c r="M352">
        <f t="shared" ca="1" si="146"/>
        <v>4480</v>
      </c>
      <c r="N352" s="33">
        <f ca="1">CHOOSE(1,W352*U352,X352*'[1]0、经济设定'!$C$18)</f>
        <v>236998</v>
      </c>
      <c r="O352">
        <f t="shared" si="147"/>
        <v>4</v>
      </c>
      <c r="P352">
        <f t="shared" si="148"/>
        <v>1</v>
      </c>
      <c r="Q352">
        <f t="shared" si="149"/>
        <v>1</v>
      </c>
      <c r="R352" s="2">
        <f t="shared" si="150"/>
        <v>6</v>
      </c>
      <c r="S352" s="2">
        <f t="shared" si="151"/>
        <v>50</v>
      </c>
      <c r="T352" s="2">
        <f t="shared" si="152"/>
        <v>119.04761904761905</v>
      </c>
      <c r="U352" s="2">
        <f ca="1">VLOOKUP(E352,金币生产率!$A$2:$B$120,2,0)</f>
        <v>3338</v>
      </c>
      <c r="V352" s="2">
        <f t="shared" si="153"/>
        <v>119.04761904761905</v>
      </c>
      <c r="W352" s="45">
        <f t="shared" ca="1" si="166"/>
        <v>71</v>
      </c>
      <c r="X352" s="48">
        <f t="shared" ca="1" si="167"/>
        <v>1026</v>
      </c>
      <c r="Y352">
        <f t="shared" si="154"/>
        <v>18</v>
      </c>
      <c r="Z352">
        <f t="shared" ca="1" si="161"/>
        <v>29</v>
      </c>
      <c r="AA352" t="str">
        <f t="shared" ca="1" si="162"/>
        <v>9124100.png</v>
      </c>
      <c r="AB352">
        <f t="shared" si="155"/>
        <v>20</v>
      </c>
      <c r="AC352">
        <f>VLOOKUP(C352,技能辅助查询表,技能配置辅助表!$W$1,FALSE)</f>
        <v>945</v>
      </c>
      <c r="AD352">
        <f t="shared" ca="1" si="163"/>
        <v>498.37874665282482</v>
      </c>
      <c r="AE352">
        <f>VLOOKUP(C352,技能辅助查询表,技能配置辅助表!$U$1,FALSE)</f>
        <v>4</v>
      </c>
      <c r="AF352">
        <f t="shared" ca="1" si="164"/>
        <v>9124144</v>
      </c>
      <c r="AG352">
        <f t="shared" ca="1" si="168"/>
        <v>70.938775510204081</v>
      </c>
      <c r="AH352">
        <f t="shared" ca="1" si="165"/>
        <v>3488.6512265697725</v>
      </c>
      <c r="AI352">
        <f ca="1">VLOOKUP(E352,伤害参考系!$C$4:$E$104,3,FALSE)*$AN$12</f>
        <v>16902.905438127098</v>
      </c>
      <c r="AJ352">
        <f>VLOOKUP(C352,技能辅助查询表,技能配置辅助表!$L$1,FALSE)</f>
        <v>1</v>
      </c>
      <c r="AK352">
        <f>VLOOKUP(C352,技能辅助查询表,技能配置辅助表!$AE$1,FALSE)</f>
        <v>66000009</v>
      </c>
    </row>
    <row r="353" spans="1:37" x14ac:dyDescent="0.15">
      <c r="A353" s="1">
        <f t="shared" ca="1" si="156"/>
        <v>9124145</v>
      </c>
      <c r="B353" s="1" t="str">
        <f t="shared" ca="1" si="141"/>
        <v>裂空·斩第1段</v>
      </c>
      <c r="C353" t="s">
        <v>156</v>
      </c>
      <c r="D353">
        <f t="shared" si="142"/>
        <v>1</v>
      </c>
      <c r="E353" s="42">
        <f t="shared" ca="1" si="157"/>
        <v>73</v>
      </c>
      <c r="F353" t="str">
        <f t="shared" ca="1" si="158"/>
        <v>第45级，共造成172.6%点伤害</v>
      </c>
      <c r="G353">
        <f t="shared" ca="1" si="159"/>
        <v>1</v>
      </c>
      <c r="H353">
        <f t="shared" si="143"/>
        <v>1</v>
      </c>
      <c r="I353" s="44">
        <f t="shared" ca="1" si="160"/>
        <v>45</v>
      </c>
      <c r="J353">
        <f t="shared" si="144"/>
        <v>2</v>
      </c>
      <c r="K353" s="36">
        <f t="shared" ca="1" si="145"/>
        <v>172.61904761904762</v>
      </c>
      <c r="L353" s="10">
        <f ca="1">AH353*VLOOKUP(C353,技能辅助查询表,技能配置辅助表!$T$1,FALSE)</f>
        <v>0</v>
      </c>
      <c r="M353">
        <f t="shared" ca="1" si="146"/>
        <v>4400</v>
      </c>
      <c r="N353" s="33">
        <f ca="1">CHOOSE(1,W353*U353,X353*'[1]0、经济设定'!$C$18)</f>
        <v>268584</v>
      </c>
      <c r="O353">
        <f t="shared" si="147"/>
        <v>4</v>
      </c>
      <c r="P353">
        <f t="shared" si="148"/>
        <v>1</v>
      </c>
      <c r="Q353">
        <f t="shared" si="149"/>
        <v>1</v>
      </c>
      <c r="R353" s="2">
        <f t="shared" si="150"/>
        <v>6</v>
      </c>
      <c r="S353" s="2">
        <f t="shared" si="151"/>
        <v>50</v>
      </c>
      <c r="T353" s="2">
        <f t="shared" si="152"/>
        <v>119.04761904761905</v>
      </c>
      <c r="U353" s="2">
        <f ca="1">VLOOKUP(E353,金币生产率!$A$2:$B$120,2,0)</f>
        <v>3534</v>
      </c>
      <c r="V353" s="2">
        <f t="shared" si="153"/>
        <v>119.04761904761905</v>
      </c>
      <c r="W353" s="45">
        <f t="shared" ca="1" si="166"/>
        <v>76</v>
      </c>
      <c r="X353" s="48">
        <f t="shared" ca="1" si="167"/>
        <v>1102</v>
      </c>
      <c r="Y353">
        <f t="shared" si="154"/>
        <v>18</v>
      </c>
      <c r="Z353">
        <f t="shared" ca="1" si="161"/>
        <v>31</v>
      </c>
      <c r="AA353" t="str">
        <f t="shared" ca="1" si="162"/>
        <v>9124100.png</v>
      </c>
      <c r="AB353">
        <f t="shared" si="155"/>
        <v>20</v>
      </c>
      <c r="AC353">
        <f>VLOOKUP(C353,技能辅助查询表,技能配置辅助表!$W$1,FALSE)</f>
        <v>945</v>
      </c>
      <c r="AD353">
        <f t="shared" ca="1" si="163"/>
        <v>576.85424447184187</v>
      </c>
      <c r="AE353">
        <f>VLOOKUP(C353,技能辅助查询表,技能配置辅助表!$U$1,FALSE)</f>
        <v>4</v>
      </c>
      <c r="AF353">
        <f t="shared" ca="1" si="164"/>
        <v>9124145</v>
      </c>
      <c r="AG353">
        <f t="shared" ca="1" si="168"/>
        <v>72.448979591836732</v>
      </c>
      <c r="AH353">
        <f t="shared" ca="1" si="165"/>
        <v>3971.7833225930094</v>
      </c>
      <c r="AI353">
        <f ca="1">VLOOKUP(E353,伤害参考系!$C$4:$E$104,3,FALSE)*$AN$12</f>
        <v>18368.517032608706</v>
      </c>
      <c r="AJ353">
        <f>VLOOKUP(C353,技能辅助查询表,技能配置辅助表!$L$1,FALSE)</f>
        <v>1</v>
      </c>
      <c r="AK353">
        <f>VLOOKUP(C353,技能辅助查询表,技能配置辅助表!$AE$1,FALSE)</f>
        <v>66000009</v>
      </c>
    </row>
    <row r="354" spans="1:37" x14ac:dyDescent="0.15">
      <c r="A354" s="1">
        <f t="shared" ca="1" si="156"/>
        <v>9124146</v>
      </c>
      <c r="B354" s="1" t="str">
        <f t="shared" ca="1" si="141"/>
        <v>裂空·斩第1段</v>
      </c>
      <c r="C354" t="s">
        <v>156</v>
      </c>
      <c r="D354">
        <f t="shared" si="142"/>
        <v>1</v>
      </c>
      <c r="E354" s="42">
        <f t="shared" ca="1" si="157"/>
        <v>74</v>
      </c>
      <c r="F354" t="str">
        <f t="shared" ca="1" si="158"/>
        <v>第46级，共造成173.8%点伤害</v>
      </c>
      <c r="G354">
        <f t="shared" ca="1" si="159"/>
        <v>1</v>
      </c>
      <c r="H354">
        <f t="shared" si="143"/>
        <v>1</v>
      </c>
      <c r="I354" s="44">
        <f t="shared" ca="1" si="160"/>
        <v>46</v>
      </c>
      <c r="J354">
        <f t="shared" si="144"/>
        <v>2</v>
      </c>
      <c r="K354" s="36">
        <f t="shared" ca="1" si="145"/>
        <v>173.8095238095238</v>
      </c>
      <c r="L354" s="10">
        <f ca="1">AH354*VLOOKUP(C354,技能辅助查询表,技能配置辅助表!$T$1,FALSE)</f>
        <v>0</v>
      </c>
      <c r="M354">
        <f t="shared" ca="1" si="146"/>
        <v>4320</v>
      </c>
      <c r="N354" s="33">
        <f ca="1">CHOOSE(1,W354*U354,X354*'[1]0、经济设定'!$C$18)</f>
        <v>294354</v>
      </c>
      <c r="O354">
        <f t="shared" si="147"/>
        <v>4</v>
      </c>
      <c r="P354">
        <f t="shared" si="148"/>
        <v>1</v>
      </c>
      <c r="Q354">
        <f t="shared" si="149"/>
        <v>1</v>
      </c>
      <c r="R354" s="2">
        <f t="shared" si="150"/>
        <v>6</v>
      </c>
      <c r="S354" s="2">
        <f t="shared" si="151"/>
        <v>50</v>
      </c>
      <c r="T354" s="2">
        <f t="shared" si="152"/>
        <v>119.04761904761905</v>
      </c>
      <c r="U354" s="2">
        <f ca="1">VLOOKUP(E354,金币生产率!$A$2:$B$120,2,0)</f>
        <v>3634</v>
      </c>
      <c r="V354" s="2">
        <f t="shared" si="153"/>
        <v>119.04761904761905</v>
      </c>
      <c r="W354" s="45">
        <f t="shared" ca="1" si="166"/>
        <v>81</v>
      </c>
      <c r="X354" s="48">
        <f t="shared" ca="1" si="167"/>
        <v>1183</v>
      </c>
      <c r="Y354">
        <f t="shared" si="154"/>
        <v>18</v>
      </c>
      <c r="Z354">
        <f t="shared" ca="1" si="161"/>
        <v>33</v>
      </c>
      <c r="AA354" t="str">
        <f t="shared" ca="1" si="162"/>
        <v>9124100.png</v>
      </c>
      <c r="AB354">
        <f t="shared" si="155"/>
        <v>20</v>
      </c>
      <c r="AC354">
        <f>VLOOKUP(C354,技能辅助查询表,技能配置辅助表!$W$1,FALSE)</f>
        <v>945</v>
      </c>
      <c r="AD354">
        <f t="shared" ca="1" si="163"/>
        <v>667.50717964200942</v>
      </c>
      <c r="AE354">
        <f>VLOOKUP(C354,技能辅助查询表,技能配置辅助表!$U$1,FALSE)</f>
        <v>4</v>
      </c>
      <c r="AF354">
        <f t="shared" ca="1" si="164"/>
        <v>9124146</v>
      </c>
      <c r="AG354">
        <f t="shared" ca="1" si="168"/>
        <v>73.959183673469383</v>
      </c>
      <c r="AH354">
        <f t="shared" ca="1" si="165"/>
        <v>4521.8228298329677</v>
      </c>
      <c r="AI354">
        <f ca="1">VLOOKUP(E354,伤害参考系!$C$4:$E$104,3,FALSE)*$AN$12</f>
        <v>19123.189597826095</v>
      </c>
      <c r="AJ354">
        <f>VLOOKUP(C354,技能辅助查询表,技能配置辅助表!$L$1,FALSE)</f>
        <v>1</v>
      </c>
      <c r="AK354">
        <f>VLOOKUP(C354,技能辅助查询表,技能配置辅助表!$AE$1,FALSE)</f>
        <v>66000009</v>
      </c>
    </row>
    <row r="355" spans="1:37" x14ac:dyDescent="0.15">
      <c r="A355" s="1">
        <f t="shared" ca="1" si="156"/>
        <v>9124147</v>
      </c>
      <c r="B355" s="1" t="str">
        <f t="shared" ca="1" si="141"/>
        <v>裂空·斩第1段</v>
      </c>
      <c r="C355" t="s">
        <v>156</v>
      </c>
      <c r="D355">
        <f t="shared" si="142"/>
        <v>1</v>
      </c>
      <c r="E355" s="42">
        <f t="shared" ca="1" si="157"/>
        <v>76</v>
      </c>
      <c r="F355" t="str">
        <f t="shared" ca="1" si="158"/>
        <v>第47级，共造成175%点伤害</v>
      </c>
      <c r="G355">
        <f t="shared" ca="1" si="159"/>
        <v>1</v>
      </c>
      <c r="H355">
        <f t="shared" si="143"/>
        <v>1</v>
      </c>
      <c r="I355" s="44">
        <f t="shared" ca="1" si="160"/>
        <v>47</v>
      </c>
      <c r="J355">
        <f t="shared" si="144"/>
        <v>2</v>
      </c>
      <c r="K355" s="36">
        <f t="shared" ca="1" si="145"/>
        <v>175</v>
      </c>
      <c r="L355" s="10">
        <f ca="1">AH355*VLOOKUP(C355,技能辅助查询表,技能配置辅助表!$T$1,FALSE)</f>
        <v>0</v>
      </c>
      <c r="M355">
        <f t="shared" ca="1" si="146"/>
        <v>4240</v>
      </c>
      <c r="N355" s="33">
        <f ca="1">CHOOSE(1,W355*U355,X355*'[1]0、经济设定'!$C$18)</f>
        <v>333906</v>
      </c>
      <c r="O355">
        <f t="shared" si="147"/>
        <v>4</v>
      </c>
      <c r="P355">
        <f t="shared" si="148"/>
        <v>1</v>
      </c>
      <c r="Q355">
        <f t="shared" si="149"/>
        <v>1</v>
      </c>
      <c r="R355" s="2">
        <f t="shared" si="150"/>
        <v>6</v>
      </c>
      <c r="S355" s="2">
        <f t="shared" si="151"/>
        <v>50</v>
      </c>
      <c r="T355" s="2">
        <f t="shared" si="152"/>
        <v>119.04761904761905</v>
      </c>
      <c r="U355" s="2">
        <f ca="1">VLOOKUP(E355,金币生产率!$A$2:$B$120,2,0)</f>
        <v>3838</v>
      </c>
      <c r="V355" s="2">
        <f t="shared" si="153"/>
        <v>119.04761904761905</v>
      </c>
      <c r="W355" s="45">
        <f t="shared" ca="1" si="166"/>
        <v>87</v>
      </c>
      <c r="X355" s="48">
        <f t="shared" ca="1" si="167"/>
        <v>1270</v>
      </c>
      <c r="Y355">
        <f t="shared" si="154"/>
        <v>18</v>
      </c>
      <c r="Z355">
        <f t="shared" ca="1" si="161"/>
        <v>35</v>
      </c>
      <c r="AA355" t="str">
        <f t="shared" ca="1" si="162"/>
        <v>9124100.png</v>
      </c>
      <c r="AB355">
        <f t="shared" si="155"/>
        <v>20</v>
      </c>
      <c r="AC355">
        <f>VLOOKUP(C355,技能辅助查询表,技能配置辅助表!$W$1,FALSE)</f>
        <v>945</v>
      </c>
      <c r="AD355">
        <f t="shared" ca="1" si="163"/>
        <v>772.20533109481289</v>
      </c>
      <c r="AE355">
        <f>VLOOKUP(C355,技能辅助查询表,技能配置辅助表!$U$1,FALSE)</f>
        <v>4</v>
      </c>
      <c r="AF355">
        <f t="shared" ca="1" si="164"/>
        <v>9124147</v>
      </c>
      <c r="AG355">
        <f t="shared" ca="1" si="168"/>
        <v>75.469387755102048</v>
      </c>
      <c r="AH355">
        <f t="shared" ca="1" si="165"/>
        <v>5148.0355406320868</v>
      </c>
      <c r="AI355">
        <f ca="1">VLOOKUP(E355,伤害参考系!$C$4:$E$104,3,FALSE)*$AN$12</f>
        <v>20676.268264214057</v>
      </c>
      <c r="AJ355">
        <f>VLOOKUP(C355,技能辅助查询表,技能配置辅助表!$L$1,FALSE)</f>
        <v>1</v>
      </c>
      <c r="AK355">
        <f>VLOOKUP(C355,技能辅助查询表,技能配置辅助表!$AE$1,FALSE)</f>
        <v>66000009</v>
      </c>
    </row>
    <row r="356" spans="1:37" x14ac:dyDescent="0.15">
      <c r="A356" s="1">
        <f t="shared" ca="1" si="156"/>
        <v>9124148</v>
      </c>
      <c r="B356" s="1" t="str">
        <f t="shared" ca="1" si="141"/>
        <v>裂空·斩第1段</v>
      </c>
      <c r="C356" t="s">
        <v>156</v>
      </c>
      <c r="D356">
        <f t="shared" si="142"/>
        <v>1</v>
      </c>
      <c r="E356" s="42">
        <f t="shared" ca="1" si="157"/>
        <v>77</v>
      </c>
      <c r="F356" t="str">
        <f t="shared" ca="1" si="158"/>
        <v>第48级，共造成176.2%点伤害</v>
      </c>
      <c r="G356">
        <f t="shared" ca="1" si="159"/>
        <v>1</v>
      </c>
      <c r="H356">
        <f t="shared" si="143"/>
        <v>1</v>
      </c>
      <c r="I356" s="44">
        <f t="shared" ca="1" si="160"/>
        <v>48</v>
      </c>
      <c r="J356">
        <f t="shared" si="144"/>
        <v>2</v>
      </c>
      <c r="K356" s="36">
        <f t="shared" ca="1" si="145"/>
        <v>176.1904761904762</v>
      </c>
      <c r="L356" s="10">
        <f ca="1">AH356*VLOOKUP(C356,技能辅助查询表,技能配置辅助表!$T$1,FALSE)</f>
        <v>0</v>
      </c>
      <c r="M356">
        <f t="shared" ca="1" si="146"/>
        <v>4160</v>
      </c>
      <c r="N356" s="33">
        <f ca="1">CHOOSE(1,W356*U356,X356*'[1]0、经济设定'!$C$18)</f>
        <v>366606</v>
      </c>
      <c r="O356">
        <f t="shared" si="147"/>
        <v>4</v>
      </c>
      <c r="P356">
        <f t="shared" si="148"/>
        <v>1</v>
      </c>
      <c r="Q356">
        <f t="shared" si="149"/>
        <v>1</v>
      </c>
      <c r="R356" s="2">
        <f t="shared" si="150"/>
        <v>6</v>
      </c>
      <c r="S356" s="2">
        <f t="shared" si="151"/>
        <v>50</v>
      </c>
      <c r="T356" s="2">
        <f t="shared" si="152"/>
        <v>119.04761904761905</v>
      </c>
      <c r="U356" s="2">
        <f ca="1">VLOOKUP(E356,金币生产率!$A$2:$B$120,2,0)</f>
        <v>3942</v>
      </c>
      <c r="V356" s="2">
        <f t="shared" si="153"/>
        <v>119.04761904761905</v>
      </c>
      <c r="W356" s="45">
        <f t="shared" ca="1" si="166"/>
        <v>93</v>
      </c>
      <c r="X356" s="48">
        <f t="shared" ca="1" si="167"/>
        <v>1363</v>
      </c>
      <c r="Y356">
        <f t="shared" si="154"/>
        <v>18</v>
      </c>
      <c r="Z356">
        <f t="shared" ca="1" si="161"/>
        <v>38</v>
      </c>
      <c r="AA356" t="str">
        <f t="shared" ca="1" si="162"/>
        <v>9124100.png</v>
      </c>
      <c r="AB356">
        <f t="shared" si="155"/>
        <v>20</v>
      </c>
      <c r="AC356">
        <f>VLOOKUP(C356,技能辅助查询表,技能配置辅助表!$W$1,FALSE)</f>
        <v>945</v>
      </c>
      <c r="AD356">
        <f t="shared" ca="1" si="163"/>
        <v>893.10025708716933</v>
      </c>
      <c r="AE356">
        <f>VLOOKUP(C356,技能辅助查询表,技能配置辅助表!$U$1,FALSE)</f>
        <v>4</v>
      </c>
      <c r="AF356">
        <f t="shared" ca="1" si="164"/>
        <v>9124148</v>
      </c>
      <c r="AG356">
        <f t="shared" ca="1" si="168"/>
        <v>76.979591836734699</v>
      </c>
      <c r="AH356">
        <f t="shared" ca="1" si="165"/>
        <v>5860.970437134547</v>
      </c>
      <c r="AI356">
        <f ca="1">VLOOKUP(E356,伤害参考系!$C$4:$E$104,3,FALSE)*$AN$12</f>
        <v>21474.674365384624</v>
      </c>
      <c r="AJ356">
        <f>VLOOKUP(C356,技能辅助查询表,技能配置辅助表!$L$1,FALSE)</f>
        <v>1</v>
      </c>
      <c r="AK356">
        <f>VLOOKUP(C356,技能辅助查询表,技能配置辅助表!$AE$1,FALSE)</f>
        <v>66000009</v>
      </c>
    </row>
    <row r="357" spans="1:37" x14ac:dyDescent="0.15">
      <c r="A357" s="1">
        <f t="shared" ca="1" si="156"/>
        <v>9124149</v>
      </c>
      <c r="B357" s="1" t="str">
        <f t="shared" ca="1" si="141"/>
        <v>裂空·斩第1段</v>
      </c>
      <c r="C357" t="s">
        <v>156</v>
      </c>
      <c r="D357">
        <f t="shared" si="142"/>
        <v>1</v>
      </c>
      <c r="E357" s="42">
        <f t="shared" ca="1" si="157"/>
        <v>79</v>
      </c>
      <c r="F357" t="str">
        <f t="shared" ca="1" si="158"/>
        <v>第49级，共造成177.4%点伤害</v>
      </c>
      <c r="G357">
        <f t="shared" ca="1" si="159"/>
        <v>1</v>
      </c>
      <c r="H357">
        <f t="shared" si="143"/>
        <v>1</v>
      </c>
      <c r="I357" s="44">
        <f t="shared" ca="1" si="160"/>
        <v>49</v>
      </c>
      <c r="J357">
        <f t="shared" si="144"/>
        <v>2</v>
      </c>
      <c r="K357" s="36">
        <f t="shared" ca="1" si="145"/>
        <v>177.38095238095238</v>
      </c>
      <c r="L357" s="10">
        <f ca="1">AH357*VLOOKUP(C357,技能辅助查询表,技能配置辅助表!$T$1,FALSE)</f>
        <v>0</v>
      </c>
      <c r="M357">
        <f t="shared" ca="1" si="146"/>
        <v>4080</v>
      </c>
      <c r="N357" s="33">
        <f ca="1">CHOOSE(1,W357*U357,X357*'[1]0、经济设定'!$C$18)</f>
        <v>411246</v>
      </c>
      <c r="O357">
        <f t="shared" si="147"/>
        <v>4</v>
      </c>
      <c r="P357">
        <f t="shared" si="148"/>
        <v>1</v>
      </c>
      <c r="Q357">
        <f t="shared" si="149"/>
        <v>1</v>
      </c>
      <c r="R357" s="2">
        <f t="shared" si="150"/>
        <v>6</v>
      </c>
      <c r="S357" s="2">
        <f t="shared" si="151"/>
        <v>50</v>
      </c>
      <c r="T357" s="2">
        <f t="shared" si="152"/>
        <v>119.04761904761905</v>
      </c>
      <c r="U357" s="2">
        <f ca="1">VLOOKUP(E357,金币生产率!$A$2:$B$120,2,0)</f>
        <v>4154</v>
      </c>
      <c r="V357" s="2">
        <f t="shared" si="153"/>
        <v>119.04761904761905</v>
      </c>
      <c r="W357" s="45">
        <f t="shared" ca="1" si="166"/>
        <v>99</v>
      </c>
      <c r="X357" s="48">
        <f t="shared" ca="1" si="167"/>
        <v>1462</v>
      </c>
      <c r="Y357">
        <f t="shared" si="154"/>
        <v>18</v>
      </c>
      <c r="Z357">
        <f t="shared" ca="1" si="161"/>
        <v>40</v>
      </c>
      <c r="AA357" t="str">
        <f t="shared" ca="1" si="162"/>
        <v>9124100.png</v>
      </c>
      <c r="AB357">
        <f t="shared" si="155"/>
        <v>20</v>
      </c>
      <c r="AC357">
        <f>VLOOKUP(C357,技能辅助查询表,技能配置辅助表!$W$1,FALSE)</f>
        <v>945</v>
      </c>
      <c r="AD357">
        <f t="shared" ca="1" si="163"/>
        <v>1032.6700732087068</v>
      </c>
      <c r="AE357">
        <f>VLOOKUP(C357,技能辅助查询表,技能配置辅助表!$U$1,FALSE)</f>
        <v>4</v>
      </c>
      <c r="AF357">
        <f t="shared" ca="1" si="164"/>
        <v>9124149</v>
      </c>
      <c r="AG357">
        <f t="shared" ca="1" si="168"/>
        <v>78.489795918367349</v>
      </c>
      <c r="AH357">
        <f t="shared" ca="1" si="165"/>
        <v>6672.6373961177951</v>
      </c>
      <c r="AI357">
        <f ca="1">VLOOKUP(E357,伤害参考系!$C$4:$E$104,3,FALSE)*$AN$12</f>
        <v>23115.220103678937</v>
      </c>
      <c r="AJ357">
        <f>VLOOKUP(C357,技能辅助查询表,技能配置辅助表!$L$1,FALSE)</f>
        <v>1</v>
      </c>
      <c r="AK357">
        <f>VLOOKUP(C357,技能辅助查询表,技能配置辅助表!$AE$1,FALSE)</f>
        <v>66000009</v>
      </c>
    </row>
    <row r="358" spans="1:37" x14ac:dyDescent="0.15">
      <c r="A358" s="1">
        <f t="shared" ca="1" si="156"/>
        <v>9124150</v>
      </c>
      <c r="B358" s="1" t="str">
        <f t="shared" ca="1" si="141"/>
        <v>裂空·斩第1段</v>
      </c>
      <c r="C358" t="s">
        <v>156</v>
      </c>
      <c r="D358">
        <f t="shared" si="142"/>
        <v>1</v>
      </c>
      <c r="E358" s="42">
        <f t="shared" ca="1" si="157"/>
        <v>80</v>
      </c>
      <c r="F358" t="str">
        <f t="shared" ca="1" si="158"/>
        <v>第50级，共造成178.6%点伤害</v>
      </c>
      <c r="G358">
        <f t="shared" ca="1" si="159"/>
        <v>1</v>
      </c>
      <c r="H358">
        <f t="shared" si="143"/>
        <v>1</v>
      </c>
      <c r="I358" s="44">
        <f t="shared" ca="1" si="160"/>
        <v>50</v>
      </c>
      <c r="J358">
        <f t="shared" si="144"/>
        <v>2</v>
      </c>
      <c r="K358" s="36">
        <f t="shared" ca="1" si="145"/>
        <v>178.57142857142858</v>
      </c>
      <c r="L358" s="10">
        <f ca="1">AH358*VLOOKUP(C358,技能辅助查询表,技能配置辅助表!$T$1,FALSE)</f>
        <v>0</v>
      </c>
      <c r="M358">
        <f t="shared" ca="1" si="146"/>
        <v>4000</v>
      </c>
      <c r="N358" s="33">
        <f ca="1">CHOOSE(1,W358*U358,X358*'[1]0、经济设定'!$C$18)</f>
        <v>451772</v>
      </c>
      <c r="O358">
        <f t="shared" si="147"/>
        <v>4</v>
      </c>
      <c r="P358">
        <f t="shared" si="148"/>
        <v>1</v>
      </c>
      <c r="Q358">
        <f t="shared" si="149"/>
        <v>1</v>
      </c>
      <c r="R358" s="2">
        <f t="shared" si="150"/>
        <v>6</v>
      </c>
      <c r="S358" s="2">
        <f t="shared" si="151"/>
        <v>50</v>
      </c>
      <c r="T358" s="2">
        <f t="shared" si="152"/>
        <v>119.04761904761905</v>
      </c>
      <c r="U358" s="2">
        <f ca="1">VLOOKUP(E358,金币生产率!$A$2:$B$120,2,0)</f>
        <v>4262</v>
      </c>
      <c r="V358" s="2">
        <f t="shared" si="153"/>
        <v>119.04761904761905</v>
      </c>
      <c r="W358" s="45">
        <f t="shared" ca="1" si="166"/>
        <v>106</v>
      </c>
      <c r="X358" s="48">
        <f t="shared" ca="1" si="167"/>
        <v>1568</v>
      </c>
      <c r="Y358">
        <f t="shared" si="154"/>
        <v>18</v>
      </c>
      <c r="Z358">
        <f t="shared" ca="1" si="161"/>
        <v>43</v>
      </c>
      <c r="AA358" t="str">
        <f t="shared" ca="1" si="162"/>
        <v>9124100.png</v>
      </c>
      <c r="AB358">
        <f t="shared" si="155"/>
        <v>20</v>
      </c>
      <c r="AC358">
        <f>VLOOKUP(C358,技能辅助查询表,技能配置辅助表!$W$1,FALSE)</f>
        <v>945</v>
      </c>
      <c r="AD358">
        <f t="shared" ca="1" si="163"/>
        <v>1193.7686362792215</v>
      </c>
      <c r="AE358">
        <f>VLOOKUP(C358,技能辅助查询表,技能配置辅助表!$U$1,FALSE)</f>
        <v>4</v>
      </c>
      <c r="AF358">
        <f t="shared" ca="1" si="164"/>
        <v>9124150</v>
      </c>
      <c r="AG358">
        <f t="shared" ca="1" si="168"/>
        <v>80</v>
      </c>
      <c r="AH358">
        <f t="shared" ca="1" si="165"/>
        <v>7596.7095035950451</v>
      </c>
      <c r="AI358">
        <f ca="1">VLOOKUP(E358,伤害参考系!$C$4:$E$104,3,FALSE)*$AN$12</f>
        <v>24028.87424749164</v>
      </c>
      <c r="AJ358">
        <f>VLOOKUP(C358,技能辅助查询表,技能配置辅助表!$L$1,FALSE)</f>
        <v>1</v>
      </c>
      <c r="AK358">
        <f>VLOOKUP(C358,技能辅助查询表,技能配置辅助表!$AE$1,FALSE)</f>
        <v>66000009</v>
      </c>
    </row>
    <row r="359" spans="1:37" x14ac:dyDescent="0.15">
      <c r="A359" s="1">
        <f t="shared" ca="1" si="156"/>
        <v>1</v>
      </c>
      <c r="B359" s="1" t="str">
        <f t="shared" ca="1" si="141"/>
        <v>裂空·斩</v>
      </c>
      <c r="C359" t="s">
        <v>157</v>
      </c>
      <c r="D359">
        <f t="shared" si="142"/>
        <v>1</v>
      </c>
      <c r="E359" s="42">
        <f t="shared" ca="1" si="157"/>
        <v>6</v>
      </c>
      <c r="F359" t="str">
        <f t="shared" ca="1" si="158"/>
        <v>第0级，共造成119%点伤害</v>
      </c>
      <c r="G359">
        <f t="shared" ca="1" si="159"/>
        <v>0</v>
      </c>
      <c r="H359">
        <f t="shared" si="143"/>
        <v>2</v>
      </c>
      <c r="I359" s="44">
        <f t="shared" ca="1" si="160"/>
        <v>0</v>
      </c>
      <c r="J359">
        <f t="shared" si="144"/>
        <v>2</v>
      </c>
      <c r="K359" s="36">
        <f t="shared" ca="1" si="145"/>
        <v>119.04761904761905</v>
      </c>
      <c r="L359" s="10">
        <f ca="1">AH359*VLOOKUP(C359,技能辅助查询表,技能配置辅助表!$T$1,FALSE)</f>
        <v>0</v>
      </c>
      <c r="M359">
        <f t="shared" ca="1" si="146"/>
        <v>8000</v>
      </c>
      <c r="N359" s="33">
        <f ca="1">CHOOSE(1,W359*U359,X359*'[1]0、经济设定'!$C$18)</f>
        <v>0</v>
      </c>
      <c r="O359">
        <f t="shared" si="147"/>
        <v>4</v>
      </c>
      <c r="P359">
        <f t="shared" si="148"/>
        <v>1</v>
      </c>
      <c r="Q359">
        <f t="shared" si="149"/>
        <v>1</v>
      </c>
      <c r="R359" s="2">
        <f t="shared" si="150"/>
        <v>8</v>
      </c>
      <c r="S359" s="2">
        <f t="shared" si="151"/>
        <v>50</v>
      </c>
      <c r="T359" s="2">
        <f t="shared" si="152"/>
        <v>119.04761904761905</v>
      </c>
      <c r="U359" s="2">
        <f ca="1">VLOOKUP(E359,金币生产率!$A$2:$B$120,2,0)</f>
        <v>80</v>
      </c>
      <c r="V359" s="2">
        <f t="shared" si="153"/>
        <v>119.04761904761905</v>
      </c>
      <c r="W359" s="45">
        <f t="shared" ca="1" si="166"/>
        <v>0</v>
      </c>
      <c r="X359" s="48">
        <f t="shared" ca="1" si="167"/>
        <v>0</v>
      </c>
      <c r="Y359">
        <f t="shared" si="154"/>
        <v>18</v>
      </c>
      <c r="Z359">
        <f t="shared" ca="1" si="161"/>
        <v>0</v>
      </c>
      <c r="AA359" t="str">
        <f t="shared" ca="1" si="162"/>
        <v>9124200.png</v>
      </c>
      <c r="AB359">
        <f t="shared" si="155"/>
        <v>20</v>
      </c>
      <c r="AC359">
        <f>VLOOKUP(C359,技能辅助查询表,技能配置辅助表!$W$1,FALSE)</f>
        <v>964</v>
      </c>
      <c r="AD359">
        <f t="shared" ca="1" si="163"/>
        <v>0.44166857142857163</v>
      </c>
      <c r="AE359">
        <f>VLOOKUP(C359,技能辅助查询表,技能配置辅助表!$U$1,FALSE)</f>
        <v>4</v>
      </c>
      <c r="AF359">
        <f t="shared" ca="1" si="164"/>
        <v>9124200</v>
      </c>
      <c r="AG359">
        <f t="shared" ca="1" si="168"/>
        <v>0</v>
      </c>
      <c r="AH359">
        <f t="shared" ca="1" si="165"/>
        <v>11.5938</v>
      </c>
      <c r="AI359">
        <f ca="1">VLOOKUP(E359,伤害参考系!$C$4:$E$104,3,FALSE)*$AN$12</f>
        <v>88.919999999999987</v>
      </c>
      <c r="AJ359">
        <f>VLOOKUP(C359,技能辅助查询表,技能配置辅助表!$L$1,FALSE)</f>
        <v>1</v>
      </c>
      <c r="AK359">
        <f>VLOOKUP(C359,技能辅助查询表,技能配置辅助表!$AE$1,FALSE)</f>
        <v>66000009</v>
      </c>
    </row>
    <row r="360" spans="1:37" x14ac:dyDescent="0.15">
      <c r="A360" s="1">
        <f t="shared" ca="1" si="156"/>
        <v>9124201</v>
      </c>
      <c r="B360" s="1" t="str">
        <f t="shared" ca="1" si="141"/>
        <v>裂空·斩第2段</v>
      </c>
      <c r="C360" t="s">
        <v>157</v>
      </c>
      <c r="D360">
        <f t="shared" si="142"/>
        <v>1</v>
      </c>
      <c r="E360" s="42">
        <f t="shared" ca="1" si="157"/>
        <v>6</v>
      </c>
      <c r="F360" t="str">
        <f t="shared" ca="1" si="158"/>
        <v>第1级，共造成119%点伤害</v>
      </c>
      <c r="G360">
        <f t="shared" ca="1" si="159"/>
        <v>2</v>
      </c>
      <c r="H360">
        <f t="shared" si="143"/>
        <v>2</v>
      </c>
      <c r="I360" s="44">
        <f t="shared" ca="1" si="160"/>
        <v>1</v>
      </c>
      <c r="J360">
        <f t="shared" si="144"/>
        <v>2</v>
      </c>
      <c r="K360" s="36">
        <f t="shared" ca="1" si="145"/>
        <v>119.04761904761905</v>
      </c>
      <c r="L360" s="10">
        <f ca="1">AH360*VLOOKUP(C360,技能辅助查询表,技能配置辅助表!$T$1,FALSE)</f>
        <v>0</v>
      </c>
      <c r="M360">
        <f t="shared" ca="1" si="146"/>
        <v>8000</v>
      </c>
      <c r="N360" s="33">
        <f ca="1">CHOOSE(1,W360*U360,X360*'[1]0、经济设定'!$C$18)</f>
        <v>240</v>
      </c>
      <c r="O360">
        <f t="shared" si="147"/>
        <v>4</v>
      </c>
      <c r="P360">
        <f t="shared" si="148"/>
        <v>1</v>
      </c>
      <c r="Q360">
        <f t="shared" si="149"/>
        <v>1</v>
      </c>
      <c r="R360" s="2">
        <f t="shared" si="150"/>
        <v>8</v>
      </c>
      <c r="S360" s="2">
        <f t="shared" si="151"/>
        <v>50</v>
      </c>
      <c r="T360" s="2">
        <f t="shared" si="152"/>
        <v>119.04761904761905</v>
      </c>
      <c r="U360" s="2">
        <f ca="1">VLOOKUP(E360,金币生产率!$A$2:$B$120,2,0)</f>
        <v>80</v>
      </c>
      <c r="V360" s="2">
        <f t="shared" si="153"/>
        <v>119.04761904761905</v>
      </c>
      <c r="W360" s="45">
        <f t="shared" ca="1" si="166"/>
        <v>3</v>
      </c>
      <c r="X360" s="48">
        <f t="shared" ca="1" si="167"/>
        <v>3</v>
      </c>
      <c r="Y360">
        <f t="shared" si="154"/>
        <v>18</v>
      </c>
      <c r="Z360">
        <f t="shared" ca="1" si="161"/>
        <v>0</v>
      </c>
      <c r="AA360" t="str">
        <f t="shared" ca="1" si="162"/>
        <v>9124200.png</v>
      </c>
      <c r="AB360">
        <f t="shared" si="155"/>
        <v>20</v>
      </c>
      <c r="AC360">
        <f>VLOOKUP(C360,技能辅助查询表,技能配置辅助表!$W$1,FALSE)</f>
        <v>964</v>
      </c>
      <c r="AD360">
        <f t="shared" ca="1" si="163"/>
        <v>0.50283383238579415</v>
      </c>
      <c r="AE360">
        <f>VLOOKUP(C360,技能辅助查询表,技能配置辅助表!$U$1,FALSE)</f>
        <v>4</v>
      </c>
      <c r="AF360">
        <f t="shared" ca="1" si="164"/>
        <v>9124201</v>
      </c>
      <c r="AG360">
        <f t="shared" ca="1" si="168"/>
        <v>8</v>
      </c>
      <c r="AH360">
        <f t="shared" ca="1" si="165"/>
        <v>13.199388100127095</v>
      </c>
      <c r="AI360">
        <f ca="1">VLOOKUP(E360,伤害参考系!$C$4:$E$104,3,FALSE)*$AN$12</f>
        <v>88.919999999999987</v>
      </c>
      <c r="AJ360">
        <f>VLOOKUP(C360,技能辅助查询表,技能配置辅助表!$L$1,FALSE)</f>
        <v>1</v>
      </c>
      <c r="AK360">
        <f>VLOOKUP(C360,技能辅助查询表,技能配置辅助表!$AE$1,FALSE)</f>
        <v>66000009</v>
      </c>
    </row>
    <row r="361" spans="1:37" x14ac:dyDescent="0.15">
      <c r="A361" s="1">
        <f t="shared" ca="1" si="156"/>
        <v>9124202</v>
      </c>
      <c r="B361" s="1" t="str">
        <f t="shared" ca="1" si="141"/>
        <v>裂空·斩第2段</v>
      </c>
      <c r="C361" t="s">
        <v>157</v>
      </c>
      <c r="D361">
        <f t="shared" si="142"/>
        <v>1</v>
      </c>
      <c r="E361" s="42">
        <f t="shared" ca="1" si="157"/>
        <v>11</v>
      </c>
      <c r="F361" t="str">
        <f t="shared" ca="1" si="158"/>
        <v>第2级，共造成121.4%点伤害</v>
      </c>
      <c r="G361">
        <f t="shared" ca="1" si="159"/>
        <v>2</v>
      </c>
      <c r="H361">
        <f t="shared" si="143"/>
        <v>2</v>
      </c>
      <c r="I361" s="44">
        <f t="shared" ca="1" si="160"/>
        <v>2</v>
      </c>
      <c r="J361">
        <f t="shared" si="144"/>
        <v>2</v>
      </c>
      <c r="K361" s="36">
        <f t="shared" ca="1" si="145"/>
        <v>121.42857142857143</v>
      </c>
      <c r="L361" s="10">
        <f ca="1">AH361*VLOOKUP(C361,技能辅助查询表,技能配置辅助表!$T$1,FALSE)</f>
        <v>0</v>
      </c>
      <c r="M361">
        <f t="shared" ca="1" si="146"/>
        <v>7840</v>
      </c>
      <c r="N361" s="33">
        <f ca="1">CHOOSE(1,W361*U361,X361*'[1]0、经济设定'!$C$18)</f>
        <v>440</v>
      </c>
      <c r="O361">
        <f t="shared" si="147"/>
        <v>4</v>
      </c>
      <c r="P361">
        <f t="shared" si="148"/>
        <v>1</v>
      </c>
      <c r="Q361">
        <f t="shared" si="149"/>
        <v>1</v>
      </c>
      <c r="R361" s="2">
        <f t="shared" si="150"/>
        <v>8</v>
      </c>
      <c r="S361" s="2">
        <f t="shared" si="151"/>
        <v>50</v>
      </c>
      <c r="T361" s="2">
        <f t="shared" si="152"/>
        <v>119.04761904761905</v>
      </c>
      <c r="U361" s="2">
        <f ca="1">VLOOKUP(E361,金币生产率!$A$2:$B$120,2,0)</f>
        <v>110</v>
      </c>
      <c r="V361" s="2">
        <f t="shared" si="153"/>
        <v>119.04761904761905</v>
      </c>
      <c r="W361" s="45">
        <f t="shared" ca="1" si="166"/>
        <v>4</v>
      </c>
      <c r="X361" s="48">
        <f t="shared" ca="1" si="167"/>
        <v>7</v>
      </c>
      <c r="Y361">
        <f t="shared" si="154"/>
        <v>18</v>
      </c>
      <c r="Z361">
        <f t="shared" ca="1" si="161"/>
        <v>0</v>
      </c>
      <c r="AA361" t="str">
        <f t="shared" ca="1" si="162"/>
        <v>9124200.png</v>
      </c>
      <c r="AB361">
        <f t="shared" si="155"/>
        <v>20</v>
      </c>
      <c r="AC361">
        <f>VLOOKUP(C361,技能辅助查询表,技能配置辅助表!$W$1,FALSE)</f>
        <v>964</v>
      </c>
      <c r="AD361">
        <f t="shared" ca="1" si="163"/>
        <v>0.64402838296987608</v>
      </c>
      <c r="AE361">
        <f>VLOOKUP(C361,技能辅助查询表,技能配置辅助表!$U$1,FALSE)</f>
        <v>4</v>
      </c>
      <c r="AF361">
        <f t="shared" ca="1" si="164"/>
        <v>9124202</v>
      </c>
      <c r="AG361">
        <f t="shared" ca="1" si="168"/>
        <v>9.4693877551020407</v>
      </c>
      <c r="AH361">
        <f t="shared" ca="1" si="165"/>
        <v>15.027328935963775</v>
      </c>
      <c r="AI361">
        <f ca="1">VLOOKUP(E361,伤害参考系!$C$4:$E$104,3,FALSE)*$AN$12</f>
        <v>212.08059782608694</v>
      </c>
      <c r="AJ361">
        <f>VLOOKUP(C361,技能辅助查询表,技能配置辅助表!$L$1,FALSE)</f>
        <v>1</v>
      </c>
      <c r="AK361">
        <f>VLOOKUP(C361,技能辅助查询表,技能配置辅助表!$AE$1,FALSE)</f>
        <v>66000009</v>
      </c>
    </row>
    <row r="362" spans="1:37" x14ac:dyDescent="0.15">
      <c r="A362" s="1">
        <f t="shared" ca="1" si="156"/>
        <v>9124203</v>
      </c>
      <c r="B362" s="1" t="str">
        <f t="shared" ca="1" si="141"/>
        <v>裂空·斩第2段</v>
      </c>
      <c r="C362" t="s">
        <v>157</v>
      </c>
      <c r="D362">
        <f t="shared" si="142"/>
        <v>1</v>
      </c>
      <c r="E362" s="42">
        <f t="shared" ca="1" si="157"/>
        <v>12</v>
      </c>
      <c r="F362" t="str">
        <f t="shared" ca="1" si="158"/>
        <v>第3级，共造成122.6%点伤害</v>
      </c>
      <c r="G362">
        <f t="shared" ca="1" si="159"/>
        <v>2</v>
      </c>
      <c r="H362">
        <f t="shared" si="143"/>
        <v>2</v>
      </c>
      <c r="I362" s="44">
        <f t="shared" ca="1" si="160"/>
        <v>3</v>
      </c>
      <c r="J362">
        <f t="shared" si="144"/>
        <v>2</v>
      </c>
      <c r="K362" s="36">
        <f t="shared" ca="1" si="145"/>
        <v>122.61904761904762</v>
      </c>
      <c r="L362" s="10">
        <f ca="1">AH362*VLOOKUP(C362,技能辅助查询表,技能配置辅助表!$T$1,FALSE)</f>
        <v>0</v>
      </c>
      <c r="M362">
        <f t="shared" ca="1" si="146"/>
        <v>7760</v>
      </c>
      <c r="N362" s="33">
        <f ca="1">CHOOSE(1,W362*U362,X362*'[1]0、经济设定'!$C$18)</f>
        <v>464</v>
      </c>
      <c r="O362">
        <f t="shared" si="147"/>
        <v>4</v>
      </c>
      <c r="P362">
        <f t="shared" si="148"/>
        <v>1</v>
      </c>
      <c r="Q362">
        <f t="shared" si="149"/>
        <v>1</v>
      </c>
      <c r="R362" s="2">
        <f t="shared" si="150"/>
        <v>8</v>
      </c>
      <c r="S362" s="2">
        <f t="shared" si="151"/>
        <v>50</v>
      </c>
      <c r="T362" s="2">
        <f t="shared" si="152"/>
        <v>119.04761904761905</v>
      </c>
      <c r="U362" s="2">
        <f ca="1">VLOOKUP(E362,金币生产率!$A$2:$B$120,2,0)</f>
        <v>116</v>
      </c>
      <c r="V362" s="2">
        <f t="shared" si="153"/>
        <v>119.04761904761905</v>
      </c>
      <c r="W362" s="45">
        <f t="shared" ca="1" si="166"/>
        <v>4</v>
      </c>
      <c r="X362" s="48">
        <f t="shared" ca="1" si="167"/>
        <v>11</v>
      </c>
      <c r="Y362">
        <f t="shared" si="154"/>
        <v>18</v>
      </c>
      <c r="Z362">
        <f t="shared" ca="1" si="161"/>
        <v>0</v>
      </c>
      <c r="AA362" t="str">
        <f t="shared" ca="1" si="162"/>
        <v>9124200.png</v>
      </c>
      <c r="AB362">
        <f t="shared" si="155"/>
        <v>20</v>
      </c>
      <c r="AC362">
        <f>VLOOKUP(C362,技能辅助查询表,技能配置辅助表!$W$1,FALSE)</f>
        <v>964</v>
      </c>
      <c r="AD362">
        <f t="shared" ca="1" si="163"/>
        <v>0.77395212628980237</v>
      </c>
      <c r="AE362">
        <f>VLOOKUP(C362,技能辅助查询表,技能配置辅助表!$U$1,FALSE)</f>
        <v>4</v>
      </c>
      <c r="AF362">
        <f t="shared" ca="1" si="164"/>
        <v>9124203</v>
      </c>
      <c r="AG362">
        <f t="shared" ca="1" si="168"/>
        <v>10.938775510204081</v>
      </c>
      <c r="AH362">
        <f t="shared" ca="1" si="165"/>
        <v>17.108415423248271</v>
      </c>
      <c r="AI362">
        <f ca="1">VLOOKUP(E362,伤害参考系!$C$4:$E$104,3,FALSE)*$AN$12</f>
        <v>249.04956521739126</v>
      </c>
      <c r="AJ362">
        <f>VLOOKUP(C362,技能辅助查询表,技能配置辅助表!$L$1,FALSE)</f>
        <v>1</v>
      </c>
      <c r="AK362">
        <f>VLOOKUP(C362,技能辅助查询表,技能配置辅助表!$AE$1,FALSE)</f>
        <v>66000009</v>
      </c>
    </row>
    <row r="363" spans="1:37" x14ac:dyDescent="0.15">
      <c r="A363" s="1">
        <f t="shared" ca="1" si="156"/>
        <v>9124204</v>
      </c>
      <c r="B363" s="1" t="str">
        <f t="shared" ca="1" si="141"/>
        <v>裂空·斩第2段</v>
      </c>
      <c r="C363" t="s">
        <v>157</v>
      </c>
      <c r="D363">
        <f t="shared" si="142"/>
        <v>1</v>
      </c>
      <c r="E363" s="42">
        <f t="shared" ca="1" si="157"/>
        <v>14</v>
      </c>
      <c r="F363" t="str">
        <f t="shared" ca="1" si="158"/>
        <v>第4级，共造成123.8%点伤害</v>
      </c>
      <c r="G363">
        <f t="shared" ca="1" si="159"/>
        <v>2</v>
      </c>
      <c r="H363">
        <f t="shared" si="143"/>
        <v>2</v>
      </c>
      <c r="I363" s="44">
        <f t="shared" ca="1" si="160"/>
        <v>4</v>
      </c>
      <c r="J363">
        <f t="shared" si="144"/>
        <v>2</v>
      </c>
      <c r="K363" s="36">
        <f t="shared" ca="1" si="145"/>
        <v>123.80952380952381</v>
      </c>
      <c r="L363" s="10">
        <f ca="1">AH363*VLOOKUP(C363,技能辅助查询表,技能配置辅助表!$T$1,FALSE)</f>
        <v>0</v>
      </c>
      <c r="M363">
        <f t="shared" ca="1" si="146"/>
        <v>7680</v>
      </c>
      <c r="N363" s="33">
        <f ca="1">CHOOSE(1,W363*U363,X363*'[1]0、经济设定'!$C$18)</f>
        <v>512</v>
      </c>
      <c r="O363">
        <f t="shared" si="147"/>
        <v>4</v>
      </c>
      <c r="P363">
        <f t="shared" si="148"/>
        <v>1</v>
      </c>
      <c r="Q363">
        <f t="shared" si="149"/>
        <v>1</v>
      </c>
      <c r="R363" s="2">
        <f t="shared" si="150"/>
        <v>8</v>
      </c>
      <c r="S363" s="2">
        <f t="shared" si="151"/>
        <v>50</v>
      </c>
      <c r="T363" s="2">
        <f t="shared" si="152"/>
        <v>119.04761904761905</v>
      </c>
      <c r="U363" s="2">
        <f ca="1">VLOOKUP(E363,金币生产率!$A$2:$B$120,2,0)</f>
        <v>128</v>
      </c>
      <c r="V363" s="2">
        <f t="shared" si="153"/>
        <v>119.04761904761905</v>
      </c>
      <c r="W363" s="45">
        <f t="shared" ca="1" si="166"/>
        <v>4</v>
      </c>
      <c r="X363" s="48">
        <f t="shared" ca="1" si="167"/>
        <v>15</v>
      </c>
      <c r="Y363">
        <f t="shared" si="154"/>
        <v>18</v>
      </c>
      <c r="Z363">
        <f t="shared" ca="1" si="161"/>
        <v>0</v>
      </c>
      <c r="AA363" t="str">
        <f t="shared" ca="1" si="162"/>
        <v>9124200.png</v>
      </c>
      <c r="AB363">
        <f t="shared" si="155"/>
        <v>20</v>
      </c>
      <c r="AC363">
        <f>VLOOKUP(C363,技能辅助查询表,技能配置辅助表!$W$1,FALSE)</f>
        <v>964</v>
      </c>
      <c r="AD363">
        <f t="shared" ca="1" si="163"/>
        <v>0.92750975665012236</v>
      </c>
      <c r="AE363">
        <f>VLOOKUP(C363,技能辅助查询表,技能配置辅助表!$U$1,FALSE)</f>
        <v>4</v>
      </c>
      <c r="AF363">
        <f t="shared" ca="1" si="164"/>
        <v>9124204</v>
      </c>
      <c r="AG363">
        <f t="shared" ca="1" si="168"/>
        <v>12.408163265306122</v>
      </c>
      <c r="AH363">
        <f t="shared" ca="1" si="165"/>
        <v>19.477704889652582</v>
      </c>
      <c r="AI363">
        <f ca="1">VLOOKUP(E363,伤害参考系!$C$4:$E$104,3,FALSE)*$AN$12</f>
        <v>330.31565217391307</v>
      </c>
      <c r="AJ363">
        <f>VLOOKUP(C363,技能辅助查询表,技能配置辅助表!$L$1,FALSE)</f>
        <v>1</v>
      </c>
      <c r="AK363">
        <f>VLOOKUP(C363,技能辅助查询表,技能配置辅助表!$AE$1,FALSE)</f>
        <v>66000009</v>
      </c>
    </row>
    <row r="364" spans="1:37" x14ac:dyDescent="0.15">
      <c r="A364" s="1">
        <f t="shared" ca="1" si="156"/>
        <v>9124205</v>
      </c>
      <c r="B364" s="1" t="str">
        <f t="shared" ca="1" si="141"/>
        <v>裂空·斩第2段</v>
      </c>
      <c r="C364" t="s">
        <v>157</v>
      </c>
      <c r="D364">
        <f t="shared" si="142"/>
        <v>1</v>
      </c>
      <c r="E364" s="42">
        <f t="shared" ca="1" si="157"/>
        <v>15</v>
      </c>
      <c r="F364" t="str">
        <f t="shared" ca="1" si="158"/>
        <v>第5级，共造成125%点伤害</v>
      </c>
      <c r="G364">
        <f t="shared" ca="1" si="159"/>
        <v>2</v>
      </c>
      <c r="H364">
        <f t="shared" si="143"/>
        <v>2</v>
      </c>
      <c r="I364" s="44">
        <f t="shared" ca="1" si="160"/>
        <v>5</v>
      </c>
      <c r="J364">
        <f t="shared" si="144"/>
        <v>2</v>
      </c>
      <c r="K364" s="36">
        <f t="shared" ca="1" si="145"/>
        <v>125</v>
      </c>
      <c r="L364" s="10">
        <f ca="1">AH364*VLOOKUP(C364,技能辅助查询表,技能配置辅助表!$T$1,FALSE)</f>
        <v>0</v>
      </c>
      <c r="M364">
        <f t="shared" ca="1" si="146"/>
        <v>7600</v>
      </c>
      <c r="N364" s="33">
        <f ca="1">CHOOSE(1,W364*U364,X364*'[1]0、经济设定'!$C$18)</f>
        <v>670</v>
      </c>
      <c r="O364">
        <f t="shared" si="147"/>
        <v>4</v>
      </c>
      <c r="P364">
        <f t="shared" si="148"/>
        <v>1</v>
      </c>
      <c r="Q364">
        <f t="shared" si="149"/>
        <v>1</v>
      </c>
      <c r="R364" s="2">
        <f t="shared" si="150"/>
        <v>8</v>
      </c>
      <c r="S364" s="2">
        <f t="shared" si="151"/>
        <v>50</v>
      </c>
      <c r="T364" s="2">
        <f t="shared" si="152"/>
        <v>119.04761904761905</v>
      </c>
      <c r="U364" s="2">
        <f ca="1">VLOOKUP(E364,金币生产率!$A$2:$B$120,2,0)</f>
        <v>134</v>
      </c>
      <c r="V364" s="2">
        <f t="shared" si="153"/>
        <v>119.04761904761905</v>
      </c>
      <c r="W364" s="45">
        <f t="shared" ca="1" si="166"/>
        <v>5</v>
      </c>
      <c r="X364" s="48">
        <f t="shared" ca="1" si="167"/>
        <v>20</v>
      </c>
      <c r="Y364">
        <f t="shared" si="154"/>
        <v>18</v>
      </c>
      <c r="Z364">
        <f t="shared" ca="1" si="161"/>
        <v>0</v>
      </c>
      <c r="AA364" t="str">
        <f t="shared" ca="1" si="162"/>
        <v>9124200.png</v>
      </c>
      <c r="AB364">
        <f t="shared" si="155"/>
        <v>20</v>
      </c>
      <c r="AC364">
        <f>VLOOKUP(C364,技能辅助查询表,技能配置辅助表!$W$1,FALSE)</f>
        <v>964</v>
      </c>
      <c r="AD364">
        <f t="shared" ca="1" si="163"/>
        <v>1.1087554819742784</v>
      </c>
      <c r="AE364">
        <f>VLOOKUP(C364,技能辅助查询表,技能配置辅助表!$U$1,FALSE)</f>
        <v>4</v>
      </c>
      <c r="AF364">
        <f t="shared" ca="1" si="164"/>
        <v>9124205</v>
      </c>
      <c r="AG364">
        <f t="shared" ca="1" si="168"/>
        <v>13.877551020408163</v>
      </c>
      <c r="AH364">
        <f t="shared" ca="1" si="165"/>
        <v>22.175109639485559</v>
      </c>
      <c r="AI364">
        <f ca="1">VLOOKUP(E364,伤害参考系!$C$4:$E$104,3,FALSE)*$AN$12</f>
        <v>374.61277173913044</v>
      </c>
      <c r="AJ364">
        <f>VLOOKUP(C364,技能辅助查询表,技能配置辅助表!$L$1,FALSE)</f>
        <v>1</v>
      </c>
      <c r="AK364">
        <f>VLOOKUP(C364,技能辅助查询表,技能配置辅助表!$AE$1,FALSE)</f>
        <v>66000009</v>
      </c>
    </row>
    <row r="365" spans="1:37" x14ac:dyDescent="0.15">
      <c r="A365" s="1">
        <f t="shared" ca="1" si="156"/>
        <v>9124206</v>
      </c>
      <c r="B365" s="1" t="str">
        <f t="shared" ca="1" si="141"/>
        <v>裂空·斩第2段</v>
      </c>
      <c r="C365" t="s">
        <v>157</v>
      </c>
      <c r="D365">
        <f t="shared" si="142"/>
        <v>1</v>
      </c>
      <c r="E365" s="42">
        <f t="shared" ca="1" si="157"/>
        <v>17</v>
      </c>
      <c r="F365" t="str">
        <f t="shared" ca="1" si="158"/>
        <v>第6级，共造成126.2%点伤害</v>
      </c>
      <c r="G365">
        <f t="shared" ca="1" si="159"/>
        <v>2</v>
      </c>
      <c r="H365">
        <f t="shared" si="143"/>
        <v>2</v>
      </c>
      <c r="I365" s="44">
        <f t="shared" ca="1" si="160"/>
        <v>6</v>
      </c>
      <c r="J365">
        <f t="shared" si="144"/>
        <v>2</v>
      </c>
      <c r="K365" s="36">
        <f t="shared" ca="1" si="145"/>
        <v>126.19047619047619</v>
      </c>
      <c r="L365" s="10">
        <f ca="1">AH365*VLOOKUP(C365,技能辅助查询表,技能配置辅助表!$T$1,FALSE)</f>
        <v>0</v>
      </c>
      <c r="M365">
        <f t="shared" ca="1" si="146"/>
        <v>7520</v>
      </c>
      <c r="N365" s="33">
        <f ca="1">CHOOSE(1,W365*U365,X365*'[1]0、经济设定'!$C$18)</f>
        <v>730</v>
      </c>
      <c r="O365">
        <f t="shared" si="147"/>
        <v>4</v>
      </c>
      <c r="P365">
        <f t="shared" si="148"/>
        <v>1</v>
      </c>
      <c r="Q365">
        <f t="shared" si="149"/>
        <v>1</v>
      </c>
      <c r="R365" s="2">
        <f t="shared" si="150"/>
        <v>8</v>
      </c>
      <c r="S365" s="2">
        <f t="shared" si="151"/>
        <v>50</v>
      </c>
      <c r="T365" s="2">
        <f t="shared" si="152"/>
        <v>119.04761904761905</v>
      </c>
      <c r="U365" s="2">
        <f ca="1">VLOOKUP(E365,金币生产率!$A$2:$B$120,2,0)</f>
        <v>146</v>
      </c>
      <c r="V365" s="2">
        <f t="shared" si="153"/>
        <v>119.04761904761905</v>
      </c>
      <c r="W365" s="45">
        <f t="shared" ca="1" si="166"/>
        <v>5</v>
      </c>
      <c r="X365" s="48">
        <f t="shared" ca="1" si="167"/>
        <v>25</v>
      </c>
      <c r="Y365">
        <f t="shared" si="154"/>
        <v>18</v>
      </c>
      <c r="Z365">
        <f t="shared" ca="1" si="161"/>
        <v>0</v>
      </c>
      <c r="AA365" t="str">
        <f t="shared" ca="1" si="162"/>
        <v>9124200.png</v>
      </c>
      <c r="AB365">
        <f t="shared" si="155"/>
        <v>20</v>
      </c>
      <c r="AC365">
        <f>VLOOKUP(C365,技能辅助查询表,技能配置辅助表!$W$1,FALSE)</f>
        <v>964</v>
      </c>
      <c r="AD365">
        <f t="shared" ca="1" si="163"/>
        <v>1.3224131540087647</v>
      </c>
      <c r="AE365">
        <f>VLOOKUP(C365,技能辅助查询表,技能配置辅助表!$U$1,FALSE)</f>
        <v>4</v>
      </c>
      <c r="AF365">
        <f t="shared" ca="1" si="164"/>
        <v>9124206</v>
      </c>
      <c r="AG365">
        <f t="shared" ca="1" si="168"/>
        <v>15.346938775510203</v>
      </c>
      <c r="AH365">
        <f t="shared" ca="1" si="165"/>
        <v>25.246069303803697</v>
      </c>
      <c r="AI365">
        <f ca="1">VLOOKUP(E365,伤害参考系!$C$4:$E$104,3,FALSE)*$AN$12</f>
        <v>470.53516304347824</v>
      </c>
      <c r="AJ365">
        <f>VLOOKUP(C365,技能辅助查询表,技能配置辅助表!$L$1,FALSE)</f>
        <v>1</v>
      </c>
      <c r="AK365">
        <f>VLOOKUP(C365,技能辅助查询表,技能配置辅助表!$AE$1,FALSE)</f>
        <v>66000009</v>
      </c>
    </row>
    <row r="366" spans="1:37" x14ac:dyDescent="0.15">
      <c r="A366" s="1">
        <f t="shared" ca="1" si="156"/>
        <v>9124207</v>
      </c>
      <c r="B366" s="1" t="str">
        <f t="shared" ca="1" si="141"/>
        <v>裂空·斩第2段</v>
      </c>
      <c r="C366" t="s">
        <v>157</v>
      </c>
      <c r="D366">
        <f t="shared" si="142"/>
        <v>1</v>
      </c>
      <c r="E366" s="42">
        <f t="shared" ca="1" si="157"/>
        <v>18</v>
      </c>
      <c r="F366" t="str">
        <f t="shared" ca="1" si="158"/>
        <v>第7级，共造成127.4%点伤害</v>
      </c>
      <c r="G366">
        <f t="shared" ca="1" si="159"/>
        <v>2</v>
      </c>
      <c r="H366">
        <f t="shared" si="143"/>
        <v>2</v>
      </c>
      <c r="I366" s="44">
        <f t="shared" ca="1" si="160"/>
        <v>7</v>
      </c>
      <c r="J366">
        <f t="shared" si="144"/>
        <v>2</v>
      </c>
      <c r="K366" s="36">
        <f t="shared" ca="1" si="145"/>
        <v>127.38095238095238</v>
      </c>
      <c r="L366" s="10">
        <f ca="1">AH366*VLOOKUP(C366,技能辅助查询表,技能配置辅助表!$T$1,FALSE)</f>
        <v>0</v>
      </c>
      <c r="M366">
        <f t="shared" ca="1" si="146"/>
        <v>7440</v>
      </c>
      <c r="N366" s="33">
        <f ca="1">CHOOSE(1,W366*U366,X366*'[1]0、经济设定'!$C$18)</f>
        <v>760</v>
      </c>
      <c r="O366">
        <f t="shared" si="147"/>
        <v>4</v>
      </c>
      <c r="P366">
        <f t="shared" si="148"/>
        <v>1</v>
      </c>
      <c r="Q366">
        <f t="shared" si="149"/>
        <v>1</v>
      </c>
      <c r="R366" s="2">
        <f t="shared" si="150"/>
        <v>8</v>
      </c>
      <c r="S366" s="2">
        <f t="shared" si="151"/>
        <v>50</v>
      </c>
      <c r="T366" s="2">
        <f t="shared" si="152"/>
        <v>119.04761904761905</v>
      </c>
      <c r="U366" s="2">
        <f ca="1">VLOOKUP(E366,金币生产率!$A$2:$B$120,2,0)</f>
        <v>152</v>
      </c>
      <c r="V366" s="2">
        <f t="shared" si="153"/>
        <v>119.04761904761905</v>
      </c>
      <c r="W366" s="45">
        <f t="shared" ca="1" si="166"/>
        <v>5</v>
      </c>
      <c r="X366" s="48">
        <f t="shared" ca="1" si="167"/>
        <v>30</v>
      </c>
      <c r="Y366">
        <f t="shared" si="154"/>
        <v>18</v>
      </c>
      <c r="Z366">
        <f t="shared" ca="1" si="161"/>
        <v>0</v>
      </c>
      <c r="AA366" t="str">
        <f t="shared" ca="1" si="162"/>
        <v>9124200.png</v>
      </c>
      <c r="AB366">
        <f t="shared" si="155"/>
        <v>20</v>
      </c>
      <c r="AC366">
        <f>VLOOKUP(C366,技能辅助查询表,技能配置辅助表!$W$1,FALSE)</f>
        <v>964</v>
      </c>
      <c r="AD366">
        <f t="shared" ca="1" si="163"/>
        <v>1.5739839879736715</v>
      </c>
      <c r="AE366">
        <f>VLOOKUP(C366,技能辅助查询表,技能配置辅助表!$U$1,FALSE)</f>
        <v>4</v>
      </c>
      <c r="AF366">
        <f t="shared" ca="1" si="164"/>
        <v>9124207</v>
      </c>
      <c r="AG366">
        <f t="shared" ca="1" si="168"/>
        <v>16.816326530612244</v>
      </c>
      <c r="AH366">
        <f t="shared" ca="1" si="165"/>
        <v>28.742316302127907</v>
      </c>
      <c r="AI366">
        <f ca="1">VLOOKUP(E366,伤害参考系!$C$4:$E$104,3,FALSE)*$AN$12</f>
        <v>522.16043478260883</v>
      </c>
      <c r="AJ366">
        <f>VLOOKUP(C366,技能辅助查询表,技能配置辅助表!$L$1,FALSE)</f>
        <v>1</v>
      </c>
      <c r="AK366">
        <f>VLOOKUP(C366,技能辅助查询表,技能配置辅助表!$AE$1,FALSE)</f>
        <v>66000009</v>
      </c>
    </row>
    <row r="367" spans="1:37" x14ac:dyDescent="0.15">
      <c r="A367" s="1">
        <f t="shared" ca="1" si="156"/>
        <v>9124208</v>
      </c>
      <c r="B367" s="1" t="str">
        <f t="shared" ca="1" si="141"/>
        <v>裂空·斩第2段</v>
      </c>
      <c r="C367" t="s">
        <v>157</v>
      </c>
      <c r="D367">
        <f t="shared" si="142"/>
        <v>1</v>
      </c>
      <c r="E367" s="42">
        <f t="shared" ca="1" si="157"/>
        <v>20</v>
      </c>
      <c r="F367" t="str">
        <f t="shared" ca="1" si="158"/>
        <v>第8级，共造成128.6%点伤害</v>
      </c>
      <c r="G367">
        <f t="shared" ca="1" si="159"/>
        <v>2</v>
      </c>
      <c r="H367">
        <f t="shared" si="143"/>
        <v>2</v>
      </c>
      <c r="I367" s="44">
        <f t="shared" ca="1" si="160"/>
        <v>8</v>
      </c>
      <c r="J367">
        <f t="shared" si="144"/>
        <v>2</v>
      </c>
      <c r="K367" s="36">
        <f t="shared" ca="1" si="145"/>
        <v>128.57142857142858</v>
      </c>
      <c r="L367" s="10">
        <f ca="1">AH367*VLOOKUP(C367,技能辅助查询表,技能配置辅助表!$T$1,FALSE)</f>
        <v>0</v>
      </c>
      <c r="M367">
        <f t="shared" ca="1" si="146"/>
        <v>7360</v>
      </c>
      <c r="N367" s="33">
        <f ca="1">CHOOSE(1,W367*U367,X367*'[1]0、经济设定'!$C$18)</f>
        <v>1092</v>
      </c>
      <c r="O367">
        <f t="shared" si="147"/>
        <v>4</v>
      </c>
      <c r="P367">
        <f t="shared" si="148"/>
        <v>1</v>
      </c>
      <c r="Q367">
        <f t="shared" si="149"/>
        <v>1</v>
      </c>
      <c r="R367" s="2">
        <f t="shared" si="150"/>
        <v>8</v>
      </c>
      <c r="S367" s="2">
        <f t="shared" si="151"/>
        <v>50</v>
      </c>
      <c r="T367" s="2">
        <f t="shared" si="152"/>
        <v>119.04761904761905</v>
      </c>
      <c r="U367" s="2">
        <f ca="1">VLOOKUP(E367,金币生产率!$A$2:$B$120,2,0)</f>
        <v>182</v>
      </c>
      <c r="V367" s="2">
        <f t="shared" si="153"/>
        <v>119.04761904761905</v>
      </c>
      <c r="W367" s="45">
        <f t="shared" ca="1" si="166"/>
        <v>6</v>
      </c>
      <c r="X367" s="48">
        <f t="shared" ca="1" si="167"/>
        <v>36</v>
      </c>
      <c r="Y367">
        <f t="shared" si="154"/>
        <v>18</v>
      </c>
      <c r="Z367">
        <f t="shared" ca="1" si="161"/>
        <v>0</v>
      </c>
      <c r="AA367" t="str">
        <f t="shared" ca="1" si="162"/>
        <v>9124200.png</v>
      </c>
      <c r="AB367">
        <f t="shared" si="155"/>
        <v>20</v>
      </c>
      <c r="AC367">
        <f>VLOOKUP(C367,技能辅助查询表,技能配置辅助表!$W$1,FALSE)</f>
        <v>964</v>
      </c>
      <c r="AD367">
        <f t="shared" ca="1" si="163"/>
        <v>1.8698712748853268</v>
      </c>
      <c r="AE367">
        <f>VLOOKUP(C367,技能辅助查询表,技能配置辅助表!$U$1,FALSE)</f>
        <v>4</v>
      </c>
      <c r="AF367">
        <f t="shared" ca="1" si="164"/>
        <v>9124208</v>
      </c>
      <c r="AG367">
        <f t="shared" ca="1" si="168"/>
        <v>18.285714285714285</v>
      </c>
      <c r="AH367">
        <f t="shared" ca="1" si="165"/>
        <v>32.722747310493212</v>
      </c>
      <c r="AI367">
        <f ca="1">VLOOKUP(E367,伤害参考系!$C$4:$E$104,3,FALSE)*$AN$12</f>
        <v>632.73913043478262</v>
      </c>
      <c r="AJ367">
        <f>VLOOKUP(C367,技能辅助查询表,技能配置辅助表!$L$1,FALSE)</f>
        <v>1</v>
      </c>
      <c r="AK367">
        <f>VLOOKUP(C367,技能辅助查询表,技能配置辅助表!$AE$1,FALSE)</f>
        <v>66000009</v>
      </c>
    </row>
    <row r="368" spans="1:37" x14ac:dyDescent="0.15">
      <c r="A368" s="1">
        <f t="shared" ca="1" si="156"/>
        <v>9124209</v>
      </c>
      <c r="B368" s="1" t="str">
        <f t="shared" ca="1" si="141"/>
        <v>裂空·斩第2段</v>
      </c>
      <c r="C368" t="s">
        <v>157</v>
      </c>
      <c r="D368">
        <f t="shared" si="142"/>
        <v>1</v>
      </c>
      <c r="E368" s="42">
        <f t="shared" ca="1" si="157"/>
        <v>21</v>
      </c>
      <c r="F368" t="str">
        <f t="shared" ca="1" si="158"/>
        <v>第9级，共造成129.8%点伤害</v>
      </c>
      <c r="G368">
        <f t="shared" ca="1" si="159"/>
        <v>2</v>
      </c>
      <c r="H368">
        <f t="shared" si="143"/>
        <v>2</v>
      </c>
      <c r="I368" s="44">
        <f t="shared" ca="1" si="160"/>
        <v>9</v>
      </c>
      <c r="J368">
        <f t="shared" si="144"/>
        <v>2</v>
      </c>
      <c r="K368" s="36">
        <f t="shared" ca="1" si="145"/>
        <v>129.76190476190476</v>
      </c>
      <c r="L368" s="10">
        <f ca="1">AH368*VLOOKUP(C368,技能辅助查询表,技能配置辅助表!$T$1,FALSE)</f>
        <v>0</v>
      </c>
      <c r="M368">
        <f t="shared" ca="1" si="146"/>
        <v>7280</v>
      </c>
      <c r="N368" s="33">
        <f ca="1">CHOOSE(1,W368*U368,X368*'[1]0、经济设定'!$C$18)</f>
        <v>1260</v>
      </c>
      <c r="O368">
        <f t="shared" si="147"/>
        <v>4</v>
      </c>
      <c r="P368">
        <f t="shared" si="148"/>
        <v>1</v>
      </c>
      <c r="Q368">
        <f t="shared" si="149"/>
        <v>1</v>
      </c>
      <c r="R368" s="2">
        <f t="shared" si="150"/>
        <v>8</v>
      </c>
      <c r="S368" s="2">
        <f t="shared" si="151"/>
        <v>50</v>
      </c>
      <c r="T368" s="2">
        <f t="shared" si="152"/>
        <v>119.04761904761905</v>
      </c>
      <c r="U368" s="2">
        <f ca="1">VLOOKUP(E368,金币生产率!$A$2:$B$120,2,0)</f>
        <v>210</v>
      </c>
      <c r="V368" s="2">
        <f t="shared" si="153"/>
        <v>119.04761904761905</v>
      </c>
      <c r="W368" s="45">
        <f t="shared" ca="1" si="166"/>
        <v>6</v>
      </c>
      <c r="X368" s="48">
        <f t="shared" ca="1" si="167"/>
        <v>42</v>
      </c>
      <c r="Y368">
        <f t="shared" si="154"/>
        <v>18</v>
      </c>
      <c r="Z368">
        <f t="shared" ca="1" si="161"/>
        <v>0</v>
      </c>
      <c r="AA368" t="str">
        <f t="shared" ca="1" si="162"/>
        <v>9124200.png</v>
      </c>
      <c r="AB368">
        <f t="shared" si="155"/>
        <v>20</v>
      </c>
      <c r="AC368">
        <f>VLOOKUP(C368,技能辅助查询表,技能配置辅助表!$W$1,FALSE)</f>
        <v>964</v>
      </c>
      <c r="AD368">
        <f t="shared" ca="1" si="163"/>
        <v>2.2175247271611824</v>
      </c>
      <c r="AE368">
        <f>VLOOKUP(C368,技能辅助查询表,技能配置辅助表!$U$1,FALSE)</f>
        <v>4</v>
      </c>
      <c r="AF368">
        <f t="shared" ca="1" si="164"/>
        <v>9124209</v>
      </c>
      <c r="AG368">
        <f t="shared" ca="1" si="168"/>
        <v>19.755102040816325</v>
      </c>
      <c r="AH368">
        <f t="shared" ca="1" si="165"/>
        <v>37.25441541630785</v>
      </c>
      <c r="AI368">
        <f ca="1">VLOOKUP(E368,伤害参考系!$C$4:$E$104,3,FALSE)*$AN$12</f>
        <v>691.69255434782622</v>
      </c>
      <c r="AJ368">
        <f>VLOOKUP(C368,技能辅助查询表,技能配置辅助表!$L$1,FALSE)</f>
        <v>1</v>
      </c>
      <c r="AK368">
        <f>VLOOKUP(C368,技能辅助查询表,技能配置辅助表!$AE$1,FALSE)</f>
        <v>66000009</v>
      </c>
    </row>
    <row r="369" spans="1:37" x14ac:dyDescent="0.15">
      <c r="A369" s="1">
        <f t="shared" ca="1" si="156"/>
        <v>9124210</v>
      </c>
      <c r="B369" s="1" t="str">
        <f t="shared" ca="1" si="141"/>
        <v>裂空·斩第2段</v>
      </c>
      <c r="C369" t="s">
        <v>157</v>
      </c>
      <c r="D369">
        <f t="shared" si="142"/>
        <v>1</v>
      </c>
      <c r="E369" s="42">
        <f t="shared" ca="1" si="157"/>
        <v>22</v>
      </c>
      <c r="F369" t="str">
        <f t="shared" ca="1" si="158"/>
        <v>第10级，共造成131%点伤害</v>
      </c>
      <c r="G369">
        <f t="shared" ca="1" si="159"/>
        <v>2</v>
      </c>
      <c r="H369">
        <f t="shared" si="143"/>
        <v>2</v>
      </c>
      <c r="I369" s="44">
        <f t="shared" ca="1" si="160"/>
        <v>10</v>
      </c>
      <c r="J369">
        <f t="shared" si="144"/>
        <v>2</v>
      </c>
      <c r="K369" s="36">
        <f t="shared" ca="1" si="145"/>
        <v>130.95238095238096</v>
      </c>
      <c r="L369" s="10">
        <f ca="1">AH369*VLOOKUP(C369,技能辅助查询表,技能配置辅助表!$T$1,FALSE)</f>
        <v>0</v>
      </c>
      <c r="M369">
        <f t="shared" ca="1" si="146"/>
        <v>7200</v>
      </c>
      <c r="N369" s="33">
        <f ca="1">CHOOSE(1,W369*U369,X369*'[1]0、经济设定'!$C$18)</f>
        <v>1434</v>
      </c>
      <c r="O369">
        <f t="shared" si="147"/>
        <v>4</v>
      </c>
      <c r="P369">
        <f t="shared" si="148"/>
        <v>1</v>
      </c>
      <c r="Q369">
        <f t="shared" si="149"/>
        <v>1</v>
      </c>
      <c r="R369" s="2">
        <f t="shared" si="150"/>
        <v>8</v>
      </c>
      <c r="S369" s="2">
        <f t="shared" si="151"/>
        <v>50</v>
      </c>
      <c r="T369" s="2">
        <f t="shared" si="152"/>
        <v>119.04761904761905</v>
      </c>
      <c r="U369" s="2">
        <f ca="1">VLOOKUP(E369,金币生产率!$A$2:$B$120,2,0)</f>
        <v>239</v>
      </c>
      <c r="V369" s="2">
        <f t="shared" si="153"/>
        <v>119.04761904761905</v>
      </c>
      <c r="W369" s="45">
        <f t="shared" ca="1" si="166"/>
        <v>6</v>
      </c>
      <c r="X369" s="48">
        <f t="shared" ca="1" si="167"/>
        <v>48</v>
      </c>
      <c r="Y369">
        <f t="shared" si="154"/>
        <v>18</v>
      </c>
      <c r="Z369">
        <f t="shared" ca="1" si="161"/>
        <v>0</v>
      </c>
      <c r="AA369" t="str">
        <f t="shared" ca="1" si="162"/>
        <v>9124200.png</v>
      </c>
      <c r="AB369">
        <f t="shared" si="155"/>
        <v>20</v>
      </c>
      <c r="AC369">
        <f>VLOOKUP(C369,技能辅助查询表,技能配置辅助表!$W$1,FALSE)</f>
        <v>964</v>
      </c>
      <c r="AD369">
        <f t="shared" ca="1" si="163"/>
        <v>2.6256075036007216</v>
      </c>
      <c r="AE369">
        <f>VLOOKUP(C369,技能辅助查询表,技能配置辅助表!$U$1,FALSE)</f>
        <v>4</v>
      </c>
      <c r="AF369">
        <f t="shared" ca="1" si="164"/>
        <v>9124210</v>
      </c>
      <c r="AG369">
        <f t="shared" ca="1" si="168"/>
        <v>21.224489795918366</v>
      </c>
      <c r="AH369">
        <f t="shared" ca="1" si="165"/>
        <v>42.413659673550121</v>
      </c>
      <c r="AI369">
        <f ca="1">VLOOKUP(E369,伤害参考系!$C$4:$E$104,3,FALSE)*$AN$12</f>
        <v>753.08869565217401</v>
      </c>
      <c r="AJ369">
        <f>VLOOKUP(C369,技能辅助查询表,技能配置辅助表!$L$1,FALSE)</f>
        <v>1</v>
      </c>
      <c r="AK369">
        <f>VLOOKUP(C369,技能辅助查询表,技能配置辅助表!$AE$1,FALSE)</f>
        <v>66000009</v>
      </c>
    </row>
    <row r="370" spans="1:37" x14ac:dyDescent="0.15">
      <c r="A370" s="1">
        <f t="shared" ca="1" si="156"/>
        <v>9124211</v>
      </c>
      <c r="B370" s="1" t="str">
        <f t="shared" ca="1" si="141"/>
        <v>裂空·斩第2段</v>
      </c>
      <c r="C370" t="s">
        <v>157</v>
      </c>
      <c r="D370">
        <f t="shared" si="142"/>
        <v>1</v>
      </c>
      <c r="E370" s="42">
        <f t="shared" ca="1" si="157"/>
        <v>24</v>
      </c>
      <c r="F370" t="str">
        <f t="shared" ca="1" si="158"/>
        <v>第11级，共造成132.1%点伤害</v>
      </c>
      <c r="G370">
        <f t="shared" ca="1" si="159"/>
        <v>2</v>
      </c>
      <c r="H370">
        <f t="shared" si="143"/>
        <v>2</v>
      </c>
      <c r="I370" s="44">
        <f t="shared" ca="1" si="160"/>
        <v>11</v>
      </c>
      <c r="J370">
        <f t="shared" si="144"/>
        <v>2</v>
      </c>
      <c r="K370" s="36">
        <f t="shared" ca="1" si="145"/>
        <v>132.14285714285714</v>
      </c>
      <c r="L370" s="10">
        <f ca="1">AH370*VLOOKUP(C370,技能辅助查询表,技能配置辅助表!$T$1,FALSE)</f>
        <v>0</v>
      </c>
      <c r="M370">
        <f t="shared" ca="1" si="146"/>
        <v>7120</v>
      </c>
      <c r="N370" s="33">
        <f ca="1">CHOOSE(1,W370*U370,X370*'[1]0、经济设定'!$C$18)</f>
        <v>2114</v>
      </c>
      <c r="O370">
        <f t="shared" si="147"/>
        <v>4</v>
      </c>
      <c r="P370">
        <f t="shared" si="148"/>
        <v>1</v>
      </c>
      <c r="Q370">
        <f t="shared" si="149"/>
        <v>1</v>
      </c>
      <c r="R370" s="2">
        <f t="shared" si="150"/>
        <v>8</v>
      </c>
      <c r="S370" s="2">
        <f t="shared" si="151"/>
        <v>50</v>
      </c>
      <c r="T370" s="2">
        <f t="shared" si="152"/>
        <v>119.04761904761905</v>
      </c>
      <c r="U370" s="2">
        <f ca="1">VLOOKUP(E370,金币生产率!$A$2:$B$120,2,0)</f>
        <v>302</v>
      </c>
      <c r="V370" s="2">
        <f t="shared" si="153"/>
        <v>119.04761904761905</v>
      </c>
      <c r="W370" s="45">
        <f t="shared" ca="1" si="166"/>
        <v>7</v>
      </c>
      <c r="X370" s="48">
        <f t="shared" ca="1" si="167"/>
        <v>55</v>
      </c>
      <c r="Y370">
        <f t="shared" si="154"/>
        <v>18</v>
      </c>
      <c r="Z370">
        <f t="shared" ca="1" si="161"/>
        <v>0</v>
      </c>
      <c r="AA370" t="str">
        <f t="shared" ca="1" si="162"/>
        <v>9124200.png</v>
      </c>
      <c r="AB370">
        <f t="shared" si="155"/>
        <v>20</v>
      </c>
      <c r="AC370">
        <f>VLOOKUP(C370,技能辅助查询表,技能配置辅助表!$W$1,FALSE)</f>
        <v>964</v>
      </c>
      <c r="AD370">
        <f t="shared" ca="1" si="163"/>
        <v>3.1041894269850387</v>
      </c>
      <c r="AE370">
        <f>VLOOKUP(C370,技能辅助查询表,技能配置辅助表!$U$1,FALSE)</f>
        <v>4</v>
      </c>
      <c r="AF370">
        <f t="shared" ca="1" si="164"/>
        <v>9124211</v>
      </c>
      <c r="AG370">
        <f t="shared" ca="1" si="168"/>
        <v>22.693877551020407</v>
      </c>
      <c r="AH370">
        <f t="shared" ca="1" si="165"/>
        <v>48.287391086433935</v>
      </c>
      <c r="AI370">
        <f ca="1">VLOOKUP(E370,伤害参考系!$C$4:$E$104,3,FALSE)*$AN$12</f>
        <v>914.59374581939801</v>
      </c>
      <c r="AJ370">
        <f>VLOOKUP(C370,技能辅助查询表,技能配置辅助表!$L$1,FALSE)</f>
        <v>1</v>
      </c>
      <c r="AK370">
        <f>VLOOKUP(C370,技能辅助查询表,技能配置辅助表!$AE$1,FALSE)</f>
        <v>66000009</v>
      </c>
    </row>
    <row r="371" spans="1:37" x14ac:dyDescent="0.15">
      <c r="A371" s="1">
        <f t="shared" ca="1" si="156"/>
        <v>9124212</v>
      </c>
      <c r="B371" s="1" t="str">
        <f t="shared" ca="1" si="141"/>
        <v>裂空·斩第2段</v>
      </c>
      <c r="C371" t="s">
        <v>157</v>
      </c>
      <c r="D371">
        <f t="shared" si="142"/>
        <v>1</v>
      </c>
      <c r="E371" s="42">
        <f t="shared" ca="1" si="157"/>
        <v>25</v>
      </c>
      <c r="F371" t="str">
        <f t="shared" ca="1" si="158"/>
        <v>第12级，共造成133.3%点伤害</v>
      </c>
      <c r="G371">
        <f t="shared" ca="1" si="159"/>
        <v>2</v>
      </c>
      <c r="H371">
        <f t="shared" si="143"/>
        <v>2</v>
      </c>
      <c r="I371" s="44">
        <f t="shared" ca="1" si="160"/>
        <v>12</v>
      </c>
      <c r="J371">
        <f t="shared" si="144"/>
        <v>2</v>
      </c>
      <c r="K371" s="36">
        <f t="shared" ca="1" si="145"/>
        <v>133.33333333333334</v>
      </c>
      <c r="L371" s="10">
        <f ca="1">AH371*VLOOKUP(C371,技能辅助查询表,技能配置辅助表!$T$1,FALSE)</f>
        <v>0</v>
      </c>
      <c r="M371">
        <f t="shared" ca="1" si="146"/>
        <v>7040</v>
      </c>
      <c r="N371" s="33">
        <f ca="1">CHOOSE(1,W371*U371,X371*'[1]0、经济设定'!$C$18)</f>
        <v>2345</v>
      </c>
      <c r="O371">
        <f t="shared" si="147"/>
        <v>4</v>
      </c>
      <c r="P371">
        <f t="shared" si="148"/>
        <v>1</v>
      </c>
      <c r="Q371">
        <f t="shared" si="149"/>
        <v>1</v>
      </c>
      <c r="R371" s="2">
        <f t="shared" si="150"/>
        <v>8</v>
      </c>
      <c r="S371" s="2">
        <f t="shared" si="151"/>
        <v>50</v>
      </c>
      <c r="T371" s="2">
        <f t="shared" si="152"/>
        <v>119.04761904761905</v>
      </c>
      <c r="U371" s="2">
        <f ca="1">VLOOKUP(E371,金币生产率!$A$2:$B$120,2,0)</f>
        <v>335</v>
      </c>
      <c r="V371" s="2">
        <f t="shared" si="153"/>
        <v>119.04761904761905</v>
      </c>
      <c r="W371" s="45">
        <f t="shared" ca="1" si="166"/>
        <v>7</v>
      </c>
      <c r="X371" s="48">
        <f t="shared" ca="1" si="167"/>
        <v>62</v>
      </c>
      <c r="Y371">
        <f t="shared" si="154"/>
        <v>18</v>
      </c>
      <c r="Z371">
        <f t="shared" ca="1" si="161"/>
        <v>0</v>
      </c>
      <c r="AA371" t="str">
        <f t="shared" ca="1" si="162"/>
        <v>9124200.png</v>
      </c>
      <c r="AB371">
        <f t="shared" si="155"/>
        <v>20</v>
      </c>
      <c r="AC371">
        <f>VLOOKUP(C371,技能辅助查询表,技能配置辅助表!$W$1,FALSE)</f>
        <v>964</v>
      </c>
      <c r="AD371">
        <f t="shared" ca="1" si="163"/>
        <v>3.6649704456546304</v>
      </c>
      <c r="AE371">
        <f>VLOOKUP(C371,技能辅助查询表,技能配置辅助表!$U$1,FALSE)</f>
        <v>4</v>
      </c>
      <c r="AF371">
        <f t="shared" ca="1" si="164"/>
        <v>9124212</v>
      </c>
      <c r="AG371">
        <f t="shared" ca="1" si="168"/>
        <v>24.163265306122447</v>
      </c>
      <c r="AH371">
        <f t="shared" ca="1" si="165"/>
        <v>54.974556684819426</v>
      </c>
      <c r="AI371">
        <f ca="1">VLOOKUP(E371,伤害参考系!$C$4:$E$104,3,FALSE)*$AN$12</f>
        <v>1000.3949623745822</v>
      </c>
      <c r="AJ371">
        <f>VLOOKUP(C371,技能辅助查询表,技能配置辅助表!$L$1,FALSE)</f>
        <v>1</v>
      </c>
      <c r="AK371">
        <f>VLOOKUP(C371,技能辅助查询表,技能配置辅助表!$AE$1,FALSE)</f>
        <v>66000009</v>
      </c>
    </row>
    <row r="372" spans="1:37" x14ac:dyDescent="0.15">
      <c r="A372" s="1">
        <f t="shared" ca="1" si="156"/>
        <v>9124213</v>
      </c>
      <c r="B372" s="1" t="str">
        <f t="shared" ca="1" si="141"/>
        <v>裂空·斩第2段</v>
      </c>
      <c r="C372" t="s">
        <v>157</v>
      </c>
      <c r="D372">
        <f t="shared" si="142"/>
        <v>1</v>
      </c>
      <c r="E372" s="42">
        <f t="shared" ca="1" si="157"/>
        <v>27</v>
      </c>
      <c r="F372" t="str">
        <f t="shared" ca="1" si="158"/>
        <v>第13级，共造成134.5%点伤害</v>
      </c>
      <c r="G372">
        <f t="shared" ca="1" si="159"/>
        <v>2</v>
      </c>
      <c r="H372">
        <f t="shared" si="143"/>
        <v>2</v>
      </c>
      <c r="I372" s="44">
        <f t="shared" ca="1" si="160"/>
        <v>13</v>
      </c>
      <c r="J372">
        <f t="shared" si="144"/>
        <v>2</v>
      </c>
      <c r="K372" s="36">
        <f t="shared" ca="1" si="145"/>
        <v>134.52380952380952</v>
      </c>
      <c r="L372" s="10">
        <f ca="1">AH372*VLOOKUP(C372,技能辅助查询表,技能配置辅助表!$T$1,FALSE)</f>
        <v>0</v>
      </c>
      <c r="M372">
        <f t="shared" ca="1" si="146"/>
        <v>6960</v>
      </c>
      <c r="N372" s="33">
        <f ca="1">CHOOSE(1,W372*U372,X372*'[1]0、经济设定'!$C$18)</f>
        <v>3248</v>
      </c>
      <c r="O372">
        <f t="shared" si="147"/>
        <v>4</v>
      </c>
      <c r="P372">
        <f t="shared" si="148"/>
        <v>1</v>
      </c>
      <c r="Q372">
        <f t="shared" si="149"/>
        <v>1</v>
      </c>
      <c r="R372" s="2">
        <f t="shared" si="150"/>
        <v>8</v>
      </c>
      <c r="S372" s="2">
        <f t="shared" si="151"/>
        <v>50</v>
      </c>
      <c r="T372" s="2">
        <f t="shared" si="152"/>
        <v>119.04761904761905</v>
      </c>
      <c r="U372" s="2">
        <f ca="1">VLOOKUP(E372,金币生产率!$A$2:$B$120,2,0)</f>
        <v>406</v>
      </c>
      <c r="V372" s="2">
        <f t="shared" si="153"/>
        <v>119.04761904761905</v>
      </c>
      <c r="W372" s="45">
        <f t="shared" ca="1" si="166"/>
        <v>8</v>
      </c>
      <c r="X372" s="48">
        <f t="shared" ca="1" si="167"/>
        <v>70</v>
      </c>
      <c r="Y372">
        <f t="shared" si="154"/>
        <v>18</v>
      </c>
      <c r="Z372">
        <f t="shared" ca="1" si="161"/>
        <v>0</v>
      </c>
      <c r="AA372" t="str">
        <f t="shared" ca="1" si="162"/>
        <v>9124200.png</v>
      </c>
      <c r="AB372">
        <f t="shared" si="155"/>
        <v>20</v>
      </c>
      <c r="AC372">
        <f>VLOOKUP(C372,技能辅助查询表,技能配置辅助表!$W$1,FALSE)</f>
        <v>964</v>
      </c>
      <c r="AD372">
        <f t="shared" ca="1" si="163"/>
        <v>4.3215390102069478</v>
      </c>
      <c r="AE372">
        <f>VLOOKUP(C372,技能辅助查询表,技能配置辅助表!$U$1,FALSE)</f>
        <v>4</v>
      </c>
      <c r="AF372">
        <f t="shared" ca="1" si="164"/>
        <v>9124213</v>
      </c>
      <c r="AG372">
        <f t="shared" ca="1" si="168"/>
        <v>25.632653061224488</v>
      </c>
      <c r="AH372">
        <f t="shared" ca="1" si="165"/>
        <v>62.587806354721323</v>
      </c>
      <c r="AI372">
        <f ca="1">VLOOKUP(E372,伤害参考系!$C$4:$E$104,3,FALSE)*$AN$12</f>
        <v>1210.5107784280938</v>
      </c>
      <c r="AJ372">
        <f>VLOOKUP(C372,技能辅助查询表,技能配置辅助表!$L$1,FALSE)</f>
        <v>1</v>
      </c>
      <c r="AK372">
        <f>VLOOKUP(C372,技能辅助查询表,技能配置辅助表!$AE$1,FALSE)</f>
        <v>66000009</v>
      </c>
    </row>
    <row r="373" spans="1:37" x14ac:dyDescent="0.15">
      <c r="A373" s="1">
        <f t="shared" ca="1" si="156"/>
        <v>9124214</v>
      </c>
      <c r="B373" s="1" t="str">
        <f t="shared" ca="1" si="141"/>
        <v>裂空·斩第2段</v>
      </c>
      <c r="C373" t="s">
        <v>157</v>
      </c>
      <c r="D373">
        <f t="shared" si="142"/>
        <v>1</v>
      </c>
      <c r="E373" s="42">
        <f t="shared" ca="1" si="157"/>
        <v>28</v>
      </c>
      <c r="F373" t="str">
        <f t="shared" ca="1" si="158"/>
        <v>第14级，共造成135.7%点伤害</v>
      </c>
      <c r="G373">
        <f t="shared" ca="1" si="159"/>
        <v>2</v>
      </c>
      <c r="H373">
        <f t="shared" si="143"/>
        <v>2</v>
      </c>
      <c r="I373" s="44">
        <f t="shared" ca="1" si="160"/>
        <v>14</v>
      </c>
      <c r="J373">
        <f t="shared" si="144"/>
        <v>2</v>
      </c>
      <c r="K373" s="36">
        <f t="shared" ca="1" si="145"/>
        <v>135.71428571428572</v>
      </c>
      <c r="L373" s="10">
        <f ca="1">AH373*VLOOKUP(C373,技能辅助查询表,技能配置辅助表!$T$1,FALSE)</f>
        <v>0</v>
      </c>
      <c r="M373">
        <f t="shared" ca="1" si="146"/>
        <v>6880</v>
      </c>
      <c r="N373" s="33">
        <f ca="1">CHOOSE(1,W373*U373,X373*'[1]0、经济设定'!$C$18)</f>
        <v>3544</v>
      </c>
      <c r="O373">
        <f t="shared" si="147"/>
        <v>4</v>
      </c>
      <c r="P373">
        <f t="shared" si="148"/>
        <v>1</v>
      </c>
      <c r="Q373">
        <f t="shared" si="149"/>
        <v>1</v>
      </c>
      <c r="R373" s="2">
        <f t="shared" si="150"/>
        <v>8</v>
      </c>
      <c r="S373" s="2">
        <f t="shared" si="151"/>
        <v>50</v>
      </c>
      <c r="T373" s="2">
        <f t="shared" si="152"/>
        <v>119.04761904761905</v>
      </c>
      <c r="U373" s="2">
        <f ca="1">VLOOKUP(E373,金币生产率!$A$2:$B$120,2,0)</f>
        <v>443</v>
      </c>
      <c r="V373" s="2">
        <f t="shared" si="153"/>
        <v>119.04761904761905</v>
      </c>
      <c r="W373" s="45">
        <f t="shared" ca="1" si="166"/>
        <v>8</v>
      </c>
      <c r="X373" s="48">
        <f t="shared" ca="1" si="167"/>
        <v>78</v>
      </c>
      <c r="Y373">
        <f t="shared" si="154"/>
        <v>18</v>
      </c>
      <c r="Z373">
        <f t="shared" ca="1" si="161"/>
        <v>0</v>
      </c>
      <c r="AA373" t="str">
        <f t="shared" ca="1" si="162"/>
        <v>9124200.png</v>
      </c>
      <c r="AB373">
        <f t="shared" si="155"/>
        <v>20</v>
      </c>
      <c r="AC373">
        <f>VLOOKUP(C373,技能辅助查询表,技能配置辅助表!$W$1,FALSE)</f>
        <v>964</v>
      </c>
      <c r="AD373">
        <f t="shared" ca="1" si="163"/>
        <v>5.0896707502012646</v>
      </c>
      <c r="AE373">
        <f>VLOOKUP(C373,技能辅助查询表,技能配置辅助表!$U$1,FALSE)</f>
        <v>4</v>
      </c>
      <c r="AF373">
        <f t="shared" ca="1" si="164"/>
        <v>9124214</v>
      </c>
      <c r="AG373">
        <f t="shared" ca="1" si="168"/>
        <v>27.102040816326532</v>
      </c>
      <c r="AH373">
        <f t="shared" ca="1" si="165"/>
        <v>71.25539050281769</v>
      </c>
      <c r="AI373">
        <f ca="1">VLOOKUP(E373,伤害参考系!$C$4:$E$104,3,FALSE)*$AN$12</f>
        <v>1321.7693779264216</v>
      </c>
      <c r="AJ373">
        <f>VLOOKUP(C373,技能辅助查询表,技能配置辅助表!$L$1,FALSE)</f>
        <v>1</v>
      </c>
      <c r="AK373">
        <f>VLOOKUP(C373,技能辅助查询表,技能配置辅助表!$AE$1,FALSE)</f>
        <v>66000009</v>
      </c>
    </row>
    <row r="374" spans="1:37" x14ac:dyDescent="0.15">
      <c r="A374" s="1">
        <f t="shared" ca="1" si="156"/>
        <v>9124215</v>
      </c>
      <c r="B374" s="1" t="str">
        <f t="shared" ca="1" si="141"/>
        <v>裂空·斩第2段</v>
      </c>
      <c r="C374" t="s">
        <v>157</v>
      </c>
      <c r="D374">
        <f t="shared" si="142"/>
        <v>1</v>
      </c>
      <c r="E374" s="42">
        <f t="shared" ca="1" si="157"/>
        <v>30</v>
      </c>
      <c r="F374" t="str">
        <f t="shared" ca="1" si="158"/>
        <v>第15级，共造成136.9%点伤害</v>
      </c>
      <c r="G374">
        <f t="shared" ca="1" si="159"/>
        <v>2</v>
      </c>
      <c r="H374">
        <f t="shared" si="143"/>
        <v>2</v>
      </c>
      <c r="I374" s="44">
        <f t="shared" ca="1" si="160"/>
        <v>15</v>
      </c>
      <c r="J374">
        <f t="shared" si="144"/>
        <v>2</v>
      </c>
      <c r="K374" s="36">
        <f t="shared" ca="1" si="145"/>
        <v>136.9047619047619</v>
      </c>
      <c r="L374" s="10">
        <f ca="1">AH374*VLOOKUP(C374,技能辅助查询表,技能配置辅助表!$T$1,FALSE)</f>
        <v>0</v>
      </c>
      <c r="M374">
        <f t="shared" ca="1" si="146"/>
        <v>6800</v>
      </c>
      <c r="N374" s="33">
        <f ca="1">CHOOSE(1,W374*U374,X374*'[1]0、经济设定'!$C$18)</f>
        <v>4698</v>
      </c>
      <c r="O374">
        <f t="shared" si="147"/>
        <v>4</v>
      </c>
      <c r="P374">
        <f t="shared" si="148"/>
        <v>1</v>
      </c>
      <c r="Q374">
        <f t="shared" si="149"/>
        <v>1</v>
      </c>
      <c r="R374" s="2">
        <f t="shared" si="150"/>
        <v>8</v>
      </c>
      <c r="S374" s="2">
        <f t="shared" si="151"/>
        <v>50</v>
      </c>
      <c r="T374" s="2">
        <f t="shared" si="152"/>
        <v>119.04761904761905</v>
      </c>
      <c r="U374" s="2">
        <f ca="1">VLOOKUP(E374,金币生产率!$A$2:$B$120,2,0)</f>
        <v>522</v>
      </c>
      <c r="V374" s="2">
        <f t="shared" si="153"/>
        <v>119.04761904761905</v>
      </c>
      <c r="W374" s="45">
        <f t="shared" ca="1" si="166"/>
        <v>9</v>
      </c>
      <c r="X374" s="48">
        <f t="shared" ca="1" si="167"/>
        <v>87</v>
      </c>
      <c r="Y374">
        <f t="shared" si="154"/>
        <v>18</v>
      </c>
      <c r="Z374">
        <f t="shared" ca="1" si="161"/>
        <v>0</v>
      </c>
      <c r="AA374" t="str">
        <f t="shared" ca="1" si="162"/>
        <v>9124200.png</v>
      </c>
      <c r="AB374">
        <f t="shared" si="155"/>
        <v>20</v>
      </c>
      <c r="AC374">
        <f>VLOOKUP(C374,技能辅助查询表,技能配置辅助表!$W$1,FALSE)</f>
        <v>964</v>
      </c>
      <c r="AD374">
        <f t="shared" ca="1" si="163"/>
        <v>5.9876736576069876</v>
      </c>
      <c r="AE374">
        <f>VLOOKUP(C374,技能辅助查询表,技能配置辅助表!$U$1,FALSE)</f>
        <v>4</v>
      </c>
      <c r="AF374">
        <f t="shared" ca="1" si="164"/>
        <v>9124215</v>
      </c>
      <c r="AG374">
        <f t="shared" ca="1" si="168"/>
        <v>28.571428571428573</v>
      </c>
      <c r="AH374">
        <f t="shared" ca="1" si="165"/>
        <v>81.123320522417259</v>
      </c>
      <c r="AI374">
        <f ca="1">VLOOKUP(E374,伤害参考系!$C$4:$E$104,3,FALSE)*$AN$12</f>
        <v>1576.1465593645489</v>
      </c>
      <c r="AJ374">
        <f>VLOOKUP(C374,技能辅助查询表,技能配置辅助表!$L$1,FALSE)</f>
        <v>1</v>
      </c>
      <c r="AK374">
        <f>VLOOKUP(C374,技能辅助查询表,技能配置辅助表!$AE$1,FALSE)</f>
        <v>66000009</v>
      </c>
    </row>
    <row r="375" spans="1:37" x14ac:dyDescent="0.15">
      <c r="A375" s="1">
        <f t="shared" ca="1" si="156"/>
        <v>9124216</v>
      </c>
      <c r="B375" s="1" t="str">
        <f t="shared" ca="1" si="141"/>
        <v>裂空·斩第2段</v>
      </c>
      <c r="C375" t="s">
        <v>157</v>
      </c>
      <c r="D375">
        <f t="shared" si="142"/>
        <v>1</v>
      </c>
      <c r="E375" s="42">
        <f t="shared" ca="1" si="157"/>
        <v>31</v>
      </c>
      <c r="F375" t="str">
        <f t="shared" ca="1" si="158"/>
        <v>第16级，共造成138.1%点伤害</v>
      </c>
      <c r="G375">
        <f t="shared" ca="1" si="159"/>
        <v>2</v>
      </c>
      <c r="H375">
        <f t="shared" si="143"/>
        <v>2</v>
      </c>
      <c r="I375" s="44">
        <f t="shared" ca="1" si="160"/>
        <v>16</v>
      </c>
      <c r="J375">
        <f t="shared" si="144"/>
        <v>2</v>
      </c>
      <c r="K375" s="36">
        <f t="shared" ca="1" si="145"/>
        <v>138.0952380952381</v>
      </c>
      <c r="L375" s="10">
        <f ca="1">AH375*VLOOKUP(C375,技能辅助查询表,技能配置辅助表!$T$1,FALSE)</f>
        <v>0</v>
      </c>
      <c r="M375">
        <f t="shared" ca="1" si="146"/>
        <v>6720</v>
      </c>
      <c r="N375" s="33">
        <f ca="1">CHOOSE(1,W375*U375,X375*'[1]0、经济设定'!$C$18)</f>
        <v>5630</v>
      </c>
      <c r="O375">
        <f t="shared" si="147"/>
        <v>4</v>
      </c>
      <c r="P375">
        <f t="shared" si="148"/>
        <v>1</v>
      </c>
      <c r="Q375">
        <f t="shared" si="149"/>
        <v>1</v>
      </c>
      <c r="R375" s="2">
        <f t="shared" si="150"/>
        <v>8</v>
      </c>
      <c r="S375" s="2">
        <f t="shared" si="151"/>
        <v>50</v>
      </c>
      <c r="T375" s="2">
        <f t="shared" si="152"/>
        <v>119.04761904761905</v>
      </c>
      <c r="U375" s="2">
        <f ca="1">VLOOKUP(E375,金币生产率!$A$2:$B$120,2,0)</f>
        <v>563</v>
      </c>
      <c r="V375" s="2">
        <f t="shared" si="153"/>
        <v>119.04761904761905</v>
      </c>
      <c r="W375" s="45">
        <f t="shared" ca="1" si="166"/>
        <v>10</v>
      </c>
      <c r="X375" s="48">
        <f t="shared" ca="1" si="167"/>
        <v>97</v>
      </c>
      <c r="Y375">
        <f t="shared" si="154"/>
        <v>18</v>
      </c>
      <c r="Z375">
        <f t="shared" ca="1" si="161"/>
        <v>0</v>
      </c>
      <c r="AA375" t="str">
        <f t="shared" ca="1" si="162"/>
        <v>9124200.png</v>
      </c>
      <c r="AB375">
        <f t="shared" si="155"/>
        <v>20</v>
      </c>
      <c r="AC375">
        <f>VLOOKUP(C375,技能辅助查询表,技能配置辅助表!$W$1,FALSE)</f>
        <v>964</v>
      </c>
      <c r="AD375">
        <f t="shared" ca="1" si="163"/>
        <v>7.0367869299363806</v>
      </c>
      <c r="AE375">
        <f>VLOOKUP(C375,技能辅助查询表,技能配置辅助表!$U$1,FALSE)</f>
        <v>4</v>
      </c>
      <c r="AF375">
        <f t="shared" ca="1" si="164"/>
        <v>9124216</v>
      </c>
      <c r="AG375">
        <f t="shared" ca="1" si="168"/>
        <v>30.040816326530614</v>
      </c>
      <c r="AH375">
        <f t="shared" ca="1" si="165"/>
        <v>92.357828455414989</v>
      </c>
      <c r="AI375">
        <f ca="1">VLOOKUP(E375,伤害参考系!$C$4:$E$104,3,FALSE)*$AN$12</f>
        <v>1721.3320384615388</v>
      </c>
      <c r="AJ375">
        <f>VLOOKUP(C375,技能辅助查询表,技能配置辅助表!$L$1,FALSE)</f>
        <v>1</v>
      </c>
      <c r="AK375">
        <f>VLOOKUP(C375,技能辅助查询表,技能配置辅助表!$AE$1,FALSE)</f>
        <v>66000009</v>
      </c>
    </row>
    <row r="376" spans="1:37" x14ac:dyDescent="0.15">
      <c r="A376" s="1">
        <f t="shared" ca="1" si="156"/>
        <v>9124217</v>
      </c>
      <c r="B376" s="1" t="str">
        <f t="shared" ca="1" si="141"/>
        <v>裂空·斩第2段</v>
      </c>
      <c r="C376" t="s">
        <v>157</v>
      </c>
      <c r="D376">
        <f t="shared" si="142"/>
        <v>1</v>
      </c>
      <c r="E376" s="42">
        <f t="shared" ca="1" si="157"/>
        <v>32</v>
      </c>
      <c r="F376" t="str">
        <f t="shared" ca="1" si="158"/>
        <v>第17级，共造成139.3%点伤害</v>
      </c>
      <c r="G376">
        <f t="shared" ca="1" si="159"/>
        <v>2</v>
      </c>
      <c r="H376">
        <f t="shared" si="143"/>
        <v>2</v>
      </c>
      <c r="I376" s="44">
        <f t="shared" ca="1" si="160"/>
        <v>17</v>
      </c>
      <c r="J376">
        <f t="shared" si="144"/>
        <v>2</v>
      </c>
      <c r="K376" s="36">
        <f t="shared" ca="1" si="145"/>
        <v>139.28571428571428</v>
      </c>
      <c r="L376" s="10">
        <f ca="1">AH376*VLOOKUP(C376,技能辅助查询表,技能配置辅助表!$T$1,FALSE)</f>
        <v>0</v>
      </c>
      <c r="M376">
        <f t="shared" ca="1" si="146"/>
        <v>6640</v>
      </c>
      <c r="N376" s="33">
        <f ca="1">CHOOSE(1,W376*U376,X376*'[1]0、经济设定'!$C$18)</f>
        <v>6060</v>
      </c>
      <c r="O376">
        <f t="shared" si="147"/>
        <v>4</v>
      </c>
      <c r="P376">
        <f t="shared" si="148"/>
        <v>1</v>
      </c>
      <c r="Q376">
        <f t="shared" si="149"/>
        <v>1</v>
      </c>
      <c r="R376" s="2">
        <f t="shared" si="150"/>
        <v>8</v>
      </c>
      <c r="S376" s="2">
        <f t="shared" si="151"/>
        <v>50</v>
      </c>
      <c r="T376" s="2">
        <f t="shared" si="152"/>
        <v>119.04761904761905</v>
      </c>
      <c r="U376" s="2">
        <f ca="1">VLOOKUP(E376,金币生产率!$A$2:$B$120,2,0)</f>
        <v>606</v>
      </c>
      <c r="V376" s="2">
        <f t="shared" si="153"/>
        <v>119.04761904761905</v>
      </c>
      <c r="W376" s="45">
        <f t="shared" ca="1" si="166"/>
        <v>10</v>
      </c>
      <c r="X376" s="48">
        <f t="shared" ca="1" si="167"/>
        <v>107</v>
      </c>
      <c r="Y376">
        <f t="shared" si="154"/>
        <v>18</v>
      </c>
      <c r="Z376">
        <f t="shared" ca="1" si="161"/>
        <v>0</v>
      </c>
      <c r="AA376" t="str">
        <f t="shared" ca="1" si="162"/>
        <v>9124200.png</v>
      </c>
      <c r="AB376">
        <f t="shared" si="155"/>
        <v>20</v>
      </c>
      <c r="AC376">
        <f>VLOOKUP(C376,技能辅助查询表,技能配置辅助表!$W$1,FALSE)</f>
        <v>964</v>
      </c>
      <c r="AD376">
        <f t="shared" ca="1" si="163"/>
        <v>8.2616417152442487</v>
      </c>
      <c r="AE376">
        <f>VLOOKUP(C376,技能辅助查询表,技能配置辅助表!$U$1,FALSE)</f>
        <v>4</v>
      </c>
      <c r="AF376">
        <f t="shared" ca="1" si="164"/>
        <v>9124217</v>
      </c>
      <c r="AG376">
        <f t="shared" ca="1" si="168"/>
        <v>31.510204081632654</v>
      </c>
      <c r="AH376">
        <f t="shared" ca="1" si="165"/>
        <v>105.14816728492683</v>
      </c>
      <c r="AI376">
        <f ca="1">VLOOKUP(E376,伤害参考系!$C$4:$E$104,3,FALSE)*$AN$12</f>
        <v>1873.3990785953181</v>
      </c>
      <c r="AJ376">
        <f>VLOOKUP(C376,技能辅助查询表,技能配置辅助表!$L$1,FALSE)</f>
        <v>1</v>
      </c>
      <c r="AK376">
        <f>VLOOKUP(C376,技能辅助查询表,技能配置辅助表!$AE$1,FALSE)</f>
        <v>66000009</v>
      </c>
    </row>
    <row r="377" spans="1:37" x14ac:dyDescent="0.15">
      <c r="A377" s="1">
        <f t="shared" ca="1" si="156"/>
        <v>9124218</v>
      </c>
      <c r="B377" s="1" t="str">
        <f t="shared" ca="1" si="141"/>
        <v>裂空·斩第2段</v>
      </c>
      <c r="C377" t="s">
        <v>157</v>
      </c>
      <c r="D377">
        <f t="shared" si="142"/>
        <v>1</v>
      </c>
      <c r="E377" s="42">
        <f t="shared" ca="1" si="157"/>
        <v>34</v>
      </c>
      <c r="F377" t="str">
        <f t="shared" ca="1" si="158"/>
        <v>第18级，共造成140.5%点伤害</v>
      </c>
      <c r="G377">
        <f t="shared" ca="1" si="159"/>
        <v>2</v>
      </c>
      <c r="H377">
        <f t="shared" si="143"/>
        <v>2</v>
      </c>
      <c r="I377" s="44">
        <f t="shared" ca="1" si="160"/>
        <v>18</v>
      </c>
      <c r="J377">
        <f t="shared" si="144"/>
        <v>2</v>
      </c>
      <c r="K377" s="36">
        <f t="shared" ca="1" si="145"/>
        <v>140.47619047619048</v>
      </c>
      <c r="L377" s="10">
        <f ca="1">AH377*VLOOKUP(C377,技能辅助查询表,技能配置辅助表!$T$1,FALSE)</f>
        <v>0</v>
      </c>
      <c r="M377">
        <f t="shared" ca="1" si="146"/>
        <v>6560</v>
      </c>
      <c r="N377" s="33">
        <f ca="1">CHOOSE(1,W377*U377,X377*'[1]0、经济设定'!$C$18)</f>
        <v>7656</v>
      </c>
      <c r="O377">
        <f t="shared" si="147"/>
        <v>4</v>
      </c>
      <c r="P377">
        <f t="shared" si="148"/>
        <v>1</v>
      </c>
      <c r="Q377">
        <f t="shared" si="149"/>
        <v>1</v>
      </c>
      <c r="R377" s="2">
        <f t="shared" si="150"/>
        <v>8</v>
      </c>
      <c r="S377" s="2">
        <f t="shared" si="151"/>
        <v>50</v>
      </c>
      <c r="T377" s="2">
        <f t="shared" si="152"/>
        <v>119.04761904761905</v>
      </c>
      <c r="U377" s="2">
        <f ca="1">VLOOKUP(E377,金币生产率!$A$2:$B$120,2,0)</f>
        <v>696</v>
      </c>
      <c r="V377" s="2">
        <f t="shared" si="153"/>
        <v>119.04761904761905</v>
      </c>
      <c r="W377" s="45">
        <f t="shared" ca="1" si="166"/>
        <v>11</v>
      </c>
      <c r="X377" s="48">
        <f t="shared" ca="1" si="167"/>
        <v>118</v>
      </c>
      <c r="Y377">
        <f t="shared" si="154"/>
        <v>18</v>
      </c>
      <c r="Z377">
        <f t="shared" ca="1" si="161"/>
        <v>5</v>
      </c>
      <c r="AA377" t="str">
        <f t="shared" ca="1" si="162"/>
        <v>9124200.png</v>
      </c>
      <c r="AB377">
        <f t="shared" si="155"/>
        <v>20</v>
      </c>
      <c r="AC377">
        <f>VLOOKUP(C377,技能辅助查询表,技能配置辅助表!$W$1,FALSE)</f>
        <v>964</v>
      </c>
      <c r="AD377">
        <f t="shared" ca="1" si="163"/>
        <v>9.6907932549269837</v>
      </c>
      <c r="AE377">
        <f>VLOOKUP(C377,技能辅助查询表,技能配置辅助表!$U$1,FALSE)</f>
        <v>4</v>
      </c>
      <c r="AF377">
        <f t="shared" ca="1" si="164"/>
        <v>9124218</v>
      </c>
      <c r="AG377">
        <f t="shared" ca="1" si="168"/>
        <v>32.979591836734699</v>
      </c>
      <c r="AH377">
        <f t="shared" ca="1" si="165"/>
        <v>119.70979903145096</v>
      </c>
      <c r="AI377">
        <f ca="1">VLOOKUP(E377,伤害参考系!$C$4:$E$104,3,FALSE)*$AN$12</f>
        <v>2196.2761028428095</v>
      </c>
      <c r="AJ377">
        <f>VLOOKUP(C377,技能辅助查询表,技能配置辅助表!$L$1,FALSE)</f>
        <v>1</v>
      </c>
      <c r="AK377">
        <f>VLOOKUP(C377,技能辅助查询表,技能配置辅助表!$AE$1,FALSE)</f>
        <v>66000009</v>
      </c>
    </row>
    <row r="378" spans="1:37" x14ac:dyDescent="0.15">
      <c r="A378" s="1">
        <f t="shared" ca="1" si="156"/>
        <v>9124219</v>
      </c>
      <c r="B378" s="1" t="str">
        <f t="shared" ca="1" si="141"/>
        <v>裂空·斩第2段</v>
      </c>
      <c r="C378" t="s">
        <v>157</v>
      </c>
      <c r="D378">
        <f t="shared" si="142"/>
        <v>1</v>
      </c>
      <c r="E378" s="42">
        <f t="shared" ca="1" si="157"/>
        <v>35</v>
      </c>
      <c r="F378" t="str">
        <f t="shared" ca="1" si="158"/>
        <v>第19级，共造成141.7%点伤害</v>
      </c>
      <c r="G378">
        <f t="shared" ca="1" si="159"/>
        <v>2</v>
      </c>
      <c r="H378">
        <f t="shared" si="143"/>
        <v>2</v>
      </c>
      <c r="I378" s="44">
        <f t="shared" ca="1" si="160"/>
        <v>19</v>
      </c>
      <c r="J378">
        <f t="shared" si="144"/>
        <v>2</v>
      </c>
      <c r="K378" s="36">
        <f t="shared" ca="1" si="145"/>
        <v>141.66666666666669</v>
      </c>
      <c r="L378" s="10">
        <f ca="1">AH378*VLOOKUP(C378,技能辅助查询表,技能配置辅助表!$T$1,FALSE)</f>
        <v>0</v>
      </c>
      <c r="M378">
        <f t="shared" ca="1" si="146"/>
        <v>6480</v>
      </c>
      <c r="N378" s="33">
        <f ca="1">CHOOSE(1,W378*U378,X378*'[1]0、经济设定'!$C$18)</f>
        <v>8916</v>
      </c>
      <c r="O378">
        <f t="shared" si="147"/>
        <v>4</v>
      </c>
      <c r="P378">
        <f t="shared" si="148"/>
        <v>1</v>
      </c>
      <c r="Q378">
        <f t="shared" si="149"/>
        <v>1</v>
      </c>
      <c r="R378" s="2">
        <f t="shared" si="150"/>
        <v>8</v>
      </c>
      <c r="S378" s="2">
        <f t="shared" si="151"/>
        <v>50</v>
      </c>
      <c r="T378" s="2">
        <f t="shared" si="152"/>
        <v>119.04761904761905</v>
      </c>
      <c r="U378" s="2">
        <f ca="1">VLOOKUP(E378,金币生产率!$A$2:$B$120,2,0)</f>
        <v>743</v>
      </c>
      <c r="V378" s="2">
        <f t="shared" si="153"/>
        <v>119.04761904761905</v>
      </c>
      <c r="W378" s="45">
        <f t="shared" ca="1" si="166"/>
        <v>12</v>
      </c>
      <c r="X378" s="48">
        <f t="shared" ca="1" si="167"/>
        <v>130</v>
      </c>
      <c r="Y378">
        <f t="shared" si="154"/>
        <v>18</v>
      </c>
      <c r="Z378">
        <f t="shared" ca="1" si="161"/>
        <v>5</v>
      </c>
      <c r="AA378" t="str">
        <f t="shared" ca="1" si="162"/>
        <v>9124200.png</v>
      </c>
      <c r="AB378">
        <f t="shared" si="155"/>
        <v>20</v>
      </c>
      <c r="AC378">
        <f>VLOOKUP(C378,技能辅助查询表,技能配置辅助表!$W$1,FALSE)</f>
        <v>964</v>
      </c>
      <c r="AD378">
        <f t="shared" ca="1" si="163"/>
        <v>11.357335363185069</v>
      </c>
      <c r="AE378">
        <f>VLOOKUP(C378,技能辅助查询表,技能配置辅助表!$U$1,FALSE)</f>
        <v>4</v>
      </c>
      <c r="AF378">
        <f t="shared" ca="1" si="164"/>
        <v>9124219</v>
      </c>
      <c r="AG378">
        <f t="shared" ca="1" si="168"/>
        <v>34.448979591836732</v>
      </c>
      <c r="AH378">
        <f t="shared" ca="1" si="165"/>
        <v>136.28802435822078</v>
      </c>
      <c r="AI378">
        <f ca="1">VLOOKUP(E378,伤害参考系!$C$4:$E$104,3,FALSE)*$AN$12</f>
        <v>2367.0860869565217</v>
      </c>
      <c r="AJ378">
        <f>VLOOKUP(C378,技能辅助查询表,技能配置辅助表!$L$1,FALSE)</f>
        <v>1</v>
      </c>
      <c r="AK378">
        <f>VLOOKUP(C378,技能辅助查询表,技能配置辅助表!$AE$1,FALSE)</f>
        <v>66000009</v>
      </c>
    </row>
    <row r="379" spans="1:37" x14ac:dyDescent="0.15">
      <c r="A379" s="1">
        <f t="shared" ca="1" si="156"/>
        <v>9124220</v>
      </c>
      <c r="B379" s="1" t="str">
        <f t="shared" ca="1" si="141"/>
        <v>裂空·斩第2段</v>
      </c>
      <c r="C379" t="s">
        <v>157</v>
      </c>
      <c r="D379">
        <f t="shared" si="142"/>
        <v>1</v>
      </c>
      <c r="E379" s="42">
        <f t="shared" ca="1" si="157"/>
        <v>37</v>
      </c>
      <c r="F379" t="str">
        <f t="shared" ca="1" si="158"/>
        <v>第20级，共造成142.9%点伤害</v>
      </c>
      <c r="G379">
        <f t="shared" ca="1" si="159"/>
        <v>2</v>
      </c>
      <c r="H379">
        <f t="shared" si="143"/>
        <v>2</v>
      </c>
      <c r="I379" s="44">
        <f t="shared" ca="1" si="160"/>
        <v>20</v>
      </c>
      <c r="J379">
        <f t="shared" si="144"/>
        <v>2</v>
      </c>
      <c r="K379" s="36">
        <f t="shared" ca="1" si="145"/>
        <v>142.85714285714286</v>
      </c>
      <c r="L379" s="10">
        <f ca="1">AH379*VLOOKUP(C379,技能辅助查询表,技能配置辅助表!$T$1,FALSE)</f>
        <v>0</v>
      </c>
      <c r="M379">
        <f t="shared" ca="1" si="146"/>
        <v>6400</v>
      </c>
      <c r="N379" s="33">
        <f ca="1">CHOOSE(1,W379*U379,X379*'[1]0、经济设定'!$C$18)</f>
        <v>10933</v>
      </c>
      <c r="O379">
        <f t="shared" si="147"/>
        <v>4</v>
      </c>
      <c r="P379">
        <f t="shared" si="148"/>
        <v>1</v>
      </c>
      <c r="Q379">
        <f t="shared" si="149"/>
        <v>1</v>
      </c>
      <c r="R379" s="2">
        <f t="shared" si="150"/>
        <v>8</v>
      </c>
      <c r="S379" s="2">
        <f t="shared" si="151"/>
        <v>50</v>
      </c>
      <c r="T379" s="2">
        <f t="shared" si="152"/>
        <v>119.04761904761905</v>
      </c>
      <c r="U379" s="2">
        <f ca="1">VLOOKUP(E379,金币生产率!$A$2:$B$120,2,0)</f>
        <v>841</v>
      </c>
      <c r="V379" s="2">
        <f t="shared" si="153"/>
        <v>119.04761904761905</v>
      </c>
      <c r="W379" s="45">
        <f t="shared" ca="1" si="166"/>
        <v>13</v>
      </c>
      <c r="X379" s="48">
        <f t="shared" ca="1" si="167"/>
        <v>143</v>
      </c>
      <c r="Y379">
        <f t="shared" si="154"/>
        <v>18</v>
      </c>
      <c r="Z379">
        <f t="shared" ca="1" si="161"/>
        <v>6</v>
      </c>
      <c r="AA379" t="str">
        <f t="shared" ca="1" si="162"/>
        <v>9124200.png</v>
      </c>
      <c r="AB379">
        <f t="shared" si="155"/>
        <v>20</v>
      </c>
      <c r="AC379">
        <f>VLOOKUP(C379,技能辅助查询表,技能配置辅助表!$W$1,FALSE)</f>
        <v>964</v>
      </c>
      <c r="AD379">
        <f t="shared" ca="1" si="163"/>
        <v>13.299609842480328</v>
      </c>
      <c r="AE379">
        <f>VLOOKUP(C379,技能辅助查询表,技能配置辅助表!$U$1,FALSE)</f>
        <v>4</v>
      </c>
      <c r="AF379">
        <f t="shared" ca="1" si="164"/>
        <v>9124220</v>
      </c>
      <c r="AG379">
        <f t="shared" ca="1" si="168"/>
        <v>35.91836734693878</v>
      </c>
      <c r="AH379">
        <f t="shared" ca="1" si="165"/>
        <v>155.16211482893718</v>
      </c>
      <c r="AI379">
        <f ca="1">VLOOKUP(E379,伤害参考系!$C$4:$E$104,3,FALSE)*$AN$12</f>
        <v>2727.4489991638798</v>
      </c>
      <c r="AJ379">
        <f>VLOOKUP(C379,技能辅助查询表,技能配置辅助表!$L$1,FALSE)</f>
        <v>1</v>
      </c>
      <c r="AK379">
        <f>VLOOKUP(C379,技能辅助查询表,技能配置辅助表!$AE$1,FALSE)</f>
        <v>66000009</v>
      </c>
    </row>
    <row r="380" spans="1:37" x14ac:dyDescent="0.15">
      <c r="A380" s="1">
        <f t="shared" ca="1" si="156"/>
        <v>9124221</v>
      </c>
      <c r="B380" s="1" t="str">
        <f t="shared" ca="1" si="141"/>
        <v>裂空·斩第2段</v>
      </c>
      <c r="C380" t="s">
        <v>157</v>
      </c>
      <c r="D380">
        <f t="shared" si="142"/>
        <v>1</v>
      </c>
      <c r="E380" s="42">
        <f t="shared" ca="1" si="157"/>
        <v>38</v>
      </c>
      <c r="F380" t="str">
        <f t="shared" ca="1" si="158"/>
        <v>第21级，共造成144%点伤害</v>
      </c>
      <c r="G380">
        <f t="shared" ca="1" si="159"/>
        <v>2</v>
      </c>
      <c r="H380">
        <f t="shared" si="143"/>
        <v>2</v>
      </c>
      <c r="I380" s="44">
        <f t="shared" ca="1" si="160"/>
        <v>21</v>
      </c>
      <c r="J380">
        <f t="shared" si="144"/>
        <v>2</v>
      </c>
      <c r="K380" s="36">
        <f t="shared" ca="1" si="145"/>
        <v>144.04761904761904</v>
      </c>
      <c r="L380" s="10">
        <f ca="1">AH380*VLOOKUP(C380,技能辅助查询表,技能配置辅助表!$T$1,FALSE)</f>
        <v>0</v>
      </c>
      <c r="M380">
        <f t="shared" ca="1" si="146"/>
        <v>6320</v>
      </c>
      <c r="N380" s="33">
        <f ca="1">CHOOSE(1,W380*U380,X380*'[1]0、经济设定'!$C$18)</f>
        <v>11596</v>
      </c>
      <c r="O380">
        <f t="shared" si="147"/>
        <v>4</v>
      </c>
      <c r="P380">
        <f t="shared" si="148"/>
        <v>1</v>
      </c>
      <c r="Q380">
        <f t="shared" si="149"/>
        <v>1</v>
      </c>
      <c r="R380" s="2">
        <f t="shared" si="150"/>
        <v>8</v>
      </c>
      <c r="S380" s="2">
        <f t="shared" si="151"/>
        <v>50</v>
      </c>
      <c r="T380" s="2">
        <f t="shared" si="152"/>
        <v>119.04761904761905</v>
      </c>
      <c r="U380" s="2">
        <f ca="1">VLOOKUP(E380,金币生产率!$A$2:$B$120,2,0)</f>
        <v>892</v>
      </c>
      <c r="V380" s="2">
        <f t="shared" si="153"/>
        <v>119.04761904761905</v>
      </c>
      <c r="W380" s="45">
        <f t="shared" ca="1" si="166"/>
        <v>13</v>
      </c>
      <c r="X380" s="48">
        <f t="shared" ca="1" si="167"/>
        <v>156</v>
      </c>
      <c r="Y380">
        <f t="shared" si="154"/>
        <v>18</v>
      </c>
      <c r="Z380">
        <f t="shared" ca="1" si="161"/>
        <v>6</v>
      </c>
      <c r="AA380" t="str">
        <f t="shared" ca="1" si="162"/>
        <v>9124200.png</v>
      </c>
      <c r="AB380">
        <f t="shared" si="155"/>
        <v>20</v>
      </c>
      <c r="AC380">
        <f>VLOOKUP(C380,技能辅助查询表,技能配置辅助表!$W$1,FALSE)</f>
        <v>964</v>
      </c>
      <c r="AD380">
        <f t="shared" ca="1" si="163"/>
        <v>15.562025344899888</v>
      </c>
      <c r="AE380">
        <f>VLOOKUP(C380,技能辅助查询表,技能配置辅助表!$U$1,FALSE)</f>
        <v>4</v>
      </c>
      <c r="AF380">
        <f t="shared" ca="1" si="164"/>
        <v>9124221</v>
      </c>
      <c r="AG380">
        <f t="shared" ca="1" si="168"/>
        <v>37.387755102040813</v>
      </c>
      <c r="AH380">
        <f t="shared" ca="1" si="165"/>
        <v>176.65001742859343</v>
      </c>
      <c r="AI380">
        <f ca="1">VLOOKUP(E380,伤害参考系!$C$4:$E$104,3,FALSE)*$AN$12</f>
        <v>2917.001927257525</v>
      </c>
      <c r="AJ380">
        <f>VLOOKUP(C380,技能辅助查询表,技能配置辅助表!$L$1,FALSE)</f>
        <v>1</v>
      </c>
      <c r="AK380">
        <f>VLOOKUP(C380,技能辅助查询表,技能配置辅助表!$AE$1,FALSE)</f>
        <v>66000009</v>
      </c>
    </row>
    <row r="381" spans="1:37" x14ac:dyDescent="0.15">
      <c r="A381" s="1">
        <f t="shared" ca="1" si="156"/>
        <v>9124222</v>
      </c>
      <c r="B381" s="1" t="str">
        <f t="shared" ca="1" si="141"/>
        <v>裂空·斩第2段</v>
      </c>
      <c r="C381" t="s">
        <v>157</v>
      </c>
      <c r="D381">
        <f t="shared" si="142"/>
        <v>1</v>
      </c>
      <c r="E381" s="42">
        <f t="shared" ca="1" si="157"/>
        <v>40</v>
      </c>
      <c r="F381" t="str">
        <f t="shared" ca="1" si="158"/>
        <v>第22级，共造成145.2%点伤害</v>
      </c>
      <c r="G381">
        <f t="shared" ca="1" si="159"/>
        <v>2</v>
      </c>
      <c r="H381">
        <f t="shared" si="143"/>
        <v>2</v>
      </c>
      <c r="I381" s="44">
        <f t="shared" ca="1" si="160"/>
        <v>22</v>
      </c>
      <c r="J381">
        <f t="shared" si="144"/>
        <v>2</v>
      </c>
      <c r="K381" s="36">
        <f t="shared" ca="1" si="145"/>
        <v>145.23809523809524</v>
      </c>
      <c r="L381" s="10">
        <f ca="1">AH381*VLOOKUP(C381,技能辅助查询表,技能配置辅助表!$T$1,FALSE)</f>
        <v>0</v>
      </c>
      <c r="M381">
        <f t="shared" ca="1" si="146"/>
        <v>6240</v>
      </c>
      <c r="N381" s="33">
        <f ca="1">CHOOSE(1,W381*U381,X381*'[1]0、经济设定'!$C$18)</f>
        <v>13972</v>
      </c>
      <c r="O381">
        <f t="shared" si="147"/>
        <v>4</v>
      </c>
      <c r="P381">
        <f t="shared" si="148"/>
        <v>1</v>
      </c>
      <c r="Q381">
        <f t="shared" si="149"/>
        <v>1</v>
      </c>
      <c r="R381" s="2">
        <f t="shared" si="150"/>
        <v>8</v>
      </c>
      <c r="S381" s="2">
        <f t="shared" si="151"/>
        <v>50</v>
      </c>
      <c r="T381" s="2">
        <f t="shared" si="152"/>
        <v>119.04761904761905</v>
      </c>
      <c r="U381" s="2">
        <f ca="1">VLOOKUP(E381,金币生产率!$A$2:$B$120,2,0)</f>
        <v>998</v>
      </c>
      <c r="V381" s="2">
        <f t="shared" si="153"/>
        <v>119.04761904761905</v>
      </c>
      <c r="W381" s="45">
        <f t="shared" ca="1" si="166"/>
        <v>14</v>
      </c>
      <c r="X381" s="48">
        <f t="shared" ca="1" si="167"/>
        <v>170</v>
      </c>
      <c r="Y381">
        <f t="shared" si="154"/>
        <v>18</v>
      </c>
      <c r="Z381">
        <f t="shared" ca="1" si="161"/>
        <v>6</v>
      </c>
      <c r="AA381" t="str">
        <f t="shared" ca="1" si="162"/>
        <v>9124200.png</v>
      </c>
      <c r="AB381">
        <f t="shared" si="155"/>
        <v>20</v>
      </c>
      <c r="AC381">
        <f>VLOOKUP(C381,技能辅助查询表,技能配置辅助表!$W$1,FALSE)</f>
        <v>964</v>
      </c>
      <c r="AD381">
        <f t="shared" ca="1" si="163"/>
        <v>18.19600238746251</v>
      </c>
      <c r="AE381">
        <f>VLOOKUP(C381,技能辅助查询表,技能配置辅助表!$U$1,FALSE)</f>
        <v>4</v>
      </c>
      <c r="AF381">
        <f t="shared" ca="1" si="164"/>
        <v>9124222</v>
      </c>
      <c r="AG381">
        <f t="shared" ca="1" si="168"/>
        <v>38.857142857142861</v>
      </c>
      <c r="AH381">
        <f t="shared" ca="1" si="165"/>
        <v>201.11371059826985</v>
      </c>
      <c r="AI381">
        <f ca="1">VLOOKUP(E381,伤害参考系!$C$4:$E$104,3,FALSE)*$AN$12</f>
        <v>3344.7142474916404</v>
      </c>
      <c r="AJ381">
        <f>VLOOKUP(C381,技能辅助查询表,技能配置辅助表!$L$1,FALSE)</f>
        <v>1</v>
      </c>
      <c r="AK381">
        <f>VLOOKUP(C381,技能辅助查询表,技能配置辅助表!$AE$1,FALSE)</f>
        <v>66000009</v>
      </c>
    </row>
    <row r="382" spans="1:37" x14ac:dyDescent="0.15">
      <c r="A382" s="1">
        <f t="shared" ca="1" si="156"/>
        <v>9124223</v>
      </c>
      <c r="B382" s="1" t="str">
        <f t="shared" ca="1" si="141"/>
        <v>裂空·斩第2段</v>
      </c>
      <c r="C382" t="s">
        <v>157</v>
      </c>
      <c r="D382">
        <f t="shared" si="142"/>
        <v>1</v>
      </c>
      <c r="E382" s="42">
        <f t="shared" ca="1" si="157"/>
        <v>41</v>
      </c>
      <c r="F382" t="str">
        <f t="shared" ca="1" si="158"/>
        <v>第23级，共造成146.4%点伤害</v>
      </c>
      <c r="G382">
        <f t="shared" ca="1" si="159"/>
        <v>2</v>
      </c>
      <c r="H382">
        <f t="shared" si="143"/>
        <v>2</v>
      </c>
      <c r="I382" s="44">
        <f t="shared" ca="1" si="160"/>
        <v>23</v>
      </c>
      <c r="J382">
        <f t="shared" si="144"/>
        <v>2</v>
      </c>
      <c r="K382" s="36">
        <f t="shared" ca="1" si="145"/>
        <v>146.42857142857144</v>
      </c>
      <c r="L382" s="10">
        <f ca="1">AH382*VLOOKUP(C382,技能辅助查询表,技能配置辅助表!$T$1,FALSE)</f>
        <v>0</v>
      </c>
      <c r="M382">
        <f t="shared" ca="1" si="146"/>
        <v>6160</v>
      </c>
      <c r="N382" s="33">
        <f ca="1">CHOOSE(1,W382*U382,X382*'[1]0、经济设定'!$C$18)</f>
        <v>15795</v>
      </c>
      <c r="O382">
        <f t="shared" si="147"/>
        <v>4</v>
      </c>
      <c r="P382">
        <f t="shared" si="148"/>
        <v>1</v>
      </c>
      <c r="Q382">
        <f t="shared" si="149"/>
        <v>1</v>
      </c>
      <c r="R382" s="2">
        <f t="shared" si="150"/>
        <v>8</v>
      </c>
      <c r="S382" s="2">
        <f t="shared" si="151"/>
        <v>50</v>
      </c>
      <c r="T382" s="2">
        <f t="shared" si="152"/>
        <v>119.04761904761905</v>
      </c>
      <c r="U382" s="2">
        <f ca="1">VLOOKUP(E382,金币生产率!$A$2:$B$120,2,0)</f>
        <v>1053</v>
      </c>
      <c r="V382" s="2">
        <f t="shared" si="153"/>
        <v>119.04761904761905</v>
      </c>
      <c r="W382" s="45">
        <f t="shared" ca="1" si="166"/>
        <v>15</v>
      </c>
      <c r="X382" s="48">
        <f t="shared" ca="1" si="167"/>
        <v>185</v>
      </c>
      <c r="Y382">
        <f t="shared" si="154"/>
        <v>18</v>
      </c>
      <c r="Z382">
        <f t="shared" ca="1" si="161"/>
        <v>6</v>
      </c>
      <c r="AA382" t="str">
        <f t="shared" ca="1" si="162"/>
        <v>9124200.png</v>
      </c>
      <c r="AB382">
        <f t="shared" si="155"/>
        <v>20</v>
      </c>
      <c r="AC382">
        <f>VLOOKUP(C382,技能辅助查询表,技能配置辅助表!$W$1,FALSE)</f>
        <v>964</v>
      </c>
      <c r="AD382">
        <f t="shared" ca="1" si="163"/>
        <v>21.261063758068786</v>
      </c>
      <c r="AE382">
        <f>VLOOKUP(C382,技能辅助查询表,技能配置辅助表!$U$1,FALSE)</f>
        <v>4</v>
      </c>
      <c r="AF382">
        <f t="shared" ca="1" si="164"/>
        <v>9124223</v>
      </c>
      <c r="AG382">
        <f t="shared" ca="1" si="168"/>
        <v>40.326530612244895</v>
      </c>
      <c r="AH382">
        <f t="shared" ca="1" si="165"/>
        <v>228.96530200997151</v>
      </c>
      <c r="AI382">
        <f ca="1">VLOOKUP(E382,伤害参考系!$C$4:$E$104,3,FALSE)*$AN$12</f>
        <v>3584.9561889632118</v>
      </c>
      <c r="AJ382">
        <f>VLOOKUP(C382,技能辅助查询表,技能配置辅助表!$L$1,FALSE)</f>
        <v>1</v>
      </c>
      <c r="AK382">
        <f>VLOOKUP(C382,技能辅助查询表,技能配置辅助表!$AE$1,FALSE)</f>
        <v>66000009</v>
      </c>
    </row>
    <row r="383" spans="1:37" x14ac:dyDescent="0.15">
      <c r="A383" s="1">
        <f t="shared" ca="1" si="156"/>
        <v>9124224</v>
      </c>
      <c r="B383" s="1" t="str">
        <f t="shared" ca="1" si="141"/>
        <v>裂空·斩第2段</v>
      </c>
      <c r="C383" t="s">
        <v>157</v>
      </c>
      <c r="D383">
        <f t="shared" si="142"/>
        <v>1</v>
      </c>
      <c r="E383" s="42">
        <f t="shared" ca="1" si="157"/>
        <v>43</v>
      </c>
      <c r="F383" t="str">
        <f t="shared" ca="1" si="158"/>
        <v>第24级，共造成147.6%点伤害</v>
      </c>
      <c r="G383">
        <f t="shared" ca="1" si="159"/>
        <v>2</v>
      </c>
      <c r="H383">
        <f t="shared" si="143"/>
        <v>2</v>
      </c>
      <c r="I383" s="44">
        <f t="shared" ca="1" si="160"/>
        <v>24</v>
      </c>
      <c r="J383">
        <f t="shared" si="144"/>
        <v>2</v>
      </c>
      <c r="K383" s="36">
        <f t="shared" ca="1" si="145"/>
        <v>147.61904761904762</v>
      </c>
      <c r="L383" s="10">
        <f ca="1">AH383*VLOOKUP(C383,技能辅助查询表,技能配置辅助表!$T$1,FALSE)</f>
        <v>0</v>
      </c>
      <c r="M383">
        <f t="shared" ca="1" si="146"/>
        <v>6080</v>
      </c>
      <c r="N383" s="33">
        <f ca="1">CHOOSE(1,W383*U383,X383*'[1]0、经济设定'!$C$18)</f>
        <v>18672</v>
      </c>
      <c r="O383">
        <f t="shared" si="147"/>
        <v>4</v>
      </c>
      <c r="P383">
        <f t="shared" si="148"/>
        <v>1</v>
      </c>
      <c r="Q383">
        <f t="shared" si="149"/>
        <v>1</v>
      </c>
      <c r="R383" s="2">
        <f t="shared" si="150"/>
        <v>8</v>
      </c>
      <c r="S383" s="2">
        <f t="shared" si="151"/>
        <v>50</v>
      </c>
      <c r="T383" s="2">
        <f t="shared" si="152"/>
        <v>119.04761904761905</v>
      </c>
      <c r="U383" s="2">
        <f ca="1">VLOOKUP(E383,金币生产率!$A$2:$B$120,2,0)</f>
        <v>1167</v>
      </c>
      <c r="V383" s="2">
        <f t="shared" si="153"/>
        <v>119.04761904761905</v>
      </c>
      <c r="W383" s="45">
        <f t="shared" ca="1" si="166"/>
        <v>16</v>
      </c>
      <c r="X383" s="48">
        <f t="shared" ca="1" si="167"/>
        <v>201</v>
      </c>
      <c r="Y383">
        <f t="shared" si="154"/>
        <v>18</v>
      </c>
      <c r="Z383">
        <f t="shared" ca="1" si="161"/>
        <v>7</v>
      </c>
      <c r="AA383" t="str">
        <f t="shared" ca="1" si="162"/>
        <v>9124200.png</v>
      </c>
      <c r="AB383">
        <f t="shared" si="155"/>
        <v>20</v>
      </c>
      <c r="AC383">
        <f>VLOOKUP(C383,技能辅助查询表,技能配置辅助表!$W$1,FALSE)</f>
        <v>964</v>
      </c>
      <c r="AD383">
        <f t="shared" ca="1" si="163"/>
        <v>24.826092457400648</v>
      </c>
      <c r="AE383">
        <f>VLOOKUP(C383,技能辅助查询表,技能配置辅助表!$U$1,FALSE)</f>
        <v>4</v>
      </c>
      <c r="AF383">
        <f t="shared" ca="1" si="164"/>
        <v>9124224</v>
      </c>
      <c r="AG383">
        <f t="shared" ca="1" si="168"/>
        <v>41.795918367346935</v>
      </c>
      <c r="AH383">
        <f t="shared" ca="1" si="165"/>
        <v>260.67397080270689</v>
      </c>
      <c r="AI383">
        <f ca="1">VLOOKUP(E383,伤害参考系!$C$4:$E$104,3,FALSE)*$AN$12</f>
        <v>4090.4306638795993</v>
      </c>
      <c r="AJ383">
        <f>VLOOKUP(C383,技能辅助查询表,技能配置辅助表!$L$1,FALSE)</f>
        <v>1</v>
      </c>
      <c r="AK383">
        <f>VLOOKUP(C383,技能辅助查询表,技能配置辅助表!$AE$1,FALSE)</f>
        <v>66000009</v>
      </c>
    </row>
    <row r="384" spans="1:37" x14ac:dyDescent="0.15">
      <c r="A384" s="1">
        <f t="shared" ca="1" si="156"/>
        <v>9124225</v>
      </c>
      <c r="B384" s="1" t="str">
        <f t="shared" ca="1" si="141"/>
        <v>裂空·斩第2段</v>
      </c>
      <c r="C384" t="s">
        <v>157</v>
      </c>
      <c r="D384">
        <f t="shared" si="142"/>
        <v>1</v>
      </c>
      <c r="E384" s="42">
        <f t="shared" ca="1" si="157"/>
        <v>44</v>
      </c>
      <c r="F384" t="str">
        <f t="shared" ca="1" si="158"/>
        <v>第25级，共造成148.8%点伤害</v>
      </c>
      <c r="G384">
        <f t="shared" ca="1" si="159"/>
        <v>2</v>
      </c>
      <c r="H384">
        <f t="shared" si="143"/>
        <v>2</v>
      </c>
      <c r="I384" s="44">
        <f t="shared" ca="1" si="160"/>
        <v>25</v>
      </c>
      <c r="J384">
        <f t="shared" si="144"/>
        <v>2</v>
      </c>
      <c r="K384" s="36">
        <f t="shared" ca="1" si="145"/>
        <v>148.80952380952382</v>
      </c>
      <c r="L384" s="10">
        <f ca="1">AH384*VLOOKUP(C384,技能辅助查询表,技能配置辅助表!$T$1,FALSE)</f>
        <v>0</v>
      </c>
      <c r="M384">
        <f t="shared" ca="1" si="146"/>
        <v>6000</v>
      </c>
      <c r="N384" s="33">
        <f ca="1">CHOOSE(1,W384*U384,X384*'[1]0、经济设定'!$C$18)</f>
        <v>22068</v>
      </c>
      <c r="O384">
        <f t="shared" si="147"/>
        <v>4</v>
      </c>
      <c r="P384">
        <f t="shared" si="148"/>
        <v>1</v>
      </c>
      <c r="Q384">
        <f t="shared" si="149"/>
        <v>1</v>
      </c>
      <c r="R384" s="2">
        <f t="shared" si="150"/>
        <v>8</v>
      </c>
      <c r="S384" s="2">
        <f t="shared" si="151"/>
        <v>50</v>
      </c>
      <c r="T384" s="2">
        <f t="shared" si="152"/>
        <v>119.04761904761905</v>
      </c>
      <c r="U384" s="2">
        <f ca="1">VLOOKUP(E384,金币生产率!$A$2:$B$120,2,0)</f>
        <v>1226</v>
      </c>
      <c r="V384" s="2">
        <f t="shared" si="153"/>
        <v>119.04761904761905</v>
      </c>
      <c r="W384" s="45">
        <f t="shared" ca="1" si="166"/>
        <v>18</v>
      </c>
      <c r="X384" s="48">
        <f t="shared" ca="1" si="167"/>
        <v>219</v>
      </c>
      <c r="Y384">
        <f t="shared" si="154"/>
        <v>18</v>
      </c>
      <c r="Z384">
        <f t="shared" ca="1" si="161"/>
        <v>8</v>
      </c>
      <c r="AA384" t="str">
        <f t="shared" ca="1" si="162"/>
        <v>9124200.png</v>
      </c>
      <c r="AB384">
        <f t="shared" si="155"/>
        <v>20</v>
      </c>
      <c r="AC384">
        <f>VLOOKUP(C384,技能辅助查询表,技能配置辅助表!$W$1,FALSE)</f>
        <v>964</v>
      </c>
      <c r="AD384">
        <f t="shared" ca="1" si="163"/>
        <v>28.970782667351624</v>
      </c>
      <c r="AE384">
        <f>VLOOKUP(C384,技能辅助查询表,技能配置辅助表!$U$1,FALSE)</f>
        <v>4</v>
      </c>
      <c r="AF384">
        <f t="shared" ca="1" si="164"/>
        <v>9124225</v>
      </c>
      <c r="AG384">
        <f t="shared" ca="1" si="168"/>
        <v>43.265306122448976</v>
      </c>
      <c r="AH384">
        <f t="shared" ca="1" si="165"/>
        <v>296.77387122652874</v>
      </c>
      <c r="AI384">
        <f ca="1">VLOOKUP(E384,伤害参考系!$C$4:$E$104,3,FALSE)*$AN$12</f>
        <v>4355.6631973244148</v>
      </c>
      <c r="AJ384">
        <f>VLOOKUP(C384,技能辅助查询表,技能配置辅助表!$L$1,FALSE)</f>
        <v>1</v>
      </c>
      <c r="AK384">
        <f>VLOOKUP(C384,技能辅助查询表,技能配置辅助表!$AE$1,FALSE)</f>
        <v>66000009</v>
      </c>
    </row>
    <row r="385" spans="1:37" x14ac:dyDescent="0.15">
      <c r="A385" s="1">
        <f t="shared" ca="1" si="156"/>
        <v>9124226</v>
      </c>
      <c r="B385" s="1" t="str">
        <f t="shared" ca="1" si="141"/>
        <v>裂空·斩第2段</v>
      </c>
      <c r="C385" t="s">
        <v>157</v>
      </c>
      <c r="D385">
        <f t="shared" si="142"/>
        <v>1</v>
      </c>
      <c r="E385" s="42">
        <f t="shared" ca="1" si="157"/>
        <v>45</v>
      </c>
      <c r="F385" t="str">
        <f t="shared" ca="1" si="158"/>
        <v>第26级，共造成150%点伤害</v>
      </c>
      <c r="G385">
        <f t="shared" ca="1" si="159"/>
        <v>2</v>
      </c>
      <c r="H385">
        <f t="shared" si="143"/>
        <v>2</v>
      </c>
      <c r="I385" s="44">
        <f t="shared" ca="1" si="160"/>
        <v>26</v>
      </c>
      <c r="J385">
        <f t="shared" si="144"/>
        <v>2</v>
      </c>
      <c r="K385" s="36">
        <f t="shared" ca="1" si="145"/>
        <v>150</v>
      </c>
      <c r="L385" s="10">
        <f ca="1">AH385*VLOOKUP(C385,技能辅助查询表,技能配置辅助表!$T$1,FALSE)</f>
        <v>0</v>
      </c>
      <c r="M385">
        <f t="shared" ca="1" si="146"/>
        <v>5920</v>
      </c>
      <c r="N385" s="33">
        <f ca="1">CHOOSE(1,W385*U385,X385*'[1]0、经济设定'!$C$18)</f>
        <v>24453</v>
      </c>
      <c r="O385">
        <f t="shared" si="147"/>
        <v>4</v>
      </c>
      <c r="P385">
        <f t="shared" si="148"/>
        <v>1</v>
      </c>
      <c r="Q385">
        <f t="shared" si="149"/>
        <v>1</v>
      </c>
      <c r="R385" s="2">
        <f t="shared" si="150"/>
        <v>8</v>
      </c>
      <c r="S385" s="2">
        <f t="shared" si="151"/>
        <v>50</v>
      </c>
      <c r="T385" s="2">
        <f t="shared" si="152"/>
        <v>119.04761904761905</v>
      </c>
      <c r="U385" s="2">
        <f ca="1">VLOOKUP(E385,金币生产率!$A$2:$B$120,2,0)</f>
        <v>1287</v>
      </c>
      <c r="V385" s="2">
        <f t="shared" si="153"/>
        <v>119.04761904761905</v>
      </c>
      <c r="W385" s="45">
        <f t="shared" ca="1" si="166"/>
        <v>19</v>
      </c>
      <c r="X385" s="48">
        <f t="shared" ca="1" si="167"/>
        <v>238</v>
      </c>
      <c r="Y385">
        <f t="shared" si="154"/>
        <v>18</v>
      </c>
      <c r="Z385">
        <f t="shared" ca="1" si="161"/>
        <v>8</v>
      </c>
      <c r="AA385" t="str">
        <f t="shared" ca="1" si="162"/>
        <v>9124200.png</v>
      </c>
      <c r="AB385">
        <f t="shared" si="155"/>
        <v>20</v>
      </c>
      <c r="AC385">
        <f>VLOOKUP(C385,技能辅助查询表,技能配置辅助表!$W$1,FALSE)</f>
        <v>964</v>
      </c>
      <c r="AD385">
        <f t="shared" ca="1" si="163"/>
        <v>33.787313083683465</v>
      </c>
      <c r="AE385">
        <f>VLOOKUP(C385,技能辅助查询表,技能配置辅助表!$U$1,FALSE)</f>
        <v>4</v>
      </c>
      <c r="AF385">
        <f t="shared" ca="1" si="164"/>
        <v>9124226</v>
      </c>
      <c r="AG385">
        <f t="shared" ca="1" si="168"/>
        <v>44.734693877551024</v>
      </c>
      <c r="AH385">
        <f t="shared" ca="1" si="165"/>
        <v>337.87313083683472</v>
      </c>
      <c r="AI385">
        <f ca="1">VLOOKUP(E385,伤害参考系!$C$4:$E$104,3,FALSE)*$AN$12</f>
        <v>4629.2259280936469</v>
      </c>
      <c r="AJ385">
        <f>VLOOKUP(C385,技能辅助查询表,技能配置辅助表!$L$1,FALSE)</f>
        <v>1</v>
      </c>
      <c r="AK385">
        <f>VLOOKUP(C385,技能辅助查询表,技能配置辅助表!$AE$1,FALSE)</f>
        <v>66000009</v>
      </c>
    </row>
    <row r="386" spans="1:37" x14ac:dyDescent="0.15">
      <c r="A386" s="1">
        <f t="shared" ca="1" si="156"/>
        <v>9124227</v>
      </c>
      <c r="B386" s="1" t="str">
        <f t="shared" ref="B386:B449" ca="1" si="169">IF(AND(G386=0,AE386=4),LEFT(C386,LEN(C386)-3),C386)</f>
        <v>裂空·斩第2段</v>
      </c>
      <c r="C386" t="s">
        <v>157</v>
      </c>
      <c r="D386">
        <f t="shared" ref="D386:D449" si="170">VLOOKUP(C386,技能辅助查询表,3,FALSE)</f>
        <v>1</v>
      </c>
      <c r="E386" s="42">
        <f t="shared" ca="1" si="157"/>
        <v>47</v>
      </c>
      <c r="F386" t="str">
        <f t="shared" ca="1" si="158"/>
        <v>第27级，共造成151.2%点伤害</v>
      </c>
      <c r="G386">
        <f t="shared" ca="1" si="159"/>
        <v>2</v>
      </c>
      <c r="H386">
        <f t="shared" ref="H386:H449" si="171">VLOOKUP(C386,技能辅助查询表,2,FALSE)</f>
        <v>2</v>
      </c>
      <c r="I386" s="44">
        <f t="shared" ca="1" si="160"/>
        <v>27</v>
      </c>
      <c r="J386">
        <f t="shared" ref="J386:J449" si="172">VLOOKUP(C386,技能辅助查询表,4,FALSE)</f>
        <v>2</v>
      </c>
      <c r="K386" s="36">
        <f t="shared" ref="K386:K449" ca="1" si="173">IF(OR(I386=0,I386=1),T386,T386+T386*($AN$6-1)/S386*I386)</f>
        <v>151.1904761904762</v>
      </c>
      <c r="L386" s="10">
        <f ca="1">AH386*VLOOKUP(C386,技能辅助查询表,技能配置辅助表!$T$1,FALSE)</f>
        <v>0</v>
      </c>
      <c r="M386">
        <f t="shared" ref="M386:M449" ca="1" si="174">IF(OR(I386=0,I386=1),VLOOKUP(C386,技能辅助查询表,14,FALSE),VLOOKUP(C386,技能辅助查询表,14,FALSE)-VLOOKUP(C386,技能辅助查询表,14,FALSE)*0.5/S386*I386)</f>
        <v>5840</v>
      </c>
      <c r="N386" s="33">
        <f ca="1">CHOOSE(1,W386*U386,X386*'[1]0、经济设定'!$C$18)</f>
        <v>28240</v>
      </c>
      <c r="O386">
        <f t="shared" ref="O386:O449" si="175">VLOOKUP(C386,技能辅助查询表,5,FALSE)</f>
        <v>4</v>
      </c>
      <c r="P386">
        <f t="shared" ref="P386:P449" si="176">VLOOKUP(C386,技能辅助查询表,6,FALSE)</f>
        <v>1</v>
      </c>
      <c r="Q386">
        <f t="shared" ref="Q386:Q449" si="177">VLOOKUP(C386,技能辅助查询表,7,FALSE)</f>
        <v>1</v>
      </c>
      <c r="R386" s="2">
        <f t="shared" ref="R386:R449" si="178">VLOOKUP(C386,技能辅助查询表,9,FALSE)</f>
        <v>8</v>
      </c>
      <c r="S386" s="2">
        <f t="shared" ref="S386:S449" si="179">VLOOKUP(C386,技能辅助查询表,8,FALSE)</f>
        <v>50</v>
      </c>
      <c r="T386" s="2">
        <f t="shared" ref="T386:T449" si="180">VLOOKUP(C386,技能辅助查询表,11,FALSE)</f>
        <v>119.04761904761905</v>
      </c>
      <c r="U386" s="2">
        <f ca="1">VLOOKUP(E386,金币生产率!$A$2:$B$120,2,0)</f>
        <v>1412</v>
      </c>
      <c r="V386" s="2">
        <f t="shared" ref="V386:V449" si="181">VLOOKUP(C386,技能辅助查询表,12,FALSE)</f>
        <v>119.04761904761905</v>
      </c>
      <c r="W386" s="45">
        <f t="shared" ca="1" si="166"/>
        <v>20</v>
      </c>
      <c r="X386" s="48">
        <f t="shared" ca="1" si="167"/>
        <v>258</v>
      </c>
      <c r="Y386">
        <f t="shared" ref="Y386:Y449" si="182">VLOOKUP(C386,技能辅助查询表,15,FALSE)</f>
        <v>18</v>
      </c>
      <c r="Z386">
        <f t="shared" ca="1" si="161"/>
        <v>8</v>
      </c>
      <c r="AA386" t="str">
        <f t="shared" ca="1" si="162"/>
        <v>9124200.png</v>
      </c>
      <c r="AB386">
        <f t="shared" ref="AB386:AB449" si="183">VLOOKUP(C386,技能辅助查询表,17,FALSE)</f>
        <v>20</v>
      </c>
      <c r="AC386">
        <f>VLOOKUP(C386,技能辅助查询表,技能配置辅助表!$W$1,FALSE)</f>
        <v>964</v>
      </c>
      <c r="AD386">
        <f t="shared" ca="1" si="163"/>
        <v>39.382276374395779</v>
      </c>
      <c r="AE386">
        <f>VLOOKUP(C386,技能辅助查询表,技能配置辅助表!$U$1,FALSE)</f>
        <v>4</v>
      </c>
      <c r="AF386">
        <f t="shared" ca="1" si="164"/>
        <v>9124227</v>
      </c>
      <c r="AG386">
        <f t="shared" ca="1" si="168"/>
        <v>46.204081632653065</v>
      </c>
      <c r="AH386">
        <f t="shared" ca="1" si="165"/>
        <v>384.66409481967975</v>
      </c>
      <c r="AI386">
        <f ca="1">VLOOKUP(E386,伤害参考系!$C$4:$E$104,3,FALSE)*$AN$12</f>
        <v>5201.3419816053529</v>
      </c>
      <c r="AJ386">
        <f>VLOOKUP(C386,技能辅助查询表,技能配置辅助表!$L$1,FALSE)</f>
        <v>1</v>
      </c>
      <c r="AK386">
        <f>VLOOKUP(C386,技能辅助查询表,技能配置辅助表!$AE$1,FALSE)</f>
        <v>66000009</v>
      </c>
    </row>
    <row r="387" spans="1:37" x14ac:dyDescent="0.15">
      <c r="A387" s="1">
        <f t="shared" ref="A387:A450" ca="1" si="184">IF(I387=0,IF(H387=1,VALUE("9"&amp;D387&amp;J387&amp;O387&amp;G387&amp;IF(I387&gt;9,I387,"0"&amp;I387)),1),VALUE("9"&amp;D387&amp;J387&amp;O387&amp;G387&amp;IF(I387&gt;9,I387,"0"&amp;I387)))</f>
        <v>9124228</v>
      </c>
      <c r="B387" s="1" t="str">
        <f t="shared" ca="1" si="169"/>
        <v>裂空·斩第2段</v>
      </c>
      <c r="C387" t="s">
        <v>157</v>
      </c>
      <c r="D387">
        <f t="shared" si="170"/>
        <v>1</v>
      </c>
      <c r="E387" s="42">
        <f t="shared" ref="E387:E450" ca="1" si="185">IF(I387=0,E388,IF(AND(I387=1,G387&gt;1),OFFSET(E387,(1-G387)*51,0),IF(OR(I387=1,AND(I387=2,R387=2)),R387,IF(I387=0,0,ROUND(I387*(80-R387)/S387,0)+R387))))</f>
        <v>48</v>
      </c>
      <c r="F387" t="str">
        <f t="shared" ref="F387:F450" ca="1" si="186">"第"&amp;I387&amp;"级，共造成"&amp;ROUND(AJ387*K387,1)&amp;"%点伤害"</f>
        <v>第28级，共造成152.4%点伤害</v>
      </c>
      <c r="G387">
        <f t="shared" ref="G387:G450" ca="1" si="187">IF(I387=0,0,H387)</f>
        <v>2</v>
      </c>
      <c r="H387">
        <f t="shared" si="171"/>
        <v>2</v>
      </c>
      <c r="I387" s="44">
        <f t="shared" ref="I387:I450" ca="1" si="188">IF(OFFSET(C387,-1,0)=C387,I386+1,0)</f>
        <v>28</v>
      </c>
      <c r="J387">
        <f t="shared" si="172"/>
        <v>2</v>
      </c>
      <c r="K387" s="36">
        <f t="shared" ca="1" si="173"/>
        <v>152.38095238095238</v>
      </c>
      <c r="L387" s="10">
        <f ca="1">AH387*VLOOKUP(C387,技能辅助查询表,技能配置辅助表!$T$1,FALSE)</f>
        <v>0</v>
      </c>
      <c r="M387">
        <f t="shared" ca="1" si="174"/>
        <v>5760</v>
      </c>
      <c r="N387" s="33">
        <f ca="1">CHOOSE(1,W387*U387,X387*'[1]0、经济设定'!$C$18)</f>
        <v>31017</v>
      </c>
      <c r="O387">
        <f t="shared" si="175"/>
        <v>4</v>
      </c>
      <c r="P387">
        <f t="shared" si="176"/>
        <v>1</v>
      </c>
      <c r="Q387">
        <f t="shared" si="177"/>
        <v>1</v>
      </c>
      <c r="R387" s="2">
        <f t="shared" si="178"/>
        <v>8</v>
      </c>
      <c r="S387" s="2">
        <f t="shared" si="179"/>
        <v>50</v>
      </c>
      <c r="T387" s="2">
        <f t="shared" si="180"/>
        <v>119.04761904761905</v>
      </c>
      <c r="U387" s="2">
        <f ca="1">VLOOKUP(E387,金币生产率!$A$2:$B$120,2,0)</f>
        <v>1477</v>
      </c>
      <c r="V387" s="2">
        <f t="shared" si="181"/>
        <v>119.04761904761905</v>
      </c>
      <c r="W387" s="45">
        <f t="shared" ca="1" si="166"/>
        <v>21</v>
      </c>
      <c r="X387" s="48">
        <f t="shared" ca="1" si="167"/>
        <v>279</v>
      </c>
      <c r="Y387">
        <f t="shared" si="182"/>
        <v>18</v>
      </c>
      <c r="Z387">
        <f t="shared" ref="Z387:Z450" ca="1" si="189">IF(I387&gt;=Y387,ROUNDUP(W387/$AN$15,0),0)</f>
        <v>9</v>
      </c>
      <c r="AA387" t="str">
        <f t="shared" ref="AA387:AA450" ca="1" si="190">AF387-MOD(AF387,100)&amp;".png"</f>
        <v>9124200.png</v>
      </c>
      <c r="AB387">
        <f t="shared" si="183"/>
        <v>20</v>
      </c>
      <c r="AC387">
        <f>VLOOKUP(C387,技能辅助查询表,技能配置辅助表!$W$1,FALSE)</f>
        <v>964</v>
      </c>
      <c r="AD387">
        <f t="shared" ref="AD387:AD450" ca="1" si="191">((AH387*K387/100+L387)*AJ387-AH387)/5</f>
        <v>45.878903611700046</v>
      </c>
      <c r="AE387">
        <f>VLOOKUP(C387,技能辅助查询表,技能配置辅助表!$U$1,FALSE)</f>
        <v>4</v>
      </c>
      <c r="AF387">
        <f t="shared" ref="AF387:AF450" ca="1" si="192">VALUE("9"&amp;D387&amp;J387&amp;O387&amp;H387&amp;IF(I387&gt;9,I387,"0"&amp;I387))</f>
        <v>9124228</v>
      </c>
      <c r="AG387">
        <f t="shared" ca="1" si="168"/>
        <v>47.673469387755105</v>
      </c>
      <c r="AH387">
        <f t="shared" ref="AH387:AH450" ca="1" si="193">(19.323*EXP(I387*0.1297))*$AN$12</f>
        <v>437.93498902077317</v>
      </c>
      <c r="AI387">
        <f ca="1">VLOOKUP(E387,伤害参考系!$C$4:$E$104,3,FALSE)*$AN$12</f>
        <v>5499.8953043478286</v>
      </c>
      <c r="AJ387">
        <f>VLOOKUP(C387,技能辅助查询表,技能配置辅助表!$L$1,FALSE)</f>
        <v>1</v>
      </c>
      <c r="AK387">
        <f>VLOOKUP(C387,技能辅助查询表,技能配置辅助表!$AE$1,FALSE)</f>
        <v>66000009</v>
      </c>
    </row>
    <row r="388" spans="1:37" x14ac:dyDescent="0.15">
      <c r="A388" s="1">
        <f t="shared" ca="1" si="184"/>
        <v>9124229</v>
      </c>
      <c r="B388" s="1" t="str">
        <f t="shared" ca="1" si="169"/>
        <v>裂空·斩第2段</v>
      </c>
      <c r="C388" t="s">
        <v>157</v>
      </c>
      <c r="D388">
        <f t="shared" si="170"/>
        <v>1</v>
      </c>
      <c r="E388" s="42">
        <f t="shared" ca="1" si="185"/>
        <v>50</v>
      </c>
      <c r="F388" t="str">
        <f t="shared" ca="1" si="186"/>
        <v>第29级，共造成153.6%点伤害</v>
      </c>
      <c r="G388">
        <f t="shared" ca="1" si="187"/>
        <v>2</v>
      </c>
      <c r="H388">
        <f t="shared" si="171"/>
        <v>2</v>
      </c>
      <c r="I388" s="44">
        <f t="shared" ca="1" si="188"/>
        <v>29</v>
      </c>
      <c r="J388">
        <f t="shared" si="172"/>
        <v>2</v>
      </c>
      <c r="K388" s="36">
        <f t="shared" ca="1" si="173"/>
        <v>153.57142857142858</v>
      </c>
      <c r="L388" s="10">
        <f ca="1">AH388*VLOOKUP(C388,技能辅助查询表,技能配置辅助表!$T$1,FALSE)</f>
        <v>0</v>
      </c>
      <c r="M388">
        <f t="shared" ca="1" si="174"/>
        <v>5680</v>
      </c>
      <c r="N388" s="33">
        <f ca="1">CHOOSE(1,W388*U388,X388*'[1]0、经济设定'!$C$18)</f>
        <v>37030</v>
      </c>
      <c r="O388">
        <f t="shared" si="175"/>
        <v>4</v>
      </c>
      <c r="P388">
        <f t="shared" si="176"/>
        <v>1</v>
      </c>
      <c r="Q388">
        <f t="shared" si="177"/>
        <v>1</v>
      </c>
      <c r="R388" s="2">
        <f t="shared" si="178"/>
        <v>8</v>
      </c>
      <c r="S388" s="2">
        <f t="shared" si="179"/>
        <v>50</v>
      </c>
      <c r="T388" s="2">
        <f t="shared" si="180"/>
        <v>119.04761904761905</v>
      </c>
      <c r="U388" s="2">
        <f ca="1">VLOOKUP(E388,金币生产率!$A$2:$B$120,2,0)</f>
        <v>1610</v>
      </c>
      <c r="V388" s="2">
        <f t="shared" si="181"/>
        <v>119.04761904761905</v>
      </c>
      <c r="W388" s="45">
        <f t="shared" ref="W388:W451" ca="1" si="194">ROUND((IF(I388=0,0,ROUND(OFFSET(AD388,S388-I388+510*(1-D388),0)*(1-$AN$13)/(1-$AN$13^S388)*$AN$13^(I388-1),0))+IF(I388=0,0,ROUND(OFFSET(AD388,S388-I388+510*(2-D388),0)*(1-$AN$13)/(1-$AN$13^S388)*$AN$13^(I388-1),0))+IF(I388=0,0,ROUND(OFFSET(AD388,S388-I388+510*(3-D388),0)*(1-$AN$13)/(1-$AN$13^S388)*$AN$13^(I388-1),0)))/3,0)</f>
        <v>23</v>
      </c>
      <c r="X388" s="48">
        <f t="shared" ref="X388:X451" ca="1" si="195">IF(I388=0,0,X387+W388)</f>
        <v>302</v>
      </c>
      <c r="Y388">
        <f t="shared" si="182"/>
        <v>18</v>
      </c>
      <c r="Z388">
        <f t="shared" ca="1" si="189"/>
        <v>10</v>
      </c>
      <c r="AA388" t="str">
        <f t="shared" ca="1" si="190"/>
        <v>9124200.png</v>
      </c>
      <c r="AB388">
        <f t="shared" si="183"/>
        <v>20</v>
      </c>
      <c r="AC388">
        <f>VLOOKUP(C388,技能辅助查询表,技能配置辅助表!$W$1,FALSE)</f>
        <v>964</v>
      </c>
      <c r="AD388">
        <f t="shared" ca="1" si="191"/>
        <v>53.41962837320149</v>
      </c>
      <c r="AE388">
        <f>VLOOKUP(C388,技能辅助查询表,技能配置辅助表!$U$1,FALSE)</f>
        <v>4</v>
      </c>
      <c r="AF388">
        <f t="shared" ca="1" si="192"/>
        <v>9124229</v>
      </c>
      <c r="AG388">
        <f t="shared" ca="1" si="168"/>
        <v>49.142857142857146</v>
      </c>
      <c r="AH388">
        <f t="shared" ca="1" si="193"/>
        <v>498.5831981498805</v>
      </c>
      <c r="AI388">
        <f ca="1">VLOOKUP(E388,伤害参考系!$C$4:$E$104,3,FALSE)*$AN$12</f>
        <v>6162.2688085284308</v>
      </c>
      <c r="AJ388">
        <f>VLOOKUP(C388,技能辅助查询表,技能配置辅助表!$L$1,FALSE)</f>
        <v>1</v>
      </c>
      <c r="AK388">
        <f>VLOOKUP(C388,技能辅助查询表,技能配置辅助表!$AE$1,FALSE)</f>
        <v>66000009</v>
      </c>
    </row>
    <row r="389" spans="1:37" x14ac:dyDescent="0.15">
      <c r="A389" s="1">
        <f t="shared" ca="1" si="184"/>
        <v>9124230</v>
      </c>
      <c r="B389" s="1" t="str">
        <f t="shared" ca="1" si="169"/>
        <v>裂空·斩第2段</v>
      </c>
      <c r="C389" t="s">
        <v>157</v>
      </c>
      <c r="D389">
        <f t="shared" si="170"/>
        <v>1</v>
      </c>
      <c r="E389" s="42">
        <f t="shared" ca="1" si="185"/>
        <v>51</v>
      </c>
      <c r="F389" t="str">
        <f t="shared" ca="1" si="186"/>
        <v>第30级，共造成154.8%点伤害</v>
      </c>
      <c r="G389">
        <f t="shared" ca="1" si="187"/>
        <v>2</v>
      </c>
      <c r="H389">
        <f t="shared" si="171"/>
        <v>2</v>
      </c>
      <c r="I389" s="44">
        <f t="shared" ca="1" si="188"/>
        <v>30</v>
      </c>
      <c r="J389">
        <f t="shared" si="172"/>
        <v>2</v>
      </c>
      <c r="K389" s="36">
        <f t="shared" ca="1" si="173"/>
        <v>154.76190476190476</v>
      </c>
      <c r="L389" s="10">
        <f ca="1">AH389*VLOOKUP(C389,技能辅助查询表,技能配置辅助表!$T$1,FALSE)</f>
        <v>0</v>
      </c>
      <c r="M389">
        <f t="shared" ca="1" si="174"/>
        <v>5600</v>
      </c>
      <c r="N389" s="33">
        <f ca="1">CHOOSE(1,W389*U389,X389*'[1]0、经济设定'!$C$18)</f>
        <v>41975</v>
      </c>
      <c r="O389">
        <f t="shared" si="175"/>
        <v>4</v>
      </c>
      <c r="P389">
        <f t="shared" si="176"/>
        <v>1</v>
      </c>
      <c r="Q389">
        <f t="shared" si="177"/>
        <v>1</v>
      </c>
      <c r="R389" s="2">
        <f t="shared" si="178"/>
        <v>8</v>
      </c>
      <c r="S389" s="2">
        <f t="shared" si="179"/>
        <v>50</v>
      </c>
      <c r="T389" s="2">
        <f t="shared" si="180"/>
        <v>119.04761904761905</v>
      </c>
      <c r="U389" s="2">
        <f ca="1">VLOOKUP(E389,金币生产率!$A$2:$B$120,2,0)</f>
        <v>1679</v>
      </c>
      <c r="V389" s="2">
        <f t="shared" si="181"/>
        <v>119.04761904761905</v>
      </c>
      <c r="W389" s="45">
        <f t="shared" ca="1" si="194"/>
        <v>25</v>
      </c>
      <c r="X389" s="48">
        <f t="shared" ca="1" si="195"/>
        <v>327</v>
      </c>
      <c r="Y389">
        <f t="shared" si="182"/>
        <v>18</v>
      </c>
      <c r="Z389">
        <f t="shared" ca="1" si="189"/>
        <v>10</v>
      </c>
      <c r="AA389" t="str">
        <f t="shared" ca="1" si="190"/>
        <v>9124200.png</v>
      </c>
      <c r="AB389">
        <f t="shared" si="183"/>
        <v>20</v>
      </c>
      <c r="AC389">
        <f>VLOOKUP(C389,技能辅助查询表,技能配置辅助表!$W$1,FALSE)</f>
        <v>964</v>
      </c>
      <c r="AD389">
        <f t="shared" ca="1" si="191"/>
        <v>62.16904193021287</v>
      </c>
      <c r="AE389">
        <f>VLOOKUP(C389,技能辅助查询表,技能配置辅助表!$U$1,FALSE)</f>
        <v>4</v>
      </c>
      <c r="AF389">
        <f t="shared" ca="1" si="192"/>
        <v>9124230</v>
      </c>
      <c r="AG389">
        <f t="shared" ref="AG389:AG452" ca="1" si="196">IF(I389=1,R389,IF(I389=0,0,(I389-1)*(80-R389)/(S389-1)+R389))</f>
        <v>50.612244897959187</v>
      </c>
      <c r="AH389">
        <f t="shared" ca="1" si="193"/>
        <v>567.63038284107404</v>
      </c>
      <c r="AI389">
        <f ca="1">VLOOKUP(E389,伤害参考系!$C$4:$E$104,3,FALSE)*$AN$12</f>
        <v>6528.1715392976603</v>
      </c>
      <c r="AJ389">
        <f>VLOOKUP(C389,技能辅助查询表,技能配置辅助表!$L$1,FALSE)</f>
        <v>1</v>
      </c>
      <c r="AK389">
        <f>VLOOKUP(C389,技能辅助查询表,技能配置辅助表!$AE$1,FALSE)</f>
        <v>66000009</v>
      </c>
    </row>
    <row r="390" spans="1:37" x14ac:dyDescent="0.15">
      <c r="A390" s="1">
        <f t="shared" ca="1" si="184"/>
        <v>9124231</v>
      </c>
      <c r="B390" s="1" t="str">
        <f t="shared" ca="1" si="169"/>
        <v>裂空·斩第2段</v>
      </c>
      <c r="C390" t="s">
        <v>157</v>
      </c>
      <c r="D390">
        <f t="shared" si="170"/>
        <v>1</v>
      </c>
      <c r="E390" s="42">
        <f t="shared" ca="1" si="185"/>
        <v>53</v>
      </c>
      <c r="F390" t="str">
        <f t="shared" ca="1" si="186"/>
        <v>第31级，共造成156%点伤害</v>
      </c>
      <c r="G390">
        <f t="shared" ca="1" si="187"/>
        <v>2</v>
      </c>
      <c r="H390">
        <f t="shared" si="171"/>
        <v>2</v>
      </c>
      <c r="I390" s="44">
        <f t="shared" ca="1" si="188"/>
        <v>31</v>
      </c>
      <c r="J390">
        <f t="shared" si="172"/>
        <v>2</v>
      </c>
      <c r="K390" s="36">
        <f t="shared" ca="1" si="173"/>
        <v>155.95238095238096</v>
      </c>
      <c r="L390" s="10">
        <f ca="1">AH390*VLOOKUP(C390,技能辅助查询表,技能配置辅助表!$T$1,FALSE)</f>
        <v>0</v>
      </c>
      <c r="M390">
        <f t="shared" ca="1" si="174"/>
        <v>5520</v>
      </c>
      <c r="N390" s="33">
        <f ca="1">CHOOSE(1,W390*U390,X390*'[1]0、经济设定'!$C$18)</f>
        <v>47320</v>
      </c>
      <c r="O390">
        <f t="shared" si="175"/>
        <v>4</v>
      </c>
      <c r="P390">
        <f t="shared" si="176"/>
        <v>1</v>
      </c>
      <c r="Q390">
        <f t="shared" si="177"/>
        <v>1</v>
      </c>
      <c r="R390" s="2">
        <f t="shared" si="178"/>
        <v>8</v>
      </c>
      <c r="S390" s="2">
        <f t="shared" si="179"/>
        <v>50</v>
      </c>
      <c r="T390" s="2">
        <f t="shared" si="180"/>
        <v>119.04761904761905</v>
      </c>
      <c r="U390" s="2">
        <f ca="1">VLOOKUP(E390,金币生产率!$A$2:$B$120,2,0)</f>
        <v>1820</v>
      </c>
      <c r="V390" s="2">
        <f t="shared" si="181"/>
        <v>119.04761904761905</v>
      </c>
      <c r="W390" s="45">
        <f t="shared" ca="1" si="194"/>
        <v>26</v>
      </c>
      <c r="X390" s="48">
        <f t="shared" ca="1" si="195"/>
        <v>353</v>
      </c>
      <c r="Y390">
        <f t="shared" si="182"/>
        <v>18</v>
      </c>
      <c r="Z390">
        <f t="shared" ca="1" si="189"/>
        <v>11</v>
      </c>
      <c r="AA390" t="str">
        <f t="shared" ca="1" si="190"/>
        <v>9124200.png</v>
      </c>
      <c r="AB390">
        <f t="shared" si="183"/>
        <v>20</v>
      </c>
      <c r="AC390">
        <f>VLOOKUP(C390,技能辅助查询表,技能配置辅助表!$W$1,FALSE)</f>
        <v>964</v>
      </c>
      <c r="AD390">
        <f t="shared" ca="1" si="191"/>
        <v>72.317298668155971</v>
      </c>
      <c r="AE390">
        <f>VLOOKUP(C390,技能辅助查询表,技能配置辅助表!$U$1,FALSE)</f>
        <v>4</v>
      </c>
      <c r="AF390">
        <f t="shared" ca="1" si="192"/>
        <v>9124231</v>
      </c>
      <c r="AG390">
        <f t="shared" ca="1" si="196"/>
        <v>52.081632653061227</v>
      </c>
      <c r="AH390">
        <f t="shared" ca="1" si="193"/>
        <v>646.23969022607446</v>
      </c>
      <c r="AI390">
        <f ca="1">VLOOKUP(E390,伤害参考系!$C$4:$E$104,3,FALSE)*$AN$12</f>
        <v>7291.2152408026777</v>
      </c>
      <c r="AJ390">
        <f>VLOOKUP(C390,技能辅助查询表,技能配置辅助表!$L$1,FALSE)</f>
        <v>1</v>
      </c>
      <c r="AK390">
        <f>VLOOKUP(C390,技能辅助查询表,技能配置辅助表!$AE$1,FALSE)</f>
        <v>66000009</v>
      </c>
    </row>
    <row r="391" spans="1:37" x14ac:dyDescent="0.15">
      <c r="A391" s="1">
        <f t="shared" ca="1" si="184"/>
        <v>9124232</v>
      </c>
      <c r="B391" s="1" t="str">
        <f t="shared" ca="1" si="169"/>
        <v>裂空·斩第2段</v>
      </c>
      <c r="C391" t="s">
        <v>157</v>
      </c>
      <c r="D391">
        <f t="shared" si="170"/>
        <v>1</v>
      </c>
      <c r="E391" s="42">
        <f t="shared" ca="1" si="185"/>
        <v>54</v>
      </c>
      <c r="F391" t="str">
        <f t="shared" ca="1" si="186"/>
        <v>第32级，共造成157.1%点伤害</v>
      </c>
      <c r="G391">
        <f t="shared" ca="1" si="187"/>
        <v>2</v>
      </c>
      <c r="H391">
        <f t="shared" si="171"/>
        <v>2</v>
      </c>
      <c r="I391" s="44">
        <f t="shared" ca="1" si="188"/>
        <v>32</v>
      </c>
      <c r="J391">
        <f t="shared" si="172"/>
        <v>2</v>
      </c>
      <c r="K391" s="36">
        <f t="shared" ca="1" si="173"/>
        <v>157.14285714285714</v>
      </c>
      <c r="L391" s="10">
        <f ca="1">AH391*VLOOKUP(C391,技能辅助查询表,技能配置辅助表!$T$1,FALSE)</f>
        <v>0</v>
      </c>
      <c r="M391">
        <f t="shared" ca="1" si="174"/>
        <v>5440</v>
      </c>
      <c r="N391" s="33">
        <f ca="1">CHOOSE(1,W391*U391,X391*'[1]0、经济设定'!$C$18)</f>
        <v>53004</v>
      </c>
      <c r="O391">
        <f t="shared" si="175"/>
        <v>4</v>
      </c>
      <c r="P391">
        <f t="shared" si="176"/>
        <v>1</v>
      </c>
      <c r="Q391">
        <f t="shared" si="177"/>
        <v>1</v>
      </c>
      <c r="R391" s="2">
        <f t="shared" si="178"/>
        <v>8</v>
      </c>
      <c r="S391" s="2">
        <f t="shared" si="179"/>
        <v>50</v>
      </c>
      <c r="T391" s="2">
        <f t="shared" si="180"/>
        <v>119.04761904761905</v>
      </c>
      <c r="U391" s="2">
        <f ca="1">VLOOKUP(E391,金币生产率!$A$2:$B$120,2,0)</f>
        <v>1893</v>
      </c>
      <c r="V391" s="2">
        <f t="shared" si="181"/>
        <v>119.04761904761905</v>
      </c>
      <c r="W391" s="45">
        <f t="shared" ca="1" si="194"/>
        <v>28</v>
      </c>
      <c r="X391" s="48">
        <f t="shared" ca="1" si="195"/>
        <v>381</v>
      </c>
      <c r="Y391">
        <f t="shared" si="182"/>
        <v>18</v>
      </c>
      <c r="Z391">
        <f t="shared" ca="1" si="189"/>
        <v>12</v>
      </c>
      <c r="AA391" t="str">
        <f t="shared" ca="1" si="190"/>
        <v>9124200.png</v>
      </c>
      <c r="AB391">
        <f t="shared" si="183"/>
        <v>20</v>
      </c>
      <c r="AC391">
        <f>VLOOKUP(C391,技能辅助查询表,技能配置辅助表!$W$1,FALSE)</f>
        <v>964</v>
      </c>
      <c r="AD391">
        <f t="shared" ca="1" si="191"/>
        <v>84.084039765094801</v>
      </c>
      <c r="AE391">
        <f>VLOOKUP(C391,技能辅助查询表,技能配置辅助表!$U$1,FALSE)</f>
        <v>4</v>
      </c>
      <c r="AF391">
        <f t="shared" ca="1" si="192"/>
        <v>9124232</v>
      </c>
      <c r="AG391">
        <f t="shared" ca="1" si="196"/>
        <v>53.551020408163268</v>
      </c>
      <c r="AH391">
        <f t="shared" ca="1" si="193"/>
        <v>735.73534794457942</v>
      </c>
      <c r="AI391">
        <f ca="1">VLOOKUP(E391,伤害参考系!$C$4:$E$104,3,FALSE)*$AN$12</f>
        <v>7688.356211538463</v>
      </c>
      <c r="AJ391">
        <f>VLOOKUP(C391,技能辅助查询表,技能配置辅助表!$L$1,FALSE)</f>
        <v>1</v>
      </c>
      <c r="AK391">
        <f>VLOOKUP(C391,技能辅助查询表,技能配置辅助表!$AE$1,FALSE)</f>
        <v>66000009</v>
      </c>
    </row>
    <row r="392" spans="1:37" x14ac:dyDescent="0.15">
      <c r="A392" s="1">
        <f t="shared" ca="1" si="184"/>
        <v>9124233</v>
      </c>
      <c r="B392" s="1" t="str">
        <f t="shared" ca="1" si="169"/>
        <v>裂空·斩第2段</v>
      </c>
      <c r="C392" t="s">
        <v>157</v>
      </c>
      <c r="D392">
        <f t="shared" si="170"/>
        <v>1</v>
      </c>
      <c r="E392" s="42">
        <f t="shared" ca="1" si="185"/>
        <v>56</v>
      </c>
      <c r="F392" t="str">
        <f t="shared" ca="1" si="186"/>
        <v>第33级，共造成158.3%点伤害</v>
      </c>
      <c r="G392">
        <f t="shared" ca="1" si="187"/>
        <v>2</v>
      </c>
      <c r="H392">
        <f t="shared" si="171"/>
        <v>2</v>
      </c>
      <c r="I392" s="44">
        <f t="shared" ca="1" si="188"/>
        <v>33</v>
      </c>
      <c r="J392">
        <f t="shared" si="172"/>
        <v>2</v>
      </c>
      <c r="K392" s="36">
        <f t="shared" ca="1" si="173"/>
        <v>158.33333333333334</v>
      </c>
      <c r="L392" s="10">
        <f ca="1">AH392*VLOOKUP(C392,技能辅助查询表,技能配置辅助表!$T$1,FALSE)</f>
        <v>0</v>
      </c>
      <c r="M392">
        <f t="shared" ca="1" si="174"/>
        <v>5360</v>
      </c>
      <c r="N392" s="33">
        <f ca="1">CHOOSE(1,W392*U392,X392*'[1]0、经济设定'!$C$18)</f>
        <v>61260</v>
      </c>
      <c r="O392">
        <f t="shared" si="175"/>
        <v>4</v>
      </c>
      <c r="P392">
        <f t="shared" si="176"/>
        <v>1</v>
      </c>
      <c r="Q392">
        <f t="shared" si="177"/>
        <v>1</v>
      </c>
      <c r="R392" s="2">
        <f t="shared" si="178"/>
        <v>8</v>
      </c>
      <c r="S392" s="2">
        <f t="shared" si="179"/>
        <v>50</v>
      </c>
      <c r="T392" s="2">
        <f t="shared" si="180"/>
        <v>119.04761904761905</v>
      </c>
      <c r="U392" s="2">
        <f ca="1">VLOOKUP(E392,金币生产率!$A$2:$B$120,2,0)</f>
        <v>2042</v>
      </c>
      <c r="V392" s="2">
        <f t="shared" si="181"/>
        <v>119.04761904761905</v>
      </c>
      <c r="W392" s="45">
        <f t="shared" ca="1" si="194"/>
        <v>30</v>
      </c>
      <c r="X392" s="48">
        <f t="shared" ca="1" si="195"/>
        <v>411</v>
      </c>
      <c r="Y392">
        <f t="shared" si="182"/>
        <v>18</v>
      </c>
      <c r="Z392">
        <f t="shared" ca="1" si="189"/>
        <v>12</v>
      </c>
      <c r="AA392" t="str">
        <f t="shared" ca="1" si="190"/>
        <v>9124200.png</v>
      </c>
      <c r="AB392">
        <f t="shared" si="183"/>
        <v>20</v>
      </c>
      <c r="AC392">
        <f>VLOOKUP(C392,技能辅助查询表,技能配置辅助表!$W$1,FALSE)</f>
        <v>964</v>
      </c>
      <c r="AD392">
        <f t="shared" ca="1" si="191"/>
        <v>97.722913361046224</v>
      </c>
      <c r="AE392">
        <f>VLOOKUP(C392,技能辅助查询表,技能配置辅助表!$U$1,FALSE)</f>
        <v>4</v>
      </c>
      <c r="AF392">
        <f t="shared" ca="1" si="192"/>
        <v>9124233</v>
      </c>
      <c r="AG392">
        <f t="shared" ca="1" si="196"/>
        <v>55.020408163265309</v>
      </c>
      <c r="AH392">
        <f t="shared" ca="1" si="193"/>
        <v>837.62497166611001</v>
      </c>
      <c r="AI392">
        <f ca="1">VLOOKUP(E392,伤害参考系!$C$4:$E$104,3,FALSE)*$AN$12</f>
        <v>8513.8763929765901</v>
      </c>
      <c r="AJ392">
        <f>VLOOKUP(C392,技能辅助查询表,技能配置辅助表!$L$1,FALSE)</f>
        <v>1</v>
      </c>
      <c r="AK392">
        <f>VLOOKUP(C392,技能辅助查询表,技能配置辅助表!$AE$1,FALSE)</f>
        <v>66000009</v>
      </c>
    </row>
    <row r="393" spans="1:37" x14ac:dyDescent="0.15">
      <c r="A393" s="1">
        <f t="shared" ca="1" si="184"/>
        <v>9124234</v>
      </c>
      <c r="B393" s="1" t="str">
        <f t="shared" ca="1" si="169"/>
        <v>裂空·斩第2段</v>
      </c>
      <c r="C393" t="s">
        <v>157</v>
      </c>
      <c r="D393">
        <f t="shared" si="170"/>
        <v>1</v>
      </c>
      <c r="E393" s="42">
        <f t="shared" ca="1" si="185"/>
        <v>57</v>
      </c>
      <c r="F393" t="str">
        <f t="shared" ca="1" si="186"/>
        <v>第34级，共造成159.5%点伤害</v>
      </c>
      <c r="G393">
        <f t="shared" ca="1" si="187"/>
        <v>2</v>
      </c>
      <c r="H393">
        <f t="shared" si="171"/>
        <v>2</v>
      </c>
      <c r="I393" s="44">
        <f t="shared" ca="1" si="188"/>
        <v>34</v>
      </c>
      <c r="J393">
        <f t="shared" si="172"/>
        <v>2</v>
      </c>
      <c r="K393" s="36">
        <f t="shared" ca="1" si="173"/>
        <v>159.52380952380952</v>
      </c>
      <c r="L393" s="10">
        <f ca="1">AH393*VLOOKUP(C393,技能辅助查询表,技能配置辅助表!$T$1,FALSE)</f>
        <v>0</v>
      </c>
      <c r="M393">
        <f t="shared" ca="1" si="174"/>
        <v>5280</v>
      </c>
      <c r="N393" s="33">
        <f ca="1">CHOOSE(1,W393*U393,X393*'[1]0、经济设定'!$C$18)</f>
        <v>67808</v>
      </c>
      <c r="O393">
        <f t="shared" si="175"/>
        <v>4</v>
      </c>
      <c r="P393">
        <f t="shared" si="176"/>
        <v>1</v>
      </c>
      <c r="Q393">
        <f t="shared" si="177"/>
        <v>1</v>
      </c>
      <c r="R393" s="2">
        <f t="shared" si="178"/>
        <v>8</v>
      </c>
      <c r="S393" s="2">
        <f t="shared" si="179"/>
        <v>50</v>
      </c>
      <c r="T393" s="2">
        <f t="shared" si="180"/>
        <v>119.04761904761905</v>
      </c>
      <c r="U393" s="2">
        <f ca="1">VLOOKUP(E393,金币生产率!$A$2:$B$120,2,0)</f>
        <v>2119</v>
      </c>
      <c r="V393" s="2">
        <f t="shared" si="181"/>
        <v>119.04761904761905</v>
      </c>
      <c r="W393" s="45">
        <f t="shared" ca="1" si="194"/>
        <v>32</v>
      </c>
      <c r="X393" s="48">
        <f t="shared" ca="1" si="195"/>
        <v>443</v>
      </c>
      <c r="Y393">
        <f t="shared" si="182"/>
        <v>18</v>
      </c>
      <c r="Z393">
        <f t="shared" ca="1" si="189"/>
        <v>13</v>
      </c>
      <c r="AA393" t="str">
        <f t="shared" ca="1" si="190"/>
        <v>9124200.png</v>
      </c>
      <c r="AB393">
        <f t="shared" si="183"/>
        <v>20</v>
      </c>
      <c r="AC393">
        <f>VLOOKUP(C393,技能辅助查询表,技能配置辅助表!$W$1,FALSE)</f>
        <v>964</v>
      </c>
      <c r="AD393">
        <f t="shared" ca="1" si="191"/>
        <v>113.52678117962634</v>
      </c>
      <c r="AE393">
        <f>VLOOKUP(C393,技能辅助查询表,技能配置辅助表!$U$1,FALSE)</f>
        <v>4</v>
      </c>
      <c r="AF393">
        <f t="shared" ca="1" si="192"/>
        <v>9124234</v>
      </c>
      <c r="AG393">
        <f t="shared" ca="1" si="196"/>
        <v>56.489795918367349</v>
      </c>
      <c r="AH393">
        <f t="shared" ca="1" si="193"/>
        <v>953.62496190886134</v>
      </c>
      <c r="AI393">
        <f ca="1">VLOOKUP(E393,伤害参考系!$C$4:$E$104,3,FALSE)*$AN$12</f>
        <v>8942.2556036789319</v>
      </c>
      <c r="AJ393">
        <f>VLOOKUP(C393,技能辅助查询表,技能配置辅助表!$L$1,FALSE)</f>
        <v>1</v>
      </c>
      <c r="AK393">
        <f>VLOOKUP(C393,技能辅助查询表,技能配置辅助表!$AE$1,FALSE)</f>
        <v>66000009</v>
      </c>
    </row>
    <row r="394" spans="1:37" x14ac:dyDescent="0.15">
      <c r="A394" s="1">
        <f t="shared" ca="1" si="184"/>
        <v>9124235</v>
      </c>
      <c r="B394" s="1" t="str">
        <f t="shared" ca="1" si="169"/>
        <v>裂空·斩第2段</v>
      </c>
      <c r="C394" t="s">
        <v>157</v>
      </c>
      <c r="D394">
        <f t="shared" si="170"/>
        <v>1</v>
      </c>
      <c r="E394" s="42">
        <f t="shared" ca="1" si="185"/>
        <v>58</v>
      </c>
      <c r="F394" t="str">
        <f t="shared" ca="1" si="186"/>
        <v>第35级，共造成160.7%点伤害</v>
      </c>
      <c r="G394">
        <f t="shared" ca="1" si="187"/>
        <v>2</v>
      </c>
      <c r="H394">
        <f t="shared" si="171"/>
        <v>2</v>
      </c>
      <c r="I394" s="44">
        <f t="shared" ca="1" si="188"/>
        <v>35</v>
      </c>
      <c r="J394">
        <f t="shared" si="172"/>
        <v>2</v>
      </c>
      <c r="K394" s="36">
        <f t="shared" ca="1" si="173"/>
        <v>160.71428571428572</v>
      </c>
      <c r="L394" s="10">
        <f ca="1">AH394*VLOOKUP(C394,技能辅助查询表,技能配置辅助表!$T$1,FALSE)</f>
        <v>0</v>
      </c>
      <c r="M394">
        <f t="shared" ca="1" si="174"/>
        <v>5200</v>
      </c>
      <c r="N394" s="33">
        <f ca="1">CHOOSE(1,W394*U394,X394*'[1]0、经济设定'!$C$18)</f>
        <v>74732</v>
      </c>
      <c r="O394">
        <f t="shared" si="175"/>
        <v>4</v>
      </c>
      <c r="P394">
        <f t="shared" si="176"/>
        <v>1</v>
      </c>
      <c r="Q394">
        <f t="shared" si="177"/>
        <v>1</v>
      </c>
      <c r="R394" s="2">
        <f t="shared" si="178"/>
        <v>8</v>
      </c>
      <c r="S394" s="2">
        <f t="shared" si="179"/>
        <v>50</v>
      </c>
      <c r="T394" s="2">
        <f t="shared" si="180"/>
        <v>119.04761904761905</v>
      </c>
      <c r="U394" s="2">
        <f ca="1">VLOOKUP(E394,金币生产率!$A$2:$B$120,2,0)</f>
        <v>2198</v>
      </c>
      <c r="V394" s="2">
        <f t="shared" si="181"/>
        <v>119.04761904761905</v>
      </c>
      <c r="W394" s="45">
        <f t="shared" ca="1" si="194"/>
        <v>34</v>
      </c>
      <c r="X394" s="48">
        <f t="shared" ca="1" si="195"/>
        <v>477</v>
      </c>
      <c r="Y394">
        <f t="shared" si="182"/>
        <v>18</v>
      </c>
      <c r="Z394">
        <f t="shared" ca="1" si="189"/>
        <v>14</v>
      </c>
      <c r="AA394" t="str">
        <f t="shared" ca="1" si="190"/>
        <v>9124200.png</v>
      </c>
      <c r="AB394">
        <f t="shared" si="183"/>
        <v>20</v>
      </c>
      <c r="AC394">
        <f>VLOOKUP(C394,技能辅助查询表,技能配置辅助表!$W$1,FALSE)</f>
        <v>964</v>
      </c>
      <c r="AD394">
        <f t="shared" ca="1" si="191"/>
        <v>131.8337150407161</v>
      </c>
      <c r="AE394">
        <f>VLOOKUP(C394,技能辅助查询表,技能配置辅助表!$U$1,FALSE)</f>
        <v>4</v>
      </c>
      <c r="AF394">
        <f t="shared" ca="1" si="192"/>
        <v>9124235</v>
      </c>
      <c r="AG394">
        <f t="shared" ca="1" si="196"/>
        <v>57.95918367346939</v>
      </c>
      <c r="AH394">
        <f t="shared" ca="1" si="193"/>
        <v>1085.689417982368</v>
      </c>
      <c r="AI394">
        <f ca="1">VLOOKUP(E394,伤害参考系!$C$4:$E$104,3,FALSE)*$AN$12</f>
        <v>9381.0475610367921</v>
      </c>
      <c r="AJ394">
        <f>VLOOKUP(C394,技能辅助查询表,技能配置辅助表!$L$1,FALSE)</f>
        <v>1</v>
      </c>
      <c r="AK394">
        <f>VLOOKUP(C394,技能辅助查询表,技能配置辅助表!$AE$1,FALSE)</f>
        <v>66000009</v>
      </c>
    </row>
    <row r="395" spans="1:37" x14ac:dyDescent="0.15">
      <c r="A395" s="1">
        <f t="shared" ca="1" si="184"/>
        <v>9124236</v>
      </c>
      <c r="B395" s="1" t="str">
        <f t="shared" ca="1" si="169"/>
        <v>裂空·斩第2段</v>
      </c>
      <c r="C395" t="s">
        <v>157</v>
      </c>
      <c r="D395">
        <f t="shared" si="170"/>
        <v>1</v>
      </c>
      <c r="E395" s="42">
        <f t="shared" ca="1" si="185"/>
        <v>60</v>
      </c>
      <c r="F395" t="str">
        <f t="shared" ca="1" si="186"/>
        <v>第36级，共造成161.9%点伤害</v>
      </c>
      <c r="G395">
        <f t="shared" ca="1" si="187"/>
        <v>2</v>
      </c>
      <c r="H395">
        <f t="shared" si="171"/>
        <v>2</v>
      </c>
      <c r="I395" s="44">
        <f t="shared" ca="1" si="188"/>
        <v>36</v>
      </c>
      <c r="J395">
        <f t="shared" si="172"/>
        <v>2</v>
      </c>
      <c r="K395" s="36">
        <f t="shared" ca="1" si="173"/>
        <v>161.9047619047619</v>
      </c>
      <c r="L395" s="10">
        <f ca="1">AH395*VLOOKUP(C395,技能辅助查询表,技能配置辅助表!$T$1,FALSE)</f>
        <v>0</v>
      </c>
      <c r="M395">
        <f t="shared" ca="1" si="174"/>
        <v>5120</v>
      </c>
      <c r="N395" s="33">
        <f ca="1">CHOOSE(1,W395*U395,X395*'[1]0、经济设定'!$C$18)</f>
        <v>87246</v>
      </c>
      <c r="O395">
        <f t="shared" si="175"/>
        <v>4</v>
      </c>
      <c r="P395">
        <f t="shared" si="176"/>
        <v>1</v>
      </c>
      <c r="Q395">
        <f t="shared" si="177"/>
        <v>1</v>
      </c>
      <c r="R395" s="2">
        <f t="shared" si="178"/>
        <v>8</v>
      </c>
      <c r="S395" s="2">
        <f t="shared" si="179"/>
        <v>50</v>
      </c>
      <c r="T395" s="2">
        <f t="shared" si="180"/>
        <v>119.04761904761905</v>
      </c>
      <c r="U395" s="2">
        <f ca="1">VLOOKUP(E395,金币生产率!$A$2:$B$120,2,0)</f>
        <v>2358</v>
      </c>
      <c r="V395" s="2">
        <f t="shared" si="181"/>
        <v>119.04761904761905</v>
      </c>
      <c r="W395" s="45">
        <f t="shared" ca="1" si="194"/>
        <v>37</v>
      </c>
      <c r="X395" s="48">
        <f t="shared" ca="1" si="195"/>
        <v>514</v>
      </c>
      <c r="Y395">
        <f t="shared" si="182"/>
        <v>18</v>
      </c>
      <c r="Z395">
        <f t="shared" ca="1" si="189"/>
        <v>15</v>
      </c>
      <c r="AA395" t="str">
        <f t="shared" ca="1" si="190"/>
        <v>9124200.png</v>
      </c>
      <c r="AB395">
        <f t="shared" si="183"/>
        <v>20</v>
      </c>
      <c r="AC395">
        <f>VLOOKUP(C395,技能辅助查询表,技能配置辅助表!$W$1,FALSE)</f>
        <v>964</v>
      </c>
      <c r="AD395">
        <f t="shared" ca="1" si="191"/>
        <v>153.03390218742106</v>
      </c>
      <c r="AE395">
        <f>VLOOKUP(C395,技能辅助查询表,技能配置辅助表!$U$1,FALSE)</f>
        <v>4</v>
      </c>
      <c r="AF395">
        <f t="shared" ca="1" si="192"/>
        <v>9124236</v>
      </c>
      <c r="AG395">
        <f t="shared" ca="1" si="196"/>
        <v>59.428571428571431</v>
      </c>
      <c r="AH395">
        <f t="shared" ca="1" si="193"/>
        <v>1236.0430561291703</v>
      </c>
      <c r="AI395">
        <f ca="1">VLOOKUP(E395,伤害参考系!$C$4:$E$104,3,FALSE)*$AN$12</f>
        <v>10340.558729096994</v>
      </c>
      <c r="AJ395">
        <f>VLOOKUP(C395,技能辅助查询表,技能配置辅助表!$L$1,FALSE)</f>
        <v>1</v>
      </c>
      <c r="AK395">
        <f>VLOOKUP(C395,技能辅助查询表,技能配置辅助表!$AE$1,FALSE)</f>
        <v>66000009</v>
      </c>
    </row>
    <row r="396" spans="1:37" x14ac:dyDescent="0.15">
      <c r="A396" s="1">
        <f t="shared" ca="1" si="184"/>
        <v>9124237</v>
      </c>
      <c r="B396" s="1" t="str">
        <f t="shared" ca="1" si="169"/>
        <v>裂空·斩第2段</v>
      </c>
      <c r="C396" t="s">
        <v>157</v>
      </c>
      <c r="D396">
        <f t="shared" si="170"/>
        <v>1</v>
      </c>
      <c r="E396" s="42">
        <f t="shared" ca="1" si="185"/>
        <v>61</v>
      </c>
      <c r="F396" t="str">
        <f t="shared" ca="1" si="186"/>
        <v>第37级，共造成163.1%点伤害</v>
      </c>
      <c r="G396">
        <f t="shared" ca="1" si="187"/>
        <v>2</v>
      </c>
      <c r="H396">
        <f t="shared" si="171"/>
        <v>2</v>
      </c>
      <c r="I396" s="44">
        <f t="shared" ca="1" si="188"/>
        <v>37</v>
      </c>
      <c r="J396">
        <f t="shared" si="172"/>
        <v>2</v>
      </c>
      <c r="K396" s="36">
        <f t="shared" ca="1" si="173"/>
        <v>163.0952380952381</v>
      </c>
      <c r="L396" s="10">
        <f ca="1">AH396*VLOOKUP(C396,技能辅助查询表,技能配置辅助表!$T$1,FALSE)</f>
        <v>0</v>
      </c>
      <c r="M396">
        <f t="shared" ca="1" si="174"/>
        <v>5040</v>
      </c>
      <c r="N396" s="33">
        <f ca="1">CHOOSE(1,W396*U396,X396*'[1]0、经济设定'!$C$18)</f>
        <v>95160</v>
      </c>
      <c r="O396">
        <f t="shared" si="175"/>
        <v>4</v>
      </c>
      <c r="P396">
        <f t="shared" si="176"/>
        <v>1</v>
      </c>
      <c r="Q396">
        <f t="shared" si="177"/>
        <v>1</v>
      </c>
      <c r="R396" s="2">
        <f t="shared" si="178"/>
        <v>8</v>
      </c>
      <c r="S396" s="2">
        <f t="shared" si="179"/>
        <v>50</v>
      </c>
      <c r="T396" s="2">
        <f t="shared" si="180"/>
        <v>119.04761904761905</v>
      </c>
      <c r="U396" s="2">
        <f ca="1">VLOOKUP(E396,金币生产率!$A$2:$B$120,2,0)</f>
        <v>2440</v>
      </c>
      <c r="V396" s="2">
        <f t="shared" si="181"/>
        <v>119.04761904761905</v>
      </c>
      <c r="W396" s="45">
        <f t="shared" ca="1" si="194"/>
        <v>39</v>
      </c>
      <c r="X396" s="48">
        <f t="shared" ca="1" si="195"/>
        <v>553</v>
      </c>
      <c r="Y396">
        <f t="shared" si="182"/>
        <v>18</v>
      </c>
      <c r="Z396">
        <f t="shared" ca="1" si="189"/>
        <v>16</v>
      </c>
      <c r="AA396" t="str">
        <f t="shared" ca="1" si="190"/>
        <v>9124200.png</v>
      </c>
      <c r="AB396">
        <f t="shared" si="183"/>
        <v>20</v>
      </c>
      <c r="AC396">
        <f>VLOOKUP(C396,技能辅助查询表,技能配置辅助表!$W$1,FALSE)</f>
        <v>964</v>
      </c>
      <c r="AD396">
        <f t="shared" ca="1" si="191"/>
        <v>177.57759614021001</v>
      </c>
      <c r="AE396">
        <f>VLOOKUP(C396,技能辅助查询表,技能配置辅助表!$U$1,FALSE)</f>
        <v>4</v>
      </c>
      <c r="AF396">
        <f t="shared" ca="1" si="192"/>
        <v>9124237</v>
      </c>
      <c r="AG396">
        <f t="shared" ca="1" si="196"/>
        <v>60.897959183673471</v>
      </c>
      <c r="AH396">
        <f t="shared" ca="1" si="193"/>
        <v>1407.2186863941167</v>
      </c>
      <c r="AI396">
        <f ca="1">VLOOKUP(E396,伤害参考系!$C$4:$E$104,3,FALSE)*$AN$12</f>
        <v>10863.360489130437</v>
      </c>
      <c r="AJ396">
        <f>VLOOKUP(C396,技能辅助查询表,技能配置辅助表!$L$1,FALSE)</f>
        <v>1</v>
      </c>
      <c r="AK396">
        <f>VLOOKUP(C396,技能辅助查询表,技能配置辅助表!$AE$1,FALSE)</f>
        <v>66000009</v>
      </c>
    </row>
    <row r="397" spans="1:37" x14ac:dyDescent="0.15">
      <c r="A397" s="1">
        <f t="shared" ca="1" si="184"/>
        <v>9124238</v>
      </c>
      <c r="B397" s="1" t="str">
        <f t="shared" ca="1" si="169"/>
        <v>裂空·斩第2段</v>
      </c>
      <c r="C397" t="s">
        <v>157</v>
      </c>
      <c r="D397">
        <f t="shared" si="170"/>
        <v>1</v>
      </c>
      <c r="E397" s="42">
        <f t="shared" ca="1" si="185"/>
        <v>63</v>
      </c>
      <c r="F397" t="str">
        <f t="shared" ca="1" si="186"/>
        <v>第38级，共造成164.3%点伤害</v>
      </c>
      <c r="G397">
        <f t="shared" ca="1" si="187"/>
        <v>2</v>
      </c>
      <c r="H397">
        <f t="shared" si="171"/>
        <v>2</v>
      </c>
      <c r="I397" s="44">
        <f t="shared" ca="1" si="188"/>
        <v>38</v>
      </c>
      <c r="J397">
        <f t="shared" si="172"/>
        <v>2</v>
      </c>
      <c r="K397" s="36">
        <f t="shared" ca="1" si="173"/>
        <v>164.28571428571428</v>
      </c>
      <c r="L397" s="10">
        <f ca="1">AH397*VLOOKUP(C397,技能辅助查询表,技能配置辅助表!$T$1,FALSE)</f>
        <v>0</v>
      </c>
      <c r="M397">
        <f t="shared" ca="1" si="174"/>
        <v>4960</v>
      </c>
      <c r="N397" s="33">
        <f ca="1">CHOOSE(1,W397*U397,X397*'[1]0、经济设定'!$C$18)</f>
        <v>109578</v>
      </c>
      <c r="O397">
        <f t="shared" si="175"/>
        <v>4</v>
      </c>
      <c r="P397">
        <f t="shared" si="176"/>
        <v>1</v>
      </c>
      <c r="Q397">
        <f t="shared" si="177"/>
        <v>1</v>
      </c>
      <c r="R397" s="2">
        <f t="shared" si="178"/>
        <v>8</v>
      </c>
      <c r="S397" s="2">
        <f t="shared" si="179"/>
        <v>50</v>
      </c>
      <c r="T397" s="2">
        <f t="shared" si="180"/>
        <v>119.04761904761905</v>
      </c>
      <c r="U397" s="2">
        <f ca="1">VLOOKUP(E397,金币生产率!$A$2:$B$120,2,0)</f>
        <v>2609</v>
      </c>
      <c r="V397" s="2">
        <f t="shared" si="181"/>
        <v>119.04761904761905</v>
      </c>
      <c r="W397" s="45">
        <f t="shared" ca="1" si="194"/>
        <v>42</v>
      </c>
      <c r="X397" s="48">
        <f t="shared" ca="1" si="195"/>
        <v>595</v>
      </c>
      <c r="Y397">
        <f t="shared" si="182"/>
        <v>18</v>
      </c>
      <c r="Z397">
        <f t="shared" ca="1" si="189"/>
        <v>17</v>
      </c>
      <c r="AA397" t="str">
        <f t="shared" ca="1" si="190"/>
        <v>9124200.png</v>
      </c>
      <c r="AB397">
        <f t="shared" si="183"/>
        <v>20</v>
      </c>
      <c r="AC397">
        <f>VLOOKUP(C397,技能辅助查询表,技能配置辅助表!$W$1,FALSE)</f>
        <v>964</v>
      </c>
      <c r="AD397">
        <f t="shared" ca="1" si="191"/>
        <v>205.98427022719392</v>
      </c>
      <c r="AE397">
        <f>VLOOKUP(C397,技能辅助查询表,技能配置辅助表!$U$1,FALSE)</f>
        <v>4</v>
      </c>
      <c r="AF397">
        <f t="shared" ca="1" si="192"/>
        <v>9124238</v>
      </c>
      <c r="AG397">
        <f t="shared" ca="1" si="196"/>
        <v>62.367346938775512</v>
      </c>
      <c r="AH397">
        <f t="shared" ca="1" si="193"/>
        <v>1602.0998795448415</v>
      </c>
      <c r="AI397">
        <f ca="1">VLOOKUP(E397,伤害参考系!$C$4:$E$104,3,FALSE)*$AN$12</f>
        <v>11946.449897157196</v>
      </c>
      <c r="AJ397">
        <f>VLOOKUP(C397,技能辅助查询表,技能配置辅助表!$L$1,FALSE)</f>
        <v>1</v>
      </c>
      <c r="AK397">
        <f>VLOOKUP(C397,技能辅助查询表,技能配置辅助表!$AE$1,FALSE)</f>
        <v>66000009</v>
      </c>
    </row>
    <row r="398" spans="1:37" x14ac:dyDescent="0.15">
      <c r="A398" s="1">
        <f t="shared" ca="1" si="184"/>
        <v>9124239</v>
      </c>
      <c r="B398" s="1" t="str">
        <f t="shared" ca="1" si="169"/>
        <v>裂空·斩第2段</v>
      </c>
      <c r="C398" t="s">
        <v>157</v>
      </c>
      <c r="D398">
        <f t="shared" si="170"/>
        <v>1</v>
      </c>
      <c r="E398" s="42">
        <f t="shared" ca="1" si="185"/>
        <v>64</v>
      </c>
      <c r="F398" t="str">
        <f t="shared" ca="1" si="186"/>
        <v>第39级，共造成165.5%点伤害</v>
      </c>
      <c r="G398">
        <f t="shared" ca="1" si="187"/>
        <v>2</v>
      </c>
      <c r="H398">
        <f t="shared" si="171"/>
        <v>2</v>
      </c>
      <c r="I398" s="44">
        <f t="shared" ca="1" si="188"/>
        <v>39</v>
      </c>
      <c r="J398">
        <f t="shared" si="172"/>
        <v>2</v>
      </c>
      <c r="K398" s="36">
        <f t="shared" ca="1" si="173"/>
        <v>165.47619047619048</v>
      </c>
      <c r="L398" s="10">
        <f ca="1">AH398*VLOOKUP(C398,技能辅助查询表,技能配置辅助表!$T$1,FALSE)</f>
        <v>0</v>
      </c>
      <c r="M398">
        <f t="shared" ca="1" si="174"/>
        <v>4880</v>
      </c>
      <c r="N398" s="33">
        <f ca="1">CHOOSE(1,W398*U398,X398*'[1]0、经济设定'!$C$18)</f>
        <v>121275</v>
      </c>
      <c r="O398">
        <f t="shared" si="175"/>
        <v>4</v>
      </c>
      <c r="P398">
        <f t="shared" si="176"/>
        <v>1</v>
      </c>
      <c r="Q398">
        <f t="shared" si="177"/>
        <v>1</v>
      </c>
      <c r="R398" s="2">
        <f t="shared" si="178"/>
        <v>8</v>
      </c>
      <c r="S398" s="2">
        <f t="shared" si="179"/>
        <v>50</v>
      </c>
      <c r="T398" s="2">
        <f t="shared" si="180"/>
        <v>119.04761904761905</v>
      </c>
      <c r="U398" s="2">
        <f ca="1">VLOOKUP(E398,金币生产率!$A$2:$B$120,2,0)</f>
        <v>2695</v>
      </c>
      <c r="V398" s="2">
        <f t="shared" si="181"/>
        <v>119.04761904761905</v>
      </c>
      <c r="W398" s="45">
        <f t="shared" ca="1" si="194"/>
        <v>45</v>
      </c>
      <c r="X398" s="48">
        <f t="shared" ca="1" si="195"/>
        <v>640</v>
      </c>
      <c r="Y398">
        <f t="shared" si="182"/>
        <v>18</v>
      </c>
      <c r="Z398">
        <f t="shared" ca="1" si="189"/>
        <v>18</v>
      </c>
      <c r="AA398" t="str">
        <f t="shared" ca="1" si="190"/>
        <v>9124200.png</v>
      </c>
      <c r="AB398">
        <f t="shared" si="183"/>
        <v>20</v>
      </c>
      <c r="AC398">
        <f>VLOOKUP(C398,技能辅助查询表,技能配置辅助表!$W$1,FALSE)</f>
        <v>964</v>
      </c>
      <c r="AD398">
        <f t="shared" ca="1" si="191"/>
        <v>238.85315441388576</v>
      </c>
      <c r="AE398">
        <f>VLOOKUP(C398,技能辅助查询表,技能配置辅助表!$U$1,FALSE)</f>
        <v>4</v>
      </c>
      <c r="AF398">
        <f t="shared" ca="1" si="192"/>
        <v>9124239</v>
      </c>
      <c r="AG398">
        <f t="shared" ca="1" si="196"/>
        <v>63.836734693877553</v>
      </c>
      <c r="AH398">
        <f t="shared" ca="1" si="193"/>
        <v>1823.9695427969455</v>
      </c>
      <c r="AI398">
        <f ca="1">VLOOKUP(E398,伤害参考系!$C$4:$E$104,3,FALSE)*$AN$12</f>
        <v>12506.737545150507</v>
      </c>
      <c r="AJ398">
        <f>VLOOKUP(C398,技能辅助查询表,技能配置辅助表!$L$1,FALSE)</f>
        <v>1</v>
      </c>
      <c r="AK398">
        <f>VLOOKUP(C398,技能辅助查询表,技能配置辅助表!$AE$1,FALSE)</f>
        <v>66000009</v>
      </c>
    </row>
    <row r="399" spans="1:37" x14ac:dyDescent="0.15">
      <c r="A399" s="1">
        <f t="shared" ca="1" si="184"/>
        <v>9124240</v>
      </c>
      <c r="B399" s="1" t="str">
        <f t="shared" ca="1" si="169"/>
        <v>裂空·斩第2段</v>
      </c>
      <c r="C399" t="s">
        <v>157</v>
      </c>
      <c r="D399">
        <f t="shared" si="170"/>
        <v>1</v>
      </c>
      <c r="E399" s="42">
        <f t="shared" ca="1" si="185"/>
        <v>66</v>
      </c>
      <c r="F399" t="str">
        <f t="shared" ca="1" si="186"/>
        <v>第40级，共造成166.7%点伤害</v>
      </c>
      <c r="G399">
        <f t="shared" ca="1" si="187"/>
        <v>2</v>
      </c>
      <c r="H399">
        <f t="shared" si="171"/>
        <v>2</v>
      </c>
      <c r="I399" s="44">
        <f t="shared" ca="1" si="188"/>
        <v>40</v>
      </c>
      <c r="J399">
        <f t="shared" si="172"/>
        <v>2</v>
      </c>
      <c r="K399" s="36">
        <f t="shared" ca="1" si="173"/>
        <v>166.66666666666669</v>
      </c>
      <c r="L399" s="10">
        <f ca="1">AH399*VLOOKUP(C399,技能辅助查询表,技能配置辅助表!$T$1,FALSE)</f>
        <v>0</v>
      </c>
      <c r="M399">
        <f t="shared" ca="1" si="174"/>
        <v>4800</v>
      </c>
      <c r="N399" s="33">
        <f ca="1">CHOOSE(1,W399*U399,X399*'[1]0、经济设定'!$C$18)</f>
        <v>137856</v>
      </c>
      <c r="O399">
        <f t="shared" si="175"/>
        <v>4</v>
      </c>
      <c r="P399">
        <f t="shared" si="176"/>
        <v>1</v>
      </c>
      <c r="Q399">
        <f t="shared" si="177"/>
        <v>1</v>
      </c>
      <c r="R399" s="2">
        <f t="shared" si="178"/>
        <v>8</v>
      </c>
      <c r="S399" s="2">
        <f t="shared" si="179"/>
        <v>50</v>
      </c>
      <c r="T399" s="2">
        <f t="shared" si="180"/>
        <v>119.04761904761905</v>
      </c>
      <c r="U399" s="2">
        <f ca="1">VLOOKUP(E399,金币生产率!$A$2:$B$120,2,0)</f>
        <v>2872</v>
      </c>
      <c r="V399" s="2">
        <f t="shared" si="181"/>
        <v>119.04761904761905</v>
      </c>
      <c r="W399" s="45">
        <f t="shared" ca="1" si="194"/>
        <v>48</v>
      </c>
      <c r="X399" s="48">
        <f t="shared" ca="1" si="195"/>
        <v>688</v>
      </c>
      <c r="Y399">
        <f t="shared" si="182"/>
        <v>18</v>
      </c>
      <c r="Z399">
        <f t="shared" ca="1" si="189"/>
        <v>20</v>
      </c>
      <c r="AA399" t="str">
        <f t="shared" ca="1" si="190"/>
        <v>9124200.png</v>
      </c>
      <c r="AB399">
        <f t="shared" si="183"/>
        <v>20</v>
      </c>
      <c r="AC399">
        <f>VLOOKUP(C399,技能辅助查询表,技能配置辅助表!$W$1,FALSE)</f>
        <v>964</v>
      </c>
      <c r="AD399">
        <f t="shared" ca="1" si="191"/>
        <v>276.8753630180301</v>
      </c>
      <c r="AE399">
        <f>VLOOKUP(C399,技能辅助查询表,技能配置辅助表!$U$1,FALSE)</f>
        <v>4</v>
      </c>
      <c r="AF399">
        <f t="shared" ca="1" si="192"/>
        <v>9124240</v>
      </c>
      <c r="AG399">
        <f t="shared" ca="1" si="196"/>
        <v>65.306122448979593</v>
      </c>
      <c r="AH399">
        <f t="shared" ca="1" si="193"/>
        <v>2076.5652226352254</v>
      </c>
      <c r="AI399">
        <f ca="1">VLOOKUP(E399,伤害参考系!$C$4:$E$104,3,FALSE)*$AN$12</f>
        <v>13664.798729096996</v>
      </c>
      <c r="AJ399">
        <f>VLOOKUP(C399,技能辅助查询表,技能配置辅助表!$L$1,FALSE)</f>
        <v>1</v>
      </c>
      <c r="AK399">
        <f>VLOOKUP(C399,技能辅助查询表,技能配置辅助表!$AE$1,FALSE)</f>
        <v>66000009</v>
      </c>
    </row>
    <row r="400" spans="1:37" x14ac:dyDescent="0.15">
      <c r="A400" s="1">
        <f t="shared" ca="1" si="184"/>
        <v>9124241</v>
      </c>
      <c r="B400" s="1" t="str">
        <f t="shared" ca="1" si="169"/>
        <v>裂空·斩第2段</v>
      </c>
      <c r="C400" t="s">
        <v>157</v>
      </c>
      <c r="D400">
        <f t="shared" si="170"/>
        <v>1</v>
      </c>
      <c r="E400" s="42">
        <f t="shared" ca="1" si="185"/>
        <v>67</v>
      </c>
      <c r="F400" t="str">
        <f t="shared" ca="1" si="186"/>
        <v>第41级，共造成167.9%点伤害</v>
      </c>
      <c r="G400">
        <f t="shared" ca="1" si="187"/>
        <v>2</v>
      </c>
      <c r="H400">
        <f t="shared" si="171"/>
        <v>2</v>
      </c>
      <c r="I400" s="44">
        <f t="shared" ca="1" si="188"/>
        <v>41</v>
      </c>
      <c r="J400">
        <f t="shared" si="172"/>
        <v>2</v>
      </c>
      <c r="K400" s="36">
        <f t="shared" ca="1" si="173"/>
        <v>167.85714285714286</v>
      </c>
      <c r="L400" s="10">
        <f ca="1">AH400*VLOOKUP(C400,技能辅助查询表,技能配置辅助表!$T$1,FALSE)</f>
        <v>0</v>
      </c>
      <c r="M400">
        <f t="shared" ca="1" si="174"/>
        <v>4720</v>
      </c>
      <c r="N400" s="33">
        <f ca="1">CHOOSE(1,W400*U400,X400*'[1]0、经济设定'!$C$18)</f>
        <v>151113</v>
      </c>
      <c r="O400">
        <f t="shared" si="175"/>
        <v>4</v>
      </c>
      <c r="P400">
        <f t="shared" si="176"/>
        <v>1</v>
      </c>
      <c r="Q400">
        <f t="shared" si="177"/>
        <v>1</v>
      </c>
      <c r="R400" s="2">
        <f t="shared" si="178"/>
        <v>8</v>
      </c>
      <c r="S400" s="2">
        <f t="shared" si="179"/>
        <v>50</v>
      </c>
      <c r="T400" s="2">
        <f t="shared" si="180"/>
        <v>119.04761904761905</v>
      </c>
      <c r="U400" s="2">
        <f ca="1">VLOOKUP(E400,金币生产率!$A$2:$B$120,2,0)</f>
        <v>2963</v>
      </c>
      <c r="V400" s="2">
        <f t="shared" si="181"/>
        <v>119.04761904761905</v>
      </c>
      <c r="W400" s="45">
        <f t="shared" ca="1" si="194"/>
        <v>51</v>
      </c>
      <c r="X400" s="48">
        <f t="shared" ca="1" si="195"/>
        <v>739</v>
      </c>
      <c r="Y400">
        <f t="shared" si="182"/>
        <v>18</v>
      </c>
      <c r="Z400">
        <f t="shared" ca="1" si="189"/>
        <v>21</v>
      </c>
      <c r="AA400" t="str">
        <f t="shared" ca="1" si="190"/>
        <v>9124200.png</v>
      </c>
      <c r="AB400">
        <f t="shared" si="183"/>
        <v>20</v>
      </c>
      <c r="AC400">
        <f>VLOOKUP(C400,技能辅助查询表,技能配置辅助表!$W$1,FALSE)</f>
        <v>964</v>
      </c>
      <c r="AD400">
        <f t="shared" ca="1" si="191"/>
        <v>320.84785186108957</v>
      </c>
      <c r="AE400">
        <f>VLOOKUP(C400,技能辅助查询表,技能配置辅助表!$U$1,FALSE)</f>
        <v>4</v>
      </c>
      <c r="AF400">
        <f t="shared" ca="1" si="192"/>
        <v>9124241</v>
      </c>
      <c r="AG400">
        <f t="shared" ca="1" si="196"/>
        <v>66.775510204081627</v>
      </c>
      <c r="AH400">
        <f t="shared" ca="1" si="193"/>
        <v>2364.1420663448707</v>
      </c>
      <c r="AI400">
        <f ca="1">VLOOKUP(E400,伤害参考系!$C$4:$E$104,3,FALSE)*$AN$12</f>
        <v>14262.572265050176</v>
      </c>
      <c r="AJ400">
        <f>VLOOKUP(C400,技能辅助查询表,技能配置辅助表!$L$1,FALSE)</f>
        <v>1</v>
      </c>
      <c r="AK400">
        <f>VLOOKUP(C400,技能辅助查询表,技能配置辅助表!$AE$1,FALSE)</f>
        <v>66000009</v>
      </c>
    </row>
    <row r="401" spans="1:37" x14ac:dyDescent="0.15">
      <c r="A401" s="1">
        <f t="shared" ca="1" si="184"/>
        <v>9124242</v>
      </c>
      <c r="B401" s="1" t="str">
        <f t="shared" ca="1" si="169"/>
        <v>裂空·斩第2段</v>
      </c>
      <c r="C401" t="s">
        <v>157</v>
      </c>
      <c r="D401">
        <f t="shared" si="170"/>
        <v>1</v>
      </c>
      <c r="E401" s="42">
        <f t="shared" ca="1" si="185"/>
        <v>68</v>
      </c>
      <c r="F401" t="str">
        <f t="shared" ca="1" si="186"/>
        <v>第42级，共造成169%点伤害</v>
      </c>
      <c r="G401">
        <f t="shared" ca="1" si="187"/>
        <v>2</v>
      </c>
      <c r="H401">
        <f t="shared" si="171"/>
        <v>2</v>
      </c>
      <c r="I401" s="44">
        <f t="shared" ca="1" si="188"/>
        <v>42</v>
      </c>
      <c r="J401">
        <f t="shared" si="172"/>
        <v>2</v>
      </c>
      <c r="K401" s="36">
        <f t="shared" ca="1" si="173"/>
        <v>169.04761904761904</v>
      </c>
      <c r="L401" s="10">
        <f ca="1">AH401*VLOOKUP(C401,技能辅助查询表,技能配置辅助表!$T$1,FALSE)</f>
        <v>0</v>
      </c>
      <c r="M401">
        <f t="shared" ca="1" si="174"/>
        <v>4640</v>
      </c>
      <c r="N401" s="33">
        <f ca="1">CHOOSE(1,W401*U401,X401*'[1]0、经济设定'!$C$18)</f>
        <v>167970</v>
      </c>
      <c r="O401">
        <f t="shared" si="175"/>
        <v>4</v>
      </c>
      <c r="P401">
        <f t="shared" si="176"/>
        <v>1</v>
      </c>
      <c r="Q401">
        <f t="shared" si="177"/>
        <v>1</v>
      </c>
      <c r="R401" s="2">
        <f t="shared" si="178"/>
        <v>8</v>
      </c>
      <c r="S401" s="2">
        <f t="shared" si="179"/>
        <v>50</v>
      </c>
      <c r="T401" s="2">
        <f t="shared" si="180"/>
        <v>119.04761904761905</v>
      </c>
      <c r="U401" s="2">
        <f ca="1">VLOOKUP(E401,金币生产率!$A$2:$B$120,2,0)</f>
        <v>3054</v>
      </c>
      <c r="V401" s="2">
        <f t="shared" si="181"/>
        <v>119.04761904761905</v>
      </c>
      <c r="W401" s="45">
        <f t="shared" ca="1" si="194"/>
        <v>55</v>
      </c>
      <c r="X401" s="48">
        <f t="shared" ca="1" si="195"/>
        <v>794</v>
      </c>
      <c r="Y401">
        <f t="shared" si="182"/>
        <v>18</v>
      </c>
      <c r="Z401">
        <f t="shared" ca="1" si="189"/>
        <v>22</v>
      </c>
      <c r="AA401" t="str">
        <f t="shared" ca="1" si="190"/>
        <v>9124200.png</v>
      </c>
      <c r="AB401">
        <f t="shared" si="183"/>
        <v>20</v>
      </c>
      <c r="AC401">
        <f>VLOOKUP(C401,技能辅助查询表,技能配置辅助表!$W$1,FALSE)</f>
        <v>964</v>
      </c>
      <c r="AD401">
        <f t="shared" ca="1" si="191"/>
        <v>371.68947896952648</v>
      </c>
      <c r="AE401">
        <f>VLOOKUP(C401,技能辅助查询表,技能配置辅助表!$U$1,FALSE)</f>
        <v>4</v>
      </c>
      <c r="AF401">
        <f t="shared" ca="1" si="192"/>
        <v>9124242</v>
      </c>
      <c r="AG401">
        <f t="shared" ca="1" si="196"/>
        <v>68.244897959183675</v>
      </c>
      <c r="AH401">
        <f t="shared" ca="1" si="193"/>
        <v>2691.5445028827789</v>
      </c>
      <c r="AI401">
        <f ca="1">VLOOKUP(E401,伤害参考系!$C$4:$E$104,3,FALSE)*$AN$12</f>
        <v>14872.841096989978</v>
      </c>
      <c r="AJ401">
        <f>VLOOKUP(C401,技能辅助查询表,技能配置辅助表!$L$1,FALSE)</f>
        <v>1</v>
      </c>
      <c r="AK401">
        <f>VLOOKUP(C401,技能辅助查询表,技能配置辅助表!$AE$1,FALSE)</f>
        <v>66000009</v>
      </c>
    </row>
    <row r="402" spans="1:37" x14ac:dyDescent="0.15">
      <c r="A402" s="1">
        <f t="shared" ca="1" si="184"/>
        <v>9124243</v>
      </c>
      <c r="B402" s="1" t="str">
        <f t="shared" ca="1" si="169"/>
        <v>裂空·斩第2段</v>
      </c>
      <c r="C402" t="s">
        <v>157</v>
      </c>
      <c r="D402">
        <f t="shared" si="170"/>
        <v>1</v>
      </c>
      <c r="E402" s="42">
        <f t="shared" ca="1" si="185"/>
        <v>70</v>
      </c>
      <c r="F402" t="str">
        <f t="shared" ca="1" si="186"/>
        <v>第43级，共造成170.2%点伤害</v>
      </c>
      <c r="G402">
        <f t="shared" ca="1" si="187"/>
        <v>2</v>
      </c>
      <c r="H402">
        <f t="shared" si="171"/>
        <v>2</v>
      </c>
      <c r="I402" s="44">
        <f t="shared" ca="1" si="188"/>
        <v>43</v>
      </c>
      <c r="J402">
        <f t="shared" si="172"/>
        <v>2</v>
      </c>
      <c r="K402" s="36">
        <f t="shared" ca="1" si="173"/>
        <v>170.23809523809524</v>
      </c>
      <c r="L402" s="10">
        <f ca="1">AH402*VLOOKUP(C402,技能辅助查询表,技能配置辅助表!$T$1,FALSE)</f>
        <v>0</v>
      </c>
      <c r="M402">
        <f t="shared" ca="1" si="174"/>
        <v>4560</v>
      </c>
      <c r="N402" s="33">
        <f ca="1">CHOOSE(1,W402*U402,X402*'[1]0、经济设定'!$C$18)</f>
        <v>191278</v>
      </c>
      <c r="O402">
        <f t="shared" si="175"/>
        <v>4</v>
      </c>
      <c r="P402">
        <f t="shared" si="176"/>
        <v>1</v>
      </c>
      <c r="Q402">
        <f t="shared" si="177"/>
        <v>1</v>
      </c>
      <c r="R402" s="2">
        <f t="shared" si="178"/>
        <v>8</v>
      </c>
      <c r="S402" s="2">
        <f t="shared" si="179"/>
        <v>50</v>
      </c>
      <c r="T402" s="2">
        <f t="shared" si="180"/>
        <v>119.04761904761905</v>
      </c>
      <c r="U402" s="2">
        <f ca="1">VLOOKUP(E402,金币生产率!$A$2:$B$120,2,0)</f>
        <v>3242</v>
      </c>
      <c r="V402" s="2">
        <f t="shared" si="181"/>
        <v>119.04761904761905</v>
      </c>
      <c r="W402" s="45">
        <f t="shared" ca="1" si="194"/>
        <v>59</v>
      </c>
      <c r="X402" s="48">
        <f t="shared" ca="1" si="195"/>
        <v>853</v>
      </c>
      <c r="Y402">
        <f t="shared" si="182"/>
        <v>18</v>
      </c>
      <c r="Z402">
        <f t="shared" ca="1" si="189"/>
        <v>24</v>
      </c>
      <c r="AA402" t="str">
        <f t="shared" ca="1" si="190"/>
        <v>9124200.png</v>
      </c>
      <c r="AB402">
        <f t="shared" si="183"/>
        <v>20</v>
      </c>
      <c r="AC402">
        <f>VLOOKUP(C402,技能辅助查询表,技能配置辅助表!$W$1,FALSE)</f>
        <v>964</v>
      </c>
      <c r="AD402">
        <f t="shared" ca="1" si="191"/>
        <v>430.45948377509148</v>
      </c>
      <c r="AE402">
        <f>VLOOKUP(C402,技能辅助查询表,技能配置辅助表!$U$1,FALSE)</f>
        <v>4</v>
      </c>
      <c r="AF402">
        <f t="shared" ca="1" si="192"/>
        <v>9124243</v>
      </c>
      <c r="AG402">
        <f t="shared" ca="1" si="196"/>
        <v>69.714285714285722</v>
      </c>
      <c r="AH402">
        <f t="shared" ca="1" si="193"/>
        <v>3064.2878506023458</v>
      </c>
      <c r="AI402">
        <f ca="1">VLOOKUP(E402,伤害参考系!$C$4:$E$104,3,FALSE)*$AN$12</f>
        <v>16191.966408862889</v>
      </c>
      <c r="AJ402">
        <f>VLOOKUP(C402,技能辅助查询表,技能配置辅助表!$L$1,FALSE)</f>
        <v>1</v>
      </c>
      <c r="AK402">
        <f>VLOOKUP(C402,技能辅助查询表,技能配置辅助表!$AE$1,FALSE)</f>
        <v>66000009</v>
      </c>
    </row>
    <row r="403" spans="1:37" x14ac:dyDescent="0.15">
      <c r="A403" s="1">
        <f t="shared" ca="1" si="184"/>
        <v>9124244</v>
      </c>
      <c r="B403" s="1" t="str">
        <f t="shared" ca="1" si="169"/>
        <v>裂空·斩第2段</v>
      </c>
      <c r="C403" t="s">
        <v>157</v>
      </c>
      <c r="D403">
        <f t="shared" si="170"/>
        <v>1</v>
      </c>
      <c r="E403" s="42">
        <f t="shared" ca="1" si="185"/>
        <v>71</v>
      </c>
      <c r="F403" t="str">
        <f t="shared" ca="1" si="186"/>
        <v>第44级，共造成171.4%点伤害</v>
      </c>
      <c r="G403">
        <f t="shared" ca="1" si="187"/>
        <v>2</v>
      </c>
      <c r="H403">
        <f t="shared" si="171"/>
        <v>2</v>
      </c>
      <c r="I403" s="44">
        <f t="shared" ca="1" si="188"/>
        <v>44</v>
      </c>
      <c r="J403">
        <f t="shared" si="172"/>
        <v>2</v>
      </c>
      <c r="K403" s="36">
        <f t="shared" ca="1" si="173"/>
        <v>171.42857142857144</v>
      </c>
      <c r="L403" s="10">
        <f ca="1">AH403*VLOOKUP(C403,技能辅助查询表,技能配置辅助表!$T$1,FALSE)</f>
        <v>0</v>
      </c>
      <c r="M403">
        <f t="shared" ca="1" si="174"/>
        <v>4480</v>
      </c>
      <c r="N403" s="33">
        <f ca="1">CHOOSE(1,W403*U403,X403*'[1]0、经济设定'!$C$18)</f>
        <v>210294</v>
      </c>
      <c r="O403">
        <f t="shared" si="175"/>
        <v>4</v>
      </c>
      <c r="P403">
        <f t="shared" si="176"/>
        <v>1</v>
      </c>
      <c r="Q403">
        <f t="shared" si="177"/>
        <v>1</v>
      </c>
      <c r="R403" s="2">
        <f t="shared" si="178"/>
        <v>8</v>
      </c>
      <c r="S403" s="2">
        <f t="shared" si="179"/>
        <v>50</v>
      </c>
      <c r="T403" s="2">
        <f t="shared" si="180"/>
        <v>119.04761904761905</v>
      </c>
      <c r="U403" s="2">
        <f ca="1">VLOOKUP(E403,金币生产率!$A$2:$B$120,2,0)</f>
        <v>3338</v>
      </c>
      <c r="V403" s="2">
        <f t="shared" si="181"/>
        <v>119.04761904761905</v>
      </c>
      <c r="W403" s="45">
        <f t="shared" ca="1" si="194"/>
        <v>63</v>
      </c>
      <c r="X403" s="48">
        <f t="shared" ca="1" si="195"/>
        <v>916</v>
      </c>
      <c r="Y403">
        <f t="shared" si="182"/>
        <v>18</v>
      </c>
      <c r="Z403">
        <f t="shared" ca="1" si="189"/>
        <v>26</v>
      </c>
      <c r="AA403" t="str">
        <f t="shared" ca="1" si="190"/>
        <v>9124200.png</v>
      </c>
      <c r="AB403">
        <f t="shared" si="183"/>
        <v>20</v>
      </c>
      <c r="AC403">
        <f>VLOOKUP(C403,技能辅助查询表,技能配置辅助表!$W$1,FALSE)</f>
        <v>964</v>
      </c>
      <c r="AD403">
        <f t="shared" ca="1" si="191"/>
        <v>498.37874665282482</v>
      </c>
      <c r="AE403">
        <f>VLOOKUP(C403,技能辅助查询表,技能配置辅助表!$U$1,FALSE)</f>
        <v>4</v>
      </c>
      <c r="AF403">
        <f t="shared" ca="1" si="192"/>
        <v>9124244</v>
      </c>
      <c r="AG403">
        <f t="shared" ca="1" si="196"/>
        <v>71.183673469387756</v>
      </c>
      <c r="AH403">
        <f t="shared" ca="1" si="193"/>
        <v>3488.6512265697725</v>
      </c>
      <c r="AI403">
        <f ca="1">VLOOKUP(E403,伤害参考系!$C$4:$E$104,3,FALSE)*$AN$12</f>
        <v>16902.905438127098</v>
      </c>
      <c r="AJ403">
        <f>VLOOKUP(C403,技能辅助查询表,技能配置辅助表!$L$1,FALSE)</f>
        <v>1</v>
      </c>
      <c r="AK403">
        <f>VLOOKUP(C403,技能辅助查询表,技能配置辅助表!$AE$1,FALSE)</f>
        <v>66000009</v>
      </c>
    </row>
    <row r="404" spans="1:37" x14ac:dyDescent="0.15">
      <c r="A404" s="1">
        <f t="shared" ca="1" si="184"/>
        <v>9124245</v>
      </c>
      <c r="B404" s="1" t="str">
        <f t="shared" ca="1" si="169"/>
        <v>裂空·斩第2段</v>
      </c>
      <c r="C404" t="s">
        <v>157</v>
      </c>
      <c r="D404">
        <f t="shared" si="170"/>
        <v>1</v>
      </c>
      <c r="E404" s="42">
        <f t="shared" ca="1" si="185"/>
        <v>73</v>
      </c>
      <c r="F404" t="str">
        <f t="shared" ca="1" si="186"/>
        <v>第45级，共造成172.6%点伤害</v>
      </c>
      <c r="G404">
        <f t="shared" ca="1" si="187"/>
        <v>2</v>
      </c>
      <c r="H404">
        <f t="shared" si="171"/>
        <v>2</v>
      </c>
      <c r="I404" s="44">
        <f t="shared" ca="1" si="188"/>
        <v>45</v>
      </c>
      <c r="J404">
        <f t="shared" si="172"/>
        <v>2</v>
      </c>
      <c r="K404" s="36">
        <f t="shared" ca="1" si="173"/>
        <v>172.61904761904762</v>
      </c>
      <c r="L404" s="10">
        <f ca="1">AH404*VLOOKUP(C404,技能辅助查询表,技能配置辅助表!$T$1,FALSE)</f>
        <v>0</v>
      </c>
      <c r="M404">
        <f t="shared" ca="1" si="174"/>
        <v>4400</v>
      </c>
      <c r="N404" s="33">
        <f ca="1">CHOOSE(1,W404*U404,X404*'[1]0、经济设定'!$C$18)</f>
        <v>240312</v>
      </c>
      <c r="O404">
        <f t="shared" si="175"/>
        <v>4</v>
      </c>
      <c r="P404">
        <f t="shared" si="176"/>
        <v>1</v>
      </c>
      <c r="Q404">
        <f t="shared" si="177"/>
        <v>1</v>
      </c>
      <c r="R404" s="2">
        <f t="shared" si="178"/>
        <v>8</v>
      </c>
      <c r="S404" s="2">
        <f t="shared" si="179"/>
        <v>50</v>
      </c>
      <c r="T404" s="2">
        <f t="shared" si="180"/>
        <v>119.04761904761905</v>
      </c>
      <c r="U404" s="2">
        <f ca="1">VLOOKUP(E404,金币生产率!$A$2:$B$120,2,0)</f>
        <v>3534</v>
      </c>
      <c r="V404" s="2">
        <f t="shared" si="181"/>
        <v>119.04761904761905</v>
      </c>
      <c r="W404" s="45">
        <f t="shared" ca="1" si="194"/>
        <v>68</v>
      </c>
      <c r="X404" s="48">
        <f t="shared" ca="1" si="195"/>
        <v>984</v>
      </c>
      <c r="Y404">
        <f t="shared" si="182"/>
        <v>18</v>
      </c>
      <c r="Z404">
        <f t="shared" ca="1" si="189"/>
        <v>28</v>
      </c>
      <c r="AA404" t="str">
        <f t="shared" ca="1" si="190"/>
        <v>9124200.png</v>
      </c>
      <c r="AB404">
        <f t="shared" si="183"/>
        <v>20</v>
      </c>
      <c r="AC404">
        <f>VLOOKUP(C404,技能辅助查询表,技能配置辅助表!$W$1,FALSE)</f>
        <v>964</v>
      </c>
      <c r="AD404">
        <f t="shared" ca="1" si="191"/>
        <v>576.85424447184187</v>
      </c>
      <c r="AE404">
        <f>VLOOKUP(C404,技能辅助查询表,技能配置辅助表!$U$1,FALSE)</f>
        <v>4</v>
      </c>
      <c r="AF404">
        <f t="shared" ca="1" si="192"/>
        <v>9124245</v>
      </c>
      <c r="AG404">
        <f t="shared" ca="1" si="196"/>
        <v>72.65306122448979</v>
      </c>
      <c r="AH404">
        <f t="shared" ca="1" si="193"/>
        <v>3971.7833225930094</v>
      </c>
      <c r="AI404">
        <f ca="1">VLOOKUP(E404,伤害参考系!$C$4:$E$104,3,FALSE)*$AN$12</f>
        <v>18368.517032608706</v>
      </c>
      <c r="AJ404">
        <f>VLOOKUP(C404,技能辅助查询表,技能配置辅助表!$L$1,FALSE)</f>
        <v>1</v>
      </c>
      <c r="AK404">
        <f>VLOOKUP(C404,技能辅助查询表,技能配置辅助表!$AE$1,FALSE)</f>
        <v>66000009</v>
      </c>
    </row>
    <row r="405" spans="1:37" x14ac:dyDescent="0.15">
      <c r="A405" s="1">
        <f t="shared" ca="1" si="184"/>
        <v>9124246</v>
      </c>
      <c r="B405" s="1" t="str">
        <f t="shared" ca="1" si="169"/>
        <v>裂空·斩第2段</v>
      </c>
      <c r="C405" t="s">
        <v>157</v>
      </c>
      <c r="D405">
        <f t="shared" si="170"/>
        <v>1</v>
      </c>
      <c r="E405" s="42">
        <f t="shared" ca="1" si="185"/>
        <v>74</v>
      </c>
      <c r="F405" t="str">
        <f t="shared" ca="1" si="186"/>
        <v>第46级，共造成173.8%点伤害</v>
      </c>
      <c r="G405">
        <f t="shared" ca="1" si="187"/>
        <v>2</v>
      </c>
      <c r="H405">
        <f t="shared" si="171"/>
        <v>2</v>
      </c>
      <c r="I405" s="44">
        <f t="shared" ca="1" si="188"/>
        <v>46</v>
      </c>
      <c r="J405">
        <f t="shared" si="172"/>
        <v>2</v>
      </c>
      <c r="K405" s="36">
        <f t="shared" ca="1" si="173"/>
        <v>173.8095238095238</v>
      </c>
      <c r="L405" s="10">
        <f ca="1">AH405*VLOOKUP(C405,技能辅助查询表,技能配置辅助表!$T$1,FALSE)</f>
        <v>0</v>
      </c>
      <c r="M405">
        <f t="shared" ca="1" si="174"/>
        <v>4320</v>
      </c>
      <c r="N405" s="33">
        <f ca="1">CHOOSE(1,W405*U405,X405*'[1]0、经济设定'!$C$18)</f>
        <v>261648</v>
      </c>
      <c r="O405">
        <f t="shared" si="175"/>
        <v>4</v>
      </c>
      <c r="P405">
        <f t="shared" si="176"/>
        <v>1</v>
      </c>
      <c r="Q405">
        <f t="shared" si="177"/>
        <v>1</v>
      </c>
      <c r="R405" s="2">
        <f t="shared" si="178"/>
        <v>8</v>
      </c>
      <c r="S405" s="2">
        <f t="shared" si="179"/>
        <v>50</v>
      </c>
      <c r="T405" s="2">
        <f t="shared" si="180"/>
        <v>119.04761904761905</v>
      </c>
      <c r="U405" s="2">
        <f ca="1">VLOOKUP(E405,金币生产率!$A$2:$B$120,2,0)</f>
        <v>3634</v>
      </c>
      <c r="V405" s="2">
        <f t="shared" si="181"/>
        <v>119.04761904761905</v>
      </c>
      <c r="W405" s="45">
        <f t="shared" ca="1" si="194"/>
        <v>72</v>
      </c>
      <c r="X405" s="48">
        <f t="shared" ca="1" si="195"/>
        <v>1056</v>
      </c>
      <c r="Y405">
        <f t="shared" si="182"/>
        <v>18</v>
      </c>
      <c r="Z405">
        <f t="shared" ca="1" si="189"/>
        <v>29</v>
      </c>
      <c r="AA405" t="str">
        <f t="shared" ca="1" si="190"/>
        <v>9124200.png</v>
      </c>
      <c r="AB405">
        <f t="shared" si="183"/>
        <v>20</v>
      </c>
      <c r="AC405">
        <f>VLOOKUP(C405,技能辅助查询表,技能配置辅助表!$W$1,FALSE)</f>
        <v>964</v>
      </c>
      <c r="AD405">
        <f t="shared" ca="1" si="191"/>
        <v>667.50717964200942</v>
      </c>
      <c r="AE405">
        <f>VLOOKUP(C405,技能辅助查询表,技能配置辅助表!$U$1,FALSE)</f>
        <v>4</v>
      </c>
      <c r="AF405">
        <f t="shared" ca="1" si="192"/>
        <v>9124246</v>
      </c>
      <c r="AG405">
        <f t="shared" ca="1" si="196"/>
        <v>74.122448979591837</v>
      </c>
      <c r="AH405">
        <f t="shared" ca="1" si="193"/>
        <v>4521.8228298329677</v>
      </c>
      <c r="AI405">
        <f ca="1">VLOOKUP(E405,伤害参考系!$C$4:$E$104,3,FALSE)*$AN$12</f>
        <v>19123.189597826095</v>
      </c>
      <c r="AJ405">
        <f>VLOOKUP(C405,技能辅助查询表,技能配置辅助表!$L$1,FALSE)</f>
        <v>1</v>
      </c>
      <c r="AK405">
        <f>VLOOKUP(C405,技能辅助查询表,技能配置辅助表!$AE$1,FALSE)</f>
        <v>66000009</v>
      </c>
    </row>
    <row r="406" spans="1:37" x14ac:dyDescent="0.15">
      <c r="A406" s="1">
        <f t="shared" ca="1" si="184"/>
        <v>9124247</v>
      </c>
      <c r="B406" s="1" t="str">
        <f t="shared" ca="1" si="169"/>
        <v>裂空·斩第2段</v>
      </c>
      <c r="C406" t="s">
        <v>157</v>
      </c>
      <c r="D406">
        <f t="shared" si="170"/>
        <v>1</v>
      </c>
      <c r="E406" s="42">
        <f t="shared" ca="1" si="185"/>
        <v>76</v>
      </c>
      <c r="F406" t="str">
        <f t="shared" ca="1" si="186"/>
        <v>第47级，共造成175%点伤害</v>
      </c>
      <c r="G406">
        <f t="shared" ca="1" si="187"/>
        <v>2</v>
      </c>
      <c r="H406">
        <f t="shared" si="171"/>
        <v>2</v>
      </c>
      <c r="I406" s="44">
        <f t="shared" ca="1" si="188"/>
        <v>47</v>
      </c>
      <c r="J406">
        <f t="shared" si="172"/>
        <v>2</v>
      </c>
      <c r="K406" s="36">
        <f t="shared" ca="1" si="173"/>
        <v>175</v>
      </c>
      <c r="L406" s="10">
        <f ca="1">AH406*VLOOKUP(C406,技能辅助查询表,技能配置辅助表!$T$1,FALSE)</f>
        <v>0</v>
      </c>
      <c r="M406">
        <f t="shared" ca="1" si="174"/>
        <v>4240</v>
      </c>
      <c r="N406" s="33">
        <f ca="1">CHOOSE(1,W406*U406,X406*'[1]0、经济设定'!$C$18)</f>
        <v>295526</v>
      </c>
      <c r="O406">
        <f t="shared" si="175"/>
        <v>4</v>
      </c>
      <c r="P406">
        <f t="shared" si="176"/>
        <v>1</v>
      </c>
      <c r="Q406">
        <f t="shared" si="177"/>
        <v>1</v>
      </c>
      <c r="R406" s="2">
        <f t="shared" si="178"/>
        <v>8</v>
      </c>
      <c r="S406" s="2">
        <f t="shared" si="179"/>
        <v>50</v>
      </c>
      <c r="T406" s="2">
        <f t="shared" si="180"/>
        <v>119.04761904761905</v>
      </c>
      <c r="U406" s="2">
        <f ca="1">VLOOKUP(E406,金币生产率!$A$2:$B$120,2,0)</f>
        <v>3838</v>
      </c>
      <c r="V406" s="2">
        <f t="shared" si="181"/>
        <v>119.04761904761905</v>
      </c>
      <c r="W406" s="45">
        <f t="shared" ca="1" si="194"/>
        <v>77</v>
      </c>
      <c r="X406" s="48">
        <f t="shared" ca="1" si="195"/>
        <v>1133</v>
      </c>
      <c r="Y406">
        <f t="shared" si="182"/>
        <v>18</v>
      </c>
      <c r="Z406">
        <f t="shared" ca="1" si="189"/>
        <v>31</v>
      </c>
      <c r="AA406" t="str">
        <f t="shared" ca="1" si="190"/>
        <v>9124200.png</v>
      </c>
      <c r="AB406">
        <f t="shared" si="183"/>
        <v>20</v>
      </c>
      <c r="AC406">
        <f>VLOOKUP(C406,技能辅助查询表,技能配置辅助表!$W$1,FALSE)</f>
        <v>964</v>
      </c>
      <c r="AD406">
        <f t="shared" ca="1" si="191"/>
        <v>772.20533109481289</v>
      </c>
      <c r="AE406">
        <f>VLOOKUP(C406,技能辅助查询表,技能配置辅助表!$U$1,FALSE)</f>
        <v>4</v>
      </c>
      <c r="AF406">
        <f t="shared" ca="1" si="192"/>
        <v>9124247</v>
      </c>
      <c r="AG406">
        <f t="shared" ca="1" si="196"/>
        <v>75.591836734693871</v>
      </c>
      <c r="AH406">
        <f t="shared" ca="1" si="193"/>
        <v>5148.0355406320868</v>
      </c>
      <c r="AI406">
        <f ca="1">VLOOKUP(E406,伤害参考系!$C$4:$E$104,3,FALSE)*$AN$12</f>
        <v>20676.268264214057</v>
      </c>
      <c r="AJ406">
        <f>VLOOKUP(C406,技能辅助查询表,技能配置辅助表!$L$1,FALSE)</f>
        <v>1</v>
      </c>
      <c r="AK406">
        <f>VLOOKUP(C406,技能辅助查询表,技能配置辅助表!$AE$1,FALSE)</f>
        <v>66000009</v>
      </c>
    </row>
    <row r="407" spans="1:37" x14ac:dyDescent="0.15">
      <c r="A407" s="1">
        <f t="shared" ca="1" si="184"/>
        <v>9124248</v>
      </c>
      <c r="B407" s="1" t="str">
        <f t="shared" ca="1" si="169"/>
        <v>裂空·斩第2段</v>
      </c>
      <c r="C407" t="s">
        <v>157</v>
      </c>
      <c r="D407">
        <f t="shared" si="170"/>
        <v>1</v>
      </c>
      <c r="E407" s="42">
        <f t="shared" ca="1" si="185"/>
        <v>77</v>
      </c>
      <c r="F407" t="str">
        <f t="shared" ca="1" si="186"/>
        <v>第48级，共造成176.2%点伤害</v>
      </c>
      <c r="G407">
        <f t="shared" ca="1" si="187"/>
        <v>2</v>
      </c>
      <c r="H407">
        <f t="shared" si="171"/>
        <v>2</v>
      </c>
      <c r="I407" s="44">
        <f t="shared" ca="1" si="188"/>
        <v>48</v>
      </c>
      <c r="J407">
        <f t="shared" si="172"/>
        <v>2</v>
      </c>
      <c r="K407" s="36">
        <f t="shared" ca="1" si="173"/>
        <v>176.1904761904762</v>
      </c>
      <c r="L407" s="10">
        <f ca="1">AH407*VLOOKUP(C407,技能辅助查询表,技能配置辅助表!$T$1,FALSE)</f>
        <v>0</v>
      </c>
      <c r="M407">
        <f t="shared" ca="1" si="174"/>
        <v>4160</v>
      </c>
      <c r="N407" s="33">
        <f ca="1">CHOOSE(1,W407*U407,X407*'[1]0、经济设定'!$C$18)</f>
        <v>327186</v>
      </c>
      <c r="O407">
        <f t="shared" si="175"/>
        <v>4</v>
      </c>
      <c r="P407">
        <f t="shared" si="176"/>
        <v>1</v>
      </c>
      <c r="Q407">
        <f t="shared" si="177"/>
        <v>1</v>
      </c>
      <c r="R407" s="2">
        <f t="shared" si="178"/>
        <v>8</v>
      </c>
      <c r="S407" s="2">
        <f t="shared" si="179"/>
        <v>50</v>
      </c>
      <c r="T407" s="2">
        <f t="shared" si="180"/>
        <v>119.04761904761905</v>
      </c>
      <c r="U407" s="2">
        <f ca="1">VLOOKUP(E407,金币生产率!$A$2:$B$120,2,0)</f>
        <v>3942</v>
      </c>
      <c r="V407" s="2">
        <f t="shared" si="181"/>
        <v>119.04761904761905</v>
      </c>
      <c r="W407" s="45">
        <f t="shared" ca="1" si="194"/>
        <v>83</v>
      </c>
      <c r="X407" s="48">
        <f t="shared" ca="1" si="195"/>
        <v>1216</v>
      </c>
      <c r="Y407">
        <f t="shared" si="182"/>
        <v>18</v>
      </c>
      <c r="Z407">
        <f t="shared" ca="1" si="189"/>
        <v>34</v>
      </c>
      <c r="AA407" t="str">
        <f t="shared" ca="1" si="190"/>
        <v>9124200.png</v>
      </c>
      <c r="AB407">
        <f t="shared" si="183"/>
        <v>20</v>
      </c>
      <c r="AC407">
        <f>VLOOKUP(C407,技能辅助查询表,技能配置辅助表!$W$1,FALSE)</f>
        <v>964</v>
      </c>
      <c r="AD407">
        <f t="shared" ca="1" si="191"/>
        <v>893.10025708716933</v>
      </c>
      <c r="AE407">
        <f>VLOOKUP(C407,技能辅助查询表,技能配置辅助表!$U$1,FALSE)</f>
        <v>4</v>
      </c>
      <c r="AF407">
        <f t="shared" ca="1" si="192"/>
        <v>9124248</v>
      </c>
      <c r="AG407">
        <f t="shared" ca="1" si="196"/>
        <v>77.061224489795919</v>
      </c>
      <c r="AH407">
        <f t="shared" ca="1" si="193"/>
        <v>5860.970437134547</v>
      </c>
      <c r="AI407">
        <f ca="1">VLOOKUP(E407,伤害参考系!$C$4:$E$104,3,FALSE)*$AN$12</f>
        <v>21474.674365384624</v>
      </c>
      <c r="AJ407">
        <f>VLOOKUP(C407,技能辅助查询表,技能配置辅助表!$L$1,FALSE)</f>
        <v>1</v>
      </c>
      <c r="AK407">
        <f>VLOOKUP(C407,技能辅助查询表,技能配置辅助表!$AE$1,FALSE)</f>
        <v>66000009</v>
      </c>
    </row>
    <row r="408" spans="1:37" x14ac:dyDescent="0.15">
      <c r="A408" s="1">
        <f t="shared" ca="1" si="184"/>
        <v>9124249</v>
      </c>
      <c r="B408" s="1" t="str">
        <f t="shared" ca="1" si="169"/>
        <v>裂空·斩第2段</v>
      </c>
      <c r="C408" t="s">
        <v>157</v>
      </c>
      <c r="D408">
        <f t="shared" si="170"/>
        <v>1</v>
      </c>
      <c r="E408" s="42">
        <f t="shared" ca="1" si="185"/>
        <v>79</v>
      </c>
      <c r="F408" t="str">
        <f t="shared" ca="1" si="186"/>
        <v>第49级，共造成177.4%点伤害</v>
      </c>
      <c r="G408">
        <f t="shared" ca="1" si="187"/>
        <v>2</v>
      </c>
      <c r="H408">
        <f t="shared" si="171"/>
        <v>2</v>
      </c>
      <c r="I408" s="44">
        <f t="shared" ca="1" si="188"/>
        <v>49</v>
      </c>
      <c r="J408">
        <f t="shared" si="172"/>
        <v>2</v>
      </c>
      <c r="K408" s="36">
        <f t="shared" ca="1" si="173"/>
        <v>177.38095238095238</v>
      </c>
      <c r="L408" s="39">
        <f ca="1">AH408*VLOOKUP(C408,技能辅助查询表,技能配置辅助表!$T$1,FALSE)</f>
        <v>0</v>
      </c>
      <c r="M408">
        <f t="shared" ca="1" si="174"/>
        <v>4080</v>
      </c>
      <c r="N408" s="33">
        <f ca="1">CHOOSE(1,W408*U408,X408*'[1]0、经济设定'!$C$18)</f>
        <v>369706</v>
      </c>
      <c r="O408">
        <f t="shared" si="175"/>
        <v>4</v>
      </c>
      <c r="P408">
        <f t="shared" si="176"/>
        <v>1</v>
      </c>
      <c r="Q408">
        <f t="shared" si="177"/>
        <v>1</v>
      </c>
      <c r="R408" s="2">
        <f t="shared" si="178"/>
        <v>8</v>
      </c>
      <c r="S408" s="2">
        <f t="shared" si="179"/>
        <v>50</v>
      </c>
      <c r="T408" s="2">
        <f t="shared" si="180"/>
        <v>119.04761904761905</v>
      </c>
      <c r="U408" s="2">
        <f ca="1">VLOOKUP(E408,金币生产率!$A$2:$B$120,2,0)</f>
        <v>4154</v>
      </c>
      <c r="V408" s="2">
        <f t="shared" si="181"/>
        <v>119.04761904761905</v>
      </c>
      <c r="W408" s="45">
        <f t="shared" ca="1" si="194"/>
        <v>89</v>
      </c>
      <c r="X408" s="48">
        <f t="shared" ca="1" si="195"/>
        <v>1305</v>
      </c>
      <c r="Y408">
        <f t="shared" si="182"/>
        <v>18</v>
      </c>
      <c r="Z408">
        <f t="shared" ca="1" si="189"/>
        <v>36</v>
      </c>
      <c r="AA408" t="str">
        <f t="shared" ca="1" si="190"/>
        <v>9124200.png</v>
      </c>
      <c r="AB408">
        <f t="shared" si="183"/>
        <v>20</v>
      </c>
      <c r="AC408">
        <f>VLOOKUP(C408,技能辅助查询表,技能配置辅助表!$W$1,FALSE)</f>
        <v>964</v>
      </c>
      <c r="AD408">
        <f t="shared" ca="1" si="191"/>
        <v>1032.6700732087068</v>
      </c>
      <c r="AE408">
        <f>VLOOKUP(C408,技能辅助查询表,技能配置辅助表!$U$1,FALSE)</f>
        <v>4</v>
      </c>
      <c r="AF408">
        <f t="shared" ca="1" si="192"/>
        <v>9124249</v>
      </c>
      <c r="AG408">
        <f t="shared" ca="1" si="196"/>
        <v>78.530612244897952</v>
      </c>
      <c r="AH408">
        <f t="shared" ca="1" si="193"/>
        <v>6672.6373961177951</v>
      </c>
      <c r="AI408">
        <f ca="1">VLOOKUP(E408,伤害参考系!$C$4:$E$104,3,FALSE)*$AN$12</f>
        <v>23115.220103678937</v>
      </c>
      <c r="AJ408">
        <f>VLOOKUP(C408,技能辅助查询表,技能配置辅助表!$L$1,FALSE)</f>
        <v>1</v>
      </c>
      <c r="AK408">
        <f>VLOOKUP(C408,技能辅助查询表,技能配置辅助表!$AE$1,FALSE)</f>
        <v>66000009</v>
      </c>
    </row>
    <row r="409" spans="1:37" x14ac:dyDescent="0.15">
      <c r="A409" s="1">
        <f t="shared" ca="1" si="184"/>
        <v>9124250</v>
      </c>
      <c r="B409" s="1" t="str">
        <f t="shared" ca="1" si="169"/>
        <v>裂空·斩第2段</v>
      </c>
      <c r="C409" t="s">
        <v>157</v>
      </c>
      <c r="D409">
        <f t="shared" si="170"/>
        <v>1</v>
      </c>
      <c r="E409" s="42">
        <f t="shared" ca="1" si="185"/>
        <v>80</v>
      </c>
      <c r="F409" t="str">
        <f t="shared" ca="1" si="186"/>
        <v>第50级，共造成178.6%点伤害</v>
      </c>
      <c r="G409">
        <f t="shared" ca="1" si="187"/>
        <v>2</v>
      </c>
      <c r="H409">
        <f t="shared" si="171"/>
        <v>2</v>
      </c>
      <c r="I409" s="44">
        <f t="shared" ca="1" si="188"/>
        <v>50</v>
      </c>
      <c r="J409">
        <f t="shared" si="172"/>
        <v>2</v>
      </c>
      <c r="K409" s="36">
        <f t="shared" ca="1" si="173"/>
        <v>178.57142857142858</v>
      </c>
      <c r="L409" s="10">
        <f ca="1">AH409*VLOOKUP(C409,技能辅助查询表,技能配置辅助表!$T$1,FALSE)</f>
        <v>0</v>
      </c>
      <c r="M409">
        <f t="shared" ca="1" si="174"/>
        <v>4000</v>
      </c>
      <c r="N409" s="33">
        <f ca="1">CHOOSE(1,W409*U409,X409*'[1]0、经济设定'!$C$18)</f>
        <v>404890</v>
      </c>
      <c r="O409">
        <f t="shared" si="175"/>
        <v>4</v>
      </c>
      <c r="P409">
        <f t="shared" si="176"/>
        <v>1</v>
      </c>
      <c r="Q409">
        <f t="shared" si="177"/>
        <v>1</v>
      </c>
      <c r="R409" s="2">
        <f t="shared" si="178"/>
        <v>8</v>
      </c>
      <c r="S409" s="2">
        <f t="shared" si="179"/>
        <v>50</v>
      </c>
      <c r="T409" s="2">
        <f t="shared" si="180"/>
        <v>119.04761904761905</v>
      </c>
      <c r="U409" s="2">
        <f ca="1">VLOOKUP(E409,金币生产率!$A$2:$B$120,2,0)</f>
        <v>4262</v>
      </c>
      <c r="V409" s="2">
        <f t="shared" si="181"/>
        <v>119.04761904761905</v>
      </c>
      <c r="W409" s="45">
        <f t="shared" ca="1" si="194"/>
        <v>95</v>
      </c>
      <c r="X409" s="48">
        <f t="shared" ca="1" si="195"/>
        <v>1400</v>
      </c>
      <c r="Y409">
        <f t="shared" si="182"/>
        <v>18</v>
      </c>
      <c r="Z409">
        <f t="shared" ca="1" si="189"/>
        <v>38</v>
      </c>
      <c r="AA409" t="str">
        <f t="shared" ca="1" si="190"/>
        <v>9124200.png</v>
      </c>
      <c r="AB409">
        <f t="shared" si="183"/>
        <v>20</v>
      </c>
      <c r="AC409">
        <f>VLOOKUP(C409,技能辅助查询表,技能配置辅助表!$W$1,FALSE)</f>
        <v>964</v>
      </c>
      <c r="AD409">
        <f t="shared" ca="1" si="191"/>
        <v>1193.7686362792215</v>
      </c>
      <c r="AE409">
        <f>VLOOKUP(C409,技能辅助查询表,技能配置辅助表!$U$1,FALSE)</f>
        <v>4</v>
      </c>
      <c r="AF409">
        <f t="shared" ca="1" si="192"/>
        <v>9124250</v>
      </c>
      <c r="AG409">
        <f t="shared" ca="1" si="196"/>
        <v>80</v>
      </c>
      <c r="AH409">
        <f t="shared" ca="1" si="193"/>
        <v>7596.7095035950451</v>
      </c>
      <c r="AI409">
        <f ca="1">VLOOKUP(E409,伤害参考系!$C$4:$E$104,3,FALSE)*$AN$12</f>
        <v>24028.87424749164</v>
      </c>
      <c r="AJ409">
        <f>VLOOKUP(C409,技能辅助查询表,技能配置辅助表!$L$1,FALSE)</f>
        <v>1</v>
      </c>
      <c r="AK409">
        <f>VLOOKUP(C409,技能辅助查询表,技能配置辅助表!$AE$1,FALSE)</f>
        <v>66000009</v>
      </c>
    </row>
    <row r="410" spans="1:37" x14ac:dyDescent="0.15">
      <c r="A410" s="1">
        <f t="shared" ca="1" si="184"/>
        <v>1</v>
      </c>
      <c r="B410" s="1" t="str">
        <f t="shared" ca="1" si="169"/>
        <v>裂空·斩</v>
      </c>
      <c r="C410" t="s">
        <v>158</v>
      </c>
      <c r="D410">
        <f t="shared" si="170"/>
        <v>1</v>
      </c>
      <c r="E410" s="42">
        <f t="shared" ca="1" si="185"/>
        <v>6</v>
      </c>
      <c r="F410" t="str">
        <f t="shared" ca="1" si="186"/>
        <v>第0级，共造成119%点伤害</v>
      </c>
      <c r="G410">
        <f t="shared" ca="1" si="187"/>
        <v>0</v>
      </c>
      <c r="H410">
        <f t="shared" si="171"/>
        <v>3</v>
      </c>
      <c r="I410" s="44">
        <f t="shared" ca="1" si="188"/>
        <v>0</v>
      </c>
      <c r="J410">
        <f t="shared" si="172"/>
        <v>2</v>
      </c>
      <c r="K410" s="36">
        <f t="shared" ca="1" si="173"/>
        <v>29.761904761904763</v>
      </c>
      <c r="L410" s="10">
        <f ca="1">AH410*VLOOKUP(C410,技能辅助查询表,技能配置辅助表!$T$1,FALSE)</f>
        <v>0</v>
      </c>
      <c r="M410">
        <f t="shared" ca="1" si="174"/>
        <v>8000</v>
      </c>
      <c r="N410" s="33">
        <f ca="1">CHOOSE(1,W410*U410,X410*'[1]0、经济设定'!$C$18)</f>
        <v>0</v>
      </c>
      <c r="O410">
        <f t="shared" si="175"/>
        <v>4</v>
      </c>
      <c r="P410">
        <f t="shared" si="176"/>
        <v>4</v>
      </c>
      <c r="Q410">
        <f t="shared" si="177"/>
        <v>1</v>
      </c>
      <c r="R410" s="2">
        <f t="shared" si="178"/>
        <v>10</v>
      </c>
      <c r="S410" s="2">
        <f t="shared" si="179"/>
        <v>50</v>
      </c>
      <c r="T410" s="2">
        <f t="shared" si="180"/>
        <v>29.761904761904763</v>
      </c>
      <c r="U410" s="2">
        <f ca="1">VLOOKUP(E410,金币生产率!$A$2:$B$120,2,0)</f>
        <v>80</v>
      </c>
      <c r="V410" s="2">
        <f t="shared" si="181"/>
        <v>119.04761904761905</v>
      </c>
      <c r="W410" s="45">
        <f t="shared" ca="1" si="194"/>
        <v>0</v>
      </c>
      <c r="X410" s="48">
        <f t="shared" ca="1" si="195"/>
        <v>0</v>
      </c>
      <c r="Y410">
        <f t="shared" si="182"/>
        <v>18</v>
      </c>
      <c r="Z410">
        <f t="shared" ca="1" si="189"/>
        <v>0</v>
      </c>
      <c r="AA410" t="str">
        <f t="shared" ca="1" si="190"/>
        <v>9124300.png</v>
      </c>
      <c r="AB410">
        <f t="shared" si="183"/>
        <v>5</v>
      </c>
      <c r="AC410">
        <f>VLOOKUP(C410,技能辅助查询表,技能配置辅助表!$W$1,FALSE)</f>
        <v>974</v>
      </c>
      <c r="AD410">
        <f t="shared" ca="1" si="191"/>
        <v>0.44166857142857163</v>
      </c>
      <c r="AE410">
        <f>VLOOKUP(C410,技能辅助查询表,技能配置辅助表!$U$1,FALSE)</f>
        <v>4</v>
      </c>
      <c r="AF410">
        <f t="shared" ca="1" si="192"/>
        <v>9124300</v>
      </c>
      <c r="AG410">
        <f t="shared" ca="1" si="196"/>
        <v>0</v>
      </c>
      <c r="AH410">
        <f t="shared" ca="1" si="193"/>
        <v>11.5938</v>
      </c>
      <c r="AI410">
        <f ca="1">VLOOKUP(E410,伤害参考系!$C$4:$E$104,3,FALSE)*$AN$12</f>
        <v>88.919999999999987</v>
      </c>
      <c r="AJ410">
        <f>VLOOKUP(C410,技能辅助查询表,技能配置辅助表!$L$1,FALSE)</f>
        <v>4</v>
      </c>
      <c r="AK410">
        <f>VLOOKUP(C410,技能辅助查询表,技能配置辅助表!$AE$1,FALSE)</f>
        <v>66000009</v>
      </c>
    </row>
    <row r="411" spans="1:37" x14ac:dyDescent="0.15">
      <c r="A411" s="1">
        <f t="shared" ca="1" si="184"/>
        <v>9124301</v>
      </c>
      <c r="B411" s="1" t="str">
        <f t="shared" ca="1" si="169"/>
        <v>裂空·斩第3段</v>
      </c>
      <c r="C411" t="s">
        <v>158</v>
      </c>
      <c r="D411">
        <f t="shared" si="170"/>
        <v>1</v>
      </c>
      <c r="E411" s="42">
        <f t="shared" ca="1" si="185"/>
        <v>6</v>
      </c>
      <c r="F411" t="str">
        <f t="shared" ca="1" si="186"/>
        <v>第1级，共造成119%点伤害</v>
      </c>
      <c r="G411">
        <f t="shared" ca="1" si="187"/>
        <v>3</v>
      </c>
      <c r="H411">
        <f t="shared" si="171"/>
        <v>3</v>
      </c>
      <c r="I411" s="44">
        <f t="shared" ca="1" si="188"/>
        <v>1</v>
      </c>
      <c r="J411">
        <f t="shared" si="172"/>
        <v>2</v>
      </c>
      <c r="K411" s="36">
        <f t="shared" ca="1" si="173"/>
        <v>29.761904761904763</v>
      </c>
      <c r="L411" s="10">
        <f ca="1">AH411*VLOOKUP(C411,技能辅助查询表,技能配置辅助表!$T$1,FALSE)</f>
        <v>0</v>
      </c>
      <c r="M411">
        <f t="shared" ca="1" si="174"/>
        <v>8000</v>
      </c>
      <c r="N411" s="33">
        <f ca="1">CHOOSE(1,W411*U411,X411*'[1]0、经济设定'!$C$18)</f>
        <v>240</v>
      </c>
      <c r="O411">
        <f t="shared" si="175"/>
        <v>4</v>
      </c>
      <c r="P411">
        <f t="shared" si="176"/>
        <v>4</v>
      </c>
      <c r="Q411">
        <f t="shared" si="177"/>
        <v>1</v>
      </c>
      <c r="R411" s="2">
        <f t="shared" si="178"/>
        <v>10</v>
      </c>
      <c r="S411" s="2">
        <f t="shared" si="179"/>
        <v>50</v>
      </c>
      <c r="T411" s="2">
        <f t="shared" si="180"/>
        <v>29.761904761904763</v>
      </c>
      <c r="U411" s="2">
        <f ca="1">VLOOKUP(E411,金币生产率!$A$2:$B$120,2,0)</f>
        <v>80</v>
      </c>
      <c r="V411" s="2">
        <f t="shared" si="181"/>
        <v>119.04761904761905</v>
      </c>
      <c r="W411" s="45">
        <f t="shared" ca="1" si="194"/>
        <v>3</v>
      </c>
      <c r="X411" s="48">
        <f t="shared" ca="1" si="195"/>
        <v>3</v>
      </c>
      <c r="Y411">
        <f t="shared" si="182"/>
        <v>18</v>
      </c>
      <c r="Z411">
        <f t="shared" ca="1" si="189"/>
        <v>0</v>
      </c>
      <c r="AA411" t="str">
        <f t="shared" ca="1" si="190"/>
        <v>9124300.png</v>
      </c>
      <c r="AB411">
        <f t="shared" si="183"/>
        <v>5</v>
      </c>
      <c r="AC411">
        <f>VLOOKUP(C411,技能辅助查询表,技能配置辅助表!$W$1,FALSE)</f>
        <v>974</v>
      </c>
      <c r="AD411">
        <f t="shared" ca="1" si="191"/>
        <v>0.50283383238579415</v>
      </c>
      <c r="AE411">
        <f>VLOOKUP(C411,技能辅助查询表,技能配置辅助表!$U$1,FALSE)</f>
        <v>4</v>
      </c>
      <c r="AF411">
        <f t="shared" ca="1" si="192"/>
        <v>9124301</v>
      </c>
      <c r="AG411">
        <f t="shared" ca="1" si="196"/>
        <v>10</v>
      </c>
      <c r="AH411">
        <f t="shared" ca="1" si="193"/>
        <v>13.199388100127095</v>
      </c>
      <c r="AI411">
        <f ca="1">VLOOKUP(E411,伤害参考系!$C$4:$E$104,3,FALSE)*$AN$12</f>
        <v>88.919999999999987</v>
      </c>
      <c r="AJ411">
        <f>VLOOKUP(C411,技能辅助查询表,技能配置辅助表!$L$1,FALSE)</f>
        <v>4</v>
      </c>
      <c r="AK411">
        <f>VLOOKUP(C411,技能辅助查询表,技能配置辅助表!$AE$1,FALSE)</f>
        <v>66000009</v>
      </c>
    </row>
    <row r="412" spans="1:37" x14ac:dyDescent="0.15">
      <c r="A412" s="1">
        <f t="shared" ca="1" si="184"/>
        <v>9124302</v>
      </c>
      <c r="B412" s="1" t="str">
        <f t="shared" ca="1" si="169"/>
        <v>裂空·斩第3段</v>
      </c>
      <c r="C412" t="s">
        <v>158</v>
      </c>
      <c r="D412">
        <f t="shared" si="170"/>
        <v>1</v>
      </c>
      <c r="E412" s="42">
        <f t="shared" ca="1" si="185"/>
        <v>13</v>
      </c>
      <c r="F412" t="str">
        <f t="shared" ca="1" si="186"/>
        <v>第2级，共造成121.4%点伤害</v>
      </c>
      <c r="G412">
        <f t="shared" ca="1" si="187"/>
        <v>3</v>
      </c>
      <c r="H412">
        <f t="shared" si="171"/>
        <v>3</v>
      </c>
      <c r="I412" s="44">
        <f t="shared" ca="1" si="188"/>
        <v>2</v>
      </c>
      <c r="J412">
        <f t="shared" si="172"/>
        <v>2</v>
      </c>
      <c r="K412" s="36">
        <f t="shared" ca="1" si="173"/>
        <v>30.357142857142858</v>
      </c>
      <c r="L412" s="10">
        <f ca="1">AH412*VLOOKUP(C412,技能辅助查询表,技能配置辅助表!$T$1,FALSE)</f>
        <v>0</v>
      </c>
      <c r="M412">
        <f t="shared" ca="1" si="174"/>
        <v>7840</v>
      </c>
      <c r="N412" s="33">
        <f ca="1">CHOOSE(1,W412*U412,X412*'[1]0、经济设定'!$C$18)</f>
        <v>488</v>
      </c>
      <c r="O412">
        <f t="shared" si="175"/>
        <v>4</v>
      </c>
      <c r="P412">
        <f t="shared" si="176"/>
        <v>4</v>
      </c>
      <c r="Q412">
        <f t="shared" si="177"/>
        <v>1</v>
      </c>
      <c r="R412" s="2">
        <f t="shared" si="178"/>
        <v>10</v>
      </c>
      <c r="S412" s="2">
        <f t="shared" si="179"/>
        <v>50</v>
      </c>
      <c r="T412" s="2">
        <f t="shared" si="180"/>
        <v>29.761904761904763</v>
      </c>
      <c r="U412" s="2">
        <f ca="1">VLOOKUP(E412,金币生产率!$A$2:$B$120,2,0)</f>
        <v>122</v>
      </c>
      <c r="V412" s="2">
        <f t="shared" si="181"/>
        <v>119.04761904761905</v>
      </c>
      <c r="W412" s="45">
        <f t="shared" ca="1" si="194"/>
        <v>4</v>
      </c>
      <c r="X412" s="48">
        <f t="shared" ca="1" si="195"/>
        <v>7</v>
      </c>
      <c r="Y412">
        <f t="shared" si="182"/>
        <v>18</v>
      </c>
      <c r="Z412">
        <f t="shared" ca="1" si="189"/>
        <v>0</v>
      </c>
      <c r="AA412" t="str">
        <f t="shared" ca="1" si="190"/>
        <v>9124300.png</v>
      </c>
      <c r="AB412">
        <f t="shared" si="183"/>
        <v>5</v>
      </c>
      <c r="AC412">
        <f>VLOOKUP(C412,技能辅助查询表,技能配置辅助表!$W$1,FALSE)</f>
        <v>974</v>
      </c>
      <c r="AD412">
        <f t="shared" ca="1" si="191"/>
        <v>0.64402838296987608</v>
      </c>
      <c r="AE412">
        <f>VLOOKUP(C412,技能辅助查询表,技能配置辅助表!$U$1,FALSE)</f>
        <v>4</v>
      </c>
      <c r="AF412">
        <f t="shared" ca="1" si="192"/>
        <v>9124302</v>
      </c>
      <c r="AG412">
        <f t="shared" ca="1" si="196"/>
        <v>11.428571428571429</v>
      </c>
      <c r="AH412">
        <f t="shared" ca="1" si="193"/>
        <v>15.027328935963775</v>
      </c>
      <c r="AI412">
        <f ca="1">VLOOKUP(E412,伤害参考系!$C$4:$E$104,3,FALSE)*$AN$12</f>
        <v>288.46124999999995</v>
      </c>
      <c r="AJ412">
        <f>VLOOKUP(C412,技能辅助查询表,技能配置辅助表!$L$1,FALSE)</f>
        <v>4</v>
      </c>
      <c r="AK412">
        <f>VLOOKUP(C412,技能辅助查询表,技能配置辅助表!$AE$1,FALSE)</f>
        <v>66000009</v>
      </c>
    </row>
    <row r="413" spans="1:37" x14ac:dyDescent="0.15">
      <c r="A413" s="1">
        <f t="shared" ca="1" si="184"/>
        <v>9124303</v>
      </c>
      <c r="B413" s="1" t="str">
        <f t="shared" ca="1" si="169"/>
        <v>裂空·斩第3段</v>
      </c>
      <c r="C413" t="s">
        <v>158</v>
      </c>
      <c r="D413">
        <f t="shared" si="170"/>
        <v>1</v>
      </c>
      <c r="E413" s="42">
        <f t="shared" ca="1" si="185"/>
        <v>14</v>
      </c>
      <c r="F413" t="str">
        <f t="shared" ca="1" si="186"/>
        <v>第3级，共造成122.6%点伤害</v>
      </c>
      <c r="G413">
        <f t="shared" ca="1" si="187"/>
        <v>3</v>
      </c>
      <c r="H413">
        <f t="shared" si="171"/>
        <v>3</v>
      </c>
      <c r="I413" s="44">
        <f t="shared" ca="1" si="188"/>
        <v>3</v>
      </c>
      <c r="J413">
        <f t="shared" si="172"/>
        <v>2</v>
      </c>
      <c r="K413" s="36">
        <f t="shared" ca="1" si="173"/>
        <v>30.654761904761905</v>
      </c>
      <c r="L413" s="10">
        <f ca="1">AH413*VLOOKUP(C413,技能辅助查询表,技能配置辅助表!$T$1,FALSE)</f>
        <v>0</v>
      </c>
      <c r="M413">
        <f t="shared" ca="1" si="174"/>
        <v>7760</v>
      </c>
      <c r="N413" s="33">
        <f ca="1">CHOOSE(1,W413*U413,X413*'[1]0、经济设定'!$C$18)</f>
        <v>512</v>
      </c>
      <c r="O413">
        <f t="shared" si="175"/>
        <v>4</v>
      </c>
      <c r="P413">
        <f t="shared" si="176"/>
        <v>4</v>
      </c>
      <c r="Q413">
        <f t="shared" si="177"/>
        <v>1</v>
      </c>
      <c r="R413" s="2">
        <f t="shared" si="178"/>
        <v>10</v>
      </c>
      <c r="S413" s="2">
        <f t="shared" si="179"/>
        <v>50</v>
      </c>
      <c r="T413" s="2">
        <f t="shared" si="180"/>
        <v>29.761904761904763</v>
      </c>
      <c r="U413" s="2">
        <f ca="1">VLOOKUP(E413,金币生产率!$A$2:$B$120,2,0)</f>
        <v>128</v>
      </c>
      <c r="V413" s="2">
        <f t="shared" si="181"/>
        <v>119.04761904761905</v>
      </c>
      <c r="W413" s="45">
        <f t="shared" ca="1" si="194"/>
        <v>4</v>
      </c>
      <c r="X413" s="48">
        <f t="shared" ca="1" si="195"/>
        <v>11</v>
      </c>
      <c r="Y413">
        <f t="shared" si="182"/>
        <v>18</v>
      </c>
      <c r="Z413">
        <f t="shared" ca="1" si="189"/>
        <v>0</v>
      </c>
      <c r="AA413" t="str">
        <f t="shared" ca="1" si="190"/>
        <v>9124300.png</v>
      </c>
      <c r="AB413">
        <f t="shared" si="183"/>
        <v>5</v>
      </c>
      <c r="AC413">
        <f>VLOOKUP(C413,技能辅助查询表,技能配置辅助表!$W$1,FALSE)</f>
        <v>974</v>
      </c>
      <c r="AD413">
        <f t="shared" ca="1" si="191"/>
        <v>0.77395212628980237</v>
      </c>
      <c r="AE413">
        <f>VLOOKUP(C413,技能辅助查询表,技能配置辅助表!$U$1,FALSE)</f>
        <v>4</v>
      </c>
      <c r="AF413">
        <f t="shared" ca="1" si="192"/>
        <v>9124303</v>
      </c>
      <c r="AG413">
        <f t="shared" ca="1" si="196"/>
        <v>12.857142857142858</v>
      </c>
      <c r="AH413">
        <f t="shared" ca="1" si="193"/>
        <v>17.108415423248271</v>
      </c>
      <c r="AI413">
        <f ca="1">VLOOKUP(E413,伤害参考系!$C$4:$E$104,3,FALSE)*$AN$12</f>
        <v>330.31565217391307</v>
      </c>
      <c r="AJ413">
        <f>VLOOKUP(C413,技能辅助查询表,技能配置辅助表!$L$1,FALSE)</f>
        <v>4</v>
      </c>
      <c r="AK413">
        <f>VLOOKUP(C413,技能辅助查询表,技能配置辅助表!$AE$1,FALSE)</f>
        <v>66000009</v>
      </c>
    </row>
    <row r="414" spans="1:37" x14ac:dyDescent="0.15">
      <c r="A414" s="1">
        <f t="shared" ca="1" si="184"/>
        <v>9124304</v>
      </c>
      <c r="B414" s="1" t="str">
        <f t="shared" ca="1" si="169"/>
        <v>裂空·斩第3段</v>
      </c>
      <c r="C414" t="s">
        <v>158</v>
      </c>
      <c r="D414">
        <f t="shared" si="170"/>
        <v>1</v>
      </c>
      <c r="E414" s="42">
        <f t="shared" ca="1" si="185"/>
        <v>16</v>
      </c>
      <c r="F414" t="str">
        <f t="shared" ca="1" si="186"/>
        <v>第4级，共造成123.8%点伤害</v>
      </c>
      <c r="G414">
        <f t="shared" ca="1" si="187"/>
        <v>3</v>
      </c>
      <c r="H414">
        <f t="shared" si="171"/>
        <v>3</v>
      </c>
      <c r="I414" s="44">
        <f t="shared" ca="1" si="188"/>
        <v>4</v>
      </c>
      <c r="J414">
        <f t="shared" si="172"/>
        <v>2</v>
      </c>
      <c r="K414" s="36">
        <f t="shared" ca="1" si="173"/>
        <v>30.952380952380953</v>
      </c>
      <c r="L414" s="10">
        <f ca="1">AH414*VLOOKUP(C414,技能辅助查询表,技能配置辅助表!$T$1,FALSE)</f>
        <v>0</v>
      </c>
      <c r="M414">
        <f t="shared" ca="1" si="174"/>
        <v>7680</v>
      </c>
      <c r="N414" s="33">
        <f ca="1">CHOOSE(1,W414*U414,X414*'[1]0、经济设定'!$C$18)</f>
        <v>560</v>
      </c>
      <c r="O414">
        <f t="shared" si="175"/>
        <v>4</v>
      </c>
      <c r="P414">
        <f t="shared" si="176"/>
        <v>4</v>
      </c>
      <c r="Q414">
        <f t="shared" si="177"/>
        <v>1</v>
      </c>
      <c r="R414" s="2">
        <f t="shared" si="178"/>
        <v>10</v>
      </c>
      <c r="S414" s="2">
        <f t="shared" si="179"/>
        <v>50</v>
      </c>
      <c r="T414" s="2">
        <f t="shared" si="180"/>
        <v>29.761904761904763</v>
      </c>
      <c r="U414" s="2">
        <f ca="1">VLOOKUP(E414,金币生产率!$A$2:$B$120,2,0)</f>
        <v>140</v>
      </c>
      <c r="V414" s="2">
        <f t="shared" si="181"/>
        <v>119.04761904761905</v>
      </c>
      <c r="W414" s="45">
        <f t="shared" ca="1" si="194"/>
        <v>4</v>
      </c>
      <c r="X414" s="48">
        <f t="shared" ca="1" si="195"/>
        <v>15</v>
      </c>
      <c r="Y414">
        <f t="shared" si="182"/>
        <v>18</v>
      </c>
      <c r="Z414">
        <f t="shared" ca="1" si="189"/>
        <v>0</v>
      </c>
      <c r="AA414" t="str">
        <f t="shared" ca="1" si="190"/>
        <v>9124300.png</v>
      </c>
      <c r="AB414">
        <f t="shared" si="183"/>
        <v>5</v>
      </c>
      <c r="AC414">
        <f>VLOOKUP(C414,技能辅助查询表,技能配置辅助表!$W$1,FALSE)</f>
        <v>974</v>
      </c>
      <c r="AD414">
        <f t="shared" ca="1" si="191"/>
        <v>0.92750975665012236</v>
      </c>
      <c r="AE414">
        <f>VLOOKUP(C414,技能辅助查询表,技能配置辅助表!$U$1,FALSE)</f>
        <v>4</v>
      </c>
      <c r="AF414">
        <f t="shared" ca="1" si="192"/>
        <v>9124304</v>
      </c>
      <c r="AG414">
        <f t="shared" ca="1" si="196"/>
        <v>14.285714285714285</v>
      </c>
      <c r="AH414">
        <f t="shared" ca="1" si="193"/>
        <v>19.477704889652582</v>
      </c>
      <c r="AI414">
        <f ca="1">VLOOKUP(E414,伤害参考系!$C$4:$E$104,3,FALSE)*$AN$12</f>
        <v>421.35260869565224</v>
      </c>
      <c r="AJ414">
        <f>VLOOKUP(C414,技能辅助查询表,技能配置辅助表!$L$1,FALSE)</f>
        <v>4</v>
      </c>
      <c r="AK414">
        <f>VLOOKUP(C414,技能辅助查询表,技能配置辅助表!$AE$1,FALSE)</f>
        <v>66000009</v>
      </c>
    </row>
    <row r="415" spans="1:37" x14ac:dyDescent="0.15">
      <c r="A415" s="1">
        <f t="shared" ca="1" si="184"/>
        <v>9124305</v>
      </c>
      <c r="B415" s="1" t="str">
        <f t="shared" ca="1" si="169"/>
        <v>裂空·斩第3段</v>
      </c>
      <c r="C415" t="s">
        <v>158</v>
      </c>
      <c r="D415">
        <f t="shared" si="170"/>
        <v>1</v>
      </c>
      <c r="E415" s="42">
        <f t="shared" ca="1" si="185"/>
        <v>17</v>
      </c>
      <c r="F415" t="str">
        <f t="shared" ca="1" si="186"/>
        <v>第5级，共造成125%点伤害</v>
      </c>
      <c r="G415">
        <f t="shared" ca="1" si="187"/>
        <v>3</v>
      </c>
      <c r="H415">
        <f t="shared" si="171"/>
        <v>3</v>
      </c>
      <c r="I415" s="44">
        <f t="shared" ca="1" si="188"/>
        <v>5</v>
      </c>
      <c r="J415">
        <f t="shared" si="172"/>
        <v>2</v>
      </c>
      <c r="K415" s="36">
        <f t="shared" ca="1" si="173"/>
        <v>31.25</v>
      </c>
      <c r="L415" s="10">
        <f ca="1">AH415*VLOOKUP(C415,技能辅助查询表,技能配置辅助表!$T$1,FALSE)</f>
        <v>0</v>
      </c>
      <c r="M415">
        <f t="shared" ca="1" si="174"/>
        <v>7600</v>
      </c>
      <c r="N415" s="33">
        <f ca="1">CHOOSE(1,W415*U415,X415*'[1]0、经济设定'!$C$18)</f>
        <v>730</v>
      </c>
      <c r="O415">
        <f t="shared" si="175"/>
        <v>4</v>
      </c>
      <c r="P415">
        <f t="shared" si="176"/>
        <v>4</v>
      </c>
      <c r="Q415">
        <f t="shared" si="177"/>
        <v>1</v>
      </c>
      <c r="R415" s="2">
        <f t="shared" si="178"/>
        <v>10</v>
      </c>
      <c r="S415" s="2">
        <f t="shared" si="179"/>
        <v>50</v>
      </c>
      <c r="T415" s="2">
        <f t="shared" si="180"/>
        <v>29.761904761904763</v>
      </c>
      <c r="U415" s="2">
        <f ca="1">VLOOKUP(E415,金币生产率!$A$2:$B$120,2,0)</f>
        <v>146</v>
      </c>
      <c r="V415" s="2">
        <f t="shared" si="181"/>
        <v>119.04761904761905</v>
      </c>
      <c r="W415" s="45">
        <f t="shared" ca="1" si="194"/>
        <v>5</v>
      </c>
      <c r="X415" s="48">
        <f t="shared" ca="1" si="195"/>
        <v>20</v>
      </c>
      <c r="Y415">
        <f t="shared" si="182"/>
        <v>18</v>
      </c>
      <c r="Z415">
        <f t="shared" ca="1" si="189"/>
        <v>0</v>
      </c>
      <c r="AA415" t="str">
        <f t="shared" ca="1" si="190"/>
        <v>9124300.png</v>
      </c>
      <c r="AB415">
        <f t="shared" si="183"/>
        <v>5</v>
      </c>
      <c r="AC415">
        <f>VLOOKUP(C415,技能辅助查询表,技能配置辅助表!$W$1,FALSE)</f>
        <v>974</v>
      </c>
      <c r="AD415">
        <f t="shared" ca="1" si="191"/>
        <v>1.1087554819742784</v>
      </c>
      <c r="AE415">
        <f>VLOOKUP(C415,技能辅助查询表,技能配置辅助表!$U$1,FALSE)</f>
        <v>4</v>
      </c>
      <c r="AF415">
        <f t="shared" ca="1" si="192"/>
        <v>9124305</v>
      </c>
      <c r="AG415">
        <f t="shared" ca="1" si="196"/>
        <v>15.714285714285715</v>
      </c>
      <c r="AH415">
        <f t="shared" ca="1" si="193"/>
        <v>22.175109639485559</v>
      </c>
      <c r="AI415">
        <f ca="1">VLOOKUP(E415,伤害参考系!$C$4:$E$104,3,FALSE)*$AN$12</f>
        <v>470.53516304347824</v>
      </c>
      <c r="AJ415">
        <f>VLOOKUP(C415,技能辅助查询表,技能配置辅助表!$L$1,FALSE)</f>
        <v>4</v>
      </c>
      <c r="AK415">
        <f>VLOOKUP(C415,技能辅助查询表,技能配置辅助表!$AE$1,FALSE)</f>
        <v>66000009</v>
      </c>
    </row>
    <row r="416" spans="1:37" x14ac:dyDescent="0.15">
      <c r="A416" s="1">
        <f t="shared" ca="1" si="184"/>
        <v>9124306</v>
      </c>
      <c r="B416" s="1" t="str">
        <f t="shared" ca="1" si="169"/>
        <v>裂空·斩第3段</v>
      </c>
      <c r="C416" t="s">
        <v>158</v>
      </c>
      <c r="D416">
        <f t="shared" si="170"/>
        <v>1</v>
      </c>
      <c r="E416" s="42">
        <f t="shared" ca="1" si="185"/>
        <v>18</v>
      </c>
      <c r="F416" t="str">
        <f t="shared" ca="1" si="186"/>
        <v>第6级，共造成126.2%点伤害</v>
      </c>
      <c r="G416">
        <f t="shared" ca="1" si="187"/>
        <v>3</v>
      </c>
      <c r="H416">
        <f t="shared" si="171"/>
        <v>3</v>
      </c>
      <c r="I416" s="44">
        <f t="shared" ca="1" si="188"/>
        <v>6</v>
      </c>
      <c r="J416">
        <f t="shared" si="172"/>
        <v>2</v>
      </c>
      <c r="K416" s="36">
        <f t="shared" ca="1" si="173"/>
        <v>31.547619047619047</v>
      </c>
      <c r="L416" s="10">
        <f ca="1">AH416*VLOOKUP(C416,技能辅助查询表,技能配置辅助表!$T$1,FALSE)</f>
        <v>0</v>
      </c>
      <c r="M416">
        <f t="shared" ca="1" si="174"/>
        <v>7520</v>
      </c>
      <c r="N416" s="33">
        <f ca="1">CHOOSE(1,W416*U416,X416*'[1]0、经济设定'!$C$18)</f>
        <v>760</v>
      </c>
      <c r="O416">
        <f t="shared" si="175"/>
        <v>4</v>
      </c>
      <c r="P416">
        <f t="shared" si="176"/>
        <v>4</v>
      </c>
      <c r="Q416">
        <f t="shared" si="177"/>
        <v>1</v>
      </c>
      <c r="R416" s="2">
        <f t="shared" si="178"/>
        <v>10</v>
      </c>
      <c r="S416" s="2">
        <f t="shared" si="179"/>
        <v>50</v>
      </c>
      <c r="T416" s="2">
        <f t="shared" si="180"/>
        <v>29.761904761904763</v>
      </c>
      <c r="U416" s="2">
        <f ca="1">VLOOKUP(E416,金币生产率!$A$2:$B$120,2,0)</f>
        <v>152</v>
      </c>
      <c r="V416" s="2">
        <f t="shared" si="181"/>
        <v>119.04761904761905</v>
      </c>
      <c r="W416" s="45">
        <f t="shared" ca="1" si="194"/>
        <v>5</v>
      </c>
      <c r="X416" s="48">
        <f t="shared" ca="1" si="195"/>
        <v>25</v>
      </c>
      <c r="Y416">
        <f t="shared" si="182"/>
        <v>18</v>
      </c>
      <c r="Z416">
        <f t="shared" ca="1" si="189"/>
        <v>0</v>
      </c>
      <c r="AA416" t="str">
        <f t="shared" ca="1" si="190"/>
        <v>9124300.png</v>
      </c>
      <c r="AB416">
        <f t="shared" si="183"/>
        <v>5</v>
      </c>
      <c r="AC416">
        <f>VLOOKUP(C416,技能辅助查询表,技能配置辅助表!$W$1,FALSE)</f>
        <v>974</v>
      </c>
      <c r="AD416">
        <f t="shared" ca="1" si="191"/>
        <v>1.3224131540087647</v>
      </c>
      <c r="AE416">
        <f>VLOOKUP(C416,技能辅助查询表,技能配置辅助表!$U$1,FALSE)</f>
        <v>4</v>
      </c>
      <c r="AF416">
        <f t="shared" ca="1" si="192"/>
        <v>9124306</v>
      </c>
      <c r="AG416">
        <f t="shared" ca="1" si="196"/>
        <v>17.142857142857142</v>
      </c>
      <c r="AH416">
        <f t="shared" ca="1" si="193"/>
        <v>25.246069303803697</v>
      </c>
      <c r="AI416">
        <f ca="1">VLOOKUP(E416,伤害参考系!$C$4:$E$104,3,FALSE)*$AN$12</f>
        <v>522.16043478260883</v>
      </c>
      <c r="AJ416">
        <f>VLOOKUP(C416,技能辅助查询表,技能配置辅助表!$L$1,FALSE)</f>
        <v>4</v>
      </c>
      <c r="AK416">
        <f>VLOOKUP(C416,技能辅助查询表,技能配置辅助表!$AE$1,FALSE)</f>
        <v>66000009</v>
      </c>
    </row>
    <row r="417" spans="1:37" x14ac:dyDescent="0.15">
      <c r="A417" s="1">
        <f t="shared" ca="1" si="184"/>
        <v>9124307</v>
      </c>
      <c r="B417" s="1" t="str">
        <f t="shared" ca="1" si="169"/>
        <v>裂空·斩第3段</v>
      </c>
      <c r="C417" t="s">
        <v>158</v>
      </c>
      <c r="D417">
        <f t="shared" si="170"/>
        <v>1</v>
      </c>
      <c r="E417" s="42">
        <f t="shared" ca="1" si="185"/>
        <v>20</v>
      </c>
      <c r="F417" t="str">
        <f t="shared" ca="1" si="186"/>
        <v>第7级，共造成127.4%点伤害</v>
      </c>
      <c r="G417">
        <f t="shared" ca="1" si="187"/>
        <v>3</v>
      </c>
      <c r="H417">
        <f t="shared" si="171"/>
        <v>3</v>
      </c>
      <c r="I417" s="44">
        <f t="shared" ca="1" si="188"/>
        <v>7</v>
      </c>
      <c r="J417">
        <f t="shared" si="172"/>
        <v>2</v>
      </c>
      <c r="K417" s="36">
        <f t="shared" ca="1" si="173"/>
        <v>31.845238095238095</v>
      </c>
      <c r="L417" s="10">
        <f ca="1">AH417*VLOOKUP(C417,技能辅助查询表,技能配置辅助表!$T$1,FALSE)</f>
        <v>0</v>
      </c>
      <c r="M417">
        <f t="shared" ca="1" si="174"/>
        <v>7440</v>
      </c>
      <c r="N417" s="33">
        <f ca="1">CHOOSE(1,W417*U417,X417*'[1]0、经济设定'!$C$18)</f>
        <v>910</v>
      </c>
      <c r="O417">
        <f t="shared" si="175"/>
        <v>4</v>
      </c>
      <c r="P417">
        <f t="shared" si="176"/>
        <v>4</v>
      </c>
      <c r="Q417">
        <f t="shared" si="177"/>
        <v>1</v>
      </c>
      <c r="R417" s="2">
        <f t="shared" si="178"/>
        <v>10</v>
      </c>
      <c r="S417" s="2">
        <f t="shared" si="179"/>
        <v>50</v>
      </c>
      <c r="T417" s="2">
        <f t="shared" si="180"/>
        <v>29.761904761904763</v>
      </c>
      <c r="U417" s="2">
        <f ca="1">VLOOKUP(E417,金币生产率!$A$2:$B$120,2,0)</f>
        <v>182</v>
      </c>
      <c r="V417" s="2">
        <f t="shared" si="181"/>
        <v>119.04761904761905</v>
      </c>
      <c r="W417" s="45">
        <f t="shared" ca="1" si="194"/>
        <v>5</v>
      </c>
      <c r="X417" s="48">
        <f t="shared" ca="1" si="195"/>
        <v>30</v>
      </c>
      <c r="Y417">
        <f t="shared" si="182"/>
        <v>18</v>
      </c>
      <c r="Z417">
        <f t="shared" ca="1" si="189"/>
        <v>0</v>
      </c>
      <c r="AA417" t="str">
        <f t="shared" ca="1" si="190"/>
        <v>9124300.png</v>
      </c>
      <c r="AB417">
        <f t="shared" si="183"/>
        <v>5</v>
      </c>
      <c r="AC417">
        <f>VLOOKUP(C417,技能辅助查询表,技能配置辅助表!$W$1,FALSE)</f>
        <v>974</v>
      </c>
      <c r="AD417">
        <f t="shared" ca="1" si="191"/>
        <v>1.5739839879736715</v>
      </c>
      <c r="AE417">
        <f>VLOOKUP(C417,技能辅助查询表,技能配置辅助表!$U$1,FALSE)</f>
        <v>4</v>
      </c>
      <c r="AF417">
        <f t="shared" ca="1" si="192"/>
        <v>9124307</v>
      </c>
      <c r="AG417">
        <f t="shared" ca="1" si="196"/>
        <v>18.571428571428569</v>
      </c>
      <c r="AH417">
        <f t="shared" ca="1" si="193"/>
        <v>28.742316302127907</v>
      </c>
      <c r="AI417">
        <f ca="1">VLOOKUP(E417,伤害参考系!$C$4:$E$104,3,FALSE)*$AN$12</f>
        <v>632.73913043478262</v>
      </c>
      <c r="AJ417">
        <f>VLOOKUP(C417,技能辅助查询表,技能配置辅助表!$L$1,FALSE)</f>
        <v>4</v>
      </c>
      <c r="AK417">
        <f>VLOOKUP(C417,技能辅助查询表,技能配置辅助表!$AE$1,FALSE)</f>
        <v>66000009</v>
      </c>
    </row>
    <row r="418" spans="1:37" x14ac:dyDescent="0.15">
      <c r="A418" s="1">
        <f t="shared" ca="1" si="184"/>
        <v>9124308</v>
      </c>
      <c r="B418" s="1" t="str">
        <f t="shared" ca="1" si="169"/>
        <v>裂空·斩第3段</v>
      </c>
      <c r="C418" t="s">
        <v>158</v>
      </c>
      <c r="D418">
        <f t="shared" si="170"/>
        <v>1</v>
      </c>
      <c r="E418" s="42">
        <f t="shared" ca="1" si="185"/>
        <v>21</v>
      </c>
      <c r="F418" t="str">
        <f t="shared" ca="1" si="186"/>
        <v>第8级，共造成128.6%点伤害</v>
      </c>
      <c r="G418">
        <f t="shared" ca="1" si="187"/>
        <v>3</v>
      </c>
      <c r="H418">
        <f t="shared" si="171"/>
        <v>3</v>
      </c>
      <c r="I418" s="44">
        <f t="shared" ca="1" si="188"/>
        <v>8</v>
      </c>
      <c r="J418">
        <f t="shared" si="172"/>
        <v>2</v>
      </c>
      <c r="K418" s="36">
        <f t="shared" ca="1" si="173"/>
        <v>32.142857142857146</v>
      </c>
      <c r="L418" s="10">
        <f ca="1">AH418*VLOOKUP(C418,技能辅助查询表,技能配置辅助表!$T$1,FALSE)</f>
        <v>0</v>
      </c>
      <c r="M418">
        <f t="shared" ca="1" si="174"/>
        <v>7360</v>
      </c>
      <c r="N418" s="33">
        <f ca="1">CHOOSE(1,W418*U418,X418*'[1]0、经济设定'!$C$18)</f>
        <v>1260</v>
      </c>
      <c r="O418">
        <f t="shared" si="175"/>
        <v>4</v>
      </c>
      <c r="P418">
        <f t="shared" si="176"/>
        <v>4</v>
      </c>
      <c r="Q418">
        <f t="shared" si="177"/>
        <v>1</v>
      </c>
      <c r="R418" s="2">
        <f t="shared" si="178"/>
        <v>10</v>
      </c>
      <c r="S418" s="2">
        <f t="shared" si="179"/>
        <v>50</v>
      </c>
      <c r="T418" s="2">
        <f t="shared" si="180"/>
        <v>29.761904761904763</v>
      </c>
      <c r="U418" s="2">
        <f ca="1">VLOOKUP(E418,金币生产率!$A$2:$B$120,2,0)</f>
        <v>210</v>
      </c>
      <c r="V418" s="2">
        <f t="shared" si="181"/>
        <v>119.04761904761905</v>
      </c>
      <c r="W418" s="45">
        <f t="shared" ca="1" si="194"/>
        <v>6</v>
      </c>
      <c r="X418" s="48">
        <f t="shared" ca="1" si="195"/>
        <v>36</v>
      </c>
      <c r="Y418">
        <f t="shared" si="182"/>
        <v>18</v>
      </c>
      <c r="Z418">
        <f t="shared" ca="1" si="189"/>
        <v>0</v>
      </c>
      <c r="AA418" t="str">
        <f t="shared" ca="1" si="190"/>
        <v>9124300.png</v>
      </c>
      <c r="AB418">
        <f t="shared" si="183"/>
        <v>5</v>
      </c>
      <c r="AC418">
        <f>VLOOKUP(C418,技能辅助查询表,技能配置辅助表!$W$1,FALSE)</f>
        <v>974</v>
      </c>
      <c r="AD418">
        <f t="shared" ca="1" si="191"/>
        <v>1.8698712748853268</v>
      </c>
      <c r="AE418">
        <f>VLOOKUP(C418,技能辅助查询表,技能配置辅助表!$U$1,FALSE)</f>
        <v>4</v>
      </c>
      <c r="AF418">
        <f t="shared" ca="1" si="192"/>
        <v>9124308</v>
      </c>
      <c r="AG418">
        <f t="shared" ca="1" si="196"/>
        <v>20</v>
      </c>
      <c r="AH418">
        <f t="shared" ca="1" si="193"/>
        <v>32.722747310493212</v>
      </c>
      <c r="AI418">
        <f ca="1">VLOOKUP(E418,伤害参考系!$C$4:$E$104,3,FALSE)*$AN$12</f>
        <v>691.69255434782622</v>
      </c>
      <c r="AJ418">
        <f>VLOOKUP(C418,技能辅助查询表,技能配置辅助表!$L$1,FALSE)</f>
        <v>4</v>
      </c>
      <c r="AK418">
        <f>VLOOKUP(C418,技能辅助查询表,技能配置辅助表!$AE$1,FALSE)</f>
        <v>66000009</v>
      </c>
    </row>
    <row r="419" spans="1:37" x14ac:dyDescent="0.15">
      <c r="A419" s="1">
        <f t="shared" ca="1" si="184"/>
        <v>9124309</v>
      </c>
      <c r="B419" s="1" t="str">
        <f t="shared" ca="1" si="169"/>
        <v>裂空·斩第3段</v>
      </c>
      <c r="C419" t="s">
        <v>158</v>
      </c>
      <c r="D419">
        <f t="shared" si="170"/>
        <v>1</v>
      </c>
      <c r="E419" s="42">
        <f t="shared" ca="1" si="185"/>
        <v>23</v>
      </c>
      <c r="F419" t="str">
        <f t="shared" ca="1" si="186"/>
        <v>第9级，共造成129.8%点伤害</v>
      </c>
      <c r="G419">
        <f t="shared" ca="1" si="187"/>
        <v>3</v>
      </c>
      <c r="H419">
        <f t="shared" si="171"/>
        <v>3</v>
      </c>
      <c r="I419" s="44">
        <f t="shared" ca="1" si="188"/>
        <v>9</v>
      </c>
      <c r="J419">
        <f t="shared" si="172"/>
        <v>2</v>
      </c>
      <c r="K419" s="36">
        <f t="shared" ca="1" si="173"/>
        <v>32.44047619047619</v>
      </c>
      <c r="L419" s="10">
        <f ca="1">AH419*VLOOKUP(C419,技能辅助查询表,技能配置辅助表!$T$1,FALSE)</f>
        <v>0</v>
      </c>
      <c r="M419">
        <f t="shared" ca="1" si="174"/>
        <v>7280</v>
      </c>
      <c r="N419" s="33">
        <f ca="1">CHOOSE(1,W419*U419,X419*'[1]0、经济设定'!$C$18)</f>
        <v>1620</v>
      </c>
      <c r="O419">
        <f t="shared" si="175"/>
        <v>4</v>
      </c>
      <c r="P419">
        <f t="shared" si="176"/>
        <v>4</v>
      </c>
      <c r="Q419">
        <f t="shared" si="177"/>
        <v>1</v>
      </c>
      <c r="R419" s="2">
        <f t="shared" si="178"/>
        <v>10</v>
      </c>
      <c r="S419" s="2">
        <f t="shared" si="179"/>
        <v>50</v>
      </c>
      <c r="T419" s="2">
        <f t="shared" si="180"/>
        <v>29.761904761904763</v>
      </c>
      <c r="U419" s="2">
        <f ca="1">VLOOKUP(E419,金币生产率!$A$2:$B$120,2,0)</f>
        <v>270</v>
      </c>
      <c r="V419" s="2">
        <f t="shared" si="181"/>
        <v>119.04761904761905</v>
      </c>
      <c r="W419" s="45">
        <f t="shared" ca="1" si="194"/>
        <v>6</v>
      </c>
      <c r="X419" s="48">
        <f t="shared" ca="1" si="195"/>
        <v>42</v>
      </c>
      <c r="Y419">
        <f t="shared" si="182"/>
        <v>18</v>
      </c>
      <c r="Z419">
        <f t="shared" ca="1" si="189"/>
        <v>0</v>
      </c>
      <c r="AA419" t="str">
        <f t="shared" ca="1" si="190"/>
        <v>9124300.png</v>
      </c>
      <c r="AB419">
        <f t="shared" si="183"/>
        <v>5</v>
      </c>
      <c r="AC419">
        <f>VLOOKUP(C419,技能辅助查询表,技能配置辅助表!$W$1,FALSE)</f>
        <v>974</v>
      </c>
      <c r="AD419">
        <f t="shared" ca="1" si="191"/>
        <v>2.2175247271611824</v>
      </c>
      <c r="AE419">
        <f>VLOOKUP(C419,技能辅助查询表,技能配置辅助表!$U$1,FALSE)</f>
        <v>4</v>
      </c>
      <c r="AF419">
        <f t="shared" ca="1" si="192"/>
        <v>9124309</v>
      </c>
      <c r="AG419">
        <f t="shared" ca="1" si="196"/>
        <v>21.428571428571431</v>
      </c>
      <c r="AH419">
        <f t="shared" ca="1" si="193"/>
        <v>37.25441541630785</v>
      </c>
      <c r="AI419">
        <f ca="1">VLOOKUP(E419,伤害参考系!$C$4:$E$104,3,FALSE)*$AN$12</f>
        <v>832.15832357859551</v>
      </c>
      <c r="AJ419">
        <f>VLOOKUP(C419,技能辅助查询表,技能配置辅助表!$L$1,FALSE)</f>
        <v>4</v>
      </c>
      <c r="AK419">
        <f>VLOOKUP(C419,技能辅助查询表,技能配置辅助表!$AE$1,FALSE)</f>
        <v>66000009</v>
      </c>
    </row>
    <row r="420" spans="1:37" x14ac:dyDescent="0.15">
      <c r="A420" s="1">
        <f t="shared" ca="1" si="184"/>
        <v>9124310</v>
      </c>
      <c r="B420" s="1" t="str">
        <f t="shared" ca="1" si="169"/>
        <v>裂空·斩第3段</v>
      </c>
      <c r="C420" t="s">
        <v>158</v>
      </c>
      <c r="D420">
        <f t="shared" si="170"/>
        <v>1</v>
      </c>
      <c r="E420" s="42">
        <f t="shared" ca="1" si="185"/>
        <v>24</v>
      </c>
      <c r="F420" t="str">
        <f t="shared" ca="1" si="186"/>
        <v>第10级，共造成131%点伤害</v>
      </c>
      <c r="G420">
        <f t="shared" ca="1" si="187"/>
        <v>3</v>
      </c>
      <c r="H420">
        <f t="shared" si="171"/>
        <v>3</v>
      </c>
      <c r="I420" s="44">
        <f t="shared" ca="1" si="188"/>
        <v>10</v>
      </c>
      <c r="J420">
        <f t="shared" si="172"/>
        <v>2</v>
      </c>
      <c r="K420" s="36">
        <f t="shared" ca="1" si="173"/>
        <v>32.738095238095241</v>
      </c>
      <c r="L420" s="10">
        <f ca="1">AH420*VLOOKUP(C420,技能辅助查询表,技能配置辅助表!$T$1,FALSE)</f>
        <v>0</v>
      </c>
      <c r="M420">
        <f t="shared" ca="1" si="174"/>
        <v>7200</v>
      </c>
      <c r="N420" s="33">
        <f ca="1">CHOOSE(1,W420*U420,X420*'[1]0、经济设定'!$C$18)</f>
        <v>1812</v>
      </c>
      <c r="O420">
        <f t="shared" si="175"/>
        <v>4</v>
      </c>
      <c r="P420">
        <f t="shared" si="176"/>
        <v>4</v>
      </c>
      <c r="Q420">
        <f t="shared" si="177"/>
        <v>1</v>
      </c>
      <c r="R420" s="2">
        <f t="shared" si="178"/>
        <v>10</v>
      </c>
      <c r="S420" s="2">
        <f t="shared" si="179"/>
        <v>50</v>
      </c>
      <c r="T420" s="2">
        <f t="shared" si="180"/>
        <v>29.761904761904763</v>
      </c>
      <c r="U420" s="2">
        <f ca="1">VLOOKUP(E420,金币生产率!$A$2:$B$120,2,0)</f>
        <v>302</v>
      </c>
      <c r="V420" s="2">
        <f t="shared" si="181"/>
        <v>119.04761904761905</v>
      </c>
      <c r="W420" s="45">
        <f t="shared" ca="1" si="194"/>
        <v>6</v>
      </c>
      <c r="X420" s="48">
        <f t="shared" ca="1" si="195"/>
        <v>48</v>
      </c>
      <c r="Y420">
        <f t="shared" si="182"/>
        <v>18</v>
      </c>
      <c r="Z420">
        <f t="shared" ca="1" si="189"/>
        <v>0</v>
      </c>
      <c r="AA420" t="str">
        <f t="shared" ca="1" si="190"/>
        <v>9124300.png</v>
      </c>
      <c r="AB420">
        <f t="shared" si="183"/>
        <v>5</v>
      </c>
      <c r="AC420">
        <f>VLOOKUP(C420,技能辅助查询表,技能配置辅助表!$W$1,FALSE)</f>
        <v>974</v>
      </c>
      <c r="AD420">
        <f t="shared" ca="1" si="191"/>
        <v>2.6256075036007216</v>
      </c>
      <c r="AE420">
        <f>VLOOKUP(C420,技能辅助查询表,技能配置辅助表!$U$1,FALSE)</f>
        <v>4</v>
      </c>
      <c r="AF420">
        <f t="shared" ca="1" si="192"/>
        <v>9124310</v>
      </c>
      <c r="AG420">
        <f t="shared" ca="1" si="196"/>
        <v>22.857142857142858</v>
      </c>
      <c r="AH420">
        <f t="shared" ca="1" si="193"/>
        <v>42.413659673550121</v>
      </c>
      <c r="AI420">
        <f ca="1">VLOOKUP(E420,伤害参考系!$C$4:$E$104,3,FALSE)*$AN$12</f>
        <v>914.59374581939801</v>
      </c>
      <c r="AJ420">
        <f>VLOOKUP(C420,技能辅助查询表,技能配置辅助表!$L$1,FALSE)</f>
        <v>4</v>
      </c>
      <c r="AK420">
        <f>VLOOKUP(C420,技能辅助查询表,技能配置辅助表!$AE$1,FALSE)</f>
        <v>66000009</v>
      </c>
    </row>
    <row r="421" spans="1:37" x14ac:dyDescent="0.15">
      <c r="A421" s="1">
        <f t="shared" ca="1" si="184"/>
        <v>9124311</v>
      </c>
      <c r="B421" s="1" t="str">
        <f t="shared" ca="1" si="169"/>
        <v>裂空·斩第3段</v>
      </c>
      <c r="C421" t="s">
        <v>158</v>
      </c>
      <c r="D421">
        <f t="shared" si="170"/>
        <v>1</v>
      </c>
      <c r="E421" s="42">
        <f t="shared" ca="1" si="185"/>
        <v>25</v>
      </c>
      <c r="F421" t="str">
        <f t="shared" ca="1" si="186"/>
        <v>第11级，共造成132.1%点伤害</v>
      </c>
      <c r="G421">
        <f t="shared" ca="1" si="187"/>
        <v>3</v>
      </c>
      <c r="H421">
        <f t="shared" si="171"/>
        <v>3</v>
      </c>
      <c r="I421" s="44">
        <f t="shared" ca="1" si="188"/>
        <v>11</v>
      </c>
      <c r="J421">
        <f t="shared" si="172"/>
        <v>2</v>
      </c>
      <c r="K421" s="36">
        <f t="shared" ca="1" si="173"/>
        <v>33.035714285714285</v>
      </c>
      <c r="L421" s="10">
        <f ca="1">AH421*VLOOKUP(C421,技能辅助查询表,技能配置辅助表!$T$1,FALSE)</f>
        <v>0</v>
      </c>
      <c r="M421">
        <f t="shared" ca="1" si="174"/>
        <v>7120</v>
      </c>
      <c r="N421" s="33">
        <f ca="1">CHOOSE(1,W421*U421,X421*'[1]0、经济设定'!$C$18)</f>
        <v>2345</v>
      </c>
      <c r="O421">
        <f t="shared" si="175"/>
        <v>4</v>
      </c>
      <c r="P421">
        <f t="shared" si="176"/>
        <v>4</v>
      </c>
      <c r="Q421">
        <f t="shared" si="177"/>
        <v>1</v>
      </c>
      <c r="R421" s="2">
        <f t="shared" si="178"/>
        <v>10</v>
      </c>
      <c r="S421" s="2">
        <f t="shared" si="179"/>
        <v>50</v>
      </c>
      <c r="T421" s="2">
        <f t="shared" si="180"/>
        <v>29.761904761904763</v>
      </c>
      <c r="U421" s="2">
        <f ca="1">VLOOKUP(E421,金币生产率!$A$2:$B$120,2,0)</f>
        <v>335</v>
      </c>
      <c r="V421" s="2">
        <f t="shared" si="181"/>
        <v>119.04761904761905</v>
      </c>
      <c r="W421" s="45">
        <f t="shared" ca="1" si="194"/>
        <v>7</v>
      </c>
      <c r="X421" s="48">
        <f t="shared" ca="1" si="195"/>
        <v>55</v>
      </c>
      <c r="Y421">
        <f t="shared" si="182"/>
        <v>18</v>
      </c>
      <c r="Z421">
        <f t="shared" ca="1" si="189"/>
        <v>0</v>
      </c>
      <c r="AA421" t="str">
        <f t="shared" ca="1" si="190"/>
        <v>9124300.png</v>
      </c>
      <c r="AB421">
        <f t="shared" si="183"/>
        <v>5</v>
      </c>
      <c r="AC421">
        <f>VLOOKUP(C421,技能辅助查询表,技能配置辅助表!$W$1,FALSE)</f>
        <v>974</v>
      </c>
      <c r="AD421">
        <f t="shared" ca="1" si="191"/>
        <v>3.1041894269850387</v>
      </c>
      <c r="AE421">
        <f>VLOOKUP(C421,技能辅助查询表,技能配置辅助表!$U$1,FALSE)</f>
        <v>4</v>
      </c>
      <c r="AF421">
        <f t="shared" ca="1" si="192"/>
        <v>9124311</v>
      </c>
      <c r="AG421">
        <f t="shared" ca="1" si="196"/>
        <v>24.285714285714285</v>
      </c>
      <c r="AH421">
        <f t="shared" ca="1" si="193"/>
        <v>48.287391086433935</v>
      </c>
      <c r="AI421">
        <f ca="1">VLOOKUP(E421,伤害参考系!$C$4:$E$104,3,FALSE)*$AN$12</f>
        <v>1000.3949623745822</v>
      </c>
      <c r="AJ421">
        <f>VLOOKUP(C421,技能辅助查询表,技能配置辅助表!$L$1,FALSE)</f>
        <v>4</v>
      </c>
      <c r="AK421">
        <f>VLOOKUP(C421,技能辅助查询表,技能配置辅助表!$AE$1,FALSE)</f>
        <v>66000009</v>
      </c>
    </row>
    <row r="422" spans="1:37" x14ac:dyDescent="0.15">
      <c r="A422" s="1">
        <f t="shared" ca="1" si="184"/>
        <v>9124312</v>
      </c>
      <c r="B422" s="1" t="str">
        <f t="shared" ca="1" si="169"/>
        <v>裂空·斩第3段</v>
      </c>
      <c r="C422" t="s">
        <v>158</v>
      </c>
      <c r="D422">
        <f t="shared" si="170"/>
        <v>1</v>
      </c>
      <c r="E422" s="42">
        <f t="shared" ca="1" si="185"/>
        <v>27</v>
      </c>
      <c r="F422" t="str">
        <f t="shared" ca="1" si="186"/>
        <v>第12级，共造成133.3%点伤害</v>
      </c>
      <c r="G422">
        <f t="shared" ca="1" si="187"/>
        <v>3</v>
      </c>
      <c r="H422">
        <f t="shared" si="171"/>
        <v>3</v>
      </c>
      <c r="I422" s="44">
        <f t="shared" ca="1" si="188"/>
        <v>12</v>
      </c>
      <c r="J422">
        <f t="shared" si="172"/>
        <v>2</v>
      </c>
      <c r="K422" s="36">
        <f t="shared" ca="1" si="173"/>
        <v>33.333333333333336</v>
      </c>
      <c r="L422" s="10">
        <f ca="1">AH422*VLOOKUP(C422,技能辅助查询表,技能配置辅助表!$T$1,FALSE)</f>
        <v>0</v>
      </c>
      <c r="M422">
        <f t="shared" ca="1" si="174"/>
        <v>7040</v>
      </c>
      <c r="N422" s="33">
        <f ca="1">CHOOSE(1,W422*U422,X422*'[1]0、经济设定'!$C$18)</f>
        <v>2842</v>
      </c>
      <c r="O422">
        <f t="shared" si="175"/>
        <v>4</v>
      </c>
      <c r="P422">
        <f t="shared" si="176"/>
        <v>4</v>
      </c>
      <c r="Q422">
        <f t="shared" si="177"/>
        <v>1</v>
      </c>
      <c r="R422" s="2">
        <f t="shared" si="178"/>
        <v>10</v>
      </c>
      <c r="S422" s="2">
        <f t="shared" si="179"/>
        <v>50</v>
      </c>
      <c r="T422" s="2">
        <f t="shared" si="180"/>
        <v>29.761904761904763</v>
      </c>
      <c r="U422" s="2">
        <f ca="1">VLOOKUP(E422,金币生产率!$A$2:$B$120,2,0)</f>
        <v>406</v>
      </c>
      <c r="V422" s="2">
        <f t="shared" si="181"/>
        <v>119.04761904761905</v>
      </c>
      <c r="W422" s="45">
        <f t="shared" ca="1" si="194"/>
        <v>7</v>
      </c>
      <c r="X422" s="48">
        <f t="shared" ca="1" si="195"/>
        <v>62</v>
      </c>
      <c r="Y422">
        <f t="shared" si="182"/>
        <v>18</v>
      </c>
      <c r="Z422">
        <f t="shared" ca="1" si="189"/>
        <v>0</v>
      </c>
      <c r="AA422" t="str">
        <f t="shared" ca="1" si="190"/>
        <v>9124300.png</v>
      </c>
      <c r="AB422">
        <f t="shared" si="183"/>
        <v>5</v>
      </c>
      <c r="AC422">
        <f>VLOOKUP(C422,技能辅助查询表,技能配置辅助表!$W$1,FALSE)</f>
        <v>974</v>
      </c>
      <c r="AD422">
        <f t="shared" ca="1" si="191"/>
        <v>3.6649704456546304</v>
      </c>
      <c r="AE422">
        <f>VLOOKUP(C422,技能辅助查询表,技能配置辅助表!$U$1,FALSE)</f>
        <v>4</v>
      </c>
      <c r="AF422">
        <f t="shared" ca="1" si="192"/>
        <v>9124312</v>
      </c>
      <c r="AG422">
        <f t="shared" ca="1" si="196"/>
        <v>25.714285714285715</v>
      </c>
      <c r="AH422">
        <f t="shared" ca="1" si="193"/>
        <v>54.974556684819426</v>
      </c>
      <c r="AI422">
        <f ca="1">VLOOKUP(E422,伤害参考系!$C$4:$E$104,3,FALSE)*$AN$12</f>
        <v>1210.5107784280938</v>
      </c>
      <c r="AJ422">
        <f>VLOOKUP(C422,技能辅助查询表,技能配置辅助表!$L$1,FALSE)</f>
        <v>4</v>
      </c>
      <c r="AK422">
        <f>VLOOKUP(C422,技能辅助查询表,技能配置辅助表!$AE$1,FALSE)</f>
        <v>66000009</v>
      </c>
    </row>
    <row r="423" spans="1:37" x14ac:dyDescent="0.15">
      <c r="A423" s="1">
        <f t="shared" ca="1" si="184"/>
        <v>9124313</v>
      </c>
      <c r="B423" s="1" t="str">
        <f t="shared" ca="1" si="169"/>
        <v>裂空·斩第3段</v>
      </c>
      <c r="C423" t="s">
        <v>158</v>
      </c>
      <c r="D423">
        <f t="shared" si="170"/>
        <v>1</v>
      </c>
      <c r="E423" s="42">
        <f t="shared" ca="1" si="185"/>
        <v>28</v>
      </c>
      <c r="F423" t="str">
        <f t="shared" ca="1" si="186"/>
        <v>第13级，共造成134.5%点伤害</v>
      </c>
      <c r="G423">
        <f t="shared" ca="1" si="187"/>
        <v>3</v>
      </c>
      <c r="H423">
        <f t="shared" si="171"/>
        <v>3</v>
      </c>
      <c r="I423" s="44">
        <f t="shared" ca="1" si="188"/>
        <v>13</v>
      </c>
      <c r="J423">
        <f t="shared" si="172"/>
        <v>2</v>
      </c>
      <c r="K423" s="36">
        <f t="shared" ca="1" si="173"/>
        <v>33.63095238095238</v>
      </c>
      <c r="L423" s="10">
        <f ca="1">AH423*VLOOKUP(C423,技能辅助查询表,技能配置辅助表!$T$1,FALSE)</f>
        <v>0</v>
      </c>
      <c r="M423">
        <f t="shared" ca="1" si="174"/>
        <v>6960</v>
      </c>
      <c r="N423" s="33">
        <f ca="1">CHOOSE(1,W423*U423,X423*'[1]0、经济设定'!$C$18)</f>
        <v>3544</v>
      </c>
      <c r="O423">
        <f t="shared" si="175"/>
        <v>4</v>
      </c>
      <c r="P423">
        <f t="shared" si="176"/>
        <v>4</v>
      </c>
      <c r="Q423">
        <f t="shared" si="177"/>
        <v>1</v>
      </c>
      <c r="R423" s="2">
        <f t="shared" si="178"/>
        <v>10</v>
      </c>
      <c r="S423" s="2">
        <f t="shared" si="179"/>
        <v>50</v>
      </c>
      <c r="T423" s="2">
        <f t="shared" si="180"/>
        <v>29.761904761904763</v>
      </c>
      <c r="U423" s="2">
        <f ca="1">VLOOKUP(E423,金币生产率!$A$2:$B$120,2,0)</f>
        <v>443</v>
      </c>
      <c r="V423" s="2">
        <f t="shared" si="181"/>
        <v>119.04761904761905</v>
      </c>
      <c r="W423" s="45">
        <f t="shared" ca="1" si="194"/>
        <v>8</v>
      </c>
      <c r="X423" s="48">
        <f t="shared" ca="1" si="195"/>
        <v>70</v>
      </c>
      <c r="Y423">
        <f t="shared" si="182"/>
        <v>18</v>
      </c>
      <c r="Z423">
        <f t="shared" ca="1" si="189"/>
        <v>0</v>
      </c>
      <c r="AA423" t="str">
        <f t="shared" ca="1" si="190"/>
        <v>9124300.png</v>
      </c>
      <c r="AB423">
        <f t="shared" si="183"/>
        <v>5</v>
      </c>
      <c r="AC423">
        <f>VLOOKUP(C423,技能辅助查询表,技能配置辅助表!$W$1,FALSE)</f>
        <v>974</v>
      </c>
      <c r="AD423">
        <f t="shared" ca="1" si="191"/>
        <v>4.3215390102069478</v>
      </c>
      <c r="AE423">
        <f>VLOOKUP(C423,技能辅助查询表,技能配置辅助表!$U$1,FALSE)</f>
        <v>4</v>
      </c>
      <c r="AF423">
        <f t="shared" ca="1" si="192"/>
        <v>9124313</v>
      </c>
      <c r="AG423">
        <f t="shared" ca="1" si="196"/>
        <v>27.142857142857142</v>
      </c>
      <c r="AH423">
        <f t="shared" ca="1" si="193"/>
        <v>62.587806354721323</v>
      </c>
      <c r="AI423">
        <f ca="1">VLOOKUP(E423,伤害参考系!$C$4:$E$104,3,FALSE)*$AN$12</f>
        <v>1321.7693779264216</v>
      </c>
      <c r="AJ423">
        <f>VLOOKUP(C423,技能辅助查询表,技能配置辅助表!$L$1,FALSE)</f>
        <v>4</v>
      </c>
      <c r="AK423">
        <f>VLOOKUP(C423,技能辅助查询表,技能配置辅助表!$AE$1,FALSE)</f>
        <v>66000009</v>
      </c>
    </row>
    <row r="424" spans="1:37" x14ac:dyDescent="0.15">
      <c r="A424" s="1">
        <f t="shared" ca="1" si="184"/>
        <v>9124314</v>
      </c>
      <c r="B424" s="1" t="str">
        <f t="shared" ca="1" si="169"/>
        <v>裂空·斩第3段</v>
      </c>
      <c r="C424" t="s">
        <v>158</v>
      </c>
      <c r="D424">
        <f t="shared" si="170"/>
        <v>1</v>
      </c>
      <c r="E424" s="42">
        <f t="shared" ca="1" si="185"/>
        <v>30</v>
      </c>
      <c r="F424" t="str">
        <f t="shared" ca="1" si="186"/>
        <v>第14级，共造成135.7%点伤害</v>
      </c>
      <c r="G424">
        <f t="shared" ca="1" si="187"/>
        <v>3</v>
      </c>
      <c r="H424">
        <f t="shared" si="171"/>
        <v>3</v>
      </c>
      <c r="I424" s="44">
        <f t="shared" ca="1" si="188"/>
        <v>14</v>
      </c>
      <c r="J424">
        <f t="shared" si="172"/>
        <v>2</v>
      </c>
      <c r="K424" s="36">
        <f t="shared" ca="1" si="173"/>
        <v>33.928571428571431</v>
      </c>
      <c r="L424" s="10">
        <f ca="1">AH424*VLOOKUP(C424,技能辅助查询表,技能配置辅助表!$T$1,FALSE)</f>
        <v>0</v>
      </c>
      <c r="M424">
        <f t="shared" ca="1" si="174"/>
        <v>6880</v>
      </c>
      <c r="N424" s="33">
        <f ca="1">CHOOSE(1,W424*U424,X424*'[1]0、经济设定'!$C$18)</f>
        <v>4176</v>
      </c>
      <c r="O424">
        <f t="shared" si="175"/>
        <v>4</v>
      </c>
      <c r="P424">
        <f t="shared" si="176"/>
        <v>4</v>
      </c>
      <c r="Q424">
        <f t="shared" si="177"/>
        <v>1</v>
      </c>
      <c r="R424" s="2">
        <f t="shared" si="178"/>
        <v>10</v>
      </c>
      <c r="S424" s="2">
        <f t="shared" si="179"/>
        <v>50</v>
      </c>
      <c r="T424" s="2">
        <f t="shared" si="180"/>
        <v>29.761904761904763</v>
      </c>
      <c r="U424" s="2">
        <f ca="1">VLOOKUP(E424,金币生产率!$A$2:$B$120,2,0)</f>
        <v>522</v>
      </c>
      <c r="V424" s="2">
        <f t="shared" si="181"/>
        <v>119.04761904761905</v>
      </c>
      <c r="W424" s="45">
        <f t="shared" ca="1" si="194"/>
        <v>8</v>
      </c>
      <c r="X424" s="48">
        <f t="shared" ca="1" si="195"/>
        <v>78</v>
      </c>
      <c r="Y424">
        <f t="shared" si="182"/>
        <v>18</v>
      </c>
      <c r="Z424">
        <f t="shared" ca="1" si="189"/>
        <v>0</v>
      </c>
      <c r="AA424" t="str">
        <f t="shared" ca="1" si="190"/>
        <v>9124300.png</v>
      </c>
      <c r="AB424">
        <f t="shared" si="183"/>
        <v>5</v>
      </c>
      <c r="AC424">
        <f>VLOOKUP(C424,技能辅助查询表,技能配置辅助表!$W$1,FALSE)</f>
        <v>974</v>
      </c>
      <c r="AD424">
        <f t="shared" ca="1" si="191"/>
        <v>5.0896707502012646</v>
      </c>
      <c r="AE424">
        <f>VLOOKUP(C424,技能辅助查询表,技能配置辅助表!$U$1,FALSE)</f>
        <v>4</v>
      </c>
      <c r="AF424">
        <f t="shared" ca="1" si="192"/>
        <v>9124314</v>
      </c>
      <c r="AG424">
        <f t="shared" ca="1" si="196"/>
        <v>28.571428571428573</v>
      </c>
      <c r="AH424">
        <f t="shared" ca="1" si="193"/>
        <v>71.25539050281769</v>
      </c>
      <c r="AI424">
        <f ca="1">VLOOKUP(E424,伤害参考系!$C$4:$E$104,3,FALSE)*$AN$12</f>
        <v>1576.1465593645489</v>
      </c>
      <c r="AJ424">
        <f>VLOOKUP(C424,技能辅助查询表,技能配置辅助表!$L$1,FALSE)</f>
        <v>4</v>
      </c>
      <c r="AK424">
        <f>VLOOKUP(C424,技能辅助查询表,技能配置辅助表!$AE$1,FALSE)</f>
        <v>66000009</v>
      </c>
    </row>
    <row r="425" spans="1:37" x14ac:dyDescent="0.15">
      <c r="A425" s="1">
        <f t="shared" ca="1" si="184"/>
        <v>9124315</v>
      </c>
      <c r="B425" s="1" t="str">
        <f t="shared" ca="1" si="169"/>
        <v>裂空·斩第3段</v>
      </c>
      <c r="C425" t="s">
        <v>158</v>
      </c>
      <c r="D425">
        <f t="shared" si="170"/>
        <v>1</v>
      </c>
      <c r="E425" s="42">
        <f t="shared" ca="1" si="185"/>
        <v>31</v>
      </c>
      <c r="F425" t="str">
        <f t="shared" ca="1" si="186"/>
        <v>第15级，共造成136.9%点伤害</v>
      </c>
      <c r="G425">
        <f t="shared" ca="1" si="187"/>
        <v>3</v>
      </c>
      <c r="H425">
        <f t="shared" si="171"/>
        <v>3</v>
      </c>
      <c r="I425" s="44">
        <f t="shared" ca="1" si="188"/>
        <v>15</v>
      </c>
      <c r="J425">
        <f t="shared" si="172"/>
        <v>2</v>
      </c>
      <c r="K425" s="36">
        <f t="shared" ca="1" si="173"/>
        <v>34.226190476190474</v>
      </c>
      <c r="L425" s="10">
        <f ca="1">AH425*VLOOKUP(C425,技能辅助查询表,技能配置辅助表!$T$1,FALSE)</f>
        <v>0</v>
      </c>
      <c r="M425">
        <f t="shared" ca="1" si="174"/>
        <v>6800</v>
      </c>
      <c r="N425" s="33">
        <f ca="1">CHOOSE(1,W425*U425,X425*'[1]0、经济设定'!$C$18)</f>
        <v>5067</v>
      </c>
      <c r="O425">
        <f t="shared" si="175"/>
        <v>4</v>
      </c>
      <c r="P425">
        <f t="shared" si="176"/>
        <v>4</v>
      </c>
      <c r="Q425">
        <f t="shared" si="177"/>
        <v>1</v>
      </c>
      <c r="R425" s="2">
        <f t="shared" si="178"/>
        <v>10</v>
      </c>
      <c r="S425" s="2">
        <f t="shared" si="179"/>
        <v>50</v>
      </c>
      <c r="T425" s="2">
        <f t="shared" si="180"/>
        <v>29.761904761904763</v>
      </c>
      <c r="U425" s="2">
        <f ca="1">VLOOKUP(E425,金币生产率!$A$2:$B$120,2,0)</f>
        <v>563</v>
      </c>
      <c r="V425" s="2">
        <f t="shared" si="181"/>
        <v>119.04761904761905</v>
      </c>
      <c r="W425" s="45">
        <f t="shared" ca="1" si="194"/>
        <v>9</v>
      </c>
      <c r="X425" s="48">
        <f t="shared" ca="1" si="195"/>
        <v>87</v>
      </c>
      <c r="Y425">
        <f t="shared" si="182"/>
        <v>18</v>
      </c>
      <c r="Z425">
        <f t="shared" ca="1" si="189"/>
        <v>0</v>
      </c>
      <c r="AA425" t="str">
        <f t="shared" ca="1" si="190"/>
        <v>9124300.png</v>
      </c>
      <c r="AB425">
        <f t="shared" si="183"/>
        <v>5</v>
      </c>
      <c r="AC425">
        <f>VLOOKUP(C425,技能辅助查询表,技能配置辅助表!$W$1,FALSE)</f>
        <v>974</v>
      </c>
      <c r="AD425">
        <f t="shared" ca="1" si="191"/>
        <v>5.9876736576069876</v>
      </c>
      <c r="AE425">
        <f>VLOOKUP(C425,技能辅助查询表,技能配置辅助表!$U$1,FALSE)</f>
        <v>4</v>
      </c>
      <c r="AF425">
        <f t="shared" ca="1" si="192"/>
        <v>9124315</v>
      </c>
      <c r="AG425">
        <f t="shared" ca="1" si="196"/>
        <v>30</v>
      </c>
      <c r="AH425">
        <f t="shared" ca="1" si="193"/>
        <v>81.123320522417259</v>
      </c>
      <c r="AI425">
        <f ca="1">VLOOKUP(E425,伤害参考系!$C$4:$E$104,3,FALSE)*$AN$12</f>
        <v>1721.3320384615388</v>
      </c>
      <c r="AJ425">
        <f>VLOOKUP(C425,技能辅助查询表,技能配置辅助表!$L$1,FALSE)</f>
        <v>4</v>
      </c>
      <c r="AK425">
        <f>VLOOKUP(C425,技能辅助查询表,技能配置辅助表!$AE$1,FALSE)</f>
        <v>66000009</v>
      </c>
    </row>
    <row r="426" spans="1:37" x14ac:dyDescent="0.15">
      <c r="A426" s="1">
        <f t="shared" ca="1" si="184"/>
        <v>9124316</v>
      </c>
      <c r="B426" s="1" t="str">
        <f t="shared" ca="1" si="169"/>
        <v>裂空·斩第3段</v>
      </c>
      <c r="C426" t="s">
        <v>158</v>
      </c>
      <c r="D426">
        <f t="shared" si="170"/>
        <v>1</v>
      </c>
      <c r="E426" s="42">
        <f t="shared" ca="1" si="185"/>
        <v>32</v>
      </c>
      <c r="F426" t="str">
        <f t="shared" ca="1" si="186"/>
        <v>第16级，共造成138.1%点伤害</v>
      </c>
      <c r="G426">
        <f t="shared" ca="1" si="187"/>
        <v>3</v>
      </c>
      <c r="H426">
        <f t="shared" si="171"/>
        <v>3</v>
      </c>
      <c r="I426" s="44">
        <f t="shared" ca="1" si="188"/>
        <v>16</v>
      </c>
      <c r="J426">
        <f t="shared" si="172"/>
        <v>2</v>
      </c>
      <c r="K426" s="36">
        <f t="shared" ca="1" si="173"/>
        <v>34.523809523809526</v>
      </c>
      <c r="L426" s="10">
        <f ca="1">AH426*VLOOKUP(C426,技能辅助查询表,技能配置辅助表!$T$1,FALSE)</f>
        <v>0</v>
      </c>
      <c r="M426">
        <f t="shared" ca="1" si="174"/>
        <v>6720</v>
      </c>
      <c r="N426" s="33">
        <f ca="1">CHOOSE(1,W426*U426,X426*'[1]0、经济设定'!$C$18)</f>
        <v>6060</v>
      </c>
      <c r="O426">
        <f t="shared" si="175"/>
        <v>4</v>
      </c>
      <c r="P426">
        <f t="shared" si="176"/>
        <v>4</v>
      </c>
      <c r="Q426">
        <f t="shared" si="177"/>
        <v>1</v>
      </c>
      <c r="R426" s="2">
        <f t="shared" si="178"/>
        <v>10</v>
      </c>
      <c r="S426" s="2">
        <f t="shared" si="179"/>
        <v>50</v>
      </c>
      <c r="T426" s="2">
        <f t="shared" si="180"/>
        <v>29.761904761904763</v>
      </c>
      <c r="U426" s="2">
        <f ca="1">VLOOKUP(E426,金币生产率!$A$2:$B$120,2,0)</f>
        <v>606</v>
      </c>
      <c r="V426" s="2">
        <f t="shared" si="181"/>
        <v>119.04761904761905</v>
      </c>
      <c r="W426" s="45">
        <f t="shared" ca="1" si="194"/>
        <v>10</v>
      </c>
      <c r="X426" s="48">
        <f t="shared" ca="1" si="195"/>
        <v>97</v>
      </c>
      <c r="Y426">
        <f t="shared" si="182"/>
        <v>18</v>
      </c>
      <c r="Z426">
        <f t="shared" ca="1" si="189"/>
        <v>0</v>
      </c>
      <c r="AA426" t="str">
        <f t="shared" ca="1" si="190"/>
        <v>9124300.png</v>
      </c>
      <c r="AB426">
        <f t="shared" si="183"/>
        <v>5</v>
      </c>
      <c r="AC426">
        <f>VLOOKUP(C426,技能辅助查询表,技能配置辅助表!$W$1,FALSE)</f>
        <v>974</v>
      </c>
      <c r="AD426">
        <f t="shared" ca="1" si="191"/>
        <v>7.0367869299363806</v>
      </c>
      <c r="AE426">
        <f>VLOOKUP(C426,技能辅助查询表,技能配置辅助表!$U$1,FALSE)</f>
        <v>4</v>
      </c>
      <c r="AF426">
        <f t="shared" ca="1" si="192"/>
        <v>9124316</v>
      </c>
      <c r="AG426">
        <f t="shared" ca="1" si="196"/>
        <v>31.428571428571427</v>
      </c>
      <c r="AH426">
        <f t="shared" ca="1" si="193"/>
        <v>92.357828455414989</v>
      </c>
      <c r="AI426">
        <f ca="1">VLOOKUP(E426,伤害参考系!$C$4:$E$104,3,FALSE)*$AN$12</f>
        <v>1873.3990785953181</v>
      </c>
      <c r="AJ426">
        <f>VLOOKUP(C426,技能辅助查询表,技能配置辅助表!$L$1,FALSE)</f>
        <v>4</v>
      </c>
      <c r="AK426">
        <f>VLOOKUP(C426,技能辅助查询表,技能配置辅助表!$AE$1,FALSE)</f>
        <v>66000009</v>
      </c>
    </row>
    <row r="427" spans="1:37" x14ac:dyDescent="0.15">
      <c r="A427" s="1">
        <f t="shared" ca="1" si="184"/>
        <v>9124317</v>
      </c>
      <c r="B427" s="1" t="str">
        <f t="shared" ca="1" si="169"/>
        <v>裂空·斩第3段</v>
      </c>
      <c r="C427" t="s">
        <v>158</v>
      </c>
      <c r="D427">
        <f t="shared" si="170"/>
        <v>1</v>
      </c>
      <c r="E427" s="42">
        <f t="shared" ca="1" si="185"/>
        <v>34</v>
      </c>
      <c r="F427" t="str">
        <f t="shared" ca="1" si="186"/>
        <v>第17级，共造成139.3%点伤害</v>
      </c>
      <c r="G427">
        <f t="shared" ca="1" si="187"/>
        <v>3</v>
      </c>
      <c r="H427">
        <f t="shared" si="171"/>
        <v>3</v>
      </c>
      <c r="I427" s="44">
        <f t="shared" ca="1" si="188"/>
        <v>17</v>
      </c>
      <c r="J427">
        <f t="shared" si="172"/>
        <v>2</v>
      </c>
      <c r="K427" s="36">
        <f t="shared" ca="1" si="173"/>
        <v>34.821428571428569</v>
      </c>
      <c r="L427" s="10">
        <f ca="1">AH427*VLOOKUP(C427,技能辅助查询表,技能配置辅助表!$T$1,FALSE)</f>
        <v>0</v>
      </c>
      <c r="M427">
        <f t="shared" ca="1" si="174"/>
        <v>6640</v>
      </c>
      <c r="N427" s="33">
        <f ca="1">CHOOSE(1,W427*U427,X427*'[1]0、经济设定'!$C$18)</f>
        <v>6960</v>
      </c>
      <c r="O427">
        <f t="shared" si="175"/>
        <v>4</v>
      </c>
      <c r="P427">
        <f t="shared" si="176"/>
        <v>4</v>
      </c>
      <c r="Q427">
        <f t="shared" si="177"/>
        <v>1</v>
      </c>
      <c r="R427" s="2">
        <f t="shared" si="178"/>
        <v>10</v>
      </c>
      <c r="S427" s="2">
        <f t="shared" si="179"/>
        <v>50</v>
      </c>
      <c r="T427" s="2">
        <f t="shared" si="180"/>
        <v>29.761904761904763</v>
      </c>
      <c r="U427" s="2">
        <f ca="1">VLOOKUP(E427,金币生产率!$A$2:$B$120,2,0)</f>
        <v>696</v>
      </c>
      <c r="V427" s="2">
        <f t="shared" si="181"/>
        <v>119.04761904761905</v>
      </c>
      <c r="W427" s="45">
        <f t="shared" ca="1" si="194"/>
        <v>10</v>
      </c>
      <c r="X427" s="48">
        <f t="shared" ca="1" si="195"/>
        <v>107</v>
      </c>
      <c r="Y427">
        <f t="shared" si="182"/>
        <v>18</v>
      </c>
      <c r="Z427">
        <f t="shared" ca="1" si="189"/>
        <v>0</v>
      </c>
      <c r="AA427" t="str">
        <f t="shared" ca="1" si="190"/>
        <v>9124300.png</v>
      </c>
      <c r="AB427">
        <f t="shared" si="183"/>
        <v>5</v>
      </c>
      <c r="AC427">
        <f>VLOOKUP(C427,技能辅助查询表,技能配置辅助表!$W$1,FALSE)</f>
        <v>974</v>
      </c>
      <c r="AD427">
        <f t="shared" ca="1" si="191"/>
        <v>8.2616417152442487</v>
      </c>
      <c r="AE427">
        <f>VLOOKUP(C427,技能辅助查询表,技能配置辅助表!$U$1,FALSE)</f>
        <v>4</v>
      </c>
      <c r="AF427">
        <f t="shared" ca="1" si="192"/>
        <v>9124317</v>
      </c>
      <c r="AG427">
        <f t="shared" ca="1" si="196"/>
        <v>32.857142857142861</v>
      </c>
      <c r="AH427">
        <f t="shared" ca="1" si="193"/>
        <v>105.14816728492683</v>
      </c>
      <c r="AI427">
        <f ca="1">VLOOKUP(E427,伤害参考系!$C$4:$E$104,3,FALSE)*$AN$12</f>
        <v>2196.2761028428095</v>
      </c>
      <c r="AJ427">
        <f>VLOOKUP(C427,技能辅助查询表,技能配置辅助表!$L$1,FALSE)</f>
        <v>4</v>
      </c>
      <c r="AK427">
        <f>VLOOKUP(C427,技能辅助查询表,技能配置辅助表!$AE$1,FALSE)</f>
        <v>66000009</v>
      </c>
    </row>
    <row r="428" spans="1:37" x14ac:dyDescent="0.15">
      <c r="A428" s="1">
        <f t="shared" ca="1" si="184"/>
        <v>9124318</v>
      </c>
      <c r="B428" s="1" t="str">
        <f t="shared" ca="1" si="169"/>
        <v>裂空·斩第3段</v>
      </c>
      <c r="C428" t="s">
        <v>158</v>
      </c>
      <c r="D428">
        <f t="shared" si="170"/>
        <v>1</v>
      </c>
      <c r="E428" s="42">
        <f t="shared" ca="1" si="185"/>
        <v>35</v>
      </c>
      <c r="F428" t="str">
        <f t="shared" ca="1" si="186"/>
        <v>第18级，共造成140.5%点伤害</v>
      </c>
      <c r="G428">
        <f t="shared" ca="1" si="187"/>
        <v>3</v>
      </c>
      <c r="H428">
        <f t="shared" si="171"/>
        <v>3</v>
      </c>
      <c r="I428" s="44">
        <f t="shared" ca="1" si="188"/>
        <v>18</v>
      </c>
      <c r="J428">
        <f t="shared" si="172"/>
        <v>2</v>
      </c>
      <c r="K428" s="36">
        <f t="shared" ca="1" si="173"/>
        <v>35.11904761904762</v>
      </c>
      <c r="L428" s="10">
        <f ca="1">AH428*VLOOKUP(C428,技能辅助查询表,技能配置辅助表!$T$1,FALSE)</f>
        <v>0</v>
      </c>
      <c r="M428">
        <f t="shared" ca="1" si="174"/>
        <v>6560</v>
      </c>
      <c r="N428" s="33">
        <f ca="1">CHOOSE(1,W428*U428,X428*'[1]0、经济设定'!$C$18)</f>
        <v>8173</v>
      </c>
      <c r="O428">
        <f t="shared" si="175"/>
        <v>4</v>
      </c>
      <c r="P428">
        <f t="shared" si="176"/>
        <v>4</v>
      </c>
      <c r="Q428">
        <f t="shared" si="177"/>
        <v>1</v>
      </c>
      <c r="R428" s="2">
        <f t="shared" si="178"/>
        <v>10</v>
      </c>
      <c r="S428" s="2">
        <f t="shared" si="179"/>
        <v>50</v>
      </c>
      <c r="T428" s="2">
        <f t="shared" si="180"/>
        <v>29.761904761904763</v>
      </c>
      <c r="U428" s="2">
        <f ca="1">VLOOKUP(E428,金币生产率!$A$2:$B$120,2,0)</f>
        <v>743</v>
      </c>
      <c r="V428" s="2">
        <f t="shared" si="181"/>
        <v>119.04761904761905</v>
      </c>
      <c r="W428" s="45">
        <f t="shared" ca="1" si="194"/>
        <v>11</v>
      </c>
      <c r="X428" s="48">
        <f t="shared" ca="1" si="195"/>
        <v>118</v>
      </c>
      <c r="Y428">
        <f t="shared" si="182"/>
        <v>18</v>
      </c>
      <c r="Z428">
        <f t="shared" ca="1" si="189"/>
        <v>5</v>
      </c>
      <c r="AA428" t="str">
        <f t="shared" ca="1" si="190"/>
        <v>9124300.png</v>
      </c>
      <c r="AB428">
        <f t="shared" si="183"/>
        <v>5</v>
      </c>
      <c r="AC428">
        <f>VLOOKUP(C428,技能辅助查询表,技能配置辅助表!$W$1,FALSE)</f>
        <v>974</v>
      </c>
      <c r="AD428">
        <f t="shared" ca="1" si="191"/>
        <v>9.6907932549269837</v>
      </c>
      <c r="AE428">
        <f>VLOOKUP(C428,技能辅助查询表,技能配置辅助表!$U$1,FALSE)</f>
        <v>4</v>
      </c>
      <c r="AF428">
        <f t="shared" ca="1" si="192"/>
        <v>9124318</v>
      </c>
      <c r="AG428">
        <f t="shared" ca="1" si="196"/>
        <v>34.285714285714285</v>
      </c>
      <c r="AH428">
        <f t="shared" ca="1" si="193"/>
        <v>119.70979903145096</v>
      </c>
      <c r="AI428">
        <f ca="1">VLOOKUP(E428,伤害参考系!$C$4:$E$104,3,FALSE)*$AN$12</f>
        <v>2367.0860869565217</v>
      </c>
      <c r="AJ428">
        <f>VLOOKUP(C428,技能辅助查询表,技能配置辅助表!$L$1,FALSE)</f>
        <v>4</v>
      </c>
      <c r="AK428">
        <f>VLOOKUP(C428,技能辅助查询表,技能配置辅助表!$AE$1,FALSE)</f>
        <v>66000009</v>
      </c>
    </row>
    <row r="429" spans="1:37" x14ac:dyDescent="0.15">
      <c r="A429" s="1">
        <f t="shared" ca="1" si="184"/>
        <v>9124319</v>
      </c>
      <c r="B429" s="1" t="str">
        <f t="shared" ca="1" si="169"/>
        <v>裂空·斩第3段</v>
      </c>
      <c r="C429" t="s">
        <v>158</v>
      </c>
      <c r="D429">
        <f t="shared" si="170"/>
        <v>1</v>
      </c>
      <c r="E429" s="42">
        <f t="shared" ca="1" si="185"/>
        <v>37</v>
      </c>
      <c r="F429" t="str">
        <f t="shared" ca="1" si="186"/>
        <v>第19级，共造成141.7%点伤害</v>
      </c>
      <c r="G429">
        <f t="shared" ca="1" si="187"/>
        <v>3</v>
      </c>
      <c r="H429">
        <f t="shared" si="171"/>
        <v>3</v>
      </c>
      <c r="I429" s="44">
        <f t="shared" ca="1" si="188"/>
        <v>19</v>
      </c>
      <c r="J429">
        <f t="shared" si="172"/>
        <v>2</v>
      </c>
      <c r="K429" s="36">
        <f t="shared" ca="1" si="173"/>
        <v>35.416666666666671</v>
      </c>
      <c r="L429" s="10">
        <f ca="1">AH429*VLOOKUP(C429,技能辅助查询表,技能配置辅助表!$T$1,FALSE)</f>
        <v>0</v>
      </c>
      <c r="M429">
        <f t="shared" ca="1" si="174"/>
        <v>6480</v>
      </c>
      <c r="N429" s="33">
        <f ca="1">CHOOSE(1,W429*U429,X429*'[1]0、经济设定'!$C$18)</f>
        <v>10092</v>
      </c>
      <c r="O429">
        <f t="shared" si="175"/>
        <v>4</v>
      </c>
      <c r="P429">
        <f t="shared" si="176"/>
        <v>4</v>
      </c>
      <c r="Q429">
        <f t="shared" si="177"/>
        <v>1</v>
      </c>
      <c r="R429" s="2">
        <f t="shared" si="178"/>
        <v>10</v>
      </c>
      <c r="S429" s="2">
        <f t="shared" si="179"/>
        <v>50</v>
      </c>
      <c r="T429" s="2">
        <f t="shared" si="180"/>
        <v>29.761904761904763</v>
      </c>
      <c r="U429" s="2">
        <f ca="1">VLOOKUP(E429,金币生产率!$A$2:$B$120,2,0)</f>
        <v>841</v>
      </c>
      <c r="V429" s="2">
        <f t="shared" si="181"/>
        <v>119.04761904761905</v>
      </c>
      <c r="W429" s="45">
        <f t="shared" ca="1" si="194"/>
        <v>12</v>
      </c>
      <c r="X429" s="48">
        <f t="shared" ca="1" si="195"/>
        <v>130</v>
      </c>
      <c r="Y429">
        <f t="shared" si="182"/>
        <v>18</v>
      </c>
      <c r="Z429">
        <f t="shared" ca="1" si="189"/>
        <v>5</v>
      </c>
      <c r="AA429" t="str">
        <f t="shared" ca="1" si="190"/>
        <v>9124300.png</v>
      </c>
      <c r="AB429">
        <f t="shared" si="183"/>
        <v>5</v>
      </c>
      <c r="AC429">
        <f>VLOOKUP(C429,技能辅助查询表,技能配置辅助表!$W$1,FALSE)</f>
        <v>974</v>
      </c>
      <c r="AD429">
        <f t="shared" ca="1" si="191"/>
        <v>11.357335363185069</v>
      </c>
      <c r="AE429">
        <f>VLOOKUP(C429,技能辅助查询表,技能配置辅助表!$U$1,FALSE)</f>
        <v>4</v>
      </c>
      <c r="AF429">
        <f t="shared" ca="1" si="192"/>
        <v>9124319</v>
      </c>
      <c r="AG429">
        <f t="shared" ca="1" si="196"/>
        <v>35.714285714285715</v>
      </c>
      <c r="AH429">
        <f t="shared" ca="1" si="193"/>
        <v>136.28802435822078</v>
      </c>
      <c r="AI429">
        <f ca="1">VLOOKUP(E429,伤害参考系!$C$4:$E$104,3,FALSE)*$AN$12</f>
        <v>2727.4489991638798</v>
      </c>
      <c r="AJ429">
        <f>VLOOKUP(C429,技能辅助查询表,技能配置辅助表!$L$1,FALSE)</f>
        <v>4</v>
      </c>
      <c r="AK429">
        <f>VLOOKUP(C429,技能辅助查询表,技能配置辅助表!$AE$1,FALSE)</f>
        <v>66000009</v>
      </c>
    </row>
    <row r="430" spans="1:37" x14ac:dyDescent="0.15">
      <c r="A430" s="1">
        <f t="shared" ca="1" si="184"/>
        <v>9124320</v>
      </c>
      <c r="B430" s="1" t="str">
        <f t="shared" ca="1" si="169"/>
        <v>裂空·斩第3段</v>
      </c>
      <c r="C430" t="s">
        <v>158</v>
      </c>
      <c r="D430">
        <f t="shared" si="170"/>
        <v>1</v>
      </c>
      <c r="E430" s="42">
        <f t="shared" ca="1" si="185"/>
        <v>38</v>
      </c>
      <c r="F430" t="str">
        <f t="shared" ca="1" si="186"/>
        <v>第20级，共造成142.9%点伤害</v>
      </c>
      <c r="G430">
        <f t="shared" ca="1" si="187"/>
        <v>3</v>
      </c>
      <c r="H430">
        <f t="shared" si="171"/>
        <v>3</v>
      </c>
      <c r="I430" s="44">
        <f t="shared" ca="1" si="188"/>
        <v>20</v>
      </c>
      <c r="J430">
        <f t="shared" si="172"/>
        <v>2</v>
      </c>
      <c r="K430" s="36">
        <f t="shared" ca="1" si="173"/>
        <v>35.714285714285715</v>
      </c>
      <c r="L430" s="10">
        <f ca="1">AH430*VLOOKUP(C430,技能辅助查询表,技能配置辅助表!$T$1,FALSE)</f>
        <v>0</v>
      </c>
      <c r="M430">
        <f t="shared" ca="1" si="174"/>
        <v>6400</v>
      </c>
      <c r="N430" s="33">
        <f ca="1">CHOOSE(1,W430*U430,X430*'[1]0、经济设定'!$C$18)</f>
        <v>11596</v>
      </c>
      <c r="O430">
        <f t="shared" si="175"/>
        <v>4</v>
      </c>
      <c r="P430">
        <f t="shared" si="176"/>
        <v>4</v>
      </c>
      <c r="Q430">
        <f t="shared" si="177"/>
        <v>1</v>
      </c>
      <c r="R430" s="2">
        <f t="shared" si="178"/>
        <v>10</v>
      </c>
      <c r="S430" s="2">
        <f t="shared" si="179"/>
        <v>50</v>
      </c>
      <c r="T430" s="2">
        <f t="shared" si="180"/>
        <v>29.761904761904763</v>
      </c>
      <c r="U430" s="2">
        <f ca="1">VLOOKUP(E430,金币生产率!$A$2:$B$120,2,0)</f>
        <v>892</v>
      </c>
      <c r="V430" s="2">
        <f t="shared" si="181"/>
        <v>119.04761904761905</v>
      </c>
      <c r="W430" s="45">
        <f t="shared" ca="1" si="194"/>
        <v>13</v>
      </c>
      <c r="X430" s="48">
        <f t="shared" ca="1" si="195"/>
        <v>143</v>
      </c>
      <c r="Y430">
        <f t="shared" si="182"/>
        <v>18</v>
      </c>
      <c r="Z430">
        <f t="shared" ca="1" si="189"/>
        <v>6</v>
      </c>
      <c r="AA430" t="str">
        <f t="shared" ca="1" si="190"/>
        <v>9124300.png</v>
      </c>
      <c r="AB430">
        <f t="shared" si="183"/>
        <v>5</v>
      </c>
      <c r="AC430">
        <f>VLOOKUP(C430,技能辅助查询表,技能配置辅助表!$W$1,FALSE)</f>
        <v>974</v>
      </c>
      <c r="AD430">
        <f t="shared" ca="1" si="191"/>
        <v>13.299609842480328</v>
      </c>
      <c r="AE430">
        <f>VLOOKUP(C430,技能辅助查询表,技能配置辅助表!$U$1,FALSE)</f>
        <v>4</v>
      </c>
      <c r="AF430">
        <f t="shared" ca="1" si="192"/>
        <v>9124320</v>
      </c>
      <c r="AG430">
        <f t="shared" ca="1" si="196"/>
        <v>37.142857142857139</v>
      </c>
      <c r="AH430">
        <f t="shared" ca="1" si="193"/>
        <v>155.16211482893718</v>
      </c>
      <c r="AI430">
        <f ca="1">VLOOKUP(E430,伤害参考系!$C$4:$E$104,3,FALSE)*$AN$12</f>
        <v>2917.001927257525</v>
      </c>
      <c r="AJ430">
        <f>VLOOKUP(C430,技能辅助查询表,技能配置辅助表!$L$1,FALSE)</f>
        <v>4</v>
      </c>
      <c r="AK430">
        <f>VLOOKUP(C430,技能辅助查询表,技能配置辅助表!$AE$1,FALSE)</f>
        <v>66000009</v>
      </c>
    </row>
    <row r="431" spans="1:37" x14ac:dyDescent="0.15">
      <c r="A431" s="1">
        <f t="shared" ca="1" si="184"/>
        <v>9124321</v>
      </c>
      <c r="B431" s="1" t="str">
        <f t="shared" ca="1" si="169"/>
        <v>裂空·斩第3段</v>
      </c>
      <c r="C431" t="s">
        <v>158</v>
      </c>
      <c r="D431">
        <f t="shared" si="170"/>
        <v>1</v>
      </c>
      <c r="E431" s="42">
        <f t="shared" ca="1" si="185"/>
        <v>39</v>
      </c>
      <c r="F431" t="str">
        <f t="shared" ca="1" si="186"/>
        <v>第21级，共造成144%点伤害</v>
      </c>
      <c r="G431">
        <f t="shared" ca="1" si="187"/>
        <v>3</v>
      </c>
      <c r="H431">
        <f t="shared" si="171"/>
        <v>3</v>
      </c>
      <c r="I431" s="44">
        <f t="shared" ca="1" si="188"/>
        <v>21</v>
      </c>
      <c r="J431">
        <f t="shared" si="172"/>
        <v>2</v>
      </c>
      <c r="K431" s="36">
        <f t="shared" ca="1" si="173"/>
        <v>36.011904761904759</v>
      </c>
      <c r="L431" s="10">
        <f ca="1">AH431*VLOOKUP(C431,技能辅助查询表,技能配置辅助表!$T$1,FALSE)</f>
        <v>0</v>
      </c>
      <c r="M431">
        <f t="shared" ca="1" si="174"/>
        <v>6320</v>
      </c>
      <c r="N431" s="33">
        <f ca="1">CHOOSE(1,W431*U431,X431*'[1]0、经济设定'!$C$18)</f>
        <v>12272</v>
      </c>
      <c r="O431">
        <f t="shared" si="175"/>
        <v>4</v>
      </c>
      <c r="P431">
        <f t="shared" si="176"/>
        <v>4</v>
      </c>
      <c r="Q431">
        <f t="shared" si="177"/>
        <v>1</v>
      </c>
      <c r="R431" s="2">
        <f t="shared" si="178"/>
        <v>10</v>
      </c>
      <c r="S431" s="2">
        <f t="shared" si="179"/>
        <v>50</v>
      </c>
      <c r="T431" s="2">
        <f t="shared" si="180"/>
        <v>29.761904761904763</v>
      </c>
      <c r="U431" s="2">
        <f ca="1">VLOOKUP(E431,金币生产率!$A$2:$B$120,2,0)</f>
        <v>944</v>
      </c>
      <c r="V431" s="2">
        <f t="shared" si="181"/>
        <v>119.04761904761905</v>
      </c>
      <c r="W431" s="45">
        <f t="shared" ca="1" si="194"/>
        <v>13</v>
      </c>
      <c r="X431" s="48">
        <f t="shared" ca="1" si="195"/>
        <v>156</v>
      </c>
      <c r="Y431">
        <f t="shared" si="182"/>
        <v>18</v>
      </c>
      <c r="Z431">
        <f t="shared" ca="1" si="189"/>
        <v>6</v>
      </c>
      <c r="AA431" t="str">
        <f t="shared" ca="1" si="190"/>
        <v>9124300.png</v>
      </c>
      <c r="AB431">
        <f t="shared" si="183"/>
        <v>5</v>
      </c>
      <c r="AC431">
        <f>VLOOKUP(C431,技能辅助查询表,技能配置辅助表!$W$1,FALSE)</f>
        <v>974</v>
      </c>
      <c r="AD431">
        <f t="shared" ca="1" si="191"/>
        <v>15.562025344899888</v>
      </c>
      <c r="AE431">
        <f>VLOOKUP(C431,技能辅助查询表,技能配置辅助表!$U$1,FALSE)</f>
        <v>4</v>
      </c>
      <c r="AF431">
        <f t="shared" ca="1" si="192"/>
        <v>9124321</v>
      </c>
      <c r="AG431">
        <f t="shared" ca="1" si="196"/>
        <v>38.571428571428569</v>
      </c>
      <c r="AH431">
        <f t="shared" ca="1" si="193"/>
        <v>176.65001742859343</v>
      </c>
      <c r="AI431">
        <f ca="1">VLOOKUP(E431,伤害参考系!$C$4:$E$104,3,FALSE)*$AN$12</f>
        <v>3112.8025033444819</v>
      </c>
      <c r="AJ431">
        <f>VLOOKUP(C431,技能辅助查询表,技能配置辅助表!$L$1,FALSE)</f>
        <v>4</v>
      </c>
      <c r="AK431">
        <f>VLOOKUP(C431,技能辅助查询表,技能配置辅助表!$AE$1,FALSE)</f>
        <v>66000009</v>
      </c>
    </row>
    <row r="432" spans="1:37" x14ac:dyDescent="0.15">
      <c r="A432" s="1">
        <f t="shared" ca="1" si="184"/>
        <v>9124322</v>
      </c>
      <c r="B432" s="1" t="str">
        <f t="shared" ca="1" si="169"/>
        <v>裂空·斩第3段</v>
      </c>
      <c r="C432" t="s">
        <v>158</v>
      </c>
      <c r="D432">
        <f t="shared" si="170"/>
        <v>1</v>
      </c>
      <c r="E432" s="42">
        <f t="shared" ca="1" si="185"/>
        <v>41</v>
      </c>
      <c r="F432" t="str">
        <f t="shared" ca="1" si="186"/>
        <v>第22级，共造成145.2%点伤害</v>
      </c>
      <c r="G432">
        <f t="shared" ca="1" si="187"/>
        <v>3</v>
      </c>
      <c r="H432">
        <f t="shared" si="171"/>
        <v>3</v>
      </c>
      <c r="I432" s="44">
        <f t="shared" ca="1" si="188"/>
        <v>22</v>
      </c>
      <c r="J432">
        <f t="shared" si="172"/>
        <v>2</v>
      </c>
      <c r="K432" s="36">
        <f t="shared" ca="1" si="173"/>
        <v>36.30952380952381</v>
      </c>
      <c r="L432" s="10">
        <f ca="1">AH432*VLOOKUP(C432,技能辅助查询表,技能配置辅助表!$T$1,FALSE)</f>
        <v>0</v>
      </c>
      <c r="M432">
        <f t="shared" ca="1" si="174"/>
        <v>6240</v>
      </c>
      <c r="N432" s="33">
        <f ca="1">CHOOSE(1,W432*U432,X432*'[1]0、经济设定'!$C$18)</f>
        <v>14742</v>
      </c>
      <c r="O432">
        <f t="shared" si="175"/>
        <v>4</v>
      </c>
      <c r="P432">
        <f t="shared" si="176"/>
        <v>4</v>
      </c>
      <c r="Q432">
        <f t="shared" si="177"/>
        <v>1</v>
      </c>
      <c r="R432" s="2">
        <f t="shared" si="178"/>
        <v>10</v>
      </c>
      <c r="S432" s="2">
        <f t="shared" si="179"/>
        <v>50</v>
      </c>
      <c r="T432" s="2">
        <f t="shared" si="180"/>
        <v>29.761904761904763</v>
      </c>
      <c r="U432" s="2">
        <f ca="1">VLOOKUP(E432,金币生产率!$A$2:$B$120,2,0)</f>
        <v>1053</v>
      </c>
      <c r="V432" s="2">
        <f t="shared" si="181"/>
        <v>119.04761904761905</v>
      </c>
      <c r="W432" s="45">
        <f t="shared" ca="1" si="194"/>
        <v>14</v>
      </c>
      <c r="X432" s="48">
        <f t="shared" ca="1" si="195"/>
        <v>170</v>
      </c>
      <c r="Y432">
        <f t="shared" si="182"/>
        <v>18</v>
      </c>
      <c r="Z432">
        <f t="shared" ca="1" si="189"/>
        <v>6</v>
      </c>
      <c r="AA432" t="str">
        <f t="shared" ca="1" si="190"/>
        <v>9124300.png</v>
      </c>
      <c r="AB432">
        <f t="shared" si="183"/>
        <v>5</v>
      </c>
      <c r="AC432">
        <f>VLOOKUP(C432,技能辅助查询表,技能配置辅助表!$W$1,FALSE)</f>
        <v>974</v>
      </c>
      <c r="AD432">
        <f t="shared" ca="1" si="191"/>
        <v>18.19600238746251</v>
      </c>
      <c r="AE432">
        <f>VLOOKUP(C432,技能辅助查询表,技能配置辅助表!$U$1,FALSE)</f>
        <v>4</v>
      </c>
      <c r="AF432">
        <f t="shared" ca="1" si="192"/>
        <v>9124322</v>
      </c>
      <c r="AG432">
        <f t="shared" ca="1" si="196"/>
        <v>40</v>
      </c>
      <c r="AH432">
        <f t="shared" ca="1" si="193"/>
        <v>201.11371059826985</v>
      </c>
      <c r="AI432">
        <f ca="1">VLOOKUP(E432,伤害参考系!$C$4:$E$104,3,FALSE)*$AN$12</f>
        <v>3584.9561889632118</v>
      </c>
      <c r="AJ432">
        <f>VLOOKUP(C432,技能辅助查询表,技能配置辅助表!$L$1,FALSE)</f>
        <v>4</v>
      </c>
      <c r="AK432">
        <f>VLOOKUP(C432,技能辅助查询表,技能配置辅助表!$AE$1,FALSE)</f>
        <v>66000009</v>
      </c>
    </row>
    <row r="433" spans="1:37" x14ac:dyDescent="0.15">
      <c r="A433" s="1">
        <f t="shared" ca="1" si="184"/>
        <v>9124323</v>
      </c>
      <c r="B433" s="1" t="str">
        <f t="shared" ca="1" si="169"/>
        <v>裂空·斩第3段</v>
      </c>
      <c r="C433" t="s">
        <v>158</v>
      </c>
      <c r="D433">
        <f t="shared" si="170"/>
        <v>1</v>
      </c>
      <c r="E433" s="42">
        <f t="shared" ca="1" si="185"/>
        <v>42</v>
      </c>
      <c r="F433" t="str">
        <f t="shared" ca="1" si="186"/>
        <v>第23级，共造成146.4%点伤害</v>
      </c>
      <c r="G433">
        <f t="shared" ca="1" si="187"/>
        <v>3</v>
      </c>
      <c r="H433">
        <f t="shared" si="171"/>
        <v>3</v>
      </c>
      <c r="I433" s="44">
        <f t="shared" ca="1" si="188"/>
        <v>23</v>
      </c>
      <c r="J433">
        <f t="shared" si="172"/>
        <v>2</v>
      </c>
      <c r="K433" s="36">
        <f t="shared" ca="1" si="173"/>
        <v>36.607142857142861</v>
      </c>
      <c r="L433" s="10">
        <f ca="1">AH433*VLOOKUP(C433,技能辅助查询表,技能配置辅助表!$T$1,FALSE)</f>
        <v>0</v>
      </c>
      <c r="M433">
        <f t="shared" ca="1" si="174"/>
        <v>6160</v>
      </c>
      <c r="N433" s="33">
        <f ca="1">CHOOSE(1,W433*U433,X433*'[1]0、经济设定'!$C$18)</f>
        <v>16650</v>
      </c>
      <c r="O433">
        <f t="shared" si="175"/>
        <v>4</v>
      </c>
      <c r="P433">
        <f t="shared" si="176"/>
        <v>4</v>
      </c>
      <c r="Q433">
        <f t="shared" si="177"/>
        <v>1</v>
      </c>
      <c r="R433" s="2">
        <f t="shared" si="178"/>
        <v>10</v>
      </c>
      <c r="S433" s="2">
        <f t="shared" si="179"/>
        <v>50</v>
      </c>
      <c r="T433" s="2">
        <f t="shared" si="180"/>
        <v>29.761904761904763</v>
      </c>
      <c r="U433" s="2">
        <f ca="1">VLOOKUP(E433,金币生产率!$A$2:$B$120,2,0)</f>
        <v>1110</v>
      </c>
      <c r="V433" s="2">
        <f t="shared" si="181"/>
        <v>119.04761904761905</v>
      </c>
      <c r="W433" s="45">
        <f t="shared" ca="1" si="194"/>
        <v>15</v>
      </c>
      <c r="X433" s="48">
        <f t="shared" ca="1" si="195"/>
        <v>185</v>
      </c>
      <c r="Y433">
        <f t="shared" si="182"/>
        <v>18</v>
      </c>
      <c r="Z433">
        <f t="shared" ca="1" si="189"/>
        <v>6</v>
      </c>
      <c r="AA433" t="str">
        <f t="shared" ca="1" si="190"/>
        <v>9124300.png</v>
      </c>
      <c r="AB433">
        <f t="shared" si="183"/>
        <v>5</v>
      </c>
      <c r="AC433">
        <f>VLOOKUP(C433,技能辅助查询表,技能配置辅助表!$W$1,FALSE)</f>
        <v>974</v>
      </c>
      <c r="AD433">
        <f t="shared" ca="1" si="191"/>
        <v>21.261063758068786</v>
      </c>
      <c r="AE433">
        <f>VLOOKUP(C433,技能辅助查询表,技能配置辅助表!$U$1,FALSE)</f>
        <v>4</v>
      </c>
      <c r="AF433">
        <f t="shared" ca="1" si="192"/>
        <v>9124323</v>
      </c>
      <c r="AG433">
        <f t="shared" ca="1" si="196"/>
        <v>41.428571428571431</v>
      </c>
      <c r="AH433">
        <f t="shared" ca="1" si="193"/>
        <v>228.96530200997151</v>
      </c>
      <c r="AI433">
        <f ca="1">VLOOKUP(E433,伤害参考系!$C$4:$E$104,3,FALSE)*$AN$12</f>
        <v>3833.528327759198</v>
      </c>
      <c r="AJ433">
        <f>VLOOKUP(C433,技能辅助查询表,技能配置辅助表!$L$1,FALSE)</f>
        <v>4</v>
      </c>
      <c r="AK433">
        <f>VLOOKUP(C433,技能辅助查询表,技能配置辅助表!$AE$1,FALSE)</f>
        <v>66000009</v>
      </c>
    </row>
    <row r="434" spans="1:37" x14ac:dyDescent="0.15">
      <c r="A434" s="1">
        <f t="shared" ca="1" si="184"/>
        <v>9124324</v>
      </c>
      <c r="B434" s="1" t="str">
        <f t="shared" ca="1" si="169"/>
        <v>裂空·斩第3段</v>
      </c>
      <c r="C434" t="s">
        <v>158</v>
      </c>
      <c r="D434">
        <f t="shared" si="170"/>
        <v>1</v>
      </c>
      <c r="E434" s="42">
        <f t="shared" ca="1" si="185"/>
        <v>44</v>
      </c>
      <c r="F434" t="str">
        <f t="shared" ca="1" si="186"/>
        <v>第24级，共造成147.6%点伤害</v>
      </c>
      <c r="G434">
        <f t="shared" ca="1" si="187"/>
        <v>3</v>
      </c>
      <c r="H434">
        <f t="shared" si="171"/>
        <v>3</v>
      </c>
      <c r="I434" s="44">
        <f t="shared" ca="1" si="188"/>
        <v>24</v>
      </c>
      <c r="J434">
        <f t="shared" si="172"/>
        <v>2</v>
      </c>
      <c r="K434" s="36">
        <f t="shared" ca="1" si="173"/>
        <v>36.904761904761905</v>
      </c>
      <c r="L434" s="10">
        <f ca="1">AH434*VLOOKUP(C434,技能辅助查询表,技能配置辅助表!$T$1,FALSE)</f>
        <v>0</v>
      </c>
      <c r="M434">
        <f t="shared" ca="1" si="174"/>
        <v>6080</v>
      </c>
      <c r="N434" s="33">
        <f ca="1">CHOOSE(1,W434*U434,X434*'[1]0、经济设定'!$C$18)</f>
        <v>19616</v>
      </c>
      <c r="O434">
        <f t="shared" si="175"/>
        <v>4</v>
      </c>
      <c r="P434">
        <f t="shared" si="176"/>
        <v>4</v>
      </c>
      <c r="Q434">
        <f t="shared" si="177"/>
        <v>1</v>
      </c>
      <c r="R434" s="2">
        <f t="shared" si="178"/>
        <v>10</v>
      </c>
      <c r="S434" s="2">
        <f t="shared" si="179"/>
        <v>50</v>
      </c>
      <c r="T434" s="2">
        <f t="shared" si="180"/>
        <v>29.761904761904763</v>
      </c>
      <c r="U434" s="2">
        <f ca="1">VLOOKUP(E434,金币生产率!$A$2:$B$120,2,0)</f>
        <v>1226</v>
      </c>
      <c r="V434" s="2">
        <f t="shared" si="181"/>
        <v>119.04761904761905</v>
      </c>
      <c r="W434" s="45">
        <f t="shared" ca="1" si="194"/>
        <v>16</v>
      </c>
      <c r="X434" s="48">
        <f t="shared" ca="1" si="195"/>
        <v>201</v>
      </c>
      <c r="Y434">
        <f t="shared" si="182"/>
        <v>18</v>
      </c>
      <c r="Z434">
        <f t="shared" ca="1" si="189"/>
        <v>7</v>
      </c>
      <c r="AA434" t="str">
        <f t="shared" ca="1" si="190"/>
        <v>9124300.png</v>
      </c>
      <c r="AB434">
        <f t="shared" si="183"/>
        <v>5</v>
      </c>
      <c r="AC434">
        <f>VLOOKUP(C434,技能辅助查询表,技能配置辅助表!$W$1,FALSE)</f>
        <v>974</v>
      </c>
      <c r="AD434">
        <f t="shared" ca="1" si="191"/>
        <v>24.826092457400648</v>
      </c>
      <c r="AE434">
        <f>VLOOKUP(C434,技能辅助查询表,技能配置辅助表!$U$1,FALSE)</f>
        <v>4</v>
      </c>
      <c r="AF434">
        <f t="shared" ca="1" si="192"/>
        <v>9124324</v>
      </c>
      <c r="AG434">
        <f t="shared" ca="1" si="196"/>
        <v>42.857142857142854</v>
      </c>
      <c r="AH434">
        <f t="shared" ca="1" si="193"/>
        <v>260.67397080270689</v>
      </c>
      <c r="AI434">
        <f ca="1">VLOOKUP(E434,伤害参考系!$C$4:$E$104,3,FALSE)*$AN$12</f>
        <v>4355.6631973244148</v>
      </c>
      <c r="AJ434">
        <f>VLOOKUP(C434,技能辅助查询表,技能配置辅助表!$L$1,FALSE)</f>
        <v>4</v>
      </c>
      <c r="AK434">
        <f>VLOOKUP(C434,技能辅助查询表,技能配置辅助表!$AE$1,FALSE)</f>
        <v>66000009</v>
      </c>
    </row>
    <row r="435" spans="1:37" x14ac:dyDescent="0.15">
      <c r="A435" s="1">
        <f t="shared" ca="1" si="184"/>
        <v>9124325</v>
      </c>
      <c r="B435" s="1" t="str">
        <f t="shared" ca="1" si="169"/>
        <v>裂空·斩第3段</v>
      </c>
      <c r="C435" t="s">
        <v>158</v>
      </c>
      <c r="D435">
        <f t="shared" si="170"/>
        <v>1</v>
      </c>
      <c r="E435" s="42">
        <f t="shared" ca="1" si="185"/>
        <v>45</v>
      </c>
      <c r="F435" t="str">
        <f t="shared" ca="1" si="186"/>
        <v>第25级，共造成148.8%点伤害</v>
      </c>
      <c r="G435">
        <f t="shared" ca="1" si="187"/>
        <v>3</v>
      </c>
      <c r="H435">
        <f t="shared" si="171"/>
        <v>3</v>
      </c>
      <c r="I435" s="44">
        <f t="shared" ca="1" si="188"/>
        <v>25</v>
      </c>
      <c r="J435">
        <f t="shared" si="172"/>
        <v>2</v>
      </c>
      <c r="K435" s="36">
        <f t="shared" ca="1" si="173"/>
        <v>37.202380952380956</v>
      </c>
      <c r="L435" s="10">
        <f ca="1">AH435*VLOOKUP(C435,技能辅助查询表,技能配置辅助表!$T$1,FALSE)</f>
        <v>0</v>
      </c>
      <c r="M435">
        <f t="shared" ca="1" si="174"/>
        <v>6000</v>
      </c>
      <c r="N435" s="33">
        <f ca="1">CHOOSE(1,W435*U435,X435*'[1]0、经济设定'!$C$18)</f>
        <v>23166</v>
      </c>
      <c r="O435">
        <f t="shared" si="175"/>
        <v>4</v>
      </c>
      <c r="P435">
        <f t="shared" si="176"/>
        <v>4</v>
      </c>
      <c r="Q435">
        <f t="shared" si="177"/>
        <v>1</v>
      </c>
      <c r="R435" s="2">
        <f t="shared" si="178"/>
        <v>10</v>
      </c>
      <c r="S435" s="2">
        <f t="shared" si="179"/>
        <v>50</v>
      </c>
      <c r="T435" s="2">
        <f t="shared" si="180"/>
        <v>29.761904761904763</v>
      </c>
      <c r="U435" s="2">
        <f ca="1">VLOOKUP(E435,金币生产率!$A$2:$B$120,2,0)</f>
        <v>1287</v>
      </c>
      <c r="V435" s="2">
        <f t="shared" si="181"/>
        <v>119.04761904761905</v>
      </c>
      <c r="W435" s="45">
        <f t="shared" ca="1" si="194"/>
        <v>18</v>
      </c>
      <c r="X435" s="48">
        <f t="shared" ca="1" si="195"/>
        <v>219</v>
      </c>
      <c r="Y435">
        <f t="shared" si="182"/>
        <v>18</v>
      </c>
      <c r="Z435">
        <f t="shared" ca="1" si="189"/>
        <v>8</v>
      </c>
      <c r="AA435" t="str">
        <f t="shared" ca="1" si="190"/>
        <v>9124300.png</v>
      </c>
      <c r="AB435">
        <f t="shared" si="183"/>
        <v>5</v>
      </c>
      <c r="AC435">
        <f>VLOOKUP(C435,技能辅助查询表,技能配置辅助表!$W$1,FALSE)</f>
        <v>974</v>
      </c>
      <c r="AD435">
        <f t="shared" ca="1" si="191"/>
        <v>28.970782667351624</v>
      </c>
      <c r="AE435">
        <f>VLOOKUP(C435,技能辅助查询表,技能配置辅助表!$U$1,FALSE)</f>
        <v>4</v>
      </c>
      <c r="AF435">
        <f t="shared" ca="1" si="192"/>
        <v>9124325</v>
      </c>
      <c r="AG435">
        <f t="shared" ca="1" si="196"/>
        <v>44.285714285714285</v>
      </c>
      <c r="AH435">
        <f t="shared" ca="1" si="193"/>
        <v>296.77387122652874</v>
      </c>
      <c r="AI435">
        <f ca="1">VLOOKUP(E435,伤害参考系!$C$4:$E$104,3,FALSE)*$AN$12</f>
        <v>4629.2259280936469</v>
      </c>
      <c r="AJ435">
        <f>VLOOKUP(C435,技能辅助查询表,技能配置辅助表!$L$1,FALSE)</f>
        <v>4</v>
      </c>
      <c r="AK435">
        <f>VLOOKUP(C435,技能辅助查询表,技能配置辅助表!$AE$1,FALSE)</f>
        <v>66000009</v>
      </c>
    </row>
    <row r="436" spans="1:37" x14ac:dyDescent="0.15">
      <c r="A436" s="1">
        <f t="shared" ca="1" si="184"/>
        <v>9124326</v>
      </c>
      <c r="B436" s="1" t="str">
        <f t="shared" ca="1" si="169"/>
        <v>裂空·斩第3段</v>
      </c>
      <c r="C436" t="s">
        <v>158</v>
      </c>
      <c r="D436">
        <f t="shared" si="170"/>
        <v>1</v>
      </c>
      <c r="E436" s="42">
        <f t="shared" ca="1" si="185"/>
        <v>46</v>
      </c>
      <c r="F436" t="str">
        <f t="shared" ca="1" si="186"/>
        <v>第26级，共造成150%点伤害</v>
      </c>
      <c r="G436">
        <f t="shared" ca="1" si="187"/>
        <v>3</v>
      </c>
      <c r="H436">
        <f t="shared" si="171"/>
        <v>3</v>
      </c>
      <c r="I436" s="44">
        <f t="shared" ca="1" si="188"/>
        <v>26</v>
      </c>
      <c r="J436">
        <f t="shared" si="172"/>
        <v>2</v>
      </c>
      <c r="K436" s="36">
        <f t="shared" ca="1" si="173"/>
        <v>37.5</v>
      </c>
      <c r="L436" s="10">
        <f ca="1">AH436*VLOOKUP(C436,技能辅助查询表,技能配置辅助表!$T$1,FALSE)</f>
        <v>0</v>
      </c>
      <c r="M436">
        <f t="shared" ca="1" si="174"/>
        <v>5920</v>
      </c>
      <c r="N436" s="33">
        <f ca="1">CHOOSE(1,W436*U436,X436*'[1]0、经济设定'!$C$18)</f>
        <v>25631</v>
      </c>
      <c r="O436">
        <f t="shared" si="175"/>
        <v>4</v>
      </c>
      <c r="P436">
        <f t="shared" si="176"/>
        <v>4</v>
      </c>
      <c r="Q436">
        <f t="shared" si="177"/>
        <v>1</v>
      </c>
      <c r="R436" s="2">
        <f t="shared" si="178"/>
        <v>10</v>
      </c>
      <c r="S436" s="2">
        <f t="shared" si="179"/>
        <v>50</v>
      </c>
      <c r="T436" s="2">
        <f t="shared" si="180"/>
        <v>29.761904761904763</v>
      </c>
      <c r="U436" s="2">
        <f ca="1">VLOOKUP(E436,金币生产率!$A$2:$B$120,2,0)</f>
        <v>1349</v>
      </c>
      <c r="V436" s="2">
        <f t="shared" si="181"/>
        <v>119.04761904761905</v>
      </c>
      <c r="W436" s="45">
        <f t="shared" ca="1" si="194"/>
        <v>19</v>
      </c>
      <c r="X436" s="48">
        <f t="shared" ca="1" si="195"/>
        <v>238</v>
      </c>
      <c r="Y436">
        <f t="shared" si="182"/>
        <v>18</v>
      </c>
      <c r="Z436">
        <f t="shared" ca="1" si="189"/>
        <v>8</v>
      </c>
      <c r="AA436" t="str">
        <f t="shared" ca="1" si="190"/>
        <v>9124300.png</v>
      </c>
      <c r="AB436">
        <f t="shared" si="183"/>
        <v>5</v>
      </c>
      <c r="AC436">
        <f>VLOOKUP(C436,技能辅助查询表,技能配置辅助表!$W$1,FALSE)</f>
        <v>974</v>
      </c>
      <c r="AD436">
        <f t="shared" ca="1" si="191"/>
        <v>33.787313083683465</v>
      </c>
      <c r="AE436">
        <f>VLOOKUP(C436,技能辅助查询表,技能配置辅助表!$U$1,FALSE)</f>
        <v>4</v>
      </c>
      <c r="AF436">
        <f t="shared" ca="1" si="192"/>
        <v>9124326</v>
      </c>
      <c r="AG436">
        <f t="shared" ca="1" si="196"/>
        <v>45.714285714285715</v>
      </c>
      <c r="AH436">
        <f t="shared" ca="1" si="193"/>
        <v>337.87313083683472</v>
      </c>
      <c r="AI436">
        <f ca="1">VLOOKUP(E436,伤害参考系!$C$4:$E$104,3,FALSE)*$AN$12</f>
        <v>4911.1188561872923</v>
      </c>
      <c r="AJ436">
        <f>VLOOKUP(C436,技能辅助查询表,技能配置辅助表!$L$1,FALSE)</f>
        <v>4</v>
      </c>
      <c r="AK436">
        <f>VLOOKUP(C436,技能辅助查询表,技能配置辅助表!$AE$1,FALSE)</f>
        <v>66000009</v>
      </c>
    </row>
    <row r="437" spans="1:37" x14ac:dyDescent="0.15">
      <c r="A437" s="1">
        <f t="shared" ca="1" si="184"/>
        <v>9124327</v>
      </c>
      <c r="B437" s="1" t="str">
        <f t="shared" ca="1" si="169"/>
        <v>裂空·斩第3段</v>
      </c>
      <c r="C437" t="s">
        <v>158</v>
      </c>
      <c r="D437">
        <f t="shared" si="170"/>
        <v>1</v>
      </c>
      <c r="E437" s="42">
        <f t="shared" ca="1" si="185"/>
        <v>48</v>
      </c>
      <c r="F437" t="str">
        <f t="shared" ca="1" si="186"/>
        <v>第27级，共造成151.2%点伤害</v>
      </c>
      <c r="G437">
        <f t="shared" ca="1" si="187"/>
        <v>3</v>
      </c>
      <c r="H437">
        <f t="shared" si="171"/>
        <v>3</v>
      </c>
      <c r="I437" s="44">
        <f t="shared" ca="1" si="188"/>
        <v>27</v>
      </c>
      <c r="J437">
        <f t="shared" si="172"/>
        <v>2</v>
      </c>
      <c r="K437" s="36">
        <f t="shared" ca="1" si="173"/>
        <v>37.797619047619051</v>
      </c>
      <c r="L437" s="10">
        <f ca="1">AH437*VLOOKUP(C437,技能辅助查询表,技能配置辅助表!$T$1,FALSE)</f>
        <v>0</v>
      </c>
      <c r="M437">
        <f t="shared" ca="1" si="174"/>
        <v>5840</v>
      </c>
      <c r="N437" s="33">
        <f ca="1">CHOOSE(1,W437*U437,X437*'[1]0、经济设定'!$C$18)</f>
        <v>29540</v>
      </c>
      <c r="O437">
        <f t="shared" si="175"/>
        <v>4</v>
      </c>
      <c r="P437">
        <f t="shared" si="176"/>
        <v>4</v>
      </c>
      <c r="Q437">
        <f t="shared" si="177"/>
        <v>1</v>
      </c>
      <c r="R437" s="2">
        <f t="shared" si="178"/>
        <v>10</v>
      </c>
      <c r="S437" s="2">
        <f t="shared" si="179"/>
        <v>50</v>
      </c>
      <c r="T437" s="2">
        <f t="shared" si="180"/>
        <v>29.761904761904763</v>
      </c>
      <c r="U437" s="2">
        <f ca="1">VLOOKUP(E437,金币生产率!$A$2:$B$120,2,0)</f>
        <v>1477</v>
      </c>
      <c r="V437" s="2">
        <f t="shared" si="181"/>
        <v>119.04761904761905</v>
      </c>
      <c r="W437" s="45">
        <f t="shared" ca="1" si="194"/>
        <v>20</v>
      </c>
      <c r="X437" s="48">
        <f t="shared" ca="1" si="195"/>
        <v>258</v>
      </c>
      <c r="Y437">
        <f t="shared" si="182"/>
        <v>18</v>
      </c>
      <c r="Z437">
        <f t="shared" ca="1" si="189"/>
        <v>8</v>
      </c>
      <c r="AA437" t="str">
        <f t="shared" ca="1" si="190"/>
        <v>9124300.png</v>
      </c>
      <c r="AB437">
        <f t="shared" si="183"/>
        <v>5</v>
      </c>
      <c r="AC437">
        <f>VLOOKUP(C437,技能辅助查询表,技能配置辅助表!$W$1,FALSE)</f>
        <v>974</v>
      </c>
      <c r="AD437">
        <f t="shared" ca="1" si="191"/>
        <v>39.382276374395779</v>
      </c>
      <c r="AE437">
        <f>VLOOKUP(C437,技能辅助查询表,技能配置辅助表!$U$1,FALSE)</f>
        <v>4</v>
      </c>
      <c r="AF437">
        <f t="shared" ca="1" si="192"/>
        <v>9124327</v>
      </c>
      <c r="AG437">
        <f t="shared" ca="1" si="196"/>
        <v>47.142857142857146</v>
      </c>
      <c r="AH437">
        <f t="shared" ca="1" si="193"/>
        <v>384.66409481967975</v>
      </c>
      <c r="AI437">
        <f ca="1">VLOOKUP(E437,伤害参考系!$C$4:$E$104,3,FALSE)*$AN$12</f>
        <v>5499.8953043478286</v>
      </c>
      <c r="AJ437">
        <f>VLOOKUP(C437,技能辅助查询表,技能配置辅助表!$L$1,FALSE)</f>
        <v>4</v>
      </c>
      <c r="AK437">
        <f>VLOOKUP(C437,技能辅助查询表,技能配置辅助表!$AE$1,FALSE)</f>
        <v>66000009</v>
      </c>
    </row>
    <row r="438" spans="1:37" x14ac:dyDescent="0.15">
      <c r="A438" s="1">
        <f t="shared" ca="1" si="184"/>
        <v>9124328</v>
      </c>
      <c r="B438" s="1" t="str">
        <f t="shared" ca="1" si="169"/>
        <v>裂空·斩第3段</v>
      </c>
      <c r="C438" t="s">
        <v>158</v>
      </c>
      <c r="D438">
        <f t="shared" si="170"/>
        <v>1</v>
      </c>
      <c r="E438" s="42">
        <f t="shared" ca="1" si="185"/>
        <v>49</v>
      </c>
      <c r="F438" t="str">
        <f t="shared" ca="1" si="186"/>
        <v>第28级，共造成152.4%点伤害</v>
      </c>
      <c r="G438">
        <f t="shared" ca="1" si="187"/>
        <v>3</v>
      </c>
      <c r="H438">
        <f t="shared" si="171"/>
        <v>3</v>
      </c>
      <c r="I438" s="44">
        <f t="shared" ca="1" si="188"/>
        <v>28</v>
      </c>
      <c r="J438">
        <f t="shared" si="172"/>
        <v>2</v>
      </c>
      <c r="K438" s="36">
        <f t="shared" ca="1" si="173"/>
        <v>38.095238095238095</v>
      </c>
      <c r="L438" s="10">
        <f ca="1">AH438*VLOOKUP(C438,技能辅助查询表,技能配置辅助表!$T$1,FALSE)</f>
        <v>0</v>
      </c>
      <c r="M438">
        <f t="shared" ca="1" si="174"/>
        <v>5760</v>
      </c>
      <c r="N438" s="33">
        <f ca="1">CHOOSE(1,W438*U438,X438*'[1]0、经济设定'!$C$18)</f>
        <v>32403</v>
      </c>
      <c r="O438">
        <f t="shared" si="175"/>
        <v>4</v>
      </c>
      <c r="P438">
        <f t="shared" si="176"/>
        <v>4</v>
      </c>
      <c r="Q438">
        <f t="shared" si="177"/>
        <v>1</v>
      </c>
      <c r="R438" s="2">
        <f t="shared" si="178"/>
        <v>10</v>
      </c>
      <c r="S438" s="2">
        <f t="shared" si="179"/>
        <v>50</v>
      </c>
      <c r="T438" s="2">
        <f t="shared" si="180"/>
        <v>29.761904761904763</v>
      </c>
      <c r="U438" s="2">
        <f ca="1">VLOOKUP(E438,金币生产率!$A$2:$B$120,2,0)</f>
        <v>1543</v>
      </c>
      <c r="V438" s="2">
        <f t="shared" si="181"/>
        <v>119.04761904761905</v>
      </c>
      <c r="W438" s="45">
        <f t="shared" ca="1" si="194"/>
        <v>21</v>
      </c>
      <c r="X438" s="48">
        <f t="shared" ca="1" si="195"/>
        <v>279</v>
      </c>
      <c r="Y438">
        <f t="shared" si="182"/>
        <v>18</v>
      </c>
      <c r="Z438">
        <f t="shared" ca="1" si="189"/>
        <v>9</v>
      </c>
      <c r="AA438" t="str">
        <f t="shared" ca="1" si="190"/>
        <v>9124300.png</v>
      </c>
      <c r="AB438">
        <f t="shared" si="183"/>
        <v>5</v>
      </c>
      <c r="AC438">
        <f>VLOOKUP(C438,技能辅助查询表,技能配置辅助表!$W$1,FALSE)</f>
        <v>974</v>
      </c>
      <c r="AD438">
        <f t="shared" ca="1" si="191"/>
        <v>45.878903611700046</v>
      </c>
      <c r="AE438">
        <f>VLOOKUP(C438,技能辅助查询表,技能配置辅助表!$U$1,FALSE)</f>
        <v>4</v>
      </c>
      <c r="AF438">
        <f t="shared" ca="1" si="192"/>
        <v>9124328</v>
      </c>
      <c r="AG438">
        <f t="shared" ca="1" si="196"/>
        <v>48.571428571428569</v>
      </c>
      <c r="AH438">
        <f t="shared" ca="1" si="193"/>
        <v>437.93498902077317</v>
      </c>
      <c r="AI438">
        <f ca="1">VLOOKUP(E438,伤害参考系!$C$4:$E$104,3,FALSE)*$AN$12</f>
        <v>5806.7788244147177</v>
      </c>
      <c r="AJ438">
        <f>VLOOKUP(C438,技能辅助查询表,技能配置辅助表!$L$1,FALSE)</f>
        <v>4</v>
      </c>
      <c r="AK438">
        <f>VLOOKUP(C438,技能辅助查询表,技能配置辅助表!$AE$1,FALSE)</f>
        <v>66000009</v>
      </c>
    </row>
    <row r="439" spans="1:37" x14ac:dyDescent="0.15">
      <c r="A439" s="1">
        <f t="shared" ca="1" si="184"/>
        <v>9124329</v>
      </c>
      <c r="B439" s="1" t="str">
        <f t="shared" ca="1" si="169"/>
        <v>裂空·斩第3段</v>
      </c>
      <c r="C439" t="s">
        <v>158</v>
      </c>
      <c r="D439">
        <f t="shared" si="170"/>
        <v>1</v>
      </c>
      <c r="E439" s="42">
        <f t="shared" ca="1" si="185"/>
        <v>51</v>
      </c>
      <c r="F439" t="str">
        <f t="shared" ca="1" si="186"/>
        <v>第29级，共造成153.6%点伤害</v>
      </c>
      <c r="G439">
        <f t="shared" ca="1" si="187"/>
        <v>3</v>
      </c>
      <c r="H439">
        <f t="shared" si="171"/>
        <v>3</v>
      </c>
      <c r="I439" s="44">
        <f t="shared" ca="1" si="188"/>
        <v>29</v>
      </c>
      <c r="J439">
        <f t="shared" si="172"/>
        <v>2</v>
      </c>
      <c r="K439" s="36">
        <f t="shared" ca="1" si="173"/>
        <v>38.392857142857146</v>
      </c>
      <c r="L439" s="10">
        <f ca="1">AH439*VLOOKUP(C439,技能辅助查询表,技能配置辅助表!$T$1,FALSE)</f>
        <v>0</v>
      </c>
      <c r="M439">
        <f t="shared" ca="1" si="174"/>
        <v>5680</v>
      </c>
      <c r="N439" s="33">
        <f ca="1">CHOOSE(1,W439*U439,X439*'[1]0、经济设定'!$C$18)</f>
        <v>38617</v>
      </c>
      <c r="O439">
        <f t="shared" si="175"/>
        <v>4</v>
      </c>
      <c r="P439">
        <f t="shared" si="176"/>
        <v>4</v>
      </c>
      <c r="Q439">
        <f t="shared" si="177"/>
        <v>1</v>
      </c>
      <c r="R439" s="2">
        <f t="shared" si="178"/>
        <v>10</v>
      </c>
      <c r="S439" s="2">
        <f t="shared" si="179"/>
        <v>50</v>
      </c>
      <c r="T439" s="2">
        <f t="shared" si="180"/>
        <v>29.761904761904763</v>
      </c>
      <c r="U439" s="2">
        <f ca="1">VLOOKUP(E439,金币生产率!$A$2:$B$120,2,0)</f>
        <v>1679</v>
      </c>
      <c r="V439" s="2">
        <f t="shared" si="181"/>
        <v>119.04761904761905</v>
      </c>
      <c r="W439" s="45">
        <f t="shared" ca="1" si="194"/>
        <v>23</v>
      </c>
      <c r="X439" s="48">
        <f t="shared" ca="1" si="195"/>
        <v>302</v>
      </c>
      <c r="Y439">
        <f t="shared" si="182"/>
        <v>18</v>
      </c>
      <c r="Z439">
        <f t="shared" ca="1" si="189"/>
        <v>10</v>
      </c>
      <c r="AA439" t="str">
        <f t="shared" ca="1" si="190"/>
        <v>9124300.png</v>
      </c>
      <c r="AB439">
        <f t="shared" si="183"/>
        <v>5</v>
      </c>
      <c r="AC439">
        <f>VLOOKUP(C439,技能辅助查询表,技能配置辅助表!$W$1,FALSE)</f>
        <v>974</v>
      </c>
      <c r="AD439">
        <f t="shared" ca="1" si="191"/>
        <v>53.41962837320149</v>
      </c>
      <c r="AE439">
        <f>VLOOKUP(C439,技能辅助查询表,技能配置辅助表!$U$1,FALSE)</f>
        <v>4</v>
      </c>
      <c r="AF439">
        <f t="shared" ca="1" si="192"/>
        <v>9124329</v>
      </c>
      <c r="AG439">
        <f t="shared" ca="1" si="196"/>
        <v>50</v>
      </c>
      <c r="AH439">
        <f t="shared" ca="1" si="193"/>
        <v>498.5831981498805</v>
      </c>
      <c r="AI439">
        <f ca="1">VLOOKUP(E439,伤害参考系!$C$4:$E$104,3,FALSE)*$AN$12</f>
        <v>6528.1715392976603</v>
      </c>
      <c r="AJ439">
        <f>VLOOKUP(C439,技能辅助查询表,技能配置辅助表!$L$1,FALSE)</f>
        <v>4</v>
      </c>
      <c r="AK439">
        <f>VLOOKUP(C439,技能辅助查询表,技能配置辅助表!$AE$1,FALSE)</f>
        <v>66000009</v>
      </c>
    </row>
    <row r="440" spans="1:37" x14ac:dyDescent="0.15">
      <c r="A440" s="1">
        <f t="shared" ca="1" si="184"/>
        <v>9124330</v>
      </c>
      <c r="B440" s="1" t="str">
        <f t="shared" ca="1" si="169"/>
        <v>裂空·斩第3段</v>
      </c>
      <c r="C440" t="s">
        <v>158</v>
      </c>
      <c r="D440">
        <f t="shared" si="170"/>
        <v>1</v>
      </c>
      <c r="E440" s="42">
        <f t="shared" ca="1" si="185"/>
        <v>52</v>
      </c>
      <c r="F440" t="str">
        <f t="shared" ca="1" si="186"/>
        <v>第30级，共造成154.8%点伤害</v>
      </c>
      <c r="G440">
        <f t="shared" ca="1" si="187"/>
        <v>3</v>
      </c>
      <c r="H440">
        <f t="shared" si="171"/>
        <v>3</v>
      </c>
      <c r="I440" s="44">
        <f t="shared" ca="1" si="188"/>
        <v>30</v>
      </c>
      <c r="J440">
        <f t="shared" si="172"/>
        <v>2</v>
      </c>
      <c r="K440" s="36">
        <f t="shared" ca="1" si="173"/>
        <v>38.69047619047619</v>
      </c>
      <c r="L440" s="10">
        <f ca="1">AH440*VLOOKUP(C440,技能辅助查询表,技能配置辅助表!$T$1,FALSE)</f>
        <v>0</v>
      </c>
      <c r="M440">
        <f t="shared" ca="1" si="174"/>
        <v>5600</v>
      </c>
      <c r="N440" s="33">
        <f ca="1">CHOOSE(1,W440*U440,X440*'[1]0、经济设定'!$C$18)</f>
        <v>43725</v>
      </c>
      <c r="O440">
        <f t="shared" si="175"/>
        <v>4</v>
      </c>
      <c r="P440">
        <f t="shared" si="176"/>
        <v>4</v>
      </c>
      <c r="Q440">
        <f t="shared" si="177"/>
        <v>1</v>
      </c>
      <c r="R440" s="2">
        <f t="shared" si="178"/>
        <v>10</v>
      </c>
      <c r="S440" s="2">
        <f t="shared" si="179"/>
        <v>50</v>
      </c>
      <c r="T440" s="2">
        <f t="shared" si="180"/>
        <v>29.761904761904763</v>
      </c>
      <c r="U440" s="2">
        <f ca="1">VLOOKUP(E440,金币生产率!$A$2:$B$120,2,0)</f>
        <v>1749</v>
      </c>
      <c r="V440" s="2">
        <f t="shared" si="181"/>
        <v>119.04761904761905</v>
      </c>
      <c r="W440" s="45">
        <f t="shared" ca="1" si="194"/>
        <v>25</v>
      </c>
      <c r="X440" s="48">
        <f t="shared" ca="1" si="195"/>
        <v>327</v>
      </c>
      <c r="Y440">
        <f t="shared" si="182"/>
        <v>18</v>
      </c>
      <c r="Z440">
        <f t="shared" ca="1" si="189"/>
        <v>10</v>
      </c>
      <c r="AA440" t="str">
        <f t="shared" ca="1" si="190"/>
        <v>9124300.png</v>
      </c>
      <c r="AB440">
        <f t="shared" si="183"/>
        <v>5</v>
      </c>
      <c r="AC440">
        <f>VLOOKUP(C440,技能辅助查询表,技能配置辅助表!$W$1,FALSE)</f>
        <v>974</v>
      </c>
      <c r="AD440">
        <f t="shared" ca="1" si="191"/>
        <v>62.16904193021287</v>
      </c>
      <c r="AE440">
        <f>VLOOKUP(C440,技能辅助查询表,技能配置辅助表!$U$1,FALSE)</f>
        <v>4</v>
      </c>
      <c r="AF440">
        <f t="shared" ca="1" si="192"/>
        <v>9124330</v>
      </c>
      <c r="AG440">
        <f t="shared" ca="1" si="196"/>
        <v>51.428571428571431</v>
      </c>
      <c r="AH440">
        <f t="shared" ca="1" si="193"/>
        <v>567.63038284107404</v>
      </c>
      <c r="AI440">
        <f ca="1">VLOOKUP(E440,伤害参考系!$C$4:$E$104,3,FALSE)*$AN$12</f>
        <v>6904.487016722409</v>
      </c>
      <c r="AJ440">
        <f>VLOOKUP(C440,技能辅助查询表,技能配置辅助表!$L$1,FALSE)</f>
        <v>4</v>
      </c>
      <c r="AK440">
        <f>VLOOKUP(C440,技能辅助查询表,技能配置辅助表!$AE$1,FALSE)</f>
        <v>66000009</v>
      </c>
    </row>
    <row r="441" spans="1:37" x14ac:dyDescent="0.15">
      <c r="A441" s="1">
        <f t="shared" ca="1" si="184"/>
        <v>9124331</v>
      </c>
      <c r="B441" s="1" t="str">
        <f t="shared" ca="1" si="169"/>
        <v>裂空·斩第3段</v>
      </c>
      <c r="C441" t="s">
        <v>158</v>
      </c>
      <c r="D441">
        <f t="shared" si="170"/>
        <v>1</v>
      </c>
      <c r="E441" s="42">
        <f t="shared" ca="1" si="185"/>
        <v>53</v>
      </c>
      <c r="F441" t="str">
        <f t="shared" ca="1" si="186"/>
        <v>第31级，共造成156%点伤害</v>
      </c>
      <c r="G441">
        <f t="shared" ca="1" si="187"/>
        <v>3</v>
      </c>
      <c r="H441">
        <f t="shared" si="171"/>
        <v>3</v>
      </c>
      <c r="I441" s="44">
        <f t="shared" ca="1" si="188"/>
        <v>31</v>
      </c>
      <c r="J441">
        <f t="shared" si="172"/>
        <v>2</v>
      </c>
      <c r="K441" s="36">
        <f t="shared" ca="1" si="173"/>
        <v>38.988095238095241</v>
      </c>
      <c r="L441" s="10">
        <f ca="1">AH441*VLOOKUP(C441,技能辅助查询表,技能配置辅助表!$T$1,FALSE)</f>
        <v>0</v>
      </c>
      <c r="M441">
        <f t="shared" ca="1" si="174"/>
        <v>5520</v>
      </c>
      <c r="N441" s="33">
        <f ca="1">CHOOSE(1,W441*U441,X441*'[1]0、经济设定'!$C$18)</f>
        <v>47320</v>
      </c>
      <c r="O441">
        <f t="shared" si="175"/>
        <v>4</v>
      </c>
      <c r="P441">
        <f t="shared" si="176"/>
        <v>4</v>
      </c>
      <c r="Q441">
        <f t="shared" si="177"/>
        <v>1</v>
      </c>
      <c r="R441" s="2">
        <f t="shared" si="178"/>
        <v>10</v>
      </c>
      <c r="S441" s="2">
        <f t="shared" si="179"/>
        <v>50</v>
      </c>
      <c r="T441" s="2">
        <f t="shared" si="180"/>
        <v>29.761904761904763</v>
      </c>
      <c r="U441" s="2">
        <f ca="1">VLOOKUP(E441,金币生产率!$A$2:$B$120,2,0)</f>
        <v>1820</v>
      </c>
      <c r="V441" s="2">
        <f t="shared" si="181"/>
        <v>119.04761904761905</v>
      </c>
      <c r="W441" s="45">
        <f t="shared" ca="1" si="194"/>
        <v>26</v>
      </c>
      <c r="X441" s="48">
        <f t="shared" ca="1" si="195"/>
        <v>353</v>
      </c>
      <c r="Y441">
        <f t="shared" si="182"/>
        <v>18</v>
      </c>
      <c r="Z441">
        <f t="shared" ca="1" si="189"/>
        <v>11</v>
      </c>
      <c r="AA441" t="str">
        <f t="shared" ca="1" si="190"/>
        <v>9124300.png</v>
      </c>
      <c r="AB441">
        <f t="shared" si="183"/>
        <v>5</v>
      </c>
      <c r="AC441">
        <f>VLOOKUP(C441,技能辅助查询表,技能配置辅助表!$W$1,FALSE)</f>
        <v>974</v>
      </c>
      <c r="AD441">
        <f t="shared" ca="1" si="191"/>
        <v>72.317298668155971</v>
      </c>
      <c r="AE441">
        <f>VLOOKUP(C441,技能辅助查询表,技能配置辅助表!$U$1,FALSE)</f>
        <v>4</v>
      </c>
      <c r="AF441">
        <f t="shared" ca="1" si="192"/>
        <v>9124331</v>
      </c>
      <c r="AG441">
        <f t="shared" ca="1" si="196"/>
        <v>52.857142857142854</v>
      </c>
      <c r="AH441">
        <f t="shared" ca="1" si="193"/>
        <v>646.23969022607446</v>
      </c>
      <c r="AI441">
        <f ca="1">VLOOKUP(E441,伤害参考系!$C$4:$E$104,3,FALSE)*$AN$12</f>
        <v>7291.2152408026777</v>
      </c>
      <c r="AJ441">
        <f>VLOOKUP(C441,技能辅助查询表,技能配置辅助表!$L$1,FALSE)</f>
        <v>4</v>
      </c>
      <c r="AK441">
        <f>VLOOKUP(C441,技能辅助查询表,技能配置辅助表!$AE$1,FALSE)</f>
        <v>66000009</v>
      </c>
    </row>
    <row r="442" spans="1:37" x14ac:dyDescent="0.15">
      <c r="A442" s="1">
        <f t="shared" ca="1" si="184"/>
        <v>9124332</v>
      </c>
      <c r="B442" s="1" t="str">
        <f t="shared" ca="1" si="169"/>
        <v>裂空·斩第3段</v>
      </c>
      <c r="C442" t="s">
        <v>158</v>
      </c>
      <c r="D442">
        <f t="shared" si="170"/>
        <v>1</v>
      </c>
      <c r="E442" s="42">
        <f t="shared" ca="1" si="185"/>
        <v>55</v>
      </c>
      <c r="F442" t="str">
        <f t="shared" ca="1" si="186"/>
        <v>第32级，共造成157.1%点伤害</v>
      </c>
      <c r="G442">
        <f t="shared" ca="1" si="187"/>
        <v>3</v>
      </c>
      <c r="H442">
        <f t="shared" si="171"/>
        <v>3</v>
      </c>
      <c r="I442" s="44">
        <f t="shared" ca="1" si="188"/>
        <v>32</v>
      </c>
      <c r="J442">
        <f t="shared" si="172"/>
        <v>2</v>
      </c>
      <c r="K442" s="36">
        <f t="shared" ca="1" si="173"/>
        <v>39.285714285714285</v>
      </c>
      <c r="L442" s="10">
        <f ca="1">AH442*VLOOKUP(C442,技能辅助查询表,技能配置辅助表!$T$1,FALSE)</f>
        <v>0</v>
      </c>
      <c r="M442">
        <f t="shared" ca="1" si="174"/>
        <v>5440</v>
      </c>
      <c r="N442" s="33">
        <f ca="1">CHOOSE(1,W442*U442,X442*'[1]0、经济设定'!$C$18)</f>
        <v>55076</v>
      </c>
      <c r="O442">
        <f t="shared" si="175"/>
        <v>4</v>
      </c>
      <c r="P442">
        <f t="shared" si="176"/>
        <v>4</v>
      </c>
      <c r="Q442">
        <f t="shared" si="177"/>
        <v>1</v>
      </c>
      <c r="R442" s="2">
        <f t="shared" si="178"/>
        <v>10</v>
      </c>
      <c r="S442" s="2">
        <f t="shared" si="179"/>
        <v>50</v>
      </c>
      <c r="T442" s="2">
        <f t="shared" si="180"/>
        <v>29.761904761904763</v>
      </c>
      <c r="U442" s="2">
        <f ca="1">VLOOKUP(E442,金币生产率!$A$2:$B$120,2,0)</f>
        <v>1967</v>
      </c>
      <c r="V442" s="2">
        <f t="shared" si="181"/>
        <v>119.04761904761905</v>
      </c>
      <c r="W442" s="45">
        <f t="shared" ca="1" si="194"/>
        <v>28</v>
      </c>
      <c r="X442" s="48">
        <f t="shared" ca="1" si="195"/>
        <v>381</v>
      </c>
      <c r="Y442">
        <f t="shared" si="182"/>
        <v>18</v>
      </c>
      <c r="Z442">
        <f t="shared" ca="1" si="189"/>
        <v>12</v>
      </c>
      <c r="AA442" t="str">
        <f t="shared" ca="1" si="190"/>
        <v>9124300.png</v>
      </c>
      <c r="AB442">
        <f t="shared" si="183"/>
        <v>5</v>
      </c>
      <c r="AC442">
        <f>VLOOKUP(C442,技能辅助查询表,技能配置辅助表!$W$1,FALSE)</f>
        <v>974</v>
      </c>
      <c r="AD442">
        <f t="shared" ca="1" si="191"/>
        <v>84.084039765094801</v>
      </c>
      <c r="AE442">
        <f>VLOOKUP(C442,技能辅助查询表,技能配置辅助表!$U$1,FALSE)</f>
        <v>4</v>
      </c>
      <c r="AF442">
        <f t="shared" ca="1" si="192"/>
        <v>9124332</v>
      </c>
      <c r="AG442">
        <f t="shared" ca="1" si="196"/>
        <v>54.285714285714285</v>
      </c>
      <c r="AH442">
        <f t="shared" ca="1" si="193"/>
        <v>735.73534794457942</v>
      </c>
      <c r="AI442">
        <f ca="1">VLOOKUP(E442,伤害参考系!$C$4:$E$104,3,FALSE)*$AN$12</f>
        <v>8095.9099289297656</v>
      </c>
      <c r="AJ442">
        <f>VLOOKUP(C442,技能辅助查询表,技能配置辅助表!$L$1,FALSE)</f>
        <v>4</v>
      </c>
      <c r="AK442">
        <f>VLOOKUP(C442,技能辅助查询表,技能配置辅助表!$AE$1,FALSE)</f>
        <v>66000009</v>
      </c>
    </row>
    <row r="443" spans="1:37" x14ac:dyDescent="0.15">
      <c r="A443" s="1">
        <f t="shared" ca="1" si="184"/>
        <v>9124333</v>
      </c>
      <c r="B443" s="1" t="str">
        <f t="shared" ca="1" si="169"/>
        <v>裂空·斩第3段</v>
      </c>
      <c r="C443" t="s">
        <v>158</v>
      </c>
      <c r="D443">
        <f t="shared" si="170"/>
        <v>1</v>
      </c>
      <c r="E443" s="42">
        <f t="shared" ca="1" si="185"/>
        <v>56</v>
      </c>
      <c r="F443" t="str">
        <f t="shared" ca="1" si="186"/>
        <v>第33级，共造成158.3%点伤害</v>
      </c>
      <c r="G443">
        <f t="shared" ca="1" si="187"/>
        <v>3</v>
      </c>
      <c r="H443">
        <f t="shared" si="171"/>
        <v>3</v>
      </c>
      <c r="I443" s="44">
        <f t="shared" ca="1" si="188"/>
        <v>33</v>
      </c>
      <c r="J443">
        <f t="shared" si="172"/>
        <v>2</v>
      </c>
      <c r="K443" s="36">
        <f t="shared" ca="1" si="173"/>
        <v>39.583333333333336</v>
      </c>
      <c r="L443" s="10">
        <f ca="1">AH443*VLOOKUP(C443,技能辅助查询表,技能配置辅助表!$T$1,FALSE)</f>
        <v>0</v>
      </c>
      <c r="M443">
        <f t="shared" ca="1" si="174"/>
        <v>5360</v>
      </c>
      <c r="N443" s="33">
        <f ca="1">CHOOSE(1,W443*U443,X443*'[1]0、经济设定'!$C$18)</f>
        <v>61260</v>
      </c>
      <c r="O443">
        <f t="shared" si="175"/>
        <v>4</v>
      </c>
      <c r="P443">
        <f t="shared" si="176"/>
        <v>4</v>
      </c>
      <c r="Q443">
        <f t="shared" si="177"/>
        <v>1</v>
      </c>
      <c r="R443" s="2">
        <f t="shared" si="178"/>
        <v>10</v>
      </c>
      <c r="S443" s="2">
        <f t="shared" si="179"/>
        <v>50</v>
      </c>
      <c r="T443" s="2">
        <f t="shared" si="180"/>
        <v>29.761904761904763</v>
      </c>
      <c r="U443" s="2">
        <f ca="1">VLOOKUP(E443,金币生产率!$A$2:$B$120,2,0)</f>
        <v>2042</v>
      </c>
      <c r="V443" s="2">
        <f t="shared" si="181"/>
        <v>119.04761904761905</v>
      </c>
      <c r="W443" s="45">
        <f t="shared" ca="1" si="194"/>
        <v>30</v>
      </c>
      <c r="X443" s="48">
        <f t="shared" ca="1" si="195"/>
        <v>411</v>
      </c>
      <c r="Y443">
        <f t="shared" si="182"/>
        <v>18</v>
      </c>
      <c r="Z443">
        <f t="shared" ca="1" si="189"/>
        <v>12</v>
      </c>
      <c r="AA443" t="str">
        <f t="shared" ca="1" si="190"/>
        <v>9124300.png</v>
      </c>
      <c r="AB443">
        <f t="shared" si="183"/>
        <v>5</v>
      </c>
      <c r="AC443">
        <f>VLOOKUP(C443,技能辅助查询表,技能配置辅助表!$W$1,FALSE)</f>
        <v>974</v>
      </c>
      <c r="AD443">
        <f t="shared" ca="1" si="191"/>
        <v>97.722913361046224</v>
      </c>
      <c r="AE443">
        <f>VLOOKUP(C443,技能辅助查询表,技能配置辅助表!$U$1,FALSE)</f>
        <v>4</v>
      </c>
      <c r="AF443">
        <f t="shared" ca="1" si="192"/>
        <v>9124333</v>
      </c>
      <c r="AG443">
        <f t="shared" ca="1" si="196"/>
        <v>55.714285714285715</v>
      </c>
      <c r="AH443">
        <f t="shared" ca="1" si="193"/>
        <v>837.62497166611001</v>
      </c>
      <c r="AI443">
        <f ca="1">VLOOKUP(E443,伤害参考系!$C$4:$E$104,3,FALSE)*$AN$12</f>
        <v>8513.8763929765901</v>
      </c>
      <c r="AJ443">
        <f>VLOOKUP(C443,技能辅助查询表,技能配置辅助表!$L$1,FALSE)</f>
        <v>4</v>
      </c>
      <c r="AK443">
        <f>VLOOKUP(C443,技能辅助查询表,技能配置辅助表!$AE$1,FALSE)</f>
        <v>66000009</v>
      </c>
    </row>
    <row r="444" spans="1:37" x14ac:dyDescent="0.15">
      <c r="A444" s="1">
        <f t="shared" ca="1" si="184"/>
        <v>9124334</v>
      </c>
      <c r="B444" s="1" t="str">
        <f t="shared" ca="1" si="169"/>
        <v>裂空·斩第3段</v>
      </c>
      <c r="C444" t="s">
        <v>158</v>
      </c>
      <c r="D444">
        <f t="shared" si="170"/>
        <v>1</v>
      </c>
      <c r="E444" s="42">
        <f t="shared" ca="1" si="185"/>
        <v>58</v>
      </c>
      <c r="F444" t="str">
        <f t="shared" ca="1" si="186"/>
        <v>第34级，共造成159.5%点伤害</v>
      </c>
      <c r="G444">
        <f t="shared" ca="1" si="187"/>
        <v>3</v>
      </c>
      <c r="H444">
        <f t="shared" si="171"/>
        <v>3</v>
      </c>
      <c r="I444" s="44">
        <f t="shared" ca="1" si="188"/>
        <v>34</v>
      </c>
      <c r="J444">
        <f t="shared" si="172"/>
        <v>2</v>
      </c>
      <c r="K444" s="36">
        <f t="shared" ca="1" si="173"/>
        <v>39.88095238095238</v>
      </c>
      <c r="L444" s="10">
        <f ca="1">AH444*VLOOKUP(C444,技能辅助查询表,技能配置辅助表!$T$1,FALSE)</f>
        <v>0</v>
      </c>
      <c r="M444">
        <f t="shared" ca="1" si="174"/>
        <v>5280</v>
      </c>
      <c r="N444" s="33">
        <f ca="1">CHOOSE(1,W444*U444,X444*'[1]0、经济设定'!$C$18)</f>
        <v>70336</v>
      </c>
      <c r="O444">
        <f t="shared" si="175"/>
        <v>4</v>
      </c>
      <c r="P444">
        <f t="shared" si="176"/>
        <v>4</v>
      </c>
      <c r="Q444">
        <f t="shared" si="177"/>
        <v>1</v>
      </c>
      <c r="R444" s="2">
        <f t="shared" si="178"/>
        <v>10</v>
      </c>
      <c r="S444" s="2">
        <f t="shared" si="179"/>
        <v>50</v>
      </c>
      <c r="T444" s="2">
        <f t="shared" si="180"/>
        <v>29.761904761904763</v>
      </c>
      <c r="U444" s="2">
        <f ca="1">VLOOKUP(E444,金币生产率!$A$2:$B$120,2,0)</f>
        <v>2198</v>
      </c>
      <c r="V444" s="2">
        <f t="shared" si="181"/>
        <v>119.04761904761905</v>
      </c>
      <c r="W444" s="45">
        <f t="shared" ca="1" si="194"/>
        <v>32</v>
      </c>
      <c r="X444" s="48">
        <f t="shared" ca="1" si="195"/>
        <v>443</v>
      </c>
      <c r="Y444">
        <f t="shared" si="182"/>
        <v>18</v>
      </c>
      <c r="Z444">
        <f t="shared" ca="1" si="189"/>
        <v>13</v>
      </c>
      <c r="AA444" t="str">
        <f t="shared" ca="1" si="190"/>
        <v>9124300.png</v>
      </c>
      <c r="AB444">
        <f t="shared" si="183"/>
        <v>5</v>
      </c>
      <c r="AC444">
        <f>VLOOKUP(C444,技能辅助查询表,技能配置辅助表!$W$1,FALSE)</f>
        <v>974</v>
      </c>
      <c r="AD444">
        <f t="shared" ca="1" si="191"/>
        <v>113.52678117962634</v>
      </c>
      <c r="AE444">
        <f>VLOOKUP(C444,技能辅助查询表,技能配置辅助表!$U$1,FALSE)</f>
        <v>4</v>
      </c>
      <c r="AF444">
        <f t="shared" ca="1" si="192"/>
        <v>9124334</v>
      </c>
      <c r="AG444">
        <f t="shared" ca="1" si="196"/>
        <v>57.142857142857146</v>
      </c>
      <c r="AH444">
        <f t="shared" ca="1" si="193"/>
        <v>953.62496190886134</v>
      </c>
      <c r="AI444">
        <f ca="1">VLOOKUP(E444,伤害参考系!$C$4:$E$104,3,FALSE)*$AN$12</f>
        <v>9381.0475610367921</v>
      </c>
      <c r="AJ444">
        <f>VLOOKUP(C444,技能辅助查询表,技能配置辅助表!$L$1,FALSE)</f>
        <v>4</v>
      </c>
      <c r="AK444">
        <f>VLOOKUP(C444,技能辅助查询表,技能配置辅助表!$AE$1,FALSE)</f>
        <v>66000009</v>
      </c>
    </row>
    <row r="445" spans="1:37" x14ac:dyDescent="0.15">
      <c r="A445" s="1">
        <f t="shared" ca="1" si="184"/>
        <v>9124335</v>
      </c>
      <c r="B445" s="1" t="str">
        <f t="shared" ca="1" si="169"/>
        <v>裂空·斩第3段</v>
      </c>
      <c r="C445" t="s">
        <v>158</v>
      </c>
      <c r="D445">
        <f t="shared" si="170"/>
        <v>1</v>
      </c>
      <c r="E445" s="42">
        <f t="shared" ca="1" si="185"/>
        <v>59</v>
      </c>
      <c r="F445" t="str">
        <f t="shared" ca="1" si="186"/>
        <v>第35级，共造成160.7%点伤害</v>
      </c>
      <c r="G445">
        <f t="shared" ca="1" si="187"/>
        <v>3</v>
      </c>
      <c r="H445">
        <f t="shared" si="171"/>
        <v>3</v>
      </c>
      <c r="I445" s="44">
        <f t="shared" ca="1" si="188"/>
        <v>35</v>
      </c>
      <c r="J445">
        <f t="shared" si="172"/>
        <v>2</v>
      </c>
      <c r="K445" s="36">
        <f t="shared" ca="1" si="173"/>
        <v>40.178571428571431</v>
      </c>
      <c r="L445" s="10">
        <f ca="1">AH445*VLOOKUP(C445,技能辅助查询表,技能配置辅助表!$T$1,FALSE)</f>
        <v>0</v>
      </c>
      <c r="M445">
        <f t="shared" ca="1" si="174"/>
        <v>5200</v>
      </c>
      <c r="N445" s="33">
        <f ca="1">CHOOSE(1,W445*U445,X445*'[1]0、经济设定'!$C$18)</f>
        <v>77418</v>
      </c>
      <c r="O445">
        <f t="shared" si="175"/>
        <v>4</v>
      </c>
      <c r="P445">
        <f t="shared" si="176"/>
        <v>4</v>
      </c>
      <c r="Q445">
        <f t="shared" si="177"/>
        <v>1</v>
      </c>
      <c r="R445" s="2">
        <f t="shared" si="178"/>
        <v>10</v>
      </c>
      <c r="S445" s="2">
        <f t="shared" si="179"/>
        <v>50</v>
      </c>
      <c r="T445" s="2">
        <f t="shared" si="180"/>
        <v>29.761904761904763</v>
      </c>
      <c r="U445" s="2">
        <f ca="1">VLOOKUP(E445,金币生产率!$A$2:$B$120,2,0)</f>
        <v>2277</v>
      </c>
      <c r="V445" s="2">
        <f t="shared" si="181"/>
        <v>119.04761904761905</v>
      </c>
      <c r="W445" s="45">
        <f t="shared" ca="1" si="194"/>
        <v>34</v>
      </c>
      <c r="X445" s="48">
        <f t="shared" ca="1" si="195"/>
        <v>477</v>
      </c>
      <c r="Y445">
        <f t="shared" si="182"/>
        <v>18</v>
      </c>
      <c r="Z445">
        <f t="shared" ca="1" si="189"/>
        <v>14</v>
      </c>
      <c r="AA445" t="str">
        <f t="shared" ca="1" si="190"/>
        <v>9124300.png</v>
      </c>
      <c r="AB445">
        <f t="shared" si="183"/>
        <v>5</v>
      </c>
      <c r="AC445">
        <f>VLOOKUP(C445,技能辅助查询表,技能配置辅助表!$W$1,FALSE)</f>
        <v>974</v>
      </c>
      <c r="AD445">
        <f t="shared" ca="1" si="191"/>
        <v>131.8337150407161</v>
      </c>
      <c r="AE445">
        <f>VLOOKUP(C445,技能辅助查询表,技能配置辅助表!$U$1,FALSE)</f>
        <v>4</v>
      </c>
      <c r="AF445">
        <f t="shared" ca="1" si="192"/>
        <v>9124335</v>
      </c>
      <c r="AG445">
        <f t="shared" ca="1" si="196"/>
        <v>58.571428571428569</v>
      </c>
      <c r="AH445">
        <f t="shared" ca="1" si="193"/>
        <v>1085.689417982368</v>
      </c>
      <c r="AI445">
        <f ca="1">VLOOKUP(E445,伤害参考系!$C$4:$E$104,3,FALSE)*$AN$12</f>
        <v>9830.2522650501687</v>
      </c>
      <c r="AJ445">
        <f>VLOOKUP(C445,技能辅助查询表,技能配置辅助表!$L$1,FALSE)</f>
        <v>4</v>
      </c>
      <c r="AK445">
        <f>VLOOKUP(C445,技能辅助查询表,技能配置辅助表!$AE$1,FALSE)</f>
        <v>66000009</v>
      </c>
    </row>
    <row r="446" spans="1:37" x14ac:dyDescent="0.15">
      <c r="A446" s="1">
        <f t="shared" ca="1" si="184"/>
        <v>9124336</v>
      </c>
      <c r="B446" s="1" t="str">
        <f t="shared" ca="1" si="169"/>
        <v>裂空·斩第3段</v>
      </c>
      <c r="C446" t="s">
        <v>158</v>
      </c>
      <c r="D446">
        <f t="shared" si="170"/>
        <v>1</v>
      </c>
      <c r="E446" s="42">
        <f t="shared" ca="1" si="185"/>
        <v>60</v>
      </c>
      <c r="F446" t="str">
        <f t="shared" ca="1" si="186"/>
        <v>第36级，共造成161.9%点伤害</v>
      </c>
      <c r="G446">
        <f t="shared" ca="1" si="187"/>
        <v>3</v>
      </c>
      <c r="H446">
        <f t="shared" si="171"/>
        <v>3</v>
      </c>
      <c r="I446" s="44">
        <f t="shared" ca="1" si="188"/>
        <v>36</v>
      </c>
      <c r="J446">
        <f t="shared" si="172"/>
        <v>2</v>
      </c>
      <c r="K446" s="36">
        <f t="shared" ca="1" si="173"/>
        <v>40.476190476190474</v>
      </c>
      <c r="L446" s="10">
        <f ca="1">AH446*VLOOKUP(C446,技能辅助查询表,技能配置辅助表!$T$1,FALSE)</f>
        <v>0</v>
      </c>
      <c r="M446">
        <f t="shared" ca="1" si="174"/>
        <v>5120</v>
      </c>
      <c r="N446" s="33">
        <f ca="1">CHOOSE(1,W446*U446,X446*'[1]0、经济设定'!$C$18)</f>
        <v>87246</v>
      </c>
      <c r="O446">
        <f t="shared" si="175"/>
        <v>4</v>
      </c>
      <c r="P446">
        <f t="shared" si="176"/>
        <v>4</v>
      </c>
      <c r="Q446">
        <f t="shared" si="177"/>
        <v>1</v>
      </c>
      <c r="R446" s="2">
        <f t="shared" si="178"/>
        <v>10</v>
      </c>
      <c r="S446" s="2">
        <f t="shared" si="179"/>
        <v>50</v>
      </c>
      <c r="T446" s="2">
        <f t="shared" si="180"/>
        <v>29.761904761904763</v>
      </c>
      <c r="U446" s="2">
        <f ca="1">VLOOKUP(E446,金币生产率!$A$2:$B$120,2,0)</f>
        <v>2358</v>
      </c>
      <c r="V446" s="2">
        <f t="shared" si="181"/>
        <v>119.04761904761905</v>
      </c>
      <c r="W446" s="45">
        <f t="shared" ca="1" si="194"/>
        <v>37</v>
      </c>
      <c r="X446" s="48">
        <f t="shared" ca="1" si="195"/>
        <v>514</v>
      </c>
      <c r="Y446">
        <f t="shared" si="182"/>
        <v>18</v>
      </c>
      <c r="Z446">
        <f t="shared" ca="1" si="189"/>
        <v>15</v>
      </c>
      <c r="AA446" t="str">
        <f t="shared" ca="1" si="190"/>
        <v>9124300.png</v>
      </c>
      <c r="AB446">
        <f t="shared" si="183"/>
        <v>5</v>
      </c>
      <c r="AC446">
        <f>VLOOKUP(C446,技能辅助查询表,技能配置辅助表!$W$1,FALSE)</f>
        <v>974</v>
      </c>
      <c r="AD446">
        <f t="shared" ca="1" si="191"/>
        <v>153.03390218742106</v>
      </c>
      <c r="AE446">
        <f>VLOOKUP(C446,技能辅助查询表,技能配置辅助表!$U$1,FALSE)</f>
        <v>4</v>
      </c>
      <c r="AF446">
        <f t="shared" ca="1" si="192"/>
        <v>9124336</v>
      </c>
      <c r="AG446">
        <f t="shared" ca="1" si="196"/>
        <v>60</v>
      </c>
      <c r="AH446">
        <f t="shared" ca="1" si="193"/>
        <v>1236.0430561291703</v>
      </c>
      <c r="AI446">
        <f ca="1">VLOOKUP(E446,伤害参考系!$C$4:$E$104,3,FALSE)*$AN$12</f>
        <v>10340.558729096994</v>
      </c>
      <c r="AJ446">
        <f>VLOOKUP(C446,技能辅助查询表,技能配置辅助表!$L$1,FALSE)</f>
        <v>4</v>
      </c>
      <c r="AK446">
        <f>VLOOKUP(C446,技能辅助查询表,技能配置辅助表!$AE$1,FALSE)</f>
        <v>66000009</v>
      </c>
    </row>
    <row r="447" spans="1:37" x14ac:dyDescent="0.15">
      <c r="A447" s="1">
        <f t="shared" ca="1" si="184"/>
        <v>9124337</v>
      </c>
      <c r="B447" s="1" t="str">
        <f t="shared" ca="1" si="169"/>
        <v>裂空·斩第3段</v>
      </c>
      <c r="C447" t="s">
        <v>158</v>
      </c>
      <c r="D447">
        <f t="shared" si="170"/>
        <v>1</v>
      </c>
      <c r="E447" s="42">
        <f t="shared" ca="1" si="185"/>
        <v>62</v>
      </c>
      <c r="F447" t="str">
        <f t="shared" ca="1" si="186"/>
        <v>第37级，共造成163.1%点伤害</v>
      </c>
      <c r="G447">
        <f t="shared" ca="1" si="187"/>
        <v>3</v>
      </c>
      <c r="H447">
        <f t="shared" si="171"/>
        <v>3</v>
      </c>
      <c r="I447" s="44">
        <f t="shared" ca="1" si="188"/>
        <v>37</v>
      </c>
      <c r="J447">
        <f t="shared" si="172"/>
        <v>2</v>
      </c>
      <c r="K447" s="36">
        <f t="shared" ca="1" si="173"/>
        <v>40.773809523809526</v>
      </c>
      <c r="L447" s="10">
        <f ca="1">AH447*VLOOKUP(C447,技能辅助查询表,技能配置辅助表!$T$1,FALSE)</f>
        <v>0</v>
      </c>
      <c r="M447">
        <f t="shared" ca="1" si="174"/>
        <v>5040</v>
      </c>
      <c r="N447" s="33">
        <f ca="1">CHOOSE(1,W447*U447,X447*'[1]0、经济设定'!$C$18)</f>
        <v>98436</v>
      </c>
      <c r="O447">
        <f t="shared" si="175"/>
        <v>4</v>
      </c>
      <c r="P447">
        <f t="shared" si="176"/>
        <v>4</v>
      </c>
      <c r="Q447">
        <f t="shared" si="177"/>
        <v>1</v>
      </c>
      <c r="R447" s="2">
        <f t="shared" si="178"/>
        <v>10</v>
      </c>
      <c r="S447" s="2">
        <f t="shared" si="179"/>
        <v>50</v>
      </c>
      <c r="T447" s="2">
        <f t="shared" si="180"/>
        <v>29.761904761904763</v>
      </c>
      <c r="U447" s="2">
        <f ca="1">VLOOKUP(E447,金币生产率!$A$2:$B$120,2,0)</f>
        <v>2524</v>
      </c>
      <c r="V447" s="2">
        <f t="shared" si="181"/>
        <v>119.04761904761905</v>
      </c>
      <c r="W447" s="45">
        <f t="shared" ca="1" si="194"/>
        <v>39</v>
      </c>
      <c r="X447" s="48">
        <f t="shared" ca="1" si="195"/>
        <v>553</v>
      </c>
      <c r="Y447">
        <f t="shared" si="182"/>
        <v>18</v>
      </c>
      <c r="Z447">
        <f t="shared" ca="1" si="189"/>
        <v>16</v>
      </c>
      <c r="AA447" t="str">
        <f t="shared" ca="1" si="190"/>
        <v>9124300.png</v>
      </c>
      <c r="AB447">
        <f t="shared" si="183"/>
        <v>5</v>
      </c>
      <c r="AC447">
        <f>VLOOKUP(C447,技能辅助查询表,技能配置辅助表!$W$1,FALSE)</f>
        <v>974</v>
      </c>
      <c r="AD447">
        <f t="shared" ca="1" si="191"/>
        <v>177.57759614021001</v>
      </c>
      <c r="AE447">
        <f>VLOOKUP(C447,技能辅助查询表,技能配置辅助表!$U$1,FALSE)</f>
        <v>4</v>
      </c>
      <c r="AF447">
        <f t="shared" ca="1" si="192"/>
        <v>9124337</v>
      </c>
      <c r="AG447">
        <f t="shared" ca="1" si="196"/>
        <v>61.428571428571431</v>
      </c>
      <c r="AH447">
        <f t="shared" ca="1" si="193"/>
        <v>1407.2186863941167</v>
      </c>
      <c r="AI447">
        <f ca="1">VLOOKUP(E447,伤害参考系!$C$4:$E$104,3,FALSE)*$AN$12</f>
        <v>11398.657545150505</v>
      </c>
      <c r="AJ447">
        <f>VLOOKUP(C447,技能辅助查询表,技能配置辅助表!$L$1,FALSE)</f>
        <v>4</v>
      </c>
      <c r="AK447">
        <f>VLOOKUP(C447,技能辅助查询表,技能配置辅助表!$AE$1,FALSE)</f>
        <v>66000009</v>
      </c>
    </row>
    <row r="448" spans="1:37" x14ac:dyDescent="0.15">
      <c r="A448" s="1">
        <f t="shared" ca="1" si="184"/>
        <v>9124338</v>
      </c>
      <c r="B448" s="1" t="str">
        <f t="shared" ca="1" si="169"/>
        <v>裂空·斩第3段</v>
      </c>
      <c r="C448" t="s">
        <v>158</v>
      </c>
      <c r="D448">
        <f t="shared" si="170"/>
        <v>1</v>
      </c>
      <c r="E448" s="42">
        <f t="shared" ca="1" si="185"/>
        <v>63</v>
      </c>
      <c r="F448" t="str">
        <f t="shared" ca="1" si="186"/>
        <v>第38级，共造成164.3%点伤害</v>
      </c>
      <c r="G448">
        <f t="shared" ca="1" si="187"/>
        <v>3</v>
      </c>
      <c r="H448">
        <f t="shared" si="171"/>
        <v>3</v>
      </c>
      <c r="I448" s="44">
        <f t="shared" ca="1" si="188"/>
        <v>38</v>
      </c>
      <c r="J448">
        <f t="shared" si="172"/>
        <v>2</v>
      </c>
      <c r="K448" s="36">
        <f t="shared" ca="1" si="173"/>
        <v>41.071428571428569</v>
      </c>
      <c r="L448" s="10">
        <f ca="1">AH448*VLOOKUP(C448,技能辅助查询表,技能配置辅助表!$T$1,FALSE)</f>
        <v>0</v>
      </c>
      <c r="M448">
        <f t="shared" ca="1" si="174"/>
        <v>4960</v>
      </c>
      <c r="N448" s="33">
        <f ca="1">CHOOSE(1,W448*U448,X448*'[1]0、经济设定'!$C$18)</f>
        <v>109578</v>
      </c>
      <c r="O448">
        <f t="shared" si="175"/>
        <v>4</v>
      </c>
      <c r="P448">
        <f t="shared" si="176"/>
        <v>4</v>
      </c>
      <c r="Q448">
        <f t="shared" si="177"/>
        <v>1</v>
      </c>
      <c r="R448" s="2">
        <f t="shared" si="178"/>
        <v>10</v>
      </c>
      <c r="S448" s="2">
        <f t="shared" si="179"/>
        <v>50</v>
      </c>
      <c r="T448" s="2">
        <f t="shared" si="180"/>
        <v>29.761904761904763</v>
      </c>
      <c r="U448" s="2">
        <f ca="1">VLOOKUP(E448,金币生产率!$A$2:$B$120,2,0)</f>
        <v>2609</v>
      </c>
      <c r="V448" s="2">
        <f t="shared" si="181"/>
        <v>119.04761904761905</v>
      </c>
      <c r="W448" s="45">
        <f t="shared" ca="1" si="194"/>
        <v>42</v>
      </c>
      <c r="X448" s="48">
        <f t="shared" ca="1" si="195"/>
        <v>595</v>
      </c>
      <c r="Y448">
        <f t="shared" si="182"/>
        <v>18</v>
      </c>
      <c r="Z448">
        <f t="shared" ca="1" si="189"/>
        <v>17</v>
      </c>
      <c r="AA448" t="str">
        <f t="shared" ca="1" si="190"/>
        <v>9124300.png</v>
      </c>
      <c r="AB448">
        <f t="shared" si="183"/>
        <v>5</v>
      </c>
      <c r="AC448">
        <f>VLOOKUP(C448,技能辅助查询表,技能配置辅助表!$W$1,FALSE)</f>
        <v>974</v>
      </c>
      <c r="AD448">
        <f t="shared" ca="1" si="191"/>
        <v>205.98427022719392</v>
      </c>
      <c r="AE448">
        <f>VLOOKUP(C448,技能辅助查询表,技能配置辅助表!$U$1,FALSE)</f>
        <v>4</v>
      </c>
      <c r="AF448">
        <f t="shared" ca="1" si="192"/>
        <v>9124338</v>
      </c>
      <c r="AG448">
        <f t="shared" ca="1" si="196"/>
        <v>62.857142857142854</v>
      </c>
      <c r="AH448">
        <f t="shared" ca="1" si="193"/>
        <v>1602.0998795448415</v>
      </c>
      <c r="AI448">
        <f ca="1">VLOOKUP(E448,伤害参考系!$C$4:$E$104,3,FALSE)*$AN$12</f>
        <v>11946.449897157196</v>
      </c>
      <c r="AJ448">
        <f>VLOOKUP(C448,技能辅助查询表,技能配置辅助表!$L$1,FALSE)</f>
        <v>4</v>
      </c>
      <c r="AK448">
        <f>VLOOKUP(C448,技能辅助查询表,技能配置辅助表!$AE$1,FALSE)</f>
        <v>66000009</v>
      </c>
    </row>
    <row r="449" spans="1:37" x14ac:dyDescent="0.15">
      <c r="A449" s="1">
        <f t="shared" ca="1" si="184"/>
        <v>9124339</v>
      </c>
      <c r="B449" s="1" t="str">
        <f t="shared" ca="1" si="169"/>
        <v>裂空·斩第3段</v>
      </c>
      <c r="C449" t="s">
        <v>158</v>
      </c>
      <c r="D449">
        <f t="shared" si="170"/>
        <v>1</v>
      </c>
      <c r="E449" s="42">
        <f t="shared" ca="1" si="185"/>
        <v>65</v>
      </c>
      <c r="F449" t="str">
        <f t="shared" ca="1" si="186"/>
        <v>第39级，共造成165.5%点伤害</v>
      </c>
      <c r="G449">
        <f t="shared" ca="1" si="187"/>
        <v>3</v>
      </c>
      <c r="H449">
        <f t="shared" si="171"/>
        <v>3</v>
      </c>
      <c r="I449" s="44">
        <f t="shared" ca="1" si="188"/>
        <v>39</v>
      </c>
      <c r="J449">
        <f t="shared" si="172"/>
        <v>2</v>
      </c>
      <c r="K449" s="36">
        <f t="shared" ca="1" si="173"/>
        <v>41.36904761904762</v>
      </c>
      <c r="L449" s="10">
        <f ca="1">AH449*VLOOKUP(C449,技能辅助查询表,技能配置辅助表!$T$1,FALSE)</f>
        <v>0</v>
      </c>
      <c r="M449">
        <f t="shared" ca="1" si="174"/>
        <v>4880</v>
      </c>
      <c r="N449" s="33">
        <f ca="1">CHOOSE(1,W449*U449,X449*'[1]0、经济设定'!$C$18)</f>
        <v>125235</v>
      </c>
      <c r="O449">
        <f t="shared" si="175"/>
        <v>4</v>
      </c>
      <c r="P449">
        <f t="shared" si="176"/>
        <v>4</v>
      </c>
      <c r="Q449">
        <f t="shared" si="177"/>
        <v>1</v>
      </c>
      <c r="R449" s="2">
        <f t="shared" si="178"/>
        <v>10</v>
      </c>
      <c r="S449" s="2">
        <f t="shared" si="179"/>
        <v>50</v>
      </c>
      <c r="T449" s="2">
        <f t="shared" si="180"/>
        <v>29.761904761904763</v>
      </c>
      <c r="U449" s="2">
        <f ca="1">VLOOKUP(E449,金币生产率!$A$2:$B$120,2,0)</f>
        <v>2783</v>
      </c>
      <c r="V449" s="2">
        <f t="shared" si="181"/>
        <v>119.04761904761905</v>
      </c>
      <c r="W449" s="45">
        <f t="shared" ca="1" si="194"/>
        <v>45</v>
      </c>
      <c r="X449" s="48">
        <f t="shared" ca="1" si="195"/>
        <v>640</v>
      </c>
      <c r="Y449">
        <f t="shared" si="182"/>
        <v>18</v>
      </c>
      <c r="Z449">
        <f t="shared" ca="1" si="189"/>
        <v>18</v>
      </c>
      <c r="AA449" t="str">
        <f t="shared" ca="1" si="190"/>
        <v>9124300.png</v>
      </c>
      <c r="AB449">
        <f t="shared" si="183"/>
        <v>5</v>
      </c>
      <c r="AC449">
        <f>VLOOKUP(C449,技能辅助查询表,技能配置辅助表!$W$1,FALSE)</f>
        <v>974</v>
      </c>
      <c r="AD449">
        <f t="shared" ca="1" si="191"/>
        <v>238.85315441388576</v>
      </c>
      <c r="AE449">
        <f>VLOOKUP(C449,技能辅助查询表,技能配置辅助表!$U$1,FALSE)</f>
        <v>4</v>
      </c>
      <c r="AF449">
        <f t="shared" ca="1" si="192"/>
        <v>9124339</v>
      </c>
      <c r="AG449">
        <f t="shared" ca="1" si="196"/>
        <v>64.285714285714278</v>
      </c>
      <c r="AH449">
        <f t="shared" ca="1" si="193"/>
        <v>1823.9695427969455</v>
      </c>
      <c r="AI449">
        <f ca="1">VLOOKUP(E449,伤害参考系!$C$4:$E$104,3,FALSE)*$AN$12</f>
        <v>13079.520489130437</v>
      </c>
      <c r="AJ449">
        <f>VLOOKUP(C449,技能辅助查询表,技能配置辅助表!$L$1,FALSE)</f>
        <v>4</v>
      </c>
      <c r="AK449">
        <f>VLOOKUP(C449,技能辅助查询表,技能配置辅助表!$AE$1,FALSE)</f>
        <v>66000009</v>
      </c>
    </row>
    <row r="450" spans="1:37" x14ac:dyDescent="0.15">
      <c r="A450" s="1">
        <f t="shared" ca="1" si="184"/>
        <v>9124340</v>
      </c>
      <c r="B450" s="1" t="str">
        <f t="shared" ref="B450:B513" ca="1" si="197">IF(AND(G450=0,AE450=4),LEFT(C450,LEN(C450)-3),C450)</f>
        <v>裂空·斩第3段</v>
      </c>
      <c r="C450" t="s">
        <v>158</v>
      </c>
      <c r="D450">
        <f t="shared" ref="D450:D513" si="198">VLOOKUP(C450,技能辅助查询表,3,FALSE)</f>
        <v>1</v>
      </c>
      <c r="E450" s="42">
        <f t="shared" ca="1" si="185"/>
        <v>66</v>
      </c>
      <c r="F450" t="str">
        <f t="shared" ca="1" si="186"/>
        <v>第40级，共造成166.7%点伤害</v>
      </c>
      <c r="G450">
        <f t="shared" ca="1" si="187"/>
        <v>3</v>
      </c>
      <c r="H450">
        <f t="shared" ref="H450:H513" si="199">VLOOKUP(C450,技能辅助查询表,2,FALSE)</f>
        <v>3</v>
      </c>
      <c r="I450" s="44">
        <f t="shared" ca="1" si="188"/>
        <v>40</v>
      </c>
      <c r="J450">
        <f t="shared" ref="J450:J513" si="200">VLOOKUP(C450,技能辅助查询表,4,FALSE)</f>
        <v>2</v>
      </c>
      <c r="K450" s="36">
        <f t="shared" ref="K450:K513" ca="1" si="201">IF(OR(I450=0,I450=1),T450,T450+T450*($AN$6-1)/S450*I450)</f>
        <v>41.666666666666671</v>
      </c>
      <c r="L450" s="10">
        <f ca="1">AH450*VLOOKUP(C450,技能辅助查询表,技能配置辅助表!$T$1,FALSE)</f>
        <v>0</v>
      </c>
      <c r="M450">
        <f t="shared" ref="M450:M513" ca="1" si="202">IF(OR(I450=0,I450=1),VLOOKUP(C450,技能辅助查询表,14,FALSE),VLOOKUP(C450,技能辅助查询表,14,FALSE)-VLOOKUP(C450,技能辅助查询表,14,FALSE)*0.5/S450*I450)</f>
        <v>4800</v>
      </c>
      <c r="N450" s="33">
        <f ca="1">CHOOSE(1,W450*U450,X450*'[1]0、经济设定'!$C$18)</f>
        <v>137856</v>
      </c>
      <c r="O450">
        <f t="shared" ref="O450:O513" si="203">VLOOKUP(C450,技能辅助查询表,5,FALSE)</f>
        <v>4</v>
      </c>
      <c r="P450">
        <f t="shared" ref="P450:P513" si="204">VLOOKUP(C450,技能辅助查询表,6,FALSE)</f>
        <v>4</v>
      </c>
      <c r="Q450">
        <f t="shared" ref="Q450:Q513" si="205">VLOOKUP(C450,技能辅助查询表,7,FALSE)</f>
        <v>1</v>
      </c>
      <c r="R450" s="2">
        <f t="shared" ref="R450:R513" si="206">VLOOKUP(C450,技能辅助查询表,9,FALSE)</f>
        <v>10</v>
      </c>
      <c r="S450" s="2">
        <f t="shared" ref="S450:S513" si="207">VLOOKUP(C450,技能辅助查询表,8,FALSE)</f>
        <v>50</v>
      </c>
      <c r="T450" s="2">
        <f t="shared" ref="T450:T513" si="208">VLOOKUP(C450,技能辅助查询表,11,FALSE)</f>
        <v>29.761904761904763</v>
      </c>
      <c r="U450" s="2">
        <f ca="1">VLOOKUP(E450,金币生产率!$A$2:$B$120,2,0)</f>
        <v>2872</v>
      </c>
      <c r="V450" s="2">
        <f t="shared" ref="V450:V513" si="209">VLOOKUP(C450,技能辅助查询表,12,FALSE)</f>
        <v>119.04761904761905</v>
      </c>
      <c r="W450" s="45">
        <f t="shared" ca="1" si="194"/>
        <v>48</v>
      </c>
      <c r="X450" s="48">
        <f t="shared" ca="1" si="195"/>
        <v>688</v>
      </c>
      <c r="Y450">
        <f t="shared" ref="Y450:Y513" si="210">VLOOKUP(C450,技能辅助查询表,15,FALSE)</f>
        <v>18</v>
      </c>
      <c r="Z450">
        <f t="shared" ca="1" si="189"/>
        <v>20</v>
      </c>
      <c r="AA450" t="str">
        <f t="shared" ca="1" si="190"/>
        <v>9124300.png</v>
      </c>
      <c r="AB450">
        <f t="shared" ref="AB450:AB513" si="211">VLOOKUP(C450,技能辅助查询表,17,FALSE)</f>
        <v>5</v>
      </c>
      <c r="AC450">
        <f>VLOOKUP(C450,技能辅助查询表,技能配置辅助表!$W$1,FALSE)</f>
        <v>974</v>
      </c>
      <c r="AD450">
        <f t="shared" ca="1" si="191"/>
        <v>276.8753630180301</v>
      </c>
      <c r="AE450">
        <f>VLOOKUP(C450,技能辅助查询表,技能配置辅助表!$U$1,FALSE)</f>
        <v>4</v>
      </c>
      <c r="AF450">
        <f t="shared" ca="1" si="192"/>
        <v>9124340</v>
      </c>
      <c r="AG450">
        <f t="shared" ca="1" si="196"/>
        <v>65.714285714285722</v>
      </c>
      <c r="AH450">
        <f t="shared" ca="1" si="193"/>
        <v>2076.5652226352254</v>
      </c>
      <c r="AI450">
        <f ca="1">VLOOKUP(E450,伤害参考系!$C$4:$E$104,3,FALSE)*$AN$12</f>
        <v>13664.798729096996</v>
      </c>
      <c r="AJ450">
        <f>VLOOKUP(C450,技能辅助查询表,技能配置辅助表!$L$1,FALSE)</f>
        <v>4</v>
      </c>
      <c r="AK450">
        <f>VLOOKUP(C450,技能辅助查询表,技能配置辅助表!$AE$1,FALSE)</f>
        <v>66000009</v>
      </c>
    </row>
    <row r="451" spans="1:37" x14ac:dyDescent="0.15">
      <c r="A451" s="1">
        <f t="shared" ref="A451:A514" ca="1" si="212">IF(I451=0,IF(H451=1,VALUE("9"&amp;D451&amp;J451&amp;O451&amp;G451&amp;IF(I451&gt;9,I451,"0"&amp;I451)),1),VALUE("9"&amp;D451&amp;J451&amp;O451&amp;G451&amp;IF(I451&gt;9,I451,"0"&amp;I451)))</f>
        <v>9124341</v>
      </c>
      <c r="B451" s="1" t="str">
        <f t="shared" ca="1" si="197"/>
        <v>裂空·斩第3段</v>
      </c>
      <c r="C451" t="s">
        <v>158</v>
      </c>
      <c r="D451">
        <f t="shared" si="198"/>
        <v>1</v>
      </c>
      <c r="E451" s="42">
        <f t="shared" ref="E451:E514" ca="1" si="213">IF(I451=0,E452,IF(AND(I451=1,G451&gt;1),OFFSET(E451,(1-G451)*51,0),IF(OR(I451=1,AND(I451=2,R451=2)),R451,IF(I451=0,0,ROUND(I451*(80-R451)/S451,0)+R451))))</f>
        <v>67</v>
      </c>
      <c r="F451" t="str">
        <f t="shared" ref="F451:F514" ca="1" si="214">"第"&amp;I451&amp;"级，共造成"&amp;ROUND(AJ451*K451,1)&amp;"%点伤害"</f>
        <v>第41级，共造成167.9%点伤害</v>
      </c>
      <c r="G451">
        <f t="shared" ref="G451:G514" ca="1" si="215">IF(I451=0,0,H451)</f>
        <v>3</v>
      </c>
      <c r="H451">
        <f t="shared" si="199"/>
        <v>3</v>
      </c>
      <c r="I451" s="44">
        <f t="shared" ref="I451:I514" ca="1" si="216">IF(OFFSET(C451,-1,0)=C451,I450+1,0)</f>
        <v>41</v>
      </c>
      <c r="J451">
        <f t="shared" si="200"/>
        <v>2</v>
      </c>
      <c r="K451" s="36">
        <f t="shared" ca="1" si="201"/>
        <v>41.964285714285715</v>
      </c>
      <c r="L451" s="10">
        <f ca="1">AH451*VLOOKUP(C451,技能辅助查询表,技能配置辅助表!$T$1,FALSE)</f>
        <v>0</v>
      </c>
      <c r="M451">
        <f t="shared" ca="1" si="202"/>
        <v>4720</v>
      </c>
      <c r="N451" s="33">
        <f ca="1">CHOOSE(1,W451*U451,X451*'[1]0、经济设定'!$C$18)</f>
        <v>151113</v>
      </c>
      <c r="O451">
        <f t="shared" si="203"/>
        <v>4</v>
      </c>
      <c r="P451">
        <f t="shared" si="204"/>
        <v>4</v>
      </c>
      <c r="Q451">
        <f t="shared" si="205"/>
        <v>1</v>
      </c>
      <c r="R451" s="2">
        <f t="shared" si="206"/>
        <v>10</v>
      </c>
      <c r="S451" s="2">
        <f t="shared" si="207"/>
        <v>50</v>
      </c>
      <c r="T451" s="2">
        <f t="shared" si="208"/>
        <v>29.761904761904763</v>
      </c>
      <c r="U451" s="2">
        <f ca="1">VLOOKUP(E451,金币生产率!$A$2:$B$120,2,0)</f>
        <v>2963</v>
      </c>
      <c r="V451" s="2">
        <f t="shared" si="209"/>
        <v>119.04761904761905</v>
      </c>
      <c r="W451" s="45">
        <f t="shared" ca="1" si="194"/>
        <v>51</v>
      </c>
      <c r="X451" s="48">
        <f t="shared" ca="1" si="195"/>
        <v>739</v>
      </c>
      <c r="Y451">
        <f t="shared" si="210"/>
        <v>18</v>
      </c>
      <c r="Z451">
        <f t="shared" ref="Z451:Z514" ca="1" si="217">IF(I451&gt;=Y451,ROUNDUP(W451/$AN$15,0),0)</f>
        <v>21</v>
      </c>
      <c r="AA451" t="str">
        <f t="shared" ref="AA451:AA514" ca="1" si="218">AF451-MOD(AF451,100)&amp;".png"</f>
        <v>9124300.png</v>
      </c>
      <c r="AB451">
        <f t="shared" si="211"/>
        <v>5</v>
      </c>
      <c r="AC451">
        <f>VLOOKUP(C451,技能辅助查询表,技能配置辅助表!$W$1,FALSE)</f>
        <v>974</v>
      </c>
      <c r="AD451">
        <f t="shared" ref="AD451:AD514" ca="1" si="219">((AH451*K451/100+L451)*AJ451-AH451)/5</f>
        <v>320.84785186108957</v>
      </c>
      <c r="AE451">
        <f>VLOOKUP(C451,技能辅助查询表,技能配置辅助表!$U$1,FALSE)</f>
        <v>4</v>
      </c>
      <c r="AF451">
        <f t="shared" ref="AF451:AF514" ca="1" si="220">VALUE("9"&amp;D451&amp;J451&amp;O451&amp;H451&amp;IF(I451&gt;9,I451,"0"&amp;I451))</f>
        <v>9124341</v>
      </c>
      <c r="AG451">
        <f t="shared" ca="1" si="196"/>
        <v>67.142857142857139</v>
      </c>
      <c r="AH451">
        <f t="shared" ref="AH451:AH514" ca="1" si="221">(19.323*EXP(I451*0.1297))*$AN$12</f>
        <v>2364.1420663448707</v>
      </c>
      <c r="AI451">
        <f ca="1">VLOOKUP(E451,伤害参考系!$C$4:$E$104,3,FALSE)*$AN$12</f>
        <v>14262.572265050176</v>
      </c>
      <c r="AJ451">
        <f>VLOOKUP(C451,技能辅助查询表,技能配置辅助表!$L$1,FALSE)</f>
        <v>4</v>
      </c>
      <c r="AK451">
        <f>VLOOKUP(C451,技能辅助查询表,技能配置辅助表!$AE$1,FALSE)</f>
        <v>66000009</v>
      </c>
    </row>
    <row r="452" spans="1:37" x14ac:dyDescent="0.15">
      <c r="A452" s="1">
        <f t="shared" ca="1" si="212"/>
        <v>9124342</v>
      </c>
      <c r="B452" s="1" t="str">
        <f t="shared" ca="1" si="197"/>
        <v>裂空·斩第3段</v>
      </c>
      <c r="C452" t="s">
        <v>158</v>
      </c>
      <c r="D452">
        <f t="shared" si="198"/>
        <v>1</v>
      </c>
      <c r="E452" s="42">
        <f t="shared" ca="1" si="213"/>
        <v>69</v>
      </c>
      <c r="F452" t="str">
        <f t="shared" ca="1" si="214"/>
        <v>第42级，共造成169%点伤害</v>
      </c>
      <c r="G452">
        <f t="shared" ca="1" si="215"/>
        <v>3</v>
      </c>
      <c r="H452">
        <f t="shared" si="199"/>
        <v>3</v>
      </c>
      <c r="I452" s="44">
        <f t="shared" ca="1" si="216"/>
        <v>42</v>
      </c>
      <c r="J452">
        <f t="shared" si="200"/>
        <v>2</v>
      </c>
      <c r="K452" s="36">
        <f t="shared" ca="1" si="201"/>
        <v>42.261904761904759</v>
      </c>
      <c r="L452" s="10">
        <f ca="1">AH452*VLOOKUP(C452,技能辅助查询表,技能配置辅助表!$T$1,FALSE)</f>
        <v>0</v>
      </c>
      <c r="M452">
        <f t="shared" ca="1" si="202"/>
        <v>4640</v>
      </c>
      <c r="N452" s="33">
        <f ca="1">CHOOSE(1,W452*U452,X452*'[1]0、经济设定'!$C$18)</f>
        <v>173085</v>
      </c>
      <c r="O452">
        <f t="shared" si="203"/>
        <v>4</v>
      </c>
      <c r="P452">
        <f t="shared" si="204"/>
        <v>4</v>
      </c>
      <c r="Q452">
        <f t="shared" si="205"/>
        <v>1</v>
      </c>
      <c r="R452" s="2">
        <f t="shared" si="206"/>
        <v>10</v>
      </c>
      <c r="S452" s="2">
        <f t="shared" si="207"/>
        <v>50</v>
      </c>
      <c r="T452" s="2">
        <f t="shared" si="208"/>
        <v>29.761904761904763</v>
      </c>
      <c r="U452" s="2">
        <f ca="1">VLOOKUP(E452,金币生产率!$A$2:$B$120,2,0)</f>
        <v>3147</v>
      </c>
      <c r="V452" s="2">
        <f t="shared" si="209"/>
        <v>119.04761904761905</v>
      </c>
      <c r="W452" s="45">
        <f t="shared" ref="W452:W515" ca="1" si="222">ROUND((IF(I452=0,0,ROUND(OFFSET(AD452,S452-I452+510*(1-D452),0)*(1-$AN$13)/(1-$AN$13^S452)*$AN$13^(I452-1),0))+IF(I452=0,0,ROUND(OFFSET(AD452,S452-I452+510*(2-D452),0)*(1-$AN$13)/(1-$AN$13^S452)*$AN$13^(I452-1),0))+IF(I452=0,0,ROUND(OFFSET(AD452,S452-I452+510*(3-D452),0)*(1-$AN$13)/(1-$AN$13^S452)*$AN$13^(I452-1),0)))/3,0)</f>
        <v>55</v>
      </c>
      <c r="X452" s="48">
        <f t="shared" ref="X452:X515" ca="1" si="223">IF(I452=0,0,X451+W452)</f>
        <v>794</v>
      </c>
      <c r="Y452">
        <f t="shared" si="210"/>
        <v>18</v>
      </c>
      <c r="Z452">
        <f t="shared" ca="1" si="217"/>
        <v>22</v>
      </c>
      <c r="AA452" t="str">
        <f t="shared" ca="1" si="218"/>
        <v>9124300.png</v>
      </c>
      <c r="AB452">
        <f t="shared" si="211"/>
        <v>5</v>
      </c>
      <c r="AC452">
        <f>VLOOKUP(C452,技能辅助查询表,技能配置辅助表!$W$1,FALSE)</f>
        <v>974</v>
      </c>
      <c r="AD452">
        <f t="shared" ca="1" si="219"/>
        <v>371.68947896952648</v>
      </c>
      <c r="AE452">
        <f>VLOOKUP(C452,技能辅助查询表,技能配置辅助表!$U$1,FALSE)</f>
        <v>4</v>
      </c>
      <c r="AF452">
        <f t="shared" ca="1" si="220"/>
        <v>9124342</v>
      </c>
      <c r="AG452">
        <f t="shared" ca="1" si="196"/>
        <v>68.571428571428569</v>
      </c>
      <c r="AH452">
        <f t="shared" ca="1" si="221"/>
        <v>2691.5445028827789</v>
      </c>
      <c r="AI452">
        <f ca="1">VLOOKUP(E452,伤害参考系!$C$4:$E$104,3,FALSE)*$AN$12</f>
        <v>15495.605224916402</v>
      </c>
      <c r="AJ452">
        <f>VLOOKUP(C452,技能辅助查询表,技能配置辅助表!$L$1,FALSE)</f>
        <v>4</v>
      </c>
      <c r="AK452">
        <f>VLOOKUP(C452,技能辅助查询表,技能配置辅助表!$AE$1,FALSE)</f>
        <v>66000009</v>
      </c>
    </row>
    <row r="453" spans="1:37" x14ac:dyDescent="0.15">
      <c r="A453" s="1">
        <f t="shared" ca="1" si="212"/>
        <v>9124343</v>
      </c>
      <c r="B453" s="1" t="str">
        <f t="shared" ca="1" si="197"/>
        <v>裂空·斩第3段</v>
      </c>
      <c r="C453" t="s">
        <v>158</v>
      </c>
      <c r="D453">
        <f t="shared" si="198"/>
        <v>1</v>
      </c>
      <c r="E453" s="42">
        <f t="shared" ca="1" si="213"/>
        <v>70</v>
      </c>
      <c r="F453" t="str">
        <f t="shared" ca="1" si="214"/>
        <v>第43级，共造成170.2%点伤害</v>
      </c>
      <c r="G453">
        <f t="shared" ca="1" si="215"/>
        <v>3</v>
      </c>
      <c r="H453">
        <f t="shared" si="199"/>
        <v>3</v>
      </c>
      <c r="I453" s="44">
        <f t="shared" ca="1" si="216"/>
        <v>43</v>
      </c>
      <c r="J453">
        <f t="shared" si="200"/>
        <v>2</v>
      </c>
      <c r="K453" s="36">
        <f t="shared" ca="1" si="201"/>
        <v>42.55952380952381</v>
      </c>
      <c r="L453" s="10">
        <f ca="1">AH453*VLOOKUP(C453,技能辅助查询表,技能配置辅助表!$T$1,FALSE)</f>
        <v>0</v>
      </c>
      <c r="M453">
        <f t="shared" ca="1" si="202"/>
        <v>4560</v>
      </c>
      <c r="N453" s="33">
        <f ca="1">CHOOSE(1,W453*U453,X453*'[1]0、经济设定'!$C$18)</f>
        <v>191278</v>
      </c>
      <c r="O453">
        <f t="shared" si="203"/>
        <v>4</v>
      </c>
      <c r="P453">
        <f t="shared" si="204"/>
        <v>4</v>
      </c>
      <c r="Q453">
        <f t="shared" si="205"/>
        <v>1</v>
      </c>
      <c r="R453" s="2">
        <f t="shared" si="206"/>
        <v>10</v>
      </c>
      <c r="S453" s="2">
        <f t="shared" si="207"/>
        <v>50</v>
      </c>
      <c r="T453" s="2">
        <f t="shared" si="208"/>
        <v>29.761904761904763</v>
      </c>
      <c r="U453" s="2">
        <f ca="1">VLOOKUP(E453,金币生产率!$A$2:$B$120,2,0)</f>
        <v>3242</v>
      </c>
      <c r="V453" s="2">
        <f t="shared" si="209"/>
        <v>119.04761904761905</v>
      </c>
      <c r="W453" s="45">
        <f t="shared" ca="1" si="222"/>
        <v>59</v>
      </c>
      <c r="X453" s="48">
        <f t="shared" ca="1" si="223"/>
        <v>853</v>
      </c>
      <c r="Y453">
        <f t="shared" si="210"/>
        <v>18</v>
      </c>
      <c r="Z453">
        <f t="shared" ca="1" si="217"/>
        <v>24</v>
      </c>
      <c r="AA453" t="str">
        <f t="shared" ca="1" si="218"/>
        <v>9124300.png</v>
      </c>
      <c r="AB453">
        <f t="shared" si="211"/>
        <v>5</v>
      </c>
      <c r="AC453">
        <f>VLOOKUP(C453,技能辅助查询表,技能配置辅助表!$W$1,FALSE)</f>
        <v>974</v>
      </c>
      <c r="AD453">
        <f t="shared" ca="1" si="219"/>
        <v>430.45948377509148</v>
      </c>
      <c r="AE453">
        <f>VLOOKUP(C453,技能辅助查询表,技能配置辅助表!$U$1,FALSE)</f>
        <v>4</v>
      </c>
      <c r="AF453">
        <f t="shared" ca="1" si="220"/>
        <v>9124343</v>
      </c>
      <c r="AG453">
        <f t="shared" ref="AG453:AG516" ca="1" si="224">IF(I453=1,R453,IF(I453=0,0,(I453-1)*(80-R453)/(S453-1)+R453))</f>
        <v>70</v>
      </c>
      <c r="AH453">
        <f t="shared" ca="1" si="221"/>
        <v>3064.2878506023458</v>
      </c>
      <c r="AI453">
        <f ca="1">VLOOKUP(E453,伤害参考系!$C$4:$E$104,3,FALSE)*$AN$12</f>
        <v>16191.966408862889</v>
      </c>
      <c r="AJ453">
        <f>VLOOKUP(C453,技能辅助查询表,技能配置辅助表!$L$1,FALSE)</f>
        <v>4</v>
      </c>
      <c r="AK453">
        <f>VLOOKUP(C453,技能辅助查询表,技能配置辅助表!$AE$1,FALSE)</f>
        <v>66000009</v>
      </c>
    </row>
    <row r="454" spans="1:37" x14ac:dyDescent="0.15">
      <c r="A454" s="1">
        <f t="shared" ca="1" si="212"/>
        <v>9124344</v>
      </c>
      <c r="B454" s="1" t="str">
        <f t="shared" ca="1" si="197"/>
        <v>裂空·斩第3段</v>
      </c>
      <c r="C454" t="s">
        <v>158</v>
      </c>
      <c r="D454">
        <f t="shared" si="198"/>
        <v>1</v>
      </c>
      <c r="E454" s="42">
        <f t="shared" ca="1" si="213"/>
        <v>72</v>
      </c>
      <c r="F454" t="str">
        <f t="shared" ca="1" si="214"/>
        <v>第44级，共造成171.4%点伤害</v>
      </c>
      <c r="G454">
        <f t="shared" ca="1" si="215"/>
        <v>3</v>
      </c>
      <c r="H454">
        <f t="shared" si="199"/>
        <v>3</v>
      </c>
      <c r="I454" s="44">
        <f t="shared" ca="1" si="216"/>
        <v>44</v>
      </c>
      <c r="J454">
        <f t="shared" si="200"/>
        <v>2</v>
      </c>
      <c r="K454" s="36">
        <f t="shared" ca="1" si="201"/>
        <v>42.857142857142861</v>
      </c>
      <c r="L454" s="10">
        <f ca="1">AH454*VLOOKUP(C454,技能辅助查询表,技能配置辅助表!$T$1,FALSE)</f>
        <v>0</v>
      </c>
      <c r="M454">
        <f t="shared" ca="1" si="202"/>
        <v>4480</v>
      </c>
      <c r="N454" s="33">
        <f ca="1">CHOOSE(1,W454*U454,X454*'[1]0、经济设定'!$C$18)</f>
        <v>216405</v>
      </c>
      <c r="O454">
        <f t="shared" si="203"/>
        <v>4</v>
      </c>
      <c r="P454">
        <f t="shared" si="204"/>
        <v>4</v>
      </c>
      <c r="Q454">
        <f t="shared" si="205"/>
        <v>1</v>
      </c>
      <c r="R454" s="2">
        <f t="shared" si="206"/>
        <v>10</v>
      </c>
      <c r="S454" s="2">
        <f t="shared" si="207"/>
        <v>50</v>
      </c>
      <c r="T454" s="2">
        <f t="shared" si="208"/>
        <v>29.761904761904763</v>
      </c>
      <c r="U454" s="2">
        <f ca="1">VLOOKUP(E454,金币生产率!$A$2:$B$120,2,0)</f>
        <v>3435</v>
      </c>
      <c r="V454" s="2">
        <f t="shared" si="209"/>
        <v>119.04761904761905</v>
      </c>
      <c r="W454" s="45">
        <f t="shared" ca="1" si="222"/>
        <v>63</v>
      </c>
      <c r="X454" s="48">
        <f t="shared" ca="1" si="223"/>
        <v>916</v>
      </c>
      <c r="Y454">
        <f t="shared" si="210"/>
        <v>18</v>
      </c>
      <c r="Z454">
        <f t="shared" ca="1" si="217"/>
        <v>26</v>
      </c>
      <c r="AA454" t="str">
        <f t="shared" ca="1" si="218"/>
        <v>9124300.png</v>
      </c>
      <c r="AB454">
        <f t="shared" si="211"/>
        <v>5</v>
      </c>
      <c r="AC454">
        <f>VLOOKUP(C454,技能辅助查询表,技能配置辅助表!$W$1,FALSE)</f>
        <v>974</v>
      </c>
      <c r="AD454">
        <f t="shared" ca="1" si="219"/>
        <v>498.37874665282482</v>
      </c>
      <c r="AE454">
        <f>VLOOKUP(C454,技能辅助查询表,技能配置辅助表!$U$1,FALSE)</f>
        <v>4</v>
      </c>
      <c r="AF454">
        <f t="shared" ca="1" si="220"/>
        <v>9124344</v>
      </c>
      <c r="AG454">
        <f t="shared" ca="1" si="224"/>
        <v>71.428571428571431</v>
      </c>
      <c r="AH454">
        <f t="shared" ca="1" si="221"/>
        <v>3488.6512265697725</v>
      </c>
      <c r="AI454">
        <f ca="1">VLOOKUP(E454,伤害参考系!$C$4:$E$104,3,FALSE)*$AN$12</f>
        <v>17628.422312709041</v>
      </c>
      <c r="AJ454">
        <f>VLOOKUP(C454,技能辅助查询表,技能配置辅助表!$L$1,FALSE)</f>
        <v>4</v>
      </c>
      <c r="AK454">
        <f>VLOOKUP(C454,技能辅助查询表,技能配置辅助表!$AE$1,FALSE)</f>
        <v>66000009</v>
      </c>
    </row>
    <row r="455" spans="1:37" x14ac:dyDescent="0.15">
      <c r="A455" s="1">
        <f t="shared" ca="1" si="212"/>
        <v>9124345</v>
      </c>
      <c r="B455" s="1" t="str">
        <f t="shared" ca="1" si="197"/>
        <v>裂空·斩第3段</v>
      </c>
      <c r="C455" t="s">
        <v>158</v>
      </c>
      <c r="D455">
        <f t="shared" si="198"/>
        <v>1</v>
      </c>
      <c r="E455" s="42">
        <f t="shared" ca="1" si="213"/>
        <v>73</v>
      </c>
      <c r="F455" t="str">
        <f t="shared" ca="1" si="214"/>
        <v>第45级，共造成172.6%点伤害</v>
      </c>
      <c r="G455">
        <f t="shared" ca="1" si="215"/>
        <v>3</v>
      </c>
      <c r="H455">
        <f t="shared" si="199"/>
        <v>3</v>
      </c>
      <c r="I455" s="44">
        <f t="shared" ca="1" si="216"/>
        <v>45</v>
      </c>
      <c r="J455">
        <f t="shared" si="200"/>
        <v>2</v>
      </c>
      <c r="K455" s="36">
        <f t="shared" ca="1" si="201"/>
        <v>43.154761904761905</v>
      </c>
      <c r="L455" s="10">
        <f ca="1">AH455*VLOOKUP(C455,技能辅助查询表,技能配置辅助表!$T$1,FALSE)</f>
        <v>0</v>
      </c>
      <c r="M455">
        <f t="shared" ca="1" si="202"/>
        <v>4400</v>
      </c>
      <c r="N455" s="33">
        <f ca="1">CHOOSE(1,W455*U455,X455*'[1]0、经济设定'!$C$18)</f>
        <v>240312</v>
      </c>
      <c r="O455">
        <f t="shared" si="203"/>
        <v>4</v>
      </c>
      <c r="P455">
        <f t="shared" si="204"/>
        <v>4</v>
      </c>
      <c r="Q455">
        <f t="shared" si="205"/>
        <v>1</v>
      </c>
      <c r="R455" s="2">
        <f t="shared" si="206"/>
        <v>10</v>
      </c>
      <c r="S455" s="2">
        <f t="shared" si="207"/>
        <v>50</v>
      </c>
      <c r="T455" s="2">
        <f t="shared" si="208"/>
        <v>29.761904761904763</v>
      </c>
      <c r="U455" s="2">
        <f ca="1">VLOOKUP(E455,金币生产率!$A$2:$B$120,2,0)</f>
        <v>3534</v>
      </c>
      <c r="V455" s="2">
        <f t="shared" si="209"/>
        <v>119.04761904761905</v>
      </c>
      <c r="W455" s="45">
        <f t="shared" ca="1" si="222"/>
        <v>68</v>
      </c>
      <c r="X455" s="48">
        <f t="shared" ca="1" si="223"/>
        <v>984</v>
      </c>
      <c r="Y455">
        <f t="shared" si="210"/>
        <v>18</v>
      </c>
      <c r="Z455">
        <f t="shared" ca="1" si="217"/>
        <v>28</v>
      </c>
      <c r="AA455" t="str">
        <f t="shared" ca="1" si="218"/>
        <v>9124300.png</v>
      </c>
      <c r="AB455">
        <f t="shared" si="211"/>
        <v>5</v>
      </c>
      <c r="AC455">
        <f>VLOOKUP(C455,技能辅助查询表,技能配置辅助表!$W$1,FALSE)</f>
        <v>974</v>
      </c>
      <c r="AD455">
        <f t="shared" ca="1" si="219"/>
        <v>576.85424447184187</v>
      </c>
      <c r="AE455">
        <f>VLOOKUP(C455,技能辅助查询表,技能配置辅助表!$U$1,FALSE)</f>
        <v>4</v>
      </c>
      <c r="AF455">
        <f t="shared" ca="1" si="220"/>
        <v>9124345</v>
      </c>
      <c r="AG455">
        <f t="shared" ca="1" si="224"/>
        <v>72.857142857142861</v>
      </c>
      <c r="AH455">
        <f t="shared" ca="1" si="221"/>
        <v>3971.7833225930094</v>
      </c>
      <c r="AI455">
        <f ca="1">VLOOKUP(E455,伤害参考系!$C$4:$E$104,3,FALSE)*$AN$12</f>
        <v>18368.517032608706</v>
      </c>
      <c r="AJ455">
        <f>VLOOKUP(C455,技能辅助查询表,技能配置辅助表!$L$1,FALSE)</f>
        <v>4</v>
      </c>
      <c r="AK455">
        <f>VLOOKUP(C455,技能辅助查询表,技能配置辅助表!$AE$1,FALSE)</f>
        <v>66000009</v>
      </c>
    </row>
    <row r="456" spans="1:37" x14ac:dyDescent="0.15">
      <c r="A456" s="1">
        <f t="shared" ca="1" si="212"/>
        <v>9124346</v>
      </c>
      <c r="B456" s="1" t="str">
        <f t="shared" ca="1" si="197"/>
        <v>裂空·斩第3段</v>
      </c>
      <c r="C456" t="s">
        <v>158</v>
      </c>
      <c r="D456">
        <f t="shared" si="198"/>
        <v>1</v>
      </c>
      <c r="E456" s="42">
        <f t="shared" ca="1" si="213"/>
        <v>74</v>
      </c>
      <c r="F456" t="str">
        <f t="shared" ca="1" si="214"/>
        <v>第46级，共造成173.8%点伤害</v>
      </c>
      <c r="G456">
        <f t="shared" ca="1" si="215"/>
        <v>3</v>
      </c>
      <c r="H456">
        <f t="shared" si="199"/>
        <v>3</v>
      </c>
      <c r="I456" s="44">
        <f t="shared" ca="1" si="216"/>
        <v>46</v>
      </c>
      <c r="J456">
        <f t="shared" si="200"/>
        <v>2</v>
      </c>
      <c r="K456" s="36">
        <f t="shared" ca="1" si="201"/>
        <v>43.452380952380949</v>
      </c>
      <c r="L456" s="10">
        <f ca="1">AH456*VLOOKUP(C456,技能辅助查询表,技能配置辅助表!$T$1,FALSE)</f>
        <v>0</v>
      </c>
      <c r="M456">
        <f t="shared" ca="1" si="202"/>
        <v>4320</v>
      </c>
      <c r="N456" s="33">
        <f ca="1">CHOOSE(1,W456*U456,X456*'[1]0、经济设定'!$C$18)</f>
        <v>261648</v>
      </c>
      <c r="O456">
        <f t="shared" si="203"/>
        <v>4</v>
      </c>
      <c r="P456">
        <f t="shared" si="204"/>
        <v>4</v>
      </c>
      <c r="Q456">
        <f t="shared" si="205"/>
        <v>1</v>
      </c>
      <c r="R456" s="2">
        <f t="shared" si="206"/>
        <v>10</v>
      </c>
      <c r="S456" s="2">
        <f t="shared" si="207"/>
        <v>50</v>
      </c>
      <c r="T456" s="2">
        <f t="shared" si="208"/>
        <v>29.761904761904763</v>
      </c>
      <c r="U456" s="2">
        <f ca="1">VLOOKUP(E456,金币生产率!$A$2:$B$120,2,0)</f>
        <v>3634</v>
      </c>
      <c r="V456" s="2">
        <f t="shared" si="209"/>
        <v>119.04761904761905</v>
      </c>
      <c r="W456" s="45">
        <f t="shared" ca="1" si="222"/>
        <v>72</v>
      </c>
      <c r="X456" s="48">
        <f t="shared" ca="1" si="223"/>
        <v>1056</v>
      </c>
      <c r="Y456">
        <f t="shared" si="210"/>
        <v>18</v>
      </c>
      <c r="Z456">
        <f t="shared" ca="1" si="217"/>
        <v>29</v>
      </c>
      <c r="AA456" t="str">
        <f t="shared" ca="1" si="218"/>
        <v>9124300.png</v>
      </c>
      <c r="AB456">
        <f t="shared" si="211"/>
        <v>5</v>
      </c>
      <c r="AC456">
        <f>VLOOKUP(C456,技能辅助查询表,技能配置辅助表!$W$1,FALSE)</f>
        <v>974</v>
      </c>
      <c r="AD456">
        <f t="shared" ca="1" si="219"/>
        <v>667.50717964200942</v>
      </c>
      <c r="AE456">
        <f>VLOOKUP(C456,技能辅助查询表,技能配置辅助表!$U$1,FALSE)</f>
        <v>4</v>
      </c>
      <c r="AF456">
        <f t="shared" ca="1" si="220"/>
        <v>9124346</v>
      </c>
      <c r="AG456">
        <f t="shared" ca="1" si="224"/>
        <v>74.285714285714292</v>
      </c>
      <c r="AH456">
        <f t="shared" ca="1" si="221"/>
        <v>4521.8228298329677</v>
      </c>
      <c r="AI456">
        <f ca="1">VLOOKUP(E456,伤害参考系!$C$4:$E$104,3,FALSE)*$AN$12</f>
        <v>19123.189597826095</v>
      </c>
      <c r="AJ456">
        <f>VLOOKUP(C456,技能辅助查询表,技能配置辅助表!$L$1,FALSE)</f>
        <v>4</v>
      </c>
      <c r="AK456">
        <f>VLOOKUP(C456,技能辅助查询表,技能配置辅助表!$AE$1,FALSE)</f>
        <v>66000009</v>
      </c>
    </row>
    <row r="457" spans="1:37" x14ac:dyDescent="0.15">
      <c r="A457" s="1">
        <f t="shared" ca="1" si="212"/>
        <v>9124347</v>
      </c>
      <c r="B457" s="1" t="str">
        <f t="shared" ca="1" si="197"/>
        <v>裂空·斩第3段</v>
      </c>
      <c r="C457" t="s">
        <v>158</v>
      </c>
      <c r="D457">
        <f t="shared" si="198"/>
        <v>1</v>
      </c>
      <c r="E457" s="42">
        <f t="shared" ca="1" si="213"/>
        <v>76</v>
      </c>
      <c r="F457" t="str">
        <f t="shared" ca="1" si="214"/>
        <v>第47级，共造成175%点伤害</v>
      </c>
      <c r="G457">
        <f t="shared" ca="1" si="215"/>
        <v>3</v>
      </c>
      <c r="H457">
        <f t="shared" si="199"/>
        <v>3</v>
      </c>
      <c r="I457" s="44">
        <f t="shared" ca="1" si="216"/>
        <v>47</v>
      </c>
      <c r="J457">
        <f t="shared" si="200"/>
        <v>2</v>
      </c>
      <c r="K457" s="36">
        <f t="shared" ca="1" si="201"/>
        <v>43.75</v>
      </c>
      <c r="L457" s="10">
        <f ca="1">AH457*VLOOKUP(C457,技能辅助查询表,技能配置辅助表!$T$1,FALSE)</f>
        <v>0</v>
      </c>
      <c r="M457">
        <f t="shared" ca="1" si="202"/>
        <v>4240</v>
      </c>
      <c r="N457" s="33">
        <f ca="1">CHOOSE(1,W457*U457,X457*'[1]0、经济设定'!$C$18)</f>
        <v>295526</v>
      </c>
      <c r="O457">
        <f t="shared" si="203"/>
        <v>4</v>
      </c>
      <c r="P457">
        <f t="shared" si="204"/>
        <v>4</v>
      </c>
      <c r="Q457">
        <f t="shared" si="205"/>
        <v>1</v>
      </c>
      <c r="R457" s="2">
        <f t="shared" si="206"/>
        <v>10</v>
      </c>
      <c r="S457" s="2">
        <f t="shared" si="207"/>
        <v>50</v>
      </c>
      <c r="T457" s="2">
        <f t="shared" si="208"/>
        <v>29.761904761904763</v>
      </c>
      <c r="U457" s="2">
        <f ca="1">VLOOKUP(E457,金币生产率!$A$2:$B$120,2,0)</f>
        <v>3838</v>
      </c>
      <c r="V457" s="2">
        <f t="shared" si="209"/>
        <v>119.04761904761905</v>
      </c>
      <c r="W457" s="45">
        <f t="shared" ca="1" si="222"/>
        <v>77</v>
      </c>
      <c r="X457" s="48">
        <f t="shared" ca="1" si="223"/>
        <v>1133</v>
      </c>
      <c r="Y457">
        <f t="shared" si="210"/>
        <v>18</v>
      </c>
      <c r="Z457">
        <f t="shared" ca="1" si="217"/>
        <v>31</v>
      </c>
      <c r="AA457" t="str">
        <f t="shared" ca="1" si="218"/>
        <v>9124300.png</v>
      </c>
      <c r="AB457">
        <f t="shared" si="211"/>
        <v>5</v>
      </c>
      <c r="AC457">
        <f>VLOOKUP(C457,技能辅助查询表,技能配置辅助表!$W$1,FALSE)</f>
        <v>974</v>
      </c>
      <c r="AD457">
        <f t="shared" ca="1" si="219"/>
        <v>772.20533109481289</v>
      </c>
      <c r="AE457">
        <f>VLOOKUP(C457,技能辅助查询表,技能配置辅助表!$U$1,FALSE)</f>
        <v>4</v>
      </c>
      <c r="AF457">
        <f t="shared" ca="1" si="220"/>
        <v>9124347</v>
      </c>
      <c r="AG457">
        <f t="shared" ca="1" si="224"/>
        <v>75.714285714285708</v>
      </c>
      <c r="AH457">
        <f t="shared" ca="1" si="221"/>
        <v>5148.0355406320868</v>
      </c>
      <c r="AI457">
        <f ca="1">VLOOKUP(E457,伤害参考系!$C$4:$E$104,3,FALSE)*$AN$12</f>
        <v>20676.268264214057</v>
      </c>
      <c r="AJ457">
        <f>VLOOKUP(C457,技能辅助查询表,技能配置辅助表!$L$1,FALSE)</f>
        <v>4</v>
      </c>
      <c r="AK457">
        <f>VLOOKUP(C457,技能辅助查询表,技能配置辅助表!$AE$1,FALSE)</f>
        <v>66000009</v>
      </c>
    </row>
    <row r="458" spans="1:37" x14ac:dyDescent="0.15">
      <c r="A458" s="1">
        <f t="shared" ca="1" si="212"/>
        <v>9124348</v>
      </c>
      <c r="B458" s="1" t="str">
        <f t="shared" ca="1" si="197"/>
        <v>裂空·斩第3段</v>
      </c>
      <c r="C458" t="s">
        <v>158</v>
      </c>
      <c r="D458">
        <f t="shared" si="198"/>
        <v>1</v>
      </c>
      <c r="E458" s="42">
        <f t="shared" ca="1" si="213"/>
        <v>77</v>
      </c>
      <c r="F458" t="str">
        <f t="shared" ca="1" si="214"/>
        <v>第48级，共造成176.2%点伤害</v>
      </c>
      <c r="G458">
        <f t="shared" ca="1" si="215"/>
        <v>3</v>
      </c>
      <c r="H458">
        <f t="shared" si="199"/>
        <v>3</v>
      </c>
      <c r="I458" s="44">
        <f t="shared" ca="1" si="216"/>
        <v>48</v>
      </c>
      <c r="J458">
        <f t="shared" si="200"/>
        <v>2</v>
      </c>
      <c r="K458" s="36">
        <f t="shared" ca="1" si="201"/>
        <v>44.047619047619051</v>
      </c>
      <c r="L458" s="10">
        <f ca="1">AH458*VLOOKUP(C458,技能辅助查询表,技能配置辅助表!$T$1,FALSE)</f>
        <v>0</v>
      </c>
      <c r="M458">
        <f t="shared" ca="1" si="202"/>
        <v>4160</v>
      </c>
      <c r="N458" s="33">
        <f ca="1">CHOOSE(1,W458*U458,X458*'[1]0、经济设定'!$C$18)</f>
        <v>327186</v>
      </c>
      <c r="O458">
        <f t="shared" si="203"/>
        <v>4</v>
      </c>
      <c r="P458">
        <f t="shared" si="204"/>
        <v>4</v>
      </c>
      <c r="Q458">
        <f t="shared" si="205"/>
        <v>1</v>
      </c>
      <c r="R458" s="2">
        <f t="shared" si="206"/>
        <v>10</v>
      </c>
      <c r="S458" s="2">
        <f t="shared" si="207"/>
        <v>50</v>
      </c>
      <c r="T458" s="2">
        <f t="shared" si="208"/>
        <v>29.761904761904763</v>
      </c>
      <c r="U458" s="2">
        <f ca="1">VLOOKUP(E458,金币生产率!$A$2:$B$120,2,0)</f>
        <v>3942</v>
      </c>
      <c r="V458" s="2">
        <f t="shared" si="209"/>
        <v>119.04761904761905</v>
      </c>
      <c r="W458" s="45">
        <f t="shared" ca="1" si="222"/>
        <v>83</v>
      </c>
      <c r="X458" s="48">
        <f t="shared" ca="1" si="223"/>
        <v>1216</v>
      </c>
      <c r="Y458">
        <f t="shared" si="210"/>
        <v>18</v>
      </c>
      <c r="Z458">
        <f t="shared" ca="1" si="217"/>
        <v>34</v>
      </c>
      <c r="AA458" t="str">
        <f t="shared" ca="1" si="218"/>
        <v>9124300.png</v>
      </c>
      <c r="AB458">
        <f t="shared" si="211"/>
        <v>5</v>
      </c>
      <c r="AC458">
        <f>VLOOKUP(C458,技能辅助查询表,技能配置辅助表!$W$1,FALSE)</f>
        <v>974</v>
      </c>
      <c r="AD458">
        <f t="shared" ca="1" si="219"/>
        <v>893.10025708716933</v>
      </c>
      <c r="AE458">
        <f>VLOOKUP(C458,技能辅助查询表,技能配置辅助表!$U$1,FALSE)</f>
        <v>4</v>
      </c>
      <c r="AF458">
        <f t="shared" ca="1" si="220"/>
        <v>9124348</v>
      </c>
      <c r="AG458">
        <f t="shared" ca="1" si="224"/>
        <v>77.142857142857139</v>
      </c>
      <c r="AH458">
        <f t="shared" ca="1" si="221"/>
        <v>5860.970437134547</v>
      </c>
      <c r="AI458">
        <f ca="1">VLOOKUP(E458,伤害参考系!$C$4:$E$104,3,FALSE)*$AN$12</f>
        <v>21474.674365384624</v>
      </c>
      <c r="AJ458">
        <f>VLOOKUP(C458,技能辅助查询表,技能配置辅助表!$L$1,FALSE)</f>
        <v>4</v>
      </c>
      <c r="AK458">
        <f>VLOOKUP(C458,技能辅助查询表,技能配置辅助表!$AE$1,FALSE)</f>
        <v>66000009</v>
      </c>
    </row>
    <row r="459" spans="1:37" x14ac:dyDescent="0.15">
      <c r="A459" s="1">
        <f t="shared" ca="1" si="212"/>
        <v>9124349</v>
      </c>
      <c r="B459" s="1" t="str">
        <f t="shared" ca="1" si="197"/>
        <v>裂空·斩第3段</v>
      </c>
      <c r="C459" t="s">
        <v>158</v>
      </c>
      <c r="D459">
        <f t="shared" si="198"/>
        <v>1</v>
      </c>
      <c r="E459" s="42">
        <f t="shared" ca="1" si="213"/>
        <v>79</v>
      </c>
      <c r="F459" t="str">
        <f t="shared" ca="1" si="214"/>
        <v>第49级，共造成177.4%点伤害</v>
      </c>
      <c r="G459">
        <f t="shared" ca="1" si="215"/>
        <v>3</v>
      </c>
      <c r="H459">
        <f t="shared" si="199"/>
        <v>3</v>
      </c>
      <c r="I459" s="44">
        <f t="shared" ca="1" si="216"/>
        <v>49</v>
      </c>
      <c r="J459">
        <f t="shared" si="200"/>
        <v>2</v>
      </c>
      <c r="K459" s="36">
        <f t="shared" ca="1" si="201"/>
        <v>44.345238095238095</v>
      </c>
      <c r="L459" s="10">
        <f ca="1">AH459*VLOOKUP(C459,技能辅助查询表,技能配置辅助表!$T$1,FALSE)</f>
        <v>0</v>
      </c>
      <c r="M459">
        <f t="shared" ca="1" si="202"/>
        <v>4080</v>
      </c>
      <c r="N459" s="33">
        <f ca="1">CHOOSE(1,W459*U459,X459*'[1]0、经济设定'!$C$18)</f>
        <v>369706</v>
      </c>
      <c r="O459">
        <f t="shared" si="203"/>
        <v>4</v>
      </c>
      <c r="P459">
        <f t="shared" si="204"/>
        <v>4</v>
      </c>
      <c r="Q459">
        <f t="shared" si="205"/>
        <v>1</v>
      </c>
      <c r="R459" s="2">
        <f t="shared" si="206"/>
        <v>10</v>
      </c>
      <c r="S459" s="2">
        <f t="shared" si="207"/>
        <v>50</v>
      </c>
      <c r="T459" s="2">
        <f t="shared" si="208"/>
        <v>29.761904761904763</v>
      </c>
      <c r="U459" s="2">
        <f ca="1">VLOOKUP(E459,金币生产率!$A$2:$B$120,2,0)</f>
        <v>4154</v>
      </c>
      <c r="V459" s="2">
        <f t="shared" si="209"/>
        <v>119.04761904761905</v>
      </c>
      <c r="W459" s="45">
        <f t="shared" ca="1" si="222"/>
        <v>89</v>
      </c>
      <c r="X459" s="48">
        <f t="shared" ca="1" si="223"/>
        <v>1305</v>
      </c>
      <c r="Y459">
        <f t="shared" si="210"/>
        <v>18</v>
      </c>
      <c r="Z459">
        <f t="shared" ca="1" si="217"/>
        <v>36</v>
      </c>
      <c r="AA459" t="str">
        <f t="shared" ca="1" si="218"/>
        <v>9124300.png</v>
      </c>
      <c r="AB459">
        <f t="shared" si="211"/>
        <v>5</v>
      </c>
      <c r="AC459">
        <f>VLOOKUP(C459,技能辅助查询表,技能配置辅助表!$W$1,FALSE)</f>
        <v>974</v>
      </c>
      <c r="AD459">
        <f t="shared" ca="1" si="219"/>
        <v>1032.6700732087068</v>
      </c>
      <c r="AE459">
        <f>VLOOKUP(C459,技能辅助查询表,技能配置辅助表!$U$1,FALSE)</f>
        <v>4</v>
      </c>
      <c r="AF459">
        <f t="shared" ca="1" si="220"/>
        <v>9124349</v>
      </c>
      <c r="AG459">
        <f t="shared" ca="1" si="224"/>
        <v>78.571428571428569</v>
      </c>
      <c r="AH459">
        <f t="shared" ca="1" si="221"/>
        <v>6672.6373961177951</v>
      </c>
      <c r="AI459">
        <f ca="1">VLOOKUP(E459,伤害参考系!$C$4:$E$104,3,FALSE)*$AN$12</f>
        <v>23115.220103678937</v>
      </c>
      <c r="AJ459">
        <f>VLOOKUP(C459,技能辅助查询表,技能配置辅助表!$L$1,FALSE)</f>
        <v>4</v>
      </c>
      <c r="AK459">
        <f>VLOOKUP(C459,技能辅助查询表,技能配置辅助表!$AE$1,FALSE)</f>
        <v>66000009</v>
      </c>
    </row>
    <row r="460" spans="1:37" x14ac:dyDescent="0.15">
      <c r="A460" s="1">
        <f t="shared" ca="1" si="212"/>
        <v>9124350</v>
      </c>
      <c r="B460" s="1" t="str">
        <f t="shared" ca="1" si="197"/>
        <v>裂空·斩第3段</v>
      </c>
      <c r="C460" t="s">
        <v>158</v>
      </c>
      <c r="D460">
        <f t="shared" si="198"/>
        <v>1</v>
      </c>
      <c r="E460" s="42">
        <f t="shared" ca="1" si="213"/>
        <v>80</v>
      </c>
      <c r="F460" t="str">
        <f t="shared" ca="1" si="214"/>
        <v>第50级，共造成178.6%点伤害</v>
      </c>
      <c r="G460">
        <f t="shared" ca="1" si="215"/>
        <v>3</v>
      </c>
      <c r="H460">
        <f t="shared" si="199"/>
        <v>3</v>
      </c>
      <c r="I460" s="44">
        <f t="shared" ca="1" si="216"/>
        <v>50</v>
      </c>
      <c r="J460">
        <f t="shared" si="200"/>
        <v>2</v>
      </c>
      <c r="K460" s="36">
        <f t="shared" ca="1" si="201"/>
        <v>44.642857142857146</v>
      </c>
      <c r="L460" s="10">
        <f ca="1">AH460*VLOOKUP(C460,技能辅助查询表,技能配置辅助表!$T$1,FALSE)</f>
        <v>0</v>
      </c>
      <c r="M460">
        <f t="shared" ca="1" si="202"/>
        <v>4000</v>
      </c>
      <c r="N460" s="33">
        <f ca="1">CHOOSE(1,W460*U460,X460*'[1]0、经济设定'!$C$18)</f>
        <v>404890</v>
      </c>
      <c r="O460">
        <f t="shared" si="203"/>
        <v>4</v>
      </c>
      <c r="P460">
        <f t="shared" si="204"/>
        <v>4</v>
      </c>
      <c r="Q460">
        <f t="shared" si="205"/>
        <v>1</v>
      </c>
      <c r="R460" s="2">
        <f t="shared" si="206"/>
        <v>10</v>
      </c>
      <c r="S460" s="2">
        <f t="shared" si="207"/>
        <v>50</v>
      </c>
      <c r="T460" s="2">
        <f t="shared" si="208"/>
        <v>29.761904761904763</v>
      </c>
      <c r="U460" s="2">
        <f ca="1">VLOOKUP(E460,金币生产率!$A$2:$B$120,2,0)</f>
        <v>4262</v>
      </c>
      <c r="V460" s="2">
        <f t="shared" si="209"/>
        <v>119.04761904761905</v>
      </c>
      <c r="W460" s="45">
        <f t="shared" ca="1" si="222"/>
        <v>95</v>
      </c>
      <c r="X460" s="48">
        <f t="shared" ca="1" si="223"/>
        <v>1400</v>
      </c>
      <c r="Y460">
        <f t="shared" si="210"/>
        <v>18</v>
      </c>
      <c r="Z460">
        <f t="shared" ca="1" si="217"/>
        <v>38</v>
      </c>
      <c r="AA460" t="str">
        <f t="shared" ca="1" si="218"/>
        <v>9124300.png</v>
      </c>
      <c r="AB460">
        <f t="shared" si="211"/>
        <v>5</v>
      </c>
      <c r="AC460">
        <f>VLOOKUP(C460,技能辅助查询表,技能配置辅助表!$W$1,FALSE)</f>
        <v>974</v>
      </c>
      <c r="AD460">
        <f t="shared" ca="1" si="219"/>
        <v>1193.7686362792215</v>
      </c>
      <c r="AE460">
        <f>VLOOKUP(C460,技能辅助查询表,技能配置辅助表!$U$1,FALSE)</f>
        <v>4</v>
      </c>
      <c r="AF460">
        <f t="shared" ca="1" si="220"/>
        <v>9124350</v>
      </c>
      <c r="AG460">
        <f t="shared" ca="1" si="224"/>
        <v>80</v>
      </c>
      <c r="AH460">
        <f t="shared" ca="1" si="221"/>
        <v>7596.7095035950451</v>
      </c>
      <c r="AI460">
        <f ca="1">VLOOKUP(E460,伤害参考系!$C$4:$E$104,3,FALSE)*$AN$12</f>
        <v>24028.87424749164</v>
      </c>
      <c r="AJ460">
        <f>VLOOKUP(C460,技能辅助查询表,技能配置辅助表!$L$1,FALSE)</f>
        <v>4</v>
      </c>
      <c r="AK460">
        <f>VLOOKUP(C460,技能辅助查询表,技能配置辅助表!$AE$1,FALSE)</f>
        <v>66000009</v>
      </c>
    </row>
    <row r="461" spans="1:37" x14ac:dyDescent="0.15">
      <c r="A461" s="1">
        <f t="shared" ca="1" si="212"/>
        <v>1</v>
      </c>
      <c r="B461" s="1" t="str">
        <f t="shared" ca="1" si="197"/>
        <v>裂空·斩</v>
      </c>
      <c r="C461" t="s">
        <v>159</v>
      </c>
      <c r="D461">
        <f t="shared" si="198"/>
        <v>1</v>
      </c>
      <c r="E461" s="42">
        <f t="shared" ca="1" si="213"/>
        <v>6</v>
      </c>
      <c r="F461" t="str">
        <f t="shared" ca="1" si="214"/>
        <v>第0级，共造成178.6%点伤害</v>
      </c>
      <c r="G461">
        <f t="shared" ca="1" si="215"/>
        <v>0</v>
      </c>
      <c r="H461">
        <f t="shared" si="199"/>
        <v>4</v>
      </c>
      <c r="I461" s="44">
        <f t="shared" ca="1" si="216"/>
        <v>0</v>
      </c>
      <c r="J461">
        <f t="shared" si="200"/>
        <v>2</v>
      </c>
      <c r="K461" s="36">
        <f t="shared" ca="1" si="201"/>
        <v>178.57142857142858</v>
      </c>
      <c r="L461" s="10">
        <f ca="1">AH461*VLOOKUP(C461,技能辅助查询表,技能配置辅助表!$T$1,FALSE)</f>
        <v>0</v>
      </c>
      <c r="M461">
        <f t="shared" ca="1" si="202"/>
        <v>8000</v>
      </c>
      <c r="N461" s="33">
        <f ca="1">CHOOSE(1,W461*U461,X461*'[1]0、经济设定'!$C$18)</f>
        <v>0</v>
      </c>
      <c r="O461">
        <f t="shared" si="203"/>
        <v>4</v>
      </c>
      <c r="P461">
        <f t="shared" si="204"/>
        <v>1</v>
      </c>
      <c r="Q461">
        <f t="shared" si="205"/>
        <v>1</v>
      </c>
      <c r="R461" s="2">
        <f t="shared" si="206"/>
        <v>12</v>
      </c>
      <c r="S461" s="2">
        <f t="shared" si="207"/>
        <v>50</v>
      </c>
      <c r="T461" s="2">
        <f t="shared" si="208"/>
        <v>178.57142857142858</v>
      </c>
      <c r="U461" s="2">
        <f ca="1">VLOOKUP(E461,金币生产率!$A$2:$B$120,2,0)</f>
        <v>80</v>
      </c>
      <c r="V461" s="2">
        <f t="shared" si="209"/>
        <v>178.57142857142858</v>
      </c>
      <c r="W461" s="45">
        <f t="shared" ca="1" si="222"/>
        <v>0</v>
      </c>
      <c r="X461" s="48">
        <f t="shared" ca="1" si="223"/>
        <v>0</v>
      </c>
      <c r="Y461">
        <f t="shared" si="210"/>
        <v>18</v>
      </c>
      <c r="Z461">
        <f t="shared" ca="1" si="217"/>
        <v>0</v>
      </c>
      <c r="AA461" t="str">
        <f t="shared" ca="1" si="218"/>
        <v>9124400.png</v>
      </c>
      <c r="AB461">
        <f t="shared" si="211"/>
        <v>20</v>
      </c>
      <c r="AC461">
        <f>VLOOKUP(C461,技能辅助查询表,技能配置辅助表!$W$1,FALSE)</f>
        <v>982</v>
      </c>
      <c r="AD461">
        <f t="shared" ca="1" si="219"/>
        <v>1.8218828571428578</v>
      </c>
      <c r="AE461">
        <f>VLOOKUP(C461,技能辅助查询表,技能配置辅助表!$U$1,FALSE)</f>
        <v>4</v>
      </c>
      <c r="AF461">
        <f t="shared" ca="1" si="220"/>
        <v>9124400</v>
      </c>
      <c r="AG461">
        <f t="shared" ca="1" si="224"/>
        <v>0</v>
      </c>
      <c r="AH461">
        <f t="shared" ca="1" si="221"/>
        <v>11.5938</v>
      </c>
      <c r="AI461">
        <f ca="1">VLOOKUP(E461,伤害参考系!$C$4:$E$104,3,FALSE)*$AN$12</f>
        <v>88.919999999999987</v>
      </c>
      <c r="AJ461">
        <f>VLOOKUP(C461,技能辅助查询表,技能配置辅助表!$L$1,FALSE)</f>
        <v>1</v>
      </c>
      <c r="AK461">
        <f>VLOOKUP(C461,技能辅助查询表,技能配置辅助表!$AE$1,FALSE)</f>
        <v>66000009</v>
      </c>
    </row>
    <row r="462" spans="1:37" x14ac:dyDescent="0.15">
      <c r="A462" s="1">
        <f t="shared" ca="1" si="212"/>
        <v>9124401</v>
      </c>
      <c r="B462" s="1" t="str">
        <f t="shared" ca="1" si="197"/>
        <v>裂空·斩第4段</v>
      </c>
      <c r="C462" t="s">
        <v>159</v>
      </c>
      <c r="D462">
        <f t="shared" si="198"/>
        <v>1</v>
      </c>
      <c r="E462" s="42">
        <f t="shared" ca="1" si="213"/>
        <v>6</v>
      </c>
      <c r="F462" t="str">
        <f t="shared" ca="1" si="214"/>
        <v>第1级，共造成178.6%点伤害</v>
      </c>
      <c r="G462">
        <f t="shared" ca="1" si="215"/>
        <v>4</v>
      </c>
      <c r="H462">
        <f t="shared" si="199"/>
        <v>4</v>
      </c>
      <c r="I462" s="44">
        <f t="shared" ca="1" si="216"/>
        <v>1</v>
      </c>
      <c r="J462">
        <f t="shared" si="200"/>
        <v>2</v>
      </c>
      <c r="K462" s="36">
        <f t="shared" ca="1" si="201"/>
        <v>178.57142857142858</v>
      </c>
      <c r="L462" s="10">
        <f ca="1">AH462*VLOOKUP(C462,技能辅助查询表,技能配置辅助表!$T$1,FALSE)</f>
        <v>0</v>
      </c>
      <c r="M462">
        <f t="shared" ca="1" si="202"/>
        <v>8000</v>
      </c>
      <c r="N462" s="33">
        <f ca="1">CHOOSE(1,W462*U462,X462*'[1]0、经济设定'!$C$18)</f>
        <v>480</v>
      </c>
      <c r="O462">
        <f t="shared" si="203"/>
        <v>4</v>
      </c>
      <c r="P462">
        <f t="shared" si="204"/>
        <v>1</v>
      </c>
      <c r="Q462">
        <f t="shared" si="205"/>
        <v>1</v>
      </c>
      <c r="R462" s="2">
        <f t="shared" si="206"/>
        <v>12</v>
      </c>
      <c r="S462" s="2">
        <f t="shared" si="207"/>
        <v>50</v>
      </c>
      <c r="T462" s="2">
        <f t="shared" si="208"/>
        <v>178.57142857142858</v>
      </c>
      <c r="U462" s="2">
        <f ca="1">VLOOKUP(E462,金币生产率!$A$2:$B$120,2,0)</f>
        <v>80</v>
      </c>
      <c r="V462" s="2">
        <f t="shared" si="209"/>
        <v>178.57142857142858</v>
      </c>
      <c r="W462" s="45">
        <f t="shared" ca="1" si="222"/>
        <v>6</v>
      </c>
      <c r="X462" s="48">
        <f t="shared" ca="1" si="223"/>
        <v>6</v>
      </c>
      <c r="Y462">
        <f t="shared" si="210"/>
        <v>18</v>
      </c>
      <c r="Z462">
        <f t="shared" ca="1" si="217"/>
        <v>0</v>
      </c>
      <c r="AA462" t="str">
        <f t="shared" ca="1" si="218"/>
        <v>9124400.png</v>
      </c>
      <c r="AB462">
        <f t="shared" si="211"/>
        <v>20</v>
      </c>
      <c r="AC462">
        <f>VLOOKUP(C462,技能辅助查询表,技能配置辅助表!$W$1,FALSE)</f>
        <v>982</v>
      </c>
      <c r="AD462">
        <f t="shared" ca="1" si="219"/>
        <v>2.0741895585914008</v>
      </c>
      <c r="AE462">
        <f>VLOOKUP(C462,技能辅助查询表,技能配置辅助表!$U$1,FALSE)</f>
        <v>4</v>
      </c>
      <c r="AF462">
        <f t="shared" ca="1" si="220"/>
        <v>9124401</v>
      </c>
      <c r="AG462">
        <f t="shared" ca="1" si="224"/>
        <v>12</v>
      </c>
      <c r="AH462">
        <f t="shared" ca="1" si="221"/>
        <v>13.199388100127095</v>
      </c>
      <c r="AI462">
        <f ca="1">VLOOKUP(E462,伤害参考系!$C$4:$E$104,3,FALSE)*$AN$12</f>
        <v>88.919999999999987</v>
      </c>
      <c r="AJ462">
        <f>VLOOKUP(C462,技能辅助查询表,技能配置辅助表!$L$1,FALSE)</f>
        <v>1</v>
      </c>
      <c r="AK462">
        <f>VLOOKUP(C462,技能辅助查询表,技能配置辅助表!$AE$1,FALSE)</f>
        <v>66000009</v>
      </c>
    </row>
    <row r="463" spans="1:37" x14ac:dyDescent="0.15">
      <c r="A463" s="1">
        <f t="shared" ca="1" si="212"/>
        <v>9124402</v>
      </c>
      <c r="B463" s="1" t="str">
        <f t="shared" ca="1" si="197"/>
        <v>裂空·斩第4段</v>
      </c>
      <c r="C463" t="s">
        <v>159</v>
      </c>
      <c r="D463">
        <f t="shared" si="198"/>
        <v>1</v>
      </c>
      <c r="E463" s="42">
        <f t="shared" ca="1" si="213"/>
        <v>15</v>
      </c>
      <c r="F463" t="str">
        <f t="shared" ca="1" si="214"/>
        <v>第2级，共造成182.1%点伤害</v>
      </c>
      <c r="G463">
        <f t="shared" ca="1" si="215"/>
        <v>4</v>
      </c>
      <c r="H463">
        <f t="shared" si="199"/>
        <v>4</v>
      </c>
      <c r="I463" s="44">
        <f t="shared" ca="1" si="216"/>
        <v>2</v>
      </c>
      <c r="J463">
        <f t="shared" si="200"/>
        <v>2</v>
      </c>
      <c r="K463" s="36">
        <f t="shared" ca="1" si="201"/>
        <v>182.14285714285717</v>
      </c>
      <c r="L463" s="10">
        <f ca="1">AH463*VLOOKUP(C463,技能辅助查询表,技能配置辅助表!$T$1,FALSE)</f>
        <v>0</v>
      </c>
      <c r="M463">
        <f t="shared" ca="1" si="202"/>
        <v>7840</v>
      </c>
      <c r="N463" s="33">
        <f ca="1">CHOOSE(1,W463*U463,X463*'[1]0、经济设定'!$C$18)</f>
        <v>938</v>
      </c>
      <c r="O463">
        <f t="shared" si="203"/>
        <v>4</v>
      </c>
      <c r="P463">
        <f t="shared" si="204"/>
        <v>1</v>
      </c>
      <c r="Q463">
        <f t="shared" si="205"/>
        <v>1</v>
      </c>
      <c r="R463" s="2">
        <f t="shared" si="206"/>
        <v>12</v>
      </c>
      <c r="S463" s="2">
        <f t="shared" si="207"/>
        <v>50</v>
      </c>
      <c r="T463" s="2">
        <f t="shared" si="208"/>
        <v>178.57142857142858</v>
      </c>
      <c r="U463" s="2">
        <f ca="1">VLOOKUP(E463,金币生产率!$A$2:$B$120,2,0)</f>
        <v>134</v>
      </c>
      <c r="V463" s="2">
        <f t="shared" si="209"/>
        <v>178.57142857142858</v>
      </c>
      <c r="W463" s="45">
        <f t="shared" ca="1" si="222"/>
        <v>7</v>
      </c>
      <c r="X463" s="48">
        <f t="shared" ca="1" si="223"/>
        <v>13</v>
      </c>
      <c r="Y463">
        <f t="shared" si="210"/>
        <v>18</v>
      </c>
      <c r="Z463">
        <f t="shared" ca="1" si="217"/>
        <v>0</v>
      </c>
      <c r="AA463" t="str">
        <f t="shared" ca="1" si="218"/>
        <v>9124400.png</v>
      </c>
      <c r="AB463">
        <f t="shared" si="211"/>
        <v>20</v>
      </c>
      <c r="AC463">
        <f>VLOOKUP(C463,技能辅助查询表,技能配置辅助表!$W$1,FALSE)</f>
        <v>982</v>
      </c>
      <c r="AD463">
        <f t="shared" ca="1" si="219"/>
        <v>2.4687754680511924</v>
      </c>
      <c r="AE463">
        <f>VLOOKUP(C463,技能辅助查询表,技能配置辅助表!$U$1,FALSE)</f>
        <v>4</v>
      </c>
      <c r="AF463">
        <f t="shared" ca="1" si="220"/>
        <v>9124402</v>
      </c>
      <c r="AG463">
        <f t="shared" ca="1" si="224"/>
        <v>13.387755102040817</v>
      </c>
      <c r="AH463">
        <f t="shared" ca="1" si="221"/>
        <v>15.027328935963775</v>
      </c>
      <c r="AI463">
        <f ca="1">VLOOKUP(E463,伤害参考系!$C$4:$E$104,3,FALSE)*$AN$12</f>
        <v>374.61277173913044</v>
      </c>
      <c r="AJ463">
        <f>VLOOKUP(C463,技能辅助查询表,技能配置辅助表!$L$1,FALSE)</f>
        <v>1</v>
      </c>
      <c r="AK463">
        <f>VLOOKUP(C463,技能辅助查询表,技能配置辅助表!$AE$1,FALSE)</f>
        <v>66000009</v>
      </c>
    </row>
    <row r="464" spans="1:37" x14ac:dyDescent="0.15">
      <c r="A464" s="1">
        <f t="shared" ca="1" si="212"/>
        <v>9124403</v>
      </c>
      <c r="B464" s="1" t="str">
        <f t="shared" ca="1" si="197"/>
        <v>裂空·斩第4段</v>
      </c>
      <c r="C464" t="s">
        <v>159</v>
      </c>
      <c r="D464">
        <f t="shared" si="198"/>
        <v>1</v>
      </c>
      <c r="E464" s="42">
        <f t="shared" ca="1" si="213"/>
        <v>16</v>
      </c>
      <c r="F464" t="str">
        <f t="shared" ca="1" si="214"/>
        <v>第3级，共造成183.9%点伤害</v>
      </c>
      <c r="G464">
        <f t="shared" ca="1" si="215"/>
        <v>4</v>
      </c>
      <c r="H464">
        <f t="shared" si="199"/>
        <v>4</v>
      </c>
      <c r="I464" s="44">
        <f t="shared" ca="1" si="216"/>
        <v>3</v>
      </c>
      <c r="J464">
        <f t="shared" si="200"/>
        <v>2</v>
      </c>
      <c r="K464" s="36">
        <f t="shared" ca="1" si="201"/>
        <v>183.92857142857144</v>
      </c>
      <c r="L464" s="10">
        <f ca="1">AH464*VLOOKUP(C464,技能辅助查询表,技能配置辅助表!$T$1,FALSE)</f>
        <v>0</v>
      </c>
      <c r="M464">
        <f t="shared" ca="1" si="202"/>
        <v>7760</v>
      </c>
      <c r="N464" s="33">
        <f ca="1">CHOOSE(1,W464*U464,X464*'[1]0、经济设定'!$C$18)</f>
        <v>980</v>
      </c>
      <c r="O464">
        <f t="shared" si="203"/>
        <v>4</v>
      </c>
      <c r="P464">
        <f t="shared" si="204"/>
        <v>1</v>
      </c>
      <c r="Q464">
        <f t="shared" si="205"/>
        <v>1</v>
      </c>
      <c r="R464" s="2">
        <f t="shared" si="206"/>
        <v>12</v>
      </c>
      <c r="S464" s="2">
        <f t="shared" si="207"/>
        <v>50</v>
      </c>
      <c r="T464" s="2">
        <f t="shared" si="208"/>
        <v>178.57142857142858</v>
      </c>
      <c r="U464" s="2">
        <f ca="1">VLOOKUP(E464,金币生产率!$A$2:$B$120,2,0)</f>
        <v>140</v>
      </c>
      <c r="V464" s="2">
        <f t="shared" si="209"/>
        <v>178.57142857142858</v>
      </c>
      <c r="W464" s="45">
        <f t="shared" ca="1" si="222"/>
        <v>7</v>
      </c>
      <c r="X464" s="48">
        <f t="shared" ca="1" si="223"/>
        <v>20</v>
      </c>
      <c r="Y464">
        <f t="shared" si="210"/>
        <v>18</v>
      </c>
      <c r="Z464">
        <f t="shared" ca="1" si="217"/>
        <v>0</v>
      </c>
      <c r="AA464" t="str">
        <f t="shared" ca="1" si="218"/>
        <v>9124400.png</v>
      </c>
      <c r="AB464">
        <f t="shared" si="211"/>
        <v>20</v>
      </c>
      <c r="AC464">
        <f>VLOOKUP(C464,技能辅助查询表,技能配置辅助表!$W$1,FALSE)</f>
        <v>982</v>
      </c>
      <c r="AD464">
        <f t="shared" ca="1" si="219"/>
        <v>2.8717697317595317</v>
      </c>
      <c r="AE464">
        <f>VLOOKUP(C464,技能辅助查询表,技能配置辅助表!$U$1,FALSE)</f>
        <v>4</v>
      </c>
      <c r="AF464">
        <f t="shared" ca="1" si="220"/>
        <v>9124403</v>
      </c>
      <c r="AG464">
        <f t="shared" ca="1" si="224"/>
        <v>14.775510204081632</v>
      </c>
      <c r="AH464">
        <f t="shared" ca="1" si="221"/>
        <v>17.108415423248271</v>
      </c>
      <c r="AI464">
        <f ca="1">VLOOKUP(E464,伤害参考系!$C$4:$E$104,3,FALSE)*$AN$12</f>
        <v>421.35260869565224</v>
      </c>
      <c r="AJ464">
        <f>VLOOKUP(C464,技能辅助查询表,技能配置辅助表!$L$1,FALSE)</f>
        <v>1</v>
      </c>
      <c r="AK464">
        <f>VLOOKUP(C464,技能辅助查询表,技能配置辅助表!$AE$1,FALSE)</f>
        <v>66000009</v>
      </c>
    </row>
    <row r="465" spans="1:37" x14ac:dyDescent="0.15">
      <c r="A465" s="1">
        <f t="shared" ca="1" si="212"/>
        <v>9124404</v>
      </c>
      <c r="B465" s="1" t="str">
        <f t="shared" ca="1" si="197"/>
        <v>裂空·斩第4段</v>
      </c>
      <c r="C465" t="s">
        <v>159</v>
      </c>
      <c r="D465">
        <f t="shared" si="198"/>
        <v>1</v>
      </c>
      <c r="E465" s="42">
        <f t="shared" ca="1" si="213"/>
        <v>17</v>
      </c>
      <c r="F465" t="str">
        <f t="shared" ca="1" si="214"/>
        <v>第4级，共造成185.7%点伤害</v>
      </c>
      <c r="G465">
        <f t="shared" ca="1" si="215"/>
        <v>4</v>
      </c>
      <c r="H465">
        <f t="shared" si="199"/>
        <v>4</v>
      </c>
      <c r="I465" s="44">
        <f t="shared" ca="1" si="216"/>
        <v>4</v>
      </c>
      <c r="J465">
        <f t="shared" si="200"/>
        <v>2</v>
      </c>
      <c r="K465" s="36">
        <f t="shared" ca="1" si="201"/>
        <v>185.71428571428572</v>
      </c>
      <c r="L465" s="10">
        <f ca="1">AH465*VLOOKUP(C465,技能辅助查询表,技能配置辅助表!$T$1,FALSE)</f>
        <v>0</v>
      </c>
      <c r="M465">
        <f t="shared" ca="1" si="202"/>
        <v>7680</v>
      </c>
      <c r="N465" s="33">
        <f ca="1">CHOOSE(1,W465*U465,X465*'[1]0、经济设定'!$C$18)</f>
        <v>1168</v>
      </c>
      <c r="O465">
        <f t="shared" si="203"/>
        <v>4</v>
      </c>
      <c r="P465">
        <f t="shared" si="204"/>
        <v>1</v>
      </c>
      <c r="Q465">
        <f t="shared" si="205"/>
        <v>1</v>
      </c>
      <c r="R465" s="2">
        <f t="shared" si="206"/>
        <v>12</v>
      </c>
      <c r="S465" s="2">
        <f t="shared" si="207"/>
        <v>50</v>
      </c>
      <c r="T465" s="2">
        <f t="shared" si="208"/>
        <v>178.57142857142858</v>
      </c>
      <c r="U465" s="2">
        <f ca="1">VLOOKUP(E465,金币生产率!$A$2:$B$120,2,0)</f>
        <v>146</v>
      </c>
      <c r="V465" s="2">
        <f t="shared" si="209"/>
        <v>178.57142857142858</v>
      </c>
      <c r="W465" s="45">
        <f t="shared" ca="1" si="222"/>
        <v>8</v>
      </c>
      <c r="X465" s="48">
        <f t="shared" ca="1" si="223"/>
        <v>28</v>
      </c>
      <c r="Y465">
        <f t="shared" si="210"/>
        <v>18</v>
      </c>
      <c r="Z465">
        <f t="shared" ca="1" si="217"/>
        <v>0</v>
      </c>
      <c r="AA465" t="str">
        <f t="shared" ca="1" si="218"/>
        <v>9124400.png</v>
      </c>
      <c r="AB465">
        <f t="shared" si="211"/>
        <v>20</v>
      </c>
      <c r="AC465">
        <f>VLOOKUP(C465,技能辅助查询表,技能配置辅助表!$W$1,FALSE)</f>
        <v>982</v>
      </c>
      <c r="AD465">
        <f t="shared" ca="1" si="219"/>
        <v>3.3390351239404432</v>
      </c>
      <c r="AE465">
        <f>VLOOKUP(C465,技能辅助查询表,技能配置辅助表!$U$1,FALSE)</f>
        <v>4</v>
      </c>
      <c r="AF465">
        <f t="shared" ca="1" si="220"/>
        <v>9124404</v>
      </c>
      <c r="AG465">
        <f t="shared" ca="1" si="224"/>
        <v>16.163265306122447</v>
      </c>
      <c r="AH465">
        <f t="shared" ca="1" si="221"/>
        <v>19.477704889652582</v>
      </c>
      <c r="AI465">
        <f ca="1">VLOOKUP(E465,伤害参考系!$C$4:$E$104,3,FALSE)*$AN$12</f>
        <v>470.53516304347824</v>
      </c>
      <c r="AJ465">
        <f>VLOOKUP(C465,技能辅助查询表,技能配置辅助表!$L$1,FALSE)</f>
        <v>1</v>
      </c>
      <c r="AK465">
        <f>VLOOKUP(C465,技能辅助查询表,技能配置辅助表!$AE$1,FALSE)</f>
        <v>66000009</v>
      </c>
    </row>
    <row r="466" spans="1:37" x14ac:dyDescent="0.15">
      <c r="A466" s="1">
        <f t="shared" ca="1" si="212"/>
        <v>9124405</v>
      </c>
      <c r="B466" s="1" t="str">
        <f t="shared" ca="1" si="197"/>
        <v>裂空·斩第4段</v>
      </c>
      <c r="C466" t="s">
        <v>159</v>
      </c>
      <c r="D466">
        <f t="shared" si="198"/>
        <v>1</v>
      </c>
      <c r="E466" s="42">
        <f t="shared" ca="1" si="213"/>
        <v>19</v>
      </c>
      <c r="F466" t="str">
        <f t="shared" ca="1" si="214"/>
        <v>第5级，共造成187.5%点伤害</v>
      </c>
      <c r="G466">
        <f t="shared" ca="1" si="215"/>
        <v>4</v>
      </c>
      <c r="H466">
        <f t="shared" si="199"/>
        <v>4</v>
      </c>
      <c r="I466" s="44">
        <f t="shared" ca="1" si="216"/>
        <v>5</v>
      </c>
      <c r="J466">
        <f t="shared" si="200"/>
        <v>2</v>
      </c>
      <c r="K466" s="36">
        <f t="shared" ca="1" si="201"/>
        <v>187.5</v>
      </c>
      <c r="L466" s="10">
        <f ca="1">AH466*VLOOKUP(C466,技能辅助查询表,技能配置辅助表!$T$1,FALSE)</f>
        <v>0</v>
      </c>
      <c r="M466">
        <f t="shared" ca="1" si="202"/>
        <v>7600</v>
      </c>
      <c r="N466" s="33">
        <f ca="1">CHOOSE(1,W466*U466,X466*'[1]0、经济设定'!$C$18)</f>
        <v>1264</v>
      </c>
      <c r="O466">
        <f t="shared" si="203"/>
        <v>4</v>
      </c>
      <c r="P466">
        <f t="shared" si="204"/>
        <v>1</v>
      </c>
      <c r="Q466">
        <f t="shared" si="205"/>
        <v>1</v>
      </c>
      <c r="R466" s="2">
        <f t="shared" si="206"/>
        <v>12</v>
      </c>
      <c r="S466" s="2">
        <f t="shared" si="207"/>
        <v>50</v>
      </c>
      <c r="T466" s="2">
        <f t="shared" si="208"/>
        <v>178.57142857142858</v>
      </c>
      <c r="U466" s="2">
        <f ca="1">VLOOKUP(E466,金币生产率!$A$2:$B$120,2,0)</f>
        <v>158</v>
      </c>
      <c r="V466" s="2">
        <f t="shared" si="209"/>
        <v>178.57142857142858</v>
      </c>
      <c r="W466" s="45">
        <f t="shared" ca="1" si="222"/>
        <v>8</v>
      </c>
      <c r="X466" s="48">
        <f t="shared" ca="1" si="223"/>
        <v>36</v>
      </c>
      <c r="Y466">
        <f t="shared" si="210"/>
        <v>18</v>
      </c>
      <c r="Z466">
        <f t="shared" ca="1" si="217"/>
        <v>0</v>
      </c>
      <c r="AA466" t="str">
        <f t="shared" ca="1" si="218"/>
        <v>9124400.png</v>
      </c>
      <c r="AB466">
        <f t="shared" si="211"/>
        <v>20</v>
      </c>
      <c r="AC466">
        <f>VLOOKUP(C466,技能辅助查询表,技能配置辅助表!$W$1,FALSE)</f>
        <v>982</v>
      </c>
      <c r="AD466">
        <f t="shared" ca="1" si="219"/>
        <v>3.8806441869099735</v>
      </c>
      <c r="AE466">
        <f>VLOOKUP(C466,技能辅助查询表,技能配置辅助表!$U$1,FALSE)</f>
        <v>4</v>
      </c>
      <c r="AF466">
        <f t="shared" ca="1" si="220"/>
        <v>9124405</v>
      </c>
      <c r="AG466">
        <f t="shared" ca="1" si="224"/>
        <v>17.551020408163264</v>
      </c>
      <c r="AH466">
        <f t="shared" ca="1" si="221"/>
        <v>22.175109639485559</v>
      </c>
      <c r="AI466">
        <f ca="1">VLOOKUP(E466,伤害参考系!$C$4:$E$104,3,FALSE)*$AN$12</f>
        <v>576.22842391304346</v>
      </c>
      <c r="AJ466">
        <f>VLOOKUP(C466,技能辅助查询表,技能配置辅助表!$L$1,FALSE)</f>
        <v>1</v>
      </c>
      <c r="AK466">
        <f>VLOOKUP(C466,技能辅助查询表,技能配置辅助表!$AE$1,FALSE)</f>
        <v>66000009</v>
      </c>
    </row>
    <row r="467" spans="1:37" x14ac:dyDescent="0.15">
      <c r="A467" s="1">
        <f t="shared" ca="1" si="212"/>
        <v>9124406</v>
      </c>
      <c r="B467" s="1" t="str">
        <f t="shared" ca="1" si="197"/>
        <v>裂空·斩第4段</v>
      </c>
      <c r="C467" t="s">
        <v>159</v>
      </c>
      <c r="D467">
        <f t="shared" si="198"/>
        <v>1</v>
      </c>
      <c r="E467" s="42">
        <f t="shared" ca="1" si="213"/>
        <v>20</v>
      </c>
      <c r="F467" t="str">
        <f t="shared" ca="1" si="214"/>
        <v>第6级，共造成189.3%点伤害</v>
      </c>
      <c r="G467">
        <f t="shared" ca="1" si="215"/>
        <v>4</v>
      </c>
      <c r="H467">
        <f t="shared" si="199"/>
        <v>4</v>
      </c>
      <c r="I467" s="44">
        <f t="shared" ca="1" si="216"/>
        <v>6</v>
      </c>
      <c r="J467">
        <f t="shared" si="200"/>
        <v>2</v>
      </c>
      <c r="K467" s="36">
        <f t="shared" ca="1" si="201"/>
        <v>189.28571428571431</v>
      </c>
      <c r="L467" s="10">
        <f ca="1">AH467*VLOOKUP(C467,技能辅助查询表,技能配置辅助表!$T$1,FALSE)</f>
        <v>0</v>
      </c>
      <c r="M467">
        <f t="shared" ca="1" si="202"/>
        <v>7520</v>
      </c>
      <c r="N467" s="33">
        <f ca="1">CHOOSE(1,W467*U467,X467*'[1]0、经济设定'!$C$18)</f>
        <v>1638</v>
      </c>
      <c r="O467">
        <f t="shared" si="203"/>
        <v>4</v>
      </c>
      <c r="P467">
        <f t="shared" si="204"/>
        <v>1</v>
      </c>
      <c r="Q467">
        <f t="shared" si="205"/>
        <v>1</v>
      </c>
      <c r="R467" s="2">
        <f t="shared" si="206"/>
        <v>12</v>
      </c>
      <c r="S467" s="2">
        <f t="shared" si="207"/>
        <v>50</v>
      </c>
      <c r="T467" s="2">
        <f t="shared" si="208"/>
        <v>178.57142857142858</v>
      </c>
      <c r="U467" s="2">
        <f ca="1">VLOOKUP(E467,金币生产率!$A$2:$B$120,2,0)</f>
        <v>182</v>
      </c>
      <c r="V467" s="2">
        <f t="shared" si="209"/>
        <v>178.57142857142858</v>
      </c>
      <c r="W467" s="45">
        <f t="shared" ca="1" si="222"/>
        <v>9</v>
      </c>
      <c r="X467" s="48">
        <f t="shared" ca="1" si="223"/>
        <v>45</v>
      </c>
      <c r="Y467">
        <f t="shared" si="210"/>
        <v>18</v>
      </c>
      <c r="Z467">
        <f t="shared" ca="1" si="217"/>
        <v>0</v>
      </c>
      <c r="AA467" t="str">
        <f t="shared" ca="1" si="218"/>
        <v>9124400.png</v>
      </c>
      <c r="AB467">
        <f t="shared" si="211"/>
        <v>20</v>
      </c>
      <c r="AC467">
        <f>VLOOKUP(C467,技能辅助查询表,技能配置辅助表!$W$1,FALSE)</f>
        <v>982</v>
      </c>
      <c r="AD467">
        <f t="shared" ca="1" si="219"/>
        <v>4.5082266613935182</v>
      </c>
      <c r="AE467">
        <f>VLOOKUP(C467,技能辅助查询表,技能配置辅助表!$U$1,FALSE)</f>
        <v>4</v>
      </c>
      <c r="AF467">
        <f t="shared" ca="1" si="220"/>
        <v>9124406</v>
      </c>
      <c r="AG467">
        <f t="shared" ca="1" si="224"/>
        <v>18.938775510204081</v>
      </c>
      <c r="AH467">
        <f t="shared" ca="1" si="221"/>
        <v>25.246069303803697</v>
      </c>
      <c r="AI467">
        <f ca="1">VLOOKUP(E467,伤害参考系!$C$4:$E$104,3,FALSE)*$AN$12</f>
        <v>632.73913043478262</v>
      </c>
      <c r="AJ467">
        <f>VLOOKUP(C467,技能辅助查询表,技能配置辅助表!$L$1,FALSE)</f>
        <v>1</v>
      </c>
      <c r="AK467">
        <f>VLOOKUP(C467,技能辅助查询表,技能配置辅助表!$AE$1,FALSE)</f>
        <v>66000009</v>
      </c>
    </row>
    <row r="468" spans="1:37" x14ac:dyDescent="0.15">
      <c r="A468" s="1">
        <f t="shared" ca="1" si="212"/>
        <v>9124407</v>
      </c>
      <c r="B468" s="1" t="str">
        <f t="shared" ca="1" si="197"/>
        <v>裂空·斩第4段</v>
      </c>
      <c r="C468" t="s">
        <v>159</v>
      </c>
      <c r="D468">
        <f t="shared" si="198"/>
        <v>1</v>
      </c>
      <c r="E468" s="42">
        <f t="shared" ca="1" si="213"/>
        <v>22</v>
      </c>
      <c r="F468" t="str">
        <f t="shared" ca="1" si="214"/>
        <v>第7级，共造成191.1%点伤害</v>
      </c>
      <c r="G468">
        <f t="shared" ca="1" si="215"/>
        <v>4</v>
      </c>
      <c r="H468">
        <f t="shared" si="199"/>
        <v>4</v>
      </c>
      <c r="I468" s="44">
        <f t="shared" ca="1" si="216"/>
        <v>7</v>
      </c>
      <c r="J468">
        <f t="shared" si="200"/>
        <v>2</v>
      </c>
      <c r="K468" s="36">
        <f t="shared" ca="1" si="201"/>
        <v>191.07142857142858</v>
      </c>
      <c r="L468" s="10">
        <f ca="1">AH468*VLOOKUP(C468,技能辅助查询表,技能配置辅助表!$T$1,FALSE)</f>
        <v>0</v>
      </c>
      <c r="M468">
        <f t="shared" ca="1" si="202"/>
        <v>7440</v>
      </c>
      <c r="N468" s="33">
        <f ca="1">CHOOSE(1,W468*U468,X468*'[1]0、经济设定'!$C$18)</f>
        <v>2151</v>
      </c>
      <c r="O468">
        <f t="shared" si="203"/>
        <v>4</v>
      </c>
      <c r="P468">
        <f t="shared" si="204"/>
        <v>1</v>
      </c>
      <c r="Q468">
        <f t="shared" si="205"/>
        <v>1</v>
      </c>
      <c r="R468" s="2">
        <f t="shared" si="206"/>
        <v>12</v>
      </c>
      <c r="S468" s="2">
        <f t="shared" si="207"/>
        <v>50</v>
      </c>
      <c r="T468" s="2">
        <f t="shared" si="208"/>
        <v>178.57142857142858</v>
      </c>
      <c r="U468" s="2">
        <f ca="1">VLOOKUP(E468,金币生产率!$A$2:$B$120,2,0)</f>
        <v>239</v>
      </c>
      <c r="V468" s="2">
        <f t="shared" si="209"/>
        <v>178.57142857142858</v>
      </c>
      <c r="W468" s="45">
        <f t="shared" ca="1" si="222"/>
        <v>9</v>
      </c>
      <c r="X468" s="48">
        <f t="shared" ca="1" si="223"/>
        <v>54</v>
      </c>
      <c r="Y468">
        <f t="shared" si="210"/>
        <v>18</v>
      </c>
      <c r="Z468">
        <f t="shared" ca="1" si="217"/>
        <v>0</v>
      </c>
      <c r="AA468" t="str">
        <f t="shared" ca="1" si="218"/>
        <v>9124400.png</v>
      </c>
      <c r="AB468">
        <f t="shared" si="211"/>
        <v>20</v>
      </c>
      <c r="AC468">
        <f>VLOOKUP(C468,技能辅助查询表,技能配置辅助表!$W$1,FALSE)</f>
        <v>982</v>
      </c>
      <c r="AD468">
        <f t="shared" ca="1" si="219"/>
        <v>5.2352076121732969</v>
      </c>
      <c r="AE468">
        <f>VLOOKUP(C468,技能辅助查询表,技能配置辅助表!$U$1,FALSE)</f>
        <v>4</v>
      </c>
      <c r="AF468">
        <f t="shared" ca="1" si="220"/>
        <v>9124407</v>
      </c>
      <c r="AG468">
        <f t="shared" ca="1" si="224"/>
        <v>20.326530612244898</v>
      </c>
      <c r="AH468">
        <f t="shared" ca="1" si="221"/>
        <v>28.742316302127907</v>
      </c>
      <c r="AI468">
        <f ca="1">VLOOKUP(E468,伤害参考系!$C$4:$E$104,3,FALSE)*$AN$12</f>
        <v>753.08869565217401</v>
      </c>
      <c r="AJ468">
        <f>VLOOKUP(C468,技能辅助查询表,技能配置辅助表!$L$1,FALSE)</f>
        <v>1</v>
      </c>
      <c r="AK468">
        <f>VLOOKUP(C468,技能辅助查询表,技能配置辅助表!$AE$1,FALSE)</f>
        <v>66000009</v>
      </c>
    </row>
    <row r="469" spans="1:37" x14ac:dyDescent="0.15">
      <c r="A469" s="1">
        <f t="shared" ca="1" si="212"/>
        <v>9124408</v>
      </c>
      <c r="B469" s="1" t="str">
        <f t="shared" ca="1" si="197"/>
        <v>裂空·斩第4段</v>
      </c>
      <c r="C469" t="s">
        <v>159</v>
      </c>
      <c r="D469">
        <f t="shared" si="198"/>
        <v>1</v>
      </c>
      <c r="E469" s="42">
        <f t="shared" ca="1" si="213"/>
        <v>23</v>
      </c>
      <c r="F469" t="str">
        <f t="shared" ca="1" si="214"/>
        <v>第8级，共造成192.9%点伤害</v>
      </c>
      <c r="G469">
        <f t="shared" ca="1" si="215"/>
        <v>4</v>
      </c>
      <c r="H469">
        <f t="shared" si="199"/>
        <v>4</v>
      </c>
      <c r="I469" s="44">
        <f t="shared" ca="1" si="216"/>
        <v>8</v>
      </c>
      <c r="J469">
        <f t="shared" si="200"/>
        <v>2</v>
      </c>
      <c r="K469" s="36">
        <f t="shared" ca="1" si="201"/>
        <v>192.85714285714286</v>
      </c>
      <c r="L469" s="10">
        <f ca="1">AH469*VLOOKUP(C469,技能辅助查询表,技能配置辅助表!$T$1,FALSE)</f>
        <v>0</v>
      </c>
      <c r="M469">
        <f t="shared" ca="1" si="202"/>
        <v>7360</v>
      </c>
      <c r="N469" s="33">
        <f ca="1">CHOOSE(1,W469*U469,X469*'[1]0、经济设定'!$C$18)</f>
        <v>2700</v>
      </c>
      <c r="O469">
        <f t="shared" si="203"/>
        <v>4</v>
      </c>
      <c r="P469">
        <f t="shared" si="204"/>
        <v>1</v>
      </c>
      <c r="Q469">
        <f t="shared" si="205"/>
        <v>1</v>
      </c>
      <c r="R469" s="2">
        <f t="shared" si="206"/>
        <v>12</v>
      </c>
      <c r="S469" s="2">
        <f t="shared" si="207"/>
        <v>50</v>
      </c>
      <c r="T469" s="2">
        <f t="shared" si="208"/>
        <v>178.57142857142858</v>
      </c>
      <c r="U469" s="2">
        <f ca="1">VLOOKUP(E469,金币生产率!$A$2:$B$120,2,0)</f>
        <v>270</v>
      </c>
      <c r="V469" s="2">
        <f t="shared" si="209"/>
        <v>178.57142857142858</v>
      </c>
      <c r="W469" s="45">
        <f t="shared" ca="1" si="222"/>
        <v>10</v>
      </c>
      <c r="X469" s="48">
        <f t="shared" ca="1" si="223"/>
        <v>64</v>
      </c>
      <c r="Y469">
        <f t="shared" si="210"/>
        <v>18</v>
      </c>
      <c r="Z469">
        <f t="shared" ca="1" si="217"/>
        <v>0</v>
      </c>
      <c r="AA469" t="str">
        <f t="shared" ca="1" si="218"/>
        <v>9124400.png</v>
      </c>
      <c r="AB469">
        <f t="shared" si="211"/>
        <v>20</v>
      </c>
      <c r="AC469">
        <f>VLOOKUP(C469,技能辅助查询表,技能配置辅助表!$W$1,FALSE)</f>
        <v>982</v>
      </c>
      <c r="AD469">
        <f t="shared" ca="1" si="219"/>
        <v>6.0770816433773103</v>
      </c>
      <c r="AE469">
        <f>VLOOKUP(C469,技能辅助查询表,技能配置辅助表!$U$1,FALSE)</f>
        <v>4</v>
      </c>
      <c r="AF469">
        <f t="shared" ca="1" si="220"/>
        <v>9124408</v>
      </c>
      <c r="AG469">
        <f t="shared" ca="1" si="224"/>
        <v>21.714285714285715</v>
      </c>
      <c r="AH469">
        <f t="shared" ca="1" si="221"/>
        <v>32.722747310493212</v>
      </c>
      <c r="AI469">
        <f ca="1">VLOOKUP(E469,伤害参考系!$C$4:$E$104,3,FALSE)*$AN$12</f>
        <v>832.15832357859551</v>
      </c>
      <c r="AJ469">
        <f>VLOOKUP(C469,技能辅助查询表,技能配置辅助表!$L$1,FALSE)</f>
        <v>1</v>
      </c>
      <c r="AK469">
        <f>VLOOKUP(C469,技能辅助查询表,技能配置辅助表!$AE$1,FALSE)</f>
        <v>66000009</v>
      </c>
    </row>
    <row r="470" spans="1:37" x14ac:dyDescent="0.15">
      <c r="A470" s="1">
        <f t="shared" ca="1" si="212"/>
        <v>9124409</v>
      </c>
      <c r="B470" s="1" t="str">
        <f t="shared" ca="1" si="197"/>
        <v>裂空·斩第4段</v>
      </c>
      <c r="C470" t="s">
        <v>159</v>
      </c>
      <c r="D470">
        <f t="shared" si="198"/>
        <v>1</v>
      </c>
      <c r="E470" s="42">
        <f t="shared" ca="1" si="213"/>
        <v>24</v>
      </c>
      <c r="F470" t="str">
        <f t="shared" ca="1" si="214"/>
        <v>第9级，共造成194.6%点伤害</v>
      </c>
      <c r="G470">
        <f t="shared" ca="1" si="215"/>
        <v>4</v>
      </c>
      <c r="H470">
        <f t="shared" si="199"/>
        <v>4</v>
      </c>
      <c r="I470" s="44">
        <f t="shared" ca="1" si="216"/>
        <v>9</v>
      </c>
      <c r="J470">
        <f t="shared" si="200"/>
        <v>2</v>
      </c>
      <c r="K470" s="36">
        <f t="shared" ca="1" si="201"/>
        <v>194.64285714285717</v>
      </c>
      <c r="L470" s="10">
        <f ca="1">AH470*VLOOKUP(C470,技能辅助查询表,技能配置辅助表!$T$1,FALSE)</f>
        <v>0</v>
      </c>
      <c r="M470">
        <f t="shared" ca="1" si="202"/>
        <v>7280</v>
      </c>
      <c r="N470" s="33">
        <f ca="1">CHOOSE(1,W470*U470,X470*'[1]0、经济设定'!$C$18)</f>
        <v>3322</v>
      </c>
      <c r="O470">
        <f t="shared" si="203"/>
        <v>4</v>
      </c>
      <c r="P470">
        <f t="shared" si="204"/>
        <v>1</v>
      </c>
      <c r="Q470">
        <f t="shared" si="205"/>
        <v>1</v>
      </c>
      <c r="R470" s="2">
        <f t="shared" si="206"/>
        <v>12</v>
      </c>
      <c r="S470" s="2">
        <f t="shared" si="207"/>
        <v>50</v>
      </c>
      <c r="T470" s="2">
        <f t="shared" si="208"/>
        <v>178.57142857142858</v>
      </c>
      <c r="U470" s="2">
        <f ca="1">VLOOKUP(E470,金币生产率!$A$2:$B$120,2,0)</f>
        <v>302</v>
      </c>
      <c r="V470" s="2">
        <f t="shared" si="209"/>
        <v>178.57142857142858</v>
      </c>
      <c r="W470" s="45">
        <f t="shared" ca="1" si="222"/>
        <v>11</v>
      </c>
      <c r="X470" s="48">
        <f t="shared" ca="1" si="223"/>
        <v>75</v>
      </c>
      <c r="Y470">
        <f t="shared" si="210"/>
        <v>18</v>
      </c>
      <c r="Z470">
        <f t="shared" ca="1" si="217"/>
        <v>0</v>
      </c>
      <c r="AA470" t="str">
        <f t="shared" ca="1" si="218"/>
        <v>9124400.png</v>
      </c>
      <c r="AB470">
        <f t="shared" si="211"/>
        <v>20</v>
      </c>
      <c r="AC470">
        <f>VLOOKUP(C470,技能辅助查询表,技能配置辅助表!$W$1,FALSE)</f>
        <v>982</v>
      </c>
      <c r="AD470">
        <f t="shared" ca="1" si="219"/>
        <v>7.0517286323725585</v>
      </c>
      <c r="AE470">
        <f>VLOOKUP(C470,技能辅助查询表,技能配置辅助表!$U$1,FALSE)</f>
        <v>4</v>
      </c>
      <c r="AF470">
        <f t="shared" ca="1" si="220"/>
        <v>9124409</v>
      </c>
      <c r="AG470">
        <f t="shared" ca="1" si="224"/>
        <v>23.102040816326529</v>
      </c>
      <c r="AH470">
        <f t="shared" ca="1" si="221"/>
        <v>37.25441541630785</v>
      </c>
      <c r="AI470">
        <f ca="1">VLOOKUP(E470,伤害参考系!$C$4:$E$104,3,FALSE)*$AN$12</f>
        <v>914.59374581939801</v>
      </c>
      <c r="AJ470">
        <f>VLOOKUP(C470,技能辅助查询表,技能配置辅助表!$L$1,FALSE)</f>
        <v>1</v>
      </c>
      <c r="AK470">
        <f>VLOOKUP(C470,技能辅助查询表,技能配置辅助表!$AE$1,FALSE)</f>
        <v>66000009</v>
      </c>
    </row>
    <row r="471" spans="1:37" x14ac:dyDescent="0.15">
      <c r="A471" s="1">
        <f t="shared" ca="1" si="212"/>
        <v>9124410</v>
      </c>
      <c r="B471" s="1" t="str">
        <f t="shared" ca="1" si="197"/>
        <v>裂空·斩第4段</v>
      </c>
      <c r="C471" t="s">
        <v>159</v>
      </c>
      <c r="D471">
        <f t="shared" si="198"/>
        <v>1</v>
      </c>
      <c r="E471" s="42">
        <f t="shared" ca="1" si="213"/>
        <v>26</v>
      </c>
      <c r="F471" t="str">
        <f t="shared" ca="1" si="214"/>
        <v>第10级，共造成196.4%点伤害</v>
      </c>
      <c r="G471">
        <f t="shared" ca="1" si="215"/>
        <v>4</v>
      </c>
      <c r="H471">
        <f t="shared" si="199"/>
        <v>4</v>
      </c>
      <c r="I471" s="44">
        <f t="shared" ca="1" si="216"/>
        <v>10</v>
      </c>
      <c r="J471">
        <f t="shared" si="200"/>
        <v>2</v>
      </c>
      <c r="K471" s="36">
        <f t="shared" ca="1" si="201"/>
        <v>196.42857142857144</v>
      </c>
      <c r="L471" s="10">
        <f ca="1">AH471*VLOOKUP(C471,技能辅助查询表,技能配置辅助表!$T$1,FALSE)</f>
        <v>0</v>
      </c>
      <c r="M471">
        <f t="shared" ca="1" si="202"/>
        <v>7200</v>
      </c>
      <c r="N471" s="33">
        <f ca="1">CHOOSE(1,W471*U471,X471*'[1]0、经济设定'!$C$18)</f>
        <v>4440</v>
      </c>
      <c r="O471">
        <f t="shared" si="203"/>
        <v>4</v>
      </c>
      <c r="P471">
        <f t="shared" si="204"/>
        <v>1</v>
      </c>
      <c r="Q471">
        <f t="shared" si="205"/>
        <v>1</v>
      </c>
      <c r="R471" s="2">
        <f t="shared" si="206"/>
        <v>12</v>
      </c>
      <c r="S471" s="2">
        <f t="shared" si="207"/>
        <v>50</v>
      </c>
      <c r="T471" s="2">
        <f t="shared" si="208"/>
        <v>178.57142857142858</v>
      </c>
      <c r="U471" s="2">
        <f ca="1">VLOOKUP(E471,金币生产率!$A$2:$B$120,2,0)</f>
        <v>370</v>
      </c>
      <c r="V471" s="2">
        <f t="shared" si="209"/>
        <v>178.57142857142858</v>
      </c>
      <c r="W471" s="45">
        <f t="shared" ca="1" si="222"/>
        <v>12</v>
      </c>
      <c r="X471" s="48">
        <f t="shared" ca="1" si="223"/>
        <v>87</v>
      </c>
      <c r="Y471">
        <f t="shared" si="210"/>
        <v>18</v>
      </c>
      <c r="Z471">
        <f t="shared" ca="1" si="217"/>
        <v>0</v>
      </c>
      <c r="AA471" t="str">
        <f t="shared" ca="1" si="218"/>
        <v>9124400.png</v>
      </c>
      <c r="AB471">
        <f t="shared" si="211"/>
        <v>20</v>
      </c>
      <c r="AC471">
        <f>VLOOKUP(C471,技能辅助查询表,技能配置辅助表!$W$1,FALSE)</f>
        <v>982</v>
      </c>
      <c r="AD471">
        <f t="shared" ca="1" si="219"/>
        <v>8.1797772227560976</v>
      </c>
      <c r="AE471">
        <f>VLOOKUP(C471,技能辅助查询表,技能配置辅助表!$U$1,FALSE)</f>
        <v>4</v>
      </c>
      <c r="AF471">
        <f t="shared" ca="1" si="220"/>
        <v>9124410</v>
      </c>
      <c r="AG471">
        <f t="shared" ca="1" si="224"/>
        <v>24.489795918367349</v>
      </c>
      <c r="AH471">
        <f t="shared" ca="1" si="221"/>
        <v>42.413659673550121</v>
      </c>
      <c r="AI471">
        <f ca="1">VLOOKUP(E471,伤害参考系!$C$4:$E$104,3,FALSE)*$AN$12</f>
        <v>1103.3859732441474</v>
      </c>
      <c r="AJ471">
        <f>VLOOKUP(C471,技能辅助查询表,技能配置辅助表!$L$1,FALSE)</f>
        <v>1</v>
      </c>
      <c r="AK471">
        <f>VLOOKUP(C471,技能辅助查询表,技能配置辅助表!$AE$1,FALSE)</f>
        <v>66000009</v>
      </c>
    </row>
    <row r="472" spans="1:37" x14ac:dyDescent="0.15">
      <c r="A472" s="1">
        <f t="shared" ca="1" si="212"/>
        <v>9124411</v>
      </c>
      <c r="B472" s="1" t="str">
        <f t="shared" ca="1" si="197"/>
        <v>裂空·斩第4段</v>
      </c>
      <c r="C472" t="s">
        <v>159</v>
      </c>
      <c r="D472">
        <f t="shared" si="198"/>
        <v>1</v>
      </c>
      <c r="E472" s="42">
        <f t="shared" ca="1" si="213"/>
        <v>27</v>
      </c>
      <c r="F472" t="str">
        <f t="shared" ca="1" si="214"/>
        <v>第11级，共造成198.2%点伤害</v>
      </c>
      <c r="G472">
        <f t="shared" ca="1" si="215"/>
        <v>4</v>
      </c>
      <c r="H472">
        <f t="shared" si="199"/>
        <v>4</v>
      </c>
      <c r="I472" s="44">
        <f t="shared" ca="1" si="216"/>
        <v>11</v>
      </c>
      <c r="J472">
        <f t="shared" si="200"/>
        <v>2</v>
      </c>
      <c r="K472" s="36">
        <f t="shared" ca="1" si="201"/>
        <v>198.21428571428572</v>
      </c>
      <c r="L472" s="10">
        <f ca="1">AH472*VLOOKUP(C472,技能辅助查询表,技能配置辅助表!$T$1,FALSE)</f>
        <v>0</v>
      </c>
      <c r="M472">
        <f t="shared" ca="1" si="202"/>
        <v>7120</v>
      </c>
      <c r="N472" s="33">
        <f ca="1">CHOOSE(1,W472*U472,X472*'[1]0、经济设定'!$C$18)</f>
        <v>4872</v>
      </c>
      <c r="O472">
        <f t="shared" si="203"/>
        <v>4</v>
      </c>
      <c r="P472">
        <f t="shared" si="204"/>
        <v>1</v>
      </c>
      <c r="Q472">
        <f t="shared" si="205"/>
        <v>1</v>
      </c>
      <c r="R472" s="2">
        <f t="shared" si="206"/>
        <v>12</v>
      </c>
      <c r="S472" s="2">
        <f t="shared" si="207"/>
        <v>50</v>
      </c>
      <c r="T472" s="2">
        <f t="shared" si="208"/>
        <v>178.57142857142858</v>
      </c>
      <c r="U472" s="2">
        <f ca="1">VLOOKUP(E472,金币生产率!$A$2:$B$120,2,0)</f>
        <v>406</v>
      </c>
      <c r="V472" s="2">
        <f t="shared" si="209"/>
        <v>178.57142857142858</v>
      </c>
      <c r="W472" s="45">
        <f t="shared" ca="1" si="222"/>
        <v>12</v>
      </c>
      <c r="X472" s="48">
        <f t="shared" ca="1" si="223"/>
        <v>99</v>
      </c>
      <c r="Y472">
        <f t="shared" si="210"/>
        <v>18</v>
      </c>
      <c r="Z472">
        <f t="shared" ca="1" si="217"/>
        <v>0</v>
      </c>
      <c r="AA472" t="str">
        <f t="shared" ca="1" si="218"/>
        <v>9124400.png</v>
      </c>
      <c r="AB472">
        <f t="shared" si="211"/>
        <v>20</v>
      </c>
      <c r="AC472">
        <f>VLOOKUP(C472,技能辅助查询表,技能配置辅助表!$W$1,FALSE)</f>
        <v>982</v>
      </c>
      <c r="AD472">
        <f t="shared" ca="1" si="219"/>
        <v>9.4850232491209532</v>
      </c>
      <c r="AE472">
        <f>VLOOKUP(C472,技能辅助查询表,技能配置辅助表!$U$1,FALSE)</f>
        <v>4</v>
      </c>
      <c r="AF472">
        <f t="shared" ca="1" si="220"/>
        <v>9124411</v>
      </c>
      <c r="AG472">
        <f t="shared" ca="1" si="224"/>
        <v>25.877551020408163</v>
      </c>
      <c r="AH472">
        <f t="shared" ca="1" si="221"/>
        <v>48.287391086433935</v>
      </c>
      <c r="AI472">
        <f ca="1">VLOOKUP(E472,伤害参考系!$C$4:$E$104,3,FALSE)*$AN$12</f>
        <v>1210.5107784280938</v>
      </c>
      <c r="AJ472">
        <f>VLOOKUP(C472,技能辅助查询表,技能配置辅助表!$L$1,FALSE)</f>
        <v>1</v>
      </c>
      <c r="AK472">
        <f>VLOOKUP(C472,技能辅助查询表,技能配置辅助表!$AE$1,FALSE)</f>
        <v>66000009</v>
      </c>
    </row>
    <row r="473" spans="1:37" x14ac:dyDescent="0.15">
      <c r="A473" s="1">
        <f t="shared" ca="1" si="212"/>
        <v>9124412</v>
      </c>
      <c r="B473" s="1" t="str">
        <f t="shared" ca="1" si="197"/>
        <v>裂空·斩第4段</v>
      </c>
      <c r="C473" t="s">
        <v>159</v>
      </c>
      <c r="D473">
        <f t="shared" si="198"/>
        <v>1</v>
      </c>
      <c r="E473" s="42">
        <f t="shared" ca="1" si="213"/>
        <v>28</v>
      </c>
      <c r="F473" t="str">
        <f t="shared" ca="1" si="214"/>
        <v>第12级，共造成200%点伤害</v>
      </c>
      <c r="G473">
        <f t="shared" ca="1" si="215"/>
        <v>4</v>
      </c>
      <c r="H473">
        <f t="shared" si="199"/>
        <v>4</v>
      </c>
      <c r="I473" s="44">
        <f t="shared" ca="1" si="216"/>
        <v>12</v>
      </c>
      <c r="J473">
        <f t="shared" si="200"/>
        <v>2</v>
      </c>
      <c r="K473" s="36">
        <f t="shared" ca="1" si="201"/>
        <v>200</v>
      </c>
      <c r="L473" s="10">
        <f ca="1">AH473*VLOOKUP(C473,技能辅助查询表,技能配置辅助表!$T$1,FALSE)</f>
        <v>0</v>
      </c>
      <c r="M473">
        <f t="shared" ca="1" si="202"/>
        <v>7040</v>
      </c>
      <c r="N473" s="33">
        <f ca="1">CHOOSE(1,W473*U473,X473*'[1]0、经济设定'!$C$18)</f>
        <v>5759</v>
      </c>
      <c r="O473">
        <f t="shared" si="203"/>
        <v>4</v>
      </c>
      <c r="P473">
        <f t="shared" si="204"/>
        <v>1</v>
      </c>
      <c r="Q473">
        <f t="shared" si="205"/>
        <v>1</v>
      </c>
      <c r="R473" s="2">
        <f t="shared" si="206"/>
        <v>12</v>
      </c>
      <c r="S473" s="2">
        <f t="shared" si="207"/>
        <v>50</v>
      </c>
      <c r="T473" s="2">
        <f t="shared" si="208"/>
        <v>178.57142857142858</v>
      </c>
      <c r="U473" s="2">
        <f ca="1">VLOOKUP(E473,金币生产率!$A$2:$B$120,2,0)</f>
        <v>443</v>
      </c>
      <c r="V473" s="2">
        <f t="shared" si="209"/>
        <v>178.57142857142858</v>
      </c>
      <c r="W473" s="45">
        <f t="shared" ca="1" si="222"/>
        <v>13</v>
      </c>
      <c r="X473" s="48">
        <f t="shared" ca="1" si="223"/>
        <v>112</v>
      </c>
      <c r="Y473">
        <f t="shared" si="210"/>
        <v>18</v>
      </c>
      <c r="Z473">
        <f t="shared" ca="1" si="217"/>
        <v>0</v>
      </c>
      <c r="AA473" t="str">
        <f t="shared" ca="1" si="218"/>
        <v>9124400.png</v>
      </c>
      <c r="AB473">
        <f t="shared" si="211"/>
        <v>20</v>
      </c>
      <c r="AC473">
        <f>VLOOKUP(C473,技能辅助查询表,技能配置辅助表!$W$1,FALSE)</f>
        <v>982</v>
      </c>
      <c r="AD473">
        <f t="shared" ca="1" si="219"/>
        <v>10.994911336963884</v>
      </c>
      <c r="AE473">
        <f>VLOOKUP(C473,技能辅助查询表,技能配置辅助表!$U$1,FALSE)</f>
        <v>4</v>
      </c>
      <c r="AF473">
        <f t="shared" ca="1" si="220"/>
        <v>9124412</v>
      </c>
      <c r="AG473">
        <f t="shared" ca="1" si="224"/>
        <v>27.26530612244898</v>
      </c>
      <c r="AH473">
        <f t="shared" ca="1" si="221"/>
        <v>54.974556684819426</v>
      </c>
      <c r="AI473">
        <f ca="1">VLOOKUP(E473,伤害参考系!$C$4:$E$104,3,FALSE)*$AN$12</f>
        <v>1321.7693779264216</v>
      </c>
      <c r="AJ473">
        <f>VLOOKUP(C473,技能辅助查询表,技能配置辅助表!$L$1,FALSE)</f>
        <v>1</v>
      </c>
      <c r="AK473">
        <f>VLOOKUP(C473,技能辅助查询表,技能配置辅助表!$AE$1,FALSE)</f>
        <v>66000009</v>
      </c>
    </row>
    <row r="474" spans="1:37" x14ac:dyDescent="0.15">
      <c r="A474" s="1">
        <f t="shared" ca="1" si="212"/>
        <v>9124413</v>
      </c>
      <c r="B474" s="1" t="str">
        <f t="shared" ca="1" si="197"/>
        <v>裂空·斩第4段</v>
      </c>
      <c r="C474" t="s">
        <v>91</v>
      </c>
      <c r="D474">
        <f t="shared" si="198"/>
        <v>1</v>
      </c>
      <c r="E474" s="42">
        <f t="shared" ca="1" si="213"/>
        <v>30</v>
      </c>
      <c r="F474" t="str">
        <f t="shared" ca="1" si="214"/>
        <v>第13级，共造成201.8%点伤害</v>
      </c>
      <c r="G474">
        <f t="shared" ca="1" si="215"/>
        <v>4</v>
      </c>
      <c r="H474">
        <f t="shared" si="199"/>
        <v>4</v>
      </c>
      <c r="I474" s="44">
        <f t="shared" ca="1" si="216"/>
        <v>13</v>
      </c>
      <c r="J474">
        <f t="shared" si="200"/>
        <v>2</v>
      </c>
      <c r="K474" s="36">
        <f t="shared" ca="1" si="201"/>
        <v>201.78571428571431</v>
      </c>
      <c r="L474" s="10">
        <f ca="1">AH474*VLOOKUP(C474,技能辅助查询表,技能配置辅助表!$T$1,FALSE)</f>
        <v>0</v>
      </c>
      <c r="M474">
        <f t="shared" ca="1" si="202"/>
        <v>6960</v>
      </c>
      <c r="N474" s="33">
        <f ca="1">CHOOSE(1,W474*U474,X474*'[1]0、经济设定'!$C$18)</f>
        <v>7308</v>
      </c>
      <c r="O474">
        <f t="shared" si="203"/>
        <v>4</v>
      </c>
      <c r="P474">
        <f t="shared" si="204"/>
        <v>1</v>
      </c>
      <c r="Q474">
        <f t="shared" si="205"/>
        <v>1</v>
      </c>
      <c r="R474" s="2">
        <f t="shared" si="206"/>
        <v>12</v>
      </c>
      <c r="S474" s="2">
        <f t="shared" si="207"/>
        <v>50</v>
      </c>
      <c r="T474" s="2">
        <f t="shared" si="208"/>
        <v>178.57142857142858</v>
      </c>
      <c r="U474" s="2">
        <f ca="1">VLOOKUP(E474,金币生产率!$A$2:$B$120,2,0)</f>
        <v>522</v>
      </c>
      <c r="V474" s="2">
        <f t="shared" si="209"/>
        <v>178.57142857142858</v>
      </c>
      <c r="W474" s="45">
        <f t="shared" ca="1" si="222"/>
        <v>14</v>
      </c>
      <c r="X474" s="48">
        <f t="shared" ca="1" si="223"/>
        <v>126</v>
      </c>
      <c r="Y474">
        <f t="shared" si="210"/>
        <v>18</v>
      </c>
      <c r="Z474">
        <f t="shared" ca="1" si="217"/>
        <v>0</v>
      </c>
      <c r="AA474" t="str">
        <f t="shared" ca="1" si="218"/>
        <v>9124400.png</v>
      </c>
      <c r="AB474">
        <f t="shared" si="211"/>
        <v>20</v>
      </c>
      <c r="AC474">
        <f>VLOOKUP(C474,技能辅助查询表,技能配置辅助表!$W$1,FALSE)</f>
        <v>982</v>
      </c>
      <c r="AD474">
        <f t="shared" ca="1" si="219"/>
        <v>12.74108915078256</v>
      </c>
      <c r="AE474">
        <f>VLOOKUP(C474,技能辅助查询表,技能配置辅助表!$U$1,FALSE)</f>
        <v>4</v>
      </c>
      <c r="AF474">
        <f t="shared" ca="1" si="220"/>
        <v>9124413</v>
      </c>
      <c r="AG474">
        <f t="shared" ca="1" si="224"/>
        <v>28.653061224489797</v>
      </c>
      <c r="AH474">
        <f t="shared" ca="1" si="221"/>
        <v>62.587806354721323</v>
      </c>
      <c r="AI474">
        <f ca="1">VLOOKUP(E474,伤害参考系!$C$4:$E$104,3,FALSE)*$AN$12</f>
        <v>1576.1465593645489</v>
      </c>
      <c r="AJ474">
        <f>VLOOKUP(C474,技能辅助查询表,技能配置辅助表!$L$1,FALSE)</f>
        <v>1</v>
      </c>
      <c r="AK474">
        <f>VLOOKUP(C474,技能辅助查询表,技能配置辅助表!$AE$1,FALSE)</f>
        <v>66000009</v>
      </c>
    </row>
    <row r="475" spans="1:37" x14ac:dyDescent="0.15">
      <c r="A475" s="1">
        <f t="shared" ca="1" si="212"/>
        <v>9124414</v>
      </c>
      <c r="B475" s="1" t="str">
        <f t="shared" ca="1" si="197"/>
        <v>裂空·斩第4段</v>
      </c>
      <c r="C475" t="s">
        <v>91</v>
      </c>
      <c r="D475">
        <f t="shared" si="198"/>
        <v>1</v>
      </c>
      <c r="E475" s="42">
        <f t="shared" ca="1" si="213"/>
        <v>31</v>
      </c>
      <c r="F475" t="str">
        <f t="shared" ca="1" si="214"/>
        <v>第14级，共造成203.6%点伤害</v>
      </c>
      <c r="G475">
        <f t="shared" ca="1" si="215"/>
        <v>4</v>
      </c>
      <c r="H475">
        <f t="shared" si="199"/>
        <v>4</v>
      </c>
      <c r="I475" s="44">
        <f t="shared" ca="1" si="216"/>
        <v>14</v>
      </c>
      <c r="J475">
        <f t="shared" si="200"/>
        <v>2</v>
      </c>
      <c r="K475" s="36">
        <f t="shared" ca="1" si="201"/>
        <v>203.57142857142858</v>
      </c>
      <c r="L475" s="10">
        <f ca="1">AH475*VLOOKUP(C475,技能辅助查询表,技能配置辅助表!$T$1,FALSE)</f>
        <v>0</v>
      </c>
      <c r="M475">
        <f t="shared" ca="1" si="202"/>
        <v>6880</v>
      </c>
      <c r="N475" s="33">
        <f ca="1">CHOOSE(1,W475*U475,X475*'[1]0、经济设定'!$C$18)</f>
        <v>8445</v>
      </c>
      <c r="O475">
        <f t="shared" si="203"/>
        <v>4</v>
      </c>
      <c r="P475">
        <f t="shared" si="204"/>
        <v>1</v>
      </c>
      <c r="Q475">
        <f t="shared" si="205"/>
        <v>1</v>
      </c>
      <c r="R475" s="2">
        <f t="shared" si="206"/>
        <v>12</v>
      </c>
      <c r="S475" s="2">
        <f t="shared" si="207"/>
        <v>50</v>
      </c>
      <c r="T475" s="2">
        <f t="shared" si="208"/>
        <v>178.57142857142858</v>
      </c>
      <c r="U475" s="2">
        <f ca="1">VLOOKUP(E475,金币生产率!$A$2:$B$120,2,0)</f>
        <v>563</v>
      </c>
      <c r="V475" s="2">
        <f t="shared" si="209"/>
        <v>178.57142857142858</v>
      </c>
      <c r="W475" s="45">
        <f t="shared" ca="1" si="222"/>
        <v>15</v>
      </c>
      <c r="X475" s="48">
        <f t="shared" ca="1" si="223"/>
        <v>141</v>
      </c>
      <c r="Y475">
        <f t="shared" si="210"/>
        <v>18</v>
      </c>
      <c r="Z475">
        <f t="shared" ca="1" si="217"/>
        <v>0</v>
      </c>
      <c r="AA475" t="str">
        <f t="shared" ca="1" si="218"/>
        <v>9124400.png</v>
      </c>
      <c r="AB475">
        <f t="shared" si="211"/>
        <v>20</v>
      </c>
      <c r="AC475">
        <f>VLOOKUP(C475,技能辅助查询表,技能配置辅助表!$W$1,FALSE)</f>
        <v>982</v>
      </c>
      <c r="AD475">
        <f t="shared" ca="1" si="219"/>
        <v>14.76004517558367</v>
      </c>
      <c r="AE475">
        <f>VLOOKUP(C475,技能辅助查询表,技能配置辅助表!$U$1,FALSE)</f>
        <v>4</v>
      </c>
      <c r="AF475">
        <f t="shared" ca="1" si="220"/>
        <v>9124414</v>
      </c>
      <c r="AG475">
        <f t="shared" ca="1" si="224"/>
        <v>30.040816326530614</v>
      </c>
      <c r="AH475">
        <f t="shared" ca="1" si="221"/>
        <v>71.25539050281769</v>
      </c>
      <c r="AI475">
        <f ca="1">VLOOKUP(E475,伤害参考系!$C$4:$E$104,3,FALSE)*$AN$12</f>
        <v>1721.3320384615388</v>
      </c>
      <c r="AJ475">
        <f>VLOOKUP(C475,技能辅助查询表,技能配置辅助表!$L$1,FALSE)</f>
        <v>1</v>
      </c>
      <c r="AK475">
        <f>VLOOKUP(C475,技能辅助查询表,技能配置辅助表!$AE$1,FALSE)</f>
        <v>66000009</v>
      </c>
    </row>
    <row r="476" spans="1:37" x14ac:dyDescent="0.15">
      <c r="A476" s="1">
        <f t="shared" ca="1" si="212"/>
        <v>9124415</v>
      </c>
      <c r="B476" s="1" t="str">
        <f t="shared" ca="1" si="197"/>
        <v>裂空·斩第4段</v>
      </c>
      <c r="C476" t="s">
        <v>91</v>
      </c>
      <c r="D476">
        <f t="shared" si="198"/>
        <v>1</v>
      </c>
      <c r="E476" s="42">
        <f t="shared" ca="1" si="213"/>
        <v>32</v>
      </c>
      <c r="F476" t="str">
        <f t="shared" ca="1" si="214"/>
        <v>第15级，共造成205.4%点伤害</v>
      </c>
      <c r="G476">
        <f t="shared" ca="1" si="215"/>
        <v>4</v>
      </c>
      <c r="H476">
        <f t="shared" si="199"/>
        <v>4</v>
      </c>
      <c r="I476" s="44">
        <f t="shared" ca="1" si="216"/>
        <v>15</v>
      </c>
      <c r="J476">
        <f t="shared" si="200"/>
        <v>2</v>
      </c>
      <c r="K476" s="36">
        <f t="shared" ca="1" si="201"/>
        <v>205.35714285714286</v>
      </c>
      <c r="L476" s="10">
        <f ca="1">AH476*VLOOKUP(C476,技能辅助查询表,技能配置辅助表!$T$1,FALSE)</f>
        <v>0</v>
      </c>
      <c r="M476">
        <f t="shared" ca="1" si="202"/>
        <v>6800</v>
      </c>
      <c r="N476" s="33">
        <f ca="1">CHOOSE(1,W476*U476,X476*'[1]0、经济设定'!$C$18)</f>
        <v>9696</v>
      </c>
      <c r="O476">
        <f t="shared" si="203"/>
        <v>4</v>
      </c>
      <c r="P476">
        <f t="shared" si="204"/>
        <v>1</v>
      </c>
      <c r="Q476">
        <f t="shared" si="205"/>
        <v>1</v>
      </c>
      <c r="R476" s="2">
        <f t="shared" si="206"/>
        <v>12</v>
      </c>
      <c r="S476" s="2">
        <f t="shared" si="207"/>
        <v>50</v>
      </c>
      <c r="T476" s="2">
        <f t="shared" si="208"/>
        <v>178.57142857142858</v>
      </c>
      <c r="U476" s="2">
        <f ca="1">VLOOKUP(E476,金币生产率!$A$2:$B$120,2,0)</f>
        <v>606</v>
      </c>
      <c r="V476" s="2">
        <f t="shared" si="209"/>
        <v>178.57142857142858</v>
      </c>
      <c r="W476" s="45">
        <f t="shared" ca="1" si="222"/>
        <v>16</v>
      </c>
      <c r="X476" s="48">
        <f t="shared" ca="1" si="223"/>
        <v>157</v>
      </c>
      <c r="Y476">
        <f t="shared" si="210"/>
        <v>18</v>
      </c>
      <c r="Z476">
        <f t="shared" ca="1" si="217"/>
        <v>0</v>
      </c>
      <c r="AA476" t="str">
        <f t="shared" ca="1" si="218"/>
        <v>9124400.png</v>
      </c>
      <c r="AB476">
        <f t="shared" si="211"/>
        <v>20</v>
      </c>
      <c r="AC476">
        <f>VLOOKUP(C476,技能辅助查询表,技能配置辅助表!$W$1,FALSE)</f>
        <v>982</v>
      </c>
      <c r="AD476">
        <f t="shared" ca="1" si="219"/>
        <v>17.093842538652211</v>
      </c>
      <c r="AE476">
        <f>VLOOKUP(C476,技能辅助查询表,技能配置辅助表!$U$1,FALSE)</f>
        <v>4</v>
      </c>
      <c r="AF476">
        <f t="shared" ca="1" si="220"/>
        <v>9124415</v>
      </c>
      <c r="AG476">
        <f t="shared" ca="1" si="224"/>
        <v>31.428571428571427</v>
      </c>
      <c r="AH476">
        <f t="shared" ca="1" si="221"/>
        <v>81.123320522417259</v>
      </c>
      <c r="AI476">
        <f ca="1">VLOOKUP(E476,伤害参考系!$C$4:$E$104,3,FALSE)*$AN$12</f>
        <v>1873.3990785953181</v>
      </c>
      <c r="AJ476">
        <f>VLOOKUP(C476,技能辅助查询表,技能配置辅助表!$L$1,FALSE)</f>
        <v>1</v>
      </c>
      <c r="AK476">
        <f>VLOOKUP(C476,技能辅助查询表,技能配置辅助表!$AE$1,FALSE)</f>
        <v>66000009</v>
      </c>
    </row>
    <row r="477" spans="1:37" x14ac:dyDescent="0.15">
      <c r="A477" s="1">
        <f t="shared" ca="1" si="212"/>
        <v>9124416</v>
      </c>
      <c r="B477" s="1" t="str">
        <f t="shared" ca="1" si="197"/>
        <v>裂空·斩第4段</v>
      </c>
      <c r="C477" t="s">
        <v>91</v>
      </c>
      <c r="D477">
        <f t="shared" si="198"/>
        <v>1</v>
      </c>
      <c r="E477" s="42">
        <f t="shared" ca="1" si="213"/>
        <v>34</v>
      </c>
      <c r="F477" t="str">
        <f t="shared" ca="1" si="214"/>
        <v>第16级，共造成207.1%点伤害</v>
      </c>
      <c r="G477">
        <f t="shared" ca="1" si="215"/>
        <v>4</v>
      </c>
      <c r="H477">
        <f t="shared" si="199"/>
        <v>4</v>
      </c>
      <c r="I477" s="44">
        <f t="shared" ca="1" si="216"/>
        <v>16</v>
      </c>
      <c r="J477">
        <f t="shared" si="200"/>
        <v>2</v>
      </c>
      <c r="K477" s="36">
        <f t="shared" ca="1" si="201"/>
        <v>207.14285714285717</v>
      </c>
      <c r="L477" s="10">
        <f ca="1">AH477*VLOOKUP(C477,技能辅助查询表,技能配置辅助表!$T$1,FALSE)</f>
        <v>0</v>
      </c>
      <c r="M477">
        <f t="shared" ca="1" si="202"/>
        <v>6720</v>
      </c>
      <c r="N477" s="33">
        <f ca="1">CHOOSE(1,W477*U477,X477*'[1]0、经济设定'!$C$18)</f>
        <v>11832</v>
      </c>
      <c r="O477">
        <f t="shared" si="203"/>
        <v>4</v>
      </c>
      <c r="P477">
        <f t="shared" si="204"/>
        <v>1</v>
      </c>
      <c r="Q477">
        <f t="shared" si="205"/>
        <v>1</v>
      </c>
      <c r="R477" s="2">
        <f t="shared" si="206"/>
        <v>12</v>
      </c>
      <c r="S477" s="2">
        <f t="shared" si="207"/>
        <v>50</v>
      </c>
      <c r="T477" s="2">
        <f t="shared" si="208"/>
        <v>178.57142857142858</v>
      </c>
      <c r="U477" s="2">
        <f ca="1">VLOOKUP(E477,金币生产率!$A$2:$B$120,2,0)</f>
        <v>696</v>
      </c>
      <c r="V477" s="2">
        <f t="shared" si="209"/>
        <v>178.57142857142858</v>
      </c>
      <c r="W477" s="45">
        <f t="shared" ca="1" si="222"/>
        <v>17</v>
      </c>
      <c r="X477" s="48">
        <f t="shared" ca="1" si="223"/>
        <v>174</v>
      </c>
      <c r="Y477">
        <f t="shared" si="210"/>
        <v>18</v>
      </c>
      <c r="Z477">
        <f t="shared" ca="1" si="217"/>
        <v>0</v>
      </c>
      <c r="AA477" t="str">
        <f t="shared" ca="1" si="218"/>
        <v>9124400.png</v>
      </c>
      <c r="AB477">
        <f t="shared" si="211"/>
        <v>20</v>
      </c>
      <c r="AC477">
        <f>VLOOKUP(C477,技能辅助查询表,技能配置辅助表!$W$1,FALSE)</f>
        <v>982</v>
      </c>
      <c r="AD477">
        <f t="shared" ca="1" si="219"/>
        <v>19.790963240446075</v>
      </c>
      <c r="AE477">
        <f>VLOOKUP(C477,技能辅助查询表,技能配置辅助表!$U$1,FALSE)</f>
        <v>4</v>
      </c>
      <c r="AF477">
        <f t="shared" ca="1" si="220"/>
        <v>9124416</v>
      </c>
      <c r="AG477">
        <f t="shared" ca="1" si="224"/>
        <v>32.816326530612244</v>
      </c>
      <c r="AH477">
        <f t="shared" ca="1" si="221"/>
        <v>92.357828455414989</v>
      </c>
      <c r="AI477">
        <f ca="1">VLOOKUP(E477,伤害参考系!$C$4:$E$104,3,FALSE)*$AN$12</f>
        <v>2196.2761028428095</v>
      </c>
      <c r="AJ477">
        <f>VLOOKUP(C477,技能辅助查询表,技能配置辅助表!$L$1,FALSE)</f>
        <v>1</v>
      </c>
      <c r="AK477">
        <f>VLOOKUP(C477,技能辅助查询表,技能配置辅助表!$AE$1,FALSE)</f>
        <v>66000009</v>
      </c>
    </row>
    <row r="478" spans="1:37" x14ac:dyDescent="0.15">
      <c r="A478" s="1">
        <f t="shared" ca="1" si="212"/>
        <v>9124417</v>
      </c>
      <c r="B478" s="1" t="str">
        <f t="shared" ca="1" si="197"/>
        <v>裂空·斩第4段</v>
      </c>
      <c r="C478" t="s">
        <v>91</v>
      </c>
      <c r="D478">
        <f t="shared" si="198"/>
        <v>1</v>
      </c>
      <c r="E478" s="42">
        <f t="shared" ca="1" si="213"/>
        <v>35</v>
      </c>
      <c r="F478" t="str">
        <f t="shared" ca="1" si="214"/>
        <v>第17级，共造成208.9%点伤害</v>
      </c>
      <c r="G478">
        <f t="shared" ca="1" si="215"/>
        <v>4</v>
      </c>
      <c r="H478">
        <f t="shared" si="199"/>
        <v>4</v>
      </c>
      <c r="I478" s="44">
        <f t="shared" ca="1" si="216"/>
        <v>17</v>
      </c>
      <c r="J478">
        <f t="shared" si="200"/>
        <v>2</v>
      </c>
      <c r="K478" s="36">
        <f t="shared" ca="1" si="201"/>
        <v>208.92857142857144</v>
      </c>
      <c r="L478" s="10">
        <f ca="1">AH478*VLOOKUP(C478,技能辅助查询表,技能配置辅助表!$T$1,FALSE)</f>
        <v>0</v>
      </c>
      <c r="M478">
        <f t="shared" ca="1" si="202"/>
        <v>6640</v>
      </c>
      <c r="N478" s="33">
        <f ca="1">CHOOSE(1,W478*U478,X478*'[1]0、经济设定'!$C$18)</f>
        <v>14117</v>
      </c>
      <c r="O478">
        <f t="shared" si="203"/>
        <v>4</v>
      </c>
      <c r="P478">
        <f t="shared" si="204"/>
        <v>1</v>
      </c>
      <c r="Q478">
        <f t="shared" si="205"/>
        <v>1</v>
      </c>
      <c r="R478" s="2">
        <f t="shared" si="206"/>
        <v>12</v>
      </c>
      <c r="S478" s="2">
        <f t="shared" si="207"/>
        <v>50</v>
      </c>
      <c r="T478" s="2">
        <f t="shared" si="208"/>
        <v>178.57142857142858</v>
      </c>
      <c r="U478" s="2">
        <f ca="1">VLOOKUP(E478,金币生产率!$A$2:$B$120,2,0)</f>
        <v>743</v>
      </c>
      <c r="V478" s="2">
        <f t="shared" si="209"/>
        <v>178.57142857142858</v>
      </c>
      <c r="W478" s="45">
        <f t="shared" ca="1" si="222"/>
        <v>19</v>
      </c>
      <c r="X478" s="48">
        <f t="shared" ca="1" si="223"/>
        <v>193</v>
      </c>
      <c r="Y478">
        <f t="shared" si="210"/>
        <v>18</v>
      </c>
      <c r="Z478">
        <f t="shared" ca="1" si="217"/>
        <v>0</v>
      </c>
      <c r="AA478" t="str">
        <f t="shared" ca="1" si="218"/>
        <v>9124400.png</v>
      </c>
      <c r="AB478">
        <f t="shared" si="211"/>
        <v>20</v>
      </c>
      <c r="AC478">
        <f>VLOOKUP(C478,技能辅助查询表,技能配置辅助表!$W$1,FALSE)</f>
        <v>982</v>
      </c>
      <c r="AD478">
        <f t="shared" ca="1" si="219"/>
        <v>22.907279301359061</v>
      </c>
      <c r="AE478">
        <f>VLOOKUP(C478,技能辅助查询表,技能配置辅助表!$U$1,FALSE)</f>
        <v>4</v>
      </c>
      <c r="AF478">
        <f t="shared" ca="1" si="220"/>
        <v>9124417</v>
      </c>
      <c r="AG478">
        <f t="shared" ca="1" si="224"/>
        <v>34.204081632653057</v>
      </c>
      <c r="AH478">
        <f t="shared" ca="1" si="221"/>
        <v>105.14816728492683</v>
      </c>
      <c r="AI478">
        <f ca="1">VLOOKUP(E478,伤害参考系!$C$4:$E$104,3,FALSE)*$AN$12</f>
        <v>2367.0860869565217</v>
      </c>
      <c r="AJ478">
        <f>VLOOKUP(C478,技能辅助查询表,技能配置辅助表!$L$1,FALSE)</f>
        <v>1</v>
      </c>
      <c r="AK478">
        <f>VLOOKUP(C478,技能辅助查询表,技能配置辅助表!$AE$1,FALSE)</f>
        <v>66000009</v>
      </c>
    </row>
    <row r="479" spans="1:37" x14ac:dyDescent="0.15">
      <c r="A479" s="1">
        <f t="shared" ca="1" si="212"/>
        <v>9124418</v>
      </c>
      <c r="B479" s="1" t="str">
        <f t="shared" ca="1" si="197"/>
        <v>裂空·斩第4段</v>
      </c>
      <c r="C479" t="s">
        <v>91</v>
      </c>
      <c r="D479">
        <f t="shared" si="198"/>
        <v>1</v>
      </c>
      <c r="E479" s="42">
        <f t="shared" ca="1" si="213"/>
        <v>36</v>
      </c>
      <c r="F479" t="str">
        <f t="shared" ca="1" si="214"/>
        <v>第18级，共造成210.7%点伤害</v>
      </c>
      <c r="G479">
        <f t="shared" ca="1" si="215"/>
        <v>4</v>
      </c>
      <c r="H479">
        <f t="shared" si="199"/>
        <v>4</v>
      </c>
      <c r="I479" s="44">
        <f t="shared" ca="1" si="216"/>
        <v>18</v>
      </c>
      <c r="J479">
        <f t="shared" si="200"/>
        <v>2</v>
      </c>
      <c r="K479" s="36">
        <f t="shared" ca="1" si="201"/>
        <v>210.71428571428572</v>
      </c>
      <c r="L479" s="10">
        <f ca="1">AH479*VLOOKUP(C479,技能辅助查询表,技能配置辅助表!$T$1,FALSE)</f>
        <v>0</v>
      </c>
      <c r="M479">
        <f t="shared" ca="1" si="202"/>
        <v>6560</v>
      </c>
      <c r="N479" s="33">
        <f ca="1">CHOOSE(1,W479*U479,X479*'[1]0、经济设定'!$C$18)</f>
        <v>15820</v>
      </c>
      <c r="O479">
        <f t="shared" si="203"/>
        <v>4</v>
      </c>
      <c r="P479">
        <f t="shared" si="204"/>
        <v>1</v>
      </c>
      <c r="Q479">
        <f t="shared" si="205"/>
        <v>1</v>
      </c>
      <c r="R479" s="2">
        <f t="shared" si="206"/>
        <v>12</v>
      </c>
      <c r="S479" s="2">
        <f t="shared" si="207"/>
        <v>50</v>
      </c>
      <c r="T479" s="2">
        <f t="shared" si="208"/>
        <v>178.57142857142858</v>
      </c>
      <c r="U479" s="2">
        <f ca="1">VLOOKUP(E479,金币生产率!$A$2:$B$120,2,0)</f>
        <v>791</v>
      </c>
      <c r="V479" s="2">
        <f t="shared" si="209"/>
        <v>178.57142857142858</v>
      </c>
      <c r="W479" s="45">
        <f t="shared" ca="1" si="222"/>
        <v>20</v>
      </c>
      <c r="X479" s="48">
        <f t="shared" ca="1" si="223"/>
        <v>213</v>
      </c>
      <c r="Y479">
        <f t="shared" si="210"/>
        <v>18</v>
      </c>
      <c r="Z479">
        <f t="shared" ca="1" si="217"/>
        <v>8</v>
      </c>
      <c r="AA479" t="str">
        <f t="shared" ca="1" si="218"/>
        <v>9124400.png</v>
      </c>
      <c r="AB479">
        <f t="shared" si="211"/>
        <v>20</v>
      </c>
      <c r="AC479">
        <f>VLOOKUP(C479,技能辅助查询表,技能配置辅助表!$W$1,FALSE)</f>
        <v>982</v>
      </c>
      <c r="AD479">
        <f t="shared" ca="1" si="219"/>
        <v>26.50716978553557</v>
      </c>
      <c r="AE479">
        <f>VLOOKUP(C479,技能辅助查询表,技能配置辅助表!$U$1,FALSE)</f>
        <v>4</v>
      </c>
      <c r="AF479">
        <f t="shared" ca="1" si="220"/>
        <v>9124418</v>
      </c>
      <c r="AG479">
        <f t="shared" ca="1" si="224"/>
        <v>35.591836734693878</v>
      </c>
      <c r="AH479">
        <f t="shared" ca="1" si="221"/>
        <v>119.70979903145096</v>
      </c>
      <c r="AI479">
        <f ca="1">VLOOKUP(E479,伤害参考系!$C$4:$E$104,3,FALSE)*$AN$12</f>
        <v>2544.1437190635456</v>
      </c>
      <c r="AJ479">
        <f>VLOOKUP(C479,技能辅助查询表,技能配置辅助表!$L$1,FALSE)</f>
        <v>1</v>
      </c>
      <c r="AK479">
        <f>VLOOKUP(C479,技能辅助查询表,技能配置辅助表!$AE$1,FALSE)</f>
        <v>66000009</v>
      </c>
    </row>
    <row r="480" spans="1:37" x14ac:dyDescent="0.15">
      <c r="A480" s="1">
        <f t="shared" ca="1" si="212"/>
        <v>9124419</v>
      </c>
      <c r="B480" s="1" t="str">
        <f t="shared" ca="1" si="197"/>
        <v>裂空·斩第4段</v>
      </c>
      <c r="C480" t="s">
        <v>91</v>
      </c>
      <c r="D480">
        <f t="shared" si="198"/>
        <v>1</v>
      </c>
      <c r="E480" s="42">
        <f t="shared" ca="1" si="213"/>
        <v>38</v>
      </c>
      <c r="F480" t="str">
        <f t="shared" ca="1" si="214"/>
        <v>第19级，共造成212.5%点伤害</v>
      </c>
      <c r="G480">
        <f t="shared" ca="1" si="215"/>
        <v>4</v>
      </c>
      <c r="H480">
        <f t="shared" si="199"/>
        <v>4</v>
      </c>
      <c r="I480" s="44">
        <f t="shared" ca="1" si="216"/>
        <v>19</v>
      </c>
      <c r="J480">
        <f t="shared" si="200"/>
        <v>2</v>
      </c>
      <c r="K480" s="36">
        <f t="shared" ca="1" si="201"/>
        <v>212.5</v>
      </c>
      <c r="L480" s="10">
        <f ca="1">AH480*VLOOKUP(C480,技能辅助查询表,技能配置辅助表!$T$1,FALSE)</f>
        <v>0</v>
      </c>
      <c r="M480">
        <f t="shared" ca="1" si="202"/>
        <v>6480</v>
      </c>
      <c r="N480" s="33">
        <f ca="1">CHOOSE(1,W480*U480,X480*'[1]0、经济设定'!$C$18)</f>
        <v>18732</v>
      </c>
      <c r="O480">
        <f t="shared" si="203"/>
        <v>4</v>
      </c>
      <c r="P480">
        <f t="shared" si="204"/>
        <v>1</v>
      </c>
      <c r="Q480">
        <f t="shared" si="205"/>
        <v>1</v>
      </c>
      <c r="R480" s="2">
        <f t="shared" si="206"/>
        <v>12</v>
      </c>
      <c r="S480" s="2">
        <f t="shared" si="207"/>
        <v>50</v>
      </c>
      <c r="T480" s="2">
        <f t="shared" si="208"/>
        <v>178.57142857142858</v>
      </c>
      <c r="U480" s="2">
        <f ca="1">VLOOKUP(E480,金币生产率!$A$2:$B$120,2,0)</f>
        <v>892</v>
      </c>
      <c r="V480" s="2">
        <f t="shared" si="209"/>
        <v>178.57142857142858</v>
      </c>
      <c r="W480" s="45">
        <f t="shared" ca="1" si="222"/>
        <v>21</v>
      </c>
      <c r="X480" s="48">
        <f t="shared" ca="1" si="223"/>
        <v>234</v>
      </c>
      <c r="Y480">
        <f t="shared" si="210"/>
        <v>18</v>
      </c>
      <c r="Z480">
        <f t="shared" ca="1" si="217"/>
        <v>9</v>
      </c>
      <c r="AA480" t="str">
        <f t="shared" ca="1" si="218"/>
        <v>9124400.png</v>
      </c>
      <c r="AB480">
        <f t="shared" si="211"/>
        <v>20</v>
      </c>
      <c r="AC480">
        <f>VLOOKUP(C480,技能辅助查询表,技能配置辅助表!$W$1,FALSE)</f>
        <v>982</v>
      </c>
      <c r="AD480">
        <f t="shared" ca="1" si="219"/>
        <v>30.664805480599675</v>
      </c>
      <c r="AE480">
        <f>VLOOKUP(C480,技能辅助查询表,技能配置辅助表!$U$1,FALSE)</f>
        <v>4</v>
      </c>
      <c r="AF480">
        <f t="shared" ca="1" si="220"/>
        <v>9124419</v>
      </c>
      <c r="AG480">
        <f t="shared" ca="1" si="224"/>
        <v>36.979591836734699</v>
      </c>
      <c r="AH480">
        <f t="shared" ca="1" si="221"/>
        <v>136.28802435822078</v>
      </c>
      <c r="AI480">
        <f ca="1">VLOOKUP(E480,伤害参考系!$C$4:$E$104,3,FALSE)*$AN$12</f>
        <v>2917.001927257525</v>
      </c>
      <c r="AJ480">
        <f>VLOOKUP(C480,技能辅助查询表,技能配置辅助表!$L$1,FALSE)</f>
        <v>1</v>
      </c>
      <c r="AK480">
        <f>VLOOKUP(C480,技能辅助查询表,技能配置辅助表!$AE$1,FALSE)</f>
        <v>66000009</v>
      </c>
    </row>
    <row r="481" spans="1:37" x14ac:dyDescent="0.15">
      <c r="A481" s="1">
        <f t="shared" ca="1" si="212"/>
        <v>9124420</v>
      </c>
      <c r="B481" s="1" t="str">
        <f t="shared" ca="1" si="197"/>
        <v>裂空·斩第4段</v>
      </c>
      <c r="C481" t="s">
        <v>91</v>
      </c>
      <c r="D481">
        <f t="shared" si="198"/>
        <v>1</v>
      </c>
      <c r="E481" s="42">
        <f t="shared" ca="1" si="213"/>
        <v>39</v>
      </c>
      <c r="F481" t="str">
        <f t="shared" ca="1" si="214"/>
        <v>第20级，共造成214.3%点伤害</v>
      </c>
      <c r="G481">
        <f t="shared" ca="1" si="215"/>
        <v>4</v>
      </c>
      <c r="H481">
        <f t="shared" si="199"/>
        <v>4</v>
      </c>
      <c r="I481" s="44">
        <f t="shared" ca="1" si="216"/>
        <v>20</v>
      </c>
      <c r="J481">
        <f t="shared" si="200"/>
        <v>2</v>
      </c>
      <c r="K481" s="36">
        <f t="shared" ca="1" si="201"/>
        <v>214.28571428571431</v>
      </c>
      <c r="L481" s="10">
        <f ca="1">AH481*VLOOKUP(C481,技能辅助查询表,技能配置辅助表!$T$1,FALSE)</f>
        <v>0</v>
      </c>
      <c r="M481">
        <f t="shared" ca="1" si="202"/>
        <v>6400</v>
      </c>
      <c r="N481" s="33">
        <f ca="1">CHOOSE(1,W481*U481,X481*'[1]0、经济设定'!$C$18)</f>
        <v>21712</v>
      </c>
      <c r="O481">
        <f t="shared" si="203"/>
        <v>4</v>
      </c>
      <c r="P481">
        <f t="shared" si="204"/>
        <v>1</v>
      </c>
      <c r="Q481">
        <f t="shared" si="205"/>
        <v>1</v>
      </c>
      <c r="R481" s="2">
        <f t="shared" si="206"/>
        <v>12</v>
      </c>
      <c r="S481" s="2">
        <f t="shared" si="207"/>
        <v>50</v>
      </c>
      <c r="T481" s="2">
        <f t="shared" si="208"/>
        <v>178.57142857142858</v>
      </c>
      <c r="U481" s="2">
        <f ca="1">VLOOKUP(E481,金币生产率!$A$2:$B$120,2,0)</f>
        <v>944</v>
      </c>
      <c r="V481" s="2">
        <f t="shared" si="209"/>
        <v>178.57142857142858</v>
      </c>
      <c r="W481" s="45">
        <f t="shared" ca="1" si="222"/>
        <v>23</v>
      </c>
      <c r="X481" s="48">
        <f t="shared" ca="1" si="223"/>
        <v>257</v>
      </c>
      <c r="Y481">
        <f t="shared" si="210"/>
        <v>18</v>
      </c>
      <c r="Z481">
        <f t="shared" ca="1" si="217"/>
        <v>10</v>
      </c>
      <c r="AA481" t="str">
        <f t="shared" ca="1" si="218"/>
        <v>9124400.png</v>
      </c>
      <c r="AB481">
        <f t="shared" si="211"/>
        <v>20</v>
      </c>
      <c r="AC481">
        <f>VLOOKUP(C481,技能辅助查询表,技能配置辅助表!$W$1,FALSE)</f>
        <v>982</v>
      </c>
      <c r="AD481">
        <f t="shared" ca="1" si="219"/>
        <v>35.465626246614221</v>
      </c>
      <c r="AE481">
        <f>VLOOKUP(C481,技能辅助查询表,技能配置辅助表!$U$1,FALSE)</f>
        <v>4</v>
      </c>
      <c r="AF481">
        <f t="shared" ca="1" si="220"/>
        <v>9124420</v>
      </c>
      <c r="AG481">
        <f t="shared" ca="1" si="224"/>
        <v>38.367346938775512</v>
      </c>
      <c r="AH481">
        <f t="shared" ca="1" si="221"/>
        <v>155.16211482893718</v>
      </c>
      <c r="AI481">
        <f ca="1">VLOOKUP(E481,伤害参考系!$C$4:$E$104,3,FALSE)*$AN$12</f>
        <v>3112.8025033444819</v>
      </c>
      <c r="AJ481">
        <f>VLOOKUP(C481,技能辅助查询表,技能配置辅助表!$L$1,FALSE)</f>
        <v>1</v>
      </c>
      <c r="AK481">
        <f>VLOOKUP(C481,技能辅助查询表,技能配置辅助表!$AE$1,FALSE)</f>
        <v>66000009</v>
      </c>
    </row>
    <row r="482" spans="1:37" x14ac:dyDescent="0.15">
      <c r="A482" s="1">
        <f t="shared" ca="1" si="212"/>
        <v>9124421</v>
      </c>
      <c r="B482" s="1" t="str">
        <f t="shared" ca="1" si="197"/>
        <v>裂空·斩第4段</v>
      </c>
      <c r="C482" t="s">
        <v>91</v>
      </c>
      <c r="D482">
        <f t="shared" si="198"/>
        <v>1</v>
      </c>
      <c r="E482" s="42">
        <f t="shared" ca="1" si="213"/>
        <v>41</v>
      </c>
      <c r="F482" t="str">
        <f t="shared" ca="1" si="214"/>
        <v>第21级，共造成216.1%点伤害</v>
      </c>
      <c r="G482">
        <f t="shared" ca="1" si="215"/>
        <v>4</v>
      </c>
      <c r="H482">
        <f t="shared" si="199"/>
        <v>4</v>
      </c>
      <c r="I482" s="44">
        <f t="shared" ca="1" si="216"/>
        <v>21</v>
      </c>
      <c r="J482">
        <f t="shared" si="200"/>
        <v>2</v>
      </c>
      <c r="K482" s="36">
        <f t="shared" ca="1" si="201"/>
        <v>216.07142857142858</v>
      </c>
      <c r="L482" s="10">
        <f ca="1">AH482*VLOOKUP(C482,技能辅助查询表,技能配置辅助表!$T$1,FALSE)</f>
        <v>0</v>
      </c>
      <c r="M482">
        <f t="shared" ca="1" si="202"/>
        <v>6320</v>
      </c>
      <c r="N482" s="33">
        <f ca="1">CHOOSE(1,W482*U482,X482*'[1]0、经济设定'!$C$18)</f>
        <v>25272</v>
      </c>
      <c r="O482">
        <f t="shared" si="203"/>
        <v>4</v>
      </c>
      <c r="P482">
        <f t="shared" si="204"/>
        <v>1</v>
      </c>
      <c r="Q482">
        <f t="shared" si="205"/>
        <v>1</v>
      </c>
      <c r="R482" s="2">
        <f t="shared" si="206"/>
        <v>12</v>
      </c>
      <c r="S482" s="2">
        <f t="shared" si="207"/>
        <v>50</v>
      </c>
      <c r="T482" s="2">
        <f t="shared" si="208"/>
        <v>178.57142857142858</v>
      </c>
      <c r="U482" s="2">
        <f ca="1">VLOOKUP(E482,金币生产率!$A$2:$B$120,2,0)</f>
        <v>1053</v>
      </c>
      <c r="V482" s="2">
        <f t="shared" si="209"/>
        <v>178.57142857142858</v>
      </c>
      <c r="W482" s="45">
        <f t="shared" ca="1" si="222"/>
        <v>24</v>
      </c>
      <c r="X482" s="48">
        <f t="shared" ca="1" si="223"/>
        <v>281</v>
      </c>
      <c r="Y482">
        <f t="shared" si="210"/>
        <v>18</v>
      </c>
      <c r="Z482">
        <f t="shared" ca="1" si="217"/>
        <v>10</v>
      </c>
      <c r="AA482" t="str">
        <f t="shared" ca="1" si="218"/>
        <v>9124400.png</v>
      </c>
      <c r="AB482">
        <f t="shared" si="211"/>
        <v>20</v>
      </c>
      <c r="AC482">
        <f>VLOOKUP(C482,技能辅助查询表,技能配置辅助表!$W$1,FALSE)</f>
        <v>982</v>
      </c>
      <c r="AD482">
        <f t="shared" ca="1" si="219"/>
        <v>41.008039760209201</v>
      </c>
      <c r="AE482">
        <f>VLOOKUP(C482,技能辅助查询表,技能配置辅助表!$U$1,FALSE)</f>
        <v>4</v>
      </c>
      <c r="AF482">
        <f t="shared" ca="1" si="220"/>
        <v>9124421</v>
      </c>
      <c r="AG482">
        <f t="shared" ca="1" si="224"/>
        <v>39.755102040816325</v>
      </c>
      <c r="AH482">
        <f t="shared" ca="1" si="221"/>
        <v>176.65001742859343</v>
      </c>
      <c r="AI482">
        <f ca="1">VLOOKUP(E482,伤害参考系!$C$4:$E$104,3,FALSE)*$AN$12</f>
        <v>3584.9561889632118</v>
      </c>
      <c r="AJ482">
        <f>VLOOKUP(C482,技能辅助查询表,技能配置辅助表!$L$1,FALSE)</f>
        <v>1</v>
      </c>
      <c r="AK482">
        <f>VLOOKUP(C482,技能辅助查询表,技能配置辅助表!$AE$1,FALSE)</f>
        <v>66000009</v>
      </c>
    </row>
    <row r="483" spans="1:37" x14ac:dyDescent="0.15">
      <c r="A483" s="1">
        <f t="shared" ca="1" si="212"/>
        <v>9124422</v>
      </c>
      <c r="B483" s="1" t="str">
        <f t="shared" ca="1" si="197"/>
        <v>裂空·斩第4段</v>
      </c>
      <c r="C483" t="s">
        <v>91</v>
      </c>
      <c r="D483">
        <f t="shared" si="198"/>
        <v>1</v>
      </c>
      <c r="E483" s="42">
        <f t="shared" ca="1" si="213"/>
        <v>42</v>
      </c>
      <c r="F483" t="str">
        <f t="shared" ca="1" si="214"/>
        <v>第22级，共造成217.9%点伤害</v>
      </c>
      <c r="G483">
        <f t="shared" ca="1" si="215"/>
        <v>4</v>
      </c>
      <c r="H483">
        <f t="shared" si="199"/>
        <v>4</v>
      </c>
      <c r="I483" s="44">
        <f t="shared" ca="1" si="216"/>
        <v>22</v>
      </c>
      <c r="J483">
        <f t="shared" si="200"/>
        <v>2</v>
      </c>
      <c r="K483" s="36">
        <f t="shared" ca="1" si="201"/>
        <v>217.85714285714286</v>
      </c>
      <c r="L483" s="10">
        <f ca="1">AH483*VLOOKUP(C483,技能辅助查询表,技能配置辅助表!$T$1,FALSE)</f>
        <v>0</v>
      </c>
      <c r="M483">
        <f t="shared" ca="1" si="202"/>
        <v>6240</v>
      </c>
      <c r="N483" s="33">
        <f ca="1">CHOOSE(1,W483*U483,X483*'[1]0、经济设定'!$C$18)</f>
        <v>28860</v>
      </c>
      <c r="O483">
        <f t="shared" si="203"/>
        <v>4</v>
      </c>
      <c r="P483">
        <f t="shared" si="204"/>
        <v>1</v>
      </c>
      <c r="Q483">
        <f t="shared" si="205"/>
        <v>1</v>
      </c>
      <c r="R483" s="2">
        <f t="shared" si="206"/>
        <v>12</v>
      </c>
      <c r="S483" s="2">
        <f t="shared" si="207"/>
        <v>50</v>
      </c>
      <c r="T483" s="2">
        <f t="shared" si="208"/>
        <v>178.57142857142858</v>
      </c>
      <c r="U483" s="2">
        <f ca="1">VLOOKUP(E483,金币生产率!$A$2:$B$120,2,0)</f>
        <v>1110</v>
      </c>
      <c r="V483" s="2">
        <f t="shared" si="209"/>
        <v>178.57142857142858</v>
      </c>
      <c r="W483" s="45">
        <f t="shared" ca="1" si="222"/>
        <v>26</v>
      </c>
      <c r="X483" s="48">
        <f t="shared" ca="1" si="223"/>
        <v>307</v>
      </c>
      <c r="Y483">
        <f t="shared" si="210"/>
        <v>18</v>
      </c>
      <c r="Z483">
        <f t="shared" ca="1" si="217"/>
        <v>11</v>
      </c>
      <c r="AA483" t="str">
        <f t="shared" ca="1" si="218"/>
        <v>9124400.png</v>
      </c>
      <c r="AB483">
        <f t="shared" si="211"/>
        <v>20</v>
      </c>
      <c r="AC483">
        <f>VLOOKUP(C483,技能辅助查询表,技能配置辅助表!$W$1,FALSE)</f>
        <v>982</v>
      </c>
      <c r="AD483">
        <f t="shared" ca="1" si="219"/>
        <v>47.405374641020749</v>
      </c>
      <c r="AE483">
        <f>VLOOKUP(C483,技能辅助查询表,技能配置辅助表!$U$1,FALSE)</f>
        <v>4</v>
      </c>
      <c r="AF483">
        <f t="shared" ca="1" si="220"/>
        <v>9124422</v>
      </c>
      <c r="AG483">
        <f t="shared" ca="1" si="224"/>
        <v>41.142857142857139</v>
      </c>
      <c r="AH483">
        <f t="shared" ca="1" si="221"/>
        <v>201.11371059826985</v>
      </c>
      <c r="AI483">
        <f ca="1">VLOOKUP(E483,伤害参考系!$C$4:$E$104,3,FALSE)*$AN$12</f>
        <v>3833.528327759198</v>
      </c>
      <c r="AJ483">
        <f>VLOOKUP(C483,技能辅助查询表,技能配置辅助表!$L$1,FALSE)</f>
        <v>1</v>
      </c>
      <c r="AK483">
        <f>VLOOKUP(C483,技能辅助查询表,技能配置辅助表!$AE$1,FALSE)</f>
        <v>66000009</v>
      </c>
    </row>
    <row r="484" spans="1:37" x14ac:dyDescent="0.15">
      <c r="A484" s="1">
        <f t="shared" ca="1" si="212"/>
        <v>9124423</v>
      </c>
      <c r="B484" s="1" t="str">
        <f t="shared" ca="1" si="197"/>
        <v>裂空·斩第4段</v>
      </c>
      <c r="C484" t="s">
        <v>91</v>
      </c>
      <c r="D484">
        <f t="shared" si="198"/>
        <v>1</v>
      </c>
      <c r="E484" s="42">
        <f t="shared" ca="1" si="213"/>
        <v>43</v>
      </c>
      <c r="F484" t="str">
        <f t="shared" ca="1" si="214"/>
        <v>第23级，共造成219.6%点伤害</v>
      </c>
      <c r="G484">
        <f t="shared" ca="1" si="215"/>
        <v>4</v>
      </c>
      <c r="H484">
        <f t="shared" si="199"/>
        <v>4</v>
      </c>
      <c r="I484" s="44">
        <f t="shared" ca="1" si="216"/>
        <v>23</v>
      </c>
      <c r="J484">
        <f t="shared" si="200"/>
        <v>2</v>
      </c>
      <c r="K484" s="36">
        <f t="shared" ca="1" si="201"/>
        <v>219.64285714285717</v>
      </c>
      <c r="L484" s="10">
        <f ca="1">AH484*VLOOKUP(C484,技能辅助查询表,技能配置辅助表!$T$1,FALSE)</f>
        <v>0</v>
      </c>
      <c r="M484">
        <f t="shared" ca="1" si="202"/>
        <v>6160</v>
      </c>
      <c r="N484" s="33">
        <f ca="1">CHOOSE(1,W484*U484,X484*'[1]0、经济设定'!$C$18)</f>
        <v>32676</v>
      </c>
      <c r="O484">
        <f t="shared" si="203"/>
        <v>4</v>
      </c>
      <c r="P484">
        <f t="shared" si="204"/>
        <v>1</v>
      </c>
      <c r="Q484">
        <f t="shared" si="205"/>
        <v>1</v>
      </c>
      <c r="R484" s="2">
        <f t="shared" si="206"/>
        <v>12</v>
      </c>
      <c r="S484" s="2">
        <f t="shared" si="207"/>
        <v>50</v>
      </c>
      <c r="T484" s="2">
        <f t="shared" si="208"/>
        <v>178.57142857142858</v>
      </c>
      <c r="U484" s="2">
        <f ca="1">VLOOKUP(E484,金币生产率!$A$2:$B$120,2,0)</f>
        <v>1167</v>
      </c>
      <c r="V484" s="2">
        <f t="shared" si="209"/>
        <v>178.57142857142858</v>
      </c>
      <c r="W484" s="45">
        <f t="shared" ca="1" si="222"/>
        <v>28</v>
      </c>
      <c r="X484" s="48">
        <f t="shared" ca="1" si="223"/>
        <v>335</v>
      </c>
      <c r="Y484">
        <f t="shared" si="210"/>
        <v>18</v>
      </c>
      <c r="Z484">
        <f t="shared" ca="1" si="217"/>
        <v>12</v>
      </c>
      <c r="AA484" t="str">
        <f t="shared" ca="1" si="218"/>
        <v>9124400.png</v>
      </c>
      <c r="AB484">
        <f t="shared" si="211"/>
        <v>20</v>
      </c>
      <c r="AC484">
        <f>VLOOKUP(C484,技能辅助查询表,技能配置辅助表!$W$1,FALSE)</f>
        <v>982</v>
      </c>
      <c r="AD484">
        <f t="shared" ca="1" si="219"/>
        <v>54.788125838100335</v>
      </c>
      <c r="AE484">
        <f>VLOOKUP(C484,技能辅助查询表,技能配置辅助表!$U$1,FALSE)</f>
        <v>4</v>
      </c>
      <c r="AF484">
        <f t="shared" ca="1" si="220"/>
        <v>9124423</v>
      </c>
      <c r="AG484">
        <f t="shared" ca="1" si="224"/>
        <v>42.530612244897959</v>
      </c>
      <c r="AH484">
        <f t="shared" ca="1" si="221"/>
        <v>228.96530200997151</v>
      </c>
      <c r="AI484">
        <f ca="1">VLOOKUP(E484,伤害参考系!$C$4:$E$104,3,FALSE)*$AN$12</f>
        <v>4090.4306638795993</v>
      </c>
      <c r="AJ484">
        <f>VLOOKUP(C484,技能辅助查询表,技能配置辅助表!$L$1,FALSE)</f>
        <v>1</v>
      </c>
      <c r="AK484">
        <f>VLOOKUP(C484,技能辅助查询表,技能配置辅助表!$AE$1,FALSE)</f>
        <v>66000009</v>
      </c>
    </row>
    <row r="485" spans="1:37" x14ac:dyDescent="0.15">
      <c r="A485" s="1">
        <f t="shared" ca="1" si="212"/>
        <v>9124424</v>
      </c>
      <c r="B485" s="1" t="str">
        <f t="shared" ca="1" si="197"/>
        <v>裂空·斩第4段</v>
      </c>
      <c r="C485" t="s">
        <v>91</v>
      </c>
      <c r="D485">
        <f t="shared" si="198"/>
        <v>1</v>
      </c>
      <c r="E485" s="42">
        <f t="shared" ca="1" si="213"/>
        <v>45</v>
      </c>
      <c r="F485" t="str">
        <f t="shared" ca="1" si="214"/>
        <v>第24级，共造成221.4%点伤害</v>
      </c>
      <c r="G485">
        <f t="shared" ca="1" si="215"/>
        <v>4</v>
      </c>
      <c r="H485">
        <f t="shared" si="199"/>
        <v>4</v>
      </c>
      <c r="I485" s="44">
        <f t="shared" ca="1" si="216"/>
        <v>24</v>
      </c>
      <c r="J485">
        <f t="shared" si="200"/>
        <v>2</v>
      </c>
      <c r="K485" s="36">
        <f t="shared" ca="1" si="201"/>
        <v>221.42857142857144</v>
      </c>
      <c r="L485" s="10">
        <f ca="1">AH485*VLOOKUP(C485,技能辅助查询表,技能配置辅助表!$T$1,FALSE)</f>
        <v>0</v>
      </c>
      <c r="M485">
        <f t="shared" ca="1" si="202"/>
        <v>6080</v>
      </c>
      <c r="N485" s="33">
        <f ca="1">CHOOSE(1,W485*U485,X485*'[1]0、经济设定'!$C$18)</f>
        <v>38610</v>
      </c>
      <c r="O485">
        <f t="shared" si="203"/>
        <v>4</v>
      </c>
      <c r="P485">
        <f t="shared" si="204"/>
        <v>1</v>
      </c>
      <c r="Q485">
        <f t="shared" si="205"/>
        <v>1</v>
      </c>
      <c r="R485" s="2">
        <f t="shared" si="206"/>
        <v>12</v>
      </c>
      <c r="S485" s="2">
        <f t="shared" si="207"/>
        <v>50</v>
      </c>
      <c r="T485" s="2">
        <f t="shared" si="208"/>
        <v>178.57142857142858</v>
      </c>
      <c r="U485" s="2">
        <f ca="1">VLOOKUP(E485,金币生产率!$A$2:$B$120,2,0)</f>
        <v>1287</v>
      </c>
      <c r="V485" s="2">
        <f t="shared" si="209"/>
        <v>178.57142857142858</v>
      </c>
      <c r="W485" s="45">
        <f t="shared" ca="1" si="222"/>
        <v>30</v>
      </c>
      <c r="X485" s="48">
        <f t="shared" ca="1" si="223"/>
        <v>365</v>
      </c>
      <c r="Y485">
        <f t="shared" si="210"/>
        <v>18</v>
      </c>
      <c r="Z485">
        <f t="shared" ca="1" si="217"/>
        <v>12</v>
      </c>
      <c r="AA485" t="str">
        <f t="shared" ca="1" si="218"/>
        <v>9124400.png</v>
      </c>
      <c r="AB485">
        <f t="shared" si="211"/>
        <v>20</v>
      </c>
      <c r="AC485">
        <f>VLOOKUP(C485,技能辅助查询表,技能配置辅助表!$W$1,FALSE)</f>
        <v>982</v>
      </c>
      <c r="AD485">
        <f t="shared" ca="1" si="219"/>
        <v>63.306535766371688</v>
      </c>
      <c r="AE485">
        <f>VLOOKUP(C485,技能辅助查询表,技能配置辅助表!$U$1,FALSE)</f>
        <v>4</v>
      </c>
      <c r="AF485">
        <f t="shared" ca="1" si="220"/>
        <v>9124424</v>
      </c>
      <c r="AG485">
        <f t="shared" ca="1" si="224"/>
        <v>43.91836734693878</v>
      </c>
      <c r="AH485">
        <f t="shared" ca="1" si="221"/>
        <v>260.67397080270689</v>
      </c>
      <c r="AI485">
        <f ca="1">VLOOKUP(E485,伤害参考系!$C$4:$E$104,3,FALSE)*$AN$12</f>
        <v>4629.2259280936469</v>
      </c>
      <c r="AJ485">
        <f>VLOOKUP(C485,技能辅助查询表,技能配置辅助表!$L$1,FALSE)</f>
        <v>1</v>
      </c>
      <c r="AK485">
        <f>VLOOKUP(C485,技能辅助查询表,技能配置辅助表!$AE$1,FALSE)</f>
        <v>66000009</v>
      </c>
    </row>
    <row r="486" spans="1:37" x14ac:dyDescent="0.15">
      <c r="A486" s="1">
        <f t="shared" ca="1" si="212"/>
        <v>9124425</v>
      </c>
      <c r="B486" s="1" t="str">
        <f t="shared" ca="1" si="197"/>
        <v>裂空·斩第4段</v>
      </c>
      <c r="C486" t="s">
        <v>91</v>
      </c>
      <c r="D486">
        <f t="shared" si="198"/>
        <v>1</v>
      </c>
      <c r="E486" s="42">
        <f t="shared" ca="1" si="213"/>
        <v>46</v>
      </c>
      <c r="F486" t="str">
        <f t="shared" ca="1" si="214"/>
        <v>第25级，共造成223.2%点伤害</v>
      </c>
      <c r="G486">
        <f t="shared" ca="1" si="215"/>
        <v>4</v>
      </c>
      <c r="H486">
        <f t="shared" si="199"/>
        <v>4</v>
      </c>
      <c r="I486" s="44">
        <f t="shared" ca="1" si="216"/>
        <v>25</v>
      </c>
      <c r="J486">
        <f t="shared" si="200"/>
        <v>2</v>
      </c>
      <c r="K486" s="36">
        <f t="shared" ca="1" si="201"/>
        <v>223.21428571428572</v>
      </c>
      <c r="L486" s="10">
        <f ca="1">AH486*VLOOKUP(C486,技能辅助查询表,技能配置辅助表!$T$1,FALSE)</f>
        <v>0</v>
      </c>
      <c r="M486">
        <f t="shared" ca="1" si="202"/>
        <v>6000</v>
      </c>
      <c r="N486" s="33">
        <f ca="1">CHOOSE(1,W486*U486,X486*'[1]0、经济设定'!$C$18)</f>
        <v>43168</v>
      </c>
      <c r="O486">
        <f t="shared" si="203"/>
        <v>4</v>
      </c>
      <c r="P486">
        <f t="shared" si="204"/>
        <v>1</v>
      </c>
      <c r="Q486">
        <f t="shared" si="205"/>
        <v>1</v>
      </c>
      <c r="R486" s="2">
        <f t="shared" si="206"/>
        <v>12</v>
      </c>
      <c r="S486" s="2">
        <f t="shared" si="207"/>
        <v>50</v>
      </c>
      <c r="T486" s="2">
        <f t="shared" si="208"/>
        <v>178.57142857142858</v>
      </c>
      <c r="U486" s="2">
        <f ca="1">VLOOKUP(E486,金币生产率!$A$2:$B$120,2,0)</f>
        <v>1349</v>
      </c>
      <c r="V486" s="2">
        <f t="shared" si="209"/>
        <v>178.57142857142858</v>
      </c>
      <c r="W486" s="45">
        <f t="shared" ca="1" si="222"/>
        <v>32</v>
      </c>
      <c r="X486" s="48">
        <f t="shared" ca="1" si="223"/>
        <v>397</v>
      </c>
      <c r="Y486">
        <f t="shared" si="210"/>
        <v>18</v>
      </c>
      <c r="Z486">
        <f t="shared" ca="1" si="217"/>
        <v>13</v>
      </c>
      <c r="AA486" t="str">
        <f t="shared" ca="1" si="218"/>
        <v>9124400.png</v>
      </c>
      <c r="AB486">
        <f t="shared" si="211"/>
        <v>20</v>
      </c>
      <c r="AC486">
        <f>VLOOKUP(C486,技能辅助查询表,技能配置辅助表!$W$1,FALSE)</f>
        <v>982</v>
      </c>
      <c r="AD486">
        <f t="shared" ca="1" si="219"/>
        <v>73.133561123680281</v>
      </c>
      <c r="AE486">
        <f>VLOOKUP(C486,技能辅助查询表,技能配置辅助表!$U$1,FALSE)</f>
        <v>4</v>
      </c>
      <c r="AF486">
        <f t="shared" ca="1" si="220"/>
        <v>9124425</v>
      </c>
      <c r="AG486">
        <f t="shared" ca="1" si="224"/>
        <v>45.306122448979593</v>
      </c>
      <c r="AH486">
        <f t="shared" ca="1" si="221"/>
        <v>296.77387122652874</v>
      </c>
      <c r="AI486">
        <f ca="1">VLOOKUP(E486,伤害参考系!$C$4:$E$104,3,FALSE)*$AN$12</f>
        <v>4911.1188561872923</v>
      </c>
      <c r="AJ486">
        <f>VLOOKUP(C486,技能辅助查询表,技能配置辅助表!$L$1,FALSE)</f>
        <v>1</v>
      </c>
      <c r="AK486">
        <f>VLOOKUP(C486,技能辅助查询表,技能配置辅助表!$AE$1,FALSE)</f>
        <v>66000009</v>
      </c>
    </row>
    <row r="487" spans="1:37" x14ac:dyDescent="0.15">
      <c r="A487" s="1">
        <f t="shared" ca="1" si="212"/>
        <v>9124426</v>
      </c>
      <c r="B487" s="1" t="str">
        <f t="shared" ca="1" si="197"/>
        <v>裂空·斩第4段</v>
      </c>
      <c r="C487" t="s">
        <v>91</v>
      </c>
      <c r="D487">
        <f t="shared" si="198"/>
        <v>1</v>
      </c>
      <c r="E487" s="42">
        <f t="shared" ca="1" si="213"/>
        <v>47</v>
      </c>
      <c r="F487" t="str">
        <f t="shared" ca="1" si="214"/>
        <v>第26级，共造成225%点伤害</v>
      </c>
      <c r="G487">
        <f t="shared" ca="1" si="215"/>
        <v>4</v>
      </c>
      <c r="H487">
        <f t="shared" si="199"/>
        <v>4</v>
      </c>
      <c r="I487" s="44">
        <f t="shared" ca="1" si="216"/>
        <v>26</v>
      </c>
      <c r="J487">
        <f t="shared" si="200"/>
        <v>2</v>
      </c>
      <c r="K487" s="36">
        <f t="shared" ca="1" si="201"/>
        <v>225</v>
      </c>
      <c r="L487" s="10">
        <f ca="1">AH487*VLOOKUP(C487,技能辅助查询表,技能配置辅助表!$T$1,FALSE)</f>
        <v>0</v>
      </c>
      <c r="M487">
        <f t="shared" ca="1" si="202"/>
        <v>5920</v>
      </c>
      <c r="N487" s="33">
        <f ca="1">CHOOSE(1,W487*U487,X487*'[1]0、经济设定'!$C$18)</f>
        <v>48008</v>
      </c>
      <c r="O487">
        <f t="shared" si="203"/>
        <v>4</v>
      </c>
      <c r="P487">
        <f t="shared" si="204"/>
        <v>1</v>
      </c>
      <c r="Q487">
        <f t="shared" si="205"/>
        <v>1</v>
      </c>
      <c r="R487" s="2">
        <f t="shared" si="206"/>
        <v>12</v>
      </c>
      <c r="S487" s="2">
        <f t="shared" si="207"/>
        <v>50</v>
      </c>
      <c r="T487" s="2">
        <f t="shared" si="208"/>
        <v>178.57142857142858</v>
      </c>
      <c r="U487" s="2">
        <f ca="1">VLOOKUP(E487,金币生产率!$A$2:$B$120,2,0)</f>
        <v>1412</v>
      </c>
      <c r="V487" s="2">
        <f t="shared" si="209"/>
        <v>178.57142857142858</v>
      </c>
      <c r="W487" s="45">
        <f t="shared" ca="1" si="222"/>
        <v>34</v>
      </c>
      <c r="X487" s="48">
        <f t="shared" ca="1" si="223"/>
        <v>431</v>
      </c>
      <c r="Y487">
        <f t="shared" si="210"/>
        <v>18</v>
      </c>
      <c r="Z487">
        <f t="shared" ca="1" si="217"/>
        <v>14</v>
      </c>
      <c r="AA487" t="str">
        <f t="shared" ca="1" si="218"/>
        <v>9124400.png</v>
      </c>
      <c r="AB487">
        <f t="shared" si="211"/>
        <v>20</v>
      </c>
      <c r="AC487">
        <f>VLOOKUP(C487,技能辅助查询表,技能配置辅助表!$W$1,FALSE)</f>
        <v>982</v>
      </c>
      <c r="AD487">
        <f t="shared" ca="1" si="219"/>
        <v>84.46828270920868</v>
      </c>
      <c r="AE487">
        <f>VLOOKUP(C487,技能辅助查询表,技能配置辅助表!$U$1,FALSE)</f>
        <v>4</v>
      </c>
      <c r="AF487">
        <f t="shared" ca="1" si="220"/>
        <v>9124426</v>
      </c>
      <c r="AG487">
        <f t="shared" ca="1" si="224"/>
        <v>46.693877551020407</v>
      </c>
      <c r="AH487">
        <f t="shared" ca="1" si="221"/>
        <v>337.87313083683472</v>
      </c>
      <c r="AI487">
        <f ca="1">VLOOKUP(E487,伤害参考系!$C$4:$E$104,3,FALSE)*$AN$12</f>
        <v>5201.3419816053529</v>
      </c>
      <c r="AJ487">
        <f>VLOOKUP(C487,技能辅助查询表,技能配置辅助表!$L$1,FALSE)</f>
        <v>1</v>
      </c>
      <c r="AK487">
        <f>VLOOKUP(C487,技能辅助查询表,技能配置辅助表!$AE$1,FALSE)</f>
        <v>66000009</v>
      </c>
    </row>
    <row r="488" spans="1:37" x14ac:dyDescent="0.15">
      <c r="A488" s="1">
        <f t="shared" ca="1" si="212"/>
        <v>9124427</v>
      </c>
      <c r="B488" s="1" t="str">
        <f t="shared" ca="1" si="197"/>
        <v>裂空·斩第4段</v>
      </c>
      <c r="C488" t="s">
        <v>91</v>
      </c>
      <c r="D488">
        <f t="shared" si="198"/>
        <v>1</v>
      </c>
      <c r="E488" s="42">
        <f t="shared" ca="1" si="213"/>
        <v>49</v>
      </c>
      <c r="F488" t="str">
        <f t="shared" ca="1" si="214"/>
        <v>第27级，共造成226.8%点伤害</v>
      </c>
      <c r="G488">
        <f t="shared" ca="1" si="215"/>
        <v>4</v>
      </c>
      <c r="H488">
        <f t="shared" si="199"/>
        <v>4</v>
      </c>
      <c r="I488" s="44">
        <f t="shared" ca="1" si="216"/>
        <v>27</v>
      </c>
      <c r="J488">
        <f t="shared" si="200"/>
        <v>2</v>
      </c>
      <c r="K488" s="36">
        <f t="shared" ca="1" si="201"/>
        <v>226.78571428571431</v>
      </c>
      <c r="L488" s="10">
        <f ca="1">AH488*VLOOKUP(C488,技能辅助查询表,技能配置辅助表!$T$1,FALSE)</f>
        <v>0</v>
      </c>
      <c r="M488">
        <f t="shared" ca="1" si="202"/>
        <v>5840</v>
      </c>
      <c r="N488" s="33">
        <f ca="1">CHOOSE(1,W488*U488,X488*'[1]0、经济设定'!$C$18)</f>
        <v>55548</v>
      </c>
      <c r="O488">
        <f t="shared" si="203"/>
        <v>4</v>
      </c>
      <c r="P488">
        <f t="shared" si="204"/>
        <v>1</v>
      </c>
      <c r="Q488">
        <f t="shared" si="205"/>
        <v>1</v>
      </c>
      <c r="R488" s="2">
        <f t="shared" si="206"/>
        <v>12</v>
      </c>
      <c r="S488" s="2">
        <f t="shared" si="207"/>
        <v>50</v>
      </c>
      <c r="T488" s="2">
        <f t="shared" si="208"/>
        <v>178.57142857142858</v>
      </c>
      <c r="U488" s="2">
        <f ca="1">VLOOKUP(E488,金币生产率!$A$2:$B$120,2,0)</f>
        <v>1543</v>
      </c>
      <c r="V488" s="2">
        <f t="shared" si="209"/>
        <v>178.57142857142858</v>
      </c>
      <c r="W488" s="45">
        <f t="shared" ca="1" si="222"/>
        <v>36</v>
      </c>
      <c r="X488" s="48">
        <f t="shared" ca="1" si="223"/>
        <v>467</v>
      </c>
      <c r="Y488">
        <f t="shared" si="210"/>
        <v>18</v>
      </c>
      <c r="Z488">
        <f t="shared" ca="1" si="217"/>
        <v>15</v>
      </c>
      <c r="AA488" t="str">
        <f t="shared" ca="1" si="218"/>
        <v>9124400.png</v>
      </c>
      <c r="AB488">
        <f t="shared" si="211"/>
        <v>20</v>
      </c>
      <c r="AC488">
        <f>VLOOKUP(C488,技能辅助查询表,技能配置辅助表!$W$1,FALSE)</f>
        <v>982</v>
      </c>
      <c r="AD488">
        <f t="shared" ca="1" si="219"/>
        <v>97.539824043561666</v>
      </c>
      <c r="AE488">
        <f>VLOOKUP(C488,技能辅助查询表,技能配置辅助表!$U$1,FALSE)</f>
        <v>4</v>
      </c>
      <c r="AF488">
        <f t="shared" ca="1" si="220"/>
        <v>9124427</v>
      </c>
      <c r="AG488">
        <f t="shared" ca="1" si="224"/>
        <v>48.081632653061227</v>
      </c>
      <c r="AH488">
        <f t="shared" ca="1" si="221"/>
        <v>384.66409481967975</v>
      </c>
      <c r="AI488">
        <f ca="1">VLOOKUP(E488,伤害参考系!$C$4:$E$104,3,FALSE)*$AN$12</f>
        <v>5806.7788244147177</v>
      </c>
      <c r="AJ488">
        <f>VLOOKUP(C488,技能辅助查询表,技能配置辅助表!$L$1,FALSE)</f>
        <v>1</v>
      </c>
      <c r="AK488">
        <f>VLOOKUP(C488,技能辅助查询表,技能配置辅助表!$AE$1,FALSE)</f>
        <v>66000009</v>
      </c>
    </row>
    <row r="489" spans="1:37" x14ac:dyDescent="0.15">
      <c r="A489" s="1">
        <f t="shared" ca="1" si="212"/>
        <v>9124428</v>
      </c>
      <c r="B489" s="1" t="str">
        <f t="shared" ca="1" si="197"/>
        <v>裂空·斩第4段</v>
      </c>
      <c r="C489" t="s">
        <v>91</v>
      </c>
      <c r="D489">
        <f t="shared" si="198"/>
        <v>1</v>
      </c>
      <c r="E489" s="42">
        <f t="shared" ca="1" si="213"/>
        <v>50</v>
      </c>
      <c r="F489" t="str">
        <f t="shared" ca="1" si="214"/>
        <v>第28级，共造成228.6%点伤害</v>
      </c>
      <c r="G489">
        <f t="shared" ca="1" si="215"/>
        <v>4</v>
      </c>
      <c r="H489">
        <f t="shared" si="199"/>
        <v>4</v>
      </c>
      <c r="I489" s="44">
        <f t="shared" ca="1" si="216"/>
        <v>28</v>
      </c>
      <c r="J489">
        <f t="shared" si="200"/>
        <v>2</v>
      </c>
      <c r="K489" s="36">
        <f t="shared" ca="1" si="201"/>
        <v>228.57142857142858</v>
      </c>
      <c r="L489" s="39">
        <f ca="1">AH489*VLOOKUP(C489,技能辅助查询表,技能配置辅助表!$T$1,FALSE)</f>
        <v>0</v>
      </c>
      <c r="M489">
        <f t="shared" ca="1" si="202"/>
        <v>5760</v>
      </c>
      <c r="N489" s="33">
        <f ca="1">CHOOSE(1,W489*U489,X489*'[1]0、经济设定'!$C$18)</f>
        <v>62790</v>
      </c>
      <c r="O489">
        <f t="shared" si="203"/>
        <v>4</v>
      </c>
      <c r="P489">
        <f t="shared" si="204"/>
        <v>1</v>
      </c>
      <c r="Q489">
        <f t="shared" si="205"/>
        <v>1</v>
      </c>
      <c r="R489" s="2">
        <f t="shared" si="206"/>
        <v>12</v>
      </c>
      <c r="S489" s="2">
        <f t="shared" si="207"/>
        <v>50</v>
      </c>
      <c r="T489" s="2">
        <f t="shared" si="208"/>
        <v>178.57142857142858</v>
      </c>
      <c r="U489" s="2">
        <f ca="1">VLOOKUP(E489,金币生产率!$A$2:$B$120,2,0)</f>
        <v>1610</v>
      </c>
      <c r="V489" s="2">
        <f t="shared" si="209"/>
        <v>178.57142857142858</v>
      </c>
      <c r="W489" s="45">
        <f t="shared" ca="1" si="222"/>
        <v>39</v>
      </c>
      <c r="X489" s="48">
        <f t="shared" ca="1" si="223"/>
        <v>506</v>
      </c>
      <c r="Y489">
        <f t="shared" si="210"/>
        <v>18</v>
      </c>
      <c r="Z489">
        <f t="shared" ca="1" si="217"/>
        <v>16</v>
      </c>
      <c r="AA489" t="str">
        <f t="shared" ca="1" si="218"/>
        <v>9124400.png</v>
      </c>
      <c r="AB489">
        <f t="shared" si="211"/>
        <v>20</v>
      </c>
      <c r="AC489">
        <f>VLOOKUP(C489,技能辅助查询表,技能配置辅助表!$W$1,FALSE)</f>
        <v>982</v>
      </c>
      <c r="AD489">
        <f t="shared" ca="1" si="219"/>
        <v>112.6118543196274</v>
      </c>
      <c r="AE489">
        <f>VLOOKUP(C489,技能辅助查询表,技能配置辅助表!$U$1,FALSE)</f>
        <v>4</v>
      </c>
      <c r="AF489">
        <f t="shared" ca="1" si="220"/>
        <v>9124428</v>
      </c>
      <c r="AG489">
        <f t="shared" ca="1" si="224"/>
        <v>49.469387755102041</v>
      </c>
      <c r="AH489">
        <f t="shared" ca="1" si="221"/>
        <v>437.93498902077317</v>
      </c>
      <c r="AI489">
        <f ca="1">VLOOKUP(E489,伤害参考系!$C$4:$E$104,3,FALSE)*$AN$12</f>
        <v>6162.2688085284308</v>
      </c>
      <c r="AJ489">
        <f>VLOOKUP(C489,技能辅助查询表,技能配置辅助表!$L$1,FALSE)</f>
        <v>1</v>
      </c>
      <c r="AK489">
        <f>VLOOKUP(C489,技能辅助查询表,技能配置辅助表!$AE$1,FALSE)</f>
        <v>66000009</v>
      </c>
    </row>
    <row r="490" spans="1:37" x14ac:dyDescent="0.15">
      <c r="A490" s="1">
        <f t="shared" ca="1" si="212"/>
        <v>9124429</v>
      </c>
      <c r="B490" s="1" t="str">
        <f t="shared" ca="1" si="197"/>
        <v>裂空·斩第4段</v>
      </c>
      <c r="C490" t="s">
        <v>91</v>
      </c>
      <c r="D490">
        <f t="shared" si="198"/>
        <v>1</v>
      </c>
      <c r="E490" s="42">
        <f t="shared" ca="1" si="213"/>
        <v>51</v>
      </c>
      <c r="F490" t="str">
        <f t="shared" ca="1" si="214"/>
        <v>第29级，共造成230.4%点伤害</v>
      </c>
      <c r="G490">
        <f t="shared" ca="1" si="215"/>
        <v>4</v>
      </c>
      <c r="H490">
        <f t="shared" si="199"/>
        <v>4</v>
      </c>
      <c r="I490" s="44">
        <f t="shared" ca="1" si="216"/>
        <v>29</v>
      </c>
      <c r="J490">
        <f t="shared" si="200"/>
        <v>2</v>
      </c>
      <c r="K490" s="36">
        <f t="shared" ca="1" si="201"/>
        <v>230.35714285714289</v>
      </c>
      <c r="L490" s="10">
        <f ca="1">AH490*VLOOKUP(C490,技能辅助查询表,技能配置辅助表!$T$1,FALSE)</f>
        <v>0</v>
      </c>
      <c r="M490">
        <f t="shared" ca="1" si="202"/>
        <v>5680</v>
      </c>
      <c r="N490" s="33">
        <f ca="1">CHOOSE(1,W490*U490,X490*'[1]0、经济设定'!$C$18)</f>
        <v>70518</v>
      </c>
      <c r="O490">
        <f t="shared" si="203"/>
        <v>4</v>
      </c>
      <c r="P490">
        <f t="shared" si="204"/>
        <v>1</v>
      </c>
      <c r="Q490">
        <f t="shared" si="205"/>
        <v>1</v>
      </c>
      <c r="R490" s="2">
        <f t="shared" si="206"/>
        <v>12</v>
      </c>
      <c r="S490" s="2">
        <f t="shared" si="207"/>
        <v>50</v>
      </c>
      <c r="T490" s="2">
        <f t="shared" si="208"/>
        <v>178.57142857142858</v>
      </c>
      <c r="U490" s="2">
        <f ca="1">VLOOKUP(E490,金币生产率!$A$2:$B$120,2,0)</f>
        <v>1679</v>
      </c>
      <c r="V490" s="2">
        <f t="shared" si="209"/>
        <v>178.57142857142858</v>
      </c>
      <c r="W490" s="45">
        <f t="shared" ca="1" si="222"/>
        <v>42</v>
      </c>
      <c r="X490" s="48">
        <f t="shared" ca="1" si="223"/>
        <v>548</v>
      </c>
      <c r="Y490">
        <f t="shared" si="210"/>
        <v>18</v>
      </c>
      <c r="Z490">
        <f t="shared" ca="1" si="217"/>
        <v>17</v>
      </c>
      <c r="AA490" t="str">
        <f t="shared" ca="1" si="218"/>
        <v>9124400.png</v>
      </c>
      <c r="AB490">
        <f t="shared" si="211"/>
        <v>20</v>
      </c>
      <c r="AC490">
        <f>VLOOKUP(C490,技能辅助查询表,技能配置辅助表!$W$1,FALSE)</f>
        <v>982</v>
      </c>
      <c r="AD490">
        <f t="shared" ca="1" si="219"/>
        <v>129.98776237479032</v>
      </c>
      <c r="AE490">
        <f>VLOOKUP(C490,技能辅助查询表,技能配置辅助表!$U$1,FALSE)</f>
        <v>4</v>
      </c>
      <c r="AF490">
        <f t="shared" ca="1" si="220"/>
        <v>9124429</v>
      </c>
      <c r="AG490">
        <f t="shared" ca="1" si="224"/>
        <v>50.857142857142854</v>
      </c>
      <c r="AH490">
        <f t="shared" ca="1" si="221"/>
        <v>498.5831981498805</v>
      </c>
      <c r="AI490">
        <f ca="1">VLOOKUP(E490,伤害参考系!$C$4:$E$104,3,FALSE)*$AN$12</f>
        <v>6528.1715392976603</v>
      </c>
      <c r="AJ490">
        <f>VLOOKUP(C490,技能辅助查询表,技能配置辅助表!$L$1,FALSE)</f>
        <v>1</v>
      </c>
      <c r="AK490">
        <f>VLOOKUP(C490,技能辅助查询表,技能配置辅助表!$AE$1,FALSE)</f>
        <v>66000009</v>
      </c>
    </row>
    <row r="491" spans="1:37" x14ac:dyDescent="0.15">
      <c r="A491" s="1">
        <f t="shared" ca="1" si="212"/>
        <v>9124430</v>
      </c>
      <c r="B491" s="1" t="str">
        <f t="shared" ca="1" si="197"/>
        <v>裂空·斩第4段</v>
      </c>
      <c r="C491" t="s">
        <v>91</v>
      </c>
      <c r="D491">
        <f t="shared" si="198"/>
        <v>1</v>
      </c>
      <c r="E491" s="42">
        <f t="shared" ca="1" si="213"/>
        <v>53</v>
      </c>
      <c r="F491" t="str">
        <f t="shared" ca="1" si="214"/>
        <v>第30级，共造成232.1%点伤害</v>
      </c>
      <c r="G491">
        <f t="shared" ca="1" si="215"/>
        <v>4</v>
      </c>
      <c r="H491">
        <f t="shared" si="199"/>
        <v>4</v>
      </c>
      <c r="I491" s="44">
        <f t="shared" ca="1" si="216"/>
        <v>30</v>
      </c>
      <c r="J491">
        <f t="shared" si="200"/>
        <v>2</v>
      </c>
      <c r="K491" s="36">
        <f t="shared" ca="1" si="201"/>
        <v>232.14285714285717</v>
      </c>
      <c r="L491" s="10">
        <f ca="1">AH491*VLOOKUP(C491,技能辅助查询表,技能配置辅助表!$T$1,FALSE)</f>
        <v>0</v>
      </c>
      <c r="M491">
        <f t="shared" ca="1" si="202"/>
        <v>5600</v>
      </c>
      <c r="N491" s="33">
        <f ca="1">CHOOSE(1,W491*U491,X491*'[1]0、经济设定'!$C$18)</f>
        <v>81900</v>
      </c>
      <c r="O491">
        <f t="shared" si="203"/>
        <v>4</v>
      </c>
      <c r="P491">
        <f t="shared" si="204"/>
        <v>1</v>
      </c>
      <c r="Q491">
        <f t="shared" si="205"/>
        <v>1</v>
      </c>
      <c r="R491" s="2">
        <f t="shared" si="206"/>
        <v>12</v>
      </c>
      <c r="S491" s="2">
        <f t="shared" si="207"/>
        <v>50</v>
      </c>
      <c r="T491" s="2">
        <f t="shared" si="208"/>
        <v>178.57142857142858</v>
      </c>
      <c r="U491" s="2">
        <f ca="1">VLOOKUP(E491,金币生产率!$A$2:$B$120,2,0)</f>
        <v>1820</v>
      </c>
      <c r="V491" s="2">
        <f t="shared" si="209"/>
        <v>178.57142857142858</v>
      </c>
      <c r="W491" s="45">
        <f t="shared" ca="1" si="222"/>
        <v>45</v>
      </c>
      <c r="X491" s="48">
        <f t="shared" ca="1" si="223"/>
        <v>593</v>
      </c>
      <c r="Y491">
        <f t="shared" si="210"/>
        <v>18</v>
      </c>
      <c r="Z491">
        <f t="shared" ca="1" si="217"/>
        <v>18</v>
      </c>
      <c r="AA491" t="str">
        <f t="shared" ca="1" si="218"/>
        <v>9124400.png</v>
      </c>
      <c r="AB491">
        <f t="shared" si="211"/>
        <v>20</v>
      </c>
      <c r="AC491">
        <f>VLOOKUP(C491,技能辅助查询表,技能配置辅助表!$W$1,FALSE)</f>
        <v>982</v>
      </c>
      <c r="AD491">
        <f t="shared" ca="1" si="219"/>
        <v>150.01660117942677</v>
      </c>
      <c r="AE491">
        <f>VLOOKUP(C491,技能辅助查询表,技能配置辅助表!$U$1,FALSE)</f>
        <v>4</v>
      </c>
      <c r="AF491">
        <f t="shared" ca="1" si="220"/>
        <v>9124430</v>
      </c>
      <c r="AG491">
        <f t="shared" ca="1" si="224"/>
        <v>52.244897959183675</v>
      </c>
      <c r="AH491">
        <f t="shared" ca="1" si="221"/>
        <v>567.63038284107404</v>
      </c>
      <c r="AI491">
        <f ca="1">VLOOKUP(E491,伤害参考系!$C$4:$E$104,3,FALSE)*$AN$12</f>
        <v>7291.2152408026777</v>
      </c>
      <c r="AJ491">
        <f>VLOOKUP(C491,技能辅助查询表,技能配置辅助表!$L$1,FALSE)</f>
        <v>1</v>
      </c>
      <c r="AK491">
        <f>VLOOKUP(C491,技能辅助查询表,技能配置辅助表!$AE$1,FALSE)</f>
        <v>66000009</v>
      </c>
    </row>
    <row r="492" spans="1:37" x14ac:dyDescent="0.15">
      <c r="A492" s="1">
        <f t="shared" ca="1" si="212"/>
        <v>9124431</v>
      </c>
      <c r="B492" s="1" t="str">
        <f t="shared" ca="1" si="197"/>
        <v>裂空·斩第4段</v>
      </c>
      <c r="C492" t="s">
        <v>91</v>
      </c>
      <c r="D492">
        <f t="shared" si="198"/>
        <v>1</v>
      </c>
      <c r="E492" s="42">
        <f t="shared" ca="1" si="213"/>
        <v>54</v>
      </c>
      <c r="F492" t="str">
        <f t="shared" ca="1" si="214"/>
        <v>第31级，共造成233.9%点伤害</v>
      </c>
      <c r="G492">
        <f t="shared" ca="1" si="215"/>
        <v>4</v>
      </c>
      <c r="H492">
        <f t="shared" si="199"/>
        <v>4</v>
      </c>
      <c r="I492" s="44">
        <f t="shared" ca="1" si="216"/>
        <v>31</v>
      </c>
      <c r="J492">
        <f t="shared" si="200"/>
        <v>2</v>
      </c>
      <c r="K492" s="36">
        <f t="shared" ca="1" si="201"/>
        <v>233.92857142857144</v>
      </c>
      <c r="L492" s="10">
        <f ca="1">AH492*VLOOKUP(C492,技能辅助查询表,技能配置辅助表!$T$1,FALSE)</f>
        <v>0</v>
      </c>
      <c r="M492">
        <f t="shared" ca="1" si="202"/>
        <v>5520</v>
      </c>
      <c r="N492" s="33">
        <f ca="1">CHOOSE(1,W492*U492,X492*'[1]0、经济设定'!$C$18)</f>
        <v>90864</v>
      </c>
      <c r="O492">
        <f t="shared" si="203"/>
        <v>4</v>
      </c>
      <c r="P492">
        <f t="shared" si="204"/>
        <v>1</v>
      </c>
      <c r="Q492">
        <f t="shared" si="205"/>
        <v>1</v>
      </c>
      <c r="R492" s="2">
        <f t="shared" si="206"/>
        <v>12</v>
      </c>
      <c r="S492" s="2">
        <f t="shared" si="207"/>
        <v>50</v>
      </c>
      <c r="T492" s="2">
        <f t="shared" si="208"/>
        <v>178.57142857142858</v>
      </c>
      <c r="U492" s="2">
        <f ca="1">VLOOKUP(E492,金币生产率!$A$2:$B$120,2,0)</f>
        <v>1893</v>
      </c>
      <c r="V492" s="2">
        <f t="shared" si="209"/>
        <v>178.57142857142858</v>
      </c>
      <c r="W492" s="45">
        <f t="shared" ca="1" si="222"/>
        <v>48</v>
      </c>
      <c r="X492" s="48">
        <f t="shared" ca="1" si="223"/>
        <v>641</v>
      </c>
      <c r="Y492">
        <f t="shared" si="210"/>
        <v>18</v>
      </c>
      <c r="Z492">
        <f t="shared" ca="1" si="217"/>
        <v>20</v>
      </c>
      <c r="AA492" t="str">
        <f t="shared" ca="1" si="218"/>
        <v>9124400.png</v>
      </c>
      <c r="AB492">
        <f t="shared" si="211"/>
        <v>20</v>
      </c>
      <c r="AC492">
        <f>VLOOKUP(C492,技能辅助查询表,技能配置辅助表!$W$1,FALSE)</f>
        <v>982</v>
      </c>
      <c r="AD492">
        <f t="shared" ca="1" si="219"/>
        <v>173.09991702484137</v>
      </c>
      <c r="AE492">
        <f>VLOOKUP(C492,技能辅助查询表,技能配置辅助表!$U$1,FALSE)</f>
        <v>4</v>
      </c>
      <c r="AF492">
        <f t="shared" ca="1" si="220"/>
        <v>9124431</v>
      </c>
      <c r="AG492">
        <f t="shared" ca="1" si="224"/>
        <v>53.632653061224488</v>
      </c>
      <c r="AH492">
        <f t="shared" ca="1" si="221"/>
        <v>646.23969022607446</v>
      </c>
      <c r="AI492">
        <f ca="1">VLOOKUP(E492,伤害参考系!$C$4:$E$104,3,FALSE)*$AN$12</f>
        <v>7688.356211538463</v>
      </c>
      <c r="AJ492">
        <f>VLOOKUP(C492,技能辅助查询表,技能配置辅助表!$L$1,FALSE)</f>
        <v>1</v>
      </c>
      <c r="AK492">
        <f>VLOOKUP(C492,技能辅助查询表,技能配置辅助表!$AE$1,FALSE)</f>
        <v>66000009</v>
      </c>
    </row>
    <row r="493" spans="1:37" x14ac:dyDescent="0.15">
      <c r="A493" s="1">
        <f t="shared" ca="1" si="212"/>
        <v>9124432</v>
      </c>
      <c r="B493" s="1" t="str">
        <f t="shared" ca="1" si="197"/>
        <v>裂空·斩第4段</v>
      </c>
      <c r="C493" t="s">
        <v>91</v>
      </c>
      <c r="D493">
        <f t="shared" si="198"/>
        <v>1</v>
      </c>
      <c r="E493" s="42">
        <f t="shared" ca="1" si="213"/>
        <v>56</v>
      </c>
      <c r="F493" t="str">
        <f t="shared" ca="1" si="214"/>
        <v>第32级，共造成235.7%点伤害</v>
      </c>
      <c r="G493">
        <f t="shared" ca="1" si="215"/>
        <v>4</v>
      </c>
      <c r="H493">
        <f t="shared" si="199"/>
        <v>4</v>
      </c>
      <c r="I493" s="44">
        <f t="shared" ca="1" si="216"/>
        <v>32</v>
      </c>
      <c r="J493">
        <f t="shared" si="200"/>
        <v>2</v>
      </c>
      <c r="K493" s="36">
        <f t="shared" ca="1" si="201"/>
        <v>235.71428571428572</v>
      </c>
      <c r="L493" s="10">
        <f ca="1">AH493*VLOOKUP(C493,技能辅助查询表,技能配置辅助表!$T$1,FALSE)</f>
        <v>0</v>
      </c>
      <c r="M493">
        <f t="shared" ca="1" si="202"/>
        <v>5440</v>
      </c>
      <c r="N493" s="33">
        <f ca="1">CHOOSE(1,W493*U493,X493*'[1]0、经济设定'!$C$18)</f>
        <v>104142</v>
      </c>
      <c r="O493">
        <f t="shared" si="203"/>
        <v>4</v>
      </c>
      <c r="P493">
        <f t="shared" si="204"/>
        <v>1</v>
      </c>
      <c r="Q493">
        <f t="shared" si="205"/>
        <v>1</v>
      </c>
      <c r="R493" s="2">
        <f t="shared" si="206"/>
        <v>12</v>
      </c>
      <c r="S493" s="2">
        <f t="shared" si="207"/>
        <v>50</v>
      </c>
      <c r="T493" s="2">
        <f t="shared" si="208"/>
        <v>178.57142857142858</v>
      </c>
      <c r="U493" s="2">
        <f ca="1">VLOOKUP(E493,金币生产率!$A$2:$B$120,2,0)</f>
        <v>2042</v>
      </c>
      <c r="V493" s="2">
        <f t="shared" si="209"/>
        <v>178.57142857142858</v>
      </c>
      <c r="W493" s="45">
        <f t="shared" ca="1" si="222"/>
        <v>51</v>
      </c>
      <c r="X493" s="48">
        <f t="shared" ca="1" si="223"/>
        <v>692</v>
      </c>
      <c r="Y493">
        <f t="shared" si="210"/>
        <v>18</v>
      </c>
      <c r="Z493">
        <f t="shared" ca="1" si="217"/>
        <v>21</v>
      </c>
      <c r="AA493" t="str">
        <f t="shared" ca="1" si="218"/>
        <v>9124400.png</v>
      </c>
      <c r="AB493">
        <f t="shared" si="211"/>
        <v>20</v>
      </c>
      <c r="AC493">
        <f>VLOOKUP(C493,技能辅助查询表,技能配置辅助表!$W$1,FALSE)</f>
        <v>982</v>
      </c>
      <c r="AD493">
        <f t="shared" ca="1" si="219"/>
        <v>199.69959444210014</v>
      </c>
      <c r="AE493">
        <f>VLOOKUP(C493,技能辅助查询表,技能配置辅助表!$U$1,FALSE)</f>
        <v>4</v>
      </c>
      <c r="AF493">
        <f t="shared" ca="1" si="220"/>
        <v>9124432</v>
      </c>
      <c r="AG493">
        <f t="shared" ca="1" si="224"/>
        <v>55.020408163265309</v>
      </c>
      <c r="AH493">
        <f t="shared" ca="1" si="221"/>
        <v>735.73534794457942</v>
      </c>
      <c r="AI493">
        <f ca="1">VLOOKUP(E493,伤害参考系!$C$4:$E$104,3,FALSE)*$AN$12</f>
        <v>8513.8763929765901</v>
      </c>
      <c r="AJ493">
        <f>VLOOKUP(C493,技能辅助查询表,技能配置辅助表!$L$1,FALSE)</f>
        <v>1</v>
      </c>
      <c r="AK493">
        <f>VLOOKUP(C493,技能辅助查询表,技能配置辅助表!$AE$1,FALSE)</f>
        <v>66000009</v>
      </c>
    </row>
    <row r="494" spans="1:37" x14ac:dyDescent="0.15">
      <c r="A494" s="1">
        <f t="shared" ca="1" si="212"/>
        <v>9124433</v>
      </c>
      <c r="B494" s="1" t="str">
        <f t="shared" ca="1" si="197"/>
        <v>裂空·斩第4段</v>
      </c>
      <c r="C494" t="s">
        <v>91</v>
      </c>
      <c r="D494">
        <f t="shared" si="198"/>
        <v>1</v>
      </c>
      <c r="E494" s="42">
        <f t="shared" ca="1" si="213"/>
        <v>57</v>
      </c>
      <c r="F494" t="str">
        <f t="shared" ca="1" si="214"/>
        <v>第33级，共造成237.5%点伤害</v>
      </c>
      <c r="G494">
        <f t="shared" ca="1" si="215"/>
        <v>4</v>
      </c>
      <c r="H494">
        <f t="shared" si="199"/>
        <v>4</v>
      </c>
      <c r="I494" s="44">
        <f t="shared" ca="1" si="216"/>
        <v>33</v>
      </c>
      <c r="J494">
        <f t="shared" si="200"/>
        <v>2</v>
      </c>
      <c r="K494" s="36">
        <f t="shared" ca="1" si="201"/>
        <v>237.5</v>
      </c>
      <c r="L494" s="10">
        <f ca="1">AH494*VLOOKUP(C494,技能辅助查询表,技能配置辅助表!$T$1,FALSE)</f>
        <v>0</v>
      </c>
      <c r="M494">
        <f t="shared" ca="1" si="202"/>
        <v>5360</v>
      </c>
      <c r="N494" s="33">
        <f ca="1">CHOOSE(1,W494*U494,X494*'[1]0、经济设定'!$C$18)</f>
        <v>116545</v>
      </c>
      <c r="O494">
        <f t="shared" si="203"/>
        <v>4</v>
      </c>
      <c r="P494">
        <f t="shared" si="204"/>
        <v>1</v>
      </c>
      <c r="Q494">
        <f t="shared" si="205"/>
        <v>1</v>
      </c>
      <c r="R494" s="2">
        <f t="shared" si="206"/>
        <v>12</v>
      </c>
      <c r="S494" s="2">
        <f t="shared" si="207"/>
        <v>50</v>
      </c>
      <c r="T494" s="2">
        <f t="shared" si="208"/>
        <v>178.57142857142858</v>
      </c>
      <c r="U494" s="2">
        <f ca="1">VLOOKUP(E494,金币生产率!$A$2:$B$120,2,0)</f>
        <v>2119</v>
      </c>
      <c r="V494" s="2">
        <f t="shared" si="209"/>
        <v>178.57142857142858</v>
      </c>
      <c r="W494" s="45">
        <f t="shared" ca="1" si="222"/>
        <v>55</v>
      </c>
      <c r="X494" s="48">
        <f t="shared" ca="1" si="223"/>
        <v>747</v>
      </c>
      <c r="Y494">
        <f t="shared" si="210"/>
        <v>18</v>
      </c>
      <c r="Z494">
        <f t="shared" ca="1" si="217"/>
        <v>22</v>
      </c>
      <c r="AA494" t="str">
        <f t="shared" ca="1" si="218"/>
        <v>9124400.png</v>
      </c>
      <c r="AB494">
        <f t="shared" si="211"/>
        <v>20</v>
      </c>
      <c r="AC494">
        <f>VLOOKUP(C494,技能辅助查询表,技能配置辅助表!$W$1,FALSE)</f>
        <v>982</v>
      </c>
      <c r="AD494">
        <f t="shared" ca="1" si="219"/>
        <v>230.34686720818021</v>
      </c>
      <c r="AE494">
        <f>VLOOKUP(C494,技能辅助查询表,技能配置辅助表!$U$1,FALSE)</f>
        <v>4</v>
      </c>
      <c r="AF494">
        <f t="shared" ca="1" si="220"/>
        <v>9124433</v>
      </c>
      <c r="AG494">
        <f t="shared" ca="1" si="224"/>
        <v>56.408163265306122</v>
      </c>
      <c r="AH494">
        <f t="shared" ca="1" si="221"/>
        <v>837.62497166611001</v>
      </c>
      <c r="AI494">
        <f ca="1">VLOOKUP(E494,伤害参考系!$C$4:$E$104,3,FALSE)*$AN$12</f>
        <v>8942.2556036789319</v>
      </c>
      <c r="AJ494">
        <f>VLOOKUP(C494,技能辅助查询表,技能配置辅助表!$L$1,FALSE)</f>
        <v>1</v>
      </c>
      <c r="AK494">
        <f>VLOOKUP(C494,技能辅助查询表,技能配置辅助表!$AE$1,FALSE)</f>
        <v>66000009</v>
      </c>
    </row>
    <row r="495" spans="1:37" x14ac:dyDescent="0.15">
      <c r="A495" s="1">
        <f t="shared" ca="1" si="212"/>
        <v>9124434</v>
      </c>
      <c r="B495" s="1" t="str">
        <f t="shared" ca="1" si="197"/>
        <v>裂空·斩第4段</v>
      </c>
      <c r="C495" t="s">
        <v>91</v>
      </c>
      <c r="D495">
        <f t="shared" si="198"/>
        <v>1</v>
      </c>
      <c r="E495" s="42">
        <f t="shared" ca="1" si="213"/>
        <v>58</v>
      </c>
      <c r="F495" t="str">
        <f t="shared" ca="1" si="214"/>
        <v>第34级，共造成239.3%点伤害</v>
      </c>
      <c r="G495">
        <f t="shared" ca="1" si="215"/>
        <v>4</v>
      </c>
      <c r="H495">
        <f t="shared" si="199"/>
        <v>4</v>
      </c>
      <c r="I495" s="44">
        <f t="shared" ca="1" si="216"/>
        <v>34</v>
      </c>
      <c r="J495">
        <f t="shared" si="200"/>
        <v>2</v>
      </c>
      <c r="K495" s="36">
        <f t="shared" ca="1" si="201"/>
        <v>239.28571428571431</v>
      </c>
      <c r="L495" s="10">
        <f ca="1">AH495*VLOOKUP(C495,技能辅助查询表,技能配置辅助表!$T$1,FALSE)</f>
        <v>0</v>
      </c>
      <c r="M495">
        <f t="shared" ca="1" si="202"/>
        <v>5280</v>
      </c>
      <c r="N495" s="33">
        <f ca="1">CHOOSE(1,W495*U495,X495*'[1]0、经济设定'!$C$18)</f>
        <v>129682</v>
      </c>
      <c r="O495">
        <f t="shared" si="203"/>
        <v>4</v>
      </c>
      <c r="P495">
        <f t="shared" si="204"/>
        <v>1</v>
      </c>
      <c r="Q495">
        <f t="shared" si="205"/>
        <v>1</v>
      </c>
      <c r="R495" s="2">
        <f t="shared" si="206"/>
        <v>12</v>
      </c>
      <c r="S495" s="2">
        <f t="shared" si="207"/>
        <v>50</v>
      </c>
      <c r="T495" s="2">
        <f t="shared" si="208"/>
        <v>178.57142857142858</v>
      </c>
      <c r="U495" s="2">
        <f ca="1">VLOOKUP(E495,金币生产率!$A$2:$B$120,2,0)</f>
        <v>2198</v>
      </c>
      <c r="V495" s="2">
        <f t="shared" si="209"/>
        <v>178.57142857142858</v>
      </c>
      <c r="W495" s="45">
        <f t="shared" ca="1" si="222"/>
        <v>59</v>
      </c>
      <c r="X495" s="48">
        <f t="shared" ca="1" si="223"/>
        <v>806</v>
      </c>
      <c r="Y495">
        <f t="shared" si="210"/>
        <v>18</v>
      </c>
      <c r="Z495">
        <f t="shared" ca="1" si="217"/>
        <v>24</v>
      </c>
      <c r="AA495" t="str">
        <f t="shared" ca="1" si="218"/>
        <v>9124400.png</v>
      </c>
      <c r="AB495">
        <f t="shared" si="211"/>
        <v>20</v>
      </c>
      <c r="AC495">
        <f>VLOOKUP(C495,技能辅助查询表,技能配置辅助表!$W$1,FALSE)</f>
        <v>982</v>
      </c>
      <c r="AD495">
        <f t="shared" ca="1" si="219"/>
        <v>265.65266796032574</v>
      </c>
      <c r="AE495">
        <f>VLOOKUP(C495,技能辅助查询表,技能配置辅助表!$U$1,FALSE)</f>
        <v>4</v>
      </c>
      <c r="AF495">
        <f t="shared" ca="1" si="220"/>
        <v>9124434</v>
      </c>
      <c r="AG495">
        <f t="shared" ca="1" si="224"/>
        <v>57.795918367346935</v>
      </c>
      <c r="AH495">
        <f t="shared" ca="1" si="221"/>
        <v>953.62496190886134</v>
      </c>
      <c r="AI495">
        <f ca="1">VLOOKUP(E495,伤害参考系!$C$4:$E$104,3,FALSE)*$AN$12</f>
        <v>9381.0475610367921</v>
      </c>
      <c r="AJ495">
        <f>VLOOKUP(C495,技能辅助查询表,技能配置辅助表!$L$1,FALSE)</f>
        <v>1</v>
      </c>
      <c r="AK495">
        <f>VLOOKUP(C495,技能辅助查询表,技能配置辅助表!$AE$1,FALSE)</f>
        <v>66000009</v>
      </c>
    </row>
    <row r="496" spans="1:37" x14ac:dyDescent="0.15">
      <c r="A496" s="1">
        <f t="shared" ca="1" si="212"/>
        <v>9124435</v>
      </c>
      <c r="B496" s="1" t="str">
        <f t="shared" ca="1" si="197"/>
        <v>裂空·斩第4段</v>
      </c>
      <c r="C496" t="s">
        <v>91</v>
      </c>
      <c r="D496">
        <f t="shared" si="198"/>
        <v>1</v>
      </c>
      <c r="E496" s="42">
        <f t="shared" ca="1" si="213"/>
        <v>60</v>
      </c>
      <c r="F496" t="str">
        <f t="shared" ca="1" si="214"/>
        <v>第35级，共造成241.1%点伤害</v>
      </c>
      <c r="G496">
        <f t="shared" ca="1" si="215"/>
        <v>4</v>
      </c>
      <c r="H496">
        <f t="shared" si="199"/>
        <v>4</v>
      </c>
      <c r="I496" s="44">
        <f t="shared" ca="1" si="216"/>
        <v>35</v>
      </c>
      <c r="J496">
        <f t="shared" si="200"/>
        <v>2</v>
      </c>
      <c r="K496" s="36">
        <f t="shared" ca="1" si="201"/>
        <v>241.07142857142858</v>
      </c>
      <c r="L496" s="10">
        <f ca="1">AH496*VLOOKUP(C496,技能辅助查询表,技能配置辅助表!$T$1,FALSE)</f>
        <v>0</v>
      </c>
      <c r="M496">
        <f t="shared" ca="1" si="202"/>
        <v>5200</v>
      </c>
      <c r="N496" s="33">
        <f ca="1">CHOOSE(1,W496*U496,X496*'[1]0、经济设定'!$C$18)</f>
        <v>148554</v>
      </c>
      <c r="O496">
        <f t="shared" si="203"/>
        <v>4</v>
      </c>
      <c r="P496">
        <f t="shared" si="204"/>
        <v>1</v>
      </c>
      <c r="Q496">
        <f t="shared" si="205"/>
        <v>1</v>
      </c>
      <c r="R496" s="2">
        <f t="shared" si="206"/>
        <v>12</v>
      </c>
      <c r="S496" s="2">
        <f t="shared" si="207"/>
        <v>50</v>
      </c>
      <c r="T496" s="2">
        <f t="shared" si="208"/>
        <v>178.57142857142858</v>
      </c>
      <c r="U496" s="2">
        <f ca="1">VLOOKUP(E496,金币生产率!$A$2:$B$120,2,0)</f>
        <v>2358</v>
      </c>
      <c r="V496" s="2">
        <f t="shared" si="209"/>
        <v>178.57142857142858</v>
      </c>
      <c r="W496" s="45">
        <f t="shared" ca="1" si="222"/>
        <v>63</v>
      </c>
      <c r="X496" s="48">
        <f t="shared" ca="1" si="223"/>
        <v>869</v>
      </c>
      <c r="Y496">
        <f t="shared" si="210"/>
        <v>18</v>
      </c>
      <c r="Z496">
        <f t="shared" ca="1" si="217"/>
        <v>26</v>
      </c>
      <c r="AA496" t="str">
        <f t="shared" ca="1" si="218"/>
        <v>9124400.png</v>
      </c>
      <c r="AB496">
        <f t="shared" si="211"/>
        <v>20</v>
      </c>
      <c r="AC496">
        <f>VLOOKUP(C496,技能辅助查询表,技能配置辅助表!$W$1,FALSE)</f>
        <v>982</v>
      </c>
      <c r="AD496">
        <f t="shared" ca="1" si="219"/>
        <v>306.31951435931103</v>
      </c>
      <c r="AE496">
        <f>VLOOKUP(C496,技能辅助查询表,技能配置辅助表!$U$1,FALSE)</f>
        <v>4</v>
      </c>
      <c r="AF496">
        <f t="shared" ca="1" si="220"/>
        <v>9124435</v>
      </c>
      <c r="AG496">
        <f t="shared" ca="1" si="224"/>
        <v>59.183673469387756</v>
      </c>
      <c r="AH496">
        <f t="shared" ca="1" si="221"/>
        <v>1085.689417982368</v>
      </c>
      <c r="AI496">
        <f ca="1">VLOOKUP(E496,伤害参考系!$C$4:$E$104,3,FALSE)*$AN$12</f>
        <v>10340.558729096994</v>
      </c>
      <c r="AJ496">
        <f>VLOOKUP(C496,技能辅助查询表,技能配置辅助表!$L$1,FALSE)</f>
        <v>1</v>
      </c>
      <c r="AK496">
        <f>VLOOKUP(C496,技能辅助查询表,技能配置辅助表!$AE$1,FALSE)</f>
        <v>66000009</v>
      </c>
    </row>
    <row r="497" spans="1:37" x14ac:dyDescent="0.15">
      <c r="A497" s="1">
        <f t="shared" ca="1" si="212"/>
        <v>9124436</v>
      </c>
      <c r="B497" s="1" t="str">
        <f t="shared" ca="1" si="197"/>
        <v>裂空·斩第4段</v>
      </c>
      <c r="C497" t="s">
        <v>91</v>
      </c>
      <c r="D497">
        <f t="shared" si="198"/>
        <v>1</v>
      </c>
      <c r="E497" s="42">
        <f t="shared" ca="1" si="213"/>
        <v>61</v>
      </c>
      <c r="F497" t="str">
        <f t="shared" ca="1" si="214"/>
        <v>第36级，共造成242.9%点伤害</v>
      </c>
      <c r="G497">
        <f t="shared" ca="1" si="215"/>
        <v>4</v>
      </c>
      <c r="H497">
        <f t="shared" si="199"/>
        <v>4</v>
      </c>
      <c r="I497" s="44">
        <f t="shared" ca="1" si="216"/>
        <v>36</v>
      </c>
      <c r="J497">
        <f t="shared" si="200"/>
        <v>2</v>
      </c>
      <c r="K497" s="36">
        <f t="shared" ca="1" si="201"/>
        <v>242.85714285714289</v>
      </c>
      <c r="L497" s="10">
        <f ca="1">AH497*VLOOKUP(C497,技能辅助查询表,技能配置辅助表!$T$1,FALSE)</f>
        <v>0</v>
      </c>
      <c r="M497">
        <f t="shared" ca="1" si="202"/>
        <v>5120</v>
      </c>
      <c r="N497" s="33">
        <f ca="1">CHOOSE(1,W497*U497,X497*'[1]0、经济设定'!$C$18)</f>
        <v>163480</v>
      </c>
      <c r="O497">
        <f t="shared" si="203"/>
        <v>4</v>
      </c>
      <c r="P497">
        <f t="shared" si="204"/>
        <v>1</v>
      </c>
      <c r="Q497">
        <f t="shared" si="205"/>
        <v>1</v>
      </c>
      <c r="R497" s="2">
        <f t="shared" si="206"/>
        <v>12</v>
      </c>
      <c r="S497" s="2">
        <f t="shared" si="207"/>
        <v>50</v>
      </c>
      <c r="T497" s="2">
        <f t="shared" si="208"/>
        <v>178.57142857142858</v>
      </c>
      <c r="U497" s="2">
        <f ca="1">VLOOKUP(E497,金币生产率!$A$2:$B$120,2,0)</f>
        <v>2440</v>
      </c>
      <c r="V497" s="2">
        <f t="shared" si="209"/>
        <v>178.57142857142858</v>
      </c>
      <c r="W497" s="45">
        <f t="shared" ca="1" si="222"/>
        <v>67</v>
      </c>
      <c r="X497" s="48">
        <f t="shared" ca="1" si="223"/>
        <v>936</v>
      </c>
      <c r="Y497">
        <f t="shared" si="210"/>
        <v>18</v>
      </c>
      <c r="Z497">
        <f t="shared" ca="1" si="217"/>
        <v>27</v>
      </c>
      <c r="AA497" t="str">
        <f t="shared" ca="1" si="218"/>
        <v>9124400.png</v>
      </c>
      <c r="AB497">
        <f t="shared" si="211"/>
        <v>20</v>
      </c>
      <c r="AC497">
        <f>VLOOKUP(C497,技能辅助查询表,技能配置辅助表!$W$1,FALSE)</f>
        <v>982</v>
      </c>
      <c r="AD497">
        <f t="shared" ca="1" si="219"/>
        <v>353.15515889404872</v>
      </c>
      <c r="AE497">
        <f>VLOOKUP(C497,技能辅助查询表,技能配置辅助表!$U$1,FALSE)</f>
        <v>4</v>
      </c>
      <c r="AF497">
        <f t="shared" ca="1" si="220"/>
        <v>9124436</v>
      </c>
      <c r="AG497">
        <f t="shared" ca="1" si="224"/>
        <v>60.571428571428569</v>
      </c>
      <c r="AH497">
        <f t="shared" ca="1" si="221"/>
        <v>1236.0430561291703</v>
      </c>
      <c r="AI497">
        <f ca="1">VLOOKUP(E497,伤害参考系!$C$4:$E$104,3,FALSE)*$AN$12</f>
        <v>10863.360489130437</v>
      </c>
      <c r="AJ497">
        <f>VLOOKUP(C497,技能辅助查询表,技能配置辅助表!$L$1,FALSE)</f>
        <v>1</v>
      </c>
      <c r="AK497">
        <f>VLOOKUP(C497,技能辅助查询表,技能配置辅助表!$AE$1,FALSE)</f>
        <v>66000009</v>
      </c>
    </row>
    <row r="498" spans="1:37" x14ac:dyDescent="0.15">
      <c r="A498" s="1">
        <f t="shared" ca="1" si="212"/>
        <v>9124437</v>
      </c>
      <c r="B498" s="1" t="str">
        <f t="shared" ca="1" si="197"/>
        <v>裂空·斩第4段</v>
      </c>
      <c r="C498" t="s">
        <v>91</v>
      </c>
      <c r="D498">
        <f t="shared" si="198"/>
        <v>1</v>
      </c>
      <c r="E498" s="42">
        <f t="shared" ca="1" si="213"/>
        <v>62</v>
      </c>
      <c r="F498" t="str">
        <f t="shared" ca="1" si="214"/>
        <v>第37级，共造成244.6%点伤害</v>
      </c>
      <c r="G498">
        <f t="shared" ca="1" si="215"/>
        <v>4</v>
      </c>
      <c r="H498">
        <f t="shared" si="199"/>
        <v>4</v>
      </c>
      <c r="I498" s="44">
        <f t="shared" ca="1" si="216"/>
        <v>37</v>
      </c>
      <c r="J498">
        <f t="shared" si="200"/>
        <v>2</v>
      </c>
      <c r="K498" s="36">
        <f t="shared" ca="1" si="201"/>
        <v>244.64285714285717</v>
      </c>
      <c r="L498" s="10">
        <f ca="1">AH498*VLOOKUP(C498,技能辅助查询表,技能配置辅助表!$T$1,FALSE)</f>
        <v>0</v>
      </c>
      <c r="M498">
        <f t="shared" ca="1" si="202"/>
        <v>5040</v>
      </c>
      <c r="N498" s="33">
        <f ca="1">CHOOSE(1,W498*U498,X498*'[1]0、经济设定'!$C$18)</f>
        <v>181728</v>
      </c>
      <c r="O498">
        <f t="shared" si="203"/>
        <v>4</v>
      </c>
      <c r="P498">
        <f t="shared" si="204"/>
        <v>1</v>
      </c>
      <c r="Q498">
        <f t="shared" si="205"/>
        <v>1</v>
      </c>
      <c r="R498" s="2">
        <f t="shared" si="206"/>
        <v>12</v>
      </c>
      <c r="S498" s="2">
        <f t="shared" si="207"/>
        <v>50</v>
      </c>
      <c r="T498" s="2">
        <f t="shared" si="208"/>
        <v>178.57142857142858</v>
      </c>
      <c r="U498" s="2">
        <f ca="1">VLOOKUP(E498,金币生产率!$A$2:$B$120,2,0)</f>
        <v>2524</v>
      </c>
      <c r="V498" s="2">
        <f t="shared" si="209"/>
        <v>178.57142857142858</v>
      </c>
      <c r="W498" s="45">
        <f t="shared" ca="1" si="222"/>
        <v>72</v>
      </c>
      <c r="X498" s="48">
        <f t="shared" ca="1" si="223"/>
        <v>1008</v>
      </c>
      <c r="Y498">
        <f t="shared" si="210"/>
        <v>18</v>
      </c>
      <c r="Z498">
        <f t="shared" ca="1" si="217"/>
        <v>29</v>
      </c>
      <c r="AA498" t="str">
        <f t="shared" ca="1" si="218"/>
        <v>9124400.png</v>
      </c>
      <c r="AB498">
        <f t="shared" si="211"/>
        <v>20</v>
      </c>
      <c r="AC498">
        <f>VLOOKUP(C498,技能辅助查询表,技能配置辅助表!$W$1,FALSE)</f>
        <v>982</v>
      </c>
      <c r="AD498">
        <f t="shared" ca="1" si="219"/>
        <v>407.08826284972662</v>
      </c>
      <c r="AE498">
        <f>VLOOKUP(C498,技能辅助查询表,技能配置辅助表!$U$1,FALSE)</f>
        <v>4</v>
      </c>
      <c r="AF498">
        <f t="shared" ca="1" si="220"/>
        <v>9124437</v>
      </c>
      <c r="AG498">
        <f t="shared" ca="1" si="224"/>
        <v>61.95918367346939</v>
      </c>
      <c r="AH498">
        <f t="shared" ca="1" si="221"/>
        <v>1407.2186863941167</v>
      </c>
      <c r="AI498">
        <f ca="1">VLOOKUP(E498,伤害参考系!$C$4:$E$104,3,FALSE)*$AN$12</f>
        <v>11398.657545150505</v>
      </c>
      <c r="AJ498">
        <f>VLOOKUP(C498,技能辅助查询表,技能配置辅助表!$L$1,FALSE)</f>
        <v>1</v>
      </c>
      <c r="AK498">
        <f>VLOOKUP(C498,技能辅助查询表,技能配置辅助表!$AE$1,FALSE)</f>
        <v>66000009</v>
      </c>
    </row>
    <row r="499" spans="1:37" x14ac:dyDescent="0.15">
      <c r="A499" s="1">
        <f t="shared" ca="1" si="212"/>
        <v>9124438</v>
      </c>
      <c r="B499" s="1" t="str">
        <f t="shared" ca="1" si="197"/>
        <v>裂空·斩第4段</v>
      </c>
      <c r="C499" t="s">
        <v>91</v>
      </c>
      <c r="D499">
        <f t="shared" si="198"/>
        <v>1</v>
      </c>
      <c r="E499" s="42">
        <f t="shared" ca="1" si="213"/>
        <v>64</v>
      </c>
      <c r="F499" t="str">
        <f t="shared" ca="1" si="214"/>
        <v>第38级，共造成246.4%点伤害</v>
      </c>
      <c r="G499">
        <f t="shared" ca="1" si="215"/>
        <v>4</v>
      </c>
      <c r="H499">
        <f t="shared" si="199"/>
        <v>4</v>
      </c>
      <c r="I499" s="44">
        <f t="shared" ca="1" si="216"/>
        <v>38</v>
      </c>
      <c r="J499">
        <f t="shared" si="200"/>
        <v>2</v>
      </c>
      <c r="K499" s="36">
        <f t="shared" ca="1" si="201"/>
        <v>246.42857142857144</v>
      </c>
      <c r="L499" s="10">
        <f ca="1">AH499*VLOOKUP(C499,技能辅助查询表,技能配置辅助表!$T$1,FALSE)</f>
        <v>0</v>
      </c>
      <c r="M499">
        <f t="shared" ca="1" si="202"/>
        <v>4960</v>
      </c>
      <c r="N499" s="33">
        <f ca="1">CHOOSE(1,W499*U499,X499*'[1]0、经济设定'!$C$18)</f>
        <v>207515</v>
      </c>
      <c r="O499">
        <f t="shared" si="203"/>
        <v>4</v>
      </c>
      <c r="P499">
        <f t="shared" si="204"/>
        <v>1</v>
      </c>
      <c r="Q499">
        <f t="shared" si="205"/>
        <v>1</v>
      </c>
      <c r="R499" s="2">
        <f t="shared" si="206"/>
        <v>12</v>
      </c>
      <c r="S499" s="2">
        <f t="shared" si="207"/>
        <v>50</v>
      </c>
      <c r="T499" s="2">
        <f t="shared" si="208"/>
        <v>178.57142857142858</v>
      </c>
      <c r="U499" s="2">
        <f ca="1">VLOOKUP(E499,金币生产率!$A$2:$B$120,2,0)</f>
        <v>2695</v>
      </c>
      <c r="V499" s="2">
        <f t="shared" si="209"/>
        <v>178.57142857142858</v>
      </c>
      <c r="W499" s="45">
        <f t="shared" ca="1" si="222"/>
        <v>77</v>
      </c>
      <c r="X499" s="48">
        <f t="shared" ca="1" si="223"/>
        <v>1085</v>
      </c>
      <c r="Y499">
        <f t="shared" si="210"/>
        <v>18</v>
      </c>
      <c r="Z499">
        <f t="shared" ca="1" si="217"/>
        <v>31</v>
      </c>
      <c r="AA499" t="str">
        <f t="shared" ca="1" si="218"/>
        <v>9124400.png</v>
      </c>
      <c r="AB499">
        <f t="shared" si="211"/>
        <v>20</v>
      </c>
      <c r="AC499">
        <f>VLOOKUP(C499,技能辅助查询表,技能配置辅助表!$W$1,FALSE)</f>
        <v>982</v>
      </c>
      <c r="AD499">
        <f t="shared" ca="1" si="219"/>
        <v>469.18639329527502</v>
      </c>
      <c r="AE499">
        <f>VLOOKUP(C499,技能辅助查询表,技能配置辅助表!$U$1,FALSE)</f>
        <v>4</v>
      </c>
      <c r="AF499">
        <f t="shared" ca="1" si="220"/>
        <v>9124438</v>
      </c>
      <c r="AG499">
        <f t="shared" ca="1" si="224"/>
        <v>63.346938775510203</v>
      </c>
      <c r="AH499">
        <f t="shared" ca="1" si="221"/>
        <v>1602.0998795448415</v>
      </c>
      <c r="AI499">
        <f ca="1">VLOOKUP(E499,伤害参考系!$C$4:$E$104,3,FALSE)*$AN$12</f>
        <v>12506.737545150507</v>
      </c>
      <c r="AJ499">
        <f>VLOOKUP(C499,技能辅助查询表,技能配置辅助表!$L$1,FALSE)</f>
        <v>1</v>
      </c>
      <c r="AK499">
        <f>VLOOKUP(C499,技能辅助查询表,技能配置辅助表!$AE$1,FALSE)</f>
        <v>66000009</v>
      </c>
    </row>
    <row r="500" spans="1:37" x14ac:dyDescent="0.15">
      <c r="A500" s="1">
        <f t="shared" ca="1" si="212"/>
        <v>9124439</v>
      </c>
      <c r="B500" s="1" t="str">
        <f t="shared" ca="1" si="197"/>
        <v>裂空·斩第4段</v>
      </c>
      <c r="C500" t="s">
        <v>91</v>
      </c>
      <c r="D500">
        <f t="shared" si="198"/>
        <v>1</v>
      </c>
      <c r="E500" s="42">
        <f t="shared" ca="1" si="213"/>
        <v>65</v>
      </c>
      <c r="F500" t="str">
        <f t="shared" ca="1" si="214"/>
        <v>第39级，共造成248.2%点伤害</v>
      </c>
      <c r="G500">
        <f t="shared" ca="1" si="215"/>
        <v>4</v>
      </c>
      <c r="H500">
        <f t="shared" si="199"/>
        <v>4</v>
      </c>
      <c r="I500" s="44">
        <f t="shared" ca="1" si="216"/>
        <v>39</v>
      </c>
      <c r="J500">
        <f t="shared" si="200"/>
        <v>2</v>
      </c>
      <c r="K500" s="36">
        <f t="shared" ca="1" si="201"/>
        <v>248.21428571428572</v>
      </c>
      <c r="L500" s="10">
        <f ca="1">AH500*VLOOKUP(C500,技能辅助查询表,技能配置辅助表!$T$1,FALSE)</f>
        <v>0</v>
      </c>
      <c r="M500">
        <f t="shared" ca="1" si="202"/>
        <v>4880</v>
      </c>
      <c r="N500" s="33">
        <f ca="1">CHOOSE(1,W500*U500,X500*'[1]0、经济设定'!$C$18)</f>
        <v>228206</v>
      </c>
      <c r="O500">
        <f t="shared" si="203"/>
        <v>4</v>
      </c>
      <c r="P500">
        <f t="shared" si="204"/>
        <v>1</v>
      </c>
      <c r="Q500">
        <f t="shared" si="205"/>
        <v>1</v>
      </c>
      <c r="R500" s="2">
        <f t="shared" si="206"/>
        <v>12</v>
      </c>
      <c r="S500" s="2">
        <f t="shared" si="207"/>
        <v>50</v>
      </c>
      <c r="T500" s="2">
        <f t="shared" si="208"/>
        <v>178.57142857142858</v>
      </c>
      <c r="U500" s="2">
        <f ca="1">VLOOKUP(E500,金币生产率!$A$2:$B$120,2,0)</f>
        <v>2783</v>
      </c>
      <c r="V500" s="2">
        <f t="shared" si="209"/>
        <v>178.57142857142858</v>
      </c>
      <c r="W500" s="45">
        <f t="shared" ca="1" si="222"/>
        <v>82</v>
      </c>
      <c r="X500" s="48">
        <f t="shared" ca="1" si="223"/>
        <v>1167</v>
      </c>
      <c r="Y500">
        <f t="shared" si="210"/>
        <v>18</v>
      </c>
      <c r="Z500">
        <f t="shared" ca="1" si="217"/>
        <v>33</v>
      </c>
      <c r="AA500" t="str">
        <f t="shared" ca="1" si="218"/>
        <v>9124400.png</v>
      </c>
      <c r="AB500">
        <f t="shared" si="211"/>
        <v>20</v>
      </c>
      <c r="AC500">
        <f>VLOOKUP(C500,技能辅助查询表,技能配置辅助表!$W$1,FALSE)</f>
        <v>982</v>
      </c>
      <c r="AD500">
        <f t="shared" ca="1" si="219"/>
        <v>540.67668590052324</v>
      </c>
      <c r="AE500">
        <f>VLOOKUP(C500,技能辅助查询表,技能配置辅助表!$U$1,FALSE)</f>
        <v>4</v>
      </c>
      <c r="AF500">
        <f t="shared" ca="1" si="220"/>
        <v>9124439</v>
      </c>
      <c r="AG500">
        <f t="shared" ca="1" si="224"/>
        <v>64.734693877551024</v>
      </c>
      <c r="AH500">
        <f t="shared" ca="1" si="221"/>
        <v>1823.9695427969455</v>
      </c>
      <c r="AI500">
        <f ca="1">VLOOKUP(E500,伤害参考系!$C$4:$E$104,3,FALSE)*$AN$12</f>
        <v>13079.520489130437</v>
      </c>
      <c r="AJ500">
        <f>VLOOKUP(C500,技能辅助查询表,技能配置辅助表!$L$1,FALSE)</f>
        <v>1</v>
      </c>
      <c r="AK500">
        <f>VLOOKUP(C500,技能辅助查询表,技能配置辅助表!$AE$1,FALSE)</f>
        <v>66000009</v>
      </c>
    </row>
    <row r="501" spans="1:37" x14ac:dyDescent="0.15">
      <c r="A501" s="1">
        <f t="shared" ca="1" si="212"/>
        <v>9124440</v>
      </c>
      <c r="B501" s="1" t="str">
        <f t="shared" ca="1" si="197"/>
        <v>裂空·斩第4段</v>
      </c>
      <c r="C501" t="s">
        <v>91</v>
      </c>
      <c r="D501">
        <f t="shared" si="198"/>
        <v>1</v>
      </c>
      <c r="E501" s="42">
        <f t="shared" ca="1" si="213"/>
        <v>66</v>
      </c>
      <c r="F501" t="str">
        <f t="shared" ca="1" si="214"/>
        <v>第40级，共造成250%点伤害</v>
      </c>
      <c r="G501">
        <f t="shared" ca="1" si="215"/>
        <v>4</v>
      </c>
      <c r="H501">
        <f t="shared" si="199"/>
        <v>4</v>
      </c>
      <c r="I501" s="44">
        <f t="shared" ca="1" si="216"/>
        <v>40</v>
      </c>
      <c r="J501">
        <f t="shared" si="200"/>
        <v>2</v>
      </c>
      <c r="K501" s="36">
        <f t="shared" ca="1" si="201"/>
        <v>250</v>
      </c>
      <c r="L501" s="10">
        <f ca="1">AH501*VLOOKUP(C501,技能辅助查询表,技能配置辅助表!$T$1,FALSE)</f>
        <v>0</v>
      </c>
      <c r="M501">
        <f t="shared" ca="1" si="202"/>
        <v>4800</v>
      </c>
      <c r="N501" s="33">
        <f ca="1">CHOOSE(1,W501*U501,X501*'[1]0、经济设定'!$C$18)</f>
        <v>252736</v>
      </c>
      <c r="O501">
        <f t="shared" si="203"/>
        <v>4</v>
      </c>
      <c r="P501">
        <f t="shared" si="204"/>
        <v>1</v>
      </c>
      <c r="Q501">
        <f t="shared" si="205"/>
        <v>1</v>
      </c>
      <c r="R501" s="2">
        <f t="shared" si="206"/>
        <v>12</v>
      </c>
      <c r="S501" s="2">
        <f t="shared" si="207"/>
        <v>50</v>
      </c>
      <c r="T501" s="2">
        <f t="shared" si="208"/>
        <v>178.57142857142858</v>
      </c>
      <c r="U501" s="2">
        <f ca="1">VLOOKUP(E501,金币生产率!$A$2:$B$120,2,0)</f>
        <v>2872</v>
      </c>
      <c r="V501" s="2">
        <f t="shared" si="209"/>
        <v>178.57142857142858</v>
      </c>
      <c r="W501" s="45">
        <f t="shared" ca="1" si="222"/>
        <v>88</v>
      </c>
      <c r="X501" s="48">
        <f t="shared" ca="1" si="223"/>
        <v>1255</v>
      </c>
      <c r="Y501">
        <f t="shared" si="210"/>
        <v>18</v>
      </c>
      <c r="Z501">
        <f t="shared" ca="1" si="217"/>
        <v>36</v>
      </c>
      <c r="AA501" t="str">
        <f t="shared" ca="1" si="218"/>
        <v>9124400.png</v>
      </c>
      <c r="AB501">
        <f t="shared" si="211"/>
        <v>20</v>
      </c>
      <c r="AC501">
        <f>VLOOKUP(C501,技能辅助查询表,技能配置辅助表!$W$1,FALSE)</f>
        <v>982</v>
      </c>
      <c r="AD501">
        <f t="shared" ca="1" si="219"/>
        <v>622.96956679056757</v>
      </c>
      <c r="AE501">
        <f>VLOOKUP(C501,技能辅助查询表,技能配置辅助表!$U$1,FALSE)</f>
        <v>4</v>
      </c>
      <c r="AF501">
        <f t="shared" ca="1" si="220"/>
        <v>9124440</v>
      </c>
      <c r="AG501">
        <f t="shared" ca="1" si="224"/>
        <v>66.122448979591837</v>
      </c>
      <c r="AH501">
        <f t="shared" ca="1" si="221"/>
        <v>2076.5652226352254</v>
      </c>
      <c r="AI501">
        <f ca="1">VLOOKUP(E501,伤害参考系!$C$4:$E$104,3,FALSE)*$AN$12</f>
        <v>13664.798729096996</v>
      </c>
      <c r="AJ501">
        <f>VLOOKUP(C501,技能辅助查询表,技能配置辅助表!$L$1,FALSE)</f>
        <v>1</v>
      </c>
      <c r="AK501">
        <f>VLOOKUP(C501,技能辅助查询表,技能配置辅助表!$AE$1,FALSE)</f>
        <v>66000009</v>
      </c>
    </row>
    <row r="502" spans="1:37" x14ac:dyDescent="0.15">
      <c r="A502" s="1">
        <f t="shared" ca="1" si="212"/>
        <v>9124441</v>
      </c>
      <c r="B502" s="1" t="str">
        <f t="shared" ca="1" si="197"/>
        <v>裂空·斩第4段</v>
      </c>
      <c r="C502" t="s">
        <v>91</v>
      </c>
      <c r="D502">
        <f t="shared" si="198"/>
        <v>1</v>
      </c>
      <c r="E502" s="42">
        <f t="shared" ca="1" si="213"/>
        <v>68</v>
      </c>
      <c r="F502" t="str">
        <f t="shared" ca="1" si="214"/>
        <v>第41级，共造成251.8%点伤害</v>
      </c>
      <c r="G502">
        <f t="shared" ca="1" si="215"/>
        <v>4</v>
      </c>
      <c r="H502">
        <f t="shared" si="199"/>
        <v>4</v>
      </c>
      <c r="I502" s="44">
        <f t="shared" ca="1" si="216"/>
        <v>41</v>
      </c>
      <c r="J502">
        <f t="shared" si="200"/>
        <v>2</v>
      </c>
      <c r="K502" s="36">
        <f t="shared" ca="1" si="201"/>
        <v>251.78571428571431</v>
      </c>
      <c r="L502" s="10">
        <f ca="1">AH502*VLOOKUP(C502,技能辅助查询表,技能配置辅助表!$T$1,FALSE)</f>
        <v>0</v>
      </c>
      <c r="M502">
        <f t="shared" ca="1" si="202"/>
        <v>4720</v>
      </c>
      <c r="N502" s="33">
        <f ca="1">CHOOSE(1,W502*U502,X502*'[1]0、经济设定'!$C$18)</f>
        <v>287076</v>
      </c>
      <c r="O502">
        <f t="shared" si="203"/>
        <v>4</v>
      </c>
      <c r="P502">
        <f t="shared" si="204"/>
        <v>1</v>
      </c>
      <c r="Q502">
        <f t="shared" si="205"/>
        <v>1</v>
      </c>
      <c r="R502" s="2">
        <f t="shared" si="206"/>
        <v>12</v>
      </c>
      <c r="S502" s="2">
        <f t="shared" si="207"/>
        <v>50</v>
      </c>
      <c r="T502" s="2">
        <f t="shared" si="208"/>
        <v>178.57142857142858</v>
      </c>
      <c r="U502" s="2">
        <f ca="1">VLOOKUP(E502,金币生产率!$A$2:$B$120,2,0)</f>
        <v>3054</v>
      </c>
      <c r="V502" s="2">
        <f t="shared" si="209"/>
        <v>178.57142857142858</v>
      </c>
      <c r="W502" s="45">
        <f t="shared" ca="1" si="222"/>
        <v>94</v>
      </c>
      <c r="X502" s="48">
        <f t="shared" ca="1" si="223"/>
        <v>1349</v>
      </c>
      <c r="Y502">
        <f t="shared" si="210"/>
        <v>18</v>
      </c>
      <c r="Z502">
        <f t="shared" ca="1" si="217"/>
        <v>38</v>
      </c>
      <c r="AA502" t="str">
        <f t="shared" ca="1" si="218"/>
        <v>9124400.png</v>
      </c>
      <c r="AB502">
        <f t="shared" si="211"/>
        <v>20</v>
      </c>
      <c r="AC502">
        <f>VLOOKUP(C502,技能辅助查询表,技能配置辅助表!$W$1,FALSE)</f>
        <v>982</v>
      </c>
      <c r="AD502">
        <f t="shared" ca="1" si="219"/>
        <v>717.68598442612165</v>
      </c>
      <c r="AE502">
        <f>VLOOKUP(C502,技能辅助查询表,技能配置辅助表!$U$1,FALSE)</f>
        <v>4</v>
      </c>
      <c r="AF502">
        <f t="shared" ca="1" si="220"/>
        <v>9124441</v>
      </c>
      <c r="AG502">
        <f t="shared" ca="1" si="224"/>
        <v>67.510204081632651</v>
      </c>
      <c r="AH502">
        <f t="shared" ca="1" si="221"/>
        <v>2364.1420663448707</v>
      </c>
      <c r="AI502">
        <f ca="1">VLOOKUP(E502,伤害参考系!$C$4:$E$104,3,FALSE)*$AN$12</f>
        <v>14872.841096989978</v>
      </c>
      <c r="AJ502">
        <f>VLOOKUP(C502,技能辅助查询表,技能配置辅助表!$L$1,FALSE)</f>
        <v>1</v>
      </c>
      <c r="AK502">
        <f>VLOOKUP(C502,技能辅助查询表,技能配置辅助表!$AE$1,FALSE)</f>
        <v>66000009</v>
      </c>
    </row>
    <row r="503" spans="1:37" x14ac:dyDescent="0.15">
      <c r="A503" s="1">
        <f t="shared" ca="1" si="212"/>
        <v>9124442</v>
      </c>
      <c r="B503" s="1" t="str">
        <f t="shared" ca="1" si="197"/>
        <v>裂空·斩第4段</v>
      </c>
      <c r="C503" t="s">
        <v>91</v>
      </c>
      <c r="D503">
        <f t="shared" si="198"/>
        <v>1</v>
      </c>
      <c r="E503" s="42">
        <f t="shared" ca="1" si="213"/>
        <v>69</v>
      </c>
      <c r="F503" t="str">
        <f t="shared" ca="1" si="214"/>
        <v>第42级，共造成253.6%点伤害</v>
      </c>
      <c r="G503">
        <f t="shared" ca="1" si="215"/>
        <v>4</v>
      </c>
      <c r="H503">
        <f t="shared" si="199"/>
        <v>4</v>
      </c>
      <c r="I503" s="44">
        <f t="shared" ca="1" si="216"/>
        <v>42</v>
      </c>
      <c r="J503">
        <f t="shared" si="200"/>
        <v>2</v>
      </c>
      <c r="K503" s="36">
        <f t="shared" ca="1" si="201"/>
        <v>253.57142857142858</v>
      </c>
      <c r="L503" s="10">
        <f ca="1">AH503*VLOOKUP(C503,技能辅助查询表,技能配置辅助表!$T$1,FALSE)</f>
        <v>0</v>
      </c>
      <c r="M503">
        <f t="shared" ca="1" si="202"/>
        <v>4640</v>
      </c>
      <c r="N503" s="33">
        <f ca="1">CHOOSE(1,W503*U503,X503*'[1]0、经济设定'!$C$18)</f>
        <v>314700</v>
      </c>
      <c r="O503">
        <f t="shared" si="203"/>
        <v>4</v>
      </c>
      <c r="P503">
        <f t="shared" si="204"/>
        <v>1</v>
      </c>
      <c r="Q503">
        <f t="shared" si="205"/>
        <v>1</v>
      </c>
      <c r="R503" s="2">
        <f t="shared" si="206"/>
        <v>12</v>
      </c>
      <c r="S503" s="2">
        <f t="shared" si="207"/>
        <v>50</v>
      </c>
      <c r="T503" s="2">
        <f t="shared" si="208"/>
        <v>178.57142857142858</v>
      </c>
      <c r="U503" s="2">
        <f ca="1">VLOOKUP(E503,金币生产率!$A$2:$B$120,2,0)</f>
        <v>3147</v>
      </c>
      <c r="V503" s="2">
        <f t="shared" si="209"/>
        <v>178.57142857142858</v>
      </c>
      <c r="W503" s="45">
        <f t="shared" ca="1" si="222"/>
        <v>100</v>
      </c>
      <c r="X503" s="48">
        <f t="shared" ca="1" si="223"/>
        <v>1449</v>
      </c>
      <c r="Y503">
        <f t="shared" si="210"/>
        <v>18</v>
      </c>
      <c r="Z503">
        <f t="shared" ca="1" si="217"/>
        <v>40</v>
      </c>
      <c r="AA503" t="str">
        <f t="shared" ca="1" si="218"/>
        <v>9124400.png</v>
      </c>
      <c r="AB503">
        <f t="shared" si="211"/>
        <v>20</v>
      </c>
      <c r="AC503">
        <f>VLOOKUP(C503,技能辅助查询表,技能配置辅助表!$W$1,FALSE)</f>
        <v>982</v>
      </c>
      <c r="AD503">
        <f t="shared" ca="1" si="219"/>
        <v>826.68866874256787</v>
      </c>
      <c r="AE503">
        <f>VLOOKUP(C503,技能辅助查询表,技能配置辅助表!$U$1,FALSE)</f>
        <v>4</v>
      </c>
      <c r="AF503">
        <f t="shared" ca="1" si="220"/>
        <v>9124442</v>
      </c>
      <c r="AG503">
        <f t="shared" ca="1" si="224"/>
        <v>68.897959183673464</v>
      </c>
      <c r="AH503">
        <f t="shared" ca="1" si="221"/>
        <v>2691.5445028827789</v>
      </c>
      <c r="AI503">
        <f ca="1">VLOOKUP(E503,伤害参考系!$C$4:$E$104,3,FALSE)*$AN$12</f>
        <v>15495.605224916402</v>
      </c>
      <c r="AJ503">
        <f>VLOOKUP(C503,技能辅助查询表,技能配置辅助表!$L$1,FALSE)</f>
        <v>1</v>
      </c>
      <c r="AK503">
        <f>VLOOKUP(C503,技能辅助查询表,技能配置辅助表!$AE$1,FALSE)</f>
        <v>66000009</v>
      </c>
    </row>
    <row r="504" spans="1:37" x14ac:dyDescent="0.15">
      <c r="A504" s="1">
        <f t="shared" ca="1" si="212"/>
        <v>9124443</v>
      </c>
      <c r="B504" s="1" t="str">
        <f t="shared" ca="1" si="197"/>
        <v>裂空·斩第4段</v>
      </c>
      <c r="C504" t="s">
        <v>91</v>
      </c>
      <c r="D504">
        <f t="shared" si="198"/>
        <v>1</v>
      </c>
      <c r="E504" s="42">
        <f t="shared" ca="1" si="213"/>
        <v>70</v>
      </c>
      <c r="F504" t="str">
        <f t="shared" ca="1" si="214"/>
        <v>第43级，共造成255.4%点伤害</v>
      </c>
      <c r="G504">
        <f t="shared" ca="1" si="215"/>
        <v>4</v>
      </c>
      <c r="H504">
        <f t="shared" si="199"/>
        <v>4</v>
      </c>
      <c r="I504" s="44">
        <f t="shared" ca="1" si="216"/>
        <v>43</v>
      </c>
      <c r="J504">
        <f t="shared" si="200"/>
        <v>2</v>
      </c>
      <c r="K504" s="36">
        <f t="shared" ca="1" si="201"/>
        <v>255.35714285714289</v>
      </c>
      <c r="L504" s="10">
        <f ca="1">AH504*VLOOKUP(C504,技能辅助查询表,技能配置辅助表!$T$1,FALSE)</f>
        <v>0</v>
      </c>
      <c r="M504">
        <f t="shared" ca="1" si="202"/>
        <v>4560</v>
      </c>
      <c r="N504" s="33">
        <f ca="1">CHOOSE(1,W504*U504,X504*'[1]0、经济设定'!$C$18)</f>
        <v>346894</v>
      </c>
      <c r="O504">
        <f t="shared" si="203"/>
        <v>4</v>
      </c>
      <c r="P504">
        <f t="shared" si="204"/>
        <v>1</v>
      </c>
      <c r="Q504">
        <f t="shared" si="205"/>
        <v>1</v>
      </c>
      <c r="R504" s="2">
        <f t="shared" si="206"/>
        <v>12</v>
      </c>
      <c r="S504" s="2">
        <f t="shared" si="207"/>
        <v>50</v>
      </c>
      <c r="T504" s="2">
        <f t="shared" si="208"/>
        <v>178.57142857142858</v>
      </c>
      <c r="U504" s="2">
        <f ca="1">VLOOKUP(E504,金币生产率!$A$2:$B$120,2,0)</f>
        <v>3242</v>
      </c>
      <c r="V504" s="2">
        <f t="shared" si="209"/>
        <v>178.57142857142858</v>
      </c>
      <c r="W504" s="45">
        <f t="shared" ca="1" si="222"/>
        <v>107</v>
      </c>
      <c r="X504" s="48">
        <f t="shared" ca="1" si="223"/>
        <v>1556</v>
      </c>
      <c r="Y504">
        <f t="shared" si="210"/>
        <v>18</v>
      </c>
      <c r="Z504">
        <f t="shared" ca="1" si="217"/>
        <v>43</v>
      </c>
      <c r="AA504" t="str">
        <f t="shared" ca="1" si="218"/>
        <v>9124400.png</v>
      </c>
      <c r="AB504">
        <f t="shared" si="211"/>
        <v>20</v>
      </c>
      <c r="AC504">
        <f>VLOOKUP(C504,技能辅助查询表,技能配置辅助表!$W$1,FALSE)</f>
        <v>982</v>
      </c>
      <c r="AD504">
        <f t="shared" ca="1" si="219"/>
        <v>952.11801072287199</v>
      </c>
      <c r="AE504">
        <f>VLOOKUP(C504,技能辅助查询表,技能配置辅助表!$U$1,FALSE)</f>
        <v>4</v>
      </c>
      <c r="AF504">
        <f t="shared" ca="1" si="220"/>
        <v>9124443</v>
      </c>
      <c r="AG504">
        <f t="shared" ca="1" si="224"/>
        <v>70.285714285714278</v>
      </c>
      <c r="AH504">
        <f t="shared" ca="1" si="221"/>
        <v>3064.2878506023458</v>
      </c>
      <c r="AI504">
        <f ca="1">VLOOKUP(E504,伤害参考系!$C$4:$E$104,3,FALSE)*$AN$12</f>
        <v>16191.966408862889</v>
      </c>
      <c r="AJ504">
        <f>VLOOKUP(C504,技能辅助查询表,技能配置辅助表!$L$1,FALSE)</f>
        <v>1</v>
      </c>
      <c r="AK504">
        <f>VLOOKUP(C504,技能辅助查询表,技能配置辅助表!$AE$1,FALSE)</f>
        <v>66000009</v>
      </c>
    </row>
    <row r="505" spans="1:37" x14ac:dyDescent="0.15">
      <c r="A505" s="1">
        <f t="shared" ca="1" si="212"/>
        <v>9124444</v>
      </c>
      <c r="B505" s="1" t="str">
        <f t="shared" ca="1" si="197"/>
        <v>裂空·斩第4段</v>
      </c>
      <c r="C505" t="s">
        <v>91</v>
      </c>
      <c r="D505">
        <f t="shared" si="198"/>
        <v>1</v>
      </c>
      <c r="E505" s="42">
        <f t="shared" ca="1" si="213"/>
        <v>72</v>
      </c>
      <c r="F505" t="str">
        <f t="shared" ca="1" si="214"/>
        <v>第44级，共造成257.1%点伤害</v>
      </c>
      <c r="G505">
        <f t="shared" ca="1" si="215"/>
        <v>4</v>
      </c>
      <c r="H505">
        <f t="shared" si="199"/>
        <v>4</v>
      </c>
      <c r="I505" s="44">
        <f t="shared" ca="1" si="216"/>
        <v>44</v>
      </c>
      <c r="J505">
        <f t="shared" si="200"/>
        <v>2</v>
      </c>
      <c r="K505" s="36">
        <f t="shared" ca="1" si="201"/>
        <v>257.14285714285717</v>
      </c>
      <c r="L505" s="10">
        <f ca="1">AH505*VLOOKUP(C505,技能辅助查询表,技能配置辅助表!$T$1,FALSE)</f>
        <v>0</v>
      </c>
      <c r="M505">
        <f t="shared" ca="1" si="202"/>
        <v>4480</v>
      </c>
      <c r="N505" s="33">
        <f ca="1">CHOOSE(1,W505*U505,X505*'[1]0、经济设定'!$C$18)</f>
        <v>395025</v>
      </c>
      <c r="O505">
        <f t="shared" si="203"/>
        <v>4</v>
      </c>
      <c r="P505">
        <f t="shared" si="204"/>
        <v>1</v>
      </c>
      <c r="Q505">
        <f t="shared" si="205"/>
        <v>1</v>
      </c>
      <c r="R505" s="2">
        <f t="shared" si="206"/>
        <v>12</v>
      </c>
      <c r="S505" s="2">
        <f t="shared" si="207"/>
        <v>50</v>
      </c>
      <c r="T505" s="2">
        <f t="shared" si="208"/>
        <v>178.57142857142858</v>
      </c>
      <c r="U505" s="2">
        <f ca="1">VLOOKUP(E505,金币生产率!$A$2:$B$120,2,0)</f>
        <v>3435</v>
      </c>
      <c r="V505" s="2">
        <f t="shared" si="209"/>
        <v>178.57142857142858</v>
      </c>
      <c r="W505" s="45">
        <f t="shared" ca="1" si="222"/>
        <v>115</v>
      </c>
      <c r="X505" s="48">
        <f t="shared" ca="1" si="223"/>
        <v>1671</v>
      </c>
      <c r="Y505">
        <f t="shared" si="210"/>
        <v>18</v>
      </c>
      <c r="Z505">
        <f t="shared" ca="1" si="217"/>
        <v>46</v>
      </c>
      <c r="AA505" t="str">
        <f t="shared" ca="1" si="218"/>
        <v>9124400.png</v>
      </c>
      <c r="AB505">
        <f t="shared" si="211"/>
        <v>20</v>
      </c>
      <c r="AC505">
        <f>VLOOKUP(C505,技能辅助查询表,技能配置辅助表!$W$1,FALSE)</f>
        <v>982</v>
      </c>
      <c r="AD505">
        <f t="shared" ca="1" si="219"/>
        <v>1096.4332426362143</v>
      </c>
      <c r="AE505">
        <f>VLOOKUP(C505,技能辅助查询表,技能配置辅助表!$U$1,FALSE)</f>
        <v>4</v>
      </c>
      <c r="AF505">
        <f t="shared" ca="1" si="220"/>
        <v>9124444</v>
      </c>
      <c r="AG505">
        <f t="shared" ca="1" si="224"/>
        <v>71.673469387755105</v>
      </c>
      <c r="AH505">
        <f t="shared" ca="1" si="221"/>
        <v>3488.6512265697725</v>
      </c>
      <c r="AI505">
        <f ca="1">VLOOKUP(E505,伤害参考系!$C$4:$E$104,3,FALSE)*$AN$12</f>
        <v>17628.422312709041</v>
      </c>
      <c r="AJ505">
        <f>VLOOKUP(C505,技能辅助查询表,技能配置辅助表!$L$1,FALSE)</f>
        <v>1</v>
      </c>
      <c r="AK505">
        <f>VLOOKUP(C505,技能辅助查询表,技能配置辅助表!$AE$1,FALSE)</f>
        <v>66000009</v>
      </c>
    </row>
    <row r="506" spans="1:37" x14ac:dyDescent="0.15">
      <c r="A506" s="1">
        <f t="shared" ca="1" si="212"/>
        <v>9124445</v>
      </c>
      <c r="B506" s="1" t="str">
        <f t="shared" ca="1" si="197"/>
        <v>裂空·斩第4段</v>
      </c>
      <c r="C506" t="s">
        <v>91</v>
      </c>
      <c r="D506">
        <f t="shared" si="198"/>
        <v>1</v>
      </c>
      <c r="E506" s="42">
        <f t="shared" ca="1" si="213"/>
        <v>73</v>
      </c>
      <c r="F506" t="str">
        <f t="shared" ca="1" si="214"/>
        <v>第45级，共造成258.9%点伤害</v>
      </c>
      <c r="G506">
        <f t="shared" ca="1" si="215"/>
        <v>4</v>
      </c>
      <c r="H506">
        <f t="shared" si="199"/>
        <v>4</v>
      </c>
      <c r="I506" s="44">
        <f t="shared" ca="1" si="216"/>
        <v>45</v>
      </c>
      <c r="J506">
        <f t="shared" si="200"/>
        <v>2</v>
      </c>
      <c r="K506" s="36">
        <f t="shared" ca="1" si="201"/>
        <v>258.92857142857144</v>
      </c>
      <c r="L506" s="10">
        <f ca="1">AH506*VLOOKUP(C506,技能辅助查询表,技能配置辅助表!$T$1,FALSE)</f>
        <v>0</v>
      </c>
      <c r="M506">
        <f t="shared" ca="1" si="202"/>
        <v>4400</v>
      </c>
      <c r="N506" s="33">
        <f ca="1">CHOOSE(1,W506*U506,X506*'[1]0、经济设定'!$C$18)</f>
        <v>434682</v>
      </c>
      <c r="O506">
        <f t="shared" si="203"/>
        <v>4</v>
      </c>
      <c r="P506">
        <f t="shared" si="204"/>
        <v>1</v>
      </c>
      <c r="Q506">
        <f t="shared" si="205"/>
        <v>1</v>
      </c>
      <c r="R506" s="2">
        <f t="shared" si="206"/>
        <v>12</v>
      </c>
      <c r="S506" s="2">
        <f t="shared" si="207"/>
        <v>50</v>
      </c>
      <c r="T506" s="2">
        <f t="shared" si="208"/>
        <v>178.57142857142858</v>
      </c>
      <c r="U506" s="2">
        <f ca="1">VLOOKUP(E506,金币生产率!$A$2:$B$120,2,0)</f>
        <v>3534</v>
      </c>
      <c r="V506" s="2">
        <f t="shared" si="209"/>
        <v>178.57142857142858</v>
      </c>
      <c r="W506" s="45">
        <f t="shared" ca="1" si="222"/>
        <v>123</v>
      </c>
      <c r="X506" s="48">
        <f t="shared" ca="1" si="223"/>
        <v>1794</v>
      </c>
      <c r="Y506">
        <f t="shared" si="210"/>
        <v>18</v>
      </c>
      <c r="Z506">
        <f t="shared" ca="1" si="217"/>
        <v>50</v>
      </c>
      <c r="AA506" t="str">
        <f t="shared" ca="1" si="218"/>
        <v>9124400.png</v>
      </c>
      <c r="AB506">
        <f t="shared" si="211"/>
        <v>20</v>
      </c>
      <c r="AC506">
        <f>VLOOKUP(C506,技能辅助查询表,技能配置辅助表!$W$1,FALSE)</f>
        <v>982</v>
      </c>
      <c r="AD506">
        <f t="shared" ca="1" si="219"/>
        <v>1262.4596989670638</v>
      </c>
      <c r="AE506">
        <f>VLOOKUP(C506,技能辅助查询表,技能配置辅助表!$U$1,FALSE)</f>
        <v>4</v>
      </c>
      <c r="AF506">
        <f t="shared" ca="1" si="220"/>
        <v>9124445</v>
      </c>
      <c r="AG506">
        <f t="shared" ca="1" si="224"/>
        <v>73.061224489795919</v>
      </c>
      <c r="AH506">
        <f t="shared" ca="1" si="221"/>
        <v>3971.7833225930094</v>
      </c>
      <c r="AI506">
        <f ca="1">VLOOKUP(E506,伤害参考系!$C$4:$E$104,3,FALSE)*$AN$12</f>
        <v>18368.517032608706</v>
      </c>
      <c r="AJ506">
        <f>VLOOKUP(C506,技能辅助查询表,技能配置辅助表!$L$1,FALSE)</f>
        <v>1</v>
      </c>
      <c r="AK506">
        <f>VLOOKUP(C506,技能辅助查询表,技能配置辅助表!$AE$1,FALSE)</f>
        <v>66000009</v>
      </c>
    </row>
    <row r="507" spans="1:37" x14ac:dyDescent="0.15">
      <c r="A507" s="1">
        <f t="shared" ca="1" si="212"/>
        <v>9124446</v>
      </c>
      <c r="B507" s="1" t="str">
        <f t="shared" ca="1" si="197"/>
        <v>裂空·斩第4段</v>
      </c>
      <c r="C507" t="s">
        <v>91</v>
      </c>
      <c r="D507">
        <f t="shared" si="198"/>
        <v>1</v>
      </c>
      <c r="E507" s="42">
        <f t="shared" ca="1" si="213"/>
        <v>75</v>
      </c>
      <c r="F507" t="str">
        <f t="shared" ca="1" si="214"/>
        <v>第46级，共造成260.7%点伤害</v>
      </c>
      <c r="G507">
        <f t="shared" ca="1" si="215"/>
        <v>4</v>
      </c>
      <c r="H507">
        <f t="shared" si="199"/>
        <v>4</v>
      </c>
      <c r="I507" s="44">
        <f t="shared" ca="1" si="216"/>
        <v>46</v>
      </c>
      <c r="J507">
        <f t="shared" si="200"/>
        <v>2</v>
      </c>
      <c r="K507" s="36">
        <f t="shared" ca="1" si="201"/>
        <v>260.71428571428572</v>
      </c>
      <c r="L507" s="10">
        <f ca="1">AH507*VLOOKUP(C507,技能辅助查询表,技能配置辅助表!$T$1,FALSE)</f>
        <v>0</v>
      </c>
      <c r="M507">
        <f t="shared" ca="1" si="202"/>
        <v>4320</v>
      </c>
      <c r="N507" s="33">
        <f ca="1">CHOOSE(1,W507*U507,X507*'[1]0、经济设定'!$C$18)</f>
        <v>493020</v>
      </c>
      <c r="O507">
        <f t="shared" si="203"/>
        <v>4</v>
      </c>
      <c r="P507">
        <f t="shared" si="204"/>
        <v>1</v>
      </c>
      <c r="Q507">
        <f t="shared" si="205"/>
        <v>1</v>
      </c>
      <c r="R507" s="2">
        <f t="shared" si="206"/>
        <v>12</v>
      </c>
      <c r="S507" s="2">
        <f t="shared" si="207"/>
        <v>50</v>
      </c>
      <c r="T507" s="2">
        <f t="shared" si="208"/>
        <v>178.57142857142858</v>
      </c>
      <c r="U507" s="2">
        <f ca="1">VLOOKUP(E507,金币生产率!$A$2:$B$120,2,0)</f>
        <v>3735</v>
      </c>
      <c r="V507" s="2">
        <f t="shared" si="209"/>
        <v>178.57142857142858</v>
      </c>
      <c r="W507" s="45">
        <f t="shared" ca="1" si="222"/>
        <v>132</v>
      </c>
      <c r="X507" s="48">
        <f t="shared" ca="1" si="223"/>
        <v>1926</v>
      </c>
      <c r="Y507">
        <f t="shared" si="210"/>
        <v>18</v>
      </c>
      <c r="Z507">
        <f t="shared" ca="1" si="217"/>
        <v>53</v>
      </c>
      <c r="AA507" t="str">
        <f t="shared" ca="1" si="218"/>
        <v>9124400.png</v>
      </c>
      <c r="AB507">
        <f t="shared" si="211"/>
        <v>20</v>
      </c>
      <c r="AC507">
        <f>VLOOKUP(C507,技能辅助查询表,技能配置辅助表!$W$1,FALSE)</f>
        <v>982</v>
      </c>
      <c r="AD507">
        <f t="shared" ca="1" si="219"/>
        <v>1453.443052446311</v>
      </c>
      <c r="AE507">
        <f>VLOOKUP(C507,技能辅助查询表,技能配置辅助表!$U$1,FALSE)</f>
        <v>4</v>
      </c>
      <c r="AF507">
        <f t="shared" ca="1" si="220"/>
        <v>9124446</v>
      </c>
      <c r="AG507">
        <f t="shared" ca="1" si="224"/>
        <v>74.448979591836732</v>
      </c>
      <c r="AH507">
        <f t="shared" ca="1" si="221"/>
        <v>4521.8228298329677</v>
      </c>
      <c r="AI507">
        <f ca="1">VLOOKUP(E507,伤害参考系!$C$4:$E$104,3,FALSE)*$AN$12</f>
        <v>19892.440008361213</v>
      </c>
      <c r="AJ507">
        <f>VLOOKUP(C507,技能辅助查询表,技能配置辅助表!$L$1,FALSE)</f>
        <v>1</v>
      </c>
      <c r="AK507">
        <f>VLOOKUP(C507,技能辅助查询表,技能配置辅助表!$AE$1,FALSE)</f>
        <v>66000009</v>
      </c>
    </row>
    <row r="508" spans="1:37" x14ac:dyDescent="0.15">
      <c r="A508" s="1">
        <f t="shared" ca="1" si="212"/>
        <v>9124447</v>
      </c>
      <c r="B508" s="1" t="str">
        <f t="shared" ca="1" si="197"/>
        <v>裂空·斩第4段</v>
      </c>
      <c r="C508" t="s">
        <v>91</v>
      </c>
      <c r="D508">
        <f t="shared" si="198"/>
        <v>1</v>
      </c>
      <c r="E508" s="42">
        <f t="shared" ca="1" si="213"/>
        <v>76</v>
      </c>
      <c r="F508" t="str">
        <f t="shared" ca="1" si="214"/>
        <v>第47级，共造成262.5%点伤害</v>
      </c>
      <c r="G508">
        <f t="shared" ca="1" si="215"/>
        <v>4</v>
      </c>
      <c r="H508">
        <f t="shared" si="199"/>
        <v>4</v>
      </c>
      <c r="I508" s="44">
        <f t="shared" ca="1" si="216"/>
        <v>47</v>
      </c>
      <c r="J508">
        <f t="shared" si="200"/>
        <v>2</v>
      </c>
      <c r="K508" s="36">
        <f t="shared" ca="1" si="201"/>
        <v>262.5</v>
      </c>
      <c r="L508" s="10">
        <f ca="1">AH508*VLOOKUP(C508,技能辅助查询表,技能配置辅助表!$T$1,FALSE)</f>
        <v>0</v>
      </c>
      <c r="M508">
        <f t="shared" ca="1" si="202"/>
        <v>4240</v>
      </c>
      <c r="N508" s="33">
        <f ca="1">CHOOSE(1,W508*U508,X508*'[1]0、经济设定'!$C$18)</f>
        <v>541158</v>
      </c>
      <c r="O508">
        <f t="shared" si="203"/>
        <v>4</v>
      </c>
      <c r="P508">
        <f t="shared" si="204"/>
        <v>1</v>
      </c>
      <c r="Q508">
        <f t="shared" si="205"/>
        <v>1</v>
      </c>
      <c r="R508" s="2">
        <f t="shared" si="206"/>
        <v>12</v>
      </c>
      <c r="S508" s="2">
        <f t="shared" si="207"/>
        <v>50</v>
      </c>
      <c r="T508" s="2">
        <f t="shared" si="208"/>
        <v>178.57142857142858</v>
      </c>
      <c r="U508" s="2">
        <f ca="1">VLOOKUP(E508,金币生产率!$A$2:$B$120,2,0)</f>
        <v>3838</v>
      </c>
      <c r="V508" s="2">
        <f t="shared" si="209"/>
        <v>178.57142857142858</v>
      </c>
      <c r="W508" s="45">
        <f t="shared" ca="1" si="222"/>
        <v>141</v>
      </c>
      <c r="X508" s="48">
        <f t="shared" ca="1" si="223"/>
        <v>2067</v>
      </c>
      <c r="Y508">
        <f t="shared" si="210"/>
        <v>18</v>
      </c>
      <c r="Z508">
        <f t="shared" ca="1" si="217"/>
        <v>57</v>
      </c>
      <c r="AA508" t="str">
        <f t="shared" ca="1" si="218"/>
        <v>9124400.png</v>
      </c>
      <c r="AB508">
        <f t="shared" si="211"/>
        <v>20</v>
      </c>
      <c r="AC508">
        <f>VLOOKUP(C508,技能辅助查询表,技能配置辅助表!$W$1,FALSE)</f>
        <v>982</v>
      </c>
      <c r="AD508">
        <f t="shared" ca="1" si="219"/>
        <v>1673.111550705428</v>
      </c>
      <c r="AE508">
        <f>VLOOKUP(C508,技能辅助查询表,技能配置辅助表!$U$1,FALSE)</f>
        <v>4</v>
      </c>
      <c r="AF508">
        <f t="shared" ca="1" si="220"/>
        <v>9124447</v>
      </c>
      <c r="AG508">
        <f t="shared" ca="1" si="224"/>
        <v>75.83673469387756</v>
      </c>
      <c r="AH508">
        <f t="shared" ca="1" si="221"/>
        <v>5148.0355406320868</v>
      </c>
      <c r="AI508">
        <f ca="1">VLOOKUP(E508,伤害参考系!$C$4:$E$104,3,FALSE)*$AN$12</f>
        <v>20676.268264214057</v>
      </c>
      <c r="AJ508">
        <f>VLOOKUP(C508,技能辅助查询表,技能配置辅助表!$L$1,FALSE)</f>
        <v>1</v>
      </c>
      <c r="AK508">
        <f>VLOOKUP(C508,技能辅助查询表,技能配置辅助表!$AE$1,FALSE)</f>
        <v>66000009</v>
      </c>
    </row>
    <row r="509" spans="1:37" x14ac:dyDescent="0.15">
      <c r="A509" s="1">
        <f t="shared" ca="1" si="212"/>
        <v>9124448</v>
      </c>
      <c r="B509" s="1" t="str">
        <f t="shared" ca="1" si="197"/>
        <v>裂空·斩第4段</v>
      </c>
      <c r="C509" t="s">
        <v>91</v>
      </c>
      <c r="D509">
        <f t="shared" si="198"/>
        <v>1</v>
      </c>
      <c r="E509" s="42">
        <f t="shared" ca="1" si="213"/>
        <v>77</v>
      </c>
      <c r="F509" t="str">
        <f t="shared" ca="1" si="214"/>
        <v>第48级，共造成264.3%点伤害</v>
      </c>
      <c r="G509">
        <f t="shared" ca="1" si="215"/>
        <v>4</v>
      </c>
      <c r="H509">
        <f t="shared" si="199"/>
        <v>4</v>
      </c>
      <c r="I509" s="44">
        <f t="shared" ca="1" si="216"/>
        <v>48</v>
      </c>
      <c r="J509">
        <f t="shared" si="200"/>
        <v>2</v>
      </c>
      <c r="K509" s="36">
        <f t="shared" ca="1" si="201"/>
        <v>264.28571428571433</v>
      </c>
      <c r="L509" s="10">
        <f ca="1">AH509*VLOOKUP(C509,技能辅助查询表,技能配置辅助表!$T$1,FALSE)</f>
        <v>0</v>
      </c>
      <c r="M509">
        <f t="shared" ca="1" si="202"/>
        <v>4160</v>
      </c>
      <c r="N509" s="33">
        <f ca="1">CHOOSE(1,W509*U509,X509*'[1]0、经济设定'!$C$18)</f>
        <v>595242</v>
      </c>
      <c r="O509">
        <f t="shared" si="203"/>
        <v>4</v>
      </c>
      <c r="P509">
        <f t="shared" si="204"/>
        <v>1</v>
      </c>
      <c r="Q509">
        <f t="shared" si="205"/>
        <v>1</v>
      </c>
      <c r="R509" s="2">
        <f t="shared" si="206"/>
        <v>12</v>
      </c>
      <c r="S509" s="2">
        <f t="shared" si="207"/>
        <v>50</v>
      </c>
      <c r="T509" s="2">
        <f t="shared" si="208"/>
        <v>178.57142857142858</v>
      </c>
      <c r="U509" s="2">
        <f ca="1">VLOOKUP(E509,金币生产率!$A$2:$B$120,2,0)</f>
        <v>3942</v>
      </c>
      <c r="V509" s="2">
        <f t="shared" si="209"/>
        <v>178.57142857142858</v>
      </c>
      <c r="W509" s="45">
        <f t="shared" ca="1" si="222"/>
        <v>151</v>
      </c>
      <c r="X509" s="48">
        <f t="shared" ca="1" si="223"/>
        <v>2218</v>
      </c>
      <c r="Y509">
        <f t="shared" si="210"/>
        <v>18</v>
      </c>
      <c r="Z509">
        <f t="shared" ca="1" si="217"/>
        <v>61</v>
      </c>
      <c r="AA509" t="str">
        <f t="shared" ca="1" si="218"/>
        <v>9124400.png</v>
      </c>
      <c r="AB509">
        <f t="shared" si="211"/>
        <v>20</v>
      </c>
      <c r="AC509">
        <f>VLOOKUP(C509,技能辅助查询表,技能配置辅助表!$W$1,FALSE)</f>
        <v>982</v>
      </c>
      <c r="AD509">
        <f t="shared" ca="1" si="219"/>
        <v>1925.7474293442087</v>
      </c>
      <c r="AE509">
        <f>VLOOKUP(C509,技能辅助查询表,技能配置辅助表!$U$1,FALSE)</f>
        <v>4</v>
      </c>
      <c r="AF509">
        <f t="shared" ca="1" si="220"/>
        <v>9124448</v>
      </c>
      <c r="AG509">
        <f t="shared" ca="1" si="224"/>
        <v>77.224489795918373</v>
      </c>
      <c r="AH509">
        <f t="shared" ca="1" si="221"/>
        <v>5860.970437134547</v>
      </c>
      <c r="AI509">
        <f ca="1">VLOOKUP(E509,伤害参考系!$C$4:$E$104,3,FALSE)*$AN$12</f>
        <v>21474.674365384624</v>
      </c>
      <c r="AJ509">
        <f>VLOOKUP(C509,技能辅助查询表,技能配置辅助表!$L$1,FALSE)</f>
        <v>1</v>
      </c>
      <c r="AK509">
        <f>VLOOKUP(C509,技能辅助查询表,技能配置辅助表!$AE$1,FALSE)</f>
        <v>66000009</v>
      </c>
    </row>
    <row r="510" spans="1:37" x14ac:dyDescent="0.15">
      <c r="A510" s="1">
        <f t="shared" ca="1" si="212"/>
        <v>9124449</v>
      </c>
      <c r="B510" s="1" t="str">
        <f t="shared" ca="1" si="197"/>
        <v>裂空·斩第4段</v>
      </c>
      <c r="C510" t="s">
        <v>91</v>
      </c>
      <c r="D510">
        <f t="shared" si="198"/>
        <v>1</v>
      </c>
      <c r="E510" s="42">
        <f t="shared" ca="1" si="213"/>
        <v>79</v>
      </c>
      <c r="F510" t="str">
        <f t="shared" ca="1" si="214"/>
        <v>第49级，共造成266.1%点伤害</v>
      </c>
      <c r="G510">
        <f t="shared" ca="1" si="215"/>
        <v>4</v>
      </c>
      <c r="H510">
        <f t="shared" si="199"/>
        <v>4</v>
      </c>
      <c r="I510" s="44">
        <f t="shared" ca="1" si="216"/>
        <v>49</v>
      </c>
      <c r="J510">
        <f t="shared" si="200"/>
        <v>2</v>
      </c>
      <c r="K510" s="36">
        <f t="shared" ca="1" si="201"/>
        <v>266.07142857142856</v>
      </c>
      <c r="L510" s="10">
        <f ca="1">AH510*VLOOKUP(C510,技能辅助查询表,技能配置辅助表!$T$1,FALSE)</f>
        <v>0</v>
      </c>
      <c r="M510">
        <f t="shared" ca="1" si="202"/>
        <v>4080</v>
      </c>
      <c r="N510" s="33">
        <f ca="1">CHOOSE(1,W510*U510,X510*'[1]0、经济设定'!$C$18)</f>
        <v>668794</v>
      </c>
      <c r="O510">
        <f t="shared" si="203"/>
        <v>4</v>
      </c>
      <c r="P510">
        <f t="shared" si="204"/>
        <v>1</v>
      </c>
      <c r="Q510">
        <f t="shared" si="205"/>
        <v>1</v>
      </c>
      <c r="R510" s="2">
        <f t="shared" si="206"/>
        <v>12</v>
      </c>
      <c r="S510" s="2">
        <f t="shared" si="207"/>
        <v>50</v>
      </c>
      <c r="T510" s="2">
        <f t="shared" si="208"/>
        <v>178.57142857142858</v>
      </c>
      <c r="U510" s="2">
        <f ca="1">VLOOKUP(E510,金币生产率!$A$2:$B$120,2,0)</f>
        <v>4154</v>
      </c>
      <c r="V510" s="2">
        <f t="shared" si="209"/>
        <v>178.57142857142858</v>
      </c>
      <c r="W510" s="45">
        <f t="shared" ca="1" si="222"/>
        <v>161</v>
      </c>
      <c r="X510" s="48">
        <f t="shared" ca="1" si="223"/>
        <v>2379</v>
      </c>
      <c r="Y510">
        <f t="shared" si="210"/>
        <v>18</v>
      </c>
      <c r="Z510">
        <f t="shared" ca="1" si="217"/>
        <v>65</v>
      </c>
      <c r="AA510" t="str">
        <f t="shared" ca="1" si="218"/>
        <v>9124400.png</v>
      </c>
      <c r="AB510">
        <f t="shared" si="211"/>
        <v>20</v>
      </c>
      <c r="AC510">
        <f>VLOOKUP(C510,技能辅助查询表,技能配置辅助表!$W$1,FALSE)</f>
        <v>982</v>
      </c>
      <c r="AD510">
        <f t="shared" ca="1" si="219"/>
        <v>2216.2688494248387</v>
      </c>
      <c r="AE510">
        <f>VLOOKUP(C510,技能辅助查询表,技能配置辅助表!$U$1,FALSE)</f>
        <v>4</v>
      </c>
      <c r="AF510">
        <f t="shared" ca="1" si="220"/>
        <v>9124449</v>
      </c>
      <c r="AG510">
        <f t="shared" ca="1" si="224"/>
        <v>78.612244897959187</v>
      </c>
      <c r="AH510">
        <f t="shared" ca="1" si="221"/>
        <v>6672.6373961177951</v>
      </c>
      <c r="AI510">
        <f ca="1">VLOOKUP(E510,伤害参考系!$C$4:$E$104,3,FALSE)*$AN$12</f>
        <v>23115.220103678937</v>
      </c>
      <c r="AJ510">
        <f>VLOOKUP(C510,技能辅助查询表,技能配置辅助表!$L$1,FALSE)</f>
        <v>1</v>
      </c>
      <c r="AK510">
        <f>VLOOKUP(C510,技能辅助查询表,技能配置辅助表!$AE$1,FALSE)</f>
        <v>66000009</v>
      </c>
    </row>
    <row r="511" spans="1:37" x14ac:dyDescent="0.15">
      <c r="A511" s="1">
        <f t="shared" ca="1" si="212"/>
        <v>9124450</v>
      </c>
      <c r="B511" s="1" t="str">
        <f t="shared" ca="1" si="197"/>
        <v>裂空·斩第4段</v>
      </c>
      <c r="C511" t="s">
        <v>91</v>
      </c>
      <c r="D511">
        <f t="shared" si="198"/>
        <v>1</v>
      </c>
      <c r="E511" s="42">
        <f t="shared" ca="1" si="213"/>
        <v>80</v>
      </c>
      <c r="F511" t="str">
        <f t="shared" ca="1" si="214"/>
        <v>第50级，共造成267.9%点伤害</v>
      </c>
      <c r="G511">
        <f t="shared" ca="1" si="215"/>
        <v>4</v>
      </c>
      <c r="H511">
        <f t="shared" si="199"/>
        <v>4</v>
      </c>
      <c r="I511" s="44">
        <f t="shared" ca="1" si="216"/>
        <v>50</v>
      </c>
      <c r="J511">
        <f t="shared" si="200"/>
        <v>2</v>
      </c>
      <c r="K511" s="36">
        <f t="shared" ca="1" si="201"/>
        <v>267.85714285714289</v>
      </c>
      <c r="L511" s="10">
        <f ca="1">AH511*VLOOKUP(C511,技能辅助查询表,技能配置辅助表!$T$1,FALSE)</f>
        <v>0</v>
      </c>
      <c r="M511">
        <f t="shared" ca="1" si="202"/>
        <v>4000</v>
      </c>
      <c r="N511" s="33">
        <f ca="1">CHOOSE(1,W511*U511,X511*'[1]0、经济设定'!$C$18)</f>
        <v>737326</v>
      </c>
      <c r="O511">
        <f t="shared" si="203"/>
        <v>4</v>
      </c>
      <c r="P511">
        <f t="shared" si="204"/>
        <v>1</v>
      </c>
      <c r="Q511">
        <f t="shared" si="205"/>
        <v>1</v>
      </c>
      <c r="R511" s="2">
        <f t="shared" si="206"/>
        <v>12</v>
      </c>
      <c r="S511" s="2">
        <f t="shared" si="207"/>
        <v>50</v>
      </c>
      <c r="T511" s="2">
        <f t="shared" si="208"/>
        <v>178.57142857142858</v>
      </c>
      <c r="U511" s="2">
        <f ca="1">VLOOKUP(E511,金币生产率!$A$2:$B$120,2,0)</f>
        <v>4262</v>
      </c>
      <c r="V511" s="2">
        <f t="shared" si="209"/>
        <v>178.57142857142858</v>
      </c>
      <c r="W511" s="45">
        <f t="shared" ca="1" si="222"/>
        <v>173</v>
      </c>
      <c r="X511" s="48">
        <f t="shared" ca="1" si="223"/>
        <v>2552</v>
      </c>
      <c r="Y511">
        <f t="shared" si="210"/>
        <v>18</v>
      </c>
      <c r="Z511">
        <f t="shared" ca="1" si="217"/>
        <v>70</v>
      </c>
      <c r="AA511" t="str">
        <f t="shared" ca="1" si="218"/>
        <v>9124400.png</v>
      </c>
      <c r="AB511">
        <f t="shared" si="211"/>
        <v>20</v>
      </c>
      <c r="AC511">
        <f>VLOOKUP(C511,技能辅助查询表,技能配置辅助表!$W$1,FALSE)</f>
        <v>982</v>
      </c>
      <c r="AD511">
        <f t="shared" ca="1" si="219"/>
        <v>2550.3239047783368</v>
      </c>
      <c r="AE511">
        <f>VLOOKUP(C511,技能辅助查询表,技能配置辅助表!$U$1,FALSE)</f>
        <v>4</v>
      </c>
      <c r="AF511">
        <f t="shared" ca="1" si="220"/>
        <v>9124450</v>
      </c>
      <c r="AG511">
        <f t="shared" ca="1" si="224"/>
        <v>80</v>
      </c>
      <c r="AH511">
        <f t="shared" ca="1" si="221"/>
        <v>7596.7095035950451</v>
      </c>
      <c r="AI511">
        <f ca="1">VLOOKUP(E511,伤害参考系!$C$4:$E$104,3,FALSE)*$AN$12</f>
        <v>24028.87424749164</v>
      </c>
      <c r="AJ511">
        <f>VLOOKUP(C511,技能辅助查询表,技能配置辅助表!$L$1,FALSE)</f>
        <v>1</v>
      </c>
      <c r="AK511">
        <f>VLOOKUP(C511,技能辅助查询表,技能配置辅助表!$AE$1,FALSE)</f>
        <v>66000009</v>
      </c>
    </row>
    <row r="512" spans="1:37" x14ac:dyDescent="0.15">
      <c r="A512" s="1">
        <f t="shared" ca="1" si="212"/>
        <v>9211000</v>
      </c>
      <c r="B512" s="1" t="str">
        <f t="shared" ca="1" si="197"/>
        <v>虎啸</v>
      </c>
      <c r="C512" t="s">
        <v>160</v>
      </c>
      <c r="D512">
        <f t="shared" si="198"/>
        <v>2</v>
      </c>
      <c r="E512" s="42">
        <f t="shared" ca="1" si="213"/>
        <v>2</v>
      </c>
      <c r="F512" t="str">
        <f t="shared" ca="1" si="214"/>
        <v>第0级，共造成215.2%点伤害</v>
      </c>
      <c r="G512">
        <f t="shared" ca="1" si="215"/>
        <v>0</v>
      </c>
      <c r="H512">
        <f t="shared" si="199"/>
        <v>1</v>
      </c>
      <c r="I512" s="44">
        <f t="shared" ca="1" si="216"/>
        <v>0</v>
      </c>
      <c r="J512">
        <f t="shared" si="200"/>
        <v>1</v>
      </c>
      <c r="K512" s="36">
        <f t="shared" ca="1" si="201"/>
        <v>107.60869565217392</v>
      </c>
      <c r="L512" s="10">
        <f ca="1">AH512*VLOOKUP(C512,技能辅助查询表,技能配置辅助表!$T$1,FALSE)</f>
        <v>0</v>
      </c>
      <c r="M512">
        <f t="shared" ca="1" si="202"/>
        <v>10000</v>
      </c>
      <c r="N512" s="33">
        <f ca="1">CHOOSE(1,W512*U512,X512*'[1]0、经济设定'!$C$18)</f>
        <v>0</v>
      </c>
      <c r="O512">
        <f t="shared" si="203"/>
        <v>1</v>
      </c>
      <c r="P512">
        <f t="shared" si="204"/>
        <v>2</v>
      </c>
      <c r="Q512">
        <f t="shared" si="205"/>
        <v>1</v>
      </c>
      <c r="R512" s="2">
        <f t="shared" si="206"/>
        <v>2</v>
      </c>
      <c r="S512" s="2">
        <f t="shared" si="207"/>
        <v>50</v>
      </c>
      <c r="T512" s="2">
        <f t="shared" si="208"/>
        <v>107.60869565217392</v>
      </c>
      <c r="U512" s="2">
        <f ca="1">VLOOKUP(E512,金币生产率!$A$2:$B$120,2,0)</f>
        <v>56</v>
      </c>
      <c r="V512" s="2">
        <f t="shared" si="209"/>
        <v>215.21739130434784</v>
      </c>
      <c r="W512" s="45">
        <f t="shared" ca="1" si="222"/>
        <v>0</v>
      </c>
      <c r="X512" s="48">
        <f t="shared" ca="1" si="223"/>
        <v>0</v>
      </c>
      <c r="Y512">
        <f t="shared" si="210"/>
        <v>18</v>
      </c>
      <c r="Z512">
        <f t="shared" ca="1" si="217"/>
        <v>0</v>
      </c>
      <c r="AA512" t="str">
        <f t="shared" ca="1" si="218"/>
        <v>9211100.png</v>
      </c>
      <c r="AB512">
        <f t="shared" si="211"/>
        <v>10</v>
      </c>
      <c r="AC512">
        <f>VLOOKUP(C512,技能辅助查询表,技能配置辅助表!$W$1,FALSE)</f>
        <v>20</v>
      </c>
      <c r="AD512">
        <f t="shared" ca="1" si="219"/>
        <v>2.6716147826086956</v>
      </c>
      <c r="AE512">
        <f>VLOOKUP(C512,技能辅助查询表,技能配置辅助表!$U$1,FALSE)</f>
        <v>1</v>
      </c>
      <c r="AF512">
        <f t="shared" ca="1" si="220"/>
        <v>9211100</v>
      </c>
      <c r="AG512">
        <f t="shared" ca="1" si="224"/>
        <v>0</v>
      </c>
      <c r="AH512">
        <f t="shared" ca="1" si="221"/>
        <v>11.5938</v>
      </c>
      <c r="AI512">
        <f ca="1">VLOOKUP(E512,伤害参考系!$C$4:$E$104,3,FALSE)*$AN$12</f>
        <v>43.199999999999996</v>
      </c>
      <c r="AJ512">
        <f>VLOOKUP(C512,技能辅助查询表,技能配置辅助表!$L$1,FALSE)</f>
        <v>2</v>
      </c>
      <c r="AK512">
        <f>VLOOKUP(C512,技能辅助查询表,技能配置辅助表!$AE$1,FALSE)</f>
        <v>66000264</v>
      </c>
    </row>
    <row r="513" spans="1:37" x14ac:dyDescent="0.15">
      <c r="A513" s="1">
        <f t="shared" ca="1" si="212"/>
        <v>9211101</v>
      </c>
      <c r="B513" s="1" t="str">
        <f t="shared" ca="1" si="197"/>
        <v>虎啸</v>
      </c>
      <c r="C513" t="s">
        <v>160</v>
      </c>
      <c r="D513">
        <f t="shared" si="198"/>
        <v>2</v>
      </c>
      <c r="E513" s="42">
        <f t="shared" ca="1" si="213"/>
        <v>2</v>
      </c>
      <c r="F513" t="str">
        <f t="shared" ca="1" si="214"/>
        <v>第1级，共造成215.2%点伤害</v>
      </c>
      <c r="G513">
        <f t="shared" ca="1" si="215"/>
        <v>1</v>
      </c>
      <c r="H513">
        <f t="shared" si="199"/>
        <v>1</v>
      </c>
      <c r="I513" s="44">
        <f t="shared" ca="1" si="216"/>
        <v>1</v>
      </c>
      <c r="J513">
        <f t="shared" si="200"/>
        <v>1</v>
      </c>
      <c r="K513" s="36">
        <f t="shared" ca="1" si="201"/>
        <v>107.60869565217392</v>
      </c>
      <c r="L513" s="10">
        <f ca="1">AH513*VLOOKUP(C513,技能辅助查询表,技能配置辅助表!$T$1,FALSE)</f>
        <v>0</v>
      </c>
      <c r="M513">
        <f t="shared" ca="1" si="202"/>
        <v>10000</v>
      </c>
      <c r="N513" s="33">
        <f ca="1">CHOOSE(1,W513*U513,X513*'[1]0、经济设定'!$C$18)</f>
        <v>448</v>
      </c>
      <c r="O513">
        <f t="shared" si="203"/>
        <v>1</v>
      </c>
      <c r="P513">
        <f t="shared" si="204"/>
        <v>2</v>
      </c>
      <c r="Q513">
        <f t="shared" si="205"/>
        <v>1</v>
      </c>
      <c r="R513" s="2">
        <f t="shared" si="206"/>
        <v>2</v>
      </c>
      <c r="S513" s="2">
        <f t="shared" si="207"/>
        <v>50</v>
      </c>
      <c r="T513" s="2">
        <f t="shared" si="208"/>
        <v>107.60869565217392</v>
      </c>
      <c r="U513" s="2">
        <f ca="1">VLOOKUP(E513,金币生产率!$A$2:$B$120,2,0)</f>
        <v>56</v>
      </c>
      <c r="V513" s="2">
        <f t="shared" si="209"/>
        <v>215.21739130434784</v>
      </c>
      <c r="W513" s="45">
        <f t="shared" ca="1" si="222"/>
        <v>8</v>
      </c>
      <c r="X513" s="48">
        <f t="shared" ca="1" si="223"/>
        <v>8</v>
      </c>
      <c r="Y513">
        <f t="shared" si="210"/>
        <v>18</v>
      </c>
      <c r="Z513">
        <f t="shared" ca="1" si="217"/>
        <v>0</v>
      </c>
      <c r="AA513" t="str">
        <f t="shared" ca="1" si="218"/>
        <v>9211100.png</v>
      </c>
      <c r="AB513">
        <f t="shared" si="211"/>
        <v>10</v>
      </c>
      <c r="AC513">
        <f>VLOOKUP(C513,技能辅助查询表,技能配置辅助表!$W$1,FALSE)</f>
        <v>20</v>
      </c>
      <c r="AD513">
        <f t="shared" ca="1" si="219"/>
        <v>3.0415981274205919</v>
      </c>
      <c r="AE513">
        <f>VLOOKUP(C513,技能辅助查询表,技能配置辅助表!$U$1,FALSE)</f>
        <v>1</v>
      </c>
      <c r="AF513">
        <f t="shared" ca="1" si="220"/>
        <v>9211101</v>
      </c>
      <c r="AG513">
        <f t="shared" ca="1" si="224"/>
        <v>2</v>
      </c>
      <c r="AH513">
        <f t="shared" ca="1" si="221"/>
        <v>13.199388100127095</v>
      </c>
      <c r="AI513">
        <f ca="1">VLOOKUP(E513,伤害参考系!$C$4:$E$104,3,FALSE)*$AN$12</f>
        <v>43.199999999999996</v>
      </c>
      <c r="AJ513">
        <f>VLOOKUP(C513,技能辅助查询表,技能配置辅助表!$L$1,FALSE)</f>
        <v>2</v>
      </c>
      <c r="AK513">
        <f>VLOOKUP(C513,技能辅助查询表,技能配置辅助表!$AE$1,FALSE)</f>
        <v>66000264</v>
      </c>
    </row>
    <row r="514" spans="1:37" x14ac:dyDescent="0.15">
      <c r="A514" s="1">
        <f t="shared" ca="1" si="212"/>
        <v>9211102</v>
      </c>
      <c r="B514" s="1" t="str">
        <f t="shared" ref="B514:B577" ca="1" si="225">IF(AND(G514=0,AE514=4),LEFT(C514,LEN(C514)-3),C514)</f>
        <v>虎啸</v>
      </c>
      <c r="C514" t="s">
        <v>160</v>
      </c>
      <c r="D514">
        <f t="shared" ref="D514:D577" si="226">VLOOKUP(C514,技能辅助查询表,3,FALSE)</f>
        <v>2</v>
      </c>
      <c r="E514" s="42">
        <f t="shared" ca="1" si="213"/>
        <v>2</v>
      </c>
      <c r="F514" t="str">
        <f t="shared" ca="1" si="214"/>
        <v>第2级，共造成219.5%点伤害</v>
      </c>
      <c r="G514">
        <f t="shared" ca="1" si="215"/>
        <v>1</v>
      </c>
      <c r="H514">
        <f t="shared" ref="H514:H577" si="227">VLOOKUP(C514,技能辅助查询表,2,FALSE)</f>
        <v>1</v>
      </c>
      <c r="I514" s="44">
        <f t="shared" ca="1" si="216"/>
        <v>2</v>
      </c>
      <c r="J514">
        <f t="shared" ref="J514:J577" si="228">VLOOKUP(C514,技能辅助查询表,4,FALSE)</f>
        <v>1</v>
      </c>
      <c r="K514" s="36">
        <f t="shared" ref="K514:K577" ca="1" si="229">IF(OR(I514=0,I514=1),T514,T514+T514*($AN$6-1)/S514*I514)</f>
        <v>109.7608695652174</v>
      </c>
      <c r="L514" s="10">
        <f ca="1">AH514*VLOOKUP(C514,技能辅助查询表,技能配置辅助表!$T$1,FALSE)</f>
        <v>0</v>
      </c>
      <c r="M514">
        <f t="shared" ref="M514:M577" ca="1" si="230">IF(OR(I514=0,I514=1),VLOOKUP(C514,技能辅助查询表,14,FALSE),VLOOKUP(C514,技能辅助查询表,14,FALSE)-VLOOKUP(C514,技能辅助查询表,14,FALSE)*0.5/S514*I514)</f>
        <v>9800</v>
      </c>
      <c r="N514" s="33">
        <f ca="1">CHOOSE(1,W514*U514,X514*'[1]0、经济设定'!$C$18)</f>
        <v>504</v>
      </c>
      <c r="O514">
        <f t="shared" ref="O514:O577" si="231">VLOOKUP(C514,技能辅助查询表,5,FALSE)</f>
        <v>1</v>
      </c>
      <c r="P514">
        <f t="shared" ref="P514:P577" si="232">VLOOKUP(C514,技能辅助查询表,6,FALSE)</f>
        <v>2</v>
      </c>
      <c r="Q514">
        <f t="shared" ref="Q514:Q577" si="233">VLOOKUP(C514,技能辅助查询表,7,FALSE)</f>
        <v>1</v>
      </c>
      <c r="R514" s="2">
        <f t="shared" ref="R514:R577" si="234">VLOOKUP(C514,技能辅助查询表,9,FALSE)</f>
        <v>2</v>
      </c>
      <c r="S514" s="2">
        <f t="shared" ref="S514:S577" si="235">VLOOKUP(C514,技能辅助查询表,8,FALSE)</f>
        <v>50</v>
      </c>
      <c r="T514" s="2">
        <f t="shared" ref="T514:T577" si="236">VLOOKUP(C514,技能辅助查询表,11,FALSE)</f>
        <v>107.60869565217392</v>
      </c>
      <c r="U514" s="2">
        <f ca="1">VLOOKUP(E514,金币生产率!$A$2:$B$120,2,0)</f>
        <v>56</v>
      </c>
      <c r="V514" s="2">
        <f t="shared" ref="V514:V577" si="237">VLOOKUP(C514,技能辅助查询表,12,FALSE)</f>
        <v>215.21739130434784</v>
      </c>
      <c r="W514" s="45">
        <f t="shared" ca="1" si="222"/>
        <v>9</v>
      </c>
      <c r="X514" s="48">
        <f t="shared" ca="1" si="223"/>
        <v>17</v>
      </c>
      <c r="Y514">
        <f t="shared" ref="Y514:Y577" si="238">VLOOKUP(C514,技能辅助查询表,15,FALSE)</f>
        <v>18</v>
      </c>
      <c r="Z514">
        <f t="shared" ca="1" si="217"/>
        <v>0</v>
      </c>
      <c r="AA514" t="str">
        <f t="shared" ca="1" si="218"/>
        <v>9211100.png</v>
      </c>
      <c r="AB514">
        <f t="shared" ref="AB514:AB577" si="239">VLOOKUP(C514,技能辅助查询表,17,FALSE)</f>
        <v>10</v>
      </c>
      <c r="AC514">
        <f>VLOOKUP(C514,技能辅助查询表,技能配置辅助表!$W$1,FALSE)</f>
        <v>20</v>
      </c>
      <c r="AD514">
        <f t="shared" ca="1" si="219"/>
        <v>3.5921849778229942</v>
      </c>
      <c r="AE514">
        <f>VLOOKUP(C514,技能辅助查询表,技能配置辅助表!$U$1,FALSE)</f>
        <v>1</v>
      </c>
      <c r="AF514">
        <f t="shared" ca="1" si="220"/>
        <v>9211102</v>
      </c>
      <c r="AG514">
        <f t="shared" ca="1" si="224"/>
        <v>3.5918367346938775</v>
      </c>
      <c r="AH514">
        <f t="shared" ca="1" si="221"/>
        <v>15.027328935963775</v>
      </c>
      <c r="AI514">
        <f ca="1">VLOOKUP(E514,伤害参考系!$C$4:$E$104,3,FALSE)*$AN$12</f>
        <v>43.199999999999996</v>
      </c>
      <c r="AJ514">
        <f>VLOOKUP(C514,技能辅助查询表,技能配置辅助表!$L$1,FALSE)</f>
        <v>2</v>
      </c>
      <c r="AK514">
        <f>VLOOKUP(C514,技能辅助查询表,技能配置辅助表!$AE$1,FALSE)</f>
        <v>66000264</v>
      </c>
    </row>
    <row r="515" spans="1:37" x14ac:dyDescent="0.15">
      <c r="A515" s="1">
        <f t="shared" ref="A515:A578" ca="1" si="240">IF(I515=0,IF(H515=1,VALUE("9"&amp;D515&amp;J515&amp;O515&amp;G515&amp;IF(I515&gt;9,I515,"0"&amp;I515)),1),VALUE("9"&amp;D515&amp;J515&amp;O515&amp;G515&amp;IF(I515&gt;9,I515,"0"&amp;I515)))</f>
        <v>9211103</v>
      </c>
      <c r="B515" s="1" t="str">
        <f t="shared" ca="1" si="225"/>
        <v>虎啸</v>
      </c>
      <c r="C515" t="s">
        <v>160</v>
      </c>
      <c r="D515">
        <f t="shared" si="226"/>
        <v>2</v>
      </c>
      <c r="E515" s="42">
        <f t="shared" ref="E515:E578" ca="1" si="241">IF(I515=0,E516,IF(AND(I515=1,G515&gt;1),OFFSET(E515,(1-G515)*51,0),IF(OR(I515=1,AND(I515=2,R515=2)),R515,IF(I515=0,0,ROUND(I515*(80-R515)/S515,0)+R515))))</f>
        <v>7</v>
      </c>
      <c r="F515" t="str">
        <f t="shared" ref="F515:F578" ca="1" si="242">"第"&amp;I515&amp;"级，共造成"&amp;ROUND(AJ515*K515,1)&amp;"%点伤害"</f>
        <v>第3级，共造成221.7%点伤害</v>
      </c>
      <c r="G515">
        <f t="shared" ref="G515:G578" ca="1" si="243">IF(I515=0,0,H515)</f>
        <v>1</v>
      </c>
      <c r="H515">
        <f t="shared" si="227"/>
        <v>1</v>
      </c>
      <c r="I515" s="44">
        <f t="shared" ref="I515:I578" ca="1" si="244">IF(OFFSET(C515,-1,0)=C515,I514+1,0)</f>
        <v>3</v>
      </c>
      <c r="J515">
        <f t="shared" si="228"/>
        <v>1</v>
      </c>
      <c r="K515" s="36">
        <f t="shared" ca="1" si="229"/>
        <v>110.83695652173914</v>
      </c>
      <c r="L515" s="10">
        <f ca="1">AH515*VLOOKUP(C515,技能辅助查询表,技能配置辅助表!$T$1,FALSE)</f>
        <v>0</v>
      </c>
      <c r="M515">
        <f t="shared" ca="1" si="230"/>
        <v>9700</v>
      </c>
      <c r="N515" s="33">
        <f ca="1">CHOOSE(1,W515*U515,X515*'[1]0、经济设定'!$C$18)</f>
        <v>860</v>
      </c>
      <c r="O515">
        <f t="shared" si="231"/>
        <v>1</v>
      </c>
      <c r="P515">
        <f t="shared" si="232"/>
        <v>2</v>
      </c>
      <c r="Q515">
        <f t="shared" si="233"/>
        <v>1</v>
      </c>
      <c r="R515" s="2">
        <f t="shared" si="234"/>
        <v>2</v>
      </c>
      <c r="S515" s="2">
        <f t="shared" si="235"/>
        <v>50</v>
      </c>
      <c r="T515" s="2">
        <f t="shared" si="236"/>
        <v>107.60869565217392</v>
      </c>
      <c r="U515" s="2">
        <f ca="1">VLOOKUP(E515,金币生产率!$A$2:$B$120,2,0)</f>
        <v>86</v>
      </c>
      <c r="V515" s="2">
        <f t="shared" si="237"/>
        <v>215.21739130434784</v>
      </c>
      <c r="W515" s="45">
        <f t="shared" ca="1" si="222"/>
        <v>10</v>
      </c>
      <c r="X515" s="48">
        <f t="shared" ca="1" si="223"/>
        <v>27</v>
      </c>
      <c r="Y515">
        <f t="shared" si="238"/>
        <v>18</v>
      </c>
      <c r="Z515">
        <f t="shared" ref="Z515:Z578" ca="1" si="245">IF(I515&gt;=Y515,ROUNDUP(W515/$AN$15,0),0)</f>
        <v>0</v>
      </c>
      <c r="AA515" t="str">
        <f t="shared" ref="AA515:AA578" ca="1" si="246">AF515-MOD(AF515,100)&amp;".png"</f>
        <v>9211100.png</v>
      </c>
      <c r="AB515">
        <f t="shared" si="239"/>
        <v>10</v>
      </c>
      <c r="AC515">
        <f>VLOOKUP(C515,技能辅助查询表,技能配置辅助表!$W$1,FALSE)</f>
        <v>20</v>
      </c>
      <c r="AD515">
        <f t="shared" ref="AD515:AD578" ca="1" si="247">((AH515*K515/100+L515)*AJ515-AH515)/5</f>
        <v>4.1632957010400258</v>
      </c>
      <c r="AE515">
        <f>VLOOKUP(C515,技能辅助查询表,技能配置辅助表!$U$1,FALSE)</f>
        <v>1</v>
      </c>
      <c r="AF515">
        <f t="shared" ref="AF515:AF578" ca="1" si="248">VALUE("9"&amp;D515&amp;J515&amp;O515&amp;H515&amp;IF(I515&gt;9,I515,"0"&amp;I515))</f>
        <v>9211103</v>
      </c>
      <c r="AG515">
        <f t="shared" ca="1" si="224"/>
        <v>5.1836734693877551</v>
      </c>
      <c r="AH515">
        <f t="shared" ref="AH515:AH578" ca="1" si="249">(19.323*EXP(I515*0.1297))*$AN$12</f>
        <v>17.108415423248271</v>
      </c>
      <c r="AI515">
        <f ca="1">VLOOKUP(E515,伤害参考系!$C$4:$E$104,3,FALSE)*$AN$12</f>
        <v>101.93624999999999</v>
      </c>
      <c r="AJ515">
        <f>VLOOKUP(C515,技能辅助查询表,技能配置辅助表!$L$1,FALSE)</f>
        <v>2</v>
      </c>
      <c r="AK515">
        <f>VLOOKUP(C515,技能辅助查询表,技能配置辅助表!$AE$1,FALSE)</f>
        <v>66000264</v>
      </c>
    </row>
    <row r="516" spans="1:37" x14ac:dyDescent="0.15">
      <c r="A516" s="1">
        <f t="shared" ca="1" si="240"/>
        <v>9211104</v>
      </c>
      <c r="B516" s="1" t="str">
        <f t="shared" ca="1" si="225"/>
        <v>虎啸</v>
      </c>
      <c r="C516" t="s">
        <v>160</v>
      </c>
      <c r="D516">
        <f t="shared" si="226"/>
        <v>2</v>
      </c>
      <c r="E516" s="42">
        <f t="shared" ca="1" si="241"/>
        <v>8</v>
      </c>
      <c r="F516" t="str">
        <f t="shared" ca="1" si="242"/>
        <v>第4级，共造成223.8%点伤害</v>
      </c>
      <c r="G516">
        <f t="shared" ca="1" si="243"/>
        <v>1</v>
      </c>
      <c r="H516">
        <f t="shared" si="227"/>
        <v>1</v>
      </c>
      <c r="I516" s="44">
        <f t="shared" ca="1" si="244"/>
        <v>4</v>
      </c>
      <c r="J516">
        <f t="shared" si="228"/>
        <v>1</v>
      </c>
      <c r="K516" s="36">
        <f t="shared" ca="1" si="229"/>
        <v>111.91304347826087</v>
      </c>
      <c r="L516" s="10">
        <f ca="1">AH516*VLOOKUP(C516,技能辅助查询表,技能配置辅助表!$T$1,FALSE)</f>
        <v>0</v>
      </c>
      <c r="M516">
        <f t="shared" ca="1" si="230"/>
        <v>9600</v>
      </c>
      <c r="N516" s="33">
        <f ca="1">CHOOSE(1,W516*U516,X516*'[1]0、经济设定'!$C$18)</f>
        <v>920</v>
      </c>
      <c r="O516">
        <f t="shared" si="231"/>
        <v>1</v>
      </c>
      <c r="P516">
        <f t="shared" si="232"/>
        <v>2</v>
      </c>
      <c r="Q516">
        <f t="shared" si="233"/>
        <v>1</v>
      </c>
      <c r="R516" s="2">
        <f t="shared" si="234"/>
        <v>2</v>
      </c>
      <c r="S516" s="2">
        <f t="shared" si="235"/>
        <v>50</v>
      </c>
      <c r="T516" s="2">
        <f t="shared" si="236"/>
        <v>107.60869565217392</v>
      </c>
      <c r="U516" s="2">
        <f ca="1">VLOOKUP(E516,金币生产率!$A$2:$B$120,2,0)</f>
        <v>92</v>
      </c>
      <c r="V516" s="2">
        <f t="shared" si="237"/>
        <v>215.21739130434784</v>
      </c>
      <c r="W516" s="45">
        <f t="shared" ref="W516:W579" ca="1" si="250">ROUND((IF(I516=0,0,ROUND(OFFSET(AD516,S516-I516+510*(1-D516),0)*(1-$AN$13)/(1-$AN$13^S516)*$AN$13^(I516-1),0))+IF(I516=0,0,ROUND(OFFSET(AD516,S516-I516+510*(2-D516),0)*(1-$AN$13)/(1-$AN$13^S516)*$AN$13^(I516-1),0))+IF(I516=0,0,ROUND(OFFSET(AD516,S516-I516+510*(3-D516),0)*(1-$AN$13)/(1-$AN$13^S516)*$AN$13^(I516-1),0)))/3,0)</f>
        <v>10</v>
      </c>
      <c r="X516" s="48">
        <f t="shared" ref="X516:X579" ca="1" si="251">IF(I516=0,0,X515+W516)</f>
        <v>37</v>
      </c>
      <c r="Y516">
        <f t="shared" si="238"/>
        <v>18</v>
      </c>
      <c r="Z516">
        <f t="shared" ca="1" si="245"/>
        <v>0</v>
      </c>
      <c r="AA516" t="str">
        <f t="shared" ca="1" si="246"/>
        <v>9211100.png</v>
      </c>
      <c r="AB516">
        <f t="shared" si="239"/>
        <v>10</v>
      </c>
      <c r="AC516">
        <f>VLOOKUP(C516,技能辅助查询表,技能配置辅助表!$W$1,FALSE)</f>
        <v>20</v>
      </c>
      <c r="AD516">
        <f t="shared" ca="1" si="247"/>
        <v>4.8236959587591777</v>
      </c>
      <c r="AE516">
        <f>VLOOKUP(C516,技能辅助查询表,技能配置辅助表!$U$1,FALSE)</f>
        <v>1</v>
      </c>
      <c r="AF516">
        <f t="shared" ca="1" si="248"/>
        <v>9211104</v>
      </c>
      <c r="AG516">
        <f t="shared" ca="1" si="224"/>
        <v>6.7755102040816331</v>
      </c>
      <c r="AH516">
        <f t="shared" ca="1" si="249"/>
        <v>19.477704889652582</v>
      </c>
      <c r="AI516">
        <f ca="1">VLOOKUP(E516,伤害参考系!$C$4:$E$104,3,FALSE)*$AN$12</f>
        <v>115.83</v>
      </c>
      <c r="AJ516">
        <f>VLOOKUP(C516,技能辅助查询表,技能配置辅助表!$L$1,FALSE)</f>
        <v>2</v>
      </c>
      <c r="AK516">
        <f>VLOOKUP(C516,技能辅助查询表,技能配置辅助表!$AE$1,FALSE)</f>
        <v>66000264</v>
      </c>
    </row>
    <row r="517" spans="1:37" x14ac:dyDescent="0.15">
      <c r="A517" s="1">
        <f t="shared" ca="1" si="240"/>
        <v>9211105</v>
      </c>
      <c r="B517" s="1" t="str">
        <f t="shared" ca="1" si="225"/>
        <v>虎啸</v>
      </c>
      <c r="C517" t="s">
        <v>160</v>
      </c>
      <c r="D517">
        <f t="shared" si="226"/>
        <v>2</v>
      </c>
      <c r="E517" s="42">
        <f t="shared" ca="1" si="241"/>
        <v>10</v>
      </c>
      <c r="F517" t="str">
        <f t="shared" ca="1" si="242"/>
        <v>第5级，共造成226%点伤害</v>
      </c>
      <c r="G517">
        <f t="shared" ca="1" si="243"/>
        <v>1</v>
      </c>
      <c r="H517">
        <f t="shared" si="227"/>
        <v>1</v>
      </c>
      <c r="I517" s="44">
        <f t="shared" ca="1" si="244"/>
        <v>5</v>
      </c>
      <c r="J517">
        <f t="shared" si="228"/>
        <v>1</v>
      </c>
      <c r="K517" s="36">
        <f t="shared" ca="1" si="229"/>
        <v>112.98913043478262</v>
      </c>
      <c r="L517" s="10">
        <f ca="1">AH517*VLOOKUP(C517,技能辅助查询表,技能配置辅助表!$T$1,FALSE)</f>
        <v>0</v>
      </c>
      <c r="M517">
        <f t="shared" ca="1" si="230"/>
        <v>9500</v>
      </c>
      <c r="N517" s="33">
        <f ca="1">CHOOSE(1,W517*U517,X517*'[1]0、经济设定'!$C$18)</f>
        <v>1144</v>
      </c>
      <c r="O517">
        <f t="shared" si="231"/>
        <v>1</v>
      </c>
      <c r="P517">
        <f t="shared" si="232"/>
        <v>2</v>
      </c>
      <c r="Q517">
        <f t="shared" si="233"/>
        <v>1</v>
      </c>
      <c r="R517" s="2">
        <f t="shared" si="234"/>
        <v>2</v>
      </c>
      <c r="S517" s="2">
        <f t="shared" si="235"/>
        <v>50</v>
      </c>
      <c r="T517" s="2">
        <f t="shared" si="236"/>
        <v>107.60869565217392</v>
      </c>
      <c r="U517" s="2">
        <f ca="1">VLOOKUP(E517,金币生产率!$A$2:$B$120,2,0)</f>
        <v>104</v>
      </c>
      <c r="V517" s="2">
        <f t="shared" si="237"/>
        <v>215.21739130434784</v>
      </c>
      <c r="W517" s="45">
        <f t="shared" ca="1" si="250"/>
        <v>11</v>
      </c>
      <c r="X517" s="48">
        <f t="shared" ca="1" si="251"/>
        <v>48</v>
      </c>
      <c r="Y517">
        <f t="shared" si="238"/>
        <v>18</v>
      </c>
      <c r="Z517">
        <f t="shared" ca="1" si="245"/>
        <v>0</v>
      </c>
      <c r="AA517" t="str">
        <f t="shared" ca="1" si="246"/>
        <v>9211100.png</v>
      </c>
      <c r="AB517">
        <f t="shared" si="239"/>
        <v>10</v>
      </c>
      <c r="AC517">
        <f>VLOOKUP(C517,技能辅助查询表,技能配置辅助表!$W$1,FALSE)</f>
        <v>20</v>
      </c>
      <c r="AD517">
        <f t="shared" ca="1" si="247"/>
        <v>5.5871634939486459</v>
      </c>
      <c r="AE517">
        <f>VLOOKUP(C517,技能辅助查询表,技能配置辅助表!$U$1,FALSE)</f>
        <v>1</v>
      </c>
      <c r="AF517">
        <f t="shared" ca="1" si="248"/>
        <v>9211105</v>
      </c>
      <c r="AG517">
        <f t="shared" ref="AG517:AG580" ca="1" si="252">IF(I517=1,R517,IF(I517=0,0,(I517-1)*(80-R517)/(S517-1)+R517))</f>
        <v>8.3673469387755102</v>
      </c>
      <c r="AH517">
        <f t="shared" ca="1" si="249"/>
        <v>22.175109639485559</v>
      </c>
      <c r="AI517">
        <f ca="1">VLOOKUP(E517,伤害参考系!$C$4:$E$104,3,FALSE)*$AN$12</f>
        <v>177.55434782608697</v>
      </c>
      <c r="AJ517">
        <f>VLOOKUP(C517,技能辅助查询表,技能配置辅助表!$L$1,FALSE)</f>
        <v>2</v>
      </c>
      <c r="AK517">
        <f>VLOOKUP(C517,技能辅助查询表,技能配置辅助表!$AE$1,FALSE)</f>
        <v>66000264</v>
      </c>
    </row>
    <row r="518" spans="1:37" x14ac:dyDescent="0.15">
      <c r="A518" s="1">
        <f t="shared" ca="1" si="240"/>
        <v>9211106</v>
      </c>
      <c r="B518" s="1" t="str">
        <f t="shared" ca="1" si="225"/>
        <v>虎啸</v>
      </c>
      <c r="C518" t="s">
        <v>160</v>
      </c>
      <c r="D518">
        <f t="shared" si="226"/>
        <v>2</v>
      </c>
      <c r="E518" s="42">
        <f t="shared" ca="1" si="241"/>
        <v>11</v>
      </c>
      <c r="F518" t="str">
        <f t="shared" ca="1" si="242"/>
        <v>第6级，共造成228.1%点伤害</v>
      </c>
      <c r="G518">
        <f t="shared" ca="1" si="243"/>
        <v>1</v>
      </c>
      <c r="H518">
        <f t="shared" si="227"/>
        <v>1</v>
      </c>
      <c r="I518" s="44">
        <f t="shared" ca="1" si="244"/>
        <v>6</v>
      </c>
      <c r="J518">
        <f t="shared" si="228"/>
        <v>1</v>
      </c>
      <c r="K518" s="36">
        <f t="shared" ca="1" si="229"/>
        <v>114.06521739130436</v>
      </c>
      <c r="L518" s="10">
        <f ca="1">AH518*VLOOKUP(C518,技能辅助查询表,技能配置辅助表!$T$1,FALSE)</f>
        <v>0</v>
      </c>
      <c r="M518">
        <f t="shared" ca="1" si="230"/>
        <v>9400</v>
      </c>
      <c r="N518" s="33">
        <f ca="1">CHOOSE(1,W518*U518,X518*'[1]0、经济设定'!$C$18)</f>
        <v>1320</v>
      </c>
      <c r="O518">
        <f t="shared" si="231"/>
        <v>1</v>
      </c>
      <c r="P518">
        <f t="shared" si="232"/>
        <v>2</v>
      </c>
      <c r="Q518">
        <f t="shared" si="233"/>
        <v>1</v>
      </c>
      <c r="R518" s="2">
        <f t="shared" si="234"/>
        <v>2</v>
      </c>
      <c r="S518" s="2">
        <f t="shared" si="235"/>
        <v>50</v>
      </c>
      <c r="T518" s="2">
        <f t="shared" si="236"/>
        <v>107.60869565217392</v>
      </c>
      <c r="U518" s="2">
        <f ca="1">VLOOKUP(E518,金币生产率!$A$2:$B$120,2,0)</f>
        <v>110</v>
      </c>
      <c r="V518" s="2">
        <f t="shared" si="237"/>
        <v>215.21739130434784</v>
      </c>
      <c r="W518" s="45">
        <f t="shared" ca="1" si="250"/>
        <v>12</v>
      </c>
      <c r="X518" s="48">
        <f t="shared" ca="1" si="251"/>
        <v>60</v>
      </c>
      <c r="Y518">
        <f t="shared" si="238"/>
        <v>18</v>
      </c>
      <c r="Z518">
        <f t="shared" ca="1" si="245"/>
        <v>0</v>
      </c>
      <c r="AA518" t="str">
        <f t="shared" ca="1" si="246"/>
        <v>9211100.png</v>
      </c>
      <c r="AB518">
        <f t="shared" si="239"/>
        <v>10</v>
      </c>
      <c r="AC518">
        <f>VLOOKUP(C518,技能辅助查询表,技能配置辅助表!$W$1,FALSE)</f>
        <v>20</v>
      </c>
      <c r="AD518">
        <f t="shared" ca="1" si="247"/>
        <v>6.4695796728964812</v>
      </c>
      <c r="AE518">
        <f>VLOOKUP(C518,技能辅助查询表,技能配置辅助表!$U$1,FALSE)</f>
        <v>1</v>
      </c>
      <c r="AF518">
        <f t="shared" ca="1" si="248"/>
        <v>9211106</v>
      </c>
      <c r="AG518">
        <f t="shared" ca="1" si="252"/>
        <v>9.9591836734693882</v>
      </c>
      <c r="AH518">
        <f t="shared" ca="1" si="249"/>
        <v>25.246069303803697</v>
      </c>
      <c r="AI518">
        <f ca="1">VLOOKUP(E518,伤害参考系!$C$4:$E$104,3,FALSE)*$AN$12</f>
        <v>212.08059782608694</v>
      </c>
      <c r="AJ518">
        <f>VLOOKUP(C518,技能辅助查询表,技能配置辅助表!$L$1,FALSE)</f>
        <v>2</v>
      </c>
      <c r="AK518">
        <f>VLOOKUP(C518,技能辅助查询表,技能配置辅助表!$AE$1,FALSE)</f>
        <v>66000264</v>
      </c>
    </row>
    <row r="519" spans="1:37" x14ac:dyDescent="0.15">
      <c r="A519" s="1">
        <f t="shared" ca="1" si="240"/>
        <v>9211107</v>
      </c>
      <c r="B519" s="1" t="str">
        <f t="shared" ca="1" si="225"/>
        <v>虎啸</v>
      </c>
      <c r="C519" t="s">
        <v>160</v>
      </c>
      <c r="D519">
        <f t="shared" si="226"/>
        <v>2</v>
      </c>
      <c r="E519" s="42">
        <f t="shared" ca="1" si="241"/>
        <v>13</v>
      </c>
      <c r="F519" t="str">
        <f t="shared" ca="1" si="242"/>
        <v>第7级，共造成230.3%点伤害</v>
      </c>
      <c r="G519">
        <f t="shared" ca="1" si="243"/>
        <v>1</v>
      </c>
      <c r="H519">
        <f t="shared" si="227"/>
        <v>1</v>
      </c>
      <c r="I519" s="44">
        <f t="shared" ca="1" si="244"/>
        <v>7</v>
      </c>
      <c r="J519">
        <f t="shared" si="228"/>
        <v>1</v>
      </c>
      <c r="K519" s="36">
        <f t="shared" ca="1" si="229"/>
        <v>115.14130434782609</v>
      </c>
      <c r="L519" s="10">
        <f ca="1">AH519*VLOOKUP(C519,技能辅助查询表,技能配置辅助表!$T$1,FALSE)</f>
        <v>0</v>
      </c>
      <c r="M519">
        <f t="shared" ca="1" si="230"/>
        <v>9300</v>
      </c>
      <c r="N519" s="33">
        <f ca="1">CHOOSE(1,W519*U519,X519*'[1]0、经济设定'!$C$18)</f>
        <v>1464</v>
      </c>
      <c r="O519">
        <f t="shared" si="231"/>
        <v>1</v>
      </c>
      <c r="P519">
        <f t="shared" si="232"/>
        <v>2</v>
      </c>
      <c r="Q519">
        <f t="shared" si="233"/>
        <v>1</v>
      </c>
      <c r="R519" s="2">
        <f t="shared" si="234"/>
        <v>2</v>
      </c>
      <c r="S519" s="2">
        <f t="shared" si="235"/>
        <v>50</v>
      </c>
      <c r="T519" s="2">
        <f t="shared" si="236"/>
        <v>107.60869565217392</v>
      </c>
      <c r="U519" s="2">
        <f ca="1">VLOOKUP(E519,金币生产率!$A$2:$B$120,2,0)</f>
        <v>122</v>
      </c>
      <c r="V519" s="2">
        <f t="shared" si="237"/>
        <v>215.21739130434784</v>
      </c>
      <c r="W519" s="45">
        <f t="shared" ca="1" si="250"/>
        <v>12</v>
      </c>
      <c r="X519" s="48">
        <f t="shared" ca="1" si="251"/>
        <v>72</v>
      </c>
      <c r="Y519">
        <f t="shared" si="238"/>
        <v>18</v>
      </c>
      <c r="Z519">
        <f t="shared" ca="1" si="245"/>
        <v>0</v>
      </c>
      <c r="AA519" t="str">
        <f t="shared" ca="1" si="246"/>
        <v>9211100.png</v>
      </c>
      <c r="AB519">
        <f t="shared" si="239"/>
        <v>10</v>
      </c>
      <c r="AC519">
        <f>VLOOKUP(C519,技能辅助查询表,技能配置辅助表!$W$1,FALSE)</f>
        <v>20</v>
      </c>
      <c r="AD519">
        <f t="shared" ca="1" si="247"/>
        <v>7.4892478955935902</v>
      </c>
      <c r="AE519">
        <f>VLOOKUP(C519,技能辅助查询表,技能配置辅助表!$U$1,FALSE)</f>
        <v>1</v>
      </c>
      <c r="AF519">
        <f t="shared" ca="1" si="248"/>
        <v>9211107</v>
      </c>
      <c r="AG519">
        <f t="shared" ca="1" si="252"/>
        <v>11.551020408163266</v>
      </c>
      <c r="AH519">
        <f t="shared" ca="1" si="249"/>
        <v>28.742316302127907</v>
      </c>
      <c r="AI519">
        <f ca="1">VLOOKUP(E519,伤害参考系!$C$4:$E$104,3,FALSE)*$AN$12</f>
        <v>288.46124999999995</v>
      </c>
      <c r="AJ519">
        <f>VLOOKUP(C519,技能辅助查询表,技能配置辅助表!$L$1,FALSE)</f>
        <v>2</v>
      </c>
      <c r="AK519">
        <f>VLOOKUP(C519,技能辅助查询表,技能配置辅助表!$AE$1,FALSE)</f>
        <v>66000264</v>
      </c>
    </row>
    <row r="520" spans="1:37" x14ac:dyDescent="0.15">
      <c r="A520" s="1">
        <f t="shared" ca="1" si="240"/>
        <v>9211108</v>
      </c>
      <c r="B520" s="1" t="str">
        <f t="shared" ca="1" si="225"/>
        <v>虎啸</v>
      </c>
      <c r="C520" t="s">
        <v>160</v>
      </c>
      <c r="D520">
        <f t="shared" si="226"/>
        <v>2</v>
      </c>
      <c r="E520" s="42">
        <f t="shared" ca="1" si="241"/>
        <v>14</v>
      </c>
      <c r="F520" t="str">
        <f t="shared" ca="1" si="242"/>
        <v>第8级，共造成232.4%点伤害</v>
      </c>
      <c r="G520">
        <f t="shared" ca="1" si="243"/>
        <v>1</v>
      </c>
      <c r="H520">
        <f t="shared" si="227"/>
        <v>1</v>
      </c>
      <c r="I520" s="44">
        <f t="shared" ca="1" si="244"/>
        <v>8</v>
      </c>
      <c r="J520">
        <f t="shared" si="228"/>
        <v>1</v>
      </c>
      <c r="K520" s="36">
        <f t="shared" ca="1" si="229"/>
        <v>116.21739130434784</v>
      </c>
      <c r="L520" s="10">
        <f ca="1">AH520*VLOOKUP(C520,技能辅助查询表,技能配置辅助表!$T$1,FALSE)</f>
        <v>0</v>
      </c>
      <c r="M520">
        <f t="shared" ca="1" si="230"/>
        <v>9200</v>
      </c>
      <c r="N520" s="33">
        <f ca="1">CHOOSE(1,W520*U520,X520*'[1]0、经济设定'!$C$18)</f>
        <v>1664</v>
      </c>
      <c r="O520">
        <f t="shared" si="231"/>
        <v>1</v>
      </c>
      <c r="P520">
        <f t="shared" si="232"/>
        <v>2</v>
      </c>
      <c r="Q520">
        <f t="shared" si="233"/>
        <v>1</v>
      </c>
      <c r="R520" s="2">
        <f t="shared" si="234"/>
        <v>2</v>
      </c>
      <c r="S520" s="2">
        <f t="shared" si="235"/>
        <v>50</v>
      </c>
      <c r="T520" s="2">
        <f t="shared" si="236"/>
        <v>107.60869565217392</v>
      </c>
      <c r="U520" s="2">
        <f ca="1">VLOOKUP(E520,金币生产率!$A$2:$B$120,2,0)</f>
        <v>128</v>
      </c>
      <c r="V520" s="2">
        <f t="shared" si="237"/>
        <v>215.21739130434784</v>
      </c>
      <c r="W520" s="45">
        <f t="shared" ca="1" si="250"/>
        <v>13</v>
      </c>
      <c r="X520" s="48">
        <f t="shared" ca="1" si="251"/>
        <v>85</v>
      </c>
      <c r="Y520">
        <f t="shared" si="238"/>
        <v>18</v>
      </c>
      <c r="Z520">
        <f t="shared" ca="1" si="245"/>
        <v>0</v>
      </c>
      <c r="AA520" t="str">
        <f t="shared" ca="1" si="246"/>
        <v>9211100.png</v>
      </c>
      <c r="AB520">
        <f t="shared" si="239"/>
        <v>10</v>
      </c>
      <c r="AC520">
        <f>VLOOKUP(C520,技能辅助查询表,技能配置辅助表!$W$1,FALSE)</f>
        <v>20</v>
      </c>
      <c r="AD520">
        <f t="shared" ca="1" si="247"/>
        <v>8.6672598528488987</v>
      </c>
      <c r="AE520">
        <f>VLOOKUP(C520,技能辅助查询表,技能配置辅助表!$U$1,FALSE)</f>
        <v>1</v>
      </c>
      <c r="AF520">
        <f t="shared" ca="1" si="248"/>
        <v>9211108</v>
      </c>
      <c r="AG520">
        <f t="shared" ca="1" si="252"/>
        <v>13.142857142857142</v>
      </c>
      <c r="AH520">
        <f t="shared" ca="1" si="249"/>
        <v>32.722747310493212</v>
      </c>
      <c r="AI520">
        <f ca="1">VLOOKUP(E520,伤害参考系!$C$4:$E$104,3,FALSE)*$AN$12</f>
        <v>330.31565217391307</v>
      </c>
      <c r="AJ520">
        <f>VLOOKUP(C520,技能辅助查询表,技能配置辅助表!$L$1,FALSE)</f>
        <v>2</v>
      </c>
      <c r="AK520">
        <f>VLOOKUP(C520,技能辅助查询表,技能配置辅助表!$AE$1,FALSE)</f>
        <v>66000264</v>
      </c>
    </row>
    <row r="521" spans="1:37" x14ac:dyDescent="0.15">
      <c r="A521" s="1">
        <f t="shared" ca="1" si="240"/>
        <v>9211109</v>
      </c>
      <c r="B521" s="1" t="str">
        <f t="shared" ca="1" si="225"/>
        <v>虎啸</v>
      </c>
      <c r="C521" t="s">
        <v>160</v>
      </c>
      <c r="D521">
        <f t="shared" si="226"/>
        <v>2</v>
      </c>
      <c r="E521" s="42">
        <f t="shared" ca="1" si="241"/>
        <v>16</v>
      </c>
      <c r="F521" t="str">
        <f t="shared" ca="1" si="242"/>
        <v>第9级，共造成234.6%点伤害</v>
      </c>
      <c r="G521">
        <f t="shared" ca="1" si="243"/>
        <v>1</v>
      </c>
      <c r="H521">
        <f t="shared" si="227"/>
        <v>1</v>
      </c>
      <c r="I521" s="44">
        <f t="shared" ca="1" si="244"/>
        <v>9</v>
      </c>
      <c r="J521">
        <f t="shared" si="228"/>
        <v>1</v>
      </c>
      <c r="K521" s="36">
        <f t="shared" ca="1" si="229"/>
        <v>117.29347826086958</v>
      </c>
      <c r="L521" s="10">
        <f ca="1">AH521*VLOOKUP(C521,技能辅助查询表,技能配置辅助表!$T$1,FALSE)</f>
        <v>0</v>
      </c>
      <c r="M521">
        <f t="shared" ca="1" si="230"/>
        <v>9100</v>
      </c>
      <c r="N521" s="33">
        <f ca="1">CHOOSE(1,W521*U521,X521*'[1]0、经济设定'!$C$18)</f>
        <v>1960</v>
      </c>
      <c r="O521">
        <f t="shared" si="231"/>
        <v>1</v>
      </c>
      <c r="P521">
        <f t="shared" si="232"/>
        <v>2</v>
      </c>
      <c r="Q521">
        <f t="shared" si="233"/>
        <v>1</v>
      </c>
      <c r="R521" s="2">
        <f t="shared" si="234"/>
        <v>2</v>
      </c>
      <c r="S521" s="2">
        <f t="shared" si="235"/>
        <v>50</v>
      </c>
      <c r="T521" s="2">
        <f t="shared" si="236"/>
        <v>107.60869565217392</v>
      </c>
      <c r="U521" s="2">
        <f ca="1">VLOOKUP(E521,金币生产率!$A$2:$B$120,2,0)</f>
        <v>140</v>
      </c>
      <c r="V521" s="2">
        <f t="shared" si="237"/>
        <v>215.21739130434784</v>
      </c>
      <c r="W521" s="45">
        <f t="shared" ca="1" si="250"/>
        <v>14</v>
      </c>
      <c r="X521" s="48">
        <f t="shared" ca="1" si="251"/>
        <v>99</v>
      </c>
      <c r="Y521">
        <f t="shared" si="238"/>
        <v>18</v>
      </c>
      <c r="Z521">
        <f t="shared" ca="1" si="245"/>
        <v>0</v>
      </c>
      <c r="AA521" t="str">
        <f t="shared" ca="1" si="246"/>
        <v>9211100.png</v>
      </c>
      <c r="AB521">
        <f t="shared" si="239"/>
        <v>10</v>
      </c>
      <c r="AC521">
        <f>VLOOKUP(C521,技能辅助查询表,技能配置辅助表!$W$1,FALSE)</f>
        <v>20</v>
      </c>
      <c r="AD521">
        <f t="shared" ca="1" si="247"/>
        <v>10.02791677575487</v>
      </c>
      <c r="AE521">
        <f>VLOOKUP(C521,技能辅助查询表,技能配置辅助表!$U$1,FALSE)</f>
        <v>1</v>
      </c>
      <c r="AF521">
        <f t="shared" ca="1" si="248"/>
        <v>9211109</v>
      </c>
      <c r="AG521">
        <f t="shared" ca="1" si="252"/>
        <v>14.73469387755102</v>
      </c>
      <c r="AH521">
        <f t="shared" ca="1" si="249"/>
        <v>37.25441541630785</v>
      </c>
      <c r="AI521">
        <f ca="1">VLOOKUP(E521,伤害参考系!$C$4:$E$104,3,FALSE)*$AN$12</f>
        <v>421.35260869565224</v>
      </c>
      <c r="AJ521">
        <f>VLOOKUP(C521,技能辅助查询表,技能配置辅助表!$L$1,FALSE)</f>
        <v>2</v>
      </c>
      <c r="AK521">
        <f>VLOOKUP(C521,技能辅助查询表,技能配置辅助表!$AE$1,FALSE)</f>
        <v>66000264</v>
      </c>
    </row>
    <row r="522" spans="1:37" x14ac:dyDescent="0.15">
      <c r="A522" s="1">
        <f t="shared" ca="1" si="240"/>
        <v>9211110</v>
      </c>
      <c r="B522" s="1" t="str">
        <f t="shared" ca="1" si="225"/>
        <v>虎啸</v>
      </c>
      <c r="C522" t="s">
        <v>160</v>
      </c>
      <c r="D522">
        <f t="shared" si="226"/>
        <v>2</v>
      </c>
      <c r="E522" s="42">
        <f t="shared" ca="1" si="241"/>
        <v>18</v>
      </c>
      <c r="F522" t="str">
        <f t="shared" ca="1" si="242"/>
        <v>第10级，共造成236.7%点伤害</v>
      </c>
      <c r="G522">
        <f t="shared" ca="1" si="243"/>
        <v>1</v>
      </c>
      <c r="H522">
        <f t="shared" si="227"/>
        <v>1</v>
      </c>
      <c r="I522" s="44">
        <f t="shared" ca="1" si="244"/>
        <v>10</v>
      </c>
      <c r="J522">
        <f t="shared" si="228"/>
        <v>1</v>
      </c>
      <c r="K522" s="36">
        <f t="shared" ca="1" si="229"/>
        <v>118.36956521739131</v>
      </c>
      <c r="L522" s="10">
        <f ca="1">AH522*VLOOKUP(C522,技能辅助查询表,技能配置辅助表!$T$1,FALSE)</f>
        <v>0</v>
      </c>
      <c r="M522">
        <f t="shared" ca="1" si="230"/>
        <v>9000</v>
      </c>
      <c r="N522" s="33">
        <f ca="1">CHOOSE(1,W522*U522,X522*'[1]0、经济设定'!$C$18)</f>
        <v>2280</v>
      </c>
      <c r="O522">
        <f t="shared" si="231"/>
        <v>1</v>
      </c>
      <c r="P522">
        <f t="shared" si="232"/>
        <v>2</v>
      </c>
      <c r="Q522">
        <f t="shared" si="233"/>
        <v>1</v>
      </c>
      <c r="R522" s="2">
        <f t="shared" si="234"/>
        <v>2</v>
      </c>
      <c r="S522" s="2">
        <f t="shared" si="235"/>
        <v>50</v>
      </c>
      <c r="T522" s="2">
        <f t="shared" si="236"/>
        <v>107.60869565217392</v>
      </c>
      <c r="U522" s="2">
        <f ca="1">VLOOKUP(E522,金币生产率!$A$2:$B$120,2,0)</f>
        <v>152</v>
      </c>
      <c r="V522" s="2">
        <f t="shared" si="237"/>
        <v>215.21739130434784</v>
      </c>
      <c r="W522" s="45">
        <f t="shared" ca="1" si="250"/>
        <v>15</v>
      </c>
      <c r="X522" s="48">
        <f t="shared" ca="1" si="251"/>
        <v>114</v>
      </c>
      <c r="Y522">
        <f t="shared" si="238"/>
        <v>18</v>
      </c>
      <c r="Z522">
        <f t="shared" ca="1" si="245"/>
        <v>0</v>
      </c>
      <c r="AA522" t="str">
        <f t="shared" ca="1" si="246"/>
        <v>9211100.png</v>
      </c>
      <c r="AB522">
        <f t="shared" si="239"/>
        <v>10</v>
      </c>
      <c r="AC522">
        <f>VLOOKUP(C522,技能辅助查询表,技能配置辅助表!$W$1,FALSE)</f>
        <v>20</v>
      </c>
      <c r="AD522">
        <f t="shared" ca="1" si="247"/>
        <v>11.599213884636102</v>
      </c>
      <c r="AE522">
        <f>VLOOKUP(C522,技能辅助查询表,技能配置辅助表!$U$1,FALSE)</f>
        <v>1</v>
      </c>
      <c r="AF522">
        <f t="shared" ca="1" si="248"/>
        <v>9211110</v>
      </c>
      <c r="AG522">
        <f t="shared" ca="1" si="252"/>
        <v>16.326530612244898</v>
      </c>
      <c r="AH522">
        <f t="shared" ca="1" si="249"/>
        <v>42.413659673550121</v>
      </c>
      <c r="AI522">
        <f ca="1">VLOOKUP(E522,伤害参考系!$C$4:$E$104,3,FALSE)*$AN$12</f>
        <v>522.16043478260883</v>
      </c>
      <c r="AJ522">
        <f>VLOOKUP(C522,技能辅助查询表,技能配置辅助表!$L$1,FALSE)</f>
        <v>2</v>
      </c>
      <c r="AK522">
        <f>VLOOKUP(C522,技能辅助查询表,技能配置辅助表!$AE$1,FALSE)</f>
        <v>66000264</v>
      </c>
    </row>
    <row r="523" spans="1:37" x14ac:dyDescent="0.15">
      <c r="A523" s="1">
        <f t="shared" ca="1" si="240"/>
        <v>9211111</v>
      </c>
      <c r="B523" s="1" t="str">
        <f t="shared" ca="1" si="225"/>
        <v>虎啸</v>
      </c>
      <c r="C523" t="s">
        <v>160</v>
      </c>
      <c r="D523">
        <f t="shared" si="226"/>
        <v>2</v>
      </c>
      <c r="E523" s="42">
        <f t="shared" ca="1" si="241"/>
        <v>19</v>
      </c>
      <c r="F523" t="str">
        <f t="shared" ca="1" si="242"/>
        <v>第11级，共造成238.9%点伤害</v>
      </c>
      <c r="G523">
        <f t="shared" ca="1" si="243"/>
        <v>1</v>
      </c>
      <c r="H523">
        <f t="shared" si="227"/>
        <v>1</v>
      </c>
      <c r="I523" s="44">
        <f t="shared" ca="1" si="244"/>
        <v>11</v>
      </c>
      <c r="J523">
        <f t="shared" si="228"/>
        <v>1</v>
      </c>
      <c r="K523" s="36">
        <f t="shared" ca="1" si="229"/>
        <v>119.44565217391306</v>
      </c>
      <c r="L523" s="10">
        <f ca="1">AH523*VLOOKUP(C523,技能辅助查询表,技能配置辅助表!$T$1,FALSE)</f>
        <v>0</v>
      </c>
      <c r="M523">
        <f t="shared" ca="1" si="230"/>
        <v>8900</v>
      </c>
      <c r="N523" s="33">
        <f ca="1">CHOOSE(1,W523*U523,X523*'[1]0、经济设定'!$C$18)</f>
        <v>2528</v>
      </c>
      <c r="O523">
        <f t="shared" si="231"/>
        <v>1</v>
      </c>
      <c r="P523">
        <f t="shared" si="232"/>
        <v>2</v>
      </c>
      <c r="Q523">
        <f t="shared" si="233"/>
        <v>1</v>
      </c>
      <c r="R523" s="2">
        <f t="shared" si="234"/>
        <v>2</v>
      </c>
      <c r="S523" s="2">
        <f t="shared" si="235"/>
        <v>50</v>
      </c>
      <c r="T523" s="2">
        <f t="shared" si="236"/>
        <v>107.60869565217392</v>
      </c>
      <c r="U523" s="2">
        <f ca="1">VLOOKUP(E523,金币生产率!$A$2:$B$120,2,0)</f>
        <v>158</v>
      </c>
      <c r="V523" s="2">
        <f t="shared" si="237"/>
        <v>215.21739130434784</v>
      </c>
      <c r="W523" s="45">
        <f t="shared" ca="1" si="250"/>
        <v>16</v>
      </c>
      <c r="X523" s="48">
        <f t="shared" ca="1" si="251"/>
        <v>130</v>
      </c>
      <c r="Y523">
        <f t="shared" si="238"/>
        <v>18</v>
      </c>
      <c r="Z523">
        <f t="shared" ca="1" si="245"/>
        <v>0</v>
      </c>
      <c r="AA523" t="str">
        <f t="shared" ca="1" si="246"/>
        <v>9211100.png</v>
      </c>
      <c r="AB523">
        <f t="shared" si="239"/>
        <v>10</v>
      </c>
      <c r="AC523">
        <f>VLOOKUP(C523,技能辅助查询表,技能配置辅助表!$W$1,FALSE)</f>
        <v>20</v>
      </c>
      <c r="AD523">
        <f t="shared" ca="1" si="247"/>
        <v>13.4133974630968</v>
      </c>
      <c r="AE523">
        <f>VLOOKUP(C523,技能辅助查询表,技能配置辅助表!$U$1,FALSE)</f>
        <v>1</v>
      </c>
      <c r="AF523">
        <f t="shared" ca="1" si="248"/>
        <v>9211111</v>
      </c>
      <c r="AG523">
        <f t="shared" ca="1" si="252"/>
        <v>17.918367346938776</v>
      </c>
      <c r="AH523">
        <f t="shared" ca="1" si="249"/>
        <v>48.287391086433935</v>
      </c>
      <c r="AI523">
        <f ca="1">VLOOKUP(E523,伤害参考系!$C$4:$E$104,3,FALSE)*$AN$12</f>
        <v>576.22842391304346</v>
      </c>
      <c r="AJ523">
        <f>VLOOKUP(C523,技能辅助查询表,技能配置辅助表!$L$1,FALSE)</f>
        <v>2</v>
      </c>
      <c r="AK523">
        <f>VLOOKUP(C523,技能辅助查询表,技能配置辅助表!$AE$1,FALSE)</f>
        <v>66000264</v>
      </c>
    </row>
    <row r="524" spans="1:37" x14ac:dyDescent="0.15">
      <c r="A524" s="1">
        <f t="shared" ca="1" si="240"/>
        <v>9211112</v>
      </c>
      <c r="B524" s="1" t="str">
        <f t="shared" ca="1" si="225"/>
        <v>虎啸</v>
      </c>
      <c r="C524" t="s">
        <v>160</v>
      </c>
      <c r="D524">
        <f t="shared" si="226"/>
        <v>2</v>
      </c>
      <c r="E524" s="42">
        <f t="shared" ca="1" si="241"/>
        <v>21</v>
      </c>
      <c r="F524" t="str">
        <f t="shared" ca="1" si="242"/>
        <v>第12级，共造成241%点伤害</v>
      </c>
      <c r="G524">
        <f t="shared" ca="1" si="243"/>
        <v>1</v>
      </c>
      <c r="H524">
        <f t="shared" si="227"/>
        <v>1</v>
      </c>
      <c r="I524" s="44">
        <f t="shared" ca="1" si="244"/>
        <v>12</v>
      </c>
      <c r="J524">
        <f t="shared" si="228"/>
        <v>1</v>
      </c>
      <c r="K524" s="36">
        <f t="shared" ca="1" si="229"/>
        <v>120.5217391304348</v>
      </c>
      <c r="L524" s="10">
        <f ca="1">AH524*VLOOKUP(C524,技能辅助查询表,技能配置辅助表!$T$1,FALSE)</f>
        <v>0</v>
      </c>
      <c r="M524">
        <f t="shared" ca="1" si="230"/>
        <v>8800</v>
      </c>
      <c r="N524" s="33">
        <f ca="1">CHOOSE(1,W524*U524,X524*'[1]0、经济设定'!$C$18)</f>
        <v>3780</v>
      </c>
      <c r="O524">
        <f t="shared" si="231"/>
        <v>1</v>
      </c>
      <c r="P524">
        <f t="shared" si="232"/>
        <v>2</v>
      </c>
      <c r="Q524">
        <f t="shared" si="233"/>
        <v>1</v>
      </c>
      <c r="R524" s="2">
        <f t="shared" si="234"/>
        <v>2</v>
      </c>
      <c r="S524" s="2">
        <f t="shared" si="235"/>
        <v>50</v>
      </c>
      <c r="T524" s="2">
        <f t="shared" si="236"/>
        <v>107.60869565217392</v>
      </c>
      <c r="U524" s="2">
        <f ca="1">VLOOKUP(E524,金币生产率!$A$2:$B$120,2,0)</f>
        <v>210</v>
      </c>
      <c r="V524" s="2">
        <f t="shared" si="237"/>
        <v>215.21739130434784</v>
      </c>
      <c r="W524" s="45">
        <f t="shared" ca="1" si="250"/>
        <v>18</v>
      </c>
      <c r="X524" s="48">
        <f t="shared" ca="1" si="251"/>
        <v>148</v>
      </c>
      <c r="Y524">
        <f t="shared" si="238"/>
        <v>18</v>
      </c>
      <c r="Z524">
        <f t="shared" ca="1" si="245"/>
        <v>0</v>
      </c>
      <c r="AA524" t="str">
        <f t="shared" ca="1" si="246"/>
        <v>9211100.png</v>
      </c>
      <c r="AB524">
        <f t="shared" si="239"/>
        <v>10</v>
      </c>
      <c r="AC524">
        <f>VLOOKUP(C524,技能辅助查询表,技能配置辅助表!$W$1,FALSE)</f>
        <v>20</v>
      </c>
      <c r="AD524">
        <f t="shared" ca="1" si="247"/>
        <v>15.507605381352544</v>
      </c>
      <c r="AE524">
        <f>VLOOKUP(C524,技能辅助查询表,技能配置辅助表!$U$1,FALSE)</f>
        <v>1</v>
      </c>
      <c r="AF524">
        <f t="shared" ca="1" si="248"/>
        <v>9211112</v>
      </c>
      <c r="AG524">
        <f t="shared" ca="1" si="252"/>
        <v>19.510204081632654</v>
      </c>
      <c r="AH524">
        <f t="shared" ca="1" si="249"/>
        <v>54.974556684819426</v>
      </c>
      <c r="AI524">
        <f ca="1">VLOOKUP(E524,伤害参考系!$C$4:$E$104,3,FALSE)*$AN$12</f>
        <v>691.69255434782622</v>
      </c>
      <c r="AJ524">
        <f>VLOOKUP(C524,技能辅助查询表,技能配置辅助表!$L$1,FALSE)</f>
        <v>2</v>
      </c>
      <c r="AK524">
        <f>VLOOKUP(C524,技能辅助查询表,技能配置辅助表!$AE$1,FALSE)</f>
        <v>66000264</v>
      </c>
    </row>
    <row r="525" spans="1:37" x14ac:dyDescent="0.15">
      <c r="A525" s="1">
        <f t="shared" ca="1" si="240"/>
        <v>9211113</v>
      </c>
      <c r="B525" s="1" t="str">
        <f t="shared" ca="1" si="225"/>
        <v>虎啸</v>
      </c>
      <c r="C525" t="s">
        <v>160</v>
      </c>
      <c r="D525">
        <f t="shared" si="226"/>
        <v>2</v>
      </c>
      <c r="E525" s="42">
        <f t="shared" ca="1" si="241"/>
        <v>22</v>
      </c>
      <c r="F525" t="str">
        <f t="shared" ca="1" si="242"/>
        <v>第13级，共造成243.2%点伤害</v>
      </c>
      <c r="G525">
        <f t="shared" ca="1" si="243"/>
        <v>1</v>
      </c>
      <c r="H525">
        <f t="shared" si="227"/>
        <v>1</v>
      </c>
      <c r="I525" s="44">
        <f t="shared" ca="1" si="244"/>
        <v>13</v>
      </c>
      <c r="J525">
        <f t="shared" si="228"/>
        <v>1</v>
      </c>
      <c r="K525" s="36">
        <f t="shared" ca="1" si="229"/>
        <v>121.59782608695653</v>
      </c>
      <c r="L525" s="10">
        <f ca="1">AH525*VLOOKUP(C525,技能辅助查询表,技能配置辅助表!$T$1,FALSE)</f>
        <v>0</v>
      </c>
      <c r="M525">
        <f t="shared" ca="1" si="230"/>
        <v>8700</v>
      </c>
      <c r="N525" s="33">
        <f ca="1">CHOOSE(1,W525*U525,X525*'[1]0、经济设定'!$C$18)</f>
        <v>4541</v>
      </c>
      <c r="O525">
        <f t="shared" si="231"/>
        <v>1</v>
      </c>
      <c r="P525">
        <f t="shared" si="232"/>
        <v>2</v>
      </c>
      <c r="Q525">
        <f t="shared" si="233"/>
        <v>1</v>
      </c>
      <c r="R525" s="2">
        <f t="shared" si="234"/>
        <v>2</v>
      </c>
      <c r="S525" s="2">
        <f t="shared" si="235"/>
        <v>50</v>
      </c>
      <c r="T525" s="2">
        <f t="shared" si="236"/>
        <v>107.60869565217392</v>
      </c>
      <c r="U525" s="2">
        <f ca="1">VLOOKUP(E525,金币生产率!$A$2:$B$120,2,0)</f>
        <v>239</v>
      </c>
      <c r="V525" s="2">
        <f t="shared" si="237"/>
        <v>215.21739130434784</v>
      </c>
      <c r="W525" s="45">
        <f t="shared" ca="1" si="250"/>
        <v>19</v>
      </c>
      <c r="X525" s="48">
        <f t="shared" ca="1" si="251"/>
        <v>167</v>
      </c>
      <c r="Y525">
        <f t="shared" si="238"/>
        <v>18</v>
      </c>
      <c r="Z525">
        <f t="shared" ca="1" si="245"/>
        <v>0</v>
      </c>
      <c r="AA525" t="str">
        <f t="shared" ca="1" si="246"/>
        <v>9211100.png</v>
      </c>
      <c r="AB525">
        <f t="shared" si="239"/>
        <v>10</v>
      </c>
      <c r="AC525">
        <f>VLOOKUP(C525,技能辅助查询表,技能配置辅助表!$W$1,FALSE)</f>
        <v>20</v>
      </c>
      <c r="AD525">
        <f t="shared" ca="1" si="247"/>
        <v>17.924603498197804</v>
      </c>
      <c r="AE525">
        <f>VLOOKUP(C525,技能辅助查询表,技能配置辅助表!$U$1,FALSE)</f>
        <v>1</v>
      </c>
      <c r="AF525">
        <f t="shared" ca="1" si="248"/>
        <v>9211113</v>
      </c>
      <c r="AG525">
        <f t="shared" ca="1" si="252"/>
        <v>21.102040816326532</v>
      </c>
      <c r="AH525">
        <f t="shared" ca="1" si="249"/>
        <v>62.587806354721323</v>
      </c>
      <c r="AI525">
        <f ca="1">VLOOKUP(E525,伤害参考系!$C$4:$E$104,3,FALSE)*$AN$12</f>
        <v>753.08869565217401</v>
      </c>
      <c r="AJ525">
        <f>VLOOKUP(C525,技能辅助查询表,技能配置辅助表!$L$1,FALSE)</f>
        <v>2</v>
      </c>
      <c r="AK525">
        <f>VLOOKUP(C525,技能辅助查询表,技能配置辅助表!$AE$1,FALSE)</f>
        <v>66000264</v>
      </c>
    </row>
    <row r="526" spans="1:37" x14ac:dyDescent="0.15">
      <c r="A526" s="1">
        <f t="shared" ca="1" si="240"/>
        <v>9211114</v>
      </c>
      <c r="B526" s="1" t="str">
        <f t="shared" ca="1" si="225"/>
        <v>虎啸</v>
      </c>
      <c r="C526" t="s">
        <v>160</v>
      </c>
      <c r="D526">
        <f t="shared" si="226"/>
        <v>2</v>
      </c>
      <c r="E526" s="42">
        <f t="shared" ca="1" si="241"/>
        <v>24</v>
      </c>
      <c r="F526" t="str">
        <f t="shared" ca="1" si="242"/>
        <v>第14级，共造成245.3%点伤害</v>
      </c>
      <c r="G526">
        <f t="shared" ca="1" si="243"/>
        <v>1</v>
      </c>
      <c r="H526">
        <f t="shared" si="227"/>
        <v>1</v>
      </c>
      <c r="I526" s="44">
        <f t="shared" ca="1" si="244"/>
        <v>14</v>
      </c>
      <c r="J526">
        <f t="shared" si="228"/>
        <v>1</v>
      </c>
      <c r="K526" s="36">
        <f t="shared" ca="1" si="229"/>
        <v>122.67391304347827</v>
      </c>
      <c r="L526" s="10">
        <f ca="1">AH526*VLOOKUP(C526,技能辅助查询表,技能配置辅助表!$T$1,FALSE)</f>
        <v>0</v>
      </c>
      <c r="M526">
        <f t="shared" ca="1" si="230"/>
        <v>8600</v>
      </c>
      <c r="N526" s="33">
        <f ca="1">CHOOSE(1,W526*U526,X526*'[1]0、经济设定'!$C$18)</f>
        <v>6040</v>
      </c>
      <c r="O526">
        <f t="shared" si="231"/>
        <v>1</v>
      </c>
      <c r="P526">
        <f t="shared" si="232"/>
        <v>2</v>
      </c>
      <c r="Q526">
        <f t="shared" si="233"/>
        <v>1</v>
      </c>
      <c r="R526" s="2">
        <f t="shared" si="234"/>
        <v>2</v>
      </c>
      <c r="S526" s="2">
        <f t="shared" si="235"/>
        <v>50</v>
      </c>
      <c r="T526" s="2">
        <f t="shared" si="236"/>
        <v>107.60869565217392</v>
      </c>
      <c r="U526" s="2">
        <f ca="1">VLOOKUP(E526,金币生产率!$A$2:$B$120,2,0)</f>
        <v>302</v>
      </c>
      <c r="V526" s="2">
        <f t="shared" si="237"/>
        <v>215.21739130434784</v>
      </c>
      <c r="W526" s="45">
        <f t="shared" ca="1" si="250"/>
        <v>20</v>
      </c>
      <c r="X526" s="48">
        <f t="shared" ca="1" si="251"/>
        <v>187</v>
      </c>
      <c r="Y526">
        <f t="shared" si="238"/>
        <v>18</v>
      </c>
      <c r="Z526">
        <f t="shared" ca="1" si="245"/>
        <v>0</v>
      </c>
      <c r="AA526" t="str">
        <f t="shared" ca="1" si="246"/>
        <v>9211100.png</v>
      </c>
      <c r="AB526">
        <f t="shared" si="239"/>
        <v>10</v>
      </c>
      <c r="AC526">
        <f>VLOOKUP(C526,技能辅助查询表,技能配置辅助表!$W$1,FALSE)</f>
        <v>20</v>
      </c>
      <c r="AD526">
        <f t="shared" ca="1" si="247"/>
        <v>20.713632213123439</v>
      </c>
      <c r="AE526">
        <f>VLOOKUP(C526,技能辅助查询表,技能配置辅助表!$U$1,FALSE)</f>
        <v>1</v>
      </c>
      <c r="AF526">
        <f t="shared" ca="1" si="248"/>
        <v>9211114</v>
      </c>
      <c r="AG526">
        <f t="shared" ca="1" si="252"/>
        <v>22.693877551020407</v>
      </c>
      <c r="AH526">
        <f t="shared" ca="1" si="249"/>
        <v>71.25539050281769</v>
      </c>
      <c r="AI526">
        <f ca="1">VLOOKUP(E526,伤害参考系!$C$4:$E$104,3,FALSE)*$AN$12</f>
        <v>914.59374581939801</v>
      </c>
      <c r="AJ526">
        <f>VLOOKUP(C526,技能辅助查询表,技能配置辅助表!$L$1,FALSE)</f>
        <v>2</v>
      </c>
      <c r="AK526">
        <f>VLOOKUP(C526,技能辅助查询表,技能配置辅助表!$AE$1,FALSE)</f>
        <v>66000264</v>
      </c>
    </row>
    <row r="527" spans="1:37" x14ac:dyDescent="0.15">
      <c r="A527" s="1">
        <f t="shared" ca="1" si="240"/>
        <v>9211115</v>
      </c>
      <c r="B527" s="1" t="str">
        <f t="shared" ca="1" si="225"/>
        <v>虎啸</v>
      </c>
      <c r="C527" t="s">
        <v>160</v>
      </c>
      <c r="D527">
        <f t="shared" si="226"/>
        <v>2</v>
      </c>
      <c r="E527" s="42">
        <f t="shared" ca="1" si="241"/>
        <v>25</v>
      </c>
      <c r="F527" t="str">
        <f t="shared" ca="1" si="242"/>
        <v>第15级，共造成247.5%点伤害</v>
      </c>
      <c r="G527">
        <f t="shared" ca="1" si="243"/>
        <v>1</v>
      </c>
      <c r="H527">
        <f t="shared" si="227"/>
        <v>1</v>
      </c>
      <c r="I527" s="44">
        <f t="shared" ca="1" si="244"/>
        <v>15</v>
      </c>
      <c r="J527">
        <f t="shared" si="228"/>
        <v>1</v>
      </c>
      <c r="K527" s="36">
        <f t="shared" ca="1" si="229"/>
        <v>123.75000000000001</v>
      </c>
      <c r="L527" s="10">
        <f ca="1">AH527*VLOOKUP(C527,技能辅助查询表,技能配置辅助表!$T$1,FALSE)</f>
        <v>0</v>
      </c>
      <c r="M527">
        <f t="shared" ca="1" si="230"/>
        <v>8500</v>
      </c>
      <c r="N527" s="33">
        <f ca="1">CHOOSE(1,W527*U527,X527*'[1]0、经济设定'!$C$18)</f>
        <v>7035</v>
      </c>
      <c r="O527">
        <f t="shared" si="231"/>
        <v>1</v>
      </c>
      <c r="P527">
        <f t="shared" si="232"/>
        <v>2</v>
      </c>
      <c r="Q527">
        <f t="shared" si="233"/>
        <v>1</v>
      </c>
      <c r="R527" s="2">
        <f t="shared" si="234"/>
        <v>2</v>
      </c>
      <c r="S527" s="2">
        <f t="shared" si="235"/>
        <v>50</v>
      </c>
      <c r="T527" s="2">
        <f t="shared" si="236"/>
        <v>107.60869565217392</v>
      </c>
      <c r="U527" s="2">
        <f ca="1">VLOOKUP(E527,金币生产率!$A$2:$B$120,2,0)</f>
        <v>335</v>
      </c>
      <c r="V527" s="2">
        <f t="shared" si="237"/>
        <v>215.21739130434784</v>
      </c>
      <c r="W527" s="45">
        <f t="shared" ca="1" si="250"/>
        <v>21</v>
      </c>
      <c r="X527" s="48">
        <f t="shared" ca="1" si="251"/>
        <v>208</v>
      </c>
      <c r="Y527">
        <f t="shared" si="238"/>
        <v>18</v>
      </c>
      <c r="Z527">
        <f t="shared" ca="1" si="245"/>
        <v>0</v>
      </c>
      <c r="AA527" t="str">
        <f t="shared" ca="1" si="246"/>
        <v>9211100.png</v>
      </c>
      <c r="AB527">
        <f t="shared" si="239"/>
        <v>10</v>
      </c>
      <c r="AC527">
        <f>VLOOKUP(C527,技能辅助查询表,技能配置辅助表!$W$1,FALSE)</f>
        <v>20</v>
      </c>
      <c r="AD527">
        <f t="shared" ca="1" si="247"/>
        <v>23.9313795541131</v>
      </c>
      <c r="AE527">
        <f>VLOOKUP(C527,技能辅助查询表,技能配置辅助表!$U$1,FALSE)</f>
        <v>1</v>
      </c>
      <c r="AF527">
        <f t="shared" ca="1" si="248"/>
        <v>9211115</v>
      </c>
      <c r="AG527">
        <f t="shared" ca="1" si="252"/>
        <v>24.285714285714285</v>
      </c>
      <c r="AH527">
        <f t="shared" ca="1" si="249"/>
        <v>81.123320522417259</v>
      </c>
      <c r="AI527">
        <f ca="1">VLOOKUP(E527,伤害参考系!$C$4:$E$104,3,FALSE)*$AN$12</f>
        <v>1000.3949623745822</v>
      </c>
      <c r="AJ527">
        <f>VLOOKUP(C527,技能辅助查询表,技能配置辅助表!$L$1,FALSE)</f>
        <v>2</v>
      </c>
      <c r="AK527">
        <f>VLOOKUP(C527,技能辅助查询表,技能配置辅助表!$AE$1,FALSE)</f>
        <v>66000264</v>
      </c>
    </row>
    <row r="528" spans="1:37" x14ac:dyDescent="0.15">
      <c r="A528" s="1">
        <f t="shared" ca="1" si="240"/>
        <v>9211116</v>
      </c>
      <c r="B528" s="1" t="str">
        <f t="shared" ca="1" si="225"/>
        <v>虎啸</v>
      </c>
      <c r="C528" t="s">
        <v>160</v>
      </c>
      <c r="D528">
        <f t="shared" si="226"/>
        <v>2</v>
      </c>
      <c r="E528" s="42">
        <f t="shared" ca="1" si="241"/>
        <v>27</v>
      </c>
      <c r="F528" t="str">
        <f t="shared" ca="1" si="242"/>
        <v>第16级，共造成249.7%点伤害</v>
      </c>
      <c r="G528">
        <f t="shared" ca="1" si="243"/>
        <v>1</v>
      </c>
      <c r="H528">
        <f t="shared" si="227"/>
        <v>1</v>
      </c>
      <c r="I528" s="44">
        <f t="shared" ca="1" si="244"/>
        <v>16</v>
      </c>
      <c r="J528">
        <f t="shared" si="228"/>
        <v>1</v>
      </c>
      <c r="K528" s="36">
        <f t="shared" ca="1" si="229"/>
        <v>124.82608695652175</v>
      </c>
      <c r="L528" s="10">
        <f ca="1">AH528*VLOOKUP(C528,技能辅助查询表,技能配置辅助表!$T$1,FALSE)</f>
        <v>0</v>
      </c>
      <c r="M528">
        <f t="shared" ca="1" si="230"/>
        <v>8400</v>
      </c>
      <c r="N528" s="33">
        <f ca="1">CHOOSE(1,W528*U528,X528*'[1]0、经济设定'!$C$18)</f>
        <v>9338</v>
      </c>
      <c r="O528">
        <f t="shared" si="231"/>
        <v>1</v>
      </c>
      <c r="P528">
        <f t="shared" si="232"/>
        <v>2</v>
      </c>
      <c r="Q528">
        <f t="shared" si="233"/>
        <v>1</v>
      </c>
      <c r="R528" s="2">
        <f t="shared" si="234"/>
        <v>2</v>
      </c>
      <c r="S528" s="2">
        <f t="shared" si="235"/>
        <v>50</v>
      </c>
      <c r="T528" s="2">
        <f t="shared" si="236"/>
        <v>107.60869565217392</v>
      </c>
      <c r="U528" s="2">
        <f ca="1">VLOOKUP(E528,金币生产率!$A$2:$B$120,2,0)</f>
        <v>406</v>
      </c>
      <c r="V528" s="2">
        <f t="shared" si="237"/>
        <v>215.21739130434784</v>
      </c>
      <c r="W528" s="45">
        <f t="shared" ca="1" si="250"/>
        <v>23</v>
      </c>
      <c r="X528" s="48">
        <f t="shared" ca="1" si="251"/>
        <v>231</v>
      </c>
      <c r="Y528">
        <f t="shared" si="238"/>
        <v>18</v>
      </c>
      <c r="Z528">
        <f t="shared" ca="1" si="245"/>
        <v>0</v>
      </c>
      <c r="AA528" t="str">
        <f t="shared" ca="1" si="246"/>
        <v>9211100.png</v>
      </c>
      <c r="AB528">
        <f t="shared" si="239"/>
        <v>10</v>
      </c>
      <c r="AC528">
        <f>VLOOKUP(C528,技能辅助查询表,技能配置辅助表!$W$1,FALSE)</f>
        <v>20</v>
      </c>
      <c r="AD528">
        <f t="shared" ca="1" si="247"/>
        <v>27.643099612481603</v>
      </c>
      <c r="AE528">
        <f>VLOOKUP(C528,技能辅助查询表,技能配置辅助表!$U$1,FALSE)</f>
        <v>1</v>
      </c>
      <c r="AF528">
        <f t="shared" ca="1" si="248"/>
        <v>9211116</v>
      </c>
      <c r="AG528">
        <f t="shared" ca="1" si="252"/>
        <v>25.877551020408163</v>
      </c>
      <c r="AH528">
        <f t="shared" ca="1" si="249"/>
        <v>92.357828455414989</v>
      </c>
      <c r="AI528">
        <f ca="1">VLOOKUP(E528,伤害参考系!$C$4:$E$104,3,FALSE)*$AN$12</f>
        <v>1210.5107784280938</v>
      </c>
      <c r="AJ528">
        <f>VLOOKUP(C528,技能辅助查询表,技能配置辅助表!$L$1,FALSE)</f>
        <v>2</v>
      </c>
      <c r="AK528">
        <f>VLOOKUP(C528,技能辅助查询表,技能配置辅助表!$AE$1,FALSE)</f>
        <v>66000264</v>
      </c>
    </row>
    <row r="529" spans="1:37" x14ac:dyDescent="0.15">
      <c r="A529" s="1">
        <f t="shared" ca="1" si="240"/>
        <v>9211117</v>
      </c>
      <c r="B529" s="1" t="str">
        <f t="shared" ca="1" si="225"/>
        <v>虎啸</v>
      </c>
      <c r="C529" t="s">
        <v>160</v>
      </c>
      <c r="D529">
        <f t="shared" si="226"/>
        <v>2</v>
      </c>
      <c r="E529" s="42">
        <f t="shared" ca="1" si="241"/>
        <v>29</v>
      </c>
      <c r="F529" t="str">
        <f t="shared" ca="1" si="242"/>
        <v>第17级，共造成251.8%点伤害</v>
      </c>
      <c r="G529">
        <f t="shared" ca="1" si="243"/>
        <v>1</v>
      </c>
      <c r="H529">
        <f t="shared" si="227"/>
        <v>1</v>
      </c>
      <c r="I529" s="44">
        <f t="shared" ca="1" si="244"/>
        <v>17</v>
      </c>
      <c r="J529">
        <f t="shared" si="228"/>
        <v>1</v>
      </c>
      <c r="K529" s="36">
        <f t="shared" ca="1" si="229"/>
        <v>125.90217391304348</v>
      </c>
      <c r="L529" s="10">
        <f ca="1">AH529*VLOOKUP(C529,技能辅助查询表,技能配置辅助表!$T$1,FALSE)</f>
        <v>0</v>
      </c>
      <c r="M529">
        <f t="shared" ca="1" si="230"/>
        <v>8300</v>
      </c>
      <c r="N529" s="33">
        <f ca="1">CHOOSE(1,W529*U529,X529*'[1]0、经济设定'!$C$18)</f>
        <v>12050</v>
      </c>
      <c r="O529">
        <f t="shared" si="231"/>
        <v>1</v>
      </c>
      <c r="P529">
        <f t="shared" si="232"/>
        <v>2</v>
      </c>
      <c r="Q529">
        <f t="shared" si="233"/>
        <v>1</v>
      </c>
      <c r="R529" s="2">
        <f t="shared" si="234"/>
        <v>2</v>
      </c>
      <c r="S529" s="2">
        <f t="shared" si="235"/>
        <v>50</v>
      </c>
      <c r="T529" s="2">
        <f t="shared" si="236"/>
        <v>107.60869565217392</v>
      </c>
      <c r="U529" s="2">
        <f ca="1">VLOOKUP(E529,金币生产率!$A$2:$B$120,2,0)</f>
        <v>482</v>
      </c>
      <c r="V529" s="2">
        <f t="shared" si="237"/>
        <v>215.21739130434784</v>
      </c>
      <c r="W529" s="45">
        <f t="shared" ca="1" si="250"/>
        <v>25</v>
      </c>
      <c r="X529" s="48">
        <f t="shared" ca="1" si="251"/>
        <v>256</v>
      </c>
      <c r="Y529">
        <f t="shared" si="238"/>
        <v>18</v>
      </c>
      <c r="Z529">
        <f t="shared" ca="1" si="245"/>
        <v>0</v>
      </c>
      <c r="AA529" t="str">
        <f t="shared" ca="1" si="246"/>
        <v>9211100.png</v>
      </c>
      <c r="AB529">
        <f t="shared" si="239"/>
        <v>10</v>
      </c>
      <c r="AC529">
        <f>VLOOKUP(C529,技能辅助查询表,技能配置辅助表!$W$1,FALSE)</f>
        <v>20</v>
      </c>
      <c r="AD529">
        <f t="shared" ca="1" si="247"/>
        <v>31.92389791959322</v>
      </c>
      <c r="AE529">
        <f>VLOOKUP(C529,技能辅助查询表,技能配置辅助表!$U$1,FALSE)</f>
        <v>1</v>
      </c>
      <c r="AF529">
        <f t="shared" ca="1" si="248"/>
        <v>9211117</v>
      </c>
      <c r="AG529">
        <f t="shared" ca="1" si="252"/>
        <v>27.469387755102041</v>
      </c>
      <c r="AH529">
        <f t="shared" ca="1" si="249"/>
        <v>105.14816728492683</v>
      </c>
      <c r="AI529">
        <f ca="1">VLOOKUP(E529,伤害参考系!$C$4:$E$104,3,FALSE)*$AN$12</f>
        <v>1437.1617717391309</v>
      </c>
      <c r="AJ529">
        <f>VLOOKUP(C529,技能辅助查询表,技能配置辅助表!$L$1,FALSE)</f>
        <v>2</v>
      </c>
      <c r="AK529">
        <f>VLOOKUP(C529,技能辅助查询表,技能配置辅助表!$AE$1,FALSE)</f>
        <v>66000264</v>
      </c>
    </row>
    <row r="530" spans="1:37" x14ac:dyDescent="0.15">
      <c r="A530" s="1">
        <f t="shared" ca="1" si="240"/>
        <v>9211118</v>
      </c>
      <c r="B530" s="1" t="str">
        <f t="shared" ca="1" si="225"/>
        <v>虎啸</v>
      </c>
      <c r="C530" t="s">
        <v>160</v>
      </c>
      <c r="D530">
        <f t="shared" si="226"/>
        <v>2</v>
      </c>
      <c r="E530" s="42">
        <f t="shared" ca="1" si="241"/>
        <v>30</v>
      </c>
      <c r="F530" t="str">
        <f t="shared" ca="1" si="242"/>
        <v>第18级，共造成254%点伤害</v>
      </c>
      <c r="G530">
        <f t="shared" ca="1" si="243"/>
        <v>1</v>
      </c>
      <c r="H530">
        <f t="shared" si="227"/>
        <v>1</v>
      </c>
      <c r="I530" s="44">
        <f t="shared" ca="1" si="244"/>
        <v>18</v>
      </c>
      <c r="J530">
        <f t="shared" si="228"/>
        <v>1</v>
      </c>
      <c r="K530" s="36">
        <f t="shared" ca="1" si="229"/>
        <v>126.97826086956522</v>
      </c>
      <c r="L530" s="10">
        <f ca="1">AH530*VLOOKUP(C530,技能辅助查询表,技能配置辅助表!$T$1,FALSE)</f>
        <v>0</v>
      </c>
      <c r="M530">
        <f t="shared" ca="1" si="230"/>
        <v>8200</v>
      </c>
      <c r="N530" s="33">
        <f ca="1">CHOOSE(1,W530*U530,X530*'[1]0、经济设定'!$C$18)</f>
        <v>13572</v>
      </c>
      <c r="O530">
        <f t="shared" si="231"/>
        <v>1</v>
      </c>
      <c r="P530">
        <f t="shared" si="232"/>
        <v>2</v>
      </c>
      <c r="Q530">
        <f t="shared" si="233"/>
        <v>1</v>
      </c>
      <c r="R530" s="2">
        <f t="shared" si="234"/>
        <v>2</v>
      </c>
      <c r="S530" s="2">
        <f t="shared" si="235"/>
        <v>50</v>
      </c>
      <c r="T530" s="2">
        <f t="shared" si="236"/>
        <v>107.60869565217392</v>
      </c>
      <c r="U530" s="2">
        <f ca="1">VLOOKUP(E530,金币生产率!$A$2:$B$120,2,0)</f>
        <v>522</v>
      </c>
      <c r="V530" s="2">
        <f t="shared" si="237"/>
        <v>215.21739130434784</v>
      </c>
      <c r="W530" s="45">
        <f t="shared" ca="1" si="250"/>
        <v>26</v>
      </c>
      <c r="X530" s="48">
        <f t="shared" ca="1" si="251"/>
        <v>282</v>
      </c>
      <c r="Y530">
        <f t="shared" si="238"/>
        <v>18</v>
      </c>
      <c r="Z530">
        <f t="shared" ca="1" si="245"/>
        <v>11</v>
      </c>
      <c r="AA530" t="str">
        <f t="shared" ca="1" si="246"/>
        <v>9211100.png</v>
      </c>
      <c r="AB530">
        <f t="shared" si="239"/>
        <v>10</v>
      </c>
      <c r="AC530">
        <f>VLOOKUP(C530,技能辅助查询表,技能配置辅助表!$W$1,FALSE)</f>
        <v>20</v>
      </c>
      <c r="AD530">
        <f t="shared" ca="1" si="247"/>
        <v>36.860208553945036</v>
      </c>
      <c r="AE530">
        <f>VLOOKUP(C530,技能辅助查询表,技能配置辅助表!$U$1,FALSE)</f>
        <v>1</v>
      </c>
      <c r="AF530">
        <f t="shared" ca="1" si="248"/>
        <v>9211118</v>
      </c>
      <c r="AG530">
        <f t="shared" ca="1" si="252"/>
        <v>29.061224489795919</v>
      </c>
      <c r="AH530">
        <f t="shared" ca="1" si="249"/>
        <v>119.70979903145096</v>
      </c>
      <c r="AI530">
        <f ca="1">VLOOKUP(E530,伤害参考系!$C$4:$E$104,3,FALSE)*$AN$12</f>
        <v>1576.1465593645489</v>
      </c>
      <c r="AJ530">
        <f>VLOOKUP(C530,技能辅助查询表,技能配置辅助表!$L$1,FALSE)</f>
        <v>2</v>
      </c>
      <c r="AK530">
        <f>VLOOKUP(C530,技能辅助查询表,技能配置辅助表!$AE$1,FALSE)</f>
        <v>66000264</v>
      </c>
    </row>
    <row r="531" spans="1:37" x14ac:dyDescent="0.15">
      <c r="A531" s="1">
        <f t="shared" ca="1" si="240"/>
        <v>9211119</v>
      </c>
      <c r="B531" s="1" t="str">
        <f t="shared" ca="1" si="225"/>
        <v>虎啸</v>
      </c>
      <c r="C531" t="s">
        <v>160</v>
      </c>
      <c r="D531">
        <f t="shared" si="226"/>
        <v>2</v>
      </c>
      <c r="E531" s="42">
        <f t="shared" ca="1" si="241"/>
        <v>32</v>
      </c>
      <c r="F531" t="str">
        <f t="shared" ca="1" si="242"/>
        <v>第19级，共造成256.1%点伤害</v>
      </c>
      <c r="G531">
        <f t="shared" ca="1" si="243"/>
        <v>1</v>
      </c>
      <c r="H531">
        <f t="shared" si="227"/>
        <v>1</v>
      </c>
      <c r="I531" s="44">
        <f t="shared" ca="1" si="244"/>
        <v>19</v>
      </c>
      <c r="J531">
        <f t="shared" si="228"/>
        <v>1</v>
      </c>
      <c r="K531" s="36">
        <f t="shared" ca="1" si="229"/>
        <v>128.05434782608697</v>
      </c>
      <c r="L531" s="10">
        <f ca="1">AH531*VLOOKUP(C531,技能辅助查询表,技能配置辅助表!$T$1,FALSE)</f>
        <v>0</v>
      </c>
      <c r="M531">
        <f t="shared" ca="1" si="230"/>
        <v>8100</v>
      </c>
      <c r="N531" s="33">
        <f ca="1">CHOOSE(1,W531*U531,X531*'[1]0、经济设定'!$C$18)</f>
        <v>16968</v>
      </c>
      <c r="O531">
        <f t="shared" si="231"/>
        <v>1</v>
      </c>
      <c r="P531">
        <f t="shared" si="232"/>
        <v>2</v>
      </c>
      <c r="Q531">
        <f t="shared" si="233"/>
        <v>1</v>
      </c>
      <c r="R531" s="2">
        <f t="shared" si="234"/>
        <v>2</v>
      </c>
      <c r="S531" s="2">
        <f t="shared" si="235"/>
        <v>50</v>
      </c>
      <c r="T531" s="2">
        <f t="shared" si="236"/>
        <v>107.60869565217392</v>
      </c>
      <c r="U531" s="2">
        <f ca="1">VLOOKUP(E531,金币生产率!$A$2:$B$120,2,0)</f>
        <v>606</v>
      </c>
      <c r="V531" s="2">
        <f t="shared" si="237"/>
        <v>215.21739130434784</v>
      </c>
      <c r="W531" s="45">
        <f t="shared" ca="1" si="250"/>
        <v>28</v>
      </c>
      <c r="X531" s="48">
        <f t="shared" ca="1" si="251"/>
        <v>310</v>
      </c>
      <c r="Y531">
        <f t="shared" si="238"/>
        <v>18</v>
      </c>
      <c r="Z531">
        <f t="shared" ca="1" si="245"/>
        <v>12</v>
      </c>
      <c r="AA531" t="str">
        <f t="shared" ca="1" si="246"/>
        <v>9211100.png</v>
      </c>
      <c r="AB531">
        <f t="shared" si="239"/>
        <v>10</v>
      </c>
      <c r="AC531">
        <f>VLOOKUP(C531,技能辅助查询表,技能配置辅助表!$W$1,FALSE)</f>
        <v>20</v>
      </c>
      <c r="AD531">
        <f t="shared" ca="1" si="247"/>
        <v>42.551491431147106</v>
      </c>
      <c r="AE531">
        <f>VLOOKUP(C531,技能辅助查询表,技能配置辅助表!$U$1,FALSE)</f>
        <v>1</v>
      </c>
      <c r="AF531">
        <f t="shared" ca="1" si="248"/>
        <v>9211119</v>
      </c>
      <c r="AG531">
        <f t="shared" ca="1" si="252"/>
        <v>30.653061224489797</v>
      </c>
      <c r="AH531">
        <f t="shared" ca="1" si="249"/>
        <v>136.28802435822078</v>
      </c>
      <c r="AI531">
        <f ca="1">VLOOKUP(E531,伤害参考系!$C$4:$E$104,3,FALSE)*$AN$12</f>
        <v>1873.3990785953181</v>
      </c>
      <c r="AJ531">
        <f>VLOOKUP(C531,技能辅助查询表,技能配置辅助表!$L$1,FALSE)</f>
        <v>2</v>
      </c>
      <c r="AK531">
        <f>VLOOKUP(C531,技能辅助查询表,技能配置辅助表!$AE$1,FALSE)</f>
        <v>66000264</v>
      </c>
    </row>
    <row r="532" spans="1:37" x14ac:dyDescent="0.15">
      <c r="A532" s="1">
        <f t="shared" ca="1" si="240"/>
        <v>9211120</v>
      </c>
      <c r="B532" s="1" t="str">
        <f t="shared" ca="1" si="225"/>
        <v>虎啸</v>
      </c>
      <c r="C532" t="s">
        <v>160</v>
      </c>
      <c r="D532">
        <f t="shared" si="226"/>
        <v>2</v>
      </c>
      <c r="E532" s="42">
        <f t="shared" ca="1" si="241"/>
        <v>33</v>
      </c>
      <c r="F532" t="str">
        <f t="shared" ca="1" si="242"/>
        <v>第20级，共造成258.3%点伤害</v>
      </c>
      <c r="G532">
        <f t="shared" ca="1" si="243"/>
        <v>1</v>
      </c>
      <c r="H532">
        <f t="shared" si="227"/>
        <v>1</v>
      </c>
      <c r="I532" s="44">
        <f t="shared" ca="1" si="244"/>
        <v>20</v>
      </c>
      <c r="J532">
        <f t="shared" si="228"/>
        <v>1</v>
      </c>
      <c r="K532" s="36">
        <f t="shared" ca="1" si="229"/>
        <v>129.13043478260872</v>
      </c>
      <c r="L532" s="10">
        <f ca="1">AH532*VLOOKUP(C532,技能辅助查询表,技能配置辅助表!$T$1,FALSE)</f>
        <v>0</v>
      </c>
      <c r="M532">
        <f t="shared" ca="1" si="230"/>
        <v>8000</v>
      </c>
      <c r="N532" s="33">
        <f ca="1">CHOOSE(1,W532*U532,X532*'[1]0、经济设定'!$C$18)</f>
        <v>19530</v>
      </c>
      <c r="O532">
        <f t="shared" si="231"/>
        <v>1</v>
      </c>
      <c r="P532">
        <f t="shared" si="232"/>
        <v>2</v>
      </c>
      <c r="Q532">
        <f t="shared" si="233"/>
        <v>1</v>
      </c>
      <c r="R532" s="2">
        <f t="shared" si="234"/>
        <v>2</v>
      </c>
      <c r="S532" s="2">
        <f t="shared" si="235"/>
        <v>50</v>
      </c>
      <c r="T532" s="2">
        <f t="shared" si="236"/>
        <v>107.60869565217392</v>
      </c>
      <c r="U532" s="2">
        <f ca="1">VLOOKUP(E532,金币生产率!$A$2:$B$120,2,0)</f>
        <v>651</v>
      </c>
      <c r="V532" s="2">
        <f t="shared" si="237"/>
        <v>215.21739130434784</v>
      </c>
      <c r="W532" s="45">
        <f t="shared" ca="1" si="250"/>
        <v>30</v>
      </c>
      <c r="X532" s="48">
        <f t="shared" ca="1" si="251"/>
        <v>340</v>
      </c>
      <c r="Y532">
        <f t="shared" si="238"/>
        <v>18</v>
      </c>
      <c r="Z532">
        <f t="shared" ca="1" si="245"/>
        <v>12</v>
      </c>
      <c r="AA532" t="str">
        <f t="shared" ca="1" si="246"/>
        <v>9211100.png</v>
      </c>
      <c r="AB532">
        <f t="shared" si="239"/>
        <v>10</v>
      </c>
      <c r="AC532">
        <f>VLOOKUP(C532,技能辅助查询表,技能配置辅助表!$W$1,FALSE)</f>
        <v>20</v>
      </c>
      <c r="AD532">
        <f t="shared" ca="1" si="247"/>
        <v>49.11218243281143</v>
      </c>
      <c r="AE532">
        <f>VLOOKUP(C532,技能辅助查询表,技能配置辅助表!$U$1,FALSE)</f>
        <v>1</v>
      </c>
      <c r="AF532">
        <f t="shared" ca="1" si="248"/>
        <v>9211120</v>
      </c>
      <c r="AG532">
        <f t="shared" ca="1" si="252"/>
        <v>32.244897959183675</v>
      </c>
      <c r="AH532">
        <f t="shared" ca="1" si="249"/>
        <v>155.16211482893718</v>
      </c>
      <c r="AI532">
        <f ca="1">VLOOKUP(E532,伤害参考系!$C$4:$E$104,3,FALSE)*$AN$12</f>
        <v>2031.7137667224088</v>
      </c>
      <c r="AJ532">
        <f>VLOOKUP(C532,技能辅助查询表,技能配置辅助表!$L$1,FALSE)</f>
        <v>2</v>
      </c>
      <c r="AK532">
        <f>VLOOKUP(C532,技能辅助查询表,技能配置辅助表!$AE$1,FALSE)</f>
        <v>66000264</v>
      </c>
    </row>
    <row r="533" spans="1:37" x14ac:dyDescent="0.15">
      <c r="A533" s="1">
        <f t="shared" ca="1" si="240"/>
        <v>9211121</v>
      </c>
      <c r="B533" s="1" t="str">
        <f t="shared" ca="1" si="225"/>
        <v>虎啸</v>
      </c>
      <c r="C533" t="s">
        <v>160</v>
      </c>
      <c r="D533">
        <f t="shared" si="226"/>
        <v>2</v>
      </c>
      <c r="E533" s="42">
        <f t="shared" ca="1" si="241"/>
        <v>35</v>
      </c>
      <c r="F533" t="str">
        <f t="shared" ca="1" si="242"/>
        <v>第21级，共造成260.4%点伤害</v>
      </c>
      <c r="G533">
        <f t="shared" ca="1" si="243"/>
        <v>1</v>
      </c>
      <c r="H533">
        <f t="shared" si="227"/>
        <v>1</v>
      </c>
      <c r="I533" s="44">
        <f t="shared" ca="1" si="244"/>
        <v>21</v>
      </c>
      <c r="J533">
        <f t="shared" si="228"/>
        <v>1</v>
      </c>
      <c r="K533" s="36">
        <f t="shared" ca="1" si="229"/>
        <v>130.20652173913044</v>
      </c>
      <c r="L533" s="10">
        <f ca="1">AH533*VLOOKUP(C533,技能辅助查询表,技能配置辅助表!$T$1,FALSE)</f>
        <v>0</v>
      </c>
      <c r="M533">
        <f t="shared" ca="1" si="230"/>
        <v>7900</v>
      </c>
      <c r="N533" s="33">
        <f ca="1">CHOOSE(1,W533*U533,X533*'[1]0、经济设定'!$C$18)</f>
        <v>24519</v>
      </c>
      <c r="O533">
        <f t="shared" si="231"/>
        <v>1</v>
      </c>
      <c r="P533">
        <f t="shared" si="232"/>
        <v>2</v>
      </c>
      <c r="Q533">
        <f t="shared" si="233"/>
        <v>1</v>
      </c>
      <c r="R533" s="2">
        <f t="shared" si="234"/>
        <v>2</v>
      </c>
      <c r="S533" s="2">
        <f t="shared" si="235"/>
        <v>50</v>
      </c>
      <c r="T533" s="2">
        <f t="shared" si="236"/>
        <v>107.60869565217392</v>
      </c>
      <c r="U533" s="2">
        <f ca="1">VLOOKUP(E533,金币生产率!$A$2:$B$120,2,0)</f>
        <v>743</v>
      </c>
      <c r="V533" s="2">
        <f t="shared" si="237"/>
        <v>215.21739130434784</v>
      </c>
      <c r="W533" s="45">
        <f t="shared" ca="1" si="250"/>
        <v>33</v>
      </c>
      <c r="X533" s="48">
        <f t="shared" ca="1" si="251"/>
        <v>373</v>
      </c>
      <c r="Y533">
        <f t="shared" si="238"/>
        <v>18</v>
      </c>
      <c r="Z533">
        <f t="shared" ca="1" si="245"/>
        <v>14</v>
      </c>
      <c r="AA533" t="str">
        <f t="shared" ca="1" si="246"/>
        <v>9211100.png</v>
      </c>
      <c r="AB533">
        <f t="shared" si="239"/>
        <v>10</v>
      </c>
      <c r="AC533">
        <f>VLOOKUP(C533,技能辅助查询表,技能配置辅助表!$W$1,FALSE)</f>
        <v>20</v>
      </c>
      <c r="AD533">
        <f t="shared" ca="1" si="247"/>
        <v>56.673933852417008</v>
      </c>
      <c r="AE533">
        <f>VLOOKUP(C533,技能辅助查询表,技能配置辅助表!$U$1,FALSE)</f>
        <v>1</v>
      </c>
      <c r="AF533">
        <f t="shared" ca="1" si="248"/>
        <v>9211121</v>
      </c>
      <c r="AG533">
        <f t="shared" ca="1" si="252"/>
        <v>33.836734693877553</v>
      </c>
      <c r="AH533">
        <f t="shared" ca="1" si="249"/>
        <v>176.65001742859343</v>
      </c>
      <c r="AI533">
        <f ca="1">VLOOKUP(E533,伤害参考系!$C$4:$E$104,3,FALSE)*$AN$12</f>
        <v>2367.0860869565217</v>
      </c>
      <c r="AJ533">
        <f>VLOOKUP(C533,技能辅助查询表,技能配置辅助表!$L$1,FALSE)</f>
        <v>2</v>
      </c>
      <c r="AK533">
        <f>VLOOKUP(C533,技能辅助查询表,技能配置辅助表!$AE$1,FALSE)</f>
        <v>66000264</v>
      </c>
    </row>
    <row r="534" spans="1:37" x14ac:dyDescent="0.15">
      <c r="A534" s="1">
        <f t="shared" ca="1" si="240"/>
        <v>9211122</v>
      </c>
      <c r="B534" s="1" t="str">
        <f t="shared" ca="1" si="225"/>
        <v>虎啸</v>
      </c>
      <c r="C534" t="s">
        <v>160</v>
      </c>
      <c r="D534">
        <f t="shared" si="226"/>
        <v>2</v>
      </c>
      <c r="E534" s="42">
        <f t="shared" ca="1" si="241"/>
        <v>36</v>
      </c>
      <c r="F534" t="str">
        <f t="shared" ca="1" si="242"/>
        <v>第22级，共造成262.6%点伤害</v>
      </c>
      <c r="G534">
        <f t="shared" ca="1" si="243"/>
        <v>1</v>
      </c>
      <c r="H534">
        <f t="shared" si="227"/>
        <v>1</v>
      </c>
      <c r="I534" s="44">
        <f t="shared" ca="1" si="244"/>
        <v>22</v>
      </c>
      <c r="J534">
        <f t="shared" si="228"/>
        <v>1</v>
      </c>
      <c r="K534" s="36">
        <f t="shared" ca="1" si="229"/>
        <v>131.28260869565219</v>
      </c>
      <c r="L534" s="10">
        <f ca="1">AH534*VLOOKUP(C534,技能辅助查询表,技能配置辅助表!$T$1,FALSE)</f>
        <v>0</v>
      </c>
      <c r="M534">
        <f t="shared" ca="1" si="230"/>
        <v>7800</v>
      </c>
      <c r="N534" s="33">
        <f ca="1">CHOOSE(1,W534*U534,X534*'[1]0、经济设定'!$C$18)</f>
        <v>27685</v>
      </c>
      <c r="O534">
        <f t="shared" si="231"/>
        <v>1</v>
      </c>
      <c r="P534">
        <f t="shared" si="232"/>
        <v>2</v>
      </c>
      <c r="Q534">
        <f t="shared" si="233"/>
        <v>1</v>
      </c>
      <c r="R534" s="2">
        <f t="shared" si="234"/>
        <v>2</v>
      </c>
      <c r="S534" s="2">
        <f t="shared" si="235"/>
        <v>50</v>
      </c>
      <c r="T534" s="2">
        <f t="shared" si="236"/>
        <v>107.60869565217392</v>
      </c>
      <c r="U534" s="2">
        <f ca="1">VLOOKUP(E534,金币生产率!$A$2:$B$120,2,0)</f>
        <v>791</v>
      </c>
      <c r="V534" s="2">
        <f t="shared" si="237"/>
        <v>215.21739130434784</v>
      </c>
      <c r="W534" s="45">
        <f t="shared" ca="1" si="250"/>
        <v>35</v>
      </c>
      <c r="X534" s="48">
        <f t="shared" ca="1" si="251"/>
        <v>408</v>
      </c>
      <c r="Y534">
        <f t="shared" si="238"/>
        <v>18</v>
      </c>
      <c r="Z534">
        <f t="shared" ca="1" si="245"/>
        <v>14</v>
      </c>
      <c r="AA534" t="str">
        <f t="shared" ca="1" si="246"/>
        <v>9211100.png</v>
      </c>
      <c r="AB534">
        <f t="shared" si="239"/>
        <v>10</v>
      </c>
      <c r="AC534">
        <f>VLOOKUP(C534,技能辅助查询表,技能配置辅助表!$W$1,FALSE)</f>
        <v>20</v>
      </c>
      <c r="AD534">
        <f t="shared" ca="1" si="247"/>
        <v>65.388188167559235</v>
      </c>
      <c r="AE534">
        <f>VLOOKUP(C534,技能辅助查询表,技能配置辅助表!$U$1,FALSE)</f>
        <v>1</v>
      </c>
      <c r="AF534">
        <f t="shared" ca="1" si="248"/>
        <v>9211122</v>
      </c>
      <c r="AG534">
        <f t="shared" ca="1" si="252"/>
        <v>35.428571428571431</v>
      </c>
      <c r="AH534">
        <f t="shared" ca="1" si="249"/>
        <v>201.11371059826985</v>
      </c>
      <c r="AI534">
        <f ca="1">VLOOKUP(E534,伤害参考系!$C$4:$E$104,3,FALSE)*$AN$12</f>
        <v>2544.1437190635456</v>
      </c>
      <c r="AJ534">
        <f>VLOOKUP(C534,技能辅助查询表,技能配置辅助表!$L$1,FALSE)</f>
        <v>2</v>
      </c>
      <c r="AK534">
        <f>VLOOKUP(C534,技能辅助查询表,技能配置辅助表!$AE$1,FALSE)</f>
        <v>66000264</v>
      </c>
    </row>
    <row r="535" spans="1:37" x14ac:dyDescent="0.15">
      <c r="A535" s="1">
        <f t="shared" ca="1" si="240"/>
        <v>9211123</v>
      </c>
      <c r="B535" s="1" t="str">
        <f t="shared" ca="1" si="225"/>
        <v>虎啸</v>
      </c>
      <c r="C535" t="s">
        <v>160</v>
      </c>
      <c r="D535">
        <f t="shared" si="226"/>
        <v>2</v>
      </c>
      <c r="E535" s="42">
        <f t="shared" ca="1" si="241"/>
        <v>38</v>
      </c>
      <c r="F535" t="str">
        <f t="shared" ca="1" si="242"/>
        <v>第23级，共造成264.7%点伤害</v>
      </c>
      <c r="G535">
        <f t="shared" ca="1" si="243"/>
        <v>1</v>
      </c>
      <c r="H535">
        <f t="shared" si="227"/>
        <v>1</v>
      </c>
      <c r="I535" s="44">
        <f t="shared" ca="1" si="244"/>
        <v>23</v>
      </c>
      <c r="J535">
        <f t="shared" si="228"/>
        <v>1</v>
      </c>
      <c r="K535" s="36">
        <f t="shared" ca="1" si="229"/>
        <v>132.35869565217394</v>
      </c>
      <c r="L535" s="10">
        <f ca="1">AH535*VLOOKUP(C535,技能辅助查询表,技能配置辅助表!$T$1,FALSE)</f>
        <v>0</v>
      </c>
      <c r="M535">
        <f t="shared" ca="1" si="230"/>
        <v>7700</v>
      </c>
      <c r="N535" s="33">
        <f ca="1">CHOOSE(1,W535*U535,X535*'[1]0、经济设定'!$C$18)</f>
        <v>33004</v>
      </c>
      <c r="O535">
        <f t="shared" si="231"/>
        <v>1</v>
      </c>
      <c r="P535">
        <f t="shared" si="232"/>
        <v>2</v>
      </c>
      <c r="Q535">
        <f t="shared" si="233"/>
        <v>1</v>
      </c>
      <c r="R535" s="2">
        <f t="shared" si="234"/>
        <v>2</v>
      </c>
      <c r="S535" s="2">
        <f t="shared" si="235"/>
        <v>50</v>
      </c>
      <c r="T535" s="2">
        <f t="shared" si="236"/>
        <v>107.60869565217392</v>
      </c>
      <c r="U535" s="2">
        <f ca="1">VLOOKUP(E535,金币生产率!$A$2:$B$120,2,0)</f>
        <v>892</v>
      </c>
      <c r="V535" s="2">
        <f t="shared" si="237"/>
        <v>215.21739130434784</v>
      </c>
      <c r="W535" s="45">
        <f t="shared" ca="1" si="250"/>
        <v>37</v>
      </c>
      <c r="X535" s="48">
        <f t="shared" ca="1" si="251"/>
        <v>445</v>
      </c>
      <c r="Y535">
        <f t="shared" si="238"/>
        <v>18</v>
      </c>
      <c r="Z535">
        <f t="shared" ca="1" si="245"/>
        <v>15</v>
      </c>
      <c r="AA535" t="str">
        <f t="shared" ca="1" si="246"/>
        <v>9211100.png</v>
      </c>
      <c r="AB535">
        <f t="shared" si="239"/>
        <v>10</v>
      </c>
      <c r="AC535">
        <f>VLOOKUP(C535,技能辅助查询表,技能配置辅助表!$W$1,FALSE)</f>
        <v>20</v>
      </c>
      <c r="AD535">
        <f t="shared" ca="1" si="247"/>
        <v>75.429134492589327</v>
      </c>
      <c r="AE535">
        <f>VLOOKUP(C535,技能辅助查询表,技能配置辅助表!$U$1,FALSE)</f>
        <v>1</v>
      </c>
      <c r="AF535">
        <f t="shared" ca="1" si="248"/>
        <v>9211123</v>
      </c>
      <c r="AG535">
        <f t="shared" ca="1" si="252"/>
        <v>37.020408163265309</v>
      </c>
      <c r="AH535">
        <f t="shared" ca="1" si="249"/>
        <v>228.96530200997151</v>
      </c>
      <c r="AI535">
        <f ca="1">VLOOKUP(E535,伤害参考系!$C$4:$E$104,3,FALSE)*$AN$12</f>
        <v>2917.001927257525</v>
      </c>
      <c r="AJ535">
        <f>VLOOKUP(C535,技能辅助查询表,技能配置辅助表!$L$1,FALSE)</f>
        <v>2</v>
      </c>
      <c r="AK535">
        <f>VLOOKUP(C535,技能辅助查询表,技能配置辅助表!$AE$1,FALSE)</f>
        <v>66000264</v>
      </c>
    </row>
    <row r="536" spans="1:37" x14ac:dyDescent="0.15">
      <c r="A536" s="1">
        <f t="shared" ca="1" si="240"/>
        <v>9211124</v>
      </c>
      <c r="B536" s="1" t="str">
        <f t="shared" ca="1" si="225"/>
        <v>虎啸</v>
      </c>
      <c r="C536" t="s">
        <v>160</v>
      </c>
      <c r="D536">
        <f t="shared" si="226"/>
        <v>2</v>
      </c>
      <c r="E536" s="42">
        <f t="shared" ca="1" si="241"/>
        <v>39</v>
      </c>
      <c r="F536" t="str">
        <f t="shared" ca="1" si="242"/>
        <v>第24级，共造成266.9%点伤害</v>
      </c>
      <c r="G536">
        <f t="shared" ca="1" si="243"/>
        <v>1</v>
      </c>
      <c r="H536">
        <f t="shared" si="227"/>
        <v>1</v>
      </c>
      <c r="I536" s="44">
        <f t="shared" ca="1" si="244"/>
        <v>24</v>
      </c>
      <c r="J536">
        <f t="shared" si="228"/>
        <v>1</v>
      </c>
      <c r="K536" s="36">
        <f t="shared" ca="1" si="229"/>
        <v>133.43478260869566</v>
      </c>
      <c r="L536" s="10">
        <f ca="1">AH536*VLOOKUP(C536,技能辅助查询表,技能配置辅助表!$T$1,FALSE)</f>
        <v>0</v>
      </c>
      <c r="M536">
        <f t="shared" ca="1" si="230"/>
        <v>7600</v>
      </c>
      <c r="N536" s="33">
        <f ca="1">CHOOSE(1,W536*U536,X536*'[1]0、经济设定'!$C$18)</f>
        <v>37760</v>
      </c>
      <c r="O536">
        <f t="shared" si="231"/>
        <v>1</v>
      </c>
      <c r="P536">
        <f t="shared" si="232"/>
        <v>2</v>
      </c>
      <c r="Q536">
        <f t="shared" si="233"/>
        <v>1</v>
      </c>
      <c r="R536" s="2">
        <f t="shared" si="234"/>
        <v>2</v>
      </c>
      <c r="S536" s="2">
        <f t="shared" si="235"/>
        <v>50</v>
      </c>
      <c r="T536" s="2">
        <f t="shared" si="236"/>
        <v>107.60869565217392</v>
      </c>
      <c r="U536" s="2">
        <f ca="1">VLOOKUP(E536,金币生产率!$A$2:$B$120,2,0)</f>
        <v>944</v>
      </c>
      <c r="V536" s="2">
        <f t="shared" si="237"/>
        <v>215.21739130434784</v>
      </c>
      <c r="W536" s="45">
        <f t="shared" ca="1" si="250"/>
        <v>40</v>
      </c>
      <c r="X536" s="48">
        <f t="shared" ca="1" si="251"/>
        <v>485</v>
      </c>
      <c r="Y536">
        <f t="shared" si="238"/>
        <v>18</v>
      </c>
      <c r="Z536">
        <f t="shared" ca="1" si="245"/>
        <v>16</v>
      </c>
      <c r="AA536" t="str">
        <f t="shared" ca="1" si="246"/>
        <v>9211100.png</v>
      </c>
      <c r="AB536">
        <f t="shared" si="239"/>
        <v>10</v>
      </c>
      <c r="AC536">
        <f>VLOOKUP(C536,技能辅助查询表,技能配置辅助表!$W$1,FALSE)</f>
        <v>20</v>
      </c>
      <c r="AD536">
        <f t="shared" ca="1" si="247"/>
        <v>86.997104342677318</v>
      </c>
      <c r="AE536">
        <f>VLOOKUP(C536,技能辅助查询表,技能配置辅助表!$U$1,FALSE)</f>
        <v>1</v>
      </c>
      <c r="AF536">
        <f t="shared" ca="1" si="248"/>
        <v>9211124</v>
      </c>
      <c r="AG536">
        <f t="shared" ca="1" si="252"/>
        <v>38.612244897959187</v>
      </c>
      <c r="AH536">
        <f t="shared" ca="1" si="249"/>
        <v>260.67397080270689</v>
      </c>
      <c r="AI536">
        <f ca="1">VLOOKUP(E536,伤害参考系!$C$4:$E$104,3,FALSE)*$AN$12</f>
        <v>3112.8025033444819</v>
      </c>
      <c r="AJ536">
        <f>VLOOKUP(C536,技能辅助查询表,技能配置辅助表!$L$1,FALSE)</f>
        <v>2</v>
      </c>
      <c r="AK536">
        <f>VLOOKUP(C536,技能辅助查询表,技能配置辅助表!$AE$1,FALSE)</f>
        <v>66000264</v>
      </c>
    </row>
    <row r="537" spans="1:37" x14ac:dyDescent="0.15">
      <c r="A537" s="1">
        <f t="shared" ca="1" si="240"/>
        <v>9211125</v>
      </c>
      <c r="B537" s="1" t="str">
        <f t="shared" ca="1" si="225"/>
        <v>虎啸</v>
      </c>
      <c r="C537" t="s">
        <v>160</v>
      </c>
      <c r="D537">
        <f t="shared" si="226"/>
        <v>2</v>
      </c>
      <c r="E537" s="42">
        <f t="shared" ca="1" si="241"/>
        <v>41</v>
      </c>
      <c r="F537" t="str">
        <f t="shared" ca="1" si="242"/>
        <v>第25级，共造成269%点伤害</v>
      </c>
      <c r="G537">
        <f t="shared" ca="1" si="243"/>
        <v>1</v>
      </c>
      <c r="H537">
        <f t="shared" si="227"/>
        <v>1</v>
      </c>
      <c r="I537" s="44">
        <f t="shared" ca="1" si="244"/>
        <v>25</v>
      </c>
      <c r="J537">
        <f t="shared" si="228"/>
        <v>1</v>
      </c>
      <c r="K537" s="36">
        <f t="shared" ca="1" si="229"/>
        <v>134.5108695652174</v>
      </c>
      <c r="L537" s="10">
        <f ca="1">AH537*VLOOKUP(C537,技能辅助查询表,技能配置辅助表!$T$1,FALSE)</f>
        <v>0</v>
      </c>
      <c r="M537">
        <f t="shared" ca="1" si="230"/>
        <v>7500</v>
      </c>
      <c r="N537" s="33">
        <f ca="1">CHOOSE(1,W537*U537,X537*'[1]0、经济设定'!$C$18)</f>
        <v>45279</v>
      </c>
      <c r="O537">
        <f t="shared" si="231"/>
        <v>1</v>
      </c>
      <c r="P537">
        <f t="shared" si="232"/>
        <v>2</v>
      </c>
      <c r="Q537">
        <f t="shared" si="233"/>
        <v>1</v>
      </c>
      <c r="R537" s="2">
        <f t="shared" si="234"/>
        <v>2</v>
      </c>
      <c r="S537" s="2">
        <f t="shared" si="235"/>
        <v>50</v>
      </c>
      <c r="T537" s="2">
        <f t="shared" si="236"/>
        <v>107.60869565217392</v>
      </c>
      <c r="U537" s="2">
        <f ca="1">VLOOKUP(E537,金币生产率!$A$2:$B$120,2,0)</f>
        <v>1053</v>
      </c>
      <c r="V537" s="2">
        <f t="shared" si="237"/>
        <v>215.21739130434784</v>
      </c>
      <c r="W537" s="45">
        <f t="shared" ca="1" si="250"/>
        <v>43</v>
      </c>
      <c r="X537" s="48">
        <f t="shared" ca="1" si="251"/>
        <v>528</v>
      </c>
      <c r="Y537">
        <f t="shared" si="238"/>
        <v>18</v>
      </c>
      <c r="Z537">
        <f t="shared" ca="1" si="245"/>
        <v>18</v>
      </c>
      <c r="AA537" t="str">
        <f t="shared" ca="1" si="246"/>
        <v>9211100.png</v>
      </c>
      <c r="AB537">
        <f t="shared" si="239"/>
        <v>10</v>
      </c>
      <c r="AC537">
        <f>VLOOKUP(C537,技能辅助查询表,技能配置辅助表!$W$1,FALSE)</f>
        <v>20</v>
      </c>
      <c r="AD537">
        <f t="shared" ca="1" si="247"/>
        <v>100.32247168635919</v>
      </c>
      <c r="AE537">
        <f>VLOOKUP(C537,技能辅助查询表,技能配置辅助表!$U$1,FALSE)</f>
        <v>1</v>
      </c>
      <c r="AF537">
        <f t="shared" ca="1" si="248"/>
        <v>9211125</v>
      </c>
      <c r="AG537">
        <f t="shared" ca="1" si="252"/>
        <v>40.204081632653065</v>
      </c>
      <c r="AH537">
        <f t="shared" ca="1" si="249"/>
        <v>296.77387122652874</v>
      </c>
      <c r="AI537">
        <f ca="1">VLOOKUP(E537,伤害参考系!$C$4:$E$104,3,FALSE)*$AN$12</f>
        <v>3584.9561889632118</v>
      </c>
      <c r="AJ537">
        <f>VLOOKUP(C537,技能辅助查询表,技能配置辅助表!$L$1,FALSE)</f>
        <v>2</v>
      </c>
      <c r="AK537">
        <f>VLOOKUP(C537,技能辅助查询表,技能配置辅助表!$AE$1,FALSE)</f>
        <v>66000264</v>
      </c>
    </row>
    <row r="538" spans="1:37" x14ac:dyDescent="0.15">
      <c r="A538" s="1">
        <f t="shared" ca="1" si="240"/>
        <v>9211126</v>
      </c>
      <c r="B538" s="1" t="str">
        <f t="shared" ca="1" si="225"/>
        <v>虎啸</v>
      </c>
      <c r="C538" t="s">
        <v>160</v>
      </c>
      <c r="D538">
        <f t="shared" si="226"/>
        <v>2</v>
      </c>
      <c r="E538" s="42">
        <f t="shared" ca="1" si="241"/>
        <v>43</v>
      </c>
      <c r="F538" t="str">
        <f t="shared" ca="1" si="242"/>
        <v>第26级，共造成271.2%点伤害</v>
      </c>
      <c r="G538">
        <f t="shared" ca="1" si="243"/>
        <v>1</v>
      </c>
      <c r="H538">
        <f t="shared" si="227"/>
        <v>1</v>
      </c>
      <c r="I538" s="44">
        <f t="shared" ca="1" si="244"/>
        <v>26</v>
      </c>
      <c r="J538">
        <f t="shared" si="228"/>
        <v>1</v>
      </c>
      <c r="K538" s="36">
        <f t="shared" ca="1" si="229"/>
        <v>135.58695652173913</v>
      </c>
      <c r="L538" s="10">
        <f ca="1">AH538*VLOOKUP(C538,技能辅助查询表,技能配置辅助表!$T$1,FALSE)</f>
        <v>0</v>
      </c>
      <c r="M538">
        <f t="shared" ca="1" si="230"/>
        <v>7400</v>
      </c>
      <c r="N538" s="33">
        <f ca="1">CHOOSE(1,W538*U538,X538*'[1]0、经济设定'!$C$18)</f>
        <v>53682</v>
      </c>
      <c r="O538">
        <f t="shared" si="231"/>
        <v>1</v>
      </c>
      <c r="P538">
        <f t="shared" si="232"/>
        <v>2</v>
      </c>
      <c r="Q538">
        <f t="shared" si="233"/>
        <v>1</v>
      </c>
      <c r="R538" s="2">
        <f t="shared" si="234"/>
        <v>2</v>
      </c>
      <c r="S538" s="2">
        <f t="shared" si="235"/>
        <v>50</v>
      </c>
      <c r="T538" s="2">
        <f t="shared" si="236"/>
        <v>107.60869565217392</v>
      </c>
      <c r="U538" s="2">
        <f ca="1">VLOOKUP(E538,金币生产率!$A$2:$B$120,2,0)</f>
        <v>1167</v>
      </c>
      <c r="V538" s="2">
        <f t="shared" si="237"/>
        <v>215.21739130434784</v>
      </c>
      <c r="W538" s="45">
        <f t="shared" ca="1" si="250"/>
        <v>46</v>
      </c>
      <c r="X538" s="48">
        <f t="shared" ca="1" si="251"/>
        <v>574</v>
      </c>
      <c r="Y538">
        <f t="shared" si="238"/>
        <v>18</v>
      </c>
      <c r="Z538">
        <f t="shared" ca="1" si="245"/>
        <v>19</v>
      </c>
      <c r="AA538" t="str">
        <f t="shared" ca="1" si="246"/>
        <v>9211100.png</v>
      </c>
      <c r="AB538">
        <f t="shared" si="239"/>
        <v>10</v>
      </c>
      <c r="AC538">
        <f>VLOOKUP(C538,技能辅助查询表,技能配置辅助表!$W$1,FALSE)</f>
        <v>20</v>
      </c>
      <c r="AD538">
        <f t="shared" ca="1" si="247"/>
        <v>115.67013183518421</v>
      </c>
      <c r="AE538">
        <f>VLOOKUP(C538,技能辅助查询表,技能配置辅助表!$U$1,FALSE)</f>
        <v>1</v>
      </c>
      <c r="AF538">
        <f t="shared" ca="1" si="248"/>
        <v>9211126</v>
      </c>
      <c r="AG538">
        <f t="shared" ca="1" si="252"/>
        <v>41.795918367346935</v>
      </c>
      <c r="AH538">
        <f t="shared" ca="1" si="249"/>
        <v>337.87313083683472</v>
      </c>
      <c r="AI538">
        <f ca="1">VLOOKUP(E538,伤害参考系!$C$4:$E$104,3,FALSE)*$AN$12</f>
        <v>4090.4306638795993</v>
      </c>
      <c r="AJ538">
        <f>VLOOKUP(C538,技能辅助查询表,技能配置辅助表!$L$1,FALSE)</f>
        <v>2</v>
      </c>
      <c r="AK538">
        <f>VLOOKUP(C538,技能辅助查询表,技能配置辅助表!$AE$1,FALSE)</f>
        <v>66000264</v>
      </c>
    </row>
    <row r="539" spans="1:37" x14ac:dyDescent="0.15">
      <c r="A539" s="1">
        <f t="shared" ca="1" si="240"/>
        <v>9211127</v>
      </c>
      <c r="B539" s="1" t="str">
        <f t="shared" ca="1" si="225"/>
        <v>虎啸</v>
      </c>
      <c r="C539" t="s">
        <v>160</v>
      </c>
      <c r="D539">
        <f t="shared" si="226"/>
        <v>2</v>
      </c>
      <c r="E539" s="42">
        <f t="shared" ca="1" si="241"/>
        <v>44</v>
      </c>
      <c r="F539" t="str">
        <f t="shared" ca="1" si="242"/>
        <v>第27级，共造成273.3%点伤害</v>
      </c>
      <c r="G539">
        <f t="shared" ca="1" si="243"/>
        <v>1</v>
      </c>
      <c r="H539">
        <f t="shared" si="227"/>
        <v>1</v>
      </c>
      <c r="I539" s="44">
        <f t="shared" ca="1" si="244"/>
        <v>27</v>
      </c>
      <c r="J539">
        <f t="shared" si="228"/>
        <v>1</v>
      </c>
      <c r="K539" s="36">
        <f t="shared" ca="1" si="229"/>
        <v>136.66304347826087</v>
      </c>
      <c r="L539" s="10">
        <f ca="1">AH539*VLOOKUP(C539,技能辅助查询表,技能配置辅助表!$T$1,FALSE)</f>
        <v>0</v>
      </c>
      <c r="M539">
        <f t="shared" ca="1" si="230"/>
        <v>7300</v>
      </c>
      <c r="N539" s="33">
        <f ca="1">CHOOSE(1,W539*U539,X539*'[1]0、经济设定'!$C$18)</f>
        <v>60074</v>
      </c>
      <c r="O539">
        <f t="shared" si="231"/>
        <v>1</v>
      </c>
      <c r="P539">
        <f t="shared" si="232"/>
        <v>2</v>
      </c>
      <c r="Q539">
        <f t="shared" si="233"/>
        <v>1</v>
      </c>
      <c r="R539" s="2">
        <f t="shared" si="234"/>
        <v>2</v>
      </c>
      <c r="S539" s="2">
        <f t="shared" si="235"/>
        <v>50</v>
      </c>
      <c r="T539" s="2">
        <f t="shared" si="236"/>
        <v>107.60869565217392</v>
      </c>
      <c r="U539" s="2">
        <f ca="1">VLOOKUP(E539,金币生产率!$A$2:$B$120,2,0)</f>
        <v>1226</v>
      </c>
      <c r="V539" s="2">
        <f t="shared" si="237"/>
        <v>215.21739130434784</v>
      </c>
      <c r="W539" s="45">
        <f t="shared" ca="1" si="250"/>
        <v>49</v>
      </c>
      <c r="X539" s="48">
        <f t="shared" ca="1" si="251"/>
        <v>623</v>
      </c>
      <c r="Y539">
        <f t="shared" si="238"/>
        <v>18</v>
      </c>
      <c r="Z539">
        <f t="shared" ca="1" si="245"/>
        <v>20</v>
      </c>
      <c r="AA539" t="str">
        <f t="shared" ca="1" si="246"/>
        <v>9211100.png</v>
      </c>
      <c r="AB539">
        <f t="shared" si="239"/>
        <v>10</v>
      </c>
      <c r="AC539">
        <f>VLOOKUP(C539,技能辅助查询表,技能配置辅助表!$W$1,FALSE)</f>
        <v>20</v>
      </c>
      <c r="AD539">
        <f t="shared" ca="1" si="247"/>
        <v>133.34464469553504</v>
      </c>
      <c r="AE539">
        <f>VLOOKUP(C539,技能辅助查询表,技能配置辅助表!$U$1,FALSE)</f>
        <v>1</v>
      </c>
      <c r="AF539">
        <f t="shared" ca="1" si="248"/>
        <v>9211127</v>
      </c>
      <c r="AG539">
        <f t="shared" ca="1" si="252"/>
        <v>43.387755102040813</v>
      </c>
      <c r="AH539">
        <f t="shared" ca="1" si="249"/>
        <v>384.66409481967975</v>
      </c>
      <c r="AI539">
        <f ca="1">VLOOKUP(E539,伤害参考系!$C$4:$E$104,3,FALSE)*$AN$12</f>
        <v>4355.6631973244148</v>
      </c>
      <c r="AJ539">
        <f>VLOOKUP(C539,技能辅助查询表,技能配置辅助表!$L$1,FALSE)</f>
        <v>2</v>
      </c>
      <c r="AK539">
        <f>VLOOKUP(C539,技能辅助查询表,技能配置辅助表!$AE$1,FALSE)</f>
        <v>66000264</v>
      </c>
    </row>
    <row r="540" spans="1:37" x14ac:dyDescent="0.15">
      <c r="A540" s="1">
        <f t="shared" ca="1" si="240"/>
        <v>9211128</v>
      </c>
      <c r="B540" s="1" t="str">
        <f t="shared" ca="1" si="225"/>
        <v>虎啸</v>
      </c>
      <c r="C540" t="s">
        <v>160</v>
      </c>
      <c r="D540">
        <f t="shared" si="226"/>
        <v>2</v>
      </c>
      <c r="E540" s="42">
        <f t="shared" ca="1" si="241"/>
        <v>46</v>
      </c>
      <c r="F540" t="str">
        <f t="shared" ca="1" si="242"/>
        <v>第28级，共造成275.5%点伤害</v>
      </c>
      <c r="G540">
        <f t="shared" ca="1" si="243"/>
        <v>1</v>
      </c>
      <c r="H540">
        <f t="shared" si="227"/>
        <v>1</v>
      </c>
      <c r="I540" s="44">
        <f t="shared" ca="1" si="244"/>
        <v>28</v>
      </c>
      <c r="J540">
        <f t="shared" si="228"/>
        <v>1</v>
      </c>
      <c r="K540" s="36">
        <f t="shared" ca="1" si="229"/>
        <v>137.73913043478262</v>
      </c>
      <c r="L540" s="10">
        <f ca="1">AH540*VLOOKUP(C540,技能辅助查询表,技能配置辅助表!$T$1,FALSE)</f>
        <v>0</v>
      </c>
      <c r="M540">
        <f t="shared" ca="1" si="230"/>
        <v>7200</v>
      </c>
      <c r="N540" s="33">
        <f ca="1">CHOOSE(1,W540*U540,X540*'[1]0、经济设定'!$C$18)</f>
        <v>70148</v>
      </c>
      <c r="O540">
        <f t="shared" si="231"/>
        <v>1</v>
      </c>
      <c r="P540">
        <f t="shared" si="232"/>
        <v>2</v>
      </c>
      <c r="Q540">
        <f t="shared" si="233"/>
        <v>1</v>
      </c>
      <c r="R540" s="2">
        <f t="shared" si="234"/>
        <v>2</v>
      </c>
      <c r="S540" s="2">
        <f t="shared" si="235"/>
        <v>50</v>
      </c>
      <c r="T540" s="2">
        <f t="shared" si="236"/>
        <v>107.60869565217392</v>
      </c>
      <c r="U540" s="2">
        <f ca="1">VLOOKUP(E540,金币生产率!$A$2:$B$120,2,0)</f>
        <v>1349</v>
      </c>
      <c r="V540" s="2">
        <f t="shared" si="237"/>
        <v>215.21739130434784</v>
      </c>
      <c r="W540" s="45">
        <f t="shared" ca="1" si="250"/>
        <v>52</v>
      </c>
      <c r="X540" s="48">
        <f t="shared" ca="1" si="251"/>
        <v>675</v>
      </c>
      <c r="Y540">
        <f t="shared" si="238"/>
        <v>18</v>
      </c>
      <c r="Z540">
        <f t="shared" ca="1" si="245"/>
        <v>21</v>
      </c>
      <c r="AA540" t="str">
        <f t="shared" ca="1" si="246"/>
        <v>9211100.png</v>
      </c>
      <c r="AB540">
        <f t="shared" si="239"/>
        <v>10</v>
      </c>
      <c r="AC540">
        <f>VLOOKUP(C540,技能辅助查询表,技能配置辅助表!$W$1,FALSE)</f>
        <v>20</v>
      </c>
      <c r="AD540">
        <f t="shared" ca="1" si="247"/>
        <v>153.69614049459489</v>
      </c>
      <c r="AE540">
        <f>VLOOKUP(C540,技能辅助查询表,技能配置辅助表!$U$1,FALSE)</f>
        <v>1</v>
      </c>
      <c r="AF540">
        <f t="shared" ca="1" si="248"/>
        <v>9211128</v>
      </c>
      <c r="AG540">
        <f t="shared" ca="1" si="252"/>
        <v>44.979591836734691</v>
      </c>
      <c r="AH540">
        <f t="shared" ca="1" si="249"/>
        <v>437.93498902077317</v>
      </c>
      <c r="AI540">
        <f ca="1">VLOOKUP(E540,伤害参考系!$C$4:$E$104,3,FALSE)*$AN$12</f>
        <v>4911.1188561872923</v>
      </c>
      <c r="AJ540">
        <f>VLOOKUP(C540,技能辅助查询表,技能配置辅助表!$L$1,FALSE)</f>
        <v>2</v>
      </c>
      <c r="AK540">
        <f>VLOOKUP(C540,技能辅助查询表,技能配置辅助表!$AE$1,FALSE)</f>
        <v>66000264</v>
      </c>
    </row>
    <row r="541" spans="1:37" x14ac:dyDescent="0.15">
      <c r="A541" s="1">
        <f t="shared" ca="1" si="240"/>
        <v>9211129</v>
      </c>
      <c r="B541" s="1" t="str">
        <f t="shared" ca="1" si="225"/>
        <v>虎啸</v>
      </c>
      <c r="C541" t="s">
        <v>160</v>
      </c>
      <c r="D541">
        <f t="shared" si="226"/>
        <v>2</v>
      </c>
      <c r="E541" s="42">
        <f t="shared" ca="1" si="241"/>
        <v>47</v>
      </c>
      <c r="F541" t="str">
        <f t="shared" ca="1" si="242"/>
        <v>第29级，共造成277.6%点伤害</v>
      </c>
      <c r="G541">
        <f t="shared" ca="1" si="243"/>
        <v>1</v>
      </c>
      <c r="H541">
        <f t="shared" si="227"/>
        <v>1</v>
      </c>
      <c r="I541" s="44">
        <f t="shared" ca="1" si="244"/>
        <v>29</v>
      </c>
      <c r="J541">
        <f t="shared" si="228"/>
        <v>1</v>
      </c>
      <c r="K541" s="36">
        <f t="shared" ca="1" si="229"/>
        <v>138.81521739130437</v>
      </c>
      <c r="L541" s="10">
        <f ca="1">AH541*VLOOKUP(C541,技能辅助查询表,技能配置辅助表!$T$1,FALSE)</f>
        <v>0</v>
      </c>
      <c r="M541">
        <f t="shared" ca="1" si="230"/>
        <v>7100</v>
      </c>
      <c r="N541" s="33">
        <f ca="1">CHOOSE(1,W541*U541,X541*'[1]0、经济设定'!$C$18)</f>
        <v>79072</v>
      </c>
      <c r="O541">
        <f t="shared" si="231"/>
        <v>1</v>
      </c>
      <c r="P541">
        <f t="shared" si="232"/>
        <v>2</v>
      </c>
      <c r="Q541">
        <f t="shared" si="233"/>
        <v>1</v>
      </c>
      <c r="R541" s="2">
        <f t="shared" si="234"/>
        <v>2</v>
      </c>
      <c r="S541" s="2">
        <f t="shared" si="235"/>
        <v>50</v>
      </c>
      <c r="T541" s="2">
        <f t="shared" si="236"/>
        <v>107.60869565217392</v>
      </c>
      <c r="U541" s="2">
        <f ca="1">VLOOKUP(E541,金币生产率!$A$2:$B$120,2,0)</f>
        <v>1412</v>
      </c>
      <c r="V541" s="2">
        <f t="shared" si="237"/>
        <v>215.21739130434784</v>
      </c>
      <c r="W541" s="45">
        <f t="shared" ca="1" si="250"/>
        <v>56</v>
      </c>
      <c r="X541" s="48">
        <f t="shared" ca="1" si="251"/>
        <v>731</v>
      </c>
      <c r="Y541">
        <f t="shared" si="238"/>
        <v>18</v>
      </c>
      <c r="Z541">
        <f t="shared" ca="1" si="245"/>
        <v>23</v>
      </c>
      <c r="AA541" t="str">
        <f t="shared" ca="1" si="246"/>
        <v>9211100.png</v>
      </c>
      <c r="AB541">
        <f t="shared" si="239"/>
        <v>10</v>
      </c>
      <c r="AC541">
        <f>VLOOKUP(C541,技能辅助查询表,技能配置辅助表!$W$1,FALSE)</f>
        <v>20</v>
      </c>
      <c r="AD541">
        <f t="shared" ca="1" si="247"/>
        <v>177.1271005253337</v>
      </c>
      <c r="AE541">
        <f>VLOOKUP(C541,技能辅助查询表,技能配置辅助表!$U$1,FALSE)</f>
        <v>1</v>
      </c>
      <c r="AF541">
        <f t="shared" ca="1" si="248"/>
        <v>9211129</v>
      </c>
      <c r="AG541">
        <f t="shared" ca="1" si="252"/>
        <v>46.571428571428569</v>
      </c>
      <c r="AH541">
        <f t="shared" ca="1" si="249"/>
        <v>498.5831981498805</v>
      </c>
      <c r="AI541">
        <f ca="1">VLOOKUP(E541,伤害参考系!$C$4:$E$104,3,FALSE)*$AN$12</f>
        <v>5201.3419816053529</v>
      </c>
      <c r="AJ541">
        <f>VLOOKUP(C541,技能辅助查询表,技能配置辅助表!$L$1,FALSE)</f>
        <v>2</v>
      </c>
      <c r="AK541">
        <f>VLOOKUP(C541,技能辅助查询表,技能配置辅助表!$AE$1,FALSE)</f>
        <v>66000264</v>
      </c>
    </row>
    <row r="542" spans="1:37" x14ac:dyDescent="0.15">
      <c r="A542" s="1">
        <f t="shared" ca="1" si="240"/>
        <v>9211130</v>
      </c>
      <c r="B542" s="1" t="str">
        <f t="shared" ca="1" si="225"/>
        <v>虎啸</v>
      </c>
      <c r="C542" t="s">
        <v>160</v>
      </c>
      <c r="D542">
        <f t="shared" si="226"/>
        <v>2</v>
      </c>
      <c r="E542" s="42">
        <f t="shared" ca="1" si="241"/>
        <v>49</v>
      </c>
      <c r="F542" t="str">
        <f t="shared" ca="1" si="242"/>
        <v>第30级，共造成279.8%点伤害</v>
      </c>
      <c r="G542">
        <f t="shared" ca="1" si="243"/>
        <v>1</v>
      </c>
      <c r="H542">
        <f t="shared" si="227"/>
        <v>1</v>
      </c>
      <c r="I542" s="44">
        <f t="shared" ca="1" si="244"/>
        <v>30</v>
      </c>
      <c r="J542">
        <f t="shared" si="228"/>
        <v>1</v>
      </c>
      <c r="K542" s="36">
        <f t="shared" ca="1" si="229"/>
        <v>139.89130434782609</v>
      </c>
      <c r="L542" s="10">
        <f ca="1">AH542*VLOOKUP(C542,技能辅助查询表,技能配置辅助表!$T$1,FALSE)</f>
        <v>0</v>
      </c>
      <c r="M542">
        <f t="shared" ca="1" si="230"/>
        <v>7000</v>
      </c>
      <c r="N542" s="33">
        <f ca="1">CHOOSE(1,W542*U542,X542*'[1]0、经济设定'!$C$18)</f>
        <v>92580</v>
      </c>
      <c r="O542">
        <f t="shared" si="231"/>
        <v>1</v>
      </c>
      <c r="P542">
        <f t="shared" si="232"/>
        <v>2</v>
      </c>
      <c r="Q542">
        <f t="shared" si="233"/>
        <v>1</v>
      </c>
      <c r="R542" s="2">
        <f t="shared" si="234"/>
        <v>2</v>
      </c>
      <c r="S542" s="2">
        <f t="shared" si="235"/>
        <v>50</v>
      </c>
      <c r="T542" s="2">
        <f t="shared" si="236"/>
        <v>107.60869565217392</v>
      </c>
      <c r="U542" s="2">
        <f ca="1">VLOOKUP(E542,金币生产率!$A$2:$B$120,2,0)</f>
        <v>1543</v>
      </c>
      <c r="V542" s="2">
        <f t="shared" si="237"/>
        <v>215.21739130434784</v>
      </c>
      <c r="W542" s="45">
        <f t="shared" ca="1" si="250"/>
        <v>60</v>
      </c>
      <c r="X542" s="48">
        <f t="shared" ca="1" si="251"/>
        <v>791</v>
      </c>
      <c r="Y542">
        <f t="shared" si="238"/>
        <v>18</v>
      </c>
      <c r="Z542">
        <f t="shared" ca="1" si="245"/>
        <v>24</v>
      </c>
      <c r="AA542" t="str">
        <f t="shared" ca="1" si="246"/>
        <v>9211100.png</v>
      </c>
      <c r="AB542">
        <f t="shared" si="239"/>
        <v>10</v>
      </c>
      <c r="AC542">
        <f>VLOOKUP(C542,技能辅助查询表,技能配置辅助表!$W$1,FALSE)</f>
        <v>20</v>
      </c>
      <c r="AD542">
        <f t="shared" ca="1" si="247"/>
        <v>204.10014200416009</v>
      </c>
      <c r="AE542">
        <f>VLOOKUP(C542,技能辅助查询表,技能配置辅助表!$U$1,FALSE)</f>
        <v>1</v>
      </c>
      <c r="AF542">
        <f t="shared" ca="1" si="248"/>
        <v>9211130</v>
      </c>
      <c r="AG542">
        <f t="shared" ca="1" si="252"/>
        <v>48.163265306122447</v>
      </c>
      <c r="AH542">
        <f t="shared" ca="1" si="249"/>
        <v>567.63038284107404</v>
      </c>
      <c r="AI542">
        <f ca="1">VLOOKUP(E542,伤害参考系!$C$4:$E$104,3,FALSE)*$AN$12</f>
        <v>5806.7788244147177</v>
      </c>
      <c r="AJ542">
        <f>VLOOKUP(C542,技能辅助查询表,技能配置辅助表!$L$1,FALSE)</f>
        <v>2</v>
      </c>
      <c r="AK542">
        <f>VLOOKUP(C542,技能辅助查询表,技能配置辅助表!$AE$1,FALSE)</f>
        <v>66000264</v>
      </c>
    </row>
    <row r="543" spans="1:37" x14ac:dyDescent="0.15">
      <c r="A543" s="1">
        <f t="shared" ca="1" si="240"/>
        <v>9211131</v>
      </c>
      <c r="B543" s="1" t="str">
        <f t="shared" ca="1" si="225"/>
        <v>虎啸</v>
      </c>
      <c r="C543" t="s">
        <v>160</v>
      </c>
      <c r="D543">
        <f t="shared" si="226"/>
        <v>2</v>
      </c>
      <c r="E543" s="42">
        <f t="shared" ca="1" si="241"/>
        <v>50</v>
      </c>
      <c r="F543" t="str">
        <f t="shared" ca="1" si="242"/>
        <v>第31级，共造成281.9%点伤害</v>
      </c>
      <c r="G543">
        <f t="shared" ca="1" si="243"/>
        <v>1</v>
      </c>
      <c r="H543">
        <f t="shared" si="227"/>
        <v>1</v>
      </c>
      <c r="I543" s="44">
        <f t="shared" ca="1" si="244"/>
        <v>31</v>
      </c>
      <c r="J543">
        <f t="shared" si="228"/>
        <v>1</v>
      </c>
      <c r="K543" s="36">
        <f t="shared" ca="1" si="229"/>
        <v>140.96739130434784</v>
      </c>
      <c r="L543" s="10">
        <f ca="1">AH543*VLOOKUP(C543,技能辅助查询表,技能配置辅助表!$T$1,FALSE)</f>
        <v>0</v>
      </c>
      <c r="M543">
        <f t="shared" ca="1" si="230"/>
        <v>6900</v>
      </c>
      <c r="N543" s="33">
        <f ca="1">CHOOSE(1,W543*U543,X543*'[1]0、经济设定'!$C$18)</f>
        <v>103040</v>
      </c>
      <c r="O543">
        <f t="shared" si="231"/>
        <v>1</v>
      </c>
      <c r="P543">
        <f t="shared" si="232"/>
        <v>2</v>
      </c>
      <c r="Q543">
        <f t="shared" si="233"/>
        <v>1</v>
      </c>
      <c r="R543" s="2">
        <f t="shared" si="234"/>
        <v>2</v>
      </c>
      <c r="S543" s="2">
        <f t="shared" si="235"/>
        <v>50</v>
      </c>
      <c r="T543" s="2">
        <f t="shared" si="236"/>
        <v>107.60869565217392</v>
      </c>
      <c r="U543" s="2">
        <f ca="1">VLOOKUP(E543,金币生产率!$A$2:$B$120,2,0)</f>
        <v>1610</v>
      </c>
      <c r="V543" s="2">
        <f t="shared" si="237"/>
        <v>215.21739130434784</v>
      </c>
      <c r="W543" s="45">
        <f t="shared" ca="1" si="250"/>
        <v>64</v>
      </c>
      <c r="X543" s="48">
        <f t="shared" ca="1" si="251"/>
        <v>855</v>
      </c>
      <c r="Y543">
        <f t="shared" si="238"/>
        <v>18</v>
      </c>
      <c r="Z543">
        <f t="shared" ca="1" si="245"/>
        <v>26</v>
      </c>
      <c r="AA543" t="str">
        <f t="shared" ca="1" si="246"/>
        <v>9211100.png</v>
      </c>
      <c r="AB543">
        <f t="shared" si="239"/>
        <v>10</v>
      </c>
      <c r="AC543">
        <f>VLOOKUP(C543,技能辅助查询表,技能配置辅助表!$W$1,FALSE)</f>
        <v>20</v>
      </c>
      <c r="AD543">
        <f t="shared" ca="1" si="247"/>
        <v>235.14695510878337</v>
      </c>
      <c r="AE543">
        <f>VLOOKUP(C543,技能辅助查询表,技能配置辅助表!$U$1,FALSE)</f>
        <v>1</v>
      </c>
      <c r="AF543">
        <f t="shared" ca="1" si="248"/>
        <v>9211131</v>
      </c>
      <c r="AG543">
        <f t="shared" ca="1" si="252"/>
        <v>49.755102040816325</v>
      </c>
      <c r="AH543">
        <f t="shared" ca="1" si="249"/>
        <v>646.23969022607446</v>
      </c>
      <c r="AI543">
        <f ca="1">VLOOKUP(E543,伤害参考系!$C$4:$E$104,3,FALSE)*$AN$12</f>
        <v>6162.2688085284308</v>
      </c>
      <c r="AJ543">
        <f>VLOOKUP(C543,技能辅助查询表,技能配置辅助表!$L$1,FALSE)</f>
        <v>2</v>
      </c>
      <c r="AK543">
        <f>VLOOKUP(C543,技能辅助查询表,技能配置辅助表!$AE$1,FALSE)</f>
        <v>66000264</v>
      </c>
    </row>
    <row r="544" spans="1:37" x14ac:dyDescent="0.15">
      <c r="A544" s="1">
        <f t="shared" ca="1" si="240"/>
        <v>9211132</v>
      </c>
      <c r="B544" s="1" t="str">
        <f t="shared" ca="1" si="225"/>
        <v>虎啸</v>
      </c>
      <c r="C544" t="s">
        <v>160</v>
      </c>
      <c r="D544">
        <f t="shared" si="226"/>
        <v>2</v>
      </c>
      <c r="E544" s="42">
        <f t="shared" ca="1" si="241"/>
        <v>52</v>
      </c>
      <c r="F544" t="str">
        <f t="shared" ca="1" si="242"/>
        <v>第32级，共造成284.1%点伤害</v>
      </c>
      <c r="G544">
        <f t="shared" ca="1" si="243"/>
        <v>1</v>
      </c>
      <c r="H544">
        <f t="shared" si="227"/>
        <v>1</v>
      </c>
      <c r="I544" s="44">
        <f t="shared" ca="1" si="244"/>
        <v>32</v>
      </c>
      <c r="J544">
        <f t="shared" si="228"/>
        <v>1</v>
      </c>
      <c r="K544" s="36">
        <f t="shared" ca="1" si="229"/>
        <v>142.04347826086956</v>
      </c>
      <c r="L544" s="10">
        <f ca="1">AH544*VLOOKUP(C544,技能辅助查询表,技能配置辅助表!$T$1,FALSE)</f>
        <v>0</v>
      </c>
      <c r="M544">
        <f t="shared" ca="1" si="230"/>
        <v>6800</v>
      </c>
      <c r="N544" s="33">
        <f ca="1">CHOOSE(1,W544*U544,X544*'[1]0、经济设定'!$C$18)</f>
        <v>120681</v>
      </c>
      <c r="O544">
        <f t="shared" si="231"/>
        <v>1</v>
      </c>
      <c r="P544">
        <f t="shared" si="232"/>
        <v>2</v>
      </c>
      <c r="Q544">
        <f t="shared" si="233"/>
        <v>1</v>
      </c>
      <c r="R544" s="2">
        <f t="shared" si="234"/>
        <v>2</v>
      </c>
      <c r="S544" s="2">
        <f t="shared" si="235"/>
        <v>50</v>
      </c>
      <c r="T544" s="2">
        <f t="shared" si="236"/>
        <v>107.60869565217392</v>
      </c>
      <c r="U544" s="2">
        <f ca="1">VLOOKUP(E544,金币生产率!$A$2:$B$120,2,0)</f>
        <v>1749</v>
      </c>
      <c r="V544" s="2">
        <f t="shared" si="237"/>
        <v>215.21739130434784</v>
      </c>
      <c r="W544" s="45">
        <f t="shared" ca="1" si="250"/>
        <v>69</v>
      </c>
      <c r="X544" s="48">
        <f t="shared" ca="1" si="251"/>
        <v>924</v>
      </c>
      <c r="Y544">
        <f t="shared" si="238"/>
        <v>18</v>
      </c>
      <c r="Z544">
        <f t="shared" ca="1" si="245"/>
        <v>28</v>
      </c>
      <c r="AA544" t="str">
        <f t="shared" ca="1" si="246"/>
        <v>9211100.png</v>
      </c>
      <c r="AB544">
        <f t="shared" si="239"/>
        <v>10</v>
      </c>
      <c r="AC544">
        <f>VLOOKUP(C544,技能辅助查询表,技能配置辅助表!$W$1,FALSE)</f>
        <v>20</v>
      </c>
      <c r="AD544">
        <f t="shared" ca="1" si="247"/>
        <v>270.87856201716079</v>
      </c>
      <c r="AE544">
        <f>VLOOKUP(C544,技能辅助查询表,技能配置辅助表!$U$1,FALSE)</f>
        <v>1</v>
      </c>
      <c r="AF544">
        <f t="shared" ca="1" si="248"/>
        <v>9211132</v>
      </c>
      <c r="AG544">
        <f t="shared" ca="1" si="252"/>
        <v>51.346938775510203</v>
      </c>
      <c r="AH544">
        <f t="shared" ca="1" si="249"/>
        <v>735.73534794457942</v>
      </c>
      <c r="AI544">
        <f ca="1">VLOOKUP(E544,伤害参考系!$C$4:$E$104,3,FALSE)*$AN$12</f>
        <v>6904.487016722409</v>
      </c>
      <c r="AJ544">
        <f>VLOOKUP(C544,技能辅助查询表,技能配置辅助表!$L$1,FALSE)</f>
        <v>2</v>
      </c>
      <c r="AK544">
        <f>VLOOKUP(C544,技能辅助查询表,技能配置辅助表!$AE$1,FALSE)</f>
        <v>66000264</v>
      </c>
    </row>
    <row r="545" spans="1:37" x14ac:dyDescent="0.15">
      <c r="A545" s="1">
        <f t="shared" ca="1" si="240"/>
        <v>9211133</v>
      </c>
      <c r="B545" s="1" t="str">
        <f t="shared" ca="1" si="225"/>
        <v>虎啸</v>
      </c>
      <c r="C545" t="s">
        <v>160</v>
      </c>
      <c r="D545">
        <f t="shared" si="226"/>
        <v>2</v>
      </c>
      <c r="E545" s="42">
        <f t="shared" ca="1" si="241"/>
        <v>53</v>
      </c>
      <c r="F545" t="str">
        <f t="shared" ca="1" si="242"/>
        <v>第33级，共造成286.2%点伤害</v>
      </c>
      <c r="G545">
        <f t="shared" ca="1" si="243"/>
        <v>1</v>
      </c>
      <c r="H545">
        <f t="shared" si="227"/>
        <v>1</v>
      </c>
      <c r="I545" s="44">
        <f t="shared" ca="1" si="244"/>
        <v>33</v>
      </c>
      <c r="J545">
        <f t="shared" si="228"/>
        <v>1</v>
      </c>
      <c r="K545" s="36">
        <f t="shared" ca="1" si="229"/>
        <v>143.11956521739131</v>
      </c>
      <c r="L545" s="10">
        <f ca="1">AH545*VLOOKUP(C545,技能辅助查询表,技能配置辅助表!$T$1,FALSE)</f>
        <v>0</v>
      </c>
      <c r="M545">
        <f t="shared" ca="1" si="230"/>
        <v>6700</v>
      </c>
      <c r="N545" s="33">
        <f ca="1">CHOOSE(1,W545*U545,X545*'[1]0、经济设定'!$C$18)</f>
        <v>134680</v>
      </c>
      <c r="O545">
        <f t="shared" si="231"/>
        <v>1</v>
      </c>
      <c r="P545">
        <f t="shared" si="232"/>
        <v>2</v>
      </c>
      <c r="Q545">
        <f t="shared" si="233"/>
        <v>1</v>
      </c>
      <c r="R545" s="2">
        <f t="shared" si="234"/>
        <v>2</v>
      </c>
      <c r="S545" s="2">
        <f t="shared" si="235"/>
        <v>50</v>
      </c>
      <c r="T545" s="2">
        <f t="shared" si="236"/>
        <v>107.60869565217392</v>
      </c>
      <c r="U545" s="2">
        <f ca="1">VLOOKUP(E545,金币生产率!$A$2:$B$120,2,0)</f>
        <v>1820</v>
      </c>
      <c r="V545" s="2">
        <f t="shared" si="237"/>
        <v>215.21739130434784</v>
      </c>
      <c r="W545" s="45">
        <f t="shared" ca="1" si="250"/>
        <v>74</v>
      </c>
      <c r="X545" s="48">
        <f t="shared" ca="1" si="251"/>
        <v>998</v>
      </c>
      <c r="Y545">
        <f t="shared" si="238"/>
        <v>18</v>
      </c>
      <c r="Z545">
        <f t="shared" ca="1" si="245"/>
        <v>30</v>
      </c>
      <c r="AA545" t="str">
        <f t="shared" ca="1" si="246"/>
        <v>9211100.png</v>
      </c>
      <c r="AB545">
        <f t="shared" si="239"/>
        <v>10</v>
      </c>
      <c r="AC545">
        <f>VLOOKUP(C545,技能辅助查询表,技能配置辅助表!$W$1,FALSE)</f>
        <v>20</v>
      </c>
      <c r="AD545">
        <f t="shared" ca="1" si="247"/>
        <v>311.99709270711156</v>
      </c>
      <c r="AE545">
        <f>VLOOKUP(C545,技能辅助查询表,技能配置辅助表!$U$1,FALSE)</f>
        <v>1</v>
      </c>
      <c r="AF545">
        <f t="shared" ca="1" si="248"/>
        <v>9211133</v>
      </c>
      <c r="AG545">
        <f t="shared" ca="1" si="252"/>
        <v>52.938775510204081</v>
      </c>
      <c r="AH545">
        <f t="shared" ca="1" si="249"/>
        <v>837.62497166611001</v>
      </c>
      <c r="AI545">
        <f ca="1">VLOOKUP(E545,伤害参考系!$C$4:$E$104,3,FALSE)*$AN$12</f>
        <v>7291.2152408026777</v>
      </c>
      <c r="AJ545">
        <f>VLOOKUP(C545,技能辅助查询表,技能配置辅助表!$L$1,FALSE)</f>
        <v>2</v>
      </c>
      <c r="AK545">
        <f>VLOOKUP(C545,技能辅助查询表,技能配置辅助表!$AE$1,FALSE)</f>
        <v>66000264</v>
      </c>
    </row>
    <row r="546" spans="1:37" x14ac:dyDescent="0.15">
      <c r="A546" s="1">
        <f t="shared" ca="1" si="240"/>
        <v>9211134</v>
      </c>
      <c r="B546" s="1" t="str">
        <f t="shared" ca="1" si="225"/>
        <v>虎啸</v>
      </c>
      <c r="C546" t="s">
        <v>160</v>
      </c>
      <c r="D546">
        <f t="shared" si="226"/>
        <v>2</v>
      </c>
      <c r="E546" s="42">
        <f t="shared" ca="1" si="241"/>
        <v>55</v>
      </c>
      <c r="F546" t="str">
        <f t="shared" ca="1" si="242"/>
        <v>第34级，共造成288.4%点伤害</v>
      </c>
      <c r="G546">
        <f t="shared" ca="1" si="243"/>
        <v>1</v>
      </c>
      <c r="H546">
        <f t="shared" si="227"/>
        <v>1</v>
      </c>
      <c r="I546" s="44">
        <f t="shared" ca="1" si="244"/>
        <v>34</v>
      </c>
      <c r="J546">
        <f t="shared" si="228"/>
        <v>1</v>
      </c>
      <c r="K546" s="36">
        <f t="shared" ca="1" si="229"/>
        <v>144.19565217391306</v>
      </c>
      <c r="L546" s="10">
        <f ca="1">AH546*VLOOKUP(C546,技能辅助查询表,技能配置辅助表!$T$1,FALSE)</f>
        <v>0</v>
      </c>
      <c r="M546">
        <f t="shared" ca="1" si="230"/>
        <v>6600</v>
      </c>
      <c r="N546" s="33">
        <f ca="1">CHOOSE(1,W546*U546,X546*'[1]0、经济设定'!$C$18)</f>
        <v>155393</v>
      </c>
      <c r="O546">
        <f t="shared" si="231"/>
        <v>1</v>
      </c>
      <c r="P546">
        <f t="shared" si="232"/>
        <v>2</v>
      </c>
      <c r="Q546">
        <f t="shared" si="233"/>
        <v>1</v>
      </c>
      <c r="R546" s="2">
        <f t="shared" si="234"/>
        <v>2</v>
      </c>
      <c r="S546" s="2">
        <f t="shared" si="235"/>
        <v>50</v>
      </c>
      <c r="T546" s="2">
        <f t="shared" si="236"/>
        <v>107.60869565217392</v>
      </c>
      <c r="U546" s="2">
        <f ca="1">VLOOKUP(E546,金币生产率!$A$2:$B$120,2,0)</f>
        <v>1967</v>
      </c>
      <c r="V546" s="2">
        <f t="shared" si="237"/>
        <v>215.21739130434784</v>
      </c>
      <c r="W546" s="45">
        <f t="shared" ca="1" si="250"/>
        <v>79</v>
      </c>
      <c r="X546" s="48">
        <f t="shared" ca="1" si="251"/>
        <v>1077</v>
      </c>
      <c r="Y546">
        <f t="shared" si="238"/>
        <v>18</v>
      </c>
      <c r="Z546">
        <f t="shared" ca="1" si="245"/>
        <v>32</v>
      </c>
      <c r="AA546" t="str">
        <f t="shared" ca="1" si="246"/>
        <v>9211100.png</v>
      </c>
      <c r="AB546">
        <f t="shared" si="239"/>
        <v>10</v>
      </c>
      <c r="AC546">
        <f>VLOOKUP(C546,技能辅助查询表,技能配置辅助表!$W$1,FALSE)</f>
        <v>20</v>
      </c>
      <c r="AD546">
        <f t="shared" ca="1" si="247"/>
        <v>359.30930086531282</v>
      </c>
      <c r="AE546">
        <f>VLOOKUP(C546,技能辅助查询表,技能配置辅助表!$U$1,FALSE)</f>
        <v>1</v>
      </c>
      <c r="AF546">
        <f t="shared" ca="1" si="248"/>
        <v>9211134</v>
      </c>
      <c r="AG546">
        <f t="shared" ca="1" si="252"/>
        <v>54.530612244897959</v>
      </c>
      <c r="AH546">
        <f t="shared" ca="1" si="249"/>
        <v>953.62496190886134</v>
      </c>
      <c r="AI546">
        <f ca="1">VLOOKUP(E546,伤害参考系!$C$4:$E$104,3,FALSE)*$AN$12</f>
        <v>8095.9099289297656</v>
      </c>
      <c r="AJ546">
        <f>VLOOKUP(C546,技能辅助查询表,技能配置辅助表!$L$1,FALSE)</f>
        <v>2</v>
      </c>
      <c r="AK546">
        <f>VLOOKUP(C546,技能辅助查询表,技能配置辅助表!$AE$1,FALSE)</f>
        <v>66000264</v>
      </c>
    </row>
    <row r="547" spans="1:37" x14ac:dyDescent="0.15">
      <c r="A547" s="1">
        <f t="shared" ca="1" si="240"/>
        <v>9211135</v>
      </c>
      <c r="B547" s="1" t="str">
        <f t="shared" ca="1" si="225"/>
        <v>虎啸</v>
      </c>
      <c r="C547" t="s">
        <v>160</v>
      </c>
      <c r="D547">
        <f t="shared" si="226"/>
        <v>2</v>
      </c>
      <c r="E547" s="42">
        <f t="shared" ca="1" si="241"/>
        <v>57</v>
      </c>
      <c r="F547" t="str">
        <f t="shared" ca="1" si="242"/>
        <v>第35级，共造成290.5%点伤害</v>
      </c>
      <c r="G547">
        <f t="shared" ca="1" si="243"/>
        <v>1</v>
      </c>
      <c r="H547">
        <f t="shared" si="227"/>
        <v>1</v>
      </c>
      <c r="I547" s="44">
        <f t="shared" ca="1" si="244"/>
        <v>35</v>
      </c>
      <c r="J547">
        <f t="shared" si="228"/>
        <v>1</v>
      </c>
      <c r="K547" s="36">
        <f t="shared" ca="1" si="229"/>
        <v>145.27173913043481</v>
      </c>
      <c r="L547" s="10">
        <f ca="1">AH547*VLOOKUP(C547,技能辅助查询表,技能配置辅助表!$T$1,FALSE)</f>
        <v>0</v>
      </c>
      <c r="M547">
        <f t="shared" ca="1" si="230"/>
        <v>6500</v>
      </c>
      <c r="N547" s="33">
        <f ca="1">CHOOSE(1,W547*U547,X547*'[1]0、经济设定'!$C$18)</f>
        <v>177996</v>
      </c>
      <c r="O547">
        <f t="shared" si="231"/>
        <v>1</v>
      </c>
      <c r="P547">
        <f t="shared" si="232"/>
        <v>2</v>
      </c>
      <c r="Q547">
        <f t="shared" si="233"/>
        <v>1</v>
      </c>
      <c r="R547" s="2">
        <f t="shared" si="234"/>
        <v>2</v>
      </c>
      <c r="S547" s="2">
        <f t="shared" si="235"/>
        <v>50</v>
      </c>
      <c r="T547" s="2">
        <f t="shared" si="236"/>
        <v>107.60869565217392</v>
      </c>
      <c r="U547" s="2">
        <f ca="1">VLOOKUP(E547,金币生产率!$A$2:$B$120,2,0)</f>
        <v>2119</v>
      </c>
      <c r="V547" s="2">
        <f t="shared" si="237"/>
        <v>215.21739130434784</v>
      </c>
      <c r="W547" s="45">
        <f t="shared" ca="1" si="250"/>
        <v>84</v>
      </c>
      <c r="X547" s="48">
        <f t="shared" ca="1" si="251"/>
        <v>1161</v>
      </c>
      <c r="Y547">
        <f t="shared" si="238"/>
        <v>18</v>
      </c>
      <c r="Z547">
        <f t="shared" ca="1" si="245"/>
        <v>34</v>
      </c>
      <c r="AA547" t="str">
        <f t="shared" ca="1" si="246"/>
        <v>9211100.png</v>
      </c>
      <c r="AB547">
        <f t="shared" si="239"/>
        <v>10</v>
      </c>
      <c r="AC547">
        <f>VLOOKUP(C547,技能辅助查询表,技能配置辅助表!$W$1,FALSE)</f>
        <v>20</v>
      </c>
      <c r="AD547">
        <f t="shared" ca="1" si="247"/>
        <v>413.74207602675915</v>
      </c>
      <c r="AE547">
        <f>VLOOKUP(C547,技能辅助查询表,技能配置辅助表!$U$1,FALSE)</f>
        <v>1</v>
      </c>
      <c r="AF547">
        <f t="shared" ca="1" si="248"/>
        <v>9211135</v>
      </c>
      <c r="AG547">
        <f t="shared" ca="1" si="252"/>
        <v>56.122448979591837</v>
      </c>
      <c r="AH547">
        <f t="shared" ca="1" si="249"/>
        <v>1085.689417982368</v>
      </c>
      <c r="AI547">
        <f ca="1">VLOOKUP(E547,伤害参考系!$C$4:$E$104,3,FALSE)*$AN$12</f>
        <v>8942.2556036789319</v>
      </c>
      <c r="AJ547">
        <f>VLOOKUP(C547,技能辅助查询表,技能配置辅助表!$L$1,FALSE)</f>
        <v>2</v>
      </c>
      <c r="AK547">
        <f>VLOOKUP(C547,技能辅助查询表,技能配置辅助表!$AE$1,FALSE)</f>
        <v>66000264</v>
      </c>
    </row>
    <row r="548" spans="1:37" x14ac:dyDescent="0.15">
      <c r="A548" s="1">
        <f t="shared" ca="1" si="240"/>
        <v>9211136</v>
      </c>
      <c r="B548" s="1" t="str">
        <f t="shared" ca="1" si="225"/>
        <v>虎啸</v>
      </c>
      <c r="C548" t="s">
        <v>160</v>
      </c>
      <c r="D548">
        <f t="shared" si="226"/>
        <v>2</v>
      </c>
      <c r="E548" s="42">
        <f t="shared" ca="1" si="241"/>
        <v>58</v>
      </c>
      <c r="F548" t="str">
        <f t="shared" ca="1" si="242"/>
        <v>第36级，共造成292.7%点伤害</v>
      </c>
      <c r="G548">
        <f t="shared" ca="1" si="243"/>
        <v>1</v>
      </c>
      <c r="H548">
        <f t="shared" si="227"/>
        <v>1</v>
      </c>
      <c r="I548" s="44">
        <f t="shared" ca="1" si="244"/>
        <v>36</v>
      </c>
      <c r="J548">
        <f t="shared" si="228"/>
        <v>1</v>
      </c>
      <c r="K548" s="36">
        <f t="shared" ca="1" si="229"/>
        <v>146.34782608695653</v>
      </c>
      <c r="L548" s="10">
        <f ca="1">AH548*VLOOKUP(C548,技能辅助查询表,技能配置辅助表!$T$1,FALSE)</f>
        <v>0</v>
      </c>
      <c r="M548">
        <f t="shared" ca="1" si="230"/>
        <v>6400</v>
      </c>
      <c r="N548" s="33">
        <f ca="1">CHOOSE(1,W548*U548,X548*'[1]0、经济设定'!$C$18)</f>
        <v>197820</v>
      </c>
      <c r="O548">
        <f t="shared" si="231"/>
        <v>1</v>
      </c>
      <c r="P548">
        <f t="shared" si="232"/>
        <v>2</v>
      </c>
      <c r="Q548">
        <f t="shared" si="233"/>
        <v>1</v>
      </c>
      <c r="R548" s="2">
        <f t="shared" si="234"/>
        <v>2</v>
      </c>
      <c r="S548" s="2">
        <f t="shared" si="235"/>
        <v>50</v>
      </c>
      <c r="T548" s="2">
        <f t="shared" si="236"/>
        <v>107.60869565217392</v>
      </c>
      <c r="U548" s="2">
        <f ca="1">VLOOKUP(E548,金币生产率!$A$2:$B$120,2,0)</f>
        <v>2198</v>
      </c>
      <c r="V548" s="2">
        <f t="shared" si="237"/>
        <v>215.21739130434784</v>
      </c>
      <c r="W548" s="45">
        <f t="shared" ca="1" si="250"/>
        <v>90</v>
      </c>
      <c r="X548" s="48">
        <f t="shared" ca="1" si="251"/>
        <v>1251</v>
      </c>
      <c r="Y548">
        <f t="shared" si="238"/>
        <v>18</v>
      </c>
      <c r="Z548">
        <f t="shared" ca="1" si="245"/>
        <v>36</v>
      </c>
      <c r="AA548" t="str">
        <f t="shared" ca="1" si="246"/>
        <v>9211100.png</v>
      </c>
      <c r="AB548">
        <f t="shared" si="239"/>
        <v>10</v>
      </c>
      <c r="AC548">
        <f>VLOOKUP(C548,技能辅助查询表,技能配置辅助表!$W$1,FALSE)</f>
        <v>20</v>
      </c>
      <c r="AD548">
        <f t="shared" ca="1" si="247"/>
        <v>476.36024563169411</v>
      </c>
      <c r="AE548">
        <f>VLOOKUP(C548,技能辅助查询表,技能配置辅助表!$U$1,FALSE)</f>
        <v>1</v>
      </c>
      <c r="AF548">
        <f t="shared" ca="1" si="248"/>
        <v>9211136</v>
      </c>
      <c r="AG548">
        <f t="shared" ca="1" si="252"/>
        <v>57.714285714285715</v>
      </c>
      <c r="AH548">
        <f t="shared" ca="1" si="249"/>
        <v>1236.0430561291703</v>
      </c>
      <c r="AI548">
        <f ca="1">VLOOKUP(E548,伤害参考系!$C$4:$E$104,3,FALSE)*$AN$12</f>
        <v>9381.0475610367921</v>
      </c>
      <c r="AJ548">
        <f>VLOOKUP(C548,技能辅助查询表,技能配置辅助表!$L$1,FALSE)</f>
        <v>2</v>
      </c>
      <c r="AK548">
        <f>VLOOKUP(C548,技能辅助查询表,技能配置辅助表!$AE$1,FALSE)</f>
        <v>66000264</v>
      </c>
    </row>
    <row r="549" spans="1:37" x14ac:dyDescent="0.15">
      <c r="A549" s="1">
        <f t="shared" ca="1" si="240"/>
        <v>9211137</v>
      </c>
      <c r="B549" s="1" t="str">
        <f t="shared" ca="1" si="225"/>
        <v>虎啸</v>
      </c>
      <c r="C549" t="s">
        <v>160</v>
      </c>
      <c r="D549">
        <f t="shared" si="226"/>
        <v>2</v>
      </c>
      <c r="E549" s="42">
        <f t="shared" ca="1" si="241"/>
        <v>60</v>
      </c>
      <c r="F549" t="str">
        <f t="shared" ca="1" si="242"/>
        <v>第37级，共造成294.8%点伤害</v>
      </c>
      <c r="G549">
        <f t="shared" ca="1" si="243"/>
        <v>1</v>
      </c>
      <c r="H549">
        <f t="shared" si="227"/>
        <v>1</v>
      </c>
      <c r="I549" s="44">
        <f t="shared" ca="1" si="244"/>
        <v>37</v>
      </c>
      <c r="J549">
        <f t="shared" si="228"/>
        <v>1</v>
      </c>
      <c r="K549" s="36">
        <f t="shared" ca="1" si="229"/>
        <v>147.42391304347828</v>
      </c>
      <c r="L549" s="10">
        <f ca="1">AH549*VLOOKUP(C549,技能辅助查询表,技能配置辅助表!$T$1,FALSE)</f>
        <v>0</v>
      </c>
      <c r="M549">
        <f t="shared" ca="1" si="230"/>
        <v>6300</v>
      </c>
      <c r="N549" s="33">
        <f ca="1">CHOOSE(1,W549*U549,X549*'[1]0、经济设定'!$C$18)</f>
        <v>226368</v>
      </c>
      <c r="O549">
        <f t="shared" si="231"/>
        <v>1</v>
      </c>
      <c r="P549">
        <f t="shared" si="232"/>
        <v>2</v>
      </c>
      <c r="Q549">
        <f t="shared" si="233"/>
        <v>1</v>
      </c>
      <c r="R549" s="2">
        <f t="shared" si="234"/>
        <v>2</v>
      </c>
      <c r="S549" s="2">
        <f t="shared" si="235"/>
        <v>50</v>
      </c>
      <c r="T549" s="2">
        <f t="shared" si="236"/>
        <v>107.60869565217392</v>
      </c>
      <c r="U549" s="2">
        <f ca="1">VLOOKUP(E549,金币生产率!$A$2:$B$120,2,0)</f>
        <v>2358</v>
      </c>
      <c r="V549" s="2">
        <f t="shared" si="237"/>
        <v>215.21739130434784</v>
      </c>
      <c r="W549" s="45">
        <f t="shared" ca="1" si="250"/>
        <v>96</v>
      </c>
      <c r="X549" s="48">
        <f t="shared" ca="1" si="251"/>
        <v>1347</v>
      </c>
      <c r="Y549">
        <f t="shared" si="238"/>
        <v>18</v>
      </c>
      <c r="Z549">
        <f t="shared" ca="1" si="245"/>
        <v>39</v>
      </c>
      <c r="AA549" t="str">
        <f t="shared" ca="1" si="246"/>
        <v>9211100.png</v>
      </c>
      <c r="AB549">
        <f t="shared" si="239"/>
        <v>10</v>
      </c>
      <c r="AC549">
        <f>VLOOKUP(C549,技能辅助查询表,技能配置辅助表!$W$1,FALSE)</f>
        <v>20</v>
      </c>
      <c r="AD549">
        <f t="shared" ca="1" si="247"/>
        <v>548.3870037456727</v>
      </c>
      <c r="AE549">
        <f>VLOOKUP(C549,技能辅助查询表,技能配置辅助表!$U$1,FALSE)</f>
        <v>1</v>
      </c>
      <c r="AF549">
        <f t="shared" ca="1" si="248"/>
        <v>9211137</v>
      </c>
      <c r="AG549">
        <f t="shared" ca="1" si="252"/>
        <v>59.306122448979593</v>
      </c>
      <c r="AH549">
        <f t="shared" ca="1" si="249"/>
        <v>1407.2186863941167</v>
      </c>
      <c r="AI549">
        <f ca="1">VLOOKUP(E549,伤害参考系!$C$4:$E$104,3,FALSE)*$AN$12</f>
        <v>10340.558729096994</v>
      </c>
      <c r="AJ549">
        <f>VLOOKUP(C549,技能辅助查询表,技能配置辅助表!$L$1,FALSE)</f>
        <v>2</v>
      </c>
      <c r="AK549">
        <f>VLOOKUP(C549,技能辅助查询表,技能配置辅助表!$AE$1,FALSE)</f>
        <v>66000264</v>
      </c>
    </row>
    <row r="550" spans="1:37" x14ac:dyDescent="0.15">
      <c r="A550" s="1">
        <f t="shared" ca="1" si="240"/>
        <v>9211138</v>
      </c>
      <c r="B550" s="1" t="str">
        <f t="shared" ca="1" si="225"/>
        <v>虎啸</v>
      </c>
      <c r="C550" t="s">
        <v>160</v>
      </c>
      <c r="D550">
        <f t="shared" si="226"/>
        <v>2</v>
      </c>
      <c r="E550" s="42">
        <f t="shared" ca="1" si="241"/>
        <v>61</v>
      </c>
      <c r="F550" t="str">
        <f t="shared" ca="1" si="242"/>
        <v>第38级，共造成297%点伤害</v>
      </c>
      <c r="G550">
        <f t="shared" ca="1" si="243"/>
        <v>1</v>
      </c>
      <c r="H550">
        <f t="shared" si="227"/>
        <v>1</v>
      </c>
      <c r="I550" s="44">
        <f t="shared" ca="1" si="244"/>
        <v>38</v>
      </c>
      <c r="J550">
        <f t="shared" si="228"/>
        <v>1</v>
      </c>
      <c r="K550" s="36">
        <f t="shared" ca="1" si="229"/>
        <v>148.5</v>
      </c>
      <c r="L550" s="10">
        <f ca="1">AH550*VLOOKUP(C550,技能辅助查询表,技能配置辅助表!$T$1,FALSE)</f>
        <v>0</v>
      </c>
      <c r="M550">
        <f t="shared" ca="1" si="230"/>
        <v>6200</v>
      </c>
      <c r="N550" s="33">
        <f ca="1">CHOOSE(1,W550*U550,X550*'[1]0、经济设定'!$C$18)</f>
        <v>251320</v>
      </c>
      <c r="O550">
        <f t="shared" si="231"/>
        <v>1</v>
      </c>
      <c r="P550">
        <f t="shared" si="232"/>
        <v>2</v>
      </c>
      <c r="Q550">
        <f t="shared" si="233"/>
        <v>1</v>
      </c>
      <c r="R550" s="2">
        <f t="shared" si="234"/>
        <v>2</v>
      </c>
      <c r="S550" s="2">
        <f t="shared" si="235"/>
        <v>50</v>
      </c>
      <c r="T550" s="2">
        <f t="shared" si="236"/>
        <v>107.60869565217392</v>
      </c>
      <c r="U550" s="2">
        <f ca="1">VLOOKUP(E550,金币生产率!$A$2:$B$120,2,0)</f>
        <v>2440</v>
      </c>
      <c r="V550" s="2">
        <f t="shared" si="237"/>
        <v>215.21739130434784</v>
      </c>
      <c r="W550" s="45">
        <f t="shared" ca="1" si="250"/>
        <v>103</v>
      </c>
      <c r="X550" s="48">
        <f t="shared" ca="1" si="251"/>
        <v>1450</v>
      </c>
      <c r="Y550">
        <f t="shared" si="238"/>
        <v>18</v>
      </c>
      <c r="Z550">
        <f t="shared" ca="1" si="245"/>
        <v>42</v>
      </c>
      <c r="AA550" t="str">
        <f t="shared" ca="1" si="246"/>
        <v>9211100.png</v>
      </c>
      <c r="AB550">
        <f t="shared" si="239"/>
        <v>10</v>
      </c>
      <c r="AC550">
        <f>VLOOKUP(C550,技能辅助查询表,技能配置辅助表!$W$1,FALSE)</f>
        <v>20</v>
      </c>
      <c r="AD550">
        <f t="shared" ca="1" si="247"/>
        <v>631.22735254066754</v>
      </c>
      <c r="AE550">
        <f>VLOOKUP(C550,技能辅助查询表,技能配置辅助表!$U$1,FALSE)</f>
        <v>1</v>
      </c>
      <c r="AF550">
        <f t="shared" ca="1" si="248"/>
        <v>9211138</v>
      </c>
      <c r="AG550">
        <f t="shared" ca="1" si="252"/>
        <v>60.897959183673471</v>
      </c>
      <c r="AH550">
        <f t="shared" ca="1" si="249"/>
        <v>1602.0998795448415</v>
      </c>
      <c r="AI550">
        <f ca="1">VLOOKUP(E550,伤害参考系!$C$4:$E$104,3,FALSE)*$AN$12</f>
        <v>10863.360489130437</v>
      </c>
      <c r="AJ550">
        <f>VLOOKUP(C550,技能辅助查询表,技能配置辅助表!$L$1,FALSE)</f>
        <v>2</v>
      </c>
      <c r="AK550">
        <f>VLOOKUP(C550,技能辅助查询表,技能配置辅助表!$AE$1,FALSE)</f>
        <v>66000264</v>
      </c>
    </row>
    <row r="551" spans="1:37" x14ac:dyDescent="0.15">
      <c r="A551" s="1">
        <f t="shared" ca="1" si="240"/>
        <v>9211139</v>
      </c>
      <c r="B551" s="1" t="str">
        <f t="shared" ca="1" si="225"/>
        <v>虎啸</v>
      </c>
      <c r="C551" t="s">
        <v>160</v>
      </c>
      <c r="D551">
        <f t="shared" si="226"/>
        <v>2</v>
      </c>
      <c r="E551" s="42">
        <f t="shared" ca="1" si="241"/>
        <v>63</v>
      </c>
      <c r="F551" t="str">
        <f t="shared" ca="1" si="242"/>
        <v>第39级，共造成299.2%点伤害</v>
      </c>
      <c r="G551">
        <f t="shared" ca="1" si="243"/>
        <v>1</v>
      </c>
      <c r="H551">
        <f t="shared" si="227"/>
        <v>1</v>
      </c>
      <c r="I551" s="44">
        <f t="shared" ca="1" si="244"/>
        <v>39</v>
      </c>
      <c r="J551">
        <f t="shared" si="228"/>
        <v>1</v>
      </c>
      <c r="K551" s="36">
        <f t="shared" ca="1" si="229"/>
        <v>149.57608695652175</v>
      </c>
      <c r="L551" s="10">
        <f ca="1">AH551*VLOOKUP(C551,技能辅助查询表,技能配置辅助表!$T$1,FALSE)</f>
        <v>0</v>
      </c>
      <c r="M551">
        <f t="shared" ca="1" si="230"/>
        <v>6100</v>
      </c>
      <c r="N551" s="33">
        <f ca="1">CHOOSE(1,W551*U551,X551*'[1]0、经济设定'!$C$18)</f>
        <v>286990</v>
      </c>
      <c r="O551">
        <f t="shared" si="231"/>
        <v>1</v>
      </c>
      <c r="P551">
        <f t="shared" si="232"/>
        <v>2</v>
      </c>
      <c r="Q551">
        <f t="shared" si="233"/>
        <v>1</v>
      </c>
      <c r="R551" s="2">
        <f t="shared" si="234"/>
        <v>2</v>
      </c>
      <c r="S551" s="2">
        <f t="shared" si="235"/>
        <v>50</v>
      </c>
      <c r="T551" s="2">
        <f t="shared" si="236"/>
        <v>107.60869565217392</v>
      </c>
      <c r="U551" s="2">
        <f ca="1">VLOOKUP(E551,金币生产率!$A$2:$B$120,2,0)</f>
        <v>2609</v>
      </c>
      <c r="V551" s="2">
        <f t="shared" si="237"/>
        <v>215.21739130434784</v>
      </c>
      <c r="W551" s="45">
        <f t="shared" ca="1" si="250"/>
        <v>110</v>
      </c>
      <c r="X551" s="48">
        <f t="shared" ca="1" si="251"/>
        <v>1560</v>
      </c>
      <c r="Y551">
        <f t="shared" si="238"/>
        <v>18</v>
      </c>
      <c r="Z551">
        <f t="shared" ca="1" si="245"/>
        <v>44</v>
      </c>
      <c r="AA551" t="str">
        <f t="shared" ca="1" si="246"/>
        <v>9211100.png</v>
      </c>
      <c r="AB551">
        <f t="shared" si="239"/>
        <v>10</v>
      </c>
      <c r="AC551">
        <f>VLOOKUP(C551,技能辅助查询表,技能配置辅助表!$W$1,FALSE)</f>
        <v>20</v>
      </c>
      <c r="AD551">
        <f t="shared" ca="1" si="247"/>
        <v>726.49499919838343</v>
      </c>
      <c r="AE551">
        <f>VLOOKUP(C551,技能辅助查询表,技能配置辅助表!$U$1,FALSE)</f>
        <v>1</v>
      </c>
      <c r="AF551">
        <f t="shared" ca="1" si="248"/>
        <v>9211139</v>
      </c>
      <c r="AG551">
        <f t="shared" ca="1" si="252"/>
        <v>62.489795918367349</v>
      </c>
      <c r="AH551">
        <f t="shared" ca="1" si="249"/>
        <v>1823.9695427969455</v>
      </c>
      <c r="AI551">
        <f ca="1">VLOOKUP(E551,伤害参考系!$C$4:$E$104,3,FALSE)*$AN$12</f>
        <v>11946.449897157196</v>
      </c>
      <c r="AJ551">
        <f>VLOOKUP(C551,技能辅助查询表,技能配置辅助表!$L$1,FALSE)</f>
        <v>2</v>
      </c>
      <c r="AK551">
        <f>VLOOKUP(C551,技能辅助查询表,技能配置辅助表!$AE$1,FALSE)</f>
        <v>66000264</v>
      </c>
    </row>
    <row r="552" spans="1:37" x14ac:dyDescent="0.15">
      <c r="A552" s="1">
        <f t="shared" ca="1" si="240"/>
        <v>9211140</v>
      </c>
      <c r="B552" s="1" t="str">
        <f t="shared" ca="1" si="225"/>
        <v>虎啸</v>
      </c>
      <c r="C552" t="s">
        <v>160</v>
      </c>
      <c r="D552">
        <f t="shared" si="226"/>
        <v>2</v>
      </c>
      <c r="E552" s="42">
        <f t="shared" ca="1" si="241"/>
        <v>64</v>
      </c>
      <c r="F552" t="str">
        <f t="shared" ca="1" si="242"/>
        <v>第40级，共造成301.3%点伤害</v>
      </c>
      <c r="G552">
        <f t="shared" ca="1" si="243"/>
        <v>1</v>
      </c>
      <c r="H552">
        <f t="shared" si="227"/>
        <v>1</v>
      </c>
      <c r="I552" s="44">
        <f t="shared" ca="1" si="244"/>
        <v>40</v>
      </c>
      <c r="J552">
        <f t="shared" si="228"/>
        <v>1</v>
      </c>
      <c r="K552" s="36">
        <f t="shared" ca="1" si="229"/>
        <v>150.6521739130435</v>
      </c>
      <c r="L552" s="10">
        <f ca="1">AH552*VLOOKUP(C552,技能辅助查询表,技能配置辅助表!$T$1,FALSE)</f>
        <v>0</v>
      </c>
      <c r="M552">
        <f t="shared" ca="1" si="230"/>
        <v>6000</v>
      </c>
      <c r="N552" s="33">
        <f ca="1">CHOOSE(1,W552*U552,X552*'[1]0、经济设定'!$C$18)</f>
        <v>318010</v>
      </c>
      <c r="O552">
        <f t="shared" si="231"/>
        <v>1</v>
      </c>
      <c r="P552">
        <f t="shared" si="232"/>
        <v>2</v>
      </c>
      <c r="Q552">
        <f t="shared" si="233"/>
        <v>1</v>
      </c>
      <c r="R552" s="2">
        <f t="shared" si="234"/>
        <v>2</v>
      </c>
      <c r="S552" s="2">
        <f t="shared" si="235"/>
        <v>50</v>
      </c>
      <c r="T552" s="2">
        <f t="shared" si="236"/>
        <v>107.60869565217392</v>
      </c>
      <c r="U552" s="2">
        <f ca="1">VLOOKUP(E552,金币生产率!$A$2:$B$120,2,0)</f>
        <v>2695</v>
      </c>
      <c r="V552" s="2">
        <f t="shared" si="237"/>
        <v>215.21739130434784</v>
      </c>
      <c r="W552" s="45">
        <f t="shared" ca="1" si="250"/>
        <v>118</v>
      </c>
      <c r="X552" s="48">
        <f t="shared" ca="1" si="251"/>
        <v>1678</v>
      </c>
      <c r="Y552">
        <f t="shared" si="238"/>
        <v>18</v>
      </c>
      <c r="Z552">
        <f t="shared" ca="1" si="245"/>
        <v>48</v>
      </c>
      <c r="AA552" t="str">
        <f t="shared" ca="1" si="246"/>
        <v>9211100.png</v>
      </c>
      <c r="AB552">
        <f t="shared" si="239"/>
        <v>10</v>
      </c>
      <c r="AC552">
        <f>VLOOKUP(C552,技能辅助查询表,技能配置辅助表!$W$1,FALSE)</f>
        <v>20</v>
      </c>
      <c r="AD552">
        <f t="shared" ca="1" si="247"/>
        <v>836.04321572183437</v>
      </c>
      <c r="AE552">
        <f>VLOOKUP(C552,技能辅助查询表,技能配置辅助表!$U$1,FALSE)</f>
        <v>1</v>
      </c>
      <c r="AF552">
        <f t="shared" ca="1" si="248"/>
        <v>9211140</v>
      </c>
      <c r="AG552">
        <f t="shared" ca="1" si="252"/>
        <v>64.081632653061234</v>
      </c>
      <c r="AH552">
        <f t="shared" ca="1" si="249"/>
        <v>2076.5652226352254</v>
      </c>
      <c r="AI552">
        <f ca="1">VLOOKUP(E552,伤害参考系!$C$4:$E$104,3,FALSE)*$AN$12</f>
        <v>12506.737545150507</v>
      </c>
      <c r="AJ552">
        <f>VLOOKUP(C552,技能辅助查询表,技能配置辅助表!$L$1,FALSE)</f>
        <v>2</v>
      </c>
      <c r="AK552">
        <f>VLOOKUP(C552,技能辅助查询表,技能配置辅助表!$AE$1,FALSE)</f>
        <v>66000264</v>
      </c>
    </row>
    <row r="553" spans="1:37" x14ac:dyDescent="0.15">
      <c r="A553" s="1">
        <f t="shared" ca="1" si="240"/>
        <v>9211141</v>
      </c>
      <c r="B553" s="1" t="str">
        <f t="shared" ca="1" si="225"/>
        <v>虎啸</v>
      </c>
      <c r="C553" t="s">
        <v>160</v>
      </c>
      <c r="D553">
        <f t="shared" si="226"/>
        <v>2</v>
      </c>
      <c r="E553" s="42">
        <f t="shared" ca="1" si="241"/>
        <v>66</v>
      </c>
      <c r="F553" t="str">
        <f t="shared" ca="1" si="242"/>
        <v>第41级，共造成303.5%点伤害</v>
      </c>
      <c r="G553">
        <f t="shared" ca="1" si="243"/>
        <v>1</v>
      </c>
      <c r="H553">
        <f t="shared" si="227"/>
        <v>1</v>
      </c>
      <c r="I553" s="44">
        <f t="shared" ca="1" si="244"/>
        <v>41</v>
      </c>
      <c r="J553">
        <f t="shared" si="228"/>
        <v>1</v>
      </c>
      <c r="K553" s="36">
        <f t="shared" ca="1" si="229"/>
        <v>151.72826086956525</v>
      </c>
      <c r="L553" s="10">
        <f ca="1">AH553*VLOOKUP(C553,技能辅助查询表,技能配置辅助表!$T$1,FALSE)</f>
        <v>0</v>
      </c>
      <c r="M553">
        <f t="shared" ca="1" si="230"/>
        <v>5900</v>
      </c>
      <c r="N553" s="33">
        <f ca="1">CHOOSE(1,W553*U553,X553*'[1]0、经济设定'!$C$18)</f>
        <v>361872</v>
      </c>
      <c r="O553">
        <f t="shared" si="231"/>
        <v>1</v>
      </c>
      <c r="P553">
        <f t="shared" si="232"/>
        <v>2</v>
      </c>
      <c r="Q553">
        <f t="shared" si="233"/>
        <v>1</v>
      </c>
      <c r="R553" s="2">
        <f t="shared" si="234"/>
        <v>2</v>
      </c>
      <c r="S553" s="2">
        <f t="shared" si="235"/>
        <v>50</v>
      </c>
      <c r="T553" s="2">
        <f t="shared" si="236"/>
        <v>107.60869565217392</v>
      </c>
      <c r="U553" s="2">
        <f ca="1">VLOOKUP(E553,金币生产率!$A$2:$B$120,2,0)</f>
        <v>2872</v>
      </c>
      <c r="V553" s="2">
        <f t="shared" si="237"/>
        <v>215.21739130434784</v>
      </c>
      <c r="W553" s="45">
        <f t="shared" ca="1" si="250"/>
        <v>126</v>
      </c>
      <c r="X553" s="48">
        <f t="shared" ca="1" si="251"/>
        <v>1804</v>
      </c>
      <c r="Y553">
        <f t="shared" si="238"/>
        <v>18</v>
      </c>
      <c r="Z553">
        <f t="shared" ca="1" si="245"/>
        <v>51</v>
      </c>
      <c r="AA553" t="str">
        <f t="shared" ca="1" si="246"/>
        <v>9211100.png</v>
      </c>
      <c r="AB553">
        <f t="shared" si="239"/>
        <v>10</v>
      </c>
      <c r="AC553">
        <f>VLOOKUP(C553,技能辅助查询表,技能配置辅助表!$W$1,FALSE)</f>
        <v>20</v>
      </c>
      <c r="AD553">
        <f t="shared" ca="1" si="247"/>
        <v>962.00024343137613</v>
      </c>
      <c r="AE553">
        <f>VLOOKUP(C553,技能辅助查询表,技能配置辅助表!$U$1,FALSE)</f>
        <v>1</v>
      </c>
      <c r="AF553">
        <f t="shared" ca="1" si="248"/>
        <v>9211141</v>
      </c>
      <c r="AG553">
        <f t="shared" ca="1" si="252"/>
        <v>65.673469387755105</v>
      </c>
      <c r="AH553">
        <f t="shared" ca="1" si="249"/>
        <v>2364.1420663448707</v>
      </c>
      <c r="AI553">
        <f ca="1">VLOOKUP(E553,伤害参考系!$C$4:$E$104,3,FALSE)*$AN$12</f>
        <v>13664.798729096996</v>
      </c>
      <c r="AJ553">
        <f>VLOOKUP(C553,技能辅助查询表,技能配置辅助表!$L$1,FALSE)</f>
        <v>2</v>
      </c>
      <c r="AK553">
        <f>VLOOKUP(C553,技能辅助查询表,技能配置辅助表!$AE$1,FALSE)</f>
        <v>66000264</v>
      </c>
    </row>
    <row r="554" spans="1:37" x14ac:dyDescent="0.15">
      <c r="A554" s="1">
        <f t="shared" ca="1" si="240"/>
        <v>9211142</v>
      </c>
      <c r="B554" s="1" t="str">
        <f t="shared" ca="1" si="225"/>
        <v>虎啸</v>
      </c>
      <c r="C554" t="s">
        <v>160</v>
      </c>
      <c r="D554">
        <f t="shared" si="226"/>
        <v>2</v>
      </c>
      <c r="E554" s="42">
        <f t="shared" ca="1" si="241"/>
        <v>68</v>
      </c>
      <c r="F554" t="str">
        <f t="shared" ca="1" si="242"/>
        <v>第42级，共造成305.6%点伤害</v>
      </c>
      <c r="G554">
        <f t="shared" ca="1" si="243"/>
        <v>1</v>
      </c>
      <c r="H554">
        <f t="shared" si="227"/>
        <v>1</v>
      </c>
      <c r="I554" s="44">
        <f t="shared" ca="1" si="244"/>
        <v>42</v>
      </c>
      <c r="J554">
        <f t="shared" si="228"/>
        <v>1</v>
      </c>
      <c r="K554" s="36">
        <f t="shared" ca="1" si="229"/>
        <v>152.80434782608697</v>
      </c>
      <c r="L554" s="10">
        <f ca="1">AH554*VLOOKUP(C554,技能辅助查询表,技能配置辅助表!$T$1,FALSE)</f>
        <v>0</v>
      </c>
      <c r="M554">
        <f t="shared" ca="1" si="230"/>
        <v>5800</v>
      </c>
      <c r="N554" s="33">
        <f ca="1">CHOOSE(1,W554*U554,X554*'[1]0、经济设定'!$C$18)</f>
        <v>412290</v>
      </c>
      <c r="O554">
        <f t="shared" si="231"/>
        <v>1</v>
      </c>
      <c r="P554">
        <f t="shared" si="232"/>
        <v>2</v>
      </c>
      <c r="Q554">
        <f t="shared" si="233"/>
        <v>1</v>
      </c>
      <c r="R554" s="2">
        <f t="shared" si="234"/>
        <v>2</v>
      </c>
      <c r="S554" s="2">
        <f t="shared" si="235"/>
        <v>50</v>
      </c>
      <c r="T554" s="2">
        <f t="shared" si="236"/>
        <v>107.60869565217392</v>
      </c>
      <c r="U554" s="2">
        <f ca="1">VLOOKUP(E554,金币生产率!$A$2:$B$120,2,0)</f>
        <v>3054</v>
      </c>
      <c r="V554" s="2">
        <f t="shared" si="237"/>
        <v>215.21739130434784</v>
      </c>
      <c r="W554" s="45">
        <f t="shared" ca="1" si="250"/>
        <v>135</v>
      </c>
      <c r="X554" s="48">
        <f t="shared" ca="1" si="251"/>
        <v>1939</v>
      </c>
      <c r="Y554">
        <f t="shared" si="238"/>
        <v>18</v>
      </c>
      <c r="Z554">
        <f t="shared" ca="1" si="245"/>
        <v>54</v>
      </c>
      <c r="AA554" t="str">
        <f t="shared" ca="1" si="246"/>
        <v>9211100.png</v>
      </c>
      <c r="AB554">
        <f t="shared" si="239"/>
        <v>10</v>
      </c>
      <c r="AC554">
        <f>VLOOKUP(C554,技能辅助查询表,技能配置辅助表!$W$1,FALSE)</f>
        <v>20</v>
      </c>
      <c r="AD554">
        <f t="shared" ca="1" si="247"/>
        <v>1106.8099090550145</v>
      </c>
      <c r="AE554">
        <f>VLOOKUP(C554,技能辅助查询表,技能配置辅助表!$U$1,FALSE)</f>
        <v>1</v>
      </c>
      <c r="AF554">
        <f t="shared" ca="1" si="248"/>
        <v>9211142</v>
      </c>
      <c r="AG554">
        <f t="shared" ca="1" si="252"/>
        <v>67.265306122448976</v>
      </c>
      <c r="AH554">
        <f t="shared" ca="1" si="249"/>
        <v>2691.5445028827789</v>
      </c>
      <c r="AI554">
        <f ca="1">VLOOKUP(E554,伤害参考系!$C$4:$E$104,3,FALSE)*$AN$12</f>
        <v>14872.841096989978</v>
      </c>
      <c r="AJ554">
        <f>VLOOKUP(C554,技能辅助查询表,技能配置辅助表!$L$1,FALSE)</f>
        <v>2</v>
      </c>
      <c r="AK554">
        <f>VLOOKUP(C554,技能辅助查询表,技能配置辅助表!$AE$1,FALSE)</f>
        <v>66000264</v>
      </c>
    </row>
    <row r="555" spans="1:37" x14ac:dyDescent="0.15">
      <c r="A555" s="1">
        <f t="shared" ca="1" si="240"/>
        <v>9211143</v>
      </c>
      <c r="B555" s="1" t="str">
        <f t="shared" ca="1" si="225"/>
        <v>虎啸</v>
      </c>
      <c r="C555" t="s">
        <v>160</v>
      </c>
      <c r="D555">
        <f t="shared" si="226"/>
        <v>2</v>
      </c>
      <c r="E555" s="42">
        <f t="shared" ca="1" si="241"/>
        <v>69</v>
      </c>
      <c r="F555" t="str">
        <f t="shared" ca="1" si="242"/>
        <v>第43级，共造成307.8%点伤害</v>
      </c>
      <c r="G555">
        <f t="shared" ca="1" si="243"/>
        <v>1</v>
      </c>
      <c r="H555">
        <f t="shared" si="227"/>
        <v>1</v>
      </c>
      <c r="I555" s="44">
        <f t="shared" ca="1" si="244"/>
        <v>43</v>
      </c>
      <c r="J555">
        <f t="shared" si="228"/>
        <v>1</v>
      </c>
      <c r="K555" s="36">
        <f t="shared" ca="1" si="229"/>
        <v>153.88043478260872</v>
      </c>
      <c r="L555" s="10">
        <f ca="1">AH555*VLOOKUP(C555,技能辅助查询表,技能配置辅助表!$T$1,FALSE)</f>
        <v>0</v>
      </c>
      <c r="M555">
        <f t="shared" ca="1" si="230"/>
        <v>5700</v>
      </c>
      <c r="N555" s="33">
        <f ca="1">CHOOSE(1,W555*U555,X555*'[1]0、经济设定'!$C$18)</f>
        <v>456315</v>
      </c>
      <c r="O555">
        <f t="shared" si="231"/>
        <v>1</v>
      </c>
      <c r="P555">
        <f t="shared" si="232"/>
        <v>2</v>
      </c>
      <c r="Q555">
        <f t="shared" si="233"/>
        <v>1</v>
      </c>
      <c r="R555" s="2">
        <f t="shared" si="234"/>
        <v>2</v>
      </c>
      <c r="S555" s="2">
        <f t="shared" si="235"/>
        <v>50</v>
      </c>
      <c r="T555" s="2">
        <f t="shared" si="236"/>
        <v>107.60869565217392</v>
      </c>
      <c r="U555" s="2">
        <f ca="1">VLOOKUP(E555,金币生产率!$A$2:$B$120,2,0)</f>
        <v>3147</v>
      </c>
      <c r="V555" s="2">
        <f t="shared" si="237"/>
        <v>215.21739130434784</v>
      </c>
      <c r="W555" s="45">
        <f t="shared" ca="1" si="250"/>
        <v>145</v>
      </c>
      <c r="X555" s="48">
        <f t="shared" ca="1" si="251"/>
        <v>2084</v>
      </c>
      <c r="Y555">
        <f t="shared" si="238"/>
        <v>18</v>
      </c>
      <c r="Z555">
        <f t="shared" ca="1" si="245"/>
        <v>58</v>
      </c>
      <c r="AA555" t="str">
        <f t="shared" ca="1" si="246"/>
        <v>9211100.png</v>
      </c>
      <c r="AB555">
        <f t="shared" si="239"/>
        <v>10</v>
      </c>
      <c r="AC555">
        <f>VLOOKUP(C555,技能辅助查询表,技能配置辅助表!$W$1,FALSE)</f>
        <v>20</v>
      </c>
      <c r="AD555">
        <f t="shared" ca="1" si="247"/>
        <v>1273.2782168785488</v>
      </c>
      <c r="AE555">
        <f>VLOOKUP(C555,技能辅助查询表,技能配置辅助表!$U$1,FALSE)</f>
        <v>1</v>
      </c>
      <c r="AF555">
        <f t="shared" ca="1" si="248"/>
        <v>9211143</v>
      </c>
      <c r="AG555">
        <f t="shared" ca="1" si="252"/>
        <v>68.857142857142861</v>
      </c>
      <c r="AH555">
        <f t="shared" ca="1" si="249"/>
        <v>3064.2878506023458</v>
      </c>
      <c r="AI555">
        <f ca="1">VLOOKUP(E555,伤害参考系!$C$4:$E$104,3,FALSE)*$AN$12</f>
        <v>15495.605224916402</v>
      </c>
      <c r="AJ555">
        <f>VLOOKUP(C555,技能辅助查询表,技能配置辅助表!$L$1,FALSE)</f>
        <v>2</v>
      </c>
      <c r="AK555">
        <f>VLOOKUP(C555,技能辅助查询表,技能配置辅助表!$AE$1,FALSE)</f>
        <v>66000264</v>
      </c>
    </row>
    <row r="556" spans="1:37" x14ac:dyDescent="0.15">
      <c r="A556" s="1">
        <f t="shared" ca="1" si="240"/>
        <v>9211144</v>
      </c>
      <c r="B556" s="1" t="str">
        <f t="shared" ca="1" si="225"/>
        <v>虎啸</v>
      </c>
      <c r="C556" t="s">
        <v>160</v>
      </c>
      <c r="D556">
        <f t="shared" si="226"/>
        <v>2</v>
      </c>
      <c r="E556" s="42">
        <f t="shared" ca="1" si="241"/>
        <v>71</v>
      </c>
      <c r="F556" t="str">
        <f t="shared" ca="1" si="242"/>
        <v>第44级，共造成309.9%点伤害</v>
      </c>
      <c r="G556">
        <f t="shared" ca="1" si="243"/>
        <v>1</v>
      </c>
      <c r="H556">
        <f t="shared" si="227"/>
        <v>1</v>
      </c>
      <c r="I556" s="44">
        <f t="shared" ca="1" si="244"/>
        <v>44</v>
      </c>
      <c r="J556">
        <f t="shared" si="228"/>
        <v>1</v>
      </c>
      <c r="K556" s="36">
        <f t="shared" ca="1" si="229"/>
        <v>154.95652173913044</v>
      </c>
      <c r="L556" s="10">
        <f ca="1">AH556*VLOOKUP(C556,技能辅助查询表,技能配置辅助表!$T$1,FALSE)</f>
        <v>0</v>
      </c>
      <c r="M556">
        <f t="shared" ca="1" si="230"/>
        <v>5600</v>
      </c>
      <c r="N556" s="33">
        <f ca="1">CHOOSE(1,W556*U556,X556*'[1]0、经济设定'!$C$18)</f>
        <v>517390</v>
      </c>
      <c r="O556">
        <f t="shared" si="231"/>
        <v>1</v>
      </c>
      <c r="P556">
        <f t="shared" si="232"/>
        <v>2</v>
      </c>
      <c r="Q556">
        <f t="shared" si="233"/>
        <v>1</v>
      </c>
      <c r="R556" s="2">
        <f t="shared" si="234"/>
        <v>2</v>
      </c>
      <c r="S556" s="2">
        <f t="shared" si="235"/>
        <v>50</v>
      </c>
      <c r="T556" s="2">
        <f t="shared" si="236"/>
        <v>107.60869565217392</v>
      </c>
      <c r="U556" s="2">
        <f ca="1">VLOOKUP(E556,金币生产率!$A$2:$B$120,2,0)</f>
        <v>3338</v>
      </c>
      <c r="V556" s="2">
        <f t="shared" si="237"/>
        <v>215.21739130434784</v>
      </c>
      <c r="W556" s="45">
        <f t="shared" ca="1" si="250"/>
        <v>155</v>
      </c>
      <c r="X556" s="48">
        <f t="shared" ca="1" si="251"/>
        <v>2239</v>
      </c>
      <c r="Y556">
        <f t="shared" si="238"/>
        <v>18</v>
      </c>
      <c r="Z556">
        <f t="shared" ca="1" si="245"/>
        <v>62</v>
      </c>
      <c r="AA556" t="str">
        <f t="shared" ca="1" si="246"/>
        <v>9211100.png</v>
      </c>
      <c r="AB556">
        <f t="shared" si="239"/>
        <v>10</v>
      </c>
      <c r="AC556">
        <f>VLOOKUP(C556,技能辅助查询表,技能配置辅助表!$W$1,FALSE)</f>
        <v>20</v>
      </c>
      <c r="AD556">
        <f t="shared" ca="1" si="247"/>
        <v>1464.6267932068574</v>
      </c>
      <c r="AE556">
        <f>VLOOKUP(C556,技能辅助查询表,技能配置辅助表!$U$1,FALSE)</f>
        <v>1</v>
      </c>
      <c r="AF556">
        <f t="shared" ca="1" si="248"/>
        <v>9211144</v>
      </c>
      <c r="AG556">
        <f t="shared" ca="1" si="252"/>
        <v>70.448979591836732</v>
      </c>
      <c r="AH556">
        <f t="shared" ca="1" si="249"/>
        <v>3488.6512265697725</v>
      </c>
      <c r="AI556">
        <f ca="1">VLOOKUP(E556,伤害参考系!$C$4:$E$104,3,FALSE)*$AN$12</f>
        <v>16902.905438127098</v>
      </c>
      <c r="AJ556">
        <f>VLOOKUP(C556,技能辅助查询表,技能配置辅助表!$L$1,FALSE)</f>
        <v>2</v>
      </c>
      <c r="AK556">
        <f>VLOOKUP(C556,技能辅助查询表,技能配置辅助表!$AE$1,FALSE)</f>
        <v>66000264</v>
      </c>
    </row>
    <row r="557" spans="1:37" x14ac:dyDescent="0.15">
      <c r="A557" s="1">
        <f t="shared" ca="1" si="240"/>
        <v>9211145</v>
      </c>
      <c r="B557" s="1" t="str">
        <f t="shared" ca="1" si="225"/>
        <v>虎啸</v>
      </c>
      <c r="C557" t="s">
        <v>160</v>
      </c>
      <c r="D557">
        <f t="shared" si="226"/>
        <v>2</v>
      </c>
      <c r="E557" s="42">
        <f t="shared" ca="1" si="241"/>
        <v>72</v>
      </c>
      <c r="F557" t="str">
        <f t="shared" ca="1" si="242"/>
        <v>第45级，共造成312.1%点伤害</v>
      </c>
      <c r="G557">
        <f t="shared" ca="1" si="243"/>
        <v>1</v>
      </c>
      <c r="H557">
        <f t="shared" si="227"/>
        <v>1</v>
      </c>
      <c r="I557" s="44">
        <f t="shared" ca="1" si="244"/>
        <v>45</v>
      </c>
      <c r="J557">
        <f t="shared" si="228"/>
        <v>1</v>
      </c>
      <c r="K557" s="36">
        <f t="shared" ca="1" si="229"/>
        <v>156.03260869565219</v>
      </c>
      <c r="L557" s="10">
        <f ca="1">AH557*VLOOKUP(C557,技能辅助查询表,技能配置辅助表!$T$1,FALSE)</f>
        <v>0</v>
      </c>
      <c r="M557">
        <f t="shared" ca="1" si="230"/>
        <v>5500</v>
      </c>
      <c r="N557" s="33">
        <f ca="1">CHOOSE(1,W557*U557,X557*'[1]0、经济设定'!$C$18)</f>
        <v>566775</v>
      </c>
      <c r="O557">
        <f t="shared" si="231"/>
        <v>1</v>
      </c>
      <c r="P557">
        <f t="shared" si="232"/>
        <v>2</v>
      </c>
      <c r="Q557">
        <f t="shared" si="233"/>
        <v>1</v>
      </c>
      <c r="R557" s="2">
        <f t="shared" si="234"/>
        <v>2</v>
      </c>
      <c r="S557" s="2">
        <f t="shared" si="235"/>
        <v>50</v>
      </c>
      <c r="T557" s="2">
        <f t="shared" si="236"/>
        <v>107.60869565217392</v>
      </c>
      <c r="U557" s="2">
        <f ca="1">VLOOKUP(E557,金币生产率!$A$2:$B$120,2,0)</f>
        <v>3435</v>
      </c>
      <c r="V557" s="2">
        <f t="shared" si="237"/>
        <v>215.21739130434784</v>
      </c>
      <c r="W557" s="45">
        <f t="shared" ca="1" si="250"/>
        <v>165</v>
      </c>
      <c r="X557" s="48">
        <f t="shared" ca="1" si="251"/>
        <v>2404</v>
      </c>
      <c r="Y557">
        <f t="shared" si="238"/>
        <v>18</v>
      </c>
      <c r="Z557">
        <f t="shared" ca="1" si="245"/>
        <v>66</v>
      </c>
      <c r="AA557" t="str">
        <f t="shared" ca="1" si="246"/>
        <v>9211100.png</v>
      </c>
      <c r="AB557">
        <f t="shared" si="239"/>
        <v>10</v>
      </c>
      <c r="AC557">
        <f>VLOOKUP(C557,技能辅助查询表,技能配置辅助表!$W$1,FALSE)</f>
        <v>20</v>
      </c>
      <c r="AD557">
        <f t="shared" ca="1" si="247"/>
        <v>1684.5541874736875</v>
      </c>
      <c r="AE557">
        <f>VLOOKUP(C557,技能辅助查询表,技能配置辅助表!$U$1,FALSE)</f>
        <v>1</v>
      </c>
      <c r="AF557">
        <f t="shared" ca="1" si="248"/>
        <v>9211145</v>
      </c>
      <c r="AG557">
        <f t="shared" ca="1" si="252"/>
        <v>72.040816326530617</v>
      </c>
      <c r="AH557">
        <f t="shared" ca="1" si="249"/>
        <v>3971.7833225930094</v>
      </c>
      <c r="AI557">
        <f ca="1">VLOOKUP(E557,伤害参考系!$C$4:$E$104,3,FALSE)*$AN$12</f>
        <v>17628.422312709041</v>
      </c>
      <c r="AJ557">
        <f>VLOOKUP(C557,技能辅助查询表,技能配置辅助表!$L$1,FALSE)</f>
        <v>2</v>
      </c>
      <c r="AK557">
        <f>VLOOKUP(C557,技能辅助查询表,技能配置辅助表!$AE$1,FALSE)</f>
        <v>66000264</v>
      </c>
    </row>
    <row r="558" spans="1:37" x14ac:dyDescent="0.15">
      <c r="A558" s="1">
        <f t="shared" ca="1" si="240"/>
        <v>9211146</v>
      </c>
      <c r="B558" s="1" t="str">
        <f t="shared" ca="1" si="225"/>
        <v>虎啸</v>
      </c>
      <c r="C558" t="s">
        <v>160</v>
      </c>
      <c r="D558">
        <f t="shared" si="226"/>
        <v>2</v>
      </c>
      <c r="E558" s="42">
        <f t="shared" ca="1" si="241"/>
        <v>74</v>
      </c>
      <c r="F558" t="str">
        <f t="shared" ca="1" si="242"/>
        <v>第46级，共造成314.2%点伤害</v>
      </c>
      <c r="G558">
        <f t="shared" ca="1" si="243"/>
        <v>1</v>
      </c>
      <c r="H558">
        <f t="shared" si="227"/>
        <v>1</v>
      </c>
      <c r="I558" s="44">
        <f t="shared" ca="1" si="244"/>
        <v>46</v>
      </c>
      <c r="J558">
        <f t="shared" si="228"/>
        <v>1</v>
      </c>
      <c r="K558" s="36">
        <f t="shared" ca="1" si="229"/>
        <v>157.10869565217394</v>
      </c>
      <c r="L558" s="10">
        <f ca="1">AH558*VLOOKUP(C558,技能辅助查询表,技能配置辅助表!$T$1,FALSE)</f>
        <v>0</v>
      </c>
      <c r="M558">
        <f t="shared" ca="1" si="230"/>
        <v>5400</v>
      </c>
      <c r="N558" s="33">
        <f ca="1">CHOOSE(1,W558*U558,X558*'[1]0、经济设定'!$C$18)</f>
        <v>643218</v>
      </c>
      <c r="O558">
        <f t="shared" si="231"/>
        <v>1</v>
      </c>
      <c r="P558">
        <f t="shared" si="232"/>
        <v>2</v>
      </c>
      <c r="Q558">
        <f t="shared" si="233"/>
        <v>1</v>
      </c>
      <c r="R558" s="2">
        <f t="shared" si="234"/>
        <v>2</v>
      </c>
      <c r="S558" s="2">
        <f t="shared" si="235"/>
        <v>50</v>
      </c>
      <c r="T558" s="2">
        <f t="shared" si="236"/>
        <v>107.60869565217392</v>
      </c>
      <c r="U558" s="2">
        <f ca="1">VLOOKUP(E558,金币生产率!$A$2:$B$120,2,0)</f>
        <v>3634</v>
      </c>
      <c r="V558" s="2">
        <f t="shared" si="237"/>
        <v>215.21739130434784</v>
      </c>
      <c r="W558" s="45">
        <f t="shared" ca="1" si="250"/>
        <v>177</v>
      </c>
      <c r="X558" s="48">
        <f t="shared" ca="1" si="251"/>
        <v>2581</v>
      </c>
      <c r="Y558">
        <f t="shared" si="238"/>
        <v>18</v>
      </c>
      <c r="Z558">
        <f t="shared" ca="1" si="245"/>
        <v>71</v>
      </c>
      <c r="AA558" t="str">
        <f t="shared" ca="1" si="246"/>
        <v>9211100.png</v>
      </c>
      <c r="AB558">
        <f t="shared" si="239"/>
        <v>10</v>
      </c>
      <c r="AC558">
        <f>VLOOKUP(C558,技能辅助查询表,技能配置辅助表!$W$1,FALSE)</f>
        <v>20</v>
      </c>
      <c r="AD558">
        <f t="shared" ca="1" si="247"/>
        <v>1937.3061810945248</v>
      </c>
      <c r="AE558">
        <f>VLOOKUP(C558,技能辅助查询表,技能配置辅助表!$U$1,FALSE)</f>
        <v>1</v>
      </c>
      <c r="AF558">
        <f t="shared" ca="1" si="248"/>
        <v>9211146</v>
      </c>
      <c r="AG558">
        <f t="shared" ca="1" si="252"/>
        <v>73.632653061224488</v>
      </c>
      <c r="AH558">
        <f t="shared" ca="1" si="249"/>
        <v>4521.8228298329677</v>
      </c>
      <c r="AI558">
        <f ca="1">VLOOKUP(E558,伤害参考系!$C$4:$E$104,3,FALSE)*$AN$12</f>
        <v>19123.189597826095</v>
      </c>
      <c r="AJ558">
        <f>VLOOKUP(C558,技能辅助查询表,技能配置辅助表!$L$1,FALSE)</f>
        <v>2</v>
      </c>
      <c r="AK558">
        <f>VLOOKUP(C558,技能辅助查询表,技能配置辅助表!$AE$1,FALSE)</f>
        <v>66000264</v>
      </c>
    </row>
    <row r="559" spans="1:37" x14ac:dyDescent="0.15">
      <c r="A559" s="1">
        <f t="shared" ca="1" si="240"/>
        <v>9211147</v>
      </c>
      <c r="B559" s="1" t="str">
        <f t="shared" ca="1" si="225"/>
        <v>虎啸</v>
      </c>
      <c r="C559" t="s">
        <v>160</v>
      </c>
      <c r="D559">
        <f t="shared" si="226"/>
        <v>2</v>
      </c>
      <c r="E559" s="42">
        <f t="shared" ca="1" si="241"/>
        <v>75</v>
      </c>
      <c r="F559" t="str">
        <f t="shared" ca="1" si="242"/>
        <v>第47级，共造成316.4%点伤害</v>
      </c>
      <c r="G559">
        <f t="shared" ca="1" si="243"/>
        <v>1</v>
      </c>
      <c r="H559">
        <f t="shared" si="227"/>
        <v>1</v>
      </c>
      <c r="I559" s="44">
        <f t="shared" ca="1" si="244"/>
        <v>47</v>
      </c>
      <c r="J559">
        <f t="shared" si="228"/>
        <v>1</v>
      </c>
      <c r="K559" s="36">
        <f t="shared" ca="1" si="229"/>
        <v>158.18478260869566</v>
      </c>
      <c r="L559" s="10">
        <f ca="1">AH559*VLOOKUP(C559,技能辅助查询表,技能配置辅助表!$T$1,FALSE)</f>
        <v>0</v>
      </c>
      <c r="M559">
        <f t="shared" ca="1" si="230"/>
        <v>5300</v>
      </c>
      <c r="N559" s="33">
        <f ca="1">CHOOSE(1,W559*U559,X559*'[1]0、经济设定'!$C$18)</f>
        <v>705915</v>
      </c>
      <c r="O559">
        <f t="shared" si="231"/>
        <v>1</v>
      </c>
      <c r="P559">
        <f t="shared" si="232"/>
        <v>2</v>
      </c>
      <c r="Q559">
        <f t="shared" si="233"/>
        <v>1</v>
      </c>
      <c r="R559" s="2">
        <f t="shared" si="234"/>
        <v>2</v>
      </c>
      <c r="S559" s="2">
        <f t="shared" si="235"/>
        <v>50</v>
      </c>
      <c r="T559" s="2">
        <f t="shared" si="236"/>
        <v>107.60869565217392</v>
      </c>
      <c r="U559" s="2">
        <f ca="1">VLOOKUP(E559,金币生产率!$A$2:$B$120,2,0)</f>
        <v>3735</v>
      </c>
      <c r="V559" s="2">
        <f t="shared" si="237"/>
        <v>215.21739130434784</v>
      </c>
      <c r="W559" s="45">
        <f t="shared" ca="1" si="250"/>
        <v>189</v>
      </c>
      <c r="X559" s="48">
        <f t="shared" ca="1" si="251"/>
        <v>2770</v>
      </c>
      <c r="Y559">
        <f t="shared" si="238"/>
        <v>18</v>
      </c>
      <c r="Z559">
        <f t="shared" ca="1" si="245"/>
        <v>76</v>
      </c>
      <c r="AA559" t="str">
        <f t="shared" ca="1" si="246"/>
        <v>9211100.png</v>
      </c>
      <c r="AB559">
        <f t="shared" si="239"/>
        <v>10</v>
      </c>
      <c r="AC559">
        <f>VLOOKUP(C559,技能辅助查询表,技能配置辅助表!$W$1,FALSE)</f>
        <v>20</v>
      </c>
      <c r="AD559">
        <f t="shared" ca="1" si="247"/>
        <v>2227.7564233004855</v>
      </c>
      <c r="AE559">
        <f>VLOOKUP(C559,技能辅助查询表,技能配置辅助表!$U$1,FALSE)</f>
        <v>1</v>
      </c>
      <c r="AF559">
        <f t="shared" ca="1" si="248"/>
        <v>9211147</v>
      </c>
      <c r="AG559">
        <f t="shared" ca="1" si="252"/>
        <v>75.224489795918373</v>
      </c>
      <c r="AH559">
        <f t="shared" ca="1" si="249"/>
        <v>5148.0355406320868</v>
      </c>
      <c r="AI559">
        <f ca="1">VLOOKUP(E559,伤害参考系!$C$4:$E$104,3,FALSE)*$AN$12</f>
        <v>19892.440008361213</v>
      </c>
      <c r="AJ559">
        <f>VLOOKUP(C559,技能辅助查询表,技能配置辅助表!$L$1,FALSE)</f>
        <v>2</v>
      </c>
      <c r="AK559">
        <f>VLOOKUP(C559,技能辅助查询表,技能配置辅助表!$AE$1,FALSE)</f>
        <v>66000264</v>
      </c>
    </row>
    <row r="560" spans="1:37" x14ac:dyDescent="0.15">
      <c r="A560" s="1">
        <f t="shared" ca="1" si="240"/>
        <v>9211148</v>
      </c>
      <c r="B560" s="1" t="str">
        <f t="shared" ca="1" si="225"/>
        <v>虎啸</v>
      </c>
      <c r="C560" t="s">
        <v>160</v>
      </c>
      <c r="D560">
        <f t="shared" si="226"/>
        <v>2</v>
      </c>
      <c r="E560" s="42">
        <f t="shared" ca="1" si="241"/>
        <v>77</v>
      </c>
      <c r="F560" t="str">
        <f t="shared" ca="1" si="242"/>
        <v>第48级，共造成318.5%点伤害</v>
      </c>
      <c r="G560">
        <f t="shared" ca="1" si="243"/>
        <v>1</v>
      </c>
      <c r="H560">
        <f t="shared" si="227"/>
        <v>1</v>
      </c>
      <c r="I560" s="44">
        <f t="shared" ca="1" si="244"/>
        <v>48</v>
      </c>
      <c r="J560">
        <f t="shared" si="228"/>
        <v>1</v>
      </c>
      <c r="K560" s="36">
        <f t="shared" ca="1" si="229"/>
        <v>159.2608695652174</v>
      </c>
      <c r="L560" s="10">
        <f ca="1">AH560*VLOOKUP(C560,技能辅助查询表,技能配置辅助表!$T$1,FALSE)</f>
        <v>0</v>
      </c>
      <c r="M560">
        <f t="shared" ca="1" si="230"/>
        <v>5200</v>
      </c>
      <c r="N560" s="33">
        <f ca="1">CHOOSE(1,W560*U560,X560*'[1]0、经济设定'!$C$18)</f>
        <v>800226</v>
      </c>
      <c r="O560">
        <f t="shared" si="231"/>
        <v>1</v>
      </c>
      <c r="P560">
        <f t="shared" si="232"/>
        <v>2</v>
      </c>
      <c r="Q560">
        <f t="shared" si="233"/>
        <v>1</v>
      </c>
      <c r="R560" s="2">
        <f t="shared" si="234"/>
        <v>2</v>
      </c>
      <c r="S560" s="2">
        <f t="shared" si="235"/>
        <v>50</v>
      </c>
      <c r="T560" s="2">
        <f t="shared" si="236"/>
        <v>107.60869565217392</v>
      </c>
      <c r="U560" s="2">
        <f ca="1">VLOOKUP(E560,金币生产率!$A$2:$B$120,2,0)</f>
        <v>3942</v>
      </c>
      <c r="V560" s="2">
        <f t="shared" si="237"/>
        <v>215.21739130434784</v>
      </c>
      <c r="W560" s="45">
        <f t="shared" ca="1" si="250"/>
        <v>203</v>
      </c>
      <c r="X560" s="48">
        <f t="shared" ca="1" si="251"/>
        <v>2973</v>
      </c>
      <c r="Y560">
        <f t="shared" si="238"/>
        <v>18</v>
      </c>
      <c r="Z560">
        <f t="shared" ca="1" si="245"/>
        <v>82</v>
      </c>
      <c r="AA560" t="str">
        <f t="shared" ca="1" si="246"/>
        <v>9211100.png</v>
      </c>
      <c r="AB560">
        <f t="shared" si="239"/>
        <v>10</v>
      </c>
      <c r="AC560">
        <f>VLOOKUP(C560,技能辅助查询表,技能配置辅助表!$W$1,FALSE)</f>
        <v>20</v>
      </c>
      <c r="AD560">
        <f t="shared" ca="1" si="247"/>
        <v>2561.4989058294113</v>
      </c>
      <c r="AE560">
        <f>VLOOKUP(C560,技能辅助查询表,技能配置辅助表!$U$1,FALSE)</f>
        <v>1</v>
      </c>
      <c r="AF560">
        <f t="shared" ca="1" si="248"/>
        <v>9211148</v>
      </c>
      <c r="AG560">
        <f t="shared" ca="1" si="252"/>
        <v>76.816326530612244</v>
      </c>
      <c r="AH560">
        <f t="shared" ca="1" si="249"/>
        <v>5860.970437134547</v>
      </c>
      <c r="AI560">
        <f ca="1">VLOOKUP(E560,伤害参考系!$C$4:$E$104,3,FALSE)*$AN$12</f>
        <v>21474.674365384624</v>
      </c>
      <c r="AJ560">
        <f>VLOOKUP(C560,技能辅助查询表,技能配置辅助表!$L$1,FALSE)</f>
        <v>2</v>
      </c>
      <c r="AK560">
        <f>VLOOKUP(C560,技能辅助查询表,技能配置辅助表!$AE$1,FALSE)</f>
        <v>66000264</v>
      </c>
    </row>
    <row r="561" spans="1:37" x14ac:dyDescent="0.15">
      <c r="A561" s="1">
        <f t="shared" ca="1" si="240"/>
        <v>9211149</v>
      </c>
      <c r="B561" s="1" t="str">
        <f t="shared" ca="1" si="225"/>
        <v>虎啸</v>
      </c>
      <c r="C561" t="s">
        <v>160</v>
      </c>
      <c r="D561">
        <f t="shared" si="226"/>
        <v>2</v>
      </c>
      <c r="E561" s="42">
        <f t="shared" ca="1" si="241"/>
        <v>78</v>
      </c>
      <c r="F561" t="str">
        <f t="shared" ca="1" si="242"/>
        <v>第49级，共造成320.7%点伤害</v>
      </c>
      <c r="G561">
        <f t="shared" ca="1" si="243"/>
        <v>1</v>
      </c>
      <c r="H561">
        <f t="shared" si="227"/>
        <v>1</v>
      </c>
      <c r="I561" s="44">
        <f t="shared" ca="1" si="244"/>
        <v>49</v>
      </c>
      <c r="J561">
        <f t="shared" si="228"/>
        <v>1</v>
      </c>
      <c r="K561" s="36">
        <f t="shared" ca="1" si="229"/>
        <v>160.33695652173915</v>
      </c>
      <c r="L561" s="10">
        <f ca="1">AH561*VLOOKUP(C561,技能辅助查询表,技能配置辅助表!$T$1,FALSE)</f>
        <v>0</v>
      </c>
      <c r="M561">
        <f t="shared" ca="1" si="230"/>
        <v>5100</v>
      </c>
      <c r="N561" s="33">
        <f ca="1">CHOOSE(1,W561*U561,X561*'[1]0、经济设定'!$C$18)</f>
        <v>878199</v>
      </c>
      <c r="O561">
        <f t="shared" si="231"/>
        <v>1</v>
      </c>
      <c r="P561">
        <f t="shared" si="232"/>
        <v>2</v>
      </c>
      <c r="Q561">
        <f t="shared" si="233"/>
        <v>1</v>
      </c>
      <c r="R561" s="2">
        <f t="shared" si="234"/>
        <v>2</v>
      </c>
      <c r="S561" s="2">
        <f t="shared" si="235"/>
        <v>50</v>
      </c>
      <c r="T561" s="2">
        <f t="shared" si="236"/>
        <v>107.60869565217392</v>
      </c>
      <c r="U561" s="2">
        <f ca="1">VLOOKUP(E561,金币生产率!$A$2:$B$120,2,0)</f>
        <v>4047</v>
      </c>
      <c r="V561" s="2">
        <f t="shared" si="237"/>
        <v>215.21739130434784</v>
      </c>
      <c r="W561" s="45">
        <f t="shared" ca="1" si="250"/>
        <v>217</v>
      </c>
      <c r="X561" s="48">
        <f t="shared" ca="1" si="251"/>
        <v>3190</v>
      </c>
      <c r="Y561">
        <f t="shared" si="238"/>
        <v>18</v>
      </c>
      <c r="Z561">
        <f t="shared" ca="1" si="245"/>
        <v>87</v>
      </c>
      <c r="AA561" t="str">
        <f t="shared" ca="1" si="246"/>
        <v>9211100.png</v>
      </c>
      <c r="AB561">
        <f t="shared" si="239"/>
        <v>10</v>
      </c>
      <c r="AC561">
        <f>VLOOKUP(C561,技能辅助查询表,技能配置辅助表!$W$1,FALSE)</f>
        <v>20</v>
      </c>
      <c r="AD561">
        <f t="shared" ca="1" si="247"/>
        <v>2944.9540090431192</v>
      </c>
      <c r="AE561">
        <f>VLOOKUP(C561,技能辅助查询表,技能配置辅助表!$U$1,FALSE)</f>
        <v>1</v>
      </c>
      <c r="AF561">
        <f t="shared" ca="1" si="248"/>
        <v>9211149</v>
      </c>
      <c r="AG561">
        <f t="shared" ca="1" si="252"/>
        <v>78.408163265306129</v>
      </c>
      <c r="AH561">
        <f t="shared" ca="1" si="249"/>
        <v>6672.6373961177951</v>
      </c>
      <c r="AI561">
        <f ca="1">VLOOKUP(E561,伤害参考系!$C$4:$E$104,3,FALSE)*$AN$12</f>
        <v>22287.658311872914</v>
      </c>
      <c r="AJ561">
        <f>VLOOKUP(C561,技能辅助查询表,技能配置辅助表!$L$1,FALSE)</f>
        <v>2</v>
      </c>
      <c r="AK561">
        <f>VLOOKUP(C561,技能辅助查询表,技能配置辅助表!$AE$1,FALSE)</f>
        <v>66000264</v>
      </c>
    </row>
    <row r="562" spans="1:37" x14ac:dyDescent="0.15">
      <c r="A562" s="1">
        <f t="shared" ca="1" si="240"/>
        <v>9211150</v>
      </c>
      <c r="B562" s="1" t="str">
        <f t="shared" ca="1" si="225"/>
        <v>虎啸</v>
      </c>
      <c r="C562" t="s">
        <v>160</v>
      </c>
      <c r="D562">
        <f t="shared" si="226"/>
        <v>2</v>
      </c>
      <c r="E562" s="42">
        <f t="shared" ca="1" si="241"/>
        <v>80</v>
      </c>
      <c r="F562" t="str">
        <f t="shared" ca="1" si="242"/>
        <v>第50级，共造成322.8%点伤害</v>
      </c>
      <c r="G562">
        <f t="shared" ca="1" si="243"/>
        <v>1</v>
      </c>
      <c r="H562">
        <f t="shared" si="227"/>
        <v>1</v>
      </c>
      <c r="I562" s="44">
        <f t="shared" ca="1" si="244"/>
        <v>50</v>
      </c>
      <c r="J562">
        <f t="shared" si="228"/>
        <v>1</v>
      </c>
      <c r="K562" s="36">
        <f t="shared" ca="1" si="229"/>
        <v>161.41304347826087</v>
      </c>
      <c r="L562" s="10">
        <f ca="1">AH562*VLOOKUP(C562,技能辅助查询表,技能配置辅助表!$T$1,FALSE)</f>
        <v>0</v>
      </c>
      <c r="M562">
        <f t="shared" ca="1" si="230"/>
        <v>5000</v>
      </c>
      <c r="N562" s="33">
        <f ca="1">CHOOSE(1,W562*U562,X562*'[1]0、经济设定'!$C$18)</f>
        <v>988784</v>
      </c>
      <c r="O562">
        <f t="shared" si="231"/>
        <v>1</v>
      </c>
      <c r="P562">
        <f t="shared" si="232"/>
        <v>2</v>
      </c>
      <c r="Q562">
        <f t="shared" si="233"/>
        <v>1</v>
      </c>
      <c r="R562" s="2">
        <f t="shared" si="234"/>
        <v>2</v>
      </c>
      <c r="S562" s="2">
        <f t="shared" si="235"/>
        <v>50</v>
      </c>
      <c r="T562" s="2">
        <f t="shared" si="236"/>
        <v>107.60869565217392</v>
      </c>
      <c r="U562" s="2">
        <f ca="1">VLOOKUP(E562,金币生产率!$A$2:$B$120,2,0)</f>
        <v>4262</v>
      </c>
      <c r="V562" s="2">
        <f t="shared" si="237"/>
        <v>215.21739130434784</v>
      </c>
      <c r="W562" s="45">
        <f t="shared" ca="1" si="250"/>
        <v>232</v>
      </c>
      <c r="X562" s="48">
        <f t="shared" ca="1" si="251"/>
        <v>3422</v>
      </c>
      <c r="Y562">
        <f t="shared" si="238"/>
        <v>18</v>
      </c>
      <c r="Z562">
        <f t="shared" ca="1" si="245"/>
        <v>93</v>
      </c>
      <c r="AA562" t="str">
        <f t="shared" ca="1" si="246"/>
        <v>9211100.png</v>
      </c>
      <c r="AB562">
        <f t="shared" si="239"/>
        <v>10</v>
      </c>
      <c r="AC562">
        <f>VLOOKUP(C562,技能辅助查询表,技能配置辅助表!$W$1,FALSE)</f>
        <v>20</v>
      </c>
      <c r="AD562">
        <f t="shared" ca="1" si="247"/>
        <v>3385.4901048630099</v>
      </c>
      <c r="AE562">
        <f>VLOOKUP(C562,技能辅助查询表,技能配置辅助表!$U$1,FALSE)</f>
        <v>1</v>
      </c>
      <c r="AF562">
        <f t="shared" ca="1" si="248"/>
        <v>9211150</v>
      </c>
      <c r="AG562">
        <f t="shared" ca="1" si="252"/>
        <v>80</v>
      </c>
      <c r="AH562">
        <f t="shared" ca="1" si="249"/>
        <v>7596.7095035950451</v>
      </c>
      <c r="AI562">
        <f ca="1">VLOOKUP(E562,伤害参考系!$C$4:$E$104,3,FALSE)*$AN$12</f>
        <v>24028.87424749164</v>
      </c>
      <c r="AJ562">
        <f>VLOOKUP(C562,技能辅助查询表,技能配置辅助表!$L$1,FALSE)</f>
        <v>2</v>
      </c>
      <c r="AK562">
        <f>VLOOKUP(C562,技能辅助查询表,技能配置辅助表!$AE$1,FALSE)</f>
        <v>66000264</v>
      </c>
    </row>
    <row r="563" spans="1:37" x14ac:dyDescent="0.15">
      <c r="A563" s="1">
        <f t="shared" ca="1" si="240"/>
        <v>9222000</v>
      </c>
      <c r="B563" s="1" t="str">
        <f t="shared" ca="1" si="225"/>
        <v>龙拳</v>
      </c>
      <c r="C563" t="s">
        <v>161</v>
      </c>
      <c r="D563">
        <f t="shared" si="226"/>
        <v>2</v>
      </c>
      <c r="E563" s="42">
        <f t="shared" ca="1" si="241"/>
        <v>4</v>
      </c>
      <c r="F563" t="str">
        <f t="shared" ca="1" si="242"/>
        <v>第0级，共造成143.5%点伤害</v>
      </c>
      <c r="G563">
        <f t="shared" ca="1" si="243"/>
        <v>0</v>
      </c>
      <c r="H563">
        <f t="shared" si="227"/>
        <v>1</v>
      </c>
      <c r="I563" s="44">
        <f t="shared" ca="1" si="244"/>
        <v>0</v>
      </c>
      <c r="J563">
        <f t="shared" si="228"/>
        <v>2</v>
      </c>
      <c r="K563" s="36">
        <f t="shared" ca="1" si="229"/>
        <v>143.47826086956522</v>
      </c>
      <c r="L563" s="10">
        <f ca="1">AH563*VLOOKUP(C563,技能辅助查询表,技能配置辅助表!$T$1,FALSE)</f>
        <v>0</v>
      </c>
      <c r="M563">
        <f t="shared" ca="1" si="230"/>
        <v>8000</v>
      </c>
      <c r="N563" s="33">
        <f ca="1">CHOOSE(1,W563*U563,X563*'[1]0、经济设定'!$C$18)</f>
        <v>0</v>
      </c>
      <c r="O563">
        <f t="shared" si="231"/>
        <v>2</v>
      </c>
      <c r="P563">
        <f t="shared" si="232"/>
        <v>1</v>
      </c>
      <c r="Q563">
        <f t="shared" si="233"/>
        <v>1</v>
      </c>
      <c r="R563" s="2">
        <f t="shared" si="234"/>
        <v>4</v>
      </c>
      <c r="S563" s="2">
        <f t="shared" si="235"/>
        <v>50</v>
      </c>
      <c r="T563" s="2">
        <f t="shared" si="236"/>
        <v>143.47826086956522</v>
      </c>
      <c r="U563" s="2">
        <f ca="1">VLOOKUP(E563,金币生产率!$A$2:$B$120,2,0)</f>
        <v>68</v>
      </c>
      <c r="V563" s="2">
        <f t="shared" si="237"/>
        <v>143.47826086956522</v>
      </c>
      <c r="W563" s="45">
        <f t="shared" ca="1" si="250"/>
        <v>0</v>
      </c>
      <c r="X563" s="48">
        <f t="shared" ca="1" si="251"/>
        <v>0</v>
      </c>
      <c r="Y563">
        <f t="shared" si="238"/>
        <v>18</v>
      </c>
      <c r="Z563">
        <f t="shared" ca="1" si="245"/>
        <v>0</v>
      </c>
      <c r="AA563" t="str">
        <f t="shared" ca="1" si="246"/>
        <v>9222100.png</v>
      </c>
      <c r="AB563">
        <f t="shared" si="239"/>
        <v>20</v>
      </c>
      <c r="AC563">
        <f>VLOOKUP(C563,技能辅助查询表,技能配置辅助表!$W$1,FALSE)</f>
        <v>24</v>
      </c>
      <c r="AD563">
        <f t="shared" ca="1" si="247"/>
        <v>1.0081565217391304</v>
      </c>
      <c r="AE563">
        <f>VLOOKUP(C563,技能辅助查询表,技能配置辅助表!$U$1,FALSE)</f>
        <v>4</v>
      </c>
      <c r="AF563">
        <f t="shared" ca="1" si="248"/>
        <v>9222100</v>
      </c>
      <c r="AG563">
        <f t="shared" ca="1" si="252"/>
        <v>0</v>
      </c>
      <c r="AH563">
        <f t="shared" ca="1" si="249"/>
        <v>11.5938</v>
      </c>
      <c r="AI563">
        <f ca="1">VLOOKUP(E563,伤害参考系!$C$4:$E$104,3,FALSE)*$AN$12</f>
        <v>50.4</v>
      </c>
      <c r="AJ563">
        <f>VLOOKUP(C563,技能辅助查询表,技能配置辅助表!$L$1,FALSE)</f>
        <v>1</v>
      </c>
      <c r="AK563">
        <f>VLOOKUP(C563,技能辅助查询表,技能配置辅助表!$AE$1,FALSE)</f>
        <v>66000305</v>
      </c>
    </row>
    <row r="564" spans="1:37" x14ac:dyDescent="0.15">
      <c r="A564" s="1">
        <f t="shared" ca="1" si="240"/>
        <v>9222101</v>
      </c>
      <c r="B564" s="1" t="str">
        <f t="shared" ca="1" si="225"/>
        <v>龙拳第1段</v>
      </c>
      <c r="C564" t="s">
        <v>161</v>
      </c>
      <c r="D564">
        <f t="shared" si="226"/>
        <v>2</v>
      </c>
      <c r="E564" s="42">
        <f t="shared" ca="1" si="241"/>
        <v>4</v>
      </c>
      <c r="F564" t="str">
        <f t="shared" ca="1" si="242"/>
        <v>第1级，共造成143.5%点伤害</v>
      </c>
      <c r="G564">
        <f t="shared" ca="1" si="243"/>
        <v>1</v>
      </c>
      <c r="H564">
        <f t="shared" si="227"/>
        <v>1</v>
      </c>
      <c r="I564" s="44">
        <f t="shared" ca="1" si="244"/>
        <v>1</v>
      </c>
      <c r="J564">
        <f t="shared" si="228"/>
        <v>2</v>
      </c>
      <c r="K564" s="36">
        <f t="shared" ca="1" si="229"/>
        <v>143.47826086956522</v>
      </c>
      <c r="L564" s="10">
        <f ca="1">AH564*VLOOKUP(C564,技能辅助查询表,技能配置辅助表!$T$1,FALSE)</f>
        <v>0</v>
      </c>
      <c r="M564">
        <f t="shared" ca="1" si="230"/>
        <v>8000</v>
      </c>
      <c r="N564" s="33">
        <f ca="1">CHOOSE(1,W564*U564,X564*'[1]0、经济设定'!$C$18)</f>
        <v>272</v>
      </c>
      <c r="O564">
        <f t="shared" si="231"/>
        <v>2</v>
      </c>
      <c r="P564">
        <f t="shared" si="232"/>
        <v>1</v>
      </c>
      <c r="Q564">
        <f t="shared" si="233"/>
        <v>1</v>
      </c>
      <c r="R564" s="2">
        <f t="shared" si="234"/>
        <v>4</v>
      </c>
      <c r="S564" s="2">
        <f t="shared" si="235"/>
        <v>50</v>
      </c>
      <c r="T564" s="2">
        <f t="shared" si="236"/>
        <v>143.47826086956522</v>
      </c>
      <c r="U564" s="2">
        <f ca="1">VLOOKUP(E564,金币生产率!$A$2:$B$120,2,0)</f>
        <v>68</v>
      </c>
      <c r="V564" s="2">
        <f t="shared" si="237"/>
        <v>143.47826086956522</v>
      </c>
      <c r="W564" s="45">
        <f t="shared" ca="1" si="250"/>
        <v>4</v>
      </c>
      <c r="X564" s="48">
        <f t="shared" ca="1" si="251"/>
        <v>4</v>
      </c>
      <c r="Y564">
        <f t="shared" si="238"/>
        <v>18</v>
      </c>
      <c r="Z564">
        <f t="shared" ca="1" si="245"/>
        <v>0</v>
      </c>
      <c r="AA564" t="str">
        <f t="shared" ca="1" si="246"/>
        <v>9222100.png</v>
      </c>
      <c r="AB564">
        <f t="shared" si="239"/>
        <v>20</v>
      </c>
      <c r="AC564">
        <f>VLOOKUP(C564,技能辅助查询表,技能配置辅助表!$W$1,FALSE)</f>
        <v>24</v>
      </c>
      <c r="AD564">
        <f t="shared" ca="1" si="247"/>
        <v>1.1477728782719212</v>
      </c>
      <c r="AE564">
        <f>VLOOKUP(C564,技能辅助查询表,技能配置辅助表!$U$1,FALSE)</f>
        <v>4</v>
      </c>
      <c r="AF564">
        <f t="shared" ca="1" si="248"/>
        <v>9222101</v>
      </c>
      <c r="AG564">
        <f t="shared" ca="1" si="252"/>
        <v>4</v>
      </c>
      <c r="AH564">
        <f t="shared" ca="1" si="249"/>
        <v>13.199388100127095</v>
      </c>
      <c r="AI564">
        <f ca="1">VLOOKUP(E564,伤害参考系!$C$4:$E$104,3,FALSE)*$AN$12</f>
        <v>50.4</v>
      </c>
      <c r="AJ564">
        <f>VLOOKUP(C564,技能辅助查询表,技能配置辅助表!$L$1,FALSE)</f>
        <v>1</v>
      </c>
      <c r="AK564">
        <f>VLOOKUP(C564,技能辅助查询表,技能配置辅助表!$AE$1,FALSE)</f>
        <v>66000305</v>
      </c>
    </row>
    <row r="565" spans="1:37" x14ac:dyDescent="0.15">
      <c r="A565" s="1">
        <f t="shared" ca="1" si="240"/>
        <v>9222102</v>
      </c>
      <c r="B565" s="1" t="str">
        <f t="shared" ca="1" si="225"/>
        <v>龙拳第1段</v>
      </c>
      <c r="C565" t="s">
        <v>161</v>
      </c>
      <c r="D565">
        <f t="shared" si="226"/>
        <v>2</v>
      </c>
      <c r="E565" s="42">
        <f t="shared" ca="1" si="241"/>
        <v>7</v>
      </c>
      <c r="F565" t="str">
        <f t="shared" ca="1" si="242"/>
        <v>第2级，共造成146.3%点伤害</v>
      </c>
      <c r="G565">
        <f t="shared" ca="1" si="243"/>
        <v>1</v>
      </c>
      <c r="H565">
        <f t="shared" si="227"/>
        <v>1</v>
      </c>
      <c r="I565" s="44">
        <f t="shared" ca="1" si="244"/>
        <v>2</v>
      </c>
      <c r="J565">
        <f t="shared" si="228"/>
        <v>2</v>
      </c>
      <c r="K565" s="36">
        <f t="shared" ca="1" si="229"/>
        <v>146.34782608695653</v>
      </c>
      <c r="L565" s="10">
        <f ca="1">AH565*VLOOKUP(C565,技能辅助查询表,技能配置辅助表!$T$1,FALSE)</f>
        <v>0</v>
      </c>
      <c r="M565">
        <f t="shared" ca="1" si="230"/>
        <v>7840</v>
      </c>
      <c r="N565" s="33">
        <f ca="1">CHOOSE(1,W565*U565,X565*'[1]0、经济设定'!$C$18)</f>
        <v>344</v>
      </c>
      <c r="O565">
        <f t="shared" si="231"/>
        <v>2</v>
      </c>
      <c r="P565">
        <f t="shared" si="232"/>
        <v>1</v>
      </c>
      <c r="Q565">
        <f t="shared" si="233"/>
        <v>1</v>
      </c>
      <c r="R565" s="2">
        <f t="shared" si="234"/>
        <v>4</v>
      </c>
      <c r="S565" s="2">
        <f t="shared" si="235"/>
        <v>50</v>
      </c>
      <c r="T565" s="2">
        <f t="shared" si="236"/>
        <v>143.47826086956522</v>
      </c>
      <c r="U565" s="2">
        <f ca="1">VLOOKUP(E565,金币生产率!$A$2:$B$120,2,0)</f>
        <v>86</v>
      </c>
      <c r="V565" s="2">
        <f t="shared" si="237"/>
        <v>143.47826086956522</v>
      </c>
      <c r="W565" s="45">
        <f t="shared" ca="1" si="250"/>
        <v>4</v>
      </c>
      <c r="X565" s="48">
        <f t="shared" ca="1" si="251"/>
        <v>8</v>
      </c>
      <c r="Y565">
        <f t="shared" si="238"/>
        <v>18</v>
      </c>
      <c r="Z565">
        <f t="shared" ca="1" si="245"/>
        <v>0</v>
      </c>
      <c r="AA565" t="str">
        <f t="shared" ca="1" si="246"/>
        <v>9222100.png</v>
      </c>
      <c r="AB565">
        <f t="shared" si="239"/>
        <v>20</v>
      </c>
      <c r="AC565">
        <f>VLOOKUP(C565,技能辅助查询表,技能配置辅助表!$W$1,FALSE)</f>
        <v>24</v>
      </c>
      <c r="AD565">
        <f t="shared" ca="1" si="247"/>
        <v>1.3929680561510775</v>
      </c>
      <c r="AE565">
        <f>VLOOKUP(C565,技能辅助查询表,技能配置辅助表!$U$1,FALSE)</f>
        <v>4</v>
      </c>
      <c r="AF565">
        <f t="shared" ca="1" si="248"/>
        <v>9222102</v>
      </c>
      <c r="AG565">
        <f t="shared" ca="1" si="252"/>
        <v>5.5510204081632653</v>
      </c>
      <c r="AH565">
        <f t="shared" ca="1" si="249"/>
        <v>15.027328935963775</v>
      </c>
      <c r="AI565">
        <f ca="1">VLOOKUP(E565,伤害参考系!$C$4:$E$104,3,FALSE)*$AN$12</f>
        <v>101.93624999999999</v>
      </c>
      <c r="AJ565">
        <f>VLOOKUP(C565,技能辅助查询表,技能配置辅助表!$L$1,FALSE)</f>
        <v>1</v>
      </c>
      <c r="AK565">
        <f>VLOOKUP(C565,技能辅助查询表,技能配置辅助表!$AE$1,FALSE)</f>
        <v>66000305</v>
      </c>
    </row>
    <row r="566" spans="1:37" x14ac:dyDescent="0.15">
      <c r="A566" s="1">
        <f t="shared" ca="1" si="240"/>
        <v>9222103</v>
      </c>
      <c r="B566" s="1" t="str">
        <f t="shared" ca="1" si="225"/>
        <v>龙拳第1段</v>
      </c>
      <c r="C566" t="s">
        <v>161</v>
      </c>
      <c r="D566">
        <f t="shared" si="226"/>
        <v>2</v>
      </c>
      <c r="E566" s="42">
        <f t="shared" ca="1" si="241"/>
        <v>9</v>
      </c>
      <c r="F566" t="str">
        <f t="shared" ca="1" si="242"/>
        <v>第3级，共造成147.8%点伤害</v>
      </c>
      <c r="G566">
        <f t="shared" ca="1" si="243"/>
        <v>1</v>
      </c>
      <c r="H566">
        <f t="shared" si="227"/>
        <v>1</v>
      </c>
      <c r="I566" s="44">
        <f t="shared" ca="1" si="244"/>
        <v>3</v>
      </c>
      <c r="J566">
        <f t="shared" si="228"/>
        <v>2</v>
      </c>
      <c r="K566" s="36">
        <f t="shared" ca="1" si="229"/>
        <v>147.78260869565219</v>
      </c>
      <c r="L566" s="10">
        <f ca="1">AH566*VLOOKUP(C566,技能辅助查询表,技能配置辅助表!$T$1,FALSE)</f>
        <v>0</v>
      </c>
      <c r="M566">
        <f t="shared" ca="1" si="230"/>
        <v>7760</v>
      </c>
      <c r="N566" s="33">
        <f ca="1">CHOOSE(1,W566*U566,X566*'[1]0、经济设定'!$C$18)</f>
        <v>392</v>
      </c>
      <c r="O566">
        <f t="shared" si="231"/>
        <v>2</v>
      </c>
      <c r="P566">
        <f t="shared" si="232"/>
        <v>1</v>
      </c>
      <c r="Q566">
        <f t="shared" si="233"/>
        <v>1</v>
      </c>
      <c r="R566" s="2">
        <f t="shared" si="234"/>
        <v>4</v>
      </c>
      <c r="S566" s="2">
        <f t="shared" si="235"/>
        <v>50</v>
      </c>
      <c r="T566" s="2">
        <f t="shared" si="236"/>
        <v>143.47826086956522</v>
      </c>
      <c r="U566" s="2">
        <f ca="1">VLOOKUP(E566,金币生产率!$A$2:$B$120,2,0)</f>
        <v>98</v>
      </c>
      <c r="V566" s="2">
        <f t="shared" si="237"/>
        <v>143.47826086956522</v>
      </c>
      <c r="W566" s="45">
        <f t="shared" ca="1" si="250"/>
        <v>4</v>
      </c>
      <c r="X566" s="48">
        <f t="shared" ca="1" si="251"/>
        <v>12</v>
      </c>
      <c r="Y566">
        <f t="shared" si="238"/>
        <v>18</v>
      </c>
      <c r="Z566">
        <f t="shared" ca="1" si="245"/>
        <v>0</v>
      </c>
      <c r="AA566" t="str">
        <f t="shared" ca="1" si="246"/>
        <v>9222100.png</v>
      </c>
      <c r="AB566">
        <f t="shared" si="239"/>
        <v>20</v>
      </c>
      <c r="AC566">
        <f>VLOOKUP(C566,技能辅助查询表,技能配置辅助表!$W$1,FALSE)</f>
        <v>24</v>
      </c>
      <c r="AD566">
        <f t="shared" ca="1" si="247"/>
        <v>1.6349694391434659</v>
      </c>
      <c r="AE566">
        <f>VLOOKUP(C566,技能辅助查询表,技能配置辅助表!$U$1,FALSE)</f>
        <v>4</v>
      </c>
      <c r="AF566">
        <f t="shared" ca="1" si="248"/>
        <v>9222103</v>
      </c>
      <c r="AG566">
        <f t="shared" ca="1" si="252"/>
        <v>7.1020408163265305</v>
      </c>
      <c r="AH566">
        <f t="shared" ca="1" si="249"/>
        <v>17.108415423248271</v>
      </c>
      <c r="AI566">
        <f ca="1">VLOOKUP(E566,伤害参考系!$C$4:$E$104,3,FALSE)*$AN$12</f>
        <v>145.4708152173913</v>
      </c>
      <c r="AJ566">
        <f>VLOOKUP(C566,技能辅助查询表,技能配置辅助表!$L$1,FALSE)</f>
        <v>1</v>
      </c>
      <c r="AK566">
        <f>VLOOKUP(C566,技能辅助查询表,技能配置辅助表!$AE$1,FALSE)</f>
        <v>66000305</v>
      </c>
    </row>
    <row r="567" spans="1:37" x14ac:dyDescent="0.15">
      <c r="A567" s="1">
        <f t="shared" ca="1" si="240"/>
        <v>9222104</v>
      </c>
      <c r="B567" s="1" t="str">
        <f t="shared" ca="1" si="225"/>
        <v>龙拳第1段</v>
      </c>
      <c r="C567" t="s">
        <v>161</v>
      </c>
      <c r="D567">
        <f t="shared" si="226"/>
        <v>2</v>
      </c>
      <c r="E567" s="42">
        <f t="shared" ca="1" si="241"/>
        <v>10</v>
      </c>
      <c r="F567" t="str">
        <f t="shared" ca="1" si="242"/>
        <v>第4级，共造成149.2%点伤害</v>
      </c>
      <c r="G567">
        <f t="shared" ca="1" si="243"/>
        <v>1</v>
      </c>
      <c r="H567">
        <f t="shared" si="227"/>
        <v>1</v>
      </c>
      <c r="I567" s="44">
        <f t="shared" ca="1" si="244"/>
        <v>4</v>
      </c>
      <c r="J567">
        <f t="shared" si="228"/>
        <v>2</v>
      </c>
      <c r="K567" s="36">
        <f t="shared" ca="1" si="229"/>
        <v>149.21739130434781</v>
      </c>
      <c r="L567" s="10">
        <f ca="1">AH567*VLOOKUP(C567,技能辅助查询表,技能配置辅助表!$T$1,FALSE)</f>
        <v>0</v>
      </c>
      <c r="M567">
        <f t="shared" ca="1" si="230"/>
        <v>7680</v>
      </c>
      <c r="N567" s="33">
        <f ca="1">CHOOSE(1,W567*U567,X567*'[1]0、经济设定'!$C$18)</f>
        <v>520</v>
      </c>
      <c r="O567">
        <f t="shared" si="231"/>
        <v>2</v>
      </c>
      <c r="P567">
        <f t="shared" si="232"/>
        <v>1</v>
      </c>
      <c r="Q567">
        <f t="shared" si="233"/>
        <v>1</v>
      </c>
      <c r="R567" s="2">
        <f t="shared" si="234"/>
        <v>4</v>
      </c>
      <c r="S567" s="2">
        <f t="shared" si="235"/>
        <v>50</v>
      </c>
      <c r="T567" s="2">
        <f t="shared" si="236"/>
        <v>143.47826086956522</v>
      </c>
      <c r="U567" s="2">
        <f ca="1">VLOOKUP(E567,金币生产率!$A$2:$B$120,2,0)</f>
        <v>104</v>
      </c>
      <c r="V567" s="2">
        <f t="shared" si="237"/>
        <v>143.47826086956522</v>
      </c>
      <c r="W567" s="45">
        <f t="shared" ca="1" si="250"/>
        <v>5</v>
      </c>
      <c r="X567" s="48">
        <f t="shared" ca="1" si="251"/>
        <v>17</v>
      </c>
      <c r="Y567">
        <f t="shared" si="238"/>
        <v>18</v>
      </c>
      <c r="Z567">
        <f t="shared" ca="1" si="245"/>
        <v>0</v>
      </c>
      <c r="AA567" t="str">
        <f t="shared" ca="1" si="246"/>
        <v>9222100.png</v>
      </c>
      <c r="AB567">
        <f t="shared" si="239"/>
        <v>20</v>
      </c>
      <c r="AC567">
        <f>VLOOKUP(C567,技能辅助查询表,技能配置辅助表!$W$1,FALSE)</f>
        <v>24</v>
      </c>
      <c r="AD567">
        <f t="shared" ca="1" si="247"/>
        <v>1.9172836465292797</v>
      </c>
      <c r="AE567">
        <f>VLOOKUP(C567,技能辅助查询表,技能配置辅助表!$U$1,FALSE)</f>
        <v>4</v>
      </c>
      <c r="AF567">
        <f t="shared" ca="1" si="248"/>
        <v>9222104</v>
      </c>
      <c r="AG567">
        <f t="shared" ca="1" si="252"/>
        <v>8.6530612244897966</v>
      </c>
      <c r="AH567">
        <f t="shared" ca="1" si="249"/>
        <v>19.477704889652582</v>
      </c>
      <c r="AI567">
        <f ca="1">VLOOKUP(E567,伤害参考系!$C$4:$E$104,3,FALSE)*$AN$12</f>
        <v>177.55434782608697</v>
      </c>
      <c r="AJ567">
        <f>VLOOKUP(C567,技能辅助查询表,技能配置辅助表!$L$1,FALSE)</f>
        <v>1</v>
      </c>
      <c r="AK567">
        <f>VLOOKUP(C567,技能辅助查询表,技能配置辅助表!$AE$1,FALSE)</f>
        <v>66000305</v>
      </c>
    </row>
    <row r="568" spans="1:37" x14ac:dyDescent="0.15">
      <c r="A568" s="1">
        <f t="shared" ca="1" si="240"/>
        <v>9222105</v>
      </c>
      <c r="B568" s="1" t="str">
        <f t="shared" ca="1" si="225"/>
        <v>龙拳第1段</v>
      </c>
      <c r="C568" t="s">
        <v>161</v>
      </c>
      <c r="D568">
        <f t="shared" si="226"/>
        <v>2</v>
      </c>
      <c r="E568" s="42">
        <f t="shared" ca="1" si="241"/>
        <v>12</v>
      </c>
      <c r="F568" t="str">
        <f t="shared" ca="1" si="242"/>
        <v>第5级，共造成150.7%点伤害</v>
      </c>
      <c r="G568">
        <f t="shared" ca="1" si="243"/>
        <v>1</v>
      </c>
      <c r="H568">
        <f t="shared" si="227"/>
        <v>1</v>
      </c>
      <c r="I568" s="44">
        <f t="shared" ca="1" si="244"/>
        <v>5</v>
      </c>
      <c r="J568">
        <f t="shared" si="228"/>
        <v>2</v>
      </c>
      <c r="K568" s="36">
        <f t="shared" ca="1" si="229"/>
        <v>150.65217391304347</v>
      </c>
      <c r="L568" s="10">
        <f ca="1">AH568*VLOOKUP(C568,技能辅助查询表,技能配置辅助表!$T$1,FALSE)</f>
        <v>0</v>
      </c>
      <c r="M568">
        <f t="shared" ca="1" si="230"/>
        <v>7600</v>
      </c>
      <c r="N568" s="33">
        <f ca="1">CHOOSE(1,W568*U568,X568*'[1]0、经济设定'!$C$18)</f>
        <v>580</v>
      </c>
      <c r="O568">
        <f t="shared" si="231"/>
        <v>2</v>
      </c>
      <c r="P568">
        <f t="shared" si="232"/>
        <v>1</v>
      </c>
      <c r="Q568">
        <f t="shared" si="233"/>
        <v>1</v>
      </c>
      <c r="R568" s="2">
        <f t="shared" si="234"/>
        <v>4</v>
      </c>
      <c r="S568" s="2">
        <f t="shared" si="235"/>
        <v>50</v>
      </c>
      <c r="T568" s="2">
        <f t="shared" si="236"/>
        <v>143.47826086956522</v>
      </c>
      <c r="U568" s="2">
        <f ca="1">VLOOKUP(E568,金币生产率!$A$2:$B$120,2,0)</f>
        <v>116</v>
      </c>
      <c r="V568" s="2">
        <f t="shared" si="237"/>
        <v>143.47826086956522</v>
      </c>
      <c r="W568" s="45">
        <f t="shared" ca="1" si="250"/>
        <v>5</v>
      </c>
      <c r="X568" s="48">
        <f t="shared" ca="1" si="251"/>
        <v>22</v>
      </c>
      <c r="Y568">
        <f t="shared" si="238"/>
        <v>18</v>
      </c>
      <c r="Z568">
        <f t="shared" ca="1" si="245"/>
        <v>0</v>
      </c>
      <c r="AA568" t="str">
        <f t="shared" ca="1" si="246"/>
        <v>9222100.png</v>
      </c>
      <c r="AB568">
        <f t="shared" si="239"/>
        <v>20</v>
      </c>
      <c r="AC568">
        <f>VLOOKUP(C568,技能辅助查询表,技能配置辅助表!$W$1,FALSE)</f>
        <v>24</v>
      </c>
      <c r="AD568">
        <f t="shared" ca="1" si="247"/>
        <v>2.2464350200000576</v>
      </c>
      <c r="AE568">
        <f>VLOOKUP(C568,技能辅助查询表,技能配置辅助表!$U$1,FALSE)</f>
        <v>4</v>
      </c>
      <c r="AF568">
        <f t="shared" ca="1" si="248"/>
        <v>9222105</v>
      </c>
      <c r="AG568">
        <f t="shared" ca="1" si="252"/>
        <v>10.204081632653061</v>
      </c>
      <c r="AH568">
        <f t="shared" ca="1" si="249"/>
        <v>22.175109639485559</v>
      </c>
      <c r="AI568">
        <f ca="1">VLOOKUP(E568,伤害参考系!$C$4:$E$104,3,FALSE)*$AN$12</f>
        <v>249.04956521739126</v>
      </c>
      <c r="AJ568">
        <f>VLOOKUP(C568,技能辅助查询表,技能配置辅助表!$L$1,FALSE)</f>
        <v>1</v>
      </c>
      <c r="AK568">
        <f>VLOOKUP(C568,技能辅助查询表,技能配置辅助表!$AE$1,FALSE)</f>
        <v>66000305</v>
      </c>
    </row>
    <row r="569" spans="1:37" x14ac:dyDescent="0.15">
      <c r="A569" s="1">
        <f t="shared" ca="1" si="240"/>
        <v>9222106</v>
      </c>
      <c r="B569" s="1" t="str">
        <f t="shared" ca="1" si="225"/>
        <v>龙拳第1段</v>
      </c>
      <c r="C569" t="s">
        <v>161</v>
      </c>
      <c r="D569">
        <f t="shared" si="226"/>
        <v>2</v>
      </c>
      <c r="E569" s="42">
        <f t="shared" ca="1" si="241"/>
        <v>13</v>
      </c>
      <c r="F569" t="str">
        <f t="shared" ca="1" si="242"/>
        <v>第6级，共造成152.1%点伤害</v>
      </c>
      <c r="G569">
        <f t="shared" ca="1" si="243"/>
        <v>1</v>
      </c>
      <c r="H569">
        <f t="shared" si="227"/>
        <v>1</v>
      </c>
      <c r="I569" s="44">
        <f t="shared" ca="1" si="244"/>
        <v>6</v>
      </c>
      <c r="J569">
        <f t="shared" si="228"/>
        <v>2</v>
      </c>
      <c r="K569" s="36">
        <f t="shared" ca="1" si="229"/>
        <v>152.08695652173913</v>
      </c>
      <c r="L569" s="10">
        <f ca="1">AH569*VLOOKUP(C569,技能辅助查询表,技能配置辅助表!$T$1,FALSE)</f>
        <v>0</v>
      </c>
      <c r="M569">
        <f t="shared" ca="1" si="230"/>
        <v>7520</v>
      </c>
      <c r="N569" s="33">
        <f ca="1">CHOOSE(1,W569*U569,X569*'[1]0、经济设定'!$C$18)</f>
        <v>610</v>
      </c>
      <c r="O569">
        <f t="shared" si="231"/>
        <v>2</v>
      </c>
      <c r="P569">
        <f t="shared" si="232"/>
        <v>1</v>
      </c>
      <c r="Q569">
        <f t="shared" si="233"/>
        <v>1</v>
      </c>
      <c r="R569" s="2">
        <f t="shared" si="234"/>
        <v>4</v>
      </c>
      <c r="S569" s="2">
        <f t="shared" si="235"/>
        <v>50</v>
      </c>
      <c r="T569" s="2">
        <f t="shared" si="236"/>
        <v>143.47826086956522</v>
      </c>
      <c r="U569" s="2">
        <f ca="1">VLOOKUP(E569,金币生产率!$A$2:$B$120,2,0)</f>
        <v>122</v>
      </c>
      <c r="V569" s="2">
        <f t="shared" si="237"/>
        <v>143.47826086956522</v>
      </c>
      <c r="W569" s="45">
        <f t="shared" ca="1" si="250"/>
        <v>5</v>
      </c>
      <c r="X569" s="48">
        <f t="shared" ca="1" si="251"/>
        <v>27</v>
      </c>
      <c r="Y569">
        <f t="shared" si="238"/>
        <v>18</v>
      </c>
      <c r="Z569">
        <f t="shared" ca="1" si="245"/>
        <v>0</v>
      </c>
      <c r="AA569" t="str">
        <f t="shared" ca="1" si="246"/>
        <v>9222100.png</v>
      </c>
      <c r="AB569">
        <f t="shared" si="239"/>
        <v>20</v>
      </c>
      <c r="AC569">
        <f>VLOOKUP(C569,技能辅助查询表,技能配置辅助表!$W$1,FALSE)</f>
        <v>24</v>
      </c>
      <c r="AD569">
        <f t="shared" ca="1" si="247"/>
        <v>2.6299818283440723</v>
      </c>
      <c r="AE569">
        <f>VLOOKUP(C569,技能辅助查询表,技能配置辅助表!$U$1,FALSE)</f>
        <v>4</v>
      </c>
      <c r="AF569">
        <f t="shared" ca="1" si="248"/>
        <v>9222106</v>
      </c>
      <c r="AG569">
        <f t="shared" ca="1" si="252"/>
        <v>11.755102040816325</v>
      </c>
      <c r="AH569">
        <f t="shared" ca="1" si="249"/>
        <v>25.246069303803697</v>
      </c>
      <c r="AI569">
        <f ca="1">VLOOKUP(E569,伤害参考系!$C$4:$E$104,3,FALSE)*$AN$12</f>
        <v>288.46124999999995</v>
      </c>
      <c r="AJ569">
        <f>VLOOKUP(C569,技能辅助查询表,技能配置辅助表!$L$1,FALSE)</f>
        <v>1</v>
      </c>
      <c r="AK569">
        <f>VLOOKUP(C569,技能辅助查询表,技能配置辅助表!$AE$1,FALSE)</f>
        <v>66000305</v>
      </c>
    </row>
    <row r="570" spans="1:37" x14ac:dyDescent="0.15">
      <c r="A570" s="1">
        <f t="shared" ca="1" si="240"/>
        <v>9222107</v>
      </c>
      <c r="B570" s="1" t="str">
        <f t="shared" ca="1" si="225"/>
        <v>龙拳第1段</v>
      </c>
      <c r="C570" t="s">
        <v>161</v>
      </c>
      <c r="D570">
        <f t="shared" si="226"/>
        <v>2</v>
      </c>
      <c r="E570" s="42">
        <f t="shared" ca="1" si="241"/>
        <v>15</v>
      </c>
      <c r="F570" t="str">
        <f t="shared" ca="1" si="242"/>
        <v>第7级，共造成153.5%点伤害</v>
      </c>
      <c r="G570">
        <f t="shared" ca="1" si="243"/>
        <v>1</v>
      </c>
      <c r="H570">
        <f t="shared" si="227"/>
        <v>1</v>
      </c>
      <c r="I570" s="44">
        <f t="shared" ca="1" si="244"/>
        <v>7</v>
      </c>
      <c r="J570">
        <f t="shared" si="228"/>
        <v>2</v>
      </c>
      <c r="K570" s="36">
        <f t="shared" ca="1" si="229"/>
        <v>153.52173913043478</v>
      </c>
      <c r="L570" s="39">
        <f ca="1">AH570*VLOOKUP(C570,技能辅助查询表,技能配置辅助表!$T$1,FALSE)</f>
        <v>0</v>
      </c>
      <c r="M570">
        <f t="shared" ca="1" si="230"/>
        <v>7440</v>
      </c>
      <c r="N570" s="33">
        <f ca="1">CHOOSE(1,W570*U570,X570*'[1]0、经济设定'!$C$18)</f>
        <v>670</v>
      </c>
      <c r="O570">
        <f t="shared" si="231"/>
        <v>2</v>
      </c>
      <c r="P570">
        <f t="shared" si="232"/>
        <v>1</v>
      </c>
      <c r="Q570">
        <f t="shared" si="233"/>
        <v>1</v>
      </c>
      <c r="R570" s="2">
        <f t="shared" si="234"/>
        <v>4</v>
      </c>
      <c r="S570" s="2">
        <f t="shared" si="235"/>
        <v>50</v>
      </c>
      <c r="T570" s="2">
        <f t="shared" si="236"/>
        <v>143.47826086956522</v>
      </c>
      <c r="U570" s="2">
        <f ca="1">VLOOKUP(E570,金币生产率!$A$2:$B$120,2,0)</f>
        <v>134</v>
      </c>
      <c r="V570" s="2">
        <f t="shared" si="237"/>
        <v>143.47826086956522</v>
      </c>
      <c r="W570" s="45">
        <f t="shared" ca="1" si="250"/>
        <v>5</v>
      </c>
      <c r="X570" s="48">
        <f t="shared" ca="1" si="251"/>
        <v>32</v>
      </c>
      <c r="Y570">
        <f t="shared" si="238"/>
        <v>18</v>
      </c>
      <c r="Z570">
        <f t="shared" ca="1" si="245"/>
        <v>0</v>
      </c>
      <c r="AA570" t="str">
        <f t="shared" ca="1" si="246"/>
        <v>9222100.png</v>
      </c>
      <c r="AB570">
        <f t="shared" si="239"/>
        <v>20</v>
      </c>
      <c r="AC570">
        <f>VLOOKUP(C570,技能辅助查询表,技能配置辅助表!$W$1,FALSE)</f>
        <v>24</v>
      </c>
      <c r="AD570">
        <f t="shared" ca="1" si="247"/>
        <v>3.076677510253865</v>
      </c>
      <c r="AE570">
        <f>VLOOKUP(C570,技能辅助查询表,技能配置辅助表!$U$1,FALSE)</f>
        <v>4</v>
      </c>
      <c r="AF570">
        <f t="shared" ca="1" si="248"/>
        <v>9222107</v>
      </c>
      <c r="AG570">
        <f t="shared" ca="1" si="252"/>
        <v>13.306122448979592</v>
      </c>
      <c r="AH570">
        <f t="shared" ca="1" si="249"/>
        <v>28.742316302127907</v>
      </c>
      <c r="AI570">
        <f ca="1">VLOOKUP(E570,伤害参考系!$C$4:$E$104,3,FALSE)*$AN$12</f>
        <v>374.61277173913044</v>
      </c>
      <c r="AJ570">
        <f>VLOOKUP(C570,技能辅助查询表,技能配置辅助表!$L$1,FALSE)</f>
        <v>1</v>
      </c>
      <c r="AK570">
        <f>VLOOKUP(C570,技能辅助查询表,技能配置辅助表!$AE$1,FALSE)</f>
        <v>66000305</v>
      </c>
    </row>
    <row r="571" spans="1:37" x14ac:dyDescent="0.15">
      <c r="A571" s="1">
        <f t="shared" ca="1" si="240"/>
        <v>9222108</v>
      </c>
      <c r="B571" s="1" t="str">
        <f t="shared" ca="1" si="225"/>
        <v>龙拳第1段</v>
      </c>
      <c r="C571" t="s">
        <v>161</v>
      </c>
      <c r="D571">
        <f t="shared" si="226"/>
        <v>2</v>
      </c>
      <c r="E571" s="42">
        <f t="shared" ca="1" si="241"/>
        <v>16</v>
      </c>
      <c r="F571" t="str">
        <f t="shared" ca="1" si="242"/>
        <v>第8级，共造成155%点伤害</v>
      </c>
      <c r="G571">
        <f t="shared" ca="1" si="243"/>
        <v>1</v>
      </c>
      <c r="H571">
        <f t="shared" si="227"/>
        <v>1</v>
      </c>
      <c r="I571" s="44">
        <f t="shared" ca="1" si="244"/>
        <v>8</v>
      </c>
      <c r="J571">
        <f t="shared" si="228"/>
        <v>2</v>
      </c>
      <c r="K571" s="36">
        <f t="shared" ca="1" si="229"/>
        <v>154.95652173913044</v>
      </c>
      <c r="L571" s="10">
        <f ca="1">AH571*VLOOKUP(C571,技能辅助查询表,技能配置辅助表!$T$1,FALSE)</f>
        <v>0</v>
      </c>
      <c r="M571">
        <f t="shared" ca="1" si="230"/>
        <v>7360</v>
      </c>
      <c r="N571" s="33">
        <f ca="1">CHOOSE(1,W571*U571,X571*'[1]0、经济设定'!$C$18)</f>
        <v>840</v>
      </c>
      <c r="O571">
        <f t="shared" si="231"/>
        <v>2</v>
      </c>
      <c r="P571">
        <f t="shared" si="232"/>
        <v>1</v>
      </c>
      <c r="Q571">
        <f t="shared" si="233"/>
        <v>1</v>
      </c>
      <c r="R571" s="2">
        <f t="shared" si="234"/>
        <v>4</v>
      </c>
      <c r="S571" s="2">
        <f t="shared" si="235"/>
        <v>50</v>
      </c>
      <c r="T571" s="2">
        <f t="shared" si="236"/>
        <v>143.47826086956522</v>
      </c>
      <c r="U571" s="2">
        <f ca="1">VLOOKUP(E571,金币生产率!$A$2:$B$120,2,0)</f>
        <v>140</v>
      </c>
      <c r="V571" s="2">
        <f t="shared" si="237"/>
        <v>143.47826086956522</v>
      </c>
      <c r="W571" s="45">
        <f t="shared" ca="1" si="250"/>
        <v>6</v>
      </c>
      <c r="X571" s="48">
        <f t="shared" ca="1" si="251"/>
        <v>38</v>
      </c>
      <c r="Y571">
        <f t="shared" si="238"/>
        <v>18</v>
      </c>
      <c r="Z571">
        <f t="shared" ca="1" si="245"/>
        <v>0</v>
      </c>
      <c r="AA571" t="str">
        <f t="shared" ca="1" si="246"/>
        <v>9222100.png</v>
      </c>
      <c r="AB571">
        <f t="shared" si="239"/>
        <v>20</v>
      </c>
      <c r="AC571">
        <f>VLOOKUP(C571,技能辅助查询表,技能配置辅助表!$W$1,FALSE)</f>
        <v>24</v>
      </c>
      <c r="AD571">
        <f t="shared" ca="1" si="247"/>
        <v>3.5966567478663847</v>
      </c>
      <c r="AE571">
        <f>VLOOKUP(C571,技能辅助查询表,技能配置辅助表!$U$1,FALSE)</f>
        <v>4</v>
      </c>
      <c r="AF571">
        <f t="shared" ca="1" si="248"/>
        <v>9222108</v>
      </c>
      <c r="AG571">
        <f t="shared" ca="1" si="252"/>
        <v>14.857142857142858</v>
      </c>
      <c r="AH571">
        <f t="shared" ca="1" si="249"/>
        <v>32.722747310493212</v>
      </c>
      <c r="AI571">
        <f ca="1">VLOOKUP(E571,伤害参考系!$C$4:$E$104,3,FALSE)*$AN$12</f>
        <v>421.35260869565224</v>
      </c>
      <c r="AJ571">
        <f>VLOOKUP(C571,技能辅助查询表,技能配置辅助表!$L$1,FALSE)</f>
        <v>1</v>
      </c>
      <c r="AK571">
        <f>VLOOKUP(C571,技能辅助查询表,技能配置辅助表!$AE$1,FALSE)</f>
        <v>66000305</v>
      </c>
    </row>
    <row r="572" spans="1:37" x14ac:dyDescent="0.15">
      <c r="A572" s="1">
        <f t="shared" ca="1" si="240"/>
        <v>9222109</v>
      </c>
      <c r="B572" s="1" t="str">
        <f t="shared" ca="1" si="225"/>
        <v>龙拳第1段</v>
      </c>
      <c r="C572" t="s">
        <v>161</v>
      </c>
      <c r="D572">
        <f t="shared" si="226"/>
        <v>2</v>
      </c>
      <c r="E572" s="42">
        <f t="shared" ca="1" si="241"/>
        <v>18</v>
      </c>
      <c r="F572" t="str">
        <f t="shared" ca="1" si="242"/>
        <v>第9级，共造成156.4%点伤害</v>
      </c>
      <c r="G572">
        <f t="shared" ca="1" si="243"/>
        <v>1</v>
      </c>
      <c r="H572">
        <f t="shared" si="227"/>
        <v>1</v>
      </c>
      <c r="I572" s="44">
        <f t="shared" ca="1" si="244"/>
        <v>9</v>
      </c>
      <c r="J572">
        <f t="shared" si="228"/>
        <v>2</v>
      </c>
      <c r="K572" s="36">
        <f t="shared" ca="1" si="229"/>
        <v>156.39130434782609</v>
      </c>
      <c r="L572" s="10">
        <f ca="1">AH572*VLOOKUP(C572,技能辅助查询表,技能配置辅助表!$T$1,FALSE)</f>
        <v>0</v>
      </c>
      <c r="M572">
        <f t="shared" ca="1" si="230"/>
        <v>7280</v>
      </c>
      <c r="N572" s="33">
        <f ca="1">CHOOSE(1,W572*U572,X572*'[1]0、经济设定'!$C$18)</f>
        <v>912</v>
      </c>
      <c r="O572">
        <f t="shared" si="231"/>
        <v>2</v>
      </c>
      <c r="P572">
        <f t="shared" si="232"/>
        <v>1</v>
      </c>
      <c r="Q572">
        <f t="shared" si="233"/>
        <v>1</v>
      </c>
      <c r="R572" s="2">
        <f t="shared" si="234"/>
        <v>4</v>
      </c>
      <c r="S572" s="2">
        <f t="shared" si="235"/>
        <v>50</v>
      </c>
      <c r="T572" s="2">
        <f t="shared" si="236"/>
        <v>143.47826086956522</v>
      </c>
      <c r="U572" s="2">
        <f ca="1">VLOOKUP(E572,金币生产率!$A$2:$B$120,2,0)</f>
        <v>152</v>
      </c>
      <c r="V572" s="2">
        <f t="shared" si="237"/>
        <v>143.47826086956522</v>
      </c>
      <c r="W572" s="45">
        <f t="shared" ca="1" si="250"/>
        <v>6</v>
      </c>
      <c r="X572" s="48">
        <f t="shared" ca="1" si="251"/>
        <v>44</v>
      </c>
      <c r="Y572">
        <f t="shared" si="238"/>
        <v>18</v>
      </c>
      <c r="Z572">
        <f t="shared" ca="1" si="245"/>
        <v>0</v>
      </c>
      <c r="AA572" t="str">
        <f t="shared" ca="1" si="246"/>
        <v>9222100.png</v>
      </c>
      <c r="AB572">
        <f t="shared" si="239"/>
        <v>20</v>
      </c>
      <c r="AC572">
        <f>VLOOKUP(C572,技能辅助查询表,技能配置辅助表!$W$1,FALSE)</f>
        <v>24</v>
      </c>
      <c r="AD572">
        <f t="shared" ca="1" si="247"/>
        <v>4.2016501560827209</v>
      </c>
      <c r="AE572">
        <f>VLOOKUP(C572,技能辅助查询表,技能配置辅助表!$U$1,FALSE)</f>
        <v>4</v>
      </c>
      <c r="AF572">
        <f t="shared" ca="1" si="248"/>
        <v>9222109</v>
      </c>
      <c r="AG572">
        <f t="shared" ca="1" si="252"/>
        <v>16.408163265306122</v>
      </c>
      <c r="AH572">
        <f t="shared" ca="1" si="249"/>
        <v>37.25441541630785</v>
      </c>
      <c r="AI572">
        <f ca="1">VLOOKUP(E572,伤害参考系!$C$4:$E$104,3,FALSE)*$AN$12</f>
        <v>522.16043478260883</v>
      </c>
      <c r="AJ572">
        <f>VLOOKUP(C572,技能辅助查询表,技能配置辅助表!$L$1,FALSE)</f>
        <v>1</v>
      </c>
      <c r="AK572">
        <f>VLOOKUP(C572,技能辅助查询表,技能配置辅助表!$AE$1,FALSE)</f>
        <v>66000305</v>
      </c>
    </row>
    <row r="573" spans="1:37" x14ac:dyDescent="0.15">
      <c r="A573" s="1">
        <f t="shared" ca="1" si="240"/>
        <v>9222110</v>
      </c>
      <c r="B573" s="1" t="str">
        <f t="shared" ca="1" si="225"/>
        <v>龙拳第1段</v>
      </c>
      <c r="C573" t="s">
        <v>161</v>
      </c>
      <c r="D573">
        <f t="shared" si="226"/>
        <v>2</v>
      </c>
      <c r="E573" s="42">
        <f t="shared" ca="1" si="241"/>
        <v>19</v>
      </c>
      <c r="F573" t="str">
        <f t="shared" ca="1" si="242"/>
        <v>第10级，共造成157.8%点伤害</v>
      </c>
      <c r="G573">
        <f t="shared" ca="1" si="243"/>
        <v>1</v>
      </c>
      <c r="H573">
        <f t="shared" si="227"/>
        <v>1</v>
      </c>
      <c r="I573" s="44">
        <f t="shared" ca="1" si="244"/>
        <v>10</v>
      </c>
      <c r="J573">
        <f t="shared" si="228"/>
        <v>2</v>
      </c>
      <c r="K573" s="36">
        <f t="shared" ca="1" si="229"/>
        <v>157.82608695652175</v>
      </c>
      <c r="L573" s="10">
        <f ca="1">AH573*VLOOKUP(C573,技能辅助查询表,技能配置辅助表!$T$1,FALSE)</f>
        <v>0</v>
      </c>
      <c r="M573">
        <f t="shared" ca="1" si="230"/>
        <v>7200</v>
      </c>
      <c r="N573" s="33">
        <f ca="1">CHOOSE(1,W573*U573,X573*'[1]0、经济设定'!$C$18)</f>
        <v>1106</v>
      </c>
      <c r="O573">
        <f t="shared" si="231"/>
        <v>2</v>
      </c>
      <c r="P573">
        <f t="shared" si="232"/>
        <v>1</v>
      </c>
      <c r="Q573">
        <f t="shared" si="233"/>
        <v>1</v>
      </c>
      <c r="R573" s="2">
        <f t="shared" si="234"/>
        <v>4</v>
      </c>
      <c r="S573" s="2">
        <f t="shared" si="235"/>
        <v>50</v>
      </c>
      <c r="T573" s="2">
        <f t="shared" si="236"/>
        <v>143.47826086956522</v>
      </c>
      <c r="U573" s="2">
        <f ca="1">VLOOKUP(E573,金币生产率!$A$2:$B$120,2,0)</f>
        <v>158</v>
      </c>
      <c r="V573" s="2">
        <f t="shared" si="237"/>
        <v>143.47826086956522</v>
      </c>
      <c r="W573" s="45">
        <f t="shared" ca="1" si="250"/>
        <v>7</v>
      </c>
      <c r="X573" s="48">
        <f t="shared" ca="1" si="251"/>
        <v>51</v>
      </c>
      <c r="Y573">
        <f t="shared" si="238"/>
        <v>18</v>
      </c>
      <c r="Z573">
        <f t="shared" ca="1" si="245"/>
        <v>0</v>
      </c>
      <c r="AA573" t="str">
        <f t="shared" ca="1" si="246"/>
        <v>9222100.png</v>
      </c>
      <c r="AB573">
        <f t="shared" si="239"/>
        <v>20</v>
      </c>
      <c r="AC573">
        <f>VLOOKUP(C573,技能辅助查询表,技能配置辅助表!$W$1,FALSE)</f>
        <v>24</v>
      </c>
      <c r="AD573">
        <f t="shared" ca="1" si="247"/>
        <v>4.9052319448540587</v>
      </c>
      <c r="AE573">
        <f>VLOOKUP(C573,技能辅助查询表,技能配置辅助表!$U$1,FALSE)</f>
        <v>4</v>
      </c>
      <c r="AF573">
        <f t="shared" ca="1" si="248"/>
        <v>9222110</v>
      </c>
      <c r="AG573">
        <f t="shared" ca="1" si="252"/>
        <v>17.95918367346939</v>
      </c>
      <c r="AH573">
        <f t="shared" ca="1" si="249"/>
        <v>42.413659673550121</v>
      </c>
      <c r="AI573">
        <f ca="1">VLOOKUP(E573,伤害参考系!$C$4:$E$104,3,FALSE)*$AN$12</f>
        <v>576.22842391304346</v>
      </c>
      <c r="AJ573">
        <f>VLOOKUP(C573,技能辅助查询表,技能配置辅助表!$L$1,FALSE)</f>
        <v>1</v>
      </c>
      <c r="AK573">
        <f>VLOOKUP(C573,技能辅助查询表,技能配置辅助表!$AE$1,FALSE)</f>
        <v>66000305</v>
      </c>
    </row>
    <row r="574" spans="1:37" x14ac:dyDescent="0.15">
      <c r="A574" s="1">
        <f t="shared" ca="1" si="240"/>
        <v>9222111</v>
      </c>
      <c r="B574" s="1" t="str">
        <f t="shared" ca="1" si="225"/>
        <v>龙拳第1段</v>
      </c>
      <c r="C574" t="s">
        <v>161</v>
      </c>
      <c r="D574">
        <f t="shared" si="226"/>
        <v>2</v>
      </c>
      <c r="E574" s="42">
        <f t="shared" ca="1" si="241"/>
        <v>21</v>
      </c>
      <c r="F574" t="str">
        <f t="shared" ca="1" si="242"/>
        <v>第11级，共造成159.3%点伤害</v>
      </c>
      <c r="G574">
        <f t="shared" ca="1" si="243"/>
        <v>1</v>
      </c>
      <c r="H574">
        <f t="shared" si="227"/>
        <v>1</v>
      </c>
      <c r="I574" s="44">
        <f t="shared" ca="1" si="244"/>
        <v>11</v>
      </c>
      <c r="J574">
        <f t="shared" si="228"/>
        <v>2</v>
      </c>
      <c r="K574" s="36">
        <f t="shared" ca="1" si="229"/>
        <v>159.2608695652174</v>
      </c>
      <c r="L574" s="10">
        <f ca="1">AH574*VLOOKUP(C574,技能辅助查询表,技能配置辅助表!$T$1,FALSE)</f>
        <v>0</v>
      </c>
      <c r="M574">
        <f t="shared" ca="1" si="230"/>
        <v>7120</v>
      </c>
      <c r="N574" s="33">
        <f ca="1">CHOOSE(1,W574*U574,X574*'[1]0、经济设定'!$C$18)</f>
        <v>1470</v>
      </c>
      <c r="O574">
        <f t="shared" si="231"/>
        <v>2</v>
      </c>
      <c r="P574">
        <f t="shared" si="232"/>
        <v>1</v>
      </c>
      <c r="Q574">
        <f t="shared" si="233"/>
        <v>1</v>
      </c>
      <c r="R574" s="2">
        <f t="shared" si="234"/>
        <v>4</v>
      </c>
      <c r="S574" s="2">
        <f t="shared" si="235"/>
        <v>50</v>
      </c>
      <c r="T574" s="2">
        <f t="shared" si="236"/>
        <v>143.47826086956522</v>
      </c>
      <c r="U574" s="2">
        <f ca="1">VLOOKUP(E574,金币生产率!$A$2:$B$120,2,0)</f>
        <v>210</v>
      </c>
      <c r="V574" s="2">
        <f t="shared" si="237"/>
        <v>143.47826086956522</v>
      </c>
      <c r="W574" s="45">
        <f t="shared" ca="1" si="250"/>
        <v>7</v>
      </c>
      <c r="X574" s="48">
        <f t="shared" ca="1" si="251"/>
        <v>58</v>
      </c>
      <c r="Y574">
        <f t="shared" si="238"/>
        <v>18</v>
      </c>
      <c r="Z574">
        <f t="shared" ca="1" si="245"/>
        <v>0</v>
      </c>
      <c r="AA574" t="str">
        <f t="shared" ca="1" si="246"/>
        <v>9222100.png</v>
      </c>
      <c r="AB574">
        <f t="shared" si="239"/>
        <v>20</v>
      </c>
      <c r="AC574">
        <f>VLOOKUP(C574,技能辅助查询表,技能配置辅助表!$W$1,FALSE)</f>
        <v>24</v>
      </c>
      <c r="AD574">
        <f t="shared" ca="1" si="247"/>
        <v>5.7231055696356048</v>
      </c>
      <c r="AE574">
        <f>VLOOKUP(C574,技能辅助查询表,技能配置辅助表!$U$1,FALSE)</f>
        <v>4</v>
      </c>
      <c r="AF574">
        <f t="shared" ca="1" si="248"/>
        <v>9222111</v>
      </c>
      <c r="AG574">
        <f t="shared" ca="1" si="252"/>
        <v>19.510204081632651</v>
      </c>
      <c r="AH574">
        <f t="shared" ca="1" si="249"/>
        <v>48.287391086433935</v>
      </c>
      <c r="AI574">
        <f ca="1">VLOOKUP(E574,伤害参考系!$C$4:$E$104,3,FALSE)*$AN$12</f>
        <v>691.69255434782622</v>
      </c>
      <c r="AJ574">
        <f>VLOOKUP(C574,技能辅助查询表,技能配置辅助表!$L$1,FALSE)</f>
        <v>1</v>
      </c>
      <c r="AK574">
        <f>VLOOKUP(C574,技能辅助查询表,技能配置辅助表!$AE$1,FALSE)</f>
        <v>66000305</v>
      </c>
    </row>
    <row r="575" spans="1:37" x14ac:dyDescent="0.15">
      <c r="A575" s="1">
        <f t="shared" ca="1" si="240"/>
        <v>9222112</v>
      </c>
      <c r="B575" s="1" t="str">
        <f t="shared" ca="1" si="225"/>
        <v>龙拳第1段</v>
      </c>
      <c r="C575" t="s">
        <v>161</v>
      </c>
      <c r="D575">
        <f t="shared" si="226"/>
        <v>2</v>
      </c>
      <c r="E575" s="42">
        <f t="shared" ca="1" si="241"/>
        <v>22</v>
      </c>
      <c r="F575" t="str">
        <f t="shared" ca="1" si="242"/>
        <v>第12级，共造成160.7%点伤害</v>
      </c>
      <c r="G575">
        <f t="shared" ca="1" si="243"/>
        <v>1</v>
      </c>
      <c r="H575">
        <f t="shared" si="227"/>
        <v>1</v>
      </c>
      <c r="I575" s="44">
        <f t="shared" ca="1" si="244"/>
        <v>12</v>
      </c>
      <c r="J575">
        <f t="shared" si="228"/>
        <v>2</v>
      </c>
      <c r="K575" s="36">
        <f t="shared" ca="1" si="229"/>
        <v>160.69565217391303</v>
      </c>
      <c r="L575" s="10">
        <f ca="1">AH575*VLOOKUP(C575,技能辅助查询表,技能配置辅助表!$T$1,FALSE)</f>
        <v>0</v>
      </c>
      <c r="M575">
        <f t="shared" ca="1" si="230"/>
        <v>7040</v>
      </c>
      <c r="N575" s="33">
        <f ca="1">CHOOSE(1,W575*U575,X575*'[1]0、经济设定'!$C$18)</f>
        <v>1912</v>
      </c>
      <c r="O575">
        <f t="shared" si="231"/>
        <v>2</v>
      </c>
      <c r="P575">
        <f t="shared" si="232"/>
        <v>1</v>
      </c>
      <c r="Q575">
        <f t="shared" si="233"/>
        <v>1</v>
      </c>
      <c r="R575" s="2">
        <f t="shared" si="234"/>
        <v>4</v>
      </c>
      <c r="S575" s="2">
        <f t="shared" si="235"/>
        <v>50</v>
      </c>
      <c r="T575" s="2">
        <f t="shared" si="236"/>
        <v>143.47826086956522</v>
      </c>
      <c r="U575" s="2">
        <f ca="1">VLOOKUP(E575,金币生产率!$A$2:$B$120,2,0)</f>
        <v>239</v>
      </c>
      <c r="V575" s="2">
        <f t="shared" si="237"/>
        <v>143.47826086956522</v>
      </c>
      <c r="W575" s="45">
        <f t="shared" ca="1" si="250"/>
        <v>8</v>
      </c>
      <c r="X575" s="48">
        <f t="shared" ca="1" si="251"/>
        <v>66</v>
      </c>
      <c r="Y575">
        <f t="shared" si="238"/>
        <v>18</v>
      </c>
      <c r="Z575">
        <f t="shared" ca="1" si="245"/>
        <v>0</v>
      </c>
      <c r="AA575" t="str">
        <f t="shared" ca="1" si="246"/>
        <v>9222100.png</v>
      </c>
      <c r="AB575">
        <f t="shared" si="239"/>
        <v>20</v>
      </c>
      <c r="AC575">
        <f>VLOOKUP(C575,技能辅助查询表,技能配置辅助表!$W$1,FALSE)</f>
        <v>24</v>
      </c>
      <c r="AD575">
        <f t="shared" ca="1" si="247"/>
        <v>6.6734331419137289</v>
      </c>
      <c r="AE575">
        <f>VLOOKUP(C575,技能辅助查询表,技能配置辅助表!$U$1,FALSE)</f>
        <v>4</v>
      </c>
      <c r="AF575">
        <f t="shared" ca="1" si="248"/>
        <v>9222112</v>
      </c>
      <c r="AG575">
        <f t="shared" ca="1" si="252"/>
        <v>21.061224489795919</v>
      </c>
      <c r="AH575">
        <f t="shared" ca="1" si="249"/>
        <v>54.974556684819426</v>
      </c>
      <c r="AI575">
        <f ca="1">VLOOKUP(E575,伤害参考系!$C$4:$E$104,3,FALSE)*$AN$12</f>
        <v>753.08869565217401</v>
      </c>
      <c r="AJ575">
        <f>VLOOKUP(C575,技能辅助查询表,技能配置辅助表!$L$1,FALSE)</f>
        <v>1</v>
      </c>
      <c r="AK575">
        <f>VLOOKUP(C575,技能辅助查询表,技能配置辅助表!$AE$1,FALSE)</f>
        <v>66000305</v>
      </c>
    </row>
    <row r="576" spans="1:37" x14ac:dyDescent="0.15">
      <c r="A576" s="1">
        <f t="shared" ca="1" si="240"/>
        <v>9222113</v>
      </c>
      <c r="B576" s="1" t="str">
        <f t="shared" ca="1" si="225"/>
        <v>龙拳第1段</v>
      </c>
      <c r="C576" t="s">
        <v>161</v>
      </c>
      <c r="D576">
        <f t="shared" si="226"/>
        <v>2</v>
      </c>
      <c r="E576" s="42">
        <f t="shared" ca="1" si="241"/>
        <v>24</v>
      </c>
      <c r="F576" t="str">
        <f t="shared" ca="1" si="242"/>
        <v>第13级，共造成162.1%点伤害</v>
      </c>
      <c r="G576">
        <f t="shared" ca="1" si="243"/>
        <v>1</v>
      </c>
      <c r="H576">
        <f t="shared" si="227"/>
        <v>1</v>
      </c>
      <c r="I576" s="44">
        <f t="shared" ca="1" si="244"/>
        <v>13</v>
      </c>
      <c r="J576">
        <f t="shared" si="228"/>
        <v>2</v>
      </c>
      <c r="K576" s="36">
        <f t="shared" ca="1" si="229"/>
        <v>162.13043478260869</v>
      </c>
      <c r="L576" s="10">
        <f ca="1">AH576*VLOOKUP(C576,技能辅助查询表,技能配置辅助表!$T$1,FALSE)</f>
        <v>0</v>
      </c>
      <c r="M576">
        <f t="shared" ca="1" si="230"/>
        <v>6960</v>
      </c>
      <c r="N576" s="33">
        <f ca="1">CHOOSE(1,W576*U576,X576*'[1]0、经济设定'!$C$18)</f>
        <v>2416</v>
      </c>
      <c r="O576">
        <f t="shared" si="231"/>
        <v>2</v>
      </c>
      <c r="P576">
        <f t="shared" si="232"/>
        <v>1</v>
      </c>
      <c r="Q576">
        <f t="shared" si="233"/>
        <v>1</v>
      </c>
      <c r="R576" s="2">
        <f t="shared" si="234"/>
        <v>4</v>
      </c>
      <c r="S576" s="2">
        <f t="shared" si="235"/>
        <v>50</v>
      </c>
      <c r="T576" s="2">
        <f t="shared" si="236"/>
        <v>143.47826086956522</v>
      </c>
      <c r="U576" s="2">
        <f ca="1">VLOOKUP(E576,金币生产率!$A$2:$B$120,2,0)</f>
        <v>302</v>
      </c>
      <c r="V576" s="2">
        <f t="shared" si="237"/>
        <v>143.47826086956522</v>
      </c>
      <c r="W576" s="45">
        <f t="shared" ca="1" si="250"/>
        <v>8</v>
      </c>
      <c r="X576" s="48">
        <f t="shared" ca="1" si="251"/>
        <v>74</v>
      </c>
      <c r="Y576">
        <f t="shared" si="238"/>
        <v>18</v>
      </c>
      <c r="Z576">
        <f t="shared" ca="1" si="245"/>
        <v>0</v>
      </c>
      <c r="AA576" t="str">
        <f t="shared" ca="1" si="246"/>
        <v>9222100.png</v>
      </c>
      <c r="AB576">
        <f t="shared" si="239"/>
        <v>20</v>
      </c>
      <c r="AC576">
        <f>VLOOKUP(C576,技能辅助查询表,技能配置辅助表!$W$1,FALSE)</f>
        <v>24</v>
      </c>
      <c r="AD576">
        <f t="shared" ca="1" si="247"/>
        <v>7.7772152418171085</v>
      </c>
      <c r="AE576">
        <f>VLOOKUP(C576,技能辅助查询表,技能配置辅助表!$U$1,FALSE)</f>
        <v>4</v>
      </c>
      <c r="AF576">
        <f t="shared" ca="1" si="248"/>
        <v>9222113</v>
      </c>
      <c r="AG576">
        <f t="shared" ca="1" si="252"/>
        <v>22.612244897959183</v>
      </c>
      <c r="AH576">
        <f t="shared" ca="1" si="249"/>
        <v>62.587806354721323</v>
      </c>
      <c r="AI576">
        <f ca="1">VLOOKUP(E576,伤害参考系!$C$4:$E$104,3,FALSE)*$AN$12</f>
        <v>914.59374581939801</v>
      </c>
      <c r="AJ576">
        <f>VLOOKUP(C576,技能辅助查询表,技能配置辅助表!$L$1,FALSE)</f>
        <v>1</v>
      </c>
      <c r="AK576">
        <f>VLOOKUP(C576,技能辅助查询表,技能配置辅助表!$AE$1,FALSE)</f>
        <v>66000305</v>
      </c>
    </row>
    <row r="577" spans="1:37" x14ac:dyDescent="0.15">
      <c r="A577" s="1">
        <f t="shared" ca="1" si="240"/>
        <v>9222114</v>
      </c>
      <c r="B577" s="1" t="str">
        <f t="shared" ca="1" si="225"/>
        <v>龙拳第1段</v>
      </c>
      <c r="C577" t="s">
        <v>161</v>
      </c>
      <c r="D577">
        <f t="shared" si="226"/>
        <v>2</v>
      </c>
      <c r="E577" s="42">
        <f t="shared" ca="1" si="241"/>
        <v>25</v>
      </c>
      <c r="F577" t="str">
        <f t="shared" ca="1" si="242"/>
        <v>第14级，共造成163.6%点伤害</v>
      </c>
      <c r="G577">
        <f t="shared" ca="1" si="243"/>
        <v>1</v>
      </c>
      <c r="H577">
        <f t="shared" si="227"/>
        <v>1</v>
      </c>
      <c r="I577" s="44">
        <f t="shared" ca="1" si="244"/>
        <v>14</v>
      </c>
      <c r="J577">
        <f t="shared" si="228"/>
        <v>2</v>
      </c>
      <c r="K577" s="36">
        <f t="shared" ca="1" si="229"/>
        <v>163.56521739130434</v>
      </c>
      <c r="L577" s="10">
        <f ca="1">AH577*VLOOKUP(C577,技能辅助查询表,技能配置辅助表!$T$1,FALSE)</f>
        <v>0</v>
      </c>
      <c r="M577">
        <f t="shared" ca="1" si="230"/>
        <v>6880</v>
      </c>
      <c r="N577" s="33">
        <f ca="1">CHOOSE(1,W577*U577,X577*'[1]0、经济设定'!$C$18)</f>
        <v>3015</v>
      </c>
      <c r="O577">
        <f t="shared" si="231"/>
        <v>2</v>
      </c>
      <c r="P577">
        <f t="shared" si="232"/>
        <v>1</v>
      </c>
      <c r="Q577">
        <f t="shared" si="233"/>
        <v>1</v>
      </c>
      <c r="R577" s="2">
        <f t="shared" si="234"/>
        <v>4</v>
      </c>
      <c r="S577" s="2">
        <f t="shared" si="235"/>
        <v>50</v>
      </c>
      <c r="T577" s="2">
        <f t="shared" si="236"/>
        <v>143.47826086956522</v>
      </c>
      <c r="U577" s="2">
        <f ca="1">VLOOKUP(E577,金币生产率!$A$2:$B$120,2,0)</f>
        <v>335</v>
      </c>
      <c r="V577" s="2">
        <f t="shared" si="237"/>
        <v>143.47826086956522</v>
      </c>
      <c r="W577" s="45">
        <f t="shared" ca="1" si="250"/>
        <v>9</v>
      </c>
      <c r="X577" s="48">
        <f t="shared" ca="1" si="251"/>
        <v>83</v>
      </c>
      <c r="Y577">
        <f t="shared" si="238"/>
        <v>18</v>
      </c>
      <c r="Z577">
        <f t="shared" ca="1" si="245"/>
        <v>0</v>
      </c>
      <c r="AA577" t="str">
        <f t="shared" ca="1" si="246"/>
        <v>9222100.png</v>
      </c>
      <c r="AB577">
        <f t="shared" si="239"/>
        <v>20</v>
      </c>
      <c r="AC577">
        <f>VLOOKUP(C577,技能辅助查询表,技能配置辅助表!$W$1,FALSE)</f>
        <v>24</v>
      </c>
      <c r="AD577">
        <f t="shared" ca="1" si="247"/>
        <v>9.058728775227781</v>
      </c>
      <c r="AE577">
        <f>VLOOKUP(C577,技能辅助查询表,技能配置辅助表!$U$1,FALSE)</f>
        <v>4</v>
      </c>
      <c r="AF577">
        <f t="shared" ca="1" si="248"/>
        <v>9222114</v>
      </c>
      <c r="AG577">
        <f t="shared" ca="1" si="252"/>
        <v>24.163265306122447</v>
      </c>
      <c r="AH577">
        <f t="shared" ca="1" si="249"/>
        <v>71.25539050281769</v>
      </c>
      <c r="AI577">
        <f ca="1">VLOOKUP(E577,伤害参考系!$C$4:$E$104,3,FALSE)*$AN$12</f>
        <v>1000.3949623745822</v>
      </c>
      <c r="AJ577">
        <f>VLOOKUP(C577,技能辅助查询表,技能配置辅助表!$L$1,FALSE)</f>
        <v>1</v>
      </c>
      <c r="AK577">
        <f>VLOOKUP(C577,技能辅助查询表,技能配置辅助表!$AE$1,FALSE)</f>
        <v>66000305</v>
      </c>
    </row>
    <row r="578" spans="1:37" x14ac:dyDescent="0.15">
      <c r="A578" s="1">
        <f t="shared" ca="1" si="240"/>
        <v>9222115</v>
      </c>
      <c r="B578" s="1" t="str">
        <f t="shared" ref="B578:B641" ca="1" si="253">IF(AND(G578=0,AE578=4),LEFT(C578,LEN(C578)-3),C578)</f>
        <v>龙拳第1段</v>
      </c>
      <c r="C578" t="s">
        <v>161</v>
      </c>
      <c r="D578">
        <f t="shared" ref="D578:D641" si="254">VLOOKUP(C578,技能辅助查询表,3,FALSE)</f>
        <v>2</v>
      </c>
      <c r="E578" s="42">
        <f t="shared" ca="1" si="241"/>
        <v>27</v>
      </c>
      <c r="F578" t="str">
        <f t="shared" ca="1" si="242"/>
        <v>第15级，共造成165%点伤害</v>
      </c>
      <c r="G578">
        <f t="shared" ca="1" si="243"/>
        <v>1</v>
      </c>
      <c r="H578">
        <f t="shared" ref="H578:H641" si="255">VLOOKUP(C578,技能辅助查询表,2,FALSE)</f>
        <v>1</v>
      </c>
      <c r="I578" s="44">
        <f t="shared" ca="1" si="244"/>
        <v>15</v>
      </c>
      <c r="J578">
        <f t="shared" ref="J578:J641" si="256">VLOOKUP(C578,技能辅助查询表,4,FALSE)</f>
        <v>2</v>
      </c>
      <c r="K578" s="36">
        <f t="shared" ref="K578:K641" ca="1" si="257">IF(OR(I578=0,I578=1),T578,T578+T578*($AN$6-1)/S578*I578)</f>
        <v>165</v>
      </c>
      <c r="L578" s="10">
        <f ca="1">AH578*VLOOKUP(C578,技能辅助查询表,技能配置辅助表!$T$1,FALSE)</f>
        <v>0</v>
      </c>
      <c r="M578">
        <f t="shared" ref="M578:M641" ca="1" si="258">IF(OR(I578=0,I578=1),VLOOKUP(C578,技能辅助查询表,14,FALSE),VLOOKUP(C578,技能辅助查询表,14,FALSE)-VLOOKUP(C578,技能辅助查询表,14,FALSE)*0.5/S578*I578)</f>
        <v>6800</v>
      </c>
      <c r="N578" s="33">
        <f ca="1">CHOOSE(1,W578*U578,X578*'[1]0、经济设定'!$C$18)</f>
        <v>4060</v>
      </c>
      <c r="O578">
        <f t="shared" ref="O578:O641" si="259">VLOOKUP(C578,技能辅助查询表,5,FALSE)</f>
        <v>2</v>
      </c>
      <c r="P578">
        <f t="shared" ref="P578:P641" si="260">VLOOKUP(C578,技能辅助查询表,6,FALSE)</f>
        <v>1</v>
      </c>
      <c r="Q578">
        <f t="shared" ref="Q578:Q641" si="261">VLOOKUP(C578,技能辅助查询表,7,FALSE)</f>
        <v>1</v>
      </c>
      <c r="R578" s="2">
        <f t="shared" ref="R578:R641" si="262">VLOOKUP(C578,技能辅助查询表,9,FALSE)</f>
        <v>4</v>
      </c>
      <c r="S578" s="2">
        <f t="shared" ref="S578:S641" si="263">VLOOKUP(C578,技能辅助查询表,8,FALSE)</f>
        <v>50</v>
      </c>
      <c r="T578" s="2">
        <f t="shared" ref="T578:T641" si="264">VLOOKUP(C578,技能辅助查询表,11,FALSE)</f>
        <v>143.47826086956522</v>
      </c>
      <c r="U578" s="2">
        <f ca="1">VLOOKUP(E578,金币生产率!$A$2:$B$120,2,0)</f>
        <v>406</v>
      </c>
      <c r="V578" s="2">
        <f t="shared" ref="V578:V641" si="265">VLOOKUP(C578,技能辅助查询表,12,FALSE)</f>
        <v>143.47826086956522</v>
      </c>
      <c r="W578" s="45">
        <f t="shared" ca="1" si="250"/>
        <v>10</v>
      </c>
      <c r="X578" s="48">
        <f t="shared" ca="1" si="251"/>
        <v>93</v>
      </c>
      <c r="Y578">
        <f t="shared" ref="Y578:Y641" si="266">VLOOKUP(C578,技能辅助查询表,15,FALSE)</f>
        <v>18</v>
      </c>
      <c r="Z578">
        <f t="shared" ca="1" si="245"/>
        <v>0</v>
      </c>
      <c r="AA578" t="str">
        <f t="shared" ca="1" si="246"/>
        <v>9222100.png</v>
      </c>
      <c r="AB578">
        <f t="shared" ref="AB578:AB641" si="267">VLOOKUP(C578,技能辅助查询表,17,FALSE)</f>
        <v>20</v>
      </c>
      <c r="AC578">
        <f>VLOOKUP(C578,技能辅助查询表,技能配置辅助表!$W$1,FALSE)</f>
        <v>24</v>
      </c>
      <c r="AD578">
        <f t="shared" ca="1" si="247"/>
        <v>10.546031667914246</v>
      </c>
      <c r="AE578">
        <f>VLOOKUP(C578,技能辅助查询表,技能配置辅助表!$U$1,FALSE)</f>
        <v>4</v>
      </c>
      <c r="AF578">
        <f t="shared" ca="1" si="248"/>
        <v>9222115</v>
      </c>
      <c r="AG578">
        <f t="shared" ca="1" si="252"/>
        <v>25.714285714285715</v>
      </c>
      <c r="AH578">
        <f t="shared" ca="1" si="249"/>
        <v>81.123320522417259</v>
      </c>
      <c r="AI578">
        <f ca="1">VLOOKUP(E578,伤害参考系!$C$4:$E$104,3,FALSE)*$AN$12</f>
        <v>1210.5107784280938</v>
      </c>
      <c r="AJ578">
        <f>VLOOKUP(C578,技能辅助查询表,技能配置辅助表!$L$1,FALSE)</f>
        <v>1</v>
      </c>
      <c r="AK578">
        <f>VLOOKUP(C578,技能辅助查询表,技能配置辅助表!$AE$1,FALSE)</f>
        <v>66000305</v>
      </c>
    </row>
    <row r="579" spans="1:37" x14ac:dyDescent="0.15">
      <c r="A579" s="1">
        <f t="shared" ref="A579:A642" ca="1" si="268">IF(I579=0,IF(H579=1,VALUE("9"&amp;D579&amp;J579&amp;O579&amp;G579&amp;IF(I579&gt;9,I579,"0"&amp;I579)),1),VALUE("9"&amp;D579&amp;J579&amp;O579&amp;G579&amp;IF(I579&gt;9,I579,"0"&amp;I579)))</f>
        <v>9222116</v>
      </c>
      <c r="B579" s="1" t="str">
        <f t="shared" ca="1" si="253"/>
        <v>龙拳第1段</v>
      </c>
      <c r="C579" t="s">
        <v>161</v>
      </c>
      <c r="D579">
        <f t="shared" si="254"/>
        <v>2</v>
      </c>
      <c r="E579" s="42">
        <f t="shared" ref="E579:E642" ca="1" si="269">IF(I579=0,E580,IF(AND(I579=1,G579&gt;1),OFFSET(E579,(1-G579)*51,0),IF(OR(I579=1,AND(I579=2,R579=2)),R579,IF(I579=0,0,ROUND(I579*(80-R579)/S579,0)+R579))))</f>
        <v>28</v>
      </c>
      <c r="F579" t="str">
        <f t="shared" ref="F579:F642" ca="1" si="270">"第"&amp;I579&amp;"级，共造成"&amp;ROUND(AJ579*K579,1)&amp;"%点伤害"</f>
        <v>第16级，共造成166.4%点伤害</v>
      </c>
      <c r="G579">
        <f t="shared" ref="G579:G642" ca="1" si="271">IF(I579=0,0,H579)</f>
        <v>1</v>
      </c>
      <c r="H579">
        <f t="shared" si="255"/>
        <v>1</v>
      </c>
      <c r="I579" s="44">
        <f t="shared" ref="I579:I642" ca="1" si="272">IF(OFFSET(C579,-1,0)=C579,I578+1,0)</f>
        <v>16</v>
      </c>
      <c r="J579">
        <f t="shared" si="256"/>
        <v>2</v>
      </c>
      <c r="K579" s="36">
        <f t="shared" ca="1" si="257"/>
        <v>166.43478260869566</v>
      </c>
      <c r="L579" s="10">
        <f ca="1">AH579*VLOOKUP(C579,技能辅助查询表,技能配置辅助表!$T$1,FALSE)</f>
        <v>0</v>
      </c>
      <c r="M579">
        <f t="shared" ca="1" si="258"/>
        <v>6720</v>
      </c>
      <c r="N579" s="33">
        <f ca="1">CHOOSE(1,W579*U579,X579*'[1]0、经济设定'!$C$18)</f>
        <v>4430</v>
      </c>
      <c r="O579">
        <f t="shared" si="259"/>
        <v>2</v>
      </c>
      <c r="P579">
        <f t="shared" si="260"/>
        <v>1</v>
      </c>
      <c r="Q579">
        <f t="shared" si="261"/>
        <v>1</v>
      </c>
      <c r="R579" s="2">
        <f t="shared" si="262"/>
        <v>4</v>
      </c>
      <c r="S579" s="2">
        <f t="shared" si="263"/>
        <v>50</v>
      </c>
      <c r="T579" s="2">
        <f t="shared" si="264"/>
        <v>143.47826086956522</v>
      </c>
      <c r="U579" s="2">
        <f ca="1">VLOOKUP(E579,金币生产率!$A$2:$B$120,2,0)</f>
        <v>443</v>
      </c>
      <c r="V579" s="2">
        <f t="shared" si="265"/>
        <v>143.47826086956522</v>
      </c>
      <c r="W579" s="45">
        <f t="shared" ca="1" si="250"/>
        <v>10</v>
      </c>
      <c r="X579" s="48">
        <f t="shared" ca="1" si="251"/>
        <v>103</v>
      </c>
      <c r="Y579">
        <f t="shared" si="266"/>
        <v>18</v>
      </c>
      <c r="Z579">
        <f t="shared" ref="Z579:Z642" ca="1" si="273">IF(I579&gt;=Y579,ROUNDUP(W579/$AN$15,0),0)</f>
        <v>0</v>
      </c>
      <c r="AA579" t="str">
        <f t="shared" ref="AA579:AA642" ca="1" si="274">AF579-MOD(AF579,100)&amp;".png"</f>
        <v>9222100.png</v>
      </c>
      <c r="AB579">
        <f t="shared" si="267"/>
        <v>20</v>
      </c>
      <c r="AC579">
        <f>VLOOKUP(C579,技能辅助查询表,技能配置辅助表!$W$1,FALSE)</f>
        <v>24</v>
      </c>
      <c r="AD579">
        <f t="shared" ref="AD579:AD642" ca="1" si="275">((AH579*K579/100+L579)*AJ579-AH579)/5</f>
        <v>12.271544511293399</v>
      </c>
      <c r="AE579">
        <f>VLOOKUP(C579,技能辅助查询表,技能配置辅助表!$U$1,FALSE)</f>
        <v>4</v>
      </c>
      <c r="AF579">
        <f t="shared" ref="AF579:AF642" ca="1" si="276">VALUE("9"&amp;D579&amp;J579&amp;O579&amp;H579&amp;IF(I579&gt;9,I579,"0"&amp;I579))</f>
        <v>9222116</v>
      </c>
      <c r="AG579">
        <f t="shared" ca="1" si="252"/>
        <v>27.26530612244898</v>
      </c>
      <c r="AH579">
        <f t="shared" ref="AH579:AH642" ca="1" si="277">(19.323*EXP(I579*0.1297))*$AN$12</f>
        <v>92.357828455414989</v>
      </c>
      <c r="AI579">
        <f ca="1">VLOOKUP(E579,伤害参考系!$C$4:$E$104,3,FALSE)*$AN$12</f>
        <v>1321.7693779264216</v>
      </c>
      <c r="AJ579">
        <f>VLOOKUP(C579,技能辅助查询表,技能配置辅助表!$L$1,FALSE)</f>
        <v>1</v>
      </c>
      <c r="AK579">
        <f>VLOOKUP(C579,技能辅助查询表,技能配置辅助表!$AE$1,FALSE)</f>
        <v>66000305</v>
      </c>
    </row>
    <row r="580" spans="1:37" x14ac:dyDescent="0.15">
      <c r="A580" s="1">
        <f t="shared" ca="1" si="268"/>
        <v>9222117</v>
      </c>
      <c r="B580" s="1" t="str">
        <f t="shared" ca="1" si="253"/>
        <v>龙拳第1段</v>
      </c>
      <c r="C580" t="s">
        <v>161</v>
      </c>
      <c r="D580">
        <f t="shared" si="254"/>
        <v>2</v>
      </c>
      <c r="E580" s="42">
        <f t="shared" ca="1" si="269"/>
        <v>30</v>
      </c>
      <c r="F580" t="str">
        <f t="shared" ca="1" si="270"/>
        <v>第17级，共造成167.9%点伤害</v>
      </c>
      <c r="G580">
        <f t="shared" ca="1" si="271"/>
        <v>1</v>
      </c>
      <c r="H580">
        <f t="shared" si="255"/>
        <v>1</v>
      </c>
      <c r="I580" s="44">
        <f t="shared" ca="1" si="272"/>
        <v>17</v>
      </c>
      <c r="J580">
        <f t="shared" si="256"/>
        <v>2</v>
      </c>
      <c r="K580" s="36">
        <f t="shared" ca="1" si="257"/>
        <v>167.86956521739131</v>
      </c>
      <c r="L580" s="10">
        <f ca="1">AH580*VLOOKUP(C580,技能辅助查询表,技能配置辅助表!$T$1,FALSE)</f>
        <v>0</v>
      </c>
      <c r="M580">
        <f t="shared" ca="1" si="258"/>
        <v>6640</v>
      </c>
      <c r="N580" s="33">
        <f ca="1">CHOOSE(1,W580*U580,X580*'[1]0、经济设定'!$C$18)</f>
        <v>5742</v>
      </c>
      <c r="O580">
        <f t="shared" si="259"/>
        <v>2</v>
      </c>
      <c r="P580">
        <f t="shared" si="260"/>
        <v>1</v>
      </c>
      <c r="Q580">
        <f t="shared" si="261"/>
        <v>1</v>
      </c>
      <c r="R580" s="2">
        <f t="shared" si="262"/>
        <v>4</v>
      </c>
      <c r="S580" s="2">
        <f t="shared" si="263"/>
        <v>50</v>
      </c>
      <c r="T580" s="2">
        <f t="shared" si="264"/>
        <v>143.47826086956522</v>
      </c>
      <c r="U580" s="2">
        <f ca="1">VLOOKUP(E580,金币生产率!$A$2:$B$120,2,0)</f>
        <v>522</v>
      </c>
      <c r="V580" s="2">
        <f t="shared" si="265"/>
        <v>143.47826086956522</v>
      </c>
      <c r="W580" s="45">
        <f t="shared" ref="W580:W643" ca="1" si="278">ROUND((IF(I580=0,0,ROUND(OFFSET(AD580,S580-I580+510*(1-D580),0)*(1-$AN$13)/(1-$AN$13^S580)*$AN$13^(I580-1),0))+IF(I580=0,0,ROUND(OFFSET(AD580,S580-I580+510*(2-D580),0)*(1-$AN$13)/(1-$AN$13^S580)*$AN$13^(I580-1),0))+IF(I580=0,0,ROUND(OFFSET(AD580,S580-I580+510*(3-D580),0)*(1-$AN$13)/(1-$AN$13^S580)*$AN$13^(I580-1),0)))/3,0)</f>
        <v>11</v>
      </c>
      <c r="X580" s="48">
        <f t="shared" ref="X580:X643" ca="1" si="279">IF(I580=0,0,X579+W580)</f>
        <v>114</v>
      </c>
      <c r="Y580">
        <f t="shared" si="266"/>
        <v>18</v>
      </c>
      <c r="Z580">
        <f t="shared" ca="1" si="273"/>
        <v>0</v>
      </c>
      <c r="AA580" t="str">
        <f t="shared" ca="1" si="274"/>
        <v>9222100.png</v>
      </c>
      <c r="AB580">
        <f t="shared" si="267"/>
        <v>20</v>
      </c>
      <c r="AC580">
        <f>VLOOKUP(C580,技能辅助查询表,技能配置辅助表!$W$1,FALSE)</f>
        <v>24</v>
      </c>
      <c r="AD580">
        <f t="shared" ca="1" si="275"/>
        <v>14.272720794067023</v>
      </c>
      <c r="AE580">
        <f>VLOOKUP(C580,技能辅助查询表,技能配置辅助表!$U$1,FALSE)</f>
        <v>4</v>
      </c>
      <c r="AF580">
        <f t="shared" ca="1" si="276"/>
        <v>9222117</v>
      </c>
      <c r="AG580">
        <f t="shared" ca="1" si="252"/>
        <v>28.816326530612244</v>
      </c>
      <c r="AH580">
        <f t="shared" ca="1" si="277"/>
        <v>105.14816728492683</v>
      </c>
      <c r="AI580">
        <f ca="1">VLOOKUP(E580,伤害参考系!$C$4:$E$104,3,FALSE)*$AN$12</f>
        <v>1576.1465593645489</v>
      </c>
      <c r="AJ580">
        <f>VLOOKUP(C580,技能辅助查询表,技能配置辅助表!$L$1,FALSE)</f>
        <v>1</v>
      </c>
      <c r="AK580">
        <f>VLOOKUP(C580,技能辅助查询表,技能配置辅助表!$AE$1,FALSE)</f>
        <v>66000305</v>
      </c>
    </row>
    <row r="581" spans="1:37" x14ac:dyDescent="0.15">
      <c r="A581" s="1">
        <f t="shared" ca="1" si="268"/>
        <v>9222118</v>
      </c>
      <c r="B581" s="1" t="str">
        <f t="shared" ca="1" si="253"/>
        <v>龙拳第1段</v>
      </c>
      <c r="C581" t="s">
        <v>162</v>
      </c>
      <c r="D581">
        <f t="shared" si="254"/>
        <v>2</v>
      </c>
      <c r="E581" s="42">
        <f t="shared" ca="1" si="269"/>
        <v>31</v>
      </c>
      <c r="F581" t="str">
        <f t="shared" ca="1" si="270"/>
        <v>第18级，共造成169.3%点伤害</v>
      </c>
      <c r="G581">
        <f t="shared" ca="1" si="271"/>
        <v>1</v>
      </c>
      <c r="H581">
        <f t="shared" si="255"/>
        <v>1</v>
      </c>
      <c r="I581" s="44">
        <f t="shared" ca="1" si="272"/>
        <v>18</v>
      </c>
      <c r="J581">
        <f t="shared" si="256"/>
        <v>2</v>
      </c>
      <c r="K581" s="36">
        <f t="shared" ca="1" si="257"/>
        <v>169.30434782608697</v>
      </c>
      <c r="L581" s="10">
        <f ca="1">AH581*VLOOKUP(C581,技能辅助查询表,技能配置辅助表!$T$1,FALSE)</f>
        <v>0</v>
      </c>
      <c r="M581">
        <f t="shared" ca="1" si="258"/>
        <v>6560</v>
      </c>
      <c r="N581" s="33">
        <f ca="1">CHOOSE(1,W581*U581,X581*'[1]0、经济设定'!$C$18)</f>
        <v>6756</v>
      </c>
      <c r="O581">
        <f t="shared" si="259"/>
        <v>2</v>
      </c>
      <c r="P581">
        <f t="shared" si="260"/>
        <v>1</v>
      </c>
      <c r="Q581">
        <f t="shared" si="261"/>
        <v>1</v>
      </c>
      <c r="R581" s="2">
        <f t="shared" si="262"/>
        <v>4</v>
      </c>
      <c r="S581" s="2">
        <f t="shared" si="263"/>
        <v>50</v>
      </c>
      <c r="T581" s="2">
        <f t="shared" si="264"/>
        <v>143.47826086956522</v>
      </c>
      <c r="U581" s="2">
        <f ca="1">VLOOKUP(E581,金币生产率!$A$2:$B$120,2,0)</f>
        <v>563</v>
      </c>
      <c r="V581" s="2">
        <f t="shared" si="265"/>
        <v>143.47826086956522</v>
      </c>
      <c r="W581" s="45">
        <f t="shared" ca="1" si="278"/>
        <v>12</v>
      </c>
      <c r="X581" s="48">
        <f t="shared" ca="1" si="279"/>
        <v>126</v>
      </c>
      <c r="Y581">
        <f t="shared" si="266"/>
        <v>18</v>
      </c>
      <c r="Z581">
        <f t="shared" ca="1" si="273"/>
        <v>5</v>
      </c>
      <c r="AA581" t="str">
        <f t="shared" ca="1" si="274"/>
        <v>9222100.png</v>
      </c>
      <c r="AB581">
        <f t="shared" si="267"/>
        <v>20</v>
      </c>
      <c r="AC581">
        <f>VLOOKUP(C581,技能辅助查询表,技能配置辅助表!$W$1,FALSE)</f>
        <v>24</v>
      </c>
      <c r="AD581">
        <f t="shared" ca="1" si="275"/>
        <v>16.592819100533298</v>
      </c>
      <c r="AE581">
        <f>VLOOKUP(C581,技能辅助查询表,技能配置辅助表!$U$1,FALSE)</f>
        <v>4</v>
      </c>
      <c r="AF581">
        <f t="shared" ca="1" si="276"/>
        <v>9222118</v>
      </c>
      <c r="AG581">
        <f t="shared" ref="AG581:AG644" ca="1" si="280">IF(I581=1,R581,IF(I581=0,0,(I581-1)*(80-R581)/(S581-1)+R581))</f>
        <v>30.367346938775512</v>
      </c>
      <c r="AH581">
        <f t="shared" ca="1" si="277"/>
        <v>119.70979903145096</v>
      </c>
      <c r="AI581">
        <f ca="1">VLOOKUP(E581,伤害参考系!$C$4:$E$104,3,FALSE)*$AN$12</f>
        <v>1721.3320384615388</v>
      </c>
      <c r="AJ581">
        <f>VLOOKUP(C581,技能辅助查询表,技能配置辅助表!$L$1,FALSE)</f>
        <v>1</v>
      </c>
      <c r="AK581">
        <f>VLOOKUP(C581,技能辅助查询表,技能配置辅助表!$AE$1,FALSE)</f>
        <v>66000305</v>
      </c>
    </row>
    <row r="582" spans="1:37" x14ac:dyDescent="0.15">
      <c r="A582" s="1">
        <f t="shared" ca="1" si="268"/>
        <v>9222119</v>
      </c>
      <c r="B582" s="1" t="str">
        <f t="shared" ca="1" si="253"/>
        <v>龙拳第1段</v>
      </c>
      <c r="C582" t="s">
        <v>162</v>
      </c>
      <c r="D582">
        <f t="shared" si="254"/>
        <v>2</v>
      </c>
      <c r="E582" s="42">
        <f t="shared" ca="1" si="269"/>
        <v>33</v>
      </c>
      <c r="F582" t="str">
        <f t="shared" ca="1" si="270"/>
        <v>第19级，共造成170.7%点伤害</v>
      </c>
      <c r="G582">
        <f t="shared" ca="1" si="271"/>
        <v>1</v>
      </c>
      <c r="H582">
        <f t="shared" si="255"/>
        <v>1</v>
      </c>
      <c r="I582" s="44">
        <f t="shared" ca="1" si="272"/>
        <v>19</v>
      </c>
      <c r="J582">
        <f t="shared" si="256"/>
        <v>2</v>
      </c>
      <c r="K582" s="36">
        <f t="shared" ca="1" si="257"/>
        <v>170.73913043478262</v>
      </c>
      <c r="L582" s="10">
        <f ca="1">AH582*VLOOKUP(C582,技能辅助查询表,技能配置辅助表!$T$1,FALSE)</f>
        <v>0</v>
      </c>
      <c r="M582">
        <f t="shared" ca="1" si="258"/>
        <v>6480</v>
      </c>
      <c r="N582" s="33">
        <f ca="1">CHOOSE(1,W582*U582,X582*'[1]0、经济设定'!$C$18)</f>
        <v>8463</v>
      </c>
      <c r="O582">
        <f t="shared" si="259"/>
        <v>2</v>
      </c>
      <c r="P582">
        <f t="shared" si="260"/>
        <v>1</v>
      </c>
      <c r="Q582">
        <f t="shared" si="261"/>
        <v>1</v>
      </c>
      <c r="R582" s="2">
        <f t="shared" si="262"/>
        <v>4</v>
      </c>
      <c r="S582" s="2">
        <f t="shared" si="263"/>
        <v>50</v>
      </c>
      <c r="T582" s="2">
        <f t="shared" si="264"/>
        <v>143.47826086956522</v>
      </c>
      <c r="U582" s="2">
        <f ca="1">VLOOKUP(E582,金币生产率!$A$2:$B$120,2,0)</f>
        <v>651</v>
      </c>
      <c r="V582" s="2">
        <f t="shared" si="265"/>
        <v>143.47826086956522</v>
      </c>
      <c r="W582" s="45">
        <f t="shared" ca="1" si="278"/>
        <v>13</v>
      </c>
      <c r="X582" s="48">
        <f t="shared" ca="1" si="279"/>
        <v>139</v>
      </c>
      <c r="Y582">
        <f t="shared" si="266"/>
        <v>18</v>
      </c>
      <c r="Z582">
        <f t="shared" ca="1" si="273"/>
        <v>6</v>
      </c>
      <c r="AA582" t="str">
        <f t="shared" ca="1" si="274"/>
        <v>9222100.png</v>
      </c>
      <c r="AB582">
        <f t="shared" si="267"/>
        <v>20</v>
      </c>
      <c r="AC582">
        <f>VLOOKUP(C582,技能辅助查询表,技能配置辅助表!$W$1,FALSE)</f>
        <v>24</v>
      </c>
      <c r="AD582">
        <f t="shared" ca="1" si="275"/>
        <v>19.281792663550021</v>
      </c>
      <c r="AE582">
        <f>VLOOKUP(C582,技能辅助查询表,技能配置辅助表!$U$1,FALSE)</f>
        <v>4</v>
      </c>
      <c r="AF582">
        <f t="shared" ca="1" si="276"/>
        <v>9222119</v>
      </c>
      <c r="AG582">
        <f t="shared" ca="1" si="280"/>
        <v>31.918367346938776</v>
      </c>
      <c r="AH582">
        <f t="shared" ca="1" si="277"/>
        <v>136.28802435822078</v>
      </c>
      <c r="AI582">
        <f ca="1">VLOOKUP(E582,伤害参考系!$C$4:$E$104,3,FALSE)*$AN$12</f>
        <v>2031.7137667224088</v>
      </c>
      <c r="AJ582">
        <f>VLOOKUP(C582,技能辅助查询表,技能配置辅助表!$L$1,FALSE)</f>
        <v>1</v>
      </c>
      <c r="AK582">
        <f>VLOOKUP(C582,技能辅助查询表,技能配置辅助表!$AE$1,FALSE)</f>
        <v>66000305</v>
      </c>
    </row>
    <row r="583" spans="1:37" x14ac:dyDescent="0.15">
      <c r="A583" s="1">
        <f t="shared" ca="1" si="268"/>
        <v>9222120</v>
      </c>
      <c r="B583" s="1" t="str">
        <f t="shared" ca="1" si="253"/>
        <v>龙拳第1段</v>
      </c>
      <c r="C583" t="s">
        <v>162</v>
      </c>
      <c r="D583">
        <f t="shared" si="254"/>
        <v>2</v>
      </c>
      <c r="E583" s="42">
        <f t="shared" ca="1" si="269"/>
        <v>34</v>
      </c>
      <c r="F583" t="str">
        <f t="shared" ca="1" si="270"/>
        <v>第20级，共造成172.2%点伤害</v>
      </c>
      <c r="G583">
        <f t="shared" ca="1" si="271"/>
        <v>1</v>
      </c>
      <c r="H583">
        <f t="shared" si="255"/>
        <v>1</v>
      </c>
      <c r="I583" s="44">
        <f t="shared" ca="1" si="272"/>
        <v>20</v>
      </c>
      <c r="J583">
        <f t="shared" si="256"/>
        <v>2</v>
      </c>
      <c r="K583" s="36">
        <f t="shared" ca="1" si="257"/>
        <v>172.17391304347825</v>
      </c>
      <c r="L583" s="10">
        <f ca="1">AH583*VLOOKUP(C583,技能辅助查询表,技能配置辅助表!$T$1,FALSE)</f>
        <v>0</v>
      </c>
      <c r="M583">
        <f t="shared" ca="1" si="258"/>
        <v>6400</v>
      </c>
      <c r="N583" s="33">
        <f ca="1">CHOOSE(1,W583*U583,X583*'[1]0、经济设定'!$C$18)</f>
        <v>9048</v>
      </c>
      <c r="O583">
        <f t="shared" si="259"/>
        <v>2</v>
      </c>
      <c r="P583">
        <f t="shared" si="260"/>
        <v>1</v>
      </c>
      <c r="Q583">
        <f t="shared" si="261"/>
        <v>1</v>
      </c>
      <c r="R583" s="2">
        <f t="shared" si="262"/>
        <v>4</v>
      </c>
      <c r="S583" s="2">
        <f t="shared" si="263"/>
        <v>50</v>
      </c>
      <c r="T583" s="2">
        <f t="shared" si="264"/>
        <v>143.47826086956522</v>
      </c>
      <c r="U583" s="2">
        <f ca="1">VLOOKUP(E583,金币生产率!$A$2:$B$120,2,0)</f>
        <v>696</v>
      </c>
      <c r="V583" s="2">
        <f t="shared" si="265"/>
        <v>143.47826086956522</v>
      </c>
      <c r="W583" s="45">
        <f t="shared" ca="1" si="278"/>
        <v>13</v>
      </c>
      <c r="X583" s="48">
        <f t="shared" ca="1" si="279"/>
        <v>152</v>
      </c>
      <c r="Y583">
        <f t="shared" si="266"/>
        <v>18</v>
      </c>
      <c r="Z583">
        <f t="shared" ca="1" si="273"/>
        <v>6</v>
      </c>
      <c r="AA583" t="str">
        <f t="shared" ca="1" si="274"/>
        <v>9222100.png</v>
      </c>
      <c r="AB583">
        <f t="shared" si="267"/>
        <v>20</v>
      </c>
      <c r="AC583">
        <f>VLOOKUP(C583,技能辅助查询表,技能配置辅助表!$W$1,FALSE)</f>
        <v>24</v>
      </c>
      <c r="AD583">
        <f t="shared" ca="1" si="275"/>
        <v>22.397313966611801</v>
      </c>
      <c r="AE583">
        <f>VLOOKUP(C583,技能辅助查询表,技能配置辅助表!$U$1,FALSE)</f>
        <v>4</v>
      </c>
      <c r="AF583">
        <f t="shared" ca="1" si="276"/>
        <v>9222120</v>
      </c>
      <c r="AG583">
        <f t="shared" ca="1" si="280"/>
        <v>33.469387755102041</v>
      </c>
      <c r="AH583">
        <f t="shared" ca="1" si="277"/>
        <v>155.16211482893718</v>
      </c>
      <c r="AI583">
        <f ca="1">VLOOKUP(E583,伤害参考系!$C$4:$E$104,3,FALSE)*$AN$12</f>
        <v>2196.2761028428095</v>
      </c>
      <c r="AJ583">
        <f>VLOOKUP(C583,技能辅助查询表,技能配置辅助表!$L$1,FALSE)</f>
        <v>1</v>
      </c>
      <c r="AK583">
        <f>VLOOKUP(C583,技能辅助查询表,技能配置辅助表!$AE$1,FALSE)</f>
        <v>66000305</v>
      </c>
    </row>
    <row r="584" spans="1:37" x14ac:dyDescent="0.15">
      <c r="A584" s="1">
        <f t="shared" ca="1" si="268"/>
        <v>9222121</v>
      </c>
      <c r="B584" s="1" t="str">
        <f t="shared" ca="1" si="253"/>
        <v>龙拳第1段</v>
      </c>
      <c r="C584" t="s">
        <v>162</v>
      </c>
      <c r="D584">
        <f t="shared" si="254"/>
        <v>2</v>
      </c>
      <c r="E584" s="42">
        <f t="shared" ca="1" si="269"/>
        <v>36</v>
      </c>
      <c r="F584" t="str">
        <f t="shared" ca="1" si="270"/>
        <v>第21级，共造成173.6%点伤害</v>
      </c>
      <c r="G584">
        <f t="shared" ca="1" si="271"/>
        <v>1</v>
      </c>
      <c r="H584">
        <f t="shared" si="255"/>
        <v>1</v>
      </c>
      <c r="I584" s="44">
        <f t="shared" ca="1" si="272"/>
        <v>21</v>
      </c>
      <c r="J584">
        <f t="shared" si="256"/>
        <v>2</v>
      </c>
      <c r="K584" s="36">
        <f t="shared" ca="1" si="257"/>
        <v>173.60869565217391</v>
      </c>
      <c r="L584" s="10">
        <f ca="1">AH584*VLOOKUP(C584,技能辅助查询表,技能配置辅助表!$T$1,FALSE)</f>
        <v>0</v>
      </c>
      <c r="M584">
        <f t="shared" ca="1" si="258"/>
        <v>6320</v>
      </c>
      <c r="N584" s="33">
        <f ca="1">CHOOSE(1,W584*U584,X584*'[1]0、经济设定'!$C$18)</f>
        <v>11074</v>
      </c>
      <c r="O584">
        <f t="shared" si="259"/>
        <v>2</v>
      </c>
      <c r="P584">
        <f t="shared" si="260"/>
        <v>1</v>
      </c>
      <c r="Q584">
        <f t="shared" si="261"/>
        <v>1</v>
      </c>
      <c r="R584" s="2">
        <f t="shared" si="262"/>
        <v>4</v>
      </c>
      <c r="S584" s="2">
        <f t="shared" si="263"/>
        <v>50</v>
      </c>
      <c r="T584" s="2">
        <f t="shared" si="264"/>
        <v>143.47826086956522</v>
      </c>
      <c r="U584" s="2">
        <f ca="1">VLOOKUP(E584,金币生产率!$A$2:$B$120,2,0)</f>
        <v>791</v>
      </c>
      <c r="V584" s="2">
        <f t="shared" si="265"/>
        <v>143.47826086956522</v>
      </c>
      <c r="W584" s="45">
        <f t="shared" ca="1" si="278"/>
        <v>14</v>
      </c>
      <c r="X584" s="48">
        <f t="shared" ca="1" si="279"/>
        <v>166</v>
      </c>
      <c r="Y584">
        <f t="shared" si="266"/>
        <v>18</v>
      </c>
      <c r="Z584">
        <f t="shared" ca="1" si="273"/>
        <v>6</v>
      </c>
      <c r="AA584" t="str">
        <f t="shared" ca="1" si="274"/>
        <v>9222100.png</v>
      </c>
      <c r="AB584">
        <f t="shared" si="267"/>
        <v>20</v>
      </c>
      <c r="AC584">
        <f>VLOOKUP(C584,技能辅助查询表,技能配置辅助表!$W$1,FALSE)</f>
        <v>24</v>
      </c>
      <c r="AD584">
        <f t="shared" ca="1" si="275"/>
        <v>26.005954739705096</v>
      </c>
      <c r="AE584">
        <f>VLOOKUP(C584,技能辅助查询表,技能配置辅助表!$U$1,FALSE)</f>
        <v>4</v>
      </c>
      <c r="AF584">
        <f t="shared" ca="1" si="276"/>
        <v>9222121</v>
      </c>
      <c r="AG584">
        <f t="shared" ca="1" si="280"/>
        <v>35.020408163265301</v>
      </c>
      <c r="AH584">
        <f t="shared" ca="1" si="277"/>
        <v>176.65001742859343</v>
      </c>
      <c r="AI584">
        <f ca="1">VLOOKUP(E584,伤害参考系!$C$4:$E$104,3,FALSE)*$AN$12</f>
        <v>2544.1437190635456</v>
      </c>
      <c r="AJ584">
        <f>VLOOKUP(C584,技能辅助查询表,技能配置辅助表!$L$1,FALSE)</f>
        <v>1</v>
      </c>
      <c r="AK584">
        <f>VLOOKUP(C584,技能辅助查询表,技能配置辅助表!$AE$1,FALSE)</f>
        <v>66000305</v>
      </c>
    </row>
    <row r="585" spans="1:37" x14ac:dyDescent="0.15">
      <c r="A585" s="1">
        <f t="shared" ca="1" si="268"/>
        <v>9222122</v>
      </c>
      <c r="B585" s="1" t="str">
        <f t="shared" ca="1" si="253"/>
        <v>龙拳第1段</v>
      </c>
      <c r="C585" t="s">
        <v>162</v>
      </c>
      <c r="D585">
        <f t="shared" si="254"/>
        <v>2</v>
      </c>
      <c r="E585" s="42">
        <f t="shared" ca="1" si="269"/>
        <v>37</v>
      </c>
      <c r="F585" t="str">
        <f t="shared" ca="1" si="270"/>
        <v>第22级，共造成175%点伤害</v>
      </c>
      <c r="G585">
        <f t="shared" ca="1" si="271"/>
        <v>1</v>
      </c>
      <c r="H585">
        <f t="shared" si="255"/>
        <v>1</v>
      </c>
      <c r="I585" s="44">
        <f t="shared" ca="1" si="272"/>
        <v>22</v>
      </c>
      <c r="J585">
        <f t="shared" si="256"/>
        <v>2</v>
      </c>
      <c r="K585" s="36">
        <f t="shared" ca="1" si="257"/>
        <v>175.04347826086956</v>
      </c>
      <c r="L585" s="10">
        <f ca="1">AH585*VLOOKUP(C585,技能辅助查询表,技能配置辅助表!$T$1,FALSE)</f>
        <v>0</v>
      </c>
      <c r="M585">
        <f t="shared" ca="1" si="258"/>
        <v>6240</v>
      </c>
      <c r="N585" s="33">
        <f ca="1">CHOOSE(1,W585*U585,X585*'[1]0、经济设定'!$C$18)</f>
        <v>12615</v>
      </c>
      <c r="O585">
        <f t="shared" si="259"/>
        <v>2</v>
      </c>
      <c r="P585">
        <f t="shared" si="260"/>
        <v>1</v>
      </c>
      <c r="Q585">
        <f t="shared" si="261"/>
        <v>1</v>
      </c>
      <c r="R585" s="2">
        <f t="shared" si="262"/>
        <v>4</v>
      </c>
      <c r="S585" s="2">
        <f t="shared" si="263"/>
        <v>50</v>
      </c>
      <c r="T585" s="2">
        <f t="shared" si="264"/>
        <v>143.47826086956522</v>
      </c>
      <c r="U585" s="2">
        <f ca="1">VLOOKUP(E585,金币生产率!$A$2:$B$120,2,0)</f>
        <v>841</v>
      </c>
      <c r="V585" s="2">
        <f t="shared" si="265"/>
        <v>143.47826086956522</v>
      </c>
      <c r="W585" s="45">
        <f t="shared" ca="1" si="278"/>
        <v>15</v>
      </c>
      <c r="X585" s="48">
        <f t="shared" ca="1" si="279"/>
        <v>181</v>
      </c>
      <c r="Y585">
        <f t="shared" si="266"/>
        <v>18</v>
      </c>
      <c r="Z585">
        <f t="shared" ca="1" si="273"/>
        <v>6</v>
      </c>
      <c r="AA585" t="str">
        <f t="shared" ca="1" si="274"/>
        <v>9222100.png</v>
      </c>
      <c r="AB585">
        <f t="shared" si="267"/>
        <v>20</v>
      </c>
      <c r="AC585">
        <f>VLOOKUP(C585,技能辅助查询表,技能配置辅助表!$W$1,FALSE)</f>
        <v>24</v>
      </c>
      <c r="AD585">
        <f t="shared" ca="1" si="275"/>
        <v>30.18454473848815</v>
      </c>
      <c r="AE585">
        <f>VLOOKUP(C585,技能辅助查询表,技能配置辅助表!$U$1,FALSE)</f>
        <v>4</v>
      </c>
      <c r="AF585">
        <f t="shared" ca="1" si="276"/>
        <v>9222122</v>
      </c>
      <c r="AG585">
        <f t="shared" ca="1" si="280"/>
        <v>36.571428571428569</v>
      </c>
      <c r="AH585">
        <f t="shared" ca="1" si="277"/>
        <v>201.11371059826985</v>
      </c>
      <c r="AI585">
        <f ca="1">VLOOKUP(E585,伤害参考系!$C$4:$E$104,3,FALSE)*$AN$12</f>
        <v>2727.4489991638798</v>
      </c>
      <c r="AJ585">
        <f>VLOOKUP(C585,技能辅助查询表,技能配置辅助表!$L$1,FALSE)</f>
        <v>1</v>
      </c>
      <c r="AK585">
        <f>VLOOKUP(C585,技能辅助查询表,技能配置辅助表!$AE$1,FALSE)</f>
        <v>66000305</v>
      </c>
    </row>
    <row r="586" spans="1:37" x14ac:dyDescent="0.15">
      <c r="A586" s="1">
        <f t="shared" ca="1" si="268"/>
        <v>9222123</v>
      </c>
      <c r="B586" s="1" t="str">
        <f t="shared" ca="1" si="253"/>
        <v>龙拳第1段</v>
      </c>
      <c r="C586" t="s">
        <v>162</v>
      </c>
      <c r="D586">
        <f t="shared" si="254"/>
        <v>2</v>
      </c>
      <c r="E586" s="42">
        <f t="shared" ca="1" si="269"/>
        <v>39</v>
      </c>
      <c r="F586" t="str">
        <f t="shared" ca="1" si="270"/>
        <v>第23级，共造成176.5%点伤害</v>
      </c>
      <c r="G586">
        <f t="shared" ca="1" si="271"/>
        <v>1</v>
      </c>
      <c r="H586">
        <f t="shared" si="255"/>
        <v>1</v>
      </c>
      <c r="I586" s="44">
        <f t="shared" ca="1" si="272"/>
        <v>23</v>
      </c>
      <c r="J586">
        <f t="shared" si="256"/>
        <v>2</v>
      </c>
      <c r="K586" s="36">
        <f t="shared" ca="1" si="257"/>
        <v>176.47826086956522</v>
      </c>
      <c r="L586" s="10">
        <f ca="1">AH586*VLOOKUP(C586,技能辅助查询表,技能配置辅助表!$T$1,FALSE)</f>
        <v>0</v>
      </c>
      <c r="M586">
        <f t="shared" ca="1" si="258"/>
        <v>6160</v>
      </c>
      <c r="N586" s="33">
        <f ca="1">CHOOSE(1,W586*U586,X586*'[1]0、经济设定'!$C$18)</f>
        <v>15104</v>
      </c>
      <c r="O586">
        <f t="shared" si="259"/>
        <v>2</v>
      </c>
      <c r="P586">
        <f t="shared" si="260"/>
        <v>1</v>
      </c>
      <c r="Q586">
        <f t="shared" si="261"/>
        <v>1</v>
      </c>
      <c r="R586" s="2">
        <f t="shared" si="262"/>
        <v>4</v>
      </c>
      <c r="S586" s="2">
        <f t="shared" si="263"/>
        <v>50</v>
      </c>
      <c r="T586" s="2">
        <f t="shared" si="264"/>
        <v>143.47826086956522</v>
      </c>
      <c r="U586" s="2">
        <f ca="1">VLOOKUP(E586,金币生产率!$A$2:$B$120,2,0)</f>
        <v>944</v>
      </c>
      <c r="V586" s="2">
        <f t="shared" si="265"/>
        <v>143.47826086956522</v>
      </c>
      <c r="W586" s="45">
        <f t="shared" ca="1" si="278"/>
        <v>16</v>
      </c>
      <c r="X586" s="48">
        <f t="shared" ca="1" si="279"/>
        <v>197</v>
      </c>
      <c r="Y586">
        <f t="shared" si="266"/>
        <v>18</v>
      </c>
      <c r="Z586">
        <f t="shared" ca="1" si="273"/>
        <v>7</v>
      </c>
      <c r="AA586" t="str">
        <f t="shared" ca="1" si="274"/>
        <v>9222100.png</v>
      </c>
      <c r="AB586">
        <f t="shared" si="267"/>
        <v>20</v>
      </c>
      <c r="AC586">
        <f>VLOOKUP(C586,技能辅助查询表,技能配置辅助表!$W$1,FALSE)</f>
        <v>24</v>
      </c>
      <c r="AD586">
        <f t="shared" ca="1" si="275"/>
        <v>35.021736194394776</v>
      </c>
      <c r="AE586">
        <f>VLOOKUP(C586,技能辅助查询表,技能配置辅助表!$U$1,FALSE)</f>
        <v>4</v>
      </c>
      <c r="AF586">
        <f t="shared" ca="1" si="276"/>
        <v>9222123</v>
      </c>
      <c r="AG586">
        <f t="shared" ca="1" si="280"/>
        <v>38.122448979591837</v>
      </c>
      <c r="AH586">
        <f t="shared" ca="1" si="277"/>
        <v>228.96530200997151</v>
      </c>
      <c r="AI586">
        <f ca="1">VLOOKUP(E586,伤害参考系!$C$4:$E$104,3,FALSE)*$AN$12</f>
        <v>3112.8025033444819</v>
      </c>
      <c r="AJ586">
        <f>VLOOKUP(C586,技能辅助查询表,技能配置辅助表!$L$1,FALSE)</f>
        <v>1</v>
      </c>
      <c r="AK586">
        <f>VLOOKUP(C586,技能辅助查询表,技能配置辅助表!$AE$1,FALSE)</f>
        <v>66000305</v>
      </c>
    </row>
    <row r="587" spans="1:37" x14ac:dyDescent="0.15">
      <c r="A587" s="1">
        <f t="shared" ca="1" si="268"/>
        <v>9222124</v>
      </c>
      <c r="B587" s="1" t="str">
        <f t="shared" ca="1" si="253"/>
        <v>龙拳第1段</v>
      </c>
      <c r="C587" t="s">
        <v>162</v>
      </c>
      <c r="D587">
        <f t="shared" si="254"/>
        <v>2</v>
      </c>
      <c r="E587" s="42">
        <f t="shared" ca="1" si="269"/>
        <v>40</v>
      </c>
      <c r="F587" t="str">
        <f t="shared" ca="1" si="270"/>
        <v>第24级，共造成177.9%点伤害</v>
      </c>
      <c r="G587">
        <f t="shared" ca="1" si="271"/>
        <v>1</v>
      </c>
      <c r="H587">
        <f t="shared" si="255"/>
        <v>1</v>
      </c>
      <c r="I587" s="44">
        <f t="shared" ca="1" si="272"/>
        <v>24</v>
      </c>
      <c r="J587">
        <f t="shared" si="256"/>
        <v>2</v>
      </c>
      <c r="K587" s="36">
        <f t="shared" ca="1" si="257"/>
        <v>177.91304347826087</v>
      </c>
      <c r="L587" s="10">
        <f ca="1">AH587*VLOOKUP(C587,技能辅助查询表,技能配置辅助表!$T$1,FALSE)</f>
        <v>0</v>
      </c>
      <c r="M587">
        <f t="shared" ca="1" si="258"/>
        <v>6080</v>
      </c>
      <c r="N587" s="33">
        <f ca="1">CHOOSE(1,W587*U587,X587*'[1]0、经济设定'!$C$18)</f>
        <v>16966</v>
      </c>
      <c r="O587">
        <f t="shared" si="259"/>
        <v>2</v>
      </c>
      <c r="P587">
        <f t="shared" si="260"/>
        <v>1</v>
      </c>
      <c r="Q587">
        <f t="shared" si="261"/>
        <v>1</v>
      </c>
      <c r="R587" s="2">
        <f t="shared" si="262"/>
        <v>4</v>
      </c>
      <c r="S587" s="2">
        <f t="shared" si="263"/>
        <v>50</v>
      </c>
      <c r="T587" s="2">
        <f t="shared" si="264"/>
        <v>143.47826086956522</v>
      </c>
      <c r="U587" s="2">
        <f ca="1">VLOOKUP(E587,金币生产率!$A$2:$B$120,2,0)</f>
        <v>998</v>
      </c>
      <c r="V587" s="2">
        <f t="shared" si="265"/>
        <v>143.47826086956522</v>
      </c>
      <c r="W587" s="45">
        <f t="shared" ca="1" si="278"/>
        <v>17</v>
      </c>
      <c r="X587" s="48">
        <f t="shared" ca="1" si="279"/>
        <v>214</v>
      </c>
      <c r="Y587">
        <f t="shared" si="266"/>
        <v>18</v>
      </c>
      <c r="Z587">
        <f t="shared" ca="1" si="273"/>
        <v>7</v>
      </c>
      <c r="AA587" t="str">
        <f t="shared" ca="1" si="274"/>
        <v>9222100.png</v>
      </c>
      <c r="AB587">
        <f t="shared" si="267"/>
        <v>20</v>
      </c>
      <c r="AC587">
        <f>VLOOKUP(C587,技能辅助查询表,技能配置辅助表!$W$1,FALSE)</f>
        <v>24</v>
      </c>
      <c r="AD587">
        <f t="shared" ca="1" si="275"/>
        <v>40.61980484160442</v>
      </c>
      <c r="AE587">
        <f>VLOOKUP(C587,技能辅助查询表,技能配置辅助表!$U$1,FALSE)</f>
        <v>4</v>
      </c>
      <c r="AF587">
        <f t="shared" ca="1" si="276"/>
        <v>9222124</v>
      </c>
      <c r="AG587">
        <f t="shared" ca="1" si="280"/>
        <v>39.673469387755105</v>
      </c>
      <c r="AH587">
        <f t="shared" ca="1" si="277"/>
        <v>260.67397080270689</v>
      </c>
      <c r="AI587">
        <f ca="1">VLOOKUP(E587,伤害参考系!$C$4:$E$104,3,FALSE)*$AN$12</f>
        <v>3344.7142474916404</v>
      </c>
      <c r="AJ587">
        <f>VLOOKUP(C587,技能辅助查询表,技能配置辅助表!$L$1,FALSE)</f>
        <v>1</v>
      </c>
      <c r="AK587">
        <f>VLOOKUP(C587,技能辅助查询表,技能配置辅助表!$AE$1,FALSE)</f>
        <v>66000305</v>
      </c>
    </row>
    <row r="588" spans="1:37" x14ac:dyDescent="0.15">
      <c r="A588" s="1">
        <f t="shared" ca="1" si="268"/>
        <v>9222125</v>
      </c>
      <c r="B588" s="1" t="str">
        <f t="shared" ca="1" si="253"/>
        <v>龙拳第1段</v>
      </c>
      <c r="C588" t="s">
        <v>162</v>
      </c>
      <c r="D588">
        <f t="shared" si="254"/>
        <v>2</v>
      </c>
      <c r="E588" s="42">
        <f t="shared" ca="1" si="269"/>
        <v>42</v>
      </c>
      <c r="F588" t="str">
        <f t="shared" ca="1" si="270"/>
        <v>第25级，共造成179.3%点伤害</v>
      </c>
      <c r="G588">
        <f t="shared" ca="1" si="271"/>
        <v>1</v>
      </c>
      <c r="H588">
        <f t="shared" si="255"/>
        <v>1</v>
      </c>
      <c r="I588" s="44">
        <f t="shared" ca="1" si="272"/>
        <v>25</v>
      </c>
      <c r="J588">
        <f t="shared" si="256"/>
        <v>2</v>
      </c>
      <c r="K588" s="36">
        <f t="shared" ca="1" si="257"/>
        <v>179.34782608695653</v>
      </c>
      <c r="L588" s="10">
        <f ca="1">AH588*VLOOKUP(C588,技能辅助查询表,技能配置辅助表!$T$1,FALSE)</f>
        <v>0</v>
      </c>
      <c r="M588">
        <f t="shared" ca="1" si="258"/>
        <v>6000</v>
      </c>
      <c r="N588" s="33">
        <f ca="1">CHOOSE(1,W588*U588,X588*'[1]0、经济设定'!$C$18)</f>
        <v>21090</v>
      </c>
      <c r="O588">
        <f t="shared" si="259"/>
        <v>2</v>
      </c>
      <c r="P588">
        <f t="shared" si="260"/>
        <v>1</v>
      </c>
      <c r="Q588">
        <f t="shared" si="261"/>
        <v>1</v>
      </c>
      <c r="R588" s="2">
        <f t="shared" si="262"/>
        <v>4</v>
      </c>
      <c r="S588" s="2">
        <f t="shared" si="263"/>
        <v>50</v>
      </c>
      <c r="T588" s="2">
        <f t="shared" si="264"/>
        <v>143.47826086956522</v>
      </c>
      <c r="U588" s="2">
        <f ca="1">VLOOKUP(E588,金币生产率!$A$2:$B$120,2,0)</f>
        <v>1110</v>
      </c>
      <c r="V588" s="2">
        <f t="shared" si="265"/>
        <v>143.47826086956522</v>
      </c>
      <c r="W588" s="45">
        <f t="shared" ca="1" si="278"/>
        <v>19</v>
      </c>
      <c r="X588" s="48">
        <f t="shared" ca="1" si="279"/>
        <v>233</v>
      </c>
      <c r="Y588">
        <f t="shared" si="266"/>
        <v>18</v>
      </c>
      <c r="Z588">
        <f t="shared" ca="1" si="273"/>
        <v>8</v>
      </c>
      <c r="AA588" t="str">
        <f t="shared" ca="1" si="274"/>
        <v>9222100.png</v>
      </c>
      <c r="AB588">
        <f t="shared" si="267"/>
        <v>20</v>
      </c>
      <c r="AC588">
        <f>VLOOKUP(C588,技能辅助查询表,技能配置辅助表!$W$1,FALSE)</f>
        <v>24</v>
      </c>
      <c r="AD588">
        <f t="shared" ca="1" si="275"/>
        <v>47.096723042470856</v>
      </c>
      <c r="AE588">
        <f>VLOOKUP(C588,技能辅助查询表,技能配置辅助表!$U$1,FALSE)</f>
        <v>4</v>
      </c>
      <c r="AF588">
        <f t="shared" ca="1" si="276"/>
        <v>9222125</v>
      </c>
      <c r="AG588">
        <f t="shared" ca="1" si="280"/>
        <v>41.224489795918366</v>
      </c>
      <c r="AH588">
        <f t="shared" ca="1" si="277"/>
        <v>296.77387122652874</v>
      </c>
      <c r="AI588">
        <f ca="1">VLOOKUP(E588,伤害参考系!$C$4:$E$104,3,FALSE)*$AN$12</f>
        <v>3833.528327759198</v>
      </c>
      <c r="AJ588">
        <f>VLOOKUP(C588,技能辅助查询表,技能配置辅助表!$L$1,FALSE)</f>
        <v>1</v>
      </c>
      <c r="AK588">
        <f>VLOOKUP(C588,技能辅助查询表,技能配置辅助表!$AE$1,FALSE)</f>
        <v>66000305</v>
      </c>
    </row>
    <row r="589" spans="1:37" x14ac:dyDescent="0.15">
      <c r="A589" s="1">
        <f t="shared" ca="1" si="268"/>
        <v>9222126</v>
      </c>
      <c r="B589" s="1" t="str">
        <f t="shared" ca="1" si="253"/>
        <v>龙拳第1段</v>
      </c>
      <c r="C589" t="s">
        <v>162</v>
      </c>
      <c r="D589">
        <f t="shared" si="254"/>
        <v>2</v>
      </c>
      <c r="E589" s="42">
        <f t="shared" ca="1" si="269"/>
        <v>44</v>
      </c>
      <c r="F589" t="str">
        <f t="shared" ca="1" si="270"/>
        <v>第26级，共造成180.8%点伤害</v>
      </c>
      <c r="G589">
        <f t="shared" ca="1" si="271"/>
        <v>1</v>
      </c>
      <c r="H589">
        <f t="shared" si="255"/>
        <v>1</v>
      </c>
      <c r="I589" s="44">
        <f t="shared" ca="1" si="272"/>
        <v>26</v>
      </c>
      <c r="J589">
        <f t="shared" si="256"/>
        <v>2</v>
      </c>
      <c r="K589" s="36">
        <f t="shared" ca="1" si="257"/>
        <v>180.78260869565219</v>
      </c>
      <c r="L589" s="10">
        <f ca="1">AH589*VLOOKUP(C589,技能辅助查询表,技能配置辅助表!$T$1,FALSE)</f>
        <v>0</v>
      </c>
      <c r="M589">
        <f t="shared" ca="1" si="258"/>
        <v>5920</v>
      </c>
      <c r="N589" s="33">
        <f ca="1">CHOOSE(1,W589*U589,X589*'[1]0、经济设定'!$C$18)</f>
        <v>24520</v>
      </c>
      <c r="O589">
        <f t="shared" si="259"/>
        <v>2</v>
      </c>
      <c r="P589">
        <f t="shared" si="260"/>
        <v>1</v>
      </c>
      <c r="Q589">
        <f t="shared" si="261"/>
        <v>1</v>
      </c>
      <c r="R589" s="2">
        <f t="shared" si="262"/>
        <v>4</v>
      </c>
      <c r="S589" s="2">
        <f t="shared" si="263"/>
        <v>50</v>
      </c>
      <c r="T589" s="2">
        <f t="shared" si="264"/>
        <v>143.47826086956522</v>
      </c>
      <c r="U589" s="2">
        <f ca="1">VLOOKUP(E589,金币生产率!$A$2:$B$120,2,0)</f>
        <v>1226</v>
      </c>
      <c r="V589" s="2">
        <f t="shared" si="265"/>
        <v>143.47826086956522</v>
      </c>
      <c r="W589" s="45">
        <f t="shared" ca="1" si="278"/>
        <v>20</v>
      </c>
      <c r="X589" s="48">
        <f t="shared" ca="1" si="279"/>
        <v>253</v>
      </c>
      <c r="Y589">
        <f t="shared" si="266"/>
        <v>18</v>
      </c>
      <c r="Z589">
        <f t="shared" ca="1" si="273"/>
        <v>8</v>
      </c>
      <c r="AA589" t="str">
        <f t="shared" ca="1" si="274"/>
        <v>9222100.png</v>
      </c>
      <c r="AB589">
        <f t="shared" si="267"/>
        <v>20</v>
      </c>
      <c r="AC589">
        <f>VLOOKUP(C589,技能辅助查询表,技能配置辅助表!$W$1,FALSE)</f>
        <v>24</v>
      </c>
      <c r="AD589">
        <f t="shared" ca="1" si="275"/>
        <v>54.588545834333843</v>
      </c>
      <c r="AE589">
        <f>VLOOKUP(C589,技能辅助查询表,技能配置辅助表!$U$1,FALSE)</f>
        <v>4</v>
      </c>
      <c r="AF589">
        <f t="shared" ca="1" si="276"/>
        <v>9222126</v>
      </c>
      <c r="AG589">
        <f t="shared" ca="1" si="280"/>
        <v>42.775510204081634</v>
      </c>
      <c r="AH589">
        <f t="shared" ca="1" si="277"/>
        <v>337.87313083683472</v>
      </c>
      <c r="AI589">
        <f ca="1">VLOOKUP(E589,伤害参考系!$C$4:$E$104,3,FALSE)*$AN$12</f>
        <v>4355.6631973244148</v>
      </c>
      <c r="AJ589">
        <f>VLOOKUP(C589,技能辅助查询表,技能配置辅助表!$L$1,FALSE)</f>
        <v>1</v>
      </c>
      <c r="AK589">
        <f>VLOOKUP(C589,技能辅助查询表,技能配置辅助表!$AE$1,FALSE)</f>
        <v>66000305</v>
      </c>
    </row>
    <row r="590" spans="1:37" x14ac:dyDescent="0.15">
      <c r="A590" s="1">
        <f t="shared" ca="1" si="268"/>
        <v>9222127</v>
      </c>
      <c r="B590" s="1" t="str">
        <f t="shared" ca="1" si="253"/>
        <v>龙拳第1段</v>
      </c>
      <c r="C590" t="s">
        <v>162</v>
      </c>
      <c r="D590">
        <f t="shared" si="254"/>
        <v>2</v>
      </c>
      <c r="E590" s="42">
        <f t="shared" ca="1" si="269"/>
        <v>45</v>
      </c>
      <c r="F590" t="str">
        <f t="shared" ca="1" si="270"/>
        <v>第27级，共造成182.2%点伤害</v>
      </c>
      <c r="G590">
        <f t="shared" ca="1" si="271"/>
        <v>1</v>
      </c>
      <c r="H590">
        <f t="shared" si="255"/>
        <v>1</v>
      </c>
      <c r="I590" s="44">
        <f t="shared" ca="1" si="272"/>
        <v>27</v>
      </c>
      <c r="J590">
        <f t="shared" si="256"/>
        <v>2</v>
      </c>
      <c r="K590" s="36">
        <f t="shared" ca="1" si="257"/>
        <v>182.21739130434781</v>
      </c>
      <c r="L590" s="10">
        <f ca="1">AH590*VLOOKUP(C590,技能辅助查询表,技能配置辅助表!$T$1,FALSE)</f>
        <v>0</v>
      </c>
      <c r="M590">
        <f t="shared" ca="1" si="258"/>
        <v>5840</v>
      </c>
      <c r="N590" s="33">
        <f ca="1">CHOOSE(1,W590*U590,X590*'[1]0、经济设定'!$C$18)</f>
        <v>27027</v>
      </c>
      <c r="O590">
        <f t="shared" si="259"/>
        <v>2</v>
      </c>
      <c r="P590">
        <f t="shared" si="260"/>
        <v>1</v>
      </c>
      <c r="Q590">
        <f t="shared" si="261"/>
        <v>1</v>
      </c>
      <c r="R590" s="2">
        <f t="shared" si="262"/>
        <v>4</v>
      </c>
      <c r="S590" s="2">
        <f t="shared" si="263"/>
        <v>50</v>
      </c>
      <c r="T590" s="2">
        <f t="shared" si="264"/>
        <v>143.47826086956522</v>
      </c>
      <c r="U590" s="2">
        <f ca="1">VLOOKUP(E590,金币生产率!$A$2:$B$120,2,0)</f>
        <v>1287</v>
      </c>
      <c r="V590" s="2">
        <f t="shared" si="265"/>
        <v>143.47826086956522</v>
      </c>
      <c r="W590" s="45">
        <f t="shared" ca="1" si="278"/>
        <v>21</v>
      </c>
      <c r="X590" s="48">
        <f t="shared" ca="1" si="279"/>
        <v>274</v>
      </c>
      <c r="Y590">
        <f t="shared" si="266"/>
        <v>18</v>
      </c>
      <c r="Z590">
        <f t="shared" ca="1" si="273"/>
        <v>9</v>
      </c>
      <c r="AA590" t="str">
        <f t="shared" ca="1" si="274"/>
        <v>9222100.png</v>
      </c>
      <c r="AB590">
        <f t="shared" si="267"/>
        <v>20</v>
      </c>
      <c r="AC590">
        <f>VLOOKUP(C590,技能辅助查询表,技能配置辅助表!$W$1,FALSE)</f>
        <v>24</v>
      </c>
      <c r="AD590">
        <f t="shared" ca="1" si="275"/>
        <v>63.25215680904472</v>
      </c>
      <c r="AE590">
        <f>VLOOKUP(C590,技能辅助查询表,技能配置辅助表!$U$1,FALSE)</f>
        <v>4</v>
      </c>
      <c r="AF590">
        <f t="shared" ca="1" si="276"/>
        <v>9222127</v>
      </c>
      <c r="AG590">
        <f t="shared" ca="1" si="280"/>
        <v>44.326530612244895</v>
      </c>
      <c r="AH590">
        <f t="shared" ca="1" si="277"/>
        <v>384.66409481967975</v>
      </c>
      <c r="AI590">
        <f ca="1">VLOOKUP(E590,伤害参考系!$C$4:$E$104,3,FALSE)*$AN$12</f>
        <v>4629.2259280936469</v>
      </c>
      <c r="AJ590">
        <f>VLOOKUP(C590,技能辅助查询表,技能配置辅助表!$L$1,FALSE)</f>
        <v>1</v>
      </c>
      <c r="AK590">
        <f>VLOOKUP(C590,技能辅助查询表,技能配置辅助表!$AE$1,FALSE)</f>
        <v>66000305</v>
      </c>
    </row>
    <row r="591" spans="1:37" x14ac:dyDescent="0.15">
      <c r="A591" s="1">
        <f t="shared" ca="1" si="268"/>
        <v>9222128</v>
      </c>
      <c r="B591" s="1" t="str">
        <f t="shared" ca="1" si="253"/>
        <v>龙拳第1段</v>
      </c>
      <c r="C591" t="s">
        <v>162</v>
      </c>
      <c r="D591">
        <f t="shared" si="254"/>
        <v>2</v>
      </c>
      <c r="E591" s="42">
        <f t="shared" ca="1" si="269"/>
        <v>47</v>
      </c>
      <c r="F591" t="str">
        <f t="shared" ca="1" si="270"/>
        <v>第28级，共造成183.7%点伤害</v>
      </c>
      <c r="G591">
        <f t="shared" ca="1" si="271"/>
        <v>1</v>
      </c>
      <c r="H591">
        <f t="shared" si="255"/>
        <v>1</v>
      </c>
      <c r="I591" s="44">
        <f t="shared" ca="1" si="272"/>
        <v>28</v>
      </c>
      <c r="J591">
        <f t="shared" si="256"/>
        <v>2</v>
      </c>
      <c r="K591" s="36">
        <f t="shared" ca="1" si="257"/>
        <v>183.65217391304347</v>
      </c>
      <c r="L591" s="10">
        <f ca="1">AH591*VLOOKUP(C591,技能辅助查询表,技能配置辅助表!$T$1,FALSE)</f>
        <v>0</v>
      </c>
      <c r="M591">
        <f t="shared" ca="1" si="258"/>
        <v>5760</v>
      </c>
      <c r="N591" s="33">
        <f ca="1">CHOOSE(1,W591*U591,X591*'[1]0、经济设定'!$C$18)</f>
        <v>32476</v>
      </c>
      <c r="O591">
        <f t="shared" si="259"/>
        <v>2</v>
      </c>
      <c r="P591">
        <f t="shared" si="260"/>
        <v>1</v>
      </c>
      <c r="Q591">
        <f t="shared" si="261"/>
        <v>1</v>
      </c>
      <c r="R591" s="2">
        <f t="shared" si="262"/>
        <v>4</v>
      </c>
      <c r="S591" s="2">
        <f t="shared" si="263"/>
        <v>50</v>
      </c>
      <c r="T591" s="2">
        <f t="shared" si="264"/>
        <v>143.47826086956522</v>
      </c>
      <c r="U591" s="2">
        <f ca="1">VLOOKUP(E591,金币生产率!$A$2:$B$120,2,0)</f>
        <v>1412</v>
      </c>
      <c r="V591" s="2">
        <f t="shared" si="265"/>
        <v>143.47826086956522</v>
      </c>
      <c r="W591" s="45">
        <f t="shared" ca="1" si="278"/>
        <v>23</v>
      </c>
      <c r="X591" s="48">
        <f t="shared" ca="1" si="279"/>
        <v>297</v>
      </c>
      <c r="Y591">
        <f t="shared" si="266"/>
        <v>18</v>
      </c>
      <c r="Z591">
        <f t="shared" ca="1" si="273"/>
        <v>10</v>
      </c>
      <c r="AA591" t="str">
        <f t="shared" ca="1" si="274"/>
        <v>9222100.png</v>
      </c>
      <c r="AB591">
        <f t="shared" si="267"/>
        <v>20</v>
      </c>
      <c r="AC591">
        <f>VLOOKUP(C591,技能辅助查询表,技能配置辅助表!$W$1,FALSE)</f>
        <v>24</v>
      </c>
      <c r="AD591">
        <f t="shared" ca="1" si="275"/>
        <v>73.268427728345017</v>
      </c>
      <c r="AE591">
        <f>VLOOKUP(C591,技能辅助查询表,技能配置辅助表!$U$1,FALSE)</f>
        <v>4</v>
      </c>
      <c r="AF591">
        <f t="shared" ca="1" si="276"/>
        <v>9222128</v>
      </c>
      <c r="AG591">
        <f t="shared" ca="1" si="280"/>
        <v>45.877551020408163</v>
      </c>
      <c r="AH591">
        <f t="shared" ca="1" si="277"/>
        <v>437.93498902077317</v>
      </c>
      <c r="AI591">
        <f ca="1">VLOOKUP(E591,伤害参考系!$C$4:$E$104,3,FALSE)*$AN$12</f>
        <v>5201.3419816053529</v>
      </c>
      <c r="AJ591">
        <f>VLOOKUP(C591,技能辅助查询表,技能配置辅助表!$L$1,FALSE)</f>
        <v>1</v>
      </c>
      <c r="AK591">
        <f>VLOOKUP(C591,技能辅助查询表,技能配置辅助表!$AE$1,FALSE)</f>
        <v>66000305</v>
      </c>
    </row>
    <row r="592" spans="1:37" x14ac:dyDescent="0.15">
      <c r="A592" s="1">
        <f t="shared" ca="1" si="268"/>
        <v>9222129</v>
      </c>
      <c r="B592" s="1" t="str">
        <f t="shared" ca="1" si="253"/>
        <v>龙拳第1段</v>
      </c>
      <c r="C592" t="s">
        <v>162</v>
      </c>
      <c r="D592">
        <f t="shared" si="254"/>
        <v>2</v>
      </c>
      <c r="E592" s="42">
        <f t="shared" ca="1" si="269"/>
        <v>48</v>
      </c>
      <c r="F592" t="str">
        <f t="shared" ca="1" si="270"/>
        <v>第29级，共造成185.1%点伤害</v>
      </c>
      <c r="G592">
        <f t="shared" ca="1" si="271"/>
        <v>1</v>
      </c>
      <c r="H592">
        <f t="shared" si="255"/>
        <v>1</v>
      </c>
      <c r="I592" s="44">
        <f t="shared" ca="1" si="272"/>
        <v>29</v>
      </c>
      <c r="J592">
        <f t="shared" si="256"/>
        <v>2</v>
      </c>
      <c r="K592" s="36">
        <f t="shared" ca="1" si="257"/>
        <v>185.08695652173913</v>
      </c>
      <c r="L592" s="10">
        <f ca="1">AH592*VLOOKUP(C592,技能辅助查询表,技能配置辅助表!$T$1,FALSE)</f>
        <v>0</v>
      </c>
      <c r="M592">
        <f t="shared" ca="1" si="258"/>
        <v>5680</v>
      </c>
      <c r="N592" s="33">
        <f ca="1">CHOOSE(1,W592*U592,X592*'[1]0、经济设定'!$C$18)</f>
        <v>36925</v>
      </c>
      <c r="O592">
        <f t="shared" si="259"/>
        <v>2</v>
      </c>
      <c r="P592">
        <f t="shared" si="260"/>
        <v>1</v>
      </c>
      <c r="Q592">
        <f t="shared" si="261"/>
        <v>1</v>
      </c>
      <c r="R592" s="2">
        <f t="shared" si="262"/>
        <v>4</v>
      </c>
      <c r="S592" s="2">
        <f t="shared" si="263"/>
        <v>50</v>
      </c>
      <c r="T592" s="2">
        <f t="shared" si="264"/>
        <v>143.47826086956522</v>
      </c>
      <c r="U592" s="2">
        <f ca="1">VLOOKUP(E592,金币生产率!$A$2:$B$120,2,0)</f>
        <v>1477</v>
      </c>
      <c r="V592" s="2">
        <f t="shared" si="265"/>
        <v>143.47826086956522</v>
      </c>
      <c r="W592" s="45">
        <f t="shared" ca="1" si="278"/>
        <v>25</v>
      </c>
      <c r="X592" s="48">
        <f t="shared" ca="1" si="279"/>
        <v>322</v>
      </c>
      <c r="Y592">
        <f t="shared" si="266"/>
        <v>18</v>
      </c>
      <c r="Z592">
        <f t="shared" ca="1" si="273"/>
        <v>10</v>
      </c>
      <c r="AA592" t="str">
        <f t="shared" ca="1" si="274"/>
        <v>9222100.png</v>
      </c>
      <c r="AB592">
        <f t="shared" si="267"/>
        <v>20</v>
      </c>
      <c r="AC592">
        <f>VLOOKUP(C592,技能辅助查询表,技能配置辅助表!$W$1,FALSE)</f>
        <v>24</v>
      </c>
      <c r="AD592">
        <f t="shared" ca="1" si="275"/>
        <v>84.845853806897054</v>
      </c>
      <c r="AE592">
        <f>VLOOKUP(C592,技能辅助查询表,技能配置辅助表!$U$1,FALSE)</f>
        <v>4</v>
      </c>
      <c r="AF592">
        <f t="shared" ca="1" si="276"/>
        <v>9222129</v>
      </c>
      <c r="AG592">
        <f t="shared" ca="1" si="280"/>
        <v>47.428571428571431</v>
      </c>
      <c r="AH592">
        <f t="shared" ca="1" si="277"/>
        <v>498.5831981498805</v>
      </c>
      <c r="AI592">
        <f ca="1">VLOOKUP(E592,伤害参考系!$C$4:$E$104,3,FALSE)*$AN$12</f>
        <v>5499.8953043478286</v>
      </c>
      <c r="AJ592">
        <f>VLOOKUP(C592,技能辅助查询表,技能配置辅助表!$L$1,FALSE)</f>
        <v>1</v>
      </c>
      <c r="AK592">
        <f>VLOOKUP(C592,技能辅助查询表,技能配置辅助表!$AE$1,FALSE)</f>
        <v>66000305</v>
      </c>
    </row>
    <row r="593" spans="1:37" x14ac:dyDescent="0.15">
      <c r="A593" s="1">
        <f t="shared" ca="1" si="268"/>
        <v>9222130</v>
      </c>
      <c r="B593" s="1" t="str">
        <f t="shared" ca="1" si="253"/>
        <v>龙拳第1段</v>
      </c>
      <c r="C593" t="s">
        <v>162</v>
      </c>
      <c r="D593">
        <f t="shared" si="254"/>
        <v>2</v>
      </c>
      <c r="E593" s="42">
        <f t="shared" ca="1" si="269"/>
        <v>50</v>
      </c>
      <c r="F593" t="str">
        <f t="shared" ca="1" si="270"/>
        <v>第30级，共造成186.5%点伤害</v>
      </c>
      <c r="G593">
        <f t="shared" ca="1" si="271"/>
        <v>1</v>
      </c>
      <c r="H593">
        <f t="shared" si="255"/>
        <v>1</v>
      </c>
      <c r="I593" s="44">
        <f t="shared" ca="1" si="272"/>
        <v>30</v>
      </c>
      <c r="J593">
        <f t="shared" si="256"/>
        <v>2</v>
      </c>
      <c r="K593" s="36">
        <f t="shared" ca="1" si="257"/>
        <v>186.52173913043478</v>
      </c>
      <c r="L593" s="10">
        <f ca="1">AH593*VLOOKUP(C593,技能辅助查询表,技能配置辅助表!$T$1,FALSE)</f>
        <v>0</v>
      </c>
      <c r="M593">
        <f t="shared" ca="1" si="258"/>
        <v>5600</v>
      </c>
      <c r="N593" s="33">
        <f ca="1">CHOOSE(1,W593*U593,X593*'[1]0、经济设定'!$C$18)</f>
        <v>41860</v>
      </c>
      <c r="O593">
        <f t="shared" si="259"/>
        <v>2</v>
      </c>
      <c r="P593">
        <f t="shared" si="260"/>
        <v>1</v>
      </c>
      <c r="Q593">
        <f t="shared" si="261"/>
        <v>1</v>
      </c>
      <c r="R593" s="2">
        <f t="shared" si="262"/>
        <v>4</v>
      </c>
      <c r="S593" s="2">
        <f t="shared" si="263"/>
        <v>50</v>
      </c>
      <c r="T593" s="2">
        <f t="shared" si="264"/>
        <v>143.47826086956522</v>
      </c>
      <c r="U593" s="2">
        <f ca="1">VLOOKUP(E593,金币生产率!$A$2:$B$120,2,0)</f>
        <v>1610</v>
      </c>
      <c r="V593" s="2">
        <f t="shared" si="265"/>
        <v>143.47826086956522</v>
      </c>
      <c r="W593" s="45">
        <f t="shared" ca="1" si="278"/>
        <v>26</v>
      </c>
      <c r="X593" s="48">
        <f t="shared" ca="1" si="279"/>
        <v>348</v>
      </c>
      <c r="Y593">
        <f t="shared" si="266"/>
        <v>18</v>
      </c>
      <c r="Z593">
        <f t="shared" ca="1" si="273"/>
        <v>11</v>
      </c>
      <c r="AA593" t="str">
        <f t="shared" ca="1" si="274"/>
        <v>9222100.png</v>
      </c>
      <c r="AB593">
        <f t="shared" si="267"/>
        <v>20</v>
      </c>
      <c r="AC593">
        <f>VLOOKUP(C593,技能辅助查询表,技能配置辅助表!$W$1,FALSE)</f>
        <v>24</v>
      </c>
      <c r="AD593">
        <f t="shared" ca="1" si="275"/>
        <v>98.224735813368468</v>
      </c>
      <c r="AE593">
        <f>VLOOKUP(C593,技能辅助查询表,技能配置辅助表!$U$1,FALSE)</f>
        <v>4</v>
      </c>
      <c r="AF593">
        <f t="shared" ca="1" si="276"/>
        <v>9222130</v>
      </c>
      <c r="AG593">
        <f t="shared" ca="1" si="280"/>
        <v>48.979591836734691</v>
      </c>
      <c r="AH593">
        <f t="shared" ca="1" si="277"/>
        <v>567.63038284107404</v>
      </c>
      <c r="AI593">
        <f ca="1">VLOOKUP(E593,伤害参考系!$C$4:$E$104,3,FALSE)*$AN$12</f>
        <v>6162.2688085284308</v>
      </c>
      <c r="AJ593">
        <f>VLOOKUP(C593,技能辅助查询表,技能配置辅助表!$L$1,FALSE)</f>
        <v>1</v>
      </c>
      <c r="AK593">
        <f>VLOOKUP(C593,技能辅助查询表,技能配置辅助表!$AE$1,FALSE)</f>
        <v>66000305</v>
      </c>
    </row>
    <row r="594" spans="1:37" x14ac:dyDescent="0.15">
      <c r="A594" s="1">
        <f t="shared" ca="1" si="268"/>
        <v>9222131</v>
      </c>
      <c r="B594" s="1" t="str">
        <f t="shared" ca="1" si="253"/>
        <v>龙拳第1段</v>
      </c>
      <c r="C594" t="s">
        <v>162</v>
      </c>
      <c r="D594">
        <f t="shared" si="254"/>
        <v>2</v>
      </c>
      <c r="E594" s="42">
        <f t="shared" ca="1" si="269"/>
        <v>51</v>
      </c>
      <c r="F594" t="str">
        <f t="shared" ca="1" si="270"/>
        <v>第31级，共造成188%点伤害</v>
      </c>
      <c r="G594">
        <f t="shared" ca="1" si="271"/>
        <v>1</v>
      </c>
      <c r="H594">
        <f t="shared" si="255"/>
        <v>1</v>
      </c>
      <c r="I594" s="44">
        <f t="shared" ca="1" si="272"/>
        <v>31</v>
      </c>
      <c r="J594">
        <f t="shared" si="256"/>
        <v>2</v>
      </c>
      <c r="K594" s="36">
        <f t="shared" ca="1" si="257"/>
        <v>187.95652173913044</v>
      </c>
      <c r="L594" s="10">
        <f ca="1">AH594*VLOOKUP(C594,技能辅助查询表,技能配置辅助表!$T$1,FALSE)</f>
        <v>0</v>
      </c>
      <c r="M594">
        <f t="shared" ca="1" si="258"/>
        <v>5520</v>
      </c>
      <c r="N594" s="33">
        <f ca="1">CHOOSE(1,W594*U594,X594*'[1]0、经济设定'!$C$18)</f>
        <v>47012</v>
      </c>
      <c r="O594">
        <f t="shared" si="259"/>
        <v>2</v>
      </c>
      <c r="P594">
        <f t="shared" si="260"/>
        <v>1</v>
      </c>
      <c r="Q594">
        <f t="shared" si="261"/>
        <v>1</v>
      </c>
      <c r="R594" s="2">
        <f t="shared" si="262"/>
        <v>4</v>
      </c>
      <c r="S594" s="2">
        <f t="shared" si="263"/>
        <v>50</v>
      </c>
      <c r="T594" s="2">
        <f t="shared" si="264"/>
        <v>143.47826086956522</v>
      </c>
      <c r="U594" s="2">
        <f ca="1">VLOOKUP(E594,金币生产率!$A$2:$B$120,2,0)</f>
        <v>1679</v>
      </c>
      <c r="V594" s="2">
        <f t="shared" si="265"/>
        <v>143.47826086956522</v>
      </c>
      <c r="W594" s="45">
        <f t="shared" ca="1" si="278"/>
        <v>28</v>
      </c>
      <c r="X594" s="48">
        <f t="shared" ca="1" si="279"/>
        <v>376</v>
      </c>
      <c r="Y594">
        <f t="shared" si="266"/>
        <v>18</v>
      </c>
      <c r="Z594">
        <f t="shared" ca="1" si="273"/>
        <v>12</v>
      </c>
      <c r="AA594" t="str">
        <f t="shared" ca="1" si="274"/>
        <v>9222100.png</v>
      </c>
      <c r="AB594">
        <f t="shared" si="267"/>
        <v>20</v>
      </c>
      <c r="AC594">
        <f>VLOOKUP(C594,技能辅助查询表,技能配置辅助表!$W$1,FALSE)</f>
        <v>24</v>
      </c>
      <c r="AD594">
        <f t="shared" ca="1" si="275"/>
        <v>113.68199072411728</v>
      </c>
      <c r="AE594">
        <f>VLOOKUP(C594,技能辅助查询表,技能配置辅助表!$U$1,FALSE)</f>
        <v>4</v>
      </c>
      <c r="AF594">
        <f t="shared" ca="1" si="276"/>
        <v>9222131</v>
      </c>
      <c r="AG594">
        <f t="shared" ca="1" si="280"/>
        <v>50.530612244897959</v>
      </c>
      <c r="AH594">
        <f t="shared" ca="1" si="277"/>
        <v>646.23969022607446</v>
      </c>
      <c r="AI594">
        <f ca="1">VLOOKUP(E594,伤害参考系!$C$4:$E$104,3,FALSE)*$AN$12</f>
        <v>6528.1715392976603</v>
      </c>
      <c r="AJ594">
        <f>VLOOKUP(C594,技能辅助查询表,技能配置辅助表!$L$1,FALSE)</f>
        <v>1</v>
      </c>
      <c r="AK594">
        <f>VLOOKUP(C594,技能辅助查询表,技能配置辅助表!$AE$1,FALSE)</f>
        <v>66000305</v>
      </c>
    </row>
    <row r="595" spans="1:37" x14ac:dyDescent="0.15">
      <c r="A595" s="1">
        <f t="shared" ca="1" si="268"/>
        <v>9222132</v>
      </c>
      <c r="B595" s="1" t="str">
        <f t="shared" ca="1" si="253"/>
        <v>龙拳第1段</v>
      </c>
      <c r="C595" t="s">
        <v>162</v>
      </c>
      <c r="D595">
        <f t="shared" si="254"/>
        <v>2</v>
      </c>
      <c r="E595" s="42">
        <f t="shared" ca="1" si="269"/>
        <v>53</v>
      </c>
      <c r="F595" t="str">
        <f t="shared" ca="1" si="270"/>
        <v>第32级，共造成189.4%点伤害</v>
      </c>
      <c r="G595">
        <f t="shared" ca="1" si="271"/>
        <v>1</v>
      </c>
      <c r="H595">
        <f t="shared" si="255"/>
        <v>1</v>
      </c>
      <c r="I595" s="44">
        <f t="shared" ca="1" si="272"/>
        <v>32</v>
      </c>
      <c r="J595">
        <f t="shared" si="256"/>
        <v>2</v>
      </c>
      <c r="K595" s="36">
        <f t="shared" ca="1" si="257"/>
        <v>189.39130434782609</v>
      </c>
      <c r="L595" s="10">
        <f ca="1">AH595*VLOOKUP(C595,技能辅助查询表,技能配置辅助表!$T$1,FALSE)</f>
        <v>0</v>
      </c>
      <c r="M595">
        <f t="shared" ca="1" si="258"/>
        <v>5440</v>
      </c>
      <c r="N595" s="33">
        <f ca="1">CHOOSE(1,W595*U595,X595*'[1]0、经济设定'!$C$18)</f>
        <v>54600</v>
      </c>
      <c r="O595">
        <f t="shared" si="259"/>
        <v>2</v>
      </c>
      <c r="P595">
        <f t="shared" si="260"/>
        <v>1</v>
      </c>
      <c r="Q595">
        <f t="shared" si="261"/>
        <v>1</v>
      </c>
      <c r="R595" s="2">
        <f t="shared" si="262"/>
        <v>4</v>
      </c>
      <c r="S595" s="2">
        <f t="shared" si="263"/>
        <v>50</v>
      </c>
      <c r="T595" s="2">
        <f t="shared" si="264"/>
        <v>143.47826086956522</v>
      </c>
      <c r="U595" s="2">
        <f ca="1">VLOOKUP(E595,金币生产率!$A$2:$B$120,2,0)</f>
        <v>1820</v>
      </c>
      <c r="V595" s="2">
        <f t="shared" si="265"/>
        <v>143.47826086956522</v>
      </c>
      <c r="W595" s="45">
        <f t="shared" ca="1" si="278"/>
        <v>30</v>
      </c>
      <c r="X595" s="48">
        <f t="shared" ca="1" si="279"/>
        <v>406</v>
      </c>
      <c r="Y595">
        <f t="shared" si="266"/>
        <v>18</v>
      </c>
      <c r="Z595">
        <f t="shared" ca="1" si="273"/>
        <v>12</v>
      </c>
      <c r="AA595" t="str">
        <f t="shared" ca="1" si="274"/>
        <v>9222100.png</v>
      </c>
      <c r="AB595">
        <f t="shared" si="267"/>
        <v>20</v>
      </c>
      <c r="AC595">
        <f>VLOOKUP(C595,技能辅助查询表,技能配置辅助表!$W$1,FALSE)</f>
        <v>24</v>
      </c>
      <c r="AD595">
        <f t="shared" ca="1" si="275"/>
        <v>131.53668481513523</v>
      </c>
      <c r="AE595">
        <f>VLOOKUP(C595,技能辅助查询表,技能配置辅助表!$U$1,FALSE)</f>
        <v>4</v>
      </c>
      <c r="AF595">
        <f t="shared" ca="1" si="276"/>
        <v>9222132</v>
      </c>
      <c r="AG595">
        <f t="shared" ca="1" si="280"/>
        <v>52.081632653061227</v>
      </c>
      <c r="AH595">
        <f t="shared" ca="1" si="277"/>
        <v>735.73534794457942</v>
      </c>
      <c r="AI595">
        <f ca="1">VLOOKUP(E595,伤害参考系!$C$4:$E$104,3,FALSE)*$AN$12</f>
        <v>7291.2152408026777</v>
      </c>
      <c r="AJ595">
        <f>VLOOKUP(C595,技能辅助查询表,技能配置辅助表!$L$1,FALSE)</f>
        <v>1</v>
      </c>
      <c r="AK595">
        <f>VLOOKUP(C595,技能辅助查询表,技能配置辅助表!$AE$1,FALSE)</f>
        <v>66000305</v>
      </c>
    </row>
    <row r="596" spans="1:37" x14ac:dyDescent="0.15">
      <c r="A596" s="1">
        <f t="shared" ca="1" si="268"/>
        <v>9222133</v>
      </c>
      <c r="B596" s="1" t="str">
        <f t="shared" ca="1" si="253"/>
        <v>龙拳第1段</v>
      </c>
      <c r="C596" t="s">
        <v>162</v>
      </c>
      <c r="D596">
        <f t="shared" si="254"/>
        <v>2</v>
      </c>
      <c r="E596" s="42">
        <f t="shared" ca="1" si="269"/>
        <v>54</v>
      </c>
      <c r="F596" t="str">
        <f t="shared" ca="1" si="270"/>
        <v>第33级，共造成190.8%点伤害</v>
      </c>
      <c r="G596">
        <f t="shared" ca="1" si="271"/>
        <v>1</v>
      </c>
      <c r="H596">
        <f t="shared" si="255"/>
        <v>1</v>
      </c>
      <c r="I596" s="44">
        <f t="shared" ca="1" si="272"/>
        <v>33</v>
      </c>
      <c r="J596">
        <f t="shared" si="256"/>
        <v>2</v>
      </c>
      <c r="K596" s="36">
        <f t="shared" ca="1" si="257"/>
        <v>190.82608695652175</v>
      </c>
      <c r="L596" s="10">
        <f ca="1">AH596*VLOOKUP(C596,技能辅助查询表,技能配置辅助表!$T$1,FALSE)</f>
        <v>0</v>
      </c>
      <c r="M596">
        <f t="shared" ca="1" si="258"/>
        <v>5360</v>
      </c>
      <c r="N596" s="33">
        <f ca="1">CHOOSE(1,W596*U596,X596*'[1]0、经济设定'!$C$18)</f>
        <v>60576</v>
      </c>
      <c r="O596">
        <f t="shared" si="259"/>
        <v>2</v>
      </c>
      <c r="P596">
        <f t="shared" si="260"/>
        <v>1</v>
      </c>
      <c r="Q596">
        <f t="shared" si="261"/>
        <v>1</v>
      </c>
      <c r="R596" s="2">
        <f t="shared" si="262"/>
        <v>4</v>
      </c>
      <c r="S596" s="2">
        <f t="shared" si="263"/>
        <v>50</v>
      </c>
      <c r="T596" s="2">
        <f t="shared" si="264"/>
        <v>143.47826086956522</v>
      </c>
      <c r="U596" s="2">
        <f ca="1">VLOOKUP(E596,金币生产率!$A$2:$B$120,2,0)</f>
        <v>1893</v>
      </c>
      <c r="V596" s="2">
        <f t="shared" si="265"/>
        <v>143.47826086956522</v>
      </c>
      <c r="W596" s="45">
        <f t="shared" ca="1" si="278"/>
        <v>32</v>
      </c>
      <c r="X596" s="48">
        <f t="shared" ca="1" si="279"/>
        <v>438</v>
      </c>
      <c r="Y596">
        <f t="shared" si="266"/>
        <v>18</v>
      </c>
      <c r="Z596">
        <f t="shared" ca="1" si="273"/>
        <v>13</v>
      </c>
      <c r="AA596" t="str">
        <f t="shared" ca="1" si="274"/>
        <v>9222100.png</v>
      </c>
      <c r="AB596">
        <f t="shared" si="267"/>
        <v>20</v>
      </c>
      <c r="AC596">
        <f>VLOOKUP(C596,技能辅助查询表,技能配置辅助表!$W$1,FALSE)</f>
        <v>24</v>
      </c>
      <c r="AD596">
        <f t="shared" ca="1" si="275"/>
        <v>152.15639702700037</v>
      </c>
      <c r="AE596">
        <f>VLOOKUP(C596,技能辅助查询表,技能配置辅助表!$U$1,FALSE)</f>
        <v>4</v>
      </c>
      <c r="AF596">
        <f t="shared" ca="1" si="276"/>
        <v>9222133</v>
      </c>
      <c r="AG596">
        <f t="shared" ca="1" si="280"/>
        <v>53.632653061224488</v>
      </c>
      <c r="AH596">
        <f t="shared" ca="1" si="277"/>
        <v>837.62497166611001</v>
      </c>
      <c r="AI596">
        <f ca="1">VLOOKUP(E596,伤害参考系!$C$4:$E$104,3,FALSE)*$AN$12</f>
        <v>7688.356211538463</v>
      </c>
      <c r="AJ596">
        <f>VLOOKUP(C596,技能辅助查询表,技能配置辅助表!$L$1,FALSE)</f>
        <v>1</v>
      </c>
      <c r="AK596">
        <f>VLOOKUP(C596,技能辅助查询表,技能配置辅助表!$AE$1,FALSE)</f>
        <v>66000305</v>
      </c>
    </row>
    <row r="597" spans="1:37" x14ac:dyDescent="0.15">
      <c r="A597" s="1">
        <f t="shared" ca="1" si="268"/>
        <v>9222134</v>
      </c>
      <c r="B597" s="1" t="str">
        <f t="shared" ca="1" si="253"/>
        <v>龙拳第1段</v>
      </c>
      <c r="C597" t="s">
        <v>162</v>
      </c>
      <c r="D597">
        <f t="shared" si="254"/>
        <v>2</v>
      </c>
      <c r="E597" s="42">
        <f t="shared" ca="1" si="269"/>
        <v>56</v>
      </c>
      <c r="F597" t="str">
        <f t="shared" ca="1" si="270"/>
        <v>第34级，共造成192.3%点伤害</v>
      </c>
      <c r="G597">
        <f t="shared" ca="1" si="271"/>
        <v>1</v>
      </c>
      <c r="H597">
        <f t="shared" si="255"/>
        <v>1</v>
      </c>
      <c r="I597" s="44">
        <f t="shared" ca="1" si="272"/>
        <v>34</v>
      </c>
      <c r="J597">
        <f t="shared" si="256"/>
        <v>2</v>
      </c>
      <c r="K597" s="36">
        <f t="shared" ca="1" si="257"/>
        <v>192.26086956521738</v>
      </c>
      <c r="L597" s="10">
        <f ca="1">AH597*VLOOKUP(C597,技能辅助查询表,技能配置辅助表!$T$1,FALSE)</f>
        <v>0</v>
      </c>
      <c r="M597">
        <f t="shared" ca="1" si="258"/>
        <v>5280</v>
      </c>
      <c r="N597" s="33">
        <f ca="1">CHOOSE(1,W597*U597,X597*'[1]0、经济设定'!$C$18)</f>
        <v>69428</v>
      </c>
      <c r="O597">
        <f t="shared" si="259"/>
        <v>2</v>
      </c>
      <c r="P597">
        <f t="shared" si="260"/>
        <v>1</v>
      </c>
      <c r="Q597">
        <f t="shared" si="261"/>
        <v>1</v>
      </c>
      <c r="R597" s="2">
        <f t="shared" si="262"/>
        <v>4</v>
      </c>
      <c r="S597" s="2">
        <f t="shared" si="263"/>
        <v>50</v>
      </c>
      <c r="T597" s="2">
        <f t="shared" si="264"/>
        <v>143.47826086956522</v>
      </c>
      <c r="U597" s="2">
        <f ca="1">VLOOKUP(E597,金币生产率!$A$2:$B$120,2,0)</f>
        <v>2042</v>
      </c>
      <c r="V597" s="2">
        <f t="shared" si="265"/>
        <v>143.47826086956522</v>
      </c>
      <c r="W597" s="45">
        <f t="shared" ca="1" si="278"/>
        <v>34</v>
      </c>
      <c r="X597" s="48">
        <f t="shared" ca="1" si="279"/>
        <v>472</v>
      </c>
      <c r="Y597">
        <f t="shared" si="266"/>
        <v>18</v>
      </c>
      <c r="Z597">
        <f t="shared" ca="1" si="273"/>
        <v>14</v>
      </c>
      <c r="AA597" t="str">
        <f t="shared" ca="1" si="274"/>
        <v>9222100.png</v>
      </c>
      <c r="AB597">
        <f t="shared" si="267"/>
        <v>20</v>
      </c>
      <c r="AC597">
        <f>VLOOKUP(C597,技能辅助查询表,技能配置辅助表!$W$1,FALSE)</f>
        <v>24</v>
      </c>
      <c r="AD597">
        <f t="shared" ca="1" si="275"/>
        <v>175.9645364496177</v>
      </c>
      <c r="AE597">
        <f>VLOOKUP(C597,技能辅助查询表,技能配置辅助表!$U$1,FALSE)</f>
        <v>4</v>
      </c>
      <c r="AF597">
        <f t="shared" ca="1" si="276"/>
        <v>9222134</v>
      </c>
      <c r="AG597">
        <f t="shared" ca="1" si="280"/>
        <v>55.183673469387756</v>
      </c>
      <c r="AH597">
        <f t="shared" ca="1" si="277"/>
        <v>953.62496190886134</v>
      </c>
      <c r="AI597">
        <f ca="1">VLOOKUP(E597,伤害参考系!$C$4:$E$104,3,FALSE)*$AN$12</f>
        <v>8513.8763929765901</v>
      </c>
      <c r="AJ597">
        <f>VLOOKUP(C597,技能辅助查询表,技能配置辅助表!$L$1,FALSE)</f>
        <v>1</v>
      </c>
      <c r="AK597">
        <f>VLOOKUP(C597,技能辅助查询表,技能配置辅助表!$AE$1,FALSE)</f>
        <v>66000305</v>
      </c>
    </row>
    <row r="598" spans="1:37" x14ac:dyDescent="0.15">
      <c r="A598" s="1">
        <f t="shared" ca="1" si="268"/>
        <v>9222135</v>
      </c>
      <c r="B598" s="1" t="str">
        <f t="shared" ca="1" si="253"/>
        <v>龙拳第1段</v>
      </c>
      <c r="C598" t="s">
        <v>162</v>
      </c>
      <c r="D598">
        <f t="shared" si="254"/>
        <v>2</v>
      </c>
      <c r="E598" s="42">
        <f t="shared" ca="1" si="269"/>
        <v>57</v>
      </c>
      <c r="F598" t="str">
        <f t="shared" ca="1" si="270"/>
        <v>第35级，共造成193.7%点伤害</v>
      </c>
      <c r="G598">
        <f t="shared" ca="1" si="271"/>
        <v>1</v>
      </c>
      <c r="H598">
        <f t="shared" si="255"/>
        <v>1</v>
      </c>
      <c r="I598" s="44">
        <f t="shared" ca="1" si="272"/>
        <v>35</v>
      </c>
      <c r="J598">
        <f t="shared" si="256"/>
        <v>2</v>
      </c>
      <c r="K598" s="36">
        <f t="shared" ca="1" si="257"/>
        <v>193.69565217391303</v>
      </c>
      <c r="L598" s="10">
        <f ca="1">AH598*VLOOKUP(C598,技能辅助查询表,技能配置辅助表!$T$1,FALSE)</f>
        <v>0</v>
      </c>
      <c r="M598">
        <f t="shared" ca="1" si="258"/>
        <v>5200</v>
      </c>
      <c r="N598" s="33">
        <f ca="1">CHOOSE(1,W598*U598,X598*'[1]0、经济设定'!$C$18)</f>
        <v>76284</v>
      </c>
      <c r="O598">
        <f t="shared" si="259"/>
        <v>2</v>
      </c>
      <c r="P598">
        <f t="shared" si="260"/>
        <v>1</v>
      </c>
      <c r="Q598">
        <f t="shared" si="261"/>
        <v>1</v>
      </c>
      <c r="R598" s="2">
        <f t="shared" si="262"/>
        <v>4</v>
      </c>
      <c r="S598" s="2">
        <f t="shared" si="263"/>
        <v>50</v>
      </c>
      <c r="T598" s="2">
        <f t="shared" si="264"/>
        <v>143.47826086956522</v>
      </c>
      <c r="U598" s="2">
        <f ca="1">VLOOKUP(E598,金币生产率!$A$2:$B$120,2,0)</f>
        <v>2119</v>
      </c>
      <c r="V598" s="2">
        <f t="shared" si="265"/>
        <v>143.47826086956522</v>
      </c>
      <c r="W598" s="45">
        <f t="shared" ca="1" si="278"/>
        <v>36</v>
      </c>
      <c r="X598" s="48">
        <f t="shared" ca="1" si="279"/>
        <v>508</v>
      </c>
      <c r="Y598">
        <f t="shared" si="266"/>
        <v>18</v>
      </c>
      <c r="Z598">
        <f t="shared" ca="1" si="273"/>
        <v>15</v>
      </c>
      <c r="AA598" t="str">
        <f t="shared" ca="1" si="274"/>
        <v>9222100.png</v>
      </c>
      <c r="AB598">
        <f t="shared" si="267"/>
        <v>20</v>
      </c>
      <c r="AC598">
        <f>VLOOKUP(C598,技能辅助查询表,技能配置辅助表!$W$1,FALSE)</f>
        <v>24</v>
      </c>
      <c r="AD598">
        <f t="shared" ca="1" si="275"/>
        <v>203.44875615234804</v>
      </c>
      <c r="AE598">
        <f>VLOOKUP(C598,技能辅助查询表,技能配置辅助表!$U$1,FALSE)</f>
        <v>4</v>
      </c>
      <c r="AF598">
        <f t="shared" ca="1" si="276"/>
        <v>9222135</v>
      </c>
      <c r="AG598">
        <f t="shared" ca="1" si="280"/>
        <v>56.734693877551024</v>
      </c>
      <c r="AH598">
        <f t="shared" ca="1" si="277"/>
        <v>1085.689417982368</v>
      </c>
      <c r="AI598">
        <f ca="1">VLOOKUP(E598,伤害参考系!$C$4:$E$104,3,FALSE)*$AN$12</f>
        <v>8942.2556036789319</v>
      </c>
      <c r="AJ598">
        <f>VLOOKUP(C598,技能辅助查询表,技能配置辅助表!$L$1,FALSE)</f>
        <v>1</v>
      </c>
      <c r="AK598">
        <f>VLOOKUP(C598,技能辅助查询表,技能配置辅助表!$AE$1,FALSE)</f>
        <v>66000305</v>
      </c>
    </row>
    <row r="599" spans="1:37" x14ac:dyDescent="0.15">
      <c r="A599" s="1">
        <f t="shared" ca="1" si="268"/>
        <v>9222136</v>
      </c>
      <c r="B599" s="1" t="str">
        <f t="shared" ca="1" si="253"/>
        <v>龙拳第1段</v>
      </c>
      <c r="C599" t="s">
        <v>162</v>
      </c>
      <c r="D599">
        <f t="shared" si="254"/>
        <v>2</v>
      </c>
      <c r="E599" s="42">
        <f t="shared" ca="1" si="269"/>
        <v>59</v>
      </c>
      <c r="F599" t="str">
        <f t="shared" ca="1" si="270"/>
        <v>第36级，共造成195.1%点伤害</v>
      </c>
      <c r="G599">
        <f t="shared" ca="1" si="271"/>
        <v>1</v>
      </c>
      <c r="H599">
        <f t="shared" si="255"/>
        <v>1</v>
      </c>
      <c r="I599" s="44">
        <f t="shared" ca="1" si="272"/>
        <v>36</v>
      </c>
      <c r="J599">
        <f t="shared" si="256"/>
        <v>2</v>
      </c>
      <c r="K599" s="36">
        <f t="shared" ca="1" si="257"/>
        <v>195.13043478260869</v>
      </c>
      <c r="L599" s="10">
        <f ca="1">AH599*VLOOKUP(C599,技能辅助查询表,技能配置辅助表!$T$1,FALSE)</f>
        <v>0</v>
      </c>
      <c r="M599">
        <f t="shared" ca="1" si="258"/>
        <v>5120</v>
      </c>
      <c r="N599" s="33">
        <f ca="1">CHOOSE(1,W599*U599,X599*'[1]0、经济设定'!$C$18)</f>
        <v>88803</v>
      </c>
      <c r="O599">
        <f t="shared" si="259"/>
        <v>2</v>
      </c>
      <c r="P599">
        <f t="shared" si="260"/>
        <v>1</v>
      </c>
      <c r="Q599">
        <f t="shared" si="261"/>
        <v>1</v>
      </c>
      <c r="R599" s="2">
        <f t="shared" si="262"/>
        <v>4</v>
      </c>
      <c r="S599" s="2">
        <f t="shared" si="263"/>
        <v>50</v>
      </c>
      <c r="T599" s="2">
        <f t="shared" si="264"/>
        <v>143.47826086956522</v>
      </c>
      <c r="U599" s="2">
        <f ca="1">VLOOKUP(E599,金币生产率!$A$2:$B$120,2,0)</f>
        <v>2277</v>
      </c>
      <c r="V599" s="2">
        <f t="shared" si="265"/>
        <v>143.47826086956522</v>
      </c>
      <c r="W599" s="45">
        <f t="shared" ca="1" si="278"/>
        <v>39</v>
      </c>
      <c r="X599" s="48">
        <f t="shared" ca="1" si="279"/>
        <v>547</v>
      </c>
      <c r="Y599">
        <f t="shared" si="266"/>
        <v>18</v>
      </c>
      <c r="Z599">
        <f t="shared" ca="1" si="273"/>
        <v>16</v>
      </c>
      <c r="AA599" t="str">
        <f t="shared" ca="1" si="274"/>
        <v>9222100.png</v>
      </c>
      <c r="AB599">
        <f t="shared" si="267"/>
        <v>20</v>
      </c>
      <c r="AC599">
        <f>VLOOKUP(C599,技能辅助查询表,技能配置辅助表!$W$1,FALSE)</f>
        <v>24</v>
      </c>
      <c r="AD599">
        <f t="shared" ca="1" si="275"/>
        <v>235.17062667918475</v>
      </c>
      <c r="AE599">
        <f>VLOOKUP(C599,技能辅助查询表,技能配置辅助表!$U$1,FALSE)</f>
        <v>4</v>
      </c>
      <c r="AF599">
        <f t="shared" ca="1" si="276"/>
        <v>9222136</v>
      </c>
      <c r="AG599">
        <f t="shared" ca="1" si="280"/>
        <v>58.285714285714285</v>
      </c>
      <c r="AH599">
        <f t="shared" ca="1" si="277"/>
        <v>1236.0430561291703</v>
      </c>
      <c r="AI599">
        <f ca="1">VLOOKUP(E599,伤害参考系!$C$4:$E$104,3,FALSE)*$AN$12</f>
        <v>9830.2522650501687</v>
      </c>
      <c r="AJ599">
        <f>VLOOKUP(C599,技能辅助查询表,技能配置辅助表!$L$1,FALSE)</f>
        <v>1</v>
      </c>
      <c r="AK599">
        <f>VLOOKUP(C599,技能辅助查询表,技能配置辅助表!$AE$1,FALSE)</f>
        <v>66000305</v>
      </c>
    </row>
    <row r="600" spans="1:37" x14ac:dyDescent="0.15">
      <c r="A600" s="1">
        <f t="shared" ca="1" si="268"/>
        <v>9222137</v>
      </c>
      <c r="B600" s="1" t="str">
        <f t="shared" ca="1" si="253"/>
        <v>龙拳第1段</v>
      </c>
      <c r="C600" t="s">
        <v>162</v>
      </c>
      <c r="D600">
        <f t="shared" si="254"/>
        <v>2</v>
      </c>
      <c r="E600" s="42">
        <f t="shared" ca="1" si="269"/>
        <v>60</v>
      </c>
      <c r="F600" t="str">
        <f t="shared" ca="1" si="270"/>
        <v>第37级，共造成196.6%点伤害</v>
      </c>
      <c r="G600">
        <f t="shared" ca="1" si="271"/>
        <v>1</v>
      </c>
      <c r="H600">
        <f t="shared" si="255"/>
        <v>1</v>
      </c>
      <c r="I600" s="44">
        <f t="shared" ca="1" si="272"/>
        <v>37</v>
      </c>
      <c r="J600">
        <f t="shared" si="256"/>
        <v>2</v>
      </c>
      <c r="K600" s="36">
        <f t="shared" ca="1" si="257"/>
        <v>196.56521739130434</v>
      </c>
      <c r="L600" s="10">
        <f ca="1">AH600*VLOOKUP(C600,技能辅助查询表,技能配置辅助表!$T$1,FALSE)</f>
        <v>0</v>
      </c>
      <c r="M600">
        <f t="shared" ca="1" si="258"/>
        <v>5040</v>
      </c>
      <c r="N600" s="33">
        <f ca="1">CHOOSE(1,W600*U600,X600*'[1]0、经济设定'!$C$18)</f>
        <v>99036</v>
      </c>
      <c r="O600">
        <f t="shared" si="259"/>
        <v>2</v>
      </c>
      <c r="P600">
        <f t="shared" si="260"/>
        <v>1</v>
      </c>
      <c r="Q600">
        <f t="shared" si="261"/>
        <v>1</v>
      </c>
      <c r="R600" s="2">
        <f t="shared" si="262"/>
        <v>4</v>
      </c>
      <c r="S600" s="2">
        <f t="shared" si="263"/>
        <v>50</v>
      </c>
      <c r="T600" s="2">
        <f t="shared" si="264"/>
        <v>143.47826086956522</v>
      </c>
      <c r="U600" s="2">
        <f ca="1">VLOOKUP(E600,金币生产率!$A$2:$B$120,2,0)</f>
        <v>2358</v>
      </c>
      <c r="V600" s="2">
        <f t="shared" si="265"/>
        <v>143.47826086956522</v>
      </c>
      <c r="W600" s="45">
        <f t="shared" ca="1" si="278"/>
        <v>42</v>
      </c>
      <c r="X600" s="48">
        <f t="shared" ca="1" si="279"/>
        <v>589</v>
      </c>
      <c r="Y600">
        <f t="shared" si="266"/>
        <v>18</v>
      </c>
      <c r="Z600">
        <f t="shared" ca="1" si="273"/>
        <v>17</v>
      </c>
      <c r="AA600" t="str">
        <f t="shared" ca="1" si="274"/>
        <v>9222100.png</v>
      </c>
      <c r="AB600">
        <f t="shared" si="267"/>
        <v>20</v>
      </c>
      <c r="AC600">
        <f>VLOOKUP(C600,技能辅助查询表,技能配置辅助表!$W$1,FALSE)</f>
        <v>24</v>
      </c>
      <c r="AD600">
        <f t="shared" ca="1" si="275"/>
        <v>271.77675673750724</v>
      </c>
      <c r="AE600">
        <f>VLOOKUP(C600,技能辅助查询表,技能配置辅助表!$U$1,FALSE)</f>
        <v>4</v>
      </c>
      <c r="AF600">
        <f t="shared" ca="1" si="276"/>
        <v>9222137</v>
      </c>
      <c r="AG600">
        <f t="shared" ca="1" si="280"/>
        <v>59.836734693877553</v>
      </c>
      <c r="AH600">
        <f t="shared" ca="1" si="277"/>
        <v>1407.2186863941167</v>
      </c>
      <c r="AI600">
        <f ca="1">VLOOKUP(E600,伤害参考系!$C$4:$E$104,3,FALSE)*$AN$12</f>
        <v>10340.558729096994</v>
      </c>
      <c r="AJ600">
        <f>VLOOKUP(C600,技能辅助查询表,技能配置辅助表!$L$1,FALSE)</f>
        <v>1</v>
      </c>
      <c r="AK600">
        <f>VLOOKUP(C600,技能辅助查询表,技能配置辅助表!$AE$1,FALSE)</f>
        <v>66000305</v>
      </c>
    </row>
    <row r="601" spans="1:37" x14ac:dyDescent="0.15">
      <c r="A601" s="1">
        <f t="shared" ca="1" si="268"/>
        <v>9222138</v>
      </c>
      <c r="B601" s="1" t="str">
        <f t="shared" ca="1" si="253"/>
        <v>龙拳第1段</v>
      </c>
      <c r="C601" t="s">
        <v>162</v>
      </c>
      <c r="D601">
        <f t="shared" si="254"/>
        <v>2</v>
      </c>
      <c r="E601" s="42">
        <f t="shared" ca="1" si="269"/>
        <v>62</v>
      </c>
      <c r="F601" t="str">
        <f t="shared" ca="1" si="270"/>
        <v>第38级，共造成198%点伤害</v>
      </c>
      <c r="G601">
        <f t="shared" ca="1" si="271"/>
        <v>1</v>
      </c>
      <c r="H601">
        <f t="shared" si="255"/>
        <v>1</v>
      </c>
      <c r="I601" s="44">
        <f t="shared" ca="1" si="272"/>
        <v>38</v>
      </c>
      <c r="J601">
        <f t="shared" si="256"/>
        <v>2</v>
      </c>
      <c r="K601" s="36">
        <f t="shared" ca="1" si="257"/>
        <v>198</v>
      </c>
      <c r="L601" s="10">
        <f ca="1">AH601*VLOOKUP(C601,技能辅助查询表,技能配置辅助表!$T$1,FALSE)</f>
        <v>0</v>
      </c>
      <c r="M601">
        <f t="shared" ca="1" si="258"/>
        <v>4960</v>
      </c>
      <c r="N601" s="33">
        <f ca="1">CHOOSE(1,W601*U601,X601*'[1]0、经济设定'!$C$18)</f>
        <v>113580</v>
      </c>
      <c r="O601">
        <f t="shared" si="259"/>
        <v>2</v>
      </c>
      <c r="P601">
        <f t="shared" si="260"/>
        <v>1</v>
      </c>
      <c r="Q601">
        <f t="shared" si="261"/>
        <v>1</v>
      </c>
      <c r="R601" s="2">
        <f t="shared" si="262"/>
        <v>4</v>
      </c>
      <c r="S601" s="2">
        <f t="shared" si="263"/>
        <v>50</v>
      </c>
      <c r="T601" s="2">
        <f t="shared" si="264"/>
        <v>143.47826086956522</v>
      </c>
      <c r="U601" s="2">
        <f ca="1">VLOOKUP(E601,金币生产率!$A$2:$B$120,2,0)</f>
        <v>2524</v>
      </c>
      <c r="V601" s="2">
        <f t="shared" si="265"/>
        <v>143.47826086956522</v>
      </c>
      <c r="W601" s="45">
        <f t="shared" ca="1" si="278"/>
        <v>45</v>
      </c>
      <c r="X601" s="48">
        <f t="shared" ca="1" si="279"/>
        <v>634</v>
      </c>
      <c r="Y601">
        <f t="shared" si="266"/>
        <v>18</v>
      </c>
      <c r="Z601">
        <f t="shared" ca="1" si="273"/>
        <v>18</v>
      </c>
      <c r="AA601" t="str">
        <f t="shared" ca="1" si="274"/>
        <v>9222100.png</v>
      </c>
      <c r="AB601">
        <f t="shared" si="267"/>
        <v>20</v>
      </c>
      <c r="AC601">
        <f>VLOOKUP(C601,技能辅助查询表,技能配置辅助表!$W$1,FALSE)</f>
        <v>24</v>
      </c>
      <c r="AD601">
        <f t="shared" ca="1" si="275"/>
        <v>314.01157639078895</v>
      </c>
      <c r="AE601">
        <f>VLOOKUP(C601,技能辅助查询表,技能配置辅助表!$U$1,FALSE)</f>
        <v>4</v>
      </c>
      <c r="AF601">
        <f t="shared" ca="1" si="276"/>
        <v>9222138</v>
      </c>
      <c r="AG601">
        <f t="shared" ca="1" si="280"/>
        <v>61.387755102040813</v>
      </c>
      <c r="AH601">
        <f t="shared" ca="1" si="277"/>
        <v>1602.0998795448415</v>
      </c>
      <c r="AI601">
        <f ca="1">VLOOKUP(E601,伤害参考系!$C$4:$E$104,3,FALSE)*$AN$12</f>
        <v>11398.657545150505</v>
      </c>
      <c r="AJ601">
        <f>VLOOKUP(C601,技能辅助查询表,技能配置辅助表!$L$1,FALSE)</f>
        <v>1</v>
      </c>
      <c r="AK601">
        <f>VLOOKUP(C601,技能辅助查询表,技能配置辅助表!$AE$1,FALSE)</f>
        <v>66000305</v>
      </c>
    </row>
    <row r="602" spans="1:37" x14ac:dyDescent="0.15">
      <c r="A602" s="1">
        <f t="shared" ca="1" si="268"/>
        <v>9222139</v>
      </c>
      <c r="B602" s="1" t="str">
        <f t="shared" ca="1" si="253"/>
        <v>龙拳第1段</v>
      </c>
      <c r="C602" t="s">
        <v>162</v>
      </c>
      <c r="D602">
        <f t="shared" si="254"/>
        <v>2</v>
      </c>
      <c r="E602" s="42">
        <f t="shared" ca="1" si="269"/>
        <v>63</v>
      </c>
      <c r="F602" t="str">
        <f t="shared" ca="1" si="270"/>
        <v>第39级，共造成199.4%点伤害</v>
      </c>
      <c r="G602">
        <f t="shared" ca="1" si="271"/>
        <v>1</v>
      </c>
      <c r="H602">
        <f t="shared" si="255"/>
        <v>1</v>
      </c>
      <c r="I602" s="44">
        <f t="shared" ca="1" si="272"/>
        <v>39</v>
      </c>
      <c r="J602">
        <f t="shared" si="256"/>
        <v>2</v>
      </c>
      <c r="K602" s="36">
        <f t="shared" ca="1" si="257"/>
        <v>199.43478260869566</v>
      </c>
      <c r="L602" s="10">
        <f ca="1">AH602*VLOOKUP(C602,技能辅助查询表,技能配置辅助表!$T$1,FALSE)</f>
        <v>0</v>
      </c>
      <c r="M602">
        <f t="shared" ca="1" si="258"/>
        <v>4880</v>
      </c>
      <c r="N602" s="33">
        <f ca="1">CHOOSE(1,W602*U602,X602*'[1]0、经济设定'!$C$18)</f>
        <v>125232</v>
      </c>
      <c r="O602">
        <f t="shared" si="259"/>
        <v>2</v>
      </c>
      <c r="P602">
        <f t="shared" si="260"/>
        <v>1</v>
      </c>
      <c r="Q602">
        <f t="shared" si="261"/>
        <v>1</v>
      </c>
      <c r="R602" s="2">
        <f t="shared" si="262"/>
        <v>4</v>
      </c>
      <c r="S602" s="2">
        <f t="shared" si="263"/>
        <v>50</v>
      </c>
      <c r="T602" s="2">
        <f t="shared" si="264"/>
        <v>143.47826086956522</v>
      </c>
      <c r="U602" s="2">
        <f ca="1">VLOOKUP(E602,金币生产率!$A$2:$B$120,2,0)</f>
        <v>2609</v>
      </c>
      <c r="V602" s="2">
        <f t="shared" si="265"/>
        <v>143.47826086956522</v>
      </c>
      <c r="W602" s="45">
        <f t="shared" ca="1" si="278"/>
        <v>48</v>
      </c>
      <c r="X602" s="48">
        <f t="shared" ca="1" si="279"/>
        <v>682</v>
      </c>
      <c r="Y602">
        <f t="shared" si="266"/>
        <v>18</v>
      </c>
      <c r="Z602">
        <f t="shared" ca="1" si="273"/>
        <v>20</v>
      </c>
      <c r="AA602" t="str">
        <f t="shared" ca="1" si="274"/>
        <v>9222100.png</v>
      </c>
      <c r="AB602">
        <f t="shared" si="267"/>
        <v>20</v>
      </c>
      <c r="AC602">
        <f>VLOOKUP(C602,技能辅助查询表,技能配置辅助表!$W$1,FALSE)</f>
        <v>24</v>
      </c>
      <c r="AD602">
        <f t="shared" ca="1" si="275"/>
        <v>362.73202994579259</v>
      </c>
      <c r="AE602">
        <f>VLOOKUP(C602,技能辅助查询表,技能配置辅助表!$U$1,FALSE)</f>
        <v>4</v>
      </c>
      <c r="AF602">
        <f t="shared" ca="1" si="276"/>
        <v>9222139</v>
      </c>
      <c r="AG602">
        <f t="shared" ca="1" si="280"/>
        <v>62.938775510204081</v>
      </c>
      <c r="AH602">
        <f t="shared" ca="1" si="277"/>
        <v>1823.9695427969455</v>
      </c>
      <c r="AI602">
        <f ca="1">VLOOKUP(E602,伤害参考系!$C$4:$E$104,3,FALSE)*$AN$12</f>
        <v>11946.449897157196</v>
      </c>
      <c r="AJ602">
        <f>VLOOKUP(C602,技能辅助查询表,技能配置辅助表!$L$1,FALSE)</f>
        <v>1</v>
      </c>
      <c r="AK602">
        <f>VLOOKUP(C602,技能辅助查询表,技能配置辅助表!$AE$1,FALSE)</f>
        <v>66000305</v>
      </c>
    </row>
    <row r="603" spans="1:37" x14ac:dyDescent="0.15">
      <c r="A603" s="1">
        <f t="shared" ca="1" si="268"/>
        <v>9222140</v>
      </c>
      <c r="B603" s="1" t="str">
        <f t="shared" ca="1" si="253"/>
        <v>龙拳第1段</v>
      </c>
      <c r="C603" t="s">
        <v>162</v>
      </c>
      <c r="D603">
        <f t="shared" si="254"/>
        <v>2</v>
      </c>
      <c r="E603" s="42">
        <f t="shared" ca="1" si="269"/>
        <v>65</v>
      </c>
      <c r="F603" t="str">
        <f t="shared" ca="1" si="270"/>
        <v>第40级，共造成200.9%点伤害</v>
      </c>
      <c r="G603">
        <f t="shared" ca="1" si="271"/>
        <v>1</v>
      </c>
      <c r="H603">
        <f t="shared" si="255"/>
        <v>1</v>
      </c>
      <c r="I603" s="44">
        <f t="shared" ca="1" si="272"/>
        <v>40</v>
      </c>
      <c r="J603">
        <f t="shared" si="256"/>
        <v>2</v>
      </c>
      <c r="K603" s="36">
        <f t="shared" ca="1" si="257"/>
        <v>200.86956521739131</v>
      </c>
      <c r="L603" s="10">
        <f ca="1">AH603*VLOOKUP(C603,技能辅助查询表,技能配置辅助表!$T$1,FALSE)</f>
        <v>0</v>
      </c>
      <c r="M603">
        <f t="shared" ca="1" si="258"/>
        <v>4800</v>
      </c>
      <c r="N603" s="33">
        <f ca="1">CHOOSE(1,W603*U603,X603*'[1]0、经济设定'!$C$18)</f>
        <v>141933</v>
      </c>
      <c r="O603">
        <f t="shared" si="259"/>
        <v>2</v>
      </c>
      <c r="P603">
        <f t="shared" si="260"/>
        <v>1</v>
      </c>
      <c r="Q603">
        <f t="shared" si="261"/>
        <v>1</v>
      </c>
      <c r="R603" s="2">
        <f t="shared" si="262"/>
        <v>4</v>
      </c>
      <c r="S603" s="2">
        <f t="shared" si="263"/>
        <v>50</v>
      </c>
      <c r="T603" s="2">
        <f t="shared" si="264"/>
        <v>143.47826086956522</v>
      </c>
      <c r="U603" s="2">
        <f ca="1">VLOOKUP(E603,金币生产率!$A$2:$B$120,2,0)</f>
        <v>2783</v>
      </c>
      <c r="V603" s="2">
        <f t="shared" si="265"/>
        <v>143.47826086956522</v>
      </c>
      <c r="W603" s="45">
        <f t="shared" ca="1" si="278"/>
        <v>51</v>
      </c>
      <c r="X603" s="48">
        <f t="shared" ca="1" si="279"/>
        <v>733</v>
      </c>
      <c r="Y603">
        <f t="shared" si="266"/>
        <v>18</v>
      </c>
      <c r="Z603">
        <f t="shared" ca="1" si="273"/>
        <v>21</v>
      </c>
      <c r="AA603" t="str">
        <f t="shared" ca="1" si="274"/>
        <v>9222100.png</v>
      </c>
      <c r="AB603">
        <f t="shared" si="267"/>
        <v>20</v>
      </c>
      <c r="AC603">
        <f>VLOOKUP(C603,技能辅助查询表,技能配置辅助表!$W$1,FALSE)</f>
        <v>24</v>
      </c>
      <c r="AD603">
        <f t="shared" ca="1" si="275"/>
        <v>418.92446230554117</v>
      </c>
      <c r="AE603">
        <f>VLOOKUP(C603,技能辅助查询表,技能配置辅助表!$U$1,FALSE)</f>
        <v>4</v>
      </c>
      <c r="AF603">
        <f t="shared" ca="1" si="276"/>
        <v>9222140</v>
      </c>
      <c r="AG603">
        <f t="shared" ca="1" si="280"/>
        <v>64.489795918367349</v>
      </c>
      <c r="AH603">
        <f t="shared" ca="1" si="277"/>
        <v>2076.5652226352254</v>
      </c>
      <c r="AI603">
        <f ca="1">VLOOKUP(E603,伤害参考系!$C$4:$E$104,3,FALSE)*$AN$12</f>
        <v>13079.520489130437</v>
      </c>
      <c r="AJ603">
        <f>VLOOKUP(C603,技能辅助查询表,技能配置辅助表!$L$1,FALSE)</f>
        <v>1</v>
      </c>
      <c r="AK603">
        <f>VLOOKUP(C603,技能辅助查询表,技能配置辅助表!$AE$1,FALSE)</f>
        <v>66000305</v>
      </c>
    </row>
    <row r="604" spans="1:37" x14ac:dyDescent="0.15">
      <c r="A604" s="1">
        <f t="shared" ca="1" si="268"/>
        <v>9222141</v>
      </c>
      <c r="B604" s="1" t="str">
        <f t="shared" ca="1" si="253"/>
        <v>龙拳第1段</v>
      </c>
      <c r="C604" t="s">
        <v>162</v>
      </c>
      <c r="D604">
        <f t="shared" si="254"/>
        <v>2</v>
      </c>
      <c r="E604" s="42">
        <f t="shared" ca="1" si="269"/>
        <v>66</v>
      </c>
      <c r="F604" t="str">
        <f t="shared" ca="1" si="270"/>
        <v>第41级，共造成202.3%点伤害</v>
      </c>
      <c r="G604">
        <f t="shared" ca="1" si="271"/>
        <v>1</v>
      </c>
      <c r="H604">
        <f t="shared" si="255"/>
        <v>1</v>
      </c>
      <c r="I604" s="44">
        <f t="shared" ca="1" si="272"/>
        <v>41</v>
      </c>
      <c r="J604">
        <f t="shared" si="256"/>
        <v>2</v>
      </c>
      <c r="K604" s="36">
        <f t="shared" ca="1" si="257"/>
        <v>202.30434782608694</v>
      </c>
      <c r="L604" s="10">
        <f ca="1">AH604*VLOOKUP(C604,技能辅助查询表,技能配置辅助表!$T$1,FALSE)</f>
        <v>0</v>
      </c>
      <c r="M604">
        <f t="shared" ca="1" si="258"/>
        <v>4720</v>
      </c>
      <c r="N604" s="33">
        <f ca="1">CHOOSE(1,W604*U604,X604*'[1]0、经济设定'!$C$18)</f>
        <v>157960</v>
      </c>
      <c r="O604">
        <f t="shared" si="259"/>
        <v>2</v>
      </c>
      <c r="P604">
        <f t="shared" si="260"/>
        <v>1</v>
      </c>
      <c r="Q604">
        <f t="shared" si="261"/>
        <v>1</v>
      </c>
      <c r="R604" s="2">
        <f t="shared" si="262"/>
        <v>4</v>
      </c>
      <c r="S604" s="2">
        <f t="shared" si="263"/>
        <v>50</v>
      </c>
      <c r="T604" s="2">
        <f t="shared" si="264"/>
        <v>143.47826086956522</v>
      </c>
      <c r="U604" s="2">
        <f ca="1">VLOOKUP(E604,金币生产率!$A$2:$B$120,2,0)</f>
        <v>2872</v>
      </c>
      <c r="V604" s="2">
        <f t="shared" si="265"/>
        <v>143.47826086956522</v>
      </c>
      <c r="W604" s="45">
        <f t="shared" ca="1" si="278"/>
        <v>55</v>
      </c>
      <c r="X604" s="48">
        <f t="shared" ca="1" si="279"/>
        <v>788</v>
      </c>
      <c r="Y604">
        <f t="shared" si="266"/>
        <v>18</v>
      </c>
      <c r="Z604">
        <f t="shared" ca="1" si="273"/>
        <v>22</v>
      </c>
      <c r="AA604" t="str">
        <f t="shared" ca="1" si="274"/>
        <v>9222100.png</v>
      </c>
      <c r="AB604">
        <f t="shared" si="267"/>
        <v>20</v>
      </c>
      <c r="AC604">
        <f>VLOOKUP(C604,技能辅助查询表,技能配置辅助表!$W$1,FALSE)</f>
        <v>24</v>
      </c>
      <c r="AD604">
        <f t="shared" ca="1" si="275"/>
        <v>483.72402453125903</v>
      </c>
      <c r="AE604">
        <f>VLOOKUP(C604,技能辅助查询表,技能配置辅助表!$U$1,FALSE)</f>
        <v>4</v>
      </c>
      <c r="AF604">
        <f t="shared" ca="1" si="276"/>
        <v>9222141</v>
      </c>
      <c r="AG604">
        <f t="shared" ca="1" si="280"/>
        <v>66.040816326530603</v>
      </c>
      <c r="AH604">
        <f t="shared" ca="1" si="277"/>
        <v>2364.1420663448707</v>
      </c>
      <c r="AI604">
        <f ca="1">VLOOKUP(E604,伤害参考系!$C$4:$E$104,3,FALSE)*$AN$12</f>
        <v>13664.798729096996</v>
      </c>
      <c r="AJ604">
        <f>VLOOKUP(C604,技能辅助查询表,技能配置辅助表!$L$1,FALSE)</f>
        <v>1</v>
      </c>
      <c r="AK604">
        <f>VLOOKUP(C604,技能辅助查询表,技能配置辅助表!$AE$1,FALSE)</f>
        <v>66000305</v>
      </c>
    </row>
    <row r="605" spans="1:37" x14ac:dyDescent="0.15">
      <c r="A605" s="1">
        <f t="shared" ca="1" si="268"/>
        <v>9222142</v>
      </c>
      <c r="B605" s="1" t="str">
        <f t="shared" ca="1" si="253"/>
        <v>龙拳第1段</v>
      </c>
      <c r="C605" t="s">
        <v>162</v>
      </c>
      <c r="D605">
        <f t="shared" si="254"/>
        <v>2</v>
      </c>
      <c r="E605" s="42">
        <f t="shared" ca="1" si="269"/>
        <v>68</v>
      </c>
      <c r="F605" t="str">
        <f t="shared" ca="1" si="270"/>
        <v>第42级，共造成203.7%点伤害</v>
      </c>
      <c r="G605">
        <f t="shared" ca="1" si="271"/>
        <v>1</v>
      </c>
      <c r="H605">
        <f t="shared" si="255"/>
        <v>1</v>
      </c>
      <c r="I605" s="44">
        <f t="shared" ca="1" si="272"/>
        <v>42</v>
      </c>
      <c r="J605">
        <f t="shared" si="256"/>
        <v>2</v>
      </c>
      <c r="K605" s="36">
        <f t="shared" ca="1" si="257"/>
        <v>203.73913043478262</v>
      </c>
      <c r="L605" s="10">
        <f ca="1">AH605*VLOOKUP(C605,技能辅助查询表,技能配置辅助表!$T$1,FALSE)</f>
        <v>0</v>
      </c>
      <c r="M605">
        <f t="shared" ca="1" si="258"/>
        <v>4640</v>
      </c>
      <c r="N605" s="33">
        <f ca="1">CHOOSE(1,W605*U605,X605*'[1]0、经济设定'!$C$18)</f>
        <v>177132</v>
      </c>
      <c r="O605">
        <f t="shared" si="259"/>
        <v>2</v>
      </c>
      <c r="P605">
        <f t="shared" si="260"/>
        <v>1</v>
      </c>
      <c r="Q605">
        <f t="shared" si="261"/>
        <v>1</v>
      </c>
      <c r="R605" s="2">
        <f t="shared" si="262"/>
        <v>4</v>
      </c>
      <c r="S605" s="2">
        <f t="shared" si="263"/>
        <v>50</v>
      </c>
      <c r="T605" s="2">
        <f t="shared" si="264"/>
        <v>143.47826086956522</v>
      </c>
      <c r="U605" s="2">
        <f ca="1">VLOOKUP(E605,金币生产率!$A$2:$B$120,2,0)</f>
        <v>3054</v>
      </c>
      <c r="V605" s="2">
        <f t="shared" si="265"/>
        <v>143.47826086956522</v>
      </c>
      <c r="W605" s="45">
        <f t="shared" ca="1" si="278"/>
        <v>58</v>
      </c>
      <c r="X605" s="48">
        <f t="shared" ca="1" si="279"/>
        <v>846</v>
      </c>
      <c r="Y605">
        <f t="shared" si="266"/>
        <v>18</v>
      </c>
      <c r="Z605">
        <f t="shared" ca="1" si="273"/>
        <v>24</v>
      </c>
      <c r="AA605" t="str">
        <f t="shared" ca="1" si="274"/>
        <v>9222100.png</v>
      </c>
      <c r="AB605">
        <f t="shared" si="267"/>
        <v>20</v>
      </c>
      <c r="AC605">
        <f>VLOOKUP(C605,技能辅助查询表,技能配置辅助表!$W$1,FALSE)</f>
        <v>24</v>
      </c>
      <c r="AD605">
        <f t="shared" ca="1" si="275"/>
        <v>558.43697251115759</v>
      </c>
      <c r="AE605">
        <f>VLOOKUP(C605,技能辅助查询表,技能配置辅助表!$U$1,FALSE)</f>
        <v>4</v>
      </c>
      <c r="AF605">
        <f t="shared" ca="1" si="276"/>
        <v>9222142</v>
      </c>
      <c r="AG605">
        <f t="shared" ca="1" si="280"/>
        <v>67.591836734693885</v>
      </c>
      <c r="AH605">
        <f t="shared" ca="1" si="277"/>
        <v>2691.5445028827789</v>
      </c>
      <c r="AI605">
        <f ca="1">VLOOKUP(E605,伤害参考系!$C$4:$E$104,3,FALSE)*$AN$12</f>
        <v>14872.841096989978</v>
      </c>
      <c r="AJ605">
        <f>VLOOKUP(C605,技能辅助查询表,技能配置辅助表!$L$1,FALSE)</f>
        <v>1</v>
      </c>
      <c r="AK605">
        <f>VLOOKUP(C605,技能辅助查询表,技能配置辅助表!$AE$1,FALSE)</f>
        <v>66000305</v>
      </c>
    </row>
    <row r="606" spans="1:37" x14ac:dyDescent="0.15">
      <c r="A606" s="1">
        <f t="shared" ca="1" si="268"/>
        <v>9222143</v>
      </c>
      <c r="B606" s="1" t="str">
        <f t="shared" ca="1" si="253"/>
        <v>龙拳第1段</v>
      </c>
      <c r="C606" t="s">
        <v>162</v>
      </c>
      <c r="D606">
        <f t="shared" si="254"/>
        <v>2</v>
      </c>
      <c r="E606" s="42">
        <f t="shared" ca="1" si="269"/>
        <v>69</v>
      </c>
      <c r="F606" t="str">
        <f t="shared" ca="1" si="270"/>
        <v>第43级，共造成205.2%点伤害</v>
      </c>
      <c r="G606">
        <f t="shared" ca="1" si="271"/>
        <v>1</v>
      </c>
      <c r="H606">
        <f t="shared" si="255"/>
        <v>1</v>
      </c>
      <c r="I606" s="44">
        <f t="shared" ca="1" si="272"/>
        <v>43</v>
      </c>
      <c r="J606">
        <f t="shared" si="256"/>
        <v>2</v>
      </c>
      <c r="K606" s="36">
        <f t="shared" ca="1" si="257"/>
        <v>205.17391304347825</v>
      </c>
      <c r="L606" s="10">
        <f ca="1">AH606*VLOOKUP(C606,技能辅助查询表,技能配置辅助表!$T$1,FALSE)</f>
        <v>0</v>
      </c>
      <c r="M606">
        <f t="shared" ca="1" si="258"/>
        <v>4560</v>
      </c>
      <c r="N606" s="33">
        <f ca="1">CHOOSE(1,W606*U606,X606*'[1]0、经济设定'!$C$18)</f>
        <v>198261</v>
      </c>
      <c r="O606">
        <f t="shared" si="259"/>
        <v>2</v>
      </c>
      <c r="P606">
        <f t="shared" si="260"/>
        <v>1</v>
      </c>
      <c r="Q606">
        <f t="shared" si="261"/>
        <v>1</v>
      </c>
      <c r="R606" s="2">
        <f t="shared" si="262"/>
        <v>4</v>
      </c>
      <c r="S606" s="2">
        <f t="shared" si="263"/>
        <v>50</v>
      </c>
      <c r="T606" s="2">
        <f t="shared" si="264"/>
        <v>143.47826086956522</v>
      </c>
      <c r="U606" s="2">
        <f ca="1">VLOOKUP(E606,金币生产率!$A$2:$B$120,2,0)</f>
        <v>3147</v>
      </c>
      <c r="V606" s="2">
        <f t="shared" si="265"/>
        <v>143.47826086956522</v>
      </c>
      <c r="W606" s="45">
        <f t="shared" ca="1" si="278"/>
        <v>63</v>
      </c>
      <c r="X606" s="48">
        <f t="shared" ca="1" si="279"/>
        <v>909</v>
      </c>
      <c r="Y606">
        <f t="shared" si="266"/>
        <v>18</v>
      </c>
      <c r="Z606">
        <f t="shared" ca="1" si="273"/>
        <v>26</v>
      </c>
      <c r="AA606" t="str">
        <f t="shared" ca="1" si="274"/>
        <v>9222100.png</v>
      </c>
      <c r="AB606">
        <f t="shared" si="267"/>
        <v>20</v>
      </c>
      <c r="AC606">
        <f>VLOOKUP(C606,技能辅助查询表,技能配置辅助表!$W$1,FALSE)</f>
        <v>24</v>
      </c>
      <c r="AD606">
        <f t="shared" ca="1" si="275"/>
        <v>644.56628787887598</v>
      </c>
      <c r="AE606">
        <f>VLOOKUP(C606,技能辅助查询表,技能配置辅助表!$U$1,FALSE)</f>
        <v>4</v>
      </c>
      <c r="AF606">
        <f t="shared" ca="1" si="276"/>
        <v>9222143</v>
      </c>
      <c r="AG606">
        <f t="shared" ca="1" si="280"/>
        <v>69.142857142857139</v>
      </c>
      <c r="AH606">
        <f t="shared" ca="1" si="277"/>
        <v>3064.2878506023458</v>
      </c>
      <c r="AI606">
        <f ca="1">VLOOKUP(E606,伤害参考系!$C$4:$E$104,3,FALSE)*$AN$12</f>
        <v>15495.605224916402</v>
      </c>
      <c r="AJ606">
        <f>VLOOKUP(C606,技能辅助查询表,技能配置辅助表!$L$1,FALSE)</f>
        <v>1</v>
      </c>
      <c r="AK606">
        <f>VLOOKUP(C606,技能辅助查询表,技能配置辅助表!$AE$1,FALSE)</f>
        <v>66000305</v>
      </c>
    </row>
    <row r="607" spans="1:37" x14ac:dyDescent="0.15">
      <c r="A607" s="1">
        <f t="shared" ca="1" si="268"/>
        <v>9222144</v>
      </c>
      <c r="B607" s="1" t="str">
        <f t="shared" ca="1" si="253"/>
        <v>龙拳第1段</v>
      </c>
      <c r="C607" t="s">
        <v>162</v>
      </c>
      <c r="D607">
        <f t="shared" si="254"/>
        <v>2</v>
      </c>
      <c r="E607" s="42">
        <f t="shared" ca="1" si="269"/>
        <v>71</v>
      </c>
      <c r="F607" t="str">
        <f t="shared" ca="1" si="270"/>
        <v>第44级，共造成206.6%点伤害</v>
      </c>
      <c r="G607">
        <f t="shared" ca="1" si="271"/>
        <v>1</v>
      </c>
      <c r="H607">
        <f t="shared" si="255"/>
        <v>1</v>
      </c>
      <c r="I607" s="44">
        <f t="shared" ca="1" si="272"/>
        <v>44</v>
      </c>
      <c r="J607">
        <f t="shared" si="256"/>
        <v>2</v>
      </c>
      <c r="K607" s="36">
        <f t="shared" ca="1" si="257"/>
        <v>206.60869565217391</v>
      </c>
      <c r="L607" s="10">
        <f ca="1">AH607*VLOOKUP(C607,技能辅助查询表,技能配置辅助表!$T$1,FALSE)</f>
        <v>0</v>
      </c>
      <c r="M607">
        <f t="shared" ca="1" si="258"/>
        <v>4480</v>
      </c>
      <c r="N607" s="33">
        <f ca="1">CHOOSE(1,W607*U607,X607*'[1]0、经济设定'!$C$18)</f>
        <v>223646</v>
      </c>
      <c r="O607">
        <f t="shared" si="259"/>
        <v>2</v>
      </c>
      <c r="P607">
        <f t="shared" si="260"/>
        <v>1</v>
      </c>
      <c r="Q607">
        <f t="shared" si="261"/>
        <v>1</v>
      </c>
      <c r="R607" s="2">
        <f t="shared" si="262"/>
        <v>4</v>
      </c>
      <c r="S607" s="2">
        <f t="shared" si="263"/>
        <v>50</v>
      </c>
      <c r="T607" s="2">
        <f t="shared" si="264"/>
        <v>143.47826086956522</v>
      </c>
      <c r="U607" s="2">
        <f ca="1">VLOOKUP(E607,金币生产率!$A$2:$B$120,2,0)</f>
        <v>3338</v>
      </c>
      <c r="V607" s="2">
        <f t="shared" si="265"/>
        <v>143.47826086956522</v>
      </c>
      <c r="W607" s="45">
        <f t="shared" ca="1" si="278"/>
        <v>67</v>
      </c>
      <c r="X607" s="48">
        <f t="shared" ca="1" si="279"/>
        <v>976</v>
      </c>
      <c r="Y607">
        <f t="shared" si="266"/>
        <v>18</v>
      </c>
      <c r="Z607">
        <f t="shared" ca="1" si="273"/>
        <v>27</v>
      </c>
      <c r="AA607" t="str">
        <f t="shared" ca="1" si="274"/>
        <v>9222100.png</v>
      </c>
      <c r="AB607">
        <f t="shared" si="267"/>
        <v>20</v>
      </c>
      <c r="AC607">
        <f>VLOOKUP(C607,技能辅助查询表,技能配置辅助表!$W$1,FALSE)</f>
        <v>24</v>
      </c>
      <c r="AD607">
        <f t="shared" ca="1" si="275"/>
        <v>743.84111369992002</v>
      </c>
      <c r="AE607">
        <f>VLOOKUP(C607,技能辅助查询表,技能配置辅助表!$U$1,FALSE)</f>
        <v>4</v>
      </c>
      <c r="AF607">
        <f t="shared" ca="1" si="276"/>
        <v>9222144</v>
      </c>
      <c r="AG607">
        <f t="shared" ca="1" si="280"/>
        <v>70.693877551020407</v>
      </c>
      <c r="AH607">
        <f t="shared" ca="1" si="277"/>
        <v>3488.6512265697725</v>
      </c>
      <c r="AI607">
        <f ca="1">VLOOKUP(E607,伤害参考系!$C$4:$E$104,3,FALSE)*$AN$12</f>
        <v>16902.905438127098</v>
      </c>
      <c r="AJ607">
        <f>VLOOKUP(C607,技能辅助查询表,技能配置辅助表!$L$1,FALSE)</f>
        <v>1</v>
      </c>
      <c r="AK607">
        <f>VLOOKUP(C607,技能辅助查询表,技能配置辅助表!$AE$1,FALSE)</f>
        <v>66000305</v>
      </c>
    </row>
    <row r="608" spans="1:37" x14ac:dyDescent="0.15">
      <c r="A608" s="1">
        <f t="shared" ca="1" si="268"/>
        <v>9222145</v>
      </c>
      <c r="B608" s="1" t="str">
        <f t="shared" ca="1" si="253"/>
        <v>龙拳第1段</v>
      </c>
      <c r="C608" t="s">
        <v>162</v>
      </c>
      <c r="D608">
        <f t="shared" si="254"/>
        <v>2</v>
      </c>
      <c r="E608" s="42">
        <f t="shared" ca="1" si="269"/>
        <v>72</v>
      </c>
      <c r="F608" t="str">
        <f t="shared" ca="1" si="270"/>
        <v>第45级，共造成208%点伤害</v>
      </c>
      <c r="G608">
        <f t="shared" ca="1" si="271"/>
        <v>1</v>
      </c>
      <c r="H608">
        <f t="shared" si="255"/>
        <v>1</v>
      </c>
      <c r="I608" s="44">
        <f t="shared" ca="1" si="272"/>
        <v>45</v>
      </c>
      <c r="J608">
        <f t="shared" si="256"/>
        <v>2</v>
      </c>
      <c r="K608" s="36">
        <f t="shared" ca="1" si="257"/>
        <v>208.04347826086956</v>
      </c>
      <c r="L608" s="10">
        <f ca="1">AH608*VLOOKUP(C608,技能辅助查询表,技能配置辅助表!$T$1,FALSE)</f>
        <v>0</v>
      </c>
      <c r="M608">
        <f t="shared" ca="1" si="258"/>
        <v>4400</v>
      </c>
      <c r="N608" s="33">
        <f ca="1">CHOOSE(1,W608*U608,X608*'[1]0、经济设定'!$C$18)</f>
        <v>247320</v>
      </c>
      <c r="O608">
        <f t="shared" si="259"/>
        <v>2</v>
      </c>
      <c r="P608">
        <f t="shared" si="260"/>
        <v>1</v>
      </c>
      <c r="Q608">
        <f t="shared" si="261"/>
        <v>1</v>
      </c>
      <c r="R608" s="2">
        <f t="shared" si="262"/>
        <v>4</v>
      </c>
      <c r="S608" s="2">
        <f t="shared" si="263"/>
        <v>50</v>
      </c>
      <c r="T608" s="2">
        <f t="shared" si="264"/>
        <v>143.47826086956522</v>
      </c>
      <c r="U608" s="2">
        <f ca="1">VLOOKUP(E608,金币生产率!$A$2:$B$120,2,0)</f>
        <v>3435</v>
      </c>
      <c r="V608" s="2">
        <f t="shared" si="265"/>
        <v>143.47826086956522</v>
      </c>
      <c r="W608" s="45">
        <f t="shared" ca="1" si="278"/>
        <v>72</v>
      </c>
      <c r="X608" s="48">
        <f t="shared" ca="1" si="279"/>
        <v>1048</v>
      </c>
      <c r="Y608">
        <f t="shared" si="266"/>
        <v>18</v>
      </c>
      <c r="Z608">
        <f t="shared" ca="1" si="273"/>
        <v>29</v>
      </c>
      <c r="AA608" t="str">
        <f t="shared" ca="1" si="274"/>
        <v>9222100.png</v>
      </c>
      <c r="AB608">
        <f t="shared" si="267"/>
        <v>20</v>
      </c>
      <c r="AC608">
        <f>VLOOKUP(C608,技能辅助查询表,技能配置辅助表!$W$1,FALSE)</f>
        <v>24</v>
      </c>
      <c r="AD608">
        <f t="shared" ca="1" si="275"/>
        <v>858.25057014292395</v>
      </c>
      <c r="AE608">
        <f>VLOOKUP(C608,技能辅助查询表,技能配置辅助表!$U$1,FALSE)</f>
        <v>4</v>
      </c>
      <c r="AF608">
        <f t="shared" ca="1" si="276"/>
        <v>9222145</v>
      </c>
      <c r="AG608">
        <f t="shared" ca="1" si="280"/>
        <v>72.244897959183675</v>
      </c>
      <c r="AH608">
        <f t="shared" ca="1" si="277"/>
        <v>3971.7833225930094</v>
      </c>
      <c r="AI608">
        <f ca="1">VLOOKUP(E608,伤害参考系!$C$4:$E$104,3,FALSE)*$AN$12</f>
        <v>17628.422312709041</v>
      </c>
      <c r="AJ608">
        <f>VLOOKUP(C608,技能辅助查询表,技能配置辅助表!$L$1,FALSE)</f>
        <v>1</v>
      </c>
      <c r="AK608">
        <f>VLOOKUP(C608,技能辅助查询表,技能配置辅助表!$AE$1,FALSE)</f>
        <v>66000305</v>
      </c>
    </row>
    <row r="609" spans="1:37" x14ac:dyDescent="0.15">
      <c r="A609" s="1">
        <f t="shared" ca="1" si="268"/>
        <v>9222146</v>
      </c>
      <c r="B609" s="1" t="str">
        <f t="shared" ca="1" si="253"/>
        <v>龙拳第1段</v>
      </c>
      <c r="C609" t="s">
        <v>162</v>
      </c>
      <c r="D609">
        <f t="shared" si="254"/>
        <v>2</v>
      </c>
      <c r="E609" s="42">
        <f t="shared" ca="1" si="269"/>
        <v>74</v>
      </c>
      <c r="F609" t="str">
        <f t="shared" ca="1" si="270"/>
        <v>第46级，共造成209.5%点伤害</v>
      </c>
      <c r="G609">
        <f t="shared" ca="1" si="271"/>
        <v>1</v>
      </c>
      <c r="H609">
        <f t="shared" si="255"/>
        <v>1</v>
      </c>
      <c r="I609" s="44">
        <f t="shared" ca="1" si="272"/>
        <v>46</v>
      </c>
      <c r="J609">
        <f t="shared" si="256"/>
        <v>2</v>
      </c>
      <c r="K609" s="36">
        <f t="shared" ca="1" si="257"/>
        <v>209.47826086956522</v>
      </c>
      <c r="L609" s="10">
        <f ca="1">AH609*VLOOKUP(C609,技能辅助查询表,技能配置辅助表!$T$1,FALSE)</f>
        <v>0</v>
      </c>
      <c r="M609">
        <f t="shared" ca="1" si="258"/>
        <v>4320</v>
      </c>
      <c r="N609" s="33">
        <f ca="1">CHOOSE(1,W609*U609,X609*'[1]0、经济设定'!$C$18)</f>
        <v>279818</v>
      </c>
      <c r="O609">
        <f t="shared" si="259"/>
        <v>2</v>
      </c>
      <c r="P609">
        <f t="shared" si="260"/>
        <v>1</v>
      </c>
      <c r="Q609">
        <f t="shared" si="261"/>
        <v>1</v>
      </c>
      <c r="R609" s="2">
        <f t="shared" si="262"/>
        <v>4</v>
      </c>
      <c r="S609" s="2">
        <f t="shared" si="263"/>
        <v>50</v>
      </c>
      <c r="T609" s="2">
        <f t="shared" si="264"/>
        <v>143.47826086956522</v>
      </c>
      <c r="U609" s="2">
        <f ca="1">VLOOKUP(E609,金币生产率!$A$2:$B$120,2,0)</f>
        <v>3634</v>
      </c>
      <c r="V609" s="2">
        <f t="shared" si="265"/>
        <v>143.47826086956522</v>
      </c>
      <c r="W609" s="45">
        <f t="shared" ca="1" si="278"/>
        <v>77</v>
      </c>
      <c r="X609" s="48">
        <f t="shared" ca="1" si="279"/>
        <v>1125</v>
      </c>
      <c r="Y609">
        <f t="shared" si="266"/>
        <v>18</v>
      </c>
      <c r="Z609">
        <f t="shared" ca="1" si="273"/>
        <v>31</v>
      </c>
      <c r="AA609" t="str">
        <f t="shared" ca="1" si="274"/>
        <v>9222100.png</v>
      </c>
      <c r="AB609">
        <f t="shared" si="267"/>
        <v>20</v>
      </c>
      <c r="AC609">
        <f>VLOOKUP(C609,技能辅助查询表,技能配置辅助表!$W$1,FALSE)</f>
        <v>24</v>
      </c>
      <c r="AD609">
        <f t="shared" ca="1" si="275"/>
        <v>990.0825987408183</v>
      </c>
      <c r="AE609">
        <f>VLOOKUP(C609,技能辅助查询表,技能配置辅助表!$U$1,FALSE)</f>
        <v>4</v>
      </c>
      <c r="AF609">
        <f t="shared" ca="1" si="276"/>
        <v>9222146</v>
      </c>
      <c r="AG609">
        <f t="shared" ca="1" si="280"/>
        <v>73.795918367346943</v>
      </c>
      <c r="AH609">
        <f t="shared" ca="1" si="277"/>
        <v>4521.8228298329677</v>
      </c>
      <c r="AI609">
        <f ca="1">VLOOKUP(E609,伤害参考系!$C$4:$E$104,3,FALSE)*$AN$12</f>
        <v>19123.189597826095</v>
      </c>
      <c r="AJ609">
        <f>VLOOKUP(C609,技能辅助查询表,技能配置辅助表!$L$1,FALSE)</f>
        <v>1</v>
      </c>
      <c r="AK609">
        <f>VLOOKUP(C609,技能辅助查询表,技能配置辅助表!$AE$1,FALSE)</f>
        <v>66000305</v>
      </c>
    </row>
    <row r="610" spans="1:37" x14ac:dyDescent="0.15">
      <c r="A610" s="1">
        <f t="shared" ca="1" si="268"/>
        <v>9222147</v>
      </c>
      <c r="B610" s="1" t="str">
        <f t="shared" ca="1" si="253"/>
        <v>龙拳第1段</v>
      </c>
      <c r="C610" t="s">
        <v>162</v>
      </c>
      <c r="D610">
        <f t="shared" si="254"/>
        <v>2</v>
      </c>
      <c r="E610" s="42">
        <f t="shared" ca="1" si="269"/>
        <v>75</v>
      </c>
      <c r="F610" t="str">
        <f t="shared" ca="1" si="270"/>
        <v>第47级，共造成210.9%点伤害</v>
      </c>
      <c r="G610">
        <f t="shared" ca="1" si="271"/>
        <v>1</v>
      </c>
      <c r="H610">
        <f t="shared" si="255"/>
        <v>1</v>
      </c>
      <c r="I610" s="44">
        <f t="shared" ca="1" si="272"/>
        <v>47</v>
      </c>
      <c r="J610">
        <f t="shared" si="256"/>
        <v>2</v>
      </c>
      <c r="K610" s="36">
        <f t="shared" ca="1" si="257"/>
        <v>210.91304347826087</v>
      </c>
      <c r="L610" s="10">
        <f ca="1">AH610*VLOOKUP(C610,技能辅助查询表,技能配置辅助表!$T$1,FALSE)</f>
        <v>0</v>
      </c>
      <c r="M610">
        <f t="shared" ca="1" si="258"/>
        <v>4240</v>
      </c>
      <c r="N610" s="33">
        <f ca="1">CHOOSE(1,W610*U610,X610*'[1]0、经济设定'!$C$18)</f>
        <v>306270</v>
      </c>
      <c r="O610">
        <f t="shared" si="259"/>
        <v>2</v>
      </c>
      <c r="P610">
        <f t="shared" si="260"/>
        <v>1</v>
      </c>
      <c r="Q610">
        <f t="shared" si="261"/>
        <v>1</v>
      </c>
      <c r="R610" s="2">
        <f t="shared" si="262"/>
        <v>4</v>
      </c>
      <c r="S610" s="2">
        <f t="shared" si="263"/>
        <v>50</v>
      </c>
      <c r="T610" s="2">
        <f t="shared" si="264"/>
        <v>143.47826086956522</v>
      </c>
      <c r="U610" s="2">
        <f ca="1">VLOOKUP(E610,金币生产率!$A$2:$B$120,2,0)</f>
        <v>3735</v>
      </c>
      <c r="V610" s="2">
        <f t="shared" si="265"/>
        <v>143.47826086956522</v>
      </c>
      <c r="W610" s="45">
        <f t="shared" ca="1" si="278"/>
        <v>82</v>
      </c>
      <c r="X610" s="48">
        <f t="shared" ca="1" si="279"/>
        <v>1207</v>
      </c>
      <c r="Y610">
        <f t="shared" si="266"/>
        <v>18</v>
      </c>
      <c r="Z610">
        <f t="shared" ca="1" si="273"/>
        <v>33</v>
      </c>
      <c r="AA610" t="str">
        <f t="shared" ca="1" si="274"/>
        <v>9222100.png</v>
      </c>
      <c r="AB610">
        <f t="shared" si="267"/>
        <v>20</v>
      </c>
      <c r="AC610">
        <f>VLOOKUP(C610,技能辅助查询表,技能配置辅助表!$W$1,FALSE)</f>
        <v>24</v>
      </c>
      <c r="AD610">
        <f t="shared" ca="1" si="275"/>
        <v>1141.9685794915179</v>
      </c>
      <c r="AE610">
        <f>VLOOKUP(C610,技能辅助查询表,技能配置辅助表!$U$1,FALSE)</f>
        <v>4</v>
      </c>
      <c r="AF610">
        <f t="shared" ca="1" si="276"/>
        <v>9222147</v>
      </c>
      <c r="AG610">
        <f t="shared" ca="1" si="280"/>
        <v>75.34693877551021</v>
      </c>
      <c r="AH610">
        <f t="shared" ca="1" si="277"/>
        <v>5148.0355406320868</v>
      </c>
      <c r="AI610">
        <f ca="1">VLOOKUP(E610,伤害参考系!$C$4:$E$104,3,FALSE)*$AN$12</f>
        <v>19892.440008361213</v>
      </c>
      <c r="AJ610">
        <f>VLOOKUP(C610,技能辅助查询表,技能配置辅助表!$L$1,FALSE)</f>
        <v>1</v>
      </c>
      <c r="AK610">
        <f>VLOOKUP(C610,技能辅助查询表,技能配置辅助表!$AE$1,FALSE)</f>
        <v>66000305</v>
      </c>
    </row>
    <row r="611" spans="1:37" x14ac:dyDescent="0.15">
      <c r="A611" s="1">
        <f t="shared" ca="1" si="268"/>
        <v>9222148</v>
      </c>
      <c r="B611" s="1" t="str">
        <f t="shared" ca="1" si="253"/>
        <v>龙拳第1段</v>
      </c>
      <c r="C611" t="s">
        <v>162</v>
      </c>
      <c r="D611">
        <f t="shared" si="254"/>
        <v>2</v>
      </c>
      <c r="E611" s="42">
        <f t="shared" ca="1" si="269"/>
        <v>77</v>
      </c>
      <c r="F611" t="str">
        <f t="shared" ca="1" si="270"/>
        <v>第48级，共造成212.3%点伤害</v>
      </c>
      <c r="G611">
        <f t="shared" ca="1" si="271"/>
        <v>1</v>
      </c>
      <c r="H611">
        <f t="shared" si="255"/>
        <v>1</v>
      </c>
      <c r="I611" s="44">
        <f t="shared" ca="1" si="272"/>
        <v>48</v>
      </c>
      <c r="J611">
        <f t="shared" si="256"/>
        <v>2</v>
      </c>
      <c r="K611" s="36">
        <f t="shared" ca="1" si="257"/>
        <v>212.3478260869565</v>
      </c>
      <c r="L611" s="10">
        <f ca="1">AH611*VLOOKUP(C611,技能辅助查询表,技能配置辅助表!$T$1,FALSE)</f>
        <v>0</v>
      </c>
      <c r="M611">
        <f t="shared" ca="1" si="258"/>
        <v>4160</v>
      </c>
      <c r="N611" s="33">
        <f ca="1">CHOOSE(1,W611*U611,X611*'[1]0、经济设定'!$C$18)</f>
        <v>346896</v>
      </c>
      <c r="O611">
        <f t="shared" si="259"/>
        <v>2</v>
      </c>
      <c r="P611">
        <f t="shared" si="260"/>
        <v>1</v>
      </c>
      <c r="Q611">
        <f t="shared" si="261"/>
        <v>1</v>
      </c>
      <c r="R611" s="2">
        <f t="shared" si="262"/>
        <v>4</v>
      </c>
      <c r="S611" s="2">
        <f t="shared" si="263"/>
        <v>50</v>
      </c>
      <c r="T611" s="2">
        <f t="shared" si="264"/>
        <v>143.47826086956522</v>
      </c>
      <c r="U611" s="2">
        <f ca="1">VLOOKUP(E611,金币生产率!$A$2:$B$120,2,0)</f>
        <v>3942</v>
      </c>
      <c r="V611" s="2">
        <f t="shared" si="265"/>
        <v>143.47826086956522</v>
      </c>
      <c r="W611" s="45">
        <f t="shared" ca="1" si="278"/>
        <v>88</v>
      </c>
      <c r="X611" s="48">
        <f t="shared" ca="1" si="279"/>
        <v>1295</v>
      </c>
      <c r="Y611">
        <f t="shared" si="266"/>
        <v>18</v>
      </c>
      <c r="Z611">
        <f t="shared" ca="1" si="273"/>
        <v>36</v>
      </c>
      <c r="AA611" t="str">
        <f t="shared" ca="1" si="274"/>
        <v>9222100.png</v>
      </c>
      <c r="AB611">
        <f t="shared" si="267"/>
        <v>20</v>
      </c>
      <c r="AC611">
        <f>VLOOKUP(C611,技能辅助查询表,技能配置辅助表!$W$1,FALSE)</f>
        <v>24</v>
      </c>
      <c r="AD611">
        <f t="shared" ca="1" si="275"/>
        <v>1316.9345747439711</v>
      </c>
      <c r="AE611">
        <f>VLOOKUP(C611,技能辅助查询表,技能配置辅助表!$U$1,FALSE)</f>
        <v>4</v>
      </c>
      <c r="AF611">
        <f t="shared" ca="1" si="276"/>
        <v>9222148</v>
      </c>
      <c r="AG611">
        <f t="shared" ca="1" si="280"/>
        <v>76.897959183673464</v>
      </c>
      <c r="AH611">
        <f t="shared" ca="1" si="277"/>
        <v>5860.970437134547</v>
      </c>
      <c r="AI611">
        <f ca="1">VLOOKUP(E611,伤害参考系!$C$4:$E$104,3,FALSE)*$AN$12</f>
        <v>21474.674365384624</v>
      </c>
      <c r="AJ611">
        <f>VLOOKUP(C611,技能辅助查询表,技能配置辅助表!$L$1,FALSE)</f>
        <v>1</v>
      </c>
      <c r="AK611">
        <f>VLOOKUP(C611,技能辅助查询表,技能配置辅助表!$AE$1,FALSE)</f>
        <v>66000305</v>
      </c>
    </row>
    <row r="612" spans="1:37" x14ac:dyDescent="0.15">
      <c r="A612" s="1">
        <f t="shared" ca="1" si="268"/>
        <v>9222149</v>
      </c>
      <c r="B612" s="1" t="str">
        <f t="shared" ca="1" si="253"/>
        <v>龙拳第1段</v>
      </c>
      <c r="C612" t="s">
        <v>162</v>
      </c>
      <c r="D612">
        <f t="shared" si="254"/>
        <v>2</v>
      </c>
      <c r="E612" s="42">
        <f t="shared" ca="1" si="269"/>
        <v>78</v>
      </c>
      <c r="F612" t="str">
        <f t="shared" ca="1" si="270"/>
        <v>第49级，共造成213.8%点伤害</v>
      </c>
      <c r="G612">
        <f t="shared" ca="1" si="271"/>
        <v>1</v>
      </c>
      <c r="H612">
        <f t="shared" si="255"/>
        <v>1</v>
      </c>
      <c r="I612" s="44">
        <f t="shared" ca="1" si="272"/>
        <v>49</v>
      </c>
      <c r="J612">
        <f t="shared" si="256"/>
        <v>2</v>
      </c>
      <c r="K612" s="36">
        <f t="shared" ca="1" si="257"/>
        <v>213.78260869565219</v>
      </c>
      <c r="L612" s="10">
        <f ca="1">AH612*VLOOKUP(C612,技能辅助查询表,技能配置辅助表!$T$1,FALSE)</f>
        <v>0</v>
      </c>
      <c r="M612">
        <f t="shared" ca="1" si="258"/>
        <v>4080</v>
      </c>
      <c r="N612" s="33">
        <f ca="1">CHOOSE(1,W612*U612,X612*'[1]0、经济设定'!$C$18)</f>
        <v>380418</v>
      </c>
      <c r="O612">
        <f t="shared" si="259"/>
        <v>2</v>
      </c>
      <c r="P612">
        <f t="shared" si="260"/>
        <v>1</v>
      </c>
      <c r="Q612">
        <f t="shared" si="261"/>
        <v>1</v>
      </c>
      <c r="R612" s="2">
        <f t="shared" si="262"/>
        <v>4</v>
      </c>
      <c r="S612" s="2">
        <f t="shared" si="263"/>
        <v>50</v>
      </c>
      <c r="T612" s="2">
        <f t="shared" si="264"/>
        <v>143.47826086956522</v>
      </c>
      <c r="U612" s="2">
        <f ca="1">VLOOKUP(E612,金币生产率!$A$2:$B$120,2,0)</f>
        <v>4047</v>
      </c>
      <c r="V612" s="2">
        <f t="shared" si="265"/>
        <v>143.47826086956522</v>
      </c>
      <c r="W612" s="45">
        <f t="shared" ca="1" si="278"/>
        <v>94</v>
      </c>
      <c r="X612" s="48">
        <f t="shared" ca="1" si="279"/>
        <v>1389</v>
      </c>
      <c r="Y612">
        <f t="shared" si="266"/>
        <v>18</v>
      </c>
      <c r="Z612">
        <f t="shared" ca="1" si="273"/>
        <v>38</v>
      </c>
      <c r="AA612" t="str">
        <f t="shared" ca="1" si="274"/>
        <v>9222100.png</v>
      </c>
      <c r="AB612">
        <f t="shared" si="267"/>
        <v>20</v>
      </c>
      <c r="AC612">
        <f>VLOOKUP(C612,技能辅助查询表,技能配置辅助表!$W$1,FALSE)</f>
        <v>24</v>
      </c>
      <c r="AD612">
        <f t="shared" ca="1" si="275"/>
        <v>1518.4601796208933</v>
      </c>
      <c r="AE612">
        <f>VLOOKUP(C612,技能辅助查询表,技能配置辅助表!$U$1,FALSE)</f>
        <v>4</v>
      </c>
      <c r="AF612">
        <f t="shared" ca="1" si="276"/>
        <v>9222149</v>
      </c>
      <c r="AG612">
        <f t="shared" ca="1" si="280"/>
        <v>78.448979591836732</v>
      </c>
      <c r="AH612">
        <f t="shared" ca="1" si="277"/>
        <v>6672.6373961177951</v>
      </c>
      <c r="AI612">
        <f ca="1">VLOOKUP(E612,伤害参考系!$C$4:$E$104,3,FALSE)*$AN$12</f>
        <v>22287.658311872914</v>
      </c>
      <c r="AJ612">
        <f>VLOOKUP(C612,技能辅助查询表,技能配置辅助表!$L$1,FALSE)</f>
        <v>1</v>
      </c>
      <c r="AK612">
        <f>VLOOKUP(C612,技能辅助查询表,技能配置辅助表!$AE$1,FALSE)</f>
        <v>66000305</v>
      </c>
    </row>
    <row r="613" spans="1:37" x14ac:dyDescent="0.15">
      <c r="A613" s="1">
        <f t="shared" ca="1" si="268"/>
        <v>9222150</v>
      </c>
      <c r="B613" s="1" t="str">
        <f t="shared" ca="1" si="253"/>
        <v>龙拳第1段</v>
      </c>
      <c r="C613" t="s">
        <v>162</v>
      </c>
      <c r="D613">
        <f t="shared" si="254"/>
        <v>2</v>
      </c>
      <c r="E613" s="42">
        <f t="shared" ca="1" si="269"/>
        <v>80</v>
      </c>
      <c r="F613" t="str">
        <f t="shared" ca="1" si="270"/>
        <v>第50级，共造成215.2%点伤害</v>
      </c>
      <c r="G613">
        <f t="shared" ca="1" si="271"/>
        <v>1</v>
      </c>
      <c r="H613">
        <f t="shared" si="255"/>
        <v>1</v>
      </c>
      <c r="I613" s="44">
        <f t="shared" ca="1" si="272"/>
        <v>50</v>
      </c>
      <c r="J613">
        <f t="shared" si="256"/>
        <v>2</v>
      </c>
      <c r="K613" s="36">
        <f t="shared" ca="1" si="257"/>
        <v>215.21739130434781</v>
      </c>
      <c r="L613" s="10">
        <f ca="1">AH613*VLOOKUP(C613,技能辅助查询表,技能配置辅助表!$T$1,FALSE)</f>
        <v>0</v>
      </c>
      <c r="M613">
        <f t="shared" ca="1" si="258"/>
        <v>4000</v>
      </c>
      <c r="N613" s="33">
        <f ca="1">CHOOSE(1,W613*U613,X613*'[1]0、经济设定'!$C$18)</f>
        <v>430462</v>
      </c>
      <c r="O613">
        <f t="shared" si="259"/>
        <v>2</v>
      </c>
      <c r="P613">
        <f t="shared" si="260"/>
        <v>1</v>
      </c>
      <c r="Q613">
        <f t="shared" si="261"/>
        <v>1</v>
      </c>
      <c r="R613" s="2">
        <f t="shared" si="262"/>
        <v>4</v>
      </c>
      <c r="S613" s="2">
        <f t="shared" si="263"/>
        <v>50</v>
      </c>
      <c r="T613" s="2">
        <f t="shared" si="264"/>
        <v>143.47826086956522</v>
      </c>
      <c r="U613" s="2">
        <f ca="1">VLOOKUP(E613,金币生产率!$A$2:$B$120,2,0)</f>
        <v>4262</v>
      </c>
      <c r="V613" s="2">
        <f t="shared" si="265"/>
        <v>143.47826086956522</v>
      </c>
      <c r="W613" s="45">
        <f t="shared" ca="1" si="278"/>
        <v>101</v>
      </c>
      <c r="X613" s="48">
        <f t="shared" ca="1" si="279"/>
        <v>1490</v>
      </c>
      <c r="Y613">
        <f t="shared" si="266"/>
        <v>18</v>
      </c>
      <c r="Z613">
        <f t="shared" ca="1" si="273"/>
        <v>41</v>
      </c>
      <c r="AA613" t="str">
        <f t="shared" ca="1" si="274"/>
        <v>9222100.png</v>
      </c>
      <c r="AB613">
        <f t="shared" si="267"/>
        <v>20</v>
      </c>
      <c r="AC613">
        <f>VLOOKUP(C613,技能辅助查询表,技能配置辅助表!$W$1,FALSE)</f>
        <v>24</v>
      </c>
      <c r="AD613">
        <f t="shared" ca="1" si="275"/>
        <v>1750.5461030023362</v>
      </c>
      <c r="AE613">
        <f>VLOOKUP(C613,技能辅助查询表,技能配置辅助表!$U$1,FALSE)</f>
        <v>4</v>
      </c>
      <c r="AF613">
        <f t="shared" ca="1" si="276"/>
        <v>9222150</v>
      </c>
      <c r="AG613">
        <f t="shared" ca="1" si="280"/>
        <v>80</v>
      </c>
      <c r="AH613">
        <f t="shared" ca="1" si="277"/>
        <v>7596.7095035950451</v>
      </c>
      <c r="AI613">
        <f ca="1">VLOOKUP(E613,伤害参考系!$C$4:$E$104,3,FALSE)*$AN$12</f>
        <v>24028.87424749164</v>
      </c>
      <c r="AJ613">
        <f>VLOOKUP(C613,技能辅助查询表,技能配置辅助表!$L$1,FALSE)</f>
        <v>1</v>
      </c>
      <c r="AK613">
        <f>VLOOKUP(C613,技能辅助查询表,技能配置辅助表!$AE$1,FALSE)</f>
        <v>66000305</v>
      </c>
    </row>
    <row r="614" spans="1:37" x14ac:dyDescent="0.15">
      <c r="A614" s="1">
        <f t="shared" ca="1" si="268"/>
        <v>1</v>
      </c>
      <c r="B614" s="1" t="str">
        <f t="shared" ca="1" si="253"/>
        <v>龙拳</v>
      </c>
      <c r="C614" t="s">
        <v>163</v>
      </c>
      <c r="D614">
        <f t="shared" si="254"/>
        <v>2</v>
      </c>
      <c r="E614" s="42">
        <f t="shared" ca="1" si="269"/>
        <v>4</v>
      </c>
      <c r="F614" t="str">
        <f t="shared" ca="1" si="270"/>
        <v>第0级，共造成143.5%点伤害</v>
      </c>
      <c r="G614">
        <f t="shared" ca="1" si="271"/>
        <v>0</v>
      </c>
      <c r="H614">
        <f t="shared" si="255"/>
        <v>2</v>
      </c>
      <c r="I614" s="44">
        <f t="shared" ca="1" si="272"/>
        <v>0</v>
      </c>
      <c r="J614">
        <f t="shared" si="256"/>
        <v>2</v>
      </c>
      <c r="K614" s="36">
        <f t="shared" ca="1" si="257"/>
        <v>143.47826086956522</v>
      </c>
      <c r="L614" s="10">
        <f ca="1">AH614*VLOOKUP(C614,技能辅助查询表,技能配置辅助表!$T$1,FALSE)</f>
        <v>0</v>
      </c>
      <c r="M614">
        <f t="shared" ca="1" si="258"/>
        <v>8000</v>
      </c>
      <c r="N614" s="33">
        <f ca="1">CHOOSE(1,W614*U614,X614*'[1]0、经济设定'!$C$18)</f>
        <v>0</v>
      </c>
      <c r="O614">
        <f t="shared" si="259"/>
        <v>2</v>
      </c>
      <c r="P614">
        <f t="shared" si="260"/>
        <v>1</v>
      </c>
      <c r="Q614">
        <f t="shared" si="261"/>
        <v>1</v>
      </c>
      <c r="R614" s="2">
        <f t="shared" si="262"/>
        <v>4</v>
      </c>
      <c r="S614" s="2">
        <f t="shared" si="263"/>
        <v>50</v>
      </c>
      <c r="T614" s="2">
        <f t="shared" si="264"/>
        <v>143.47826086956522</v>
      </c>
      <c r="U614" s="2">
        <f ca="1">VLOOKUP(E614,金币生产率!$A$2:$B$120,2,0)</f>
        <v>68</v>
      </c>
      <c r="V614" s="2">
        <f t="shared" si="265"/>
        <v>143.47826086956522</v>
      </c>
      <c r="W614" s="45">
        <f t="shared" ca="1" si="278"/>
        <v>0</v>
      </c>
      <c r="X614" s="48">
        <f t="shared" ca="1" si="279"/>
        <v>0</v>
      </c>
      <c r="Y614">
        <f t="shared" si="266"/>
        <v>18</v>
      </c>
      <c r="Z614">
        <f t="shared" ca="1" si="273"/>
        <v>0</v>
      </c>
      <c r="AA614" t="str">
        <f t="shared" ca="1" si="274"/>
        <v>9222200.png</v>
      </c>
      <c r="AB614">
        <f t="shared" si="267"/>
        <v>20</v>
      </c>
      <c r="AC614">
        <f>VLOOKUP(C614,技能辅助查询表,技能配置辅助表!$W$1,FALSE)</f>
        <v>25</v>
      </c>
      <c r="AD614">
        <f t="shared" ca="1" si="275"/>
        <v>1.0081565217391304</v>
      </c>
      <c r="AE614">
        <f>VLOOKUP(C614,技能辅助查询表,技能配置辅助表!$U$1,FALSE)</f>
        <v>4</v>
      </c>
      <c r="AF614">
        <f t="shared" ca="1" si="276"/>
        <v>9222200</v>
      </c>
      <c r="AG614">
        <f t="shared" ca="1" si="280"/>
        <v>0</v>
      </c>
      <c r="AH614">
        <f t="shared" ca="1" si="277"/>
        <v>11.5938</v>
      </c>
      <c r="AI614">
        <f ca="1">VLOOKUP(E614,伤害参考系!$C$4:$E$104,3,FALSE)*$AN$12</f>
        <v>50.4</v>
      </c>
      <c r="AJ614">
        <f>VLOOKUP(C614,技能辅助查询表,技能配置辅助表!$L$1,FALSE)</f>
        <v>1</v>
      </c>
      <c r="AK614">
        <f>VLOOKUP(C614,技能辅助查询表,技能配置辅助表!$AE$1,FALSE)</f>
        <v>66000305</v>
      </c>
    </row>
    <row r="615" spans="1:37" x14ac:dyDescent="0.15">
      <c r="A615" s="1">
        <f t="shared" ca="1" si="268"/>
        <v>9222201</v>
      </c>
      <c r="B615" s="1" t="str">
        <f t="shared" ca="1" si="253"/>
        <v>龙拳第2段</v>
      </c>
      <c r="C615" t="s">
        <v>163</v>
      </c>
      <c r="D615">
        <f t="shared" si="254"/>
        <v>2</v>
      </c>
      <c r="E615" s="42">
        <f t="shared" ca="1" si="269"/>
        <v>4</v>
      </c>
      <c r="F615" t="str">
        <f t="shared" ca="1" si="270"/>
        <v>第1级，共造成143.5%点伤害</v>
      </c>
      <c r="G615">
        <f t="shared" ca="1" si="271"/>
        <v>2</v>
      </c>
      <c r="H615">
        <f t="shared" si="255"/>
        <v>2</v>
      </c>
      <c r="I615" s="44">
        <f t="shared" ca="1" si="272"/>
        <v>1</v>
      </c>
      <c r="J615">
        <f t="shared" si="256"/>
        <v>2</v>
      </c>
      <c r="K615" s="36">
        <f t="shared" ca="1" si="257"/>
        <v>143.47826086956522</v>
      </c>
      <c r="L615" s="10">
        <f ca="1">AH615*VLOOKUP(C615,技能辅助查询表,技能配置辅助表!$T$1,FALSE)</f>
        <v>0</v>
      </c>
      <c r="M615">
        <f t="shared" ca="1" si="258"/>
        <v>8000</v>
      </c>
      <c r="N615" s="33">
        <f ca="1">CHOOSE(1,W615*U615,X615*'[1]0、经济设定'!$C$18)</f>
        <v>272</v>
      </c>
      <c r="O615">
        <f t="shared" si="259"/>
        <v>2</v>
      </c>
      <c r="P615">
        <f t="shared" si="260"/>
        <v>1</v>
      </c>
      <c r="Q615">
        <f t="shared" si="261"/>
        <v>1</v>
      </c>
      <c r="R615" s="2">
        <f t="shared" si="262"/>
        <v>4</v>
      </c>
      <c r="S615" s="2">
        <f t="shared" si="263"/>
        <v>50</v>
      </c>
      <c r="T615" s="2">
        <f t="shared" si="264"/>
        <v>143.47826086956522</v>
      </c>
      <c r="U615" s="2">
        <f ca="1">VLOOKUP(E615,金币生产率!$A$2:$B$120,2,0)</f>
        <v>68</v>
      </c>
      <c r="V615" s="2">
        <f t="shared" si="265"/>
        <v>143.47826086956522</v>
      </c>
      <c r="W615" s="45">
        <f t="shared" ca="1" si="278"/>
        <v>4</v>
      </c>
      <c r="X615" s="48">
        <f t="shared" ca="1" si="279"/>
        <v>4</v>
      </c>
      <c r="Y615">
        <f t="shared" si="266"/>
        <v>18</v>
      </c>
      <c r="Z615">
        <f t="shared" ca="1" si="273"/>
        <v>0</v>
      </c>
      <c r="AA615" t="str">
        <f t="shared" ca="1" si="274"/>
        <v>9222200.png</v>
      </c>
      <c r="AB615">
        <f t="shared" si="267"/>
        <v>20</v>
      </c>
      <c r="AC615">
        <f>VLOOKUP(C615,技能辅助查询表,技能配置辅助表!$W$1,FALSE)</f>
        <v>25</v>
      </c>
      <c r="AD615">
        <f t="shared" ca="1" si="275"/>
        <v>1.1477728782719212</v>
      </c>
      <c r="AE615">
        <f>VLOOKUP(C615,技能辅助查询表,技能配置辅助表!$U$1,FALSE)</f>
        <v>4</v>
      </c>
      <c r="AF615">
        <f t="shared" ca="1" si="276"/>
        <v>9222201</v>
      </c>
      <c r="AG615">
        <f t="shared" ca="1" si="280"/>
        <v>4</v>
      </c>
      <c r="AH615">
        <f t="shared" ca="1" si="277"/>
        <v>13.199388100127095</v>
      </c>
      <c r="AI615">
        <f ca="1">VLOOKUP(E615,伤害参考系!$C$4:$E$104,3,FALSE)*$AN$12</f>
        <v>50.4</v>
      </c>
      <c r="AJ615">
        <f>VLOOKUP(C615,技能辅助查询表,技能配置辅助表!$L$1,FALSE)</f>
        <v>1</v>
      </c>
      <c r="AK615">
        <f>VLOOKUP(C615,技能辅助查询表,技能配置辅助表!$AE$1,FALSE)</f>
        <v>66000305</v>
      </c>
    </row>
    <row r="616" spans="1:37" x14ac:dyDescent="0.15">
      <c r="A616" s="1">
        <f t="shared" ca="1" si="268"/>
        <v>9222202</v>
      </c>
      <c r="B616" s="1" t="str">
        <f t="shared" ca="1" si="253"/>
        <v>龙拳第2段</v>
      </c>
      <c r="C616" t="s">
        <v>163</v>
      </c>
      <c r="D616">
        <f t="shared" si="254"/>
        <v>2</v>
      </c>
      <c r="E616" s="42">
        <f t="shared" ca="1" si="269"/>
        <v>7</v>
      </c>
      <c r="F616" t="str">
        <f t="shared" ca="1" si="270"/>
        <v>第2级，共造成146.3%点伤害</v>
      </c>
      <c r="G616">
        <f t="shared" ca="1" si="271"/>
        <v>2</v>
      </c>
      <c r="H616">
        <f t="shared" si="255"/>
        <v>2</v>
      </c>
      <c r="I616" s="44">
        <f t="shared" ca="1" si="272"/>
        <v>2</v>
      </c>
      <c r="J616">
        <f t="shared" si="256"/>
        <v>2</v>
      </c>
      <c r="K616" s="36">
        <f t="shared" ca="1" si="257"/>
        <v>146.34782608695653</v>
      </c>
      <c r="L616" s="10">
        <f ca="1">AH616*VLOOKUP(C616,技能辅助查询表,技能配置辅助表!$T$1,FALSE)</f>
        <v>0</v>
      </c>
      <c r="M616">
        <f t="shared" ca="1" si="258"/>
        <v>7840</v>
      </c>
      <c r="N616" s="33">
        <f ca="1">CHOOSE(1,W616*U616,X616*'[1]0、经济设定'!$C$18)</f>
        <v>344</v>
      </c>
      <c r="O616">
        <f t="shared" si="259"/>
        <v>2</v>
      </c>
      <c r="P616">
        <f t="shared" si="260"/>
        <v>1</v>
      </c>
      <c r="Q616">
        <f t="shared" si="261"/>
        <v>1</v>
      </c>
      <c r="R616" s="2">
        <f t="shared" si="262"/>
        <v>4</v>
      </c>
      <c r="S616" s="2">
        <f t="shared" si="263"/>
        <v>50</v>
      </c>
      <c r="T616" s="2">
        <f t="shared" si="264"/>
        <v>143.47826086956522</v>
      </c>
      <c r="U616" s="2">
        <f ca="1">VLOOKUP(E616,金币生产率!$A$2:$B$120,2,0)</f>
        <v>86</v>
      </c>
      <c r="V616" s="2">
        <f t="shared" si="265"/>
        <v>143.47826086956522</v>
      </c>
      <c r="W616" s="45">
        <f t="shared" ca="1" si="278"/>
        <v>4</v>
      </c>
      <c r="X616" s="48">
        <f t="shared" ca="1" si="279"/>
        <v>8</v>
      </c>
      <c r="Y616">
        <f t="shared" si="266"/>
        <v>18</v>
      </c>
      <c r="Z616">
        <f t="shared" ca="1" si="273"/>
        <v>0</v>
      </c>
      <c r="AA616" t="str">
        <f t="shared" ca="1" si="274"/>
        <v>9222200.png</v>
      </c>
      <c r="AB616">
        <f t="shared" si="267"/>
        <v>20</v>
      </c>
      <c r="AC616">
        <f>VLOOKUP(C616,技能辅助查询表,技能配置辅助表!$W$1,FALSE)</f>
        <v>25</v>
      </c>
      <c r="AD616">
        <f t="shared" ca="1" si="275"/>
        <v>1.3929680561510775</v>
      </c>
      <c r="AE616">
        <f>VLOOKUP(C616,技能辅助查询表,技能配置辅助表!$U$1,FALSE)</f>
        <v>4</v>
      </c>
      <c r="AF616">
        <f t="shared" ca="1" si="276"/>
        <v>9222202</v>
      </c>
      <c r="AG616">
        <f t="shared" ca="1" si="280"/>
        <v>5.5510204081632653</v>
      </c>
      <c r="AH616">
        <f t="shared" ca="1" si="277"/>
        <v>15.027328935963775</v>
      </c>
      <c r="AI616">
        <f ca="1">VLOOKUP(E616,伤害参考系!$C$4:$E$104,3,FALSE)*$AN$12</f>
        <v>101.93624999999999</v>
      </c>
      <c r="AJ616">
        <f>VLOOKUP(C616,技能辅助查询表,技能配置辅助表!$L$1,FALSE)</f>
        <v>1</v>
      </c>
      <c r="AK616">
        <f>VLOOKUP(C616,技能辅助查询表,技能配置辅助表!$AE$1,FALSE)</f>
        <v>66000305</v>
      </c>
    </row>
    <row r="617" spans="1:37" x14ac:dyDescent="0.15">
      <c r="A617" s="1">
        <f t="shared" ca="1" si="268"/>
        <v>9222203</v>
      </c>
      <c r="B617" s="1" t="str">
        <f t="shared" ca="1" si="253"/>
        <v>龙拳第2段</v>
      </c>
      <c r="C617" t="s">
        <v>163</v>
      </c>
      <c r="D617">
        <f t="shared" si="254"/>
        <v>2</v>
      </c>
      <c r="E617" s="42">
        <f t="shared" ca="1" si="269"/>
        <v>9</v>
      </c>
      <c r="F617" t="str">
        <f t="shared" ca="1" si="270"/>
        <v>第3级，共造成147.8%点伤害</v>
      </c>
      <c r="G617">
        <f t="shared" ca="1" si="271"/>
        <v>2</v>
      </c>
      <c r="H617">
        <f t="shared" si="255"/>
        <v>2</v>
      </c>
      <c r="I617" s="44">
        <f t="shared" ca="1" si="272"/>
        <v>3</v>
      </c>
      <c r="J617">
        <f t="shared" si="256"/>
        <v>2</v>
      </c>
      <c r="K617" s="36">
        <f t="shared" ca="1" si="257"/>
        <v>147.78260869565219</v>
      </c>
      <c r="L617" s="10">
        <f ca="1">AH617*VLOOKUP(C617,技能辅助查询表,技能配置辅助表!$T$1,FALSE)</f>
        <v>0</v>
      </c>
      <c r="M617">
        <f t="shared" ca="1" si="258"/>
        <v>7760</v>
      </c>
      <c r="N617" s="33">
        <f ca="1">CHOOSE(1,W617*U617,X617*'[1]0、经济设定'!$C$18)</f>
        <v>392</v>
      </c>
      <c r="O617">
        <f t="shared" si="259"/>
        <v>2</v>
      </c>
      <c r="P617">
        <f t="shared" si="260"/>
        <v>1</v>
      </c>
      <c r="Q617">
        <f t="shared" si="261"/>
        <v>1</v>
      </c>
      <c r="R617" s="2">
        <f t="shared" si="262"/>
        <v>4</v>
      </c>
      <c r="S617" s="2">
        <f t="shared" si="263"/>
        <v>50</v>
      </c>
      <c r="T617" s="2">
        <f t="shared" si="264"/>
        <v>143.47826086956522</v>
      </c>
      <c r="U617" s="2">
        <f ca="1">VLOOKUP(E617,金币生产率!$A$2:$B$120,2,0)</f>
        <v>98</v>
      </c>
      <c r="V617" s="2">
        <f t="shared" si="265"/>
        <v>143.47826086956522</v>
      </c>
      <c r="W617" s="45">
        <f t="shared" ca="1" si="278"/>
        <v>4</v>
      </c>
      <c r="X617" s="48">
        <f t="shared" ca="1" si="279"/>
        <v>12</v>
      </c>
      <c r="Y617">
        <f t="shared" si="266"/>
        <v>18</v>
      </c>
      <c r="Z617">
        <f t="shared" ca="1" si="273"/>
        <v>0</v>
      </c>
      <c r="AA617" t="str">
        <f t="shared" ca="1" si="274"/>
        <v>9222200.png</v>
      </c>
      <c r="AB617">
        <f t="shared" si="267"/>
        <v>20</v>
      </c>
      <c r="AC617">
        <f>VLOOKUP(C617,技能辅助查询表,技能配置辅助表!$W$1,FALSE)</f>
        <v>25</v>
      </c>
      <c r="AD617">
        <f t="shared" ca="1" si="275"/>
        <v>1.6349694391434659</v>
      </c>
      <c r="AE617">
        <f>VLOOKUP(C617,技能辅助查询表,技能配置辅助表!$U$1,FALSE)</f>
        <v>4</v>
      </c>
      <c r="AF617">
        <f t="shared" ca="1" si="276"/>
        <v>9222203</v>
      </c>
      <c r="AG617">
        <f t="shared" ca="1" si="280"/>
        <v>7.1020408163265305</v>
      </c>
      <c r="AH617">
        <f t="shared" ca="1" si="277"/>
        <v>17.108415423248271</v>
      </c>
      <c r="AI617">
        <f ca="1">VLOOKUP(E617,伤害参考系!$C$4:$E$104,3,FALSE)*$AN$12</f>
        <v>145.4708152173913</v>
      </c>
      <c r="AJ617">
        <f>VLOOKUP(C617,技能辅助查询表,技能配置辅助表!$L$1,FALSE)</f>
        <v>1</v>
      </c>
      <c r="AK617">
        <f>VLOOKUP(C617,技能辅助查询表,技能配置辅助表!$AE$1,FALSE)</f>
        <v>66000305</v>
      </c>
    </row>
    <row r="618" spans="1:37" x14ac:dyDescent="0.15">
      <c r="A618" s="1">
        <f t="shared" ca="1" si="268"/>
        <v>9222204</v>
      </c>
      <c r="B618" s="1" t="str">
        <f t="shared" ca="1" si="253"/>
        <v>龙拳第2段</v>
      </c>
      <c r="C618" t="s">
        <v>94</v>
      </c>
      <c r="D618">
        <f t="shared" si="254"/>
        <v>2</v>
      </c>
      <c r="E618" s="42">
        <f t="shared" ca="1" si="269"/>
        <v>10</v>
      </c>
      <c r="F618" t="str">
        <f t="shared" ca="1" si="270"/>
        <v>第4级，共造成149.2%点伤害</v>
      </c>
      <c r="G618">
        <f t="shared" ca="1" si="271"/>
        <v>2</v>
      </c>
      <c r="H618">
        <f t="shared" si="255"/>
        <v>2</v>
      </c>
      <c r="I618" s="44">
        <f t="shared" ca="1" si="272"/>
        <v>4</v>
      </c>
      <c r="J618">
        <f t="shared" si="256"/>
        <v>2</v>
      </c>
      <c r="K618" s="36">
        <f t="shared" ca="1" si="257"/>
        <v>149.21739130434781</v>
      </c>
      <c r="L618" s="10">
        <f ca="1">AH618*VLOOKUP(C618,技能辅助查询表,技能配置辅助表!$T$1,FALSE)</f>
        <v>0</v>
      </c>
      <c r="M618">
        <f t="shared" ca="1" si="258"/>
        <v>7680</v>
      </c>
      <c r="N618" s="33">
        <f ca="1">CHOOSE(1,W618*U618,X618*'[1]0、经济设定'!$C$18)</f>
        <v>520</v>
      </c>
      <c r="O618">
        <f t="shared" si="259"/>
        <v>2</v>
      </c>
      <c r="P618">
        <f t="shared" si="260"/>
        <v>1</v>
      </c>
      <c r="Q618">
        <f t="shared" si="261"/>
        <v>1</v>
      </c>
      <c r="R618" s="2">
        <f t="shared" si="262"/>
        <v>4</v>
      </c>
      <c r="S618" s="2">
        <f t="shared" si="263"/>
        <v>50</v>
      </c>
      <c r="T618" s="2">
        <f t="shared" si="264"/>
        <v>143.47826086956522</v>
      </c>
      <c r="U618" s="2">
        <f ca="1">VLOOKUP(E618,金币生产率!$A$2:$B$120,2,0)</f>
        <v>104</v>
      </c>
      <c r="V618" s="2">
        <f t="shared" si="265"/>
        <v>143.47826086956522</v>
      </c>
      <c r="W618" s="45">
        <f t="shared" ca="1" si="278"/>
        <v>5</v>
      </c>
      <c r="X618" s="48">
        <f t="shared" ca="1" si="279"/>
        <v>17</v>
      </c>
      <c r="Y618">
        <f t="shared" si="266"/>
        <v>18</v>
      </c>
      <c r="Z618">
        <f t="shared" ca="1" si="273"/>
        <v>0</v>
      </c>
      <c r="AA618" t="str">
        <f t="shared" ca="1" si="274"/>
        <v>9222200.png</v>
      </c>
      <c r="AB618">
        <f t="shared" si="267"/>
        <v>20</v>
      </c>
      <c r="AC618">
        <f>VLOOKUP(C618,技能辅助查询表,技能配置辅助表!$W$1,FALSE)</f>
        <v>25</v>
      </c>
      <c r="AD618">
        <f t="shared" ca="1" si="275"/>
        <v>1.9172836465292797</v>
      </c>
      <c r="AE618">
        <f>VLOOKUP(C618,技能辅助查询表,技能配置辅助表!$U$1,FALSE)</f>
        <v>4</v>
      </c>
      <c r="AF618">
        <f t="shared" ca="1" si="276"/>
        <v>9222204</v>
      </c>
      <c r="AG618">
        <f t="shared" ca="1" si="280"/>
        <v>8.6530612244897966</v>
      </c>
      <c r="AH618">
        <f t="shared" ca="1" si="277"/>
        <v>19.477704889652582</v>
      </c>
      <c r="AI618">
        <f ca="1">VLOOKUP(E618,伤害参考系!$C$4:$E$104,3,FALSE)*$AN$12</f>
        <v>177.55434782608697</v>
      </c>
      <c r="AJ618">
        <f>VLOOKUP(C618,技能辅助查询表,技能配置辅助表!$L$1,FALSE)</f>
        <v>1</v>
      </c>
      <c r="AK618">
        <f>VLOOKUP(C618,技能辅助查询表,技能配置辅助表!$AE$1,FALSE)</f>
        <v>66000305</v>
      </c>
    </row>
    <row r="619" spans="1:37" x14ac:dyDescent="0.15">
      <c r="A619" s="1">
        <f t="shared" ca="1" si="268"/>
        <v>9222205</v>
      </c>
      <c r="B619" s="1" t="str">
        <f t="shared" ca="1" si="253"/>
        <v>龙拳第2段</v>
      </c>
      <c r="C619" t="s">
        <v>94</v>
      </c>
      <c r="D619">
        <f t="shared" si="254"/>
        <v>2</v>
      </c>
      <c r="E619" s="42">
        <f t="shared" ca="1" si="269"/>
        <v>12</v>
      </c>
      <c r="F619" t="str">
        <f t="shared" ca="1" si="270"/>
        <v>第5级，共造成150.7%点伤害</v>
      </c>
      <c r="G619">
        <f t="shared" ca="1" si="271"/>
        <v>2</v>
      </c>
      <c r="H619">
        <f t="shared" si="255"/>
        <v>2</v>
      </c>
      <c r="I619" s="44">
        <f t="shared" ca="1" si="272"/>
        <v>5</v>
      </c>
      <c r="J619">
        <f t="shared" si="256"/>
        <v>2</v>
      </c>
      <c r="K619" s="36">
        <f t="shared" ca="1" si="257"/>
        <v>150.65217391304347</v>
      </c>
      <c r="L619" s="10">
        <f ca="1">AH619*VLOOKUP(C619,技能辅助查询表,技能配置辅助表!$T$1,FALSE)</f>
        <v>0</v>
      </c>
      <c r="M619">
        <f t="shared" ca="1" si="258"/>
        <v>7600</v>
      </c>
      <c r="N619" s="33">
        <f ca="1">CHOOSE(1,W619*U619,X619*'[1]0、经济设定'!$C$18)</f>
        <v>580</v>
      </c>
      <c r="O619">
        <f t="shared" si="259"/>
        <v>2</v>
      </c>
      <c r="P619">
        <f t="shared" si="260"/>
        <v>1</v>
      </c>
      <c r="Q619">
        <f t="shared" si="261"/>
        <v>1</v>
      </c>
      <c r="R619" s="2">
        <f t="shared" si="262"/>
        <v>4</v>
      </c>
      <c r="S619" s="2">
        <f t="shared" si="263"/>
        <v>50</v>
      </c>
      <c r="T619" s="2">
        <f t="shared" si="264"/>
        <v>143.47826086956522</v>
      </c>
      <c r="U619" s="2">
        <f ca="1">VLOOKUP(E619,金币生产率!$A$2:$B$120,2,0)</f>
        <v>116</v>
      </c>
      <c r="V619" s="2">
        <f t="shared" si="265"/>
        <v>143.47826086956522</v>
      </c>
      <c r="W619" s="45">
        <f t="shared" ca="1" si="278"/>
        <v>5</v>
      </c>
      <c r="X619" s="48">
        <f t="shared" ca="1" si="279"/>
        <v>22</v>
      </c>
      <c r="Y619">
        <f t="shared" si="266"/>
        <v>18</v>
      </c>
      <c r="Z619">
        <f t="shared" ca="1" si="273"/>
        <v>0</v>
      </c>
      <c r="AA619" t="str">
        <f t="shared" ca="1" si="274"/>
        <v>9222200.png</v>
      </c>
      <c r="AB619">
        <f t="shared" si="267"/>
        <v>20</v>
      </c>
      <c r="AC619">
        <f>VLOOKUP(C619,技能辅助查询表,技能配置辅助表!$W$1,FALSE)</f>
        <v>25</v>
      </c>
      <c r="AD619">
        <f t="shared" ca="1" si="275"/>
        <v>2.2464350200000576</v>
      </c>
      <c r="AE619">
        <f>VLOOKUP(C619,技能辅助查询表,技能配置辅助表!$U$1,FALSE)</f>
        <v>4</v>
      </c>
      <c r="AF619">
        <f t="shared" ca="1" si="276"/>
        <v>9222205</v>
      </c>
      <c r="AG619">
        <f t="shared" ca="1" si="280"/>
        <v>10.204081632653061</v>
      </c>
      <c r="AH619">
        <f t="shared" ca="1" si="277"/>
        <v>22.175109639485559</v>
      </c>
      <c r="AI619">
        <f ca="1">VLOOKUP(E619,伤害参考系!$C$4:$E$104,3,FALSE)*$AN$12</f>
        <v>249.04956521739126</v>
      </c>
      <c r="AJ619">
        <f>VLOOKUP(C619,技能辅助查询表,技能配置辅助表!$L$1,FALSE)</f>
        <v>1</v>
      </c>
      <c r="AK619">
        <f>VLOOKUP(C619,技能辅助查询表,技能配置辅助表!$AE$1,FALSE)</f>
        <v>66000305</v>
      </c>
    </row>
    <row r="620" spans="1:37" x14ac:dyDescent="0.15">
      <c r="A620" s="1">
        <f t="shared" ca="1" si="268"/>
        <v>9222206</v>
      </c>
      <c r="B620" s="1" t="str">
        <f t="shared" ca="1" si="253"/>
        <v>龙拳第2段</v>
      </c>
      <c r="C620" t="s">
        <v>94</v>
      </c>
      <c r="D620">
        <f t="shared" si="254"/>
        <v>2</v>
      </c>
      <c r="E620" s="42">
        <f t="shared" ca="1" si="269"/>
        <v>13</v>
      </c>
      <c r="F620" t="str">
        <f t="shared" ca="1" si="270"/>
        <v>第6级，共造成152.1%点伤害</v>
      </c>
      <c r="G620">
        <f t="shared" ca="1" si="271"/>
        <v>2</v>
      </c>
      <c r="H620">
        <f t="shared" si="255"/>
        <v>2</v>
      </c>
      <c r="I620" s="44">
        <f t="shared" ca="1" si="272"/>
        <v>6</v>
      </c>
      <c r="J620">
        <f t="shared" si="256"/>
        <v>2</v>
      </c>
      <c r="K620" s="36">
        <f t="shared" ca="1" si="257"/>
        <v>152.08695652173913</v>
      </c>
      <c r="L620" s="10">
        <f ca="1">AH620*VLOOKUP(C620,技能辅助查询表,技能配置辅助表!$T$1,FALSE)</f>
        <v>0</v>
      </c>
      <c r="M620">
        <f t="shared" ca="1" si="258"/>
        <v>7520</v>
      </c>
      <c r="N620" s="33">
        <f ca="1">CHOOSE(1,W620*U620,X620*'[1]0、经济设定'!$C$18)</f>
        <v>610</v>
      </c>
      <c r="O620">
        <f t="shared" si="259"/>
        <v>2</v>
      </c>
      <c r="P620">
        <f t="shared" si="260"/>
        <v>1</v>
      </c>
      <c r="Q620">
        <f t="shared" si="261"/>
        <v>1</v>
      </c>
      <c r="R620" s="2">
        <f t="shared" si="262"/>
        <v>4</v>
      </c>
      <c r="S620" s="2">
        <f t="shared" si="263"/>
        <v>50</v>
      </c>
      <c r="T620" s="2">
        <f t="shared" si="264"/>
        <v>143.47826086956522</v>
      </c>
      <c r="U620" s="2">
        <f ca="1">VLOOKUP(E620,金币生产率!$A$2:$B$120,2,0)</f>
        <v>122</v>
      </c>
      <c r="V620" s="2">
        <f t="shared" si="265"/>
        <v>143.47826086956522</v>
      </c>
      <c r="W620" s="45">
        <f t="shared" ca="1" si="278"/>
        <v>5</v>
      </c>
      <c r="X620" s="48">
        <f t="shared" ca="1" si="279"/>
        <v>27</v>
      </c>
      <c r="Y620">
        <f t="shared" si="266"/>
        <v>18</v>
      </c>
      <c r="Z620">
        <f t="shared" ca="1" si="273"/>
        <v>0</v>
      </c>
      <c r="AA620" t="str">
        <f t="shared" ca="1" si="274"/>
        <v>9222200.png</v>
      </c>
      <c r="AB620">
        <f t="shared" si="267"/>
        <v>20</v>
      </c>
      <c r="AC620">
        <f>VLOOKUP(C620,技能辅助查询表,技能配置辅助表!$W$1,FALSE)</f>
        <v>25</v>
      </c>
      <c r="AD620">
        <f t="shared" ca="1" si="275"/>
        <v>2.6299818283440723</v>
      </c>
      <c r="AE620">
        <f>VLOOKUP(C620,技能辅助查询表,技能配置辅助表!$U$1,FALSE)</f>
        <v>4</v>
      </c>
      <c r="AF620">
        <f t="shared" ca="1" si="276"/>
        <v>9222206</v>
      </c>
      <c r="AG620">
        <f t="shared" ca="1" si="280"/>
        <v>11.755102040816325</v>
      </c>
      <c r="AH620">
        <f t="shared" ca="1" si="277"/>
        <v>25.246069303803697</v>
      </c>
      <c r="AI620">
        <f ca="1">VLOOKUP(E620,伤害参考系!$C$4:$E$104,3,FALSE)*$AN$12</f>
        <v>288.46124999999995</v>
      </c>
      <c r="AJ620">
        <f>VLOOKUP(C620,技能辅助查询表,技能配置辅助表!$L$1,FALSE)</f>
        <v>1</v>
      </c>
      <c r="AK620">
        <f>VLOOKUP(C620,技能辅助查询表,技能配置辅助表!$AE$1,FALSE)</f>
        <v>66000305</v>
      </c>
    </row>
    <row r="621" spans="1:37" x14ac:dyDescent="0.15">
      <c r="A621" s="1">
        <f t="shared" ca="1" si="268"/>
        <v>9222207</v>
      </c>
      <c r="B621" s="1" t="str">
        <f t="shared" ca="1" si="253"/>
        <v>龙拳第2段</v>
      </c>
      <c r="C621" t="s">
        <v>94</v>
      </c>
      <c r="D621">
        <f t="shared" si="254"/>
        <v>2</v>
      </c>
      <c r="E621" s="42">
        <f t="shared" ca="1" si="269"/>
        <v>15</v>
      </c>
      <c r="F621" t="str">
        <f t="shared" ca="1" si="270"/>
        <v>第7级，共造成153.5%点伤害</v>
      </c>
      <c r="G621">
        <f t="shared" ca="1" si="271"/>
        <v>2</v>
      </c>
      <c r="H621">
        <f t="shared" si="255"/>
        <v>2</v>
      </c>
      <c r="I621" s="44">
        <f t="shared" ca="1" si="272"/>
        <v>7</v>
      </c>
      <c r="J621">
        <f t="shared" si="256"/>
        <v>2</v>
      </c>
      <c r="K621" s="36">
        <f t="shared" ca="1" si="257"/>
        <v>153.52173913043478</v>
      </c>
      <c r="L621" s="10">
        <f ca="1">AH621*VLOOKUP(C621,技能辅助查询表,技能配置辅助表!$T$1,FALSE)</f>
        <v>0</v>
      </c>
      <c r="M621">
        <f t="shared" ca="1" si="258"/>
        <v>7440</v>
      </c>
      <c r="N621" s="33">
        <f ca="1">CHOOSE(1,W621*U621,X621*'[1]0、经济设定'!$C$18)</f>
        <v>670</v>
      </c>
      <c r="O621">
        <f t="shared" si="259"/>
        <v>2</v>
      </c>
      <c r="P621">
        <f t="shared" si="260"/>
        <v>1</v>
      </c>
      <c r="Q621">
        <f t="shared" si="261"/>
        <v>1</v>
      </c>
      <c r="R621" s="2">
        <f t="shared" si="262"/>
        <v>4</v>
      </c>
      <c r="S621" s="2">
        <f t="shared" si="263"/>
        <v>50</v>
      </c>
      <c r="T621" s="2">
        <f t="shared" si="264"/>
        <v>143.47826086956522</v>
      </c>
      <c r="U621" s="2">
        <f ca="1">VLOOKUP(E621,金币生产率!$A$2:$B$120,2,0)</f>
        <v>134</v>
      </c>
      <c r="V621" s="2">
        <f t="shared" si="265"/>
        <v>143.47826086956522</v>
      </c>
      <c r="W621" s="45">
        <f t="shared" ca="1" si="278"/>
        <v>5</v>
      </c>
      <c r="X621" s="48">
        <f t="shared" ca="1" si="279"/>
        <v>32</v>
      </c>
      <c r="Y621">
        <f t="shared" si="266"/>
        <v>18</v>
      </c>
      <c r="Z621">
        <f t="shared" ca="1" si="273"/>
        <v>0</v>
      </c>
      <c r="AA621" t="str">
        <f t="shared" ca="1" si="274"/>
        <v>9222200.png</v>
      </c>
      <c r="AB621">
        <f t="shared" si="267"/>
        <v>20</v>
      </c>
      <c r="AC621">
        <f>VLOOKUP(C621,技能辅助查询表,技能配置辅助表!$W$1,FALSE)</f>
        <v>25</v>
      </c>
      <c r="AD621">
        <f t="shared" ca="1" si="275"/>
        <v>3.076677510253865</v>
      </c>
      <c r="AE621">
        <f>VLOOKUP(C621,技能辅助查询表,技能配置辅助表!$U$1,FALSE)</f>
        <v>4</v>
      </c>
      <c r="AF621">
        <f t="shared" ca="1" si="276"/>
        <v>9222207</v>
      </c>
      <c r="AG621">
        <f t="shared" ca="1" si="280"/>
        <v>13.306122448979592</v>
      </c>
      <c r="AH621">
        <f t="shared" ca="1" si="277"/>
        <v>28.742316302127907</v>
      </c>
      <c r="AI621">
        <f ca="1">VLOOKUP(E621,伤害参考系!$C$4:$E$104,3,FALSE)*$AN$12</f>
        <v>374.61277173913044</v>
      </c>
      <c r="AJ621">
        <f>VLOOKUP(C621,技能辅助查询表,技能配置辅助表!$L$1,FALSE)</f>
        <v>1</v>
      </c>
      <c r="AK621">
        <f>VLOOKUP(C621,技能辅助查询表,技能配置辅助表!$AE$1,FALSE)</f>
        <v>66000305</v>
      </c>
    </row>
    <row r="622" spans="1:37" x14ac:dyDescent="0.15">
      <c r="A622" s="1">
        <f t="shared" ca="1" si="268"/>
        <v>9222208</v>
      </c>
      <c r="B622" s="1" t="str">
        <f t="shared" ca="1" si="253"/>
        <v>龙拳第2段</v>
      </c>
      <c r="C622" t="s">
        <v>94</v>
      </c>
      <c r="D622">
        <f t="shared" si="254"/>
        <v>2</v>
      </c>
      <c r="E622" s="42">
        <f t="shared" ca="1" si="269"/>
        <v>16</v>
      </c>
      <c r="F622" t="str">
        <f t="shared" ca="1" si="270"/>
        <v>第8级，共造成155%点伤害</v>
      </c>
      <c r="G622">
        <f t="shared" ca="1" si="271"/>
        <v>2</v>
      </c>
      <c r="H622">
        <f t="shared" si="255"/>
        <v>2</v>
      </c>
      <c r="I622" s="44">
        <f t="shared" ca="1" si="272"/>
        <v>8</v>
      </c>
      <c r="J622">
        <f t="shared" si="256"/>
        <v>2</v>
      </c>
      <c r="K622" s="36">
        <f t="shared" ca="1" si="257"/>
        <v>154.95652173913044</v>
      </c>
      <c r="L622" s="10">
        <f ca="1">AH622*VLOOKUP(C622,技能辅助查询表,技能配置辅助表!$T$1,FALSE)</f>
        <v>0</v>
      </c>
      <c r="M622">
        <f t="shared" ca="1" si="258"/>
        <v>7360</v>
      </c>
      <c r="N622" s="33">
        <f ca="1">CHOOSE(1,W622*U622,X622*'[1]0、经济设定'!$C$18)</f>
        <v>840</v>
      </c>
      <c r="O622">
        <f t="shared" si="259"/>
        <v>2</v>
      </c>
      <c r="P622">
        <f t="shared" si="260"/>
        <v>1</v>
      </c>
      <c r="Q622">
        <f t="shared" si="261"/>
        <v>1</v>
      </c>
      <c r="R622" s="2">
        <f t="shared" si="262"/>
        <v>4</v>
      </c>
      <c r="S622" s="2">
        <f t="shared" si="263"/>
        <v>50</v>
      </c>
      <c r="T622" s="2">
        <f t="shared" si="264"/>
        <v>143.47826086956522</v>
      </c>
      <c r="U622" s="2">
        <f ca="1">VLOOKUP(E622,金币生产率!$A$2:$B$120,2,0)</f>
        <v>140</v>
      </c>
      <c r="V622" s="2">
        <f t="shared" si="265"/>
        <v>143.47826086956522</v>
      </c>
      <c r="W622" s="45">
        <f t="shared" ca="1" si="278"/>
        <v>6</v>
      </c>
      <c r="X622" s="48">
        <f t="shared" ca="1" si="279"/>
        <v>38</v>
      </c>
      <c r="Y622">
        <f t="shared" si="266"/>
        <v>18</v>
      </c>
      <c r="Z622">
        <f t="shared" ca="1" si="273"/>
        <v>0</v>
      </c>
      <c r="AA622" t="str">
        <f t="shared" ca="1" si="274"/>
        <v>9222200.png</v>
      </c>
      <c r="AB622">
        <f t="shared" si="267"/>
        <v>20</v>
      </c>
      <c r="AC622">
        <f>VLOOKUP(C622,技能辅助查询表,技能配置辅助表!$W$1,FALSE)</f>
        <v>25</v>
      </c>
      <c r="AD622">
        <f t="shared" ca="1" si="275"/>
        <v>3.5966567478663847</v>
      </c>
      <c r="AE622">
        <f>VLOOKUP(C622,技能辅助查询表,技能配置辅助表!$U$1,FALSE)</f>
        <v>4</v>
      </c>
      <c r="AF622">
        <f t="shared" ca="1" si="276"/>
        <v>9222208</v>
      </c>
      <c r="AG622">
        <f t="shared" ca="1" si="280"/>
        <v>14.857142857142858</v>
      </c>
      <c r="AH622">
        <f t="shared" ca="1" si="277"/>
        <v>32.722747310493212</v>
      </c>
      <c r="AI622">
        <f ca="1">VLOOKUP(E622,伤害参考系!$C$4:$E$104,3,FALSE)*$AN$12</f>
        <v>421.35260869565224</v>
      </c>
      <c r="AJ622">
        <f>VLOOKUP(C622,技能辅助查询表,技能配置辅助表!$L$1,FALSE)</f>
        <v>1</v>
      </c>
      <c r="AK622">
        <f>VLOOKUP(C622,技能辅助查询表,技能配置辅助表!$AE$1,FALSE)</f>
        <v>66000305</v>
      </c>
    </row>
    <row r="623" spans="1:37" x14ac:dyDescent="0.15">
      <c r="A623" s="1">
        <f t="shared" ca="1" si="268"/>
        <v>9222209</v>
      </c>
      <c r="B623" s="1" t="str">
        <f t="shared" ca="1" si="253"/>
        <v>龙拳第2段</v>
      </c>
      <c r="C623" t="s">
        <v>94</v>
      </c>
      <c r="D623">
        <f t="shared" si="254"/>
        <v>2</v>
      </c>
      <c r="E623" s="42">
        <f t="shared" ca="1" si="269"/>
        <v>18</v>
      </c>
      <c r="F623" t="str">
        <f t="shared" ca="1" si="270"/>
        <v>第9级，共造成156.4%点伤害</v>
      </c>
      <c r="G623">
        <f t="shared" ca="1" si="271"/>
        <v>2</v>
      </c>
      <c r="H623">
        <f t="shared" si="255"/>
        <v>2</v>
      </c>
      <c r="I623" s="44">
        <f t="shared" ca="1" si="272"/>
        <v>9</v>
      </c>
      <c r="J623">
        <f t="shared" si="256"/>
        <v>2</v>
      </c>
      <c r="K623" s="36">
        <f t="shared" ca="1" si="257"/>
        <v>156.39130434782609</v>
      </c>
      <c r="L623" s="10">
        <f ca="1">AH623*VLOOKUP(C623,技能辅助查询表,技能配置辅助表!$T$1,FALSE)</f>
        <v>0</v>
      </c>
      <c r="M623">
        <f t="shared" ca="1" si="258"/>
        <v>7280</v>
      </c>
      <c r="N623" s="33">
        <f ca="1">CHOOSE(1,W623*U623,X623*'[1]0、经济设定'!$C$18)</f>
        <v>912</v>
      </c>
      <c r="O623">
        <f t="shared" si="259"/>
        <v>2</v>
      </c>
      <c r="P623">
        <f t="shared" si="260"/>
        <v>1</v>
      </c>
      <c r="Q623">
        <f t="shared" si="261"/>
        <v>1</v>
      </c>
      <c r="R623" s="2">
        <f t="shared" si="262"/>
        <v>4</v>
      </c>
      <c r="S623" s="2">
        <f t="shared" si="263"/>
        <v>50</v>
      </c>
      <c r="T623" s="2">
        <f t="shared" si="264"/>
        <v>143.47826086956522</v>
      </c>
      <c r="U623" s="2">
        <f ca="1">VLOOKUP(E623,金币生产率!$A$2:$B$120,2,0)</f>
        <v>152</v>
      </c>
      <c r="V623" s="2">
        <f t="shared" si="265"/>
        <v>143.47826086956522</v>
      </c>
      <c r="W623" s="45">
        <f t="shared" ca="1" si="278"/>
        <v>6</v>
      </c>
      <c r="X623" s="48">
        <f t="shared" ca="1" si="279"/>
        <v>44</v>
      </c>
      <c r="Y623">
        <f t="shared" si="266"/>
        <v>18</v>
      </c>
      <c r="Z623">
        <f t="shared" ca="1" si="273"/>
        <v>0</v>
      </c>
      <c r="AA623" t="str">
        <f t="shared" ca="1" si="274"/>
        <v>9222200.png</v>
      </c>
      <c r="AB623">
        <f t="shared" si="267"/>
        <v>20</v>
      </c>
      <c r="AC623">
        <f>VLOOKUP(C623,技能辅助查询表,技能配置辅助表!$W$1,FALSE)</f>
        <v>25</v>
      </c>
      <c r="AD623">
        <f t="shared" ca="1" si="275"/>
        <v>4.2016501560827209</v>
      </c>
      <c r="AE623">
        <f>VLOOKUP(C623,技能辅助查询表,技能配置辅助表!$U$1,FALSE)</f>
        <v>4</v>
      </c>
      <c r="AF623">
        <f t="shared" ca="1" si="276"/>
        <v>9222209</v>
      </c>
      <c r="AG623">
        <f t="shared" ca="1" si="280"/>
        <v>16.408163265306122</v>
      </c>
      <c r="AH623">
        <f t="shared" ca="1" si="277"/>
        <v>37.25441541630785</v>
      </c>
      <c r="AI623">
        <f ca="1">VLOOKUP(E623,伤害参考系!$C$4:$E$104,3,FALSE)*$AN$12</f>
        <v>522.16043478260883</v>
      </c>
      <c r="AJ623">
        <f>VLOOKUP(C623,技能辅助查询表,技能配置辅助表!$L$1,FALSE)</f>
        <v>1</v>
      </c>
      <c r="AK623">
        <f>VLOOKUP(C623,技能辅助查询表,技能配置辅助表!$AE$1,FALSE)</f>
        <v>66000305</v>
      </c>
    </row>
    <row r="624" spans="1:37" x14ac:dyDescent="0.15">
      <c r="A624" s="1">
        <f t="shared" ca="1" si="268"/>
        <v>9222210</v>
      </c>
      <c r="B624" s="1" t="str">
        <f t="shared" ca="1" si="253"/>
        <v>龙拳第2段</v>
      </c>
      <c r="C624" t="s">
        <v>94</v>
      </c>
      <c r="D624">
        <f t="shared" si="254"/>
        <v>2</v>
      </c>
      <c r="E624" s="42">
        <f t="shared" ca="1" si="269"/>
        <v>19</v>
      </c>
      <c r="F624" t="str">
        <f t="shared" ca="1" si="270"/>
        <v>第10级，共造成157.8%点伤害</v>
      </c>
      <c r="G624">
        <f t="shared" ca="1" si="271"/>
        <v>2</v>
      </c>
      <c r="H624">
        <f t="shared" si="255"/>
        <v>2</v>
      </c>
      <c r="I624" s="44">
        <f t="shared" ca="1" si="272"/>
        <v>10</v>
      </c>
      <c r="J624">
        <f t="shared" si="256"/>
        <v>2</v>
      </c>
      <c r="K624" s="36">
        <f t="shared" ca="1" si="257"/>
        <v>157.82608695652175</v>
      </c>
      <c r="L624" s="10">
        <f ca="1">AH624*VLOOKUP(C624,技能辅助查询表,技能配置辅助表!$T$1,FALSE)</f>
        <v>0</v>
      </c>
      <c r="M624">
        <f t="shared" ca="1" si="258"/>
        <v>7200</v>
      </c>
      <c r="N624" s="33">
        <f ca="1">CHOOSE(1,W624*U624,X624*'[1]0、经济设定'!$C$18)</f>
        <v>1106</v>
      </c>
      <c r="O624">
        <f t="shared" si="259"/>
        <v>2</v>
      </c>
      <c r="P624">
        <f t="shared" si="260"/>
        <v>1</v>
      </c>
      <c r="Q624">
        <f t="shared" si="261"/>
        <v>1</v>
      </c>
      <c r="R624" s="2">
        <f t="shared" si="262"/>
        <v>4</v>
      </c>
      <c r="S624" s="2">
        <f t="shared" si="263"/>
        <v>50</v>
      </c>
      <c r="T624" s="2">
        <f t="shared" si="264"/>
        <v>143.47826086956522</v>
      </c>
      <c r="U624" s="2">
        <f ca="1">VLOOKUP(E624,金币生产率!$A$2:$B$120,2,0)</f>
        <v>158</v>
      </c>
      <c r="V624" s="2">
        <f t="shared" si="265"/>
        <v>143.47826086956522</v>
      </c>
      <c r="W624" s="45">
        <f t="shared" ca="1" si="278"/>
        <v>7</v>
      </c>
      <c r="X624" s="48">
        <f t="shared" ca="1" si="279"/>
        <v>51</v>
      </c>
      <c r="Y624">
        <f t="shared" si="266"/>
        <v>18</v>
      </c>
      <c r="Z624">
        <f t="shared" ca="1" si="273"/>
        <v>0</v>
      </c>
      <c r="AA624" t="str">
        <f t="shared" ca="1" si="274"/>
        <v>9222200.png</v>
      </c>
      <c r="AB624">
        <f t="shared" si="267"/>
        <v>20</v>
      </c>
      <c r="AC624">
        <f>VLOOKUP(C624,技能辅助查询表,技能配置辅助表!$W$1,FALSE)</f>
        <v>25</v>
      </c>
      <c r="AD624">
        <f t="shared" ca="1" si="275"/>
        <v>4.9052319448540587</v>
      </c>
      <c r="AE624">
        <f>VLOOKUP(C624,技能辅助查询表,技能配置辅助表!$U$1,FALSE)</f>
        <v>4</v>
      </c>
      <c r="AF624">
        <f t="shared" ca="1" si="276"/>
        <v>9222210</v>
      </c>
      <c r="AG624">
        <f t="shared" ca="1" si="280"/>
        <v>17.95918367346939</v>
      </c>
      <c r="AH624">
        <f t="shared" ca="1" si="277"/>
        <v>42.413659673550121</v>
      </c>
      <c r="AI624">
        <f ca="1">VLOOKUP(E624,伤害参考系!$C$4:$E$104,3,FALSE)*$AN$12</f>
        <v>576.22842391304346</v>
      </c>
      <c r="AJ624">
        <f>VLOOKUP(C624,技能辅助查询表,技能配置辅助表!$L$1,FALSE)</f>
        <v>1</v>
      </c>
      <c r="AK624">
        <f>VLOOKUP(C624,技能辅助查询表,技能配置辅助表!$AE$1,FALSE)</f>
        <v>66000305</v>
      </c>
    </row>
    <row r="625" spans="1:37" x14ac:dyDescent="0.15">
      <c r="A625" s="1">
        <f t="shared" ca="1" si="268"/>
        <v>9222211</v>
      </c>
      <c r="B625" s="1" t="str">
        <f t="shared" ca="1" si="253"/>
        <v>龙拳第2段</v>
      </c>
      <c r="C625" t="s">
        <v>94</v>
      </c>
      <c r="D625">
        <f t="shared" si="254"/>
        <v>2</v>
      </c>
      <c r="E625" s="42">
        <f t="shared" ca="1" si="269"/>
        <v>21</v>
      </c>
      <c r="F625" t="str">
        <f t="shared" ca="1" si="270"/>
        <v>第11级，共造成159.3%点伤害</v>
      </c>
      <c r="G625">
        <f t="shared" ca="1" si="271"/>
        <v>2</v>
      </c>
      <c r="H625">
        <f t="shared" si="255"/>
        <v>2</v>
      </c>
      <c r="I625" s="44">
        <f t="shared" ca="1" si="272"/>
        <v>11</v>
      </c>
      <c r="J625">
        <f t="shared" si="256"/>
        <v>2</v>
      </c>
      <c r="K625" s="36">
        <f t="shared" ca="1" si="257"/>
        <v>159.2608695652174</v>
      </c>
      <c r="L625" s="10">
        <f ca="1">AH625*VLOOKUP(C625,技能辅助查询表,技能配置辅助表!$T$1,FALSE)</f>
        <v>0</v>
      </c>
      <c r="M625">
        <f t="shared" ca="1" si="258"/>
        <v>7120</v>
      </c>
      <c r="N625" s="33">
        <f ca="1">CHOOSE(1,W625*U625,X625*'[1]0、经济设定'!$C$18)</f>
        <v>1470</v>
      </c>
      <c r="O625">
        <f t="shared" si="259"/>
        <v>2</v>
      </c>
      <c r="P625">
        <f t="shared" si="260"/>
        <v>1</v>
      </c>
      <c r="Q625">
        <f t="shared" si="261"/>
        <v>1</v>
      </c>
      <c r="R625" s="2">
        <f t="shared" si="262"/>
        <v>4</v>
      </c>
      <c r="S625" s="2">
        <f t="shared" si="263"/>
        <v>50</v>
      </c>
      <c r="T625" s="2">
        <f t="shared" si="264"/>
        <v>143.47826086956522</v>
      </c>
      <c r="U625" s="2">
        <f ca="1">VLOOKUP(E625,金币生产率!$A$2:$B$120,2,0)</f>
        <v>210</v>
      </c>
      <c r="V625" s="2">
        <f t="shared" si="265"/>
        <v>143.47826086956522</v>
      </c>
      <c r="W625" s="45">
        <f t="shared" ca="1" si="278"/>
        <v>7</v>
      </c>
      <c r="X625" s="48">
        <f t="shared" ca="1" si="279"/>
        <v>58</v>
      </c>
      <c r="Y625">
        <f t="shared" si="266"/>
        <v>18</v>
      </c>
      <c r="Z625">
        <f t="shared" ca="1" si="273"/>
        <v>0</v>
      </c>
      <c r="AA625" t="str">
        <f t="shared" ca="1" si="274"/>
        <v>9222200.png</v>
      </c>
      <c r="AB625">
        <f t="shared" si="267"/>
        <v>20</v>
      </c>
      <c r="AC625">
        <f>VLOOKUP(C625,技能辅助查询表,技能配置辅助表!$W$1,FALSE)</f>
        <v>25</v>
      </c>
      <c r="AD625">
        <f t="shared" ca="1" si="275"/>
        <v>5.7231055696356048</v>
      </c>
      <c r="AE625">
        <f>VLOOKUP(C625,技能辅助查询表,技能配置辅助表!$U$1,FALSE)</f>
        <v>4</v>
      </c>
      <c r="AF625">
        <f t="shared" ca="1" si="276"/>
        <v>9222211</v>
      </c>
      <c r="AG625">
        <f t="shared" ca="1" si="280"/>
        <v>19.510204081632651</v>
      </c>
      <c r="AH625">
        <f t="shared" ca="1" si="277"/>
        <v>48.287391086433935</v>
      </c>
      <c r="AI625">
        <f ca="1">VLOOKUP(E625,伤害参考系!$C$4:$E$104,3,FALSE)*$AN$12</f>
        <v>691.69255434782622</v>
      </c>
      <c r="AJ625">
        <f>VLOOKUP(C625,技能辅助查询表,技能配置辅助表!$L$1,FALSE)</f>
        <v>1</v>
      </c>
      <c r="AK625">
        <f>VLOOKUP(C625,技能辅助查询表,技能配置辅助表!$AE$1,FALSE)</f>
        <v>66000305</v>
      </c>
    </row>
    <row r="626" spans="1:37" x14ac:dyDescent="0.15">
      <c r="A626" s="1">
        <f t="shared" ca="1" si="268"/>
        <v>9222212</v>
      </c>
      <c r="B626" s="1" t="str">
        <f t="shared" ca="1" si="253"/>
        <v>龙拳第2段</v>
      </c>
      <c r="C626" t="s">
        <v>94</v>
      </c>
      <c r="D626">
        <f t="shared" si="254"/>
        <v>2</v>
      </c>
      <c r="E626" s="42">
        <f t="shared" ca="1" si="269"/>
        <v>22</v>
      </c>
      <c r="F626" t="str">
        <f t="shared" ca="1" si="270"/>
        <v>第12级，共造成160.7%点伤害</v>
      </c>
      <c r="G626">
        <f t="shared" ca="1" si="271"/>
        <v>2</v>
      </c>
      <c r="H626">
        <f t="shared" si="255"/>
        <v>2</v>
      </c>
      <c r="I626" s="44">
        <f t="shared" ca="1" si="272"/>
        <v>12</v>
      </c>
      <c r="J626">
        <f t="shared" si="256"/>
        <v>2</v>
      </c>
      <c r="K626" s="36">
        <f t="shared" ca="1" si="257"/>
        <v>160.69565217391303</v>
      </c>
      <c r="L626" s="10">
        <f ca="1">AH626*VLOOKUP(C626,技能辅助查询表,技能配置辅助表!$T$1,FALSE)</f>
        <v>0</v>
      </c>
      <c r="M626">
        <f t="shared" ca="1" si="258"/>
        <v>7040</v>
      </c>
      <c r="N626" s="33">
        <f ca="1">CHOOSE(1,W626*U626,X626*'[1]0、经济设定'!$C$18)</f>
        <v>1912</v>
      </c>
      <c r="O626">
        <f t="shared" si="259"/>
        <v>2</v>
      </c>
      <c r="P626">
        <f t="shared" si="260"/>
        <v>1</v>
      </c>
      <c r="Q626">
        <f t="shared" si="261"/>
        <v>1</v>
      </c>
      <c r="R626" s="2">
        <f t="shared" si="262"/>
        <v>4</v>
      </c>
      <c r="S626" s="2">
        <f t="shared" si="263"/>
        <v>50</v>
      </c>
      <c r="T626" s="2">
        <f t="shared" si="264"/>
        <v>143.47826086956522</v>
      </c>
      <c r="U626" s="2">
        <f ca="1">VLOOKUP(E626,金币生产率!$A$2:$B$120,2,0)</f>
        <v>239</v>
      </c>
      <c r="V626" s="2">
        <f t="shared" si="265"/>
        <v>143.47826086956522</v>
      </c>
      <c r="W626" s="45">
        <f t="shared" ca="1" si="278"/>
        <v>8</v>
      </c>
      <c r="X626" s="48">
        <f t="shared" ca="1" si="279"/>
        <v>66</v>
      </c>
      <c r="Y626">
        <f t="shared" si="266"/>
        <v>18</v>
      </c>
      <c r="Z626">
        <f t="shared" ca="1" si="273"/>
        <v>0</v>
      </c>
      <c r="AA626" t="str">
        <f t="shared" ca="1" si="274"/>
        <v>9222200.png</v>
      </c>
      <c r="AB626">
        <f t="shared" si="267"/>
        <v>20</v>
      </c>
      <c r="AC626">
        <f>VLOOKUP(C626,技能辅助查询表,技能配置辅助表!$W$1,FALSE)</f>
        <v>25</v>
      </c>
      <c r="AD626">
        <f t="shared" ca="1" si="275"/>
        <v>6.6734331419137289</v>
      </c>
      <c r="AE626">
        <f>VLOOKUP(C626,技能辅助查询表,技能配置辅助表!$U$1,FALSE)</f>
        <v>4</v>
      </c>
      <c r="AF626">
        <f t="shared" ca="1" si="276"/>
        <v>9222212</v>
      </c>
      <c r="AG626">
        <f t="shared" ca="1" si="280"/>
        <v>21.061224489795919</v>
      </c>
      <c r="AH626">
        <f t="shared" ca="1" si="277"/>
        <v>54.974556684819426</v>
      </c>
      <c r="AI626">
        <f ca="1">VLOOKUP(E626,伤害参考系!$C$4:$E$104,3,FALSE)*$AN$12</f>
        <v>753.08869565217401</v>
      </c>
      <c r="AJ626">
        <f>VLOOKUP(C626,技能辅助查询表,技能配置辅助表!$L$1,FALSE)</f>
        <v>1</v>
      </c>
      <c r="AK626">
        <f>VLOOKUP(C626,技能辅助查询表,技能配置辅助表!$AE$1,FALSE)</f>
        <v>66000305</v>
      </c>
    </row>
    <row r="627" spans="1:37" x14ac:dyDescent="0.15">
      <c r="A627" s="1">
        <f t="shared" ca="1" si="268"/>
        <v>9222213</v>
      </c>
      <c r="B627" s="1" t="str">
        <f t="shared" ca="1" si="253"/>
        <v>龙拳第2段</v>
      </c>
      <c r="C627" t="s">
        <v>94</v>
      </c>
      <c r="D627">
        <f t="shared" si="254"/>
        <v>2</v>
      </c>
      <c r="E627" s="42">
        <f t="shared" ca="1" si="269"/>
        <v>24</v>
      </c>
      <c r="F627" t="str">
        <f t="shared" ca="1" si="270"/>
        <v>第13级，共造成162.1%点伤害</v>
      </c>
      <c r="G627">
        <f t="shared" ca="1" si="271"/>
        <v>2</v>
      </c>
      <c r="H627">
        <f t="shared" si="255"/>
        <v>2</v>
      </c>
      <c r="I627" s="44">
        <f t="shared" ca="1" si="272"/>
        <v>13</v>
      </c>
      <c r="J627">
        <f t="shared" si="256"/>
        <v>2</v>
      </c>
      <c r="K627" s="36">
        <f t="shared" ca="1" si="257"/>
        <v>162.13043478260869</v>
      </c>
      <c r="L627" s="10">
        <f ca="1">AH627*VLOOKUP(C627,技能辅助查询表,技能配置辅助表!$T$1,FALSE)</f>
        <v>0</v>
      </c>
      <c r="M627">
        <f t="shared" ca="1" si="258"/>
        <v>6960</v>
      </c>
      <c r="N627" s="33">
        <f ca="1">CHOOSE(1,W627*U627,X627*'[1]0、经济设定'!$C$18)</f>
        <v>2416</v>
      </c>
      <c r="O627">
        <f t="shared" si="259"/>
        <v>2</v>
      </c>
      <c r="P627">
        <f t="shared" si="260"/>
        <v>1</v>
      </c>
      <c r="Q627">
        <f t="shared" si="261"/>
        <v>1</v>
      </c>
      <c r="R627" s="2">
        <f t="shared" si="262"/>
        <v>4</v>
      </c>
      <c r="S627" s="2">
        <f t="shared" si="263"/>
        <v>50</v>
      </c>
      <c r="T627" s="2">
        <f t="shared" si="264"/>
        <v>143.47826086956522</v>
      </c>
      <c r="U627" s="2">
        <f ca="1">VLOOKUP(E627,金币生产率!$A$2:$B$120,2,0)</f>
        <v>302</v>
      </c>
      <c r="V627" s="2">
        <f t="shared" si="265"/>
        <v>143.47826086956522</v>
      </c>
      <c r="W627" s="45">
        <f t="shared" ca="1" si="278"/>
        <v>8</v>
      </c>
      <c r="X627" s="48">
        <f t="shared" ca="1" si="279"/>
        <v>74</v>
      </c>
      <c r="Y627">
        <f t="shared" si="266"/>
        <v>18</v>
      </c>
      <c r="Z627">
        <f t="shared" ca="1" si="273"/>
        <v>0</v>
      </c>
      <c r="AA627" t="str">
        <f t="shared" ca="1" si="274"/>
        <v>9222200.png</v>
      </c>
      <c r="AB627">
        <f t="shared" si="267"/>
        <v>20</v>
      </c>
      <c r="AC627">
        <f>VLOOKUP(C627,技能辅助查询表,技能配置辅助表!$W$1,FALSE)</f>
        <v>25</v>
      </c>
      <c r="AD627">
        <f t="shared" ca="1" si="275"/>
        <v>7.7772152418171085</v>
      </c>
      <c r="AE627">
        <f>VLOOKUP(C627,技能辅助查询表,技能配置辅助表!$U$1,FALSE)</f>
        <v>4</v>
      </c>
      <c r="AF627">
        <f t="shared" ca="1" si="276"/>
        <v>9222213</v>
      </c>
      <c r="AG627">
        <f t="shared" ca="1" si="280"/>
        <v>22.612244897959183</v>
      </c>
      <c r="AH627">
        <f t="shared" ca="1" si="277"/>
        <v>62.587806354721323</v>
      </c>
      <c r="AI627">
        <f ca="1">VLOOKUP(E627,伤害参考系!$C$4:$E$104,3,FALSE)*$AN$12</f>
        <v>914.59374581939801</v>
      </c>
      <c r="AJ627">
        <f>VLOOKUP(C627,技能辅助查询表,技能配置辅助表!$L$1,FALSE)</f>
        <v>1</v>
      </c>
      <c r="AK627">
        <f>VLOOKUP(C627,技能辅助查询表,技能配置辅助表!$AE$1,FALSE)</f>
        <v>66000305</v>
      </c>
    </row>
    <row r="628" spans="1:37" x14ac:dyDescent="0.15">
      <c r="A628" s="1">
        <f t="shared" ca="1" si="268"/>
        <v>9222214</v>
      </c>
      <c r="B628" s="1" t="str">
        <f t="shared" ca="1" si="253"/>
        <v>龙拳第2段</v>
      </c>
      <c r="C628" t="s">
        <v>94</v>
      </c>
      <c r="D628">
        <f t="shared" si="254"/>
        <v>2</v>
      </c>
      <c r="E628" s="42">
        <f t="shared" ca="1" si="269"/>
        <v>25</v>
      </c>
      <c r="F628" t="str">
        <f t="shared" ca="1" si="270"/>
        <v>第14级，共造成163.6%点伤害</v>
      </c>
      <c r="G628">
        <f t="shared" ca="1" si="271"/>
        <v>2</v>
      </c>
      <c r="H628">
        <f t="shared" si="255"/>
        <v>2</v>
      </c>
      <c r="I628" s="44">
        <f t="shared" ca="1" si="272"/>
        <v>14</v>
      </c>
      <c r="J628">
        <f t="shared" si="256"/>
        <v>2</v>
      </c>
      <c r="K628" s="36">
        <f t="shared" ca="1" si="257"/>
        <v>163.56521739130434</v>
      </c>
      <c r="L628" s="10">
        <f ca="1">AH628*VLOOKUP(C628,技能辅助查询表,技能配置辅助表!$T$1,FALSE)</f>
        <v>0</v>
      </c>
      <c r="M628">
        <f t="shared" ca="1" si="258"/>
        <v>6880</v>
      </c>
      <c r="N628" s="33">
        <f ca="1">CHOOSE(1,W628*U628,X628*'[1]0、经济设定'!$C$18)</f>
        <v>3015</v>
      </c>
      <c r="O628">
        <f t="shared" si="259"/>
        <v>2</v>
      </c>
      <c r="P628">
        <f t="shared" si="260"/>
        <v>1</v>
      </c>
      <c r="Q628">
        <f t="shared" si="261"/>
        <v>1</v>
      </c>
      <c r="R628" s="2">
        <f t="shared" si="262"/>
        <v>4</v>
      </c>
      <c r="S628" s="2">
        <f t="shared" si="263"/>
        <v>50</v>
      </c>
      <c r="T628" s="2">
        <f t="shared" si="264"/>
        <v>143.47826086956522</v>
      </c>
      <c r="U628" s="2">
        <f ca="1">VLOOKUP(E628,金币生产率!$A$2:$B$120,2,0)</f>
        <v>335</v>
      </c>
      <c r="V628" s="2">
        <f t="shared" si="265"/>
        <v>143.47826086956522</v>
      </c>
      <c r="W628" s="45">
        <f t="shared" ca="1" si="278"/>
        <v>9</v>
      </c>
      <c r="X628" s="48">
        <f t="shared" ca="1" si="279"/>
        <v>83</v>
      </c>
      <c r="Y628">
        <f t="shared" si="266"/>
        <v>18</v>
      </c>
      <c r="Z628">
        <f t="shared" ca="1" si="273"/>
        <v>0</v>
      </c>
      <c r="AA628" t="str">
        <f t="shared" ca="1" si="274"/>
        <v>9222200.png</v>
      </c>
      <c r="AB628">
        <f t="shared" si="267"/>
        <v>20</v>
      </c>
      <c r="AC628">
        <f>VLOOKUP(C628,技能辅助查询表,技能配置辅助表!$W$1,FALSE)</f>
        <v>25</v>
      </c>
      <c r="AD628">
        <f t="shared" ca="1" si="275"/>
        <v>9.058728775227781</v>
      </c>
      <c r="AE628">
        <f>VLOOKUP(C628,技能辅助查询表,技能配置辅助表!$U$1,FALSE)</f>
        <v>4</v>
      </c>
      <c r="AF628">
        <f t="shared" ca="1" si="276"/>
        <v>9222214</v>
      </c>
      <c r="AG628">
        <f t="shared" ca="1" si="280"/>
        <v>24.163265306122447</v>
      </c>
      <c r="AH628">
        <f t="shared" ca="1" si="277"/>
        <v>71.25539050281769</v>
      </c>
      <c r="AI628">
        <f ca="1">VLOOKUP(E628,伤害参考系!$C$4:$E$104,3,FALSE)*$AN$12</f>
        <v>1000.3949623745822</v>
      </c>
      <c r="AJ628">
        <f>VLOOKUP(C628,技能辅助查询表,技能配置辅助表!$L$1,FALSE)</f>
        <v>1</v>
      </c>
      <c r="AK628">
        <f>VLOOKUP(C628,技能辅助查询表,技能配置辅助表!$AE$1,FALSE)</f>
        <v>66000305</v>
      </c>
    </row>
    <row r="629" spans="1:37" x14ac:dyDescent="0.15">
      <c r="A629" s="1">
        <f t="shared" ca="1" si="268"/>
        <v>9222215</v>
      </c>
      <c r="B629" s="1" t="str">
        <f t="shared" ca="1" si="253"/>
        <v>龙拳第2段</v>
      </c>
      <c r="C629" t="s">
        <v>94</v>
      </c>
      <c r="D629">
        <f t="shared" si="254"/>
        <v>2</v>
      </c>
      <c r="E629" s="42">
        <f t="shared" ca="1" si="269"/>
        <v>27</v>
      </c>
      <c r="F629" t="str">
        <f t="shared" ca="1" si="270"/>
        <v>第15级，共造成165%点伤害</v>
      </c>
      <c r="G629">
        <f t="shared" ca="1" si="271"/>
        <v>2</v>
      </c>
      <c r="H629">
        <f t="shared" si="255"/>
        <v>2</v>
      </c>
      <c r="I629" s="44">
        <f t="shared" ca="1" si="272"/>
        <v>15</v>
      </c>
      <c r="J629">
        <f t="shared" si="256"/>
        <v>2</v>
      </c>
      <c r="K629" s="36">
        <f t="shared" ca="1" si="257"/>
        <v>165</v>
      </c>
      <c r="L629" s="10">
        <f ca="1">AH629*VLOOKUP(C629,技能辅助查询表,技能配置辅助表!$T$1,FALSE)</f>
        <v>0</v>
      </c>
      <c r="M629">
        <f t="shared" ca="1" si="258"/>
        <v>6800</v>
      </c>
      <c r="N629" s="33">
        <f ca="1">CHOOSE(1,W629*U629,X629*'[1]0、经济设定'!$C$18)</f>
        <v>4060</v>
      </c>
      <c r="O629">
        <f t="shared" si="259"/>
        <v>2</v>
      </c>
      <c r="P629">
        <f t="shared" si="260"/>
        <v>1</v>
      </c>
      <c r="Q629">
        <f t="shared" si="261"/>
        <v>1</v>
      </c>
      <c r="R629" s="2">
        <f t="shared" si="262"/>
        <v>4</v>
      </c>
      <c r="S629" s="2">
        <f t="shared" si="263"/>
        <v>50</v>
      </c>
      <c r="T629" s="2">
        <f t="shared" si="264"/>
        <v>143.47826086956522</v>
      </c>
      <c r="U629" s="2">
        <f ca="1">VLOOKUP(E629,金币生产率!$A$2:$B$120,2,0)</f>
        <v>406</v>
      </c>
      <c r="V629" s="2">
        <f t="shared" si="265"/>
        <v>143.47826086956522</v>
      </c>
      <c r="W629" s="45">
        <f t="shared" ca="1" si="278"/>
        <v>10</v>
      </c>
      <c r="X629" s="48">
        <f t="shared" ca="1" si="279"/>
        <v>93</v>
      </c>
      <c r="Y629">
        <f t="shared" si="266"/>
        <v>18</v>
      </c>
      <c r="Z629">
        <f t="shared" ca="1" si="273"/>
        <v>0</v>
      </c>
      <c r="AA629" t="str">
        <f t="shared" ca="1" si="274"/>
        <v>9222200.png</v>
      </c>
      <c r="AB629">
        <f t="shared" si="267"/>
        <v>20</v>
      </c>
      <c r="AC629">
        <f>VLOOKUP(C629,技能辅助查询表,技能配置辅助表!$W$1,FALSE)</f>
        <v>25</v>
      </c>
      <c r="AD629">
        <f t="shared" ca="1" si="275"/>
        <v>10.546031667914246</v>
      </c>
      <c r="AE629">
        <f>VLOOKUP(C629,技能辅助查询表,技能配置辅助表!$U$1,FALSE)</f>
        <v>4</v>
      </c>
      <c r="AF629">
        <f t="shared" ca="1" si="276"/>
        <v>9222215</v>
      </c>
      <c r="AG629">
        <f t="shared" ca="1" si="280"/>
        <v>25.714285714285715</v>
      </c>
      <c r="AH629">
        <f t="shared" ca="1" si="277"/>
        <v>81.123320522417259</v>
      </c>
      <c r="AI629">
        <f ca="1">VLOOKUP(E629,伤害参考系!$C$4:$E$104,3,FALSE)*$AN$12</f>
        <v>1210.5107784280938</v>
      </c>
      <c r="AJ629">
        <f>VLOOKUP(C629,技能辅助查询表,技能配置辅助表!$L$1,FALSE)</f>
        <v>1</v>
      </c>
      <c r="AK629">
        <f>VLOOKUP(C629,技能辅助查询表,技能配置辅助表!$AE$1,FALSE)</f>
        <v>66000305</v>
      </c>
    </row>
    <row r="630" spans="1:37" x14ac:dyDescent="0.15">
      <c r="A630" s="1">
        <f t="shared" ca="1" si="268"/>
        <v>9222216</v>
      </c>
      <c r="B630" s="1" t="str">
        <f t="shared" ca="1" si="253"/>
        <v>龙拳第2段</v>
      </c>
      <c r="C630" t="s">
        <v>94</v>
      </c>
      <c r="D630">
        <f t="shared" si="254"/>
        <v>2</v>
      </c>
      <c r="E630" s="42">
        <f t="shared" ca="1" si="269"/>
        <v>28</v>
      </c>
      <c r="F630" t="str">
        <f t="shared" ca="1" si="270"/>
        <v>第16级，共造成166.4%点伤害</v>
      </c>
      <c r="G630">
        <f t="shared" ca="1" si="271"/>
        <v>2</v>
      </c>
      <c r="H630">
        <f t="shared" si="255"/>
        <v>2</v>
      </c>
      <c r="I630" s="44">
        <f t="shared" ca="1" si="272"/>
        <v>16</v>
      </c>
      <c r="J630">
        <f t="shared" si="256"/>
        <v>2</v>
      </c>
      <c r="K630" s="36">
        <f t="shared" ca="1" si="257"/>
        <v>166.43478260869566</v>
      </c>
      <c r="L630" s="10">
        <f ca="1">AH630*VLOOKUP(C630,技能辅助查询表,技能配置辅助表!$T$1,FALSE)</f>
        <v>0</v>
      </c>
      <c r="M630">
        <f t="shared" ca="1" si="258"/>
        <v>6720</v>
      </c>
      <c r="N630" s="33">
        <f ca="1">CHOOSE(1,W630*U630,X630*'[1]0、经济设定'!$C$18)</f>
        <v>4430</v>
      </c>
      <c r="O630">
        <f t="shared" si="259"/>
        <v>2</v>
      </c>
      <c r="P630">
        <f t="shared" si="260"/>
        <v>1</v>
      </c>
      <c r="Q630">
        <f t="shared" si="261"/>
        <v>1</v>
      </c>
      <c r="R630" s="2">
        <f t="shared" si="262"/>
        <v>4</v>
      </c>
      <c r="S630" s="2">
        <f t="shared" si="263"/>
        <v>50</v>
      </c>
      <c r="T630" s="2">
        <f t="shared" si="264"/>
        <v>143.47826086956522</v>
      </c>
      <c r="U630" s="2">
        <f ca="1">VLOOKUP(E630,金币生产率!$A$2:$B$120,2,0)</f>
        <v>443</v>
      </c>
      <c r="V630" s="2">
        <f t="shared" si="265"/>
        <v>143.47826086956522</v>
      </c>
      <c r="W630" s="45">
        <f t="shared" ca="1" si="278"/>
        <v>10</v>
      </c>
      <c r="X630" s="48">
        <f t="shared" ca="1" si="279"/>
        <v>103</v>
      </c>
      <c r="Y630">
        <f t="shared" si="266"/>
        <v>18</v>
      </c>
      <c r="Z630">
        <f t="shared" ca="1" si="273"/>
        <v>0</v>
      </c>
      <c r="AA630" t="str">
        <f t="shared" ca="1" si="274"/>
        <v>9222200.png</v>
      </c>
      <c r="AB630">
        <f t="shared" si="267"/>
        <v>20</v>
      </c>
      <c r="AC630">
        <f>VLOOKUP(C630,技能辅助查询表,技能配置辅助表!$W$1,FALSE)</f>
        <v>25</v>
      </c>
      <c r="AD630">
        <f t="shared" ca="1" si="275"/>
        <v>12.271544511293399</v>
      </c>
      <c r="AE630">
        <f>VLOOKUP(C630,技能辅助查询表,技能配置辅助表!$U$1,FALSE)</f>
        <v>4</v>
      </c>
      <c r="AF630">
        <f t="shared" ca="1" si="276"/>
        <v>9222216</v>
      </c>
      <c r="AG630">
        <f t="shared" ca="1" si="280"/>
        <v>27.26530612244898</v>
      </c>
      <c r="AH630">
        <f t="shared" ca="1" si="277"/>
        <v>92.357828455414989</v>
      </c>
      <c r="AI630">
        <f ca="1">VLOOKUP(E630,伤害参考系!$C$4:$E$104,3,FALSE)*$AN$12</f>
        <v>1321.7693779264216</v>
      </c>
      <c r="AJ630">
        <f>VLOOKUP(C630,技能辅助查询表,技能配置辅助表!$L$1,FALSE)</f>
        <v>1</v>
      </c>
      <c r="AK630">
        <f>VLOOKUP(C630,技能辅助查询表,技能配置辅助表!$AE$1,FALSE)</f>
        <v>66000305</v>
      </c>
    </row>
    <row r="631" spans="1:37" x14ac:dyDescent="0.15">
      <c r="A631" s="1">
        <f t="shared" ca="1" si="268"/>
        <v>9222217</v>
      </c>
      <c r="B631" s="1" t="str">
        <f t="shared" ca="1" si="253"/>
        <v>龙拳第2段</v>
      </c>
      <c r="C631" t="s">
        <v>94</v>
      </c>
      <c r="D631">
        <f t="shared" si="254"/>
        <v>2</v>
      </c>
      <c r="E631" s="42">
        <f t="shared" ca="1" si="269"/>
        <v>30</v>
      </c>
      <c r="F631" t="str">
        <f t="shared" ca="1" si="270"/>
        <v>第17级，共造成167.9%点伤害</v>
      </c>
      <c r="G631">
        <f t="shared" ca="1" si="271"/>
        <v>2</v>
      </c>
      <c r="H631">
        <f t="shared" si="255"/>
        <v>2</v>
      </c>
      <c r="I631" s="44">
        <f t="shared" ca="1" si="272"/>
        <v>17</v>
      </c>
      <c r="J631">
        <f t="shared" si="256"/>
        <v>2</v>
      </c>
      <c r="K631" s="36">
        <f t="shared" ca="1" si="257"/>
        <v>167.86956521739131</v>
      </c>
      <c r="L631" s="10">
        <f ca="1">AH631*VLOOKUP(C631,技能辅助查询表,技能配置辅助表!$T$1,FALSE)</f>
        <v>0</v>
      </c>
      <c r="M631">
        <f t="shared" ca="1" si="258"/>
        <v>6640</v>
      </c>
      <c r="N631" s="33">
        <f ca="1">CHOOSE(1,W631*U631,X631*'[1]0、经济设定'!$C$18)</f>
        <v>5742</v>
      </c>
      <c r="O631">
        <f t="shared" si="259"/>
        <v>2</v>
      </c>
      <c r="P631">
        <f t="shared" si="260"/>
        <v>1</v>
      </c>
      <c r="Q631">
        <f t="shared" si="261"/>
        <v>1</v>
      </c>
      <c r="R631" s="2">
        <f t="shared" si="262"/>
        <v>4</v>
      </c>
      <c r="S631" s="2">
        <f t="shared" si="263"/>
        <v>50</v>
      </c>
      <c r="T631" s="2">
        <f t="shared" si="264"/>
        <v>143.47826086956522</v>
      </c>
      <c r="U631" s="2">
        <f ca="1">VLOOKUP(E631,金币生产率!$A$2:$B$120,2,0)</f>
        <v>522</v>
      </c>
      <c r="V631" s="2">
        <f t="shared" si="265"/>
        <v>143.47826086956522</v>
      </c>
      <c r="W631" s="45">
        <f t="shared" ca="1" si="278"/>
        <v>11</v>
      </c>
      <c r="X631" s="48">
        <f t="shared" ca="1" si="279"/>
        <v>114</v>
      </c>
      <c r="Y631">
        <f t="shared" si="266"/>
        <v>18</v>
      </c>
      <c r="Z631">
        <f t="shared" ca="1" si="273"/>
        <v>0</v>
      </c>
      <c r="AA631" t="str">
        <f t="shared" ca="1" si="274"/>
        <v>9222200.png</v>
      </c>
      <c r="AB631">
        <f t="shared" si="267"/>
        <v>20</v>
      </c>
      <c r="AC631">
        <f>VLOOKUP(C631,技能辅助查询表,技能配置辅助表!$W$1,FALSE)</f>
        <v>25</v>
      </c>
      <c r="AD631">
        <f t="shared" ca="1" si="275"/>
        <v>14.272720794067023</v>
      </c>
      <c r="AE631">
        <f>VLOOKUP(C631,技能辅助查询表,技能配置辅助表!$U$1,FALSE)</f>
        <v>4</v>
      </c>
      <c r="AF631">
        <f t="shared" ca="1" si="276"/>
        <v>9222217</v>
      </c>
      <c r="AG631">
        <f t="shared" ca="1" si="280"/>
        <v>28.816326530612244</v>
      </c>
      <c r="AH631">
        <f t="shared" ca="1" si="277"/>
        <v>105.14816728492683</v>
      </c>
      <c r="AI631">
        <f ca="1">VLOOKUP(E631,伤害参考系!$C$4:$E$104,3,FALSE)*$AN$12</f>
        <v>1576.1465593645489</v>
      </c>
      <c r="AJ631">
        <f>VLOOKUP(C631,技能辅助查询表,技能配置辅助表!$L$1,FALSE)</f>
        <v>1</v>
      </c>
      <c r="AK631">
        <f>VLOOKUP(C631,技能辅助查询表,技能配置辅助表!$AE$1,FALSE)</f>
        <v>66000305</v>
      </c>
    </row>
    <row r="632" spans="1:37" x14ac:dyDescent="0.15">
      <c r="A632" s="1">
        <f t="shared" ca="1" si="268"/>
        <v>9222218</v>
      </c>
      <c r="B632" s="1" t="str">
        <f t="shared" ca="1" si="253"/>
        <v>龙拳第2段</v>
      </c>
      <c r="C632" t="s">
        <v>94</v>
      </c>
      <c r="D632">
        <f t="shared" si="254"/>
        <v>2</v>
      </c>
      <c r="E632" s="42">
        <f t="shared" ca="1" si="269"/>
        <v>31</v>
      </c>
      <c r="F632" t="str">
        <f t="shared" ca="1" si="270"/>
        <v>第18级，共造成169.3%点伤害</v>
      </c>
      <c r="G632">
        <f t="shared" ca="1" si="271"/>
        <v>2</v>
      </c>
      <c r="H632">
        <f t="shared" si="255"/>
        <v>2</v>
      </c>
      <c r="I632" s="44">
        <f t="shared" ca="1" si="272"/>
        <v>18</v>
      </c>
      <c r="J632">
        <f t="shared" si="256"/>
        <v>2</v>
      </c>
      <c r="K632" s="36">
        <f t="shared" ca="1" si="257"/>
        <v>169.30434782608697</v>
      </c>
      <c r="L632" s="10">
        <f ca="1">AH632*VLOOKUP(C632,技能辅助查询表,技能配置辅助表!$T$1,FALSE)</f>
        <v>0</v>
      </c>
      <c r="M632">
        <f t="shared" ca="1" si="258"/>
        <v>6560</v>
      </c>
      <c r="N632" s="33">
        <f ca="1">CHOOSE(1,W632*U632,X632*'[1]0、经济设定'!$C$18)</f>
        <v>6756</v>
      </c>
      <c r="O632">
        <f t="shared" si="259"/>
        <v>2</v>
      </c>
      <c r="P632">
        <f t="shared" si="260"/>
        <v>1</v>
      </c>
      <c r="Q632">
        <f t="shared" si="261"/>
        <v>1</v>
      </c>
      <c r="R632" s="2">
        <f t="shared" si="262"/>
        <v>4</v>
      </c>
      <c r="S632" s="2">
        <f t="shared" si="263"/>
        <v>50</v>
      </c>
      <c r="T632" s="2">
        <f t="shared" si="264"/>
        <v>143.47826086956522</v>
      </c>
      <c r="U632" s="2">
        <f ca="1">VLOOKUP(E632,金币生产率!$A$2:$B$120,2,0)</f>
        <v>563</v>
      </c>
      <c r="V632" s="2">
        <f t="shared" si="265"/>
        <v>143.47826086956522</v>
      </c>
      <c r="W632" s="45">
        <f t="shared" ca="1" si="278"/>
        <v>12</v>
      </c>
      <c r="X632" s="48">
        <f t="shared" ca="1" si="279"/>
        <v>126</v>
      </c>
      <c r="Y632">
        <f t="shared" si="266"/>
        <v>18</v>
      </c>
      <c r="Z632">
        <f t="shared" ca="1" si="273"/>
        <v>5</v>
      </c>
      <c r="AA632" t="str">
        <f t="shared" ca="1" si="274"/>
        <v>9222200.png</v>
      </c>
      <c r="AB632">
        <f t="shared" si="267"/>
        <v>20</v>
      </c>
      <c r="AC632">
        <f>VLOOKUP(C632,技能辅助查询表,技能配置辅助表!$W$1,FALSE)</f>
        <v>25</v>
      </c>
      <c r="AD632">
        <f t="shared" ca="1" si="275"/>
        <v>16.592819100533298</v>
      </c>
      <c r="AE632">
        <f>VLOOKUP(C632,技能辅助查询表,技能配置辅助表!$U$1,FALSE)</f>
        <v>4</v>
      </c>
      <c r="AF632">
        <f t="shared" ca="1" si="276"/>
        <v>9222218</v>
      </c>
      <c r="AG632">
        <f t="shared" ca="1" si="280"/>
        <v>30.367346938775512</v>
      </c>
      <c r="AH632">
        <f t="shared" ca="1" si="277"/>
        <v>119.70979903145096</v>
      </c>
      <c r="AI632">
        <f ca="1">VLOOKUP(E632,伤害参考系!$C$4:$E$104,3,FALSE)*$AN$12</f>
        <v>1721.3320384615388</v>
      </c>
      <c r="AJ632">
        <f>VLOOKUP(C632,技能辅助查询表,技能配置辅助表!$L$1,FALSE)</f>
        <v>1</v>
      </c>
      <c r="AK632">
        <f>VLOOKUP(C632,技能辅助查询表,技能配置辅助表!$AE$1,FALSE)</f>
        <v>66000305</v>
      </c>
    </row>
    <row r="633" spans="1:37" x14ac:dyDescent="0.15">
      <c r="A633" s="1">
        <f t="shared" ca="1" si="268"/>
        <v>9222219</v>
      </c>
      <c r="B633" s="1" t="str">
        <f t="shared" ca="1" si="253"/>
        <v>龙拳第2段</v>
      </c>
      <c r="C633" t="s">
        <v>94</v>
      </c>
      <c r="D633">
        <f t="shared" si="254"/>
        <v>2</v>
      </c>
      <c r="E633" s="42">
        <f t="shared" ca="1" si="269"/>
        <v>33</v>
      </c>
      <c r="F633" t="str">
        <f t="shared" ca="1" si="270"/>
        <v>第19级，共造成170.7%点伤害</v>
      </c>
      <c r="G633">
        <f t="shared" ca="1" si="271"/>
        <v>2</v>
      </c>
      <c r="H633">
        <f t="shared" si="255"/>
        <v>2</v>
      </c>
      <c r="I633" s="44">
        <f t="shared" ca="1" si="272"/>
        <v>19</v>
      </c>
      <c r="J633">
        <f t="shared" si="256"/>
        <v>2</v>
      </c>
      <c r="K633" s="36">
        <f t="shared" ca="1" si="257"/>
        <v>170.73913043478262</v>
      </c>
      <c r="L633" s="10">
        <f ca="1">AH633*VLOOKUP(C633,技能辅助查询表,技能配置辅助表!$T$1,FALSE)</f>
        <v>0</v>
      </c>
      <c r="M633">
        <f t="shared" ca="1" si="258"/>
        <v>6480</v>
      </c>
      <c r="N633" s="33">
        <f ca="1">CHOOSE(1,W633*U633,X633*'[1]0、经济设定'!$C$18)</f>
        <v>8463</v>
      </c>
      <c r="O633">
        <f t="shared" si="259"/>
        <v>2</v>
      </c>
      <c r="P633">
        <f t="shared" si="260"/>
        <v>1</v>
      </c>
      <c r="Q633">
        <f t="shared" si="261"/>
        <v>1</v>
      </c>
      <c r="R633" s="2">
        <f t="shared" si="262"/>
        <v>4</v>
      </c>
      <c r="S633" s="2">
        <f t="shared" si="263"/>
        <v>50</v>
      </c>
      <c r="T633" s="2">
        <f t="shared" si="264"/>
        <v>143.47826086956522</v>
      </c>
      <c r="U633" s="2">
        <f ca="1">VLOOKUP(E633,金币生产率!$A$2:$B$120,2,0)</f>
        <v>651</v>
      </c>
      <c r="V633" s="2">
        <f t="shared" si="265"/>
        <v>143.47826086956522</v>
      </c>
      <c r="W633" s="45">
        <f t="shared" ca="1" si="278"/>
        <v>13</v>
      </c>
      <c r="X633" s="48">
        <f t="shared" ca="1" si="279"/>
        <v>139</v>
      </c>
      <c r="Y633">
        <f t="shared" si="266"/>
        <v>18</v>
      </c>
      <c r="Z633">
        <f t="shared" ca="1" si="273"/>
        <v>6</v>
      </c>
      <c r="AA633" t="str">
        <f t="shared" ca="1" si="274"/>
        <v>9222200.png</v>
      </c>
      <c r="AB633">
        <f t="shared" si="267"/>
        <v>20</v>
      </c>
      <c r="AC633">
        <f>VLOOKUP(C633,技能辅助查询表,技能配置辅助表!$W$1,FALSE)</f>
        <v>25</v>
      </c>
      <c r="AD633">
        <f t="shared" ca="1" si="275"/>
        <v>19.281792663550021</v>
      </c>
      <c r="AE633">
        <f>VLOOKUP(C633,技能辅助查询表,技能配置辅助表!$U$1,FALSE)</f>
        <v>4</v>
      </c>
      <c r="AF633">
        <f t="shared" ca="1" si="276"/>
        <v>9222219</v>
      </c>
      <c r="AG633">
        <f t="shared" ca="1" si="280"/>
        <v>31.918367346938776</v>
      </c>
      <c r="AH633">
        <f t="shared" ca="1" si="277"/>
        <v>136.28802435822078</v>
      </c>
      <c r="AI633">
        <f ca="1">VLOOKUP(E633,伤害参考系!$C$4:$E$104,3,FALSE)*$AN$12</f>
        <v>2031.7137667224088</v>
      </c>
      <c r="AJ633">
        <f>VLOOKUP(C633,技能辅助查询表,技能配置辅助表!$L$1,FALSE)</f>
        <v>1</v>
      </c>
      <c r="AK633">
        <f>VLOOKUP(C633,技能辅助查询表,技能配置辅助表!$AE$1,FALSE)</f>
        <v>66000305</v>
      </c>
    </row>
    <row r="634" spans="1:37" x14ac:dyDescent="0.15">
      <c r="A634" s="1">
        <f t="shared" ca="1" si="268"/>
        <v>9222220</v>
      </c>
      <c r="B634" s="1" t="str">
        <f t="shared" ca="1" si="253"/>
        <v>龙拳第2段</v>
      </c>
      <c r="C634" t="s">
        <v>94</v>
      </c>
      <c r="D634">
        <f t="shared" si="254"/>
        <v>2</v>
      </c>
      <c r="E634" s="42">
        <f t="shared" ca="1" si="269"/>
        <v>34</v>
      </c>
      <c r="F634" t="str">
        <f t="shared" ca="1" si="270"/>
        <v>第20级，共造成172.2%点伤害</v>
      </c>
      <c r="G634">
        <f t="shared" ca="1" si="271"/>
        <v>2</v>
      </c>
      <c r="H634">
        <f t="shared" si="255"/>
        <v>2</v>
      </c>
      <c r="I634" s="44">
        <f t="shared" ca="1" si="272"/>
        <v>20</v>
      </c>
      <c r="J634">
        <f t="shared" si="256"/>
        <v>2</v>
      </c>
      <c r="K634" s="36">
        <f t="shared" ca="1" si="257"/>
        <v>172.17391304347825</v>
      </c>
      <c r="L634" s="10">
        <f ca="1">AH634*VLOOKUP(C634,技能辅助查询表,技能配置辅助表!$T$1,FALSE)</f>
        <v>0</v>
      </c>
      <c r="M634">
        <f t="shared" ca="1" si="258"/>
        <v>6400</v>
      </c>
      <c r="N634" s="33">
        <f ca="1">CHOOSE(1,W634*U634,X634*'[1]0、经济设定'!$C$18)</f>
        <v>9048</v>
      </c>
      <c r="O634">
        <f t="shared" si="259"/>
        <v>2</v>
      </c>
      <c r="P634">
        <f t="shared" si="260"/>
        <v>1</v>
      </c>
      <c r="Q634">
        <f t="shared" si="261"/>
        <v>1</v>
      </c>
      <c r="R634" s="2">
        <f t="shared" si="262"/>
        <v>4</v>
      </c>
      <c r="S634" s="2">
        <f t="shared" si="263"/>
        <v>50</v>
      </c>
      <c r="T634" s="2">
        <f t="shared" si="264"/>
        <v>143.47826086956522</v>
      </c>
      <c r="U634" s="2">
        <f ca="1">VLOOKUP(E634,金币生产率!$A$2:$B$120,2,0)</f>
        <v>696</v>
      </c>
      <c r="V634" s="2">
        <f t="shared" si="265"/>
        <v>143.47826086956522</v>
      </c>
      <c r="W634" s="45">
        <f t="shared" ca="1" si="278"/>
        <v>13</v>
      </c>
      <c r="X634" s="48">
        <f t="shared" ca="1" si="279"/>
        <v>152</v>
      </c>
      <c r="Y634">
        <f t="shared" si="266"/>
        <v>18</v>
      </c>
      <c r="Z634">
        <f t="shared" ca="1" si="273"/>
        <v>6</v>
      </c>
      <c r="AA634" t="str">
        <f t="shared" ca="1" si="274"/>
        <v>9222200.png</v>
      </c>
      <c r="AB634">
        <f t="shared" si="267"/>
        <v>20</v>
      </c>
      <c r="AC634">
        <f>VLOOKUP(C634,技能辅助查询表,技能配置辅助表!$W$1,FALSE)</f>
        <v>25</v>
      </c>
      <c r="AD634">
        <f t="shared" ca="1" si="275"/>
        <v>22.397313966611801</v>
      </c>
      <c r="AE634">
        <f>VLOOKUP(C634,技能辅助查询表,技能配置辅助表!$U$1,FALSE)</f>
        <v>4</v>
      </c>
      <c r="AF634">
        <f t="shared" ca="1" si="276"/>
        <v>9222220</v>
      </c>
      <c r="AG634">
        <f t="shared" ca="1" si="280"/>
        <v>33.469387755102041</v>
      </c>
      <c r="AH634">
        <f t="shared" ca="1" si="277"/>
        <v>155.16211482893718</v>
      </c>
      <c r="AI634">
        <f ca="1">VLOOKUP(E634,伤害参考系!$C$4:$E$104,3,FALSE)*$AN$12</f>
        <v>2196.2761028428095</v>
      </c>
      <c r="AJ634">
        <f>VLOOKUP(C634,技能辅助查询表,技能配置辅助表!$L$1,FALSE)</f>
        <v>1</v>
      </c>
      <c r="AK634">
        <f>VLOOKUP(C634,技能辅助查询表,技能配置辅助表!$AE$1,FALSE)</f>
        <v>66000305</v>
      </c>
    </row>
    <row r="635" spans="1:37" x14ac:dyDescent="0.15">
      <c r="A635" s="1">
        <f t="shared" ca="1" si="268"/>
        <v>9222221</v>
      </c>
      <c r="B635" s="1" t="str">
        <f t="shared" ca="1" si="253"/>
        <v>龙拳第2段</v>
      </c>
      <c r="C635" t="s">
        <v>94</v>
      </c>
      <c r="D635">
        <f t="shared" si="254"/>
        <v>2</v>
      </c>
      <c r="E635" s="42">
        <f t="shared" ca="1" si="269"/>
        <v>36</v>
      </c>
      <c r="F635" t="str">
        <f t="shared" ca="1" si="270"/>
        <v>第21级，共造成173.6%点伤害</v>
      </c>
      <c r="G635">
        <f t="shared" ca="1" si="271"/>
        <v>2</v>
      </c>
      <c r="H635">
        <f t="shared" si="255"/>
        <v>2</v>
      </c>
      <c r="I635" s="44">
        <f t="shared" ca="1" si="272"/>
        <v>21</v>
      </c>
      <c r="J635">
        <f t="shared" si="256"/>
        <v>2</v>
      </c>
      <c r="K635" s="36">
        <f t="shared" ca="1" si="257"/>
        <v>173.60869565217391</v>
      </c>
      <c r="L635" s="10">
        <f ca="1">AH635*VLOOKUP(C635,技能辅助查询表,技能配置辅助表!$T$1,FALSE)</f>
        <v>0</v>
      </c>
      <c r="M635">
        <f t="shared" ca="1" si="258"/>
        <v>6320</v>
      </c>
      <c r="N635" s="33">
        <f ca="1">CHOOSE(1,W635*U635,X635*'[1]0、经济设定'!$C$18)</f>
        <v>11074</v>
      </c>
      <c r="O635">
        <f t="shared" si="259"/>
        <v>2</v>
      </c>
      <c r="P635">
        <f t="shared" si="260"/>
        <v>1</v>
      </c>
      <c r="Q635">
        <f t="shared" si="261"/>
        <v>1</v>
      </c>
      <c r="R635" s="2">
        <f t="shared" si="262"/>
        <v>4</v>
      </c>
      <c r="S635" s="2">
        <f t="shared" si="263"/>
        <v>50</v>
      </c>
      <c r="T635" s="2">
        <f t="shared" si="264"/>
        <v>143.47826086956522</v>
      </c>
      <c r="U635" s="2">
        <f ca="1">VLOOKUP(E635,金币生产率!$A$2:$B$120,2,0)</f>
        <v>791</v>
      </c>
      <c r="V635" s="2">
        <f t="shared" si="265"/>
        <v>143.47826086956522</v>
      </c>
      <c r="W635" s="45">
        <f t="shared" ca="1" si="278"/>
        <v>14</v>
      </c>
      <c r="X635" s="48">
        <f t="shared" ca="1" si="279"/>
        <v>166</v>
      </c>
      <c r="Y635">
        <f t="shared" si="266"/>
        <v>18</v>
      </c>
      <c r="Z635">
        <f t="shared" ca="1" si="273"/>
        <v>6</v>
      </c>
      <c r="AA635" t="str">
        <f t="shared" ca="1" si="274"/>
        <v>9222200.png</v>
      </c>
      <c r="AB635">
        <f t="shared" si="267"/>
        <v>20</v>
      </c>
      <c r="AC635">
        <f>VLOOKUP(C635,技能辅助查询表,技能配置辅助表!$W$1,FALSE)</f>
        <v>25</v>
      </c>
      <c r="AD635">
        <f t="shared" ca="1" si="275"/>
        <v>26.005954739705096</v>
      </c>
      <c r="AE635">
        <f>VLOOKUP(C635,技能辅助查询表,技能配置辅助表!$U$1,FALSE)</f>
        <v>4</v>
      </c>
      <c r="AF635">
        <f t="shared" ca="1" si="276"/>
        <v>9222221</v>
      </c>
      <c r="AG635">
        <f t="shared" ca="1" si="280"/>
        <v>35.020408163265301</v>
      </c>
      <c r="AH635">
        <f t="shared" ca="1" si="277"/>
        <v>176.65001742859343</v>
      </c>
      <c r="AI635">
        <f ca="1">VLOOKUP(E635,伤害参考系!$C$4:$E$104,3,FALSE)*$AN$12</f>
        <v>2544.1437190635456</v>
      </c>
      <c r="AJ635">
        <f>VLOOKUP(C635,技能辅助查询表,技能配置辅助表!$L$1,FALSE)</f>
        <v>1</v>
      </c>
      <c r="AK635">
        <f>VLOOKUP(C635,技能辅助查询表,技能配置辅助表!$AE$1,FALSE)</f>
        <v>66000305</v>
      </c>
    </row>
    <row r="636" spans="1:37" x14ac:dyDescent="0.15">
      <c r="A636" s="1">
        <f t="shared" ca="1" si="268"/>
        <v>9222222</v>
      </c>
      <c r="B636" s="1" t="str">
        <f t="shared" ca="1" si="253"/>
        <v>龙拳第2段</v>
      </c>
      <c r="C636" t="s">
        <v>94</v>
      </c>
      <c r="D636">
        <f t="shared" si="254"/>
        <v>2</v>
      </c>
      <c r="E636" s="42">
        <f t="shared" ca="1" si="269"/>
        <v>37</v>
      </c>
      <c r="F636" t="str">
        <f t="shared" ca="1" si="270"/>
        <v>第22级，共造成175%点伤害</v>
      </c>
      <c r="G636">
        <f t="shared" ca="1" si="271"/>
        <v>2</v>
      </c>
      <c r="H636">
        <f t="shared" si="255"/>
        <v>2</v>
      </c>
      <c r="I636" s="44">
        <f t="shared" ca="1" si="272"/>
        <v>22</v>
      </c>
      <c r="J636">
        <f t="shared" si="256"/>
        <v>2</v>
      </c>
      <c r="K636" s="36">
        <f t="shared" ca="1" si="257"/>
        <v>175.04347826086956</v>
      </c>
      <c r="L636" s="10">
        <f ca="1">AH636*VLOOKUP(C636,技能辅助查询表,技能配置辅助表!$T$1,FALSE)</f>
        <v>0</v>
      </c>
      <c r="M636">
        <f t="shared" ca="1" si="258"/>
        <v>6240</v>
      </c>
      <c r="N636" s="33">
        <f ca="1">CHOOSE(1,W636*U636,X636*'[1]0、经济设定'!$C$18)</f>
        <v>12615</v>
      </c>
      <c r="O636">
        <f t="shared" si="259"/>
        <v>2</v>
      </c>
      <c r="P636">
        <f t="shared" si="260"/>
        <v>1</v>
      </c>
      <c r="Q636">
        <f t="shared" si="261"/>
        <v>1</v>
      </c>
      <c r="R636" s="2">
        <f t="shared" si="262"/>
        <v>4</v>
      </c>
      <c r="S636" s="2">
        <f t="shared" si="263"/>
        <v>50</v>
      </c>
      <c r="T636" s="2">
        <f t="shared" si="264"/>
        <v>143.47826086956522</v>
      </c>
      <c r="U636" s="2">
        <f ca="1">VLOOKUP(E636,金币生产率!$A$2:$B$120,2,0)</f>
        <v>841</v>
      </c>
      <c r="V636" s="2">
        <f t="shared" si="265"/>
        <v>143.47826086956522</v>
      </c>
      <c r="W636" s="45">
        <f t="shared" ca="1" si="278"/>
        <v>15</v>
      </c>
      <c r="X636" s="48">
        <f t="shared" ca="1" si="279"/>
        <v>181</v>
      </c>
      <c r="Y636">
        <f t="shared" si="266"/>
        <v>18</v>
      </c>
      <c r="Z636">
        <f t="shared" ca="1" si="273"/>
        <v>6</v>
      </c>
      <c r="AA636" t="str">
        <f t="shared" ca="1" si="274"/>
        <v>9222200.png</v>
      </c>
      <c r="AB636">
        <f t="shared" si="267"/>
        <v>20</v>
      </c>
      <c r="AC636">
        <f>VLOOKUP(C636,技能辅助查询表,技能配置辅助表!$W$1,FALSE)</f>
        <v>25</v>
      </c>
      <c r="AD636">
        <f t="shared" ca="1" si="275"/>
        <v>30.18454473848815</v>
      </c>
      <c r="AE636">
        <f>VLOOKUP(C636,技能辅助查询表,技能配置辅助表!$U$1,FALSE)</f>
        <v>4</v>
      </c>
      <c r="AF636">
        <f t="shared" ca="1" si="276"/>
        <v>9222222</v>
      </c>
      <c r="AG636">
        <f t="shared" ca="1" si="280"/>
        <v>36.571428571428569</v>
      </c>
      <c r="AH636">
        <f t="shared" ca="1" si="277"/>
        <v>201.11371059826985</v>
      </c>
      <c r="AI636">
        <f ca="1">VLOOKUP(E636,伤害参考系!$C$4:$E$104,3,FALSE)*$AN$12</f>
        <v>2727.4489991638798</v>
      </c>
      <c r="AJ636">
        <f>VLOOKUP(C636,技能辅助查询表,技能配置辅助表!$L$1,FALSE)</f>
        <v>1</v>
      </c>
      <c r="AK636">
        <f>VLOOKUP(C636,技能辅助查询表,技能配置辅助表!$AE$1,FALSE)</f>
        <v>66000305</v>
      </c>
    </row>
    <row r="637" spans="1:37" x14ac:dyDescent="0.15">
      <c r="A637" s="1">
        <f t="shared" ca="1" si="268"/>
        <v>9222223</v>
      </c>
      <c r="B637" s="1" t="str">
        <f t="shared" ca="1" si="253"/>
        <v>龙拳第2段</v>
      </c>
      <c r="C637" t="s">
        <v>94</v>
      </c>
      <c r="D637">
        <f t="shared" si="254"/>
        <v>2</v>
      </c>
      <c r="E637" s="42">
        <f t="shared" ca="1" si="269"/>
        <v>39</v>
      </c>
      <c r="F637" t="str">
        <f t="shared" ca="1" si="270"/>
        <v>第23级，共造成176.5%点伤害</v>
      </c>
      <c r="G637">
        <f t="shared" ca="1" si="271"/>
        <v>2</v>
      </c>
      <c r="H637">
        <f t="shared" si="255"/>
        <v>2</v>
      </c>
      <c r="I637" s="44">
        <f t="shared" ca="1" si="272"/>
        <v>23</v>
      </c>
      <c r="J637">
        <f t="shared" si="256"/>
        <v>2</v>
      </c>
      <c r="K637" s="36">
        <f t="shared" ca="1" si="257"/>
        <v>176.47826086956522</v>
      </c>
      <c r="L637" s="10">
        <f ca="1">AH637*VLOOKUP(C637,技能辅助查询表,技能配置辅助表!$T$1,FALSE)</f>
        <v>0</v>
      </c>
      <c r="M637">
        <f t="shared" ca="1" si="258"/>
        <v>6160</v>
      </c>
      <c r="N637" s="33">
        <f ca="1">CHOOSE(1,W637*U637,X637*'[1]0、经济设定'!$C$18)</f>
        <v>15104</v>
      </c>
      <c r="O637">
        <f t="shared" si="259"/>
        <v>2</v>
      </c>
      <c r="P637">
        <f t="shared" si="260"/>
        <v>1</v>
      </c>
      <c r="Q637">
        <f t="shared" si="261"/>
        <v>1</v>
      </c>
      <c r="R637" s="2">
        <f t="shared" si="262"/>
        <v>4</v>
      </c>
      <c r="S637" s="2">
        <f t="shared" si="263"/>
        <v>50</v>
      </c>
      <c r="T637" s="2">
        <f t="shared" si="264"/>
        <v>143.47826086956522</v>
      </c>
      <c r="U637" s="2">
        <f ca="1">VLOOKUP(E637,金币生产率!$A$2:$B$120,2,0)</f>
        <v>944</v>
      </c>
      <c r="V637" s="2">
        <f t="shared" si="265"/>
        <v>143.47826086956522</v>
      </c>
      <c r="W637" s="45">
        <f t="shared" ca="1" si="278"/>
        <v>16</v>
      </c>
      <c r="X637" s="48">
        <f t="shared" ca="1" si="279"/>
        <v>197</v>
      </c>
      <c r="Y637">
        <f t="shared" si="266"/>
        <v>18</v>
      </c>
      <c r="Z637">
        <f t="shared" ca="1" si="273"/>
        <v>7</v>
      </c>
      <c r="AA637" t="str">
        <f t="shared" ca="1" si="274"/>
        <v>9222200.png</v>
      </c>
      <c r="AB637">
        <f t="shared" si="267"/>
        <v>20</v>
      </c>
      <c r="AC637">
        <f>VLOOKUP(C637,技能辅助查询表,技能配置辅助表!$W$1,FALSE)</f>
        <v>25</v>
      </c>
      <c r="AD637">
        <f t="shared" ca="1" si="275"/>
        <v>35.021736194394776</v>
      </c>
      <c r="AE637">
        <f>VLOOKUP(C637,技能辅助查询表,技能配置辅助表!$U$1,FALSE)</f>
        <v>4</v>
      </c>
      <c r="AF637">
        <f t="shared" ca="1" si="276"/>
        <v>9222223</v>
      </c>
      <c r="AG637">
        <f t="shared" ca="1" si="280"/>
        <v>38.122448979591837</v>
      </c>
      <c r="AH637">
        <f t="shared" ca="1" si="277"/>
        <v>228.96530200997151</v>
      </c>
      <c r="AI637">
        <f ca="1">VLOOKUP(E637,伤害参考系!$C$4:$E$104,3,FALSE)*$AN$12</f>
        <v>3112.8025033444819</v>
      </c>
      <c r="AJ637">
        <f>VLOOKUP(C637,技能辅助查询表,技能配置辅助表!$L$1,FALSE)</f>
        <v>1</v>
      </c>
      <c r="AK637">
        <f>VLOOKUP(C637,技能辅助查询表,技能配置辅助表!$AE$1,FALSE)</f>
        <v>66000305</v>
      </c>
    </row>
    <row r="638" spans="1:37" x14ac:dyDescent="0.15">
      <c r="A638" s="1">
        <f t="shared" ca="1" si="268"/>
        <v>9222224</v>
      </c>
      <c r="B638" s="1" t="str">
        <f t="shared" ca="1" si="253"/>
        <v>龙拳第2段</v>
      </c>
      <c r="C638" t="s">
        <v>94</v>
      </c>
      <c r="D638">
        <f t="shared" si="254"/>
        <v>2</v>
      </c>
      <c r="E638" s="42">
        <f t="shared" ca="1" si="269"/>
        <v>40</v>
      </c>
      <c r="F638" t="str">
        <f t="shared" ca="1" si="270"/>
        <v>第24级，共造成177.9%点伤害</v>
      </c>
      <c r="G638">
        <f t="shared" ca="1" si="271"/>
        <v>2</v>
      </c>
      <c r="H638">
        <f t="shared" si="255"/>
        <v>2</v>
      </c>
      <c r="I638" s="44">
        <f t="shared" ca="1" si="272"/>
        <v>24</v>
      </c>
      <c r="J638">
        <f t="shared" si="256"/>
        <v>2</v>
      </c>
      <c r="K638" s="36">
        <f t="shared" ca="1" si="257"/>
        <v>177.91304347826087</v>
      </c>
      <c r="L638" s="10">
        <f ca="1">AH638*VLOOKUP(C638,技能辅助查询表,技能配置辅助表!$T$1,FALSE)</f>
        <v>0</v>
      </c>
      <c r="M638">
        <f t="shared" ca="1" si="258"/>
        <v>6080</v>
      </c>
      <c r="N638" s="33">
        <f ca="1">CHOOSE(1,W638*U638,X638*'[1]0、经济设定'!$C$18)</f>
        <v>16966</v>
      </c>
      <c r="O638">
        <f t="shared" si="259"/>
        <v>2</v>
      </c>
      <c r="P638">
        <f t="shared" si="260"/>
        <v>1</v>
      </c>
      <c r="Q638">
        <f t="shared" si="261"/>
        <v>1</v>
      </c>
      <c r="R638" s="2">
        <f t="shared" si="262"/>
        <v>4</v>
      </c>
      <c r="S638" s="2">
        <f t="shared" si="263"/>
        <v>50</v>
      </c>
      <c r="T638" s="2">
        <f t="shared" si="264"/>
        <v>143.47826086956522</v>
      </c>
      <c r="U638" s="2">
        <f ca="1">VLOOKUP(E638,金币生产率!$A$2:$B$120,2,0)</f>
        <v>998</v>
      </c>
      <c r="V638" s="2">
        <f t="shared" si="265"/>
        <v>143.47826086956522</v>
      </c>
      <c r="W638" s="45">
        <f t="shared" ca="1" si="278"/>
        <v>17</v>
      </c>
      <c r="X638" s="48">
        <f t="shared" ca="1" si="279"/>
        <v>214</v>
      </c>
      <c r="Y638">
        <f t="shared" si="266"/>
        <v>18</v>
      </c>
      <c r="Z638">
        <f t="shared" ca="1" si="273"/>
        <v>7</v>
      </c>
      <c r="AA638" t="str">
        <f t="shared" ca="1" si="274"/>
        <v>9222200.png</v>
      </c>
      <c r="AB638">
        <f t="shared" si="267"/>
        <v>20</v>
      </c>
      <c r="AC638">
        <f>VLOOKUP(C638,技能辅助查询表,技能配置辅助表!$W$1,FALSE)</f>
        <v>25</v>
      </c>
      <c r="AD638">
        <f t="shared" ca="1" si="275"/>
        <v>40.61980484160442</v>
      </c>
      <c r="AE638">
        <f>VLOOKUP(C638,技能辅助查询表,技能配置辅助表!$U$1,FALSE)</f>
        <v>4</v>
      </c>
      <c r="AF638">
        <f t="shared" ca="1" si="276"/>
        <v>9222224</v>
      </c>
      <c r="AG638">
        <f t="shared" ca="1" si="280"/>
        <v>39.673469387755105</v>
      </c>
      <c r="AH638">
        <f t="shared" ca="1" si="277"/>
        <v>260.67397080270689</v>
      </c>
      <c r="AI638">
        <f ca="1">VLOOKUP(E638,伤害参考系!$C$4:$E$104,3,FALSE)*$AN$12</f>
        <v>3344.7142474916404</v>
      </c>
      <c r="AJ638">
        <f>VLOOKUP(C638,技能辅助查询表,技能配置辅助表!$L$1,FALSE)</f>
        <v>1</v>
      </c>
      <c r="AK638">
        <f>VLOOKUP(C638,技能辅助查询表,技能配置辅助表!$AE$1,FALSE)</f>
        <v>66000305</v>
      </c>
    </row>
    <row r="639" spans="1:37" x14ac:dyDescent="0.15">
      <c r="A639" s="1">
        <f t="shared" ca="1" si="268"/>
        <v>9222225</v>
      </c>
      <c r="B639" s="1" t="str">
        <f t="shared" ca="1" si="253"/>
        <v>龙拳第2段</v>
      </c>
      <c r="C639" t="s">
        <v>94</v>
      </c>
      <c r="D639">
        <f t="shared" si="254"/>
        <v>2</v>
      </c>
      <c r="E639" s="42">
        <f t="shared" ca="1" si="269"/>
        <v>42</v>
      </c>
      <c r="F639" t="str">
        <f t="shared" ca="1" si="270"/>
        <v>第25级，共造成179.3%点伤害</v>
      </c>
      <c r="G639">
        <f t="shared" ca="1" si="271"/>
        <v>2</v>
      </c>
      <c r="H639">
        <f t="shared" si="255"/>
        <v>2</v>
      </c>
      <c r="I639" s="44">
        <f t="shared" ca="1" si="272"/>
        <v>25</v>
      </c>
      <c r="J639">
        <f t="shared" si="256"/>
        <v>2</v>
      </c>
      <c r="K639" s="36">
        <f t="shared" ca="1" si="257"/>
        <v>179.34782608695653</v>
      </c>
      <c r="L639" s="10">
        <f ca="1">AH639*VLOOKUP(C639,技能辅助查询表,技能配置辅助表!$T$1,FALSE)</f>
        <v>0</v>
      </c>
      <c r="M639">
        <f t="shared" ca="1" si="258"/>
        <v>6000</v>
      </c>
      <c r="N639" s="33">
        <f ca="1">CHOOSE(1,W639*U639,X639*'[1]0、经济设定'!$C$18)</f>
        <v>21090</v>
      </c>
      <c r="O639">
        <f t="shared" si="259"/>
        <v>2</v>
      </c>
      <c r="P639">
        <f t="shared" si="260"/>
        <v>1</v>
      </c>
      <c r="Q639">
        <f t="shared" si="261"/>
        <v>1</v>
      </c>
      <c r="R639" s="2">
        <f t="shared" si="262"/>
        <v>4</v>
      </c>
      <c r="S639" s="2">
        <f t="shared" si="263"/>
        <v>50</v>
      </c>
      <c r="T639" s="2">
        <f t="shared" si="264"/>
        <v>143.47826086956522</v>
      </c>
      <c r="U639" s="2">
        <f ca="1">VLOOKUP(E639,金币生产率!$A$2:$B$120,2,0)</f>
        <v>1110</v>
      </c>
      <c r="V639" s="2">
        <f t="shared" si="265"/>
        <v>143.47826086956522</v>
      </c>
      <c r="W639" s="45">
        <f t="shared" ca="1" si="278"/>
        <v>19</v>
      </c>
      <c r="X639" s="48">
        <f t="shared" ca="1" si="279"/>
        <v>233</v>
      </c>
      <c r="Y639">
        <f t="shared" si="266"/>
        <v>18</v>
      </c>
      <c r="Z639">
        <f t="shared" ca="1" si="273"/>
        <v>8</v>
      </c>
      <c r="AA639" t="str">
        <f t="shared" ca="1" si="274"/>
        <v>9222200.png</v>
      </c>
      <c r="AB639">
        <f t="shared" si="267"/>
        <v>20</v>
      </c>
      <c r="AC639">
        <f>VLOOKUP(C639,技能辅助查询表,技能配置辅助表!$W$1,FALSE)</f>
        <v>25</v>
      </c>
      <c r="AD639">
        <f t="shared" ca="1" si="275"/>
        <v>47.096723042470856</v>
      </c>
      <c r="AE639">
        <f>VLOOKUP(C639,技能辅助查询表,技能配置辅助表!$U$1,FALSE)</f>
        <v>4</v>
      </c>
      <c r="AF639">
        <f t="shared" ca="1" si="276"/>
        <v>9222225</v>
      </c>
      <c r="AG639">
        <f t="shared" ca="1" si="280"/>
        <v>41.224489795918366</v>
      </c>
      <c r="AH639">
        <f t="shared" ca="1" si="277"/>
        <v>296.77387122652874</v>
      </c>
      <c r="AI639">
        <f ca="1">VLOOKUP(E639,伤害参考系!$C$4:$E$104,3,FALSE)*$AN$12</f>
        <v>3833.528327759198</v>
      </c>
      <c r="AJ639">
        <f>VLOOKUP(C639,技能辅助查询表,技能配置辅助表!$L$1,FALSE)</f>
        <v>1</v>
      </c>
      <c r="AK639">
        <f>VLOOKUP(C639,技能辅助查询表,技能配置辅助表!$AE$1,FALSE)</f>
        <v>66000305</v>
      </c>
    </row>
    <row r="640" spans="1:37" x14ac:dyDescent="0.15">
      <c r="A640" s="1">
        <f t="shared" ca="1" si="268"/>
        <v>9222226</v>
      </c>
      <c r="B640" s="1" t="str">
        <f t="shared" ca="1" si="253"/>
        <v>龙拳第2段</v>
      </c>
      <c r="C640" t="s">
        <v>94</v>
      </c>
      <c r="D640">
        <f t="shared" si="254"/>
        <v>2</v>
      </c>
      <c r="E640" s="42">
        <f t="shared" ca="1" si="269"/>
        <v>44</v>
      </c>
      <c r="F640" t="str">
        <f t="shared" ca="1" si="270"/>
        <v>第26级，共造成180.8%点伤害</v>
      </c>
      <c r="G640">
        <f t="shared" ca="1" si="271"/>
        <v>2</v>
      </c>
      <c r="H640">
        <f t="shared" si="255"/>
        <v>2</v>
      </c>
      <c r="I640" s="44">
        <f t="shared" ca="1" si="272"/>
        <v>26</v>
      </c>
      <c r="J640">
        <f t="shared" si="256"/>
        <v>2</v>
      </c>
      <c r="K640" s="36">
        <f t="shared" ca="1" si="257"/>
        <v>180.78260869565219</v>
      </c>
      <c r="L640" s="10">
        <f ca="1">AH640*VLOOKUP(C640,技能辅助查询表,技能配置辅助表!$T$1,FALSE)</f>
        <v>0</v>
      </c>
      <c r="M640">
        <f t="shared" ca="1" si="258"/>
        <v>5920</v>
      </c>
      <c r="N640" s="33">
        <f ca="1">CHOOSE(1,W640*U640,X640*'[1]0、经济设定'!$C$18)</f>
        <v>24520</v>
      </c>
      <c r="O640">
        <f t="shared" si="259"/>
        <v>2</v>
      </c>
      <c r="P640">
        <f t="shared" si="260"/>
        <v>1</v>
      </c>
      <c r="Q640">
        <f t="shared" si="261"/>
        <v>1</v>
      </c>
      <c r="R640" s="2">
        <f t="shared" si="262"/>
        <v>4</v>
      </c>
      <c r="S640" s="2">
        <f t="shared" si="263"/>
        <v>50</v>
      </c>
      <c r="T640" s="2">
        <f t="shared" si="264"/>
        <v>143.47826086956522</v>
      </c>
      <c r="U640" s="2">
        <f ca="1">VLOOKUP(E640,金币生产率!$A$2:$B$120,2,0)</f>
        <v>1226</v>
      </c>
      <c r="V640" s="2">
        <f t="shared" si="265"/>
        <v>143.47826086956522</v>
      </c>
      <c r="W640" s="45">
        <f t="shared" ca="1" si="278"/>
        <v>20</v>
      </c>
      <c r="X640" s="48">
        <f t="shared" ca="1" si="279"/>
        <v>253</v>
      </c>
      <c r="Y640">
        <f t="shared" si="266"/>
        <v>18</v>
      </c>
      <c r="Z640">
        <f t="shared" ca="1" si="273"/>
        <v>8</v>
      </c>
      <c r="AA640" t="str">
        <f t="shared" ca="1" si="274"/>
        <v>9222200.png</v>
      </c>
      <c r="AB640">
        <f t="shared" si="267"/>
        <v>20</v>
      </c>
      <c r="AC640">
        <f>VLOOKUP(C640,技能辅助查询表,技能配置辅助表!$W$1,FALSE)</f>
        <v>25</v>
      </c>
      <c r="AD640">
        <f t="shared" ca="1" si="275"/>
        <v>54.588545834333843</v>
      </c>
      <c r="AE640">
        <f>VLOOKUP(C640,技能辅助查询表,技能配置辅助表!$U$1,FALSE)</f>
        <v>4</v>
      </c>
      <c r="AF640">
        <f t="shared" ca="1" si="276"/>
        <v>9222226</v>
      </c>
      <c r="AG640">
        <f t="shared" ca="1" si="280"/>
        <v>42.775510204081634</v>
      </c>
      <c r="AH640">
        <f t="shared" ca="1" si="277"/>
        <v>337.87313083683472</v>
      </c>
      <c r="AI640">
        <f ca="1">VLOOKUP(E640,伤害参考系!$C$4:$E$104,3,FALSE)*$AN$12</f>
        <v>4355.6631973244148</v>
      </c>
      <c r="AJ640">
        <f>VLOOKUP(C640,技能辅助查询表,技能配置辅助表!$L$1,FALSE)</f>
        <v>1</v>
      </c>
      <c r="AK640">
        <f>VLOOKUP(C640,技能辅助查询表,技能配置辅助表!$AE$1,FALSE)</f>
        <v>66000305</v>
      </c>
    </row>
    <row r="641" spans="1:37" x14ac:dyDescent="0.15">
      <c r="A641" s="1">
        <f t="shared" ca="1" si="268"/>
        <v>9222227</v>
      </c>
      <c r="B641" s="1" t="str">
        <f t="shared" ca="1" si="253"/>
        <v>龙拳第2段</v>
      </c>
      <c r="C641" t="s">
        <v>94</v>
      </c>
      <c r="D641">
        <f t="shared" si="254"/>
        <v>2</v>
      </c>
      <c r="E641" s="42">
        <f t="shared" ca="1" si="269"/>
        <v>45</v>
      </c>
      <c r="F641" t="str">
        <f t="shared" ca="1" si="270"/>
        <v>第27级，共造成182.2%点伤害</v>
      </c>
      <c r="G641">
        <f t="shared" ca="1" si="271"/>
        <v>2</v>
      </c>
      <c r="H641">
        <f t="shared" si="255"/>
        <v>2</v>
      </c>
      <c r="I641" s="44">
        <f t="shared" ca="1" si="272"/>
        <v>27</v>
      </c>
      <c r="J641">
        <f t="shared" si="256"/>
        <v>2</v>
      </c>
      <c r="K641" s="36">
        <f t="shared" ca="1" si="257"/>
        <v>182.21739130434781</v>
      </c>
      <c r="L641" s="10">
        <f ca="1">AH641*VLOOKUP(C641,技能辅助查询表,技能配置辅助表!$T$1,FALSE)</f>
        <v>0</v>
      </c>
      <c r="M641">
        <f t="shared" ca="1" si="258"/>
        <v>5840</v>
      </c>
      <c r="N641" s="33">
        <f ca="1">CHOOSE(1,W641*U641,X641*'[1]0、经济设定'!$C$18)</f>
        <v>27027</v>
      </c>
      <c r="O641">
        <f t="shared" si="259"/>
        <v>2</v>
      </c>
      <c r="P641">
        <f t="shared" si="260"/>
        <v>1</v>
      </c>
      <c r="Q641">
        <f t="shared" si="261"/>
        <v>1</v>
      </c>
      <c r="R641" s="2">
        <f t="shared" si="262"/>
        <v>4</v>
      </c>
      <c r="S641" s="2">
        <f t="shared" si="263"/>
        <v>50</v>
      </c>
      <c r="T641" s="2">
        <f t="shared" si="264"/>
        <v>143.47826086956522</v>
      </c>
      <c r="U641" s="2">
        <f ca="1">VLOOKUP(E641,金币生产率!$A$2:$B$120,2,0)</f>
        <v>1287</v>
      </c>
      <c r="V641" s="2">
        <f t="shared" si="265"/>
        <v>143.47826086956522</v>
      </c>
      <c r="W641" s="45">
        <f t="shared" ca="1" si="278"/>
        <v>21</v>
      </c>
      <c r="X641" s="48">
        <f t="shared" ca="1" si="279"/>
        <v>274</v>
      </c>
      <c r="Y641">
        <f t="shared" si="266"/>
        <v>18</v>
      </c>
      <c r="Z641">
        <f t="shared" ca="1" si="273"/>
        <v>9</v>
      </c>
      <c r="AA641" t="str">
        <f t="shared" ca="1" si="274"/>
        <v>9222200.png</v>
      </c>
      <c r="AB641">
        <f t="shared" si="267"/>
        <v>20</v>
      </c>
      <c r="AC641">
        <f>VLOOKUP(C641,技能辅助查询表,技能配置辅助表!$W$1,FALSE)</f>
        <v>25</v>
      </c>
      <c r="AD641">
        <f t="shared" ca="1" si="275"/>
        <v>63.25215680904472</v>
      </c>
      <c r="AE641">
        <f>VLOOKUP(C641,技能辅助查询表,技能配置辅助表!$U$1,FALSE)</f>
        <v>4</v>
      </c>
      <c r="AF641">
        <f t="shared" ca="1" si="276"/>
        <v>9222227</v>
      </c>
      <c r="AG641">
        <f t="shared" ca="1" si="280"/>
        <v>44.326530612244895</v>
      </c>
      <c r="AH641">
        <f t="shared" ca="1" si="277"/>
        <v>384.66409481967975</v>
      </c>
      <c r="AI641">
        <f ca="1">VLOOKUP(E641,伤害参考系!$C$4:$E$104,3,FALSE)*$AN$12</f>
        <v>4629.2259280936469</v>
      </c>
      <c r="AJ641">
        <f>VLOOKUP(C641,技能辅助查询表,技能配置辅助表!$L$1,FALSE)</f>
        <v>1</v>
      </c>
      <c r="AK641">
        <f>VLOOKUP(C641,技能辅助查询表,技能配置辅助表!$AE$1,FALSE)</f>
        <v>66000305</v>
      </c>
    </row>
    <row r="642" spans="1:37" x14ac:dyDescent="0.15">
      <c r="A642" s="1">
        <f t="shared" ca="1" si="268"/>
        <v>9222228</v>
      </c>
      <c r="B642" s="1" t="str">
        <f t="shared" ref="B642:B705" ca="1" si="281">IF(AND(G642=0,AE642=4),LEFT(C642,LEN(C642)-3),C642)</f>
        <v>龙拳第2段</v>
      </c>
      <c r="C642" t="s">
        <v>94</v>
      </c>
      <c r="D642">
        <f t="shared" ref="D642:D705" si="282">VLOOKUP(C642,技能辅助查询表,3,FALSE)</f>
        <v>2</v>
      </c>
      <c r="E642" s="42">
        <f t="shared" ca="1" si="269"/>
        <v>47</v>
      </c>
      <c r="F642" t="str">
        <f t="shared" ca="1" si="270"/>
        <v>第28级，共造成183.7%点伤害</v>
      </c>
      <c r="G642">
        <f t="shared" ca="1" si="271"/>
        <v>2</v>
      </c>
      <c r="H642">
        <f t="shared" ref="H642:H705" si="283">VLOOKUP(C642,技能辅助查询表,2,FALSE)</f>
        <v>2</v>
      </c>
      <c r="I642" s="44">
        <f t="shared" ca="1" si="272"/>
        <v>28</v>
      </c>
      <c r="J642">
        <f t="shared" ref="J642:J705" si="284">VLOOKUP(C642,技能辅助查询表,4,FALSE)</f>
        <v>2</v>
      </c>
      <c r="K642" s="36">
        <f t="shared" ref="K642:K705" ca="1" si="285">IF(OR(I642=0,I642=1),T642,T642+T642*($AN$6-1)/S642*I642)</f>
        <v>183.65217391304347</v>
      </c>
      <c r="L642" s="10">
        <f ca="1">AH642*VLOOKUP(C642,技能辅助查询表,技能配置辅助表!$T$1,FALSE)</f>
        <v>0</v>
      </c>
      <c r="M642">
        <f t="shared" ref="M642:M705" ca="1" si="286">IF(OR(I642=0,I642=1),VLOOKUP(C642,技能辅助查询表,14,FALSE),VLOOKUP(C642,技能辅助查询表,14,FALSE)-VLOOKUP(C642,技能辅助查询表,14,FALSE)*0.5/S642*I642)</f>
        <v>5760</v>
      </c>
      <c r="N642" s="33">
        <f ca="1">CHOOSE(1,W642*U642,X642*'[1]0、经济设定'!$C$18)</f>
        <v>32476</v>
      </c>
      <c r="O642">
        <f t="shared" ref="O642:O705" si="287">VLOOKUP(C642,技能辅助查询表,5,FALSE)</f>
        <v>2</v>
      </c>
      <c r="P642">
        <f t="shared" ref="P642:P705" si="288">VLOOKUP(C642,技能辅助查询表,6,FALSE)</f>
        <v>1</v>
      </c>
      <c r="Q642">
        <f t="shared" ref="Q642:Q705" si="289">VLOOKUP(C642,技能辅助查询表,7,FALSE)</f>
        <v>1</v>
      </c>
      <c r="R642" s="2">
        <f t="shared" ref="R642:R705" si="290">VLOOKUP(C642,技能辅助查询表,9,FALSE)</f>
        <v>4</v>
      </c>
      <c r="S642" s="2">
        <f t="shared" ref="S642:S705" si="291">VLOOKUP(C642,技能辅助查询表,8,FALSE)</f>
        <v>50</v>
      </c>
      <c r="T642" s="2">
        <f t="shared" ref="T642:T705" si="292">VLOOKUP(C642,技能辅助查询表,11,FALSE)</f>
        <v>143.47826086956522</v>
      </c>
      <c r="U642" s="2">
        <f ca="1">VLOOKUP(E642,金币生产率!$A$2:$B$120,2,0)</f>
        <v>1412</v>
      </c>
      <c r="V642" s="2">
        <f t="shared" ref="V642:V705" si="293">VLOOKUP(C642,技能辅助查询表,12,FALSE)</f>
        <v>143.47826086956522</v>
      </c>
      <c r="W642" s="45">
        <f t="shared" ca="1" si="278"/>
        <v>23</v>
      </c>
      <c r="X642" s="48">
        <f t="shared" ca="1" si="279"/>
        <v>297</v>
      </c>
      <c r="Y642">
        <f t="shared" ref="Y642:Y705" si="294">VLOOKUP(C642,技能辅助查询表,15,FALSE)</f>
        <v>18</v>
      </c>
      <c r="Z642">
        <f t="shared" ca="1" si="273"/>
        <v>10</v>
      </c>
      <c r="AA642" t="str">
        <f t="shared" ca="1" si="274"/>
        <v>9222200.png</v>
      </c>
      <c r="AB642">
        <f t="shared" ref="AB642:AB705" si="295">VLOOKUP(C642,技能辅助查询表,17,FALSE)</f>
        <v>20</v>
      </c>
      <c r="AC642">
        <f>VLOOKUP(C642,技能辅助查询表,技能配置辅助表!$W$1,FALSE)</f>
        <v>25</v>
      </c>
      <c r="AD642">
        <f t="shared" ca="1" si="275"/>
        <v>73.268427728345017</v>
      </c>
      <c r="AE642">
        <f>VLOOKUP(C642,技能辅助查询表,技能配置辅助表!$U$1,FALSE)</f>
        <v>4</v>
      </c>
      <c r="AF642">
        <f t="shared" ca="1" si="276"/>
        <v>9222228</v>
      </c>
      <c r="AG642">
        <f t="shared" ca="1" si="280"/>
        <v>45.877551020408163</v>
      </c>
      <c r="AH642">
        <f t="shared" ca="1" si="277"/>
        <v>437.93498902077317</v>
      </c>
      <c r="AI642">
        <f ca="1">VLOOKUP(E642,伤害参考系!$C$4:$E$104,3,FALSE)*$AN$12</f>
        <v>5201.3419816053529</v>
      </c>
      <c r="AJ642">
        <f>VLOOKUP(C642,技能辅助查询表,技能配置辅助表!$L$1,FALSE)</f>
        <v>1</v>
      </c>
      <c r="AK642">
        <f>VLOOKUP(C642,技能辅助查询表,技能配置辅助表!$AE$1,FALSE)</f>
        <v>66000305</v>
      </c>
    </row>
    <row r="643" spans="1:37" x14ac:dyDescent="0.15">
      <c r="A643" s="1">
        <f t="shared" ref="A643:A706" ca="1" si="296">IF(I643=0,IF(H643=1,VALUE("9"&amp;D643&amp;J643&amp;O643&amp;G643&amp;IF(I643&gt;9,I643,"0"&amp;I643)),1),VALUE("9"&amp;D643&amp;J643&amp;O643&amp;G643&amp;IF(I643&gt;9,I643,"0"&amp;I643)))</f>
        <v>9222229</v>
      </c>
      <c r="B643" s="1" t="str">
        <f t="shared" ca="1" si="281"/>
        <v>龙拳第2段</v>
      </c>
      <c r="C643" t="s">
        <v>94</v>
      </c>
      <c r="D643">
        <f t="shared" si="282"/>
        <v>2</v>
      </c>
      <c r="E643" s="42">
        <f t="shared" ref="E643:E706" ca="1" si="297">IF(I643=0,E644,IF(AND(I643=1,G643&gt;1),OFFSET(E643,(1-G643)*51,0),IF(OR(I643=1,AND(I643=2,R643=2)),R643,IF(I643=0,0,ROUND(I643*(80-R643)/S643,0)+R643))))</f>
        <v>48</v>
      </c>
      <c r="F643" t="str">
        <f t="shared" ref="F643:F706" ca="1" si="298">"第"&amp;I643&amp;"级，共造成"&amp;ROUND(AJ643*K643,1)&amp;"%点伤害"</f>
        <v>第29级，共造成185.1%点伤害</v>
      </c>
      <c r="G643">
        <f t="shared" ref="G643:G706" ca="1" si="299">IF(I643=0,0,H643)</f>
        <v>2</v>
      </c>
      <c r="H643">
        <f t="shared" si="283"/>
        <v>2</v>
      </c>
      <c r="I643" s="44">
        <f t="shared" ref="I643:I651" ca="1" si="300">IF(OFFSET(C643,-1,0)=C643,I642+1,0)</f>
        <v>29</v>
      </c>
      <c r="J643">
        <f t="shared" si="284"/>
        <v>2</v>
      </c>
      <c r="K643" s="36">
        <f t="shared" ca="1" si="285"/>
        <v>185.08695652173913</v>
      </c>
      <c r="L643" s="10">
        <f ca="1">AH643*VLOOKUP(C643,技能辅助查询表,技能配置辅助表!$T$1,FALSE)</f>
        <v>0</v>
      </c>
      <c r="M643">
        <f t="shared" ca="1" si="286"/>
        <v>5680</v>
      </c>
      <c r="N643" s="33">
        <f ca="1">CHOOSE(1,W643*U643,X643*'[1]0、经济设定'!$C$18)</f>
        <v>36925</v>
      </c>
      <c r="O643">
        <f t="shared" si="287"/>
        <v>2</v>
      </c>
      <c r="P643">
        <f t="shared" si="288"/>
        <v>1</v>
      </c>
      <c r="Q643">
        <f t="shared" si="289"/>
        <v>1</v>
      </c>
      <c r="R643" s="2">
        <f t="shared" si="290"/>
        <v>4</v>
      </c>
      <c r="S643" s="2">
        <f t="shared" si="291"/>
        <v>50</v>
      </c>
      <c r="T643" s="2">
        <f t="shared" si="292"/>
        <v>143.47826086956522</v>
      </c>
      <c r="U643" s="2">
        <f ca="1">VLOOKUP(E643,金币生产率!$A$2:$B$120,2,0)</f>
        <v>1477</v>
      </c>
      <c r="V643" s="2">
        <f t="shared" si="293"/>
        <v>143.47826086956522</v>
      </c>
      <c r="W643" s="45">
        <f t="shared" ca="1" si="278"/>
        <v>25</v>
      </c>
      <c r="X643" s="48">
        <f t="shared" ca="1" si="279"/>
        <v>322</v>
      </c>
      <c r="Y643">
        <f t="shared" si="294"/>
        <v>18</v>
      </c>
      <c r="Z643">
        <f t="shared" ref="Z643:Z706" ca="1" si="301">IF(I643&gt;=Y643,ROUNDUP(W643/$AN$15,0),0)</f>
        <v>10</v>
      </c>
      <c r="AA643" t="str">
        <f t="shared" ref="AA643:AA706" ca="1" si="302">AF643-MOD(AF643,100)&amp;".png"</f>
        <v>9222200.png</v>
      </c>
      <c r="AB643">
        <f t="shared" si="295"/>
        <v>20</v>
      </c>
      <c r="AC643">
        <f>VLOOKUP(C643,技能辅助查询表,技能配置辅助表!$W$1,FALSE)</f>
        <v>25</v>
      </c>
      <c r="AD643">
        <f t="shared" ref="AD643:AD706" ca="1" si="303">((AH643*K643/100+L643)*AJ643-AH643)/5</f>
        <v>84.845853806897054</v>
      </c>
      <c r="AE643">
        <f>VLOOKUP(C643,技能辅助查询表,技能配置辅助表!$U$1,FALSE)</f>
        <v>4</v>
      </c>
      <c r="AF643">
        <f t="shared" ref="AF643:AF706" ca="1" si="304">VALUE("9"&amp;D643&amp;J643&amp;O643&amp;H643&amp;IF(I643&gt;9,I643,"0"&amp;I643))</f>
        <v>9222229</v>
      </c>
      <c r="AG643">
        <f t="shared" ca="1" si="280"/>
        <v>47.428571428571431</v>
      </c>
      <c r="AH643">
        <f t="shared" ref="AH643:AH706" ca="1" si="305">(19.323*EXP(I643*0.1297))*$AN$12</f>
        <v>498.5831981498805</v>
      </c>
      <c r="AI643">
        <f ca="1">VLOOKUP(E643,伤害参考系!$C$4:$E$104,3,FALSE)*$AN$12</f>
        <v>5499.8953043478286</v>
      </c>
      <c r="AJ643">
        <f>VLOOKUP(C643,技能辅助查询表,技能配置辅助表!$L$1,FALSE)</f>
        <v>1</v>
      </c>
      <c r="AK643">
        <f>VLOOKUP(C643,技能辅助查询表,技能配置辅助表!$AE$1,FALSE)</f>
        <v>66000305</v>
      </c>
    </row>
    <row r="644" spans="1:37" x14ac:dyDescent="0.15">
      <c r="A644" s="1">
        <f t="shared" ca="1" si="296"/>
        <v>9222230</v>
      </c>
      <c r="B644" s="1" t="str">
        <f t="shared" ca="1" si="281"/>
        <v>龙拳第2段</v>
      </c>
      <c r="C644" t="s">
        <v>94</v>
      </c>
      <c r="D644">
        <f t="shared" si="282"/>
        <v>2</v>
      </c>
      <c r="E644" s="42">
        <f t="shared" ca="1" si="297"/>
        <v>50</v>
      </c>
      <c r="F644" t="str">
        <f t="shared" ca="1" si="298"/>
        <v>第30级，共造成186.5%点伤害</v>
      </c>
      <c r="G644">
        <f t="shared" ca="1" si="299"/>
        <v>2</v>
      </c>
      <c r="H644">
        <f t="shared" si="283"/>
        <v>2</v>
      </c>
      <c r="I644" s="44">
        <f t="shared" ca="1" si="300"/>
        <v>30</v>
      </c>
      <c r="J644">
        <f t="shared" si="284"/>
        <v>2</v>
      </c>
      <c r="K644" s="36">
        <f t="shared" ca="1" si="285"/>
        <v>186.52173913043478</v>
      </c>
      <c r="L644" s="10">
        <f ca="1">AH644*VLOOKUP(C644,技能辅助查询表,技能配置辅助表!$T$1,FALSE)</f>
        <v>0</v>
      </c>
      <c r="M644">
        <f t="shared" ca="1" si="286"/>
        <v>5600</v>
      </c>
      <c r="N644" s="33">
        <f ca="1">CHOOSE(1,W644*U644,X644*'[1]0、经济设定'!$C$18)</f>
        <v>41860</v>
      </c>
      <c r="O644">
        <f t="shared" si="287"/>
        <v>2</v>
      </c>
      <c r="P644">
        <f t="shared" si="288"/>
        <v>1</v>
      </c>
      <c r="Q644">
        <f t="shared" si="289"/>
        <v>1</v>
      </c>
      <c r="R644" s="2">
        <f t="shared" si="290"/>
        <v>4</v>
      </c>
      <c r="S644" s="2">
        <f t="shared" si="291"/>
        <v>50</v>
      </c>
      <c r="T644" s="2">
        <f t="shared" si="292"/>
        <v>143.47826086956522</v>
      </c>
      <c r="U644" s="2">
        <f ca="1">VLOOKUP(E644,金币生产率!$A$2:$B$120,2,0)</f>
        <v>1610</v>
      </c>
      <c r="V644" s="2">
        <f t="shared" si="293"/>
        <v>143.47826086956522</v>
      </c>
      <c r="W644" s="45">
        <f t="shared" ref="W644:W707" ca="1" si="306">ROUND((IF(I644=0,0,ROUND(OFFSET(AD644,S644-I644+510*(1-D644),0)*(1-$AN$13)/(1-$AN$13^S644)*$AN$13^(I644-1),0))+IF(I644=0,0,ROUND(OFFSET(AD644,S644-I644+510*(2-D644),0)*(1-$AN$13)/(1-$AN$13^S644)*$AN$13^(I644-1),0))+IF(I644=0,0,ROUND(OFFSET(AD644,S644-I644+510*(3-D644),0)*(1-$AN$13)/(1-$AN$13^S644)*$AN$13^(I644-1),0)))/3,0)</f>
        <v>26</v>
      </c>
      <c r="X644" s="48">
        <f t="shared" ref="X644:X707" ca="1" si="307">IF(I644=0,0,X643+W644)</f>
        <v>348</v>
      </c>
      <c r="Y644">
        <f t="shared" si="294"/>
        <v>18</v>
      </c>
      <c r="Z644">
        <f t="shared" ca="1" si="301"/>
        <v>11</v>
      </c>
      <c r="AA644" t="str">
        <f t="shared" ca="1" si="302"/>
        <v>9222200.png</v>
      </c>
      <c r="AB644">
        <f t="shared" si="295"/>
        <v>20</v>
      </c>
      <c r="AC644">
        <f>VLOOKUP(C644,技能辅助查询表,技能配置辅助表!$W$1,FALSE)</f>
        <v>25</v>
      </c>
      <c r="AD644">
        <f t="shared" ca="1" si="303"/>
        <v>98.224735813368468</v>
      </c>
      <c r="AE644">
        <f>VLOOKUP(C644,技能辅助查询表,技能配置辅助表!$U$1,FALSE)</f>
        <v>4</v>
      </c>
      <c r="AF644">
        <f t="shared" ca="1" si="304"/>
        <v>9222230</v>
      </c>
      <c r="AG644">
        <f t="shared" ca="1" si="280"/>
        <v>48.979591836734691</v>
      </c>
      <c r="AH644">
        <f t="shared" ca="1" si="305"/>
        <v>567.63038284107404</v>
      </c>
      <c r="AI644">
        <f ca="1">VLOOKUP(E644,伤害参考系!$C$4:$E$104,3,FALSE)*$AN$12</f>
        <v>6162.2688085284308</v>
      </c>
      <c r="AJ644">
        <f>VLOOKUP(C644,技能辅助查询表,技能配置辅助表!$L$1,FALSE)</f>
        <v>1</v>
      </c>
      <c r="AK644">
        <f>VLOOKUP(C644,技能辅助查询表,技能配置辅助表!$AE$1,FALSE)</f>
        <v>66000305</v>
      </c>
    </row>
    <row r="645" spans="1:37" x14ac:dyDescent="0.15">
      <c r="A645" s="1">
        <f t="shared" ca="1" si="296"/>
        <v>9222231</v>
      </c>
      <c r="B645" s="1" t="str">
        <f t="shared" ca="1" si="281"/>
        <v>龙拳第2段</v>
      </c>
      <c r="C645" t="s">
        <v>94</v>
      </c>
      <c r="D645">
        <f t="shared" si="282"/>
        <v>2</v>
      </c>
      <c r="E645" s="42">
        <f t="shared" ca="1" si="297"/>
        <v>51</v>
      </c>
      <c r="F645" t="str">
        <f t="shared" ca="1" si="298"/>
        <v>第31级，共造成188%点伤害</v>
      </c>
      <c r="G645">
        <f t="shared" ca="1" si="299"/>
        <v>2</v>
      </c>
      <c r="H645">
        <f t="shared" si="283"/>
        <v>2</v>
      </c>
      <c r="I645" s="44">
        <f t="shared" ca="1" si="300"/>
        <v>31</v>
      </c>
      <c r="J645">
        <f t="shared" si="284"/>
        <v>2</v>
      </c>
      <c r="K645" s="36">
        <f t="shared" ca="1" si="285"/>
        <v>187.95652173913044</v>
      </c>
      <c r="L645" s="10">
        <f ca="1">AH645*VLOOKUP(C645,技能辅助查询表,技能配置辅助表!$T$1,FALSE)</f>
        <v>0</v>
      </c>
      <c r="M645">
        <f t="shared" ca="1" si="286"/>
        <v>5520</v>
      </c>
      <c r="N645" s="33">
        <f ca="1">CHOOSE(1,W645*U645,X645*'[1]0、经济设定'!$C$18)</f>
        <v>47012</v>
      </c>
      <c r="O645">
        <f t="shared" si="287"/>
        <v>2</v>
      </c>
      <c r="P645">
        <f t="shared" si="288"/>
        <v>1</v>
      </c>
      <c r="Q645">
        <f t="shared" si="289"/>
        <v>1</v>
      </c>
      <c r="R645" s="2">
        <f t="shared" si="290"/>
        <v>4</v>
      </c>
      <c r="S645" s="2">
        <f t="shared" si="291"/>
        <v>50</v>
      </c>
      <c r="T645" s="2">
        <f t="shared" si="292"/>
        <v>143.47826086956522</v>
      </c>
      <c r="U645" s="2">
        <f ca="1">VLOOKUP(E645,金币生产率!$A$2:$B$120,2,0)</f>
        <v>1679</v>
      </c>
      <c r="V645" s="2">
        <f t="shared" si="293"/>
        <v>143.47826086956522</v>
      </c>
      <c r="W645" s="45">
        <f t="shared" ca="1" si="306"/>
        <v>28</v>
      </c>
      <c r="X645" s="48">
        <f t="shared" ca="1" si="307"/>
        <v>376</v>
      </c>
      <c r="Y645">
        <f t="shared" si="294"/>
        <v>18</v>
      </c>
      <c r="Z645">
        <f t="shared" ca="1" si="301"/>
        <v>12</v>
      </c>
      <c r="AA645" t="str">
        <f t="shared" ca="1" si="302"/>
        <v>9222200.png</v>
      </c>
      <c r="AB645">
        <f t="shared" si="295"/>
        <v>20</v>
      </c>
      <c r="AC645">
        <f>VLOOKUP(C645,技能辅助查询表,技能配置辅助表!$W$1,FALSE)</f>
        <v>25</v>
      </c>
      <c r="AD645">
        <f t="shared" ca="1" si="303"/>
        <v>113.68199072411728</v>
      </c>
      <c r="AE645">
        <f>VLOOKUP(C645,技能辅助查询表,技能配置辅助表!$U$1,FALSE)</f>
        <v>4</v>
      </c>
      <c r="AF645">
        <f t="shared" ca="1" si="304"/>
        <v>9222231</v>
      </c>
      <c r="AG645">
        <f t="shared" ref="AG645:AG708" ca="1" si="308">IF(I645=1,R645,IF(I645=0,0,(I645-1)*(80-R645)/(S645-1)+R645))</f>
        <v>50.530612244897959</v>
      </c>
      <c r="AH645">
        <f t="shared" ca="1" si="305"/>
        <v>646.23969022607446</v>
      </c>
      <c r="AI645">
        <f ca="1">VLOOKUP(E645,伤害参考系!$C$4:$E$104,3,FALSE)*$AN$12</f>
        <v>6528.1715392976603</v>
      </c>
      <c r="AJ645">
        <f>VLOOKUP(C645,技能辅助查询表,技能配置辅助表!$L$1,FALSE)</f>
        <v>1</v>
      </c>
      <c r="AK645">
        <f>VLOOKUP(C645,技能辅助查询表,技能配置辅助表!$AE$1,FALSE)</f>
        <v>66000305</v>
      </c>
    </row>
    <row r="646" spans="1:37" x14ac:dyDescent="0.15">
      <c r="A646" s="1">
        <f t="shared" ca="1" si="296"/>
        <v>9222232</v>
      </c>
      <c r="B646" s="1" t="str">
        <f t="shared" ca="1" si="281"/>
        <v>龙拳第2段</v>
      </c>
      <c r="C646" t="s">
        <v>94</v>
      </c>
      <c r="D646">
        <f t="shared" si="282"/>
        <v>2</v>
      </c>
      <c r="E646" s="42">
        <f t="shared" ca="1" si="297"/>
        <v>53</v>
      </c>
      <c r="F646" t="str">
        <f t="shared" ca="1" si="298"/>
        <v>第32级，共造成189.4%点伤害</v>
      </c>
      <c r="G646">
        <f t="shared" ca="1" si="299"/>
        <v>2</v>
      </c>
      <c r="H646">
        <f t="shared" si="283"/>
        <v>2</v>
      </c>
      <c r="I646" s="44">
        <f t="shared" ca="1" si="300"/>
        <v>32</v>
      </c>
      <c r="J646">
        <f t="shared" si="284"/>
        <v>2</v>
      </c>
      <c r="K646" s="36">
        <f t="shared" ca="1" si="285"/>
        <v>189.39130434782609</v>
      </c>
      <c r="L646" s="10">
        <f ca="1">AH646*VLOOKUP(C646,技能辅助查询表,技能配置辅助表!$T$1,FALSE)</f>
        <v>0</v>
      </c>
      <c r="M646">
        <f t="shared" ca="1" si="286"/>
        <v>5440</v>
      </c>
      <c r="N646" s="33">
        <f ca="1">CHOOSE(1,W646*U646,X646*'[1]0、经济设定'!$C$18)</f>
        <v>54600</v>
      </c>
      <c r="O646">
        <f t="shared" si="287"/>
        <v>2</v>
      </c>
      <c r="P646">
        <f t="shared" si="288"/>
        <v>1</v>
      </c>
      <c r="Q646">
        <f t="shared" si="289"/>
        <v>1</v>
      </c>
      <c r="R646" s="2">
        <f t="shared" si="290"/>
        <v>4</v>
      </c>
      <c r="S646" s="2">
        <f t="shared" si="291"/>
        <v>50</v>
      </c>
      <c r="T646" s="2">
        <f t="shared" si="292"/>
        <v>143.47826086956522</v>
      </c>
      <c r="U646" s="2">
        <f ca="1">VLOOKUP(E646,金币生产率!$A$2:$B$120,2,0)</f>
        <v>1820</v>
      </c>
      <c r="V646" s="2">
        <f t="shared" si="293"/>
        <v>143.47826086956522</v>
      </c>
      <c r="W646" s="45">
        <f t="shared" ca="1" si="306"/>
        <v>30</v>
      </c>
      <c r="X646" s="48">
        <f t="shared" ca="1" si="307"/>
        <v>406</v>
      </c>
      <c r="Y646">
        <f t="shared" si="294"/>
        <v>18</v>
      </c>
      <c r="Z646">
        <f t="shared" ca="1" si="301"/>
        <v>12</v>
      </c>
      <c r="AA646" t="str">
        <f t="shared" ca="1" si="302"/>
        <v>9222200.png</v>
      </c>
      <c r="AB646">
        <f t="shared" si="295"/>
        <v>20</v>
      </c>
      <c r="AC646">
        <f>VLOOKUP(C646,技能辅助查询表,技能配置辅助表!$W$1,FALSE)</f>
        <v>25</v>
      </c>
      <c r="AD646">
        <f t="shared" ca="1" si="303"/>
        <v>131.53668481513523</v>
      </c>
      <c r="AE646">
        <f>VLOOKUP(C646,技能辅助查询表,技能配置辅助表!$U$1,FALSE)</f>
        <v>4</v>
      </c>
      <c r="AF646">
        <f t="shared" ca="1" si="304"/>
        <v>9222232</v>
      </c>
      <c r="AG646">
        <f t="shared" ca="1" si="308"/>
        <v>52.081632653061227</v>
      </c>
      <c r="AH646">
        <f t="shared" ca="1" si="305"/>
        <v>735.73534794457942</v>
      </c>
      <c r="AI646">
        <f ca="1">VLOOKUP(E646,伤害参考系!$C$4:$E$104,3,FALSE)*$AN$12</f>
        <v>7291.2152408026777</v>
      </c>
      <c r="AJ646">
        <f>VLOOKUP(C646,技能辅助查询表,技能配置辅助表!$L$1,FALSE)</f>
        <v>1</v>
      </c>
      <c r="AK646">
        <f>VLOOKUP(C646,技能辅助查询表,技能配置辅助表!$AE$1,FALSE)</f>
        <v>66000305</v>
      </c>
    </row>
    <row r="647" spans="1:37" x14ac:dyDescent="0.15">
      <c r="A647" s="1">
        <f t="shared" ca="1" si="296"/>
        <v>9222233</v>
      </c>
      <c r="B647" s="1" t="str">
        <f t="shared" ca="1" si="281"/>
        <v>龙拳第2段</v>
      </c>
      <c r="C647" t="s">
        <v>94</v>
      </c>
      <c r="D647">
        <f t="shared" si="282"/>
        <v>2</v>
      </c>
      <c r="E647" s="42">
        <f t="shared" ca="1" si="297"/>
        <v>54</v>
      </c>
      <c r="F647" t="str">
        <f t="shared" ca="1" si="298"/>
        <v>第33级，共造成190.8%点伤害</v>
      </c>
      <c r="G647">
        <f t="shared" ca="1" si="299"/>
        <v>2</v>
      </c>
      <c r="H647">
        <f t="shared" si="283"/>
        <v>2</v>
      </c>
      <c r="I647" s="44">
        <f t="shared" ca="1" si="300"/>
        <v>33</v>
      </c>
      <c r="J647">
        <f t="shared" si="284"/>
        <v>2</v>
      </c>
      <c r="K647" s="36">
        <f t="shared" ca="1" si="285"/>
        <v>190.82608695652175</v>
      </c>
      <c r="L647" s="10">
        <f ca="1">AH647*VLOOKUP(C647,技能辅助查询表,技能配置辅助表!$T$1,FALSE)</f>
        <v>0</v>
      </c>
      <c r="M647">
        <f t="shared" ca="1" si="286"/>
        <v>5360</v>
      </c>
      <c r="N647" s="33">
        <f ca="1">CHOOSE(1,W647*U647,X647*'[1]0、经济设定'!$C$18)</f>
        <v>60576</v>
      </c>
      <c r="O647">
        <f t="shared" si="287"/>
        <v>2</v>
      </c>
      <c r="P647">
        <f t="shared" si="288"/>
        <v>1</v>
      </c>
      <c r="Q647">
        <f t="shared" si="289"/>
        <v>1</v>
      </c>
      <c r="R647" s="2">
        <f t="shared" si="290"/>
        <v>4</v>
      </c>
      <c r="S647" s="2">
        <f t="shared" si="291"/>
        <v>50</v>
      </c>
      <c r="T647" s="2">
        <f t="shared" si="292"/>
        <v>143.47826086956522</v>
      </c>
      <c r="U647" s="2">
        <f ca="1">VLOOKUP(E647,金币生产率!$A$2:$B$120,2,0)</f>
        <v>1893</v>
      </c>
      <c r="V647" s="2">
        <f t="shared" si="293"/>
        <v>143.47826086956522</v>
      </c>
      <c r="W647" s="45">
        <f t="shared" ca="1" si="306"/>
        <v>32</v>
      </c>
      <c r="X647" s="48">
        <f t="shared" ca="1" si="307"/>
        <v>438</v>
      </c>
      <c r="Y647">
        <f t="shared" si="294"/>
        <v>18</v>
      </c>
      <c r="Z647">
        <f t="shared" ca="1" si="301"/>
        <v>13</v>
      </c>
      <c r="AA647" t="str">
        <f t="shared" ca="1" si="302"/>
        <v>9222200.png</v>
      </c>
      <c r="AB647">
        <f t="shared" si="295"/>
        <v>20</v>
      </c>
      <c r="AC647">
        <f>VLOOKUP(C647,技能辅助查询表,技能配置辅助表!$W$1,FALSE)</f>
        <v>25</v>
      </c>
      <c r="AD647">
        <f t="shared" ca="1" si="303"/>
        <v>152.15639702700037</v>
      </c>
      <c r="AE647">
        <f>VLOOKUP(C647,技能辅助查询表,技能配置辅助表!$U$1,FALSE)</f>
        <v>4</v>
      </c>
      <c r="AF647">
        <f t="shared" ca="1" si="304"/>
        <v>9222233</v>
      </c>
      <c r="AG647">
        <f t="shared" ca="1" si="308"/>
        <v>53.632653061224488</v>
      </c>
      <c r="AH647">
        <f t="shared" ca="1" si="305"/>
        <v>837.62497166611001</v>
      </c>
      <c r="AI647">
        <f ca="1">VLOOKUP(E647,伤害参考系!$C$4:$E$104,3,FALSE)*$AN$12</f>
        <v>7688.356211538463</v>
      </c>
      <c r="AJ647">
        <f>VLOOKUP(C647,技能辅助查询表,技能配置辅助表!$L$1,FALSE)</f>
        <v>1</v>
      </c>
      <c r="AK647">
        <f>VLOOKUP(C647,技能辅助查询表,技能配置辅助表!$AE$1,FALSE)</f>
        <v>66000305</v>
      </c>
    </row>
    <row r="648" spans="1:37" x14ac:dyDescent="0.15">
      <c r="A648" s="1">
        <f t="shared" ca="1" si="296"/>
        <v>9222234</v>
      </c>
      <c r="B648" s="1" t="str">
        <f t="shared" ca="1" si="281"/>
        <v>龙拳第2段</v>
      </c>
      <c r="C648" t="s">
        <v>94</v>
      </c>
      <c r="D648">
        <f t="shared" si="282"/>
        <v>2</v>
      </c>
      <c r="E648" s="42">
        <f t="shared" ca="1" si="297"/>
        <v>56</v>
      </c>
      <c r="F648" t="str">
        <f t="shared" ca="1" si="298"/>
        <v>第34级，共造成192.3%点伤害</v>
      </c>
      <c r="G648">
        <f t="shared" ca="1" si="299"/>
        <v>2</v>
      </c>
      <c r="H648">
        <f t="shared" si="283"/>
        <v>2</v>
      </c>
      <c r="I648" s="44">
        <f t="shared" ca="1" si="300"/>
        <v>34</v>
      </c>
      <c r="J648">
        <f t="shared" si="284"/>
        <v>2</v>
      </c>
      <c r="K648" s="36">
        <f t="shared" ca="1" si="285"/>
        <v>192.26086956521738</v>
      </c>
      <c r="L648" s="10">
        <f ca="1">AH648*VLOOKUP(C648,技能辅助查询表,技能配置辅助表!$T$1,FALSE)</f>
        <v>0</v>
      </c>
      <c r="M648">
        <f t="shared" ca="1" si="286"/>
        <v>5280</v>
      </c>
      <c r="N648" s="33">
        <f ca="1">CHOOSE(1,W648*U648,X648*'[1]0、经济设定'!$C$18)</f>
        <v>69428</v>
      </c>
      <c r="O648">
        <f t="shared" si="287"/>
        <v>2</v>
      </c>
      <c r="P648">
        <f t="shared" si="288"/>
        <v>1</v>
      </c>
      <c r="Q648">
        <f t="shared" si="289"/>
        <v>1</v>
      </c>
      <c r="R648" s="2">
        <f t="shared" si="290"/>
        <v>4</v>
      </c>
      <c r="S648" s="2">
        <f t="shared" si="291"/>
        <v>50</v>
      </c>
      <c r="T648" s="2">
        <f t="shared" si="292"/>
        <v>143.47826086956522</v>
      </c>
      <c r="U648" s="2">
        <f ca="1">VLOOKUP(E648,金币生产率!$A$2:$B$120,2,0)</f>
        <v>2042</v>
      </c>
      <c r="V648" s="2">
        <f t="shared" si="293"/>
        <v>143.47826086956522</v>
      </c>
      <c r="W648" s="45">
        <f t="shared" ca="1" si="306"/>
        <v>34</v>
      </c>
      <c r="X648" s="48">
        <f t="shared" ca="1" si="307"/>
        <v>472</v>
      </c>
      <c r="Y648">
        <f t="shared" si="294"/>
        <v>18</v>
      </c>
      <c r="Z648">
        <f t="shared" ca="1" si="301"/>
        <v>14</v>
      </c>
      <c r="AA648" t="str">
        <f t="shared" ca="1" si="302"/>
        <v>9222200.png</v>
      </c>
      <c r="AB648">
        <f t="shared" si="295"/>
        <v>20</v>
      </c>
      <c r="AC648">
        <f>VLOOKUP(C648,技能辅助查询表,技能配置辅助表!$W$1,FALSE)</f>
        <v>25</v>
      </c>
      <c r="AD648">
        <f t="shared" ca="1" si="303"/>
        <v>175.9645364496177</v>
      </c>
      <c r="AE648">
        <f>VLOOKUP(C648,技能辅助查询表,技能配置辅助表!$U$1,FALSE)</f>
        <v>4</v>
      </c>
      <c r="AF648">
        <f t="shared" ca="1" si="304"/>
        <v>9222234</v>
      </c>
      <c r="AG648">
        <f t="shared" ca="1" si="308"/>
        <v>55.183673469387756</v>
      </c>
      <c r="AH648">
        <f t="shared" ca="1" si="305"/>
        <v>953.62496190886134</v>
      </c>
      <c r="AI648">
        <f ca="1">VLOOKUP(E648,伤害参考系!$C$4:$E$104,3,FALSE)*$AN$12</f>
        <v>8513.8763929765901</v>
      </c>
      <c r="AJ648">
        <f>VLOOKUP(C648,技能辅助查询表,技能配置辅助表!$L$1,FALSE)</f>
        <v>1</v>
      </c>
      <c r="AK648">
        <f>VLOOKUP(C648,技能辅助查询表,技能配置辅助表!$AE$1,FALSE)</f>
        <v>66000305</v>
      </c>
    </row>
    <row r="649" spans="1:37" x14ac:dyDescent="0.15">
      <c r="A649" s="1">
        <f t="shared" ca="1" si="296"/>
        <v>9222235</v>
      </c>
      <c r="B649" s="1" t="str">
        <f t="shared" ca="1" si="281"/>
        <v>龙拳第2段</v>
      </c>
      <c r="C649" t="s">
        <v>94</v>
      </c>
      <c r="D649">
        <f t="shared" si="282"/>
        <v>2</v>
      </c>
      <c r="E649" s="42">
        <f t="shared" ca="1" si="297"/>
        <v>57</v>
      </c>
      <c r="F649" t="str">
        <f t="shared" ca="1" si="298"/>
        <v>第35级，共造成193.7%点伤害</v>
      </c>
      <c r="G649">
        <f t="shared" ca="1" si="299"/>
        <v>2</v>
      </c>
      <c r="H649">
        <f t="shared" si="283"/>
        <v>2</v>
      </c>
      <c r="I649" s="44">
        <f t="shared" ca="1" si="300"/>
        <v>35</v>
      </c>
      <c r="J649">
        <f t="shared" si="284"/>
        <v>2</v>
      </c>
      <c r="K649" s="36">
        <f t="shared" ca="1" si="285"/>
        <v>193.69565217391303</v>
      </c>
      <c r="L649" s="10">
        <f ca="1">AH649*VLOOKUP(C649,技能辅助查询表,技能配置辅助表!$T$1,FALSE)</f>
        <v>0</v>
      </c>
      <c r="M649">
        <f t="shared" ca="1" si="286"/>
        <v>5200</v>
      </c>
      <c r="N649" s="33">
        <f ca="1">CHOOSE(1,W649*U649,X649*'[1]0、经济设定'!$C$18)</f>
        <v>76284</v>
      </c>
      <c r="O649">
        <f t="shared" si="287"/>
        <v>2</v>
      </c>
      <c r="P649">
        <f t="shared" si="288"/>
        <v>1</v>
      </c>
      <c r="Q649">
        <f t="shared" si="289"/>
        <v>1</v>
      </c>
      <c r="R649" s="2">
        <f t="shared" si="290"/>
        <v>4</v>
      </c>
      <c r="S649" s="2">
        <f t="shared" si="291"/>
        <v>50</v>
      </c>
      <c r="T649" s="2">
        <f t="shared" si="292"/>
        <v>143.47826086956522</v>
      </c>
      <c r="U649" s="2">
        <f ca="1">VLOOKUP(E649,金币生产率!$A$2:$B$120,2,0)</f>
        <v>2119</v>
      </c>
      <c r="V649" s="2">
        <f t="shared" si="293"/>
        <v>143.47826086956522</v>
      </c>
      <c r="W649" s="45">
        <f t="shared" ca="1" si="306"/>
        <v>36</v>
      </c>
      <c r="X649" s="48">
        <f t="shared" ca="1" si="307"/>
        <v>508</v>
      </c>
      <c r="Y649">
        <f t="shared" si="294"/>
        <v>18</v>
      </c>
      <c r="Z649">
        <f t="shared" ca="1" si="301"/>
        <v>15</v>
      </c>
      <c r="AA649" t="str">
        <f t="shared" ca="1" si="302"/>
        <v>9222200.png</v>
      </c>
      <c r="AB649">
        <f t="shared" si="295"/>
        <v>20</v>
      </c>
      <c r="AC649">
        <f>VLOOKUP(C649,技能辅助查询表,技能配置辅助表!$W$1,FALSE)</f>
        <v>25</v>
      </c>
      <c r="AD649">
        <f t="shared" ca="1" si="303"/>
        <v>203.44875615234804</v>
      </c>
      <c r="AE649">
        <f>VLOOKUP(C649,技能辅助查询表,技能配置辅助表!$U$1,FALSE)</f>
        <v>4</v>
      </c>
      <c r="AF649">
        <f t="shared" ca="1" si="304"/>
        <v>9222235</v>
      </c>
      <c r="AG649">
        <f t="shared" ca="1" si="308"/>
        <v>56.734693877551024</v>
      </c>
      <c r="AH649">
        <f t="shared" ca="1" si="305"/>
        <v>1085.689417982368</v>
      </c>
      <c r="AI649">
        <f ca="1">VLOOKUP(E649,伤害参考系!$C$4:$E$104,3,FALSE)*$AN$12</f>
        <v>8942.2556036789319</v>
      </c>
      <c r="AJ649">
        <f>VLOOKUP(C649,技能辅助查询表,技能配置辅助表!$L$1,FALSE)</f>
        <v>1</v>
      </c>
      <c r="AK649">
        <f>VLOOKUP(C649,技能辅助查询表,技能配置辅助表!$AE$1,FALSE)</f>
        <v>66000305</v>
      </c>
    </row>
    <row r="650" spans="1:37" x14ac:dyDescent="0.15">
      <c r="A650" s="1">
        <f t="shared" ca="1" si="296"/>
        <v>9222236</v>
      </c>
      <c r="B650" s="1" t="str">
        <f t="shared" ca="1" si="281"/>
        <v>龙拳第2段</v>
      </c>
      <c r="C650" t="s">
        <v>94</v>
      </c>
      <c r="D650">
        <f t="shared" si="282"/>
        <v>2</v>
      </c>
      <c r="E650" s="42">
        <f t="shared" ca="1" si="297"/>
        <v>59</v>
      </c>
      <c r="F650" t="str">
        <f t="shared" ca="1" si="298"/>
        <v>第36级，共造成195.1%点伤害</v>
      </c>
      <c r="G650">
        <f t="shared" ca="1" si="299"/>
        <v>2</v>
      </c>
      <c r="H650">
        <f t="shared" si="283"/>
        <v>2</v>
      </c>
      <c r="I650" s="44">
        <f t="shared" ca="1" si="300"/>
        <v>36</v>
      </c>
      <c r="J650">
        <f t="shared" si="284"/>
        <v>2</v>
      </c>
      <c r="K650" s="36">
        <f t="shared" ca="1" si="285"/>
        <v>195.13043478260869</v>
      </c>
      <c r="L650" s="10">
        <f ca="1">AH650*VLOOKUP(C650,技能辅助查询表,技能配置辅助表!$T$1,FALSE)</f>
        <v>0</v>
      </c>
      <c r="M650">
        <f t="shared" ca="1" si="286"/>
        <v>5120</v>
      </c>
      <c r="N650" s="33">
        <f ca="1">CHOOSE(1,W650*U650,X650*'[1]0、经济设定'!$C$18)</f>
        <v>88803</v>
      </c>
      <c r="O650">
        <f t="shared" si="287"/>
        <v>2</v>
      </c>
      <c r="P650">
        <f t="shared" si="288"/>
        <v>1</v>
      </c>
      <c r="Q650">
        <f t="shared" si="289"/>
        <v>1</v>
      </c>
      <c r="R650" s="2">
        <f t="shared" si="290"/>
        <v>4</v>
      </c>
      <c r="S650" s="2">
        <f t="shared" si="291"/>
        <v>50</v>
      </c>
      <c r="T650" s="2">
        <f t="shared" si="292"/>
        <v>143.47826086956522</v>
      </c>
      <c r="U650" s="2">
        <f ca="1">VLOOKUP(E650,金币生产率!$A$2:$B$120,2,0)</f>
        <v>2277</v>
      </c>
      <c r="V650" s="2">
        <f t="shared" si="293"/>
        <v>143.47826086956522</v>
      </c>
      <c r="W650" s="45">
        <f t="shared" ca="1" si="306"/>
        <v>39</v>
      </c>
      <c r="X650" s="48">
        <f t="shared" ca="1" si="307"/>
        <v>547</v>
      </c>
      <c r="Y650">
        <f t="shared" si="294"/>
        <v>18</v>
      </c>
      <c r="Z650">
        <f t="shared" ca="1" si="301"/>
        <v>16</v>
      </c>
      <c r="AA650" t="str">
        <f t="shared" ca="1" si="302"/>
        <v>9222200.png</v>
      </c>
      <c r="AB650">
        <f t="shared" si="295"/>
        <v>20</v>
      </c>
      <c r="AC650">
        <f>VLOOKUP(C650,技能辅助查询表,技能配置辅助表!$W$1,FALSE)</f>
        <v>25</v>
      </c>
      <c r="AD650">
        <f t="shared" ca="1" si="303"/>
        <v>235.17062667918475</v>
      </c>
      <c r="AE650">
        <f>VLOOKUP(C650,技能辅助查询表,技能配置辅助表!$U$1,FALSE)</f>
        <v>4</v>
      </c>
      <c r="AF650">
        <f t="shared" ca="1" si="304"/>
        <v>9222236</v>
      </c>
      <c r="AG650">
        <f t="shared" ca="1" si="308"/>
        <v>58.285714285714285</v>
      </c>
      <c r="AH650">
        <f t="shared" ca="1" si="305"/>
        <v>1236.0430561291703</v>
      </c>
      <c r="AI650">
        <f ca="1">VLOOKUP(E650,伤害参考系!$C$4:$E$104,3,FALSE)*$AN$12</f>
        <v>9830.2522650501687</v>
      </c>
      <c r="AJ650">
        <f>VLOOKUP(C650,技能辅助查询表,技能配置辅助表!$L$1,FALSE)</f>
        <v>1</v>
      </c>
      <c r="AK650">
        <f>VLOOKUP(C650,技能辅助查询表,技能配置辅助表!$AE$1,FALSE)</f>
        <v>66000305</v>
      </c>
    </row>
    <row r="651" spans="1:37" x14ac:dyDescent="0.15">
      <c r="A651" s="1">
        <f t="shared" ca="1" si="296"/>
        <v>9222237</v>
      </c>
      <c r="B651" s="1" t="str">
        <f t="shared" ca="1" si="281"/>
        <v>龙拳第2段</v>
      </c>
      <c r="C651" t="s">
        <v>94</v>
      </c>
      <c r="D651">
        <f t="shared" si="282"/>
        <v>2</v>
      </c>
      <c r="E651" s="42">
        <f t="shared" ca="1" si="297"/>
        <v>60</v>
      </c>
      <c r="F651" t="str">
        <f t="shared" ca="1" si="298"/>
        <v>第37级，共造成196.6%点伤害</v>
      </c>
      <c r="G651">
        <f t="shared" ca="1" si="299"/>
        <v>2</v>
      </c>
      <c r="H651">
        <f t="shared" si="283"/>
        <v>2</v>
      </c>
      <c r="I651" s="44">
        <f t="shared" ca="1" si="300"/>
        <v>37</v>
      </c>
      <c r="J651">
        <f t="shared" si="284"/>
        <v>2</v>
      </c>
      <c r="K651" s="36">
        <f t="shared" ca="1" si="285"/>
        <v>196.56521739130434</v>
      </c>
      <c r="L651" s="39">
        <f ca="1">AH651*VLOOKUP(C651,技能辅助查询表,技能配置辅助表!$T$1,FALSE)</f>
        <v>0</v>
      </c>
      <c r="M651">
        <f t="shared" ca="1" si="286"/>
        <v>5040</v>
      </c>
      <c r="N651" s="33">
        <f ca="1">CHOOSE(1,W651*U651,X651*'[1]0、经济设定'!$C$18)</f>
        <v>99036</v>
      </c>
      <c r="O651">
        <f t="shared" si="287"/>
        <v>2</v>
      </c>
      <c r="P651">
        <f t="shared" si="288"/>
        <v>1</v>
      </c>
      <c r="Q651">
        <f t="shared" si="289"/>
        <v>1</v>
      </c>
      <c r="R651" s="2">
        <f t="shared" si="290"/>
        <v>4</v>
      </c>
      <c r="S651" s="2">
        <f t="shared" si="291"/>
        <v>50</v>
      </c>
      <c r="T651" s="2">
        <f t="shared" si="292"/>
        <v>143.47826086956522</v>
      </c>
      <c r="U651" s="2">
        <f ca="1">VLOOKUP(E651,金币生产率!$A$2:$B$120,2,0)</f>
        <v>2358</v>
      </c>
      <c r="V651" s="2">
        <f t="shared" si="293"/>
        <v>143.47826086956522</v>
      </c>
      <c r="W651" s="45">
        <f t="shared" ca="1" si="306"/>
        <v>42</v>
      </c>
      <c r="X651" s="48">
        <f t="shared" ca="1" si="307"/>
        <v>589</v>
      </c>
      <c r="Y651">
        <f t="shared" si="294"/>
        <v>18</v>
      </c>
      <c r="Z651">
        <f t="shared" ca="1" si="301"/>
        <v>17</v>
      </c>
      <c r="AA651" t="str">
        <f t="shared" ca="1" si="302"/>
        <v>9222200.png</v>
      </c>
      <c r="AB651">
        <f t="shared" si="295"/>
        <v>20</v>
      </c>
      <c r="AC651">
        <f>VLOOKUP(C651,技能辅助查询表,技能配置辅助表!$W$1,FALSE)</f>
        <v>25</v>
      </c>
      <c r="AD651">
        <f t="shared" ca="1" si="303"/>
        <v>271.77675673750724</v>
      </c>
      <c r="AE651">
        <f>VLOOKUP(C651,技能辅助查询表,技能配置辅助表!$U$1,FALSE)</f>
        <v>4</v>
      </c>
      <c r="AF651">
        <f t="shared" ca="1" si="304"/>
        <v>9222237</v>
      </c>
      <c r="AG651">
        <f t="shared" ca="1" si="308"/>
        <v>59.836734693877553</v>
      </c>
      <c r="AH651">
        <f t="shared" ca="1" si="305"/>
        <v>1407.2186863941167</v>
      </c>
      <c r="AI651">
        <f ca="1">VLOOKUP(E651,伤害参考系!$C$4:$E$104,3,FALSE)*$AN$12</f>
        <v>10340.558729096994</v>
      </c>
      <c r="AJ651">
        <f>VLOOKUP(C651,技能辅助查询表,技能配置辅助表!$L$1,FALSE)</f>
        <v>1</v>
      </c>
      <c r="AK651">
        <f>VLOOKUP(C651,技能辅助查询表,技能配置辅助表!$AE$1,FALSE)</f>
        <v>66000305</v>
      </c>
    </row>
    <row r="652" spans="1:37" x14ac:dyDescent="0.15">
      <c r="A652" s="1">
        <f t="shared" ca="1" si="296"/>
        <v>9222238</v>
      </c>
      <c r="B652" s="1" t="str">
        <f t="shared" ca="1" si="281"/>
        <v>龙拳第2段</v>
      </c>
      <c r="C652" t="s">
        <v>94</v>
      </c>
      <c r="D652">
        <f t="shared" si="282"/>
        <v>2</v>
      </c>
      <c r="E652" s="42">
        <f t="shared" ca="1" si="297"/>
        <v>62</v>
      </c>
      <c r="F652" t="str">
        <f t="shared" ca="1" si="298"/>
        <v>第38级，共造成198%点伤害</v>
      </c>
      <c r="G652">
        <f t="shared" ca="1" si="299"/>
        <v>2</v>
      </c>
      <c r="H652">
        <f t="shared" si="283"/>
        <v>2</v>
      </c>
      <c r="I652" s="44">
        <f t="shared" ref="I652:I715" ca="1" si="309">IF(OFFSET(C652,-1,0)=C652,I651+1,0)</f>
        <v>38</v>
      </c>
      <c r="J652">
        <f t="shared" si="284"/>
        <v>2</v>
      </c>
      <c r="K652" s="36">
        <f t="shared" ca="1" si="285"/>
        <v>198</v>
      </c>
      <c r="L652" s="10">
        <f ca="1">AH652*VLOOKUP(C652,技能辅助查询表,技能配置辅助表!$T$1,FALSE)</f>
        <v>0</v>
      </c>
      <c r="M652">
        <f t="shared" ca="1" si="286"/>
        <v>4960</v>
      </c>
      <c r="N652" s="33">
        <f ca="1">CHOOSE(1,W652*U652,X652*'[1]0、经济设定'!$C$18)</f>
        <v>113580</v>
      </c>
      <c r="O652">
        <f t="shared" si="287"/>
        <v>2</v>
      </c>
      <c r="P652">
        <f t="shared" si="288"/>
        <v>1</v>
      </c>
      <c r="Q652">
        <f t="shared" si="289"/>
        <v>1</v>
      </c>
      <c r="R652" s="2">
        <f t="shared" si="290"/>
        <v>4</v>
      </c>
      <c r="S652" s="2">
        <f t="shared" si="291"/>
        <v>50</v>
      </c>
      <c r="T652" s="2">
        <f t="shared" si="292"/>
        <v>143.47826086956522</v>
      </c>
      <c r="U652" s="2">
        <f ca="1">VLOOKUP(E652,金币生产率!$A$2:$B$120,2,0)</f>
        <v>2524</v>
      </c>
      <c r="V652" s="2">
        <f t="shared" si="293"/>
        <v>143.47826086956522</v>
      </c>
      <c r="W652" s="45">
        <f t="shared" ca="1" si="306"/>
        <v>45</v>
      </c>
      <c r="X652" s="48">
        <f t="shared" ca="1" si="307"/>
        <v>634</v>
      </c>
      <c r="Y652">
        <f t="shared" si="294"/>
        <v>18</v>
      </c>
      <c r="Z652">
        <f t="shared" ca="1" si="301"/>
        <v>18</v>
      </c>
      <c r="AA652" t="str">
        <f t="shared" ca="1" si="302"/>
        <v>9222200.png</v>
      </c>
      <c r="AB652">
        <f t="shared" si="295"/>
        <v>20</v>
      </c>
      <c r="AC652">
        <f>VLOOKUP(C652,技能辅助查询表,技能配置辅助表!$W$1,FALSE)</f>
        <v>25</v>
      </c>
      <c r="AD652">
        <f t="shared" ca="1" si="303"/>
        <v>314.01157639078895</v>
      </c>
      <c r="AE652">
        <f>VLOOKUP(C652,技能辅助查询表,技能配置辅助表!$U$1,FALSE)</f>
        <v>4</v>
      </c>
      <c r="AF652">
        <f t="shared" ca="1" si="304"/>
        <v>9222238</v>
      </c>
      <c r="AG652">
        <f t="shared" ca="1" si="308"/>
        <v>61.387755102040813</v>
      </c>
      <c r="AH652">
        <f t="shared" ca="1" si="305"/>
        <v>1602.0998795448415</v>
      </c>
      <c r="AI652">
        <f ca="1">VLOOKUP(E652,伤害参考系!$C$4:$E$104,3,FALSE)*$AN$12</f>
        <v>11398.657545150505</v>
      </c>
      <c r="AJ652">
        <f>VLOOKUP(C652,技能辅助查询表,技能配置辅助表!$L$1,FALSE)</f>
        <v>1</v>
      </c>
      <c r="AK652">
        <f>VLOOKUP(C652,技能辅助查询表,技能配置辅助表!$AE$1,FALSE)</f>
        <v>66000305</v>
      </c>
    </row>
    <row r="653" spans="1:37" x14ac:dyDescent="0.15">
      <c r="A653" s="1">
        <f t="shared" ca="1" si="296"/>
        <v>9222239</v>
      </c>
      <c r="B653" s="1" t="str">
        <f t="shared" ca="1" si="281"/>
        <v>龙拳第2段</v>
      </c>
      <c r="C653" t="s">
        <v>94</v>
      </c>
      <c r="D653">
        <f t="shared" si="282"/>
        <v>2</v>
      </c>
      <c r="E653" s="42">
        <f t="shared" ca="1" si="297"/>
        <v>63</v>
      </c>
      <c r="F653" t="str">
        <f t="shared" ca="1" si="298"/>
        <v>第39级，共造成199.4%点伤害</v>
      </c>
      <c r="G653">
        <f t="shared" ca="1" si="299"/>
        <v>2</v>
      </c>
      <c r="H653">
        <f t="shared" si="283"/>
        <v>2</v>
      </c>
      <c r="I653" s="44">
        <f t="shared" ca="1" si="309"/>
        <v>39</v>
      </c>
      <c r="J653">
        <f t="shared" si="284"/>
        <v>2</v>
      </c>
      <c r="K653" s="36">
        <f t="shared" ca="1" si="285"/>
        <v>199.43478260869566</v>
      </c>
      <c r="L653" s="10">
        <f ca="1">AH653*VLOOKUP(C653,技能辅助查询表,技能配置辅助表!$T$1,FALSE)</f>
        <v>0</v>
      </c>
      <c r="M653">
        <f t="shared" ca="1" si="286"/>
        <v>4880</v>
      </c>
      <c r="N653" s="33">
        <f ca="1">CHOOSE(1,W653*U653,X653*'[1]0、经济设定'!$C$18)</f>
        <v>125232</v>
      </c>
      <c r="O653">
        <f t="shared" si="287"/>
        <v>2</v>
      </c>
      <c r="P653">
        <f t="shared" si="288"/>
        <v>1</v>
      </c>
      <c r="Q653">
        <f t="shared" si="289"/>
        <v>1</v>
      </c>
      <c r="R653" s="2">
        <f t="shared" si="290"/>
        <v>4</v>
      </c>
      <c r="S653" s="2">
        <f t="shared" si="291"/>
        <v>50</v>
      </c>
      <c r="T653" s="2">
        <f t="shared" si="292"/>
        <v>143.47826086956522</v>
      </c>
      <c r="U653" s="2">
        <f ca="1">VLOOKUP(E653,金币生产率!$A$2:$B$120,2,0)</f>
        <v>2609</v>
      </c>
      <c r="V653" s="2">
        <f t="shared" si="293"/>
        <v>143.47826086956522</v>
      </c>
      <c r="W653" s="45">
        <f t="shared" ca="1" si="306"/>
        <v>48</v>
      </c>
      <c r="X653" s="48">
        <f t="shared" ca="1" si="307"/>
        <v>682</v>
      </c>
      <c r="Y653">
        <f t="shared" si="294"/>
        <v>18</v>
      </c>
      <c r="Z653">
        <f t="shared" ca="1" si="301"/>
        <v>20</v>
      </c>
      <c r="AA653" t="str">
        <f t="shared" ca="1" si="302"/>
        <v>9222200.png</v>
      </c>
      <c r="AB653">
        <f t="shared" si="295"/>
        <v>20</v>
      </c>
      <c r="AC653">
        <f>VLOOKUP(C653,技能辅助查询表,技能配置辅助表!$W$1,FALSE)</f>
        <v>25</v>
      </c>
      <c r="AD653">
        <f t="shared" ca="1" si="303"/>
        <v>362.73202994579259</v>
      </c>
      <c r="AE653">
        <f>VLOOKUP(C653,技能辅助查询表,技能配置辅助表!$U$1,FALSE)</f>
        <v>4</v>
      </c>
      <c r="AF653">
        <f t="shared" ca="1" si="304"/>
        <v>9222239</v>
      </c>
      <c r="AG653">
        <f t="shared" ca="1" si="308"/>
        <v>62.938775510204081</v>
      </c>
      <c r="AH653">
        <f t="shared" ca="1" si="305"/>
        <v>1823.9695427969455</v>
      </c>
      <c r="AI653">
        <f ca="1">VLOOKUP(E653,伤害参考系!$C$4:$E$104,3,FALSE)*$AN$12</f>
        <v>11946.449897157196</v>
      </c>
      <c r="AJ653">
        <f>VLOOKUP(C653,技能辅助查询表,技能配置辅助表!$L$1,FALSE)</f>
        <v>1</v>
      </c>
      <c r="AK653">
        <f>VLOOKUP(C653,技能辅助查询表,技能配置辅助表!$AE$1,FALSE)</f>
        <v>66000305</v>
      </c>
    </row>
    <row r="654" spans="1:37" x14ac:dyDescent="0.15">
      <c r="A654" s="1">
        <f t="shared" ca="1" si="296"/>
        <v>9222240</v>
      </c>
      <c r="B654" s="1" t="str">
        <f t="shared" ca="1" si="281"/>
        <v>龙拳第2段</v>
      </c>
      <c r="C654" t="s">
        <v>94</v>
      </c>
      <c r="D654">
        <f t="shared" si="282"/>
        <v>2</v>
      </c>
      <c r="E654" s="42">
        <f t="shared" ca="1" si="297"/>
        <v>65</v>
      </c>
      <c r="F654" t="str">
        <f t="shared" ca="1" si="298"/>
        <v>第40级，共造成200.9%点伤害</v>
      </c>
      <c r="G654">
        <f t="shared" ca="1" si="299"/>
        <v>2</v>
      </c>
      <c r="H654">
        <f t="shared" si="283"/>
        <v>2</v>
      </c>
      <c r="I654" s="44">
        <f t="shared" ca="1" si="309"/>
        <v>40</v>
      </c>
      <c r="J654">
        <f t="shared" si="284"/>
        <v>2</v>
      </c>
      <c r="K654" s="36">
        <f t="shared" ca="1" si="285"/>
        <v>200.86956521739131</v>
      </c>
      <c r="L654" s="10">
        <f ca="1">AH654*VLOOKUP(C654,技能辅助查询表,技能配置辅助表!$T$1,FALSE)</f>
        <v>0</v>
      </c>
      <c r="M654">
        <f t="shared" ca="1" si="286"/>
        <v>4800</v>
      </c>
      <c r="N654" s="33">
        <f ca="1">CHOOSE(1,W654*U654,X654*'[1]0、经济设定'!$C$18)</f>
        <v>141933</v>
      </c>
      <c r="O654">
        <f t="shared" si="287"/>
        <v>2</v>
      </c>
      <c r="P654">
        <f t="shared" si="288"/>
        <v>1</v>
      </c>
      <c r="Q654">
        <f t="shared" si="289"/>
        <v>1</v>
      </c>
      <c r="R654" s="2">
        <f t="shared" si="290"/>
        <v>4</v>
      </c>
      <c r="S654" s="2">
        <f t="shared" si="291"/>
        <v>50</v>
      </c>
      <c r="T654" s="2">
        <f t="shared" si="292"/>
        <v>143.47826086956522</v>
      </c>
      <c r="U654" s="2">
        <f ca="1">VLOOKUP(E654,金币生产率!$A$2:$B$120,2,0)</f>
        <v>2783</v>
      </c>
      <c r="V654" s="2">
        <f t="shared" si="293"/>
        <v>143.47826086956522</v>
      </c>
      <c r="W654" s="45">
        <f t="shared" ca="1" si="306"/>
        <v>51</v>
      </c>
      <c r="X654" s="48">
        <f t="shared" ca="1" si="307"/>
        <v>733</v>
      </c>
      <c r="Y654">
        <f t="shared" si="294"/>
        <v>18</v>
      </c>
      <c r="Z654">
        <f t="shared" ca="1" si="301"/>
        <v>21</v>
      </c>
      <c r="AA654" t="str">
        <f t="shared" ca="1" si="302"/>
        <v>9222200.png</v>
      </c>
      <c r="AB654">
        <f t="shared" si="295"/>
        <v>20</v>
      </c>
      <c r="AC654">
        <f>VLOOKUP(C654,技能辅助查询表,技能配置辅助表!$W$1,FALSE)</f>
        <v>25</v>
      </c>
      <c r="AD654">
        <f t="shared" ca="1" si="303"/>
        <v>418.92446230554117</v>
      </c>
      <c r="AE654">
        <f>VLOOKUP(C654,技能辅助查询表,技能配置辅助表!$U$1,FALSE)</f>
        <v>4</v>
      </c>
      <c r="AF654">
        <f t="shared" ca="1" si="304"/>
        <v>9222240</v>
      </c>
      <c r="AG654">
        <f t="shared" ca="1" si="308"/>
        <v>64.489795918367349</v>
      </c>
      <c r="AH654">
        <f t="shared" ca="1" si="305"/>
        <v>2076.5652226352254</v>
      </c>
      <c r="AI654">
        <f ca="1">VLOOKUP(E654,伤害参考系!$C$4:$E$104,3,FALSE)*$AN$12</f>
        <v>13079.520489130437</v>
      </c>
      <c r="AJ654">
        <f>VLOOKUP(C654,技能辅助查询表,技能配置辅助表!$L$1,FALSE)</f>
        <v>1</v>
      </c>
      <c r="AK654">
        <f>VLOOKUP(C654,技能辅助查询表,技能配置辅助表!$AE$1,FALSE)</f>
        <v>66000305</v>
      </c>
    </row>
    <row r="655" spans="1:37" x14ac:dyDescent="0.15">
      <c r="A655" s="1">
        <f t="shared" ca="1" si="296"/>
        <v>9222241</v>
      </c>
      <c r="B655" s="1" t="str">
        <f t="shared" ca="1" si="281"/>
        <v>龙拳第2段</v>
      </c>
      <c r="C655" t="s">
        <v>94</v>
      </c>
      <c r="D655">
        <f t="shared" si="282"/>
        <v>2</v>
      </c>
      <c r="E655" s="42">
        <f t="shared" ca="1" si="297"/>
        <v>66</v>
      </c>
      <c r="F655" t="str">
        <f t="shared" ca="1" si="298"/>
        <v>第41级，共造成202.3%点伤害</v>
      </c>
      <c r="G655">
        <f t="shared" ca="1" si="299"/>
        <v>2</v>
      </c>
      <c r="H655">
        <f t="shared" si="283"/>
        <v>2</v>
      </c>
      <c r="I655" s="44">
        <f t="shared" ca="1" si="309"/>
        <v>41</v>
      </c>
      <c r="J655">
        <f t="shared" si="284"/>
        <v>2</v>
      </c>
      <c r="K655" s="36">
        <f t="shared" ca="1" si="285"/>
        <v>202.30434782608694</v>
      </c>
      <c r="L655" s="10">
        <f ca="1">AH655*VLOOKUP(C655,技能辅助查询表,技能配置辅助表!$T$1,FALSE)</f>
        <v>0</v>
      </c>
      <c r="M655">
        <f t="shared" ca="1" si="286"/>
        <v>4720</v>
      </c>
      <c r="N655" s="33">
        <f ca="1">CHOOSE(1,W655*U655,X655*'[1]0、经济设定'!$C$18)</f>
        <v>157960</v>
      </c>
      <c r="O655">
        <f t="shared" si="287"/>
        <v>2</v>
      </c>
      <c r="P655">
        <f t="shared" si="288"/>
        <v>1</v>
      </c>
      <c r="Q655">
        <f t="shared" si="289"/>
        <v>1</v>
      </c>
      <c r="R655" s="2">
        <f t="shared" si="290"/>
        <v>4</v>
      </c>
      <c r="S655" s="2">
        <f t="shared" si="291"/>
        <v>50</v>
      </c>
      <c r="T655" s="2">
        <f t="shared" si="292"/>
        <v>143.47826086956522</v>
      </c>
      <c r="U655" s="2">
        <f ca="1">VLOOKUP(E655,金币生产率!$A$2:$B$120,2,0)</f>
        <v>2872</v>
      </c>
      <c r="V655" s="2">
        <f t="shared" si="293"/>
        <v>143.47826086956522</v>
      </c>
      <c r="W655" s="45">
        <f t="shared" ca="1" si="306"/>
        <v>55</v>
      </c>
      <c r="X655" s="48">
        <f t="shared" ca="1" si="307"/>
        <v>788</v>
      </c>
      <c r="Y655">
        <f t="shared" si="294"/>
        <v>18</v>
      </c>
      <c r="Z655">
        <f t="shared" ca="1" si="301"/>
        <v>22</v>
      </c>
      <c r="AA655" t="str">
        <f t="shared" ca="1" si="302"/>
        <v>9222200.png</v>
      </c>
      <c r="AB655">
        <f t="shared" si="295"/>
        <v>20</v>
      </c>
      <c r="AC655">
        <f>VLOOKUP(C655,技能辅助查询表,技能配置辅助表!$W$1,FALSE)</f>
        <v>25</v>
      </c>
      <c r="AD655">
        <f t="shared" ca="1" si="303"/>
        <v>483.72402453125903</v>
      </c>
      <c r="AE655">
        <f>VLOOKUP(C655,技能辅助查询表,技能配置辅助表!$U$1,FALSE)</f>
        <v>4</v>
      </c>
      <c r="AF655">
        <f t="shared" ca="1" si="304"/>
        <v>9222241</v>
      </c>
      <c r="AG655">
        <f t="shared" ca="1" si="308"/>
        <v>66.040816326530603</v>
      </c>
      <c r="AH655">
        <f t="shared" ca="1" si="305"/>
        <v>2364.1420663448707</v>
      </c>
      <c r="AI655">
        <f ca="1">VLOOKUP(E655,伤害参考系!$C$4:$E$104,3,FALSE)*$AN$12</f>
        <v>13664.798729096996</v>
      </c>
      <c r="AJ655">
        <f>VLOOKUP(C655,技能辅助查询表,技能配置辅助表!$L$1,FALSE)</f>
        <v>1</v>
      </c>
      <c r="AK655">
        <f>VLOOKUP(C655,技能辅助查询表,技能配置辅助表!$AE$1,FALSE)</f>
        <v>66000305</v>
      </c>
    </row>
    <row r="656" spans="1:37" x14ac:dyDescent="0.15">
      <c r="A656" s="1">
        <f t="shared" ca="1" si="296"/>
        <v>9222242</v>
      </c>
      <c r="B656" s="1" t="str">
        <f t="shared" ca="1" si="281"/>
        <v>龙拳第2段</v>
      </c>
      <c r="C656" t="s">
        <v>94</v>
      </c>
      <c r="D656">
        <f t="shared" si="282"/>
        <v>2</v>
      </c>
      <c r="E656" s="42">
        <f t="shared" ca="1" si="297"/>
        <v>68</v>
      </c>
      <c r="F656" t="str">
        <f t="shared" ca="1" si="298"/>
        <v>第42级，共造成203.7%点伤害</v>
      </c>
      <c r="G656">
        <f t="shared" ca="1" si="299"/>
        <v>2</v>
      </c>
      <c r="H656">
        <f t="shared" si="283"/>
        <v>2</v>
      </c>
      <c r="I656" s="44">
        <f t="shared" ca="1" si="309"/>
        <v>42</v>
      </c>
      <c r="J656">
        <f t="shared" si="284"/>
        <v>2</v>
      </c>
      <c r="K656" s="36">
        <f t="shared" ca="1" si="285"/>
        <v>203.73913043478262</v>
      </c>
      <c r="L656" s="10">
        <f ca="1">AH656*VLOOKUP(C656,技能辅助查询表,技能配置辅助表!$T$1,FALSE)</f>
        <v>0</v>
      </c>
      <c r="M656">
        <f t="shared" ca="1" si="286"/>
        <v>4640</v>
      </c>
      <c r="N656" s="33">
        <f ca="1">CHOOSE(1,W656*U656,X656*'[1]0、经济设定'!$C$18)</f>
        <v>177132</v>
      </c>
      <c r="O656">
        <f t="shared" si="287"/>
        <v>2</v>
      </c>
      <c r="P656">
        <f t="shared" si="288"/>
        <v>1</v>
      </c>
      <c r="Q656">
        <f t="shared" si="289"/>
        <v>1</v>
      </c>
      <c r="R656" s="2">
        <f t="shared" si="290"/>
        <v>4</v>
      </c>
      <c r="S656" s="2">
        <f t="shared" si="291"/>
        <v>50</v>
      </c>
      <c r="T656" s="2">
        <f t="shared" si="292"/>
        <v>143.47826086956522</v>
      </c>
      <c r="U656" s="2">
        <f ca="1">VLOOKUP(E656,金币生产率!$A$2:$B$120,2,0)</f>
        <v>3054</v>
      </c>
      <c r="V656" s="2">
        <f t="shared" si="293"/>
        <v>143.47826086956522</v>
      </c>
      <c r="W656" s="45">
        <f t="shared" ca="1" si="306"/>
        <v>58</v>
      </c>
      <c r="X656" s="48">
        <f t="shared" ca="1" si="307"/>
        <v>846</v>
      </c>
      <c r="Y656">
        <f t="shared" si="294"/>
        <v>18</v>
      </c>
      <c r="Z656">
        <f t="shared" ca="1" si="301"/>
        <v>24</v>
      </c>
      <c r="AA656" t="str">
        <f t="shared" ca="1" si="302"/>
        <v>9222200.png</v>
      </c>
      <c r="AB656">
        <f t="shared" si="295"/>
        <v>20</v>
      </c>
      <c r="AC656">
        <f>VLOOKUP(C656,技能辅助查询表,技能配置辅助表!$W$1,FALSE)</f>
        <v>25</v>
      </c>
      <c r="AD656">
        <f t="shared" ca="1" si="303"/>
        <v>558.43697251115759</v>
      </c>
      <c r="AE656">
        <f>VLOOKUP(C656,技能辅助查询表,技能配置辅助表!$U$1,FALSE)</f>
        <v>4</v>
      </c>
      <c r="AF656">
        <f t="shared" ca="1" si="304"/>
        <v>9222242</v>
      </c>
      <c r="AG656">
        <f t="shared" ca="1" si="308"/>
        <v>67.591836734693885</v>
      </c>
      <c r="AH656">
        <f t="shared" ca="1" si="305"/>
        <v>2691.5445028827789</v>
      </c>
      <c r="AI656">
        <f ca="1">VLOOKUP(E656,伤害参考系!$C$4:$E$104,3,FALSE)*$AN$12</f>
        <v>14872.841096989978</v>
      </c>
      <c r="AJ656">
        <f>VLOOKUP(C656,技能辅助查询表,技能配置辅助表!$L$1,FALSE)</f>
        <v>1</v>
      </c>
      <c r="AK656">
        <f>VLOOKUP(C656,技能辅助查询表,技能配置辅助表!$AE$1,FALSE)</f>
        <v>66000305</v>
      </c>
    </row>
    <row r="657" spans="1:37" x14ac:dyDescent="0.15">
      <c r="A657" s="1">
        <f t="shared" ca="1" si="296"/>
        <v>9222243</v>
      </c>
      <c r="B657" s="1" t="str">
        <f t="shared" ca="1" si="281"/>
        <v>龙拳第2段</v>
      </c>
      <c r="C657" t="s">
        <v>94</v>
      </c>
      <c r="D657">
        <f t="shared" si="282"/>
        <v>2</v>
      </c>
      <c r="E657" s="42">
        <f t="shared" ca="1" si="297"/>
        <v>69</v>
      </c>
      <c r="F657" t="str">
        <f t="shared" ca="1" si="298"/>
        <v>第43级，共造成205.2%点伤害</v>
      </c>
      <c r="G657">
        <f t="shared" ca="1" si="299"/>
        <v>2</v>
      </c>
      <c r="H657">
        <f t="shared" si="283"/>
        <v>2</v>
      </c>
      <c r="I657" s="44">
        <f t="shared" ca="1" si="309"/>
        <v>43</v>
      </c>
      <c r="J657">
        <f t="shared" si="284"/>
        <v>2</v>
      </c>
      <c r="K657" s="36">
        <f t="shared" ca="1" si="285"/>
        <v>205.17391304347825</v>
      </c>
      <c r="L657" s="10">
        <f ca="1">AH657*VLOOKUP(C657,技能辅助查询表,技能配置辅助表!$T$1,FALSE)</f>
        <v>0</v>
      </c>
      <c r="M657">
        <f t="shared" ca="1" si="286"/>
        <v>4560</v>
      </c>
      <c r="N657" s="33">
        <f ca="1">CHOOSE(1,W657*U657,X657*'[1]0、经济设定'!$C$18)</f>
        <v>198261</v>
      </c>
      <c r="O657">
        <f t="shared" si="287"/>
        <v>2</v>
      </c>
      <c r="P657">
        <f t="shared" si="288"/>
        <v>1</v>
      </c>
      <c r="Q657">
        <f t="shared" si="289"/>
        <v>1</v>
      </c>
      <c r="R657" s="2">
        <f t="shared" si="290"/>
        <v>4</v>
      </c>
      <c r="S657" s="2">
        <f t="shared" si="291"/>
        <v>50</v>
      </c>
      <c r="T657" s="2">
        <f t="shared" si="292"/>
        <v>143.47826086956522</v>
      </c>
      <c r="U657" s="2">
        <f ca="1">VLOOKUP(E657,金币生产率!$A$2:$B$120,2,0)</f>
        <v>3147</v>
      </c>
      <c r="V657" s="2">
        <f t="shared" si="293"/>
        <v>143.47826086956522</v>
      </c>
      <c r="W657" s="45">
        <f t="shared" ca="1" si="306"/>
        <v>63</v>
      </c>
      <c r="X657" s="48">
        <f t="shared" ca="1" si="307"/>
        <v>909</v>
      </c>
      <c r="Y657">
        <f t="shared" si="294"/>
        <v>18</v>
      </c>
      <c r="Z657">
        <f t="shared" ca="1" si="301"/>
        <v>26</v>
      </c>
      <c r="AA657" t="str">
        <f t="shared" ca="1" si="302"/>
        <v>9222200.png</v>
      </c>
      <c r="AB657">
        <f t="shared" si="295"/>
        <v>20</v>
      </c>
      <c r="AC657">
        <f>VLOOKUP(C657,技能辅助查询表,技能配置辅助表!$W$1,FALSE)</f>
        <v>25</v>
      </c>
      <c r="AD657">
        <f t="shared" ca="1" si="303"/>
        <v>644.56628787887598</v>
      </c>
      <c r="AE657">
        <f>VLOOKUP(C657,技能辅助查询表,技能配置辅助表!$U$1,FALSE)</f>
        <v>4</v>
      </c>
      <c r="AF657">
        <f t="shared" ca="1" si="304"/>
        <v>9222243</v>
      </c>
      <c r="AG657">
        <f t="shared" ca="1" si="308"/>
        <v>69.142857142857139</v>
      </c>
      <c r="AH657">
        <f t="shared" ca="1" si="305"/>
        <v>3064.2878506023458</v>
      </c>
      <c r="AI657">
        <f ca="1">VLOOKUP(E657,伤害参考系!$C$4:$E$104,3,FALSE)*$AN$12</f>
        <v>15495.605224916402</v>
      </c>
      <c r="AJ657">
        <f>VLOOKUP(C657,技能辅助查询表,技能配置辅助表!$L$1,FALSE)</f>
        <v>1</v>
      </c>
      <c r="AK657">
        <f>VLOOKUP(C657,技能辅助查询表,技能配置辅助表!$AE$1,FALSE)</f>
        <v>66000305</v>
      </c>
    </row>
    <row r="658" spans="1:37" x14ac:dyDescent="0.15">
      <c r="A658" s="1">
        <f t="shared" ca="1" si="296"/>
        <v>9222244</v>
      </c>
      <c r="B658" s="1" t="str">
        <f t="shared" ca="1" si="281"/>
        <v>龙拳第2段</v>
      </c>
      <c r="C658" t="s">
        <v>94</v>
      </c>
      <c r="D658">
        <f t="shared" si="282"/>
        <v>2</v>
      </c>
      <c r="E658" s="42">
        <f t="shared" ca="1" si="297"/>
        <v>71</v>
      </c>
      <c r="F658" t="str">
        <f t="shared" ca="1" si="298"/>
        <v>第44级，共造成206.6%点伤害</v>
      </c>
      <c r="G658">
        <f t="shared" ca="1" si="299"/>
        <v>2</v>
      </c>
      <c r="H658">
        <f t="shared" si="283"/>
        <v>2</v>
      </c>
      <c r="I658" s="44">
        <f t="shared" ca="1" si="309"/>
        <v>44</v>
      </c>
      <c r="J658">
        <f t="shared" si="284"/>
        <v>2</v>
      </c>
      <c r="K658" s="36">
        <f t="shared" ca="1" si="285"/>
        <v>206.60869565217391</v>
      </c>
      <c r="L658" s="10">
        <f ca="1">AH658*VLOOKUP(C658,技能辅助查询表,技能配置辅助表!$T$1,FALSE)</f>
        <v>0</v>
      </c>
      <c r="M658">
        <f t="shared" ca="1" si="286"/>
        <v>4480</v>
      </c>
      <c r="N658" s="33">
        <f ca="1">CHOOSE(1,W658*U658,X658*'[1]0、经济设定'!$C$18)</f>
        <v>223646</v>
      </c>
      <c r="O658">
        <f t="shared" si="287"/>
        <v>2</v>
      </c>
      <c r="P658">
        <f t="shared" si="288"/>
        <v>1</v>
      </c>
      <c r="Q658">
        <f t="shared" si="289"/>
        <v>1</v>
      </c>
      <c r="R658" s="2">
        <f t="shared" si="290"/>
        <v>4</v>
      </c>
      <c r="S658" s="2">
        <f t="shared" si="291"/>
        <v>50</v>
      </c>
      <c r="T658" s="2">
        <f t="shared" si="292"/>
        <v>143.47826086956522</v>
      </c>
      <c r="U658" s="2">
        <f ca="1">VLOOKUP(E658,金币生产率!$A$2:$B$120,2,0)</f>
        <v>3338</v>
      </c>
      <c r="V658" s="2">
        <f t="shared" si="293"/>
        <v>143.47826086956522</v>
      </c>
      <c r="W658" s="45">
        <f t="shared" ca="1" si="306"/>
        <v>67</v>
      </c>
      <c r="X658" s="48">
        <f t="shared" ca="1" si="307"/>
        <v>976</v>
      </c>
      <c r="Y658">
        <f t="shared" si="294"/>
        <v>18</v>
      </c>
      <c r="Z658">
        <f t="shared" ca="1" si="301"/>
        <v>27</v>
      </c>
      <c r="AA658" t="str">
        <f t="shared" ca="1" si="302"/>
        <v>9222200.png</v>
      </c>
      <c r="AB658">
        <f t="shared" si="295"/>
        <v>20</v>
      </c>
      <c r="AC658">
        <f>VLOOKUP(C658,技能辅助查询表,技能配置辅助表!$W$1,FALSE)</f>
        <v>25</v>
      </c>
      <c r="AD658">
        <f t="shared" ca="1" si="303"/>
        <v>743.84111369992002</v>
      </c>
      <c r="AE658">
        <f>VLOOKUP(C658,技能辅助查询表,技能配置辅助表!$U$1,FALSE)</f>
        <v>4</v>
      </c>
      <c r="AF658">
        <f t="shared" ca="1" si="304"/>
        <v>9222244</v>
      </c>
      <c r="AG658">
        <f t="shared" ca="1" si="308"/>
        <v>70.693877551020407</v>
      </c>
      <c r="AH658">
        <f t="shared" ca="1" si="305"/>
        <v>3488.6512265697725</v>
      </c>
      <c r="AI658">
        <f ca="1">VLOOKUP(E658,伤害参考系!$C$4:$E$104,3,FALSE)*$AN$12</f>
        <v>16902.905438127098</v>
      </c>
      <c r="AJ658">
        <f>VLOOKUP(C658,技能辅助查询表,技能配置辅助表!$L$1,FALSE)</f>
        <v>1</v>
      </c>
      <c r="AK658">
        <f>VLOOKUP(C658,技能辅助查询表,技能配置辅助表!$AE$1,FALSE)</f>
        <v>66000305</v>
      </c>
    </row>
    <row r="659" spans="1:37" x14ac:dyDescent="0.15">
      <c r="A659" s="1">
        <f t="shared" ca="1" si="296"/>
        <v>9222245</v>
      </c>
      <c r="B659" s="1" t="str">
        <f t="shared" ca="1" si="281"/>
        <v>龙拳第2段</v>
      </c>
      <c r="C659" t="s">
        <v>94</v>
      </c>
      <c r="D659">
        <f t="shared" si="282"/>
        <v>2</v>
      </c>
      <c r="E659" s="42">
        <f t="shared" ca="1" si="297"/>
        <v>72</v>
      </c>
      <c r="F659" t="str">
        <f t="shared" ca="1" si="298"/>
        <v>第45级，共造成208%点伤害</v>
      </c>
      <c r="G659">
        <f t="shared" ca="1" si="299"/>
        <v>2</v>
      </c>
      <c r="H659">
        <f t="shared" si="283"/>
        <v>2</v>
      </c>
      <c r="I659" s="44">
        <f t="shared" ca="1" si="309"/>
        <v>45</v>
      </c>
      <c r="J659">
        <f t="shared" si="284"/>
        <v>2</v>
      </c>
      <c r="K659" s="36">
        <f t="shared" ca="1" si="285"/>
        <v>208.04347826086956</v>
      </c>
      <c r="L659" s="10">
        <f ca="1">AH659*VLOOKUP(C659,技能辅助查询表,技能配置辅助表!$T$1,FALSE)</f>
        <v>0</v>
      </c>
      <c r="M659">
        <f t="shared" ca="1" si="286"/>
        <v>4400</v>
      </c>
      <c r="N659" s="33">
        <f ca="1">CHOOSE(1,W659*U659,X659*'[1]0、经济设定'!$C$18)</f>
        <v>247320</v>
      </c>
      <c r="O659">
        <f t="shared" si="287"/>
        <v>2</v>
      </c>
      <c r="P659">
        <f t="shared" si="288"/>
        <v>1</v>
      </c>
      <c r="Q659">
        <f t="shared" si="289"/>
        <v>1</v>
      </c>
      <c r="R659" s="2">
        <f t="shared" si="290"/>
        <v>4</v>
      </c>
      <c r="S659" s="2">
        <f t="shared" si="291"/>
        <v>50</v>
      </c>
      <c r="T659" s="2">
        <f t="shared" si="292"/>
        <v>143.47826086956522</v>
      </c>
      <c r="U659" s="2">
        <f ca="1">VLOOKUP(E659,金币生产率!$A$2:$B$120,2,0)</f>
        <v>3435</v>
      </c>
      <c r="V659" s="2">
        <f t="shared" si="293"/>
        <v>143.47826086956522</v>
      </c>
      <c r="W659" s="45">
        <f t="shared" ca="1" si="306"/>
        <v>72</v>
      </c>
      <c r="X659" s="48">
        <f t="shared" ca="1" si="307"/>
        <v>1048</v>
      </c>
      <c r="Y659">
        <f t="shared" si="294"/>
        <v>18</v>
      </c>
      <c r="Z659">
        <f t="shared" ca="1" si="301"/>
        <v>29</v>
      </c>
      <c r="AA659" t="str">
        <f t="shared" ca="1" si="302"/>
        <v>9222200.png</v>
      </c>
      <c r="AB659">
        <f t="shared" si="295"/>
        <v>20</v>
      </c>
      <c r="AC659">
        <f>VLOOKUP(C659,技能辅助查询表,技能配置辅助表!$W$1,FALSE)</f>
        <v>25</v>
      </c>
      <c r="AD659">
        <f t="shared" ca="1" si="303"/>
        <v>858.25057014292395</v>
      </c>
      <c r="AE659">
        <f>VLOOKUP(C659,技能辅助查询表,技能配置辅助表!$U$1,FALSE)</f>
        <v>4</v>
      </c>
      <c r="AF659">
        <f t="shared" ca="1" si="304"/>
        <v>9222245</v>
      </c>
      <c r="AG659">
        <f t="shared" ca="1" si="308"/>
        <v>72.244897959183675</v>
      </c>
      <c r="AH659">
        <f t="shared" ca="1" si="305"/>
        <v>3971.7833225930094</v>
      </c>
      <c r="AI659">
        <f ca="1">VLOOKUP(E659,伤害参考系!$C$4:$E$104,3,FALSE)*$AN$12</f>
        <v>17628.422312709041</v>
      </c>
      <c r="AJ659">
        <f>VLOOKUP(C659,技能辅助查询表,技能配置辅助表!$L$1,FALSE)</f>
        <v>1</v>
      </c>
      <c r="AK659">
        <f>VLOOKUP(C659,技能辅助查询表,技能配置辅助表!$AE$1,FALSE)</f>
        <v>66000305</v>
      </c>
    </row>
    <row r="660" spans="1:37" x14ac:dyDescent="0.15">
      <c r="A660" s="1">
        <f t="shared" ca="1" si="296"/>
        <v>9222246</v>
      </c>
      <c r="B660" s="1" t="str">
        <f t="shared" ca="1" si="281"/>
        <v>龙拳第2段</v>
      </c>
      <c r="C660" t="s">
        <v>94</v>
      </c>
      <c r="D660">
        <f t="shared" si="282"/>
        <v>2</v>
      </c>
      <c r="E660" s="42">
        <f t="shared" ca="1" si="297"/>
        <v>74</v>
      </c>
      <c r="F660" t="str">
        <f t="shared" ca="1" si="298"/>
        <v>第46级，共造成209.5%点伤害</v>
      </c>
      <c r="G660">
        <f t="shared" ca="1" si="299"/>
        <v>2</v>
      </c>
      <c r="H660">
        <f t="shared" si="283"/>
        <v>2</v>
      </c>
      <c r="I660" s="44">
        <f t="shared" ca="1" si="309"/>
        <v>46</v>
      </c>
      <c r="J660">
        <f t="shared" si="284"/>
        <v>2</v>
      </c>
      <c r="K660" s="36">
        <f t="shared" ca="1" si="285"/>
        <v>209.47826086956522</v>
      </c>
      <c r="L660" s="10">
        <f ca="1">AH660*VLOOKUP(C660,技能辅助查询表,技能配置辅助表!$T$1,FALSE)</f>
        <v>0</v>
      </c>
      <c r="M660">
        <f t="shared" ca="1" si="286"/>
        <v>4320</v>
      </c>
      <c r="N660" s="33">
        <f ca="1">CHOOSE(1,W660*U660,X660*'[1]0、经济设定'!$C$18)</f>
        <v>279818</v>
      </c>
      <c r="O660">
        <f t="shared" si="287"/>
        <v>2</v>
      </c>
      <c r="P660">
        <f t="shared" si="288"/>
        <v>1</v>
      </c>
      <c r="Q660">
        <f t="shared" si="289"/>
        <v>1</v>
      </c>
      <c r="R660" s="2">
        <f t="shared" si="290"/>
        <v>4</v>
      </c>
      <c r="S660" s="2">
        <f t="shared" si="291"/>
        <v>50</v>
      </c>
      <c r="T660" s="2">
        <f t="shared" si="292"/>
        <v>143.47826086956522</v>
      </c>
      <c r="U660" s="2">
        <f ca="1">VLOOKUP(E660,金币生产率!$A$2:$B$120,2,0)</f>
        <v>3634</v>
      </c>
      <c r="V660" s="2">
        <f t="shared" si="293"/>
        <v>143.47826086956522</v>
      </c>
      <c r="W660" s="45">
        <f t="shared" ca="1" si="306"/>
        <v>77</v>
      </c>
      <c r="X660" s="48">
        <f t="shared" ca="1" si="307"/>
        <v>1125</v>
      </c>
      <c r="Y660">
        <f t="shared" si="294"/>
        <v>18</v>
      </c>
      <c r="Z660">
        <f t="shared" ca="1" si="301"/>
        <v>31</v>
      </c>
      <c r="AA660" t="str">
        <f t="shared" ca="1" si="302"/>
        <v>9222200.png</v>
      </c>
      <c r="AB660">
        <f t="shared" si="295"/>
        <v>20</v>
      </c>
      <c r="AC660">
        <f>VLOOKUP(C660,技能辅助查询表,技能配置辅助表!$W$1,FALSE)</f>
        <v>25</v>
      </c>
      <c r="AD660">
        <f t="shared" ca="1" si="303"/>
        <v>990.0825987408183</v>
      </c>
      <c r="AE660">
        <f>VLOOKUP(C660,技能辅助查询表,技能配置辅助表!$U$1,FALSE)</f>
        <v>4</v>
      </c>
      <c r="AF660">
        <f t="shared" ca="1" si="304"/>
        <v>9222246</v>
      </c>
      <c r="AG660">
        <f t="shared" ca="1" si="308"/>
        <v>73.795918367346943</v>
      </c>
      <c r="AH660">
        <f t="shared" ca="1" si="305"/>
        <v>4521.8228298329677</v>
      </c>
      <c r="AI660">
        <f ca="1">VLOOKUP(E660,伤害参考系!$C$4:$E$104,3,FALSE)*$AN$12</f>
        <v>19123.189597826095</v>
      </c>
      <c r="AJ660">
        <f>VLOOKUP(C660,技能辅助查询表,技能配置辅助表!$L$1,FALSE)</f>
        <v>1</v>
      </c>
      <c r="AK660">
        <f>VLOOKUP(C660,技能辅助查询表,技能配置辅助表!$AE$1,FALSE)</f>
        <v>66000305</v>
      </c>
    </row>
    <row r="661" spans="1:37" x14ac:dyDescent="0.15">
      <c r="A661" s="1">
        <f t="shared" ca="1" si="296"/>
        <v>9222247</v>
      </c>
      <c r="B661" s="1" t="str">
        <f t="shared" ca="1" si="281"/>
        <v>龙拳第2段</v>
      </c>
      <c r="C661" t="s">
        <v>94</v>
      </c>
      <c r="D661">
        <f t="shared" si="282"/>
        <v>2</v>
      </c>
      <c r="E661" s="42">
        <f t="shared" ca="1" si="297"/>
        <v>75</v>
      </c>
      <c r="F661" t="str">
        <f t="shared" ca="1" si="298"/>
        <v>第47级，共造成210.9%点伤害</v>
      </c>
      <c r="G661">
        <f t="shared" ca="1" si="299"/>
        <v>2</v>
      </c>
      <c r="H661">
        <f t="shared" si="283"/>
        <v>2</v>
      </c>
      <c r="I661" s="44">
        <f t="shared" ca="1" si="309"/>
        <v>47</v>
      </c>
      <c r="J661">
        <f t="shared" si="284"/>
        <v>2</v>
      </c>
      <c r="K661" s="36">
        <f t="shared" ca="1" si="285"/>
        <v>210.91304347826087</v>
      </c>
      <c r="L661" s="10">
        <f ca="1">AH661*VLOOKUP(C661,技能辅助查询表,技能配置辅助表!$T$1,FALSE)</f>
        <v>0</v>
      </c>
      <c r="M661">
        <f t="shared" ca="1" si="286"/>
        <v>4240</v>
      </c>
      <c r="N661" s="33">
        <f ca="1">CHOOSE(1,W661*U661,X661*'[1]0、经济设定'!$C$18)</f>
        <v>306270</v>
      </c>
      <c r="O661">
        <f t="shared" si="287"/>
        <v>2</v>
      </c>
      <c r="P661">
        <f t="shared" si="288"/>
        <v>1</v>
      </c>
      <c r="Q661">
        <f t="shared" si="289"/>
        <v>1</v>
      </c>
      <c r="R661" s="2">
        <f t="shared" si="290"/>
        <v>4</v>
      </c>
      <c r="S661" s="2">
        <f t="shared" si="291"/>
        <v>50</v>
      </c>
      <c r="T661" s="2">
        <f t="shared" si="292"/>
        <v>143.47826086956522</v>
      </c>
      <c r="U661" s="2">
        <f ca="1">VLOOKUP(E661,金币生产率!$A$2:$B$120,2,0)</f>
        <v>3735</v>
      </c>
      <c r="V661" s="2">
        <f t="shared" si="293"/>
        <v>143.47826086956522</v>
      </c>
      <c r="W661" s="45">
        <f t="shared" ca="1" si="306"/>
        <v>82</v>
      </c>
      <c r="X661" s="48">
        <f t="shared" ca="1" si="307"/>
        <v>1207</v>
      </c>
      <c r="Y661">
        <f t="shared" si="294"/>
        <v>18</v>
      </c>
      <c r="Z661">
        <f t="shared" ca="1" si="301"/>
        <v>33</v>
      </c>
      <c r="AA661" t="str">
        <f t="shared" ca="1" si="302"/>
        <v>9222200.png</v>
      </c>
      <c r="AB661">
        <f t="shared" si="295"/>
        <v>20</v>
      </c>
      <c r="AC661">
        <f>VLOOKUP(C661,技能辅助查询表,技能配置辅助表!$W$1,FALSE)</f>
        <v>25</v>
      </c>
      <c r="AD661">
        <f t="shared" ca="1" si="303"/>
        <v>1141.9685794915179</v>
      </c>
      <c r="AE661">
        <f>VLOOKUP(C661,技能辅助查询表,技能配置辅助表!$U$1,FALSE)</f>
        <v>4</v>
      </c>
      <c r="AF661">
        <f t="shared" ca="1" si="304"/>
        <v>9222247</v>
      </c>
      <c r="AG661">
        <f t="shared" ca="1" si="308"/>
        <v>75.34693877551021</v>
      </c>
      <c r="AH661">
        <f t="shared" ca="1" si="305"/>
        <v>5148.0355406320868</v>
      </c>
      <c r="AI661">
        <f ca="1">VLOOKUP(E661,伤害参考系!$C$4:$E$104,3,FALSE)*$AN$12</f>
        <v>19892.440008361213</v>
      </c>
      <c r="AJ661">
        <f>VLOOKUP(C661,技能辅助查询表,技能配置辅助表!$L$1,FALSE)</f>
        <v>1</v>
      </c>
      <c r="AK661">
        <f>VLOOKUP(C661,技能辅助查询表,技能配置辅助表!$AE$1,FALSE)</f>
        <v>66000305</v>
      </c>
    </row>
    <row r="662" spans="1:37" x14ac:dyDescent="0.15">
      <c r="A662" s="1">
        <f t="shared" ca="1" si="296"/>
        <v>9222248</v>
      </c>
      <c r="B662" s="1" t="str">
        <f t="shared" ca="1" si="281"/>
        <v>龙拳第2段</v>
      </c>
      <c r="C662" t="s">
        <v>94</v>
      </c>
      <c r="D662">
        <f t="shared" si="282"/>
        <v>2</v>
      </c>
      <c r="E662" s="42">
        <f t="shared" ca="1" si="297"/>
        <v>77</v>
      </c>
      <c r="F662" t="str">
        <f t="shared" ca="1" si="298"/>
        <v>第48级，共造成212.3%点伤害</v>
      </c>
      <c r="G662">
        <f t="shared" ca="1" si="299"/>
        <v>2</v>
      </c>
      <c r="H662">
        <f t="shared" si="283"/>
        <v>2</v>
      </c>
      <c r="I662" s="44">
        <f t="shared" ca="1" si="309"/>
        <v>48</v>
      </c>
      <c r="J662">
        <f t="shared" si="284"/>
        <v>2</v>
      </c>
      <c r="K662" s="36">
        <f t="shared" ca="1" si="285"/>
        <v>212.3478260869565</v>
      </c>
      <c r="L662" s="10">
        <f ca="1">AH662*VLOOKUP(C662,技能辅助查询表,技能配置辅助表!$T$1,FALSE)</f>
        <v>0</v>
      </c>
      <c r="M662">
        <f t="shared" ca="1" si="286"/>
        <v>4160</v>
      </c>
      <c r="N662" s="33">
        <f ca="1">CHOOSE(1,W662*U662,X662*'[1]0、经济设定'!$C$18)</f>
        <v>346896</v>
      </c>
      <c r="O662">
        <f t="shared" si="287"/>
        <v>2</v>
      </c>
      <c r="P662">
        <f t="shared" si="288"/>
        <v>1</v>
      </c>
      <c r="Q662">
        <f t="shared" si="289"/>
        <v>1</v>
      </c>
      <c r="R662" s="2">
        <f t="shared" si="290"/>
        <v>4</v>
      </c>
      <c r="S662" s="2">
        <f t="shared" si="291"/>
        <v>50</v>
      </c>
      <c r="T662" s="2">
        <f t="shared" si="292"/>
        <v>143.47826086956522</v>
      </c>
      <c r="U662" s="2">
        <f ca="1">VLOOKUP(E662,金币生产率!$A$2:$B$120,2,0)</f>
        <v>3942</v>
      </c>
      <c r="V662" s="2">
        <f t="shared" si="293"/>
        <v>143.47826086956522</v>
      </c>
      <c r="W662" s="45">
        <f t="shared" ca="1" si="306"/>
        <v>88</v>
      </c>
      <c r="X662" s="48">
        <f t="shared" ca="1" si="307"/>
        <v>1295</v>
      </c>
      <c r="Y662">
        <f t="shared" si="294"/>
        <v>18</v>
      </c>
      <c r="Z662">
        <f t="shared" ca="1" si="301"/>
        <v>36</v>
      </c>
      <c r="AA662" t="str">
        <f t="shared" ca="1" si="302"/>
        <v>9222200.png</v>
      </c>
      <c r="AB662">
        <f t="shared" si="295"/>
        <v>20</v>
      </c>
      <c r="AC662">
        <f>VLOOKUP(C662,技能辅助查询表,技能配置辅助表!$W$1,FALSE)</f>
        <v>25</v>
      </c>
      <c r="AD662">
        <f t="shared" ca="1" si="303"/>
        <v>1316.9345747439711</v>
      </c>
      <c r="AE662">
        <f>VLOOKUP(C662,技能辅助查询表,技能配置辅助表!$U$1,FALSE)</f>
        <v>4</v>
      </c>
      <c r="AF662">
        <f t="shared" ca="1" si="304"/>
        <v>9222248</v>
      </c>
      <c r="AG662">
        <f t="shared" ca="1" si="308"/>
        <v>76.897959183673464</v>
      </c>
      <c r="AH662">
        <f t="shared" ca="1" si="305"/>
        <v>5860.970437134547</v>
      </c>
      <c r="AI662">
        <f ca="1">VLOOKUP(E662,伤害参考系!$C$4:$E$104,3,FALSE)*$AN$12</f>
        <v>21474.674365384624</v>
      </c>
      <c r="AJ662">
        <f>VLOOKUP(C662,技能辅助查询表,技能配置辅助表!$L$1,FALSE)</f>
        <v>1</v>
      </c>
      <c r="AK662">
        <f>VLOOKUP(C662,技能辅助查询表,技能配置辅助表!$AE$1,FALSE)</f>
        <v>66000305</v>
      </c>
    </row>
    <row r="663" spans="1:37" x14ac:dyDescent="0.15">
      <c r="A663" s="1">
        <f t="shared" ca="1" si="296"/>
        <v>9222249</v>
      </c>
      <c r="B663" s="1" t="str">
        <f t="shared" ca="1" si="281"/>
        <v>龙拳第2段</v>
      </c>
      <c r="C663" t="s">
        <v>94</v>
      </c>
      <c r="D663">
        <f t="shared" si="282"/>
        <v>2</v>
      </c>
      <c r="E663" s="42">
        <f t="shared" ca="1" si="297"/>
        <v>78</v>
      </c>
      <c r="F663" t="str">
        <f t="shared" ca="1" si="298"/>
        <v>第49级，共造成213.8%点伤害</v>
      </c>
      <c r="G663">
        <f t="shared" ca="1" si="299"/>
        <v>2</v>
      </c>
      <c r="H663">
        <f t="shared" si="283"/>
        <v>2</v>
      </c>
      <c r="I663" s="44">
        <f t="shared" ca="1" si="309"/>
        <v>49</v>
      </c>
      <c r="J663">
        <f t="shared" si="284"/>
        <v>2</v>
      </c>
      <c r="K663" s="36">
        <f t="shared" ca="1" si="285"/>
        <v>213.78260869565219</v>
      </c>
      <c r="L663" s="10">
        <f ca="1">AH663*VLOOKUP(C663,技能辅助查询表,技能配置辅助表!$T$1,FALSE)</f>
        <v>0</v>
      </c>
      <c r="M663">
        <f t="shared" ca="1" si="286"/>
        <v>4080</v>
      </c>
      <c r="N663" s="33">
        <f ca="1">CHOOSE(1,W663*U663,X663*'[1]0、经济设定'!$C$18)</f>
        <v>380418</v>
      </c>
      <c r="O663">
        <f t="shared" si="287"/>
        <v>2</v>
      </c>
      <c r="P663">
        <f t="shared" si="288"/>
        <v>1</v>
      </c>
      <c r="Q663">
        <f t="shared" si="289"/>
        <v>1</v>
      </c>
      <c r="R663" s="2">
        <f t="shared" si="290"/>
        <v>4</v>
      </c>
      <c r="S663" s="2">
        <f t="shared" si="291"/>
        <v>50</v>
      </c>
      <c r="T663" s="2">
        <f t="shared" si="292"/>
        <v>143.47826086956522</v>
      </c>
      <c r="U663" s="2">
        <f ca="1">VLOOKUP(E663,金币生产率!$A$2:$B$120,2,0)</f>
        <v>4047</v>
      </c>
      <c r="V663" s="2">
        <f t="shared" si="293"/>
        <v>143.47826086956522</v>
      </c>
      <c r="W663" s="45">
        <f t="shared" ca="1" si="306"/>
        <v>94</v>
      </c>
      <c r="X663" s="48">
        <f t="shared" ca="1" si="307"/>
        <v>1389</v>
      </c>
      <c r="Y663">
        <f t="shared" si="294"/>
        <v>18</v>
      </c>
      <c r="Z663">
        <f t="shared" ca="1" si="301"/>
        <v>38</v>
      </c>
      <c r="AA663" t="str">
        <f t="shared" ca="1" si="302"/>
        <v>9222200.png</v>
      </c>
      <c r="AB663">
        <f t="shared" si="295"/>
        <v>20</v>
      </c>
      <c r="AC663">
        <f>VLOOKUP(C663,技能辅助查询表,技能配置辅助表!$W$1,FALSE)</f>
        <v>25</v>
      </c>
      <c r="AD663">
        <f t="shared" ca="1" si="303"/>
        <v>1518.4601796208933</v>
      </c>
      <c r="AE663">
        <f>VLOOKUP(C663,技能辅助查询表,技能配置辅助表!$U$1,FALSE)</f>
        <v>4</v>
      </c>
      <c r="AF663">
        <f t="shared" ca="1" si="304"/>
        <v>9222249</v>
      </c>
      <c r="AG663">
        <f t="shared" ca="1" si="308"/>
        <v>78.448979591836732</v>
      </c>
      <c r="AH663">
        <f t="shared" ca="1" si="305"/>
        <v>6672.6373961177951</v>
      </c>
      <c r="AI663">
        <f ca="1">VLOOKUP(E663,伤害参考系!$C$4:$E$104,3,FALSE)*$AN$12</f>
        <v>22287.658311872914</v>
      </c>
      <c r="AJ663">
        <f>VLOOKUP(C663,技能辅助查询表,技能配置辅助表!$L$1,FALSE)</f>
        <v>1</v>
      </c>
      <c r="AK663">
        <f>VLOOKUP(C663,技能辅助查询表,技能配置辅助表!$AE$1,FALSE)</f>
        <v>66000305</v>
      </c>
    </row>
    <row r="664" spans="1:37" x14ac:dyDescent="0.15">
      <c r="A664" s="1">
        <f t="shared" ca="1" si="296"/>
        <v>9222250</v>
      </c>
      <c r="B664" s="1" t="str">
        <f t="shared" ca="1" si="281"/>
        <v>龙拳第2段</v>
      </c>
      <c r="C664" t="s">
        <v>94</v>
      </c>
      <c r="D664">
        <f t="shared" si="282"/>
        <v>2</v>
      </c>
      <c r="E664" s="42">
        <f t="shared" ca="1" si="297"/>
        <v>80</v>
      </c>
      <c r="F664" t="str">
        <f t="shared" ca="1" si="298"/>
        <v>第50级，共造成215.2%点伤害</v>
      </c>
      <c r="G664">
        <f t="shared" ca="1" si="299"/>
        <v>2</v>
      </c>
      <c r="H664">
        <f t="shared" si="283"/>
        <v>2</v>
      </c>
      <c r="I664" s="44">
        <f t="shared" ca="1" si="309"/>
        <v>50</v>
      </c>
      <c r="J664">
        <f t="shared" si="284"/>
        <v>2</v>
      </c>
      <c r="K664" s="36">
        <f t="shared" ca="1" si="285"/>
        <v>215.21739130434781</v>
      </c>
      <c r="L664" s="10">
        <f ca="1">AH664*VLOOKUP(C664,技能辅助查询表,技能配置辅助表!$T$1,FALSE)</f>
        <v>0</v>
      </c>
      <c r="M664">
        <f t="shared" ca="1" si="286"/>
        <v>4000</v>
      </c>
      <c r="N664" s="33">
        <f ca="1">CHOOSE(1,W664*U664,X664*'[1]0、经济设定'!$C$18)</f>
        <v>430462</v>
      </c>
      <c r="O664">
        <f t="shared" si="287"/>
        <v>2</v>
      </c>
      <c r="P664">
        <f t="shared" si="288"/>
        <v>1</v>
      </c>
      <c r="Q664">
        <f t="shared" si="289"/>
        <v>1</v>
      </c>
      <c r="R664" s="2">
        <f t="shared" si="290"/>
        <v>4</v>
      </c>
      <c r="S664" s="2">
        <f t="shared" si="291"/>
        <v>50</v>
      </c>
      <c r="T664" s="2">
        <f t="shared" si="292"/>
        <v>143.47826086956522</v>
      </c>
      <c r="U664" s="2">
        <f ca="1">VLOOKUP(E664,金币生产率!$A$2:$B$120,2,0)</f>
        <v>4262</v>
      </c>
      <c r="V664" s="2">
        <f t="shared" si="293"/>
        <v>143.47826086956522</v>
      </c>
      <c r="W664" s="45">
        <f t="shared" ca="1" si="306"/>
        <v>101</v>
      </c>
      <c r="X664" s="48">
        <f t="shared" ca="1" si="307"/>
        <v>1490</v>
      </c>
      <c r="Y664">
        <f t="shared" si="294"/>
        <v>18</v>
      </c>
      <c r="Z664">
        <f t="shared" ca="1" si="301"/>
        <v>41</v>
      </c>
      <c r="AA664" t="str">
        <f t="shared" ca="1" si="302"/>
        <v>9222200.png</v>
      </c>
      <c r="AB664">
        <f t="shared" si="295"/>
        <v>20</v>
      </c>
      <c r="AC664">
        <f>VLOOKUP(C664,技能辅助查询表,技能配置辅助表!$W$1,FALSE)</f>
        <v>25</v>
      </c>
      <c r="AD664">
        <f t="shared" ca="1" si="303"/>
        <v>1750.5461030023362</v>
      </c>
      <c r="AE664">
        <f>VLOOKUP(C664,技能辅助查询表,技能配置辅助表!$U$1,FALSE)</f>
        <v>4</v>
      </c>
      <c r="AF664">
        <f t="shared" ca="1" si="304"/>
        <v>9222250</v>
      </c>
      <c r="AG664">
        <f t="shared" ca="1" si="308"/>
        <v>80</v>
      </c>
      <c r="AH664">
        <f t="shared" ca="1" si="305"/>
        <v>7596.7095035950451</v>
      </c>
      <c r="AI664">
        <f ca="1">VLOOKUP(E664,伤害参考系!$C$4:$E$104,3,FALSE)*$AN$12</f>
        <v>24028.87424749164</v>
      </c>
      <c r="AJ664">
        <f>VLOOKUP(C664,技能辅助查询表,技能配置辅助表!$L$1,FALSE)</f>
        <v>1</v>
      </c>
      <c r="AK664">
        <f>VLOOKUP(C664,技能辅助查询表,技能配置辅助表!$AE$1,FALSE)</f>
        <v>66000305</v>
      </c>
    </row>
    <row r="665" spans="1:37" x14ac:dyDescent="0.15">
      <c r="A665" s="1">
        <f t="shared" ca="1" si="296"/>
        <v>1</v>
      </c>
      <c r="B665" s="1" t="str">
        <f t="shared" ca="1" si="281"/>
        <v>龙拳</v>
      </c>
      <c r="C665" t="s">
        <v>164</v>
      </c>
      <c r="D665">
        <f t="shared" si="282"/>
        <v>2</v>
      </c>
      <c r="E665" s="42">
        <f t="shared" ca="1" si="297"/>
        <v>4</v>
      </c>
      <c r="F665" t="str">
        <f t="shared" ca="1" si="298"/>
        <v>第0级，共造成143.5%点伤害</v>
      </c>
      <c r="G665">
        <f t="shared" ca="1" si="299"/>
        <v>0</v>
      </c>
      <c r="H665">
        <f t="shared" si="283"/>
        <v>3</v>
      </c>
      <c r="I665" s="44">
        <f t="shared" ca="1" si="309"/>
        <v>0</v>
      </c>
      <c r="J665">
        <f t="shared" si="284"/>
        <v>2</v>
      </c>
      <c r="K665" s="36">
        <f t="shared" ca="1" si="285"/>
        <v>143.47826086956522</v>
      </c>
      <c r="L665" s="10">
        <f ca="1">AH665*VLOOKUP(C665,技能辅助查询表,技能配置辅助表!$T$1,FALSE)</f>
        <v>0</v>
      </c>
      <c r="M665">
        <f t="shared" ca="1" si="286"/>
        <v>8000</v>
      </c>
      <c r="N665" s="33">
        <f ca="1">CHOOSE(1,W665*U665,X665*'[1]0、经济设定'!$C$18)</f>
        <v>0</v>
      </c>
      <c r="O665">
        <f t="shared" si="287"/>
        <v>2</v>
      </c>
      <c r="P665">
        <f t="shared" si="288"/>
        <v>1</v>
      </c>
      <c r="Q665">
        <f t="shared" si="289"/>
        <v>1</v>
      </c>
      <c r="R665" s="2">
        <f t="shared" si="290"/>
        <v>7</v>
      </c>
      <c r="S665" s="2">
        <f t="shared" si="291"/>
        <v>50</v>
      </c>
      <c r="T665" s="2">
        <f t="shared" si="292"/>
        <v>143.47826086956522</v>
      </c>
      <c r="U665" s="2">
        <f ca="1">VLOOKUP(E665,金币生产率!$A$2:$B$120,2,0)</f>
        <v>68</v>
      </c>
      <c r="V665" s="2">
        <f t="shared" si="293"/>
        <v>143.47826086956522</v>
      </c>
      <c r="W665" s="45">
        <f t="shared" ca="1" si="306"/>
        <v>0</v>
      </c>
      <c r="X665" s="48">
        <f t="shared" ca="1" si="307"/>
        <v>0</v>
      </c>
      <c r="Y665">
        <f t="shared" si="294"/>
        <v>18</v>
      </c>
      <c r="Z665">
        <f t="shared" ca="1" si="301"/>
        <v>0</v>
      </c>
      <c r="AA665" t="str">
        <f t="shared" ca="1" si="302"/>
        <v>9222300.png</v>
      </c>
      <c r="AB665">
        <f t="shared" si="295"/>
        <v>20</v>
      </c>
      <c r="AC665">
        <f>VLOOKUP(C665,技能辅助查询表,技能配置辅助表!$W$1,FALSE)</f>
        <v>28</v>
      </c>
      <c r="AD665">
        <f t="shared" ca="1" si="303"/>
        <v>1.0081565217391304</v>
      </c>
      <c r="AE665">
        <f>VLOOKUP(C665,技能辅助查询表,技能配置辅助表!$U$1,FALSE)</f>
        <v>4</v>
      </c>
      <c r="AF665">
        <f t="shared" ca="1" si="304"/>
        <v>9222300</v>
      </c>
      <c r="AG665">
        <f t="shared" ca="1" si="308"/>
        <v>0</v>
      </c>
      <c r="AH665">
        <f t="shared" ca="1" si="305"/>
        <v>11.5938</v>
      </c>
      <c r="AI665">
        <f ca="1">VLOOKUP(E665,伤害参考系!$C$4:$E$104,3,FALSE)*$AN$12</f>
        <v>50.4</v>
      </c>
      <c r="AJ665">
        <f>VLOOKUP(C665,技能辅助查询表,技能配置辅助表!$L$1,FALSE)</f>
        <v>1</v>
      </c>
      <c r="AK665">
        <f>VLOOKUP(C665,技能辅助查询表,技能配置辅助表!$AE$1,FALSE)</f>
        <v>66000305</v>
      </c>
    </row>
    <row r="666" spans="1:37" x14ac:dyDescent="0.15">
      <c r="A666" s="1">
        <f t="shared" ca="1" si="296"/>
        <v>9222301</v>
      </c>
      <c r="B666" s="1" t="str">
        <f t="shared" ca="1" si="281"/>
        <v>龙拳第3段</v>
      </c>
      <c r="C666" t="s">
        <v>164</v>
      </c>
      <c r="D666">
        <f t="shared" si="282"/>
        <v>2</v>
      </c>
      <c r="E666" s="42">
        <f t="shared" ca="1" si="297"/>
        <v>4</v>
      </c>
      <c r="F666" t="str">
        <f t="shared" ca="1" si="298"/>
        <v>第1级，共造成143.5%点伤害</v>
      </c>
      <c r="G666">
        <f t="shared" ca="1" si="299"/>
        <v>3</v>
      </c>
      <c r="H666">
        <f t="shared" si="283"/>
        <v>3</v>
      </c>
      <c r="I666" s="44">
        <f t="shared" ca="1" si="309"/>
        <v>1</v>
      </c>
      <c r="J666">
        <f t="shared" si="284"/>
        <v>2</v>
      </c>
      <c r="K666" s="36">
        <f t="shared" ca="1" si="285"/>
        <v>143.47826086956522</v>
      </c>
      <c r="L666" s="10">
        <f ca="1">AH666*VLOOKUP(C666,技能辅助查询表,技能配置辅助表!$T$1,FALSE)</f>
        <v>0</v>
      </c>
      <c r="M666">
        <f t="shared" ca="1" si="286"/>
        <v>8000</v>
      </c>
      <c r="N666" s="33">
        <f ca="1">CHOOSE(1,W666*U666,X666*'[1]0、经济设定'!$C$18)</f>
        <v>272</v>
      </c>
      <c r="O666">
        <f t="shared" si="287"/>
        <v>2</v>
      </c>
      <c r="P666">
        <f t="shared" si="288"/>
        <v>1</v>
      </c>
      <c r="Q666">
        <f t="shared" si="289"/>
        <v>1</v>
      </c>
      <c r="R666" s="2">
        <f t="shared" si="290"/>
        <v>7</v>
      </c>
      <c r="S666" s="2">
        <f t="shared" si="291"/>
        <v>50</v>
      </c>
      <c r="T666" s="2">
        <f t="shared" si="292"/>
        <v>143.47826086956522</v>
      </c>
      <c r="U666" s="2">
        <f ca="1">VLOOKUP(E666,金币生产率!$A$2:$B$120,2,0)</f>
        <v>68</v>
      </c>
      <c r="V666" s="2">
        <f t="shared" si="293"/>
        <v>143.47826086956522</v>
      </c>
      <c r="W666" s="45">
        <f t="shared" ca="1" si="306"/>
        <v>4</v>
      </c>
      <c r="X666" s="48">
        <f t="shared" ca="1" si="307"/>
        <v>4</v>
      </c>
      <c r="Y666">
        <f t="shared" si="294"/>
        <v>18</v>
      </c>
      <c r="Z666">
        <f t="shared" ca="1" si="301"/>
        <v>0</v>
      </c>
      <c r="AA666" t="str">
        <f t="shared" ca="1" si="302"/>
        <v>9222300.png</v>
      </c>
      <c r="AB666">
        <f t="shared" si="295"/>
        <v>20</v>
      </c>
      <c r="AC666">
        <f>VLOOKUP(C666,技能辅助查询表,技能配置辅助表!$W$1,FALSE)</f>
        <v>28</v>
      </c>
      <c r="AD666">
        <f t="shared" ca="1" si="303"/>
        <v>1.1477728782719212</v>
      </c>
      <c r="AE666">
        <f>VLOOKUP(C666,技能辅助查询表,技能配置辅助表!$U$1,FALSE)</f>
        <v>4</v>
      </c>
      <c r="AF666">
        <f t="shared" ca="1" si="304"/>
        <v>9222301</v>
      </c>
      <c r="AG666">
        <f t="shared" ca="1" si="308"/>
        <v>7</v>
      </c>
      <c r="AH666">
        <f t="shared" ca="1" si="305"/>
        <v>13.199388100127095</v>
      </c>
      <c r="AI666">
        <f ca="1">VLOOKUP(E666,伤害参考系!$C$4:$E$104,3,FALSE)*$AN$12</f>
        <v>50.4</v>
      </c>
      <c r="AJ666">
        <f>VLOOKUP(C666,技能辅助查询表,技能配置辅助表!$L$1,FALSE)</f>
        <v>1</v>
      </c>
      <c r="AK666">
        <f>VLOOKUP(C666,技能辅助查询表,技能配置辅助表!$AE$1,FALSE)</f>
        <v>66000305</v>
      </c>
    </row>
    <row r="667" spans="1:37" x14ac:dyDescent="0.15">
      <c r="A667" s="1">
        <f t="shared" ca="1" si="296"/>
        <v>9222302</v>
      </c>
      <c r="B667" s="1" t="str">
        <f t="shared" ca="1" si="281"/>
        <v>龙拳第3段</v>
      </c>
      <c r="C667" t="s">
        <v>164</v>
      </c>
      <c r="D667">
        <f t="shared" si="282"/>
        <v>2</v>
      </c>
      <c r="E667" s="42">
        <f t="shared" ca="1" si="297"/>
        <v>10</v>
      </c>
      <c r="F667" t="str">
        <f t="shared" ca="1" si="298"/>
        <v>第2级，共造成146.3%点伤害</v>
      </c>
      <c r="G667">
        <f t="shared" ca="1" si="299"/>
        <v>3</v>
      </c>
      <c r="H667">
        <f t="shared" si="283"/>
        <v>3</v>
      </c>
      <c r="I667" s="44">
        <f t="shared" ca="1" si="309"/>
        <v>2</v>
      </c>
      <c r="J667">
        <f t="shared" si="284"/>
        <v>2</v>
      </c>
      <c r="K667" s="36">
        <f t="shared" ca="1" si="285"/>
        <v>146.34782608695653</v>
      </c>
      <c r="L667" s="10">
        <f ca="1">AH667*VLOOKUP(C667,技能辅助查询表,技能配置辅助表!$T$1,FALSE)</f>
        <v>0</v>
      </c>
      <c r="M667">
        <f t="shared" ca="1" si="286"/>
        <v>7840</v>
      </c>
      <c r="N667" s="33">
        <f ca="1">CHOOSE(1,W667*U667,X667*'[1]0、经济设定'!$C$18)</f>
        <v>416</v>
      </c>
      <c r="O667">
        <f t="shared" si="287"/>
        <v>2</v>
      </c>
      <c r="P667">
        <f t="shared" si="288"/>
        <v>1</v>
      </c>
      <c r="Q667">
        <f t="shared" si="289"/>
        <v>1</v>
      </c>
      <c r="R667" s="2">
        <f t="shared" si="290"/>
        <v>7</v>
      </c>
      <c r="S667" s="2">
        <f t="shared" si="291"/>
        <v>50</v>
      </c>
      <c r="T667" s="2">
        <f t="shared" si="292"/>
        <v>143.47826086956522</v>
      </c>
      <c r="U667" s="2">
        <f ca="1">VLOOKUP(E667,金币生产率!$A$2:$B$120,2,0)</f>
        <v>104</v>
      </c>
      <c r="V667" s="2">
        <f t="shared" si="293"/>
        <v>143.47826086956522</v>
      </c>
      <c r="W667" s="45">
        <f t="shared" ca="1" si="306"/>
        <v>4</v>
      </c>
      <c r="X667" s="48">
        <f t="shared" ca="1" si="307"/>
        <v>8</v>
      </c>
      <c r="Y667">
        <f t="shared" si="294"/>
        <v>18</v>
      </c>
      <c r="Z667">
        <f t="shared" ca="1" si="301"/>
        <v>0</v>
      </c>
      <c r="AA667" t="str">
        <f t="shared" ca="1" si="302"/>
        <v>9222300.png</v>
      </c>
      <c r="AB667">
        <f t="shared" si="295"/>
        <v>20</v>
      </c>
      <c r="AC667">
        <f>VLOOKUP(C667,技能辅助查询表,技能配置辅助表!$W$1,FALSE)</f>
        <v>28</v>
      </c>
      <c r="AD667">
        <f t="shared" ca="1" si="303"/>
        <v>1.3929680561510775</v>
      </c>
      <c r="AE667">
        <f>VLOOKUP(C667,技能辅助查询表,技能配置辅助表!$U$1,FALSE)</f>
        <v>4</v>
      </c>
      <c r="AF667">
        <f t="shared" ca="1" si="304"/>
        <v>9222302</v>
      </c>
      <c r="AG667">
        <f t="shared" ca="1" si="308"/>
        <v>8.4897959183673475</v>
      </c>
      <c r="AH667">
        <f t="shared" ca="1" si="305"/>
        <v>15.027328935963775</v>
      </c>
      <c r="AI667">
        <f ca="1">VLOOKUP(E667,伤害参考系!$C$4:$E$104,3,FALSE)*$AN$12</f>
        <v>177.55434782608697</v>
      </c>
      <c r="AJ667">
        <f>VLOOKUP(C667,技能辅助查询表,技能配置辅助表!$L$1,FALSE)</f>
        <v>1</v>
      </c>
      <c r="AK667">
        <f>VLOOKUP(C667,技能辅助查询表,技能配置辅助表!$AE$1,FALSE)</f>
        <v>66000305</v>
      </c>
    </row>
    <row r="668" spans="1:37" x14ac:dyDescent="0.15">
      <c r="A668" s="1">
        <f t="shared" ca="1" si="296"/>
        <v>9222303</v>
      </c>
      <c r="B668" s="1" t="str">
        <f t="shared" ca="1" si="281"/>
        <v>龙拳第3段</v>
      </c>
      <c r="C668" t="s">
        <v>164</v>
      </c>
      <c r="D668">
        <f t="shared" si="282"/>
        <v>2</v>
      </c>
      <c r="E668" s="42">
        <f t="shared" ca="1" si="297"/>
        <v>11</v>
      </c>
      <c r="F668" t="str">
        <f t="shared" ca="1" si="298"/>
        <v>第3级，共造成147.8%点伤害</v>
      </c>
      <c r="G668">
        <f t="shared" ca="1" si="299"/>
        <v>3</v>
      </c>
      <c r="H668">
        <f t="shared" si="283"/>
        <v>3</v>
      </c>
      <c r="I668" s="44">
        <f t="shared" ca="1" si="309"/>
        <v>3</v>
      </c>
      <c r="J668">
        <f t="shared" si="284"/>
        <v>2</v>
      </c>
      <c r="K668" s="36">
        <f t="shared" ca="1" si="285"/>
        <v>147.78260869565219</v>
      </c>
      <c r="L668" s="10">
        <f ca="1">AH668*VLOOKUP(C668,技能辅助查询表,技能配置辅助表!$T$1,FALSE)</f>
        <v>0</v>
      </c>
      <c r="M668">
        <f t="shared" ca="1" si="286"/>
        <v>7760</v>
      </c>
      <c r="N668" s="33">
        <f ca="1">CHOOSE(1,W668*U668,X668*'[1]0、经济设定'!$C$18)</f>
        <v>440</v>
      </c>
      <c r="O668">
        <f t="shared" si="287"/>
        <v>2</v>
      </c>
      <c r="P668">
        <f t="shared" si="288"/>
        <v>1</v>
      </c>
      <c r="Q668">
        <f t="shared" si="289"/>
        <v>1</v>
      </c>
      <c r="R668" s="2">
        <f t="shared" si="290"/>
        <v>7</v>
      </c>
      <c r="S668" s="2">
        <f t="shared" si="291"/>
        <v>50</v>
      </c>
      <c r="T668" s="2">
        <f t="shared" si="292"/>
        <v>143.47826086956522</v>
      </c>
      <c r="U668" s="2">
        <f ca="1">VLOOKUP(E668,金币生产率!$A$2:$B$120,2,0)</f>
        <v>110</v>
      </c>
      <c r="V668" s="2">
        <f t="shared" si="293"/>
        <v>143.47826086956522</v>
      </c>
      <c r="W668" s="45">
        <f t="shared" ca="1" si="306"/>
        <v>4</v>
      </c>
      <c r="X668" s="48">
        <f t="shared" ca="1" si="307"/>
        <v>12</v>
      </c>
      <c r="Y668">
        <f t="shared" si="294"/>
        <v>18</v>
      </c>
      <c r="Z668">
        <f t="shared" ca="1" si="301"/>
        <v>0</v>
      </c>
      <c r="AA668" t="str">
        <f t="shared" ca="1" si="302"/>
        <v>9222300.png</v>
      </c>
      <c r="AB668">
        <f t="shared" si="295"/>
        <v>20</v>
      </c>
      <c r="AC668">
        <f>VLOOKUP(C668,技能辅助查询表,技能配置辅助表!$W$1,FALSE)</f>
        <v>28</v>
      </c>
      <c r="AD668">
        <f t="shared" ca="1" si="303"/>
        <v>1.6349694391434659</v>
      </c>
      <c r="AE668">
        <f>VLOOKUP(C668,技能辅助查询表,技能配置辅助表!$U$1,FALSE)</f>
        <v>4</v>
      </c>
      <c r="AF668">
        <f t="shared" ca="1" si="304"/>
        <v>9222303</v>
      </c>
      <c r="AG668">
        <f t="shared" ca="1" si="308"/>
        <v>9.979591836734695</v>
      </c>
      <c r="AH668">
        <f t="shared" ca="1" si="305"/>
        <v>17.108415423248271</v>
      </c>
      <c r="AI668">
        <f ca="1">VLOOKUP(E668,伤害参考系!$C$4:$E$104,3,FALSE)*$AN$12</f>
        <v>212.08059782608694</v>
      </c>
      <c r="AJ668">
        <f>VLOOKUP(C668,技能辅助查询表,技能配置辅助表!$L$1,FALSE)</f>
        <v>1</v>
      </c>
      <c r="AK668">
        <f>VLOOKUP(C668,技能辅助查询表,技能配置辅助表!$AE$1,FALSE)</f>
        <v>66000305</v>
      </c>
    </row>
    <row r="669" spans="1:37" x14ac:dyDescent="0.15">
      <c r="A669" s="1">
        <f t="shared" ca="1" si="296"/>
        <v>9222304</v>
      </c>
      <c r="B669" s="1" t="str">
        <f t="shared" ca="1" si="281"/>
        <v>龙拳第3段</v>
      </c>
      <c r="C669" t="s">
        <v>164</v>
      </c>
      <c r="D669">
        <f t="shared" si="282"/>
        <v>2</v>
      </c>
      <c r="E669" s="42">
        <f t="shared" ca="1" si="297"/>
        <v>13</v>
      </c>
      <c r="F669" t="str">
        <f t="shared" ca="1" si="298"/>
        <v>第4级，共造成149.2%点伤害</v>
      </c>
      <c r="G669">
        <f t="shared" ca="1" si="299"/>
        <v>3</v>
      </c>
      <c r="H669">
        <f t="shared" si="283"/>
        <v>3</v>
      </c>
      <c r="I669" s="44">
        <f t="shared" ca="1" si="309"/>
        <v>4</v>
      </c>
      <c r="J669">
        <f t="shared" si="284"/>
        <v>2</v>
      </c>
      <c r="K669" s="36">
        <f t="shared" ca="1" si="285"/>
        <v>149.21739130434781</v>
      </c>
      <c r="L669" s="10">
        <f ca="1">AH669*VLOOKUP(C669,技能辅助查询表,技能配置辅助表!$T$1,FALSE)</f>
        <v>0</v>
      </c>
      <c r="M669">
        <f t="shared" ca="1" si="286"/>
        <v>7680</v>
      </c>
      <c r="N669" s="33">
        <f ca="1">CHOOSE(1,W669*U669,X669*'[1]0、经济设定'!$C$18)</f>
        <v>610</v>
      </c>
      <c r="O669">
        <f t="shared" si="287"/>
        <v>2</v>
      </c>
      <c r="P669">
        <f t="shared" si="288"/>
        <v>1</v>
      </c>
      <c r="Q669">
        <f t="shared" si="289"/>
        <v>1</v>
      </c>
      <c r="R669" s="2">
        <f t="shared" si="290"/>
        <v>7</v>
      </c>
      <c r="S669" s="2">
        <f t="shared" si="291"/>
        <v>50</v>
      </c>
      <c r="T669" s="2">
        <f t="shared" si="292"/>
        <v>143.47826086956522</v>
      </c>
      <c r="U669" s="2">
        <f ca="1">VLOOKUP(E669,金币生产率!$A$2:$B$120,2,0)</f>
        <v>122</v>
      </c>
      <c r="V669" s="2">
        <f t="shared" si="293"/>
        <v>143.47826086956522</v>
      </c>
      <c r="W669" s="45">
        <f t="shared" ca="1" si="306"/>
        <v>5</v>
      </c>
      <c r="X669" s="48">
        <f t="shared" ca="1" si="307"/>
        <v>17</v>
      </c>
      <c r="Y669">
        <f t="shared" si="294"/>
        <v>18</v>
      </c>
      <c r="Z669">
        <f t="shared" ca="1" si="301"/>
        <v>0</v>
      </c>
      <c r="AA669" t="str">
        <f t="shared" ca="1" si="302"/>
        <v>9222300.png</v>
      </c>
      <c r="AB669">
        <f t="shared" si="295"/>
        <v>20</v>
      </c>
      <c r="AC669">
        <f>VLOOKUP(C669,技能辅助查询表,技能配置辅助表!$W$1,FALSE)</f>
        <v>28</v>
      </c>
      <c r="AD669">
        <f t="shared" ca="1" si="303"/>
        <v>1.9172836465292797</v>
      </c>
      <c r="AE669">
        <f>VLOOKUP(C669,技能辅助查询表,技能配置辅助表!$U$1,FALSE)</f>
        <v>4</v>
      </c>
      <c r="AF669">
        <f t="shared" ca="1" si="304"/>
        <v>9222304</v>
      </c>
      <c r="AG669">
        <f t="shared" ca="1" si="308"/>
        <v>11.469387755102041</v>
      </c>
      <c r="AH669">
        <f t="shared" ca="1" si="305"/>
        <v>19.477704889652582</v>
      </c>
      <c r="AI669">
        <f ca="1">VLOOKUP(E669,伤害参考系!$C$4:$E$104,3,FALSE)*$AN$12</f>
        <v>288.46124999999995</v>
      </c>
      <c r="AJ669">
        <f>VLOOKUP(C669,技能辅助查询表,技能配置辅助表!$L$1,FALSE)</f>
        <v>1</v>
      </c>
      <c r="AK669">
        <f>VLOOKUP(C669,技能辅助查询表,技能配置辅助表!$AE$1,FALSE)</f>
        <v>66000305</v>
      </c>
    </row>
    <row r="670" spans="1:37" x14ac:dyDescent="0.15">
      <c r="A670" s="1">
        <f t="shared" ca="1" si="296"/>
        <v>9222305</v>
      </c>
      <c r="B670" s="1" t="str">
        <f t="shared" ca="1" si="281"/>
        <v>龙拳第3段</v>
      </c>
      <c r="C670" t="s">
        <v>164</v>
      </c>
      <c r="D670">
        <f t="shared" si="282"/>
        <v>2</v>
      </c>
      <c r="E670" s="42">
        <f t="shared" ca="1" si="297"/>
        <v>14</v>
      </c>
      <c r="F670" t="str">
        <f t="shared" ca="1" si="298"/>
        <v>第5级，共造成150.7%点伤害</v>
      </c>
      <c r="G670">
        <f t="shared" ca="1" si="299"/>
        <v>3</v>
      </c>
      <c r="H670">
        <f t="shared" si="283"/>
        <v>3</v>
      </c>
      <c r="I670" s="44">
        <f t="shared" ca="1" si="309"/>
        <v>5</v>
      </c>
      <c r="J670">
        <f t="shared" si="284"/>
        <v>2</v>
      </c>
      <c r="K670" s="36">
        <f t="shared" ca="1" si="285"/>
        <v>150.65217391304347</v>
      </c>
      <c r="L670" s="10">
        <f ca="1">AH670*VLOOKUP(C670,技能辅助查询表,技能配置辅助表!$T$1,FALSE)</f>
        <v>0</v>
      </c>
      <c r="M670">
        <f t="shared" ca="1" si="286"/>
        <v>7600</v>
      </c>
      <c r="N670" s="33">
        <f ca="1">CHOOSE(1,W670*U670,X670*'[1]0、经济设定'!$C$18)</f>
        <v>640</v>
      </c>
      <c r="O670">
        <f t="shared" si="287"/>
        <v>2</v>
      </c>
      <c r="P670">
        <f t="shared" si="288"/>
        <v>1</v>
      </c>
      <c r="Q670">
        <f t="shared" si="289"/>
        <v>1</v>
      </c>
      <c r="R670" s="2">
        <f t="shared" si="290"/>
        <v>7</v>
      </c>
      <c r="S670" s="2">
        <f t="shared" si="291"/>
        <v>50</v>
      </c>
      <c r="T670" s="2">
        <f t="shared" si="292"/>
        <v>143.47826086956522</v>
      </c>
      <c r="U670" s="2">
        <f ca="1">VLOOKUP(E670,金币生产率!$A$2:$B$120,2,0)</f>
        <v>128</v>
      </c>
      <c r="V670" s="2">
        <f t="shared" si="293"/>
        <v>143.47826086956522</v>
      </c>
      <c r="W670" s="45">
        <f t="shared" ca="1" si="306"/>
        <v>5</v>
      </c>
      <c r="X670" s="48">
        <f t="shared" ca="1" si="307"/>
        <v>22</v>
      </c>
      <c r="Y670">
        <f t="shared" si="294"/>
        <v>18</v>
      </c>
      <c r="Z670">
        <f t="shared" ca="1" si="301"/>
        <v>0</v>
      </c>
      <c r="AA670" t="str">
        <f t="shared" ca="1" si="302"/>
        <v>9222300.png</v>
      </c>
      <c r="AB670">
        <f t="shared" si="295"/>
        <v>20</v>
      </c>
      <c r="AC670">
        <f>VLOOKUP(C670,技能辅助查询表,技能配置辅助表!$W$1,FALSE)</f>
        <v>28</v>
      </c>
      <c r="AD670">
        <f t="shared" ca="1" si="303"/>
        <v>2.2464350200000576</v>
      </c>
      <c r="AE670">
        <f>VLOOKUP(C670,技能辅助查询表,技能配置辅助表!$U$1,FALSE)</f>
        <v>4</v>
      </c>
      <c r="AF670">
        <f t="shared" ca="1" si="304"/>
        <v>9222305</v>
      </c>
      <c r="AG670">
        <f t="shared" ca="1" si="308"/>
        <v>12.959183673469388</v>
      </c>
      <c r="AH670">
        <f t="shared" ca="1" si="305"/>
        <v>22.175109639485559</v>
      </c>
      <c r="AI670">
        <f ca="1">VLOOKUP(E670,伤害参考系!$C$4:$E$104,3,FALSE)*$AN$12</f>
        <v>330.31565217391307</v>
      </c>
      <c r="AJ670">
        <f>VLOOKUP(C670,技能辅助查询表,技能配置辅助表!$L$1,FALSE)</f>
        <v>1</v>
      </c>
      <c r="AK670">
        <f>VLOOKUP(C670,技能辅助查询表,技能配置辅助表!$AE$1,FALSE)</f>
        <v>66000305</v>
      </c>
    </row>
    <row r="671" spans="1:37" x14ac:dyDescent="0.15">
      <c r="A671" s="1">
        <f t="shared" ca="1" si="296"/>
        <v>9222306</v>
      </c>
      <c r="B671" s="1" t="str">
        <f t="shared" ca="1" si="281"/>
        <v>龙拳第3段</v>
      </c>
      <c r="C671" t="s">
        <v>164</v>
      </c>
      <c r="D671">
        <f t="shared" si="282"/>
        <v>2</v>
      </c>
      <c r="E671" s="42">
        <f t="shared" ca="1" si="297"/>
        <v>16</v>
      </c>
      <c r="F671" t="str">
        <f t="shared" ca="1" si="298"/>
        <v>第6级，共造成152.1%点伤害</v>
      </c>
      <c r="G671">
        <f t="shared" ca="1" si="299"/>
        <v>3</v>
      </c>
      <c r="H671">
        <f t="shared" si="283"/>
        <v>3</v>
      </c>
      <c r="I671" s="44">
        <f t="shared" ca="1" si="309"/>
        <v>6</v>
      </c>
      <c r="J671">
        <f t="shared" si="284"/>
        <v>2</v>
      </c>
      <c r="K671" s="36">
        <f t="shared" ca="1" si="285"/>
        <v>152.08695652173913</v>
      </c>
      <c r="L671" s="10">
        <f ca="1">AH671*VLOOKUP(C671,技能辅助查询表,技能配置辅助表!$T$1,FALSE)</f>
        <v>0</v>
      </c>
      <c r="M671">
        <f t="shared" ca="1" si="286"/>
        <v>7520</v>
      </c>
      <c r="N671" s="33">
        <f ca="1">CHOOSE(1,W671*U671,X671*'[1]0、经济设定'!$C$18)</f>
        <v>700</v>
      </c>
      <c r="O671">
        <f t="shared" si="287"/>
        <v>2</v>
      </c>
      <c r="P671">
        <f t="shared" si="288"/>
        <v>1</v>
      </c>
      <c r="Q671">
        <f t="shared" si="289"/>
        <v>1</v>
      </c>
      <c r="R671" s="2">
        <f t="shared" si="290"/>
        <v>7</v>
      </c>
      <c r="S671" s="2">
        <f t="shared" si="291"/>
        <v>50</v>
      </c>
      <c r="T671" s="2">
        <f t="shared" si="292"/>
        <v>143.47826086956522</v>
      </c>
      <c r="U671" s="2">
        <f ca="1">VLOOKUP(E671,金币生产率!$A$2:$B$120,2,0)</f>
        <v>140</v>
      </c>
      <c r="V671" s="2">
        <f t="shared" si="293"/>
        <v>143.47826086956522</v>
      </c>
      <c r="W671" s="45">
        <f t="shared" ca="1" si="306"/>
        <v>5</v>
      </c>
      <c r="X671" s="48">
        <f t="shared" ca="1" si="307"/>
        <v>27</v>
      </c>
      <c r="Y671">
        <f t="shared" si="294"/>
        <v>18</v>
      </c>
      <c r="Z671">
        <f t="shared" ca="1" si="301"/>
        <v>0</v>
      </c>
      <c r="AA671" t="str">
        <f t="shared" ca="1" si="302"/>
        <v>9222300.png</v>
      </c>
      <c r="AB671">
        <f t="shared" si="295"/>
        <v>20</v>
      </c>
      <c r="AC671">
        <f>VLOOKUP(C671,技能辅助查询表,技能配置辅助表!$W$1,FALSE)</f>
        <v>28</v>
      </c>
      <c r="AD671">
        <f t="shared" ca="1" si="303"/>
        <v>2.6299818283440723</v>
      </c>
      <c r="AE671">
        <f>VLOOKUP(C671,技能辅助查询表,技能配置辅助表!$U$1,FALSE)</f>
        <v>4</v>
      </c>
      <c r="AF671">
        <f t="shared" ca="1" si="304"/>
        <v>9222306</v>
      </c>
      <c r="AG671">
        <f t="shared" ca="1" si="308"/>
        <v>14.448979591836736</v>
      </c>
      <c r="AH671">
        <f t="shared" ca="1" si="305"/>
        <v>25.246069303803697</v>
      </c>
      <c r="AI671">
        <f ca="1">VLOOKUP(E671,伤害参考系!$C$4:$E$104,3,FALSE)*$AN$12</f>
        <v>421.35260869565224</v>
      </c>
      <c r="AJ671">
        <f>VLOOKUP(C671,技能辅助查询表,技能配置辅助表!$L$1,FALSE)</f>
        <v>1</v>
      </c>
      <c r="AK671">
        <f>VLOOKUP(C671,技能辅助查询表,技能配置辅助表!$AE$1,FALSE)</f>
        <v>66000305</v>
      </c>
    </row>
    <row r="672" spans="1:37" x14ac:dyDescent="0.15">
      <c r="A672" s="1">
        <f t="shared" ca="1" si="296"/>
        <v>9222307</v>
      </c>
      <c r="B672" s="1" t="str">
        <f t="shared" ca="1" si="281"/>
        <v>龙拳第3段</v>
      </c>
      <c r="C672" t="s">
        <v>164</v>
      </c>
      <c r="D672">
        <f t="shared" si="282"/>
        <v>2</v>
      </c>
      <c r="E672" s="42">
        <f t="shared" ca="1" si="297"/>
        <v>17</v>
      </c>
      <c r="F672" t="str">
        <f t="shared" ca="1" si="298"/>
        <v>第7级，共造成153.5%点伤害</v>
      </c>
      <c r="G672">
        <f t="shared" ca="1" si="299"/>
        <v>3</v>
      </c>
      <c r="H672">
        <f t="shared" si="283"/>
        <v>3</v>
      </c>
      <c r="I672" s="44">
        <f t="shared" ca="1" si="309"/>
        <v>7</v>
      </c>
      <c r="J672">
        <f t="shared" si="284"/>
        <v>2</v>
      </c>
      <c r="K672" s="36">
        <f t="shared" ca="1" si="285"/>
        <v>153.52173913043478</v>
      </c>
      <c r="L672" s="10">
        <f ca="1">AH672*VLOOKUP(C672,技能辅助查询表,技能配置辅助表!$T$1,FALSE)</f>
        <v>0</v>
      </c>
      <c r="M672">
        <f t="shared" ca="1" si="286"/>
        <v>7440</v>
      </c>
      <c r="N672" s="33">
        <f ca="1">CHOOSE(1,W672*U672,X672*'[1]0、经济设定'!$C$18)</f>
        <v>730</v>
      </c>
      <c r="O672">
        <f t="shared" si="287"/>
        <v>2</v>
      </c>
      <c r="P672">
        <f t="shared" si="288"/>
        <v>1</v>
      </c>
      <c r="Q672">
        <f t="shared" si="289"/>
        <v>1</v>
      </c>
      <c r="R672" s="2">
        <f t="shared" si="290"/>
        <v>7</v>
      </c>
      <c r="S672" s="2">
        <f t="shared" si="291"/>
        <v>50</v>
      </c>
      <c r="T672" s="2">
        <f t="shared" si="292"/>
        <v>143.47826086956522</v>
      </c>
      <c r="U672" s="2">
        <f ca="1">VLOOKUP(E672,金币生产率!$A$2:$B$120,2,0)</f>
        <v>146</v>
      </c>
      <c r="V672" s="2">
        <f t="shared" si="293"/>
        <v>143.47826086956522</v>
      </c>
      <c r="W672" s="45">
        <f t="shared" ca="1" si="306"/>
        <v>5</v>
      </c>
      <c r="X672" s="48">
        <f t="shared" ca="1" si="307"/>
        <v>32</v>
      </c>
      <c r="Y672">
        <f t="shared" si="294"/>
        <v>18</v>
      </c>
      <c r="Z672">
        <f t="shared" ca="1" si="301"/>
        <v>0</v>
      </c>
      <c r="AA672" t="str">
        <f t="shared" ca="1" si="302"/>
        <v>9222300.png</v>
      </c>
      <c r="AB672">
        <f t="shared" si="295"/>
        <v>20</v>
      </c>
      <c r="AC672">
        <f>VLOOKUP(C672,技能辅助查询表,技能配置辅助表!$W$1,FALSE)</f>
        <v>28</v>
      </c>
      <c r="AD672">
        <f t="shared" ca="1" si="303"/>
        <v>3.076677510253865</v>
      </c>
      <c r="AE672">
        <f>VLOOKUP(C672,技能辅助查询表,技能配置辅助表!$U$1,FALSE)</f>
        <v>4</v>
      </c>
      <c r="AF672">
        <f t="shared" ca="1" si="304"/>
        <v>9222307</v>
      </c>
      <c r="AG672">
        <f t="shared" ca="1" si="308"/>
        <v>15.938775510204081</v>
      </c>
      <c r="AH672">
        <f t="shared" ca="1" si="305"/>
        <v>28.742316302127907</v>
      </c>
      <c r="AI672">
        <f ca="1">VLOOKUP(E672,伤害参考系!$C$4:$E$104,3,FALSE)*$AN$12</f>
        <v>470.53516304347824</v>
      </c>
      <c r="AJ672">
        <f>VLOOKUP(C672,技能辅助查询表,技能配置辅助表!$L$1,FALSE)</f>
        <v>1</v>
      </c>
      <c r="AK672">
        <f>VLOOKUP(C672,技能辅助查询表,技能配置辅助表!$AE$1,FALSE)</f>
        <v>66000305</v>
      </c>
    </row>
    <row r="673" spans="1:37" x14ac:dyDescent="0.15">
      <c r="A673" s="1">
        <f t="shared" ca="1" si="296"/>
        <v>9222308</v>
      </c>
      <c r="B673" s="1" t="str">
        <f t="shared" ca="1" si="281"/>
        <v>龙拳第3段</v>
      </c>
      <c r="C673" t="s">
        <v>164</v>
      </c>
      <c r="D673">
        <f t="shared" si="282"/>
        <v>2</v>
      </c>
      <c r="E673" s="42">
        <f t="shared" ca="1" si="297"/>
        <v>19</v>
      </c>
      <c r="F673" t="str">
        <f t="shared" ca="1" si="298"/>
        <v>第8级，共造成155%点伤害</v>
      </c>
      <c r="G673">
        <f t="shared" ca="1" si="299"/>
        <v>3</v>
      </c>
      <c r="H673">
        <f t="shared" si="283"/>
        <v>3</v>
      </c>
      <c r="I673" s="44">
        <f t="shared" ca="1" si="309"/>
        <v>8</v>
      </c>
      <c r="J673">
        <f t="shared" si="284"/>
        <v>2</v>
      </c>
      <c r="K673" s="36">
        <f t="shared" ca="1" si="285"/>
        <v>154.95652173913044</v>
      </c>
      <c r="L673" s="10">
        <f ca="1">AH673*VLOOKUP(C673,技能辅助查询表,技能配置辅助表!$T$1,FALSE)</f>
        <v>0</v>
      </c>
      <c r="M673">
        <f t="shared" ca="1" si="286"/>
        <v>7360</v>
      </c>
      <c r="N673" s="33">
        <f ca="1">CHOOSE(1,W673*U673,X673*'[1]0、经济设定'!$C$18)</f>
        <v>948</v>
      </c>
      <c r="O673">
        <f t="shared" si="287"/>
        <v>2</v>
      </c>
      <c r="P673">
        <f t="shared" si="288"/>
        <v>1</v>
      </c>
      <c r="Q673">
        <f t="shared" si="289"/>
        <v>1</v>
      </c>
      <c r="R673" s="2">
        <f t="shared" si="290"/>
        <v>7</v>
      </c>
      <c r="S673" s="2">
        <f t="shared" si="291"/>
        <v>50</v>
      </c>
      <c r="T673" s="2">
        <f t="shared" si="292"/>
        <v>143.47826086956522</v>
      </c>
      <c r="U673" s="2">
        <f ca="1">VLOOKUP(E673,金币生产率!$A$2:$B$120,2,0)</f>
        <v>158</v>
      </c>
      <c r="V673" s="2">
        <f t="shared" si="293"/>
        <v>143.47826086956522</v>
      </c>
      <c r="W673" s="45">
        <f t="shared" ca="1" si="306"/>
        <v>6</v>
      </c>
      <c r="X673" s="48">
        <f t="shared" ca="1" si="307"/>
        <v>38</v>
      </c>
      <c r="Y673">
        <f t="shared" si="294"/>
        <v>18</v>
      </c>
      <c r="Z673">
        <f t="shared" ca="1" si="301"/>
        <v>0</v>
      </c>
      <c r="AA673" t="str">
        <f t="shared" ca="1" si="302"/>
        <v>9222300.png</v>
      </c>
      <c r="AB673">
        <f t="shared" si="295"/>
        <v>20</v>
      </c>
      <c r="AC673">
        <f>VLOOKUP(C673,技能辅助查询表,技能配置辅助表!$W$1,FALSE)</f>
        <v>28</v>
      </c>
      <c r="AD673">
        <f t="shared" ca="1" si="303"/>
        <v>3.5966567478663847</v>
      </c>
      <c r="AE673">
        <f>VLOOKUP(C673,技能辅助查询表,技能配置辅助表!$U$1,FALSE)</f>
        <v>4</v>
      </c>
      <c r="AF673">
        <f t="shared" ca="1" si="304"/>
        <v>9222308</v>
      </c>
      <c r="AG673">
        <f t="shared" ca="1" si="308"/>
        <v>17.428571428571431</v>
      </c>
      <c r="AH673">
        <f t="shared" ca="1" si="305"/>
        <v>32.722747310493212</v>
      </c>
      <c r="AI673">
        <f ca="1">VLOOKUP(E673,伤害参考系!$C$4:$E$104,3,FALSE)*$AN$12</f>
        <v>576.22842391304346</v>
      </c>
      <c r="AJ673">
        <f>VLOOKUP(C673,技能辅助查询表,技能配置辅助表!$L$1,FALSE)</f>
        <v>1</v>
      </c>
      <c r="AK673">
        <f>VLOOKUP(C673,技能辅助查询表,技能配置辅助表!$AE$1,FALSE)</f>
        <v>66000305</v>
      </c>
    </row>
    <row r="674" spans="1:37" x14ac:dyDescent="0.15">
      <c r="A674" s="1">
        <f t="shared" ca="1" si="296"/>
        <v>9222309</v>
      </c>
      <c r="B674" s="1" t="str">
        <f t="shared" ca="1" si="281"/>
        <v>龙拳第3段</v>
      </c>
      <c r="C674" t="s">
        <v>164</v>
      </c>
      <c r="D674">
        <f t="shared" si="282"/>
        <v>2</v>
      </c>
      <c r="E674" s="42">
        <f t="shared" ca="1" si="297"/>
        <v>20</v>
      </c>
      <c r="F674" t="str">
        <f t="shared" ca="1" si="298"/>
        <v>第9级，共造成156.4%点伤害</v>
      </c>
      <c r="G674">
        <f t="shared" ca="1" si="299"/>
        <v>3</v>
      </c>
      <c r="H674">
        <f t="shared" si="283"/>
        <v>3</v>
      </c>
      <c r="I674" s="44">
        <f t="shared" ca="1" si="309"/>
        <v>9</v>
      </c>
      <c r="J674">
        <f t="shared" si="284"/>
        <v>2</v>
      </c>
      <c r="K674" s="36">
        <f t="shared" ca="1" si="285"/>
        <v>156.39130434782609</v>
      </c>
      <c r="L674" s="10">
        <f ca="1">AH674*VLOOKUP(C674,技能辅助查询表,技能配置辅助表!$T$1,FALSE)</f>
        <v>0</v>
      </c>
      <c r="M674">
        <f t="shared" ca="1" si="286"/>
        <v>7280</v>
      </c>
      <c r="N674" s="33">
        <f ca="1">CHOOSE(1,W674*U674,X674*'[1]0、经济设定'!$C$18)</f>
        <v>1092</v>
      </c>
      <c r="O674">
        <f t="shared" si="287"/>
        <v>2</v>
      </c>
      <c r="P674">
        <f t="shared" si="288"/>
        <v>1</v>
      </c>
      <c r="Q674">
        <f t="shared" si="289"/>
        <v>1</v>
      </c>
      <c r="R674" s="2">
        <f t="shared" si="290"/>
        <v>7</v>
      </c>
      <c r="S674" s="2">
        <f t="shared" si="291"/>
        <v>50</v>
      </c>
      <c r="T674" s="2">
        <f t="shared" si="292"/>
        <v>143.47826086956522</v>
      </c>
      <c r="U674" s="2">
        <f ca="1">VLOOKUP(E674,金币生产率!$A$2:$B$120,2,0)</f>
        <v>182</v>
      </c>
      <c r="V674" s="2">
        <f t="shared" si="293"/>
        <v>143.47826086956522</v>
      </c>
      <c r="W674" s="45">
        <f t="shared" ca="1" si="306"/>
        <v>6</v>
      </c>
      <c r="X674" s="48">
        <f t="shared" ca="1" si="307"/>
        <v>44</v>
      </c>
      <c r="Y674">
        <f t="shared" si="294"/>
        <v>18</v>
      </c>
      <c r="Z674">
        <f t="shared" ca="1" si="301"/>
        <v>0</v>
      </c>
      <c r="AA674" t="str">
        <f t="shared" ca="1" si="302"/>
        <v>9222300.png</v>
      </c>
      <c r="AB674">
        <f t="shared" si="295"/>
        <v>20</v>
      </c>
      <c r="AC674">
        <f>VLOOKUP(C674,技能辅助查询表,技能配置辅助表!$W$1,FALSE)</f>
        <v>28</v>
      </c>
      <c r="AD674">
        <f t="shared" ca="1" si="303"/>
        <v>4.2016501560827209</v>
      </c>
      <c r="AE674">
        <f>VLOOKUP(C674,技能辅助查询表,技能配置辅助表!$U$1,FALSE)</f>
        <v>4</v>
      </c>
      <c r="AF674">
        <f t="shared" ca="1" si="304"/>
        <v>9222309</v>
      </c>
      <c r="AG674">
        <f t="shared" ca="1" si="308"/>
        <v>18.918367346938776</v>
      </c>
      <c r="AH674">
        <f t="shared" ca="1" si="305"/>
        <v>37.25441541630785</v>
      </c>
      <c r="AI674">
        <f ca="1">VLOOKUP(E674,伤害参考系!$C$4:$E$104,3,FALSE)*$AN$12</f>
        <v>632.73913043478262</v>
      </c>
      <c r="AJ674">
        <f>VLOOKUP(C674,技能辅助查询表,技能配置辅助表!$L$1,FALSE)</f>
        <v>1</v>
      </c>
      <c r="AK674">
        <f>VLOOKUP(C674,技能辅助查询表,技能配置辅助表!$AE$1,FALSE)</f>
        <v>66000305</v>
      </c>
    </row>
    <row r="675" spans="1:37" x14ac:dyDescent="0.15">
      <c r="A675" s="1">
        <f t="shared" ca="1" si="296"/>
        <v>9222310</v>
      </c>
      <c r="B675" s="1" t="str">
        <f t="shared" ca="1" si="281"/>
        <v>龙拳第3段</v>
      </c>
      <c r="C675" t="s">
        <v>164</v>
      </c>
      <c r="D675">
        <f t="shared" si="282"/>
        <v>2</v>
      </c>
      <c r="E675" s="42">
        <f t="shared" ca="1" si="297"/>
        <v>22</v>
      </c>
      <c r="F675" t="str">
        <f t="shared" ca="1" si="298"/>
        <v>第10级，共造成157.8%点伤害</v>
      </c>
      <c r="G675">
        <f t="shared" ca="1" si="299"/>
        <v>3</v>
      </c>
      <c r="H675">
        <f t="shared" si="283"/>
        <v>3</v>
      </c>
      <c r="I675" s="44">
        <f t="shared" ca="1" si="309"/>
        <v>10</v>
      </c>
      <c r="J675">
        <f t="shared" si="284"/>
        <v>2</v>
      </c>
      <c r="K675" s="36">
        <f t="shared" ca="1" si="285"/>
        <v>157.82608695652175</v>
      </c>
      <c r="L675" s="10">
        <f ca="1">AH675*VLOOKUP(C675,技能辅助查询表,技能配置辅助表!$T$1,FALSE)</f>
        <v>0</v>
      </c>
      <c r="M675">
        <f t="shared" ca="1" si="286"/>
        <v>7200</v>
      </c>
      <c r="N675" s="33">
        <f ca="1">CHOOSE(1,W675*U675,X675*'[1]0、经济设定'!$C$18)</f>
        <v>1673</v>
      </c>
      <c r="O675">
        <f t="shared" si="287"/>
        <v>2</v>
      </c>
      <c r="P675">
        <f t="shared" si="288"/>
        <v>1</v>
      </c>
      <c r="Q675">
        <f t="shared" si="289"/>
        <v>1</v>
      </c>
      <c r="R675" s="2">
        <f t="shared" si="290"/>
        <v>7</v>
      </c>
      <c r="S675" s="2">
        <f t="shared" si="291"/>
        <v>50</v>
      </c>
      <c r="T675" s="2">
        <f t="shared" si="292"/>
        <v>143.47826086956522</v>
      </c>
      <c r="U675" s="2">
        <f ca="1">VLOOKUP(E675,金币生产率!$A$2:$B$120,2,0)</f>
        <v>239</v>
      </c>
      <c r="V675" s="2">
        <f t="shared" si="293"/>
        <v>143.47826086956522</v>
      </c>
      <c r="W675" s="45">
        <f t="shared" ca="1" si="306"/>
        <v>7</v>
      </c>
      <c r="X675" s="48">
        <f t="shared" ca="1" si="307"/>
        <v>51</v>
      </c>
      <c r="Y675">
        <f t="shared" si="294"/>
        <v>18</v>
      </c>
      <c r="Z675">
        <f t="shared" ca="1" si="301"/>
        <v>0</v>
      </c>
      <c r="AA675" t="str">
        <f t="shared" ca="1" si="302"/>
        <v>9222300.png</v>
      </c>
      <c r="AB675">
        <f t="shared" si="295"/>
        <v>20</v>
      </c>
      <c r="AC675">
        <f>VLOOKUP(C675,技能辅助查询表,技能配置辅助表!$W$1,FALSE)</f>
        <v>28</v>
      </c>
      <c r="AD675">
        <f t="shared" ca="1" si="303"/>
        <v>4.9052319448540587</v>
      </c>
      <c r="AE675">
        <f>VLOOKUP(C675,技能辅助查询表,技能配置辅助表!$U$1,FALSE)</f>
        <v>4</v>
      </c>
      <c r="AF675">
        <f t="shared" ca="1" si="304"/>
        <v>9222310</v>
      </c>
      <c r="AG675">
        <f t="shared" ca="1" si="308"/>
        <v>20.408163265306122</v>
      </c>
      <c r="AH675">
        <f t="shared" ca="1" si="305"/>
        <v>42.413659673550121</v>
      </c>
      <c r="AI675">
        <f ca="1">VLOOKUP(E675,伤害参考系!$C$4:$E$104,3,FALSE)*$AN$12</f>
        <v>753.08869565217401</v>
      </c>
      <c r="AJ675">
        <f>VLOOKUP(C675,技能辅助查询表,技能配置辅助表!$L$1,FALSE)</f>
        <v>1</v>
      </c>
      <c r="AK675">
        <f>VLOOKUP(C675,技能辅助查询表,技能配置辅助表!$AE$1,FALSE)</f>
        <v>66000305</v>
      </c>
    </row>
    <row r="676" spans="1:37" x14ac:dyDescent="0.15">
      <c r="A676" s="1">
        <f t="shared" ca="1" si="296"/>
        <v>9222311</v>
      </c>
      <c r="B676" s="1" t="str">
        <f t="shared" ca="1" si="281"/>
        <v>龙拳第3段</v>
      </c>
      <c r="C676" t="s">
        <v>164</v>
      </c>
      <c r="D676">
        <f t="shared" si="282"/>
        <v>2</v>
      </c>
      <c r="E676" s="42">
        <f t="shared" ca="1" si="297"/>
        <v>23</v>
      </c>
      <c r="F676" t="str">
        <f t="shared" ca="1" si="298"/>
        <v>第11级，共造成159.3%点伤害</v>
      </c>
      <c r="G676">
        <f t="shared" ca="1" si="299"/>
        <v>3</v>
      </c>
      <c r="H676">
        <f t="shared" si="283"/>
        <v>3</v>
      </c>
      <c r="I676" s="44">
        <f t="shared" ca="1" si="309"/>
        <v>11</v>
      </c>
      <c r="J676">
        <f t="shared" si="284"/>
        <v>2</v>
      </c>
      <c r="K676" s="36">
        <f t="shared" ca="1" si="285"/>
        <v>159.2608695652174</v>
      </c>
      <c r="L676" s="10">
        <f ca="1">AH676*VLOOKUP(C676,技能辅助查询表,技能配置辅助表!$T$1,FALSE)</f>
        <v>0</v>
      </c>
      <c r="M676">
        <f t="shared" ca="1" si="286"/>
        <v>7120</v>
      </c>
      <c r="N676" s="33">
        <f ca="1">CHOOSE(1,W676*U676,X676*'[1]0、经济设定'!$C$18)</f>
        <v>1890</v>
      </c>
      <c r="O676">
        <f t="shared" si="287"/>
        <v>2</v>
      </c>
      <c r="P676">
        <f t="shared" si="288"/>
        <v>1</v>
      </c>
      <c r="Q676">
        <f t="shared" si="289"/>
        <v>1</v>
      </c>
      <c r="R676" s="2">
        <f t="shared" si="290"/>
        <v>7</v>
      </c>
      <c r="S676" s="2">
        <f t="shared" si="291"/>
        <v>50</v>
      </c>
      <c r="T676" s="2">
        <f t="shared" si="292"/>
        <v>143.47826086956522</v>
      </c>
      <c r="U676" s="2">
        <f ca="1">VLOOKUP(E676,金币生产率!$A$2:$B$120,2,0)</f>
        <v>270</v>
      </c>
      <c r="V676" s="2">
        <f t="shared" si="293"/>
        <v>143.47826086956522</v>
      </c>
      <c r="W676" s="45">
        <f t="shared" ca="1" si="306"/>
        <v>7</v>
      </c>
      <c r="X676" s="48">
        <f t="shared" ca="1" si="307"/>
        <v>58</v>
      </c>
      <c r="Y676">
        <f t="shared" si="294"/>
        <v>18</v>
      </c>
      <c r="Z676">
        <f t="shared" ca="1" si="301"/>
        <v>0</v>
      </c>
      <c r="AA676" t="str">
        <f t="shared" ca="1" si="302"/>
        <v>9222300.png</v>
      </c>
      <c r="AB676">
        <f t="shared" si="295"/>
        <v>20</v>
      </c>
      <c r="AC676">
        <f>VLOOKUP(C676,技能辅助查询表,技能配置辅助表!$W$1,FALSE)</f>
        <v>28</v>
      </c>
      <c r="AD676">
        <f t="shared" ca="1" si="303"/>
        <v>5.7231055696356048</v>
      </c>
      <c r="AE676">
        <f>VLOOKUP(C676,技能辅助查询表,技能配置辅助表!$U$1,FALSE)</f>
        <v>4</v>
      </c>
      <c r="AF676">
        <f t="shared" ca="1" si="304"/>
        <v>9222311</v>
      </c>
      <c r="AG676">
        <f t="shared" ca="1" si="308"/>
        <v>21.897959183673471</v>
      </c>
      <c r="AH676">
        <f t="shared" ca="1" si="305"/>
        <v>48.287391086433935</v>
      </c>
      <c r="AI676">
        <f ca="1">VLOOKUP(E676,伤害参考系!$C$4:$E$104,3,FALSE)*$AN$12</f>
        <v>832.15832357859551</v>
      </c>
      <c r="AJ676">
        <f>VLOOKUP(C676,技能辅助查询表,技能配置辅助表!$L$1,FALSE)</f>
        <v>1</v>
      </c>
      <c r="AK676">
        <f>VLOOKUP(C676,技能辅助查询表,技能配置辅助表!$AE$1,FALSE)</f>
        <v>66000305</v>
      </c>
    </row>
    <row r="677" spans="1:37" x14ac:dyDescent="0.15">
      <c r="A677" s="1">
        <f t="shared" ca="1" si="296"/>
        <v>9222312</v>
      </c>
      <c r="B677" s="1" t="str">
        <f t="shared" ca="1" si="281"/>
        <v>龙拳第3段</v>
      </c>
      <c r="C677" t="s">
        <v>164</v>
      </c>
      <c r="D677">
        <f t="shared" si="282"/>
        <v>2</v>
      </c>
      <c r="E677" s="42">
        <f t="shared" ca="1" si="297"/>
        <v>25</v>
      </c>
      <c r="F677" t="str">
        <f t="shared" ca="1" si="298"/>
        <v>第12级，共造成160.7%点伤害</v>
      </c>
      <c r="G677">
        <f t="shared" ca="1" si="299"/>
        <v>3</v>
      </c>
      <c r="H677">
        <f t="shared" si="283"/>
        <v>3</v>
      </c>
      <c r="I677" s="44">
        <f t="shared" ca="1" si="309"/>
        <v>12</v>
      </c>
      <c r="J677">
        <f t="shared" si="284"/>
        <v>2</v>
      </c>
      <c r="K677" s="36">
        <f t="shared" ca="1" si="285"/>
        <v>160.69565217391303</v>
      </c>
      <c r="L677" s="10">
        <f ca="1">AH677*VLOOKUP(C677,技能辅助查询表,技能配置辅助表!$T$1,FALSE)</f>
        <v>0</v>
      </c>
      <c r="M677">
        <f t="shared" ca="1" si="286"/>
        <v>7040</v>
      </c>
      <c r="N677" s="33">
        <f ca="1">CHOOSE(1,W677*U677,X677*'[1]0、经济设定'!$C$18)</f>
        <v>2680</v>
      </c>
      <c r="O677">
        <f t="shared" si="287"/>
        <v>2</v>
      </c>
      <c r="P677">
        <f t="shared" si="288"/>
        <v>1</v>
      </c>
      <c r="Q677">
        <f t="shared" si="289"/>
        <v>1</v>
      </c>
      <c r="R677" s="2">
        <f t="shared" si="290"/>
        <v>7</v>
      </c>
      <c r="S677" s="2">
        <f t="shared" si="291"/>
        <v>50</v>
      </c>
      <c r="T677" s="2">
        <f t="shared" si="292"/>
        <v>143.47826086956522</v>
      </c>
      <c r="U677" s="2">
        <f ca="1">VLOOKUP(E677,金币生产率!$A$2:$B$120,2,0)</f>
        <v>335</v>
      </c>
      <c r="V677" s="2">
        <f t="shared" si="293"/>
        <v>143.47826086956522</v>
      </c>
      <c r="W677" s="45">
        <f t="shared" ca="1" si="306"/>
        <v>8</v>
      </c>
      <c r="X677" s="48">
        <f t="shared" ca="1" si="307"/>
        <v>66</v>
      </c>
      <c r="Y677">
        <f t="shared" si="294"/>
        <v>18</v>
      </c>
      <c r="Z677">
        <f t="shared" ca="1" si="301"/>
        <v>0</v>
      </c>
      <c r="AA677" t="str">
        <f t="shared" ca="1" si="302"/>
        <v>9222300.png</v>
      </c>
      <c r="AB677">
        <f t="shared" si="295"/>
        <v>20</v>
      </c>
      <c r="AC677">
        <f>VLOOKUP(C677,技能辅助查询表,技能配置辅助表!$W$1,FALSE)</f>
        <v>28</v>
      </c>
      <c r="AD677">
        <f t="shared" ca="1" si="303"/>
        <v>6.6734331419137289</v>
      </c>
      <c r="AE677">
        <f>VLOOKUP(C677,技能辅助查询表,技能配置辅助表!$U$1,FALSE)</f>
        <v>4</v>
      </c>
      <c r="AF677">
        <f t="shared" ca="1" si="304"/>
        <v>9222312</v>
      </c>
      <c r="AG677">
        <f t="shared" ca="1" si="308"/>
        <v>23.387755102040817</v>
      </c>
      <c r="AH677">
        <f t="shared" ca="1" si="305"/>
        <v>54.974556684819426</v>
      </c>
      <c r="AI677">
        <f ca="1">VLOOKUP(E677,伤害参考系!$C$4:$E$104,3,FALSE)*$AN$12</f>
        <v>1000.3949623745822</v>
      </c>
      <c r="AJ677">
        <f>VLOOKUP(C677,技能辅助查询表,技能配置辅助表!$L$1,FALSE)</f>
        <v>1</v>
      </c>
      <c r="AK677">
        <f>VLOOKUP(C677,技能辅助查询表,技能配置辅助表!$AE$1,FALSE)</f>
        <v>66000305</v>
      </c>
    </row>
    <row r="678" spans="1:37" x14ac:dyDescent="0.15">
      <c r="A678" s="1">
        <f t="shared" ca="1" si="296"/>
        <v>9222313</v>
      </c>
      <c r="B678" s="1" t="str">
        <f t="shared" ca="1" si="281"/>
        <v>龙拳第3段</v>
      </c>
      <c r="C678" t="s">
        <v>164</v>
      </c>
      <c r="D678">
        <f t="shared" si="282"/>
        <v>2</v>
      </c>
      <c r="E678" s="42">
        <f t="shared" ca="1" si="297"/>
        <v>26</v>
      </c>
      <c r="F678" t="str">
        <f t="shared" ca="1" si="298"/>
        <v>第13级，共造成162.1%点伤害</v>
      </c>
      <c r="G678">
        <f t="shared" ca="1" si="299"/>
        <v>3</v>
      </c>
      <c r="H678">
        <f t="shared" si="283"/>
        <v>3</v>
      </c>
      <c r="I678" s="44">
        <f t="shared" ca="1" si="309"/>
        <v>13</v>
      </c>
      <c r="J678">
        <f t="shared" si="284"/>
        <v>2</v>
      </c>
      <c r="K678" s="36">
        <f t="shared" ca="1" si="285"/>
        <v>162.13043478260869</v>
      </c>
      <c r="L678" s="10">
        <f ca="1">AH678*VLOOKUP(C678,技能辅助查询表,技能配置辅助表!$T$1,FALSE)</f>
        <v>0</v>
      </c>
      <c r="M678">
        <f t="shared" ca="1" si="286"/>
        <v>6960</v>
      </c>
      <c r="N678" s="33">
        <f ca="1">CHOOSE(1,W678*U678,X678*'[1]0、经济设定'!$C$18)</f>
        <v>2960</v>
      </c>
      <c r="O678">
        <f t="shared" si="287"/>
        <v>2</v>
      </c>
      <c r="P678">
        <f t="shared" si="288"/>
        <v>1</v>
      </c>
      <c r="Q678">
        <f t="shared" si="289"/>
        <v>1</v>
      </c>
      <c r="R678" s="2">
        <f t="shared" si="290"/>
        <v>7</v>
      </c>
      <c r="S678" s="2">
        <f t="shared" si="291"/>
        <v>50</v>
      </c>
      <c r="T678" s="2">
        <f t="shared" si="292"/>
        <v>143.47826086956522</v>
      </c>
      <c r="U678" s="2">
        <f ca="1">VLOOKUP(E678,金币生产率!$A$2:$B$120,2,0)</f>
        <v>370</v>
      </c>
      <c r="V678" s="2">
        <f t="shared" si="293"/>
        <v>143.47826086956522</v>
      </c>
      <c r="W678" s="45">
        <f t="shared" ca="1" si="306"/>
        <v>8</v>
      </c>
      <c r="X678" s="48">
        <f t="shared" ca="1" si="307"/>
        <v>74</v>
      </c>
      <c r="Y678">
        <f t="shared" si="294"/>
        <v>18</v>
      </c>
      <c r="Z678">
        <f t="shared" ca="1" si="301"/>
        <v>0</v>
      </c>
      <c r="AA678" t="str">
        <f t="shared" ca="1" si="302"/>
        <v>9222300.png</v>
      </c>
      <c r="AB678">
        <f t="shared" si="295"/>
        <v>20</v>
      </c>
      <c r="AC678">
        <f>VLOOKUP(C678,技能辅助查询表,技能配置辅助表!$W$1,FALSE)</f>
        <v>28</v>
      </c>
      <c r="AD678">
        <f t="shared" ca="1" si="303"/>
        <v>7.7772152418171085</v>
      </c>
      <c r="AE678">
        <f>VLOOKUP(C678,技能辅助查询表,技能配置辅助表!$U$1,FALSE)</f>
        <v>4</v>
      </c>
      <c r="AF678">
        <f t="shared" ca="1" si="304"/>
        <v>9222313</v>
      </c>
      <c r="AG678">
        <f t="shared" ca="1" si="308"/>
        <v>24.877551020408163</v>
      </c>
      <c r="AH678">
        <f t="shared" ca="1" si="305"/>
        <v>62.587806354721323</v>
      </c>
      <c r="AI678">
        <f ca="1">VLOOKUP(E678,伤害参考系!$C$4:$E$104,3,FALSE)*$AN$12</f>
        <v>1103.3859732441474</v>
      </c>
      <c r="AJ678">
        <f>VLOOKUP(C678,技能辅助查询表,技能配置辅助表!$L$1,FALSE)</f>
        <v>1</v>
      </c>
      <c r="AK678">
        <f>VLOOKUP(C678,技能辅助查询表,技能配置辅助表!$AE$1,FALSE)</f>
        <v>66000305</v>
      </c>
    </row>
    <row r="679" spans="1:37" x14ac:dyDescent="0.15">
      <c r="A679" s="1">
        <f t="shared" ca="1" si="296"/>
        <v>9222314</v>
      </c>
      <c r="B679" s="1" t="str">
        <f t="shared" ca="1" si="281"/>
        <v>龙拳第3段</v>
      </c>
      <c r="C679" t="s">
        <v>164</v>
      </c>
      <c r="D679">
        <f t="shared" si="282"/>
        <v>2</v>
      </c>
      <c r="E679" s="42">
        <f t="shared" ca="1" si="297"/>
        <v>27</v>
      </c>
      <c r="F679" t="str">
        <f t="shared" ca="1" si="298"/>
        <v>第14级，共造成163.6%点伤害</v>
      </c>
      <c r="G679">
        <f t="shared" ca="1" si="299"/>
        <v>3</v>
      </c>
      <c r="H679">
        <f t="shared" si="283"/>
        <v>3</v>
      </c>
      <c r="I679" s="44">
        <f t="shared" ca="1" si="309"/>
        <v>14</v>
      </c>
      <c r="J679">
        <f t="shared" si="284"/>
        <v>2</v>
      </c>
      <c r="K679" s="36">
        <f t="shared" ca="1" si="285"/>
        <v>163.56521739130434</v>
      </c>
      <c r="L679" s="10">
        <f ca="1">AH679*VLOOKUP(C679,技能辅助查询表,技能配置辅助表!$T$1,FALSE)</f>
        <v>0</v>
      </c>
      <c r="M679">
        <f t="shared" ca="1" si="286"/>
        <v>6880</v>
      </c>
      <c r="N679" s="33">
        <f ca="1">CHOOSE(1,W679*U679,X679*'[1]0、经济设定'!$C$18)</f>
        <v>3654</v>
      </c>
      <c r="O679">
        <f t="shared" si="287"/>
        <v>2</v>
      </c>
      <c r="P679">
        <f t="shared" si="288"/>
        <v>1</v>
      </c>
      <c r="Q679">
        <f t="shared" si="289"/>
        <v>1</v>
      </c>
      <c r="R679" s="2">
        <f t="shared" si="290"/>
        <v>7</v>
      </c>
      <c r="S679" s="2">
        <f t="shared" si="291"/>
        <v>50</v>
      </c>
      <c r="T679" s="2">
        <f t="shared" si="292"/>
        <v>143.47826086956522</v>
      </c>
      <c r="U679" s="2">
        <f ca="1">VLOOKUP(E679,金币生产率!$A$2:$B$120,2,0)</f>
        <v>406</v>
      </c>
      <c r="V679" s="2">
        <f t="shared" si="293"/>
        <v>143.47826086956522</v>
      </c>
      <c r="W679" s="45">
        <f t="shared" ca="1" si="306"/>
        <v>9</v>
      </c>
      <c r="X679" s="48">
        <f t="shared" ca="1" si="307"/>
        <v>83</v>
      </c>
      <c r="Y679">
        <f t="shared" si="294"/>
        <v>18</v>
      </c>
      <c r="Z679">
        <f t="shared" ca="1" si="301"/>
        <v>0</v>
      </c>
      <c r="AA679" t="str">
        <f t="shared" ca="1" si="302"/>
        <v>9222300.png</v>
      </c>
      <c r="AB679">
        <f t="shared" si="295"/>
        <v>20</v>
      </c>
      <c r="AC679">
        <f>VLOOKUP(C679,技能辅助查询表,技能配置辅助表!$W$1,FALSE)</f>
        <v>28</v>
      </c>
      <c r="AD679">
        <f t="shared" ca="1" si="303"/>
        <v>9.058728775227781</v>
      </c>
      <c r="AE679">
        <f>VLOOKUP(C679,技能辅助查询表,技能配置辅助表!$U$1,FALSE)</f>
        <v>4</v>
      </c>
      <c r="AF679">
        <f t="shared" ca="1" si="304"/>
        <v>9222314</v>
      </c>
      <c r="AG679">
        <f t="shared" ca="1" si="308"/>
        <v>26.367346938775512</v>
      </c>
      <c r="AH679">
        <f t="shared" ca="1" si="305"/>
        <v>71.25539050281769</v>
      </c>
      <c r="AI679">
        <f ca="1">VLOOKUP(E679,伤害参考系!$C$4:$E$104,3,FALSE)*$AN$12</f>
        <v>1210.5107784280938</v>
      </c>
      <c r="AJ679">
        <f>VLOOKUP(C679,技能辅助查询表,技能配置辅助表!$L$1,FALSE)</f>
        <v>1</v>
      </c>
      <c r="AK679">
        <f>VLOOKUP(C679,技能辅助查询表,技能配置辅助表!$AE$1,FALSE)</f>
        <v>66000305</v>
      </c>
    </row>
    <row r="680" spans="1:37" x14ac:dyDescent="0.15">
      <c r="A680" s="1">
        <f t="shared" ca="1" si="296"/>
        <v>9222315</v>
      </c>
      <c r="B680" s="1" t="str">
        <f t="shared" ca="1" si="281"/>
        <v>龙拳第3段</v>
      </c>
      <c r="C680" t="s">
        <v>164</v>
      </c>
      <c r="D680">
        <f t="shared" si="282"/>
        <v>2</v>
      </c>
      <c r="E680" s="42">
        <f t="shared" ca="1" si="297"/>
        <v>29</v>
      </c>
      <c r="F680" t="str">
        <f t="shared" ca="1" si="298"/>
        <v>第15级，共造成165%点伤害</v>
      </c>
      <c r="G680">
        <f t="shared" ca="1" si="299"/>
        <v>3</v>
      </c>
      <c r="H680">
        <f t="shared" si="283"/>
        <v>3</v>
      </c>
      <c r="I680" s="44">
        <f t="shared" ca="1" si="309"/>
        <v>15</v>
      </c>
      <c r="J680">
        <f t="shared" si="284"/>
        <v>2</v>
      </c>
      <c r="K680" s="36">
        <f t="shared" ca="1" si="285"/>
        <v>165</v>
      </c>
      <c r="L680" s="10">
        <f ca="1">AH680*VLOOKUP(C680,技能辅助查询表,技能配置辅助表!$T$1,FALSE)</f>
        <v>0</v>
      </c>
      <c r="M680">
        <f t="shared" ca="1" si="286"/>
        <v>6800</v>
      </c>
      <c r="N680" s="33">
        <f ca="1">CHOOSE(1,W680*U680,X680*'[1]0、经济设定'!$C$18)</f>
        <v>4820</v>
      </c>
      <c r="O680">
        <f t="shared" si="287"/>
        <v>2</v>
      </c>
      <c r="P680">
        <f t="shared" si="288"/>
        <v>1</v>
      </c>
      <c r="Q680">
        <f t="shared" si="289"/>
        <v>1</v>
      </c>
      <c r="R680" s="2">
        <f t="shared" si="290"/>
        <v>7</v>
      </c>
      <c r="S680" s="2">
        <f t="shared" si="291"/>
        <v>50</v>
      </c>
      <c r="T680" s="2">
        <f t="shared" si="292"/>
        <v>143.47826086956522</v>
      </c>
      <c r="U680" s="2">
        <f ca="1">VLOOKUP(E680,金币生产率!$A$2:$B$120,2,0)</f>
        <v>482</v>
      </c>
      <c r="V680" s="2">
        <f t="shared" si="293"/>
        <v>143.47826086956522</v>
      </c>
      <c r="W680" s="45">
        <f t="shared" ca="1" si="306"/>
        <v>10</v>
      </c>
      <c r="X680" s="48">
        <f t="shared" ca="1" si="307"/>
        <v>93</v>
      </c>
      <c r="Y680">
        <f t="shared" si="294"/>
        <v>18</v>
      </c>
      <c r="Z680">
        <f t="shared" ca="1" si="301"/>
        <v>0</v>
      </c>
      <c r="AA680" t="str">
        <f t="shared" ca="1" si="302"/>
        <v>9222300.png</v>
      </c>
      <c r="AB680">
        <f t="shared" si="295"/>
        <v>20</v>
      </c>
      <c r="AC680">
        <f>VLOOKUP(C680,技能辅助查询表,技能配置辅助表!$W$1,FALSE)</f>
        <v>28</v>
      </c>
      <c r="AD680">
        <f t="shared" ca="1" si="303"/>
        <v>10.546031667914246</v>
      </c>
      <c r="AE680">
        <f>VLOOKUP(C680,技能辅助查询表,技能配置辅助表!$U$1,FALSE)</f>
        <v>4</v>
      </c>
      <c r="AF680">
        <f t="shared" ca="1" si="304"/>
        <v>9222315</v>
      </c>
      <c r="AG680">
        <f t="shared" ca="1" si="308"/>
        <v>27.857142857142858</v>
      </c>
      <c r="AH680">
        <f t="shared" ca="1" si="305"/>
        <v>81.123320522417259</v>
      </c>
      <c r="AI680">
        <f ca="1">VLOOKUP(E680,伤害参考系!$C$4:$E$104,3,FALSE)*$AN$12</f>
        <v>1437.1617717391309</v>
      </c>
      <c r="AJ680">
        <f>VLOOKUP(C680,技能辅助查询表,技能配置辅助表!$L$1,FALSE)</f>
        <v>1</v>
      </c>
      <c r="AK680">
        <f>VLOOKUP(C680,技能辅助查询表,技能配置辅助表!$AE$1,FALSE)</f>
        <v>66000305</v>
      </c>
    </row>
    <row r="681" spans="1:37" x14ac:dyDescent="0.15">
      <c r="A681" s="1">
        <f t="shared" ca="1" si="296"/>
        <v>9222316</v>
      </c>
      <c r="B681" s="1" t="str">
        <f t="shared" ca="1" si="281"/>
        <v>龙拳第3段</v>
      </c>
      <c r="C681" t="s">
        <v>164</v>
      </c>
      <c r="D681">
        <f t="shared" si="282"/>
        <v>2</v>
      </c>
      <c r="E681" s="42">
        <f t="shared" ca="1" si="297"/>
        <v>30</v>
      </c>
      <c r="F681" t="str">
        <f t="shared" ca="1" si="298"/>
        <v>第16级，共造成166.4%点伤害</v>
      </c>
      <c r="G681">
        <f t="shared" ca="1" si="299"/>
        <v>3</v>
      </c>
      <c r="H681">
        <f t="shared" si="283"/>
        <v>3</v>
      </c>
      <c r="I681" s="44">
        <f t="shared" ca="1" si="309"/>
        <v>16</v>
      </c>
      <c r="J681">
        <f t="shared" si="284"/>
        <v>2</v>
      </c>
      <c r="K681" s="36">
        <f t="shared" ca="1" si="285"/>
        <v>166.43478260869566</v>
      </c>
      <c r="L681" s="10">
        <f ca="1">AH681*VLOOKUP(C681,技能辅助查询表,技能配置辅助表!$T$1,FALSE)</f>
        <v>0</v>
      </c>
      <c r="M681">
        <f t="shared" ca="1" si="286"/>
        <v>6720</v>
      </c>
      <c r="N681" s="33">
        <f ca="1">CHOOSE(1,W681*U681,X681*'[1]0、经济设定'!$C$18)</f>
        <v>5220</v>
      </c>
      <c r="O681">
        <f t="shared" si="287"/>
        <v>2</v>
      </c>
      <c r="P681">
        <f t="shared" si="288"/>
        <v>1</v>
      </c>
      <c r="Q681">
        <f t="shared" si="289"/>
        <v>1</v>
      </c>
      <c r="R681" s="2">
        <f t="shared" si="290"/>
        <v>7</v>
      </c>
      <c r="S681" s="2">
        <f t="shared" si="291"/>
        <v>50</v>
      </c>
      <c r="T681" s="2">
        <f t="shared" si="292"/>
        <v>143.47826086956522</v>
      </c>
      <c r="U681" s="2">
        <f ca="1">VLOOKUP(E681,金币生产率!$A$2:$B$120,2,0)</f>
        <v>522</v>
      </c>
      <c r="V681" s="2">
        <f t="shared" si="293"/>
        <v>143.47826086956522</v>
      </c>
      <c r="W681" s="45">
        <f t="shared" ca="1" si="306"/>
        <v>10</v>
      </c>
      <c r="X681" s="48">
        <f t="shared" ca="1" si="307"/>
        <v>103</v>
      </c>
      <c r="Y681">
        <f t="shared" si="294"/>
        <v>18</v>
      </c>
      <c r="Z681">
        <f t="shared" ca="1" si="301"/>
        <v>0</v>
      </c>
      <c r="AA681" t="str">
        <f t="shared" ca="1" si="302"/>
        <v>9222300.png</v>
      </c>
      <c r="AB681">
        <f t="shared" si="295"/>
        <v>20</v>
      </c>
      <c r="AC681">
        <f>VLOOKUP(C681,技能辅助查询表,技能配置辅助表!$W$1,FALSE)</f>
        <v>28</v>
      </c>
      <c r="AD681">
        <f t="shared" ca="1" si="303"/>
        <v>12.271544511293399</v>
      </c>
      <c r="AE681">
        <f>VLOOKUP(C681,技能辅助查询表,技能配置辅助表!$U$1,FALSE)</f>
        <v>4</v>
      </c>
      <c r="AF681">
        <f t="shared" ca="1" si="304"/>
        <v>9222316</v>
      </c>
      <c r="AG681">
        <f t="shared" ca="1" si="308"/>
        <v>29.346938775510203</v>
      </c>
      <c r="AH681">
        <f t="shared" ca="1" si="305"/>
        <v>92.357828455414989</v>
      </c>
      <c r="AI681">
        <f ca="1">VLOOKUP(E681,伤害参考系!$C$4:$E$104,3,FALSE)*$AN$12</f>
        <v>1576.1465593645489</v>
      </c>
      <c r="AJ681">
        <f>VLOOKUP(C681,技能辅助查询表,技能配置辅助表!$L$1,FALSE)</f>
        <v>1</v>
      </c>
      <c r="AK681">
        <f>VLOOKUP(C681,技能辅助查询表,技能配置辅助表!$AE$1,FALSE)</f>
        <v>66000305</v>
      </c>
    </row>
    <row r="682" spans="1:37" x14ac:dyDescent="0.15">
      <c r="A682" s="1">
        <f t="shared" ca="1" si="296"/>
        <v>9222317</v>
      </c>
      <c r="B682" s="1" t="str">
        <f t="shared" ca="1" si="281"/>
        <v>龙拳第3段</v>
      </c>
      <c r="C682" t="s">
        <v>164</v>
      </c>
      <c r="D682">
        <f t="shared" si="282"/>
        <v>2</v>
      </c>
      <c r="E682" s="42">
        <f t="shared" ca="1" si="297"/>
        <v>32</v>
      </c>
      <c r="F682" t="str">
        <f t="shared" ca="1" si="298"/>
        <v>第17级，共造成167.9%点伤害</v>
      </c>
      <c r="G682">
        <f t="shared" ca="1" si="299"/>
        <v>3</v>
      </c>
      <c r="H682">
        <f t="shared" si="283"/>
        <v>3</v>
      </c>
      <c r="I682" s="44">
        <f t="shared" ca="1" si="309"/>
        <v>17</v>
      </c>
      <c r="J682">
        <f t="shared" si="284"/>
        <v>2</v>
      </c>
      <c r="K682" s="36">
        <f t="shared" ca="1" si="285"/>
        <v>167.86956521739131</v>
      </c>
      <c r="L682" s="10">
        <f ca="1">AH682*VLOOKUP(C682,技能辅助查询表,技能配置辅助表!$T$1,FALSE)</f>
        <v>0</v>
      </c>
      <c r="M682">
        <f t="shared" ca="1" si="286"/>
        <v>6640</v>
      </c>
      <c r="N682" s="33">
        <f ca="1">CHOOSE(1,W682*U682,X682*'[1]0、经济设定'!$C$18)</f>
        <v>6666</v>
      </c>
      <c r="O682">
        <f t="shared" si="287"/>
        <v>2</v>
      </c>
      <c r="P682">
        <f t="shared" si="288"/>
        <v>1</v>
      </c>
      <c r="Q682">
        <f t="shared" si="289"/>
        <v>1</v>
      </c>
      <c r="R682" s="2">
        <f t="shared" si="290"/>
        <v>7</v>
      </c>
      <c r="S682" s="2">
        <f t="shared" si="291"/>
        <v>50</v>
      </c>
      <c r="T682" s="2">
        <f t="shared" si="292"/>
        <v>143.47826086956522</v>
      </c>
      <c r="U682" s="2">
        <f ca="1">VLOOKUP(E682,金币生产率!$A$2:$B$120,2,0)</f>
        <v>606</v>
      </c>
      <c r="V682" s="2">
        <f t="shared" si="293"/>
        <v>143.47826086956522</v>
      </c>
      <c r="W682" s="45">
        <f t="shared" ca="1" si="306"/>
        <v>11</v>
      </c>
      <c r="X682" s="48">
        <f t="shared" ca="1" si="307"/>
        <v>114</v>
      </c>
      <c r="Y682">
        <f t="shared" si="294"/>
        <v>18</v>
      </c>
      <c r="Z682">
        <f t="shared" ca="1" si="301"/>
        <v>0</v>
      </c>
      <c r="AA682" t="str">
        <f t="shared" ca="1" si="302"/>
        <v>9222300.png</v>
      </c>
      <c r="AB682">
        <f t="shared" si="295"/>
        <v>20</v>
      </c>
      <c r="AC682">
        <f>VLOOKUP(C682,技能辅助查询表,技能配置辅助表!$W$1,FALSE)</f>
        <v>28</v>
      </c>
      <c r="AD682">
        <f t="shared" ca="1" si="303"/>
        <v>14.272720794067023</v>
      </c>
      <c r="AE682">
        <f>VLOOKUP(C682,技能辅助查询表,技能配置辅助表!$U$1,FALSE)</f>
        <v>4</v>
      </c>
      <c r="AF682">
        <f t="shared" ca="1" si="304"/>
        <v>9222317</v>
      </c>
      <c r="AG682">
        <f t="shared" ca="1" si="308"/>
        <v>30.836734693877553</v>
      </c>
      <c r="AH682">
        <f t="shared" ca="1" si="305"/>
        <v>105.14816728492683</v>
      </c>
      <c r="AI682">
        <f ca="1">VLOOKUP(E682,伤害参考系!$C$4:$E$104,3,FALSE)*$AN$12</f>
        <v>1873.3990785953181</v>
      </c>
      <c r="AJ682">
        <f>VLOOKUP(C682,技能辅助查询表,技能配置辅助表!$L$1,FALSE)</f>
        <v>1</v>
      </c>
      <c r="AK682">
        <f>VLOOKUP(C682,技能辅助查询表,技能配置辅助表!$AE$1,FALSE)</f>
        <v>66000305</v>
      </c>
    </row>
    <row r="683" spans="1:37" x14ac:dyDescent="0.15">
      <c r="A683" s="1">
        <f t="shared" ca="1" si="296"/>
        <v>9222318</v>
      </c>
      <c r="B683" s="1" t="str">
        <f t="shared" ca="1" si="281"/>
        <v>龙拳第3段</v>
      </c>
      <c r="C683" t="s">
        <v>164</v>
      </c>
      <c r="D683">
        <f t="shared" si="282"/>
        <v>2</v>
      </c>
      <c r="E683" s="42">
        <f t="shared" ca="1" si="297"/>
        <v>33</v>
      </c>
      <c r="F683" t="str">
        <f t="shared" ca="1" si="298"/>
        <v>第18级，共造成169.3%点伤害</v>
      </c>
      <c r="G683">
        <f t="shared" ca="1" si="299"/>
        <v>3</v>
      </c>
      <c r="H683">
        <f t="shared" si="283"/>
        <v>3</v>
      </c>
      <c r="I683" s="44">
        <f t="shared" ca="1" si="309"/>
        <v>18</v>
      </c>
      <c r="J683">
        <f t="shared" si="284"/>
        <v>2</v>
      </c>
      <c r="K683" s="36">
        <f t="shared" ca="1" si="285"/>
        <v>169.30434782608697</v>
      </c>
      <c r="L683" s="10">
        <f ca="1">AH683*VLOOKUP(C683,技能辅助查询表,技能配置辅助表!$T$1,FALSE)</f>
        <v>0</v>
      </c>
      <c r="M683">
        <f t="shared" ca="1" si="286"/>
        <v>6560</v>
      </c>
      <c r="N683" s="33">
        <f ca="1">CHOOSE(1,W683*U683,X683*'[1]0、经济设定'!$C$18)</f>
        <v>7812</v>
      </c>
      <c r="O683">
        <f t="shared" si="287"/>
        <v>2</v>
      </c>
      <c r="P683">
        <f t="shared" si="288"/>
        <v>1</v>
      </c>
      <c r="Q683">
        <f t="shared" si="289"/>
        <v>1</v>
      </c>
      <c r="R683" s="2">
        <f t="shared" si="290"/>
        <v>7</v>
      </c>
      <c r="S683" s="2">
        <f t="shared" si="291"/>
        <v>50</v>
      </c>
      <c r="T683" s="2">
        <f t="shared" si="292"/>
        <v>143.47826086956522</v>
      </c>
      <c r="U683" s="2">
        <f ca="1">VLOOKUP(E683,金币生产率!$A$2:$B$120,2,0)</f>
        <v>651</v>
      </c>
      <c r="V683" s="2">
        <f t="shared" si="293"/>
        <v>143.47826086956522</v>
      </c>
      <c r="W683" s="45">
        <f t="shared" ca="1" si="306"/>
        <v>12</v>
      </c>
      <c r="X683" s="48">
        <f t="shared" ca="1" si="307"/>
        <v>126</v>
      </c>
      <c r="Y683">
        <f t="shared" si="294"/>
        <v>18</v>
      </c>
      <c r="Z683">
        <f t="shared" ca="1" si="301"/>
        <v>5</v>
      </c>
      <c r="AA683" t="str">
        <f t="shared" ca="1" si="302"/>
        <v>9222300.png</v>
      </c>
      <c r="AB683">
        <f t="shared" si="295"/>
        <v>20</v>
      </c>
      <c r="AC683">
        <f>VLOOKUP(C683,技能辅助查询表,技能配置辅助表!$W$1,FALSE)</f>
        <v>28</v>
      </c>
      <c r="AD683">
        <f t="shared" ca="1" si="303"/>
        <v>16.592819100533298</v>
      </c>
      <c r="AE683">
        <f>VLOOKUP(C683,技能辅助查询表,技能配置辅助表!$U$1,FALSE)</f>
        <v>4</v>
      </c>
      <c r="AF683">
        <f t="shared" ca="1" si="304"/>
        <v>9222318</v>
      </c>
      <c r="AG683">
        <f t="shared" ca="1" si="308"/>
        <v>32.326530612244895</v>
      </c>
      <c r="AH683">
        <f t="shared" ca="1" si="305"/>
        <v>119.70979903145096</v>
      </c>
      <c r="AI683">
        <f ca="1">VLOOKUP(E683,伤害参考系!$C$4:$E$104,3,FALSE)*$AN$12</f>
        <v>2031.7137667224088</v>
      </c>
      <c r="AJ683">
        <f>VLOOKUP(C683,技能辅助查询表,技能配置辅助表!$L$1,FALSE)</f>
        <v>1</v>
      </c>
      <c r="AK683">
        <f>VLOOKUP(C683,技能辅助查询表,技能配置辅助表!$AE$1,FALSE)</f>
        <v>66000305</v>
      </c>
    </row>
    <row r="684" spans="1:37" x14ac:dyDescent="0.15">
      <c r="A684" s="1">
        <f t="shared" ca="1" si="296"/>
        <v>9222319</v>
      </c>
      <c r="B684" s="1" t="str">
        <f t="shared" ca="1" si="281"/>
        <v>龙拳第3段</v>
      </c>
      <c r="C684" t="s">
        <v>164</v>
      </c>
      <c r="D684">
        <f t="shared" si="282"/>
        <v>2</v>
      </c>
      <c r="E684" s="42">
        <f t="shared" ca="1" si="297"/>
        <v>35</v>
      </c>
      <c r="F684" t="str">
        <f t="shared" ca="1" si="298"/>
        <v>第19级，共造成170.7%点伤害</v>
      </c>
      <c r="G684">
        <f t="shared" ca="1" si="299"/>
        <v>3</v>
      </c>
      <c r="H684">
        <f t="shared" si="283"/>
        <v>3</v>
      </c>
      <c r="I684" s="44">
        <f t="shared" ca="1" si="309"/>
        <v>19</v>
      </c>
      <c r="J684">
        <f t="shared" si="284"/>
        <v>2</v>
      </c>
      <c r="K684" s="36">
        <f t="shared" ca="1" si="285"/>
        <v>170.73913043478262</v>
      </c>
      <c r="L684" s="10">
        <f ca="1">AH684*VLOOKUP(C684,技能辅助查询表,技能配置辅助表!$T$1,FALSE)</f>
        <v>0</v>
      </c>
      <c r="M684">
        <f t="shared" ca="1" si="286"/>
        <v>6480</v>
      </c>
      <c r="N684" s="33">
        <f ca="1">CHOOSE(1,W684*U684,X684*'[1]0、经济设定'!$C$18)</f>
        <v>9659</v>
      </c>
      <c r="O684">
        <f t="shared" si="287"/>
        <v>2</v>
      </c>
      <c r="P684">
        <f t="shared" si="288"/>
        <v>1</v>
      </c>
      <c r="Q684">
        <f t="shared" si="289"/>
        <v>1</v>
      </c>
      <c r="R684" s="2">
        <f t="shared" si="290"/>
        <v>7</v>
      </c>
      <c r="S684" s="2">
        <f t="shared" si="291"/>
        <v>50</v>
      </c>
      <c r="T684" s="2">
        <f t="shared" si="292"/>
        <v>143.47826086956522</v>
      </c>
      <c r="U684" s="2">
        <f ca="1">VLOOKUP(E684,金币生产率!$A$2:$B$120,2,0)</f>
        <v>743</v>
      </c>
      <c r="V684" s="2">
        <f t="shared" si="293"/>
        <v>143.47826086956522</v>
      </c>
      <c r="W684" s="45">
        <f t="shared" ca="1" si="306"/>
        <v>13</v>
      </c>
      <c r="X684" s="48">
        <f t="shared" ca="1" si="307"/>
        <v>139</v>
      </c>
      <c r="Y684">
        <f t="shared" si="294"/>
        <v>18</v>
      </c>
      <c r="Z684">
        <f t="shared" ca="1" si="301"/>
        <v>6</v>
      </c>
      <c r="AA684" t="str">
        <f t="shared" ca="1" si="302"/>
        <v>9222300.png</v>
      </c>
      <c r="AB684">
        <f t="shared" si="295"/>
        <v>20</v>
      </c>
      <c r="AC684">
        <f>VLOOKUP(C684,技能辅助查询表,技能配置辅助表!$W$1,FALSE)</f>
        <v>28</v>
      </c>
      <c r="AD684">
        <f t="shared" ca="1" si="303"/>
        <v>19.281792663550021</v>
      </c>
      <c r="AE684">
        <f>VLOOKUP(C684,技能辅助查询表,技能配置辅助表!$U$1,FALSE)</f>
        <v>4</v>
      </c>
      <c r="AF684">
        <f t="shared" ca="1" si="304"/>
        <v>9222319</v>
      </c>
      <c r="AG684">
        <f t="shared" ca="1" si="308"/>
        <v>33.816326530612244</v>
      </c>
      <c r="AH684">
        <f t="shared" ca="1" si="305"/>
        <v>136.28802435822078</v>
      </c>
      <c r="AI684">
        <f ca="1">VLOOKUP(E684,伤害参考系!$C$4:$E$104,3,FALSE)*$AN$12</f>
        <v>2367.0860869565217</v>
      </c>
      <c r="AJ684">
        <f>VLOOKUP(C684,技能辅助查询表,技能配置辅助表!$L$1,FALSE)</f>
        <v>1</v>
      </c>
      <c r="AK684">
        <f>VLOOKUP(C684,技能辅助查询表,技能配置辅助表!$AE$1,FALSE)</f>
        <v>66000305</v>
      </c>
    </row>
    <row r="685" spans="1:37" x14ac:dyDescent="0.15">
      <c r="A685" s="1">
        <f t="shared" ca="1" si="296"/>
        <v>9222320</v>
      </c>
      <c r="B685" s="1" t="str">
        <f t="shared" ca="1" si="281"/>
        <v>龙拳第3段</v>
      </c>
      <c r="C685" t="s">
        <v>164</v>
      </c>
      <c r="D685">
        <f t="shared" si="282"/>
        <v>2</v>
      </c>
      <c r="E685" s="42">
        <f t="shared" ca="1" si="297"/>
        <v>36</v>
      </c>
      <c r="F685" t="str">
        <f t="shared" ca="1" si="298"/>
        <v>第20级，共造成172.2%点伤害</v>
      </c>
      <c r="G685">
        <f t="shared" ca="1" si="299"/>
        <v>3</v>
      </c>
      <c r="H685">
        <f t="shared" si="283"/>
        <v>3</v>
      </c>
      <c r="I685" s="44">
        <f t="shared" ca="1" si="309"/>
        <v>20</v>
      </c>
      <c r="J685">
        <f t="shared" si="284"/>
        <v>2</v>
      </c>
      <c r="K685" s="36">
        <f t="shared" ca="1" si="285"/>
        <v>172.17391304347825</v>
      </c>
      <c r="L685" s="10">
        <f ca="1">AH685*VLOOKUP(C685,技能辅助查询表,技能配置辅助表!$T$1,FALSE)</f>
        <v>0</v>
      </c>
      <c r="M685">
        <f t="shared" ca="1" si="286"/>
        <v>6400</v>
      </c>
      <c r="N685" s="33">
        <f ca="1">CHOOSE(1,W685*U685,X685*'[1]0、经济设定'!$C$18)</f>
        <v>10283</v>
      </c>
      <c r="O685">
        <f t="shared" si="287"/>
        <v>2</v>
      </c>
      <c r="P685">
        <f t="shared" si="288"/>
        <v>1</v>
      </c>
      <c r="Q685">
        <f t="shared" si="289"/>
        <v>1</v>
      </c>
      <c r="R685" s="2">
        <f t="shared" si="290"/>
        <v>7</v>
      </c>
      <c r="S685" s="2">
        <f t="shared" si="291"/>
        <v>50</v>
      </c>
      <c r="T685" s="2">
        <f t="shared" si="292"/>
        <v>143.47826086956522</v>
      </c>
      <c r="U685" s="2">
        <f ca="1">VLOOKUP(E685,金币生产率!$A$2:$B$120,2,0)</f>
        <v>791</v>
      </c>
      <c r="V685" s="2">
        <f t="shared" si="293"/>
        <v>143.47826086956522</v>
      </c>
      <c r="W685" s="45">
        <f t="shared" ca="1" si="306"/>
        <v>13</v>
      </c>
      <c r="X685" s="48">
        <f t="shared" ca="1" si="307"/>
        <v>152</v>
      </c>
      <c r="Y685">
        <f t="shared" si="294"/>
        <v>18</v>
      </c>
      <c r="Z685">
        <f t="shared" ca="1" si="301"/>
        <v>6</v>
      </c>
      <c r="AA685" t="str">
        <f t="shared" ca="1" si="302"/>
        <v>9222300.png</v>
      </c>
      <c r="AB685">
        <f t="shared" si="295"/>
        <v>20</v>
      </c>
      <c r="AC685">
        <f>VLOOKUP(C685,技能辅助查询表,技能配置辅助表!$W$1,FALSE)</f>
        <v>28</v>
      </c>
      <c r="AD685">
        <f t="shared" ca="1" si="303"/>
        <v>22.397313966611801</v>
      </c>
      <c r="AE685">
        <f>VLOOKUP(C685,技能辅助查询表,技能配置辅助表!$U$1,FALSE)</f>
        <v>4</v>
      </c>
      <c r="AF685">
        <f t="shared" ca="1" si="304"/>
        <v>9222320</v>
      </c>
      <c r="AG685">
        <f t="shared" ca="1" si="308"/>
        <v>35.306122448979593</v>
      </c>
      <c r="AH685">
        <f t="shared" ca="1" si="305"/>
        <v>155.16211482893718</v>
      </c>
      <c r="AI685">
        <f ca="1">VLOOKUP(E685,伤害参考系!$C$4:$E$104,3,FALSE)*$AN$12</f>
        <v>2544.1437190635456</v>
      </c>
      <c r="AJ685">
        <f>VLOOKUP(C685,技能辅助查询表,技能配置辅助表!$L$1,FALSE)</f>
        <v>1</v>
      </c>
      <c r="AK685">
        <f>VLOOKUP(C685,技能辅助查询表,技能配置辅助表!$AE$1,FALSE)</f>
        <v>66000305</v>
      </c>
    </row>
    <row r="686" spans="1:37" x14ac:dyDescent="0.15">
      <c r="A686" s="1">
        <f t="shared" ca="1" si="296"/>
        <v>9222321</v>
      </c>
      <c r="B686" s="1" t="str">
        <f t="shared" ca="1" si="281"/>
        <v>龙拳第3段</v>
      </c>
      <c r="C686" t="s">
        <v>164</v>
      </c>
      <c r="D686">
        <f t="shared" si="282"/>
        <v>2</v>
      </c>
      <c r="E686" s="42">
        <f t="shared" ca="1" si="297"/>
        <v>38</v>
      </c>
      <c r="F686" t="str">
        <f t="shared" ca="1" si="298"/>
        <v>第21级，共造成173.6%点伤害</v>
      </c>
      <c r="G686">
        <f t="shared" ca="1" si="299"/>
        <v>3</v>
      </c>
      <c r="H686">
        <f t="shared" si="283"/>
        <v>3</v>
      </c>
      <c r="I686" s="44">
        <f t="shared" ca="1" si="309"/>
        <v>21</v>
      </c>
      <c r="J686">
        <f t="shared" si="284"/>
        <v>2</v>
      </c>
      <c r="K686" s="36">
        <f t="shared" ca="1" si="285"/>
        <v>173.60869565217391</v>
      </c>
      <c r="L686" s="10">
        <f ca="1">AH686*VLOOKUP(C686,技能辅助查询表,技能配置辅助表!$T$1,FALSE)</f>
        <v>0</v>
      </c>
      <c r="M686">
        <f t="shared" ca="1" si="286"/>
        <v>6320</v>
      </c>
      <c r="N686" s="33">
        <f ca="1">CHOOSE(1,W686*U686,X686*'[1]0、经济设定'!$C$18)</f>
        <v>12488</v>
      </c>
      <c r="O686">
        <f t="shared" si="287"/>
        <v>2</v>
      </c>
      <c r="P686">
        <f t="shared" si="288"/>
        <v>1</v>
      </c>
      <c r="Q686">
        <f t="shared" si="289"/>
        <v>1</v>
      </c>
      <c r="R686" s="2">
        <f t="shared" si="290"/>
        <v>7</v>
      </c>
      <c r="S686" s="2">
        <f t="shared" si="291"/>
        <v>50</v>
      </c>
      <c r="T686" s="2">
        <f t="shared" si="292"/>
        <v>143.47826086956522</v>
      </c>
      <c r="U686" s="2">
        <f ca="1">VLOOKUP(E686,金币生产率!$A$2:$B$120,2,0)</f>
        <v>892</v>
      </c>
      <c r="V686" s="2">
        <f t="shared" si="293"/>
        <v>143.47826086956522</v>
      </c>
      <c r="W686" s="45">
        <f t="shared" ca="1" si="306"/>
        <v>14</v>
      </c>
      <c r="X686" s="48">
        <f t="shared" ca="1" si="307"/>
        <v>166</v>
      </c>
      <c r="Y686">
        <f t="shared" si="294"/>
        <v>18</v>
      </c>
      <c r="Z686">
        <f t="shared" ca="1" si="301"/>
        <v>6</v>
      </c>
      <c r="AA686" t="str">
        <f t="shared" ca="1" si="302"/>
        <v>9222300.png</v>
      </c>
      <c r="AB686">
        <f t="shared" si="295"/>
        <v>20</v>
      </c>
      <c r="AC686">
        <f>VLOOKUP(C686,技能辅助查询表,技能配置辅助表!$W$1,FALSE)</f>
        <v>28</v>
      </c>
      <c r="AD686">
        <f t="shared" ca="1" si="303"/>
        <v>26.005954739705096</v>
      </c>
      <c r="AE686">
        <f>VLOOKUP(C686,技能辅助查询表,技能配置辅助表!$U$1,FALSE)</f>
        <v>4</v>
      </c>
      <c r="AF686">
        <f t="shared" ca="1" si="304"/>
        <v>9222321</v>
      </c>
      <c r="AG686">
        <f t="shared" ca="1" si="308"/>
        <v>36.795918367346943</v>
      </c>
      <c r="AH686">
        <f t="shared" ca="1" si="305"/>
        <v>176.65001742859343</v>
      </c>
      <c r="AI686">
        <f ca="1">VLOOKUP(E686,伤害参考系!$C$4:$E$104,3,FALSE)*$AN$12</f>
        <v>2917.001927257525</v>
      </c>
      <c r="AJ686">
        <f>VLOOKUP(C686,技能辅助查询表,技能配置辅助表!$L$1,FALSE)</f>
        <v>1</v>
      </c>
      <c r="AK686">
        <f>VLOOKUP(C686,技能辅助查询表,技能配置辅助表!$AE$1,FALSE)</f>
        <v>66000305</v>
      </c>
    </row>
    <row r="687" spans="1:37" x14ac:dyDescent="0.15">
      <c r="A687" s="1">
        <f t="shared" ca="1" si="296"/>
        <v>9222322</v>
      </c>
      <c r="B687" s="1" t="str">
        <f t="shared" ca="1" si="281"/>
        <v>龙拳第3段</v>
      </c>
      <c r="C687" t="s">
        <v>164</v>
      </c>
      <c r="D687">
        <f t="shared" si="282"/>
        <v>2</v>
      </c>
      <c r="E687" s="42">
        <f t="shared" ca="1" si="297"/>
        <v>39</v>
      </c>
      <c r="F687" t="str">
        <f t="shared" ca="1" si="298"/>
        <v>第22级，共造成175%点伤害</v>
      </c>
      <c r="G687">
        <f t="shared" ca="1" si="299"/>
        <v>3</v>
      </c>
      <c r="H687">
        <f t="shared" si="283"/>
        <v>3</v>
      </c>
      <c r="I687" s="44">
        <f t="shared" ca="1" si="309"/>
        <v>22</v>
      </c>
      <c r="J687">
        <f t="shared" si="284"/>
        <v>2</v>
      </c>
      <c r="K687" s="36">
        <f t="shared" ca="1" si="285"/>
        <v>175.04347826086956</v>
      </c>
      <c r="L687" s="10">
        <f ca="1">AH687*VLOOKUP(C687,技能辅助查询表,技能配置辅助表!$T$1,FALSE)</f>
        <v>0</v>
      </c>
      <c r="M687">
        <f t="shared" ca="1" si="286"/>
        <v>6240</v>
      </c>
      <c r="N687" s="33">
        <f ca="1">CHOOSE(1,W687*U687,X687*'[1]0、经济设定'!$C$18)</f>
        <v>14160</v>
      </c>
      <c r="O687">
        <f t="shared" si="287"/>
        <v>2</v>
      </c>
      <c r="P687">
        <f t="shared" si="288"/>
        <v>1</v>
      </c>
      <c r="Q687">
        <f t="shared" si="289"/>
        <v>1</v>
      </c>
      <c r="R687" s="2">
        <f t="shared" si="290"/>
        <v>7</v>
      </c>
      <c r="S687" s="2">
        <f t="shared" si="291"/>
        <v>50</v>
      </c>
      <c r="T687" s="2">
        <f t="shared" si="292"/>
        <v>143.47826086956522</v>
      </c>
      <c r="U687" s="2">
        <f ca="1">VLOOKUP(E687,金币生产率!$A$2:$B$120,2,0)</f>
        <v>944</v>
      </c>
      <c r="V687" s="2">
        <f t="shared" si="293"/>
        <v>143.47826086956522</v>
      </c>
      <c r="W687" s="45">
        <f t="shared" ca="1" si="306"/>
        <v>15</v>
      </c>
      <c r="X687" s="48">
        <f t="shared" ca="1" si="307"/>
        <v>181</v>
      </c>
      <c r="Y687">
        <f t="shared" si="294"/>
        <v>18</v>
      </c>
      <c r="Z687">
        <f t="shared" ca="1" si="301"/>
        <v>6</v>
      </c>
      <c r="AA687" t="str">
        <f t="shared" ca="1" si="302"/>
        <v>9222300.png</v>
      </c>
      <c r="AB687">
        <f t="shared" si="295"/>
        <v>20</v>
      </c>
      <c r="AC687">
        <f>VLOOKUP(C687,技能辅助查询表,技能配置辅助表!$W$1,FALSE)</f>
        <v>28</v>
      </c>
      <c r="AD687">
        <f t="shared" ca="1" si="303"/>
        <v>30.18454473848815</v>
      </c>
      <c r="AE687">
        <f>VLOOKUP(C687,技能辅助查询表,技能配置辅助表!$U$1,FALSE)</f>
        <v>4</v>
      </c>
      <c r="AF687">
        <f t="shared" ca="1" si="304"/>
        <v>9222322</v>
      </c>
      <c r="AG687">
        <f t="shared" ca="1" si="308"/>
        <v>38.285714285714285</v>
      </c>
      <c r="AH687">
        <f t="shared" ca="1" si="305"/>
        <v>201.11371059826985</v>
      </c>
      <c r="AI687">
        <f ca="1">VLOOKUP(E687,伤害参考系!$C$4:$E$104,3,FALSE)*$AN$12</f>
        <v>3112.8025033444819</v>
      </c>
      <c r="AJ687">
        <f>VLOOKUP(C687,技能辅助查询表,技能配置辅助表!$L$1,FALSE)</f>
        <v>1</v>
      </c>
      <c r="AK687">
        <f>VLOOKUP(C687,技能辅助查询表,技能配置辅助表!$AE$1,FALSE)</f>
        <v>66000305</v>
      </c>
    </row>
    <row r="688" spans="1:37" x14ac:dyDescent="0.15">
      <c r="A688" s="1">
        <f t="shared" ca="1" si="296"/>
        <v>9222323</v>
      </c>
      <c r="B688" s="1" t="str">
        <f t="shared" ca="1" si="281"/>
        <v>龙拳第3段</v>
      </c>
      <c r="C688" t="s">
        <v>164</v>
      </c>
      <c r="D688">
        <f t="shared" si="282"/>
        <v>2</v>
      </c>
      <c r="E688" s="42">
        <f t="shared" ca="1" si="297"/>
        <v>41</v>
      </c>
      <c r="F688" t="str">
        <f t="shared" ca="1" si="298"/>
        <v>第23级，共造成176.5%点伤害</v>
      </c>
      <c r="G688">
        <f t="shared" ca="1" si="299"/>
        <v>3</v>
      </c>
      <c r="H688">
        <f t="shared" si="283"/>
        <v>3</v>
      </c>
      <c r="I688" s="44">
        <f t="shared" ca="1" si="309"/>
        <v>23</v>
      </c>
      <c r="J688">
        <f t="shared" si="284"/>
        <v>2</v>
      </c>
      <c r="K688" s="36">
        <f t="shared" ca="1" si="285"/>
        <v>176.47826086956522</v>
      </c>
      <c r="L688" s="10">
        <f ca="1">AH688*VLOOKUP(C688,技能辅助查询表,技能配置辅助表!$T$1,FALSE)</f>
        <v>0</v>
      </c>
      <c r="M688">
        <f t="shared" ca="1" si="286"/>
        <v>6160</v>
      </c>
      <c r="N688" s="33">
        <f ca="1">CHOOSE(1,W688*U688,X688*'[1]0、经济设定'!$C$18)</f>
        <v>16848</v>
      </c>
      <c r="O688">
        <f t="shared" si="287"/>
        <v>2</v>
      </c>
      <c r="P688">
        <f t="shared" si="288"/>
        <v>1</v>
      </c>
      <c r="Q688">
        <f t="shared" si="289"/>
        <v>1</v>
      </c>
      <c r="R688" s="2">
        <f t="shared" si="290"/>
        <v>7</v>
      </c>
      <c r="S688" s="2">
        <f t="shared" si="291"/>
        <v>50</v>
      </c>
      <c r="T688" s="2">
        <f t="shared" si="292"/>
        <v>143.47826086956522</v>
      </c>
      <c r="U688" s="2">
        <f ca="1">VLOOKUP(E688,金币生产率!$A$2:$B$120,2,0)</f>
        <v>1053</v>
      </c>
      <c r="V688" s="2">
        <f t="shared" si="293"/>
        <v>143.47826086956522</v>
      </c>
      <c r="W688" s="45">
        <f t="shared" ca="1" si="306"/>
        <v>16</v>
      </c>
      <c r="X688" s="48">
        <f t="shared" ca="1" si="307"/>
        <v>197</v>
      </c>
      <c r="Y688">
        <f t="shared" si="294"/>
        <v>18</v>
      </c>
      <c r="Z688">
        <f t="shared" ca="1" si="301"/>
        <v>7</v>
      </c>
      <c r="AA688" t="str">
        <f t="shared" ca="1" si="302"/>
        <v>9222300.png</v>
      </c>
      <c r="AB688">
        <f t="shared" si="295"/>
        <v>20</v>
      </c>
      <c r="AC688">
        <f>VLOOKUP(C688,技能辅助查询表,技能配置辅助表!$W$1,FALSE)</f>
        <v>28</v>
      </c>
      <c r="AD688">
        <f t="shared" ca="1" si="303"/>
        <v>35.021736194394776</v>
      </c>
      <c r="AE688">
        <f>VLOOKUP(C688,技能辅助查询表,技能配置辅助表!$U$1,FALSE)</f>
        <v>4</v>
      </c>
      <c r="AF688">
        <f t="shared" ca="1" si="304"/>
        <v>9222323</v>
      </c>
      <c r="AG688">
        <f t="shared" ca="1" si="308"/>
        <v>39.775510204081634</v>
      </c>
      <c r="AH688">
        <f t="shared" ca="1" si="305"/>
        <v>228.96530200997151</v>
      </c>
      <c r="AI688">
        <f ca="1">VLOOKUP(E688,伤害参考系!$C$4:$E$104,3,FALSE)*$AN$12</f>
        <v>3584.9561889632118</v>
      </c>
      <c r="AJ688">
        <f>VLOOKUP(C688,技能辅助查询表,技能配置辅助表!$L$1,FALSE)</f>
        <v>1</v>
      </c>
      <c r="AK688">
        <f>VLOOKUP(C688,技能辅助查询表,技能配置辅助表!$AE$1,FALSE)</f>
        <v>66000305</v>
      </c>
    </row>
    <row r="689" spans="1:37" x14ac:dyDescent="0.15">
      <c r="A689" s="1">
        <f t="shared" ca="1" si="296"/>
        <v>9222324</v>
      </c>
      <c r="B689" s="1" t="str">
        <f t="shared" ca="1" si="281"/>
        <v>龙拳第3段</v>
      </c>
      <c r="C689" t="s">
        <v>164</v>
      </c>
      <c r="D689">
        <f t="shared" si="282"/>
        <v>2</v>
      </c>
      <c r="E689" s="42">
        <f t="shared" ca="1" si="297"/>
        <v>42</v>
      </c>
      <c r="F689" t="str">
        <f t="shared" ca="1" si="298"/>
        <v>第24级，共造成177.9%点伤害</v>
      </c>
      <c r="G689">
        <f t="shared" ca="1" si="299"/>
        <v>3</v>
      </c>
      <c r="H689">
        <f t="shared" si="283"/>
        <v>3</v>
      </c>
      <c r="I689" s="44">
        <f t="shared" ca="1" si="309"/>
        <v>24</v>
      </c>
      <c r="J689">
        <f t="shared" si="284"/>
        <v>2</v>
      </c>
      <c r="K689" s="36">
        <f t="shared" ca="1" si="285"/>
        <v>177.91304347826087</v>
      </c>
      <c r="L689" s="10">
        <f ca="1">AH689*VLOOKUP(C689,技能辅助查询表,技能配置辅助表!$T$1,FALSE)</f>
        <v>0</v>
      </c>
      <c r="M689">
        <f t="shared" ca="1" si="286"/>
        <v>6080</v>
      </c>
      <c r="N689" s="33">
        <f ca="1">CHOOSE(1,W689*U689,X689*'[1]0、经济设定'!$C$18)</f>
        <v>18870</v>
      </c>
      <c r="O689">
        <f t="shared" si="287"/>
        <v>2</v>
      </c>
      <c r="P689">
        <f t="shared" si="288"/>
        <v>1</v>
      </c>
      <c r="Q689">
        <f t="shared" si="289"/>
        <v>1</v>
      </c>
      <c r="R689" s="2">
        <f t="shared" si="290"/>
        <v>7</v>
      </c>
      <c r="S689" s="2">
        <f t="shared" si="291"/>
        <v>50</v>
      </c>
      <c r="T689" s="2">
        <f t="shared" si="292"/>
        <v>143.47826086956522</v>
      </c>
      <c r="U689" s="2">
        <f ca="1">VLOOKUP(E689,金币生产率!$A$2:$B$120,2,0)</f>
        <v>1110</v>
      </c>
      <c r="V689" s="2">
        <f t="shared" si="293"/>
        <v>143.47826086956522</v>
      </c>
      <c r="W689" s="45">
        <f t="shared" ca="1" si="306"/>
        <v>17</v>
      </c>
      <c r="X689" s="48">
        <f t="shared" ca="1" si="307"/>
        <v>214</v>
      </c>
      <c r="Y689">
        <f t="shared" si="294"/>
        <v>18</v>
      </c>
      <c r="Z689">
        <f t="shared" ca="1" si="301"/>
        <v>7</v>
      </c>
      <c r="AA689" t="str">
        <f t="shared" ca="1" si="302"/>
        <v>9222300.png</v>
      </c>
      <c r="AB689">
        <f t="shared" si="295"/>
        <v>20</v>
      </c>
      <c r="AC689">
        <f>VLOOKUP(C689,技能辅助查询表,技能配置辅助表!$W$1,FALSE)</f>
        <v>28</v>
      </c>
      <c r="AD689">
        <f t="shared" ca="1" si="303"/>
        <v>40.61980484160442</v>
      </c>
      <c r="AE689">
        <f>VLOOKUP(C689,技能辅助查询表,技能配置辅助表!$U$1,FALSE)</f>
        <v>4</v>
      </c>
      <c r="AF689">
        <f t="shared" ca="1" si="304"/>
        <v>9222324</v>
      </c>
      <c r="AG689">
        <f t="shared" ca="1" si="308"/>
        <v>41.265306122448976</v>
      </c>
      <c r="AH689">
        <f t="shared" ca="1" si="305"/>
        <v>260.67397080270689</v>
      </c>
      <c r="AI689">
        <f ca="1">VLOOKUP(E689,伤害参考系!$C$4:$E$104,3,FALSE)*$AN$12</f>
        <v>3833.528327759198</v>
      </c>
      <c r="AJ689">
        <f>VLOOKUP(C689,技能辅助查询表,技能配置辅助表!$L$1,FALSE)</f>
        <v>1</v>
      </c>
      <c r="AK689">
        <f>VLOOKUP(C689,技能辅助查询表,技能配置辅助表!$AE$1,FALSE)</f>
        <v>66000305</v>
      </c>
    </row>
    <row r="690" spans="1:37" x14ac:dyDescent="0.15">
      <c r="A690" s="1">
        <f t="shared" ca="1" si="296"/>
        <v>9222325</v>
      </c>
      <c r="B690" s="1" t="str">
        <f t="shared" ca="1" si="281"/>
        <v>龙拳第3段</v>
      </c>
      <c r="C690" t="s">
        <v>164</v>
      </c>
      <c r="D690">
        <f t="shared" si="282"/>
        <v>2</v>
      </c>
      <c r="E690" s="42">
        <f t="shared" ca="1" si="297"/>
        <v>44</v>
      </c>
      <c r="F690" t="str">
        <f t="shared" ca="1" si="298"/>
        <v>第25级，共造成179.3%点伤害</v>
      </c>
      <c r="G690">
        <f t="shared" ca="1" si="299"/>
        <v>3</v>
      </c>
      <c r="H690">
        <f t="shared" si="283"/>
        <v>3</v>
      </c>
      <c r="I690" s="44">
        <f t="shared" ca="1" si="309"/>
        <v>25</v>
      </c>
      <c r="J690">
        <f t="shared" si="284"/>
        <v>2</v>
      </c>
      <c r="K690" s="36">
        <f t="shared" ca="1" si="285"/>
        <v>179.34782608695653</v>
      </c>
      <c r="L690" s="10">
        <f ca="1">AH690*VLOOKUP(C690,技能辅助查询表,技能配置辅助表!$T$1,FALSE)</f>
        <v>0</v>
      </c>
      <c r="M690">
        <f t="shared" ca="1" si="286"/>
        <v>6000</v>
      </c>
      <c r="N690" s="33">
        <f ca="1">CHOOSE(1,W690*U690,X690*'[1]0、经济设定'!$C$18)</f>
        <v>23294</v>
      </c>
      <c r="O690">
        <f t="shared" si="287"/>
        <v>2</v>
      </c>
      <c r="P690">
        <f t="shared" si="288"/>
        <v>1</v>
      </c>
      <c r="Q690">
        <f t="shared" si="289"/>
        <v>1</v>
      </c>
      <c r="R690" s="2">
        <f t="shared" si="290"/>
        <v>7</v>
      </c>
      <c r="S690" s="2">
        <f t="shared" si="291"/>
        <v>50</v>
      </c>
      <c r="T690" s="2">
        <f t="shared" si="292"/>
        <v>143.47826086956522</v>
      </c>
      <c r="U690" s="2">
        <f ca="1">VLOOKUP(E690,金币生产率!$A$2:$B$120,2,0)</f>
        <v>1226</v>
      </c>
      <c r="V690" s="2">
        <f t="shared" si="293"/>
        <v>143.47826086956522</v>
      </c>
      <c r="W690" s="45">
        <f t="shared" ca="1" si="306"/>
        <v>19</v>
      </c>
      <c r="X690" s="48">
        <f t="shared" ca="1" si="307"/>
        <v>233</v>
      </c>
      <c r="Y690">
        <f t="shared" si="294"/>
        <v>18</v>
      </c>
      <c r="Z690">
        <f t="shared" ca="1" si="301"/>
        <v>8</v>
      </c>
      <c r="AA690" t="str">
        <f t="shared" ca="1" si="302"/>
        <v>9222300.png</v>
      </c>
      <c r="AB690">
        <f t="shared" si="295"/>
        <v>20</v>
      </c>
      <c r="AC690">
        <f>VLOOKUP(C690,技能辅助查询表,技能配置辅助表!$W$1,FALSE)</f>
        <v>28</v>
      </c>
      <c r="AD690">
        <f t="shared" ca="1" si="303"/>
        <v>47.096723042470856</v>
      </c>
      <c r="AE690">
        <f>VLOOKUP(C690,技能辅助查询表,技能配置辅助表!$U$1,FALSE)</f>
        <v>4</v>
      </c>
      <c r="AF690">
        <f t="shared" ca="1" si="304"/>
        <v>9222325</v>
      </c>
      <c r="AG690">
        <f t="shared" ca="1" si="308"/>
        <v>42.755102040816325</v>
      </c>
      <c r="AH690">
        <f t="shared" ca="1" si="305"/>
        <v>296.77387122652874</v>
      </c>
      <c r="AI690">
        <f ca="1">VLOOKUP(E690,伤害参考系!$C$4:$E$104,3,FALSE)*$AN$12</f>
        <v>4355.6631973244148</v>
      </c>
      <c r="AJ690">
        <f>VLOOKUP(C690,技能辅助查询表,技能配置辅助表!$L$1,FALSE)</f>
        <v>1</v>
      </c>
      <c r="AK690">
        <f>VLOOKUP(C690,技能辅助查询表,技能配置辅助表!$AE$1,FALSE)</f>
        <v>66000305</v>
      </c>
    </row>
    <row r="691" spans="1:37" x14ac:dyDescent="0.15">
      <c r="A691" s="1">
        <f t="shared" ca="1" si="296"/>
        <v>9222326</v>
      </c>
      <c r="B691" s="1" t="str">
        <f t="shared" ca="1" si="281"/>
        <v>龙拳第3段</v>
      </c>
      <c r="C691" t="s">
        <v>164</v>
      </c>
      <c r="D691">
        <f t="shared" si="282"/>
        <v>2</v>
      </c>
      <c r="E691" s="42">
        <f t="shared" ca="1" si="297"/>
        <v>45</v>
      </c>
      <c r="F691" t="str">
        <f t="shared" ca="1" si="298"/>
        <v>第26级，共造成180.8%点伤害</v>
      </c>
      <c r="G691">
        <f t="shared" ca="1" si="299"/>
        <v>3</v>
      </c>
      <c r="H691">
        <f t="shared" si="283"/>
        <v>3</v>
      </c>
      <c r="I691" s="44">
        <f t="shared" ca="1" si="309"/>
        <v>26</v>
      </c>
      <c r="J691">
        <f t="shared" si="284"/>
        <v>2</v>
      </c>
      <c r="K691" s="36">
        <f t="shared" ca="1" si="285"/>
        <v>180.78260869565219</v>
      </c>
      <c r="L691" s="10">
        <f ca="1">AH691*VLOOKUP(C691,技能辅助查询表,技能配置辅助表!$T$1,FALSE)</f>
        <v>0</v>
      </c>
      <c r="M691">
        <f t="shared" ca="1" si="286"/>
        <v>5920</v>
      </c>
      <c r="N691" s="33">
        <f ca="1">CHOOSE(1,W691*U691,X691*'[1]0、经济设定'!$C$18)</f>
        <v>25740</v>
      </c>
      <c r="O691">
        <f t="shared" si="287"/>
        <v>2</v>
      </c>
      <c r="P691">
        <f t="shared" si="288"/>
        <v>1</v>
      </c>
      <c r="Q691">
        <f t="shared" si="289"/>
        <v>1</v>
      </c>
      <c r="R691" s="2">
        <f t="shared" si="290"/>
        <v>7</v>
      </c>
      <c r="S691" s="2">
        <f t="shared" si="291"/>
        <v>50</v>
      </c>
      <c r="T691" s="2">
        <f t="shared" si="292"/>
        <v>143.47826086956522</v>
      </c>
      <c r="U691" s="2">
        <f ca="1">VLOOKUP(E691,金币生产率!$A$2:$B$120,2,0)</f>
        <v>1287</v>
      </c>
      <c r="V691" s="2">
        <f t="shared" si="293"/>
        <v>143.47826086956522</v>
      </c>
      <c r="W691" s="45">
        <f t="shared" ca="1" si="306"/>
        <v>20</v>
      </c>
      <c r="X691" s="48">
        <f t="shared" ca="1" si="307"/>
        <v>253</v>
      </c>
      <c r="Y691">
        <f t="shared" si="294"/>
        <v>18</v>
      </c>
      <c r="Z691">
        <f t="shared" ca="1" si="301"/>
        <v>8</v>
      </c>
      <c r="AA691" t="str">
        <f t="shared" ca="1" si="302"/>
        <v>9222300.png</v>
      </c>
      <c r="AB691">
        <f t="shared" si="295"/>
        <v>20</v>
      </c>
      <c r="AC691">
        <f>VLOOKUP(C691,技能辅助查询表,技能配置辅助表!$W$1,FALSE)</f>
        <v>28</v>
      </c>
      <c r="AD691">
        <f t="shared" ca="1" si="303"/>
        <v>54.588545834333843</v>
      </c>
      <c r="AE691">
        <f>VLOOKUP(C691,技能辅助查询表,技能配置辅助表!$U$1,FALSE)</f>
        <v>4</v>
      </c>
      <c r="AF691">
        <f t="shared" ca="1" si="304"/>
        <v>9222326</v>
      </c>
      <c r="AG691">
        <f t="shared" ca="1" si="308"/>
        <v>44.244897959183675</v>
      </c>
      <c r="AH691">
        <f t="shared" ca="1" si="305"/>
        <v>337.87313083683472</v>
      </c>
      <c r="AI691">
        <f ca="1">VLOOKUP(E691,伤害参考系!$C$4:$E$104,3,FALSE)*$AN$12</f>
        <v>4629.2259280936469</v>
      </c>
      <c r="AJ691">
        <f>VLOOKUP(C691,技能辅助查询表,技能配置辅助表!$L$1,FALSE)</f>
        <v>1</v>
      </c>
      <c r="AK691">
        <f>VLOOKUP(C691,技能辅助查询表,技能配置辅助表!$AE$1,FALSE)</f>
        <v>66000305</v>
      </c>
    </row>
    <row r="692" spans="1:37" x14ac:dyDescent="0.15">
      <c r="A692" s="1">
        <f t="shared" ca="1" si="296"/>
        <v>9222327</v>
      </c>
      <c r="B692" s="1" t="str">
        <f t="shared" ca="1" si="281"/>
        <v>龙拳第3段</v>
      </c>
      <c r="C692" t="s">
        <v>164</v>
      </c>
      <c r="D692">
        <f t="shared" si="282"/>
        <v>2</v>
      </c>
      <c r="E692" s="42">
        <f t="shared" ca="1" si="297"/>
        <v>46</v>
      </c>
      <c r="F692" t="str">
        <f t="shared" ca="1" si="298"/>
        <v>第27级，共造成182.2%点伤害</v>
      </c>
      <c r="G692">
        <f t="shared" ca="1" si="299"/>
        <v>3</v>
      </c>
      <c r="H692">
        <f t="shared" si="283"/>
        <v>3</v>
      </c>
      <c r="I692" s="44">
        <f t="shared" ca="1" si="309"/>
        <v>27</v>
      </c>
      <c r="J692">
        <f t="shared" si="284"/>
        <v>2</v>
      </c>
      <c r="K692" s="36">
        <f t="shared" ca="1" si="285"/>
        <v>182.21739130434781</v>
      </c>
      <c r="L692" s="10">
        <f ca="1">AH692*VLOOKUP(C692,技能辅助查询表,技能配置辅助表!$T$1,FALSE)</f>
        <v>0</v>
      </c>
      <c r="M692">
        <f t="shared" ca="1" si="286"/>
        <v>5840</v>
      </c>
      <c r="N692" s="33">
        <f ca="1">CHOOSE(1,W692*U692,X692*'[1]0、经济设定'!$C$18)</f>
        <v>28329</v>
      </c>
      <c r="O692">
        <f t="shared" si="287"/>
        <v>2</v>
      </c>
      <c r="P692">
        <f t="shared" si="288"/>
        <v>1</v>
      </c>
      <c r="Q692">
        <f t="shared" si="289"/>
        <v>1</v>
      </c>
      <c r="R692" s="2">
        <f t="shared" si="290"/>
        <v>7</v>
      </c>
      <c r="S692" s="2">
        <f t="shared" si="291"/>
        <v>50</v>
      </c>
      <c r="T692" s="2">
        <f t="shared" si="292"/>
        <v>143.47826086956522</v>
      </c>
      <c r="U692" s="2">
        <f ca="1">VLOOKUP(E692,金币生产率!$A$2:$B$120,2,0)</f>
        <v>1349</v>
      </c>
      <c r="V692" s="2">
        <f t="shared" si="293"/>
        <v>143.47826086956522</v>
      </c>
      <c r="W692" s="45">
        <f t="shared" ca="1" si="306"/>
        <v>21</v>
      </c>
      <c r="X692" s="48">
        <f t="shared" ca="1" si="307"/>
        <v>274</v>
      </c>
      <c r="Y692">
        <f t="shared" si="294"/>
        <v>18</v>
      </c>
      <c r="Z692">
        <f t="shared" ca="1" si="301"/>
        <v>9</v>
      </c>
      <c r="AA692" t="str">
        <f t="shared" ca="1" si="302"/>
        <v>9222300.png</v>
      </c>
      <c r="AB692">
        <f t="shared" si="295"/>
        <v>20</v>
      </c>
      <c r="AC692">
        <f>VLOOKUP(C692,技能辅助查询表,技能配置辅助表!$W$1,FALSE)</f>
        <v>28</v>
      </c>
      <c r="AD692">
        <f t="shared" ca="1" si="303"/>
        <v>63.25215680904472</v>
      </c>
      <c r="AE692">
        <f>VLOOKUP(C692,技能辅助查询表,技能配置辅助表!$U$1,FALSE)</f>
        <v>4</v>
      </c>
      <c r="AF692">
        <f t="shared" ca="1" si="304"/>
        <v>9222327</v>
      </c>
      <c r="AG692">
        <f t="shared" ca="1" si="308"/>
        <v>45.734693877551024</v>
      </c>
      <c r="AH692">
        <f t="shared" ca="1" si="305"/>
        <v>384.66409481967975</v>
      </c>
      <c r="AI692">
        <f ca="1">VLOOKUP(E692,伤害参考系!$C$4:$E$104,3,FALSE)*$AN$12</f>
        <v>4911.1188561872923</v>
      </c>
      <c r="AJ692">
        <f>VLOOKUP(C692,技能辅助查询表,技能配置辅助表!$L$1,FALSE)</f>
        <v>1</v>
      </c>
      <c r="AK692">
        <f>VLOOKUP(C692,技能辅助查询表,技能配置辅助表!$AE$1,FALSE)</f>
        <v>66000305</v>
      </c>
    </row>
    <row r="693" spans="1:37" x14ac:dyDescent="0.15">
      <c r="A693" s="1">
        <f t="shared" ca="1" si="296"/>
        <v>9222328</v>
      </c>
      <c r="B693" s="1" t="str">
        <f t="shared" ca="1" si="281"/>
        <v>龙拳第3段</v>
      </c>
      <c r="C693" t="s">
        <v>164</v>
      </c>
      <c r="D693">
        <f t="shared" si="282"/>
        <v>2</v>
      </c>
      <c r="E693" s="42">
        <f t="shared" ca="1" si="297"/>
        <v>48</v>
      </c>
      <c r="F693" t="str">
        <f t="shared" ca="1" si="298"/>
        <v>第28级，共造成183.7%点伤害</v>
      </c>
      <c r="G693">
        <f t="shared" ca="1" si="299"/>
        <v>3</v>
      </c>
      <c r="H693">
        <f t="shared" si="283"/>
        <v>3</v>
      </c>
      <c r="I693" s="44">
        <f t="shared" ca="1" si="309"/>
        <v>28</v>
      </c>
      <c r="J693">
        <f t="shared" si="284"/>
        <v>2</v>
      </c>
      <c r="K693" s="36">
        <f t="shared" ca="1" si="285"/>
        <v>183.65217391304347</v>
      </c>
      <c r="L693" s="10">
        <f ca="1">AH693*VLOOKUP(C693,技能辅助查询表,技能配置辅助表!$T$1,FALSE)</f>
        <v>0</v>
      </c>
      <c r="M693">
        <f t="shared" ca="1" si="286"/>
        <v>5760</v>
      </c>
      <c r="N693" s="33">
        <f ca="1">CHOOSE(1,W693*U693,X693*'[1]0、经济设定'!$C$18)</f>
        <v>33971</v>
      </c>
      <c r="O693">
        <f t="shared" si="287"/>
        <v>2</v>
      </c>
      <c r="P693">
        <f t="shared" si="288"/>
        <v>1</v>
      </c>
      <c r="Q693">
        <f t="shared" si="289"/>
        <v>1</v>
      </c>
      <c r="R693" s="2">
        <f t="shared" si="290"/>
        <v>7</v>
      </c>
      <c r="S693" s="2">
        <f t="shared" si="291"/>
        <v>50</v>
      </c>
      <c r="T693" s="2">
        <f t="shared" si="292"/>
        <v>143.47826086956522</v>
      </c>
      <c r="U693" s="2">
        <f ca="1">VLOOKUP(E693,金币生产率!$A$2:$B$120,2,0)</f>
        <v>1477</v>
      </c>
      <c r="V693" s="2">
        <f t="shared" si="293"/>
        <v>143.47826086956522</v>
      </c>
      <c r="W693" s="45">
        <f t="shared" ca="1" si="306"/>
        <v>23</v>
      </c>
      <c r="X693" s="48">
        <f t="shared" ca="1" si="307"/>
        <v>297</v>
      </c>
      <c r="Y693">
        <f t="shared" si="294"/>
        <v>18</v>
      </c>
      <c r="Z693">
        <f t="shared" ca="1" si="301"/>
        <v>10</v>
      </c>
      <c r="AA693" t="str">
        <f t="shared" ca="1" si="302"/>
        <v>9222300.png</v>
      </c>
      <c r="AB693">
        <f t="shared" si="295"/>
        <v>20</v>
      </c>
      <c r="AC693">
        <f>VLOOKUP(C693,技能辅助查询表,技能配置辅助表!$W$1,FALSE)</f>
        <v>28</v>
      </c>
      <c r="AD693">
        <f t="shared" ca="1" si="303"/>
        <v>73.268427728345017</v>
      </c>
      <c r="AE693">
        <f>VLOOKUP(C693,技能辅助查询表,技能配置辅助表!$U$1,FALSE)</f>
        <v>4</v>
      </c>
      <c r="AF693">
        <f t="shared" ca="1" si="304"/>
        <v>9222328</v>
      </c>
      <c r="AG693">
        <f t="shared" ca="1" si="308"/>
        <v>47.224489795918366</v>
      </c>
      <c r="AH693">
        <f t="shared" ca="1" si="305"/>
        <v>437.93498902077317</v>
      </c>
      <c r="AI693">
        <f ca="1">VLOOKUP(E693,伤害参考系!$C$4:$E$104,3,FALSE)*$AN$12</f>
        <v>5499.8953043478286</v>
      </c>
      <c r="AJ693">
        <f>VLOOKUP(C693,技能辅助查询表,技能配置辅助表!$L$1,FALSE)</f>
        <v>1</v>
      </c>
      <c r="AK693">
        <f>VLOOKUP(C693,技能辅助查询表,技能配置辅助表!$AE$1,FALSE)</f>
        <v>66000305</v>
      </c>
    </row>
    <row r="694" spans="1:37" x14ac:dyDescent="0.15">
      <c r="A694" s="1">
        <f t="shared" ca="1" si="296"/>
        <v>9222329</v>
      </c>
      <c r="B694" s="1" t="str">
        <f t="shared" ca="1" si="281"/>
        <v>龙拳第3段</v>
      </c>
      <c r="C694" t="s">
        <v>164</v>
      </c>
      <c r="D694">
        <f t="shared" si="282"/>
        <v>2</v>
      </c>
      <c r="E694" s="42">
        <f t="shared" ca="1" si="297"/>
        <v>49</v>
      </c>
      <c r="F694" t="str">
        <f t="shared" ca="1" si="298"/>
        <v>第29级，共造成185.1%点伤害</v>
      </c>
      <c r="G694">
        <f t="shared" ca="1" si="299"/>
        <v>3</v>
      </c>
      <c r="H694">
        <f t="shared" si="283"/>
        <v>3</v>
      </c>
      <c r="I694" s="44">
        <f t="shared" ca="1" si="309"/>
        <v>29</v>
      </c>
      <c r="J694">
        <f t="shared" si="284"/>
        <v>2</v>
      </c>
      <c r="K694" s="36">
        <f t="shared" ca="1" si="285"/>
        <v>185.08695652173913</v>
      </c>
      <c r="L694" s="10">
        <f ca="1">AH694*VLOOKUP(C694,技能辅助查询表,技能配置辅助表!$T$1,FALSE)</f>
        <v>0</v>
      </c>
      <c r="M694">
        <f t="shared" ca="1" si="286"/>
        <v>5680</v>
      </c>
      <c r="N694" s="33">
        <f ca="1">CHOOSE(1,W694*U694,X694*'[1]0、经济设定'!$C$18)</f>
        <v>38575</v>
      </c>
      <c r="O694">
        <f t="shared" si="287"/>
        <v>2</v>
      </c>
      <c r="P694">
        <f t="shared" si="288"/>
        <v>1</v>
      </c>
      <c r="Q694">
        <f t="shared" si="289"/>
        <v>1</v>
      </c>
      <c r="R694" s="2">
        <f t="shared" si="290"/>
        <v>7</v>
      </c>
      <c r="S694" s="2">
        <f t="shared" si="291"/>
        <v>50</v>
      </c>
      <c r="T694" s="2">
        <f t="shared" si="292"/>
        <v>143.47826086956522</v>
      </c>
      <c r="U694" s="2">
        <f ca="1">VLOOKUP(E694,金币生产率!$A$2:$B$120,2,0)</f>
        <v>1543</v>
      </c>
      <c r="V694" s="2">
        <f t="shared" si="293"/>
        <v>143.47826086956522</v>
      </c>
      <c r="W694" s="45">
        <f t="shared" ca="1" si="306"/>
        <v>25</v>
      </c>
      <c r="X694" s="48">
        <f t="shared" ca="1" si="307"/>
        <v>322</v>
      </c>
      <c r="Y694">
        <f t="shared" si="294"/>
        <v>18</v>
      </c>
      <c r="Z694">
        <f t="shared" ca="1" si="301"/>
        <v>10</v>
      </c>
      <c r="AA694" t="str">
        <f t="shared" ca="1" si="302"/>
        <v>9222300.png</v>
      </c>
      <c r="AB694">
        <f t="shared" si="295"/>
        <v>20</v>
      </c>
      <c r="AC694">
        <f>VLOOKUP(C694,技能辅助查询表,技能配置辅助表!$W$1,FALSE)</f>
        <v>28</v>
      </c>
      <c r="AD694">
        <f t="shared" ca="1" si="303"/>
        <v>84.845853806897054</v>
      </c>
      <c r="AE694">
        <f>VLOOKUP(C694,技能辅助查询表,技能配置辅助表!$U$1,FALSE)</f>
        <v>4</v>
      </c>
      <c r="AF694">
        <f t="shared" ca="1" si="304"/>
        <v>9222329</v>
      </c>
      <c r="AG694">
        <f t="shared" ca="1" si="308"/>
        <v>48.714285714285715</v>
      </c>
      <c r="AH694">
        <f t="shared" ca="1" si="305"/>
        <v>498.5831981498805</v>
      </c>
      <c r="AI694">
        <f ca="1">VLOOKUP(E694,伤害参考系!$C$4:$E$104,3,FALSE)*$AN$12</f>
        <v>5806.7788244147177</v>
      </c>
      <c r="AJ694">
        <f>VLOOKUP(C694,技能辅助查询表,技能配置辅助表!$L$1,FALSE)</f>
        <v>1</v>
      </c>
      <c r="AK694">
        <f>VLOOKUP(C694,技能辅助查询表,技能配置辅助表!$AE$1,FALSE)</f>
        <v>66000305</v>
      </c>
    </row>
    <row r="695" spans="1:37" x14ac:dyDescent="0.15">
      <c r="A695" s="1">
        <f t="shared" ca="1" si="296"/>
        <v>9222330</v>
      </c>
      <c r="B695" s="1" t="str">
        <f t="shared" ca="1" si="281"/>
        <v>龙拳第3段</v>
      </c>
      <c r="C695" t="s">
        <v>164</v>
      </c>
      <c r="D695">
        <f t="shared" si="282"/>
        <v>2</v>
      </c>
      <c r="E695" s="42">
        <f t="shared" ca="1" si="297"/>
        <v>51</v>
      </c>
      <c r="F695" t="str">
        <f t="shared" ca="1" si="298"/>
        <v>第30级，共造成186.5%点伤害</v>
      </c>
      <c r="G695">
        <f t="shared" ca="1" si="299"/>
        <v>3</v>
      </c>
      <c r="H695">
        <f t="shared" si="283"/>
        <v>3</v>
      </c>
      <c r="I695" s="44">
        <f t="shared" ca="1" si="309"/>
        <v>30</v>
      </c>
      <c r="J695">
        <f t="shared" si="284"/>
        <v>2</v>
      </c>
      <c r="K695" s="36">
        <f t="shared" ca="1" si="285"/>
        <v>186.52173913043478</v>
      </c>
      <c r="L695" s="10">
        <f ca="1">AH695*VLOOKUP(C695,技能辅助查询表,技能配置辅助表!$T$1,FALSE)</f>
        <v>0</v>
      </c>
      <c r="M695">
        <f t="shared" ca="1" si="286"/>
        <v>5600</v>
      </c>
      <c r="N695" s="33">
        <f ca="1">CHOOSE(1,W695*U695,X695*'[1]0、经济设定'!$C$18)</f>
        <v>43654</v>
      </c>
      <c r="O695">
        <f t="shared" si="287"/>
        <v>2</v>
      </c>
      <c r="P695">
        <f t="shared" si="288"/>
        <v>1</v>
      </c>
      <c r="Q695">
        <f t="shared" si="289"/>
        <v>1</v>
      </c>
      <c r="R695" s="2">
        <f t="shared" si="290"/>
        <v>7</v>
      </c>
      <c r="S695" s="2">
        <f t="shared" si="291"/>
        <v>50</v>
      </c>
      <c r="T695" s="2">
        <f t="shared" si="292"/>
        <v>143.47826086956522</v>
      </c>
      <c r="U695" s="2">
        <f ca="1">VLOOKUP(E695,金币生产率!$A$2:$B$120,2,0)</f>
        <v>1679</v>
      </c>
      <c r="V695" s="2">
        <f t="shared" si="293"/>
        <v>143.47826086956522</v>
      </c>
      <c r="W695" s="45">
        <f t="shared" ca="1" si="306"/>
        <v>26</v>
      </c>
      <c r="X695" s="48">
        <f t="shared" ca="1" si="307"/>
        <v>348</v>
      </c>
      <c r="Y695">
        <f t="shared" si="294"/>
        <v>18</v>
      </c>
      <c r="Z695">
        <f t="shared" ca="1" si="301"/>
        <v>11</v>
      </c>
      <c r="AA695" t="str">
        <f t="shared" ca="1" si="302"/>
        <v>9222300.png</v>
      </c>
      <c r="AB695">
        <f t="shared" si="295"/>
        <v>20</v>
      </c>
      <c r="AC695">
        <f>VLOOKUP(C695,技能辅助查询表,技能配置辅助表!$W$1,FALSE)</f>
        <v>28</v>
      </c>
      <c r="AD695">
        <f t="shared" ca="1" si="303"/>
        <v>98.224735813368468</v>
      </c>
      <c r="AE695">
        <f>VLOOKUP(C695,技能辅助查询表,技能配置辅助表!$U$1,FALSE)</f>
        <v>4</v>
      </c>
      <c r="AF695">
        <f t="shared" ca="1" si="304"/>
        <v>9222330</v>
      </c>
      <c r="AG695">
        <f t="shared" ca="1" si="308"/>
        <v>50.204081632653065</v>
      </c>
      <c r="AH695">
        <f t="shared" ca="1" si="305"/>
        <v>567.63038284107404</v>
      </c>
      <c r="AI695">
        <f ca="1">VLOOKUP(E695,伤害参考系!$C$4:$E$104,3,FALSE)*$AN$12</f>
        <v>6528.1715392976603</v>
      </c>
      <c r="AJ695">
        <f>VLOOKUP(C695,技能辅助查询表,技能配置辅助表!$L$1,FALSE)</f>
        <v>1</v>
      </c>
      <c r="AK695">
        <f>VLOOKUP(C695,技能辅助查询表,技能配置辅助表!$AE$1,FALSE)</f>
        <v>66000305</v>
      </c>
    </row>
    <row r="696" spans="1:37" x14ac:dyDescent="0.15">
      <c r="A696" s="1">
        <f t="shared" ca="1" si="296"/>
        <v>9222331</v>
      </c>
      <c r="B696" s="1" t="str">
        <f t="shared" ca="1" si="281"/>
        <v>龙拳第3段</v>
      </c>
      <c r="C696" t="s">
        <v>164</v>
      </c>
      <c r="D696">
        <f t="shared" si="282"/>
        <v>2</v>
      </c>
      <c r="E696" s="42">
        <f t="shared" ca="1" si="297"/>
        <v>52</v>
      </c>
      <c r="F696" t="str">
        <f t="shared" ca="1" si="298"/>
        <v>第31级，共造成188%点伤害</v>
      </c>
      <c r="G696">
        <f t="shared" ca="1" si="299"/>
        <v>3</v>
      </c>
      <c r="H696">
        <f t="shared" si="283"/>
        <v>3</v>
      </c>
      <c r="I696" s="44">
        <f t="shared" ca="1" si="309"/>
        <v>31</v>
      </c>
      <c r="J696">
        <f t="shared" si="284"/>
        <v>2</v>
      </c>
      <c r="K696" s="36">
        <f t="shared" ca="1" si="285"/>
        <v>187.95652173913044</v>
      </c>
      <c r="L696" s="10">
        <f ca="1">AH696*VLOOKUP(C696,技能辅助查询表,技能配置辅助表!$T$1,FALSE)</f>
        <v>0</v>
      </c>
      <c r="M696">
        <f t="shared" ca="1" si="286"/>
        <v>5520</v>
      </c>
      <c r="N696" s="33">
        <f ca="1">CHOOSE(1,W696*U696,X696*'[1]0、经济设定'!$C$18)</f>
        <v>48972</v>
      </c>
      <c r="O696">
        <f t="shared" si="287"/>
        <v>2</v>
      </c>
      <c r="P696">
        <f t="shared" si="288"/>
        <v>1</v>
      </c>
      <c r="Q696">
        <f t="shared" si="289"/>
        <v>1</v>
      </c>
      <c r="R696" s="2">
        <f t="shared" si="290"/>
        <v>7</v>
      </c>
      <c r="S696" s="2">
        <f t="shared" si="291"/>
        <v>50</v>
      </c>
      <c r="T696" s="2">
        <f t="shared" si="292"/>
        <v>143.47826086956522</v>
      </c>
      <c r="U696" s="2">
        <f ca="1">VLOOKUP(E696,金币生产率!$A$2:$B$120,2,0)</f>
        <v>1749</v>
      </c>
      <c r="V696" s="2">
        <f t="shared" si="293"/>
        <v>143.47826086956522</v>
      </c>
      <c r="W696" s="45">
        <f t="shared" ca="1" si="306"/>
        <v>28</v>
      </c>
      <c r="X696" s="48">
        <f t="shared" ca="1" si="307"/>
        <v>376</v>
      </c>
      <c r="Y696">
        <f t="shared" si="294"/>
        <v>18</v>
      </c>
      <c r="Z696">
        <f t="shared" ca="1" si="301"/>
        <v>12</v>
      </c>
      <c r="AA696" t="str">
        <f t="shared" ca="1" si="302"/>
        <v>9222300.png</v>
      </c>
      <c r="AB696">
        <f t="shared" si="295"/>
        <v>20</v>
      </c>
      <c r="AC696">
        <f>VLOOKUP(C696,技能辅助查询表,技能配置辅助表!$W$1,FALSE)</f>
        <v>28</v>
      </c>
      <c r="AD696">
        <f t="shared" ca="1" si="303"/>
        <v>113.68199072411728</v>
      </c>
      <c r="AE696">
        <f>VLOOKUP(C696,技能辅助查询表,技能配置辅助表!$U$1,FALSE)</f>
        <v>4</v>
      </c>
      <c r="AF696">
        <f t="shared" ca="1" si="304"/>
        <v>9222331</v>
      </c>
      <c r="AG696">
        <f t="shared" ca="1" si="308"/>
        <v>51.693877551020407</v>
      </c>
      <c r="AH696">
        <f t="shared" ca="1" si="305"/>
        <v>646.23969022607446</v>
      </c>
      <c r="AI696">
        <f ca="1">VLOOKUP(E696,伤害参考系!$C$4:$E$104,3,FALSE)*$AN$12</f>
        <v>6904.487016722409</v>
      </c>
      <c r="AJ696">
        <f>VLOOKUP(C696,技能辅助查询表,技能配置辅助表!$L$1,FALSE)</f>
        <v>1</v>
      </c>
      <c r="AK696">
        <f>VLOOKUP(C696,技能辅助查询表,技能配置辅助表!$AE$1,FALSE)</f>
        <v>66000305</v>
      </c>
    </row>
    <row r="697" spans="1:37" x14ac:dyDescent="0.15">
      <c r="A697" s="1">
        <f t="shared" ca="1" si="296"/>
        <v>9222332</v>
      </c>
      <c r="B697" s="1" t="str">
        <f t="shared" ca="1" si="281"/>
        <v>龙拳第3段</v>
      </c>
      <c r="C697" t="s">
        <v>164</v>
      </c>
      <c r="D697">
        <f t="shared" si="282"/>
        <v>2</v>
      </c>
      <c r="E697" s="42">
        <f t="shared" ca="1" si="297"/>
        <v>54</v>
      </c>
      <c r="F697" t="str">
        <f t="shared" ca="1" si="298"/>
        <v>第32级，共造成189.4%点伤害</v>
      </c>
      <c r="G697">
        <f t="shared" ca="1" si="299"/>
        <v>3</v>
      </c>
      <c r="H697">
        <f t="shared" si="283"/>
        <v>3</v>
      </c>
      <c r="I697" s="44">
        <f t="shared" ca="1" si="309"/>
        <v>32</v>
      </c>
      <c r="J697">
        <f t="shared" si="284"/>
        <v>2</v>
      </c>
      <c r="K697" s="36">
        <f t="shared" ca="1" si="285"/>
        <v>189.39130434782609</v>
      </c>
      <c r="L697" s="10">
        <f ca="1">AH697*VLOOKUP(C697,技能辅助查询表,技能配置辅助表!$T$1,FALSE)</f>
        <v>0</v>
      </c>
      <c r="M697">
        <f t="shared" ca="1" si="286"/>
        <v>5440</v>
      </c>
      <c r="N697" s="33">
        <f ca="1">CHOOSE(1,W697*U697,X697*'[1]0、经济设定'!$C$18)</f>
        <v>56790</v>
      </c>
      <c r="O697">
        <f t="shared" si="287"/>
        <v>2</v>
      </c>
      <c r="P697">
        <f t="shared" si="288"/>
        <v>1</v>
      </c>
      <c r="Q697">
        <f t="shared" si="289"/>
        <v>1</v>
      </c>
      <c r="R697" s="2">
        <f t="shared" si="290"/>
        <v>7</v>
      </c>
      <c r="S697" s="2">
        <f t="shared" si="291"/>
        <v>50</v>
      </c>
      <c r="T697" s="2">
        <f t="shared" si="292"/>
        <v>143.47826086956522</v>
      </c>
      <c r="U697" s="2">
        <f ca="1">VLOOKUP(E697,金币生产率!$A$2:$B$120,2,0)</f>
        <v>1893</v>
      </c>
      <c r="V697" s="2">
        <f t="shared" si="293"/>
        <v>143.47826086956522</v>
      </c>
      <c r="W697" s="45">
        <f t="shared" ca="1" si="306"/>
        <v>30</v>
      </c>
      <c r="X697" s="48">
        <f t="shared" ca="1" si="307"/>
        <v>406</v>
      </c>
      <c r="Y697">
        <f t="shared" si="294"/>
        <v>18</v>
      </c>
      <c r="Z697">
        <f t="shared" ca="1" si="301"/>
        <v>12</v>
      </c>
      <c r="AA697" t="str">
        <f t="shared" ca="1" si="302"/>
        <v>9222300.png</v>
      </c>
      <c r="AB697">
        <f t="shared" si="295"/>
        <v>20</v>
      </c>
      <c r="AC697">
        <f>VLOOKUP(C697,技能辅助查询表,技能配置辅助表!$W$1,FALSE)</f>
        <v>28</v>
      </c>
      <c r="AD697">
        <f t="shared" ca="1" si="303"/>
        <v>131.53668481513523</v>
      </c>
      <c r="AE697">
        <f>VLOOKUP(C697,技能辅助查询表,技能配置辅助表!$U$1,FALSE)</f>
        <v>4</v>
      </c>
      <c r="AF697">
        <f t="shared" ca="1" si="304"/>
        <v>9222332</v>
      </c>
      <c r="AG697">
        <f t="shared" ca="1" si="308"/>
        <v>53.183673469387756</v>
      </c>
      <c r="AH697">
        <f t="shared" ca="1" si="305"/>
        <v>735.73534794457942</v>
      </c>
      <c r="AI697">
        <f ca="1">VLOOKUP(E697,伤害参考系!$C$4:$E$104,3,FALSE)*$AN$12</f>
        <v>7688.356211538463</v>
      </c>
      <c r="AJ697">
        <f>VLOOKUP(C697,技能辅助查询表,技能配置辅助表!$L$1,FALSE)</f>
        <v>1</v>
      </c>
      <c r="AK697">
        <f>VLOOKUP(C697,技能辅助查询表,技能配置辅助表!$AE$1,FALSE)</f>
        <v>66000305</v>
      </c>
    </row>
    <row r="698" spans="1:37" x14ac:dyDescent="0.15">
      <c r="A698" s="1">
        <f t="shared" ca="1" si="296"/>
        <v>9222333</v>
      </c>
      <c r="B698" s="1" t="str">
        <f t="shared" ca="1" si="281"/>
        <v>龙拳第3段</v>
      </c>
      <c r="C698" t="s">
        <v>164</v>
      </c>
      <c r="D698">
        <f t="shared" si="282"/>
        <v>2</v>
      </c>
      <c r="E698" s="42">
        <f t="shared" ca="1" si="297"/>
        <v>55</v>
      </c>
      <c r="F698" t="str">
        <f t="shared" ca="1" si="298"/>
        <v>第33级，共造成190.8%点伤害</v>
      </c>
      <c r="G698">
        <f t="shared" ca="1" si="299"/>
        <v>3</v>
      </c>
      <c r="H698">
        <f t="shared" si="283"/>
        <v>3</v>
      </c>
      <c r="I698" s="44">
        <f t="shared" ca="1" si="309"/>
        <v>33</v>
      </c>
      <c r="J698">
        <f t="shared" si="284"/>
        <v>2</v>
      </c>
      <c r="K698" s="36">
        <f t="shared" ca="1" si="285"/>
        <v>190.82608695652175</v>
      </c>
      <c r="L698" s="10">
        <f ca="1">AH698*VLOOKUP(C698,技能辅助查询表,技能配置辅助表!$T$1,FALSE)</f>
        <v>0</v>
      </c>
      <c r="M698">
        <f t="shared" ca="1" si="286"/>
        <v>5360</v>
      </c>
      <c r="N698" s="33">
        <f ca="1">CHOOSE(1,W698*U698,X698*'[1]0、经济设定'!$C$18)</f>
        <v>62944</v>
      </c>
      <c r="O698">
        <f t="shared" si="287"/>
        <v>2</v>
      </c>
      <c r="P698">
        <f t="shared" si="288"/>
        <v>1</v>
      </c>
      <c r="Q698">
        <f t="shared" si="289"/>
        <v>1</v>
      </c>
      <c r="R698" s="2">
        <f t="shared" si="290"/>
        <v>7</v>
      </c>
      <c r="S698" s="2">
        <f t="shared" si="291"/>
        <v>50</v>
      </c>
      <c r="T698" s="2">
        <f t="shared" si="292"/>
        <v>143.47826086956522</v>
      </c>
      <c r="U698" s="2">
        <f ca="1">VLOOKUP(E698,金币生产率!$A$2:$B$120,2,0)</f>
        <v>1967</v>
      </c>
      <c r="V698" s="2">
        <f t="shared" si="293"/>
        <v>143.47826086956522</v>
      </c>
      <c r="W698" s="45">
        <f t="shared" ca="1" si="306"/>
        <v>32</v>
      </c>
      <c r="X698" s="48">
        <f t="shared" ca="1" si="307"/>
        <v>438</v>
      </c>
      <c r="Y698">
        <f t="shared" si="294"/>
        <v>18</v>
      </c>
      <c r="Z698">
        <f t="shared" ca="1" si="301"/>
        <v>13</v>
      </c>
      <c r="AA698" t="str">
        <f t="shared" ca="1" si="302"/>
        <v>9222300.png</v>
      </c>
      <c r="AB698">
        <f t="shared" si="295"/>
        <v>20</v>
      </c>
      <c r="AC698">
        <f>VLOOKUP(C698,技能辅助查询表,技能配置辅助表!$W$1,FALSE)</f>
        <v>28</v>
      </c>
      <c r="AD698">
        <f t="shared" ca="1" si="303"/>
        <v>152.15639702700037</v>
      </c>
      <c r="AE698">
        <f>VLOOKUP(C698,技能辅助查询表,技能配置辅助表!$U$1,FALSE)</f>
        <v>4</v>
      </c>
      <c r="AF698">
        <f t="shared" ca="1" si="304"/>
        <v>9222333</v>
      </c>
      <c r="AG698">
        <f t="shared" ca="1" si="308"/>
        <v>54.673469387755105</v>
      </c>
      <c r="AH698">
        <f t="shared" ca="1" si="305"/>
        <v>837.62497166611001</v>
      </c>
      <c r="AI698">
        <f ca="1">VLOOKUP(E698,伤害参考系!$C$4:$E$104,3,FALSE)*$AN$12</f>
        <v>8095.9099289297656</v>
      </c>
      <c r="AJ698">
        <f>VLOOKUP(C698,技能辅助查询表,技能配置辅助表!$L$1,FALSE)</f>
        <v>1</v>
      </c>
      <c r="AK698">
        <f>VLOOKUP(C698,技能辅助查询表,技能配置辅助表!$AE$1,FALSE)</f>
        <v>66000305</v>
      </c>
    </row>
    <row r="699" spans="1:37" x14ac:dyDescent="0.15">
      <c r="A699" s="1">
        <f t="shared" ca="1" si="296"/>
        <v>9222334</v>
      </c>
      <c r="B699" s="1" t="str">
        <f t="shared" ca="1" si="281"/>
        <v>龙拳第3段</v>
      </c>
      <c r="C699" t="s">
        <v>164</v>
      </c>
      <c r="D699">
        <f t="shared" si="282"/>
        <v>2</v>
      </c>
      <c r="E699" s="42">
        <f t="shared" ca="1" si="297"/>
        <v>57</v>
      </c>
      <c r="F699" t="str">
        <f t="shared" ca="1" si="298"/>
        <v>第34级，共造成192.3%点伤害</v>
      </c>
      <c r="G699">
        <f t="shared" ca="1" si="299"/>
        <v>3</v>
      </c>
      <c r="H699">
        <f t="shared" si="283"/>
        <v>3</v>
      </c>
      <c r="I699" s="44">
        <f t="shared" ca="1" si="309"/>
        <v>34</v>
      </c>
      <c r="J699">
        <f t="shared" si="284"/>
        <v>2</v>
      </c>
      <c r="K699" s="36">
        <f t="shared" ca="1" si="285"/>
        <v>192.26086956521738</v>
      </c>
      <c r="L699" s="10">
        <f ca="1">AH699*VLOOKUP(C699,技能辅助查询表,技能配置辅助表!$T$1,FALSE)</f>
        <v>0</v>
      </c>
      <c r="M699">
        <f t="shared" ca="1" si="286"/>
        <v>5280</v>
      </c>
      <c r="N699" s="33">
        <f ca="1">CHOOSE(1,W699*U699,X699*'[1]0、经济设定'!$C$18)</f>
        <v>72046</v>
      </c>
      <c r="O699">
        <f t="shared" si="287"/>
        <v>2</v>
      </c>
      <c r="P699">
        <f t="shared" si="288"/>
        <v>1</v>
      </c>
      <c r="Q699">
        <f t="shared" si="289"/>
        <v>1</v>
      </c>
      <c r="R699" s="2">
        <f t="shared" si="290"/>
        <v>7</v>
      </c>
      <c r="S699" s="2">
        <f t="shared" si="291"/>
        <v>50</v>
      </c>
      <c r="T699" s="2">
        <f t="shared" si="292"/>
        <v>143.47826086956522</v>
      </c>
      <c r="U699" s="2">
        <f ca="1">VLOOKUP(E699,金币生产率!$A$2:$B$120,2,0)</f>
        <v>2119</v>
      </c>
      <c r="V699" s="2">
        <f t="shared" si="293"/>
        <v>143.47826086956522</v>
      </c>
      <c r="W699" s="45">
        <f t="shared" ca="1" si="306"/>
        <v>34</v>
      </c>
      <c r="X699" s="48">
        <f t="shared" ca="1" si="307"/>
        <v>472</v>
      </c>
      <c r="Y699">
        <f t="shared" si="294"/>
        <v>18</v>
      </c>
      <c r="Z699">
        <f t="shared" ca="1" si="301"/>
        <v>14</v>
      </c>
      <c r="AA699" t="str">
        <f t="shared" ca="1" si="302"/>
        <v>9222300.png</v>
      </c>
      <c r="AB699">
        <f t="shared" si="295"/>
        <v>20</v>
      </c>
      <c r="AC699">
        <f>VLOOKUP(C699,技能辅助查询表,技能配置辅助表!$W$1,FALSE)</f>
        <v>28</v>
      </c>
      <c r="AD699">
        <f t="shared" ca="1" si="303"/>
        <v>175.9645364496177</v>
      </c>
      <c r="AE699">
        <f>VLOOKUP(C699,技能辅助查询表,技能配置辅助表!$U$1,FALSE)</f>
        <v>4</v>
      </c>
      <c r="AF699">
        <f t="shared" ca="1" si="304"/>
        <v>9222334</v>
      </c>
      <c r="AG699">
        <f t="shared" ca="1" si="308"/>
        <v>56.163265306122447</v>
      </c>
      <c r="AH699">
        <f t="shared" ca="1" si="305"/>
        <v>953.62496190886134</v>
      </c>
      <c r="AI699">
        <f ca="1">VLOOKUP(E699,伤害参考系!$C$4:$E$104,3,FALSE)*$AN$12</f>
        <v>8942.2556036789319</v>
      </c>
      <c r="AJ699">
        <f>VLOOKUP(C699,技能辅助查询表,技能配置辅助表!$L$1,FALSE)</f>
        <v>1</v>
      </c>
      <c r="AK699">
        <f>VLOOKUP(C699,技能辅助查询表,技能配置辅助表!$AE$1,FALSE)</f>
        <v>66000305</v>
      </c>
    </row>
    <row r="700" spans="1:37" x14ac:dyDescent="0.15">
      <c r="A700" s="1">
        <f t="shared" ca="1" si="296"/>
        <v>9222335</v>
      </c>
      <c r="B700" s="1" t="str">
        <f t="shared" ca="1" si="281"/>
        <v>龙拳第3段</v>
      </c>
      <c r="C700" t="s">
        <v>164</v>
      </c>
      <c r="D700">
        <f t="shared" si="282"/>
        <v>2</v>
      </c>
      <c r="E700" s="42">
        <f t="shared" ca="1" si="297"/>
        <v>58</v>
      </c>
      <c r="F700" t="str">
        <f t="shared" ca="1" si="298"/>
        <v>第35级，共造成193.7%点伤害</v>
      </c>
      <c r="G700">
        <f t="shared" ca="1" si="299"/>
        <v>3</v>
      </c>
      <c r="H700">
        <f t="shared" si="283"/>
        <v>3</v>
      </c>
      <c r="I700" s="44">
        <f t="shared" ca="1" si="309"/>
        <v>35</v>
      </c>
      <c r="J700">
        <f t="shared" si="284"/>
        <v>2</v>
      </c>
      <c r="K700" s="36">
        <f t="shared" ca="1" si="285"/>
        <v>193.69565217391303</v>
      </c>
      <c r="L700" s="10">
        <f ca="1">AH700*VLOOKUP(C700,技能辅助查询表,技能配置辅助表!$T$1,FALSE)</f>
        <v>0</v>
      </c>
      <c r="M700">
        <f t="shared" ca="1" si="286"/>
        <v>5200</v>
      </c>
      <c r="N700" s="33">
        <f ca="1">CHOOSE(1,W700*U700,X700*'[1]0、经济设定'!$C$18)</f>
        <v>79128</v>
      </c>
      <c r="O700">
        <f t="shared" si="287"/>
        <v>2</v>
      </c>
      <c r="P700">
        <f t="shared" si="288"/>
        <v>1</v>
      </c>
      <c r="Q700">
        <f t="shared" si="289"/>
        <v>1</v>
      </c>
      <c r="R700" s="2">
        <f t="shared" si="290"/>
        <v>7</v>
      </c>
      <c r="S700" s="2">
        <f t="shared" si="291"/>
        <v>50</v>
      </c>
      <c r="T700" s="2">
        <f t="shared" si="292"/>
        <v>143.47826086956522</v>
      </c>
      <c r="U700" s="2">
        <f ca="1">VLOOKUP(E700,金币生产率!$A$2:$B$120,2,0)</f>
        <v>2198</v>
      </c>
      <c r="V700" s="2">
        <f t="shared" si="293"/>
        <v>143.47826086956522</v>
      </c>
      <c r="W700" s="45">
        <f t="shared" ca="1" si="306"/>
        <v>36</v>
      </c>
      <c r="X700" s="48">
        <f t="shared" ca="1" si="307"/>
        <v>508</v>
      </c>
      <c r="Y700">
        <f t="shared" si="294"/>
        <v>18</v>
      </c>
      <c r="Z700">
        <f t="shared" ca="1" si="301"/>
        <v>15</v>
      </c>
      <c r="AA700" t="str">
        <f t="shared" ca="1" si="302"/>
        <v>9222300.png</v>
      </c>
      <c r="AB700">
        <f t="shared" si="295"/>
        <v>20</v>
      </c>
      <c r="AC700">
        <f>VLOOKUP(C700,技能辅助查询表,技能配置辅助表!$W$1,FALSE)</f>
        <v>28</v>
      </c>
      <c r="AD700">
        <f t="shared" ca="1" si="303"/>
        <v>203.44875615234804</v>
      </c>
      <c r="AE700">
        <f>VLOOKUP(C700,技能辅助查询表,技能配置辅助表!$U$1,FALSE)</f>
        <v>4</v>
      </c>
      <c r="AF700">
        <f t="shared" ca="1" si="304"/>
        <v>9222335</v>
      </c>
      <c r="AG700">
        <f t="shared" ca="1" si="308"/>
        <v>57.653061224489797</v>
      </c>
      <c r="AH700">
        <f t="shared" ca="1" si="305"/>
        <v>1085.689417982368</v>
      </c>
      <c r="AI700">
        <f ca="1">VLOOKUP(E700,伤害参考系!$C$4:$E$104,3,FALSE)*$AN$12</f>
        <v>9381.0475610367921</v>
      </c>
      <c r="AJ700">
        <f>VLOOKUP(C700,技能辅助查询表,技能配置辅助表!$L$1,FALSE)</f>
        <v>1</v>
      </c>
      <c r="AK700">
        <f>VLOOKUP(C700,技能辅助查询表,技能配置辅助表!$AE$1,FALSE)</f>
        <v>66000305</v>
      </c>
    </row>
    <row r="701" spans="1:37" x14ac:dyDescent="0.15">
      <c r="A701" s="1">
        <f t="shared" ca="1" si="296"/>
        <v>9222336</v>
      </c>
      <c r="B701" s="1" t="str">
        <f t="shared" ca="1" si="281"/>
        <v>龙拳第3段</v>
      </c>
      <c r="C701" t="s">
        <v>164</v>
      </c>
      <c r="D701">
        <f t="shared" si="282"/>
        <v>2</v>
      </c>
      <c r="E701" s="42">
        <f t="shared" ca="1" si="297"/>
        <v>60</v>
      </c>
      <c r="F701" t="str">
        <f t="shared" ca="1" si="298"/>
        <v>第36级，共造成195.1%点伤害</v>
      </c>
      <c r="G701">
        <f t="shared" ca="1" si="299"/>
        <v>3</v>
      </c>
      <c r="H701">
        <f t="shared" si="283"/>
        <v>3</v>
      </c>
      <c r="I701" s="44">
        <f t="shared" ca="1" si="309"/>
        <v>36</v>
      </c>
      <c r="J701">
        <f t="shared" si="284"/>
        <v>2</v>
      </c>
      <c r="K701" s="36">
        <f t="shared" ca="1" si="285"/>
        <v>195.13043478260869</v>
      </c>
      <c r="L701" s="10">
        <f ca="1">AH701*VLOOKUP(C701,技能辅助查询表,技能配置辅助表!$T$1,FALSE)</f>
        <v>0</v>
      </c>
      <c r="M701">
        <f t="shared" ca="1" si="286"/>
        <v>5120</v>
      </c>
      <c r="N701" s="33">
        <f ca="1">CHOOSE(1,W701*U701,X701*'[1]0、经济设定'!$C$18)</f>
        <v>91962</v>
      </c>
      <c r="O701">
        <f t="shared" si="287"/>
        <v>2</v>
      </c>
      <c r="P701">
        <f t="shared" si="288"/>
        <v>1</v>
      </c>
      <c r="Q701">
        <f t="shared" si="289"/>
        <v>1</v>
      </c>
      <c r="R701" s="2">
        <f t="shared" si="290"/>
        <v>7</v>
      </c>
      <c r="S701" s="2">
        <f t="shared" si="291"/>
        <v>50</v>
      </c>
      <c r="T701" s="2">
        <f t="shared" si="292"/>
        <v>143.47826086956522</v>
      </c>
      <c r="U701" s="2">
        <f ca="1">VLOOKUP(E701,金币生产率!$A$2:$B$120,2,0)</f>
        <v>2358</v>
      </c>
      <c r="V701" s="2">
        <f t="shared" si="293"/>
        <v>143.47826086956522</v>
      </c>
      <c r="W701" s="45">
        <f t="shared" ca="1" si="306"/>
        <v>39</v>
      </c>
      <c r="X701" s="48">
        <f t="shared" ca="1" si="307"/>
        <v>547</v>
      </c>
      <c r="Y701">
        <f t="shared" si="294"/>
        <v>18</v>
      </c>
      <c r="Z701">
        <f t="shared" ca="1" si="301"/>
        <v>16</v>
      </c>
      <c r="AA701" t="str">
        <f t="shared" ca="1" si="302"/>
        <v>9222300.png</v>
      </c>
      <c r="AB701">
        <f t="shared" si="295"/>
        <v>20</v>
      </c>
      <c r="AC701">
        <f>VLOOKUP(C701,技能辅助查询表,技能配置辅助表!$W$1,FALSE)</f>
        <v>28</v>
      </c>
      <c r="AD701">
        <f t="shared" ca="1" si="303"/>
        <v>235.17062667918475</v>
      </c>
      <c r="AE701">
        <f>VLOOKUP(C701,技能辅助查询表,技能配置辅助表!$U$1,FALSE)</f>
        <v>4</v>
      </c>
      <c r="AF701">
        <f t="shared" ca="1" si="304"/>
        <v>9222336</v>
      </c>
      <c r="AG701">
        <f t="shared" ca="1" si="308"/>
        <v>59.142857142857146</v>
      </c>
      <c r="AH701">
        <f t="shared" ca="1" si="305"/>
        <v>1236.0430561291703</v>
      </c>
      <c r="AI701">
        <f ca="1">VLOOKUP(E701,伤害参考系!$C$4:$E$104,3,FALSE)*$AN$12</f>
        <v>10340.558729096994</v>
      </c>
      <c r="AJ701">
        <f>VLOOKUP(C701,技能辅助查询表,技能配置辅助表!$L$1,FALSE)</f>
        <v>1</v>
      </c>
      <c r="AK701">
        <f>VLOOKUP(C701,技能辅助查询表,技能配置辅助表!$AE$1,FALSE)</f>
        <v>66000305</v>
      </c>
    </row>
    <row r="702" spans="1:37" x14ac:dyDescent="0.15">
      <c r="A702" s="1">
        <f t="shared" ca="1" si="296"/>
        <v>9222337</v>
      </c>
      <c r="B702" s="1" t="str">
        <f t="shared" ca="1" si="281"/>
        <v>龙拳第3段</v>
      </c>
      <c r="C702" t="s">
        <v>164</v>
      </c>
      <c r="D702">
        <f t="shared" si="282"/>
        <v>2</v>
      </c>
      <c r="E702" s="42">
        <f t="shared" ca="1" si="297"/>
        <v>61</v>
      </c>
      <c r="F702" t="str">
        <f t="shared" ca="1" si="298"/>
        <v>第37级，共造成196.6%点伤害</v>
      </c>
      <c r="G702">
        <f t="shared" ca="1" si="299"/>
        <v>3</v>
      </c>
      <c r="H702">
        <f t="shared" si="283"/>
        <v>3</v>
      </c>
      <c r="I702" s="44">
        <f t="shared" ca="1" si="309"/>
        <v>37</v>
      </c>
      <c r="J702">
        <f t="shared" si="284"/>
        <v>2</v>
      </c>
      <c r="K702" s="36">
        <f t="shared" ca="1" si="285"/>
        <v>196.56521739130434</v>
      </c>
      <c r="L702" s="10">
        <f ca="1">AH702*VLOOKUP(C702,技能辅助查询表,技能配置辅助表!$T$1,FALSE)</f>
        <v>0</v>
      </c>
      <c r="M702">
        <f t="shared" ca="1" si="286"/>
        <v>5040</v>
      </c>
      <c r="N702" s="33">
        <f ca="1">CHOOSE(1,W702*U702,X702*'[1]0、经济设定'!$C$18)</f>
        <v>102480</v>
      </c>
      <c r="O702">
        <f t="shared" si="287"/>
        <v>2</v>
      </c>
      <c r="P702">
        <f t="shared" si="288"/>
        <v>1</v>
      </c>
      <c r="Q702">
        <f t="shared" si="289"/>
        <v>1</v>
      </c>
      <c r="R702" s="2">
        <f t="shared" si="290"/>
        <v>7</v>
      </c>
      <c r="S702" s="2">
        <f t="shared" si="291"/>
        <v>50</v>
      </c>
      <c r="T702" s="2">
        <f t="shared" si="292"/>
        <v>143.47826086956522</v>
      </c>
      <c r="U702" s="2">
        <f ca="1">VLOOKUP(E702,金币生产率!$A$2:$B$120,2,0)</f>
        <v>2440</v>
      </c>
      <c r="V702" s="2">
        <f t="shared" si="293"/>
        <v>143.47826086956522</v>
      </c>
      <c r="W702" s="45">
        <f t="shared" ca="1" si="306"/>
        <v>42</v>
      </c>
      <c r="X702" s="48">
        <f t="shared" ca="1" si="307"/>
        <v>589</v>
      </c>
      <c r="Y702">
        <f t="shared" si="294"/>
        <v>18</v>
      </c>
      <c r="Z702">
        <f t="shared" ca="1" si="301"/>
        <v>17</v>
      </c>
      <c r="AA702" t="str">
        <f t="shared" ca="1" si="302"/>
        <v>9222300.png</v>
      </c>
      <c r="AB702">
        <f t="shared" si="295"/>
        <v>20</v>
      </c>
      <c r="AC702">
        <f>VLOOKUP(C702,技能辅助查询表,技能配置辅助表!$W$1,FALSE)</f>
        <v>28</v>
      </c>
      <c r="AD702">
        <f t="shared" ca="1" si="303"/>
        <v>271.77675673750724</v>
      </c>
      <c r="AE702">
        <f>VLOOKUP(C702,技能辅助查询表,技能配置辅助表!$U$1,FALSE)</f>
        <v>4</v>
      </c>
      <c r="AF702">
        <f t="shared" ca="1" si="304"/>
        <v>9222337</v>
      </c>
      <c r="AG702">
        <f t="shared" ca="1" si="308"/>
        <v>60.632653061224488</v>
      </c>
      <c r="AH702">
        <f t="shared" ca="1" si="305"/>
        <v>1407.2186863941167</v>
      </c>
      <c r="AI702">
        <f ca="1">VLOOKUP(E702,伤害参考系!$C$4:$E$104,3,FALSE)*$AN$12</f>
        <v>10863.360489130437</v>
      </c>
      <c r="AJ702">
        <f>VLOOKUP(C702,技能辅助查询表,技能配置辅助表!$L$1,FALSE)</f>
        <v>1</v>
      </c>
      <c r="AK702">
        <f>VLOOKUP(C702,技能辅助查询表,技能配置辅助表!$AE$1,FALSE)</f>
        <v>66000305</v>
      </c>
    </row>
    <row r="703" spans="1:37" x14ac:dyDescent="0.15">
      <c r="A703" s="1">
        <f t="shared" ca="1" si="296"/>
        <v>9222338</v>
      </c>
      <c r="B703" s="1" t="str">
        <f t="shared" ca="1" si="281"/>
        <v>龙拳第3段</v>
      </c>
      <c r="C703" t="s">
        <v>164</v>
      </c>
      <c r="D703">
        <f t="shared" si="282"/>
        <v>2</v>
      </c>
      <c r="E703" s="42">
        <f t="shared" ca="1" si="297"/>
        <v>62</v>
      </c>
      <c r="F703" t="str">
        <f t="shared" ca="1" si="298"/>
        <v>第38级，共造成198%点伤害</v>
      </c>
      <c r="G703">
        <f t="shared" ca="1" si="299"/>
        <v>3</v>
      </c>
      <c r="H703">
        <f t="shared" si="283"/>
        <v>3</v>
      </c>
      <c r="I703" s="44">
        <f t="shared" ca="1" si="309"/>
        <v>38</v>
      </c>
      <c r="J703">
        <f t="shared" si="284"/>
        <v>2</v>
      </c>
      <c r="K703" s="36">
        <f t="shared" ca="1" si="285"/>
        <v>198</v>
      </c>
      <c r="L703" s="10">
        <f ca="1">AH703*VLOOKUP(C703,技能辅助查询表,技能配置辅助表!$T$1,FALSE)</f>
        <v>0</v>
      </c>
      <c r="M703">
        <f t="shared" ca="1" si="286"/>
        <v>4960</v>
      </c>
      <c r="N703" s="33">
        <f ca="1">CHOOSE(1,W703*U703,X703*'[1]0、经济设定'!$C$18)</f>
        <v>113580</v>
      </c>
      <c r="O703">
        <f t="shared" si="287"/>
        <v>2</v>
      </c>
      <c r="P703">
        <f t="shared" si="288"/>
        <v>1</v>
      </c>
      <c r="Q703">
        <f t="shared" si="289"/>
        <v>1</v>
      </c>
      <c r="R703" s="2">
        <f t="shared" si="290"/>
        <v>7</v>
      </c>
      <c r="S703" s="2">
        <f t="shared" si="291"/>
        <v>50</v>
      </c>
      <c r="T703" s="2">
        <f t="shared" si="292"/>
        <v>143.47826086956522</v>
      </c>
      <c r="U703" s="2">
        <f ca="1">VLOOKUP(E703,金币生产率!$A$2:$B$120,2,0)</f>
        <v>2524</v>
      </c>
      <c r="V703" s="2">
        <f t="shared" si="293"/>
        <v>143.47826086956522</v>
      </c>
      <c r="W703" s="45">
        <f t="shared" ca="1" si="306"/>
        <v>45</v>
      </c>
      <c r="X703" s="48">
        <f t="shared" ca="1" si="307"/>
        <v>634</v>
      </c>
      <c r="Y703">
        <f t="shared" si="294"/>
        <v>18</v>
      </c>
      <c r="Z703">
        <f t="shared" ca="1" si="301"/>
        <v>18</v>
      </c>
      <c r="AA703" t="str">
        <f t="shared" ca="1" si="302"/>
        <v>9222300.png</v>
      </c>
      <c r="AB703">
        <f t="shared" si="295"/>
        <v>20</v>
      </c>
      <c r="AC703">
        <f>VLOOKUP(C703,技能辅助查询表,技能配置辅助表!$W$1,FALSE)</f>
        <v>28</v>
      </c>
      <c r="AD703">
        <f t="shared" ca="1" si="303"/>
        <v>314.01157639078895</v>
      </c>
      <c r="AE703">
        <f>VLOOKUP(C703,技能辅助查询表,技能配置辅助表!$U$1,FALSE)</f>
        <v>4</v>
      </c>
      <c r="AF703">
        <f t="shared" ca="1" si="304"/>
        <v>9222338</v>
      </c>
      <c r="AG703">
        <f t="shared" ca="1" si="308"/>
        <v>62.122448979591837</v>
      </c>
      <c r="AH703">
        <f t="shared" ca="1" si="305"/>
        <v>1602.0998795448415</v>
      </c>
      <c r="AI703">
        <f ca="1">VLOOKUP(E703,伤害参考系!$C$4:$E$104,3,FALSE)*$AN$12</f>
        <v>11398.657545150505</v>
      </c>
      <c r="AJ703">
        <f>VLOOKUP(C703,技能辅助查询表,技能配置辅助表!$L$1,FALSE)</f>
        <v>1</v>
      </c>
      <c r="AK703">
        <f>VLOOKUP(C703,技能辅助查询表,技能配置辅助表!$AE$1,FALSE)</f>
        <v>66000305</v>
      </c>
    </row>
    <row r="704" spans="1:37" x14ac:dyDescent="0.15">
      <c r="A704" s="1">
        <f t="shared" ca="1" si="296"/>
        <v>9222339</v>
      </c>
      <c r="B704" s="1" t="str">
        <f t="shared" ca="1" si="281"/>
        <v>龙拳第3段</v>
      </c>
      <c r="C704" t="s">
        <v>164</v>
      </c>
      <c r="D704">
        <f t="shared" si="282"/>
        <v>2</v>
      </c>
      <c r="E704" s="42">
        <f t="shared" ca="1" si="297"/>
        <v>64</v>
      </c>
      <c r="F704" t="str">
        <f t="shared" ca="1" si="298"/>
        <v>第39级，共造成199.4%点伤害</v>
      </c>
      <c r="G704">
        <f t="shared" ca="1" si="299"/>
        <v>3</v>
      </c>
      <c r="H704">
        <f t="shared" si="283"/>
        <v>3</v>
      </c>
      <c r="I704" s="44">
        <f t="shared" ca="1" si="309"/>
        <v>39</v>
      </c>
      <c r="J704">
        <f t="shared" si="284"/>
        <v>2</v>
      </c>
      <c r="K704" s="36">
        <f t="shared" ca="1" si="285"/>
        <v>199.43478260869566</v>
      </c>
      <c r="L704" s="10">
        <f ca="1">AH704*VLOOKUP(C704,技能辅助查询表,技能配置辅助表!$T$1,FALSE)</f>
        <v>0</v>
      </c>
      <c r="M704">
        <f t="shared" ca="1" si="286"/>
        <v>4880</v>
      </c>
      <c r="N704" s="33">
        <f ca="1">CHOOSE(1,W704*U704,X704*'[1]0、经济设定'!$C$18)</f>
        <v>129360</v>
      </c>
      <c r="O704">
        <f t="shared" si="287"/>
        <v>2</v>
      </c>
      <c r="P704">
        <f t="shared" si="288"/>
        <v>1</v>
      </c>
      <c r="Q704">
        <f t="shared" si="289"/>
        <v>1</v>
      </c>
      <c r="R704" s="2">
        <f t="shared" si="290"/>
        <v>7</v>
      </c>
      <c r="S704" s="2">
        <f t="shared" si="291"/>
        <v>50</v>
      </c>
      <c r="T704" s="2">
        <f t="shared" si="292"/>
        <v>143.47826086956522</v>
      </c>
      <c r="U704" s="2">
        <f ca="1">VLOOKUP(E704,金币生产率!$A$2:$B$120,2,0)</f>
        <v>2695</v>
      </c>
      <c r="V704" s="2">
        <f t="shared" si="293"/>
        <v>143.47826086956522</v>
      </c>
      <c r="W704" s="45">
        <f t="shared" ca="1" si="306"/>
        <v>48</v>
      </c>
      <c r="X704" s="48">
        <f t="shared" ca="1" si="307"/>
        <v>682</v>
      </c>
      <c r="Y704">
        <f t="shared" si="294"/>
        <v>18</v>
      </c>
      <c r="Z704">
        <f t="shared" ca="1" si="301"/>
        <v>20</v>
      </c>
      <c r="AA704" t="str">
        <f t="shared" ca="1" si="302"/>
        <v>9222300.png</v>
      </c>
      <c r="AB704">
        <f t="shared" si="295"/>
        <v>20</v>
      </c>
      <c r="AC704">
        <f>VLOOKUP(C704,技能辅助查询表,技能配置辅助表!$W$1,FALSE)</f>
        <v>28</v>
      </c>
      <c r="AD704">
        <f t="shared" ca="1" si="303"/>
        <v>362.73202994579259</v>
      </c>
      <c r="AE704">
        <f>VLOOKUP(C704,技能辅助查询表,技能配置辅助表!$U$1,FALSE)</f>
        <v>4</v>
      </c>
      <c r="AF704">
        <f t="shared" ca="1" si="304"/>
        <v>9222339</v>
      </c>
      <c r="AG704">
        <f t="shared" ca="1" si="308"/>
        <v>63.612244897959187</v>
      </c>
      <c r="AH704">
        <f t="shared" ca="1" si="305"/>
        <v>1823.9695427969455</v>
      </c>
      <c r="AI704">
        <f ca="1">VLOOKUP(E704,伤害参考系!$C$4:$E$104,3,FALSE)*$AN$12</f>
        <v>12506.737545150507</v>
      </c>
      <c r="AJ704">
        <f>VLOOKUP(C704,技能辅助查询表,技能配置辅助表!$L$1,FALSE)</f>
        <v>1</v>
      </c>
      <c r="AK704">
        <f>VLOOKUP(C704,技能辅助查询表,技能配置辅助表!$AE$1,FALSE)</f>
        <v>66000305</v>
      </c>
    </row>
    <row r="705" spans="1:37" x14ac:dyDescent="0.15">
      <c r="A705" s="1">
        <f t="shared" ca="1" si="296"/>
        <v>9222340</v>
      </c>
      <c r="B705" s="1" t="str">
        <f t="shared" ca="1" si="281"/>
        <v>龙拳第3段</v>
      </c>
      <c r="C705" t="s">
        <v>164</v>
      </c>
      <c r="D705">
        <f t="shared" si="282"/>
        <v>2</v>
      </c>
      <c r="E705" s="42">
        <f t="shared" ca="1" si="297"/>
        <v>65</v>
      </c>
      <c r="F705" t="str">
        <f t="shared" ca="1" si="298"/>
        <v>第40级，共造成200.9%点伤害</v>
      </c>
      <c r="G705">
        <f t="shared" ca="1" si="299"/>
        <v>3</v>
      </c>
      <c r="H705">
        <f t="shared" si="283"/>
        <v>3</v>
      </c>
      <c r="I705" s="44">
        <f t="shared" ca="1" si="309"/>
        <v>40</v>
      </c>
      <c r="J705">
        <f t="shared" si="284"/>
        <v>2</v>
      </c>
      <c r="K705" s="36">
        <f t="shared" ca="1" si="285"/>
        <v>200.86956521739131</v>
      </c>
      <c r="L705" s="10">
        <f ca="1">AH705*VLOOKUP(C705,技能辅助查询表,技能配置辅助表!$T$1,FALSE)</f>
        <v>0</v>
      </c>
      <c r="M705">
        <f t="shared" ca="1" si="286"/>
        <v>4800</v>
      </c>
      <c r="N705" s="33">
        <f ca="1">CHOOSE(1,W705*U705,X705*'[1]0、经济设定'!$C$18)</f>
        <v>141933</v>
      </c>
      <c r="O705">
        <f t="shared" si="287"/>
        <v>2</v>
      </c>
      <c r="P705">
        <f t="shared" si="288"/>
        <v>1</v>
      </c>
      <c r="Q705">
        <f t="shared" si="289"/>
        <v>1</v>
      </c>
      <c r="R705" s="2">
        <f t="shared" si="290"/>
        <v>7</v>
      </c>
      <c r="S705" s="2">
        <f t="shared" si="291"/>
        <v>50</v>
      </c>
      <c r="T705" s="2">
        <f t="shared" si="292"/>
        <v>143.47826086956522</v>
      </c>
      <c r="U705" s="2">
        <f ca="1">VLOOKUP(E705,金币生产率!$A$2:$B$120,2,0)</f>
        <v>2783</v>
      </c>
      <c r="V705" s="2">
        <f t="shared" si="293"/>
        <v>143.47826086956522</v>
      </c>
      <c r="W705" s="45">
        <f t="shared" ca="1" si="306"/>
        <v>51</v>
      </c>
      <c r="X705" s="48">
        <f t="shared" ca="1" si="307"/>
        <v>733</v>
      </c>
      <c r="Y705">
        <f t="shared" si="294"/>
        <v>18</v>
      </c>
      <c r="Z705">
        <f t="shared" ca="1" si="301"/>
        <v>21</v>
      </c>
      <c r="AA705" t="str">
        <f t="shared" ca="1" si="302"/>
        <v>9222300.png</v>
      </c>
      <c r="AB705">
        <f t="shared" si="295"/>
        <v>20</v>
      </c>
      <c r="AC705">
        <f>VLOOKUP(C705,技能辅助查询表,技能配置辅助表!$W$1,FALSE)</f>
        <v>28</v>
      </c>
      <c r="AD705">
        <f t="shared" ca="1" si="303"/>
        <v>418.92446230554117</v>
      </c>
      <c r="AE705">
        <f>VLOOKUP(C705,技能辅助查询表,技能配置辅助表!$U$1,FALSE)</f>
        <v>4</v>
      </c>
      <c r="AF705">
        <f t="shared" ca="1" si="304"/>
        <v>9222340</v>
      </c>
      <c r="AG705">
        <f t="shared" ca="1" si="308"/>
        <v>65.102040816326536</v>
      </c>
      <c r="AH705">
        <f t="shared" ca="1" si="305"/>
        <v>2076.5652226352254</v>
      </c>
      <c r="AI705">
        <f ca="1">VLOOKUP(E705,伤害参考系!$C$4:$E$104,3,FALSE)*$AN$12</f>
        <v>13079.520489130437</v>
      </c>
      <c r="AJ705">
        <f>VLOOKUP(C705,技能辅助查询表,技能配置辅助表!$L$1,FALSE)</f>
        <v>1</v>
      </c>
      <c r="AK705">
        <f>VLOOKUP(C705,技能辅助查询表,技能配置辅助表!$AE$1,FALSE)</f>
        <v>66000305</v>
      </c>
    </row>
    <row r="706" spans="1:37" x14ac:dyDescent="0.15">
      <c r="A706" s="1">
        <f t="shared" ca="1" si="296"/>
        <v>9222341</v>
      </c>
      <c r="B706" s="1" t="str">
        <f t="shared" ref="B706:B769" ca="1" si="310">IF(AND(G706=0,AE706=4),LEFT(C706,LEN(C706)-3),C706)</f>
        <v>龙拳第3段</v>
      </c>
      <c r="C706" t="s">
        <v>164</v>
      </c>
      <c r="D706">
        <f t="shared" ref="D706:D769" si="311">VLOOKUP(C706,技能辅助查询表,3,FALSE)</f>
        <v>2</v>
      </c>
      <c r="E706" s="42">
        <f t="shared" ca="1" si="297"/>
        <v>67</v>
      </c>
      <c r="F706" t="str">
        <f t="shared" ca="1" si="298"/>
        <v>第41级，共造成202.3%点伤害</v>
      </c>
      <c r="G706">
        <f t="shared" ca="1" si="299"/>
        <v>3</v>
      </c>
      <c r="H706">
        <f t="shared" ref="H706:H769" si="312">VLOOKUP(C706,技能辅助查询表,2,FALSE)</f>
        <v>3</v>
      </c>
      <c r="I706" s="44">
        <f t="shared" ca="1" si="309"/>
        <v>41</v>
      </c>
      <c r="J706">
        <f t="shared" ref="J706:J769" si="313">VLOOKUP(C706,技能辅助查询表,4,FALSE)</f>
        <v>2</v>
      </c>
      <c r="K706" s="36">
        <f t="shared" ref="K706:K769" ca="1" si="314">IF(OR(I706=0,I706=1),T706,T706+T706*($AN$6-1)/S706*I706)</f>
        <v>202.30434782608694</v>
      </c>
      <c r="L706" s="10">
        <f ca="1">AH706*VLOOKUP(C706,技能辅助查询表,技能配置辅助表!$T$1,FALSE)</f>
        <v>0</v>
      </c>
      <c r="M706">
        <f t="shared" ref="M706:M769" ca="1" si="315">IF(OR(I706=0,I706=1),VLOOKUP(C706,技能辅助查询表,14,FALSE),VLOOKUP(C706,技能辅助查询表,14,FALSE)-VLOOKUP(C706,技能辅助查询表,14,FALSE)*0.5/S706*I706)</f>
        <v>4720</v>
      </c>
      <c r="N706" s="33">
        <f ca="1">CHOOSE(1,W706*U706,X706*'[1]0、经济设定'!$C$18)</f>
        <v>162965</v>
      </c>
      <c r="O706">
        <f t="shared" ref="O706:O769" si="316">VLOOKUP(C706,技能辅助查询表,5,FALSE)</f>
        <v>2</v>
      </c>
      <c r="P706">
        <f t="shared" ref="P706:P769" si="317">VLOOKUP(C706,技能辅助查询表,6,FALSE)</f>
        <v>1</v>
      </c>
      <c r="Q706">
        <f t="shared" ref="Q706:Q769" si="318">VLOOKUP(C706,技能辅助查询表,7,FALSE)</f>
        <v>1</v>
      </c>
      <c r="R706" s="2">
        <f t="shared" ref="R706:R769" si="319">VLOOKUP(C706,技能辅助查询表,9,FALSE)</f>
        <v>7</v>
      </c>
      <c r="S706" s="2">
        <f t="shared" ref="S706:S769" si="320">VLOOKUP(C706,技能辅助查询表,8,FALSE)</f>
        <v>50</v>
      </c>
      <c r="T706" s="2">
        <f t="shared" ref="T706:T769" si="321">VLOOKUP(C706,技能辅助查询表,11,FALSE)</f>
        <v>143.47826086956522</v>
      </c>
      <c r="U706" s="2">
        <f ca="1">VLOOKUP(E706,金币生产率!$A$2:$B$120,2,0)</f>
        <v>2963</v>
      </c>
      <c r="V706" s="2">
        <f t="shared" ref="V706:V769" si="322">VLOOKUP(C706,技能辅助查询表,12,FALSE)</f>
        <v>143.47826086956522</v>
      </c>
      <c r="W706" s="45">
        <f t="shared" ca="1" si="306"/>
        <v>55</v>
      </c>
      <c r="X706" s="48">
        <f t="shared" ca="1" si="307"/>
        <v>788</v>
      </c>
      <c r="Y706">
        <f t="shared" ref="Y706:Y769" si="323">VLOOKUP(C706,技能辅助查询表,15,FALSE)</f>
        <v>18</v>
      </c>
      <c r="Z706">
        <f t="shared" ca="1" si="301"/>
        <v>22</v>
      </c>
      <c r="AA706" t="str">
        <f t="shared" ca="1" si="302"/>
        <v>9222300.png</v>
      </c>
      <c r="AB706">
        <f t="shared" ref="AB706:AB769" si="324">VLOOKUP(C706,技能辅助查询表,17,FALSE)</f>
        <v>20</v>
      </c>
      <c r="AC706">
        <f>VLOOKUP(C706,技能辅助查询表,技能配置辅助表!$W$1,FALSE)</f>
        <v>28</v>
      </c>
      <c r="AD706">
        <f t="shared" ca="1" si="303"/>
        <v>483.72402453125903</v>
      </c>
      <c r="AE706">
        <f>VLOOKUP(C706,技能辅助查询表,技能配置辅助表!$U$1,FALSE)</f>
        <v>4</v>
      </c>
      <c r="AF706">
        <f t="shared" ca="1" si="304"/>
        <v>9222341</v>
      </c>
      <c r="AG706">
        <f t="shared" ca="1" si="308"/>
        <v>66.591836734693885</v>
      </c>
      <c r="AH706">
        <f t="shared" ca="1" si="305"/>
        <v>2364.1420663448707</v>
      </c>
      <c r="AI706">
        <f ca="1">VLOOKUP(E706,伤害参考系!$C$4:$E$104,3,FALSE)*$AN$12</f>
        <v>14262.572265050176</v>
      </c>
      <c r="AJ706">
        <f>VLOOKUP(C706,技能辅助查询表,技能配置辅助表!$L$1,FALSE)</f>
        <v>1</v>
      </c>
      <c r="AK706">
        <f>VLOOKUP(C706,技能辅助查询表,技能配置辅助表!$AE$1,FALSE)</f>
        <v>66000305</v>
      </c>
    </row>
    <row r="707" spans="1:37" x14ac:dyDescent="0.15">
      <c r="A707" s="1">
        <f t="shared" ref="A707:A770" ca="1" si="325">IF(I707=0,IF(H707=1,VALUE("9"&amp;D707&amp;J707&amp;O707&amp;G707&amp;IF(I707&gt;9,I707,"0"&amp;I707)),1),VALUE("9"&amp;D707&amp;J707&amp;O707&amp;G707&amp;IF(I707&gt;9,I707,"0"&amp;I707)))</f>
        <v>9222342</v>
      </c>
      <c r="B707" s="1" t="str">
        <f t="shared" ca="1" si="310"/>
        <v>龙拳第3段</v>
      </c>
      <c r="C707" t="s">
        <v>164</v>
      </c>
      <c r="D707">
        <f t="shared" si="311"/>
        <v>2</v>
      </c>
      <c r="E707" s="42">
        <f t="shared" ref="E707:E770" ca="1" si="326">IF(I707=0,E708,IF(AND(I707=1,G707&gt;1),OFFSET(E707,(1-G707)*51,0),IF(OR(I707=1,AND(I707=2,R707=2)),R707,IF(I707=0,0,ROUND(I707*(80-R707)/S707,0)+R707))))</f>
        <v>68</v>
      </c>
      <c r="F707" t="str">
        <f t="shared" ref="F707:F770" ca="1" si="327">"第"&amp;I707&amp;"级，共造成"&amp;ROUND(AJ707*K707,1)&amp;"%点伤害"</f>
        <v>第42级，共造成203.7%点伤害</v>
      </c>
      <c r="G707">
        <f t="shared" ref="G707:G770" ca="1" si="328">IF(I707=0,0,H707)</f>
        <v>3</v>
      </c>
      <c r="H707">
        <f t="shared" si="312"/>
        <v>3</v>
      </c>
      <c r="I707" s="44">
        <f t="shared" ca="1" si="309"/>
        <v>42</v>
      </c>
      <c r="J707">
        <f t="shared" si="313"/>
        <v>2</v>
      </c>
      <c r="K707" s="36">
        <f t="shared" ca="1" si="314"/>
        <v>203.73913043478262</v>
      </c>
      <c r="L707" s="10">
        <f ca="1">AH707*VLOOKUP(C707,技能辅助查询表,技能配置辅助表!$T$1,FALSE)</f>
        <v>0</v>
      </c>
      <c r="M707">
        <f t="shared" ca="1" si="315"/>
        <v>4640</v>
      </c>
      <c r="N707" s="33">
        <f ca="1">CHOOSE(1,W707*U707,X707*'[1]0、经济设定'!$C$18)</f>
        <v>177132</v>
      </c>
      <c r="O707">
        <f t="shared" si="316"/>
        <v>2</v>
      </c>
      <c r="P707">
        <f t="shared" si="317"/>
        <v>1</v>
      </c>
      <c r="Q707">
        <f t="shared" si="318"/>
        <v>1</v>
      </c>
      <c r="R707" s="2">
        <f t="shared" si="319"/>
        <v>7</v>
      </c>
      <c r="S707" s="2">
        <f t="shared" si="320"/>
        <v>50</v>
      </c>
      <c r="T707" s="2">
        <f t="shared" si="321"/>
        <v>143.47826086956522</v>
      </c>
      <c r="U707" s="2">
        <f ca="1">VLOOKUP(E707,金币生产率!$A$2:$B$120,2,0)</f>
        <v>3054</v>
      </c>
      <c r="V707" s="2">
        <f t="shared" si="322"/>
        <v>143.47826086956522</v>
      </c>
      <c r="W707" s="45">
        <f t="shared" ca="1" si="306"/>
        <v>58</v>
      </c>
      <c r="X707" s="48">
        <f t="shared" ca="1" si="307"/>
        <v>846</v>
      </c>
      <c r="Y707">
        <f t="shared" si="323"/>
        <v>18</v>
      </c>
      <c r="Z707">
        <f t="shared" ref="Z707:Z770" ca="1" si="329">IF(I707&gt;=Y707,ROUNDUP(W707/$AN$15,0),0)</f>
        <v>24</v>
      </c>
      <c r="AA707" t="str">
        <f t="shared" ref="AA707:AA770" ca="1" si="330">AF707-MOD(AF707,100)&amp;".png"</f>
        <v>9222300.png</v>
      </c>
      <c r="AB707">
        <f t="shared" si="324"/>
        <v>20</v>
      </c>
      <c r="AC707">
        <f>VLOOKUP(C707,技能辅助查询表,技能配置辅助表!$W$1,FALSE)</f>
        <v>28</v>
      </c>
      <c r="AD707">
        <f t="shared" ref="AD707:AD770" ca="1" si="331">((AH707*K707/100+L707)*AJ707-AH707)/5</f>
        <v>558.43697251115759</v>
      </c>
      <c r="AE707">
        <f>VLOOKUP(C707,技能辅助查询表,技能配置辅助表!$U$1,FALSE)</f>
        <v>4</v>
      </c>
      <c r="AF707">
        <f t="shared" ref="AF707:AF770" ca="1" si="332">VALUE("9"&amp;D707&amp;J707&amp;O707&amp;H707&amp;IF(I707&gt;9,I707,"0"&amp;I707))</f>
        <v>9222342</v>
      </c>
      <c r="AG707">
        <f t="shared" ca="1" si="308"/>
        <v>68.081632653061234</v>
      </c>
      <c r="AH707">
        <f t="shared" ref="AH707:AH770" ca="1" si="333">(19.323*EXP(I707*0.1297))*$AN$12</f>
        <v>2691.5445028827789</v>
      </c>
      <c r="AI707">
        <f ca="1">VLOOKUP(E707,伤害参考系!$C$4:$E$104,3,FALSE)*$AN$12</f>
        <v>14872.841096989978</v>
      </c>
      <c r="AJ707">
        <f>VLOOKUP(C707,技能辅助查询表,技能配置辅助表!$L$1,FALSE)</f>
        <v>1</v>
      </c>
      <c r="AK707">
        <f>VLOOKUP(C707,技能辅助查询表,技能配置辅助表!$AE$1,FALSE)</f>
        <v>66000305</v>
      </c>
    </row>
    <row r="708" spans="1:37" x14ac:dyDescent="0.15">
      <c r="A708" s="1">
        <f t="shared" ca="1" si="325"/>
        <v>9222343</v>
      </c>
      <c r="B708" s="1" t="str">
        <f t="shared" ca="1" si="310"/>
        <v>龙拳第3段</v>
      </c>
      <c r="C708" t="s">
        <v>164</v>
      </c>
      <c r="D708">
        <f t="shared" si="311"/>
        <v>2</v>
      </c>
      <c r="E708" s="42">
        <f t="shared" ca="1" si="326"/>
        <v>70</v>
      </c>
      <c r="F708" t="str">
        <f t="shared" ca="1" si="327"/>
        <v>第43级，共造成205.2%点伤害</v>
      </c>
      <c r="G708">
        <f t="shared" ca="1" si="328"/>
        <v>3</v>
      </c>
      <c r="H708">
        <f t="shared" si="312"/>
        <v>3</v>
      </c>
      <c r="I708" s="44">
        <f t="shared" ca="1" si="309"/>
        <v>43</v>
      </c>
      <c r="J708">
        <f t="shared" si="313"/>
        <v>2</v>
      </c>
      <c r="K708" s="36">
        <f t="shared" ca="1" si="314"/>
        <v>205.17391304347825</v>
      </c>
      <c r="L708" s="10">
        <f ca="1">AH708*VLOOKUP(C708,技能辅助查询表,技能配置辅助表!$T$1,FALSE)</f>
        <v>0</v>
      </c>
      <c r="M708">
        <f t="shared" ca="1" si="315"/>
        <v>4560</v>
      </c>
      <c r="N708" s="33">
        <f ca="1">CHOOSE(1,W708*U708,X708*'[1]0、经济设定'!$C$18)</f>
        <v>204246</v>
      </c>
      <c r="O708">
        <f t="shared" si="316"/>
        <v>2</v>
      </c>
      <c r="P708">
        <f t="shared" si="317"/>
        <v>1</v>
      </c>
      <c r="Q708">
        <f t="shared" si="318"/>
        <v>1</v>
      </c>
      <c r="R708" s="2">
        <f t="shared" si="319"/>
        <v>7</v>
      </c>
      <c r="S708" s="2">
        <f t="shared" si="320"/>
        <v>50</v>
      </c>
      <c r="T708" s="2">
        <f t="shared" si="321"/>
        <v>143.47826086956522</v>
      </c>
      <c r="U708" s="2">
        <f ca="1">VLOOKUP(E708,金币生产率!$A$2:$B$120,2,0)</f>
        <v>3242</v>
      </c>
      <c r="V708" s="2">
        <f t="shared" si="322"/>
        <v>143.47826086956522</v>
      </c>
      <c r="W708" s="45">
        <f t="shared" ref="W708:W771" ca="1" si="334">ROUND((IF(I708=0,0,ROUND(OFFSET(AD708,S708-I708+510*(1-D708),0)*(1-$AN$13)/(1-$AN$13^S708)*$AN$13^(I708-1),0))+IF(I708=0,0,ROUND(OFFSET(AD708,S708-I708+510*(2-D708),0)*(1-$AN$13)/(1-$AN$13^S708)*$AN$13^(I708-1),0))+IF(I708=0,0,ROUND(OFFSET(AD708,S708-I708+510*(3-D708),0)*(1-$AN$13)/(1-$AN$13^S708)*$AN$13^(I708-1),0)))/3,0)</f>
        <v>63</v>
      </c>
      <c r="X708" s="48">
        <f t="shared" ref="X708:X771" ca="1" si="335">IF(I708=0,0,X707+W708)</f>
        <v>909</v>
      </c>
      <c r="Y708">
        <f t="shared" si="323"/>
        <v>18</v>
      </c>
      <c r="Z708">
        <f t="shared" ca="1" si="329"/>
        <v>26</v>
      </c>
      <c r="AA708" t="str">
        <f t="shared" ca="1" si="330"/>
        <v>9222300.png</v>
      </c>
      <c r="AB708">
        <f t="shared" si="324"/>
        <v>20</v>
      </c>
      <c r="AC708">
        <f>VLOOKUP(C708,技能辅助查询表,技能配置辅助表!$W$1,FALSE)</f>
        <v>28</v>
      </c>
      <c r="AD708">
        <f t="shared" ca="1" si="331"/>
        <v>644.56628787887598</v>
      </c>
      <c r="AE708">
        <f>VLOOKUP(C708,技能辅助查询表,技能配置辅助表!$U$1,FALSE)</f>
        <v>4</v>
      </c>
      <c r="AF708">
        <f t="shared" ca="1" si="332"/>
        <v>9222343</v>
      </c>
      <c r="AG708">
        <f t="shared" ca="1" si="308"/>
        <v>69.571428571428569</v>
      </c>
      <c r="AH708">
        <f t="shared" ca="1" si="333"/>
        <v>3064.2878506023458</v>
      </c>
      <c r="AI708">
        <f ca="1">VLOOKUP(E708,伤害参考系!$C$4:$E$104,3,FALSE)*$AN$12</f>
        <v>16191.966408862889</v>
      </c>
      <c r="AJ708">
        <f>VLOOKUP(C708,技能辅助查询表,技能配置辅助表!$L$1,FALSE)</f>
        <v>1</v>
      </c>
      <c r="AK708">
        <f>VLOOKUP(C708,技能辅助查询表,技能配置辅助表!$AE$1,FALSE)</f>
        <v>66000305</v>
      </c>
    </row>
    <row r="709" spans="1:37" x14ac:dyDescent="0.15">
      <c r="A709" s="1">
        <f t="shared" ca="1" si="325"/>
        <v>9222344</v>
      </c>
      <c r="B709" s="1" t="str">
        <f t="shared" ca="1" si="310"/>
        <v>龙拳第3段</v>
      </c>
      <c r="C709" t="s">
        <v>164</v>
      </c>
      <c r="D709">
        <f t="shared" si="311"/>
        <v>2</v>
      </c>
      <c r="E709" s="42">
        <f t="shared" ca="1" si="326"/>
        <v>71</v>
      </c>
      <c r="F709" t="str">
        <f t="shared" ca="1" si="327"/>
        <v>第44级，共造成206.6%点伤害</v>
      </c>
      <c r="G709">
        <f t="shared" ca="1" si="328"/>
        <v>3</v>
      </c>
      <c r="H709">
        <f t="shared" si="312"/>
        <v>3</v>
      </c>
      <c r="I709" s="44">
        <f t="shared" ca="1" si="309"/>
        <v>44</v>
      </c>
      <c r="J709">
        <f t="shared" si="313"/>
        <v>2</v>
      </c>
      <c r="K709" s="36">
        <f t="shared" ca="1" si="314"/>
        <v>206.60869565217391</v>
      </c>
      <c r="L709" s="10">
        <f ca="1">AH709*VLOOKUP(C709,技能辅助查询表,技能配置辅助表!$T$1,FALSE)</f>
        <v>0</v>
      </c>
      <c r="M709">
        <f t="shared" ca="1" si="315"/>
        <v>4480</v>
      </c>
      <c r="N709" s="33">
        <f ca="1">CHOOSE(1,W709*U709,X709*'[1]0、经济设定'!$C$18)</f>
        <v>223646</v>
      </c>
      <c r="O709">
        <f t="shared" si="316"/>
        <v>2</v>
      </c>
      <c r="P709">
        <f t="shared" si="317"/>
        <v>1</v>
      </c>
      <c r="Q709">
        <f t="shared" si="318"/>
        <v>1</v>
      </c>
      <c r="R709" s="2">
        <f t="shared" si="319"/>
        <v>7</v>
      </c>
      <c r="S709" s="2">
        <f t="shared" si="320"/>
        <v>50</v>
      </c>
      <c r="T709" s="2">
        <f t="shared" si="321"/>
        <v>143.47826086956522</v>
      </c>
      <c r="U709" s="2">
        <f ca="1">VLOOKUP(E709,金币生产率!$A$2:$B$120,2,0)</f>
        <v>3338</v>
      </c>
      <c r="V709" s="2">
        <f t="shared" si="322"/>
        <v>143.47826086956522</v>
      </c>
      <c r="W709" s="45">
        <f t="shared" ca="1" si="334"/>
        <v>67</v>
      </c>
      <c r="X709" s="48">
        <f t="shared" ca="1" si="335"/>
        <v>976</v>
      </c>
      <c r="Y709">
        <f t="shared" si="323"/>
        <v>18</v>
      </c>
      <c r="Z709">
        <f t="shared" ca="1" si="329"/>
        <v>27</v>
      </c>
      <c r="AA709" t="str">
        <f t="shared" ca="1" si="330"/>
        <v>9222300.png</v>
      </c>
      <c r="AB709">
        <f t="shared" si="324"/>
        <v>20</v>
      </c>
      <c r="AC709">
        <f>VLOOKUP(C709,技能辅助查询表,技能配置辅助表!$W$1,FALSE)</f>
        <v>28</v>
      </c>
      <c r="AD709">
        <f t="shared" ca="1" si="331"/>
        <v>743.84111369992002</v>
      </c>
      <c r="AE709">
        <f>VLOOKUP(C709,技能辅助查询表,技能配置辅助表!$U$1,FALSE)</f>
        <v>4</v>
      </c>
      <c r="AF709">
        <f t="shared" ca="1" si="332"/>
        <v>9222344</v>
      </c>
      <c r="AG709">
        <f t="shared" ref="AG709:AG772" ca="1" si="336">IF(I709=1,R709,IF(I709=0,0,(I709-1)*(80-R709)/(S709-1)+R709))</f>
        <v>71.061224489795919</v>
      </c>
      <c r="AH709">
        <f t="shared" ca="1" si="333"/>
        <v>3488.6512265697725</v>
      </c>
      <c r="AI709">
        <f ca="1">VLOOKUP(E709,伤害参考系!$C$4:$E$104,3,FALSE)*$AN$12</f>
        <v>16902.905438127098</v>
      </c>
      <c r="AJ709">
        <f>VLOOKUP(C709,技能辅助查询表,技能配置辅助表!$L$1,FALSE)</f>
        <v>1</v>
      </c>
      <c r="AK709">
        <f>VLOOKUP(C709,技能辅助查询表,技能配置辅助表!$AE$1,FALSE)</f>
        <v>66000305</v>
      </c>
    </row>
    <row r="710" spans="1:37" x14ac:dyDescent="0.15">
      <c r="A710" s="1">
        <f t="shared" ca="1" si="325"/>
        <v>9222345</v>
      </c>
      <c r="B710" s="1" t="str">
        <f t="shared" ca="1" si="310"/>
        <v>龙拳第3段</v>
      </c>
      <c r="C710" t="s">
        <v>164</v>
      </c>
      <c r="D710">
        <f t="shared" si="311"/>
        <v>2</v>
      </c>
      <c r="E710" s="42">
        <f t="shared" ca="1" si="326"/>
        <v>73</v>
      </c>
      <c r="F710" t="str">
        <f t="shared" ca="1" si="327"/>
        <v>第45级，共造成208%点伤害</v>
      </c>
      <c r="G710">
        <f t="shared" ca="1" si="328"/>
        <v>3</v>
      </c>
      <c r="H710">
        <f t="shared" si="312"/>
        <v>3</v>
      </c>
      <c r="I710" s="44">
        <f t="shared" ca="1" si="309"/>
        <v>45</v>
      </c>
      <c r="J710">
        <f t="shared" si="313"/>
        <v>2</v>
      </c>
      <c r="K710" s="36">
        <f t="shared" ca="1" si="314"/>
        <v>208.04347826086956</v>
      </c>
      <c r="L710" s="10">
        <f ca="1">AH710*VLOOKUP(C710,技能辅助查询表,技能配置辅助表!$T$1,FALSE)</f>
        <v>0</v>
      </c>
      <c r="M710">
        <f t="shared" ca="1" si="315"/>
        <v>4400</v>
      </c>
      <c r="N710" s="33">
        <f ca="1">CHOOSE(1,W710*U710,X710*'[1]0、经济设定'!$C$18)</f>
        <v>254448</v>
      </c>
      <c r="O710">
        <f t="shared" si="316"/>
        <v>2</v>
      </c>
      <c r="P710">
        <f t="shared" si="317"/>
        <v>1</v>
      </c>
      <c r="Q710">
        <f t="shared" si="318"/>
        <v>1</v>
      </c>
      <c r="R710" s="2">
        <f t="shared" si="319"/>
        <v>7</v>
      </c>
      <c r="S710" s="2">
        <f t="shared" si="320"/>
        <v>50</v>
      </c>
      <c r="T710" s="2">
        <f t="shared" si="321"/>
        <v>143.47826086956522</v>
      </c>
      <c r="U710" s="2">
        <f ca="1">VLOOKUP(E710,金币生产率!$A$2:$B$120,2,0)</f>
        <v>3534</v>
      </c>
      <c r="V710" s="2">
        <f t="shared" si="322"/>
        <v>143.47826086956522</v>
      </c>
      <c r="W710" s="45">
        <f t="shared" ca="1" si="334"/>
        <v>72</v>
      </c>
      <c r="X710" s="48">
        <f t="shared" ca="1" si="335"/>
        <v>1048</v>
      </c>
      <c r="Y710">
        <f t="shared" si="323"/>
        <v>18</v>
      </c>
      <c r="Z710">
        <f t="shared" ca="1" si="329"/>
        <v>29</v>
      </c>
      <c r="AA710" t="str">
        <f t="shared" ca="1" si="330"/>
        <v>9222300.png</v>
      </c>
      <c r="AB710">
        <f t="shared" si="324"/>
        <v>20</v>
      </c>
      <c r="AC710">
        <f>VLOOKUP(C710,技能辅助查询表,技能配置辅助表!$W$1,FALSE)</f>
        <v>28</v>
      </c>
      <c r="AD710">
        <f t="shared" ca="1" si="331"/>
        <v>858.25057014292395</v>
      </c>
      <c r="AE710">
        <f>VLOOKUP(C710,技能辅助查询表,技能配置辅助表!$U$1,FALSE)</f>
        <v>4</v>
      </c>
      <c r="AF710">
        <f t="shared" ca="1" si="332"/>
        <v>9222345</v>
      </c>
      <c r="AG710">
        <f t="shared" ca="1" si="336"/>
        <v>72.551020408163268</v>
      </c>
      <c r="AH710">
        <f t="shared" ca="1" si="333"/>
        <v>3971.7833225930094</v>
      </c>
      <c r="AI710">
        <f ca="1">VLOOKUP(E710,伤害参考系!$C$4:$E$104,3,FALSE)*$AN$12</f>
        <v>18368.517032608706</v>
      </c>
      <c r="AJ710">
        <f>VLOOKUP(C710,技能辅助查询表,技能配置辅助表!$L$1,FALSE)</f>
        <v>1</v>
      </c>
      <c r="AK710">
        <f>VLOOKUP(C710,技能辅助查询表,技能配置辅助表!$AE$1,FALSE)</f>
        <v>66000305</v>
      </c>
    </row>
    <row r="711" spans="1:37" x14ac:dyDescent="0.15">
      <c r="A711" s="1">
        <f t="shared" ca="1" si="325"/>
        <v>9222346</v>
      </c>
      <c r="B711" s="1" t="str">
        <f t="shared" ca="1" si="310"/>
        <v>龙拳第3段</v>
      </c>
      <c r="C711" t="s">
        <v>164</v>
      </c>
      <c r="D711">
        <f t="shared" si="311"/>
        <v>2</v>
      </c>
      <c r="E711" s="42">
        <f t="shared" ca="1" si="326"/>
        <v>74</v>
      </c>
      <c r="F711" t="str">
        <f t="shared" ca="1" si="327"/>
        <v>第46级，共造成209.5%点伤害</v>
      </c>
      <c r="G711">
        <f t="shared" ca="1" si="328"/>
        <v>3</v>
      </c>
      <c r="H711">
        <f t="shared" si="312"/>
        <v>3</v>
      </c>
      <c r="I711" s="44">
        <f t="shared" ca="1" si="309"/>
        <v>46</v>
      </c>
      <c r="J711">
        <f t="shared" si="313"/>
        <v>2</v>
      </c>
      <c r="K711" s="36">
        <f t="shared" ca="1" si="314"/>
        <v>209.47826086956522</v>
      </c>
      <c r="L711" s="10">
        <f ca="1">AH711*VLOOKUP(C711,技能辅助查询表,技能配置辅助表!$T$1,FALSE)</f>
        <v>0</v>
      </c>
      <c r="M711">
        <f t="shared" ca="1" si="315"/>
        <v>4320</v>
      </c>
      <c r="N711" s="33">
        <f ca="1">CHOOSE(1,W711*U711,X711*'[1]0、经济设定'!$C$18)</f>
        <v>279818</v>
      </c>
      <c r="O711">
        <f t="shared" si="316"/>
        <v>2</v>
      </c>
      <c r="P711">
        <f t="shared" si="317"/>
        <v>1</v>
      </c>
      <c r="Q711">
        <f t="shared" si="318"/>
        <v>1</v>
      </c>
      <c r="R711" s="2">
        <f t="shared" si="319"/>
        <v>7</v>
      </c>
      <c r="S711" s="2">
        <f t="shared" si="320"/>
        <v>50</v>
      </c>
      <c r="T711" s="2">
        <f t="shared" si="321"/>
        <v>143.47826086956522</v>
      </c>
      <c r="U711" s="2">
        <f ca="1">VLOOKUP(E711,金币生产率!$A$2:$B$120,2,0)</f>
        <v>3634</v>
      </c>
      <c r="V711" s="2">
        <f t="shared" si="322"/>
        <v>143.47826086956522</v>
      </c>
      <c r="W711" s="45">
        <f t="shared" ca="1" si="334"/>
        <v>77</v>
      </c>
      <c r="X711" s="48">
        <f t="shared" ca="1" si="335"/>
        <v>1125</v>
      </c>
      <c r="Y711">
        <f t="shared" si="323"/>
        <v>18</v>
      </c>
      <c r="Z711">
        <f t="shared" ca="1" si="329"/>
        <v>31</v>
      </c>
      <c r="AA711" t="str">
        <f t="shared" ca="1" si="330"/>
        <v>9222300.png</v>
      </c>
      <c r="AB711">
        <f t="shared" si="324"/>
        <v>20</v>
      </c>
      <c r="AC711">
        <f>VLOOKUP(C711,技能辅助查询表,技能配置辅助表!$W$1,FALSE)</f>
        <v>28</v>
      </c>
      <c r="AD711">
        <f t="shared" ca="1" si="331"/>
        <v>990.0825987408183</v>
      </c>
      <c r="AE711">
        <f>VLOOKUP(C711,技能辅助查询表,技能配置辅助表!$U$1,FALSE)</f>
        <v>4</v>
      </c>
      <c r="AF711">
        <f t="shared" ca="1" si="332"/>
        <v>9222346</v>
      </c>
      <c r="AG711">
        <f t="shared" ca="1" si="336"/>
        <v>74.040816326530617</v>
      </c>
      <c r="AH711">
        <f t="shared" ca="1" si="333"/>
        <v>4521.8228298329677</v>
      </c>
      <c r="AI711">
        <f ca="1">VLOOKUP(E711,伤害参考系!$C$4:$E$104,3,FALSE)*$AN$12</f>
        <v>19123.189597826095</v>
      </c>
      <c r="AJ711">
        <f>VLOOKUP(C711,技能辅助查询表,技能配置辅助表!$L$1,FALSE)</f>
        <v>1</v>
      </c>
      <c r="AK711">
        <f>VLOOKUP(C711,技能辅助查询表,技能配置辅助表!$AE$1,FALSE)</f>
        <v>66000305</v>
      </c>
    </row>
    <row r="712" spans="1:37" x14ac:dyDescent="0.15">
      <c r="A712" s="1">
        <f t="shared" ca="1" si="325"/>
        <v>9222347</v>
      </c>
      <c r="B712" s="1" t="str">
        <f t="shared" ca="1" si="310"/>
        <v>龙拳第3段</v>
      </c>
      <c r="C712" t="s">
        <v>164</v>
      </c>
      <c r="D712">
        <f t="shared" si="311"/>
        <v>2</v>
      </c>
      <c r="E712" s="42">
        <f t="shared" ca="1" si="326"/>
        <v>76</v>
      </c>
      <c r="F712" t="str">
        <f t="shared" ca="1" si="327"/>
        <v>第47级，共造成210.9%点伤害</v>
      </c>
      <c r="G712">
        <f t="shared" ca="1" si="328"/>
        <v>3</v>
      </c>
      <c r="H712">
        <f t="shared" si="312"/>
        <v>3</v>
      </c>
      <c r="I712" s="44">
        <f t="shared" ca="1" si="309"/>
        <v>47</v>
      </c>
      <c r="J712">
        <f t="shared" si="313"/>
        <v>2</v>
      </c>
      <c r="K712" s="36">
        <f t="shared" ca="1" si="314"/>
        <v>210.91304347826087</v>
      </c>
      <c r="L712" s="10">
        <f ca="1">AH712*VLOOKUP(C712,技能辅助查询表,技能配置辅助表!$T$1,FALSE)</f>
        <v>0</v>
      </c>
      <c r="M712">
        <f t="shared" ca="1" si="315"/>
        <v>4240</v>
      </c>
      <c r="N712" s="33">
        <f ca="1">CHOOSE(1,W712*U712,X712*'[1]0、经济设定'!$C$18)</f>
        <v>314716</v>
      </c>
      <c r="O712">
        <f t="shared" si="316"/>
        <v>2</v>
      </c>
      <c r="P712">
        <f t="shared" si="317"/>
        <v>1</v>
      </c>
      <c r="Q712">
        <f t="shared" si="318"/>
        <v>1</v>
      </c>
      <c r="R712" s="2">
        <f t="shared" si="319"/>
        <v>7</v>
      </c>
      <c r="S712" s="2">
        <f t="shared" si="320"/>
        <v>50</v>
      </c>
      <c r="T712" s="2">
        <f t="shared" si="321"/>
        <v>143.47826086956522</v>
      </c>
      <c r="U712" s="2">
        <f ca="1">VLOOKUP(E712,金币生产率!$A$2:$B$120,2,0)</f>
        <v>3838</v>
      </c>
      <c r="V712" s="2">
        <f t="shared" si="322"/>
        <v>143.47826086956522</v>
      </c>
      <c r="W712" s="45">
        <f t="shared" ca="1" si="334"/>
        <v>82</v>
      </c>
      <c r="X712" s="48">
        <f t="shared" ca="1" si="335"/>
        <v>1207</v>
      </c>
      <c r="Y712">
        <f t="shared" si="323"/>
        <v>18</v>
      </c>
      <c r="Z712">
        <f t="shared" ca="1" si="329"/>
        <v>33</v>
      </c>
      <c r="AA712" t="str">
        <f t="shared" ca="1" si="330"/>
        <v>9222300.png</v>
      </c>
      <c r="AB712">
        <f t="shared" si="324"/>
        <v>20</v>
      </c>
      <c r="AC712">
        <f>VLOOKUP(C712,技能辅助查询表,技能配置辅助表!$W$1,FALSE)</f>
        <v>28</v>
      </c>
      <c r="AD712">
        <f t="shared" ca="1" si="331"/>
        <v>1141.9685794915179</v>
      </c>
      <c r="AE712">
        <f>VLOOKUP(C712,技能辅助查询表,技能配置辅助表!$U$1,FALSE)</f>
        <v>4</v>
      </c>
      <c r="AF712">
        <f t="shared" ca="1" si="332"/>
        <v>9222347</v>
      </c>
      <c r="AG712">
        <f t="shared" ca="1" si="336"/>
        <v>75.530612244897952</v>
      </c>
      <c r="AH712">
        <f t="shared" ca="1" si="333"/>
        <v>5148.0355406320868</v>
      </c>
      <c r="AI712">
        <f ca="1">VLOOKUP(E712,伤害参考系!$C$4:$E$104,3,FALSE)*$AN$12</f>
        <v>20676.268264214057</v>
      </c>
      <c r="AJ712">
        <f>VLOOKUP(C712,技能辅助查询表,技能配置辅助表!$L$1,FALSE)</f>
        <v>1</v>
      </c>
      <c r="AK712">
        <f>VLOOKUP(C712,技能辅助查询表,技能配置辅助表!$AE$1,FALSE)</f>
        <v>66000305</v>
      </c>
    </row>
    <row r="713" spans="1:37" x14ac:dyDescent="0.15">
      <c r="A713" s="1">
        <f t="shared" ca="1" si="325"/>
        <v>9222348</v>
      </c>
      <c r="B713" s="1" t="str">
        <f t="shared" ca="1" si="310"/>
        <v>龙拳第3段</v>
      </c>
      <c r="C713" t="s">
        <v>164</v>
      </c>
      <c r="D713">
        <f t="shared" si="311"/>
        <v>2</v>
      </c>
      <c r="E713" s="42">
        <f t="shared" ca="1" si="326"/>
        <v>77</v>
      </c>
      <c r="F713" t="str">
        <f t="shared" ca="1" si="327"/>
        <v>第48级，共造成212.3%点伤害</v>
      </c>
      <c r="G713">
        <f t="shared" ca="1" si="328"/>
        <v>3</v>
      </c>
      <c r="H713">
        <f t="shared" si="312"/>
        <v>3</v>
      </c>
      <c r="I713" s="44">
        <f t="shared" ca="1" si="309"/>
        <v>48</v>
      </c>
      <c r="J713">
        <f t="shared" si="313"/>
        <v>2</v>
      </c>
      <c r="K713" s="36">
        <f t="shared" ca="1" si="314"/>
        <v>212.3478260869565</v>
      </c>
      <c r="L713" s="10">
        <f ca="1">AH713*VLOOKUP(C713,技能辅助查询表,技能配置辅助表!$T$1,FALSE)</f>
        <v>0</v>
      </c>
      <c r="M713">
        <f t="shared" ca="1" si="315"/>
        <v>4160</v>
      </c>
      <c r="N713" s="33">
        <f ca="1">CHOOSE(1,W713*U713,X713*'[1]0、经济设定'!$C$18)</f>
        <v>346896</v>
      </c>
      <c r="O713">
        <f t="shared" si="316"/>
        <v>2</v>
      </c>
      <c r="P713">
        <f t="shared" si="317"/>
        <v>1</v>
      </c>
      <c r="Q713">
        <f t="shared" si="318"/>
        <v>1</v>
      </c>
      <c r="R713" s="2">
        <f t="shared" si="319"/>
        <v>7</v>
      </c>
      <c r="S713" s="2">
        <f t="shared" si="320"/>
        <v>50</v>
      </c>
      <c r="T713" s="2">
        <f t="shared" si="321"/>
        <v>143.47826086956522</v>
      </c>
      <c r="U713" s="2">
        <f ca="1">VLOOKUP(E713,金币生产率!$A$2:$B$120,2,0)</f>
        <v>3942</v>
      </c>
      <c r="V713" s="2">
        <f t="shared" si="322"/>
        <v>143.47826086956522</v>
      </c>
      <c r="W713" s="45">
        <f t="shared" ca="1" si="334"/>
        <v>88</v>
      </c>
      <c r="X713" s="48">
        <f t="shared" ca="1" si="335"/>
        <v>1295</v>
      </c>
      <c r="Y713">
        <f t="shared" si="323"/>
        <v>18</v>
      </c>
      <c r="Z713">
        <f t="shared" ca="1" si="329"/>
        <v>36</v>
      </c>
      <c r="AA713" t="str">
        <f t="shared" ca="1" si="330"/>
        <v>9222300.png</v>
      </c>
      <c r="AB713">
        <f t="shared" si="324"/>
        <v>20</v>
      </c>
      <c r="AC713">
        <f>VLOOKUP(C713,技能辅助查询表,技能配置辅助表!$W$1,FALSE)</f>
        <v>28</v>
      </c>
      <c r="AD713">
        <f t="shared" ca="1" si="331"/>
        <v>1316.9345747439711</v>
      </c>
      <c r="AE713">
        <f>VLOOKUP(C713,技能辅助查询表,技能配置辅助表!$U$1,FALSE)</f>
        <v>4</v>
      </c>
      <c r="AF713">
        <f t="shared" ca="1" si="332"/>
        <v>9222348</v>
      </c>
      <c r="AG713">
        <f t="shared" ca="1" si="336"/>
        <v>77.020408163265301</v>
      </c>
      <c r="AH713">
        <f t="shared" ca="1" si="333"/>
        <v>5860.970437134547</v>
      </c>
      <c r="AI713">
        <f ca="1">VLOOKUP(E713,伤害参考系!$C$4:$E$104,3,FALSE)*$AN$12</f>
        <v>21474.674365384624</v>
      </c>
      <c r="AJ713">
        <f>VLOOKUP(C713,技能辅助查询表,技能配置辅助表!$L$1,FALSE)</f>
        <v>1</v>
      </c>
      <c r="AK713">
        <f>VLOOKUP(C713,技能辅助查询表,技能配置辅助表!$AE$1,FALSE)</f>
        <v>66000305</v>
      </c>
    </row>
    <row r="714" spans="1:37" x14ac:dyDescent="0.15">
      <c r="A714" s="1">
        <f t="shared" ca="1" si="325"/>
        <v>9222349</v>
      </c>
      <c r="B714" s="1" t="str">
        <f t="shared" ca="1" si="310"/>
        <v>龙拳第3段</v>
      </c>
      <c r="C714" t="s">
        <v>164</v>
      </c>
      <c r="D714">
        <f t="shared" si="311"/>
        <v>2</v>
      </c>
      <c r="E714" s="42">
        <f t="shared" ca="1" si="326"/>
        <v>79</v>
      </c>
      <c r="F714" t="str">
        <f t="shared" ca="1" si="327"/>
        <v>第49级，共造成213.8%点伤害</v>
      </c>
      <c r="G714">
        <f t="shared" ca="1" si="328"/>
        <v>3</v>
      </c>
      <c r="H714">
        <f t="shared" si="312"/>
        <v>3</v>
      </c>
      <c r="I714" s="44">
        <f t="shared" ca="1" si="309"/>
        <v>49</v>
      </c>
      <c r="J714">
        <f t="shared" si="313"/>
        <v>2</v>
      </c>
      <c r="K714" s="36">
        <f t="shared" ca="1" si="314"/>
        <v>213.78260869565219</v>
      </c>
      <c r="L714" s="10">
        <f ca="1">AH714*VLOOKUP(C714,技能辅助查询表,技能配置辅助表!$T$1,FALSE)</f>
        <v>0</v>
      </c>
      <c r="M714">
        <f t="shared" ca="1" si="315"/>
        <v>4080</v>
      </c>
      <c r="N714" s="33">
        <f ca="1">CHOOSE(1,W714*U714,X714*'[1]0、经济设定'!$C$18)</f>
        <v>390476</v>
      </c>
      <c r="O714">
        <f t="shared" si="316"/>
        <v>2</v>
      </c>
      <c r="P714">
        <f t="shared" si="317"/>
        <v>1</v>
      </c>
      <c r="Q714">
        <f t="shared" si="318"/>
        <v>1</v>
      </c>
      <c r="R714" s="2">
        <f t="shared" si="319"/>
        <v>7</v>
      </c>
      <c r="S714" s="2">
        <f t="shared" si="320"/>
        <v>50</v>
      </c>
      <c r="T714" s="2">
        <f t="shared" si="321"/>
        <v>143.47826086956522</v>
      </c>
      <c r="U714" s="2">
        <f ca="1">VLOOKUP(E714,金币生产率!$A$2:$B$120,2,0)</f>
        <v>4154</v>
      </c>
      <c r="V714" s="2">
        <f t="shared" si="322"/>
        <v>143.47826086956522</v>
      </c>
      <c r="W714" s="45">
        <f t="shared" ca="1" si="334"/>
        <v>94</v>
      </c>
      <c r="X714" s="48">
        <f t="shared" ca="1" si="335"/>
        <v>1389</v>
      </c>
      <c r="Y714">
        <f t="shared" si="323"/>
        <v>18</v>
      </c>
      <c r="Z714">
        <f t="shared" ca="1" si="329"/>
        <v>38</v>
      </c>
      <c r="AA714" t="str">
        <f t="shared" ca="1" si="330"/>
        <v>9222300.png</v>
      </c>
      <c r="AB714">
        <f t="shared" si="324"/>
        <v>20</v>
      </c>
      <c r="AC714">
        <f>VLOOKUP(C714,技能辅助查询表,技能配置辅助表!$W$1,FALSE)</f>
        <v>28</v>
      </c>
      <c r="AD714">
        <f t="shared" ca="1" si="331"/>
        <v>1518.4601796208933</v>
      </c>
      <c r="AE714">
        <f>VLOOKUP(C714,技能辅助查询表,技能配置辅助表!$U$1,FALSE)</f>
        <v>4</v>
      </c>
      <c r="AF714">
        <f t="shared" ca="1" si="332"/>
        <v>9222349</v>
      </c>
      <c r="AG714">
        <f t="shared" ca="1" si="336"/>
        <v>78.510204081632651</v>
      </c>
      <c r="AH714">
        <f t="shared" ca="1" si="333"/>
        <v>6672.6373961177951</v>
      </c>
      <c r="AI714">
        <f ca="1">VLOOKUP(E714,伤害参考系!$C$4:$E$104,3,FALSE)*$AN$12</f>
        <v>23115.220103678937</v>
      </c>
      <c r="AJ714">
        <f>VLOOKUP(C714,技能辅助查询表,技能配置辅助表!$L$1,FALSE)</f>
        <v>1</v>
      </c>
      <c r="AK714">
        <f>VLOOKUP(C714,技能辅助查询表,技能配置辅助表!$AE$1,FALSE)</f>
        <v>66000305</v>
      </c>
    </row>
    <row r="715" spans="1:37" x14ac:dyDescent="0.15">
      <c r="A715" s="1">
        <f t="shared" ca="1" si="325"/>
        <v>9222350</v>
      </c>
      <c r="B715" s="1" t="str">
        <f t="shared" ca="1" si="310"/>
        <v>龙拳第3段</v>
      </c>
      <c r="C715" t="s">
        <v>164</v>
      </c>
      <c r="D715">
        <f t="shared" si="311"/>
        <v>2</v>
      </c>
      <c r="E715" s="42">
        <f t="shared" ca="1" si="326"/>
        <v>80</v>
      </c>
      <c r="F715" t="str">
        <f t="shared" ca="1" si="327"/>
        <v>第50级，共造成215.2%点伤害</v>
      </c>
      <c r="G715">
        <f t="shared" ca="1" si="328"/>
        <v>3</v>
      </c>
      <c r="H715">
        <f t="shared" si="312"/>
        <v>3</v>
      </c>
      <c r="I715" s="44">
        <f t="shared" ca="1" si="309"/>
        <v>50</v>
      </c>
      <c r="J715">
        <f t="shared" si="313"/>
        <v>2</v>
      </c>
      <c r="K715" s="36">
        <f t="shared" ca="1" si="314"/>
        <v>215.21739130434781</v>
      </c>
      <c r="L715" s="10">
        <f ca="1">AH715*VLOOKUP(C715,技能辅助查询表,技能配置辅助表!$T$1,FALSE)</f>
        <v>0</v>
      </c>
      <c r="M715">
        <f t="shared" ca="1" si="315"/>
        <v>4000</v>
      </c>
      <c r="N715" s="33">
        <f ca="1">CHOOSE(1,W715*U715,X715*'[1]0、经济设定'!$C$18)</f>
        <v>430462</v>
      </c>
      <c r="O715">
        <f t="shared" si="316"/>
        <v>2</v>
      </c>
      <c r="P715">
        <f t="shared" si="317"/>
        <v>1</v>
      </c>
      <c r="Q715">
        <f t="shared" si="318"/>
        <v>1</v>
      </c>
      <c r="R715" s="2">
        <f t="shared" si="319"/>
        <v>7</v>
      </c>
      <c r="S715" s="2">
        <f t="shared" si="320"/>
        <v>50</v>
      </c>
      <c r="T715" s="2">
        <f t="shared" si="321"/>
        <v>143.47826086956522</v>
      </c>
      <c r="U715" s="2">
        <f ca="1">VLOOKUP(E715,金币生产率!$A$2:$B$120,2,0)</f>
        <v>4262</v>
      </c>
      <c r="V715" s="2">
        <f t="shared" si="322"/>
        <v>143.47826086956522</v>
      </c>
      <c r="W715" s="45">
        <f t="shared" ca="1" si="334"/>
        <v>101</v>
      </c>
      <c r="X715" s="48">
        <f t="shared" ca="1" si="335"/>
        <v>1490</v>
      </c>
      <c r="Y715">
        <f t="shared" si="323"/>
        <v>18</v>
      </c>
      <c r="Z715">
        <f t="shared" ca="1" si="329"/>
        <v>41</v>
      </c>
      <c r="AA715" t="str">
        <f t="shared" ca="1" si="330"/>
        <v>9222300.png</v>
      </c>
      <c r="AB715">
        <f t="shared" si="324"/>
        <v>20</v>
      </c>
      <c r="AC715">
        <f>VLOOKUP(C715,技能辅助查询表,技能配置辅助表!$W$1,FALSE)</f>
        <v>28</v>
      </c>
      <c r="AD715">
        <f t="shared" ca="1" si="331"/>
        <v>1750.5461030023362</v>
      </c>
      <c r="AE715">
        <f>VLOOKUP(C715,技能辅助查询表,技能配置辅助表!$U$1,FALSE)</f>
        <v>4</v>
      </c>
      <c r="AF715">
        <f t="shared" ca="1" si="332"/>
        <v>9222350</v>
      </c>
      <c r="AG715">
        <f t="shared" ca="1" si="336"/>
        <v>80</v>
      </c>
      <c r="AH715">
        <f t="shared" ca="1" si="333"/>
        <v>7596.7095035950451</v>
      </c>
      <c r="AI715">
        <f ca="1">VLOOKUP(E715,伤害参考系!$C$4:$E$104,3,FALSE)*$AN$12</f>
        <v>24028.87424749164</v>
      </c>
      <c r="AJ715">
        <f>VLOOKUP(C715,技能辅助查询表,技能配置辅助表!$L$1,FALSE)</f>
        <v>1</v>
      </c>
      <c r="AK715">
        <f>VLOOKUP(C715,技能辅助查询表,技能配置辅助表!$AE$1,FALSE)</f>
        <v>66000305</v>
      </c>
    </row>
    <row r="716" spans="1:37" x14ac:dyDescent="0.15">
      <c r="A716" s="1">
        <f t="shared" ca="1" si="325"/>
        <v>1</v>
      </c>
      <c r="B716" s="1" t="str">
        <f t="shared" ca="1" si="310"/>
        <v>龙拳</v>
      </c>
      <c r="C716" t="s">
        <v>165</v>
      </c>
      <c r="D716">
        <f t="shared" si="311"/>
        <v>2</v>
      </c>
      <c r="E716" s="42">
        <f t="shared" ca="1" si="326"/>
        <v>4</v>
      </c>
      <c r="F716" t="str">
        <f t="shared" ca="1" si="327"/>
        <v>第0级，共造成179.3%点伤害</v>
      </c>
      <c r="G716">
        <f t="shared" ca="1" si="328"/>
        <v>0</v>
      </c>
      <c r="H716">
        <f t="shared" si="312"/>
        <v>4</v>
      </c>
      <c r="I716" s="44">
        <f t="shared" ref="I716:I779" ca="1" si="337">IF(OFFSET(C716,-1,0)=C716,I715+1,0)</f>
        <v>0</v>
      </c>
      <c r="J716">
        <f t="shared" si="313"/>
        <v>2</v>
      </c>
      <c r="K716" s="36">
        <f t="shared" ca="1" si="314"/>
        <v>59.782608695652179</v>
      </c>
      <c r="L716" s="10">
        <f ca="1">AH716*VLOOKUP(C716,技能辅助查询表,技能配置辅助表!$T$1,FALSE)</f>
        <v>0</v>
      </c>
      <c r="M716">
        <f t="shared" ca="1" si="315"/>
        <v>8000</v>
      </c>
      <c r="N716" s="33">
        <f ca="1">CHOOSE(1,W716*U716,X716*'[1]0、经济设定'!$C$18)</f>
        <v>0</v>
      </c>
      <c r="O716">
        <f t="shared" si="316"/>
        <v>2</v>
      </c>
      <c r="P716">
        <f t="shared" si="317"/>
        <v>3</v>
      </c>
      <c r="Q716">
        <f t="shared" si="318"/>
        <v>1</v>
      </c>
      <c r="R716" s="2">
        <f t="shared" si="319"/>
        <v>9</v>
      </c>
      <c r="S716" s="2">
        <f t="shared" si="320"/>
        <v>50</v>
      </c>
      <c r="T716" s="2">
        <f t="shared" si="321"/>
        <v>59.782608695652179</v>
      </c>
      <c r="U716" s="2">
        <f ca="1">VLOOKUP(E716,金币生产率!$A$2:$B$120,2,0)</f>
        <v>68</v>
      </c>
      <c r="V716" s="2">
        <f t="shared" si="322"/>
        <v>179.34782608695653</v>
      </c>
      <c r="W716" s="45">
        <f t="shared" ca="1" si="334"/>
        <v>0</v>
      </c>
      <c r="X716" s="48">
        <f t="shared" ca="1" si="335"/>
        <v>0</v>
      </c>
      <c r="Y716">
        <f t="shared" si="323"/>
        <v>18</v>
      </c>
      <c r="Z716">
        <f t="shared" ca="1" si="329"/>
        <v>0</v>
      </c>
      <c r="AA716" t="str">
        <f t="shared" ca="1" si="330"/>
        <v>9222400.png</v>
      </c>
      <c r="AB716">
        <f t="shared" si="324"/>
        <v>7</v>
      </c>
      <c r="AC716">
        <f>VLOOKUP(C716,技能辅助查询表,技能配置辅助表!$W$1,FALSE)</f>
        <v>27</v>
      </c>
      <c r="AD716">
        <f t="shared" ca="1" si="331"/>
        <v>1.8398856521739131</v>
      </c>
      <c r="AE716">
        <f>VLOOKUP(C716,技能辅助查询表,技能配置辅助表!$U$1,FALSE)</f>
        <v>4</v>
      </c>
      <c r="AF716">
        <f t="shared" ca="1" si="332"/>
        <v>9222400</v>
      </c>
      <c r="AG716">
        <f t="shared" ca="1" si="336"/>
        <v>0</v>
      </c>
      <c r="AH716">
        <f t="shared" ca="1" si="333"/>
        <v>11.5938</v>
      </c>
      <c r="AI716">
        <f ca="1">VLOOKUP(E716,伤害参考系!$C$4:$E$104,3,FALSE)*$AN$12</f>
        <v>50.4</v>
      </c>
      <c r="AJ716">
        <f>VLOOKUP(C716,技能辅助查询表,技能配置辅助表!$L$1,FALSE)</f>
        <v>3</v>
      </c>
      <c r="AK716">
        <f>VLOOKUP(C716,技能辅助查询表,技能配置辅助表!$AE$1,FALSE)</f>
        <v>66000305</v>
      </c>
    </row>
    <row r="717" spans="1:37" x14ac:dyDescent="0.15">
      <c r="A717" s="1">
        <f t="shared" ca="1" si="325"/>
        <v>9222401</v>
      </c>
      <c r="B717" s="1" t="str">
        <f t="shared" ca="1" si="310"/>
        <v>龙拳第4段</v>
      </c>
      <c r="C717" t="s">
        <v>165</v>
      </c>
      <c r="D717">
        <f t="shared" si="311"/>
        <v>2</v>
      </c>
      <c r="E717" s="42">
        <f t="shared" ca="1" si="326"/>
        <v>4</v>
      </c>
      <c r="F717" t="str">
        <f t="shared" ca="1" si="327"/>
        <v>第1级，共造成179.3%点伤害</v>
      </c>
      <c r="G717">
        <f t="shared" ca="1" si="328"/>
        <v>4</v>
      </c>
      <c r="H717">
        <f t="shared" si="312"/>
        <v>4</v>
      </c>
      <c r="I717" s="44">
        <f t="shared" ca="1" si="337"/>
        <v>1</v>
      </c>
      <c r="J717">
        <f t="shared" si="313"/>
        <v>2</v>
      </c>
      <c r="K717" s="36">
        <f t="shared" ca="1" si="314"/>
        <v>59.782608695652179</v>
      </c>
      <c r="L717" s="10">
        <f ca="1">AH717*VLOOKUP(C717,技能辅助查询表,技能配置辅助表!$T$1,FALSE)</f>
        <v>0</v>
      </c>
      <c r="M717">
        <f t="shared" ca="1" si="315"/>
        <v>8000</v>
      </c>
      <c r="N717" s="33">
        <f ca="1">CHOOSE(1,W717*U717,X717*'[1]0、经济设定'!$C$18)</f>
        <v>408</v>
      </c>
      <c r="O717">
        <f t="shared" si="316"/>
        <v>2</v>
      </c>
      <c r="P717">
        <f t="shared" si="317"/>
        <v>3</v>
      </c>
      <c r="Q717">
        <f t="shared" si="318"/>
        <v>1</v>
      </c>
      <c r="R717" s="2">
        <f t="shared" si="319"/>
        <v>9</v>
      </c>
      <c r="S717" s="2">
        <f t="shared" si="320"/>
        <v>50</v>
      </c>
      <c r="T717" s="2">
        <f t="shared" si="321"/>
        <v>59.782608695652179</v>
      </c>
      <c r="U717" s="2">
        <f ca="1">VLOOKUP(E717,金币生产率!$A$2:$B$120,2,0)</f>
        <v>68</v>
      </c>
      <c r="V717" s="2">
        <f t="shared" si="322"/>
        <v>179.34782608695653</v>
      </c>
      <c r="W717" s="45">
        <f t="shared" ca="1" si="334"/>
        <v>6</v>
      </c>
      <c r="X717" s="48">
        <f t="shared" ca="1" si="335"/>
        <v>6</v>
      </c>
      <c r="Y717">
        <f t="shared" si="323"/>
        <v>18</v>
      </c>
      <c r="Z717">
        <f t="shared" ca="1" si="329"/>
        <v>0</v>
      </c>
      <c r="AA717" t="str">
        <f t="shared" ca="1" si="330"/>
        <v>9222400.png</v>
      </c>
      <c r="AB717">
        <f t="shared" si="324"/>
        <v>7</v>
      </c>
      <c r="AC717">
        <f>VLOOKUP(C717,技能辅助查询表,技能配置辅助表!$W$1,FALSE)</f>
        <v>27</v>
      </c>
      <c r="AD717">
        <f t="shared" ca="1" si="331"/>
        <v>2.0946855028462572</v>
      </c>
      <c r="AE717">
        <f>VLOOKUP(C717,技能辅助查询表,技能配置辅助表!$U$1,FALSE)</f>
        <v>4</v>
      </c>
      <c r="AF717">
        <f t="shared" ca="1" si="332"/>
        <v>9222401</v>
      </c>
      <c r="AG717">
        <f t="shared" ca="1" si="336"/>
        <v>9</v>
      </c>
      <c r="AH717">
        <f t="shared" ca="1" si="333"/>
        <v>13.199388100127095</v>
      </c>
      <c r="AI717">
        <f ca="1">VLOOKUP(E717,伤害参考系!$C$4:$E$104,3,FALSE)*$AN$12</f>
        <v>50.4</v>
      </c>
      <c r="AJ717">
        <f>VLOOKUP(C717,技能辅助查询表,技能配置辅助表!$L$1,FALSE)</f>
        <v>3</v>
      </c>
      <c r="AK717">
        <f>VLOOKUP(C717,技能辅助查询表,技能配置辅助表!$AE$1,FALSE)</f>
        <v>66000305</v>
      </c>
    </row>
    <row r="718" spans="1:37" x14ac:dyDescent="0.15">
      <c r="A718" s="1">
        <f t="shared" ca="1" si="325"/>
        <v>9222402</v>
      </c>
      <c r="B718" s="1" t="str">
        <f t="shared" ca="1" si="310"/>
        <v>龙拳第4段</v>
      </c>
      <c r="C718" t="s">
        <v>165</v>
      </c>
      <c r="D718">
        <f t="shared" si="311"/>
        <v>2</v>
      </c>
      <c r="E718" s="42">
        <f t="shared" ca="1" si="326"/>
        <v>12</v>
      </c>
      <c r="F718" t="str">
        <f t="shared" ca="1" si="327"/>
        <v>第2级，共造成182.9%点伤害</v>
      </c>
      <c r="G718">
        <f t="shared" ca="1" si="328"/>
        <v>4</v>
      </c>
      <c r="H718">
        <f t="shared" si="312"/>
        <v>4</v>
      </c>
      <c r="I718" s="44">
        <f t="shared" ca="1" si="337"/>
        <v>2</v>
      </c>
      <c r="J718">
        <f t="shared" si="313"/>
        <v>2</v>
      </c>
      <c r="K718" s="36">
        <f t="shared" ca="1" si="314"/>
        <v>60.978260869565226</v>
      </c>
      <c r="L718" s="10">
        <f ca="1">AH718*VLOOKUP(C718,技能辅助查询表,技能配置辅助表!$T$1,FALSE)</f>
        <v>0</v>
      </c>
      <c r="M718">
        <f t="shared" ca="1" si="315"/>
        <v>7840</v>
      </c>
      <c r="N718" s="33">
        <f ca="1">CHOOSE(1,W718*U718,X718*'[1]0、经济设定'!$C$18)</f>
        <v>812</v>
      </c>
      <c r="O718">
        <f t="shared" si="316"/>
        <v>2</v>
      </c>
      <c r="P718">
        <f t="shared" si="317"/>
        <v>3</v>
      </c>
      <c r="Q718">
        <f t="shared" si="318"/>
        <v>1</v>
      </c>
      <c r="R718" s="2">
        <f t="shared" si="319"/>
        <v>9</v>
      </c>
      <c r="S718" s="2">
        <f t="shared" si="320"/>
        <v>50</v>
      </c>
      <c r="T718" s="2">
        <f t="shared" si="321"/>
        <v>59.782608695652179</v>
      </c>
      <c r="U718" s="2">
        <f ca="1">VLOOKUP(E718,金币生产率!$A$2:$B$120,2,0)</f>
        <v>116</v>
      </c>
      <c r="V718" s="2">
        <f t="shared" si="322"/>
        <v>179.34782608695653</v>
      </c>
      <c r="W718" s="45">
        <f t="shared" ca="1" si="334"/>
        <v>7</v>
      </c>
      <c r="X718" s="48">
        <f t="shared" ca="1" si="335"/>
        <v>13</v>
      </c>
      <c r="Y718">
        <f t="shared" si="323"/>
        <v>18</v>
      </c>
      <c r="Z718">
        <f t="shared" ca="1" si="329"/>
        <v>0</v>
      </c>
      <c r="AA718" t="str">
        <f t="shared" ca="1" si="330"/>
        <v>9222400.png</v>
      </c>
      <c r="AB718">
        <f t="shared" si="324"/>
        <v>7</v>
      </c>
      <c r="AC718">
        <f>VLOOKUP(C718,技能辅助查询表,技能配置辅助表!$W$1,FALSE)</f>
        <v>27</v>
      </c>
      <c r="AD718">
        <f t="shared" ca="1" si="331"/>
        <v>2.4925765169870355</v>
      </c>
      <c r="AE718">
        <f>VLOOKUP(C718,技能辅助查询表,技能配置辅助表!$U$1,FALSE)</f>
        <v>4</v>
      </c>
      <c r="AF718">
        <f t="shared" ca="1" si="332"/>
        <v>9222402</v>
      </c>
      <c r="AG718">
        <f t="shared" ca="1" si="336"/>
        <v>10.448979591836736</v>
      </c>
      <c r="AH718">
        <f t="shared" ca="1" si="333"/>
        <v>15.027328935963775</v>
      </c>
      <c r="AI718">
        <f ca="1">VLOOKUP(E718,伤害参考系!$C$4:$E$104,3,FALSE)*$AN$12</f>
        <v>249.04956521739126</v>
      </c>
      <c r="AJ718">
        <f>VLOOKUP(C718,技能辅助查询表,技能配置辅助表!$L$1,FALSE)</f>
        <v>3</v>
      </c>
      <c r="AK718">
        <f>VLOOKUP(C718,技能辅助查询表,技能配置辅助表!$AE$1,FALSE)</f>
        <v>66000305</v>
      </c>
    </row>
    <row r="719" spans="1:37" x14ac:dyDescent="0.15">
      <c r="A719" s="1">
        <f t="shared" ca="1" si="325"/>
        <v>9222403</v>
      </c>
      <c r="B719" s="1" t="str">
        <f t="shared" ca="1" si="310"/>
        <v>龙拳第4段</v>
      </c>
      <c r="C719" t="s">
        <v>165</v>
      </c>
      <c r="D719">
        <f t="shared" si="311"/>
        <v>2</v>
      </c>
      <c r="E719" s="42">
        <f t="shared" ca="1" si="326"/>
        <v>13</v>
      </c>
      <c r="F719" t="str">
        <f t="shared" ca="1" si="327"/>
        <v>第3级，共造成184.7%点伤害</v>
      </c>
      <c r="G719">
        <f t="shared" ca="1" si="328"/>
        <v>4</v>
      </c>
      <c r="H719">
        <f t="shared" si="312"/>
        <v>4</v>
      </c>
      <c r="I719" s="44">
        <f t="shared" ca="1" si="337"/>
        <v>3</v>
      </c>
      <c r="J719">
        <f t="shared" si="313"/>
        <v>2</v>
      </c>
      <c r="K719" s="36">
        <f t="shared" ca="1" si="314"/>
        <v>61.576086956521742</v>
      </c>
      <c r="L719" s="10">
        <f ca="1">AH719*VLOOKUP(C719,技能辅助查询表,技能配置辅助表!$T$1,FALSE)</f>
        <v>0</v>
      </c>
      <c r="M719">
        <f t="shared" ca="1" si="315"/>
        <v>7760</v>
      </c>
      <c r="N719" s="33">
        <f ca="1">CHOOSE(1,W719*U719,X719*'[1]0、经济设定'!$C$18)</f>
        <v>854</v>
      </c>
      <c r="O719">
        <f t="shared" si="316"/>
        <v>2</v>
      </c>
      <c r="P719">
        <f t="shared" si="317"/>
        <v>3</v>
      </c>
      <c r="Q719">
        <f t="shared" si="318"/>
        <v>1</v>
      </c>
      <c r="R719" s="2">
        <f t="shared" si="319"/>
        <v>9</v>
      </c>
      <c r="S719" s="2">
        <f t="shared" si="320"/>
        <v>50</v>
      </c>
      <c r="T719" s="2">
        <f t="shared" si="321"/>
        <v>59.782608695652179</v>
      </c>
      <c r="U719" s="2">
        <f ca="1">VLOOKUP(E719,金币生产率!$A$2:$B$120,2,0)</f>
        <v>122</v>
      </c>
      <c r="V719" s="2">
        <f t="shared" si="322"/>
        <v>179.34782608695653</v>
      </c>
      <c r="W719" s="45">
        <f t="shared" ca="1" si="334"/>
        <v>7</v>
      </c>
      <c r="X719" s="48">
        <f t="shared" ca="1" si="335"/>
        <v>20</v>
      </c>
      <c r="Y719">
        <f t="shared" si="323"/>
        <v>18</v>
      </c>
      <c r="Z719">
        <f t="shared" ca="1" si="329"/>
        <v>0</v>
      </c>
      <c r="AA719" t="str">
        <f t="shared" ca="1" si="330"/>
        <v>9222400.png</v>
      </c>
      <c r="AB719">
        <f t="shared" si="324"/>
        <v>7</v>
      </c>
      <c r="AC719">
        <f>VLOOKUP(C719,技能辅助查询表,技能配置辅助表!$W$1,FALSE)</f>
        <v>27</v>
      </c>
      <c r="AD719">
        <f t="shared" ca="1" si="331"/>
        <v>2.8991325700917452</v>
      </c>
      <c r="AE719">
        <f>VLOOKUP(C719,技能辅助查询表,技能配置辅助表!$U$1,FALSE)</f>
        <v>4</v>
      </c>
      <c r="AF719">
        <f t="shared" ca="1" si="332"/>
        <v>9222403</v>
      </c>
      <c r="AG719">
        <f t="shared" ca="1" si="336"/>
        <v>11.897959183673469</v>
      </c>
      <c r="AH719">
        <f t="shared" ca="1" si="333"/>
        <v>17.108415423248271</v>
      </c>
      <c r="AI719">
        <f ca="1">VLOOKUP(E719,伤害参考系!$C$4:$E$104,3,FALSE)*$AN$12</f>
        <v>288.46124999999995</v>
      </c>
      <c r="AJ719">
        <f>VLOOKUP(C719,技能辅助查询表,技能配置辅助表!$L$1,FALSE)</f>
        <v>3</v>
      </c>
      <c r="AK719">
        <f>VLOOKUP(C719,技能辅助查询表,技能配置辅助表!$AE$1,FALSE)</f>
        <v>66000305</v>
      </c>
    </row>
    <row r="720" spans="1:37" x14ac:dyDescent="0.15">
      <c r="A720" s="1">
        <f t="shared" ca="1" si="325"/>
        <v>9222404</v>
      </c>
      <c r="B720" s="1" t="str">
        <f t="shared" ca="1" si="310"/>
        <v>龙拳第4段</v>
      </c>
      <c r="C720" t="s">
        <v>165</v>
      </c>
      <c r="D720">
        <f t="shared" si="311"/>
        <v>2</v>
      </c>
      <c r="E720" s="42">
        <f t="shared" ca="1" si="326"/>
        <v>15</v>
      </c>
      <c r="F720" t="str">
        <f t="shared" ca="1" si="327"/>
        <v>第4级，共造成186.5%点伤害</v>
      </c>
      <c r="G720">
        <f t="shared" ca="1" si="328"/>
        <v>4</v>
      </c>
      <c r="H720">
        <f t="shared" si="312"/>
        <v>4</v>
      </c>
      <c r="I720" s="44">
        <f t="shared" ca="1" si="337"/>
        <v>4</v>
      </c>
      <c r="J720">
        <f t="shared" si="313"/>
        <v>2</v>
      </c>
      <c r="K720" s="36">
        <f t="shared" ca="1" si="314"/>
        <v>62.173913043478265</v>
      </c>
      <c r="L720" s="10">
        <f ca="1">AH720*VLOOKUP(C720,技能辅助查询表,技能配置辅助表!$T$1,FALSE)</f>
        <v>0</v>
      </c>
      <c r="M720">
        <f t="shared" ca="1" si="315"/>
        <v>7680</v>
      </c>
      <c r="N720" s="33">
        <f ca="1">CHOOSE(1,W720*U720,X720*'[1]0、经济设定'!$C$18)</f>
        <v>1072</v>
      </c>
      <c r="O720">
        <f t="shared" si="316"/>
        <v>2</v>
      </c>
      <c r="P720">
        <f t="shared" si="317"/>
        <v>3</v>
      </c>
      <c r="Q720">
        <f t="shared" si="318"/>
        <v>1</v>
      </c>
      <c r="R720" s="2">
        <f t="shared" si="319"/>
        <v>9</v>
      </c>
      <c r="S720" s="2">
        <f t="shared" si="320"/>
        <v>50</v>
      </c>
      <c r="T720" s="2">
        <f t="shared" si="321"/>
        <v>59.782608695652179</v>
      </c>
      <c r="U720" s="2">
        <f ca="1">VLOOKUP(E720,金币生产率!$A$2:$B$120,2,0)</f>
        <v>134</v>
      </c>
      <c r="V720" s="2">
        <f t="shared" si="322"/>
        <v>179.34782608695653</v>
      </c>
      <c r="W720" s="45">
        <f t="shared" ca="1" si="334"/>
        <v>8</v>
      </c>
      <c r="X720" s="48">
        <f t="shared" ca="1" si="335"/>
        <v>28</v>
      </c>
      <c r="Y720">
        <f t="shared" si="323"/>
        <v>18</v>
      </c>
      <c r="Z720">
        <f t="shared" ca="1" si="329"/>
        <v>0</v>
      </c>
      <c r="AA720" t="str">
        <f t="shared" ca="1" si="330"/>
        <v>9222400.png</v>
      </c>
      <c r="AB720">
        <f t="shared" si="324"/>
        <v>7</v>
      </c>
      <c r="AC720">
        <f>VLOOKUP(C720,技能辅助查询表,技能配置辅助表!$W$1,FALSE)</f>
        <v>27</v>
      </c>
      <c r="AD720">
        <f t="shared" ca="1" si="331"/>
        <v>3.3704898026442303</v>
      </c>
      <c r="AE720">
        <f>VLOOKUP(C720,技能辅助查询表,技能配置辅助表!$U$1,FALSE)</f>
        <v>4</v>
      </c>
      <c r="AF720">
        <f t="shared" ca="1" si="332"/>
        <v>9222404</v>
      </c>
      <c r="AG720">
        <f t="shared" ca="1" si="336"/>
        <v>13.346938775510203</v>
      </c>
      <c r="AH720">
        <f t="shared" ca="1" si="333"/>
        <v>19.477704889652582</v>
      </c>
      <c r="AI720">
        <f ca="1">VLOOKUP(E720,伤害参考系!$C$4:$E$104,3,FALSE)*$AN$12</f>
        <v>374.61277173913044</v>
      </c>
      <c r="AJ720">
        <f>VLOOKUP(C720,技能辅助查询表,技能配置辅助表!$L$1,FALSE)</f>
        <v>3</v>
      </c>
      <c r="AK720">
        <f>VLOOKUP(C720,技能辅助查询表,技能配置辅助表!$AE$1,FALSE)</f>
        <v>66000305</v>
      </c>
    </row>
    <row r="721" spans="1:37" x14ac:dyDescent="0.15">
      <c r="A721" s="1">
        <f t="shared" ca="1" si="325"/>
        <v>9222405</v>
      </c>
      <c r="B721" s="1" t="str">
        <f t="shared" ca="1" si="310"/>
        <v>龙拳第4段</v>
      </c>
      <c r="C721" t="s">
        <v>165</v>
      </c>
      <c r="D721">
        <f t="shared" si="311"/>
        <v>2</v>
      </c>
      <c r="E721" s="42">
        <f t="shared" ca="1" si="326"/>
        <v>16</v>
      </c>
      <c r="F721" t="str">
        <f t="shared" ca="1" si="327"/>
        <v>第5级，共造成188.3%点伤害</v>
      </c>
      <c r="G721">
        <f t="shared" ca="1" si="328"/>
        <v>4</v>
      </c>
      <c r="H721">
        <f t="shared" si="312"/>
        <v>4</v>
      </c>
      <c r="I721" s="44">
        <f t="shared" ca="1" si="337"/>
        <v>5</v>
      </c>
      <c r="J721">
        <f t="shared" si="313"/>
        <v>2</v>
      </c>
      <c r="K721" s="36">
        <f t="shared" ca="1" si="314"/>
        <v>62.771739130434788</v>
      </c>
      <c r="L721" s="10">
        <f ca="1">AH721*VLOOKUP(C721,技能辅助查询表,技能配置辅助表!$T$1,FALSE)</f>
        <v>0</v>
      </c>
      <c r="M721">
        <f t="shared" ca="1" si="315"/>
        <v>7600</v>
      </c>
      <c r="N721" s="33">
        <f ca="1">CHOOSE(1,W721*U721,X721*'[1]0、经济设定'!$C$18)</f>
        <v>1120</v>
      </c>
      <c r="O721">
        <f t="shared" si="316"/>
        <v>2</v>
      </c>
      <c r="P721">
        <f t="shared" si="317"/>
        <v>3</v>
      </c>
      <c r="Q721">
        <f t="shared" si="318"/>
        <v>1</v>
      </c>
      <c r="R721" s="2">
        <f t="shared" si="319"/>
        <v>9</v>
      </c>
      <c r="S721" s="2">
        <f t="shared" si="320"/>
        <v>50</v>
      </c>
      <c r="T721" s="2">
        <f t="shared" si="321"/>
        <v>59.782608695652179</v>
      </c>
      <c r="U721" s="2">
        <f ca="1">VLOOKUP(E721,金币生产率!$A$2:$B$120,2,0)</f>
        <v>140</v>
      </c>
      <c r="V721" s="2">
        <f t="shared" si="322"/>
        <v>179.34782608695653</v>
      </c>
      <c r="W721" s="45">
        <f t="shared" ca="1" si="334"/>
        <v>8</v>
      </c>
      <c r="X721" s="48">
        <f t="shared" ca="1" si="335"/>
        <v>36</v>
      </c>
      <c r="Y721">
        <f t="shared" si="323"/>
        <v>18</v>
      </c>
      <c r="Z721">
        <f t="shared" ca="1" si="329"/>
        <v>0</v>
      </c>
      <c r="AA721" t="str">
        <f t="shared" ca="1" si="330"/>
        <v>9222400.png</v>
      </c>
      <c r="AB721">
        <f t="shared" si="324"/>
        <v>7</v>
      </c>
      <c r="AC721">
        <f>VLOOKUP(C721,技能辅助查询表,技能配置辅助表!$W$1,FALSE)</f>
        <v>27</v>
      </c>
      <c r="AD721">
        <f t="shared" ca="1" si="331"/>
        <v>3.9167992569743526</v>
      </c>
      <c r="AE721">
        <f>VLOOKUP(C721,技能辅助查询表,技能配置辅助表!$U$1,FALSE)</f>
        <v>4</v>
      </c>
      <c r="AF721">
        <f t="shared" ca="1" si="332"/>
        <v>9222405</v>
      </c>
      <c r="AG721">
        <f t="shared" ca="1" si="336"/>
        <v>14.795918367346939</v>
      </c>
      <c r="AH721">
        <f t="shared" ca="1" si="333"/>
        <v>22.175109639485559</v>
      </c>
      <c r="AI721">
        <f ca="1">VLOOKUP(E721,伤害参考系!$C$4:$E$104,3,FALSE)*$AN$12</f>
        <v>421.35260869565224</v>
      </c>
      <c r="AJ721">
        <f>VLOOKUP(C721,技能辅助查询表,技能配置辅助表!$L$1,FALSE)</f>
        <v>3</v>
      </c>
      <c r="AK721">
        <f>VLOOKUP(C721,技能辅助查询表,技能配置辅助表!$AE$1,FALSE)</f>
        <v>66000305</v>
      </c>
    </row>
    <row r="722" spans="1:37" x14ac:dyDescent="0.15">
      <c r="A722" s="1">
        <f t="shared" ca="1" si="325"/>
        <v>9222406</v>
      </c>
      <c r="B722" s="1" t="str">
        <f t="shared" ca="1" si="310"/>
        <v>龙拳第4段</v>
      </c>
      <c r="C722" t="s">
        <v>165</v>
      </c>
      <c r="D722">
        <f t="shared" si="311"/>
        <v>2</v>
      </c>
      <c r="E722" s="42">
        <f t="shared" ca="1" si="326"/>
        <v>18</v>
      </c>
      <c r="F722" t="str">
        <f t="shared" ca="1" si="327"/>
        <v>第6级，共造成190.1%点伤害</v>
      </c>
      <c r="G722">
        <f t="shared" ca="1" si="328"/>
        <v>4</v>
      </c>
      <c r="H722">
        <f t="shared" si="312"/>
        <v>4</v>
      </c>
      <c r="I722" s="44">
        <f t="shared" ca="1" si="337"/>
        <v>6</v>
      </c>
      <c r="J722">
        <f t="shared" si="313"/>
        <v>2</v>
      </c>
      <c r="K722" s="36">
        <f t="shared" ca="1" si="314"/>
        <v>63.369565217391312</v>
      </c>
      <c r="L722" s="10">
        <f ca="1">AH722*VLOOKUP(C722,技能辅助查询表,技能配置辅助表!$T$1,FALSE)</f>
        <v>0</v>
      </c>
      <c r="M722">
        <f t="shared" ca="1" si="315"/>
        <v>7520</v>
      </c>
      <c r="N722" s="33">
        <f ca="1">CHOOSE(1,W722*U722,X722*'[1]0、经济设定'!$C$18)</f>
        <v>1368</v>
      </c>
      <c r="O722">
        <f t="shared" si="316"/>
        <v>2</v>
      </c>
      <c r="P722">
        <f t="shared" si="317"/>
        <v>3</v>
      </c>
      <c r="Q722">
        <f t="shared" si="318"/>
        <v>1</v>
      </c>
      <c r="R722" s="2">
        <f t="shared" si="319"/>
        <v>9</v>
      </c>
      <c r="S722" s="2">
        <f t="shared" si="320"/>
        <v>50</v>
      </c>
      <c r="T722" s="2">
        <f t="shared" si="321"/>
        <v>59.782608695652179</v>
      </c>
      <c r="U722" s="2">
        <f ca="1">VLOOKUP(E722,金币生产率!$A$2:$B$120,2,0)</f>
        <v>152</v>
      </c>
      <c r="V722" s="2">
        <f t="shared" si="322"/>
        <v>179.34782608695653</v>
      </c>
      <c r="W722" s="45">
        <f t="shared" ca="1" si="334"/>
        <v>9</v>
      </c>
      <c r="X722" s="48">
        <f t="shared" ca="1" si="335"/>
        <v>45</v>
      </c>
      <c r="Y722">
        <f t="shared" si="323"/>
        <v>18</v>
      </c>
      <c r="Z722">
        <f t="shared" ca="1" si="329"/>
        <v>0</v>
      </c>
      <c r="AA722" t="str">
        <f t="shared" ca="1" si="330"/>
        <v>9222400.png</v>
      </c>
      <c r="AB722">
        <f t="shared" si="324"/>
        <v>7</v>
      </c>
      <c r="AC722">
        <f>VLOOKUP(C722,技能辅助查询表,技能配置辅助表!$W$1,FALSE)</f>
        <v>27</v>
      </c>
      <c r="AD722">
        <f t="shared" ca="1" si="331"/>
        <v>4.5497807506202754</v>
      </c>
      <c r="AE722">
        <f>VLOOKUP(C722,技能辅助查询表,技能配置辅助表!$U$1,FALSE)</f>
        <v>4</v>
      </c>
      <c r="AF722">
        <f t="shared" ca="1" si="332"/>
        <v>9222406</v>
      </c>
      <c r="AG722">
        <f t="shared" ca="1" si="336"/>
        <v>16.244897959183675</v>
      </c>
      <c r="AH722">
        <f t="shared" ca="1" si="333"/>
        <v>25.246069303803697</v>
      </c>
      <c r="AI722">
        <f ca="1">VLOOKUP(E722,伤害参考系!$C$4:$E$104,3,FALSE)*$AN$12</f>
        <v>522.16043478260883</v>
      </c>
      <c r="AJ722">
        <f>VLOOKUP(C722,技能辅助查询表,技能配置辅助表!$L$1,FALSE)</f>
        <v>3</v>
      </c>
      <c r="AK722">
        <f>VLOOKUP(C722,技能辅助查询表,技能配置辅助表!$AE$1,FALSE)</f>
        <v>66000305</v>
      </c>
    </row>
    <row r="723" spans="1:37" x14ac:dyDescent="0.15">
      <c r="A723" s="1">
        <f t="shared" ca="1" si="325"/>
        <v>9222407</v>
      </c>
      <c r="B723" s="1" t="str">
        <f t="shared" ca="1" si="310"/>
        <v>龙拳第4段</v>
      </c>
      <c r="C723" t="s">
        <v>165</v>
      </c>
      <c r="D723">
        <f t="shared" si="311"/>
        <v>2</v>
      </c>
      <c r="E723" s="42">
        <f t="shared" ca="1" si="326"/>
        <v>19</v>
      </c>
      <c r="F723" t="str">
        <f t="shared" ca="1" si="327"/>
        <v>第7级，共造成191.9%点伤害</v>
      </c>
      <c r="G723">
        <f t="shared" ca="1" si="328"/>
        <v>4</v>
      </c>
      <c r="H723">
        <f t="shared" si="312"/>
        <v>4</v>
      </c>
      <c r="I723" s="44">
        <f t="shared" ca="1" si="337"/>
        <v>7</v>
      </c>
      <c r="J723">
        <f t="shared" si="313"/>
        <v>2</v>
      </c>
      <c r="K723" s="36">
        <f t="shared" ca="1" si="314"/>
        <v>63.967391304347835</v>
      </c>
      <c r="L723" s="10">
        <f ca="1">AH723*VLOOKUP(C723,技能辅助查询表,技能配置辅助表!$T$1,FALSE)</f>
        <v>0</v>
      </c>
      <c r="M723">
        <f t="shared" ca="1" si="315"/>
        <v>7440</v>
      </c>
      <c r="N723" s="33">
        <f ca="1">CHOOSE(1,W723*U723,X723*'[1]0、经济设定'!$C$18)</f>
        <v>1422</v>
      </c>
      <c r="O723">
        <f t="shared" si="316"/>
        <v>2</v>
      </c>
      <c r="P723">
        <f t="shared" si="317"/>
        <v>3</v>
      </c>
      <c r="Q723">
        <f t="shared" si="318"/>
        <v>1</v>
      </c>
      <c r="R723" s="2">
        <f t="shared" si="319"/>
        <v>9</v>
      </c>
      <c r="S723" s="2">
        <f t="shared" si="320"/>
        <v>50</v>
      </c>
      <c r="T723" s="2">
        <f t="shared" si="321"/>
        <v>59.782608695652179</v>
      </c>
      <c r="U723" s="2">
        <f ca="1">VLOOKUP(E723,金币生产率!$A$2:$B$120,2,0)</f>
        <v>158</v>
      </c>
      <c r="V723" s="2">
        <f t="shared" si="322"/>
        <v>179.34782608695653</v>
      </c>
      <c r="W723" s="45">
        <f t="shared" ca="1" si="334"/>
        <v>9</v>
      </c>
      <c r="X723" s="48">
        <f t="shared" ca="1" si="335"/>
        <v>54</v>
      </c>
      <c r="Y723">
        <f t="shared" si="323"/>
        <v>18</v>
      </c>
      <c r="Z723">
        <f t="shared" ca="1" si="329"/>
        <v>0</v>
      </c>
      <c r="AA723" t="str">
        <f t="shared" ca="1" si="330"/>
        <v>9222400.png</v>
      </c>
      <c r="AB723">
        <f t="shared" si="324"/>
        <v>7</v>
      </c>
      <c r="AC723">
        <f>VLOOKUP(C723,技能辅助查询表,技能配置辅助表!$W$1,FALSE)</f>
        <v>27</v>
      </c>
      <c r="AD723">
        <f t="shared" ca="1" si="331"/>
        <v>5.2829627029237294</v>
      </c>
      <c r="AE723">
        <f>VLOOKUP(C723,技能辅助查询表,技能配置辅助表!$U$1,FALSE)</f>
        <v>4</v>
      </c>
      <c r="AF723">
        <f t="shared" ca="1" si="332"/>
        <v>9222407</v>
      </c>
      <c r="AG723">
        <f t="shared" ca="1" si="336"/>
        <v>17.693877551020407</v>
      </c>
      <c r="AH723">
        <f t="shared" ca="1" si="333"/>
        <v>28.742316302127907</v>
      </c>
      <c r="AI723">
        <f ca="1">VLOOKUP(E723,伤害参考系!$C$4:$E$104,3,FALSE)*$AN$12</f>
        <v>576.22842391304346</v>
      </c>
      <c r="AJ723">
        <f>VLOOKUP(C723,技能辅助查询表,技能配置辅助表!$L$1,FALSE)</f>
        <v>3</v>
      </c>
      <c r="AK723">
        <f>VLOOKUP(C723,技能辅助查询表,技能配置辅助表!$AE$1,FALSE)</f>
        <v>66000305</v>
      </c>
    </row>
    <row r="724" spans="1:37" x14ac:dyDescent="0.15">
      <c r="A724" s="1">
        <f t="shared" ca="1" si="325"/>
        <v>9222408</v>
      </c>
      <c r="B724" s="1" t="str">
        <f t="shared" ca="1" si="310"/>
        <v>龙拳第4段</v>
      </c>
      <c r="C724" t="s">
        <v>165</v>
      </c>
      <c r="D724">
        <f t="shared" si="311"/>
        <v>2</v>
      </c>
      <c r="E724" s="42">
        <f t="shared" ca="1" si="326"/>
        <v>20</v>
      </c>
      <c r="F724" t="str">
        <f t="shared" ca="1" si="327"/>
        <v>第8级，共造成193.7%点伤害</v>
      </c>
      <c r="G724">
        <f t="shared" ca="1" si="328"/>
        <v>4</v>
      </c>
      <c r="H724">
        <f t="shared" si="312"/>
        <v>4</v>
      </c>
      <c r="I724" s="44">
        <f t="shared" ca="1" si="337"/>
        <v>8</v>
      </c>
      <c r="J724">
        <f t="shared" si="313"/>
        <v>2</v>
      </c>
      <c r="K724" s="36">
        <f t="shared" ca="1" si="314"/>
        <v>64.565217391304358</v>
      </c>
      <c r="L724" s="10">
        <f ca="1">AH724*VLOOKUP(C724,技能辅助查询表,技能配置辅助表!$T$1,FALSE)</f>
        <v>0</v>
      </c>
      <c r="M724">
        <f t="shared" ca="1" si="315"/>
        <v>7360</v>
      </c>
      <c r="N724" s="33">
        <f ca="1">CHOOSE(1,W724*U724,X724*'[1]0、经济设定'!$C$18)</f>
        <v>1820</v>
      </c>
      <c r="O724">
        <f t="shared" si="316"/>
        <v>2</v>
      </c>
      <c r="P724">
        <f t="shared" si="317"/>
        <v>3</v>
      </c>
      <c r="Q724">
        <f t="shared" si="318"/>
        <v>1</v>
      </c>
      <c r="R724" s="2">
        <f t="shared" si="319"/>
        <v>9</v>
      </c>
      <c r="S724" s="2">
        <f t="shared" si="320"/>
        <v>50</v>
      </c>
      <c r="T724" s="2">
        <f t="shared" si="321"/>
        <v>59.782608695652179</v>
      </c>
      <c r="U724" s="2">
        <f ca="1">VLOOKUP(E724,金币生产率!$A$2:$B$120,2,0)</f>
        <v>182</v>
      </c>
      <c r="V724" s="2">
        <f t="shared" si="322"/>
        <v>179.34782608695653</v>
      </c>
      <c r="W724" s="45">
        <f t="shared" ca="1" si="334"/>
        <v>10</v>
      </c>
      <c r="X724" s="48">
        <f t="shared" ca="1" si="335"/>
        <v>64</v>
      </c>
      <c r="Y724">
        <f t="shared" si="323"/>
        <v>18</v>
      </c>
      <c r="Z724">
        <f t="shared" ca="1" si="329"/>
        <v>0</v>
      </c>
      <c r="AA724" t="str">
        <f t="shared" ca="1" si="330"/>
        <v>9222400.png</v>
      </c>
      <c r="AB724">
        <f t="shared" si="324"/>
        <v>7</v>
      </c>
      <c r="AC724">
        <f>VLOOKUP(C724,技能辅助查询表,技能配置辅助表!$W$1,FALSE)</f>
        <v>27</v>
      </c>
      <c r="AD724">
        <f t="shared" ca="1" si="331"/>
        <v>6.1319583003576428</v>
      </c>
      <c r="AE724">
        <f>VLOOKUP(C724,技能辅助查询表,技能配置辅助表!$U$1,FALSE)</f>
        <v>4</v>
      </c>
      <c r="AF724">
        <f t="shared" ca="1" si="332"/>
        <v>9222408</v>
      </c>
      <c r="AG724">
        <f t="shared" ca="1" si="336"/>
        <v>19.142857142857142</v>
      </c>
      <c r="AH724">
        <f t="shared" ca="1" si="333"/>
        <v>32.722747310493212</v>
      </c>
      <c r="AI724">
        <f ca="1">VLOOKUP(E724,伤害参考系!$C$4:$E$104,3,FALSE)*$AN$12</f>
        <v>632.73913043478262</v>
      </c>
      <c r="AJ724">
        <f>VLOOKUP(C724,技能辅助查询表,技能配置辅助表!$L$1,FALSE)</f>
        <v>3</v>
      </c>
      <c r="AK724">
        <f>VLOOKUP(C724,技能辅助查询表,技能配置辅助表!$AE$1,FALSE)</f>
        <v>66000305</v>
      </c>
    </row>
    <row r="725" spans="1:37" x14ac:dyDescent="0.15">
      <c r="A725" s="1">
        <f t="shared" ca="1" si="325"/>
        <v>9222409</v>
      </c>
      <c r="B725" s="1" t="str">
        <f t="shared" ca="1" si="310"/>
        <v>龙拳第4段</v>
      </c>
      <c r="C725" t="s">
        <v>165</v>
      </c>
      <c r="D725">
        <f t="shared" si="311"/>
        <v>2</v>
      </c>
      <c r="E725" s="42">
        <f t="shared" ca="1" si="326"/>
        <v>22</v>
      </c>
      <c r="F725" t="str">
        <f t="shared" ca="1" si="327"/>
        <v>第9级，共造成195.5%点伤害</v>
      </c>
      <c r="G725">
        <f t="shared" ca="1" si="328"/>
        <v>4</v>
      </c>
      <c r="H725">
        <f t="shared" si="312"/>
        <v>4</v>
      </c>
      <c r="I725" s="44">
        <f t="shared" ca="1" si="337"/>
        <v>9</v>
      </c>
      <c r="J725">
        <f t="shared" si="313"/>
        <v>2</v>
      </c>
      <c r="K725" s="36">
        <f t="shared" ca="1" si="314"/>
        <v>65.163043478260875</v>
      </c>
      <c r="L725" s="10">
        <f ca="1">AH725*VLOOKUP(C725,技能辅助查询表,技能配置辅助表!$T$1,FALSE)</f>
        <v>0</v>
      </c>
      <c r="M725">
        <f t="shared" ca="1" si="315"/>
        <v>7280</v>
      </c>
      <c r="N725" s="33">
        <f ca="1">CHOOSE(1,W725*U725,X725*'[1]0、经济设定'!$C$18)</f>
        <v>2629</v>
      </c>
      <c r="O725">
        <f t="shared" si="316"/>
        <v>2</v>
      </c>
      <c r="P725">
        <f t="shared" si="317"/>
        <v>3</v>
      </c>
      <c r="Q725">
        <f t="shared" si="318"/>
        <v>1</v>
      </c>
      <c r="R725" s="2">
        <f t="shared" si="319"/>
        <v>9</v>
      </c>
      <c r="S725" s="2">
        <f t="shared" si="320"/>
        <v>50</v>
      </c>
      <c r="T725" s="2">
        <f t="shared" si="321"/>
        <v>59.782608695652179</v>
      </c>
      <c r="U725" s="2">
        <f ca="1">VLOOKUP(E725,金币生产率!$A$2:$B$120,2,0)</f>
        <v>239</v>
      </c>
      <c r="V725" s="2">
        <f t="shared" si="322"/>
        <v>179.34782608695653</v>
      </c>
      <c r="W725" s="45">
        <f t="shared" ca="1" si="334"/>
        <v>11</v>
      </c>
      <c r="X725" s="48">
        <f t="shared" ca="1" si="335"/>
        <v>75</v>
      </c>
      <c r="Y725">
        <f t="shared" si="323"/>
        <v>18</v>
      </c>
      <c r="Z725">
        <f t="shared" ca="1" si="329"/>
        <v>0</v>
      </c>
      <c r="AA725" t="str">
        <f t="shared" ca="1" si="330"/>
        <v>9222400.png</v>
      </c>
      <c r="AB725">
        <f t="shared" si="324"/>
        <v>7</v>
      </c>
      <c r="AC725">
        <f>VLOOKUP(C725,技能辅助查询表,技能配置辅助表!$W$1,FALSE)</f>
        <v>27</v>
      </c>
      <c r="AD725">
        <f t="shared" ca="1" si="331"/>
        <v>7.1147834659187934</v>
      </c>
      <c r="AE725">
        <f>VLOOKUP(C725,技能辅助查询表,技能配置辅助表!$U$1,FALSE)</f>
        <v>4</v>
      </c>
      <c r="AF725">
        <f t="shared" ca="1" si="332"/>
        <v>9222409</v>
      </c>
      <c r="AG725">
        <f t="shared" ca="1" si="336"/>
        <v>20.591836734693878</v>
      </c>
      <c r="AH725">
        <f t="shared" ca="1" si="333"/>
        <v>37.25441541630785</v>
      </c>
      <c r="AI725">
        <f ca="1">VLOOKUP(E725,伤害参考系!$C$4:$E$104,3,FALSE)*$AN$12</f>
        <v>753.08869565217401</v>
      </c>
      <c r="AJ725">
        <f>VLOOKUP(C725,技能辅助查询表,技能配置辅助表!$L$1,FALSE)</f>
        <v>3</v>
      </c>
      <c r="AK725">
        <f>VLOOKUP(C725,技能辅助查询表,技能配置辅助表!$AE$1,FALSE)</f>
        <v>66000305</v>
      </c>
    </row>
    <row r="726" spans="1:37" x14ac:dyDescent="0.15">
      <c r="A726" s="1">
        <f t="shared" ca="1" si="325"/>
        <v>9222410</v>
      </c>
      <c r="B726" s="1" t="str">
        <f t="shared" ca="1" si="310"/>
        <v>龙拳第4段</v>
      </c>
      <c r="C726" t="s">
        <v>165</v>
      </c>
      <c r="D726">
        <f t="shared" si="311"/>
        <v>2</v>
      </c>
      <c r="E726" s="42">
        <f t="shared" ca="1" si="326"/>
        <v>23</v>
      </c>
      <c r="F726" t="str">
        <f t="shared" ca="1" si="327"/>
        <v>第10级，共造成197.3%点伤害</v>
      </c>
      <c r="G726">
        <f t="shared" ca="1" si="328"/>
        <v>4</v>
      </c>
      <c r="H726">
        <f t="shared" si="312"/>
        <v>4</v>
      </c>
      <c r="I726" s="44">
        <f t="shared" ca="1" si="337"/>
        <v>10</v>
      </c>
      <c r="J726">
        <f t="shared" si="313"/>
        <v>2</v>
      </c>
      <c r="K726" s="36">
        <f t="shared" ca="1" si="314"/>
        <v>65.760869565217405</v>
      </c>
      <c r="L726" s="10">
        <f ca="1">AH726*VLOOKUP(C726,技能辅助查询表,技能配置辅助表!$T$1,FALSE)</f>
        <v>0</v>
      </c>
      <c r="M726">
        <f t="shared" ca="1" si="315"/>
        <v>7200</v>
      </c>
      <c r="N726" s="33">
        <f ca="1">CHOOSE(1,W726*U726,X726*'[1]0、经济设定'!$C$18)</f>
        <v>2970</v>
      </c>
      <c r="O726">
        <f t="shared" si="316"/>
        <v>2</v>
      </c>
      <c r="P726">
        <f t="shared" si="317"/>
        <v>3</v>
      </c>
      <c r="Q726">
        <f t="shared" si="318"/>
        <v>1</v>
      </c>
      <c r="R726" s="2">
        <f t="shared" si="319"/>
        <v>9</v>
      </c>
      <c r="S726" s="2">
        <f t="shared" si="320"/>
        <v>50</v>
      </c>
      <c r="T726" s="2">
        <f t="shared" si="321"/>
        <v>59.782608695652179</v>
      </c>
      <c r="U726" s="2">
        <f ca="1">VLOOKUP(E726,金币生产率!$A$2:$B$120,2,0)</f>
        <v>270</v>
      </c>
      <c r="V726" s="2">
        <f t="shared" si="322"/>
        <v>179.34782608695653</v>
      </c>
      <c r="W726" s="45">
        <f t="shared" ca="1" si="334"/>
        <v>11</v>
      </c>
      <c r="X726" s="48">
        <f t="shared" ca="1" si="335"/>
        <v>86</v>
      </c>
      <c r="Y726">
        <f t="shared" si="323"/>
        <v>18</v>
      </c>
      <c r="Z726">
        <f t="shared" ca="1" si="329"/>
        <v>0</v>
      </c>
      <c r="AA726" t="str">
        <f t="shared" ca="1" si="330"/>
        <v>9222400.png</v>
      </c>
      <c r="AB726">
        <f t="shared" si="324"/>
        <v>7</v>
      </c>
      <c r="AC726">
        <f>VLOOKUP(C726,技能辅助查询表,技能配置辅助表!$W$1,FALSE)</f>
        <v>27</v>
      </c>
      <c r="AD726">
        <f t="shared" ca="1" si="331"/>
        <v>8.2522229147450794</v>
      </c>
      <c r="AE726">
        <f>VLOOKUP(C726,技能辅助查询表,技能配置辅助表!$U$1,FALSE)</f>
        <v>4</v>
      </c>
      <c r="AF726">
        <f t="shared" ca="1" si="332"/>
        <v>9222410</v>
      </c>
      <c r="AG726">
        <f t="shared" ca="1" si="336"/>
        <v>22.04081632653061</v>
      </c>
      <c r="AH726">
        <f t="shared" ca="1" si="333"/>
        <v>42.413659673550121</v>
      </c>
      <c r="AI726">
        <f ca="1">VLOOKUP(E726,伤害参考系!$C$4:$E$104,3,FALSE)*$AN$12</f>
        <v>832.15832357859551</v>
      </c>
      <c r="AJ726">
        <f>VLOOKUP(C726,技能辅助查询表,技能配置辅助表!$L$1,FALSE)</f>
        <v>3</v>
      </c>
      <c r="AK726">
        <f>VLOOKUP(C726,技能辅助查询表,技能配置辅助表!$AE$1,FALSE)</f>
        <v>66000305</v>
      </c>
    </row>
    <row r="727" spans="1:37" x14ac:dyDescent="0.15">
      <c r="A727" s="1">
        <f t="shared" ca="1" si="325"/>
        <v>9222411</v>
      </c>
      <c r="B727" s="1" t="str">
        <f t="shared" ca="1" si="310"/>
        <v>龙拳第4段</v>
      </c>
      <c r="C727" t="s">
        <v>165</v>
      </c>
      <c r="D727">
        <f t="shared" si="311"/>
        <v>2</v>
      </c>
      <c r="E727" s="42">
        <f t="shared" ca="1" si="326"/>
        <v>25</v>
      </c>
      <c r="F727" t="str">
        <f t="shared" ca="1" si="327"/>
        <v>第11级，共造成199.1%点伤害</v>
      </c>
      <c r="G727">
        <f t="shared" ca="1" si="328"/>
        <v>4</v>
      </c>
      <c r="H727">
        <f t="shared" si="312"/>
        <v>4</v>
      </c>
      <c r="I727" s="44">
        <f t="shared" ca="1" si="337"/>
        <v>11</v>
      </c>
      <c r="J727">
        <f t="shared" si="313"/>
        <v>2</v>
      </c>
      <c r="K727" s="36">
        <f t="shared" ca="1" si="314"/>
        <v>66.358695652173921</v>
      </c>
      <c r="L727" s="10">
        <f ca="1">AH727*VLOOKUP(C727,技能辅助查询表,技能配置辅助表!$T$1,FALSE)</f>
        <v>0</v>
      </c>
      <c r="M727">
        <f t="shared" ca="1" si="315"/>
        <v>7120</v>
      </c>
      <c r="N727" s="33">
        <f ca="1">CHOOSE(1,W727*U727,X727*'[1]0、经济设定'!$C$18)</f>
        <v>4020</v>
      </c>
      <c r="O727">
        <f t="shared" si="316"/>
        <v>2</v>
      </c>
      <c r="P727">
        <f t="shared" si="317"/>
        <v>3</v>
      </c>
      <c r="Q727">
        <f t="shared" si="318"/>
        <v>1</v>
      </c>
      <c r="R727" s="2">
        <f t="shared" si="319"/>
        <v>9</v>
      </c>
      <c r="S727" s="2">
        <f t="shared" si="320"/>
        <v>50</v>
      </c>
      <c r="T727" s="2">
        <f t="shared" si="321"/>
        <v>59.782608695652179</v>
      </c>
      <c r="U727" s="2">
        <f ca="1">VLOOKUP(E727,金币生产率!$A$2:$B$120,2,0)</f>
        <v>335</v>
      </c>
      <c r="V727" s="2">
        <f t="shared" si="322"/>
        <v>179.34782608695653</v>
      </c>
      <c r="W727" s="45">
        <f t="shared" ca="1" si="334"/>
        <v>12</v>
      </c>
      <c r="X727" s="48">
        <f t="shared" ca="1" si="335"/>
        <v>98</v>
      </c>
      <c r="Y727">
        <f t="shared" si="323"/>
        <v>18</v>
      </c>
      <c r="Z727">
        <f t="shared" ca="1" si="329"/>
        <v>0</v>
      </c>
      <c r="AA727" t="str">
        <f t="shared" ca="1" si="330"/>
        <v>9222400.png</v>
      </c>
      <c r="AB727">
        <f t="shared" si="324"/>
        <v>7</v>
      </c>
      <c r="AC727">
        <f>VLOOKUP(C727,技能辅助查询表,技能配置辅助表!$W$1,FALSE)</f>
        <v>27</v>
      </c>
      <c r="AD727">
        <f t="shared" ca="1" si="331"/>
        <v>9.568251516366205</v>
      </c>
      <c r="AE727">
        <f>VLOOKUP(C727,技能辅助查询表,技能配置辅助表!$U$1,FALSE)</f>
        <v>4</v>
      </c>
      <c r="AF727">
        <f t="shared" ca="1" si="332"/>
        <v>9222411</v>
      </c>
      <c r="AG727">
        <f t="shared" ca="1" si="336"/>
        <v>23.489795918367349</v>
      </c>
      <c r="AH727">
        <f t="shared" ca="1" si="333"/>
        <v>48.287391086433935</v>
      </c>
      <c r="AI727">
        <f ca="1">VLOOKUP(E727,伤害参考系!$C$4:$E$104,3,FALSE)*$AN$12</f>
        <v>1000.3949623745822</v>
      </c>
      <c r="AJ727">
        <f>VLOOKUP(C727,技能辅助查询表,技能配置辅助表!$L$1,FALSE)</f>
        <v>3</v>
      </c>
      <c r="AK727">
        <f>VLOOKUP(C727,技能辅助查询表,技能配置辅助表!$AE$1,FALSE)</f>
        <v>66000305</v>
      </c>
    </row>
    <row r="728" spans="1:37" x14ac:dyDescent="0.15">
      <c r="A728" s="1">
        <f t="shared" ca="1" si="325"/>
        <v>9222412</v>
      </c>
      <c r="B728" s="1" t="str">
        <f t="shared" ca="1" si="310"/>
        <v>龙拳第4段</v>
      </c>
      <c r="C728" t="s">
        <v>165</v>
      </c>
      <c r="D728">
        <f t="shared" si="311"/>
        <v>2</v>
      </c>
      <c r="E728" s="42">
        <f t="shared" ca="1" si="326"/>
        <v>26</v>
      </c>
      <c r="F728" t="str">
        <f t="shared" ca="1" si="327"/>
        <v>第12级，共造成200.9%点伤害</v>
      </c>
      <c r="G728">
        <f t="shared" ca="1" si="328"/>
        <v>4</v>
      </c>
      <c r="H728">
        <f t="shared" si="312"/>
        <v>4</v>
      </c>
      <c r="I728" s="44">
        <f t="shared" ca="1" si="337"/>
        <v>12</v>
      </c>
      <c r="J728">
        <f t="shared" si="313"/>
        <v>2</v>
      </c>
      <c r="K728" s="36">
        <f t="shared" ca="1" si="314"/>
        <v>66.956521739130437</v>
      </c>
      <c r="L728" s="10">
        <f ca="1">AH728*VLOOKUP(C728,技能辅助查询表,技能配置辅助表!$T$1,FALSE)</f>
        <v>0</v>
      </c>
      <c r="M728">
        <f t="shared" ca="1" si="315"/>
        <v>7040</v>
      </c>
      <c r="N728" s="33">
        <f ca="1">CHOOSE(1,W728*U728,X728*'[1]0、经济设定'!$C$18)</f>
        <v>4810</v>
      </c>
      <c r="O728">
        <f t="shared" si="316"/>
        <v>2</v>
      </c>
      <c r="P728">
        <f t="shared" si="317"/>
        <v>3</v>
      </c>
      <c r="Q728">
        <f t="shared" si="318"/>
        <v>1</v>
      </c>
      <c r="R728" s="2">
        <f t="shared" si="319"/>
        <v>9</v>
      </c>
      <c r="S728" s="2">
        <f t="shared" si="320"/>
        <v>50</v>
      </c>
      <c r="T728" s="2">
        <f t="shared" si="321"/>
        <v>59.782608695652179</v>
      </c>
      <c r="U728" s="2">
        <f ca="1">VLOOKUP(E728,金币生产率!$A$2:$B$120,2,0)</f>
        <v>370</v>
      </c>
      <c r="V728" s="2">
        <f t="shared" si="322"/>
        <v>179.34782608695653</v>
      </c>
      <c r="W728" s="45">
        <f t="shared" ca="1" si="334"/>
        <v>13</v>
      </c>
      <c r="X728" s="48">
        <f t="shared" ca="1" si="335"/>
        <v>111</v>
      </c>
      <c r="Y728">
        <f t="shared" si="323"/>
        <v>18</v>
      </c>
      <c r="Z728">
        <f t="shared" ca="1" si="329"/>
        <v>0</v>
      </c>
      <c r="AA728" t="str">
        <f t="shared" ca="1" si="330"/>
        <v>9222400.png</v>
      </c>
      <c r="AB728">
        <f t="shared" si="324"/>
        <v>7</v>
      </c>
      <c r="AC728">
        <f>VLOOKUP(C728,技能辅助查询表,技能配置辅助表!$W$1,FALSE)</f>
        <v>27</v>
      </c>
      <c r="AD728">
        <f t="shared" ca="1" si="331"/>
        <v>11.090519261633135</v>
      </c>
      <c r="AE728">
        <f>VLOOKUP(C728,技能辅助查询表,技能配置辅助表!$U$1,FALSE)</f>
        <v>4</v>
      </c>
      <c r="AF728">
        <f t="shared" ca="1" si="332"/>
        <v>9222412</v>
      </c>
      <c r="AG728">
        <f t="shared" ca="1" si="336"/>
        <v>24.938775510204081</v>
      </c>
      <c r="AH728">
        <f t="shared" ca="1" si="333"/>
        <v>54.974556684819426</v>
      </c>
      <c r="AI728">
        <f ca="1">VLOOKUP(E728,伤害参考系!$C$4:$E$104,3,FALSE)*$AN$12</f>
        <v>1103.3859732441474</v>
      </c>
      <c r="AJ728">
        <f>VLOOKUP(C728,技能辅助查询表,技能配置辅助表!$L$1,FALSE)</f>
        <v>3</v>
      </c>
      <c r="AK728">
        <f>VLOOKUP(C728,技能辅助查询表,技能配置辅助表!$AE$1,FALSE)</f>
        <v>66000305</v>
      </c>
    </row>
    <row r="729" spans="1:37" x14ac:dyDescent="0.15">
      <c r="A729" s="1">
        <f t="shared" ca="1" si="325"/>
        <v>9222413</v>
      </c>
      <c r="B729" s="1" t="str">
        <f t="shared" ca="1" si="310"/>
        <v>龙拳第4段</v>
      </c>
      <c r="C729" t="s">
        <v>165</v>
      </c>
      <c r="D729">
        <f t="shared" si="311"/>
        <v>2</v>
      </c>
      <c r="E729" s="42">
        <f t="shared" ca="1" si="326"/>
        <v>27</v>
      </c>
      <c r="F729" t="str">
        <f t="shared" ca="1" si="327"/>
        <v>第13级，共造成202.7%点伤害</v>
      </c>
      <c r="G729">
        <f t="shared" ca="1" si="328"/>
        <v>4</v>
      </c>
      <c r="H729">
        <f t="shared" si="312"/>
        <v>4</v>
      </c>
      <c r="I729" s="44">
        <f t="shared" ca="1" si="337"/>
        <v>13</v>
      </c>
      <c r="J729">
        <f t="shared" si="313"/>
        <v>2</v>
      </c>
      <c r="K729" s="36">
        <f t="shared" ca="1" si="314"/>
        <v>67.554347826086968</v>
      </c>
      <c r="L729" s="10">
        <f ca="1">AH729*VLOOKUP(C729,技能辅助查询表,技能配置辅助表!$T$1,FALSE)</f>
        <v>0</v>
      </c>
      <c r="M729">
        <f t="shared" ca="1" si="315"/>
        <v>6960</v>
      </c>
      <c r="N729" s="33">
        <f ca="1">CHOOSE(1,W729*U729,X729*'[1]0、经济设定'!$C$18)</f>
        <v>5684</v>
      </c>
      <c r="O729">
        <f t="shared" si="316"/>
        <v>2</v>
      </c>
      <c r="P729">
        <f t="shared" si="317"/>
        <v>3</v>
      </c>
      <c r="Q729">
        <f t="shared" si="318"/>
        <v>1</v>
      </c>
      <c r="R729" s="2">
        <f t="shared" si="319"/>
        <v>9</v>
      </c>
      <c r="S729" s="2">
        <f t="shared" si="320"/>
        <v>50</v>
      </c>
      <c r="T729" s="2">
        <f t="shared" si="321"/>
        <v>59.782608695652179</v>
      </c>
      <c r="U729" s="2">
        <f ca="1">VLOOKUP(E729,金币生产率!$A$2:$B$120,2,0)</f>
        <v>406</v>
      </c>
      <c r="V729" s="2">
        <f t="shared" si="322"/>
        <v>179.34782608695653</v>
      </c>
      <c r="W729" s="45">
        <f t="shared" ca="1" si="334"/>
        <v>14</v>
      </c>
      <c r="X729" s="48">
        <f t="shared" ca="1" si="335"/>
        <v>125</v>
      </c>
      <c r="Y729">
        <f t="shared" si="323"/>
        <v>18</v>
      </c>
      <c r="Z729">
        <f t="shared" ca="1" si="329"/>
        <v>0</v>
      </c>
      <c r="AA729" t="str">
        <f t="shared" ca="1" si="330"/>
        <v>9222400.png</v>
      </c>
      <c r="AB729">
        <f t="shared" si="324"/>
        <v>7</v>
      </c>
      <c r="AC729">
        <f>VLOOKUP(C729,技能辅助查询表,技能配置辅助表!$W$1,FALSE)</f>
        <v>27</v>
      </c>
      <c r="AD729">
        <f t="shared" ca="1" si="331"/>
        <v>12.850909370007457</v>
      </c>
      <c r="AE729">
        <f>VLOOKUP(C729,技能辅助查询表,技能配置辅助表!$U$1,FALSE)</f>
        <v>4</v>
      </c>
      <c r="AF729">
        <f t="shared" ca="1" si="332"/>
        <v>9222413</v>
      </c>
      <c r="AG729">
        <f t="shared" ca="1" si="336"/>
        <v>26.387755102040817</v>
      </c>
      <c r="AH729">
        <f t="shared" ca="1" si="333"/>
        <v>62.587806354721323</v>
      </c>
      <c r="AI729">
        <f ca="1">VLOOKUP(E729,伤害参考系!$C$4:$E$104,3,FALSE)*$AN$12</f>
        <v>1210.5107784280938</v>
      </c>
      <c r="AJ729">
        <f>VLOOKUP(C729,技能辅助查询表,技能配置辅助表!$L$1,FALSE)</f>
        <v>3</v>
      </c>
      <c r="AK729">
        <f>VLOOKUP(C729,技能辅助查询表,技能配置辅助表!$AE$1,FALSE)</f>
        <v>66000305</v>
      </c>
    </row>
    <row r="730" spans="1:37" x14ac:dyDescent="0.15">
      <c r="A730" s="1">
        <f t="shared" ca="1" si="325"/>
        <v>9222414</v>
      </c>
      <c r="B730" s="1" t="str">
        <f t="shared" ca="1" si="310"/>
        <v>龙拳第4段</v>
      </c>
      <c r="C730" t="s">
        <v>165</v>
      </c>
      <c r="D730">
        <f t="shared" si="311"/>
        <v>2</v>
      </c>
      <c r="E730" s="42">
        <f t="shared" ca="1" si="326"/>
        <v>29</v>
      </c>
      <c r="F730" t="str">
        <f t="shared" ca="1" si="327"/>
        <v>第14级，共造成204.5%点伤害</v>
      </c>
      <c r="G730">
        <f t="shared" ca="1" si="328"/>
        <v>4</v>
      </c>
      <c r="H730">
        <f t="shared" si="312"/>
        <v>4</v>
      </c>
      <c r="I730" s="44">
        <f t="shared" ca="1" si="337"/>
        <v>14</v>
      </c>
      <c r="J730">
        <f t="shared" si="313"/>
        <v>2</v>
      </c>
      <c r="K730" s="36">
        <f t="shared" ca="1" si="314"/>
        <v>68.152173913043484</v>
      </c>
      <c r="L730" s="10">
        <f ca="1">AH730*VLOOKUP(C730,技能辅助查询表,技能配置辅助表!$T$1,FALSE)</f>
        <v>0</v>
      </c>
      <c r="M730">
        <f t="shared" ca="1" si="315"/>
        <v>6880</v>
      </c>
      <c r="N730" s="33">
        <f ca="1">CHOOSE(1,W730*U730,X730*'[1]0、经济设定'!$C$18)</f>
        <v>6748</v>
      </c>
      <c r="O730">
        <f t="shared" si="316"/>
        <v>2</v>
      </c>
      <c r="P730">
        <f t="shared" si="317"/>
        <v>3</v>
      </c>
      <c r="Q730">
        <f t="shared" si="318"/>
        <v>1</v>
      </c>
      <c r="R730" s="2">
        <f t="shared" si="319"/>
        <v>9</v>
      </c>
      <c r="S730" s="2">
        <f t="shared" si="320"/>
        <v>50</v>
      </c>
      <c r="T730" s="2">
        <f t="shared" si="321"/>
        <v>59.782608695652179</v>
      </c>
      <c r="U730" s="2">
        <f ca="1">VLOOKUP(E730,金币生产率!$A$2:$B$120,2,0)</f>
        <v>482</v>
      </c>
      <c r="V730" s="2">
        <f t="shared" si="322"/>
        <v>179.34782608695653</v>
      </c>
      <c r="W730" s="45">
        <f t="shared" ca="1" si="334"/>
        <v>14</v>
      </c>
      <c r="X730" s="48">
        <f t="shared" ca="1" si="335"/>
        <v>139</v>
      </c>
      <c r="Y730">
        <f t="shared" si="323"/>
        <v>18</v>
      </c>
      <c r="Z730">
        <f t="shared" ca="1" si="329"/>
        <v>0</v>
      </c>
      <c r="AA730" t="str">
        <f t="shared" ca="1" si="330"/>
        <v>9222400.png</v>
      </c>
      <c r="AB730">
        <f t="shared" si="324"/>
        <v>7</v>
      </c>
      <c r="AC730">
        <f>VLOOKUP(C730,技能辅助查询表,技能配置辅助表!$W$1,FALSE)</f>
        <v>27</v>
      </c>
      <c r="AD730">
        <f t="shared" ca="1" si="331"/>
        <v>14.88618049417561</v>
      </c>
      <c r="AE730">
        <f>VLOOKUP(C730,技能辅助查询表,技能配置辅助表!$U$1,FALSE)</f>
        <v>4</v>
      </c>
      <c r="AF730">
        <f t="shared" ca="1" si="332"/>
        <v>9222414</v>
      </c>
      <c r="AG730">
        <f t="shared" ca="1" si="336"/>
        <v>27.836734693877553</v>
      </c>
      <c r="AH730">
        <f t="shared" ca="1" si="333"/>
        <v>71.25539050281769</v>
      </c>
      <c r="AI730">
        <f ca="1">VLOOKUP(E730,伤害参考系!$C$4:$E$104,3,FALSE)*$AN$12</f>
        <v>1437.1617717391309</v>
      </c>
      <c r="AJ730">
        <f>VLOOKUP(C730,技能辅助查询表,技能配置辅助表!$L$1,FALSE)</f>
        <v>3</v>
      </c>
      <c r="AK730">
        <f>VLOOKUP(C730,技能辅助查询表,技能配置辅助表!$AE$1,FALSE)</f>
        <v>66000305</v>
      </c>
    </row>
    <row r="731" spans="1:37" x14ac:dyDescent="0.15">
      <c r="A731" s="1">
        <f t="shared" ca="1" si="325"/>
        <v>9222415</v>
      </c>
      <c r="B731" s="1" t="str">
        <f t="shared" ca="1" si="310"/>
        <v>龙拳第4段</v>
      </c>
      <c r="C731" t="s">
        <v>165</v>
      </c>
      <c r="D731">
        <f t="shared" si="311"/>
        <v>2</v>
      </c>
      <c r="E731" s="42">
        <f t="shared" ca="1" si="326"/>
        <v>30</v>
      </c>
      <c r="F731" t="str">
        <f t="shared" ca="1" si="327"/>
        <v>第15级，共造成206.3%点伤害</v>
      </c>
      <c r="G731">
        <f t="shared" ca="1" si="328"/>
        <v>4</v>
      </c>
      <c r="H731">
        <f t="shared" si="312"/>
        <v>4</v>
      </c>
      <c r="I731" s="44">
        <f t="shared" ca="1" si="337"/>
        <v>15</v>
      </c>
      <c r="J731">
        <f t="shared" si="313"/>
        <v>2</v>
      </c>
      <c r="K731" s="36">
        <f t="shared" ca="1" si="314"/>
        <v>68.75</v>
      </c>
      <c r="L731" s="10">
        <f ca="1">AH731*VLOOKUP(C731,技能辅助查询表,技能配置辅助表!$T$1,FALSE)</f>
        <v>0</v>
      </c>
      <c r="M731">
        <f t="shared" ca="1" si="315"/>
        <v>6800</v>
      </c>
      <c r="N731" s="33">
        <f ca="1">CHOOSE(1,W731*U731,X731*'[1]0、经济设定'!$C$18)</f>
        <v>7830</v>
      </c>
      <c r="O731">
        <f t="shared" si="316"/>
        <v>2</v>
      </c>
      <c r="P731">
        <f t="shared" si="317"/>
        <v>3</v>
      </c>
      <c r="Q731">
        <f t="shared" si="318"/>
        <v>1</v>
      </c>
      <c r="R731" s="2">
        <f t="shared" si="319"/>
        <v>9</v>
      </c>
      <c r="S731" s="2">
        <f t="shared" si="320"/>
        <v>50</v>
      </c>
      <c r="T731" s="2">
        <f t="shared" si="321"/>
        <v>59.782608695652179</v>
      </c>
      <c r="U731" s="2">
        <f ca="1">VLOOKUP(E731,金币生产率!$A$2:$B$120,2,0)</f>
        <v>522</v>
      </c>
      <c r="V731" s="2">
        <f t="shared" si="322"/>
        <v>179.34782608695653</v>
      </c>
      <c r="W731" s="45">
        <f t="shared" ca="1" si="334"/>
        <v>15</v>
      </c>
      <c r="X731" s="48">
        <f t="shared" ca="1" si="335"/>
        <v>154</v>
      </c>
      <c r="Y731">
        <f t="shared" si="323"/>
        <v>18</v>
      </c>
      <c r="Z731">
        <f t="shared" ca="1" si="329"/>
        <v>0</v>
      </c>
      <c r="AA731" t="str">
        <f t="shared" ca="1" si="330"/>
        <v>9222400.png</v>
      </c>
      <c r="AB731">
        <f t="shared" si="324"/>
        <v>7</v>
      </c>
      <c r="AC731">
        <f>VLOOKUP(C731,技能辅助查询表,技能配置辅助表!$W$1,FALSE)</f>
        <v>27</v>
      </c>
      <c r="AD731">
        <f t="shared" ca="1" si="331"/>
        <v>17.238705611013671</v>
      </c>
      <c r="AE731">
        <f>VLOOKUP(C731,技能辅助查询表,技能配置辅助表!$U$1,FALSE)</f>
        <v>4</v>
      </c>
      <c r="AF731">
        <f t="shared" ca="1" si="332"/>
        <v>9222415</v>
      </c>
      <c r="AG731">
        <f t="shared" ca="1" si="336"/>
        <v>29.285714285714285</v>
      </c>
      <c r="AH731">
        <f t="shared" ca="1" si="333"/>
        <v>81.123320522417259</v>
      </c>
      <c r="AI731">
        <f ca="1">VLOOKUP(E731,伤害参考系!$C$4:$E$104,3,FALSE)*$AN$12</f>
        <v>1576.1465593645489</v>
      </c>
      <c r="AJ731">
        <f>VLOOKUP(C731,技能辅助查询表,技能配置辅助表!$L$1,FALSE)</f>
        <v>3</v>
      </c>
      <c r="AK731">
        <f>VLOOKUP(C731,技能辅助查询表,技能配置辅助表!$AE$1,FALSE)</f>
        <v>66000305</v>
      </c>
    </row>
    <row r="732" spans="1:37" x14ac:dyDescent="0.15">
      <c r="A732" s="1">
        <f t="shared" ca="1" si="325"/>
        <v>9222416</v>
      </c>
      <c r="B732" s="1" t="str">
        <f t="shared" ca="1" si="310"/>
        <v>龙拳第4段</v>
      </c>
      <c r="C732" t="s">
        <v>165</v>
      </c>
      <c r="D732">
        <f t="shared" si="311"/>
        <v>2</v>
      </c>
      <c r="E732" s="42">
        <f t="shared" ca="1" si="326"/>
        <v>32</v>
      </c>
      <c r="F732" t="str">
        <f t="shared" ca="1" si="327"/>
        <v>第16级，共造成208%点伤害</v>
      </c>
      <c r="G732">
        <f t="shared" ca="1" si="328"/>
        <v>4</v>
      </c>
      <c r="H732">
        <f t="shared" si="312"/>
        <v>4</v>
      </c>
      <c r="I732" s="44">
        <f t="shared" ca="1" si="337"/>
        <v>16</v>
      </c>
      <c r="J732">
        <f t="shared" si="313"/>
        <v>2</v>
      </c>
      <c r="K732" s="36">
        <f t="shared" ca="1" si="314"/>
        <v>69.34782608695653</v>
      </c>
      <c r="L732" s="39">
        <f ca="1">AH732*VLOOKUP(C732,技能辅助查询表,技能配置辅助表!$T$1,FALSE)</f>
        <v>0</v>
      </c>
      <c r="M732">
        <f t="shared" ca="1" si="315"/>
        <v>6720</v>
      </c>
      <c r="N732" s="33">
        <f ca="1">CHOOSE(1,W732*U732,X732*'[1]0、经济设定'!$C$18)</f>
        <v>9696</v>
      </c>
      <c r="O732">
        <f t="shared" si="316"/>
        <v>2</v>
      </c>
      <c r="P732">
        <f t="shared" si="317"/>
        <v>3</v>
      </c>
      <c r="Q732">
        <f t="shared" si="318"/>
        <v>1</v>
      </c>
      <c r="R732" s="2">
        <f t="shared" si="319"/>
        <v>9</v>
      </c>
      <c r="S732" s="2">
        <f t="shared" si="320"/>
        <v>50</v>
      </c>
      <c r="T732" s="2">
        <f t="shared" si="321"/>
        <v>59.782608695652179</v>
      </c>
      <c r="U732" s="2">
        <f ca="1">VLOOKUP(E732,金币生产率!$A$2:$B$120,2,0)</f>
        <v>606</v>
      </c>
      <c r="V732" s="2">
        <f t="shared" si="322"/>
        <v>179.34782608695653</v>
      </c>
      <c r="W732" s="45">
        <f t="shared" ca="1" si="334"/>
        <v>16</v>
      </c>
      <c r="X732" s="48">
        <f t="shared" ca="1" si="335"/>
        <v>170</v>
      </c>
      <c r="Y732">
        <f t="shared" si="323"/>
        <v>18</v>
      </c>
      <c r="Z732">
        <f t="shared" ca="1" si="329"/>
        <v>0</v>
      </c>
      <c r="AA732" t="str">
        <f t="shared" ca="1" si="330"/>
        <v>9222400.png</v>
      </c>
      <c r="AB732">
        <f t="shared" si="324"/>
        <v>7</v>
      </c>
      <c r="AC732">
        <f>VLOOKUP(C732,技能辅助查询表,技能配置辅助表!$W$1,FALSE)</f>
        <v>27</v>
      </c>
      <c r="AD732">
        <f t="shared" ca="1" si="331"/>
        <v>19.957322061887503</v>
      </c>
      <c r="AE732">
        <f>VLOOKUP(C732,技能辅助查询表,技能配置辅助表!$U$1,FALSE)</f>
        <v>4</v>
      </c>
      <c r="AF732">
        <f t="shared" ca="1" si="332"/>
        <v>9222416</v>
      </c>
      <c r="AG732">
        <f t="shared" ca="1" si="336"/>
        <v>30.73469387755102</v>
      </c>
      <c r="AH732">
        <f t="shared" ca="1" si="333"/>
        <v>92.357828455414989</v>
      </c>
      <c r="AI732">
        <f ca="1">VLOOKUP(E732,伤害参考系!$C$4:$E$104,3,FALSE)*$AN$12</f>
        <v>1873.3990785953181</v>
      </c>
      <c r="AJ732">
        <f>VLOOKUP(C732,技能辅助查询表,技能配置辅助表!$L$1,FALSE)</f>
        <v>3</v>
      </c>
      <c r="AK732">
        <f>VLOOKUP(C732,技能辅助查询表,技能配置辅助表!$AE$1,FALSE)</f>
        <v>66000305</v>
      </c>
    </row>
    <row r="733" spans="1:37" x14ac:dyDescent="0.15">
      <c r="A733" s="1">
        <f t="shared" ca="1" si="325"/>
        <v>9222417</v>
      </c>
      <c r="B733" s="1" t="str">
        <f t="shared" ca="1" si="310"/>
        <v>龙拳第4段</v>
      </c>
      <c r="C733" t="s">
        <v>165</v>
      </c>
      <c r="D733">
        <f t="shared" si="311"/>
        <v>2</v>
      </c>
      <c r="E733" s="42">
        <f t="shared" ca="1" si="326"/>
        <v>33</v>
      </c>
      <c r="F733" t="str">
        <f t="shared" ca="1" si="327"/>
        <v>第17级，共造成209.8%点伤害</v>
      </c>
      <c r="G733">
        <f t="shared" ca="1" si="328"/>
        <v>4</v>
      </c>
      <c r="H733">
        <f t="shared" si="312"/>
        <v>4</v>
      </c>
      <c r="I733" s="44">
        <f t="shared" ca="1" si="337"/>
        <v>17</v>
      </c>
      <c r="J733">
        <f t="shared" si="313"/>
        <v>2</v>
      </c>
      <c r="K733" s="36">
        <f t="shared" ca="1" si="314"/>
        <v>69.945652173913047</v>
      </c>
      <c r="L733" s="10">
        <f ca="1">AH733*VLOOKUP(C733,技能辅助查询表,技能配置辅助表!$T$1,FALSE)</f>
        <v>0</v>
      </c>
      <c r="M733">
        <f t="shared" ca="1" si="315"/>
        <v>6640</v>
      </c>
      <c r="N733" s="33">
        <f ca="1">CHOOSE(1,W733*U733,X733*'[1]0、经济设定'!$C$18)</f>
        <v>11718</v>
      </c>
      <c r="O733">
        <f t="shared" si="316"/>
        <v>2</v>
      </c>
      <c r="P733">
        <f t="shared" si="317"/>
        <v>3</v>
      </c>
      <c r="Q733">
        <f t="shared" si="318"/>
        <v>1</v>
      </c>
      <c r="R733" s="2">
        <f t="shared" si="319"/>
        <v>9</v>
      </c>
      <c r="S733" s="2">
        <f t="shared" si="320"/>
        <v>50</v>
      </c>
      <c r="T733" s="2">
        <f t="shared" si="321"/>
        <v>59.782608695652179</v>
      </c>
      <c r="U733" s="2">
        <f ca="1">VLOOKUP(E733,金币生产率!$A$2:$B$120,2,0)</f>
        <v>651</v>
      </c>
      <c r="V733" s="2">
        <f t="shared" si="322"/>
        <v>179.34782608695653</v>
      </c>
      <c r="W733" s="45">
        <f t="shared" ca="1" si="334"/>
        <v>18</v>
      </c>
      <c r="X733" s="48">
        <f t="shared" ca="1" si="335"/>
        <v>188</v>
      </c>
      <c r="Y733">
        <f t="shared" si="323"/>
        <v>18</v>
      </c>
      <c r="Z733">
        <f t="shared" ca="1" si="329"/>
        <v>0</v>
      </c>
      <c r="AA733" t="str">
        <f t="shared" ca="1" si="330"/>
        <v>9222400.png</v>
      </c>
      <c r="AB733">
        <f t="shared" si="324"/>
        <v>7</v>
      </c>
      <c r="AC733">
        <f>VLOOKUP(C733,技能辅助查询表,技能配置辅助表!$W$1,FALSE)</f>
        <v>27</v>
      </c>
      <c r="AD733">
        <f t="shared" ca="1" si="331"/>
        <v>23.098309356830125</v>
      </c>
      <c r="AE733">
        <f>VLOOKUP(C733,技能辅助查询表,技能配置辅助表!$U$1,FALSE)</f>
        <v>4</v>
      </c>
      <c r="AF733">
        <f t="shared" ca="1" si="332"/>
        <v>9222417</v>
      </c>
      <c r="AG733">
        <f t="shared" ca="1" si="336"/>
        <v>32.183673469387756</v>
      </c>
      <c r="AH733">
        <f t="shared" ca="1" si="333"/>
        <v>105.14816728492683</v>
      </c>
      <c r="AI733">
        <f ca="1">VLOOKUP(E733,伤害参考系!$C$4:$E$104,3,FALSE)*$AN$12</f>
        <v>2031.7137667224088</v>
      </c>
      <c r="AJ733">
        <f>VLOOKUP(C733,技能辅助查询表,技能配置辅助表!$L$1,FALSE)</f>
        <v>3</v>
      </c>
      <c r="AK733">
        <f>VLOOKUP(C733,技能辅助查询表,技能配置辅助表!$AE$1,FALSE)</f>
        <v>66000305</v>
      </c>
    </row>
    <row r="734" spans="1:37" x14ac:dyDescent="0.15">
      <c r="A734" s="1">
        <f t="shared" ca="1" si="325"/>
        <v>9222418</v>
      </c>
      <c r="B734" s="1" t="str">
        <f t="shared" ca="1" si="310"/>
        <v>龙拳第4段</v>
      </c>
      <c r="C734" t="s">
        <v>165</v>
      </c>
      <c r="D734">
        <f t="shared" si="311"/>
        <v>2</v>
      </c>
      <c r="E734" s="42">
        <f t="shared" ca="1" si="326"/>
        <v>35</v>
      </c>
      <c r="F734" t="str">
        <f t="shared" ca="1" si="327"/>
        <v>第18级，共造成211.6%点伤害</v>
      </c>
      <c r="G734">
        <f t="shared" ca="1" si="328"/>
        <v>4</v>
      </c>
      <c r="H734">
        <f t="shared" si="312"/>
        <v>4</v>
      </c>
      <c r="I734" s="44">
        <f t="shared" ca="1" si="337"/>
        <v>18</v>
      </c>
      <c r="J734">
        <f t="shared" si="313"/>
        <v>2</v>
      </c>
      <c r="K734" s="36">
        <f t="shared" ca="1" si="314"/>
        <v>70.543478260869577</v>
      </c>
      <c r="L734" s="10">
        <f ca="1">AH734*VLOOKUP(C734,技能辅助查询表,技能配置辅助表!$T$1,FALSE)</f>
        <v>0</v>
      </c>
      <c r="M734">
        <f t="shared" ca="1" si="315"/>
        <v>6560</v>
      </c>
      <c r="N734" s="33">
        <f ca="1">CHOOSE(1,W734*U734,X734*'[1]0、经济设定'!$C$18)</f>
        <v>14117</v>
      </c>
      <c r="O734">
        <f t="shared" si="316"/>
        <v>2</v>
      </c>
      <c r="P734">
        <f t="shared" si="317"/>
        <v>3</v>
      </c>
      <c r="Q734">
        <f t="shared" si="318"/>
        <v>1</v>
      </c>
      <c r="R734" s="2">
        <f t="shared" si="319"/>
        <v>9</v>
      </c>
      <c r="S734" s="2">
        <f t="shared" si="320"/>
        <v>50</v>
      </c>
      <c r="T734" s="2">
        <f t="shared" si="321"/>
        <v>59.782608695652179</v>
      </c>
      <c r="U734" s="2">
        <f ca="1">VLOOKUP(E734,金币生产率!$A$2:$B$120,2,0)</f>
        <v>743</v>
      </c>
      <c r="V734" s="2">
        <f t="shared" si="322"/>
        <v>179.34782608695653</v>
      </c>
      <c r="W734" s="45">
        <f t="shared" ca="1" si="334"/>
        <v>19</v>
      </c>
      <c r="X734" s="48">
        <f t="shared" ca="1" si="335"/>
        <v>207</v>
      </c>
      <c r="Y734">
        <f t="shared" si="323"/>
        <v>18</v>
      </c>
      <c r="Z734">
        <f t="shared" ca="1" si="329"/>
        <v>8</v>
      </c>
      <c r="AA734" t="str">
        <f t="shared" ca="1" si="330"/>
        <v>9222400.png</v>
      </c>
      <c r="AB734">
        <f t="shared" si="324"/>
        <v>7</v>
      </c>
      <c r="AC734">
        <f>VLOOKUP(C734,技能辅助查询表,技能配置辅助表!$W$1,FALSE)</f>
        <v>27</v>
      </c>
      <c r="AD734">
        <f t="shared" ca="1" si="331"/>
        <v>26.72651382723917</v>
      </c>
      <c r="AE734">
        <f>VLOOKUP(C734,技能辅助查询表,技能配置辅助表!$U$1,FALSE)</f>
        <v>4</v>
      </c>
      <c r="AF734">
        <f t="shared" ca="1" si="332"/>
        <v>9222418</v>
      </c>
      <c r="AG734">
        <f t="shared" ca="1" si="336"/>
        <v>33.632653061224488</v>
      </c>
      <c r="AH734">
        <f t="shared" ca="1" si="333"/>
        <v>119.70979903145096</v>
      </c>
      <c r="AI734">
        <f ca="1">VLOOKUP(E734,伤害参考系!$C$4:$E$104,3,FALSE)*$AN$12</f>
        <v>2367.0860869565217</v>
      </c>
      <c r="AJ734">
        <f>VLOOKUP(C734,技能辅助查询表,技能配置辅助表!$L$1,FALSE)</f>
        <v>3</v>
      </c>
      <c r="AK734">
        <f>VLOOKUP(C734,技能辅助查询表,技能配置辅助表!$AE$1,FALSE)</f>
        <v>66000305</v>
      </c>
    </row>
    <row r="735" spans="1:37" x14ac:dyDescent="0.15">
      <c r="A735" s="1">
        <f t="shared" ca="1" si="325"/>
        <v>9222419</v>
      </c>
      <c r="B735" s="1" t="str">
        <f t="shared" ca="1" si="310"/>
        <v>龙拳第4段</v>
      </c>
      <c r="C735" t="s">
        <v>165</v>
      </c>
      <c r="D735">
        <f t="shared" si="311"/>
        <v>2</v>
      </c>
      <c r="E735" s="42">
        <f t="shared" ca="1" si="326"/>
        <v>36</v>
      </c>
      <c r="F735" t="str">
        <f t="shared" ca="1" si="327"/>
        <v>第19级，共造成213.4%点伤害</v>
      </c>
      <c r="G735">
        <f t="shared" ca="1" si="328"/>
        <v>4</v>
      </c>
      <c r="H735">
        <f t="shared" si="312"/>
        <v>4</v>
      </c>
      <c r="I735" s="44">
        <f t="shared" ca="1" si="337"/>
        <v>19</v>
      </c>
      <c r="J735">
        <f t="shared" si="313"/>
        <v>2</v>
      </c>
      <c r="K735" s="36">
        <f t="shared" ca="1" si="314"/>
        <v>71.141304347826093</v>
      </c>
      <c r="L735" s="10">
        <f ca="1">AH735*VLOOKUP(C735,技能辅助查询表,技能配置辅助表!$T$1,FALSE)</f>
        <v>0</v>
      </c>
      <c r="M735">
        <f t="shared" ca="1" si="315"/>
        <v>6480</v>
      </c>
      <c r="N735" s="33">
        <f ca="1">CHOOSE(1,W735*U735,X735*'[1]0、经济设定'!$C$18)</f>
        <v>15820</v>
      </c>
      <c r="O735">
        <f t="shared" si="316"/>
        <v>2</v>
      </c>
      <c r="P735">
        <f t="shared" si="317"/>
        <v>3</v>
      </c>
      <c r="Q735">
        <f t="shared" si="318"/>
        <v>1</v>
      </c>
      <c r="R735" s="2">
        <f t="shared" si="319"/>
        <v>9</v>
      </c>
      <c r="S735" s="2">
        <f t="shared" si="320"/>
        <v>50</v>
      </c>
      <c r="T735" s="2">
        <f t="shared" si="321"/>
        <v>59.782608695652179</v>
      </c>
      <c r="U735" s="2">
        <f ca="1">VLOOKUP(E735,金币生产率!$A$2:$B$120,2,0)</f>
        <v>791</v>
      </c>
      <c r="V735" s="2">
        <f t="shared" si="322"/>
        <v>179.34782608695653</v>
      </c>
      <c r="W735" s="45">
        <f t="shared" ca="1" si="334"/>
        <v>20</v>
      </c>
      <c r="X735" s="48">
        <f t="shared" ca="1" si="335"/>
        <v>227</v>
      </c>
      <c r="Y735">
        <f t="shared" si="323"/>
        <v>18</v>
      </c>
      <c r="Z735">
        <f t="shared" ca="1" si="329"/>
        <v>8</v>
      </c>
      <c r="AA735" t="str">
        <f t="shared" ca="1" si="330"/>
        <v>9222400.png</v>
      </c>
      <c r="AB735">
        <f t="shared" si="324"/>
        <v>7</v>
      </c>
      <c r="AC735">
        <f>VLOOKUP(C735,技能辅助查询表,技能配置辅助表!$W$1,FALSE)</f>
        <v>27</v>
      </c>
      <c r="AD735">
        <f t="shared" ca="1" si="331"/>
        <v>30.916642047348564</v>
      </c>
      <c r="AE735">
        <f>VLOOKUP(C735,技能辅助查询表,技能配置辅助表!$U$1,FALSE)</f>
        <v>4</v>
      </c>
      <c r="AF735">
        <f t="shared" ca="1" si="332"/>
        <v>9222419</v>
      </c>
      <c r="AG735">
        <f t="shared" ca="1" si="336"/>
        <v>35.08163265306122</v>
      </c>
      <c r="AH735">
        <f t="shared" ca="1" si="333"/>
        <v>136.28802435822078</v>
      </c>
      <c r="AI735">
        <f ca="1">VLOOKUP(E735,伤害参考系!$C$4:$E$104,3,FALSE)*$AN$12</f>
        <v>2544.1437190635456</v>
      </c>
      <c r="AJ735">
        <f>VLOOKUP(C735,技能辅助查询表,技能配置辅助表!$L$1,FALSE)</f>
        <v>3</v>
      </c>
      <c r="AK735">
        <f>VLOOKUP(C735,技能辅助查询表,技能配置辅助表!$AE$1,FALSE)</f>
        <v>66000305</v>
      </c>
    </row>
    <row r="736" spans="1:37" x14ac:dyDescent="0.15">
      <c r="A736" s="1">
        <f t="shared" ca="1" si="325"/>
        <v>9222420</v>
      </c>
      <c r="B736" s="1" t="str">
        <f t="shared" ca="1" si="310"/>
        <v>龙拳第4段</v>
      </c>
      <c r="C736" t="s">
        <v>165</v>
      </c>
      <c r="D736">
        <f t="shared" si="311"/>
        <v>2</v>
      </c>
      <c r="E736" s="42">
        <f t="shared" ca="1" si="326"/>
        <v>37</v>
      </c>
      <c r="F736" t="str">
        <f t="shared" ca="1" si="327"/>
        <v>第20级，共造成215.2%点伤害</v>
      </c>
      <c r="G736">
        <f t="shared" ca="1" si="328"/>
        <v>4</v>
      </c>
      <c r="H736">
        <f t="shared" si="312"/>
        <v>4</v>
      </c>
      <c r="I736" s="44">
        <f t="shared" ca="1" si="337"/>
        <v>20</v>
      </c>
      <c r="J736">
        <f t="shared" si="313"/>
        <v>2</v>
      </c>
      <c r="K736" s="36">
        <f t="shared" ca="1" si="314"/>
        <v>71.739130434782624</v>
      </c>
      <c r="L736" s="10">
        <f ca="1">AH736*VLOOKUP(C736,技能辅助查询表,技能配置辅助表!$T$1,FALSE)</f>
        <v>0</v>
      </c>
      <c r="M736">
        <f t="shared" ca="1" si="315"/>
        <v>6400</v>
      </c>
      <c r="N736" s="33">
        <f ca="1">CHOOSE(1,W736*U736,X736*'[1]0、经济设定'!$C$18)</f>
        <v>18502</v>
      </c>
      <c r="O736">
        <f t="shared" si="316"/>
        <v>2</v>
      </c>
      <c r="P736">
        <f t="shared" si="317"/>
        <v>3</v>
      </c>
      <c r="Q736">
        <f t="shared" si="318"/>
        <v>1</v>
      </c>
      <c r="R736" s="2">
        <f t="shared" si="319"/>
        <v>9</v>
      </c>
      <c r="S736" s="2">
        <f t="shared" si="320"/>
        <v>50</v>
      </c>
      <c r="T736" s="2">
        <f t="shared" si="321"/>
        <v>59.782608695652179</v>
      </c>
      <c r="U736" s="2">
        <f ca="1">VLOOKUP(E736,金币生产率!$A$2:$B$120,2,0)</f>
        <v>841</v>
      </c>
      <c r="V736" s="2">
        <f t="shared" si="322"/>
        <v>179.34782608695653</v>
      </c>
      <c r="W736" s="45">
        <f t="shared" ca="1" si="334"/>
        <v>22</v>
      </c>
      <c r="X736" s="48">
        <f t="shared" ca="1" si="335"/>
        <v>249</v>
      </c>
      <c r="Y736">
        <f t="shared" si="323"/>
        <v>18</v>
      </c>
      <c r="Z736">
        <f t="shared" ca="1" si="329"/>
        <v>9</v>
      </c>
      <c r="AA736" t="str">
        <f t="shared" ca="1" si="330"/>
        <v>9222400.png</v>
      </c>
      <c r="AB736">
        <f t="shared" si="324"/>
        <v>7</v>
      </c>
      <c r="AC736">
        <f>VLOOKUP(C736,技能辅助查询表,技能配置辅助表!$W$1,FALSE)</f>
        <v>27</v>
      </c>
      <c r="AD736">
        <f t="shared" ca="1" si="331"/>
        <v>35.754748199711621</v>
      </c>
      <c r="AE736">
        <f>VLOOKUP(C736,技能辅助查询表,技能配置辅助表!$U$1,FALSE)</f>
        <v>4</v>
      </c>
      <c r="AF736">
        <f t="shared" ca="1" si="332"/>
        <v>9222420</v>
      </c>
      <c r="AG736">
        <f t="shared" ca="1" si="336"/>
        <v>36.530612244897959</v>
      </c>
      <c r="AH736">
        <f t="shared" ca="1" si="333"/>
        <v>155.16211482893718</v>
      </c>
      <c r="AI736">
        <f ca="1">VLOOKUP(E736,伤害参考系!$C$4:$E$104,3,FALSE)*$AN$12</f>
        <v>2727.4489991638798</v>
      </c>
      <c r="AJ736">
        <f>VLOOKUP(C736,技能辅助查询表,技能配置辅助表!$L$1,FALSE)</f>
        <v>3</v>
      </c>
      <c r="AK736">
        <f>VLOOKUP(C736,技能辅助查询表,技能配置辅助表!$AE$1,FALSE)</f>
        <v>66000305</v>
      </c>
    </row>
    <row r="737" spans="1:37" x14ac:dyDescent="0.15">
      <c r="A737" s="1">
        <f t="shared" ca="1" si="325"/>
        <v>9222421</v>
      </c>
      <c r="B737" s="1" t="str">
        <f t="shared" ca="1" si="310"/>
        <v>龙拳第4段</v>
      </c>
      <c r="C737" t="s">
        <v>165</v>
      </c>
      <c r="D737">
        <f t="shared" si="311"/>
        <v>2</v>
      </c>
      <c r="E737" s="42">
        <f t="shared" ca="1" si="326"/>
        <v>39</v>
      </c>
      <c r="F737" t="str">
        <f t="shared" ca="1" si="327"/>
        <v>第21级，共造成217%点伤害</v>
      </c>
      <c r="G737">
        <f t="shared" ca="1" si="328"/>
        <v>4</v>
      </c>
      <c r="H737">
        <f t="shared" si="312"/>
        <v>4</v>
      </c>
      <c r="I737" s="44">
        <f t="shared" ca="1" si="337"/>
        <v>21</v>
      </c>
      <c r="J737">
        <f t="shared" si="313"/>
        <v>2</v>
      </c>
      <c r="K737" s="36">
        <f t="shared" ca="1" si="314"/>
        <v>72.33695652173914</v>
      </c>
      <c r="L737" s="10">
        <f ca="1">AH737*VLOOKUP(C737,技能辅助查询表,技能配置辅助表!$T$1,FALSE)</f>
        <v>0</v>
      </c>
      <c r="M737">
        <f t="shared" ca="1" si="315"/>
        <v>6320</v>
      </c>
      <c r="N737" s="33">
        <f ca="1">CHOOSE(1,W737*U737,X737*'[1]0、经济设定'!$C$18)</f>
        <v>21712</v>
      </c>
      <c r="O737">
        <f t="shared" si="316"/>
        <v>2</v>
      </c>
      <c r="P737">
        <f t="shared" si="317"/>
        <v>3</v>
      </c>
      <c r="Q737">
        <f t="shared" si="318"/>
        <v>1</v>
      </c>
      <c r="R737" s="2">
        <f t="shared" si="319"/>
        <v>9</v>
      </c>
      <c r="S737" s="2">
        <f t="shared" si="320"/>
        <v>50</v>
      </c>
      <c r="T737" s="2">
        <f t="shared" si="321"/>
        <v>59.782608695652179</v>
      </c>
      <c r="U737" s="2">
        <f ca="1">VLOOKUP(E737,金币生产率!$A$2:$B$120,2,0)</f>
        <v>944</v>
      </c>
      <c r="V737" s="2">
        <f t="shared" si="322"/>
        <v>179.34782608695653</v>
      </c>
      <c r="W737" s="45">
        <f t="shared" ca="1" si="334"/>
        <v>23</v>
      </c>
      <c r="X737" s="48">
        <f t="shared" ca="1" si="335"/>
        <v>272</v>
      </c>
      <c r="Y737">
        <f t="shared" si="323"/>
        <v>18</v>
      </c>
      <c r="Z737">
        <f t="shared" ca="1" si="329"/>
        <v>10</v>
      </c>
      <c r="AA737" t="str">
        <f t="shared" ca="1" si="330"/>
        <v>9222400.png</v>
      </c>
      <c r="AB737">
        <f t="shared" si="324"/>
        <v>7</v>
      </c>
      <c r="AC737">
        <f>VLOOKUP(C737,技能辅助查询表,技能配置辅助表!$W$1,FALSE)</f>
        <v>27</v>
      </c>
      <c r="AD737">
        <f t="shared" ca="1" si="331"/>
        <v>41.339944296061056</v>
      </c>
      <c r="AE737">
        <f>VLOOKUP(C737,技能辅助查询表,技能配置辅助表!$U$1,FALSE)</f>
        <v>4</v>
      </c>
      <c r="AF737">
        <f t="shared" ca="1" si="332"/>
        <v>9222421</v>
      </c>
      <c r="AG737">
        <f t="shared" ca="1" si="336"/>
        <v>37.979591836734699</v>
      </c>
      <c r="AH737">
        <f t="shared" ca="1" si="333"/>
        <v>176.65001742859343</v>
      </c>
      <c r="AI737">
        <f ca="1">VLOOKUP(E737,伤害参考系!$C$4:$E$104,3,FALSE)*$AN$12</f>
        <v>3112.8025033444819</v>
      </c>
      <c r="AJ737">
        <f>VLOOKUP(C737,技能辅助查询表,技能配置辅助表!$L$1,FALSE)</f>
        <v>3</v>
      </c>
      <c r="AK737">
        <f>VLOOKUP(C737,技能辅助查询表,技能配置辅助表!$AE$1,FALSE)</f>
        <v>66000305</v>
      </c>
    </row>
    <row r="738" spans="1:37" x14ac:dyDescent="0.15">
      <c r="A738" s="1">
        <f t="shared" ca="1" si="325"/>
        <v>9222422</v>
      </c>
      <c r="B738" s="1" t="str">
        <f t="shared" ca="1" si="310"/>
        <v>龙拳第4段</v>
      </c>
      <c r="C738" t="s">
        <v>165</v>
      </c>
      <c r="D738">
        <f t="shared" si="311"/>
        <v>2</v>
      </c>
      <c r="E738" s="42">
        <f t="shared" ca="1" si="326"/>
        <v>40</v>
      </c>
      <c r="F738" t="str">
        <f t="shared" ca="1" si="327"/>
        <v>第22级，共造成218.8%点伤害</v>
      </c>
      <c r="G738">
        <f t="shared" ca="1" si="328"/>
        <v>4</v>
      </c>
      <c r="H738">
        <f t="shared" si="312"/>
        <v>4</v>
      </c>
      <c r="I738" s="44">
        <f t="shared" ca="1" si="337"/>
        <v>22</v>
      </c>
      <c r="J738">
        <f t="shared" si="313"/>
        <v>2</v>
      </c>
      <c r="K738" s="36">
        <f t="shared" ca="1" si="314"/>
        <v>72.934782608695656</v>
      </c>
      <c r="L738" s="10">
        <f ca="1">AH738*VLOOKUP(C738,技能辅助查询表,技能配置辅助表!$T$1,FALSE)</f>
        <v>0</v>
      </c>
      <c r="M738">
        <f t="shared" ca="1" si="315"/>
        <v>6240</v>
      </c>
      <c r="N738" s="33">
        <f ca="1">CHOOSE(1,W738*U738,X738*'[1]0、经济设定'!$C$18)</f>
        <v>24950</v>
      </c>
      <c r="O738">
        <f t="shared" si="316"/>
        <v>2</v>
      </c>
      <c r="P738">
        <f t="shared" si="317"/>
        <v>3</v>
      </c>
      <c r="Q738">
        <f t="shared" si="318"/>
        <v>1</v>
      </c>
      <c r="R738" s="2">
        <f t="shared" si="319"/>
        <v>9</v>
      </c>
      <c r="S738" s="2">
        <f t="shared" si="320"/>
        <v>50</v>
      </c>
      <c r="T738" s="2">
        <f t="shared" si="321"/>
        <v>59.782608695652179</v>
      </c>
      <c r="U738" s="2">
        <f ca="1">VLOOKUP(E738,金币生产率!$A$2:$B$120,2,0)</f>
        <v>998</v>
      </c>
      <c r="V738" s="2">
        <f t="shared" si="322"/>
        <v>179.34782608695653</v>
      </c>
      <c r="W738" s="45">
        <f t="shared" ca="1" si="334"/>
        <v>25</v>
      </c>
      <c r="X738" s="48">
        <f t="shared" ca="1" si="335"/>
        <v>297</v>
      </c>
      <c r="Y738">
        <f t="shared" si="323"/>
        <v>18</v>
      </c>
      <c r="Z738">
        <f t="shared" ca="1" si="329"/>
        <v>10</v>
      </c>
      <c r="AA738" t="str">
        <f t="shared" ca="1" si="330"/>
        <v>9222400.png</v>
      </c>
      <c r="AB738">
        <f t="shared" si="324"/>
        <v>7</v>
      </c>
      <c r="AC738">
        <f>VLOOKUP(C738,技能辅助查询表,技能配置辅助表!$W$1,FALSE)</f>
        <v>27</v>
      </c>
      <c r="AD738">
        <f t="shared" ca="1" si="331"/>
        <v>47.786366453023689</v>
      </c>
      <c r="AE738">
        <f>VLOOKUP(C738,技能辅助查询表,技能配置辅助表!$U$1,FALSE)</f>
        <v>4</v>
      </c>
      <c r="AF738">
        <f t="shared" ca="1" si="332"/>
        <v>9222422</v>
      </c>
      <c r="AG738">
        <f t="shared" ca="1" si="336"/>
        <v>39.428571428571431</v>
      </c>
      <c r="AH738">
        <f t="shared" ca="1" si="333"/>
        <v>201.11371059826985</v>
      </c>
      <c r="AI738">
        <f ca="1">VLOOKUP(E738,伤害参考系!$C$4:$E$104,3,FALSE)*$AN$12</f>
        <v>3344.7142474916404</v>
      </c>
      <c r="AJ738">
        <f>VLOOKUP(C738,技能辅助查询表,技能配置辅助表!$L$1,FALSE)</f>
        <v>3</v>
      </c>
      <c r="AK738">
        <f>VLOOKUP(C738,技能辅助查询表,技能配置辅助表!$AE$1,FALSE)</f>
        <v>66000305</v>
      </c>
    </row>
    <row r="739" spans="1:37" x14ac:dyDescent="0.15">
      <c r="A739" s="1">
        <f t="shared" ca="1" si="325"/>
        <v>9222423</v>
      </c>
      <c r="B739" s="1" t="str">
        <f t="shared" ca="1" si="310"/>
        <v>龙拳第4段</v>
      </c>
      <c r="C739" t="s">
        <v>165</v>
      </c>
      <c r="D739">
        <f t="shared" si="311"/>
        <v>2</v>
      </c>
      <c r="E739" s="42">
        <f t="shared" ca="1" si="326"/>
        <v>42</v>
      </c>
      <c r="F739" t="str">
        <f t="shared" ca="1" si="327"/>
        <v>第23级，共造成220.6%点伤害</v>
      </c>
      <c r="G739">
        <f t="shared" ca="1" si="328"/>
        <v>4</v>
      </c>
      <c r="H739">
        <f t="shared" si="312"/>
        <v>4</v>
      </c>
      <c r="I739" s="44">
        <f t="shared" ca="1" si="337"/>
        <v>23</v>
      </c>
      <c r="J739">
        <f t="shared" si="313"/>
        <v>2</v>
      </c>
      <c r="K739" s="36">
        <f t="shared" ca="1" si="314"/>
        <v>73.532608695652186</v>
      </c>
      <c r="L739" s="10">
        <f ca="1">AH739*VLOOKUP(C739,技能辅助查询表,技能配置辅助表!$T$1,FALSE)</f>
        <v>0</v>
      </c>
      <c r="M739">
        <f t="shared" ca="1" si="315"/>
        <v>6160</v>
      </c>
      <c r="N739" s="33">
        <f ca="1">CHOOSE(1,W739*U739,X739*'[1]0、经济设定'!$C$18)</f>
        <v>29970</v>
      </c>
      <c r="O739">
        <f t="shared" si="316"/>
        <v>2</v>
      </c>
      <c r="P739">
        <f t="shared" si="317"/>
        <v>3</v>
      </c>
      <c r="Q739">
        <f t="shared" si="318"/>
        <v>1</v>
      </c>
      <c r="R739" s="2">
        <f t="shared" si="319"/>
        <v>9</v>
      </c>
      <c r="S739" s="2">
        <f t="shared" si="320"/>
        <v>50</v>
      </c>
      <c r="T739" s="2">
        <f t="shared" si="321"/>
        <v>59.782608695652179</v>
      </c>
      <c r="U739" s="2">
        <f ca="1">VLOOKUP(E739,金币生产率!$A$2:$B$120,2,0)</f>
        <v>1110</v>
      </c>
      <c r="V739" s="2">
        <f t="shared" si="322"/>
        <v>179.34782608695653</v>
      </c>
      <c r="W739" s="45">
        <f t="shared" ca="1" si="334"/>
        <v>27</v>
      </c>
      <c r="X739" s="48">
        <f t="shared" ca="1" si="335"/>
        <v>324</v>
      </c>
      <c r="Y739">
        <f t="shared" si="323"/>
        <v>18</v>
      </c>
      <c r="Z739">
        <f t="shared" ca="1" si="329"/>
        <v>11</v>
      </c>
      <c r="AA739" t="str">
        <f t="shared" ca="1" si="330"/>
        <v>9222400.png</v>
      </c>
      <c r="AB739">
        <f t="shared" si="324"/>
        <v>7</v>
      </c>
      <c r="AC739">
        <f>VLOOKUP(C739,技能辅助查询表,技能配置辅助表!$W$1,FALSE)</f>
        <v>27</v>
      </c>
      <c r="AD739">
        <f t="shared" ca="1" si="331"/>
        <v>55.225435343492038</v>
      </c>
      <c r="AE739">
        <f>VLOOKUP(C739,技能辅助查询表,技能配置辅助表!$U$1,FALSE)</f>
        <v>4</v>
      </c>
      <c r="AF739">
        <f t="shared" ca="1" si="332"/>
        <v>9222423</v>
      </c>
      <c r="AG739">
        <f t="shared" ca="1" si="336"/>
        <v>40.877551020408163</v>
      </c>
      <c r="AH739">
        <f t="shared" ca="1" si="333"/>
        <v>228.96530200997151</v>
      </c>
      <c r="AI739">
        <f ca="1">VLOOKUP(E739,伤害参考系!$C$4:$E$104,3,FALSE)*$AN$12</f>
        <v>3833.528327759198</v>
      </c>
      <c r="AJ739">
        <f>VLOOKUP(C739,技能辅助查询表,技能配置辅助表!$L$1,FALSE)</f>
        <v>3</v>
      </c>
      <c r="AK739">
        <f>VLOOKUP(C739,技能辅助查询表,技能配置辅助表!$AE$1,FALSE)</f>
        <v>66000305</v>
      </c>
    </row>
    <row r="740" spans="1:37" x14ac:dyDescent="0.15">
      <c r="A740" s="1">
        <f t="shared" ca="1" si="325"/>
        <v>9222424</v>
      </c>
      <c r="B740" s="1" t="str">
        <f t="shared" ca="1" si="310"/>
        <v>龙拳第4段</v>
      </c>
      <c r="C740" t="s">
        <v>165</v>
      </c>
      <c r="D740">
        <f t="shared" si="311"/>
        <v>2</v>
      </c>
      <c r="E740" s="42">
        <f t="shared" ca="1" si="326"/>
        <v>43</v>
      </c>
      <c r="F740" t="str">
        <f t="shared" ca="1" si="327"/>
        <v>第24级，共造成222.4%点伤害</v>
      </c>
      <c r="G740">
        <f t="shared" ca="1" si="328"/>
        <v>4</v>
      </c>
      <c r="H740">
        <f t="shared" si="312"/>
        <v>4</v>
      </c>
      <c r="I740" s="44">
        <f t="shared" ca="1" si="337"/>
        <v>24</v>
      </c>
      <c r="J740">
        <f t="shared" si="313"/>
        <v>2</v>
      </c>
      <c r="K740" s="36">
        <f t="shared" ca="1" si="314"/>
        <v>74.130434782608702</v>
      </c>
      <c r="L740" s="10">
        <f ca="1">AH740*VLOOKUP(C740,技能辅助查询表,技能配置辅助表!$T$1,FALSE)</f>
        <v>0</v>
      </c>
      <c r="M740">
        <f t="shared" ca="1" si="315"/>
        <v>6080</v>
      </c>
      <c r="N740" s="33">
        <f ca="1">CHOOSE(1,W740*U740,X740*'[1]0、经济设定'!$C$18)</f>
        <v>33843</v>
      </c>
      <c r="O740">
        <f t="shared" si="316"/>
        <v>2</v>
      </c>
      <c r="P740">
        <f t="shared" si="317"/>
        <v>3</v>
      </c>
      <c r="Q740">
        <f t="shared" si="318"/>
        <v>1</v>
      </c>
      <c r="R740" s="2">
        <f t="shared" si="319"/>
        <v>9</v>
      </c>
      <c r="S740" s="2">
        <f t="shared" si="320"/>
        <v>50</v>
      </c>
      <c r="T740" s="2">
        <f t="shared" si="321"/>
        <v>59.782608695652179</v>
      </c>
      <c r="U740" s="2">
        <f ca="1">VLOOKUP(E740,金币生产率!$A$2:$B$120,2,0)</f>
        <v>1167</v>
      </c>
      <c r="V740" s="2">
        <f t="shared" si="322"/>
        <v>179.34782608695653</v>
      </c>
      <c r="W740" s="45">
        <f t="shared" ca="1" si="334"/>
        <v>29</v>
      </c>
      <c r="X740" s="48">
        <f t="shared" ca="1" si="335"/>
        <v>353</v>
      </c>
      <c r="Y740">
        <f t="shared" si="323"/>
        <v>18</v>
      </c>
      <c r="Z740">
        <f t="shared" ca="1" si="329"/>
        <v>12</v>
      </c>
      <c r="AA740" t="str">
        <f t="shared" ca="1" si="330"/>
        <v>9222400.png</v>
      </c>
      <c r="AB740">
        <f t="shared" si="324"/>
        <v>7</v>
      </c>
      <c r="AC740">
        <f>VLOOKUP(C740,技能辅助查询表,技能配置辅助表!$W$1,FALSE)</f>
        <v>27</v>
      </c>
      <c r="AD740">
        <f t="shared" ca="1" si="331"/>
        <v>63.808454592140876</v>
      </c>
      <c r="AE740">
        <f>VLOOKUP(C740,技能辅助查询表,技能配置辅助表!$U$1,FALSE)</f>
        <v>4</v>
      </c>
      <c r="AF740">
        <f t="shared" ca="1" si="332"/>
        <v>9222424</v>
      </c>
      <c r="AG740">
        <f t="shared" ca="1" si="336"/>
        <v>42.326530612244895</v>
      </c>
      <c r="AH740">
        <f t="shared" ca="1" si="333"/>
        <v>260.67397080270689</v>
      </c>
      <c r="AI740">
        <f ca="1">VLOOKUP(E740,伤害参考系!$C$4:$E$104,3,FALSE)*$AN$12</f>
        <v>4090.4306638795993</v>
      </c>
      <c r="AJ740">
        <f>VLOOKUP(C740,技能辅助查询表,技能配置辅助表!$L$1,FALSE)</f>
        <v>3</v>
      </c>
      <c r="AK740">
        <f>VLOOKUP(C740,技能辅助查询表,技能配置辅助表!$AE$1,FALSE)</f>
        <v>66000305</v>
      </c>
    </row>
    <row r="741" spans="1:37" x14ac:dyDescent="0.15">
      <c r="A741" s="1">
        <f t="shared" ca="1" si="325"/>
        <v>9222425</v>
      </c>
      <c r="B741" s="1" t="str">
        <f t="shared" ca="1" si="310"/>
        <v>龙拳第4段</v>
      </c>
      <c r="C741" t="s">
        <v>165</v>
      </c>
      <c r="D741">
        <f t="shared" si="311"/>
        <v>2</v>
      </c>
      <c r="E741" s="42">
        <f t="shared" ca="1" si="326"/>
        <v>45</v>
      </c>
      <c r="F741" t="str">
        <f t="shared" ca="1" si="327"/>
        <v>第25级，共造成224.2%点伤害</v>
      </c>
      <c r="G741">
        <f t="shared" ca="1" si="328"/>
        <v>4</v>
      </c>
      <c r="H741">
        <f t="shared" si="312"/>
        <v>4</v>
      </c>
      <c r="I741" s="44">
        <f t="shared" ca="1" si="337"/>
        <v>25</v>
      </c>
      <c r="J741">
        <f t="shared" si="313"/>
        <v>2</v>
      </c>
      <c r="K741" s="36">
        <f t="shared" ca="1" si="314"/>
        <v>74.728260869565219</v>
      </c>
      <c r="L741" s="10">
        <f ca="1">AH741*VLOOKUP(C741,技能辅助查询表,技能配置辅助表!$T$1,FALSE)</f>
        <v>0</v>
      </c>
      <c r="M741">
        <f t="shared" ca="1" si="315"/>
        <v>6000</v>
      </c>
      <c r="N741" s="33">
        <f ca="1">CHOOSE(1,W741*U741,X741*'[1]0、经济设定'!$C$18)</f>
        <v>39897</v>
      </c>
      <c r="O741">
        <f t="shared" si="316"/>
        <v>2</v>
      </c>
      <c r="P741">
        <f t="shared" si="317"/>
        <v>3</v>
      </c>
      <c r="Q741">
        <f t="shared" si="318"/>
        <v>1</v>
      </c>
      <c r="R741" s="2">
        <f t="shared" si="319"/>
        <v>9</v>
      </c>
      <c r="S741" s="2">
        <f t="shared" si="320"/>
        <v>50</v>
      </c>
      <c r="T741" s="2">
        <f t="shared" si="321"/>
        <v>59.782608695652179</v>
      </c>
      <c r="U741" s="2">
        <f ca="1">VLOOKUP(E741,金币生产率!$A$2:$B$120,2,0)</f>
        <v>1287</v>
      </c>
      <c r="V741" s="2">
        <f t="shared" si="322"/>
        <v>179.34782608695653</v>
      </c>
      <c r="W741" s="45">
        <f t="shared" ca="1" si="334"/>
        <v>31</v>
      </c>
      <c r="X741" s="48">
        <f t="shared" ca="1" si="335"/>
        <v>384</v>
      </c>
      <c r="Y741">
        <f t="shared" si="323"/>
        <v>18</v>
      </c>
      <c r="Z741">
        <f t="shared" ca="1" si="329"/>
        <v>13</v>
      </c>
      <c r="AA741" t="str">
        <f t="shared" ca="1" si="330"/>
        <v>9222400.png</v>
      </c>
      <c r="AB741">
        <f t="shared" si="324"/>
        <v>7</v>
      </c>
      <c r="AC741">
        <f>VLOOKUP(C741,技能辅助查询表,技能配置辅助表!$W$1,FALSE)</f>
        <v>27</v>
      </c>
      <c r="AD741">
        <f t="shared" ca="1" si="331"/>
        <v>73.709597364415032</v>
      </c>
      <c r="AE741">
        <f>VLOOKUP(C741,技能辅助查询表,技能配置辅助表!$U$1,FALSE)</f>
        <v>4</v>
      </c>
      <c r="AF741">
        <f t="shared" ca="1" si="332"/>
        <v>9222425</v>
      </c>
      <c r="AG741">
        <f t="shared" ca="1" si="336"/>
        <v>43.775510204081634</v>
      </c>
      <c r="AH741">
        <f t="shared" ca="1" si="333"/>
        <v>296.77387122652874</v>
      </c>
      <c r="AI741">
        <f ca="1">VLOOKUP(E741,伤害参考系!$C$4:$E$104,3,FALSE)*$AN$12</f>
        <v>4629.2259280936469</v>
      </c>
      <c r="AJ741">
        <f>VLOOKUP(C741,技能辅助查询表,技能配置辅助表!$L$1,FALSE)</f>
        <v>3</v>
      </c>
      <c r="AK741">
        <f>VLOOKUP(C741,技能辅助查询表,技能配置辅助表!$AE$1,FALSE)</f>
        <v>66000305</v>
      </c>
    </row>
    <row r="742" spans="1:37" x14ac:dyDescent="0.15">
      <c r="A742" s="1">
        <f t="shared" ca="1" si="325"/>
        <v>9222426</v>
      </c>
      <c r="B742" s="1" t="str">
        <f t="shared" ca="1" si="310"/>
        <v>龙拳第4段</v>
      </c>
      <c r="C742" t="s">
        <v>165</v>
      </c>
      <c r="D742">
        <f t="shared" si="311"/>
        <v>2</v>
      </c>
      <c r="E742" s="42">
        <f t="shared" ca="1" si="326"/>
        <v>46</v>
      </c>
      <c r="F742" t="str">
        <f t="shared" ca="1" si="327"/>
        <v>第26级，共造成226%点伤害</v>
      </c>
      <c r="G742">
        <f t="shared" ca="1" si="328"/>
        <v>4</v>
      </c>
      <c r="H742">
        <f t="shared" si="312"/>
        <v>4</v>
      </c>
      <c r="I742" s="44">
        <f t="shared" ca="1" si="337"/>
        <v>26</v>
      </c>
      <c r="J742">
        <f t="shared" si="313"/>
        <v>2</v>
      </c>
      <c r="K742" s="36">
        <f t="shared" ca="1" si="314"/>
        <v>75.326086956521749</v>
      </c>
      <c r="L742" s="10">
        <f ca="1">AH742*VLOOKUP(C742,技能辅助查询表,技能配置辅助表!$T$1,FALSE)</f>
        <v>0</v>
      </c>
      <c r="M742">
        <f t="shared" ca="1" si="315"/>
        <v>5920</v>
      </c>
      <c r="N742" s="33">
        <f ca="1">CHOOSE(1,W742*U742,X742*'[1]0、经济设定'!$C$18)</f>
        <v>44517</v>
      </c>
      <c r="O742">
        <f t="shared" si="316"/>
        <v>2</v>
      </c>
      <c r="P742">
        <f t="shared" si="317"/>
        <v>3</v>
      </c>
      <c r="Q742">
        <f t="shared" si="318"/>
        <v>1</v>
      </c>
      <c r="R742" s="2">
        <f t="shared" si="319"/>
        <v>9</v>
      </c>
      <c r="S742" s="2">
        <f t="shared" si="320"/>
        <v>50</v>
      </c>
      <c r="T742" s="2">
        <f t="shared" si="321"/>
        <v>59.782608695652179</v>
      </c>
      <c r="U742" s="2">
        <f ca="1">VLOOKUP(E742,金币生产率!$A$2:$B$120,2,0)</f>
        <v>1349</v>
      </c>
      <c r="V742" s="2">
        <f t="shared" si="322"/>
        <v>179.34782608695653</v>
      </c>
      <c r="W742" s="45">
        <f t="shared" ca="1" si="334"/>
        <v>33</v>
      </c>
      <c r="X742" s="48">
        <f t="shared" ca="1" si="335"/>
        <v>417</v>
      </c>
      <c r="Y742">
        <f t="shared" si="323"/>
        <v>18</v>
      </c>
      <c r="Z742">
        <f t="shared" ca="1" si="329"/>
        <v>14</v>
      </c>
      <c r="AA742" t="str">
        <f t="shared" ca="1" si="330"/>
        <v>9222400.png</v>
      </c>
      <c r="AB742">
        <f t="shared" si="324"/>
        <v>7</v>
      </c>
      <c r="AC742">
        <f>VLOOKUP(C742,技能辅助查询表,技能配置辅助表!$W$1,FALSE)</f>
        <v>27</v>
      </c>
      <c r="AD742">
        <f t="shared" ca="1" si="331"/>
        <v>85.129338834759039</v>
      </c>
      <c r="AE742">
        <f>VLOOKUP(C742,技能辅助查询表,技能配置辅助表!$U$1,FALSE)</f>
        <v>4</v>
      </c>
      <c r="AF742">
        <f t="shared" ca="1" si="332"/>
        <v>9222426</v>
      </c>
      <c r="AG742">
        <f t="shared" ca="1" si="336"/>
        <v>45.224489795918366</v>
      </c>
      <c r="AH742">
        <f t="shared" ca="1" si="333"/>
        <v>337.87313083683472</v>
      </c>
      <c r="AI742">
        <f ca="1">VLOOKUP(E742,伤害参考系!$C$4:$E$104,3,FALSE)*$AN$12</f>
        <v>4911.1188561872923</v>
      </c>
      <c r="AJ742">
        <f>VLOOKUP(C742,技能辅助查询表,技能配置辅助表!$L$1,FALSE)</f>
        <v>3</v>
      </c>
      <c r="AK742">
        <f>VLOOKUP(C742,技能辅助查询表,技能配置辅助表!$AE$1,FALSE)</f>
        <v>66000305</v>
      </c>
    </row>
    <row r="743" spans="1:37" x14ac:dyDescent="0.15">
      <c r="A743" s="1">
        <f t="shared" ca="1" si="325"/>
        <v>9222427</v>
      </c>
      <c r="B743" s="1" t="str">
        <f t="shared" ca="1" si="310"/>
        <v>龙拳第4段</v>
      </c>
      <c r="C743" t="s">
        <v>165</v>
      </c>
      <c r="D743">
        <f t="shared" si="311"/>
        <v>2</v>
      </c>
      <c r="E743" s="42">
        <f t="shared" ca="1" si="326"/>
        <v>47</v>
      </c>
      <c r="F743" t="str">
        <f t="shared" ca="1" si="327"/>
        <v>第27级，共造成227.8%点伤害</v>
      </c>
      <c r="G743">
        <f t="shared" ca="1" si="328"/>
        <v>4</v>
      </c>
      <c r="H743">
        <f t="shared" si="312"/>
        <v>4</v>
      </c>
      <c r="I743" s="44">
        <f t="shared" ca="1" si="337"/>
        <v>27</v>
      </c>
      <c r="J743">
        <f t="shared" si="313"/>
        <v>2</v>
      </c>
      <c r="K743" s="36">
        <f t="shared" ca="1" si="314"/>
        <v>75.923913043478265</v>
      </c>
      <c r="L743" s="10">
        <f ca="1">AH743*VLOOKUP(C743,技能辅助查询表,技能配置辅助表!$T$1,FALSE)</f>
        <v>0</v>
      </c>
      <c r="M743">
        <f t="shared" ca="1" si="315"/>
        <v>5840</v>
      </c>
      <c r="N743" s="33">
        <f ca="1">CHOOSE(1,W743*U743,X743*'[1]0、经济设定'!$C$18)</f>
        <v>49420</v>
      </c>
      <c r="O743">
        <f t="shared" si="316"/>
        <v>2</v>
      </c>
      <c r="P743">
        <f t="shared" si="317"/>
        <v>3</v>
      </c>
      <c r="Q743">
        <f t="shared" si="318"/>
        <v>1</v>
      </c>
      <c r="R743" s="2">
        <f t="shared" si="319"/>
        <v>9</v>
      </c>
      <c r="S743" s="2">
        <f t="shared" si="320"/>
        <v>50</v>
      </c>
      <c r="T743" s="2">
        <f t="shared" si="321"/>
        <v>59.782608695652179</v>
      </c>
      <c r="U743" s="2">
        <f ca="1">VLOOKUP(E743,金币生产率!$A$2:$B$120,2,0)</f>
        <v>1412</v>
      </c>
      <c r="V743" s="2">
        <f t="shared" si="322"/>
        <v>179.34782608695653</v>
      </c>
      <c r="W743" s="45">
        <f t="shared" ca="1" si="334"/>
        <v>35</v>
      </c>
      <c r="X743" s="48">
        <f t="shared" ca="1" si="335"/>
        <v>452</v>
      </c>
      <c r="Y743">
        <f t="shared" si="323"/>
        <v>18</v>
      </c>
      <c r="Z743">
        <f t="shared" ca="1" si="329"/>
        <v>14</v>
      </c>
      <c r="AA743" t="str">
        <f t="shared" ca="1" si="330"/>
        <v>9222400.png</v>
      </c>
      <c r="AB743">
        <f t="shared" si="324"/>
        <v>7</v>
      </c>
      <c r="AC743">
        <f>VLOOKUP(C743,技能辅助查询表,技能配置辅助表!$W$1,FALSE)</f>
        <v>27</v>
      </c>
      <c r="AD743">
        <f t="shared" ca="1" si="331"/>
        <v>98.298400752289908</v>
      </c>
      <c r="AE743">
        <f>VLOOKUP(C743,技能辅助查询表,技能配置辅助表!$U$1,FALSE)</f>
        <v>4</v>
      </c>
      <c r="AF743">
        <f t="shared" ca="1" si="332"/>
        <v>9222427</v>
      </c>
      <c r="AG743">
        <f t="shared" ca="1" si="336"/>
        <v>46.673469387755105</v>
      </c>
      <c r="AH743">
        <f t="shared" ca="1" si="333"/>
        <v>384.66409481967975</v>
      </c>
      <c r="AI743">
        <f ca="1">VLOOKUP(E743,伤害参考系!$C$4:$E$104,3,FALSE)*$AN$12</f>
        <v>5201.3419816053529</v>
      </c>
      <c r="AJ743">
        <f>VLOOKUP(C743,技能辅助查询表,技能配置辅助表!$L$1,FALSE)</f>
        <v>3</v>
      </c>
      <c r="AK743">
        <f>VLOOKUP(C743,技能辅助查询表,技能配置辅助表!$AE$1,FALSE)</f>
        <v>66000305</v>
      </c>
    </row>
    <row r="744" spans="1:37" x14ac:dyDescent="0.15">
      <c r="A744" s="1">
        <f t="shared" ca="1" si="325"/>
        <v>9222428</v>
      </c>
      <c r="B744" s="1" t="str">
        <f t="shared" ca="1" si="310"/>
        <v>龙拳第4段</v>
      </c>
      <c r="C744" t="s">
        <v>165</v>
      </c>
      <c r="D744">
        <f t="shared" si="311"/>
        <v>2</v>
      </c>
      <c r="E744" s="42">
        <f t="shared" ca="1" si="326"/>
        <v>49</v>
      </c>
      <c r="F744" t="str">
        <f t="shared" ca="1" si="327"/>
        <v>第28级，共造成229.6%点伤害</v>
      </c>
      <c r="G744">
        <f t="shared" ca="1" si="328"/>
        <v>4</v>
      </c>
      <c r="H744">
        <f t="shared" si="312"/>
        <v>4</v>
      </c>
      <c r="I744" s="44">
        <f t="shared" ca="1" si="337"/>
        <v>28</v>
      </c>
      <c r="J744">
        <f t="shared" si="313"/>
        <v>2</v>
      </c>
      <c r="K744" s="36">
        <f t="shared" ca="1" si="314"/>
        <v>76.521739130434796</v>
      </c>
      <c r="L744" s="10">
        <f ca="1">AH744*VLOOKUP(C744,技能辅助查询表,技能配置辅助表!$T$1,FALSE)</f>
        <v>0</v>
      </c>
      <c r="M744">
        <f t="shared" ca="1" si="315"/>
        <v>5760</v>
      </c>
      <c r="N744" s="33">
        <f ca="1">CHOOSE(1,W744*U744,X744*'[1]0、经济设定'!$C$18)</f>
        <v>58634</v>
      </c>
      <c r="O744">
        <f t="shared" si="316"/>
        <v>2</v>
      </c>
      <c r="P744">
        <f t="shared" si="317"/>
        <v>3</v>
      </c>
      <c r="Q744">
        <f t="shared" si="318"/>
        <v>1</v>
      </c>
      <c r="R744" s="2">
        <f t="shared" si="319"/>
        <v>9</v>
      </c>
      <c r="S744" s="2">
        <f t="shared" si="320"/>
        <v>50</v>
      </c>
      <c r="T744" s="2">
        <f t="shared" si="321"/>
        <v>59.782608695652179</v>
      </c>
      <c r="U744" s="2">
        <f ca="1">VLOOKUP(E744,金币生产率!$A$2:$B$120,2,0)</f>
        <v>1543</v>
      </c>
      <c r="V744" s="2">
        <f t="shared" si="322"/>
        <v>179.34782608695653</v>
      </c>
      <c r="W744" s="45">
        <f t="shared" ca="1" si="334"/>
        <v>38</v>
      </c>
      <c r="X744" s="48">
        <f t="shared" ca="1" si="335"/>
        <v>490</v>
      </c>
      <c r="Y744">
        <f t="shared" si="323"/>
        <v>18</v>
      </c>
      <c r="Z744">
        <f t="shared" ca="1" si="329"/>
        <v>16</v>
      </c>
      <c r="AA744" t="str">
        <f t="shared" ca="1" si="330"/>
        <v>9222400.png</v>
      </c>
      <c r="AB744">
        <f t="shared" si="324"/>
        <v>7</v>
      </c>
      <c r="AC744">
        <f>VLOOKUP(C744,技能辅助查询表,技能配置辅助表!$W$1,FALSE)</f>
        <v>27</v>
      </c>
      <c r="AD744">
        <f t="shared" ca="1" si="331"/>
        <v>113.48228411146992</v>
      </c>
      <c r="AE744">
        <f>VLOOKUP(C744,技能辅助查询表,技能配置辅助表!$U$1,FALSE)</f>
        <v>4</v>
      </c>
      <c r="AF744">
        <f t="shared" ca="1" si="332"/>
        <v>9222428</v>
      </c>
      <c r="AG744">
        <f t="shared" ca="1" si="336"/>
        <v>48.122448979591837</v>
      </c>
      <c r="AH744">
        <f t="shared" ca="1" si="333"/>
        <v>437.93498902077317</v>
      </c>
      <c r="AI744">
        <f ca="1">VLOOKUP(E744,伤害参考系!$C$4:$E$104,3,FALSE)*$AN$12</f>
        <v>5806.7788244147177</v>
      </c>
      <c r="AJ744">
        <f>VLOOKUP(C744,技能辅助查询表,技能配置辅助表!$L$1,FALSE)</f>
        <v>3</v>
      </c>
      <c r="AK744">
        <f>VLOOKUP(C744,技能辅助查询表,技能配置辅助表!$AE$1,FALSE)</f>
        <v>66000305</v>
      </c>
    </row>
    <row r="745" spans="1:37" x14ac:dyDescent="0.15">
      <c r="A745" s="1">
        <f t="shared" ca="1" si="325"/>
        <v>9222429</v>
      </c>
      <c r="B745" s="1" t="str">
        <f t="shared" ca="1" si="310"/>
        <v>龙拳第4段</v>
      </c>
      <c r="C745" t="s">
        <v>165</v>
      </c>
      <c r="D745">
        <f t="shared" si="311"/>
        <v>2</v>
      </c>
      <c r="E745" s="42">
        <f t="shared" ca="1" si="326"/>
        <v>50</v>
      </c>
      <c r="F745" t="str">
        <f t="shared" ca="1" si="327"/>
        <v>第29级，共造成231.4%点伤害</v>
      </c>
      <c r="G745">
        <f t="shared" ca="1" si="328"/>
        <v>4</v>
      </c>
      <c r="H745">
        <f t="shared" si="312"/>
        <v>4</v>
      </c>
      <c r="I745" s="44">
        <f t="shared" ca="1" si="337"/>
        <v>29</v>
      </c>
      <c r="J745">
        <f t="shared" si="313"/>
        <v>2</v>
      </c>
      <c r="K745" s="36">
        <f t="shared" ca="1" si="314"/>
        <v>77.119565217391312</v>
      </c>
      <c r="L745" s="10">
        <f ca="1">AH745*VLOOKUP(C745,技能辅助查询表,技能配置辅助表!$T$1,FALSE)</f>
        <v>0</v>
      </c>
      <c r="M745">
        <f t="shared" ca="1" si="315"/>
        <v>5680</v>
      </c>
      <c r="N745" s="33">
        <f ca="1">CHOOSE(1,W745*U745,X745*'[1]0、经济设定'!$C$18)</f>
        <v>64400</v>
      </c>
      <c r="O745">
        <f t="shared" si="316"/>
        <v>2</v>
      </c>
      <c r="P745">
        <f t="shared" si="317"/>
        <v>3</v>
      </c>
      <c r="Q745">
        <f t="shared" si="318"/>
        <v>1</v>
      </c>
      <c r="R745" s="2">
        <f t="shared" si="319"/>
        <v>9</v>
      </c>
      <c r="S745" s="2">
        <f t="shared" si="320"/>
        <v>50</v>
      </c>
      <c r="T745" s="2">
        <f t="shared" si="321"/>
        <v>59.782608695652179</v>
      </c>
      <c r="U745" s="2">
        <f ca="1">VLOOKUP(E745,金币生产率!$A$2:$B$120,2,0)</f>
        <v>1610</v>
      </c>
      <c r="V745" s="2">
        <f t="shared" si="322"/>
        <v>179.34782608695653</v>
      </c>
      <c r="W745" s="45">
        <f t="shared" ca="1" si="334"/>
        <v>40</v>
      </c>
      <c r="X745" s="48">
        <f t="shared" ca="1" si="335"/>
        <v>530</v>
      </c>
      <c r="Y745">
        <f t="shared" si="323"/>
        <v>18</v>
      </c>
      <c r="Z745">
        <f t="shared" ca="1" si="329"/>
        <v>16</v>
      </c>
      <c r="AA745" t="str">
        <f t="shared" ca="1" si="330"/>
        <v>9222400.png</v>
      </c>
      <c r="AB745">
        <f t="shared" si="324"/>
        <v>7</v>
      </c>
      <c r="AC745">
        <f>VLOOKUP(C745,技能辅助查询表,技能配置辅助表!$W$1,FALSE)</f>
        <v>27</v>
      </c>
      <c r="AD745">
        <f t="shared" ca="1" si="331"/>
        <v>130.98647716611535</v>
      </c>
      <c r="AE745">
        <f>VLOOKUP(C745,技能辅助查询表,技能配置辅助表!$U$1,FALSE)</f>
        <v>4</v>
      </c>
      <c r="AF745">
        <f t="shared" ca="1" si="332"/>
        <v>9222429</v>
      </c>
      <c r="AG745">
        <f t="shared" ca="1" si="336"/>
        <v>49.571428571428569</v>
      </c>
      <c r="AH745">
        <f t="shared" ca="1" si="333"/>
        <v>498.5831981498805</v>
      </c>
      <c r="AI745">
        <f ca="1">VLOOKUP(E745,伤害参考系!$C$4:$E$104,3,FALSE)*$AN$12</f>
        <v>6162.2688085284308</v>
      </c>
      <c r="AJ745">
        <f>VLOOKUP(C745,技能辅助查询表,技能配置辅助表!$L$1,FALSE)</f>
        <v>3</v>
      </c>
      <c r="AK745">
        <f>VLOOKUP(C745,技能辅助查询表,技能配置辅助表!$AE$1,FALSE)</f>
        <v>66000305</v>
      </c>
    </row>
    <row r="746" spans="1:37" x14ac:dyDescent="0.15">
      <c r="A746" s="1">
        <f t="shared" ca="1" si="325"/>
        <v>9222430</v>
      </c>
      <c r="B746" s="1" t="str">
        <f t="shared" ca="1" si="310"/>
        <v>龙拳第4段</v>
      </c>
      <c r="C746" t="s">
        <v>165</v>
      </c>
      <c r="D746">
        <f t="shared" si="311"/>
        <v>2</v>
      </c>
      <c r="E746" s="42">
        <f t="shared" ca="1" si="326"/>
        <v>52</v>
      </c>
      <c r="F746" t="str">
        <f t="shared" ca="1" si="327"/>
        <v>第30级，共造成233.2%点伤害</v>
      </c>
      <c r="G746">
        <f t="shared" ca="1" si="328"/>
        <v>4</v>
      </c>
      <c r="H746">
        <f t="shared" si="312"/>
        <v>4</v>
      </c>
      <c r="I746" s="44">
        <f t="shared" ca="1" si="337"/>
        <v>30</v>
      </c>
      <c r="J746">
        <f t="shared" si="313"/>
        <v>2</v>
      </c>
      <c r="K746" s="36">
        <f t="shared" ca="1" si="314"/>
        <v>77.717391304347842</v>
      </c>
      <c r="L746" s="10">
        <f ca="1">AH746*VLOOKUP(C746,技能辅助查询表,技能配置辅助表!$T$1,FALSE)</f>
        <v>0</v>
      </c>
      <c r="M746">
        <f t="shared" ca="1" si="315"/>
        <v>5600</v>
      </c>
      <c r="N746" s="33">
        <f ca="1">CHOOSE(1,W746*U746,X746*'[1]0、经济设定'!$C$18)</f>
        <v>75207</v>
      </c>
      <c r="O746">
        <f t="shared" si="316"/>
        <v>2</v>
      </c>
      <c r="P746">
        <f t="shared" si="317"/>
        <v>3</v>
      </c>
      <c r="Q746">
        <f t="shared" si="318"/>
        <v>1</v>
      </c>
      <c r="R746" s="2">
        <f t="shared" si="319"/>
        <v>9</v>
      </c>
      <c r="S746" s="2">
        <f t="shared" si="320"/>
        <v>50</v>
      </c>
      <c r="T746" s="2">
        <f t="shared" si="321"/>
        <v>59.782608695652179</v>
      </c>
      <c r="U746" s="2">
        <f ca="1">VLOOKUP(E746,金币生产率!$A$2:$B$120,2,0)</f>
        <v>1749</v>
      </c>
      <c r="V746" s="2">
        <f t="shared" si="322"/>
        <v>179.34782608695653</v>
      </c>
      <c r="W746" s="45">
        <f t="shared" ca="1" si="334"/>
        <v>43</v>
      </c>
      <c r="X746" s="48">
        <f t="shared" ca="1" si="335"/>
        <v>573</v>
      </c>
      <c r="Y746">
        <f t="shared" si="323"/>
        <v>18</v>
      </c>
      <c r="Z746">
        <f t="shared" ca="1" si="329"/>
        <v>18</v>
      </c>
      <c r="AA746" t="str">
        <f t="shared" ca="1" si="330"/>
        <v>9222400.png</v>
      </c>
      <c r="AB746">
        <f t="shared" si="324"/>
        <v>7</v>
      </c>
      <c r="AC746">
        <f>VLOOKUP(C746,技能辅助查询表,技能配置辅助表!$W$1,FALSE)</f>
        <v>27</v>
      </c>
      <c r="AD746">
        <f t="shared" ca="1" si="331"/>
        <v>151.16243890876433</v>
      </c>
      <c r="AE746">
        <f>VLOOKUP(C746,技能辅助查询表,技能配置辅助表!$U$1,FALSE)</f>
        <v>4</v>
      </c>
      <c r="AF746">
        <f t="shared" ca="1" si="332"/>
        <v>9222430</v>
      </c>
      <c r="AG746">
        <f t="shared" ca="1" si="336"/>
        <v>51.020408163265309</v>
      </c>
      <c r="AH746">
        <f t="shared" ca="1" si="333"/>
        <v>567.63038284107404</v>
      </c>
      <c r="AI746">
        <f ca="1">VLOOKUP(E746,伤害参考系!$C$4:$E$104,3,FALSE)*$AN$12</f>
        <v>6904.487016722409</v>
      </c>
      <c r="AJ746">
        <f>VLOOKUP(C746,技能辅助查询表,技能配置辅助表!$L$1,FALSE)</f>
        <v>3</v>
      </c>
      <c r="AK746">
        <f>VLOOKUP(C746,技能辅助查询表,技能配置辅助表!$AE$1,FALSE)</f>
        <v>66000305</v>
      </c>
    </row>
    <row r="747" spans="1:37" x14ac:dyDescent="0.15">
      <c r="A747" s="1">
        <f t="shared" ca="1" si="325"/>
        <v>9222431</v>
      </c>
      <c r="B747" s="1" t="str">
        <f t="shared" ca="1" si="310"/>
        <v>龙拳第4段</v>
      </c>
      <c r="C747" t="s">
        <v>165</v>
      </c>
      <c r="D747">
        <f t="shared" si="311"/>
        <v>2</v>
      </c>
      <c r="E747" s="42">
        <f t="shared" ca="1" si="326"/>
        <v>53</v>
      </c>
      <c r="F747" t="str">
        <f t="shared" ca="1" si="327"/>
        <v>第31级，共造成234.9%点伤害</v>
      </c>
      <c r="G747">
        <f t="shared" ca="1" si="328"/>
        <v>4</v>
      </c>
      <c r="H747">
        <f t="shared" si="312"/>
        <v>4</v>
      </c>
      <c r="I747" s="44">
        <f t="shared" ca="1" si="337"/>
        <v>31</v>
      </c>
      <c r="J747">
        <f t="shared" si="313"/>
        <v>2</v>
      </c>
      <c r="K747" s="36">
        <f t="shared" ca="1" si="314"/>
        <v>78.315217391304358</v>
      </c>
      <c r="L747" s="10">
        <f ca="1">AH747*VLOOKUP(C747,技能辅助查询表,技能配置辅助表!$T$1,FALSE)</f>
        <v>0</v>
      </c>
      <c r="M747">
        <f t="shared" ca="1" si="315"/>
        <v>5520</v>
      </c>
      <c r="N747" s="33">
        <f ca="1">CHOOSE(1,W747*U747,X747*'[1]0、经济设定'!$C$18)</f>
        <v>83720</v>
      </c>
      <c r="O747">
        <f t="shared" si="316"/>
        <v>2</v>
      </c>
      <c r="P747">
        <f t="shared" si="317"/>
        <v>3</v>
      </c>
      <c r="Q747">
        <f t="shared" si="318"/>
        <v>1</v>
      </c>
      <c r="R747" s="2">
        <f t="shared" si="319"/>
        <v>9</v>
      </c>
      <c r="S747" s="2">
        <f t="shared" si="320"/>
        <v>50</v>
      </c>
      <c r="T747" s="2">
        <f t="shared" si="321"/>
        <v>59.782608695652179</v>
      </c>
      <c r="U747" s="2">
        <f ca="1">VLOOKUP(E747,金币生产率!$A$2:$B$120,2,0)</f>
        <v>1820</v>
      </c>
      <c r="V747" s="2">
        <f t="shared" si="322"/>
        <v>179.34782608695653</v>
      </c>
      <c r="W747" s="45">
        <f t="shared" ca="1" si="334"/>
        <v>46</v>
      </c>
      <c r="X747" s="48">
        <f t="shared" ca="1" si="335"/>
        <v>619</v>
      </c>
      <c r="Y747">
        <f t="shared" si="323"/>
        <v>18</v>
      </c>
      <c r="Z747">
        <f t="shared" ca="1" si="329"/>
        <v>19</v>
      </c>
      <c r="AA747" t="str">
        <f t="shared" ca="1" si="330"/>
        <v>9222400.png</v>
      </c>
      <c r="AB747">
        <f t="shared" si="324"/>
        <v>7</v>
      </c>
      <c r="AC747">
        <f>VLOOKUP(C747,技能辅助查询表,技能配置辅助表!$W$1,FALSE)</f>
        <v>27</v>
      </c>
      <c r="AD747">
        <f t="shared" ca="1" si="331"/>
        <v>174.41447291645039</v>
      </c>
      <c r="AE747">
        <f>VLOOKUP(C747,技能辅助查询表,技能配置辅助表!$U$1,FALSE)</f>
        <v>4</v>
      </c>
      <c r="AF747">
        <f t="shared" ca="1" si="332"/>
        <v>9222431</v>
      </c>
      <c r="AG747">
        <f t="shared" ca="1" si="336"/>
        <v>52.469387755102041</v>
      </c>
      <c r="AH747">
        <f t="shared" ca="1" si="333"/>
        <v>646.23969022607446</v>
      </c>
      <c r="AI747">
        <f ca="1">VLOOKUP(E747,伤害参考系!$C$4:$E$104,3,FALSE)*$AN$12</f>
        <v>7291.2152408026777</v>
      </c>
      <c r="AJ747">
        <f>VLOOKUP(C747,技能辅助查询表,技能配置辅助表!$L$1,FALSE)</f>
        <v>3</v>
      </c>
      <c r="AK747">
        <f>VLOOKUP(C747,技能辅助查询表,技能配置辅助表!$AE$1,FALSE)</f>
        <v>66000305</v>
      </c>
    </row>
    <row r="748" spans="1:37" x14ac:dyDescent="0.15">
      <c r="A748" s="1">
        <f t="shared" ca="1" si="325"/>
        <v>9222432</v>
      </c>
      <c r="B748" s="1" t="str">
        <f t="shared" ca="1" si="310"/>
        <v>龙拳第4段</v>
      </c>
      <c r="C748" t="s">
        <v>165</v>
      </c>
      <c r="D748">
        <f t="shared" si="311"/>
        <v>2</v>
      </c>
      <c r="E748" s="42">
        <f t="shared" ca="1" si="326"/>
        <v>54</v>
      </c>
      <c r="F748" t="str">
        <f t="shared" ca="1" si="327"/>
        <v>第32级，共造成236.7%点伤害</v>
      </c>
      <c r="G748">
        <f t="shared" ca="1" si="328"/>
        <v>4</v>
      </c>
      <c r="H748">
        <f t="shared" si="312"/>
        <v>4</v>
      </c>
      <c r="I748" s="44">
        <f t="shared" ca="1" si="337"/>
        <v>32</v>
      </c>
      <c r="J748">
        <f t="shared" si="313"/>
        <v>2</v>
      </c>
      <c r="K748" s="36">
        <f t="shared" ca="1" si="314"/>
        <v>78.913043478260875</v>
      </c>
      <c r="L748" s="10">
        <f ca="1">AH748*VLOOKUP(C748,技能辅助查询表,技能配置辅助表!$T$1,FALSE)</f>
        <v>0</v>
      </c>
      <c r="M748">
        <f t="shared" ca="1" si="315"/>
        <v>5440</v>
      </c>
      <c r="N748" s="33">
        <f ca="1">CHOOSE(1,W748*U748,X748*'[1]0、经济设定'!$C$18)</f>
        <v>92757</v>
      </c>
      <c r="O748">
        <f t="shared" si="316"/>
        <v>2</v>
      </c>
      <c r="P748">
        <f t="shared" si="317"/>
        <v>3</v>
      </c>
      <c r="Q748">
        <f t="shared" si="318"/>
        <v>1</v>
      </c>
      <c r="R748" s="2">
        <f t="shared" si="319"/>
        <v>9</v>
      </c>
      <c r="S748" s="2">
        <f t="shared" si="320"/>
        <v>50</v>
      </c>
      <c r="T748" s="2">
        <f t="shared" si="321"/>
        <v>59.782608695652179</v>
      </c>
      <c r="U748" s="2">
        <f ca="1">VLOOKUP(E748,金币生产率!$A$2:$B$120,2,0)</f>
        <v>1893</v>
      </c>
      <c r="V748" s="2">
        <f t="shared" si="322"/>
        <v>179.34782608695653</v>
      </c>
      <c r="W748" s="45">
        <f t="shared" ca="1" si="334"/>
        <v>49</v>
      </c>
      <c r="X748" s="48">
        <f t="shared" ca="1" si="335"/>
        <v>668</v>
      </c>
      <c r="Y748">
        <f t="shared" si="323"/>
        <v>18</v>
      </c>
      <c r="Z748">
        <f t="shared" ca="1" si="329"/>
        <v>20</v>
      </c>
      <c r="AA748" t="str">
        <f t="shared" ca="1" si="330"/>
        <v>9222400.png</v>
      </c>
      <c r="AB748">
        <f t="shared" si="324"/>
        <v>7</v>
      </c>
      <c r="AC748">
        <f>VLOOKUP(C748,技能辅助查询表,技能配置辅助表!$W$1,FALSE)</f>
        <v>27</v>
      </c>
      <c r="AD748">
        <f t="shared" ca="1" si="331"/>
        <v>201.20762341614804</v>
      </c>
      <c r="AE748">
        <f>VLOOKUP(C748,技能辅助查询表,技能配置辅助表!$U$1,FALSE)</f>
        <v>4</v>
      </c>
      <c r="AF748">
        <f t="shared" ca="1" si="332"/>
        <v>9222432</v>
      </c>
      <c r="AG748">
        <f t="shared" ca="1" si="336"/>
        <v>53.918367346938773</v>
      </c>
      <c r="AH748">
        <f t="shared" ca="1" si="333"/>
        <v>735.73534794457942</v>
      </c>
      <c r="AI748">
        <f ca="1">VLOOKUP(E748,伤害参考系!$C$4:$E$104,3,FALSE)*$AN$12</f>
        <v>7688.356211538463</v>
      </c>
      <c r="AJ748">
        <f>VLOOKUP(C748,技能辅助查询表,技能配置辅助表!$L$1,FALSE)</f>
        <v>3</v>
      </c>
      <c r="AK748">
        <f>VLOOKUP(C748,技能辅助查询表,技能配置辅助表!$AE$1,FALSE)</f>
        <v>66000305</v>
      </c>
    </row>
    <row r="749" spans="1:37" x14ac:dyDescent="0.15">
      <c r="A749" s="1">
        <f t="shared" ca="1" si="325"/>
        <v>9222433</v>
      </c>
      <c r="B749" s="1" t="str">
        <f t="shared" ca="1" si="310"/>
        <v>龙拳第4段</v>
      </c>
      <c r="C749" t="s">
        <v>165</v>
      </c>
      <c r="D749">
        <f t="shared" si="311"/>
        <v>2</v>
      </c>
      <c r="E749" s="42">
        <f t="shared" ca="1" si="326"/>
        <v>56</v>
      </c>
      <c r="F749" t="str">
        <f t="shared" ca="1" si="327"/>
        <v>第33级，共造成238.5%点伤害</v>
      </c>
      <c r="G749">
        <f t="shared" ca="1" si="328"/>
        <v>4</v>
      </c>
      <c r="H749">
        <f t="shared" si="312"/>
        <v>4</v>
      </c>
      <c r="I749" s="44">
        <f t="shared" ca="1" si="337"/>
        <v>33</v>
      </c>
      <c r="J749">
        <f t="shared" si="313"/>
        <v>2</v>
      </c>
      <c r="K749" s="36">
        <f t="shared" ca="1" si="314"/>
        <v>79.510869565217405</v>
      </c>
      <c r="L749" s="10">
        <f ca="1">AH749*VLOOKUP(C749,技能辅助查询表,技能配置辅助表!$T$1,FALSE)</f>
        <v>0</v>
      </c>
      <c r="M749">
        <f t="shared" ca="1" si="315"/>
        <v>5360</v>
      </c>
      <c r="N749" s="33">
        <f ca="1">CHOOSE(1,W749*U749,X749*'[1]0、经济设定'!$C$18)</f>
        <v>108226</v>
      </c>
      <c r="O749">
        <f t="shared" si="316"/>
        <v>2</v>
      </c>
      <c r="P749">
        <f t="shared" si="317"/>
        <v>3</v>
      </c>
      <c r="Q749">
        <f t="shared" si="318"/>
        <v>1</v>
      </c>
      <c r="R749" s="2">
        <f t="shared" si="319"/>
        <v>9</v>
      </c>
      <c r="S749" s="2">
        <f t="shared" si="320"/>
        <v>50</v>
      </c>
      <c r="T749" s="2">
        <f t="shared" si="321"/>
        <v>59.782608695652179</v>
      </c>
      <c r="U749" s="2">
        <f ca="1">VLOOKUP(E749,金币生产率!$A$2:$B$120,2,0)</f>
        <v>2042</v>
      </c>
      <c r="V749" s="2">
        <f t="shared" si="322"/>
        <v>179.34782608695653</v>
      </c>
      <c r="W749" s="45">
        <f t="shared" ca="1" si="334"/>
        <v>53</v>
      </c>
      <c r="X749" s="48">
        <f t="shared" ca="1" si="335"/>
        <v>721</v>
      </c>
      <c r="Y749">
        <f t="shared" si="323"/>
        <v>18</v>
      </c>
      <c r="Z749">
        <f t="shared" ca="1" si="329"/>
        <v>22</v>
      </c>
      <c r="AA749" t="str">
        <f t="shared" ca="1" si="330"/>
        <v>9222400.png</v>
      </c>
      <c r="AB749">
        <f t="shared" si="324"/>
        <v>7</v>
      </c>
      <c r="AC749">
        <f>VLOOKUP(C749,技能辅助查询表,技能配置辅助表!$W$1,FALSE)</f>
        <v>27</v>
      </c>
      <c r="AD749">
        <f t="shared" ca="1" si="331"/>
        <v>232.07674486705591</v>
      </c>
      <c r="AE749">
        <f>VLOOKUP(C749,技能辅助查询表,技能配置辅助表!$U$1,FALSE)</f>
        <v>4</v>
      </c>
      <c r="AF749">
        <f t="shared" ca="1" si="332"/>
        <v>9222433</v>
      </c>
      <c r="AG749">
        <f t="shared" ca="1" si="336"/>
        <v>55.367346938775512</v>
      </c>
      <c r="AH749">
        <f t="shared" ca="1" si="333"/>
        <v>837.62497166611001</v>
      </c>
      <c r="AI749">
        <f ca="1">VLOOKUP(E749,伤害参考系!$C$4:$E$104,3,FALSE)*$AN$12</f>
        <v>8513.8763929765901</v>
      </c>
      <c r="AJ749">
        <f>VLOOKUP(C749,技能辅助查询表,技能配置辅助表!$L$1,FALSE)</f>
        <v>3</v>
      </c>
      <c r="AK749">
        <f>VLOOKUP(C749,技能辅助查询表,技能配置辅助表!$AE$1,FALSE)</f>
        <v>66000305</v>
      </c>
    </row>
    <row r="750" spans="1:37" x14ac:dyDescent="0.15">
      <c r="A750" s="1">
        <f t="shared" ca="1" si="325"/>
        <v>9222434</v>
      </c>
      <c r="B750" s="1" t="str">
        <f t="shared" ca="1" si="310"/>
        <v>龙拳第4段</v>
      </c>
      <c r="C750" t="s">
        <v>165</v>
      </c>
      <c r="D750">
        <f t="shared" si="311"/>
        <v>2</v>
      </c>
      <c r="E750" s="42">
        <f t="shared" ca="1" si="326"/>
        <v>57</v>
      </c>
      <c r="F750" t="str">
        <f t="shared" ca="1" si="327"/>
        <v>第34级，共造成240.3%点伤害</v>
      </c>
      <c r="G750">
        <f t="shared" ca="1" si="328"/>
        <v>4</v>
      </c>
      <c r="H750">
        <f t="shared" si="312"/>
        <v>4</v>
      </c>
      <c r="I750" s="44">
        <f t="shared" ca="1" si="337"/>
        <v>34</v>
      </c>
      <c r="J750">
        <f t="shared" si="313"/>
        <v>2</v>
      </c>
      <c r="K750" s="36">
        <f t="shared" ca="1" si="314"/>
        <v>80.108695652173921</v>
      </c>
      <c r="L750" s="10">
        <f ca="1">AH750*VLOOKUP(C750,技能辅助查询表,技能配置辅助表!$T$1,FALSE)</f>
        <v>0</v>
      </c>
      <c r="M750">
        <f t="shared" ca="1" si="315"/>
        <v>5280</v>
      </c>
      <c r="N750" s="33">
        <f ca="1">CHOOSE(1,W750*U750,X750*'[1]0、经济设定'!$C$18)</f>
        <v>120783</v>
      </c>
      <c r="O750">
        <f t="shared" si="316"/>
        <v>2</v>
      </c>
      <c r="P750">
        <f t="shared" si="317"/>
        <v>3</v>
      </c>
      <c r="Q750">
        <f t="shared" si="318"/>
        <v>1</v>
      </c>
      <c r="R750" s="2">
        <f t="shared" si="319"/>
        <v>9</v>
      </c>
      <c r="S750" s="2">
        <f t="shared" si="320"/>
        <v>50</v>
      </c>
      <c r="T750" s="2">
        <f t="shared" si="321"/>
        <v>59.782608695652179</v>
      </c>
      <c r="U750" s="2">
        <f ca="1">VLOOKUP(E750,金币生产率!$A$2:$B$120,2,0)</f>
        <v>2119</v>
      </c>
      <c r="V750" s="2">
        <f t="shared" si="322"/>
        <v>179.34782608695653</v>
      </c>
      <c r="W750" s="45">
        <f t="shared" ca="1" si="334"/>
        <v>57</v>
      </c>
      <c r="X750" s="48">
        <f t="shared" ca="1" si="335"/>
        <v>778</v>
      </c>
      <c r="Y750">
        <f t="shared" si="323"/>
        <v>18</v>
      </c>
      <c r="Z750">
        <f t="shared" ca="1" si="329"/>
        <v>23</v>
      </c>
      <c r="AA750" t="str">
        <f t="shared" ca="1" si="330"/>
        <v>9222400.png</v>
      </c>
      <c r="AB750">
        <f t="shared" si="324"/>
        <v>7</v>
      </c>
      <c r="AC750">
        <f>VLOOKUP(C750,技能辅助查询表,技能配置辅助表!$W$1,FALSE)</f>
        <v>27</v>
      </c>
      <c r="AD750">
        <f t="shared" ca="1" si="331"/>
        <v>267.63691865746534</v>
      </c>
      <c r="AE750">
        <f>VLOOKUP(C750,技能辅助查询表,技能配置辅助表!$U$1,FALSE)</f>
        <v>4</v>
      </c>
      <c r="AF750">
        <f t="shared" ca="1" si="332"/>
        <v>9222434</v>
      </c>
      <c r="AG750">
        <f t="shared" ca="1" si="336"/>
        <v>56.816326530612244</v>
      </c>
      <c r="AH750">
        <f t="shared" ca="1" si="333"/>
        <v>953.62496190886134</v>
      </c>
      <c r="AI750">
        <f ca="1">VLOOKUP(E750,伤害参考系!$C$4:$E$104,3,FALSE)*$AN$12</f>
        <v>8942.2556036789319</v>
      </c>
      <c r="AJ750">
        <f>VLOOKUP(C750,技能辅助查询表,技能配置辅助表!$L$1,FALSE)</f>
        <v>3</v>
      </c>
      <c r="AK750">
        <f>VLOOKUP(C750,技能辅助查询表,技能配置辅助表!$AE$1,FALSE)</f>
        <v>66000305</v>
      </c>
    </row>
    <row r="751" spans="1:37" x14ac:dyDescent="0.15">
      <c r="A751" s="1">
        <f t="shared" ca="1" si="325"/>
        <v>9222435</v>
      </c>
      <c r="B751" s="1" t="str">
        <f t="shared" ca="1" si="310"/>
        <v>龙拳第4段</v>
      </c>
      <c r="C751" t="s">
        <v>165</v>
      </c>
      <c r="D751">
        <f t="shared" si="311"/>
        <v>2</v>
      </c>
      <c r="E751" s="42">
        <f t="shared" ca="1" si="326"/>
        <v>59</v>
      </c>
      <c r="F751" t="str">
        <f t="shared" ca="1" si="327"/>
        <v>第35级，共造成242.1%点伤害</v>
      </c>
      <c r="G751">
        <f t="shared" ca="1" si="328"/>
        <v>4</v>
      </c>
      <c r="H751">
        <f t="shared" si="312"/>
        <v>4</v>
      </c>
      <c r="I751" s="44">
        <f t="shared" ca="1" si="337"/>
        <v>35</v>
      </c>
      <c r="J751">
        <f t="shared" si="313"/>
        <v>2</v>
      </c>
      <c r="K751" s="36">
        <f t="shared" ca="1" si="314"/>
        <v>80.706521739130437</v>
      </c>
      <c r="L751" s="10">
        <f ca="1">AH751*VLOOKUP(C751,技能辅助查询表,技能配置辅助表!$T$1,FALSE)</f>
        <v>0</v>
      </c>
      <c r="M751">
        <f t="shared" ca="1" si="315"/>
        <v>5200</v>
      </c>
      <c r="N751" s="33">
        <f ca="1">CHOOSE(1,W751*U751,X751*'[1]0、经济设定'!$C$18)</f>
        <v>138897</v>
      </c>
      <c r="O751">
        <f t="shared" si="316"/>
        <v>2</v>
      </c>
      <c r="P751">
        <f t="shared" si="317"/>
        <v>3</v>
      </c>
      <c r="Q751">
        <f t="shared" si="318"/>
        <v>1</v>
      </c>
      <c r="R751" s="2">
        <f t="shared" si="319"/>
        <v>9</v>
      </c>
      <c r="S751" s="2">
        <f t="shared" si="320"/>
        <v>50</v>
      </c>
      <c r="T751" s="2">
        <f t="shared" si="321"/>
        <v>59.782608695652179</v>
      </c>
      <c r="U751" s="2">
        <f ca="1">VLOOKUP(E751,金币生产率!$A$2:$B$120,2,0)</f>
        <v>2277</v>
      </c>
      <c r="V751" s="2">
        <f t="shared" si="322"/>
        <v>179.34782608695653</v>
      </c>
      <c r="W751" s="45">
        <f t="shared" ca="1" si="334"/>
        <v>61</v>
      </c>
      <c r="X751" s="48">
        <f t="shared" ca="1" si="335"/>
        <v>839</v>
      </c>
      <c r="Y751">
        <f t="shared" si="323"/>
        <v>18</v>
      </c>
      <c r="Z751">
        <f t="shared" ca="1" si="329"/>
        <v>25</v>
      </c>
      <c r="AA751" t="str">
        <f t="shared" ca="1" si="330"/>
        <v>9222400.png</v>
      </c>
      <c r="AB751">
        <f t="shared" si="324"/>
        <v>7</v>
      </c>
      <c r="AC751">
        <f>VLOOKUP(C751,技能辅助查询表,技能配置辅助表!$W$1,FALSE)</f>
        <v>27</v>
      </c>
      <c r="AD751">
        <f t="shared" ca="1" si="331"/>
        <v>308.59541608955351</v>
      </c>
      <c r="AE751">
        <f>VLOOKUP(C751,技能辅助查询表,技能配置辅助表!$U$1,FALSE)</f>
        <v>4</v>
      </c>
      <c r="AF751">
        <f t="shared" ca="1" si="332"/>
        <v>9222435</v>
      </c>
      <c r="AG751">
        <f t="shared" ca="1" si="336"/>
        <v>58.265306122448976</v>
      </c>
      <c r="AH751">
        <f t="shared" ca="1" si="333"/>
        <v>1085.689417982368</v>
      </c>
      <c r="AI751">
        <f ca="1">VLOOKUP(E751,伤害参考系!$C$4:$E$104,3,FALSE)*$AN$12</f>
        <v>9830.2522650501687</v>
      </c>
      <c r="AJ751">
        <f>VLOOKUP(C751,技能辅助查询表,技能配置辅助表!$L$1,FALSE)</f>
        <v>3</v>
      </c>
      <c r="AK751">
        <f>VLOOKUP(C751,技能辅助查询表,技能配置辅助表!$AE$1,FALSE)</f>
        <v>66000305</v>
      </c>
    </row>
    <row r="752" spans="1:37" x14ac:dyDescent="0.15">
      <c r="A752" s="1">
        <f t="shared" ca="1" si="325"/>
        <v>9222436</v>
      </c>
      <c r="B752" s="1" t="str">
        <f t="shared" ca="1" si="310"/>
        <v>龙拳第4段</v>
      </c>
      <c r="C752" t="s">
        <v>165</v>
      </c>
      <c r="D752">
        <f t="shared" si="311"/>
        <v>2</v>
      </c>
      <c r="E752" s="42">
        <f t="shared" ca="1" si="326"/>
        <v>60</v>
      </c>
      <c r="F752" t="str">
        <f t="shared" ca="1" si="327"/>
        <v>第36级，共造成243.9%点伤害</v>
      </c>
      <c r="G752">
        <f t="shared" ca="1" si="328"/>
        <v>4</v>
      </c>
      <c r="H752">
        <f t="shared" si="312"/>
        <v>4</v>
      </c>
      <c r="I752" s="44">
        <f t="shared" ca="1" si="337"/>
        <v>36</v>
      </c>
      <c r="J752">
        <f t="shared" si="313"/>
        <v>2</v>
      </c>
      <c r="K752" s="36">
        <f t="shared" ca="1" si="314"/>
        <v>81.304347826086968</v>
      </c>
      <c r="L752" s="10">
        <f ca="1">AH752*VLOOKUP(C752,技能辅助查询表,技能配置辅助表!$T$1,FALSE)</f>
        <v>0</v>
      </c>
      <c r="M752">
        <f t="shared" ca="1" si="315"/>
        <v>5120</v>
      </c>
      <c r="N752" s="33">
        <f ca="1">CHOOSE(1,W752*U752,X752*'[1]0、经济设定'!$C$18)</f>
        <v>150912</v>
      </c>
      <c r="O752">
        <f t="shared" si="316"/>
        <v>2</v>
      </c>
      <c r="P752">
        <f t="shared" si="317"/>
        <v>3</v>
      </c>
      <c r="Q752">
        <f t="shared" si="318"/>
        <v>1</v>
      </c>
      <c r="R752" s="2">
        <f t="shared" si="319"/>
        <v>9</v>
      </c>
      <c r="S752" s="2">
        <f t="shared" si="320"/>
        <v>50</v>
      </c>
      <c r="T752" s="2">
        <f t="shared" si="321"/>
        <v>59.782608695652179</v>
      </c>
      <c r="U752" s="2">
        <f ca="1">VLOOKUP(E752,金币生产率!$A$2:$B$120,2,0)</f>
        <v>2358</v>
      </c>
      <c r="V752" s="2">
        <f t="shared" si="322"/>
        <v>179.34782608695653</v>
      </c>
      <c r="W752" s="45">
        <f t="shared" ca="1" si="334"/>
        <v>64</v>
      </c>
      <c r="X752" s="48">
        <f t="shared" ca="1" si="335"/>
        <v>903</v>
      </c>
      <c r="Y752">
        <f t="shared" si="323"/>
        <v>18</v>
      </c>
      <c r="Z752">
        <f t="shared" ca="1" si="329"/>
        <v>26</v>
      </c>
      <c r="AA752" t="str">
        <f t="shared" ca="1" si="330"/>
        <v>9222400.png</v>
      </c>
      <c r="AB752">
        <f t="shared" si="324"/>
        <v>7</v>
      </c>
      <c r="AC752">
        <f>VLOOKUP(C752,技能辅助查询表,技能配置辅助表!$W$1,FALSE)</f>
        <v>27</v>
      </c>
      <c r="AD752">
        <f t="shared" ca="1" si="331"/>
        <v>355.76543615543955</v>
      </c>
      <c r="AE752">
        <f>VLOOKUP(C752,技能辅助查询表,技能配置辅助表!$U$1,FALSE)</f>
        <v>4</v>
      </c>
      <c r="AF752">
        <f t="shared" ca="1" si="332"/>
        <v>9222436</v>
      </c>
      <c r="AG752">
        <f t="shared" ca="1" si="336"/>
        <v>59.714285714285715</v>
      </c>
      <c r="AH752">
        <f t="shared" ca="1" si="333"/>
        <v>1236.0430561291703</v>
      </c>
      <c r="AI752">
        <f ca="1">VLOOKUP(E752,伤害参考系!$C$4:$E$104,3,FALSE)*$AN$12</f>
        <v>10340.558729096994</v>
      </c>
      <c r="AJ752">
        <f>VLOOKUP(C752,技能辅助查询表,技能配置辅助表!$L$1,FALSE)</f>
        <v>3</v>
      </c>
      <c r="AK752">
        <f>VLOOKUP(C752,技能辅助查询表,技能配置辅助表!$AE$1,FALSE)</f>
        <v>66000305</v>
      </c>
    </row>
    <row r="753" spans="1:37" x14ac:dyDescent="0.15">
      <c r="A753" s="1">
        <f t="shared" ca="1" si="325"/>
        <v>9222437</v>
      </c>
      <c r="B753" s="1" t="str">
        <f t="shared" ca="1" si="310"/>
        <v>龙拳第4段</v>
      </c>
      <c r="C753" t="s">
        <v>165</v>
      </c>
      <c r="D753">
        <f t="shared" si="311"/>
        <v>2</v>
      </c>
      <c r="E753" s="42">
        <f t="shared" ca="1" si="326"/>
        <v>62</v>
      </c>
      <c r="F753" t="str">
        <f t="shared" ca="1" si="327"/>
        <v>第37级，共造成245.7%点伤害</v>
      </c>
      <c r="G753">
        <f t="shared" ca="1" si="328"/>
        <v>4</v>
      </c>
      <c r="H753">
        <f t="shared" si="312"/>
        <v>4</v>
      </c>
      <c r="I753" s="44">
        <f t="shared" ca="1" si="337"/>
        <v>37</v>
      </c>
      <c r="J753">
        <f t="shared" si="313"/>
        <v>2</v>
      </c>
      <c r="K753" s="36">
        <f t="shared" ca="1" si="314"/>
        <v>81.902173913043484</v>
      </c>
      <c r="L753" s="10">
        <f ca="1">AH753*VLOOKUP(C753,技能辅助查询表,技能配置辅助表!$T$1,FALSE)</f>
        <v>0</v>
      </c>
      <c r="M753">
        <f t="shared" ca="1" si="315"/>
        <v>5040</v>
      </c>
      <c r="N753" s="33">
        <f ca="1">CHOOSE(1,W753*U753,X753*'[1]0、经济设定'!$C$18)</f>
        <v>174156</v>
      </c>
      <c r="O753">
        <f t="shared" si="316"/>
        <v>2</v>
      </c>
      <c r="P753">
        <f t="shared" si="317"/>
        <v>3</v>
      </c>
      <c r="Q753">
        <f t="shared" si="318"/>
        <v>1</v>
      </c>
      <c r="R753" s="2">
        <f t="shared" si="319"/>
        <v>9</v>
      </c>
      <c r="S753" s="2">
        <f t="shared" si="320"/>
        <v>50</v>
      </c>
      <c r="T753" s="2">
        <f t="shared" si="321"/>
        <v>59.782608695652179</v>
      </c>
      <c r="U753" s="2">
        <f ca="1">VLOOKUP(E753,金币生产率!$A$2:$B$120,2,0)</f>
        <v>2524</v>
      </c>
      <c r="V753" s="2">
        <f t="shared" si="322"/>
        <v>179.34782608695653</v>
      </c>
      <c r="W753" s="45">
        <f t="shared" ca="1" si="334"/>
        <v>69</v>
      </c>
      <c r="X753" s="48">
        <f t="shared" ca="1" si="335"/>
        <v>972</v>
      </c>
      <c r="Y753">
        <f t="shared" si="323"/>
        <v>18</v>
      </c>
      <c r="Z753">
        <f t="shared" ca="1" si="329"/>
        <v>28</v>
      </c>
      <c r="AA753" t="str">
        <f t="shared" ca="1" si="330"/>
        <v>9222400.png</v>
      </c>
      <c r="AB753">
        <f t="shared" si="324"/>
        <v>7</v>
      </c>
      <c r="AC753">
        <f>VLOOKUP(C753,技能辅助查询表,技能配置辅助表!$W$1,FALSE)</f>
        <v>27</v>
      </c>
      <c r="AD753">
        <f t="shared" ca="1" si="331"/>
        <v>410.08188024158989</v>
      </c>
      <c r="AE753">
        <f>VLOOKUP(C753,技能辅助查询表,技能配置辅助表!$U$1,FALSE)</f>
        <v>4</v>
      </c>
      <c r="AF753">
        <f t="shared" ca="1" si="332"/>
        <v>9222437</v>
      </c>
      <c r="AG753">
        <f t="shared" ca="1" si="336"/>
        <v>61.163265306122447</v>
      </c>
      <c r="AH753">
        <f t="shared" ca="1" si="333"/>
        <v>1407.2186863941167</v>
      </c>
      <c r="AI753">
        <f ca="1">VLOOKUP(E753,伤害参考系!$C$4:$E$104,3,FALSE)*$AN$12</f>
        <v>11398.657545150505</v>
      </c>
      <c r="AJ753">
        <f>VLOOKUP(C753,技能辅助查询表,技能配置辅助表!$L$1,FALSE)</f>
        <v>3</v>
      </c>
      <c r="AK753">
        <f>VLOOKUP(C753,技能辅助查询表,技能配置辅助表!$AE$1,FALSE)</f>
        <v>66000305</v>
      </c>
    </row>
    <row r="754" spans="1:37" x14ac:dyDescent="0.15">
      <c r="A754" s="1">
        <f t="shared" ca="1" si="325"/>
        <v>9222438</v>
      </c>
      <c r="B754" s="1" t="str">
        <f t="shared" ca="1" si="310"/>
        <v>龙拳第4段</v>
      </c>
      <c r="C754" t="s">
        <v>165</v>
      </c>
      <c r="D754">
        <f t="shared" si="311"/>
        <v>2</v>
      </c>
      <c r="E754" s="42">
        <f t="shared" ca="1" si="326"/>
        <v>63</v>
      </c>
      <c r="F754" t="str">
        <f t="shared" ca="1" si="327"/>
        <v>第38级，共造成247.5%点伤害</v>
      </c>
      <c r="G754">
        <f t="shared" ca="1" si="328"/>
        <v>4</v>
      </c>
      <c r="H754">
        <f t="shared" si="312"/>
        <v>4</v>
      </c>
      <c r="I754" s="44">
        <f t="shared" ca="1" si="337"/>
        <v>38</v>
      </c>
      <c r="J754">
        <f t="shared" si="313"/>
        <v>2</v>
      </c>
      <c r="K754" s="36">
        <f t="shared" ca="1" si="314"/>
        <v>82.500000000000014</v>
      </c>
      <c r="L754" s="10">
        <f ca="1">AH754*VLOOKUP(C754,技能辅助查询表,技能配置辅助表!$T$1,FALSE)</f>
        <v>0</v>
      </c>
      <c r="M754">
        <f t="shared" ca="1" si="315"/>
        <v>4960</v>
      </c>
      <c r="N754" s="33">
        <f ca="1">CHOOSE(1,W754*U754,X754*'[1]0、经济设定'!$C$18)</f>
        <v>193066</v>
      </c>
      <c r="O754">
        <f t="shared" si="316"/>
        <v>2</v>
      </c>
      <c r="P754">
        <f t="shared" si="317"/>
        <v>3</v>
      </c>
      <c r="Q754">
        <f t="shared" si="318"/>
        <v>1</v>
      </c>
      <c r="R754" s="2">
        <f t="shared" si="319"/>
        <v>9</v>
      </c>
      <c r="S754" s="2">
        <f t="shared" si="320"/>
        <v>50</v>
      </c>
      <c r="T754" s="2">
        <f t="shared" si="321"/>
        <v>59.782608695652179</v>
      </c>
      <c r="U754" s="2">
        <f ca="1">VLOOKUP(E754,金币生产率!$A$2:$B$120,2,0)</f>
        <v>2609</v>
      </c>
      <c r="V754" s="2">
        <f t="shared" si="322"/>
        <v>179.34782608695653</v>
      </c>
      <c r="W754" s="45">
        <f t="shared" ca="1" si="334"/>
        <v>74</v>
      </c>
      <c r="X754" s="48">
        <f t="shared" ca="1" si="335"/>
        <v>1046</v>
      </c>
      <c r="Y754">
        <f t="shared" si="323"/>
        <v>18</v>
      </c>
      <c r="Z754">
        <f t="shared" ca="1" si="329"/>
        <v>30</v>
      </c>
      <c r="AA754" t="str">
        <f t="shared" ca="1" si="330"/>
        <v>9222400.png</v>
      </c>
      <c r="AB754">
        <f t="shared" si="324"/>
        <v>7</v>
      </c>
      <c r="AC754">
        <f>VLOOKUP(C754,技能辅助查询表,技能配置辅助表!$W$1,FALSE)</f>
        <v>27</v>
      </c>
      <c r="AD754">
        <f t="shared" ca="1" si="331"/>
        <v>472.61946446572836</v>
      </c>
      <c r="AE754">
        <f>VLOOKUP(C754,技能辅助查询表,技能配置辅助表!$U$1,FALSE)</f>
        <v>4</v>
      </c>
      <c r="AF754">
        <f t="shared" ca="1" si="332"/>
        <v>9222438</v>
      </c>
      <c r="AG754">
        <f t="shared" ca="1" si="336"/>
        <v>62.612244897959187</v>
      </c>
      <c r="AH754">
        <f t="shared" ca="1" si="333"/>
        <v>1602.0998795448415</v>
      </c>
      <c r="AI754">
        <f ca="1">VLOOKUP(E754,伤害参考系!$C$4:$E$104,3,FALSE)*$AN$12</f>
        <v>11946.449897157196</v>
      </c>
      <c r="AJ754">
        <f>VLOOKUP(C754,技能辅助查询表,技能配置辅助表!$L$1,FALSE)</f>
        <v>3</v>
      </c>
      <c r="AK754">
        <f>VLOOKUP(C754,技能辅助查询表,技能配置辅助表!$AE$1,FALSE)</f>
        <v>66000305</v>
      </c>
    </row>
    <row r="755" spans="1:37" x14ac:dyDescent="0.15">
      <c r="A755" s="1">
        <f t="shared" ca="1" si="325"/>
        <v>9222439</v>
      </c>
      <c r="B755" s="1" t="str">
        <f t="shared" ca="1" si="310"/>
        <v>龙拳第4段</v>
      </c>
      <c r="C755" t="s">
        <v>165</v>
      </c>
      <c r="D755">
        <f t="shared" si="311"/>
        <v>2</v>
      </c>
      <c r="E755" s="42">
        <f t="shared" ca="1" si="326"/>
        <v>64</v>
      </c>
      <c r="F755" t="str">
        <f t="shared" ca="1" si="327"/>
        <v>第39级，共造成249.3%点伤害</v>
      </c>
      <c r="G755">
        <f t="shared" ca="1" si="328"/>
        <v>4</v>
      </c>
      <c r="H755">
        <f t="shared" si="312"/>
        <v>4</v>
      </c>
      <c r="I755" s="44">
        <f t="shared" ca="1" si="337"/>
        <v>39</v>
      </c>
      <c r="J755">
        <f t="shared" si="313"/>
        <v>2</v>
      </c>
      <c r="K755" s="36">
        <f t="shared" ca="1" si="314"/>
        <v>83.09782608695653</v>
      </c>
      <c r="L755" s="10">
        <f ca="1">AH755*VLOOKUP(C755,技能辅助查询表,技能配置辅助表!$T$1,FALSE)</f>
        <v>0</v>
      </c>
      <c r="M755">
        <f t="shared" ca="1" si="315"/>
        <v>4880</v>
      </c>
      <c r="N755" s="33">
        <f ca="1">CHOOSE(1,W755*U755,X755*'[1]0、经济设定'!$C$18)</f>
        <v>212905</v>
      </c>
      <c r="O755">
        <f t="shared" si="316"/>
        <v>2</v>
      </c>
      <c r="P755">
        <f t="shared" si="317"/>
        <v>3</v>
      </c>
      <c r="Q755">
        <f t="shared" si="318"/>
        <v>1</v>
      </c>
      <c r="R755" s="2">
        <f t="shared" si="319"/>
        <v>9</v>
      </c>
      <c r="S755" s="2">
        <f t="shared" si="320"/>
        <v>50</v>
      </c>
      <c r="T755" s="2">
        <f t="shared" si="321"/>
        <v>59.782608695652179</v>
      </c>
      <c r="U755" s="2">
        <f ca="1">VLOOKUP(E755,金币生产率!$A$2:$B$120,2,0)</f>
        <v>2695</v>
      </c>
      <c r="V755" s="2">
        <f t="shared" si="322"/>
        <v>179.34782608695653</v>
      </c>
      <c r="W755" s="45">
        <f t="shared" ca="1" si="334"/>
        <v>79</v>
      </c>
      <c r="X755" s="48">
        <f t="shared" ca="1" si="335"/>
        <v>1125</v>
      </c>
      <c r="Y755">
        <f t="shared" si="323"/>
        <v>18</v>
      </c>
      <c r="Z755">
        <f t="shared" ca="1" si="329"/>
        <v>32</v>
      </c>
      <c r="AA755" t="str">
        <f t="shared" ca="1" si="330"/>
        <v>9222400.png</v>
      </c>
      <c r="AB755">
        <f t="shared" si="324"/>
        <v>7</v>
      </c>
      <c r="AC755">
        <f>VLOOKUP(C755,技能辅助查询表,技能配置辅助表!$W$1,FALSE)</f>
        <v>27</v>
      </c>
      <c r="AD755">
        <f t="shared" ca="1" si="331"/>
        <v>544.61351457208821</v>
      </c>
      <c r="AE755">
        <f>VLOOKUP(C755,技能辅助查询表,技能配置辅助表!$U$1,FALSE)</f>
        <v>4</v>
      </c>
      <c r="AF755">
        <f t="shared" ca="1" si="332"/>
        <v>9222439</v>
      </c>
      <c r="AG755">
        <f t="shared" ca="1" si="336"/>
        <v>64.061224489795919</v>
      </c>
      <c r="AH755">
        <f t="shared" ca="1" si="333"/>
        <v>1823.9695427969455</v>
      </c>
      <c r="AI755">
        <f ca="1">VLOOKUP(E755,伤害参考系!$C$4:$E$104,3,FALSE)*$AN$12</f>
        <v>12506.737545150507</v>
      </c>
      <c r="AJ755">
        <f>VLOOKUP(C755,技能辅助查询表,技能配置辅助表!$L$1,FALSE)</f>
        <v>3</v>
      </c>
      <c r="AK755">
        <f>VLOOKUP(C755,技能辅助查询表,技能配置辅助表!$AE$1,FALSE)</f>
        <v>66000305</v>
      </c>
    </row>
    <row r="756" spans="1:37" x14ac:dyDescent="0.15">
      <c r="A756" s="1">
        <f t="shared" ca="1" si="325"/>
        <v>9222440</v>
      </c>
      <c r="B756" s="1" t="str">
        <f t="shared" ca="1" si="310"/>
        <v>龙拳第4段</v>
      </c>
      <c r="C756" t="s">
        <v>165</v>
      </c>
      <c r="D756">
        <f t="shared" si="311"/>
        <v>2</v>
      </c>
      <c r="E756" s="42">
        <f t="shared" ca="1" si="326"/>
        <v>66</v>
      </c>
      <c r="F756" t="str">
        <f t="shared" ca="1" si="327"/>
        <v>第40级，共造成251.1%点伤害</v>
      </c>
      <c r="G756">
        <f t="shared" ca="1" si="328"/>
        <v>4</v>
      </c>
      <c r="H756">
        <f t="shared" si="312"/>
        <v>4</v>
      </c>
      <c r="I756" s="44">
        <f t="shared" ca="1" si="337"/>
        <v>40</v>
      </c>
      <c r="J756">
        <f t="shared" si="313"/>
        <v>2</v>
      </c>
      <c r="K756" s="36">
        <f t="shared" ca="1" si="314"/>
        <v>83.695652173913061</v>
      </c>
      <c r="L756" s="10">
        <f ca="1">AH756*VLOOKUP(C756,技能辅助查询表,技能配置辅助表!$T$1,FALSE)</f>
        <v>0</v>
      </c>
      <c r="M756">
        <f t="shared" ca="1" si="315"/>
        <v>4800</v>
      </c>
      <c r="N756" s="33">
        <f ca="1">CHOOSE(1,W756*U756,X756*'[1]0、经济设定'!$C$18)</f>
        <v>244120</v>
      </c>
      <c r="O756">
        <f t="shared" si="316"/>
        <v>2</v>
      </c>
      <c r="P756">
        <f t="shared" si="317"/>
        <v>3</v>
      </c>
      <c r="Q756">
        <f t="shared" si="318"/>
        <v>1</v>
      </c>
      <c r="R756" s="2">
        <f t="shared" si="319"/>
        <v>9</v>
      </c>
      <c r="S756" s="2">
        <f t="shared" si="320"/>
        <v>50</v>
      </c>
      <c r="T756" s="2">
        <f t="shared" si="321"/>
        <v>59.782608695652179</v>
      </c>
      <c r="U756" s="2">
        <f ca="1">VLOOKUP(E756,金币生产率!$A$2:$B$120,2,0)</f>
        <v>2872</v>
      </c>
      <c r="V756" s="2">
        <f t="shared" si="322"/>
        <v>179.34782608695653</v>
      </c>
      <c r="W756" s="45">
        <f t="shared" ca="1" si="334"/>
        <v>85</v>
      </c>
      <c r="X756" s="48">
        <f t="shared" ca="1" si="335"/>
        <v>1210</v>
      </c>
      <c r="Y756">
        <f t="shared" si="323"/>
        <v>18</v>
      </c>
      <c r="Z756">
        <f t="shared" ca="1" si="329"/>
        <v>34</v>
      </c>
      <c r="AA756" t="str">
        <f t="shared" ca="1" si="330"/>
        <v>9222400.png</v>
      </c>
      <c r="AB756">
        <f t="shared" si="324"/>
        <v>7</v>
      </c>
      <c r="AC756">
        <f>VLOOKUP(C756,技能辅助查询表,技能配置辅助表!$W$1,FALSE)</f>
        <v>27</v>
      </c>
      <c r="AD756">
        <f t="shared" ca="1" si="331"/>
        <v>627.48383901368788</v>
      </c>
      <c r="AE756">
        <f>VLOOKUP(C756,技能辅助查询表,技能配置辅助表!$U$1,FALSE)</f>
        <v>4</v>
      </c>
      <c r="AF756">
        <f t="shared" ca="1" si="332"/>
        <v>9222440</v>
      </c>
      <c r="AG756">
        <f t="shared" ca="1" si="336"/>
        <v>65.510204081632651</v>
      </c>
      <c r="AH756">
        <f t="shared" ca="1" si="333"/>
        <v>2076.5652226352254</v>
      </c>
      <c r="AI756">
        <f ca="1">VLOOKUP(E756,伤害参考系!$C$4:$E$104,3,FALSE)*$AN$12</f>
        <v>13664.798729096996</v>
      </c>
      <c r="AJ756">
        <f>VLOOKUP(C756,技能辅助查询表,技能配置辅助表!$L$1,FALSE)</f>
        <v>3</v>
      </c>
      <c r="AK756">
        <f>VLOOKUP(C756,技能辅助查询表,技能配置辅助表!$AE$1,FALSE)</f>
        <v>66000305</v>
      </c>
    </row>
    <row r="757" spans="1:37" x14ac:dyDescent="0.15">
      <c r="A757" s="1">
        <f t="shared" ca="1" si="325"/>
        <v>9222441</v>
      </c>
      <c r="B757" s="1" t="str">
        <f t="shared" ca="1" si="310"/>
        <v>龙拳第4段</v>
      </c>
      <c r="C757" t="s">
        <v>165</v>
      </c>
      <c r="D757">
        <f t="shared" si="311"/>
        <v>2</v>
      </c>
      <c r="E757" s="42">
        <f t="shared" ca="1" si="326"/>
        <v>67</v>
      </c>
      <c r="F757" t="str">
        <f t="shared" ca="1" si="327"/>
        <v>第41级，共造成252.9%点伤害</v>
      </c>
      <c r="G757">
        <f t="shared" ca="1" si="328"/>
        <v>4</v>
      </c>
      <c r="H757">
        <f t="shared" si="312"/>
        <v>4</v>
      </c>
      <c r="I757" s="44">
        <f t="shared" ca="1" si="337"/>
        <v>41</v>
      </c>
      <c r="J757">
        <f t="shared" si="313"/>
        <v>2</v>
      </c>
      <c r="K757" s="36">
        <f t="shared" ca="1" si="314"/>
        <v>84.293478260869577</v>
      </c>
      <c r="L757" s="10">
        <f ca="1">AH757*VLOOKUP(C757,技能辅助查询表,技能配置辅助表!$T$1,FALSE)</f>
        <v>0</v>
      </c>
      <c r="M757">
        <f t="shared" ca="1" si="315"/>
        <v>4720</v>
      </c>
      <c r="N757" s="33">
        <f ca="1">CHOOSE(1,W757*U757,X757*'[1]0、经济设定'!$C$18)</f>
        <v>269633</v>
      </c>
      <c r="O757">
        <f t="shared" si="316"/>
        <v>2</v>
      </c>
      <c r="P757">
        <f t="shared" si="317"/>
        <v>3</v>
      </c>
      <c r="Q757">
        <f t="shared" si="318"/>
        <v>1</v>
      </c>
      <c r="R757" s="2">
        <f t="shared" si="319"/>
        <v>9</v>
      </c>
      <c r="S757" s="2">
        <f t="shared" si="320"/>
        <v>50</v>
      </c>
      <c r="T757" s="2">
        <f t="shared" si="321"/>
        <v>59.782608695652179</v>
      </c>
      <c r="U757" s="2">
        <f ca="1">VLOOKUP(E757,金币生产率!$A$2:$B$120,2,0)</f>
        <v>2963</v>
      </c>
      <c r="V757" s="2">
        <f t="shared" si="322"/>
        <v>179.34782608695653</v>
      </c>
      <c r="W757" s="45">
        <f t="shared" ca="1" si="334"/>
        <v>91</v>
      </c>
      <c r="X757" s="48">
        <f t="shared" ca="1" si="335"/>
        <v>1301</v>
      </c>
      <c r="Y757">
        <f t="shared" si="323"/>
        <v>18</v>
      </c>
      <c r="Z757">
        <f t="shared" ca="1" si="329"/>
        <v>37</v>
      </c>
      <c r="AA757" t="str">
        <f t="shared" ca="1" si="330"/>
        <v>9222400.png</v>
      </c>
      <c r="AB757">
        <f t="shared" si="324"/>
        <v>7</v>
      </c>
      <c r="AC757">
        <f>VLOOKUP(C757,技能辅助查询表,技能配置辅助表!$W$1,FALSE)</f>
        <v>27</v>
      </c>
      <c r="AD757">
        <f t="shared" ca="1" si="331"/>
        <v>722.86213398131781</v>
      </c>
      <c r="AE757">
        <f>VLOOKUP(C757,技能辅助查询表,技能配置辅助表!$U$1,FALSE)</f>
        <v>4</v>
      </c>
      <c r="AF757">
        <f t="shared" ca="1" si="332"/>
        <v>9222441</v>
      </c>
      <c r="AG757">
        <f t="shared" ca="1" si="336"/>
        <v>66.959183673469397</v>
      </c>
      <c r="AH757">
        <f t="shared" ca="1" si="333"/>
        <v>2364.1420663448707</v>
      </c>
      <c r="AI757">
        <f ca="1">VLOOKUP(E757,伤害参考系!$C$4:$E$104,3,FALSE)*$AN$12</f>
        <v>14262.572265050176</v>
      </c>
      <c r="AJ757">
        <f>VLOOKUP(C757,技能辅助查询表,技能配置辅助表!$L$1,FALSE)</f>
        <v>3</v>
      </c>
      <c r="AK757">
        <f>VLOOKUP(C757,技能辅助查询表,技能配置辅助表!$AE$1,FALSE)</f>
        <v>66000305</v>
      </c>
    </row>
    <row r="758" spans="1:37" x14ac:dyDescent="0.15">
      <c r="A758" s="1">
        <f t="shared" ca="1" si="325"/>
        <v>9222442</v>
      </c>
      <c r="B758" s="1" t="str">
        <f t="shared" ca="1" si="310"/>
        <v>龙拳第4段</v>
      </c>
      <c r="C758" t="s">
        <v>165</v>
      </c>
      <c r="D758">
        <f t="shared" si="311"/>
        <v>2</v>
      </c>
      <c r="E758" s="42">
        <f t="shared" ca="1" si="326"/>
        <v>69</v>
      </c>
      <c r="F758" t="str">
        <f t="shared" ca="1" si="327"/>
        <v>第42级，共造成254.7%点伤害</v>
      </c>
      <c r="G758">
        <f t="shared" ca="1" si="328"/>
        <v>4</v>
      </c>
      <c r="H758">
        <f t="shared" si="312"/>
        <v>4</v>
      </c>
      <c r="I758" s="44">
        <f t="shared" ca="1" si="337"/>
        <v>42</v>
      </c>
      <c r="J758">
        <f t="shared" si="313"/>
        <v>2</v>
      </c>
      <c r="K758" s="36">
        <f t="shared" ca="1" si="314"/>
        <v>84.891304347826093</v>
      </c>
      <c r="L758" s="10">
        <f ca="1">AH758*VLOOKUP(C758,技能辅助查询表,技能配置辅助表!$T$1,FALSE)</f>
        <v>0</v>
      </c>
      <c r="M758">
        <f t="shared" ca="1" si="315"/>
        <v>4640</v>
      </c>
      <c r="N758" s="33">
        <f ca="1">CHOOSE(1,W758*U758,X758*'[1]0、经济设定'!$C$18)</f>
        <v>305259</v>
      </c>
      <c r="O758">
        <f t="shared" si="316"/>
        <v>2</v>
      </c>
      <c r="P758">
        <f t="shared" si="317"/>
        <v>3</v>
      </c>
      <c r="Q758">
        <f t="shared" si="318"/>
        <v>1</v>
      </c>
      <c r="R758" s="2">
        <f t="shared" si="319"/>
        <v>9</v>
      </c>
      <c r="S758" s="2">
        <f t="shared" si="320"/>
        <v>50</v>
      </c>
      <c r="T758" s="2">
        <f t="shared" si="321"/>
        <v>59.782608695652179</v>
      </c>
      <c r="U758" s="2">
        <f ca="1">VLOOKUP(E758,金币生产率!$A$2:$B$120,2,0)</f>
        <v>3147</v>
      </c>
      <c r="V758" s="2">
        <f t="shared" si="322"/>
        <v>179.34782608695653</v>
      </c>
      <c r="W758" s="45">
        <f t="shared" ca="1" si="334"/>
        <v>97</v>
      </c>
      <c r="X758" s="48">
        <f t="shared" ca="1" si="335"/>
        <v>1398</v>
      </c>
      <c r="Y758">
        <f t="shared" si="323"/>
        <v>18</v>
      </c>
      <c r="Z758">
        <f t="shared" ca="1" si="329"/>
        <v>39</v>
      </c>
      <c r="AA758" t="str">
        <f t="shared" ca="1" si="330"/>
        <v>9222400.png</v>
      </c>
      <c r="AB758">
        <f t="shared" si="324"/>
        <v>7</v>
      </c>
      <c r="AC758">
        <f>VLOOKUP(C758,技能辅助查询表,技能配置辅助表!$W$1,FALSE)</f>
        <v>27</v>
      </c>
      <c r="AD758">
        <f t="shared" ca="1" si="331"/>
        <v>832.62344078308581</v>
      </c>
      <c r="AE758">
        <f>VLOOKUP(C758,技能辅助查询表,技能配置辅助表!$U$1,FALSE)</f>
        <v>4</v>
      </c>
      <c r="AF758">
        <f t="shared" ca="1" si="332"/>
        <v>9222442</v>
      </c>
      <c r="AG758">
        <f t="shared" ca="1" si="336"/>
        <v>68.408163265306115</v>
      </c>
      <c r="AH758">
        <f t="shared" ca="1" si="333"/>
        <v>2691.5445028827789</v>
      </c>
      <c r="AI758">
        <f ca="1">VLOOKUP(E758,伤害参考系!$C$4:$E$104,3,FALSE)*$AN$12</f>
        <v>15495.605224916402</v>
      </c>
      <c r="AJ758">
        <f>VLOOKUP(C758,技能辅助查询表,技能配置辅助表!$L$1,FALSE)</f>
        <v>3</v>
      </c>
      <c r="AK758">
        <f>VLOOKUP(C758,技能辅助查询表,技能配置辅助表!$AE$1,FALSE)</f>
        <v>66000305</v>
      </c>
    </row>
    <row r="759" spans="1:37" x14ac:dyDescent="0.15">
      <c r="A759" s="1">
        <f t="shared" ca="1" si="325"/>
        <v>9222443</v>
      </c>
      <c r="B759" s="1" t="str">
        <f t="shared" ca="1" si="310"/>
        <v>龙拳第4段</v>
      </c>
      <c r="C759" t="s">
        <v>165</v>
      </c>
      <c r="D759">
        <f t="shared" si="311"/>
        <v>2</v>
      </c>
      <c r="E759" s="42">
        <f t="shared" ca="1" si="326"/>
        <v>70</v>
      </c>
      <c r="F759" t="str">
        <f t="shared" ca="1" si="327"/>
        <v>第43级，共造成256.5%点伤害</v>
      </c>
      <c r="G759">
        <f t="shared" ca="1" si="328"/>
        <v>4</v>
      </c>
      <c r="H759">
        <f t="shared" si="312"/>
        <v>4</v>
      </c>
      <c r="I759" s="44">
        <f t="shared" ca="1" si="337"/>
        <v>43</v>
      </c>
      <c r="J759">
        <f t="shared" si="313"/>
        <v>2</v>
      </c>
      <c r="K759" s="36">
        <f t="shared" ca="1" si="314"/>
        <v>85.489130434782624</v>
      </c>
      <c r="L759" s="10">
        <f ca="1">AH759*VLOOKUP(C759,技能辅助查询表,技能配置辅助表!$T$1,FALSE)</f>
        <v>0</v>
      </c>
      <c r="M759">
        <f t="shared" ca="1" si="315"/>
        <v>4560</v>
      </c>
      <c r="N759" s="33">
        <f ca="1">CHOOSE(1,W759*U759,X759*'[1]0、经济设定'!$C$18)</f>
        <v>337168</v>
      </c>
      <c r="O759">
        <f t="shared" si="316"/>
        <v>2</v>
      </c>
      <c r="P759">
        <f t="shared" si="317"/>
        <v>3</v>
      </c>
      <c r="Q759">
        <f t="shared" si="318"/>
        <v>1</v>
      </c>
      <c r="R759" s="2">
        <f t="shared" si="319"/>
        <v>9</v>
      </c>
      <c r="S759" s="2">
        <f t="shared" si="320"/>
        <v>50</v>
      </c>
      <c r="T759" s="2">
        <f t="shared" si="321"/>
        <v>59.782608695652179</v>
      </c>
      <c r="U759" s="2">
        <f ca="1">VLOOKUP(E759,金币生产率!$A$2:$B$120,2,0)</f>
        <v>3242</v>
      </c>
      <c r="V759" s="2">
        <f t="shared" si="322"/>
        <v>179.34782608695653</v>
      </c>
      <c r="W759" s="45">
        <f t="shared" ca="1" si="334"/>
        <v>104</v>
      </c>
      <c r="X759" s="48">
        <f t="shared" ca="1" si="335"/>
        <v>1502</v>
      </c>
      <c r="Y759">
        <f t="shared" si="323"/>
        <v>18</v>
      </c>
      <c r="Z759">
        <f t="shared" ca="1" si="329"/>
        <v>42</v>
      </c>
      <c r="AA759" t="str">
        <f t="shared" ca="1" si="330"/>
        <v>9222400.png</v>
      </c>
      <c r="AB759">
        <f t="shared" si="324"/>
        <v>7</v>
      </c>
      <c r="AC759">
        <f>VLOOKUP(C759,技能辅助查询表,技能配置辅助表!$W$1,FALSE)</f>
        <v>27</v>
      </c>
      <c r="AD759">
        <f t="shared" ca="1" si="331"/>
        <v>958.92225237871276</v>
      </c>
      <c r="AE759">
        <f>VLOOKUP(C759,技能辅助查询表,技能配置辅助表!$U$1,FALSE)</f>
        <v>4</v>
      </c>
      <c r="AF759">
        <f t="shared" ca="1" si="332"/>
        <v>9222443</v>
      </c>
      <c r="AG759">
        <f t="shared" ca="1" si="336"/>
        <v>69.857142857142861</v>
      </c>
      <c r="AH759">
        <f t="shared" ca="1" si="333"/>
        <v>3064.2878506023458</v>
      </c>
      <c r="AI759">
        <f ca="1">VLOOKUP(E759,伤害参考系!$C$4:$E$104,3,FALSE)*$AN$12</f>
        <v>16191.966408862889</v>
      </c>
      <c r="AJ759">
        <f>VLOOKUP(C759,技能辅助查询表,技能配置辅助表!$L$1,FALSE)</f>
        <v>3</v>
      </c>
      <c r="AK759">
        <f>VLOOKUP(C759,技能辅助查询表,技能配置辅助表!$AE$1,FALSE)</f>
        <v>66000305</v>
      </c>
    </row>
    <row r="760" spans="1:37" x14ac:dyDescent="0.15">
      <c r="A760" s="1">
        <f t="shared" ca="1" si="325"/>
        <v>9222444</v>
      </c>
      <c r="B760" s="1" t="str">
        <f t="shared" ca="1" si="310"/>
        <v>龙拳第4段</v>
      </c>
      <c r="C760" t="s">
        <v>165</v>
      </c>
      <c r="D760">
        <f t="shared" si="311"/>
        <v>2</v>
      </c>
      <c r="E760" s="42">
        <f t="shared" ca="1" si="326"/>
        <v>71</v>
      </c>
      <c r="F760" t="str">
        <f t="shared" ca="1" si="327"/>
        <v>第44级，共造成258.3%点伤害</v>
      </c>
      <c r="G760">
        <f t="shared" ca="1" si="328"/>
        <v>4</v>
      </c>
      <c r="H760">
        <f t="shared" si="312"/>
        <v>4</v>
      </c>
      <c r="I760" s="44">
        <f t="shared" ca="1" si="337"/>
        <v>44</v>
      </c>
      <c r="J760">
        <f t="shared" si="313"/>
        <v>2</v>
      </c>
      <c r="K760" s="36">
        <f t="shared" ca="1" si="314"/>
        <v>86.08695652173914</v>
      </c>
      <c r="L760" s="10">
        <f ca="1">AH760*VLOOKUP(C760,技能辅助查询表,技能配置辅助表!$T$1,FALSE)</f>
        <v>0</v>
      </c>
      <c r="M760">
        <f t="shared" ca="1" si="315"/>
        <v>4480</v>
      </c>
      <c r="N760" s="33">
        <f ca="1">CHOOSE(1,W760*U760,X760*'[1]0、经济设定'!$C$18)</f>
        <v>370518</v>
      </c>
      <c r="O760">
        <f t="shared" si="316"/>
        <v>2</v>
      </c>
      <c r="P760">
        <f t="shared" si="317"/>
        <v>3</v>
      </c>
      <c r="Q760">
        <f t="shared" si="318"/>
        <v>1</v>
      </c>
      <c r="R760" s="2">
        <f t="shared" si="319"/>
        <v>9</v>
      </c>
      <c r="S760" s="2">
        <f t="shared" si="320"/>
        <v>50</v>
      </c>
      <c r="T760" s="2">
        <f t="shared" si="321"/>
        <v>59.782608695652179</v>
      </c>
      <c r="U760" s="2">
        <f ca="1">VLOOKUP(E760,金币生产率!$A$2:$B$120,2,0)</f>
        <v>3338</v>
      </c>
      <c r="V760" s="2">
        <f t="shared" si="322"/>
        <v>179.34782608695653</v>
      </c>
      <c r="W760" s="45">
        <f t="shared" ca="1" si="334"/>
        <v>111</v>
      </c>
      <c r="X760" s="48">
        <f t="shared" ca="1" si="335"/>
        <v>1613</v>
      </c>
      <c r="Y760">
        <f t="shared" si="323"/>
        <v>18</v>
      </c>
      <c r="Z760">
        <f t="shared" ca="1" si="329"/>
        <v>45</v>
      </c>
      <c r="AA760" t="str">
        <f t="shared" ca="1" si="330"/>
        <v>9222400.png</v>
      </c>
      <c r="AB760">
        <f t="shared" si="324"/>
        <v>7</v>
      </c>
      <c r="AC760">
        <f>VLOOKUP(C760,技能辅助查询表,技能配置辅助表!$W$1,FALSE)</f>
        <v>27</v>
      </c>
      <c r="AD760">
        <f t="shared" ca="1" si="331"/>
        <v>1104.2339534533889</v>
      </c>
      <c r="AE760">
        <f>VLOOKUP(C760,技能辅助查询表,技能配置辅助表!$U$1,FALSE)</f>
        <v>4</v>
      </c>
      <c r="AF760">
        <f t="shared" ca="1" si="332"/>
        <v>9222444</v>
      </c>
      <c r="AG760">
        <f t="shared" ca="1" si="336"/>
        <v>71.306122448979593</v>
      </c>
      <c r="AH760">
        <f t="shared" ca="1" si="333"/>
        <v>3488.6512265697725</v>
      </c>
      <c r="AI760">
        <f ca="1">VLOOKUP(E760,伤害参考系!$C$4:$E$104,3,FALSE)*$AN$12</f>
        <v>16902.905438127098</v>
      </c>
      <c r="AJ760">
        <f>VLOOKUP(C760,技能辅助查询表,技能配置辅助表!$L$1,FALSE)</f>
        <v>3</v>
      </c>
      <c r="AK760">
        <f>VLOOKUP(C760,技能辅助查询表,技能配置辅助表!$AE$1,FALSE)</f>
        <v>66000305</v>
      </c>
    </row>
    <row r="761" spans="1:37" x14ac:dyDescent="0.15">
      <c r="A761" s="1">
        <f t="shared" ca="1" si="325"/>
        <v>9222445</v>
      </c>
      <c r="B761" s="1" t="str">
        <f t="shared" ca="1" si="310"/>
        <v>龙拳第4段</v>
      </c>
      <c r="C761" t="s">
        <v>165</v>
      </c>
      <c r="D761">
        <f t="shared" si="311"/>
        <v>2</v>
      </c>
      <c r="E761" s="42">
        <f t="shared" ca="1" si="326"/>
        <v>73</v>
      </c>
      <c r="F761" t="str">
        <f t="shared" ca="1" si="327"/>
        <v>第45级，共造成260.1%点伤害</v>
      </c>
      <c r="G761">
        <f t="shared" ca="1" si="328"/>
        <v>4</v>
      </c>
      <c r="H761">
        <f t="shared" si="312"/>
        <v>4</v>
      </c>
      <c r="I761" s="44">
        <f t="shared" ca="1" si="337"/>
        <v>45</v>
      </c>
      <c r="J761">
        <f t="shared" si="313"/>
        <v>2</v>
      </c>
      <c r="K761" s="36">
        <f t="shared" ca="1" si="314"/>
        <v>86.684782608695656</v>
      </c>
      <c r="L761" s="10">
        <f ca="1">AH761*VLOOKUP(C761,技能辅助查询表,技能配置辅助表!$T$1,FALSE)</f>
        <v>0</v>
      </c>
      <c r="M761">
        <f t="shared" ca="1" si="315"/>
        <v>4400</v>
      </c>
      <c r="N761" s="33">
        <f ca="1">CHOOSE(1,W761*U761,X761*'[1]0、经济设定'!$C$18)</f>
        <v>420546</v>
      </c>
      <c r="O761">
        <f t="shared" si="316"/>
        <v>2</v>
      </c>
      <c r="P761">
        <f t="shared" si="317"/>
        <v>3</v>
      </c>
      <c r="Q761">
        <f t="shared" si="318"/>
        <v>1</v>
      </c>
      <c r="R761" s="2">
        <f t="shared" si="319"/>
        <v>9</v>
      </c>
      <c r="S761" s="2">
        <f t="shared" si="320"/>
        <v>50</v>
      </c>
      <c r="T761" s="2">
        <f t="shared" si="321"/>
        <v>59.782608695652179</v>
      </c>
      <c r="U761" s="2">
        <f ca="1">VLOOKUP(E761,金币生产率!$A$2:$B$120,2,0)</f>
        <v>3534</v>
      </c>
      <c r="V761" s="2">
        <f t="shared" si="322"/>
        <v>179.34782608695653</v>
      </c>
      <c r="W761" s="45">
        <f t="shared" ca="1" si="334"/>
        <v>119</v>
      </c>
      <c r="X761" s="48">
        <f t="shared" ca="1" si="335"/>
        <v>1732</v>
      </c>
      <c r="Y761">
        <f t="shared" si="323"/>
        <v>18</v>
      </c>
      <c r="Z761">
        <f t="shared" ca="1" si="329"/>
        <v>48</v>
      </c>
      <c r="AA761" t="str">
        <f t="shared" ca="1" si="330"/>
        <v>9222400.png</v>
      </c>
      <c r="AB761">
        <f t="shared" si="324"/>
        <v>7</v>
      </c>
      <c r="AC761">
        <f>VLOOKUP(C761,技能辅助查询表,技能配置辅助表!$W$1,FALSE)</f>
        <v>27</v>
      </c>
      <c r="AD761">
        <f t="shared" ca="1" si="331"/>
        <v>1271.4023788083057</v>
      </c>
      <c r="AE761">
        <f>VLOOKUP(C761,技能辅助查询表,技能配置辅助表!$U$1,FALSE)</f>
        <v>4</v>
      </c>
      <c r="AF761">
        <f t="shared" ca="1" si="332"/>
        <v>9222445</v>
      </c>
      <c r="AG761">
        <f t="shared" ca="1" si="336"/>
        <v>72.755102040816325</v>
      </c>
      <c r="AH761">
        <f t="shared" ca="1" si="333"/>
        <v>3971.7833225930094</v>
      </c>
      <c r="AI761">
        <f ca="1">VLOOKUP(E761,伤害参考系!$C$4:$E$104,3,FALSE)*$AN$12</f>
        <v>18368.517032608706</v>
      </c>
      <c r="AJ761">
        <f>VLOOKUP(C761,技能辅助查询表,技能配置辅助表!$L$1,FALSE)</f>
        <v>3</v>
      </c>
      <c r="AK761">
        <f>VLOOKUP(C761,技能辅助查询表,技能配置辅助表!$AE$1,FALSE)</f>
        <v>66000305</v>
      </c>
    </row>
    <row r="762" spans="1:37" x14ac:dyDescent="0.15">
      <c r="A762" s="1">
        <f t="shared" ca="1" si="325"/>
        <v>9222446</v>
      </c>
      <c r="B762" s="1" t="str">
        <f t="shared" ca="1" si="310"/>
        <v>龙拳第4段</v>
      </c>
      <c r="C762" t="s">
        <v>165</v>
      </c>
      <c r="D762">
        <f t="shared" si="311"/>
        <v>2</v>
      </c>
      <c r="E762" s="42">
        <f t="shared" ca="1" si="326"/>
        <v>74</v>
      </c>
      <c r="F762" t="str">
        <f t="shared" ca="1" si="327"/>
        <v>第46级，共造成261.8%点伤害</v>
      </c>
      <c r="G762">
        <f t="shared" ca="1" si="328"/>
        <v>4</v>
      </c>
      <c r="H762">
        <f t="shared" si="312"/>
        <v>4</v>
      </c>
      <c r="I762" s="44">
        <f t="shared" ca="1" si="337"/>
        <v>46</v>
      </c>
      <c r="J762">
        <f t="shared" si="313"/>
        <v>2</v>
      </c>
      <c r="K762" s="36">
        <f t="shared" ca="1" si="314"/>
        <v>87.282608695652186</v>
      </c>
      <c r="L762" s="10">
        <f ca="1">AH762*VLOOKUP(C762,技能辅助查询表,技能配置辅助表!$T$1,FALSE)</f>
        <v>0</v>
      </c>
      <c r="M762">
        <f t="shared" ca="1" si="315"/>
        <v>4320</v>
      </c>
      <c r="N762" s="33">
        <f ca="1">CHOOSE(1,W762*U762,X762*'[1]0、经济设定'!$C$18)</f>
        <v>461518</v>
      </c>
      <c r="O762">
        <f t="shared" si="316"/>
        <v>2</v>
      </c>
      <c r="P762">
        <f t="shared" si="317"/>
        <v>3</v>
      </c>
      <c r="Q762">
        <f t="shared" si="318"/>
        <v>1</v>
      </c>
      <c r="R762" s="2">
        <f t="shared" si="319"/>
        <v>9</v>
      </c>
      <c r="S762" s="2">
        <f t="shared" si="320"/>
        <v>50</v>
      </c>
      <c r="T762" s="2">
        <f t="shared" si="321"/>
        <v>59.782608695652179</v>
      </c>
      <c r="U762" s="2">
        <f ca="1">VLOOKUP(E762,金币生产率!$A$2:$B$120,2,0)</f>
        <v>3634</v>
      </c>
      <c r="V762" s="2">
        <f t="shared" si="322"/>
        <v>179.34782608695653</v>
      </c>
      <c r="W762" s="45">
        <f t="shared" ca="1" si="334"/>
        <v>127</v>
      </c>
      <c r="X762" s="48">
        <f t="shared" ca="1" si="335"/>
        <v>1859</v>
      </c>
      <c r="Y762">
        <f t="shared" si="323"/>
        <v>18</v>
      </c>
      <c r="Z762">
        <f t="shared" ca="1" si="329"/>
        <v>51</v>
      </c>
      <c r="AA762" t="str">
        <f t="shared" ca="1" si="330"/>
        <v>9222400.png</v>
      </c>
      <c r="AB762">
        <f t="shared" si="324"/>
        <v>7</v>
      </c>
      <c r="AC762">
        <f>VLOOKUP(C762,技能辅助查询表,技能配置辅助表!$W$1,FALSE)</f>
        <v>27</v>
      </c>
      <c r="AD762">
        <f t="shared" ca="1" si="331"/>
        <v>1463.6943899176717</v>
      </c>
      <c r="AE762">
        <f>VLOOKUP(C762,技能辅助查询表,技能配置辅助表!$U$1,FALSE)</f>
        <v>4</v>
      </c>
      <c r="AF762">
        <f t="shared" ca="1" si="332"/>
        <v>9222446</v>
      </c>
      <c r="AG762">
        <f t="shared" ca="1" si="336"/>
        <v>74.204081632653057</v>
      </c>
      <c r="AH762">
        <f t="shared" ca="1" si="333"/>
        <v>4521.8228298329677</v>
      </c>
      <c r="AI762">
        <f ca="1">VLOOKUP(E762,伤害参考系!$C$4:$E$104,3,FALSE)*$AN$12</f>
        <v>19123.189597826095</v>
      </c>
      <c r="AJ762">
        <f>VLOOKUP(C762,技能辅助查询表,技能配置辅助表!$L$1,FALSE)</f>
        <v>3</v>
      </c>
      <c r="AK762">
        <f>VLOOKUP(C762,技能辅助查询表,技能配置辅助表!$AE$1,FALSE)</f>
        <v>66000305</v>
      </c>
    </row>
    <row r="763" spans="1:37" x14ac:dyDescent="0.15">
      <c r="A763" s="1">
        <f t="shared" ca="1" si="325"/>
        <v>9222447</v>
      </c>
      <c r="B763" s="1" t="str">
        <f t="shared" ca="1" si="310"/>
        <v>龙拳第4段</v>
      </c>
      <c r="C763" t="s">
        <v>165</v>
      </c>
      <c r="D763">
        <f t="shared" si="311"/>
        <v>2</v>
      </c>
      <c r="E763" s="42">
        <f t="shared" ca="1" si="326"/>
        <v>76</v>
      </c>
      <c r="F763" t="str">
        <f t="shared" ca="1" si="327"/>
        <v>第47级，共造成263.6%点伤害</v>
      </c>
      <c r="G763">
        <f t="shared" ca="1" si="328"/>
        <v>4</v>
      </c>
      <c r="H763">
        <f t="shared" si="312"/>
        <v>4</v>
      </c>
      <c r="I763" s="44">
        <f t="shared" ca="1" si="337"/>
        <v>47</v>
      </c>
      <c r="J763">
        <f t="shared" si="313"/>
        <v>2</v>
      </c>
      <c r="K763" s="36">
        <f t="shared" ca="1" si="314"/>
        <v>87.880434782608702</v>
      </c>
      <c r="L763" s="10">
        <f ca="1">AH763*VLOOKUP(C763,技能辅助查询表,技能配置辅助表!$T$1,FALSE)</f>
        <v>0</v>
      </c>
      <c r="M763">
        <f t="shared" ca="1" si="315"/>
        <v>4240</v>
      </c>
      <c r="N763" s="33">
        <f ca="1">CHOOSE(1,W763*U763,X763*'[1]0、经济设定'!$C$18)</f>
        <v>521968</v>
      </c>
      <c r="O763">
        <f t="shared" si="316"/>
        <v>2</v>
      </c>
      <c r="P763">
        <f t="shared" si="317"/>
        <v>3</v>
      </c>
      <c r="Q763">
        <f t="shared" si="318"/>
        <v>1</v>
      </c>
      <c r="R763" s="2">
        <f t="shared" si="319"/>
        <v>9</v>
      </c>
      <c r="S763" s="2">
        <f t="shared" si="320"/>
        <v>50</v>
      </c>
      <c r="T763" s="2">
        <f t="shared" si="321"/>
        <v>59.782608695652179</v>
      </c>
      <c r="U763" s="2">
        <f ca="1">VLOOKUP(E763,金币生产率!$A$2:$B$120,2,0)</f>
        <v>3838</v>
      </c>
      <c r="V763" s="2">
        <f t="shared" si="322"/>
        <v>179.34782608695653</v>
      </c>
      <c r="W763" s="45">
        <f t="shared" ca="1" si="334"/>
        <v>136</v>
      </c>
      <c r="X763" s="48">
        <f t="shared" ca="1" si="335"/>
        <v>1995</v>
      </c>
      <c r="Y763">
        <f t="shared" si="323"/>
        <v>18</v>
      </c>
      <c r="Z763">
        <f t="shared" ca="1" si="329"/>
        <v>55</v>
      </c>
      <c r="AA763" t="str">
        <f t="shared" ca="1" si="330"/>
        <v>9222400.png</v>
      </c>
      <c r="AB763">
        <f t="shared" si="324"/>
        <v>7</v>
      </c>
      <c r="AC763">
        <f>VLOOKUP(C763,技能辅助查询表,技能配置辅助表!$W$1,FALSE)</f>
        <v>27</v>
      </c>
      <c r="AD763">
        <f t="shared" ca="1" si="331"/>
        <v>1684.862501396002</v>
      </c>
      <c r="AE763">
        <f>VLOOKUP(C763,技能辅助查询表,技能配置辅助表!$U$1,FALSE)</f>
        <v>4</v>
      </c>
      <c r="AF763">
        <f t="shared" ca="1" si="332"/>
        <v>9222447</v>
      </c>
      <c r="AG763">
        <f t="shared" ca="1" si="336"/>
        <v>75.65306122448979</v>
      </c>
      <c r="AH763">
        <f t="shared" ca="1" si="333"/>
        <v>5148.0355406320868</v>
      </c>
      <c r="AI763">
        <f ca="1">VLOOKUP(E763,伤害参考系!$C$4:$E$104,3,FALSE)*$AN$12</f>
        <v>20676.268264214057</v>
      </c>
      <c r="AJ763">
        <f>VLOOKUP(C763,技能辅助查询表,技能配置辅助表!$L$1,FALSE)</f>
        <v>3</v>
      </c>
      <c r="AK763">
        <f>VLOOKUP(C763,技能辅助查询表,技能配置辅助表!$AE$1,FALSE)</f>
        <v>66000305</v>
      </c>
    </row>
    <row r="764" spans="1:37" x14ac:dyDescent="0.15">
      <c r="A764" s="1">
        <f t="shared" ca="1" si="325"/>
        <v>9222448</v>
      </c>
      <c r="B764" s="1" t="str">
        <f t="shared" ca="1" si="310"/>
        <v>龙拳第4段</v>
      </c>
      <c r="C764" t="s">
        <v>165</v>
      </c>
      <c r="D764">
        <f t="shared" si="311"/>
        <v>2</v>
      </c>
      <c r="E764" s="42">
        <f t="shared" ca="1" si="326"/>
        <v>77</v>
      </c>
      <c r="F764" t="str">
        <f t="shared" ca="1" si="327"/>
        <v>第48级，共造成265.4%点伤害</v>
      </c>
      <c r="G764">
        <f t="shared" ca="1" si="328"/>
        <v>4</v>
      </c>
      <c r="H764">
        <f t="shared" si="312"/>
        <v>4</v>
      </c>
      <c r="I764" s="44">
        <f t="shared" ca="1" si="337"/>
        <v>48</v>
      </c>
      <c r="J764">
        <f t="shared" si="313"/>
        <v>2</v>
      </c>
      <c r="K764" s="36">
        <f t="shared" ca="1" si="314"/>
        <v>88.478260869565219</v>
      </c>
      <c r="L764" s="10">
        <f ca="1">AH764*VLOOKUP(C764,技能辅助查询表,技能配置辅助表!$T$1,FALSE)</f>
        <v>0</v>
      </c>
      <c r="M764">
        <f t="shared" ca="1" si="315"/>
        <v>4160</v>
      </c>
      <c r="N764" s="33">
        <f ca="1">CHOOSE(1,W764*U764,X764*'[1]0、经济设定'!$C$18)</f>
        <v>575532</v>
      </c>
      <c r="O764">
        <f t="shared" si="316"/>
        <v>2</v>
      </c>
      <c r="P764">
        <f t="shared" si="317"/>
        <v>3</v>
      </c>
      <c r="Q764">
        <f t="shared" si="318"/>
        <v>1</v>
      </c>
      <c r="R764" s="2">
        <f t="shared" si="319"/>
        <v>9</v>
      </c>
      <c r="S764" s="2">
        <f t="shared" si="320"/>
        <v>50</v>
      </c>
      <c r="T764" s="2">
        <f t="shared" si="321"/>
        <v>59.782608695652179</v>
      </c>
      <c r="U764" s="2">
        <f ca="1">VLOOKUP(E764,金币生产率!$A$2:$B$120,2,0)</f>
        <v>3942</v>
      </c>
      <c r="V764" s="2">
        <f t="shared" si="322"/>
        <v>179.34782608695653</v>
      </c>
      <c r="W764" s="45">
        <f t="shared" ca="1" si="334"/>
        <v>146</v>
      </c>
      <c r="X764" s="48">
        <f t="shared" ca="1" si="335"/>
        <v>2141</v>
      </c>
      <c r="Y764">
        <f t="shared" si="323"/>
        <v>18</v>
      </c>
      <c r="Z764">
        <f t="shared" ca="1" si="329"/>
        <v>59</v>
      </c>
      <c r="AA764" t="str">
        <f t="shared" ca="1" si="330"/>
        <v>9222400.png</v>
      </c>
      <c r="AB764">
        <f t="shared" si="324"/>
        <v>7</v>
      </c>
      <c r="AC764">
        <f>VLOOKUP(C764,技能辅助查询表,技能配置辅助表!$W$1,FALSE)</f>
        <v>27</v>
      </c>
      <c r="AD764">
        <f t="shared" ca="1" si="331"/>
        <v>1939.2167402866914</v>
      </c>
      <c r="AE764">
        <f>VLOOKUP(C764,技能辅助查询表,技能配置辅助表!$U$1,FALSE)</f>
        <v>4</v>
      </c>
      <c r="AF764">
        <f t="shared" ca="1" si="332"/>
        <v>9222448</v>
      </c>
      <c r="AG764">
        <f t="shared" ca="1" si="336"/>
        <v>77.102040816326536</v>
      </c>
      <c r="AH764">
        <f t="shared" ca="1" si="333"/>
        <v>5860.970437134547</v>
      </c>
      <c r="AI764">
        <f ca="1">VLOOKUP(E764,伤害参考系!$C$4:$E$104,3,FALSE)*$AN$12</f>
        <v>21474.674365384624</v>
      </c>
      <c r="AJ764">
        <f>VLOOKUP(C764,技能辅助查询表,技能配置辅助表!$L$1,FALSE)</f>
        <v>3</v>
      </c>
      <c r="AK764">
        <f>VLOOKUP(C764,技能辅助查询表,技能配置辅助表!$AE$1,FALSE)</f>
        <v>66000305</v>
      </c>
    </row>
    <row r="765" spans="1:37" x14ac:dyDescent="0.15">
      <c r="A765" s="1">
        <f t="shared" ca="1" si="325"/>
        <v>9222449</v>
      </c>
      <c r="B765" s="1" t="str">
        <f t="shared" ca="1" si="310"/>
        <v>龙拳第4段</v>
      </c>
      <c r="C765" t="s">
        <v>165</v>
      </c>
      <c r="D765">
        <f t="shared" si="311"/>
        <v>2</v>
      </c>
      <c r="E765" s="42">
        <f t="shared" ca="1" si="326"/>
        <v>79</v>
      </c>
      <c r="F765" t="str">
        <f t="shared" ca="1" si="327"/>
        <v>第49级，共造成267.2%点伤害</v>
      </c>
      <c r="G765">
        <f t="shared" ca="1" si="328"/>
        <v>4</v>
      </c>
      <c r="H765">
        <f t="shared" si="312"/>
        <v>4</v>
      </c>
      <c r="I765" s="44">
        <f t="shared" ca="1" si="337"/>
        <v>49</v>
      </c>
      <c r="J765">
        <f t="shared" si="313"/>
        <v>2</v>
      </c>
      <c r="K765" s="36">
        <f t="shared" ca="1" si="314"/>
        <v>89.076086956521749</v>
      </c>
      <c r="L765" s="10">
        <f ca="1">AH765*VLOOKUP(C765,技能辅助查询表,技能配置辅助表!$T$1,FALSE)</f>
        <v>0</v>
      </c>
      <c r="M765">
        <f t="shared" ca="1" si="315"/>
        <v>4080</v>
      </c>
      <c r="N765" s="33">
        <f ca="1">CHOOSE(1,W765*U765,X765*'[1]0、经济设定'!$C$18)</f>
        <v>648024</v>
      </c>
      <c r="O765">
        <f t="shared" si="316"/>
        <v>2</v>
      </c>
      <c r="P765">
        <f t="shared" si="317"/>
        <v>3</v>
      </c>
      <c r="Q765">
        <f t="shared" si="318"/>
        <v>1</v>
      </c>
      <c r="R765" s="2">
        <f t="shared" si="319"/>
        <v>9</v>
      </c>
      <c r="S765" s="2">
        <f t="shared" si="320"/>
        <v>50</v>
      </c>
      <c r="T765" s="2">
        <f t="shared" si="321"/>
        <v>59.782608695652179</v>
      </c>
      <c r="U765" s="2">
        <f ca="1">VLOOKUP(E765,金币生产率!$A$2:$B$120,2,0)</f>
        <v>4154</v>
      </c>
      <c r="V765" s="2">
        <f t="shared" si="322"/>
        <v>179.34782608695653</v>
      </c>
      <c r="W765" s="45">
        <f t="shared" ca="1" si="334"/>
        <v>156</v>
      </c>
      <c r="X765" s="48">
        <f t="shared" ca="1" si="335"/>
        <v>2297</v>
      </c>
      <c r="Y765">
        <f t="shared" si="323"/>
        <v>18</v>
      </c>
      <c r="Z765">
        <f t="shared" ca="1" si="329"/>
        <v>63</v>
      </c>
      <c r="AA765" t="str">
        <f t="shared" ca="1" si="330"/>
        <v>9222400.png</v>
      </c>
      <c r="AB765">
        <f t="shared" si="324"/>
        <v>7</v>
      </c>
      <c r="AC765">
        <f>VLOOKUP(C765,技能辅助查询表,技能配置辅助表!$W$1,FALSE)</f>
        <v>27</v>
      </c>
      <c r="AD765">
        <f t="shared" ca="1" si="331"/>
        <v>2231.7070943320059</v>
      </c>
      <c r="AE765">
        <f>VLOOKUP(C765,技能辅助查询表,技能配置辅助表!$U$1,FALSE)</f>
        <v>4</v>
      </c>
      <c r="AF765">
        <f t="shared" ca="1" si="332"/>
        <v>9222449</v>
      </c>
      <c r="AG765">
        <f t="shared" ca="1" si="336"/>
        <v>78.551020408163268</v>
      </c>
      <c r="AH765">
        <f t="shared" ca="1" si="333"/>
        <v>6672.6373961177951</v>
      </c>
      <c r="AI765">
        <f ca="1">VLOOKUP(E765,伤害参考系!$C$4:$E$104,3,FALSE)*$AN$12</f>
        <v>23115.220103678937</v>
      </c>
      <c r="AJ765">
        <f>VLOOKUP(C765,技能辅助查询表,技能配置辅助表!$L$1,FALSE)</f>
        <v>3</v>
      </c>
      <c r="AK765">
        <f>VLOOKUP(C765,技能辅助查询表,技能配置辅助表!$AE$1,FALSE)</f>
        <v>66000305</v>
      </c>
    </row>
    <row r="766" spans="1:37" x14ac:dyDescent="0.15">
      <c r="A766" s="1">
        <f t="shared" ca="1" si="325"/>
        <v>9222450</v>
      </c>
      <c r="B766" s="1" t="str">
        <f t="shared" ca="1" si="310"/>
        <v>龙拳第4段</v>
      </c>
      <c r="C766" t="s">
        <v>165</v>
      </c>
      <c r="D766">
        <f t="shared" si="311"/>
        <v>2</v>
      </c>
      <c r="E766" s="42">
        <f t="shared" ca="1" si="326"/>
        <v>80</v>
      </c>
      <c r="F766" t="str">
        <f t="shared" ca="1" si="327"/>
        <v>第50级，共造成269%点伤害</v>
      </c>
      <c r="G766">
        <f t="shared" ca="1" si="328"/>
        <v>4</v>
      </c>
      <c r="H766">
        <f t="shared" si="312"/>
        <v>4</v>
      </c>
      <c r="I766" s="44">
        <f t="shared" ca="1" si="337"/>
        <v>50</v>
      </c>
      <c r="J766">
        <f t="shared" si="313"/>
        <v>2</v>
      </c>
      <c r="K766" s="36">
        <f t="shared" ca="1" si="314"/>
        <v>89.673913043478279</v>
      </c>
      <c r="L766" s="10">
        <f ca="1">AH766*VLOOKUP(C766,技能辅助查询表,技能配置辅助表!$T$1,FALSE)</f>
        <v>0</v>
      </c>
      <c r="M766">
        <f t="shared" ca="1" si="315"/>
        <v>4000</v>
      </c>
      <c r="N766" s="33">
        <f ca="1">CHOOSE(1,W766*U766,X766*'[1]0、经济设定'!$C$18)</f>
        <v>711754</v>
      </c>
      <c r="O766">
        <f t="shared" si="316"/>
        <v>2</v>
      </c>
      <c r="P766">
        <f t="shared" si="317"/>
        <v>3</v>
      </c>
      <c r="Q766">
        <f t="shared" si="318"/>
        <v>1</v>
      </c>
      <c r="R766" s="2">
        <f t="shared" si="319"/>
        <v>9</v>
      </c>
      <c r="S766" s="2">
        <f t="shared" si="320"/>
        <v>50</v>
      </c>
      <c r="T766" s="2">
        <f t="shared" si="321"/>
        <v>59.782608695652179</v>
      </c>
      <c r="U766" s="2">
        <f ca="1">VLOOKUP(E766,金币生产率!$A$2:$B$120,2,0)</f>
        <v>4262</v>
      </c>
      <c r="V766" s="2">
        <f t="shared" si="322"/>
        <v>179.34782608695653</v>
      </c>
      <c r="W766" s="45">
        <f t="shared" ca="1" si="334"/>
        <v>167</v>
      </c>
      <c r="X766" s="48">
        <f t="shared" ca="1" si="335"/>
        <v>2464</v>
      </c>
      <c r="Y766">
        <f t="shared" si="323"/>
        <v>18</v>
      </c>
      <c r="Z766">
        <f t="shared" ca="1" si="329"/>
        <v>67</v>
      </c>
      <c r="AA766" t="str">
        <f t="shared" ca="1" si="330"/>
        <v>9222400.png</v>
      </c>
      <c r="AB766">
        <f t="shared" si="324"/>
        <v>7</v>
      </c>
      <c r="AC766">
        <f>VLOOKUP(C766,技能辅助查询表,技能配置辅助表!$W$1,FALSE)</f>
        <v>27</v>
      </c>
      <c r="AD766">
        <f t="shared" ca="1" si="331"/>
        <v>2568.0181039326735</v>
      </c>
      <c r="AE766">
        <f>VLOOKUP(C766,技能辅助查询表,技能配置辅助表!$U$1,FALSE)</f>
        <v>4</v>
      </c>
      <c r="AF766">
        <f t="shared" ca="1" si="332"/>
        <v>9222450</v>
      </c>
      <c r="AG766">
        <f t="shared" ca="1" si="336"/>
        <v>80</v>
      </c>
      <c r="AH766">
        <f t="shared" ca="1" si="333"/>
        <v>7596.7095035950451</v>
      </c>
      <c r="AI766">
        <f ca="1">VLOOKUP(E766,伤害参考系!$C$4:$E$104,3,FALSE)*$AN$12</f>
        <v>24028.87424749164</v>
      </c>
      <c r="AJ766">
        <f>VLOOKUP(C766,技能辅助查询表,技能配置辅助表!$L$1,FALSE)</f>
        <v>3</v>
      </c>
      <c r="AK766">
        <f>VLOOKUP(C766,技能辅助查询表,技能配置辅助表!$AE$1,FALSE)</f>
        <v>66000305</v>
      </c>
    </row>
    <row r="767" spans="1:37" x14ac:dyDescent="0.15">
      <c r="A767" s="1">
        <f t="shared" ca="1" si="325"/>
        <v>9213000</v>
      </c>
      <c r="B767" s="1" t="str">
        <f t="shared" ca="1" si="310"/>
        <v>裂地诀</v>
      </c>
      <c r="C767" t="s">
        <v>166</v>
      </c>
      <c r="D767">
        <f t="shared" si="311"/>
        <v>2</v>
      </c>
      <c r="E767" s="42">
        <f t="shared" ca="1" si="326"/>
        <v>5</v>
      </c>
      <c r="F767" t="str">
        <f t="shared" ca="1" si="327"/>
        <v>第0级，共造成215.2%点伤害</v>
      </c>
      <c r="G767">
        <f t="shared" ca="1" si="328"/>
        <v>0</v>
      </c>
      <c r="H767">
        <f t="shared" si="312"/>
        <v>1</v>
      </c>
      <c r="I767" s="44">
        <f t="shared" ca="1" si="337"/>
        <v>0</v>
      </c>
      <c r="J767">
        <f t="shared" si="313"/>
        <v>1</v>
      </c>
      <c r="K767" s="36">
        <f t="shared" ca="1" si="314"/>
        <v>215.21739130434784</v>
      </c>
      <c r="L767" s="10">
        <f ca="1">AH767*VLOOKUP(C767,技能辅助查询表,技能配置辅助表!$T$1,FALSE)</f>
        <v>0</v>
      </c>
      <c r="M767">
        <f t="shared" ca="1" si="315"/>
        <v>10000</v>
      </c>
      <c r="N767" s="33">
        <f ca="1">CHOOSE(1,W767*U767,X767*'[1]0、经济设定'!$C$18)</f>
        <v>0</v>
      </c>
      <c r="O767">
        <f t="shared" si="316"/>
        <v>3</v>
      </c>
      <c r="P767">
        <f t="shared" si="317"/>
        <v>1</v>
      </c>
      <c r="Q767">
        <f t="shared" si="318"/>
        <v>1</v>
      </c>
      <c r="R767" s="2">
        <f t="shared" si="319"/>
        <v>5</v>
      </c>
      <c r="S767" s="2">
        <f t="shared" si="320"/>
        <v>50</v>
      </c>
      <c r="T767" s="2">
        <f t="shared" si="321"/>
        <v>215.21739130434784</v>
      </c>
      <c r="U767" s="2">
        <f ca="1">VLOOKUP(E767,金币生产率!$A$2:$B$120,2,0)</f>
        <v>74</v>
      </c>
      <c r="V767" s="2">
        <f t="shared" si="322"/>
        <v>215.21739130434784</v>
      </c>
      <c r="W767" s="45">
        <f t="shared" ca="1" si="334"/>
        <v>0</v>
      </c>
      <c r="X767" s="48">
        <f t="shared" ca="1" si="335"/>
        <v>0</v>
      </c>
      <c r="Y767">
        <f t="shared" si="323"/>
        <v>18</v>
      </c>
      <c r="Z767">
        <f t="shared" ca="1" si="329"/>
        <v>0</v>
      </c>
      <c r="AA767" t="str">
        <f t="shared" ca="1" si="330"/>
        <v>9213100.png</v>
      </c>
      <c r="AB767">
        <f t="shared" si="324"/>
        <v>20</v>
      </c>
      <c r="AC767">
        <f>VLOOKUP(C767,技能辅助查询表,技能配置辅助表!$W$1,FALSE)</f>
        <v>22</v>
      </c>
      <c r="AD767">
        <f t="shared" ca="1" si="331"/>
        <v>2.6716147826086956</v>
      </c>
      <c r="AE767">
        <f>VLOOKUP(C767,技能辅助查询表,技能配置辅助表!$U$1,FALSE)</f>
        <v>1</v>
      </c>
      <c r="AF767">
        <f t="shared" ca="1" si="332"/>
        <v>9213100</v>
      </c>
      <c r="AG767">
        <f t="shared" ca="1" si="336"/>
        <v>0</v>
      </c>
      <c r="AH767">
        <f t="shared" ca="1" si="333"/>
        <v>11.5938</v>
      </c>
      <c r="AI767">
        <f ca="1">VLOOKUP(E767,伤害参考系!$C$4:$E$104,3,FALSE)*$AN$12</f>
        <v>54</v>
      </c>
      <c r="AJ767">
        <f>VLOOKUP(C767,技能辅助查询表,技能配置辅助表!$L$1,FALSE)</f>
        <v>1</v>
      </c>
      <c r="AK767">
        <f>VLOOKUP(C767,技能辅助查询表,技能配置辅助表!$AE$1,FALSE)</f>
        <v>66000289</v>
      </c>
    </row>
    <row r="768" spans="1:37" x14ac:dyDescent="0.15">
      <c r="A768" s="1">
        <f t="shared" ca="1" si="325"/>
        <v>9213101</v>
      </c>
      <c r="B768" s="1" t="str">
        <f t="shared" ca="1" si="310"/>
        <v>裂地诀</v>
      </c>
      <c r="C768" t="s">
        <v>166</v>
      </c>
      <c r="D768">
        <f t="shared" si="311"/>
        <v>2</v>
      </c>
      <c r="E768" s="42">
        <f t="shared" ca="1" si="326"/>
        <v>5</v>
      </c>
      <c r="F768" t="str">
        <f t="shared" ca="1" si="327"/>
        <v>第1级，共造成215.2%点伤害</v>
      </c>
      <c r="G768">
        <f t="shared" ca="1" si="328"/>
        <v>1</v>
      </c>
      <c r="H768">
        <f t="shared" si="312"/>
        <v>1</v>
      </c>
      <c r="I768" s="44">
        <f t="shared" ca="1" si="337"/>
        <v>1</v>
      </c>
      <c r="J768">
        <f t="shared" si="313"/>
        <v>1</v>
      </c>
      <c r="K768" s="36">
        <f t="shared" ca="1" si="314"/>
        <v>215.21739130434784</v>
      </c>
      <c r="L768" s="10">
        <f ca="1">AH768*VLOOKUP(C768,技能辅助查询表,技能配置辅助表!$T$1,FALSE)</f>
        <v>0</v>
      </c>
      <c r="M768">
        <f t="shared" ca="1" si="315"/>
        <v>10000</v>
      </c>
      <c r="N768" s="33">
        <f ca="1">CHOOSE(1,W768*U768,X768*'[1]0、经济设定'!$C$18)</f>
        <v>592</v>
      </c>
      <c r="O768">
        <f t="shared" si="316"/>
        <v>3</v>
      </c>
      <c r="P768">
        <f t="shared" si="317"/>
        <v>1</v>
      </c>
      <c r="Q768">
        <f t="shared" si="318"/>
        <v>1</v>
      </c>
      <c r="R768" s="2">
        <f t="shared" si="319"/>
        <v>5</v>
      </c>
      <c r="S768" s="2">
        <f t="shared" si="320"/>
        <v>50</v>
      </c>
      <c r="T768" s="2">
        <f t="shared" si="321"/>
        <v>215.21739130434784</v>
      </c>
      <c r="U768" s="2">
        <f ca="1">VLOOKUP(E768,金币生产率!$A$2:$B$120,2,0)</f>
        <v>74</v>
      </c>
      <c r="V768" s="2">
        <f t="shared" si="322"/>
        <v>215.21739130434784</v>
      </c>
      <c r="W768" s="45">
        <f t="shared" ca="1" si="334"/>
        <v>8</v>
      </c>
      <c r="X768" s="48">
        <f t="shared" ca="1" si="335"/>
        <v>8</v>
      </c>
      <c r="Y768">
        <f t="shared" si="323"/>
        <v>18</v>
      </c>
      <c r="Z768">
        <f t="shared" ca="1" si="329"/>
        <v>0</v>
      </c>
      <c r="AA768" t="str">
        <f t="shared" ca="1" si="330"/>
        <v>9213100.png</v>
      </c>
      <c r="AB768">
        <f t="shared" si="324"/>
        <v>20</v>
      </c>
      <c r="AC768">
        <f>VLOOKUP(C768,技能辅助查询表,技能配置辅助表!$W$1,FALSE)</f>
        <v>22</v>
      </c>
      <c r="AD768">
        <f t="shared" ca="1" si="331"/>
        <v>3.0415981274205919</v>
      </c>
      <c r="AE768">
        <f>VLOOKUP(C768,技能辅助查询表,技能配置辅助表!$U$1,FALSE)</f>
        <v>1</v>
      </c>
      <c r="AF768">
        <f t="shared" ca="1" si="332"/>
        <v>9213101</v>
      </c>
      <c r="AG768">
        <f t="shared" ca="1" si="336"/>
        <v>5</v>
      </c>
      <c r="AH768">
        <f t="shared" ca="1" si="333"/>
        <v>13.199388100127095</v>
      </c>
      <c r="AI768">
        <f ca="1">VLOOKUP(E768,伤害参考系!$C$4:$E$104,3,FALSE)*$AN$12</f>
        <v>54</v>
      </c>
      <c r="AJ768">
        <f>VLOOKUP(C768,技能辅助查询表,技能配置辅助表!$L$1,FALSE)</f>
        <v>1</v>
      </c>
      <c r="AK768">
        <f>VLOOKUP(C768,技能辅助查询表,技能配置辅助表!$AE$1,FALSE)</f>
        <v>66000289</v>
      </c>
    </row>
    <row r="769" spans="1:37" x14ac:dyDescent="0.15">
      <c r="A769" s="1">
        <f t="shared" ca="1" si="325"/>
        <v>9213102</v>
      </c>
      <c r="B769" s="1" t="str">
        <f t="shared" ca="1" si="310"/>
        <v>裂地诀</v>
      </c>
      <c r="C769" t="s">
        <v>166</v>
      </c>
      <c r="D769">
        <f t="shared" si="311"/>
        <v>2</v>
      </c>
      <c r="E769" s="42">
        <f t="shared" ca="1" si="326"/>
        <v>8</v>
      </c>
      <c r="F769" t="str">
        <f t="shared" ca="1" si="327"/>
        <v>第2级，共造成219.5%点伤害</v>
      </c>
      <c r="G769">
        <f t="shared" ca="1" si="328"/>
        <v>1</v>
      </c>
      <c r="H769">
        <f t="shared" si="312"/>
        <v>1</v>
      </c>
      <c r="I769" s="44">
        <f t="shared" ca="1" si="337"/>
        <v>2</v>
      </c>
      <c r="J769">
        <f t="shared" si="313"/>
        <v>1</v>
      </c>
      <c r="K769" s="36">
        <f t="shared" ca="1" si="314"/>
        <v>219.52173913043481</v>
      </c>
      <c r="L769" s="10">
        <f ca="1">AH769*VLOOKUP(C769,技能辅助查询表,技能配置辅助表!$T$1,FALSE)</f>
        <v>0</v>
      </c>
      <c r="M769">
        <f t="shared" ca="1" si="315"/>
        <v>9800</v>
      </c>
      <c r="N769" s="33">
        <f ca="1">CHOOSE(1,W769*U769,X769*'[1]0、经济设定'!$C$18)</f>
        <v>828</v>
      </c>
      <c r="O769">
        <f t="shared" si="316"/>
        <v>3</v>
      </c>
      <c r="P769">
        <f t="shared" si="317"/>
        <v>1</v>
      </c>
      <c r="Q769">
        <f t="shared" si="318"/>
        <v>1</v>
      </c>
      <c r="R769" s="2">
        <f t="shared" si="319"/>
        <v>5</v>
      </c>
      <c r="S769" s="2">
        <f t="shared" si="320"/>
        <v>50</v>
      </c>
      <c r="T769" s="2">
        <f t="shared" si="321"/>
        <v>215.21739130434784</v>
      </c>
      <c r="U769" s="2">
        <f ca="1">VLOOKUP(E769,金币生产率!$A$2:$B$120,2,0)</f>
        <v>92</v>
      </c>
      <c r="V769" s="2">
        <f t="shared" si="322"/>
        <v>215.21739130434784</v>
      </c>
      <c r="W769" s="45">
        <f t="shared" ca="1" si="334"/>
        <v>9</v>
      </c>
      <c r="X769" s="48">
        <f t="shared" ca="1" si="335"/>
        <v>17</v>
      </c>
      <c r="Y769">
        <f t="shared" si="323"/>
        <v>18</v>
      </c>
      <c r="Z769">
        <f t="shared" ca="1" si="329"/>
        <v>0</v>
      </c>
      <c r="AA769" t="str">
        <f t="shared" ca="1" si="330"/>
        <v>9213100.png</v>
      </c>
      <c r="AB769">
        <f t="shared" si="324"/>
        <v>20</v>
      </c>
      <c r="AC769">
        <f>VLOOKUP(C769,技能辅助查询表,技能配置辅助表!$W$1,FALSE)</f>
        <v>22</v>
      </c>
      <c r="AD769">
        <f t="shared" ca="1" si="331"/>
        <v>3.5921849778229942</v>
      </c>
      <c r="AE769">
        <f>VLOOKUP(C769,技能辅助查询表,技能配置辅助表!$U$1,FALSE)</f>
        <v>1</v>
      </c>
      <c r="AF769">
        <f t="shared" ca="1" si="332"/>
        <v>9213102</v>
      </c>
      <c r="AG769">
        <f t="shared" ca="1" si="336"/>
        <v>6.5306122448979593</v>
      </c>
      <c r="AH769">
        <f t="shared" ca="1" si="333"/>
        <v>15.027328935963775</v>
      </c>
      <c r="AI769">
        <f ca="1">VLOOKUP(E769,伤害参考系!$C$4:$E$104,3,FALSE)*$AN$12</f>
        <v>115.83</v>
      </c>
      <c r="AJ769">
        <f>VLOOKUP(C769,技能辅助查询表,技能配置辅助表!$L$1,FALSE)</f>
        <v>1</v>
      </c>
      <c r="AK769">
        <f>VLOOKUP(C769,技能辅助查询表,技能配置辅助表!$AE$1,FALSE)</f>
        <v>66000289</v>
      </c>
    </row>
    <row r="770" spans="1:37" x14ac:dyDescent="0.15">
      <c r="A770" s="1">
        <f t="shared" ca="1" si="325"/>
        <v>9213103</v>
      </c>
      <c r="B770" s="1" t="str">
        <f t="shared" ref="B770:B833" ca="1" si="338">IF(AND(G770=0,AE770=4),LEFT(C770,LEN(C770)-3),C770)</f>
        <v>裂地诀</v>
      </c>
      <c r="C770" t="s">
        <v>166</v>
      </c>
      <c r="D770">
        <f t="shared" ref="D770:D833" si="339">VLOOKUP(C770,技能辅助查询表,3,FALSE)</f>
        <v>2</v>
      </c>
      <c r="E770" s="42">
        <f t="shared" ca="1" si="326"/>
        <v>10</v>
      </c>
      <c r="F770" t="str">
        <f t="shared" ca="1" si="327"/>
        <v>第3级，共造成221.7%点伤害</v>
      </c>
      <c r="G770">
        <f t="shared" ca="1" si="328"/>
        <v>1</v>
      </c>
      <c r="H770">
        <f t="shared" ref="H770:H833" si="340">VLOOKUP(C770,技能辅助查询表,2,FALSE)</f>
        <v>1</v>
      </c>
      <c r="I770" s="44">
        <f t="shared" ca="1" si="337"/>
        <v>3</v>
      </c>
      <c r="J770">
        <f t="shared" ref="J770:J833" si="341">VLOOKUP(C770,技能辅助查询表,4,FALSE)</f>
        <v>1</v>
      </c>
      <c r="K770" s="36">
        <f t="shared" ref="K770:K833" ca="1" si="342">IF(OR(I770=0,I770=1),T770,T770+T770*($AN$6-1)/S770*I770)</f>
        <v>221.67391304347828</v>
      </c>
      <c r="L770" s="10">
        <f ca="1">AH770*VLOOKUP(C770,技能辅助查询表,技能配置辅助表!$T$1,FALSE)</f>
        <v>0</v>
      </c>
      <c r="M770">
        <f t="shared" ref="M770:M833" ca="1" si="343">IF(OR(I770=0,I770=1),VLOOKUP(C770,技能辅助查询表,14,FALSE),VLOOKUP(C770,技能辅助查询表,14,FALSE)-VLOOKUP(C770,技能辅助查询表,14,FALSE)*0.5/S770*I770)</f>
        <v>9700</v>
      </c>
      <c r="N770" s="33">
        <f ca="1">CHOOSE(1,W770*U770,X770*'[1]0、经济设定'!$C$18)</f>
        <v>936</v>
      </c>
      <c r="O770">
        <f t="shared" ref="O770:O833" si="344">VLOOKUP(C770,技能辅助查询表,5,FALSE)</f>
        <v>3</v>
      </c>
      <c r="P770">
        <f t="shared" ref="P770:P833" si="345">VLOOKUP(C770,技能辅助查询表,6,FALSE)</f>
        <v>1</v>
      </c>
      <c r="Q770">
        <f t="shared" ref="Q770:Q833" si="346">VLOOKUP(C770,技能辅助查询表,7,FALSE)</f>
        <v>1</v>
      </c>
      <c r="R770" s="2">
        <f t="shared" ref="R770:R833" si="347">VLOOKUP(C770,技能辅助查询表,9,FALSE)</f>
        <v>5</v>
      </c>
      <c r="S770" s="2">
        <f t="shared" ref="S770:S833" si="348">VLOOKUP(C770,技能辅助查询表,8,FALSE)</f>
        <v>50</v>
      </c>
      <c r="T770" s="2">
        <f t="shared" ref="T770:T833" si="349">VLOOKUP(C770,技能辅助查询表,11,FALSE)</f>
        <v>215.21739130434784</v>
      </c>
      <c r="U770" s="2">
        <f ca="1">VLOOKUP(E770,金币生产率!$A$2:$B$120,2,0)</f>
        <v>104</v>
      </c>
      <c r="V770" s="2">
        <f t="shared" ref="V770:V833" si="350">VLOOKUP(C770,技能辅助查询表,12,FALSE)</f>
        <v>215.21739130434784</v>
      </c>
      <c r="W770" s="45">
        <f t="shared" ca="1" si="334"/>
        <v>9</v>
      </c>
      <c r="X770" s="48">
        <f t="shared" ca="1" si="335"/>
        <v>26</v>
      </c>
      <c r="Y770">
        <f t="shared" ref="Y770:Y833" si="351">VLOOKUP(C770,技能辅助查询表,15,FALSE)</f>
        <v>18</v>
      </c>
      <c r="Z770">
        <f t="shared" ca="1" si="329"/>
        <v>0</v>
      </c>
      <c r="AA770" t="str">
        <f t="shared" ca="1" si="330"/>
        <v>9213100.png</v>
      </c>
      <c r="AB770">
        <f t="shared" ref="AB770:AB833" si="352">VLOOKUP(C770,技能辅助查询表,17,FALSE)</f>
        <v>20</v>
      </c>
      <c r="AC770">
        <f>VLOOKUP(C770,技能辅助查询表,技能配置辅助表!$W$1,FALSE)</f>
        <v>22</v>
      </c>
      <c r="AD770">
        <f t="shared" ca="1" si="331"/>
        <v>4.1632957010400258</v>
      </c>
      <c r="AE770">
        <f>VLOOKUP(C770,技能辅助查询表,技能配置辅助表!$U$1,FALSE)</f>
        <v>1</v>
      </c>
      <c r="AF770">
        <f t="shared" ca="1" si="332"/>
        <v>9213103</v>
      </c>
      <c r="AG770">
        <f t="shared" ca="1" si="336"/>
        <v>8.0612244897959187</v>
      </c>
      <c r="AH770">
        <f t="shared" ca="1" si="333"/>
        <v>17.108415423248271</v>
      </c>
      <c r="AI770">
        <f ca="1">VLOOKUP(E770,伤害参考系!$C$4:$E$104,3,FALSE)*$AN$12</f>
        <v>177.55434782608697</v>
      </c>
      <c r="AJ770">
        <f>VLOOKUP(C770,技能辅助查询表,技能配置辅助表!$L$1,FALSE)</f>
        <v>1</v>
      </c>
      <c r="AK770">
        <f>VLOOKUP(C770,技能辅助查询表,技能配置辅助表!$AE$1,FALSE)</f>
        <v>66000289</v>
      </c>
    </row>
    <row r="771" spans="1:37" x14ac:dyDescent="0.15">
      <c r="A771" s="1">
        <f t="shared" ref="A771:A834" ca="1" si="353">IF(I771=0,IF(H771=1,VALUE("9"&amp;D771&amp;J771&amp;O771&amp;G771&amp;IF(I771&gt;9,I771,"0"&amp;I771)),1),VALUE("9"&amp;D771&amp;J771&amp;O771&amp;G771&amp;IF(I771&gt;9,I771,"0"&amp;I771)))</f>
        <v>9213104</v>
      </c>
      <c r="B771" s="1" t="str">
        <f t="shared" ca="1" si="338"/>
        <v>裂地诀</v>
      </c>
      <c r="C771" t="s">
        <v>166</v>
      </c>
      <c r="D771">
        <f t="shared" si="339"/>
        <v>2</v>
      </c>
      <c r="E771" s="42">
        <f t="shared" ref="E771:E834" ca="1" si="354">IF(I771=0,E772,IF(AND(I771=1,G771&gt;1),OFFSET(E771,(1-G771)*51,0),IF(OR(I771=1,AND(I771=2,R771=2)),R771,IF(I771=0,0,ROUND(I771*(80-R771)/S771,0)+R771))))</f>
        <v>11</v>
      </c>
      <c r="F771" t="str">
        <f t="shared" ref="F771:F834" ca="1" si="355">"第"&amp;I771&amp;"级，共造成"&amp;ROUND(AJ771*K771,1)&amp;"%点伤害"</f>
        <v>第4级，共造成223.8%点伤害</v>
      </c>
      <c r="G771">
        <f t="shared" ref="G771:G834" ca="1" si="356">IF(I771=0,0,H771)</f>
        <v>1</v>
      </c>
      <c r="H771">
        <f t="shared" si="340"/>
        <v>1</v>
      </c>
      <c r="I771" s="44">
        <f t="shared" ca="1" si="337"/>
        <v>4</v>
      </c>
      <c r="J771">
        <f t="shared" si="341"/>
        <v>1</v>
      </c>
      <c r="K771" s="36">
        <f t="shared" ca="1" si="342"/>
        <v>223.82608695652175</v>
      </c>
      <c r="L771" s="10">
        <f ca="1">AH771*VLOOKUP(C771,技能辅助查询表,技能配置辅助表!$T$1,FALSE)</f>
        <v>0</v>
      </c>
      <c r="M771">
        <f t="shared" ca="1" si="343"/>
        <v>9600</v>
      </c>
      <c r="N771" s="33">
        <f ca="1">CHOOSE(1,W771*U771,X771*'[1]0、经济设定'!$C$18)</f>
        <v>1100</v>
      </c>
      <c r="O771">
        <f t="shared" si="344"/>
        <v>3</v>
      </c>
      <c r="P771">
        <f t="shared" si="345"/>
        <v>1</v>
      </c>
      <c r="Q771">
        <f t="shared" si="346"/>
        <v>1</v>
      </c>
      <c r="R771" s="2">
        <f t="shared" si="347"/>
        <v>5</v>
      </c>
      <c r="S771" s="2">
        <f t="shared" si="348"/>
        <v>50</v>
      </c>
      <c r="T771" s="2">
        <f t="shared" si="349"/>
        <v>215.21739130434784</v>
      </c>
      <c r="U771" s="2">
        <f ca="1">VLOOKUP(E771,金币生产率!$A$2:$B$120,2,0)</f>
        <v>110</v>
      </c>
      <c r="V771" s="2">
        <f t="shared" si="350"/>
        <v>215.21739130434784</v>
      </c>
      <c r="W771" s="45">
        <f t="shared" ca="1" si="334"/>
        <v>10</v>
      </c>
      <c r="X771" s="48">
        <f t="shared" ca="1" si="335"/>
        <v>36</v>
      </c>
      <c r="Y771">
        <f t="shared" si="351"/>
        <v>18</v>
      </c>
      <c r="Z771">
        <f t="shared" ref="Z771:Z834" ca="1" si="357">IF(I771&gt;=Y771,ROUNDUP(W771/$AN$15,0),0)</f>
        <v>0</v>
      </c>
      <c r="AA771" t="str">
        <f t="shared" ref="AA771:AA834" ca="1" si="358">AF771-MOD(AF771,100)&amp;".png"</f>
        <v>9213100.png</v>
      </c>
      <c r="AB771">
        <f t="shared" si="352"/>
        <v>20</v>
      </c>
      <c r="AC771">
        <f>VLOOKUP(C771,技能辅助查询表,技能配置辅助表!$W$1,FALSE)</f>
        <v>22</v>
      </c>
      <c r="AD771">
        <f t="shared" ref="AD771:AD834" ca="1" si="359">((AH771*K771/100+L771)*AJ771-AH771)/5</f>
        <v>4.8236959587591777</v>
      </c>
      <c r="AE771">
        <f>VLOOKUP(C771,技能辅助查询表,技能配置辅助表!$U$1,FALSE)</f>
        <v>1</v>
      </c>
      <c r="AF771">
        <f t="shared" ref="AF771:AF834" ca="1" si="360">VALUE("9"&amp;D771&amp;J771&amp;O771&amp;H771&amp;IF(I771&gt;9,I771,"0"&amp;I771))</f>
        <v>9213104</v>
      </c>
      <c r="AG771">
        <f t="shared" ca="1" si="336"/>
        <v>9.591836734693878</v>
      </c>
      <c r="AH771">
        <f t="shared" ref="AH771:AH834" ca="1" si="361">(19.323*EXP(I771*0.1297))*$AN$12</f>
        <v>19.477704889652582</v>
      </c>
      <c r="AI771">
        <f ca="1">VLOOKUP(E771,伤害参考系!$C$4:$E$104,3,FALSE)*$AN$12</f>
        <v>212.08059782608694</v>
      </c>
      <c r="AJ771">
        <f>VLOOKUP(C771,技能辅助查询表,技能配置辅助表!$L$1,FALSE)</f>
        <v>1</v>
      </c>
      <c r="AK771">
        <f>VLOOKUP(C771,技能辅助查询表,技能配置辅助表!$AE$1,FALSE)</f>
        <v>66000289</v>
      </c>
    </row>
    <row r="772" spans="1:37" x14ac:dyDescent="0.15">
      <c r="A772" s="1">
        <f t="shared" ca="1" si="353"/>
        <v>9213105</v>
      </c>
      <c r="B772" s="1" t="str">
        <f t="shared" ca="1" si="338"/>
        <v>裂地诀</v>
      </c>
      <c r="C772" t="s">
        <v>166</v>
      </c>
      <c r="D772">
        <f t="shared" si="339"/>
        <v>2</v>
      </c>
      <c r="E772" s="42">
        <f t="shared" ca="1" si="354"/>
        <v>13</v>
      </c>
      <c r="F772" t="str">
        <f t="shared" ca="1" si="355"/>
        <v>第5级，共造成226%点伤害</v>
      </c>
      <c r="G772">
        <f t="shared" ca="1" si="356"/>
        <v>1</v>
      </c>
      <c r="H772">
        <f t="shared" si="340"/>
        <v>1</v>
      </c>
      <c r="I772" s="44">
        <f t="shared" ca="1" si="337"/>
        <v>5</v>
      </c>
      <c r="J772">
        <f t="shared" si="341"/>
        <v>1</v>
      </c>
      <c r="K772" s="36">
        <f t="shared" ca="1" si="342"/>
        <v>225.97826086956525</v>
      </c>
      <c r="L772" s="10">
        <f ca="1">AH772*VLOOKUP(C772,技能辅助查询表,技能配置辅助表!$T$1,FALSE)</f>
        <v>0</v>
      </c>
      <c r="M772">
        <f t="shared" ca="1" si="343"/>
        <v>9500</v>
      </c>
      <c r="N772" s="33">
        <f ca="1">CHOOSE(1,W772*U772,X772*'[1]0、经济设定'!$C$18)</f>
        <v>1342</v>
      </c>
      <c r="O772">
        <f t="shared" si="344"/>
        <v>3</v>
      </c>
      <c r="P772">
        <f t="shared" si="345"/>
        <v>1</v>
      </c>
      <c r="Q772">
        <f t="shared" si="346"/>
        <v>1</v>
      </c>
      <c r="R772" s="2">
        <f t="shared" si="347"/>
        <v>5</v>
      </c>
      <c r="S772" s="2">
        <f t="shared" si="348"/>
        <v>50</v>
      </c>
      <c r="T772" s="2">
        <f t="shared" si="349"/>
        <v>215.21739130434784</v>
      </c>
      <c r="U772" s="2">
        <f ca="1">VLOOKUP(E772,金币生产率!$A$2:$B$120,2,0)</f>
        <v>122</v>
      </c>
      <c r="V772" s="2">
        <f t="shared" si="350"/>
        <v>215.21739130434784</v>
      </c>
      <c r="W772" s="45">
        <f t="shared" ref="W772:W835" ca="1" si="362">ROUND((IF(I772=0,0,ROUND(OFFSET(AD772,S772-I772+510*(1-D772),0)*(1-$AN$13)/(1-$AN$13^S772)*$AN$13^(I772-1),0))+IF(I772=0,0,ROUND(OFFSET(AD772,S772-I772+510*(2-D772),0)*(1-$AN$13)/(1-$AN$13^S772)*$AN$13^(I772-1),0))+IF(I772=0,0,ROUND(OFFSET(AD772,S772-I772+510*(3-D772),0)*(1-$AN$13)/(1-$AN$13^S772)*$AN$13^(I772-1),0)))/3,0)</f>
        <v>11</v>
      </c>
      <c r="X772" s="48">
        <f t="shared" ref="X772:X835" ca="1" si="363">IF(I772=0,0,X771+W772)</f>
        <v>47</v>
      </c>
      <c r="Y772">
        <f t="shared" si="351"/>
        <v>18</v>
      </c>
      <c r="Z772">
        <f t="shared" ca="1" si="357"/>
        <v>0</v>
      </c>
      <c r="AA772" t="str">
        <f t="shared" ca="1" si="358"/>
        <v>9213100.png</v>
      </c>
      <c r="AB772">
        <f t="shared" si="352"/>
        <v>20</v>
      </c>
      <c r="AC772">
        <f>VLOOKUP(C772,技能辅助查询表,技能配置辅助表!$W$1,FALSE)</f>
        <v>22</v>
      </c>
      <c r="AD772">
        <f t="shared" ca="1" si="359"/>
        <v>5.5871634939486459</v>
      </c>
      <c r="AE772">
        <f>VLOOKUP(C772,技能辅助查询表,技能配置辅助表!$U$1,FALSE)</f>
        <v>1</v>
      </c>
      <c r="AF772">
        <f t="shared" ca="1" si="360"/>
        <v>9213105</v>
      </c>
      <c r="AG772">
        <f t="shared" ca="1" si="336"/>
        <v>11.122448979591837</v>
      </c>
      <c r="AH772">
        <f t="shared" ca="1" si="361"/>
        <v>22.175109639485559</v>
      </c>
      <c r="AI772">
        <f ca="1">VLOOKUP(E772,伤害参考系!$C$4:$E$104,3,FALSE)*$AN$12</f>
        <v>288.46124999999995</v>
      </c>
      <c r="AJ772">
        <f>VLOOKUP(C772,技能辅助查询表,技能配置辅助表!$L$1,FALSE)</f>
        <v>1</v>
      </c>
      <c r="AK772">
        <f>VLOOKUP(C772,技能辅助查询表,技能配置辅助表!$AE$1,FALSE)</f>
        <v>66000289</v>
      </c>
    </row>
    <row r="773" spans="1:37" x14ac:dyDescent="0.15">
      <c r="A773" s="1">
        <f t="shared" ca="1" si="353"/>
        <v>9213106</v>
      </c>
      <c r="B773" s="1" t="str">
        <f t="shared" ca="1" si="338"/>
        <v>裂地诀</v>
      </c>
      <c r="C773" t="s">
        <v>166</v>
      </c>
      <c r="D773">
        <f t="shared" si="339"/>
        <v>2</v>
      </c>
      <c r="E773" s="42">
        <f t="shared" ca="1" si="354"/>
        <v>14</v>
      </c>
      <c r="F773" t="str">
        <f t="shared" ca="1" si="355"/>
        <v>第6级，共造成228.1%点伤害</v>
      </c>
      <c r="G773">
        <f t="shared" ca="1" si="356"/>
        <v>1</v>
      </c>
      <c r="H773">
        <f t="shared" si="340"/>
        <v>1</v>
      </c>
      <c r="I773" s="44">
        <f t="shared" ca="1" si="337"/>
        <v>6</v>
      </c>
      <c r="J773">
        <f t="shared" si="341"/>
        <v>1</v>
      </c>
      <c r="K773" s="36">
        <f t="shared" ca="1" si="342"/>
        <v>228.13043478260872</v>
      </c>
      <c r="L773" s="10">
        <f ca="1">AH773*VLOOKUP(C773,技能辅助查询表,技能配置辅助表!$T$1,FALSE)</f>
        <v>0</v>
      </c>
      <c r="M773">
        <f t="shared" ca="1" si="343"/>
        <v>9400</v>
      </c>
      <c r="N773" s="33">
        <f ca="1">CHOOSE(1,W773*U773,X773*'[1]0、经济设定'!$C$18)</f>
        <v>1408</v>
      </c>
      <c r="O773">
        <f t="shared" si="344"/>
        <v>3</v>
      </c>
      <c r="P773">
        <f t="shared" si="345"/>
        <v>1</v>
      </c>
      <c r="Q773">
        <f t="shared" si="346"/>
        <v>1</v>
      </c>
      <c r="R773" s="2">
        <f t="shared" si="347"/>
        <v>5</v>
      </c>
      <c r="S773" s="2">
        <f t="shared" si="348"/>
        <v>50</v>
      </c>
      <c r="T773" s="2">
        <f t="shared" si="349"/>
        <v>215.21739130434784</v>
      </c>
      <c r="U773" s="2">
        <f ca="1">VLOOKUP(E773,金币生产率!$A$2:$B$120,2,0)</f>
        <v>128</v>
      </c>
      <c r="V773" s="2">
        <f t="shared" si="350"/>
        <v>215.21739130434784</v>
      </c>
      <c r="W773" s="45">
        <f t="shared" ca="1" si="362"/>
        <v>11</v>
      </c>
      <c r="X773" s="48">
        <f t="shared" ca="1" si="363"/>
        <v>58</v>
      </c>
      <c r="Y773">
        <f t="shared" si="351"/>
        <v>18</v>
      </c>
      <c r="Z773">
        <f t="shared" ca="1" si="357"/>
        <v>0</v>
      </c>
      <c r="AA773" t="str">
        <f t="shared" ca="1" si="358"/>
        <v>9213100.png</v>
      </c>
      <c r="AB773">
        <f t="shared" si="352"/>
        <v>20</v>
      </c>
      <c r="AC773">
        <f>VLOOKUP(C773,技能辅助查询表,技能配置辅助表!$W$1,FALSE)</f>
        <v>22</v>
      </c>
      <c r="AD773">
        <f t="shared" ca="1" si="359"/>
        <v>6.4695796728964812</v>
      </c>
      <c r="AE773">
        <f>VLOOKUP(C773,技能辅助查询表,技能配置辅助表!$U$1,FALSE)</f>
        <v>1</v>
      </c>
      <c r="AF773">
        <f t="shared" ca="1" si="360"/>
        <v>9213106</v>
      </c>
      <c r="AG773">
        <f t="shared" ref="AG773:AG836" ca="1" si="364">IF(I773=1,R773,IF(I773=0,0,(I773-1)*(80-R773)/(S773-1)+R773))</f>
        <v>12.653061224489797</v>
      </c>
      <c r="AH773">
        <f t="shared" ca="1" si="361"/>
        <v>25.246069303803697</v>
      </c>
      <c r="AI773">
        <f ca="1">VLOOKUP(E773,伤害参考系!$C$4:$E$104,3,FALSE)*$AN$12</f>
        <v>330.31565217391307</v>
      </c>
      <c r="AJ773">
        <f>VLOOKUP(C773,技能辅助查询表,技能配置辅助表!$L$1,FALSE)</f>
        <v>1</v>
      </c>
      <c r="AK773">
        <f>VLOOKUP(C773,技能辅助查询表,技能配置辅助表!$AE$1,FALSE)</f>
        <v>66000289</v>
      </c>
    </row>
    <row r="774" spans="1:37" x14ac:dyDescent="0.15">
      <c r="A774" s="1">
        <f t="shared" ca="1" si="353"/>
        <v>9213107</v>
      </c>
      <c r="B774" s="1" t="str">
        <f t="shared" ca="1" si="338"/>
        <v>裂地诀</v>
      </c>
      <c r="C774" t="s">
        <v>166</v>
      </c>
      <c r="D774">
        <f t="shared" si="339"/>
        <v>2</v>
      </c>
      <c r="E774" s="42">
        <f t="shared" ca="1" si="354"/>
        <v>16</v>
      </c>
      <c r="F774" t="str">
        <f t="shared" ca="1" si="355"/>
        <v>第7级，共造成230.3%点伤害</v>
      </c>
      <c r="G774">
        <f t="shared" ca="1" si="356"/>
        <v>1</v>
      </c>
      <c r="H774">
        <f t="shared" si="340"/>
        <v>1</v>
      </c>
      <c r="I774" s="44">
        <f t="shared" ca="1" si="337"/>
        <v>7</v>
      </c>
      <c r="J774">
        <f t="shared" si="341"/>
        <v>1</v>
      </c>
      <c r="K774" s="36">
        <f t="shared" ca="1" si="342"/>
        <v>230.28260869565219</v>
      </c>
      <c r="L774" s="10">
        <f ca="1">AH774*VLOOKUP(C774,技能辅助查询表,技能配置辅助表!$T$1,FALSE)</f>
        <v>0</v>
      </c>
      <c r="M774">
        <f t="shared" ca="1" si="343"/>
        <v>9300</v>
      </c>
      <c r="N774" s="33">
        <f ca="1">CHOOSE(1,W774*U774,X774*'[1]0、经济设定'!$C$18)</f>
        <v>1680</v>
      </c>
      <c r="O774">
        <f t="shared" si="344"/>
        <v>3</v>
      </c>
      <c r="P774">
        <f t="shared" si="345"/>
        <v>1</v>
      </c>
      <c r="Q774">
        <f t="shared" si="346"/>
        <v>1</v>
      </c>
      <c r="R774" s="2">
        <f t="shared" si="347"/>
        <v>5</v>
      </c>
      <c r="S774" s="2">
        <f t="shared" si="348"/>
        <v>50</v>
      </c>
      <c r="T774" s="2">
        <f t="shared" si="349"/>
        <v>215.21739130434784</v>
      </c>
      <c r="U774" s="2">
        <f ca="1">VLOOKUP(E774,金币生产率!$A$2:$B$120,2,0)</f>
        <v>140</v>
      </c>
      <c r="V774" s="2">
        <f t="shared" si="350"/>
        <v>215.21739130434784</v>
      </c>
      <c r="W774" s="45">
        <f t="shared" ca="1" si="362"/>
        <v>12</v>
      </c>
      <c r="X774" s="48">
        <f t="shared" ca="1" si="363"/>
        <v>70</v>
      </c>
      <c r="Y774">
        <f t="shared" si="351"/>
        <v>18</v>
      </c>
      <c r="Z774">
        <f t="shared" ca="1" si="357"/>
        <v>0</v>
      </c>
      <c r="AA774" t="str">
        <f t="shared" ca="1" si="358"/>
        <v>9213100.png</v>
      </c>
      <c r="AB774">
        <f t="shared" si="352"/>
        <v>20</v>
      </c>
      <c r="AC774">
        <f>VLOOKUP(C774,技能辅助查询表,技能配置辅助表!$W$1,FALSE)</f>
        <v>22</v>
      </c>
      <c r="AD774">
        <f t="shared" ca="1" si="359"/>
        <v>7.4892478955935902</v>
      </c>
      <c r="AE774">
        <f>VLOOKUP(C774,技能辅助查询表,技能配置辅助表!$U$1,FALSE)</f>
        <v>1</v>
      </c>
      <c r="AF774">
        <f t="shared" ca="1" si="360"/>
        <v>9213107</v>
      </c>
      <c r="AG774">
        <f t="shared" ca="1" si="364"/>
        <v>14.183673469387756</v>
      </c>
      <c r="AH774">
        <f t="shared" ca="1" si="361"/>
        <v>28.742316302127907</v>
      </c>
      <c r="AI774">
        <f ca="1">VLOOKUP(E774,伤害参考系!$C$4:$E$104,3,FALSE)*$AN$12</f>
        <v>421.35260869565224</v>
      </c>
      <c r="AJ774">
        <f>VLOOKUP(C774,技能辅助查询表,技能配置辅助表!$L$1,FALSE)</f>
        <v>1</v>
      </c>
      <c r="AK774">
        <f>VLOOKUP(C774,技能辅助查询表,技能配置辅助表!$AE$1,FALSE)</f>
        <v>66000289</v>
      </c>
    </row>
    <row r="775" spans="1:37" x14ac:dyDescent="0.15">
      <c r="A775" s="1">
        <f t="shared" ca="1" si="353"/>
        <v>9213108</v>
      </c>
      <c r="B775" s="1" t="str">
        <f t="shared" ca="1" si="338"/>
        <v>裂地诀</v>
      </c>
      <c r="C775" t="s">
        <v>166</v>
      </c>
      <c r="D775">
        <f t="shared" si="339"/>
        <v>2</v>
      </c>
      <c r="E775" s="42">
        <f t="shared" ca="1" si="354"/>
        <v>17</v>
      </c>
      <c r="F775" t="str">
        <f t="shared" ca="1" si="355"/>
        <v>第8级，共造成232.4%点伤害</v>
      </c>
      <c r="G775">
        <f t="shared" ca="1" si="356"/>
        <v>1</v>
      </c>
      <c r="H775">
        <f t="shared" si="340"/>
        <v>1</v>
      </c>
      <c r="I775" s="44">
        <f t="shared" ca="1" si="337"/>
        <v>8</v>
      </c>
      <c r="J775">
        <f t="shared" si="341"/>
        <v>1</v>
      </c>
      <c r="K775" s="36">
        <f t="shared" ca="1" si="342"/>
        <v>232.43478260869568</v>
      </c>
      <c r="L775" s="10">
        <f ca="1">AH775*VLOOKUP(C775,技能辅助查询表,技能配置辅助表!$T$1,FALSE)</f>
        <v>0</v>
      </c>
      <c r="M775">
        <f t="shared" ca="1" si="343"/>
        <v>9200</v>
      </c>
      <c r="N775" s="33">
        <f ca="1">CHOOSE(1,W775*U775,X775*'[1]0、经济设定'!$C$18)</f>
        <v>1898</v>
      </c>
      <c r="O775">
        <f t="shared" si="344"/>
        <v>3</v>
      </c>
      <c r="P775">
        <f t="shared" si="345"/>
        <v>1</v>
      </c>
      <c r="Q775">
        <f t="shared" si="346"/>
        <v>1</v>
      </c>
      <c r="R775" s="2">
        <f t="shared" si="347"/>
        <v>5</v>
      </c>
      <c r="S775" s="2">
        <f t="shared" si="348"/>
        <v>50</v>
      </c>
      <c r="T775" s="2">
        <f t="shared" si="349"/>
        <v>215.21739130434784</v>
      </c>
      <c r="U775" s="2">
        <f ca="1">VLOOKUP(E775,金币生产率!$A$2:$B$120,2,0)</f>
        <v>146</v>
      </c>
      <c r="V775" s="2">
        <f t="shared" si="350"/>
        <v>215.21739130434784</v>
      </c>
      <c r="W775" s="45">
        <f t="shared" ca="1" si="362"/>
        <v>13</v>
      </c>
      <c r="X775" s="48">
        <f t="shared" ca="1" si="363"/>
        <v>83</v>
      </c>
      <c r="Y775">
        <f t="shared" si="351"/>
        <v>18</v>
      </c>
      <c r="Z775">
        <f t="shared" ca="1" si="357"/>
        <v>0</v>
      </c>
      <c r="AA775" t="str">
        <f t="shared" ca="1" si="358"/>
        <v>9213100.png</v>
      </c>
      <c r="AB775">
        <f t="shared" si="352"/>
        <v>20</v>
      </c>
      <c r="AC775">
        <f>VLOOKUP(C775,技能辅助查询表,技能配置辅助表!$W$1,FALSE)</f>
        <v>22</v>
      </c>
      <c r="AD775">
        <f t="shared" ca="1" si="359"/>
        <v>8.6672598528488987</v>
      </c>
      <c r="AE775">
        <f>VLOOKUP(C775,技能辅助查询表,技能配置辅助表!$U$1,FALSE)</f>
        <v>1</v>
      </c>
      <c r="AF775">
        <f t="shared" ca="1" si="360"/>
        <v>9213108</v>
      </c>
      <c r="AG775">
        <f t="shared" ca="1" si="364"/>
        <v>15.714285714285714</v>
      </c>
      <c r="AH775">
        <f t="shared" ca="1" si="361"/>
        <v>32.722747310493212</v>
      </c>
      <c r="AI775">
        <f ca="1">VLOOKUP(E775,伤害参考系!$C$4:$E$104,3,FALSE)*$AN$12</f>
        <v>470.53516304347824</v>
      </c>
      <c r="AJ775">
        <f>VLOOKUP(C775,技能辅助查询表,技能配置辅助表!$L$1,FALSE)</f>
        <v>1</v>
      </c>
      <c r="AK775">
        <f>VLOOKUP(C775,技能辅助查询表,技能配置辅助表!$AE$1,FALSE)</f>
        <v>66000289</v>
      </c>
    </row>
    <row r="776" spans="1:37" x14ac:dyDescent="0.15">
      <c r="A776" s="1">
        <f t="shared" ca="1" si="353"/>
        <v>9213109</v>
      </c>
      <c r="B776" s="1" t="str">
        <f t="shared" ca="1" si="338"/>
        <v>裂地诀</v>
      </c>
      <c r="C776" t="s">
        <v>166</v>
      </c>
      <c r="D776">
        <f t="shared" si="339"/>
        <v>2</v>
      </c>
      <c r="E776" s="42">
        <f t="shared" ca="1" si="354"/>
        <v>19</v>
      </c>
      <c r="F776" t="str">
        <f t="shared" ca="1" si="355"/>
        <v>第9级，共造成234.6%点伤害</v>
      </c>
      <c r="G776">
        <f t="shared" ca="1" si="356"/>
        <v>1</v>
      </c>
      <c r="H776">
        <f t="shared" si="340"/>
        <v>1</v>
      </c>
      <c r="I776" s="44">
        <f t="shared" ca="1" si="337"/>
        <v>9</v>
      </c>
      <c r="J776">
        <f t="shared" si="341"/>
        <v>1</v>
      </c>
      <c r="K776" s="36">
        <f t="shared" ca="1" si="342"/>
        <v>234.58695652173915</v>
      </c>
      <c r="L776" s="10">
        <f ca="1">AH776*VLOOKUP(C776,技能辅助查询表,技能配置辅助表!$T$1,FALSE)</f>
        <v>0</v>
      </c>
      <c r="M776">
        <f t="shared" ca="1" si="343"/>
        <v>9100</v>
      </c>
      <c r="N776" s="33">
        <f ca="1">CHOOSE(1,W776*U776,X776*'[1]0、经济设定'!$C$18)</f>
        <v>2212</v>
      </c>
      <c r="O776">
        <f t="shared" si="344"/>
        <v>3</v>
      </c>
      <c r="P776">
        <f t="shared" si="345"/>
        <v>1</v>
      </c>
      <c r="Q776">
        <f t="shared" si="346"/>
        <v>1</v>
      </c>
      <c r="R776" s="2">
        <f t="shared" si="347"/>
        <v>5</v>
      </c>
      <c r="S776" s="2">
        <f t="shared" si="348"/>
        <v>50</v>
      </c>
      <c r="T776" s="2">
        <f t="shared" si="349"/>
        <v>215.21739130434784</v>
      </c>
      <c r="U776" s="2">
        <f ca="1">VLOOKUP(E776,金币生产率!$A$2:$B$120,2,0)</f>
        <v>158</v>
      </c>
      <c r="V776" s="2">
        <f t="shared" si="350"/>
        <v>215.21739130434784</v>
      </c>
      <c r="W776" s="45">
        <f t="shared" ca="1" si="362"/>
        <v>14</v>
      </c>
      <c r="X776" s="48">
        <f t="shared" ca="1" si="363"/>
        <v>97</v>
      </c>
      <c r="Y776">
        <f t="shared" si="351"/>
        <v>18</v>
      </c>
      <c r="Z776">
        <f t="shared" ca="1" si="357"/>
        <v>0</v>
      </c>
      <c r="AA776" t="str">
        <f t="shared" ca="1" si="358"/>
        <v>9213100.png</v>
      </c>
      <c r="AB776">
        <f t="shared" si="352"/>
        <v>20</v>
      </c>
      <c r="AC776">
        <f>VLOOKUP(C776,技能辅助查询表,技能配置辅助表!$W$1,FALSE)</f>
        <v>22</v>
      </c>
      <c r="AD776">
        <f t="shared" ca="1" si="359"/>
        <v>10.02791677575487</v>
      </c>
      <c r="AE776">
        <f>VLOOKUP(C776,技能辅助查询表,技能配置辅助表!$U$1,FALSE)</f>
        <v>1</v>
      </c>
      <c r="AF776">
        <f t="shared" ca="1" si="360"/>
        <v>9213109</v>
      </c>
      <c r="AG776">
        <f t="shared" ca="1" si="364"/>
        <v>17.244897959183675</v>
      </c>
      <c r="AH776">
        <f t="shared" ca="1" si="361"/>
        <v>37.25441541630785</v>
      </c>
      <c r="AI776">
        <f ca="1">VLOOKUP(E776,伤害参考系!$C$4:$E$104,3,FALSE)*$AN$12</f>
        <v>576.22842391304346</v>
      </c>
      <c r="AJ776">
        <f>VLOOKUP(C776,技能辅助查询表,技能配置辅助表!$L$1,FALSE)</f>
        <v>1</v>
      </c>
      <c r="AK776">
        <f>VLOOKUP(C776,技能辅助查询表,技能配置辅助表!$AE$1,FALSE)</f>
        <v>66000289</v>
      </c>
    </row>
    <row r="777" spans="1:37" x14ac:dyDescent="0.15">
      <c r="A777" s="1">
        <f t="shared" ca="1" si="353"/>
        <v>9213110</v>
      </c>
      <c r="B777" s="1" t="str">
        <f t="shared" ca="1" si="338"/>
        <v>裂地诀</v>
      </c>
      <c r="C777" t="s">
        <v>166</v>
      </c>
      <c r="D777">
        <f t="shared" si="339"/>
        <v>2</v>
      </c>
      <c r="E777" s="42">
        <f t="shared" ca="1" si="354"/>
        <v>20</v>
      </c>
      <c r="F777" t="str">
        <f t="shared" ca="1" si="355"/>
        <v>第10级，共造成236.7%点伤害</v>
      </c>
      <c r="G777">
        <f t="shared" ca="1" si="356"/>
        <v>1</v>
      </c>
      <c r="H777">
        <f t="shared" si="340"/>
        <v>1</v>
      </c>
      <c r="I777" s="44">
        <f t="shared" ca="1" si="337"/>
        <v>10</v>
      </c>
      <c r="J777">
        <f t="shared" si="341"/>
        <v>1</v>
      </c>
      <c r="K777" s="36">
        <f t="shared" ca="1" si="342"/>
        <v>236.73913043478262</v>
      </c>
      <c r="L777" s="10">
        <f ca="1">AH777*VLOOKUP(C777,技能辅助查询表,技能配置辅助表!$T$1,FALSE)</f>
        <v>0</v>
      </c>
      <c r="M777">
        <f t="shared" ca="1" si="343"/>
        <v>9000</v>
      </c>
      <c r="N777" s="33">
        <f ca="1">CHOOSE(1,W777*U777,X777*'[1]0、经济设定'!$C$18)</f>
        <v>2730</v>
      </c>
      <c r="O777">
        <f t="shared" si="344"/>
        <v>3</v>
      </c>
      <c r="P777">
        <f t="shared" si="345"/>
        <v>1</v>
      </c>
      <c r="Q777">
        <f t="shared" si="346"/>
        <v>1</v>
      </c>
      <c r="R777" s="2">
        <f t="shared" si="347"/>
        <v>5</v>
      </c>
      <c r="S777" s="2">
        <f t="shared" si="348"/>
        <v>50</v>
      </c>
      <c r="T777" s="2">
        <f t="shared" si="349"/>
        <v>215.21739130434784</v>
      </c>
      <c r="U777" s="2">
        <f ca="1">VLOOKUP(E777,金币生产率!$A$2:$B$120,2,0)</f>
        <v>182</v>
      </c>
      <c r="V777" s="2">
        <f t="shared" si="350"/>
        <v>215.21739130434784</v>
      </c>
      <c r="W777" s="45">
        <f t="shared" ca="1" si="362"/>
        <v>15</v>
      </c>
      <c r="X777" s="48">
        <f t="shared" ca="1" si="363"/>
        <v>112</v>
      </c>
      <c r="Y777">
        <f t="shared" si="351"/>
        <v>18</v>
      </c>
      <c r="Z777">
        <f t="shared" ca="1" si="357"/>
        <v>0</v>
      </c>
      <c r="AA777" t="str">
        <f t="shared" ca="1" si="358"/>
        <v>9213100.png</v>
      </c>
      <c r="AB777">
        <f t="shared" si="352"/>
        <v>20</v>
      </c>
      <c r="AC777">
        <f>VLOOKUP(C777,技能辅助查询表,技能配置辅助表!$W$1,FALSE)</f>
        <v>22</v>
      </c>
      <c r="AD777">
        <f t="shared" ca="1" si="359"/>
        <v>11.599213884636102</v>
      </c>
      <c r="AE777">
        <f>VLOOKUP(C777,技能辅助查询表,技能配置辅助表!$U$1,FALSE)</f>
        <v>1</v>
      </c>
      <c r="AF777">
        <f t="shared" ca="1" si="360"/>
        <v>9213110</v>
      </c>
      <c r="AG777">
        <f t="shared" ca="1" si="364"/>
        <v>18.775510204081634</v>
      </c>
      <c r="AH777">
        <f t="shared" ca="1" si="361"/>
        <v>42.413659673550121</v>
      </c>
      <c r="AI777">
        <f ca="1">VLOOKUP(E777,伤害参考系!$C$4:$E$104,3,FALSE)*$AN$12</f>
        <v>632.73913043478262</v>
      </c>
      <c r="AJ777">
        <f>VLOOKUP(C777,技能辅助查询表,技能配置辅助表!$L$1,FALSE)</f>
        <v>1</v>
      </c>
      <c r="AK777">
        <f>VLOOKUP(C777,技能辅助查询表,技能配置辅助表!$AE$1,FALSE)</f>
        <v>66000289</v>
      </c>
    </row>
    <row r="778" spans="1:37" x14ac:dyDescent="0.15">
      <c r="A778" s="1">
        <f t="shared" ca="1" si="353"/>
        <v>9213111</v>
      </c>
      <c r="B778" s="1" t="str">
        <f t="shared" ca="1" si="338"/>
        <v>裂地诀</v>
      </c>
      <c r="C778" t="s">
        <v>166</v>
      </c>
      <c r="D778">
        <f t="shared" si="339"/>
        <v>2</v>
      </c>
      <c r="E778" s="42">
        <f t="shared" ca="1" si="354"/>
        <v>22</v>
      </c>
      <c r="F778" t="str">
        <f t="shared" ca="1" si="355"/>
        <v>第11级，共造成238.9%点伤害</v>
      </c>
      <c r="G778">
        <f t="shared" ca="1" si="356"/>
        <v>1</v>
      </c>
      <c r="H778">
        <f t="shared" si="340"/>
        <v>1</v>
      </c>
      <c r="I778" s="44">
        <f t="shared" ca="1" si="337"/>
        <v>11</v>
      </c>
      <c r="J778">
        <f t="shared" si="341"/>
        <v>1</v>
      </c>
      <c r="K778" s="36">
        <f t="shared" ca="1" si="342"/>
        <v>238.89130434782612</v>
      </c>
      <c r="L778" s="10">
        <f ca="1">AH778*VLOOKUP(C778,技能辅助查询表,技能配置辅助表!$T$1,FALSE)</f>
        <v>0</v>
      </c>
      <c r="M778">
        <f t="shared" ca="1" si="343"/>
        <v>8900</v>
      </c>
      <c r="N778" s="33">
        <f ca="1">CHOOSE(1,W778*U778,X778*'[1]0、经济设定'!$C$18)</f>
        <v>3824</v>
      </c>
      <c r="O778">
        <f t="shared" si="344"/>
        <v>3</v>
      </c>
      <c r="P778">
        <f t="shared" si="345"/>
        <v>1</v>
      </c>
      <c r="Q778">
        <f t="shared" si="346"/>
        <v>1</v>
      </c>
      <c r="R778" s="2">
        <f t="shared" si="347"/>
        <v>5</v>
      </c>
      <c r="S778" s="2">
        <f t="shared" si="348"/>
        <v>50</v>
      </c>
      <c r="T778" s="2">
        <f t="shared" si="349"/>
        <v>215.21739130434784</v>
      </c>
      <c r="U778" s="2">
        <f ca="1">VLOOKUP(E778,金币生产率!$A$2:$B$120,2,0)</f>
        <v>239</v>
      </c>
      <c r="V778" s="2">
        <f t="shared" si="350"/>
        <v>215.21739130434784</v>
      </c>
      <c r="W778" s="45">
        <f t="shared" ca="1" si="362"/>
        <v>16</v>
      </c>
      <c r="X778" s="48">
        <f t="shared" ca="1" si="363"/>
        <v>128</v>
      </c>
      <c r="Y778">
        <f t="shared" si="351"/>
        <v>18</v>
      </c>
      <c r="Z778">
        <f t="shared" ca="1" si="357"/>
        <v>0</v>
      </c>
      <c r="AA778" t="str">
        <f t="shared" ca="1" si="358"/>
        <v>9213100.png</v>
      </c>
      <c r="AB778">
        <f t="shared" si="352"/>
        <v>20</v>
      </c>
      <c r="AC778">
        <f>VLOOKUP(C778,技能辅助查询表,技能配置辅助表!$W$1,FALSE)</f>
        <v>22</v>
      </c>
      <c r="AD778">
        <f t="shared" ca="1" si="359"/>
        <v>13.4133974630968</v>
      </c>
      <c r="AE778">
        <f>VLOOKUP(C778,技能辅助查询表,技能配置辅助表!$U$1,FALSE)</f>
        <v>1</v>
      </c>
      <c r="AF778">
        <f t="shared" ca="1" si="360"/>
        <v>9213111</v>
      </c>
      <c r="AG778">
        <f t="shared" ca="1" si="364"/>
        <v>20.306122448979593</v>
      </c>
      <c r="AH778">
        <f t="shared" ca="1" si="361"/>
        <v>48.287391086433935</v>
      </c>
      <c r="AI778">
        <f ca="1">VLOOKUP(E778,伤害参考系!$C$4:$E$104,3,FALSE)*$AN$12</f>
        <v>753.08869565217401</v>
      </c>
      <c r="AJ778">
        <f>VLOOKUP(C778,技能辅助查询表,技能配置辅助表!$L$1,FALSE)</f>
        <v>1</v>
      </c>
      <c r="AK778">
        <f>VLOOKUP(C778,技能辅助查询表,技能配置辅助表!$AE$1,FALSE)</f>
        <v>66000289</v>
      </c>
    </row>
    <row r="779" spans="1:37" x14ac:dyDescent="0.15">
      <c r="A779" s="1">
        <f t="shared" ca="1" si="353"/>
        <v>9213112</v>
      </c>
      <c r="B779" s="1" t="str">
        <f t="shared" ca="1" si="338"/>
        <v>裂地诀</v>
      </c>
      <c r="C779" t="s">
        <v>166</v>
      </c>
      <c r="D779">
        <f t="shared" si="339"/>
        <v>2</v>
      </c>
      <c r="E779" s="42">
        <f t="shared" ca="1" si="354"/>
        <v>23</v>
      </c>
      <c r="F779" t="str">
        <f t="shared" ca="1" si="355"/>
        <v>第12级，共造成241%点伤害</v>
      </c>
      <c r="G779">
        <f t="shared" ca="1" si="356"/>
        <v>1</v>
      </c>
      <c r="H779">
        <f t="shared" si="340"/>
        <v>1</v>
      </c>
      <c r="I779" s="44">
        <f t="shared" ca="1" si="337"/>
        <v>12</v>
      </c>
      <c r="J779">
        <f t="shared" si="341"/>
        <v>1</v>
      </c>
      <c r="K779" s="36">
        <f t="shared" ca="1" si="342"/>
        <v>241.04347826086959</v>
      </c>
      <c r="L779" s="10">
        <f ca="1">AH779*VLOOKUP(C779,技能辅助查询表,技能配置辅助表!$T$1,FALSE)</f>
        <v>0</v>
      </c>
      <c r="M779">
        <f t="shared" ca="1" si="343"/>
        <v>8800</v>
      </c>
      <c r="N779" s="33">
        <f ca="1">CHOOSE(1,W779*U779,X779*'[1]0、经济设定'!$C$18)</f>
        <v>4590</v>
      </c>
      <c r="O779">
        <f t="shared" si="344"/>
        <v>3</v>
      </c>
      <c r="P779">
        <f t="shared" si="345"/>
        <v>1</v>
      </c>
      <c r="Q779">
        <f t="shared" si="346"/>
        <v>1</v>
      </c>
      <c r="R779" s="2">
        <f t="shared" si="347"/>
        <v>5</v>
      </c>
      <c r="S779" s="2">
        <f t="shared" si="348"/>
        <v>50</v>
      </c>
      <c r="T779" s="2">
        <f t="shared" si="349"/>
        <v>215.21739130434784</v>
      </c>
      <c r="U779" s="2">
        <f ca="1">VLOOKUP(E779,金币生产率!$A$2:$B$120,2,0)</f>
        <v>270</v>
      </c>
      <c r="V779" s="2">
        <f t="shared" si="350"/>
        <v>215.21739130434784</v>
      </c>
      <c r="W779" s="45">
        <f t="shared" ca="1" si="362"/>
        <v>17</v>
      </c>
      <c r="X779" s="48">
        <f t="shared" ca="1" si="363"/>
        <v>145</v>
      </c>
      <c r="Y779">
        <f t="shared" si="351"/>
        <v>18</v>
      </c>
      <c r="Z779">
        <f t="shared" ca="1" si="357"/>
        <v>0</v>
      </c>
      <c r="AA779" t="str">
        <f t="shared" ca="1" si="358"/>
        <v>9213100.png</v>
      </c>
      <c r="AB779">
        <f t="shared" si="352"/>
        <v>20</v>
      </c>
      <c r="AC779">
        <f>VLOOKUP(C779,技能辅助查询表,技能配置辅助表!$W$1,FALSE)</f>
        <v>22</v>
      </c>
      <c r="AD779">
        <f t="shared" ca="1" si="359"/>
        <v>15.507605381352544</v>
      </c>
      <c r="AE779">
        <f>VLOOKUP(C779,技能辅助查询表,技能配置辅助表!$U$1,FALSE)</f>
        <v>1</v>
      </c>
      <c r="AF779">
        <f t="shared" ca="1" si="360"/>
        <v>9213112</v>
      </c>
      <c r="AG779">
        <f t="shared" ca="1" si="364"/>
        <v>21.836734693877553</v>
      </c>
      <c r="AH779">
        <f t="shared" ca="1" si="361"/>
        <v>54.974556684819426</v>
      </c>
      <c r="AI779">
        <f ca="1">VLOOKUP(E779,伤害参考系!$C$4:$E$104,3,FALSE)*$AN$12</f>
        <v>832.15832357859551</v>
      </c>
      <c r="AJ779">
        <f>VLOOKUP(C779,技能辅助查询表,技能配置辅助表!$L$1,FALSE)</f>
        <v>1</v>
      </c>
      <c r="AK779">
        <f>VLOOKUP(C779,技能辅助查询表,技能配置辅助表!$AE$1,FALSE)</f>
        <v>66000289</v>
      </c>
    </row>
    <row r="780" spans="1:37" x14ac:dyDescent="0.15">
      <c r="A780" s="1">
        <f t="shared" ca="1" si="353"/>
        <v>9213113</v>
      </c>
      <c r="B780" s="1" t="str">
        <f t="shared" ca="1" si="338"/>
        <v>裂地诀</v>
      </c>
      <c r="C780" t="s">
        <v>166</v>
      </c>
      <c r="D780">
        <f t="shared" si="339"/>
        <v>2</v>
      </c>
      <c r="E780" s="42">
        <f t="shared" ca="1" si="354"/>
        <v>25</v>
      </c>
      <c r="F780" t="str">
        <f t="shared" ca="1" si="355"/>
        <v>第13级，共造成243.2%点伤害</v>
      </c>
      <c r="G780">
        <f t="shared" ca="1" si="356"/>
        <v>1</v>
      </c>
      <c r="H780">
        <f t="shared" si="340"/>
        <v>1</v>
      </c>
      <c r="I780" s="44">
        <f t="shared" ref="I780:I843" ca="1" si="365">IF(OFFSET(C780,-1,0)=C780,I779+1,0)</f>
        <v>13</v>
      </c>
      <c r="J780">
        <f t="shared" si="341"/>
        <v>1</v>
      </c>
      <c r="K780" s="36">
        <f t="shared" ca="1" si="342"/>
        <v>243.19565217391306</v>
      </c>
      <c r="L780" s="10">
        <f ca="1">AH780*VLOOKUP(C780,技能辅助查询表,技能配置辅助表!$T$1,FALSE)</f>
        <v>0</v>
      </c>
      <c r="M780">
        <f t="shared" ca="1" si="343"/>
        <v>8700</v>
      </c>
      <c r="N780" s="33">
        <f ca="1">CHOOSE(1,W780*U780,X780*'[1]0、经济设定'!$C$18)</f>
        <v>6030</v>
      </c>
      <c r="O780">
        <f t="shared" si="344"/>
        <v>3</v>
      </c>
      <c r="P780">
        <f t="shared" si="345"/>
        <v>1</v>
      </c>
      <c r="Q780">
        <f t="shared" si="346"/>
        <v>1</v>
      </c>
      <c r="R780" s="2">
        <f t="shared" si="347"/>
        <v>5</v>
      </c>
      <c r="S780" s="2">
        <f t="shared" si="348"/>
        <v>50</v>
      </c>
      <c r="T780" s="2">
        <f t="shared" si="349"/>
        <v>215.21739130434784</v>
      </c>
      <c r="U780" s="2">
        <f ca="1">VLOOKUP(E780,金币生产率!$A$2:$B$120,2,0)</f>
        <v>335</v>
      </c>
      <c r="V780" s="2">
        <f t="shared" si="350"/>
        <v>215.21739130434784</v>
      </c>
      <c r="W780" s="45">
        <f t="shared" ca="1" si="362"/>
        <v>18</v>
      </c>
      <c r="X780" s="48">
        <f t="shared" ca="1" si="363"/>
        <v>163</v>
      </c>
      <c r="Y780">
        <f t="shared" si="351"/>
        <v>18</v>
      </c>
      <c r="Z780">
        <f t="shared" ca="1" si="357"/>
        <v>0</v>
      </c>
      <c r="AA780" t="str">
        <f t="shared" ca="1" si="358"/>
        <v>9213100.png</v>
      </c>
      <c r="AB780">
        <f t="shared" si="352"/>
        <v>20</v>
      </c>
      <c r="AC780">
        <f>VLOOKUP(C780,技能辅助查询表,技能配置辅助表!$W$1,FALSE)</f>
        <v>22</v>
      </c>
      <c r="AD780">
        <f t="shared" ca="1" si="359"/>
        <v>17.924603498197804</v>
      </c>
      <c r="AE780">
        <f>VLOOKUP(C780,技能辅助查询表,技能配置辅助表!$U$1,FALSE)</f>
        <v>1</v>
      </c>
      <c r="AF780">
        <f t="shared" ca="1" si="360"/>
        <v>9213113</v>
      </c>
      <c r="AG780">
        <f t="shared" ca="1" si="364"/>
        <v>23.367346938775512</v>
      </c>
      <c r="AH780">
        <f t="shared" ca="1" si="361"/>
        <v>62.587806354721323</v>
      </c>
      <c r="AI780">
        <f ca="1">VLOOKUP(E780,伤害参考系!$C$4:$E$104,3,FALSE)*$AN$12</f>
        <v>1000.3949623745822</v>
      </c>
      <c r="AJ780">
        <f>VLOOKUP(C780,技能辅助查询表,技能配置辅助表!$L$1,FALSE)</f>
        <v>1</v>
      </c>
      <c r="AK780">
        <f>VLOOKUP(C780,技能辅助查询表,技能配置辅助表!$AE$1,FALSE)</f>
        <v>66000289</v>
      </c>
    </row>
    <row r="781" spans="1:37" x14ac:dyDescent="0.15">
      <c r="A781" s="1">
        <f t="shared" ca="1" si="353"/>
        <v>9213114</v>
      </c>
      <c r="B781" s="1" t="str">
        <f t="shared" ca="1" si="338"/>
        <v>裂地诀</v>
      </c>
      <c r="C781" t="s">
        <v>166</v>
      </c>
      <c r="D781">
        <f t="shared" si="339"/>
        <v>2</v>
      </c>
      <c r="E781" s="42">
        <f t="shared" ca="1" si="354"/>
        <v>26</v>
      </c>
      <c r="F781" t="str">
        <f t="shared" ca="1" si="355"/>
        <v>第14级，共造成245.3%点伤害</v>
      </c>
      <c r="G781">
        <f t="shared" ca="1" si="356"/>
        <v>1</v>
      </c>
      <c r="H781">
        <f t="shared" si="340"/>
        <v>1</v>
      </c>
      <c r="I781" s="44">
        <f t="shared" ca="1" si="365"/>
        <v>14</v>
      </c>
      <c r="J781">
        <f t="shared" si="341"/>
        <v>1</v>
      </c>
      <c r="K781" s="36">
        <f t="shared" ca="1" si="342"/>
        <v>245.34782608695653</v>
      </c>
      <c r="L781" s="10">
        <f ca="1">AH781*VLOOKUP(C781,技能辅助查询表,技能配置辅助表!$T$1,FALSE)</f>
        <v>0</v>
      </c>
      <c r="M781">
        <f t="shared" ca="1" si="343"/>
        <v>8600</v>
      </c>
      <c r="N781" s="33">
        <f ca="1">CHOOSE(1,W781*U781,X781*'[1]0、经济设定'!$C$18)</f>
        <v>7030</v>
      </c>
      <c r="O781">
        <f t="shared" si="344"/>
        <v>3</v>
      </c>
      <c r="P781">
        <f t="shared" si="345"/>
        <v>1</v>
      </c>
      <c r="Q781">
        <f t="shared" si="346"/>
        <v>1</v>
      </c>
      <c r="R781" s="2">
        <f t="shared" si="347"/>
        <v>5</v>
      </c>
      <c r="S781" s="2">
        <f t="shared" si="348"/>
        <v>50</v>
      </c>
      <c r="T781" s="2">
        <f t="shared" si="349"/>
        <v>215.21739130434784</v>
      </c>
      <c r="U781" s="2">
        <f ca="1">VLOOKUP(E781,金币生产率!$A$2:$B$120,2,0)</f>
        <v>370</v>
      </c>
      <c r="V781" s="2">
        <f t="shared" si="350"/>
        <v>215.21739130434784</v>
      </c>
      <c r="W781" s="45">
        <f t="shared" ca="1" si="362"/>
        <v>19</v>
      </c>
      <c r="X781" s="48">
        <f t="shared" ca="1" si="363"/>
        <v>182</v>
      </c>
      <c r="Y781">
        <f t="shared" si="351"/>
        <v>18</v>
      </c>
      <c r="Z781">
        <f t="shared" ca="1" si="357"/>
        <v>0</v>
      </c>
      <c r="AA781" t="str">
        <f t="shared" ca="1" si="358"/>
        <v>9213100.png</v>
      </c>
      <c r="AB781">
        <f t="shared" si="352"/>
        <v>20</v>
      </c>
      <c r="AC781">
        <f>VLOOKUP(C781,技能辅助查询表,技能配置辅助表!$W$1,FALSE)</f>
        <v>22</v>
      </c>
      <c r="AD781">
        <f t="shared" ca="1" si="359"/>
        <v>20.713632213123439</v>
      </c>
      <c r="AE781">
        <f>VLOOKUP(C781,技能辅助查询表,技能配置辅助表!$U$1,FALSE)</f>
        <v>1</v>
      </c>
      <c r="AF781">
        <f t="shared" ca="1" si="360"/>
        <v>9213114</v>
      </c>
      <c r="AG781">
        <f t="shared" ca="1" si="364"/>
        <v>24.897959183673468</v>
      </c>
      <c r="AH781">
        <f t="shared" ca="1" si="361"/>
        <v>71.25539050281769</v>
      </c>
      <c r="AI781">
        <f ca="1">VLOOKUP(E781,伤害参考系!$C$4:$E$104,3,FALSE)*$AN$12</f>
        <v>1103.3859732441474</v>
      </c>
      <c r="AJ781">
        <f>VLOOKUP(C781,技能辅助查询表,技能配置辅助表!$L$1,FALSE)</f>
        <v>1</v>
      </c>
      <c r="AK781">
        <f>VLOOKUP(C781,技能辅助查询表,技能配置辅助表!$AE$1,FALSE)</f>
        <v>66000289</v>
      </c>
    </row>
    <row r="782" spans="1:37" x14ac:dyDescent="0.15">
      <c r="A782" s="1">
        <f t="shared" ca="1" si="353"/>
        <v>9213115</v>
      </c>
      <c r="B782" s="1" t="str">
        <f t="shared" ca="1" si="338"/>
        <v>裂地诀</v>
      </c>
      <c r="C782" t="s">
        <v>166</v>
      </c>
      <c r="D782">
        <f t="shared" si="339"/>
        <v>2</v>
      </c>
      <c r="E782" s="42">
        <f t="shared" ca="1" si="354"/>
        <v>28</v>
      </c>
      <c r="F782" t="str">
        <f t="shared" ca="1" si="355"/>
        <v>第15级，共造成247.5%点伤害</v>
      </c>
      <c r="G782">
        <f t="shared" ca="1" si="356"/>
        <v>1</v>
      </c>
      <c r="H782">
        <f t="shared" si="340"/>
        <v>1</v>
      </c>
      <c r="I782" s="44">
        <f t="shared" ca="1" si="365"/>
        <v>15</v>
      </c>
      <c r="J782">
        <f t="shared" si="341"/>
        <v>1</v>
      </c>
      <c r="K782" s="36">
        <f t="shared" ca="1" si="342"/>
        <v>247.50000000000003</v>
      </c>
      <c r="L782" s="10">
        <f ca="1">AH782*VLOOKUP(C782,技能辅助查询表,技能配置辅助表!$T$1,FALSE)</f>
        <v>0</v>
      </c>
      <c r="M782">
        <f t="shared" ca="1" si="343"/>
        <v>8500</v>
      </c>
      <c r="N782" s="33">
        <f ca="1">CHOOSE(1,W782*U782,X782*'[1]0、经济设定'!$C$18)</f>
        <v>8860</v>
      </c>
      <c r="O782">
        <f t="shared" si="344"/>
        <v>3</v>
      </c>
      <c r="P782">
        <f t="shared" si="345"/>
        <v>1</v>
      </c>
      <c r="Q782">
        <f t="shared" si="346"/>
        <v>1</v>
      </c>
      <c r="R782" s="2">
        <f t="shared" si="347"/>
        <v>5</v>
      </c>
      <c r="S782" s="2">
        <f t="shared" si="348"/>
        <v>50</v>
      </c>
      <c r="T782" s="2">
        <f t="shared" si="349"/>
        <v>215.21739130434784</v>
      </c>
      <c r="U782" s="2">
        <f ca="1">VLOOKUP(E782,金币生产率!$A$2:$B$120,2,0)</f>
        <v>443</v>
      </c>
      <c r="V782" s="2">
        <f t="shared" si="350"/>
        <v>215.21739130434784</v>
      </c>
      <c r="W782" s="45">
        <f t="shared" ca="1" si="362"/>
        <v>20</v>
      </c>
      <c r="X782" s="48">
        <f t="shared" ca="1" si="363"/>
        <v>202</v>
      </c>
      <c r="Y782">
        <f t="shared" si="351"/>
        <v>18</v>
      </c>
      <c r="Z782">
        <f t="shared" ca="1" si="357"/>
        <v>0</v>
      </c>
      <c r="AA782" t="str">
        <f t="shared" ca="1" si="358"/>
        <v>9213100.png</v>
      </c>
      <c r="AB782">
        <f t="shared" si="352"/>
        <v>20</v>
      </c>
      <c r="AC782">
        <f>VLOOKUP(C782,技能辅助查询表,技能配置辅助表!$W$1,FALSE)</f>
        <v>22</v>
      </c>
      <c r="AD782">
        <f t="shared" ca="1" si="359"/>
        <v>23.9313795541131</v>
      </c>
      <c r="AE782">
        <f>VLOOKUP(C782,技能辅助查询表,技能配置辅助表!$U$1,FALSE)</f>
        <v>1</v>
      </c>
      <c r="AF782">
        <f t="shared" ca="1" si="360"/>
        <v>9213115</v>
      </c>
      <c r="AG782">
        <f t="shared" ca="1" si="364"/>
        <v>26.428571428571427</v>
      </c>
      <c r="AH782">
        <f t="shared" ca="1" si="361"/>
        <v>81.123320522417259</v>
      </c>
      <c r="AI782">
        <f ca="1">VLOOKUP(E782,伤害参考系!$C$4:$E$104,3,FALSE)*$AN$12</f>
        <v>1321.7693779264216</v>
      </c>
      <c r="AJ782">
        <f>VLOOKUP(C782,技能辅助查询表,技能配置辅助表!$L$1,FALSE)</f>
        <v>1</v>
      </c>
      <c r="AK782">
        <f>VLOOKUP(C782,技能辅助查询表,技能配置辅助表!$AE$1,FALSE)</f>
        <v>66000289</v>
      </c>
    </row>
    <row r="783" spans="1:37" x14ac:dyDescent="0.15">
      <c r="A783" s="1">
        <f t="shared" ca="1" si="353"/>
        <v>9213116</v>
      </c>
      <c r="B783" s="1" t="str">
        <f t="shared" ca="1" si="338"/>
        <v>裂地诀</v>
      </c>
      <c r="C783" t="s">
        <v>166</v>
      </c>
      <c r="D783">
        <f t="shared" si="339"/>
        <v>2</v>
      </c>
      <c r="E783" s="42">
        <f t="shared" ca="1" si="354"/>
        <v>29</v>
      </c>
      <c r="F783" t="str">
        <f t="shared" ca="1" si="355"/>
        <v>第16级，共造成249.7%点伤害</v>
      </c>
      <c r="G783">
        <f t="shared" ca="1" si="356"/>
        <v>1</v>
      </c>
      <c r="H783">
        <f t="shared" si="340"/>
        <v>1</v>
      </c>
      <c r="I783" s="44">
        <f t="shared" ca="1" si="365"/>
        <v>16</v>
      </c>
      <c r="J783">
        <f t="shared" si="341"/>
        <v>1</v>
      </c>
      <c r="K783" s="36">
        <f t="shared" ca="1" si="342"/>
        <v>249.6521739130435</v>
      </c>
      <c r="L783" s="10">
        <f ca="1">AH783*VLOOKUP(C783,技能辅助查询表,技能配置辅助表!$T$1,FALSE)</f>
        <v>0</v>
      </c>
      <c r="M783">
        <f t="shared" ca="1" si="343"/>
        <v>8400</v>
      </c>
      <c r="N783" s="33">
        <f ca="1">CHOOSE(1,W783*U783,X783*'[1]0、经济设定'!$C$18)</f>
        <v>10604</v>
      </c>
      <c r="O783">
        <f t="shared" si="344"/>
        <v>3</v>
      </c>
      <c r="P783">
        <f t="shared" si="345"/>
        <v>1</v>
      </c>
      <c r="Q783">
        <f t="shared" si="346"/>
        <v>1</v>
      </c>
      <c r="R783" s="2">
        <f t="shared" si="347"/>
        <v>5</v>
      </c>
      <c r="S783" s="2">
        <f t="shared" si="348"/>
        <v>50</v>
      </c>
      <c r="T783" s="2">
        <f t="shared" si="349"/>
        <v>215.21739130434784</v>
      </c>
      <c r="U783" s="2">
        <f ca="1">VLOOKUP(E783,金币生产率!$A$2:$B$120,2,0)</f>
        <v>482</v>
      </c>
      <c r="V783" s="2">
        <f t="shared" si="350"/>
        <v>215.21739130434784</v>
      </c>
      <c r="W783" s="45">
        <f t="shared" ca="1" si="362"/>
        <v>22</v>
      </c>
      <c r="X783" s="48">
        <f t="shared" ca="1" si="363"/>
        <v>224</v>
      </c>
      <c r="Y783">
        <f t="shared" si="351"/>
        <v>18</v>
      </c>
      <c r="Z783">
        <f t="shared" ca="1" si="357"/>
        <v>0</v>
      </c>
      <c r="AA783" t="str">
        <f t="shared" ca="1" si="358"/>
        <v>9213100.png</v>
      </c>
      <c r="AB783">
        <f t="shared" si="352"/>
        <v>20</v>
      </c>
      <c r="AC783">
        <f>VLOOKUP(C783,技能辅助查询表,技能配置辅助表!$W$1,FALSE)</f>
        <v>22</v>
      </c>
      <c r="AD783">
        <f t="shared" ca="1" si="359"/>
        <v>27.643099612481603</v>
      </c>
      <c r="AE783">
        <f>VLOOKUP(C783,技能辅助查询表,技能配置辅助表!$U$1,FALSE)</f>
        <v>1</v>
      </c>
      <c r="AF783">
        <f t="shared" ca="1" si="360"/>
        <v>9213116</v>
      </c>
      <c r="AG783">
        <f t="shared" ca="1" si="364"/>
        <v>27.959183673469386</v>
      </c>
      <c r="AH783">
        <f t="shared" ca="1" si="361"/>
        <v>92.357828455414989</v>
      </c>
      <c r="AI783">
        <f ca="1">VLOOKUP(E783,伤害参考系!$C$4:$E$104,3,FALSE)*$AN$12</f>
        <v>1437.1617717391309</v>
      </c>
      <c r="AJ783">
        <f>VLOOKUP(C783,技能辅助查询表,技能配置辅助表!$L$1,FALSE)</f>
        <v>1</v>
      </c>
      <c r="AK783">
        <f>VLOOKUP(C783,技能辅助查询表,技能配置辅助表!$AE$1,FALSE)</f>
        <v>66000289</v>
      </c>
    </row>
    <row r="784" spans="1:37" x14ac:dyDescent="0.15">
      <c r="A784" s="1">
        <f t="shared" ca="1" si="353"/>
        <v>9213117</v>
      </c>
      <c r="B784" s="1" t="str">
        <f t="shared" ca="1" si="338"/>
        <v>裂地诀</v>
      </c>
      <c r="C784" t="s">
        <v>166</v>
      </c>
      <c r="D784">
        <f t="shared" si="339"/>
        <v>2</v>
      </c>
      <c r="E784" s="42">
        <f t="shared" ca="1" si="354"/>
        <v>31</v>
      </c>
      <c r="F784" t="str">
        <f t="shared" ca="1" si="355"/>
        <v>第17级，共造成251.8%点伤害</v>
      </c>
      <c r="G784">
        <f t="shared" ca="1" si="356"/>
        <v>1</v>
      </c>
      <c r="H784">
        <f t="shared" si="340"/>
        <v>1</v>
      </c>
      <c r="I784" s="44">
        <f t="shared" ca="1" si="365"/>
        <v>17</v>
      </c>
      <c r="J784">
        <f t="shared" si="341"/>
        <v>1</v>
      </c>
      <c r="K784" s="36">
        <f t="shared" ca="1" si="342"/>
        <v>251.80434782608697</v>
      </c>
      <c r="L784" s="10">
        <f ca="1">AH784*VLOOKUP(C784,技能辅助查询表,技能配置辅助表!$T$1,FALSE)</f>
        <v>0</v>
      </c>
      <c r="M784">
        <f t="shared" ca="1" si="343"/>
        <v>8300</v>
      </c>
      <c r="N784" s="33">
        <f ca="1">CHOOSE(1,W784*U784,X784*'[1]0、经济设定'!$C$18)</f>
        <v>13512</v>
      </c>
      <c r="O784">
        <f t="shared" si="344"/>
        <v>3</v>
      </c>
      <c r="P784">
        <f t="shared" si="345"/>
        <v>1</v>
      </c>
      <c r="Q784">
        <f t="shared" si="346"/>
        <v>1</v>
      </c>
      <c r="R784" s="2">
        <f t="shared" si="347"/>
        <v>5</v>
      </c>
      <c r="S784" s="2">
        <f t="shared" si="348"/>
        <v>50</v>
      </c>
      <c r="T784" s="2">
        <f t="shared" si="349"/>
        <v>215.21739130434784</v>
      </c>
      <c r="U784" s="2">
        <f ca="1">VLOOKUP(E784,金币生产率!$A$2:$B$120,2,0)</f>
        <v>563</v>
      </c>
      <c r="V784" s="2">
        <f t="shared" si="350"/>
        <v>215.21739130434784</v>
      </c>
      <c r="W784" s="45">
        <f t="shared" ca="1" si="362"/>
        <v>24</v>
      </c>
      <c r="X784" s="48">
        <f t="shared" ca="1" si="363"/>
        <v>248</v>
      </c>
      <c r="Y784">
        <f t="shared" si="351"/>
        <v>18</v>
      </c>
      <c r="Z784">
        <f t="shared" ca="1" si="357"/>
        <v>0</v>
      </c>
      <c r="AA784" t="str">
        <f t="shared" ca="1" si="358"/>
        <v>9213100.png</v>
      </c>
      <c r="AB784">
        <f t="shared" si="352"/>
        <v>20</v>
      </c>
      <c r="AC784">
        <f>VLOOKUP(C784,技能辅助查询表,技能配置辅助表!$W$1,FALSE)</f>
        <v>22</v>
      </c>
      <c r="AD784">
        <f t="shared" ca="1" si="359"/>
        <v>31.92389791959322</v>
      </c>
      <c r="AE784">
        <f>VLOOKUP(C784,技能辅助查询表,技能配置辅助表!$U$1,FALSE)</f>
        <v>1</v>
      </c>
      <c r="AF784">
        <f t="shared" ca="1" si="360"/>
        <v>9213117</v>
      </c>
      <c r="AG784">
        <f t="shared" ca="1" si="364"/>
        <v>29.489795918367346</v>
      </c>
      <c r="AH784">
        <f t="shared" ca="1" si="361"/>
        <v>105.14816728492683</v>
      </c>
      <c r="AI784">
        <f ca="1">VLOOKUP(E784,伤害参考系!$C$4:$E$104,3,FALSE)*$AN$12</f>
        <v>1721.3320384615388</v>
      </c>
      <c r="AJ784">
        <f>VLOOKUP(C784,技能辅助查询表,技能配置辅助表!$L$1,FALSE)</f>
        <v>1</v>
      </c>
      <c r="AK784">
        <f>VLOOKUP(C784,技能辅助查询表,技能配置辅助表!$AE$1,FALSE)</f>
        <v>66000289</v>
      </c>
    </row>
    <row r="785" spans="1:37" x14ac:dyDescent="0.15">
      <c r="A785" s="1">
        <f t="shared" ca="1" si="353"/>
        <v>9213118</v>
      </c>
      <c r="B785" s="1" t="str">
        <f t="shared" ca="1" si="338"/>
        <v>裂地诀</v>
      </c>
      <c r="C785" t="s">
        <v>166</v>
      </c>
      <c r="D785">
        <f t="shared" si="339"/>
        <v>2</v>
      </c>
      <c r="E785" s="42">
        <f t="shared" ca="1" si="354"/>
        <v>32</v>
      </c>
      <c r="F785" t="str">
        <f t="shared" ca="1" si="355"/>
        <v>第18级，共造成254%点伤害</v>
      </c>
      <c r="G785">
        <f t="shared" ca="1" si="356"/>
        <v>1</v>
      </c>
      <c r="H785">
        <f t="shared" si="340"/>
        <v>1</v>
      </c>
      <c r="I785" s="44">
        <f t="shared" ca="1" si="365"/>
        <v>18</v>
      </c>
      <c r="J785">
        <f t="shared" si="341"/>
        <v>1</v>
      </c>
      <c r="K785" s="36">
        <f t="shared" ca="1" si="342"/>
        <v>253.95652173913044</v>
      </c>
      <c r="L785" s="10">
        <f ca="1">AH785*VLOOKUP(C785,技能辅助查询表,技能配置辅助表!$T$1,FALSE)</f>
        <v>0</v>
      </c>
      <c r="M785">
        <f t="shared" ca="1" si="343"/>
        <v>8200</v>
      </c>
      <c r="N785" s="33">
        <f ca="1">CHOOSE(1,W785*U785,X785*'[1]0、经济设定'!$C$18)</f>
        <v>15150</v>
      </c>
      <c r="O785">
        <f t="shared" si="344"/>
        <v>3</v>
      </c>
      <c r="P785">
        <f t="shared" si="345"/>
        <v>1</v>
      </c>
      <c r="Q785">
        <f t="shared" si="346"/>
        <v>1</v>
      </c>
      <c r="R785" s="2">
        <f t="shared" si="347"/>
        <v>5</v>
      </c>
      <c r="S785" s="2">
        <f t="shared" si="348"/>
        <v>50</v>
      </c>
      <c r="T785" s="2">
        <f t="shared" si="349"/>
        <v>215.21739130434784</v>
      </c>
      <c r="U785" s="2">
        <f ca="1">VLOOKUP(E785,金币生产率!$A$2:$B$120,2,0)</f>
        <v>606</v>
      </c>
      <c r="V785" s="2">
        <f t="shared" si="350"/>
        <v>215.21739130434784</v>
      </c>
      <c r="W785" s="45">
        <f t="shared" ca="1" si="362"/>
        <v>25</v>
      </c>
      <c r="X785" s="48">
        <f t="shared" ca="1" si="363"/>
        <v>273</v>
      </c>
      <c r="Y785">
        <f t="shared" si="351"/>
        <v>18</v>
      </c>
      <c r="Z785">
        <f t="shared" ca="1" si="357"/>
        <v>10</v>
      </c>
      <c r="AA785" t="str">
        <f t="shared" ca="1" si="358"/>
        <v>9213100.png</v>
      </c>
      <c r="AB785">
        <f t="shared" si="352"/>
        <v>20</v>
      </c>
      <c r="AC785">
        <f>VLOOKUP(C785,技能辅助查询表,技能配置辅助表!$W$1,FALSE)</f>
        <v>22</v>
      </c>
      <c r="AD785">
        <f t="shared" ca="1" si="359"/>
        <v>36.860208553945036</v>
      </c>
      <c r="AE785">
        <f>VLOOKUP(C785,技能辅助查询表,技能配置辅助表!$U$1,FALSE)</f>
        <v>1</v>
      </c>
      <c r="AF785">
        <f t="shared" ca="1" si="360"/>
        <v>9213118</v>
      </c>
      <c r="AG785">
        <f t="shared" ca="1" si="364"/>
        <v>31.020408163265305</v>
      </c>
      <c r="AH785">
        <f t="shared" ca="1" si="361"/>
        <v>119.70979903145096</v>
      </c>
      <c r="AI785">
        <f ca="1">VLOOKUP(E785,伤害参考系!$C$4:$E$104,3,FALSE)*$AN$12</f>
        <v>1873.3990785953181</v>
      </c>
      <c r="AJ785">
        <f>VLOOKUP(C785,技能辅助查询表,技能配置辅助表!$L$1,FALSE)</f>
        <v>1</v>
      </c>
      <c r="AK785">
        <f>VLOOKUP(C785,技能辅助查询表,技能配置辅助表!$AE$1,FALSE)</f>
        <v>66000289</v>
      </c>
    </row>
    <row r="786" spans="1:37" x14ac:dyDescent="0.15">
      <c r="A786" s="1">
        <f t="shared" ca="1" si="353"/>
        <v>9213119</v>
      </c>
      <c r="B786" s="1" t="str">
        <f t="shared" ca="1" si="338"/>
        <v>裂地诀</v>
      </c>
      <c r="C786" t="s">
        <v>166</v>
      </c>
      <c r="D786">
        <f t="shared" si="339"/>
        <v>2</v>
      </c>
      <c r="E786" s="42">
        <f t="shared" ca="1" si="354"/>
        <v>34</v>
      </c>
      <c r="F786" t="str">
        <f t="shared" ca="1" si="355"/>
        <v>第19级，共造成256.1%点伤害</v>
      </c>
      <c r="G786">
        <f t="shared" ca="1" si="356"/>
        <v>1</v>
      </c>
      <c r="H786">
        <f t="shared" si="340"/>
        <v>1</v>
      </c>
      <c r="I786" s="44">
        <f t="shared" ca="1" si="365"/>
        <v>19</v>
      </c>
      <c r="J786">
        <f t="shared" si="341"/>
        <v>1</v>
      </c>
      <c r="K786" s="36">
        <f t="shared" ca="1" si="342"/>
        <v>256.10869565217394</v>
      </c>
      <c r="L786" s="10">
        <f ca="1">AH786*VLOOKUP(C786,技能辅助查询表,技能配置辅助表!$T$1,FALSE)</f>
        <v>0</v>
      </c>
      <c r="M786">
        <f t="shared" ca="1" si="343"/>
        <v>8100</v>
      </c>
      <c r="N786" s="33">
        <f ca="1">CHOOSE(1,W786*U786,X786*'[1]0、经济设定'!$C$18)</f>
        <v>18792</v>
      </c>
      <c r="O786">
        <f t="shared" si="344"/>
        <v>3</v>
      </c>
      <c r="P786">
        <f t="shared" si="345"/>
        <v>1</v>
      </c>
      <c r="Q786">
        <f t="shared" si="346"/>
        <v>1</v>
      </c>
      <c r="R786" s="2">
        <f t="shared" si="347"/>
        <v>5</v>
      </c>
      <c r="S786" s="2">
        <f t="shared" si="348"/>
        <v>50</v>
      </c>
      <c r="T786" s="2">
        <f t="shared" si="349"/>
        <v>215.21739130434784</v>
      </c>
      <c r="U786" s="2">
        <f ca="1">VLOOKUP(E786,金币生产率!$A$2:$B$120,2,0)</f>
        <v>696</v>
      </c>
      <c r="V786" s="2">
        <f t="shared" si="350"/>
        <v>215.21739130434784</v>
      </c>
      <c r="W786" s="45">
        <f t="shared" ca="1" si="362"/>
        <v>27</v>
      </c>
      <c r="X786" s="48">
        <f t="shared" ca="1" si="363"/>
        <v>300</v>
      </c>
      <c r="Y786">
        <f t="shared" si="351"/>
        <v>18</v>
      </c>
      <c r="Z786">
        <f t="shared" ca="1" si="357"/>
        <v>11</v>
      </c>
      <c r="AA786" t="str">
        <f t="shared" ca="1" si="358"/>
        <v>9213100.png</v>
      </c>
      <c r="AB786">
        <f t="shared" si="352"/>
        <v>20</v>
      </c>
      <c r="AC786">
        <f>VLOOKUP(C786,技能辅助查询表,技能配置辅助表!$W$1,FALSE)</f>
        <v>22</v>
      </c>
      <c r="AD786">
        <f t="shared" ca="1" si="359"/>
        <v>42.551491431147106</v>
      </c>
      <c r="AE786">
        <f>VLOOKUP(C786,技能辅助查询表,技能配置辅助表!$U$1,FALSE)</f>
        <v>1</v>
      </c>
      <c r="AF786">
        <f t="shared" ca="1" si="360"/>
        <v>9213119</v>
      </c>
      <c r="AG786">
        <f t="shared" ca="1" si="364"/>
        <v>32.551020408163268</v>
      </c>
      <c r="AH786">
        <f t="shared" ca="1" si="361"/>
        <v>136.28802435822078</v>
      </c>
      <c r="AI786">
        <f ca="1">VLOOKUP(E786,伤害参考系!$C$4:$E$104,3,FALSE)*$AN$12</f>
        <v>2196.2761028428095</v>
      </c>
      <c r="AJ786">
        <f>VLOOKUP(C786,技能辅助查询表,技能配置辅助表!$L$1,FALSE)</f>
        <v>1</v>
      </c>
      <c r="AK786">
        <f>VLOOKUP(C786,技能辅助查询表,技能配置辅助表!$AE$1,FALSE)</f>
        <v>66000289</v>
      </c>
    </row>
    <row r="787" spans="1:37" x14ac:dyDescent="0.15">
      <c r="A787" s="1">
        <f t="shared" ca="1" si="353"/>
        <v>9213120</v>
      </c>
      <c r="B787" s="1" t="str">
        <f t="shared" ca="1" si="338"/>
        <v>裂地诀</v>
      </c>
      <c r="C787" t="s">
        <v>166</v>
      </c>
      <c r="D787">
        <f t="shared" si="339"/>
        <v>2</v>
      </c>
      <c r="E787" s="42">
        <f t="shared" ca="1" si="354"/>
        <v>35</v>
      </c>
      <c r="F787" t="str">
        <f t="shared" ca="1" si="355"/>
        <v>第20级，共造成258.3%点伤害</v>
      </c>
      <c r="G787">
        <f t="shared" ca="1" si="356"/>
        <v>1</v>
      </c>
      <c r="H787">
        <f t="shared" si="340"/>
        <v>1</v>
      </c>
      <c r="I787" s="44">
        <f t="shared" ca="1" si="365"/>
        <v>20</v>
      </c>
      <c r="J787">
        <f t="shared" si="341"/>
        <v>1</v>
      </c>
      <c r="K787" s="36">
        <f t="shared" ca="1" si="342"/>
        <v>258.26086956521743</v>
      </c>
      <c r="L787" s="10">
        <f ca="1">AH787*VLOOKUP(C787,技能辅助查询表,技能配置辅助表!$T$1,FALSE)</f>
        <v>0</v>
      </c>
      <c r="M787">
        <f t="shared" ca="1" si="343"/>
        <v>8000</v>
      </c>
      <c r="N787" s="33">
        <f ca="1">CHOOSE(1,W787*U787,X787*'[1]0、经济设定'!$C$18)</f>
        <v>21547</v>
      </c>
      <c r="O787">
        <f t="shared" si="344"/>
        <v>3</v>
      </c>
      <c r="P787">
        <f t="shared" si="345"/>
        <v>1</v>
      </c>
      <c r="Q787">
        <f t="shared" si="346"/>
        <v>1</v>
      </c>
      <c r="R787" s="2">
        <f t="shared" si="347"/>
        <v>5</v>
      </c>
      <c r="S787" s="2">
        <f t="shared" si="348"/>
        <v>50</v>
      </c>
      <c r="T787" s="2">
        <f t="shared" si="349"/>
        <v>215.21739130434784</v>
      </c>
      <c r="U787" s="2">
        <f ca="1">VLOOKUP(E787,金币生产率!$A$2:$B$120,2,0)</f>
        <v>743</v>
      </c>
      <c r="V787" s="2">
        <f t="shared" si="350"/>
        <v>215.21739130434784</v>
      </c>
      <c r="W787" s="45">
        <f t="shared" ca="1" si="362"/>
        <v>29</v>
      </c>
      <c r="X787" s="48">
        <f t="shared" ca="1" si="363"/>
        <v>329</v>
      </c>
      <c r="Y787">
        <f t="shared" si="351"/>
        <v>18</v>
      </c>
      <c r="Z787">
        <f t="shared" ca="1" si="357"/>
        <v>12</v>
      </c>
      <c r="AA787" t="str">
        <f t="shared" ca="1" si="358"/>
        <v>9213100.png</v>
      </c>
      <c r="AB787">
        <f t="shared" si="352"/>
        <v>20</v>
      </c>
      <c r="AC787">
        <f>VLOOKUP(C787,技能辅助查询表,技能配置辅助表!$W$1,FALSE)</f>
        <v>22</v>
      </c>
      <c r="AD787">
        <f t="shared" ca="1" si="359"/>
        <v>49.11218243281143</v>
      </c>
      <c r="AE787">
        <f>VLOOKUP(C787,技能辅助查询表,技能配置辅助表!$U$1,FALSE)</f>
        <v>1</v>
      </c>
      <c r="AF787">
        <f t="shared" ca="1" si="360"/>
        <v>9213120</v>
      </c>
      <c r="AG787">
        <f t="shared" ca="1" si="364"/>
        <v>34.08163265306122</v>
      </c>
      <c r="AH787">
        <f t="shared" ca="1" si="361"/>
        <v>155.16211482893718</v>
      </c>
      <c r="AI787">
        <f ca="1">VLOOKUP(E787,伤害参考系!$C$4:$E$104,3,FALSE)*$AN$12</f>
        <v>2367.0860869565217</v>
      </c>
      <c r="AJ787">
        <f>VLOOKUP(C787,技能辅助查询表,技能配置辅助表!$L$1,FALSE)</f>
        <v>1</v>
      </c>
      <c r="AK787">
        <f>VLOOKUP(C787,技能辅助查询表,技能配置辅助表!$AE$1,FALSE)</f>
        <v>66000289</v>
      </c>
    </row>
    <row r="788" spans="1:37" x14ac:dyDescent="0.15">
      <c r="A788" s="1">
        <f t="shared" ca="1" si="353"/>
        <v>9213121</v>
      </c>
      <c r="B788" s="1" t="str">
        <f t="shared" ca="1" si="338"/>
        <v>裂地诀</v>
      </c>
      <c r="C788" t="s">
        <v>166</v>
      </c>
      <c r="D788">
        <f t="shared" si="339"/>
        <v>2</v>
      </c>
      <c r="E788" s="42">
        <f t="shared" ca="1" si="354"/>
        <v>37</v>
      </c>
      <c r="F788" t="str">
        <f t="shared" ca="1" si="355"/>
        <v>第21级，共造成260.4%点伤害</v>
      </c>
      <c r="G788">
        <f t="shared" ca="1" si="356"/>
        <v>1</v>
      </c>
      <c r="H788">
        <f t="shared" si="340"/>
        <v>1</v>
      </c>
      <c r="I788" s="44">
        <f t="shared" ca="1" si="365"/>
        <v>21</v>
      </c>
      <c r="J788">
        <f t="shared" si="341"/>
        <v>1</v>
      </c>
      <c r="K788" s="36">
        <f t="shared" ca="1" si="342"/>
        <v>260.41304347826087</v>
      </c>
      <c r="L788" s="10">
        <f ca="1">AH788*VLOOKUP(C788,技能辅助查询表,技能配置辅助表!$T$1,FALSE)</f>
        <v>0</v>
      </c>
      <c r="M788">
        <f t="shared" ca="1" si="343"/>
        <v>7900</v>
      </c>
      <c r="N788" s="33">
        <f ca="1">CHOOSE(1,W788*U788,X788*'[1]0、经济设定'!$C$18)</f>
        <v>26071</v>
      </c>
      <c r="O788">
        <f t="shared" si="344"/>
        <v>3</v>
      </c>
      <c r="P788">
        <f t="shared" si="345"/>
        <v>1</v>
      </c>
      <c r="Q788">
        <f t="shared" si="346"/>
        <v>1</v>
      </c>
      <c r="R788" s="2">
        <f t="shared" si="347"/>
        <v>5</v>
      </c>
      <c r="S788" s="2">
        <f t="shared" si="348"/>
        <v>50</v>
      </c>
      <c r="T788" s="2">
        <f t="shared" si="349"/>
        <v>215.21739130434784</v>
      </c>
      <c r="U788" s="2">
        <f ca="1">VLOOKUP(E788,金币生产率!$A$2:$B$120,2,0)</f>
        <v>841</v>
      </c>
      <c r="V788" s="2">
        <f t="shared" si="350"/>
        <v>215.21739130434784</v>
      </c>
      <c r="W788" s="45">
        <f t="shared" ca="1" si="362"/>
        <v>31</v>
      </c>
      <c r="X788" s="48">
        <f t="shared" ca="1" si="363"/>
        <v>360</v>
      </c>
      <c r="Y788">
        <f t="shared" si="351"/>
        <v>18</v>
      </c>
      <c r="Z788">
        <f t="shared" ca="1" si="357"/>
        <v>13</v>
      </c>
      <c r="AA788" t="str">
        <f t="shared" ca="1" si="358"/>
        <v>9213100.png</v>
      </c>
      <c r="AB788">
        <f t="shared" si="352"/>
        <v>20</v>
      </c>
      <c r="AC788">
        <f>VLOOKUP(C788,技能辅助查询表,技能配置辅助表!$W$1,FALSE)</f>
        <v>22</v>
      </c>
      <c r="AD788">
        <f t="shared" ca="1" si="359"/>
        <v>56.673933852417008</v>
      </c>
      <c r="AE788">
        <f>VLOOKUP(C788,技能辅助查询表,技能配置辅助表!$U$1,FALSE)</f>
        <v>1</v>
      </c>
      <c r="AF788">
        <f t="shared" ca="1" si="360"/>
        <v>9213121</v>
      </c>
      <c r="AG788">
        <f t="shared" ca="1" si="364"/>
        <v>35.612244897959187</v>
      </c>
      <c r="AH788">
        <f t="shared" ca="1" si="361"/>
        <v>176.65001742859343</v>
      </c>
      <c r="AI788">
        <f ca="1">VLOOKUP(E788,伤害参考系!$C$4:$E$104,3,FALSE)*$AN$12</f>
        <v>2727.4489991638798</v>
      </c>
      <c r="AJ788">
        <f>VLOOKUP(C788,技能辅助查询表,技能配置辅助表!$L$1,FALSE)</f>
        <v>1</v>
      </c>
      <c r="AK788">
        <f>VLOOKUP(C788,技能辅助查询表,技能配置辅助表!$AE$1,FALSE)</f>
        <v>66000289</v>
      </c>
    </row>
    <row r="789" spans="1:37" x14ac:dyDescent="0.15">
      <c r="A789" s="1">
        <f t="shared" ca="1" si="353"/>
        <v>9213122</v>
      </c>
      <c r="B789" s="1" t="str">
        <f t="shared" ca="1" si="338"/>
        <v>裂地诀</v>
      </c>
      <c r="C789" t="s">
        <v>166</v>
      </c>
      <c r="D789">
        <f t="shared" si="339"/>
        <v>2</v>
      </c>
      <c r="E789" s="42">
        <f t="shared" ca="1" si="354"/>
        <v>38</v>
      </c>
      <c r="F789" t="str">
        <f t="shared" ca="1" si="355"/>
        <v>第22级，共造成262.6%点伤害</v>
      </c>
      <c r="G789">
        <f t="shared" ca="1" si="356"/>
        <v>1</v>
      </c>
      <c r="H789">
        <f t="shared" si="340"/>
        <v>1</v>
      </c>
      <c r="I789" s="44">
        <f t="shared" ca="1" si="365"/>
        <v>22</v>
      </c>
      <c r="J789">
        <f t="shared" si="341"/>
        <v>1</v>
      </c>
      <c r="K789" s="36">
        <f t="shared" ca="1" si="342"/>
        <v>262.56521739130437</v>
      </c>
      <c r="L789" s="10">
        <f ca="1">AH789*VLOOKUP(C789,技能辅助查询表,技能配置辅助表!$T$1,FALSE)</f>
        <v>0</v>
      </c>
      <c r="M789">
        <f t="shared" ca="1" si="343"/>
        <v>7800</v>
      </c>
      <c r="N789" s="33">
        <f ca="1">CHOOSE(1,W789*U789,X789*'[1]0、经济设定'!$C$18)</f>
        <v>29436</v>
      </c>
      <c r="O789">
        <f t="shared" si="344"/>
        <v>3</v>
      </c>
      <c r="P789">
        <f t="shared" si="345"/>
        <v>1</v>
      </c>
      <c r="Q789">
        <f t="shared" si="346"/>
        <v>1</v>
      </c>
      <c r="R789" s="2">
        <f t="shared" si="347"/>
        <v>5</v>
      </c>
      <c r="S789" s="2">
        <f t="shared" si="348"/>
        <v>50</v>
      </c>
      <c r="T789" s="2">
        <f t="shared" si="349"/>
        <v>215.21739130434784</v>
      </c>
      <c r="U789" s="2">
        <f ca="1">VLOOKUP(E789,金币生产率!$A$2:$B$120,2,0)</f>
        <v>892</v>
      </c>
      <c r="V789" s="2">
        <f t="shared" si="350"/>
        <v>215.21739130434784</v>
      </c>
      <c r="W789" s="45">
        <f t="shared" ca="1" si="362"/>
        <v>33</v>
      </c>
      <c r="X789" s="48">
        <f t="shared" ca="1" si="363"/>
        <v>393</v>
      </c>
      <c r="Y789">
        <f t="shared" si="351"/>
        <v>18</v>
      </c>
      <c r="Z789">
        <f t="shared" ca="1" si="357"/>
        <v>14</v>
      </c>
      <c r="AA789" t="str">
        <f t="shared" ca="1" si="358"/>
        <v>9213100.png</v>
      </c>
      <c r="AB789">
        <f t="shared" si="352"/>
        <v>20</v>
      </c>
      <c r="AC789">
        <f>VLOOKUP(C789,技能辅助查询表,技能配置辅助表!$W$1,FALSE)</f>
        <v>22</v>
      </c>
      <c r="AD789">
        <f t="shared" ca="1" si="359"/>
        <v>65.388188167559235</v>
      </c>
      <c r="AE789">
        <f>VLOOKUP(C789,技能辅助查询表,技能配置辅助表!$U$1,FALSE)</f>
        <v>1</v>
      </c>
      <c r="AF789">
        <f t="shared" ca="1" si="360"/>
        <v>9213122</v>
      </c>
      <c r="AG789">
        <f t="shared" ca="1" si="364"/>
        <v>37.142857142857146</v>
      </c>
      <c r="AH789">
        <f t="shared" ca="1" si="361"/>
        <v>201.11371059826985</v>
      </c>
      <c r="AI789">
        <f ca="1">VLOOKUP(E789,伤害参考系!$C$4:$E$104,3,FALSE)*$AN$12</f>
        <v>2917.001927257525</v>
      </c>
      <c r="AJ789">
        <f>VLOOKUP(C789,技能辅助查询表,技能配置辅助表!$L$1,FALSE)</f>
        <v>1</v>
      </c>
      <c r="AK789">
        <f>VLOOKUP(C789,技能辅助查询表,技能配置辅助表!$AE$1,FALSE)</f>
        <v>66000289</v>
      </c>
    </row>
    <row r="790" spans="1:37" x14ac:dyDescent="0.15">
      <c r="A790" s="1">
        <f t="shared" ca="1" si="353"/>
        <v>9213123</v>
      </c>
      <c r="B790" s="1" t="str">
        <f t="shared" ca="1" si="338"/>
        <v>裂地诀</v>
      </c>
      <c r="C790" t="s">
        <v>166</v>
      </c>
      <c r="D790">
        <f t="shared" si="339"/>
        <v>2</v>
      </c>
      <c r="E790" s="42">
        <f t="shared" ca="1" si="354"/>
        <v>40</v>
      </c>
      <c r="F790" t="str">
        <f t="shared" ca="1" si="355"/>
        <v>第23级，共造成264.7%点伤害</v>
      </c>
      <c r="G790">
        <f t="shared" ca="1" si="356"/>
        <v>1</v>
      </c>
      <c r="H790">
        <f t="shared" si="340"/>
        <v>1</v>
      </c>
      <c r="I790" s="44">
        <f t="shared" ca="1" si="365"/>
        <v>23</v>
      </c>
      <c r="J790">
        <f t="shared" si="341"/>
        <v>1</v>
      </c>
      <c r="K790" s="36">
        <f t="shared" ca="1" si="342"/>
        <v>264.71739130434787</v>
      </c>
      <c r="L790" s="10">
        <f ca="1">AH790*VLOOKUP(C790,技能辅助查询表,技能配置辅助表!$T$1,FALSE)</f>
        <v>0</v>
      </c>
      <c r="M790">
        <f t="shared" ca="1" si="343"/>
        <v>7700</v>
      </c>
      <c r="N790" s="33">
        <f ca="1">CHOOSE(1,W790*U790,X790*'[1]0、经济设定'!$C$18)</f>
        <v>35928</v>
      </c>
      <c r="O790">
        <f t="shared" si="344"/>
        <v>3</v>
      </c>
      <c r="P790">
        <f t="shared" si="345"/>
        <v>1</v>
      </c>
      <c r="Q790">
        <f t="shared" si="346"/>
        <v>1</v>
      </c>
      <c r="R790" s="2">
        <f t="shared" si="347"/>
        <v>5</v>
      </c>
      <c r="S790" s="2">
        <f t="shared" si="348"/>
        <v>50</v>
      </c>
      <c r="T790" s="2">
        <f t="shared" si="349"/>
        <v>215.21739130434784</v>
      </c>
      <c r="U790" s="2">
        <f ca="1">VLOOKUP(E790,金币生产率!$A$2:$B$120,2,0)</f>
        <v>998</v>
      </c>
      <c r="V790" s="2">
        <f t="shared" si="350"/>
        <v>215.21739130434784</v>
      </c>
      <c r="W790" s="45">
        <f t="shared" ca="1" si="362"/>
        <v>36</v>
      </c>
      <c r="X790" s="48">
        <f t="shared" ca="1" si="363"/>
        <v>429</v>
      </c>
      <c r="Y790">
        <f t="shared" si="351"/>
        <v>18</v>
      </c>
      <c r="Z790">
        <f t="shared" ca="1" si="357"/>
        <v>15</v>
      </c>
      <c r="AA790" t="str">
        <f t="shared" ca="1" si="358"/>
        <v>9213100.png</v>
      </c>
      <c r="AB790">
        <f t="shared" si="352"/>
        <v>20</v>
      </c>
      <c r="AC790">
        <f>VLOOKUP(C790,技能辅助查询表,技能配置辅助表!$W$1,FALSE)</f>
        <v>22</v>
      </c>
      <c r="AD790">
        <f t="shared" ca="1" si="359"/>
        <v>75.429134492589327</v>
      </c>
      <c r="AE790">
        <f>VLOOKUP(C790,技能辅助查询表,技能配置辅助表!$U$1,FALSE)</f>
        <v>1</v>
      </c>
      <c r="AF790">
        <f t="shared" ca="1" si="360"/>
        <v>9213123</v>
      </c>
      <c r="AG790">
        <f t="shared" ca="1" si="364"/>
        <v>38.673469387755105</v>
      </c>
      <c r="AH790">
        <f t="shared" ca="1" si="361"/>
        <v>228.96530200997151</v>
      </c>
      <c r="AI790">
        <f ca="1">VLOOKUP(E790,伤害参考系!$C$4:$E$104,3,FALSE)*$AN$12</f>
        <v>3344.7142474916404</v>
      </c>
      <c r="AJ790">
        <f>VLOOKUP(C790,技能辅助查询表,技能配置辅助表!$L$1,FALSE)</f>
        <v>1</v>
      </c>
      <c r="AK790">
        <f>VLOOKUP(C790,技能辅助查询表,技能配置辅助表!$AE$1,FALSE)</f>
        <v>66000289</v>
      </c>
    </row>
    <row r="791" spans="1:37" x14ac:dyDescent="0.15">
      <c r="A791" s="1">
        <f t="shared" ca="1" si="353"/>
        <v>9213124</v>
      </c>
      <c r="B791" s="1" t="str">
        <f t="shared" ca="1" si="338"/>
        <v>裂地诀</v>
      </c>
      <c r="C791" t="s">
        <v>166</v>
      </c>
      <c r="D791">
        <f t="shared" si="339"/>
        <v>2</v>
      </c>
      <c r="E791" s="42">
        <f t="shared" ca="1" si="354"/>
        <v>41</v>
      </c>
      <c r="F791" t="str">
        <f t="shared" ca="1" si="355"/>
        <v>第24级，共造成266.9%点伤害</v>
      </c>
      <c r="G791">
        <f t="shared" ca="1" si="356"/>
        <v>1</v>
      </c>
      <c r="H791">
        <f t="shared" si="340"/>
        <v>1</v>
      </c>
      <c r="I791" s="44">
        <f t="shared" ca="1" si="365"/>
        <v>24</v>
      </c>
      <c r="J791">
        <f t="shared" si="341"/>
        <v>1</v>
      </c>
      <c r="K791" s="36">
        <f t="shared" ca="1" si="342"/>
        <v>266.86956521739131</v>
      </c>
      <c r="L791" s="10">
        <f ca="1">AH791*VLOOKUP(C791,技能辅助查询表,技能配置辅助表!$T$1,FALSE)</f>
        <v>0</v>
      </c>
      <c r="M791">
        <f t="shared" ca="1" si="343"/>
        <v>7600</v>
      </c>
      <c r="N791" s="33">
        <f ca="1">CHOOSE(1,W791*U791,X791*'[1]0、经济设定'!$C$18)</f>
        <v>40014</v>
      </c>
      <c r="O791">
        <f t="shared" si="344"/>
        <v>3</v>
      </c>
      <c r="P791">
        <f t="shared" si="345"/>
        <v>1</v>
      </c>
      <c r="Q791">
        <f t="shared" si="346"/>
        <v>1</v>
      </c>
      <c r="R791" s="2">
        <f t="shared" si="347"/>
        <v>5</v>
      </c>
      <c r="S791" s="2">
        <f t="shared" si="348"/>
        <v>50</v>
      </c>
      <c r="T791" s="2">
        <f t="shared" si="349"/>
        <v>215.21739130434784</v>
      </c>
      <c r="U791" s="2">
        <f ca="1">VLOOKUP(E791,金币生产率!$A$2:$B$120,2,0)</f>
        <v>1053</v>
      </c>
      <c r="V791" s="2">
        <f t="shared" si="350"/>
        <v>215.21739130434784</v>
      </c>
      <c r="W791" s="45">
        <f t="shared" ca="1" si="362"/>
        <v>38</v>
      </c>
      <c r="X791" s="48">
        <f t="shared" ca="1" si="363"/>
        <v>467</v>
      </c>
      <c r="Y791">
        <f t="shared" si="351"/>
        <v>18</v>
      </c>
      <c r="Z791">
        <f t="shared" ca="1" si="357"/>
        <v>16</v>
      </c>
      <c r="AA791" t="str">
        <f t="shared" ca="1" si="358"/>
        <v>9213100.png</v>
      </c>
      <c r="AB791">
        <f t="shared" si="352"/>
        <v>20</v>
      </c>
      <c r="AC791">
        <f>VLOOKUP(C791,技能辅助查询表,技能配置辅助表!$W$1,FALSE)</f>
        <v>22</v>
      </c>
      <c r="AD791">
        <f t="shared" ca="1" si="359"/>
        <v>86.997104342677318</v>
      </c>
      <c r="AE791">
        <f>VLOOKUP(C791,技能辅助查询表,技能配置辅助表!$U$1,FALSE)</f>
        <v>1</v>
      </c>
      <c r="AF791">
        <f t="shared" ca="1" si="360"/>
        <v>9213124</v>
      </c>
      <c r="AG791">
        <f t="shared" ca="1" si="364"/>
        <v>40.204081632653065</v>
      </c>
      <c r="AH791">
        <f t="shared" ca="1" si="361"/>
        <v>260.67397080270689</v>
      </c>
      <c r="AI791">
        <f ca="1">VLOOKUP(E791,伤害参考系!$C$4:$E$104,3,FALSE)*$AN$12</f>
        <v>3584.9561889632118</v>
      </c>
      <c r="AJ791">
        <f>VLOOKUP(C791,技能辅助查询表,技能配置辅助表!$L$1,FALSE)</f>
        <v>1</v>
      </c>
      <c r="AK791">
        <f>VLOOKUP(C791,技能辅助查询表,技能配置辅助表!$AE$1,FALSE)</f>
        <v>66000289</v>
      </c>
    </row>
    <row r="792" spans="1:37" x14ac:dyDescent="0.15">
      <c r="A792" s="1">
        <f t="shared" ca="1" si="353"/>
        <v>9213125</v>
      </c>
      <c r="B792" s="1" t="str">
        <f t="shared" ca="1" si="338"/>
        <v>裂地诀</v>
      </c>
      <c r="C792" t="s">
        <v>166</v>
      </c>
      <c r="D792">
        <f t="shared" si="339"/>
        <v>2</v>
      </c>
      <c r="E792" s="42">
        <f t="shared" ca="1" si="354"/>
        <v>43</v>
      </c>
      <c r="F792" t="str">
        <f t="shared" ca="1" si="355"/>
        <v>第25级，共造成269%点伤害</v>
      </c>
      <c r="G792">
        <f t="shared" ca="1" si="356"/>
        <v>1</v>
      </c>
      <c r="H792">
        <f t="shared" si="340"/>
        <v>1</v>
      </c>
      <c r="I792" s="44">
        <f t="shared" ca="1" si="365"/>
        <v>25</v>
      </c>
      <c r="J792">
        <f t="shared" si="341"/>
        <v>1</v>
      </c>
      <c r="K792" s="36">
        <f t="shared" ca="1" si="342"/>
        <v>269.02173913043481</v>
      </c>
      <c r="L792" s="10">
        <f ca="1">AH792*VLOOKUP(C792,技能辅助查询表,技能配置辅助表!$T$1,FALSE)</f>
        <v>0</v>
      </c>
      <c r="M792">
        <f t="shared" ca="1" si="343"/>
        <v>7500</v>
      </c>
      <c r="N792" s="33">
        <f ca="1">CHOOSE(1,W792*U792,X792*'[1]0、经济设定'!$C$18)</f>
        <v>47847</v>
      </c>
      <c r="O792">
        <f t="shared" si="344"/>
        <v>3</v>
      </c>
      <c r="P792">
        <f t="shared" si="345"/>
        <v>1</v>
      </c>
      <c r="Q792">
        <f t="shared" si="346"/>
        <v>1</v>
      </c>
      <c r="R792" s="2">
        <f t="shared" si="347"/>
        <v>5</v>
      </c>
      <c r="S792" s="2">
        <f t="shared" si="348"/>
        <v>50</v>
      </c>
      <c r="T792" s="2">
        <f t="shared" si="349"/>
        <v>215.21739130434784</v>
      </c>
      <c r="U792" s="2">
        <f ca="1">VLOOKUP(E792,金币生产率!$A$2:$B$120,2,0)</f>
        <v>1167</v>
      </c>
      <c r="V792" s="2">
        <f t="shared" si="350"/>
        <v>215.21739130434784</v>
      </c>
      <c r="W792" s="45">
        <f t="shared" ca="1" si="362"/>
        <v>41</v>
      </c>
      <c r="X792" s="48">
        <f t="shared" ca="1" si="363"/>
        <v>508</v>
      </c>
      <c r="Y792">
        <f t="shared" si="351"/>
        <v>18</v>
      </c>
      <c r="Z792">
        <f t="shared" ca="1" si="357"/>
        <v>17</v>
      </c>
      <c r="AA792" t="str">
        <f t="shared" ca="1" si="358"/>
        <v>9213100.png</v>
      </c>
      <c r="AB792">
        <f t="shared" si="352"/>
        <v>20</v>
      </c>
      <c r="AC792">
        <f>VLOOKUP(C792,技能辅助查询表,技能配置辅助表!$W$1,FALSE)</f>
        <v>22</v>
      </c>
      <c r="AD792">
        <f t="shared" ca="1" si="359"/>
        <v>100.32247168635919</v>
      </c>
      <c r="AE792">
        <f>VLOOKUP(C792,技能辅助查询表,技能配置辅助表!$U$1,FALSE)</f>
        <v>1</v>
      </c>
      <c r="AF792">
        <f t="shared" ca="1" si="360"/>
        <v>9213125</v>
      </c>
      <c r="AG792">
        <f t="shared" ca="1" si="364"/>
        <v>41.734693877551024</v>
      </c>
      <c r="AH792">
        <f t="shared" ca="1" si="361"/>
        <v>296.77387122652874</v>
      </c>
      <c r="AI792">
        <f ca="1">VLOOKUP(E792,伤害参考系!$C$4:$E$104,3,FALSE)*$AN$12</f>
        <v>4090.4306638795993</v>
      </c>
      <c r="AJ792">
        <f>VLOOKUP(C792,技能辅助查询表,技能配置辅助表!$L$1,FALSE)</f>
        <v>1</v>
      </c>
      <c r="AK792">
        <f>VLOOKUP(C792,技能辅助查询表,技能配置辅助表!$AE$1,FALSE)</f>
        <v>66000289</v>
      </c>
    </row>
    <row r="793" spans="1:37" x14ac:dyDescent="0.15">
      <c r="A793" s="1">
        <f t="shared" ca="1" si="353"/>
        <v>9213126</v>
      </c>
      <c r="B793" s="1" t="str">
        <f t="shared" ca="1" si="338"/>
        <v>裂地诀</v>
      </c>
      <c r="C793" t="s">
        <v>166</v>
      </c>
      <c r="D793">
        <f t="shared" si="339"/>
        <v>2</v>
      </c>
      <c r="E793" s="42">
        <f t="shared" ca="1" si="354"/>
        <v>44</v>
      </c>
      <c r="F793" t="str">
        <f t="shared" ca="1" si="355"/>
        <v>第26级，共造成271.2%点伤害</v>
      </c>
      <c r="G793">
        <f t="shared" ca="1" si="356"/>
        <v>1</v>
      </c>
      <c r="H793">
        <f t="shared" si="340"/>
        <v>1</v>
      </c>
      <c r="I793" s="44">
        <f t="shared" ca="1" si="365"/>
        <v>26</v>
      </c>
      <c r="J793">
        <f t="shared" si="341"/>
        <v>1</v>
      </c>
      <c r="K793" s="36">
        <f t="shared" ca="1" si="342"/>
        <v>271.17391304347825</v>
      </c>
      <c r="L793" s="10">
        <f ca="1">AH793*VLOOKUP(C793,技能辅助查询表,技能配置辅助表!$T$1,FALSE)</f>
        <v>0</v>
      </c>
      <c r="M793">
        <f t="shared" ca="1" si="343"/>
        <v>7400</v>
      </c>
      <c r="N793" s="33">
        <f ca="1">CHOOSE(1,W793*U793,X793*'[1]0、经济设定'!$C$18)</f>
        <v>52718</v>
      </c>
      <c r="O793">
        <f t="shared" si="344"/>
        <v>3</v>
      </c>
      <c r="P793">
        <f t="shared" si="345"/>
        <v>1</v>
      </c>
      <c r="Q793">
        <f t="shared" si="346"/>
        <v>1</v>
      </c>
      <c r="R793" s="2">
        <f t="shared" si="347"/>
        <v>5</v>
      </c>
      <c r="S793" s="2">
        <f t="shared" si="348"/>
        <v>50</v>
      </c>
      <c r="T793" s="2">
        <f t="shared" si="349"/>
        <v>215.21739130434784</v>
      </c>
      <c r="U793" s="2">
        <f ca="1">VLOOKUP(E793,金币生产率!$A$2:$B$120,2,0)</f>
        <v>1226</v>
      </c>
      <c r="V793" s="2">
        <f t="shared" si="350"/>
        <v>215.21739130434784</v>
      </c>
      <c r="W793" s="45">
        <f t="shared" ca="1" si="362"/>
        <v>43</v>
      </c>
      <c r="X793" s="48">
        <f t="shared" ca="1" si="363"/>
        <v>551</v>
      </c>
      <c r="Y793">
        <f t="shared" si="351"/>
        <v>18</v>
      </c>
      <c r="Z793">
        <f t="shared" ca="1" si="357"/>
        <v>18</v>
      </c>
      <c r="AA793" t="str">
        <f t="shared" ca="1" si="358"/>
        <v>9213100.png</v>
      </c>
      <c r="AB793">
        <f t="shared" si="352"/>
        <v>20</v>
      </c>
      <c r="AC793">
        <f>VLOOKUP(C793,技能辅助查询表,技能配置辅助表!$W$1,FALSE)</f>
        <v>22</v>
      </c>
      <c r="AD793">
        <f t="shared" ca="1" si="359"/>
        <v>115.67013183518421</v>
      </c>
      <c r="AE793">
        <f>VLOOKUP(C793,技能辅助查询表,技能配置辅助表!$U$1,FALSE)</f>
        <v>1</v>
      </c>
      <c r="AF793">
        <f t="shared" ca="1" si="360"/>
        <v>9213126</v>
      </c>
      <c r="AG793">
        <f t="shared" ca="1" si="364"/>
        <v>43.265306122448976</v>
      </c>
      <c r="AH793">
        <f t="shared" ca="1" si="361"/>
        <v>337.87313083683472</v>
      </c>
      <c r="AI793">
        <f ca="1">VLOOKUP(E793,伤害参考系!$C$4:$E$104,3,FALSE)*$AN$12</f>
        <v>4355.6631973244148</v>
      </c>
      <c r="AJ793">
        <f>VLOOKUP(C793,技能辅助查询表,技能配置辅助表!$L$1,FALSE)</f>
        <v>1</v>
      </c>
      <c r="AK793">
        <f>VLOOKUP(C793,技能辅助查询表,技能配置辅助表!$AE$1,FALSE)</f>
        <v>66000289</v>
      </c>
    </row>
    <row r="794" spans="1:37" x14ac:dyDescent="0.15">
      <c r="A794" s="1">
        <f t="shared" ca="1" si="353"/>
        <v>9213127</v>
      </c>
      <c r="B794" s="1" t="str">
        <f t="shared" ca="1" si="338"/>
        <v>裂地诀</v>
      </c>
      <c r="C794" t="s">
        <v>166</v>
      </c>
      <c r="D794">
        <f t="shared" si="339"/>
        <v>2</v>
      </c>
      <c r="E794" s="42">
        <f t="shared" ca="1" si="354"/>
        <v>46</v>
      </c>
      <c r="F794" t="str">
        <f t="shared" ca="1" si="355"/>
        <v>第27级，共造成273.3%点伤害</v>
      </c>
      <c r="G794">
        <f t="shared" ca="1" si="356"/>
        <v>1</v>
      </c>
      <c r="H794">
        <f t="shared" si="340"/>
        <v>1</v>
      </c>
      <c r="I794" s="44">
        <f t="shared" ca="1" si="365"/>
        <v>27</v>
      </c>
      <c r="J794">
        <f t="shared" si="341"/>
        <v>1</v>
      </c>
      <c r="K794" s="36">
        <f t="shared" ca="1" si="342"/>
        <v>273.32608695652175</v>
      </c>
      <c r="L794" s="10">
        <f ca="1">AH794*VLOOKUP(C794,技能辅助查询表,技能配置辅助表!$T$1,FALSE)</f>
        <v>0</v>
      </c>
      <c r="M794">
        <f t="shared" ca="1" si="343"/>
        <v>7300</v>
      </c>
      <c r="N794" s="33">
        <f ca="1">CHOOSE(1,W794*U794,X794*'[1]0、经济设定'!$C$18)</f>
        <v>62054</v>
      </c>
      <c r="O794">
        <f t="shared" si="344"/>
        <v>3</v>
      </c>
      <c r="P794">
        <f t="shared" si="345"/>
        <v>1</v>
      </c>
      <c r="Q794">
        <f t="shared" si="346"/>
        <v>1</v>
      </c>
      <c r="R794" s="2">
        <f t="shared" si="347"/>
        <v>5</v>
      </c>
      <c r="S794" s="2">
        <f t="shared" si="348"/>
        <v>50</v>
      </c>
      <c r="T794" s="2">
        <f t="shared" si="349"/>
        <v>215.21739130434784</v>
      </c>
      <c r="U794" s="2">
        <f ca="1">VLOOKUP(E794,金币生产率!$A$2:$B$120,2,0)</f>
        <v>1349</v>
      </c>
      <c r="V794" s="2">
        <f t="shared" si="350"/>
        <v>215.21739130434784</v>
      </c>
      <c r="W794" s="45">
        <f t="shared" ca="1" si="362"/>
        <v>46</v>
      </c>
      <c r="X794" s="48">
        <f t="shared" ca="1" si="363"/>
        <v>597</v>
      </c>
      <c r="Y794">
        <f t="shared" si="351"/>
        <v>18</v>
      </c>
      <c r="Z794">
        <f t="shared" ca="1" si="357"/>
        <v>19</v>
      </c>
      <c r="AA794" t="str">
        <f t="shared" ca="1" si="358"/>
        <v>9213100.png</v>
      </c>
      <c r="AB794">
        <f t="shared" si="352"/>
        <v>20</v>
      </c>
      <c r="AC794">
        <f>VLOOKUP(C794,技能辅助查询表,技能配置辅助表!$W$1,FALSE)</f>
        <v>22</v>
      </c>
      <c r="AD794">
        <f t="shared" ca="1" si="359"/>
        <v>133.34464469553504</v>
      </c>
      <c r="AE794">
        <f>VLOOKUP(C794,技能辅助查询表,技能配置辅助表!$U$1,FALSE)</f>
        <v>1</v>
      </c>
      <c r="AF794">
        <f t="shared" ca="1" si="360"/>
        <v>9213127</v>
      </c>
      <c r="AG794">
        <f t="shared" ca="1" si="364"/>
        <v>44.795918367346935</v>
      </c>
      <c r="AH794">
        <f t="shared" ca="1" si="361"/>
        <v>384.66409481967975</v>
      </c>
      <c r="AI794">
        <f ca="1">VLOOKUP(E794,伤害参考系!$C$4:$E$104,3,FALSE)*$AN$12</f>
        <v>4911.1188561872923</v>
      </c>
      <c r="AJ794">
        <f>VLOOKUP(C794,技能辅助查询表,技能配置辅助表!$L$1,FALSE)</f>
        <v>1</v>
      </c>
      <c r="AK794">
        <f>VLOOKUP(C794,技能辅助查询表,技能配置辅助表!$AE$1,FALSE)</f>
        <v>66000289</v>
      </c>
    </row>
    <row r="795" spans="1:37" x14ac:dyDescent="0.15">
      <c r="A795" s="1">
        <f t="shared" ca="1" si="353"/>
        <v>9213128</v>
      </c>
      <c r="B795" s="1" t="str">
        <f t="shared" ca="1" si="338"/>
        <v>裂地诀</v>
      </c>
      <c r="C795" t="s">
        <v>166</v>
      </c>
      <c r="D795">
        <f t="shared" si="339"/>
        <v>2</v>
      </c>
      <c r="E795" s="42">
        <f t="shared" ca="1" si="354"/>
        <v>47</v>
      </c>
      <c r="F795" t="str">
        <f t="shared" ca="1" si="355"/>
        <v>第28级，共造成275.5%点伤害</v>
      </c>
      <c r="G795">
        <f t="shared" ca="1" si="356"/>
        <v>1</v>
      </c>
      <c r="H795">
        <f t="shared" si="340"/>
        <v>1</v>
      </c>
      <c r="I795" s="44">
        <f t="shared" ca="1" si="365"/>
        <v>28</v>
      </c>
      <c r="J795">
        <f t="shared" si="341"/>
        <v>1</v>
      </c>
      <c r="K795" s="36">
        <f t="shared" ca="1" si="342"/>
        <v>275.47826086956525</v>
      </c>
      <c r="L795" s="10">
        <f ca="1">AH795*VLOOKUP(C795,技能辅助查询表,技能配置辅助表!$T$1,FALSE)</f>
        <v>0</v>
      </c>
      <c r="M795">
        <f t="shared" ca="1" si="343"/>
        <v>7200</v>
      </c>
      <c r="N795" s="33">
        <f ca="1">CHOOSE(1,W795*U795,X795*'[1]0、经济设定'!$C$18)</f>
        <v>70600</v>
      </c>
      <c r="O795">
        <f t="shared" si="344"/>
        <v>3</v>
      </c>
      <c r="P795">
        <f t="shared" si="345"/>
        <v>1</v>
      </c>
      <c r="Q795">
        <f t="shared" si="346"/>
        <v>1</v>
      </c>
      <c r="R795" s="2">
        <f t="shared" si="347"/>
        <v>5</v>
      </c>
      <c r="S795" s="2">
        <f t="shared" si="348"/>
        <v>50</v>
      </c>
      <c r="T795" s="2">
        <f t="shared" si="349"/>
        <v>215.21739130434784</v>
      </c>
      <c r="U795" s="2">
        <f ca="1">VLOOKUP(E795,金币生产率!$A$2:$B$120,2,0)</f>
        <v>1412</v>
      </c>
      <c r="V795" s="2">
        <f t="shared" si="350"/>
        <v>215.21739130434784</v>
      </c>
      <c r="W795" s="45">
        <f t="shared" ca="1" si="362"/>
        <v>50</v>
      </c>
      <c r="X795" s="48">
        <f t="shared" ca="1" si="363"/>
        <v>647</v>
      </c>
      <c r="Y795">
        <f t="shared" si="351"/>
        <v>18</v>
      </c>
      <c r="Z795">
        <f t="shared" ca="1" si="357"/>
        <v>20</v>
      </c>
      <c r="AA795" t="str">
        <f t="shared" ca="1" si="358"/>
        <v>9213100.png</v>
      </c>
      <c r="AB795">
        <f t="shared" si="352"/>
        <v>20</v>
      </c>
      <c r="AC795">
        <f>VLOOKUP(C795,技能辅助查询表,技能配置辅助表!$W$1,FALSE)</f>
        <v>22</v>
      </c>
      <c r="AD795">
        <f t="shared" ca="1" si="359"/>
        <v>153.69614049459489</v>
      </c>
      <c r="AE795">
        <f>VLOOKUP(C795,技能辅助查询表,技能配置辅助表!$U$1,FALSE)</f>
        <v>1</v>
      </c>
      <c r="AF795">
        <f t="shared" ca="1" si="360"/>
        <v>9213128</v>
      </c>
      <c r="AG795">
        <f t="shared" ca="1" si="364"/>
        <v>46.326530612244895</v>
      </c>
      <c r="AH795">
        <f t="shared" ca="1" si="361"/>
        <v>437.93498902077317</v>
      </c>
      <c r="AI795">
        <f ca="1">VLOOKUP(E795,伤害参考系!$C$4:$E$104,3,FALSE)*$AN$12</f>
        <v>5201.3419816053529</v>
      </c>
      <c r="AJ795">
        <f>VLOOKUP(C795,技能辅助查询表,技能配置辅助表!$L$1,FALSE)</f>
        <v>1</v>
      </c>
      <c r="AK795">
        <f>VLOOKUP(C795,技能辅助查询表,技能配置辅助表!$AE$1,FALSE)</f>
        <v>66000289</v>
      </c>
    </row>
    <row r="796" spans="1:37" x14ac:dyDescent="0.15">
      <c r="A796" s="1">
        <f t="shared" ca="1" si="353"/>
        <v>9213129</v>
      </c>
      <c r="B796" s="1" t="str">
        <f t="shared" ca="1" si="338"/>
        <v>裂地诀</v>
      </c>
      <c r="C796" t="s">
        <v>166</v>
      </c>
      <c r="D796">
        <f t="shared" si="339"/>
        <v>2</v>
      </c>
      <c r="E796" s="42">
        <f t="shared" ca="1" si="354"/>
        <v>49</v>
      </c>
      <c r="F796" t="str">
        <f t="shared" ca="1" si="355"/>
        <v>第29级，共造成277.6%点伤害</v>
      </c>
      <c r="G796">
        <f t="shared" ca="1" si="356"/>
        <v>1</v>
      </c>
      <c r="H796">
        <f t="shared" si="340"/>
        <v>1</v>
      </c>
      <c r="I796" s="44">
        <f t="shared" ca="1" si="365"/>
        <v>29</v>
      </c>
      <c r="J796">
        <f t="shared" si="341"/>
        <v>1</v>
      </c>
      <c r="K796" s="36">
        <f t="shared" ca="1" si="342"/>
        <v>277.63043478260875</v>
      </c>
      <c r="L796" s="10">
        <f ca="1">AH796*VLOOKUP(C796,技能辅助查询表,技能配置辅助表!$T$1,FALSE)</f>
        <v>0</v>
      </c>
      <c r="M796">
        <f t="shared" ca="1" si="343"/>
        <v>7100</v>
      </c>
      <c r="N796" s="33">
        <f ca="1">CHOOSE(1,W796*U796,X796*'[1]0、经济设定'!$C$18)</f>
        <v>81779</v>
      </c>
      <c r="O796">
        <f t="shared" si="344"/>
        <v>3</v>
      </c>
      <c r="P796">
        <f t="shared" si="345"/>
        <v>1</v>
      </c>
      <c r="Q796">
        <f t="shared" si="346"/>
        <v>1</v>
      </c>
      <c r="R796" s="2">
        <f t="shared" si="347"/>
        <v>5</v>
      </c>
      <c r="S796" s="2">
        <f t="shared" si="348"/>
        <v>50</v>
      </c>
      <c r="T796" s="2">
        <f t="shared" si="349"/>
        <v>215.21739130434784</v>
      </c>
      <c r="U796" s="2">
        <f ca="1">VLOOKUP(E796,金币生产率!$A$2:$B$120,2,0)</f>
        <v>1543</v>
      </c>
      <c r="V796" s="2">
        <f t="shared" si="350"/>
        <v>215.21739130434784</v>
      </c>
      <c r="W796" s="45">
        <f t="shared" ca="1" si="362"/>
        <v>53</v>
      </c>
      <c r="X796" s="48">
        <f t="shared" ca="1" si="363"/>
        <v>700</v>
      </c>
      <c r="Y796">
        <f t="shared" si="351"/>
        <v>18</v>
      </c>
      <c r="Z796">
        <f t="shared" ca="1" si="357"/>
        <v>22</v>
      </c>
      <c r="AA796" t="str">
        <f t="shared" ca="1" si="358"/>
        <v>9213100.png</v>
      </c>
      <c r="AB796">
        <f t="shared" si="352"/>
        <v>20</v>
      </c>
      <c r="AC796">
        <f>VLOOKUP(C796,技能辅助查询表,技能配置辅助表!$W$1,FALSE)</f>
        <v>22</v>
      </c>
      <c r="AD796">
        <f t="shared" ca="1" si="359"/>
        <v>177.1271005253337</v>
      </c>
      <c r="AE796">
        <f>VLOOKUP(C796,技能辅助查询表,技能配置辅助表!$U$1,FALSE)</f>
        <v>1</v>
      </c>
      <c r="AF796">
        <f t="shared" ca="1" si="360"/>
        <v>9213129</v>
      </c>
      <c r="AG796">
        <f t="shared" ca="1" si="364"/>
        <v>47.857142857142854</v>
      </c>
      <c r="AH796">
        <f t="shared" ca="1" si="361"/>
        <v>498.5831981498805</v>
      </c>
      <c r="AI796">
        <f ca="1">VLOOKUP(E796,伤害参考系!$C$4:$E$104,3,FALSE)*$AN$12</f>
        <v>5806.7788244147177</v>
      </c>
      <c r="AJ796">
        <f>VLOOKUP(C796,技能辅助查询表,技能配置辅助表!$L$1,FALSE)</f>
        <v>1</v>
      </c>
      <c r="AK796">
        <f>VLOOKUP(C796,技能辅助查询表,技能配置辅助表!$AE$1,FALSE)</f>
        <v>66000289</v>
      </c>
    </row>
    <row r="797" spans="1:37" x14ac:dyDescent="0.15">
      <c r="A797" s="1">
        <f t="shared" ca="1" si="353"/>
        <v>9213130</v>
      </c>
      <c r="B797" s="1" t="str">
        <f t="shared" ca="1" si="338"/>
        <v>裂地诀</v>
      </c>
      <c r="C797" t="s">
        <v>166</v>
      </c>
      <c r="D797">
        <f t="shared" si="339"/>
        <v>2</v>
      </c>
      <c r="E797" s="42">
        <f t="shared" ca="1" si="354"/>
        <v>50</v>
      </c>
      <c r="F797" t="str">
        <f t="shared" ca="1" si="355"/>
        <v>第30级，共造成279.8%点伤害</v>
      </c>
      <c r="G797">
        <f t="shared" ca="1" si="356"/>
        <v>1</v>
      </c>
      <c r="H797">
        <f t="shared" si="340"/>
        <v>1</v>
      </c>
      <c r="I797" s="44">
        <f t="shared" ca="1" si="365"/>
        <v>30</v>
      </c>
      <c r="J797">
        <f t="shared" si="341"/>
        <v>1</v>
      </c>
      <c r="K797" s="36">
        <f t="shared" ca="1" si="342"/>
        <v>279.78260869565219</v>
      </c>
      <c r="L797" s="10">
        <f ca="1">AH797*VLOOKUP(C797,技能辅助查询表,技能配置辅助表!$T$1,FALSE)</f>
        <v>0</v>
      </c>
      <c r="M797">
        <f t="shared" ca="1" si="343"/>
        <v>7000</v>
      </c>
      <c r="N797" s="33">
        <f ca="1">CHOOSE(1,W797*U797,X797*'[1]0、经济设定'!$C$18)</f>
        <v>91770</v>
      </c>
      <c r="O797">
        <f t="shared" si="344"/>
        <v>3</v>
      </c>
      <c r="P797">
        <f t="shared" si="345"/>
        <v>1</v>
      </c>
      <c r="Q797">
        <f t="shared" si="346"/>
        <v>1</v>
      </c>
      <c r="R797" s="2">
        <f t="shared" si="347"/>
        <v>5</v>
      </c>
      <c r="S797" s="2">
        <f t="shared" si="348"/>
        <v>50</v>
      </c>
      <c r="T797" s="2">
        <f t="shared" si="349"/>
        <v>215.21739130434784</v>
      </c>
      <c r="U797" s="2">
        <f ca="1">VLOOKUP(E797,金币生产率!$A$2:$B$120,2,0)</f>
        <v>1610</v>
      </c>
      <c r="V797" s="2">
        <f t="shared" si="350"/>
        <v>215.21739130434784</v>
      </c>
      <c r="W797" s="45">
        <f t="shared" ca="1" si="362"/>
        <v>57</v>
      </c>
      <c r="X797" s="48">
        <f t="shared" ca="1" si="363"/>
        <v>757</v>
      </c>
      <c r="Y797">
        <f t="shared" si="351"/>
        <v>18</v>
      </c>
      <c r="Z797">
        <f t="shared" ca="1" si="357"/>
        <v>23</v>
      </c>
      <c r="AA797" t="str">
        <f t="shared" ca="1" si="358"/>
        <v>9213100.png</v>
      </c>
      <c r="AB797">
        <f t="shared" si="352"/>
        <v>20</v>
      </c>
      <c r="AC797">
        <f>VLOOKUP(C797,技能辅助查询表,技能配置辅助表!$W$1,FALSE)</f>
        <v>22</v>
      </c>
      <c r="AD797">
        <f t="shared" ca="1" si="359"/>
        <v>204.10014200416009</v>
      </c>
      <c r="AE797">
        <f>VLOOKUP(C797,技能辅助查询表,技能配置辅助表!$U$1,FALSE)</f>
        <v>1</v>
      </c>
      <c r="AF797">
        <f t="shared" ca="1" si="360"/>
        <v>9213130</v>
      </c>
      <c r="AG797">
        <f t="shared" ca="1" si="364"/>
        <v>49.387755102040813</v>
      </c>
      <c r="AH797">
        <f t="shared" ca="1" si="361"/>
        <v>567.63038284107404</v>
      </c>
      <c r="AI797">
        <f ca="1">VLOOKUP(E797,伤害参考系!$C$4:$E$104,3,FALSE)*$AN$12</f>
        <v>6162.2688085284308</v>
      </c>
      <c r="AJ797">
        <f>VLOOKUP(C797,技能辅助查询表,技能配置辅助表!$L$1,FALSE)</f>
        <v>1</v>
      </c>
      <c r="AK797">
        <f>VLOOKUP(C797,技能辅助查询表,技能配置辅助表!$AE$1,FALSE)</f>
        <v>66000289</v>
      </c>
    </row>
    <row r="798" spans="1:37" x14ac:dyDescent="0.15">
      <c r="A798" s="1">
        <f t="shared" ca="1" si="353"/>
        <v>9213131</v>
      </c>
      <c r="B798" s="1" t="str">
        <f t="shared" ca="1" si="338"/>
        <v>裂地诀</v>
      </c>
      <c r="C798" t="s">
        <v>166</v>
      </c>
      <c r="D798">
        <f t="shared" si="339"/>
        <v>2</v>
      </c>
      <c r="E798" s="42">
        <f t="shared" ca="1" si="354"/>
        <v>52</v>
      </c>
      <c r="F798" t="str">
        <f t="shared" ca="1" si="355"/>
        <v>第31级，共造成281.9%点伤害</v>
      </c>
      <c r="G798">
        <f t="shared" ca="1" si="356"/>
        <v>1</v>
      </c>
      <c r="H798">
        <f t="shared" si="340"/>
        <v>1</v>
      </c>
      <c r="I798" s="44">
        <f t="shared" ca="1" si="365"/>
        <v>31</v>
      </c>
      <c r="J798">
        <f t="shared" si="341"/>
        <v>1</v>
      </c>
      <c r="K798" s="36">
        <f t="shared" ca="1" si="342"/>
        <v>281.93478260869568</v>
      </c>
      <c r="L798" s="10">
        <f ca="1">AH798*VLOOKUP(C798,技能辅助查询表,技能配置辅助表!$T$1,FALSE)</f>
        <v>0</v>
      </c>
      <c r="M798">
        <f t="shared" ca="1" si="343"/>
        <v>6900</v>
      </c>
      <c r="N798" s="33">
        <f ca="1">CHOOSE(1,W798*U798,X798*'[1]0、经济设定'!$C$18)</f>
        <v>106689</v>
      </c>
      <c r="O798">
        <f t="shared" si="344"/>
        <v>3</v>
      </c>
      <c r="P798">
        <f t="shared" si="345"/>
        <v>1</v>
      </c>
      <c r="Q798">
        <f t="shared" si="346"/>
        <v>1</v>
      </c>
      <c r="R798" s="2">
        <f t="shared" si="347"/>
        <v>5</v>
      </c>
      <c r="S798" s="2">
        <f t="shared" si="348"/>
        <v>50</v>
      </c>
      <c r="T798" s="2">
        <f t="shared" si="349"/>
        <v>215.21739130434784</v>
      </c>
      <c r="U798" s="2">
        <f ca="1">VLOOKUP(E798,金币生产率!$A$2:$B$120,2,0)</f>
        <v>1749</v>
      </c>
      <c r="V798" s="2">
        <f t="shared" si="350"/>
        <v>215.21739130434784</v>
      </c>
      <c r="W798" s="45">
        <f t="shared" ca="1" si="362"/>
        <v>61</v>
      </c>
      <c r="X798" s="48">
        <f t="shared" ca="1" si="363"/>
        <v>818</v>
      </c>
      <c r="Y798">
        <f t="shared" si="351"/>
        <v>18</v>
      </c>
      <c r="Z798">
        <f t="shared" ca="1" si="357"/>
        <v>25</v>
      </c>
      <c r="AA798" t="str">
        <f t="shared" ca="1" si="358"/>
        <v>9213100.png</v>
      </c>
      <c r="AB798">
        <f t="shared" si="352"/>
        <v>20</v>
      </c>
      <c r="AC798">
        <f>VLOOKUP(C798,技能辅助查询表,技能配置辅助表!$W$1,FALSE)</f>
        <v>22</v>
      </c>
      <c r="AD798">
        <f t="shared" ca="1" si="359"/>
        <v>235.14695510878337</v>
      </c>
      <c r="AE798">
        <f>VLOOKUP(C798,技能辅助查询表,技能配置辅助表!$U$1,FALSE)</f>
        <v>1</v>
      </c>
      <c r="AF798">
        <f t="shared" ca="1" si="360"/>
        <v>9213131</v>
      </c>
      <c r="AG798">
        <f t="shared" ca="1" si="364"/>
        <v>50.918367346938773</v>
      </c>
      <c r="AH798">
        <f t="shared" ca="1" si="361"/>
        <v>646.23969022607446</v>
      </c>
      <c r="AI798">
        <f ca="1">VLOOKUP(E798,伤害参考系!$C$4:$E$104,3,FALSE)*$AN$12</f>
        <v>6904.487016722409</v>
      </c>
      <c r="AJ798">
        <f>VLOOKUP(C798,技能辅助查询表,技能配置辅助表!$L$1,FALSE)</f>
        <v>1</v>
      </c>
      <c r="AK798">
        <f>VLOOKUP(C798,技能辅助查询表,技能配置辅助表!$AE$1,FALSE)</f>
        <v>66000289</v>
      </c>
    </row>
    <row r="799" spans="1:37" x14ac:dyDescent="0.15">
      <c r="A799" s="1">
        <f t="shared" ca="1" si="353"/>
        <v>9213132</v>
      </c>
      <c r="B799" s="1" t="str">
        <f t="shared" ca="1" si="338"/>
        <v>裂地诀</v>
      </c>
      <c r="C799" t="s">
        <v>166</v>
      </c>
      <c r="D799">
        <f t="shared" si="339"/>
        <v>2</v>
      </c>
      <c r="E799" s="42">
        <f t="shared" ca="1" si="354"/>
        <v>53</v>
      </c>
      <c r="F799" t="str">
        <f t="shared" ca="1" si="355"/>
        <v>第32级，共造成284.1%点伤害</v>
      </c>
      <c r="G799">
        <f t="shared" ca="1" si="356"/>
        <v>1</v>
      </c>
      <c r="H799">
        <f t="shared" si="340"/>
        <v>1</v>
      </c>
      <c r="I799" s="44">
        <f t="shared" ca="1" si="365"/>
        <v>32</v>
      </c>
      <c r="J799">
        <f t="shared" si="341"/>
        <v>1</v>
      </c>
      <c r="K799" s="36">
        <f t="shared" ca="1" si="342"/>
        <v>284.08695652173913</v>
      </c>
      <c r="L799" s="10">
        <f ca="1">AH799*VLOOKUP(C799,技能辅助查询表,技能配置辅助表!$T$1,FALSE)</f>
        <v>0</v>
      </c>
      <c r="M799">
        <f t="shared" ca="1" si="343"/>
        <v>6800</v>
      </c>
      <c r="N799" s="33">
        <f ca="1">CHOOSE(1,W799*U799,X799*'[1]0、经济设定'!$C$18)</f>
        <v>118300</v>
      </c>
      <c r="O799">
        <f t="shared" si="344"/>
        <v>3</v>
      </c>
      <c r="P799">
        <f t="shared" si="345"/>
        <v>1</v>
      </c>
      <c r="Q799">
        <f t="shared" si="346"/>
        <v>1</v>
      </c>
      <c r="R799" s="2">
        <f t="shared" si="347"/>
        <v>5</v>
      </c>
      <c r="S799" s="2">
        <f t="shared" si="348"/>
        <v>50</v>
      </c>
      <c r="T799" s="2">
        <f t="shared" si="349"/>
        <v>215.21739130434784</v>
      </c>
      <c r="U799" s="2">
        <f ca="1">VLOOKUP(E799,金币生产率!$A$2:$B$120,2,0)</f>
        <v>1820</v>
      </c>
      <c r="V799" s="2">
        <f t="shared" si="350"/>
        <v>215.21739130434784</v>
      </c>
      <c r="W799" s="45">
        <f t="shared" ca="1" si="362"/>
        <v>65</v>
      </c>
      <c r="X799" s="48">
        <f t="shared" ca="1" si="363"/>
        <v>883</v>
      </c>
      <c r="Y799">
        <f t="shared" si="351"/>
        <v>18</v>
      </c>
      <c r="Z799">
        <f t="shared" ca="1" si="357"/>
        <v>26</v>
      </c>
      <c r="AA799" t="str">
        <f t="shared" ca="1" si="358"/>
        <v>9213100.png</v>
      </c>
      <c r="AB799">
        <f t="shared" si="352"/>
        <v>20</v>
      </c>
      <c r="AC799">
        <f>VLOOKUP(C799,技能辅助查询表,技能配置辅助表!$W$1,FALSE)</f>
        <v>22</v>
      </c>
      <c r="AD799">
        <f t="shared" ca="1" si="359"/>
        <v>270.87856201716079</v>
      </c>
      <c r="AE799">
        <f>VLOOKUP(C799,技能辅助查询表,技能配置辅助表!$U$1,FALSE)</f>
        <v>1</v>
      </c>
      <c r="AF799">
        <f t="shared" ca="1" si="360"/>
        <v>9213132</v>
      </c>
      <c r="AG799">
        <f t="shared" ca="1" si="364"/>
        <v>52.448979591836732</v>
      </c>
      <c r="AH799">
        <f t="shared" ca="1" si="361"/>
        <v>735.73534794457942</v>
      </c>
      <c r="AI799">
        <f ca="1">VLOOKUP(E799,伤害参考系!$C$4:$E$104,3,FALSE)*$AN$12</f>
        <v>7291.2152408026777</v>
      </c>
      <c r="AJ799">
        <f>VLOOKUP(C799,技能辅助查询表,技能配置辅助表!$L$1,FALSE)</f>
        <v>1</v>
      </c>
      <c r="AK799">
        <f>VLOOKUP(C799,技能辅助查询表,技能配置辅助表!$AE$1,FALSE)</f>
        <v>66000289</v>
      </c>
    </row>
    <row r="800" spans="1:37" x14ac:dyDescent="0.15">
      <c r="A800" s="1">
        <f t="shared" ca="1" si="353"/>
        <v>9213133</v>
      </c>
      <c r="B800" s="1" t="str">
        <f t="shared" ca="1" si="338"/>
        <v>裂地诀</v>
      </c>
      <c r="C800" t="s">
        <v>166</v>
      </c>
      <c r="D800">
        <f t="shared" si="339"/>
        <v>2</v>
      </c>
      <c r="E800" s="42">
        <f t="shared" ca="1" si="354"/>
        <v>55</v>
      </c>
      <c r="F800" t="str">
        <f t="shared" ca="1" si="355"/>
        <v>第33级，共造成286.2%点伤害</v>
      </c>
      <c r="G800">
        <f t="shared" ca="1" si="356"/>
        <v>1</v>
      </c>
      <c r="H800">
        <f t="shared" si="340"/>
        <v>1</v>
      </c>
      <c r="I800" s="44">
        <f t="shared" ca="1" si="365"/>
        <v>33</v>
      </c>
      <c r="J800">
        <f t="shared" si="341"/>
        <v>1</v>
      </c>
      <c r="K800" s="36">
        <f t="shared" ca="1" si="342"/>
        <v>286.23913043478262</v>
      </c>
      <c r="L800" s="10">
        <f ca="1">AH800*VLOOKUP(C800,技能辅助查询表,技能配置辅助表!$T$1,FALSE)</f>
        <v>0</v>
      </c>
      <c r="M800">
        <f t="shared" ca="1" si="343"/>
        <v>6700</v>
      </c>
      <c r="N800" s="33">
        <f ca="1">CHOOSE(1,W800*U800,X800*'[1]0、经济设定'!$C$18)</f>
        <v>137690</v>
      </c>
      <c r="O800">
        <f t="shared" si="344"/>
        <v>3</v>
      </c>
      <c r="P800">
        <f t="shared" si="345"/>
        <v>1</v>
      </c>
      <c r="Q800">
        <f t="shared" si="346"/>
        <v>1</v>
      </c>
      <c r="R800" s="2">
        <f t="shared" si="347"/>
        <v>5</v>
      </c>
      <c r="S800" s="2">
        <f t="shared" si="348"/>
        <v>50</v>
      </c>
      <c r="T800" s="2">
        <f t="shared" si="349"/>
        <v>215.21739130434784</v>
      </c>
      <c r="U800" s="2">
        <f ca="1">VLOOKUP(E800,金币生产率!$A$2:$B$120,2,0)</f>
        <v>1967</v>
      </c>
      <c r="V800" s="2">
        <f t="shared" si="350"/>
        <v>215.21739130434784</v>
      </c>
      <c r="W800" s="45">
        <f t="shared" ca="1" si="362"/>
        <v>70</v>
      </c>
      <c r="X800" s="48">
        <f t="shared" ca="1" si="363"/>
        <v>953</v>
      </c>
      <c r="Y800">
        <f t="shared" si="351"/>
        <v>18</v>
      </c>
      <c r="Z800">
        <f t="shared" ca="1" si="357"/>
        <v>28</v>
      </c>
      <c r="AA800" t="str">
        <f t="shared" ca="1" si="358"/>
        <v>9213100.png</v>
      </c>
      <c r="AB800">
        <f t="shared" si="352"/>
        <v>20</v>
      </c>
      <c r="AC800">
        <f>VLOOKUP(C800,技能辅助查询表,技能配置辅助表!$W$1,FALSE)</f>
        <v>22</v>
      </c>
      <c r="AD800">
        <f t="shared" ca="1" si="359"/>
        <v>311.99709270711156</v>
      </c>
      <c r="AE800">
        <f>VLOOKUP(C800,技能辅助查询表,技能配置辅助表!$U$1,FALSE)</f>
        <v>1</v>
      </c>
      <c r="AF800">
        <f t="shared" ca="1" si="360"/>
        <v>9213133</v>
      </c>
      <c r="AG800">
        <f t="shared" ca="1" si="364"/>
        <v>53.979591836734691</v>
      </c>
      <c r="AH800">
        <f t="shared" ca="1" si="361"/>
        <v>837.62497166611001</v>
      </c>
      <c r="AI800">
        <f ca="1">VLOOKUP(E800,伤害参考系!$C$4:$E$104,3,FALSE)*$AN$12</f>
        <v>8095.9099289297656</v>
      </c>
      <c r="AJ800">
        <f>VLOOKUP(C800,技能辅助查询表,技能配置辅助表!$L$1,FALSE)</f>
        <v>1</v>
      </c>
      <c r="AK800">
        <f>VLOOKUP(C800,技能辅助查询表,技能配置辅助表!$AE$1,FALSE)</f>
        <v>66000289</v>
      </c>
    </row>
    <row r="801" spans="1:37" x14ac:dyDescent="0.15">
      <c r="A801" s="1">
        <f t="shared" ca="1" si="353"/>
        <v>9213134</v>
      </c>
      <c r="B801" s="1" t="str">
        <f t="shared" ca="1" si="338"/>
        <v>裂地诀</v>
      </c>
      <c r="C801" t="s">
        <v>166</v>
      </c>
      <c r="D801">
        <f t="shared" si="339"/>
        <v>2</v>
      </c>
      <c r="E801" s="42">
        <f t="shared" ca="1" si="354"/>
        <v>56</v>
      </c>
      <c r="F801" t="str">
        <f t="shared" ca="1" si="355"/>
        <v>第34级，共造成288.4%点伤害</v>
      </c>
      <c r="G801">
        <f t="shared" ca="1" si="356"/>
        <v>1</v>
      </c>
      <c r="H801">
        <f t="shared" si="340"/>
        <v>1</v>
      </c>
      <c r="I801" s="44">
        <f t="shared" ca="1" si="365"/>
        <v>34</v>
      </c>
      <c r="J801">
        <f t="shared" si="341"/>
        <v>1</v>
      </c>
      <c r="K801" s="36">
        <f t="shared" ca="1" si="342"/>
        <v>288.39130434782612</v>
      </c>
      <c r="L801" s="10">
        <f ca="1">AH801*VLOOKUP(C801,技能辅助查询表,技能配置辅助表!$T$1,FALSE)</f>
        <v>0</v>
      </c>
      <c r="M801">
        <f t="shared" ca="1" si="343"/>
        <v>6600</v>
      </c>
      <c r="N801" s="33">
        <f ca="1">CHOOSE(1,W801*U801,X801*'[1]0、经济设定'!$C$18)</f>
        <v>153150</v>
      </c>
      <c r="O801">
        <f t="shared" si="344"/>
        <v>3</v>
      </c>
      <c r="P801">
        <f t="shared" si="345"/>
        <v>1</v>
      </c>
      <c r="Q801">
        <f t="shared" si="346"/>
        <v>1</v>
      </c>
      <c r="R801" s="2">
        <f t="shared" si="347"/>
        <v>5</v>
      </c>
      <c r="S801" s="2">
        <f t="shared" si="348"/>
        <v>50</v>
      </c>
      <c r="T801" s="2">
        <f t="shared" si="349"/>
        <v>215.21739130434784</v>
      </c>
      <c r="U801" s="2">
        <f ca="1">VLOOKUP(E801,金币生产率!$A$2:$B$120,2,0)</f>
        <v>2042</v>
      </c>
      <c r="V801" s="2">
        <f t="shared" si="350"/>
        <v>215.21739130434784</v>
      </c>
      <c r="W801" s="45">
        <f t="shared" ca="1" si="362"/>
        <v>75</v>
      </c>
      <c r="X801" s="48">
        <f t="shared" ca="1" si="363"/>
        <v>1028</v>
      </c>
      <c r="Y801">
        <f t="shared" si="351"/>
        <v>18</v>
      </c>
      <c r="Z801">
        <f t="shared" ca="1" si="357"/>
        <v>30</v>
      </c>
      <c r="AA801" t="str">
        <f t="shared" ca="1" si="358"/>
        <v>9213100.png</v>
      </c>
      <c r="AB801">
        <f t="shared" si="352"/>
        <v>20</v>
      </c>
      <c r="AC801">
        <f>VLOOKUP(C801,技能辅助查询表,技能配置辅助表!$W$1,FALSE)</f>
        <v>22</v>
      </c>
      <c r="AD801">
        <f t="shared" ca="1" si="359"/>
        <v>359.30930086531282</v>
      </c>
      <c r="AE801">
        <f>VLOOKUP(C801,技能辅助查询表,技能配置辅助表!$U$1,FALSE)</f>
        <v>1</v>
      </c>
      <c r="AF801">
        <f t="shared" ca="1" si="360"/>
        <v>9213134</v>
      </c>
      <c r="AG801">
        <f t="shared" ca="1" si="364"/>
        <v>55.510204081632651</v>
      </c>
      <c r="AH801">
        <f t="shared" ca="1" si="361"/>
        <v>953.62496190886134</v>
      </c>
      <c r="AI801">
        <f ca="1">VLOOKUP(E801,伤害参考系!$C$4:$E$104,3,FALSE)*$AN$12</f>
        <v>8513.8763929765901</v>
      </c>
      <c r="AJ801">
        <f>VLOOKUP(C801,技能辅助查询表,技能配置辅助表!$L$1,FALSE)</f>
        <v>1</v>
      </c>
      <c r="AK801">
        <f>VLOOKUP(C801,技能辅助查询表,技能配置辅助表!$AE$1,FALSE)</f>
        <v>66000289</v>
      </c>
    </row>
    <row r="802" spans="1:37" x14ac:dyDescent="0.15">
      <c r="A802" s="1">
        <f t="shared" ca="1" si="353"/>
        <v>9213135</v>
      </c>
      <c r="B802" s="1" t="str">
        <f t="shared" ca="1" si="338"/>
        <v>裂地诀</v>
      </c>
      <c r="C802" t="s">
        <v>166</v>
      </c>
      <c r="D802">
        <f t="shared" si="339"/>
        <v>2</v>
      </c>
      <c r="E802" s="42">
        <f t="shared" ca="1" si="354"/>
        <v>58</v>
      </c>
      <c r="F802" t="str">
        <f t="shared" ca="1" si="355"/>
        <v>第35级，共造成290.5%点伤害</v>
      </c>
      <c r="G802">
        <f t="shared" ca="1" si="356"/>
        <v>1</v>
      </c>
      <c r="H802">
        <f t="shared" si="340"/>
        <v>1</v>
      </c>
      <c r="I802" s="44">
        <f t="shared" ca="1" si="365"/>
        <v>35</v>
      </c>
      <c r="J802">
        <f t="shared" si="341"/>
        <v>1</v>
      </c>
      <c r="K802" s="36">
        <f t="shared" ca="1" si="342"/>
        <v>290.54347826086962</v>
      </c>
      <c r="L802" s="10">
        <f ca="1">AH802*VLOOKUP(C802,技能辅助查询表,技能配置辅助表!$T$1,FALSE)</f>
        <v>0</v>
      </c>
      <c r="M802">
        <f t="shared" ca="1" si="343"/>
        <v>6500</v>
      </c>
      <c r="N802" s="33">
        <f ca="1">CHOOSE(1,W802*U802,X802*'[1]0、经济设定'!$C$18)</f>
        <v>175840</v>
      </c>
      <c r="O802">
        <f t="shared" si="344"/>
        <v>3</v>
      </c>
      <c r="P802">
        <f t="shared" si="345"/>
        <v>1</v>
      </c>
      <c r="Q802">
        <f t="shared" si="346"/>
        <v>1</v>
      </c>
      <c r="R802" s="2">
        <f t="shared" si="347"/>
        <v>5</v>
      </c>
      <c r="S802" s="2">
        <f t="shared" si="348"/>
        <v>50</v>
      </c>
      <c r="T802" s="2">
        <f t="shared" si="349"/>
        <v>215.21739130434784</v>
      </c>
      <c r="U802" s="2">
        <f ca="1">VLOOKUP(E802,金币生产率!$A$2:$B$120,2,0)</f>
        <v>2198</v>
      </c>
      <c r="V802" s="2">
        <f t="shared" si="350"/>
        <v>215.21739130434784</v>
      </c>
      <c r="W802" s="45">
        <f t="shared" ca="1" si="362"/>
        <v>80</v>
      </c>
      <c r="X802" s="48">
        <f t="shared" ca="1" si="363"/>
        <v>1108</v>
      </c>
      <c r="Y802">
        <f t="shared" si="351"/>
        <v>18</v>
      </c>
      <c r="Z802">
        <f t="shared" ca="1" si="357"/>
        <v>32</v>
      </c>
      <c r="AA802" t="str">
        <f t="shared" ca="1" si="358"/>
        <v>9213100.png</v>
      </c>
      <c r="AB802">
        <f t="shared" si="352"/>
        <v>20</v>
      </c>
      <c r="AC802">
        <f>VLOOKUP(C802,技能辅助查询表,技能配置辅助表!$W$1,FALSE)</f>
        <v>22</v>
      </c>
      <c r="AD802">
        <f t="shared" ca="1" si="359"/>
        <v>413.74207602675915</v>
      </c>
      <c r="AE802">
        <f>VLOOKUP(C802,技能辅助查询表,技能配置辅助表!$U$1,FALSE)</f>
        <v>1</v>
      </c>
      <c r="AF802">
        <f t="shared" ca="1" si="360"/>
        <v>9213135</v>
      </c>
      <c r="AG802">
        <f t="shared" ca="1" si="364"/>
        <v>57.04081632653061</v>
      </c>
      <c r="AH802">
        <f t="shared" ca="1" si="361"/>
        <v>1085.689417982368</v>
      </c>
      <c r="AI802">
        <f ca="1">VLOOKUP(E802,伤害参考系!$C$4:$E$104,3,FALSE)*$AN$12</f>
        <v>9381.0475610367921</v>
      </c>
      <c r="AJ802">
        <f>VLOOKUP(C802,技能辅助查询表,技能配置辅助表!$L$1,FALSE)</f>
        <v>1</v>
      </c>
      <c r="AK802">
        <f>VLOOKUP(C802,技能辅助查询表,技能配置辅助表!$AE$1,FALSE)</f>
        <v>66000289</v>
      </c>
    </row>
    <row r="803" spans="1:37" x14ac:dyDescent="0.15">
      <c r="A803" s="1">
        <f t="shared" ca="1" si="353"/>
        <v>9213136</v>
      </c>
      <c r="B803" s="1" t="str">
        <f t="shared" ca="1" si="338"/>
        <v>裂地诀</v>
      </c>
      <c r="C803" t="s">
        <v>166</v>
      </c>
      <c r="D803">
        <f t="shared" si="339"/>
        <v>2</v>
      </c>
      <c r="E803" s="42">
        <f t="shared" ca="1" si="354"/>
        <v>59</v>
      </c>
      <c r="F803" t="str">
        <f t="shared" ca="1" si="355"/>
        <v>第36级，共造成292.7%点伤害</v>
      </c>
      <c r="G803">
        <f t="shared" ca="1" si="356"/>
        <v>1</v>
      </c>
      <c r="H803">
        <f t="shared" si="340"/>
        <v>1</v>
      </c>
      <c r="I803" s="44">
        <f t="shared" ca="1" si="365"/>
        <v>36</v>
      </c>
      <c r="J803">
        <f t="shared" si="341"/>
        <v>1</v>
      </c>
      <c r="K803" s="36">
        <f t="shared" ca="1" si="342"/>
        <v>292.69565217391306</v>
      </c>
      <c r="L803" s="10">
        <f ca="1">AH803*VLOOKUP(C803,技能辅助查询表,技能配置辅助表!$T$1,FALSE)</f>
        <v>0</v>
      </c>
      <c r="M803">
        <f t="shared" ca="1" si="343"/>
        <v>6400</v>
      </c>
      <c r="N803" s="33">
        <f ca="1">CHOOSE(1,W803*U803,X803*'[1]0、经济设定'!$C$18)</f>
        <v>193545</v>
      </c>
      <c r="O803">
        <f t="shared" si="344"/>
        <v>3</v>
      </c>
      <c r="P803">
        <f t="shared" si="345"/>
        <v>1</v>
      </c>
      <c r="Q803">
        <f t="shared" si="346"/>
        <v>1</v>
      </c>
      <c r="R803" s="2">
        <f t="shared" si="347"/>
        <v>5</v>
      </c>
      <c r="S803" s="2">
        <f t="shared" si="348"/>
        <v>50</v>
      </c>
      <c r="T803" s="2">
        <f t="shared" si="349"/>
        <v>215.21739130434784</v>
      </c>
      <c r="U803" s="2">
        <f ca="1">VLOOKUP(E803,金币生产率!$A$2:$B$120,2,0)</f>
        <v>2277</v>
      </c>
      <c r="V803" s="2">
        <f t="shared" si="350"/>
        <v>215.21739130434784</v>
      </c>
      <c r="W803" s="45">
        <f t="shared" ca="1" si="362"/>
        <v>85</v>
      </c>
      <c r="X803" s="48">
        <f t="shared" ca="1" si="363"/>
        <v>1193</v>
      </c>
      <c r="Y803">
        <f t="shared" si="351"/>
        <v>18</v>
      </c>
      <c r="Z803">
        <f t="shared" ca="1" si="357"/>
        <v>34</v>
      </c>
      <c r="AA803" t="str">
        <f t="shared" ca="1" si="358"/>
        <v>9213100.png</v>
      </c>
      <c r="AB803">
        <f t="shared" si="352"/>
        <v>20</v>
      </c>
      <c r="AC803">
        <f>VLOOKUP(C803,技能辅助查询表,技能配置辅助表!$W$1,FALSE)</f>
        <v>22</v>
      </c>
      <c r="AD803">
        <f t="shared" ca="1" si="359"/>
        <v>476.36024563169411</v>
      </c>
      <c r="AE803">
        <f>VLOOKUP(C803,技能辅助查询表,技能配置辅助表!$U$1,FALSE)</f>
        <v>1</v>
      </c>
      <c r="AF803">
        <f t="shared" ca="1" si="360"/>
        <v>9213136</v>
      </c>
      <c r="AG803">
        <f t="shared" ca="1" si="364"/>
        <v>58.571428571428569</v>
      </c>
      <c r="AH803">
        <f t="shared" ca="1" si="361"/>
        <v>1236.0430561291703</v>
      </c>
      <c r="AI803">
        <f ca="1">VLOOKUP(E803,伤害参考系!$C$4:$E$104,3,FALSE)*$AN$12</f>
        <v>9830.2522650501687</v>
      </c>
      <c r="AJ803">
        <f>VLOOKUP(C803,技能辅助查询表,技能配置辅助表!$L$1,FALSE)</f>
        <v>1</v>
      </c>
      <c r="AK803">
        <f>VLOOKUP(C803,技能辅助查询表,技能配置辅助表!$AE$1,FALSE)</f>
        <v>66000289</v>
      </c>
    </row>
    <row r="804" spans="1:37" x14ac:dyDescent="0.15">
      <c r="A804" s="1">
        <f t="shared" ca="1" si="353"/>
        <v>9213137</v>
      </c>
      <c r="B804" s="1" t="str">
        <f t="shared" ca="1" si="338"/>
        <v>裂地诀</v>
      </c>
      <c r="C804" t="s">
        <v>166</v>
      </c>
      <c r="D804">
        <f t="shared" si="339"/>
        <v>2</v>
      </c>
      <c r="E804" s="42">
        <f t="shared" ca="1" si="354"/>
        <v>61</v>
      </c>
      <c r="F804" t="str">
        <f t="shared" ca="1" si="355"/>
        <v>第37级，共造成294.8%点伤害</v>
      </c>
      <c r="G804">
        <f t="shared" ca="1" si="356"/>
        <v>1</v>
      </c>
      <c r="H804">
        <f t="shared" si="340"/>
        <v>1</v>
      </c>
      <c r="I804" s="44">
        <f t="shared" ca="1" si="365"/>
        <v>37</v>
      </c>
      <c r="J804">
        <f t="shared" si="341"/>
        <v>1</v>
      </c>
      <c r="K804" s="36">
        <f t="shared" ca="1" si="342"/>
        <v>294.84782608695656</v>
      </c>
      <c r="L804" s="10">
        <f ca="1">AH804*VLOOKUP(C804,技能辅助查询表,技能配置辅助表!$T$1,FALSE)</f>
        <v>0</v>
      </c>
      <c r="M804">
        <f t="shared" ca="1" si="343"/>
        <v>6300</v>
      </c>
      <c r="N804" s="33">
        <f ca="1">CHOOSE(1,W804*U804,X804*'[1]0、经济设定'!$C$18)</f>
        <v>224480</v>
      </c>
      <c r="O804">
        <f t="shared" si="344"/>
        <v>3</v>
      </c>
      <c r="P804">
        <f t="shared" si="345"/>
        <v>1</v>
      </c>
      <c r="Q804">
        <f t="shared" si="346"/>
        <v>1</v>
      </c>
      <c r="R804" s="2">
        <f t="shared" si="347"/>
        <v>5</v>
      </c>
      <c r="S804" s="2">
        <f t="shared" si="348"/>
        <v>50</v>
      </c>
      <c r="T804" s="2">
        <f t="shared" si="349"/>
        <v>215.21739130434784</v>
      </c>
      <c r="U804" s="2">
        <f ca="1">VLOOKUP(E804,金币生产率!$A$2:$B$120,2,0)</f>
        <v>2440</v>
      </c>
      <c r="V804" s="2">
        <f t="shared" si="350"/>
        <v>215.21739130434784</v>
      </c>
      <c r="W804" s="45">
        <f t="shared" ca="1" si="362"/>
        <v>92</v>
      </c>
      <c r="X804" s="48">
        <f t="shared" ca="1" si="363"/>
        <v>1285</v>
      </c>
      <c r="Y804">
        <f t="shared" si="351"/>
        <v>18</v>
      </c>
      <c r="Z804">
        <f t="shared" ca="1" si="357"/>
        <v>37</v>
      </c>
      <c r="AA804" t="str">
        <f t="shared" ca="1" si="358"/>
        <v>9213100.png</v>
      </c>
      <c r="AB804">
        <f t="shared" si="352"/>
        <v>20</v>
      </c>
      <c r="AC804">
        <f>VLOOKUP(C804,技能辅助查询表,技能配置辅助表!$W$1,FALSE)</f>
        <v>22</v>
      </c>
      <c r="AD804">
        <f t="shared" ca="1" si="359"/>
        <v>548.3870037456727</v>
      </c>
      <c r="AE804">
        <f>VLOOKUP(C804,技能辅助查询表,技能配置辅助表!$U$1,FALSE)</f>
        <v>1</v>
      </c>
      <c r="AF804">
        <f t="shared" ca="1" si="360"/>
        <v>9213137</v>
      </c>
      <c r="AG804">
        <f t="shared" ca="1" si="364"/>
        <v>60.102040816326529</v>
      </c>
      <c r="AH804">
        <f t="shared" ca="1" si="361"/>
        <v>1407.2186863941167</v>
      </c>
      <c r="AI804">
        <f ca="1">VLOOKUP(E804,伤害参考系!$C$4:$E$104,3,FALSE)*$AN$12</f>
        <v>10863.360489130437</v>
      </c>
      <c r="AJ804">
        <f>VLOOKUP(C804,技能辅助查询表,技能配置辅助表!$L$1,FALSE)</f>
        <v>1</v>
      </c>
      <c r="AK804">
        <f>VLOOKUP(C804,技能辅助查询表,技能配置辅助表!$AE$1,FALSE)</f>
        <v>66000289</v>
      </c>
    </row>
    <row r="805" spans="1:37" x14ac:dyDescent="0.15">
      <c r="A805" s="1">
        <f t="shared" ca="1" si="353"/>
        <v>9213138</v>
      </c>
      <c r="B805" s="1" t="str">
        <f t="shared" ca="1" si="338"/>
        <v>裂地诀</v>
      </c>
      <c r="C805" t="s">
        <v>166</v>
      </c>
      <c r="D805">
        <f t="shared" si="339"/>
        <v>2</v>
      </c>
      <c r="E805" s="42">
        <f t="shared" ca="1" si="354"/>
        <v>62</v>
      </c>
      <c r="F805" t="str">
        <f t="shared" ca="1" si="355"/>
        <v>第38级，共造成297%点伤害</v>
      </c>
      <c r="G805">
        <f t="shared" ca="1" si="356"/>
        <v>1</v>
      </c>
      <c r="H805">
        <f t="shared" si="340"/>
        <v>1</v>
      </c>
      <c r="I805" s="44">
        <f t="shared" ca="1" si="365"/>
        <v>38</v>
      </c>
      <c r="J805">
        <f t="shared" si="341"/>
        <v>1</v>
      </c>
      <c r="K805" s="36">
        <f t="shared" ca="1" si="342"/>
        <v>297</v>
      </c>
      <c r="L805" s="10">
        <f ca="1">AH805*VLOOKUP(C805,技能辅助查询表,技能配置辅助表!$T$1,FALSE)</f>
        <v>0</v>
      </c>
      <c r="M805">
        <f t="shared" ca="1" si="343"/>
        <v>6200</v>
      </c>
      <c r="N805" s="33">
        <f ca="1">CHOOSE(1,W805*U805,X805*'[1]0、经济设定'!$C$18)</f>
        <v>247352</v>
      </c>
      <c r="O805">
        <f t="shared" si="344"/>
        <v>3</v>
      </c>
      <c r="P805">
        <f t="shared" si="345"/>
        <v>1</v>
      </c>
      <c r="Q805">
        <f t="shared" si="346"/>
        <v>1</v>
      </c>
      <c r="R805" s="2">
        <f t="shared" si="347"/>
        <v>5</v>
      </c>
      <c r="S805" s="2">
        <f t="shared" si="348"/>
        <v>50</v>
      </c>
      <c r="T805" s="2">
        <f t="shared" si="349"/>
        <v>215.21739130434784</v>
      </c>
      <c r="U805" s="2">
        <f ca="1">VLOOKUP(E805,金币生产率!$A$2:$B$120,2,0)</f>
        <v>2524</v>
      </c>
      <c r="V805" s="2">
        <f t="shared" si="350"/>
        <v>215.21739130434784</v>
      </c>
      <c r="W805" s="45">
        <f t="shared" ca="1" si="362"/>
        <v>98</v>
      </c>
      <c r="X805" s="48">
        <f t="shared" ca="1" si="363"/>
        <v>1383</v>
      </c>
      <c r="Y805">
        <f t="shared" si="351"/>
        <v>18</v>
      </c>
      <c r="Z805">
        <f t="shared" ca="1" si="357"/>
        <v>40</v>
      </c>
      <c r="AA805" t="str">
        <f t="shared" ca="1" si="358"/>
        <v>9213100.png</v>
      </c>
      <c r="AB805">
        <f t="shared" si="352"/>
        <v>20</v>
      </c>
      <c r="AC805">
        <f>VLOOKUP(C805,技能辅助查询表,技能配置辅助表!$W$1,FALSE)</f>
        <v>22</v>
      </c>
      <c r="AD805">
        <f t="shared" ca="1" si="359"/>
        <v>631.22735254066754</v>
      </c>
      <c r="AE805">
        <f>VLOOKUP(C805,技能辅助查询表,技能配置辅助表!$U$1,FALSE)</f>
        <v>1</v>
      </c>
      <c r="AF805">
        <f t="shared" ca="1" si="360"/>
        <v>9213138</v>
      </c>
      <c r="AG805">
        <f t="shared" ca="1" si="364"/>
        <v>61.632653061224488</v>
      </c>
      <c r="AH805">
        <f t="shared" ca="1" si="361"/>
        <v>1602.0998795448415</v>
      </c>
      <c r="AI805">
        <f ca="1">VLOOKUP(E805,伤害参考系!$C$4:$E$104,3,FALSE)*$AN$12</f>
        <v>11398.657545150505</v>
      </c>
      <c r="AJ805">
        <f>VLOOKUP(C805,技能辅助查询表,技能配置辅助表!$L$1,FALSE)</f>
        <v>1</v>
      </c>
      <c r="AK805">
        <f>VLOOKUP(C805,技能辅助查询表,技能配置辅助表!$AE$1,FALSE)</f>
        <v>66000289</v>
      </c>
    </row>
    <row r="806" spans="1:37" x14ac:dyDescent="0.15">
      <c r="A806" s="1">
        <f t="shared" ca="1" si="353"/>
        <v>9213139</v>
      </c>
      <c r="B806" s="1" t="str">
        <f t="shared" ca="1" si="338"/>
        <v>裂地诀</v>
      </c>
      <c r="C806" t="s">
        <v>166</v>
      </c>
      <c r="D806">
        <f t="shared" si="339"/>
        <v>2</v>
      </c>
      <c r="E806" s="42">
        <f t="shared" ca="1" si="354"/>
        <v>64</v>
      </c>
      <c r="F806" t="str">
        <f t="shared" ca="1" si="355"/>
        <v>第39级，共造成299.2%点伤害</v>
      </c>
      <c r="G806">
        <f t="shared" ca="1" si="356"/>
        <v>1</v>
      </c>
      <c r="H806">
        <f t="shared" si="340"/>
        <v>1</v>
      </c>
      <c r="I806" s="44">
        <f t="shared" ca="1" si="365"/>
        <v>39</v>
      </c>
      <c r="J806">
        <f t="shared" si="341"/>
        <v>1</v>
      </c>
      <c r="K806" s="36">
        <f t="shared" ca="1" si="342"/>
        <v>299.1521739130435</v>
      </c>
      <c r="L806" s="10">
        <f ca="1">AH806*VLOOKUP(C806,技能辅助查询表,技能配置辅助表!$T$1,FALSE)</f>
        <v>0</v>
      </c>
      <c r="M806">
        <f t="shared" ca="1" si="343"/>
        <v>6100</v>
      </c>
      <c r="N806" s="33">
        <f ca="1">CHOOSE(1,W806*U806,X806*'[1]0、经济设定'!$C$18)</f>
        <v>282975</v>
      </c>
      <c r="O806">
        <f t="shared" si="344"/>
        <v>3</v>
      </c>
      <c r="P806">
        <f t="shared" si="345"/>
        <v>1</v>
      </c>
      <c r="Q806">
        <f t="shared" si="346"/>
        <v>1</v>
      </c>
      <c r="R806" s="2">
        <f t="shared" si="347"/>
        <v>5</v>
      </c>
      <c r="S806" s="2">
        <f t="shared" si="348"/>
        <v>50</v>
      </c>
      <c r="T806" s="2">
        <f t="shared" si="349"/>
        <v>215.21739130434784</v>
      </c>
      <c r="U806" s="2">
        <f ca="1">VLOOKUP(E806,金币生产率!$A$2:$B$120,2,0)</f>
        <v>2695</v>
      </c>
      <c r="V806" s="2">
        <f t="shared" si="350"/>
        <v>215.21739130434784</v>
      </c>
      <c r="W806" s="45">
        <f t="shared" ca="1" si="362"/>
        <v>105</v>
      </c>
      <c r="X806" s="48">
        <f t="shared" ca="1" si="363"/>
        <v>1488</v>
      </c>
      <c r="Y806">
        <f t="shared" si="351"/>
        <v>18</v>
      </c>
      <c r="Z806">
        <f t="shared" ca="1" si="357"/>
        <v>42</v>
      </c>
      <c r="AA806" t="str">
        <f t="shared" ca="1" si="358"/>
        <v>9213100.png</v>
      </c>
      <c r="AB806">
        <f t="shared" si="352"/>
        <v>20</v>
      </c>
      <c r="AC806">
        <f>VLOOKUP(C806,技能辅助查询表,技能配置辅助表!$W$1,FALSE)</f>
        <v>22</v>
      </c>
      <c r="AD806">
        <f t="shared" ca="1" si="359"/>
        <v>726.49499919838343</v>
      </c>
      <c r="AE806">
        <f>VLOOKUP(C806,技能辅助查询表,技能配置辅助表!$U$1,FALSE)</f>
        <v>1</v>
      </c>
      <c r="AF806">
        <f t="shared" ca="1" si="360"/>
        <v>9213139</v>
      </c>
      <c r="AG806">
        <f t="shared" ca="1" si="364"/>
        <v>63.163265306122447</v>
      </c>
      <c r="AH806">
        <f t="shared" ca="1" si="361"/>
        <v>1823.9695427969455</v>
      </c>
      <c r="AI806">
        <f ca="1">VLOOKUP(E806,伤害参考系!$C$4:$E$104,3,FALSE)*$AN$12</f>
        <v>12506.737545150507</v>
      </c>
      <c r="AJ806">
        <f>VLOOKUP(C806,技能辅助查询表,技能配置辅助表!$L$1,FALSE)</f>
        <v>1</v>
      </c>
      <c r="AK806">
        <f>VLOOKUP(C806,技能辅助查询表,技能配置辅助表!$AE$1,FALSE)</f>
        <v>66000289</v>
      </c>
    </row>
    <row r="807" spans="1:37" x14ac:dyDescent="0.15">
      <c r="A807" s="1">
        <f t="shared" ca="1" si="353"/>
        <v>9213140</v>
      </c>
      <c r="B807" s="1" t="str">
        <f t="shared" ca="1" si="338"/>
        <v>裂地诀</v>
      </c>
      <c r="C807" t="s">
        <v>166</v>
      </c>
      <c r="D807">
        <f t="shared" si="339"/>
        <v>2</v>
      </c>
      <c r="E807" s="42">
        <f t="shared" ca="1" si="354"/>
        <v>65</v>
      </c>
      <c r="F807" t="str">
        <f t="shared" ca="1" si="355"/>
        <v>第40级，共造成301.3%点伤害</v>
      </c>
      <c r="G807">
        <f t="shared" ca="1" si="356"/>
        <v>1</v>
      </c>
      <c r="H807">
        <f t="shared" si="340"/>
        <v>1</v>
      </c>
      <c r="I807" s="44">
        <f t="shared" ca="1" si="365"/>
        <v>40</v>
      </c>
      <c r="J807">
        <f t="shared" si="341"/>
        <v>1</v>
      </c>
      <c r="K807" s="36">
        <f t="shared" ca="1" si="342"/>
        <v>301.304347826087</v>
      </c>
      <c r="L807" s="10">
        <f ca="1">AH807*VLOOKUP(C807,技能辅助查询表,技能配置辅助表!$T$1,FALSE)</f>
        <v>0</v>
      </c>
      <c r="M807">
        <f t="shared" ca="1" si="343"/>
        <v>6000</v>
      </c>
      <c r="N807" s="33">
        <f ca="1">CHOOSE(1,W807*U807,X807*'[1]0、经济设定'!$C$18)</f>
        <v>311696</v>
      </c>
      <c r="O807">
        <f t="shared" si="344"/>
        <v>3</v>
      </c>
      <c r="P807">
        <f t="shared" si="345"/>
        <v>1</v>
      </c>
      <c r="Q807">
        <f t="shared" si="346"/>
        <v>1</v>
      </c>
      <c r="R807" s="2">
        <f t="shared" si="347"/>
        <v>5</v>
      </c>
      <c r="S807" s="2">
        <f t="shared" si="348"/>
        <v>50</v>
      </c>
      <c r="T807" s="2">
        <f t="shared" si="349"/>
        <v>215.21739130434784</v>
      </c>
      <c r="U807" s="2">
        <f ca="1">VLOOKUP(E807,金币生产率!$A$2:$B$120,2,0)</f>
        <v>2783</v>
      </c>
      <c r="V807" s="2">
        <f t="shared" si="350"/>
        <v>215.21739130434784</v>
      </c>
      <c r="W807" s="45">
        <f t="shared" ca="1" si="362"/>
        <v>112</v>
      </c>
      <c r="X807" s="48">
        <f t="shared" ca="1" si="363"/>
        <v>1600</v>
      </c>
      <c r="Y807">
        <f t="shared" si="351"/>
        <v>18</v>
      </c>
      <c r="Z807">
        <f t="shared" ca="1" si="357"/>
        <v>45</v>
      </c>
      <c r="AA807" t="str">
        <f t="shared" ca="1" si="358"/>
        <v>9213100.png</v>
      </c>
      <c r="AB807">
        <f t="shared" si="352"/>
        <v>20</v>
      </c>
      <c r="AC807">
        <f>VLOOKUP(C807,技能辅助查询表,技能配置辅助表!$W$1,FALSE)</f>
        <v>22</v>
      </c>
      <c r="AD807">
        <f t="shared" ca="1" si="359"/>
        <v>836.04321572183437</v>
      </c>
      <c r="AE807">
        <f>VLOOKUP(C807,技能辅助查询表,技能配置辅助表!$U$1,FALSE)</f>
        <v>1</v>
      </c>
      <c r="AF807">
        <f t="shared" ca="1" si="360"/>
        <v>9213140</v>
      </c>
      <c r="AG807">
        <f t="shared" ca="1" si="364"/>
        <v>64.693877551020407</v>
      </c>
      <c r="AH807">
        <f t="shared" ca="1" si="361"/>
        <v>2076.5652226352254</v>
      </c>
      <c r="AI807">
        <f ca="1">VLOOKUP(E807,伤害参考系!$C$4:$E$104,3,FALSE)*$AN$12</f>
        <v>13079.520489130437</v>
      </c>
      <c r="AJ807">
        <f>VLOOKUP(C807,技能辅助查询表,技能配置辅助表!$L$1,FALSE)</f>
        <v>1</v>
      </c>
      <c r="AK807">
        <f>VLOOKUP(C807,技能辅助查询表,技能配置辅助表!$AE$1,FALSE)</f>
        <v>66000289</v>
      </c>
    </row>
    <row r="808" spans="1:37" x14ac:dyDescent="0.15">
      <c r="A808" s="1">
        <f t="shared" ca="1" si="353"/>
        <v>9213141</v>
      </c>
      <c r="B808" s="1" t="str">
        <f t="shared" ca="1" si="338"/>
        <v>裂地诀</v>
      </c>
      <c r="C808" t="s">
        <v>166</v>
      </c>
      <c r="D808">
        <f t="shared" si="339"/>
        <v>2</v>
      </c>
      <c r="E808" s="42">
        <f t="shared" ca="1" si="354"/>
        <v>67</v>
      </c>
      <c r="F808" t="str">
        <f t="shared" ca="1" si="355"/>
        <v>第41级，共造成303.5%点伤害</v>
      </c>
      <c r="G808">
        <f t="shared" ca="1" si="356"/>
        <v>1</v>
      </c>
      <c r="H808">
        <f t="shared" si="340"/>
        <v>1</v>
      </c>
      <c r="I808" s="44">
        <f t="shared" ca="1" si="365"/>
        <v>41</v>
      </c>
      <c r="J808">
        <f t="shared" si="341"/>
        <v>1</v>
      </c>
      <c r="K808" s="36">
        <f t="shared" ca="1" si="342"/>
        <v>303.45652173913049</v>
      </c>
      <c r="L808" s="10">
        <f ca="1">AH808*VLOOKUP(C808,技能辅助查询表,技能配置辅助表!$T$1,FALSE)</f>
        <v>0</v>
      </c>
      <c r="M808">
        <f t="shared" ca="1" si="343"/>
        <v>5900</v>
      </c>
      <c r="N808" s="33">
        <f ca="1">CHOOSE(1,W808*U808,X808*'[1]0、经济设定'!$C$18)</f>
        <v>355560</v>
      </c>
      <c r="O808">
        <f t="shared" si="344"/>
        <v>3</v>
      </c>
      <c r="P808">
        <f t="shared" si="345"/>
        <v>1</v>
      </c>
      <c r="Q808">
        <f t="shared" si="346"/>
        <v>1</v>
      </c>
      <c r="R808" s="2">
        <f t="shared" si="347"/>
        <v>5</v>
      </c>
      <c r="S808" s="2">
        <f t="shared" si="348"/>
        <v>50</v>
      </c>
      <c r="T808" s="2">
        <f t="shared" si="349"/>
        <v>215.21739130434784</v>
      </c>
      <c r="U808" s="2">
        <f ca="1">VLOOKUP(E808,金币生产率!$A$2:$B$120,2,0)</f>
        <v>2963</v>
      </c>
      <c r="V808" s="2">
        <f t="shared" si="350"/>
        <v>215.21739130434784</v>
      </c>
      <c r="W808" s="45">
        <f t="shared" ca="1" si="362"/>
        <v>120</v>
      </c>
      <c r="X808" s="48">
        <f t="shared" ca="1" si="363"/>
        <v>1720</v>
      </c>
      <c r="Y808">
        <f t="shared" si="351"/>
        <v>18</v>
      </c>
      <c r="Z808">
        <f t="shared" ca="1" si="357"/>
        <v>48</v>
      </c>
      <c r="AA808" t="str">
        <f t="shared" ca="1" si="358"/>
        <v>9213100.png</v>
      </c>
      <c r="AB808">
        <f t="shared" si="352"/>
        <v>20</v>
      </c>
      <c r="AC808">
        <f>VLOOKUP(C808,技能辅助查询表,技能配置辅助表!$W$1,FALSE)</f>
        <v>22</v>
      </c>
      <c r="AD808">
        <f t="shared" ca="1" si="359"/>
        <v>962.00024343137613</v>
      </c>
      <c r="AE808">
        <f>VLOOKUP(C808,技能辅助查询表,技能配置辅助表!$U$1,FALSE)</f>
        <v>1</v>
      </c>
      <c r="AF808">
        <f t="shared" ca="1" si="360"/>
        <v>9213141</v>
      </c>
      <c r="AG808">
        <f t="shared" ca="1" si="364"/>
        <v>66.224489795918373</v>
      </c>
      <c r="AH808">
        <f t="shared" ca="1" si="361"/>
        <v>2364.1420663448707</v>
      </c>
      <c r="AI808">
        <f ca="1">VLOOKUP(E808,伤害参考系!$C$4:$E$104,3,FALSE)*$AN$12</f>
        <v>14262.572265050176</v>
      </c>
      <c r="AJ808">
        <f>VLOOKUP(C808,技能辅助查询表,技能配置辅助表!$L$1,FALSE)</f>
        <v>1</v>
      </c>
      <c r="AK808">
        <f>VLOOKUP(C808,技能辅助查询表,技能配置辅助表!$AE$1,FALSE)</f>
        <v>66000289</v>
      </c>
    </row>
    <row r="809" spans="1:37" x14ac:dyDescent="0.15">
      <c r="A809" s="1">
        <f t="shared" ca="1" si="353"/>
        <v>9213142</v>
      </c>
      <c r="B809" s="1" t="str">
        <f t="shared" ca="1" si="338"/>
        <v>裂地诀</v>
      </c>
      <c r="C809" t="s">
        <v>166</v>
      </c>
      <c r="D809">
        <f t="shared" si="339"/>
        <v>2</v>
      </c>
      <c r="E809" s="42">
        <f t="shared" ca="1" si="354"/>
        <v>68</v>
      </c>
      <c r="F809" t="str">
        <f t="shared" ca="1" si="355"/>
        <v>第42级，共造成305.6%点伤害</v>
      </c>
      <c r="G809">
        <f t="shared" ca="1" si="356"/>
        <v>1</v>
      </c>
      <c r="H809">
        <f t="shared" si="340"/>
        <v>1</v>
      </c>
      <c r="I809" s="44">
        <f t="shared" ca="1" si="365"/>
        <v>42</v>
      </c>
      <c r="J809">
        <f t="shared" si="341"/>
        <v>1</v>
      </c>
      <c r="K809" s="36">
        <f t="shared" ca="1" si="342"/>
        <v>305.60869565217394</v>
      </c>
      <c r="L809" s="10">
        <f ca="1">AH809*VLOOKUP(C809,技能辅助查询表,技能配置辅助表!$T$1,FALSE)</f>
        <v>0</v>
      </c>
      <c r="M809">
        <f t="shared" ca="1" si="343"/>
        <v>5800</v>
      </c>
      <c r="N809" s="33">
        <f ca="1">CHOOSE(1,W809*U809,X809*'[1]0、经济设定'!$C$18)</f>
        <v>390912</v>
      </c>
      <c r="O809">
        <f t="shared" si="344"/>
        <v>3</v>
      </c>
      <c r="P809">
        <f t="shared" si="345"/>
        <v>1</v>
      </c>
      <c r="Q809">
        <f t="shared" si="346"/>
        <v>1</v>
      </c>
      <c r="R809" s="2">
        <f t="shared" si="347"/>
        <v>5</v>
      </c>
      <c r="S809" s="2">
        <f t="shared" si="348"/>
        <v>50</v>
      </c>
      <c r="T809" s="2">
        <f t="shared" si="349"/>
        <v>215.21739130434784</v>
      </c>
      <c r="U809" s="2">
        <f ca="1">VLOOKUP(E809,金币生产率!$A$2:$B$120,2,0)</f>
        <v>3054</v>
      </c>
      <c r="V809" s="2">
        <f t="shared" si="350"/>
        <v>215.21739130434784</v>
      </c>
      <c r="W809" s="45">
        <f t="shared" ca="1" si="362"/>
        <v>128</v>
      </c>
      <c r="X809" s="48">
        <f t="shared" ca="1" si="363"/>
        <v>1848</v>
      </c>
      <c r="Y809">
        <f t="shared" si="351"/>
        <v>18</v>
      </c>
      <c r="Z809">
        <f t="shared" ca="1" si="357"/>
        <v>52</v>
      </c>
      <c r="AA809" t="str">
        <f t="shared" ca="1" si="358"/>
        <v>9213100.png</v>
      </c>
      <c r="AB809">
        <f t="shared" si="352"/>
        <v>20</v>
      </c>
      <c r="AC809">
        <f>VLOOKUP(C809,技能辅助查询表,技能配置辅助表!$W$1,FALSE)</f>
        <v>22</v>
      </c>
      <c r="AD809">
        <f t="shared" ca="1" si="359"/>
        <v>1106.8099090550145</v>
      </c>
      <c r="AE809">
        <f>VLOOKUP(C809,技能辅助查询表,技能配置辅助表!$U$1,FALSE)</f>
        <v>1</v>
      </c>
      <c r="AF809">
        <f t="shared" ca="1" si="360"/>
        <v>9213142</v>
      </c>
      <c r="AG809">
        <f t="shared" ca="1" si="364"/>
        <v>67.755102040816325</v>
      </c>
      <c r="AH809">
        <f t="shared" ca="1" si="361"/>
        <v>2691.5445028827789</v>
      </c>
      <c r="AI809">
        <f ca="1">VLOOKUP(E809,伤害参考系!$C$4:$E$104,3,FALSE)*$AN$12</f>
        <v>14872.841096989978</v>
      </c>
      <c r="AJ809">
        <f>VLOOKUP(C809,技能辅助查询表,技能配置辅助表!$L$1,FALSE)</f>
        <v>1</v>
      </c>
      <c r="AK809">
        <f>VLOOKUP(C809,技能辅助查询表,技能配置辅助表!$AE$1,FALSE)</f>
        <v>66000289</v>
      </c>
    </row>
    <row r="810" spans="1:37" x14ac:dyDescent="0.15">
      <c r="A810" s="1">
        <f t="shared" ca="1" si="353"/>
        <v>9213143</v>
      </c>
      <c r="B810" s="1" t="str">
        <f t="shared" ca="1" si="338"/>
        <v>裂地诀</v>
      </c>
      <c r="C810" t="s">
        <v>166</v>
      </c>
      <c r="D810">
        <f t="shared" si="339"/>
        <v>2</v>
      </c>
      <c r="E810" s="42">
        <f t="shared" ca="1" si="354"/>
        <v>70</v>
      </c>
      <c r="F810" t="str">
        <f t="shared" ca="1" si="355"/>
        <v>第43级，共造成307.8%点伤害</v>
      </c>
      <c r="G810">
        <f t="shared" ca="1" si="356"/>
        <v>1</v>
      </c>
      <c r="H810">
        <f t="shared" si="340"/>
        <v>1</v>
      </c>
      <c r="I810" s="44">
        <f t="shared" ca="1" si="365"/>
        <v>43</v>
      </c>
      <c r="J810">
        <f t="shared" si="341"/>
        <v>1</v>
      </c>
      <c r="K810" s="36">
        <f t="shared" ca="1" si="342"/>
        <v>307.76086956521743</v>
      </c>
      <c r="L810" s="10">
        <f ca="1">AH810*VLOOKUP(C810,技能辅助查询表,技能配置辅助表!$T$1,FALSE)</f>
        <v>0</v>
      </c>
      <c r="M810">
        <f t="shared" ca="1" si="343"/>
        <v>5700</v>
      </c>
      <c r="N810" s="33">
        <f ca="1">CHOOSE(1,W810*U810,X810*'[1]0、经济设定'!$C$18)</f>
        <v>444154</v>
      </c>
      <c r="O810">
        <f t="shared" si="344"/>
        <v>3</v>
      </c>
      <c r="P810">
        <f t="shared" si="345"/>
        <v>1</v>
      </c>
      <c r="Q810">
        <f t="shared" si="346"/>
        <v>1</v>
      </c>
      <c r="R810" s="2">
        <f t="shared" si="347"/>
        <v>5</v>
      </c>
      <c r="S810" s="2">
        <f t="shared" si="348"/>
        <v>50</v>
      </c>
      <c r="T810" s="2">
        <f t="shared" si="349"/>
        <v>215.21739130434784</v>
      </c>
      <c r="U810" s="2">
        <f ca="1">VLOOKUP(E810,金币生产率!$A$2:$B$120,2,0)</f>
        <v>3242</v>
      </c>
      <c r="V810" s="2">
        <f t="shared" si="350"/>
        <v>215.21739130434784</v>
      </c>
      <c r="W810" s="45">
        <f t="shared" ca="1" si="362"/>
        <v>137</v>
      </c>
      <c r="X810" s="48">
        <f t="shared" ca="1" si="363"/>
        <v>1985</v>
      </c>
      <c r="Y810">
        <f t="shared" si="351"/>
        <v>18</v>
      </c>
      <c r="Z810">
        <f t="shared" ca="1" si="357"/>
        <v>55</v>
      </c>
      <c r="AA810" t="str">
        <f t="shared" ca="1" si="358"/>
        <v>9213100.png</v>
      </c>
      <c r="AB810">
        <f t="shared" si="352"/>
        <v>20</v>
      </c>
      <c r="AC810">
        <f>VLOOKUP(C810,技能辅助查询表,技能配置辅助表!$W$1,FALSE)</f>
        <v>22</v>
      </c>
      <c r="AD810">
        <f t="shared" ca="1" si="359"/>
        <v>1273.2782168785488</v>
      </c>
      <c r="AE810">
        <f>VLOOKUP(C810,技能辅助查询表,技能配置辅助表!$U$1,FALSE)</f>
        <v>1</v>
      </c>
      <c r="AF810">
        <f t="shared" ca="1" si="360"/>
        <v>9213143</v>
      </c>
      <c r="AG810">
        <f t="shared" ca="1" si="364"/>
        <v>69.285714285714292</v>
      </c>
      <c r="AH810">
        <f t="shared" ca="1" si="361"/>
        <v>3064.2878506023458</v>
      </c>
      <c r="AI810">
        <f ca="1">VLOOKUP(E810,伤害参考系!$C$4:$E$104,3,FALSE)*$AN$12</f>
        <v>16191.966408862889</v>
      </c>
      <c r="AJ810">
        <f>VLOOKUP(C810,技能辅助查询表,技能配置辅助表!$L$1,FALSE)</f>
        <v>1</v>
      </c>
      <c r="AK810">
        <f>VLOOKUP(C810,技能辅助查询表,技能配置辅助表!$AE$1,FALSE)</f>
        <v>66000289</v>
      </c>
    </row>
    <row r="811" spans="1:37" x14ac:dyDescent="0.15">
      <c r="A811" s="1">
        <f t="shared" ca="1" si="353"/>
        <v>9213144</v>
      </c>
      <c r="B811" s="1" t="str">
        <f t="shared" ca="1" si="338"/>
        <v>裂地诀</v>
      </c>
      <c r="C811" t="s">
        <v>166</v>
      </c>
      <c r="D811">
        <f t="shared" si="339"/>
        <v>2</v>
      </c>
      <c r="E811" s="42">
        <f t="shared" ca="1" si="354"/>
        <v>71</v>
      </c>
      <c r="F811" t="str">
        <f t="shared" ca="1" si="355"/>
        <v>第44级，共造成309.9%点伤害</v>
      </c>
      <c r="G811">
        <f t="shared" ca="1" si="356"/>
        <v>1</v>
      </c>
      <c r="H811">
        <f t="shared" si="340"/>
        <v>1</v>
      </c>
      <c r="I811" s="44">
        <f t="shared" ca="1" si="365"/>
        <v>44</v>
      </c>
      <c r="J811">
        <f t="shared" si="341"/>
        <v>1</v>
      </c>
      <c r="K811" s="36">
        <f t="shared" ca="1" si="342"/>
        <v>309.91304347826087</v>
      </c>
      <c r="L811" s="10">
        <f ca="1">AH811*VLOOKUP(C811,技能辅助查询表,技能配置辅助表!$T$1,FALSE)</f>
        <v>0</v>
      </c>
      <c r="M811">
        <f t="shared" ca="1" si="343"/>
        <v>5600</v>
      </c>
      <c r="N811" s="33">
        <f ca="1">CHOOSE(1,W811*U811,X811*'[1]0、经济设定'!$C$18)</f>
        <v>490686</v>
      </c>
      <c r="O811">
        <f t="shared" si="344"/>
        <v>3</v>
      </c>
      <c r="P811">
        <f t="shared" si="345"/>
        <v>1</v>
      </c>
      <c r="Q811">
        <f t="shared" si="346"/>
        <v>1</v>
      </c>
      <c r="R811" s="2">
        <f t="shared" si="347"/>
        <v>5</v>
      </c>
      <c r="S811" s="2">
        <f t="shared" si="348"/>
        <v>50</v>
      </c>
      <c r="T811" s="2">
        <f t="shared" si="349"/>
        <v>215.21739130434784</v>
      </c>
      <c r="U811" s="2">
        <f ca="1">VLOOKUP(E811,金币生产率!$A$2:$B$120,2,0)</f>
        <v>3338</v>
      </c>
      <c r="V811" s="2">
        <f t="shared" si="350"/>
        <v>215.21739130434784</v>
      </c>
      <c r="W811" s="45">
        <f t="shared" ca="1" si="362"/>
        <v>147</v>
      </c>
      <c r="X811" s="48">
        <f t="shared" ca="1" si="363"/>
        <v>2132</v>
      </c>
      <c r="Y811">
        <f t="shared" si="351"/>
        <v>18</v>
      </c>
      <c r="Z811">
        <f t="shared" ca="1" si="357"/>
        <v>59</v>
      </c>
      <c r="AA811" t="str">
        <f t="shared" ca="1" si="358"/>
        <v>9213100.png</v>
      </c>
      <c r="AB811">
        <f t="shared" si="352"/>
        <v>20</v>
      </c>
      <c r="AC811">
        <f>VLOOKUP(C811,技能辅助查询表,技能配置辅助表!$W$1,FALSE)</f>
        <v>22</v>
      </c>
      <c r="AD811">
        <f t="shared" ca="1" si="359"/>
        <v>1464.6267932068574</v>
      </c>
      <c r="AE811">
        <f>VLOOKUP(C811,技能辅助查询表,技能配置辅助表!$U$1,FALSE)</f>
        <v>1</v>
      </c>
      <c r="AF811">
        <f t="shared" ca="1" si="360"/>
        <v>9213144</v>
      </c>
      <c r="AG811">
        <f t="shared" ca="1" si="364"/>
        <v>70.816326530612244</v>
      </c>
      <c r="AH811">
        <f t="shared" ca="1" si="361"/>
        <v>3488.6512265697725</v>
      </c>
      <c r="AI811">
        <f ca="1">VLOOKUP(E811,伤害参考系!$C$4:$E$104,3,FALSE)*$AN$12</f>
        <v>16902.905438127098</v>
      </c>
      <c r="AJ811">
        <f>VLOOKUP(C811,技能辅助查询表,技能配置辅助表!$L$1,FALSE)</f>
        <v>1</v>
      </c>
      <c r="AK811">
        <f>VLOOKUP(C811,技能辅助查询表,技能配置辅助表!$AE$1,FALSE)</f>
        <v>66000289</v>
      </c>
    </row>
    <row r="812" spans="1:37" x14ac:dyDescent="0.15">
      <c r="A812" s="1">
        <f t="shared" ca="1" si="353"/>
        <v>9213145</v>
      </c>
      <c r="B812" s="1" t="str">
        <f t="shared" ca="1" si="338"/>
        <v>裂地诀</v>
      </c>
      <c r="C812" t="s">
        <v>166</v>
      </c>
      <c r="D812">
        <f t="shared" si="339"/>
        <v>2</v>
      </c>
      <c r="E812" s="42">
        <f t="shared" ca="1" si="354"/>
        <v>73</v>
      </c>
      <c r="F812" t="str">
        <f t="shared" ca="1" si="355"/>
        <v>第45级，共造成312.1%点伤害</v>
      </c>
      <c r="G812">
        <f t="shared" ca="1" si="356"/>
        <v>1</v>
      </c>
      <c r="H812">
        <f t="shared" si="340"/>
        <v>1</v>
      </c>
      <c r="I812" s="44">
        <f t="shared" ca="1" si="365"/>
        <v>45</v>
      </c>
      <c r="J812">
        <f t="shared" si="341"/>
        <v>1</v>
      </c>
      <c r="K812" s="36">
        <f t="shared" ca="1" si="342"/>
        <v>312.06521739130437</v>
      </c>
      <c r="L812" s="10">
        <f ca="1">AH812*VLOOKUP(C812,技能辅助查询表,技能配置辅助表!$T$1,FALSE)</f>
        <v>0</v>
      </c>
      <c r="M812">
        <f t="shared" ca="1" si="343"/>
        <v>5500</v>
      </c>
      <c r="N812" s="33">
        <f ca="1">CHOOSE(1,W812*U812,X812*'[1]0、经济设定'!$C$18)</f>
        <v>554838</v>
      </c>
      <c r="O812">
        <f t="shared" si="344"/>
        <v>3</v>
      </c>
      <c r="P812">
        <f t="shared" si="345"/>
        <v>1</v>
      </c>
      <c r="Q812">
        <f t="shared" si="346"/>
        <v>1</v>
      </c>
      <c r="R812" s="2">
        <f t="shared" si="347"/>
        <v>5</v>
      </c>
      <c r="S812" s="2">
        <f t="shared" si="348"/>
        <v>50</v>
      </c>
      <c r="T812" s="2">
        <f t="shared" si="349"/>
        <v>215.21739130434784</v>
      </c>
      <c r="U812" s="2">
        <f ca="1">VLOOKUP(E812,金币生产率!$A$2:$B$120,2,0)</f>
        <v>3534</v>
      </c>
      <c r="V812" s="2">
        <f t="shared" si="350"/>
        <v>215.21739130434784</v>
      </c>
      <c r="W812" s="45">
        <f t="shared" ca="1" si="362"/>
        <v>157</v>
      </c>
      <c r="X812" s="48">
        <f t="shared" ca="1" si="363"/>
        <v>2289</v>
      </c>
      <c r="Y812">
        <f t="shared" si="351"/>
        <v>18</v>
      </c>
      <c r="Z812">
        <f t="shared" ca="1" si="357"/>
        <v>63</v>
      </c>
      <c r="AA812" t="str">
        <f t="shared" ca="1" si="358"/>
        <v>9213100.png</v>
      </c>
      <c r="AB812">
        <f t="shared" si="352"/>
        <v>20</v>
      </c>
      <c r="AC812">
        <f>VLOOKUP(C812,技能辅助查询表,技能配置辅助表!$W$1,FALSE)</f>
        <v>22</v>
      </c>
      <c r="AD812">
        <f t="shared" ca="1" si="359"/>
        <v>1684.5541874736875</v>
      </c>
      <c r="AE812">
        <f>VLOOKUP(C812,技能辅助查询表,技能配置辅助表!$U$1,FALSE)</f>
        <v>1</v>
      </c>
      <c r="AF812">
        <f t="shared" ca="1" si="360"/>
        <v>9213145</v>
      </c>
      <c r="AG812">
        <f t="shared" ca="1" si="364"/>
        <v>72.34693877551021</v>
      </c>
      <c r="AH812">
        <f t="shared" ca="1" si="361"/>
        <v>3971.7833225930094</v>
      </c>
      <c r="AI812">
        <f ca="1">VLOOKUP(E812,伤害参考系!$C$4:$E$104,3,FALSE)*$AN$12</f>
        <v>18368.517032608706</v>
      </c>
      <c r="AJ812">
        <f>VLOOKUP(C812,技能辅助查询表,技能配置辅助表!$L$1,FALSE)</f>
        <v>1</v>
      </c>
      <c r="AK812">
        <f>VLOOKUP(C812,技能辅助查询表,技能配置辅助表!$AE$1,FALSE)</f>
        <v>66000289</v>
      </c>
    </row>
    <row r="813" spans="1:37" x14ac:dyDescent="0.15">
      <c r="A813" s="1">
        <f t="shared" ca="1" si="353"/>
        <v>9213146</v>
      </c>
      <c r="B813" s="1" t="str">
        <f t="shared" ca="1" si="338"/>
        <v>裂地诀</v>
      </c>
      <c r="C813" t="s">
        <v>166</v>
      </c>
      <c r="D813">
        <f t="shared" si="339"/>
        <v>2</v>
      </c>
      <c r="E813" s="42">
        <f t="shared" ca="1" si="354"/>
        <v>74</v>
      </c>
      <c r="F813" t="str">
        <f t="shared" ca="1" si="355"/>
        <v>第46级，共造成314.2%点伤害</v>
      </c>
      <c r="G813">
        <f t="shared" ca="1" si="356"/>
        <v>1</v>
      </c>
      <c r="H813">
        <f t="shared" si="340"/>
        <v>1</v>
      </c>
      <c r="I813" s="44">
        <f t="shared" ca="1" si="365"/>
        <v>46</v>
      </c>
      <c r="J813">
        <f t="shared" si="341"/>
        <v>1</v>
      </c>
      <c r="K813" s="36">
        <f t="shared" ca="1" si="342"/>
        <v>314.21739130434787</v>
      </c>
      <c r="L813" s="39">
        <f ca="1">AH813*VLOOKUP(C813,技能辅助查询表,技能配置辅助表!$T$1,FALSE)</f>
        <v>0</v>
      </c>
      <c r="M813">
        <f t="shared" ca="1" si="343"/>
        <v>5400</v>
      </c>
      <c r="N813" s="33">
        <f ca="1">CHOOSE(1,W813*U813,X813*'[1]0、经济设定'!$C$18)</f>
        <v>610512</v>
      </c>
      <c r="O813">
        <f t="shared" si="344"/>
        <v>3</v>
      </c>
      <c r="P813">
        <f t="shared" si="345"/>
        <v>1</v>
      </c>
      <c r="Q813">
        <f t="shared" si="346"/>
        <v>1</v>
      </c>
      <c r="R813" s="2">
        <f t="shared" si="347"/>
        <v>5</v>
      </c>
      <c r="S813" s="2">
        <f t="shared" si="348"/>
        <v>50</v>
      </c>
      <c r="T813" s="2">
        <f t="shared" si="349"/>
        <v>215.21739130434784</v>
      </c>
      <c r="U813" s="2">
        <f ca="1">VLOOKUP(E813,金币生产率!$A$2:$B$120,2,0)</f>
        <v>3634</v>
      </c>
      <c r="V813" s="2">
        <f t="shared" si="350"/>
        <v>215.21739130434784</v>
      </c>
      <c r="W813" s="45">
        <f t="shared" ca="1" si="362"/>
        <v>168</v>
      </c>
      <c r="X813" s="48">
        <f t="shared" ca="1" si="363"/>
        <v>2457</v>
      </c>
      <c r="Y813">
        <f t="shared" si="351"/>
        <v>18</v>
      </c>
      <c r="Z813">
        <f t="shared" ca="1" si="357"/>
        <v>68</v>
      </c>
      <c r="AA813" t="str">
        <f t="shared" ca="1" si="358"/>
        <v>9213100.png</v>
      </c>
      <c r="AB813">
        <f t="shared" si="352"/>
        <v>20</v>
      </c>
      <c r="AC813">
        <f>VLOOKUP(C813,技能辅助查询表,技能配置辅助表!$W$1,FALSE)</f>
        <v>22</v>
      </c>
      <c r="AD813">
        <f t="shared" ca="1" si="359"/>
        <v>1937.3061810945248</v>
      </c>
      <c r="AE813">
        <f>VLOOKUP(C813,技能辅助查询表,技能配置辅助表!$U$1,FALSE)</f>
        <v>1</v>
      </c>
      <c r="AF813">
        <f t="shared" ca="1" si="360"/>
        <v>9213146</v>
      </c>
      <c r="AG813">
        <f t="shared" ca="1" si="364"/>
        <v>73.877551020408163</v>
      </c>
      <c r="AH813">
        <f t="shared" ca="1" si="361"/>
        <v>4521.8228298329677</v>
      </c>
      <c r="AI813">
        <f ca="1">VLOOKUP(E813,伤害参考系!$C$4:$E$104,3,FALSE)*$AN$12</f>
        <v>19123.189597826095</v>
      </c>
      <c r="AJ813">
        <f>VLOOKUP(C813,技能辅助查询表,技能配置辅助表!$L$1,FALSE)</f>
        <v>1</v>
      </c>
      <c r="AK813">
        <f>VLOOKUP(C813,技能辅助查询表,技能配置辅助表!$AE$1,FALSE)</f>
        <v>66000289</v>
      </c>
    </row>
    <row r="814" spans="1:37" x14ac:dyDescent="0.15">
      <c r="A814" s="1">
        <f t="shared" ca="1" si="353"/>
        <v>9213147</v>
      </c>
      <c r="B814" s="1" t="str">
        <f t="shared" ca="1" si="338"/>
        <v>裂地诀</v>
      </c>
      <c r="C814" t="s">
        <v>166</v>
      </c>
      <c r="D814">
        <f t="shared" si="339"/>
        <v>2</v>
      </c>
      <c r="E814" s="42">
        <f t="shared" ca="1" si="354"/>
        <v>76</v>
      </c>
      <c r="F814" t="str">
        <f t="shared" ca="1" si="355"/>
        <v>第47级，共造成316.4%点伤害</v>
      </c>
      <c r="G814">
        <f t="shared" ca="1" si="356"/>
        <v>1</v>
      </c>
      <c r="H814">
        <f t="shared" si="340"/>
        <v>1</v>
      </c>
      <c r="I814" s="44">
        <f t="shared" ca="1" si="365"/>
        <v>47</v>
      </c>
      <c r="J814">
        <f t="shared" si="341"/>
        <v>1</v>
      </c>
      <c r="K814" s="36">
        <f t="shared" ca="1" si="342"/>
        <v>316.36956521739131</v>
      </c>
      <c r="L814" s="10">
        <f ca="1">AH814*VLOOKUP(C814,技能辅助查询表,技能配置辅助表!$T$1,FALSE)</f>
        <v>0</v>
      </c>
      <c r="M814">
        <f t="shared" ca="1" si="343"/>
        <v>5300</v>
      </c>
      <c r="N814" s="33">
        <f ca="1">CHOOSE(1,W814*U814,X814*'[1]0、经济设定'!$C$18)</f>
        <v>690840</v>
      </c>
      <c r="O814">
        <f t="shared" si="344"/>
        <v>3</v>
      </c>
      <c r="P814">
        <f t="shared" si="345"/>
        <v>1</v>
      </c>
      <c r="Q814">
        <f t="shared" si="346"/>
        <v>1</v>
      </c>
      <c r="R814" s="2">
        <f t="shared" si="347"/>
        <v>5</v>
      </c>
      <c r="S814" s="2">
        <f t="shared" si="348"/>
        <v>50</v>
      </c>
      <c r="T814" s="2">
        <f t="shared" si="349"/>
        <v>215.21739130434784</v>
      </c>
      <c r="U814" s="2">
        <f ca="1">VLOOKUP(E814,金币生产率!$A$2:$B$120,2,0)</f>
        <v>3838</v>
      </c>
      <c r="V814" s="2">
        <f t="shared" si="350"/>
        <v>215.21739130434784</v>
      </c>
      <c r="W814" s="45">
        <f t="shared" ca="1" si="362"/>
        <v>180</v>
      </c>
      <c r="X814" s="48">
        <f t="shared" ca="1" si="363"/>
        <v>2637</v>
      </c>
      <c r="Y814">
        <f t="shared" si="351"/>
        <v>18</v>
      </c>
      <c r="Z814">
        <f t="shared" ca="1" si="357"/>
        <v>72</v>
      </c>
      <c r="AA814" t="str">
        <f t="shared" ca="1" si="358"/>
        <v>9213100.png</v>
      </c>
      <c r="AB814">
        <f t="shared" si="352"/>
        <v>20</v>
      </c>
      <c r="AC814">
        <f>VLOOKUP(C814,技能辅助查询表,技能配置辅助表!$W$1,FALSE)</f>
        <v>22</v>
      </c>
      <c r="AD814">
        <f t="shared" ca="1" si="359"/>
        <v>2227.7564233004855</v>
      </c>
      <c r="AE814">
        <f>VLOOKUP(C814,技能辅助查询表,技能配置辅助表!$U$1,FALSE)</f>
        <v>1</v>
      </c>
      <c r="AF814">
        <f t="shared" ca="1" si="360"/>
        <v>9213147</v>
      </c>
      <c r="AG814">
        <f t="shared" ca="1" si="364"/>
        <v>75.408163265306129</v>
      </c>
      <c r="AH814">
        <f t="shared" ca="1" si="361"/>
        <v>5148.0355406320868</v>
      </c>
      <c r="AI814">
        <f ca="1">VLOOKUP(E814,伤害参考系!$C$4:$E$104,3,FALSE)*$AN$12</f>
        <v>20676.268264214057</v>
      </c>
      <c r="AJ814">
        <f>VLOOKUP(C814,技能辅助查询表,技能配置辅助表!$L$1,FALSE)</f>
        <v>1</v>
      </c>
      <c r="AK814">
        <f>VLOOKUP(C814,技能辅助查询表,技能配置辅助表!$AE$1,FALSE)</f>
        <v>66000289</v>
      </c>
    </row>
    <row r="815" spans="1:37" x14ac:dyDescent="0.15">
      <c r="A815" s="1">
        <f t="shared" ca="1" si="353"/>
        <v>9213148</v>
      </c>
      <c r="B815" s="1" t="str">
        <f t="shared" ca="1" si="338"/>
        <v>裂地诀</v>
      </c>
      <c r="C815" t="s">
        <v>166</v>
      </c>
      <c r="D815">
        <f t="shared" si="339"/>
        <v>2</v>
      </c>
      <c r="E815" s="42">
        <f t="shared" ca="1" si="354"/>
        <v>77</v>
      </c>
      <c r="F815" t="str">
        <f t="shared" ca="1" si="355"/>
        <v>第48级，共造成318.5%点伤害</v>
      </c>
      <c r="G815">
        <f t="shared" ca="1" si="356"/>
        <v>1</v>
      </c>
      <c r="H815">
        <f t="shared" si="340"/>
        <v>1</v>
      </c>
      <c r="I815" s="44">
        <f t="shared" ca="1" si="365"/>
        <v>48</v>
      </c>
      <c r="J815">
        <f t="shared" si="341"/>
        <v>1</v>
      </c>
      <c r="K815" s="36">
        <f t="shared" ca="1" si="342"/>
        <v>318.52173913043481</v>
      </c>
      <c r="L815" s="10">
        <f ca="1">AH815*VLOOKUP(C815,技能辅助查询表,技能配置辅助表!$T$1,FALSE)</f>
        <v>0</v>
      </c>
      <c r="M815">
        <f t="shared" ca="1" si="343"/>
        <v>5200</v>
      </c>
      <c r="N815" s="33">
        <f ca="1">CHOOSE(1,W815*U815,X815*'[1]0、经济设定'!$C$18)</f>
        <v>760806</v>
      </c>
      <c r="O815">
        <f t="shared" si="344"/>
        <v>3</v>
      </c>
      <c r="P815">
        <f t="shared" si="345"/>
        <v>1</v>
      </c>
      <c r="Q815">
        <f t="shared" si="346"/>
        <v>1</v>
      </c>
      <c r="R815" s="2">
        <f t="shared" si="347"/>
        <v>5</v>
      </c>
      <c r="S815" s="2">
        <f t="shared" si="348"/>
        <v>50</v>
      </c>
      <c r="T815" s="2">
        <f t="shared" si="349"/>
        <v>215.21739130434784</v>
      </c>
      <c r="U815" s="2">
        <f ca="1">VLOOKUP(E815,金币生产率!$A$2:$B$120,2,0)</f>
        <v>3942</v>
      </c>
      <c r="V815" s="2">
        <f t="shared" si="350"/>
        <v>215.21739130434784</v>
      </c>
      <c r="W815" s="45">
        <f t="shared" ca="1" si="362"/>
        <v>193</v>
      </c>
      <c r="X815" s="48">
        <f t="shared" ca="1" si="363"/>
        <v>2830</v>
      </c>
      <c r="Y815">
        <f t="shared" si="351"/>
        <v>18</v>
      </c>
      <c r="Z815">
        <f t="shared" ca="1" si="357"/>
        <v>78</v>
      </c>
      <c r="AA815" t="str">
        <f t="shared" ca="1" si="358"/>
        <v>9213100.png</v>
      </c>
      <c r="AB815">
        <f t="shared" si="352"/>
        <v>20</v>
      </c>
      <c r="AC815">
        <f>VLOOKUP(C815,技能辅助查询表,技能配置辅助表!$W$1,FALSE)</f>
        <v>22</v>
      </c>
      <c r="AD815">
        <f t="shared" ca="1" si="359"/>
        <v>2561.4989058294113</v>
      </c>
      <c r="AE815">
        <f>VLOOKUP(C815,技能辅助查询表,技能配置辅助表!$U$1,FALSE)</f>
        <v>1</v>
      </c>
      <c r="AF815">
        <f t="shared" ca="1" si="360"/>
        <v>9213148</v>
      </c>
      <c r="AG815">
        <f t="shared" ca="1" si="364"/>
        <v>76.938775510204081</v>
      </c>
      <c r="AH815">
        <f t="shared" ca="1" si="361"/>
        <v>5860.970437134547</v>
      </c>
      <c r="AI815">
        <f ca="1">VLOOKUP(E815,伤害参考系!$C$4:$E$104,3,FALSE)*$AN$12</f>
        <v>21474.674365384624</v>
      </c>
      <c r="AJ815">
        <f>VLOOKUP(C815,技能辅助查询表,技能配置辅助表!$L$1,FALSE)</f>
        <v>1</v>
      </c>
      <c r="AK815">
        <f>VLOOKUP(C815,技能辅助查询表,技能配置辅助表!$AE$1,FALSE)</f>
        <v>66000289</v>
      </c>
    </row>
    <row r="816" spans="1:37" x14ac:dyDescent="0.15">
      <c r="A816" s="1">
        <f t="shared" ca="1" si="353"/>
        <v>9213149</v>
      </c>
      <c r="B816" s="1" t="str">
        <f t="shared" ca="1" si="338"/>
        <v>裂地诀</v>
      </c>
      <c r="C816" t="s">
        <v>166</v>
      </c>
      <c r="D816">
        <f t="shared" si="339"/>
        <v>2</v>
      </c>
      <c r="E816" s="42">
        <f t="shared" ca="1" si="354"/>
        <v>79</v>
      </c>
      <c r="F816" t="str">
        <f t="shared" ca="1" si="355"/>
        <v>第49级，共造成320.7%点伤害</v>
      </c>
      <c r="G816">
        <f t="shared" ca="1" si="356"/>
        <v>1</v>
      </c>
      <c r="H816">
        <f t="shared" si="340"/>
        <v>1</v>
      </c>
      <c r="I816" s="44">
        <f t="shared" ca="1" si="365"/>
        <v>49</v>
      </c>
      <c r="J816">
        <f t="shared" si="341"/>
        <v>1</v>
      </c>
      <c r="K816" s="36">
        <f t="shared" ca="1" si="342"/>
        <v>320.67391304347831</v>
      </c>
      <c r="L816" s="10">
        <f ca="1">AH816*VLOOKUP(C816,技能辅助查询表,技能配置辅助表!$T$1,FALSE)</f>
        <v>0</v>
      </c>
      <c r="M816">
        <f t="shared" ca="1" si="343"/>
        <v>5100</v>
      </c>
      <c r="N816" s="33">
        <f ca="1">CHOOSE(1,W816*U816,X816*'[1]0、经济设定'!$C$18)</f>
        <v>855724</v>
      </c>
      <c r="O816">
        <f t="shared" si="344"/>
        <v>3</v>
      </c>
      <c r="P816">
        <f t="shared" si="345"/>
        <v>1</v>
      </c>
      <c r="Q816">
        <f t="shared" si="346"/>
        <v>1</v>
      </c>
      <c r="R816" s="2">
        <f t="shared" si="347"/>
        <v>5</v>
      </c>
      <c r="S816" s="2">
        <f t="shared" si="348"/>
        <v>50</v>
      </c>
      <c r="T816" s="2">
        <f t="shared" si="349"/>
        <v>215.21739130434784</v>
      </c>
      <c r="U816" s="2">
        <f ca="1">VLOOKUP(E816,金币生产率!$A$2:$B$120,2,0)</f>
        <v>4154</v>
      </c>
      <c r="V816" s="2">
        <f t="shared" si="350"/>
        <v>215.21739130434784</v>
      </c>
      <c r="W816" s="45">
        <f t="shared" ca="1" si="362"/>
        <v>206</v>
      </c>
      <c r="X816" s="48">
        <f t="shared" ca="1" si="363"/>
        <v>3036</v>
      </c>
      <c r="Y816">
        <f t="shared" si="351"/>
        <v>18</v>
      </c>
      <c r="Z816">
        <f t="shared" ca="1" si="357"/>
        <v>83</v>
      </c>
      <c r="AA816" t="str">
        <f t="shared" ca="1" si="358"/>
        <v>9213100.png</v>
      </c>
      <c r="AB816">
        <f t="shared" si="352"/>
        <v>20</v>
      </c>
      <c r="AC816">
        <f>VLOOKUP(C816,技能辅助查询表,技能配置辅助表!$W$1,FALSE)</f>
        <v>22</v>
      </c>
      <c r="AD816">
        <f t="shared" ca="1" si="359"/>
        <v>2944.9540090431192</v>
      </c>
      <c r="AE816">
        <f>VLOOKUP(C816,技能辅助查询表,技能配置辅助表!$U$1,FALSE)</f>
        <v>1</v>
      </c>
      <c r="AF816">
        <f t="shared" ca="1" si="360"/>
        <v>9213149</v>
      </c>
      <c r="AG816">
        <f t="shared" ca="1" si="364"/>
        <v>78.469387755102048</v>
      </c>
      <c r="AH816">
        <f t="shared" ca="1" si="361"/>
        <v>6672.6373961177951</v>
      </c>
      <c r="AI816">
        <f ca="1">VLOOKUP(E816,伤害参考系!$C$4:$E$104,3,FALSE)*$AN$12</f>
        <v>23115.220103678937</v>
      </c>
      <c r="AJ816">
        <f>VLOOKUP(C816,技能辅助查询表,技能配置辅助表!$L$1,FALSE)</f>
        <v>1</v>
      </c>
      <c r="AK816">
        <f>VLOOKUP(C816,技能辅助查询表,技能配置辅助表!$AE$1,FALSE)</f>
        <v>66000289</v>
      </c>
    </row>
    <row r="817" spans="1:37" x14ac:dyDescent="0.15">
      <c r="A817" s="1">
        <f t="shared" ca="1" si="353"/>
        <v>9213150</v>
      </c>
      <c r="B817" s="1" t="str">
        <f t="shared" ca="1" si="338"/>
        <v>裂地诀</v>
      </c>
      <c r="C817" t="s">
        <v>166</v>
      </c>
      <c r="D817">
        <f t="shared" si="339"/>
        <v>2</v>
      </c>
      <c r="E817" s="42">
        <f t="shared" ca="1" si="354"/>
        <v>80</v>
      </c>
      <c r="F817" t="str">
        <f t="shared" ca="1" si="355"/>
        <v>第50级，共造成322.8%点伤害</v>
      </c>
      <c r="G817">
        <f t="shared" ca="1" si="356"/>
        <v>1</v>
      </c>
      <c r="H817">
        <f t="shared" si="340"/>
        <v>1</v>
      </c>
      <c r="I817" s="44">
        <f t="shared" ca="1" si="365"/>
        <v>50</v>
      </c>
      <c r="J817">
        <f t="shared" si="341"/>
        <v>1</v>
      </c>
      <c r="K817" s="36">
        <f t="shared" ca="1" si="342"/>
        <v>322.82608695652175</v>
      </c>
      <c r="L817" s="10">
        <f ca="1">AH817*VLOOKUP(C817,技能辅助查询表,技能配置辅助表!$T$1,FALSE)</f>
        <v>0</v>
      </c>
      <c r="M817">
        <f t="shared" ca="1" si="343"/>
        <v>5000</v>
      </c>
      <c r="N817" s="33">
        <f ca="1">CHOOSE(1,W817*U817,X817*'[1]0、经济设定'!$C$18)</f>
        <v>941902</v>
      </c>
      <c r="O817">
        <f t="shared" si="344"/>
        <v>3</v>
      </c>
      <c r="P817">
        <f t="shared" si="345"/>
        <v>1</v>
      </c>
      <c r="Q817">
        <f t="shared" si="346"/>
        <v>1</v>
      </c>
      <c r="R817" s="2">
        <f t="shared" si="347"/>
        <v>5</v>
      </c>
      <c r="S817" s="2">
        <f t="shared" si="348"/>
        <v>50</v>
      </c>
      <c r="T817" s="2">
        <f t="shared" si="349"/>
        <v>215.21739130434784</v>
      </c>
      <c r="U817" s="2">
        <f ca="1">VLOOKUP(E817,金币生产率!$A$2:$B$120,2,0)</f>
        <v>4262</v>
      </c>
      <c r="V817" s="2">
        <f t="shared" si="350"/>
        <v>215.21739130434784</v>
      </c>
      <c r="W817" s="45">
        <f t="shared" ca="1" si="362"/>
        <v>221</v>
      </c>
      <c r="X817" s="48">
        <f t="shared" ca="1" si="363"/>
        <v>3257</v>
      </c>
      <c r="Y817">
        <f t="shared" si="351"/>
        <v>18</v>
      </c>
      <c r="Z817">
        <f t="shared" ca="1" si="357"/>
        <v>89</v>
      </c>
      <c r="AA817" t="str">
        <f t="shared" ca="1" si="358"/>
        <v>9213100.png</v>
      </c>
      <c r="AB817">
        <f t="shared" si="352"/>
        <v>20</v>
      </c>
      <c r="AC817">
        <f>VLOOKUP(C817,技能辅助查询表,技能配置辅助表!$W$1,FALSE)</f>
        <v>22</v>
      </c>
      <c r="AD817">
        <f t="shared" ca="1" si="359"/>
        <v>3385.4901048630099</v>
      </c>
      <c r="AE817">
        <f>VLOOKUP(C817,技能辅助查询表,技能配置辅助表!$U$1,FALSE)</f>
        <v>1</v>
      </c>
      <c r="AF817">
        <f t="shared" ca="1" si="360"/>
        <v>9213150</v>
      </c>
      <c r="AG817">
        <f t="shared" ca="1" si="364"/>
        <v>80</v>
      </c>
      <c r="AH817">
        <f t="shared" ca="1" si="361"/>
        <v>7596.7095035950451</v>
      </c>
      <c r="AI817">
        <f ca="1">VLOOKUP(E817,伤害参考系!$C$4:$E$104,3,FALSE)*$AN$12</f>
        <v>24028.87424749164</v>
      </c>
      <c r="AJ817">
        <f>VLOOKUP(C817,技能辅助查询表,技能配置辅助表!$L$1,FALSE)</f>
        <v>1</v>
      </c>
      <c r="AK817">
        <f>VLOOKUP(C817,技能辅助查询表,技能配置辅助表!$AE$1,FALSE)</f>
        <v>66000289</v>
      </c>
    </row>
    <row r="818" spans="1:37" x14ac:dyDescent="0.15">
      <c r="A818" s="1">
        <f t="shared" ca="1" si="353"/>
        <v>9224000</v>
      </c>
      <c r="B818" s="1" t="str">
        <f t="shared" ca="1" si="338"/>
        <v>幻影脚</v>
      </c>
      <c r="C818" t="s">
        <v>167</v>
      </c>
      <c r="D818">
        <f t="shared" si="339"/>
        <v>2</v>
      </c>
      <c r="E818" s="42">
        <f t="shared" ca="1" si="354"/>
        <v>6</v>
      </c>
      <c r="F818" t="str">
        <f t="shared" ca="1" si="355"/>
        <v>第0级，共造成143.5%点伤害</v>
      </c>
      <c r="G818">
        <f t="shared" ca="1" si="356"/>
        <v>0</v>
      </c>
      <c r="H818">
        <f t="shared" si="340"/>
        <v>1</v>
      </c>
      <c r="I818" s="44">
        <f t="shared" ca="1" si="365"/>
        <v>0</v>
      </c>
      <c r="J818">
        <f t="shared" si="341"/>
        <v>2</v>
      </c>
      <c r="K818" s="36">
        <f t="shared" ca="1" si="342"/>
        <v>71.739130434782609</v>
      </c>
      <c r="L818" s="10">
        <f ca="1">AH818*VLOOKUP(C818,技能辅助查询表,技能配置辅助表!$T$1,FALSE)</f>
        <v>0</v>
      </c>
      <c r="M818">
        <f t="shared" ca="1" si="343"/>
        <v>8000</v>
      </c>
      <c r="N818" s="33">
        <f ca="1">CHOOSE(1,W818*U818,X818*'[1]0、经济设定'!$C$18)</f>
        <v>0</v>
      </c>
      <c r="O818">
        <f t="shared" si="344"/>
        <v>4</v>
      </c>
      <c r="P818">
        <f t="shared" si="345"/>
        <v>2</v>
      </c>
      <c r="Q818">
        <f t="shared" si="346"/>
        <v>1</v>
      </c>
      <c r="R818" s="2">
        <f t="shared" si="347"/>
        <v>6</v>
      </c>
      <c r="S818" s="2">
        <f t="shared" si="348"/>
        <v>50</v>
      </c>
      <c r="T818" s="2">
        <f t="shared" si="349"/>
        <v>71.739130434782609</v>
      </c>
      <c r="U818" s="2">
        <f ca="1">VLOOKUP(E818,金币生产率!$A$2:$B$120,2,0)</f>
        <v>80</v>
      </c>
      <c r="V818" s="2">
        <f t="shared" si="350"/>
        <v>143.47826086956522</v>
      </c>
      <c r="W818" s="45">
        <f t="shared" ca="1" si="362"/>
        <v>0</v>
      </c>
      <c r="X818" s="48">
        <f t="shared" ca="1" si="363"/>
        <v>0</v>
      </c>
      <c r="Y818">
        <f t="shared" si="351"/>
        <v>18</v>
      </c>
      <c r="Z818">
        <f t="shared" ca="1" si="357"/>
        <v>0</v>
      </c>
      <c r="AA818" t="str">
        <f t="shared" ca="1" si="358"/>
        <v>9224100.png</v>
      </c>
      <c r="AB818">
        <f t="shared" si="352"/>
        <v>10</v>
      </c>
      <c r="AC818">
        <f>VLOOKUP(C818,技能辅助查询表,技能配置辅助表!$W$1,FALSE)</f>
        <v>33</v>
      </c>
      <c r="AD818">
        <f t="shared" ca="1" si="359"/>
        <v>1.0081565217391304</v>
      </c>
      <c r="AE818">
        <f>VLOOKUP(C818,技能辅助查询表,技能配置辅助表!$U$1,FALSE)</f>
        <v>4</v>
      </c>
      <c r="AF818">
        <f t="shared" ca="1" si="360"/>
        <v>9224100</v>
      </c>
      <c r="AG818">
        <f t="shared" ca="1" si="364"/>
        <v>0</v>
      </c>
      <c r="AH818">
        <f t="shared" ca="1" si="361"/>
        <v>11.5938</v>
      </c>
      <c r="AI818">
        <f ca="1">VLOOKUP(E818,伤害参考系!$C$4:$E$104,3,FALSE)*$AN$12</f>
        <v>88.919999999999987</v>
      </c>
      <c r="AJ818">
        <f>VLOOKUP(C818,技能辅助查询表,技能配置辅助表!$L$1,FALSE)</f>
        <v>2</v>
      </c>
      <c r="AK818">
        <f>VLOOKUP(C818,技能辅助查询表,技能配置辅助表!$AE$1,FALSE)</f>
        <v>66000388</v>
      </c>
    </row>
    <row r="819" spans="1:37" x14ac:dyDescent="0.15">
      <c r="A819" s="1">
        <f t="shared" ca="1" si="353"/>
        <v>9224101</v>
      </c>
      <c r="B819" s="1" t="str">
        <f t="shared" ca="1" si="338"/>
        <v>幻影脚第1段</v>
      </c>
      <c r="C819" t="s">
        <v>167</v>
      </c>
      <c r="D819">
        <f t="shared" si="339"/>
        <v>2</v>
      </c>
      <c r="E819" s="42">
        <f t="shared" ca="1" si="354"/>
        <v>6</v>
      </c>
      <c r="F819" t="str">
        <f t="shared" ca="1" si="355"/>
        <v>第1级，共造成143.5%点伤害</v>
      </c>
      <c r="G819">
        <f t="shared" ca="1" si="356"/>
        <v>1</v>
      </c>
      <c r="H819">
        <f t="shared" si="340"/>
        <v>1</v>
      </c>
      <c r="I819" s="44">
        <f t="shared" ca="1" si="365"/>
        <v>1</v>
      </c>
      <c r="J819">
        <f t="shared" si="341"/>
        <v>2</v>
      </c>
      <c r="K819" s="36">
        <f t="shared" ca="1" si="342"/>
        <v>71.739130434782609</v>
      </c>
      <c r="L819" s="10">
        <f ca="1">AH819*VLOOKUP(C819,技能辅助查询表,技能配置辅助表!$T$1,FALSE)</f>
        <v>0</v>
      </c>
      <c r="M819">
        <f t="shared" ca="1" si="343"/>
        <v>8000</v>
      </c>
      <c r="N819" s="33">
        <f ca="1">CHOOSE(1,W819*U819,X819*'[1]0、经济设定'!$C$18)</f>
        <v>320</v>
      </c>
      <c r="O819">
        <f t="shared" si="344"/>
        <v>4</v>
      </c>
      <c r="P819">
        <f t="shared" si="345"/>
        <v>2</v>
      </c>
      <c r="Q819">
        <f t="shared" si="346"/>
        <v>1</v>
      </c>
      <c r="R819" s="2">
        <f t="shared" si="347"/>
        <v>6</v>
      </c>
      <c r="S819" s="2">
        <f t="shared" si="348"/>
        <v>50</v>
      </c>
      <c r="T819" s="2">
        <f t="shared" si="349"/>
        <v>71.739130434782609</v>
      </c>
      <c r="U819" s="2">
        <f ca="1">VLOOKUP(E819,金币生产率!$A$2:$B$120,2,0)</f>
        <v>80</v>
      </c>
      <c r="V819" s="2">
        <f t="shared" si="350"/>
        <v>143.47826086956522</v>
      </c>
      <c r="W819" s="45">
        <f t="shared" ca="1" si="362"/>
        <v>4</v>
      </c>
      <c r="X819" s="48">
        <f t="shared" ca="1" si="363"/>
        <v>4</v>
      </c>
      <c r="Y819">
        <f t="shared" si="351"/>
        <v>18</v>
      </c>
      <c r="Z819">
        <f t="shared" ca="1" si="357"/>
        <v>0</v>
      </c>
      <c r="AA819" t="str">
        <f t="shared" ca="1" si="358"/>
        <v>9224100.png</v>
      </c>
      <c r="AB819">
        <f t="shared" si="352"/>
        <v>10</v>
      </c>
      <c r="AC819">
        <f>VLOOKUP(C819,技能辅助查询表,技能配置辅助表!$W$1,FALSE)</f>
        <v>33</v>
      </c>
      <c r="AD819">
        <f t="shared" ca="1" si="359"/>
        <v>1.1477728782719212</v>
      </c>
      <c r="AE819">
        <f>VLOOKUP(C819,技能辅助查询表,技能配置辅助表!$U$1,FALSE)</f>
        <v>4</v>
      </c>
      <c r="AF819">
        <f t="shared" ca="1" si="360"/>
        <v>9224101</v>
      </c>
      <c r="AG819">
        <f t="shared" ca="1" si="364"/>
        <v>6</v>
      </c>
      <c r="AH819">
        <f t="shared" ca="1" si="361"/>
        <v>13.199388100127095</v>
      </c>
      <c r="AI819">
        <f ca="1">VLOOKUP(E819,伤害参考系!$C$4:$E$104,3,FALSE)*$AN$12</f>
        <v>88.919999999999987</v>
      </c>
      <c r="AJ819">
        <f>VLOOKUP(C819,技能辅助查询表,技能配置辅助表!$L$1,FALSE)</f>
        <v>2</v>
      </c>
      <c r="AK819">
        <f>VLOOKUP(C819,技能辅助查询表,技能配置辅助表!$AE$1,FALSE)</f>
        <v>66000388</v>
      </c>
    </row>
    <row r="820" spans="1:37" x14ac:dyDescent="0.15">
      <c r="A820" s="1">
        <f t="shared" ca="1" si="353"/>
        <v>9224102</v>
      </c>
      <c r="B820" s="1" t="str">
        <f t="shared" ca="1" si="338"/>
        <v>幻影脚第1段</v>
      </c>
      <c r="C820" t="s">
        <v>167</v>
      </c>
      <c r="D820">
        <f t="shared" si="339"/>
        <v>2</v>
      </c>
      <c r="E820" s="42">
        <f t="shared" ca="1" si="354"/>
        <v>9</v>
      </c>
      <c r="F820" t="str">
        <f t="shared" ca="1" si="355"/>
        <v>第2级，共造成146.3%点伤害</v>
      </c>
      <c r="G820">
        <f t="shared" ca="1" si="356"/>
        <v>1</v>
      </c>
      <c r="H820">
        <f t="shared" si="340"/>
        <v>1</v>
      </c>
      <c r="I820" s="44">
        <f t="shared" ca="1" si="365"/>
        <v>2</v>
      </c>
      <c r="J820">
        <f t="shared" si="341"/>
        <v>2</v>
      </c>
      <c r="K820" s="36">
        <f t="shared" ca="1" si="342"/>
        <v>73.173913043478265</v>
      </c>
      <c r="L820" s="10">
        <f ca="1">AH820*VLOOKUP(C820,技能辅助查询表,技能配置辅助表!$T$1,FALSE)</f>
        <v>0</v>
      </c>
      <c r="M820">
        <f t="shared" ca="1" si="343"/>
        <v>7840</v>
      </c>
      <c r="N820" s="33">
        <f ca="1">CHOOSE(1,W820*U820,X820*'[1]0、经济设定'!$C$18)</f>
        <v>392</v>
      </c>
      <c r="O820">
        <f t="shared" si="344"/>
        <v>4</v>
      </c>
      <c r="P820">
        <f t="shared" si="345"/>
        <v>2</v>
      </c>
      <c r="Q820">
        <f t="shared" si="346"/>
        <v>1</v>
      </c>
      <c r="R820" s="2">
        <f t="shared" si="347"/>
        <v>6</v>
      </c>
      <c r="S820" s="2">
        <f t="shared" si="348"/>
        <v>50</v>
      </c>
      <c r="T820" s="2">
        <f t="shared" si="349"/>
        <v>71.739130434782609</v>
      </c>
      <c r="U820" s="2">
        <f ca="1">VLOOKUP(E820,金币生产率!$A$2:$B$120,2,0)</f>
        <v>98</v>
      </c>
      <c r="V820" s="2">
        <f t="shared" si="350"/>
        <v>143.47826086956522</v>
      </c>
      <c r="W820" s="45">
        <f t="shared" ca="1" si="362"/>
        <v>4</v>
      </c>
      <c r="X820" s="48">
        <f t="shared" ca="1" si="363"/>
        <v>8</v>
      </c>
      <c r="Y820">
        <f t="shared" si="351"/>
        <v>18</v>
      </c>
      <c r="Z820">
        <f t="shared" ca="1" si="357"/>
        <v>0</v>
      </c>
      <c r="AA820" t="str">
        <f t="shared" ca="1" si="358"/>
        <v>9224100.png</v>
      </c>
      <c r="AB820">
        <f t="shared" si="352"/>
        <v>10</v>
      </c>
      <c r="AC820">
        <f>VLOOKUP(C820,技能辅助查询表,技能配置辅助表!$W$1,FALSE)</f>
        <v>33</v>
      </c>
      <c r="AD820">
        <f t="shared" ca="1" si="359"/>
        <v>1.3929680561510775</v>
      </c>
      <c r="AE820">
        <f>VLOOKUP(C820,技能辅助查询表,技能配置辅助表!$U$1,FALSE)</f>
        <v>4</v>
      </c>
      <c r="AF820">
        <f t="shared" ca="1" si="360"/>
        <v>9224102</v>
      </c>
      <c r="AG820">
        <f t="shared" ca="1" si="364"/>
        <v>7.5102040816326525</v>
      </c>
      <c r="AH820">
        <f t="shared" ca="1" si="361"/>
        <v>15.027328935963775</v>
      </c>
      <c r="AI820">
        <f ca="1">VLOOKUP(E820,伤害参考系!$C$4:$E$104,3,FALSE)*$AN$12</f>
        <v>145.4708152173913</v>
      </c>
      <c r="AJ820">
        <f>VLOOKUP(C820,技能辅助查询表,技能配置辅助表!$L$1,FALSE)</f>
        <v>2</v>
      </c>
      <c r="AK820">
        <f>VLOOKUP(C820,技能辅助查询表,技能配置辅助表!$AE$1,FALSE)</f>
        <v>66000388</v>
      </c>
    </row>
    <row r="821" spans="1:37" x14ac:dyDescent="0.15">
      <c r="A821" s="1">
        <f t="shared" ca="1" si="353"/>
        <v>9224103</v>
      </c>
      <c r="B821" s="1" t="str">
        <f t="shared" ca="1" si="338"/>
        <v>幻影脚第1段</v>
      </c>
      <c r="C821" t="s">
        <v>167</v>
      </c>
      <c r="D821">
        <f t="shared" si="339"/>
        <v>2</v>
      </c>
      <c r="E821" s="42">
        <f t="shared" ca="1" si="354"/>
        <v>10</v>
      </c>
      <c r="F821" t="str">
        <f t="shared" ca="1" si="355"/>
        <v>第3级，共造成147.8%点伤害</v>
      </c>
      <c r="G821">
        <f t="shared" ca="1" si="356"/>
        <v>1</v>
      </c>
      <c r="H821">
        <f t="shared" si="340"/>
        <v>1</v>
      </c>
      <c r="I821" s="44">
        <f t="shared" ca="1" si="365"/>
        <v>3</v>
      </c>
      <c r="J821">
        <f t="shared" si="341"/>
        <v>2</v>
      </c>
      <c r="K821" s="36">
        <f t="shared" ca="1" si="342"/>
        <v>73.891304347826093</v>
      </c>
      <c r="L821" s="10">
        <f ca="1">AH821*VLOOKUP(C821,技能辅助查询表,技能配置辅助表!$T$1,FALSE)</f>
        <v>0</v>
      </c>
      <c r="M821">
        <f t="shared" ca="1" si="343"/>
        <v>7760</v>
      </c>
      <c r="N821" s="33">
        <f ca="1">CHOOSE(1,W821*U821,X821*'[1]0、经济设定'!$C$18)</f>
        <v>416</v>
      </c>
      <c r="O821">
        <f t="shared" si="344"/>
        <v>4</v>
      </c>
      <c r="P821">
        <f t="shared" si="345"/>
        <v>2</v>
      </c>
      <c r="Q821">
        <f t="shared" si="346"/>
        <v>1</v>
      </c>
      <c r="R821" s="2">
        <f t="shared" si="347"/>
        <v>6</v>
      </c>
      <c r="S821" s="2">
        <f t="shared" si="348"/>
        <v>50</v>
      </c>
      <c r="T821" s="2">
        <f t="shared" si="349"/>
        <v>71.739130434782609</v>
      </c>
      <c r="U821" s="2">
        <f ca="1">VLOOKUP(E821,金币生产率!$A$2:$B$120,2,0)</f>
        <v>104</v>
      </c>
      <c r="V821" s="2">
        <f t="shared" si="350"/>
        <v>143.47826086956522</v>
      </c>
      <c r="W821" s="45">
        <f t="shared" ca="1" si="362"/>
        <v>4</v>
      </c>
      <c r="X821" s="48">
        <f t="shared" ca="1" si="363"/>
        <v>12</v>
      </c>
      <c r="Y821">
        <f t="shared" si="351"/>
        <v>18</v>
      </c>
      <c r="Z821">
        <f t="shared" ca="1" si="357"/>
        <v>0</v>
      </c>
      <c r="AA821" t="str">
        <f t="shared" ca="1" si="358"/>
        <v>9224100.png</v>
      </c>
      <c r="AB821">
        <f t="shared" si="352"/>
        <v>10</v>
      </c>
      <c r="AC821">
        <f>VLOOKUP(C821,技能辅助查询表,技能配置辅助表!$W$1,FALSE)</f>
        <v>33</v>
      </c>
      <c r="AD821">
        <f t="shared" ca="1" si="359"/>
        <v>1.6349694391434659</v>
      </c>
      <c r="AE821">
        <f>VLOOKUP(C821,技能辅助查询表,技能配置辅助表!$U$1,FALSE)</f>
        <v>4</v>
      </c>
      <c r="AF821">
        <f t="shared" ca="1" si="360"/>
        <v>9224103</v>
      </c>
      <c r="AG821">
        <f t="shared" ca="1" si="364"/>
        <v>9.020408163265305</v>
      </c>
      <c r="AH821">
        <f t="shared" ca="1" si="361"/>
        <v>17.108415423248271</v>
      </c>
      <c r="AI821">
        <f ca="1">VLOOKUP(E821,伤害参考系!$C$4:$E$104,3,FALSE)*$AN$12</f>
        <v>177.55434782608697</v>
      </c>
      <c r="AJ821">
        <f>VLOOKUP(C821,技能辅助查询表,技能配置辅助表!$L$1,FALSE)</f>
        <v>2</v>
      </c>
      <c r="AK821">
        <f>VLOOKUP(C821,技能辅助查询表,技能配置辅助表!$AE$1,FALSE)</f>
        <v>66000388</v>
      </c>
    </row>
    <row r="822" spans="1:37" x14ac:dyDescent="0.15">
      <c r="A822" s="1">
        <f t="shared" ca="1" si="353"/>
        <v>9224104</v>
      </c>
      <c r="B822" s="1" t="str">
        <f t="shared" ca="1" si="338"/>
        <v>幻影脚第1段</v>
      </c>
      <c r="C822" t="s">
        <v>167</v>
      </c>
      <c r="D822">
        <f t="shared" si="339"/>
        <v>2</v>
      </c>
      <c r="E822" s="42">
        <f t="shared" ca="1" si="354"/>
        <v>12</v>
      </c>
      <c r="F822" t="str">
        <f t="shared" ca="1" si="355"/>
        <v>第4级，共造成149.2%点伤害</v>
      </c>
      <c r="G822">
        <f t="shared" ca="1" si="356"/>
        <v>1</v>
      </c>
      <c r="H822">
        <f t="shared" si="340"/>
        <v>1</v>
      </c>
      <c r="I822" s="44">
        <f t="shared" ca="1" si="365"/>
        <v>4</v>
      </c>
      <c r="J822">
        <f t="shared" si="341"/>
        <v>2</v>
      </c>
      <c r="K822" s="36">
        <f t="shared" ca="1" si="342"/>
        <v>74.608695652173907</v>
      </c>
      <c r="L822" s="10">
        <f ca="1">AH822*VLOOKUP(C822,技能辅助查询表,技能配置辅助表!$T$1,FALSE)</f>
        <v>0</v>
      </c>
      <c r="M822">
        <f t="shared" ca="1" si="343"/>
        <v>7680</v>
      </c>
      <c r="N822" s="33">
        <f ca="1">CHOOSE(1,W822*U822,X822*'[1]0、经济设定'!$C$18)</f>
        <v>580</v>
      </c>
      <c r="O822">
        <f t="shared" si="344"/>
        <v>4</v>
      </c>
      <c r="P822">
        <f t="shared" si="345"/>
        <v>2</v>
      </c>
      <c r="Q822">
        <f t="shared" si="346"/>
        <v>1</v>
      </c>
      <c r="R822" s="2">
        <f t="shared" si="347"/>
        <v>6</v>
      </c>
      <c r="S822" s="2">
        <f t="shared" si="348"/>
        <v>50</v>
      </c>
      <c r="T822" s="2">
        <f t="shared" si="349"/>
        <v>71.739130434782609</v>
      </c>
      <c r="U822" s="2">
        <f ca="1">VLOOKUP(E822,金币生产率!$A$2:$B$120,2,0)</f>
        <v>116</v>
      </c>
      <c r="V822" s="2">
        <f t="shared" si="350"/>
        <v>143.47826086956522</v>
      </c>
      <c r="W822" s="45">
        <f t="shared" ca="1" si="362"/>
        <v>5</v>
      </c>
      <c r="X822" s="48">
        <f t="shared" ca="1" si="363"/>
        <v>17</v>
      </c>
      <c r="Y822">
        <f t="shared" si="351"/>
        <v>18</v>
      </c>
      <c r="Z822">
        <f t="shared" ca="1" si="357"/>
        <v>0</v>
      </c>
      <c r="AA822" t="str">
        <f t="shared" ca="1" si="358"/>
        <v>9224100.png</v>
      </c>
      <c r="AB822">
        <f t="shared" si="352"/>
        <v>10</v>
      </c>
      <c r="AC822">
        <f>VLOOKUP(C822,技能辅助查询表,技能配置辅助表!$W$1,FALSE)</f>
        <v>33</v>
      </c>
      <c r="AD822">
        <f t="shared" ca="1" si="359"/>
        <v>1.9172836465292797</v>
      </c>
      <c r="AE822">
        <f>VLOOKUP(C822,技能辅助查询表,技能配置辅助表!$U$1,FALSE)</f>
        <v>4</v>
      </c>
      <c r="AF822">
        <f t="shared" ca="1" si="360"/>
        <v>9224104</v>
      </c>
      <c r="AG822">
        <f t="shared" ca="1" si="364"/>
        <v>10.530612244897959</v>
      </c>
      <c r="AH822">
        <f t="shared" ca="1" si="361"/>
        <v>19.477704889652582</v>
      </c>
      <c r="AI822">
        <f ca="1">VLOOKUP(E822,伤害参考系!$C$4:$E$104,3,FALSE)*$AN$12</f>
        <v>249.04956521739126</v>
      </c>
      <c r="AJ822">
        <f>VLOOKUP(C822,技能辅助查询表,技能配置辅助表!$L$1,FALSE)</f>
        <v>2</v>
      </c>
      <c r="AK822">
        <f>VLOOKUP(C822,技能辅助查询表,技能配置辅助表!$AE$1,FALSE)</f>
        <v>66000388</v>
      </c>
    </row>
    <row r="823" spans="1:37" x14ac:dyDescent="0.15">
      <c r="A823" s="1">
        <f t="shared" ca="1" si="353"/>
        <v>9224105</v>
      </c>
      <c r="B823" s="1" t="str">
        <f t="shared" ca="1" si="338"/>
        <v>幻影脚第1段</v>
      </c>
      <c r="C823" t="s">
        <v>167</v>
      </c>
      <c r="D823">
        <f t="shared" si="339"/>
        <v>2</v>
      </c>
      <c r="E823" s="42">
        <f t="shared" ca="1" si="354"/>
        <v>13</v>
      </c>
      <c r="F823" t="str">
        <f t="shared" ca="1" si="355"/>
        <v>第5级，共造成150.7%点伤害</v>
      </c>
      <c r="G823">
        <f t="shared" ca="1" si="356"/>
        <v>1</v>
      </c>
      <c r="H823">
        <f t="shared" si="340"/>
        <v>1</v>
      </c>
      <c r="I823" s="44">
        <f t="shared" ca="1" si="365"/>
        <v>5</v>
      </c>
      <c r="J823">
        <f t="shared" si="341"/>
        <v>2</v>
      </c>
      <c r="K823" s="36">
        <f t="shared" ca="1" si="342"/>
        <v>75.326086956521735</v>
      </c>
      <c r="L823" s="10">
        <f ca="1">AH823*VLOOKUP(C823,技能辅助查询表,技能配置辅助表!$T$1,FALSE)</f>
        <v>0</v>
      </c>
      <c r="M823">
        <f t="shared" ca="1" si="343"/>
        <v>7600</v>
      </c>
      <c r="N823" s="33">
        <f ca="1">CHOOSE(1,W823*U823,X823*'[1]0、经济设定'!$C$18)</f>
        <v>610</v>
      </c>
      <c r="O823">
        <f t="shared" si="344"/>
        <v>4</v>
      </c>
      <c r="P823">
        <f t="shared" si="345"/>
        <v>2</v>
      </c>
      <c r="Q823">
        <f t="shared" si="346"/>
        <v>1</v>
      </c>
      <c r="R823" s="2">
        <f t="shared" si="347"/>
        <v>6</v>
      </c>
      <c r="S823" s="2">
        <f t="shared" si="348"/>
        <v>50</v>
      </c>
      <c r="T823" s="2">
        <f t="shared" si="349"/>
        <v>71.739130434782609</v>
      </c>
      <c r="U823" s="2">
        <f ca="1">VLOOKUP(E823,金币生产率!$A$2:$B$120,2,0)</f>
        <v>122</v>
      </c>
      <c r="V823" s="2">
        <f t="shared" si="350"/>
        <v>143.47826086956522</v>
      </c>
      <c r="W823" s="45">
        <f t="shared" ca="1" si="362"/>
        <v>5</v>
      </c>
      <c r="X823" s="48">
        <f t="shared" ca="1" si="363"/>
        <v>22</v>
      </c>
      <c r="Y823">
        <f t="shared" si="351"/>
        <v>18</v>
      </c>
      <c r="Z823">
        <f t="shared" ca="1" si="357"/>
        <v>0</v>
      </c>
      <c r="AA823" t="str">
        <f t="shared" ca="1" si="358"/>
        <v>9224100.png</v>
      </c>
      <c r="AB823">
        <f t="shared" si="352"/>
        <v>10</v>
      </c>
      <c r="AC823">
        <f>VLOOKUP(C823,技能辅助查询表,技能配置辅助表!$W$1,FALSE)</f>
        <v>33</v>
      </c>
      <c r="AD823">
        <f t="shared" ca="1" si="359"/>
        <v>2.2464350200000576</v>
      </c>
      <c r="AE823">
        <f>VLOOKUP(C823,技能辅助查询表,技能配置辅助表!$U$1,FALSE)</f>
        <v>4</v>
      </c>
      <c r="AF823">
        <f t="shared" ca="1" si="360"/>
        <v>9224105</v>
      </c>
      <c r="AG823">
        <f t="shared" ca="1" si="364"/>
        <v>12.040816326530612</v>
      </c>
      <c r="AH823">
        <f t="shared" ca="1" si="361"/>
        <v>22.175109639485559</v>
      </c>
      <c r="AI823">
        <f ca="1">VLOOKUP(E823,伤害参考系!$C$4:$E$104,3,FALSE)*$AN$12</f>
        <v>288.46124999999995</v>
      </c>
      <c r="AJ823">
        <f>VLOOKUP(C823,技能辅助查询表,技能配置辅助表!$L$1,FALSE)</f>
        <v>2</v>
      </c>
      <c r="AK823">
        <f>VLOOKUP(C823,技能辅助查询表,技能配置辅助表!$AE$1,FALSE)</f>
        <v>66000388</v>
      </c>
    </row>
    <row r="824" spans="1:37" x14ac:dyDescent="0.15">
      <c r="A824" s="1">
        <f t="shared" ca="1" si="353"/>
        <v>9224106</v>
      </c>
      <c r="B824" s="1" t="str">
        <f t="shared" ca="1" si="338"/>
        <v>幻影脚第1段</v>
      </c>
      <c r="C824" t="s">
        <v>167</v>
      </c>
      <c r="D824">
        <f t="shared" si="339"/>
        <v>2</v>
      </c>
      <c r="E824" s="42">
        <f t="shared" ca="1" si="354"/>
        <v>15</v>
      </c>
      <c r="F824" t="str">
        <f t="shared" ca="1" si="355"/>
        <v>第6级，共造成152.1%点伤害</v>
      </c>
      <c r="G824">
        <f t="shared" ca="1" si="356"/>
        <v>1</v>
      </c>
      <c r="H824">
        <f t="shared" si="340"/>
        <v>1</v>
      </c>
      <c r="I824" s="44">
        <f t="shared" ca="1" si="365"/>
        <v>6</v>
      </c>
      <c r="J824">
        <f t="shared" si="341"/>
        <v>2</v>
      </c>
      <c r="K824" s="36">
        <f t="shared" ca="1" si="342"/>
        <v>76.043478260869563</v>
      </c>
      <c r="L824" s="10">
        <f ca="1">AH824*VLOOKUP(C824,技能辅助查询表,技能配置辅助表!$T$1,FALSE)</f>
        <v>0</v>
      </c>
      <c r="M824">
        <f t="shared" ca="1" si="343"/>
        <v>7520</v>
      </c>
      <c r="N824" s="33">
        <f ca="1">CHOOSE(1,W824*U824,X824*'[1]0、经济设定'!$C$18)</f>
        <v>670</v>
      </c>
      <c r="O824">
        <f t="shared" si="344"/>
        <v>4</v>
      </c>
      <c r="P824">
        <f t="shared" si="345"/>
        <v>2</v>
      </c>
      <c r="Q824">
        <f t="shared" si="346"/>
        <v>1</v>
      </c>
      <c r="R824" s="2">
        <f t="shared" si="347"/>
        <v>6</v>
      </c>
      <c r="S824" s="2">
        <f t="shared" si="348"/>
        <v>50</v>
      </c>
      <c r="T824" s="2">
        <f t="shared" si="349"/>
        <v>71.739130434782609</v>
      </c>
      <c r="U824" s="2">
        <f ca="1">VLOOKUP(E824,金币生产率!$A$2:$B$120,2,0)</f>
        <v>134</v>
      </c>
      <c r="V824" s="2">
        <f t="shared" si="350"/>
        <v>143.47826086956522</v>
      </c>
      <c r="W824" s="45">
        <f t="shared" ca="1" si="362"/>
        <v>5</v>
      </c>
      <c r="X824" s="48">
        <f t="shared" ca="1" si="363"/>
        <v>27</v>
      </c>
      <c r="Y824">
        <f t="shared" si="351"/>
        <v>18</v>
      </c>
      <c r="Z824">
        <f t="shared" ca="1" si="357"/>
        <v>0</v>
      </c>
      <c r="AA824" t="str">
        <f t="shared" ca="1" si="358"/>
        <v>9224100.png</v>
      </c>
      <c r="AB824">
        <f t="shared" si="352"/>
        <v>10</v>
      </c>
      <c r="AC824">
        <f>VLOOKUP(C824,技能辅助查询表,技能配置辅助表!$W$1,FALSE)</f>
        <v>33</v>
      </c>
      <c r="AD824">
        <f t="shared" ca="1" si="359"/>
        <v>2.6299818283440723</v>
      </c>
      <c r="AE824">
        <f>VLOOKUP(C824,技能辅助查询表,技能配置辅助表!$U$1,FALSE)</f>
        <v>4</v>
      </c>
      <c r="AF824">
        <f t="shared" ca="1" si="360"/>
        <v>9224106</v>
      </c>
      <c r="AG824">
        <f t="shared" ca="1" si="364"/>
        <v>13.551020408163264</v>
      </c>
      <c r="AH824">
        <f t="shared" ca="1" si="361"/>
        <v>25.246069303803697</v>
      </c>
      <c r="AI824">
        <f ca="1">VLOOKUP(E824,伤害参考系!$C$4:$E$104,3,FALSE)*$AN$12</f>
        <v>374.61277173913044</v>
      </c>
      <c r="AJ824">
        <f>VLOOKUP(C824,技能辅助查询表,技能配置辅助表!$L$1,FALSE)</f>
        <v>2</v>
      </c>
      <c r="AK824">
        <f>VLOOKUP(C824,技能辅助查询表,技能配置辅助表!$AE$1,FALSE)</f>
        <v>66000388</v>
      </c>
    </row>
    <row r="825" spans="1:37" x14ac:dyDescent="0.15">
      <c r="A825" s="1">
        <f t="shared" ca="1" si="353"/>
        <v>9224107</v>
      </c>
      <c r="B825" s="1" t="str">
        <f t="shared" ca="1" si="338"/>
        <v>幻影脚第1段</v>
      </c>
      <c r="C825" t="s">
        <v>167</v>
      </c>
      <c r="D825">
        <f t="shared" si="339"/>
        <v>2</v>
      </c>
      <c r="E825" s="42">
        <f t="shared" ca="1" si="354"/>
        <v>16</v>
      </c>
      <c r="F825" t="str">
        <f t="shared" ca="1" si="355"/>
        <v>第7级，共造成153.5%点伤害</v>
      </c>
      <c r="G825">
        <f t="shared" ca="1" si="356"/>
        <v>1</v>
      </c>
      <c r="H825">
        <f t="shared" si="340"/>
        <v>1</v>
      </c>
      <c r="I825" s="44">
        <f t="shared" ca="1" si="365"/>
        <v>7</v>
      </c>
      <c r="J825">
        <f t="shared" si="341"/>
        <v>2</v>
      </c>
      <c r="K825" s="36">
        <f t="shared" ca="1" si="342"/>
        <v>76.760869565217391</v>
      </c>
      <c r="L825" s="10">
        <f ca="1">AH825*VLOOKUP(C825,技能辅助查询表,技能配置辅助表!$T$1,FALSE)</f>
        <v>0</v>
      </c>
      <c r="M825">
        <f t="shared" ca="1" si="343"/>
        <v>7440</v>
      </c>
      <c r="N825" s="33">
        <f ca="1">CHOOSE(1,W825*U825,X825*'[1]0、经济设定'!$C$18)</f>
        <v>840</v>
      </c>
      <c r="O825">
        <f t="shared" si="344"/>
        <v>4</v>
      </c>
      <c r="P825">
        <f t="shared" si="345"/>
        <v>2</v>
      </c>
      <c r="Q825">
        <f t="shared" si="346"/>
        <v>1</v>
      </c>
      <c r="R825" s="2">
        <f t="shared" si="347"/>
        <v>6</v>
      </c>
      <c r="S825" s="2">
        <f t="shared" si="348"/>
        <v>50</v>
      </c>
      <c r="T825" s="2">
        <f t="shared" si="349"/>
        <v>71.739130434782609</v>
      </c>
      <c r="U825" s="2">
        <f ca="1">VLOOKUP(E825,金币生产率!$A$2:$B$120,2,0)</f>
        <v>140</v>
      </c>
      <c r="V825" s="2">
        <f t="shared" si="350"/>
        <v>143.47826086956522</v>
      </c>
      <c r="W825" s="45">
        <f t="shared" ca="1" si="362"/>
        <v>6</v>
      </c>
      <c r="X825" s="48">
        <f t="shared" ca="1" si="363"/>
        <v>33</v>
      </c>
      <c r="Y825">
        <f t="shared" si="351"/>
        <v>18</v>
      </c>
      <c r="Z825">
        <f t="shared" ca="1" si="357"/>
        <v>0</v>
      </c>
      <c r="AA825" t="str">
        <f t="shared" ca="1" si="358"/>
        <v>9224100.png</v>
      </c>
      <c r="AB825">
        <f t="shared" si="352"/>
        <v>10</v>
      </c>
      <c r="AC825">
        <f>VLOOKUP(C825,技能辅助查询表,技能配置辅助表!$W$1,FALSE)</f>
        <v>33</v>
      </c>
      <c r="AD825">
        <f t="shared" ca="1" si="359"/>
        <v>3.076677510253865</v>
      </c>
      <c r="AE825">
        <f>VLOOKUP(C825,技能辅助查询表,技能配置辅助表!$U$1,FALSE)</f>
        <v>4</v>
      </c>
      <c r="AF825">
        <f t="shared" ca="1" si="360"/>
        <v>9224107</v>
      </c>
      <c r="AG825">
        <f t="shared" ca="1" si="364"/>
        <v>15.061224489795919</v>
      </c>
      <c r="AH825">
        <f t="shared" ca="1" si="361"/>
        <v>28.742316302127907</v>
      </c>
      <c r="AI825">
        <f ca="1">VLOOKUP(E825,伤害参考系!$C$4:$E$104,3,FALSE)*$AN$12</f>
        <v>421.35260869565224</v>
      </c>
      <c r="AJ825">
        <f>VLOOKUP(C825,技能辅助查询表,技能配置辅助表!$L$1,FALSE)</f>
        <v>2</v>
      </c>
      <c r="AK825">
        <f>VLOOKUP(C825,技能辅助查询表,技能配置辅助表!$AE$1,FALSE)</f>
        <v>66000388</v>
      </c>
    </row>
    <row r="826" spans="1:37" x14ac:dyDescent="0.15">
      <c r="A826" s="1">
        <f t="shared" ca="1" si="353"/>
        <v>9224108</v>
      </c>
      <c r="B826" s="1" t="str">
        <f t="shared" ca="1" si="338"/>
        <v>幻影脚第1段</v>
      </c>
      <c r="C826" t="s">
        <v>167</v>
      </c>
      <c r="D826">
        <f t="shared" si="339"/>
        <v>2</v>
      </c>
      <c r="E826" s="42">
        <f t="shared" ca="1" si="354"/>
        <v>18</v>
      </c>
      <c r="F826" t="str">
        <f t="shared" ca="1" si="355"/>
        <v>第8级，共造成155%点伤害</v>
      </c>
      <c r="G826">
        <f t="shared" ca="1" si="356"/>
        <v>1</v>
      </c>
      <c r="H826">
        <f t="shared" si="340"/>
        <v>1</v>
      </c>
      <c r="I826" s="44">
        <f t="shared" ca="1" si="365"/>
        <v>8</v>
      </c>
      <c r="J826">
        <f t="shared" si="341"/>
        <v>2</v>
      </c>
      <c r="K826" s="36">
        <f t="shared" ca="1" si="342"/>
        <v>77.478260869565219</v>
      </c>
      <c r="L826" s="10">
        <f ca="1">AH826*VLOOKUP(C826,技能辅助查询表,技能配置辅助表!$T$1,FALSE)</f>
        <v>0</v>
      </c>
      <c r="M826">
        <f t="shared" ca="1" si="343"/>
        <v>7360</v>
      </c>
      <c r="N826" s="33">
        <f ca="1">CHOOSE(1,W826*U826,X826*'[1]0、经济设定'!$C$18)</f>
        <v>912</v>
      </c>
      <c r="O826">
        <f t="shared" si="344"/>
        <v>4</v>
      </c>
      <c r="P826">
        <f t="shared" si="345"/>
        <v>2</v>
      </c>
      <c r="Q826">
        <f t="shared" si="346"/>
        <v>1</v>
      </c>
      <c r="R826" s="2">
        <f t="shared" si="347"/>
        <v>6</v>
      </c>
      <c r="S826" s="2">
        <f t="shared" si="348"/>
        <v>50</v>
      </c>
      <c r="T826" s="2">
        <f t="shared" si="349"/>
        <v>71.739130434782609</v>
      </c>
      <c r="U826" s="2">
        <f ca="1">VLOOKUP(E826,金币生产率!$A$2:$B$120,2,0)</f>
        <v>152</v>
      </c>
      <c r="V826" s="2">
        <f t="shared" si="350"/>
        <v>143.47826086956522</v>
      </c>
      <c r="W826" s="45">
        <f t="shared" ca="1" si="362"/>
        <v>6</v>
      </c>
      <c r="X826" s="48">
        <f t="shared" ca="1" si="363"/>
        <v>39</v>
      </c>
      <c r="Y826">
        <f t="shared" si="351"/>
        <v>18</v>
      </c>
      <c r="Z826">
        <f t="shared" ca="1" si="357"/>
        <v>0</v>
      </c>
      <c r="AA826" t="str">
        <f t="shared" ca="1" si="358"/>
        <v>9224100.png</v>
      </c>
      <c r="AB826">
        <f t="shared" si="352"/>
        <v>10</v>
      </c>
      <c r="AC826">
        <f>VLOOKUP(C826,技能辅助查询表,技能配置辅助表!$W$1,FALSE)</f>
        <v>33</v>
      </c>
      <c r="AD826">
        <f t="shared" ca="1" si="359"/>
        <v>3.5966567478663847</v>
      </c>
      <c r="AE826">
        <f>VLOOKUP(C826,技能辅助查询表,技能配置辅助表!$U$1,FALSE)</f>
        <v>4</v>
      </c>
      <c r="AF826">
        <f t="shared" ca="1" si="360"/>
        <v>9224108</v>
      </c>
      <c r="AG826">
        <f t="shared" ca="1" si="364"/>
        <v>16.571428571428569</v>
      </c>
      <c r="AH826">
        <f t="shared" ca="1" si="361"/>
        <v>32.722747310493212</v>
      </c>
      <c r="AI826">
        <f ca="1">VLOOKUP(E826,伤害参考系!$C$4:$E$104,3,FALSE)*$AN$12</f>
        <v>522.16043478260883</v>
      </c>
      <c r="AJ826">
        <f>VLOOKUP(C826,技能辅助查询表,技能配置辅助表!$L$1,FALSE)</f>
        <v>2</v>
      </c>
      <c r="AK826">
        <f>VLOOKUP(C826,技能辅助查询表,技能配置辅助表!$AE$1,FALSE)</f>
        <v>66000388</v>
      </c>
    </row>
    <row r="827" spans="1:37" x14ac:dyDescent="0.15">
      <c r="A827" s="1">
        <f t="shared" ca="1" si="353"/>
        <v>9224109</v>
      </c>
      <c r="B827" s="1" t="str">
        <f t="shared" ca="1" si="338"/>
        <v>幻影脚第1段</v>
      </c>
      <c r="C827" t="s">
        <v>167</v>
      </c>
      <c r="D827">
        <f t="shared" si="339"/>
        <v>2</v>
      </c>
      <c r="E827" s="42">
        <f t="shared" ca="1" si="354"/>
        <v>19</v>
      </c>
      <c r="F827" t="str">
        <f t="shared" ca="1" si="355"/>
        <v>第9级，共造成156.4%点伤害</v>
      </c>
      <c r="G827">
        <f t="shared" ca="1" si="356"/>
        <v>1</v>
      </c>
      <c r="H827">
        <f t="shared" si="340"/>
        <v>1</v>
      </c>
      <c r="I827" s="44">
        <f t="shared" ca="1" si="365"/>
        <v>9</v>
      </c>
      <c r="J827">
        <f t="shared" si="341"/>
        <v>2</v>
      </c>
      <c r="K827" s="36">
        <f t="shared" ca="1" si="342"/>
        <v>78.195652173913047</v>
      </c>
      <c r="L827" s="10">
        <f ca="1">AH827*VLOOKUP(C827,技能辅助查询表,技能配置辅助表!$T$1,FALSE)</f>
        <v>0</v>
      </c>
      <c r="M827">
        <f t="shared" ca="1" si="343"/>
        <v>7280</v>
      </c>
      <c r="N827" s="33">
        <f ca="1">CHOOSE(1,W827*U827,X827*'[1]0、经济设定'!$C$18)</f>
        <v>948</v>
      </c>
      <c r="O827">
        <f t="shared" si="344"/>
        <v>4</v>
      </c>
      <c r="P827">
        <f t="shared" si="345"/>
        <v>2</v>
      </c>
      <c r="Q827">
        <f t="shared" si="346"/>
        <v>1</v>
      </c>
      <c r="R827" s="2">
        <f t="shared" si="347"/>
        <v>6</v>
      </c>
      <c r="S827" s="2">
        <f t="shared" si="348"/>
        <v>50</v>
      </c>
      <c r="T827" s="2">
        <f t="shared" si="349"/>
        <v>71.739130434782609</v>
      </c>
      <c r="U827" s="2">
        <f ca="1">VLOOKUP(E827,金币生产率!$A$2:$B$120,2,0)</f>
        <v>158</v>
      </c>
      <c r="V827" s="2">
        <f t="shared" si="350"/>
        <v>143.47826086956522</v>
      </c>
      <c r="W827" s="45">
        <f t="shared" ca="1" si="362"/>
        <v>6</v>
      </c>
      <c r="X827" s="48">
        <f t="shared" ca="1" si="363"/>
        <v>45</v>
      </c>
      <c r="Y827">
        <f t="shared" si="351"/>
        <v>18</v>
      </c>
      <c r="Z827">
        <f t="shared" ca="1" si="357"/>
        <v>0</v>
      </c>
      <c r="AA827" t="str">
        <f t="shared" ca="1" si="358"/>
        <v>9224100.png</v>
      </c>
      <c r="AB827">
        <f t="shared" si="352"/>
        <v>10</v>
      </c>
      <c r="AC827">
        <f>VLOOKUP(C827,技能辅助查询表,技能配置辅助表!$W$1,FALSE)</f>
        <v>33</v>
      </c>
      <c r="AD827">
        <f t="shared" ca="1" si="359"/>
        <v>4.2016501560827209</v>
      </c>
      <c r="AE827">
        <f>VLOOKUP(C827,技能辅助查询表,技能配置辅助表!$U$1,FALSE)</f>
        <v>4</v>
      </c>
      <c r="AF827">
        <f t="shared" ca="1" si="360"/>
        <v>9224109</v>
      </c>
      <c r="AG827">
        <f t="shared" ca="1" si="364"/>
        <v>18.081632653061224</v>
      </c>
      <c r="AH827">
        <f t="shared" ca="1" si="361"/>
        <v>37.25441541630785</v>
      </c>
      <c r="AI827">
        <f ca="1">VLOOKUP(E827,伤害参考系!$C$4:$E$104,3,FALSE)*$AN$12</f>
        <v>576.22842391304346</v>
      </c>
      <c r="AJ827">
        <f>VLOOKUP(C827,技能辅助查询表,技能配置辅助表!$L$1,FALSE)</f>
        <v>2</v>
      </c>
      <c r="AK827">
        <f>VLOOKUP(C827,技能辅助查询表,技能配置辅助表!$AE$1,FALSE)</f>
        <v>66000388</v>
      </c>
    </row>
    <row r="828" spans="1:37" x14ac:dyDescent="0.15">
      <c r="A828" s="1">
        <f t="shared" ca="1" si="353"/>
        <v>9224110</v>
      </c>
      <c r="B828" s="1" t="str">
        <f t="shared" ca="1" si="338"/>
        <v>幻影脚第1段</v>
      </c>
      <c r="C828" t="s">
        <v>167</v>
      </c>
      <c r="D828">
        <f t="shared" si="339"/>
        <v>2</v>
      </c>
      <c r="E828" s="42">
        <f t="shared" ca="1" si="354"/>
        <v>21</v>
      </c>
      <c r="F828" t="str">
        <f t="shared" ca="1" si="355"/>
        <v>第10级，共造成157.8%点伤害</v>
      </c>
      <c r="G828">
        <f t="shared" ca="1" si="356"/>
        <v>1</v>
      </c>
      <c r="H828">
        <f t="shared" si="340"/>
        <v>1</v>
      </c>
      <c r="I828" s="44">
        <f t="shared" ca="1" si="365"/>
        <v>10</v>
      </c>
      <c r="J828">
        <f t="shared" si="341"/>
        <v>2</v>
      </c>
      <c r="K828" s="36">
        <f t="shared" ca="1" si="342"/>
        <v>78.913043478260875</v>
      </c>
      <c r="L828" s="10">
        <f ca="1">AH828*VLOOKUP(C828,技能辅助查询表,技能配置辅助表!$T$1,FALSE)</f>
        <v>0</v>
      </c>
      <c r="M828">
        <f t="shared" ca="1" si="343"/>
        <v>7200</v>
      </c>
      <c r="N828" s="33">
        <f ca="1">CHOOSE(1,W828*U828,X828*'[1]0、经济设定'!$C$18)</f>
        <v>1470</v>
      </c>
      <c r="O828">
        <f t="shared" si="344"/>
        <v>4</v>
      </c>
      <c r="P828">
        <f t="shared" si="345"/>
        <v>2</v>
      </c>
      <c r="Q828">
        <f t="shared" si="346"/>
        <v>1</v>
      </c>
      <c r="R828" s="2">
        <f t="shared" si="347"/>
        <v>6</v>
      </c>
      <c r="S828" s="2">
        <f t="shared" si="348"/>
        <v>50</v>
      </c>
      <c r="T828" s="2">
        <f t="shared" si="349"/>
        <v>71.739130434782609</v>
      </c>
      <c r="U828" s="2">
        <f ca="1">VLOOKUP(E828,金币生产率!$A$2:$B$120,2,0)</f>
        <v>210</v>
      </c>
      <c r="V828" s="2">
        <f t="shared" si="350"/>
        <v>143.47826086956522</v>
      </c>
      <c r="W828" s="45">
        <f t="shared" ca="1" si="362"/>
        <v>7</v>
      </c>
      <c r="X828" s="48">
        <f t="shared" ca="1" si="363"/>
        <v>52</v>
      </c>
      <c r="Y828">
        <f t="shared" si="351"/>
        <v>18</v>
      </c>
      <c r="Z828">
        <f t="shared" ca="1" si="357"/>
        <v>0</v>
      </c>
      <c r="AA828" t="str">
        <f t="shared" ca="1" si="358"/>
        <v>9224100.png</v>
      </c>
      <c r="AB828">
        <f t="shared" si="352"/>
        <v>10</v>
      </c>
      <c r="AC828">
        <f>VLOOKUP(C828,技能辅助查询表,技能配置辅助表!$W$1,FALSE)</f>
        <v>33</v>
      </c>
      <c r="AD828">
        <f t="shared" ca="1" si="359"/>
        <v>4.9052319448540587</v>
      </c>
      <c r="AE828">
        <f>VLOOKUP(C828,技能辅助查询表,技能配置辅助表!$U$1,FALSE)</f>
        <v>4</v>
      </c>
      <c r="AF828">
        <f t="shared" ca="1" si="360"/>
        <v>9224110</v>
      </c>
      <c r="AG828">
        <f t="shared" ca="1" si="364"/>
        <v>19.591836734693878</v>
      </c>
      <c r="AH828">
        <f t="shared" ca="1" si="361"/>
        <v>42.413659673550121</v>
      </c>
      <c r="AI828">
        <f ca="1">VLOOKUP(E828,伤害参考系!$C$4:$E$104,3,FALSE)*$AN$12</f>
        <v>691.69255434782622</v>
      </c>
      <c r="AJ828">
        <f>VLOOKUP(C828,技能辅助查询表,技能配置辅助表!$L$1,FALSE)</f>
        <v>2</v>
      </c>
      <c r="AK828">
        <f>VLOOKUP(C828,技能辅助查询表,技能配置辅助表!$AE$1,FALSE)</f>
        <v>66000388</v>
      </c>
    </row>
    <row r="829" spans="1:37" x14ac:dyDescent="0.15">
      <c r="A829" s="1">
        <f t="shared" ca="1" si="353"/>
        <v>9224111</v>
      </c>
      <c r="B829" s="1" t="str">
        <f t="shared" ca="1" si="338"/>
        <v>幻影脚第1段</v>
      </c>
      <c r="C829" t="s">
        <v>167</v>
      </c>
      <c r="D829">
        <f t="shared" si="339"/>
        <v>2</v>
      </c>
      <c r="E829" s="42">
        <f t="shared" ca="1" si="354"/>
        <v>22</v>
      </c>
      <c r="F829" t="str">
        <f t="shared" ca="1" si="355"/>
        <v>第11级，共造成159.3%点伤害</v>
      </c>
      <c r="G829">
        <f t="shared" ca="1" si="356"/>
        <v>1</v>
      </c>
      <c r="H829">
        <f t="shared" si="340"/>
        <v>1</v>
      </c>
      <c r="I829" s="44">
        <f t="shared" ca="1" si="365"/>
        <v>11</v>
      </c>
      <c r="J829">
        <f t="shared" si="341"/>
        <v>2</v>
      </c>
      <c r="K829" s="36">
        <f t="shared" ca="1" si="342"/>
        <v>79.630434782608702</v>
      </c>
      <c r="L829" s="10">
        <f ca="1">AH829*VLOOKUP(C829,技能辅助查询表,技能配置辅助表!$T$1,FALSE)</f>
        <v>0</v>
      </c>
      <c r="M829">
        <f t="shared" ca="1" si="343"/>
        <v>7120</v>
      </c>
      <c r="N829" s="33">
        <f ca="1">CHOOSE(1,W829*U829,X829*'[1]0、经济设定'!$C$18)</f>
        <v>1912</v>
      </c>
      <c r="O829">
        <f t="shared" si="344"/>
        <v>4</v>
      </c>
      <c r="P829">
        <f t="shared" si="345"/>
        <v>2</v>
      </c>
      <c r="Q829">
        <f t="shared" si="346"/>
        <v>1</v>
      </c>
      <c r="R829" s="2">
        <f t="shared" si="347"/>
        <v>6</v>
      </c>
      <c r="S829" s="2">
        <f t="shared" si="348"/>
        <v>50</v>
      </c>
      <c r="T829" s="2">
        <f t="shared" si="349"/>
        <v>71.739130434782609</v>
      </c>
      <c r="U829" s="2">
        <f ca="1">VLOOKUP(E829,金币生产率!$A$2:$B$120,2,0)</f>
        <v>239</v>
      </c>
      <c r="V829" s="2">
        <f t="shared" si="350"/>
        <v>143.47826086956522</v>
      </c>
      <c r="W829" s="45">
        <f t="shared" ca="1" si="362"/>
        <v>8</v>
      </c>
      <c r="X829" s="48">
        <f t="shared" ca="1" si="363"/>
        <v>60</v>
      </c>
      <c r="Y829">
        <f t="shared" si="351"/>
        <v>18</v>
      </c>
      <c r="Z829">
        <f t="shared" ca="1" si="357"/>
        <v>0</v>
      </c>
      <c r="AA829" t="str">
        <f t="shared" ca="1" si="358"/>
        <v>9224100.png</v>
      </c>
      <c r="AB829">
        <f t="shared" si="352"/>
        <v>10</v>
      </c>
      <c r="AC829">
        <f>VLOOKUP(C829,技能辅助查询表,技能配置辅助表!$W$1,FALSE)</f>
        <v>33</v>
      </c>
      <c r="AD829">
        <f t="shared" ca="1" si="359"/>
        <v>5.7231055696356048</v>
      </c>
      <c r="AE829">
        <f>VLOOKUP(C829,技能辅助查询表,技能配置辅助表!$U$1,FALSE)</f>
        <v>4</v>
      </c>
      <c r="AF829">
        <f t="shared" ca="1" si="360"/>
        <v>9224111</v>
      </c>
      <c r="AG829">
        <f t="shared" ca="1" si="364"/>
        <v>21.102040816326529</v>
      </c>
      <c r="AH829">
        <f t="shared" ca="1" si="361"/>
        <v>48.287391086433935</v>
      </c>
      <c r="AI829">
        <f ca="1">VLOOKUP(E829,伤害参考系!$C$4:$E$104,3,FALSE)*$AN$12</f>
        <v>753.08869565217401</v>
      </c>
      <c r="AJ829">
        <f>VLOOKUP(C829,技能辅助查询表,技能配置辅助表!$L$1,FALSE)</f>
        <v>2</v>
      </c>
      <c r="AK829">
        <f>VLOOKUP(C829,技能辅助查询表,技能配置辅助表!$AE$1,FALSE)</f>
        <v>66000388</v>
      </c>
    </row>
    <row r="830" spans="1:37" x14ac:dyDescent="0.15">
      <c r="A830" s="1">
        <f t="shared" ca="1" si="353"/>
        <v>9224112</v>
      </c>
      <c r="B830" s="1" t="str">
        <f t="shared" ca="1" si="338"/>
        <v>幻影脚第1段</v>
      </c>
      <c r="C830" t="s">
        <v>167</v>
      </c>
      <c r="D830">
        <f t="shared" si="339"/>
        <v>2</v>
      </c>
      <c r="E830" s="42">
        <f t="shared" ca="1" si="354"/>
        <v>24</v>
      </c>
      <c r="F830" t="str">
        <f t="shared" ca="1" si="355"/>
        <v>第12级，共造成160.7%点伤害</v>
      </c>
      <c r="G830">
        <f t="shared" ca="1" si="356"/>
        <v>1</v>
      </c>
      <c r="H830">
        <f t="shared" si="340"/>
        <v>1</v>
      </c>
      <c r="I830" s="44">
        <f t="shared" ca="1" si="365"/>
        <v>12</v>
      </c>
      <c r="J830">
        <f t="shared" si="341"/>
        <v>2</v>
      </c>
      <c r="K830" s="36">
        <f t="shared" ca="1" si="342"/>
        <v>80.347826086956516</v>
      </c>
      <c r="L830" s="10">
        <f ca="1">AH830*VLOOKUP(C830,技能辅助查询表,技能配置辅助表!$T$1,FALSE)</f>
        <v>0</v>
      </c>
      <c r="M830">
        <f t="shared" ca="1" si="343"/>
        <v>7040</v>
      </c>
      <c r="N830" s="33">
        <f ca="1">CHOOSE(1,W830*U830,X830*'[1]0、经济设定'!$C$18)</f>
        <v>2416</v>
      </c>
      <c r="O830">
        <f t="shared" si="344"/>
        <v>4</v>
      </c>
      <c r="P830">
        <f t="shared" si="345"/>
        <v>2</v>
      </c>
      <c r="Q830">
        <f t="shared" si="346"/>
        <v>1</v>
      </c>
      <c r="R830" s="2">
        <f t="shared" si="347"/>
        <v>6</v>
      </c>
      <c r="S830" s="2">
        <f t="shared" si="348"/>
        <v>50</v>
      </c>
      <c r="T830" s="2">
        <f t="shared" si="349"/>
        <v>71.739130434782609</v>
      </c>
      <c r="U830" s="2">
        <f ca="1">VLOOKUP(E830,金币生产率!$A$2:$B$120,2,0)</f>
        <v>302</v>
      </c>
      <c r="V830" s="2">
        <f t="shared" si="350"/>
        <v>143.47826086956522</v>
      </c>
      <c r="W830" s="45">
        <f t="shared" ca="1" si="362"/>
        <v>8</v>
      </c>
      <c r="X830" s="48">
        <f t="shared" ca="1" si="363"/>
        <v>68</v>
      </c>
      <c r="Y830">
        <f t="shared" si="351"/>
        <v>18</v>
      </c>
      <c r="Z830">
        <f t="shared" ca="1" si="357"/>
        <v>0</v>
      </c>
      <c r="AA830" t="str">
        <f t="shared" ca="1" si="358"/>
        <v>9224100.png</v>
      </c>
      <c r="AB830">
        <f t="shared" si="352"/>
        <v>10</v>
      </c>
      <c r="AC830">
        <f>VLOOKUP(C830,技能辅助查询表,技能配置辅助表!$W$1,FALSE)</f>
        <v>33</v>
      </c>
      <c r="AD830">
        <f t="shared" ca="1" si="359"/>
        <v>6.6734331419137289</v>
      </c>
      <c r="AE830">
        <f>VLOOKUP(C830,技能辅助查询表,技能配置辅助表!$U$1,FALSE)</f>
        <v>4</v>
      </c>
      <c r="AF830">
        <f t="shared" ca="1" si="360"/>
        <v>9224112</v>
      </c>
      <c r="AG830">
        <f t="shared" ca="1" si="364"/>
        <v>22.612244897959183</v>
      </c>
      <c r="AH830">
        <f t="shared" ca="1" si="361"/>
        <v>54.974556684819426</v>
      </c>
      <c r="AI830">
        <f ca="1">VLOOKUP(E830,伤害参考系!$C$4:$E$104,3,FALSE)*$AN$12</f>
        <v>914.59374581939801</v>
      </c>
      <c r="AJ830">
        <f>VLOOKUP(C830,技能辅助查询表,技能配置辅助表!$L$1,FALSE)</f>
        <v>2</v>
      </c>
      <c r="AK830">
        <f>VLOOKUP(C830,技能辅助查询表,技能配置辅助表!$AE$1,FALSE)</f>
        <v>66000388</v>
      </c>
    </row>
    <row r="831" spans="1:37" x14ac:dyDescent="0.15">
      <c r="A831" s="1">
        <f t="shared" ca="1" si="353"/>
        <v>9224113</v>
      </c>
      <c r="B831" s="1" t="str">
        <f t="shared" ca="1" si="338"/>
        <v>幻影脚第1段</v>
      </c>
      <c r="C831" t="s">
        <v>167</v>
      </c>
      <c r="D831">
        <f t="shared" si="339"/>
        <v>2</v>
      </c>
      <c r="E831" s="42">
        <f t="shared" ca="1" si="354"/>
        <v>25</v>
      </c>
      <c r="F831" t="str">
        <f t="shared" ca="1" si="355"/>
        <v>第13级，共造成162.1%点伤害</v>
      </c>
      <c r="G831">
        <f t="shared" ca="1" si="356"/>
        <v>1</v>
      </c>
      <c r="H831">
        <f t="shared" si="340"/>
        <v>1</v>
      </c>
      <c r="I831" s="44">
        <f t="shared" ca="1" si="365"/>
        <v>13</v>
      </c>
      <c r="J831">
        <f t="shared" si="341"/>
        <v>2</v>
      </c>
      <c r="K831" s="36">
        <f t="shared" ca="1" si="342"/>
        <v>81.065217391304344</v>
      </c>
      <c r="L831" s="10">
        <f ca="1">AH831*VLOOKUP(C831,技能辅助查询表,技能配置辅助表!$T$1,FALSE)</f>
        <v>0</v>
      </c>
      <c r="M831">
        <f t="shared" ca="1" si="343"/>
        <v>6960</v>
      </c>
      <c r="N831" s="33">
        <f ca="1">CHOOSE(1,W831*U831,X831*'[1]0、经济设定'!$C$18)</f>
        <v>3015</v>
      </c>
      <c r="O831">
        <f t="shared" si="344"/>
        <v>4</v>
      </c>
      <c r="P831">
        <f t="shared" si="345"/>
        <v>2</v>
      </c>
      <c r="Q831">
        <f t="shared" si="346"/>
        <v>1</v>
      </c>
      <c r="R831" s="2">
        <f t="shared" si="347"/>
        <v>6</v>
      </c>
      <c r="S831" s="2">
        <f t="shared" si="348"/>
        <v>50</v>
      </c>
      <c r="T831" s="2">
        <f t="shared" si="349"/>
        <v>71.739130434782609</v>
      </c>
      <c r="U831" s="2">
        <f ca="1">VLOOKUP(E831,金币生产率!$A$2:$B$120,2,0)</f>
        <v>335</v>
      </c>
      <c r="V831" s="2">
        <f t="shared" si="350"/>
        <v>143.47826086956522</v>
      </c>
      <c r="W831" s="45">
        <f t="shared" ca="1" si="362"/>
        <v>9</v>
      </c>
      <c r="X831" s="48">
        <f t="shared" ca="1" si="363"/>
        <v>77</v>
      </c>
      <c r="Y831">
        <f t="shared" si="351"/>
        <v>18</v>
      </c>
      <c r="Z831">
        <f t="shared" ca="1" si="357"/>
        <v>0</v>
      </c>
      <c r="AA831" t="str">
        <f t="shared" ca="1" si="358"/>
        <v>9224100.png</v>
      </c>
      <c r="AB831">
        <f t="shared" si="352"/>
        <v>10</v>
      </c>
      <c r="AC831">
        <f>VLOOKUP(C831,技能辅助查询表,技能配置辅助表!$W$1,FALSE)</f>
        <v>33</v>
      </c>
      <c r="AD831">
        <f t="shared" ca="1" si="359"/>
        <v>7.7772152418171085</v>
      </c>
      <c r="AE831">
        <f>VLOOKUP(C831,技能辅助查询表,技能配置辅助表!$U$1,FALSE)</f>
        <v>4</v>
      </c>
      <c r="AF831">
        <f t="shared" ca="1" si="360"/>
        <v>9224113</v>
      </c>
      <c r="AG831">
        <f t="shared" ca="1" si="364"/>
        <v>24.122448979591837</v>
      </c>
      <c r="AH831">
        <f t="shared" ca="1" si="361"/>
        <v>62.587806354721323</v>
      </c>
      <c r="AI831">
        <f ca="1">VLOOKUP(E831,伤害参考系!$C$4:$E$104,3,FALSE)*$AN$12</f>
        <v>1000.3949623745822</v>
      </c>
      <c r="AJ831">
        <f>VLOOKUP(C831,技能辅助查询表,技能配置辅助表!$L$1,FALSE)</f>
        <v>2</v>
      </c>
      <c r="AK831">
        <f>VLOOKUP(C831,技能辅助查询表,技能配置辅助表!$AE$1,FALSE)</f>
        <v>66000388</v>
      </c>
    </row>
    <row r="832" spans="1:37" x14ac:dyDescent="0.15">
      <c r="A832" s="1">
        <f t="shared" ca="1" si="353"/>
        <v>9224114</v>
      </c>
      <c r="B832" s="1" t="str">
        <f t="shared" ca="1" si="338"/>
        <v>幻影脚第1段</v>
      </c>
      <c r="C832" t="s">
        <v>167</v>
      </c>
      <c r="D832">
        <f t="shared" si="339"/>
        <v>2</v>
      </c>
      <c r="E832" s="42">
        <f t="shared" ca="1" si="354"/>
        <v>27</v>
      </c>
      <c r="F832" t="str">
        <f t="shared" ca="1" si="355"/>
        <v>第14级，共造成163.6%点伤害</v>
      </c>
      <c r="G832">
        <f t="shared" ca="1" si="356"/>
        <v>1</v>
      </c>
      <c r="H832">
        <f t="shared" si="340"/>
        <v>1</v>
      </c>
      <c r="I832" s="44">
        <f t="shared" ca="1" si="365"/>
        <v>14</v>
      </c>
      <c r="J832">
        <f t="shared" si="341"/>
        <v>2</v>
      </c>
      <c r="K832" s="36">
        <f t="shared" ca="1" si="342"/>
        <v>81.782608695652172</v>
      </c>
      <c r="L832" s="10">
        <f ca="1">AH832*VLOOKUP(C832,技能辅助查询表,技能配置辅助表!$T$1,FALSE)</f>
        <v>0</v>
      </c>
      <c r="M832">
        <f t="shared" ca="1" si="343"/>
        <v>6880</v>
      </c>
      <c r="N832" s="33">
        <f ca="1">CHOOSE(1,W832*U832,X832*'[1]0、经济设定'!$C$18)</f>
        <v>3654</v>
      </c>
      <c r="O832">
        <f t="shared" si="344"/>
        <v>4</v>
      </c>
      <c r="P832">
        <f t="shared" si="345"/>
        <v>2</v>
      </c>
      <c r="Q832">
        <f t="shared" si="346"/>
        <v>1</v>
      </c>
      <c r="R832" s="2">
        <f t="shared" si="347"/>
        <v>6</v>
      </c>
      <c r="S832" s="2">
        <f t="shared" si="348"/>
        <v>50</v>
      </c>
      <c r="T832" s="2">
        <f t="shared" si="349"/>
        <v>71.739130434782609</v>
      </c>
      <c r="U832" s="2">
        <f ca="1">VLOOKUP(E832,金币生产率!$A$2:$B$120,2,0)</f>
        <v>406</v>
      </c>
      <c r="V832" s="2">
        <f t="shared" si="350"/>
        <v>143.47826086956522</v>
      </c>
      <c r="W832" s="45">
        <f t="shared" ca="1" si="362"/>
        <v>9</v>
      </c>
      <c r="X832" s="48">
        <f t="shared" ca="1" si="363"/>
        <v>86</v>
      </c>
      <c r="Y832">
        <f t="shared" si="351"/>
        <v>18</v>
      </c>
      <c r="Z832">
        <f t="shared" ca="1" si="357"/>
        <v>0</v>
      </c>
      <c r="AA832" t="str">
        <f t="shared" ca="1" si="358"/>
        <v>9224100.png</v>
      </c>
      <c r="AB832">
        <f t="shared" si="352"/>
        <v>10</v>
      </c>
      <c r="AC832">
        <f>VLOOKUP(C832,技能辅助查询表,技能配置辅助表!$W$1,FALSE)</f>
        <v>33</v>
      </c>
      <c r="AD832">
        <f t="shared" ca="1" si="359"/>
        <v>9.058728775227781</v>
      </c>
      <c r="AE832">
        <f>VLOOKUP(C832,技能辅助查询表,技能配置辅助表!$U$1,FALSE)</f>
        <v>4</v>
      </c>
      <c r="AF832">
        <f t="shared" ca="1" si="360"/>
        <v>9224114</v>
      </c>
      <c r="AG832">
        <f t="shared" ca="1" si="364"/>
        <v>25.632653061224488</v>
      </c>
      <c r="AH832">
        <f t="shared" ca="1" si="361"/>
        <v>71.25539050281769</v>
      </c>
      <c r="AI832">
        <f ca="1">VLOOKUP(E832,伤害参考系!$C$4:$E$104,3,FALSE)*$AN$12</f>
        <v>1210.5107784280938</v>
      </c>
      <c r="AJ832">
        <f>VLOOKUP(C832,技能辅助查询表,技能配置辅助表!$L$1,FALSE)</f>
        <v>2</v>
      </c>
      <c r="AK832">
        <f>VLOOKUP(C832,技能辅助查询表,技能配置辅助表!$AE$1,FALSE)</f>
        <v>66000388</v>
      </c>
    </row>
    <row r="833" spans="1:37" x14ac:dyDescent="0.15">
      <c r="A833" s="1">
        <f t="shared" ca="1" si="353"/>
        <v>9224115</v>
      </c>
      <c r="B833" s="1" t="str">
        <f t="shared" ca="1" si="338"/>
        <v>幻影脚第1段</v>
      </c>
      <c r="C833" t="s">
        <v>167</v>
      </c>
      <c r="D833">
        <f t="shared" si="339"/>
        <v>2</v>
      </c>
      <c r="E833" s="42">
        <f t="shared" ca="1" si="354"/>
        <v>28</v>
      </c>
      <c r="F833" t="str">
        <f t="shared" ca="1" si="355"/>
        <v>第15级，共造成165%点伤害</v>
      </c>
      <c r="G833">
        <f t="shared" ca="1" si="356"/>
        <v>1</v>
      </c>
      <c r="H833">
        <f t="shared" si="340"/>
        <v>1</v>
      </c>
      <c r="I833" s="44">
        <f t="shared" ca="1" si="365"/>
        <v>15</v>
      </c>
      <c r="J833">
        <f t="shared" si="341"/>
        <v>2</v>
      </c>
      <c r="K833" s="36">
        <f t="shared" ca="1" si="342"/>
        <v>82.5</v>
      </c>
      <c r="L833" s="10">
        <f ca="1">AH833*VLOOKUP(C833,技能辅助查询表,技能配置辅助表!$T$1,FALSE)</f>
        <v>0</v>
      </c>
      <c r="M833">
        <f t="shared" ca="1" si="343"/>
        <v>6800</v>
      </c>
      <c r="N833" s="33">
        <f ca="1">CHOOSE(1,W833*U833,X833*'[1]0、经济设定'!$C$18)</f>
        <v>4430</v>
      </c>
      <c r="O833">
        <f t="shared" si="344"/>
        <v>4</v>
      </c>
      <c r="P833">
        <f t="shared" si="345"/>
        <v>2</v>
      </c>
      <c r="Q833">
        <f t="shared" si="346"/>
        <v>1</v>
      </c>
      <c r="R833" s="2">
        <f t="shared" si="347"/>
        <v>6</v>
      </c>
      <c r="S833" s="2">
        <f t="shared" si="348"/>
        <v>50</v>
      </c>
      <c r="T833" s="2">
        <f t="shared" si="349"/>
        <v>71.739130434782609</v>
      </c>
      <c r="U833" s="2">
        <f ca="1">VLOOKUP(E833,金币生产率!$A$2:$B$120,2,0)</f>
        <v>443</v>
      </c>
      <c r="V833" s="2">
        <f t="shared" si="350"/>
        <v>143.47826086956522</v>
      </c>
      <c r="W833" s="45">
        <f t="shared" ca="1" si="362"/>
        <v>10</v>
      </c>
      <c r="X833" s="48">
        <f t="shared" ca="1" si="363"/>
        <v>96</v>
      </c>
      <c r="Y833">
        <f t="shared" si="351"/>
        <v>18</v>
      </c>
      <c r="Z833">
        <f t="shared" ca="1" si="357"/>
        <v>0</v>
      </c>
      <c r="AA833" t="str">
        <f t="shared" ca="1" si="358"/>
        <v>9224100.png</v>
      </c>
      <c r="AB833">
        <f t="shared" si="352"/>
        <v>10</v>
      </c>
      <c r="AC833">
        <f>VLOOKUP(C833,技能辅助查询表,技能配置辅助表!$W$1,FALSE)</f>
        <v>33</v>
      </c>
      <c r="AD833">
        <f t="shared" ca="1" si="359"/>
        <v>10.546031667914246</v>
      </c>
      <c r="AE833">
        <f>VLOOKUP(C833,技能辅助查询表,技能配置辅助表!$U$1,FALSE)</f>
        <v>4</v>
      </c>
      <c r="AF833">
        <f t="shared" ca="1" si="360"/>
        <v>9224115</v>
      </c>
      <c r="AG833">
        <f t="shared" ca="1" si="364"/>
        <v>27.142857142857142</v>
      </c>
      <c r="AH833">
        <f t="shared" ca="1" si="361"/>
        <v>81.123320522417259</v>
      </c>
      <c r="AI833">
        <f ca="1">VLOOKUP(E833,伤害参考系!$C$4:$E$104,3,FALSE)*$AN$12</f>
        <v>1321.7693779264216</v>
      </c>
      <c r="AJ833">
        <f>VLOOKUP(C833,技能辅助查询表,技能配置辅助表!$L$1,FALSE)</f>
        <v>2</v>
      </c>
      <c r="AK833">
        <f>VLOOKUP(C833,技能辅助查询表,技能配置辅助表!$AE$1,FALSE)</f>
        <v>66000388</v>
      </c>
    </row>
    <row r="834" spans="1:37" x14ac:dyDescent="0.15">
      <c r="A834" s="1">
        <f t="shared" ca="1" si="353"/>
        <v>9224116</v>
      </c>
      <c r="B834" s="1" t="str">
        <f t="shared" ref="B834:B897" ca="1" si="366">IF(AND(G834=0,AE834=4),LEFT(C834,LEN(C834)-3),C834)</f>
        <v>幻影脚第1段</v>
      </c>
      <c r="C834" t="s">
        <v>167</v>
      </c>
      <c r="D834">
        <f t="shared" ref="D834:D897" si="367">VLOOKUP(C834,技能辅助查询表,3,FALSE)</f>
        <v>2</v>
      </c>
      <c r="E834" s="42">
        <f t="shared" ca="1" si="354"/>
        <v>30</v>
      </c>
      <c r="F834" t="str">
        <f t="shared" ca="1" si="355"/>
        <v>第16级，共造成166.4%点伤害</v>
      </c>
      <c r="G834">
        <f t="shared" ca="1" si="356"/>
        <v>1</v>
      </c>
      <c r="H834">
        <f t="shared" ref="H834:H897" si="368">VLOOKUP(C834,技能辅助查询表,2,FALSE)</f>
        <v>1</v>
      </c>
      <c r="I834" s="44">
        <f t="shared" ca="1" si="365"/>
        <v>16</v>
      </c>
      <c r="J834">
        <f t="shared" ref="J834:J897" si="369">VLOOKUP(C834,技能辅助查询表,4,FALSE)</f>
        <v>2</v>
      </c>
      <c r="K834" s="36">
        <f t="shared" ref="K834:K897" ca="1" si="370">IF(OR(I834=0,I834=1),T834,T834+T834*($AN$6-1)/S834*I834)</f>
        <v>83.217391304347828</v>
      </c>
      <c r="L834" s="10">
        <f ca="1">AH834*VLOOKUP(C834,技能辅助查询表,技能配置辅助表!$T$1,FALSE)</f>
        <v>0</v>
      </c>
      <c r="M834">
        <f t="shared" ref="M834:M897" ca="1" si="371">IF(OR(I834=0,I834=1),VLOOKUP(C834,技能辅助查询表,14,FALSE),VLOOKUP(C834,技能辅助查询表,14,FALSE)-VLOOKUP(C834,技能辅助查询表,14,FALSE)*0.5/S834*I834)</f>
        <v>6720</v>
      </c>
      <c r="N834" s="33">
        <f ca="1">CHOOSE(1,W834*U834,X834*'[1]0、经济设定'!$C$18)</f>
        <v>5742</v>
      </c>
      <c r="O834">
        <f t="shared" ref="O834:O897" si="372">VLOOKUP(C834,技能辅助查询表,5,FALSE)</f>
        <v>4</v>
      </c>
      <c r="P834">
        <f t="shared" ref="P834:P897" si="373">VLOOKUP(C834,技能辅助查询表,6,FALSE)</f>
        <v>2</v>
      </c>
      <c r="Q834">
        <f t="shared" ref="Q834:Q897" si="374">VLOOKUP(C834,技能辅助查询表,7,FALSE)</f>
        <v>1</v>
      </c>
      <c r="R834" s="2">
        <f t="shared" ref="R834:R897" si="375">VLOOKUP(C834,技能辅助查询表,9,FALSE)</f>
        <v>6</v>
      </c>
      <c r="S834" s="2">
        <f t="shared" ref="S834:S897" si="376">VLOOKUP(C834,技能辅助查询表,8,FALSE)</f>
        <v>50</v>
      </c>
      <c r="T834" s="2">
        <f t="shared" ref="T834:T897" si="377">VLOOKUP(C834,技能辅助查询表,11,FALSE)</f>
        <v>71.739130434782609</v>
      </c>
      <c r="U834" s="2">
        <f ca="1">VLOOKUP(E834,金币生产率!$A$2:$B$120,2,0)</f>
        <v>522</v>
      </c>
      <c r="V834" s="2">
        <f t="shared" ref="V834:V897" si="378">VLOOKUP(C834,技能辅助查询表,12,FALSE)</f>
        <v>143.47826086956522</v>
      </c>
      <c r="W834" s="45">
        <f t="shared" ca="1" si="362"/>
        <v>11</v>
      </c>
      <c r="X834" s="48">
        <f t="shared" ca="1" si="363"/>
        <v>107</v>
      </c>
      <c r="Y834">
        <f t="shared" ref="Y834:Y897" si="379">VLOOKUP(C834,技能辅助查询表,15,FALSE)</f>
        <v>18</v>
      </c>
      <c r="Z834">
        <f t="shared" ca="1" si="357"/>
        <v>0</v>
      </c>
      <c r="AA834" t="str">
        <f t="shared" ca="1" si="358"/>
        <v>9224100.png</v>
      </c>
      <c r="AB834">
        <f t="shared" ref="AB834:AB897" si="380">VLOOKUP(C834,技能辅助查询表,17,FALSE)</f>
        <v>10</v>
      </c>
      <c r="AC834">
        <f>VLOOKUP(C834,技能辅助查询表,技能配置辅助表!$W$1,FALSE)</f>
        <v>33</v>
      </c>
      <c r="AD834">
        <f t="shared" ca="1" si="359"/>
        <v>12.271544511293399</v>
      </c>
      <c r="AE834">
        <f>VLOOKUP(C834,技能辅助查询表,技能配置辅助表!$U$1,FALSE)</f>
        <v>4</v>
      </c>
      <c r="AF834">
        <f t="shared" ca="1" si="360"/>
        <v>9224116</v>
      </c>
      <c r="AG834">
        <f t="shared" ca="1" si="364"/>
        <v>28.653061224489797</v>
      </c>
      <c r="AH834">
        <f t="shared" ca="1" si="361"/>
        <v>92.357828455414989</v>
      </c>
      <c r="AI834">
        <f ca="1">VLOOKUP(E834,伤害参考系!$C$4:$E$104,3,FALSE)*$AN$12</f>
        <v>1576.1465593645489</v>
      </c>
      <c r="AJ834">
        <f>VLOOKUP(C834,技能辅助查询表,技能配置辅助表!$L$1,FALSE)</f>
        <v>2</v>
      </c>
      <c r="AK834">
        <f>VLOOKUP(C834,技能辅助查询表,技能配置辅助表!$AE$1,FALSE)</f>
        <v>66000388</v>
      </c>
    </row>
    <row r="835" spans="1:37" x14ac:dyDescent="0.15">
      <c r="A835" s="1">
        <f t="shared" ref="A835:A898" ca="1" si="381">IF(I835=0,IF(H835=1,VALUE("9"&amp;D835&amp;J835&amp;O835&amp;G835&amp;IF(I835&gt;9,I835,"0"&amp;I835)),1),VALUE("9"&amp;D835&amp;J835&amp;O835&amp;G835&amp;IF(I835&gt;9,I835,"0"&amp;I835)))</f>
        <v>9224117</v>
      </c>
      <c r="B835" s="1" t="str">
        <f t="shared" ca="1" si="366"/>
        <v>幻影脚第1段</v>
      </c>
      <c r="C835" t="s">
        <v>167</v>
      </c>
      <c r="D835">
        <f t="shared" si="367"/>
        <v>2</v>
      </c>
      <c r="E835" s="42">
        <f t="shared" ref="E835:E898" ca="1" si="382">IF(I835=0,E836,IF(AND(I835=1,G835&gt;1),OFFSET(E835,(1-G835)*51,0),IF(OR(I835=1,AND(I835=2,R835=2)),R835,IF(I835=0,0,ROUND(I835*(80-R835)/S835,0)+R835))))</f>
        <v>31</v>
      </c>
      <c r="F835" t="str">
        <f t="shared" ref="F835:F898" ca="1" si="383">"第"&amp;I835&amp;"级，共造成"&amp;ROUND(AJ835*K835,1)&amp;"%点伤害"</f>
        <v>第17级，共造成167.9%点伤害</v>
      </c>
      <c r="G835">
        <f t="shared" ref="G835:G898" ca="1" si="384">IF(I835=0,0,H835)</f>
        <v>1</v>
      </c>
      <c r="H835">
        <f t="shared" si="368"/>
        <v>1</v>
      </c>
      <c r="I835" s="44">
        <f t="shared" ca="1" si="365"/>
        <v>17</v>
      </c>
      <c r="J835">
        <f t="shared" si="369"/>
        <v>2</v>
      </c>
      <c r="K835" s="36">
        <f t="shared" ca="1" si="370"/>
        <v>83.934782608695656</v>
      </c>
      <c r="L835" s="10">
        <f ca="1">AH835*VLOOKUP(C835,技能辅助查询表,技能配置辅助表!$T$1,FALSE)</f>
        <v>0</v>
      </c>
      <c r="M835">
        <f t="shared" ca="1" si="371"/>
        <v>6640</v>
      </c>
      <c r="N835" s="33">
        <f ca="1">CHOOSE(1,W835*U835,X835*'[1]0、经济设定'!$C$18)</f>
        <v>6756</v>
      </c>
      <c r="O835">
        <f t="shared" si="372"/>
        <v>4</v>
      </c>
      <c r="P835">
        <f t="shared" si="373"/>
        <v>2</v>
      </c>
      <c r="Q835">
        <f t="shared" si="374"/>
        <v>1</v>
      </c>
      <c r="R835" s="2">
        <f t="shared" si="375"/>
        <v>6</v>
      </c>
      <c r="S835" s="2">
        <f t="shared" si="376"/>
        <v>50</v>
      </c>
      <c r="T835" s="2">
        <f t="shared" si="377"/>
        <v>71.739130434782609</v>
      </c>
      <c r="U835" s="2">
        <f ca="1">VLOOKUP(E835,金币生产率!$A$2:$B$120,2,0)</f>
        <v>563</v>
      </c>
      <c r="V835" s="2">
        <f t="shared" si="378"/>
        <v>143.47826086956522</v>
      </c>
      <c r="W835" s="45">
        <f t="shared" ca="1" si="362"/>
        <v>12</v>
      </c>
      <c r="X835" s="48">
        <f t="shared" ca="1" si="363"/>
        <v>119</v>
      </c>
      <c r="Y835">
        <f t="shared" si="379"/>
        <v>18</v>
      </c>
      <c r="Z835">
        <f t="shared" ref="Z835:Z898" ca="1" si="385">IF(I835&gt;=Y835,ROUNDUP(W835/$AN$15,0),0)</f>
        <v>0</v>
      </c>
      <c r="AA835" t="str">
        <f t="shared" ref="AA835:AA898" ca="1" si="386">AF835-MOD(AF835,100)&amp;".png"</f>
        <v>9224100.png</v>
      </c>
      <c r="AB835">
        <f t="shared" si="380"/>
        <v>10</v>
      </c>
      <c r="AC835">
        <f>VLOOKUP(C835,技能辅助查询表,技能配置辅助表!$W$1,FALSE)</f>
        <v>33</v>
      </c>
      <c r="AD835">
        <f t="shared" ref="AD835:AD898" ca="1" si="387">((AH835*K835/100+L835)*AJ835-AH835)/5</f>
        <v>14.272720794067023</v>
      </c>
      <c r="AE835">
        <f>VLOOKUP(C835,技能辅助查询表,技能配置辅助表!$U$1,FALSE)</f>
        <v>4</v>
      </c>
      <c r="AF835">
        <f t="shared" ref="AF835:AF898" ca="1" si="388">VALUE("9"&amp;D835&amp;J835&amp;O835&amp;H835&amp;IF(I835&gt;9,I835,"0"&amp;I835))</f>
        <v>9224117</v>
      </c>
      <c r="AG835">
        <f t="shared" ca="1" si="364"/>
        <v>30.163265306122447</v>
      </c>
      <c r="AH835">
        <f t="shared" ref="AH835:AH898" ca="1" si="389">(19.323*EXP(I835*0.1297))*$AN$12</f>
        <v>105.14816728492683</v>
      </c>
      <c r="AI835">
        <f ca="1">VLOOKUP(E835,伤害参考系!$C$4:$E$104,3,FALSE)*$AN$12</f>
        <v>1721.3320384615388</v>
      </c>
      <c r="AJ835">
        <f>VLOOKUP(C835,技能辅助查询表,技能配置辅助表!$L$1,FALSE)</f>
        <v>2</v>
      </c>
      <c r="AK835">
        <f>VLOOKUP(C835,技能辅助查询表,技能配置辅助表!$AE$1,FALSE)</f>
        <v>66000388</v>
      </c>
    </row>
    <row r="836" spans="1:37" x14ac:dyDescent="0.15">
      <c r="A836" s="1">
        <f t="shared" ca="1" si="381"/>
        <v>9224118</v>
      </c>
      <c r="B836" s="1" t="str">
        <f t="shared" ca="1" si="366"/>
        <v>幻影脚第1段</v>
      </c>
      <c r="C836" t="s">
        <v>167</v>
      </c>
      <c r="D836">
        <f t="shared" si="367"/>
        <v>2</v>
      </c>
      <c r="E836" s="42">
        <f t="shared" ca="1" si="382"/>
        <v>33</v>
      </c>
      <c r="F836" t="str">
        <f t="shared" ca="1" si="383"/>
        <v>第18级，共造成169.3%点伤害</v>
      </c>
      <c r="G836">
        <f t="shared" ca="1" si="384"/>
        <v>1</v>
      </c>
      <c r="H836">
        <f t="shared" si="368"/>
        <v>1</v>
      </c>
      <c r="I836" s="44">
        <f t="shared" ca="1" si="365"/>
        <v>18</v>
      </c>
      <c r="J836">
        <f t="shared" si="369"/>
        <v>2</v>
      </c>
      <c r="K836" s="36">
        <f t="shared" ca="1" si="370"/>
        <v>84.652173913043484</v>
      </c>
      <c r="L836" s="10">
        <f ca="1">AH836*VLOOKUP(C836,技能辅助查询表,技能配置辅助表!$T$1,FALSE)</f>
        <v>0</v>
      </c>
      <c r="M836">
        <f t="shared" ca="1" si="371"/>
        <v>6560</v>
      </c>
      <c r="N836" s="33">
        <f ca="1">CHOOSE(1,W836*U836,X836*'[1]0、经济设定'!$C$18)</f>
        <v>7812</v>
      </c>
      <c r="O836">
        <f t="shared" si="372"/>
        <v>4</v>
      </c>
      <c r="P836">
        <f t="shared" si="373"/>
        <v>2</v>
      </c>
      <c r="Q836">
        <f t="shared" si="374"/>
        <v>1</v>
      </c>
      <c r="R836" s="2">
        <f t="shared" si="375"/>
        <v>6</v>
      </c>
      <c r="S836" s="2">
        <f t="shared" si="376"/>
        <v>50</v>
      </c>
      <c r="T836" s="2">
        <f t="shared" si="377"/>
        <v>71.739130434782609</v>
      </c>
      <c r="U836" s="2">
        <f ca="1">VLOOKUP(E836,金币生产率!$A$2:$B$120,2,0)</f>
        <v>651</v>
      </c>
      <c r="V836" s="2">
        <f t="shared" si="378"/>
        <v>143.47826086956522</v>
      </c>
      <c r="W836" s="45">
        <f t="shared" ref="W836:W899" ca="1" si="390">ROUND((IF(I836=0,0,ROUND(OFFSET(AD836,S836-I836+510*(1-D836),0)*(1-$AN$13)/(1-$AN$13^S836)*$AN$13^(I836-1),0))+IF(I836=0,0,ROUND(OFFSET(AD836,S836-I836+510*(2-D836),0)*(1-$AN$13)/(1-$AN$13^S836)*$AN$13^(I836-1),0))+IF(I836=0,0,ROUND(OFFSET(AD836,S836-I836+510*(3-D836),0)*(1-$AN$13)/(1-$AN$13^S836)*$AN$13^(I836-1),0)))/3,0)</f>
        <v>12</v>
      </c>
      <c r="X836" s="48">
        <f t="shared" ref="X836:X899" ca="1" si="391">IF(I836=0,0,X835+W836)</f>
        <v>131</v>
      </c>
      <c r="Y836">
        <f t="shared" si="379"/>
        <v>18</v>
      </c>
      <c r="Z836">
        <f t="shared" ca="1" si="385"/>
        <v>5</v>
      </c>
      <c r="AA836" t="str">
        <f t="shared" ca="1" si="386"/>
        <v>9224100.png</v>
      </c>
      <c r="AB836">
        <f t="shared" si="380"/>
        <v>10</v>
      </c>
      <c r="AC836">
        <f>VLOOKUP(C836,技能辅助查询表,技能配置辅助表!$W$1,FALSE)</f>
        <v>33</v>
      </c>
      <c r="AD836">
        <f t="shared" ca="1" si="387"/>
        <v>16.592819100533298</v>
      </c>
      <c r="AE836">
        <f>VLOOKUP(C836,技能辅助查询表,技能配置辅助表!$U$1,FALSE)</f>
        <v>4</v>
      </c>
      <c r="AF836">
        <f t="shared" ca="1" si="388"/>
        <v>9224118</v>
      </c>
      <c r="AG836">
        <f t="shared" ca="1" si="364"/>
        <v>31.673469387755102</v>
      </c>
      <c r="AH836">
        <f t="shared" ca="1" si="389"/>
        <v>119.70979903145096</v>
      </c>
      <c r="AI836">
        <f ca="1">VLOOKUP(E836,伤害参考系!$C$4:$E$104,3,FALSE)*$AN$12</f>
        <v>2031.7137667224088</v>
      </c>
      <c r="AJ836">
        <f>VLOOKUP(C836,技能辅助查询表,技能配置辅助表!$L$1,FALSE)</f>
        <v>2</v>
      </c>
      <c r="AK836">
        <f>VLOOKUP(C836,技能辅助查询表,技能配置辅助表!$AE$1,FALSE)</f>
        <v>66000388</v>
      </c>
    </row>
    <row r="837" spans="1:37" x14ac:dyDescent="0.15">
      <c r="A837" s="1">
        <f t="shared" ca="1" si="381"/>
        <v>9224119</v>
      </c>
      <c r="B837" s="1" t="str">
        <f t="shared" ca="1" si="366"/>
        <v>幻影脚第1段</v>
      </c>
      <c r="C837" t="s">
        <v>167</v>
      </c>
      <c r="D837">
        <f t="shared" si="367"/>
        <v>2</v>
      </c>
      <c r="E837" s="42">
        <f t="shared" ca="1" si="382"/>
        <v>34</v>
      </c>
      <c r="F837" t="str">
        <f t="shared" ca="1" si="383"/>
        <v>第19级，共造成170.7%点伤害</v>
      </c>
      <c r="G837">
        <f t="shared" ca="1" si="384"/>
        <v>1</v>
      </c>
      <c r="H837">
        <f t="shared" si="368"/>
        <v>1</v>
      </c>
      <c r="I837" s="44">
        <f t="shared" ca="1" si="365"/>
        <v>19</v>
      </c>
      <c r="J837">
        <f t="shared" si="369"/>
        <v>2</v>
      </c>
      <c r="K837" s="36">
        <f t="shared" ca="1" si="370"/>
        <v>85.369565217391312</v>
      </c>
      <c r="L837" s="10">
        <f ca="1">AH837*VLOOKUP(C837,技能辅助查询表,技能配置辅助表!$T$1,FALSE)</f>
        <v>0</v>
      </c>
      <c r="M837">
        <f t="shared" ca="1" si="371"/>
        <v>6480</v>
      </c>
      <c r="N837" s="33">
        <f ca="1">CHOOSE(1,W837*U837,X837*'[1]0、经济设定'!$C$18)</f>
        <v>9048</v>
      </c>
      <c r="O837">
        <f t="shared" si="372"/>
        <v>4</v>
      </c>
      <c r="P837">
        <f t="shared" si="373"/>
        <v>2</v>
      </c>
      <c r="Q837">
        <f t="shared" si="374"/>
        <v>1</v>
      </c>
      <c r="R837" s="2">
        <f t="shared" si="375"/>
        <v>6</v>
      </c>
      <c r="S837" s="2">
        <f t="shared" si="376"/>
        <v>50</v>
      </c>
      <c r="T837" s="2">
        <f t="shared" si="377"/>
        <v>71.739130434782609</v>
      </c>
      <c r="U837" s="2">
        <f ca="1">VLOOKUP(E837,金币生产率!$A$2:$B$120,2,0)</f>
        <v>696</v>
      </c>
      <c r="V837" s="2">
        <f t="shared" si="378"/>
        <v>143.47826086956522</v>
      </c>
      <c r="W837" s="45">
        <f t="shared" ca="1" si="390"/>
        <v>13</v>
      </c>
      <c r="X837" s="48">
        <f t="shared" ca="1" si="391"/>
        <v>144</v>
      </c>
      <c r="Y837">
        <f t="shared" si="379"/>
        <v>18</v>
      </c>
      <c r="Z837">
        <f t="shared" ca="1" si="385"/>
        <v>6</v>
      </c>
      <c r="AA837" t="str">
        <f t="shared" ca="1" si="386"/>
        <v>9224100.png</v>
      </c>
      <c r="AB837">
        <f t="shared" si="380"/>
        <v>10</v>
      </c>
      <c r="AC837">
        <f>VLOOKUP(C837,技能辅助查询表,技能配置辅助表!$W$1,FALSE)</f>
        <v>33</v>
      </c>
      <c r="AD837">
        <f t="shared" ca="1" si="387"/>
        <v>19.281792663550021</v>
      </c>
      <c r="AE837">
        <f>VLOOKUP(C837,技能辅助查询表,技能配置辅助表!$U$1,FALSE)</f>
        <v>4</v>
      </c>
      <c r="AF837">
        <f t="shared" ca="1" si="388"/>
        <v>9224119</v>
      </c>
      <c r="AG837">
        <f t="shared" ref="AG837:AG900" ca="1" si="392">IF(I837=1,R837,IF(I837=0,0,(I837-1)*(80-R837)/(S837-1)+R837))</f>
        <v>33.183673469387756</v>
      </c>
      <c r="AH837">
        <f t="shared" ca="1" si="389"/>
        <v>136.28802435822078</v>
      </c>
      <c r="AI837">
        <f ca="1">VLOOKUP(E837,伤害参考系!$C$4:$E$104,3,FALSE)*$AN$12</f>
        <v>2196.2761028428095</v>
      </c>
      <c r="AJ837">
        <f>VLOOKUP(C837,技能辅助查询表,技能配置辅助表!$L$1,FALSE)</f>
        <v>2</v>
      </c>
      <c r="AK837">
        <f>VLOOKUP(C837,技能辅助查询表,技能配置辅助表!$AE$1,FALSE)</f>
        <v>66000388</v>
      </c>
    </row>
    <row r="838" spans="1:37" x14ac:dyDescent="0.15">
      <c r="A838" s="1">
        <f t="shared" ca="1" si="381"/>
        <v>9224120</v>
      </c>
      <c r="B838" s="1" t="str">
        <f t="shared" ca="1" si="366"/>
        <v>幻影脚第1段</v>
      </c>
      <c r="C838" t="s">
        <v>167</v>
      </c>
      <c r="D838">
        <f t="shared" si="367"/>
        <v>2</v>
      </c>
      <c r="E838" s="42">
        <f t="shared" ca="1" si="382"/>
        <v>36</v>
      </c>
      <c r="F838" t="str">
        <f t="shared" ca="1" si="383"/>
        <v>第20级，共造成172.2%点伤害</v>
      </c>
      <c r="G838">
        <f t="shared" ca="1" si="384"/>
        <v>1</v>
      </c>
      <c r="H838">
        <f t="shared" si="368"/>
        <v>1</v>
      </c>
      <c r="I838" s="44">
        <f t="shared" ca="1" si="365"/>
        <v>20</v>
      </c>
      <c r="J838">
        <f t="shared" si="369"/>
        <v>2</v>
      </c>
      <c r="K838" s="36">
        <f t="shared" ca="1" si="370"/>
        <v>86.086956521739125</v>
      </c>
      <c r="L838" s="10">
        <f ca="1">AH838*VLOOKUP(C838,技能辅助查询表,技能配置辅助表!$T$1,FALSE)</f>
        <v>0</v>
      </c>
      <c r="M838">
        <f t="shared" ca="1" si="371"/>
        <v>6400</v>
      </c>
      <c r="N838" s="33">
        <f ca="1">CHOOSE(1,W838*U838,X838*'[1]0、经济设定'!$C$18)</f>
        <v>11074</v>
      </c>
      <c r="O838">
        <f t="shared" si="372"/>
        <v>4</v>
      </c>
      <c r="P838">
        <f t="shared" si="373"/>
        <v>2</v>
      </c>
      <c r="Q838">
        <f t="shared" si="374"/>
        <v>1</v>
      </c>
      <c r="R838" s="2">
        <f t="shared" si="375"/>
        <v>6</v>
      </c>
      <c r="S838" s="2">
        <f t="shared" si="376"/>
        <v>50</v>
      </c>
      <c r="T838" s="2">
        <f t="shared" si="377"/>
        <v>71.739130434782609</v>
      </c>
      <c r="U838" s="2">
        <f ca="1">VLOOKUP(E838,金币生产率!$A$2:$B$120,2,0)</f>
        <v>791</v>
      </c>
      <c r="V838" s="2">
        <f t="shared" si="378"/>
        <v>143.47826086956522</v>
      </c>
      <c r="W838" s="45">
        <f t="shared" ca="1" si="390"/>
        <v>14</v>
      </c>
      <c r="X838" s="48">
        <f t="shared" ca="1" si="391"/>
        <v>158</v>
      </c>
      <c r="Y838">
        <f t="shared" si="379"/>
        <v>18</v>
      </c>
      <c r="Z838">
        <f t="shared" ca="1" si="385"/>
        <v>6</v>
      </c>
      <c r="AA838" t="str">
        <f t="shared" ca="1" si="386"/>
        <v>9224100.png</v>
      </c>
      <c r="AB838">
        <f t="shared" si="380"/>
        <v>10</v>
      </c>
      <c r="AC838">
        <f>VLOOKUP(C838,技能辅助查询表,技能配置辅助表!$W$1,FALSE)</f>
        <v>33</v>
      </c>
      <c r="AD838">
        <f t="shared" ca="1" si="387"/>
        <v>22.397313966611801</v>
      </c>
      <c r="AE838">
        <f>VLOOKUP(C838,技能辅助查询表,技能配置辅助表!$U$1,FALSE)</f>
        <v>4</v>
      </c>
      <c r="AF838">
        <f t="shared" ca="1" si="388"/>
        <v>9224120</v>
      </c>
      <c r="AG838">
        <f t="shared" ca="1" si="392"/>
        <v>34.693877551020407</v>
      </c>
      <c r="AH838">
        <f t="shared" ca="1" si="389"/>
        <v>155.16211482893718</v>
      </c>
      <c r="AI838">
        <f ca="1">VLOOKUP(E838,伤害参考系!$C$4:$E$104,3,FALSE)*$AN$12</f>
        <v>2544.1437190635456</v>
      </c>
      <c r="AJ838">
        <f>VLOOKUP(C838,技能辅助查询表,技能配置辅助表!$L$1,FALSE)</f>
        <v>2</v>
      </c>
      <c r="AK838">
        <f>VLOOKUP(C838,技能辅助查询表,技能配置辅助表!$AE$1,FALSE)</f>
        <v>66000388</v>
      </c>
    </row>
    <row r="839" spans="1:37" x14ac:dyDescent="0.15">
      <c r="A839" s="1">
        <f t="shared" ca="1" si="381"/>
        <v>9224121</v>
      </c>
      <c r="B839" s="1" t="str">
        <f t="shared" ca="1" si="366"/>
        <v>幻影脚第1段</v>
      </c>
      <c r="C839" t="s">
        <v>167</v>
      </c>
      <c r="D839">
        <f t="shared" si="367"/>
        <v>2</v>
      </c>
      <c r="E839" s="42">
        <f t="shared" ca="1" si="382"/>
        <v>37</v>
      </c>
      <c r="F839" t="str">
        <f t="shared" ca="1" si="383"/>
        <v>第21级，共造成173.6%点伤害</v>
      </c>
      <c r="G839">
        <f t="shared" ca="1" si="384"/>
        <v>1</v>
      </c>
      <c r="H839">
        <f t="shared" si="368"/>
        <v>1</v>
      </c>
      <c r="I839" s="44">
        <f t="shared" ca="1" si="365"/>
        <v>21</v>
      </c>
      <c r="J839">
        <f t="shared" si="369"/>
        <v>2</v>
      </c>
      <c r="K839" s="36">
        <f t="shared" ca="1" si="370"/>
        <v>86.804347826086953</v>
      </c>
      <c r="L839" s="10">
        <f ca="1">AH839*VLOOKUP(C839,技能辅助查询表,技能配置辅助表!$T$1,FALSE)</f>
        <v>0</v>
      </c>
      <c r="M839">
        <f t="shared" ca="1" si="371"/>
        <v>6320</v>
      </c>
      <c r="N839" s="33">
        <f ca="1">CHOOSE(1,W839*U839,X839*'[1]0、经济设定'!$C$18)</f>
        <v>12615</v>
      </c>
      <c r="O839">
        <f t="shared" si="372"/>
        <v>4</v>
      </c>
      <c r="P839">
        <f t="shared" si="373"/>
        <v>2</v>
      </c>
      <c r="Q839">
        <f t="shared" si="374"/>
        <v>1</v>
      </c>
      <c r="R839" s="2">
        <f t="shared" si="375"/>
        <v>6</v>
      </c>
      <c r="S839" s="2">
        <f t="shared" si="376"/>
        <v>50</v>
      </c>
      <c r="T839" s="2">
        <f t="shared" si="377"/>
        <v>71.739130434782609</v>
      </c>
      <c r="U839" s="2">
        <f ca="1">VLOOKUP(E839,金币生产率!$A$2:$B$120,2,0)</f>
        <v>841</v>
      </c>
      <c r="V839" s="2">
        <f t="shared" si="378"/>
        <v>143.47826086956522</v>
      </c>
      <c r="W839" s="45">
        <f t="shared" ca="1" si="390"/>
        <v>15</v>
      </c>
      <c r="X839" s="48">
        <f t="shared" ca="1" si="391"/>
        <v>173</v>
      </c>
      <c r="Y839">
        <f t="shared" si="379"/>
        <v>18</v>
      </c>
      <c r="Z839">
        <f t="shared" ca="1" si="385"/>
        <v>6</v>
      </c>
      <c r="AA839" t="str">
        <f t="shared" ca="1" si="386"/>
        <v>9224100.png</v>
      </c>
      <c r="AB839">
        <f t="shared" si="380"/>
        <v>10</v>
      </c>
      <c r="AC839">
        <f>VLOOKUP(C839,技能辅助查询表,技能配置辅助表!$W$1,FALSE)</f>
        <v>33</v>
      </c>
      <c r="AD839">
        <f t="shared" ca="1" si="387"/>
        <v>26.005954739705096</v>
      </c>
      <c r="AE839">
        <f>VLOOKUP(C839,技能辅助查询表,技能配置辅助表!$U$1,FALSE)</f>
        <v>4</v>
      </c>
      <c r="AF839">
        <f t="shared" ca="1" si="388"/>
        <v>9224121</v>
      </c>
      <c r="AG839">
        <f t="shared" ca="1" si="392"/>
        <v>36.204081632653057</v>
      </c>
      <c r="AH839">
        <f t="shared" ca="1" si="389"/>
        <v>176.65001742859343</v>
      </c>
      <c r="AI839">
        <f ca="1">VLOOKUP(E839,伤害参考系!$C$4:$E$104,3,FALSE)*$AN$12</f>
        <v>2727.4489991638798</v>
      </c>
      <c r="AJ839">
        <f>VLOOKUP(C839,技能辅助查询表,技能配置辅助表!$L$1,FALSE)</f>
        <v>2</v>
      </c>
      <c r="AK839">
        <f>VLOOKUP(C839,技能辅助查询表,技能配置辅助表!$AE$1,FALSE)</f>
        <v>66000388</v>
      </c>
    </row>
    <row r="840" spans="1:37" x14ac:dyDescent="0.15">
      <c r="A840" s="1">
        <f t="shared" ca="1" si="381"/>
        <v>9224122</v>
      </c>
      <c r="B840" s="1" t="str">
        <f t="shared" ca="1" si="366"/>
        <v>幻影脚第1段</v>
      </c>
      <c r="C840" t="s">
        <v>167</v>
      </c>
      <c r="D840">
        <f t="shared" si="367"/>
        <v>2</v>
      </c>
      <c r="E840" s="42">
        <f t="shared" ca="1" si="382"/>
        <v>39</v>
      </c>
      <c r="F840" t="str">
        <f t="shared" ca="1" si="383"/>
        <v>第22级，共造成175%点伤害</v>
      </c>
      <c r="G840">
        <f t="shared" ca="1" si="384"/>
        <v>1</v>
      </c>
      <c r="H840">
        <f t="shared" si="368"/>
        <v>1</v>
      </c>
      <c r="I840" s="44">
        <f t="shared" ca="1" si="365"/>
        <v>22</v>
      </c>
      <c r="J840">
        <f t="shared" si="369"/>
        <v>2</v>
      </c>
      <c r="K840" s="36">
        <f t="shared" ca="1" si="370"/>
        <v>87.521739130434781</v>
      </c>
      <c r="L840" s="10">
        <f ca="1">AH840*VLOOKUP(C840,技能辅助查询表,技能配置辅助表!$T$1,FALSE)</f>
        <v>0</v>
      </c>
      <c r="M840">
        <f t="shared" ca="1" si="371"/>
        <v>6240</v>
      </c>
      <c r="N840" s="33">
        <f ca="1">CHOOSE(1,W840*U840,X840*'[1]0、经济设定'!$C$18)</f>
        <v>15104</v>
      </c>
      <c r="O840">
        <f t="shared" si="372"/>
        <v>4</v>
      </c>
      <c r="P840">
        <f t="shared" si="373"/>
        <v>2</v>
      </c>
      <c r="Q840">
        <f t="shared" si="374"/>
        <v>1</v>
      </c>
      <c r="R840" s="2">
        <f t="shared" si="375"/>
        <v>6</v>
      </c>
      <c r="S840" s="2">
        <f t="shared" si="376"/>
        <v>50</v>
      </c>
      <c r="T840" s="2">
        <f t="shared" si="377"/>
        <v>71.739130434782609</v>
      </c>
      <c r="U840" s="2">
        <f ca="1">VLOOKUP(E840,金币生产率!$A$2:$B$120,2,0)</f>
        <v>944</v>
      </c>
      <c r="V840" s="2">
        <f t="shared" si="378"/>
        <v>143.47826086956522</v>
      </c>
      <c r="W840" s="45">
        <f t="shared" ca="1" si="390"/>
        <v>16</v>
      </c>
      <c r="X840" s="48">
        <f t="shared" ca="1" si="391"/>
        <v>189</v>
      </c>
      <c r="Y840">
        <f t="shared" si="379"/>
        <v>18</v>
      </c>
      <c r="Z840">
        <f t="shared" ca="1" si="385"/>
        <v>7</v>
      </c>
      <c r="AA840" t="str">
        <f t="shared" ca="1" si="386"/>
        <v>9224100.png</v>
      </c>
      <c r="AB840">
        <f t="shared" si="380"/>
        <v>10</v>
      </c>
      <c r="AC840">
        <f>VLOOKUP(C840,技能辅助查询表,技能配置辅助表!$W$1,FALSE)</f>
        <v>33</v>
      </c>
      <c r="AD840">
        <f t="shared" ca="1" si="387"/>
        <v>30.18454473848815</v>
      </c>
      <c r="AE840">
        <f>VLOOKUP(C840,技能辅助查询表,技能配置辅助表!$U$1,FALSE)</f>
        <v>4</v>
      </c>
      <c r="AF840">
        <f t="shared" ca="1" si="388"/>
        <v>9224122</v>
      </c>
      <c r="AG840">
        <f t="shared" ca="1" si="392"/>
        <v>37.714285714285715</v>
      </c>
      <c r="AH840">
        <f t="shared" ca="1" si="389"/>
        <v>201.11371059826985</v>
      </c>
      <c r="AI840">
        <f ca="1">VLOOKUP(E840,伤害参考系!$C$4:$E$104,3,FALSE)*$AN$12</f>
        <v>3112.8025033444819</v>
      </c>
      <c r="AJ840">
        <f>VLOOKUP(C840,技能辅助查询表,技能配置辅助表!$L$1,FALSE)</f>
        <v>2</v>
      </c>
      <c r="AK840">
        <f>VLOOKUP(C840,技能辅助查询表,技能配置辅助表!$AE$1,FALSE)</f>
        <v>66000388</v>
      </c>
    </row>
    <row r="841" spans="1:37" x14ac:dyDescent="0.15">
      <c r="A841" s="1">
        <f t="shared" ca="1" si="381"/>
        <v>9224123</v>
      </c>
      <c r="B841" s="1" t="str">
        <f t="shared" ca="1" si="366"/>
        <v>幻影脚第1段</v>
      </c>
      <c r="C841" t="s">
        <v>167</v>
      </c>
      <c r="D841">
        <f t="shared" si="367"/>
        <v>2</v>
      </c>
      <c r="E841" s="42">
        <f t="shared" ca="1" si="382"/>
        <v>40</v>
      </c>
      <c r="F841" t="str">
        <f t="shared" ca="1" si="383"/>
        <v>第23级，共造成176.5%点伤害</v>
      </c>
      <c r="G841">
        <f t="shared" ca="1" si="384"/>
        <v>1</v>
      </c>
      <c r="H841">
        <f t="shared" si="368"/>
        <v>1</v>
      </c>
      <c r="I841" s="44">
        <f t="shared" ca="1" si="365"/>
        <v>23</v>
      </c>
      <c r="J841">
        <f t="shared" si="369"/>
        <v>2</v>
      </c>
      <c r="K841" s="36">
        <f t="shared" ca="1" si="370"/>
        <v>88.239130434782609</v>
      </c>
      <c r="L841" s="10">
        <f ca="1">AH841*VLOOKUP(C841,技能辅助查询表,技能配置辅助表!$T$1,FALSE)</f>
        <v>0</v>
      </c>
      <c r="M841">
        <f t="shared" ca="1" si="371"/>
        <v>6160</v>
      </c>
      <c r="N841" s="33">
        <f ca="1">CHOOSE(1,W841*U841,X841*'[1]0、经济设定'!$C$18)</f>
        <v>16966</v>
      </c>
      <c r="O841">
        <f t="shared" si="372"/>
        <v>4</v>
      </c>
      <c r="P841">
        <f t="shared" si="373"/>
        <v>2</v>
      </c>
      <c r="Q841">
        <f t="shared" si="374"/>
        <v>1</v>
      </c>
      <c r="R841" s="2">
        <f t="shared" si="375"/>
        <v>6</v>
      </c>
      <c r="S841" s="2">
        <f t="shared" si="376"/>
        <v>50</v>
      </c>
      <c r="T841" s="2">
        <f t="shared" si="377"/>
        <v>71.739130434782609</v>
      </c>
      <c r="U841" s="2">
        <f ca="1">VLOOKUP(E841,金币生产率!$A$2:$B$120,2,0)</f>
        <v>998</v>
      </c>
      <c r="V841" s="2">
        <f t="shared" si="378"/>
        <v>143.47826086956522</v>
      </c>
      <c r="W841" s="45">
        <f t="shared" ca="1" si="390"/>
        <v>17</v>
      </c>
      <c r="X841" s="48">
        <f t="shared" ca="1" si="391"/>
        <v>206</v>
      </c>
      <c r="Y841">
        <f t="shared" si="379"/>
        <v>18</v>
      </c>
      <c r="Z841">
        <f t="shared" ca="1" si="385"/>
        <v>7</v>
      </c>
      <c r="AA841" t="str">
        <f t="shared" ca="1" si="386"/>
        <v>9224100.png</v>
      </c>
      <c r="AB841">
        <f t="shared" si="380"/>
        <v>10</v>
      </c>
      <c r="AC841">
        <f>VLOOKUP(C841,技能辅助查询表,技能配置辅助表!$W$1,FALSE)</f>
        <v>33</v>
      </c>
      <c r="AD841">
        <f t="shared" ca="1" si="387"/>
        <v>35.021736194394776</v>
      </c>
      <c r="AE841">
        <f>VLOOKUP(C841,技能辅助查询表,技能配置辅助表!$U$1,FALSE)</f>
        <v>4</v>
      </c>
      <c r="AF841">
        <f t="shared" ca="1" si="388"/>
        <v>9224123</v>
      </c>
      <c r="AG841">
        <f t="shared" ca="1" si="392"/>
        <v>39.224489795918366</v>
      </c>
      <c r="AH841">
        <f t="shared" ca="1" si="389"/>
        <v>228.96530200997151</v>
      </c>
      <c r="AI841">
        <f ca="1">VLOOKUP(E841,伤害参考系!$C$4:$E$104,3,FALSE)*$AN$12</f>
        <v>3344.7142474916404</v>
      </c>
      <c r="AJ841">
        <f>VLOOKUP(C841,技能辅助查询表,技能配置辅助表!$L$1,FALSE)</f>
        <v>2</v>
      </c>
      <c r="AK841">
        <f>VLOOKUP(C841,技能辅助查询表,技能配置辅助表!$AE$1,FALSE)</f>
        <v>66000388</v>
      </c>
    </row>
    <row r="842" spans="1:37" x14ac:dyDescent="0.15">
      <c r="A842" s="1">
        <f t="shared" ca="1" si="381"/>
        <v>9224124</v>
      </c>
      <c r="B842" s="1" t="str">
        <f t="shared" ca="1" si="366"/>
        <v>幻影脚第1段</v>
      </c>
      <c r="C842" t="s">
        <v>167</v>
      </c>
      <c r="D842">
        <f t="shared" si="367"/>
        <v>2</v>
      </c>
      <c r="E842" s="42">
        <f t="shared" ca="1" si="382"/>
        <v>42</v>
      </c>
      <c r="F842" t="str">
        <f t="shared" ca="1" si="383"/>
        <v>第24级，共造成177.9%点伤害</v>
      </c>
      <c r="G842">
        <f t="shared" ca="1" si="384"/>
        <v>1</v>
      </c>
      <c r="H842">
        <f t="shared" si="368"/>
        <v>1</v>
      </c>
      <c r="I842" s="44">
        <f t="shared" ca="1" si="365"/>
        <v>24</v>
      </c>
      <c r="J842">
        <f t="shared" si="369"/>
        <v>2</v>
      </c>
      <c r="K842" s="36">
        <f t="shared" ca="1" si="370"/>
        <v>88.956521739130437</v>
      </c>
      <c r="L842" s="10">
        <f ca="1">AH842*VLOOKUP(C842,技能辅助查询表,技能配置辅助表!$T$1,FALSE)</f>
        <v>0</v>
      </c>
      <c r="M842">
        <f t="shared" ca="1" si="371"/>
        <v>6080</v>
      </c>
      <c r="N842" s="33">
        <f ca="1">CHOOSE(1,W842*U842,X842*'[1]0、经济设定'!$C$18)</f>
        <v>19980</v>
      </c>
      <c r="O842">
        <f t="shared" si="372"/>
        <v>4</v>
      </c>
      <c r="P842">
        <f t="shared" si="373"/>
        <v>2</v>
      </c>
      <c r="Q842">
        <f t="shared" si="374"/>
        <v>1</v>
      </c>
      <c r="R842" s="2">
        <f t="shared" si="375"/>
        <v>6</v>
      </c>
      <c r="S842" s="2">
        <f t="shared" si="376"/>
        <v>50</v>
      </c>
      <c r="T842" s="2">
        <f t="shared" si="377"/>
        <v>71.739130434782609</v>
      </c>
      <c r="U842" s="2">
        <f ca="1">VLOOKUP(E842,金币生产率!$A$2:$B$120,2,0)</f>
        <v>1110</v>
      </c>
      <c r="V842" s="2">
        <f t="shared" si="378"/>
        <v>143.47826086956522</v>
      </c>
      <c r="W842" s="45">
        <f t="shared" ca="1" si="390"/>
        <v>18</v>
      </c>
      <c r="X842" s="48">
        <f t="shared" ca="1" si="391"/>
        <v>224</v>
      </c>
      <c r="Y842">
        <f t="shared" si="379"/>
        <v>18</v>
      </c>
      <c r="Z842">
        <f t="shared" ca="1" si="385"/>
        <v>8</v>
      </c>
      <c r="AA842" t="str">
        <f t="shared" ca="1" si="386"/>
        <v>9224100.png</v>
      </c>
      <c r="AB842">
        <f t="shared" si="380"/>
        <v>10</v>
      </c>
      <c r="AC842">
        <f>VLOOKUP(C842,技能辅助查询表,技能配置辅助表!$W$1,FALSE)</f>
        <v>33</v>
      </c>
      <c r="AD842">
        <f t="shared" ca="1" si="387"/>
        <v>40.61980484160442</v>
      </c>
      <c r="AE842">
        <f>VLOOKUP(C842,技能辅助查询表,技能配置辅助表!$U$1,FALSE)</f>
        <v>4</v>
      </c>
      <c r="AF842">
        <f t="shared" ca="1" si="388"/>
        <v>9224124</v>
      </c>
      <c r="AG842">
        <f t="shared" ca="1" si="392"/>
        <v>40.734693877551024</v>
      </c>
      <c r="AH842">
        <f t="shared" ca="1" si="389"/>
        <v>260.67397080270689</v>
      </c>
      <c r="AI842">
        <f ca="1">VLOOKUP(E842,伤害参考系!$C$4:$E$104,3,FALSE)*$AN$12</f>
        <v>3833.528327759198</v>
      </c>
      <c r="AJ842">
        <f>VLOOKUP(C842,技能辅助查询表,技能配置辅助表!$L$1,FALSE)</f>
        <v>2</v>
      </c>
      <c r="AK842">
        <f>VLOOKUP(C842,技能辅助查询表,技能配置辅助表!$AE$1,FALSE)</f>
        <v>66000388</v>
      </c>
    </row>
    <row r="843" spans="1:37" x14ac:dyDescent="0.15">
      <c r="A843" s="1">
        <f t="shared" ca="1" si="381"/>
        <v>9224125</v>
      </c>
      <c r="B843" s="1" t="str">
        <f t="shared" ca="1" si="366"/>
        <v>幻影脚第1段</v>
      </c>
      <c r="C843" t="s">
        <v>167</v>
      </c>
      <c r="D843">
        <f t="shared" si="367"/>
        <v>2</v>
      </c>
      <c r="E843" s="42">
        <f t="shared" ca="1" si="382"/>
        <v>43</v>
      </c>
      <c r="F843" t="str">
        <f t="shared" ca="1" si="383"/>
        <v>第25级，共造成179.3%点伤害</v>
      </c>
      <c r="G843">
        <f t="shared" ca="1" si="384"/>
        <v>1</v>
      </c>
      <c r="H843">
        <f t="shared" si="368"/>
        <v>1</v>
      </c>
      <c r="I843" s="44">
        <f t="shared" ca="1" si="365"/>
        <v>25</v>
      </c>
      <c r="J843">
        <f t="shared" si="369"/>
        <v>2</v>
      </c>
      <c r="K843" s="36">
        <f t="shared" ca="1" si="370"/>
        <v>89.673913043478265</v>
      </c>
      <c r="L843" s="10">
        <f ca="1">AH843*VLOOKUP(C843,技能辅助查询表,技能配置辅助表!$T$1,FALSE)</f>
        <v>0</v>
      </c>
      <c r="M843">
        <f t="shared" ca="1" si="371"/>
        <v>6000</v>
      </c>
      <c r="N843" s="33">
        <f ca="1">CHOOSE(1,W843*U843,X843*'[1]0、经济设定'!$C$18)</f>
        <v>23340</v>
      </c>
      <c r="O843">
        <f t="shared" si="372"/>
        <v>4</v>
      </c>
      <c r="P843">
        <f t="shared" si="373"/>
        <v>2</v>
      </c>
      <c r="Q843">
        <f t="shared" si="374"/>
        <v>1</v>
      </c>
      <c r="R843" s="2">
        <f t="shared" si="375"/>
        <v>6</v>
      </c>
      <c r="S843" s="2">
        <f t="shared" si="376"/>
        <v>50</v>
      </c>
      <c r="T843" s="2">
        <f t="shared" si="377"/>
        <v>71.739130434782609</v>
      </c>
      <c r="U843" s="2">
        <f ca="1">VLOOKUP(E843,金币生产率!$A$2:$B$120,2,0)</f>
        <v>1167</v>
      </c>
      <c r="V843" s="2">
        <f t="shared" si="378"/>
        <v>143.47826086956522</v>
      </c>
      <c r="W843" s="45">
        <f t="shared" ca="1" si="390"/>
        <v>20</v>
      </c>
      <c r="X843" s="48">
        <f t="shared" ca="1" si="391"/>
        <v>244</v>
      </c>
      <c r="Y843">
        <f t="shared" si="379"/>
        <v>18</v>
      </c>
      <c r="Z843">
        <f t="shared" ca="1" si="385"/>
        <v>8</v>
      </c>
      <c r="AA843" t="str">
        <f t="shared" ca="1" si="386"/>
        <v>9224100.png</v>
      </c>
      <c r="AB843">
        <f t="shared" si="380"/>
        <v>10</v>
      </c>
      <c r="AC843">
        <f>VLOOKUP(C843,技能辅助查询表,技能配置辅助表!$W$1,FALSE)</f>
        <v>33</v>
      </c>
      <c r="AD843">
        <f t="shared" ca="1" si="387"/>
        <v>47.096723042470856</v>
      </c>
      <c r="AE843">
        <f>VLOOKUP(C843,技能辅助查询表,技能配置辅助表!$U$1,FALSE)</f>
        <v>4</v>
      </c>
      <c r="AF843">
        <f t="shared" ca="1" si="388"/>
        <v>9224125</v>
      </c>
      <c r="AG843">
        <f t="shared" ca="1" si="392"/>
        <v>42.244897959183675</v>
      </c>
      <c r="AH843">
        <f t="shared" ca="1" si="389"/>
        <v>296.77387122652874</v>
      </c>
      <c r="AI843">
        <f ca="1">VLOOKUP(E843,伤害参考系!$C$4:$E$104,3,FALSE)*$AN$12</f>
        <v>4090.4306638795993</v>
      </c>
      <c r="AJ843">
        <f>VLOOKUP(C843,技能辅助查询表,技能配置辅助表!$L$1,FALSE)</f>
        <v>2</v>
      </c>
      <c r="AK843">
        <f>VLOOKUP(C843,技能辅助查询表,技能配置辅助表!$AE$1,FALSE)</f>
        <v>66000388</v>
      </c>
    </row>
    <row r="844" spans="1:37" x14ac:dyDescent="0.15">
      <c r="A844" s="1">
        <f t="shared" ca="1" si="381"/>
        <v>9224126</v>
      </c>
      <c r="B844" s="1" t="str">
        <f t="shared" ca="1" si="366"/>
        <v>幻影脚第1段</v>
      </c>
      <c r="C844" t="s">
        <v>167</v>
      </c>
      <c r="D844">
        <f t="shared" si="367"/>
        <v>2</v>
      </c>
      <c r="E844" s="42">
        <f t="shared" ca="1" si="382"/>
        <v>44</v>
      </c>
      <c r="F844" t="str">
        <f t="shared" ca="1" si="383"/>
        <v>第26级，共造成180.8%点伤害</v>
      </c>
      <c r="G844">
        <f t="shared" ca="1" si="384"/>
        <v>1</v>
      </c>
      <c r="H844">
        <f t="shared" si="368"/>
        <v>1</v>
      </c>
      <c r="I844" s="44">
        <f t="shared" ref="I844:I907" ca="1" si="393">IF(OFFSET(C844,-1,0)=C844,I843+1,0)</f>
        <v>26</v>
      </c>
      <c r="J844">
        <f t="shared" si="369"/>
        <v>2</v>
      </c>
      <c r="K844" s="36">
        <f t="shared" ca="1" si="370"/>
        <v>90.391304347826093</v>
      </c>
      <c r="L844" s="10">
        <f ca="1">AH844*VLOOKUP(C844,技能辅助查询表,技能配置辅助表!$T$1,FALSE)</f>
        <v>0</v>
      </c>
      <c r="M844">
        <f t="shared" ca="1" si="371"/>
        <v>5920</v>
      </c>
      <c r="N844" s="33">
        <f ca="1">CHOOSE(1,W844*U844,X844*'[1]0、经济设定'!$C$18)</f>
        <v>25746</v>
      </c>
      <c r="O844">
        <f t="shared" si="372"/>
        <v>4</v>
      </c>
      <c r="P844">
        <f t="shared" si="373"/>
        <v>2</v>
      </c>
      <c r="Q844">
        <f t="shared" si="374"/>
        <v>1</v>
      </c>
      <c r="R844" s="2">
        <f t="shared" si="375"/>
        <v>6</v>
      </c>
      <c r="S844" s="2">
        <f t="shared" si="376"/>
        <v>50</v>
      </c>
      <c r="T844" s="2">
        <f t="shared" si="377"/>
        <v>71.739130434782609</v>
      </c>
      <c r="U844" s="2">
        <f ca="1">VLOOKUP(E844,金币生产率!$A$2:$B$120,2,0)</f>
        <v>1226</v>
      </c>
      <c r="V844" s="2">
        <f t="shared" si="378"/>
        <v>143.47826086956522</v>
      </c>
      <c r="W844" s="45">
        <f t="shared" ca="1" si="390"/>
        <v>21</v>
      </c>
      <c r="X844" s="48">
        <f t="shared" ca="1" si="391"/>
        <v>265</v>
      </c>
      <c r="Y844">
        <f t="shared" si="379"/>
        <v>18</v>
      </c>
      <c r="Z844">
        <f t="shared" ca="1" si="385"/>
        <v>9</v>
      </c>
      <c r="AA844" t="str">
        <f t="shared" ca="1" si="386"/>
        <v>9224100.png</v>
      </c>
      <c r="AB844">
        <f t="shared" si="380"/>
        <v>10</v>
      </c>
      <c r="AC844">
        <f>VLOOKUP(C844,技能辅助查询表,技能配置辅助表!$W$1,FALSE)</f>
        <v>33</v>
      </c>
      <c r="AD844">
        <f t="shared" ca="1" si="387"/>
        <v>54.588545834333843</v>
      </c>
      <c r="AE844">
        <f>VLOOKUP(C844,技能辅助查询表,技能配置辅助表!$U$1,FALSE)</f>
        <v>4</v>
      </c>
      <c r="AF844">
        <f t="shared" ca="1" si="388"/>
        <v>9224126</v>
      </c>
      <c r="AG844">
        <f t="shared" ca="1" si="392"/>
        <v>43.755102040816325</v>
      </c>
      <c r="AH844">
        <f t="shared" ca="1" si="389"/>
        <v>337.87313083683472</v>
      </c>
      <c r="AI844">
        <f ca="1">VLOOKUP(E844,伤害参考系!$C$4:$E$104,3,FALSE)*$AN$12</f>
        <v>4355.6631973244148</v>
      </c>
      <c r="AJ844">
        <f>VLOOKUP(C844,技能辅助查询表,技能配置辅助表!$L$1,FALSE)</f>
        <v>2</v>
      </c>
      <c r="AK844">
        <f>VLOOKUP(C844,技能辅助查询表,技能配置辅助表!$AE$1,FALSE)</f>
        <v>66000388</v>
      </c>
    </row>
    <row r="845" spans="1:37" x14ac:dyDescent="0.15">
      <c r="A845" s="1">
        <f t="shared" ca="1" si="381"/>
        <v>9224127</v>
      </c>
      <c r="B845" s="1" t="str">
        <f t="shared" ca="1" si="366"/>
        <v>幻影脚第1段</v>
      </c>
      <c r="C845" t="s">
        <v>167</v>
      </c>
      <c r="D845">
        <f t="shared" si="367"/>
        <v>2</v>
      </c>
      <c r="E845" s="42">
        <f t="shared" ca="1" si="382"/>
        <v>46</v>
      </c>
      <c r="F845" t="str">
        <f t="shared" ca="1" si="383"/>
        <v>第27级，共造成182.2%点伤害</v>
      </c>
      <c r="G845">
        <f t="shared" ca="1" si="384"/>
        <v>1</v>
      </c>
      <c r="H845">
        <f t="shared" si="368"/>
        <v>1</v>
      </c>
      <c r="I845" s="44">
        <f t="shared" ca="1" si="393"/>
        <v>27</v>
      </c>
      <c r="J845">
        <f t="shared" si="369"/>
        <v>2</v>
      </c>
      <c r="K845" s="36">
        <f t="shared" ca="1" si="370"/>
        <v>91.108695652173907</v>
      </c>
      <c r="L845" s="10">
        <f ca="1">AH845*VLOOKUP(C845,技能辅助查询表,技能配置辅助表!$T$1,FALSE)</f>
        <v>0</v>
      </c>
      <c r="M845">
        <f t="shared" ca="1" si="371"/>
        <v>5840</v>
      </c>
      <c r="N845" s="33">
        <f ca="1">CHOOSE(1,W845*U845,X845*'[1]0、经济设定'!$C$18)</f>
        <v>29678</v>
      </c>
      <c r="O845">
        <f t="shared" si="372"/>
        <v>4</v>
      </c>
      <c r="P845">
        <f t="shared" si="373"/>
        <v>2</v>
      </c>
      <c r="Q845">
        <f t="shared" si="374"/>
        <v>1</v>
      </c>
      <c r="R845" s="2">
        <f t="shared" si="375"/>
        <v>6</v>
      </c>
      <c r="S845" s="2">
        <f t="shared" si="376"/>
        <v>50</v>
      </c>
      <c r="T845" s="2">
        <f t="shared" si="377"/>
        <v>71.739130434782609</v>
      </c>
      <c r="U845" s="2">
        <f ca="1">VLOOKUP(E845,金币生产率!$A$2:$B$120,2,0)</f>
        <v>1349</v>
      </c>
      <c r="V845" s="2">
        <f t="shared" si="378"/>
        <v>143.47826086956522</v>
      </c>
      <c r="W845" s="45">
        <f t="shared" ca="1" si="390"/>
        <v>22</v>
      </c>
      <c r="X845" s="48">
        <f t="shared" ca="1" si="391"/>
        <v>287</v>
      </c>
      <c r="Y845">
        <f t="shared" si="379"/>
        <v>18</v>
      </c>
      <c r="Z845">
        <f t="shared" ca="1" si="385"/>
        <v>9</v>
      </c>
      <c r="AA845" t="str">
        <f t="shared" ca="1" si="386"/>
        <v>9224100.png</v>
      </c>
      <c r="AB845">
        <f t="shared" si="380"/>
        <v>10</v>
      </c>
      <c r="AC845">
        <f>VLOOKUP(C845,技能辅助查询表,技能配置辅助表!$W$1,FALSE)</f>
        <v>33</v>
      </c>
      <c r="AD845">
        <f t="shared" ca="1" si="387"/>
        <v>63.25215680904472</v>
      </c>
      <c r="AE845">
        <f>VLOOKUP(C845,技能辅助查询表,技能配置辅助表!$U$1,FALSE)</f>
        <v>4</v>
      </c>
      <c r="AF845">
        <f t="shared" ca="1" si="388"/>
        <v>9224127</v>
      </c>
      <c r="AG845">
        <f t="shared" ca="1" si="392"/>
        <v>45.265306122448976</v>
      </c>
      <c r="AH845">
        <f t="shared" ca="1" si="389"/>
        <v>384.66409481967975</v>
      </c>
      <c r="AI845">
        <f ca="1">VLOOKUP(E845,伤害参考系!$C$4:$E$104,3,FALSE)*$AN$12</f>
        <v>4911.1188561872923</v>
      </c>
      <c r="AJ845">
        <f>VLOOKUP(C845,技能辅助查询表,技能配置辅助表!$L$1,FALSE)</f>
        <v>2</v>
      </c>
      <c r="AK845">
        <f>VLOOKUP(C845,技能辅助查询表,技能配置辅助表!$AE$1,FALSE)</f>
        <v>66000388</v>
      </c>
    </row>
    <row r="846" spans="1:37" x14ac:dyDescent="0.15">
      <c r="A846" s="1">
        <f t="shared" ca="1" si="381"/>
        <v>9224128</v>
      </c>
      <c r="B846" s="1" t="str">
        <f t="shared" ca="1" si="366"/>
        <v>幻影脚第1段</v>
      </c>
      <c r="C846" t="s">
        <v>167</v>
      </c>
      <c r="D846">
        <f t="shared" si="367"/>
        <v>2</v>
      </c>
      <c r="E846" s="42">
        <f t="shared" ca="1" si="382"/>
        <v>47</v>
      </c>
      <c r="F846" t="str">
        <f t="shared" ca="1" si="383"/>
        <v>第28级，共造成183.7%点伤害</v>
      </c>
      <c r="G846">
        <f t="shared" ca="1" si="384"/>
        <v>1</v>
      </c>
      <c r="H846">
        <f t="shared" si="368"/>
        <v>1</v>
      </c>
      <c r="I846" s="44">
        <f t="shared" ca="1" si="393"/>
        <v>28</v>
      </c>
      <c r="J846">
        <f t="shared" si="369"/>
        <v>2</v>
      </c>
      <c r="K846" s="36">
        <f t="shared" ca="1" si="370"/>
        <v>91.826086956521735</v>
      </c>
      <c r="L846" s="10">
        <f ca="1">AH846*VLOOKUP(C846,技能辅助查询表,技能配置辅助表!$T$1,FALSE)</f>
        <v>0</v>
      </c>
      <c r="M846">
        <f t="shared" ca="1" si="371"/>
        <v>5760</v>
      </c>
      <c r="N846" s="33">
        <f ca="1">CHOOSE(1,W846*U846,X846*'[1]0、经济设定'!$C$18)</f>
        <v>33888</v>
      </c>
      <c r="O846">
        <f t="shared" si="372"/>
        <v>4</v>
      </c>
      <c r="P846">
        <f t="shared" si="373"/>
        <v>2</v>
      </c>
      <c r="Q846">
        <f t="shared" si="374"/>
        <v>1</v>
      </c>
      <c r="R846" s="2">
        <f t="shared" si="375"/>
        <v>6</v>
      </c>
      <c r="S846" s="2">
        <f t="shared" si="376"/>
        <v>50</v>
      </c>
      <c r="T846" s="2">
        <f t="shared" si="377"/>
        <v>71.739130434782609</v>
      </c>
      <c r="U846" s="2">
        <f ca="1">VLOOKUP(E846,金币生产率!$A$2:$B$120,2,0)</f>
        <v>1412</v>
      </c>
      <c r="V846" s="2">
        <f t="shared" si="378"/>
        <v>143.47826086956522</v>
      </c>
      <c r="W846" s="45">
        <f t="shared" ca="1" si="390"/>
        <v>24</v>
      </c>
      <c r="X846" s="48">
        <f t="shared" ca="1" si="391"/>
        <v>311</v>
      </c>
      <c r="Y846">
        <f t="shared" si="379"/>
        <v>18</v>
      </c>
      <c r="Z846">
        <f t="shared" ca="1" si="385"/>
        <v>10</v>
      </c>
      <c r="AA846" t="str">
        <f t="shared" ca="1" si="386"/>
        <v>9224100.png</v>
      </c>
      <c r="AB846">
        <f t="shared" si="380"/>
        <v>10</v>
      </c>
      <c r="AC846">
        <f>VLOOKUP(C846,技能辅助查询表,技能配置辅助表!$W$1,FALSE)</f>
        <v>33</v>
      </c>
      <c r="AD846">
        <f t="shared" ca="1" si="387"/>
        <v>73.268427728345017</v>
      </c>
      <c r="AE846">
        <f>VLOOKUP(C846,技能辅助查询表,技能配置辅助表!$U$1,FALSE)</f>
        <v>4</v>
      </c>
      <c r="AF846">
        <f t="shared" ca="1" si="388"/>
        <v>9224128</v>
      </c>
      <c r="AG846">
        <f t="shared" ca="1" si="392"/>
        <v>46.775510204081634</v>
      </c>
      <c r="AH846">
        <f t="shared" ca="1" si="389"/>
        <v>437.93498902077317</v>
      </c>
      <c r="AI846">
        <f ca="1">VLOOKUP(E846,伤害参考系!$C$4:$E$104,3,FALSE)*$AN$12</f>
        <v>5201.3419816053529</v>
      </c>
      <c r="AJ846">
        <f>VLOOKUP(C846,技能辅助查询表,技能配置辅助表!$L$1,FALSE)</f>
        <v>2</v>
      </c>
      <c r="AK846">
        <f>VLOOKUP(C846,技能辅助查询表,技能配置辅助表!$AE$1,FALSE)</f>
        <v>66000388</v>
      </c>
    </row>
    <row r="847" spans="1:37" x14ac:dyDescent="0.15">
      <c r="A847" s="1">
        <f t="shared" ca="1" si="381"/>
        <v>9224129</v>
      </c>
      <c r="B847" s="1" t="str">
        <f t="shared" ca="1" si="366"/>
        <v>幻影脚第1段</v>
      </c>
      <c r="C847" t="s">
        <v>167</v>
      </c>
      <c r="D847">
        <f t="shared" si="367"/>
        <v>2</v>
      </c>
      <c r="E847" s="42">
        <f t="shared" ca="1" si="382"/>
        <v>49</v>
      </c>
      <c r="F847" t="str">
        <f t="shared" ca="1" si="383"/>
        <v>第29级，共造成185.1%点伤害</v>
      </c>
      <c r="G847">
        <f t="shared" ca="1" si="384"/>
        <v>1</v>
      </c>
      <c r="H847">
        <f t="shared" si="368"/>
        <v>1</v>
      </c>
      <c r="I847" s="44">
        <f t="shared" ca="1" si="393"/>
        <v>29</v>
      </c>
      <c r="J847">
        <f t="shared" si="369"/>
        <v>2</v>
      </c>
      <c r="K847" s="36">
        <f t="shared" ca="1" si="370"/>
        <v>92.543478260869563</v>
      </c>
      <c r="L847" s="10">
        <f ca="1">AH847*VLOOKUP(C847,技能辅助查询表,技能配置辅助表!$T$1,FALSE)</f>
        <v>0</v>
      </c>
      <c r="M847">
        <f t="shared" ca="1" si="371"/>
        <v>5680</v>
      </c>
      <c r="N847" s="33">
        <f ca="1">CHOOSE(1,W847*U847,X847*'[1]0、经济设定'!$C$18)</f>
        <v>40118</v>
      </c>
      <c r="O847">
        <f t="shared" si="372"/>
        <v>4</v>
      </c>
      <c r="P847">
        <f t="shared" si="373"/>
        <v>2</v>
      </c>
      <c r="Q847">
        <f t="shared" si="374"/>
        <v>1</v>
      </c>
      <c r="R847" s="2">
        <f t="shared" si="375"/>
        <v>6</v>
      </c>
      <c r="S847" s="2">
        <f t="shared" si="376"/>
        <v>50</v>
      </c>
      <c r="T847" s="2">
        <f t="shared" si="377"/>
        <v>71.739130434782609</v>
      </c>
      <c r="U847" s="2">
        <f ca="1">VLOOKUP(E847,金币生产率!$A$2:$B$120,2,0)</f>
        <v>1543</v>
      </c>
      <c r="V847" s="2">
        <f t="shared" si="378"/>
        <v>143.47826086956522</v>
      </c>
      <c r="W847" s="45">
        <f t="shared" ca="1" si="390"/>
        <v>26</v>
      </c>
      <c r="X847" s="48">
        <f t="shared" ca="1" si="391"/>
        <v>337</v>
      </c>
      <c r="Y847">
        <f t="shared" si="379"/>
        <v>18</v>
      </c>
      <c r="Z847">
        <f t="shared" ca="1" si="385"/>
        <v>11</v>
      </c>
      <c r="AA847" t="str">
        <f t="shared" ca="1" si="386"/>
        <v>9224100.png</v>
      </c>
      <c r="AB847">
        <f t="shared" si="380"/>
        <v>10</v>
      </c>
      <c r="AC847">
        <f>VLOOKUP(C847,技能辅助查询表,技能配置辅助表!$W$1,FALSE)</f>
        <v>33</v>
      </c>
      <c r="AD847">
        <f t="shared" ca="1" si="387"/>
        <v>84.845853806897054</v>
      </c>
      <c r="AE847">
        <f>VLOOKUP(C847,技能辅助查询表,技能配置辅助表!$U$1,FALSE)</f>
        <v>4</v>
      </c>
      <c r="AF847">
        <f t="shared" ca="1" si="388"/>
        <v>9224129</v>
      </c>
      <c r="AG847">
        <f t="shared" ca="1" si="392"/>
        <v>48.285714285714285</v>
      </c>
      <c r="AH847">
        <f t="shared" ca="1" si="389"/>
        <v>498.5831981498805</v>
      </c>
      <c r="AI847">
        <f ca="1">VLOOKUP(E847,伤害参考系!$C$4:$E$104,3,FALSE)*$AN$12</f>
        <v>5806.7788244147177</v>
      </c>
      <c r="AJ847">
        <f>VLOOKUP(C847,技能辅助查询表,技能配置辅助表!$L$1,FALSE)</f>
        <v>2</v>
      </c>
      <c r="AK847">
        <f>VLOOKUP(C847,技能辅助查询表,技能配置辅助表!$AE$1,FALSE)</f>
        <v>66000388</v>
      </c>
    </row>
    <row r="848" spans="1:37" x14ac:dyDescent="0.15">
      <c r="A848" s="1">
        <f t="shared" ca="1" si="381"/>
        <v>9224130</v>
      </c>
      <c r="B848" s="1" t="str">
        <f t="shared" ca="1" si="366"/>
        <v>幻影脚第1段</v>
      </c>
      <c r="C848" t="s">
        <v>167</v>
      </c>
      <c r="D848">
        <f t="shared" si="367"/>
        <v>2</v>
      </c>
      <c r="E848" s="42">
        <f t="shared" ca="1" si="382"/>
        <v>50</v>
      </c>
      <c r="F848" t="str">
        <f t="shared" ca="1" si="383"/>
        <v>第30级，共造成186.5%点伤害</v>
      </c>
      <c r="G848">
        <f t="shared" ca="1" si="384"/>
        <v>1</v>
      </c>
      <c r="H848">
        <f t="shared" si="368"/>
        <v>1</v>
      </c>
      <c r="I848" s="44">
        <f t="shared" ca="1" si="393"/>
        <v>30</v>
      </c>
      <c r="J848">
        <f t="shared" si="369"/>
        <v>2</v>
      </c>
      <c r="K848" s="36">
        <f t="shared" ca="1" si="370"/>
        <v>93.260869565217391</v>
      </c>
      <c r="L848" s="10">
        <f ca="1">AH848*VLOOKUP(C848,技能辅助查询表,技能配置辅助表!$T$1,FALSE)</f>
        <v>0</v>
      </c>
      <c r="M848">
        <f t="shared" ca="1" si="371"/>
        <v>5600</v>
      </c>
      <c r="N848" s="33">
        <f ca="1">CHOOSE(1,W848*U848,X848*'[1]0、经济设定'!$C$18)</f>
        <v>45080</v>
      </c>
      <c r="O848">
        <f t="shared" si="372"/>
        <v>4</v>
      </c>
      <c r="P848">
        <f t="shared" si="373"/>
        <v>2</v>
      </c>
      <c r="Q848">
        <f t="shared" si="374"/>
        <v>1</v>
      </c>
      <c r="R848" s="2">
        <f t="shared" si="375"/>
        <v>6</v>
      </c>
      <c r="S848" s="2">
        <f t="shared" si="376"/>
        <v>50</v>
      </c>
      <c r="T848" s="2">
        <f t="shared" si="377"/>
        <v>71.739130434782609</v>
      </c>
      <c r="U848" s="2">
        <f ca="1">VLOOKUP(E848,金币生产率!$A$2:$B$120,2,0)</f>
        <v>1610</v>
      </c>
      <c r="V848" s="2">
        <f t="shared" si="378"/>
        <v>143.47826086956522</v>
      </c>
      <c r="W848" s="45">
        <f t="shared" ca="1" si="390"/>
        <v>28</v>
      </c>
      <c r="X848" s="48">
        <f t="shared" ca="1" si="391"/>
        <v>365</v>
      </c>
      <c r="Y848">
        <f t="shared" si="379"/>
        <v>18</v>
      </c>
      <c r="Z848">
        <f t="shared" ca="1" si="385"/>
        <v>12</v>
      </c>
      <c r="AA848" t="str">
        <f t="shared" ca="1" si="386"/>
        <v>9224100.png</v>
      </c>
      <c r="AB848">
        <f t="shared" si="380"/>
        <v>10</v>
      </c>
      <c r="AC848">
        <f>VLOOKUP(C848,技能辅助查询表,技能配置辅助表!$W$1,FALSE)</f>
        <v>33</v>
      </c>
      <c r="AD848">
        <f t="shared" ca="1" si="387"/>
        <v>98.224735813368468</v>
      </c>
      <c r="AE848">
        <f>VLOOKUP(C848,技能辅助查询表,技能配置辅助表!$U$1,FALSE)</f>
        <v>4</v>
      </c>
      <c r="AF848">
        <f t="shared" ca="1" si="388"/>
        <v>9224130</v>
      </c>
      <c r="AG848">
        <f t="shared" ca="1" si="392"/>
        <v>49.795918367346935</v>
      </c>
      <c r="AH848">
        <f t="shared" ca="1" si="389"/>
        <v>567.63038284107404</v>
      </c>
      <c r="AI848">
        <f ca="1">VLOOKUP(E848,伤害参考系!$C$4:$E$104,3,FALSE)*$AN$12</f>
        <v>6162.2688085284308</v>
      </c>
      <c r="AJ848">
        <f>VLOOKUP(C848,技能辅助查询表,技能配置辅助表!$L$1,FALSE)</f>
        <v>2</v>
      </c>
      <c r="AK848">
        <f>VLOOKUP(C848,技能辅助查询表,技能配置辅助表!$AE$1,FALSE)</f>
        <v>66000388</v>
      </c>
    </row>
    <row r="849" spans="1:37" x14ac:dyDescent="0.15">
      <c r="A849" s="1">
        <f t="shared" ca="1" si="381"/>
        <v>9224131</v>
      </c>
      <c r="B849" s="1" t="str">
        <f t="shared" ca="1" si="366"/>
        <v>幻影脚第1段</v>
      </c>
      <c r="C849" t="s">
        <v>167</v>
      </c>
      <c r="D849">
        <f t="shared" si="367"/>
        <v>2</v>
      </c>
      <c r="E849" s="42">
        <f t="shared" ca="1" si="382"/>
        <v>52</v>
      </c>
      <c r="F849" t="str">
        <f t="shared" ca="1" si="383"/>
        <v>第31级，共造成188%点伤害</v>
      </c>
      <c r="G849">
        <f t="shared" ca="1" si="384"/>
        <v>1</v>
      </c>
      <c r="H849">
        <f t="shared" si="368"/>
        <v>1</v>
      </c>
      <c r="I849" s="44">
        <f t="shared" ca="1" si="393"/>
        <v>31</v>
      </c>
      <c r="J849">
        <f t="shared" si="369"/>
        <v>2</v>
      </c>
      <c r="K849" s="36">
        <f t="shared" ca="1" si="370"/>
        <v>93.978260869565219</v>
      </c>
      <c r="L849" s="10">
        <f ca="1">AH849*VLOOKUP(C849,技能辅助查询表,技能配置辅助表!$T$1,FALSE)</f>
        <v>0</v>
      </c>
      <c r="M849">
        <f t="shared" ca="1" si="371"/>
        <v>5520</v>
      </c>
      <c r="N849" s="33">
        <f ca="1">CHOOSE(1,W849*U849,X849*'[1]0、经济设定'!$C$18)</f>
        <v>50721</v>
      </c>
      <c r="O849">
        <f t="shared" si="372"/>
        <v>4</v>
      </c>
      <c r="P849">
        <f t="shared" si="373"/>
        <v>2</v>
      </c>
      <c r="Q849">
        <f t="shared" si="374"/>
        <v>1</v>
      </c>
      <c r="R849" s="2">
        <f t="shared" si="375"/>
        <v>6</v>
      </c>
      <c r="S849" s="2">
        <f t="shared" si="376"/>
        <v>50</v>
      </c>
      <c r="T849" s="2">
        <f t="shared" si="377"/>
        <v>71.739130434782609</v>
      </c>
      <c r="U849" s="2">
        <f ca="1">VLOOKUP(E849,金币生产率!$A$2:$B$120,2,0)</f>
        <v>1749</v>
      </c>
      <c r="V849" s="2">
        <f t="shared" si="378"/>
        <v>143.47826086956522</v>
      </c>
      <c r="W849" s="45">
        <f t="shared" ca="1" si="390"/>
        <v>29</v>
      </c>
      <c r="X849" s="48">
        <f t="shared" ca="1" si="391"/>
        <v>394</v>
      </c>
      <c r="Y849">
        <f t="shared" si="379"/>
        <v>18</v>
      </c>
      <c r="Z849">
        <f t="shared" ca="1" si="385"/>
        <v>12</v>
      </c>
      <c r="AA849" t="str">
        <f t="shared" ca="1" si="386"/>
        <v>9224100.png</v>
      </c>
      <c r="AB849">
        <f t="shared" si="380"/>
        <v>10</v>
      </c>
      <c r="AC849">
        <f>VLOOKUP(C849,技能辅助查询表,技能配置辅助表!$W$1,FALSE)</f>
        <v>33</v>
      </c>
      <c r="AD849">
        <f t="shared" ca="1" si="387"/>
        <v>113.68199072411728</v>
      </c>
      <c r="AE849">
        <f>VLOOKUP(C849,技能辅助查询表,技能配置辅助表!$U$1,FALSE)</f>
        <v>4</v>
      </c>
      <c r="AF849">
        <f t="shared" ca="1" si="388"/>
        <v>9224131</v>
      </c>
      <c r="AG849">
        <f t="shared" ca="1" si="392"/>
        <v>51.306122448979593</v>
      </c>
      <c r="AH849">
        <f t="shared" ca="1" si="389"/>
        <v>646.23969022607446</v>
      </c>
      <c r="AI849">
        <f ca="1">VLOOKUP(E849,伤害参考系!$C$4:$E$104,3,FALSE)*$AN$12</f>
        <v>6904.487016722409</v>
      </c>
      <c r="AJ849">
        <f>VLOOKUP(C849,技能辅助查询表,技能配置辅助表!$L$1,FALSE)</f>
        <v>2</v>
      </c>
      <c r="AK849">
        <f>VLOOKUP(C849,技能辅助查询表,技能配置辅助表!$AE$1,FALSE)</f>
        <v>66000388</v>
      </c>
    </row>
    <row r="850" spans="1:37" x14ac:dyDescent="0.15">
      <c r="A850" s="1">
        <f t="shared" ca="1" si="381"/>
        <v>9224132</v>
      </c>
      <c r="B850" s="1" t="str">
        <f t="shared" ca="1" si="366"/>
        <v>幻影脚第1段</v>
      </c>
      <c r="C850" t="s">
        <v>167</v>
      </c>
      <c r="D850">
        <f t="shared" si="367"/>
        <v>2</v>
      </c>
      <c r="E850" s="42">
        <f t="shared" ca="1" si="382"/>
        <v>53</v>
      </c>
      <c r="F850" t="str">
        <f t="shared" ca="1" si="383"/>
        <v>第32级，共造成189.4%点伤害</v>
      </c>
      <c r="G850">
        <f t="shared" ca="1" si="384"/>
        <v>1</v>
      </c>
      <c r="H850">
        <f t="shared" si="368"/>
        <v>1</v>
      </c>
      <c r="I850" s="44">
        <f t="shared" ca="1" si="393"/>
        <v>32</v>
      </c>
      <c r="J850">
        <f t="shared" si="369"/>
        <v>2</v>
      </c>
      <c r="K850" s="36">
        <f t="shared" ca="1" si="370"/>
        <v>94.695652173913047</v>
      </c>
      <c r="L850" s="10">
        <f ca="1">AH850*VLOOKUP(C850,技能辅助查询表,技能配置辅助表!$T$1,FALSE)</f>
        <v>0</v>
      </c>
      <c r="M850">
        <f t="shared" ca="1" si="371"/>
        <v>5440</v>
      </c>
      <c r="N850" s="33">
        <f ca="1">CHOOSE(1,W850*U850,X850*'[1]0、经济设定'!$C$18)</f>
        <v>56420</v>
      </c>
      <c r="O850">
        <f t="shared" si="372"/>
        <v>4</v>
      </c>
      <c r="P850">
        <f t="shared" si="373"/>
        <v>2</v>
      </c>
      <c r="Q850">
        <f t="shared" si="374"/>
        <v>1</v>
      </c>
      <c r="R850" s="2">
        <f t="shared" si="375"/>
        <v>6</v>
      </c>
      <c r="S850" s="2">
        <f t="shared" si="376"/>
        <v>50</v>
      </c>
      <c r="T850" s="2">
        <f t="shared" si="377"/>
        <v>71.739130434782609</v>
      </c>
      <c r="U850" s="2">
        <f ca="1">VLOOKUP(E850,金币生产率!$A$2:$B$120,2,0)</f>
        <v>1820</v>
      </c>
      <c r="V850" s="2">
        <f t="shared" si="378"/>
        <v>143.47826086956522</v>
      </c>
      <c r="W850" s="45">
        <f t="shared" ca="1" si="390"/>
        <v>31</v>
      </c>
      <c r="X850" s="48">
        <f t="shared" ca="1" si="391"/>
        <v>425</v>
      </c>
      <c r="Y850">
        <f t="shared" si="379"/>
        <v>18</v>
      </c>
      <c r="Z850">
        <f t="shared" ca="1" si="385"/>
        <v>13</v>
      </c>
      <c r="AA850" t="str">
        <f t="shared" ca="1" si="386"/>
        <v>9224100.png</v>
      </c>
      <c r="AB850">
        <f t="shared" si="380"/>
        <v>10</v>
      </c>
      <c r="AC850">
        <f>VLOOKUP(C850,技能辅助查询表,技能配置辅助表!$W$1,FALSE)</f>
        <v>33</v>
      </c>
      <c r="AD850">
        <f t="shared" ca="1" si="387"/>
        <v>131.53668481513523</v>
      </c>
      <c r="AE850">
        <f>VLOOKUP(C850,技能辅助查询表,技能配置辅助表!$U$1,FALSE)</f>
        <v>4</v>
      </c>
      <c r="AF850">
        <f t="shared" ca="1" si="388"/>
        <v>9224132</v>
      </c>
      <c r="AG850">
        <f t="shared" ca="1" si="392"/>
        <v>52.816326530612244</v>
      </c>
      <c r="AH850">
        <f t="shared" ca="1" si="389"/>
        <v>735.73534794457942</v>
      </c>
      <c r="AI850">
        <f ca="1">VLOOKUP(E850,伤害参考系!$C$4:$E$104,3,FALSE)*$AN$12</f>
        <v>7291.2152408026777</v>
      </c>
      <c r="AJ850">
        <f>VLOOKUP(C850,技能辅助查询表,技能配置辅助表!$L$1,FALSE)</f>
        <v>2</v>
      </c>
      <c r="AK850">
        <f>VLOOKUP(C850,技能辅助查询表,技能配置辅助表!$AE$1,FALSE)</f>
        <v>66000388</v>
      </c>
    </row>
    <row r="851" spans="1:37" x14ac:dyDescent="0.15">
      <c r="A851" s="1">
        <f t="shared" ca="1" si="381"/>
        <v>9224133</v>
      </c>
      <c r="B851" s="1" t="str">
        <f t="shared" ca="1" si="366"/>
        <v>幻影脚第1段</v>
      </c>
      <c r="C851" t="s">
        <v>167</v>
      </c>
      <c r="D851">
        <f t="shared" si="367"/>
        <v>2</v>
      </c>
      <c r="E851" s="42">
        <f t="shared" ca="1" si="382"/>
        <v>55</v>
      </c>
      <c r="F851" t="str">
        <f t="shared" ca="1" si="383"/>
        <v>第33级，共造成190.8%点伤害</v>
      </c>
      <c r="G851">
        <f t="shared" ca="1" si="384"/>
        <v>1</v>
      </c>
      <c r="H851">
        <f t="shared" si="368"/>
        <v>1</v>
      </c>
      <c r="I851" s="44">
        <f t="shared" ca="1" si="393"/>
        <v>33</v>
      </c>
      <c r="J851">
        <f t="shared" si="369"/>
        <v>2</v>
      </c>
      <c r="K851" s="36">
        <f t="shared" ca="1" si="370"/>
        <v>95.413043478260875</v>
      </c>
      <c r="L851" s="10">
        <f ca="1">AH851*VLOOKUP(C851,技能辅助查询表,技能配置辅助表!$T$1,FALSE)</f>
        <v>0</v>
      </c>
      <c r="M851">
        <f t="shared" ca="1" si="371"/>
        <v>5360</v>
      </c>
      <c r="N851" s="33">
        <f ca="1">CHOOSE(1,W851*U851,X851*'[1]0、经济设定'!$C$18)</f>
        <v>66878</v>
      </c>
      <c r="O851">
        <f t="shared" si="372"/>
        <v>4</v>
      </c>
      <c r="P851">
        <f t="shared" si="373"/>
        <v>2</v>
      </c>
      <c r="Q851">
        <f t="shared" si="374"/>
        <v>1</v>
      </c>
      <c r="R851" s="2">
        <f t="shared" si="375"/>
        <v>6</v>
      </c>
      <c r="S851" s="2">
        <f t="shared" si="376"/>
        <v>50</v>
      </c>
      <c r="T851" s="2">
        <f t="shared" si="377"/>
        <v>71.739130434782609</v>
      </c>
      <c r="U851" s="2">
        <f ca="1">VLOOKUP(E851,金币生产率!$A$2:$B$120,2,0)</f>
        <v>1967</v>
      </c>
      <c r="V851" s="2">
        <f t="shared" si="378"/>
        <v>143.47826086956522</v>
      </c>
      <c r="W851" s="45">
        <f t="shared" ca="1" si="390"/>
        <v>34</v>
      </c>
      <c r="X851" s="48">
        <f t="shared" ca="1" si="391"/>
        <v>459</v>
      </c>
      <c r="Y851">
        <f t="shared" si="379"/>
        <v>18</v>
      </c>
      <c r="Z851">
        <f t="shared" ca="1" si="385"/>
        <v>14</v>
      </c>
      <c r="AA851" t="str">
        <f t="shared" ca="1" si="386"/>
        <v>9224100.png</v>
      </c>
      <c r="AB851">
        <f t="shared" si="380"/>
        <v>10</v>
      </c>
      <c r="AC851">
        <f>VLOOKUP(C851,技能辅助查询表,技能配置辅助表!$W$1,FALSE)</f>
        <v>33</v>
      </c>
      <c r="AD851">
        <f t="shared" ca="1" si="387"/>
        <v>152.15639702700037</v>
      </c>
      <c r="AE851">
        <f>VLOOKUP(C851,技能辅助查询表,技能配置辅助表!$U$1,FALSE)</f>
        <v>4</v>
      </c>
      <c r="AF851">
        <f t="shared" ca="1" si="388"/>
        <v>9224133</v>
      </c>
      <c r="AG851">
        <f t="shared" ca="1" si="392"/>
        <v>54.326530612244895</v>
      </c>
      <c r="AH851">
        <f t="shared" ca="1" si="389"/>
        <v>837.62497166611001</v>
      </c>
      <c r="AI851">
        <f ca="1">VLOOKUP(E851,伤害参考系!$C$4:$E$104,3,FALSE)*$AN$12</f>
        <v>8095.9099289297656</v>
      </c>
      <c r="AJ851">
        <f>VLOOKUP(C851,技能辅助查询表,技能配置辅助表!$L$1,FALSE)</f>
        <v>2</v>
      </c>
      <c r="AK851">
        <f>VLOOKUP(C851,技能辅助查询表,技能配置辅助表!$AE$1,FALSE)</f>
        <v>66000388</v>
      </c>
    </row>
    <row r="852" spans="1:37" x14ac:dyDescent="0.15">
      <c r="A852" s="1">
        <f t="shared" ca="1" si="381"/>
        <v>9224134</v>
      </c>
      <c r="B852" s="1" t="str">
        <f t="shared" ca="1" si="366"/>
        <v>幻影脚第1段</v>
      </c>
      <c r="C852" t="s">
        <v>167</v>
      </c>
      <c r="D852">
        <f t="shared" si="367"/>
        <v>2</v>
      </c>
      <c r="E852" s="42">
        <f t="shared" ca="1" si="382"/>
        <v>56</v>
      </c>
      <c r="F852" t="str">
        <f t="shared" ca="1" si="383"/>
        <v>第34级，共造成192.3%点伤害</v>
      </c>
      <c r="G852">
        <f t="shared" ca="1" si="384"/>
        <v>1</v>
      </c>
      <c r="H852">
        <f t="shared" si="368"/>
        <v>1</v>
      </c>
      <c r="I852" s="44">
        <f t="shared" ca="1" si="393"/>
        <v>34</v>
      </c>
      <c r="J852">
        <f t="shared" si="369"/>
        <v>2</v>
      </c>
      <c r="K852" s="36">
        <f t="shared" ca="1" si="370"/>
        <v>96.130434782608688</v>
      </c>
      <c r="L852" s="10">
        <f ca="1">AH852*VLOOKUP(C852,技能辅助查询表,技能配置辅助表!$T$1,FALSE)</f>
        <v>0</v>
      </c>
      <c r="M852">
        <f t="shared" ca="1" si="371"/>
        <v>5280</v>
      </c>
      <c r="N852" s="33">
        <f ca="1">CHOOSE(1,W852*U852,X852*'[1]0、经济设定'!$C$18)</f>
        <v>73512</v>
      </c>
      <c r="O852">
        <f t="shared" si="372"/>
        <v>4</v>
      </c>
      <c r="P852">
        <f t="shared" si="373"/>
        <v>2</v>
      </c>
      <c r="Q852">
        <f t="shared" si="374"/>
        <v>1</v>
      </c>
      <c r="R852" s="2">
        <f t="shared" si="375"/>
        <v>6</v>
      </c>
      <c r="S852" s="2">
        <f t="shared" si="376"/>
        <v>50</v>
      </c>
      <c r="T852" s="2">
        <f t="shared" si="377"/>
        <v>71.739130434782609</v>
      </c>
      <c r="U852" s="2">
        <f ca="1">VLOOKUP(E852,金币生产率!$A$2:$B$120,2,0)</f>
        <v>2042</v>
      </c>
      <c r="V852" s="2">
        <f t="shared" si="378"/>
        <v>143.47826086956522</v>
      </c>
      <c r="W852" s="45">
        <f t="shared" ca="1" si="390"/>
        <v>36</v>
      </c>
      <c r="X852" s="48">
        <f t="shared" ca="1" si="391"/>
        <v>495</v>
      </c>
      <c r="Y852">
        <f t="shared" si="379"/>
        <v>18</v>
      </c>
      <c r="Z852">
        <f t="shared" ca="1" si="385"/>
        <v>15</v>
      </c>
      <c r="AA852" t="str">
        <f t="shared" ca="1" si="386"/>
        <v>9224100.png</v>
      </c>
      <c r="AB852">
        <f t="shared" si="380"/>
        <v>10</v>
      </c>
      <c r="AC852">
        <f>VLOOKUP(C852,技能辅助查询表,技能配置辅助表!$W$1,FALSE)</f>
        <v>33</v>
      </c>
      <c r="AD852">
        <f t="shared" ca="1" si="387"/>
        <v>175.9645364496177</v>
      </c>
      <c r="AE852">
        <f>VLOOKUP(C852,技能辅助查询表,技能配置辅助表!$U$1,FALSE)</f>
        <v>4</v>
      </c>
      <c r="AF852">
        <f t="shared" ca="1" si="388"/>
        <v>9224134</v>
      </c>
      <c r="AG852">
        <f t="shared" ca="1" si="392"/>
        <v>55.836734693877553</v>
      </c>
      <c r="AH852">
        <f t="shared" ca="1" si="389"/>
        <v>953.62496190886134</v>
      </c>
      <c r="AI852">
        <f ca="1">VLOOKUP(E852,伤害参考系!$C$4:$E$104,3,FALSE)*$AN$12</f>
        <v>8513.8763929765901</v>
      </c>
      <c r="AJ852">
        <f>VLOOKUP(C852,技能辅助查询表,技能配置辅助表!$L$1,FALSE)</f>
        <v>2</v>
      </c>
      <c r="AK852">
        <f>VLOOKUP(C852,技能辅助查询表,技能配置辅助表!$AE$1,FALSE)</f>
        <v>66000388</v>
      </c>
    </row>
    <row r="853" spans="1:37" x14ac:dyDescent="0.15">
      <c r="A853" s="1">
        <f t="shared" ca="1" si="381"/>
        <v>9224135</v>
      </c>
      <c r="B853" s="1" t="str">
        <f t="shared" ca="1" si="366"/>
        <v>幻影脚第1段</v>
      </c>
      <c r="C853" t="s">
        <v>167</v>
      </c>
      <c r="D853">
        <f t="shared" si="367"/>
        <v>2</v>
      </c>
      <c r="E853" s="42">
        <f t="shared" ca="1" si="382"/>
        <v>58</v>
      </c>
      <c r="F853" t="str">
        <f t="shared" ca="1" si="383"/>
        <v>第35级，共造成193.7%点伤害</v>
      </c>
      <c r="G853">
        <f t="shared" ca="1" si="384"/>
        <v>1</v>
      </c>
      <c r="H853">
        <f t="shared" si="368"/>
        <v>1</v>
      </c>
      <c r="I853" s="44">
        <f t="shared" ca="1" si="393"/>
        <v>35</v>
      </c>
      <c r="J853">
        <f t="shared" si="369"/>
        <v>2</v>
      </c>
      <c r="K853" s="36">
        <f t="shared" ca="1" si="370"/>
        <v>96.847826086956516</v>
      </c>
      <c r="L853" s="10">
        <f ca="1">AH853*VLOOKUP(C853,技能辅助查询表,技能配置辅助表!$T$1,FALSE)</f>
        <v>0</v>
      </c>
      <c r="M853">
        <f t="shared" ca="1" si="371"/>
        <v>5200</v>
      </c>
      <c r="N853" s="33">
        <f ca="1">CHOOSE(1,W853*U853,X853*'[1]0、经济设定'!$C$18)</f>
        <v>83524</v>
      </c>
      <c r="O853">
        <f t="shared" si="372"/>
        <v>4</v>
      </c>
      <c r="P853">
        <f t="shared" si="373"/>
        <v>2</v>
      </c>
      <c r="Q853">
        <f t="shared" si="374"/>
        <v>1</v>
      </c>
      <c r="R853" s="2">
        <f t="shared" si="375"/>
        <v>6</v>
      </c>
      <c r="S853" s="2">
        <f t="shared" si="376"/>
        <v>50</v>
      </c>
      <c r="T853" s="2">
        <f t="shared" si="377"/>
        <v>71.739130434782609</v>
      </c>
      <c r="U853" s="2">
        <f ca="1">VLOOKUP(E853,金币生产率!$A$2:$B$120,2,0)</f>
        <v>2198</v>
      </c>
      <c r="V853" s="2">
        <f t="shared" si="378"/>
        <v>143.47826086956522</v>
      </c>
      <c r="W853" s="45">
        <f t="shared" ca="1" si="390"/>
        <v>38</v>
      </c>
      <c r="X853" s="48">
        <f t="shared" ca="1" si="391"/>
        <v>533</v>
      </c>
      <c r="Y853">
        <f t="shared" si="379"/>
        <v>18</v>
      </c>
      <c r="Z853">
        <f t="shared" ca="1" si="385"/>
        <v>16</v>
      </c>
      <c r="AA853" t="str">
        <f t="shared" ca="1" si="386"/>
        <v>9224100.png</v>
      </c>
      <c r="AB853">
        <f t="shared" si="380"/>
        <v>10</v>
      </c>
      <c r="AC853">
        <f>VLOOKUP(C853,技能辅助查询表,技能配置辅助表!$W$1,FALSE)</f>
        <v>33</v>
      </c>
      <c r="AD853">
        <f t="shared" ca="1" si="387"/>
        <v>203.44875615234804</v>
      </c>
      <c r="AE853">
        <f>VLOOKUP(C853,技能辅助查询表,技能配置辅助表!$U$1,FALSE)</f>
        <v>4</v>
      </c>
      <c r="AF853">
        <f t="shared" ca="1" si="388"/>
        <v>9224135</v>
      </c>
      <c r="AG853">
        <f t="shared" ca="1" si="392"/>
        <v>57.346938775510203</v>
      </c>
      <c r="AH853">
        <f t="shared" ca="1" si="389"/>
        <v>1085.689417982368</v>
      </c>
      <c r="AI853">
        <f ca="1">VLOOKUP(E853,伤害参考系!$C$4:$E$104,3,FALSE)*$AN$12</f>
        <v>9381.0475610367921</v>
      </c>
      <c r="AJ853">
        <f>VLOOKUP(C853,技能辅助查询表,技能配置辅助表!$L$1,FALSE)</f>
        <v>2</v>
      </c>
      <c r="AK853">
        <f>VLOOKUP(C853,技能辅助查询表,技能配置辅助表!$AE$1,FALSE)</f>
        <v>66000388</v>
      </c>
    </row>
    <row r="854" spans="1:37" x14ac:dyDescent="0.15">
      <c r="A854" s="1">
        <f t="shared" ca="1" si="381"/>
        <v>9224136</v>
      </c>
      <c r="B854" s="1" t="str">
        <f t="shared" ca="1" si="366"/>
        <v>幻影脚第1段</v>
      </c>
      <c r="C854" t="s">
        <v>167</v>
      </c>
      <c r="D854">
        <f t="shared" si="367"/>
        <v>2</v>
      </c>
      <c r="E854" s="42">
        <f t="shared" ca="1" si="382"/>
        <v>59</v>
      </c>
      <c r="F854" t="str">
        <f t="shared" ca="1" si="383"/>
        <v>第36级，共造成195.1%点伤害</v>
      </c>
      <c r="G854">
        <f t="shared" ca="1" si="384"/>
        <v>1</v>
      </c>
      <c r="H854">
        <f t="shared" si="368"/>
        <v>1</v>
      </c>
      <c r="I854" s="44">
        <f t="shared" ca="1" si="393"/>
        <v>36</v>
      </c>
      <c r="J854">
        <f t="shared" si="369"/>
        <v>2</v>
      </c>
      <c r="K854" s="36">
        <f t="shared" ca="1" si="370"/>
        <v>97.565217391304344</v>
      </c>
      <c r="L854" s="10">
        <f ca="1">AH854*VLOOKUP(C854,技能辅助查询表,技能配置辅助表!$T$1,FALSE)</f>
        <v>0</v>
      </c>
      <c r="M854">
        <f t="shared" ca="1" si="371"/>
        <v>5120</v>
      </c>
      <c r="N854" s="33">
        <f ca="1">CHOOSE(1,W854*U854,X854*'[1]0、经济设定'!$C$18)</f>
        <v>93357</v>
      </c>
      <c r="O854">
        <f t="shared" si="372"/>
        <v>4</v>
      </c>
      <c r="P854">
        <f t="shared" si="373"/>
        <v>2</v>
      </c>
      <c r="Q854">
        <f t="shared" si="374"/>
        <v>1</v>
      </c>
      <c r="R854" s="2">
        <f t="shared" si="375"/>
        <v>6</v>
      </c>
      <c r="S854" s="2">
        <f t="shared" si="376"/>
        <v>50</v>
      </c>
      <c r="T854" s="2">
        <f t="shared" si="377"/>
        <v>71.739130434782609</v>
      </c>
      <c r="U854" s="2">
        <f ca="1">VLOOKUP(E854,金币生产率!$A$2:$B$120,2,0)</f>
        <v>2277</v>
      </c>
      <c r="V854" s="2">
        <f t="shared" si="378"/>
        <v>143.47826086956522</v>
      </c>
      <c r="W854" s="45">
        <f t="shared" ca="1" si="390"/>
        <v>41</v>
      </c>
      <c r="X854" s="48">
        <f t="shared" ca="1" si="391"/>
        <v>574</v>
      </c>
      <c r="Y854">
        <f t="shared" si="379"/>
        <v>18</v>
      </c>
      <c r="Z854">
        <f t="shared" ca="1" si="385"/>
        <v>17</v>
      </c>
      <c r="AA854" t="str">
        <f t="shared" ca="1" si="386"/>
        <v>9224100.png</v>
      </c>
      <c r="AB854">
        <f t="shared" si="380"/>
        <v>10</v>
      </c>
      <c r="AC854">
        <f>VLOOKUP(C854,技能辅助查询表,技能配置辅助表!$W$1,FALSE)</f>
        <v>33</v>
      </c>
      <c r="AD854">
        <f t="shared" ca="1" si="387"/>
        <v>235.17062667918475</v>
      </c>
      <c r="AE854">
        <f>VLOOKUP(C854,技能辅助查询表,技能配置辅助表!$U$1,FALSE)</f>
        <v>4</v>
      </c>
      <c r="AF854">
        <f t="shared" ca="1" si="388"/>
        <v>9224136</v>
      </c>
      <c r="AG854">
        <f t="shared" ca="1" si="392"/>
        <v>58.857142857142854</v>
      </c>
      <c r="AH854">
        <f t="shared" ca="1" si="389"/>
        <v>1236.0430561291703</v>
      </c>
      <c r="AI854">
        <f ca="1">VLOOKUP(E854,伤害参考系!$C$4:$E$104,3,FALSE)*$AN$12</f>
        <v>9830.2522650501687</v>
      </c>
      <c r="AJ854">
        <f>VLOOKUP(C854,技能辅助查询表,技能配置辅助表!$L$1,FALSE)</f>
        <v>2</v>
      </c>
      <c r="AK854">
        <f>VLOOKUP(C854,技能辅助查询表,技能配置辅助表!$AE$1,FALSE)</f>
        <v>66000388</v>
      </c>
    </row>
    <row r="855" spans="1:37" x14ac:dyDescent="0.15">
      <c r="A855" s="1">
        <f t="shared" ca="1" si="381"/>
        <v>9224137</v>
      </c>
      <c r="B855" s="1" t="str">
        <f t="shared" ca="1" si="366"/>
        <v>幻影脚第1段</v>
      </c>
      <c r="C855" t="s">
        <v>167</v>
      </c>
      <c r="D855">
        <f t="shared" si="367"/>
        <v>2</v>
      </c>
      <c r="E855" s="42">
        <f t="shared" ca="1" si="382"/>
        <v>61</v>
      </c>
      <c r="F855" t="str">
        <f t="shared" ca="1" si="383"/>
        <v>第37级，共造成196.6%点伤害</v>
      </c>
      <c r="G855">
        <f t="shared" ca="1" si="384"/>
        <v>1</v>
      </c>
      <c r="H855">
        <f t="shared" si="368"/>
        <v>1</v>
      </c>
      <c r="I855" s="44">
        <f t="shared" ca="1" si="393"/>
        <v>37</v>
      </c>
      <c r="J855">
        <f t="shared" si="369"/>
        <v>2</v>
      </c>
      <c r="K855" s="36">
        <f t="shared" ca="1" si="370"/>
        <v>98.282608695652172</v>
      </c>
      <c r="L855" s="10">
        <f ca="1">AH855*VLOOKUP(C855,技能辅助查询表,技能配置辅助表!$T$1,FALSE)</f>
        <v>0</v>
      </c>
      <c r="M855">
        <f t="shared" ca="1" si="371"/>
        <v>5040</v>
      </c>
      <c r="N855" s="33">
        <f ca="1">CHOOSE(1,W855*U855,X855*'[1]0、经济设定'!$C$18)</f>
        <v>107360</v>
      </c>
      <c r="O855">
        <f t="shared" si="372"/>
        <v>4</v>
      </c>
      <c r="P855">
        <f t="shared" si="373"/>
        <v>2</v>
      </c>
      <c r="Q855">
        <f t="shared" si="374"/>
        <v>1</v>
      </c>
      <c r="R855" s="2">
        <f t="shared" si="375"/>
        <v>6</v>
      </c>
      <c r="S855" s="2">
        <f t="shared" si="376"/>
        <v>50</v>
      </c>
      <c r="T855" s="2">
        <f t="shared" si="377"/>
        <v>71.739130434782609</v>
      </c>
      <c r="U855" s="2">
        <f ca="1">VLOOKUP(E855,金币生产率!$A$2:$B$120,2,0)</f>
        <v>2440</v>
      </c>
      <c r="V855" s="2">
        <f t="shared" si="378"/>
        <v>143.47826086956522</v>
      </c>
      <c r="W855" s="45">
        <f t="shared" ca="1" si="390"/>
        <v>44</v>
      </c>
      <c r="X855" s="48">
        <f t="shared" ca="1" si="391"/>
        <v>618</v>
      </c>
      <c r="Y855">
        <f t="shared" si="379"/>
        <v>18</v>
      </c>
      <c r="Z855">
        <f t="shared" ca="1" si="385"/>
        <v>18</v>
      </c>
      <c r="AA855" t="str">
        <f t="shared" ca="1" si="386"/>
        <v>9224100.png</v>
      </c>
      <c r="AB855">
        <f t="shared" si="380"/>
        <v>10</v>
      </c>
      <c r="AC855">
        <f>VLOOKUP(C855,技能辅助查询表,技能配置辅助表!$W$1,FALSE)</f>
        <v>33</v>
      </c>
      <c r="AD855">
        <f t="shared" ca="1" si="387"/>
        <v>271.77675673750724</v>
      </c>
      <c r="AE855">
        <f>VLOOKUP(C855,技能辅助查询表,技能配置辅助表!$U$1,FALSE)</f>
        <v>4</v>
      </c>
      <c r="AF855">
        <f t="shared" ca="1" si="388"/>
        <v>9224137</v>
      </c>
      <c r="AG855">
        <f t="shared" ca="1" si="392"/>
        <v>60.367346938775512</v>
      </c>
      <c r="AH855">
        <f t="shared" ca="1" si="389"/>
        <v>1407.2186863941167</v>
      </c>
      <c r="AI855">
        <f ca="1">VLOOKUP(E855,伤害参考系!$C$4:$E$104,3,FALSE)*$AN$12</f>
        <v>10863.360489130437</v>
      </c>
      <c r="AJ855">
        <f>VLOOKUP(C855,技能辅助查询表,技能配置辅助表!$L$1,FALSE)</f>
        <v>2</v>
      </c>
      <c r="AK855">
        <f>VLOOKUP(C855,技能辅助查询表,技能配置辅助表!$AE$1,FALSE)</f>
        <v>66000388</v>
      </c>
    </row>
    <row r="856" spans="1:37" x14ac:dyDescent="0.15">
      <c r="A856" s="1">
        <f t="shared" ca="1" si="381"/>
        <v>9224138</v>
      </c>
      <c r="B856" s="1" t="str">
        <f t="shared" ca="1" si="366"/>
        <v>幻影脚第1段</v>
      </c>
      <c r="C856" t="s">
        <v>167</v>
      </c>
      <c r="D856">
        <f t="shared" si="367"/>
        <v>2</v>
      </c>
      <c r="E856" s="42">
        <f t="shared" ca="1" si="382"/>
        <v>62</v>
      </c>
      <c r="F856" t="str">
        <f t="shared" ca="1" si="383"/>
        <v>第38级，共造成198%点伤害</v>
      </c>
      <c r="G856">
        <f t="shared" ca="1" si="384"/>
        <v>1</v>
      </c>
      <c r="H856">
        <f t="shared" si="368"/>
        <v>1</v>
      </c>
      <c r="I856" s="44">
        <f t="shared" ca="1" si="393"/>
        <v>38</v>
      </c>
      <c r="J856">
        <f t="shared" si="369"/>
        <v>2</v>
      </c>
      <c r="K856" s="36">
        <f t="shared" ca="1" si="370"/>
        <v>99</v>
      </c>
      <c r="L856" s="10">
        <f ca="1">AH856*VLOOKUP(C856,技能辅助查询表,技能配置辅助表!$T$1,FALSE)</f>
        <v>0</v>
      </c>
      <c r="M856">
        <f t="shared" ca="1" si="371"/>
        <v>4960</v>
      </c>
      <c r="N856" s="33">
        <f ca="1">CHOOSE(1,W856*U856,X856*'[1]0、经济设定'!$C$18)</f>
        <v>118628</v>
      </c>
      <c r="O856">
        <f t="shared" si="372"/>
        <v>4</v>
      </c>
      <c r="P856">
        <f t="shared" si="373"/>
        <v>2</v>
      </c>
      <c r="Q856">
        <f t="shared" si="374"/>
        <v>1</v>
      </c>
      <c r="R856" s="2">
        <f t="shared" si="375"/>
        <v>6</v>
      </c>
      <c r="S856" s="2">
        <f t="shared" si="376"/>
        <v>50</v>
      </c>
      <c r="T856" s="2">
        <f t="shared" si="377"/>
        <v>71.739130434782609</v>
      </c>
      <c r="U856" s="2">
        <f ca="1">VLOOKUP(E856,金币生产率!$A$2:$B$120,2,0)</f>
        <v>2524</v>
      </c>
      <c r="V856" s="2">
        <f t="shared" si="378"/>
        <v>143.47826086956522</v>
      </c>
      <c r="W856" s="45">
        <f t="shared" ca="1" si="390"/>
        <v>47</v>
      </c>
      <c r="X856" s="48">
        <f t="shared" ca="1" si="391"/>
        <v>665</v>
      </c>
      <c r="Y856">
        <f t="shared" si="379"/>
        <v>18</v>
      </c>
      <c r="Z856">
        <f t="shared" ca="1" si="385"/>
        <v>19</v>
      </c>
      <c r="AA856" t="str">
        <f t="shared" ca="1" si="386"/>
        <v>9224100.png</v>
      </c>
      <c r="AB856">
        <f t="shared" si="380"/>
        <v>10</v>
      </c>
      <c r="AC856">
        <f>VLOOKUP(C856,技能辅助查询表,技能配置辅助表!$W$1,FALSE)</f>
        <v>33</v>
      </c>
      <c r="AD856">
        <f t="shared" ca="1" si="387"/>
        <v>314.01157639078895</v>
      </c>
      <c r="AE856">
        <f>VLOOKUP(C856,技能辅助查询表,技能配置辅助表!$U$1,FALSE)</f>
        <v>4</v>
      </c>
      <c r="AF856">
        <f t="shared" ca="1" si="388"/>
        <v>9224138</v>
      </c>
      <c r="AG856">
        <f t="shared" ca="1" si="392"/>
        <v>61.877551020408163</v>
      </c>
      <c r="AH856">
        <f t="shared" ca="1" si="389"/>
        <v>1602.0998795448415</v>
      </c>
      <c r="AI856">
        <f ca="1">VLOOKUP(E856,伤害参考系!$C$4:$E$104,3,FALSE)*$AN$12</f>
        <v>11398.657545150505</v>
      </c>
      <c r="AJ856">
        <f>VLOOKUP(C856,技能辅助查询表,技能配置辅助表!$L$1,FALSE)</f>
        <v>2</v>
      </c>
      <c r="AK856">
        <f>VLOOKUP(C856,技能辅助查询表,技能配置辅助表!$AE$1,FALSE)</f>
        <v>66000388</v>
      </c>
    </row>
    <row r="857" spans="1:37" x14ac:dyDescent="0.15">
      <c r="A857" s="1">
        <f t="shared" ca="1" si="381"/>
        <v>9224139</v>
      </c>
      <c r="B857" s="1" t="str">
        <f t="shared" ca="1" si="366"/>
        <v>幻影脚第1段</v>
      </c>
      <c r="C857" t="s">
        <v>167</v>
      </c>
      <c r="D857">
        <f t="shared" si="367"/>
        <v>2</v>
      </c>
      <c r="E857" s="42">
        <f t="shared" ca="1" si="382"/>
        <v>64</v>
      </c>
      <c r="F857" t="str">
        <f t="shared" ca="1" si="383"/>
        <v>第39级，共造成199.4%点伤害</v>
      </c>
      <c r="G857">
        <f t="shared" ca="1" si="384"/>
        <v>1</v>
      </c>
      <c r="H857">
        <f t="shared" si="368"/>
        <v>1</v>
      </c>
      <c r="I857" s="44">
        <f t="shared" ca="1" si="393"/>
        <v>39</v>
      </c>
      <c r="J857">
        <f t="shared" si="369"/>
        <v>2</v>
      </c>
      <c r="K857" s="36">
        <f t="shared" ca="1" si="370"/>
        <v>99.717391304347828</v>
      </c>
      <c r="L857" s="10">
        <f ca="1">AH857*VLOOKUP(C857,技能辅助查询表,技能配置辅助表!$T$1,FALSE)</f>
        <v>0</v>
      </c>
      <c r="M857">
        <f t="shared" ca="1" si="371"/>
        <v>4880</v>
      </c>
      <c r="N857" s="33">
        <f ca="1">CHOOSE(1,W857*U857,X857*'[1]0、经济设定'!$C$18)</f>
        <v>134750</v>
      </c>
      <c r="O857">
        <f t="shared" si="372"/>
        <v>4</v>
      </c>
      <c r="P857">
        <f t="shared" si="373"/>
        <v>2</v>
      </c>
      <c r="Q857">
        <f t="shared" si="374"/>
        <v>1</v>
      </c>
      <c r="R857" s="2">
        <f t="shared" si="375"/>
        <v>6</v>
      </c>
      <c r="S857" s="2">
        <f t="shared" si="376"/>
        <v>50</v>
      </c>
      <c r="T857" s="2">
        <f t="shared" si="377"/>
        <v>71.739130434782609</v>
      </c>
      <c r="U857" s="2">
        <f ca="1">VLOOKUP(E857,金币生产率!$A$2:$B$120,2,0)</f>
        <v>2695</v>
      </c>
      <c r="V857" s="2">
        <f t="shared" si="378"/>
        <v>143.47826086956522</v>
      </c>
      <c r="W857" s="45">
        <f t="shared" ca="1" si="390"/>
        <v>50</v>
      </c>
      <c r="X857" s="48">
        <f t="shared" ca="1" si="391"/>
        <v>715</v>
      </c>
      <c r="Y857">
        <f t="shared" si="379"/>
        <v>18</v>
      </c>
      <c r="Z857">
        <f t="shared" ca="1" si="385"/>
        <v>20</v>
      </c>
      <c r="AA857" t="str">
        <f t="shared" ca="1" si="386"/>
        <v>9224100.png</v>
      </c>
      <c r="AB857">
        <f t="shared" si="380"/>
        <v>10</v>
      </c>
      <c r="AC857">
        <f>VLOOKUP(C857,技能辅助查询表,技能配置辅助表!$W$1,FALSE)</f>
        <v>33</v>
      </c>
      <c r="AD857">
        <f t="shared" ca="1" si="387"/>
        <v>362.73202994579259</v>
      </c>
      <c r="AE857">
        <f>VLOOKUP(C857,技能辅助查询表,技能配置辅助表!$U$1,FALSE)</f>
        <v>4</v>
      </c>
      <c r="AF857">
        <f t="shared" ca="1" si="388"/>
        <v>9224139</v>
      </c>
      <c r="AG857">
        <f t="shared" ca="1" si="392"/>
        <v>63.387755102040813</v>
      </c>
      <c r="AH857">
        <f t="shared" ca="1" si="389"/>
        <v>1823.9695427969455</v>
      </c>
      <c r="AI857">
        <f ca="1">VLOOKUP(E857,伤害参考系!$C$4:$E$104,3,FALSE)*$AN$12</f>
        <v>12506.737545150507</v>
      </c>
      <c r="AJ857">
        <f>VLOOKUP(C857,技能辅助查询表,技能配置辅助表!$L$1,FALSE)</f>
        <v>2</v>
      </c>
      <c r="AK857">
        <f>VLOOKUP(C857,技能辅助查询表,技能配置辅助表!$AE$1,FALSE)</f>
        <v>66000388</v>
      </c>
    </row>
    <row r="858" spans="1:37" x14ac:dyDescent="0.15">
      <c r="A858" s="1">
        <f t="shared" ca="1" si="381"/>
        <v>9224140</v>
      </c>
      <c r="B858" s="1" t="str">
        <f t="shared" ca="1" si="366"/>
        <v>幻影脚第1段</v>
      </c>
      <c r="C858" t="s">
        <v>167</v>
      </c>
      <c r="D858">
        <f t="shared" si="367"/>
        <v>2</v>
      </c>
      <c r="E858" s="42">
        <f t="shared" ca="1" si="382"/>
        <v>65</v>
      </c>
      <c r="F858" t="str">
        <f t="shared" ca="1" si="383"/>
        <v>第40级，共造成200.9%点伤害</v>
      </c>
      <c r="G858">
        <f t="shared" ca="1" si="384"/>
        <v>1</v>
      </c>
      <c r="H858">
        <f t="shared" si="368"/>
        <v>1</v>
      </c>
      <c r="I858" s="44">
        <f t="shared" ca="1" si="393"/>
        <v>40</v>
      </c>
      <c r="J858">
        <f t="shared" si="369"/>
        <v>2</v>
      </c>
      <c r="K858" s="36">
        <f t="shared" ca="1" si="370"/>
        <v>100.43478260869566</v>
      </c>
      <c r="L858" s="10">
        <f ca="1">AH858*VLOOKUP(C858,技能辅助查询表,技能配置辅助表!$T$1,FALSE)</f>
        <v>0</v>
      </c>
      <c r="M858">
        <f t="shared" ca="1" si="371"/>
        <v>4800</v>
      </c>
      <c r="N858" s="33">
        <f ca="1">CHOOSE(1,W858*U858,X858*'[1]0、经济设定'!$C$18)</f>
        <v>150282</v>
      </c>
      <c r="O858">
        <f t="shared" si="372"/>
        <v>4</v>
      </c>
      <c r="P858">
        <f t="shared" si="373"/>
        <v>2</v>
      </c>
      <c r="Q858">
        <f t="shared" si="374"/>
        <v>1</v>
      </c>
      <c r="R858" s="2">
        <f t="shared" si="375"/>
        <v>6</v>
      </c>
      <c r="S858" s="2">
        <f t="shared" si="376"/>
        <v>50</v>
      </c>
      <c r="T858" s="2">
        <f t="shared" si="377"/>
        <v>71.739130434782609</v>
      </c>
      <c r="U858" s="2">
        <f ca="1">VLOOKUP(E858,金币生产率!$A$2:$B$120,2,0)</f>
        <v>2783</v>
      </c>
      <c r="V858" s="2">
        <f t="shared" si="378"/>
        <v>143.47826086956522</v>
      </c>
      <c r="W858" s="45">
        <f t="shared" ca="1" si="390"/>
        <v>54</v>
      </c>
      <c r="X858" s="48">
        <f t="shared" ca="1" si="391"/>
        <v>769</v>
      </c>
      <c r="Y858">
        <f t="shared" si="379"/>
        <v>18</v>
      </c>
      <c r="Z858">
        <f t="shared" ca="1" si="385"/>
        <v>22</v>
      </c>
      <c r="AA858" t="str">
        <f t="shared" ca="1" si="386"/>
        <v>9224100.png</v>
      </c>
      <c r="AB858">
        <f t="shared" si="380"/>
        <v>10</v>
      </c>
      <c r="AC858">
        <f>VLOOKUP(C858,技能辅助查询表,技能配置辅助表!$W$1,FALSE)</f>
        <v>33</v>
      </c>
      <c r="AD858">
        <f t="shared" ca="1" si="387"/>
        <v>418.92446230554117</v>
      </c>
      <c r="AE858">
        <f>VLOOKUP(C858,技能辅助查询表,技能配置辅助表!$U$1,FALSE)</f>
        <v>4</v>
      </c>
      <c r="AF858">
        <f t="shared" ca="1" si="388"/>
        <v>9224140</v>
      </c>
      <c r="AG858">
        <f t="shared" ca="1" si="392"/>
        <v>64.897959183673464</v>
      </c>
      <c r="AH858">
        <f t="shared" ca="1" si="389"/>
        <v>2076.5652226352254</v>
      </c>
      <c r="AI858">
        <f ca="1">VLOOKUP(E858,伤害参考系!$C$4:$E$104,3,FALSE)*$AN$12</f>
        <v>13079.520489130437</v>
      </c>
      <c r="AJ858">
        <f>VLOOKUP(C858,技能辅助查询表,技能配置辅助表!$L$1,FALSE)</f>
        <v>2</v>
      </c>
      <c r="AK858">
        <f>VLOOKUP(C858,技能辅助查询表,技能配置辅助表!$AE$1,FALSE)</f>
        <v>66000388</v>
      </c>
    </row>
    <row r="859" spans="1:37" x14ac:dyDescent="0.15">
      <c r="A859" s="1">
        <f t="shared" ca="1" si="381"/>
        <v>9224141</v>
      </c>
      <c r="B859" s="1" t="str">
        <f t="shared" ca="1" si="366"/>
        <v>幻影脚第1段</v>
      </c>
      <c r="C859" t="s">
        <v>167</v>
      </c>
      <c r="D859">
        <f t="shared" si="367"/>
        <v>2</v>
      </c>
      <c r="E859" s="42">
        <f t="shared" ca="1" si="382"/>
        <v>67</v>
      </c>
      <c r="F859" t="str">
        <f t="shared" ca="1" si="383"/>
        <v>第41级，共造成202.3%点伤害</v>
      </c>
      <c r="G859">
        <f t="shared" ca="1" si="384"/>
        <v>1</v>
      </c>
      <c r="H859">
        <f t="shared" si="368"/>
        <v>1</v>
      </c>
      <c r="I859" s="44">
        <f t="shared" ca="1" si="393"/>
        <v>41</v>
      </c>
      <c r="J859">
        <f t="shared" si="369"/>
        <v>2</v>
      </c>
      <c r="K859" s="36">
        <f t="shared" ca="1" si="370"/>
        <v>101.15217391304347</v>
      </c>
      <c r="L859" s="10">
        <f ca="1">AH859*VLOOKUP(C859,技能辅助查询表,技能配置辅助表!$T$1,FALSE)</f>
        <v>0</v>
      </c>
      <c r="M859">
        <f t="shared" ca="1" si="371"/>
        <v>4720</v>
      </c>
      <c r="N859" s="33">
        <f ca="1">CHOOSE(1,W859*U859,X859*'[1]0、经济设定'!$C$18)</f>
        <v>171854</v>
      </c>
      <c r="O859">
        <f t="shared" si="372"/>
        <v>4</v>
      </c>
      <c r="P859">
        <f t="shared" si="373"/>
        <v>2</v>
      </c>
      <c r="Q859">
        <f t="shared" si="374"/>
        <v>1</v>
      </c>
      <c r="R859" s="2">
        <f t="shared" si="375"/>
        <v>6</v>
      </c>
      <c r="S859" s="2">
        <f t="shared" si="376"/>
        <v>50</v>
      </c>
      <c r="T859" s="2">
        <f t="shared" si="377"/>
        <v>71.739130434782609</v>
      </c>
      <c r="U859" s="2">
        <f ca="1">VLOOKUP(E859,金币生产率!$A$2:$B$120,2,0)</f>
        <v>2963</v>
      </c>
      <c r="V859" s="2">
        <f t="shared" si="378"/>
        <v>143.47826086956522</v>
      </c>
      <c r="W859" s="45">
        <f t="shared" ca="1" si="390"/>
        <v>58</v>
      </c>
      <c r="X859" s="48">
        <f t="shared" ca="1" si="391"/>
        <v>827</v>
      </c>
      <c r="Y859">
        <f t="shared" si="379"/>
        <v>18</v>
      </c>
      <c r="Z859">
        <f t="shared" ca="1" si="385"/>
        <v>24</v>
      </c>
      <c r="AA859" t="str">
        <f t="shared" ca="1" si="386"/>
        <v>9224100.png</v>
      </c>
      <c r="AB859">
        <f t="shared" si="380"/>
        <v>10</v>
      </c>
      <c r="AC859">
        <f>VLOOKUP(C859,技能辅助查询表,技能配置辅助表!$W$1,FALSE)</f>
        <v>33</v>
      </c>
      <c r="AD859">
        <f t="shared" ca="1" si="387"/>
        <v>483.72402453125903</v>
      </c>
      <c r="AE859">
        <f>VLOOKUP(C859,技能辅助查询表,技能配置辅助表!$U$1,FALSE)</f>
        <v>4</v>
      </c>
      <c r="AF859">
        <f t="shared" ca="1" si="388"/>
        <v>9224141</v>
      </c>
      <c r="AG859">
        <f t="shared" ca="1" si="392"/>
        <v>66.408163265306115</v>
      </c>
      <c r="AH859">
        <f t="shared" ca="1" si="389"/>
        <v>2364.1420663448707</v>
      </c>
      <c r="AI859">
        <f ca="1">VLOOKUP(E859,伤害参考系!$C$4:$E$104,3,FALSE)*$AN$12</f>
        <v>14262.572265050176</v>
      </c>
      <c r="AJ859">
        <f>VLOOKUP(C859,技能辅助查询表,技能配置辅助表!$L$1,FALSE)</f>
        <v>2</v>
      </c>
      <c r="AK859">
        <f>VLOOKUP(C859,技能辅助查询表,技能配置辅助表!$AE$1,FALSE)</f>
        <v>66000388</v>
      </c>
    </row>
    <row r="860" spans="1:37" x14ac:dyDescent="0.15">
      <c r="A860" s="1">
        <f t="shared" ca="1" si="381"/>
        <v>9224142</v>
      </c>
      <c r="B860" s="1" t="str">
        <f t="shared" ca="1" si="366"/>
        <v>幻影脚第1段</v>
      </c>
      <c r="C860" t="s">
        <v>167</v>
      </c>
      <c r="D860">
        <f t="shared" si="367"/>
        <v>2</v>
      </c>
      <c r="E860" s="42">
        <f t="shared" ca="1" si="382"/>
        <v>68</v>
      </c>
      <c r="F860" t="str">
        <f t="shared" ca="1" si="383"/>
        <v>第42级，共造成203.7%点伤害</v>
      </c>
      <c r="G860">
        <f t="shared" ca="1" si="384"/>
        <v>1</v>
      </c>
      <c r="H860">
        <f t="shared" si="368"/>
        <v>1</v>
      </c>
      <c r="I860" s="44">
        <f t="shared" ca="1" si="393"/>
        <v>42</v>
      </c>
      <c r="J860">
        <f t="shared" si="369"/>
        <v>2</v>
      </c>
      <c r="K860" s="36">
        <f t="shared" ca="1" si="370"/>
        <v>101.86956521739131</v>
      </c>
      <c r="L860" s="10">
        <f ca="1">AH860*VLOOKUP(C860,技能辅助查询表,技能配置辅助表!$T$1,FALSE)</f>
        <v>0</v>
      </c>
      <c r="M860">
        <f t="shared" ca="1" si="371"/>
        <v>4640</v>
      </c>
      <c r="N860" s="33">
        <f ca="1">CHOOSE(1,W860*U860,X860*'[1]0、经济设定'!$C$18)</f>
        <v>189348</v>
      </c>
      <c r="O860">
        <f t="shared" si="372"/>
        <v>4</v>
      </c>
      <c r="P860">
        <f t="shared" si="373"/>
        <v>2</v>
      </c>
      <c r="Q860">
        <f t="shared" si="374"/>
        <v>1</v>
      </c>
      <c r="R860" s="2">
        <f t="shared" si="375"/>
        <v>6</v>
      </c>
      <c r="S860" s="2">
        <f t="shared" si="376"/>
        <v>50</v>
      </c>
      <c r="T860" s="2">
        <f t="shared" si="377"/>
        <v>71.739130434782609</v>
      </c>
      <c r="U860" s="2">
        <f ca="1">VLOOKUP(E860,金币生产率!$A$2:$B$120,2,0)</f>
        <v>3054</v>
      </c>
      <c r="V860" s="2">
        <f t="shared" si="378"/>
        <v>143.47826086956522</v>
      </c>
      <c r="W860" s="45">
        <f t="shared" ca="1" si="390"/>
        <v>62</v>
      </c>
      <c r="X860" s="48">
        <f t="shared" ca="1" si="391"/>
        <v>889</v>
      </c>
      <c r="Y860">
        <f t="shared" si="379"/>
        <v>18</v>
      </c>
      <c r="Z860">
        <f t="shared" ca="1" si="385"/>
        <v>25</v>
      </c>
      <c r="AA860" t="str">
        <f t="shared" ca="1" si="386"/>
        <v>9224100.png</v>
      </c>
      <c r="AB860">
        <f t="shared" si="380"/>
        <v>10</v>
      </c>
      <c r="AC860">
        <f>VLOOKUP(C860,技能辅助查询表,技能配置辅助表!$W$1,FALSE)</f>
        <v>33</v>
      </c>
      <c r="AD860">
        <f t="shared" ca="1" si="387"/>
        <v>558.43697251115759</v>
      </c>
      <c r="AE860">
        <f>VLOOKUP(C860,技能辅助查询表,技能配置辅助表!$U$1,FALSE)</f>
        <v>4</v>
      </c>
      <c r="AF860">
        <f t="shared" ca="1" si="388"/>
        <v>9224142</v>
      </c>
      <c r="AG860">
        <f t="shared" ca="1" si="392"/>
        <v>67.918367346938766</v>
      </c>
      <c r="AH860">
        <f t="shared" ca="1" si="389"/>
        <v>2691.5445028827789</v>
      </c>
      <c r="AI860">
        <f ca="1">VLOOKUP(E860,伤害参考系!$C$4:$E$104,3,FALSE)*$AN$12</f>
        <v>14872.841096989978</v>
      </c>
      <c r="AJ860">
        <f>VLOOKUP(C860,技能辅助查询表,技能配置辅助表!$L$1,FALSE)</f>
        <v>2</v>
      </c>
      <c r="AK860">
        <f>VLOOKUP(C860,技能辅助查询表,技能配置辅助表!$AE$1,FALSE)</f>
        <v>66000388</v>
      </c>
    </row>
    <row r="861" spans="1:37" x14ac:dyDescent="0.15">
      <c r="A861" s="1">
        <f t="shared" ca="1" si="381"/>
        <v>9224143</v>
      </c>
      <c r="B861" s="1" t="str">
        <f t="shared" ca="1" si="366"/>
        <v>幻影脚第1段</v>
      </c>
      <c r="C861" t="s">
        <v>167</v>
      </c>
      <c r="D861">
        <f t="shared" si="367"/>
        <v>2</v>
      </c>
      <c r="E861" s="42">
        <f t="shared" ca="1" si="382"/>
        <v>70</v>
      </c>
      <c r="F861" t="str">
        <f t="shared" ca="1" si="383"/>
        <v>第43级，共造成205.2%点伤害</v>
      </c>
      <c r="G861">
        <f t="shared" ca="1" si="384"/>
        <v>1</v>
      </c>
      <c r="H861">
        <f t="shared" si="368"/>
        <v>1</v>
      </c>
      <c r="I861" s="44">
        <f t="shared" ca="1" si="393"/>
        <v>43</v>
      </c>
      <c r="J861">
        <f t="shared" si="369"/>
        <v>2</v>
      </c>
      <c r="K861" s="36">
        <f t="shared" ca="1" si="370"/>
        <v>102.58695652173913</v>
      </c>
      <c r="L861" s="10">
        <f ca="1">AH861*VLOOKUP(C861,技能辅助查询表,技能配置辅助表!$T$1,FALSE)</f>
        <v>0</v>
      </c>
      <c r="M861">
        <f t="shared" ca="1" si="371"/>
        <v>4560</v>
      </c>
      <c r="N861" s="33">
        <f ca="1">CHOOSE(1,W861*U861,X861*'[1]0、经济设定'!$C$18)</f>
        <v>213972</v>
      </c>
      <c r="O861">
        <f t="shared" si="372"/>
        <v>4</v>
      </c>
      <c r="P861">
        <f t="shared" si="373"/>
        <v>2</v>
      </c>
      <c r="Q861">
        <f t="shared" si="374"/>
        <v>1</v>
      </c>
      <c r="R861" s="2">
        <f t="shared" si="375"/>
        <v>6</v>
      </c>
      <c r="S861" s="2">
        <f t="shared" si="376"/>
        <v>50</v>
      </c>
      <c r="T861" s="2">
        <f t="shared" si="377"/>
        <v>71.739130434782609</v>
      </c>
      <c r="U861" s="2">
        <f ca="1">VLOOKUP(E861,金币生产率!$A$2:$B$120,2,0)</f>
        <v>3242</v>
      </c>
      <c r="V861" s="2">
        <f t="shared" si="378"/>
        <v>143.47826086956522</v>
      </c>
      <c r="W861" s="45">
        <f t="shared" ca="1" si="390"/>
        <v>66</v>
      </c>
      <c r="X861" s="48">
        <f t="shared" ca="1" si="391"/>
        <v>955</v>
      </c>
      <c r="Y861">
        <f t="shared" si="379"/>
        <v>18</v>
      </c>
      <c r="Z861">
        <f t="shared" ca="1" si="385"/>
        <v>27</v>
      </c>
      <c r="AA861" t="str">
        <f t="shared" ca="1" si="386"/>
        <v>9224100.png</v>
      </c>
      <c r="AB861">
        <f t="shared" si="380"/>
        <v>10</v>
      </c>
      <c r="AC861">
        <f>VLOOKUP(C861,技能辅助查询表,技能配置辅助表!$W$1,FALSE)</f>
        <v>33</v>
      </c>
      <c r="AD861">
        <f t="shared" ca="1" si="387"/>
        <v>644.56628787887598</v>
      </c>
      <c r="AE861">
        <f>VLOOKUP(C861,技能辅助查询表,技能配置辅助表!$U$1,FALSE)</f>
        <v>4</v>
      </c>
      <c r="AF861">
        <f t="shared" ca="1" si="388"/>
        <v>9224143</v>
      </c>
      <c r="AG861">
        <f t="shared" ca="1" si="392"/>
        <v>69.428571428571431</v>
      </c>
      <c r="AH861">
        <f t="shared" ca="1" si="389"/>
        <v>3064.2878506023458</v>
      </c>
      <c r="AI861">
        <f ca="1">VLOOKUP(E861,伤害参考系!$C$4:$E$104,3,FALSE)*$AN$12</f>
        <v>16191.966408862889</v>
      </c>
      <c r="AJ861">
        <f>VLOOKUP(C861,技能辅助查询表,技能配置辅助表!$L$1,FALSE)</f>
        <v>2</v>
      </c>
      <c r="AK861">
        <f>VLOOKUP(C861,技能辅助查询表,技能配置辅助表!$AE$1,FALSE)</f>
        <v>66000388</v>
      </c>
    </row>
    <row r="862" spans="1:37" x14ac:dyDescent="0.15">
      <c r="A862" s="1">
        <f t="shared" ca="1" si="381"/>
        <v>9224144</v>
      </c>
      <c r="B862" s="1" t="str">
        <f t="shared" ca="1" si="366"/>
        <v>幻影脚第1段</v>
      </c>
      <c r="C862" t="s">
        <v>167</v>
      </c>
      <c r="D862">
        <f t="shared" si="367"/>
        <v>2</v>
      </c>
      <c r="E862" s="42">
        <f t="shared" ca="1" si="382"/>
        <v>71</v>
      </c>
      <c r="F862" t="str">
        <f t="shared" ca="1" si="383"/>
        <v>第44级，共造成206.6%点伤害</v>
      </c>
      <c r="G862">
        <f t="shared" ca="1" si="384"/>
        <v>1</v>
      </c>
      <c r="H862">
        <f t="shared" si="368"/>
        <v>1</v>
      </c>
      <c r="I862" s="44">
        <f t="shared" ca="1" si="393"/>
        <v>44</v>
      </c>
      <c r="J862">
        <f t="shared" si="369"/>
        <v>2</v>
      </c>
      <c r="K862" s="36">
        <f t="shared" ca="1" si="370"/>
        <v>103.30434782608695</v>
      </c>
      <c r="L862" s="10">
        <f ca="1">AH862*VLOOKUP(C862,技能辅助查询表,技能配置辅助表!$T$1,FALSE)</f>
        <v>0</v>
      </c>
      <c r="M862">
        <f t="shared" ca="1" si="371"/>
        <v>4480</v>
      </c>
      <c r="N862" s="33">
        <f ca="1">CHOOSE(1,W862*U862,X862*'[1]0、经济设定'!$C$18)</f>
        <v>236998</v>
      </c>
      <c r="O862">
        <f t="shared" si="372"/>
        <v>4</v>
      </c>
      <c r="P862">
        <f t="shared" si="373"/>
        <v>2</v>
      </c>
      <c r="Q862">
        <f t="shared" si="374"/>
        <v>1</v>
      </c>
      <c r="R862" s="2">
        <f t="shared" si="375"/>
        <v>6</v>
      </c>
      <c r="S862" s="2">
        <f t="shared" si="376"/>
        <v>50</v>
      </c>
      <c r="T862" s="2">
        <f t="shared" si="377"/>
        <v>71.739130434782609</v>
      </c>
      <c r="U862" s="2">
        <f ca="1">VLOOKUP(E862,金币生产率!$A$2:$B$120,2,0)</f>
        <v>3338</v>
      </c>
      <c r="V862" s="2">
        <f t="shared" si="378"/>
        <v>143.47826086956522</v>
      </c>
      <c r="W862" s="45">
        <f t="shared" ca="1" si="390"/>
        <v>71</v>
      </c>
      <c r="X862" s="48">
        <f t="shared" ca="1" si="391"/>
        <v>1026</v>
      </c>
      <c r="Y862">
        <f t="shared" si="379"/>
        <v>18</v>
      </c>
      <c r="Z862">
        <f t="shared" ca="1" si="385"/>
        <v>29</v>
      </c>
      <c r="AA862" t="str">
        <f t="shared" ca="1" si="386"/>
        <v>9224100.png</v>
      </c>
      <c r="AB862">
        <f t="shared" si="380"/>
        <v>10</v>
      </c>
      <c r="AC862">
        <f>VLOOKUP(C862,技能辅助查询表,技能配置辅助表!$W$1,FALSE)</f>
        <v>33</v>
      </c>
      <c r="AD862">
        <f t="shared" ca="1" si="387"/>
        <v>743.84111369992002</v>
      </c>
      <c r="AE862">
        <f>VLOOKUP(C862,技能辅助查询表,技能配置辅助表!$U$1,FALSE)</f>
        <v>4</v>
      </c>
      <c r="AF862">
        <f t="shared" ca="1" si="388"/>
        <v>9224144</v>
      </c>
      <c r="AG862">
        <f t="shared" ca="1" si="392"/>
        <v>70.938775510204081</v>
      </c>
      <c r="AH862">
        <f t="shared" ca="1" si="389"/>
        <v>3488.6512265697725</v>
      </c>
      <c r="AI862">
        <f ca="1">VLOOKUP(E862,伤害参考系!$C$4:$E$104,3,FALSE)*$AN$12</f>
        <v>16902.905438127098</v>
      </c>
      <c r="AJ862">
        <f>VLOOKUP(C862,技能辅助查询表,技能配置辅助表!$L$1,FALSE)</f>
        <v>2</v>
      </c>
      <c r="AK862">
        <f>VLOOKUP(C862,技能辅助查询表,技能配置辅助表!$AE$1,FALSE)</f>
        <v>66000388</v>
      </c>
    </row>
    <row r="863" spans="1:37" x14ac:dyDescent="0.15">
      <c r="A863" s="1">
        <f t="shared" ca="1" si="381"/>
        <v>9224145</v>
      </c>
      <c r="B863" s="1" t="str">
        <f t="shared" ca="1" si="366"/>
        <v>幻影脚第1段</v>
      </c>
      <c r="C863" t="s">
        <v>167</v>
      </c>
      <c r="D863">
        <f t="shared" si="367"/>
        <v>2</v>
      </c>
      <c r="E863" s="42">
        <f t="shared" ca="1" si="382"/>
        <v>73</v>
      </c>
      <c r="F863" t="str">
        <f t="shared" ca="1" si="383"/>
        <v>第45级，共造成208%点伤害</v>
      </c>
      <c r="G863">
        <f t="shared" ca="1" si="384"/>
        <v>1</v>
      </c>
      <c r="H863">
        <f t="shared" si="368"/>
        <v>1</v>
      </c>
      <c r="I863" s="44">
        <f t="shared" ca="1" si="393"/>
        <v>45</v>
      </c>
      <c r="J863">
        <f t="shared" si="369"/>
        <v>2</v>
      </c>
      <c r="K863" s="36">
        <f t="shared" ca="1" si="370"/>
        <v>104.02173913043478</v>
      </c>
      <c r="L863" s="10">
        <f ca="1">AH863*VLOOKUP(C863,技能辅助查询表,技能配置辅助表!$T$1,FALSE)</f>
        <v>0</v>
      </c>
      <c r="M863">
        <f t="shared" ca="1" si="371"/>
        <v>4400</v>
      </c>
      <c r="N863" s="33">
        <f ca="1">CHOOSE(1,W863*U863,X863*'[1]0、经济设定'!$C$18)</f>
        <v>268584</v>
      </c>
      <c r="O863">
        <f t="shared" si="372"/>
        <v>4</v>
      </c>
      <c r="P863">
        <f t="shared" si="373"/>
        <v>2</v>
      </c>
      <c r="Q863">
        <f t="shared" si="374"/>
        <v>1</v>
      </c>
      <c r="R863" s="2">
        <f t="shared" si="375"/>
        <v>6</v>
      </c>
      <c r="S863" s="2">
        <f t="shared" si="376"/>
        <v>50</v>
      </c>
      <c r="T863" s="2">
        <f t="shared" si="377"/>
        <v>71.739130434782609</v>
      </c>
      <c r="U863" s="2">
        <f ca="1">VLOOKUP(E863,金币生产率!$A$2:$B$120,2,0)</f>
        <v>3534</v>
      </c>
      <c r="V863" s="2">
        <f t="shared" si="378"/>
        <v>143.47826086956522</v>
      </c>
      <c r="W863" s="45">
        <f t="shared" ca="1" si="390"/>
        <v>76</v>
      </c>
      <c r="X863" s="48">
        <f t="shared" ca="1" si="391"/>
        <v>1102</v>
      </c>
      <c r="Y863">
        <f t="shared" si="379"/>
        <v>18</v>
      </c>
      <c r="Z863">
        <f t="shared" ca="1" si="385"/>
        <v>31</v>
      </c>
      <c r="AA863" t="str">
        <f t="shared" ca="1" si="386"/>
        <v>9224100.png</v>
      </c>
      <c r="AB863">
        <f t="shared" si="380"/>
        <v>10</v>
      </c>
      <c r="AC863">
        <f>VLOOKUP(C863,技能辅助查询表,技能配置辅助表!$W$1,FALSE)</f>
        <v>33</v>
      </c>
      <c r="AD863">
        <f t="shared" ca="1" si="387"/>
        <v>858.25057014292395</v>
      </c>
      <c r="AE863">
        <f>VLOOKUP(C863,技能辅助查询表,技能配置辅助表!$U$1,FALSE)</f>
        <v>4</v>
      </c>
      <c r="AF863">
        <f t="shared" ca="1" si="388"/>
        <v>9224145</v>
      </c>
      <c r="AG863">
        <f t="shared" ca="1" si="392"/>
        <v>72.448979591836732</v>
      </c>
      <c r="AH863">
        <f t="shared" ca="1" si="389"/>
        <v>3971.7833225930094</v>
      </c>
      <c r="AI863">
        <f ca="1">VLOOKUP(E863,伤害参考系!$C$4:$E$104,3,FALSE)*$AN$12</f>
        <v>18368.517032608706</v>
      </c>
      <c r="AJ863">
        <f>VLOOKUP(C863,技能辅助查询表,技能配置辅助表!$L$1,FALSE)</f>
        <v>2</v>
      </c>
      <c r="AK863">
        <f>VLOOKUP(C863,技能辅助查询表,技能配置辅助表!$AE$1,FALSE)</f>
        <v>66000388</v>
      </c>
    </row>
    <row r="864" spans="1:37" x14ac:dyDescent="0.15">
      <c r="A864" s="1">
        <f t="shared" ca="1" si="381"/>
        <v>9224146</v>
      </c>
      <c r="B864" s="1" t="str">
        <f t="shared" ca="1" si="366"/>
        <v>幻影脚第1段</v>
      </c>
      <c r="C864" t="s">
        <v>167</v>
      </c>
      <c r="D864">
        <f t="shared" si="367"/>
        <v>2</v>
      </c>
      <c r="E864" s="42">
        <f t="shared" ca="1" si="382"/>
        <v>74</v>
      </c>
      <c r="F864" t="str">
        <f t="shared" ca="1" si="383"/>
        <v>第46级，共造成209.5%点伤害</v>
      </c>
      <c r="G864">
        <f t="shared" ca="1" si="384"/>
        <v>1</v>
      </c>
      <c r="H864">
        <f t="shared" si="368"/>
        <v>1</v>
      </c>
      <c r="I864" s="44">
        <f t="shared" ca="1" si="393"/>
        <v>46</v>
      </c>
      <c r="J864">
        <f t="shared" si="369"/>
        <v>2</v>
      </c>
      <c r="K864" s="36">
        <f t="shared" ca="1" si="370"/>
        <v>104.73913043478261</v>
      </c>
      <c r="L864" s="10">
        <f ca="1">AH864*VLOOKUP(C864,技能辅助查询表,技能配置辅助表!$T$1,FALSE)</f>
        <v>0</v>
      </c>
      <c r="M864">
        <f t="shared" ca="1" si="371"/>
        <v>4320</v>
      </c>
      <c r="N864" s="33">
        <f ca="1">CHOOSE(1,W864*U864,X864*'[1]0、经济设定'!$C$18)</f>
        <v>294354</v>
      </c>
      <c r="O864">
        <f t="shared" si="372"/>
        <v>4</v>
      </c>
      <c r="P864">
        <f t="shared" si="373"/>
        <v>2</v>
      </c>
      <c r="Q864">
        <f t="shared" si="374"/>
        <v>1</v>
      </c>
      <c r="R864" s="2">
        <f t="shared" si="375"/>
        <v>6</v>
      </c>
      <c r="S864" s="2">
        <f t="shared" si="376"/>
        <v>50</v>
      </c>
      <c r="T864" s="2">
        <f t="shared" si="377"/>
        <v>71.739130434782609</v>
      </c>
      <c r="U864" s="2">
        <f ca="1">VLOOKUP(E864,金币生产率!$A$2:$B$120,2,0)</f>
        <v>3634</v>
      </c>
      <c r="V864" s="2">
        <f t="shared" si="378"/>
        <v>143.47826086956522</v>
      </c>
      <c r="W864" s="45">
        <f t="shared" ca="1" si="390"/>
        <v>81</v>
      </c>
      <c r="X864" s="48">
        <f t="shared" ca="1" si="391"/>
        <v>1183</v>
      </c>
      <c r="Y864">
        <f t="shared" si="379"/>
        <v>18</v>
      </c>
      <c r="Z864">
        <f t="shared" ca="1" si="385"/>
        <v>33</v>
      </c>
      <c r="AA864" t="str">
        <f t="shared" ca="1" si="386"/>
        <v>9224100.png</v>
      </c>
      <c r="AB864">
        <f t="shared" si="380"/>
        <v>10</v>
      </c>
      <c r="AC864">
        <f>VLOOKUP(C864,技能辅助查询表,技能配置辅助表!$W$1,FALSE)</f>
        <v>33</v>
      </c>
      <c r="AD864">
        <f t="shared" ca="1" si="387"/>
        <v>990.0825987408183</v>
      </c>
      <c r="AE864">
        <f>VLOOKUP(C864,技能辅助查询表,技能配置辅助表!$U$1,FALSE)</f>
        <v>4</v>
      </c>
      <c r="AF864">
        <f t="shared" ca="1" si="388"/>
        <v>9224146</v>
      </c>
      <c r="AG864">
        <f t="shared" ca="1" si="392"/>
        <v>73.959183673469383</v>
      </c>
      <c r="AH864">
        <f t="shared" ca="1" si="389"/>
        <v>4521.8228298329677</v>
      </c>
      <c r="AI864">
        <f ca="1">VLOOKUP(E864,伤害参考系!$C$4:$E$104,3,FALSE)*$AN$12</f>
        <v>19123.189597826095</v>
      </c>
      <c r="AJ864">
        <f>VLOOKUP(C864,技能辅助查询表,技能配置辅助表!$L$1,FALSE)</f>
        <v>2</v>
      </c>
      <c r="AK864">
        <f>VLOOKUP(C864,技能辅助查询表,技能配置辅助表!$AE$1,FALSE)</f>
        <v>66000388</v>
      </c>
    </row>
    <row r="865" spans="1:37" x14ac:dyDescent="0.15">
      <c r="A865" s="1">
        <f t="shared" ca="1" si="381"/>
        <v>9224147</v>
      </c>
      <c r="B865" s="1" t="str">
        <f t="shared" ca="1" si="366"/>
        <v>幻影脚第1段</v>
      </c>
      <c r="C865" t="s">
        <v>167</v>
      </c>
      <c r="D865">
        <f t="shared" si="367"/>
        <v>2</v>
      </c>
      <c r="E865" s="42">
        <f t="shared" ca="1" si="382"/>
        <v>76</v>
      </c>
      <c r="F865" t="str">
        <f t="shared" ca="1" si="383"/>
        <v>第47级，共造成210.9%点伤害</v>
      </c>
      <c r="G865">
        <f t="shared" ca="1" si="384"/>
        <v>1</v>
      </c>
      <c r="H865">
        <f t="shared" si="368"/>
        <v>1</v>
      </c>
      <c r="I865" s="44">
        <f t="shared" ca="1" si="393"/>
        <v>47</v>
      </c>
      <c r="J865">
        <f t="shared" si="369"/>
        <v>2</v>
      </c>
      <c r="K865" s="36">
        <f t="shared" ca="1" si="370"/>
        <v>105.45652173913044</v>
      </c>
      <c r="L865" s="10">
        <f ca="1">AH865*VLOOKUP(C865,技能辅助查询表,技能配置辅助表!$T$1,FALSE)</f>
        <v>0</v>
      </c>
      <c r="M865">
        <f t="shared" ca="1" si="371"/>
        <v>4240</v>
      </c>
      <c r="N865" s="33">
        <f ca="1">CHOOSE(1,W865*U865,X865*'[1]0、经济设定'!$C$18)</f>
        <v>333906</v>
      </c>
      <c r="O865">
        <f t="shared" si="372"/>
        <v>4</v>
      </c>
      <c r="P865">
        <f t="shared" si="373"/>
        <v>2</v>
      </c>
      <c r="Q865">
        <f t="shared" si="374"/>
        <v>1</v>
      </c>
      <c r="R865" s="2">
        <f t="shared" si="375"/>
        <v>6</v>
      </c>
      <c r="S865" s="2">
        <f t="shared" si="376"/>
        <v>50</v>
      </c>
      <c r="T865" s="2">
        <f t="shared" si="377"/>
        <v>71.739130434782609</v>
      </c>
      <c r="U865" s="2">
        <f ca="1">VLOOKUP(E865,金币生产率!$A$2:$B$120,2,0)</f>
        <v>3838</v>
      </c>
      <c r="V865" s="2">
        <f t="shared" si="378"/>
        <v>143.47826086956522</v>
      </c>
      <c r="W865" s="45">
        <f t="shared" ca="1" si="390"/>
        <v>87</v>
      </c>
      <c r="X865" s="48">
        <f t="shared" ca="1" si="391"/>
        <v>1270</v>
      </c>
      <c r="Y865">
        <f t="shared" si="379"/>
        <v>18</v>
      </c>
      <c r="Z865">
        <f t="shared" ca="1" si="385"/>
        <v>35</v>
      </c>
      <c r="AA865" t="str">
        <f t="shared" ca="1" si="386"/>
        <v>9224100.png</v>
      </c>
      <c r="AB865">
        <f t="shared" si="380"/>
        <v>10</v>
      </c>
      <c r="AC865">
        <f>VLOOKUP(C865,技能辅助查询表,技能配置辅助表!$W$1,FALSE)</f>
        <v>33</v>
      </c>
      <c r="AD865">
        <f t="shared" ca="1" si="387"/>
        <v>1141.9685794915179</v>
      </c>
      <c r="AE865">
        <f>VLOOKUP(C865,技能辅助查询表,技能配置辅助表!$U$1,FALSE)</f>
        <v>4</v>
      </c>
      <c r="AF865">
        <f t="shared" ca="1" si="388"/>
        <v>9224147</v>
      </c>
      <c r="AG865">
        <f t="shared" ca="1" si="392"/>
        <v>75.469387755102048</v>
      </c>
      <c r="AH865">
        <f t="shared" ca="1" si="389"/>
        <v>5148.0355406320868</v>
      </c>
      <c r="AI865">
        <f ca="1">VLOOKUP(E865,伤害参考系!$C$4:$E$104,3,FALSE)*$AN$12</f>
        <v>20676.268264214057</v>
      </c>
      <c r="AJ865">
        <f>VLOOKUP(C865,技能辅助查询表,技能配置辅助表!$L$1,FALSE)</f>
        <v>2</v>
      </c>
      <c r="AK865">
        <f>VLOOKUP(C865,技能辅助查询表,技能配置辅助表!$AE$1,FALSE)</f>
        <v>66000388</v>
      </c>
    </row>
    <row r="866" spans="1:37" x14ac:dyDescent="0.15">
      <c r="A866" s="1">
        <f t="shared" ca="1" si="381"/>
        <v>9224148</v>
      </c>
      <c r="B866" s="1" t="str">
        <f t="shared" ca="1" si="366"/>
        <v>幻影脚第1段</v>
      </c>
      <c r="C866" t="s">
        <v>167</v>
      </c>
      <c r="D866">
        <f t="shared" si="367"/>
        <v>2</v>
      </c>
      <c r="E866" s="42">
        <f t="shared" ca="1" si="382"/>
        <v>77</v>
      </c>
      <c r="F866" t="str">
        <f t="shared" ca="1" si="383"/>
        <v>第48级，共造成212.3%点伤害</v>
      </c>
      <c r="G866">
        <f t="shared" ca="1" si="384"/>
        <v>1</v>
      </c>
      <c r="H866">
        <f t="shared" si="368"/>
        <v>1</v>
      </c>
      <c r="I866" s="44">
        <f t="shared" ca="1" si="393"/>
        <v>48</v>
      </c>
      <c r="J866">
        <f t="shared" si="369"/>
        <v>2</v>
      </c>
      <c r="K866" s="36">
        <f t="shared" ca="1" si="370"/>
        <v>106.17391304347825</v>
      </c>
      <c r="L866" s="10">
        <f ca="1">AH866*VLOOKUP(C866,技能辅助查询表,技能配置辅助表!$T$1,FALSE)</f>
        <v>0</v>
      </c>
      <c r="M866">
        <f t="shared" ca="1" si="371"/>
        <v>4160</v>
      </c>
      <c r="N866" s="33">
        <f ca="1">CHOOSE(1,W866*U866,X866*'[1]0、经济设定'!$C$18)</f>
        <v>366606</v>
      </c>
      <c r="O866">
        <f t="shared" si="372"/>
        <v>4</v>
      </c>
      <c r="P866">
        <f t="shared" si="373"/>
        <v>2</v>
      </c>
      <c r="Q866">
        <f t="shared" si="374"/>
        <v>1</v>
      </c>
      <c r="R866" s="2">
        <f t="shared" si="375"/>
        <v>6</v>
      </c>
      <c r="S866" s="2">
        <f t="shared" si="376"/>
        <v>50</v>
      </c>
      <c r="T866" s="2">
        <f t="shared" si="377"/>
        <v>71.739130434782609</v>
      </c>
      <c r="U866" s="2">
        <f ca="1">VLOOKUP(E866,金币生产率!$A$2:$B$120,2,0)</f>
        <v>3942</v>
      </c>
      <c r="V866" s="2">
        <f t="shared" si="378"/>
        <v>143.47826086956522</v>
      </c>
      <c r="W866" s="45">
        <f t="shared" ca="1" si="390"/>
        <v>93</v>
      </c>
      <c r="X866" s="48">
        <f t="shared" ca="1" si="391"/>
        <v>1363</v>
      </c>
      <c r="Y866">
        <f t="shared" si="379"/>
        <v>18</v>
      </c>
      <c r="Z866">
        <f t="shared" ca="1" si="385"/>
        <v>38</v>
      </c>
      <c r="AA866" t="str">
        <f t="shared" ca="1" si="386"/>
        <v>9224100.png</v>
      </c>
      <c r="AB866">
        <f t="shared" si="380"/>
        <v>10</v>
      </c>
      <c r="AC866">
        <f>VLOOKUP(C866,技能辅助查询表,技能配置辅助表!$W$1,FALSE)</f>
        <v>33</v>
      </c>
      <c r="AD866">
        <f t="shared" ca="1" si="387"/>
        <v>1316.9345747439711</v>
      </c>
      <c r="AE866">
        <f>VLOOKUP(C866,技能辅助查询表,技能配置辅助表!$U$1,FALSE)</f>
        <v>4</v>
      </c>
      <c r="AF866">
        <f t="shared" ca="1" si="388"/>
        <v>9224148</v>
      </c>
      <c r="AG866">
        <f t="shared" ca="1" si="392"/>
        <v>76.979591836734699</v>
      </c>
      <c r="AH866">
        <f t="shared" ca="1" si="389"/>
        <v>5860.970437134547</v>
      </c>
      <c r="AI866">
        <f ca="1">VLOOKUP(E866,伤害参考系!$C$4:$E$104,3,FALSE)*$AN$12</f>
        <v>21474.674365384624</v>
      </c>
      <c r="AJ866">
        <f>VLOOKUP(C866,技能辅助查询表,技能配置辅助表!$L$1,FALSE)</f>
        <v>2</v>
      </c>
      <c r="AK866">
        <f>VLOOKUP(C866,技能辅助查询表,技能配置辅助表!$AE$1,FALSE)</f>
        <v>66000388</v>
      </c>
    </row>
    <row r="867" spans="1:37" x14ac:dyDescent="0.15">
      <c r="A867" s="1">
        <f t="shared" ca="1" si="381"/>
        <v>9224149</v>
      </c>
      <c r="B867" s="1" t="str">
        <f t="shared" ca="1" si="366"/>
        <v>幻影脚第1段</v>
      </c>
      <c r="C867" t="s">
        <v>167</v>
      </c>
      <c r="D867">
        <f t="shared" si="367"/>
        <v>2</v>
      </c>
      <c r="E867" s="42">
        <f t="shared" ca="1" si="382"/>
        <v>79</v>
      </c>
      <c r="F867" t="str">
        <f t="shared" ca="1" si="383"/>
        <v>第49级，共造成213.8%点伤害</v>
      </c>
      <c r="G867">
        <f t="shared" ca="1" si="384"/>
        <v>1</v>
      </c>
      <c r="H867">
        <f t="shared" si="368"/>
        <v>1</v>
      </c>
      <c r="I867" s="44">
        <f t="shared" ca="1" si="393"/>
        <v>49</v>
      </c>
      <c r="J867">
        <f t="shared" si="369"/>
        <v>2</v>
      </c>
      <c r="K867" s="36">
        <f t="shared" ca="1" si="370"/>
        <v>106.89130434782609</v>
      </c>
      <c r="L867" s="10">
        <f ca="1">AH867*VLOOKUP(C867,技能辅助查询表,技能配置辅助表!$T$1,FALSE)</f>
        <v>0</v>
      </c>
      <c r="M867">
        <f t="shared" ca="1" si="371"/>
        <v>4080</v>
      </c>
      <c r="N867" s="33">
        <f ca="1">CHOOSE(1,W867*U867,X867*'[1]0、经济设定'!$C$18)</f>
        <v>411246</v>
      </c>
      <c r="O867">
        <f t="shared" si="372"/>
        <v>4</v>
      </c>
      <c r="P867">
        <f t="shared" si="373"/>
        <v>2</v>
      </c>
      <c r="Q867">
        <f t="shared" si="374"/>
        <v>1</v>
      </c>
      <c r="R867" s="2">
        <f t="shared" si="375"/>
        <v>6</v>
      </c>
      <c r="S867" s="2">
        <f t="shared" si="376"/>
        <v>50</v>
      </c>
      <c r="T867" s="2">
        <f t="shared" si="377"/>
        <v>71.739130434782609</v>
      </c>
      <c r="U867" s="2">
        <f ca="1">VLOOKUP(E867,金币生产率!$A$2:$B$120,2,0)</f>
        <v>4154</v>
      </c>
      <c r="V867" s="2">
        <f t="shared" si="378"/>
        <v>143.47826086956522</v>
      </c>
      <c r="W867" s="45">
        <f t="shared" ca="1" si="390"/>
        <v>99</v>
      </c>
      <c r="X867" s="48">
        <f t="shared" ca="1" si="391"/>
        <v>1462</v>
      </c>
      <c r="Y867">
        <f t="shared" si="379"/>
        <v>18</v>
      </c>
      <c r="Z867">
        <f t="shared" ca="1" si="385"/>
        <v>40</v>
      </c>
      <c r="AA867" t="str">
        <f t="shared" ca="1" si="386"/>
        <v>9224100.png</v>
      </c>
      <c r="AB867">
        <f t="shared" si="380"/>
        <v>10</v>
      </c>
      <c r="AC867">
        <f>VLOOKUP(C867,技能辅助查询表,技能配置辅助表!$W$1,FALSE)</f>
        <v>33</v>
      </c>
      <c r="AD867">
        <f t="shared" ca="1" si="387"/>
        <v>1518.4601796208933</v>
      </c>
      <c r="AE867">
        <f>VLOOKUP(C867,技能辅助查询表,技能配置辅助表!$U$1,FALSE)</f>
        <v>4</v>
      </c>
      <c r="AF867">
        <f t="shared" ca="1" si="388"/>
        <v>9224149</v>
      </c>
      <c r="AG867">
        <f t="shared" ca="1" si="392"/>
        <v>78.489795918367349</v>
      </c>
      <c r="AH867">
        <f t="shared" ca="1" si="389"/>
        <v>6672.6373961177951</v>
      </c>
      <c r="AI867">
        <f ca="1">VLOOKUP(E867,伤害参考系!$C$4:$E$104,3,FALSE)*$AN$12</f>
        <v>23115.220103678937</v>
      </c>
      <c r="AJ867">
        <f>VLOOKUP(C867,技能辅助查询表,技能配置辅助表!$L$1,FALSE)</f>
        <v>2</v>
      </c>
      <c r="AK867">
        <f>VLOOKUP(C867,技能辅助查询表,技能配置辅助表!$AE$1,FALSE)</f>
        <v>66000388</v>
      </c>
    </row>
    <row r="868" spans="1:37" x14ac:dyDescent="0.15">
      <c r="A868" s="1">
        <f t="shared" ca="1" si="381"/>
        <v>9224150</v>
      </c>
      <c r="B868" s="1" t="str">
        <f t="shared" ca="1" si="366"/>
        <v>幻影脚第1段</v>
      </c>
      <c r="C868" t="s">
        <v>167</v>
      </c>
      <c r="D868">
        <f t="shared" si="367"/>
        <v>2</v>
      </c>
      <c r="E868" s="42">
        <f t="shared" ca="1" si="382"/>
        <v>80</v>
      </c>
      <c r="F868" t="str">
        <f t="shared" ca="1" si="383"/>
        <v>第50级，共造成215.2%点伤害</v>
      </c>
      <c r="G868">
        <f t="shared" ca="1" si="384"/>
        <v>1</v>
      </c>
      <c r="H868">
        <f t="shared" si="368"/>
        <v>1</v>
      </c>
      <c r="I868" s="44">
        <f t="shared" ca="1" si="393"/>
        <v>50</v>
      </c>
      <c r="J868">
        <f t="shared" si="369"/>
        <v>2</v>
      </c>
      <c r="K868" s="36">
        <f t="shared" ca="1" si="370"/>
        <v>107.60869565217391</v>
      </c>
      <c r="L868" s="10">
        <f ca="1">AH868*VLOOKUP(C868,技能辅助查询表,技能配置辅助表!$T$1,FALSE)</f>
        <v>0</v>
      </c>
      <c r="M868">
        <f t="shared" ca="1" si="371"/>
        <v>4000</v>
      </c>
      <c r="N868" s="33">
        <f ca="1">CHOOSE(1,W868*U868,X868*'[1]0、经济设定'!$C$18)</f>
        <v>451772</v>
      </c>
      <c r="O868">
        <f t="shared" si="372"/>
        <v>4</v>
      </c>
      <c r="P868">
        <f t="shared" si="373"/>
        <v>2</v>
      </c>
      <c r="Q868">
        <f t="shared" si="374"/>
        <v>1</v>
      </c>
      <c r="R868" s="2">
        <f t="shared" si="375"/>
        <v>6</v>
      </c>
      <c r="S868" s="2">
        <f t="shared" si="376"/>
        <v>50</v>
      </c>
      <c r="T868" s="2">
        <f t="shared" si="377"/>
        <v>71.739130434782609</v>
      </c>
      <c r="U868" s="2">
        <f ca="1">VLOOKUP(E868,金币生产率!$A$2:$B$120,2,0)</f>
        <v>4262</v>
      </c>
      <c r="V868" s="2">
        <f t="shared" si="378"/>
        <v>143.47826086956522</v>
      </c>
      <c r="W868" s="45">
        <f t="shared" ca="1" si="390"/>
        <v>106</v>
      </c>
      <c r="X868" s="48">
        <f t="shared" ca="1" si="391"/>
        <v>1568</v>
      </c>
      <c r="Y868">
        <f t="shared" si="379"/>
        <v>18</v>
      </c>
      <c r="Z868">
        <f t="shared" ca="1" si="385"/>
        <v>43</v>
      </c>
      <c r="AA868" t="str">
        <f t="shared" ca="1" si="386"/>
        <v>9224100.png</v>
      </c>
      <c r="AB868">
        <f t="shared" si="380"/>
        <v>10</v>
      </c>
      <c r="AC868">
        <f>VLOOKUP(C868,技能辅助查询表,技能配置辅助表!$W$1,FALSE)</f>
        <v>33</v>
      </c>
      <c r="AD868">
        <f t="shared" ca="1" si="387"/>
        <v>1750.5461030023362</v>
      </c>
      <c r="AE868">
        <f>VLOOKUP(C868,技能辅助查询表,技能配置辅助表!$U$1,FALSE)</f>
        <v>4</v>
      </c>
      <c r="AF868">
        <f t="shared" ca="1" si="388"/>
        <v>9224150</v>
      </c>
      <c r="AG868">
        <f t="shared" ca="1" si="392"/>
        <v>80</v>
      </c>
      <c r="AH868">
        <f t="shared" ca="1" si="389"/>
        <v>7596.7095035950451</v>
      </c>
      <c r="AI868">
        <f ca="1">VLOOKUP(E868,伤害参考系!$C$4:$E$104,3,FALSE)*$AN$12</f>
        <v>24028.87424749164</v>
      </c>
      <c r="AJ868">
        <f>VLOOKUP(C868,技能辅助查询表,技能配置辅助表!$L$1,FALSE)</f>
        <v>2</v>
      </c>
      <c r="AK868">
        <f>VLOOKUP(C868,技能辅助查询表,技能配置辅助表!$AE$1,FALSE)</f>
        <v>66000388</v>
      </c>
    </row>
    <row r="869" spans="1:37" x14ac:dyDescent="0.15">
      <c r="A869" s="1">
        <f t="shared" ca="1" si="381"/>
        <v>1</v>
      </c>
      <c r="B869" s="1" t="str">
        <f t="shared" ca="1" si="366"/>
        <v>幻影脚</v>
      </c>
      <c r="C869" t="s">
        <v>168</v>
      </c>
      <c r="D869">
        <f t="shared" si="367"/>
        <v>2</v>
      </c>
      <c r="E869" s="42">
        <f t="shared" ca="1" si="382"/>
        <v>6</v>
      </c>
      <c r="F869" t="str">
        <f t="shared" ca="1" si="383"/>
        <v>第0级，共造成143.5%点伤害</v>
      </c>
      <c r="G869">
        <f t="shared" ca="1" si="384"/>
        <v>0</v>
      </c>
      <c r="H869">
        <f t="shared" si="368"/>
        <v>2</v>
      </c>
      <c r="I869" s="44">
        <f t="shared" ca="1" si="393"/>
        <v>0</v>
      </c>
      <c r="J869">
        <f t="shared" si="369"/>
        <v>2</v>
      </c>
      <c r="K869" s="36">
        <f t="shared" ca="1" si="370"/>
        <v>47.826086956521742</v>
      </c>
      <c r="L869" s="10">
        <f ca="1">AH869*VLOOKUP(C869,技能辅助查询表,技能配置辅助表!$T$1,FALSE)</f>
        <v>0</v>
      </c>
      <c r="M869">
        <f t="shared" ca="1" si="371"/>
        <v>8000</v>
      </c>
      <c r="N869" s="33">
        <f ca="1">CHOOSE(1,W869*U869,X869*'[1]0、经济设定'!$C$18)</f>
        <v>0</v>
      </c>
      <c r="O869">
        <f t="shared" si="372"/>
        <v>4</v>
      </c>
      <c r="P869">
        <f t="shared" si="373"/>
        <v>3</v>
      </c>
      <c r="Q869">
        <f t="shared" si="374"/>
        <v>1</v>
      </c>
      <c r="R869" s="2">
        <f t="shared" si="375"/>
        <v>8</v>
      </c>
      <c r="S869" s="2">
        <f t="shared" si="376"/>
        <v>50</v>
      </c>
      <c r="T869" s="2">
        <f t="shared" si="377"/>
        <v>47.826086956521742</v>
      </c>
      <c r="U869" s="2">
        <f ca="1">VLOOKUP(E869,金币生产率!$A$2:$B$120,2,0)</f>
        <v>80</v>
      </c>
      <c r="V869" s="2">
        <f t="shared" si="378"/>
        <v>143.47826086956522</v>
      </c>
      <c r="W869" s="45">
        <f t="shared" ca="1" si="390"/>
        <v>0</v>
      </c>
      <c r="X869" s="48">
        <f t="shared" ca="1" si="391"/>
        <v>0</v>
      </c>
      <c r="Y869">
        <f t="shared" si="379"/>
        <v>18</v>
      </c>
      <c r="Z869">
        <f t="shared" ca="1" si="385"/>
        <v>0</v>
      </c>
      <c r="AA869" t="str">
        <f t="shared" ca="1" si="386"/>
        <v>9224200.png</v>
      </c>
      <c r="AB869">
        <f t="shared" si="380"/>
        <v>7</v>
      </c>
      <c r="AC869">
        <f>VLOOKUP(C869,技能辅助查询表,技能配置辅助表!$W$1,FALSE)</f>
        <v>34</v>
      </c>
      <c r="AD869">
        <f t="shared" ca="1" si="387"/>
        <v>1.0081565217391304</v>
      </c>
      <c r="AE869">
        <f>VLOOKUP(C869,技能辅助查询表,技能配置辅助表!$U$1,FALSE)</f>
        <v>4</v>
      </c>
      <c r="AF869">
        <f t="shared" ca="1" si="388"/>
        <v>9224200</v>
      </c>
      <c r="AG869">
        <f t="shared" ca="1" si="392"/>
        <v>0</v>
      </c>
      <c r="AH869">
        <f t="shared" ca="1" si="389"/>
        <v>11.5938</v>
      </c>
      <c r="AI869">
        <f ca="1">VLOOKUP(E869,伤害参考系!$C$4:$E$104,3,FALSE)*$AN$12</f>
        <v>88.919999999999987</v>
      </c>
      <c r="AJ869">
        <f>VLOOKUP(C869,技能辅助查询表,技能配置辅助表!$L$1,FALSE)</f>
        <v>3</v>
      </c>
      <c r="AK869">
        <f>VLOOKUP(C869,技能辅助查询表,技能配置辅助表!$AE$1,FALSE)</f>
        <v>66000388</v>
      </c>
    </row>
    <row r="870" spans="1:37" x14ac:dyDescent="0.15">
      <c r="A870" s="1">
        <f t="shared" ca="1" si="381"/>
        <v>9224201</v>
      </c>
      <c r="B870" s="1" t="str">
        <f t="shared" ca="1" si="366"/>
        <v>幻影脚第2段</v>
      </c>
      <c r="C870" t="s">
        <v>168</v>
      </c>
      <c r="D870">
        <f t="shared" si="367"/>
        <v>2</v>
      </c>
      <c r="E870" s="42">
        <f t="shared" ca="1" si="382"/>
        <v>6</v>
      </c>
      <c r="F870" t="str">
        <f t="shared" ca="1" si="383"/>
        <v>第1级，共造成143.5%点伤害</v>
      </c>
      <c r="G870">
        <f t="shared" ca="1" si="384"/>
        <v>2</v>
      </c>
      <c r="H870">
        <f t="shared" si="368"/>
        <v>2</v>
      </c>
      <c r="I870" s="44">
        <f t="shared" ca="1" si="393"/>
        <v>1</v>
      </c>
      <c r="J870">
        <f t="shared" si="369"/>
        <v>2</v>
      </c>
      <c r="K870" s="36">
        <f t="shared" ca="1" si="370"/>
        <v>47.826086956521742</v>
      </c>
      <c r="L870" s="10">
        <f ca="1">AH870*VLOOKUP(C870,技能辅助查询表,技能配置辅助表!$T$1,FALSE)</f>
        <v>0</v>
      </c>
      <c r="M870">
        <f t="shared" ca="1" si="371"/>
        <v>8000</v>
      </c>
      <c r="N870" s="33">
        <f ca="1">CHOOSE(1,W870*U870,X870*'[1]0、经济设定'!$C$18)</f>
        <v>240</v>
      </c>
      <c r="O870">
        <f t="shared" si="372"/>
        <v>4</v>
      </c>
      <c r="P870">
        <f t="shared" si="373"/>
        <v>3</v>
      </c>
      <c r="Q870">
        <f t="shared" si="374"/>
        <v>1</v>
      </c>
      <c r="R870" s="2">
        <f t="shared" si="375"/>
        <v>8</v>
      </c>
      <c r="S870" s="2">
        <f t="shared" si="376"/>
        <v>50</v>
      </c>
      <c r="T870" s="2">
        <f t="shared" si="377"/>
        <v>47.826086956521742</v>
      </c>
      <c r="U870" s="2">
        <f ca="1">VLOOKUP(E870,金币生产率!$A$2:$B$120,2,0)</f>
        <v>80</v>
      </c>
      <c r="V870" s="2">
        <f t="shared" si="378"/>
        <v>143.47826086956522</v>
      </c>
      <c r="W870" s="45">
        <f t="shared" ca="1" si="390"/>
        <v>3</v>
      </c>
      <c r="X870" s="48">
        <f t="shared" ca="1" si="391"/>
        <v>3</v>
      </c>
      <c r="Y870">
        <f t="shared" si="379"/>
        <v>18</v>
      </c>
      <c r="Z870">
        <f t="shared" ca="1" si="385"/>
        <v>0</v>
      </c>
      <c r="AA870" t="str">
        <f t="shared" ca="1" si="386"/>
        <v>9224200.png</v>
      </c>
      <c r="AB870">
        <f t="shared" si="380"/>
        <v>7</v>
      </c>
      <c r="AC870">
        <f>VLOOKUP(C870,技能辅助查询表,技能配置辅助表!$W$1,FALSE)</f>
        <v>34</v>
      </c>
      <c r="AD870">
        <f t="shared" ca="1" si="387"/>
        <v>1.1477728782719219</v>
      </c>
      <c r="AE870">
        <f>VLOOKUP(C870,技能辅助查询表,技能配置辅助表!$U$1,FALSE)</f>
        <v>4</v>
      </c>
      <c r="AF870">
        <f t="shared" ca="1" si="388"/>
        <v>9224201</v>
      </c>
      <c r="AG870">
        <f t="shared" ca="1" si="392"/>
        <v>8</v>
      </c>
      <c r="AH870">
        <f t="shared" ca="1" si="389"/>
        <v>13.199388100127095</v>
      </c>
      <c r="AI870">
        <f ca="1">VLOOKUP(E870,伤害参考系!$C$4:$E$104,3,FALSE)*$AN$12</f>
        <v>88.919999999999987</v>
      </c>
      <c r="AJ870">
        <f>VLOOKUP(C870,技能辅助查询表,技能配置辅助表!$L$1,FALSE)</f>
        <v>3</v>
      </c>
      <c r="AK870">
        <f>VLOOKUP(C870,技能辅助查询表,技能配置辅助表!$AE$1,FALSE)</f>
        <v>66000388</v>
      </c>
    </row>
    <row r="871" spans="1:37" x14ac:dyDescent="0.15">
      <c r="A871" s="1">
        <f t="shared" ca="1" si="381"/>
        <v>9224202</v>
      </c>
      <c r="B871" s="1" t="str">
        <f t="shared" ca="1" si="366"/>
        <v>幻影脚第2段</v>
      </c>
      <c r="C871" t="s">
        <v>168</v>
      </c>
      <c r="D871">
        <f t="shared" si="367"/>
        <v>2</v>
      </c>
      <c r="E871" s="42">
        <f t="shared" ca="1" si="382"/>
        <v>11</v>
      </c>
      <c r="F871" t="str">
        <f t="shared" ca="1" si="383"/>
        <v>第2级，共造成146.3%点伤害</v>
      </c>
      <c r="G871">
        <f t="shared" ca="1" si="384"/>
        <v>2</v>
      </c>
      <c r="H871">
        <f t="shared" si="368"/>
        <v>2</v>
      </c>
      <c r="I871" s="44">
        <f t="shared" ca="1" si="393"/>
        <v>2</v>
      </c>
      <c r="J871">
        <f t="shared" si="369"/>
        <v>2</v>
      </c>
      <c r="K871" s="36">
        <f t="shared" ca="1" si="370"/>
        <v>48.782608695652179</v>
      </c>
      <c r="L871" s="10">
        <f ca="1">AH871*VLOOKUP(C871,技能辅助查询表,技能配置辅助表!$T$1,FALSE)</f>
        <v>0</v>
      </c>
      <c r="M871">
        <f t="shared" ca="1" si="371"/>
        <v>7840</v>
      </c>
      <c r="N871" s="33">
        <f ca="1">CHOOSE(1,W871*U871,X871*'[1]0、经济设定'!$C$18)</f>
        <v>440</v>
      </c>
      <c r="O871">
        <f t="shared" si="372"/>
        <v>4</v>
      </c>
      <c r="P871">
        <f t="shared" si="373"/>
        <v>3</v>
      </c>
      <c r="Q871">
        <f t="shared" si="374"/>
        <v>1</v>
      </c>
      <c r="R871" s="2">
        <f t="shared" si="375"/>
        <v>8</v>
      </c>
      <c r="S871" s="2">
        <f t="shared" si="376"/>
        <v>50</v>
      </c>
      <c r="T871" s="2">
        <f t="shared" si="377"/>
        <v>47.826086956521742</v>
      </c>
      <c r="U871" s="2">
        <f ca="1">VLOOKUP(E871,金币生产率!$A$2:$B$120,2,0)</f>
        <v>110</v>
      </c>
      <c r="V871" s="2">
        <f t="shared" si="378"/>
        <v>143.47826086956522</v>
      </c>
      <c r="W871" s="45">
        <f t="shared" ca="1" si="390"/>
        <v>4</v>
      </c>
      <c r="X871" s="48">
        <f t="shared" ca="1" si="391"/>
        <v>7</v>
      </c>
      <c r="Y871">
        <f t="shared" si="379"/>
        <v>18</v>
      </c>
      <c r="Z871">
        <f t="shared" ca="1" si="385"/>
        <v>0</v>
      </c>
      <c r="AA871" t="str">
        <f t="shared" ca="1" si="386"/>
        <v>9224200.png</v>
      </c>
      <c r="AB871">
        <f t="shared" si="380"/>
        <v>7</v>
      </c>
      <c r="AC871">
        <f>VLOOKUP(C871,技能辅助查询表,技能配置辅助表!$W$1,FALSE)</f>
        <v>34</v>
      </c>
      <c r="AD871">
        <f t="shared" ca="1" si="387"/>
        <v>1.3929680561510775</v>
      </c>
      <c r="AE871">
        <f>VLOOKUP(C871,技能辅助查询表,技能配置辅助表!$U$1,FALSE)</f>
        <v>4</v>
      </c>
      <c r="AF871">
        <f t="shared" ca="1" si="388"/>
        <v>9224202</v>
      </c>
      <c r="AG871">
        <f t="shared" ca="1" si="392"/>
        <v>9.4693877551020407</v>
      </c>
      <c r="AH871">
        <f t="shared" ca="1" si="389"/>
        <v>15.027328935963775</v>
      </c>
      <c r="AI871">
        <f ca="1">VLOOKUP(E871,伤害参考系!$C$4:$E$104,3,FALSE)*$AN$12</f>
        <v>212.08059782608694</v>
      </c>
      <c r="AJ871">
        <f>VLOOKUP(C871,技能辅助查询表,技能配置辅助表!$L$1,FALSE)</f>
        <v>3</v>
      </c>
      <c r="AK871">
        <f>VLOOKUP(C871,技能辅助查询表,技能配置辅助表!$AE$1,FALSE)</f>
        <v>66000388</v>
      </c>
    </row>
    <row r="872" spans="1:37" x14ac:dyDescent="0.15">
      <c r="A872" s="1">
        <f t="shared" ca="1" si="381"/>
        <v>9224203</v>
      </c>
      <c r="B872" s="1" t="str">
        <f t="shared" ca="1" si="366"/>
        <v>幻影脚第2段</v>
      </c>
      <c r="C872" t="s">
        <v>168</v>
      </c>
      <c r="D872">
        <f t="shared" si="367"/>
        <v>2</v>
      </c>
      <c r="E872" s="42">
        <f t="shared" ca="1" si="382"/>
        <v>12</v>
      </c>
      <c r="F872" t="str">
        <f t="shared" ca="1" si="383"/>
        <v>第3级，共造成147.8%点伤害</v>
      </c>
      <c r="G872">
        <f t="shared" ca="1" si="384"/>
        <v>2</v>
      </c>
      <c r="H872">
        <f t="shared" si="368"/>
        <v>2</v>
      </c>
      <c r="I872" s="44">
        <f t="shared" ca="1" si="393"/>
        <v>3</v>
      </c>
      <c r="J872">
        <f t="shared" si="369"/>
        <v>2</v>
      </c>
      <c r="K872" s="36">
        <f t="shared" ca="1" si="370"/>
        <v>49.260869565217391</v>
      </c>
      <c r="L872" s="10">
        <f ca="1">AH872*VLOOKUP(C872,技能辅助查询表,技能配置辅助表!$T$1,FALSE)</f>
        <v>0</v>
      </c>
      <c r="M872">
        <f t="shared" ca="1" si="371"/>
        <v>7760</v>
      </c>
      <c r="N872" s="33">
        <f ca="1">CHOOSE(1,W872*U872,X872*'[1]0、经济设定'!$C$18)</f>
        <v>464</v>
      </c>
      <c r="O872">
        <f t="shared" si="372"/>
        <v>4</v>
      </c>
      <c r="P872">
        <f t="shared" si="373"/>
        <v>3</v>
      </c>
      <c r="Q872">
        <f t="shared" si="374"/>
        <v>1</v>
      </c>
      <c r="R872" s="2">
        <f t="shared" si="375"/>
        <v>8</v>
      </c>
      <c r="S872" s="2">
        <f t="shared" si="376"/>
        <v>50</v>
      </c>
      <c r="T872" s="2">
        <f t="shared" si="377"/>
        <v>47.826086956521742</v>
      </c>
      <c r="U872" s="2">
        <f ca="1">VLOOKUP(E872,金币生产率!$A$2:$B$120,2,0)</f>
        <v>116</v>
      </c>
      <c r="V872" s="2">
        <f t="shared" si="378"/>
        <v>143.47826086956522</v>
      </c>
      <c r="W872" s="45">
        <f t="shared" ca="1" si="390"/>
        <v>4</v>
      </c>
      <c r="X872" s="48">
        <f t="shared" ca="1" si="391"/>
        <v>11</v>
      </c>
      <c r="Y872">
        <f t="shared" si="379"/>
        <v>18</v>
      </c>
      <c r="Z872">
        <f t="shared" ca="1" si="385"/>
        <v>0</v>
      </c>
      <c r="AA872" t="str">
        <f t="shared" ca="1" si="386"/>
        <v>9224200.png</v>
      </c>
      <c r="AB872">
        <f t="shared" si="380"/>
        <v>7</v>
      </c>
      <c r="AC872">
        <f>VLOOKUP(C872,技能辅助查询表,技能配置辅助表!$W$1,FALSE)</f>
        <v>34</v>
      </c>
      <c r="AD872">
        <f t="shared" ca="1" si="387"/>
        <v>1.6349694391434646</v>
      </c>
      <c r="AE872">
        <f>VLOOKUP(C872,技能辅助查询表,技能配置辅助表!$U$1,FALSE)</f>
        <v>4</v>
      </c>
      <c r="AF872">
        <f t="shared" ca="1" si="388"/>
        <v>9224203</v>
      </c>
      <c r="AG872">
        <f t="shared" ca="1" si="392"/>
        <v>10.938775510204081</v>
      </c>
      <c r="AH872">
        <f t="shared" ca="1" si="389"/>
        <v>17.108415423248271</v>
      </c>
      <c r="AI872">
        <f ca="1">VLOOKUP(E872,伤害参考系!$C$4:$E$104,3,FALSE)*$AN$12</f>
        <v>249.04956521739126</v>
      </c>
      <c r="AJ872">
        <f>VLOOKUP(C872,技能辅助查询表,技能配置辅助表!$L$1,FALSE)</f>
        <v>3</v>
      </c>
      <c r="AK872">
        <f>VLOOKUP(C872,技能辅助查询表,技能配置辅助表!$AE$1,FALSE)</f>
        <v>66000388</v>
      </c>
    </row>
    <row r="873" spans="1:37" x14ac:dyDescent="0.15">
      <c r="A873" s="1">
        <f t="shared" ca="1" si="381"/>
        <v>9224204</v>
      </c>
      <c r="B873" s="1" t="str">
        <f t="shared" ca="1" si="366"/>
        <v>幻影脚第2段</v>
      </c>
      <c r="C873" t="s">
        <v>168</v>
      </c>
      <c r="D873">
        <f t="shared" si="367"/>
        <v>2</v>
      </c>
      <c r="E873" s="42">
        <f t="shared" ca="1" si="382"/>
        <v>14</v>
      </c>
      <c r="F873" t="str">
        <f t="shared" ca="1" si="383"/>
        <v>第4级，共造成149.2%点伤害</v>
      </c>
      <c r="G873">
        <f t="shared" ca="1" si="384"/>
        <v>2</v>
      </c>
      <c r="H873">
        <f t="shared" si="368"/>
        <v>2</v>
      </c>
      <c r="I873" s="44">
        <f t="shared" ca="1" si="393"/>
        <v>4</v>
      </c>
      <c r="J873">
        <f t="shared" si="369"/>
        <v>2</v>
      </c>
      <c r="K873" s="36">
        <f t="shared" ca="1" si="370"/>
        <v>49.739130434782609</v>
      </c>
      <c r="L873" s="10">
        <f ca="1">AH873*VLOOKUP(C873,技能辅助查询表,技能配置辅助表!$T$1,FALSE)</f>
        <v>0</v>
      </c>
      <c r="M873">
        <f t="shared" ca="1" si="371"/>
        <v>7680</v>
      </c>
      <c r="N873" s="33">
        <f ca="1">CHOOSE(1,W873*U873,X873*'[1]0、经济设定'!$C$18)</f>
        <v>512</v>
      </c>
      <c r="O873">
        <f t="shared" si="372"/>
        <v>4</v>
      </c>
      <c r="P873">
        <f t="shared" si="373"/>
        <v>3</v>
      </c>
      <c r="Q873">
        <f t="shared" si="374"/>
        <v>1</v>
      </c>
      <c r="R873" s="2">
        <f t="shared" si="375"/>
        <v>8</v>
      </c>
      <c r="S873" s="2">
        <f t="shared" si="376"/>
        <v>50</v>
      </c>
      <c r="T873" s="2">
        <f t="shared" si="377"/>
        <v>47.826086956521742</v>
      </c>
      <c r="U873" s="2">
        <f ca="1">VLOOKUP(E873,金币生产率!$A$2:$B$120,2,0)</f>
        <v>128</v>
      </c>
      <c r="V873" s="2">
        <f t="shared" si="378"/>
        <v>143.47826086956522</v>
      </c>
      <c r="W873" s="45">
        <f t="shared" ca="1" si="390"/>
        <v>4</v>
      </c>
      <c r="X873" s="48">
        <f t="shared" ca="1" si="391"/>
        <v>15</v>
      </c>
      <c r="Y873">
        <f t="shared" si="379"/>
        <v>18</v>
      </c>
      <c r="Z873">
        <f t="shared" ca="1" si="385"/>
        <v>0</v>
      </c>
      <c r="AA873" t="str">
        <f t="shared" ca="1" si="386"/>
        <v>9224200.png</v>
      </c>
      <c r="AB873">
        <f t="shared" si="380"/>
        <v>7</v>
      </c>
      <c r="AC873">
        <f>VLOOKUP(C873,技能辅助查询表,技能配置辅助表!$W$1,FALSE)</f>
        <v>34</v>
      </c>
      <c r="AD873">
        <f t="shared" ca="1" si="387"/>
        <v>1.9172836465292811</v>
      </c>
      <c r="AE873">
        <f>VLOOKUP(C873,技能辅助查询表,技能配置辅助表!$U$1,FALSE)</f>
        <v>4</v>
      </c>
      <c r="AF873">
        <f t="shared" ca="1" si="388"/>
        <v>9224204</v>
      </c>
      <c r="AG873">
        <f t="shared" ca="1" si="392"/>
        <v>12.408163265306122</v>
      </c>
      <c r="AH873">
        <f t="shared" ca="1" si="389"/>
        <v>19.477704889652582</v>
      </c>
      <c r="AI873">
        <f ca="1">VLOOKUP(E873,伤害参考系!$C$4:$E$104,3,FALSE)*$AN$12</f>
        <v>330.31565217391307</v>
      </c>
      <c r="AJ873">
        <f>VLOOKUP(C873,技能辅助查询表,技能配置辅助表!$L$1,FALSE)</f>
        <v>3</v>
      </c>
      <c r="AK873">
        <f>VLOOKUP(C873,技能辅助查询表,技能配置辅助表!$AE$1,FALSE)</f>
        <v>66000388</v>
      </c>
    </row>
    <row r="874" spans="1:37" x14ac:dyDescent="0.15">
      <c r="A874" s="1">
        <f t="shared" ca="1" si="381"/>
        <v>9224205</v>
      </c>
      <c r="B874" s="1" t="str">
        <f t="shared" ca="1" si="366"/>
        <v>幻影脚第2段</v>
      </c>
      <c r="C874" t="s">
        <v>168</v>
      </c>
      <c r="D874">
        <f t="shared" si="367"/>
        <v>2</v>
      </c>
      <c r="E874" s="42">
        <f t="shared" ca="1" si="382"/>
        <v>15</v>
      </c>
      <c r="F874" t="str">
        <f t="shared" ca="1" si="383"/>
        <v>第5级，共造成150.7%点伤害</v>
      </c>
      <c r="G874">
        <f t="shared" ca="1" si="384"/>
        <v>2</v>
      </c>
      <c r="H874">
        <f t="shared" si="368"/>
        <v>2</v>
      </c>
      <c r="I874" s="44">
        <f t="shared" ca="1" si="393"/>
        <v>5</v>
      </c>
      <c r="J874">
        <f t="shared" si="369"/>
        <v>2</v>
      </c>
      <c r="K874" s="36">
        <f t="shared" ca="1" si="370"/>
        <v>50.217391304347828</v>
      </c>
      <c r="L874" s="10">
        <f ca="1">AH874*VLOOKUP(C874,技能辅助查询表,技能配置辅助表!$T$1,FALSE)</f>
        <v>0</v>
      </c>
      <c r="M874">
        <f t="shared" ca="1" si="371"/>
        <v>7600</v>
      </c>
      <c r="N874" s="33">
        <f ca="1">CHOOSE(1,W874*U874,X874*'[1]0、经济设定'!$C$18)</f>
        <v>670</v>
      </c>
      <c r="O874">
        <f t="shared" si="372"/>
        <v>4</v>
      </c>
      <c r="P874">
        <f t="shared" si="373"/>
        <v>3</v>
      </c>
      <c r="Q874">
        <f t="shared" si="374"/>
        <v>1</v>
      </c>
      <c r="R874" s="2">
        <f t="shared" si="375"/>
        <v>8</v>
      </c>
      <c r="S874" s="2">
        <f t="shared" si="376"/>
        <v>50</v>
      </c>
      <c r="T874" s="2">
        <f t="shared" si="377"/>
        <v>47.826086956521742</v>
      </c>
      <c r="U874" s="2">
        <f ca="1">VLOOKUP(E874,金币生产率!$A$2:$B$120,2,0)</f>
        <v>134</v>
      </c>
      <c r="V874" s="2">
        <f t="shared" si="378"/>
        <v>143.47826086956522</v>
      </c>
      <c r="W874" s="45">
        <f t="shared" ca="1" si="390"/>
        <v>5</v>
      </c>
      <c r="X874" s="48">
        <f t="shared" ca="1" si="391"/>
        <v>20</v>
      </c>
      <c r="Y874">
        <f t="shared" si="379"/>
        <v>18</v>
      </c>
      <c r="Z874">
        <f t="shared" ca="1" si="385"/>
        <v>0</v>
      </c>
      <c r="AA874" t="str">
        <f t="shared" ca="1" si="386"/>
        <v>9224200.png</v>
      </c>
      <c r="AB874">
        <f t="shared" si="380"/>
        <v>7</v>
      </c>
      <c r="AC874">
        <f>VLOOKUP(C874,技能辅助查询表,技能配置辅助表!$W$1,FALSE)</f>
        <v>34</v>
      </c>
      <c r="AD874">
        <f t="shared" ca="1" si="387"/>
        <v>2.2464350200000589</v>
      </c>
      <c r="AE874">
        <f>VLOOKUP(C874,技能辅助查询表,技能配置辅助表!$U$1,FALSE)</f>
        <v>4</v>
      </c>
      <c r="AF874">
        <f t="shared" ca="1" si="388"/>
        <v>9224205</v>
      </c>
      <c r="AG874">
        <f t="shared" ca="1" si="392"/>
        <v>13.877551020408163</v>
      </c>
      <c r="AH874">
        <f t="shared" ca="1" si="389"/>
        <v>22.175109639485559</v>
      </c>
      <c r="AI874">
        <f ca="1">VLOOKUP(E874,伤害参考系!$C$4:$E$104,3,FALSE)*$AN$12</f>
        <v>374.61277173913044</v>
      </c>
      <c r="AJ874">
        <f>VLOOKUP(C874,技能辅助查询表,技能配置辅助表!$L$1,FALSE)</f>
        <v>3</v>
      </c>
      <c r="AK874">
        <f>VLOOKUP(C874,技能辅助查询表,技能配置辅助表!$AE$1,FALSE)</f>
        <v>66000388</v>
      </c>
    </row>
    <row r="875" spans="1:37" x14ac:dyDescent="0.15">
      <c r="A875" s="1">
        <f t="shared" ca="1" si="381"/>
        <v>9224206</v>
      </c>
      <c r="B875" s="1" t="str">
        <f t="shared" ca="1" si="366"/>
        <v>幻影脚第2段</v>
      </c>
      <c r="C875" t="s">
        <v>168</v>
      </c>
      <c r="D875">
        <f t="shared" si="367"/>
        <v>2</v>
      </c>
      <c r="E875" s="42">
        <f t="shared" ca="1" si="382"/>
        <v>17</v>
      </c>
      <c r="F875" t="str">
        <f t="shared" ca="1" si="383"/>
        <v>第6级，共造成152.1%点伤害</v>
      </c>
      <c r="G875">
        <f t="shared" ca="1" si="384"/>
        <v>2</v>
      </c>
      <c r="H875">
        <f t="shared" si="368"/>
        <v>2</v>
      </c>
      <c r="I875" s="44">
        <f t="shared" ca="1" si="393"/>
        <v>6</v>
      </c>
      <c r="J875">
        <f t="shared" si="369"/>
        <v>2</v>
      </c>
      <c r="K875" s="36">
        <f t="shared" ca="1" si="370"/>
        <v>50.695652173913047</v>
      </c>
      <c r="L875" s="10">
        <f ca="1">AH875*VLOOKUP(C875,技能辅助查询表,技能配置辅助表!$T$1,FALSE)</f>
        <v>0</v>
      </c>
      <c r="M875">
        <f t="shared" ca="1" si="371"/>
        <v>7520</v>
      </c>
      <c r="N875" s="33">
        <f ca="1">CHOOSE(1,W875*U875,X875*'[1]0、经济设定'!$C$18)</f>
        <v>730</v>
      </c>
      <c r="O875">
        <f t="shared" si="372"/>
        <v>4</v>
      </c>
      <c r="P875">
        <f t="shared" si="373"/>
        <v>3</v>
      </c>
      <c r="Q875">
        <f t="shared" si="374"/>
        <v>1</v>
      </c>
      <c r="R875" s="2">
        <f t="shared" si="375"/>
        <v>8</v>
      </c>
      <c r="S875" s="2">
        <f t="shared" si="376"/>
        <v>50</v>
      </c>
      <c r="T875" s="2">
        <f t="shared" si="377"/>
        <v>47.826086956521742</v>
      </c>
      <c r="U875" s="2">
        <f ca="1">VLOOKUP(E875,金币生产率!$A$2:$B$120,2,0)</f>
        <v>146</v>
      </c>
      <c r="V875" s="2">
        <f t="shared" si="378"/>
        <v>143.47826086956522</v>
      </c>
      <c r="W875" s="45">
        <f t="shared" ca="1" si="390"/>
        <v>5</v>
      </c>
      <c r="X875" s="48">
        <f t="shared" ca="1" si="391"/>
        <v>25</v>
      </c>
      <c r="Y875">
        <f t="shared" si="379"/>
        <v>18</v>
      </c>
      <c r="Z875">
        <f t="shared" ca="1" si="385"/>
        <v>0</v>
      </c>
      <c r="AA875" t="str">
        <f t="shared" ca="1" si="386"/>
        <v>9224200.png</v>
      </c>
      <c r="AB875">
        <f t="shared" si="380"/>
        <v>7</v>
      </c>
      <c r="AC875">
        <f>VLOOKUP(C875,技能辅助查询表,技能配置辅助表!$W$1,FALSE)</f>
        <v>34</v>
      </c>
      <c r="AD875">
        <f t="shared" ca="1" si="387"/>
        <v>2.6299818283440723</v>
      </c>
      <c r="AE875">
        <f>VLOOKUP(C875,技能辅助查询表,技能配置辅助表!$U$1,FALSE)</f>
        <v>4</v>
      </c>
      <c r="AF875">
        <f t="shared" ca="1" si="388"/>
        <v>9224206</v>
      </c>
      <c r="AG875">
        <f t="shared" ca="1" si="392"/>
        <v>15.346938775510203</v>
      </c>
      <c r="AH875">
        <f t="shared" ca="1" si="389"/>
        <v>25.246069303803697</v>
      </c>
      <c r="AI875">
        <f ca="1">VLOOKUP(E875,伤害参考系!$C$4:$E$104,3,FALSE)*$AN$12</f>
        <v>470.53516304347824</v>
      </c>
      <c r="AJ875">
        <f>VLOOKUP(C875,技能辅助查询表,技能配置辅助表!$L$1,FALSE)</f>
        <v>3</v>
      </c>
      <c r="AK875">
        <f>VLOOKUP(C875,技能辅助查询表,技能配置辅助表!$AE$1,FALSE)</f>
        <v>66000388</v>
      </c>
    </row>
    <row r="876" spans="1:37" x14ac:dyDescent="0.15">
      <c r="A876" s="1">
        <f t="shared" ca="1" si="381"/>
        <v>9224207</v>
      </c>
      <c r="B876" s="1" t="str">
        <f t="shared" ca="1" si="366"/>
        <v>幻影脚第2段</v>
      </c>
      <c r="C876" t="s">
        <v>168</v>
      </c>
      <c r="D876">
        <f t="shared" si="367"/>
        <v>2</v>
      </c>
      <c r="E876" s="42">
        <f t="shared" ca="1" si="382"/>
        <v>18</v>
      </c>
      <c r="F876" t="str">
        <f t="shared" ca="1" si="383"/>
        <v>第7级，共造成153.5%点伤害</v>
      </c>
      <c r="G876">
        <f t="shared" ca="1" si="384"/>
        <v>2</v>
      </c>
      <c r="H876">
        <f t="shared" si="368"/>
        <v>2</v>
      </c>
      <c r="I876" s="44">
        <f t="shared" ca="1" si="393"/>
        <v>7</v>
      </c>
      <c r="J876">
        <f t="shared" si="369"/>
        <v>2</v>
      </c>
      <c r="K876" s="36">
        <f t="shared" ca="1" si="370"/>
        <v>51.173913043478265</v>
      </c>
      <c r="L876" s="10">
        <f ca="1">AH876*VLOOKUP(C876,技能辅助查询表,技能配置辅助表!$T$1,FALSE)</f>
        <v>0</v>
      </c>
      <c r="M876">
        <f t="shared" ca="1" si="371"/>
        <v>7440</v>
      </c>
      <c r="N876" s="33">
        <f ca="1">CHOOSE(1,W876*U876,X876*'[1]0、经济设定'!$C$18)</f>
        <v>760</v>
      </c>
      <c r="O876">
        <f t="shared" si="372"/>
        <v>4</v>
      </c>
      <c r="P876">
        <f t="shared" si="373"/>
        <v>3</v>
      </c>
      <c r="Q876">
        <f t="shared" si="374"/>
        <v>1</v>
      </c>
      <c r="R876" s="2">
        <f t="shared" si="375"/>
        <v>8</v>
      </c>
      <c r="S876" s="2">
        <f t="shared" si="376"/>
        <v>50</v>
      </c>
      <c r="T876" s="2">
        <f t="shared" si="377"/>
        <v>47.826086956521742</v>
      </c>
      <c r="U876" s="2">
        <f ca="1">VLOOKUP(E876,金币生产率!$A$2:$B$120,2,0)</f>
        <v>152</v>
      </c>
      <c r="V876" s="2">
        <f t="shared" si="378"/>
        <v>143.47826086956522</v>
      </c>
      <c r="W876" s="45">
        <f t="shared" ca="1" si="390"/>
        <v>5</v>
      </c>
      <c r="X876" s="48">
        <f t="shared" ca="1" si="391"/>
        <v>30</v>
      </c>
      <c r="Y876">
        <f t="shared" si="379"/>
        <v>18</v>
      </c>
      <c r="Z876">
        <f t="shared" ca="1" si="385"/>
        <v>0</v>
      </c>
      <c r="AA876" t="str">
        <f t="shared" ca="1" si="386"/>
        <v>9224200.png</v>
      </c>
      <c r="AB876">
        <f t="shared" si="380"/>
        <v>7</v>
      </c>
      <c r="AC876">
        <f>VLOOKUP(C876,技能辅助查询表,技能配置辅助表!$W$1,FALSE)</f>
        <v>34</v>
      </c>
      <c r="AD876">
        <f t="shared" ca="1" si="387"/>
        <v>3.0766775102538668</v>
      </c>
      <c r="AE876">
        <f>VLOOKUP(C876,技能辅助查询表,技能配置辅助表!$U$1,FALSE)</f>
        <v>4</v>
      </c>
      <c r="AF876">
        <f t="shared" ca="1" si="388"/>
        <v>9224207</v>
      </c>
      <c r="AG876">
        <f t="shared" ca="1" si="392"/>
        <v>16.816326530612244</v>
      </c>
      <c r="AH876">
        <f t="shared" ca="1" si="389"/>
        <v>28.742316302127907</v>
      </c>
      <c r="AI876">
        <f ca="1">VLOOKUP(E876,伤害参考系!$C$4:$E$104,3,FALSE)*$AN$12</f>
        <v>522.16043478260883</v>
      </c>
      <c r="AJ876">
        <f>VLOOKUP(C876,技能辅助查询表,技能配置辅助表!$L$1,FALSE)</f>
        <v>3</v>
      </c>
      <c r="AK876">
        <f>VLOOKUP(C876,技能辅助查询表,技能配置辅助表!$AE$1,FALSE)</f>
        <v>66000388</v>
      </c>
    </row>
    <row r="877" spans="1:37" x14ac:dyDescent="0.15">
      <c r="A877" s="1">
        <f t="shared" ca="1" si="381"/>
        <v>9224208</v>
      </c>
      <c r="B877" s="1" t="str">
        <f t="shared" ca="1" si="366"/>
        <v>幻影脚第2段</v>
      </c>
      <c r="C877" t="s">
        <v>168</v>
      </c>
      <c r="D877">
        <f t="shared" si="367"/>
        <v>2</v>
      </c>
      <c r="E877" s="42">
        <f t="shared" ca="1" si="382"/>
        <v>20</v>
      </c>
      <c r="F877" t="str">
        <f t="shared" ca="1" si="383"/>
        <v>第8级，共造成155%点伤害</v>
      </c>
      <c r="G877">
        <f t="shared" ca="1" si="384"/>
        <v>2</v>
      </c>
      <c r="H877">
        <f t="shared" si="368"/>
        <v>2</v>
      </c>
      <c r="I877" s="44">
        <f t="shared" ca="1" si="393"/>
        <v>8</v>
      </c>
      <c r="J877">
        <f t="shared" si="369"/>
        <v>2</v>
      </c>
      <c r="K877" s="36">
        <f t="shared" ca="1" si="370"/>
        <v>51.652173913043484</v>
      </c>
      <c r="L877" s="10">
        <f ca="1">AH877*VLOOKUP(C877,技能辅助查询表,技能配置辅助表!$T$1,FALSE)</f>
        <v>0</v>
      </c>
      <c r="M877">
        <f t="shared" ca="1" si="371"/>
        <v>7360</v>
      </c>
      <c r="N877" s="33">
        <f ca="1">CHOOSE(1,W877*U877,X877*'[1]0、经济设定'!$C$18)</f>
        <v>1092</v>
      </c>
      <c r="O877">
        <f t="shared" si="372"/>
        <v>4</v>
      </c>
      <c r="P877">
        <f t="shared" si="373"/>
        <v>3</v>
      </c>
      <c r="Q877">
        <f t="shared" si="374"/>
        <v>1</v>
      </c>
      <c r="R877" s="2">
        <f t="shared" si="375"/>
        <v>8</v>
      </c>
      <c r="S877" s="2">
        <f t="shared" si="376"/>
        <v>50</v>
      </c>
      <c r="T877" s="2">
        <f t="shared" si="377"/>
        <v>47.826086956521742</v>
      </c>
      <c r="U877" s="2">
        <f ca="1">VLOOKUP(E877,金币生产率!$A$2:$B$120,2,0)</f>
        <v>182</v>
      </c>
      <c r="V877" s="2">
        <f t="shared" si="378"/>
        <v>143.47826086956522</v>
      </c>
      <c r="W877" s="45">
        <f t="shared" ca="1" si="390"/>
        <v>6</v>
      </c>
      <c r="X877" s="48">
        <f t="shared" ca="1" si="391"/>
        <v>36</v>
      </c>
      <c r="Y877">
        <f t="shared" si="379"/>
        <v>18</v>
      </c>
      <c r="Z877">
        <f t="shared" ca="1" si="385"/>
        <v>0</v>
      </c>
      <c r="AA877" t="str">
        <f t="shared" ca="1" si="386"/>
        <v>9224200.png</v>
      </c>
      <c r="AB877">
        <f t="shared" si="380"/>
        <v>7</v>
      </c>
      <c r="AC877">
        <f>VLOOKUP(C877,技能辅助查询表,技能配置辅助表!$W$1,FALSE)</f>
        <v>34</v>
      </c>
      <c r="AD877">
        <f t="shared" ca="1" si="387"/>
        <v>3.5966567478663847</v>
      </c>
      <c r="AE877">
        <f>VLOOKUP(C877,技能辅助查询表,技能配置辅助表!$U$1,FALSE)</f>
        <v>4</v>
      </c>
      <c r="AF877">
        <f t="shared" ca="1" si="388"/>
        <v>9224208</v>
      </c>
      <c r="AG877">
        <f t="shared" ca="1" si="392"/>
        <v>18.285714285714285</v>
      </c>
      <c r="AH877">
        <f t="shared" ca="1" si="389"/>
        <v>32.722747310493212</v>
      </c>
      <c r="AI877">
        <f ca="1">VLOOKUP(E877,伤害参考系!$C$4:$E$104,3,FALSE)*$AN$12</f>
        <v>632.73913043478262</v>
      </c>
      <c r="AJ877">
        <f>VLOOKUP(C877,技能辅助查询表,技能配置辅助表!$L$1,FALSE)</f>
        <v>3</v>
      </c>
      <c r="AK877">
        <f>VLOOKUP(C877,技能辅助查询表,技能配置辅助表!$AE$1,FALSE)</f>
        <v>66000388</v>
      </c>
    </row>
    <row r="878" spans="1:37" x14ac:dyDescent="0.15">
      <c r="A878" s="1">
        <f t="shared" ca="1" si="381"/>
        <v>9224209</v>
      </c>
      <c r="B878" s="1" t="str">
        <f t="shared" ca="1" si="366"/>
        <v>幻影脚第2段</v>
      </c>
      <c r="C878" t="s">
        <v>168</v>
      </c>
      <c r="D878">
        <f t="shared" si="367"/>
        <v>2</v>
      </c>
      <c r="E878" s="42">
        <f t="shared" ca="1" si="382"/>
        <v>21</v>
      </c>
      <c r="F878" t="str">
        <f t="shared" ca="1" si="383"/>
        <v>第9级，共造成156.4%点伤害</v>
      </c>
      <c r="G878">
        <f t="shared" ca="1" si="384"/>
        <v>2</v>
      </c>
      <c r="H878">
        <f t="shared" si="368"/>
        <v>2</v>
      </c>
      <c r="I878" s="44">
        <f t="shared" ca="1" si="393"/>
        <v>9</v>
      </c>
      <c r="J878">
        <f t="shared" si="369"/>
        <v>2</v>
      </c>
      <c r="K878" s="36">
        <f t="shared" ca="1" si="370"/>
        <v>52.130434782608702</v>
      </c>
      <c r="L878" s="10">
        <f ca="1">AH878*VLOOKUP(C878,技能辅助查询表,技能配置辅助表!$T$1,FALSE)</f>
        <v>0</v>
      </c>
      <c r="M878">
        <f t="shared" ca="1" si="371"/>
        <v>7280</v>
      </c>
      <c r="N878" s="33">
        <f ca="1">CHOOSE(1,W878*U878,X878*'[1]0、经济设定'!$C$18)</f>
        <v>1260</v>
      </c>
      <c r="O878">
        <f t="shared" si="372"/>
        <v>4</v>
      </c>
      <c r="P878">
        <f t="shared" si="373"/>
        <v>3</v>
      </c>
      <c r="Q878">
        <f t="shared" si="374"/>
        <v>1</v>
      </c>
      <c r="R878" s="2">
        <f t="shared" si="375"/>
        <v>8</v>
      </c>
      <c r="S878" s="2">
        <f t="shared" si="376"/>
        <v>50</v>
      </c>
      <c r="T878" s="2">
        <f t="shared" si="377"/>
        <v>47.826086956521742</v>
      </c>
      <c r="U878" s="2">
        <f ca="1">VLOOKUP(E878,金币生产率!$A$2:$B$120,2,0)</f>
        <v>210</v>
      </c>
      <c r="V878" s="2">
        <f t="shared" si="378"/>
        <v>143.47826086956522</v>
      </c>
      <c r="W878" s="45">
        <f t="shared" ca="1" si="390"/>
        <v>6</v>
      </c>
      <c r="X878" s="48">
        <f t="shared" ca="1" si="391"/>
        <v>42</v>
      </c>
      <c r="Y878">
        <f t="shared" si="379"/>
        <v>18</v>
      </c>
      <c r="Z878">
        <f t="shared" ca="1" si="385"/>
        <v>0</v>
      </c>
      <c r="AA878" t="str">
        <f t="shared" ca="1" si="386"/>
        <v>9224200.png</v>
      </c>
      <c r="AB878">
        <f t="shared" si="380"/>
        <v>7</v>
      </c>
      <c r="AC878">
        <f>VLOOKUP(C878,技能辅助查询表,技能配置辅助表!$W$1,FALSE)</f>
        <v>34</v>
      </c>
      <c r="AD878">
        <f t="shared" ca="1" si="387"/>
        <v>4.2016501560827235</v>
      </c>
      <c r="AE878">
        <f>VLOOKUP(C878,技能辅助查询表,技能配置辅助表!$U$1,FALSE)</f>
        <v>4</v>
      </c>
      <c r="AF878">
        <f t="shared" ca="1" si="388"/>
        <v>9224209</v>
      </c>
      <c r="AG878">
        <f t="shared" ca="1" si="392"/>
        <v>19.755102040816325</v>
      </c>
      <c r="AH878">
        <f t="shared" ca="1" si="389"/>
        <v>37.25441541630785</v>
      </c>
      <c r="AI878">
        <f ca="1">VLOOKUP(E878,伤害参考系!$C$4:$E$104,3,FALSE)*$AN$12</f>
        <v>691.69255434782622</v>
      </c>
      <c r="AJ878">
        <f>VLOOKUP(C878,技能辅助查询表,技能配置辅助表!$L$1,FALSE)</f>
        <v>3</v>
      </c>
      <c r="AK878">
        <f>VLOOKUP(C878,技能辅助查询表,技能配置辅助表!$AE$1,FALSE)</f>
        <v>66000388</v>
      </c>
    </row>
    <row r="879" spans="1:37" x14ac:dyDescent="0.15">
      <c r="A879" s="1">
        <f t="shared" ca="1" si="381"/>
        <v>9224210</v>
      </c>
      <c r="B879" s="1" t="str">
        <f t="shared" ca="1" si="366"/>
        <v>幻影脚第2段</v>
      </c>
      <c r="C879" t="s">
        <v>168</v>
      </c>
      <c r="D879">
        <f t="shared" si="367"/>
        <v>2</v>
      </c>
      <c r="E879" s="42">
        <f t="shared" ca="1" si="382"/>
        <v>22</v>
      </c>
      <c r="F879" t="str">
        <f t="shared" ca="1" si="383"/>
        <v>第10级，共造成157.8%点伤害</v>
      </c>
      <c r="G879">
        <f t="shared" ca="1" si="384"/>
        <v>2</v>
      </c>
      <c r="H879">
        <f t="shared" si="368"/>
        <v>2</v>
      </c>
      <c r="I879" s="44">
        <f t="shared" ca="1" si="393"/>
        <v>10</v>
      </c>
      <c r="J879">
        <f t="shared" si="369"/>
        <v>2</v>
      </c>
      <c r="K879" s="36">
        <f t="shared" ca="1" si="370"/>
        <v>52.608695652173914</v>
      </c>
      <c r="L879" s="10">
        <f ca="1">AH879*VLOOKUP(C879,技能辅助查询表,技能配置辅助表!$T$1,FALSE)</f>
        <v>0</v>
      </c>
      <c r="M879">
        <f t="shared" ca="1" si="371"/>
        <v>7200</v>
      </c>
      <c r="N879" s="33">
        <f ca="1">CHOOSE(1,W879*U879,X879*'[1]0、经济设定'!$C$18)</f>
        <v>1434</v>
      </c>
      <c r="O879">
        <f t="shared" si="372"/>
        <v>4</v>
      </c>
      <c r="P879">
        <f t="shared" si="373"/>
        <v>3</v>
      </c>
      <c r="Q879">
        <f t="shared" si="374"/>
        <v>1</v>
      </c>
      <c r="R879" s="2">
        <f t="shared" si="375"/>
        <v>8</v>
      </c>
      <c r="S879" s="2">
        <f t="shared" si="376"/>
        <v>50</v>
      </c>
      <c r="T879" s="2">
        <f t="shared" si="377"/>
        <v>47.826086956521742</v>
      </c>
      <c r="U879" s="2">
        <f ca="1">VLOOKUP(E879,金币生产率!$A$2:$B$120,2,0)</f>
        <v>239</v>
      </c>
      <c r="V879" s="2">
        <f t="shared" si="378"/>
        <v>143.47826086956522</v>
      </c>
      <c r="W879" s="45">
        <f t="shared" ca="1" si="390"/>
        <v>6</v>
      </c>
      <c r="X879" s="48">
        <f t="shared" ca="1" si="391"/>
        <v>48</v>
      </c>
      <c r="Y879">
        <f t="shared" si="379"/>
        <v>18</v>
      </c>
      <c r="Z879">
        <f t="shared" ca="1" si="385"/>
        <v>0</v>
      </c>
      <c r="AA879" t="str">
        <f t="shared" ca="1" si="386"/>
        <v>9224200.png</v>
      </c>
      <c r="AB879">
        <f t="shared" si="380"/>
        <v>7</v>
      </c>
      <c r="AC879">
        <f>VLOOKUP(C879,技能辅助查询表,技能配置辅助表!$W$1,FALSE)</f>
        <v>34</v>
      </c>
      <c r="AD879">
        <f t="shared" ca="1" si="387"/>
        <v>4.9052319448540587</v>
      </c>
      <c r="AE879">
        <f>VLOOKUP(C879,技能辅助查询表,技能配置辅助表!$U$1,FALSE)</f>
        <v>4</v>
      </c>
      <c r="AF879">
        <f t="shared" ca="1" si="388"/>
        <v>9224210</v>
      </c>
      <c r="AG879">
        <f t="shared" ca="1" si="392"/>
        <v>21.224489795918366</v>
      </c>
      <c r="AH879">
        <f t="shared" ca="1" si="389"/>
        <v>42.413659673550121</v>
      </c>
      <c r="AI879">
        <f ca="1">VLOOKUP(E879,伤害参考系!$C$4:$E$104,3,FALSE)*$AN$12</f>
        <v>753.08869565217401</v>
      </c>
      <c r="AJ879">
        <f>VLOOKUP(C879,技能辅助查询表,技能配置辅助表!$L$1,FALSE)</f>
        <v>3</v>
      </c>
      <c r="AK879">
        <f>VLOOKUP(C879,技能辅助查询表,技能配置辅助表!$AE$1,FALSE)</f>
        <v>66000388</v>
      </c>
    </row>
    <row r="880" spans="1:37" x14ac:dyDescent="0.15">
      <c r="A880" s="1">
        <f t="shared" ca="1" si="381"/>
        <v>9224211</v>
      </c>
      <c r="B880" s="1" t="str">
        <f t="shared" ca="1" si="366"/>
        <v>幻影脚第2段</v>
      </c>
      <c r="C880" t="s">
        <v>168</v>
      </c>
      <c r="D880">
        <f t="shared" si="367"/>
        <v>2</v>
      </c>
      <c r="E880" s="42">
        <f t="shared" ca="1" si="382"/>
        <v>24</v>
      </c>
      <c r="F880" t="str">
        <f t="shared" ca="1" si="383"/>
        <v>第11级，共造成159.3%点伤害</v>
      </c>
      <c r="G880">
        <f t="shared" ca="1" si="384"/>
        <v>2</v>
      </c>
      <c r="H880">
        <f t="shared" si="368"/>
        <v>2</v>
      </c>
      <c r="I880" s="44">
        <f t="shared" ca="1" si="393"/>
        <v>11</v>
      </c>
      <c r="J880">
        <f t="shared" si="369"/>
        <v>2</v>
      </c>
      <c r="K880" s="36">
        <f t="shared" ca="1" si="370"/>
        <v>53.086956521739133</v>
      </c>
      <c r="L880" s="10">
        <f ca="1">AH880*VLOOKUP(C880,技能辅助查询表,技能配置辅助表!$T$1,FALSE)</f>
        <v>0</v>
      </c>
      <c r="M880">
        <f t="shared" ca="1" si="371"/>
        <v>7120</v>
      </c>
      <c r="N880" s="33">
        <f ca="1">CHOOSE(1,W880*U880,X880*'[1]0、经济设定'!$C$18)</f>
        <v>2114</v>
      </c>
      <c r="O880">
        <f t="shared" si="372"/>
        <v>4</v>
      </c>
      <c r="P880">
        <f t="shared" si="373"/>
        <v>3</v>
      </c>
      <c r="Q880">
        <f t="shared" si="374"/>
        <v>1</v>
      </c>
      <c r="R880" s="2">
        <f t="shared" si="375"/>
        <v>8</v>
      </c>
      <c r="S880" s="2">
        <f t="shared" si="376"/>
        <v>50</v>
      </c>
      <c r="T880" s="2">
        <f t="shared" si="377"/>
        <v>47.826086956521742</v>
      </c>
      <c r="U880" s="2">
        <f ca="1">VLOOKUP(E880,金币生产率!$A$2:$B$120,2,0)</f>
        <v>302</v>
      </c>
      <c r="V880" s="2">
        <f t="shared" si="378"/>
        <v>143.47826086956522</v>
      </c>
      <c r="W880" s="45">
        <f t="shared" ca="1" si="390"/>
        <v>7</v>
      </c>
      <c r="X880" s="48">
        <f t="shared" ca="1" si="391"/>
        <v>55</v>
      </c>
      <c r="Y880">
        <f t="shared" si="379"/>
        <v>18</v>
      </c>
      <c r="Z880">
        <f t="shared" ca="1" si="385"/>
        <v>0</v>
      </c>
      <c r="AA880" t="str">
        <f t="shared" ca="1" si="386"/>
        <v>9224200.png</v>
      </c>
      <c r="AB880">
        <f t="shared" si="380"/>
        <v>7</v>
      </c>
      <c r="AC880">
        <f>VLOOKUP(C880,技能辅助查询表,技能配置辅助表!$W$1,FALSE)</f>
        <v>34</v>
      </c>
      <c r="AD880">
        <f t="shared" ca="1" si="387"/>
        <v>5.7231055696356048</v>
      </c>
      <c r="AE880">
        <f>VLOOKUP(C880,技能辅助查询表,技能配置辅助表!$U$1,FALSE)</f>
        <v>4</v>
      </c>
      <c r="AF880">
        <f t="shared" ca="1" si="388"/>
        <v>9224211</v>
      </c>
      <c r="AG880">
        <f t="shared" ca="1" si="392"/>
        <v>22.693877551020407</v>
      </c>
      <c r="AH880">
        <f t="shared" ca="1" si="389"/>
        <v>48.287391086433935</v>
      </c>
      <c r="AI880">
        <f ca="1">VLOOKUP(E880,伤害参考系!$C$4:$E$104,3,FALSE)*$AN$12</f>
        <v>914.59374581939801</v>
      </c>
      <c r="AJ880">
        <f>VLOOKUP(C880,技能辅助查询表,技能配置辅助表!$L$1,FALSE)</f>
        <v>3</v>
      </c>
      <c r="AK880">
        <f>VLOOKUP(C880,技能辅助查询表,技能配置辅助表!$AE$1,FALSE)</f>
        <v>66000388</v>
      </c>
    </row>
    <row r="881" spans="1:37" x14ac:dyDescent="0.15">
      <c r="A881" s="1">
        <f t="shared" ca="1" si="381"/>
        <v>9224212</v>
      </c>
      <c r="B881" s="1" t="str">
        <f t="shared" ca="1" si="366"/>
        <v>幻影脚第2段</v>
      </c>
      <c r="C881" t="s">
        <v>168</v>
      </c>
      <c r="D881">
        <f t="shared" si="367"/>
        <v>2</v>
      </c>
      <c r="E881" s="42">
        <f t="shared" ca="1" si="382"/>
        <v>25</v>
      </c>
      <c r="F881" t="str">
        <f t="shared" ca="1" si="383"/>
        <v>第12级，共造成160.7%点伤害</v>
      </c>
      <c r="G881">
        <f t="shared" ca="1" si="384"/>
        <v>2</v>
      </c>
      <c r="H881">
        <f t="shared" si="368"/>
        <v>2</v>
      </c>
      <c r="I881" s="44">
        <f t="shared" ca="1" si="393"/>
        <v>12</v>
      </c>
      <c r="J881">
        <f t="shared" si="369"/>
        <v>2</v>
      </c>
      <c r="K881" s="36">
        <f t="shared" ca="1" si="370"/>
        <v>53.565217391304351</v>
      </c>
      <c r="L881" s="10">
        <f ca="1">AH881*VLOOKUP(C881,技能辅助查询表,技能配置辅助表!$T$1,FALSE)</f>
        <v>0</v>
      </c>
      <c r="M881">
        <f t="shared" ca="1" si="371"/>
        <v>7040</v>
      </c>
      <c r="N881" s="33">
        <f ca="1">CHOOSE(1,W881*U881,X881*'[1]0、经济设定'!$C$18)</f>
        <v>2345</v>
      </c>
      <c r="O881">
        <f t="shared" si="372"/>
        <v>4</v>
      </c>
      <c r="P881">
        <f t="shared" si="373"/>
        <v>3</v>
      </c>
      <c r="Q881">
        <f t="shared" si="374"/>
        <v>1</v>
      </c>
      <c r="R881" s="2">
        <f t="shared" si="375"/>
        <v>8</v>
      </c>
      <c r="S881" s="2">
        <f t="shared" si="376"/>
        <v>50</v>
      </c>
      <c r="T881" s="2">
        <f t="shared" si="377"/>
        <v>47.826086956521742</v>
      </c>
      <c r="U881" s="2">
        <f ca="1">VLOOKUP(E881,金币生产率!$A$2:$B$120,2,0)</f>
        <v>335</v>
      </c>
      <c r="V881" s="2">
        <f t="shared" si="378"/>
        <v>143.47826086956522</v>
      </c>
      <c r="W881" s="45">
        <f t="shared" ca="1" si="390"/>
        <v>7</v>
      </c>
      <c r="X881" s="48">
        <f t="shared" ca="1" si="391"/>
        <v>62</v>
      </c>
      <c r="Y881">
        <f t="shared" si="379"/>
        <v>18</v>
      </c>
      <c r="Z881">
        <f t="shared" ca="1" si="385"/>
        <v>0</v>
      </c>
      <c r="AA881" t="str">
        <f t="shared" ca="1" si="386"/>
        <v>9224200.png</v>
      </c>
      <c r="AB881">
        <f t="shared" si="380"/>
        <v>7</v>
      </c>
      <c r="AC881">
        <f>VLOOKUP(C881,技能辅助查询表,技能配置辅助表!$W$1,FALSE)</f>
        <v>34</v>
      </c>
      <c r="AD881">
        <f t="shared" ca="1" si="387"/>
        <v>6.6734331419137316</v>
      </c>
      <c r="AE881">
        <f>VLOOKUP(C881,技能辅助查询表,技能配置辅助表!$U$1,FALSE)</f>
        <v>4</v>
      </c>
      <c r="AF881">
        <f t="shared" ca="1" si="388"/>
        <v>9224212</v>
      </c>
      <c r="AG881">
        <f t="shared" ca="1" si="392"/>
        <v>24.163265306122447</v>
      </c>
      <c r="AH881">
        <f t="shared" ca="1" si="389"/>
        <v>54.974556684819426</v>
      </c>
      <c r="AI881">
        <f ca="1">VLOOKUP(E881,伤害参考系!$C$4:$E$104,3,FALSE)*$AN$12</f>
        <v>1000.3949623745822</v>
      </c>
      <c r="AJ881">
        <f>VLOOKUP(C881,技能辅助查询表,技能配置辅助表!$L$1,FALSE)</f>
        <v>3</v>
      </c>
      <c r="AK881">
        <f>VLOOKUP(C881,技能辅助查询表,技能配置辅助表!$AE$1,FALSE)</f>
        <v>66000388</v>
      </c>
    </row>
    <row r="882" spans="1:37" x14ac:dyDescent="0.15">
      <c r="A882" s="1">
        <f t="shared" ca="1" si="381"/>
        <v>9224213</v>
      </c>
      <c r="B882" s="1" t="str">
        <f t="shared" ca="1" si="366"/>
        <v>幻影脚第2段</v>
      </c>
      <c r="C882" t="s">
        <v>168</v>
      </c>
      <c r="D882">
        <f t="shared" si="367"/>
        <v>2</v>
      </c>
      <c r="E882" s="42">
        <f t="shared" ca="1" si="382"/>
        <v>27</v>
      </c>
      <c r="F882" t="str">
        <f t="shared" ca="1" si="383"/>
        <v>第13级，共造成162.1%点伤害</v>
      </c>
      <c r="G882">
        <f t="shared" ca="1" si="384"/>
        <v>2</v>
      </c>
      <c r="H882">
        <f t="shared" si="368"/>
        <v>2</v>
      </c>
      <c r="I882" s="44">
        <f t="shared" ca="1" si="393"/>
        <v>13</v>
      </c>
      <c r="J882">
        <f t="shared" si="369"/>
        <v>2</v>
      </c>
      <c r="K882" s="36">
        <f t="shared" ca="1" si="370"/>
        <v>54.04347826086957</v>
      </c>
      <c r="L882" s="10">
        <f ca="1">AH882*VLOOKUP(C882,技能辅助查询表,技能配置辅助表!$T$1,FALSE)</f>
        <v>0</v>
      </c>
      <c r="M882">
        <f t="shared" ca="1" si="371"/>
        <v>6960</v>
      </c>
      <c r="N882" s="33">
        <f ca="1">CHOOSE(1,W882*U882,X882*'[1]0、经济设定'!$C$18)</f>
        <v>3248</v>
      </c>
      <c r="O882">
        <f t="shared" si="372"/>
        <v>4</v>
      </c>
      <c r="P882">
        <f t="shared" si="373"/>
        <v>3</v>
      </c>
      <c r="Q882">
        <f t="shared" si="374"/>
        <v>1</v>
      </c>
      <c r="R882" s="2">
        <f t="shared" si="375"/>
        <v>8</v>
      </c>
      <c r="S882" s="2">
        <f t="shared" si="376"/>
        <v>50</v>
      </c>
      <c r="T882" s="2">
        <f t="shared" si="377"/>
        <v>47.826086956521742</v>
      </c>
      <c r="U882" s="2">
        <f ca="1">VLOOKUP(E882,金币生产率!$A$2:$B$120,2,0)</f>
        <v>406</v>
      </c>
      <c r="V882" s="2">
        <f t="shared" si="378"/>
        <v>143.47826086956522</v>
      </c>
      <c r="W882" s="45">
        <f t="shared" ca="1" si="390"/>
        <v>8</v>
      </c>
      <c r="X882" s="48">
        <f t="shared" ca="1" si="391"/>
        <v>70</v>
      </c>
      <c r="Y882">
        <f t="shared" si="379"/>
        <v>18</v>
      </c>
      <c r="Z882">
        <f t="shared" ca="1" si="385"/>
        <v>0</v>
      </c>
      <c r="AA882" t="str">
        <f t="shared" ca="1" si="386"/>
        <v>9224200.png</v>
      </c>
      <c r="AB882">
        <f t="shared" si="380"/>
        <v>7</v>
      </c>
      <c r="AC882">
        <f>VLOOKUP(C882,技能辅助查询表,技能配置辅助表!$W$1,FALSE)</f>
        <v>34</v>
      </c>
      <c r="AD882">
        <f t="shared" ca="1" si="387"/>
        <v>7.7772152418171148</v>
      </c>
      <c r="AE882">
        <f>VLOOKUP(C882,技能辅助查询表,技能配置辅助表!$U$1,FALSE)</f>
        <v>4</v>
      </c>
      <c r="AF882">
        <f t="shared" ca="1" si="388"/>
        <v>9224213</v>
      </c>
      <c r="AG882">
        <f t="shared" ca="1" si="392"/>
        <v>25.632653061224488</v>
      </c>
      <c r="AH882">
        <f t="shared" ca="1" si="389"/>
        <v>62.587806354721323</v>
      </c>
      <c r="AI882">
        <f ca="1">VLOOKUP(E882,伤害参考系!$C$4:$E$104,3,FALSE)*$AN$12</f>
        <v>1210.5107784280938</v>
      </c>
      <c r="AJ882">
        <f>VLOOKUP(C882,技能辅助查询表,技能配置辅助表!$L$1,FALSE)</f>
        <v>3</v>
      </c>
      <c r="AK882">
        <f>VLOOKUP(C882,技能辅助查询表,技能配置辅助表!$AE$1,FALSE)</f>
        <v>66000388</v>
      </c>
    </row>
    <row r="883" spans="1:37" x14ac:dyDescent="0.15">
      <c r="A883" s="1">
        <f t="shared" ca="1" si="381"/>
        <v>9224214</v>
      </c>
      <c r="B883" s="1" t="str">
        <f t="shared" ca="1" si="366"/>
        <v>幻影脚第2段</v>
      </c>
      <c r="C883" t="s">
        <v>168</v>
      </c>
      <c r="D883">
        <f t="shared" si="367"/>
        <v>2</v>
      </c>
      <c r="E883" s="42">
        <f t="shared" ca="1" si="382"/>
        <v>28</v>
      </c>
      <c r="F883" t="str">
        <f t="shared" ca="1" si="383"/>
        <v>第14级，共造成163.6%点伤害</v>
      </c>
      <c r="G883">
        <f t="shared" ca="1" si="384"/>
        <v>2</v>
      </c>
      <c r="H883">
        <f t="shared" si="368"/>
        <v>2</v>
      </c>
      <c r="I883" s="44">
        <f t="shared" ca="1" si="393"/>
        <v>14</v>
      </c>
      <c r="J883">
        <f t="shared" si="369"/>
        <v>2</v>
      </c>
      <c r="K883" s="36">
        <f t="shared" ca="1" si="370"/>
        <v>54.521739130434788</v>
      </c>
      <c r="L883" s="10">
        <f ca="1">AH883*VLOOKUP(C883,技能辅助查询表,技能配置辅助表!$T$1,FALSE)</f>
        <v>0</v>
      </c>
      <c r="M883">
        <f t="shared" ca="1" si="371"/>
        <v>6880</v>
      </c>
      <c r="N883" s="33">
        <f ca="1">CHOOSE(1,W883*U883,X883*'[1]0、经济设定'!$C$18)</f>
        <v>3544</v>
      </c>
      <c r="O883">
        <f t="shared" si="372"/>
        <v>4</v>
      </c>
      <c r="P883">
        <f t="shared" si="373"/>
        <v>3</v>
      </c>
      <c r="Q883">
        <f t="shared" si="374"/>
        <v>1</v>
      </c>
      <c r="R883" s="2">
        <f t="shared" si="375"/>
        <v>8</v>
      </c>
      <c r="S883" s="2">
        <f t="shared" si="376"/>
        <v>50</v>
      </c>
      <c r="T883" s="2">
        <f t="shared" si="377"/>
        <v>47.826086956521742</v>
      </c>
      <c r="U883" s="2">
        <f ca="1">VLOOKUP(E883,金币生产率!$A$2:$B$120,2,0)</f>
        <v>443</v>
      </c>
      <c r="V883" s="2">
        <f t="shared" si="378"/>
        <v>143.47826086956522</v>
      </c>
      <c r="W883" s="45">
        <f t="shared" ca="1" si="390"/>
        <v>8</v>
      </c>
      <c r="X883" s="48">
        <f t="shared" ca="1" si="391"/>
        <v>78</v>
      </c>
      <c r="Y883">
        <f t="shared" si="379"/>
        <v>18</v>
      </c>
      <c r="Z883">
        <f t="shared" ca="1" si="385"/>
        <v>0</v>
      </c>
      <c r="AA883" t="str">
        <f t="shared" ca="1" si="386"/>
        <v>9224200.png</v>
      </c>
      <c r="AB883">
        <f t="shared" si="380"/>
        <v>7</v>
      </c>
      <c r="AC883">
        <f>VLOOKUP(C883,技能辅助查询表,技能配置辅助表!$W$1,FALSE)</f>
        <v>34</v>
      </c>
      <c r="AD883">
        <f t="shared" ca="1" si="387"/>
        <v>9.0587287752277827</v>
      </c>
      <c r="AE883">
        <f>VLOOKUP(C883,技能辅助查询表,技能配置辅助表!$U$1,FALSE)</f>
        <v>4</v>
      </c>
      <c r="AF883">
        <f t="shared" ca="1" si="388"/>
        <v>9224214</v>
      </c>
      <c r="AG883">
        <f t="shared" ca="1" si="392"/>
        <v>27.102040816326532</v>
      </c>
      <c r="AH883">
        <f t="shared" ca="1" si="389"/>
        <v>71.25539050281769</v>
      </c>
      <c r="AI883">
        <f ca="1">VLOOKUP(E883,伤害参考系!$C$4:$E$104,3,FALSE)*$AN$12</f>
        <v>1321.7693779264216</v>
      </c>
      <c r="AJ883">
        <f>VLOOKUP(C883,技能辅助查询表,技能配置辅助表!$L$1,FALSE)</f>
        <v>3</v>
      </c>
      <c r="AK883">
        <f>VLOOKUP(C883,技能辅助查询表,技能配置辅助表!$AE$1,FALSE)</f>
        <v>66000388</v>
      </c>
    </row>
    <row r="884" spans="1:37" x14ac:dyDescent="0.15">
      <c r="A884" s="1">
        <f t="shared" ca="1" si="381"/>
        <v>9224215</v>
      </c>
      <c r="B884" s="1" t="str">
        <f t="shared" ca="1" si="366"/>
        <v>幻影脚第2段</v>
      </c>
      <c r="C884" t="s">
        <v>168</v>
      </c>
      <c r="D884">
        <f t="shared" si="367"/>
        <v>2</v>
      </c>
      <c r="E884" s="42">
        <f t="shared" ca="1" si="382"/>
        <v>30</v>
      </c>
      <c r="F884" t="str">
        <f t="shared" ca="1" si="383"/>
        <v>第15级，共造成165%点伤害</v>
      </c>
      <c r="G884">
        <f t="shared" ca="1" si="384"/>
        <v>2</v>
      </c>
      <c r="H884">
        <f t="shared" si="368"/>
        <v>2</v>
      </c>
      <c r="I884" s="44">
        <f t="shared" ca="1" si="393"/>
        <v>15</v>
      </c>
      <c r="J884">
        <f t="shared" si="369"/>
        <v>2</v>
      </c>
      <c r="K884" s="36">
        <f t="shared" ca="1" si="370"/>
        <v>55</v>
      </c>
      <c r="L884" s="10">
        <f ca="1">AH884*VLOOKUP(C884,技能辅助查询表,技能配置辅助表!$T$1,FALSE)</f>
        <v>0</v>
      </c>
      <c r="M884">
        <f t="shared" ca="1" si="371"/>
        <v>6800</v>
      </c>
      <c r="N884" s="33">
        <f ca="1">CHOOSE(1,W884*U884,X884*'[1]0、经济设定'!$C$18)</f>
        <v>4698</v>
      </c>
      <c r="O884">
        <f t="shared" si="372"/>
        <v>4</v>
      </c>
      <c r="P884">
        <f t="shared" si="373"/>
        <v>3</v>
      </c>
      <c r="Q884">
        <f t="shared" si="374"/>
        <v>1</v>
      </c>
      <c r="R884" s="2">
        <f t="shared" si="375"/>
        <v>8</v>
      </c>
      <c r="S884" s="2">
        <f t="shared" si="376"/>
        <v>50</v>
      </c>
      <c r="T884" s="2">
        <f t="shared" si="377"/>
        <v>47.826086956521742</v>
      </c>
      <c r="U884" s="2">
        <f ca="1">VLOOKUP(E884,金币生产率!$A$2:$B$120,2,0)</f>
        <v>522</v>
      </c>
      <c r="V884" s="2">
        <f t="shared" si="378"/>
        <v>143.47826086956522</v>
      </c>
      <c r="W884" s="45">
        <f t="shared" ca="1" si="390"/>
        <v>9</v>
      </c>
      <c r="X884" s="48">
        <f t="shared" ca="1" si="391"/>
        <v>87</v>
      </c>
      <c r="Y884">
        <f t="shared" si="379"/>
        <v>18</v>
      </c>
      <c r="Z884">
        <f t="shared" ca="1" si="385"/>
        <v>0</v>
      </c>
      <c r="AA884" t="str">
        <f t="shared" ca="1" si="386"/>
        <v>9224200.png</v>
      </c>
      <c r="AB884">
        <f t="shared" si="380"/>
        <v>7</v>
      </c>
      <c r="AC884">
        <f>VLOOKUP(C884,技能辅助查询表,技能配置辅助表!$W$1,FALSE)</f>
        <v>34</v>
      </c>
      <c r="AD884">
        <f t="shared" ca="1" si="387"/>
        <v>10.546031667914246</v>
      </c>
      <c r="AE884">
        <f>VLOOKUP(C884,技能辅助查询表,技能配置辅助表!$U$1,FALSE)</f>
        <v>4</v>
      </c>
      <c r="AF884">
        <f t="shared" ca="1" si="388"/>
        <v>9224215</v>
      </c>
      <c r="AG884">
        <f t="shared" ca="1" si="392"/>
        <v>28.571428571428573</v>
      </c>
      <c r="AH884">
        <f t="shared" ca="1" si="389"/>
        <v>81.123320522417259</v>
      </c>
      <c r="AI884">
        <f ca="1">VLOOKUP(E884,伤害参考系!$C$4:$E$104,3,FALSE)*$AN$12</f>
        <v>1576.1465593645489</v>
      </c>
      <c r="AJ884">
        <f>VLOOKUP(C884,技能辅助查询表,技能配置辅助表!$L$1,FALSE)</f>
        <v>3</v>
      </c>
      <c r="AK884">
        <f>VLOOKUP(C884,技能辅助查询表,技能配置辅助表!$AE$1,FALSE)</f>
        <v>66000388</v>
      </c>
    </row>
    <row r="885" spans="1:37" x14ac:dyDescent="0.15">
      <c r="A885" s="1">
        <f t="shared" ca="1" si="381"/>
        <v>9224216</v>
      </c>
      <c r="B885" s="1" t="str">
        <f t="shared" ca="1" si="366"/>
        <v>幻影脚第2段</v>
      </c>
      <c r="C885" t="s">
        <v>168</v>
      </c>
      <c r="D885">
        <f t="shared" si="367"/>
        <v>2</v>
      </c>
      <c r="E885" s="42">
        <f t="shared" ca="1" si="382"/>
        <v>31</v>
      </c>
      <c r="F885" t="str">
        <f t="shared" ca="1" si="383"/>
        <v>第16级，共造成166.4%点伤害</v>
      </c>
      <c r="G885">
        <f t="shared" ca="1" si="384"/>
        <v>2</v>
      </c>
      <c r="H885">
        <f t="shared" si="368"/>
        <v>2</v>
      </c>
      <c r="I885" s="44">
        <f t="shared" ca="1" si="393"/>
        <v>16</v>
      </c>
      <c r="J885">
        <f t="shared" si="369"/>
        <v>2</v>
      </c>
      <c r="K885" s="36">
        <f t="shared" ca="1" si="370"/>
        <v>55.478260869565219</v>
      </c>
      <c r="L885" s="10">
        <f ca="1">AH885*VLOOKUP(C885,技能辅助查询表,技能配置辅助表!$T$1,FALSE)</f>
        <v>0</v>
      </c>
      <c r="M885">
        <f t="shared" ca="1" si="371"/>
        <v>6720</v>
      </c>
      <c r="N885" s="33">
        <f ca="1">CHOOSE(1,W885*U885,X885*'[1]0、经济设定'!$C$18)</f>
        <v>5630</v>
      </c>
      <c r="O885">
        <f t="shared" si="372"/>
        <v>4</v>
      </c>
      <c r="P885">
        <f t="shared" si="373"/>
        <v>3</v>
      </c>
      <c r="Q885">
        <f t="shared" si="374"/>
        <v>1</v>
      </c>
      <c r="R885" s="2">
        <f t="shared" si="375"/>
        <v>8</v>
      </c>
      <c r="S885" s="2">
        <f t="shared" si="376"/>
        <v>50</v>
      </c>
      <c r="T885" s="2">
        <f t="shared" si="377"/>
        <v>47.826086956521742</v>
      </c>
      <c r="U885" s="2">
        <f ca="1">VLOOKUP(E885,金币生产率!$A$2:$B$120,2,0)</f>
        <v>563</v>
      </c>
      <c r="V885" s="2">
        <f t="shared" si="378"/>
        <v>143.47826086956522</v>
      </c>
      <c r="W885" s="45">
        <f t="shared" ca="1" si="390"/>
        <v>10</v>
      </c>
      <c r="X885" s="48">
        <f t="shared" ca="1" si="391"/>
        <v>97</v>
      </c>
      <c r="Y885">
        <f t="shared" si="379"/>
        <v>18</v>
      </c>
      <c r="Z885">
        <f t="shared" ca="1" si="385"/>
        <v>0</v>
      </c>
      <c r="AA885" t="str">
        <f t="shared" ca="1" si="386"/>
        <v>9224200.png</v>
      </c>
      <c r="AB885">
        <f t="shared" si="380"/>
        <v>7</v>
      </c>
      <c r="AC885">
        <f>VLOOKUP(C885,技能辅助查询表,技能配置辅助表!$W$1,FALSE)</f>
        <v>34</v>
      </c>
      <c r="AD885">
        <f t="shared" ca="1" si="387"/>
        <v>12.271544511293399</v>
      </c>
      <c r="AE885">
        <f>VLOOKUP(C885,技能辅助查询表,技能配置辅助表!$U$1,FALSE)</f>
        <v>4</v>
      </c>
      <c r="AF885">
        <f t="shared" ca="1" si="388"/>
        <v>9224216</v>
      </c>
      <c r="AG885">
        <f t="shared" ca="1" si="392"/>
        <v>30.040816326530614</v>
      </c>
      <c r="AH885">
        <f t="shared" ca="1" si="389"/>
        <v>92.357828455414989</v>
      </c>
      <c r="AI885">
        <f ca="1">VLOOKUP(E885,伤害参考系!$C$4:$E$104,3,FALSE)*$AN$12</f>
        <v>1721.3320384615388</v>
      </c>
      <c r="AJ885">
        <f>VLOOKUP(C885,技能辅助查询表,技能配置辅助表!$L$1,FALSE)</f>
        <v>3</v>
      </c>
      <c r="AK885">
        <f>VLOOKUP(C885,技能辅助查询表,技能配置辅助表!$AE$1,FALSE)</f>
        <v>66000388</v>
      </c>
    </row>
    <row r="886" spans="1:37" x14ac:dyDescent="0.15">
      <c r="A886" s="1">
        <f t="shared" ca="1" si="381"/>
        <v>9224217</v>
      </c>
      <c r="B886" s="1" t="str">
        <f t="shared" ca="1" si="366"/>
        <v>幻影脚第2段</v>
      </c>
      <c r="C886" t="s">
        <v>168</v>
      </c>
      <c r="D886">
        <f t="shared" si="367"/>
        <v>2</v>
      </c>
      <c r="E886" s="42">
        <f t="shared" ca="1" si="382"/>
        <v>32</v>
      </c>
      <c r="F886" t="str">
        <f t="shared" ca="1" si="383"/>
        <v>第17级，共造成167.9%点伤害</v>
      </c>
      <c r="G886">
        <f t="shared" ca="1" si="384"/>
        <v>2</v>
      </c>
      <c r="H886">
        <f t="shared" si="368"/>
        <v>2</v>
      </c>
      <c r="I886" s="44">
        <f t="shared" ca="1" si="393"/>
        <v>17</v>
      </c>
      <c r="J886">
        <f t="shared" si="369"/>
        <v>2</v>
      </c>
      <c r="K886" s="36">
        <f t="shared" ca="1" si="370"/>
        <v>55.956521739130437</v>
      </c>
      <c r="L886" s="10">
        <f ca="1">AH886*VLOOKUP(C886,技能辅助查询表,技能配置辅助表!$T$1,FALSE)</f>
        <v>0</v>
      </c>
      <c r="M886">
        <f t="shared" ca="1" si="371"/>
        <v>6640</v>
      </c>
      <c r="N886" s="33">
        <f ca="1">CHOOSE(1,W886*U886,X886*'[1]0、经济设定'!$C$18)</f>
        <v>6060</v>
      </c>
      <c r="O886">
        <f t="shared" si="372"/>
        <v>4</v>
      </c>
      <c r="P886">
        <f t="shared" si="373"/>
        <v>3</v>
      </c>
      <c r="Q886">
        <f t="shared" si="374"/>
        <v>1</v>
      </c>
      <c r="R886" s="2">
        <f t="shared" si="375"/>
        <v>8</v>
      </c>
      <c r="S886" s="2">
        <f t="shared" si="376"/>
        <v>50</v>
      </c>
      <c r="T886" s="2">
        <f t="shared" si="377"/>
        <v>47.826086956521742</v>
      </c>
      <c r="U886" s="2">
        <f ca="1">VLOOKUP(E886,金币生产率!$A$2:$B$120,2,0)</f>
        <v>606</v>
      </c>
      <c r="V886" s="2">
        <f t="shared" si="378"/>
        <v>143.47826086956522</v>
      </c>
      <c r="W886" s="45">
        <f t="shared" ca="1" si="390"/>
        <v>10</v>
      </c>
      <c r="X886" s="48">
        <f t="shared" ca="1" si="391"/>
        <v>107</v>
      </c>
      <c r="Y886">
        <f t="shared" si="379"/>
        <v>18</v>
      </c>
      <c r="Z886">
        <f t="shared" ca="1" si="385"/>
        <v>0</v>
      </c>
      <c r="AA886" t="str">
        <f t="shared" ca="1" si="386"/>
        <v>9224200.png</v>
      </c>
      <c r="AB886">
        <f t="shared" si="380"/>
        <v>7</v>
      </c>
      <c r="AC886">
        <f>VLOOKUP(C886,技能辅助查询表,技能配置辅助表!$W$1,FALSE)</f>
        <v>34</v>
      </c>
      <c r="AD886">
        <f t="shared" ca="1" si="387"/>
        <v>14.27272079406703</v>
      </c>
      <c r="AE886">
        <f>VLOOKUP(C886,技能辅助查询表,技能配置辅助表!$U$1,FALSE)</f>
        <v>4</v>
      </c>
      <c r="AF886">
        <f t="shared" ca="1" si="388"/>
        <v>9224217</v>
      </c>
      <c r="AG886">
        <f t="shared" ca="1" si="392"/>
        <v>31.510204081632654</v>
      </c>
      <c r="AH886">
        <f t="shared" ca="1" si="389"/>
        <v>105.14816728492683</v>
      </c>
      <c r="AI886">
        <f ca="1">VLOOKUP(E886,伤害参考系!$C$4:$E$104,3,FALSE)*$AN$12</f>
        <v>1873.3990785953181</v>
      </c>
      <c r="AJ886">
        <f>VLOOKUP(C886,技能辅助查询表,技能配置辅助表!$L$1,FALSE)</f>
        <v>3</v>
      </c>
      <c r="AK886">
        <f>VLOOKUP(C886,技能辅助查询表,技能配置辅助表!$AE$1,FALSE)</f>
        <v>66000388</v>
      </c>
    </row>
    <row r="887" spans="1:37" x14ac:dyDescent="0.15">
      <c r="A887" s="1">
        <f t="shared" ca="1" si="381"/>
        <v>9224218</v>
      </c>
      <c r="B887" s="1" t="str">
        <f t="shared" ca="1" si="366"/>
        <v>幻影脚第2段</v>
      </c>
      <c r="C887" t="s">
        <v>168</v>
      </c>
      <c r="D887">
        <f t="shared" si="367"/>
        <v>2</v>
      </c>
      <c r="E887" s="42">
        <f t="shared" ca="1" si="382"/>
        <v>34</v>
      </c>
      <c r="F887" t="str">
        <f t="shared" ca="1" si="383"/>
        <v>第18级，共造成169.3%点伤害</v>
      </c>
      <c r="G887">
        <f t="shared" ca="1" si="384"/>
        <v>2</v>
      </c>
      <c r="H887">
        <f t="shared" si="368"/>
        <v>2</v>
      </c>
      <c r="I887" s="44">
        <f t="shared" ca="1" si="393"/>
        <v>18</v>
      </c>
      <c r="J887">
        <f t="shared" si="369"/>
        <v>2</v>
      </c>
      <c r="K887" s="36">
        <f t="shared" ca="1" si="370"/>
        <v>56.434782608695656</v>
      </c>
      <c r="L887" s="10">
        <f ca="1">AH887*VLOOKUP(C887,技能辅助查询表,技能配置辅助表!$T$1,FALSE)</f>
        <v>0</v>
      </c>
      <c r="M887">
        <f t="shared" ca="1" si="371"/>
        <v>6560</v>
      </c>
      <c r="N887" s="33">
        <f ca="1">CHOOSE(1,W887*U887,X887*'[1]0、经济设定'!$C$18)</f>
        <v>7656</v>
      </c>
      <c r="O887">
        <f t="shared" si="372"/>
        <v>4</v>
      </c>
      <c r="P887">
        <f t="shared" si="373"/>
        <v>3</v>
      </c>
      <c r="Q887">
        <f t="shared" si="374"/>
        <v>1</v>
      </c>
      <c r="R887" s="2">
        <f t="shared" si="375"/>
        <v>8</v>
      </c>
      <c r="S887" s="2">
        <f t="shared" si="376"/>
        <v>50</v>
      </c>
      <c r="T887" s="2">
        <f t="shared" si="377"/>
        <v>47.826086956521742</v>
      </c>
      <c r="U887" s="2">
        <f ca="1">VLOOKUP(E887,金币生产率!$A$2:$B$120,2,0)</f>
        <v>696</v>
      </c>
      <c r="V887" s="2">
        <f t="shared" si="378"/>
        <v>143.47826086956522</v>
      </c>
      <c r="W887" s="45">
        <f t="shared" ca="1" si="390"/>
        <v>11</v>
      </c>
      <c r="X887" s="48">
        <f t="shared" ca="1" si="391"/>
        <v>118</v>
      </c>
      <c r="Y887">
        <f t="shared" si="379"/>
        <v>18</v>
      </c>
      <c r="Z887">
        <f t="shared" ca="1" si="385"/>
        <v>5</v>
      </c>
      <c r="AA887" t="str">
        <f t="shared" ca="1" si="386"/>
        <v>9224200.png</v>
      </c>
      <c r="AB887">
        <f t="shared" si="380"/>
        <v>7</v>
      </c>
      <c r="AC887">
        <f>VLOOKUP(C887,技能辅助查询表,技能配置辅助表!$W$1,FALSE)</f>
        <v>34</v>
      </c>
      <c r="AD887">
        <f t="shared" ca="1" si="387"/>
        <v>16.592819100533298</v>
      </c>
      <c r="AE887">
        <f>VLOOKUP(C887,技能辅助查询表,技能配置辅助表!$U$1,FALSE)</f>
        <v>4</v>
      </c>
      <c r="AF887">
        <f t="shared" ca="1" si="388"/>
        <v>9224218</v>
      </c>
      <c r="AG887">
        <f t="shared" ca="1" si="392"/>
        <v>32.979591836734699</v>
      </c>
      <c r="AH887">
        <f t="shared" ca="1" si="389"/>
        <v>119.70979903145096</v>
      </c>
      <c r="AI887">
        <f ca="1">VLOOKUP(E887,伤害参考系!$C$4:$E$104,3,FALSE)*$AN$12</f>
        <v>2196.2761028428095</v>
      </c>
      <c r="AJ887">
        <f>VLOOKUP(C887,技能辅助查询表,技能配置辅助表!$L$1,FALSE)</f>
        <v>3</v>
      </c>
      <c r="AK887">
        <f>VLOOKUP(C887,技能辅助查询表,技能配置辅助表!$AE$1,FALSE)</f>
        <v>66000388</v>
      </c>
    </row>
    <row r="888" spans="1:37" x14ac:dyDescent="0.15">
      <c r="A888" s="1">
        <f t="shared" ca="1" si="381"/>
        <v>9224219</v>
      </c>
      <c r="B888" s="1" t="str">
        <f t="shared" ca="1" si="366"/>
        <v>幻影脚第2段</v>
      </c>
      <c r="C888" t="s">
        <v>168</v>
      </c>
      <c r="D888">
        <f t="shared" si="367"/>
        <v>2</v>
      </c>
      <c r="E888" s="42">
        <f t="shared" ca="1" si="382"/>
        <v>35</v>
      </c>
      <c r="F888" t="str">
        <f t="shared" ca="1" si="383"/>
        <v>第19级，共造成170.7%点伤害</v>
      </c>
      <c r="G888">
        <f t="shared" ca="1" si="384"/>
        <v>2</v>
      </c>
      <c r="H888">
        <f t="shared" si="368"/>
        <v>2</v>
      </c>
      <c r="I888" s="44">
        <f t="shared" ca="1" si="393"/>
        <v>19</v>
      </c>
      <c r="J888">
        <f t="shared" si="369"/>
        <v>2</v>
      </c>
      <c r="K888" s="36">
        <f t="shared" ca="1" si="370"/>
        <v>56.913043478260875</v>
      </c>
      <c r="L888" s="10">
        <f ca="1">AH888*VLOOKUP(C888,技能辅助查询表,技能配置辅助表!$T$1,FALSE)</f>
        <v>0</v>
      </c>
      <c r="M888">
        <f t="shared" ca="1" si="371"/>
        <v>6480</v>
      </c>
      <c r="N888" s="33">
        <f ca="1">CHOOSE(1,W888*U888,X888*'[1]0、经济设定'!$C$18)</f>
        <v>8916</v>
      </c>
      <c r="O888">
        <f t="shared" si="372"/>
        <v>4</v>
      </c>
      <c r="P888">
        <f t="shared" si="373"/>
        <v>3</v>
      </c>
      <c r="Q888">
        <f t="shared" si="374"/>
        <v>1</v>
      </c>
      <c r="R888" s="2">
        <f t="shared" si="375"/>
        <v>8</v>
      </c>
      <c r="S888" s="2">
        <f t="shared" si="376"/>
        <v>50</v>
      </c>
      <c r="T888" s="2">
        <f t="shared" si="377"/>
        <v>47.826086956521742</v>
      </c>
      <c r="U888" s="2">
        <f ca="1">VLOOKUP(E888,金币生产率!$A$2:$B$120,2,0)</f>
        <v>743</v>
      </c>
      <c r="V888" s="2">
        <f t="shared" si="378"/>
        <v>143.47826086956522</v>
      </c>
      <c r="W888" s="45">
        <f t="shared" ca="1" si="390"/>
        <v>12</v>
      </c>
      <c r="X888" s="48">
        <f t="shared" ca="1" si="391"/>
        <v>130</v>
      </c>
      <c r="Y888">
        <f t="shared" si="379"/>
        <v>18</v>
      </c>
      <c r="Z888">
        <f t="shared" ca="1" si="385"/>
        <v>5</v>
      </c>
      <c r="AA888" t="str">
        <f t="shared" ca="1" si="386"/>
        <v>9224200.png</v>
      </c>
      <c r="AB888">
        <f t="shared" si="380"/>
        <v>7</v>
      </c>
      <c r="AC888">
        <f>VLOOKUP(C888,技能辅助查询表,技能配置辅助表!$W$1,FALSE)</f>
        <v>34</v>
      </c>
      <c r="AD888">
        <f t="shared" ca="1" si="387"/>
        <v>19.281792663550021</v>
      </c>
      <c r="AE888">
        <f>VLOOKUP(C888,技能辅助查询表,技能配置辅助表!$U$1,FALSE)</f>
        <v>4</v>
      </c>
      <c r="AF888">
        <f t="shared" ca="1" si="388"/>
        <v>9224219</v>
      </c>
      <c r="AG888">
        <f t="shared" ca="1" si="392"/>
        <v>34.448979591836732</v>
      </c>
      <c r="AH888">
        <f t="shared" ca="1" si="389"/>
        <v>136.28802435822078</v>
      </c>
      <c r="AI888">
        <f ca="1">VLOOKUP(E888,伤害参考系!$C$4:$E$104,3,FALSE)*$AN$12</f>
        <v>2367.0860869565217</v>
      </c>
      <c r="AJ888">
        <f>VLOOKUP(C888,技能辅助查询表,技能配置辅助表!$L$1,FALSE)</f>
        <v>3</v>
      </c>
      <c r="AK888">
        <f>VLOOKUP(C888,技能辅助查询表,技能配置辅助表!$AE$1,FALSE)</f>
        <v>66000388</v>
      </c>
    </row>
    <row r="889" spans="1:37" x14ac:dyDescent="0.15">
      <c r="A889" s="1">
        <f t="shared" ca="1" si="381"/>
        <v>9224220</v>
      </c>
      <c r="B889" s="1" t="str">
        <f t="shared" ca="1" si="366"/>
        <v>幻影脚第2段</v>
      </c>
      <c r="C889" t="s">
        <v>168</v>
      </c>
      <c r="D889">
        <f t="shared" si="367"/>
        <v>2</v>
      </c>
      <c r="E889" s="42">
        <f t="shared" ca="1" si="382"/>
        <v>37</v>
      </c>
      <c r="F889" t="str">
        <f t="shared" ca="1" si="383"/>
        <v>第20级，共造成172.2%点伤害</v>
      </c>
      <c r="G889">
        <f t="shared" ca="1" si="384"/>
        <v>2</v>
      </c>
      <c r="H889">
        <f t="shared" si="368"/>
        <v>2</v>
      </c>
      <c r="I889" s="44">
        <f t="shared" ca="1" si="393"/>
        <v>20</v>
      </c>
      <c r="J889">
        <f t="shared" si="369"/>
        <v>2</v>
      </c>
      <c r="K889" s="36">
        <f t="shared" ca="1" si="370"/>
        <v>57.391304347826093</v>
      </c>
      <c r="L889" s="10">
        <f ca="1">AH889*VLOOKUP(C889,技能辅助查询表,技能配置辅助表!$T$1,FALSE)</f>
        <v>0</v>
      </c>
      <c r="M889">
        <f t="shared" ca="1" si="371"/>
        <v>6400</v>
      </c>
      <c r="N889" s="33">
        <f ca="1">CHOOSE(1,W889*U889,X889*'[1]0、经济设定'!$C$18)</f>
        <v>10933</v>
      </c>
      <c r="O889">
        <f t="shared" si="372"/>
        <v>4</v>
      </c>
      <c r="P889">
        <f t="shared" si="373"/>
        <v>3</v>
      </c>
      <c r="Q889">
        <f t="shared" si="374"/>
        <v>1</v>
      </c>
      <c r="R889" s="2">
        <f t="shared" si="375"/>
        <v>8</v>
      </c>
      <c r="S889" s="2">
        <f t="shared" si="376"/>
        <v>50</v>
      </c>
      <c r="T889" s="2">
        <f t="shared" si="377"/>
        <v>47.826086956521742</v>
      </c>
      <c r="U889" s="2">
        <f ca="1">VLOOKUP(E889,金币生产率!$A$2:$B$120,2,0)</f>
        <v>841</v>
      </c>
      <c r="V889" s="2">
        <f t="shared" si="378"/>
        <v>143.47826086956522</v>
      </c>
      <c r="W889" s="45">
        <f t="shared" ca="1" si="390"/>
        <v>13</v>
      </c>
      <c r="X889" s="48">
        <f t="shared" ca="1" si="391"/>
        <v>143</v>
      </c>
      <c r="Y889">
        <f t="shared" si="379"/>
        <v>18</v>
      </c>
      <c r="Z889">
        <f t="shared" ca="1" si="385"/>
        <v>6</v>
      </c>
      <c r="AA889" t="str">
        <f t="shared" ca="1" si="386"/>
        <v>9224200.png</v>
      </c>
      <c r="AB889">
        <f t="shared" si="380"/>
        <v>7</v>
      </c>
      <c r="AC889">
        <f>VLOOKUP(C889,技能辅助查询表,技能配置辅助表!$W$1,FALSE)</f>
        <v>34</v>
      </c>
      <c r="AD889">
        <f t="shared" ca="1" si="387"/>
        <v>22.397313966611812</v>
      </c>
      <c r="AE889">
        <f>VLOOKUP(C889,技能辅助查询表,技能配置辅助表!$U$1,FALSE)</f>
        <v>4</v>
      </c>
      <c r="AF889">
        <f t="shared" ca="1" si="388"/>
        <v>9224220</v>
      </c>
      <c r="AG889">
        <f t="shared" ca="1" si="392"/>
        <v>35.91836734693878</v>
      </c>
      <c r="AH889">
        <f t="shared" ca="1" si="389"/>
        <v>155.16211482893718</v>
      </c>
      <c r="AI889">
        <f ca="1">VLOOKUP(E889,伤害参考系!$C$4:$E$104,3,FALSE)*$AN$12</f>
        <v>2727.4489991638798</v>
      </c>
      <c r="AJ889">
        <f>VLOOKUP(C889,技能辅助查询表,技能配置辅助表!$L$1,FALSE)</f>
        <v>3</v>
      </c>
      <c r="AK889">
        <f>VLOOKUP(C889,技能辅助查询表,技能配置辅助表!$AE$1,FALSE)</f>
        <v>66000388</v>
      </c>
    </row>
    <row r="890" spans="1:37" x14ac:dyDescent="0.15">
      <c r="A890" s="1">
        <f t="shared" ca="1" si="381"/>
        <v>9224221</v>
      </c>
      <c r="B890" s="1" t="str">
        <f t="shared" ca="1" si="366"/>
        <v>幻影脚第2段</v>
      </c>
      <c r="C890" t="s">
        <v>168</v>
      </c>
      <c r="D890">
        <f t="shared" si="367"/>
        <v>2</v>
      </c>
      <c r="E890" s="42">
        <f t="shared" ca="1" si="382"/>
        <v>38</v>
      </c>
      <c r="F890" t="str">
        <f t="shared" ca="1" si="383"/>
        <v>第21级，共造成173.6%点伤害</v>
      </c>
      <c r="G890">
        <f t="shared" ca="1" si="384"/>
        <v>2</v>
      </c>
      <c r="H890">
        <f t="shared" si="368"/>
        <v>2</v>
      </c>
      <c r="I890" s="44">
        <f t="shared" ca="1" si="393"/>
        <v>21</v>
      </c>
      <c r="J890">
        <f t="shared" si="369"/>
        <v>2</v>
      </c>
      <c r="K890" s="36">
        <f t="shared" ca="1" si="370"/>
        <v>57.869565217391312</v>
      </c>
      <c r="L890" s="10">
        <f ca="1">AH890*VLOOKUP(C890,技能辅助查询表,技能配置辅助表!$T$1,FALSE)</f>
        <v>0</v>
      </c>
      <c r="M890">
        <f t="shared" ca="1" si="371"/>
        <v>6320</v>
      </c>
      <c r="N890" s="33">
        <f ca="1">CHOOSE(1,W890*U890,X890*'[1]0、经济设定'!$C$18)</f>
        <v>11596</v>
      </c>
      <c r="O890">
        <f t="shared" si="372"/>
        <v>4</v>
      </c>
      <c r="P890">
        <f t="shared" si="373"/>
        <v>3</v>
      </c>
      <c r="Q890">
        <f t="shared" si="374"/>
        <v>1</v>
      </c>
      <c r="R890" s="2">
        <f t="shared" si="375"/>
        <v>8</v>
      </c>
      <c r="S890" s="2">
        <f t="shared" si="376"/>
        <v>50</v>
      </c>
      <c r="T890" s="2">
        <f t="shared" si="377"/>
        <v>47.826086956521742</v>
      </c>
      <c r="U890" s="2">
        <f ca="1">VLOOKUP(E890,金币生产率!$A$2:$B$120,2,0)</f>
        <v>892</v>
      </c>
      <c r="V890" s="2">
        <f t="shared" si="378"/>
        <v>143.47826086956522</v>
      </c>
      <c r="W890" s="45">
        <f t="shared" ca="1" si="390"/>
        <v>13</v>
      </c>
      <c r="X890" s="48">
        <f t="shared" ca="1" si="391"/>
        <v>156</v>
      </c>
      <c r="Y890">
        <f t="shared" si="379"/>
        <v>18</v>
      </c>
      <c r="Z890">
        <f t="shared" ca="1" si="385"/>
        <v>6</v>
      </c>
      <c r="AA890" t="str">
        <f t="shared" ca="1" si="386"/>
        <v>9224200.png</v>
      </c>
      <c r="AB890">
        <f t="shared" si="380"/>
        <v>7</v>
      </c>
      <c r="AC890">
        <f>VLOOKUP(C890,技能辅助查询表,技能配置辅助表!$W$1,FALSE)</f>
        <v>34</v>
      </c>
      <c r="AD890">
        <f t="shared" ca="1" si="387"/>
        <v>26.005954739705118</v>
      </c>
      <c r="AE890">
        <f>VLOOKUP(C890,技能辅助查询表,技能配置辅助表!$U$1,FALSE)</f>
        <v>4</v>
      </c>
      <c r="AF890">
        <f t="shared" ca="1" si="388"/>
        <v>9224221</v>
      </c>
      <c r="AG890">
        <f t="shared" ca="1" si="392"/>
        <v>37.387755102040813</v>
      </c>
      <c r="AH890">
        <f t="shared" ca="1" si="389"/>
        <v>176.65001742859343</v>
      </c>
      <c r="AI890">
        <f ca="1">VLOOKUP(E890,伤害参考系!$C$4:$E$104,3,FALSE)*$AN$12</f>
        <v>2917.001927257525</v>
      </c>
      <c r="AJ890">
        <f>VLOOKUP(C890,技能辅助查询表,技能配置辅助表!$L$1,FALSE)</f>
        <v>3</v>
      </c>
      <c r="AK890">
        <f>VLOOKUP(C890,技能辅助查询表,技能配置辅助表!$AE$1,FALSE)</f>
        <v>66000388</v>
      </c>
    </row>
    <row r="891" spans="1:37" x14ac:dyDescent="0.15">
      <c r="A891" s="1">
        <f t="shared" ca="1" si="381"/>
        <v>9224222</v>
      </c>
      <c r="B891" s="1" t="str">
        <f t="shared" ca="1" si="366"/>
        <v>幻影脚第2段</v>
      </c>
      <c r="C891" t="s">
        <v>168</v>
      </c>
      <c r="D891">
        <f t="shared" si="367"/>
        <v>2</v>
      </c>
      <c r="E891" s="42">
        <f t="shared" ca="1" si="382"/>
        <v>40</v>
      </c>
      <c r="F891" t="str">
        <f t="shared" ca="1" si="383"/>
        <v>第22级，共造成175%点伤害</v>
      </c>
      <c r="G891">
        <f t="shared" ca="1" si="384"/>
        <v>2</v>
      </c>
      <c r="H891">
        <f t="shared" si="368"/>
        <v>2</v>
      </c>
      <c r="I891" s="44">
        <f t="shared" ca="1" si="393"/>
        <v>22</v>
      </c>
      <c r="J891">
        <f t="shared" si="369"/>
        <v>2</v>
      </c>
      <c r="K891" s="36">
        <f t="shared" ca="1" si="370"/>
        <v>58.347826086956523</v>
      </c>
      <c r="L891" s="10">
        <f ca="1">AH891*VLOOKUP(C891,技能辅助查询表,技能配置辅助表!$T$1,FALSE)</f>
        <v>0</v>
      </c>
      <c r="M891">
        <f t="shared" ca="1" si="371"/>
        <v>6240</v>
      </c>
      <c r="N891" s="33">
        <f ca="1">CHOOSE(1,W891*U891,X891*'[1]0、经济设定'!$C$18)</f>
        <v>13972</v>
      </c>
      <c r="O891">
        <f t="shared" si="372"/>
        <v>4</v>
      </c>
      <c r="P891">
        <f t="shared" si="373"/>
        <v>3</v>
      </c>
      <c r="Q891">
        <f t="shared" si="374"/>
        <v>1</v>
      </c>
      <c r="R891" s="2">
        <f t="shared" si="375"/>
        <v>8</v>
      </c>
      <c r="S891" s="2">
        <f t="shared" si="376"/>
        <v>50</v>
      </c>
      <c r="T891" s="2">
        <f t="shared" si="377"/>
        <v>47.826086956521742</v>
      </c>
      <c r="U891" s="2">
        <f ca="1">VLOOKUP(E891,金币生产率!$A$2:$B$120,2,0)</f>
        <v>998</v>
      </c>
      <c r="V891" s="2">
        <f t="shared" si="378"/>
        <v>143.47826086956522</v>
      </c>
      <c r="W891" s="45">
        <f t="shared" ca="1" si="390"/>
        <v>14</v>
      </c>
      <c r="X891" s="48">
        <f t="shared" ca="1" si="391"/>
        <v>170</v>
      </c>
      <c r="Y891">
        <f t="shared" si="379"/>
        <v>18</v>
      </c>
      <c r="Z891">
        <f t="shared" ca="1" si="385"/>
        <v>6</v>
      </c>
      <c r="AA891" t="str">
        <f t="shared" ca="1" si="386"/>
        <v>9224200.png</v>
      </c>
      <c r="AB891">
        <f t="shared" si="380"/>
        <v>7</v>
      </c>
      <c r="AC891">
        <f>VLOOKUP(C891,技能辅助查询表,技能配置辅助表!$W$1,FALSE)</f>
        <v>34</v>
      </c>
      <c r="AD891">
        <f t="shared" ca="1" si="387"/>
        <v>30.18454473848815</v>
      </c>
      <c r="AE891">
        <f>VLOOKUP(C891,技能辅助查询表,技能配置辅助表!$U$1,FALSE)</f>
        <v>4</v>
      </c>
      <c r="AF891">
        <f t="shared" ca="1" si="388"/>
        <v>9224222</v>
      </c>
      <c r="AG891">
        <f t="shared" ca="1" si="392"/>
        <v>38.857142857142861</v>
      </c>
      <c r="AH891">
        <f t="shared" ca="1" si="389"/>
        <v>201.11371059826985</v>
      </c>
      <c r="AI891">
        <f ca="1">VLOOKUP(E891,伤害参考系!$C$4:$E$104,3,FALSE)*$AN$12</f>
        <v>3344.7142474916404</v>
      </c>
      <c r="AJ891">
        <f>VLOOKUP(C891,技能辅助查询表,技能配置辅助表!$L$1,FALSE)</f>
        <v>3</v>
      </c>
      <c r="AK891">
        <f>VLOOKUP(C891,技能辅助查询表,技能配置辅助表!$AE$1,FALSE)</f>
        <v>66000388</v>
      </c>
    </row>
    <row r="892" spans="1:37" x14ac:dyDescent="0.15">
      <c r="A892" s="1">
        <f t="shared" ca="1" si="381"/>
        <v>9224223</v>
      </c>
      <c r="B892" s="1" t="str">
        <f t="shared" ca="1" si="366"/>
        <v>幻影脚第2段</v>
      </c>
      <c r="C892" t="s">
        <v>168</v>
      </c>
      <c r="D892">
        <f t="shared" si="367"/>
        <v>2</v>
      </c>
      <c r="E892" s="42">
        <f t="shared" ca="1" si="382"/>
        <v>41</v>
      </c>
      <c r="F892" t="str">
        <f t="shared" ca="1" si="383"/>
        <v>第23级，共造成176.5%点伤害</v>
      </c>
      <c r="G892">
        <f t="shared" ca="1" si="384"/>
        <v>2</v>
      </c>
      <c r="H892">
        <f t="shared" si="368"/>
        <v>2</v>
      </c>
      <c r="I892" s="44">
        <f t="shared" ca="1" si="393"/>
        <v>23</v>
      </c>
      <c r="J892">
        <f t="shared" si="369"/>
        <v>2</v>
      </c>
      <c r="K892" s="36">
        <f t="shared" ca="1" si="370"/>
        <v>58.826086956521742</v>
      </c>
      <c r="L892" s="10">
        <f ca="1">AH892*VLOOKUP(C892,技能辅助查询表,技能配置辅助表!$T$1,FALSE)</f>
        <v>0</v>
      </c>
      <c r="M892">
        <f t="shared" ca="1" si="371"/>
        <v>6160</v>
      </c>
      <c r="N892" s="33">
        <f ca="1">CHOOSE(1,W892*U892,X892*'[1]0、经济设定'!$C$18)</f>
        <v>15795</v>
      </c>
      <c r="O892">
        <f t="shared" si="372"/>
        <v>4</v>
      </c>
      <c r="P892">
        <f t="shared" si="373"/>
        <v>3</v>
      </c>
      <c r="Q892">
        <f t="shared" si="374"/>
        <v>1</v>
      </c>
      <c r="R892" s="2">
        <f t="shared" si="375"/>
        <v>8</v>
      </c>
      <c r="S892" s="2">
        <f t="shared" si="376"/>
        <v>50</v>
      </c>
      <c r="T892" s="2">
        <f t="shared" si="377"/>
        <v>47.826086956521742</v>
      </c>
      <c r="U892" s="2">
        <f ca="1">VLOOKUP(E892,金币生产率!$A$2:$B$120,2,0)</f>
        <v>1053</v>
      </c>
      <c r="V892" s="2">
        <f t="shared" si="378"/>
        <v>143.47826086956522</v>
      </c>
      <c r="W892" s="45">
        <f t="shared" ca="1" si="390"/>
        <v>15</v>
      </c>
      <c r="X892" s="48">
        <f t="shared" ca="1" si="391"/>
        <v>185</v>
      </c>
      <c r="Y892">
        <f t="shared" si="379"/>
        <v>18</v>
      </c>
      <c r="Z892">
        <f t="shared" ca="1" si="385"/>
        <v>6</v>
      </c>
      <c r="AA892" t="str">
        <f t="shared" ca="1" si="386"/>
        <v>9224200.png</v>
      </c>
      <c r="AB892">
        <f t="shared" si="380"/>
        <v>7</v>
      </c>
      <c r="AC892">
        <f>VLOOKUP(C892,技能辅助查询表,技能配置辅助表!$W$1,FALSE)</f>
        <v>34</v>
      </c>
      <c r="AD892">
        <f t="shared" ca="1" si="387"/>
        <v>35.021736194394776</v>
      </c>
      <c r="AE892">
        <f>VLOOKUP(C892,技能辅助查询表,技能配置辅助表!$U$1,FALSE)</f>
        <v>4</v>
      </c>
      <c r="AF892">
        <f t="shared" ca="1" si="388"/>
        <v>9224223</v>
      </c>
      <c r="AG892">
        <f t="shared" ca="1" si="392"/>
        <v>40.326530612244895</v>
      </c>
      <c r="AH892">
        <f t="shared" ca="1" si="389"/>
        <v>228.96530200997151</v>
      </c>
      <c r="AI892">
        <f ca="1">VLOOKUP(E892,伤害参考系!$C$4:$E$104,3,FALSE)*$AN$12</f>
        <v>3584.9561889632118</v>
      </c>
      <c r="AJ892">
        <f>VLOOKUP(C892,技能辅助查询表,技能配置辅助表!$L$1,FALSE)</f>
        <v>3</v>
      </c>
      <c r="AK892">
        <f>VLOOKUP(C892,技能辅助查询表,技能配置辅助表!$AE$1,FALSE)</f>
        <v>66000388</v>
      </c>
    </row>
    <row r="893" spans="1:37" x14ac:dyDescent="0.15">
      <c r="A893" s="1">
        <f t="shared" ca="1" si="381"/>
        <v>9224224</v>
      </c>
      <c r="B893" s="1" t="str">
        <f t="shared" ca="1" si="366"/>
        <v>幻影脚第2段</v>
      </c>
      <c r="C893" t="s">
        <v>168</v>
      </c>
      <c r="D893">
        <f t="shared" si="367"/>
        <v>2</v>
      </c>
      <c r="E893" s="42">
        <f t="shared" ca="1" si="382"/>
        <v>43</v>
      </c>
      <c r="F893" t="str">
        <f t="shared" ca="1" si="383"/>
        <v>第24级，共造成177.9%点伤害</v>
      </c>
      <c r="G893">
        <f t="shared" ca="1" si="384"/>
        <v>2</v>
      </c>
      <c r="H893">
        <f t="shared" si="368"/>
        <v>2</v>
      </c>
      <c r="I893" s="44">
        <f t="shared" ca="1" si="393"/>
        <v>24</v>
      </c>
      <c r="J893">
        <f t="shared" si="369"/>
        <v>2</v>
      </c>
      <c r="K893" s="36">
        <f t="shared" ca="1" si="370"/>
        <v>59.304347826086961</v>
      </c>
      <c r="L893" s="10">
        <f ca="1">AH893*VLOOKUP(C893,技能辅助查询表,技能配置辅助表!$T$1,FALSE)</f>
        <v>0</v>
      </c>
      <c r="M893">
        <f t="shared" ca="1" si="371"/>
        <v>6080</v>
      </c>
      <c r="N893" s="33">
        <f ca="1">CHOOSE(1,W893*U893,X893*'[1]0、经济设定'!$C$18)</f>
        <v>18672</v>
      </c>
      <c r="O893">
        <f t="shared" si="372"/>
        <v>4</v>
      </c>
      <c r="P893">
        <f t="shared" si="373"/>
        <v>3</v>
      </c>
      <c r="Q893">
        <f t="shared" si="374"/>
        <v>1</v>
      </c>
      <c r="R893" s="2">
        <f t="shared" si="375"/>
        <v>8</v>
      </c>
      <c r="S893" s="2">
        <f t="shared" si="376"/>
        <v>50</v>
      </c>
      <c r="T893" s="2">
        <f t="shared" si="377"/>
        <v>47.826086956521742</v>
      </c>
      <c r="U893" s="2">
        <f ca="1">VLOOKUP(E893,金币生产率!$A$2:$B$120,2,0)</f>
        <v>1167</v>
      </c>
      <c r="V893" s="2">
        <f t="shared" si="378"/>
        <v>143.47826086956522</v>
      </c>
      <c r="W893" s="45">
        <f t="shared" ca="1" si="390"/>
        <v>16</v>
      </c>
      <c r="X893" s="48">
        <f t="shared" ca="1" si="391"/>
        <v>201</v>
      </c>
      <c r="Y893">
        <f t="shared" si="379"/>
        <v>18</v>
      </c>
      <c r="Z893">
        <f t="shared" ca="1" si="385"/>
        <v>7</v>
      </c>
      <c r="AA893" t="str">
        <f t="shared" ca="1" si="386"/>
        <v>9224200.png</v>
      </c>
      <c r="AB893">
        <f t="shared" si="380"/>
        <v>7</v>
      </c>
      <c r="AC893">
        <f>VLOOKUP(C893,技能辅助查询表,技能配置辅助表!$W$1,FALSE)</f>
        <v>34</v>
      </c>
      <c r="AD893">
        <f t="shared" ca="1" si="387"/>
        <v>40.61980484160442</v>
      </c>
      <c r="AE893">
        <f>VLOOKUP(C893,技能辅助查询表,技能配置辅助表!$U$1,FALSE)</f>
        <v>4</v>
      </c>
      <c r="AF893">
        <f t="shared" ca="1" si="388"/>
        <v>9224224</v>
      </c>
      <c r="AG893">
        <f t="shared" ca="1" si="392"/>
        <v>41.795918367346935</v>
      </c>
      <c r="AH893">
        <f t="shared" ca="1" si="389"/>
        <v>260.67397080270689</v>
      </c>
      <c r="AI893">
        <f ca="1">VLOOKUP(E893,伤害参考系!$C$4:$E$104,3,FALSE)*$AN$12</f>
        <v>4090.4306638795993</v>
      </c>
      <c r="AJ893">
        <f>VLOOKUP(C893,技能辅助查询表,技能配置辅助表!$L$1,FALSE)</f>
        <v>3</v>
      </c>
      <c r="AK893">
        <f>VLOOKUP(C893,技能辅助查询表,技能配置辅助表!$AE$1,FALSE)</f>
        <v>66000388</v>
      </c>
    </row>
    <row r="894" spans="1:37" x14ac:dyDescent="0.15">
      <c r="A894" s="1">
        <f t="shared" ca="1" si="381"/>
        <v>9224225</v>
      </c>
      <c r="B894" s="1" t="str">
        <f t="shared" ca="1" si="366"/>
        <v>幻影脚第2段</v>
      </c>
      <c r="C894" t="s">
        <v>168</v>
      </c>
      <c r="D894">
        <f t="shared" si="367"/>
        <v>2</v>
      </c>
      <c r="E894" s="42">
        <f t="shared" ca="1" si="382"/>
        <v>44</v>
      </c>
      <c r="F894" t="str">
        <f t="shared" ca="1" si="383"/>
        <v>第25级，共造成179.3%点伤害</v>
      </c>
      <c r="G894">
        <f t="shared" ca="1" si="384"/>
        <v>2</v>
      </c>
      <c r="H894">
        <f t="shared" si="368"/>
        <v>2</v>
      </c>
      <c r="I894" s="44">
        <f t="shared" ca="1" si="393"/>
        <v>25</v>
      </c>
      <c r="J894">
        <f t="shared" si="369"/>
        <v>2</v>
      </c>
      <c r="K894" s="36">
        <f t="shared" ca="1" si="370"/>
        <v>59.782608695652179</v>
      </c>
      <c r="L894" s="39">
        <f ca="1">AH894*VLOOKUP(C894,技能辅助查询表,技能配置辅助表!$T$1,FALSE)</f>
        <v>0</v>
      </c>
      <c r="M894">
        <f t="shared" ca="1" si="371"/>
        <v>6000</v>
      </c>
      <c r="N894" s="33">
        <f ca="1">CHOOSE(1,W894*U894,X894*'[1]0、经济设定'!$C$18)</f>
        <v>22068</v>
      </c>
      <c r="O894">
        <f t="shared" si="372"/>
        <v>4</v>
      </c>
      <c r="P894">
        <f t="shared" si="373"/>
        <v>3</v>
      </c>
      <c r="Q894">
        <f t="shared" si="374"/>
        <v>1</v>
      </c>
      <c r="R894" s="2">
        <f t="shared" si="375"/>
        <v>8</v>
      </c>
      <c r="S894" s="2">
        <f t="shared" si="376"/>
        <v>50</v>
      </c>
      <c r="T894" s="2">
        <f t="shared" si="377"/>
        <v>47.826086956521742</v>
      </c>
      <c r="U894" s="2">
        <f ca="1">VLOOKUP(E894,金币生产率!$A$2:$B$120,2,0)</f>
        <v>1226</v>
      </c>
      <c r="V894" s="2">
        <f t="shared" si="378"/>
        <v>143.47826086956522</v>
      </c>
      <c r="W894" s="45">
        <f t="shared" ca="1" si="390"/>
        <v>18</v>
      </c>
      <c r="X894" s="48">
        <f t="shared" ca="1" si="391"/>
        <v>219</v>
      </c>
      <c r="Y894">
        <f t="shared" si="379"/>
        <v>18</v>
      </c>
      <c r="Z894">
        <f t="shared" ca="1" si="385"/>
        <v>8</v>
      </c>
      <c r="AA894" t="str">
        <f t="shared" ca="1" si="386"/>
        <v>9224200.png</v>
      </c>
      <c r="AB894">
        <f t="shared" si="380"/>
        <v>7</v>
      </c>
      <c r="AC894">
        <f>VLOOKUP(C894,技能辅助查询表,技能配置辅助表!$W$1,FALSE)</f>
        <v>34</v>
      </c>
      <c r="AD894">
        <f t="shared" ca="1" si="387"/>
        <v>47.096723042470856</v>
      </c>
      <c r="AE894">
        <f>VLOOKUP(C894,技能辅助查询表,技能配置辅助表!$U$1,FALSE)</f>
        <v>4</v>
      </c>
      <c r="AF894">
        <f t="shared" ca="1" si="388"/>
        <v>9224225</v>
      </c>
      <c r="AG894">
        <f t="shared" ca="1" si="392"/>
        <v>43.265306122448976</v>
      </c>
      <c r="AH894">
        <f t="shared" ca="1" si="389"/>
        <v>296.77387122652874</v>
      </c>
      <c r="AI894">
        <f ca="1">VLOOKUP(E894,伤害参考系!$C$4:$E$104,3,FALSE)*$AN$12</f>
        <v>4355.6631973244148</v>
      </c>
      <c r="AJ894">
        <f>VLOOKUP(C894,技能辅助查询表,技能配置辅助表!$L$1,FALSE)</f>
        <v>3</v>
      </c>
      <c r="AK894">
        <f>VLOOKUP(C894,技能辅助查询表,技能配置辅助表!$AE$1,FALSE)</f>
        <v>66000388</v>
      </c>
    </row>
    <row r="895" spans="1:37" x14ac:dyDescent="0.15">
      <c r="A895" s="1">
        <f t="shared" ca="1" si="381"/>
        <v>9224226</v>
      </c>
      <c r="B895" s="1" t="str">
        <f t="shared" ca="1" si="366"/>
        <v>幻影脚第2段</v>
      </c>
      <c r="C895" t="s">
        <v>168</v>
      </c>
      <c r="D895">
        <f t="shared" si="367"/>
        <v>2</v>
      </c>
      <c r="E895" s="42">
        <f t="shared" ca="1" si="382"/>
        <v>45</v>
      </c>
      <c r="F895" t="str">
        <f t="shared" ca="1" si="383"/>
        <v>第26级，共造成180.8%点伤害</v>
      </c>
      <c r="G895">
        <f t="shared" ca="1" si="384"/>
        <v>2</v>
      </c>
      <c r="H895">
        <f t="shared" si="368"/>
        <v>2</v>
      </c>
      <c r="I895" s="44">
        <f t="shared" ca="1" si="393"/>
        <v>26</v>
      </c>
      <c r="J895">
        <f t="shared" si="369"/>
        <v>2</v>
      </c>
      <c r="K895" s="36">
        <f t="shared" ca="1" si="370"/>
        <v>60.260869565217391</v>
      </c>
      <c r="L895" s="10">
        <f ca="1">AH895*VLOOKUP(C895,技能辅助查询表,技能配置辅助表!$T$1,FALSE)</f>
        <v>0</v>
      </c>
      <c r="M895">
        <f t="shared" ca="1" si="371"/>
        <v>5920</v>
      </c>
      <c r="N895" s="33">
        <f ca="1">CHOOSE(1,W895*U895,X895*'[1]0、经济设定'!$C$18)</f>
        <v>24453</v>
      </c>
      <c r="O895">
        <f t="shared" si="372"/>
        <v>4</v>
      </c>
      <c r="P895">
        <f t="shared" si="373"/>
        <v>3</v>
      </c>
      <c r="Q895">
        <f t="shared" si="374"/>
        <v>1</v>
      </c>
      <c r="R895" s="2">
        <f t="shared" si="375"/>
        <v>8</v>
      </c>
      <c r="S895" s="2">
        <f t="shared" si="376"/>
        <v>50</v>
      </c>
      <c r="T895" s="2">
        <f t="shared" si="377"/>
        <v>47.826086956521742</v>
      </c>
      <c r="U895" s="2">
        <f ca="1">VLOOKUP(E895,金币生产率!$A$2:$B$120,2,0)</f>
        <v>1287</v>
      </c>
      <c r="V895" s="2">
        <f t="shared" si="378"/>
        <v>143.47826086956522</v>
      </c>
      <c r="W895" s="45">
        <f t="shared" ca="1" si="390"/>
        <v>19</v>
      </c>
      <c r="X895" s="48">
        <f t="shared" ca="1" si="391"/>
        <v>238</v>
      </c>
      <c r="Y895">
        <f t="shared" si="379"/>
        <v>18</v>
      </c>
      <c r="Z895">
        <f t="shared" ca="1" si="385"/>
        <v>8</v>
      </c>
      <c r="AA895" t="str">
        <f t="shared" ca="1" si="386"/>
        <v>9224200.png</v>
      </c>
      <c r="AB895">
        <f t="shared" si="380"/>
        <v>7</v>
      </c>
      <c r="AC895">
        <f>VLOOKUP(C895,技能辅助查询表,技能配置辅助表!$W$1,FALSE)</f>
        <v>34</v>
      </c>
      <c r="AD895">
        <f t="shared" ca="1" si="387"/>
        <v>54.5885458343338</v>
      </c>
      <c r="AE895">
        <f>VLOOKUP(C895,技能辅助查询表,技能配置辅助表!$U$1,FALSE)</f>
        <v>4</v>
      </c>
      <c r="AF895">
        <f t="shared" ca="1" si="388"/>
        <v>9224226</v>
      </c>
      <c r="AG895">
        <f t="shared" ca="1" si="392"/>
        <v>44.734693877551024</v>
      </c>
      <c r="AH895">
        <f t="shared" ca="1" si="389"/>
        <v>337.87313083683472</v>
      </c>
      <c r="AI895">
        <f ca="1">VLOOKUP(E895,伤害参考系!$C$4:$E$104,3,FALSE)*$AN$12</f>
        <v>4629.2259280936469</v>
      </c>
      <c r="AJ895">
        <f>VLOOKUP(C895,技能辅助查询表,技能配置辅助表!$L$1,FALSE)</f>
        <v>3</v>
      </c>
      <c r="AK895">
        <f>VLOOKUP(C895,技能辅助查询表,技能配置辅助表!$AE$1,FALSE)</f>
        <v>66000388</v>
      </c>
    </row>
    <row r="896" spans="1:37" x14ac:dyDescent="0.15">
      <c r="A896" s="1">
        <f t="shared" ca="1" si="381"/>
        <v>9224227</v>
      </c>
      <c r="B896" s="1" t="str">
        <f t="shared" ca="1" si="366"/>
        <v>幻影脚第2段</v>
      </c>
      <c r="C896" t="s">
        <v>168</v>
      </c>
      <c r="D896">
        <f t="shared" si="367"/>
        <v>2</v>
      </c>
      <c r="E896" s="42">
        <f t="shared" ca="1" si="382"/>
        <v>47</v>
      </c>
      <c r="F896" t="str">
        <f t="shared" ca="1" si="383"/>
        <v>第27级，共造成182.2%点伤害</v>
      </c>
      <c r="G896">
        <f t="shared" ca="1" si="384"/>
        <v>2</v>
      </c>
      <c r="H896">
        <f t="shared" si="368"/>
        <v>2</v>
      </c>
      <c r="I896" s="44">
        <f t="shared" ca="1" si="393"/>
        <v>27</v>
      </c>
      <c r="J896">
        <f t="shared" si="369"/>
        <v>2</v>
      </c>
      <c r="K896" s="36">
        <f t="shared" ca="1" si="370"/>
        <v>60.739130434782609</v>
      </c>
      <c r="L896" s="10">
        <f ca="1">AH896*VLOOKUP(C896,技能辅助查询表,技能配置辅助表!$T$1,FALSE)</f>
        <v>0</v>
      </c>
      <c r="M896">
        <f t="shared" ca="1" si="371"/>
        <v>5840</v>
      </c>
      <c r="N896" s="33">
        <f ca="1">CHOOSE(1,W896*U896,X896*'[1]0、经济设定'!$C$18)</f>
        <v>28240</v>
      </c>
      <c r="O896">
        <f t="shared" si="372"/>
        <v>4</v>
      </c>
      <c r="P896">
        <f t="shared" si="373"/>
        <v>3</v>
      </c>
      <c r="Q896">
        <f t="shared" si="374"/>
        <v>1</v>
      </c>
      <c r="R896" s="2">
        <f t="shared" si="375"/>
        <v>8</v>
      </c>
      <c r="S896" s="2">
        <f t="shared" si="376"/>
        <v>50</v>
      </c>
      <c r="T896" s="2">
        <f t="shared" si="377"/>
        <v>47.826086956521742</v>
      </c>
      <c r="U896" s="2">
        <f ca="1">VLOOKUP(E896,金币生产率!$A$2:$B$120,2,0)</f>
        <v>1412</v>
      </c>
      <c r="V896" s="2">
        <f t="shared" si="378"/>
        <v>143.47826086956522</v>
      </c>
      <c r="W896" s="45">
        <f t="shared" ca="1" si="390"/>
        <v>20</v>
      </c>
      <c r="X896" s="48">
        <f t="shared" ca="1" si="391"/>
        <v>258</v>
      </c>
      <c r="Y896">
        <f t="shared" si="379"/>
        <v>18</v>
      </c>
      <c r="Z896">
        <f t="shared" ca="1" si="385"/>
        <v>8</v>
      </c>
      <c r="AA896" t="str">
        <f t="shared" ca="1" si="386"/>
        <v>9224200.png</v>
      </c>
      <c r="AB896">
        <f t="shared" si="380"/>
        <v>7</v>
      </c>
      <c r="AC896">
        <f>VLOOKUP(C896,技能辅助查询表,技能配置辅助表!$W$1,FALSE)</f>
        <v>34</v>
      </c>
      <c r="AD896">
        <f t="shared" ca="1" si="387"/>
        <v>63.25215680904472</v>
      </c>
      <c r="AE896">
        <f>VLOOKUP(C896,技能辅助查询表,技能配置辅助表!$U$1,FALSE)</f>
        <v>4</v>
      </c>
      <c r="AF896">
        <f t="shared" ca="1" si="388"/>
        <v>9224227</v>
      </c>
      <c r="AG896">
        <f t="shared" ca="1" si="392"/>
        <v>46.204081632653065</v>
      </c>
      <c r="AH896">
        <f t="shared" ca="1" si="389"/>
        <v>384.66409481967975</v>
      </c>
      <c r="AI896">
        <f ca="1">VLOOKUP(E896,伤害参考系!$C$4:$E$104,3,FALSE)*$AN$12</f>
        <v>5201.3419816053529</v>
      </c>
      <c r="AJ896">
        <f>VLOOKUP(C896,技能辅助查询表,技能配置辅助表!$L$1,FALSE)</f>
        <v>3</v>
      </c>
      <c r="AK896">
        <f>VLOOKUP(C896,技能辅助查询表,技能配置辅助表!$AE$1,FALSE)</f>
        <v>66000388</v>
      </c>
    </row>
    <row r="897" spans="1:37" x14ac:dyDescent="0.15">
      <c r="A897" s="1">
        <f t="shared" ca="1" si="381"/>
        <v>9224228</v>
      </c>
      <c r="B897" s="1" t="str">
        <f t="shared" ca="1" si="366"/>
        <v>幻影脚第2段</v>
      </c>
      <c r="C897" t="s">
        <v>168</v>
      </c>
      <c r="D897">
        <f t="shared" si="367"/>
        <v>2</v>
      </c>
      <c r="E897" s="42">
        <f t="shared" ca="1" si="382"/>
        <v>48</v>
      </c>
      <c r="F897" t="str">
        <f t="shared" ca="1" si="383"/>
        <v>第28级，共造成183.7%点伤害</v>
      </c>
      <c r="G897">
        <f t="shared" ca="1" si="384"/>
        <v>2</v>
      </c>
      <c r="H897">
        <f t="shared" si="368"/>
        <v>2</v>
      </c>
      <c r="I897" s="44">
        <f t="shared" ca="1" si="393"/>
        <v>28</v>
      </c>
      <c r="J897">
        <f t="shared" si="369"/>
        <v>2</v>
      </c>
      <c r="K897" s="36">
        <f t="shared" ca="1" si="370"/>
        <v>61.217391304347828</v>
      </c>
      <c r="L897" s="10">
        <f ca="1">AH897*VLOOKUP(C897,技能辅助查询表,技能配置辅助表!$T$1,FALSE)</f>
        <v>0</v>
      </c>
      <c r="M897">
        <f t="shared" ca="1" si="371"/>
        <v>5760</v>
      </c>
      <c r="N897" s="33">
        <f ca="1">CHOOSE(1,W897*U897,X897*'[1]0、经济设定'!$C$18)</f>
        <v>31017</v>
      </c>
      <c r="O897">
        <f t="shared" si="372"/>
        <v>4</v>
      </c>
      <c r="P897">
        <f t="shared" si="373"/>
        <v>3</v>
      </c>
      <c r="Q897">
        <f t="shared" si="374"/>
        <v>1</v>
      </c>
      <c r="R897" s="2">
        <f t="shared" si="375"/>
        <v>8</v>
      </c>
      <c r="S897" s="2">
        <f t="shared" si="376"/>
        <v>50</v>
      </c>
      <c r="T897" s="2">
        <f t="shared" si="377"/>
        <v>47.826086956521742</v>
      </c>
      <c r="U897" s="2">
        <f ca="1">VLOOKUP(E897,金币生产率!$A$2:$B$120,2,0)</f>
        <v>1477</v>
      </c>
      <c r="V897" s="2">
        <f t="shared" si="378"/>
        <v>143.47826086956522</v>
      </c>
      <c r="W897" s="45">
        <f t="shared" ca="1" si="390"/>
        <v>21</v>
      </c>
      <c r="X897" s="48">
        <f t="shared" ca="1" si="391"/>
        <v>279</v>
      </c>
      <c r="Y897">
        <f t="shared" si="379"/>
        <v>18</v>
      </c>
      <c r="Z897">
        <f t="shared" ca="1" si="385"/>
        <v>9</v>
      </c>
      <c r="AA897" t="str">
        <f t="shared" ca="1" si="386"/>
        <v>9224200.png</v>
      </c>
      <c r="AB897">
        <f t="shared" si="380"/>
        <v>7</v>
      </c>
      <c r="AC897">
        <f>VLOOKUP(C897,技能辅助查询表,技能配置辅助表!$W$1,FALSE)</f>
        <v>34</v>
      </c>
      <c r="AD897">
        <f t="shared" ca="1" si="387"/>
        <v>73.268427728345017</v>
      </c>
      <c r="AE897">
        <f>VLOOKUP(C897,技能辅助查询表,技能配置辅助表!$U$1,FALSE)</f>
        <v>4</v>
      </c>
      <c r="AF897">
        <f t="shared" ca="1" si="388"/>
        <v>9224228</v>
      </c>
      <c r="AG897">
        <f t="shared" ca="1" si="392"/>
        <v>47.673469387755105</v>
      </c>
      <c r="AH897">
        <f t="shared" ca="1" si="389"/>
        <v>437.93498902077317</v>
      </c>
      <c r="AI897">
        <f ca="1">VLOOKUP(E897,伤害参考系!$C$4:$E$104,3,FALSE)*$AN$12</f>
        <v>5499.8953043478286</v>
      </c>
      <c r="AJ897">
        <f>VLOOKUP(C897,技能辅助查询表,技能配置辅助表!$L$1,FALSE)</f>
        <v>3</v>
      </c>
      <c r="AK897">
        <f>VLOOKUP(C897,技能辅助查询表,技能配置辅助表!$AE$1,FALSE)</f>
        <v>66000388</v>
      </c>
    </row>
    <row r="898" spans="1:37" x14ac:dyDescent="0.15">
      <c r="A898" s="1">
        <f t="shared" ca="1" si="381"/>
        <v>9224229</v>
      </c>
      <c r="B898" s="1" t="str">
        <f t="shared" ref="B898:B961" ca="1" si="394">IF(AND(G898=0,AE898=4),LEFT(C898,LEN(C898)-3),C898)</f>
        <v>幻影脚第2段</v>
      </c>
      <c r="C898" t="s">
        <v>168</v>
      </c>
      <c r="D898">
        <f t="shared" ref="D898:D961" si="395">VLOOKUP(C898,技能辅助查询表,3,FALSE)</f>
        <v>2</v>
      </c>
      <c r="E898" s="42">
        <f t="shared" ca="1" si="382"/>
        <v>50</v>
      </c>
      <c r="F898" t="str">
        <f t="shared" ca="1" si="383"/>
        <v>第29级，共造成185.1%点伤害</v>
      </c>
      <c r="G898">
        <f t="shared" ca="1" si="384"/>
        <v>2</v>
      </c>
      <c r="H898">
        <f t="shared" ref="H898:H961" si="396">VLOOKUP(C898,技能辅助查询表,2,FALSE)</f>
        <v>2</v>
      </c>
      <c r="I898" s="44">
        <f t="shared" ca="1" si="393"/>
        <v>29</v>
      </c>
      <c r="J898">
        <f t="shared" ref="J898:J961" si="397">VLOOKUP(C898,技能辅助查询表,4,FALSE)</f>
        <v>2</v>
      </c>
      <c r="K898" s="36">
        <f t="shared" ref="K898:K961" ca="1" si="398">IF(OR(I898=0,I898=1),T898,T898+T898*($AN$6-1)/S898*I898)</f>
        <v>61.695652173913047</v>
      </c>
      <c r="L898" s="10">
        <f ca="1">AH898*VLOOKUP(C898,技能辅助查询表,技能配置辅助表!$T$1,FALSE)</f>
        <v>0</v>
      </c>
      <c r="M898">
        <f t="shared" ref="M898:M961" ca="1" si="399">IF(OR(I898=0,I898=1),VLOOKUP(C898,技能辅助查询表,14,FALSE),VLOOKUP(C898,技能辅助查询表,14,FALSE)-VLOOKUP(C898,技能辅助查询表,14,FALSE)*0.5/S898*I898)</f>
        <v>5680</v>
      </c>
      <c r="N898" s="33">
        <f ca="1">CHOOSE(1,W898*U898,X898*'[1]0、经济设定'!$C$18)</f>
        <v>37030</v>
      </c>
      <c r="O898">
        <f t="shared" ref="O898:O961" si="400">VLOOKUP(C898,技能辅助查询表,5,FALSE)</f>
        <v>4</v>
      </c>
      <c r="P898">
        <f t="shared" ref="P898:P961" si="401">VLOOKUP(C898,技能辅助查询表,6,FALSE)</f>
        <v>3</v>
      </c>
      <c r="Q898">
        <f t="shared" ref="Q898:Q961" si="402">VLOOKUP(C898,技能辅助查询表,7,FALSE)</f>
        <v>1</v>
      </c>
      <c r="R898" s="2">
        <f t="shared" ref="R898:R961" si="403">VLOOKUP(C898,技能辅助查询表,9,FALSE)</f>
        <v>8</v>
      </c>
      <c r="S898" s="2">
        <f t="shared" ref="S898:S961" si="404">VLOOKUP(C898,技能辅助查询表,8,FALSE)</f>
        <v>50</v>
      </c>
      <c r="T898" s="2">
        <f t="shared" ref="T898:T961" si="405">VLOOKUP(C898,技能辅助查询表,11,FALSE)</f>
        <v>47.826086956521742</v>
      </c>
      <c r="U898" s="2">
        <f ca="1">VLOOKUP(E898,金币生产率!$A$2:$B$120,2,0)</f>
        <v>1610</v>
      </c>
      <c r="V898" s="2">
        <f t="shared" ref="V898:V961" si="406">VLOOKUP(C898,技能辅助查询表,12,FALSE)</f>
        <v>143.47826086956522</v>
      </c>
      <c r="W898" s="45">
        <f t="shared" ca="1" si="390"/>
        <v>23</v>
      </c>
      <c r="X898" s="48">
        <f t="shared" ca="1" si="391"/>
        <v>302</v>
      </c>
      <c r="Y898">
        <f t="shared" ref="Y898:Y961" si="407">VLOOKUP(C898,技能辅助查询表,15,FALSE)</f>
        <v>18</v>
      </c>
      <c r="Z898">
        <f t="shared" ca="1" si="385"/>
        <v>10</v>
      </c>
      <c r="AA898" t="str">
        <f t="shared" ca="1" si="386"/>
        <v>9224200.png</v>
      </c>
      <c r="AB898">
        <f t="shared" ref="AB898:AB961" si="408">VLOOKUP(C898,技能辅助查询表,17,FALSE)</f>
        <v>7</v>
      </c>
      <c r="AC898">
        <f>VLOOKUP(C898,技能辅助查询表,技能配置辅助表!$W$1,FALSE)</f>
        <v>34</v>
      </c>
      <c r="AD898">
        <f t="shared" ca="1" si="387"/>
        <v>84.845853806897082</v>
      </c>
      <c r="AE898">
        <f>VLOOKUP(C898,技能辅助查询表,技能配置辅助表!$U$1,FALSE)</f>
        <v>4</v>
      </c>
      <c r="AF898">
        <f t="shared" ca="1" si="388"/>
        <v>9224229</v>
      </c>
      <c r="AG898">
        <f t="shared" ca="1" si="392"/>
        <v>49.142857142857146</v>
      </c>
      <c r="AH898">
        <f t="shared" ca="1" si="389"/>
        <v>498.5831981498805</v>
      </c>
      <c r="AI898">
        <f ca="1">VLOOKUP(E898,伤害参考系!$C$4:$E$104,3,FALSE)*$AN$12</f>
        <v>6162.2688085284308</v>
      </c>
      <c r="AJ898">
        <f>VLOOKUP(C898,技能辅助查询表,技能配置辅助表!$L$1,FALSE)</f>
        <v>3</v>
      </c>
      <c r="AK898">
        <f>VLOOKUP(C898,技能辅助查询表,技能配置辅助表!$AE$1,FALSE)</f>
        <v>66000388</v>
      </c>
    </row>
    <row r="899" spans="1:37" x14ac:dyDescent="0.15">
      <c r="A899" s="1">
        <f t="shared" ref="A899:A962" ca="1" si="409">IF(I899=0,IF(H899=1,VALUE("9"&amp;D899&amp;J899&amp;O899&amp;G899&amp;IF(I899&gt;9,I899,"0"&amp;I899)),1),VALUE("9"&amp;D899&amp;J899&amp;O899&amp;G899&amp;IF(I899&gt;9,I899,"0"&amp;I899)))</f>
        <v>9224230</v>
      </c>
      <c r="B899" s="1" t="str">
        <f t="shared" ca="1" si="394"/>
        <v>幻影脚第2段</v>
      </c>
      <c r="C899" t="s">
        <v>168</v>
      </c>
      <c r="D899">
        <f t="shared" si="395"/>
        <v>2</v>
      </c>
      <c r="E899" s="42">
        <f t="shared" ref="E899:E962" ca="1" si="410">IF(I899=0,E900,IF(AND(I899=1,G899&gt;1),OFFSET(E899,(1-G899)*51,0),IF(OR(I899=1,AND(I899=2,R899=2)),R899,IF(I899=0,0,ROUND(I899*(80-R899)/S899,0)+R899))))</f>
        <v>51</v>
      </c>
      <c r="F899" t="str">
        <f t="shared" ref="F899:F962" ca="1" si="411">"第"&amp;I899&amp;"级，共造成"&amp;ROUND(AJ899*K899,1)&amp;"%点伤害"</f>
        <v>第30级，共造成186.5%点伤害</v>
      </c>
      <c r="G899">
        <f t="shared" ref="G899:G962" ca="1" si="412">IF(I899=0,0,H899)</f>
        <v>2</v>
      </c>
      <c r="H899">
        <f t="shared" si="396"/>
        <v>2</v>
      </c>
      <c r="I899" s="44">
        <f t="shared" ca="1" si="393"/>
        <v>30</v>
      </c>
      <c r="J899">
        <f t="shared" si="397"/>
        <v>2</v>
      </c>
      <c r="K899" s="36">
        <f t="shared" ca="1" si="398"/>
        <v>62.173913043478265</v>
      </c>
      <c r="L899" s="10">
        <f ca="1">AH899*VLOOKUP(C899,技能辅助查询表,技能配置辅助表!$T$1,FALSE)</f>
        <v>0</v>
      </c>
      <c r="M899">
        <f t="shared" ca="1" si="399"/>
        <v>5600</v>
      </c>
      <c r="N899" s="33">
        <f ca="1">CHOOSE(1,W899*U899,X899*'[1]0、经济设定'!$C$18)</f>
        <v>41975</v>
      </c>
      <c r="O899">
        <f t="shared" si="400"/>
        <v>4</v>
      </c>
      <c r="P899">
        <f t="shared" si="401"/>
        <v>3</v>
      </c>
      <c r="Q899">
        <f t="shared" si="402"/>
        <v>1</v>
      </c>
      <c r="R899" s="2">
        <f t="shared" si="403"/>
        <v>8</v>
      </c>
      <c r="S899" s="2">
        <f t="shared" si="404"/>
        <v>50</v>
      </c>
      <c r="T899" s="2">
        <f t="shared" si="405"/>
        <v>47.826086956521742</v>
      </c>
      <c r="U899" s="2">
        <f ca="1">VLOOKUP(E899,金币生产率!$A$2:$B$120,2,0)</f>
        <v>1679</v>
      </c>
      <c r="V899" s="2">
        <f t="shared" si="406"/>
        <v>143.47826086956522</v>
      </c>
      <c r="W899" s="45">
        <f t="shared" ca="1" si="390"/>
        <v>25</v>
      </c>
      <c r="X899" s="48">
        <f t="shared" ca="1" si="391"/>
        <v>327</v>
      </c>
      <c r="Y899">
        <f t="shared" si="407"/>
        <v>18</v>
      </c>
      <c r="Z899">
        <f t="shared" ref="Z899:Z962" ca="1" si="413">IF(I899&gt;=Y899,ROUNDUP(W899/$AN$15,0),0)</f>
        <v>10</v>
      </c>
      <c r="AA899" t="str">
        <f t="shared" ref="AA899:AA962" ca="1" si="414">AF899-MOD(AF899,100)&amp;".png"</f>
        <v>9224200.png</v>
      </c>
      <c r="AB899">
        <f t="shared" si="408"/>
        <v>7</v>
      </c>
      <c r="AC899">
        <f>VLOOKUP(C899,技能辅助查询表,技能配置辅助表!$W$1,FALSE)</f>
        <v>34</v>
      </c>
      <c r="AD899">
        <f t="shared" ref="AD899:AD962" ca="1" si="415">((AH899*K899/100+L899)*AJ899-AH899)/5</f>
        <v>98.224735813368468</v>
      </c>
      <c r="AE899">
        <f>VLOOKUP(C899,技能辅助查询表,技能配置辅助表!$U$1,FALSE)</f>
        <v>4</v>
      </c>
      <c r="AF899">
        <f t="shared" ref="AF899:AF962" ca="1" si="416">VALUE("9"&amp;D899&amp;J899&amp;O899&amp;H899&amp;IF(I899&gt;9,I899,"0"&amp;I899))</f>
        <v>9224230</v>
      </c>
      <c r="AG899">
        <f t="shared" ca="1" si="392"/>
        <v>50.612244897959187</v>
      </c>
      <c r="AH899">
        <f t="shared" ref="AH899:AH962" ca="1" si="417">(19.323*EXP(I899*0.1297))*$AN$12</f>
        <v>567.63038284107404</v>
      </c>
      <c r="AI899">
        <f ca="1">VLOOKUP(E899,伤害参考系!$C$4:$E$104,3,FALSE)*$AN$12</f>
        <v>6528.1715392976603</v>
      </c>
      <c r="AJ899">
        <f>VLOOKUP(C899,技能辅助查询表,技能配置辅助表!$L$1,FALSE)</f>
        <v>3</v>
      </c>
      <c r="AK899">
        <f>VLOOKUP(C899,技能辅助查询表,技能配置辅助表!$AE$1,FALSE)</f>
        <v>66000388</v>
      </c>
    </row>
    <row r="900" spans="1:37" x14ac:dyDescent="0.15">
      <c r="A900" s="1">
        <f t="shared" ca="1" si="409"/>
        <v>9224231</v>
      </c>
      <c r="B900" s="1" t="str">
        <f t="shared" ca="1" si="394"/>
        <v>幻影脚第2段</v>
      </c>
      <c r="C900" t="s">
        <v>168</v>
      </c>
      <c r="D900">
        <f t="shared" si="395"/>
        <v>2</v>
      </c>
      <c r="E900" s="42">
        <f t="shared" ca="1" si="410"/>
        <v>53</v>
      </c>
      <c r="F900" t="str">
        <f t="shared" ca="1" si="411"/>
        <v>第31级，共造成188%点伤害</v>
      </c>
      <c r="G900">
        <f t="shared" ca="1" si="412"/>
        <v>2</v>
      </c>
      <c r="H900">
        <f t="shared" si="396"/>
        <v>2</v>
      </c>
      <c r="I900" s="44">
        <f t="shared" ca="1" si="393"/>
        <v>31</v>
      </c>
      <c r="J900">
        <f t="shared" si="397"/>
        <v>2</v>
      </c>
      <c r="K900" s="36">
        <f t="shared" ca="1" si="398"/>
        <v>62.652173913043484</v>
      </c>
      <c r="L900" s="10">
        <f ca="1">AH900*VLOOKUP(C900,技能辅助查询表,技能配置辅助表!$T$1,FALSE)</f>
        <v>0</v>
      </c>
      <c r="M900">
        <f t="shared" ca="1" si="399"/>
        <v>5520</v>
      </c>
      <c r="N900" s="33">
        <f ca="1">CHOOSE(1,W900*U900,X900*'[1]0、经济设定'!$C$18)</f>
        <v>47320</v>
      </c>
      <c r="O900">
        <f t="shared" si="400"/>
        <v>4</v>
      </c>
      <c r="P900">
        <f t="shared" si="401"/>
        <v>3</v>
      </c>
      <c r="Q900">
        <f t="shared" si="402"/>
        <v>1</v>
      </c>
      <c r="R900" s="2">
        <f t="shared" si="403"/>
        <v>8</v>
      </c>
      <c r="S900" s="2">
        <f t="shared" si="404"/>
        <v>50</v>
      </c>
      <c r="T900" s="2">
        <f t="shared" si="405"/>
        <v>47.826086956521742</v>
      </c>
      <c r="U900" s="2">
        <f ca="1">VLOOKUP(E900,金币生产率!$A$2:$B$120,2,0)</f>
        <v>1820</v>
      </c>
      <c r="V900" s="2">
        <f t="shared" si="406"/>
        <v>143.47826086956522</v>
      </c>
      <c r="W900" s="45">
        <f t="shared" ref="W900:W963" ca="1" si="418">ROUND((IF(I900=0,0,ROUND(OFFSET(AD900,S900-I900+510*(1-D900),0)*(1-$AN$13)/(1-$AN$13^S900)*$AN$13^(I900-1),0))+IF(I900=0,0,ROUND(OFFSET(AD900,S900-I900+510*(2-D900),0)*(1-$AN$13)/(1-$AN$13^S900)*$AN$13^(I900-1),0))+IF(I900=0,0,ROUND(OFFSET(AD900,S900-I900+510*(3-D900),0)*(1-$AN$13)/(1-$AN$13^S900)*$AN$13^(I900-1),0)))/3,0)</f>
        <v>26</v>
      </c>
      <c r="X900" s="48">
        <f t="shared" ref="X900:X963" ca="1" si="419">IF(I900=0,0,X899+W900)</f>
        <v>353</v>
      </c>
      <c r="Y900">
        <f t="shared" si="407"/>
        <v>18</v>
      </c>
      <c r="Z900">
        <f t="shared" ca="1" si="413"/>
        <v>11</v>
      </c>
      <c r="AA900" t="str">
        <f t="shared" ca="1" si="414"/>
        <v>9224200.png</v>
      </c>
      <c r="AB900">
        <f t="shared" si="408"/>
        <v>7</v>
      </c>
      <c r="AC900">
        <f>VLOOKUP(C900,技能辅助查询表,技能配置辅助表!$W$1,FALSE)</f>
        <v>34</v>
      </c>
      <c r="AD900">
        <f t="shared" ca="1" si="415"/>
        <v>113.68199072411728</v>
      </c>
      <c r="AE900">
        <f>VLOOKUP(C900,技能辅助查询表,技能配置辅助表!$U$1,FALSE)</f>
        <v>4</v>
      </c>
      <c r="AF900">
        <f t="shared" ca="1" si="416"/>
        <v>9224231</v>
      </c>
      <c r="AG900">
        <f t="shared" ca="1" si="392"/>
        <v>52.081632653061227</v>
      </c>
      <c r="AH900">
        <f t="shared" ca="1" si="417"/>
        <v>646.23969022607446</v>
      </c>
      <c r="AI900">
        <f ca="1">VLOOKUP(E900,伤害参考系!$C$4:$E$104,3,FALSE)*$AN$12</f>
        <v>7291.2152408026777</v>
      </c>
      <c r="AJ900">
        <f>VLOOKUP(C900,技能辅助查询表,技能配置辅助表!$L$1,FALSE)</f>
        <v>3</v>
      </c>
      <c r="AK900">
        <f>VLOOKUP(C900,技能辅助查询表,技能配置辅助表!$AE$1,FALSE)</f>
        <v>66000388</v>
      </c>
    </row>
    <row r="901" spans="1:37" x14ac:dyDescent="0.15">
      <c r="A901" s="1">
        <f t="shared" ca="1" si="409"/>
        <v>9224232</v>
      </c>
      <c r="B901" s="1" t="str">
        <f t="shared" ca="1" si="394"/>
        <v>幻影脚第2段</v>
      </c>
      <c r="C901" t="s">
        <v>168</v>
      </c>
      <c r="D901">
        <f t="shared" si="395"/>
        <v>2</v>
      </c>
      <c r="E901" s="42">
        <f t="shared" ca="1" si="410"/>
        <v>54</v>
      </c>
      <c r="F901" t="str">
        <f t="shared" ca="1" si="411"/>
        <v>第32级，共造成189.4%点伤害</v>
      </c>
      <c r="G901">
        <f t="shared" ca="1" si="412"/>
        <v>2</v>
      </c>
      <c r="H901">
        <f t="shared" si="396"/>
        <v>2</v>
      </c>
      <c r="I901" s="44">
        <f t="shared" ca="1" si="393"/>
        <v>32</v>
      </c>
      <c r="J901">
        <f t="shared" si="397"/>
        <v>2</v>
      </c>
      <c r="K901" s="36">
        <f t="shared" ca="1" si="398"/>
        <v>63.130434782608702</v>
      </c>
      <c r="L901" s="10">
        <f ca="1">AH901*VLOOKUP(C901,技能辅助查询表,技能配置辅助表!$T$1,FALSE)</f>
        <v>0</v>
      </c>
      <c r="M901">
        <f t="shared" ca="1" si="399"/>
        <v>5440</v>
      </c>
      <c r="N901" s="33">
        <f ca="1">CHOOSE(1,W901*U901,X901*'[1]0、经济设定'!$C$18)</f>
        <v>53004</v>
      </c>
      <c r="O901">
        <f t="shared" si="400"/>
        <v>4</v>
      </c>
      <c r="P901">
        <f t="shared" si="401"/>
        <v>3</v>
      </c>
      <c r="Q901">
        <f t="shared" si="402"/>
        <v>1</v>
      </c>
      <c r="R901" s="2">
        <f t="shared" si="403"/>
        <v>8</v>
      </c>
      <c r="S901" s="2">
        <f t="shared" si="404"/>
        <v>50</v>
      </c>
      <c r="T901" s="2">
        <f t="shared" si="405"/>
        <v>47.826086956521742</v>
      </c>
      <c r="U901" s="2">
        <f ca="1">VLOOKUP(E901,金币生产率!$A$2:$B$120,2,0)</f>
        <v>1893</v>
      </c>
      <c r="V901" s="2">
        <f t="shared" si="406"/>
        <v>143.47826086956522</v>
      </c>
      <c r="W901" s="45">
        <f t="shared" ca="1" si="418"/>
        <v>28</v>
      </c>
      <c r="X901" s="48">
        <f t="shared" ca="1" si="419"/>
        <v>381</v>
      </c>
      <c r="Y901">
        <f t="shared" si="407"/>
        <v>18</v>
      </c>
      <c r="Z901">
        <f t="shared" ca="1" si="413"/>
        <v>12</v>
      </c>
      <c r="AA901" t="str">
        <f t="shared" ca="1" si="414"/>
        <v>9224200.png</v>
      </c>
      <c r="AB901">
        <f t="shared" si="408"/>
        <v>7</v>
      </c>
      <c r="AC901">
        <f>VLOOKUP(C901,技能辅助查询表,技能配置辅助表!$W$1,FALSE)</f>
        <v>34</v>
      </c>
      <c r="AD901">
        <f t="shared" ca="1" si="415"/>
        <v>131.53668481513529</v>
      </c>
      <c r="AE901">
        <f>VLOOKUP(C901,技能辅助查询表,技能配置辅助表!$U$1,FALSE)</f>
        <v>4</v>
      </c>
      <c r="AF901">
        <f t="shared" ca="1" si="416"/>
        <v>9224232</v>
      </c>
      <c r="AG901">
        <f t="shared" ref="AG901:AG964" ca="1" si="420">IF(I901=1,R901,IF(I901=0,0,(I901-1)*(80-R901)/(S901-1)+R901))</f>
        <v>53.551020408163268</v>
      </c>
      <c r="AH901">
        <f t="shared" ca="1" si="417"/>
        <v>735.73534794457942</v>
      </c>
      <c r="AI901">
        <f ca="1">VLOOKUP(E901,伤害参考系!$C$4:$E$104,3,FALSE)*$AN$12</f>
        <v>7688.356211538463</v>
      </c>
      <c r="AJ901">
        <f>VLOOKUP(C901,技能辅助查询表,技能配置辅助表!$L$1,FALSE)</f>
        <v>3</v>
      </c>
      <c r="AK901">
        <f>VLOOKUP(C901,技能辅助查询表,技能配置辅助表!$AE$1,FALSE)</f>
        <v>66000388</v>
      </c>
    </row>
    <row r="902" spans="1:37" x14ac:dyDescent="0.15">
      <c r="A902" s="1">
        <f t="shared" ca="1" si="409"/>
        <v>9224233</v>
      </c>
      <c r="B902" s="1" t="str">
        <f t="shared" ca="1" si="394"/>
        <v>幻影脚第2段</v>
      </c>
      <c r="C902" t="s">
        <v>168</v>
      </c>
      <c r="D902">
        <f t="shared" si="395"/>
        <v>2</v>
      </c>
      <c r="E902" s="42">
        <f t="shared" ca="1" si="410"/>
        <v>56</v>
      </c>
      <c r="F902" t="str">
        <f t="shared" ca="1" si="411"/>
        <v>第33级，共造成190.8%点伤害</v>
      </c>
      <c r="G902">
        <f t="shared" ca="1" si="412"/>
        <v>2</v>
      </c>
      <c r="H902">
        <f t="shared" si="396"/>
        <v>2</v>
      </c>
      <c r="I902" s="44">
        <f t="shared" ca="1" si="393"/>
        <v>33</v>
      </c>
      <c r="J902">
        <f t="shared" si="397"/>
        <v>2</v>
      </c>
      <c r="K902" s="36">
        <f t="shared" ca="1" si="398"/>
        <v>63.608695652173914</v>
      </c>
      <c r="L902" s="10">
        <f ca="1">AH902*VLOOKUP(C902,技能辅助查询表,技能配置辅助表!$T$1,FALSE)</f>
        <v>0</v>
      </c>
      <c r="M902">
        <f t="shared" ca="1" si="399"/>
        <v>5360</v>
      </c>
      <c r="N902" s="33">
        <f ca="1">CHOOSE(1,W902*U902,X902*'[1]0、经济设定'!$C$18)</f>
        <v>61260</v>
      </c>
      <c r="O902">
        <f t="shared" si="400"/>
        <v>4</v>
      </c>
      <c r="P902">
        <f t="shared" si="401"/>
        <v>3</v>
      </c>
      <c r="Q902">
        <f t="shared" si="402"/>
        <v>1</v>
      </c>
      <c r="R902" s="2">
        <f t="shared" si="403"/>
        <v>8</v>
      </c>
      <c r="S902" s="2">
        <f t="shared" si="404"/>
        <v>50</v>
      </c>
      <c r="T902" s="2">
        <f t="shared" si="405"/>
        <v>47.826086956521742</v>
      </c>
      <c r="U902" s="2">
        <f ca="1">VLOOKUP(E902,金币生产率!$A$2:$B$120,2,0)</f>
        <v>2042</v>
      </c>
      <c r="V902" s="2">
        <f t="shared" si="406"/>
        <v>143.47826086956522</v>
      </c>
      <c r="W902" s="45">
        <f t="shared" ca="1" si="418"/>
        <v>30</v>
      </c>
      <c r="X902" s="48">
        <f t="shared" ca="1" si="419"/>
        <v>411</v>
      </c>
      <c r="Y902">
        <f t="shared" si="407"/>
        <v>18</v>
      </c>
      <c r="Z902">
        <f t="shared" ca="1" si="413"/>
        <v>12</v>
      </c>
      <c r="AA902" t="str">
        <f t="shared" ca="1" si="414"/>
        <v>9224200.png</v>
      </c>
      <c r="AB902">
        <f t="shared" si="408"/>
        <v>7</v>
      </c>
      <c r="AC902">
        <f>VLOOKUP(C902,技能辅助查询表,技能配置辅助表!$W$1,FALSE)</f>
        <v>34</v>
      </c>
      <c r="AD902">
        <f t="shared" ca="1" si="415"/>
        <v>152.15639702700031</v>
      </c>
      <c r="AE902">
        <f>VLOOKUP(C902,技能辅助查询表,技能配置辅助表!$U$1,FALSE)</f>
        <v>4</v>
      </c>
      <c r="AF902">
        <f t="shared" ca="1" si="416"/>
        <v>9224233</v>
      </c>
      <c r="AG902">
        <f t="shared" ca="1" si="420"/>
        <v>55.020408163265309</v>
      </c>
      <c r="AH902">
        <f t="shared" ca="1" si="417"/>
        <v>837.62497166611001</v>
      </c>
      <c r="AI902">
        <f ca="1">VLOOKUP(E902,伤害参考系!$C$4:$E$104,3,FALSE)*$AN$12</f>
        <v>8513.8763929765901</v>
      </c>
      <c r="AJ902">
        <f>VLOOKUP(C902,技能辅助查询表,技能配置辅助表!$L$1,FALSE)</f>
        <v>3</v>
      </c>
      <c r="AK902">
        <f>VLOOKUP(C902,技能辅助查询表,技能配置辅助表!$AE$1,FALSE)</f>
        <v>66000388</v>
      </c>
    </row>
    <row r="903" spans="1:37" x14ac:dyDescent="0.15">
      <c r="A903" s="1">
        <f t="shared" ca="1" si="409"/>
        <v>9224234</v>
      </c>
      <c r="B903" s="1" t="str">
        <f t="shared" ca="1" si="394"/>
        <v>幻影脚第2段</v>
      </c>
      <c r="C903" t="s">
        <v>168</v>
      </c>
      <c r="D903">
        <f t="shared" si="395"/>
        <v>2</v>
      </c>
      <c r="E903" s="42">
        <f t="shared" ca="1" si="410"/>
        <v>57</v>
      </c>
      <c r="F903" t="str">
        <f t="shared" ca="1" si="411"/>
        <v>第34级，共造成192.3%点伤害</v>
      </c>
      <c r="G903">
        <f t="shared" ca="1" si="412"/>
        <v>2</v>
      </c>
      <c r="H903">
        <f t="shared" si="396"/>
        <v>2</v>
      </c>
      <c r="I903" s="44">
        <f t="shared" ca="1" si="393"/>
        <v>34</v>
      </c>
      <c r="J903">
        <f t="shared" si="397"/>
        <v>2</v>
      </c>
      <c r="K903" s="36">
        <f t="shared" ca="1" si="398"/>
        <v>64.086956521739125</v>
      </c>
      <c r="L903" s="10">
        <f ca="1">AH903*VLOOKUP(C903,技能辅助查询表,技能配置辅助表!$T$1,FALSE)</f>
        <v>0</v>
      </c>
      <c r="M903">
        <f t="shared" ca="1" si="399"/>
        <v>5280</v>
      </c>
      <c r="N903" s="33">
        <f ca="1">CHOOSE(1,W903*U903,X903*'[1]0、经济设定'!$C$18)</f>
        <v>67808</v>
      </c>
      <c r="O903">
        <f t="shared" si="400"/>
        <v>4</v>
      </c>
      <c r="P903">
        <f t="shared" si="401"/>
        <v>3</v>
      </c>
      <c r="Q903">
        <f t="shared" si="402"/>
        <v>1</v>
      </c>
      <c r="R903" s="2">
        <f t="shared" si="403"/>
        <v>8</v>
      </c>
      <c r="S903" s="2">
        <f t="shared" si="404"/>
        <v>50</v>
      </c>
      <c r="T903" s="2">
        <f t="shared" si="405"/>
        <v>47.826086956521742</v>
      </c>
      <c r="U903" s="2">
        <f ca="1">VLOOKUP(E903,金币生产率!$A$2:$B$120,2,0)</f>
        <v>2119</v>
      </c>
      <c r="V903" s="2">
        <f t="shared" si="406"/>
        <v>143.47826086956522</v>
      </c>
      <c r="W903" s="45">
        <f t="shared" ca="1" si="418"/>
        <v>32</v>
      </c>
      <c r="X903" s="48">
        <f t="shared" ca="1" si="419"/>
        <v>443</v>
      </c>
      <c r="Y903">
        <f t="shared" si="407"/>
        <v>18</v>
      </c>
      <c r="Z903">
        <f t="shared" ca="1" si="413"/>
        <v>13</v>
      </c>
      <c r="AA903" t="str">
        <f t="shared" ca="1" si="414"/>
        <v>9224200.png</v>
      </c>
      <c r="AB903">
        <f t="shared" si="408"/>
        <v>7</v>
      </c>
      <c r="AC903">
        <f>VLOOKUP(C903,技能辅助查询表,技能配置辅助表!$W$1,FALSE)</f>
        <v>34</v>
      </c>
      <c r="AD903">
        <f t="shared" ca="1" si="415"/>
        <v>175.96453644961773</v>
      </c>
      <c r="AE903">
        <f>VLOOKUP(C903,技能辅助查询表,技能配置辅助表!$U$1,FALSE)</f>
        <v>4</v>
      </c>
      <c r="AF903">
        <f t="shared" ca="1" si="416"/>
        <v>9224234</v>
      </c>
      <c r="AG903">
        <f t="shared" ca="1" si="420"/>
        <v>56.489795918367349</v>
      </c>
      <c r="AH903">
        <f t="shared" ca="1" si="417"/>
        <v>953.62496190886134</v>
      </c>
      <c r="AI903">
        <f ca="1">VLOOKUP(E903,伤害参考系!$C$4:$E$104,3,FALSE)*$AN$12</f>
        <v>8942.2556036789319</v>
      </c>
      <c r="AJ903">
        <f>VLOOKUP(C903,技能辅助查询表,技能配置辅助表!$L$1,FALSE)</f>
        <v>3</v>
      </c>
      <c r="AK903">
        <f>VLOOKUP(C903,技能辅助查询表,技能配置辅助表!$AE$1,FALSE)</f>
        <v>66000388</v>
      </c>
    </row>
    <row r="904" spans="1:37" x14ac:dyDescent="0.15">
      <c r="A904" s="1">
        <f t="shared" ca="1" si="409"/>
        <v>9224235</v>
      </c>
      <c r="B904" s="1" t="str">
        <f t="shared" ca="1" si="394"/>
        <v>幻影脚第2段</v>
      </c>
      <c r="C904" t="s">
        <v>168</v>
      </c>
      <c r="D904">
        <f t="shared" si="395"/>
        <v>2</v>
      </c>
      <c r="E904" s="42">
        <f t="shared" ca="1" si="410"/>
        <v>58</v>
      </c>
      <c r="F904" t="str">
        <f t="shared" ca="1" si="411"/>
        <v>第35级，共造成193.7%点伤害</v>
      </c>
      <c r="G904">
        <f t="shared" ca="1" si="412"/>
        <v>2</v>
      </c>
      <c r="H904">
        <f t="shared" si="396"/>
        <v>2</v>
      </c>
      <c r="I904" s="44">
        <f t="shared" ca="1" si="393"/>
        <v>35</v>
      </c>
      <c r="J904">
        <f t="shared" si="397"/>
        <v>2</v>
      </c>
      <c r="K904" s="36">
        <f t="shared" ca="1" si="398"/>
        <v>64.565217391304344</v>
      </c>
      <c r="L904" s="10">
        <f ca="1">AH904*VLOOKUP(C904,技能辅助查询表,技能配置辅助表!$T$1,FALSE)</f>
        <v>0</v>
      </c>
      <c r="M904">
        <f t="shared" ca="1" si="399"/>
        <v>5200</v>
      </c>
      <c r="N904" s="33">
        <f ca="1">CHOOSE(1,W904*U904,X904*'[1]0、经济设定'!$C$18)</f>
        <v>74732</v>
      </c>
      <c r="O904">
        <f t="shared" si="400"/>
        <v>4</v>
      </c>
      <c r="P904">
        <f t="shared" si="401"/>
        <v>3</v>
      </c>
      <c r="Q904">
        <f t="shared" si="402"/>
        <v>1</v>
      </c>
      <c r="R904" s="2">
        <f t="shared" si="403"/>
        <v>8</v>
      </c>
      <c r="S904" s="2">
        <f t="shared" si="404"/>
        <v>50</v>
      </c>
      <c r="T904" s="2">
        <f t="shared" si="405"/>
        <v>47.826086956521742</v>
      </c>
      <c r="U904" s="2">
        <f ca="1">VLOOKUP(E904,金币生产率!$A$2:$B$120,2,0)</f>
        <v>2198</v>
      </c>
      <c r="V904" s="2">
        <f t="shared" si="406"/>
        <v>143.47826086956522</v>
      </c>
      <c r="W904" s="45">
        <f t="shared" ca="1" si="418"/>
        <v>34</v>
      </c>
      <c r="X904" s="48">
        <f t="shared" ca="1" si="419"/>
        <v>477</v>
      </c>
      <c r="Y904">
        <f t="shared" si="407"/>
        <v>18</v>
      </c>
      <c r="Z904">
        <f t="shared" ca="1" si="413"/>
        <v>14</v>
      </c>
      <c r="AA904" t="str">
        <f t="shared" ca="1" si="414"/>
        <v>9224200.png</v>
      </c>
      <c r="AB904">
        <f t="shared" si="408"/>
        <v>7</v>
      </c>
      <c r="AC904">
        <f>VLOOKUP(C904,技能辅助查询表,技能配置辅助表!$W$1,FALSE)</f>
        <v>34</v>
      </c>
      <c r="AD904">
        <f t="shared" ca="1" si="415"/>
        <v>203.44875615234804</v>
      </c>
      <c r="AE904">
        <f>VLOOKUP(C904,技能辅助查询表,技能配置辅助表!$U$1,FALSE)</f>
        <v>4</v>
      </c>
      <c r="AF904">
        <f t="shared" ca="1" si="416"/>
        <v>9224235</v>
      </c>
      <c r="AG904">
        <f t="shared" ca="1" si="420"/>
        <v>57.95918367346939</v>
      </c>
      <c r="AH904">
        <f t="shared" ca="1" si="417"/>
        <v>1085.689417982368</v>
      </c>
      <c r="AI904">
        <f ca="1">VLOOKUP(E904,伤害参考系!$C$4:$E$104,3,FALSE)*$AN$12</f>
        <v>9381.0475610367921</v>
      </c>
      <c r="AJ904">
        <f>VLOOKUP(C904,技能辅助查询表,技能配置辅助表!$L$1,FALSE)</f>
        <v>3</v>
      </c>
      <c r="AK904">
        <f>VLOOKUP(C904,技能辅助查询表,技能配置辅助表!$AE$1,FALSE)</f>
        <v>66000388</v>
      </c>
    </row>
    <row r="905" spans="1:37" x14ac:dyDescent="0.15">
      <c r="A905" s="1">
        <f t="shared" ca="1" si="409"/>
        <v>9224236</v>
      </c>
      <c r="B905" s="1" t="str">
        <f t="shared" ca="1" si="394"/>
        <v>幻影脚第2段</v>
      </c>
      <c r="C905" t="s">
        <v>168</v>
      </c>
      <c r="D905">
        <f t="shared" si="395"/>
        <v>2</v>
      </c>
      <c r="E905" s="42">
        <f t="shared" ca="1" si="410"/>
        <v>60</v>
      </c>
      <c r="F905" t="str">
        <f t="shared" ca="1" si="411"/>
        <v>第36级，共造成195.1%点伤害</v>
      </c>
      <c r="G905">
        <f t="shared" ca="1" si="412"/>
        <v>2</v>
      </c>
      <c r="H905">
        <f t="shared" si="396"/>
        <v>2</v>
      </c>
      <c r="I905" s="44">
        <f t="shared" ca="1" si="393"/>
        <v>36</v>
      </c>
      <c r="J905">
        <f t="shared" si="397"/>
        <v>2</v>
      </c>
      <c r="K905" s="36">
        <f t="shared" ca="1" si="398"/>
        <v>65.043478260869563</v>
      </c>
      <c r="L905" s="10">
        <f ca="1">AH905*VLOOKUP(C905,技能辅助查询表,技能配置辅助表!$T$1,FALSE)</f>
        <v>0</v>
      </c>
      <c r="M905">
        <f t="shared" ca="1" si="399"/>
        <v>5120</v>
      </c>
      <c r="N905" s="33">
        <f ca="1">CHOOSE(1,W905*U905,X905*'[1]0、经济设定'!$C$18)</f>
        <v>87246</v>
      </c>
      <c r="O905">
        <f t="shared" si="400"/>
        <v>4</v>
      </c>
      <c r="P905">
        <f t="shared" si="401"/>
        <v>3</v>
      </c>
      <c r="Q905">
        <f t="shared" si="402"/>
        <v>1</v>
      </c>
      <c r="R905" s="2">
        <f t="shared" si="403"/>
        <v>8</v>
      </c>
      <c r="S905" s="2">
        <f t="shared" si="404"/>
        <v>50</v>
      </c>
      <c r="T905" s="2">
        <f t="shared" si="405"/>
        <v>47.826086956521742</v>
      </c>
      <c r="U905" s="2">
        <f ca="1">VLOOKUP(E905,金币生产率!$A$2:$B$120,2,0)</f>
        <v>2358</v>
      </c>
      <c r="V905" s="2">
        <f t="shared" si="406"/>
        <v>143.47826086956522</v>
      </c>
      <c r="W905" s="45">
        <f t="shared" ca="1" si="418"/>
        <v>37</v>
      </c>
      <c r="X905" s="48">
        <f t="shared" ca="1" si="419"/>
        <v>514</v>
      </c>
      <c r="Y905">
        <f t="shared" si="407"/>
        <v>18</v>
      </c>
      <c r="Z905">
        <f t="shared" ca="1" si="413"/>
        <v>15</v>
      </c>
      <c r="AA905" t="str">
        <f t="shared" ca="1" si="414"/>
        <v>9224200.png</v>
      </c>
      <c r="AB905">
        <f t="shared" si="408"/>
        <v>7</v>
      </c>
      <c r="AC905">
        <f>VLOOKUP(C905,技能辅助查询表,技能配置辅助表!$W$1,FALSE)</f>
        <v>34</v>
      </c>
      <c r="AD905">
        <f t="shared" ca="1" si="415"/>
        <v>235.17062667918475</v>
      </c>
      <c r="AE905">
        <f>VLOOKUP(C905,技能辅助查询表,技能配置辅助表!$U$1,FALSE)</f>
        <v>4</v>
      </c>
      <c r="AF905">
        <f t="shared" ca="1" si="416"/>
        <v>9224236</v>
      </c>
      <c r="AG905">
        <f t="shared" ca="1" si="420"/>
        <v>59.428571428571431</v>
      </c>
      <c r="AH905">
        <f t="shared" ca="1" si="417"/>
        <v>1236.0430561291703</v>
      </c>
      <c r="AI905">
        <f ca="1">VLOOKUP(E905,伤害参考系!$C$4:$E$104,3,FALSE)*$AN$12</f>
        <v>10340.558729096994</v>
      </c>
      <c r="AJ905">
        <f>VLOOKUP(C905,技能辅助查询表,技能配置辅助表!$L$1,FALSE)</f>
        <v>3</v>
      </c>
      <c r="AK905">
        <f>VLOOKUP(C905,技能辅助查询表,技能配置辅助表!$AE$1,FALSE)</f>
        <v>66000388</v>
      </c>
    </row>
    <row r="906" spans="1:37" x14ac:dyDescent="0.15">
      <c r="A906" s="1">
        <f t="shared" ca="1" si="409"/>
        <v>9224237</v>
      </c>
      <c r="B906" s="1" t="str">
        <f t="shared" ca="1" si="394"/>
        <v>幻影脚第2段</v>
      </c>
      <c r="C906" t="s">
        <v>168</v>
      </c>
      <c r="D906">
        <f t="shared" si="395"/>
        <v>2</v>
      </c>
      <c r="E906" s="42">
        <f t="shared" ca="1" si="410"/>
        <v>61</v>
      </c>
      <c r="F906" t="str">
        <f t="shared" ca="1" si="411"/>
        <v>第37级，共造成196.6%点伤害</v>
      </c>
      <c r="G906">
        <f t="shared" ca="1" si="412"/>
        <v>2</v>
      </c>
      <c r="H906">
        <f t="shared" si="396"/>
        <v>2</v>
      </c>
      <c r="I906" s="44">
        <f t="shared" ca="1" si="393"/>
        <v>37</v>
      </c>
      <c r="J906">
        <f t="shared" si="397"/>
        <v>2</v>
      </c>
      <c r="K906" s="36">
        <f t="shared" ca="1" si="398"/>
        <v>65.521739130434781</v>
      </c>
      <c r="L906" s="10">
        <f ca="1">AH906*VLOOKUP(C906,技能辅助查询表,技能配置辅助表!$T$1,FALSE)</f>
        <v>0</v>
      </c>
      <c r="M906">
        <f t="shared" ca="1" si="399"/>
        <v>5040</v>
      </c>
      <c r="N906" s="33">
        <f ca="1">CHOOSE(1,W906*U906,X906*'[1]0、经济设定'!$C$18)</f>
        <v>95160</v>
      </c>
      <c r="O906">
        <f t="shared" si="400"/>
        <v>4</v>
      </c>
      <c r="P906">
        <f t="shared" si="401"/>
        <v>3</v>
      </c>
      <c r="Q906">
        <f t="shared" si="402"/>
        <v>1</v>
      </c>
      <c r="R906" s="2">
        <f t="shared" si="403"/>
        <v>8</v>
      </c>
      <c r="S906" s="2">
        <f t="shared" si="404"/>
        <v>50</v>
      </c>
      <c r="T906" s="2">
        <f t="shared" si="405"/>
        <v>47.826086956521742</v>
      </c>
      <c r="U906" s="2">
        <f ca="1">VLOOKUP(E906,金币生产率!$A$2:$B$120,2,0)</f>
        <v>2440</v>
      </c>
      <c r="V906" s="2">
        <f t="shared" si="406"/>
        <v>143.47826086956522</v>
      </c>
      <c r="W906" s="45">
        <f t="shared" ca="1" si="418"/>
        <v>39</v>
      </c>
      <c r="X906" s="48">
        <f t="shared" ca="1" si="419"/>
        <v>553</v>
      </c>
      <c r="Y906">
        <f t="shared" si="407"/>
        <v>18</v>
      </c>
      <c r="Z906">
        <f t="shared" ca="1" si="413"/>
        <v>16</v>
      </c>
      <c r="AA906" t="str">
        <f t="shared" ca="1" si="414"/>
        <v>9224200.png</v>
      </c>
      <c r="AB906">
        <f t="shared" si="408"/>
        <v>7</v>
      </c>
      <c r="AC906">
        <f>VLOOKUP(C906,技能辅助查询表,技能配置辅助表!$W$1,FALSE)</f>
        <v>34</v>
      </c>
      <c r="AD906">
        <f t="shared" ca="1" si="415"/>
        <v>271.77675673750724</v>
      </c>
      <c r="AE906">
        <f>VLOOKUP(C906,技能辅助查询表,技能配置辅助表!$U$1,FALSE)</f>
        <v>4</v>
      </c>
      <c r="AF906">
        <f t="shared" ca="1" si="416"/>
        <v>9224237</v>
      </c>
      <c r="AG906">
        <f t="shared" ca="1" si="420"/>
        <v>60.897959183673471</v>
      </c>
      <c r="AH906">
        <f t="shared" ca="1" si="417"/>
        <v>1407.2186863941167</v>
      </c>
      <c r="AI906">
        <f ca="1">VLOOKUP(E906,伤害参考系!$C$4:$E$104,3,FALSE)*$AN$12</f>
        <v>10863.360489130437</v>
      </c>
      <c r="AJ906">
        <f>VLOOKUP(C906,技能辅助查询表,技能配置辅助表!$L$1,FALSE)</f>
        <v>3</v>
      </c>
      <c r="AK906">
        <f>VLOOKUP(C906,技能辅助查询表,技能配置辅助表!$AE$1,FALSE)</f>
        <v>66000388</v>
      </c>
    </row>
    <row r="907" spans="1:37" x14ac:dyDescent="0.15">
      <c r="A907" s="1">
        <f t="shared" ca="1" si="409"/>
        <v>9224238</v>
      </c>
      <c r="B907" s="1" t="str">
        <f t="shared" ca="1" si="394"/>
        <v>幻影脚第2段</v>
      </c>
      <c r="C907" t="s">
        <v>168</v>
      </c>
      <c r="D907">
        <f t="shared" si="395"/>
        <v>2</v>
      </c>
      <c r="E907" s="42">
        <f t="shared" ca="1" si="410"/>
        <v>63</v>
      </c>
      <c r="F907" t="str">
        <f t="shared" ca="1" si="411"/>
        <v>第38级，共造成198%点伤害</v>
      </c>
      <c r="G907">
        <f t="shared" ca="1" si="412"/>
        <v>2</v>
      </c>
      <c r="H907">
        <f t="shared" si="396"/>
        <v>2</v>
      </c>
      <c r="I907" s="44">
        <f t="shared" ca="1" si="393"/>
        <v>38</v>
      </c>
      <c r="J907">
        <f t="shared" si="397"/>
        <v>2</v>
      </c>
      <c r="K907" s="36">
        <f t="shared" ca="1" si="398"/>
        <v>66</v>
      </c>
      <c r="L907" s="10">
        <f ca="1">AH907*VLOOKUP(C907,技能辅助查询表,技能配置辅助表!$T$1,FALSE)</f>
        <v>0</v>
      </c>
      <c r="M907">
        <f t="shared" ca="1" si="399"/>
        <v>4960</v>
      </c>
      <c r="N907" s="33">
        <f ca="1">CHOOSE(1,W907*U907,X907*'[1]0、经济设定'!$C$18)</f>
        <v>109578</v>
      </c>
      <c r="O907">
        <f t="shared" si="400"/>
        <v>4</v>
      </c>
      <c r="P907">
        <f t="shared" si="401"/>
        <v>3</v>
      </c>
      <c r="Q907">
        <f t="shared" si="402"/>
        <v>1</v>
      </c>
      <c r="R907" s="2">
        <f t="shared" si="403"/>
        <v>8</v>
      </c>
      <c r="S907" s="2">
        <f t="shared" si="404"/>
        <v>50</v>
      </c>
      <c r="T907" s="2">
        <f t="shared" si="405"/>
        <v>47.826086956521742</v>
      </c>
      <c r="U907" s="2">
        <f ca="1">VLOOKUP(E907,金币生产率!$A$2:$B$120,2,0)</f>
        <v>2609</v>
      </c>
      <c r="V907" s="2">
        <f t="shared" si="406"/>
        <v>143.47826086956522</v>
      </c>
      <c r="W907" s="45">
        <f t="shared" ca="1" si="418"/>
        <v>42</v>
      </c>
      <c r="X907" s="48">
        <f t="shared" ca="1" si="419"/>
        <v>595</v>
      </c>
      <c r="Y907">
        <f t="shared" si="407"/>
        <v>18</v>
      </c>
      <c r="Z907">
        <f t="shared" ca="1" si="413"/>
        <v>17</v>
      </c>
      <c r="AA907" t="str">
        <f t="shared" ca="1" si="414"/>
        <v>9224200.png</v>
      </c>
      <c r="AB907">
        <f t="shared" si="408"/>
        <v>7</v>
      </c>
      <c r="AC907">
        <f>VLOOKUP(C907,技能辅助查询表,技能配置辅助表!$W$1,FALSE)</f>
        <v>34</v>
      </c>
      <c r="AD907">
        <f t="shared" ca="1" si="415"/>
        <v>314.01157639078895</v>
      </c>
      <c r="AE907">
        <f>VLOOKUP(C907,技能辅助查询表,技能配置辅助表!$U$1,FALSE)</f>
        <v>4</v>
      </c>
      <c r="AF907">
        <f t="shared" ca="1" si="416"/>
        <v>9224238</v>
      </c>
      <c r="AG907">
        <f t="shared" ca="1" si="420"/>
        <v>62.367346938775512</v>
      </c>
      <c r="AH907">
        <f t="shared" ca="1" si="417"/>
        <v>1602.0998795448415</v>
      </c>
      <c r="AI907">
        <f ca="1">VLOOKUP(E907,伤害参考系!$C$4:$E$104,3,FALSE)*$AN$12</f>
        <v>11946.449897157196</v>
      </c>
      <c r="AJ907">
        <f>VLOOKUP(C907,技能辅助查询表,技能配置辅助表!$L$1,FALSE)</f>
        <v>3</v>
      </c>
      <c r="AK907">
        <f>VLOOKUP(C907,技能辅助查询表,技能配置辅助表!$AE$1,FALSE)</f>
        <v>66000388</v>
      </c>
    </row>
    <row r="908" spans="1:37" x14ac:dyDescent="0.15">
      <c r="A908" s="1">
        <f t="shared" ca="1" si="409"/>
        <v>9224239</v>
      </c>
      <c r="B908" s="1" t="str">
        <f t="shared" ca="1" si="394"/>
        <v>幻影脚第2段</v>
      </c>
      <c r="C908" t="s">
        <v>168</v>
      </c>
      <c r="D908">
        <f t="shared" si="395"/>
        <v>2</v>
      </c>
      <c r="E908" s="42">
        <f t="shared" ca="1" si="410"/>
        <v>64</v>
      </c>
      <c r="F908" t="str">
        <f t="shared" ca="1" si="411"/>
        <v>第39级，共造成199.4%点伤害</v>
      </c>
      <c r="G908">
        <f t="shared" ca="1" si="412"/>
        <v>2</v>
      </c>
      <c r="H908">
        <f t="shared" si="396"/>
        <v>2</v>
      </c>
      <c r="I908" s="44">
        <f t="shared" ref="I908:I971" ca="1" si="421">IF(OFFSET(C908,-1,0)=C908,I907+1,0)</f>
        <v>39</v>
      </c>
      <c r="J908">
        <f t="shared" si="397"/>
        <v>2</v>
      </c>
      <c r="K908" s="36">
        <f t="shared" ca="1" si="398"/>
        <v>66.478260869565219</v>
      </c>
      <c r="L908" s="10">
        <f ca="1">AH908*VLOOKUP(C908,技能辅助查询表,技能配置辅助表!$T$1,FALSE)</f>
        <v>0</v>
      </c>
      <c r="M908">
        <f t="shared" ca="1" si="399"/>
        <v>4880</v>
      </c>
      <c r="N908" s="33">
        <f ca="1">CHOOSE(1,W908*U908,X908*'[1]0、经济设定'!$C$18)</f>
        <v>121275</v>
      </c>
      <c r="O908">
        <f t="shared" si="400"/>
        <v>4</v>
      </c>
      <c r="P908">
        <f t="shared" si="401"/>
        <v>3</v>
      </c>
      <c r="Q908">
        <f t="shared" si="402"/>
        <v>1</v>
      </c>
      <c r="R908" s="2">
        <f t="shared" si="403"/>
        <v>8</v>
      </c>
      <c r="S908" s="2">
        <f t="shared" si="404"/>
        <v>50</v>
      </c>
      <c r="T908" s="2">
        <f t="shared" si="405"/>
        <v>47.826086956521742</v>
      </c>
      <c r="U908" s="2">
        <f ca="1">VLOOKUP(E908,金币生产率!$A$2:$B$120,2,0)</f>
        <v>2695</v>
      </c>
      <c r="V908" s="2">
        <f t="shared" si="406"/>
        <v>143.47826086956522</v>
      </c>
      <c r="W908" s="45">
        <f t="shared" ca="1" si="418"/>
        <v>45</v>
      </c>
      <c r="X908" s="48">
        <f t="shared" ca="1" si="419"/>
        <v>640</v>
      </c>
      <c r="Y908">
        <f t="shared" si="407"/>
        <v>18</v>
      </c>
      <c r="Z908">
        <f t="shared" ca="1" si="413"/>
        <v>18</v>
      </c>
      <c r="AA908" t="str">
        <f t="shared" ca="1" si="414"/>
        <v>9224200.png</v>
      </c>
      <c r="AB908">
        <f t="shared" si="408"/>
        <v>7</v>
      </c>
      <c r="AC908">
        <f>VLOOKUP(C908,技能辅助查询表,技能配置辅助表!$W$1,FALSE)</f>
        <v>34</v>
      </c>
      <c r="AD908">
        <f t="shared" ca="1" si="415"/>
        <v>362.73202994579259</v>
      </c>
      <c r="AE908">
        <f>VLOOKUP(C908,技能辅助查询表,技能配置辅助表!$U$1,FALSE)</f>
        <v>4</v>
      </c>
      <c r="AF908">
        <f t="shared" ca="1" si="416"/>
        <v>9224239</v>
      </c>
      <c r="AG908">
        <f t="shared" ca="1" si="420"/>
        <v>63.836734693877553</v>
      </c>
      <c r="AH908">
        <f t="shared" ca="1" si="417"/>
        <v>1823.9695427969455</v>
      </c>
      <c r="AI908">
        <f ca="1">VLOOKUP(E908,伤害参考系!$C$4:$E$104,3,FALSE)*$AN$12</f>
        <v>12506.737545150507</v>
      </c>
      <c r="AJ908">
        <f>VLOOKUP(C908,技能辅助查询表,技能配置辅助表!$L$1,FALSE)</f>
        <v>3</v>
      </c>
      <c r="AK908">
        <f>VLOOKUP(C908,技能辅助查询表,技能配置辅助表!$AE$1,FALSE)</f>
        <v>66000388</v>
      </c>
    </row>
    <row r="909" spans="1:37" x14ac:dyDescent="0.15">
      <c r="A909" s="1">
        <f t="shared" ca="1" si="409"/>
        <v>9224240</v>
      </c>
      <c r="B909" s="1" t="str">
        <f t="shared" ca="1" si="394"/>
        <v>幻影脚第2段</v>
      </c>
      <c r="C909" t="s">
        <v>168</v>
      </c>
      <c r="D909">
        <f t="shared" si="395"/>
        <v>2</v>
      </c>
      <c r="E909" s="42">
        <f t="shared" ca="1" si="410"/>
        <v>66</v>
      </c>
      <c r="F909" t="str">
        <f t="shared" ca="1" si="411"/>
        <v>第40级，共造成200.9%点伤害</v>
      </c>
      <c r="G909">
        <f t="shared" ca="1" si="412"/>
        <v>2</v>
      </c>
      <c r="H909">
        <f t="shared" si="396"/>
        <v>2</v>
      </c>
      <c r="I909" s="44">
        <f t="shared" ca="1" si="421"/>
        <v>40</v>
      </c>
      <c r="J909">
        <f t="shared" si="397"/>
        <v>2</v>
      </c>
      <c r="K909" s="36">
        <f t="shared" ca="1" si="398"/>
        <v>66.956521739130437</v>
      </c>
      <c r="L909" s="10">
        <f ca="1">AH909*VLOOKUP(C909,技能辅助查询表,技能配置辅助表!$T$1,FALSE)</f>
        <v>0</v>
      </c>
      <c r="M909">
        <f t="shared" ca="1" si="399"/>
        <v>4800</v>
      </c>
      <c r="N909" s="33">
        <f ca="1">CHOOSE(1,W909*U909,X909*'[1]0、经济设定'!$C$18)</f>
        <v>137856</v>
      </c>
      <c r="O909">
        <f t="shared" si="400"/>
        <v>4</v>
      </c>
      <c r="P909">
        <f t="shared" si="401"/>
        <v>3</v>
      </c>
      <c r="Q909">
        <f t="shared" si="402"/>
        <v>1</v>
      </c>
      <c r="R909" s="2">
        <f t="shared" si="403"/>
        <v>8</v>
      </c>
      <c r="S909" s="2">
        <f t="shared" si="404"/>
        <v>50</v>
      </c>
      <c r="T909" s="2">
        <f t="shared" si="405"/>
        <v>47.826086956521742</v>
      </c>
      <c r="U909" s="2">
        <f ca="1">VLOOKUP(E909,金币生产率!$A$2:$B$120,2,0)</f>
        <v>2872</v>
      </c>
      <c r="V909" s="2">
        <f t="shared" si="406"/>
        <v>143.47826086956522</v>
      </c>
      <c r="W909" s="45">
        <f t="shared" ca="1" si="418"/>
        <v>48</v>
      </c>
      <c r="X909" s="48">
        <f t="shared" ca="1" si="419"/>
        <v>688</v>
      </c>
      <c r="Y909">
        <f t="shared" si="407"/>
        <v>18</v>
      </c>
      <c r="Z909">
        <f t="shared" ca="1" si="413"/>
        <v>20</v>
      </c>
      <c r="AA909" t="str">
        <f t="shared" ca="1" si="414"/>
        <v>9224200.png</v>
      </c>
      <c r="AB909">
        <f t="shared" si="408"/>
        <v>7</v>
      </c>
      <c r="AC909">
        <f>VLOOKUP(C909,技能辅助查询表,技能配置辅助表!$W$1,FALSE)</f>
        <v>34</v>
      </c>
      <c r="AD909">
        <f t="shared" ca="1" si="415"/>
        <v>418.92446230554134</v>
      </c>
      <c r="AE909">
        <f>VLOOKUP(C909,技能辅助查询表,技能配置辅助表!$U$1,FALSE)</f>
        <v>4</v>
      </c>
      <c r="AF909">
        <f t="shared" ca="1" si="416"/>
        <v>9224240</v>
      </c>
      <c r="AG909">
        <f t="shared" ca="1" si="420"/>
        <v>65.306122448979593</v>
      </c>
      <c r="AH909">
        <f t="shared" ca="1" si="417"/>
        <v>2076.5652226352254</v>
      </c>
      <c r="AI909">
        <f ca="1">VLOOKUP(E909,伤害参考系!$C$4:$E$104,3,FALSE)*$AN$12</f>
        <v>13664.798729096996</v>
      </c>
      <c r="AJ909">
        <f>VLOOKUP(C909,技能辅助查询表,技能配置辅助表!$L$1,FALSE)</f>
        <v>3</v>
      </c>
      <c r="AK909">
        <f>VLOOKUP(C909,技能辅助查询表,技能配置辅助表!$AE$1,FALSE)</f>
        <v>66000388</v>
      </c>
    </row>
    <row r="910" spans="1:37" x14ac:dyDescent="0.15">
      <c r="A910" s="1">
        <f t="shared" ca="1" si="409"/>
        <v>9224241</v>
      </c>
      <c r="B910" s="1" t="str">
        <f t="shared" ca="1" si="394"/>
        <v>幻影脚第2段</v>
      </c>
      <c r="C910" t="s">
        <v>168</v>
      </c>
      <c r="D910">
        <f t="shared" si="395"/>
        <v>2</v>
      </c>
      <c r="E910" s="42">
        <f t="shared" ca="1" si="410"/>
        <v>67</v>
      </c>
      <c r="F910" t="str">
        <f t="shared" ca="1" si="411"/>
        <v>第41级，共造成202.3%点伤害</v>
      </c>
      <c r="G910">
        <f t="shared" ca="1" si="412"/>
        <v>2</v>
      </c>
      <c r="H910">
        <f t="shared" si="396"/>
        <v>2</v>
      </c>
      <c r="I910" s="44">
        <f t="shared" ca="1" si="421"/>
        <v>41</v>
      </c>
      <c r="J910">
        <f t="shared" si="397"/>
        <v>2</v>
      </c>
      <c r="K910" s="36">
        <f t="shared" ca="1" si="398"/>
        <v>67.434782608695656</v>
      </c>
      <c r="L910" s="10">
        <f ca="1">AH910*VLOOKUP(C910,技能辅助查询表,技能配置辅助表!$T$1,FALSE)</f>
        <v>0</v>
      </c>
      <c r="M910">
        <f t="shared" ca="1" si="399"/>
        <v>4720</v>
      </c>
      <c r="N910" s="33">
        <f ca="1">CHOOSE(1,W910*U910,X910*'[1]0、经济设定'!$C$18)</f>
        <v>151113</v>
      </c>
      <c r="O910">
        <f t="shared" si="400"/>
        <v>4</v>
      </c>
      <c r="P910">
        <f t="shared" si="401"/>
        <v>3</v>
      </c>
      <c r="Q910">
        <f t="shared" si="402"/>
        <v>1</v>
      </c>
      <c r="R910" s="2">
        <f t="shared" si="403"/>
        <v>8</v>
      </c>
      <c r="S910" s="2">
        <f t="shared" si="404"/>
        <v>50</v>
      </c>
      <c r="T910" s="2">
        <f t="shared" si="405"/>
        <v>47.826086956521742</v>
      </c>
      <c r="U910" s="2">
        <f ca="1">VLOOKUP(E910,金币生产率!$A$2:$B$120,2,0)</f>
        <v>2963</v>
      </c>
      <c r="V910" s="2">
        <f t="shared" si="406"/>
        <v>143.47826086956522</v>
      </c>
      <c r="W910" s="45">
        <f t="shared" ca="1" si="418"/>
        <v>51</v>
      </c>
      <c r="X910" s="48">
        <f t="shared" ca="1" si="419"/>
        <v>739</v>
      </c>
      <c r="Y910">
        <f t="shared" si="407"/>
        <v>18</v>
      </c>
      <c r="Z910">
        <f t="shared" ca="1" si="413"/>
        <v>21</v>
      </c>
      <c r="AA910" t="str">
        <f t="shared" ca="1" si="414"/>
        <v>9224200.png</v>
      </c>
      <c r="AB910">
        <f t="shared" si="408"/>
        <v>7</v>
      </c>
      <c r="AC910">
        <f>VLOOKUP(C910,技能辅助查询表,技能配置辅助表!$W$1,FALSE)</f>
        <v>34</v>
      </c>
      <c r="AD910">
        <f t="shared" ca="1" si="415"/>
        <v>483.72402453125926</v>
      </c>
      <c r="AE910">
        <f>VLOOKUP(C910,技能辅助查询表,技能配置辅助表!$U$1,FALSE)</f>
        <v>4</v>
      </c>
      <c r="AF910">
        <f t="shared" ca="1" si="416"/>
        <v>9224241</v>
      </c>
      <c r="AG910">
        <f t="shared" ca="1" si="420"/>
        <v>66.775510204081627</v>
      </c>
      <c r="AH910">
        <f t="shared" ca="1" si="417"/>
        <v>2364.1420663448707</v>
      </c>
      <c r="AI910">
        <f ca="1">VLOOKUP(E910,伤害参考系!$C$4:$E$104,3,FALSE)*$AN$12</f>
        <v>14262.572265050176</v>
      </c>
      <c r="AJ910">
        <f>VLOOKUP(C910,技能辅助查询表,技能配置辅助表!$L$1,FALSE)</f>
        <v>3</v>
      </c>
      <c r="AK910">
        <f>VLOOKUP(C910,技能辅助查询表,技能配置辅助表!$AE$1,FALSE)</f>
        <v>66000388</v>
      </c>
    </row>
    <row r="911" spans="1:37" x14ac:dyDescent="0.15">
      <c r="A911" s="1">
        <f t="shared" ca="1" si="409"/>
        <v>9224242</v>
      </c>
      <c r="B911" s="1" t="str">
        <f t="shared" ca="1" si="394"/>
        <v>幻影脚第2段</v>
      </c>
      <c r="C911" t="s">
        <v>168</v>
      </c>
      <c r="D911">
        <f t="shared" si="395"/>
        <v>2</v>
      </c>
      <c r="E911" s="42">
        <f t="shared" ca="1" si="410"/>
        <v>68</v>
      </c>
      <c r="F911" t="str">
        <f t="shared" ca="1" si="411"/>
        <v>第42级，共造成203.7%点伤害</v>
      </c>
      <c r="G911">
        <f t="shared" ca="1" si="412"/>
        <v>2</v>
      </c>
      <c r="H911">
        <f t="shared" si="396"/>
        <v>2</v>
      </c>
      <c r="I911" s="44">
        <f t="shared" ca="1" si="421"/>
        <v>42</v>
      </c>
      <c r="J911">
        <f t="shared" si="397"/>
        <v>2</v>
      </c>
      <c r="K911" s="36">
        <f t="shared" ca="1" si="398"/>
        <v>67.913043478260875</v>
      </c>
      <c r="L911" s="10">
        <f ca="1">AH911*VLOOKUP(C911,技能辅助查询表,技能配置辅助表!$T$1,FALSE)</f>
        <v>0</v>
      </c>
      <c r="M911">
        <f t="shared" ca="1" si="399"/>
        <v>4640</v>
      </c>
      <c r="N911" s="33">
        <f ca="1">CHOOSE(1,W911*U911,X911*'[1]0、经济设定'!$C$18)</f>
        <v>167970</v>
      </c>
      <c r="O911">
        <f t="shared" si="400"/>
        <v>4</v>
      </c>
      <c r="P911">
        <f t="shared" si="401"/>
        <v>3</v>
      </c>
      <c r="Q911">
        <f t="shared" si="402"/>
        <v>1</v>
      </c>
      <c r="R911" s="2">
        <f t="shared" si="403"/>
        <v>8</v>
      </c>
      <c r="S911" s="2">
        <f t="shared" si="404"/>
        <v>50</v>
      </c>
      <c r="T911" s="2">
        <f t="shared" si="405"/>
        <v>47.826086956521742</v>
      </c>
      <c r="U911" s="2">
        <f ca="1">VLOOKUP(E911,金币生产率!$A$2:$B$120,2,0)</f>
        <v>3054</v>
      </c>
      <c r="V911" s="2">
        <f t="shared" si="406"/>
        <v>143.47826086956522</v>
      </c>
      <c r="W911" s="45">
        <f t="shared" ca="1" si="418"/>
        <v>55</v>
      </c>
      <c r="X911" s="48">
        <f t="shared" ca="1" si="419"/>
        <v>794</v>
      </c>
      <c r="Y911">
        <f t="shared" si="407"/>
        <v>18</v>
      </c>
      <c r="Z911">
        <f t="shared" ca="1" si="413"/>
        <v>22</v>
      </c>
      <c r="AA911" t="str">
        <f t="shared" ca="1" si="414"/>
        <v>9224200.png</v>
      </c>
      <c r="AB911">
        <f t="shared" si="408"/>
        <v>7</v>
      </c>
      <c r="AC911">
        <f>VLOOKUP(C911,技能辅助查询表,技能配置辅助表!$W$1,FALSE)</f>
        <v>34</v>
      </c>
      <c r="AD911">
        <f t="shared" ca="1" si="415"/>
        <v>558.43697251115759</v>
      </c>
      <c r="AE911">
        <f>VLOOKUP(C911,技能辅助查询表,技能配置辅助表!$U$1,FALSE)</f>
        <v>4</v>
      </c>
      <c r="AF911">
        <f t="shared" ca="1" si="416"/>
        <v>9224242</v>
      </c>
      <c r="AG911">
        <f t="shared" ca="1" si="420"/>
        <v>68.244897959183675</v>
      </c>
      <c r="AH911">
        <f t="shared" ca="1" si="417"/>
        <v>2691.5445028827789</v>
      </c>
      <c r="AI911">
        <f ca="1">VLOOKUP(E911,伤害参考系!$C$4:$E$104,3,FALSE)*$AN$12</f>
        <v>14872.841096989978</v>
      </c>
      <c r="AJ911">
        <f>VLOOKUP(C911,技能辅助查询表,技能配置辅助表!$L$1,FALSE)</f>
        <v>3</v>
      </c>
      <c r="AK911">
        <f>VLOOKUP(C911,技能辅助查询表,技能配置辅助表!$AE$1,FALSE)</f>
        <v>66000388</v>
      </c>
    </row>
    <row r="912" spans="1:37" x14ac:dyDescent="0.15">
      <c r="A912" s="1">
        <f t="shared" ca="1" si="409"/>
        <v>9224243</v>
      </c>
      <c r="B912" s="1" t="str">
        <f t="shared" ca="1" si="394"/>
        <v>幻影脚第2段</v>
      </c>
      <c r="C912" t="s">
        <v>168</v>
      </c>
      <c r="D912">
        <f t="shared" si="395"/>
        <v>2</v>
      </c>
      <c r="E912" s="42">
        <f t="shared" ca="1" si="410"/>
        <v>70</v>
      </c>
      <c r="F912" t="str">
        <f t="shared" ca="1" si="411"/>
        <v>第43级，共造成205.2%点伤害</v>
      </c>
      <c r="G912">
        <f t="shared" ca="1" si="412"/>
        <v>2</v>
      </c>
      <c r="H912">
        <f t="shared" si="396"/>
        <v>2</v>
      </c>
      <c r="I912" s="44">
        <f t="shared" ca="1" si="421"/>
        <v>43</v>
      </c>
      <c r="J912">
        <f t="shared" si="397"/>
        <v>2</v>
      </c>
      <c r="K912" s="36">
        <f t="shared" ca="1" si="398"/>
        <v>68.391304347826093</v>
      </c>
      <c r="L912" s="10">
        <f ca="1">AH912*VLOOKUP(C912,技能辅助查询表,技能配置辅助表!$T$1,FALSE)</f>
        <v>0</v>
      </c>
      <c r="M912">
        <f t="shared" ca="1" si="399"/>
        <v>4560</v>
      </c>
      <c r="N912" s="33">
        <f ca="1">CHOOSE(1,W912*U912,X912*'[1]0、经济设定'!$C$18)</f>
        <v>191278</v>
      </c>
      <c r="O912">
        <f t="shared" si="400"/>
        <v>4</v>
      </c>
      <c r="P912">
        <f t="shared" si="401"/>
        <v>3</v>
      </c>
      <c r="Q912">
        <f t="shared" si="402"/>
        <v>1</v>
      </c>
      <c r="R912" s="2">
        <f t="shared" si="403"/>
        <v>8</v>
      </c>
      <c r="S912" s="2">
        <f t="shared" si="404"/>
        <v>50</v>
      </c>
      <c r="T912" s="2">
        <f t="shared" si="405"/>
        <v>47.826086956521742</v>
      </c>
      <c r="U912" s="2">
        <f ca="1">VLOOKUP(E912,金币生产率!$A$2:$B$120,2,0)</f>
        <v>3242</v>
      </c>
      <c r="V912" s="2">
        <f t="shared" si="406"/>
        <v>143.47826086956522</v>
      </c>
      <c r="W912" s="45">
        <f t="shared" ca="1" si="418"/>
        <v>59</v>
      </c>
      <c r="X912" s="48">
        <f t="shared" ca="1" si="419"/>
        <v>853</v>
      </c>
      <c r="Y912">
        <f t="shared" si="407"/>
        <v>18</v>
      </c>
      <c r="Z912">
        <f t="shared" ca="1" si="413"/>
        <v>24</v>
      </c>
      <c r="AA912" t="str">
        <f t="shared" ca="1" si="414"/>
        <v>9224200.png</v>
      </c>
      <c r="AB912">
        <f t="shared" si="408"/>
        <v>7</v>
      </c>
      <c r="AC912">
        <f>VLOOKUP(C912,技能辅助查询表,技能配置辅助表!$W$1,FALSE)</f>
        <v>34</v>
      </c>
      <c r="AD912">
        <f t="shared" ca="1" si="415"/>
        <v>644.5662878788761</v>
      </c>
      <c r="AE912">
        <f>VLOOKUP(C912,技能辅助查询表,技能配置辅助表!$U$1,FALSE)</f>
        <v>4</v>
      </c>
      <c r="AF912">
        <f t="shared" ca="1" si="416"/>
        <v>9224243</v>
      </c>
      <c r="AG912">
        <f t="shared" ca="1" si="420"/>
        <v>69.714285714285722</v>
      </c>
      <c r="AH912">
        <f t="shared" ca="1" si="417"/>
        <v>3064.2878506023458</v>
      </c>
      <c r="AI912">
        <f ca="1">VLOOKUP(E912,伤害参考系!$C$4:$E$104,3,FALSE)*$AN$12</f>
        <v>16191.966408862889</v>
      </c>
      <c r="AJ912">
        <f>VLOOKUP(C912,技能辅助查询表,技能配置辅助表!$L$1,FALSE)</f>
        <v>3</v>
      </c>
      <c r="AK912">
        <f>VLOOKUP(C912,技能辅助查询表,技能配置辅助表!$AE$1,FALSE)</f>
        <v>66000388</v>
      </c>
    </row>
    <row r="913" spans="1:37" x14ac:dyDescent="0.15">
      <c r="A913" s="1">
        <f t="shared" ca="1" si="409"/>
        <v>9224244</v>
      </c>
      <c r="B913" s="1" t="str">
        <f t="shared" ca="1" si="394"/>
        <v>幻影脚第2段</v>
      </c>
      <c r="C913" t="s">
        <v>168</v>
      </c>
      <c r="D913">
        <f t="shared" si="395"/>
        <v>2</v>
      </c>
      <c r="E913" s="42">
        <f t="shared" ca="1" si="410"/>
        <v>71</v>
      </c>
      <c r="F913" t="str">
        <f t="shared" ca="1" si="411"/>
        <v>第44级，共造成206.6%点伤害</v>
      </c>
      <c r="G913">
        <f t="shared" ca="1" si="412"/>
        <v>2</v>
      </c>
      <c r="H913">
        <f t="shared" si="396"/>
        <v>2</v>
      </c>
      <c r="I913" s="44">
        <f t="shared" ca="1" si="421"/>
        <v>44</v>
      </c>
      <c r="J913">
        <f t="shared" si="397"/>
        <v>2</v>
      </c>
      <c r="K913" s="36">
        <f t="shared" ca="1" si="398"/>
        <v>68.869565217391312</v>
      </c>
      <c r="L913" s="10">
        <f ca="1">AH913*VLOOKUP(C913,技能辅助查询表,技能配置辅助表!$T$1,FALSE)</f>
        <v>0</v>
      </c>
      <c r="M913">
        <f t="shared" ca="1" si="399"/>
        <v>4480</v>
      </c>
      <c r="N913" s="33">
        <f ca="1">CHOOSE(1,W913*U913,X913*'[1]0、经济设定'!$C$18)</f>
        <v>210294</v>
      </c>
      <c r="O913">
        <f t="shared" si="400"/>
        <v>4</v>
      </c>
      <c r="P913">
        <f t="shared" si="401"/>
        <v>3</v>
      </c>
      <c r="Q913">
        <f t="shared" si="402"/>
        <v>1</v>
      </c>
      <c r="R913" s="2">
        <f t="shared" si="403"/>
        <v>8</v>
      </c>
      <c r="S913" s="2">
        <f t="shared" si="404"/>
        <v>50</v>
      </c>
      <c r="T913" s="2">
        <f t="shared" si="405"/>
        <v>47.826086956521742</v>
      </c>
      <c r="U913" s="2">
        <f ca="1">VLOOKUP(E913,金币生产率!$A$2:$B$120,2,0)</f>
        <v>3338</v>
      </c>
      <c r="V913" s="2">
        <f t="shared" si="406"/>
        <v>143.47826086956522</v>
      </c>
      <c r="W913" s="45">
        <f t="shared" ca="1" si="418"/>
        <v>63</v>
      </c>
      <c r="X913" s="48">
        <f t="shared" ca="1" si="419"/>
        <v>916</v>
      </c>
      <c r="Y913">
        <f t="shared" si="407"/>
        <v>18</v>
      </c>
      <c r="Z913">
        <f t="shared" ca="1" si="413"/>
        <v>26</v>
      </c>
      <c r="AA913" t="str">
        <f t="shared" ca="1" si="414"/>
        <v>9224200.png</v>
      </c>
      <c r="AB913">
        <f t="shared" si="408"/>
        <v>7</v>
      </c>
      <c r="AC913">
        <f>VLOOKUP(C913,技能辅助查询表,技能配置辅助表!$W$1,FALSE)</f>
        <v>34</v>
      </c>
      <c r="AD913">
        <f t="shared" ca="1" si="415"/>
        <v>743.84111369992047</v>
      </c>
      <c r="AE913">
        <f>VLOOKUP(C913,技能辅助查询表,技能配置辅助表!$U$1,FALSE)</f>
        <v>4</v>
      </c>
      <c r="AF913">
        <f t="shared" ca="1" si="416"/>
        <v>9224244</v>
      </c>
      <c r="AG913">
        <f t="shared" ca="1" si="420"/>
        <v>71.183673469387756</v>
      </c>
      <c r="AH913">
        <f t="shared" ca="1" si="417"/>
        <v>3488.6512265697725</v>
      </c>
      <c r="AI913">
        <f ca="1">VLOOKUP(E913,伤害参考系!$C$4:$E$104,3,FALSE)*$AN$12</f>
        <v>16902.905438127098</v>
      </c>
      <c r="AJ913">
        <f>VLOOKUP(C913,技能辅助查询表,技能配置辅助表!$L$1,FALSE)</f>
        <v>3</v>
      </c>
      <c r="AK913">
        <f>VLOOKUP(C913,技能辅助查询表,技能配置辅助表!$AE$1,FALSE)</f>
        <v>66000388</v>
      </c>
    </row>
    <row r="914" spans="1:37" x14ac:dyDescent="0.15">
      <c r="A914" s="1">
        <f t="shared" ca="1" si="409"/>
        <v>9224245</v>
      </c>
      <c r="B914" s="1" t="str">
        <f t="shared" ca="1" si="394"/>
        <v>幻影脚第2段</v>
      </c>
      <c r="C914" t="s">
        <v>168</v>
      </c>
      <c r="D914">
        <f t="shared" si="395"/>
        <v>2</v>
      </c>
      <c r="E914" s="42">
        <f t="shared" ca="1" si="410"/>
        <v>73</v>
      </c>
      <c r="F914" t="str">
        <f t="shared" ca="1" si="411"/>
        <v>第45级，共造成208%点伤害</v>
      </c>
      <c r="G914">
        <f t="shared" ca="1" si="412"/>
        <v>2</v>
      </c>
      <c r="H914">
        <f t="shared" si="396"/>
        <v>2</v>
      </c>
      <c r="I914" s="44">
        <f t="shared" ca="1" si="421"/>
        <v>45</v>
      </c>
      <c r="J914">
        <f t="shared" si="397"/>
        <v>2</v>
      </c>
      <c r="K914" s="36">
        <f t="shared" ca="1" si="398"/>
        <v>69.34782608695653</v>
      </c>
      <c r="L914" s="10">
        <f ca="1">AH914*VLOOKUP(C914,技能辅助查询表,技能配置辅助表!$T$1,FALSE)</f>
        <v>0</v>
      </c>
      <c r="M914">
        <f t="shared" ca="1" si="399"/>
        <v>4400</v>
      </c>
      <c r="N914" s="33">
        <f ca="1">CHOOSE(1,W914*U914,X914*'[1]0、经济设定'!$C$18)</f>
        <v>240312</v>
      </c>
      <c r="O914">
        <f t="shared" si="400"/>
        <v>4</v>
      </c>
      <c r="P914">
        <f t="shared" si="401"/>
        <v>3</v>
      </c>
      <c r="Q914">
        <f t="shared" si="402"/>
        <v>1</v>
      </c>
      <c r="R914" s="2">
        <f t="shared" si="403"/>
        <v>8</v>
      </c>
      <c r="S914" s="2">
        <f t="shared" si="404"/>
        <v>50</v>
      </c>
      <c r="T914" s="2">
        <f t="shared" si="405"/>
        <v>47.826086956521742</v>
      </c>
      <c r="U914" s="2">
        <f ca="1">VLOOKUP(E914,金币生产率!$A$2:$B$120,2,0)</f>
        <v>3534</v>
      </c>
      <c r="V914" s="2">
        <f t="shared" si="406"/>
        <v>143.47826086956522</v>
      </c>
      <c r="W914" s="45">
        <f t="shared" ca="1" si="418"/>
        <v>68</v>
      </c>
      <c r="X914" s="48">
        <f t="shared" ca="1" si="419"/>
        <v>984</v>
      </c>
      <c r="Y914">
        <f t="shared" si="407"/>
        <v>18</v>
      </c>
      <c r="Z914">
        <f t="shared" ca="1" si="413"/>
        <v>28</v>
      </c>
      <c r="AA914" t="str">
        <f t="shared" ca="1" si="414"/>
        <v>9224200.png</v>
      </c>
      <c r="AB914">
        <f t="shared" si="408"/>
        <v>7</v>
      </c>
      <c r="AC914">
        <f>VLOOKUP(C914,技能辅助查询表,技能配置辅助表!$W$1,FALSE)</f>
        <v>34</v>
      </c>
      <c r="AD914">
        <f t="shared" ca="1" si="415"/>
        <v>858.25057014292429</v>
      </c>
      <c r="AE914">
        <f>VLOOKUP(C914,技能辅助查询表,技能配置辅助表!$U$1,FALSE)</f>
        <v>4</v>
      </c>
      <c r="AF914">
        <f t="shared" ca="1" si="416"/>
        <v>9224245</v>
      </c>
      <c r="AG914">
        <f t="shared" ca="1" si="420"/>
        <v>72.65306122448979</v>
      </c>
      <c r="AH914">
        <f t="shared" ca="1" si="417"/>
        <v>3971.7833225930094</v>
      </c>
      <c r="AI914">
        <f ca="1">VLOOKUP(E914,伤害参考系!$C$4:$E$104,3,FALSE)*$AN$12</f>
        <v>18368.517032608706</v>
      </c>
      <c r="AJ914">
        <f>VLOOKUP(C914,技能辅助查询表,技能配置辅助表!$L$1,FALSE)</f>
        <v>3</v>
      </c>
      <c r="AK914">
        <f>VLOOKUP(C914,技能辅助查询表,技能配置辅助表!$AE$1,FALSE)</f>
        <v>66000388</v>
      </c>
    </row>
    <row r="915" spans="1:37" x14ac:dyDescent="0.15">
      <c r="A915" s="1">
        <f t="shared" ca="1" si="409"/>
        <v>9224246</v>
      </c>
      <c r="B915" s="1" t="str">
        <f t="shared" ca="1" si="394"/>
        <v>幻影脚第2段</v>
      </c>
      <c r="C915" t="s">
        <v>168</v>
      </c>
      <c r="D915">
        <f t="shared" si="395"/>
        <v>2</v>
      </c>
      <c r="E915" s="42">
        <f t="shared" ca="1" si="410"/>
        <v>74</v>
      </c>
      <c r="F915" t="str">
        <f t="shared" ca="1" si="411"/>
        <v>第46级，共造成209.5%点伤害</v>
      </c>
      <c r="G915">
        <f t="shared" ca="1" si="412"/>
        <v>2</v>
      </c>
      <c r="H915">
        <f t="shared" si="396"/>
        <v>2</v>
      </c>
      <c r="I915" s="44">
        <f t="shared" ca="1" si="421"/>
        <v>46</v>
      </c>
      <c r="J915">
        <f t="shared" si="397"/>
        <v>2</v>
      </c>
      <c r="K915" s="36">
        <f t="shared" ca="1" si="398"/>
        <v>69.826086956521749</v>
      </c>
      <c r="L915" s="10">
        <f ca="1">AH915*VLOOKUP(C915,技能辅助查询表,技能配置辅助表!$T$1,FALSE)</f>
        <v>0</v>
      </c>
      <c r="M915">
        <f t="shared" ca="1" si="399"/>
        <v>4320</v>
      </c>
      <c r="N915" s="33">
        <f ca="1">CHOOSE(1,W915*U915,X915*'[1]0、经济设定'!$C$18)</f>
        <v>261648</v>
      </c>
      <c r="O915">
        <f t="shared" si="400"/>
        <v>4</v>
      </c>
      <c r="P915">
        <f t="shared" si="401"/>
        <v>3</v>
      </c>
      <c r="Q915">
        <f t="shared" si="402"/>
        <v>1</v>
      </c>
      <c r="R915" s="2">
        <f t="shared" si="403"/>
        <v>8</v>
      </c>
      <c r="S915" s="2">
        <f t="shared" si="404"/>
        <v>50</v>
      </c>
      <c r="T915" s="2">
        <f t="shared" si="405"/>
        <v>47.826086956521742</v>
      </c>
      <c r="U915" s="2">
        <f ca="1">VLOOKUP(E915,金币生产率!$A$2:$B$120,2,0)</f>
        <v>3634</v>
      </c>
      <c r="V915" s="2">
        <f t="shared" si="406"/>
        <v>143.47826086956522</v>
      </c>
      <c r="W915" s="45">
        <f t="shared" ca="1" si="418"/>
        <v>72</v>
      </c>
      <c r="X915" s="48">
        <f t="shared" ca="1" si="419"/>
        <v>1056</v>
      </c>
      <c r="Y915">
        <f t="shared" si="407"/>
        <v>18</v>
      </c>
      <c r="Z915">
        <f t="shared" ca="1" si="413"/>
        <v>29</v>
      </c>
      <c r="AA915" t="str">
        <f t="shared" ca="1" si="414"/>
        <v>9224200.png</v>
      </c>
      <c r="AB915">
        <f t="shared" si="408"/>
        <v>7</v>
      </c>
      <c r="AC915">
        <f>VLOOKUP(C915,技能辅助查询表,技能配置辅助表!$W$1,FALSE)</f>
        <v>34</v>
      </c>
      <c r="AD915">
        <f t="shared" ca="1" si="415"/>
        <v>990.08259874081909</v>
      </c>
      <c r="AE915">
        <f>VLOOKUP(C915,技能辅助查询表,技能配置辅助表!$U$1,FALSE)</f>
        <v>4</v>
      </c>
      <c r="AF915">
        <f t="shared" ca="1" si="416"/>
        <v>9224246</v>
      </c>
      <c r="AG915">
        <f t="shared" ca="1" si="420"/>
        <v>74.122448979591837</v>
      </c>
      <c r="AH915">
        <f t="shared" ca="1" si="417"/>
        <v>4521.8228298329677</v>
      </c>
      <c r="AI915">
        <f ca="1">VLOOKUP(E915,伤害参考系!$C$4:$E$104,3,FALSE)*$AN$12</f>
        <v>19123.189597826095</v>
      </c>
      <c r="AJ915">
        <f>VLOOKUP(C915,技能辅助查询表,技能配置辅助表!$L$1,FALSE)</f>
        <v>3</v>
      </c>
      <c r="AK915">
        <f>VLOOKUP(C915,技能辅助查询表,技能配置辅助表!$AE$1,FALSE)</f>
        <v>66000388</v>
      </c>
    </row>
    <row r="916" spans="1:37" x14ac:dyDescent="0.15">
      <c r="A916" s="1">
        <f t="shared" ca="1" si="409"/>
        <v>9224247</v>
      </c>
      <c r="B916" s="1" t="str">
        <f t="shared" ca="1" si="394"/>
        <v>幻影脚第2段</v>
      </c>
      <c r="C916" t="s">
        <v>168</v>
      </c>
      <c r="D916">
        <f t="shared" si="395"/>
        <v>2</v>
      </c>
      <c r="E916" s="42">
        <f t="shared" ca="1" si="410"/>
        <v>76</v>
      </c>
      <c r="F916" t="str">
        <f t="shared" ca="1" si="411"/>
        <v>第47级，共造成210.9%点伤害</v>
      </c>
      <c r="G916">
        <f t="shared" ca="1" si="412"/>
        <v>2</v>
      </c>
      <c r="H916">
        <f t="shared" si="396"/>
        <v>2</v>
      </c>
      <c r="I916" s="44">
        <f t="shared" ca="1" si="421"/>
        <v>47</v>
      </c>
      <c r="J916">
        <f t="shared" si="397"/>
        <v>2</v>
      </c>
      <c r="K916" s="36">
        <f t="shared" ca="1" si="398"/>
        <v>70.304347826086968</v>
      </c>
      <c r="L916" s="10">
        <f ca="1">AH916*VLOOKUP(C916,技能辅助查询表,技能配置辅助表!$T$1,FALSE)</f>
        <v>0</v>
      </c>
      <c r="M916">
        <f t="shared" ca="1" si="399"/>
        <v>4240</v>
      </c>
      <c r="N916" s="33">
        <f ca="1">CHOOSE(1,W916*U916,X916*'[1]0、经济设定'!$C$18)</f>
        <v>295526</v>
      </c>
      <c r="O916">
        <f t="shared" si="400"/>
        <v>4</v>
      </c>
      <c r="P916">
        <f t="shared" si="401"/>
        <v>3</v>
      </c>
      <c r="Q916">
        <f t="shared" si="402"/>
        <v>1</v>
      </c>
      <c r="R916" s="2">
        <f t="shared" si="403"/>
        <v>8</v>
      </c>
      <c r="S916" s="2">
        <f t="shared" si="404"/>
        <v>50</v>
      </c>
      <c r="T916" s="2">
        <f t="shared" si="405"/>
        <v>47.826086956521742</v>
      </c>
      <c r="U916" s="2">
        <f ca="1">VLOOKUP(E916,金币生产率!$A$2:$B$120,2,0)</f>
        <v>3838</v>
      </c>
      <c r="V916" s="2">
        <f t="shared" si="406"/>
        <v>143.47826086956522</v>
      </c>
      <c r="W916" s="45">
        <f t="shared" ca="1" si="418"/>
        <v>77</v>
      </c>
      <c r="X916" s="48">
        <f t="shared" ca="1" si="419"/>
        <v>1133</v>
      </c>
      <c r="Y916">
        <f t="shared" si="407"/>
        <v>18</v>
      </c>
      <c r="Z916">
        <f t="shared" ca="1" si="413"/>
        <v>31</v>
      </c>
      <c r="AA916" t="str">
        <f t="shared" ca="1" si="414"/>
        <v>9224200.png</v>
      </c>
      <c r="AB916">
        <f t="shared" si="408"/>
        <v>7</v>
      </c>
      <c r="AC916">
        <f>VLOOKUP(C916,技能辅助查询表,技能配置辅助表!$W$1,FALSE)</f>
        <v>34</v>
      </c>
      <c r="AD916">
        <f t="shared" ca="1" si="415"/>
        <v>1141.9685794915179</v>
      </c>
      <c r="AE916">
        <f>VLOOKUP(C916,技能辅助查询表,技能配置辅助表!$U$1,FALSE)</f>
        <v>4</v>
      </c>
      <c r="AF916">
        <f t="shared" ca="1" si="416"/>
        <v>9224247</v>
      </c>
      <c r="AG916">
        <f t="shared" ca="1" si="420"/>
        <v>75.591836734693871</v>
      </c>
      <c r="AH916">
        <f t="shared" ca="1" si="417"/>
        <v>5148.0355406320868</v>
      </c>
      <c r="AI916">
        <f ca="1">VLOOKUP(E916,伤害参考系!$C$4:$E$104,3,FALSE)*$AN$12</f>
        <v>20676.268264214057</v>
      </c>
      <c r="AJ916">
        <f>VLOOKUP(C916,技能辅助查询表,技能配置辅助表!$L$1,FALSE)</f>
        <v>3</v>
      </c>
      <c r="AK916">
        <f>VLOOKUP(C916,技能辅助查询表,技能配置辅助表!$AE$1,FALSE)</f>
        <v>66000388</v>
      </c>
    </row>
    <row r="917" spans="1:37" x14ac:dyDescent="0.15">
      <c r="A917" s="1">
        <f t="shared" ca="1" si="409"/>
        <v>9224248</v>
      </c>
      <c r="B917" s="1" t="str">
        <f t="shared" ca="1" si="394"/>
        <v>幻影脚第2段</v>
      </c>
      <c r="C917" t="s">
        <v>168</v>
      </c>
      <c r="D917">
        <f t="shared" si="395"/>
        <v>2</v>
      </c>
      <c r="E917" s="42">
        <f t="shared" ca="1" si="410"/>
        <v>77</v>
      </c>
      <c r="F917" t="str">
        <f t="shared" ca="1" si="411"/>
        <v>第48级，共造成212.3%点伤害</v>
      </c>
      <c r="G917">
        <f t="shared" ca="1" si="412"/>
        <v>2</v>
      </c>
      <c r="H917">
        <f t="shared" si="396"/>
        <v>2</v>
      </c>
      <c r="I917" s="44">
        <f t="shared" ca="1" si="421"/>
        <v>48</v>
      </c>
      <c r="J917">
        <f t="shared" si="397"/>
        <v>2</v>
      </c>
      <c r="K917" s="36">
        <f t="shared" ca="1" si="398"/>
        <v>70.782608695652186</v>
      </c>
      <c r="L917" s="10">
        <f ca="1">AH917*VLOOKUP(C917,技能辅助查询表,技能配置辅助表!$T$1,FALSE)</f>
        <v>0</v>
      </c>
      <c r="M917">
        <f t="shared" ca="1" si="399"/>
        <v>4160</v>
      </c>
      <c r="N917" s="33">
        <f ca="1">CHOOSE(1,W917*U917,X917*'[1]0、经济设定'!$C$18)</f>
        <v>327186</v>
      </c>
      <c r="O917">
        <f t="shared" si="400"/>
        <v>4</v>
      </c>
      <c r="P917">
        <f t="shared" si="401"/>
        <v>3</v>
      </c>
      <c r="Q917">
        <f t="shared" si="402"/>
        <v>1</v>
      </c>
      <c r="R917" s="2">
        <f t="shared" si="403"/>
        <v>8</v>
      </c>
      <c r="S917" s="2">
        <f t="shared" si="404"/>
        <v>50</v>
      </c>
      <c r="T917" s="2">
        <f t="shared" si="405"/>
        <v>47.826086956521742</v>
      </c>
      <c r="U917" s="2">
        <f ca="1">VLOOKUP(E917,金币生产率!$A$2:$B$120,2,0)</f>
        <v>3942</v>
      </c>
      <c r="V917" s="2">
        <f t="shared" si="406"/>
        <v>143.47826086956522</v>
      </c>
      <c r="W917" s="45">
        <f t="shared" ca="1" si="418"/>
        <v>83</v>
      </c>
      <c r="X917" s="48">
        <f t="shared" ca="1" si="419"/>
        <v>1216</v>
      </c>
      <c r="Y917">
        <f t="shared" si="407"/>
        <v>18</v>
      </c>
      <c r="Z917">
        <f t="shared" ca="1" si="413"/>
        <v>34</v>
      </c>
      <c r="AA917" t="str">
        <f t="shared" ca="1" si="414"/>
        <v>9224200.png</v>
      </c>
      <c r="AB917">
        <f t="shared" si="408"/>
        <v>7</v>
      </c>
      <c r="AC917">
        <f>VLOOKUP(C917,技能辅助查询表,技能配置辅助表!$W$1,FALSE)</f>
        <v>34</v>
      </c>
      <c r="AD917">
        <f t="shared" ca="1" si="415"/>
        <v>1316.9345747439718</v>
      </c>
      <c r="AE917">
        <f>VLOOKUP(C917,技能辅助查询表,技能配置辅助表!$U$1,FALSE)</f>
        <v>4</v>
      </c>
      <c r="AF917">
        <f t="shared" ca="1" si="416"/>
        <v>9224248</v>
      </c>
      <c r="AG917">
        <f t="shared" ca="1" si="420"/>
        <v>77.061224489795919</v>
      </c>
      <c r="AH917">
        <f t="shared" ca="1" si="417"/>
        <v>5860.970437134547</v>
      </c>
      <c r="AI917">
        <f ca="1">VLOOKUP(E917,伤害参考系!$C$4:$E$104,3,FALSE)*$AN$12</f>
        <v>21474.674365384624</v>
      </c>
      <c r="AJ917">
        <f>VLOOKUP(C917,技能辅助查询表,技能配置辅助表!$L$1,FALSE)</f>
        <v>3</v>
      </c>
      <c r="AK917">
        <f>VLOOKUP(C917,技能辅助查询表,技能配置辅助表!$AE$1,FALSE)</f>
        <v>66000388</v>
      </c>
    </row>
    <row r="918" spans="1:37" x14ac:dyDescent="0.15">
      <c r="A918" s="1">
        <f t="shared" ca="1" si="409"/>
        <v>9224249</v>
      </c>
      <c r="B918" s="1" t="str">
        <f t="shared" ca="1" si="394"/>
        <v>幻影脚第2段</v>
      </c>
      <c r="C918" t="s">
        <v>168</v>
      </c>
      <c r="D918">
        <f t="shared" si="395"/>
        <v>2</v>
      </c>
      <c r="E918" s="42">
        <f t="shared" ca="1" si="410"/>
        <v>79</v>
      </c>
      <c r="F918" t="str">
        <f t="shared" ca="1" si="411"/>
        <v>第49级，共造成213.8%点伤害</v>
      </c>
      <c r="G918">
        <f t="shared" ca="1" si="412"/>
        <v>2</v>
      </c>
      <c r="H918">
        <f t="shared" si="396"/>
        <v>2</v>
      </c>
      <c r="I918" s="44">
        <f t="shared" ca="1" si="421"/>
        <v>49</v>
      </c>
      <c r="J918">
        <f t="shared" si="397"/>
        <v>2</v>
      </c>
      <c r="K918" s="36">
        <f t="shared" ca="1" si="398"/>
        <v>71.260869565217391</v>
      </c>
      <c r="L918" s="10">
        <f ca="1">AH918*VLOOKUP(C918,技能辅助查询表,技能配置辅助表!$T$1,FALSE)</f>
        <v>0</v>
      </c>
      <c r="M918">
        <f t="shared" ca="1" si="399"/>
        <v>4080</v>
      </c>
      <c r="N918" s="33">
        <f ca="1">CHOOSE(1,W918*U918,X918*'[1]0、经济设定'!$C$18)</f>
        <v>369706</v>
      </c>
      <c r="O918">
        <f t="shared" si="400"/>
        <v>4</v>
      </c>
      <c r="P918">
        <f t="shared" si="401"/>
        <v>3</v>
      </c>
      <c r="Q918">
        <f t="shared" si="402"/>
        <v>1</v>
      </c>
      <c r="R918" s="2">
        <f t="shared" si="403"/>
        <v>8</v>
      </c>
      <c r="S918" s="2">
        <f t="shared" si="404"/>
        <v>50</v>
      </c>
      <c r="T918" s="2">
        <f t="shared" si="405"/>
        <v>47.826086956521742</v>
      </c>
      <c r="U918" s="2">
        <f ca="1">VLOOKUP(E918,金币生产率!$A$2:$B$120,2,0)</f>
        <v>4154</v>
      </c>
      <c r="V918" s="2">
        <f t="shared" si="406"/>
        <v>143.47826086956522</v>
      </c>
      <c r="W918" s="45">
        <f t="shared" ca="1" si="418"/>
        <v>89</v>
      </c>
      <c r="X918" s="48">
        <f t="shared" ca="1" si="419"/>
        <v>1305</v>
      </c>
      <c r="Y918">
        <f t="shared" si="407"/>
        <v>18</v>
      </c>
      <c r="Z918">
        <f t="shared" ca="1" si="413"/>
        <v>36</v>
      </c>
      <c r="AA918" t="str">
        <f t="shared" ca="1" si="414"/>
        <v>9224200.png</v>
      </c>
      <c r="AB918">
        <f t="shared" si="408"/>
        <v>7</v>
      </c>
      <c r="AC918">
        <f>VLOOKUP(C918,技能辅助查询表,技能配置辅助表!$W$1,FALSE)</f>
        <v>34</v>
      </c>
      <c r="AD918">
        <f t="shared" ca="1" si="415"/>
        <v>1518.4601796208933</v>
      </c>
      <c r="AE918">
        <f>VLOOKUP(C918,技能辅助查询表,技能配置辅助表!$U$1,FALSE)</f>
        <v>4</v>
      </c>
      <c r="AF918">
        <f t="shared" ca="1" si="416"/>
        <v>9224249</v>
      </c>
      <c r="AG918">
        <f t="shared" ca="1" si="420"/>
        <v>78.530612244897952</v>
      </c>
      <c r="AH918">
        <f t="shared" ca="1" si="417"/>
        <v>6672.6373961177951</v>
      </c>
      <c r="AI918">
        <f ca="1">VLOOKUP(E918,伤害参考系!$C$4:$E$104,3,FALSE)*$AN$12</f>
        <v>23115.220103678937</v>
      </c>
      <c r="AJ918">
        <f>VLOOKUP(C918,技能辅助查询表,技能配置辅助表!$L$1,FALSE)</f>
        <v>3</v>
      </c>
      <c r="AK918">
        <f>VLOOKUP(C918,技能辅助查询表,技能配置辅助表!$AE$1,FALSE)</f>
        <v>66000388</v>
      </c>
    </row>
    <row r="919" spans="1:37" x14ac:dyDescent="0.15">
      <c r="A919" s="1">
        <f t="shared" ca="1" si="409"/>
        <v>9224250</v>
      </c>
      <c r="B919" s="1" t="str">
        <f t="shared" ca="1" si="394"/>
        <v>幻影脚第2段</v>
      </c>
      <c r="C919" t="s">
        <v>168</v>
      </c>
      <c r="D919">
        <f t="shared" si="395"/>
        <v>2</v>
      </c>
      <c r="E919" s="42">
        <f t="shared" ca="1" si="410"/>
        <v>80</v>
      </c>
      <c r="F919" t="str">
        <f t="shared" ca="1" si="411"/>
        <v>第50级，共造成215.2%点伤害</v>
      </c>
      <c r="G919">
        <f t="shared" ca="1" si="412"/>
        <v>2</v>
      </c>
      <c r="H919">
        <f t="shared" si="396"/>
        <v>2</v>
      </c>
      <c r="I919" s="44">
        <f t="shared" ca="1" si="421"/>
        <v>50</v>
      </c>
      <c r="J919">
        <f t="shared" si="397"/>
        <v>2</v>
      </c>
      <c r="K919" s="36">
        <f t="shared" ca="1" si="398"/>
        <v>71.739130434782609</v>
      </c>
      <c r="L919" s="10">
        <f ca="1">AH919*VLOOKUP(C919,技能辅助查询表,技能配置辅助表!$T$1,FALSE)</f>
        <v>0</v>
      </c>
      <c r="M919">
        <f t="shared" ca="1" si="399"/>
        <v>4000</v>
      </c>
      <c r="N919" s="33">
        <f ca="1">CHOOSE(1,W919*U919,X919*'[1]0、经济设定'!$C$18)</f>
        <v>404890</v>
      </c>
      <c r="O919">
        <f t="shared" si="400"/>
        <v>4</v>
      </c>
      <c r="P919">
        <f t="shared" si="401"/>
        <v>3</v>
      </c>
      <c r="Q919">
        <f t="shared" si="402"/>
        <v>1</v>
      </c>
      <c r="R919" s="2">
        <f t="shared" si="403"/>
        <v>8</v>
      </c>
      <c r="S919" s="2">
        <f t="shared" si="404"/>
        <v>50</v>
      </c>
      <c r="T919" s="2">
        <f t="shared" si="405"/>
        <v>47.826086956521742</v>
      </c>
      <c r="U919" s="2">
        <f ca="1">VLOOKUP(E919,金币生产率!$A$2:$B$120,2,0)</f>
        <v>4262</v>
      </c>
      <c r="V919" s="2">
        <f t="shared" si="406"/>
        <v>143.47826086956522</v>
      </c>
      <c r="W919" s="45">
        <f t="shared" ca="1" si="418"/>
        <v>95</v>
      </c>
      <c r="X919" s="48">
        <f t="shared" ca="1" si="419"/>
        <v>1400</v>
      </c>
      <c r="Y919">
        <f t="shared" si="407"/>
        <v>18</v>
      </c>
      <c r="Z919">
        <f t="shared" ca="1" si="413"/>
        <v>38</v>
      </c>
      <c r="AA919" t="str">
        <f t="shared" ca="1" si="414"/>
        <v>9224200.png</v>
      </c>
      <c r="AB919">
        <f t="shared" si="408"/>
        <v>7</v>
      </c>
      <c r="AC919">
        <f>VLOOKUP(C919,技能辅助查询表,技能配置辅助表!$W$1,FALSE)</f>
        <v>34</v>
      </c>
      <c r="AD919">
        <f t="shared" ca="1" si="415"/>
        <v>1750.5461030023362</v>
      </c>
      <c r="AE919">
        <f>VLOOKUP(C919,技能辅助查询表,技能配置辅助表!$U$1,FALSE)</f>
        <v>4</v>
      </c>
      <c r="AF919">
        <f t="shared" ca="1" si="416"/>
        <v>9224250</v>
      </c>
      <c r="AG919">
        <f t="shared" ca="1" si="420"/>
        <v>80</v>
      </c>
      <c r="AH919">
        <f t="shared" ca="1" si="417"/>
        <v>7596.7095035950451</v>
      </c>
      <c r="AI919">
        <f ca="1">VLOOKUP(E919,伤害参考系!$C$4:$E$104,3,FALSE)*$AN$12</f>
        <v>24028.87424749164</v>
      </c>
      <c r="AJ919">
        <f>VLOOKUP(C919,技能辅助查询表,技能配置辅助表!$L$1,FALSE)</f>
        <v>3</v>
      </c>
      <c r="AK919">
        <f>VLOOKUP(C919,技能辅助查询表,技能配置辅助表!$AE$1,FALSE)</f>
        <v>66000388</v>
      </c>
    </row>
    <row r="920" spans="1:37" x14ac:dyDescent="0.15">
      <c r="A920" s="1">
        <f t="shared" ca="1" si="409"/>
        <v>1</v>
      </c>
      <c r="B920" s="1" t="str">
        <f t="shared" ca="1" si="394"/>
        <v>幻影脚</v>
      </c>
      <c r="C920" t="s">
        <v>169</v>
      </c>
      <c r="D920">
        <f t="shared" si="395"/>
        <v>2</v>
      </c>
      <c r="E920" s="42">
        <f t="shared" ca="1" si="410"/>
        <v>6</v>
      </c>
      <c r="F920" t="str">
        <f t="shared" ca="1" si="411"/>
        <v>第0级，共造成143.5%点伤害</v>
      </c>
      <c r="G920">
        <f t="shared" ca="1" si="412"/>
        <v>0</v>
      </c>
      <c r="H920">
        <f t="shared" si="396"/>
        <v>3</v>
      </c>
      <c r="I920" s="44">
        <f t="shared" ca="1" si="421"/>
        <v>0</v>
      </c>
      <c r="J920">
        <f t="shared" si="397"/>
        <v>2</v>
      </c>
      <c r="K920" s="36">
        <f t="shared" ca="1" si="398"/>
        <v>143.47826086956522</v>
      </c>
      <c r="L920" s="10">
        <f ca="1">AH920*VLOOKUP(C920,技能辅助查询表,技能配置辅助表!$T$1,FALSE)</f>
        <v>0</v>
      </c>
      <c r="M920">
        <f t="shared" ca="1" si="399"/>
        <v>8000</v>
      </c>
      <c r="N920" s="33">
        <f ca="1">CHOOSE(1,W920*U920,X920*'[1]0、经济设定'!$C$18)</f>
        <v>0</v>
      </c>
      <c r="O920">
        <f t="shared" si="400"/>
        <v>4</v>
      </c>
      <c r="P920">
        <f t="shared" si="401"/>
        <v>1</v>
      </c>
      <c r="Q920">
        <f t="shared" si="402"/>
        <v>1</v>
      </c>
      <c r="R920" s="2">
        <f t="shared" si="403"/>
        <v>10</v>
      </c>
      <c r="S920" s="2">
        <f t="shared" si="404"/>
        <v>50</v>
      </c>
      <c r="T920" s="2">
        <f t="shared" si="405"/>
        <v>143.47826086956522</v>
      </c>
      <c r="U920" s="2">
        <f ca="1">VLOOKUP(E920,金币生产率!$A$2:$B$120,2,0)</f>
        <v>80</v>
      </c>
      <c r="V920" s="2">
        <f t="shared" si="406"/>
        <v>143.47826086956522</v>
      </c>
      <c r="W920" s="45">
        <f t="shared" ca="1" si="418"/>
        <v>0</v>
      </c>
      <c r="X920" s="48">
        <f t="shared" ca="1" si="419"/>
        <v>0</v>
      </c>
      <c r="Y920">
        <f t="shared" si="407"/>
        <v>18</v>
      </c>
      <c r="Z920">
        <f t="shared" ca="1" si="413"/>
        <v>0</v>
      </c>
      <c r="AA920" t="str">
        <f t="shared" ca="1" si="414"/>
        <v>9224300.png</v>
      </c>
      <c r="AB920">
        <f t="shared" si="408"/>
        <v>20</v>
      </c>
      <c r="AC920">
        <f>VLOOKUP(C920,技能辅助查询表,技能配置辅助表!$W$1,FALSE)</f>
        <v>35</v>
      </c>
      <c r="AD920">
        <f t="shared" ca="1" si="415"/>
        <v>1.0081565217391304</v>
      </c>
      <c r="AE920">
        <f>VLOOKUP(C920,技能辅助查询表,技能配置辅助表!$U$1,FALSE)</f>
        <v>4</v>
      </c>
      <c r="AF920">
        <f t="shared" ca="1" si="416"/>
        <v>9224300</v>
      </c>
      <c r="AG920">
        <f t="shared" ca="1" si="420"/>
        <v>0</v>
      </c>
      <c r="AH920">
        <f t="shared" ca="1" si="417"/>
        <v>11.5938</v>
      </c>
      <c r="AI920">
        <f ca="1">VLOOKUP(E920,伤害参考系!$C$4:$E$104,3,FALSE)*$AN$12</f>
        <v>88.919999999999987</v>
      </c>
      <c r="AJ920">
        <f>VLOOKUP(C920,技能辅助查询表,技能配置辅助表!$L$1,FALSE)</f>
        <v>1</v>
      </c>
      <c r="AK920">
        <f>VLOOKUP(C920,技能辅助查询表,技能配置辅助表!$AE$1,FALSE)</f>
        <v>66000388</v>
      </c>
    </row>
    <row r="921" spans="1:37" x14ac:dyDescent="0.15">
      <c r="A921" s="1">
        <f t="shared" ca="1" si="409"/>
        <v>9224301</v>
      </c>
      <c r="B921" s="1" t="str">
        <f t="shared" ca="1" si="394"/>
        <v>幻影脚第3段</v>
      </c>
      <c r="C921" t="s">
        <v>169</v>
      </c>
      <c r="D921">
        <f t="shared" si="395"/>
        <v>2</v>
      </c>
      <c r="E921" s="42">
        <f t="shared" ca="1" si="410"/>
        <v>6</v>
      </c>
      <c r="F921" t="str">
        <f t="shared" ca="1" si="411"/>
        <v>第1级，共造成143.5%点伤害</v>
      </c>
      <c r="G921">
        <f t="shared" ca="1" si="412"/>
        <v>3</v>
      </c>
      <c r="H921">
        <f t="shared" si="396"/>
        <v>3</v>
      </c>
      <c r="I921" s="44">
        <f t="shared" ca="1" si="421"/>
        <v>1</v>
      </c>
      <c r="J921">
        <f t="shared" si="397"/>
        <v>2</v>
      </c>
      <c r="K921" s="36">
        <f t="shared" ca="1" si="398"/>
        <v>143.47826086956522</v>
      </c>
      <c r="L921" s="10">
        <f ca="1">AH921*VLOOKUP(C921,技能辅助查询表,技能配置辅助表!$T$1,FALSE)</f>
        <v>0</v>
      </c>
      <c r="M921">
        <f t="shared" ca="1" si="399"/>
        <v>8000</v>
      </c>
      <c r="N921" s="33">
        <f ca="1">CHOOSE(1,W921*U921,X921*'[1]0、经济设定'!$C$18)</f>
        <v>240</v>
      </c>
      <c r="O921">
        <f t="shared" si="400"/>
        <v>4</v>
      </c>
      <c r="P921">
        <f t="shared" si="401"/>
        <v>1</v>
      </c>
      <c r="Q921">
        <f t="shared" si="402"/>
        <v>1</v>
      </c>
      <c r="R921" s="2">
        <f t="shared" si="403"/>
        <v>10</v>
      </c>
      <c r="S921" s="2">
        <f t="shared" si="404"/>
        <v>50</v>
      </c>
      <c r="T921" s="2">
        <f t="shared" si="405"/>
        <v>143.47826086956522</v>
      </c>
      <c r="U921" s="2">
        <f ca="1">VLOOKUP(E921,金币生产率!$A$2:$B$120,2,0)</f>
        <v>80</v>
      </c>
      <c r="V921" s="2">
        <f t="shared" si="406"/>
        <v>143.47826086956522</v>
      </c>
      <c r="W921" s="45">
        <f t="shared" ca="1" si="418"/>
        <v>3</v>
      </c>
      <c r="X921" s="48">
        <f t="shared" ca="1" si="419"/>
        <v>3</v>
      </c>
      <c r="Y921">
        <f t="shared" si="407"/>
        <v>18</v>
      </c>
      <c r="Z921">
        <f t="shared" ca="1" si="413"/>
        <v>0</v>
      </c>
      <c r="AA921" t="str">
        <f t="shared" ca="1" si="414"/>
        <v>9224300.png</v>
      </c>
      <c r="AB921">
        <f t="shared" si="408"/>
        <v>20</v>
      </c>
      <c r="AC921">
        <f>VLOOKUP(C921,技能辅助查询表,技能配置辅助表!$W$1,FALSE)</f>
        <v>35</v>
      </c>
      <c r="AD921">
        <f t="shared" ca="1" si="415"/>
        <v>1.1477728782719212</v>
      </c>
      <c r="AE921">
        <f>VLOOKUP(C921,技能辅助查询表,技能配置辅助表!$U$1,FALSE)</f>
        <v>4</v>
      </c>
      <c r="AF921">
        <f t="shared" ca="1" si="416"/>
        <v>9224301</v>
      </c>
      <c r="AG921">
        <f t="shared" ca="1" si="420"/>
        <v>10</v>
      </c>
      <c r="AH921">
        <f t="shared" ca="1" si="417"/>
        <v>13.199388100127095</v>
      </c>
      <c r="AI921">
        <f ca="1">VLOOKUP(E921,伤害参考系!$C$4:$E$104,3,FALSE)*$AN$12</f>
        <v>88.919999999999987</v>
      </c>
      <c r="AJ921">
        <f>VLOOKUP(C921,技能辅助查询表,技能配置辅助表!$L$1,FALSE)</f>
        <v>1</v>
      </c>
      <c r="AK921">
        <f>VLOOKUP(C921,技能辅助查询表,技能配置辅助表!$AE$1,FALSE)</f>
        <v>66000388</v>
      </c>
    </row>
    <row r="922" spans="1:37" x14ac:dyDescent="0.15">
      <c r="A922" s="1">
        <f t="shared" ca="1" si="409"/>
        <v>9224302</v>
      </c>
      <c r="B922" s="1" t="str">
        <f t="shared" ca="1" si="394"/>
        <v>幻影脚第3段</v>
      </c>
      <c r="C922" t="s">
        <v>169</v>
      </c>
      <c r="D922">
        <f t="shared" si="395"/>
        <v>2</v>
      </c>
      <c r="E922" s="42">
        <f t="shared" ca="1" si="410"/>
        <v>13</v>
      </c>
      <c r="F922" t="str">
        <f t="shared" ca="1" si="411"/>
        <v>第2级，共造成146.3%点伤害</v>
      </c>
      <c r="G922">
        <f t="shared" ca="1" si="412"/>
        <v>3</v>
      </c>
      <c r="H922">
        <f t="shared" si="396"/>
        <v>3</v>
      </c>
      <c r="I922" s="44">
        <f t="shared" ca="1" si="421"/>
        <v>2</v>
      </c>
      <c r="J922">
        <f t="shared" si="397"/>
        <v>2</v>
      </c>
      <c r="K922" s="36">
        <f t="shared" ca="1" si="398"/>
        <v>146.34782608695653</v>
      </c>
      <c r="L922" s="10">
        <f ca="1">AH922*VLOOKUP(C922,技能辅助查询表,技能配置辅助表!$T$1,FALSE)</f>
        <v>0</v>
      </c>
      <c r="M922">
        <f t="shared" ca="1" si="399"/>
        <v>7840</v>
      </c>
      <c r="N922" s="33">
        <f ca="1">CHOOSE(1,W922*U922,X922*'[1]0、经济设定'!$C$18)</f>
        <v>488</v>
      </c>
      <c r="O922">
        <f t="shared" si="400"/>
        <v>4</v>
      </c>
      <c r="P922">
        <f t="shared" si="401"/>
        <v>1</v>
      </c>
      <c r="Q922">
        <f t="shared" si="402"/>
        <v>1</v>
      </c>
      <c r="R922" s="2">
        <f t="shared" si="403"/>
        <v>10</v>
      </c>
      <c r="S922" s="2">
        <f t="shared" si="404"/>
        <v>50</v>
      </c>
      <c r="T922" s="2">
        <f t="shared" si="405"/>
        <v>143.47826086956522</v>
      </c>
      <c r="U922" s="2">
        <f ca="1">VLOOKUP(E922,金币生产率!$A$2:$B$120,2,0)</f>
        <v>122</v>
      </c>
      <c r="V922" s="2">
        <f t="shared" si="406"/>
        <v>143.47826086956522</v>
      </c>
      <c r="W922" s="45">
        <f t="shared" ca="1" si="418"/>
        <v>4</v>
      </c>
      <c r="X922" s="48">
        <f t="shared" ca="1" si="419"/>
        <v>7</v>
      </c>
      <c r="Y922">
        <f t="shared" si="407"/>
        <v>18</v>
      </c>
      <c r="Z922">
        <f t="shared" ca="1" si="413"/>
        <v>0</v>
      </c>
      <c r="AA922" t="str">
        <f t="shared" ca="1" si="414"/>
        <v>9224300.png</v>
      </c>
      <c r="AB922">
        <f t="shared" si="408"/>
        <v>20</v>
      </c>
      <c r="AC922">
        <f>VLOOKUP(C922,技能辅助查询表,技能配置辅助表!$W$1,FALSE)</f>
        <v>35</v>
      </c>
      <c r="AD922">
        <f t="shared" ca="1" si="415"/>
        <v>1.3929680561510775</v>
      </c>
      <c r="AE922">
        <f>VLOOKUP(C922,技能辅助查询表,技能配置辅助表!$U$1,FALSE)</f>
        <v>4</v>
      </c>
      <c r="AF922">
        <f t="shared" ca="1" si="416"/>
        <v>9224302</v>
      </c>
      <c r="AG922">
        <f t="shared" ca="1" si="420"/>
        <v>11.428571428571429</v>
      </c>
      <c r="AH922">
        <f t="shared" ca="1" si="417"/>
        <v>15.027328935963775</v>
      </c>
      <c r="AI922">
        <f ca="1">VLOOKUP(E922,伤害参考系!$C$4:$E$104,3,FALSE)*$AN$12</f>
        <v>288.46124999999995</v>
      </c>
      <c r="AJ922">
        <f>VLOOKUP(C922,技能辅助查询表,技能配置辅助表!$L$1,FALSE)</f>
        <v>1</v>
      </c>
      <c r="AK922">
        <f>VLOOKUP(C922,技能辅助查询表,技能配置辅助表!$AE$1,FALSE)</f>
        <v>66000388</v>
      </c>
    </row>
    <row r="923" spans="1:37" x14ac:dyDescent="0.15">
      <c r="A923" s="1">
        <f t="shared" ca="1" si="409"/>
        <v>9224303</v>
      </c>
      <c r="B923" s="1" t="str">
        <f t="shared" ca="1" si="394"/>
        <v>幻影脚第3段</v>
      </c>
      <c r="C923" t="s">
        <v>169</v>
      </c>
      <c r="D923">
        <f t="shared" si="395"/>
        <v>2</v>
      </c>
      <c r="E923" s="42">
        <f t="shared" ca="1" si="410"/>
        <v>14</v>
      </c>
      <c r="F923" t="str">
        <f t="shared" ca="1" si="411"/>
        <v>第3级，共造成147.8%点伤害</v>
      </c>
      <c r="G923">
        <f t="shared" ca="1" si="412"/>
        <v>3</v>
      </c>
      <c r="H923">
        <f t="shared" si="396"/>
        <v>3</v>
      </c>
      <c r="I923" s="44">
        <f t="shared" ca="1" si="421"/>
        <v>3</v>
      </c>
      <c r="J923">
        <f t="shared" si="397"/>
        <v>2</v>
      </c>
      <c r="K923" s="36">
        <f t="shared" ca="1" si="398"/>
        <v>147.78260869565219</v>
      </c>
      <c r="L923" s="10">
        <f ca="1">AH923*VLOOKUP(C923,技能辅助查询表,技能配置辅助表!$T$1,FALSE)</f>
        <v>0</v>
      </c>
      <c r="M923">
        <f t="shared" ca="1" si="399"/>
        <v>7760</v>
      </c>
      <c r="N923" s="33">
        <f ca="1">CHOOSE(1,W923*U923,X923*'[1]0、经济设定'!$C$18)</f>
        <v>512</v>
      </c>
      <c r="O923">
        <f t="shared" si="400"/>
        <v>4</v>
      </c>
      <c r="P923">
        <f t="shared" si="401"/>
        <v>1</v>
      </c>
      <c r="Q923">
        <f t="shared" si="402"/>
        <v>1</v>
      </c>
      <c r="R923" s="2">
        <f t="shared" si="403"/>
        <v>10</v>
      </c>
      <c r="S923" s="2">
        <f t="shared" si="404"/>
        <v>50</v>
      </c>
      <c r="T923" s="2">
        <f t="shared" si="405"/>
        <v>143.47826086956522</v>
      </c>
      <c r="U923" s="2">
        <f ca="1">VLOOKUP(E923,金币生产率!$A$2:$B$120,2,0)</f>
        <v>128</v>
      </c>
      <c r="V923" s="2">
        <f t="shared" si="406"/>
        <v>143.47826086956522</v>
      </c>
      <c r="W923" s="45">
        <f t="shared" ca="1" si="418"/>
        <v>4</v>
      </c>
      <c r="X923" s="48">
        <f t="shared" ca="1" si="419"/>
        <v>11</v>
      </c>
      <c r="Y923">
        <f t="shared" si="407"/>
        <v>18</v>
      </c>
      <c r="Z923">
        <f t="shared" ca="1" si="413"/>
        <v>0</v>
      </c>
      <c r="AA923" t="str">
        <f t="shared" ca="1" si="414"/>
        <v>9224300.png</v>
      </c>
      <c r="AB923">
        <f t="shared" si="408"/>
        <v>20</v>
      </c>
      <c r="AC923">
        <f>VLOOKUP(C923,技能辅助查询表,技能配置辅助表!$W$1,FALSE)</f>
        <v>35</v>
      </c>
      <c r="AD923">
        <f t="shared" ca="1" si="415"/>
        <v>1.6349694391434659</v>
      </c>
      <c r="AE923">
        <f>VLOOKUP(C923,技能辅助查询表,技能配置辅助表!$U$1,FALSE)</f>
        <v>4</v>
      </c>
      <c r="AF923">
        <f t="shared" ca="1" si="416"/>
        <v>9224303</v>
      </c>
      <c r="AG923">
        <f t="shared" ca="1" si="420"/>
        <v>12.857142857142858</v>
      </c>
      <c r="AH923">
        <f t="shared" ca="1" si="417"/>
        <v>17.108415423248271</v>
      </c>
      <c r="AI923">
        <f ca="1">VLOOKUP(E923,伤害参考系!$C$4:$E$104,3,FALSE)*$AN$12</f>
        <v>330.31565217391307</v>
      </c>
      <c r="AJ923">
        <f>VLOOKUP(C923,技能辅助查询表,技能配置辅助表!$L$1,FALSE)</f>
        <v>1</v>
      </c>
      <c r="AK923">
        <f>VLOOKUP(C923,技能辅助查询表,技能配置辅助表!$AE$1,FALSE)</f>
        <v>66000388</v>
      </c>
    </row>
    <row r="924" spans="1:37" x14ac:dyDescent="0.15">
      <c r="A924" s="1">
        <f t="shared" ca="1" si="409"/>
        <v>9224304</v>
      </c>
      <c r="B924" s="1" t="str">
        <f t="shared" ca="1" si="394"/>
        <v>幻影脚第3段</v>
      </c>
      <c r="C924" t="s">
        <v>169</v>
      </c>
      <c r="D924">
        <f t="shared" si="395"/>
        <v>2</v>
      </c>
      <c r="E924" s="42">
        <f t="shared" ca="1" si="410"/>
        <v>16</v>
      </c>
      <c r="F924" t="str">
        <f t="shared" ca="1" si="411"/>
        <v>第4级，共造成149.2%点伤害</v>
      </c>
      <c r="G924">
        <f t="shared" ca="1" si="412"/>
        <v>3</v>
      </c>
      <c r="H924">
        <f t="shared" si="396"/>
        <v>3</v>
      </c>
      <c r="I924" s="44">
        <f t="shared" ca="1" si="421"/>
        <v>4</v>
      </c>
      <c r="J924">
        <f t="shared" si="397"/>
        <v>2</v>
      </c>
      <c r="K924" s="36">
        <f t="shared" ca="1" si="398"/>
        <v>149.21739130434781</v>
      </c>
      <c r="L924" s="10">
        <f ca="1">AH924*VLOOKUP(C924,技能辅助查询表,技能配置辅助表!$T$1,FALSE)</f>
        <v>0</v>
      </c>
      <c r="M924">
        <f t="shared" ca="1" si="399"/>
        <v>7680</v>
      </c>
      <c r="N924" s="33">
        <f ca="1">CHOOSE(1,W924*U924,X924*'[1]0、经济设定'!$C$18)</f>
        <v>560</v>
      </c>
      <c r="O924">
        <f t="shared" si="400"/>
        <v>4</v>
      </c>
      <c r="P924">
        <f t="shared" si="401"/>
        <v>1</v>
      </c>
      <c r="Q924">
        <f t="shared" si="402"/>
        <v>1</v>
      </c>
      <c r="R924" s="2">
        <f t="shared" si="403"/>
        <v>10</v>
      </c>
      <c r="S924" s="2">
        <f t="shared" si="404"/>
        <v>50</v>
      </c>
      <c r="T924" s="2">
        <f t="shared" si="405"/>
        <v>143.47826086956522</v>
      </c>
      <c r="U924" s="2">
        <f ca="1">VLOOKUP(E924,金币生产率!$A$2:$B$120,2,0)</f>
        <v>140</v>
      </c>
      <c r="V924" s="2">
        <f t="shared" si="406"/>
        <v>143.47826086956522</v>
      </c>
      <c r="W924" s="45">
        <f t="shared" ca="1" si="418"/>
        <v>4</v>
      </c>
      <c r="X924" s="48">
        <f t="shared" ca="1" si="419"/>
        <v>15</v>
      </c>
      <c r="Y924">
        <f t="shared" si="407"/>
        <v>18</v>
      </c>
      <c r="Z924">
        <f t="shared" ca="1" si="413"/>
        <v>0</v>
      </c>
      <c r="AA924" t="str">
        <f t="shared" ca="1" si="414"/>
        <v>9224300.png</v>
      </c>
      <c r="AB924">
        <f t="shared" si="408"/>
        <v>20</v>
      </c>
      <c r="AC924">
        <f>VLOOKUP(C924,技能辅助查询表,技能配置辅助表!$W$1,FALSE)</f>
        <v>35</v>
      </c>
      <c r="AD924">
        <f t="shared" ca="1" si="415"/>
        <v>1.9172836465292797</v>
      </c>
      <c r="AE924">
        <f>VLOOKUP(C924,技能辅助查询表,技能配置辅助表!$U$1,FALSE)</f>
        <v>4</v>
      </c>
      <c r="AF924">
        <f t="shared" ca="1" si="416"/>
        <v>9224304</v>
      </c>
      <c r="AG924">
        <f t="shared" ca="1" si="420"/>
        <v>14.285714285714285</v>
      </c>
      <c r="AH924">
        <f t="shared" ca="1" si="417"/>
        <v>19.477704889652582</v>
      </c>
      <c r="AI924">
        <f ca="1">VLOOKUP(E924,伤害参考系!$C$4:$E$104,3,FALSE)*$AN$12</f>
        <v>421.35260869565224</v>
      </c>
      <c r="AJ924">
        <f>VLOOKUP(C924,技能辅助查询表,技能配置辅助表!$L$1,FALSE)</f>
        <v>1</v>
      </c>
      <c r="AK924">
        <f>VLOOKUP(C924,技能辅助查询表,技能配置辅助表!$AE$1,FALSE)</f>
        <v>66000388</v>
      </c>
    </row>
    <row r="925" spans="1:37" x14ac:dyDescent="0.15">
      <c r="A925" s="1">
        <f t="shared" ca="1" si="409"/>
        <v>9224305</v>
      </c>
      <c r="B925" s="1" t="str">
        <f t="shared" ca="1" si="394"/>
        <v>幻影脚第3段</v>
      </c>
      <c r="C925" t="s">
        <v>169</v>
      </c>
      <c r="D925">
        <f t="shared" si="395"/>
        <v>2</v>
      </c>
      <c r="E925" s="42">
        <f t="shared" ca="1" si="410"/>
        <v>17</v>
      </c>
      <c r="F925" t="str">
        <f t="shared" ca="1" si="411"/>
        <v>第5级，共造成150.7%点伤害</v>
      </c>
      <c r="G925">
        <f t="shared" ca="1" si="412"/>
        <v>3</v>
      </c>
      <c r="H925">
        <f t="shared" si="396"/>
        <v>3</v>
      </c>
      <c r="I925" s="44">
        <f t="shared" ca="1" si="421"/>
        <v>5</v>
      </c>
      <c r="J925">
        <f t="shared" si="397"/>
        <v>2</v>
      </c>
      <c r="K925" s="36">
        <f t="shared" ca="1" si="398"/>
        <v>150.65217391304347</v>
      </c>
      <c r="L925" s="10">
        <f ca="1">AH925*VLOOKUP(C925,技能辅助查询表,技能配置辅助表!$T$1,FALSE)</f>
        <v>0</v>
      </c>
      <c r="M925">
        <f t="shared" ca="1" si="399"/>
        <v>7600</v>
      </c>
      <c r="N925" s="33">
        <f ca="1">CHOOSE(1,W925*U925,X925*'[1]0、经济设定'!$C$18)</f>
        <v>730</v>
      </c>
      <c r="O925">
        <f t="shared" si="400"/>
        <v>4</v>
      </c>
      <c r="P925">
        <f t="shared" si="401"/>
        <v>1</v>
      </c>
      <c r="Q925">
        <f t="shared" si="402"/>
        <v>1</v>
      </c>
      <c r="R925" s="2">
        <f t="shared" si="403"/>
        <v>10</v>
      </c>
      <c r="S925" s="2">
        <f t="shared" si="404"/>
        <v>50</v>
      </c>
      <c r="T925" s="2">
        <f t="shared" si="405"/>
        <v>143.47826086956522</v>
      </c>
      <c r="U925" s="2">
        <f ca="1">VLOOKUP(E925,金币生产率!$A$2:$B$120,2,0)</f>
        <v>146</v>
      </c>
      <c r="V925" s="2">
        <f t="shared" si="406"/>
        <v>143.47826086956522</v>
      </c>
      <c r="W925" s="45">
        <f t="shared" ca="1" si="418"/>
        <v>5</v>
      </c>
      <c r="X925" s="48">
        <f t="shared" ca="1" si="419"/>
        <v>20</v>
      </c>
      <c r="Y925">
        <f t="shared" si="407"/>
        <v>18</v>
      </c>
      <c r="Z925">
        <f t="shared" ca="1" si="413"/>
        <v>0</v>
      </c>
      <c r="AA925" t="str">
        <f t="shared" ca="1" si="414"/>
        <v>9224300.png</v>
      </c>
      <c r="AB925">
        <f t="shared" si="408"/>
        <v>20</v>
      </c>
      <c r="AC925">
        <f>VLOOKUP(C925,技能辅助查询表,技能配置辅助表!$W$1,FALSE)</f>
        <v>35</v>
      </c>
      <c r="AD925">
        <f t="shared" ca="1" si="415"/>
        <v>2.2464350200000576</v>
      </c>
      <c r="AE925">
        <f>VLOOKUP(C925,技能辅助查询表,技能配置辅助表!$U$1,FALSE)</f>
        <v>4</v>
      </c>
      <c r="AF925">
        <f t="shared" ca="1" si="416"/>
        <v>9224305</v>
      </c>
      <c r="AG925">
        <f t="shared" ca="1" si="420"/>
        <v>15.714285714285715</v>
      </c>
      <c r="AH925">
        <f t="shared" ca="1" si="417"/>
        <v>22.175109639485559</v>
      </c>
      <c r="AI925">
        <f ca="1">VLOOKUP(E925,伤害参考系!$C$4:$E$104,3,FALSE)*$AN$12</f>
        <v>470.53516304347824</v>
      </c>
      <c r="AJ925">
        <f>VLOOKUP(C925,技能辅助查询表,技能配置辅助表!$L$1,FALSE)</f>
        <v>1</v>
      </c>
      <c r="AK925">
        <f>VLOOKUP(C925,技能辅助查询表,技能配置辅助表!$AE$1,FALSE)</f>
        <v>66000388</v>
      </c>
    </row>
    <row r="926" spans="1:37" x14ac:dyDescent="0.15">
      <c r="A926" s="1">
        <f t="shared" ca="1" si="409"/>
        <v>9224306</v>
      </c>
      <c r="B926" s="1" t="str">
        <f t="shared" ca="1" si="394"/>
        <v>幻影脚第3段</v>
      </c>
      <c r="C926" t="s">
        <v>169</v>
      </c>
      <c r="D926">
        <f t="shared" si="395"/>
        <v>2</v>
      </c>
      <c r="E926" s="42">
        <f t="shared" ca="1" si="410"/>
        <v>18</v>
      </c>
      <c r="F926" t="str">
        <f t="shared" ca="1" si="411"/>
        <v>第6级，共造成152.1%点伤害</v>
      </c>
      <c r="G926">
        <f t="shared" ca="1" si="412"/>
        <v>3</v>
      </c>
      <c r="H926">
        <f t="shared" si="396"/>
        <v>3</v>
      </c>
      <c r="I926" s="44">
        <f t="shared" ca="1" si="421"/>
        <v>6</v>
      </c>
      <c r="J926">
        <f t="shared" si="397"/>
        <v>2</v>
      </c>
      <c r="K926" s="36">
        <f t="shared" ca="1" si="398"/>
        <v>152.08695652173913</v>
      </c>
      <c r="L926" s="10">
        <f ca="1">AH926*VLOOKUP(C926,技能辅助查询表,技能配置辅助表!$T$1,FALSE)</f>
        <v>0</v>
      </c>
      <c r="M926">
        <f t="shared" ca="1" si="399"/>
        <v>7520</v>
      </c>
      <c r="N926" s="33">
        <f ca="1">CHOOSE(1,W926*U926,X926*'[1]0、经济设定'!$C$18)</f>
        <v>760</v>
      </c>
      <c r="O926">
        <f t="shared" si="400"/>
        <v>4</v>
      </c>
      <c r="P926">
        <f t="shared" si="401"/>
        <v>1</v>
      </c>
      <c r="Q926">
        <f t="shared" si="402"/>
        <v>1</v>
      </c>
      <c r="R926" s="2">
        <f t="shared" si="403"/>
        <v>10</v>
      </c>
      <c r="S926" s="2">
        <f t="shared" si="404"/>
        <v>50</v>
      </c>
      <c r="T926" s="2">
        <f t="shared" si="405"/>
        <v>143.47826086956522</v>
      </c>
      <c r="U926" s="2">
        <f ca="1">VLOOKUP(E926,金币生产率!$A$2:$B$120,2,0)</f>
        <v>152</v>
      </c>
      <c r="V926" s="2">
        <f t="shared" si="406"/>
        <v>143.47826086956522</v>
      </c>
      <c r="W926" s="45">
        <f t="shared" ca="1" si="418"/>
        <v>5</v>
      </c>
      <c r="X926" s="48">
        <f t="shared" ca="1" si="419"/>
        <v>25</v>
      </c>
      <c r="Y926">
        <f t="shared" si="407"/>
        <v>18</v>
      </c>
      <c r="Z926">
        <f t="shared" ca="1" si="413"/>
        <v>0</v>
      </c>
      <c r="AA926" t="str">
        <f t="shared" ca="1" si="414"/>
        <v>9224300.png</v>
      </c>
      <c r="AB926">
        <f t="shared" si="408"/>
        <v>20</v>
      </c>
      <c r="AC926">
        <f>VLOOKUP(C926,技能辅助查询表,技能配置辅助表!$W$1,FALSE)</f>
        <v>35</v>
      </c>
      <c r="AD926">
        <f t="shared" ca="1" si="415"/>
        <v>2.6299818283440723</v>
      </c>
      <c r="AE926">
        <f>VLOOKUP(C926,技能辅助查询表,技能配置辅助表!$U$1,FALSE)</f>
        <v>4</v>
      </c>
      <c r="AF926">
        <f t="shared" ca="1" si="416"/>
        <v>9224306</v>
      </c>
      <c r="AG926">
        <f t="shared" ca="1" si="420"/>
        <v>17.142857142857142</v>
      </c>
      <c r="AH926">
        <f t="shared" ca="1" si="417"/>
        <v>25.246069303803697</v>
      </c>
      <c r="AI926">
        <f ca="1">VLOOKUP(E926,伤害参考系!$C$4:$E$104,3,FALSE)*$AN$12</f>
        <v>522.16043478260883</v>
      </c>
      <c r="AJ926">
        <f>VLOOKUP(C926,技能辅助查询表,技能配置辅助表!$L$1,FALSE)</f>
        <v>1</v>
      </c>
      <c r="AK926">
        <f>VLOOKUP(C926,技能辅助查询表,技能配置辅助表!$AE$1,FALSE)</f>
        <v>66000388</v>
      </c>
    </row>
    <row r="927" spans="1:37" x14ac:dyDescent="0.15">
      <c r="A927" s="1">
        <f t="shared" ca="1" si="409"/>
        <v>9224307</v>
      </c>
      <c r="B927" s="1" t="str">
        <f t="shared" ca="1" si="394"/>
        <v>幻影脚第3段</v>
      </c>
      <c r="C927" t="s">
        <v>169</v>
      </c>
      <c r="D927">
        <f t="shared" si="395"/>
        <v>2</v>
      </c>
      <c r="E927" s="42">
        <f t="shared" ca="1" si="410"/>
        <v>20</v>
      </c>
      <c r="F927" t="str">
        <f t="shared" ca="1" si="411"/>
        <v>第7级，共造成153.5%点伤害</v>
      </c>
      <c r="G927">
        <f t="shared" ca="1" si="412"/>
        <v>3</v>
      </c>
      <c r="H927">
        <f t="shared" si="396"/>
        <v>3</v>
      </c>
      <c r="I927" s="44">
        <f t="shared" ca="1" si="421"/>
        <v>7</v>
      </c>
      <c r="J927">
        <f t="shared" si="397"/>
        <v>2</v>
      </c>
      <c r="K927" s="36">
        <f t="shared" ca="1" si="398"/>
        <v>153.52173913043478</v>
      </c>
      <c r="L927" s="10">
        <f ca="1">AH927*VLOOKUP(C927,技能辅助查询表,技能配置辅助表!$T$1,FALSE)</f>
        <v>0</v>
      </c>
      <c r="M927">
        <f t="shared" ca="1" si="399"/>
        <v>7440</v>
      </c>
      <c r="N927" s="33">
        <f ca="1">CHOOSE(1,W927*U927,X927*'[1]0、经济设定'!$C$18)</f>
        <v>910</v>
      </c>
      <c r="O927">
        <f t="shared" si="400"/>
        <v>4</v>
      </c>
      <c r="P927">
        <f t="shared" si="401"/>
        <v>1</v>
      </c>
      <c r="Q927">
        <f t="shared" si="402"/>
        <v>1</v>
      </c>
      <c r="R927" s="2">
        <f t="shared" si="403"/>
        <v>10</v>
      </c>
      <c r="S927" s="2">
        <f t="shared" si="404"/>
        <v>50</v>
      </c>
      <c r="T927" s="2">
        <f t="shared" si="405"/>
        <v>143.47826086956522</v>
      </c>
      <c r="U927" s="2">
        <f ca="1">VLOOKUP(E927,金币生产率!$A$2:$B$120,2,0)</f>
        <v>182</v>
      </c>
      <c r="V927" s="2">
        <f t="shared" si="406"/>
        <v>143.47826086956522</v>
      </c>
      <c r="W927" s="45">
        <f t="shared" ca="1" si="418"/>
        <v>5</v>
      </c>
      <c r="X927" s="48">
        <f t="shared" ca="1" si="419"/>
        <v>30</v>
      </c>
      <c r="Y927">
        <f t="shared" si="407"/>
        <v>18</v>
      </c>
      <c r="Z927">
        <f t="shared" ca="1" si="413"/>
        <v>0</v>
      </c>
      <c r="AA927" t="str">
        <f t="shared" ca="1" si="414"/>
        <v>9224300.png</v>
      </c>
      <c r="AB927">
        <f t="shared" si="408"/>
        <v>20</v>
      </c>
      <c r="AC927">
        <f>VLOOKUP(C927,技能辅助查询表,技能配置辅助表!$W$1,FALSE)</f>
        <v>35</v>
      </c>
      <c r="AD927">
        <f t="shared" ca="1" si="415"/>
        <v>3.076677510253865</v>
      </c>
      <c r="AE927">
        <f>VLOOKUP(C927,技能辅助查询表,技能配置辅助表!$U$1,FALSE)</f>
        <v>4</v>
      </c>
      <c r="AF927">
        <f t="shared" ca="1" si="416"/>
        <v>9224307</v>
      </c>
      <c r="AG927">
        <f t="shared" ca="1" si="420"/>
        <v>18.571428571428569</v>
      </c>
      <c r="AH927">
        <f t="shared" ca="1" si="417"/>
        <v>28.742316302127907</v>
      </c>
      <c r="AI927">
        <f ca="1">VLOOKUP(E927,伤害参考系!$C$4:$E$104,3,FALSE)*$AN$12</f>
        <v>632.73913043478262</v>
      </c>
      <c r="AJ927">
        <f>VLOOKUP(C927,技能辅助查询表,技能配置辅助表!$L$1,FALSE)</f>
        <v>1</v>
      </c>
      <c r="AK927">
        <f>VLOOKUP(C927,技能辅助查询表,技能配置辅助表!$AE$1,FALSE)</f>
        <v>66000388</v>
      </c>
    </row>
    <row r="928" spans="1:37" x14ac:dyDescent="0.15">
      <c r="A928" s="1">
        <f t="shared" ca="1" si="409"/>
        <v>9224308</v>
      </c>
      <c r="B928" s="1" t="str">
        <f t="shared" ca="1" si="394"/>
        <v>幻影脚第3段</v>
      </c>
      <c r="C928" t="s">
        <v>169</v>
      </c>
      <c r="D928">
        <f t="shared" si="395"/>
        <v>2</v>
      </c>
      <c r="E928" s="42">
        <f t="shared" ca="1" si="410"/>
        <v>21</v>
      </c>
      <c r="F928" t="str">
        <f t="shared" ca="1" si="411"/>
        <v>第8级，共造成155%点伤害</v>
      </c>
      <c r="G928">
        <f t="shared" ca="1" si="412"/>
        <v>3</v>
      </c>
      <c r="H928">
        <f t="shared" si="396"/>
        <v>3</v>
      </c>
      <c r="I928" s="44">
        <f t="shared" ca="1" si="421"/>
        <v>8</v>
      </c>
      <c r="J928">
        <f t="shared" si="397"/>
        <v>2</v>
      </c>
      <c r="K928" s="36">
        <f t="shared" ca="1" si="398"/>
        <v>154.95652173913044</v>
      </c>
      <c r="L928" s="10">
        <f ca="1">AH928*VLOOKUP(C928,技能辅助查询表,技能配置辅助表!$T$1,FALSE)</f>
        <v>0</v>
      </c>
      <c r="M928">
        <f t="shared" ca="1" si="399"/>
        <v>7360</v>
      </c>
      <c r="N928" s="33">
        <f ca="1">CHOOSE(1,W928*U928,X928*'[1]0、经济设定'!$C$18)</f>
        <v>1260</v>
      </c>
      <c r="O928">
        <f t="shared" si="400"/>
        <v>4</v>
      </c>
      <c r="P928">
        <f t="shared" si="401"/>
        <v>1</v>
      </c>
      <c r="Q928">
        <f t="shared" si="402"/>
        <v>1</v>
      </c>
      <c r="R928" s="2">
        <f t="shared" si="403"/>
        <v>10</v>
      </c>
      <c r="S928" s="2">
        <f t="shared" si="404"/>
        <v>50</v>
      </c>
      <c r="T928" s="2">
        <f t="shared" si="405"/>
        <v>143.47826086956522</v>
      </c>
      <c r="U928" s="2">
        <f ca="1">VLOOKUP(E928,金币生产率!$A$2:$B$120,2,0)</f>
        <v>210</v>
      </c>
      <c r="V928" s="2">
        <f t="shared" si="406"/>
        <v>143.47826086956522</v>
      </c>
      <c r="W928" s="45">
        <f t="shared" ca="1" si="418"/>
        <v>6</v>
      </c>
      <c r="X928" s="48">
        <f t="shared" ca="1" si="419"/>
        <v>36</v>
      </c>
      <c r="Y928">
        <f t="shared" si="407"/>
        <v>18</v>
      </c>
      <c r="Z928">
        <f t="shared" ca="1" si="413"/>
        <v>0</v>
      </c>
      <c r="AA928" t="str">
        <f t="shared" ca="1" si="414"/>
        <v>9224300.png</v>
      </c>
      <c r="AB928">
        <f t="shared" si="408"/>
        <v>20</v>
      </c>
      <c r="AC928">
        <f>VLOOKUP(C928,技能辅助查询表,技能配置辅助表!$W$1,FALSE)</f>
        <v>35</v>
      </c>
      <c r="AD928">
        <f t="shared" ca="1" si="415"/>
        <v>3.5966567478663847</v>
      </c>
      <c r="AE928">
        <f>VLOOKUP(C928,技能辅助查询表,技能配置辅助表!$U$1,FALSE)</f>
        <v>4</v>
      </c>
      <c r="AF928">
        <f t="shared" ca="1" si="416"/>
        <v>9224308</v>
      </c>
      <c r="AG928">
        <f t="shared" ca="1" si="420"/>
        <v>20</v>
      </c>
      <c r="AH928">
        <f t="shared" ca="1" si="417"/>
        <v>32.722747310493212</v>
      </c>
      <c r="AI928">
        <f ca="1">VLOOKUP(E928,伤害参考系!$C$4:$E$104,3,FALSE)*$AN$12</f>
        <v>691.69255434782622</v>
      </c>
      <c r="AJ928">
        <f>VLOOKUP(C928,技能辅助查询表,技能配置辅助表!$L$1,FALSE)</f>
        <v>1</v>
      </c>
      <c r="AK928">
        <f>VLOOKUP(C928,技能辅助查询表,技能配置辅助表!$AE$1,FALSE)</f>
        <v>66000388</v>
      </c>
    </row>
    <row r="929" spans="1:37" x14ac:dyDescent="0.15">
      <c r="A929" s="1">
        <f t="shared" ca="1" si="409"/>
        <v>9224309</v>
      </c>
      <c r="B929" s="1" t="str">
        <f t="shared" ca="1" si="394"/>
        <v>幻影脚第3段</v>
      </c>
      <c r="C929" t="s">
        <v>169</v>
      </c>
      <c r="D929">
        <f t="shared" si="395"/>
        <v>2</v>
      </c>
      <c r="E929" s="42">
        <f t="shared" ca="1" si="410"/>
        <v>23</v>
      </c>
      <c r="F929" t="str">
        <f t="shared" ca="1" si="411"/>
        <v>第9级，共造成156.4%点伤害</v>
      </c>
      <c r="G929">
        <f t="shared" ca="1" si="412"/>
        <v>3</v>
      </c>
      <c r="H929">
        <f t="shared" si="396"/>
        <v>3</v>
      </c>
      <c r="I929" s="44">
        <f t="shared" ca="1" si="421"/>
        <v>9</v>
      </c>
      <c r="J929">
        <f t="shared" si="397"/>
        <v>2</v>
      </c>
      <c r="K929" s="36">
        <f t="shared" ca="1" si="398"/>
        <v>156.39130434782609</v>
      </c>
      <c r="L929" s="10">
        <f ca="1">AH929*VLOOKUP(C929,技能辅助查询表,技能配置辅助表!$T$1,FALSE)</f>
        <v>0</v>
      </c>
      <c r="M929">
        <f t="shared" ca="1" si="399"/>
        <v>7280</v>
      </c>
      <c r="N929" s="33">
        <f ca="1">CHOOSE(1,W929*U929,X929*'[1]0、经济设定'!$C$18)</f>
        <v>1620</v>
      </c>
      <c r="O929">
        <f t="shared" si="400"/>
        <v>4</v>
      </c>
      <c r="P929">
        <f t="shared" si="401"/>
        <v>1</v>
      </c>
      <c r="Q929">
        <f t="shared" si="402"/>
        <v>1</v>
      </c>
      <c r="R929" s="2">
        <f t="shared" si="403"/>
        <v>10</v>
      </c>
      <c r="S929" s="2">
        <f t="shared" si="404"/>
        <v>50</v>
      </c>
      <c r="T929" s="2">
        <f t="shared" si="405"/>
        <v>143.47826086956522</v>
      </c>
      <c r="U929" s="2">
        <f ca="1">VLOOKUP(E929,金币生产率!$A$2:$B$120,2,0)</f>
        <v>270</v>
      </c>
      <c r="V929" s="2">
        <f t="shared" si="406"/>
        <v>143.47826086956522</v>
      </c>
      <c r="W929" s="45">
        <f t="shared" ca="1" si="418"/>
        <v>6</v>
      </c>
      <c r="X929" s="48">
        <f t="shared" ca="1" si="419"/>
        <v>42</v>
      </c>
      <c r="Y929">
        <f t="shared" si="407"/>
        <v>18</v>
      </c>
      <c r="Z929">
        <f t="shared" ca="1" si="413"/>
        <v>0</v>
      </c>
      <c r="AA929" t="str">
        <f t="shared" ca="1" si="414"/>
        <v>9224300.png</v>
      </c>
      <c r="AB929">
        <f t="shared" si="408"/>
        <v>20</v>
      </c>
      <c r="AC929">
        <f>VLOOKUP(C929,技能辅助查询表,技能配置辅助表!$W$1,FALSE)</f>
        <v>35</v>
      </c>
      <c r="AD929">
        <f t="shared" ca="1" si="415"/>
        <v>4.2016501560827209</v>
      </c>
      <c r="AE929">
        <f>VLOOKUP(C929,技能辅助查询表,技能配置辅助表!$U$1,FALSE)</f>
        <v>4</v>
      </c>
      <c r="AF929">
        <f t="shared" ca="1" si="416"/>
        <v>9224309</v>
      </c>
      <c r="AG929">
        <f t="shared" ca="1" si="420"/>
        <v>21.428571428571431</v>
      </c>
      <c r="AH929">
        <f t="shared" ca="1" si="417"/>
        <v>37.25441541630785</v>
      </c>
      <c r="AI929">
        <f ca="1">VLOOKUP(E929,伤害参考系!$C$4:$E$104,3,FALSE)*$AN$12</f>
        <v>832.15832357859551</v>
      </c>
      <c r="AJ929">
        <f>VLOOKUP(C929,技能辅助查询表,技能配置辅助表!$L$1,FALSE)</f>
        <v>1</v>
      </c>
      <c r="AK929">
        <f>VLOOKUP(C929,技能辅助查询表,技能配置辅助表!$AE$1,FALSE)</f>
        <v>66000388</v>
      </c>
    </row>
    <row r="930" spans="1:37" x14ac:dyDescent="0.15">
      <c r="A930" s="1">
        <f t="shared" ca="1" si="409"/>
        <v>9224310</v>
      </c>
      <c r="B930" s="1" t="str">
        <f t="shared" ca="1" si="394"/>
        <v>幻影脚第3段</v>
      </c>
      <c r="C930" t="s">
        <v>169</v>
      </c>
      <c r="D930">
        <f t="shared" si="395"/>
        <v>2</v>
      </c>
      <c r="E930" s="42">
        <f t="shared" ca="1" si="410"/>
        <v>24</v>
      </c>
      <c r="F930" t="str">
        <f t="shared" ca="1" si="411"/>
        <v>第10级，共造成157.8%点伤害</v>
      </c>
      <c r="G930">
        <f t="shared" ca="1" si="412"/>
        <v>3</v>
      </c>
      <c r="H930">
        <f t="shared" si="396"/>
        <v>3</v>
      </c>
      <c r="I930" s="44">
        <f t="shared" ca="1" si="421"/>
        <v>10</v>
      </c>
      <c r="J930">
        <f t="shared" si="397"/>
        <v>2</v>
      </c>
      <c r="K930" s="36">
        <f t="shared" ca="1" si="398"/>
        <v>157.82608695652175</v>
      </c>
      <c r="L930" s="10">
        <f ca="1">AH930*VLOOKUP(C930,技能辅助查询表,技能配置辅助表!$T$1,FALSE)</f>
        <v>0</v>
      </c>
      <c r="M930">
        <f t="shared" ca="1" si="399"/>
        <v>7200</v>
      </c>
      <c r="N930" s="33">
        <f ca="1">CHOOSE(1,W930*U930,X930*'[1]0、经济设定'!$C$18)</f>
        <v>1812</v>
      </c>
      <c r="O930">
        <f t="shared" si="400"/>
        <v>4</v>
      </c>
      <c r="P930">
        <f t="shared" si="401"/>
        <v>1</v>
      </c>
      <c r="Q930">
        <f t="shared" si="402"/>
        <v>1</v>
      </c>
      <c r="R930" s="2">
        <f t="shared" si="403"/>
        <v>10</v>
      </c>
      <c r="S930" s="2">
        <f t="shared" si="404"/>
        <v>50</v>
      </c>
      <c r="T930" s="2">
        <f t="shared" si="405"/>
        <v>143.47826086956522</v>
      </c>
      <c r="U930" s="2">
        <f ca="1">VLOOKUP(E930,金币生产率!$A$2:$B$120,2,0)</f>
        <v>302</v>
      </c>
      <c r="V930" s="2">
        <f t="shared" si="406"/>
        <v>143.47826086956522</v>
      </c>
      <c r="W930" s="45">
        <f t="shared" ca="1" si="418"/>
        <v>6</v>
      </c>
      <c r="X930" s="48">
        <f t="shared" ca="1" si="419"/>
        <v>48</v>
      </c>
      <c r="Y930">
        <f t="shared" si="407"/>
        <v>18</v>
      </c>
      <c r="Z930">
        <f t="shared" ca="1" si="413"/>
        <v>0</v>
      </c>
      <c r="AA930" t="str">
        <f t="shared" ca="1" si="414"/>
        <v>9224300.png</v>
      </c>
      <c r="AB930">
        <f t="shared" si="408"/>
        <v>20</v>
      </c>
      <c r="AC930">
        <f>VLOOKUP(C930,技能辅助查询表,技能配置辅助表!$W$1,FALSE)</f>
        <v>35</v>
      </c>
      <c r="AD930">
        <f t="shared" ca="1" si="415"/>
        <v>4.9052319448540587</v>
      </c>
      <c r="AE930">
        <f>VLOOKUP(C930,技能辅助查询表,技能配置辅助表!$U$1,FALSE)</f>
        <v>4</v>
      </c>
      <c r="AF930">
        <f t="shared" ca="1" si="416"/>
        <v>9224310</v>
      </c>
      <c r="AG930">
        <f t="shared" ca="1" si="420"/>
        <v>22.857142857142858</v>
      </c>
      <c r="AH930">
        <f t="shared" ca="1" si="417"/>
        <v>42.413659673550121</v>
      </c>
      <c r="AI930">
        <f ca="1">VLOOKUP(E930,伤害参考系!$C$4:$E$104,3,FALSE)*$AN$12</f>
        <v>914.59374581939801</v>
      </c>
      <c r="AJ930">
        <f>VLOOKUP(C930,技能辅助查询表,技能配置辅助表!$L$1,FALSE)</f>
        <v>1</v>
      </c>
      <c r="AK930">
        <f>VLOOKUP(C930,技能辅助查询表,技能配置辅助表!$AE$1,FALSE)</f>
        <v>66000388</v>
      </c>
    </row>
    <row r="931" spans="1:37" x14ac:dyDescent="0.15">
      <c r="A931" s="1">
        <f t="shared" ca="1" si="409"/>
        <v>9224311</v>
      </c>
      <c r="B931" s="1" t="str">
        <f t="shared" ca="1" si="394"/>
        <v>幻影脚第3段</v>
      </c>
      <c r="C931" t="s">
        <v>169</v>
      </c>
      <c r="D931">
        <f t="shared" si="395"/>
        <v>2</v>
      </c>
      <c r="E931" s="42">
        <f t="shared" ca="1" si="410"/>
        <v>25</v>
      </c>
      <c r="F931" t="str">
        <f t="shared" ca="1" si="411"/>
        <v>第11级，共造成159.3%点伤害</v>
      </c>
      <c r="G931">
        <f t="shared" ca="1" si="412"/>
        <v>3</v>
      </c>
      <c r="H931">
        <f t="shared" si="396"/>
        <v>3</v>
      </c>
      <c r="I931" s="44">
        <f t="shared" ca="1" si="421"/>
        <v>11</v>
      </c>
      <c r="J931">
        <f t="shared" si="397"/>
        <v>2</v>
      </c>
      <c r="K931" s="36">
        <f t="shared" ca="1" si="398"/>
        <v>159.2608695652174</v>
      </c>
      <c r="L931" s="10">
        <f ca="1">AH931*VLOOKUP(C931,技能辅助查询表,技能配置辅助表!$T$1,FALSE)</f>
        <v>0</v>
      </c>
      <c r="M931">
        <f t="shared" ca="1" si="399"/>
        <v>7120</v>
      </c>
      <c r="N931" s="33">
        <f ca="1">CHOOSE(1,W931*U931,X931*'[1]0、经济设定'!$C$18)</f>
        <v>2345</v>
      </c>
      <c r="O931">
        <f t="shared" si="400"/>
        <v>4</v>
      </c>
      <c r="P931">
        <f t="shared" si="401"/>
        <v>1</v>
      </c>
      <c r="Q931">
        <f t="shared" si="402"/>
        <v>1</v>
      </c>
      <c r="R931" s="2">
        <f t="shared" si="403"/>
        <v>10</v>
      </c>
      <c r="S931" s="2">
        <f t="shared" si="404"/>
        <v>50</v>
      </c>
      <c r="T931" s="2">
        <f t="shared" si="405"/>
        <v>143.47826086956522</v>
      </c>
      <c r="U931" s="2">
        <f ca="1">VLOOKUP(E931,金币生产率!$A$2:$B$120,2,0)</f>
        <v>335</v>
      </c>
      <c r="V931" s="2">
        <f t="shared" si="406"/>
        <v>143.47826086956522</v>
      </c>
      <c r="W931" s="45">
        <f t="shared" ca="1" si="418"/>
        <v>7</v>
      </c>
      <c r="X931" s="48">
        <f t="shared" ca="1" si="419"/>
        <v>55</v>
      </c>
      <c r="Y931">
        <f t="shared" si="407"/>
        <v>18</v>
      </c>
      <c r="Z931">
        <f t="shared" ca="1" si="413"/>
        <v>0</v>
      </c>
      <c r="AA931" t="str">
        <f t="shared" ca="1" si="414"/>
        <v>9224300.png</v>
      </c>
      <c r="AB931">
        <f t="shared" si="408"/>
        <v>20</v>
      </c>
      <c r="AC931">
        <f>VLOOKUP(C931,技能辅助查询表,技能配置辅助表!$W$1,FALSE)</f>
        <v>35</v>
      </c>
      <c r="AD931">
        <f t="shared" ca="1" si="415"/>
        <v>5.7231055696356048</v>
      </c>
      <c r="AE931">
        <f>VLOOKUP(C931,技能辅助查询表,技能配置辅助表!$U$1,FALSE)</f>
        <v>4</v>
      </c>
      <c r="AF931">
        <f t="shared" ca="1" si="416"/>
        <v>9224311</v>
      </c>
      <c r="AG931">
        <f t="shared" ca="1" si="420"/>
        <v>24.285714285714285</v>
      </c>
      <c r="AH931">
        <f t="shared" ca="1" si="417"/>
        <v>48.287391086433935</v>
      </c>
      <c r="AI931">
        <f ca="1">VLOOKUP(E931,伤害参考系!$C$4:$E$104,3,FALSE)*$AN$12</f>
        <v>1000.3949623745822</v>
      </c>
      <c r="AJ931">
        <f>VLOOKUP(C931,技能辅助查询表,技能配置辅助表!$L$1,FALSE)</f>
        <v>1</v>
      </c>
      <c r="AK931">
        <f>VLOOKUP(C931,技能辅助查询表,技能配置辅助表!$AE$1,FALSE)</f>
        <v>66000388</v>
      </c>
    </row>
    <row r="932" spans="1:37" x14ac:dyDescent="0.15">
      <c r="A932" s="1">
        <f t="shared" ca="1" si="409"/>
        <v>9224312</v>
      </c>
      <c r="B932" s="1" t="str">
        <f t="shared" ca="1" si="394"/>
        <v>幻影脚第3段</v>
      </c>
      <c r="C932" t="s">
        <v>169</v>
      </c>
      <c r="D932">
        <f t="shared" si="395"/>
        <v>2</v>
      </c>
      <c r="E932" s="42">
        <f t="shared" ca="1" si="410"/>
        <v>27</v>
      </c>
      <c r="F932" t="str">
        <f t="shared" ca="1" si="411"/>
        <v>第12级，共造成160.7%点伤害</v>
      </c>
      <c r="G932">
        <f t="shared" ca="1" si="412"/>
        <v>3</v>
      </c>
      <c r="H932">
        <f t="shared" si="396"/>
        <v>3</v>
      </c>
      <c r="I932" s="44">
        <f t="shared" ca="1" si="421"/>
        <v>12</v>
      </c>
      <c r="J932">
        <f t="shared" si="397"/>
        <v>2</v>
      </c>
      <c r="K932" s="36">
        <f t="shared" ca="1" si="398"/>
        <v>160.69565217391303</v>
      </c>
      <c r="L932" s="10">
        <f ca="1">AH932*VLOOKUP(C932,技能辅助查询表,技能配置辅助表!$T$1,FALSE)</f>
        <v>0</v>
      </c>
      <c r="M932">
        <f t="shared" ca="1" si="399"/>
        <v>7040</v>
      </c>
      <c r="N932" s="33">
        <f ca="1">CHOOSE(1,W932*U932,X932*'[1]0、经济设定'!$C$18)</f>
        <v>2842</v>
      </c>
      <c r="O932">
        <f t="shared" si="400"/>
        <v>4</v>
      </c>
      <c r="P932">
        <f t="shared" si="401"/>
        <v>1</v>
      </c>
      <c r="Q932">
        <f t="shared" si="402"/>
        <v>1</v>
      </c>
      <c r="R932" s="2">
        <f t="shared" si="403"/>
        <v>10</v>
      </c>
      <c r="S932" s="2">
        <f t="shared" si="404"/>
        <v>50</v>
      </c>
      <c r="T932" s="2">
        <f t="shared" si="405"/>
        <v>143.47826086956522</v>
      </c>
      <c r="U932" s="2">
        <f ca="1">VLOOKUP(E932,金币生产率!$A$2:$B$120,2,0)</f>
        <v>406</v>
      </c>
      <c r="V932" s="2">
        <f t="shared" si="406"/>
        <v>143.47826086956522</v>
      </c>
      <c r="W932" s="45">
        <f t="shared" ca="1" si="418"/>
        <v>7</v>
      </c>
      <c r="X932" s="48">
        <f t="shared" ca="1" si="419"/>
        <v>62</v>
      </c>
      <c r="Y932">
        <f t="shared" si="407"/>
        <v>18</v>
      </c>
      <c r="Z932">
        <f t="shared" ca="1" si="413"/>
        <v>0</v>
      </c>
      <c r="AA932" t="str">
        <f t="shared" ca="1" si="414"/>
        <v>9224300.png</v>
      </c>
      <c r="AB932">
        <f t="shared" si="408"/>
        <v>20</v>
      </c>
      <c r="AC932">
        <f>VLOOKUP(C932,技能辅助查询表,技能配置辅助表!$W$1,FALSE)</f>
        <v>35</v>
      </c>
      <c r="AD932">
        <f t="shared" ca="1" si="415"/>
        <v>6.6734331419137289</v>
      </c>
      <c r="AE932">
        <f>VLOOKUP(C932,技能辅助查询表,技能配置辅助表!$U$1,FALSE)</f>
        <v>4</v>
      </c>
      <c r="AF932">
        <f t="shared" ca="1" si="416"/>
        <v>9224312</v>
      </c>
      <c r="AG932">
        <f t="shared" ca="1" si="420"/>
        <v>25.714285714285715</v>
      </c>
      <c r="AH932">
        <f t="shared" ca="1" si="417"/>
        <v>54.974556684819426</v>
      </c>
      <c r="AI932">
        <f ca="1">VLOOKUP(E932,伤害参考系!$C$4:$E$104,3,FALSE)*$AN$12</f>
        <v>1210.5107784280938</v>
      </c>
      <c r="AJ932">
        <f>VLOOKUP(C932,技能辅助查询表,技能配置辅助表!$L$1,FALSE)</f>
        <v>1</v>
      </c>
      <c r="AK932">
        <f>VLOOKUP(C932,技能辅助查询表,技能配置辅助表!$AE$1,FALSE)</f>
        <v>66000388</v>
      </c>
    </row>
    <row r="933" spans="1:37" x14ac:dyDescent="0.15">
      <c r="A933" s="1">
        <f t="shared" ca="1" si="409"/>
        <v>9224313</v>
      </c>
      <c r="B933" s="1" t="str">
        <f t="shared" ca="1" si="394"/>
        <v>幻影脚第3段</v>
      </c>
      <c r="C933" t="s">
        <v>169</v>
      </c>
      <c r="D933">
        <f t="shared" si="395"/>
        <v>2</v>
      </c>
      <c r="E933" s="42">
        <f t="shared" ca="1" si="410"/>
        <v>28</v>
      </c>
      <c r="F933" t="str">
        <f t="shared" ca="1" si="411"/>
        <v>第13级，共造成162.1%点伤害</v>
      </c>
      <c r="G933">
        <f t="shared" ca="1" si="412"/>
        <v>3</v>
      </c>
      <c r="H933">
        <f t="shared" si="396"/>
        <v>3</v>
      </c>
      <c r="I933" s="44">
        <f t="shared" ca="1" si="421"/>
        <v>13</v>
      </c>
      <c r="J933">
        <f t="shared" si="397"/>
        <v>2</v>
      </c>
      <c r="K933" s="36">
        <f t="shared" ca="1" si="398"/>
        <v>162.13043478260869</v>
      </c>
      <c r="L933" s="10">
        <f ca="1">AH933*VLOOKUP(C933,技能辅助查询表,技能配置辅助表!$T$1,FALSE)</f>
        <v>0</v>
      </c>
      <c r="M933">
        <f t="shared" ca="1" si="399"/>
        <v>6960</v>
      </c>
      <c r="N933" s="33">
        <f ca="1">CHOOSE(1,W933*U933,X933*'[1]0、经济设定'!$C$18)</f>
        <v>3544</v>
      </c>
      <c r="O933">
        <f t="shared" si="400"/>
        <v>4</v>
      </c>
      <c r="P933">
        <f t="shared" si="401"/>
        <v>1</v>
      </c>
      <c r="Q933">
        <f t="shared" si="402"/>
        <v>1</v>
      </c>
      <c r="R933" s="2">
        <f t="shared" si="403"/>
        <v>10</v>
      </c>
      <c r="S933" s="2">
        <f t="shared" si="404"/>
        <v>50</v>
      </c>
      <c r="T933" s="2">
        <f t="shared" si="405"/>
        <v>143.47826086956522</v>
      </c>
      <c r="U933" s="2">
        <f ca="1">VLOOKUP(E933,金币生产率!$A$2:$B$120,2,0)</f>
        <v>443</v>
      </c>
      <c r="V933" s="2">
        <f t="shared" si="406"/>
        <v>143.47826086956522</v>
      </c>
      <c r="W933" s="45">
        <f t="shared" ca="1" si="418"/>
        <v>8</v>
      </c>
      <c r="X933" s="48">
        <f t="shared" ca="1" si="419"/>
        <v>70</v>
      </c>
      <c r="Y933">
        <f t="shared" si="407"/>
        <v>18</v>
      </c>
      <c r="Z933">
        <f t="shared" ca="1" si="413"/>
        <v>0</v>
      </c>
      <c r="AA933" t="str">
        <f t="shared" ca="1" si="414"/>
        <v>9224300.png</v>
      </c>
      <c r="AB933">
        <f t="shared" si="408"/>
        <v>20</v>
      </c>
      <c r="AC933">
        <f>VLOOKUP(C933,技能辅助查询表,技能配置辅助表!$W$1,FALSE)</f>
        <v>35</v>
      </c>
      <c r="AD933">
        <f t="shared" ca="1" si="415"/>
        <v>7.7772152418171085</v>
      </c>
      <c r="AE933">
        <f>VLOOKUP(C933,技能辅助查询表,技能配置辅助表!$U$1,FALSE)</f>
        <v>4</v>
      </c>
      <c r="AF933">
        <f t="shared" ca="1" si="416"/>
        <v>9224313</v>
      </c>
      <c r="AG933">
        <f t="shared" ca="1" si="420"/>
        <v>27.142857142857142</v>
      </c>
      <c r="AH933">
        <f t="shared" ca="1" si="417"/>
        <v>62.587806354721323</v>
      </c>
      <c r="AI933">
        <f ca="1">VLOOKUP(E933,伤害参考系!$C$4:$E$104,3,FALSE)*$AN$12</f>
        <v>1321.7693779264216</v>
      </c>
      <c r="AJ933">
        <f>VLOOKUP(C933,技能辅助查询表,技能配置辅助表!$L$1,FALSE)</f>
        <v>1</v>
      </c>
      <c r="AK933">
        <f>VLOOKUP(C933,技能辅助查询表,技能配置辅助表!$AE$1,FALSE)</f>
        <v>66000388</v>
      </c>
    </row>
    <row r="934" spans="1:37" x14ac:dyDescent="0.15">
      <c r="A934" s="1">
        <f t="shared" ca="1" si="409"/>
        <v>9224314</v>
      </c>
      <c r="B934" s="1" t="str">
        <f t="shared" ca="1" si="394"/>
        <v>幻影脚第3段</v>
      </c>
      <c r="C934" t="s">
        <v>169</v>
      </c>
      <c r="D934">
        <f t="shared" si="395"/>
        <v>2</v>
      </c>
      <c r="E934" s="42">
        <f t="shared" ca="1" si="410"/>
        <v>30</v>
      </c>
      <c r="F934" t="str">
        <f t="shared" ca="1" si="411"/>
        <v>第14级，共造成163.6%点伤害</v>
      </c>
      <c r="G934">
        <f t="shared" ca="1" si="412"/>
        <v>3</v>
      </c>
      <c r="H934">
        <f t="shared" si="396"/>
        <v>3</v>
      </c>
      <c r="I934" s="44">
        <f t="shared" ca="1" si="421"/>
        <v>14</v>
      </c>
      <c r="J934">
        <f t="shared" si="397"/>
        <v>2</v>
      </c>
      <c r="K934" s="36">
        <f t="shared" ca="1" si="398"/>
        <v>163.56521739130434</v>
      </c>
      <c r="L934" s="10">
        <f ca="1">AH934*VLOOKUP(C934,技能辅助查询表,技能配置辅助表!$T$1,FALSE)</f>
        <v>0</v>
      </c>
      <c r="M934">
        <f t="shared" ca="1" si="399"/>
        <v>6880</v>
      </c>
      <c r="N934" s="33">
        <f ca="1">CHOOSE(1,W934*U934,X934*'[1]0、经济设定'!$C$18)</f>
        <v>4176</v>
      </c>
      <c r="O934">
        <f t="shared" si="400"/>
        <v>4</v>
      </c>
      <c r="P934">
        <f t="shared" si="401"/>
        <v>1</v>
      </c>
      <c r="Q934">
        <f t="shared" si="402"/>
        <v>1</v>
      </c>
      <c r="R934" s="2">
        <f t="shared" si="403"/>
        <v>10</v>
      </c>
      <c r="S934" s="2">
        <f t="shared" si="404"/>
        <v>50</v>
      </c>
      <c r="T934" s="2">
        <f t="shared" si="405"/>
        <v>143.47826086956522</v>
      </c>
      <c r="U934" s="2">
        <f ca="1">VLOOKUP(E934,金币生产率!$A$2:$B$120,2,0)</f>
        <v>522</v>
      </c>
      <c r="V934" s="2">
        <f t="shared" si="406"/>
        <v>143.47826086956522</v>
      </c>
      <c r="W934" s="45">
        <f t="shared" ca="1" si="418"/>
        <v>8</v>
      </c>
      <c r="X934" s="48">
        <f t="shared" ca="1" si="419"/>
        <v>78</v>
      </c>
      <c r="Y934">
        <f t="shared" si="407"/>
        <v>18</v>
      </c>
      <c r="Z934">
        <f t="shared" ca="1" si="413"/>
        <v>0</v>
      </c>
      <c r="AA934" t="str">
        <f t="shared" ca="1" si="414"/>
        <v>9224300.png</v>
      </c>
      <c r="AB934">
        <f t="shared" si="408"/>
        <v>20</v>
      </c>
      <c r="AC934">
        <f>VLOOKUP(C934,技能辅助查询表,技能配置辅助表!$W$1,FALSE)</f>
        <v>35</v>
      </c>
      <c r="AD934">
        <f t="shared" ca="1" si="415"/>
        <v>9.058728775227781</v>
      </c>
      <c r="AE934">
        <f>VLOOKUP(C934,技能辅助查询表,技能配置辅助表!$U$1,FALSE)</f>
        <v>4</v>
      </c>
      <c r="AF934">
        <f t="shared" ca="1" si="416"/>
        <v>9224314</v>
      </c>
      <c r="AG934">
        <f t="shared" ca="1" si="420"/>
        <v>28.571428571428573</v>
      </c>
      <c r="AH934">
        <f t="shared" ca="1" si="417"/>
        <v>71.25539050281769</v>
      </c>
      <c r="AI934">
        <f ca="1">VLOOKUP(E934,伤害参考系!$C$4:$E$104,3,FALSE)*$AN$12</f>
        <v>1576.1465593645489</v>
      </c>
      <c r="AJ934">
        <f>VLOOKUP(C934,技能辅助查询表,技能配置辅助表!$L$1,FALSE)</f>
        <v>1</v>
      </c>
      <c r="AK934">
        <f>VLOOKUP(C934,技能辅助查询表,技能配置辅助表!$AE$1,FALSE)</f>
        <v>66000388</v>
      </c>
    </row>
    <row r="935" spans="1:37" x14ac:dyDescent="0.15">
      <c r="A935" s="1">
        <f t="shared" ca="1" si="409"/>
        <v>9224315</v>
      </c>
      <c r="B935" s="1" t="str">
        <f t="shared" ca="1" si="394"/>
        <v>幻影脚第3段</v>
      </c>
      <c r="C935" t="s">
        <v>169</v>
      </c>
      <c r="D935">
        <f t="shared" si="395"/>
        <v>2</v>
      </c>
      <c r="E935" s="42">
        <f t="shared" ca="1" si="410"/>
        <v>31</v>
      </c>
      <c r="F935" t="str">
        <f t="shared" ca="1" si="411"/>
        <v>第15级，共造成165%点伤害</v>
      </c>
      <c r="G935">
        <f t="shared" ca="1" si="412"/>
        <v>3</v>
      </c>
      <c r="H935">
        <f t="shared" si="396"/>
        <v>3</v>
      </c>
      <c r="I935" s="44">
        <f t="shared" ca="1" si="421"/>
        <v>15</v>
      </c>
      <c r="J935">
        <f t="shared" si="397"/>
        <v>2</v>
      </c>
      <c r="K935" s="36">
        <f t="shared" ca="1" si="398"/>
        <v>165</v>
      </c>
      <c r="L935" s="10">
        <f ca="1">AH935*VLOOKUP(C935,技能辅助查询表,技能配置辅助表!$T$1,FALSE)</f>
        <v>0</v>
      </c>
      <c r="M935">
        <f t="shared" ca="1" si="399"/>
        <v>6800</v>
      </c>
      <c r="N935" s="33">
        <f ca="1">CHOOSE(1,W935*U935,X935*'[1]0、经济设定'!$C$18)</f>
        <v>5067</v>
      </c>
      <c r="O935">
        <f t="shared" si="400"/>
        <v>4</v>
      </c>
      <c r="P935">
        <f t="shared" si="401"/>
        <v>1</v>
      </c>
      <c r="Q935">
        <f t="shared" si="402"/>
        <v>1</v>
      </c>
      <c r="R935" s="2">
        <f t="shared" si="403"/>
        <v>10</v>
      </c>
      <c r="S935" s="2">
        <f t="shared" si="404"/>
        <v>50</v>
      </c>
      <c r="T935" s="2">
        <f t="shared" si="405"/>
        <v>143.47826086956522</v>
      </c>
      <c r="U935" s="2">
        <f ca="1">VLOOKUP(E935,金币生产率!$A$2:$B$120,2,0)</f>
        <v>563</v>
      </c>
      <c r="V935" s="2">
        <f t="shared" si="406"/>
        <v>143.47826086956522</v>
      </c>
      <c r="W935" s="45">
        <f t="shared" ca="1" si="418"/>
        <v>9</v>
      </c>
      <c r="X935" s="48">
        <f t="shared" ca="1" si="419"/>
        <v>87</v>
      </c>
      <c r="Y935">
        <f t="shared" si="407"/>
        <v>18</v>
      </c>
      <c r="Z935">
        <f t="shared" ca="1" si="413"/>
        <v>0</v>
      </c>
      <c r="AA935" t="str">
        <f t="shared" ca="1" si="414"/>
        <v>9224300.png</v>
      </c>
      <c r="AB935">
        <f t="shared" si="408"/>
        <v>20</v>
      </c>
      <c r="AC935">
        <f>VLOOKUP(C935,技能辅助查询表,技能配置辅助表!$W$1,FALSE)</f>
        <v>35</v>
      </c>
      <c r="AD935">
        <f t="shared" ca="1" si="415"/>
        <v>10.546031667914246</v>
      </c>
      <c r="AE935">
        <f>VLOOKUP(C935,技能辅助查询表,技能配置辅助表!$U$1,FALSE)</f>
        <v>4</v>
      </c>
      <c r="AF935">
        <f t="shared" ca="1" si="416"/>
        <v>9224315</v>
      </c>
      <c r="AG935">
        <f t="shared" ca="1" si="420"/>
        <v>30</v>
      </c>
      <c r="AH935">
        <f t="shared" ca="1" si="417"/>
        <v>81.123320522417259</v>
      </c>
      <c r="AI935">
        <f ca="1">VLOOKUP(E935,伤害参考系!$C$4:$E$104,3,FALSE)*$AN$12</f>
        <v>1721.3320384615388</v>
      </c>
      <c r="AJ935">
        <f>VLOOKUP(C935,技能辅助查询表,技能配置辅助表!$L$1,FALSE)</f>
        <v>1</v>
      </c>
      <c r="AK935">
        <f>VLOOKUP(C935,技能辅助查询表,技能配置辅助表!$AE$1,FALSE)</f>
        <v>66000388</v>
      </c>
    </row>
    <row r="936" spans="1:37" x14ac:dyDescent="0.15">
      <c r="A936" s="1">
        <f t="shared" ca="1" si="409"/>
        <v>9224316</v>
      </c>
      <c r="B936" s="1" t="str">
        <f t="shared" ca="1" si="394"/>
        <v>幻影脚第3段</v>
      </c>
      <c r="C936" t="s">
        <v>169</v>
      </c>
      <c r="D936">
        <f t="shared" si="395"/>
        <v>2</v>
      </c>
      <c r="E936" s="42">
        <f t="shared" ca="1" si="410"/>
        <v>32</v>
      </c>
      <c r="F936" t="str">
        <f t="shared" ca="1" si="411"/>
        <v>第16级，共造成166.4%点伤害</v>
      </c>
      <c r="G936">
        <f t="shared" ca="1" si="412"/>
        <v>3</v>
      </c>
      <c r="H936">
        <f t="shared" si="396"/>
        <v>3</v>
      </c>
      <c r="I936" s="44">
        <f t="shared" ca="1" si="421"/>
        <v>16</v>
      </c>
      <c r="J936">
        <f t="shared" si="397"/>
        <v>2</v>
      </c>
      <c r="K936" s="36">
        <f t="shared" ca="1" si="398"/>
        <v>166.43478260869566</v>
      </c>
      <c r="L936" s="10">
        <f ca="1">AH936*VLOOKUP(C936,技能辅助查询表,技能配置辅助表!$T$1,FALSE)</f>
        <v>0</v>
      </c>
      <c r="M936">
        <f t="shared" ca="1" si="399"/>
        <v>6720</v>
      </c>
      <c r="N936" s="33">
        <f ca="1">CHOOSE(1,W936*U936,X936*'[1]0、经济设定'!$C$18)</f>
        <v>6060</v>
      </c>
      <c r="O936">
        <f t="shared" si="400"/>
        <v>4</v>
      </c>
      <c r="P936">
        <f t="shared" si="401"/>
        <v>1</v>
      </c>
      <c r="Q936">
        <f t="shared" si="402"/>
        <v>1</v>
      </c>
      <c r="R936" s="2">
        <f t="shared" si="403"/>
        <v>10</v>
      </c>
      <c r="S936" s="2">
        <f t="shared" si="404"/>
        <v>50</v>
      </c>
      <c r="T936" s="2">
        <f t="shared" si="405"/>
        <v>143.47826086956522</v>
      </c>
      <c r="U936" s="2">
        <f ca="1">VLOOKUP(E936,金币生产率!$A$2:$B$120,2,0)</f>
        <v>606</v>
      </c>
      <c r="V936" s="2">
        <f t="shared" si="406"/>
        <v>143.47826086956522</v>
      </c>
      <c r="W936" s="45">
        <f t="shared" ca="1" si="418"/>
        <v>10</v>
      </c>
      <c r="X936" s="48">
        <f t="shared" ca="1" si="419"/>
        <v>97</v>
      </c>
      <c r="Y936">
        <f t="shared" si="407"/>
        <v>18</v>
      </c>
      <c r="Z936">
        <f t="shared" ca="1" si="413"/>
        <v>0</v>
      </c>
      <c r="AA936" t="str">
        <f t="shared" ca="1" si="414"/>
        <v>9224300.png</v>
      </c>
      <c r="AB936">
        <f t="shared" si="408"/>
        <v>20</v>
      </c>
      <c r="AC936">
        <f>VLOOKUP(C936,技能辅助查询表,技能配置辅助表!$W$1,FALSE)</f>
        <v>35</v>
      </c>
      <c r="AD936">
        <f t="shared" ca="1" si="415"/>
        <v>12.271544511293399</v>
      </c>
      <c r="AE936">
        <f>VLOOKUP(C936,技能辅助查询表,技能配置辅助表!$U$1,FALSE)</f>
        <v>4</v>
      </c>
      <c r="AF936">
        <f t="shared" ca="1" si="416"/>
        <v>9224316</v>
      </c>
      <c r="AG936">
        <f t="shared" ca="1" si="420"/>
        <v>31.428571428571427</v>
      </c>
      <c r="AH936">
        <f t="shared" ca="1" si="417"/>
        <v>92.357828455414989</v>
      </c>
      <c r="AI936">
        <f ca="1">VLOOKUP(E936,伤害参考系!$C$4:$E$104,3,FALSE)*$AN$12</f>
        <v>1873.3990785953181</v>
      </c>
      <c r="AJ936">
        <f>VLOOKUP(C936,技能辅助查询表,技能配置辅助表!$L$1,FALSE)</f>
        <v>1</v>
      </c>
      <c r="AK936">
        <f>VLOOKUP(C936,技能辅助查询表,技能配置辅助表!$AE$1,FALSE)</f>
        <v>66000388</v>
      </c>
    </row>
    <row r="937" spans="1:37" x14ac:dyDescent="0.15">
      <c r="A937" s="1">
        <f t="shared" ca="1" si="409"/>
        <v>9224317</v>
      </c>
      <c r="B937" s="1" t="str">
        <f t="shared" ca="1" si="394"/>
        <v>幻影脚第3段</v>
      </c>
      <c r="C937" t="s">
        <v>169</v>
      </c>
      <c r="D937">
        <f t="shared" si="395"/>
        <v>2</v>
      </c>
      <c r="E937" s="42">
        <f t="shared" ca="1" si="410"/>
        <v>34</v>
      </c>
      <c r="F937" t="str">
        <f t="shared" ca="1" si="411"/>
        <v>第17级，共造成167.9%点伤害</v>
      </c>
      <c r="G937">
        <f t="shared" ca="1" si="412"/>
        <v>3</v>
      </c>
      <c r="H937">
        <f t="shared" si="396"/>
        <v>3</v>
      </c>
      <c r="I937" s="44">
        <f t="shared" ca="1" si="421"/>
        <v>17</v>
      </c>
      <c r="J937">
        <f t="shared" si="397"/>
        <v>2</v>
      </c>
      <c r="K937" s="36">
        <f t="shared" ca="1" si="398"/>
        <v>167.86956521739131</v>
      </c>
      <c r="L937" s="10">
        <f ca="1">AH937*VLOOKUP(C937,技能辅助查询表,技能配置辅助表!$T$1,FALSE)</f>
        <v>0</v>
      </c>
      <c r="M937">
        <f t="shared" ca="1" si="399"/>
        <v>6640</v>
      </c>
      <c r="N937" s="33">
        <f ca="1">CHOOSE(1,W937*U937,X937*'[1]0、经济设定'!$C$18)</f>
        <v>6960</v>
      </c>
      <c r="O937">
        <f t="shared" si="400"/>
        <v>4</v>
      </c>
      <c r="P937">
        <f t="shared" si="401"/>
        <v>1</v>
      </c>
      <c r="Q937">
        <f t="shared" si="402"/>
        <v>1</v>
      </c>
      <c r="R937" s="2">
        <f t="shared" si="403"/>
        <v>10</v>
      </c>
      <c r="S937" s="2">
        <f t="shared" si="404"/>
        <v>50</v>
      </c>
      <c r="T937" s="2">
        <f t="shared" si="405"/>
        <v>143.47826086956522</v>
      </c>
      <c r="U937" s="2">
        <f ca="1">VLOOKUP(E937,金币生产率!$A$2:$B$120,2,0)</f>
        <v>696</v>
      </c>
      <c r="V937" s="2">
        <f t="shared" si="406"/>
        <v>143.47826086956522</v>
      </c>
      <c r="W937" s="45">
        <f t="shared" ca="1" si="418"/>
        <v>10</v>
      </c>
      <c r="X937" s="48">
        <f t="shared" ca="1" si="419"/>
        <v>107</v>
      </c>
      <c r="Y937">
        <f t="shared" si="407"/>
        <v>18</v>
      </c>
      <c r="Z937">
        <f t="shared" ca="1" si="413"/>
        <v>0</v>
      </c>
      <c r="AA937" t="str">
        <f t="shared" ca="1" si="414"/>
        <v>9224300.png</v>
      </c>
      <c r="AB937">
        <f t="shared" si="408"/>
        <v>20</v>
      </c>
      <c r="AC937">
        <f>VLOOKUP(C937,技能辅助查询表,技能配置辅助表!$W$1,FALSE)</f>
        <v>35</v>
      </c>
      <c r="AD937">
        <f t="shared" ca="1" si="415"/>
        <v>14.272720794067023</v>
      </c>
      <c r="AE937">
        <f>VLOOKUP(C937,技能辅助查询表,技能配置辅助表!$U$1,FALSE)</f>
        <v>4</v>
      </c>
      <c r="AF937">
        <f t="shared" ca="1" si="416"/>
        <v>9224317</v>
      </c>
      <c r="AG937">
        <f t="shared" ca="1" si="420"/>
        <v>32.857142857142861</v>
      </c>
      <c r="AH937">
        <f t="shared" ca="1" si="417"/>
        <v>105.14816728492683</v>
      </c>
      <c r="AI937">
        <f ca="1">VLOOKUP(E937,伤害参考系!$C$4:$E$104,3,FALSE)*$AN$12</f>
        <v>2196.2761028428095</v>
      </c>
      <c r="AJ937">
        <f>VLOOKUP(C937,技能辅助查询表,技能配置辅助表!$L$1,FALSE)</f>
        <v>1</v>
      </c>
      <c r="AK937">
        <f>VLOOKUP(C937,技能辅助查询表,技能配置辅助表!$AE$1,FALSE)</f>
        <v>66000388</v>
      </c>
    </row>
    <row r="938" spans="1:37" x14ac:dyDescent="0.15">
      <c r="A938" s="1">
        <f t="shared" ca="1" si="409"/>
        <v>9224318</v>
      </c>
      <c r="B938" s="1" t="str">
        <f t="shared" ca="1" si="394"/>
        <v>幻影脚第3段</v>
      </c>
      <c r="C938" t="s">
        <v>169</v>
      </c>
      <c r="D938">
        <f t="shared" si="395"/>
        <v>2</v>
      </c>
      <c r="E938" s="42">
        <f t="shared" ca="1" si="410"/>
        <v>35</v>
      </c>
      <c r="F938" t="str">
        <f t="shared" ca="1" si="411"/>
        <v>第18级，共造成169.3%点伤害</v>
      </c>
      <c r="G938">
        <f t="shared" ca="1" si="412"/>
        <v>3</v>
      </c>
      <c r="H938">
        <f t="shared" si="396"/>
        <v>3</v>
      </c>
      <c r="I938" s="44">
        <f t="shared" ca="1" si="421"/>
        <v>18</v>
      </c>
      <c r="J938">
        <f t="shared" si="397"/>
        <v>2</v>
      </c>
      <c r="K938" s="36">
        <f t="shared" ca="1" si="398"/>
        <v>169.30434782608697</v>
      </c>
      <c r="L938" s="10">
        <f ca="1">AH938*VLOOKUP(C938,技能辅助查询表,技能配置辅助表!$T$1,FALSE)</f>
        <v>0</v>
      </c>
      <c r="M938">
        <f t="shared" ca="1" si="399"/>
        <v>6560</v>
      </c>
      <c r="N938" s="33">
        <f ca="1">CHOOSE(1,W938*U938,X938*'[1]0、经济设定'!$C$18)</f>
        <v>8173</v>
      </c>
      <c r="O938">
        <f t="shared" si="400"/>
        <v>4</v>
      </c>
      <c r="P938">
        <f t="shared" si="401"/>
        <v>1</v>
      </c>
      <c r="Q938">
        <f t="shared" si="402"/>
        <v>1</v>
      </c>
      <c r="R938" s="2">
        <f t="shared" si="403"/>
        <v>10</v>
      </c>
      <c r="S938" s="2">
        <f t="shared" si="404"/>
        <v>50</v>
      </c>
      <c r="T938" s="2">
        <f t="shared" si="405"/>
        <v>143.47826086956522</v>
      </c>
      <c r="U938" s="2">
        <f ca="1">VLOOKUP(E938,金币生产率!$A$2:$B$120,2,0)</f>
        <v>743</v>
      </c>
      <c r="V938" s="2">
        <f t="shared" si="406"/>
        <v>143.47826086956522</v>
      </c>
      <c r="W938" s="45">
        <f t="shared" ca="1" si="418"/>
        <v>11</v>
      </c>
      <c r="X938" s="48">
        <f t="shared" ca="1" si="419"/>
        <v>118</v>
      </c>
      <c r="Y938">
        <f t="shared" si="407"/>
        <v>18</v>
      </c>
      <c r="Z938">
        <f t="shared" ca="1" si="413"/>
        <v>5</v>
      </c>
      <c r="AA938" t="str">
        <f t="shared" ca="1" si="414"/>
        <v>9224300.png</v>
      </c>
      <c r="AB938">
        <f t="shared" si="408"/>
        <v>20</v>
      </c>
      <c r="AC938">
        <f>VLOOKUP(C938,技能辅助查询表,技能配置辅助表!$W$1,FALSE)</f>
        <v>35</v>
      </c>
      <c r="AD938">
        <f t="shared" ca="1" si="415"/>
        <v>16.592819100533298</v>
      </c>
      <c r="AE938">
        <f>VLOOKUP(C938,技能辅助查询表,技能配置辅助表!$U$1,FALSE)</f>
        <v>4</v>
      </c>
      <c r="AF938">
        <f t="shared" ca="1" si="416"/>
        <v>9224318</v>
      </c>
      <c r="AG938">
        <f t="shared" ca="1" si="420"/>
        <v>34.285714285714285</v>
      </c>
      <c r="AH938">
        <f t="shared" ca="1" si="417"/>
        <v>119.70979903145096</v>
      </c>
      <c r="AI938">
        <f ca="1">VLOOKUP(E938,伤害参考系!$C$4:$E$104,3,FALSE)*$AN$12</f>
        <v>2367.0860869565217</v>
      </c>
      <c r="AJ938">
        <f>VLOOKUP(C938,技能辅助查询表,技能配置辅助表!$L$1,FALSE)</f>
        <v>1</v>
      </c>
      <c r="AK938">
        <f>VLOOKUP(C938,技能辅助查询表,技能配置辅助表!$AE$1,FALSE)</f>
        <v>66000388</v>
      </c>
    </row>
    <row r="939" spans="1:37" x14ac:dyDescent="0.15">
      <c r="A939" s="1">
        <f t="shared" ca="1" si="409"/>
        <v>9224319</v>
      </c>
      <c r="B939" s="1" t="str">
        <f t="shared" ca="1" si="394"/>
        <v>幻影脚第3段</v>
      </c>
      <c r="C939" t="s">
        <v>169</v>
      </c>
      <c r="D939">
        <f t="shared" si="395"/>
        <v>2</v>
      </c>
      <c r="E939" s="42">
        <f t="shared" ca="1" si="410"/>
        <v>37</v>
      </c>
      <c r="F939" t="str">
        <f t="shared" ca="1" si="411"/>
        <v>第19级，共造成170.7%点伤害</v>
      </c>
      <c r="G939">
        <f t="shared" ca="1" si="412"/>
        <v>3</v>
      </c>
      <c r="H939">
        <f t="shared" si="396"/>
        <v>3</v>
      </c>
      <c r="I939" s="44">
        <f t="shared" ca="1" si="421"/>
        <v>19</v>
      </c>
      <c r="J939">
        <f t="shared" si="397"/>
        <v>2</v>
      </c>
      <c r="K939" s="36">
        <f t="shared" ca="1" si="398"/>
        <v>170.73913043478262</v>
      </c>
      <c r="L939" s="10">
        <f ca="1">AH939*VLOOKUP(C939,技能辅助查询表,技能配置辅助表!$T$1,FALSE)</f>
        <v>0</v>
      </c>
      <c r="M939">
        <f t="shared" ca="1" si="399"/>
        <v>6480</v>
      </c>
      <c r="N939" s="33">
        <f ca="1">CHOOSE(1,W939*U939,X939*'[1]0、经济设定'!$C$18)</f>
        <v>10092</v>
      </c>
      <c r="O939">
        <f t="shared" si="400"/>
        <v>4</v>
      </c>
      <c r="P939">
        <f t="shared" si="401"/>
        <v>1</v>
      </c>
      <c r="Q939">
        <f t="shared" si="402"/>
        <v>1</v>
      </c>
      <c r="R939" s="2">
        <f t="shared" si="403"/>
        <v>10</v>
      </c>
      <c r="S939" s="2">
        <f t="shared" si="404"/>
        <v>50</v>
      </c>
      <c r="T939" s="2">
        <f t="shared" si="405"/>
        <v>143.47826086956522</v>
      </c>
      <c r="U939" s="2">
        <f ca="1">VLOOKUP(E939,金币生产率!$A$2:$B$120,2,0)</f>
        <v>841</v>
      </c>
      <c r="V939" s="2">
        <f t="shared" si="406"/>
        <v>143.47826086956522</v>
      </c>
      <c r="W939" s="45">
        <f t="shared" ca="1" si="418"/>
        <v>12</v>
      </c>
      <c r="X939" s="48">
        <f t="shared" ca="1" si="419"/>
        <v>130</v>
      </c>
      <c r="Y939">
        <f t="shared" si="407"/>
        <v>18</v>
      </c>
      <c r="Z939">
        <f t="shared" ca="1" si="413"/>
        <v>5</v>
      </c>
      <c r="AA939" t="str">
        <f t="shared" ca="1" si="414"/>
        <v>9224300.png</v>
      </c>
      <c r="AB939">
        <f t="shared" si="408"/>
        <v>20</v>
      </c>
      <c r="AC939">
        <f>VLOOKUP(C939,技能辅助查询表,技能配置辅助表!$W$1,FALSE)</f>
        <v>35</v>
      </c>
      <c r="AD939">
        <f t="shared" ca="1" si="415"/>
        <v>19.281792663550021</v>
      </c>
      <c r="AE939">
        <f>VLOOKUP(C939,技能辅助查询表,技能配置辅助表!$U$1,FALSE)</f>
        <v>4</v>
      </c>
      <c r="AF939">
        <f t="shared" ca="1" si="416"/>
        <v>9224319</v>
      </c>
      <c r="AG939">
        <f t="shared" ca="1" si="420"/>
        <v>35.714285714285715</v>
      </c>
      <c r="AH939">
        <f t="shared" ca="1" si="417"/>
        <v>136.28802435822078</v>
      </c>
      <c r="AI939">
        <f ca="1">VLOOKUP(E939,伤害参考系!$C$4:$E$104,3,FALSE)*$AN$12</f>
        <v>2727.4489991638798</v>
      </c>
      <c r="AJ939">
        <f>VLOOKUP(C939,技能辅助查询表,技能配置辅助表!$L$1,FALSE)</f>
        <v>1</v>
      </c>
      <c r="AK939">
        <f>VLOOKUP(C939,技能辅助查询表,技能配置辅助表!$AE$1,FALSE)</f>
        <v>66000388</v>
      </c>
    </row>
    <row r="940" spans="1:37" x14ac:dyDescent="0.15">
      <c r="A940" s="1">
        <f t="shared" ca="1" si="409"/>
        <v>9224320</v>
      </c>
      <c r="B940" s="1" t="str">
        <f t="shared" ca="1" si="394"/>
        <v>幻影脚第3段</v>
      </c>
      <c r="C940" t="s">
        <v>169</v>
      </c>
      <c r="D940">
        <f t="shared" si="395"/>
        <v>2</v>
      </c>
      <c r="E940" s="42">
        <f t="shared" ca="1" si="410"/>
        <v>38</v>
      </c>
      <c r="F940" t="str">
        <f t="shared" ca="1" si="411"/>
        <v>第20级，共造成172.2%点伤害</v>
      </c>
      <c r="G940">
        <f t="shared" ca="1" si="412"/>
        <v>3</v>
      </c>
      <c r="H940">
        <f t="shared" si="396"/>
        <v>3</v>
      </c>
      <c r="I940" s="44">
        <f t="shared" ca="1" si="421"/>
        <v>20</v>
      </c>
      <c r="J940">
        <f t="shared" si="397"/>
        <v>2</v>
      </c>
      <c r="K940" s="36">
        <f t="shared" ca="1" si="398"/>
        <v>172.17391304347825</v>
      </c>
      <c r="L940" s="10">
        <f ca="1">AH940*VLOOKUP(C940,技能辅助查询表,技能配置辅助表!$T$1,FALSE)</f>
        <v>0</v>
      </c>
      <c r="M940">
        <f t="shared" ca="1" si="399"/>
        <v>6400</v>
      </c>
      <c r="N940" s="33">
        <f ca="1">CHOOSE(1,W940*U940,X940*'[1]0、经济设定'!$C$18)</f>
        <v>11596</v>
      </c>
      <c r="O940">
        <f t="shared" si="400"/>
        <v>4</v>
      </c>
      <c r="P940">
        <f t="shared" si="401"/>
        <v>1</v>
      </c>
      <c r="Q940">
        <f t="shared" si="402"/>
        <v>1</v>
      </c>
      <c r="R940" s="2">
        <f t="shared" si="403"/>
        <v>10</v>
      </c>
      <c r="S940" s="2">
        <f t="shared" si="404"/>
        <v>50</v>
      </c>
      <c r="T940" s="2">
        <f t="shared" si="405"/>
        <v>143.47826086956522</v>
      </c>
      <c r="U940" s="2">
        <f ca="1">VLOOKUP(E940,金币生产率!$A$2:$B$120,2,0)</f>
        <v>892</v>
      </c>
      <c r="V940" s="2">
        <f t="shared" si="406"/>
        <v>143.47826086956522</v>
      </c>
      <c r="W940" s="45">
        <f t="shared" ca="1" si="418"/>
        <v>13</v>
      </c>
      <c r="X940" s="48">
        <f t="shared" ca="1" si="419"/>
        <v>143</v>
      </c>
      <c r="Y940">
        <f t="shared" si="407"/>
        <v>18</v>
      </c>
      <c r="Z940">
        <f t="shared" ca="1" si="413"/>
        <v>6</v>
      </c>
      <c r="AA940" t="str">
        <f t="shared" ca="1" si="414"/>
        <v>9224300.png</v>
      </c>
      <c r="AB940">
        <f t="shared" si="408"/>
        <v>20</v>
      </c>
      <c r="AC940">
        <f>VLOOKUP(C940,技能辅助查询表,技能配置辅助表!$W$1,FALSE)</f>
        <v>35</v>
      </c>
      <c r="AD940">
        <f t="shared" ca="1" si="415"/>
        <v>22.397313966611801</v>
      </c>
      <c r="AE940">
        <f>VLOOKUP(C940,技能辅助查询表,技能配置辅助表!$U$1,FALSE)</f>
        <v>4</v>
      </c>
      <c r="AF940">
        <f t="shared" ca="1" si="416"/>
        <v>9224320</v>
      </c>
      <c r="AG940">
        <f t="shared" ca="1" si="420"/>
        <v>37.142857142857139</v>
      </c>
      <c r="AH940">
        <f t="shared" ca="1" si="417"/>
        <v>155.16211482893718</v>
      </c>
      <c r="AI940">
        <f ca="1">VLOOKUP(E940,伤害参考系!$C$4:$E$104,3,FALSE)*$AN$12</f>
        <v>2917.001927257525</v>
      </c>
      <c r="AJ940">
        <f>VLOOKUP(C940,技能辅助查询表,技能配置辅助表!$L$1,FALSE)</f>
        <v>1</v>
      </c>
      <c r="AK940">
        <f>VLOOKUP(C940,技能辅助查询表,技能配置辅助表!$AE$1,FALSE)</f>
        <v>66000388</v>
      </c>
    </row>
    <row r="941" spans="1:37" x14ac:dyDescent="0.15">
      <c r="A941" s="1">
        <f t="shared" ca="1" si="409"/>
        <v>9224321</v>
      </c>
      <c r="B941" s="1" t="str">
        <f t="shared" ca="1" si="394"/>
        <v>幻影脚第3段</v>
      </c>
      <c r="C941" t="s">
        <v>169</v>
      </c>
      <c r="D941">
        <f t="shared" si="395"/>
        <v>2</v>
      </c>
      <c r="E941" s="42">
        <f t="shared" ca="1" si="410"/>
        <v>39</v>
      </c>
      <c r="F941" t="str">
        <f t="shared" ca="1" si="411"/>
        <v>第21级，共造成173.6%点伤害</v>
      </c>
      <c r="G941">
        <f t="shared" ca="1" si="412"/>
        <v>3</v>
      </c>
      <c r="H941">
        <f t="shared" si="396"/>
        <v>3</v>
      </c>
      <c r="I941" s="44">
        <f t="shared" ca="1" si="421"/>
        <v>21</v>
      </c>
      <c r="J941">
        <f t="shared" si="397"/>
        <v>2</v>
      </c>
      <c r="K941" s="36">
        <f t="shared" ca="1" si="398"/>
        <v>173.60869565217391</v>
      </c>
      <c r="L941" s="10">
        <f ca="1">AH941*VLOOKUP(C941,技能辅助查询表,技能配置辅助表!$T$1,FALSE)</f>
        <v>0</v>
      </c>
      <c r="M941">
        <f t="shared" ca="1" si="399"/>
        <v>6320</v>
      </c>
      <c r="N941" s="33">
        <f ca="1">CHOOSE(1,W941*U941,X941*'[1]0、经济设定'!$C$18)</f>
        <v>12272</v>
      </c>
      <c r="O941">
        <f t="shared" si="400"/>
        <v>4</v>
      </c>
      <c r="P941">
        <f t="shared" si="401"/>
        <v>1</v>
      </c>
      <c r="Q941">
        <f t="shared" si="402"/>
        <v>1</v>
      </c>
      <c r="R941" s="2">
        <f t="shared" si="403"/>
        <v>10</v>
      </c>
      <c r="S941" s="2">
        <f t="shared" si="404"/>
        <v>50</v>
      </c>
      <c r="T941" s="2">
        <f t="shared" si="405"/>
        <v>143.47826086956522</v>
      </c>
      <c r="U941" s="2">
        <f ca="1">VLOOKUP(E941,金币生产率!$A$2:$B$120,2,0)</f>
        <v>944</v>
      </c>
      <c r="V941" s="2">
        <f t="shared" si="406"/>
        <v>143.47826086956522</v>
      </c>
      <c r="W941" s="45">
        <f t="shared" ca="1" si="418"/>
        <v>13</v>
      </c>
      <c r="X941" s="48">
        <f t="shared" ca="1" si="419"/>
        <v>156</v>
      </c>
      <c r="Y941">
        <f t="shared" si="407"/>
        <v>18</v>
      </c>
      <c r="Z941">
        <f t="shared" ca="1" si="413"/>
        <v>6</v>
      </c>
      <c r="AA941" t="str">
        <f t="shared" ca="1" si="414"/>
        <v>9224300.png</v>
      </c>
      <c r="AB941">
        <f t="shared" si="408"/>
        <v>20</v>
      </c>
      <c r="AC941">
        <f>VLOOKUP(C941,技能辅助查询表,技能配置辅助表!$W$1,FALSE)</f>
        <v>35</v>
      </c>
      <c r="AD941">
        <f t="shared" ca="1" si="415"/>
        <v>26.005954739705096</v>
      </c>
      <c r="AE941">
        <f>VLOOKUP(C941,技能辅助查询表,技能配置辅助表!$U$1,FALSE)</f>
        <v>4</v>
      </c>
      <c r="AF941">
        <f t="shared" ca="1" si="416"/>
        <v>9224321</v>
      </c>
      <c r="AG941">
        <f t="shared" ca="1" si="420"/>
        <v>38.571428571428569</v>
      </c>
      <c r="AH941">
        <f t="shared" ca="1" si="417"/>
        <v>176.65001742859343</v>
      </c>
      <c r="AI941">
        <f ca="1">VLOOKUP(E941,伤害参考系!$C$4:$E$104,3,FALSE)*$AN$12</f>
        <v>3112.8025033444819</v>
      </c>
      <c r="AJ941">
        <f>VLOOKUP(C941,技能辅助查询表,技能配置辅助表!$L$1,FALSE)</f>
        <v>1</v>
      </c>
      <c r="AK941">
        <f>VLOOKUP(C941,技能辅助查询表,技能配置辅助表!$AE$1,FALSE)</f>
        <v>66000388</v>
      </c>
    </row>
    <row r="942" spans="1:37" x14ac:dyDescent="0.15">
      <c r="A942" s="1">
        <f t="shared" ca="1" si="409"/>
        <v>9224322</v>
      </c>
      <c r="B942" s="1" t="str">
        <f t="shared" ca="1" si="394"/>
        <v>幻影脚第3段</v>
      </c>
      <c r="C942" t="s">
        <v>169</v>
      </c>
      <c r="D942">
        <f t="shared" si="395"/>
        <v>2</v>
      </c>
      <c r="E942" s="42">
        <f t="shared" ca="1" si="410"/>
        <v>41</v>
      </c>
      <c r="F942" t="str">
        <f t="shared" ca="1" si="411"/>
        <v>第22级，共造成175%点伤害</v>
      </c>
      <c r="G942">
        <f t="shared" ca="1" si="412"/>
        <v>3</v>
      </c>
      <c r="H942">
        <f t="shared" si="396"/>
        <v>3</v>
      </c>
      <c r="I942" s="44">
        <f t="shared" ca="1" si="421"/>
        <v>22</v>
      </c>
      <c r="J942">
        <f t="shared" si="397"/>
        <v>2</v>
      </c>
      <c r="K942" s="36">
        <f t="shared" ca="1" si="398"/>
        <v>175.04347826086956</v>
      </c>
      <c r="L942" s="10">
        <f ca="1">AH942*VLOOKUP(C942,技能辅助查询表,技能配置辅助表!$T$1,FALSE)</f>
        <v>0</v>
      </c>
      <c r="M942">
        <f t="shared" ca="1" si="399"/>
        <v>6240</v>
      </c>
      <c r="N942" s="33">
        <f ca="1">CHOOSE(1,W942*U942,X942*'[1]0、经济设定'!$C$18)</f>
        <v>14742</v>
      </c>
      <c r="O942">
        <f t="shared" si="400"/>
        <v>4</v>
      </c>
      <c r="P942">
        <f t="shared" si="401"/>
        <v>1</v>
      </c>
      <c r="Q942">
        <f t="shared" si="402"/>
        <v>1</v>
      </c>
      <c r="R942" s="2">
        <f t="shared" si="403"/>
        <v>10</v>
      </c>
      <c r="S942" s="2">
        <f t="shared" si="404"/>
        <v>50</v>
      </c>
      <c r="T942" s="2">
        <f t="shared" si="405"/>
        <v>143.47826086956522</v>
      </c>
      <c r="U942" s="2">
        <f ca="1">VLOOKUP(E942,金币生产率!$A$2:$B$120,2,0)</f>
        <v>1053</v>
      </c>
      <c r="V942" s="2">
        <f t="shared" si="406"/>
        <v>143.47826086956522</v>
      </c>
      <c r="W942" s="45">
        <f t="shared" ca="1" si="418"/>
        <v>14</v>
      </c>
      <c r="X942" s="48">
        <f t="shared" ca="1" si="419"/>
        <v>170</v>
      </c>
      <c r="Y942">
        <f t="shared" si="407"/>
        <v>18</v>
      </c>
      <c r="Z942">
        <f t="shared" ca="1" si="413"/>
        <v>6</v>
      </c>
      <c r="AA942" t="str">
        <f t="shared" ca="1" si="414"/>
        <v>9224300.png</v>
      </c>
      <c r="AB942">
        <f t="shared" si="408"/>
        <v>20</v>
      </c>
      <c r="AC942">
        <f>VLOOKUP(C942,技能辅助查询表,技能配置辅助表!$W$1,FALSE)</f>
        <v>35</v>
      </c>
      <c r="AD942">
        <f t="shared" ca="1" si="415"/>
        <v>30.18454473848815</v>
      </c>
      <c r="AE942">
        <f>VLOOKUP(C942,技能辅助查询表,技能配置辅助表!$U$1,FALSE)</f>
        <v>4</v>
      </c>
      <c r="AF942">
        <f t="shared" ca="1" si="416"/>
        <v>9224322</v>
      </c>
      <c r="AG942">
        <f t="shared" ca="1" si="420"/>
        <v>40</v>
      </c>
      <c r="AH942">
        <f t="shared" ca="1" si="417"/>
        <v>201.11371059826985</v>
      </c>
      <c r="AI942">
        <f ca="1">VLOOKUP(E942,伤害参考系!$C$4:$E$104,3,FALSE)*$AN$12</f>
        <v>3584.9561889632118</v>
      </c>
      <c r="AJ942">
        <f>VLOOKUP(C942,技能辅助查询表,技能配置辅助表!$L$1,FALSE)</f>
        <v>1</v>
      </c>
      <c r="AK942">
        <f>VLOOKUP(C942,技能辅助查询表,技能配置辅助表!$AE$1,FALSE)</f>
        <v>66000388</v>
      </c>
    </row>
    <row r="943" spans="1:37" x14ac:dyDescent="0.15">
      <c r="A943" s="1">
        <f t="shared" ca="1" si="409"/>
        <v>9224323</v>
      </c>
      <c r="B943" s="1" t="str">
        <f t="shared" ca="1" si="394"/>
        <v>幻影脚第3段</v>
      </c>
      <c r="C943" t="s">
        <v>169</v>
      </c>
      <c r="D943">
        <f t="shared" si="395"/>
        <v>2</v>
      </c>
      <c r="E943" s="42">
        <f t="shared" ca="1" si="410"/>
        <v>42</v>
      </c>
      <c r="F943" t="str">
        <f t="shared" ca="1" si="411"/>
        <v>第23级，共造成176.5%点伤害</v>
      </c>
      <c r="G943">
        <f t="shared" ca="1" si="412"/>
        <v>3</v>
      </c>
      <c r="H943">
        <f t="shared" si="396"/>
        <v>3</v>
      </c>
      <c r="I943" s="44">
        <f t="shared" ca="1" si="421"/>
        <v>23</v>
      </c>
      <c r="J943">
        <f t="shared" si="397"/>
        <v>2</v>
      </c>
      <c r="K943" s="36">
        <f t="shared" ca="1" si="398"/>
        <v>176.47826086956522</v>
      </c>
      <c r="L943" s="10">
        <f ca="1">AH943*VLOOKUP(C943,技能辅助查询表,技能配置辅助表!$T$1,FALSE)</f>
        <v>0</v>
      </c>
      <c r="M943">
        <f t="shared" ca="1" si="399"/>
        <v>6160</v>
      </c>
      <c r="N943" s="33">
        <f ca="1">CHOOSE(1,W943*U943,X943*'[1]0、经济设定'!$C$18)</f>
        <v>16650</v>
      </c>
      <c r="O943">
        <f t="shared" si="400"/>
        <v>4</v>
      </c>
      <c r="P943">
        <f t="shared" si="401"/>
        <v>1</v>
      </c>
      <c r="Q943">
        <f t="shared" si="402"/>
        <v>1</v>
      </c>
      <c r="R943" s="2">
        <f t="shared" si="403"/>
        <v>10</v>
      </c>
      <c r="S943" s="2">
        <f t="shared" si="404"/>
        <v>50</v>
      </c>
      <c r="T943" s="2">
        <f t="shared" si="405"/>
        <v>143.47826086956522</v>
      </c>
      <c r="U943" s="2">
        <f ca="1">VLOOKUP(E943,金币生产率!$A$2:$B$120,2,0)</f>
        <v>1110</v>
      </c>
      <c r="V943" s="2">
        <f t="shared" si="406"/>
        <v>143.47826086956522</v>
      </c>
      <c r="W943" s="45">
        <f t="shared" ca="1" si="418"/>
        <v>15</v>
      </c>
      <c r="X943" s="48">
        <f t="shared" ca="1" si="419"/>
        <v>185</v>
      </c>
      <c r="Y943">
        <f t="shared" si="407"/>
        <v>18</v>
      </c>
      <c r="Z943">
        <f t="shared" ca="1" si="413"/>
        <v>6</v>
      </c>
      <c r="AA943" t="str">
        <f t="shared" ca="1" si="414"/>
        <v>9224300.png</v>
      </c>
      <c r="AB943">
        <f t="shared" si="408"/>
        <v>20</v>
      </c>
      <c r="AC943">
        <f>VLOOKUP(C943,技能辅助查询表,技能配置辅助表!$W$1,FALSE)</f>
        <v>35</v>
      </c>
      <c r="AD943">
        <f t="shared" ca="1" si="415"/>
        <v>35.021736194394776</v>
      </c>
      <c r="AE943">
        <f>VLOOKUP(C943,技能辅助查询表,技能配置辅助表!$U$1,FALSE)</f>
        <v>4</v>
      </c>
      <c r="AF943">
        <f t="shared" ca="1" si="416"/>
        <v>9224323</v>
      </c>
      <c r="AG943">
        <f t="shared" ca="1" si="420"/>
        <v>41.428571428571431</v>
      </c>
      <c r="AH943">
        <f t="shared" ca="1" si="417"/>
        <v>228.96530200997151</v>
      </c>
      <c r="AI943">
        <f ca="1">VLOOKUP(E943,伤害参考系!$C$4:$E$104,3,FALSE)*$AN$12</f>
        <v>3833.528327759198</v>
      </c>
      <c r="AJ943">
        <f>VLOOKUP(C943,技能辅助查询表,技能配置辅助表!$L$1,FALSE)</f>
        <v>1</v>
      </c>
      <c r="AK943">
        <f>VLOOKUP(C943,技能辅助查询表,技能配置辅助表!$AE$1,FALSE)</f>
        <v>66000388</v>
      </c>
    </row>
    <row r="944" spans="1:37" x14ac:dyDescent="0.15">
      <c r="A944" s="1">
        <f t="shared" ca="1" si="409"/>
        <v>9224324</v>
      </c>
      <c r="B944" s="1" t="str">
        <f t="shared" ca="1" si="394"/>
        <v>幻影脚第3段</v>
      </c>
      <c r="C944" t="s">
        <v>169</v>
      </c>
      <c r="D944">
        <f t="shared" si="395"/>
        <v>2</v>
      </c>
      <c r="E944" s="42">
        <f t="shared" ca="1" si="410"/>
        <v>44</v>
      </c>
      <c r="F944" t="str">
        <f t="shared" ca="1" si="411"/>
        <v>第24级，共造成177.9%点伤害</v>
      </c>
      <c r="G944">
        <f t="shared" ca="1" si="412"/>
        <v>3</v>
      </c>
      <c r="H944">
        <f t="shared" si="396"/>
        <v>3</v>
      </c>
      <c r="I944" s="44">
        <f t="shared" ca="1" si="421"/>
        <v>24</v>
      </c>
      <c r="J944">
        <f t="shared" si="397"/>
        <v>2</v>
      </c>
      <c r="K944" s="36">
        <f t="shared" ca="1" si="398"/>
        <v>177.91304347826087</v>
      </c>
      <c r="L944" s="10">
        <f ca="1">AH944*VLOOKUP(C944,技能辅助查询表,技能配置辅助表!$T$1,FALSE)</f>
        <v>0</v>
      </c>
      <c r="M944">
        <f t="shared" ca="1" si="399"/>
        <v>6080</v>
      </c>
      <c r="N944" s="33">
        <f ca="1">CHOOSE(1,W944*U944,X944*'[1]0、经济设定'!$C$18)</f>
        <v>19616</v>
      </c>
      <c r="O944">
        <f t="shared" si="400"/>
        <v>4</v>
      </c>
      <c r="P944">
        <f t="shared" si="401"/>
        <v>1</v>
      </c>
      <c r="Q944">
        <f t="shared" si="402"/>
        <v>1</v>
      </c>
      <c r="R944" s="2">
        <f t="shared" si="403"/>
        <v>10</v>
      </c>
      <c r="S944" s="2">
        <f t="shared" si="404"/>
        <v>50</v>
      </c>
      <c r="T944" s="2">
        <f t="shared" si="405"/>
        <v>143.47826086956522</v>
      </c>
      <c r="U944" s="2">
        <f ca="1">VLOOKUP(E944,金币生产率!$A$2:$B$120,2,0)</f>
        <v>1226</v>
      </c>
      <c r="V944" s="2">
        <f t="shared" si="406"/>
        <v>143.47826086956522</v>
      </c>
      <c r="W944" s="45">
        <f t="shared" ca="1" si="418"/>
        <v>16</v>
      </c>
      <c r="X944" s="48">
        <f t="shared" ca="1" si="419"/>
        <v>201</v>
      </c>
      <c r="Y944">
        <f t="shared" si="407"/>
        <v>18</v>
      </c>
      <c r="Z944">
        <f t="shared" ca="1" si="413"/>
        <v>7</v>
      </c>
      <c r="AA944" t="str">
        <f t="shared" ca="1" si="414"/>
        <v>9224300.png</v>
      </c>
      <c r="AB944">
        <f t="shared" si="408"/>
        <v>20</v>
      </c>
      <c r="AC944">
        <f>VLOOKUP(C944,技能辅助查询表,技能配置辅助表!$W$1,FALSE)</f>
        <v>35</v>
      </c>
      <c r="AD944">
        <f t="shared" ca="1" si="415"/>
        <v>40.61980484160442</v>
      </c>
      <c r="AE944">
        <f>VLOOKUP(C944,技能辅助查询表,技能配置辅助表!$U$1,FALSE)</f>
        <v>4</v>
      </c>
      <c r="AF944">
        <f t="shared" ca="1" si="416"/>
        <v>9224324</v>
      </c>
      <c r="AG944">
        <f t="shared" ca="1" si="420"/>
        <v>42.857142857142854</v>
      </c>
      <c r="AH944">
        <f t="shared" ca="1" si="417"/>
        <v>260.67397080270689</v>
      </c>
      <c r="AI944">
        <f ca="1">VLOOKUP(E944,伤害参考系!$C$4:$E$104,3,FALSE)*$AN$12</f>
        <v>4355.6631973244148</v>
      </c>
      <c r="AJ944">
        <f>VLOOKUP(C944,技能辅助查询表,技能配置辅助表!$L$1,FALSE)</f>
        <v>1</v>
      </c>
      <c r="AK944">
        <f>VLOOKUP(C944,技能辅助查询表,技能配置辅助表!$AE$1,FALSE)</f>
        <v>66000388</v>
      </c>
    </row>
    <row r="945" spans="1:37" x14ac:dyDescent="0.15">
      <c r="A945" s="1">
        <f t="shared" ca="1" si="409"/>
        <v>9224325</v>
      </c>
      <c r="B945" s="1" t="str">
        <f t="shared" ca="1" si="394"/>
        <v>幻影脚第3段</v>
      </c>
      <c r="C945" t="s">
        <v>169</v>
      </c>
      <c r="D945">
        <f t="shared" si="395"/>
        <v>2</v>
      </c>
      <c r="E945" s="42">
        <f t="shared" ca="1" si="410"/>
        <v>45</v>
      </c>
      <c r="F945" t="str">
        <f t="shared" ca="1" si="411"/>
        <v>第25级，共造成179.3%点伤害</v>
      </c>
      <c r="G945">
        <f t="shared" ca="1" si="412"/>
        <v>3</v>
      </c>
      <c r="H945">
        <f t="shared" si="396"/>
        <v>3</v>
      </c>
      <c r="I945" s="44">
        <f t="shared" ca="1" si="421"/>
        <v>25</v>
      </c>
      <c r="J945">
        <f t="shared" si="397"/>
        <v>2</v>
      </c>
      <c r="K945" s="36">
        <f t="shared" ca="1" si="398"/>
        <v>179.34782608695653</v>
      </c>
      <c r="L945" s="10">
        <f ca="1">AH945*VLOOKUP(C945,技能辅助查询表,技能配置辅助表!$T$1,FALSE)</f>
        <v>0</v>
      </c>
      <c r="M945">
        <f t="shared" ca="1" si="399"/>
        <v>6000</v>
      </c>
      <c r="N945" s="33">
        <f ca="1">CHOOSE(1,W945*U945,X945*'[1]0、经济设定'!$C$18)</f>
        <v>23166</v>
      </c>
      <c r="O945">
        <f t="shared" si="400"/>
        <v>4</v>
      </c>
      <c r="P945">
        <f t="shared" si="401"/>
        <v>1</v>
      </c>
      <c r="Q945">
        <f t="shared" si="402"/>
        <v>1</v>
      </c>
      <c r="R945" s="2">
        <f t="shared" si="403"/>
        <v>10</v>
      </c>
      <c r="S945" s="2">
        <f t="shared" si="404"/>
        <v>50</v>
      </c>
      <c r="T945" s="2">
        <f t="shared" si="405"/>
        <v>143.47826086956522</v>
      </c>
      <c r="U945" s="2">
        <f ca="1">VLOOKUP(E945,金币生产率!$A$2:$B$120,2,0)</f>
        <v>1287</v>
      </c>
      <c r="V945" s="2">
        <f t="shared" si="406"/>
        <v>143.47826086956522</v>
      </c>
      <c r="W945" s="45">
        <f t="shared" ca="1" si="418"/>
        <v>18</v>
      </c>
      <c r="X945" s="48">
        <f t="shared" ca="1" si="419"/>
        <v>219</v>
      </c>
      <c r="Y945">
        <f t="shared" si="407"/>
        <v>18</v>
      </c>
      <c r="Z945">
        <f t="shared" ca="1" si="413"/>
        <v>8</v>
      </c>
      <c r="AA945" t="str">
        <f t="shared" ca="1" si="414"/>
        <v>9224300.png</v>
      </c>
      <c r="AB945">
        <f t="shared" si="408"/>
        <v>20</v>
      </c>
      <c r="AC945">
        <f>VLOOKUP(C945,技能辅助查询表,技能配置辅助表!$W$1,FALSE)</f>
        <v>35</v>
      </c>
      <c r="AD945">
        <f t="shared" ca="1" si="415"/>
        <v>47.096723042470856</v>
      </c>
      <c r="AE945">
        <f>VLOOKUP(C945,技能辅助查询表,技能配置辅助表!$U$1,FALSE)</f>
        <v>4</v>
      </c>
      <c r="AF945">
        <f t="shared" ca="1" si="416"/>
        <v>9224325</v>
      </c>
      <c r="AG945">
        <f t="shared" ca="1" si="420"/>
        <v>44.285714285714285</v>
      </c>
      <c r="AH945">
        <f t="shared" ca="1" si="417"/>
        <v>296.77387122652874</v>
      </c>
      <c r="AI945">
        <f ca="1">VLOOKUP(E945,伤害参考系!$C$4:$E$104,3,FALSE)*$AN$12</f>
        <v>4629.2259280936469</v>
      </c>
      <c r="AJ945">
        <f>VLOOKUP(C945,技能辅助查询表,技能配置辅助表!$L$1,FALSE)</f>
        <v>1</v>
      </c>
      <c r="AK945">
        <f>VLOOKUP(C945,技能辅助查询表,技能配置辅助表!$AE$1,FALSE)</f>
        <v>66000388</v>
      </c>
    </row>
    <row r="946" spans="1:37" x14ac:dyDescent="0.15">
      <c r="A946" s="1">
        <f t="shared" ca="1" si="409"/>
        <v>9224326</v>
      </c>
      <c r="B946" s="1" t="str">
        <f t="shared" ca="1" si="394"/>
        <v>幻影脚第3段</v>
      </c>
      <c r="C946" t="s">
        <v>169</v>
      </c>
      <c r="D946">
        <f t="shared" si="395"/>
        <v>2</v>
      </c>
      <c r="E946" s="42">
        <f t="shared" ca="1" si="410"/>
        <v>46</v>
      </c>
      <c r="F946" t="str">
        <f t="shared" ca="1" si="411"/>
        <v>第26级，共造成180.8%点伤害</v>
      </c>
      <c r="G946">
        <f t="shared" ca="1" si="412"/>
        <v>3</v>
      </c>
      <c r="H946">
        <f t="shared" si="396"/>
        <v>3</v>
      </c>
      <c r="I946" s="44">
        <f t="shared" ca="1" si="421"/>
        <v>26</v>
      </c>
      <c r="J946">
        <f t="shared" si="397"/>
        <v>2</v>
      </c>
      <c r="K946" s="36">
        <f t="shared" ca="1" si="398"/>
        <v>180.78260869565219</v>
      </c>
      <c r="L946" s="10">
        <f ca="1">AH946*VLOOKUP(C946,技能辅助查询表,技能配置辅助表!$T$1,FALSE)</f>
        <v>0</v>
      </c>
      <c r="M946">
        <f t="shared" ca="1" si="399"/>
        <v>5920</v>
      </c>
      <c r="N946" s="33">
        <f ca="1">CHOOSE(1,W946*U946,X946*'[1]0、经济设定'!$C$18)</f>
        <v>25631</v>
      </c>
      <c r="O946">
        <f t="shared" si="400"/>
        <v>4</v>
      </c>
      <c r="P946">
        <f t="shared" si="401"/>
        <v>1</v>
      </c>
      <c r="Q946">
        <f t="shared" si="402"/>
        <v>1</v>
      </c>
      <c r="R946" s="2">
        <f t="shared" si="403"/>
        <v>10</v>
      </c>
      <c r="S946" s="2">
        <f t="shared" si="404"/>
        <v>50</v>
      </c>
      <c r="T946" s="2">
        <f t="shared" si="405"/>
        <v>143.47826086956522</v>
      </c>
      <c r="U946" s="2">
        <f ca="1">VLOOKUP(E946,金币生产率!$A$2:$B$120,2,0)</f>
        <v>1349</v>
      </c>
      <c r="V946" s="2">
        <f t="shared" si="406"/>
        <v>143.47826086956522</v>
      </c>
      <c r="W946" s="45">
        <f t="shared" ca="1" si="418"/>
        <v>19</v>
      </c>
      <c r="X946" s="48">
        <f t="shared" ca="1" si="419"/>
        <v>238</v>
      </c>
      <c r="Y946">
        <f t="shared" si="407"/>
        <v>18</v>
      </c>
      <c r="Z946">
        <f t="shared" ca="1" si="413"/>
        <v>8</v>
      </c>
      <c r="AA946" t="str">
        <f t="shared" ca="1" si="414"/>
        <v>9224300.png</v>
      </c>
      <c r="AB946">
        <f t="shared" si="408"/>
        <v>20</v>
      </c>
      <c r="AC946">
        <f>VLOOKUP(C946,技能辅助查询表,技能配置辅助表!$W$1,FALSE)</f>
        <v>35</v>
      </c>
      <c r="AD946">
        <f t="shared" ca="1" si="415"/>
        <v>54.588545834333843</v>
      </c>
      <c r="AE946">
        <f>VLOOKUP(C946,技能辅助查询表,技能配置辅助表!$U$1,FALSE)</f>
        <v>4</v>
      </c>
      <c r="AF946">
        <f t="shared" ca="1" si="416"/>
        <v>9224326</v>
      </c>
      <c r="AG946">
        <f t="shared" ca="1" si="420"/>
        <v>45.714285714285715</v>
      </c>
      <c r="AH946">
        <f t="shared" ca="1" si="417"/>
        <v>337.87313083683472</v>
      </c>
      <c r="AI946">
        <f ca="1">VLOOKUP(E946,伤害参考系!$C$4:$E$104,3,FALSE)*$AN$12</f>
        <v>4911.1188561872923</v>
      </c>
      <c r="AJ946">
        <f>VLOOKUP(C946,技能辅助查询表,技能配置辅助表!$L$1,FALSE)</f>
        <v>1</v>
      </c>
      <c r="AK946">
        <f>VLOOKUP(C946,技能辅助查询表,技能配置辅助表!$AE$1,FALSE)</f>
        <v>66000388</v>
      </c>
    </row>
    <row r="947" spans="1:37" x14ac:dyDescent="0.15">
      <c r="A947" s="1">
        <f t="shared" ca="1" si="409"/>
        <v>9224327</v>
      </c>
      <c r="B947" s="1" t="str">
        <f t="shared" ca="1" si="394"/>
        <v>幻影脚第3段</v>
      </c>
      <c r="C947" t="s">
        <v>169</v>
      </c>
      <c r="D947">
        <f t="shared" si="395"/>
        <v>2</v>
      </c>
      <c r="E947" s="42">
        <f t="shared" ca="1" si="410"/>
        <v>48</v>
      </c>
      <c r="F947" t="str">
        <f t="shared" ca="1" si="411"/>
        <v>第27级，共造成182.2%点伤害</v>
      </c>
      <c r="G947">
        <f t="shared" ca="1" si="412"/>
        <v>3</v>
      </c>
      <c r="H947">
        <f t="shared" si="396"/>
        <v>3</v>
      </c>
      <c r="I947" s="44">
        <f t="shared" ca="1" si="421"/>
        <v>27</v>
      </c>
      <c r="J947">
        <f t="shared" si="397"/>
        <v>2</v>
      </c>
      <c r="K947" s="36">
        <f t="shared" ca="1" si="398"/>
        <v>182.21739130434781</v>
      </c>
      <c r="L947" s="10">
        <f ca="1">AH947*VLOOKUP(C947,技能辅助查询表,技能配置辅助表!$T$1,FALSE)</f>
        <v>0</v>
      </c>
      <c r="M947">
        <f t="shared" ca="1" si="399"/>
        <v>5840</v>
      </c>
      <c r="N947" s="33">
        <f ca="1">CHOOSE(1,W947*U947,X947*'[1]0、经济设定'!$C$18)</f>
        <v>29540</v>
      </c>
      <c r="O947">
        <f t="shared" si="400"/>
        <v>4</v>
      </c>
      <c r="P947">
        <f t="shared" si="401"/>
        <v>1</v>
      </c>
      <c r="Q947">
        <f t="shared" si="402"/>
        <v>1</v>
      </c>
      <c r="R947" s="2">
        <f t="shared" si="403"/>
        <v>10</v>
      </c>
      <c r="S947" s="2">
        <f t="shared" si="404"/>
        <v>50</v>
      </c>
      <c r="T947" s="2">
        <f t="shared" si="405"/>
        <v>143.47826086956522</v>
      </c>
      <c r="U947" s="2">
        <f ca="1">VLOOKUP(E947,金币生产率!$A$2:$B$120,2,0)</f>
        <v>1477</v>
      </c>
      <c r="V947" s="2">
        <f t="shared" si="406"/>
        <v>143.47826086956522</v>
      </c>
      <c r="W947" s="45">
        <f t="shared" ca="1" si="418"/>
        <v>20</v>
      </c>
      <c r="X947" s="48">
        <f t="shared" ca="1" si="419"/>
        <v>258</v>
      </c>
      <c r="Y947">
        <f t="shared" si="407"/>
        <v>18</v>
      </c>
      <c r="Z947">
        <f t="shared" ca="1" si="413"/>
        <v>8</v>
      </c>
      <c r="AA947" t="str">
        <f t="shared" ca="1" si="414"/>
        <v>9224300.png</v>
      </c>
      <c r="AB947">
        <f t="shared" si="408"/>
        <v>20</v>
      </c>
      <c r="AC947">
        <f>VLOOKUP(C947,技能辅助查询表,技能配置辅助表!$W$1,FALSE)</f>
        <v>35</v>
      </c>
      <c r="AD947">
        <f t="shared" ca="1" si="415"/>
        <v>63.25215680904472</v>
      </c>
      <c r="AE947">
        <f>VLOOKUP(C947,技能辅助查询表,技能配置辅助表!$U$1,FALSE)</f>
        <v>4</v>
      </c>
      <c r="AF947">
        <f t="shared" ca="1" si="416"/>
        <v>9224327</v>
      </c>
      <c r="AG947">
        <f t="shared" ca="1" si="420"/>
        <v>47.142857142857146</v>
      </c>
      <c r="AH947">
        <f t="shared" ca="1" si="417"/>
        <v>384.66409481967975</v>
      </c>
      <c r="AI947">
        <f ca="1">VLOOKUP(E947,伤害参考系!$C$4:$E$104,3,FALSE)*$AN$12</f>
        <v>5499.8953043478286</v>
      </c>
      <c r="AJ947">
        <f>VLOOKUP(C947,技能辅助查询表,技能配置辅助表!$L$1,FALSE)</f>
        <v>1</v>
      </c>
      <c r="AK947">
        <f>VLOOKUP(C947,技能辅助查询表,技能配置辅助表!$AE$1,FALSE)</f>
        <v>66000388</v>
      </c>
    </row>
    <row r="948" spans="1:37" x14ac:dyDescent="0.15">
      <c r="A948" s="1">
        <f t="shared" ca="1" si="409"/>
        <v>9224328</v>
      </c>
      <c r="B948" s="1" t="str">
        <f t="shared" ca="1" si="394"/>
        <v>幻影脚第3段</v>
      </c>
      <c r="C948" t="s">
        <v>169</v>
      </c>
      <c r="D948">
        <f t="shared" si="395"/>
        <v>2</v>
      </c>
      <c r="E948" s="42">
        <f t="shared" ca="1" si="410"/>
        <v>49</v>
      </c>
      <c r="F948" t="str">
        <f t="shared" ca="1" si="411"/>
        <v>第28级，共造成183.7%点伤害</v>
      </c>
      <c r="G948">
        <f t="shared" ca="1" si="412"/>
        <v>3</v>
      </c>
      <c r="H948">
        <f t="shared" si="396"/>
        <v>3</v>
      </c>
      <c r="I948" s="44">
        <f t="shared" ca="1" si="421"/>
        <v>28</v>
      </c>
      <c r="J948">
        <f t="shared" si="397"/>
        <v>2</v>
      </c>
      <c r="K948" s="36">
        <f t="shared" ca="1" si="398"/>
        <v>183.65217391304347</v>
      </c>
      <c r="L948" s="10">
        <f ca="1">AH948*VLOOKUP(C948,技能辅助查询表,技能配置辅助表!$T$1,FALSE)</f>
        <v>0</v>
      </c>
      <c r="M948">
        <f t="shared" ca="1" si="399"/>
        <v>5760</v>
      </c>
      <c r="N948" s="33">
        <f ca="1">CHOOSE(1,W948*U948,X948*'[1]0、经济设定'!$C$18)</f>
        <v>32403</v>
      </c>
      <c r="O948">
        <f t="shared" si="400"/>
        <v>4</v>
      </c>
      <c r="P948">
        <f t="shared" si="401"/>
        <v>1</v>
      </c>
      <c r="Q948">
        <f t="shared" si="402"/>
        <v>1</v>
      </c>
      <c r="R948" s="2">
        <f t="shared" si="403"/>
        <v>10</v>
      </c>
      <c r="S948" s="2">
        <f t="shared" si="404"/>
        <v>50</v>
      </c>
      <c r="T948" s="2">
        <f t="shared" si="405"/>
        <v>143.47826086956522</v>
      </c>
      <c r="U948" s="2">
        <f ca="1">VLOOKUP(E948,金币生产率!$A$2:$B$120,2,0)</f>
        <v>1543</v>
      </c>
      <c r="V948" s="2">
        <f t="shared" si="406"/>
        <v>143.47826086956522</v>
      </c>
      <c r="W948" s="45">
        <f t="shared" ca="1" si="418"/>
        <v>21</v>
      </c>
      <c r="X948" s="48">
        <f t="shared" ca="1" si="419"/>
        <v>279</v>
      </c>
      <c r="Y948">
        <f t="shared" si="407"/>
        <v>18</v>
      </c>
      <c r="Z948">
        <f t="shared" ca="1" si="413"/>
        <v>9</v>
      </c>
      <c r="AA948" t="str">
        <f t="shared" ca="1" si="414"/>
        <v>9224300.png</v>
      </c>
      <c r="AB948">
        <f t="shared" si="408"/>
        <v>20</v>
      </c>
      <c r="AC948">
        <f>VLOOKUP(C948,技能辅助查询表,技能配置辅助表!$W$1,FALSE)</f>
        <v>35</v>
      </c>
      <c r="AD948">
        <f t="shared" ca="1" si="415"/>
        <v>73.268427728345017</v>
      </c>
      <c r="AE948">
        <f>VLOOKUP(C948,技能辅助查询表,技能配置辅助表!$U$1,FALSE)</f>
        <v>4</v>
      </c>
      <c r="AF948">
        <f t="shared" ca="1" si="416"/>
        <v>9224328</v>
      </c>
      <c r="AG948">
        <f t="shared" ca="1" si="420"/>
        <v>48.571428571428569</v>
      </c>
      <c r="AH948">
        <f t="shared" ca="1" si="417"/>
        <v>437.93498902077317</v>
      </c>
      <c r="AI948">
        <f ca="1">VLOOKUP(E948,伤害参考系!$C$4:$E$104,3,FALSE)*$AN$12</f>
        <v>5806.7788244147177</v>
      </c>
      <c r="AJ948">
        <f>VLOOKUP(C948,技能辅助查询表,技能配置辅助表!$L$1,FALSE)</f>
        <v>1</v>
      </c>
      <c r="AK948">
        <f>VLOOKUP(C948,技能辅助查询表,技能配置辅助表!$AE$1,FALSE)</f>
        <v>66000388</v>
      </c>
    </row>
    <row r="949" spans="1:37" x14ac:dyDescent="0.15">
      <c r="A949" s="1">
        <f t="shared" ca="1" si="409"/>
        <v>9224329</v>
      </c>
      <c r="B949" s="1" t="str">
        <f t="shared" ca="1" si="394"/>
        <v>幻影脚第3段</v>
      </c>
      <c r="C949" t="s">
        <v>169</v>
      </c>
      <c r="D949">
        <f t="shared" si="395"/>
        <v>2</v>
      </c>
      <c r="E949" s="42">
        <f t="shared" ca="1" si="410"/>
        <v>51</v>
      </c>
      <c r="F949" t="str">
        <f t="shared" ca="1" si="411"/>
        <v>第29级，共造成185.1%点伤害</v>
      </c>
      <c r="G949">
        <f t="shared" ca="1" si="412"/>
        <v>3</v>
      </c>
      <c r="H949">
        <f t="shared" si="396"/>
        <v>3</v>
      </c>
      <c r="I949" s="44">
        <f t="shared" ca="1" si="421"/>
        <v>29</v>
      </c>
      <c r="J949">
        <f t="shared" si="397"/>
        <v>2</v>
      </c>
      <c r="K949" s="36">
        <f t="shared" ca="1" si="398"/>
        <v>185.08695652173913</v>
      </c>
      <c r="L949" s="10">
        <f ca="1">AH949*VLOOKUP(C949,技能辅助查询表,技能配置辅助表!$T$1,FALSE)</f>
        <v>0</v>
      </c>
      <c r="M949">
        <f t="shared" ca="1" si="399"/>
        <v>5680</v>
      </c>
      <c r="N949" s="33">
        <f ca="1">CHOOSE(1,W949*U949,X949*'[1]0、经济设定'!$C$18)</f>
        <v>38617</v>
      </c>
      <c r="O949">
        <f t="shared" si="400"/>
        <v>4</v>
      </c>
      <c r="P949">
        <f t="shared" si="401"/>
        <v>1</v>
      </c>
      <c r="Q949">
        <f t="shared" si="402"/>
        <v>1</v>
      </c>
      <c r="R949" s="2">
        <f t="shared" si="403"/>
        <v>10</v>
      </c>
      <c r="S949" s="2">
        <f t="shared" si="404"/>
        <v>50</v>
      </c>
      <c r="T949" s="2">
        <f t="shared" si="405"/>
        <v>143.47826086956522</v>
      </c>
      <c r="U949" s="2">
        <f ca="1">VLOOKUP(E949,金币生产率!$A$2:$B$120,2,0)</f>
        <v>1679</v>
      </c>
      <c r="V949" s="2">
        <f t="shared" si="406"/>
        <v>143.47826086956522</v>
      </c>
      <c r="W949" s="45">
        <f t="shared" ca="1" si="418"/>
        <v>23</v>
      </c>
      <c r="X949" s="48">
        <f t="shared" ca="1" si="419"/>
        <v>302</v>
      </c>
      <c r="Y949">
        <f t="shared" si="407"/>
        <v>18</v>
      </c>
      <c r="Z949">
        <f t="shared" ca="1" si="413"/>
        <v>10</v>
      </c>
      <c r="AA949" t="str">
        <f t="shared" ca="1" si="414"/>
        <v>9224300.png</v>
      </c>
      <c r="AB949">
        <f t="shared" si="408"/>
        <v>20</v>
      </c>
      <c r="AC949">
        <f>VLOOKUP(C949,技能辅助查询表,技能配置辅助表!$W$1,FALSE)</f>
        <v>35</v>
      </c>
      <c r="AD949">
        <f t="shared" ca="1" si="415"/>
        <v>84.845853806897054</v>
      </c>
      <c r="AE949">
        <f>VLOOKUP(C949,技能辅助查询表,技能配置辅助表!$U$1,FALSE)</f>
        <v>4</v>
      </c>
      <c r="AF949">
        <f t="shared" ca="1" si="416"/>
        <v>9224329</v>
      </c>
      <c r="AG949">
        <f t="shared" ca="1" si="420"/>
        <v>50</v>
      </c>
      <c r="AH949">
        <f t="shared" ca="1" si="417"/>
        <v>498.5831981498805</v>
      </c>
      <c r="AI949">
        <f ca="1">VLOOKUP(E949,伤害参考系!$C$4:$E$104,3,FALSE)*$AN$12</f>
        <v>6528.1715392976603</v>
      </c>
      <c r="AJ949">
        <f>VLOOKUP(C949,技能辅助查询表,技能配置辅助表!$L$1,FALSE)</f>
        <v>1</v>
      </c>
      <c r="AK949">
        <f>VLOOKUP(C949,技能辅助查询表,技能配置辅助表!$AE$1,FALSE)</f>
        <v>66000388</v>
      </c>
    </row>
    <row r="950" spans="1:37" x14ac:dyDescent="0.15">
      <c r="A950" s="1">
        <f t="shared" ca="1" si="409"/>
        <v>9224330</v>
      </c>
      <c r="B950" s="1" t="str">
        <f t="shared" ca="1" si="394"/>
        <v>幻影脚第3段</v>
      </c>
      <c r="C950" t="s">
        <v>169</v>
      </c>
      <c r="D950">
        <f t="shared" si="395"/>
        <v>2</v>
      </c>
      <c r="E950" s="42">
        <f t="shared" ca="1" si="410"/>
        <v>52</v>
      </c>
      <c r="F950" t="str">
        <f t="shared" ca="1" si="411"/>
        <v>第30级，共造成186.5%点伤害</v>
      </c>
      <c r="G950">
        <f t="shared" ca="1" si="412"/>
        <v>3</v>
      </c>
      <c r="H950">
        <f t="shared" si="396"/>
        <v>3</v>
      </c>
      <c r="I950" s="44">
        <f t="shared" ca="1" si="421"/>
        <v>30</v>
      </c>
      <c r="J950">
        <f t="shared" si="397"/>
        <v>2</v>
      </c>
      <c r="K950" s="36">
        <f t="shared" ca="1" si="398"/>
        <v>186.52173913043478</v>
      </c>
      <c r="L950" s="10">
        <f ca="1">AH950*VLOOKUP(C950,技能辅助查询表,技能配置辅助表!$T$1,FALSE)</f>
        <v>0</v>
      </c>
      <c r="M950">
        <f t="shared" ca="1" si="399"/>
        <v>5600</v>
      </c>
      <c r="N950" s="33">
        <f ca="1">CHOOSE(1,W950*U950,X950*'[1]0、经济设定'!$C$18)</f>
        <v>43725</v>
      </c>
      <c r="O950">
        <f t="shared" si="400"/>
        <v>4</v>
      </c>
      <c r="P950">
        <f t="shared" si="401"/>
        <v>1</v>
      </c>
      <c r="Q950">
        <f t="shared" si="402"/>
        <v>1</v>
      </c>
      <c r="R950" s="2">
        <f t="shared" si="403"/>
        <v>10</v>
      </c>
      <c r="S950" s="2">
        <f t="shared" si="404"/>
        <v>50</v>
      </c>
      <c r="T950" s="2">
        <f t="shared" si="405"/>
        <v>143.47826086956522</v>
      </c>
      <c r="U950" s="2">
        <f ca="1">VLOOKUP(E950,金币生产率!$A$2:$B$120,2,0)</f>
        <v>1749</v>
      </c>
      <c r="V950" s="2">
        <f t="shared" si="406"/>
        <v>143.47826086956522</v>
      </c>
      <c r="W950" s="45">
        <f t="shared" ca="1" si="418"/>
        <v>25</v>
      </c>
      <c r="X950" s="48">
        <f t="shared" ca="1" si="419"/>
        <v>327</v>
      </c>
      <c r="Y950">
        <f t="shared" si="407"/>
        <v>18</v>
      </c>
      <c r="Z950">
        <f t="shared" ca="1" si="413"/>
        <v>10</v>
      </c>
      <c r="AA950" t="str">
        <f t="shared" ca="1" si="414"/>
        <v>9224300.png</v>
      </c>
      <c r="AB950">
        <f t="shared" si="408"/>
        <v>20</v>
      </c>
      <c r="AC950">
        <f>VLOOKUP(C950,技能辅助查询表,技能配置辅助表!$W$1,FALSE)</f>
        <v>35</v>
      </c>
      <c r="AD950">
        <f t="shared" ca="1" si="415"/>
        <v>98.224735813368468</v>
      </c>
      <c r="AE950">
        <f>VLOOKUP(C950,技能辅助查询表,技能配置辅助表!$U$1,FALSE)</f>
        <v>4</v>
      </c>
      <c r="AF950">
        <f t="shared" ca="1" si="416"/>
        <v>9224330</v>
      </c>
      <c r="AG950">
        <f t="shared" ca="1" si="420"/>
        <v>51.428571428571431</v>
      </c>
      <c r="AH950">
        <f t="shared" ca="1" si="417"/>
        <v>567.63038284107404</v>
      </c>
      <c r="AI950">
        <f ca="1">VLOOKUP(E950,伤害参考系!$C$4:$E$104,3,FALSE)*$AN$12</f>
        <v>6904.487016722409</v>
      </c>
      <c r="AJ950">
        <f>VLOOKUP(C950,技能辅助查询表,技能配置辅助表!$L$1,FALSE)</f>
        <v>1</v>
      </c>
      <c r="AK950">
        <f>VLOOKUP(C950,技能辅助查询表,技能配置辅助表!$AE$1,FALSE)</f>
        <v>66000388</v>
      </c>
    </row>
    <row r="951" spans="1:37" x14ac:dyDescent="0.15">
      <c r="A951" s="1">
        <f t="shared" ca="1" si="409"/>
        <v>9224331</v>
      </c>
      <c r="B951" s="1" t="str">
        <f t="shared" ca="1" si="394"/>
        <v>幻影脚第3段</v>
      </c>
      <c r="C951" t="s">
        <v>169</v>
      </c>
      <c r="D951">
        <f t="shared" si="395"/>
        <v>2</v>
      </c>
      <c r="E951" s="42">
        <f t="shared" ca="1" si="410"/>
        <v>53</v>
      </c>
      <c r="F951" t="str">
        <f t="shared" ca="1" si="411"/>
        <v>第31级，共造成188%点伤害</v>
      </c>
      <c r="G951">
        <f t="shared" ca="1" si="412"/>
        <v>3</v>
      </c>
      <c r="H951">
        <f t="shared" si="396"/>
        <v>3</v>
      </c>
      <c r="I951" s="44">
        <f t="shared" ca="1" si="421"/>
        <v>31</v>
      </c>
      <c r="J951">
        <f t="shared" si="397"/>
        <v>2</v>
      </c>
      <c r="K951" s="36">
        <f t="shared" ca="1" si="398"/>
        <v>187.95652173913044</v>
      </c>
      <c r="L951" s="10">
        <f ca="1">AH951*VLOOKUP(C951,技能辅助查询表,技能配置辅助表!$T$1,FALSE)</f>
        <v>0</v>
      </c>
      <c r="M951">
        <f t="shared" ca="1" si="399"/>
        <v>5520</v>
      </c>
      <c r="N951" s="33">
        <f ca="1">CHOOSE(1,W951*U951,X951*'[1]0、经济设定'!$C$18)</f>
        <v>47320</v>
      </c>
      <c r="O951">
        <f t="shared" si="400"/>
        <v>4</v>
      </c>
      <c r="P951">
        <f t="shared" si="401"/>
        <v>1</v>
      </c>
      <c r="Q951">
        <f t="shared" si="402"/>
        <v>1</v>
      </c>
      <c r="R951" s="2">
        <f t="shared" si="403"/>
        <v>10</v>
      </c>
      <c r="S951" s="2">
        <f t="shared" si="404"/>
        <v>50</v>
      </c>
      <c r="T951" s="2">
        <f t="shared" si="405"/>
        <v>143.47826086956522</v>
      </c>
      <c r="U951" s="2">
        <f ca="1">VLOOKUP(E951,金币生产率!$A$2:$B$120,2,0)</f>
        <v>1820</v>
      </c>
      <c r="V951" s="2">
        <f t="shared" si="406"/>
        <v>143.47826086956522</v>
      </c>
      <c r="W951" s="45">
        <f t="shared" ca="1" si="418"/>
        <v>26</v>
      </c>
      <c r="X951" s="48">
        <f t="shared" ca="1" si="419"/>
        <v>353</v>
      </c>
      <c r="Y951">
        <f t="shared" si="407"/>
        <v>18</v>
      </c>
      <c r="Z951">
        <f t="shared" ca="1" si="413"/>
        <v>11</v>
      </c>
      <c r="AA951" t="str">
        <f t="shared" ca="1" si="414"/>
        <v>9224300.png</v>
      </c>
      <c r="AB951">
        <f t="shared" si="408"/>
        <v>20</v>
      </c>
      <c r="AC951">
        <f>VLOOKUP(C951,技能辅助查询表,技能配置辅助表!$W$1,FALSE)</f>
        <v>35</v>
      </c>
      <c r="AD951">
        <f t="shared" ca="1" si="415"/>
        <v>113.68199072411728</v>
      </c>
      <c r="AE951">
        <f>VLOOKUP(C951,技能辅助查询表,技能配置辅助表!$U$1,FALSE)</f>
        <v>4</v>
      </c>
      <c r="AF951">
        <f t="shared" ca="1" si="416"/>
        <v>9224331</v>
      </c>
      <c r="AG951">
        <f t="shared" ca="1" si="420"/>
        <v>52.857142857142854</v>
      </c>
      <c r="AH951">
        <f t="shared" ca="1" si="417"/>
        <v>646.23969022607446</v>
      </c>
      <c r="AI951">
        <f ca="1">VLOOKUP(E951,伤害参考系!$C$4:$E$104,3,FALSE)*$AN$12</f>
        <v>7291.2152408026777</v>
      </c>
      <c r="AJ951">
        <f>VLOOKUP(C951,技能辅助查询表,技能配置辅助表!$L$1,FALSE)</f>
        <v>1</v>
      </c>
      <c r="AK951">
        <f>VLOOKUP(C951,技能辅助查询表,技能配置辅助表!$AE$1,FALSE)</f>
        <v>66000388</v>
      </c>
    </row>
    <row r="952" spans="1:37" x14ac:dyDescent="0.15">
      <c r="A952" s="1">
        <f t="shared" ca="1" si="409"/>
        <v>9224332</v>
      </c>
      <c r="B952" s="1" t="str">
        <f t="shared" ca="1" si="394"/>
        <v>幻影脚第3段</v>
      </c>
      <c r="C952" t="s">
        <v>169</v>
      </c>
      <c r="D952">
        <f t="shared" si="395"/>
        <v>2</v>
      </c>
      <c r="E952" s="42">
        <f t="shared" ca="1" si="410"/>
        <v>55</v>
      </c>
      <c r="F952" t="str">
        <f t="shared" ca="1" si="411"/>
        <v>第32级，共造成189.4%点伤害</v>
      </c>
      <c r="G952">
        <f t="shared" ca="1" si="412"/>
        <v>3</v>
      </c>
      <c r="H952">
        <f t="shared" si="396"/>
        <v>3</v>
      </c>
      <c r="I952" s="44">
        <f t="shared" ca="1" si="421"/>
        <v>32</v>
      </c>
      <c r="J952">
        <f t="shared" si="397"/>
        <v>2</v>
      </c>
      <c r="K952" s="36">
        <f t="shared" ca="1" si="398"/>
        <v>189.39130434782609</v>
      </c>
      <c r="L952" s="10">
        <f ca="1">AH952*VLOOKUP(C952,技能辅助查询表,技能配置辅助表!$T$1,FALSE)</f>
        <v>0</v>
      </c>
      <c r="M952">
        <f t="shared" ca="1" si="399"/>
        <v>5440</v>
      </c>
      <c r="N952" s="33">
        <f ca="1">CHOOSE(1,W952*U952,X952*'[1]0、经济设定'!$C$18)</f>
        <v>55076</v>
      </c>
      <c r="O952">
        <f t="shared" si="400"/>
        <v>4</v>
      </c>
      <c r="P952">
        <f t="shared" si="401"/>
        <v>1</v>
      </c>
      <c r="Q952">
        <f t="shared" si="402"/>
        <v>1</v>
      </c>
      <c r="R952" s="2">
        <f t="shared" si="403"/>
        <v>10</v>
      </c>
      <c r="S952" s="2">
        <f t="shared" si="404"/>
        <v>50</v>
      </c>
      <c r="T952" s="2">
        <f t="shared" si="405"/>
        <v>143.47826086956522</v>
      </c>
      <c r="U952" s="2">
        <f ca="1">VLOOKUP(E952,金币生产率!$A$2:$B$120,2,0)</f>
        <v>1967</v>
      </c>
      <c r="V952" s="2">
        <f t="shared" si="406"/>
        <v>143.47826086956522</v>
      </c>
      <c r="W952" s="45">
        <f t="shared" ca="1" si="418"/>
        <v>28</v>
      </c>
      <c r="X952" s="48">
        <f t="shared" ca="1" si="419"/>
        <v>381</v>
      </c>
      <c r="Y952">
        <f t="shared" si="407"/>
        <v>18</v>
      </c>
      <c r="Z952">
        <f t="shared" ca="1" si="413"/>
        <v>12</v>
      </c>
      <c r="AA952" t="str">
        <f t="shared" ca="1" si="414"/>
        <v>9224300.png</v>
      </c>
      <c r="AB952">
        <f t="shared" si="408"/>
        <v>20</v>
      </c>
      <c r="AC952">
        <f>VLOOKUP(C952,技能辅助查询表,技能配置辅助表!$W$1,FALSE)</f>
        <v>35</v>
      </c>
      <c r="AD952">
        <f t="shared" ca="1" si="415"/>
        <v>131.53668481513523</v>
      </c>
      <c r="AE952">
        <f>VLOOKUP(C952,技能辅助查询表,技能配置辅助表!$U$1,FALSE)</f>
        <v>4</v>
      </c>
      <c r="AF952">
        <f t="shared" ca="1" si="416"/>
        <v>9224332</v>
      </c>
      <c r="AG952">
        <f t="shared" ca="1" si="420"/>
        <v>54.285714285714285</v>
      </c>
      <c r="AH952">
        <f t="shared" ca="1" si="417"/>
        <v>735.73534794457942</v>
      </c>
      <c r="AI952">
        <f ca="1">VLOOKUP(E952,伤害参考系!$C$4:$E$104,3,FALSE)*$AN$12</f>
        <v>8095.9099289297656</v>
      </c>
      <c r="AJ952">
        <f>VLOOKUP(C952,技能辅助查询表,技能配置辅助表!$L$1,FALSE)</f>
        <v>1</v>
      </c>
      <c r="AK952">
        <f>VLOOKUP(C952,技能辅助查询表,技能配置辅助表!$AE$1,FALSE)</f>
        <v>66000388</v>
      </c>
    </row>
    <row r="953" spans="1:37" x14ac:dyDescent="0.15">
      <c r="A953" s="1">
        <f t="shared" ca="1" si="409"/>
        <v>9224333</v>
      </c>
      <c r="B953" s="1" t="str">
        <f t="shared" ca="1" si="394"/>
        <v>幻影脚第3段</v>
      </c>
      <c r="C953" t="s">
        <v>169</v>
      </c>
      <c r="D953">
        <f t="shared" si="395"/>
        <v>2</v>
      </c>
      <c r="E953" s="42">
        <f t="shared" ca="1" si="410"/>
        <v>56</v>
      </c>
      <c r="F953" t="str">
        <f t="shared" ca="1" si="411"/>
        <v>第33级，共造成190.8%点伤害</v>
      </c>
      <c r="G953">
        <f t="shared" ca="1" si="412"/>
        <v>3</v>
      </c>
      <c r="H953">
        <f t="shared" si="396"/>
        <v>3</v>
      </c>
      <c r="I953" s="44">
        <f t="shared" ca="1" si="421"/>
        <v>33</v>
      </c>
      <c r="J953">
        <f t="shared" si="397"/>
        <v>2</v>
      </c>
      <c r="K953" s="36">
        <f t="shared" ca="1" si="398"/>
        <v>190.82608695652175</v>
      </c>
      <c r="L953" s="10">
        <f ca="1">AH953*VLOOKUP(C953,技能辅助查询表,技能配置辅助表!$T$1,FALSE)</f>
        <v>0</v>
      </c>
      <c r="M953">
        <f t="shared" ca="1" si="399"/>
        <v>5360</v>
      </c>
      <c r="N953" s="33">
        <f ca="1">CHOOSE(1,W953*U953,X953*'[1]0、经济设定'!$C$18)</f>
        <v>61260</v>
      </c>
      <c r="O953">
        <f t="shared" si="400"/>
        <v>4</v>
      </c>
      <c r="P953">
        <f t="shared" si="401"/>
        <v>1</v>
      </c>
      <c r="Q953">
        <f t="shared" si="402"/>
        <v>1</v>
      </c>
      <c r="R953" s="2">
        <f t="shared" si="403"/>
        <v>10</v>
      </c>
      <c r="S953" s="2">
        <f t="shared" si="404"/>
        <v>50</v>
      </c>
      <c r="T953" s="2">
        <f t="shared" si="405"/>
        <v>143.47826086956522</v>
      </c>
      <c r="U953" s="2">
        <f ca="1">VLOOKUP(E953,金币生产率!$A$2:$B$120,2,0)</f>
        <v>2042</v>
      </c>
      <c r="V953" s="2">
        <f t="shared" si="406"/>
        <v>143.47826086956522</v>
      </c>
      <c r="W953" s="45">
        <f t="shared" ca="1" si="418"/>
        <v>30</v>
      </c>
      <c r="X953" s="48">
        <f t="shared" ca="1" si="419"/>
        <v>411</v>
      </c>
      <c r="Y953">
        <f t="shared" si="407"/>
        <v>18</v>
      </c>
      <c r="Z953">
        <f t="shared" ca="1" si="413"/>
        <v>12</v>
      </c>
      <c r="AA953" t="str">
        <f t="shared" ca="1" si="414"/>
        <v>9224300.png</v>
      </c>
      <c r="AB953">
        <f t="shared" si="408"/>
        <v>20</v>
      </c>
      <c r="AC953">
        <f>VLOOKUP(C953,技能辅助查询表,技能配置辅助表!$W$1,FALSE)</f>
        <v>35</v>
      </c>
      <c r="AD953">
        <f t="shared" ca="1" si="415"/>
        <v>152.15639702700037</v>
      </c>
      <c r="AE953">
        <f>VLOOKUP(C953,技能辅助查询表,技能配置辅助表!$U$1,FALSE)</f>
        <v>4</v>
      </c>
      <c r="AF953">
        <f t="shared" ca="1" si="416"/>
        <v>9224333</v>
      </c>
      <c r="AG953">
        <f t="shared" ca="1" si="420"/>
        <v>55.714285714285715</v>
      </c>
      <c r="AH953">
        <f t="shared" ca="1" si="417"/>
        <v>837.62497166611001</v>
      </c>
      <c r="AI953">
        <f ca="1">VLOOKUP(E953,伤害参考系!$C$4:$E$104,3,FALSE)*$AN$12</f>
        <v>8513.8763929765901</v>
      </c>
      <c r="AJ953">
        <f>VLOOKUP(C953,技能辅助查询表,技能配置辅助表!$L$1,FALSE)</f>
        <v>1</v>
      </c>
      <c r="AK953">
        <f>VLOOKUP(C953,技能辅助查询表,技能配置辅助表!$AE$1,FALSE)</f>
        <v>66000388</v>
      </c>
    </row>
    <row r="954" spans="1:37" x14ac:dyDescent="0.15">
      <c r="A954" s="1">
        <f t="shared" ca="1" si="409"/>
        <v>9224334</v>
      </c>
      <c r="B954" s="1" t="str">
        <f t="shared" ca="1" si="394"/>
        <v>幻影脚第3段</v>
      </c>
      <c r="C954" t="s">
        <v>169</v>
      </c>
      <c r="D954">
        <f t="shared" si="395"/>
        <v>2</v>
      </c>
      <c r="E954" s="42">
        <f t="shared" ca="1" si="410"/>
        <v>58</v>
      </c>
      <c r="F954" t="str">
        <f t="shared" ca="1" si="411"/>
        <v>第34级，共造成192.3%点伤害</v>
      </c>
      <c r="G954">
        <f t="shared" ca="1" si="412"/>
        <v>3</v>
      </c>
      <c r="H954">
        <f t="shared" si="396"/>
        <v>3</v>
      </c>
      <c r="I954" s="44">
        <f t="shared" ca="1" si="421"/>
        <v>34</v>
      </c>
      <c r="J954">
        <f t="shared" si="397"/>
        <v>2</v>
      </c>
      <c r="K954" s="36">
        <f t="shared" ca="1" si="398"/>
        <v>192.26086956521738</v>
      </c>
      <c r="L954" s="10">
        <f ca="1">AH954*VLOOKUP(C954,技能辅助查询表,技能配置辅助表!$T$1,FALSE)</f>
        <v>0</v>
      </c>
      <c r="M954">
        <f t="shared" ca="1" si="399"/>
        <v>5280</v>
      </c>
      <c r="N954" s="33">
        <f ca="1">CHOOSE(1,W954*U954,X954*'[1]0、经济设定'!$C$18)</f>
        <v>70336</v>
      </c>
      <c r="O954">
        <f t="shared" si="400"/>
        <v>4</v>
      </c>
      <c r="P954">
        <f t="shared" si="401"/>
        <v>1</v>
      </c>
      <c r="Q954">
        <f t="shared" si="402"/>
        <v>1</v>
      </c>
      <c r="R954" s="2">
        <f t="shared" si="403"/>
        <v>10</v>
      </c>
      <c r="S954" s="2">
        <f t="shared" si="404"/>
        <v>50</v>
      </c>
      <c r="T954" s="2">
        <f t="shared" si="405"/>
        <v>143.47826086956522</v>
      </c>
      <c r="U954" s="2">
        <f ca="1">VLOOKUP(E954,金币生产率!$A$2:$B$120,2,0)</f>
        <v>2198</v>
      </c>
      <c r="V954" s="2">
        <f t="shared" si="406"/>
        <v>143.47826086956522</v>
      </c>
      <c r="W954" s="45">
        <f t="shared" ca="1" si="418"/>
        <v>32</v>
      </c>
      <c r="X954" s="48">
        <f t="shared" ca="1" si="419"/>
        <v>443</v>
      </c>
      <c r="Y954">
        <f t="shared" si="407"/>
        <v>18</v>
      </c>
      <c r="Z954">
        <f t="shared" ca="1" si="413"/>
        <v>13</v>
      </c>
      <c r="AA954" t="str">
        <f t="shared" ca="1" si="414"/>
        <v>9224300.png</v>
      </c>
      <c r="AB954">
        <f t="shared" si="408"/>
        <v>20</v>
      </c>
      <c r="AC954">
        <f>VLOOKUP(C954,技能辅助查询表,技能配置辅助表!$W$1,FALSE)</f>
        <v>35</v>
      </c>
      <c r="AD954">
        <f t="shared" ca="1" si="415"/>
        <v>175.9645364496177</v>
      </c>
      <c r="AE954">
        <f>VLOOKUP(C954,技能辅助查询表,技能配置辅助表!$U$1,FALSE)</f>
        <v>4</v>
      </c>
      <c r="AF954">
        <f t="shared" ca="1" si="416"/>
        <v>9224334</v>
      </c>
      <c r="AG954">
        <f t="shared" ca="1" si="420"/>
        <v>57.142857142857146</v>
      </c>
      <c r="AH954">
        <f t="shared" ca="1" si="417"/>
        <v>953.62496190886134</v>
      </c>
      <c r="AI954">
        <f ca="1">VLOOKUP(E954,伤害参考系!$C$4:$E$104,3,FALSE)*$AN$12</f>
        <v>9381.0475610367921</v>
      </c>
      <c r="AJ954">
        <f>VLOOKUP(C954,技能辅助查询表,技能配置辅助表!$L$1,FALSE)</f>
        <v>1</v>
      </c>
      <c r="AK954">
        <f>VLOOKUP(C954,技能辅助查询表,技能配置辅助表!$AE$1,FALSE)</f>
        <v>66000388</v>
      </c>
    </row>
    <row r="955" spans="1:37" x14ac:dyDescent="0.15">
      <c r="A955" s="1">
        <f t="shared" ca="1" si="409"/>
        <v>9224335</v>
      </c>
      <c r="B955" s="1" t="str">
        <f t="shared" ca="1" si="394"/>
        <v>幻影脚第3段</v>
      </c>
      <c r="C955" t="s">
        <v>169</v>
      </c>
      <c r="D955">
        <f t="shared" si="395"/>
        <v>2</v>
      </c>
      <c r="E955" s="42">
        <f t="shared" ca="1" si="410"/>
        <v>59</v>
      </c>
      <c r="F955" t="str">
        <f t="shared" ca="1" si="411"/>
        <v>第35级，共造成193.7%点伤害</v>
      </c>
      <c r="G955">
        <f t="shared" ca="1" si="412"/>
        <v>3</v>
      </c>
      <c r="H955">
        <f t="shared" si="396"/>
        <v>3</v>
      </c>
      <c r="I955" s="44">
        <f t="shared" ca="1" si="421"/>
        <v>35</v>
      </c>
      <c r="J955">
        <f t="shared" si="397"/>
        <v>2</v>
      </c>
      <c r="K955" s="36">
        <f t="shared" ca="1" si="398"/>
        <v>193.69565217391303</v>
      </c>
      <c r="L955" s="10">
        <f ca="1">AH955*VLOOKUP(C955,技能辅助查询表,技能配置辅助表!$T$1,FALSE)</f>
        <v>0</v>
      </c>
      <c r="M955">
        <f t="shared" ca="1" si="399"/>
        <v>5200</v>
      </c>
      <c r="N955" s="33">
        <f ca="1">CHOOSE(1,W955*U955,X955*'[1]0、经济设定'!$C$18)</f>
        <v>77418</v>
      </c>
      <c r="O955">
        <f t="shared" si="400"/>
        <v>4</v>
      </c>
      <c r="P955">
        <f t="shared" si="401"/>
        <v>1</v>
      </c>
      <c r="Q955">
        <f t="shared" si="402"/>
        <v>1</v>
      </c>
      <c r="R955" s="2">
        <f t="shared" si="403"/>
        <v>10</v>
      </c>
      <c r="S955" s="2">
        <f t="shared" si="404"/>
        <v>50</v>
      </c>
      <c r="T955" s="2">
        <f t="shared" si="405"/>
        <v>143.47826086956522</v>
      </c>
      <c r="U955" s="2">
        <f ca="1">VLOOKUP(E955,金币生产率!$A$2:$B$120,2,0)</f>
        <v>2277</v>
      </c>
      <c r="V955" s="2">
        <f t="shared" si="406"/>
        <v>143.47826086956522</v>
      </c>
      <c r="W955" s="45">
        <f t="shared" ca="1" si="418"/>
        <v>34</v>
      </c>
      <c r="X955" s="48">
        <f t="shared" ca="1" si="419"/>
        <v>477</v>
      </c>
      <c r="Y955">
        <f t="shared" si="407"/>
        <v>18</v>
      </c>
      <c r="Z955">
        <f t="shared" ca="1" si="413"/>
        <v>14</v>
      </c>
      <c r="AA955" t="str">
        <f t="shared" ca="1" si="414"/>
        <v>9224300.png</v>
      </c>
      <c r="AB955">
        <f t="shared" si="408"/>
        <v>20</v>
      </c>
      <c r="AC955">
        <f>VLOOKUP(C955,技能辅助查询表,技能配置辅助表!$W$1,FALSE)</f>
        <v>35</v>
      </c>
      <c r="AD955">
        <f t="shared" ca="1" si="415"/>
        <v>203.44875615234804</v>
      </c>
      <c r="AE955">
        <f>VLOOKUP(C955,技能辅助查询表,技能配置辅助表!$U$1,FALSE)</f>
        <v>4</v>
      </c>
      <c r="AF955">
        <f t="shared" ca="1" si="416"/>
        <v>9224335</v>
      </c>
      <c r="AG955">
        <f t="shared" ca="1" si="420"/>
        <v>58.571428571428569</v>
      </c>
      <c r="AH955">
        <f t="shared" ca="1" si="417"/>
        <v>1085.689417982368</v>
      </c>
      <c r="AI955">
        <f ca="1">VLOOKUP(E955,伤害参考系!$C$4:$E$104,3,FALSE)*$AN$12</f>
        <v>9830.2522650501687</v>
      </c>
      <c r="AJ955">
        <f>VLOOKUP(C955,技能辅助查询表,技能配置辅助表!$L$1,FALSE)</f>
        <v>1</v>
      </c>
      <c r="AK955">
        <f>VLOOKUP(C955,技能辅助查询表,技能配置辅助表!$AE$1,FALSE)</f>
        <v>66000388</v>
      </c>
    </row>
    <row r="956" spans="1:37" x14ac:dyDescent="0.15">
      <c r="A956" s="1">
        <f t="shared" ca="1" si="409"/>
        <v>9224336</v>
      </c>
      <c r="B956" s="1" t="str">
        <f t="shared" ca="1" si="394"/>
        <v>幻影脚第3段</v>
      </c>
      <c r="C956" t="s">
        <v>169</v>
      </c>
      <c r="D956">
        <f t="shared" si="395"/>
        <v>2</v>
      </c>
      <c r="E956" s="42">
        <f t="shared" ca="1" si="410"/>
        <v>60</v>
      </c>
      <c r="F956" t="str">
        <f t="shared" ca="1" si="411"/>
        <v>第36级，共造成195.1%点伤害</v>
      </c>
      <c r="G956">
        <f t="shared" ca="1" si="412"/>
        <v>3</v>
      </c>
      <c r="H956">
        <f t="shared" si="396"/>
        <v>3</v>
      </c>
      <c r="I956" s="44">
        <f t="shared" ca="1" si="421"/>
        <v>36</v>
      </c>
      <c r="J956">
        <f t="shared" si="397"/>
        <v>2</v>
      </c>
      <c r="K956" s="36">
        <f t="shared" ca="1" si="398"/>
        <v>195.13043478260869</v>
      </c>
      <c r="L956" s="10">
        <f ca="1">AH956*VLOOKUP(C956,技能辅助查询表,技能配置辅助表!$T$1,FALSE)</f>
        <v>0</v>
      </c>
      <c r="M956">
        <f t="shared" ca="1" si="399"/>
        <v>5120</v>
      </c>
      <c r="N956" s="33">
        <f ca="1">CHOOSE(1,W956*U956,X956*'[1]0、经济设定'!$C$18)</f>
        <v>87246</v>
      </c>
      <c r="O956">
        <f t="shared" si="400"/>
        <v>4</v>
      </c>
      <c r="P956">
        <f t="shared" si="401"/>
        <v>1</v>
      </c>
      <c r="Q956">
        <f t="shared" si="402"/>
        <v>1</v>
      </c>
      <c r="R956" s="2">
        <f t="shared" si="403"/>
        <v>10</v>
      </c>
      <c r="S956" s="2">
        <f t="shared" si="404"/>
        <v>50</v>
      </c>
      <c r="T956" s="2">
        <f t="shared" si="405"/>
        <v>143.47826086956522</v>
      </c>
      <c r="U956" s="2">
        <f ca="1">VLOOKUP(E956,金币生产率!$A$2:$B$120,2,0)</f>
        <v>2358</v>
      </c>
      <c r="V956" s="2">
        <f t="shared" si="406"/>
        <v>143.47826086956522</v>
      </c>
      <c r="W956" s="45">
        <f t="shared" ca="1" si="418"/>
        <v>37</v>
      </c>
      <c r="X956" s="48">
        <f t="shared" ca="1" si="419"/>
        <v>514</v>
      </c>
      <c r="Y956">
        <f t="shared" si="407"/>
        <v>18</v>
      </c>
      <c r="Z956">
        <f t="shared" ca="1" si="413"/>
        <v>15</v>
      </c>
      <c r="AA956" t="str">
        <f t="shared" ca="1" si="414"/>
        <v>9224300.png</v>
      </c>
      <c r="AB956">
        <f t="shared" si="408"/>
        <v>20</v>
      </c>
      <c r="AC956">
        <f>VLOOKUP(C956,技能辅助查询表,技能配置辅助表!$W$1,FALSE)</f>
        <v>35</v>
      </c>
      <c r="AD956">
        <f t="shared" ca="1" si="415"/>
        <v>235.17062667918475</v>
      </c>
      <c r="AE956">
        <f>VLOOKUP(C956,技能辅助查询表,技能配置辅助表!$U$1,FALSE)</f>
        <v>4</v>
      </c>
      <c r="AF956">
        <f t="shared" ca="1" si="416"/>
        <v>9224336</v>
      </c>
      <c r="AG956">
        <f t="shared" ca="1" si="420"/>
        <v>60</v>
      </c>
      <c r="AH956">
        <f t="shared" ca="1" si="417"/>
        <v>1236.0430561291703</v>
      </c>
      <c r="AI956">
        <f ca="1">VLOOKUP(E956,伤害参考系!$C$4:$E$104,3,FALSE)*$AN$12</f>
        <v>10340.558729096994</v>
      </c>
      <c r="AJ956">
        <f>VLOOKUP(C956,技能辅助查询表,技能配置辅助表!$L$1,FALSE)</f>
        <v>1</v>
      </c>
      <c r="AK956">
        <f>VLOOKUP(C956,技能辅助查询表,技能配置辅助表!$AE$1,FALSE)</f>
        <v>66000388</v>
      </c>
    </row>
    <row r="957" spans="1:37" x14ac:dyDescent="0.15">
      <c r="A957" s="1">
        <f t="shared" ca="1" si="409"/>
        <v>9224337</v>
      </c>
      <c r="B957" s="1" t="str">
        <f t="shared" ca="1" si="394"/>
        <v>幻影脚第3段</v>
      </c>
      <c r="C957" t="s">
        <v>169</v>
      </c>
      <c r="D957">
        <f t="shared" si="395"/>
        <v>2</v>
      </c>
      <c r="E957" s="42">
        <f t="shared" ca="1" si="410"/>
        <v>62</v>
      </c>
      <c r="F957" t="str">
        <f t="shared" ca="1" si="411"/>
        <v>第37级，共造成196.6%点伤害</v>
      </c>
      <c r="G957">
        <f t="shared" ca="1" si="412"/>
        <v>3</v>
      </c>
      <c r="H957">
        <f t="shared" si="396"/>
        <v>3</v>
      </c>
      <c r="I957" s="44">
        <f t="shared" ca="1" si="421"/>
        <v>37</v>
      </c>
      <c r="J957">
        <f t="shared" si="397"/>
        <v>2</v>
      </c>
      <c r="K957" s="36">
        <f t="shared" ca="1" si="398"/>
        <v>196.56521739130434</v>
      </c>
      <c r="L957" s="10">
        <f ca="1">AH957*VLOOKUP(C957,技能辅助查询表,技能配置辅助表!$T$1,FALSE)</f>
        <v>0</v>
      </c>
      <c r="M957">
        <f t="shared" ca="1" si="399"/>
        <v>5040</v>
      </c>
      <c r="N957" s="33">
        <f ca="1">CHOOSE(1,W957*U957,X957*'[1]0、经济设定'!$C$18)</f>
        <v>98436</v>
      </c>
      <c r="O957">
        <f t="shared" si="400"/>
        <v>4</v>
      </c>
      <c r="P957">
        <f t="shared" si="401"/>
        <v>1</v>
      </c>
      <c r="Q957">
        <f t="shared" si="402"/>
        <v>1</v>
      </c>
      <c r="R957" s="2">
        <f t="shared" si="403"/>
        <v>10</v>
      </c>
      <c r="S957" s="2">
        <f t="shared" si="404"/>
        <v>50</v>
      </c>
      <c r="T957" s="2">
        <f t="shared" si="405"/>
        <v>143.47826086956522</v>
      </c>
      <c r="U957" s="2">
        <f ca="1">VLOOKUP(E957,金币生产率!$A$2:$B$120,2,0)</f>
        <v>2524</v>
      </c>
      <c r="V957" s="2">
        <f t="shared" si="406"/>
        <v>143.47826086956522</v>
      </c>
      <c r="W957" s="45">
        <f t="shared" ca="1" si="418"/>
        <v>39</v>
      </c>
      <c r="X957" s="48">
        <f t="shared" ca="1" si="419"/>
        <v>553</v>
      </c>
      <c r="Y957">
        <f t="shared" si="407"/>
        <v>18</v>
      </c>
      <c r="Z957">
        <f t="shared" ca="1" si="413"/>
        <v>16</v>
      </c>
      <c r="AA957" t="str">
        <f t="shared" ca="1" si="414"/>
        <v>9224300.png</v>
      </c>
      <c r="AB957">
        <f t="shared" si="408"/>
        <v>20</v>
      </c>
      <c r="AC957">
        <f>VLOOKUP(C957,技能辅助查询表,技能配置辅助表!$W$1,FALSE)</f>
        <v>35</v>
      </c>
      <c r="AD957">
        <f t="shared" ca="1" si="415"/>
        <v>271.77675673750724</v>
      </c>
      <c r="AE957">
        <f>VLOOKUP(C957,技能辅助查询表,技能配置辅助表!$U$1,FALSE)</f>
        <v>4</v>
      </c>
      <c r="AF957">
        <f t="shared" ca="1" si="416"/>
        <v>9224337</v>
      </c>
      <c r="AG957">
        <f t="shared" ca="1" si="420"/>
        <v>61.428571428571431</v>
      </c>
      <c r="AH957">
        <f t="shared" ca="1" si="417"/>
        <v>1407.2186863941167</v>
      </c>
      <c r="AI957">
        <f ca="1">VLOOKUP(E957,伤害参考系!$C$4:$E$104,3,FALSE)*$AN$12</f>
        <v>11398.657545150505</v>
      </c>
      <c r="AJ957">
        <f>VLOOKUP(C957,技能辅助查询表,技能配置辅助表!$L$1,FALSE)</f>
        <v>1</v>
      </c>
      <c r="AK957">
        <f>VLOOKUP(C957,技能辅助查询表,技能配置辅助表!$AE$1,FALSE)</f>
        <v>66000388</v>
      </c>
    </row>
    <row r="958" spans="1:37" x14ac:dyDescent="0.15">
      <c r="A958" s="1">
        <f t="shared" ca="1" si="409"/>
        <v>9224338</v>
      </c>
      <c r="B958" s="1" t="str">
        <f t="shared" ca="1" si="394"/>
        <v>幻影脚第3段</v>
      </c>
      <c r="C958" t="s">
        <v>169</v>
      </c>
      <c r="D958">
        <f t="shared" si="395"/>
        <v>2</v>
      </c>
      <c r="E958" s="42">
        <f t="shared" ca="1" si="410"/>
        <v>63</v>
      </c>
      <c r="F958" t="str">
        <f t="shared" ca="1" si="411"/>
        <v>第38级，共造成198%点伤害</v>
      </c>
      <c r="G958">
        <f t="shared" ca="1" si="412"/>
        <v>3</v>
      </c>
      <c r="H958">
        <f t="shared" si="396"/>
        <v>3</v>
      </c>
      <c r="I958" s="44">
        <f t="shared" ca="1" si="421"/>
        <v>38</v>
      </c>
      <c r="J958">
        <f t="shared" si="397"/>
        <v>2</v>
      </c>
      <c r="K958" s="36">
        <f t="shared" ca="1" si="398"/>
        <v>198</v>
      </c>
      <c r="L958" s="10">
        <f ca="1">AH958*VLOOKUP(C958,技能辅助查询表,技能配置辅助表!$T$1,FALSE)</f>
        <v>0</v>
      </c>
      <c r="M958">
        <f t="shared" ca="1" si="399"/>
        <v>4960</v>
      </c>
      <c r="N958" s="33">
        <f ca="1">CHOOSE(1,W958*U958,X958*'[1]0、经济设定'!$C$18)</f>
        <v>109578</v>
      </c>
      <c r="O958">
        <f t="shared" si="400"/>
        <v>4</v>
      </c>
      <c r="P958">
        <f t="shared" si="401"/>
        <v>1</v>
      </c>
      <c r="Q958">
        <f t="shared" si="402"/>
        <v>1</v>
      </c>
      <c r="R958" s="2">
        <f t="shared" si="403"/>
        <v>10</v>
      </c>
      <c r="S958" s="2">
        <f t="shared" si="404"/>
        <v>50</v>
      </c>
      <c r="T958" s="2">
        <f t="shared" si="405"/>
        <v>143.47826086956522</v>
      </c>
      <c r="U958" s="2">
        <f ca="1">VLOOKUP(E958,金币生产率!$A$2:$B$120,2,0)</f>
        <v>2609</v>
      </c>
      <c r="V958" s="2">
        <f t="shared" si="406"/>
        <v>143.47826086956522</v>
      </c>
      <c r="W958" s="45">
        <f t="shared" ca="1" si="418"/>
        <v>42</v>
      </c>
      <c r="X958" s="48">
        <f t="shared" ca="1" si="419"/>
        <v>595</v>
      </c>
      <c r="Y958">
        <f t="shared" si="407"/>
        <v>18</v>
      </c>
      <c r="Z958">
        <f t="shared" ca="1" si="413"/>
        <v>17</v>
      </c>
      <c r="AA958" t="str">
        <f t="shared" ca="1" si="414"/>
        <v>9224300.png</v>
      </c>
      <c r="AB958">
        <f t="shared" si="408"/>
        <v>20</v>
      </c>
      <c r="AC958">
        <f>VLOOKUP(C958,技能辅助查询表,技能配置辅助表!$W$1,FALSE)</f>
        <v>35</v>
      </c>
      <c r="AD958">
        <f t="shared" ca="1" si="415"/>
        <v>314.01157639078895</v>
      </c>
      <c r="AE958">
        <f>VLOOKUP(C958,技能辅助查询表,技能配置辅助表!$U$1,FALSE)</f>
        <v>4</v>
      </c>
      <c r="AF958">
        <f t="shared" ca="1" si="416"/>
        <v>9224338</v>
      </c>
      <c r="AG958">
        <f t="shared" ca="1" si="420"/>
        <v>62.857142857142854</v>
      </c>
      <c r="AH958">
        <f t="shared" ca="1" si="417"/>
        <v>1602.0998795448415</v>
      </c>
      <c r="AI958">
        <f ca="1">VLOOKUP(E958,伤害参考系!$C$4:$E$104,3,FALSE)*$AN$12</f>
        <v>11946.449897157196</v>
      </c>
      <c r="AJ958">
        <f>VLOOKUP(C958,技能辅助查询表,技能配置辅助表!$L$1,FALSE)</f>
        <v>1</v>
      </c>
      <c r="AK958">
        <f>VLOOKUP(C958,技能辅助查询表,技能配置辅助表!$AE$1,FALSE)</f>
        <v>66000388</v>
      </c>
    </row>
    <row r="959" spans="1:37" x14ac:dyDescent="0.15">
      <c r="A959" s="1">
        <f t="shared" ca="1" si="409"/>
        <v>9224339</v>
      </c>
      <c r="B959" s="1" t="str">
        <f t="shared" ca="1" si="394"/>
        <v>幻影脚第3段</v>
      </c>
      <c r="C959" t="s">
        <v>169</v>
      </c>
      <c r="D959">
        <f t="shared" si="395"/>
        <v>2</v>
      </c>
      <c r="E959" s="42">
        <f t="shared" ca="1" si="410"/>
        <v>65</v>
      </c>
      <c r="F959" t="str">
        <f t="shared" ca="1" si="411"/>
        <v>第39级，共造成199.4%点伤害</v>
      </c>
      <c r="G959">
        <f t="shared" ca="1" si="412"/>
        <v>3</v>
      </c>
      <c r="H959">
        <f t="shared" si="396"/>
        <v>3</v>
      </c>
      <c r="I959" s="44">
        <f t="shared" ca="1" si="421"/>
        <v>39</v>
      </c>
      <c r="J959">
        <f t="shared" si="397"/>
        <v>2</v>
      </c>
      <c r="K959" s="36">
        <f t="shared" ca="1" si="398"/>
        <v>199.43478260869566</v>
      </c>
      <c r="L959" s="10">
        <f ca="1">AH959*VLOOKUP(C959,技能辅助查询表,技能配置辅助表!$T$1,FALSE)</f>
        <v>0</v>
      </c>
      <c r="M959">
        <f t="shared" ca="1" si="399"/>
        <v>4880</v>
      </c>
      <c r="N959" s="33">
        <f ca="1">CHOOSE(1,W959*U959,X959*'[1]0、经济设定'!$C$18)</f>
        <v>125235</v>
      </c>
      <c r="O959">
        <f t="shared" si="400"/>
        <v>4</v>
      </c>
      <c r="P959">
        <f t="shared" si="401"/>
        <v>1</v>
      </c>
      <c r="Q959">
        <f t="shared" si="402"/>
        <v>1</v>
      </c>
      <c r="R959" s="2">
        <f t="shared" si="403"/>
        <v>10</v>
      </c>
      <c r="S959" s="2">
        <f t="shared" si="404"/>
        <v>50</v>
      </c>
      <c r="T959" s="2">
        <f t="shared" si="405"/>
        <v>143.47826086956522</v>
      </c>
      <c r="U959" s="2">
        <f ca="1">VLOOKUP(E959,金币生产率!$A$2:$B$120,2,0)</f>
        <v>2783</v>
      </c>
      <c r="V959" s="2">
        <f t="shared" si="406"/>
        <v>143.47826086956522</v>
      </c>
      <c r="W959" s="45">
        <f t="shared" ca="1" si="418"/>
        <v>45</v>
      </c>
      <c r="X959" s="48">
        <f t="shared" ca="1" si="419"/>
        <v>640</v>
      </c>
      <c r="Y959">
        <f t="shared" si="407"/>
        <v>18</v>
      </c>
      <c r="Z959">
        <f t="shared" ca="1" si="413"/>
        <v>18</v>
      </c>
      <c r="AA959" t="str">
        <f t="shared" ca="1" si="414"/>
        <v>9224300.png</v>
      </c>
      <c r="AB959">
        <f t="shared" si="408"/>
        <v>20</v>
      </c>
      <c r="AC959">
        <f>VLOOKUP(C959,技能辅助查询表,技能配置辅助表!$W$1,FALSE)</f>
        <v>35</v>
      </c>
      <c r="AD959">
        <f t="shared" ca="1" si="415"/>
        <v>362.73202994579259</v>
      </c>
      <c r="AE959">
        <f>VLOOKUP(C959,技能辅助查询表,技能配置辅助表!$U$1,FALSE)</f>
        <v>4</v>
      </c>
      <c r="AF959">
        <f t="shared" ca="1" si="416"/>
        <v>9224339</v>
      </c>
      <c r="AG959">
        <f t="shared" ca="1" si="420"/>
        <v>64.285714285714278</v>
      </c>
      <c r="AH959">
        <f t="shared" ca="1" si="417"/>
        <v>1823.9695427969455</v>
      </c>
      <c r="AI959">
        <f ca="1">VLOOKUP(E959,伤害参考系!$C$4:$E$104,3,FALSE)*$AN$12</f>
        <v>13079.520489130437</v>
      </c>
      <c r="AJ959">
        <f>VLOOKUP(C959,技能辅助查询表,技能配置辅助表!$L$1,FALSE)</f>
        <v>1</v>
      </c>
      <c r="AK959">
        <f>VLOOKUP(C959,技能辅助查询表,技能配置辅助表!$AE$1,FALSE)</f>
        <v>66000388</v>
      </c>
    </row>
    <row r="960" spans="1:37" x14ac:dyDescent="0.15">
      <c r="A960" s="1">
        <f t="shared" ca="1" si="409"/>
        <v>9224340</v>
      </c>
      <c r="B960" s="1" t="str">
        <f t="shared" ca="1" si="394"/>
        <v>幻影脚第3段</v>
      </c>
      <c r="C960" t="s">
        <v>169</v>
      </c>
      <c r="D960">
        <f t="shared" si="395"/>
        <v>2</v>
      </c>
      <c r="E960" s="42">
        <f t="shared" ca="1" si="410"/>
        <v>66</v>
      </c>
      <c r="F960" t="str">
        <f t="shared" ca="1" si="411"/>
        <v>第40级，共造成200.9%点伤害</v>
      </c>
      <c r="G960">
        <f t="shared" ca="1" si="412"/>
        <v>3</v>
      </c>
      <c r="H960">
        <f t="shared" si="396"/>
        <v>3</v>
      </c>
      <c r="I960" s="44">
        <f t="shared" ca="1" si="421"/>
        <v>40</v>
      </c>
      <c r="J960">
        <f t="shared" si="397"/>
        <v>2</v>
      </c>
      <c r="K960" s="36">
        <f t="shared" ca="1" si="398"/>
        <v>200.86956521739131</v>
      </c>
      <c r="L960" s="10">
        <f ca="1">AH960*VLOOKUP(C960,技能辅助查询表,技能配置辅助表!$T$1,FALSE)</f>
        <v>0</v>
      </c>
      <c r="M960">
        <f t="shared" ca="1" si="399"/>
        <v>4800</v>
      </c>
      <c r="N960" s="33">
        <f ca="1">CHOOSE(1,W960*U960,X960*'[1]0、经济设定'!$C$18)</f>
        <v>137856</v>
      </c>
      <c r="O960">
        <f t="shared" si="400"/>
        <v>4</v>
      </c>
      <c r="P960">
        <f t="shared" si="401"/>
        <v>1</v>
      </c>
      <c r="Q960">
        <f t="shared" si="402"/>
        <v>1</v>
      </c>
      <c r="R960" s="2">
        <f t="shared" si="403"/>
        <v>10</v>
      </c>
      <c r="S960" s="2">
        <f t="shared" si="404"/>
        <v>50</v>
      </c>
      <c r="T960" s="2">
        <f t="shared" si="405"/>
        <v>143.47826086956522</v>
      </c>
      <c r="U960" s="2">
        <f ca="1">VLOOKUP(E960,金币生产率!$A$2:$B$120,2,0)</f>
        <v>2872</v>
      </c>
      <c r="V960" s="2">
        <f t="shared" si="406"/>
        <v>143.47826086956522</v>
      </c>
      <c r="W960" s="45">
        <f t="shared" ca="1" si="418"/>
        <v>48</v>
      </c>
      <c r="X960" s="48">
        <f t="shared" ca="1" si="419"/>
        <v>688</v>
      </c>
      <c r="Y960">
        <f t="shared" si="407"/>
        <v>18</v>
      </c>
      <c r="Z960">
        <f t="shared" ca="1" si="413"/>
        <v>20</v>
      </c>
      <c r="AA960" t="str">
        <f t="shared" ca="1" si="414"/>
        <v>9224300.png</v>
      </c>
      <c r="AB960">
        <f t="shared" si="408"/>
        <v>20</v>
      </c>
      <c r="AC960">
        <f>VLOOKUP(C960,技能辅助查询表,技能配置辅助表!$W$1,FALSE)</f>
        <v>35</v>
      </c>
      <c r="AD960">
        <f t="shared" ca="1" si="415"/>
        <v>418.92446230554117</v>
      </c>
      <c r="AE960">
        <f>VLOOKUP(C960,技能辅助查询表,技能配置辅助表!$U$1,FALSE)</f>
        <v>4</v>
      </c>
      <c r="AF960">
        <f t="shared" ca="1" si="416"/>
        <v>9224340</v>
      </c>
      <c r="AG960">
        <f t="shared" ca="1" si="420"/>
        <v>65.714285714285722</v>
      </c>
      <c r="AH960">
        <f t="shared" ca="1" si="417"/>
        <v>2076.5652226352254</v>
      </c>
      <c r="AI960">
        <f ca="1">VLOOKUP(E960,伤害参考系!$C$4:$E$104,3,FALSE)*$AN$12</f>
        <v>13664.798729096996</v>
      </c>
      <c r="AJ960">
        <f>VLOOKUP(C960,技能辅助查询表,技能配置辅助表!$L$1,FALSE)</f>
        <v>1</v>
      </c>
      <c r="AK960">
        <f>VLOOKUP(C960,技能辅助查询表,技能配置辅助表!$AE$1,FALSE)</f>
        <v>66000388</v>
      </c>
    </row>
    <row r="961" spans="1:37" x14ac:dyDescent="0.15">
      <c r="A961" s="1">
        <f t="shared" ca="1" si="409"/>
        <v>9224341</v>
      </c>
      <c r="B961" s="1" t="str">
        <f t="shared" ca="1" si="394"/>
        <v>幻影脚第3段</v>
      </c>
      <c r="C961" t="s">
        <v>169</v>
      </c>
      <c r="D961">
        <f t="shared" si="395"/>
        <v>2</v>
      </c>
      <c r="E961" s="42">
        <f t="shared" ca="1" si="410"/>
        <v>67</v>
      </c>
      <c r="F961" t="str">
        <f t="shared" ca="1" si="411"/>
        <v>第41级，共造成202.3%点伤害</v>
      </c>
      <c r="G961">
        <f t="shared" ca="1" si="412"/>
        <v>3</v>
      </c>
      <c r="H961">
        <f t="shared" si="396"/>
        <v>3</v>
      </c>
      <c r="I961" s="44">
        <f t="shared" ca="1" si="421"/>
        <v>41</v>
      </c>
      <c r="J961">
        <f t="shared" si="397"/>
        <v>2</v>
      </c>
      <c r="K961" s="36">
        <f t="shared" ca="1" si="398"/>
        <v>202.30434782608694</v>
      </c>
      <c r="L961" s="10">
        <f ca="1">AH961*VLOOKUP(C961,技能辅助查询表,技能配置辅助表!$T$1,FALSE)</f>
        <v>0</v>
      </c>
      <c r="M961">
        <f t="shared" ca="1" si="399"/>
        <v>4720</v>
      </c>
      <c r="N961" s="33">
        <f ca="1">CHOOSE(1,W961*U961,X961*'[1]0、经济设定'!$C$18)</f>
        <v>151113</v>
      </c>
      <c r="O961">
        <f t="shared" si="400"/>
        <v>4</v>
      </c>
      <c r="P961">
        <f t="shared" si="401"/>
        <v>1</v>
      </c>
      <c r="Q961">
        <f t="shared" si="402"/>
        <v>1</v>
      </c>
      <c r="R961" s="2">
        <f t="shared" si="403"/>
        <v>10</v>
      </c>
      <c r="S961" s="2">
        <f t="shared" si="404"/>
        <v>50</v>
      </c>
      <c r="T961" s="2">
        <f t="shared" si="405"/>
        <v>143.47826086956522</v>
      </c>
      <c r="U961" s="2">
        <f ca="1">VLOOKUP(E961,金币生产率!$A$2:$B$120,2,0)</f>
        <v>2963</v>
      </c>
      <c r="V961" s="2">
        <f t="shared" si="406"/>
        <v>143.47826086956522</v>
      </c>
      <c r="W961" s="45">
        <f t="shared" ca="1" si="418"/>
        <v>51</v>
      </c>
      <c r="X961" s="48">
        <f t="shared" ca="1" si="419"/>
        <v>739</v>
      </c>
      <c r="Y961">
        <f t="shared" si="407"/>
        <v>18</v>
      </c>
      <c r="Z961">
        <f t="shared" ca="1" si="413"/>
        <v>21</v>
      </c>
      <c r="AA961" t="str">
        <f t="shared" ca="1" si="414"/>
        <v>9224300.png</v>
      </c>
      <c r="AB961">
        <f t="shared" si="408"/>
        <v>20</v>
      </c>
      <c r="AC961">
        <f>VLOOKUP(C961,技能辅助查询表,技能配置辅助表!$W$1,FALSE)</f>
        <v>35</v>
      </c>
      <c r="AD961">
        <f t="shared" ca="1" si="415"/>
        <v>483.72402453125903</v>
      </c>
      <c r="AE961">
        <f>VLOOKUP(C961,技能辅助查询表,技能配置辅助表!$U$1,FALSE)</f>
        <v>4</v>
      </c>
      <c r="AF961">
        <f t="shared" ca="1" si="416"/>
        <v>9224341</v>
      </c>
      <c r="AG961">
        <f t="shared" ca="1" si="420"/>
        <v>67.142857142857139</v>
      </c>
      <c r="AH961">
        <f t="shared" ca="1" si="417"/>
        <v>2364.1420663448707</v>
      </c>
      <c r="AI961">
        <f ca="1">VLOOKUP(E961,伤害参考系!$C$4:$E$104,3,FALSE)*$AN$12</f>
        <v>14262.572265050176</v>
      </c>
      <c r="AJ961">
        <f>VLOOKUP(C961,技能辅助查询表,技能配置辅助表!$L$1,FALSE)</f>
        <v>1</v>
      </c>
      <c r="AK961">
        <f>VLOOKUP(C961,技能辅助查询表,技能配置辅助表!$AE$1,FALSE)</f>
        <v>66000388</v>
      </c>
    </row>
    <row r="962" spans="1:37" x14ac:dyDescent="0.15">
      <c r="A962" s="1">
        <f t="shared" ca="1" si="409"/>
        <v>9224342</v>
      </c>
      <c r="B962" s="1" t="str">
        <f t="shared" ref="B962:B978" ca="1" si="422">IF(AND(G962=0,AE962=4),LEFT(C962,LEN(C962)-3),C962)</f>
        <v>幻影脚第3段</v>
      </c>
      <c r="C962" t="s">
        <v>169</v>
      </c>
      <c r="D962">
        <f t="shared" ref="D962:D978" si="423">VLOOKUP(C962,技能辅助查询表,3,FALSE)</f>
        <v>2</v>
      </c>
      <c r="E962" s="42">
        <f t="shared" ca="1" si="410"/>
        <v>69</v>
      </c>
      <c r="F962" t="str">
        <f t="shared" ca="1" si="411"/>
        <v>第42级，共造成203.7%点伤害</v>
      </c>
      <c r="G962">
        <f t="shared" ca="1" si="412"/>
        <v>3</v>
      </c>
      <c r="H962">
        <f t="shared" ref="H962:H978" si="424">VLOOKUP(C962,技能辅助查询表,2,FALSE)</f>
        <v>3</v>
      </c>
      <c r="I962" s="44">
        <f t="shared" ca="1" si="421"/>
        <v>42</v>
      </c>
      <c r="J962">
        <f t="shared" ref="J962:J978" si="425">VLOOKUP(C962,技能辅助查询表,4,FALSE)</f>
        <v>2</v>
      </c>
      <c r="K962" s="36">
        <f t="shared" ref="K962:K978" ca="1" si="426">IF(OR(I962=0,I962=1),T962,T962+T962*($AN$6-1)/S962*I962)</f>
        <v>203.73913043478262</v>
      </c>
      <c r="L962" s="10">
        <f ca="1">AH962*VLOOKUP(C962,技能辅助查询表,技能配置辅助表!$T$1,FALSE)</f>
        <v>0</v>
      </c>
      <c r="M962">
        <f t="shared" ref="M962:M1025" ca="1" si="427">IF(OR(I962=0,I962=1),VLOOKUP(C962,技能辅助查询表,14,FALSE),VLOOKUP(C962,技能辅助查询表,14,FALSE)-VLOOKUP(C962,技能辅助查询表,14,FALSE)*0.5/S962*I962)</f>
        <v>4640</v>
      </c>
      <c r="N962" s="33">
        <f ca="1">CHOOSE(1,W962*U962,X962*'[1]0、经济设定'!$C$18)</f>
        <v>173085</v>
      </c>
      <c r="O962">
        <f t="shared" ref="O962:O978" si="428">VLOOKUP(C962,技能辅助查询表,5,FALSE)</f>
        <v>4</v>
      </c>
      <c r="P962">
        <f t="shared" ref="P962:P978" si="429">VLOOKUP(C962,技能辅助查询表,6,FALSE)</f>
        <v>1</v>
      </c>
      <c r="Q962">
        <f t="shared" ref="Q962:Q978" si="430">VLOOKUP(C962,技能辅助查询表,7,FALSE)</f>
        <v>1</v>
      </c>
      <c r="R962" s="2">
        <f t="shared" ref="R962:R978" si="431">VLOOKUP(C962,技能辅助查询表,9,FALSE)</f>
        <v>10</v>
      </c>
      <c r="S962" s="2">
        <f t="shared" ref="S962:S978" si="432">VLOOKUP(C962,技能辅助查询表,8,FALSE)</f>
        <v>50</v>
      </c>
      <c r="T962" s="2">
        <f t="shared" ref="T962:T978" si="433">VLOOKUP(C962,技能辅助查询表,11,FALSE)</f>
        <v>143.47826086956522</v>
      </c>
      <c r="U962" s="2">
        <f ca="1">VLOOKUP(E962,金币生产率!$A$2:$B$120,2,0)</f>
        <v>3147</v>
      </c>
      <c r="V962" s="2">
        <f t="shared" ref="V962:V978" si="434">VLOOKUP(C962,技能辅助查询表,12,FALSE)</f>
        <v>143.47826086956522</v>
      </c>
      <c r="W962" s="45">
        <f t="shared" ca="1" si="418"/>
        <v>55</v>
      </c>
      <c r="X962" s="48">
        <f t="shared" ca="1" si="419"/>
        <v>794</v>
      </c>
      <c r="Y962">
        <f t="shared" ref="Y962:Y1025" si="435">VLOOKUP(C962,技能辅助查询表,15,FALSE)</f>
        <v>18</v>
      </c>
      <c r="Z962">
        <f t="shared" ca="1" si="413"/>
        <v>22</v>
      </c>
      <c r="AA962" t="str">
        <f t="shared" ca="1" si="414"/>
        <v>9224300.png</v>
      </c>
      <c r="AB962">
        <f t="shared" ref="AB962:AB978" si="436">VLOOKUP(C962,技能辅助查询表,17,FALSE)</f>
        <v>20</v>
      </c>
      <c r="AC962">
        <f>VLOOKUP(C962,技能辅助查询表,技能配置辅助表!$W$1,FALSE)</f>
        <v>35</v>
      </c>
      <c r="AD962">
        <f t="shared" ca="1" si="415"/>
        <v>558.43697251115759</v>
      </c>
      <c r="AE962">
        <f>VLOOKUP(C962,技能辅助查询表,技能配置辅助表!$U$1,FALSE)</f>
        <v>4</v>
      </c>
      <c r="AF962">
        <f t="shared" ca="1" si="416"/>
        <v>9224342</v>
      </c>
      <c r="AG962">
        <f t="shared" ca="1" si="420"/>
        <v>68.571428571428569</v>
      </c>
      <c r="AH962">
        <f t="shared" ca="1" si="417"/>
        <v>2691.5445028827789</v>
      </c>
      <c r="AI962">
        <f ca="1">VLOOKUP(E962,伤害参考系!$C$4:$E$104,3,FALSE)*$AN$12</f>
        <v>15495.605224916402</v>
      </c>
      <c r="AJ962">
        <f>VLOOKUP(C962,技能辅助查询表,技能配置辅助表!$L$1,FALSE)</f>
        <v>1</v>
      </c>
      <c r="AK962">
        <f>VLOOKUP(C962,技能辅助查询表,技能配置辅助表!$AE$1,FALSE)</f>
        <v>66000388</v>
      </c>
    </row>
    <row r="963" spans="1:37" x14ac:dyDescent="0.15">
      <c r="A963" s="1">
        <f t="shared" ref="A963:A978" ca="1" si="437">IF(I963=0,IF(H963=1,VALUE("9"&amp;D963&amp;J963&amp;O963&amp;G963&amp;IF(I963&gt;9,I963,"0"&amp;I963)),1),VALUE("9"&amp;D963&amp;J963&amp;O963&amp;G963&amp;IF(I963&gt;9,I963,"0"&amp;I963)))</f>
        <v>9224343</v>
      </c>
      <c r="B963" s="1" t="str">
        <f t="shared" ca="1" si="422"/>
        <v>幻影脚第3段</v>
      </c>
      <c r="C963" t="s">
        <v>169</v>
      </c>
      <c r="D963">
        <f t="shared" si="423"/>
        <v>2</v>
      </c>
      <c r="E963" s="42">
        <f t="shared" ref="E963:E1026" ca="1" si="438">IF(I963=0,E964,IF(AND(I963=1,G963&gt;1),OFFSET(E963,(1-G963)*51,0),IF(OR(I963=1,AND(I963=2,R963=2)),R963,IF(I963=0,0,ROUND(I963*(80-R963)/S963,0)+R963))))</f>
        <v>70</v>
      </c>
      <c r="F963" t="str">
        <f t="shared" ref="F963:F1026" ca="1" si="439">"第"&amp;I963&amp;"级，共造成"&amp;ROUND(AJ963*K963,1)&amp;"%点伤害"</f>
        <v>第43级，共造成205.2%点伤害</v>
      </c>
      <c r="G963">
        <f t="shared" ref="G963:G978" ca="1" si="440">IF(I963=0,0,H963)</f>
        <v>3</v>
      </c>
      <c r="H963">
        <f t="shared" si="424"/>
        <v>3</v>
      </c>
      <c r="I963" s="44">
        <f t="shared" ca="1" si="421"/>
        <v>43</v>
      </c>
      <c r="J963">
        <f t="shared" si="425"/>
        <v>2</v>
      </c>
      <c r="K963" s="36">
        <f t="shared" ca="1" si="426"/>
        <v>205.17391304347825</v>
      </c>
      <c r="L963" s="10">
        <f ca="1">AH963*VLOOKUP(C963,技能辅助查询表,技能配置辅助表!$T$1,FALSE)</f>
        <v>0</v>
      </c>
      <c r="M963">
        <f t="shared" ca="1" si="427"/>
        <v>4560</v>
      </c>
      <c r="N963" s="33">
        <f ca="1">CHOOSE(1,W963*U963,X963*'[1]0、经济设定'!$C$18)</f>
        <v>191278</v>
      </c>
      <c r="O963">
        <f t="shared" si="428"/>
        <v>4</v>
      </c>
      <c r="P963">
        <f t="shared" si="429"/>
        <v>1</v>
      </c>
      <c r="Q963">
        <f t="shared" si="430"/>
        <v>1</v>
      </c>
      <c r="R963" s="2">
        <f t="shared" si="431"/>
        <v>10</v>
      </c>
      <c r="S963" s="2">
        <f t="shared" si="432"/>
        <v>50</v>
      </c>
      <c r="T963" s="2">
        <f t="shared" si="433"/>
        <v>143.47826086956522</v>
      </c>
      <c r="U963" s="2">
        <f ca="1">VLOOKUP(E963,金币生产率!$A$2:$B$120,2,0)</f>
        <v>3242</v>
      </c>
      <c r="V963" s="2">
        <f t="shared" si="434"/>
        <v>143.47826086956522</v>
      </c>
      <c r="W963" s="45">
        <f t="shared" ca="1" si="418"/>
        <v>59</v>
      </c>
      <c r="X963" s="48">
        <f t="shared" ca="1" si="419"/>
        <v>853</v>
      </c>
      <c r="Y963">
        <f t="shared" si="435"/>
        <v>18</v>
      </c>
      <c r="Z963">
        <f t="shared" ref="Z963:Z1026" ca="1" si="441">IF(I963&gt;=Y963,ROUNDUP(W963/$AN$15,0),0)</f>
        <v>24</v>
      </c>
      <c r="AA963" t="str">
        <f t="shared" ref="AA963:AA978" ca="1" si="442">AF963-MOD(AF963,100)&amp;".png"</f>
        <v>9224300.png</v>
      </c>
      <c r="AB963">
        <f t="shared" si="436"/>
        <v>20</v>
      </c>
      <c r="AC963">
        <f>VLOOKUP(C963,技能辅助查询表,技能配置辅助表!$W$1,FALSE)</f>
        <v>35</v>
      </c>
      <c r="AD963">
        <f t="shared" ref="AD963:AD1026" ca="1" si="443">((AH963*K963/100+L963)*AJ963-AH963)/5</f>
        <v>644.56628787887598</v>
      </c>
      <c r="AE963">
        <f>VLOOKUP(C963,技能辅助查询表,技能配置辅助表!$U$1,FALSE)</f>
        <v>4</v>
      </c>
      <c r="AF963">
        <f t="shared" ref="AF963:AF978" ca="1" si="444">VALUE("9"&amp;D963&amp;J963&amp;O963&amp;H963&amp;IF(I963&gt;9,I963,"0"&amp;I963))</f>
        <v>9224343</v>
      </c>
      <c r="AG963">
        <f t="shared" ca="1" si="420"/>
        <v>70</v>
      </c>
      <c r="AH963">
        <f t="shared" ref="AH963:AH1026" ca="1" si="445">(19.323*EXP(I963*0.1297))*$AN$12</f>
        <v>3064.2878506023458</v>
      </c>
      <c r="AI963">
        <f ca="1">VLOOKUP(E963,伤害参考系!$C$4:$E$104,3,FALSE)*$AN$12</f>
        <v>16191.966408862889</v>
      </c>
      <c r="AJ963">
        <f>VLOOKUP(C963,技能辅助查询表,技能配置辅助表!$L$1,FALSE)</f>
        <v>1</v>
      </c>
      <c r="AK963">
        <f>VLOOKUP(C963,技能辅助查询表,技能配置辅助表!$AE$1,FALSE)</f>
        <v>66000388</v>
      </c>
    </row>
    <row r="964" spans="1:37" x14ac:dyDescent="0.15">
      <c r="A964" s="1">
        <f t="shared" ca="1" si="437"/>
        <v>9224344</v>
      </c>
      <c r="B964" s="1" t="str">
        <f t="shared" ca="1" si="422"/>
        <v>幻影脚第3段</v>
      </c>
      <c r="C964" t="s">
        <v>169</v>
      </c>
      <c r="D964">
        <f t="shared" si="423"/>
        <v>2</v>
      </c>
      <c r="E964" s="42">
        <f t="shared" ca="1" si="438"/>
        <v>72</v>
      </c>
      <c r="F964" t="str">
        <f t="shared" ca="1" si="439"/>
        <v>第44级，共造成206.6%点伤害</v>
      </c>
      <c r="G964">
        <f t="shared" ca="1" si="440"/>
        <v>3</v>
      </c>
      <c r="H964">
        <f t="shared" si="424"/>
        <v>3</v>
      </c>
      <c r="I964" s="44">
        <f t="shared" ca="1" si="421"/>
        <v>44</v>
      </c>
      <c r="J964">
        <f t="shared" si="425"/>
        <v>2</v>
      </c>
      <c r="K964" s="36">
        <f t="shared" ca="1" si="426"/>
        <v>206.60869565217391</v>
      </c>
      <c r="L964" s="10">
        <f ca="1">AH964*VLOOKUP(C964,技能辅助查询表,技能配置辅助表!$T$1,FALSE)</f>
        <v>0</v>
      </c>
      <c r="M964">
        <f t="shared" ca="1" si="427"/>
        <v>4480</v>
      </c>
      <c r="N964" s="33">
        <f ca="1">CHOOSE(1,W964*U964,X964*'[1]0、经济设定'!$C$18)</f>
        <v>216405</v>
      </c>
      <c r="O964">
        <f t="shared" si="428"/>
        <v>4</v>
      </c>
      <c r="P964">
        <f t="shared" si="429"/>
        <v>1</v>
      </c>
      <c r="Q964">
        <f t="shared" si="430"/>
        <v>1</v>
      </c>
      <c r="R964" s="2">
        <f t="shared" si="431"/>
        <v>10</v>
      </c>
      <c r="S964" s="2">
        <f t="shared" si="432"/>
        <v>50</v>
      </c>
      <c r="T964" s="2">
        <f t="shared" si="433"/>
        <v>143.47826086956522</v>
      </c>
      <c r="U964" s="2">
        <f ca="1">VLOOKUP(E964,金币生产率!$A$2:$B$120,2,0)</f>
        <v>3435</v>
      </c>
      <c r="V964" s="2">
        <f t="shared" si="434"/>
        <v>143.47826086956522</v>
      </c>
      <c r="W964" s="45">
        <f t="shared" ref="W964:W1027" ca="1" si="446">ROUND((IF(I964=0,0,ROUND(OFFSET(AD964,S964-I964+510*(1-D964),0)*(1-$AN$13)/(1-$AN$13^S964)*$AN$13^(I964-1),0))+IF(I964=0,0,ROUND(OFFSET(AD964,S964-I964+510*(2-D964),0)*(1-$AN$13)/(1-$AN$13^S964)*$AN$13^(I964-1),0))+IF(I964=0,0,ROUND(OFFSET(AD964,S964-I964+510*(3-D964),0)*(1-$AN$13)/(1-$AN$13^S964)*$AN$13^(I964-1),0)))/3,0)</f>
        <v>63</v>
      </c>
      <c r="X964" s="48">
        <f t="shared" ref="X964:X1027" ca="1" si="447">IF(I964=0,0,X963+W964)</f>
        <v>916</v>
      </c>
      <c r="Y964">
        <f t="shared" si="435"/>
        <v>18</v>
      </c>
      <c r="Z964">
        <f t="shared" ca="1" si="441"/>
        <v>26</v>
      </c>
      <c r="AA964" t="str">
        <f t="shared" ca="1" si="442"/>
        <v>9224300.png</v>
      </c>
      <c r="AB964">
        <f t="shared" si="436"/>
        <v>20</v>
      </c>
      <c r="AC964">
        <f>VLOOKUP(C964,技能辅助查询表,技能配置辅助表!$W$1,FALSE)</f>
        <v>35</v>
      </c>
      <c r="AD964">
        <f t="shared" ca="1" si="443"/>
        <v>743.84111369992002</v>
      </c>
      <c r="AE964">
        <f>VLOOKUP(C964,技能辅助查询表,技能配置辅助表!$U$1,FALSE)</f>
        <v>4</v>
      </c>
      <c r="AF964">
        <f t="shared" ca="1" si="444"/>
        <v>9224344</v>
      </c>
      <c r="AG964">
        <f t="shared" ca="1" si="420"/>
        <v>71.428571428571431</v>
      </c>
      <c r="AH964">
        <f t="shared" ca="1" si="445"/>
        <v>3488.6512265697725</v>
      </c>
      <c r="AI964">
        <f ca="1">VLOOKUP(E964,伤害参考系!$C$4:$E$104,3,FALSE)*$AN$12</f>
        <v>17628.422312709041</v>
      </c>
      <c r="AJ964">
        <f>VLOOKUP(C964,技能辅助查询表,技能配置辅助表!$L$1,FALSE)</f>
        <v>1</v>
      </c>
      <c r="AK964">
        <f>VLOOKUP(C964,技能辅助查询表,技能配置辅助表!$AE$1,FALSE)</f>
        <v>66000388</v>
      </c>
    </row>
    <row r="965" spans="1:37" x14ac:dyDescent="0.15">
      <c r="A965" s="1">
        <f t="shared" ca="1" si="437"/>
        <v>9224345</v>
      </c>
      <c r="B965" s="1" t="str">
        <f t="shared" ca="1" si="422"/>
        <v>幻影脚第3段</v>
      </c>
      <c r="C965" t="s">
        <v>169</v>
      </c>
      <c r="D965">
        <f t="shared" si="423"/>
        <v>2</v>
      </c>
      <c r="E965" s="42">
        <f t="shared" ca="1" si="438"/>
        <v>73</v>
      </c>
      <c r="F965" t="str">
        <f t="shared" ca="1" si="439"/>
        <v>第45级，共造成208%点伤害</v>
      </c>
      <c r="G965">
        <f t="shared" ca="1" si="440"/>
        <v>3</v>
      </c>
      <c r="H965">
        <f t="shared" si="424"/>
        <v>3</v>
      </c>
      <c r="I965" s="44">
        <f t="shared" ca="1" si="421"/>
        <v>45</v>
      </c>
      <c r="J965">
        <f t="shared" si="425"/>
        <v>2</v>
      </c>
      <c r="K965" s="36">
        <f t="shared" ca="1" si="426"/>
        <v>208.04347826086956</v>
      </c>
      <c r="L965" s="10">
        <f ca="1">AH965*VLOOKUP(C965,技能辅助查询表,技能配置辅助表!$T$1,FALSE)</f>
        <v>0</v>
      </c>
      <c r="M965">
        <f t="shared" ca="1" si="427"/>
        <v>4400</v>
      </c>
      <c r="N965" s="33">
        <f ca="1">CHOOSE(1,W965*U965,X965*'[1]0、经济设定'!$C$18)</f>
        <v>240312</v>
      </c>
      <c r="O965">
        <f t="shared" si="428"/>
        <v>4</v>
      </c>
      <c r="P965">
        <f t="shared" si="429"/>
        <v>1</v>
      </c>
      <c r="Q965">
        <f t="shared" si="430"/>
        <v>1</v>
      </c>
      <c r="R965" s="2">
        <f t="shared" si="431"/>
        <v>10</v>
      </c>
      <c r="S965" s="2">
        <f t="shared" si="432"/>
        <v>50</v>
      </c>
      <c r="T965" s="2">
        <f t="shared" si="433"/>
        <v>143.47826086956522</v>
      </c>
      <c r="U965" s="2">
        <f ca="1">VLOOKUP(E965,金币生产率!$A$2:$B$120,2,0)</f>
        <v>3534</v>
      </c>
      <c r="V965" s="2">
        <f t="shared" si="434"/>
        <v>143.47826086956522</v>
      </c>
      <c r="W965" s="45">
        <f t="shared" ca="1" si="446"/>
        <v>68</v>
      </c>
      <c r="X965" s="48">
        <f t="shared" ca="1" si="447"/>
        <v>984</v>
      </c>
      <c r="Y965">
        <f t="shared" si="435"/>
        <v>18</v>
      </c>
      <c r="Z965">
        <f t="shared" ca="1" si="441"/>
        <v>28</v>
      </c>
      <c r="AA965" t="str">
        <f t="shared" ca="1" si="442"/>
        <v>9224300.png</v>
      </c>
      <c r="AB965">
        <f t="shared" si="436"/>
        <v>20</v>
      </c>
      <c r="AC965">
        <f>VLOOKUP(C965,技能辅助查询表,技能配置辅助表!$W$1,FALSE)</f>
        <v>35</v>
      </c>
      <c r="AD965">
        <f t="shared" ca="1" si="443"/>
        <v>858.25057014292395</v>
      </c>
      <c r="AE965">
        <f>VLOOKUP(C965,技能辅助查询表,技能配置辅助表!$U$1,FALSE)</f>
        <v>4</v>
      </c>
      <c r="AF965">
        <f t="shared" ca="1" si="444"/>
        <v>9224345</v>
      </c>
      <c r="AG965">
        <f t="shared" ref="AG965:AG978" ca="1" si="448">IF(I965=1,R965,IF(I965=0,0,(I965-1)*(80-R965)/(S965-1)+R965))</f>
        <v>72.857142857142861</v>
      </c>
      <c r="AH965">
        <f t="shared" ca="1" si="445"/>
        <v>3971.7833225930094</v>
      </c>
      <c r="AI965">
        <f ca="1">VLOOKUP(E965,伤害参考系!$C$4:$E$104,3,FALSE)*$AN$12</f>
        <v>18368.517032608706</v>
      </c>
      <c r="AJ965">
        <f>VLOOKUP(C965,技能辅助查询表,技能配置辅助表!$L$1,FALSE)</f>
        <v>1</v>
      </c>
      <c r="AK965">
        <f>VLOOKUP(C965,技能辅助查询表,技能配置辅助表!$AE$1,FALSE)</f>
        <v>66000388</v>
      </c>
    </row>
    <row r="966" spans="1:37" x14ac:dyDescent="0.15">
      <c r="A966" s="1">
        <f t="shared" ca="1" si="437"/>
        <v>9224346</v>
      </c>
      <c r="B966" s="1" t="str">
        <f t="shared" ca="1" si="422"/>
        <v>幻影脚第3段</v>
      </c>
      <c r="C966" t="s">
        <v>169</v>
      </c>
      <c r="D966">
        <f t="shared" si="423"/>
        <v>2</v>
      </c>
      <c r="E966" s="42">
        <f t="shared" ca="1" si="438"/>
        <v>74</v>
      </c>
      <c r="F966" t="str">
        <f t="shared" ca="1" si="439"/>
        <v>第46级，共造成209.5%点伤害</v>
      </c>
      <c r="G966">
        <f t="shared" ca="1" si="440"/>
        <v>3</v>
      </c>
      <c r="H966">
        <f t="shared" si="424"/>
        <v>3</v>
      </c>
      <c r="I966" s="44">
        <f t="shared" ca="1" si="421"/>
        <v>46</v>
      </c>
      <c r="J966">
        <f t="shared" si="425"/>
        <v>2</v>
      </c>
      <c r="K966" s="36">
        <f t="shared" ca="1" si="426"/>
        <v>209.47826086956522</v>
      </c>
      <c r="L966" s="10">
        <f ca="1">AH966*VLOOKUP(C966,技能辅助查询表,技能配置辅助表!$T$1,FALSE)</f>
        <v>0</v>
      </c>
      <c r="M966">
        <f t="shared" ca="1" si="427"/>
        <v>4320</v>
      </c>
      <c r="N966" s="33">
        <f ca="1">CHOOSE(1,W966*U966,X966*'[1]0、经济设定'!$C$18)</f>
        <v>261648</v>
      </c>
      <c r="O966">
        <f t="shared" si="428"/>
        <v>4</v>
      </c>
      <c r="P966">
        <f t="shared" si="429"/>
        <v>1</v>
      </c>
      <c r="Q966">
        <f t="shared" si="430"/>
        <v>1</v>
      </c>
      <c r="R966" s="2">
        <f t="shared" si="431"/>
        <v>10</v>
      </c>
      <c r="S966" s="2">
        <f t="shared" si="432"/>
        <v>50</v>
      </c>
      <c r="T966" s="2">
        <f t="shared" si="433"/>
        <v>143.47826086956522</v>
      </c>
      <c r="U966" s="2">
        <f ca="1">VLOOKUP(E966,金币生产率!$A$2:$B$120,2,0)</f>
        <v>3634</v>
      </c>
      <c r="V966" s="2">
        <f t="shared" si="434"/>
        <v>143.47826086956522</v>
      </c>
      <c r="W966" s="45">
        <f t="shared" ca="1" si="446"/>
        <v>72</v>
      </c>
      <c r="X966" s="48">
        <f t="shared" ca="1" si="447"/>
        <v>1056</v>
      </c>
      <c r="Y966">
        <f t="shared" si="435"/>
        <v>18</v>
      </c>
      <c r="Z966">
        <f t="shared" ca="1" si="441"/>
        <v>29</v>
      </c>
      <c r="AA966" t="str">
        <f t="shared" ca="1" si="442"/>
        <v>9224300.png</v>
      </c>
      <c r="AB966">
        <f t="shared" si="436"/>
        <v>20</v>
      </c>
      <c r="AC966">
        <f>VLOOKUP(C966,技能辅助查询表,技能配置辅助表!$W$1,FALSE)</f>
        <v>35</v>
      </c>
      <c r="AD966">
        <f t="shared" ca="1" si="443"/>
        <v>990.0825987408183</v>
      </c>
      <c r="AE966">
        <f>VLOOKUP(C966,技能辅助查询表,技能配置辅助表!$U$1,FALSE)</f>
        <v>4</v>
      </c>
      <c r="AF966">
        <f t="shared" ca="1" si="444"/>
        <v>9224346</v>
      </c>
      <c r="AG966">
        <f t="shared" ca="1" si="448"/>
        <v>74.285714285714292</v>
      </c>
      <c r="AH966">
        <f t="shared" ca="1" si="445"/>
        <v>4521.8228298329677</v>
      </c>
      <c r="AI966">
        <f ca="1">VLOOKUP(E966,伤害参考系!$C$4:$E$104,3,FALSE)*$AN$12</f>
        <v>19123.189597826095</v>
      </c>
      <c r="AJ966">
        <f>VLOOKUP(C966,技能辅助查询表,技能配置辅助表!$L$1,FALSE)</f>
        <v>1</v>
      </c>
      <c r="AK966">
        <f>VLOOKUP(C966,技能辅助查询表,技能配置辅助表!$AE$1,FALSE)</f>
        <v>66000388</v>
      </c>
    </row>
    <row r="967" spans="1:37" x14ac:dyDescent="0.15">
      <c r="A967" s="1">
        <f t="shared" ca="1" si="437"/>
        <v>9224347</v>
      </c>
      <c r="B967" s="1" t="str">
        <f t="shared" ca="1" si="422"/>
        <v>幻影脚第3段</v>
      </c>
      <c r="C967" t="s">
        <v>169</v>
      </c>
      <c r="D967">
        <f t="shared" si="423"/>
        <v>2</v>
      </c>
      <c r="E967" s="42">
        <f t="shared" ca="1" si="438"/>
        <v>76</v>
      </c>
      <c r="F967" t="str">
        <f t="shared" ca="1" si="439"/>
        <v>第47级，共造成210.9%点伤害</v>
      </c>
      <c r="G967">
        <f t="shared" ca="1" si="440"/>
        <v>3</v>
      </c>
      <c r="H967">
        <f t="shared" si="424"/>
        <v>3</v>
      </c>
      <c r="I967" s="44">
        <f t="shared" ca="1" si="421"/>
        <v>47</v>
      </c>
      <c r="J967">
        <f t="shared" si="425"/>
        <v>2</v>
      </c>
      <c r="K967" s="36">
        <f t="shared" ca="1" si="426"/>
        <v>210.91304347826087</v>
      </c>
      <c r="L967" s="10">
        <f ca="1">AH967*VLOOKUP(C967,技能辅助查询表,技能配置辅助表!$T$1,FALSE)</f>
        <v>0</v>
      </c>
      <c r="M967">
        <f t="shared" ca="1" si="427"/>
        <v>4240</v>
      </c>
      <c r="N967" s="33">
        <f ca="1">CHOOSE(1,W967*U967,X967*'[1]0、经济设定'!$C$18)</f>
        <v>295526</v>
      </c>
      <c r="O967">
        <f t="shared" si="428"/>
        <v>4</v>
      </c>
      <c r="P967">
        <f t="shared" si="429"/>
        <v>1</v>
      </c>
      <c r="Q967">
        <f t="shared" si="430"/>
        <v>1</v>
      </c>
      <c r="R967" s="2">
        <f t="shared" si="431"/>
        <v>10</v>
      </c>
      <c r="S967" s="2">
        <f t="shared" si="432"/>
        <v>50</v>
      </c>
      <c r="T967" s="2">
        <f t="shared" si="433"/>
        <v>143.47826086956522</v>
      </c>
      <c r="U967" s="2">
        <f ca="1">VLOOKUP(E967,金币生产率!$A$2:$B$120,2,0)</f>
        <v>3838</v>
      </c>
      <c r="V967" s="2">
        <f t="shared" si="434"/>
        <v>143.47826086956522</v>
      </c>
      <c r="W967" s="45">
        <f t="shared" ca="1" si="446"/>
        <v>77</v>
      </c>
      <c r="X967" s="48">
        <f t="shared" ca="1" si="447"/>
        <v>1133</v>
      </c>
      <c r="Y967">
        <f t="shared" si="435"/>
        <v>18</v>
      </c>
      <c r="Z967">
        <f t="shared" ca="1" si="441"/>
        <v>31</v>
      </c>
      <c r="AA967" t="str">
        <f t="shared" ca="1" si="442"/>
        <v>9224300.png</v>
      </c>
      <c r="AB967">
        <f t="shared" si="436"/>
        <v>20</v>
      </c>
      <c r="AC967">
        <f>VLOOKUP(C967,技能辅助查询表,技能配置辅助表!$W$1,FALSE)</f>
        <v>35</v>
      </c>
      <c r="AD967">
        <f t="shared" ca="1" si="443"/>
        <v>1141.9685794915179</v>
      </c>
      <c r="AE967">
        <f>VLOOKUP(C967,技能辅助查询表,技能配置辅助表!$U$1,FALSE)</f>
        <v>4</v>
      </c>
      <c r="AF967">
        <f t="shared" ca="1" si="444"/>
        <v>9224347</v>
      </c>
      <c r="AG967">
        <f t="shared" ca="1" si="448"/>
        <v>75.714285714285708</v>
      </c>
      <c r="AH967">
        <f t="shared" ca="1" si="445"/>
        <v>5148.0355406320868</v>
      </c>
      <c r="AI967">
        <f ca="1">VLOOKUP(E967,伤害参考系!$C$4:$E$104,3,FALSE)*$AN$12</f>
        <v>20676.268264214057</v>
      </c>
      <c r="AJ967">
        <f>VLOOKUP(C967,技能辅助查询表,技能配置辅助表!$L$1,FALSE)</f>
        <v>1</v>
      </c>
      <c r="AK967">
        <f>VLOOKUP(C967,技能辅助查询表,技能配置辅助表!$AE$1,FALSE)</f>
        <v>66000388</v>
      </c>
    </row>
    <row r="968" spans="1:37" x14ac:dyDescent="0.15">
      <c r="A968" s="1">
        <f t="shared" ca="1" si="437"/>
        <v>9224348</v>
      </c>
      <c r="B968" s="1" t="str">
        <f t="shared" ca="1" si="422"/>
        <v>幻影脚第3段</v>
      </c>
      <c r="C968" t="s">
        <v>169</v>
      </c>
      <c r="D968">
        <f t="shared" si="423"/>
        <v>2</v>
      </c>
      <c r="E968" s="42">
        <f t="shared" ca="1" si="438"/>
        <v>77</v>
      </c>
      <c r="F968" t="str">
        <f t="shared" ca="1" si="439"/>
        <v>第48级，共造成212.3%点伤害</v>
      </c>
      <c r="G968">
        <f t="shared" ca="1" si="440"/>
        <v>3</v>
      </c>
      <c r="H968">
        <f t="shared" si="424"/>
        <v>3</v>
      </c>
      <c r="I968" s="44">
        <f t="shared" ca="1" si="421"/>
        <v>48</v>
      </c>
      <c r="J968">
        <f t="shared" si="425"/>
        <v>2</v>
      </c>
      <c r="K968" s="36">
        <f t="shared" ca="1" si="426"/>
        <v>212.3478260869565</v>
      </c>
      <c r="L968" s="10">
        <f ca="1">AH968*VLOOKUP(C968,技能辅助查询表,技能配置辅助表!$T$1,FALSE)</f>
        <v>0</v>
      </c>
      <c r="M968">
        <f t="shared" ca="1" si="427"/>
        <v>4160</v>
      </c>
      <c r="N968" s="33">
        <f ca="1">CHOOSE(1,W968*U968,X968*'[1]0、经济设定'!$C$18)</f>
        <v>327186</v>
      </c>
      <c r="O968">
        <f t="shared" si="428"/>
        <v>4</v>
      </c>
      <c r="P968">
        <f t="shared" si="429"/>
        <v>1</v>
      </c>
      <c r="Q968">
        <f t="shared" si="430"/>
        <v>1</v>
      </c>
      <c r="R968" s="2">
        <f t="shared" si="431"/>
        <v>10</v>
      </c>
      <c r="S968" s="2">
        <f t="shared" si="432"/>
        <v>50</v>
      </c>
      <c r="T968" s="2">
        <f t="shared" si="433"/>
        <v>143.47826086956522</v>
      </c>
      <c r="U968" s="2">
        <f ca="1">VLOOKUP(E968,金币生产率!$A$2:$B$120,2,0)</f>
        <v>3942</v>
      </c>
      <c r="V968" s="2">
        <f t="shared" si="434"/>
        <v>143.47826086956522</v>
      </c>
      <c r="W968" s="45">
        <f t="shared" ca="1" si="446"/>
        <v>83</v>
      </c>
      <c r="X968" s="48">
        <f t="shared" ca="1" si="447"/>
        <v>1216</v>
      </c>
      <c r="Y968">
        <f t="shared" si="435"/>
        <v>18</v>
      </c>
      <c r="Z968">
        <f t="shared" ca="1" si="441"/>
        <v>34</v>
      </c>
      <c r="AA968" t="str">
        <f t="shared" ca="1" si="442"/>
        <v>9224300.png</v>
      </c>
      <c r="AB968">
        <f t="shared" si="436"/>
        <v>20</v>
      </c>
      <c r="AC968">
        <f>VLOOKUP(C968,技能辅助查询表,技能配置辅助表!$W$1,FALSE)</f>
        <v>35</v>
      </c>
      <c r="AD968">
        <f t="shared" ca="1" si="443"/>
        <v>1316.9345747439711</v>
      </c>
      <c r="AE968">
        <f>VLOOKUP(C968,技能辅助查询表,技能配置辅助表!$U$1,FALSE)</f>
        <v>4</v>
      </c>
      <c r="AF968">
        <f t="shared" ca="1" si="444"/>
        <v>9224348</v>
      </c>
      <c r="AG968">
        <f t="shared" ca="1" si="448"/>
        <v>77.142857142857139</v>
      </c>
      <c r="AH968">
        <f t="shared" ca="1" si="445"/>
        <v>5860.970437134547</v>
      </c>
      <c r="AI968">
        <f ca="1">VLOOKUP(E968,伤害参考系!$C$4:$E$104,3,FALSE)*$AN$12</f>
        <v>21474.674365384624</v>
      </c>
      <c r="AJ968">
        <f>VLOOKUP(C968,技能辅助查询表,技能配置辅助表!$L$1,FALSE)</f>
        <v>1</v>
      </c>
      <c r="AK968">
        <f>VLOOKUP(C968,技能辅助查询表,技能配置辅助表!$AE$1,FALSE)</f>
        <v>66000388</v>
      </c>
    </row>
    <row r="969" spans="1:37" x14ac:dyDescent="0.15">
      <c r="A969" s="1">
        <f t="shared" ca="1" si="437"/>
        <v>9224349</v>
      </c>
      <c r="B969" s="1" t="str">
        <f t="shared" ca="1" si="422"/>
        <v>幻影脚第3段</v>
      </c>
      <c r="C969" t="s">
        <v>169</v>
      </c>
      <c r="D969">
        <f t="shared" si="423"/>
        <v>2</v>
      </c>
      <c r="E969" s="42">
        <f t="shared" ca="1" si="438"/>
        <v>79</v>
      </c>
      <c r="F969" t="str">
        <f t="shared" ca="1" si="439"/>
        <v>第49级，共造成213.8%点伤害</v>
      </c>
      <c r="G969">
        <f t="shared" ca="1" si="440"/>
        <v>3</v>
      </c>
      <c r="H969">
        <f t="shared" si="424"/>
        <v>3</v>
      </c>
      <c r="I969" s="44">
        <f t="shared" ca="1" si="421"/>
        <v>49</v>
      </c>
      <c r="J969">
        <f t="shared" si="425"/>
        <v>2</v>
      </c>
      <c r="K969" s="36">
        <f t="shared" ca="1" si="426"/>
        <v>213.78260869565219</v>
      </c>
      <c r="L969" s="10">
        <f ca="1">AH969*VLOOKUP(C969,技能辅助查询表,技能配置辅助表!$T$1,FALSE)</f>
        <v>0</v>
      </c>
      <c r="M969">
        <f t="shared" ca="1" si="427"/>
        <v>4080</v>
      </c>
      <c r="N969" s="33">
        <f ca="1">CHOOSE(1,W969*U969,X969*'[1]0、经济设定'!$C$18)</f>
        <v>369706</v>
      </c>
      <c r="O969">
        <f t="shared" si="428"/>
        <v>4</v>
      </c>
      <c r="P969">
        <f t="shared" si="429"/>
        <v>1</v>
      </c>
      <c r="Q969">
        <f t="shared" si="430"/>
        <v>1</v>
      </c>
      <c r="R969" s="2">
        <f t="shared" si="431"/>
        <v>10</v>
      </c>
      <c r="S969" s="2">
        <f t="shared" si="432"/>
        <v>50</v>
      </c>
      <c r="T969" s="2">
        <f t="shared" si="433"/>
        <v>143.47826086956522</v>
      </c>
      <c r="U969" s="2">
        <f ca="1">VLOOKUP(E969,金币生产率!$A$2:$B$120,2,0)</f>
        <v>4154</v>
      </c>
      <c r="V969" s="2">
        <f t="shared" si="434"/>
        <v>143.47826086956522</v>
      </c>
      <c r="W969" s="45">
        <f t="shared" ca="1" si="446"/>
        <v>89</v>
      </c>
      <c r="X969" s="48">
        <f t="shared" ca="1" si="447"/>
        <v>1305</v>
      </c>
      <c r="Y969">
        <f t="shared" si="435"/>
        <v>18</v>
      </c>
      <c r="Z969">
        <f t="shared" ca="1" si="441"/>
        <v>36</v>
      </c>
      <c r="AA969" t="str">
        <f t="shared" ca="1" si="442"/>
        <v>9224300.png</v>
      </c>
      <c r="AB969">
        <f t="shared" si="436"/>
        <v>20</v>
      </c>
      <c r="AC969">
        <f>VLOOKUP(C969,技能辅助查询表,技能配置辅助表!$W$1,FALSE)</f>
        <v>35</v>
      </c>
      <c r="AD969">
        <f t="shared" ca="1" si="443"/>
        <v>1518.4601796208933</v>
      </c>
      <c r="AE969">
        <f>VLOOKUP(C969,技能辅助查询表,技能配置辅助表!$U$1,FALSE)</f>
        <v>4</v>
      </c>
      <c r="AF969">
        <f t="shared" ca="1" si="444"/>
        <v>9224349</v>
      </c>
      <c r="AG969">
        <f t="shared" ca="1" si="448"/>
        <v>78.571428571428569</v>
      </c>
      <c r="AH969">
        <f t="shared" ca="1" si="445"/>
        <v>6672.6373961177951</v>
      </c>
      <c r="AI969">
        <f ca="1">VLOOKUP(E969,伤害参考系!$C$4:$E$104,3,FALSE)*$AN$12</f>
        <v>23115.220103678937</v>
      </c>
      <c r="AJ969">
        <f>VLOOKUP(C969,技能辅助查询表,技能配置辅助表!$L$1,FALSE)</f>
        <v>1</v>
      </c>
      <c r="AK969">
        <f>VLOOKUP(C969,技能辅助查询表,技能配置辅助表!$AE$1,FALSE)</f>
        <v>66000388</v>
      </c>
    </row>
    <row r="970" spans="1:37" x14ac:dyDescent="0.15">
      <c r="A970" s="1">
        <f t="shared" ca="1" si="437"/>
        <v>9224350</v>
      </c>
      <c r="B970" s="1" t="str">
        <f t="shared" ca="1" si="422"/>
        <v>幻影脚第3段</v>
      </c>
      <c r="C970" t="s">
        <v>169</v>
      </c>
      <c r="D970">
        <f t="shared" si="423"/>
        <v>2</v>
      </c>
      <c r="E970" s="42">
        <f t="shared" ca="1" si="438"/>
        <v>80</v>
      </c>
      <c r="F970" t="str">
        <f t="shared" ca="1" si="439"/>
        <v>第50级，共造成215.2%点伤害</v>
      </c>
      <c r="G970">
        <f t="shared" ca="1" si="440"/>
        <v>3</v>
      </c>
      <c r="H970">
        <f t="shared" si="424"/>
        <v>3</v>
      </c>
      <c r="I970" s="44">
        <f t="shared" ca="1" si="421"/>
        <v>50</v>
      </c>
      <c r="J970">
        <f t="shared" si="425"/>
        <v>2</v>
      </c>
      <c r="K970" s="36">
        <f t="shared" ca="1" si="426"/>
        <v>215.21739130434781</v>
      </c>
      <c r="L970" s="10">
        <f ca="1">AH970*VLOOKUP(C970,技能辅助查询表,技能配置辅助表!$T$1,FALSE)</f>
        <v>0</v>
      </c>
      <c r="M970">
        <f t="shared" ca="1" si="427"/>
        <v>4000</v>
      </c>
      <c r="N970" s="33">
        <f ca="1">CHOOSE(1,W970*U970,X970*'[1]0、经济设定'!$C$18)</f>
        <v>404890</v>
      </c>
      <c r="O970">
        <f t="shared" si="428"/>
        <v>4</v>
      </c>
      <c r="P970">
        <f t="shared" si="429"/>
        <v>1</v>
      </c>
      <c r="Q970">
        <f t="shared" si="430"/>
        <v>1</v>
      </c>
      <c r="R970" s="2">
        <f t="shared" si="431"/>
        <v>10</v>
      </c>
      <c r="S970" s="2">
        <f t="shared" si="432"/>
        <v>50</v>
      </c>
      <c r="T970" s="2">
        <f t="shared" si="433"/>
        <v>143.47826086956522</v>
      </c>
      <c r="U970" s="2">
        <f ca="1">VLOOKUP(E970,金币生产率!$A$2:$B$120,2,0)</f>
        <v>4262</v>
      </c>
      <c r="V970" s="2">
        <f t="shared" si="434"/>
        <v>143.47826086956522</v>
      </c>
      <c r="W970" s="45">
        <f t="shared" ca="1" si="446"/>
        <v>95</v>
      </c>
      <c r="X970" s="48">
        <f t="shared" ca="1" si="447"/>
        <v>1400</v>
      </c>
      <c r="Y970">
        <f t="shared" si="435"/>
        <v>18</v>
      </c>
      <c r="Z970">
        <f t="shared" ca="1" si="441"/>
        <v>38</v>
      </c>
      <c r="AA970" t="str">
        <f t="shared" ca="1" si="442"/>
        <v>9224300.png</v>
      </c>
      <c r="AB970">
        <f t="shared" si="436"/>
        <v>20</v>
      </c>
      <c r="AC970">
        <f>VLOOKUP(C970,技能辅助查询表,技能配置辅助表!$W$1,FALSE)</f>
        <v>35</v>
      </c>
      <c r="AD970">
        <f t="shared" ca="1" si="443"/>
        <v>1750.5461030023362</v>
      </c>
      <c r="AE970">
        <f>VLOOKUP(C970,技能辅助查询表,技能配置辅助表!$U$1,FALSE)</f>
        <v>4</v>
      </c>
      <c r="AF970">
        <f t="shared" ca="1" si="444"/>
        <v>9224350</v>
      </c>
      <c r="AG970">
        <f t="shared" ca="1" si="448"/>
        <v>80</v>
      </c>
      <c r="AH970">
        <f t="shared" ca="1" si="445"/>
        <v>7596.7095035950451</v>
      </c>
      <c r="AI970">
        <f ca="1">VLOOKUP(E970,伤害参考系!$C$4:$E$104,3,FALSE)*$AN$12</f>
        <v>24028.87424749164</v>
      </c>
      <c r="AJ970">
        <f>VLOOKUP(C970,技能辅助查询表,技能配置辅助表!$L$1,FALSE)</f>
        <v>1</v>
      </c>
      <c r="AK970">
        <f>VLOOKUP(C970,技能辅助查询表,技能配置辅助表!$AE$1,FALSE)</f>
        <v>66000388</v>
      </c>
    </row>
    <row r="971" spans="1:37" x14ac:dyDescent="0.15">
      <c r="A971" s="1">
        <f t="shared" ca="1" si="437"/>
        <v>1</v>
      </c>
      <c r="B971" s="1" t="str">
        <f t="shared" ca="1" si="422"/>
        <v>幻影脚</v>
      </c>
      <c r="C971" t="s">
        <v>170</v>
      </c>
      <c r="D971">
        <f t="shared" si="423"/>
        <v>2</v>
      </c>
      <c r="E971" s="42">
        <f t="shared" ca="1" si="438"/>
        <v>6</v>
      </c>
      <c r="F971" t="str">
        <f t="shared" ca="1" si="439"/>
        <v>第0级，共造成179.3%点伤害</v>
      </c>
      <c r="G971">
        <f t="shared" ca="1" si="440"/>
        <v>0</v>
      </c>
      <c r="H971">
        <f t="shared" si="424"/>
        <v>4</v>
      </c>
      <c r="I971" s="44">
        <f t="shared" ca="1" si="421"/>
        <v>0</v>
      </c>
      <c r="J971">
        <f t="shared" si="425"/>
        <v>2</v>
      </c>
      <c r="K971" s="36">
        <f t="shared" ca="1" si="426"/>
        <v>179.34782608695653</v>
      </c>
      <c r="L971" s="10">
        <f ca="1">AH971*VLOOKUP(C971,技能辅助查询表,技能配置辅助表!$T$1,FALSE)</f>
        <v>0</v>
      </c>
      <c r="M971">
        <f t="shared" ca="1" si="427"/>
        <v>8000</v>
      </c>
      <c r="N971" s="33">
        <f ca="1">CHOOSE(1,W971*U971,X971*'[1]0、经济设定'!$C$18)</f>
        <v>0</v>
      </c>
      <c r="O971">
        <f t="shared" si="428"/>
        <v>4</v>
      </c>
      <c r="P971">
        <f t="shared" si="429"/>
        <v>1</v>
      </c>
      <c r="Q971">
        <f t="shared" si="430"/>
        <v>1</v>
      </c>
      <c r="R971" s="2">
        <f t="shared" si="431"/>
        <v>12</v>
      </c>
      <c r="S971" s="2">
        <f t="shared" si="432"/>
        <v>50</v>
      </c>
      <c r="T971" s="2">
        <f t="shared" si="433"/>
        <v>179.34782608695653</v>
      </c>
      <c r="U971" s="2">
        <f ca="1">VLOOKUP(E971,金币生产率!$A$2:$B$120,2,0)</f>
        <v>80</v>
      </c>
      <c r="V971" s="2">
        <f t="shared" si="434"/>
        <v>179.34782608695653</v>
      </c>
      <c r="W971" s="45">
        <f t="shared" ca="1" si="446"/>
        <v>0</v>
      </c>
      <c r="X971" s="48">
        <f t="shared" ca="1" si="447"/>
        <v>0</v>
      </c>
      <c r="Y971">
        <f t="shared" si="435"/>
        <v>18</v>
      </c>
      <c r="Z971">
        <f t="shared" ca="1" si="441"/>
        <v>0</v>
      </c>
      <c r="AA971" t="str">
        <f t="shared" ca="1" si="442"/>
        <v>9224400.png</v>
      </c>
      <c r="AB971">
        <f t="shared" si="436"/>
        <v>20</v>
      </c>
      <c r="AC971">
        <f>VLOOKUP(C971,技能辅助查询表,技能配置辅助表!$W$1,FALSE)</f>
        <v>36</v>
      </c>
      <c r="AD971">
        <f t="shared" ca="1" si="443"/>
        <v>1.8398856521739131</v>
      </c>
      <c r="AE971">
        <f>VLOOKUP(C971,技能辅助查询表,技能配置辅助表!$U$1,FALSE)</f>
        <v>4</v>
      </c>
      <c r="AF971">
        <f t="shared" ca="1" si="444"/>
        <v>9224400</v>
      </c>
      <c r="AG971">
        <f t="shared" ca="1" si="448"/>
        <v>0</v>
      </c>
      <c r="AH971">
        <f t="shared" ca="1" si="445"/>
        <v>11.5938</v>
      </c>
      <c r="AI971">
        <f ca="1">VLOOKUP(E971,伤害参考系!$C$4:$E$104,3,FALSE)*$AN$12</f>
        <v>88.919999999999987</v>
      </c>
      <c r="AJ971">
        <f>VLOOKUP(C971,技能辅助查询表,技能配置辅助表!$L$1,FALSE)</f>
        <v>1</v>
      </c>
      <c r="AK971">
        <f>VLOOKUP(C971,技能辅助查询表,技能配置辅助表!$AE$1,FALSE)</f>
        <v>66000388</v>
      </c>
    </row>
    <row r="972" spans="1:37" x14ac:dyDescent="0.15">
      <c r="A972" s="1">
        <f t="shared" ca="1" si="437"/>
        <v>9224401</v>
      </c>
      <c r="B972" s="1" t="str">
        <f t="shared" ca="1" si="422"/>
        <v>幻影脚第4段</v>
      </c>
      <c r="C972" t="s">
        <v>170</v>
      </c>
      <c r="D972">
        <f t="shared" si="423"/>
        <v>2</v>
      </c>
      <c r="E972" s="42">
        <f t="shared" ca="1" si="438"/>
        <v>6</v>
      </c>
      <c r="F972" t="str">
        <f t="shared" ca="1" si="439"/>
        <v>第1级，共造成179.3%点伤害</v>
      </c>
      <c r="G972">
        <f t="shared" ca="1" si="440"/>
        <v>4</v>
      </c>
      <c r="H972">
        <f t="shared" si="424"/>
        <v>4</v>
      </c>
      <c r="I972" s="44">
        <f t="shared" ref="I972:I978" ca="1" si="449">IF(OFFSET(C972,-1,0)=C972,I971+1,0)</f>
        <v>1</v>
      </c>
      <c r="J972">
        <f t="shared" si="425"/>
        <v>2</v>
      </c>
      <c r="K972" s="36">
        <f t="shared" ca="1" si="426"/>
        <v>179.34782608695653</v>
      </c>
      <c r="L972" s="10">
        <f ca="1">AH972*VLOOKUP(C972,技能辅助查询表,技能配置辅助表!$T$1,FALSE)</f>
        <v>0</v>
      </c>
      <c r="M972">
        <f t="shared" ca="1" si="427"/>
        <v>8000</v>
      </c>
      <c r="N972" s="33">
        <f ca="1">CHOOSE(1,W972*U972,X972*'[1]0、经济设定'!$C$18)</f>
        <v>480</v>
      </c>
      <c r="O972">
        <f t="shared" si="428"/>
        <v>4</v>
      </c>
      <c r="P972">
        <f t="shared" si="429"/>
        <v>1</v>
      </c>
      <c r="Q972">
        <f t="shared" si="430"/>
        <v>1</v>
      </c>
      <c r="R972" s="2">
        <f t="shared" si="431"/>
        <v>12</v>
      </c>
      <c r="S972" s="2">
        <f t="shared" si="432"/>
        <v>50</v>
      </c>
      <c r="T972" s="2">
        <f t="shared" si="433"/>
        <v>179.34782608695653</v>
      </c>
      <c r="U972" s="2">
        <f ca="1">VLOOKUP(E972,金币生产率!$A$2:$B$120,2,0)</f>
        <v>80</v>
      </c>
      <c r="V972" s="2">
        <f t="shared" si="434"/>
        <v>179.34782608695653</v>
      </c>
      <c r="W972" s="45">
        <f t="shared" ca="1" si="446"/>
        <v>6</v>
      </c>
      <c r="X972" s="48">
        <f t="shared" ca="1" si="447"/>
        <v>6</v>
      </c>
      <c r="Y972">
        <f t="shared" si="435"/>
        <v>18</v>
      </c>
      <c r="Z972">
        <f t="shared" ca="1" si="441"/>
        <v>0</v>
      </c>
      <c r="AA972" t="str">
        <f t="shared" ca="1" si="442"/>
        <v>9224400.png</v>
      </c>
      <c r="AB972">
        <f t="shared" si="436"/>
        <v>20</v>
      </c>
      <c r="AC972">
        <f>VLOOKUP(C972,技能辅助查询表,技能配置辅助表!$W$1,FALSE)</f>
        <v>36</v>
      </c>
      <c r="AD972">
        <f t="shared" ca="1" si="443"/>
        <v>2.0946855028462563</v>
      </c>
      <c r="AE972">
        <f>VLOOKUP(C972,技能辅助查询表,技能配置辅助表!$U$1,FALSE)</f>
        <v>4</v>
      </c>
      <c r="AF972">
        <f t="shared" ca="1" si="444"/>
        <v>9224401</v>
      </c>
      <c r="AG972">
        <f t="shared" ca="1" si="448"/>
        <v>12</v>
      </c>
      <c r="AH972">
        <f t="shared" ca="1" si="445"/>
        <v>13.199388100127095</v>
      </c>
      <c r="AI972">
        <f ca="1">VLOOKUP(E972,伤害参考系!$C$4:$E$104,3,FALSE)*$AN$12</f>
        <v>88.919999999999987</v>
      </c>
      <c r="AJ972">
        <f>VLOOKUP(C972,技能辅助查询表,技能配置辅助表!$L$1,FALSE)</f>
        <v>1</v>
      </c>
      <c r="AK972">
        <f>VLOOKUP(C972,技能辅助查询表,技能配置辅助表!$AE$1,FALSE)</f>
        <v>66000388</v>
      </c>
    </row>
    <row r="973" spans="1:37" x14ac:dyDescent="0.15">
      <c r="A973" s="1">
        <f t="shared" ca="1" si="437"/>
        <v>9224402</v>
      </c>
      <c r="B973" s="1" t="str">
        <f t="shared" ca="1" si="422"/>
        <v>幻影脚第4段</v>
      </c>
      <c r="C973" t="s">
        <v>170</v>
      </c>
      <c r="D973">
        <f t="shared" si="423"/>
        <v>2</v>
      </c>
      <c r="E973" s="42">
        <f t="shared" ca="1" si="438"/>
        <v>15</v>
      </c>
      <c r="F973" t="str">
        <f t="shared" ca="1" si="439"/>
        <v>第2级，共造成182.9%点伤害</v>
      </c>
      <c r="G973">
        <f t="shared" ca="1" si="440"/>
        <v>4</v>
      </c>
      <c r="H973">
        <f t="shared" si="424"/>
        <v>4</v>
      </c>
      <c r="I973" s="44">
        <f t="shared" ca="1" si="449"/>
        <v>2</v>
      </c>
      <c r="J973">
        <f t="shared" si="425"/>
        <v>2</v>
      </c>
      <c r="K973" s="36">
        <f t="shared" ca="1" si="426"/>
        <v>182.93478260869566</v>
      </c>
      <c r="L973" s="10">
        <f ca="1">AH973*VLOOKUP(C973,技能辅助查询表,技能配置辅助表!$T$1,FALSE)</f>
        <v>0</v>
      </c>
      <c r="M973">
        <f t="shared" ca="1" si="427"/>
        <v>7840</v>
      </c>
      <c r="N973" s="33">
        <f ca="1">CHOOSE(1,W973*U973,X973*'[1]0、经济设定'!$C$18)</f>
        <v>938</v>
      </c>
      <c r="O973">
        <f t="shared" si="428"/>
        <v>4</v>
      </c>
      <c r="P973">
        <f t="shared" si="429"/>
        <v>1</v>
      </c>
      <c r="Q973">
        <f t="shared" si="430"/>
        <v>1</v>
      </c>
      <c r="R973" s="2">
        <f t="shared" si="431"/>
        <v>12</v>
      </c>
      <c r="S973" s="2">
        <f t="shared" si="432"/>
        <v>50</v>
      </c>
      <c r="T973" s="2">
        <f t="shared" si="433"/>
        <v>179.34782608695653</v>
      </c>
      <c r="U973" s="2">
        <f ca="1">VLOOKUP(E973,金币生产率!$A$2:$B$120,2,0)</f>
        <v>134</v>
      </c>
      <c r="V973" s="2">
        <f t="shared" si="434"/>
        <v>179.34782608695653</v>
      </c>
      <c r="W973" s="45">
        <f t="shared" ca="1" si="446"/>
        <v>7</v>
      </c>
      <c r="X973" s="48">
        <f t="shared" ca="1" si="447"/>
        <v>13</v>
      </c>
      <c r="Y973">
        <f t="shared" si="435"/>
        <v>18</v>
      </c>
      <c r="Z973">
        <f t="shared" ca="1" si="441"/>
        <v>0</v>
      </c>
      <c r="AA973" t="str">
        <f t="shared" ca="1" si="442"/>
        <v>9224400.png</v>
      </c>
      <c r="AB973">
        <f t="shared" si="436"/>
        <v>20</v>
      </c>
      <c r="AC973">
        <f>VLOOKUP(C973,技能辅助查询表,技能配置辅助表!$W$1,FALSE)</f>
        <v>36</v>
      </c>
      <c r="AD973">
        <f t="shared" ca="1" si="443"/>
        <v>2.4925765169870342</v>
      </c>
      <c r="AE973">
        <f>VLOOKUP(C973,技能辅助查询表,技能配置辅助表!$U$1,FALSE)</f>
        <v>4</v>
      </c>
      <c r="AF973">
        <f t="shared" ca="1" si="444"/>
        <v>9224402</v>
      </c>
      <c r="AG973">
        <f t="shared" ca="1" si="448"/>
        <v>13.387755102040817</v>
      </c>
      <c r="AH973">
        <f t="shared" ca="1" si="445"/>
        <v>15.027328935963775</v>
      </c>
      <c r="AI973">
        <f ca="1">VLOOKUP(E973,伤害参考系!$C$4:$E$104,3,FALSE)*$AN$12</f>
        <v>374.61277173913044</v>
      </c>
      <c r="AJ973">
        <f>VLOOKUP(C973,技能辅助查询表,技能配置辅助表!$L$1,FALSE)</f>
        <v>1</v>
      </c>
      <c r="AK973">
        <f>VLOOKUP(C973,技能辅助查询表,技能配置辅助表!$AE$1,FALSE)</f>
        <v>66000388</v>
      </c>
    </row>
    <row r="974" spans="1:37" x14ac:dyDescent="0.15">
      <c r="A974" s="1">
        <f t="shared" ca="1" si="437"/>
        <v>9224403</v>
      </c>
      <c r="B974" s="1" t="str">
        <f t="shared" ca="1" si="422"/>
        <v>幻影脚第4段</v>
      </c>
      <c r="C974" t="s">
        <v>170</v>
      </c>
      <c r="D974">
        <f t="shared" si="423"/>
        <v>2</v>
      </c>
      <c r="E974" s="42">
        <f t="shared" ca="1" si="438"/>
        <v>16</v>
      </c>
      <c r="F974" t="str">
        <f t="shared" ca="1" si="439"/>
        <v>第3级，共造成184.7%点伤害</v>
      </c>
      <c r="G974">
        <f t="shared" ca="1" si="440"/>
        <v>4</v>
      </c>
      <c r="H974">
        <f t="shared" si="424"/>
        <v>4</v>
      </c>
      <c r="I974" s="44">
        <f t="shared" ca="1" si="449"/>
        <v>3</v>
      </c>
      <c r="J974">
        <f t="shared" si="425"/>
        <v>2</v>
      </c>
      <c r="K974" s="36">
        <f t="shared" ca="1" si="426"/>
        <v>184.72826086956522</v>
      </c>
      <c r="L974" s="10">
        <f ca="1">AH974*VLOOKUP(C974,技能辅助查询表,技能配置辅助表!$T$1,FALSE)</f>
        <v>0</v>
      </c>
      <c r="M974">
        <f t="shared" ca="1" si="427"/>
        <v>7760</v>
      </c>
      <c r="N974" s="33">
        <f ca="1">CHOOSE(1,W974*U974,X974*'[1]0、经济设定'!$C$18)</f>
        <v>980</v>
      </c>
      <c r="O974">
        <f t="shared" si="428"/>
        <v>4</v>
      </c>
      <c r="P974">
        <f t="shared" si="429"/>
        <v>1</v>
      </c>
      <c r="Q974">
        <f t="shared" si="430"/>
        <v>1</v>
      </c>
      <c r="R974" s="2">
        <f t="shared" si="431"/>
        <v>12</v>
      </c>
      <c r="S974" s="2">
        <f t="shared" si="432"/>
        <v>50</v>
      </c>
      <c r="T974" s="2">
        <f t="shared" si="433"/>
        <v>179.34782608695653</v>
      </c>
      <c r="U974" s="2">
        <f ca="1">VLOOKUP(E974,金币生产率!$A$2:$B$120,2,0)</f>
        <v>140</v>
      </c>
      <c r="V974" s="2">
        <f t="shared" si="434"/>
        <v>179.34782608695653</v>
      </c>
      <c r="W974" s="45">
        <f t="shared" ca="1" si="446"/>
        <v>7</v>
      </c>
      <c r="X974" s="48">
        <f t="shared" ca="1" si="447"/>
        <v>20</v>
      </c>
      <c r="Y974">
        <f t="shared" si="435"/>
        <v>18</v>
      </c>
      <c r="Z974">
        <f t="shared" ca="1" si="441"/>
        <v>0</v>
      </c>
      <c r="AA974" t="str">
        <f t="shared" ca="1" si="442"/>
        <v>9224400.png</v>
      </c>
      <c r="AB974">
        <f t="shared" si="436"/>
        <v>20</v>
      </c>
      <c r="AC974">
        <f>VLOOKUP(C974,技能辅助查询表,技能配置辅助表!$W$1,FALSE)</f>
        <v>36</v>
      </c>
      <c r="AD974">
        <f t="shared" ca="1" si="443"/>
        <v>2.8991325700917452</v>
      </c>
      <c r="AE974">
        <f>VLOOKUP(C974,技能辅助查询表,技能配置辅助表!$U$1,FALSE)</f>
        <v>4</v>
      </c>
      <c r="AF974">
        <f t="shared" ca="1" si="444"/>
        <v>9224403</v>
      </c>
      <c r="AG974">
        <f t="shared" ca="1" si="448"/>
        <v>14.775510204081632</v>
      </c>
      <c r="AH974">
        <f t="shared" ca="1" si="445"/>
        <v>17.108415423248271</v>
      </c>
      <c r="AI974">
        <f ca="1">VLOOKUP(E974,伤害参考系!$C$4:$E$104,3,FALSE)*$AN$12</f>
        <v>421.35260869565224</v>
      </c>
      <c r="AJ974">
        <f>VLOOKUP(C974,技能辅助查询表,技能配置辅助表!$L$1,FALSE)</f>
        <v>1</v>
      </c>
      <c r="AK974">
        <f>VLOOKUP(C974,技能辅助查询表,技能配置辅助表!$AE$1,FALSE)</f>
        <v>66000388</v>
      </c>
    </row>
    <row r="975" spans="1:37" x14ac:dyDescent="0.15">
      <c r="A975" s="1">
        <f t="shared" ca="1" si="437"/>
        <v>9224404</v>
      </c>
      <c r="B975" s="1" t="str">
        <f t="shared" ca="1" si="422"/>
        <v>幻影脚第4段</v>
      </c>
      <c r="C975" t="s">
        <v>170</v>
      </c>
      <c r="D975">
        <f t="shared" si="423"/>
        <v>2</v>
      </c>
      <c r="E975" s="42">
        <f t="shared" ca="1" si="438"/>
        <v>17</v>
      </c>
      <c r="F975" t="str">
        <f t="shared" ca="1" si="439"/>
        <v>第4级，共造成186.5%点伤害</v>
      </c>
      <c r="G975">
        <f t="shared" ca="1" si="440"/>
        <v>4</v>
      </c>
      <c r="H975">
        <f t="shared" si="424"/>
        <v>4</v>
      </c>
      <c r="I975" s="44">
        <f t="shared" ca="1" si="449"/>
        <v>4</v>
      </c>
      <c r="J975">
        <f t="shared" si="425"/>
        <v>2</v>
      </c>
      <c r="K975" s="36">
        <f t="shared" ca="1" si="426"/>
        <v>186.52173913043478</v>
      </c>
      <c r="L975" s="39">
        <f ca="1">AH975*VLOOKUP(C975,技能辅助查询表,技能配置辅助表!$T$1,FALSE)</f>
        <v>0</v>
      </c>
      <c r="M975">
        <f t="shared" ca="1" si="427"/>
        <v>7680</v>
      </c>
      <c r="N975" s="33">
        <f ca="1">CHOOSE(1,W975*U975,X975*'[1]0、经济设定'!$C$18)</f>
        <v>1168</v>
      </c>
      <c r="O975">
        <f t="shared" si="428"/>
        <v>4</v>
      </c>
      <c r="P975">
        <f t="shared" si="429"/>
        <v>1</v>
      </c>
      <c r="Q975">
        <f t="shared" si="430"/>
        <v>1</v>
      </c>
      <c r="R975" s="2">
        <f t="shared" si="431"/>
        <v>12</v>
      </c>
      <c r="S975" s="2">
        <f t="shared" si="432"/>
        <v>50</v>
      </c>
      <c r="T975" s="2">
        <f t="shared" si="433"/>
        <v>179.34782608695653</v>
      </c>
      <c r="U975" s="2">
        <f ca="1">VLOOKUP(E975,金币生产率!$A$2:$B$120,2,0)</f>
        <v>146</v>
      </c>
      <c r="V975" s="2">
        <f t="shared" si="434"/>
        <v>179.34782608695653</v>
      </c>
      <c r="W975" s="45">
        <f t="shared" ca="1" si="446"/>
        <v>8</v>
      </c>
      <c r="X975" s="48">
        <f t="shared" ca="1" si="447"/>
        <v>28</v>
      </c>
      <c r="Y975">
        <f t="shared" si="435"/>
        <v>18</v>
      </c>
      <c r="Z975">
        <f t="shared" ca="1" si="441"/>
        <v>0</v>
      </c>
      <c r="AA975" t="str">
        <f t="shared" ca="1" si="442"/>
        <v>9224400.png</v>
      </c>
      <c r="AB975">
        <f t="shared" si="436"/>
        <v>20</v>
      </c>
      <c r="AC975">
        <f>VLOOKUP(C975,技能辅助查询表,技能配置辅助表!$W$1,FALSE)</f>
        <v>36</v>
      </c>
      <c r="AD975">
        <f t="shared" ca="1" si="443"/>
        <v>3.3704898026442303</v>
      </c>
      <c r="AE975">
        <f>VLOOKUP(C975,技能辅助查询表,技能配置辅助表!$U$1,FALSE)</f>
        <v>4</v>
      </c>
      <c r="AF975">
        <f t="shared" ca="1" si="444"/>
        <v>9224404</v>
      </c>
      <c r="AG975">
        <f t="shared" ca="1" si="448"/>
        <v>16.163265306122447</v>
      </c>
      <c r="AH975">
        <f t="shared" ca="1" si="445"/>
        <v>19.477704889652582</v>
      </c>
      <c r="AI975">
        <f ca="1">VLOOKUP(E975,伤害参考系!$C$4:$E$104,3,FALSE)*$AN$12</f>
        <v>470.53516304347824</v>
      </c>
      <c r="AJ975">
        <f>VLOOKUP(C975,技能辅助查询表,技能配置辅助表!$L$1,FALSE)</f>
        <v>1</v>
      </c>
      <c r="AK975">
        <f>VLOOKUP(C975,技能辅助查询表,技能配置辅助表!$AE$1,FALSE)</f>
        <v>66000388</v>
      </c>
    </row>
    <row r="976" spans="1:37" x14ac:dyDescent="0.15">
      <c r="A976" s="1">
        <f t="shared" ca="1" si="437"/>
        <v>9224405</v>
      </c>
      <c r="B976" s="1" t="str">
        <f t="shared" ca="1" si="422"/>
        <v>幻影脚第4段</v>
      </c>
      <c r="C976" t="s">
        <v>170</v>
      </c>
      <c r="D976">
        <f t="shared" si="423"/>
        <v>2</v>
      </c>
      <c r="E976" s="42">
        <f t="shared" ca="1" si="438"/>
        <v>19</v>
      </c>
      <c r="F976" t="str">
        <f t="shared" ca="1" si="439"/>
        <v>第5级，共造成188.3%点伤害</v>
      </c>
      <c r="G976">
        <f t="shared" ca="1" si="440"/>
        <v>4</v>
      </c>
      <c r="H976">
        <f t="shared" si="424"/>
        <v>4</v>
      </c>
      <c r="I976" s="44">
        <f t="shared" ca="1" si="449"/>
        <v>5</v>
      </c>
      <c r="J976">
        <f t="shared" si="425"/>
        <v>2</v>
      </c>
      <c r="K976" s="36">
        <f t="shared" ca="1" si="426"/>
        <v>188.31521739130437</v>
      </c>
      <c r="L976" s="10">
        <f ca="1">AH976*VLOOKUP(C976,技能辅助查询表,技能配置辅助表!$T$1,FALSE)</f>
        <v>0</v>
      </c>
      <c r="M976">
        <f t="shared" ca="1" si="427"/>
        <v>7600</v>
      </c>
      <c r="N976" s="33">
        <f ca="1">CHOOSE(1,W976*U976,X976*'[1]0、经济设定'!$C$18)</f>
        <v>1264</v>
      </c>
      <c r="O976">
        <f t="shared" si="428"/>
        <v>4</v>
      </c>
      <c r="P976">
        <f t="shared" si="429"/>
        <v>1</v>
      </c>
      <c r="Q976">
        <f t="shared" si="430"/>
        <v>1</v>
      </c>
      <c r="R976" s="2">
        <f t="shared" si="431"/>
        <v>12</v>
      </c>
      <c r="S976" s="2">
        <f t="shared" si="432"/>
        <v>50</v>
      </c>
      <c r="T976" s="2">
        <f t="shared" si="433"/>
        <v>179.34782608695653</v>
      </c>
      <c r="U976" s="2">
        <f ca="1">VLOOKUP(E976,金币生产率!$A$2:$B$120,2,0)</f>
        <v>158</v>
      </c>
      <c r="V976" s="2">
        <f t="shared" si="434"/>
        <v>179.34782608695653</v>
      </c>
      <c r="W976" s="45">
        <f t="shared" ca="1" si="446"/>
        <v>8</v>
      </c>
      <c r="X976" s="48">
        <f t="shared" ca="1" si="447"/>
        <v>36</v>
      </c>
      <c r="Y976">
        <f t="shared" si="435"/>
        <v>18</v>
      </c>
      <c r="Z976">
        <f t="shared" ca="1" si="441"/>
        <v>0</v>
      </c>
      <c r="AA976" t="str">
        <f t="shared" ca="1" si="442"/>
        <v>9224400.png</v>
      </c>
      <c r="AB976">
        <f t="shared" si="436"/>
        <v>20</v>
      </c>
      <c r="AC976">
        <f>VLOOKUP(C976,技能辅助查询表,技能配置辅助表!$W$1,FALSE)</f>
        <v>36</v>
      </c>
      <c r="AD976">
        <f t="shared" ca="1" si="443"/>
        <v>3.9167992569743526</v>
      </c>
      <c r="AE976">
        <f>VLOOKUP(C976,技能辅助查询表,技能配置辅助表!$U$1,FALSE)</f>
        <v>4</v>
      </c>
      <c r="AF976">
        <f t="shared" ca="1" si="444"/>
        <v>9224405</v>
      </c>
      <c r="AG976">
        <f t="shared" ca="1" si="448"/>
        <v>17.551020408163264</v>
      </c>
      <c r="AH976">
        <f t="shared" ca="1" si="445"/>
        <v>22.175109639485559</v>
      </c>
      <c r="AI976">
        <f ca="1">VLOOKUP(E976,伤害参考系!$C$4:$E$104,3,FALSE)*$AN$12</f>
        <v>576.22842391304346</v>
      </c>
      <c r="AJ976">
        <f>VLOOKUP(C976,技能辅助查询表,技能配置辅助表!$L$1,FALSE)</f>
        <v>1</v>
      </c>
      <c r="AK976">
        <f>VLOOKUP(C976,技能辅助查询表,技能配置辅助表!$AE$1,FALSE)</f>
        <v>66000388</v>
      </c>
    </row>
    <row r="977" spans="1:37" x14ac:dyDescent="0.15">
      <c r="A977" s="1">
        <f t="shared" ca="1" si="437"/>
        <v>9224406</v>
      </c>
      <c r="B977" s="1" t="str">
        <f t="shared" ca="1" si="422"/>
        <v>幻影脚第4段</v>
      </c>
      <c r="C977" t="s">
        <v>170</v>
      </c>
      <c r="D977">
        <f t="shared" si="423"/>
        <v>2</v>
      </c>
      <c r="E977" s="42">
        <f t="shared" ca="1" si="438"/>
        <v>20</v>
      </c>
      <c r="F977" t="str">
        <f t="shared" ca="1" si="439"/>
        <v>第6级，共造成190.1%点伤害</v>
      </c>
      <c r="G977">
        <f t="shared" ca="1" si="440"/>
        <v>4</v>
      </c>
      <c r="H977">
        <f t="shared" si="424"/>
        <v>4</v>
      </c>
      <c r="I977" s="44">
        <f t="shared" ca="1" si="449"/>
        <v>6</v>
      </c>
      <c r="J977">
        <f t="shared" si="425"/>
        <v>2</v>
      </c>
      <c r="K977" s="36">
        <f t="shared" ca="1" si="426"/>
        <v>190.10869565217394</v>
      </c>
      <c r="L977" s="10">
        <f ca="1">AH977*VLOOKUP(C977,技能辅助查询表,技能配置辅助表!$T$1,FALSE)</f>
        <v>0</v>
      </c>
      <c r="M977">
        <f t="shared" ca="1" si="427"/>
        <v>7520</v>
      </c>
      <c r="N977" s="33">
        <f ca="1">CHOOSE(1,W977*U977,X977*'[1]0、经济设定'!$C$18)</f>
        <v>1638</v>
      </c>
      <c r="O977">
        <f t="shared" si="428"/>
        <v>4</v>
      </c>
      <c r="P977">
        <f t="shared" si="429"/>
        <v>1</v>
      </c>
      <c r="Q977">
        <f t="shared" si="430"/>
        <v>1</v>
      </c>
      <c r="R977" s="2">
        <f t="shared" si="431"/>
        <v>12</v>
      </c>
      <c r="S977" s="2">
        <f t="shared" si="432"/>
        <v>50</v>
      </c>
      <c r="T977" s="2">
        <f t="shared" si="433"/>
        <v>179.34782608695653</v>
      </c>
      <c r="U977" s="2">
        <f ca="1">VLOOKUP(E977,金币生产率!$A$2:$B$120,2,0)</f>
        <v>182</v>
      </c>
      <c r="V977" s="2">
        <f t="shared" si="434"/>
        <v>179.34782608695653</v>
      </c>
      <c r="W977" s="45">
        <f t="shared" ca="1" si="446"/>
        <v>9</v>
      </c>
      <c r="X977" s="48">
        <f t="shared" ca="1" si="447"/>
        <v>45</v>
      </c>
      <c r="Y977">
        <f t="shared" si="435"/>
        <v>18</v>
      </c>
      <c r="Z977">
        <f t="shared" ca="1" si="441"/>
        <v>0</v>
      </c>
      <c r="AA977" t="str">
        <f t="shared" ca="1" si="442"/>
        <v>9224400.png</v>
      </c>
      <c r="AB977">
        <f t="shared" si="436"/>
        <v>20</v>
      </c>
      <c r="AC977">
        <f>VLOOKUP(C977,技能辅助查询表,技能配置辅助表!$W$1,FALSE)</f>
        <v>36</v>
      </c>
      <c r="AD977">
        <f t="shared" ca="1" si="443"/>
        <v>4.5497807506202754</v>
      </c>
      <c r="AE977">
        <f>VLOOKUP(C977,技能辅助查询表,技能配置辅助表!$U$1,FALSE)</f>
        <v>4</v>
      </c>
      <c r="AF977">
        <f t="shared" ca="1" si="444"/>
        <v>9224406</v>
      </c>
      <c r="AG977">
        <f t="shared" ca="1" si="448"/>
        <v>18.938775510204081</v>
      </c>
      <c r="AH977">
        <f t="shared" ca="1" si="445"/>
        <v>25.246069303803697</v>
      </c>
      <c r="AI977">
        <f ca="1">VLOOKUP(E977,伤害参考系!$C$4:$E$104,3,FALSE)*$AN$12</f>
        <v>632.73913043478262</v>
      </c>
      <c r="AJ977">
        <f>VLOOKUP(C977,技能辅助查询表,技能配置辅助表!$L$1,FALSE)</f>
        <v>1</v>
      </c>
      <c r="AK977">
        <f>VLOOKUP(C977,技能辅助查询表,技能配置辅助表!$AE$1,FALSE)</f>
        <v>66000388</v>
      </c>
    </row>
    <row r="978" spans="1:37" x14ac:dyDescent="0.15">
      <c r="A978" s="1">
        <f t="shared" ca="1" si="437"/>
        <v>9224407</v>
      </c>
      <c r="B978" s="1" t="str">
        <f t="shared" ca="1" si="422"/>
        <v>幻影脚第4段</v>
      </c>
      <c r="C978" t="s">
        <v>170</v>
      </c>
      <c r="D978">
        <f t="shared" si="423"/>
        <v>2</v>
      </c>
      <c r="E978" s="42">
        <f t="shared" ca="1" si="438"/>
        <v>22</v>
      </c>
      <c r="F978" t="str">
        <f t="shared" ca="1" si="439"/>
        <v>第7级，共造成191.9%点伤害</v>
      </c>
      <c r="G978">
        <f t="shared" ca="1" si="440"/>
        <v>4</v>
      </c>
      <c r="H978">
        <f t="shared" si="424"/>
        <v>4</v>
      </c>
      <c r="I978" s="44">
        <f t="shared" ca="1" si="449"/>
        <v>7</v>
      </c>
      <c r="J978">
        <f t="shared" si="425"/>
        <v>2</v>
      </c>
      <c r="K978" s="36">
        <f t="shared" ca="1" si="426"/>
        <v>191.9021739130435</v>
      </c>
      <c r="L978" s="10">
        <f ca="1">AH978*VLOOKUP(C978,技能辅助查询表,技能配置辅助表!$T$1,FALSE)</f>
        <v>0</v>
      </c>
      <c r="M978">
        <f t="shared" ca="1" si="427"/>
        <v>7440</v>
      </c>
      <c r="N978" s="33">
        <f ca="1">CHOOSE(1,W978*U978,X978*'[1]0、经济设定'!$C$18)</f>
        <v>2151</v>
      </c>
      <c r="O978">
        <f t="shared" si="428"/>
        <v>4</v>
      </c>
      <c r="P978">
        <f t="shared" si="429"/>
        <v>1</v>
      </c>
      <c r="Q978">
        <f t="shared" si="430"/>
        <v>1</v>
      </c>
      <c r="R978" s="2">
        <f t="shared" si="431"/>
        <v>12</v>
      </c>
      <c r="S978" s="2">
        <f t="shared" si="432"/>
        <v>50</v>
      </c>
      <c r="T978" s="2">
        <f t="shared" si="433"/>
        <v>179.34782608695653</v>
      </c>
      <c r="U978" s="2">
        <f ca="1">VLOOKUP(E978,金币生产率!$A$2:$B$120,2,0)</f>
        <v>239</v>
      </c>
      <c r="V978" s="2">
        <f t="shared" si="434"/>
        <v>179.34782608695653</v>
      </c>
      <c r="W978" s="45">
        <f t="shared" ca="1" si="446"/>
        <v>9</v>
      </c>
      <c r="X978" s="48">
        <f t="shared" ca="1" si="447"/>
        <v>54</v>
      </c>
      <c r="Y978">
        <f t="shared" si="435"/>
        <v>18</v>
      </c>
      <c r="Z978">
        <f t="shared" ca="1" si="441"/>
        <v>0</v>
      </c>
      <c r="AA978" t="str">
        <f t="shared" ca="1" si="442"/>
        <v>9224400.png</v>
      </c>
      <c r="AB978">
        <f t="shared" si="436"/>
        <v>20</v>
      </c>
      <c r="AC978">
        <f>VLOOKUP(C978,技能辅助查询表,技能配置辅助表!$W$1,FALSE)</f>
        <v>36</v>
      </c>
      <c r="AD978">
        <f t="shared" ca="1" si="443"/>
        <v>5.2829627029237276</v>
      </c>
      <c r="AE978">
        <f>VLOOKUP(C978,技能辅助查询表,技能配置辅助表!$U$1,FALSE)</f>
        <v>4</v>
      </c>
      <c r="AF978">
        <f t="shared" ca="1" si="444"/>
        <v>9224407</v>
      </c>
      <c r="AG978">
        <f t="shared" ca="1" si="448"/>
        <v>20.326530612244898</v>
      </c>
      <c r="AH978">
        <f t="shared" ca="1" si="445"/>
        <v>28.742316302127907</v>
      </c>
      <c r="AI978">
        <f ca="1">VLOOKUP(E978,伤害参考系!$C$4:$E$104,3,FALSE)*$AN$12</f>
        <v>753.08869565217401</v>
      </c>
      <c r="AJ978">
        <f>VLOOKUP(C978,技能辅助查询表,技能配置辅助表!$L$1,FALSE)</f>
        <v>1</v>
      </c>
      <c r="AK978">
        <f>VLOOKUP(C978,技能辅助查询表,技能配置辅助表!$AE$1,FALSE)</f>
        <v>66000388</v>
      </c>
    </row>
    <row r="979" spans="1:37" x14ac:dyDescent="0.15">
      <c r="A979" s="1">
        <f t="shared" ref="A979:A1042" ca="1" si="450">IF(I979=0,IF(H979=1,VALUE("9"&amp;D979&amp;J979&amp;O979&amp;G979&amp;IF(I979&gt;9,I979,"0"&amp;I979)),1),VALUE("9"&amp;D979&amp;J979&amp;O979&amp;G979&amp;IF(I979&gt;9,I979,"0"&amp;I979)))</f>
        <v>9224408</v>
      </c>
      <c r="B979" s="1" t="str">
        <f t="shared" ref="B979:B1042" ca="1" si="451">IF(AND(G979=0,AE979=4),LEFT(C979,LEN(C979)-3),C979)</f>
        <v>幻影脚第4段</v>
      </c>
      <c r="C979" t="s">
        <v>170</v>
      </c>
      <c r="D979">
        <f t="shared" ref="D979:D1042" si="452">VLOOKUP(C979,技能辅助查询表,3,FALSE)</f>
        <v>2</v>
      </c>
      <c r="E979" s="42">
        <f t="shared" ca="1" si="438"/>
        <v>23</v>
      </c>
      <c r="F979" t="str">
        <f t="shared" ca="1" si="439"/>
        <v>第8级，共造成193.7%点伤害</v>
      </c>
      <c r="G979">
        <f t="shared" ref="G979:G1042" ca="1" si="453">IF(I979=0,0,H979)</f>
        <v>4</v>
      </c>
      <c r="H979">
        <f t="shared" ref="H979:H1042" si="454">VLOOKUP(C979,技能辅助查询表,2,FALSE)</f>
        <v>4</v>
      </c>
      <c r="I979" s="44">
        <f t="shared" ref="I979:I1042" ca="1" si="455">IF(OFFSET(C979,-1,0)=C979,I978+1,0)</f>
        <v>8</v>
      </c>
      <c r="J979">
        <f t="shared" ref="J979:J1042" si="456">VLOOKUP(C979,技能辅助查询表,4,FALSE)</f>
        <v>2</v>
      </c>
      <c r="K979" s="36">
        <f t="shared" ref="K979:K1042" ca="1" si="457">IF(OR(I979=0,I979=1),T979,T979+T979*($AN$6-1)/S979*I979)</f>
        <v>193.69565217391306</v>
      </c>
      <c r="L979" s="10">
        <f ca="1">AH979*VLOOKUP(C979,技能辅助查询表,技能配置辅助表!$T$1,FALSE)</f>
        <v>0</v>
      </c>
      <c r="M979">
        <f t="shared" ca="1" si="427"/>
        <v>7360</v>
      </c>
      <c r="N979" s="33">
        <f ca="1">CHOOSE(1,W979*U979,X979*'[1]0、经济设定'!$C$18)</f>
        <v>2700</v>
      </c>
      <c r="O979">
        <f t="shared" ref="O979:O1042" si="458">VLOOKUP(C979,技能辅助查询表,5,FALSE)</f>
        <v>4</v>
      </c>
      <c r="P979">
        <f t="shared" ref="P979:P1042" si="459">VLOOKUP(C979,技能辅助查询表,6,FALSE)</f>
        <v>1</v>
      </c>
      <c r="Q979">
        <f t="shared" ref="Q979:Q1042" si="460">VLOOKUP(C979,技能辅助查询表,7,FALSE)</f>
        <v>1</v>
      </c>
      <c r="R979" s="2">
        <f t="shared" ref="R979:R1042" si="461">VLOOKUP(C979,技能辅助查询表,9,FALSE)</f>
        <v>12</v>
      </c>
      <c r="S979" s="2">
        <f t="shared" ref="S979:S1042" si="462">VLOOKUP(C979,技能辅助查询表,8,FALSE)</f>
        <v>50</v>
      </c>
      <c r="T979" s="2">
        <f t="shared" ref="T979:T1042" si="463">VLOOKUP(C979,技能辅助查询表,11,FALSE)</f>
        <v>179.34782608695653</v>
      </c>
      <c r="U979" s="2">
        <f ca="1">VLOOKUP(E979,金币生产率!$A$2:$B$120,2,0)</f>
        <v>270</v>
      </c>
      <c r="V979" s="2">
        <f t="shared" ref="V979:V1042" si="464">VLOOKUP(C979,技能辅助查询表,12,FALSE)</f>
        <v>179.34782608695653</v>
      </c>
      <c r="W979" s="45">
        <f t="shared" ca="1" si="446"/>
        <v>10</v>
      </c>
      <c r="X979" s="48">
        <f t="shared" ca="1" si="447"/>
        <v>64</v>
      </c>
      <c r="Y979">
        <f t="shared" si="435"/>
        <v>18</v>
      </c>
      <c r="Z979">
        <f t="shared" ca="1" si="441"/>
        <v>0</v>
      </c>
      <c r="AA979" t="str">
        <f t="shared" ref="AA979:AA1042" ca="1" si="465">AF979-MOD(AF979,100)&amp;".png"</f>
        <v>9224400.png</v>
      </c>
      <c r="AB979">
        <f t="shared" ref="AB979:AB1042" si="466">VLOOKUP(C979,技能辅助查询表,17,FALSE)</f>
        <v>20</v>
      </c>
      <c r="AC979">
        <f>VLOOKUP(C979,技能辅助查询表,技能配置辅助表!$W$1,FALSE)</f>
        <v>36</v>
      </c>
      <c r="AD979">
        <f t="shared" ca="1" si="443"/>
        <v>6.131958300357641</v>
      </c>
      <c r="AE979">
        <f>VLOOKUP(C979,技能辅助查询表,技能配置辅助表!$U$1,FALSE)</f>
        <v>4</v>
      </c>
      <c r="AF979">
        <f t="shared" ref="AF979:AF1042" ca="1" si="467">VALUE("9"&amp;D979&amp;J979&amp;O979&amp;H979&amp;IF(I979&gt;9,I979,"0"&amp;I979))</f>
        <v>9224408</v>
      </c>
      <c r="AG979">
        <f t="shared" ref="AG979:AG1042" ca="1" si="468">IF(I979=1,R979,IF(I979=0,0,(I979-1)*(80-R979)/(S979-1)+R979))</f>
        <v>21.714285714285715</v>
      </c>
      <c r="AH979">
        <f t="shared" ca="1" si="445"/>
        <v>32.722747310493212</v>
      </c>
      <c r="AI979">
        <f ca="1">VLOOKUP(E979,伤害参考系!$C$4:$E$104,3,FALSE)*$AN$12</f>
        <v>832.15832357859551</v>
      </c>
      <c r="AJ979">
        <f>VLOOKUP(C979,技能辅助查询表,技能配置辅助表!$L$1,FALSE)</f>
        <v>1</v>
      </c>
      <c r="AK979">
        <f>VLOOKUP(C979,技能辅助查询表,技能配置辅助表!$AE$1,FALSE)</f>
        <v>66000388</v>
      </c>
    </row>
    <row r="980" spans="1:37" x14ac:dyDescent="0.15">
      <c r="A980" s="1">
        <f t="shared" ca="1" si="450"/>
        <v>9224409</v>
      </c>
      <c r="B980" s="1" t="str">
        <f t="shared" ca="1" si="451"/>
        <v>幻影脚第4段</v>
      </c>
      <c r="C980" t="s">
        <v>170</v>
      </c>
      <c r="D980">
        <f t="shared" si="452"/>
        <v>2</v>
      </c>
      <c r="E980" s="42">
        <f t="shared" ca="1" si="438"/>
        <v>24</v>
      </c>
      <c r="F980" t="str">
        <f t="shared" ca="1" si="439"/>
        <v>第9级，共造成195.5%点伤害</v>
      </c>
      <c r="G980">
        <f t="shared" ca="1" si="453"/>
        <v>4</v>
      </c>
      <c r="H980">
        <f t="shared" si="454"/>
        <v>4</v>
      </c>
      <c r="I980" s="44">
        <f t="shared" ca="1" si="455"/>
        <v>9</v>
      </c>
      <c r="J980">
        <f t="shared" si="456"/>
        <v>2</v>
      </c>
      <c r="K980" s="36">
        <f t="shared" ca="1" si="457"/>
        <v>195.48913043478262</v>
      </c>
      <c r="L980" s="10">
        <f ca="1">AH980*VLOOKUP(C980,技能辅助查询表,技能配置辅助表!$T$1,FALSE)</f>
        <v>0</v>
      </c>
      <c r="M980">
        <f t="shared" ca="1" si="427"/>
        <v>7280</v>
      </c>
      <c r="N980" s="33">
        <f ca="1">CHOOSE(1,W980*U980,X980*'[1]0、经济设定'!$C$18)</f>
        <v>3322</v>
      </c>
      <c r="O980">
        <f t="shared" si="458"/>
        <v>4</v>
      </c>
      <c r="P980">
        <f t="shared" si="459"/>
        <v>1</v>
      </c>
      <c r="Q980">
        <f t="shared" si="460"/>
        <v>1</v>
      </c>
      <c r="R980" s="2">
        <f t="shared" si="461"/>
        <v>12</v>
      </c>
      <c r="S980" s="2">
        <f t="shared" si="462"/>
        <v>50</v>
      </c>
      <c r="T980" s="2">
        <f t="shared" si="463"/>
        <v>179.34782608695653</v>
      </c>
      <c r="U980" s="2">
        <f ca="1">VLOOKUP(E980,金币生产率!$A$2:$B$120,2,0)</f>
        <v>302</v>
      </c>
      <c r="V980" s="2">
        <f t="shared" si="464"/>
        <v>179.34782608695653</v>
      </c>
      <c r="W980" s="45">
        <f t="shared" ca="1" si="446"/>
        <v>11</v>
      </c>
      <c r="X980" s="48">
        <f t="shared" ca="1" si="447"/>
        <v>75</v>
      </c>
      <c r="Y980">
        <f t="shared" si="435"/>
        <v>18</v>
      </c>
      <c r="Z980">
        <f t="shared" ca="1" si="441"/>
        <v>0</v>
      </c>
      <c r="AA980" t="str">
        <f t="shared" ca="1" si="465"/>
        <v>9224400.png</v>
      </c>
      <c r="AB980">
        <f t="shared" si="466"/>
        <v>20</v>
      </c>
      <c r="AC980">
        <f>VLOOKUP(C980,技能辅助查询表,技能配置辅助表!$W$1,FALSE)</f>
        <v>36</v>
      </c>
      <c r="AD980">
        <f t="shared" ca="1" si="443"/>
        <v>7.1147834659187934</v>
      </c>
      <c r="AE980">
        <f>VLOOKUP(C980,技能辅助查询表,技能配置辅助表!$U$1,FALSE)</f>
        <v>4</v>
      </c>
      <c r="AF980">
        <f t="shared" ca="1" si="467"/>
        <v>9224409</v>
      </c>
      <c r="AG980">
        <f t="shared" ca="1" si="468"/>
        <v>23.102040816326529</v>
      </c>
      <c r="AH980">
        <f t="shared" ca="1" si="445"/>
        <v>37.25441541630785</v>
      </c>
      <c r="AI980">
        <f ca="1">VLOOKUP(E980,伤害参考系!$C$4:$E$104,3,FALSE)*$AN$12</f>
        <v>914.59374581939801</v>
      </c>
      <c r="AJ980">
        <f>VLOOKUP(C980,技能辅助查询表,技能配置辅助表!$L$1,FALSE)</f>
        <v>1</v>
      </c>
      <c r="AK980">
        <f>VLOOKUP(C980,技能辅助查询表,技能配置辅助表!$AE$1,FALSE)</f>
        <v>66000388</v>
      </c>
    </row>
    <row r="981" spans="1:37" x14ac:dyDescent="0.15">
      <c r="A981" s="1">
        <f t="shared" ca="1" si="450"/>
        <v>9224410</v>
      </c>
      <c r="B981" s="1" t="str">
        <f t="shared" ca="1" si="451"/>
        <v>幻影脚第4段</v>
      </c>
      <c r="C981" t="s">
        <v>170</v>
      </c>
      <c r="D981">
        <f t="shared" si="452"/>
        <v>2</v>
      </c>
      <c r="E981" s="42">
        <f t="shared" ca="1" si="438"/>
        <v>26</v>
      </c>
      <c r="F981" t="str">
        <f t="shared" ca="1" si="439"/>
        <v>第10级，共造成197.3%点伤害</v>
      </c>
      <c r="G981">
        <f t="shared" ca="1" si="453"/>
        <v>4</v>
      </c>
      <c r="H981">
        <f t="shared" si="454"/>
        <v>4</v>
      </c>
      <c r="I981" s="44">
        <f t="shared" ca="1" si="455"/>
        <v>10</v>
      </c>
      <c r="J981">
        <f t="shared" si="456"/>
        <v>2</v>
      </c>
      <c r="K981" s="36">
        <f t="shared" ca="1" si="457"/>
        <v>197.28260869565219</v>
      </c>
      <c r="L981" s="10">
        <f ca="1">AH981*VLOOKUP(C981,技能辅助查询表,技能配置辅助表!$T$1,FALSE)</f>
        <v>0</v>
      </c>
      <c r="M981">
        <f t="shared" ca="1" si="427"/>
        <v>7200</v>
      </c>
      <c r="N981" s="33">
        <f ca="1">CHOOSE(1,W981*U981,X981*'[1]0、经济设定'!$C$18)</f>
        <v>4440</v>
      </c>
      <c r="O981">
        <f t="shared" si="458"/>
        <v>4</v>
      </c>
      <c r="P981">
        <f t="shared" si="459"/>
        <v>1</v>
      </c>
      <c r="Q981">
        <f t="shared" si="460"/>
        <v>1</v>
      </c>
      <c r="R981" s="2">
        <f t="shared" si="461"/>
        <v>12</v>
      </c>
      <c r="S981" s="2">
        <f t="shared" si="462"/>
        <v>50</v>
      </c>
      <c r="T981" s="2">
        <f t="shared" si="463"/>
        <v>179.34782608695653</v>
      </c>
      <c r="U981" s="2">
        <f ca="1">VLOOKUP(E981,金币生产率!$A$2:$B$120,2,0)</f>
        <v>370</v>
      </c>
      <c r="V981" s="2">
        <f t="shared" si="464"/>
        <v>179.34782608695653</v>
      </c>
      <c r="W981" s="45">
        <f t="shared" ca="1" si="446"/>
        <v>12</v>
      </c>
      <c r="X981" s="48">
        <f t="shared" ca="1" si="447"/>
        <v>87</v>
      </c>
      <c r="Y981">
        <f t="shared" si="435"/>
        <v>18</v>
      </c>
      <c r="Z981">
        <f t="shared" ca="1" si="441"/>
        <v>0</v>
      </c>
      <c r="AA981" t="str">
        <f t="shared" ca="1" si="465"/>
        <v>9224400.png</v>
      </c>
      <c r="AB981">
        <f t="shared" si="466"/>
        <v>20</v>
      </c>
      <c r="AC981">
        <f>VLOOKUP(C981,技能辅助查询表,技能配置辅助表!$W$1,FALSE)</f>
        <v>36</v>
      </c>
      <c r="AD981">
        <f t="shared" ca="1" si="443"/>
        <v>8.2522229147450776</v>
      </c>
      <c r="AE981">
        <f>VLOOKUP(C981,技能辅助查询表,技能配置辅助表!$U$1,FALSE)</f>
        <v>4</v>
      </c>
      <c r="AF981">
        <f t="shared" ca="1" si="467"/>
        <v>9224410</v>
      </c>
      <c r="AG981">
        <f t="shared" ca="1" si="468"/>
        <v>24.489795918367349</v>
      </c>
      <c r="AH981">
        <f t="shared" ca="1" si="445"/>
        <v>42.413659673550121</v>
      </c>
      <c r="AI981">
        <f ca="1">VLOOKUP(E981,伤害参考系!$C$4:$E$104,3,FALSE)*$AN$12</f>
        <v>1103.3859732441474</v>
      </c>
      <c r="AJ981">
        <f>VLOOKUP(C981,技能辅助查询表,技能配置辅助表!$L$1,FALSE)</f>
        <v>1</v>
      </c>
      <c r="AK981">
        <f>VLOOKUP(C981,技能辅助查询表,技能配置辅助表!$AE$1,FALSE)</f>
        <v>66000388</v>
      </c>
    </row>
    <row r="982" spans="1:37" x14ac:dyDescent="0.15">
      <c r="A982" s="1">
        <f t="shared" ca="1" si="450"/>
        <v>9224411</v>
      </c>
      <c r="B982" s="1" t="str">
        <f t="shared" ca="1" si="451"/>
        <v>幻影脚第4段</v>
      </c>
      <c r="C982" t="s">
        <v>170</v>
      </c>
      <c r="D982">
        <f t="shared" si="452"/>
        <v>2</v>
      </c>
      <c r="E982" s="42">
        <f t="shared" ca="1" si="438"/>
        <v>27</v>
      </c>
      <c r="F982" t="str">
        <f t="shared" ca="1" si="439"/>
        <v>第11级，共造成199.1%点伤害</v>
      </c>
      <c r="G982">
        <f t="shared" ca="1" si="453"/>
        <v>4</v>
      </c>
      <c r="H982">
        <f t="shared" si="454"/>
        <v>4</v>
      </c>
      <c r="I982" s="44">
        <f t="shared" ca="1" si="455"/>
        <v>11</v>
      </c>
      <c r="J982">
        <f t="shared" si="456"/>
        <v>2</v>
      </c>
      <c r="K982" s="36">
        <f t="shared" ca="1" si="457"/>
        <v>199.07608695652175</v>
      </c>
      <c r="L982" s="10">
        <f ca="1">AH982*VLOOKUP(C982,技能辅助查询表,技能配置辅助表!$T$1,FALSE)</f>
        <v>0</v>
      </c>
      <c r="M982">
        <f t="shared" ca="1" si="427"/>
        <v>7120</v>
      </c>
      <c r="N982" s="33">
        <f ca="1">CHOOSE(1,W982*U982,X982*'[1]0、经济设定'!$C$18)</f>
        <v>4872</v>
      </c>
      <c r="O982">
        <f t="shared" si="458"/>
        <v>4</v>
      </c>
      <c r="P982">
        <f t="shared" si="459"/>
        <v>1</v>
      </c>
      <c r="Q982">
        <f t="shared" si="460"/>
        <v>1</v>
      </c>
      <c r="R982" s="2">
        <f t="shared" si="461"/>
        <v>12</v>
      </c>
      <c r="S982" s="2">
        <f t="shared" si="462"/>
        <v>50</v>
      </c>
      <c r="T982" s="2">
        <f t="shared" si="463"/>
        <v>179.34782608695653</v>
      </c>
      <c r="U982" s="2">
        <f ca="1">VLOOKUP(E982,金币生产率!$A$2:$B$120,2,0)</f>
        <v>406</v>
      </c>
      <c r="V982" s="2">
        <f t="shared" si="464"/>
        <v>179.34782608695653</v>
      </c>
      <c r="W982" s="45">
        <f t="shared" ca="1" si="446"/>
        <v>12</v>
      </c>
      <c r="X982" s="48">
        <f t="shared" ca="1" si="447"/>
        <v>99</v>
      </c>
      <c r="Y982">
        <f t="shared" si="435"/>
        <v>18</v>
      </c>
      <c r="Z982">
        <f t="shared" ca="1" si="441"/>
        <v>0</v>
      </c>
      <c r="AA982" t="str">
        <f t="shared" ca="1" si="465"/>
        <v>9224400.png</v>
      </c>
      <c r="AB982">
        <f t="shared" si="466"/>
        <v>20</v>
      </c>
      <c r="AC982">
        <f>VLOOKUP(C982,技能辅助查询表,技能配置辅助表!$W$1,FALSE)</f>
        <v>36</v>
      </c>
      <c r="AD982">
        <f t="shared" ca="1" si="443"/>
        <v>9.568251516366205</v>
      </c>
      <c r="AE982">
        <f>VLOOKUP(C982,技能辅助查询表,技能配置辅助表!$U$1,FALSE)</f>
        <v>4</v>
      </c>
      <c r="AF982">
        <f t="shared" ca="1" si="467"/>
        <v>9224411</v>
      </c>
      <c r="AG982">
        <f t="shared" ca="1" si="468"/>
        <v>25.877551020408163</v>
      </c>
      <c r="AH982">
        <f t="shared" ca="1" si="445"/>
        <v>48.287391086433935</v>
      </c>
      <c r="AI982">
        <f ca="1">VLOOKUP(E982,伤害参考系!$C$4:$E$104,3,FALSE)*$AN$12</f>
        <v>1210.5107784280938</v>
      </c>
      <c r="AJ982">
        <f>VLOOKUP(C982,技能辅助查询表,技能配置辅助表!$L$1,FALSE)</f>
        <v>1</v>
      </c>
      <c r="AK982">
        <f>VLOOKUP(C982,技能辅助查询表,技能配置辅助表!$AE$1,FALSE)</f>
        <v>66000388</v>
      </c>
    </row>
    <row r="983" spans="1:37" x14ac:dyDescent="0.15">
      <c r="A983" s="1">
        <f t="shared" ca="1" si="450"/>
        <v>9224412</v>
      </c>
      <c r="B983" s="1" t="str">
        <f t="shared" ca="1" si="451"/>
        <v>幻影脚第4段</v>
      </c>
      <c r="C983" t="s">
        <v>170</v>
      </c>
      <c r="D983">
        <f t="shared" si="452"/>
        <v>2</v>
      </c>
      <c r="E983" s="42">
        <f t="shared" ca="1" si="438"/>
        <v>28</v>
      </c>
      <c r="F983" t="str">
        <f t="shared" ca="1" si="439"/>
        <v>第12级，共造成200.9%点伤害</v>
      </c>
      <c r="G983">
        <f t="shared" ca="1" si="453"/>
        <v>4</v>
      </c>
      <c r="H983">
        <f t="shared" si="454"/>
        <v>4</v>
      </c>
      <c r="I983" s="44">
        <f t="shared" ca="1" si="455"/>
        <v>12</v>
      </c>
      <c r="J983">
        <f t="shared" si="456"/>
        <v>2</v>
      </c>
      <c r="K983" s="36">
        <f t="shared" ca="1" si="457"/>
        <v>200.86956521739131</v>
      </c>
      <c r="L983" s="10">
        <f ca="1">AH983*VLOOKUP(C983,技能辅助查询表,技能配置辅助表!$T$1,FALSE)</f>
        <v>0</v>
      </c>
      <c r="M983">
        <f t="shared" ca="1" si="427"/>
        <v>7040</v>
      </c>
      <c r="N983" s="33">
        <f ca="1">CHOOSE(1,W983*U983,X983*'[1]0、经济设定'!$C$18)</f>
        <v>5759</v>
      </c>
      <c r="O983">
        <f t="shared" si="458"/>
        <v>4</v>
      </c>
      <c r="P983">
        <f t="shared" si="459"/>
        <v>1</v>
      </c>
      <c r="Q983">
        <f t="shared" si="460"/>
        <v>1</v>
      </c>
      <c r="R983" s="2">
        <f t="shared" si="461"/>
        <v>12</v>
      </c>
      <c r="S983" s="2">
        <f t="shared" si="462"/>
        <v>50</v>
      </c>
      <c r="T983" s="2">
        <f t="shared" si="463"/>
        <v>179.34782608695653</v>
      </c>
      <c r="U983" s="2">
        <f ca="1">VLOOKUP(E983,金币生产率!$A$2:$B$120,2,0)</f>
        <v>443</v>
      </c>
      <c r="V983" s="2">
        <f t="shared" si="464"/>
        <v>179.34782608695653</v>
      </c>
      <c r="W983" s="45">
        <f t="shared" ca="1" si="446"/>
        <v>13</v>
      </c>
      <c r="X983" s="48">
        <f t="shared" ca="1" si="447"/>
        <v>112</v>
      </c>
      <c r="Y983">
        <f t="shared" si="435"/>
        <v>18</v>
      </c>
      <c r="Z983">
        <f t="shared" ca="1" si="441"/>
        <v>0</v>
      </c>
      <c r="AA983" t="str">
        <f t="shared" ca="1" si="465"/>
        <v>9224400.png</v>
      </c>
      <c r="AB983">
        <f t="shared" si="466"/>
        <v>20</v>
      </c>
      <c r="AC983">
        <f>VLOOKUP(C983,技能辅助查询表,技能配置辅助表!$W$1,FALSE)</f>
        <v>36</v>
      </c>
      <c r="AD983">
        <f t="shared" ca="1" si="443"/>
        <v>11.090519261633137</v>
      </c>
      <c r="AE983">
        <f>VLOOKUP(C983,技能辅助查询表,技能配置辅助表!$U$1,FALSE)</f>
        <v>4</v>
      </c>
      <c r="AF983">
        <f t="shared" ca="1" si="467"/>
        <v>9224412</v>
      </c>
      <c r="AG983">
        <f t="shared" ca="1" si="468"/>
        <v>27.26530612244898</v>
      </c>
      <c r="AH983">
        <f t="shared" ca="1" si="445"/>
        <v>54.974556684819426</v>
      </c>
      <c r="AI983">
        <f ca="1">VLOOKUP(E983,伤害参考系!$C$4:$E$104,3,FALSE)*$AN$12</f>
        <v>1321.7693779264216</v>
      </c>
      <c r="AJ983">
        <f>VLOOKUP(C983,技能辅助查询表,技能配置辅助表!$L$1,FALSE)</f>
        <v>1</v>
      </c>
      <c r="AK983">
        <f>VLOOKUP(C983,技能辅助查询表,技能配置辅助表!$AE$1,FALSE)</f>
        <v>66000388</v>
      </c>
    </row>
    <row r="984" spans="1:37" x14ac:dyDescent="0.15">
      <c r="A984" s="1">
        <f t="shared" ca="1" si="450"/>
        <v>9224413</v>
      </c>
      <c r="B984" s="1" t="str">
        <f t="shared" ca="1" si="451"/>
        <v>幻影脚第4段</v>
      </c>
      <c r="C984" t="s">
        <v>170</v>
      </c>
      <c r="D984">
        <f t="shared" si="452"/>
        <v>2</v>
      </c>
      <c r="E984" s="42">
        <f t="shared" ca="1" si="438"/>
        <v>30</v>
      </c>
      <c r="F984" t="str">
        <f t="shared" ca="1" si="439"/>
        <v>第13级，共造成202.7%点伤害</v>
      </c>
      <c r="G984">
        <f t="shared" ca="1" si="453"/>
        <v>4</v>
      </c>
      <c r="H984">
        <f t="shared" si="454"/>
        <v>4</v>
      </c>
      <c r="I984" s="44">
        <f t="shared" ca="1" si="455"/>
        <v>13</v>
      </c>
      <c r="J984">
        <f t="shared" si="456"/>
        <v>2</v>
      </c>
      <c r="K984" s="36">
        <f t="shared" ca="1" si="457"/>
        <v>202.66304347826087</v>
      </c>
      <c r="L984" s="10">
        <f ca="1">AH984*VLOOKUP(C984,技能辅助查询表,技能配置辅助表!$T$1,FALSE)</f>
        <v>0</v>
      </c>
      <c r="M984">
        <f t="shared" ca="1" si="427"/>
        <v>6960</v>
      </c>
      <c r="N984" s="33">
        <f ca="1">CHOOSE(1,W984*U984,X984*'[1]0、经济设定'!$C$18)</f>
        <v>7308</v>
      </c>
      <c r="O984">
        <f t="shared" si="458"/>
        <v>4</v>
      </c>
      <c r="P984">
        <f t="shared" si="459"/>
        <v>1</v>
      </c>
      <c r="Q984">
        <f t="shared" si="460"/>
        <v>1</v>
      </c>
      <c r="R984" s="2">
        <f t="shared" si="461"/>
        <v>12</v>
      </c>
      <c r="S984" s="2">
        <f t="shared" si="462"/>
        <v>50</v>
      </c>
      <c r="T984" s="2">
        <f t="shared" si="463"/>
        <v>179.34782608695653</v>
      </c>
      <c r="U984" s="2">
        <f ca="1">VLOOKUP(E984,金币生产率!$A$2:$B$120,2,0)</f>
        <v>522</v>
      </c>
      <c r="V984" s="2">
        <f t="shared" si="464"/>
        <v>179.34782608695653</v>
      </c>
      <c r="W984" s="45">
        <f t="shared" ca="1" si="446"/>
        <v>14</v>
      </c>
      <c r="X984" s="48">
        <f t="shared" ca="1" si="447"/>
        <v>126</v>
      </c>
      <c r="Y984">
        <f t="shared" si="435"/>
        <v>18</v>
      </c>
      <c r="Z984">
        <f t="shared" ca="1" si="441"/>
        <v>0</v>
      </c>
      <c r="AA984" t="str">
        <f t="shared" ca="1" si="465"/>
        <v>9224400.png</v>
      </c>
      <c r="AB984">
        <f t="shared" si="466"/>
        <v>20</v>
      </c>
      <c r="AC984">
        <f>VLOOKUP(C984,技能辅助查询表,技能配置辅助表!$W$1,FALSE)</f>
        <v>36</v>
      </c>
      <c r="AD984">
        <f t="shared" ca="1" si="443"/>
        <v>12.850909370007454</v>
      </c>
      <c r="AE984">
        <f>VLOOKUP(C984,技能辅助查询表,技能配置辅助表!$U$1,FALSE)</f>
        <v>4</v>
      </c>
      <c r="AF984">
        <f t="shared" ca="1" si="467"/>
        <v>9224413</v>
      </c>
      <c r="AG984">
        <f t="shared" ca="1" si="468"/>
        <v>28.653061224489797</v>
      </c>
      <c r="AH984">
        <f t="shared" ca="1" si="445"/>
        <v>62.587806354721323</v>
      </c>
      <c r="AI984">
        <f ca="1">VLOOKUP(E984,伤害参考系!$C$4:$E$104,3,FALSE)*$AN$12</f>
        <v>1576.1465593645489</v>
      </c>
      <c r="AJ984">
        <f>VLOOKUP(C984,技能辅助查询表,技能配置辅助表!$L$1,FALSE)</f>
        <v>1</v>
      </c>
      <c r="AK984">
        <f>VLOOKUP(C984,技能辅助查询表,技能配置辅助表!$AE$1,FALSE)</f>
        <v>66000388</v>
      </c>
    </row>
    <row r="985" spans="1:37" x14ac:dyDescent="0.15">
      <c r="A985" s="1">
        <f t="shared" ca="1" si="450"/>
        <v>9224414</v>
      </c>
      <c r="B985" s="1" t="str">
        <f t="shared" ca="1" si="451"/>
        <v>幻影脚第4段</v>
      </c>
      <c r="C985" t="s">
        <v>170</v>
      </c>
      <c r="D985">
        <f t="shared" si="452"/>
        <v>2</v>
      </c>
      <c r="E985" s="42">
        <f t="shared" ca="1" si="438"/>
        <v>31</v>
      </c>
      <c r="F985" t="str">
        <f t="shared" ca="1" si="439"/>
        <v>第14级，共造成204.5%点伤害</v>
      </c>
      <c r="G985">
        <f t="shared" ca="1" si="453"/>
        <v>4</v>
      </c>
      <c r="H985">
        <f t="shared" si="454"/>
        <v>4</v>
      </c>
      <c r="I985" s="44">
        <f t="shared" ca="1" si="455"/>
        <v>14</v>
      </c>
      <c r="J985">
        <f t="shared" si="456"/>
        <v>2</v>
      </c>
      <c r="K985" s="36">
        <f t="shared" ca="1" si="457"/>
        <v>204.45652173913044</v>
      </c>
      <c r="L985" s="10">
        <f ca="1">AH985*VLOOKUP(C985,技能辅助查询表,技能配置辅助表!$T$1,FALSE)</f>
        <v>0</v>
      </c>
      <c r="M985">
        <f t="shared" ca="1" si="427"/>
        <v>6880</v>
      </c>
      <c r="N985" s="33">
        <f ca="1">CHOOSE(1,W985*U985,X985*'[1]0、经济设定'!$C$18)</f>
        <v>8445</v>
      </c>
      <c r="O985">
        <f t="shared" si="458"/>
        <v>4</v>
      </c>
      <c r="P985">
        <f t="shared" si="459"/>
        <v>1</v>
      </c>
      <c r="Q985">
        <f t="shared" si="460"/>
        <v>1</v>
      </c>
      <c r="R985" s="2">
        <f t="shared" si="461"/>
        <v>12</v>
      </c>
      <c r="S985" s="2">
        <f t="shared" si="462"/>
        <v>50</v>
      </c>
      <c r="T985" s="2">
        <f t="shared" si="463"/>
        <v>179.34782608695653</v>
      </c>
      <c r="U985" s="2">
        <f ca="1">VLOOKUP(E985,金币生产率!$A$2:$B$120,2,0)</f>
        <v>563</v>
      </c>
      <c r="V985" s="2">
        <f t="shared" si="464"/>
        <v>179.34782608695653</v>
      </c>
      <c r="W985" s="45">
        <f t="shared" ca="1" si="446"/>
        <v>15</v>
      </c>
      <c r="X985" s="48">
        <f t="shared" ca="1" si="447"/>
        <v>141</v>
      </c>
      <c r="Y985">
        <f t="shared" si="435"/>
        <v>18</v>
      </c>
      <c r="Z985">
        <f t="shared" ca="1" si="441"/>
        <v>0</v>
      </c>
      <c r="AA985" t="str">
        <f t="shared" ca="1" si="465"/>
        <v>9224400.png</v>
      </c>
      <c r="AB985">
        <f t="shared" si="466"/>
        <v>20</v>
      </c>
      <c r="AC985">
        <f>VLOOKUP(C985,技能辅助查询表,技能配置辅助表!$W$1,FALSE)</f>
        <v>36</v>
      </c>
      <c r="AD985">
        <f t="shared" ca="1" si="443"/>
        <v>14.886180494175605</v>
      </c>
      <c r="AE985">
        <f>VLOOKUP(C985,技能辅助查询表,技能配置辅助表!$U$1,FALSE)</f>
        <v>4</v>
      </c>
      <c r="AF985">
        <f t="shared" ca="1" si="467"/>
        <v>9224414</v>
      </c>
      <c r="AG985">
        <f t="shared" ca="1" si="468"/>
        <v>30.040816326530614</v>
      </c>
      <c r="AH985">
        <f t="shared" ca="1" si="445"/>
        <v>71.25539050281769</v>
      </c>
      <c r="AI985">
        <f ca="1">VLOOKUP(E985,伤害参考系!$C$4:$E$104,3,FALSE)*$AN$12</f>
        <v>1721.3320384615388</v>
      </c>
      <c r="AJ985">
        <f>VLOOKUP(C985,技能辅助查询表,技能配置辅助表!$L$1,FALSE)</f>
        <v>1</v>
      </c>
      <c r="AK985">
        <f>VLOOKUP(C985,技能辅助查询表,技能配置辅助表!$AE$1,FALSE)</f>
        <v>66000388</v>
      </c>
    </row>
    <row r="986" spans="1:37" x14ac:dyDescent="0.15">
      <c r="A986" s="1">
        <f t="shared" ca="1" si="450"/>
        <v>9224415</v>
      </c>
      <c r="B986" s="1" t="str">
        <f t="shared" ca="1" si="451"/>
        <v>幻影脚第4段</v>
      </c>
      <c r="C986" t="s">
        <v>170</v>
      </c>
      <c r="D986">
        <f t="shared" si="452"/>
        <v>2</v>
      </c>
      <c r="E986" s="42">
        <f t="shared" ca="1" si="438"/>
        <v>32</v>
      </c>
      <c r="F986" t="str">
        <f t="shared" ca="1" si="439"/>
        <v>第15级，共造成206.3%点伤害</v>
      </c>
      <c r="G986">
        <f t="shared" ca="1" si="453"/>
        <v>4</v>
      </c>
      <c r="H986">
        <f t="shared" si="454"/>
        <v>4</v>
      </c>
      <c r="I986" s="44">
        <f t="shared" ca="1" si="455"/>
        <v>15</v>
      </c>
      <c r="J986">
        <f t="shared" si="456"/>
        <v>2</v>
      </c>
      <c r="K986" s="36">
        <f t="shared" ca="1" si="457"/>
        <v>206.25</v>
      </c>
      <c r="L986" s="10">
        <f ca="1">AH986*VLOOKUP(C986,技能辅助查询表,技能配置辅助表!$T$1,FALSE)</f>
        <v>0</v>
      </c>
      <c r="M986">
        <f t="shared" ca="1" si="427"/>
        <v>6800</v>
      </c>
      <c r="N986" s="33">
        <f ca="1">CHOOSE(1,W986*U986,X986*'[1]0、经济设定'!$C$18)</f>
        <v>9696</v>
      </c>
      <c r="O986">
        <f t="shared" si="458"/>
        <v>4</v>
      </c>
      <c r="P986">
        <f t="shared" si="459"/>
        <v>1</v>
      </c>
      <c r="Q986">
        <f t="shared" si="460"/>
        <v>1</v>
      </c>
      <c r="R986" s="2">
        <f t="shared" si="461"/>
        <v>12</v>
      </c>
      <c r="S986" s="2">
        <f t="shared" si="462"/>
        <v>50</v>
      </c>
      <c r="T986" s="2">
        <f t="shared" si="463"/>
        <v>179.34782608695653</v>
      </c>
      <c r="U986" s="2">
        <f ca="1">VLOOKUP(E986,金币生产率!$A$2:$B$120,2,0)</f>
        <v>606</v>
      </c>
      <c r="V986" s="2">
        <f t="shared" si="464"/>
        <v>179.34782608695653</v>
      </c>
      <c r="W986" s="45">
        <f t="shared" ca="1" si="446"/>
        <v>16</v>
      </c>
      <c r="X986" s="48">
        <f t="shared" ca="1" si="447"/>
        <v>157</v>
      </c>
      <c r="Y986">
        <f t="shared" si="435"/>
        <v>18</v>
      </c>
      <c r="Z986">
        <f t="shared" ca="1" si="441"/>
        <v>0</v>
      </c>
      <c r="AA986" t="str">
        <f t="shared" ca="1" si="465"/>
        <v>9224400.png</v>
      </c>
      <c r="AB986">
        <f t="shared" si="466"/>
        <v>20</v>
      </c>
      <c r="AC986">
        <f>VLOOKUP(C986,技能辅助查询表,技能配置辅助表!$W$1,FALSE)</f>
        <v>36</v>
      </c>
      <c r="AD986">
        <f t="shared" ca="1" si="443"/>
        <v>17.238705611013664</v>
      </c>
      <c r="AE986">
        <f>VLOOKUP(C986,技能辅助查询表,技能配置辅助表!$U$1,FALSE)</f>
        <v>4</v>
      </c>
      <c r="AF986">
        <f t="shared" ca="1" si="467"/>
        <v>9224415</v>
      </c>
      <c r="AG986">
        <f t="shared" ca="1" si="468"/>
        <v>31.428571428571427</v>
      </c>
      <c r="AH986">
        <f t="shared" ca="1" si="445"/>
        <v>81.123320522417259</v>
      </c>
      <c r="AI986">
        <f ca="1">VLOOKUP(E986,伤害参考系!$C$4:$E$104,3,FALSE)*$AN$12</f>
        <v>1873.3990785953181</v>
      </c>
      <c r="AJ986">
        <f>VLOOKUP(C986,技能辅助查询表,技能配置辅助表!$L$1,FALSE)</f>
        <v>1</v>
      </c>
      <c r="AK986">
        <f>VLOOKUP(C986,技能辅助查询表,技能配置辅助表!$AE$1,FALSE)</f>
        <v>66000388</v>
      </c>
    </row>
    <row r="987" spans="1:37" x14ac:dyDescent="0.15">
      <c r="A987" s="1">
        <f t="shared" ca="1" si="450"/>
        <v>9224416</v>
      </c>
      <c r="B987" s="1" t="str">
        <f t="shared" ca="1" si="451"/>
        <v>幻影脚第4段</v>
      </c>
      <c r="C987" t="s">
        <v>170</v>
      </c>
      <c r="D987">
        <f t="shared" si="452"/>
        <v>2</v>
      </c>
      <c r="E987" s="42">
        <f t="shared" ca="1" si="438"/>
        <v>34</v>
      </c>
      <c r="F987" t="str">
        <f t="shared" ca="1" si="439"/>
        <v>第16级，共造成208%点伤害</v>
      </c>
      <c r="G987">
        <f t="shared" ca="1" si="453"/>
        <v>4</v>
      </c>
      <c r="H987">
        <f t="shared" si="454"/>
        <v>4</v>
      </c>
      <c r="I987" s="44">
        <f t="shared" ca="1" si="455"/>
        <v>16</v>
      </c>
      <c r="J987">
        <f t="shared" si="456"/>
        <v>2</v>
      </c>
      <c r="K987" s="36">
        <f t="shared" ca="1" si="457"/>
        <v>208.04347826086956</v>
      </c>
      <c r="L987" s="10">
        <f ca="1">AH987*VLOOKUP(C987,技能辅助查询表,技能配置辅助表!$T$1,FALSE)</f>
        <v>0</v>
      </c>
      <c r="M987">
        <f t="shared" ca="1" si="427"/>
        <v>6720</v>
      </c>
      <c r="N987" s="33">
        <f ca="1">CHOOSE(1,W987*U987,X987*'[1]0、经济设定'!$C$18)</f>
        <v>11832</v>
      </c>
      <c r="O987">
        <f t="shared" si="458"/>
        <v>4</v>
      </c>
      <c r="P987">
        <f t="shared" si="459"/>
        <v>1</v>
      </c>
      <c r="Q987">
        <f t="shared" si="460"/>
        <v>1</v>
      </c>
      <c r="R987" s="2">
        <f t="shared" si="461"/>
        <v>12</v>
      </c>
      <c r="S987" s="2">
        <f t="shared" si="462"/>
        <v>50</v>
      </c>
      <c r="T987" s="2">
        <f t="shared" si="463"/>
        <v>179.34782608695653</v>
      </c>
      <c r="U987" s="2">
        <f ca="1">VLOOKUP(E987,金币生产率!$A$2:$B$120,2,0)</f>
        <v>696</v>
      </c>
      <c r="V987" s="2">
        <f t="shared" si="464"/>
        <v>179.34782608695653</v>
      </c>
      <c r="W987" s="45">
        <f t="shared" ca="1" si="446"/>
        <v>17</v>
      </c>
      <c r="X987" s="48">
        <f t="shared" ca="1" si="447"/>
        <v>174</v>
      </c>
      <c r="Y987">
        <f t="shared" si="435"/>
        <v>18</v>
      </c>
      <c r="Z987">
        <f t="shared" ca="1" si="441"/>
        <v>0</v>
      </c>
      <c r="AA987" t="str">
        <f t="shared" ca="1" si="465"/>
        <v>9224400.png</v>
      </c>
      <c r="AB987">
        <f t="shared" si="466"/>
        <v>20</v>
      </c>
      <c r="AC987">
        <f>VLOOKUP(C987,技能辅助查询表,技能配置辅助表!$W$1,FALSE)</f>
        <v>36</v>
      </c>
      <c r="AD987">
        <f t="shared" ca="1" si="443"/>
        <v>19.957322061887499</v>
      </c>
      <c r="AE987">
        <f>VLOOKUP(C987,技能辅助查询表,技能配置辅助表!$U$1,FALSE)</f>
        <v>4</v>
      </c>
      <c r="AF987">
        <f t="shared" ca="1" si="467"/>
        <v>9224416</v>
      </c>
      <c r="AG987">
        <f t="shared" ca="1" si="468"/>
        <v>32.816326530612244</v>
      </c>
      <c r="AH987">
        <f t="shared" ca="1" si="445"/>
        <v>92.357828455414989</v>
      </c>
      <c r="AI987">
        <f ca="1">VLOOKUP(E987,伤害参考系!$C$4:$E$104,3,FALSE)*$AN$12</f>
        <v>2196.2761028428095</v>
      </c>
      <c r="AJ987">
        <f>VLOOKUP(C987,技能辅助查询表,技能配置辅助表!$L$1,FALSE)</f>
        <v>1</v>
      </c>
      <c r="AK987">
        <f>VLOOKUP(C987,技能辅助查询表,技能配置辅助表!$AE$1,FALSE)</f>
        <v>66000388</v>
      </c>
    </row>
    <row r="988" spans="1:37" x14ac:dyDescent="0.15">
      <c r="A988" s="1">
        <f t="shared" ca="1" si="450"/>
        <v>9224417</v>
      </c>
      <c r="B988" s="1" t="str">
        <f t="shared" ca="1" si="451"/>
        <v>幻影脚第4段</v>
      </c>
      <c r="C988" t="s">
        <v>170</v>
      </c>
      <c r="D988">
        <f t="shared" si="452"/>
        <v>2</v>
      </c>
      <c r="E988" s="42">
        <f t="shared" ca="1" si="438"/>
        <v>35</v>
      </c>
      <c r="F988" t="str">
        <f t="shared" ca="1" si="439"/>
        <v>第17级，共造成209.8%点伤害</v>
      </c>
      <c r="G988">
        <f t="shared" ca="1" si="453"/>
        <v>4</v>
      </c>
      <c r="H988">
        <f t="shared" si="454"/>
        <v>4</v>
      </c>
      <c r="I988" s="44">
        <f t="shared" ca="1" si="455"/>
        <v>17</v>
      </c>
      <c r="J988">
        <f t="shared" si="456"/>
        <v>2</v>
      </c>
      <c r="K988" s="36">
        <f t="shared" ca="1" si="457"/>
        <v>209.83695652173915</v>
      </c>
      <c r="L988" s="10">
        <f ca="1">AH988*VLOOKUP(C988,技能辅助查询表,技能配置辅助表!$T$1,FALSE)</f>
        <v>0</v>
      </c>
      <c r="M988">
        <f t="shared" ca="1" si="427"/>
        <v>6640</v>
      </c>
      <c r="N988" s="33">
        <f ca="1">CHOOSE(1,W988*U988,X988*'[1]0、经济设定'!$C$18)</f>
        <v>14117</v>
      </c>
      <c r="O988">
        <f t="shared" si="458"/>
        <v>4</v>
      </c>
      <c r="P988">
        <f t="shared" si="459"/>
        <v>1</v>
      </c>
      <c r="Q988">
        <f t="shared" si="460"/>
        <v>1</v>
      </c>
      <c r="R988" s="2">
        <f t="shared" si="461"/>
        <v>12</v>
      </c>
      <c r="S988" s="2">
        <f t="shared" si="462"/>
        <v>50</v>
      </c>
      <c r="T988" s="2">
        <f t="shared" si="463"/>
        <v>179.34782608695653</v>
      </c>
      <c r="U988" s="2">
        <f ca="1">VLOOKUP(E988,金币生产率!$A$2:$B$120,2,0)</f>
        <v>743</v>
      </c>
      <c r="V988" s="2">
        <f t="shared" si="464"/>
        <v>179.34782608695653</v>
      </c>
      <c r="W988" s="45">
        <f t="shared" ca="1" si="446"/>
        <v>19</v>
      </c>
      <c r="X988" s="48">
        <f t="shared" ca="1" si="447"/>
        <v>193</v>
      </c>
      <c r="Y988">
        <f t="shared" si="435"/>
        <v>18</v>
      </c>
      <c r="Z988">
        <f t="shared" ca="1" si="441"/>
        <v>0</v>
      </c>
      <c r="AA988" t="str">
        <f t="shared" ca="1" si="465"/>
        <v>9224400.png</v>
      </c>
      <c r="AB988">
        <f t="shared" si="466"/>
        <v>20</v>
      </c>
      <c r="AC988">
        <f>VLOOKUP(C988,技能辅助查询表,技能配置辅助表!$W$1,FALSE)</f>
        <v>36</v>
      </c>
      <c r="AD988">
        <f t="shared" ca="1" si="443"/>
        <v>23.098309356830125</v>
      </c>
      <c r="AE988">
        <f>VLOOKUP(C988,技能辅助查询表,技能配置辅助表!$U$1,FALSE)</f>
        <v>4</v>
      </c>
      <c r="AF988">
        <f t="shared" ca="1" si="467"/>
        <v>9224417</v>
      </c>
      <c r="AG988">
        <f t="shared" ca="1" si="468"/>
        <v>34.204081632653057</v>
      </c>
      <c r="AH988">
        <f t="shared" ca="1" si="445"/>
        <v>105.14816728492683</v>
      </c>
      <c r="AI988">
        <f ca="1">VLOOKUP(E988,伤害参考系!$C$4:$E$104,3,FALSE)*$AN$12</f>
        <v>2367.0860869565217</v>
      </c>
      <c r="AJ988">
        <f>VLOOKUP(C988,技能辅助查询表,技能配置辅助表!$L$1,FALSE)</f>
        <v>1</v>
      </c>
      <c r="AK988">
        <f>VLOOKUP(C988,技能辅助查询表,技能配置辅助表!$AE$1,FALSE)</f>
        <v>66000388</v>
      </c>
    </row>
    <row r="989" spans="1:37" x14ac:dyDescent="0.15">
      <c r="A989" s="1">
        <f t="shared" ca="1" si="450"/>
        <v>9224418</v>
      </c>
      <c r="B989" s="1" t="str">
        <f t="shared" ca="1" si="451"/>
        <v>幻影脚第4段</v>
      </c>
      <c r="C989" t="s">
        <v>170</v>
      </c>
      <c r="D989">
        <f t="shared" si="452"/>
        <v>2</v>
      </c>
      <c r="E989" s="42">
        <f t="shared" ca="1" si="438"/>
        <v>36</v>
      </c>
      <c r="F989" t="str">
        <f t="shared" ca="1" si="439"/>
        <v>第18级，共造成211.6%点伤害</v>
      </c>
      <c r="G989">
        <f t="shared" ca="1" si="453"/>
        <v>4</v>
      </c>
      <c r="H989">
        <f t="shared" si="454"/>
        <v>4</v>
      </c>
      <c r="I989" s="44">
        <f t="shared" ca="1" si="455"/>
        <v>18</v>
      </c>
      <c r="J989">
        <f t="shared" si="456"/>
        <v>2</v>
      </c>
      <c r="K989" s="36">
        <f t="shared" ca="1" si="457"/>
        <v>211.63043478260872</v>
      </c>
      <c r="L989" s="10">
        <f ca="1">AH989*VLOOKUP(C989,技能辅助查询表,技能配置辅助表!$T$1,FALSE)</f>
        <v>0</v>
      </c>
      <c r="M989">
        <f t="shared" ca="1" si="427"/>
        <v>6560</v>
      </c>
      <c r="N989" s="33">
        <f ca="1">CHOOSE(1,W989*U989,X989*'[1]0、经济设定'!$C$18)</f>
        <v>15820</v>
      </c>
      <c r="O989">
        <f t="shared" si="458"/>
        <v>4</v>
      </c>
      <c r="P989">
        <f t="shared" si="459"/>
        <v>1</v>
      </c>
      <c r="Q989">
        <f t="shared" si="460"/>
        <v>1</v>
      </c>
      <c r="R989" s="2">
        <f t="shared" si="461"/>
        <v>12</v>
      </c>
      <c r="S989" s="2">
        <f t="shared" si="462"/>
        <v>50</v>
      </c>
      <c r="T989" s="2">
        <f t="shared" si="463"/>
        <v>179.34782608695653</v>
      </c>
      <c r="U989" s="2">
        <f ca="1">VLOOKUP(E989,金币生产率!$A$2:$B$120,2,0)</f>
        <v>791</v>
      </c>
      <c r="V989" s="2">
        <f t="shared" si="464"/>
        <v>179.34782608695653</v>
      </c>
      <c r="W989" s="45">
        <f t="shared" ca="1" si="446"/>
        <v>20</v>
      </c>
      <c r="X989" s="48">
        <f t="shared" ca="1" si="447"/>
        <v>213</v>
      </c>
      <c r="Y989">
        <f t="shared" si="435"/>
        <v>18</v>
      </c>
      <c r="Z989">
        <f t="shared" ca="1" si="441"/>
        <v>8</v>
      </c>
      <c r="AA989" t="str">
        <f t="shared" ca="1" si="465"/>
        <v>9224400.png</v>
      </c>
      <c r="AB989">
        <f t="shared" si="466"/>
        <v>20</v>
      </c>
      <c r="AC989">
        <f>VLOOKUP(C989,技能辅助查询表,技能配置辅助表!$W$1,FALSE)</f>
        <v>36</v>
      </c>
      <c r="AD989">
        <f t="shared" ca="1" si="443"/>
        <v>26.726513827239167</v>
      </c>
      <c r="AE989">
        <f>VLOOKUP(C989,技能辅助查询表,技能配置辅助表!$U$1,FALSE)</f>
        <v>4</v>
      </c>
      <c r="AF989">
        <f t="shared" ca="1" si="467"/>
        <v>9224418</v>
      </c>
      <c r="AG989">
        <f t="shared" ca="1" si="468"/>
        <v>35.591836734693878</v>
      </c>
      <c r="AH989">
        <f t="shared" ca="1" si="445"/>
        <v>119.70979903145096</v>
      </c>
      <c r="AI989">
        <f ca="1">VLOOKUP(E989,伤害参考系!$C$4:$E$104,3,FALSE)*$AN$12</f>
        <v>2544.1437190635456</v>
      </c>
      <c r="AJ989">
        <f>VLOOKUP(C989,技能辅助查询表,技能配置辅助表!$L$1,FALSE)</f>
        <v>1</v>
      </c>
      <c r="AK989">
        <f>VLOOKUP(C989,技能辅助查询表,技能配置辅助表!$AE$1,FALSE)</f>
        <v>66000388</v>
      </c>
    </row>
    <row r="990" spans="1:37" x14ac:dyDescent="0.15">
      <c r="A990" s="1">
        <f t="shared" ca="1" si="450"/>
        <v>9224419</v>
      </c>
      <c r="B990" s="1" t="str">
        <f t="shared" ca="1" si="451"/>
        <v>幻影脚第4段</v>
      </c>
      <c r="C990" t="s">
        <v>170</v>
      </c>
      <c r="D990">
        <f t="shared" si="452"/>
        <v>2</v>
      </c>
      <c r="E990" s="42">
        <f t="shared" ca="1" si="438"/>
        <v>38</v>
      </c>
      <c r="F990" t="str">
        <f t="shared" ca="1" si="439"/>
        <v>第19级，共造成213.4%点伤害</v>
      </c>
      <c r="G990">
        <f t="shared" ca="1" si="453"/>
        <v>4</v>
      </c>
      <c r="H990">
        <f t="shared" si="454"/>
        <v>4</v>
      </c>
      <c r="I990" s="44">
        <f t="shared" ca="1" si="455"/>
        <v>19</v>
      </c>
      <c r="J990">
        <f t="shared" si="456"/>
        <v>2</v>
      </c>
      <c r="K990" s="36">
        <f t="shared" ca="1" si="457"/>
        <v>213.42391304347828</v>
      </c>
      <c r="L990" s="10">
        <f ca="1">AH990*VLOOKUP(C990,技能辅助查询表,技能配置辅助表!$T$1,FALSE)</f>
        <v>0</v>
      </c>
      <c r="M990">
        <f t="shared" ca="1" si="427"/>
        <v>6480</v>
      </c>
      <c r="N990" s="33">
        <f ca="1">CHOOSE(1,W990*U990,X990*'[1]0、经济设定'!$C$18)</f>
        <v>18732</v>
      </c>
      <c r="O990">
        <f t="shared" si="458"/>
        <v>4</v>
      </c>
      <c r="P990">
        <f t="shared" si="459"/>
        <v>1</v>
      </c>
      <c r="Q990">
        <f t="shared" si="460"/>
        <v>1</v>
      </c>
      <c r="R990" s="2">
        <f t="shared" si="461"/>
        <v>12</v>
      </c>
      <c r="S990" s="2">
        <f t="shared" si="462"/>
        <v>50</v>
      </c>
      <c r="T990" s="2">
        <f t="shared" si="463"/>
        <v>179.34782608695653</v>
      </c>
      <c r="U990" s="2">
        <f ca="1">VLOOKUP(E990,金币生产率!$A$2:$B$120,2,0)</f>
        <v>892</v>
      </c>
      <c r="V990" s="2">
        <f t="shared" si="464"/>
        <v>179.34782608695653</v>
      </c>
      <c r="W990" s="45">
        <f t="shared" ca="1" si="446"/>
        <v>21</v>
      </c>
      <c r="X990" s="48">
        <f t="shared" ca="1" si="447"/>
        <v>234</v>
      </c>
      <c r="Y990">
        <f t="shared" si="435"/>
        <v>18</v>
      </c>
      <c r="Z990">
        <f t="shared" ca="1" si="441"/>
        <v>9</v>
      </c>
      <c r="AA990" t="str">
        <f t="shared" ca="1" si="465"/>
        <v>9224400.png</v>
      </c>
      <c r="AB990">
        <f t="shared" si="466"/>
        <v>20</v>
      </c>
      <c r="AC990">
        <f>VLOOKUP(C990,技能辅助查询表,技能配置辅助表!$W$1,FALSE)</f>
        <v>36</v>
      </c>
      <c r="AD990">
        <f t="shared" ca="1" si="443"/>
        <v>30.916642047348564</v>
      </c>
      <c r="AE990">
        <f>VLOOKUP(C990,技能辅助查询表,技能配置辅助表!$U$1,FALSE)</f>
        <v>4</v>
      </c>
      <c r="AF990">
        <f t="shared" ca="1" si="467"/>
        <v>9224419</v>
      </c>
      <c r="AG990">
        <f t="shared" ca="1" si="468"/>
        <v>36.979591836734699</v>
      </c>
      <c r="AH990">
        <f t="shared" ca="1" si="445"/>
        <v>136.28802435822078</v>
      </c>
      <c r="AI990">
        <f ca="1">VLOOKUP(E990,伤害参考系!$C$4:$E$104,3,FALSE)*$AN$12</f>
        <v>2917.001927257525</v>
      </c>
      <c r="AJ990">
        <f>VLOOKUP(C990,技能辅助查询表,技能配置辅助表!$L$1,FALSE)</f>
        <v>1</v>
      </c>
      <c r="AK990">
        <f>VLOOKUP(C990,技能辅助查询表,技能配置辅助表!$AE$1,FALSE)</f>
        <v>66000388</v>
      </c>
    </row>
    <row r="991" spans="1:37" x14ac:dyDescent="0.15">
      <c r="A991" s="1">
        <f t="shared" ca="1" si="450"/>
        <v>9224420</v>
      </c>
      <c r="B991" s="1" t="str">
        <f t="shared" ca="1" si="451"/>
        <v>幻影脚第4段</v>
      </c>
      <c r="C991" t="s">
        <v>170</v>
      </c>
      <c r="D991">
        <f t="shared" si="452"/>
        <v>2</v>
      </c>
      <c r="E991" s="42">
        <f t="shared" ca="1" si="438"/>
        <v>39</v>
      </c>
      <c r="F991" t="str">
        <f t="shared" ca="1" si="439"/>
        <v>第20级，共造成215.2%点伤害</v>
      </c>
      <c r="G991">
        <f t="shared" ca="1" si="453"/>
        <v>4</v>
      </c>
      <c r="H991">
        <f t="shared" si="454"/>
        <v>4</v>
      </c>
      <c r="I991" s="44">
        <f t="shared" ca="1" si="455"/>
        <v>20</v>
      </c>
      <c r="J991">
        <f t="shared" si="456"/>
        <v>2</v>
      </c>
      <c r="K991" s="36">
        <f t="shared" ca="1" si="457"/>
        <v>215.21739130434784</v>
      </c>
      <c r="L991" s="10">
        <f ca="1">AH991*VLOOKUP(C991,技能辅助查询表,技能配置辅助表!$T$1,FALSE)</f>
        <v>0</v>
      </c>
      <c r="M991">
        <f t="shared" ca="1" si="427"/>
        <v>6400</v>
      </c>
      <c r="N991" s="33">
        <f ca="1">CHOOSE(1,W991*U991,X991*'[1]0、经济设定'!$C$18)</f>
        <v>21712</v>
      </c>
      <c r="O991">
        <f t="shared" si="458"/>
        <v>4</v>
      </c>
      <c r="P991">
        <f t="shared" si="459"/>
        <v>1</v>
      </c>
      <c r="Q991">
        <f t="shared" si="460"/>
        <v>1</v>
      </c>
      <c r="R991" s="2">
        <f t="shared" si="461"/>
        <v>12</v>
      </c>
      <c r="S991" s="2">
        <f t="shared" si="462"/>
        <v>50</v>
      </c>
      <c r="T991" s="2">
        <f t="shared" si="463"/>
        <v>179.34782608695653</v>
      </c>
      <c r="U991" s="2">
        <f ca="1">VLOOKUP(E991,金币生产率!$A$2:$B$120,2,0)</f>
        <v>944</v>
      </c>
      <c r="V991" s="2">
        <f t="shared" si="464"/>
        <v>179.34782608695653</v>
      </c>
      <c r="W991" s="45">
        <f t="shared" ca="1" si="446"/>
        <v>23</v>
      </c>
      <c r="X991" s="48">
        <f t="shared" ca="1" si="447"/>
        <v>257</v>
      </c>
      <c r="Y991">
        <f t="shared" si="435"/>
        <v>18</v>
      </c>
      <c r="Z991">
        <f t="shared" ca="1" si="441"/>
        <v>10</v>
      </c>
      <c r="AA991" t="str">
        <f t="shared" ca="1" si="465"/>
        <v>9224400.png</v>
      </c>
      <c r="AB991">
        <f t="shared" si="466"/>
        <v>20</v>
      </c>
      <c r="AC991">
        <f>VLOOKUP(C991,技能辅助查询表,技能配置辅助表!$W$1,FALSE)</f>
        <v>36</v>
      </c>
      <c r="AD991">
        <f t="shared" ca="1" si="443"/>
        <v>35.754748199711614</v>
      </c>
      <c r="AE991">
        <f>VLOOKUP(C991,技能辅助查询表,技能配置辅助表!$U$1,FALSE)</f>
        <v>4</v>
      </c>
      <c r="AF991">
        <f t="shared" ca="1" si="467"/>
        <v>9224420</v>
      </c>
      <c r="AG991">
        <f t="shared" ca="1" si="468"/>
        <v>38.367346938775512</v>
      </c>
      <c r="AH991">
        <f t="shared" ca="1" si="445"/>
        <v>155.16211482893718</v>
      </c>
      <c r="AI991">
        <f ca="1">VLOOKUP(E991,伤害参考系!$C$4:$E$104,3,FALSE)*$AN$12</f>
        <v>3112.8025033444819</v>
      </c>
      <c r="AJ991">
        <f>VLOOKUP(C991,技能辅助查询表,技能配置辅助表!$L$1,FALSE)</f>
        <v>1</v>
      </c>
      <c r="AK991">
        <f>VLOOKUP(C991,技能辅助查询表,技能配置辅助表!$AE$1,FALSE)</f>
        <v>66000388</v>
      </c>
    </row>
    <row r="992" spans="1:37" x14ac:dyDescent="0.15">
      <c r="A992" s="1">
        <f t="shared" ca="1" si="450"/>
        <v>9224421</v>
      </c>
      <c r="B992" s="1" t="str">
        <f t="shared" ca="1" si="451"/>
        <v>幻影脚第4段</v>
      </c>
      <c r="C992" t="s">
        <v>170</v>
      </c>
      <c r="D992">
        <f t="shared" si="452"/>
        <v>2</v>
      </c>
      <c r="E992" s="42">
        <f t="shared" ca="1" si="438"/>
        <v>41</v>
      </c>
      <c r="F992" t="str">
        <f t="shared" ca="1" si="439"/>
        <v>第21级，共造成217%点伤害</v>
      </c>
      <c r="G992">
        <f t="shared" ca="1" si="453"/>
        <v>4</v>
      </c>
      <c r="H992">
        <f t="shared" si="454"/>
        <v>4</v>
      </c>
      <c r="I992" s="44">
        <f t="shared" ca="1" si="455"/>
        <v>21</v>
      </c>
      <c r="J992">
        <f t="shared" si="456"/>
        <v>2</v>
      </c>
      <c r="K992" s="36">
        <f t="shared" ca="1" si="457"/>
        <v>217.0108695652174</v>
      </c>
      <c r="L992" s="10">
        <f ca="1">AH992*VLOOKUP(C992,技能辅助查询表,技能配置辅助表!$T$1,FALSE)</f>
        <v>0</v>
      </c>
      <c r="M992">
        <f t="shared" ca="1" si="427"/>
        <v>6320</v>
      </c>
      <c r="N992" s="33">
        <f ca="1">CHOOSE(1,W992*U992,X992*'[1]0、经济设定'!$C$18)</f>
        <v>25272</v>
      </c>
      <c r="O992">
        <f t="shared" si="458"/>
        <v>4</v>
      </c>
      <c r="P992">
        <f t="shared" si="459"/>
        <v>1</v>
      </c>
      <c r="Q992">
        <f t="shared" si="460"/>
        <v>1</v>
      </c>
      <c r="R992" s="2">
        <f t="shared" si="461"/>
        <v>12</v>
      </c>
      <c r="S992" s="2">
        <f t="shared" si="462"/>
        <v>50</v>
      </c>
      <c r="T992" s="2">
        <f t="shared" si="463"/>
        <v>179.34782608695653</v>
      </c>
      <c r="U992" s="2">
        <f ca="1">VLOOKUP(E992,金币生产率!$A$2:$B$120,2,0)</f>
        <v>1053</v>
      </c>
      <c r="V992" s="2">
        <f t="shared" si="464"/>
        <v>179.34782608695653</v>
      </c>
      <c r="W992" s="45">
        <f t="shared" ca="1" si="446"/>
        <v>24</v>
      </c>
      <c r="X992" s="48">
        <f t="shared" ca="1" si="447"/>
        <v>281</v>
      </c>
      <c r="Y992">
        <f t="shared" si="435"/>
        <v>18</v>
      </c>
      <c r="Z992">
        <f t="shared" ca="1" si="441"/>
        <v>10</v>
      </c>
      <c r="AA992" t="str">
        <f t="shared" ca="1" si="465"/>
        <v>9224400.png</v>
      </c>
      <c r="AB992">
        <f t="shared" si="466"/>
        <v>20</v>
      </c>
      <c r="AC992">
        <f>VLOOKUP(C992,技能辅助查询表,技能配置辅助表!$W$1,FALSE)</f>
        <v>36</v>
      </c>
      <c r="AD992">
        <f t="shared" ca="1" si="443"/>
        <v>41.339944296061056</v>
      </c>
      <c r="AE992">
        <f>VLOOKUP(C992,技能辅助查询表,技能配置辅助表!$U$1,FALSE)</f>
        <v>4</v>
      </c>
      <c r="AF992">
        <f t="shared" ca="1" si="467"/>
        <v>9224421</v>
      </c>
      <c r="AG992">
        <f t="shared" ca="1" si="468"/>
        <v>39.755102040816325</v>
      </c>
      <c r="AH992">
        <f t="shared" ca="1" si="445"/>
        <v>176.65001742859343</v>
      </c>
      <c r="AI992">
        <f ca="1">VLOOKUP(E992,伤害参考系!$C$4:$E$104,3,FALSE)*$AN$12</f>
        <v>3584.9561889632118</v>
      </c>
      <c r="AJ992">
        <f>VLOOKUP(C992,技能辅助查询表,技能配置辅助表!$L$1,FALSE)</f>
        <v>1</v>
      </c>
      <c r="AK992">
        <f>VLOOKUP(C992,技能辅助查询表,技能配置辅助表!$AE$1,FALSE)</f>
        <v>66000388</v>
      </c>
    </row>
    <row r="993" spans="1:37" x14ac:dyDescent="0.15">
      <c r="A993" s="1">
        <f t="shared" ca="1" si="450"/>
        <v>9224422</v>
      </c>
      <c r="B993" s="1" t="str">
        <f t="shared" ca="1" si="451"/>
        <v>幻影脚第4段</v>
      </c>
      <c r="C993" t="s">
        <v>170</v>
      </c>
      <c r="D993">
        <f t="shared" si="452"/>
        <v>2</v>
      </c>
      <c r="E993" s="42">
        <f t="shared" ca="1" si="438"/>
        <v>42</v>
      </c>
      <c r="F993" t="str">
        <f t="shared" ca="1" si="439"/>
        <v>第22级，共造成218.8%点伤害</v>
      </c>
      <c r="G993">
        <f t="shared" ca="1" si="453"/>
        <v>4</v>
      </c>
      <c r="H993">
        <f t="shared" si="454"/>
        <v>4</v>
      </c>
      <c r="I993" s="44">
        <f t="shared" ca="1" si="455"/>
        <v>22</v>
      </c>
      <c r="J993">
        <f t="shared" si="456"/>
        <v>2</v>
      </c>
      <c r="K993" s="36">
        <f t="shared" ca="1" si="457"/>
        <v>218.80434782608697</v>
      </c>
      <c r="L993" s="10">
        <f ca="1">AH993*VLOOKUP(C993,技能辅助查询表,技能配置辅助表!$T$1,FALSE)</f>
        <v>0</v>
      </c>
      <c r="M993">
        <f t="shared" ca="1" si="427"/>
        <v>6240</v>
      </c>
      <c r="N993" s="33">
        <f ca="1">CHOOSE(1,W993*U993,X993*'[1]0、经济设定'!$C$18)</f>
        <v>28860</v>
      </c>
      <c r="O993">
        <f t="shared" si="458"/>
        <v>4</v>
      </c>
      <c r="P993">
        <f t="shared" si="459"/>
        <v>1</v>
      </c>
      <c r="Q993">
        <f t="shared" si="460"/>
        <v>1</v>
      </c>
      <c r="R993" s="2">
        <f t="shared" si="461"/>
        <v>12</v>
      </c>
      <c r="S993" s="2">
        <f t="shared" si="462"/>
        <v>50</v>
      </c>
      <c r="T993" s="2">
        <f t="shared" si="463"/>
        <v>179.34782608695653</v>
      </c>
      <c r="U993" s="2">
        <f ca="1">VLOOKUP(E993,金币生产率!$A$2:$B$120,2,0)</f>
        <v>1110</v>
      </c>
      <c r="V993" s="2">
        <f t="shared" si="464"/>
        <v>179.34782608695653</v>
      </c>
      <c r="W993" s="45">
        <f t="shared" ca="1" si="446"/>
        <v>26</v>
      </c>
      <c r="X993" s="48">
        <f t="shared" ca="1" si="447"/>
        <v>307</v>
      </c>
      <c r="Y993">
        <f t="shared" si="435"/>
        <v>18</v>
      </c>
      <c r="Z993">
        <f t="shared" ca="1" si="441"/>
        <v>11</v>
      </c>
      <c r="AA993" t="str">
        <f t="shared" ca="1" si="465"/>
        <v>9224400.png</v>
      </c>
      <c r="AB993">
        <f t="shared" si="466"/>
        <v>20</v>
      </c>
      <c r="AC993">
        <f>VLOOKUP(C993,技能辅助查询表,技能配置辅助表!$W$1,FALSE)</f>
        <v>36</v>
      </c>
      <c r="AD993">
        <f t="shared" ca="1" si="443"/>
        <v>47.786366453023689</v>
      </c>
      <c r="AE993">
        <f>VLOOKUP(C993,技能辅助查询表,技能配置辅助表!$U$1,FALSE)</f>
        <v>4</v>
      </c>
      <c r="AF993">
        <f t="shared" ca="1" si="467"/>
        <v>9224422</v>
      </c>
      <c r="AG993">
        <f t="shared" ca="1" si="468"/>
        <v>41.142857142857139</v>
      </c>
      <c r="AH993">
        <f t="shared" ca="1" si="445"/>
        <v>201.11371059826985</v>
      </c>
      <c r="AI993">
        <f ca="1">VLOOKUP(E993,伤害参考系!$C$4:$E$104,3,FALSE)*$AN$12</f>
        <v>3833.528327759198</v>
      </c>
      <c r="AJ993">
        <f>VLOOKUP(C993,技能辅助查询表,技能配置辅助表!$L$1,FALSE)</f>
        <v>1</v>
      </c>
      <c r="AK993">
        <f>VLOOKUP(C993,技能辅助查询表,技能配置辅助表!$AE$1,FALSE)</f>
        <v>66000388</v>
      </c>
    </row>
    <row r="994" spans="1:37" x14ac:dyDescent="0.15">
      <c r="A994" s="1">
        <f t="shared" ca="1" si="450"/>
        <v>9224423</v>
      </c>
      <c r="B994" s="1" t="str">
        <f t="shared" ca="1" si="451"/>
        <v>幻影脚第4段</v>
      </c>
      <c r="C994" t="s">
        <v>170</v>
      </c>
      <c r="D994">
        <f t="shared" si="452"/>
        <v>2</v>
      </c>
      <c r="E994" s="42">
        <f t="shared" ca="1" si="438"/>
        <v>43</v>
      </c>
      <c r="F994" t="str">
        <f t="shared" ca="1" si="439"/>
        <v>第23级，共造成220.6%点伤害</v>
      </c>
      <c r="G994">
        <f t="shared" ca="1" si="453"/>
        <v>4</v>
      </c>
      <c r="H994">
        <f t="shared" si="454"/>
        <v>4</v>
      </c>
      <c r="I994" s="44">
        <f t="shared" ca="1" si="455"/>
        <v>23</v>
      </c>
      <c r="J994">
        <f t="shared" si="456"/>
        <v>2</v>
      </c>
      <c r="K994" s="36">
        <f t="shared" ca="1" si="457"/>
        <v>220.59782608695653</v>
      </c>
      <c r="L994" s="10">
        <f ca="1">AH994*VLOOKUP(C994,技能辅助查询表,技能配置辅助表!$T$1,FALSE)</f>
        <v>0</v>
      </c>
      <c r="M994">
        <f t="shared" ca="1" si="427"/>
        <v>6160</v>
      </c>
      <c r="N994" s="33">
        <f ca="1">CHOOSE(1,W994*U994,X994*'[1]0、经济设定'!$C$18)</f>
        <v>32676</v>
      </c>
      <c r="O994">
        <f t="shared" si="458"/>
        <v>4</v>
      </c>
      <c r="P994">
        <f t="shared" si="459"/>
        <v>1</v>
      </c>
      <c r="Q994">
        <f t="shared" si="460"/>
        <v>1</v>
      </c>
      <c r="R994" s="2">
        <f t="shared" si="461"/>
        <v>12</v>
      </c>
      <c r="S994" s="2">
        <f t="shared" si="462"/>
        <v>50</v>
      </c>
      <c r="T994" s="2">
        <f t="shared" si="463"/>
        <v>179.34782608695653</v>
      </c>
      <c r="U994" s="2">
        <f ca="1">VLOOKUP(E994,金币生产率!$A$2:$B$120,2,0)</f>
        <v>1167</v>
      </c>
      <c r="V994" s="2">
        <f t="shared" si="464"/>
        <v>179.34782608695653</v>
      </c>
      <c r="W994" s="45">
        <f t="shared" ca="1" si="446"/>
        <v>28</v>
      </c>
      <c r="X994" s="48">
        <f t="shared" ca="1" si="447"/>
        <v>335</v>
      </c>
      <c r="Y994">
        <f t="shared" si="435"/>
        <v>18</v>
      </c>
      <c r="Z994">
        <f t="shared" ca="1" si="441"/>
        <v>12</v>
      </c>
      <c r="AA994" t="str">
        <f t="shared" ca="1" si="465"/>
        <v>9224400.png</v>
      </c>
      <c r="AB994">
        <f t="shared" si="466"/>
        <v>20</v>
      </c>
      <c r="AC994">
        <f>VLOOKUP(C994,技能辅助查询表,技能配置辅助表!$W$1,FALSE)</f>
        <v>36</v>
      </c>
      <c r="AD994">
        <f t="shared" ca="1" si="443"/>
        <v>55.225435343492038</v>
      </c>
      <c r="AE994">
        <f>VLOOKUP(C994,技能辅助查询表,技能配置辅助表!$U$1,FALSE)</f>
        <v>4</v>
      </c>
      <c r="AF994">
        <f t="shared" ca="1" si="467"/>
        <v>9224423</v>
      </c>
      <c r="AG994">
        <f t="shared" ca="1" si="468"/>
        <v>42.530612244897959</v>
      </c>
      <c r="AH994">
        <f t="shared" ca="1" si="445"/>
        <v>228.96530200997151</v>
      </c>
      <c r="AI994">
        <f ca="1">VLOOKUP(E994,伤害参考系!$C$4:$E$104,3,FALSE)*$AN$12</f>
        <v>4090.4306638795993</v>
      </c>
      <c r="AJ994">
        <f>VLOOKUP(C994,技能辅助查询表,技能配置辅助表!$L$1,FALSE)</f>
        <v>1</v>
      </c>
      <c r="AK994">
        <f>VLOOKUP(C994,技能辅助查询表,技能配置辅助表!$AE$1,FALSE)</f>
        <v>66000388</v>
      </c>
    </row>
    <row r="995" spans="1:37" x14ac:dyDescent="0.15">
      <c r="A995" s="1">
        <f t="shared" ca="1" si="450"/>
        <v>9224424</v>
      </c>
      <c r="B995" s="1" t="str">
        <f t="shared" ca="1" si="451"/>
        <v>幻影脚第4段</v>
      </c>
      <c r="C995" t="s">
        <v>170</v>
      </c>
      <c r="D995">
        <f t="shared" si="452"/>
        <v>2</v>
      </c>
      <c r="E995" s="42">
        <f t="shared" ca="1" si="438"/>
        <v>45</v>
      </c>
      <c r="F995" t="str">
        <f t="shared" ca="1" si="439"/>
        <v>第24级，共造成222.4%点伤害</v>
      </c>
      <c r="G995">
        <f t="shared" ca="1" si="453"/>
        <v>4</v>
      </c>
      <c r="H995">
        <f t="shared" si="454"/>
        <v>4</v>
      </c>
      <c r="I995" s="44">
        <f t="shared" ca="1" si="455"/>
        <v>24</v>
      </c>
      <c r="J995">
        <f t="shared" si="456"/>
        <v>2</v>
      </c>
      <c r="K995" s="36">
        <f t="shared" ca="1" si="457"/>
        <v>222.39130434782609</v>
      </c>
      <c r="L995" s="10">
        <f ca="1">AH995*VLOOKUP(C995,技能辅助查询表,技能配置辅助表!$T$1,FALSE)</f>
        <v>0</v>
      </c>
      <c r="M995">
        <f t="shared" ca="1" si="427"/>
        <v>6080</v>
      </c>
      <c r="N995" s="33">
        <f ca="1">CHOOSE(1,W995*U995,X995*'[1]0、经济设定'!$C$18)</f>
        <v>38610</v>
      </c>
      <c r="O995">
        <f t="shared" si="458"/>
        <v>4</v>
      </c>
      <c r="P995">
        <f t="shared" si="459"/>
        <v>1</v>
      </c>
      <c r="Q995">
        <f t="shared" si="460"/>
        <v>1</v>
      </c>
      <c r="R995" s="2">
        <f t="shared" si="461"/>
        <v>12</v>
      </c>
      <c r="S995" s="2">
        <f t="shared" si="462"/>
        <v>50</v>
      </c>
      <c r="T995" s="2">
        <f t="shared" si="463"/>
        <v>179.34782608695653</v>
      </c>
      <c r="U995" s="2">
        <f ca="1">VLOOKUP(E995,金币生产率!$A$2:$B$120,2,0)</f>
        <v>1287</v>
      </c>
      <c r="V995" s="2">
        <f t="shared" si="464"/>
        <v>179.34782608695653</v>
      </c>
      <c r="W995" s="45">
        <f t="shared" ca="1" si="446"/>
        <v>30</v>
      </c>
      <c r="X995" s="48">
        <f t="shared" ca="1" si="447"/>
        <v>365</v>
      </c>
      <c r="Y995">
        <f t="shared" si="435"/>
        <v>18</v>
      </c>
      <c r="Z995">
        <f t="shared" ca="1" si="441"/>
        <v>12</v>
      </c>
      <c r="AA995" t="str">
        <f t="shared" ca="1" si="465"/>
        <v>9224400.png</v>
      </c>
      <c r="AB995">
        <f t="shared" si="466"/>
        <v>20</v>
      </c>
      <c r="AC995">
        <f>VLOOKUP(C995,技能辅助查询表,技能配置辅助表!$W$1,FALSE)</f>
        <v>36</v>
      </c>
      <c r="AD995">
        <f t="shared" ca="1" si="443"/>
        <v>63.808454592140855</v>
      </c>
      <c r="AE995">
        <f>VLOOKUP(C995,技能辅助查询表,技能配置辅助表!$U$1,FALSE)</f>
        <v>4</v>
      </c>
      <c r="AF995">
        <f t="shared" ca="1" si="467"/>
        <v>9224424</v>
      </c>
      <c r="AG995">
        <f t="shared" ca="1" si="468"/>
        <v>43.91836734693878</v>
      </c>
      <c r="AH995">
        <f t="shared" ca="1" si="445"/>
        <v>260.67397080270689</v>
      </c>
      <c r="AI995">
        <f ca="1">VLOOKUP(E995,伤害参考系!$C$4:$E$104,3,FALSE)*$AN$12</f>
        <v>4629.2259280936469</v>
      </c>
      <c r="AJ995">
        <f>VLOOKUP(C995,技能辅助查询表,技能配置辅助表!$L$1,FALSE)</f>
        <v>1</v>
      </c>
      <c r="AK995">
        <f>VLOOKUP(C995,技能辅助查询表,技能配置辅助表!$AE$1,FALSE)</f>
        <v>66000388</v>
      </c>
    </row>
    <row r="996" spans="1:37" x14ac:dyDescent="0.15">
      <c r="A996" s="1">
        <f t="shared" ca="1" si="450"/>
        <v>9224425</v>
      </c>
      <c r="B996" s="1" t="str">
        <f t="shared" ca="1" si="451"/>
        <v>幻影脚第4段</v>
      </c>
      <c r="C996" t="s">
        <v>170</v>
      </c>
      <c r="D996">
        <f t="shared" si="452"/>
        <v>2</v>
      </c>
      <c r="E996" s="42">
        <f t="shared" ca="1" si="438"/>
        <v>46</v>
      </c>
      <c r="F996" t="str">
        <f t="shared" ca="1" si="439"/>
        <v>第25级，共造成224.2%点伤害</v>
      </c>
      <c r="G996">
        <f t="shared" ca="1" si="453"/>
        <v>4</v>
      </c>
      <c r="H996">
        <f t="shared" si="454"/>
        <v>4</v>
      </c>
      <c r="I996" s="44">
        <f t="shared" ca="1" si="455"/>
        <v>25</v>
      </c>
      <c r="J996">
        <f t="shared" si="456"/>
        <v>2</v>
      </c>
      <c r="K996" s="36">
        <f t="shared" ca="1" si="457"/>
        <v>224.18478260869566</v>
      </c>
      <c r="L996" s="10">
        <f ca="1">AH996*VLOOKUP(C996,技能辅助查询表,技能配置辅助表!$T$1,FALSE)</f>
        <v>0</v>
      </c>
      <c r="M996">
        <f t="shared" ca="1" si="427"/>
        <v>6000</v>
      </c>
      <c r="N996" s="33">
        <f ca="1">CHOOSE(1,W996*U996,X996*'[1]0、经济设定'!$C$18)</f>
        <v>43168</v>
      </c>
      <c r="O996">
        <f t="shared" si="458"/>
        <v>4</v>
      </c>
      <c r="P996">
        <f t="shared" si="459"/>
        <v>1</v>
      </c>
      <c r="Q996">
        <f t="shared" si="460"/>
        <v>1</v>
      </c>
      <c r="R996" s="2">
        <f t="shared" si="461"/>
        <v>12</v>
      </c>
      <c r="S996" s="2">
        <f t="shared" si="462"/>
        <v>50</v>
      </c>
      <c r="T996" s="2">
        <f t="shared" si="463"/>
        <v>179.34782608695653</v>
      </c>
      <c r="U996" s="2">
        <f ca="1">VLOOKUP(E996,金币生产率!$A$2:$B$120,2,0)</f>
        <v>1349</v>
      </c>
      <c r="V996" s="2">
        <f t="shared" si="464"/>
        <v>179.34782608695653</v>
      </c>
      <c r="W996" s="45">
        <f t="shared" ca="1" si="446"/>
        <v>32</v>
      </c>
      <c r="X996" s="48">
        <f t="shared" ca="1" si="447"/>
        <v>397</v>
      </c>
      <c r="Y996">
        <f t="shared" si="435"/>
        <v>18</v>
      </c>
      <c r="Z996">
        <f t="shared" ca="1" si="441"/>
        <v>13</v>
      </c>
      <c r="AA996" t="str">
        <f t="shared" ca="1" si="465"/>
        <v>9224400.png</v>
      </c>
      <c r="AB996">
        <f t="shared" si="466"/>
        <v>20</v>
      </c>
      <c r="AC996">
        <f>VLOOKUP(C996,技能辅助查询表,技能配置辅助表!$W$1,FALSE)</f>
        <v>36</v>
      </c>
      <c r="AD996">
        <f t="shared" ca="1" si="443"/>
        <v>73.709597364415032</v>
      </c>
      <c r="AE996">
        <f>VLOOKUP(C996,技能辅助查询表,技能配置辅助表!$U$1,FALSE)</f>
        <v>4</v>
      </c>
      <c r="AF996">
        <f t="shared" ca="1" si="467"/>
        <v>9224425</v>
      </c>
      <c r="AG996">
        <f t="shared" ca="1" si="468"/>
        <v>45.306122448979593</v>
      </c>
      <c r="AH996">
        <f t="shared" ca="1" si="445"/>
        <v>296.77387122652874</v>
      </c>
      <c r="AI996">
        <f ca="1">VLOOKUP(E996,伤害参考系!$C$4:$E$104,3,FALSE)*$AN$12</f>
        <v>4911.1188561872923</v>
      </c>
      <c r="AJ996">
        <f>VLOOKUP(C996,技能辅助查询表,技能配置辅助表!$L$1,FALSE)</f>
        <v>1</v>
      </c>
      <c r="AK996">
        <f>VLOOKUP(C996,技能辅助查询表,技能配置辅助表!$AE$1,FALSE)</f>
        <v>66000388</v>
      </c>
    </row>
    <row r="997" spans="1:37" x14ac:dyDescent="0.15">
      <c r="A997" s="1">
        <f t="shared" ca="1" si="450"/>
        <v>9224426</v>
      </c>
      <c r="B997" s="1" t="str">
        <f t="shared" ca="1" si="451"/>
        <v>幻影脚第4段</v>
      </c>
      <c r="C997" t="s">
        <v>170</v>
      </c>
      <c r="D997">
        <f t="shared" si="452"/>
        <v>2</v>
      </c>
      <c r="E997" s="42">
        <f t="shared" ca="1" si="438"/>
        <v>47</v>
      </c>
      <c r="F997" t="str">
        <f t="shared" ca="1" si="439"/>
        <v>第26级，共造成226%点伤害</v>
      </c>
      <c r="G997">
        <f t="shared" ca="1" si="453"/>
        <v>4</v>
      </c>
      <c r="H997">
        <f t="shared" si="454"/>
        <v>4</v>
      </c>
      <c r="I997" s="44">
        <f t="shared" ca="1" si="455"/>
        <v>26</v>
      </c>
      <c r="J997">
        <f t="shared" si="456"/>
        <v>2</v>
      </c>
      <c r="K997" s="36">
        <f t="shared" ca="1" si="457"/>
        <v>225.97826086956525</v>
      </c>
      <c r="L997" s="10">
        <f ca="1">AH997*VLOOKUP(C997,技能辅助查询表,技能配置辅助表!$T$1,FALSE)</f>
        <v>0</v>
      </c>
      <c r="M997">
        <f t="shared" ca="1" si="427"/>
        <v>5920</v>
      </c>
      <c r="N997" s="33">
        <f ca="1">CHOOSE(1,W997*U997,X997*'[1]0、经济设定'!$C$18)</f>
        <v>48008</v>
      </c>
      <c r="O997">
        <f t="shared" si="458"/>
        <v>4</v>
      </c>
      <c r="P997">
        <f t="shared" si="459"/>
        <v>1</v>
      </c>
      <c r="Q997">
        <f t="shared" si="460"/>
        <v>1</v>
      </c>
      <c r="R997" s="2">
        <f t="shared" si="461"/>
        <v>12</v>
      </c>
      <c r="S997" s="2">
        <f t="shared" si="462"/>
        <v>50</v>
      </c>
      <c r="T997" s="2">
        <f t="shared" si="463"/>
        <v>179.34782608695653</v>
      </c>
      <c r="U997" s="2">
        <f ca="1">VLOOKUP(E997,金币生产率!$A$2:$B$120,2,0)</f>
        <v>1412</v>
      </c>
      <c r="V997" s="2">
        <f t="shared" si="464"/>
        <v>179.34782608695653</v>
      </c>
      <c r="W997" s="45">
        <f t="shared" ca="1" si="446"/>
        <v>34</v>
      </c>
      <c r="X997" s="48">
        <f t="shared" ca="1" si="447"/>
        <v>431</v>
      </c>
      <c r="Y997">
        <f t="shared" si="435"/>
        <v>18</v>
      </c>
      <c r="Z997">
        <f t="shared" ca="1" si="441"/>
        <v>14</v>
      </c>
      <c r="AA997" t="str">
        <f t="shared" ca="1" si="465"/>
        <v>9224400.png</v>
      </c>
      <c r="AB997">
        <f t="shared" si="466"/>
        <v>20</v>
      </c>
      <c r="AC997">
        <f>VLOOKUP(C997,技能辅助查询表,技能配置辅助表!$W$1,FALSE)</f>
        <v>36</v>
      </c>
      <c r="AD997">
        <f t="shared" ca="1" si="443"/>
        <v>85.129338834759039</v>
      </c>
      <c r="AE997">
        <f>VLOOKUP(C997,技能辅助查询表,技能配置辅助表!$U$1,FALSE)</f>
        <v>4</v>
      </c>
      <c r="AF997">
        <f t="shared" ca="1" si="467"/>
        <v>9224426</v>
      </c>
      <c r="AG997">
        <f t="shared" ca="1" si="468"/>
        <v>46.693877551020407</v>
      </c>
      <c r="AH997">
        <f t="shared" ca="1" si="445"/>
        <v>337.87313083683472</v>
      </c>
      <c r="AI997">
        <f ca="1">VLOOKUP(E997,伤害参考系!$C$4:$E$104,3,FALSE)*$AN$12</f>
        <v>5201.3419816053529</v>
      </c>
      <c r="AJ997">
        <f>VLOOKUP(C997,技能辅助查询表,技能配置辅助表!$L$1,FALSE)</f>
        <v>1</v>
      </c>
      <c r="AK997">
        <f>VLOOKUP(C997,技能辅助查询表,技能配置辅助表!$AE$1,FALSE)</f>
        <v>66000388</v>
      </c>
    </row>
    <row r="998" spans="1:37" x14ac:dyDescent="0.15">
      <c r="A998" s="1">
        <f t="shared" ca="1" si="450"/>
        <v>9224427</v>
      </c>
      <c r="B998" s="1" t="str">
        <f t="shared" ca="1" si="451"/>
        <v>幻影脚第4段</v>
      </c>
      <c r="C998" t="s">
        <v>170</v>
      </c>
      <c r="D998">
        <f t="shared" si="452"/>
        <v>2</v>
      </c>
      <c r="E998" s="42">
        <f t="shared" ca="1" si="438"/>
        <v>49</v>
      </c>
      <c r="F998" t="str">
        <f t="shared" ca="1" si="439"/>
        <v>第27级，共造成227.8%点伤害</v>
      </c>
      <c r="G998">
        <f t="shared" ca="1" si="453"/>
        <v>4</v>
      </c>
      <c r="H998">
        <f t="shared" si="454"/>
        <v>4</v>
      </c>
      <c r="I998" s="44">
        <f t="shared" ca="1" si="455"/>
        <v>27</v>
      </c>
      <c r="J998">
        <f t="shared" si="456"/>
        <v>2</v>
      </c>
      <c r="K998" s="36">
        <f t="shared" ca="1" si="457"/>
        <v>227.77173913043481</v>
      </c>
      <c r="L998" s="10">
        <f ca="1">AH998*VLOOKUP(C998,技能辅助查询表,技能配置辅助表!$T$1,FALSE)</f>
        <v>0</v>
      </c>
      <c r="M998">
        <f t="shared" ca="1" si="427"/>
        <v>5840</v>
      </c>
      <c r="N998" s="33">
        <f ca="1">CHOOSE(1,W998*U998,X998*'[1]0、经济设定'!$C$18)</f>
        <v>55548</v>
      </c>
      <c r="O998">
        <f t="shared" si="458"/>
        <v>4</v>
      </c>
      <c r="P998">
        <f t="shared" si="459"/>
        <v>1</v>
      </c>
      <c r="Q998">
        <f t="shared" si="460"/>
        <v>1</v>
      </c>
      <c r="R998" s="2">
        <f t="shared" si="461"/>
        <v>12</v>
      </c>
      <c r="S998" s="2">
        <f t="shared" si="462"/>
        <v>50</v>
      </c>
      <c r="T998" s="2">
        <f t="shared" si="463"/>
        <v>179.34782608695653</v>
      </c>
      <c r="U998" s="2">
        <f ca="1">VLOOKUP(E998,金币生产率!$A$2:$B$120,2,0)</f>
        <v>1543</v>
      </c>
      <c r="V998" s="2">
        <f t="shared" si="464"/>
        <v>179.34782608695653</v>
      </c>
      <c r="W998" s="45">
        <f t="shared" ca="1" si="446"/>
        <v>36</v>
      </c>
      <c r="X998" s="48">
        <f t="shared" ca="1" si="447"/>
        <v>467</v>
      </c>
      <c r="Y998">
        <f t="shared" si="435"/>
        <v>18</v>
      </c>
      <c r="Z998">
        <f t="shared" ca="1" si="441"/>
        <v>15</v>
      </c>
      <c r="AA998" t="str">
        <f t="shared" ca="1" si="465"/>
        <v>9224400.png</v>
      </c>
      <c r="AB998">
        <f t="shared" si="466"/>
        <v>20</v>
      </c>
      <c r="AC998">
        <f>VLOOKUP(C998,技能辅助查询表,技能配置辅助表!$W$1,FALSE)</f>
        <v>36</v>
      </c>
      <c r="AD998">
        <f t="shared" ca="1" si="443"/>
        <v>98.298400752289908</v>
      </c>
      <c r="AE998">
        <f>VLOOKUP(C998,技能辅助查询表,技能配置辅助表!$U$1,FALSE)</f>
        <v>4</v>
      </c>
      <c r="AF998">
        <f t="shared" ca="1" si="467"/>
        <v>9224427</v>
      </c>
      <c r="AG998">
        <f t="shared" ca="1" si="468"/>
        <v>48.081632653061227</v>
      </c>
      <c r="AH998">
        <f t="shared" ca="1" si="445"/>
        <v>384.66409481967975</v>
      </c>
      <c r="AI998">
        <f ca="1">VLOOKUP(E998,伤害参考系!$C$4:$E$104,3,FALSE)*$AN$12</f>
        <v>5806.7788244147177</v>
      </c>
      <c r="AJ998">
        <f>VLOOKUP(C998,技能辅助查询表,技能配置辅助表!$L$1,FALSE)</f>
        <v>1</v>
      </c>
      <c r="AK998">
        <f>VLOOKUP(C998,技能辅助查询表,技能配置辅助表!$AE$1,FALSE)</f>
        <v>66000388</v>
      </c>
    </row>
    <row r="999" spans="1:37" x14ac:dyDescent="0.15">
      <c r="A999" s="1">
        <f t="shared" ca="1" si="450"/>
        <v>9224428</v>
      </c>
      <c r="B999" s="1" t="str">
        <f t="shared" ca="1" si="451"/>
        <v>幻影脚第4段</v>
      </c>
      <c r="C999" t="s">
        <v>170</v>
      </c>
      <c r="D999">
        <f t="shared" si="452"/>
        <v>2</v>
      </c>
      <c r="E999" s="42">
        <f t="shared" ca="1" si="438"/>
        <v>50</v>
      </c>
      <c r="F999" t="str">
        <f t="shared" ca="1" si="439"/>
        <v>第28级，共造成229.6%点伤害</v>
      </c>
      <c r="G999">
        <f t="shared" ca="1" si="453"/>
        <v>4</v>
      </c>
      <c r="H999">
        <f t="shared" si="454"/>
        <v>4</v>
      </c>
      <c r="I999" s="44">
        <f t="shared" ca="1" si="455"/>
        <v>28</v>
      </c>
      <c r="J999">
        <f t="shared" si="456"/>
        <v>2</v>
      </c>
      <c r="K999" s="36">
        <f t="shared" ca="1" si="457"/>
        <v>229.56521739130437</v>
      </c>
      <c r="L999" s="10">
        <f ca="1">AH999*VLOOKUP(C999,技能辅助查询表,技能配置辅助表!$T$1,FALSE)</f>
        <v>0</v>
      </c>
      <c r="M999">
        <f t="shared" ca="1" si="427"/>
        <v>5760</v>
      </c>
      <c r="N999" s="33">
        <f ca="1">CHOOSE(1,W999*U999,X999*'[1]0、经济设定'!$C$18)</f>
        <v>62790</v>
      </c>
      <c r="O999">
        <f t="shared" si="458"/>
        <v>4</v>
      </c>
      <c r="P999">
        <f t="shared" si="459"/>
        <v>1</v>
      </c>
      <c r="Q999">
        <f t="shared" si="460"/>
        <v>1</v>
      </c>
      <c r="R999" s="2">
        <f t="shared" si="461"/>
        <v>12</v>
      </c>
      <c r="S999" s="2">
        <f t="shared" si="462"/>
        <v>50</v>
      </c>
      <c r="T999" s="2">
        <f t="shared" si="463"/>
        <v>179.34782608695653</v>
      </c>
      <c r="U999" s="2">
        <f ca="1">VLOOKUP(E999,金币生产率!$A$2:$B$120,2,0)</f>
        <v>1610</v>
      </c>
      <c r="V999" s="2">
        <f t="shared" si="464"/>
        <v>179.34782608695653</v>
      </c>
      <c r="W999" s="45">
        <f t="shared" ca="1" si="446"/>
        <v>39</v>
      </c>
      <c r="X999" s="48">
        <f t="shared" ca="1" si="447"/>
        <v>506</v>
      </c>
      <c r="Y999">
        <f t="shared" si="435"/>
        <v>18</v>
      </c>
      <c r="Z999">
        <f t="shared" ca="1" si="441"/>
        <v>16</v>
      </c>
      <c r="AA999" t="str">
        <f t="shared" ca="1" si="465"/>
        <v>9224400.png</v>
      </c>
      <c r="AB999">
        <f t="shared" si="466"/>
        <v>20</v>
      </c>
      <c r="AC999">
        <f>VLOOKUP(C999,技能辅助查询表,技能配置辅助表!$W$1,FALSE)</f>
        <v>36</v>
      </c>
      <c r="AD999">
        <f t="shared" ca="1" si="443"/>
        <v>113.48228411146992</v>
      </c>
      <c r="AE999">
        <f>VLOOKUP(C999,技能辅助查询表,技能配置辅助表!$U$1,FALSE)</f>
        <v>4</v>
      </c>
      <c r="AF999">
        <f t="shared" ca="1" si="467"/>
        <v>9224428</v>
      </c>
      <c r="AG999">
        <f t="shared" ca="1" si="468"/>
        <v>49.469387755102041</v>
      </c>
      <c r="AH999">
        <f t="shared" ca="1" si="445"/>
        <v>437.93498902077317</v>
      </c>
      <c r="AI999">
        <f ca="1">VLOOKUP(E999,伤害参考系!$C$4:$E$104,3,FALSE)*$AN$12</f>
        <v>6162.2688085284308</v>
      </c>
      <c r="AJ999">
        <f>VLOOKUP(C999,技能辅助查询表,技能配置辅助表!$L$1,FALSE)</f>
        <v>1</v>
      </c>
      <c r="AK999">
        <f>VLOOKUP(C999,技能辅助查询表,技能配置辅助表!$AE$1,FALSE)</f>
        <v>66000388</v>
      </c>
    </row>
    <row r="1000" spans="1:37" x14ac:dyDescent="0.15">
      <c r="A1000" s="1">
        <f t="shared" ca="1" si="450"/>
        <v>9224429</v>
      </c>
      <c r="B1000" s="1" t="str">
        <f t="shared" ca="1" si="451"/>
        <v>幻影脚第4段</v>
      </c>
      <c r="C1000" t="s">
        <v>170</v>
      </c>
      <c r="D1000">
        <f t="shared" si="452"/>
        <v>2</v>
      </c>
      <c r="E1000" s="42">
        <f t="shared" ca="1" si="438"/>
        <v>51</v>
      </c>
      <c r="F1000" t="str">
        <f t="shared" ca="1" si="439"/>
        <v>第29级，共造成231.4%点伤害</v>
      </c>
      <c r="G1000">
        <f t="shared" ca="1" si="453"/>
        <v>4</v>
      </c>
      <c r="H1000">
        <f t="shared" si="454"/>
        <v>4</v>
      </c>
      <c r="I1000" s="44">
        <f t="shared" ca="1" si="455"/>
        <v>29</v>
      </c>
      <c r="J1000">
        <f t="shared" si="456"/>
        <v>2</v>
      </c>
      <c r="K1000" s="36">
        <f t="shared" ca="1" si="457"/>
        <v>231.35869565217394</v>
      </c>
      <c r="L1000" s="10">
        <f ca="1">AH1000*VLOOKUP(C1000,技能辅助查询表,技能配置辅助表!$T$1,FALSE)</f>
        <v>0</v>
      </c>
      <c r="M1000">
        <f t="shared" ca="1" si="427"/>
        <v>5680</v>
      </c>
      <c r="N1000" s="33">
        <f ca="1">CHOOSE(1,W1000*U1000,X1000*'[1]0、经济设定'!$C$18)</f>
        <v>70518</v>
      </c>
      <c r="O1000">
        <f t="shared" si="458"/>
        <v>4</v>
      </c>
      <c r="P1000">
        <f t="shared" si="459"/>
        <v>1</v>
      </c>
      <c r="Q1000">
        <f t="shared" si="460"/>
        <v>1</v>
      </c>
      <c r="R1000" s="2">
        <f t="shared" si="461"/>
        <v>12</v>
      </c>
      <c r="S1000" s="2">
        <f t="shared" si="462"/>
        <v>50</v>
      </c>
      <c r="T1000" s="2">
        <f t="shared" si="463"/>
        <v>179.34782608695653</v>
      </c>
      <c r="U1000" s="2">
        <f ca="1">VLOOKUP(E1000,金币生产率!$A$2:$B$120,2,0)</f>
        <v>1679</v>
      </c>
      <c r="V1000" s="2">
        <f t="shared" si="464"/>
        <v>179.34782608695653</v>
      </c>
      <c r="W1000" s="45">
        <f t="shared" ca="1" si="446"/>
        <v>42</v>
      </c>
      <c r="X1000" s="48">
        <f t="shared" ca="1" si="447"/>
        <v>548</v>
      </c>
      <c r="Y1000">
        <f t="shared" si="435"/>
        <v>18</v>
      </c>
      <c r="Z1000">
        <f t="shared" ca="1" si="441"/>
        <v>17</v>
      </c>
      <c r="AA1000" t="str">
        <f t="shared" ca="1" si="465"/>
        <v>9224400.png</v>
      </c>
      <c r="AB1000">
        <f t="shared" si="466"/>
        <v>20</v>
      </c>
      <c r="AC1000">
        <f>VLOOKUP(C1000,技能辅助查询表,技能配置辅助表!$W$1,FALSE)</f>
        <v>36</v>
      </c>
      <c r="AD1000">
        <f t="shared" ca="1" si="443"/>
        <v>130.98647716611535</v>
      </c>
      <c r="AE1000">
        <f>VLOOKUP(C1000,技能辅助查询表,技能配置辅助表!$U$1,FALSE)</f>
        <v>4</v>
      </c>
      <c r="AF1000">
        <f t="shared" ca="1" si="467"/>
        <v>9224429</v>
      </c>
      <c r="AG1000">
        <f t="shared" ca="1" si="468"/>
        <v>50.857142857142854</v>
      </c>
      <c r="AH1000">
        <f t="shared" ca="1" si="445"/>
        <v>498.5831981498805</v>
      </c>
      <c r="AI1000">
        <f ca="1">VLOOKUP(E1000,伤害参考系!$C$4:$E$104,3,FALSE)*$AN$12</f>
        <v>6528.1715392976603</v>
      </c>
      <c r="AJ1000">
        <f>VLOOKUP(C1000,技能辅助查询表,技能配置辅助表!$L$1,FALSE)</f>
        <v>1</v>
      </c>
      <c r="AK1000">
        <f>VLOOKUP(C1000,技能辅助查询表,技能配置辅助表!$AE$1,FALSE)</f>
        <v>66000388</v>
      </c>
    </row>
    <row r="1001" spans="1:37" x14ac:dyDescent="0.15">
      <c r="A1001" s="1">
        <f t="shared" ca="1" si="450"/>
        <v>9224430</v>
      </c>
      <c r="B1001" s="1" t="str">
        <f t="shared" ca="1" si="451"/>
        <v>幻影脚第4段</v>
      </c>
      <c r="C1001" t="s">
        <v>170</v>
      </c>
      <c r="D1001">
        <f t="shared" si="452"/>
        <v>2</v>
      </c>
      <c r="E1001" s="42">
        <f t="shared" ca="1" si="438"/>
        <v>53</v>
      </c>
      <c r="F1001" t="str">
        <f t="shared" ca="1" si="439"/>
        <v>第30级，共造成233.2%点伤害</v>
      </c>
      <c r="G1001">
        <f t="shared" ca="1" si="453"/>
        <v>4</v>
      </c>
      <c r="H1001">
        <f t="shared" si="454"/>
        <v>4</v>
      </c>
      <c r="I1001" s="44">
        <f t="shared" ca="1" si="455"/>
        <v>30</v>
      </c>
      <c r="J1001">
        <f t="shared" si="456"/>
        <v>2</v>
      </c>
      <c r="K1001" s="36">
        <f t="shared" ca="1" si="457"/>
        <v>233.1521739130435</v>
      </c>
      <c r="L1001" s="10">
        <f ca="1">AH1001*VLOOKUP(C1001,技能辅助查询表,技能配置辅助表!$T$1,FALSE)</f>
        <v>0</v>
      </c>
      <c r="M1001">
        <f t="shared" ca="1" si="427"/>
        <v>5600</v>
      </c>
      <c r="N1001" s="33">
        <f ca="1">CHOOSE(1,W1001*U1001,X1001*'[1]0、经济设定'!$C$18)</f>
        <v>81900</v>
      </c>
      <c r="O1001">
        <f t="shared" si="458"/>
        <v>4</v>
      </c>
      <c r="P1001">
        <f t="shared" si="459"/>
        <v>1</v>
      </c>
      <c r="Q1001">
        <f t="shared" si="460"/>
        <v>1</v>
      </c>
      <c r="R1001" s="2">
        <f t="shared" si="461"/>
        <v>12</v>
      </c>
      <c r="S1001" s="2">
        <f t="shared" si="462"/>
        <v>50</v>
      </c>
      <c r="T1001" s="2">
        <f t="shared" si="463"/>
        <v>179.34782608695653</v>
      </c>
      <c r="U1001" s="2">
        <f ca="1">VLOOKUP(E1001,金币生产率!$A$2:$B$120,2,0)</f>
        <v>1820</v>
      </c>
      <c r="V1001" s="2">
        <f t="shared" si="464"/>
        <v>179.34782608695653</v>
      </c>
      <c r="W1001" s="45">
        <f t="shared" ca="1" si="446"/>
        <v>45</v>
      </c>
      <c r="X1001" s="48">
        <f t="shared" ca="1" si="447"/>
        <v>593</v>
      </c>
      <c r="Y1001">
        <f t="shared" si="435"/>
        <v>18</v>
      </c>
      <c r="Z1001">
        <f t="shared" ca="1" si="441"/>
        <v>18</v>
      </c>
      <c r="AA1001" t="str">
        <f t="shared" ca="1" si="465"/>
        <v>9224400.png</v>
      </c>
      <c r="AB1001">
        <f t="shared" si="466"/>
        <v>20</v>
      </c>
      <c r="AC1001">
        <f>VLOOKUP(C1001,技能辅助查询表,技能配置辅助表!$W$1,FALSE)</f>
        <v>36</v>
      </c>
      <c r="AD1001">
        <f t="shared" ca="1" si="443"/>
        <v>151.16243890876433</v>
      </c>
      <c r="AE1001">
        <f>VLOOKUP(C1001,技能辅助查询表,技能配置辅助表!$U$1,FALSE)</f>
        <v>4</v>
      </c>
      <c r="AF1001">
        <f t="shared" ca="1" si="467"/>
        <v>9224430</v>
      </c>
      <c r="AG1001">
        <f t="shared" ca="1" si="468"/>
        <v>52.244897959183675</v>
      </c>
      <c r="AH1001">
        <f t="shared" ca="1" si="445"/>
        <v>567.63038284107404</v>
      </c>
      <c r="AI1001">
        <f ca="1">VLOOKUP(E1001,伤害参考系!$C$4:$E$104,3,FALSE)*$AN$12</f>
        <v>7291.2152408026777</v>
      </c>
      <c r="AJ1001">
        <f>VLOOKUP(C1001,技能辅助查询表,技能配置辅助表!$L$1,FALSE)</f>
        <v>1</v>
      </c>
      <c r="AK1001">
        <f>VLOOKUP(C1001,技能辅助查询表,技能配置辅助表!$AE$1,FALSE)</f>
        <v>66000388</v>
      </c>
    </row>
    <row r="1002" spans="1:37" x14ac:dyDescent="0.15">
      <c r="A1002" s="1">
        <f t="shared" ca="1" si="450"/>
        <v>9224431</v>
      </c>
      <c r="B1002" s="1" t="str">
        <f t="shared" ca="1" si="451"/>
        <v>幻影脚第4段</v>
      </c>
      <c r="C1002" t="s">
        <v>170</v>
      </c>
      <c r="D1002">
        <f t="shared" si="452"/>
        <v>2</v>
      </c>
      <c r="E1002" s="42">
        <f t="shared" ca="1" si="438"/>
        <v>54</v>
      </c>
      <c r="F1002" t="str">
        <f t="shared" ca="1" si="439"/>
        <v>第31级，共造成234.9%点伤害</v>
      </c>
      <c r="G1002">
        <f t="shared" ca="1" si="453"/>
        <v>4</v>
      </c>
      <c r="H1002">
        <f t="shared" si="454"/>
        <v>4</v>
      </c>
      <c r="I1002" s="44">
        <f t="shared" ca="1" si="455"/>
        <v>31</v>
      </c>
      <c r="J1002">
        <f t="shared" si="456"/>
        <v>2</v>
      </c>
      <c r="K1002" s="36">
        <f t="shared" ca="1" si="457"/>
        <v>234.94565217391306</v>
      </c>
      <c r="L1002" s="10">
        <f ca="1">AH1002*VLOOKUP(C1002,技能辅助查询表,技能配置辅助表!$T$1,FALSE)</f>
        <v>0</v>
      </c>
      <c r="M1002">
        <f t="shared" ca="1" si="427"/>
        <v>5520</v>
      </c>
      <c r="N1002" s="33">
        <f ca="1">CHOOSE(1,W1002*U1002,X1002*'[1]0、经济设定'!$C$18)</f>
        <v>90864</v>
      </c>
      <c r="O1002">
        <f t="shared" si="458"/>
        <v>4</v>
      </c>
      <c r="P1002">
        <f t="shared" si="459"/>
        <v>1</v>
      </c>
      <c r="Q1002">
        <f t="shared" si="460"/>
        <v>1</v>
      </c>
      <c r="R1002" s="2">
        <f t="shared" si="461"/>
        <v>12</v>
      </c>
      <c r="S1002" s="2">
        <f t="shared" si="462"/>
        <v>50</v>
      </c>
      <c r="T1002" s="2">
        <f t="shared" si="463"/>
        <v>179.34782608695653</v>
      </c>
      <c r="U1002" s="2">
        <f ca="1">VLOOKUP(E1002,金币生产率!$A$2:$B$120,2,0)</f>
        <v>1893</v>
      </c>
      <c r="V1002" s="2">
        <f t="shared" si="464"/>
        <v>179.34782608695653</v>
      </c>
      <c r="W1002" s="45">
        <f t="shared" ca="1" si="446"/>
        <v>48</v>
      </c>
      <c r="X1002" s="48">
        <f t="shared" ca="1" si="447"/>
        <v>641</v>
      </c>
      <c r="Y1002">
        <f t="shared" si="435"/>
        <v>18</v>
      </c>
      <c r="Z1002">
        <f t="shared" ca="1" si="441"/>
        <v>20</v>
      </c>
      <c r="AA1002" t="str">
        <f t="shared" ca="1" si="465"/>
        <v>9224400.png</v>
      </c>
      <c r="AB1002">
        <f t="shared" si="466"/>
        <v>20</v>
      </c>
      <c r="AC1002">
        <f>VLOOKUP(C1002,技能辅助查询表,技能配置辅助表!$W$1,FALSE)</f>
        <v>36</v>
      </c>
      <c r="AD1002">
        <f t="shared" ca="1" si="443"/>
        <v>174.41447291645034</v>
      </c>
      <c r="AE1002">
        <f>VLOOKUP(C1002,技能辅助查询表,技能配置辅助表!$U$1,FALSE)</f>
        <v>4</v>
      </c>
      <c r="AF1002">
        <f t="shared" ca="1" si="467"/>
        <v>9224431</v>
      </c>
      <c r="AG1002">
        <f t="shared" ca="1" si="468"/>
        <v>53.632653061224488</v>
      </c>
      <c r="AH1002">
        <f t="shared" ca="1" si="445"/>
        <v>646.23969022607446</v>
      </c>
      <c r="AI1002">
        <f ca="1">VLOOKUP(E1002,伤害参考系!$C$4:$E$104,3,FALSE)*$AN$12</f>
        <v>7688.356211538463</v>
      </c>
      <c r="AJ1002">
        <f>VLOOKUP(C1002,技能辅助查询表,技能配置辅助表!$L$1,FALSE)</f>
        <v>1</v>
      </c>
      <c r="AK1002">
        <f>VLOOKUP(C1002,技能辅助查询表,技能配置辅助表!$AE$1,FALSE)</f>
        <v>66000388</v>
      </c>
    </row>
    <row r="1003" spans="1:37" x14ac:dyDescent="0.15">
      <c r="A1003" s="1">
        <f t="shared" ca="1" si="450"/>
        <v>9224432</v>
      </c>
      <c r="B1003" s="1" t="str">
        <f t="shared" ca="1" si="451"/>
        <v>幻影脚第4段</v>
      </c>
      <c r="C1003" t="s">
        <v>170</v>
      </c>
      <c r="D1003">
        <f t="shared" si="452"/>
        <v>2</v>
      </c>
      <c r="E1003" s="42">
        <f t="shared" ca="1" si="438"/>
        <v>56</v>
      </c>
      <c r="F1003" t="str">
        <f t="shared" ca="1" si="439"/>
        <v>第32级，共造成236.7%点伤害</v>
      </c>
      <c r="G1003">
        <f t="shared" ca="1" si="453"/>
        <v>4</v>
      </c>
      <c r="H1003">
        <f t="shared" si="454"/>
        <v>4</v>
      </c>
      <c r="I1003" s="44">
        <f t="shared" ca="1" si="455"/>
        <v>32</v>
      </c>
      <c r="J1003">
        <f t="shared" si="456"/>
        <v>2</v>
      </c>
      <c r="K1003" s="36">
        <f t="shared" ca="1" si="457"/>
        <v>236.73913043478262</v>
      </c>
      <c r="L1003" s="10">
        <f ca="1">AH1003*VLOOKUP(C1003,技能辅助查询表,技能配置辅助表!$T$1,FALSE)</f>
        <v>0</v>
      </c>
      <c r="M1003">
        <f t="shared" ca="1" si="427"/>
        <v>5440</v>
      </c>
      <c r="N1003" s="33">
        <f ca="1">CHOOSE(1,W1003*U1003,X1003*'[1]0、经济设定'!$C$18)</f>
        <v>104142</v>
      </c>
      <c r="O1003">
        <f t="shared" si="458"/>
        <v>4</v>
      </c>
      <c r="P1003">
        <f t="shared" si="459"/>
        <v>1</v>
      </c>
      <c r="Q1003">
        <f t="shared" si="460"/>
        <v>1</v>
      </c>
      <c r="R1003" s="2">
        <f t="shared" si="461"/>
        <v>12</v>
      </c>
      <c r="S1003" s="2">
        <f t="shared" si="462"/>
        <v>50</v>
      </c>
      <c r="T1003" s="2">
        <f t="shared" si="463"/>
        <v>179.34782608695653</v>
      </c>
      <c r="U1003" s="2">
        <f ca="1">VLOOKUP(E1003,金币生产率!$A$2:$B$120,2,0)</f>
        <v>2042</v>
      </c>
      <c r="V1003" s="2">
        <f t="shared" si="464"/>
        <v>179.34782608695653</v>
      </c>
      <c r="W1003" s="45">
        <f t="shared" ca="1" si="446"/>
        <v>51</v>
      </c>
      <c r="X1003" s="48">
        <f t="shared" ca="1" si="447"/>
        <v>692</v>
      </c>
      <c r="Y1003">
        <f t="shared" si="435"/>
        <v>18</v>
      </c>
      <c r="Z1003">
        <f t="shared" ca="1" si="441"/>
        <v>21</v>
      </c>
      <c r="AA1003" t="str">
        <f t="shared" ca="1" si="465"/>
        <v>9224400.png</v>
      </c>
      <c r="AB1003">
        <f t="shared" si="466"/>
        <v>20</v>
      </c>
      <c r="AC1003">
        <f>VLOOKUP(C1003,技能辅助查询表,技能配置辅助表!$W$1,FALSE)</f>
        <v>36</v>
      </c>
      <c r="AD1003">
        <f t="shared" ca="1" si="443"/>
        <v>201.20762341614804</v>
      </c>
      <c r="AE1003">
        <f>VLOOKUP(C1003,技能辅助查询表,技能配置辅助表!$U$1,FALSE)</f>
        <v>4</v>
      </c>
      <c r="AF1003">
        <f t="shared" ca="1" si="467"/>
        <v>9224432</v>
      </c>
      <c r="AG1003">
        <f t="shared" ca="1" si="468"/>
        <v>55.020408163265309</v>
      </c>
      <c r="AH1003">
        <f t="shared" ca="1" si="445"/>
        <v>735.73534794457942</v>
      </c>
      <c r="AI1003">
        <f ca="1">VLOOKUP(E1003,伤害参考系!$C$4:$E$104,3,FALSE)*$AN$12</f>
        <v>8513.8763929765901</v>
      </c>
      <c r="AJ1003">
        <f>VLOOKUP(C1003,技能辅助查询表,技能配置辅助表!$L$1,FALSE)</f>
        <v>1</v>
      </c>
      <c r="AK1003">
        <f>VLOOKUP(C1003,技能辅助查询表,技能配置辅助表!$AE$1,FALSE)</f>
        <v>66000388</v>
      </c>
    </row>
    <row r="1004" spans="1:37" x14ac:dyDescent="0.15">
      <c r="A1004" s="1">
        <f t="shared" ca="1" si="450"/>
        <v>9224433</v>
      </c>
      <c r="B1004" s="1" t="str">
        <f t="shared" ca="1" si="451"/>
        <v>幻影脚第4段</v>
      </c>
      <c r="C1004" t="s">
        <v>170</v>
      </c>
      <c r="D1004">
        <f t="shared" si="452"/>
        <v>2</v>
      </c>
      <c r="E1004" s="42">
        <f t="shared" ca="1" si="438"/>
        <v>57</v>
      </c>
      <c r="F1004" t="str">
        <f t="shared" ca="1" si="439"/>
        <v>第33级，共造成238.5%点伤害</v>
      </c>
      <c r="G1004">
        <f t="shared" ca="1" si="453"/>
        <v>4</v>
      </c>
      <c r="H1004">
        <f t="shared" si="454"/>
        <v>4</v>
      </c>
      <c r="I1004" s="44">
        <f t="shared" ca="1" si="455"/>
        <v>33</v>
      </c>
      <c r="J1004">
        <f t="shared" si="456"/>
        <v>2</v>
      </c>
      <c r="K1004" s="36">
        <f t="shared" ca="1" si="457"/>
        <v>238.53260869565219</v>
      </c>
      <c r="L1004" s="10">
        <f ca="1">AH1004*VLOOKUP(C1004,技能辅助查询表,技能配置辅助表!$T$1,FALSE)</f>
        <v>0</v>
      </c>
      <c r="M1004">
        <f t="shared" ca="1" si="427"/>
        <v>5360</v>
      </c>
      <c r="N1004" s="33">
        <f ca="1">CHOOSE(1,W1004*U1004,X1004*'[1]0、经济设定'!$C$18)</f>
        <v>116545</v>
      </c>
      <c r="O1004">
        <f t="shared" si="458"/>
        <v>4</v>
      </c>
      <c r="P1004">
        <f t="shared" si="459"/>
        <v>1</v>
      </c>
      <c r="Q1004">
        <f t="shared" si="460"/>
        <v>1</v>
      </c>
      <c r="R1004" s="2">
        <f t="shared" si="461"/>
        <v>12</v>
      </c>
      <c r="S1004" s="2">
        <f t="shared" si="462"/>
        <v>50</v>
      </c>
      <c r="T1004" s="2">
        <f t="shared" si="463"/>
        <v>179.34782608695653</v>
      </c>
      <c r="U1004" s="2">
        <f ca="1">VLOOKUP(E1004,金币生产率!$A$2:$B$120,2,0)</f>
        <v>2119</v>
      </c>
      <c r="V1004" s="2">
        <f t="shared" si="464"/>
        <v>179.34782608695653</v>
      </c>
      <c r="W1004" s="45">
        <f t="shared" ca="1" si="446"/>
        <v>55</v>
      </c>
      <c r="X1004" s="48">
        <f t="shared" ca="1" si="447"/>
        <v>747</v>
      </c>
      <c r="Y1004">
        <f t="shared" si="435"/>
        <v>18</v>
      </c>
      <c r="Z1004">
        <f t="shared" ca="1" si="441"/>
        <v>22</v>
      </c>
      <c r="AA1004" t="str">
        <f t="shared" ca="1" si="465"/>
        <v>9224400.png</v>
      </c>
      <c r="AB1004">
        <f t="shared" si="466"/>
        <v>20</v>
      </c>
      <c r="AC1004">
        <f>VLOOKUP(C1004,技能辅助查询表,技能配置辅助表!$W$1,FALSE)</f>
        <v>36</v>
      </c>
      <c r="AD1004">
        <f t="shared" ca="1" si="443"/>
        <v>232.07674486705596</v>
      </c>
      <c r="AE1004">
        <f>VLOOKUP(C1004,技能辅助查询表,技能配置辅助表!$U$1,FALSE)</f>
        <v>4</v>
      </c>
      <c r="AF1004">
        <f t="shared" ca="1" si="467"/>
        <v>9224433</v>
      </c>
      <c r="AG1004">
        <f t="shared" ca="1" si="468"/>
        <v>56.408163265306122</v>
      </c>
      <c r="AH1004">
        <f t="shared" ca="1" si="445"/>
        <v>837.62497166611001</v>
      </c>
      <c r="AI1004">
        <f ca="1">VLOOKUP(E1004,伤害参考系!$C$4:$E$104,3,FALSE)*$AN$12</f>
        <v>8942.2556036789319</v>
      </c>
      <c r="AJ1004">
        <f>VLOOKUP(C1004,技能辅助查询表,技能配置辅助表!$L$1,FALSE)</f>
        <v>1</v>
      </c>
      <c r="AK1004">
        <f>VLOOKUP(C1004,技能辅助查询表,技能配置辅助表!$AE$1,FALSE)</f>
        <v>66000388</v>
      </c>
    </row>
    <row r="1005" spans="1:37" x14ac:dyDescent="0.15">
      <c r="A1005" s="1">
        <f t="shared" ca="1" si="450"/>
        <v>9224434</v>
      </c>
      <c r="B1005" s="1" t="str">
        <f t="shared" ca="1" si="451"/>
        <v>幻影脚第4段</v>
      </c>
      <c r="C1005" t="s">
        <v>170</v>
      </c>
      <c r="D1005">
        <f t="shared" si="452"/>
        <v>2</v>
      </c>
      <c r="E1005" s="42">
        <f t="shared" ca="1" si="438"/>
        <v>58</v>
      </c>
      <c r="F1005" t="str">
        <f t="shared" ca="1" si="439"/>
        <v>第34级，共造成240.3%点伤害</v>
      </c>
      <c r="G1005">
        <f t="shared" ca="1" si="453"/>
        <v>4</v>
      </c>
      <c r="H1005">
        <f t="shared" si="454"/>
        <v>4</v>
      </c>
      <c r="I1005" s="44">
        <f t="shared" ca="1" si="455"/>
        <v>34</v>
      </c>
      <c r="J1005">
        <f t="shared" si="456"/>
        <v>2</v>
      </c>
      <c r="K1005" s="36">
        <f t="shared" ca="1" si="457"/>
        <v>240.32608695652175</v>
      </c>
      <c r="L1005" s="10">
        <f ca="1">AH1005*VLOOKUP(C1005,技能辅助查询表,技能配置辅助表!$T$1,FALSE)</f>
        <v>0</v>
      </c>
      <c r="M1005">
        <f t="shared" ca="1" si="427"/>
        <v>5280</v>
      </c>
      <c r="N1005" s="33">
        <f ca="1">CHOOSE(1,W1005*U1005,X1005*'[1]0、经济设定'!$C$18)</f>
        <v>129682</v>
      </c>
      <c r="O1005">
        <f t="shared" si="458"/>
        <v>4</v>
      </c>
      <c r="P1005">
        <f t="shared" si="459"/>
        <v>1</v>
      </c>
      <c r="Q1005">
        <f t="shared" si="460"/>
        <v>1</v>
      </c>
      <c r="R1005" s="2">
        <f t="shared" si="461"/>
        <v>12</v>
      </c>
      <c r="S1005" s="2">
        <f t="shared" si="462"/>
        <v>50</v>
      </c>
      <c r="T1005" s="2">
        <f t="shared" si="463"/>
        <v>179.34782608695653</v>
      </c>
      <c r="U1005" s="2">
        <f ca="1">VLOOKUP(E1005,金币生产率!$A$2:$B$120,2,0)</f>
        <v>2198</v>
      </c>
      <c r="V1005" s="2">
        <f t="shared" si="464"/>
        <v>179.34782608695653</v>
      </c>
      <c r="W1005" s="45">
        <f t="shared" ca="1" si="446"/>
        <v>59</v>
      </c>
      <c r="X1005" s="48">
        <f t="shared" ca="1" si="447"/>
        <v>806</v>
      </c>
      <c r="Y1005">
        <f t="shared" si="435"/>
        <v>18</v>
      </c>
      <c r="Z1005">
        <f t="shared" ca="1" si="441"/>
        <v>24</v>
      </c>
      <c r="AA1005" t="str">
        <f t="shared" ca="1" si="465"/>
        <v>9224400.png</v>
      </c>
      <c r="AB1005">
        <f t="shared" si="466"/>
        <v>20</v>
      </c>
      <c r="AC1005">
        <f>VLOOKUP(C1005,技能辅助查询表,技能配置辅助表!$W$1,FALSE)</f>
        <v>36</v>
      </c>
      <c r="AD1005">
        <f t="shared" ca="1" si="443"/>
        <v>267.63691865746523</v>
      </c>
      <c r="AE1005">
        <f>VLOOKUP(C1005,技能辅助查询表,技能配置辅助表!$U$1,FALSE)</f>
        <v>4</v>
      </c>
      <c r="AF1005">
        <f t="shared" ca="1" si="467"/>
        <v>9224434</v>
      </c>
      <c r="AG1005">
        <f t="shared" ca="1" si="468"/>
        <v>57.795918367346935</v>
      </c>
      <c r="AH1005">
        <f t="shared" ca="1" si="445"/>
        <v>953.62496190886134</v>
      </c>
      <c r="AI1005">
        <f ca="1">VLOOKUP(E1005,伤害参考系!$C$4:$E$104,3,FALSE)*$AN$12</f>
        <v>9381.0475610367921</v>
      </c>
      <c r="AJ1005">
        <f>VLOOKUP(C1005,技能辅助查询表,技能配置辅助表!$L$1,FALSE)</f>
        <v>1</v>
      </c>
      <c r="AK1005">
        <f>VLOOKUP(C1005,技能辅助查询表,技能配置辅助表!$AE$1,FALSE)</f>
        <v>66000388</v>
      </c>
    </row>
    <row r="1006" spans="1:37" x14ac:dyDescent="0.15">
      <c r="A1006" s="1">
        <f t="shared" ca="1" si="450"/>
        <v>9224435</v>
      </c>
      <c r="B1006" s="1" t="str">
        <f t="shared" ca="1" si="451"/>
        <v>幻影脚第4段</v>
      </c>
      <c r="C1006" t="s">
        <v>170</v>
      </c>
      <c r="D1006">
        <f t="shared" si="452"/>
        <v>2</v>
      </c>
      <c r="E1006" s="42">
        <f t="shared" ca="1" si="438"/>
        <v>60</v>
      </c>
      <c r="F1006" t="str">
        <f t="shared" ca="1" si="439"/>
        <v>第35级，共造成242.1%点伤害</v>
      </c>
      <c r="G1006">
        <f t="shared" ca="1" si="453"/>
        <v>4</v>
      </c>
      <c r="H1006">
        <f t="shared" si="454"/>
        <v>4</v>
      </c>
      <c r="I1006" s="44">
        <f t="shared" ca="1" si="455"/>
        <v>35</v>
      </c>
      <c r="J1006">
        <f t="shared" si="456"/>
        <v>2</v>
      </c>
      <c r="K1006" s="36">
        <f t="shared" ca="1" si="457"/>
        <v>242.11956521739131</v>
      </c>
      <c r="L1006" s="10">
        <f ca="1">AH1006*VLOOKUP(C1006,技能辅助查询表,技能配置辅助表!$T$1,FALSE)</f>
        <v>0</v>
      </c>
      <c r="M1006">
        <f t="shared" ca="1" si="427"/>
        <v>5200</v>
      </c>
      <c r="N1006" s="33">
        <f ca="1">CHOOSE(1,W1006*U1006,X1006*'[1]0、经济设定'!$C$18)</f>
        <v>148554</v>
      </c>
      <c r="O1006">
        <f t="shared" si="458"/>
        <v>4</v>
      </c>
      <c r="P1006">
        <f t="shared" si="459"/>
        <v>1</v>
      </c>
      <c r="Q1006">
        <f t="shared" si="460"/>
        <v>1</v>
      </c>
      <c r="R1006" s="2">
        <f t="shared" si="461"/>
        <v>12</v>
      </c>
      <c r="S1006" s="2">
        <f t="shared" si="462"/>
        <v>50</v>
      </c>
      <c r="T1006" s="2">
        <f t="shared" si="463"/>
        <v>179.34782608695653</v>
      </c>
      <c r="U1006" s="2">
        <f ca="1">VLOOKUP(E1006,金币生产率!$A$2:$B$120,2,0)</f>
        <v>2358</v>
      </c>
      <c r="V1006" s="2">
        <f t="shared" si="464"/>
        <v>179.34782608695653</v>
      </c>
      <c r="W1006" s="45">
        <f t="shared" ca="1" si="446"/>
        <v>63</v>
      </c>
      <c r="X1006" s="48">
        <f t="shared" ca="1" si="447"/>
        <v>869</v>
      </c>
      <c r="Y1006">
        <f t="shared" si="435"/>
        <v>18</v>
      </c>
      <c r="Z1006">
        <f t="shared" ca="1" si="441"/>
        <v>26</v>
      </c>
      <c r="AA1006" t="str">
        <f t="shared" ca="1" si="465"/>
        <v>9224400.png</v>
      </c>
      <c r="AB1006">
        <f t="shared" si="466"/>
        <v>20</v>
      </c>
      <c r="AC1006">
        <f>VLOOKUP(C1006,技能辅助查询表,技能配置辅助表!$W$1,FALSE)</f>
        <v>36</v>
      </c>
      <c r="AD1006">
        <f t="shared" ca="1" si="443"/>
        <v>308.59541608955351</v>
      </c>
      <c r="AE1006">
        <f>VLOOKUP(C1006,技能辅助查询表,技能配置辅助表!$U$1,FALSE)</f>
        <v>4</v>
      </c>
      <c r="AF1006">
        <f t="shared" ca="1" si="467"/>
        <v>9224435</v>
      </c>
      <c r="AG1006">
        <f t="shared" ca="1" si="468"/>
        <v>59.183673469387756</v>
      </c>
      <c r="AH1006">
        <f t="shared" ca="1" si="445"/>
        <v>1085.689417982368</v>
      </c>
      <c r="AI1006">
        <f ca="1">VLOOKUP(E1006,伤害参考系!$C$4:$E$104,3,FALSE)*$AN$12</f>
        <v>10340.558729096994</v>
      </c>
      <c r="AJ1006">
        <f>VLOOKUP(C1006,技能辅助查询表,技能配置辅助表!$L$1,FALSE)</f>
        <v>1</v>
      </c>
      <c r="AK1006">
        <f>VLOOKUP(C1006,技能辅助查询表,技能配置辅助表!$AE$1,FALSE)</f>
        <v>66000388</v>
      </c>
    </row>
    <row r="1007" spans="1:37" x14ac:dyDescent="0.15">
      <c r="A1007" s="1">
        <f t="shared" ca="1" si="450"/>
        <v>9224436</v>
      </c>
      <c r="B1007" s="1" t="str">
        <f t="shared" ca="1" si="451"/>
        <v>幻影脚第4段</v>
      </c>
      <c r="C1007" t="s">
        <v>170</v>
      </c>
      <c r="D1007">
        <f t="shared" si="452"/>
        <v>2</v>
      </c>
      <c r="E1007" s="42">
        <f t="shared" ca="1" si="438"/>
        <v>61</v>
      </c>
      <c r="F1007" t="str">
        <f t="shared" ca="1" si="439"/>
        <v>第36级，共造成243.9%点伤害</v>
      </c>
      <c r="G1007">
        <f t="shared" ca="1" si="453"/>
        <v>4</v>
      </c>
      <c r="H1007">
        <f t="shared" si="454"/>
        <v>4</v>
      </c>
      <c r="I1007" s="44">
        <f t="shared" ca="1" si="455"/>
        <v>36</v>
      </c>
      <c r="J1007">
        <f t="shared" si="456"/>
        <v>2</v>
      </c>
      <c r="K1007" s="36">
        <f t="shared" ca="1" si="457"/>
        <v>243.91304347826087</v>
      </c>
      <c r="L1007" s="10">
        <f ca="1">AH1007*VLOOKUP(C1007,技能辅助查询表,技能配置辅助表!$T$1,FALSE)</f>
        <v>0</v>
      </c>
      <c r="M1007">
        <f t="shared" ca="1" si="427"/>
        <v>5120</v>
      </c>
      <c r="N1007" s="33">
        <f ca="1">CHOOSE(1,W1007*U1007,X1007*'[1]0、经济设定'!$C$18)</f>
        <v>163480</v>
      </c>
      <c r="O1007">
        <f t="shared" si="458"/>
        <v>4</v>
      </c>
      <c r="P1007">
        <f t="shared" si="459"/>
        <v>1</v>
      </c>
      <c r="Q1007">
        <f t="shared" si="460"/>
        <v>1</v>
      </c>
      <c r="R1007" s="2">
        <f t="shared" si="461"/>
        <v>12</v>
      </c>
      <c r="S1007" s="2">
        <f t="shared" si="462"/>
        <v>50</v>
      </c>
      <c r="T1007" s="2">
        <f t="shared" si="463"/>
        <v>179.34782608695653</v>
      </c>
      <c r="U1007" s="2">
        <f ca="1">VLOOKUP(E1007,金币生产率!$A$2:$B$120,2,0)</f>
        <v>2440</v>
      </c>
      <c r="V1007" s="2">
        <f t="shared" si="464"/>
        <v>179.34782608695653</v>
      </c>
      <c r="W1007" s="45">
        <f t="shared" ca="1" si="446"/>
        <v>67</v>
      </c>
      <c r="X1007" s="48">
        <f t="shared" ca="1" si="447"/>
        <v>936</v>
      </c>
      <c r="Y1007">
        <f t="shared" si="435"/>
        <v>18</v>
      </c>
      <c r="Z1007">
        <f t="shared" ca="1" si="441"/>
        <v>27</v>
      </c>
      <c r="AA1007" t="str">
        <f t="shared" ca="1" si="465"/>
        <v>9224400.png</v>
      </c>
      <c r="AB1007">
        <f t="shared" si="466"/>
        <v>20</v>
      </c>
      <c r="AC1007">
        <f>VLOOKUP(C1007,技能辅助查询表,技能配置辅助表!$W$1,FALSE)</f>
        <v>36</v>
      </c>
      <c r="AD1007">
        <f t="shared" ca="1" si="443"/>
        <v>355.76543615543937</v>
      </c>
      <c r="AE1007">
        <f>VLOOKUP(C1007,技能辅助查询表,技能配置辅助表!$U$1,FALSE)</f>
        <v>4</v>
      </c>
      <c r="AF1007">
        <f t="shared" ca="1" si="467"/>
        <v>9224436</v>
      </c>
      <c r="AG1007">
        <f t="shared" ca="1" si="468"/>
        <v>60.571428571428569</v>
      </c>
      <c r="AH1007">
        <f t="shared" ca="1" si="445"/>
        <v>1236.0430561291703</v>
      </c>
      <c r="AI1007">
        <f ca="1">VLOOKUP(E1007,伤害参考系!$C$4:$E$104,3,FALSE)*$AN$12</f>
        <v>10863.360489130437</v>
      </c>
      <c r="AJ1007">
        <f>VLOOKUP(C1007,技能辅助查询表,技能配置辅助表!$L$1,FALSE)</f>
        <v>1</v>
      </c>
      <c r="AK1007">
        <f>VLOOKUP(C1007,技能辅助查询表,技能配置辅助表!$AE$1,FALSE)</f>
        <v>66000388</v>
      </c>
    </row>
    <row r="1008" spans="1:37" x14ac:dyDescent="0.15">
      <c r="A1008" s="1">
        <f t="shared" ca="1" si="450"/>
        <v>9224437</v>
      </c>
      <c r="B1008" s="1" t="str">
        <f t="shared" ca="1" si="451"/>
        <v>幻影脚第4段</v>
      </c>
      <c r="C1008" t="s">
        <v>170</v>
      </c>
      <c r="D1008">
        <f t="shared" si="452"/>
        <v>2</v>
      </c>
      <c r="E1008" s="42">
        <f t="shared" ca="1" si="438"/>
        <v>62</v>
      </c>
      <c r="F1008" t="str">
        <f t="shared" ca="1" si="439"/>
        <v>第37级，共造成245.7%点伤害</v>
      </c>
      <c r="G1008">
        <f t="shared" ca="1" si="453"/>
        <v>4</v>
      </c>
      <c r="H1008">
        <f t="shared" si="454"/>
        <v>4</v>
      </c>
      <c r="I1008" s="44">
        <f t="shared" ca="1" si="455"/>
        <v>37</v>
      </c>
      <c r="J1008">
        <f t="shared" si="456"/>
        <v>2</v>
      </c>
      <c r="K1008" s="36">
        <f t="shared" ca="1" si="457"/>
        <v>245.70652173913044</v>
      </c>
      <c r="L1008" s="10">
        <f ca="1">AH1008*VLOOKUP(C1008,技能辅助查询表,技能配置辅助表!$T$1,FALSE)</f>
        <v>0</v>
      </c>
      <c r="M1008">
        <f t="shared" ca="1" si="427"/>
        <v>5040</v>
      </c>
      <c r="N1008" s="33">
        <f ca="1">CHOOSE(1,W1008*U1008,X1008*'[1]0、经济设定'!$C$18)</f>
        <v>181728</v>
      </c>
      <c r="O1008">
        <f t="shared" si="458"/>
        <v>4</v>
      </c>
      <c r="P1008">
        <f t="shared" si="459"/>
        <v>1</v>
      </c>
      <c r="Q1008">
        <f t="shared" si="460"/>
        <v>1</v>
      </c>
      <c r="R1008" s="2">
        <f t="shared" si="461"/>
        <v>12</v>
      </c>
      <c r="S1008" s="2">
        <f t="shared" si="462"/>
        <v>50</v>
      </c>
      <c r="T1008" s="2">
        <f t="shared" si="463"/>
        <v>179.34782608695653</v>
      </c>
      <c r="U1008" s="2">
        <f ca="1">VLOOKUP(E1008,金币生产率!$A$2:$B$120,2,0)</f>
        <v>2524</v>
      </c>
      <c r="V1008" s="2">
        <f t="shared" si="464"/>
        <v>179.34782608695653</v>
      </c>
      <c r="W1008" s="45">
        <f t="shared" ca="1" si="446"/>
        <v>72</v>
      </c>
      <c r="X1008" s="48">
        <f t="shared" ca="1" si="447"/>
        <v>1008</v>
      </c>
      <c r="Y1008">
        <f t="shared" si="435"/>
        <v>18</v>
      </c>
      <c r="Z1008">
        <f t="shared" ca="1" si="441"/>
        <v>29</v>
      </c>
      <c r="AA1008" t="str">
        <f t="shared" ca="1" si="465"/>
        <v>9224400.png</v>
      </c>
      <c r="AB1008">
        <f t="shared" si="466"/>
        <v>20</v>
      </c>
      <c r="AC1008">
        <f>VLOOKUP(C1008,技能辅助查询表,技能配置辅助表!$W$1,FALSE)</f>
        <v>36</v>
      </c>
      <c r="AD1008">
        <f t="shared" ca="1" si="443"/>
        <v>410.08188024158989</v>
      </c>
      <c r="AE1008">
        <f>VLOOKUP(C1008,技能辅助查询表,技能配置辅助表!$U$1,FALSE)</f>
        <v>4</v>
      </c>
      <c r="AF1008">
        <f t="shared" ca="1" si="467"/>
        <v>9224437</v>
      </c>
      <c r="AG1008">
        <f t="shared" ca="1" si="468"/>
        <v>61.95918367346939</v>
      </c>
      <c r="AH1008">
        <f t="shared" ca="1" si="445"/>
        <v>1407.2186863941167</v>
      </c>
      <c r="AI1008">
        <f ca="1">VLOOKUP(E1008,伤害参考系!$C$4:$E$104,3,FALSE)*$AN$12</f>
        <v>11398.657545150505</v>
      </c>
      <c r="AJ1008">
        <f>VLOOKUP(C1008,技能辅助查询表,技能配置辅助表!$L$1,FALSE)</f>
        <v>1</v>
      </c>
      <c r="AK1008">
        <f>VLOOKUP(C1008,技能辅助查询表,技能配置辅助表!$AE$1,FALSE)</f>
        <v>66000388</v>
      </c>
    </row>
    <row r="1009" spans="1:37" x14ac:dyDescent="0.15">
      <c r="A1009" s="1">
        <f t="shared" ca="1" si="450"/>
        <v>9224438</v>
      </c>
      <c r="B1009" s="1" t="str">
        <f t="shared" ca="1" si="451"/>
        <v>幻影脚第4段</v>
      </c>
      <c r="C1009" t="s">
        <v>170</v>
      </c>
      <c r="D1009">
        <f t="shared" si="452"/>
        <v>2</v>
      </c>
      <c r="E1009" s="42">
        <f t="shared" ca="1" si="438"/>
        <v>64</v>
      </c>
      <c r="F1009" t="str">
        <f t="shared" ca="1" si="439"/>
        <v>第38级，共造成247.5%点伤害</v>
      </c>
      <c r="G1009">
        <f t="shared" ca="1" si="453"/>
        <v>4</v>
      </c>
      <c r="H1009">
        <f t="shared" si="454"/>
        <v>4</v>
      </c>
      <c r="I1009" s="44">
        <f t="shared" ca="1" si="455"/>
        <v>38</v>
      </c>
      <c r="J1009">
        <f t="shared" si="456"/>
        <v>2</v>
      </c>
      <c r="K1009" s="36">
        <f t="shared" ca="1" si="457"/>
        <v>247.5</v>
      </c>
      <c r="L1009" s="10">
        <f ca="1">AH1009*VLOOKUP(C1009,技能辅助查询表,技能配置辅助表!$T$1,FALSE)</f>
        <v>0</v>
      </c>
      <c r="M1009">
        <f t="shared" ca="1" si="427"/>
        <v>4960</v>
      </c>
      <c r="N1009" s="33">
        <f ca="1">CHOOSE(1,W1009*U1009,X1009*'[1]0、经济设定'!$C$18)</f>
        <v>207515</v>
      </c>
      <c r="O1009">
        <f t="shared" si="458"/>
        <v>4</v>
      </c>
      <c r="P1009">
        <f t="shared" si="459"/>
        <v>1</v>
      </c>
      <c r="Q1009">
        <f t="shared" si="460"/>
        <v>1</v>
      </c>
      <c r="R1009" s="2">
        <f t="shared" si="461"/>
        <v>12</v>
      </c>
      <c r="S1009" s="2">
        <f t="shared" si="462"/>
        <v>50</v>
      </c>
      <c r="T1009" s="2">
        <f t="shared" si="463"/>
        <v>179.34782608695653</v>
      </c>
      <c r="U1009" s="2">
        <f ca="1">VLOOKUP(E1009,金币生产率!$A$2:$B$120,2,0)</f>
        <v>2695</v>
      </c>
      <c r="V1009" s="2">
        <f t="shared" si="464"/>
        <v>179.34782608695653</v>
      </c>
      <c r="W1009" s="45">
        <f t="shared" ca="1" si="446"/>
        <v>77</v>
      </c>
      <c r="X1009" s="48">
        <f t="shared" ca="1" si="447"/>
        <v>1085</v>
      </c>
      <c r="Y1009">
        <f t="shared" si="435"/>
        <v>18</v>
      </c>
      <c r="Z1009">
        <f t="shared" ca="1" si="441"/>
        <v>31</v>
      </c>
      <c r="AA1009" t="str">
        <f t="shared" ca="1" si="465"/>
        <v>9224400.png</v>
      </c>
      <c r="AB1009">
        <f t="shared" si="466"/>
        <v>20</v>
      </c>
      <c r="AC1009">
        <f>VLOOKUP(C1009,技能辅助查询表,技能配置辅助表!$W$1,FALSE)</f>
        <v>36</v>
      </c>
      <c r="AD1009">
        <f t="shared" ca="1" si="443"/>
        <v>472.61946446572819</v>
      </c>
      <c r="AE1009">
        <f>VLOOKUP(C1009,技能辅助查询表,技能配置辅助表!$U$1,FALSE)</f>
        <v>4</v>
      </c>
      <c r="AF1009">
        <f t="shared" ca="1" si="467"/>
        <v>9224438</v>
      </c>
      <c r="AG1009">
        <f t="shared" ca="1" si="468"/>
        <v>63.346938775510203</v>
      </c>
      <c r="AH1009">
        <f t="shared" ca="1" si="445"/>
        <v>1602.0998795448415</v>
      </c>
      <c r="AI1009">
        <f ca="1">VLOOKUP(E1009,伤害参考系!$C$4:$E$104,3,FALSE)*$AN$12</f>
        <v>12506.737545150507</v>
      </c>
      <c r="AJ1009">
        <f>VLOOKUP(C1009,技能辅助查询表,技能配置辅助表!$L$1,FALSE)</f>
        <v>1</v>
      </c>
      <c r="AK1009">
        <f>VLOOKUP(C1009,技能辅助查询表,技能配置辅助表!$AE$1,FALSE)</f>
        <v>66000388</v>
      </c>
    </row>
    <row r="1010" spans="1:37" x14ac:dyDescent="0.15">
      <c r="A1010" s="1">
        <f t="shared" ca="1" si="450"/>
        <v>9224439</v>
      </c>
      <c r="B1010" s="1" t="str">
        <f t="shared" ca="1" si="451"/>
        <v>幻影脚第4段</v>
      </c>
      <c r="C1010" t="s">
        <v>170</v>
      </c>
      <c r="D1010">
        <f t="shared" si="452"/>
        <v>2</v>
      </c>
      <c r="E1010" s="42">
        <f t="shared" ca="1" si="438"/>
        <v>65</v>
      </c>
      <c r="F1010" t="str">
        <f t="shared" ca="1" si="439"/>
        <v>第39级，共造成249.3%点伤害</v>
      </c>
      <c r="G1010">
        <f t="shared" ca="1" si="453"/>
        <v>4</v>
      </c>
      <c r="H1010">
        <f t="shared" si="454"/>
        <v>4</v>
      </c>
      <c r="I1010" s="44">
        <f t="shared" ca="1" si="455"/>
        <v>39</v>
      </c>
      <c r="J1010">
        <f t="shared" si="456"/>
        <v>2</v>
      </c>
      <c r="K1010" s="36">
        <f t="shared" ca="1" si="457"/>
        <v>249.29347826086956</v>
      </c>
      <c r="L1010" s="10">
        <f ca="1">AH1010*VLOOKUP(C1010,技能辅助查询表,技能配置辅助表!$T$1,FALSE)</f>
        <v>0</v>
      </c>
      <c r="M1010">
        <f t="shared" ca="1" si="427"/>
        <v>4880</v>
      </c>
      <c r="N1010" s="33">
        <f ca="1">CHOOSE(1,W1010*U1010,X1010*'[1]0、经济设定'!$C$18)</f>
        <v>228206</v>
      </c>
      <c r="O1010">
        <f t="shared" si="458"/>
        <v>4</v>
      </c>
      <c r="P1010">
        <f t="shared" si="459"/>
        <v>1</v>
      </c>
      <c r="Q1010">
        <f t="shared" si="460"/>
        <v>1</v>
      </c>
      <c r="R1010" s="2">
        <f t="shared" si="461"/>
        <v>12</v>
      </c>
      <c r="S1010" s="2">
        <f t="shared" si="462"/>
        <v>50</v>
      </c>
      <c r="T1010" s="2">
        <f t="shared" si="463"/>
        <v>179.34782608695653</v>
      </c>
      <c r="U1010" s="2">
        <f ca="1">VLOOKUP(E1010,金币生产率!$A$2:$B$120,2,0)</f>
        <v>2783</v>
      </c>
      <c r="V1010" s="2">
        <f t="shared" si="464"/>
        <v>179.34782608695653</v>
      </c>
      <c r="W1010" s="45">
        <f t="shared" ca="1" si="446"/>
        <v>82</v>
      </c>
      <c r="X1010" s="48">
        <f t="shared" ca="1" si="447"/>
        <v>1167</v>
      </c>
      <c r="Y1010">
        <f t="shared" si="435"/>
        <v>18</v>
      </c>
      <c r="Z1010">
        <f t="shared" ca="1" si="441"/>
        <v>33</v>
      </c>
      <c r="AA1010" t="str">
        <f t="shared" ca="1" si="465"/>
        <v>9224400.png</v>
      </c>
      <c r="AB1010">
        <f t="shared" si="466"/>
        <v>20</v>
      </c>
      <c r="AC1010">
        <f>VLOOKUP(C1010,技能辅助查询表,技能配置辅助表!$W$1,FALSE)</f>
        <v>36</v>
      </c>
      <c r="AD1010">
        <f t="shared" ca="1" si="443"/>
        <v>544.61351457208798</v>
      </c>
      <c r="AE1010">
        <f>VLOOKUP(C1010,技能辅助查询表,技能配置辅助表!$U$1,FALSE)</f>
        <v>4</v>
      </c>
      <c r="AF1010">
        <f t="shared" ca="1" si="467"/>
        <v>9224439</v>
      </c>
      <c r="AG1010">
        <f t="shared" ca="1" si="468"/>
        <v>64.734693877551024</v>
      </c>
      <c r="AH1010">
        <f t="shared" ca="1" si="445"/>
        <v>1823.9695427969455</v>
      </c>
      <c r="AI1010">
        <f ca="1">VLOOKUP(E1010,伤害参考系!$C$4:$E$104,3,FALSE)*$AN$12</f>
        <v>13079.520489130437</v>
      </c>
      <c r="AJ1010">
        <f>VLOOKUP(C1010,技能辅助查询表,技能配置辅助表!$L$1,FALSE)</f>
        <v>1</v>
      </c>
      <c r="AK1010">
        <f>VLOOKUP(C1010,技能辅助查询表,技能配置辅助表!$AE$1,FALSE)</f>
        <v>66000388</v>
      </c>
    </row>
    <row r="1011" spans="1:37" x14ac:dyDescent="0.15">
      <c r="A1011" s="1">
        <f t="shared" ca="1" si="450"/>
        <v>9224440</v>
      </c>
      <c r="B1011" s="1" t="str">
        <f t="shared" ca="1" si="451"/>
        <v>幻影脚第4段</v>
      </c>
      <c r="C1011" t="s">
        <v>170</v>
      </c>
      <c r="D1011">
        <f t="shared" si="452"/>
        <v>2</v>
      </c>
      <c r="E1011" s="42">
        <f t="shared" ca="1" si="438"/>
        <v>66</v>
      </c>
      <c r="F1011" t="str">
        <f t="shared" ca="1" si="439"/>
        <v>第40级，共造成251.1%点伤害</v>
      </c>
      <c r="G1011">
        <f t="shared" ca="1" si="453"/>
        <v>4</v>
      </c>
      <c r="H1011">
        <f t="shared" si="454"/>
        <v>4</v>
      </c>
      <c r="I1011" s="44">
        <f t="shared" ca="1" si="455"/>
        <v>40</v>
      </c>
      <c r="J1011">
        <f t="shared" si="456"/>
        <v>2</v>
      </c>
      <c r="K1011" s="36">
        <f t="shared" ca="1" si="457"/>
        <v>251.08695652173915</v>
      </c>
      <c r="L1011" s="10">
        <f ca="1">AH1011*VLOOKUP(C1011,技能辅助查询表,技能配置辅助表!$T$1,FALSE)</f>
        <v>0</v>
      </c>
      <c r="M1011">
        <f t="shared" ca="1" si="427"/>
        <v>4800</v>
      </c>
      <c r="N1011" s="33">
        <f ca="1">CHOOSE(1,W1011*U1011,X1011*'[1]0、经济设定'!$C$18)</f>
        <v>252736</v>
      </c>
      <c r="O1011">
        <f t="shared" si="458"/>
        <v>4</v>
      </c>
      <c r="P1011">
        <f t="shared" si="459"/>
        <v>1</v>
      </c>
      <c r="Q1011">
        <f t="shared" si="460"/>
        <v>1</v>
      </c>
      <c r="R1011" s="2">
        <f t="shared" si="461"/>
        <v>12</v>
      </c>
      <c r="S1011" s="2">
        <f t="shared" si="462"/>
        <v>50</v>
      </c>
      <c r="T1011" s="2">
        <f t="shared" si="463"/>
        <v>179.34782608695653</v>
      </c>
      <c r="U1011" s="2">
        <f ca="1">VLOOKUP(E1011,金币生产率!$A$2:$B$120,2,0)</f>
        <v>2872</v>
      </c>
      <c r="V1011" s="2">
        <f t="shared" si="464"/>
        <v>179.34782608695653</v>
      </c>
      <c r="W1011" s="45">
        <f t="shared" ca="1" si="446"/>
        <v>88</v>
      </c>
      <c r="X1011" s="48">
        <f t="shared" ca="1" si="447"/>
        <v>1255</v>
      </c>
      <c r="Y1011">
        <f t="shared" si="435"/>
        <v>18</v>
      </c>
      <c r="Z1011">
        <f t="shared" ca="1" si="441"/>
        <v>36</v>
      </c>
      <c r="AA1011" t="str">
        <f t="shared" ca="1" si="465"/>
        <v>9224400.png</v>
      </c>
      <c r="AB1011">
        <f t="shared" si="466"/>
        <v>20</v>
      </c>
      <c r="AC1011">
        <f>VLOOKUP(C1011,技能辅助查询表,技能配置辅助表!$W$1,FALSE)</f>
        <v>36</v>
      </c>
      <c r="AD1011">
        <f t="shared" ca="1" si="443"/>
        <v>627.48383901368766</v>
      </c>
      <c r="AE1011">
        <f>VLOOKUP(C1011,技能辅助查询表,技能配置辅助表!$U$1,FALSE)</f>
        <v>4</v>
      </c>
      <c r="AF1011">
        <f t="shared" ca="1" si="467"/>
        <v>9224440</v>
      </c>
      <c r="AG1011">
        <f t="shared" ca="1" si="468"/>
        <v>66.122448979591837</v>
      </c>
      <c r="AH1011">
        <f t="shared" ca="1" si="445"/>
        <v>2076.5652226352254</v>
      </c>
      <c r="AI1011">
        <f ca="1">VLOOKUP(E1011,伤害参考系!$C$4:$E$104,3,FALSE)*$AN$12</f>
        <v>13664.798729096996</v>
      </c>
      <c r="AJ1011">
        <f>VLOOKUP(C1011,技能辅助查询表,技能配置辅助表!$L$1,FALSE)</f>
        <v>1</v>
      </c>
      <c r="AK1011">
        <f>VLOOKUP(C1011,技能辅助查询表,技能配置辅助表!$AE$1,FALSE)</f>
        <v>66000388</v>
      </c>
    </row>
    <row r="1012" spans="1:37" x14ac:dyDescent="0.15">
      <c r="A1012" s="1">
        <f t="shared" ca="1" si="450"/>
        <v>9224441</v>
      </c>
      <c r="B1012" s="1" t="str">
        <f t="shared" ca="1" si="451"/>
        <v>幻影脚第4段</v>
      </c>
      <c r="C1012" t="s">
        <v>170</v>
      </c>
      <c r="D1012">
        <f t="shared" si="452"/>
        <v>2</v>
      </c>
      <c r="E1012" s="42">
        <f t="shared" ca="1" si="438"/>
        <v>68</v>
      </c>
      <c r="F1012" t="str">
        <f t="shared" ca="1" si="439"/>
        <v>第41级，共造成252.9%点伤害</v>
      </c>
      <c r="G1012">
        <f t="shared" ca="1" si="453"/>
        <v>4</v>
      </c>
      <c r="H1012">
        <f t="shared" si="454"/>
        <v>4</v>
      </c>
      <c r="I1012" s="44">
        <f t="shared" ca="1" si="455"/>
        <v>41</v>
      </c>
      <c r="J1012">
        <f t="shared" si="456"/>
        <v>2</v>
      </c>
      <c r="K1012" s="36">
        <f t="shared" ca="1" si="457"/>
        <v>252.88043478260872</v>
      </c>
      <c r="L1012" s="10">
        <f ca="1">AH1012*VLOOKUP(C1012,技能辅助查询表,技能配置辅助表!$T$1,FALSE)</f>
        <v>0</v>
      </c>
      <c r="M1012">
        <f t="shared" ca="1" si="427"/>
        <v>4720</v>
      </c>
      <c r="N1012" s="33">
        <f ca="1">CHOOSE(1,W1012*U1012,X1012*'[1]0、经济设定'!$C$18)</f>
        <v>287076</v>
      </c>
      <c r="O1012">
        <f t="shared" si="458"/>
        <v>4</v>
      </c>
      <c r="P1012">
        <f t="shared" si="459"/>
        <v>1</v>
      </c>
      <c r="Q1012">
        <f t="shared" si="460"/>
        <v>1</v>
      </c>
      <c r="R1012" s="2">
        <f t="shared" si="461"/>
        <v>12</v>
      </c>
      <c r="S1012" s="2">
        <f t="shared" si="462"/>
        <v>50</v>
      </c>
      <c r="T1012" s="2">
        <f t="shared" si="463"/>
        <v>179.34782608695653</v>
      </c>
      <c r="U1012" s="2">
        <f ca="1">VLOOKUP(E1012,金币生产率!$A$2:$B$120,2,0)</f>
        <v>3054</v>
      </c>
      <c r="V1012" s="2">
        <f t="shared" si="464"/>
        <v>179.34782608695653</v>
      </c>
      <c r="W1012" s="45">
        <f t="shared" ca="1" si="446"/>
        <v>94</v>
      </c>
      <c r="X1012" s="48">
        <f t="shared" ca="1" si="447"/>
        <v>1349</v>
      </c>
      <c r="Y1012">
        <f t="shared" si="435"/>
        <v>18</v>
      </c>
      <c r="Z1012">
        <f t="shared" ca="1" si="441"/>
        <v>38</v>
      </c>
      <c r="AA1012" t="str">
        <f t="shared" ca="1" si="465"/>
        <v>9224400.png</v>
      </c>
      <c r="AB1012">
        <f t="shared" si="466"/>
        <v>20</v>
      </c>
      <c r="AC1012">
        <f>VLOOKUP(C1012,技能辅助查询表,技能配置辅助表!$W$1,FALSE)</f>
        <v>36</v>
      </c>
      <c r="AD1012">
        <f t="shared" ca="1" si="443"/>
        <v>722.8621339813177</v>
      </c>
      <c r="AE1012">
        <f>VLOOKUP(C1012,技能辅助查询表,技能配置辅助表!$U$1,FALSE)</f>
        <v>4</v>
      </c>
      <c r="AF1012">
        <f t="shared" ca="1" si="467"/>
        <v>9224441</v>
      </c>
      <c r="AG1012">
        <f t="shared" ca="1" si="468"/>
        <v>67.510204081632651</v>
      </c>
      <c r="AH1012">
        <f t="shared" ca="1" si="445"/>
        <v>2364.1420663448707</v>
      </c>
      <c r="AI1012">
        <f ca="1">VLOOKUP(E1012,伤害参考系!$C$4:$E$104,3,FALSE)*$AN$12</f>
        <v>14872.841096989978</v>
      </c>
      <c r="AJ1012">
        <f>VLOOKUP(C1012,技能辅助查询表,技能配置辅助表!$L$1,FALSE)</f>
        <v>1</v>
      </c>
      <c r="AK1012">
        <f>VLOOKUP(C1012,技能辅助查询表,技能配置辅助表!$AE$1,FALSE)</f>
        <v>66000388</v>
      </c>
    </row>
    <row r="1013" spans="1:37" x14ac:dyDescent="0.15">
      <c r="A1013" s="1">
        <f t="shared" ca="1" si="450"/>
        <v>9224442</v>
      </c>
      <c r="B1013" s="1" t="str">
        <f t="shared" ca="1" si="451"/>
        <v>幻影脚第4段</v>
      </c>
      <c r="C1013" t="s">
        <v>170</v>
      </c>
      <c r="D1013">
        <f t="shared" si="452"/>
        <v>2</v>
      </c>
      <c r="E1013" s="42">
        <f t="shared" ca="1" si="438"/>
        <v>69</v>
      </c>
      <c r="F1013" t="str">
        <f t="shared" ca="1" si="439"/>
        <v>第42级，共造成254.7%点伤害</v>
      </c>
      <c r="G1013">
        <f t="shared" ca="1" si="453"/>
        <v>4</v>
      </c>
      <c r="H1013">
        <f t="shared" si="454"/>
        <v>4</v>
      </c>
      <c r="I1013" s="44">
        <f t="shared" ca="1" si="455"/>
        <v>42</v>
      </c>
      <c r="J1013">
        <f t="shared" si="456"/>
        <v>2</v>
      </c>
      <c r="K1013" s="36">
        <f t="shared" ca="1" si="457"/>
        <v>254.67391304347828</v>
      </c>
      <c r="L1013" s="10">
        <f ca="1">AH1013*VLOOKUP(C1013,技能辅助查询表,技能配置辅助表!$T$1,FALSE)</f>
        <v>0</v>
      </c>
      <c r="M1013">
        <f t="shared" ca="1" si="427"/>
        <v>4640</v>
      </c>
      <c r="N1013" s="33">
        <f ca="1">CHOOSE(1,W1013*U1013,X1013*'[1]0、经济设定'!$C$18)</f>
        <v>314700</v>
      </c>
      <c r="O1013">
        <f t="shared" si="458"/>
        <v>4</v>
      </c>
      <c r="P1013">
        <f t="shared" si="459"/>
        <v>1</v>
      </c>
      <c r="Q1013">
        <f t="shared" si="460"/>
        <v>1</v>
      </c>
      <c r="R1013" s="2">
        <f t="shared" si="461"/>
        <v>12</v>
      </c>
      <c r="S1013" s="2">
        <f t="shared" si="462"/>
        <v>50</v>
      </c>
      <c r="T1013" s="2">
        <f t="shared" si="463"/>
        <v>179.34782608695653</v>
      </c>
      <c r="U1013" s="2">
        <f ca="1">VLOOKUP(E1013,金币生产率!$A$2:$B$120,2,0)</f>
        <v>3147</v>
      </c>
      <c r="V1013" s="2">
        <f t="shared" si="464"/>
        <v>179.34782608695653</v>
      </c>
      <c r="W1013" s="45">
        <f t="shared" ca="1" si="446"/>
        <v>100</v>
      </c>
      <c r="X1013" s="48">
        <f t="shared" ca="1" si="447"/>
        <v>1449</v>
      </c>
      <c r="Y1013">
        <f t="shared" si="435"/>
        <v>18</v>
      </c>
      <c r="Z1013">
        <f t="shared" ca="1" si="441"/>
        <v>40</v>
      </c>
      <c r="AA1013" t="str">
        <f t="shared" ca="1" si="465"/>
        <v>9224400.png</v>
      </c>
      <c r="AB1013">
        <f t="shared" si="466"/>
        <v>20</v>
      </c>
      <c r="AC1013">
        <f>VLOOKUP(C1013,技能辅助查询表,技能配置辅助表!$W$1,FALSE)</f>
        <v>36</v>
      </c>
      <c r="AD1013">
        <f t="shared" ca="1" si="443"/>
        <v>832.62344078308581</v>
      </c>
      <c r="AE1013">
        <f>VLOOKUP(C1013,技能辅助查询表,技能配置辅助表!$U$1,FALSE)</f>
        <v>4</v>
      </c>
      <c r="AF1013">
        <f t="shared" ca="1" si="467"/>
        <v>9224442</v>
      </c>
      <c r="AG1013">
        <f t="shared" ca="1" si="468"/>
        <v>68.897959183673464</v>
      </c>
      <c r="AH1013">
        <f t="shared" ca="1" si="445"/>
        <v>2691.5445028827789</v>
      </c>
      <c r="AI1013">
        <f ca="1">VLOOKUP(E1013,伤害参考系!$C$4:$E$104,3,FALSE)*$AN$12</f>
        <v>15495.605224916402</v>
      </c>
      <c r="AJ1013">
        <f>VLOOKUP(C1013,技能辅助查询表,技能配置辅助表!$L$1,FALSE)</f>
        <v>1</v>
      </c>
      <c r="AK1013">
        <f>VLOOKUP(C1013,技能辅助查询表,技能配置辅助表!$AE$1,FALSE)</f>
        <v>66000388</v>
      </c>
    </row>
    <row r="1014" spans="1:37" x14ac:dyDescent="0.15">
      <c r="A1014" s="1">
        <f t="shared" ca="1" si="450"/>
        <v>9224443</v>
      </c>
      <c r="B1014" s="1" t="str">
        <f t="shared" ca="1" si="451"/>
        <v>幻影脚第4段</v>
      </c>
      <c r="C1014" t="s">
        <v>170</v>
      </c>
      <c r="D1014">
        <f t="shared" si="452"/>
        <v>2</v>
      </c>
      <c r="E1014" s="42">
        <f t="shared" ca="1" si="438"/>
        <v>70</v>
      </c>
      <c r="F1014" t="str">
        <f t="shared" ca="1" si="439"/>
        <v>第43级，共造成256.5%点伤害</v>
      </c>
      <c r="G1014">
        <f t="shared" ca="1" si="453"/>
        <v>4</v>
      </c>
      <c r="H1014">
        <f t="shared" si="454"/>
        <v>4</v>
      </c>
      <c r="I1014" s="44">
        <f t="shared" ca="1" si="455"/>
        <v>43</v>
      </c>
      <c r="J1014">
        <f t="shared" si="456"/>
        <v>2</v>
      </c>
      <c r="K1014" s="36">
        <f t="shared" ca="1" si="457"/>
        <v>256.46739130434787</v>
      </c>
      <c r="L1014" s="10">
        <f ca="1">AH1014*VLOOKUP(C1014,技能辅助查询表,技能配置辅助表!$T$1,FALSE)</f>
        <v>0</v>
      </c>
      <c r="M1014">
        <f t="shared" ca="1" si="427"/>
        <v>4560</v>
      </c>
      <c r="N1014" s="33">
        <f ca="1">CHOOSE(1,W1014*U1014,X1014*'[1]0、经济设定'!$C$18)</f>
        <v>346894</v>
      </c>
      <c r="O1014">
        <f t="shared" si="458"/>
        <v>4</v>
      </c>
      <c r="P1014">
        <f t="shared" si="459"/>
        <v>1</v>
      </c>
      <c r="Q1014">
        <f t="shared" si="460"/>
        <v>1</v>
      </c>
      <c r="R1014" s="2">
        <f t="shared" si="461"/>
        <v>12</v>
      </c>
      <c r="S1014" s="2">
        <f t="shared" si="462"/>
        <v>50</v>
      </c>
      <c r="T1014" s="2">
        <f t="shared" si="463"/>
        <v>179.34782608695653</v>
      </c>
      <c r="U1014" s="2">
        <f ca="1">VLOOKUP(E1014,金币生产率!$A$2:$B$120,2,0)</f>
        <v>3242</v>
      </c>
      <c r="V1014" s="2">
        <f t="shared" si="464"/>
        <v>179.34782608695653</v>
      </c>
      <c r="W1014" s="45">
        <f t="shared" ca="1" si="446"/>
        <v>107</v>
      </c>
      <c r="X1014" s="48">
        <f t="shared" ca="1" si="447"/>
        <v>1556</v>
      </c>
      <c r="Y1014">
        <f t="shared" si="435"/>
        <v>18</v>
      </c>
      <c r="Z1014">
        <f t="shared" ca="1" si="441"/>
        <v>43</v>
      </c>
      <c r="AA1014" t="str">
        <f t="shared" ca="1" si="465"/>
        <v>9224400.png</v>
      </c>
      <c r="AB1014">
        <f t="shared" si="466"/>
        <v>20</v>
      </c>
      <c r="AC1014">
        <f>VLOOKUP(C1014,技能辅助查询表,技能配置辅助表!$W$1,FALSE)</f>
        <v>36</v>
      </c>
      <c r="AD1014">
        <f t="shared" ca="1" si="443"/>
        <v>958.92225237871276</v>
      </c>
      <c r="AE1014">
        <f>VLOOKUP(C1014,技能辅助查询表,技能配置辅助表!$U$1,FALSE)</f>
        <v>4</v>
      </c>
      <c r="AF1014">
        <f t="shared" ca="1" si="467"/>
        <v>9224443</v>
      </c>
      <c r="AG1014">
        <f t="shared" ca="1" si="468"/>
        <v>70.285714285714278</v>
      </c>
      <c r="AH1014">
        <f t="shared" ca="1" si="445"/>
        <v>3064.2878506023458</v>
      </c>
      <c r="AI1014">
        <f ca="1">VLOOKUP(E1014,伤害参考系!$C$4:$E$104,3,FALSE)*$AN$12</f>
        <v>16191.966408862889</v>
      </c>
      <c r="AJ1014">
        <f>VLOOKUP(C1014,技能辅助查询表,技能配置辅助表!$L$1,FALSE)</f>
        <v>1</v>
      </c>
      <c r="AK1014">
        <f>VLOOKUP(C1014,技能辅助查询表,技能配置辅助表!$AE$1,FALSE)</f>
        <v>66000388</v>
      </c>
    </row>
    <row r="1015" spans="1:37" x14ac:dyDescent="0.15">
      <c r="A1015" s="1">
        <f t="shared" ca="1" si="450"/>
        <v>9224444</v>
      </c>
      <c r="B1015" s="1" t="str">
        <f t="shared" ca="1" si="451"/>
        <v>幻影脚第4段</v>
      </c>
      <c r="C1015" t="s">
        <v>170</v>
      </c>
      <c r="D1015">
        <f t="shared" si="452"/>
        <v>2</v>
      </c>
      <c r="E1015" s="42">
        <f t="shared" ca="1" si="438"/>
        <v>72</v>
      </c>
      <c r="F1015" t="str">
        <f t="shared" ca="1" si="439"/>
        <v>第44级，共造成258.3%点伤害</v>
      </c>
      <c r="G1015">
        <f t="shared" ca="1" si="453"/>
        <v>4</v>
      </c>
      <c r="H1015">
        <f t="shared" si="454"/>
        <v>4</v>
      </c>
      <c r="I1015" s="44">
        <f t="shared" ca="1" si="455"/>
        <v>44</v>
      </c>
      <c r="J1015">
        <f t="shared" si="456"/>
        <v>2</v>
      </c>
      <c r="K1015" s="36">
        <f t="shared" ca="1" si="457"/>
        <v>258.26086956521738</v>
      </c>
      <c r="L1015" s="10">
        <f ca="1">AH1015*VLOOKUP(C1015,技能辅助查询表,技能配置辅助表!$T$1,FALSE)</f>
        <v>0</v>
      </c>
      <c r="M1015">
        <f t="shared" ca="1" si="427"/>
        <v>4480</v>
      </c>
      <c r="N1015" s="33">
        <f ca="1">CHOOSE(1,W1015*U1015,X1015*'[1]0、经济设定'!$C$18)</f>
        <v>395025</v>
      </c>
      <c r="O1015">
        <f t="shared" si="458"/>
        <v>4</v>
      </c>
      <c r="P1015">
        <f t="shared" si="459"/>
        <v>1</v>
      </c>
      <c r="Q1015">
        <f t="shared" si="460"/>
        <v>1</v>
      </c>
      <c r="R1015" s="2">
        <f t="shared" si="461"/>
        <v>12</v>
      </c>
      <c r="S1015" s="2">
        <f t="shared" si="462"/>
        <v>50</v>
      </c>
      <c r="T1015" s="2">
        <f t="shared" si="463"/>
        <v>179.34782608695653</v>
      </c>
      <c r="U1015" s="2">
        <f ca="1">VLOOKUP(E1015,金币生产率!$A$2:$B$120,2,0)</f>
        <v>3435</v>
      </c>
      <c r="V1015" s="2">
        <f t="shared" si="464"/>
        <v>179.34782608695653</v>
      </c>
      <c r="W1015" s="45">
        <f t="shared" ca="1" si="446"/>
        <v>115</v>
      </c>
      <c r="X1015" s="48">
        <f t="shared" ca="1" si="447"/>
        <v>1671</v>
      </c>
      <c r="Y1015">
        <f t="shared" si="435"/>
        <v>18</v>
      </c>
      <c r="Z1015">
        <f t="shared" ca="1" si="441"/>
        <v>46</v>
      </c>
      <c r="AA1015" t="str">
        <f t="shared" ca="1" si="465"/>
        <v>9224400.png</v>
      </c>
      <c r="AB1015">
        <f t="shared" si="466"/>
        <v>20</v>
      </c>
      <c r="AC1015">
        <f>VLOOKUP(C1015,技能辅助查询表,技能配置辅助表!$W$1,FALSE)</f>
        <v>36</v>
      </c>
      <c r="AD1015">
        <f t="shared" ca="1" si="443"/>
        <v>1104.2339534533887</v>
      </c>
      <c r="AE1015">
        <f>VLOOKUP(C1015,技能辅助查询表,技能配置辅助表!$U$1,FALSE)</f>
        <v>4</v>
      </c>
      <c r="AF1015">
        <f t="shared" ca="1" si="467"/>
        <v>9224444</v>
      </c>
      <c r="AG1015">
        <f t="shared" ca="1" si="468"/>
        <v>71.673469387755105</v>
      </c>
      <c r="AH1015">
        <f t="shared" ca="1" si="445"/>
        <v>3488.6512265697725</v>
      </c>
      <c r="AI1015">
        <f ca="1">VLOOKUP(E1015,伤害参考系!$C$4:$E$104,3,FALSE)*$AN$12</f>
        <v>17628.422312709041</v>
      </c>
      <c r="AJ1015">
        <f>VLOOKUP(C1015,技能辅助查询表,技能配置辅助表!$L$1,FALSE)</f>
        <v>1</v>
      </c>
      <c r="AK1015">
        <f>VLOOKUP(C1015,技能辅助查询表,技能配置辅助表!$AE$1,FALSE)</f>
        <v>66000388</v>
      </c>
    </row>
    <row r="1016" spans="1:37" x14ac:dyDescent="0.15">
      <c r="A1016" s="1">
        <f t="shared" ca="1" si="450"/>
        <v>9224445</v>
      </c>
      <c r="B1016" s="1" t="str">
        <f t="shared" ca="1" si="451"/>
        <v>幻影脚第4段</v>
      </c>
      <c r="C1016" t="s">
        <v>170</v>
      </c>
      <c r="D1016">
        <f t="shared" si="452"/>
        <v>2</v>
      </c>
      <c r="E1016" s="42">
        <f t="shared" ca="1" si="438"/>
        <v>73</v>
      </c>
      <c r="F1016" t="str">
        <f t="shared" ca="1" si="439"/>
        <v>第45级，共造成260.1%点伤害</v>
      </c>
      <c r="G1016">
        <f t="shared" ca="1" si="453"/>
        <v>4</v>
      </c>
      <c r="H1016">
        <f t="shared" si="454"/>
        <v>4</v>
      </c>
      <c r="I1016" s="44">
        <f t="shared" ca="1" si="455"/>
        <v>45</v>
      </c>
      <c r="J1016">
        <f t="shared" si="456"/>
        <v>2</v>
      </c>
      <c r="K1016" s="36">
        <f t="shared" ca="1" si="457"/>
        <v>260.054347826087</v>
      </c>
      <c r="L1016" s="10">
        <f ca="1">AH1016*VLOOKUP(C1016,技能辅助查询表,技能配置辅助表!$T$1,FALSE)</f>
        <v>0</v>
      </c>
      <c r="M1016">
        <f t="shared" ca="1" si="427"/>
        <v>4400</v>
      </c>
      <c r="N1016" s="33">
        <f ca="1">CHOOSE(1,W1016*U1016,X1016*'[1]0、经济设定'!$C$18)</f>
        <v>434682</v>
      </c>
      <c r="O1016">
        <f t="shared" si="458"/>
        <v>4</v>
      </c>
      <c r="P1016">
        <f t="shared" si="459"/>
        <v>1</v>
      </c>
      <c r="Q1016">
        <f t="shared" si="460"/>
        <v>1</v>
      </c>
      <c r="R1016" s="2">
        <f t="shared" si="461"/>
        <v>12</v>
      </c>
      <c r="S1016" s="2">
        <f t="shared" si="462"/>
        <v>50</v>
      </c>
      <c r="T1016" s="2">
        <f t="shared" si="463"/>
        <v>179.34782608695653</v>
      </c>
      <c r="U1016" s="2">
        <f ca="1">VLOOKUP(E1016,金币生产率!$A$2:$B$120,2,0)</f>
        <v>3534</v>
      </c>
      <c r="V1016" s="2">
        <f t="shared" si="464"/>
        <v>179.34782608695653</v>
      </c>
      <c r="W1016" s="45">
        <f t="shared" ca="1" si="446"/>
        <v>123</v>
      </c>
      <c r="X1016" s="48">
        <f t="shared" ca="1" si="447"/>
        <v>1794</v>
      </c>
      <c r="Y1016">
        <f t="shared" si="435"/>
        <v>18</v>
      </c>
      <c r="Z1016">
        <f t="shared" ca="1" si="441"/>
        <v>50</v>
      </c>
      <c r="AA1016" t="str">
        <f t="shared" ca="1" si="465"/>
        <v>9224400.png</v>
      </c>
      <c r="AB1016">
        <f t="shared" si="466"/>
        <v>20</v>
      </c>
      <c r="AC1016">
        <f>VLOOKUP(C1016,技能辅助查询表,技能配置辅助表!$W$1,FALSE)</f>
        <v>36</v>
      </c>
      <c r="AD1016">
        <f t="shared" ca="1" si="443"/>
        <v>1271.4023788083061</v>
      </c>
      <c r="AE1016">
        <f>VLOOKUP(C1016,技能辅助查询表,技能配置辅助表!$U$1,FALSE)</f>
        <v>4</v>
      </c>
      <c r="AF1016">
        <f t="shared" ca="1" si="467"/>
        <v>9224445</v>
      </c>
      <c r="AG1016">
        <f t="shared" ca="1" si="468"/>
        <v>73.061224489795919</v>
      </c>
      <c r="AH1016">
        <f t="shared" ca="1" si="445"/>
        <v>3971.7833225930094</v>
      </c>
      <c r="AI1016">
        <f ca="1">VLOOKUP(E1016,伤害参考系!$C$4:$E$104,3,FALSE)*$AN$12</f>
        <v>18368.517032608706</v>
      </c>
      <c r="AJ1016">
        <f>VLOOKUP(C1016,技能辅助查询表,技能配置辅助表!$L$1,FALSE)</f>
        <v>1</v>
      </c>
      <c r="AK1016">
        <f>VLOOKUP(C1016,技能辅助查询表,技能配置辅助表!$AE$1,FALSE)</f>
        <v>66000388</v>
      </c>
    </row>
    <row r="1017" spans="1:37" x14ac:dyDescent="0.15">
      <c r="A1017" s="1">
        <f t="shared" ca="1" si="450"/>
        <v>9224446</v>
      </c>
      <c r="B1017" s="1" t="str">
        <f t="shared" ca="1" si="451"/>
        <v>幻影脚第4段</v>
      </c>
      <c r="C1017" t="s">
        <v>170</v>
      </c>
      <c r="D1017">
        <f t="shared" si="452"/>
        <v>2</v>
      </c>
      <c r="E1017" s="42">
        <f t="shared" ca="1" si="438"/>
        <v>75</v>
      </c>
      <c r="F1017" t="str">
        <f t="shared" ca="1" si="439"/>
        <v>第46级，共造成261.8%点伤害</v>
      </c>
      <c r="G1017">
        <f t="shared" ca="1" si="453"/>
        <v>4</v>
      </c>
      <c r="H1017">
        <f t="shared" si="454"/>
        <v>4</v>
      </c>
      <c r="I1017" s="44">
        <f t="shared" ca="1" si="455"/>
        <v>46</v>
      </c>
      <c r="J1017">
        <f t="shared" si="456"/>
        <v>2</v>
      </c>
      <c r="K1017" s="36">
        <f t="shared" ca="1" si="457"/>
        <v>261.84782608695656</v>
      </c>
      <c r="L1017" s="10">
        <f ca="1">AH1017*VLOOKUP(C1017,技能辅助查询表,技能配置辅助表!$T$1,FALSE)</f>
        <v>0</v>
      </c>
      <c r="M1017">
        <f t="shared" ca="1" si="427"/>
        <v>4320</v>
      </c>
      <c r="N1017" s="33">
        <f ca="1">CHOOSE(1,W1017*U1017,X1017*'[1]0、经济设定'!$C$18)</f>
        <v>493020</v>
      </c>
      <c r="O1017">
        <f t="shared" si="458"/>
        <v>4</v>
      </c>
      <c r="P1017">
        <f t="shared" si="459"/>
        <v>1</v>
      </c>
      <c r="Q1017">
        <f t="shared" si="460"/>
        <v>1</v>
      </c>
      <c r="R1017" s="2">
        <f t="shared" si="461"/>
        <v>12</v>
      </c>
      <c r="S1017" s="2">
        <f t="shared" si="462"/>
        <v>50</v>
      </c>
      <c r="T1017" s="2">
        <f t="shared" si="463"/>
        <v>179.34782608695653</v>
      </c>
      <c r="U1017" s="2">
        <f ca="1">VLOOKUP(E1017,金币生产率!$A$2:$B$120,2,0)</f>
        <v>3735</v>
      </c>
      <c r="V1017" s="2">
        <f t="shared" si="464"/>
        <v>179.34782608695653</v>
      </c>
      <c r="W1017" s="45">
        <f t="shared" ca="1" si="446"/>
        <v>132</v>
      </c>
      <c r="X1017" s="48">
        <f t="shared" ca="1" si="447"/>
        <v>1926</v>
      </c>
      <c r="Y1017">
        <f t="shared" si="435"/>
        <v>18</v>
      </c>
      <c r="Z1017">
        <f t="shared" ca="1" si="441"/>
        <v>53</v>
      </c>
      <c r="AA1017" t="str">
        <f t="shared" ca="1" si="465"/>
        <v>9224400.png</v>
      </c>
      <c r="AB1017">
        <f t="shared" si="466"/>
        <v>20</v>
      </c>
      <c r="AC1017">
        <f>VLOOKUP(C1017,技能辅助查询表,技能配置辅助表!$W$1,FALSE)</f>
        <v>36</v>
      </c>
      <c r="AD1017">
        <f t="shared" ca="1" si="443"/>
        <v>1463.6943899176717</v>
      </c>
      <c r="AE1017">
        <f>VLOOKUP(C1017,技能辅助查询表,技能配置辅助表!$U$1,FALSE)</f>
        <v>4</v>
      </c>
      <c r="AF1017">
        <f t="shared" ca="1" si="467"/>
        <v>9224446</v>
      </c>
      <c r="AG1017">
        <f t="shared" ca="1" si="468"/>
        <v>74.448979591836732</v>
      </c>
      <c r="AH1017">
        <f t="shared" ca="1" si="445"/>
        <v>4521.8228298329677</v>
      </c>
      <c r="AI1017">
        <f ca="1">VLOOKUP(E1017,伤害参考系!$C$4:$E$104,3,FALSE)*$AN$12</f>
        <v>19892.440008361213</v>
      </c>
      <c r="AJ1017">
        <f>VLOOKUP(C1017,技能辅助查询表,技能配置辅助表!$L$1,FALSE)</f>
        <v>1</v>
      </c>
      <c r="AK1017">
        <f>VLOOKUP(C1017,技能辅助查询表,技能配置辅助表!$AE$1,FALSE)</f>
        <v>66000388</v>
      </c>
    </row>
    <row r="1018" spans="1:37" x14ac:dyDescent="0.15">
      <c r="A1018" s="1">
        <f t="shared" ca="1" si="450"/>
        <v>9224447</v>
      </c>
      <c r="B1018" s="1" t="str">
        <f t="shared" ca="1" si="451"/>
        <v>幻影脚第4段</v>
      </c>
      <c r="C1018" t="s">
        <v>170</v>
      </c>
      <c r="D1018">
        <f t="shared" si="452"/>
        <v>2</v>
      </c>
      <c r="E1018" s="42">
        <f t="shared" ca="1" si="438"/>
        <v>76</v>
      </c>
      <c r="F1018" t="str">
        <f t="shared" ca="1" si="439"/>
        <v>第47级，共造成263.6%点伤害</v>
      </c>
      <c r="G1018">
        <f t="shared" ca="1" si="453"/>
        <v>4</v>
      </c>
      <c r="H1018">
        <f t="shared" si="454"/>
        <v>4</v>
      </c>
      <c r="I1018" s="44">
        <f t="shared" ca="1" si="455"/>
        <v>47</v>
      </c>
      <c r="J1018">
        <f t="shared" si="456"/>
        <v>2</v>
      </c>
      <c r="K1018" s="36">
        <f t="shared" ca="1" si="457"/>
        <v>263.64130434782612</v>
      </c>
      <c r="L1018" s="10">
        <f ca="1">AH1018*VLOOKUP(C1018,技能辅助查询表,技能配置辅助表!$T$1,FALSE)</f>
        <v>0</v>
      </c>
      <c r="M1018">
        <f t="shared" ca="1" si="427"/>
        <v>4240</v>
      </c>
      <c r="N1018" s="33">
        <f ca="1">CHOOSE(1,W1018*U1018,X1018*'[1]0、经济设定'!$C$18)</f>
        <v>541158</v>
      </c>
      <c r="O1018">
        <f t="shared" si="458"/>
        <v>4</v>
      </c>
      <c r="P1018">
        <f t="shared" si="459"/>
        <v>1</v>
      </c>
      <c r="Q1018">
        <f t="shared" si="460"/>
        <v>1</v>
      </c>
      <c r="R1018" s="2">
        <f t="shared" si="461"/>
        <v>12</v>
      </c>
      <c r="S1018" s="2">
        <f t="shared" si="462"/>
        <v>50</v>
      </c>
      <c r="T1018" s="2">
        <f t="shared" si="463"/>
        <v>179.34782608695653</v>
      </c>
      <c r="U1018" s="2">
        <f ca="1">VLOOKUP(E1018,金币生产率!$A$2:$B$120,2,0)</f>
        <v>3838</v>
      </c>
      <c r="V1018" s="2">
        <f t="shared" si="464"/>
        <v>179.34782608695653</v>
      </c>
      <c r="W1018" s="45">
        <f t="shared" ca="1" si="446"/>
        <v>141</v>
      </c>
      <c r="X1018" s="48">
        <f t="shared" ca="1" si="447"/>
        <v>2067</v>
      </c>
      <c r="Y1018">
        <f t="shared" si="435"/>
        <v>18</v>
      </c>
      <c r="Z1018">
        <f t="shared" ca="1" si="441"/>
        <v>57</v>
      </c>
      <c r="AA1018" t="str">
        <f t="shared" ca="1" si="465"/>
        <v>9224400.png</v>
      </c>
      <c r="AB1018">
        <f t="shared" si="466"/>
        <v>20</v>
      </c>
      <c r="AC1018">
        <f>VLOOKUP(C1018,技能辅助查询表,技能配置辅助表!$W$1,FALSE)</f>
        <v>36</v>
      </c>
      <c r="AD1018">
        <f t="shared" ca="1" si="443"/>
        <v>1684.8625013960016</v>
      </c>
      <c r="AE1018">
        <f>VLOOKUP(C1018,技能辅助查询表,技能配置辅助表!$U$1,FALSE)</f>
        <v>4</v>
      </c>
      <c r="AF1018">
        <f t="shared" ca="1" si="467"/>
        <v>9224447</v>
      </c>
      <c r="AG1018">
        <f t="shared" ca="1" si="468"/>
        <v>75.83673469387756</v>
      </c>
      <c r="AH1018">
        <f t="shared" ca="1" si="445"/>
        <v>5148.0355406320868</v>
      </c>
      <c r="AI1018">
        <f ca="1">VLOOKUP(E1018,伤害参考系!$C$4:$E$104,3,FALSE)*$AN$12</f>
        <v>20676.268264214057</v>
      </c>
      <c r="AJ1018">
        <f>VLOOKUP(C1018,技能辅助查询表,技能配置辅助表!$L$1,FALSE)</f>
        <v>1</v>
      </c>
      <c r="AK1018">
        <f>VLOOKUP(C1018,技能辅助查询表,技能配置辅助表!$AE$1,FALSE)</f>
        <v>66000388</v>
      </c>
    </row>
    <row r="1019" spans="1:37" x14ac:dyDescent="0.15">
      <c r="A1019" s="1">
        <f t="shared" ca="1" si="450"/>
        <v>9224448</v>
      </c>
      <c r="B1019" s="1" t="str">
        <f t="shared" ca="1" si="451"/>
        <v>幻影脚第4段</v>
      </c>
      <c r="C1019" t="s">
        <v>170</v>
      </c>
      <c r="D1019">
        <f t="shared" si="452"/>
        <v>2</v>
      </c>
      <c r="E1019" s="42">
        <f t="shared" ca="1" si="438"/>
        <v>77</v>
      </c>
      <c r="F1019" t="str">
        <f t="shared" ca="1" si="439"/>
        <v>第48级，共造成265.4%点伤害</v>
      </c>
      <c r="G1019">
        <f t="shared" ca="1" si="453"/>
        <v>4</v>
      </c>
      <c r="H1019">
        <f t="shared" si="454"/>
        <v>4</v>
      </c>
      <c r="I1019" s="44">
        <f t="shared" ca="1" si="455"/>
        <v>48</v>
      </c>
      <c r="J1019">
        <f t="shared" si="456"/>
        <v>2</v>
      </c>
      <c r="K1019" s="36">
        <f t="shared" ca="1" si="457"/>
        <v>265.43478260869568</v>
      </c>
      <c r="L1019" s="10">
        <f ca="1">AH1019*VLOOKUP(C1019,技能辅助查询表,技能配置辅助表!$T$1,FALSE)</f>
        <v>0</v>
      </c>
      <c r="M1019">
        <f t="shared" ca="1" si="427"/>
        <v>4160</v>
      </c>
      <c r="N1019" s="33">
        <f ca="1">CHOOSE(1,W1019*U1019,X1019*'[1]0、经济设定'!$C$18)</f>
        <v>595242</v>
      </c>
      <c r="O1019">
        <f t="shared" si="458"/>
        <v>4</v>
      </c>
      <c r="P1019">
        <f t="shared" si="459"/>
        <v>1</v>
      </c>
      <c r="Q1019">
        <f t="shared" si="460"/>
        <v>1</v>
      </c>
      <c r="R1019" s="2">
        <f t="shared" si="461"/>
        <v>12</v>
      </c>
      <c r="S1019" s="2">
        <f t="shared" si="462"/>
        <v>50</v>
      </c>
      <c r="T1019" s="2">
        <f t="shared" si="463"/>
        <v>179.34782608695653</v>
      </c>
      <c r="U1019" s="2">
        <f ca="1">VLOOKUP(E1019,金币生产率!$A$2:$B$120,2,0)</f>
        <v>3942</v>
      </c>
      <c r="V1019" s="2">
        <f t="shared" si="464"/>
        <v>179.34782608695653</v>
      </c>
      <c r="W1019" s="45">
        <f t="shared" ca="1" si="446"/>
        <v>151</v>
      </c>
      <c r="X1019" s="48">
        <f t="shared" ca="1" si="447"/>
        <v>2218</v>
      </c>
      <c r="Y1019">
        <f t="shared" si="435"/>
        <v>18</v>
      </c>
      <c r="Z1019">
        <f t="shared" ca="1" si="441"/>
        <v>61</v>
      </c>
      <c r="AA1019" t="str">
        <f t="shared" ca="1" si="465"/>
        <v>9224400.png</v>
      </c>
      <c r="AB1019">
        <f t="shared" si="466"/>
        <v>20</v>
      </c>
      <c r="AC1019">
        <f>VLOOKUP(C1019,技能辅助查询表,技能配置辅助表!$W$1,FALSE)</f>
        <v>36</v>
      </c>
      <c r="AD1019">
        <f t="shared" ca="1" si="443"/>
        <v>1939.2167402866919</v>
      </c>
      <c r="AE1019">
        <f>VLOOKUP(C1019,技能辅助查询表,技能配置辅助表!$U$1,FALSE)</f>
        <v>4</v>
      </c>
      <c r="AF1019">
        <f t="shared" ca="1" si="467"/>
        <v>9224448</v>
      </c>
      <c r="AG1019">
        <f t="shared" ca="1" si="468"/>
        <v>77.224489795918373</v>
      </c>
      <c r="AH1019">
        <f t="shared" ca="1" si="445"/>
        <v>5860.970437134547</v>
      </c>
      <c r="AI1019">
        <f ca="1">VLOOKUP(E1019,伤害参考系!$C$4:$E$104,3,FALSE)*$AN$12</f>
        <v>21474.674365384624</v>
      </c>
      <c r="AJ1019">
        <f>VLOOKUP(C1019,技能辅助查询表,技能配置辅助表!$L$1,FALSE)</f>
        <v>1</v>
      </c>
      <c r="AK1019">
        <f>VLOOKUP(C1019,技能辅助查询表,技能配置辅助表!$AE$1,FALSE)</f>
        <v>66000388</v>
      </c>
    </row>
    <row r="1020" spans="1:37" x14ac:dyDescent="0.15">
      <c r="A1020" s="1">
        <f t="shared" ca="1" si="450"/>
        <v>9224449</v>
      </c>
      <c r="B1020" s="1" t="str">
        <f t="shared" ca="1" si="451"/>
        <v>幻影脚第4段</v>
      </c>
      <c r="C1020" t="s">
        <v>170</v>
      </c>
      <c r="D1020">
        <f t="shared" si="452"/>
        <v>2</v>
      </c>
      <c r="E1020" s="42">
        <f t="shared" ca="1" si="438"/>
        <v>79</v>
      </c>
      <c r="F1020" t="str">
        <f t="shared" ca="1" si="439"/>
        <v>第49级，共造成267.2%点伤害</v>
      </c>
      <c r="G1020">
        <f t="shared" ca="1" si="453"/>
        <v>4</v>
      </c>
      <c r="H1020">
        <f t="shared" si="454"/>
        <v>4</v>
      </c>
      <c r="I1020" s="44">
        <f t="shared" ca="1" si="455"/>
        <v>49</v>
      </c>
      <c r="J1020">
        <f t="shared" si="456"/>
        <v>2</v>
      </c>
      <c r="K1020" s="36">
        <f t="shared" ca="1" si="457"/>
        <v>267.22826086956525</v>
      </c>
      <c r="L1020" s="10">
        <f ca="1">AH1020*VLOOKUP(C1020,技能辅助查询表,技能配置辅助表!$T$1,FALSE)</f>
        <v>0</v>
      </c>
      <c r="M1020">
        <f t="shared" ca="1" si="427"/>
        <v>4080</v>
      </c>
      <c r="N1020" s="33">
        <f ca="1">CHOOSE(1,W1020*U1020,X1020*'[1]0、经济设定'!$C$18)</f>
        <v>668794</v>
      </c>
      <c r="O1020">
        <f t="shared" si="458"/>
        <v>4</v>
      </c>
      <c r="P1020">
        <f t="shared" si="459"/>
        <v>1</v>
      </c>
      <c r="Q1020">
        <f t="shared" si="460"/>
        <v>1</v>
      </c>
      <c r="R1020" s="2">
        <f t="shared" si="461"/>
        <v>12</v>
      </c>
      <c r="S1020" s="2">
        <f t="shared" si="462"/>
        <v>50</v>
      </c>
      <c r="T1020" s="2">
        <f t="shared" si="463"/>
        <v>179.34782608695653</v>
      </c>
      <c r="U1020" s="2">
        <f ca="1">VLOOKUP(E1020,金币生产率!$A$2:$B$120,2,0)</f>
        <v>4154</v>
      </c>
      <c r="V1020" s="2">
        <f t="shared" si="464"/>
        <v>179.34782608695653</v>
      </c>
      <c r="W1020" s="45">
        <f t="shared" ca="1" si="446"/>
        <v>161</v>
      </c>
      <c r="X1020" s="48">
        <f t="shared" ca="1" si="447"/>
        <v>2379</v>
      </c>
      <c r="Y1020">
        <f t="shared" si="435"/>
        <v>18</v>
      </c>
      <c r="Z1020">
        <f t="shared" ca="1" si="441"/>
        <v>65</v>
      </c>
      <c r="AA1020" t="str">
        <f t="shared" ca="1" si="465"/>
        <v>9224400.png</v>
      </c>
      <c r="AB1020">
        <f t="shared" si="466"/>
        <v>20</v>
      </c>
      <c r="AC1020">
        <f>VLOOKUP(C1020,技能辅助查询表,技能配置辅助表!$W$1,FALSE)</f>
        <v>36</v>
      </c>
      <c r="AD1020">
        <f t="shared" ca="1" si="443"/>
        <v>2231.7070943320059</v>
      </c>
      <c r="AE1020">
        <f>VLOOKUP(C1020,技能辅助查询表,技能配置辅助表!$U$1,FALSE)</f>
        <v>4</v>
      </c>
      <c r="AF1020">
        <f t="shared" ca="1" si="467"/>
        <v>9224449</v>
      </c>
      <c r="AG1020">
        <f t="shared" ca="1" si="468"/>
        <v>78.612244897959187</v>
      </c>
      <c r="AH1020">
        <f t="shared" ca="1" si="445"/>
        <v>6672.6373961177951</v>
      </c>
      <c r="AI1020">
        <f ca="1">VLOOKUP(E1020,伤害参考系!$C$4:$E$104,3,FALSE)*$AN$12</f>
        <v>23115.220103678937</v>
      </c>
      <c r="AJ1020">
        <f>VLOOKUP(C1020,技能辅助查询表,技能配置辅助表!$L$1,FALSE)</f>
        <v>1</v>
      </c>
      <c r="AK1020">
        <f>VLOOKUP(C1020,技能辅助查询表,技能配置辅助表!$AE$1,FALSE)</f>
        <v>66000388</v>
      </c>
    </row>
    <row r="1021" spans="1:37" x14ac:dyDescent="0.15">
      <c r="A1021" s="1">
        <f t="shared" ca="1" si="450"/>
        <v>9224450</v>
      </c>
      <c r="B1021" s="1" t="str">
        <f t="shared" ca="1" si="451"/>
        <v>幻影脚第4段</v>
      </c>
      <c r="C1021" t="s">
        <v>170</v>
      </c>
      <c r="D1021">
        <f t="shared" si="452"/>
        <v>2</v>
      </c>
      <c r="E1021" s="42">
        <f t="shared" ca="1" si="438"/>
        <v>80</v>
      </c>
      <c r="F1021" t="str">
        <f t="shared" ca="1" si="439"/>
        <v>第50级，共造成269%点伤害</v>
      </c>
      <c r="G1021">
        <f t="shared" ca="1" si="453"/>
        <v>4</v>
      </c>
      <c r="H1021">
        <f t="shared" si="454"/>
        <v>4</v>
      </c>
      <c r="I1021" s="44">
        <f t="shared" ca="1" si="455"/>
        <v>50</v>
      </c>
      <c r="J1021">
        <f t="shared" si="456"/>
        <v>2</v>
      </c>
      <c r="K1021" s="36">
        <f t="shared" ca="1" si="457"/>
        <v>269.02173913043481</v>
      </c>
      <c r="L1021" s="10">
        <f ca="1">AH1021*VLOOKUP(C1021,技能辅助查询表,技能配置辅助表!$T$1,FALSE)</f>
        <v>0</v>
      </c>
      <c r="M1021">
        <f t="shared" ca="1" si="427"/>
        <v>4000</v>
      </c>
      <c r="N1021" s="33">
        <f ca="1">CHOOSE(1,W1021*U1021,X1021*'[1]0、经济设定'!$C$18)</f>
        <v>737326</v>
      </c>
      <c r="O1021">
        <f t="shared" si="458"/>
        <v>4</v>
      </c>
      <c r="P1021">
        <f t="shared" si="459"/>
        <v>1</v>
      </c>
      <c r="Q1021">
        <f t="shared" si="460"/>
        <v>1</v>
      </c>
      <c r="R1021" s="2">
        <f t="shared" si="461"/>
        <v>12</v>
      </c>
      <c r="S1021" s="2">
        <f t="shared" si="462"/>
        <v>50</v>
      </c>
      <c r="T1021" s="2">
        <f t="shared" si="463"/>
        <v>179.34782608695653</v>
      </c>
      <c r="U1021" s="2">
        <f ca="1">VLOOKUP(E1021,金币生产率!$A$2:$B$120,2,0)</f>
        <v>4262</v>
      </c>
      <c r="V1021" s="2">
        <f t="shared" si="464"/>
        <v>179.34782608695653</v>
      </c>
      <c r="W1021" s="45">
        <f t="shared" ca="1" si="446"/>
        <v>173</v>
      </c>
      <c r="X1021" s="48">
        <f t="shared" ca="1" si="447"/>
        <v>2552</v>
      </c>
      <c r="Y1021">
        <f t="shared" si="435"/>
        <v>18</v>
      </c>
      <c r="Z1021">
        <f t="shared" ca="1" si="441"/>
        <v>70</v>
      </c>
      <c r="AA1021" t="str">
        <f t="shared" ca="1" si="465"/>
        <v>9224400.png</v>
      </c>
      <c r="AB1021">
        <f t="shared" si="466"/>
        <v>20</v>
      </c>
      <c r="AC1021">
        <f>VLOOKUP(C1021,技能辅助查询表,技能配置辅助表!$W$1,FALSE)</f>
        <v>36</v>
      </c>
      <c r="AD1021">
        <f t="shared" ca="1" si="443"/>
        <v>2568.0181039326735</v>
      </c>
      <c r="AE1021">
        <f>VLOOKUP(C1021,技能辅助查询表,技能配置辅助表!$U$1,FALSE)</f>
        <v>4</v>
      </c>
      <c r="AF1021">
        <f t="shared" ca="1" si="467"/>
        <v>9224450</v>
      </c>
      <c r="AG1021">
        <f t="shared" ca="1" si="468"/>
        <v>80</v>
      </c>
      <c r="AH1021">
        <f t="shared" ca="1" si="445"/>
        <v>7596.7095035950451</v>
      </c>
      <c r="AI1021">
        <f ca="1">VLOOKUP(E1021,伤害参考系!$C$4:$E$104,3,FALSE)*$AN$12</f>
        <v>24028.87424749164</v>
      </c>
      <c r="AJ1021">
        <f>VLOOKUP(C1021,技能辅助查询表,技能配置辅助表!$L$1,FALSE)</f>
        <v>1</v>
      </c>
      <c r="AK1021">
        <f>VLOOKUP(C1021,技能辅助查询表,技能配置辅助表!$AE$1,FALSE)</f>
        <v>66000388</v>
      </c>
    </row>
    <row r="1022" spans="1:37" x14ac:dyDescent="0.15">
      <c r="A1022" s="1">
        <f t="shared" ca="1" si="450"/>
        <v>9311000</v>
      </c>
      <c r="B1022" s="1" t="str">
        <f t="shared" ca="1" si="451"/>
        <v>激光轰击</v>
      </c>
      <c r="C1022" t="s">
        <v>171</v>
      </c>
      <c r="D1022">
        <f t="shared" si="452"/>
        <v>3</v>
      </c>
      <c r="E1022" s="42">
        <f t="shared" ca="1" si="438"/>
        <v>2</v>
      </c>
      <c r="F1022" t="str">
        <f t="shared" ca="1" si="439"/>
        <v>第0级，共造成221.4%点伤害</v>
      </c>
      <c r="G1022">
        <f t="shared" ca="1" si="453"/>
        <v>0</v>
      </c>
      <c r="H1022">
        <f t="shared" si="454"/>
        <v>1</v>
      </c>
      <c r="I1022" s="44">
        <f t="shared" ca="1" si="455"/>
        <v>0</v>
      </c>
      <c r="J1022">
        <f t="shared" si="456"/>
        <v>1</v>
      </c>
      <c r="K1022" s="36">
        <f t="shared" ca="1" si="457"/>
        <v>17.032967032967033</v>
      </c>
      <c r="L1022" s="10">
        <f ca="1">AH1022*VLOOKUP(C1022,技能辅助查询表,技能配置辅助表!$T$1,FALSE)</f>
        <v>0</v>
      </c>
      <c r="M1022">
        <f t="shared" ca="1" si="427"/>
        <v>10000</v>
      </c>
      <c r="N1022" s="33">
        <f ca="1">CHOOSE(1,W1022*U1022,X1022*'[1]0、经济设定'!$C$18)</f>
        <v>0</v>
      </c>
      <c r="O1022">
        <f t="shared" si="458"/>
        <v>1</v>
      </c>
      <c r="P1022">
        <f t="shared" si="459"/>
        <v>13</v>
      </c>
      <c r="Q1022">
        <f t="shared" si="460"/>
        <v>1</v>
      </c>
      <c r="R1022" s="2">
        <f t="shared" si="461"/>
        <v>2</v>
      </c>
      <c r="S1022" s="2">
        <f t="shared" si="462"/>
        <v>50</v>
      </c>
      <c r="T1022" s="2">
        <f t="shared" si="463"/>
        <v>17.032967032967033</v>
      </c>
      <c r="U1022" s="2">
        <f ca="1">VLOOKUP(E1022,金币生产率!$A$2:$B$120,2,0)</f>
        <v>56</v>
      </c>
      <c r="V1022" s="2">
        <f t="shared" si="464"/>
        <v>221.42857142857142</v>
      </c>
      <c r="W1022" s="45">
        <f t="shared" ca="1" si="446"/>
        <v>0</v>
      </c>
      <c r="X1022" s="48">
        <f t="shared" ca="1" si="447"/>
        <v>0</v>
      </c>
      <c r="Y1022">
        <f t="shared" si="435"/>
        <v>18</v>
      </c>
      <c r="Z1022">
        <f t="shared" ca="1" si="441"/>
        <v>0</v>
      </c>
      <c r="AA1022" t="str">
        <f t="shared" ca="1" si="465"/>
        <v>9311100.png</v>
      </c>
      <c r="AB1022">
        <f t="shared" si="466"/>
        <v>2</v>
      </c>
      <c r="AC1022">
        <f>VLOOKUP(C1022,技能辅助查询表,技能配置辅助表!$W$1,FALSE)</f>
        <v>5307</v>
      </c>
      <c r="AD1022">
        <f t="shared" ca="1" si="443"/>
        <v>2.8156371428571427</v>
      </c>
      <c r="AE1022">
        <f>VLOOKUP(C1022,技能辅助查询表,技能配置辅助表!$U$1,FALSE)</f>
        <v>1</v>
      </c>
      <c r="AF1022">
        <f t="shared" ca="1" si="467"/>
        <v>9311100</v>
      </c>
      <c r="AG1022">
        <f t="shared" ca="1" si="468"/>
        <v>0</v>
      </c>
      <c r="AH1022">
        <f t="shared" ca="1" si="445"/>
        <v>11.5938</v>
      </c>
      <c r="AI1022">
        <f ca="1">VLOOKUP(E1022,伤害参考系!$C$4:$E$104,3,FALSE)*$AN$12</f>
        <v>43.199999999999996</v>
      </c>
      <c r="AJ1022">
        <f>VLOOKUP(C1022,技能辅助查询表,技能配置辅助表!$L$1,FALSE)</f>
        <v>13</v>
      </c>
      <c r="AK1022">
        <f>VLOOKUP(C1022,技能辅助查询表,技能配置辅助表!$AE$1,FALSE)</f>
        <v>66000474</v>
      </c>
    </row>
    <row r="1023" spans="1:37" x14ac:dyDescent="0.15">
      <c r="A1023" s="1">
        <f t="shared" ca="1" si="450"/>
        <v>9311101</v>
      </c>
      <c r="B1023" s="1" t="str">
        <f t="shared" ca="1" si="451"/>
        <v>激光轰击</v>
      </c>
      <c r="C1023" t="s">
        <v>171</v>
      </c>
      <c r="D1023">
        <f t="shared" si="452"/>
        <v>3</v>
      </c>
      <c r="E1023" s="42">
        <f t="shared" ca="1" si="438"/>
        <v>2</v>
      </c>
      <c r="F1023" t="str">
        <f t="shared" ca="1" si="439"/>
        <v>第1级，共造成221.4%点伤害</v>
      </c>
      <c r="G1023">
        <f t="shared" ca="1" si="453"/>
        <v>1</v>
      </c>
      <c r="H1023">
        <f t="shared" si="454"/>
        <v>1</v>
      </c>
      <c r="I1023" s="44">
        <f t="shared" ca="1" si="455"/>
        <v>1</v>
      </c>
      <c r="J1023">
        <f t="shared" si="456"/>
        <v>1</v>
      </c>
      <c r="K1023" s="36">
        <f t="shared" ca="1" si="457"/>
        <v>17.032967032967033</v>
      </c>
      <c r="L1023" s="10">
        <f ca="1">AH1023*VLOOKUP(C1023,技能辅助查询表,技能配置辅助表!$T$1,FALSE)</f>
        <v>0</v>
      </c>
      <c r="M1023">
        <f t="shared" ca="1" si="427"/>
        <v>10000</v>
      </c>
      <c r="N1023" s="33">
        <f ca="1">CHOOSE(1,W1023*U1023,X1023*'[1]0、经济设定'!$C$18)</f>
        <v>448</v>
      </c>
      <c r="O1023">
        <f t="shared" si="458"/>
        <v>1</v>
      </c>
      <c r="P1023">
        <f t="shared" si="459"/>
        <v>13</v>
      </c>
      <c r="Q1023">
        <f t="shared" si="460"/>
        <v>1</v>
      </c>
      <c r="R1023" s="2">
        <f t="shared" si="461"/>
        <v>2</v>
      </c>
      <c r="S1023" s="2">
        <f t="shared" si="462"/>
        <v>50</v>
      </c>
      <c r="T1023" s="2">
        <f t="shared" si="463"/>
        <v>17.032967032967033</v>
      </c>
      <c r="U1023" s="2">
        <f ca="1">VLOOKUP(E1023,金币生产率!$A$2:$B$120,2,0)</f>
        <v>56</v>
      </c>
      <c r="V1023" s="2">
        <f t="shared" si="464"/>
        <v>221.42857142857142</v>
      </c>
      <c r="W1023" s="45">
        <f t="shared" ca="1" si="446"/>
        <v>8</v>
      </c>
      <c r="X1023" s="48">
        <f t="shared" ca="1" si="447"/>
        <v>8</v>
      </c>
      <c r="Y1023">
        <f t="shared" si="435"/>
        <v>18</v>
      </c>
      <c r="Z1023">
        <f t="shared" ca="1" si="441"/>
        <v>0</v>
      </c>
      <c r="AA1023" t="str">
        <f t="shared" ca="1" si="465"/>
        <v>9311100.png</v>
      </c>
      <c r="AB1023">
        <f t="shared" si="466"/>
        <v>2</v>
      </c>
      <c r="AC1023">
        <f>VLOOKUP(C1023,技能辅助查询表,技能配置辅助表!$W$1,FALSE)</f>
        <v>5307</v>
      </c>
      <c r="AD1023">
        <f t="shared" ca="1" si="443"/>
        <v>3.2055656814594373</v>
      </c>
      <c r="AE1023">
        <f>VLOOKUP(C1023,技能辅助查询表,技能配置辅助表!$U$1,FALSE)</f>
        <v>1</v>
      </c>
      <c r="AF1023">
        <f t="shared" ca="1" si="467"/>
        <v>9311101</v>
      </c>
      <c r="AG1023">
        <f t="shared" ca="1" si="468"/>
        <v>2</v>
      </c>
      <c r="AH1023">
        <f t="shared" ca="1" si="445"/>
        <v>13.199388100127095</v>
      </c>
      <c r="AI1023">
        <f ca="1">VLOOKUP(E1023,伤害参考系!$C$4:$E$104,3,FALSE)*$AN$12</f>
        <v>43.199999999999996</v>
      </c>
      <c r="AJ1023">
        <f>VLOOKUP(C1023,技能辅助查询表,技能配置辅助表!$L$1,FALSE)</f>
        <v>13</v>
      </c>
      <c r="AK1023">
        <f>VLOOKUP(C1023,技能辅助查询表,技能配置辅助表!$AE$1,FALSE)</f>
        <v>66000474</v>
      </c>
    </row>
    <row r="1024" spans="1:37" x14ac:dyDescent="0.15">
      <c r="A1024" s="1">
        <f t="shared" ca="1" si="450"/>
        <v>9311102</v>
      </c>
      <c r="B1024" s="1" t="str">
        <f t="shared" ca="1" si="451"/>
        <v>激光轰击</v>
      </c>
      <c r="C1024" t="s">
        <v>171</v>
      </c>
      <c r="D1024">
        <f t="shared" si="452"/>
        <v>3</v>
      </c>
      <c r="E1024" s="42">
        <f t="shared" ca="1" si="438"/>
        <v>2</v>
      </c>
      <c r="F1024" t="str">
        <f t="shared" ca="1" si="439"/>
        <v>第2级，共造成225.9%点伤害</v>
      </c>
      <c r="G1024">
        <f t="shared" ca="1" si="453"/>
        <v>1</v>
      </c>
      <c r="H1024">
        <f t="shared" si="454"/>
        <v>1</v>
      </c>
      <c r="I1024" s="44">
        <f t="shared" ca="1" si="455"/>
        <v>2</v>
      </c>
      <c r="J1024">
        <f t="shared" si="456"/>
        <v>1</v>
      </c>
      <c r="K1024" s="36">
        <f t="shared" ca="1" si="457"/>
        <v>17.373626373626372</v>
      </c>
      <c r="L1024" s="10">
        <f ca="1">AH1024*VLOOKUP(C1024,技能辅助查询表,技能配置辅助表!$T$1,FALSE)</f>
        <v>0</v>
      </c>
      <c r="M1024">
        <f t="shared" ca="1" si="427"/>
        <v>9800</v>
      </c>
      <c r="N1024" s="33">
        <f ca="1">CHOOSE(1,W1024*U1024,X1024*'[1]0、经济设定'!$C$18)</f>
        <v>504</v>
      </c>
      <c r="O1024">
        <f t="shared" si="458"/>
        <v>1</v>
      </c>
      <c r="P1024">
        <f t="shared" si="459"/>
        <v>13</v>
      </c>
      <c r="Q1024">
        <f t="shared" si="460"/>
        <v>1</v>
      </c>
      <c r="R1024" s="2">
        <f t="shared" si="461"/>
        <v>2</v>
      </c>
      <c r="S1024" s="2">
        <f t="shared" si="462"/>
        <v>50</v>
      </c>
      <c r="T1024" s="2">
        <f t="shared" si="463"/>
        <v>17.032967032967033</v>
      </c>
      <c r="U1024" s="2">
        <f ca="1">VLOOKUP(E1024,金币生产率!$A$2:$B$120,2,0)</f>
        <v>56</v>
      </c>
      <c r="V1024" s="2">
        <f t="shared" si="464"/>
        <v>221.42857142857142</v>
      </c>
      <c r="W1024" s="45">
        <f t="shared" ca="1" si="446"/>
        <v>9</v>
      </c>
      <c r="X1024" s="48">
        <f t="shared" ca="1" si="447"/>
        <v>17</v>
      </c>
      <c r="Y1024">
        <f t="shared" si="435"/>
        <v>18</v>
      </c>
      <c r="Z1024">
        <f t="shared" ca="1" si="441"/>
        <v>0</v>
      </c>
      <c r="AA1024" t="str">
        <f t="shared" ca="1" si="465"/>
        <v>9311100.png</v>
      </c>
      <c r="AB1024">
        <f t="shared" si="466"/>
        <v>2</v>
      </c>
      <c r="AC1024">
        <f>VLOOKUP(C1024,技能辅助查询表,技能配置辅助表!$W$1,FALSE)</f>
        <v>5307</v>
      </c>
      <c r="AD1024">
        <f t="shared" ca="1" si="443"/>
        <v>3.7825933693097382</v>
      </c>
      <c r="AE1024">
        <f>VLOOKUP(C1024,技能辅助查询表,技能配置辅助表!$U$1,FALSE)</f>
        <v>1</v>
      </c>
      <c r="AF1024">
        <f t="shared" ca="1" si="467"/>
        <v>9311102</v>
      </c>
      <c r="AG1024">
        <f t="shared" ca="1" si="468"/>
        <v>3.5918367346938775</v>
      </c>
      <c r="AH1024">
        <f t="shared" ca="1" si="445"/>
        <v>15.027328935963775</v>
      </c>
      <c r="AI1024">
        <f ca="1">VLOOKUP(E1024,伤害参考系!$C$4:$E$104,3,FALSE)*$AN$12</f>
        <v>43.199999999999996</v>
      </c>
      <c r="AJ1024">
        <f>VLOOKUP(C1024,技能辅助查询表,技能配置辅助表!$L$1,FALSE)</f>
        <v>13</v>
      </c>
      <c r="AK1024">
        <f>VLOOKUP(C1024,技能辅助查询表,技能配置辅助表!$AE$1,FALSE)</f>
        <v>66000474</v>
      </c>
    </row>
    <row r="1025" spans="1:37" x14ac:dyDescent="0.15">
      <c r="A1025" s="1">
        <f t="shared" ca="1" si="450"/>
        <v>9311103</v>
      </c>
      <c r="B1025" s="1" t="str">
        <f t="shared" ca="1" si="451"/>
        <v>激光轰击</v>
      </c>
      <c r="C1025" t="s">
        <v>171</v>
      </c>
      <c r="D1025">
        <f t="shared" si="452"/>
        <v>3</v>
      </c>
      <c r="E1025" s="42">
        <f t="shared" ca="1" si="438"/>
        <v>7</v>
      </c>
      <c r="F1025" t="str">
        <f t="shared" ca="1" si="439"/>
        <v>第3级，共造成228.1%点伤害</v>
      </c>
      <c r="G1025">
        <f t="shared" ca="1" si="453"/>
        <v>1</v>
      </c>
      <c r="H1025">
        <f t="shared" si="454"/>
        <v>1</v>
      </c>
      <c r="I1025" s="44">
        <f t="shared" ca="1" si="455"/>
        <v>3</v>
      </c>
      <c r="J1025">
        <f t="shared" si="456"/>
        <v>1</v>
      </c>
      <c r="K1025" s="36">
        <f t="shared" ca="1" si="457"/>
        <v>17.543956043956044</v>
      </c>
      <c r="L1025" s="10">
        <f ca="1">AH1025*VLOOKUP(C1025,技能辅助查询表,技能配置辅助表!$T$1,FALSE)</f>
        <v>0</v>
      </c>
      <c r="M1025">
        <f t="shared" ca="1" si="427"/>
        <v>9700</v>
      </c>
      <c r="N1025" s="33">
        <f ca="1">CHOOSE(1,W1025*U1025,X1025*'[1]0、经济设定'!$C$18)</f>
        <v>860</v>
      </c>
      <c r="O1025">
        <f t="shared" si="458"/>
        <v>1</v>
      </c>
      <c r="P1025">
        <f t="shared" si="459"/>
        <v>13</v>
      </c>
      <c r="Q1025">
        <f t="shared" si="460"/>
        <v>1</v>
      </c>
      <c r="R1025" s="2">
        <f t="shared" si="461"/>
        <v>2</v>
      </c>
      <c r="S1025" s="2">
        <f t="shared" si="462"/>
        <v>50</v>
      </c>
      <c r="T1025" s="2">
        <f t="shared" si="463"/>
        <v>17.032967032967033</v>
      </c>
      <c r="U1025" s="2">
        <f ca="1">VLOOKUP(E1025,金币生产率!$A$2:$B$120,2,0)</f>
        <v>86</v>
      </c>
      <c r="V1025" s="2">
        <f t="shared" si="464"/>
        <v>221.42857142857142</v>
      </c>
      <c r="W1025" s="45">
        <f t="shared" ca="1" si="446"/>
        <v>10</v>
      </c>
      <c r="X1025" s="48">
        <f t="shared" ca="1" si="447"/>
        <v>27</v>
      </c>
      <c r="Y1025">
        <f t="shared" si="435"/>
        <v>18</v>
      </c>
      <c r="Z1025">
        <f t="shared" ca="1" si="441"/>
        <v>0</v>
      </c>
      <c r="AA1025" t="str">
        <f t="shared" ca="1" si="465"/>
        <v>9311100.png</v>
      </c>
      <c r="AB1025">
        <f t="shared" si="466"/>
        <v>2</v>
      </c>
      <c r="AC1025">
        <f>VLOOKUP(C1025,技能辅助查询表,技能配置辅助表!$W$1,FALSE)</f>
        <v>5307</v>
      </c>
      <c r="AD1025">
        <f t="shared" ca="1" si="443"/>
        <v>4.3821984076977349</v>
      </c>
      <c r="AE1025">
        <f>VLOOKUP(C1025,技能辅助查询表,技能配置辅助表!$U$1,FALSE)</f>
        <v>1</v>
      </c>
      <c r="AF1025">
        <f t="shared" ca="1" si="467"/>
        <v>9311103</v>
      </c>
      <c r="AG1025">
        <f t="shared" ca="1" si="468"/>
        <v>5.1836734693877551</v>
      </c>
      <c r="AH1025">
        <f t="shared" ca="1" si="445"/>
        <v>17.108415423248271</v>
      </c>
      <c r="AI1025">
        <f ca="1">VLOOKUP(E1025,伤害参考系!$C$4:$E$104,3,FALSE)*$AN$12</f>
        <v>101.93624999999999</v>
      </c>
      <c r="AJ1025">
        <f>VLOOKUP(C1025,技能辅助查询表,技能配置辅助表!$L$1,FALSE)</f>
        <v>13</v>
      </c>
      <c r="AK1025">
        <f>VLOOKUP(C1025,技能辅助查询表,技能配置辅助表!$AE$1,FALSE)</f>
        <v>66000474</v>
      </c>
    </row>
    <row r="1026" spans="1:37" x14ac:dyDescent="0.15">
      <c r="A1026" s="1">
        <f t="shared" ca="1" si="450"/>
        <v>9311104</v>
      </c>
      <c r="B1026" s="1" t="str">
        <f t="shared" ca="1" si="451"/>
        <v>激光轰击</v>
      </c>
      <c r="C1026" t="s">
        <v>171</v>
      </c>
      <c r="D1026">
        <f t="shared" si="452"/>
        <v>3</v>
      </c>
      <c r="E1026" s="42">
        <f t="shared" ca="1" si="438"/>
        <v>8</v>
      </c>
      <c r="F1026" t="str">
        <f t="shared" ca="1" si="439"/>
        <v>第4级，共造成230.3%点伤害</v>
      </c>
      <c r="G1026">
        <f t="shared" ca="1" si="453"/>
        <v>1</v>
      </c>
      <c r="H1026">
        <f t="shared" si="454"/>
        <v>1</v>
      </c>
      <c r="I1026" s="44">
        <f t="shared" ca="1" si="455"/>
        <v>4</v>
      </c>
      <c r="J1026">
        <f t="shared" si="456"/>
        <v>1</v>
      </c>
      <c r="K1026" s="36">
        <f t="shared" ca="1" si="457"/>
        <v>17.714285714285715</v>
      </c>
      <c r="L1026" s="10">
        <f ca="1">AH1026*VLOOKUP(C1026,技能辅助查询表,技能配置辅助表!$T$1,FALSE)</f>
        <v>0</v>
      </c>
      <c r="M1026">
        <f t="shared" ref="M1026:M1089" ca="1" si="469">IF(OR(I1026=0,I1026=1),VLOOKUP(C1026,技能辅助查询表,14,FALSE),VLOOKUP(C1026,技能辅助查询表,14,FALSE)-VLOOKUP(C1026,技能辅助查询表,14,FALSE)*0.5/S1026*I1026)</f>
        <v>9600</v>
      </c>
      <c r="N1026" s="33">
        <f ca="1">CHOOSE(1,W1026*U1026,X1026*'[1]0、经济设定'!$C$18)</f>
        <v>920</v>
      </c>
      <c r="O1026">
        <f t="shared" si="458"/>
        <v>1</v>
      </c>
      <c r="P1026">
        <f t="shared" si="459"/>
        <v>13</v>
      </c>
      <c r="Q1026">
        <f t="shared" si="460"/>
        <v>1</v>
      </c>
      <c r="R1026" s="2">
        <f t="shared" si="461"/>
        <v>2</v>
      </c>
      <c r="S1026" s="2">
        <f t="shared" si="462"/>
        <v>50</v>
      </c>
      <c r="T1026" s="2">
        <f t="shared" si="463"/>
        <v>17.032967032967033</v>
      </c>
      <c r="U1026" s="2">
        <f ca="1">VLOOKUP(E1026,金币生产率!$A$2:$B$120,2,0)</f>
        <v>92</v>
      </c>
      <c r="V1026" s="2">
        <f t="shared" si="464"/>
        <v>221.42857142857142</v>
      </c>
      <c r="W1026" s="45">
        <f t="shared" ca="1" si="446"/>
        <v>10</v>
      </c>
      <c r="X1026" s="48">
        <f t="shared" ca="1" si="447"/>
        <v>37</v>
      </c>
      <c r="Y1026">
        <f t="shared" ref="Y1026:Y1089" si="470">VLOOKUP(C1026,技能辅助查询表,15,FALSE)</f>
        <v>18</v>
      </c>
      <c r="Z1026">
        <f t="shared" ca="1" si="441"/>
        <v>0</v>
      </c>
      <c r="AA1026" t="str">
        <f t="shared" ca="1" si="465"/>
        <v>9311100.png</v>
      </c>
      <c r="AB1026">
        <f t="shared" si="466"/>
        <v>2</v>
      </c>
      <c r="AC1026">
        <f>VLOOKUP(C1026,技能辅助查询表,技能配置辅助表!$W$1,FALSE)</f>
        <v>5307</v>
      </c>
      <c r="AD1026">
        <f t="shared" ca="1" si="443"/>
        <v>5.0753333883894722</v>
      </c>
      <c r="AE1026">
        <f>VLOOKUP(C1026,技能辅助查询表,技能配置辅助表!$U$1,FALSE)</f>
        <v>1</v>
      </c>
      <c r="AF1026">
        <f t="shared" ca="1" si="467"/>
        <v>9311104</v>
      </c>
      <c r="AG1026">
        <f t="shared" ca="1" si="468"/>
        <v>6.7755102040816331</v>
      </c>
      <c r="AH1026">
        <f t="shared" ca="1" si="445"/>
        <v>19.477704889652582</v>
      </c>
      <c r="AI1026">
        <f ca="1">VLOOKUP(E1026,伤害参考系!$C$4:$E$104,3,FALSE)*$AN$12</f>
        <v>115.83</v>
      </c>
      <c r="AJ1026">
        <f>VLOOKUP(C1026,技能辅助查询表,技能配置辅助表!$L$1,FALSE)</f>
        <v>13</v>
      </c>
      <c r="AK1026">
        <f>VLOOKUP(C1026,技能辅助查询表,技能配置辅助表!$AE$1,FALSE)</f>
        <v>66000474</v>
      </c>
    </row>
    <row r="1027" spans="1:37" x14ac:dyDescent="0.15">
      <c r="A1027" s="1">
        <f t="shared" ca="1" si="450"/>
        <v>9311105</v>
      </c>
      <c r="B1027" s="1" t="str">
        <f t="shared" ca="1" si="451"/>
        <v>激光轰击</v>
      </c>
      <c r="C1027" t="s">
        <v>171</v>
      </c>
      <c r="D1027">
        <f t="shared" si="452"/>
        <v>3</v>
      </c>
      <c r="E1027" s="42">
        <f t="shared" ref="E1027:E1090" ca="1" si="471">IF(I1027=0,E1028,IF(AND(I1027=1,G1027&gt;1),OFFSET(E1027,(1-G1027)*51,0),IF(OR(I1027=1,AND(I1027=2,R1027=2)),R1027,IF(I1027=0,0,ROUND(I1027*(80-R1027)/S1027,0)+R1027))))</f>
        <v>10</v>
      </c>
      <c r="F1027" t="str">
        <f t="shared" ref="F1027:F1090" ca="1" si="472">"第"&amp;I1027&amp;"级，共造成"&amp;ROUND(AJ1027*K1027,1)&amp;"%点伤害"</f>
        <v>第5级，共造成232.5%点伤害</v>
      </c>
      <c r="G1027">
        <f t="shared" ca="1" si="453"/>
        <v>1</v>
      </c>
      <c r="H1027">
        <f t="shared" si="454"/>
        <v>1</v>
      </c>
      <c r="I1027" s="44">
        <f t="shared" ca="1" si="455"/>
        <v>5</v>
      </c>
      <c r="J1027">
        <f t="shared" si="456"/>
        <v>1</v>
      </c>
      <c r="K1027" s="36">
        <f t="shared" ca="1" si="457"/>
        <v>17.884615384615383</v>
      </c>
      <c r="L1027" s="10">
        <f ca="1">AH1027*VLOOKUP(C1027,技能辅助查询表,技能配置辅助表!$T$1,FALSE)</f>
        <v>0</v>
      </c>
      <c r="M1027">
        <f t="shared" ca="1" si="469"/>
        <v>9500</v>
      </c>
      <c r="N1027" s="33">
        <f ca="1">CHOOSE(1,W1027*U1027,X1027*'[1]0、经济设定'!$C$18)</f>
        <v>1144</v>
      </c>
      <c r="O1027">
        <f t="shared" si="458"/>
        <v>1</v>
      </c>
      <c r="P1027">
        <f t="shared" si="459"/>
        <v>13</v>
      </c>
      <c r="Q1027">
        <f t="shared" si="460"/>
        <v>1</v>
      </c>
      <c r="R1027" s="2">
        <f t="shared" si="461"/>
        <v>2</v>
      </c>
      <c r="S1027" s="2">
        <f t="shared" si="462"/>
        <v>50</v>
      </c>
      <c r="T1027" s="2">
        <f t="shared" si="463"/>
        <v>17.032967032967033</v>
      </c>
      <c r="U1027" s="2">
        <f ca="1">VLOOKUP(E1027,金币生产率!$A$2:$B$120,2,0)</f>
        <v>104</v>
      </c>
      <c r="V1027" s="2">
        <f t="shared" si="464"/>
        <v>221.42857142857142</v>
      </c>
      <c r="W1027" s="45">
        <f t="shared" ca="1" si="446"/>
        <v>11</v>
      </c>
      <c r="X1027" s="48">
        <f t="shared" ca="1" si="447"/>
        <v>48</v>
      </c>
      <c r="Y1027">
        <f t="shared" si="470"/>
        <v>18</v>
      </c>
      <c r="Z1027">
        <f t="shared" ref="Z1027:Z1090" ca="1" si="473">IF(I1027&gt;=Y1027,ROUNDUP(W1027/$AN$15,0),0)</f>
        <v>0</v>
      </c>
      <c r="AA1027" t="str">
        <f t="shared" ca="1" si="465"/>
        <v>9311100.png</v>
      </c>
      <c r="AB1027">
        <f t="shared" si="466"/>
        <v>2</v>
      </c>
      <c r="AC1027">
        <f>VLOOKUP(C1027,技能辅助查询表,技能配置辅助表!$W$1,FALSE)</f>
        <v>5307</v>
      </c>
      <c r="AD1027">
        <f t="shared" ref="AD1027:AD1090" ca="1" si="474">((AH1027*K1027/100+L1027)*AJ1027-AH1027)/5</f>
        <v>5.8764040544636718</v>
      </c>
      <c r="AE1027">
        <f>VLOOKUP(C1027,技能辅助查询表,技能配置辅助表!$U$1,FALSE)</f>
        <v>1</v>
      </c>
      <c r="AF1027">
        <f t="shared" ca="1" si="467"/>
        <v>9311105</v>
      </c>
      <c r="AG1027">
        <f t="shared" ca="1" si="468"/>
        <v>8.3673469387755102</v>
      </c>
      <c r="AH1027">
        <f t="shared" ref="AH1027:AH1090" ca="1" si="475">(19.323*EXP(I1027*0.1297))*$AN$12</f>
        <v>22.175109639485559</v>
      </c>
      <c r="AI1027">
        <f ca="1">VLOOKUP(E1027,伤害参考系!$C$4:$E$104,3,FALSE)*$AN$12</f>
        <v>177.55434782608697</v>
      </c>
      <c r="AJ1027">
        <f>VLOOKUP(C1027,技能辅助查询表,技能配置辅助表!$L$1,FALSE)</f>
        <v>13</v>
      </c>
      <c r="AK1027">
        <f>VLOOKUP(C1027,技能辅助查询表,技能配置辅助表!$AE$1,FALSE)</f>
        <v>66000474</v>
      </c>
    </row>
    <row r="1028" spans="1:37" x14ac:dyDescent="0.15">
      <c r="A1028" s="1">
        <f t="shared" ca="1" si="450"/>
        <v>9311106</v>
      </c>
      <c r="B1028" s="1" t="str">
        <f t="shared" ca="1" si="451"/>
        <v>激光轰击</v>
      </c>
      <c r="C1028" t="s">
        <v>171</v>
      </c>
      <c r="D1028">
        <f t="shared" si="452"/>
        <v>3</v>
      </c>
      <c r="E1028" s="42">
        <f t="shared" ca="1" si="471"/>
        <v>11</v>
      </c>
      <c r="F1028" t="str">
        <f t="shared" ca="1" si="472"/>
        <v>第6级，共造成234.7%点伤害</v>
      </c>
      <c r="G1028">
        <f t="shared" ca="1" si="453"/>
        <v>1</v>
      </c>
      <c r="H1028">
        <f t="shared" si="454"/>
        <v>1</v>
      </c>
      <c r="I1028" s="44">
        <f t="shared" ca="1" si="455"/>
        <v>6</v>
      </c>
      <c r="J1028">
        <f t="shared" si="456"/>
        <v>1</v>
      </c>
      <c r="K1028" s="36">
        <f t="shared" ca="1" si="457"/>
        <v>18.054945054945055</v>
      </c>
      <c r="L1028" s="10">
        <f ca="1">AH1028*VLOOKUP(C1028,技能辅助查询表,技能配置辅助表!$T$1,FALSE)</f>
        <v>0</v>
      </c>
      <c r="M1028">
        <f t="shared" ca="1" si="469"/>
        <v>9400</v>
      </c>
      <c r="N1028" s="33">
        <f ca="1">CHOOSE(1,W1028*U1028,X1028*'[1]0、经济设定'!$C$18)</f>
        <v>1320</v>
      </c>
      <c r="O1028">
        <f t="shared" si="458"/>
        <v>1</v>
      </c>
      <c r="P1028">
        <f t="shared" si="459"/>
        <v>13</v>
      </c>
      <c r="Q1028">
        <f t="shared" si="460"/>
        <v>1</v>
      </c>
      <c r="R1028" s="2">
        <f t="shared" si="461"/>
        <v>2</v>
      </c>
      <c r="S1028" s="2">
        <f t="shared" si="462"/>
        <v>50</v>
      </c>
      <c r="T1028" s="2">
        <f t="shared" si="463"/>
        <v>17.032967032967033</v>
      </c>
      <c r="U1028" s="2">
        <f ca="1">VLOOKUP(E1028,金币生产率!$A$2:$B$120,2,0)</f>
        <v>110</v>
      </c>
      <c r="V1028" s="2">
        <f t="shared" si="464"/>
        <v>221.42857142857142</v>
      </c>
      <c r="W1028" s="45">
        <f t="shared" ref="W1028:W1091" ca="1" si="476">ROUND((IF(I1028=0,0,ROUND(OFFSET(AD1028,S1028-I1028+510*(1-D1028),0)*(1-$AN$13)/(1-$AN$13^S1028)*$AN$13^(I1028-1),0))+IF(I1028=0,0,ROUND(OFFSET(AD1028,S1028-I1028+510*(2-D1028),0)*(1-$AN$13)/(1-$AN$13^S1028)*$AN$13^(I1028-1),0))+IF(I1028=0,0,ROUND(OFFSET(AD1028,S1028-I1028+510*(3-D1028),0)*(1-$AN$13)/(1-$AN$13^S1028)*$AN$13^(I1028-1),0)))/3,0)</f>
        <v>12</v>
      </c>
      <c r="X1028" s="48">
        <f t="shared" ref="X1028:X1091" ca="1" si="477">IF(I1028=0,0,X1027+W1028)</f>
        <v>60</v>
      </c>
      <c r="Y1028">
        <f t="shared" si="470"/>
        <v>18</v>
      </c>
      <c r="Z1028">
        <f t="shared" ca="1" si="473"/>
        <v>0</v>
      </c>
      <c r="AA1028" t="str">
        <f t="shared" ca="1" si="465"/>
        <v>9311100.png</v>
      </c>
      <c r="AB1028">
        <f t="shared" si="466"/>
        <v>2</v>
      </c>
      <c r="AC1028">
        <f>VLOOKUP(C1028,技能辅助查询表,技能配置辅助表!$W$1,FALSE)</f>
        <v>5307</v>
      </c>
      <c r="AD1028">
        <f t="shared" ca="1" si="474"/>
        <v>6.8020123867105386</v>
      </c>
      <c r="AE1028">
        <f>VLOOKUP(C1028,技能辅助查询表,技能配置辅助表!$U$1,FALSE)</f>
        <v>1</v>
      </c>
      <c r="AF1028">
        <f t="shared" ca="1" si="467"/>
        <v>9311106</v>
      </c>
      <c r="AG1028">
        <f t="shared" ca="1" si="468"/>
        <v>9.9591836734693882</v>
      </c>
      <c r="AH1028">
        <f t="shared" ca="1" si="475"/>
        <v>25.246069303803697</v>
      </c>
      <c r="AI1028">
        <f ca="1">VLOOKUP(E1028,伤害参考系!$C$4:$E$104,3,FALSE)*$AN$12</f>
        <v>212.08059782608694</v>
      </c>
      <c r="AJ1028">
        <f>VLOOKUP(C1028,技能辅助查询表,技能配置辅助表!$L$1,FALSE)</f>
        <v>13</v>
      </c>
      <c r="AK1028">
        <f>VLOOKUP(C1028,技能辅助查询表,技能配置辅助表!$AE$1,FALSE)</f>
        <v>66000474</v>
      </c>
    </row>
    <row r="1029" spans="1:37" x14ac:dyDescent="0.15">
      <c r="A1029" s="1">
        <f t="shared" ca="1" si="450"/>
        <v>9311107</v>
      </c>
      <c r="B1029" s="1" t="str">
        <f t="shared" ca="1" si="451"/>
        <v>激光轰击</v>
      </c>
      <c r="C1029" t="s">
        <v>171</v>
      </c>
      <c r="D1029">
        <f t="shared" si="452"/>
        <v>3</v>
      </c>
      <c r="E1029" s="42">
        <f t="shared" ca="1" si="471"/>
        <v>13</v>
      </c>
      <c r="F1029" t="str">
        <f t="shared" ca="1" si="472"/>
        <v>第7级，共造成236.9%点伤害</v>
      </c>
      <c r="G1029">
        <f t="shared" ca="1" si="453"/>
        <v>1</v>
      </c>
      <c r="H1029">
        <f t="shared" si="454"/>
        <v>1</v>
      </c>
      <c r="I1029" s="44">
        <f t="shared" ca="1" si="455"/>
        <v>7</v>
      </c>
      <c r="J1029">
        <f t="shared" si="456"/>
        <v>1</v>
      </c>
      <c r="K1029" s="36">
        <f t="shared" ca="1" si="457"/>
        <v>18.225274725274726</v>
      </c>
      <c r="L1029" s="10">
        <f ca="1">AH1029*VLOOKUP(C1029,技能辅助查询表,技能配置辅助表!$T$1,FALSE)</f>
        <v>0</v>
      </c>
      <c r="M1029">
        <f t="shared" ca="1" si="469"/>
        <v>9300</v>
      </c>
      <c r="N1029" s="33">
        <f ca="1">CHOOSE(1,W1029*U1029,X1029*'[1]0、经济设定'!$C$18)</f>
        <v>1464</v>
      </c>
      <c r="O1029">
        <f t="shared" si="458"/>
        <v>1</v>
      </c>
      <c r="P1029">
        <f t="shared" si="459"/>
        <v>13</v>
      </c>
      <c r="Q1029">
        <f t="shared" si="460"/>
        <v>1</v>
      </c>
      <c r="R1029" s="2">
        <f t="shared" si="461"/>
        <v>2</v>
      </c>
      <c r="S1029" s="2">
        <f t="shared" si="462"/>
        <v>50</v>
      </c>
      <c r="T1029" s="2">
        <f t="shared" si="463"/>
        <v>17.032967032967033</v>
      </c>
      <c r="U1029" s="2">
        <f ca="1">VLOOKUP(E1029,金币生产率!$A$2:$B$120,2,0)</f>
        <v>122</v>
      </c>
      <c r="V1029" s="2">
        <f t="shared" si="464"/>
        <v>221.42857142857142</v>
      </c>
      <c r="W1029" s="45">
        <f t="shared" ca="1" si="476"/>
        <v>12</v>
      </c>
      <c r="X1029" s="48">
        <f t="shared" ca="1" si="477"/>
        <v>72</v>
      </c>
      <c r="Y1029">
        <f t="shared" si="470"/>
        <v>18</v>
      </c>
      <c r="Z1029">
        <f t="shared" ca="1" si="473"/>
        <v>0</v>
      </c>
      <c r="AA1029" t="str">
        <f t="shared" ca="1" si="465"/>
        <v>9311100.png</v>
      </c>
      <c r="AB1029">
        <f t="shared" si="466"/>
        <v>2</v>
      </c>
      <c r="AC1029">
        <f>VLOOKUP(C1029,技能辅助查询表,技能配置辅助表!$W$1,FALSE)</f>
        <v>5307</v>
      </c>
      <c r="AD1029">
        <f t="shared" ca="1" si="474"/>
        <v>7.8712886215970288</v>
      </c>
      <c r="AE1029">
        <f>VLOOKUP(C1029,技能辅助查询表,技能配置辅助表!$U$1,FALSE)</f>
        <v>1</v>
      </c>
      <c r="AF1029">
        <f t="shared" ca="1" si="467"/>
        <v>9311107</v>
      </c>
      <c r="AG1029">
        <f t="shared" ca="1" si="468"/>
        <v>11.551020408163266</v>
      </c>
      <c r="AH1029">
        <f t="shared" ca="1" si="475"/>
        <v>28.742316302127907</v>
      </c>
      <c r="AI1029">
        <f ca="1">VLOOKUP(E1029,伤害参考系!$C$4:$E$104,3,FALSE)*$AN$12</f>
        <v>288.46124999999995</v>
      </c>
      <c r="AJ1029">
        <f>VLOOKUP(C1029,技能辅助查询表,技能配置辅助表!$L$1,FALSE)</f>
        <v>13</v>
      </c>
      <c r="AK1029">
        <f>VLOOKUP(C1029,技能辅助查询表,技能配置辅助表!$AE$1,FALSE)</f>
        <v>66000474</v>
      </c>
    </row>
    <row r="1030" spans="1:37" x14ac:dyDescent="0.15">
      <c r="A1030" s="1">
        <f t="shared" ca="1" si="450"/>
        <v>9311108</v>
      </c>
      <c r="B1030" s="1" t="str">
        <f t="shared" ca="1" si="451"/>
        <v>激光轰击</v>
      </c>
      <c r="C1030" t="s">
        <v>171</v>
      </c>
      <c r="D1030">
        <f t="shared" si="452"/>
        <v>3</v>
      </c>
      <c r="E1030" s="42">
        <f t="shared" ca="1" si="471"/>
        <v>14</v>
      </c>
      <c r="F1030" t="str">
        <f t="shared" ca="1" si="472"/>
        <v>第8级，共造成239.1%点伤害</v>
      </c>
      <c r="G1030">
        <f t="shared" ca="1" si="453"/>
        <v>1</v>
      </c>
      <c r="H1030">
        <f t="shared" si="454"/>
        <v>1</v>
      </c>
      <c r="I1030" s="44">
        <f t="shared" ca="1" si="455"/>
        <v>8</v>
      </c>
      <c r="J1030">
        <f t="shared" si="456"/>
        <v>1</v>
      </c>
      <c r="K1030" s="36">
        <f t="shared" ca="1" si="457"/>
        <v>18.395604395604394</v>
      </c>
      <c r="L1030" s="10">
        <f ca="1">AH1030*VLOOKUP(C1030,技能辅助查询表,技能配置辅助表!$T$1,FALSE)</f>
        <v>0</v>
      </c>
      <c r="M1030">
        <f t="shared" ca="1" si="469"/>
        <v>9200</v>
      </c>
      <c r="N1030" s="33">
        <f ca="1">CHOOSE(1,W1030*U1030,X1030*'[1]0、经济设定'!$C$18)</f>
        <v>1664</v>
      </c>
      <c r="O1030">
        <f t="shared" si="458"/>
        <v>1</v>
      </c>
      <c r="P1030">
        <f t="shared" si="459"/>
        <v>13</v>
      </c>
      <c r="Q1030">
        <f t="shared" si="460"/>
        <v>1</v>
      </c>
      <c r="R1030" s="2">
        <f t="shared" si="461"/>
        <v>2</v>
      </c>
      <c r="S1030" s="2">
        <f t="shared" si="462"/>
        <v>50</v>
      </c>
      <c r="T1030" s="2">
        <f t="shared" si="463"/>
        <v>17.032967032967033</v>
      </c>
      <c r="U1030" s="2">
        <f ca="1">VLOOKUP(E1030,金币生产率!$A$2:$B$120,2,0)</f>
        <v>128</v>
      </c>
      <c r="V1030" s="2">
        <f t="shared" si="464"/>
        <v>221.42857142857142</v>
      </c>
      <c r="W1030" s="45">
        <f t="shared" ca="1" si="476"/>
        <v>13</v>
      </c>
      <c r="X1030" s="48">
        <f t="shared" ca="1" si="477"/>
        <v>85</v>
      </c>
      <c r="Y1030">
        <f t="shared" si="470"/>
        <v>18</v>
      </c>
      <c r="Z1030">
        <f t="shared" ca="1" si="473"/>
        <v>0</v>
      </c>
      <c r="AA1030" t="str">
        <f t="shared" ca="1" si="465"/>
        <v>9311100.png</v>
      </c>
      <c r="AB1030">
        <f t="shared" si="466"/>
        <v>2</v>
      </c>
      <c r="AC1030">
        <f>VLOOKUP(C1030,技能辅助查询表,技能配置辅助表!$W$1,FALSE)</f>
        <v>5307</v>
      </c>
      <c r="AD1030">
        <f t="shared" ca="1" si="474"/>
        <v>9.1062731086915374</v>
      </c>
      <c r="AE1030">
        <f>VLOOKUP(C1030,技能辅助查询表,技能配置辅助表!$U$1,FALSE)</f>
        <v>1</v>
      </c>
      <c r="AF1030">
        <f t="shared" ca="1" si="467"/>
        <v>9311108</v>
      </c>
      <c r="AG1030">
        <f t="shared" ca="1" si="468"/>
        <v>13.142857142857142</v>
      </c>
      <c r="AH1030">
        <f t="shared" ca="1" si="475"/>
        <v>32.722747310493212</v>
      </c>
      <c r="AI1030">
        <f ca="1">VLOOKUP(E1030,伤害参考系!$C$4:$E$104,3,FALSE)*$AN$12</f>
        <v>330.31565217391307</v>
      </c>
      <c r="AJ1030">
        <f>VLOOKUP(C1030,技能辅助查询表,技能配置辅助表!$L$1,FALSE)</f>
        <v>13</v>
      </c>
      <c r="AK1030">
        <f>VLOOKUP(C1030,技能辅助查询表,技能配置辅助表!$AE$1,FALSE)</f>
        <v>66000474</v>
      </c>
    </row>
    <row r="1031" spans="1:37" x14ac:dyDescent="0.15">
      <c r="A1031" s="1">
        <f t="shared" ca="1" si="450"/>
        <v>9311109</v>
      </c>
      <c r="B1031" s="1" t="str">
        <f t="shared" ca="1" si="451"/>
        <v>激光轰击</v>
      </c>
      <c r="C1031" t="s">
        <v>171</v>
      </c>
      <c r="D1031">
        <f t="shared" si="452"/>
        <v>3</v>
      </c>
      <c r="E1031" s="42">
        <f t="shared" ca="1" si="471"/>
        <v>16</v>
      </c>
      <c r="F1031" t="str">
        <f t="shared" ca="1" si="472"/>
        <v>第9级，共造成241.4%点伤害</v>
      </c>
      <c r="G1031">
        <f t="shared" ca="1" si="453"/>
        <v>1</v>
      </c>
      <c r="H1031">
        <f t="shared" si="454"/>
        <v>1</v>
      </c>
      <c r="I1031" s="44">
        <f t="shared" ca="1" si="455"/>
        <v>9</v>
      </c>
      <c r="J1031">
        <f t="shared" si="456"/>
        <v>1</v>
      </c>
      <c r="K1031" s="36">
        <f t="shared" ca="1" si="457"/>
        <v>18.565934065934066</v>
      </c>
      <c r="L1031" s="10">
        <f ca="1">AH1031*VLOOKUP(C1031,技能辅助查询表,技能配置辅助表!$T$1,FALSE)</f>
        <v>0</v>
      </c>
      <c r="M1031">
        <f t="shared" ca="1" si="469"/>
        <v>9100</v>
      </c>
      <c r="N1031" s="33">
        <f ca="1">CHOOSE(1,W1031*U1031,X1031*'[1]0、经济设定'!$C$18)</f>
        <v>1960</v>
      </c>
      <c r="O1031">
        <f t="shared" si="458"/>
        <v>1</v>
      </c>
      <c r="P1031">
        <f t="shared" si="459"/>
        <v>13</v>
      </c>
      <c r="Q1031">
        <f t="shared" si="460"/>
        <v>1</v>
      </c>
      <c r="R1031" s="2">
        <f t="shared" si="461"/>
        <v>2</v>
      </c>
      <c r="S1031" s="2">
        <f t="shared" si="462"/>
        <v>50</v>
      </c>
      <c r="T1031" s="2">
        <f t="shared" si="463"/>
        <v>17.032967032967033</v>
      </c>
      <c r="U1031" s="2">
        <f ca="1">VLOOKUP(E1031,金币生产率!$A$2:$B$120,2,0)</f>
        <v>140</v>
      </c>
      <c r="V1031" s="2">
        <f t="shared" si="464"/>
        <v>221.42857142857142</v>
      </c>
      <c r="W1031" s="45">
        <f t="shared" ca="1" si="476"/>
        <v>14</v>
      </c>
      <c r="X1031" s="48">
        <f t="shared" ca="1" si="477"/>
        <v>99</v>
      </c>
      <c r="Y1031">
        <f t="shared" si="470"/>
        <v>18</v>
      </c>
      <c r="Z1031">
        <f t="shared" ca="1" si="473"/>
        <v>0</v>
      </c>
      <c r="AA1031" t="str">
        <f t="shared" ca="1" si="465"/>
        <v>9311100.png</v>
      </c>
      <c r="AB1031">
        <f t="shared" si="466"/>
        <v>2</v>
      </c>
      <c r="AC1031">
        <f>VLOOKUP(C1031,技能辅助查询表,技能配置辅助表!$W$1,FALSE)</f>
        <v>5307</v>
      </c>
      <c r="AD1031">
        <f t="shared" ca="1" si="474"/>
        <v>10.532355444124747</v>
      </c>
      <c r="AE1031">
        <f>VLOOKUP(C1031,技能辅助查询表,技能配置辅助表!$U$1,FALSE)</f>
        <v>1</v>
      </c>
      <c r="AF1031">
        <f t="shared" ca="1" si="467"/>
        <v>9311109</v>
      </c>
      <c r="AG1031">
        <f t="shared" ca="1" si="468"/>
        <v>14.73469387755102</v>
      </c>
      <c r="AH1031">
        <f t="shared" ca="1" si="475"/>
        <v>37.25441541630785</v>
      </c>
      <c r="AI1031">
        <f ca="1">VLOOKUP(E1031,伤害参考系!$C$4:$E$104,3,FALSE)*$AN$12</f>
        <v>421.35260869565224</v>
      </c>
      <c r="AJ1031">
        <f>VLOOKUP(C1031,技能辅助查询表,技能配置辅助表!$L$1,FALSE)</f>
        <v>13</v>
      </c>
      <c r="AK1031">
        <f>VLOOKUP(C1031,技能辅助查询表,技能配置辅助表!$AE$1,FALSE)</f>
        <v>66000474</v>
      </c>
    </row>
    <row r="1032" spans="1:37" x14ac:dyDescent="0.15">
      <c r="A1032" s="1">
        <f t="shared" ca="1" si="450"/>
        <v>9311110</v>
      </c>
      <c r="B1032" s="1" t="str">
        <f t="shared" ca="1" si="451"/>
        <v>激光轰击</v>
      </c>
      <c r="C1032" t="s">
        <v>171</v>
      </c>
      <c r="D1032">
        <f t="shared" si="452"/>
        <v>3</v>
      </c>
      <c r="E1032" s="42">
        <f t="shared" ca="1" si="471"/>
        <v>18</v>
      </c>
      <c r="F1032" t="str">
        <f t="shared" ca="1" si="472"/>
        <v>第10级，共造成243.6%点伤害</v>
      </c>
      <c r="G1032">
        <f t="shared" ca="1" si="453"/>
        <v>1</v>
      </c>
      <c r="H1032">
        <f t="shared" si="454"/>
        <v>1</v>
      </c>
      <c r="I1032" s="44">
        <f t="shared" ca="1" si="455"/>
        <v>10</v>
      </c>
      <c r="J1032">
        <f t="shared" si="456"/>
        <v>1</v>
      </c>
      <c r="K1032" s="36">
        <f t="shared" ca="1" si="457"/>
        <v>18.736263736263737</v>
      </c>
      <c r="L1032" s="10">
        <f ca="1">AH1032*VLOOKUP(C1032,技能辅助查询表,技能配置辅助表!$T$1,FALSE)</f>
        <v>0</v>
      </c>
      <c r="M1032">
        <f t="shared" ca="1" si="469"/>
        <v>9000</v>
      </c>
      <c r="N1032" s="33">
        <f ca="1">CHOOSE(1,W1032*U1032,X1032*'[1]0、经济设定'!$C$18)</f>
        <v>2280</v>
      </c>
      <c r="O1032">
        <f t="shared" si="458"/>
        <v>1</v>
      </c>
      <c r="P1032">
        <f t="shared" si="459"/>
        <v>13</v>
      </c>
      <c r="Q1032">
        <f t="shared" si="460"/>
        <v>1</v>
      </c>
      <c r="R1032" s="2">
        <f t="shared" si="461"/>
        <v>2</v>
      </c>
      <c r="S1032" s="2">
        <f t="shared" si="462"/>
        <v>50</v>
      </c>
      <c r="T1032" s="2">
        <f t="shared" si="463"/>
        <v>17.032967032967033</v>
      </c>
      <c r="U1032" s="2">
        <f ca="1">VLOOKUP(E1032,金币生产率!$A$2:$B$120,2,0)</f>
        <v>152</v>
      </c>
      <c r="V1032" s="2">
        <f t="shared" si="464"/>
        <v>221.42857142857142</v>
      </c>
      <c r="W1032" s="45">
        <f t="shared" ca="1" si="476"/>
        <v>15</v>
      </c>
      <c r="X1032" s="48">
        <f t="shared" ca="1" si="477"/>
        <v>114</v>
      </c>
      <c r="Y1032">
        <f t="shared" si="470"/>
        <v>18</v>
      </c>
      <c r="Z1032">
        <f t="shared" ca="1" si="473"/>
        <v>0</v>
      </c>
      <c r="AA1032" t="str">
        <f t="shared" ca="1" si="465"/>
        <v>9311100.png</v>
      </c>
      <c r="AB1032">
        <f t="shared" si="466"/>
        <v>2</v>
      </c>
      <c r="AC1032">
        <f>VLOOKUP(C1032,技能辅助查询表,技能配置辅助表!$W$1,FALSE)</f>
        <v>5307</v>
      </c>
      <c r="AD1032">
        <f t="shared" ca="1" si="474"/>
        <v>12.178779420547961</v>
      </c>
      <c r="AE1032">
        <f>VLOOKUP(C1032,技能辅助查询表,技能配置辅助表!$U$1,FALSE)</f>
        <v>1</v>
      </c>
      <c r="AF1032">
        <f t="shared" ca="1" si="467"/>
        <v>9311110</v>
      </c>
      <c r="AG1032">
        <f t="shared" ca="1" si="468"/>
        <v>16.326530612244898</v>
      </c>
      <c r="AH1032">
        <f t="shared" ca="1" si="475"/>
        <v>42.413659673550121</v>
      </c>
      <c r="AI1032">
        <f ca="1">VLOOKUP(E1032,伤害参考系!$C$4:$E$104,3,FALSE)*$AN$12</f>
        <v>522.16043478260883</v>
      </c>
      <c r="AJ1032">
        <f>VLOOKUP(C1032,技能辅助查询表,技能配置辅助表!$L$1,FALSE)</f>
        <v>13</v>
      </c>
      <c r="AK1032">
        <f>VLOOKUP(C1032,技能辅助查询表,技能配置辅助表!$AE$1,FALSE)</f>
        <v>66000474</v>
      </c>
    </row>
    <row r="1033" spans="1:37" x14ac:dyDescent="0.15">
      <c r="A1033" s="1">
        <f t="shared" ca="1" si="450"/>
        <v>9311111</v>
      </c>
      <c r="B1033" s="1" t="str">
        <f t="shared" ca="1" si="451"/>
        <v>激光轰击</v>
      </c>
      <c r="C1033" t="s">
        <v>171</v>
      </c>
      <c r="D1033">
        <f t="shared" si="452"/>
        <v>3</v>
      </c>
      <c r="E1033" s="42">
        <f t="shared" ca="1" si="471"/>
        <v>19</v>
      </c>
      <c r="F1033" t="str">
        <f t="shared" ca="1" si="472"/>
        <v>第11级，共造成245.8%点伤害</v>
      </c>
      <c r="G1033">
        <f t="shared" ca="1" si="453"/>
        <v>1</v>
      </c>
      <c r="H1033">
        <f t="shared" si="454"/>
        <v>1</v>
      </c>
      <c r="I1033" s="44">
        <f t="shared" ca="1" si="455"/>
        <v>11</v>
      </c>
      <c r="J1033">
        <f t="shared" si="456"/>
        <v>1</v>
      </c>
      <c r="K1033" s="36">
        <f t="shared" ca="1" si="457"/>
        <v>18.906593406593405</v>
      </c>
      <c r="L1033" s="10">
        <f ca="1">AH1033*VLOOKUP(C1033,技能辅助查询表,技能配置辅助表!$T$1,FALSE)</f>
        <v>0</v>
      </c>
      <c r="M1033">
        <f t="shared" ca="1" si="469"/>
        <v>8900</v>
      </c>
      <c r="N1033" s="33">
        <f ca="1">CHOOSE(1,W1033*U1033,X1033*'[1]0、经济设定'!$C$18)</f>
        <v>2528</v>
      </c>
      <c r="O1033">
        <f t="shared" si="458"/>
        <v>1</v>
      </c>
      <c r="P1033">
        <f t="shared" si="459"/>
        <v>13</v>
      </c>
      <c r="Q1033">
        <f t="shared" si="460"/>
        <v>1</v>
      </c>
      <c r="R1033" s="2">
        <f t="shared" si="461"/>
        <v>2</v>
      </c>
      <c r="S1033" s="2">
        <f t="shared" si="462"/>
        <v>50</v>
      </c>
      <c r="T1033" s="2">
        <f t="shared" si="463"/>
        <v>17.032967032967033</v>
      </c>
      <c r="U1033" s="2">
        <f ca="1">VLOOKUP(E1033,金币生产率!$A$2:$B$120,2,0)</f>
        <v>158</v>
      </c>
      <c r="V1033" s="2">
        <f t="shared" si="464"/>
        <v>221.42857142857142</v>
      </c>
      <c r="W1033" s="45">
        <f t="shared" ca="1" si="476"/>
        <v>16</v>
      </c>
      <c r="X1033" s="48">
        <f t="shared" ca="1" si="477"/>
        <v>130</v>
      </c>
      <c r="Y1033">
        <f t="shared" si="470"/>
        <v>18</v>
      </c>
      <c r="Z1033">
        <f t="shared" ca="1" si="473"/>
        <v>0</v>
      </c>
      <c r="AA1033" t="str">
        <f t="shared" ca="1" si="465"/>
        <v>9311100.png</v>
      </c>
      <c r="AB1033">
        <f t="shared" si="466"/>
        <v>2</v>
      </c>
      <c r="AC1033">
        <f>VLOOKUP(C1033,技能辅助查询表,技能配置辅助表!$W$1,FALSE)</f>
        <v>5307</v>
      </c>
      <c r="AD1033">
        <f t="shared" ca="1" si="474"/>
        <v>14.079223601058811</v>
      </c>
      <c r="AE1033">
        <f>VLOOKUP(C1033,技能辅助查询表,技能配置辅助表!$U$1,FALSE)</f>
        <v>1</v>
      </c>
      <c r="AF1033">
        <f t="shared" ca="1" si="467"/>
        <v>9311111</v>
      </c>
      <c r="AG1033">
        <f t="shared" ca="1" si="468"/>
        <v>17.918367346938776</v>
      </c>
      <c r="AH1033">
        <f t="shared" ca="1" si="475"/>
        <v>48.287391086433935</v>
      </c>
      <c r="AI1033">
        <f ca="1">VLOOKUP(E1033,伤害参考系!$C$4:$E$104,3,FALSE)*$AN$12</f>
        <v>576.22842391304346</v>
      </c>
      <c r="AJ1033">
        <f>VLOOKUP(C1033,技能辅助查询表,技能配置辅助表!$L$1,FALSE)</f>
        <v>13</v>
      </c>
      <c r="AK1033">
        <f>VLOOKUP(C1033,技能辅助查询表,技能配置辅助表!$AE$1,FALSE)</f>
        <v>66000474</v>
      </c>
    </row>
    <row r="1034" spans="1:37" x14ac:dyDescent="0.15">
      <c r="A1034" s="1">
        <f t="shared" ca="1" si="450"/>
        <v>9311112</v>
      </c>
      <c r="B1034" s="1" t="str">
        <f t="shared" ca="1" si="451"/>
        <v>激光轰击</v>
      </c>
      <c r="C1034" t="s">
        <v>171</v>
      </c>
      <c r="D1034">
        <f t="shared" si="452"/>
        <v>3</v>
      </c>
      <c r="E1034" s="42">
        <f t="shared" ca="1" si="471"/>
        <v>21</v>
      </c>
      <c r="F1034" t="str">
        <f t="shared" ca="1" si="472"/>
        <v>第12级，共造成248%点伤害</v>
      </c>
      <c r="G1034">
        <f t="shared" ca="1" si="453"/>
        <v>1</v>
      </c>
      <c r="H1034">
        <f t="shared" si="454"/>
        <v>1</v>
      </c>
      <c r="I1034" s="44">
        <f t="shared" ca="1" si="455"/>
        <v>12</v>
      </c>
      <c r="J1034">
        <f t="shared" si="456"/>
        <v>1</v>
      </c>
      <c r="K1034" s="36">
        <f t="shared" ca="1" si="457"/>
        <v>19.076923076923077</v>
      </c>
      <c r="L1034" s="10">
        <f ca="1">AH1034*VLOOKUP(C1034,技能辅助查询表,技能配置辅助表!$T$1,FALSE)</f>
        <v>0</v>
      </c>
      <c r="M1034">
        <f t="shared" ca="1" si="469"/>
        <v>8800</v>
      </c>
      <c r="N1034" s="33">
        <f ca="1">CHOOSE(1,W1034*U1034,X1034*'[1]0、经济设定'!$C$18)</f>
        <v>3780</v>
      </c>
      <c r="O1034">
        <f t="shared" si="458"/>
        <v>1</v>
      </c>
      <c r="P1034">
        <f t="shared" si="459"/>
        <v>13</v>
      </c>
      <c r="Q1034">
        <f t="shared" si="460"/>
        <v>1</v>
      </c>
      <c r="R1034" s="2">
        <f t="shared" si="461"/>
        <v>2</v>
      </c>
      <c r="S1034" s="2">
        <f t="shared" si="462"/>
        <v>50</v>
      </c>
      <c r="T1034" s="2">
        <f t="shared" si="463"/>
        <v>17.032967032967033</v>
      </c>
      <c r="U1034" s="2">
        <f ca="1">VLOOKUP(E1034,金币生产率!$A$2:$B$120,2,0)</f>
        <v>210</v>
      </c>
      <c r="V1034" s="2">
        <f t="shared" si="464"/>
        <v>221.42857142857142</v>
      </c>
      <c r="W1034" s="45">
        <f t="shared" ca="1" si="476"/>
        <v>18</v>
      </c>
      <c r="X1034" s="48">
        <f t="shared" ca="1" si="477"/>
        <v>148</v>
      </c>
      <c r="Y1034">
        <f t="shared" si="470"/>
        <v>18</v>
      </c>
      <c r="Z1034">
        <f t="shared" ca="1" si="473"/>
        <v>0</v>
      </c>
      <c r="AA1034" t="str">
        <f t="shared" ca="1" si="465"/>
        <v>9311100.png</v>
      </c>
      <c r="AB1034">
        <f t="shared" si="466"/>
        <v>2</v>
      </c>
      <c r="AC1034">
        <f>VLOOKUP(C1034,技能辅助查询表,技能配置辅助表!$W$1,FALSE)</f>
        <v>5307</v>
      </c>
      <c r="AD1034">
        <f t="shared" ca="1" si="474"/>
        <v>16.272468778706553</v>
      </c>
      <c r="AE1034">
        <f>VLOOKUP(C1034,技能辅助查询表,技能配置辅助表!$U$1,FALSE)</f>
        <v>1</v>
      </c>
      <c r="AF1034">
        <f t="shared" ca="1" si="467"/>
        <v>9311112</v>
      </c>
      <c r="AG1034">
        <f t="shared" ca="1" si="468"/>
        <v>19.510204081632654</v>
      </c>
      <c r="AH1034">
        <f t="shared" ca="1" si="475"/>
        <v>54.974556684819426</v>
      </c>
      <c r="AI1034">
        <f ca="1">VLOOKUP(E1034,伤害参考系!$C$4:$E$104,3,FALSE)*$AN$12</f>
        <v>691.69255434782622</v>
      </c>
      <c r="AJ1034">
        <f>VLOOKUP(C1034,技能辅助查询表,技能配置辅助表!$L$1,FALSE)</f>
        <v>13</v>
      </c>
      <c r="AK1034">
        <f>VLOOKUP(C1034,技能辅助查询表,技能配置辅助表!$AE$1,FALSE)</f>
        <v>66000474</v>
      </c>
    </row>
    <row r="1035" spans="1:37" x14ac:dyDescent="0.15">
      <c r="A1035" s="1">
        <f t="shared" ca="1" si="450"/>
        <v>9311113</v>
      </c>
      <c r="B1035" s="1" t="str">
        <f t="shared" ca="1" si="451"/>
        <v>激光轰击</v>
      </c>
      <c r="C1035" t="s">
        <v>171</v>
      </c>
      <c r="D1035">
        <f t="shared" si="452"/>
        <v>3</v>
      </c>
      <c r="E1035" s="42">
        <f t="shared" ca="1" si="471"/>
        <v>22</v>
      </c>
      <c r="F1035" t="str">
        <f t="shared" ca="1" si="472"/>
        <v>第13级，共造成250.2%点伤害</v>
      </c>
      <c r="G1035">
        <f t="shared" ca="1" si="453"/>
        <v>1</v>
      </c>
      <c r="H1035">
        <f t="shared" si="454"/>
        <v>1</v>
      </c>
      <c r="I1035" s="44">
        <f t="shared" ca="1" si="455"/>
        <v>13</v>
      </c>
      <c r="J1035">
        <f t="shared" si="456"/>
        <v>1</v>
      </c>
      <c r="K1035" s="36">
        <f t="shared" ca="1" si="457"/>
        <v>19.247252747252748</v>
      </c>
      <c r="L1035" s="10">
        <f ca="1">AH1035*VLOOKUP(C1035,技能辅助查询表,技能配置辅助表!$T$1,FALSE)</f>
        <v>0</v>
      </c>
      <c r="M1035">
        <f t="shared" ca="1" si="469"/>
        <v>8700</v>
      </c>
      <c r="N1035" s="33">
        <f ca="1">CHOOSE(1,W1035*U1035,X1035*'[1]0、经济设定'!$C$18)</f>
        <v>4541</v>
      </c>
      <c r="O1035">
        <f t="shared" si="458"/>
        <v>1</v>
      </c>
      <c r="P1035">
        <f t="shared" si="459"/>
        <v>13</v>
      </c>
      <c r="Q1035">
        <f t="shared" si="460"/>
        <v>1</v>
      </c>
      <c r="R1035" s="2">
        <f t="shared" si="461"/>
        <v>2</v>
      </c>
      <c r="S1035" s="2">
        <f t="shared" si="462"/>
        <v>50</v>
      </c>
      <c r="T1035" s="2">
        <f t="shared" si="463"/>
        <v>17.032967032967033</v>
      </c>
      <c r="U1035" s="2">
        <f ca="1">VLOOKUP(E1035,金币生产率!$A$2:$B$120,2,0)</f>
        <v>239</v>
      </c>
      <c r="V1035" s="2">
        <f t="shared" si="464"/>
        <v>221.42857142857142</v>
      </c>
      <c r="W1035" s="45">
        <f t="shared" ca="1" si="476"/>
        <v>19</v>
      </c>
      <c r="X1035" s="48">
        <f t="shared" ca="1" si="477"/>
        <v>167</v>
      </c>
      <c r="Y1035">
        <f t="shared" si="470"/>
        <v>18</v>
      </c>
      <c r="Z1035">
        <f t="shared" ca="1" si="473"/>
        <v>0</v>
      </c>
      <c r="AA1035" t="str">
        <f t="shared" ca="1" si="465"/>
        <v>9311100.png</v>
      </c>
      <c r="AB1035">
        <f t="shared" si="466"/>
        <v>2</v>
      </c>
      <c r="AC1035">
        <f>VLOOKUP(C1035,技能辅助查询表,技能配置辅助表!$W$1,FALSE)</f>
        <v>5307</v>
      </c>
      <c r="AD1035">
        <f t="shared" ca="1" si="474"/>
        <v>18.803165251996994</v>
      </c>
      <c r="AE1035">
        <f>VLOOKUP(C1035,技能辅助查询表,技能配置辅助表!$U$1,FALSE)</f>
        <v>1</v>
      </c>
      <c r="AF1035">
        <f t="shared" ca="1" si="467"/>
        <v>9311113</v>
      </c>
      <c r="AG1035">
        <f t="shared" ca="1" si="468"/>
        <v>21.102040816326532</v>
      </c>
      <c r="AH1035">
        <f t="shared" ca="1" si="475"/>
        <v>62.587806354721323</v>
      </c>
      <c r="AI1035">
        <f ca="1">VLOOKUP(E1035,伤害参考系!$C$4:$E$104,3,FALSE)*$AN$12</f>
        <v>753.08869565217401</v>
      </c>
      <c r="AJ1035">
        <f>VLOOKUP(C1035,技能辅助查询表,技能配置辅助表!$L$1,FALSE)</f>
        <v>13</v>
      </c>
      <c r="AK1035">
        <f>VLOOKUP(C1035,技能辅助查询表,技能配置辅助表!$AE$1,FALSE)</f>
        <v>66000474</v>
      </c>
    </row>
    <row r="1036" spans="1:37" x14ac:dyDescent="0.15">
      <c r="A1036" s="1">
        <f t="shared" ca="1" si="450"/>
        <v>9311114</v>
      </c>
      <c r="B1036" s="1" t="str">
        <f t="shared" ca="1" si="451"/>
        <v>激光轰击</v>
      </c>
      <c r="C1036" t="s">
        <v>171</v>
      </c>
      <c r="D1036">
        <f t="shared" si="452"/>
        <v>3</v>
      </c>
      <c r="E1036" s="42">
        <f t="shared" ca="1" si="471"/>
        <v>24</v>
      </c>
      <c r="F1036" t="str">
        <f t="shared" ca="1" si="472"/>
        <v>第14级，共造成252.4%点伤害</v>
      </c>
      <c r="G1036">
        <f t="shared" ca="1" si="453"/>
        <v>1</v>
      </c>
      <c r="H1036">
        <f t="shared" si="454"/>
        <v>1</v>
      </c>
      <c r="I1036" s="44">
        <f t="shared" ca="1" si="455"/>
        <v>14</v>
      </c>
      <c r="J1036">
        <f t="shared" si="456"/>
        <v>1</v>
      </c>
      <c r="K1036" s="36">
        <f t="shared" ca="1" si="457"/>
        <v>19.417582417582416</v>
      </c>
      <c r="L1036" s="10">
        <f ca="1">AH1036*VLOOKUP(C1036,技能辅助查询表,技能配置辅助表!$T$1,FALSE)</f>
        <v>0</v>
      </c>
      <c r="M1036">
        <f t="shared" ca="1" si="469"/>
        <v>8600</v>
      </c>
      <c r="N1036" s="33">
        <f ca="1">CHOOSE(1,W1036*U1036,X1036*'[1]0、经济设定'!$C$18)</f>
        <v>6040</v>
      </c>
      <c r="O1036">
        <f t="shared" si="458"/>
        <v>1</v>
      </c>
      <c r="P1036">
        <f t="shared" si="459"/>
        <v>13</v>
      </c>
      <c r="Q1036">
        <f t="shared" si="460"/>
        <v>1</v>
      </c>
      <c r="R1036" s="2">
        <f t="shared" si="461"/>
        <v>2</v>
      </c>
      <c r="S1036" s="2">
        <f t="shared" si="462"/>
        <v>50</v>
      </c>
      <c r="T1036" s="2">
        <f t="shared" si="463"/>
        <v>17.032967032967033</v>
      </c>
      <c r="U1036" s="2">
        <f ca="1">VLOOKUP(E1036,金币生产率!$A$2:$B$120,2,0)</f>
        <v>302</v>
      </c>
      <c r="V1036" s="2">
        <f t="shared" si="464"/>
        <v>221.42857142857142</v>
      </c>
      <c r="W1036" s="45">
        <f t="shared" ca="1" si="476"/>
        <v>20</v>
      </c>
      <c r="X1036" s="48">
        <f t="shared" ca="1" si="477"/>
        <v>187</v>
      </c>
      <c r="Y1036">
        <f t="shared" si="470"/>
        <v>18</v>
      </c>
      <c r="Z1036">
        <f t="shared" ca="1" si="473"/>
        <v>0</v>
      </c>
      <c r="AA1036" t="str">
        <f t="shared" ca="1" si="465"/>
        <v>9311100.png</v>
      </c>
      <c r="AB1036">
        <f t="shared" si="466"/>
        <v>2</v>
      </c>
      <c r="AC1036">
        <f>VLOOKUP(C1036,技能辅助查询表,技能配置辅助表!$W$1,FALSE)</f>
        <v>5307</v>
      </c>
      <c r="AD1036">
        <f t="shared" ca="1" si="474"/>
        <v>21.722714761858988</v>
      </c>
      <c r="AE1036">
        <f>VLOOKUP(C1036,技能辅助查询表,技能配置辅助表!$U$1,FALSE)</f>
        <v>1</v>
      </c>
      <c r="AF1036">
        <f t="shared" ca="1" si="467"/>
        <v>9311114</v>
      </c>
      <c r="AG1036">
        <f t="shared" ca="1" si="468"/>
        <v>22.693877551020407</v>
      </c>
      <c r="AH1036">
        <f t="shared" ca="1" si="475"/>
        <v>71.25539050281769</v>
      </c>
      <c r="AI1036">
        <f ca="1">VLOOKUP(E1036,伤害参考系!$C$4:$E$104,3,FALSE)*$AN$12</f>
        <v>914.59374581939801</v>
      </c>
      <c r="AJ1036">
        <f>VLOOKUP(C1036,技能辅助查询表,技能配置辅助表!$L$1,FALSE)</f>
        <v>13</v>
      </c>
      <c r="AK1036">
        <f>VLOOKUP(C1036,技能辅助查询表,技能配置辅助表!$AE$1,FALSE)</f>
        <v>66000474</v>
      </c>
    </row>
    <row r="1037" spans="1:37" x14ac:dyDescent="0.15">
      <c r="A1037" s="1">
        <f t="shared" ca="1" si="450"/>
        <v>9311115</v>
      </c>
      <c r="B1037" s="1" t="str">
        <f t="shared" ca="1" si="451"/>
        <v>激光轰击</v>
      </c>
      <c r="C1037" t="s">
        <v>171</v>
      </c>
      <c r="D1037">
        <f t="shared" si="452"/>
        <v>3</v>
      </c>
      <c r="E1037" s="42">
        <f t="shared" ca="1" si="471"/>
        <v>25</v>
      </c>
      <c r="F1037" t="str">
        <f t="shared" ca="1" si="472"/>
        <v>第15级，共造成254.6%点伤害</v>
      </c>
      <c r="G1037">
        <f t="shared" ca="1" si="453"/>
        <v>1</v>
      </c>
      <c r="H1037">
        <f t="shared" si="454"/>
        <v>1</v>
      </c>
      <c r="I1037" s="44">
        <f t="shared" ca="1" si="455"/>
        <v>15</v>
      </c>
      <c r="J1037">
        <f t="shared" si="456"/>
        <v>1</v>
      </c>
      <c r="K1037" s="36">
        <f t="shared" ca="1" si="457"/>
        <v>19.587912087912088</v>
      </c>
      <c r="L1037" s="10">
        <f ca="1">AH1037*VLOOKUP(C1037,技能辅助查询表,技能配置辅助表!$T$1,FALSE)</f>
        <v>0</v>
      </c>
      <c r="M1037">
        <f t="shared" ca="1" si="469"/>
        <v>8500</v>
      </c>
      <c r="N1037" s="33">
        <f ca="1">CHOOSE(1,W1037*U1037,X1037*'[1]0、经济设定'!$C$18)</f>
        <v>7035</v>
      </c>
      <c r="O1037">
        <f t="shared" si="458"/>
        <v>1</v>
      </c>
      <c r="P1037">
        <f t="shared" si="459"/>
        <v>13</v>
      </c>
      <c r="Q1037">
        <f t="shared" si="460"/>
        <v>1</v>
      </c>
      <c r="R1037" s="2">
        <f t="shared" si="461"/>
        <v>2</v>
      </c>
      <c r="S1037" s="2">
        <f t="shared" si="462"/>
        <v>50</v>
      </c>
      <c r="T1037" s="2">
        <f t="shared" si="463"/>
        <v>17.032967032967033</v>
      </c>
      <c r="U1037" s="2">
        <f ca="1">VLOOKUP(E1037,金币生产率!$A$2:$B$120,2,0)</f>
        <v>335</v>
      </c>
      <c r="V1037" s="2">
        <f t="shared" si="464"/>
        <v>221.42857142857142</v>
      </c>
      <c r="W1037" s="45">
        <f t="shared" ca="1" si="476"/>
        <v>21</v>
      </c>
      <c r="X1037" s="48">
        <f t="shared" ca="1" si="477"/>
        <v>208</v>
      </c>
      <c r="Y1037">
        <f t="shared" si="470"/>
        <v>18</v>
      </c>
      <c r="Z1037">
        <f t="shared" ca="1" si="473"/>
        <v>0</v>
      </c>
      <c r="AA1037" t="str">
        <f t="shared" ca="1" si="465"/>
        <v>9311100.png</v>
      </c>
      <c r="AB1037">
        <f t="shared" si="466"/>
        <v>2</v>
      </c>
      <c r="AC1037">
        <f>VLOOKUP(C1037,技能辅助查询表,技能配置辅助表!$W$1,FALSE)</f>
        <v>5307</v>
      </c>
      <c r="AD1037">
        <f t="shared" ca="1" si="474"/>
        <v>25.090284133004769</v>
      </c>
      <c r="AE1037">
        <f>VLOOKUP(C1037,技能辅助查询表,技能配置辅助表!$U$1,FALSE)</f>
        <v>1</v>
      </c>
      <c r="AF1037">
        <f t="shared" ca="1" si="467"/>
        <v>9311115</v>
      </c>
      <c r="AG1037">
        <f t="shared" ca="1" si="468"/>
        <v>24.285714285714285</v>
      </c>
      <c r="AH1037">
        <f t="shared" ca="1" si="475"/>
        <v>81.123320522417259</v>
      </c>
      <c r="AI1037">
        <f ca="1">VLOOKUP(E1037,伤害参考系!$C$4:$E$104,3,FALSE)*$AN$12</f>
        <v>1000.3949623745822</v>
      </c>
      <c r="AJ1037">
        <f>VLOOKUP(C1037,技能辅助查询表,技能配置辅助表!$L$1,FALSE)</f>
        <v>13</v>
      </c>
      <c r="AK1037">
        <f>VLOOKUP(C1037,技能辅助查询表,技能配置辅助表!$AE$1,FALSE)</f>
        <v>66000474</v>
      </c>
    </row>
    <row r="1038" spans="1:37" x14ac:dyDescent="0.15">
      <c r="A1038" s="1">
        <f t="shared" ca="1" si="450"/>
        <v>9311116</v>
      </c>
      <c r="B1038" s="1" t="str">
        <f t="shared" ca="1" si="451"/>
        <v>激光轰击</v>
      </c>
      <c r="C1038" t="s">
        <v>171</v>
      </c>
      <c r="D1038">
        <f t="shared" si="452"/>
        <v>3</v>
      </c>
      <c r="E1038" s="42">
        <f t="shared" ca="1" si="471"/>
        <v>27</v>
      </c>
      <c r="F1038" t="str">
        <f t="shared" ca="1" si="472"/>
        <v>第16级，共造成256.9%点伤害</v>
      </c>
      <c r="G1038">
        <f t="shared" ca="1" si="453"/>
        <v>1</v>
      </c>
      <c r="H1038">
        <f t="shared" si="454"/>
        <v>1</v>
      </c>
      <c r="I1038" s="44">
        <f t="shared" ca="1" si="455"/>
        <v>16</v>
      </c>
      <c r="J1038">
        <f t="shared" si="456"/>
        <v>1</v>
      </c>
      <c r="K1038" s="36">
        <f t="shared" ca="1" si="457"/>
        <v>19.758241758241759</v>
      </c>
      <c r="L1038" s="10">
        <f ca="1">AH1038*VLOOKUP(C1038,技能辅助查询表,技能配置辅助表!$T$1,FALSE)</f>
        <v>0</v>
      </c>
      <c r="M1038">
        <f t="shared" ca="1" si="469"/>
        <v>8400</v>
      </c>
      <c r="N1038" s="33">
        <f ca="1">CHOOSE(1,W1038*U1038,X1038*'[1]0、经济设定'!$C$18)</f>
        <v>9338</v>
      </c>
      <c r="O1038">
        <f t="shared" si="458"/>
        <v>1</v>
      </c>
      <c r="P1038">
        <f t="shared" si="459"/>
        <v>13</v>
      </c>
      <c r="Q1038">
        <f t="shared" si="460"/>
        <v>1</v>
      </c>
      <c r="R1038" s="2">
        <f t="shared" si="461"/>
        <v>2</v>
      </c>
      <c r="S1038" s="2">
        <f t="shared" si="462"/>
        <v>50</v>
      </c>
      <c r="T1038" s="2">
        <f t="shared" si="463"/>
        <v>17.032967032967033</v>
      </c>
      <c r="U1038" s="2">
        <f ca="1">VLOOKUP(E1038,金币生产率!$A$2:$B$120,2,0)</f>
        <v>406</v>
      </c>
      <c r="V1038" s="2">
        <f t="shared" si="464"/>
        <v>221.42857142857142</v>
      </c>
      <c r="W1038" s="45">
        <f t="shared" ca="1" si="476"/>
        <v>23</v>
      </c>
      <c r="X1038" s="48">
        <f t="shared" ca="1" si="477"/>
        <v>231</v>
      </c>
      <c r="Y1038">
        <f t="shared" si="470"/>
        <v>18</v>
      </c>
      <c r="Z1038">
        <f t="shared" ca="1" si="473"/>
        <v>0</v>
      </c>
      <c r="AA1038" t="str">
        <f t="shared" ca="1" si="465"/>
        <v>9311100.png</v>
      </c>
      <c r="AB1038">
        <f t="shared" si="466"/>
        <v>2</v>
      </c>
      <c r="AC1038">
        <f>VLOOKUP(C1038,技能辅助查询表,技能配置辅助表!$W$1,FALSE)</f>
        <v>5307</v>
      </c>
      <c r="AD1038">
        <f t="shared" ca="1" si="474"/>
        <v>28.973970184013048</v>
      </c>
      <c r="AE1038">
        <f>VLOOKUP(C1038,技能辅助查询表,技能配置辅助表!$U$1,FALSE)</f>
        <v>1</v>
      </c>
      <c r="AF1038">
        <f t="shared" ca="1" si="467"/>
        <v>9311116</v>
      </c>
      <c r="AG1038">
        <f t="shared" ca="1" si="468"/>
        <v>25.877551020408163</v>
      </c>
      <c r="AH1038">
        <f t="shared" ca="1" si="475"/>
        <v>92.357828455414989</v>
      </c>
      <c r="AI1038">
        <f ca="1">VLOOKUP(E1038,伤害参考系!$C$4:$E$104,3,FALSE)*$AN$12</f>
        <v>1210.5107784280938</v>
      </c>
      <c r="AJ1038">
        <f>VLOOKUP(C1038,技能辅助查询表,技能配置辅助表!$L$1,FALSE)</f>
        <v>13</v>
      </c>
      <c r="AK1038">
        <f>VLOOKUP(C1038,技能辅助查询表,技能配置辅助表!$AE$1,FALSE)</f>
        <v>66000474</v>
      </c>
    </row>
    <row r="1039" spans="1:37" x14ac:dyDescent="0.15">
      <c r="A1039" s="1">
        <f t="shared" ca="1" si="450"/>
        <v>9311117</v>
      </c>
      <c r="B1039" s="1" t="str">
        <f t="shared" ca="1" si="451"/>
        <v>激光轰击</v>
      </c>
      <c r="C1039" t="s">
        <v>171</v>
      </c>
      <c r="D1039">
        <f t="shared" si="452"/>
        <v>3</v>
      </c>
      <c r="E1039" s="42">
        <f t="shared" ca="1" si="471"/>
        <v>29</v>
      </c>
      <c r="F1039" t="str">
        <f t="shared" ca="1" si="472"/>
        <v>第17级，共造成259.1%点伤害</v>
      </c>
      <c r="G1039">
        <f t="shared" ca="1" si="453"/>
        <v>1</v>
      </c>
      <c r="H1039">
        <f t="shared" si="454"/>
        <v>1</v>
      </c>
      <c r="I1039" s="44">
        <f t="shared" ca="1" si="455"/>
        <v>17</v>
      </c>
      <c r="J1039">
        <f t="shared" si="456"/>
        <v>1</v>
      </c>
      <c r="K1039" s="36">
        <f t="shared" ca="1" si="457"/>
        <v>19.928571428571427</v>
      </c>
      <c r="L1039" s="10">
        <f ca="1">AH1039*VLOOKUP(C1039,技能辅助查询表,技能配置辅助表!$T$1,FALSE)</f>
        <v>0</v>
      </c>
      <c r="M1039">
        <f t="shared" ca="1" si="469"/>
        <v>8300</v>
      </c>
      <c r="N1039" s="33">
        <f ca="1">CHOOSE(1,W1039*U1039,X1039*'[1]0、经济设定'!$C$18)</f>
        <v>12050</v>
      </c>
      <c r="O1039">
        <f t="shared" si="458"/>
        <v>1</v>
      </c>
      <c r="P1039">
        <f t="shared" si="459"/>
        <v>13</v>
      </c>
      <c r="Q1039">
        <f t="shared" si="460"/>
        <v>1</v>
      </c>
      <c r="R1039" s="2">
        <f t="shared" si="461"/>
        <v>2</v>
      </c>
      <c r="S1039" s="2">
        <f t="shared" si="462"/>
        <v>50</v>
      </c>
      <c r="T1039" s="2">
        <f t="shared" si="463"/>
        <v>17.032967032967033</v>
      </c>
      <c r="U1039" s="2">
        <f ca="1">VLOOKUP(E1039,金币生产率!$A$2:$B$120,2,0)</f>
        <v>482</v>
      </c>
      <c r="V1039" s="2">
        <f t="shared" si="464"/>
        <v>221.42857142857142</v>
      </c>
      <c r="W1039" s="45">
        <f t="shared" ca="1" si="476"/>
        <v>25</v>
      </c>
      <c r="X1039" s="48">
        <f t="shared" ca="1" si="477"/>
        <v>256</v>
      </c>
      <c r="Y1039">
        <f t="shared" si="470"/>
        <v>18</v>
      </c>
      <c r="Z1039">
        <f t="shared" ca="1" si="473"/>
        <v>0</v>
      </c>
      <c r="AA1039" t="str">
        <f t="shared" ca="1" si="465"/>
        <v>9311100.png</v>
      </c>
      <c r="AB1039">
        <f t="shared" si="466"/>
        <v>2</v>
      </c>
      <c r="AC1039">
        <f>VLOOKUP(C1039,技能辅助查询表,技能配置辅助表!$W$1,FALSE)</f>
        <v>5307</v>
      </c>
      <c r="AD1039">
        <f t="shared" ca="1" si="474"/>
        <v>33.452138363361712</v>
      </c>
      <c r="AE1039">
        <f>VLOOKUP(C1039,技能辅助查询表,技能配置辅助表!$U$1,FALSE)</f>
        <v>1</v>
      </c>
      <c r="AF1039">
        <f t="shared" ca="1" si="467"/>
        <v>9311117</v>
      </c>
      <c r="AG1039">
        <f t="shared" ca="1" si="468"/>
        <v>27.469387755102041</v>
      </c>
      <c r="AH1039">
        <f t="shared" ca="1" si="475"/>
        <v>105.14816728492683</v>
      </c>
      <c r="AI1039">
        <f ca="1">VLOOKUP(E1039,伤害参考系!$C$4:$E$104,3,FALSE)*$AN$12</f>
        <v>1437.1617717391309</v>
      </c>
      <c r="AJ1039">
        <f>VLOOKUP(C1039,技能辅助查询表,技能配置辅助表!$L$1,FALSE)</f>
        <v>13</v>
      </c>
      <c r="AK1039">
        <f>VLOOKUP(C1039,技能辅助查询表,技能配置辅助表!$AE$1,FALSE)</f>
        <v>66000474</v>
      </c>
    </row>
    <row r="1040" spans="1:37" x14ac:dyDescent="0.15">
      <c r="A1040" s="1">
        <f t="shared" ca="1" si="450"/>
        <v>9311118</v>
      </c>
      <c r="B1040" s="1" t="str">
        <f t="shared" ca="1" si="451"/>
        <v>激光轰击</v>
      </c>
      <c r="C1040" t="s">
        <v>171</v>
      </c>
      <c r="D1040">
        <f t="shared" si="452"/>
        <v>3</v>
      </c>
      <c r="E1040" s="42">
        <f t="shared" ca="1" si="471"/>
        <v>30</v>
      </c>
      <c r="F1040" t="str">
        <f t="shared" ca="1" si="472"/>
        <v>第18级，共造成261.3%点伤害</v>
      </c>
      <c r="G1040">
        <f t="shared" ca="1" si="453"/>
        <v>1</v>
      </c>
      <c r="H1040">
        <f t="shared" si="454"/>
        <v>1</v>
      </c>
      <c r="I1040" s="44">
        <f t="shared" ca="1" si="455"/>
        <v>18</v>
      </c>
      <c r="J1040">
        <f t="shared" si="456"/>
        <v>1</v>
      </c>
      <c r="K1040" s="36">
        <f t="shared" ca="1" si="457"/>
        <v>20.098901098901099</v>
      </c>
      <c r="L1040" s="10">
        <f ca="1">AH1040*VLOOKUP(C1040,技能辅助查询表,技能配置辅助表!$T$1,FALSE)</f>
        <v>0</v>
      </c>
      <c r="M1040">
        <f t="shared" ca="1" si="469"/>
        <v>8200</v>
      </c>
      <c r="N1040" s="33">
        <f ca="1">CHOOSE(1,W1040*U1040,X1040*'[1]0、经济设定'!$C$18)</f>
        <v>13572</v>
      </c>
      <c r="O1040">
        <f t="shared" si="458"/>
        <v>1</v>
      </c>
      <c r="P1040">
        <f t="shared" si="459"/>
        <v>13</v>
      </c>
      <c r="Q1040">
        <f t="shared" si="460"/>
        <v>1</v>
      </c>
      <c r="R1040" s="2">
        <f t="shared" si="461"/>
        <v>2</v>
      </c>
      <c r="S1040" s="2">
        <f t="shared" si="462"/>
        <v>50</v>
      </c>
      <c r="T1040" s="2">
        <f t="shared" si="463"/>
        <v>17.032967032967033</v>
      </c>
      <c r="U1040" s="2">
        <f ca="1">VLOOKUP(E1040,金币生产率!$A$2:$B$120,2,0)</f>
        <v>522</v>
      </c>
      <c r="V1040" s="2">
        <f t="shared" si="464"/>
        <v>221.42857142857142</v>
      </c>
      <c r="W1040" s="45">
        <f t="shared" ca="1" si="476"/>
        <v>26</v>
      </c>
      <c r="X1040" s="48">
        <f t="shared" ca="1" si="477"/>
        <v>282</v>
      </c>
      <c r="Y1040">
        <f t="shared" si="470"/>
        <v>18</v>
      </c>
      <c r="Z1040">
        <f t="shared" ca="1" si="473"/>
        <v>11</v>
      </c>
      <c r="AA1040" t="str">
        <f t="shared" ca="1" si="465"/>
        <v>9311100.png</v>
      </c>
      <c r="AB1040">
        <f t="shared" si="466"/>
        <v>2</v>
      </c>
      <c r="AC1040">
        <f>VLOOKUP(C1040,技能辅助查询表,技能配置辅助表!$W$1,FALSE)</f>
        <v>5307</v>
      </c>
      <c r="AD1040">
        <f t="shared" ca="1" si="474"/>
        <v>38.614960887573744</v>
      </c>
      <c r="AE1040">
        <f>VLOOKUP(C1040,技能辅助查询表,技能配置辅助表!$U$1,FALSE)</f>
        <v>1</v>
      </c>
      <c r="AF1040">
        <f t="shared" ca="1" si="467"/>
        <v>9311118</v>
      </c>
      <c r="AG1040">
        <f t="shared" ca="1" si="468"/>
        <v>29.061224489795919</v>
      </c>
      <c r="AH1040">
        <f t="shared" ca="1" si="475"/>
        <v>119.70979903145096</v>
      </c>
      <c r="AI1040">
        <f ca="1">VLOOKUP(E1040,伤害参考系!$C$4:$E$104,3,FALSE)*$AN$12</f>
        <v>1576.1465593645489</v>
      </c>
      <c r="AJ1040">
        <f>VLOOKUP(C1040,技能辅助查询表,技能配置辅助表!$L$1,FALSE)</f>
        <v>13</v>
      </c>
      <c r="AK1040">
        <f>VLOOKUP(C1040,技能辅助查询表,技能配置辅助表!$AE$1,FALSE)</f>
        <v>66000474</v>
      </c>
    </row>
    <row r="1041" spans="1:37" x14ac:dyDescent="0.15">
      <c r="A1041" s="1">
        <f t="shared" ca="1" si="450"/>
        <v>9311119</v>
      </c>
      <c r="B1041" s="1" t="str">
        <f t="shared" ca="1" si="451"/>
        <v>激光轰击</v>
      </c>
      <c r="C1041" t="s">
        <v>171</v>
      </c>
      <c r="D1041">
        <f t="shared" si="452"/>
        <v>3</v>
      </c>
      <c r="E1041" s="42">
        <f t="shared" ca="1" si="471"/>
        <v>32</v>
      </c>
      <c r="F1041" t="str">
        <f t="shared" ca="1" si="472"/>
        <v>第19级，共造成263.5%点伤害</v>
      </c>
      <c r="G1041">
        <f t="shared" ca="1" si="453"/>
        <v>1</v>
      </c>
      <c r="H1041">
        <f t="shared" si="454"/>
        <v>1</v>
      </c>
      <c r="I1041" s="44">
        <f t="shared" ca="1" si="455"/>
        <v>19</v>
      </c>
      <c r="J1041">
        <f t="shared" si="456"/>
        <v>1</v>
      </c>
      <c r="K1041" s="36">
        <f t="shared" ca="1" si="457"/>
        <v>20.26923076923077</v>
      </c>
      <c r="L1041" s="10">
        <f ca="1">AH1041*VLOOKUP(C1041,技能辅助查询表,技能配置辅助表!$T$1,FALSE)</f>
        <v>0</v>
      </c>
      <c r="M1041">
        <f t="shared" ca="1" si="469"/>
        <v>8100</v>
      </c>
      <c r="N1041" s="33">
        <f ca="1">CHOOSE(1,W1041*U1041,X1041*'[1]0、经济设定'!$C$18)</f>
        <v>16968</v>
      </c>
      <c r="O1041">
        <f t="shared" si="458"/>
        <v>1</v>
      </c>
      <c r="P1041">
        <f t="shared" si="459"/>
        <v>13</v>
      </c>
      <c r="Q1041">
        <f t="shared" si="460"/>
        <v>1</v>
      </c>
      <c r="R1041" s="2">
        <f t="shared" si="461"/>
        <v>2</v>
      </c>
      <c r="S1041" s="2">
        <f t="shared" si="462"/>
        <v>50</v>
      </c>
      <c r="T1041" s="2">
        <f t="shared" si="463"/>
        <v>17.032967032967033</v>
      </c>
      <c r="U1041" s="2">
        <f ca="1">VLOOKUP(E1041,金币生产率!$A$2:$B$120,2,0)</f>
        <v>606</v>
      </c>
      <c r="V1041" s="2">
        <f t="shared" si="464"/>
        <v>221.42857142857142</v>
      </c>
      <c r="W1041" s="45">
        <f t="shared" ca="1" si="476"/>
        <v>28</v>
      </c>
      <c r="X1041" s="48">
        <f t="shared" ca="1" si="477"/>
        <v>310</v>
      </c>
      <c r="Y1041">
        <f t="shared" si="470"/>
        <v>18</v>
      </c>
      <c r="Z1041">
        <f t="shared" ca="1" si="473"/>
        <v>12</v>
      </c>
      <c r="AA1041" t="str">
        <f t="shared" ca="1" si="465"/>
        <v>9311100.png</v>
      </c>
      <c r="AB1041">
        <f t="shared" si="466"/>
        <v>2</v>
      </c>
      <c r="AC1041">
        <f>VLOOKUP(C1041,技能辅助查询表,技能配置辅助表!$W$1,FALSE)</f>
        <v>5307</v>
      </c>
      <c r="AD1041">
        <f t="shared" ca="1" si="474"/>
        <v>44.566183965138194</v>
      </c>
      <c r="AE1041">
        <f>VLOOKUP(C1041,技能辅助查询表,技能配置辅助表!$U$1,FALSE)</f>
        <v>1</v>
      </c>
      <c r="AF1041">
        <f t="shared" ca="1" si="467"/>
        <v>9311119</v>
      </c>
      <c r="AG1041">
        <f t="shared" ca="1" si="468"/>
        <v>30.653061224489797</v>
      </c>
      <c r="AH1041">
        <f t="shared" ca="1" si="475"/>
        <v>136.28802435822078</v>
      </c>
      <c r="AI1041">
        <f ca="1">VLOOKUP(E1041,伤害参考系!$C$4:$E$104,3,FALSE)*$AN$12</f>
        <v>1873.3990785953181</v>
      </c>
      <c r="AJ1041">
        <f>VLOOKUP(C1041,技能辅助查询表,技能配置辅助表!$L$1,FALSE)</f>
        <v>13</v>
      </c>
      <c r="AK1041">
        <f>VLOOKUP(C1041,技能辅助查询表,技能配置辅助表!$AE$1,FALSE)</f>
        <v>66000474</v>
      </c>
    </row>
    <row r="1042" spans="1:37" x14ac:dyDescent="0.15">
      <c r="A1042" s="1">
        <f t="shared" ca="1" si="450"/>
        <v>9311120</v>
      </c>
      <c r="B1042" s="1" t="str">
        <f t="shared" ca="1" si="451"/>
        <v>激光轰击</v>
      </c>
      <c r="C1042" t="s">
        <v>171</v>
      </c>
      <c r="D1042">
        <f t="shared" si="452"/>
        <v>3</v>
      </c>
      <c r="E1042" s="42">
        <f t="shared" ca="1" si="471"/>
        <v>33</v>
      </c>
      <c r="F1042" t="str">
        <f t="shared" ca="1" si="472"/>
        <v>第20级，共造成265.7%点伤害</v>
      </c>
      <c r="G1042">
        <f t="shared" ca="1" si="453"/>
        <v>1</v>
      </c>
      <c r="H1042">
        <f t="shared" si="454"/>
        <v>1</v>
      </c>
      <c r="I1042" s="44">
        <f t="shared" ca="1" si="455"/>
        <v>20</v>
      </c>
      <c r="J1042">
        <f t="shared" si="456"/>
        <v>1</v>
      </c>
      <c r="K1042" s="36">
        <f t="shared" ca="1" si="457"/>
        <v>20.439560439560438</v>
      </c>
      <c r="L1042" s="10">
        <f ca="1">AH1042*VLOOKUP(C1042,技能辅助查询表,技能配置辅助表!$T$1,FALSE)</f>
        <v>0</v>
      </c>
      <c r="M1042">
        <f t="shared" ca="1" si="469"/>
        <v>8000</v>
      </c>
      <c r="N1042" s="33">
        <f ca="1">CHOOSE(1,W1042*U1042,X1042*'[1]0、经济设定'!$C$18)</f>
        <v>19530</v>
      </c>
      <c r="O1042">
        <f t="shared" si="458"/>
        <v>1</v>
      </c>
      <c r="P1042">
        <f t="shared" si="459"/>
        <v>13</v>
      </c>
      <c r="Q1042">
        <f t="shared" si="460"/>
        <v>1</v>
      </c>
      <c r="R1042" s="2">
        <f t="shared" si="461"/>
        <v>2</v>
      </c>
      <c r="S1042" s="2">
        <f t="shared" si="462"/>
        <v>50</v>
      </c>
      <c r="T1042" s="2">
        <f t="shared" si="463"/>
        <v>17.032967032967033</v>
      </c>
      <c r="U1042" s="2">
        <f ca="1">VLOOKUP(E1042,金币生产率!$A$2:$B$120,2,0)</f>
        <v>651</v>
      </c>
      <c r="V1042" s="2">
        <f t="shared" si="464"/>
        <v>221.42857142857142</v>
      </c>
      <c r="W1042" s="45">
        <f t="shared" ca="1" si="476"/>
        <v>30</v>
      </c>
      <c r="X1042" s="48">
        <f t="shared" ca="1" si="477"/>
        <v>340</v>
      </c>
      <c r="Y1042">
        <f t="shared" si="470"/>
        <v>18</v>
      </c>
      <c r="Z1042">
        <f t="shared" ca="1" si="473"/>
        <v>12</v>
      </c>
      <c r="AA1042" t="str">
        <f t="shared" ca="1" si="465"/>
        <v>9311100.png</v>
      </c>
      <c r="AB1042">
        <f t="shared" si="466"/>
        <v>2</v>
      </c>
      <c r="AC1042">
        <f>VLOOKUP(C1042,技能辅助查询表,技能配置辅助表!$W$1,FALSE)</f>
        <v>5307</v>
      </c>
      <c r="AD1042">
        <f t="shared" ca="1" si="474"/>
        <v>51.4251580575906</v>
      </c>
      <c r="AE1042">
        <f>VLOOKUP(C1042,技能辅助查询表,技能配置辅助表!$U$1,FALSE)</f>
        <v>1</v>
      </c>
      <c r="AF1042">
        <f t="shared" ca="1" si="467"/>
        <v>9311120</v>
      </c>
      <c r="AG1042">
        <f t="shared" ca="1" si="468"/>
        <v>32.244897959183675</v>
      </c>
      <c r="AH1042">
        <f t="shared" ca="1" si="475"/>
        <v>155.16211482893718</v>
      </c>
      <c r="AI1042">
        <f ca="1">VLOOKUP(E1042,伤害参考系!$C$4:$E$104,3,FALSE)*$AN$12</f>
        <v>2031.7137667224088</v>
      </c>
      <c r="AJ1042">
        <f>VLOOKUP(C1042,技能辅助查询表,技能配置辅助表!$L$1,FALSE)</f>
        <v>13</v>
      </c>
      <c r="AK1042">
        <f>VLOOKUP(C1042,技能辅助查询表,技能配置辅助表!$AE$1,FALSE)</f>
        <v>66000474</v>
      </c>
    </row>
    <row r="1043" spans="1:37" x14ac:dyDescent="0.15">
      <c r="A1043" s="1">
        <f t="shared" ref="A1043:A1106" ca="1" si="478">IF(I1043=0,IF(H1043=1,VALUE("9"&amp;D1043&amp;J1043&amp;O1043&amp;G1043&amp;IF(I1043&gt;9,I1043,"0"&amp;I1043)),1),VALUE("9"&amp;D1043&amp;J1043&amp;O1043&amp;G1043&amp;IF(I1043&gt;9,I1043,"0"&amp;I1043)))</f>
        <v>9311121</v>
      </c>
      <c r="B1043" s="1" t="str">
        <f t="shared" ref="B1043:B1106" ca="1" si="479">IF(AND(G1043=0,AE1043=4),LEFT(C1043,LEN(C1043)-3),C1043)</f>
        <v>激光轰击</v>
      </c>
      <c r="C1043" t="s">
        <v>171</v>
      </c>
      <c r="D1043">
        <f t="shared" ref="D1043:D1106" si="480">VLOOKUP(C1043,技能辅助查询表,3,FALSE)</f>
        <v>3</v>
      </c>
      <c r="E1043" s="42">
        <f t="shared" ca="1" si="471"/>
        <v>35</v>
      </c>
      <c r="F1043" t="str">
        <f t="shared" ca="1" si="472"/>
        <v>第21级，共造成267.9%点伤害</v>
      </c>
      <c r="G1043">
        <f t="shared" ref="G1043:G1106" ca="1" si="481">IF(I1043=0,0,H1043)</f>
        <v>1</v>
      </c>
      <c r="H1043">
        <f t="shared" ref="H1043:H1106" si="482">VLOOKUP(C1043,技能辅助查询表,2,FALSE)</f>
        <v>1</v>
      </c>
      <c r="I1043" s="44">
        <f t="shared" ref="I1043:I1106" ca="1" si="483">IF(OFFSET(C1043,-1,0)=C1043,I1042+1,0)</f>
        <v>21</v>
      </c>
      <c r="J1043">
        <f t="shared" ref="J1043:J1106" si="484">VLOOKUP(C1043,技能辅助查询表,4,FALSE)</f>
        <v>1</v>
      </c>
      <c r="K1043" s="36">
        <f t="shared" ref="K1043:K1106" ca="1" si="485">IF(OR(I1043=0,I1043=1),T1043,T1043+T1043*($AN$6-1)/S1043*I1043)</f>
        <v>20.609890109890109</v>
      </c>
      <c r="L1043" s="10">
        <f ca="1">AH1043*VLOOKUP(C1043,技能辅助查询表,技能配置辅助表!$T$1,FALSE)</f>
        <v>0</v>
      </c>
      <c r="M1043">
        <f t="shared" ca="1" si="469"/>
        <v>7900</v>
      </c>
      <c r="N1043" s="33">
        <f ca="1">CHOOSE(1,W1043*U1043,X1043*'[1]0、经济设定'!$C$18)</f>
        <v>24519</v>
      </c>
      <c r="O1043">
        <f t="shared" ref="O1043:O1106" si="486">VLOOKUP(C1043,技能辅助查询表,5,FALSE)</f>
        <v>1</v>
      </c>
      <c r="P1043">
        <f t="shared" ref="P1043:P1106" si="487">VLOOKUP(C1043,技能辅助查询表,6,FALSE)</f>
        <v>13</v>
      </c>
      <c r="Q1043">
        <f t="shared" ref="Q1043:Q1106" si="488">VLOOKUP(C1043,技能辅助查询表,7,FALSE)</f>
        <v>1</v>
      </c>
      <c r="R1043" s="2">
        <f t="shared" ref="R1043:R1106" si="489">VLOOKUP(C1043,技能辅助查询表,9,FALSE)</f>
        <v>2</v>
      </c>
      <c r="S1043" s="2">
        <f t="shared" ref="S1043:S1106" si="490">VLOOKUP(C1043,技能辅助查询表,8,FALSE)</f>
        <v>50</v>
      </c>
      <c r="T1043" s="2">
        <f t="shared" ref="T1043:T1106" si="491">VLOOKUP(C1043,技能辅助查询表,11,FALSE)</f>
        <v>17.032967032967033</v>
      </c>
      <c r="U1043" s="2">
        <f ca="1">VLOOKUP(E1043,金币生产率!$A$2:$B$120,2,0)</f>
        <v>743</v>
      </c>
      <c r="V1043" s="2">
        <f t="shared" ref="V1043:V1106" si="492">VLOOKUP(C1043,技能辅助查询表,12,FALSE)</f>
        <v>221.42857142857142</v>
      </c>
      <c r="W1043" s="45">
        <f t="shared" ca="1" si="476"/>
        <v>33</v>
      </c>
      <c r="X1043" s="48">
        <f t="shared" ca="1" si="477"/>
        <v>373</v>
      </c>
      <c r="Y1043">
        <f t="shared" si="470"/>
        <v>18</v>
      </c>
      <c r="Z1043">
        <f t="shared" ca="1" si="473"/>
        <v>14</v>
      </c>
      <c r="AA1043" t="str">
        <f t="shared" ref="AA1043:AA1106" ca="1" si="493">AF1043-MOD(AF1043,100)&amp;".png"</f>
        <v>9311100.png</v>
      </c>
      <c r="AB1043">
        <f t="shared" ref="AB1043:AB1106" si="494">VLOOKUP(C1043,技能辅助查询表,17,FALSE)</f>
        <v>2</v>
      </c>
      <c r="AC1043">
        <f>VLOOKUP(C1043,技能辅助查询表,技能配置辅助表!$W$1,FALSE)</f>
        <v>5307</v>
      </c>
      <c r="AD1043">
        <f t="shared" ca="1" si="474"/>
        <v>59.329170139231884</v>
      </c>
      <c r="AE1043">
        <f>VLOOKUP(C1043,技能辅助查询表,技能配置辅助表!$U$1,FALSE)</f>
        <v>1</v>
      </c>
      <c r="AF1043">
        <f t="shared" ref="AF1043:AF1106" ca="1" si="495">VALUE("9"&amp;D1043&amp;J1043&amp;O1043&amp;H1043&amp;IF(I1043&gt;9,I1043,"0"&amp;I1043))</f>
        <v>9311121</v>
      </c>
      <c r="AG1043">
        <f t="shared" ref="AG1043:AG1106" ca="1" si="496">IF(I1043=1,R1043,IF(I1043=0,0,(I1043-1)*(80-R1043)/(S1043-1)+R1043))</f>
        <v>33.836734693877553</v>
      </c>
      <c r="AH1043">
        <f t="shared" ca="1" si="475"/>
        <v>176.65001742859343</v>
      </c>
      <c r="AI1043">
        <f ca="1">VLOOKUP(E1043,伤害参考系!$C$4:$E$104,3,FALSE)*$AN$12</f>
        <v>2367.0860869565217</v>
      </c>
      <c r="AJ1043">
        <f>VLOOKUP(C1043,技能辅助查询表,技能配置辅助表!$L$1,FALSE)</f>
        <v>13</v>
      </c>
      <c r="AK1043">
        <f>VLOOKUP(C1043,技能辅助查询表,技能配置辅助表!$AE$1,FALSE)</f>
        <v>66000474</v>
      </c>
    </row>
    <row r="1044" spans="1:37" x14ac:dyDescent="0.15">
      <c r="A1044" s="1">
        <f t="shared" ca="1" si="478"/>
        <v>9311122</v>
      </c>
      <c r="B1044" s="1" t="str">
        <f t="shared" ca="1" si="479"/>
        <v>激光轰击</v>
      </c>
      <c r="C1044" t="s">
        <v>171</v>
      </c>
      <c r="D1044">
        <f t="shared" si="480"/>
        <v>3</v>
      </c>
      <c r="E1044" s="42">
        <f t="shared" ca="1" si="471"/>
        <v>36</v>
      </c>
      <c r="F1044" t="str">
        <f t="shared" ca="1" si="472"/>
        <v>第22级，共造成270.1%点伤害</v>
      </c>
      <c r="G1044">
        <f t="shared" ca="1" si="481"/>
        <v>1</v>
      </c>
      <c r="H1044">
        <f t="shared" si="482"/>
        <v>1</v>
      </c>
      <c r="I1044" s="44">
        <f t="shared" ca="1" si="483"/>
        <v>22</v>
      </c>
      <c r="J1044">
        <f t="shared" si="484"/>
        <v>1</v>
      </c>
      <c r="K1044" s="36">
        <f t="shared" ca="1" si="485"/>
        <v>20.780219780219781</v>
      </c>
      <c r="L1044" s="10">
        <f ca="1">AH1044*VLOOKUP(C1044,技能辅助查询表,技能配置辅助表!$T$1,FALSE)</f>
        <v>0</v>
      </c>
      <c r="M1044">
        <f t="shared" ca="1" si="469"/>
        <v>7800</v>
      </c>
      <c r="N1044" s="33">
        <f ca="1">CHOOSE(1,W1044*U1044,X1044*'[1]0、经济设定'!$C$18)</f>
        <v>27685</v>
      </c>
      <c r="O1044">
        <f t="shared" si="486"/>
        <v>1</v>
      </c>
      <c r="P1044">
        <f t="shared" si="487"/>
        <v>13</v>
      </c>
      <c r="Q1044">
        <f t="shared" si="488"/>
        <v>1</v>
      </c>
      <c r="R1044" s="2">
        <f t="shared" si="489"/>
        <v>2</v>
      </c>
      <c r="S1044" s="2">
        <f t="shared" si="490"/>
        <v>50</v>
      </c>
      <c r="T1044" s="2">
        <f t="shared" si="491"/>
        <v>17.032967032967033</v>
      </c>
      <c r="U1044" s="2">
        <f ca="1">VLOOKUP(E1044,金币生产率!$A$2:$B$120,2,0)</f>
        <v>791</v>
      </c>
      <c r="V1044" s="2">
        <f t="shared" si="492"/>
        <v>221.42857142857142</v>
      </c>
      <c r="W1044" s="45">
        <f t="shared" ca="1" si="476"/>
        <v>35</v>
      </c>
      <c r="X1044" s="48">
        <f t="shared" ca="1" si="477"/>
        <v>408</v>
      </c>
      <c r="Y1044">
        <f t="shared" si="470"/>
        <v>18</v>
      </c>
      <c r="Z1044">
        <f t="shared" ca="1" si="473"/>
        <v>14</v>
      </c>
      <c r="AA1044" t="str">
        <f t="shared" ca="1" si="493"/>
        <v>9311100.png</v>
      </c>
      <c r="AB1044">
        <f t="shared" si="494"/>
        <v>2</v>
      </c>
      <c r="AC1044">
        <f>VLOOKUP(C1044,技能辅助查询表,技能配置辅助表!$W$1,FALSE)</f>
        <v>5307</v>
      </c>
      <c r="AD1044">
        <f t="shared" ca="1" si="474"/>
        <v>68.436122663582694</v>
      </c>
      <c r="AE1044">
        <f>VLOOKUP(C1044,技能辅助查询表,技能配置辅助表!$U$1,FALSE)</f>
        <v>1</v>
      </c>
      <c r="AF1044">
        <f t="shared" ca="1" si="495"/>
        <v>9311122</v>
      </c>
      <c r="AG1044">
        <f t="shared" ca="1" si="496"/>
        <v>35.428571428571431</v>
      </c>
      <c r="AH1044">
        <f t="shared" ca="1" si="475"/>
        <v>201.11371059826985</v>
      </c>
      <c r="AI1044">
        <f ca="1">VLOOKUP(E1044,伤害参考系!$C$4:$E$104,3,FALSE)*$AN$12</f>
        <v>2544.1437190635456</v>
      </c>
      <c r="AJ1044">
        <f>VLOOKUP(C1044,技能辅助查询表,技能配置辅助表!$L$1,FALSE)</f>
        <v>13</v>
      </c>
      <c r="AK1044">
        <f>VLOOKUP(C1044,技能辅助查询表,技能配置辅助表!$AE$1,FALSE)</f>
        <v>66000474</v>
      </c>
    </row>
    <row r="1045" spans="1:37" x14ac:dyDescent="0.15">
      <c r="A1045" s="1">
        <f t="shared" ca="1" si="478"/>
        <v>9311123</v>
      </c>
      <c r="B1045" s="1" t="str">
        <f t="shared" ca="1" si="479"/>
        <v>激光轰击</v>
      </c>
      <c r="C1045" t="s">
        <v>171</v>
      </c>
      <c r="D1045">
        <f t="shared" si="480"/>
        <v>3</v>
      </c>
      <c r="E1045" s="42">
        <f t="shared" ca="1" si="471"/>
        <v>38</v>
      </c>
      <c r="F1045" t="str">
        <f t="shared" ca="1" si="472"/>
        <v>第23级，共造成272.4%点伤害</v>
      </c>
      <c r="G1045">
        <f t="shared" ca="1" si="481"/>
        <v>1</v>
      </c>
      <c r="H1045">
        <f t="shared" si="482"/>
        <v>1</v>
      </c>
      <c r="I1045" s="44">
        <f t="shared" ca="1" si="483"/>
        <v>23</v>
      </c>
      <c r="J1045">
        <f t="shared" si="484"/>
        <v>1</v>
      </c>
      <c r="K1045" s="36">
        <f t="shared" ca="1" si="485"/>
        <v>20.950549450549453</v>
      </c>
      <c r="L1045" s="10">
        <f ca="1">AH1045*VLOOKUP(C1045,技能辅助查询表,技能配置辅助表!$T$1,FALSE)</f>
        <v>0</v>
      </c>
      <c r="M1045">
        <f t="shared" ca="1" si="469"/>
        <v>7700</v>
      </c>
      <c r="N1045" s="33">
        <f ca="1">CHOOSE(1,W1045*U1045,X1045*'[1]0、经济设定'!$C$18)</f>
        <v>33004</v>
      </c>
      <c r="O1045">
        <f t="shared" si="486"/>
        <v>1</v>
      </c>
      <c r="P1045">
        <f t="shared" si="487"/>
        <v>13</v>
      </c>
      <c r="Q1045">
        <f t="shared" si="488"/>
        <v>1</v>
      </c>
      <c r="R1045" s="2">
        <f t="shared" si="489"/>
        <v>2</v>
      </c>
      <c r="S1045" s="2">
        <f t="shared" si="490"/>
        <v>50</v>
      </c>
      <c r="T1045" s="2">
        <f t="shared" si="491"/>
        <v>17.032967032967033</v>
      </c>
      <c r="U1045" s="2">
        <f ca="1">VLOOKUP(E1045,金币生产率!$A$2:$B$120,2,0)</f>
        <v>892</v>
      </c>
      <c r="V1045" s="2">
        <f t="shared" si="492"/>
        <v>221.42857142857142</v>
      </c>
      <c r="W1045" s="45">
        <f t="shared" ca="1" si="476"/>
        <v>37</v>
      </c>
      <c r="X1045" s="48">
        <f t="shared" ca="1" si="477"/>
        <v>445</v>
      </c>
      <c r="Y1045">
        <f t="shared" si="470"/>
        <v>18</v>
      </c>
      <c r="Z1045">
        <f t="shared" ca="1" si="473"/>
        <v>15</v>
      </c>
      <c r="AA1045" t="str">
        <f t="shared" ca="1" si="493"/>
        <v>9311100.png</v>
      </c>
      <c r="AB1045">
        <f t="shared" si="494"/>
        <v>2</v>
      </c>
      <c r="AC1045">
        <f>VLOOKUP(C1045,技能辅助查询表,技能配置辅助表!$W$1,FALSE)</f>
        <v>5307</v>
      </c>
      <c r="AD1045">
        <f t="shared" ca="1" si="474"/>
        <v>78.927610535723062</v>
      </c>
      <c r="AE1045">
        <f>VLOOKUP(C1045,技能辅助查询表,技能配置辅助表!$U$1,FALSE)</f>
        <v>1</v>
      </c>
      <c r="AF1045">
        <f t="shared" ca="1" si="495"/>
        <v>9311123</v>
      </c>
      <c r="AG1045">
        <f t="shared" ca="1" si="496"/>
        <v>37.020408163265309</v>
      </c>
      <c r="AH1045">
        <f t="shared" ca="1" si="475"/>
        <v>228.96530200997151</v>
      </c>
      <c r="AI1045">
        <f ca="1">VLOOKUP(E1045,伤害参考系!$C$4:$E$104,3,FALSE)*$AN$12</f>
        <v>2917.001927257525</v>
      </c>
      <c r="AJ1045">
        <f>VLOOKUP(C1045,技能辅助查询表,技能配置辅助表!$L$1,FALSE)</f>
        <v>13</v>
      </c>
      <c r="AK1045">
        <f>VLOOKUP(C1045,技能辅助查询表,技能配置辅助表!$AE$1,FALSE)</f>
        <v>66000474</v>
      </c>
    </row>
    <row r="1046" spans="1:37" x14ac:dyDescent="0.15">
      <c r="A1046" s="1">
        <f t="shared" ca="1" si="478"/>
        <v>9311124</v>
      </c>
      <c r="B1046" s="1" t="str">
        <f t="shared" ca="1" si="479"/>
        <v>激光轰击</v>
      </c>
      <c r="C1046" t="s">
        <v>171</v>
      </c>
      <c r="D1046">
        <f t="shared" si="480"/>
        <v>3</v>
      </c>
      <c r="E1046" s="42">
        <f t="shared" ca="1" si="471"/>
        <v>39</v>
      </c>
      <c r="F1046" t="str">
        <f t="shared" ca="1" si="472"/>
        <v>第24级，共造成274.6%点伤害</v>
      </c>
      <c r="G1046">
        <f t="shared" ca="1" si="481"/>
        <v>1</v>
      </c>
      <c r="H1046">
        <f t="shared" si="482"/>
        <v>1</v>
      </c>
      <c r="I1046" s="44">
        <f t="shared" ca="1" si="483"/>
        <v>24</v>
      </c>
      <c r="J1046">
        <f t="shared" si="484"/>
        <v>1</v>
      </c>
      <c r="K1046" s="36">
        <f t="shared" ca="1" si="485"/>
        <v>21.12087912087912</v>
      </c>
      <c r="L1046" s="10">
        <f ca="1">AH1046*VLOOKUP(C1046,技能辅助查询表,技能配置辅助表!$T$1,FALSE)</f>
        <v>0</v>
      </c>
      <c r="M1046">
        <f t="shared" ca="1" si="469"/>
        <v>7600</v>
      </c>
      <c r="N1046" s="33">
        <f ca="1">CHOOSE(1,W1046*U1046,X1046*'[1]0、经济设定'!$C$18)</f>
        <v>37760</v>
      </c>
      <c r="O1046">
        <f t="shared" si="486"/>
        <v>1</v>
      </c>
      <c r="P1046">
        <f t="shared" si="487"/>
        <v>13</v>
      </c>
      <c r="Q1046">
        <f t="shared" si="488"/>
        <v>1</v>
      </c>
      <c r="R1046" s="2">
        <f t="shared" si="489"/>
        <v>2</v>
      </c>
      <c r="S1046" s="2">
        <f t="shared" si="490"/>
        <v>50</v>
      </c>
      <c r="T1046" s="2">
        <f t="shared" si="491"/>
        <v>17.032967032967033</v>
      </c>
      <c r="U1046" s="2">
        <f ca="1">VLOOKUP(E1046,金币生产率!$A$2:$B$120,2,0)</f>
        <v>944</v>
      </c>
      <c r="V1046" s="2">
        <f t="shared" si="492"/>
        <v>221.42857142857142</v>
      </c>
      <c r="W1046" s="45">
        <f t="shared" ca="1" si="476"/>
        <v>40</v>
      </c>
      <c r="X1046" s="48">
        <f t="shared" ca="1" si="477"/>
        <v>485</v>
      </c>
      <c r="Y1046">
        <f t="shared" si="470"/>
        <v>18</v>
      </c>
      <c r="Z1046">
        <f t="shared" ca="1" si="473"/>
        <v>16</v>
      </c>
      <c r="AA1046" t="str">
        <f t="shared" ca="1" si="493"/>
        <v>9311100.png</v>
      </c>
      <c r="AB1046">
        <f t="shared" si="494"/>
        <v>2</v>
      </c>
      <c r="AC1046">
        <f>VLOOKUP(C1046,技能辅助查询表,技能配置辅助表!$W$1,FALSE)</f>
        <v>5307</v>
      </c>
      <c r="AD1046">
        <f t="shared" ca="1" si="474"/>
        <v>91.012454948830808</v>
      </c>
      <c r="AE1046">
        <f>VLOOKUP(C1046,技能辅助查询表,技能配置辅助表!$U$1,FALSE)</f>
        <v>1</v>
      </c>
      <c r="AF1046">
        <f t="shared" ca="1" si="495"/>
        <v>9311124</v>
      </c>
      <c r="AG1046">
        <f t="shared" ca="1" si="496"/>
        <v>38.612244897959187</v>
      </c>
      <c r="AH1046">
        <f t="shared" ca="1" si="475"/>
        <v>260.67397080270689</v>
      </c>
      <c r="AI1046">
        <f ca="1">VLOOKUP(E1046,伤害参考系!$C$4:$E$104,3,FALSE)*$AN$12</f>
        <v>3112.8025033444819</v>
      </c>
      <c r="AJ1046">
        <f>VLOOKUP(C1046,技能辅助查询表,技能配置辅助表!$L$1,FALSE)</f>
        <v>13</v>
      </c>
      <c r="AK1046">
        <f>VLOOKUP(C1046,技能辅助查询表,技能配置辅助表!$AE$1,FALSE)</f>
        <v>66000474</v>
      </c>
    </row>
    <row r="1047" spans="1:37" x14ac:dyDescent="0.15">
      <c r="A1047" s="1">
        <f t="shared" ca="1" si="478"/>
        <v>9311125</v>
      </c>
      <c r="B1047" s="1" t="str">
        <f t="shared" ca="1" si="479"/>
        <v>激光轰击</v>
      </c>
      <c r="C1047" t="s">
        <v>171</v>
      </c>
      <c r="D1047">
        <f t="shared" si="480"/>
        <v>3</v>
      </c>
      <c r="E1047" s="42">
        <f t="shared" ca="1" si="471"/>
        <v>41</v>
      </c>
      <c r="F1047" t="str">
        <f t="shared" ca="1" si="472"/>
        <v>第25级，共造成276.8%点伤害</v>
      </c>
      <c r="G1047">
        <f t="shared" ca="1" si="481"/>
        <v>1</v>
      </c>
      <c r="H1047">
        <f t="shared" si="482"/>
        <v>1</v>
      </c>
      <c r="I1047" s="44">
        <f t="shared" ca="1" si="483"/>
        <v>25</v>
      </c>
      <c r="J1047">
        <f t="shared" si="484"/>
        <v>1</v>
      </c>
      <c r="K1047" s="36">
        <f t="shared" ca="1" si="485"/>
        <v>21.291208791208792</v>
      </c>
      <c r="L1047" s="10">
        <f ca="1">AH1047*VLOOKUP(C1047,技能辅助查询表,技能配置辅助表!$T$1,FALSE)</f>
        <v>0</v>
      </c>
      <c r="M1047">
        <f t="shared" ca="1" si="469"/>
        <v>7500</v>
      </c>
      <c r="N1047" s="33">
        <f ca="1">CHOOSE(1,W1047*U1047,X1047*'[1]0、经济设定'!$C$18)</f>
        <v>45279</v>
      </c>
      <c r="O1047">
        <f t="shared" si="486"/>
        <v>1</v>
      </c>
      <c r="P1047">
        <f t="shared" si="487"/>
        <v>13</v>
      </c>
      <c r="Q1047">
        <f t="shared" si="488"/>
        <v>1</v>
      </c>
      <c r="R1047" s="2">
        <f t="shared" si="489"/>
        <v>2</v>
      </c>
      <c r="S1047" s="2">
        <f t="shared" si="490"/>
        <v>50</v>
      </c>
      <c r="T1047" s="2">
        <f t="shared" si="491"/>
        <v>17.032967032967033</v>
      </c>
      <c r="U1047" s="2">
        <f ca="1">VLOOKUP(E1047,金币生产率!$A$2:$B$120,2,0)</f>
        <v>1053</v>
      </c>
      <c r="V1047" s="2">
        <f t="shared" si="492"/>
        <v>221.42857142857142</v>
      </c>
      <c r="W1047" s="45">
        <f t="shared" ca="1" si="476"/>
        <v>43</v>
      </c>
      <c r="X1047" s="48">
        <f t="shared" ca="1" si="477"/>
        <v>528</v>
      </c>
      <c r="Y1047">
        <f t="shared" si="470"/>
        <v>18</v>
      </c>
      <c r="Z1047">
        <f t="shared" ca="1" si="473"/>
        <v>18</v>
      </c>
      <c r="AA1047" t="str">
        <f t="shared" ca="1" si="493"/>
        <v>9311100.png</v>
      </c>
      <c r="AB1047">
        <f t="shared" si="494"/>
        <v>2</v>
      </c>
      <c r="AC1047">
        <f>VLOOKUP(C1047,技能辅助查询表,技能配置辅助表!$W$1,FALSE)</f>
        <v>5307</v>
      </c>
      <c r="AD1047">
        <f t="shared" ca="1" si="474"/>
        <v>104.93076161223694</v>
      </c>
      <c r="AE1047">
        <f>VLOOKUP(C1047,技能辅助查询表,技能配置辅助表!$U$1,FALSE)</f>
        <v>1</v>
      </c>
      <c r="AF1047">
        <f t="shared" ca="1" si="495"/>
        <v>9311125</v>
      </c>
      <c r="AG1047">
        <f t="shared" ca="1" si="496"/>
        <v>40.204081632653065</v>
      </c>
      <c r="AH1047">
        <f t="shared" ca="1" si="475"/>
        <v>296.77387122652874</v>
      </c>
      <c r="AI1047">
        <f ca="1">VLOOKUP(E1047,伤害参考系!$C$4:$E$104,3,FALSE)*$AN$12</f>
        <v>3584.9561889632118</v>
      </c>
      <c r="AJ1047">
        <f>VLOOKUP(C1047,技能辅助查询表,技能配置辅助表!$L$1,FALSE)</f>
        <v>13</v>
      </c>
      <c r="AK1047">
        <f>VLOOKUP(C1047,技能辅助查询表,技能配置辅助表!$AE$1,FALSE)</f>
        <v>66000474</v>
      </c>
    </row>
    <row r="1048" spans="1:37" x14ac:dyDescent="0.15">
      <c r="A1048" s="1">
        <f t="shared" ca="1" si="478"/>
        <v>9311126</v>
      </c>
      <c r="B1048" s="1" t="str">
        <f t="shared" ca="1" si="479"/>
        <v>激光轰击</v>
      </c>
      <c r="C1048" t="s">
        <v>171</v>
      </c>
      <c r="D1048">
        <f t="shared" si="480"/>
        <v>3</v>
      </c>
      <c r="E1048" s="42">
        <f t="shared" ca="1" si="471"/>
        <v>43</v>
      </c>
      <c r="F1048" t="str">
        <f t="shared" ca="1" si="472"/>
        <v>第26级，共造成279%点伤害</v>
      </c>
      <c r="G1048">
        <f t="shared" ca="1" si="481"/>
        <v>1</v>
      </c>
      <c r="H1048">
        <f t="shared" si="482"/>
        <v>1</v>
      </c>
      <c r="I1048" s="44">
        <f t="shared" ca="1" si="483"/>
        <v>26</v>
      </c>
      <c r="J1048">
        <f t="shared" si="484"/>
        <v>1</v>
      </c>
      <c r="K1048" s="36">
        <f t="shared" ca="1" si="485"/>
        <v>21.46153846153846</v>
      </c>
      <c r="L1048" s="10">
        <f ca="1">AH1048*VLOOKUP(C1048,技能辅助查询表,技能配置辅助表!$T$1,FALSE)</f>
        <v>0</v>
      </c>
      <c r="M1048">
        <f t="shared" ca="1" si="469"/>
        <v>7400</v>
      </c>
      <c r="N1048" s="33">
        <f ca="1">CHOOSE(1,W1048*U1048,X1048*'[1]0、经济设定'!$C$18)</f>
        <v>53682</v>
      </c>
      <c r="O1048">
        <f t="shared" si="486"/>
        <v>1</v>
      </c>
      <c r="P1048">
        <f t="shared" si="487"/>
        <v>13</v>
      </c>
      <c r="Q1048">
        <f t="shared" si="488"/>
        <v>1</v>
      </c>
      <c r="R1048" s="2">
        <f t="shared" si="489"/>
        <v>2</v>
      </c>
      <c r="S1048" s="2">
        <f t="shared" si="490"/>
        <v>50</v>
      </c>
      <c r="T1048" s="2">
        <f t="shared" si="491"/>
        <v>17.032967032967033</v>
      </c>
      <c r="U1048" s="2">
        <f ca="1">VLOOKUP(E1048,金币生产率!$A$2:$B$120,2,0)</f>
        <v>1167</v>
      </c>
      <c r="V1048" s="2">
        <f t="shared" si="492"/>
        <v>221.42857142857142</v>
      </c>
      <c r="W1048" s="45">
        <f t="shared" ca="1" si="476"/>
        <v>46</v>
      </c>
      <c r="X1048" s="48">
        <f t="shared" ca="1" si="477"/>
        <v>574</v>
      </c>
      <c r="Y1048">
        <f t="shared" si="470"/>
        <v>18</v>
      </c>
      <c r="Z1048">
        <f t="shared" ca="1" si="473"/>
        <v>19</v>
      </c>
      <c r="AA1048" t="str">
        <f t="shared" ca="1" si="493"/>
        <v>9311100.png</v>
      </c>
      <c r="AB1048">
        <f t="shared" si="494"/>
        <v>2</v>
      </c>
      <c r="AC1048">
        <f>VLOOKUP(C1048,技能辅助查询表,技能配置辅助表!$W$1,FALSE)</f>
        <v>5307</v>
      </c>
      <c r="AD1048">
        <f t="shared" ca="1" si="474"/>
        <v>120.95858083958683</v>
      </c>
      <c r="AE1048">
        <f>VLOOKUP(C1048,技能辅助查询表,技能配置辅助表!$U$1,FALSE)</f>
        <v>1</v>
      </c>
      <c r="AF1048">
        <f t="shared" ca="1" si="495"/>
        <v>9311126</v>
      </c>
      <c r="AG1048">
        <f t="shared" ca="1" si="496"/>
        <v>41.795918367346935</v>
      </c>
      <c r="AH1048">
        <f t="shared" ca="1" si="475"/>
        <v>337.87313083683472</v>
      </c>
      <c r="AI1048">
        <f ca="1">VLOOKUP(E1048,伤害参考系!$C$4:$E$104,3,FALSE)*$AN$12</f>
        <v>4090.4306638795993</v>
      </c>
      <c r="AJ1048">
        <f>VLOOKUP(C1048,技能辅助查询表,技能配置辅助表!$L$1,FALSE)</f>
        <v>13</v>
      </c>
      <c r="AK1048">
        <f>VLOOKUP(C1048,技能辅助查询表,技能配置辅助表!$AE$1,FALSE)</f>
        <v>66000474</v>
      </c>
    </row>
    <row r="1049" spans="1:37" x14ac:dyDescent="0.15">
      <c r="A1049" s="1">
        <f t="shared" ca="1" si="478"/>
        <v>9311127</v>
      </c>
      <c r="B1049" s="1" t="str">
        <f t="shared" ca="1" si="479"/>
        <v>激光轰击</v>
      </c>
      <c r="C1049" t="s">
        <v>171</v>
      </c>
      <c r="D1049">
        <f t="shared" si="480"/>
        <v>3</v>
      </c>
      <c r="E1049" s="42">
        <f t="shared" ca="1" si="471"/>
        <v>44</v>
      </c>
      <c r="F1049" t="str">
        <f t="shared" ca="1" si="472"/>
        <v>第27级，共造成281.2%点伤害</v>
      </c>
      <c r="G1049">
        <f t="shared" ca="1" si="481"/>
        <v>1</v>
      </c>
      <c r="H1049">
        <f t="shared" si="482"/>
        <v>1</v>
      </c>
      <c r="I1049" s="44">
        <f t="shared" ca="1" si="483"/>
        <v>27</v>
      </c>
      <c r="J1049">
        <f t="shared" si="484"/>
        <v>1</v>
      </c>
      <c r="K1049" s="36">
        <f t="shared" ca="1" si="485"/>
        <v>21.631868131868131</v>
      </c>
      <c r="L1049" s="10">
        <f ca="1">AH1049*VLOOKUP(C1049,技能辅助查询表,技能配置辅助表!$T$1,FALSE)</f>
        <v>0</v>
      </c>
      <c r="M1049">
        <f t="shared" ca="1" si="469"/>
        <v>7300</v>
      </c>
      <c r="N1049" s="33">
        <f ca="1">CHOOSE(1,W1049*U1049,X1049*'[1]0、经济设定'!$C$18)</f>
        <v>60074</v>
      </c>
      <c r="O1049">
        <f t="shared" si="486"/>
        <v>1</v>
      </c>
      <c r="P1049">
        <f t="shared" si="487"/>
        <v>13</v>
      </c>
      <c r="Q1049">
        <f t="shared" si="488"/>
        <v>1</v>
      </c>
      <c r="R1049" s="2">
        <f t="shared" si="489"/>
        <v>2</v>
      </c>
      <c r="S1049" s="2">
        <f t="shared" si="490"/>
        <v>50</v>
      </c>
      <c r="T1049" s="2">
        <f t="shared" si="491"/>
        <v>17.032967032967033</v>
      </c>
      <c r="U1049" s="2">
        <f ca="1">VLOOKUP(E1049,金币生产率!$A$2:$B$120,2,0)</f>
        <v>1226</v>
      </c>
      <c r="V1049" s="2">
        <f t="shared" si="492"/>
        <v>221.42857142857142</v>
      </c>
      <c r="W1049" s="45">
        <f t="shared" ca="1" si="476"/>
        <v>49</v>
      </c>
      <c r="X1049" s="48">
        <f t="shared" ca="1" si="477"/>
        <v>623</v>
      </c>
      <c r="Y1049">
        <f t="shared" si="470"/>
        <v>18</v>
      </c>
      <c r="Z1049">
        <f t="shared" ca="1" si="473"/>
        <v>20</v>
      </c>
      <c r="AA1049" t="str">
        <f t="shared" ca="1" si="493"/>
        <v>9311100.png</v>
      </c>
      <c r="AB1049">
        <f t="shared" si="494"/>
        <v>2</v>
      </c>
      <c r="AC1049">
        <f>VLOOKUP(C1049,技能辅助查询表,技能配置辅助表!$W$1,FALSE)</f>
        <v>5307</v>
      </c>
      <c r="AD1049">
        <f t="shared" ca="1" si="474"/>
        <v>139.41325836536103</v>
      </c>
      <c r="AE1049">
        <f>VLOOKUP(C1049,技能辅助查询表,技能配置辅助表!$U$1,FALSE)</f>
        <v>1</v>
      </c>
      <c r="AF1049">
        <f t="shared" ca="1" si="495"/>
        <v>9311127</v>
      </c>
      <c r="AG1049">
        <f t="shared" ca="1" si="496"/>
        <v>43.387755102040813</v>
      </c>
      <c r="AH1049">
        <f t="shared" ca="1" si="475"/>
        <v>384.66409481967975</v>
      </c>
      <c r="AI1049">
        <f ca="1">VLOOKUP(E1049,伤害参考系!$C$4:$E$104,3,FALSE)*$AN$12</f>
        <v>4355.6631973244148</v>
      </c>
      <c r="AJ1049">
        <f>VLOOKUP(C1049,技能辅助查询表,技能配置辅助表!$L$1,FALSE)</f>
        <v>13</v>
      </c>
      <c r="AK1049">
        <f>VLOOKUP(C1049,技能辅助查询表,技能配置辅助表!$AE$1,FALSE)</f>
        <v>66000474</v>
      </c>
    </row>
    <row r="1050" spans="1:37" x14ac:dyDescent="0.15">
      <c r="A1050" s="1">
        <f t="shared" ca="1" si="478"/>
        <v>9311128</v>
      </c>
      <c r="B1050" s="1" t="str">
        <f t="shared" ca="1" si="479"/>
        <v>激光轰击</v>
      </c>
      <c r="C1050" t="s">
        <v>171</v>
      </c>
      <c r="D1050">
        <f t="shared" si="480"/>
        <v>3</v>
      </c>
      <c r="E1050" s="42">
        <f t="shared" ca="1" si="471"/>
        <v>46</v>
      </c>
      <c r="F1050" t="str">
        <f t="shared" ca="1" si="472"/>
        <v>第28级，共造成283.4%点伤害</v>
      </c>
      <c r="G1050">
        <f t="shared" ca="1" si="481"/>
        <v>1</v>
      </c>
      <c r="H1050">
        <f t="shared" si="482"/>
        <v>1</v>
      </c>
      <c r="I1050" s="44">
        <f t="shared" ca="1" si="483"/>
        <v>28</v>
      </c>
      <c r="J1050">
        <f t="shared" si="484"/>
        <v>1</v>
      </c>
      <c r="K1050" s="36">
        <f t="shared" ca="1" si="485"/>
        <v>21.802197802197803</v>
      </c>
      <c r="L1050" s="10">
        <f ca="1">AH1050*VLOOKUP(C1050,技能辅助查询表,技能配置辅助表!$T$1,FALSE)</f>
        <v>0</v>
      </c>
      <c r="M1050">
        <f t="shared" ca="1" si="469"/>
        <v>7200</v>
      </c>
      <c r="N1050" s="33">
        <f ca="1">CHOOSE(1,W1050*U1050,X1050*'[1]0、经济设定'!$C$18)</f>
        <v>70148</v>
      </c>
      <c r="O1050">
        <f t="shared" si="486"/>
        <v>1</v>
      </c>
      <c r="P1050">
        <f t="shared" si="487"/>
        <v>13</v>
      </c>
      <c r="Q1050">
        <f t="shared" si="488"/>
        <v>1</v>
      </c>
      <c r="R1050" s="2">
        <f t="shared" si="489"/>
        <v>2</v>
      </c>
      <c r="S1050" s="2">
        <f t="shared" si="490"/>
        <v>50</v>
      </c>
      <c r="T1050" s="2">
        <f t="shared" si="491"/>
        <v>17.032967032967033</v>
      </c>
      <c r="U1050" s="2">
        <f ca="1">VLOOKUP(E1050,金币生产率!$A$2:$B$120,2,0)</f>
        <v>1349</v>
      </c>
      <c r="V1050" s="2">
        <f t="shared" si="492"/>
        <v>221.42857142857142</v>
      </c>
      <c r="W1050" s="45">
        <f t="shared" ca="1" si="476"/>
        <v>52</v>
      </c>
      <c r="X1050" s="48">
        <f t="shared" ca="1" si="477"/>
        <v>675</v>
      </c>
      <c r="Y1050">
        <f t="shared" si="470"/>
        <v>18</v>
      </c>
      <c r="Z1050">
        <f t="shared" ca="1" si="473"/>
        <v>21</v>
      </c>
      <c r="AA1050" t="str">
        <f t="shared" ca="1" si="493"/>
        <v>9311100.png</v>
      </c>
      <c r="AB1050">
        <f t="shared" si="494"/>
        <v>2</v>
      </c>
      <c r="AC1050">
        <f>VLOOKUP(C1050,技能辅助查询表,技能配置辅助表!$W$1,FALSE)</f>
        <v>5307</v>
      </c>
      <c r="AD1050">
        <f t="shared" ca="1" si="474"/>
        <v>160.65957882933509</v>
      </c>
      <c r="AE1050">
        <f>VLOOKUP(C1050,技能辅助查询表,技能配置辅助表!$U$1,FALSE)</f>
        <v>1</v>
      </c>
      <c r="AF1050">
        <f t="shared" ca="1" si="495"/>
        <v>9311128</v>
      </c>
      <c r="AG1050">
        <f t="shared" ca="1" si="496"/>
        <v>44.979591836734691</v>
      </c>
      <c r="AH1050">
        <f t="shared" ca="1" si="475"/>
        <v>437.93498902077317</v>
      </c>
      <c r="AI1050">
        <f ca="1">VLOOKUP(E1050,伤害参考系!$C$4:$E$104,3,FALSE)*$AN$12</f>
        <v>4911.1188561872923</v>
      </c>
      <c r="AJ1050">
        <f>VLOOKUP(C1050,技能辅助查询表,技能配置辅助表!$L$1,FALSE)</f>
        <v>13</v>
      </c>
      <c r="AK1050">
        <f>VLOOKUP(C1050,技能辅助查询表,技能配置辅助表!$AE$1,FALSE)</f>
        <v>66000474</v>
      </c>
    </row>
    <row r="1051" spans="1:37" x14ac:dyDescent="0.15">
      <c r="A1051" s="1">
        <f t="shared" ca="1" si="478"/>
        <v>9311129</v>
      </c>
      <c r="B1051" s="1" t="str">
        <f t="shared" ca="1" si="479"/>
        <v>激光轰击</v>
      </c>
      <c r="C1051" t="s">
        <v>171</v>
      </c>
      <c r="D1051">
        <f t="shared" si="480"/>
        <v>3</v>
      </c>
      <c r="E1051" s="42">
        <f t="shared" ca="1" si="471"/>
        <v>47</v>
      </c>
      <c r="F1051" t="str">
        <f t="shared" ca="1" si="472"/>
        <v>第29级，共造成285.6%点伤害</v>
      </c>
      <c r="G1051">
        <f t="shared" ca="1" si="481"/>
        <v>1</v>
      </c>
      <c r="H1051">
        <f t="shared" si="482"/>
        <v>1</v>
      </c>
      <c r="I1051" s="44">
        <f t="shared" ca="1" si="483"/>
        <v>29</v>
      </c>
      <c r="J1051">
        <f t="shared" si="484"/>
        <v>1</v>
      </c>
      <c r="K1051" s="36">
        <f t="shared" ca="1" si="485"/>
        <v>21.972527472527474</v>
      </c>
      <c r="L1051" s="10">
        <f ca="1">AH1051*VLOOKUP(C1051,技能辅助查询表,技能配置辅助表!$T$1,FALSE)</f>
        <v>0</v>
      </c>
      <c r="M1051">
        <f t="shared" ca="1" si="469"/>
        <v>7100</v>
      </c>
      <c r="N1051" s="33">
        <f ca="1">CHOOSE(1,W1051*U1051,X1051*'[1]0、经济设定'!$C$18)</f>
        <v>79072</v>
      </c>
      <c r="O1051">
        <f t="shared" si="486"/>
        <v>1</v>
      </c>
      <c r="P1051">
        <f t="shared" si="487"/>
        <v>13</v>
      </c>
      <c r="Q1051">
        <f t="shared" si="488"/>
        <v>1</v>
      </c>
      <c r="R1051" s="2">
        <f t="shared" si="489"/>
        <v>2</v>
      </c>
      <c r="S1051" s="2">
        <f t="shared" si="490"/>
        <v>50</v>
      </c>
      <c r="T1051" s="2">
        <f t="shared" si="491"/>
        <v>17.032967032967033</v>
      </c>
      <c r="U1051" s="2">
        <f ca="1">VLOOKUP(E1051,金币生产率!$A$2:$B$120,2,0)</f>
        <v>1412</v>
      </c>
      <c r="V1051" s="2">
        <f t="shared" si="492"/>
        <v>221.42857142857142</v>
      </c>
      <c r="W1051" s="45">
        <f t="shared" ca="1" si="476"/>
        <v>56</v>
      </c>
      <c r="X1051" s="48">
        <f t="shared" ca="1" si="477"/>
        <v>731</v>
      </c>
      <c r="Y1051">
        <f t="shared" si="470"/>
        <v>18</v>
      </c>
      <c r="Z1051">
        <f t="shared" ca="1" si="473"/>
        <v>23</v>
      </c>
      <c r="AA1051" t="str">
        <f t="shared" ca="1" si="493"/>
        <v>9311100.png</v>
      </c>
      <c r="AB1051">
        <f t="shared" si="494"/>
        <v>2</v>
      </c>
      <c r="AC1051">
        <f>VLOOKUP(C1051,技能辅助查询表,技能配置辅助表!$W$1,FALSE)</f>
        <v>5307</v>
      </c>
      <c r="AD1051">
        <f t="shared" ca="1" si="474"/>
        <v>185.11681885593424</v>
      </c>
      <c r="AE1051">
        <f>VLOOKUP(C1051,技能辅助查询表,技能配置辅助表!$U$1,FALSE)</f>
        <v>1</v>
      </c>
      <c r="AF1051">
        <f t="shared" ca="1" si="495"/>
        <v>9311129</v>
      </c>
      <c r="AG1051">
        <f t="shared" ca="1" si="496"/>
        <v>46.571428571428569</v>
      </c>
      <c r="AH1051">
        <f t="shared" ca="1" si="475"/>
        <v>498.5831981498805</v>
      </c>
      <c r="AI1051">
        <f ca="1">VLOOKUP(E1051,伤害参考系!$C$4:$E$104,3,FALSE)*$AN$12</f>
        <v>5201.3419816053529</v>
      </c>
      <c r="AJ1051">
        <f>VLOOKUP(C1051,技能辅助查询表,技能配置辅助表!$L$1,FALSE)</f>
        <v>13</v>
      </c>
      <c r="AK1051">
        <f>VLOOKUP(C1051,技能辅助查询表,技能配置辅助表!$AE$1,FALSE)</f>
        <v>66000474</v>
      </c>
    </row>
    <row r="1052" spans="1:37" x14ac:dyDescent="0.15">
      <c r="A1052" s="1">
        <f t="shared" ca="1" si="478"/>
        <v>9311130</v>
      </c>
      <c r="B1052" s="1" t="str">
        <f t="shared" ca="1" si="479"/>
        <v>激光轰击</v>
      </c>
      <c r="C1052" t="s">
        <v>171</v>
      </c>
      <c r="D1052">
        <f t="shared" si="480"/>
        <v>3</v>
      </c>
      <c r="E1052" s="42">
        <f t="shared" ca="1" si="471"/>
        <v>49</v>
      </c>
      <c r="F1052" t="str">
        <f t="shared" ca="1" si="472"/>
        <v>第30级，共造成287.9%点伤害</v>
      </c>
      <c r="G1052">
        <f t="shared" ca="1" si="481"/>
        <v>1</v>
      </c>
      <c r="H1052">
        <f t="shared" si="482"/>
        <v>1</v>
      </c>
      <c r="I1052" s="44">
        <f t="shared" ca="1" si="483"/>
        <v>30</v>
      </c>
      <c r="J1052">
        <f t="shared" si="484"/>
        <v>1</v>
      </c>
      <c r="K1052" s="36">
        <f t="shared" ca="1" si="485"/>
        <v>22.142857142857142</v>
      </c>
      <c r="L1052" s="10">
        <f ca="1">AH1052*VLOOKUP(C1052,技能辅助查询表,技能配置辅助表!$T$1,FALSE)</f>
        <v>0</v>
      </c>
      <c r="M1052">
        <f t="shared" ca="1" si="469"/>
        <v>7000</v>
      </c>
      <c r="N1052" s="33">
        <f ca="1">CHOOSE(1,W1052*U1052,X1052*'[1]0、经济设定'!$C$18)</f>
        <v>92580</v>
      </c>
      <c r="O1052">
        <f t="shared" si="486"/>
        <v>1</v>
      </c>
      <c r="P1052">
        <f t="shared" si="487"/>
        <v>13</v>
      </c>
      <c r="Q1052">
        <f t="shared" si="488"/>
        <v>1</v>
      </c>
      <c r="R1052" s="2">
        <f t="shared" si="489"/>
        <v>2</v>
      </c>
      <c r="S1052" s="2">
        <f t="shared" si="490"/>
        <v>50</v>
      </c>
      <c r="T1052" s="2">
        <f t="shared" si="491"/>
        <v>17.032967032967033</v>
      </c>
      <c r="U1052" s="2">
        <f ca="1">VLOOKUP(E1052,金币生产率!$A$2:$B$120,2,0)</f>
        <v>1543</v>
      </c>
      <c r="V1052" s="2">
        <f t="shared" si="492"/>
        <v>221.42857142857142</v>
      </c>
      <c r="W1052" s="45">
        <f t="shared" ca="1" si="476"/>
        <v>60</v>
      </c>
      <c r="X1052" s="48">
        <f t="shared" ca="1" si="477"/>
        <v>791</v>
      </c>
      <c r="Y1052">
        <f t="shared" si="470"/>
        <v>18</v>
      </c>
      <c r="Z1052">
        <f t="shared" ca="1" si="473"/>
        <v>24</v>
      </c>
      <c r="AA1052" t="str">
        <f t="shared" ca="1" si="493"/>
        <v>9311100.png</v>
      </c>
      <c r="AB1052">
        <f t="shared" si="494"/>
        <v>2</v>
      </c>
      <c r="AC1052">
        <f>VLOOKUP(C1052,技能辅助查询表,技能配置辅助表!$W$1,FALSE)</f>
        <v>5307</v>
      </c>
      <c r="AD1052">
        <f t="shared" ca="1" si="474"/>
        <v>213.26684383886067</v>
      </c>
      <c r="AE1052">
        <f>VLOOKUP(C1052,技能辅助查询表,技能配置辅助表!$U$1,FALSE)</f>
        <v>1</v>
      </c>
      <c r="AF1052">
        <f t="shared" ca="1" si="495"/>
        <v>9311130</v>
      </c>
      <c r="AG1052">
        <f t="shared" ca="1" si="496"/>
        <v>48.163265306122447</v>
      </c>
      <c r="AH1052">
        <f t="shared" ca="1" si="475"/>
        <v>567.63038284107404</v>
      </c>
      <c r="AI1052">
        <f ca="1">VLOOKUP(E1052,伤害参考系!$C$4:$E$104,3,FALSE)*$AN$12</f>
        <v>5806.7788244147177</v>
      </c>
      <c r="AJ1052">
        <f>VLOOKUP(C1052,技能辅助查询表,技能配置辅助表!$L$1,FALSE)</f>
        <v>13</v>
      </c>
      <c r="AK1052">
        <f>VLOOKUP(C1052,技能辅助查询表,技能配置辅助表!$AE$1,FALSE)</f>
        <v>66000474</v>
      </c>
    </row>
    <row r="1053" spans="1:37" x14ac:dyDescent="0.15">
      <c r="A1053" s="1">
        <f t="shared" ca="1" si="478"/>
        <v>9311131</v>
      </c>
      <c r="B1053" s="1" t="str">
        <f t="shared" ca="1" si="479"/>
        <v>激光轰击</v>
      </c>
      <c r="C1053" t="s">
        <v>171</v>
      </c>
      <c r="D1053">
        <f t="shared" si="480"/>
        <v>3</v>
      </c>
      <c r="E1053" s="42">
        <f t="shared" ca="1" si="471"/>
        <v>50</v>
      </c>
      <c r="F1053" t="str">
        <f t="shared" ca="1" si="472"/>
        <v>第31级，共造成290.1%点伤害</v>
      </c>
      <c r="G1053">
        <f t="shared" ca="1" si="481"/>
        <v>1</v>
      </c>
      <c r="H1053">
        <f t="shared" si="482"/>
        <v>1</v>
      </c>
      <c r="I1053" s="44">
        <f t="shared" ca="1" si="483"/>
        <v>31</v>
      </c>
      <c r="J1053">
        <f t="shared" si="484"/>
        <v>1</v>
      </c>
      <c r="K1053" s="36">
        <f t="shared" ca="1" si="485"/>
        <v>22.313186813186814</v>
      </c>
      <c r="L1053" s="10">
        <f ca="1">AH1053*VLOOKUP(C1053,技能辅助查询表,技能配置辅助表!$T$1,FALSE)</f>
        <v>0</v>
      </c>
      <c r="M1053">
        <f t="shared" ca="1" si="469"/>
        <v>6900</v>
      </c>
      <c r="N1053" s="33">
        <f ca="1">CHOOSE(1,W1053*U1053,X1053*'[1]0、经济设定'!$C$18)</f>
        <v>103040</v>
      </c>
      <c r="O1053">
        <f t="shared" si="486"/>
        <v>1</v>
      </c>
      <c r="P1053">
        <f t="shared" si="487"/>
        <v>13</v>
      </c>
      <c r="Q1053">
        <f t="shared" si="488"/>
        <v>1</v>
      </c>
      <c r="R1053" s="2">
        <f t="shared" si="489"/>
        <v>2</v>
      </c>
      <c r="S1053" s="2">
        <f t="shared" si="490"/>
        <v>50</v>
      </c>
      <c r="T1053" s="2">
        <f t="shared" si="491"/>
        <v>17.032967032967033</v>
      </c>
      <c r="U1053" s="2">
        <f ca="1">VLOOKUP(E1053,金币生产率!$A$2:$B$120,2,0)</f>
        <v>1610</v>
      </c>
      <c r="V1053" s="2">
        <f t="shared" si="492"/>
        <v>221.42857142857142</v>
      </c>
      <c r="W1053" s="45">
        <f t="shared" ca="1" si="476"/>
        <v>64</v>
      </c>
      <c r="X1053" s="48">
        <f t="shared" ca="1" si="477"/>
        <v>855</v>
      </c>
      <c r="Y1053">
        <f t="shared" si="470"/>
        <v>18</v>
      </c>
      <c r="Z1053">
        <f t="shared" ca="1" si="473"/>
        <v>26</v>
      </c>
      <c r="AA1053" t="str">
        <f t="shared" ca="1" si="493"/>
        <v>9311100.png</v>
      </c>
      <c r="AB1053">
        <f t="shared" si="494"/>
        <v>2</v>
      </c>
      <c r="AC1053">
        <f>VLOOKUP(C1053,技能辅助查询表,技能配置辅助表!$W$1,FALSE)</f>
        <v>5307</v>
      </c>
      <c r="AD1053">
        <f t="shared" ca="1" si="474"/>
        <v>245.66340224165486</v>
      </c>
      <c r="AE1053">
        <f>VLOOKUP(C1053,技能辅助查询表,技能配置辅助表!$U$1,FALSE)</f>
        <v>1</v>
      </c>
      <c r="AF1053">
        <f t="shared" ca="1" si="495"/>
        <v>9311131</v>
      </c>
      <c r="AG1053">
        <f t="shared" ca="1" si="496"/>
        <v>49.755102040816325</v>
      </c>
      <c r="AH1053">
        <f t="shared" ca="1" si="475"/>
        <v>646.23969022607446</v>
      </c>
      <c r="AI1053">
        <f ca="1">VLOOKUP(E1053,伤害参考系!$C$4:$E$104,3,FALSE)*$AN$12</f>
        <v>6162.2688085284308</v>
      </c>
      <c r="AJ1053">
        <f>VLOOKUP(C1053,技能辅助查询表,技能配置辅助表!$L$1,FALSE)</f>
        <v>13</v>
      </c>
      <c r="AK1053">
        <f>VLOOKUP(C1053,技能辅助查询表,技能配置辅助表!$AE$1,FALSE)</f>
        <v>66000474</v>
      </c>
    </row>
    <row r="1054" spans="1:37" x14ac:dyDescent="0.15">
      <c r="A1054" s="1">
        <f t="shared" ca="1" si="478"/>
        <v>9311132</v>
      </c>
      <c r="B1054" s="1" t="str">
        <f t="shared" ca="1" si="479"/>
        <v>激光轰击</v>
      </c>
      <c r="C1054" t="s">
        <v>171</v>
      </c>
      <c r="D1054">
        <f t="shared" si="480"/>
        <v>3</v>
      </c>
      <c r="E1054" s="42">
        <f t="shared" ca="1" si="471"/>
        <v>52</v>
      </c>
      <c r="F1054" t="str">
        <f t="shared" ca="1" si="472"/>
        <v>第32级，共造成292.3%点伤害</v>
      </c>
      <c r="G1054">
        <f t="shared" ca="1" si="481"/>
        <v>1</v>
      </c>
      <c r="H1054">
        <f t="shared" si="482"/>
        <v>1</v>
      </c>
      <c r="I1054" s="44">
        <f t="shared" ca="1" si="483"/>
        <v>32</v>
      </c>
      <c r="J1054">
        <f t="shared" si="484"/>
        <v>1</v>
      </c>
      <c r="K1054" s="36">
        <f t="shared" ca="1" si="485"/>
        <v>22.483516483516482</v>
      </c>
      <c r="L1054" s="10">
        <f ca="1">AH1054*VLOOKUP(C1054,技能辅助查询表,技能配置辅助表!$T$1,FALSE)</f>
        <v>0</v>
      </c>
      <c r="M1054">
        <f t="shared" ca="1" si="469"/>
        <v>6800</v>
      </c>
      <c r="N1054" s="33">
        <f ca="1">CHOOSE(1,W1054*U1054,X1054*'[1]0、经济设定'!$C$18)</f>
        <v>120681</v>
      </c>
      <c r="O1054">
        <f t="shared" si="486"/>
        <v>1</v>
      </c>
      <c r="P1054">
        <f t="shared" si="487"/>
        <v>13</v>
      </c>
      <c r="Q1054">
        <f t="shared" si="488"/>
        <v>1</v>
      </c>
      <c r="R1054" s="2">
        <f t="shared" si="489"/>
        <v>2</v>
      </c>
      <c r="S1054" s="2">
        <f t="shared" si="490"/>
        <v>50</v>
      </c>
      <c r="T1054" s="2">
        <f t="shared" si="491"/>
        <v>17.032967032967033</v>
      </c>
      <c r="U1054" s="2">
        <f ca="1">VLOOKUP(E1054,金币生产率!$A$2:$B$120,2,0)</f>
        <v>1749</v>
      </c>
      <c r="V1054" s="2">
        <f t="shared" si="492"/>
        <v>221.42857142857142</v>
      </c>
      <c r="W1054" s="45">
        <f t="shared" ca="1" si="476"/>
        <v>69</v>
      </c>
      <c r="X1054" s="48">
        <f t="shared" ca="1" si="477"/>
        <v>924</v>
      </c>
      <c r="Y1054">
        <f t="shared" si="470"/>
        <v>18</v>
      </c>
      <c r="Z1054">
        <f t="shared" ca="1" si="473"/>
        <v>28</v>
      </c>
      <c r="AA1054" t="str">
        <f t="shared" ca="1" si="493"/>
        <v>9311100.png</v>
      </c>
      <c r="AB1054">
        <f t="shared" si="494"/>
        <v>2</v>
      </c>
      <c r="AC1054">
        <f>VLOOKUP(C1054,技能辅助查询表,技能配置辅助表!$W$1,FALSE)</f>
        <v>5307</v>
      </c>
      <c r="AD1054">
        <f t="shared" ca="1" si="474"/>
        <v>282.9427938095439</v>
      </c>
      <c r="AE1054">
        <f>VLOOKUP(C1054,技能辅助查询表,技能配置辅助表!$U$1,FALSE)</f>
        <v>1</v>
      </c>
      <c r="AF1054">
        <f t="shared" ca="1" si="495"/>
        <v>9311132</v>
      </c>
      <c r="AG1054">
        <f t="shared" ca="1" si="496"/>
        <v>51.346938775510203</v>
      </c>
      <c r="AH1054">
        <f t="shared" ca="1" si="475"/>
        <v>735.73534794457942</v>
      </c>
      <c r="AI1054">
        <f ca="1">VLOOKUP(E1054,伤害参考系!$C$4:$E$104,3,FALSE)*$AN$12</f>
        <v>6904.487016722409</v>
      </c>
      <c r="AJ1054">
        <f>VLOOKUP(C1054,技能辅助查询表,技能配置辅助表!$L$1,FALSE)</f>
        <v>13</v>
      </c>
      <c r="AK1054">
        <f>VLOOKUP(C1054,技能辅助查询表,技能配置辅助表!$AE$1,FALSE)</f>
        <v>66000474</v>
      </c>
    </row>
    <row r="1055" spans="1:37" x14ac:dyDescent="0.15">
      <c r="A1055" s="1">
        <f t="shared" ca="1" si="478"/>
        <v>9311133</v>
      </c>
      <c r="B1055" s="1" t="str">
        <f t="shared" ca="1" si="479"/>
        <v>激光轰击</v>
      </c>
      <c r="C1055" t="s">
        <v>171</v>
      </c>
      <c r="D1055">
        <f t="shared" si="480"/>
        <v>3</v>
      </c>
      <c r="E1055" s="42">
        <f t="shared" ca="1" si="471"/>
        <v>53</v>
      </c>
      <c r="F1055" t="str">
        <f t="shared" ca="1" si="472"/>
        <v>第33级，共造成294.5%点伤害</v>
      </c>
      <c r="G1055">
        <f t="shared" ca="1" si="481"/>
        <v>1</v>
      </c>
      <c r="H1055">
        <f t="shared" si="482"/>
        <v>1</v>
      </c>
      <c r="I1055" s="44">
        <f t="shared" ca="1" si="483"/>
        <v>33</v>
      </c>
      <c r="J1055">
        <f t="shared" si="484"/>
        <v>1</v>
      </c>
      <c r="K1055" s="36">
        <f t="shared" ca="1" si="485"/>
        <v>22.653846153846153</v>
      </c>
      <c r="L1055" s="10">
        <f ca="1">AH1055*VLOOKUP(C1055,技能辅助查询表,技能配置辅助表!$T$1,FALSE)</f>
        <v>0</v>
      </c>
      <c r="M1055">
        <f t="shared" ca="1" si="469"/>
        <v>6700</v>
      </c>
      <c r="N1055" s="33">
        <f ca="1">CHOOSE(1,W1055*U1055,X1055*'[1]0、经济设定'!$C$18)</f>
        <v>134680</v>
      </c>
      <c r="O1055">
        <f t="shared" si="486"/>
        <v>1</v>
      </c>
      <c r="P1055">
        <f t="shared" si="487"/>
        <v>13</v>
      </c>
      <c r="Q1055">
        <f t="shared" si="488"/>
        <v>1</v>
      </c>
      <c r="R1055" s="2">
        <f t="shared" si="489"/>
        <v>2</v>
      </c>
      <c r="S1055" s="2">
        <f t="shared" si="490"/>
        <v>50</v>
      </c>
      <c r="T1055" s="2">
        <f t="shared" si="491"/>
        <v>17.032967032967033</v>
      </c>
      <c r="U1055" s="2">
        <f ca="1">VLOOKUP(E1055,金币生产率!$A$2:$B$120,2,0)</f>
        <v>1820</v>
      </c>
      <c r="V1055" s="2">
        <f t="shared" si="492"/>
        <v>221.42857142857142</v>
      </c>
      <c r="W1055" s="45">
        <f t="shared" ca="1" si="476"/>
        <v>74</v>
      </c>
      <c r="X1055" s="48">
        <f t="shared" ca="1" si="477"/>
        <v>998</v>
      </c>
      <c r="Y1055">
        <f t="shared" si="470"/>
        <v>18</v>
      </c>
      <c r="Z1055">
        <f t="shared" ca="1" si="473"/>
        <v>30</v>
      </c>
      <c r="AA1055" t="str">
        <f t="shared" ca="1" si="493"/>
        <v>9311100.png</v>
      </c>
      <c r="AB1055">
        <f t="shared" si="494"/>
        <v>2</v>
      </c>
      <c r="AC1055">
        <f>VLOOKUP(C1055,技能辅助查询表,技能配置辅助表!$W$1,FALSE)</f>
        <v>5307</v>
      </c>
      <c r="AD1055">
        <f t="shared" ca="1" si="474"/>
        <v>325.83611397811683</v>
      </c>
      <c r="AE1055">
        <f>VLOOKUP(C1055,技能辅助查询表,技能配置辅助表!$U$1,FALSE)</f>
        <v>1</v>
      </c>
      <c r="AF1055">
        <f t="shared" ca="1" si="495"/>
        <v>9311133</v>
      </c>
      <c r="AG1055">
        <f t="shared" ca="1" si="496"/>
        <v>52.938775510204081</v>
      </c>
      <c r="AH1055">
        <f t="shared" ca="1" si="475"/>
        <v>837.62497166611001</v>
      </c>
      <c r="AI1055">
        <f ca="1">VLOOKUP(E1055,伤害参考系!$C$4:$E$104,3,FALSE)*$AN$12</f>
        <v>7291.2152408026777</v>
      </c>
      <c r="AJ1055">
        <f>VLOOKUP(C1055,技能辅助查询表,技能配置辅助表!$L$1,FALSE)</f>
        <v>13</v>
      </c>
      <c r="AK1055">
        <f>VLOOKUP(C1055,技能辅助查询表,技能配置辅助表!$AE$1,FALSE)</f>
        <v>66000474</v>
      </c>
    </row>
    <row r="1056" spans="1:37" x14ac:dyDescent="0.15">
      <c r="A1056" s="1">
        <f t="shared" ca="1" si="478"/>
        <v>9311134</v>
      </c>
      <c r="B1056" s="1" t="str">
        <f t="shared" ca="1" si="479"/>
        <v>激光轰击</v>
      </c>
      <c r="C1056" t="s">
        <v>171</v>
      </c>
      <c r="D1056">
        <f t="shared" si="480"/>
        <v>3</v>
      </c>
      <c r="E1056" s="42">
        <f t="shared" ca="1" si="471"/>
        <v>55</v>
      </c>
      <c r="F1056" t="str">
        <f t="shared" ca="1" si="472"/>
        <v>第34级，共造成296.7%点伤害</v>
      </c>
      <c r="G1056">
        <f t="shared" ca="1" si="481"/>
        <v>1</v>
      </c>
      <c r="H1056">
        <f t="shared" si="482"/>
        <v>1</v>
      </c>
      <c r="I1056" s="44">
        <f t="shared" ca="1" si="483"/>
        <v>34</v>
      </c>
      <c r="J1056">
        <f t="shared" si="484"/>
        <v>1</v>
      </c>
      <c r="K1056" s="36">
        <f t="shared" ca="1" si="485"/>
        <v>22.824175824175825</v>
      </c>
      <c r="L1056" s="39">
        <f ca="1">AH1056*VLOOKUP(C1056,技能辅助查询表,技能配置辅助表!$T$1,FALSE)</f>
        <v>0</v>
      </c>
      <c r="M1056">
        <f t="shared" ca="1" si="469"/>
        <v>6600</v>
      </c>
      <c r="N1056" s="33">
        <f ca="1">CHOOSE(1,W1056*U1056,X1056*'[1]0、经济设定'!$C$18)</f>
        <v>155393</v>
      </c>
      <c r="O1056">
        <f t="shared" si="486"/>
        <v>1</v>
      </c>
      <c r="P1056">
        <f t="shared" si="487"/>
        <v>13</v>
      </c>
      <c r="Q1056">
        <f t="shared" si="488"/>
        <v>1</v>
      </c>
      <c r="R1056" s="2">
        <f t="shared" si="489"/>
        <v>2</v>
      </c>
      <c r="S1056" s="2">
        <f t="shared" si="490"/>
        <v>50</v>
      </c>
      <c r="T1056" s="2">
        <f t="shared" si="491"/>
        <v>17.032967032967033</v>
      </c>
      <c r="U1056" s="2">
        <f ca="1">VLOOKUP(E1056,金币生产率!$A$2:$B$120,2,0)</f>
        <v>1967</v>
      </c>
      <c r="V1056" s="2">
        <f t="shared" si="492"/>
        <v>221.42857142857142</v>
      </c>
      <c r="W1056" s="45">
        <f t="shared" ca="1" si="476"/>
        <v>79</v>
      </c>
      <c r="X1056" s="48">
        <f t="shared" ca="1" si="477"/>
        <v>1077</v>
      </c>
      <c r="Y1056">
        <f t="shared" si="470"/>
        <v>18</v>
      </c>
      <c r="Z1056">
        <f t="shared" ca="1" si="473"/>
        <v>32</v>
      </c>
      <c r="AA1056" t="str">
        <f t="shared" ca="1" si="493"/>
        <v>9311100.png</v>
      </c>
      <c r="AB1056">
        <f t="shared" si="494"/>
        <v>2</v>
      </c>
      <c r="AC1056">
        <f>VLOOKUP(C1056,技能辅助查询表,技能配置辅助表!$W$1,FALSE)</f>
        <v>5307</v>
      </c>
      <c r="AD1056">
        <f t="shared" ca="1" si="474"/>
        <v>375.18330644242917</v>
      </c>
      <c r="AE1056">
        <f>VLOOKUP(C1056,技能辅助查询表,技能配置辅助表!$U$1,FALSE)</f>
        <v>1</v>
      </c>
      <c r="AF1056">
        <f t="shared" ca="1" si="495"/>
        <v>9311134</v>
      </c>
      <c r="AG1056">
        <f t="shared" ca="1" si="496"/>
        <v>54.530612244897959</v>
      </c>
      <c r="AH1056">
        <f t="shared" ca="1" si="475"/>
        <v>953.62496190886134</v>
      </c>
      <c r="AI1056">
        <f ca="1">VLOOKUP(E1056,伤害参考系!$C$4:$E$104,3,FALSE)*$AN$12</f>
        <v>8095.9099289297656</v>
      </c>
      <c r="AJ1056">
        <f>VLOOKUP(C1056,技能辅助查询表,技能配置辅助表!$L$1,FALSE)</f>
        <v>13</v>
      </c>
      <c r="AK1056">
        <f>VLOOKUP(C1056,技能辅助查询表,技能配置辅助表!$AE$1,FALSE)</f>
        <v>66000474</v>
      </c>
    </row>
    <row r="1057" spans="1:37" x14ac:dyDescent="0.15">
      <c r="A1057" s="1">
        <f t="shared" ca="1" si="478"/>
        <v>9311135</v>
      </c>
      <c r="B1057" s="1" t="str">
        <f t="shared" ca="1" si="479"/>
        <v>激光轰击</v>
      </c>
      <c r="C1057" t="s">
        <v>171</v>
      </c>
      <c r="D1057">
        <f t="shared" si="480"/>
        <v>3</v>
      </c>
      <c r="E1057" s="42">
        <f t="shared" ca="1" si="471"/>
        <v>57</v>
      </c>
      <c r="F1057" t="str">
        <f t="shared" ca="1" si="472"/>
        <v>第35级，共造成298.9%点伤害</v>
      </c>
      <c r="G1057">
        <f t="shared" ca="1" si="481"/>
        <v>1</v>
      </c>
      <c r="H1057">
        <f t="shared" si="482"/>
        <v>1</v>
      </c>
      <c r="I1057" s="44">
        <f t="shared" ca="1" si="483"/>
        <v>35</v>
      </c>
      <c r="J1057">
        <f t="shared" si="484"/>
        <v>1</v>
      </c>
      <c r="K1057" s="36">
        <f t="shared" ca="1" si="485"/>
        <v>22.994505494505496</v>
      </c>
      <c r="L1057" s="10">
        <f ca="1">AH1057*VLOOKUP(C1057,技能辅助查询表,技能配置辅助表!$T$1,FALSE)</f>
        <v>0</v>
      </c>
      <c r="M1057">
        <f t="shared" ca="1" si="469"/>
        <v>6500</v>
      </c>
      <c r="N1057" s="33">
        <f ca="1">CHOOSE(1,W1057*U1057,X1057*'[1]0、经济设定'!$C$18)</f>
        <v>177996</v>
      </c>
      <c r="O1057">
        <f t="shared" si="486"/>
        <v>1</v>
      </c>
      <c r="P1057">
        <f t="shared" si="487"/>
        <v>13</v>
      </c>
      <c r="Q1057">
        <f t="shared" si="488"/>
        <v>1</v>
      </c>
      <c r="R1057" s="2">
        <f t="shared" si="489"/>
        <v>2</v>
      </c>
      <c r="S1057" s="2">
        <f t="shared" si="490"/>
        <v>50</v>
      </c>
      <c r="T1057" s="2">
        <f t="shared" si="491"/>
        <v>17.032967032967033</v>
      </c>
      <c r="U1057" s="2">
        <f ca="1">VLOOKUP(E1057,金币生产率!$A$2:$B$120,2,0)</f>
        <v>2119</v>
      </c>
      <c r="V1057" s="2">
        <f t="shared" si="492"/>
        <v>221.42857142857142</v>
      </c>
      <c r="W1057" s="45">
        <f t="shared" ca="1" si="476"/>
        <v>84</v>
      </c>
      <c r="X1057" s="48">
        <f t="shared" ca="1" si="477"/>
        <v>1161</v>
      </c>
      <c r="Y1057">
        <f t="shared" si="470"/>
        <v>18</v>
      </c>
      <c r="Z1057">
        <f t="shared" ca="1" si="473"/>
        <v>34</v>
      </c>
      <c r="AA1057" t="str">
        <f t="shared" ca="1" si="493"/>
        <v>9311100.png</v>
      </c>
      <c r="AB1057">
        <f t="shared" si="494"/>
        <v>2</v>
      </c>
      <c r="AC1057">
        <f>VLOOKUP(C1057,技能辅助查询表,技能配置辅助表!$W$1,FALSE)</f>
        <v>5307</v>
      </c>
      <c r="AD1057">
        <f t="shared" ca="1" si="474"/>
        <v>431.94928986869928</v>
      </c>
      <c r="AE1057">
        <f>VLOOKUP(C1057,技能辅助查询表,技能配置辅助表!$U$1,FALSE)</f>
        <v>1</v>
      </c>
      <c r="AF1057">
        <f t="shared" ca="1" si="495"/>
        <v>9311135</v>
      </c>
      <c r="AG1057">
        <f t="shared" ca="1" si="496"/>
        <v>56.122448979591837</v>
      </c>
      <c r="AH1057">
        <f t="shared" ca="1" si="475"/>
        <v>1085.689417982368</v>
      </c>
      <c r="AI1057">
        <f ca="1">VLOOKUP(E1057,伤害参考系!$C$4:$E$104,3,FALSE)*$AN$12</f>
        <v>8942.2556036789319</v>
      </c>
      <c r="AJ1057">
        <f>VLOOKUP(C1057,技能辅助查询表,技能配置辅助表!$L$1,FALSE)</f>
        <v>13</v>
      </c>
      <c r="AK1057">
        <f>VLOOKUP(C1057,技能辅助查询表,技能配置辅助表!$AE$1,FALSE)</f>
        <v>66000474</v>
      </c>
    </row>
    <row r="1058" spans="1:37" x14ac:dyDescent="0.15">
      <c r="A1058" s="1">
        <f t="shared" ca="1" si="478"/>
        <v>9311136</v>
      </c>
      <c r="B1058" s="1" t="str">
        <f t="shared" ca="1" si="479"/>
        <v>激光轰击</v>
      </c>
      <c r="C1058" t="s">
        <v>171</v>
      </c>
      <c r="D1058">
        <f t="shared" si="480"/>
        <v>3</v>
      </c>
      <c r="E1058" s="42">
        <f t="shared" ca="1" si="471"/>
        <v>58</v>
      </c>
      <c r="F1058" t="str">
        <f t="shared" ca="1" si="472"/>
        <v>第36级，共造成301.1%点伤害</v>
      </c>
      <c r="G1058">
        <f t="shared" ca="1" si="481"/>
        <v>1</v>
      </c>
      <c r="H1058">
        <f t="shared" si="482"/>
        <v>1</v>
      </c>
      <c r="I1058" s="44">
        <f t="shared" ca="1" si="483"/>
        <v>36</v>
      </c>
      <c r="J1058">
        <f t="shared" si="484"/>
        <v>1</v>
      </c>
      <c r="K1058" s="36">
        <f t="shared" ca="1" si="485"/>
        <v>23.164835164835164</v>
      </c>
      <c r="L1058" s="10">
        <f ca="1">AH1058*VLOOKUP(C1058,技能辅助查询表,技能配置辅助表!$T$1,FALSE)</f>
        <v>0</v>
      </c>
      <c r="M1058">
        <f t="shared" ca="1" si="469"/>
        <v>6400</v>
      </c>
      <c r="N1058" s="33">
        <f ca="1">CHOOSE(1,W1058*U1058,X1058*'[1]0、经济设定'!$C$18)</f>
        <v>197820</v>
      </c>
      <c r="O1058">
        <f t="shared" si="486"/>
        <v>1</v>
      </c>
      <c r="P1058">
        <f t="shared" si="487"/>
        <v>13</v>
      </c>
      <c r="Q1058">
        <f t="shared" si="488"/>
        <v>1</v>
      </c>
      <c r="R1058" s="2">
        <f t="shared" si="489"/>
        <v>2</v>
      </c>
      <c r="S1058" s="2">
        <f t="shared" si="490"/>
        <v>50</v>
      </c>
      <c r="T1058" s="2">
        <f t="shared" si="491"/>
        <v>17.032967032967033</v>
      </c>
      <c r="U1058" s="2">
        <f ca="1">VLOOKUP(E1058,金币生产率!$A$2:$B$120,2,0)</f>
        <v>2198</v>
      </c>
      <c r="V1058" s="2">
        <f t="shared" si="492"/>
        <v>221.42857142857142</v>
      </c>
      <c r="W1058" s="45">
        <f t="shared" ca="1" si="476"/>
        <v>90</v>
      </c>
      <c r="X1058" s="48">
        <f t="shared" ca="1" si="477"/>
        <v>1251</v>
      </c>
      <c r="Y1058">
        <f t="shared" si="470"/>
        <v>18</v>
      </c>
      <c r="Z1058">
        <f t="shared" ca="1" si="473"/>
        <v>36</v>
      </c>
      <c r="AA1058" t="str">
        <f t="shared" ca="1" si="493"/>
        <v>9311100.png</v>
      </c>
      <c r="AB1058">
        <f t="shared" si="494"/>
        <v>2</v>
      </c>
      <c r="AC1058">
        <f>VLOOKUP(C1058,技能辅助查询表,技能配置辅助表!$W$1,FALSE)</f>
        <v>5307</v>
      </c>
      <c r="AD1058">
        <f t="shared" ca="1" si="474"/>
        <v>497.24246372282033</v>
      </c>
      <c r="AE1058">
        <f>VLOOKUP(C1058,技能辅助查询表,技能配置辅助表!$U$1,FALSE)</f>
        <v>1</v>
      </c>
      <c r="AF1058">
        <f t="shared" ca="1" si="495"/>
        <v>9311136</v>
      </c>
      <c r="AG1058">
        <f t="shared" ca="1" si="496"/>
        <v>57.714285714285715</v>
      </c>
      <c r="AH1058">
        <f t="shared" ca="1" si="475"/>
        <v>1236.0430561291703</v>
      </c>
      <c r="AI1058">
        <f ca="1">VLOOKUP(E1058,伤害参考系!$C$4:$E$104,3,FALSE)*$AN$12</f>
        <v>9381.0475610367921</v>
      </c>
      <c r="AJ1058">
        <f>VLOOKUP(C1058,技能辅助查询表,技能配置辅助表!$L$1,FALSE)</f>
        <v>13</v>
      </c>
      <c r="AK1058">
        <f>VLOOKUP(C1058,技能辅助查询表,技能配置辅助表!$AE$1,FALSE)</f>
        <v>66000474</v>
      </c>
    </row>
    <row r="1059" spans="1:37" x14ac:dyDescent="0.15">
      <c r="A1059" s="1">
        <f t="shared" ca="1" si="478"/>
        <v>9311137</v>
      </c>
      <c r="B1059" s="1" t="str">
        <f t="shared" ca="1" si="479"/>
        <v>激光轰击</v>
      </c>
      <c r="C1059" t="s">
        <v>171</v>
      </c>
      <c r="D1059">
        <f t="shared" si="480"/>
        <v>3</v>
      </c>
      <c r="E1059" s="42">
        <f t="shared" ca="1" si="471"/>
        <v>60</v>
      </c>
      <c r="F1059" t="str">
        <f t="shared" ca="1" si="472"/>
        <v>第37级，共造成303.4%点伤害</v>
      </c>
      <c r="G1059">
        <f t="shared" ca="1" si="481"/>
        <v>1</v>
      </c>
      <c r="H1059">
        <f t="shared" si="482"/>
        <v>1</v>
      </c>
      <c r="I1059" s="44">
        <f t="shared" ca="1" si="483"/>
        <v>37</v>
      </c>
      <c r="J1059">
        <f t="shared" si="484"/>
        <v>1</v>
      </c>
      <c r="K1059" s="36">
        <f t="shared" ca="1" si="485"/>
        <v>23.335164835164836</v>
      </c>
      <c r="L1059" s="10">
        <f ca="1">AH1059*VLOOKUP(C1059,技能辅助查询表,技能配置辅助表!$T$1,FALSE)</f>
        <v>0</v>
      </c>
      <c r="M1059">
        <f t="shared" ca="1" si="469"/>
        <v>6300</v>
      </c>
      <c r="N1059" s="33">
        <f ca="1">CHOOSE(1,W1059*U1059,X1059*'[1]0、经济设定'!$C$18)</f>
        <v>226368</v>
      </c>
      <c r="O1059">
        <f t="shared" si="486"/>
        <v>1</v>
      </c>
      <c r="P1059">
        <f t="shared" si="487"/>
        <v>13</v>
      </c>
      <c r="Q1059">
        <f t="shared" si="488"/>
        <v>1</v>
      </c>
      <c r="R1059" s="2">
        <f t="shared" si="489"/>
        <v>2</v>
      </c>
      <c r="S1059" s="2">
        <f t="shared" si="490"/>
        <v>50</v>
      </c>
      <c r="T1059" s="2">
        <f t="shared" si="491"/>
        <v>17.032967032967033</v>
      </c>
      <c r="U1059" s="2">
        <f ca="1">VLOOKUP(E1059,金币生产率!$A$2:$B$120,2,0)</f>
        <v>2358</v>
      </c>
      <c r="V1059" s="2">
        <f t="shared" si="492"/>
        <v>221.42857142857142</v>
      </c>
      <c r="W1059" s="45">
        <f t="shared" ca="1" si="476"/>
        <v>96</v>
      </c>
      <c r="X1059" s="48">
        <f t="shared" ca="1" si="477"/>
        <v>1347</v>
      </c>
      <c r="Y1059">
        <f t="shared" si="470"/>
        <v>18</v>
      </c>
      <c r="Z1059">
        <f t="shared" ca="1" si="473"/>
        <v>39</v>
      </c>
      <c r="AA1059" t="str">
        <f t="shared" ca="1" si="493"/>
        <v>9311100.png</v>
      </c>
      <c r="AB1059">
        <f t="shared" si="494"/>
        <v>2</v>
      </c>
      <c r="AC1059">
        <f>VLOOKUP(C1059,技能辅助查询表,技能配置辅助表!$W$1,FALSE)</f>
        <v>5307</v>
      </c>
      <c r="AD1059">
        <f t="shared" ca="1" si="474"/>
        <v>572.33594288057861</v>
      </c>
      <c r="AE1059">
        <f>VLOOKUP(C1059,技能辅助查询表,技能配置辅助表!$U$1,FALSE)</f>
        <v>1</v>
      </c>
      <c r="AF1059">
        <f t="shared" ca="1" si="495"/>
        <v>9311137</v>
      </c>
      <c r="AG1059">
        <f t="shared" ca="1" si="496"/>
        <v>59.306122448979593</v>
      </c>
      <c r="AH1059">
        <f t="shared" ca="1" si="475"/>
        <v>1407.2186863941167</v>
      </c>
      <c r="AI1059">
        <f ca="1">VLOOKUP(E1059,伤害参考系!$C$4:$E$104,3,FALSE)*$AN$12</f>
        <v>10340.558729096994</v>
      </c>
      <c r="AJ1059">
        <f>VLOOKUP(C1059,技能辅助查询表,技能配置辅助表!$L$1,FALSE)</f>
        <v>13</v>
      </c>
      <c r="AK1059">
        <f>VLOOKUP(C1059,技能辅助查询表,技能配置辅助表!$AE$1,FALSE)</f>
        <v>66000474</v>
      </c>
    </row>
    <row r="1060" spans="1:37" x14ac:dyDescent="0.15">
      <c r="A1060" s="1">
        <f t="shared" ca="1" si="478"/>
        <v>9311138</v>
      </c>
      <c r="B1060" s="1" t="str">
        <f t="shared" ca="1" si="479"/>
        <v>激光轰击</v>
      </c>
      <c r="C1060" t="s">
        <v>171</v>
      </c>
      <c r="D1060">
        <f t="shared" si="480"/>
        <v>3</v>
      </c>
      <c r="E1060" s="42">
        <f t="shared" ca="1" si="471"/>
        <v>61</v>
      </c>
      <c r="F1060" t="str">
        <f t="shared" ca="1" si="472"/>
        <v>第38级，共造成305.6%点伤害</v>
      </c>
      <c r="G1060">
        <f t="shared" ca="1" si="481"/>
        <v>1</v>
      </c>
      <c r="H1060">
        <f t="shared" si="482"/>
        <v>1</v>
      </c>
      <c r="I1060" s="44">
        <f t="shared" ca="1" si="483"/>
        <v>38</v>
      </c>
      <c r="J1060">
        <f t="shared" si="484"/>
        <v>1</v>
      </c>
      <c r="K1060" s="36">
        <f t="shared" ca="1" si="485"/>
        <v>23.505494505494504</v>
      </c>
      <c r="L1060" s="10">
        <f ca="1">AH1060*VLOOKUP(C1060,技能辅助查询表,技能配置辅助表!$T$1,FALSE)</f>
        <v>0</v>
      </c>
      <c r="M1060">
        <f t="shared" ca="1" si="469"/>
        <v>6200</v>
      </c>
      <c r="N1060" s="33">
        <f ca="1">CHOOSE(1,W1060*U1060,X1060*'[1]0、经济设定'!$C$18)</f>
        <v>251320</v>
      </c>
      <c r="O1060">
        <f t="shared" si="486"/>
        <v>1</v>
      </c>
      <c r="P1060">
        <f t="shared" si="487"/>
        <v>13</v>
      </c>
      <c r="Q1060">
        <f t="shared" si="488"/>
        <v>1</v>
      </c>
      <c r="R1060" s="2">
        <f t="shared" si="489"/>
        <v>2</v>
      </c>
      <c r="S1060" s="2">
        <f t="shared" si="490"/>
        <v>50</v>
      </c>
      <c r="T1060" s="2">
        <f t="shared" si="491"/>
        <v>17.032967032967033</v>
      </c>
      <c r="U1060" s="2">
        <f ca="1">VLOOKUP(E1060,金币生产率!$A$2:$B$120,2,0)</f>
        <v>2440</v>
      </c>
      <c r="V1060" s="2">
        <f t="shared" si="492"/>
        <v>221.42857142857142</v>
      </c>
      <c r="W1060" s="45">
        <f t="shared" ca="1" si="476"/>
        <v>103</v>
      </c>
      <c r="X1060" s="48">
        <f t="shared" ca="1" si="477"/>
        <v>1450</v>
      </c>
      <c r="Y1060">
        <f t="shared" si="470"/>
        <v>18</v>
      </c>
      <c r="Z1060">
        <f t="shared" ca="1" si="473"/>
        <v>42</v>
      </c>
      <c r="AA1060" t="str">
        <f t="shared" ca="1" si="493"/>
        <v>9311100.png</v>
      </c>
      <c r="AB1060">
        <f t="shared" si="494"/>
        <v>2</v>
      </c>
      <c r="AC1060">
        <f>VLOOKUP(C1060,技能辅助查询表,技能配置辅助表!$W$1,FALSE)</f>
        <v>5307</v>
      </c>
      <c r="AD1060">
        <f t="shared" ca="1" si="474"/>
        <v>658.69192190429351</v>
      </c>
      <c r="AE1060">
        <f>VLOOKUP(C1060,技能辅助查询表,技能配置辅助表!$U$1,FALSE)</f>
        <v>1</v>
      </c>
      <c r="AF1060">
        <f t="shared" ca="1" si="495"/>
        <v>9311138</v>
      </c>
      <c r="AG1060">
        <f t="shared" ca="1" si="496"/>
        <v>60.897959183673471</v>
      </c>
      <c r="AH1060">
        <f t="shared" ca="1" si="475"/>
        <v>1602.0998795448415</v>
      </c>
      <c r="AI1060">
        <f ca="1">VLOOKUP(E1060,伤害参考系!$C$4:$E$104,3,FALSE)*$AN$12</f>
        <v>10863.360489130437</v>
      </c>
      <c r="AJ1060">
        <f>VLOOKUP(C1060,技能辅助查询表,技能配置辅助表!$L$1,FALSE)</f>
        <v>13</v>
      </c>
      <c r="AK1060">
        <f>VLOOKUP(C1060,技能辅助查询表,技能配置辅助表!$AE$1,FALSE)</f>
        <v>66000474</v>
      </c>
    </row>
    <row r="1061" spans="1:37" x14ac:dyDescent="0.15">
      <c r="A1061" s="1">
        <f t="shared" ca="1" si="478"/>
        <v>9311139</v>
      </c>
      <c r="B1061" s="1" t="str">
        <f t="shared" ca="1" si="479"/>
        <v>激光轰击</v>
      </c>
      <c r="C1061" t="s">
        <v>171</v>
      </c>
      <c r="D1061">
        <f t="shared" si="480"/>
        <v>3</v>
      </c>
      <c r="E1061" s="42">
        <f t="shared" ca="1" si="471"/>
        <v>63</v>
      </c>
      <c r="F1061" t="str">
        <f t="shared" ca="1" si="472"/>
        <v>第39级，共造成307.8%点伤害</v>
      </c>
      <c r="G1061">
        <f t="shared" ca="1" si="481"/>
        <v>1</v>
      </c>
      <c r="H1061">
        <f t="shared" si="482"/>
        <v>1</v>
      </c>
      <c r="I1061" s="44">
        <f t="shared" ca="1" si="483"/>
        <v>39</v>
      </c>
      <c r="J1061">
        <f t="shared" si="484"/>
        <v>1</v>
      </c>
      <c r="K1061" s="36">
        <f t="shared" ca="1" si="485"/>
        <v>23.675824175824175</v>
      </c>
      <c r="L1061" s="10">
        <f ca="1">AH1061*VLOOKUP(C1061,技能辅助查询表,技能配置辅助表!$T$1,FALSE)</f>
        <v>0</v>
      </c>
      <c r="M1061">
        <f t="shared" ca="1" si="469"/>
        <v>6100</v>
      </c>
      <c r="N1061" s="33">
        <f ca="1">CHOOSE(1,W1061*U1061,X1061*'[1]0、经济设定'!$C$18)</f>
        <v>286990</v>
      </c>
      <c r="O1061">
        <f t="shared" si="486"/>
        <v>1</v>
      </c>
      <c r="P1061">
        <f t="shared" si="487"/>
        <v>13</v>
      </c>
      <c r="Q1061">
        <f t="shared" si="488"/>
        <v>1</v>
      </c>
      <c r="R1061" s="2">
        <f t="shared" si="489"/>
        <v>2</v>
      </c>
      <c r="S1061" s="2">
        <f t="shared" si="490"/>
        <v>50</v>
      </c>
      <c r="T1061" s="2">
        <f t="shared" si="491"/>
        <v>17.032967032967033</v>
      </c>
      <c r="U1061" s="2">
        <f ca="1">VLOOKUP(E1061,金币生产率!$A$2:$B$120,2,0)</f>
        <v>2609</v>
      </c>
      <c r="V1061" s="2">
        <f t="shared" si="492"/>
        <v>221.42857142857142</v>
      </c>
      <c r="W1061" s="45">
        <f t="shared" ca="1" si="476"/>
        <v>110</v>
      </c>
      <c r="X1061" s="48">
        <f t="shared" ca="1" si="477"/>
        <v>1560</v>
      </c>
      <c r="Y1061">
        <f t="shared" si="470"/>
        <v>18</v>
      </c>
      <c r="Z1061">
        <f t="shared" ca="1" si="473"/>
        <v>44</v>
      </c>
      <c r="AA1061" t="str">
        <f t="shared" ca="1" si="493"/>
        <v>9311100.png</v>
      </c>
      <c r="AB1061">
        <f t="shared" si="494"/>
        <v>2</v>
      </c>
      <c r="AC1061">
        <f>VLOOKUP(C1061,技能辅助查询表,技能配置辅助表!$W$1,FALSE)</f>
        <v>5307</v>
      </c>
      <c r="AD1061">
        <f t="shared" ca="1" si="474"/>
        <v>757.98962857090191</v>
      </c>
      <c r="AE1061">
        <f>VLOOKUP(C1061,技能辅助查询表,技能配置辅助表!$U$1,FALSE)</f>
        <v>1</v>
      </c>
      <c r="AF1061">
        <f t="shared" ca="1" si="495"/>
        <v>9311139</v>
      </c>
      <c r="AG1061">
        <f t="shared" ca="1" si="496"/>
        <v>62.489795918367349</v>
      </c>
      <c r="AH1061">
        <f t="shared" ca="1" si="475"/>
        <v>1823.9695427969455</v>
      </c>
      <c r="AI1061">
        <f ca="1">VLOOKUP(E1061,伤害参考系!$C$4:$E$104,3,FALSE)*$AN$12</f>
        <v>11946.449897157196</v>
      </c>
      <c r="AJ1061">
        <f>VLOOKUP(C1061,技能辅助查询表,技能配置辅助表!$L$1,FALSE)</f>
        <v>13</v>
      </c>
      <c r="AK1061">
        <f>VLOOKUP(C1061,技能辅助查询表,技能配置辅助表!$AE$1,FALSE)</f>
        <v>66000474</v>
      </c>
    </row>
    <row r="1062" spans="1:37" x14ac:dyDescent="0.15">
      <c r="A1062" s="1">
        <f t="shared" ca="1" si="478"/>
        <v>9311140</v>
      </c>
      <c r="B1062" s="1" t="str">
        <f t="shared" ca="1" si="479"/>
        <v>激光轰击</v>
      </c>
      <c r="C1062" t="s">
        <v>171</v>
      </c>
      <c r="D1062">
        <f t="shared" si="480"/>
        <v>3</v>
      </c>
      <c r="E1062" s="42">
        <f t="shared" ca="1" si="471"/>
        <v>64</v>
      </c>
      <c r="F1062" t="str">
        <f t="shared" ca="1" si="472"/>
        <v>第40级，共造成310%点伤害</v>
      </c>
      <c r="G1062">
        <f t="shared" ca="1" si="481"/>
        <v>1</v>
      </c>
      <c r="H1062">
        <f t="shared" si="482"/>
        <v>1</v>
      </c>
      <c r="I1062" s="44">
        <f t="shared" ca="1" si="483"/>
        <v>40</v>
      </c>
      <c r="J1062">
        <f t="shared" si="484"/>
        <v>1</v>
      </c>
      <c r="K1062" s="36">
        <f t="shared" ca="1" si="485"/>
        <v>23.846153846153847</v>
      </c>
      <c r="L1062" s="10">
        <f ca="1">AH1062*VLOOKUP(C1062,技能辅助查询表,技能配置辅助表!$T$1,FALSE)</f>
        <v>0</v>
      </c>
      <c r="M1062">
        <f t="shared" ca="1" si="469"/>
        <v>6000</v>
      </c>
      <c r="N1062" s="33">
        <f ca="1">CHOOSE(1,W1062*U1062,X1062*'[1]0、经济设定'!$C$18)</f>
        <v>318010</v>
      </c>
      <c r="O1062">
        <f t="shared" si="486"/>
        <v>1</v>
      </c>
      <c r="P1062">
        <f t="shared" si="487"/>
        <v>13</v>
      </c>
      <c r="Q1062">
        <f t="shared" si="488"/>
        <v>1</v>
      </c>
      <c r="R1062" s="2">
        <f t="shared" si="489"/>
        <v>2</v>
      </c>
      <c r="S1062" s="2">
        <f t="shared" si="490"/>
        <v>50</v>
      </c>
      <c r="T1062" s="2">
        <f t="shared" si="491"/>
        <v>17.032967032967033</v>
      </c>
      <c r="U1062" s="2">
        <f ca="1">VLOOKUP(E1062,金币生产率!$A$2:$B$120,2,0)</f>
        <v>2695</v>
      </c>
      <c r="V1062" s="2">
        <f t="shared" si="492"/>
        <v>221.42857142857142</v>
      </c>
      <c r="W1062" s="45">
        <f t="shared" ca="1" si="476"/>
        <v>118</v>
      </c>
      <c r="X1062" s="48">
        <f t="shared" ca="1" si="477"/>
        <v>1678</v>
      </c>
      <c r="Y1062">
        <f t="shared" si="470"/>
        <v>18</v>
      </c>
      <c r="Z1062">
        <f t="shared" ca="1" si="473"/>
        <v>48</v>
      </c>
      <c r="AA1062" t="str">
        <f t="shared" ca="1" si="493"/>
        <v>9311100.png</v>
      </c>
      <c r="AB1062">
        <f t="shared" si="494"/>
        <v>2</v>
      </c>
      <c r="AC1062">
        <f>VLOOKUP(C1062,技能辅助查询表,技能配置辅助表!$W$1,FALSE)</f>
        <v>5307</v>
      </c>
      <c r="AD1062">
        <f t="shared" ca="1" si="474"/>
        <v>872.15739350679473</v>
      </c>
      <c r="AE1062">
        <f>VLOOKUP(C1062,技能辅助查询表,技能配置辅助表!$U$1,FALSE)</f>
        <v>1</v>
      </c>
      <c r="AF1062">
        <f t="shared" ca="1" si="495"/>
        <v>9311140</v>
      </c>
      <c r="AG1062">
        <f t="shared" ca="1" si="496"/>
        <v>64.081632653061234</v>
      </c>
      <c r="AH1062">
        <f t="shared" ca="1" si="475"/>
        <v>2076.5652226352254</v>
      </c>
      <c r="AI1062">
        <f ca="1">VLOOKUP(E1062,伤害参考系!$C$4:$E$104,3,FALSE)*$AN$12</f>
        <v>12506.737545150507</v>
      </c>
      <c r="AJ1062">
        <f>VLOOKUP(C1062,技能辅助查询表,技能配置辅助表!$L$1,FALSE)</f>
        <v>13</v>
      </c>
      <c r="AK1062">
        <f>VLOOKUP(C1062,技能辅助查询表,技能配置辅助表!$AE$1,FALSE)</f>
        <v>66000474</v>
      </c>
    </row>
    <row r="1063" spans="1:37" x14ac:dyDescent="0.15">
      <c r="A1063" s="1">
        <f t="shared" ca="1" si="478"/>
        <v>9311141</v>
      </c>
      <c r="B1063" s="1" t="str">
        <f t="shared" ca="1" si="479"/>
        <v>激光轰击</v>
      </c>
      <c r="C1063" t="s">
        <v>171</v>
      </c>
      <c r="D1063">
        <f t="shared" si="480"/>
        <v>3</v>
      </c>
      <c r="E1063" s="42">
        <f t="shared" ca="1" si="471"/>
        <v>66</v>
      </c>
      <c r="F1063" t="str">
        <f t="shared" ca="1" si="472"/>
        <v>第41级，共造成312.2%点伤害</v>
      </c>
      <c r="G1063">
        <f t="shared" ca="1" si="481"/>
        <v>1</v>
      </c>
      <c r="H1063">
        <f t="shared" si="482"/>
        <v>1</v>
      </c>
      <c r="I1063" s="44">
        <f t="shared" ca="1" si="483"/>
        <v>41</v>
      </c>
      <c r="J1063">
        <f t="shared" si="484"/>
        <v>1</v>
      </c>
      <c r="K1063" s="36">
        <f t="shared" ca="1" si="485"/>
        <v>24.016483516483518</v>
      </c>
      <c r="L1063" s="10">
        <f ca="1">AH1063*VLOOKUP(C1063,技能辅助查询表,技能配置辅助表!$T$1,FALSE)</f>
        <v>0</v>
      </c>
      <c r="M1063">
        <f t="shared" ca="1" si="469"/>
        <v>5900</v>
      </c>
      <c r="N1063" s="33">
        <f ca="1">CHOOSE(1,W1063*U1063,X1063*'[1]0、经济设定'!$C$18)</f>
        <v>361872</v>
      </c>
      <c r="O1063">
        <f t="shared" si="486"/>
        <v>1</v>
      </c>
      <c r="P1063">
        <f t="shared" si="487"/>
        <v>13</v>
      </c>
      <c r="Q1063">
        <f t="shared" si="488"/>
        <v>1</v>
      </c>
      <c r="R1063" s="2">
        <f t="shared" si="489"/>
        <v>2</v>
      </c>
      <c r="S1063" s="2">
        <f t="shared" si="490"/>
        <v>50</v>
      </c>
      <c r="T1063" s="2">
        <f t="shared" si="491"/>
        <v>17.032967032967033</v>
      </c>
      <c r="U1063" s="2">
        <f ca="1">VLOOKUP(E1063,金币生产率!$A$2:$B$120,2,0)</f>
        <v>2872</v>
      </c>
      <c r="V1063" s="2">
        <f t="shared" si="492"/>
        <v>221.42857142857142</v>
      </c>
      <c r="W1063" s="45">
        <f t="shared" ca="1" si="476"/>
        <v>126</v>
      </c>
      <c r="X1063" s="48">
        <f t="shared" ca="1" si="477"/>
        <v>1804</v>
      </c>
      <c r="Y1063">
        <f t="shared" si="470"/>
        <v>18</v>
      </c>
      <c r="Z1063">
        <f t="shared" ca="1" si="473"/>
        <v>51</v>
      </c>
      <c r="AA1063" t="str">
        <f t="shared" ca="1" si="493"/>
        <v>9311100.png</v>
      </c>
      <c r="AB1063">
        <f t="shared" si="494"/>
        <v>2</v>
      </c>
      <c r="AC1063">
        <f>VLOOKUP(C1063,技能辅助查询表,技能配置辅助表!$W$1,FALSE)</f>
        <v>5307</v>
      </c>
      <c r="AD1063">
        <f t="shared" ca="1" si="474"/>
        <v>1003.4094398729446</v>
      </c>
      <c r="AE1063">
        <f>VLOOKUP(C1063,技能辅助查询表,技能配置辅助表!$U$1,FALSE)</f>
        <v>1</v>
      </c>
      <c r="AF1063">
        <f t="shared" ca="1" si="495"/>
        <v>9311141</v>
      </c>
      <c r="AG1063">
        <f t="shared" ca="1" si="496"/>
        <v>65.673469387755105</v>
      </c>
      <c r="AH1063">
        <f t="shared" ca="1" si="475"/>
        <v>2364.1420663448707</v>
      </c>
      <c r="AI1063">
        <f ca="1">VLOOKUP(E1063,伤害参考系!$C$4:$E$104,3,FALSE)*$AN$12</f>
        <v>13664.798729096996</v>
      </c>
      <c r="AJ1063">
        <f>VLOOKUP(C1063,技能辅助查询表,技能配置辅助表!$L$1,FALSE)</f>
        <v>13</v>
      </c>
      <c r="AK1063">
        <f>VLOOKUP(C1063,技能辅助查询表,技能配置辅助表!$AE$1,FALSE)</f>
        <v>66000474</v>
      </c>
    </row>
    <row r="1064" spans="1:37" x14ac:dyDescent="0.15">
      <c r="A1064" s="1">
        <f t="shared" ca="1" si="478"/>
        <v>9311142</v>
      </c>
      <c r="B1064" s="1" t="str">
        <f t="shared" ca="1" si="479"/>
        <v>激光轰击</v>
      </c>
      <c r="C1064" t="s">
        <v>171</v>
      </c>
      <c r="D1064">
        <f t="shared" si="480"/>
        <v>3</v>
      </c>
      <c r="E1064" s="42">
        <f t="shared" ca="1" si="471"/>
        <v>68</v>
      </c>
      <c r="F1064" t="str">
        <f t="shared" ca="1" si="472"/>
        <v>第42级，共造成314.4%点伤害</v>
      </c>
      <c r="G1064">
        <f t="shared" ca="1" si="481"/>
        <v>1</v>
      </c>
      <c r="H1064">
        <f t="shared" si="482"/>
        <v>1</v>
      </c>
      <c r="I1064" s="44">
        <f t="shared" ca="1" si="483"/>
        <v>42</v>
      </c>
      <c r="J1064">
        <f t="shared" si="484"/>
        <v>1</v>
      </c>
      <c r="K1064" s="36">
        <f t="shared" ca="1" si="485"/>
        <v>24.186813186813186</v>
      </c>
      <c r="L1064" s="10">
        <f ca="1">AH1064*VLOOKUP(C1064,技能辅助查询表,技能配置辅助表!$T$1,FALSE)</f>
        <v>0</v>
      </c>
      <c r="M1064">
        <f t="shared" ca="1" si="469"/>
        <v>5800</v>
      </c>
      <c r="N1064" s="33">
        <f ca="1">CHOOSE(1,W1064*U1064,X1064*'[1]0、经济设定'!$C$18)</f>
        <v>412290</v>
      </c>
      <c r="O1064">
        <f t="shared" si="486"/>
        <v>1</v>
      </c>
      <c r="P1064">
        <f t="shared" si="487"/>
        <v>13</v>
      </c>
      <c r="Q1064">
        <f t="shared" si="488"/>
        <v>1</v>
      </c>
      <c r="R1064" s="2">
        <f t="shared" si="489"/>
        <v>2</v>
      </c>
      <c r="S1064" s="2">
        <f t="shared" si="490"/>
        <v>50</v>
      </c>
      <c r="T1064" s="2">
        <f t="shared" si="491"/>
        <v>17.032967032967033</v>
      </c>
      <c r="U1064" s="2">
        <f ca="1">VLOOKUP(E1064,金币生产率!$A$2:$B$120,2,0)</f>
        <v>3054</v>
      </c>
      <c r="V1064" s="2">
        <f t="shared" si="492"/>
        <v>221.42857142857142</v>
      </c>
      <c r="W1064" s="45">
        <f t="shared" ca="1" si="476"/>
        <v>135</v>
      </c>
      <c r="X1064" s="48">
        <f t="shared" ca="1" si="477"/>
        <v>1939</v>
      </c>
      <c r="Y1064">
        <f t="shared" si="470"/>
        <v>18</v>
      </c>
      <c r="Z1064">
        <f t="shared" ca="1" si="473"/>
        <v>54</v>
      </c>
      <c r="AA1064" t="str">
        <f t="shared" ca="1" si="493"/>
        <v>9311100.png</v>
      </c>
      <c r="AB1064">
        <f t="shared" si="494"/>
        <v>2</v>
      </c>
      <c r="AC1064">
        <f>VLOOKUP(C1064,技能辅助查询表,技能配置辅助表!$W$1,FALSE)</f>
        <v>5307</v>
      </c>
      <c r="AD1064">
        <f t="shared" ca="1" si="474"/>
        <v>1154.2880853791578</v>
      </c>
      <c r="AE1064">
        <f>VLOOKUP(C1064,技能辅助查询表,技能配置辅助表!$U$1,FALSE)</f>
        <v>1</v>
      </c>
      <c r="AF1064">
        <f t="shared" ca="1" si="495"/>
        <v>9311142</v>
      </c>
      <c r="AG1064">
        <f t="shared" ca="1" si="496"/>
        <v>67.265306122448976</v>
      </c>
      <c r="AH1064">
        <f t="shared" ca="1" si="475"/>
        <v>2691.5445028827789</v>
      </c>
      <c r="AI1064">
        <f ca="1">VLOOKUP(E1064,伤害参考系!$C$4:$E$104,3,FALSE)*$AN$12</f>
        <v>14872.841096989978</v>
      </c>
      <c r="AJ1064">
        <f>VLOOKUP(C1064,技能辅助查询表,技能配置辅助表!$L$1,FALSE)</f>
        <v>13</v>
      </c>
      <c r="AK1064">
        <f>VLOOKUP(C1064,技能辅助查询表,技能配置辅助表!$AE$1,FALSE)</f>
        <v>66000474</v>
      </c>
    </row>
    <row r="1065" spans="1:37" x14ac:dyDescent="0.15">
      <c r="A1065" s="1">
        <f t="shared" ca="1" si="478"/>
        <v>9311143</v>
      </c>
      <c r="B1065" s="1" t="str">
        <f t="shared" ca="1" si="479"/>
        <v>激光轰击</v>
      </c>
      <c r="C1065" t="s">
        <v>171</v>
      </c>
      <c r="D1065">
        <f t="shared" si="480"/>
        <v>3</v>
      </c>
      <c r="E1065" s="42">
        <f t="shared" ca="1" si="471"/>
        <v>69</v>
      </c>
      <c r="F1065" t="str">
        <f t="shared" ca="1" si="472"/>
        <v>第43级，共造成316.6%点伤害</v>
      </c>
      <c r="G1065">
        <f t="shared" ca="1" si="481"/>
        <v>1</v>
      </c>
      <c r="H1065">
        <f t="shared" si="482"/>
        <v>1</v>
      </c>
      <c r="I1065" s="44">
        <f t="shared" ca="1" si="483"/>
        <v>43</v>
      </c>
      <c r="J1065">
        <f t="shared" si="484"/>
        <v>1</v>
      </c>
      <c r="K1065" s="36">
        <f t="shared" ca="1" si="485"/>
        <v>24.357142857142858</v>
      </c>
      <c r="L1065" s="10">
        <f ca="1">AH1065*VLOOKUP(C1065,技能辅助查询表,技能配置辅助表!$T$1,FALSE)</f>
        <v>0</v>
      </c>
      <c r="M1065">
        <f t="shared" ca="1" si="469"/>
        <v>5700</v>
      </c>
      <c r="N1065" s="33">
        <f ca="1">CHOOSE(1,W1065*U1065,X1065*'[1]0、经济设定'!$C$18)</f>
        <v>456315</v>
      </c>
      <c r="O1065">
        <f t="shared" si="486"/>
        <v>1</v>
      </c>
      <c r="P1065">
        <f t="shared" si="487"/>
        <v>13</v>
      </c>
      <c r="Q1065">
        <f t="shared" si="488"/>
        <v>1</v>
      </c>
      <c r="R1065" s="2">
        <f t="shared" si="489"/>
        <v>2</v>
      </c>
      <c r="S1065" s="2">
        <f t="shared" si="490"/>
        <v>50</v>
      </c>
      <c r="T1065" s="2">
        <f t="shared" si="491"/>
        <v>17.032967032967033</v>
      </c>
      <c r="U1065" s="2">
        <f ca="1">VLOOKUP(E1065,金币生产率!$A$2:$B$120,2,0)</f>
        <v>3147</v>
      </c>
      <c r="V1065" s="2">
        <f t="shared" si="492"/>
        <v>221.42857142857142</v>
      </c>
      <c r="W1065" s="45">
        <f t="shared" ca="1" si="476"/>
        <v>145</v>
      </c>
      <c r="X1065" s="48">
        <f t="shared" ca="1" si="477"/>
        <v>2084</v>
      </c>
      <c r="Y1065">
        <f t="shared" si="470"/>
        <v>18</v>
      </c>
      <c r="Z1065">
        <f t="shared" ca="1" si="473"/>
        <v>58</v>
      </c>
      <c r="AA1065" t="str">
        <f t="shared" ca="1" si="493"/>
        <v>9311100.png</v>
      </c>
      <c r="AB1065">
        <f t="shared" si="494"/>
        <v>2</v>
      </c>
      <c r="AC1065">
        <f>VLOOKUP(C1065,技能辅助查询表,技能配置辅助表!$W$1,FALSE)</f>
        <v>5307</v>
      </c>
      <c r="AD1065">
        <f t="shared" ca="1" si="474"/>
        <v>1327.7121501252736</v>
      </c>
      <c r="AE1065">
        <f>VLOOKUP(C1065,技能辅助查询表,技能配置辅助表!$U$1,FALSE)</f>
        <v>1</v>
      </c>
      <c r="AF1065">
        <f t="shared" ca="1" si="495"/>
        <v>9311143</v>
      </c>
      <c r="AG1065">
        <f t="shared" ca="1" si="496"/>
        <v>68.857142857142861</v>
      </c>
      <c r="AH1065">
        <f t="shared" ca="1" si="475"/>
        <v>3064.2878506023458</v>
      </c>
      <c r="AI1065">
        <f ca="1">VLOOKUP(E1065,伤害参考系!$C$4:$E$104,3,FALSE)*$AN$12</f>
        <v>15495.605224916402</v>
      </c>
      <c r="AJ1065">
        <f>VLOOKUP(C1065,技能辅助查询表,技能配置辅助表!$L$1,FALSE)</f>
        <v>13</v>
      </c>
      <c r="AK1065">
        <f>VLOOKUP(C1065,技能辅助查询表,技能配置辅助表!$AE$1,FALSE)</f>
        <v>66000474</v>
      </c>
    </row>
    <row r="1066" spans="1:37" x14ac:dyDescent="0.15">
      <c r="A1066" s="1">
        <f t="shared" ca="1" si="478"/>
        <v>9311144</v>
      </c>
      <c r="B1066" s="1" t="str">
        <f t="shared" ca="1" si="479"/>
        <v>激光轰击</v>
      </c>
      <c r="C1066" t="s">
        <v>171</v>
      </c>
      <c r="D1066">
        <f t="shared" si="480"/>
        <v>3</v>
      </c>
      <c r="E1066" s="42">
        <f t="shared" ca="1" si="471"/>
        <v>71</v>
      </c>
      <c r="F1066" t="str">
        <f t="shared" ca="1" si="472"/>
        <v>第44级，共造成318.9%点伤害</v>
      </c>
      <c r="G1066">
        <f t="shared" ca="1" si="481"/>
        <v>1</v>
      </c>
      <c r="H1066">
        <f t="shared" si="482"/>
        <v>1</v>
      </c>
      <c r="I1066" s="44">
        <f t="shared" ca="1" si="483"/>
        <v>44</v>
      </c>
      <c r="J1066">
        <f t="shared" si="484"/>
        <v>1</v>
      </c>
      <c r="K1066" s="36">
        <f t="shared" ca="1" si="485"/>
        <v>24.527472527472526</v>
      </c>
      <c r="L1066" s="10">
        <f ca="1">AH1066*VLOOKUP(C1066,技能辅助查询表,技能配置辅助表!$T$1,FALSE)</f>
        <v>0</v>
      </c>
      <c r="M1066">
        <f t="shared" ca="1" si="469"/>
        <v>5600</v>
      </c>
      <c r="N1066" s="33">
        <f ca="1">CHOOSE(1,W1066*U1066,X1066*'[1]0、经济设定'!$C$18)</f>
        <v>517390</v>
      </c>
      <c r="O1066">
        <f t="shared" si="486"/>
        <v>1</v>
      </c>
      <c r="P1066">
        <f t="shared" si="487"/>
        <v>13</v>
      </c>
      <c r="Q1066">
        <f t="shared" si="488"/>
        <v>1</v>
      </c>
      <c r="R1066" s="2">
        <f t="shared" si="489"/>
        <v>2</v>
      </c>
      <c r="S1066" s="2">
        <f t="shared" si="490"/>
        <v>50</v>
      </c>
      <c r="T1066" s="2">
        <f t="shared" si="491"/>
        <v>17.032967032967033</v>
      </c>
      <c r="U1066" s="2">
        <f ca="1">VLOOKUP(E1066,金币生产率!$A$2:$B$120,2,0)</f>
        <v>3338</v>
      </c>
      <c r="V1066" s="2">
        <f t="shared" si="492"/>
        <v>221.42857142857142</v>
      </c>
      <c r="W1066" s="45">
        <f t="shared" ca="1" si="476"/>
        <v>155</v>
      </c>
      <c r="X1066" s="48">
        <f t="shared" ca="1" si="477"/>
        <v>2239</v>
      </c>
      <c r="Y1066">
        <f t="shared" si="470"/>
        <v>18</v>
      </c>
      <c r="Z1066">
        <f t="shared" ca="1" si="473"/>
        <v>62</v>
      </c>
      <c r="AA1066" t="str">
        <f t="shared" ca="1" si="493"/>
        <v>9311100.png</v>
      </c>
      <c r="AB1066">
        <f t="shared" si="494"/>
        <v>2</v>
      </c>
      <c r="AC1066">
        <f>VLOOKUP(C1066,技能辅助查询表,技能配置辅助表!$W$1,FALSE)</f>
        <v>5307</v>
      </c>
      <c r="AD1066">
        <f t="shared" ca="1" si="474"/>
        <v>1527.0324797442543</v>
      </c>
      <c r="AE1066">
        <f>VLOOKUP(C1066,技能辅助查询表,技能配置辅助表!$U$1,FALSE)</f>
        <v>1</v>
      </c>
      <c r="AF1066">
        <f t="shared" ca="1" si="495"/>
        <v>9311144</v>
      </c>
      <c r="AG1066">
        <f t="shared" ca="1" si="496"/>
        <v>70.448979591836732</v>
      </c>
      <c r="AH1066">
        <f t="shared" ca="1" si="475"/>
        <v>3488.6512265697725</v>
      </c>
      <c r="AI1066">
        <f ca="1">VLOOKUP(E1066,伤害参考系!$C$4:$E$104,3,FALSE)*$AN$12</f>
        <v>16902.905438127098</v>
      </c>
      <c r="AJ1066">
        <f>VLOOKUP(C1066,技能辅助查询表,技能配置辅助表!$L$1,FALSE)</f>
        <v>13</v>
      </c>
      <c r="AK1066">
        <f>VLOOKUP(C1066,技能辅助查询表,技能配置辅助表!$AE$1,FALSE)</f>
        <v>66000474</v>
      </c>
    </row>
    <row r="1067" spans="1:37" x14ac:dyDescent="0.15">
      <c r="A1067" s="1">
        <f t="shared" ca="1" si="478"/>
        <v>9311145</v>
      </c>
      <c r="B1067" s="1" t="str">
        <f t="shared" ca="1" si="479"/>
        <v>激光轰击</v>
      </c>
      <c r="C1067" t="s">
        <v>171</v>
      </c>
      <c r="D1067">
        <f t="shared" si="480"/>
        <v>3</v>
      </c>
      <c r="E1067" s="42">
        <f t="shared" ca="1" si="471"/>
        <v>72</v>
      </c>
      <c r="F1067" t="str">
        <f t="shared" ca="1" si="472"/>
        <v>第45级，共造成321.1%点伤害</v>
      </c>
      <c r="G1067">
        <f t="shared" ca="1" si="481"/>
        <v>1</v>
      </c>
      <c r="H1067">
        <f t="shared" si="482"/>
        <v>1</v>
      </c>
      <c r="I1067" s="44">
        <f t="shared" ca="1" si="483"/>
        <v>45</v>
      </c>
      <c r="J1067">
        <f t="shared" si="484"/>
        <v>1</v>
      </c>
      <c r="K1067" s="36">
        <f t="shared" ca="1" si="485"/>
        <v>24.697802197802197</v>
      </c>
      <c r="L1067" s="10">
        <f ca="1">AH1067*VLOOKUP(C1067,技能辅助查询表,技能配置辅助表!$T$1,FALSE)</f>
        <v>0</v>
      </c>
      <c r="M1067">
        <f t="shared" ca="1" si="469"/>
        <v>5500</v>
      </c>
      <c r="N1067" s="33">
        <f ca="1">CHOOSE(1,W1067*U1067,X1067*'[1]0、经济设定'!$C$18)</f>
        <v>566775</v>
      </c>
      <c r="O1067">
        <f t="shared" si="486"/>
        <v>1</v>
      </c>
      <c r="P1067">
        <f t="shared" si="487"/>
        <v>13</v>
      </c>
      <c r="Q1067">
        <f t="shared" si="488"/>
        <v>1</v>
      </c>
      <c r="R1067" s="2">
        <f t="shared" si="489"/>
        <v>2</v>
      </c>
      <c r="S1067" s="2">
        <f t="shared" si="490"/>
        <v>50</v>
      </c>
      <c r="T1067" s="2">
        <f t="shared" si="491"/>
        <v>17.032967032967033</v>
      </c>
      <c r="U1067" s="2">
        <f ca="1">VLOOKUP(E1067,金币生产率!$A$2:$B$120,2,0)</f>
        <v>3435</v>
      </c>
      <c r="V1067" s="2">
        <f t="shared" si="492"/>
        <v>221.42857142857142</v>
      </c>
      <c r="W1067" s="45">
        <f t="shared" ca="1" si="476"/>
        <v>165</v>
      </c>
      <c r="X1067" s="48">
        <f t="shared" ca="1" si="477"/>
        <v>2404</v>
      </c>
      <c r="Y1067">
        <f t="shared" si="470"/>
        <v>18</v>
      </c>
      <c r="Z1067">
        <f t="shared" ca="1" si="473"/>
        <v>66</v>
      </c>
      <c r="AA1067" t="str">
        <f t="shared" ca="1" si="493"/>
        <v>9311100.png</v>
      </c>
      <c r="AB1067">
        <f t="shared" si="494"/>
        <v>2</v>
      </c>
      <c r="AC1067">
        <f>VLOOKUP(C1067,技能辅助查询表,技能配置辅助表!$W$1,FALSE)</f>
        <v>5307</v>
      </c>
      <c r="AD1067">
        <f t="shared" ca="1" si="474"/>
        <v>1756.0956262036234</v>
      </c>
      <c r="AE1067">
        <f>VLOOKUP(C1067,技能辅助查询表,技能配置辅助表!$U$1,FALSE)</f>
        <v>1</v>
      </c>
      <c r="AF1067">
        <f t="shared" ca="1" si="495"/>
        <v>9311145</v>
      </c>
      <c r="AG1067">
        <f t="shared" ca="1" si="496"/>
        <v>72.040816326530617</v>
      </c>
      <c r="AH1067">
        <f t="shared" ca="1" si="475"/>
        <v>3971.7833225930094</v>
      </c>
      <c r="AI1067">
        <f ca="1">VLOOKUP(E1067,伤害参考系!$C$4:$E$104,3,FALSE)*$AN$12</f>
        <v>17628.422312709041</v>
      </c>
      <c r="AJ1067">
        <f>VLOOKUP(C1067,技能辅助查询表,技能配置辅助表!$L$1,FALSE)</f>
        <v>13</v>
      </c>
      <c r="AK1067">
        <f>VLOOKUP(C1067,技能辅助查询表,技能配置辅助表!$AE$1,FALSE)</f>
        <v>66000474</v>
      </c>
    </row>
    <row r="1068" spans="1:37" x14ac:dyDescent="0.15">
      <c r="A1068" s="1">
        <f t="shared" ca="1" si="478"/>
        <v>9311146</v>
      </c>
      <c r="B1068" s="1" t="str">
        <f t="shared" ca="1" si="479"/>
        <v>激光轰击</v>
      </c>
      <c r="C1068" t="s">
        <v>171</v>
      </c>
      <c r="D1068">
        <f t="shared" si="480"/>
        <v>3</v>
      </c>
      <c r="E1068" s="42">
        <f t="shared" ca="1" si="471"/>
        <v>74</v>
      </c>
      <c r="F1068" t="str">
        <f t="shared" ca="1" si="472"/>
        <v>第46级，共造成323.3%点伤害</v>
      </c>
      <c r="G1068">
        <f t="shared" ca="1" si="481"/>
        <v>1</v>
      </c>
      <c r="H1068">
        <f t="shared" si="482"/>
        <v>1</v>
      </c>
      <c r="I1068" s="44">
        <f t="shared" ca="1" si="483"/>
        <v>46</v>
      </c>
      <c r="J1068">
        <f t="shared" si="484"/>
        <v>1</v>
      </c>
      <c r="K1068" s="36">
        <f t="shared" ca="1" si="485"/>
        <v>24.868131868131869</v>
      </c>
      <c r="L1068" s="10">
        <f ca="1">AH1068*VLOOKUP(C1068,技能辅助查询表,技能配置辅助表!$T$1,FALSE)</f>
        <v>0</v>
      </c>
      <c r="M1068">
        <f t="shared" ca="1" si="469"/>
        <v>5400</v>
      </c>
      <c r="N1068" s="33">
        <f ca="1">CHOOSE(1,W1068*U1068,X1068*'[1]0、经济设定'!$C$18)</f>
        <v>643218</v>
      </c>
      <c r="O1068">
        <f t="shared" si="486"/>
        <v>1</v>
      </c>
      <c r="P1068">
        <f t="shared" si="487"/>
        <v>13</v>
      </c>
      <c r="Q1068">
        <f t="shared" si="488"/>
        <v>1</v>
      </c>
      <c r="R1068" s="2">
        <f t="shared" si="489"/>
        <v>2</v>
      </c>
      <c r="S1068" s="2">
        <f t="shared" si="490"/>
        <v>50</v>
      </c>
      <c r="T1068" s="2">
        <f t="shared" si="491"/>
        <v>17.032967032967033</v>
      </c>
      <c r="U1068" s="2">
        <f ca="1">VLOOKUP(E1068,金币生产率!$A$2:$B$120,2,0)</f>
        <v>3634</v>
      </c>
      <c r="V1068" s="2">
        <f t="shared" si="492"/>
        <v>221.42857142857142</v>
      </c>
      <c r="W1068" s="45">
        <f t="shared" ca="1" si="476"/>
        <v>177</v>
      </c>
      <c r="X1068" s="48">
        <f t="shared" ca="1" si="477"/>
        <v>2581</v>
      </c>
      <c r="Y1068">
        <f t="shared" si="470"/>
        <v>18</v>
      </c>
      <c r="Z1068">
        <f t="shared" ca="1" si="473"/>
        <v>71</v>
      </c>
      <c r="AA1068" t="str">
        <f t="shared" ca="1" si="493"/>
        <v>9311100.png</v>
      </c>
      <c r="AB1068">
        <f t="shared" si="494"/>
        <v>2</v>
      </c>
      <c r="AC1068">
        <f>VLOOKUP(C1068,技能辅助查询表,技能配置辅助表!$W$1,FALSE)</f>
        <v>5307</v>
      </c>
      <c r="AD1068">
        <f t="shared" ca="1" si="474"/>
        <v>2019.3168808654082</v>
      </c>
      <c r="AE1068">
        <f>VLOOKUP(C1068,技能辅助查询表,技能配置辅助表!$U$1,FALSE)</f>
        <v>1</v>
      </c>
      <c r="AF1068">
        <f t="shared" ca="1" si="495"/>
        <v>9311146</v>
      </c>
      <c r="AG1068">
        <f t="shared" ca="1" si="496"/>
        <v>73.632653061224488</v>
      </c>
      <c r="AH1068">
        <f t="shared" ca="1" si="475"/>
        <v>4521.8228298329677</v>
      </c>
      <c r="AI1068">
        <f ca="1">VLOOKUP(E1068,伤害参考系!$C$4:$E$104,3,FALSE)*$AN$12</f>
        <v>19123.189597826095</v>
      </c>
      <c r="AJ1068">
        <f>VLOOKUP(C1068,技能辅助查询表,技能配置辅助表!$L$1,FALSE)</f>
        <v>13</v>
      </c>
      <c r="AK1068">
        <f>VLOOKUP(C1068,技能辅助查询表,技能配置辅助表!$AE$1,FALSE)</f>
        <v>66000474</v>
      </c>
    </row>
    <row r="1069" spans="1:37" x14ac:dyDescent="0.15">
      <c r="A1069" s="1">
        <f t="shared" ca="1" si="478"/>
        <v>9311147</v>
      </c>
      <c r="B1069" s="1" t="str">
        <f t="shared" ca="1" si="479"/>
        <v>激光轰击</v>
      </c>
      <c r="C1069" t="s">
        <v>171</v>
      </c>
      <c r="D1069">
        <f t="shared" si="480"/>
        <v>3</v>
      </c>
      <c r="E1069" s="42">
        <f t="shared" ca="1" si="471"/>
        <v>75</v>
      </c>
      <c r="F1069" t="str">
        <f t="shared" ca="1" si="472"/>
        <v>第47级，共造成325.5%点伤害</v>
      </c>
      <c r="G1069">
        <f t="shared" ca="1" si="481"/>
        <v>1</v>
      </c>
      <c r="H1069">
        <f t="shared" si="482"/>
        <v>1</v>
      </c>
      <c r="I1069" s="44">
        <f t="shared" ca="1" si="483"/>
        <v>47</v>
      </c>
      <c r="J1069">
        <f t="shared" si="484"/>
        <v>1</v>
      </c>
      <c r="K1069" s="36">
        <f t="shared" ca="1" si="485"/>
        <v>25.03846153846154</v>
      </c>
      <c r="L1069" s="10">
        <f ca="1">AH1069*VLOOKUP(C1069,技能辅助查询表,技能配置辅助表!$T$1,FALSE)</f>
        <v>0</v>
      </c>
      <c r="M1069">
        <f t="shared" ca="1" si="469"/>
        <v>5300</v>
      </c>
      <c r="N1069" s="33">
        <f ca="1">CHOOSE(1,W1069*U1069,X1069*'[1]0、经济设定'!$C$18)</f>
        <v>705915</v>
      </c>
      <c r="O1069">
        <f t="shared" si="486"/>
        <v>1</v>
      </c>
      <c r="P1069">
        <f t="shared" si="487"/>
        <v>13</v>
      </c>
      <c r="Q1069">
        <f t="shared" si="488"/>
        <v>1</v>
      </c>
      <c r="R1069" s="2">
        <f t="shared" si="489"/>
        <v>2</v>
      </c>
      <c r="S1069" s="2">
        <f t="shared" si="490"/>
        <v>50</v>
      </c>
      <c r="T1069" s="2">
        <f t="shared" si="491"/>
        <v>17.032967032967033</v>
      </c>
      <c r="U1069" s="2">
        <f ca="1">VLOOKUP(E1069,金币生产率!$A$2:$B$120,2,0)</f>
        <v>3735</v>
      </c>
      <c r="V1069" s="2">
        <f t="shared" si="492"/>
        <v>221.42857142857142</v>
      </c>
      <c r="W1069" s="45">
        <f t="shared" ca="1" si="476"/>
        <v>189</v>
      </c>
      <c r="X1069" s="48">
        <f t="shared" ca="1" si="477"/>
        <v>2770</v>
      </c>
      <c r="Y1069">
        <f t="shared" si="470"/>
        <v>18</v>
      </c>
      <c r="Z1069">
        <f t="shared" ca="1" si="473"/>
        <v>76</v>
      </c>
      <c r="AA1069" t="str">
        <f t="shared" ca="1" si="493"/>
        <v>9311100.png</v>
      </c>
      <c r="AB1069">
        <f t="shared" si="494"/>
        <v>2</v>
      </c>
      <c r="AC1069">
        <f>VLOOKUP(C1069,技能辅助查询表,技能配置辅助表!$W$1,FALSE)</f>
        <v>5307</v>
      </c>
      <c r="AD1069">
        <f t="shared" ca="1" si="474"/>
        <v>2321.7640288250714</v>
      </c>
      <c r="AE1069">
        <f>VLOOKUP(C1069,技能辅助查询表,技能配置辅助表!$U$1,FALSE)</f>
        <v>1</v>
      </c>
      <c r="AF1069">
        <f t="shared" ca="1" si="495"/>
        <v>9311147</v>
      </c>
      <c r="AG1069">
        <f t="shared" ca="1" si="496"/>
        <v>75.224489795918373</v>
      </c>
      <c r="AH1069">
        <f t="shared" ca="1" si="475"/>
        <v>5148.0355406320868</v>
      </c>
      <c r="AI1069">
        <f ca="1">VLOOKUP(E1069,伤害参考系!$C$4:$E$104,3,FALSE)*$AN$12</f>
        <v>19892.440008361213</v>
      </c>
      <c r="AJ1069">
        <f>VLOOKUP(C1069,技能辅助查询表,技能配置辅助表!$L$1,FALSE)</f>
        <v>13</v>
      </c>
      <c r="AK1069">
        <f>VLOOKUP(C1069,技能辅助查询表,技能配置辅助表!$AE$1,FALSE)</f>
        <v>66000474</v>
      </c>
    </row>
    <row r="1070" spans="1:37" x14ac:dyDescent="0.15">
      <c r="A1070" s="1">
        <f t="shared" ca="1" si="478"/>
        <v>9311148</v>
      </c>
      <c r="B1070" s="1" t="str">
        <f t="shared" ca="1" si="479"/>
        <v>激光轰击</v>
      </c>
      <c r="C1070" t="s">
        <v>171</v>
      </c>
      <c r="D1070">
        <f t="shared" si="480"/>
        <v>3</v>
      </c>
      <c r="E1070" s="42">
        <f t="shared" ca="1" si="471"/>
        <v>77</v>
      </c>
      <c r="F1070" t="str">
        <f t="shared" ca="1" si="472"/>
        <v>第48级，共造成327.7%点伤害</v>
      </c>
      <c r="G1070">
        <f t="shared" ca="1" si="481"/>
        <v>1</v>
      </c>
      <c r="H1070">
        <f t="shared" si="482"/>
        <v>1</v>
      </c>
      <c r="I1070" s="44">
        <f t="shared" ca="1" si="483"/>
        <v>48</v>
      </c>
      <c r="J1070">
        <f t="shared" si="484"/>
        <v>1</v>
      </c>
      <c r="K1070" s="36">
        <f t="shared" ca="1" si="485"/>
        <v>25.208791208791208</v>
      </c>
      <c r="L1070" s="10">
        <f ca="1">AH1070*VLOOKUP(C1070,技能辅助查询表,技能配置辅助表!$T$1,FALSE)</f>
        <v>0</v>
      </c>
      <c r="M1070">
        <f t="shared" ca="1" si="469"/>
        <v>5200</v>
      </c>
      <c r="N1070" s="33">
        <f ca="1">CHOOSE(1,W1070*U1070,X1070*'[1]0、经济设定'!$C$18)</f>
        <v>800226</v>
      </c>
      <c r="O1070">
        <f t="shared" si="486"/>
        <v>1</v>
      </c>
      <c r="P1070">
        <f t="shared" si="487"/>
        <v>13</v>
      </c>
      <c r="Q1070">
        <f t="shared" si="488"/>
        <v>1</v>
      </c>
      <c r="R1070" s="2">
        <f t="shared" si="489"/>
        <v>2</v>
      </c>
      <c r="S1070" s="2">
        <f t="shared" si="490"/>
        <v>50</v>
      </c>
      <c r="T1070" s="2">
        <f t="shared" si="491"/>
        <v>17.032967032967033</v>
      </c>
      <c r="U1070" s="2">
        <f ca="1">VLOOKUP(E1070,金币生产率!$A$2:$B$120,2,0)</f>
        <v>3942</v>
      </c>
      <c r="V1070" s="2">
        <f t="shared" si="492"/>
        <v>221.42857142857142</v>
      </c>
      <c r="W1070" s="45">
        <f t="shared" ca="1" si="476"/>
        <v>203</v>
      </c>
      <c r="X1070" s="48">
        <f t="shared" ca="1" si="477"/>
        <v>2973</v>
      </c>
      <c r="Y1070">
        <f t="shared" si="470"/>
        <v>18</v>
      </c>
      <c r="Z1070">
        <f t="shared" ca="1" si="473"/>
        <v>82</v>
      </c>
      <c r="AA1070" t="str">
        <f t="shared" ca="1" si="493"/>
        <v>9311100.png</v>
      </c>
      <c r="AB1070">
        <f t="shared" si="494"/>
        <v>2</v>
      </c>
      <c r="AC1070">
        <f>VLOOKUP(C1070,技能辅助查询表,技能配置辅助表!$W$1,FALSE)</f>
        <v>5307</v>
      </c>
      <c r="AD1070">
        <f t="shared" ca="1" si="474"/>
        <v>2669.2533933692766</v>
      </c>
      <c r="AE1070">
        <f>VLOOKUP(C1070,技能辅助查询表,技能配置辅助表!$U$1,FALSE)</f>
        <v>1</v>
      </c>
      <c r="AF1070">
        <f t="shared" ca="1" si="495"/>
        <v>9311148</v>
      </c>
      <c r="AG1070">
        <f t="shared" ca="1" si="496"/>
        <v>76.816326530612244</v>
      </c>
      <c r="AH1070">
        <f t="shared" ca="1" si="475"/>
        <v>5860.970437134547</v>
      </c>
      <c r="AI1070">
        <f ca="1">VLOOKUP(E1070,伤害参考系!$C$4:$E$104,3,FALSE)*$AN$12</f>
        <v>21474.674365384624</v>
      </c>
      <c r="AJ1070">
        <f>VLOOKUP(C1070,技能辅助查询表,技能配置辅助表!$L$1,FALSE)</f>
        <v>13</v>
      </c>
      <c r="AK1070">
        <f>VLOOKUP(C1070,技能辅助查询表,技能配置辅助表!$AE$1,FALSE)</f>
        <v>66000474</v>
      </c>
    </row>
    <row r="1071" spans="1:37" x14ac:dyDescent="0.15">
      <c r="A1071" s="1">
        <f t="shared" ca="1" si="478"/>
        <v>9311149</v>
      </c>
      <c r="B1071" s="1" t="str">
        <f t="shared" ca="1" si="479"/>
        <v>激光轰击</v>
      </c>
      <c r="C1071" t="s">
        <v>171</v>
      </c>
      <c r="D1071">
        <f t="shared" si="480"/>
        <v>3</v>
      </c>
      <c r="E1071" s="42">
        <f t="shared" ca="1" si="471"/>
        <v>78</v>
      </c>
      <c r="F1071" t="str">
        <f t="shared" ca="1" si="472"/>
        <v>第49级，共造成329.9%点伤害</v>
      </c>
      <c r="G1071">
        <f t="shared" ca="1" si="481"/>
        <v>1</v>
      </c>
      <c r="H1071">
        <f t="shared" si="482"/>
        <v>1</v>
      </c>
      <c r="I1071" s="44">
        <f t="shared" ca="1" si="483"/>
        <v>49</v>
      </c>
      <c r="J1071">
        <f t="shared" si="484"/>
        <v>1</v>
      </c>
      <c r="K1071" s="36">
        <f t="shared" ca="1" si="485"/>
        <v>25.37912087912088</v>
      </c>
      <c r="L1071" s="10">
        <f ca="1">AH1071*VLOOKUP(C1071,技能辅助查询表,技能配置辅助表!$T$1,FALSE)</f>
        <v>0</v>
      </c>
      <c r="M1071">
        <f t="shared" ca="1" si="469"/>
        <v>5100</v>
      </c>
      <c r="N1071" s="33">
        <f ca="1">CHOOSE(1,W1071*U1071,X1071*'[1]0、经济设定'!$C$18)</f>
        <v>878199</v>
      </c>
      <c r="O1071">
        <f t="shared" si="486"/>
        <v>1</v>
      </c>
      <c r="P1071">
        <f t="shared" si="487"/>
        <v>13</v>
      </c>
      <c r="Q1071">
        <f t="shared" si="488"/>
        <v>1</v>
      </c>
      <c r="R1071" s="2">
        <f t="shared" si="489"/>
        <v>2</v>
      </c>
      <c r="S1071" s="2">
        <f t="shared" si="490"/>
        <v>50</v>
      </c>
      <c r="T1071" s="2">
        <f t="shared" si="491"/>
        <v>17.032967032967033</v>
      </c>
      <c r="U1071" s="2">
        <f ca="1">VLOOKUP(E1071,金币生产率!$A$2:$B$120,2,0)</f>
        <v>4047</v>
      </c>
      <c r="V1071" s="2">
        <f t="shared" si="492"/>
        <v>221.42857142857142</v>
      </c>
      <c r="W1071" s="45">
        <f t="shared" ca="1" si="476"/>
        <v>217</v>
      </c>
      <c r="X1071" s="48">
        <f t="shared" ca="1" si="477"/>
        <v>3190</v>
      </c>
      <c r="Y1071">
        <f t="shared" si="470"/>
        <v>18</v>
      </c>
      <c r="Z1071">
        <f t="shared" ca="1" si="473"/>
        <v>87</v>
      </c>
      <c r="AA1071" t="str">
        <f t="shared" ca="1" si="493"/>
        <v>9311100.png</v>
      </c>
      <c r="AB1071">
        <f t="shared" si="494"/>
        <v>2</v>
      </c>
      <c r="AC1071">
        <f>VLOOKUP(C1071,技能辅助查询表,技能配置辅助表!$W$1,FALSE)</f>
        <v>5307</v>
      </c>
      <c r="AD1071">
        <f t="shared" ca="1" si="474"/>
        <v>3068.459968300454</v>
      </c>
      <c r="AE1071">
        <f>VLOOKUP(C1071,技能辅助查询表,技能配置辅助表!$U$1,FALSE)</f>
        <v>1</v>
      </c>
      <c r="AF1071">
        <f t="shared" ca="1" si="495"/>
        <v>9311149</v>
      </c>
      <c r="AG1071">
        <f t="shared" ca="1" si="496"/>
        <v>78.408163265306129</v>
      </c>
      <c r="AH1071">
        <f t="shared" ca="1" si="475"/>
        <v>6672.6373961177951</v>
      </c>
      <c r="AI1071">
        <f ca="1">VLOOKUP(E1071,伤害参考系!$C$4:$E$104,3,FALSE)*$AN$12</f>
        <v>22287.658311872914</v>
      </c>
      <c r="AJ1071">
        <f>VLOOKUP(C1071,技能辅助查询表,技能配置辅助表!$L$1,FALSE)</f>
        <v>13</v>
      </c>
      <c r="AK1071">
        <f>VLOOKUP(C1071,技能辅助查询表,技能配置辅助表!$AE$1,FALSE)</f>
        <v>66000474</v>
      </c>
    </row>
    <row r="1072" spans="1:37" x14ac:dyDescent="0.15">
      <c r="A1072" s="1">
        <f t="shared" ca="1" si="478"/>
        <v>9311150</v>
      </c>
      <c r="B1072" s="1" t="str">
        <f t="shared" ca="1" si="479"/>
        <v>激光轰击</v>
      </c>
      <c r="C1072" t="s">
        <v>171</v>
      </c>
      <c r="D1072">
        <f t="shared" si="480"/>
        <v>3</v>
      </c>
      <c r="E1072" s="42">
        <f t="shared" ca="1" si="471"/>
        <v>80</v>
      </c>
      <c r="F1072" t="str">
        <f t="shared" ca="1" si="472"/>
        <v>第50级，共造成332.1%点伤害</v>
      </c>
      <c r="G1072">
        <f t="shared" ca="1" si="481"/>
        <v>1</v>
      </c>
      <c r="H1072">
        <f t="shared" si="482"/>
        <v>1</v>
      </c>
      <c r="I1072" s="44">
        <f t="shared" ca="1" si="483"/>
        <v>50</v>
      </c>
      <c r="J1072">
        <f t="shared" si="484"/>
        <v>1</v>
      </c>
      <c r="K1072" s="36">
        <f t="shared" ca="1" si="485"/>
        <v>25.549450549450547</v>
      </c>
      <c r="L1072" s="10">
        <f ca="1">AH1072*VLOOKUP(C1072,技能辅助查询表,技能配置辅助表!$T$1,FALSE)</f>
        <v>0</v>
      </c>
      <c r="M1072">
        <f t="shared" ca="1" si="469"/>
        <v>5000</v>
      </c>
      <c r="N1072" s="33">
        <f ca="1">CHOOSE(1,W1072*U1072,X1072*'[1]0、经济设定'!$C$18)</f>
        <v>988784</v>
      </c>
      <c r="O1072">
        <f t="shared" si="486"/>
        <v>1</v>
      </c>
      <c r="P1072">
        <f t="shared" si="487"/>
        <v>13</v>
      </c>
      <c r="Q1072">
        <f t="shared" si="488"/>
        <v>1</v>
      </c>
      <c r="R1072" s="2">
        <f t="shared" si="489"/>
        <v>2</v>
      </c>
      <c r="S1072" s="2">
        <f t="shared" si="490"/>
        <v>50</v>
      </c>
      <c r="T1072" s="2">
        <f t="shared" si="491"/>
        <v>17.032967032967033</v>
      </c>
      <c r="U1072" s="2">
        <f ca="1">VLOOKUP(E1072,金币生产率!$A$2:$B$120,2,0)</f>
        <v>4262</v>
      </c>
      <c r="V1072" s="2">
        <f t="shared" si="492"/>
        <v>221.42857142857142</v>
      </c>
      <c r="W1072" s="45">
        <f t="shared" ca="1" si="476"/>
        <v>232</v>
      </c>
      <c r="X1072" s="48">
        <f t="shared" ca="1" si="477"/>
        <v>3422</v>
      </c>
      <c r="Y1072">
        <f t="shared" si="470"/>
        <v>18</v>
      </c>
      <c r="Z1072">
        <f t="shared" ca="1" si="473"/>
        <v>93</v>
      </c>
      <c r="AA1072" t="str">
        <f t="shared" ca="1" si="493"/>
        <v>9311100.png</v>
      </c>
      <c r="AB1072">
        <f t="shared" si="494"/>
        <v>2</v>
      </c>
      <c r="AC1072">
        <f>VLOOKUP(C1072,技能辅助查询表,技能配置辅助表!$W$1,FALSE)</f>
        <v>5307</v>
      </c>
      <c r="AD1072">
        <f t="shared" ca="1" si="474"/>
        <v>3527.0436980976992</v>
      </c>
      <c r="AE1072">
        <f>VLOOKUP(C1072,技能辅助查询表,技能配置辅助表!$U$1,FALSE)</f>
        <v>1</v>
      </c>
      <c r="AF1072">
        <f t="shared" ca="1" si="495"/>
        <v>9311150</v>
      </c>
      <c r="AG1072">
        <f t="shared" ca="1" si="496"/>
        <v>80</v>
      </c>
      <c r="AH1072">
        <f t="shared" ca="1" si="475"/>
        <v>7596.7095035950451</v>
      </c>
      <c r="AI1072">
        <f ca="1">VLOOKUP(E1072,伤害参考系!$C$4:$E$104,3,FALSE)*$AN$12</f>
        <v>24028.87424749164</v>
      </c>
      <c r="AJ1072">
        <f>VLOOKUP(C1072,技能辅助查询表,技能配置辅助表!$L$1,FALSE)</f>
        <v>13</v>
      </c>
      <c r="AK1072">
        <f>VLOOKUP(C1072,技能辅助查询表,技能配置辅助表!$AE$1,FALSE)</f>
        <v>66000474</v>
      </c>
    </row>
    <row r="1073" spans="1:37" x14ac:dyDescent="0.15">
      <c r="A1073" s="1">
        <f t="shared" ca="1" si="478"/>
        <v>9322000</v>
      </c>
      <c r="B1073" s="1" t="str">
        <f t="shared" ca="1" si="479"/>
        <v>玫瑰之舞</v>
      </c>
      <c r="C1073" t="s">
        <v>172</v>
      </c>
      <c r="D1073">
        <f t="shared" si="480"/>
        <v>3</v>
      </c>
      <c r="E1073" s="42">
        <f t="shared" ca="1" si="471"/>
        <v>4</v>
      </c>
      <c r="F1073" t="str">
        <f t="shared" ca="1" si="472"/>
        <v>第0级，共造成132.9%点伤害</v>
      </c>
      <c r="G1073">
        <f t="shared" ca="1" si="481"/>
        <v>0</v>
      </c>
      <c r="H1073">
        <f t="shared" si="482"/>
        <v>1</v>
      </c>
      <c r="I1073" s="44">
        <f t="shared" ca="1" si="483"/>
        <v>0</v>
      </c>
      <c r="J1073">
        <f t="shared" si="484"/>
        <v>2</v>
      </c>
      <c r="K1073" s="36">
        <f t="shared" ca="1" si="485"/>
        <v>132.85714285714286</v>
      </c>
      <c r="L1073" s="10">
        <f ca="1">AH1073*VLOOKUP(C1073,技能辅助查询表,技能配置辅助表!$T$1,FALSE)</f>
        <v>0</v>
      </c>
      <c r="M1073">
        <f t="shared" ca="1" si="469"/>
        <v>8000</v>
      </c>
      <c r="N1073" s="33">
        <f ca="1">CHOOSE(1,W1073*U1073,X1073*'[1]0、经济设定'!$C$18)</f>
        <v>0</v>
      </c>
      <c r="O1073">
        <f t="shared" si="486"/>
        <v>2</v>
      </c>
      <c r="P1073">
        <f t="shared" si="487"/>
        <v>1</v>
      </c>
      <c r="Q1073">
        <f t="shared" si="488"/>
        <v>1</v>
      </c>
      <c r="R1073" s="2">
        <f t="shared" si="489"/>
        <v>4</v>
      </c>
      <c r="S1073" s="2">
        <f t="shared" si="490"/>
        <v>50</v>
      </c>
      <c r="T1073" s="2">
        <f t="shared" si="491"/>
        <v>132.85714285714286</v>
      </c>
      <c r="U1073" s="2">
        <f ca="1">VLOOKUP(E1073,金币生产率!$A$2:$B$120,2,0)</f>
        <v>68</v>
      </c>
      <c r="V1073" s="2">
        <f t="shared" si="492"/>
        <v>132.85714285714286</v>
      </c>
      <c r="W1073" s="45">
        <f t="shared" ca="1" si="476"/>
        <v>0</v>
      </c>
      <c r="X1073" s="48">
        <f t="shared" ca="1" si="477"/>
        <v>0</v>
      </c>
      <c r="Y1073">
        <f t="shared" si="470"/>
        <v>18</v>
      </c>
      <c r="Z1073">
        <f t="shared" ca="1" si="473"/>
        <v>0</v>
      </c>
      <c r="AA1073" t="str">
        <f t="shared" ca="1" si="493"/>
        <v>9322100.png</v>
      </c>
      <c r="AB1073">
        <f t="shared" si="494"/>
        <v>20</v>
      </c>
      <c r="AC1073">
        <f>VLOOKUP(C1073,技能辅助查询表,技能配置辅助表!$W$1,FALSE)</f>
        <v>5330</v>
      </c>
      <c r="AD1073">
        <f t="shared" ca="1" si="474"/>
        <v>0.76187828571428573</v>
      </c>
      <c r="AE1073">
        <f>VLOOKUP(C1073,技能辅助查询表,技能配置辅助表!$U$1,FALSE)</f>
        <v>4</v>
      </c>
      <c r="AF1073">
        <f t="shared" ca="1" si="495"/>
        <v>9322100</v>
      </c>
      <c r="AG1073">
        <f t="shared" ca="1" si="496"/>
        <v>0</v>
      </c>
      <c r="AH1073">
        <f t="shared" ca="1" si="475"/>
        <v>11.5938</v>
      </c>
      <c r="AI1073">
        <f ca="1">VLOOKUP(E1073,伤害参考系!$C$4:$E$104,3,FALSE)*$AN$12</f>
        <v>50.4</v>
      </c>
      <c r="AJ1073">
        <f>VLOOKUP(C1073,技能辅助查询表,技能配置辅助表!$L$1,FALSE)</f>
        <v>1</v>
      </c>
      <c r="AK1073">
        <f>VLOOKUP(C1073,技能辅助查询表,技能配置辅助表!$AE$1,FALSE)</f>
        <v>66000550</v>
      </c>
    </row>
    <row r="1074" spans="1:37" x14ac:dyDescent="0.15">
      <c r="A1074" s="1">
        <f t="shared" ca="1" si="478"/>
        <v>9322101</v>
      </c>
      <c r="B1074" s="1" t="str">
        <f t="shared" ca="1" si="479"/>
        <v>玫瑰之舞第1段</v>
      </c>
      <c r="C1074" t="s">
        <v>172</v>
      </c>
      <c r="D1074">
        <f t="shared" si="480"/>
        <v>3</v>
      </c>
      <c r="E1074" s="42">
        <f t="shared" ca="1" si="471"/>
        <v>4</v>
      </c>
      <c r="F1074" t="str">
        <f t="shared" ca="1" si="472"/>
        <v>第1级，共造成132.9%点伤害</v>
      </c>
      <c r="G1074">
        <f t="shared" ca="1" si="481"/>
        <v>1</v>
      </c>
      <c r="H1074">
        <f t="shared" si="482"/>
        <v>1</v>
      </c>
      <c r="I1074" s="44">
        <f t="shared" ca="1" si="483"/>
        <v>1</v>
      </c>
      <c r="J1074">
        <f t="shared" si="484"/>
        <v>2</v>
      </c>
      <c r="K1074" s="36">
        <f t="shared" ca="1" si="485"/>
        <v>132.85714285714286</v>
      </c>
      <c r="L1074" s="10">
        <f ca="1">AH1074*VLOOKUP(C1074,技能辅助查询表,技能配置辅助表!$T$1,FALSE)</f>
        <v>0</v>
      </c>
      <c r="M1074">
        <f t="shared" ca="1" si="469"/>
        <v>8000</v>
      </c>
      <c r="N1074" s="33">
        <f ca="1">CHOOSE(1,W1074*U1074,X1074*'[1]0、经济设定'!$C$18)</f>
        <v>272</v>
      </c>
      <c r="O1074">
        <f t="shared" si="486"/>
        <v>2</v>
      </c>
      <c r="P1074">
        <f t="shared" si="487"/>
        <v>1</v>
      </c>
      <c r="Q1074">
        <f t="shared" si="488"/>
        <v>1</v>
      </c>
      <c r="R1074" s="2">
        <f t="shared" si="489"/>
        <v>4</v>
      </c>
      <c r="S1074" s="2">
        <f t="shared" si="490"/>
        <v>50</v>
      </c>
      <c r="T1074" s="2">
        <f t="shared" si="491"/>
        <v>132.85714285714286</v>
      </c>
      <c r="U1074" s="2">
        <f ca="1">VLOOKUP(E1074,金币生产率!$A$2:$B$120,2,0)</f>
        <v>68</v>
      </c>
      <c r="V1074" s="2">
        <f t="shared" si="492"/>
        <v>132.85714285714286</v>
      </c>
      <c r="W1074" s="45">
        <f t="shared" ca="1" si="476"/>
        <v>4</v>
      </c>
      <c r="X1074" s="48">
        <f t="shared" ca="1" si="477"/>
        <v>4</v>
      </c>
      <c r="Y1074">
        <f t="shared" si="470"/>
        <v>18</v>
      </c>
      <c r="Z1074">
        <f t="shared" ca="1" si="473"/>
        <v>0</v>
      </c>
      <c r="AA1074" t="str">
        <f t="shared" ca="1" si="493"/>
        <v>9322100.png</v>
      </c>
      <c r="AB1074">
        <f t="shared" si="494"/>
        <v>20</v>
      </c>
      <c r="AC1074">
        <f>VLOOKUP(C1074,技能辅助查询表,技能配置辅助表!$W$1,FALSE)</f>
        <v>5330</v>
      </c>
      <c r="AD1074">
        <f t="shared" ca="1" si="474"/>
        <v>0.86738836086549465</v>
      </c>
      <c r="AE1074">
        <f>VLOOKUP(C1074,技能辅助查询表,技能配置辅助表!$U$1,FALSE)</f>
        <v>4</v>
      </c>
      <c r="AF1074">
        <f t="shared" ca="1" si="495"/>
        <v>9322101</v>
      </c>
      <c r="AG1074">
        <f t="shared" ca="1" si="496"/>
        <v>4</v>
      </c>
      <c r="AH1074">
        <f t="shared" ca="1" si="475"/>
        <v>13.199388100127095</v>
      </c>
      <c r="AI1074">
        <f ca="1">VLOOKUP(E1074,伤害参考系!$C$4:$E$104,3,FALSE)*$AN$12</f>
        <v>50.4</v>
      </c>
      <c r="AJ1074">
        <f>VLOOKUP(C1074,技能辅助查询表,技能配置辅助表!$L$1,FALSE)</f>
        <v>1</v>
      </c>
      <c r="AK1074">
        <f>VLOOKUP(C1074,技能辅助查询表,技能配置辅助表!$AE$1,FALSE)</f>
        <v>66000550</v>
      </c>
    </row>
    <row r="1075" spans="1:37" x14ac:dyDescent="0.15">
      <c r="A1075" s="1">
        <f t="shared" ca="1" si="478"/>
        <v>9322102</v>
      </c>
      <c r="B1075" s="1" t="str">
        <f t="shared" ca="1" si="479"/>
        <v>玫瑰之舞第1段</v>
      </c>
      <c r="C1075" t="s">
        <v>172</v>
      </c>
      <c r="D1075">
        <f t="shared" si="480"/>
        <v>3</v>
      </c>
      <c r="E1075" s="42">
        <f t="shared" ca="1" si="471"/>
        <v>7</v>
      </c>
      <c r="F1075" t="str">
        <f t="shared" ca="1" si="472"/>
        <v>第2级，共造成135.5%点伤害</v>
      </c>
      <c r="G1075">
        <f t="shared" ca="1" si="481"/>
        <v>1</v>
      </c>
      <c r="H1075">
        <f t="shared" si="482"/>
        <v>1</v>
      </c>
      <c r="I1075" s="44">
        <f t="shared" ca="1" si="483"/>
        <v>2</v>
      </c>
      <c r="J1075">
        <f t="shared" si="484"/>
        <v>2</v>
      </c>
      <c r="K1075" s="36">
        <f t="shared" ca="1" si="485"/>
        <v>135.51428571428571</v>
      </c>
      <c r="L1075" s="10">
        <f ca="1">AH1075*VLOOKUP(C1075,技能辅助查询表,技能配置辅助表!$T$1,FALSE)</f>
        <v>0</v>
      </c>
      <c r="M1075">
        <f t="shared" ca="1" si="469"/>
        <v>7840</v>
      </c>
      <c r="N1075" s="33">
        <f ca="1">CHOOSE(1,W1075*U1075,X1075*'[1]0、经济设定'!$C$18)</f>
        <v>344</v>
      </c>
      <c r="O1075">
        <f t="shared" si="486"/>
        <v>2</v>
      </c>
      <c r="P1075">
        <f t="shared" si="487"/>
        <v>1</v>
      </c>
      <c r="Q1075">
        <f t="shared" si="488"/>
        <v>1</v>
      </c>
      <c r="R1075" s="2">
        <f t="shared" si="489"/>
        <v>4</v>
      </c>
      <c r="S1075" s="2">
        <f t="shared" si="490"/>
        <v>50</v>
      </c>
      <c r="T1075" s="2">
        <f t="shared" si="491"/>
        <v>132.85714285714286</v>
      </c>
      <c r="U1075" s="2">
        <f ca="1">VLOOKUP(E1075,金币生产率!$A$2:$B$120,2,0)</f>
        <v>86</v>
      </c>
      <c r="V1075" s="2">
        <f t="shared" si="492"/>
        <v>132.85714285714286</v>
      </c>
      <c r="W1075" s="45">
        <f t="shared" ca="1" si="476"/>
        <v>4</v>
      </c>
      <c r="X1075" s="48">
        <f t="shared" ca="1" si="477"/>
        <v>8</v>
      </c>
      <c r="Y1075">
        <f t="shared" si="470"/>
        <v>18</v>
      </c>
      <c r="Z1075">
        <f t="shared" ca="1" si="473"/>
        <v>0</v>
      </c>
      <c r="AA1075" t="str">
        <f t="shared" ca="1" si="493"/>
        <v>9322100.png</v>
      </c>
      <c r="AB1075">
        <f t="shared" si="494"/>
        <v>20</v>
      </c>
      <c r="AC1075">
        <f>VLOOKUP(C1075,技能辅助查询表,技能配置辅助表!$W$1,FALSE)</f>
        <v>5330</v>
      </c>
      <c r="AD1075">
        <f t="shared" ca="1" si="474"/>
        <v>1.0673697067087407</v>
      </c>
      <c r="AE1075">
        <f>VLOOKUP(C1075,技能辅助查询表,技能配置辅助表!$U$1,FALSE)</f>
        <v>4</v>
      </c>
      <c r="AF1075">
        <f t="shared" ca="1" si="495"/>
        <v>9322102</v>
      </c>
      <c r="AG1075">
        <f t="shared" ca="1" si="496"/>
        <v>5.5510204081632653</v>
      </c>
      <c r="AH1075">
        <f t="shared" ca="1" si="475"/>
        <v>15.027328935963775</v>
      </c>
      <c r="AI1075">
        <f ca="1">VLOOKUP(E1075,伤害参考系!$C$4:$E$104,3,FALSE)*$AN$12</f>
        <v>101.93624999999999</v>
      </c>
      <c r="AJ1075">
        <f>VLOOKUP(C1075,技能辅助查询表,技能配置辅助表!$L$1,FALSE)</f>
        <v>1</v>
      </c>
      <c r="AK1075">
        <f>VLOOKUP(C1075,技能辅助查询表,技能配置辅助表!$AE$1,FALSE)</f>
        <v>66000550</v>
      </c>
    </row>
    <row r="1076" spans="1:37" x14ac:dyDescent="0.15">
      <c r="A1076" s="1">
        <f t="shared" ca="1" si="478"/>
        <v>9322103</v>
      </c>
      <c r="B1076" s="1" t="str">
        <f t="shared" ca="1" si="479"/>
        <v>玫瑰之舞第1段</v>
      </c>
      <c r="C1076" t="s">
        <v>172</v>
      </c>
      <c r="D1076">
        <f t="shared" si="480"/>
        <v>3</v>
      </c>
      <c r="E1076" s="42">
        <f t="shared" ca="1" si="471"/>
        <v>9</v>
      </c>
      <c r="F1076" t="str">
        <f t="shared" ca="1" si="472"/>
        <v>第3级，共造成136.8%点伤害</v>
      </c>
      <c r="G1076">
        <f t="shared" ca="1" si="481"/>
        <v>1</v>
      </c>
      <c r="H1076">
        <f t="shared" si="482"/>
        <v>1</v>
      </c>
      <c r="I1076" s="44">
        <f t="shared" ca="1" si="483"/>
        <v>3</v>
      </c>
      <c r="J1076">
        <f t="shared" si="484"/>
        <v>2</v>
      </c>
      <c r="K1076" s="36">
        <f t="shared" ca="1" si="485"/>
        <v>136.84285714285716</v>
      </c>
      <c r="L1076" s="10">
        <f ca="1">AH1076*VLOOKUP(C1076,技能辅助查询表,技能配置辅助表!$T$1,FALSE)</f>
        <v>0</v>
      </c>
      <c r="M1076">
        <f t="shared" ca="1" si="469"/>
        <v>7760</v>
      </c>
      <c r="N1076" s="33">
        <f ca="1">CHOOSE(1,W1076*U1076,X1076*'[1]0、经济设定'!$C$18)</f>
        <v>392</v>
      </c>
      <c r="O1076">
        <f t="shared" si="486"/>
        <v>2</v>
      </c>
      <c r="P1076">
        <f t="shared" si="487"/>
        <v>1</v>
      </c>
      <c r="Q1076">
        <f t="shared" si="488"/>
        <v>1</v>
      </c>
      <c r="R1076" s="2">
        <f t="shared" si="489"/>
        <v>4</v>
      </c>
      <c r="S1076" s="2">
        <f t="shared" si="490"/>
        <v>50</v>
      </c>
      <c r="T1076" s="2">
        <f t="shared" si="491"/>
        <v>132.85714285714286</v>
      </c>
      <c r="U1076" s="2">
        <f ca="1">VLOOKUP(E1076,金币生产率!$A$2:$B$120,2,0)</f>
        <v>98</v>
      </c>
      <c r="V1076" s="2">
        <f t="shared" si="492"/>
        <v>132.85714285714286</v>
      </c>
      <c r="W1076" s="45">
        <f t="shared" ca="1" si="476"/>
        <v>4</v>
      </c>
      <c r="X1076" s="48">
        <f t="shared" ca="1" si="477"/>
        <v>12</v>
      </c>
      <c r="Y1076">
        <f t="shared" si="470"/>
        <v>18</v>
      </c>
      <c r="Z1076">
        <f t="shared" ca="1" si="473"/>
        <v>0</v>
      </c>
      <c r="AA1076" t="str">
        <f t="shared" ca="1" si="493"/>
        <v>9322100.png</v>
      </c>
      <c r="AB1076">
        <f t="shared" si="494"/>
        <v>20</v>
      </c>
      <c r="AC1076">
        <f>VLOOKUP(C1076,技能辅助查询表,技能配置辅助表!$W$1,FALSE)</f>
        <v>5330</v>
      </c>
      <c r="AD1076">
        <f t="shared" ca="1" si="474"/>
        <v>1.2606458107587806</v>
      </c>
      <c r="AE1076">
        <f>VLOOKUP(C1076,技能辅助查询表,技能配置辅助表!$U$1,FALSE)</f>
        <v>4</v>
      </c>
      <c r="AF1076">
        <f t="shared" ca="1" si="495"/>
        <v>9322103</v>
      </c>
      <c r="AG1076">
        <f t="shared" ca="1" si="496"/>
        <v>7.1020408163265305</v>
      </c>
      <c r="AH1076">
        <f t="shared" ca="1" si="475"/>
        <v>17.108415423248271</v>
      </c>
      <c r="AI1076">
        <f ca="1">VLOOKUP(E1076,伤害参考系!$C$4:$E$104,3,FALSE)*$AN$12</f>
        <v>145.4708152173913</v>
      </c>
      <c r="AJ1076">
        <f>VLOOKUP(C1076,技能辅助查询表,技能配置辅助表!$L$1,FALSE)</f>
        <v>1</v>
      </c>
      <c r="AK1076">
        <f>VLOOKUP(C1076,技能辅助查询表,技能配置辅助表!$AE$1,FALSE)</f>
        <v>66000550</v>
      </c>
    </row>
    <row r="1077" spans="1:37" x14ac:dyDescent="0.15">
      <c r="A1077" s="1">
        <f t="shared" ca="1" si="478"/>
        <v>9322104</v>
      </c>
      <c r="B1077" s="1" t="str">
        <f t="shared" ca="1" si="479"/>
        <v>玫瑰之舞第1段</v>
      </c>
      <c r="C1077" t="s">
        <v>172</v>
      </c>
      <c r="D1077">
        <f t="shared" si="480"/>
        <v>3</v>
      </c>
      <c r="E1077" s="42">
        <f t="shared" ca="1" si="471"/>
        <v>10</v>
      </c>
      <c r="F1077" t="str">
        <f t="shared" ca="1" si="472"/>
        <v>第4级，共造成138.2%点伤害</v>
      </c>
      <c r="G1077">
        <f t="shared" ca="1" si="481"/>
        <v>1</v>
      </c>
      <c r="H1077">
        <f t="shared" si="482"/>
        <v>1</v>
      </c>
      <c r="I1077" s="44">
        <f t="shared" ca="1" si="483"/>
        <v>4</v>
      </c>
      <c r="J1077">
        <f t="shared" si="484"/>
        <v>2</v>
      </c>
      <c r="K1077" s="36">
        <f t="shared" ca="1" si="485"/>
        <v>138.17142857142858</v>
      </c>
      <c r="L1077" s="10">
        <f ca="1">AH1077*VLOOKUP(C1077,技能辅助查询表,技能配置辅助表!$T$1,FALSE)</f>
        <v>0</v>
      </c>
      <c r="M1077">
        <f t="shared" ca="1" si="469"/>
        <v>7680</v>
      </c>
      <c r="N1077" s="33">
        <f ca="1">CHOOSE(1,W1077*U1077,X1077*'[1]0、经济设定'!$C$18)</f>
        <v>520</v>
      </c>
      <c r="O1077">
        <f t="shared" si="486"/>
        <v>2</v>
      </c>
      <c r="P1077">
        <f t="shared" si="487"/>
        <v>1</v>
      </c>
      <c r="Q1077">
        <f t="shared" si="488"/>
        <v>1</v>
      </c>
      <c r="R1077" s="2">
        <f t="shared" si="489"/>
        <v>4</v>
      </c>
      <c r="S1077" s="2">
        <f t="shared" si="490"/>
        <v>50</v>
      </c>
      <c r="T1077" s="2">
        <f t="shared" si="491"/>
        <v>132.85714285714286</v>
      </c>
      <c r="U1077" s="2">
        <f ca="1">VLOOKUP(E1077,金币生产率!$A$2:$B$120,2,0)</f>
        <v>104</v>
      </c>
      <c r="V1077" s="2">
        <f t="shared" si="492"/>
        <v>132.85714285714286</v>
      </c>
      <c r="W1077" s="45">
        <f t="shared" ca="1" si="476"/>
        <v>5</v>
      </c>
      <c r="X1077" s="48">
        <f t="shared" ca="1" si="477"/>
        <v>17</v>
      </c>
      <c r="Y1077">
        <f t="shared" si="470"/>
        <v>18</v>
      </c>
      <c r="Z1077">
        <f t="shared" ca="1" si="473"/>
        <v>0</v>
      </c>
      <c r="AA1077" t="str">
        <f t="shared" ca="1" si="493"/>
        <v>9322100.png</v>
      </c>
      <c r="AB1077">
        <f t="shared" si="494"/>
        <v>20</v>
      </c>
      <c r="AC1077">
        <f>VLOOKUP(C1077,技能辅助查询表,技能配置辅助表!$W$1,FALSE)</f>
        <v>5330</v>
      </c>
      <c r="AD1077">
        <f t="shared" ca="1" si="474"/>
        <v>1.4869836418614775</v>
      </c>
      <c r="AE1077">
        <f>VLOOKUP(C1077,技能辅助查询表,技能配置辅助表!$U$1,FALSE)</f>
        <v>4</v>
      </c>
      <c r="AF1077">
        <f t="shared" ca="1" si="495"/>
        <v>9322104</v>
      </c>
      <c r="AG1077">
        <f t="shared" ca="1" si="496"/>
        <v>8.6530612244897966</v>
      </c>
      <c r="AH1077">
        <f t="shared" ca="1" si="475"/>
        <v>19.477704889652582</v>
      </c>
      <c r="AI1077">
        <f ca="1">VLOOKUP(E1077,伤害参考系!$C$4:$E$104,3,FALSE)*$AN$12</f>
        <v>177.55434782608697</v>
      </c>
      <c r="AJ1077">
        <f>VLOOKUP(C1077,技能辅助查询表,技能配置辅助表!$L$1,FALSE)</f>
        <v>1</v>
      </c>
      <c r="AK1077">
        <f>VLOOKUP(C1077,技能辅助查询表,技能配置辅助表!$AE$1,FALSE)</f>
        <v>66000550</v>
      </c>
    </row>
    <row r="1078" spans="1:37" x14ac:dyDescent="0.15">
      <c r="A1078" s="1">
        <f t="shared" ca="1" si="478"/>
        <v>9322105</v>
      </c>
      <c r="B1078" s="1" t="str">
        <f t="shared" ca="1" si="479"/>
        <v>玫瑰之舞第1段</v>
      </c>
      <c r="C1078" t="s">
        <v>172</v>
      </c>
      <c r="D1078">
        <f t="shared" si="480"/>
        <v>3</v>
      </c>
      <c r="E1078" s="42">
        <f t="shared" ca="1" si="471"/>
        <v>12</v>
      </c>
      <c r="F1078" t="str">
        <f t="shared" ca="1" si="472"/>
        <v>第5级，共造成139.5%点伤害</v>
      </c>
      <c r="G1078">
        <f t="shared" ca="1" si="481"/>
        <v>1</v>
      </c>
      <c r="H1078">
        <f t="shared" si="482"/>
        <v>1</v>
      </c>
      <c r="I1078" s="44">
        <f t="shared" ca="1" si="483"/>
        <v>5</v>
      </c>
      <c r="J1078">
        <f t="shared" si="484"/>
        <v>2</v>
      </c>
      <c r="K1078" s="36">
        <f t="shared" ca="1" si="485"/>
        <v>139.5</v>
      </c>
      <c r="L1078" s="10">
        <f ca="1">AH1078*VLOOKUP(C1078,技能辅助查询表,技能配置辅助表!$T$1,FALSE)</f>
        <v>0</v>
      </c>
      <c r="M1078">
        <f t="shared" ca="1" si="469"/>
        <v>7600</v>
      </c>
      <c r="N1078" s="33">
        <f ca="1">CHOOSE(1,W1078*U1078,X1078*'[1]0、经济设定'!$C$18)</f>
        <v>580</v>
      </c>
      <c r="O1078">
        <f t="shared" si="486"/>
        <v>2</v>
      </c>
      <c r="P1078">
        <f t="shared" si="487"/>
        <v>1</v>
      </c>
      <c r="Q1078">
        <f t="shared" si="488"/>
        <v>1</v>
      </c>
      <c r="R1078" s="2">
        <f t="shared" si="489"/>
        <v>4</v>
      </c>
      <c r="S1078" s="2">
        <f t="shared" si="490"/>
        <v>50</v>
      </c>
      <c r="T1078" s="2">
        <f t="shared" si="491"/>
        <v>132.85714285714286</v>
      </c>
      <c r="U1078" s="2">
        <f ca="1">VLOOKUP(E1078,金币生产率!$A$2:$B$120,2,0)</f>
        <v>116</v>
      </c>
      <c r="V1078" s="2">
        <f t="shared" si="492"/>
        <v>132.85714285714286</v>
      </c>
      <c r="W1078" s="45">
        <f t="shared" ca="1" si="476"/>
        <v>5</v>
      </c>
      <c r="X1078" s="48">
        <f t="shared" ca="1" si="477"/>
        <v>22</v>
      </c>
      <c r="Y1078">
        <f t="shared" si="470"/>
        <v>18</v>
      </c>
      <c r="Z1078">
        <f t="shared" ca="1" si="473"/>
        <v>0</v>
      </c>
      <c r="AA1078" t="str">
        <f t="shared" ca="1" si="493"/>
        <v>9322100.png</v>
      </c>
      <c r="AB1078">
        <f t="shared" si="494"/>
        <v>20</v>
      </c>
      <c r="AC1078">
        <f>VLOOKUP(C1078,技能辅助查询表,技能配置辅助表!$W$1,FALSE)</f>
        <v>5330</v>
      </c>
      <c r="AD1078">
        <f t="shared" ca="1" si="474"/>
        <v>1.751833661519359</v>
      </c>
      <c r="AE1078">
        <f>VLOOKUP(C1078,技能辅助查询表,技能配置辅助表!$U$1,FALSE)</f>
        <v>4</v>
      </c>
      <c r="AF1078">
        <f t="shared" ca="1" si="495"/>
        <v>9322105</v>
      </c>
      <c r="AG1078">
        <f t="shared" ca="1" si="496"/>
        <v>10.204081632653061</v>
      </c>
      <c r="AH1078">
        <f t="shared" ca="1" si="475"/>
        <v>22.175109639485559</v>
      </c>
      <c r="AI1078">
        <f ca="1">VLOOKUP(E1078,伤害参考系!$C$4:$E$104,3,FALSE)*$AN$12</f>
        <v>249.04956521739126</v>
      </c>
      <c r="AJ1078">
        <f>VLOOKUP(C1078,技能辅助查询表,技能配置辅助表!$L$1,FALSE)</f>
        <v>1</v>
      </c>
      <c r="AK1078">
        <f>VLOOKUP(C1078,技能辅助查询表,技能配置辅助表!$AE$1,FALSE)</f>
        <v>66000550</v>
      </c>
    </row>
    <row r="1079" spans="1:37" x14ac:dyDescent="0.15">
      <c r="A1079" s="1">
        <f t="shared" ca="1" si="478"/>
        <v>9322106</v>
      </c>
      <c r="B1079" s="1" t="str">
        <f t="shared" ca="1" si="479"/>
        <v>玫瑰之舞第1段</v>
      </c>
      <c r="C1079" t="s">
        <v>172</v>
      </c>
      <c r="D1079">
        <f t="shared" si="480"/>
        <v>3</v>
      </c>
      <c r="E1079" s="42">
        <f t="shared" ca="1" si="471"/>
        <v>13</v>
      </c>
      <c r="F1079" t="str">
        <f t="shared" ca="1" si="472"/>
        <v>第6级，共造成140.8%点伤害</v>
      </c>
      <c r="G1079">
        <f t="shared" ca="1" si="481"/>
        <v>1</v>
      </c>
      <c r="H1079">
        <f t="shared" si="482"/>
        <v>1</v>
      </c>
      <c r="I1079" s="44">
        <f t="shared" ca="1" si="483"/>
        <v>6</v>
      </c>
      <c r="J1079">
        <f t="shared" si="484"/>
        <v>2</v>
      </c>
      <c r="K1079" s="36">
        <f t="shared" ca="1" si="485"/>
        <v>140.82857142857142</v>
      </c>
      <c r="L1079" s="10">
        <f ca="1">AH1079*VLOOKUP(C1079,技能辅助查询表,技能配置辅助表!$T$1,FALSE)</f>
        <v>0</v>
      </c>
      <c r="M1079">
        <f t="shared" ca="1" si="469"/>
        <v>7520</v>
      </c>
      <c r="N1079" s="33">
        <f ca="1">CHOOSE(1,W1079*U1079,X1079*'[1]0、经济设定'!$C$18)</f>
        <v>610</v>
      </c>
      <c r="O1079">
        <f t="shared" si="486"/>
        <v>2</v>
      </c>
      <c r="P1079">
        <f t="shared" si="487"/>
        <v>1</v>
      </c>
      <c r="Q1079">
        <f t="shared" si="488"/>
        <v>1</v>
      </c>
      <c r="R1079" s="2">
        <f t="shared" si="489"/>
        <v>4</v>
      </c>
      <c r="S1079" s="2">
        <f t="shared" si="490"/>
        <v>50</v>
      </c>
      <c r="T1079" s="2">
        <f t="shared" si="491"/>
        <v>132.85714285714286</v>
      </c>
      <c r="U1079" s="2">
        <f ca="1">VLOOKUP(E1079,金币生产率!$A$2:$B$120,2,0)</f>
        <v>122</v>
      </c>
      <c r="V1079" s="2">
        <f t="shared" si="492"/>
        <v>132.85714285714286</v>
      </c>
      <c r="W1079" s="45">
        <f t="shared" ca="1" si="476"/>
        <v>5</v>
      </c>
      <c r="X1079" s="48">
        <f t="shared" ca="1" si="477"/>
        <v>27</v>
      </c>
      <c r="Y1079">
        <f t="shared" si="470"/>
        <v>18</v>
      </c>
      <c r="Z1079">
        <f t="shared" ca="1" si="473"/>
        <v>0</v>
      </c>
      <c r="AA1079" t="str">
        <f t="shared" ca="1" si="493"/>
        <v>9322100.png</v>
      </c>
      <c r="AB1079">
        <f t="shared" si="494"/>
        <v>20</v>
      </c>
      <c r="AC1079">
        <f>VLOOKUP(C1079,技能辅助查询表,技能配置辅助表!$W$1,FALSE)</f>
        <v>5330</v>
      </c>
      <c r="AD1079">
        <f t="shared" ca="1" si="474"/>
        <v>2.0615218877220278</v>
      </c>
      <c r="AE1079">
        <f>VLOOKUP(C1079,技能辅助查询表,技能配置辅助表!$U$1,FALSE)</f>
        <v>4</v>
      </c>
      <c r="AF1079">
        <f t="shared" ca="1" si="495"/>
        <v>9322106</v>
      </c>
      <c r="AG1079">
        <f t="shared" ca="1" si="496"/>
        <v>11.755102040816325</v>
      </c>
      <c r="AH1079">
        <f t="shared" ca="1" si="475"/>
        <v>25.246069303803697</v>
      </c>
      <c r="AI1079">
        <f ca="1">VLOOKUP(E1079,伤害参考系!$C$4:$E$104,3,FALSE)*$AN$12</f>
        <v>288.46124999999995</v>
      </c>
      <c r="AJ1079">
        <f>VLOOKUP(C1079,技能辅助查询表,技能配置辅助表!$L$1,FALSE)</f>
        <v>1</v>
      </c>
      <c r="AK1079">
        <f>VLOOKUP(C1079,技能辅助查询表,技能配置辅助表!$AE$1,FALSE)</f>
        <v>66000550</v>
      </c>
    </row>
    <row r="1080" spans="1:37" x14ac:dyDescent="0.15">
      <c r="A1080" s="1">
        <f t="shared" ca="1" si="478"/>
        <v>9322107</v>
      </c>
      <c r="B1080" s="1" t="str">
        <f t="shared" ca="1" si="479"/>
        <v>玫瑰之舞第1段</v>
      </c>
      <c r="C1080" t="s">
        <v>172</v>
      </c>
      <c r="D1080">
        <f t="shared" si="480"/>
        <v>3</v>
      </c>
      <c r="E1080" s="42">
        <f t="shared" ca="1" si="471"/>
        <v>15</v>
      </c>
      <c r="F1080" t="str">
        <f t="shared" ca="1" si="472"/>
        <v>第7级，共造成142.2%点伤害</v>
      </c>
      <c r="G1080">
        <f t="shared" ca="1" si="481"/>
        <v>1</v>
      </c>
      <c r="H1080">
        <f t="shared" si="482"/>
        <v>1</v>
      </c>
      <c r="I1080" s="44">
        <f t="shared" ca="1" si="483"/>
        <v>7</v>
      </c>
      <c r="J1080">
        <f t="shared" si="484"/>
        <v>2</v>
      </c>
      <c r="K1080" s="36">
        <f t="shared" ca="1" si="485"/>
        <v>142.15714285714287</v>
      </c>
      <c r="L1080" s="10">
        <f ca="1">AH1080*VLOOKUP(C1080,技能辅助查询表,技能配置辅助表!$T$1,FALSE)</f>
        <v>0</v>
      </c>
      <c r="M1080">
        <f t="shared" ca="1" si="469"/>
        <v>7440</v>
      </c>
      <c r="N1080" s="33">
        <f ca="1">CHOOSE(1,W1080*U1080,X1080*'[1]0、经济设定'!$C$18)</f>
        <v>670</v>
      </c>
      <c r="O1080">
        <f t="shared" si="486"/>
        <v>2</v>
      </c>
      <c r="P1080">
        <f t="shared" si="487"/>
        <v>1</v>
      </c>
      <c r="Q1080">
        <f t="shared" si="488"/>
        <v>1</v>
      </c>
      <c r="R1080" s="2">
        <f t="shared" si="489"/>
        <v>4</v>
      </c>
      <c r="S1080" s="2">
        <f t="shared" si="490"/>
        <v>50</v>
      </c>
      <c r="T1080" s="2">
        <f t="shared" si="491"/>
        <v>132.85714285714286</v>
      </c>
      <c r="U1080" s="2">
        <f ca="1">VLOOKUP(E1080,金币生产率!$A$2:$B$120,2,0)</f>
        <v>134</v>
      </c>
      <c r="V1080" s="2">
        <f t="shared" si="492"/>
        <v>132.85714285714286</v>
      </c>
      <c r="W1080" s="45">
        <f t="shared" ca="1" si="476"/>
        <v>5</v>
      </c>
      <c r="X1080" s="48">
        <f t="shared" ca="1" si="477"/>
        <v>32</v>
      </c>
      <c r="Y1080">
        <f t="shared" si="470"/>
        <v>18</v>
      </c>
      <c r="Z1080">
        <f t="shared" ca="1" si="473"/>
        <v>0</v>
      </c>
      <c r="AA1080" t="str">
        <f t="shared" ca="1" si="493"/>
        <v>9322100.png</v>
      </c>
      <c r="AB1080">
        <f t="shared" si="494"/>
        <v>20</v>
      </c>
      <c r="AC1080">
        <f>VLOOKUP(C1080,技能辅助查询表,技能配置辅助表!$W$1,FALSE)</f>
        <v>5330</v>
      </c>
      <c r="AD1080">
        <f t="shared" ca="1" si="474"/>
        <v>2.423387868787986</v>
      </c>
      <c r="AE1080">
        <f>VLOOKUP(C1080,技能辅助查询表,技能配置辅助表!$U$1,FALSE)</f>
        <v>4</v>
      </c>
      <c r="AF1080">
        <f t="shared" ca="1" si="495"/>
        <v>9322107</v>
      </c>
      <c r="AG1080">
        <f t="shared" ca="1" si="496"/>
        <v>13.306122448979592</v>
      </c>
      <c r="AH1080">
        <f t="shared" ca="1" si="475"/>
        <v>28.742316302127907</v>
      </c>
      <c r="AI1080">
        <f ca="1">VLOOKUP(E1080,伤害参考系!$C$4:$E$104,3,FALSE)*$AN$12</f>
        <v>374.61277173913044</v>
      </c>
      <c r="AJ1080">
        <f>VLOOKUP(C1080,技能辅助查询表,技能配置辅助表!$L$1,FALSE)</f>
        <v>1</v>
      </c>
      <c r="AK1080">
        <f>VLOOKUP(C1080,技能辅助查询表,技能配置辅助表!$AE$1,FALSE)</f>
        <v>66000550</v>
      </c>
    </row>
    <row r="1081" spans="1:37" x14ac:dyDescent="0.15">
      <c r="A1081" s="1">
        <f t="shared" ca="1" si="478"/>
        <v>9322108</v>
      </c>
      <c r="B1081" s="1" t="str">
        <f t="shared" ca="1" si="479"/>
        <v>玫瑰之舞第1段</v>
      </c>
      <c r="C1081" t="s">
        <v>172</v>
      </c>
      <c r="D1081">
        <f t="shared" si="480"/>
        <v>3</v>
      </c>
      <c r="E1081" s="42">
        <f t="shared" ca="1" si="471"/>
        <v>16</v>
      </c>
      <c r="F1081" t="str">
        <f t="shared" ca="1" si="472"/>
        <v>第8级，共造成143.5%点伤害</v>
      </c>
      <c r="G1081">
        <f t="shared" ca="1" si="481"/>
        <v>1</v>
      </c>
      <c r="H1081">
        <f t="shared" si="482"/>
        <v>1</v>
      </c>
      <c r="I1081" s="44">
        <f t="shared" ca="1" si="483"/>
        <v>8</v>
      </c>
      <c r="J1081">
        <f t="shared" si="484"/>
        <v>2</v>
      </c>
      <c r="K1081" s="36">
        <f t="shared" ca="1" si="485"/>
        <v>143.48571428571429</v>
      </c>
      <c r="L1081" s="10">
        <f ca="1">AH1081*VLOOKUP(C1081,技能辅助查询表,技能配置辅助表!$T$1,FALSE)</f>
        <v>0</v>
      </c>
      <c r="M1081">
        <f t="shared" ca="1" si="469"/>
        <v>7360</v>
      </c>
      <c r="N1081" s="33">
        <f ca="1">CHOOSE(1,W1081*U1081,X1081*'[1]0、经济设定'!$C$18)</f>
        <v>840</v>
      </c>
      <c r="O1081">
        <f t="shared" si="486"/>
        <v>2</v>
      </c>
      <c r="P1081">
        <f t="shared" si="487"/>
        <v>1</v>
      </c>
      <c r="Q1081">
        <f t="shared" si="488"/>
        <v>1</v>
      </c>
      <c r="R1081" s="2">
        <f t="shared" si="489"/>
        <v>4</v>
      </c>
      <c r="S1081" s="2">
        <f t="shared" si="490"/>
        <v>50</v>
      </c>
      <c r="T1081" s="2">
        <f t="shared" si="491"/>
        <v>132.85714285714286</v>
      </c>
      <c r="U1081" s="2">
        <f ca="1">VLOOKUP(E1081,金币生产率!$A$2:$B$120,2,0)</f>
        <v>140</v>
      </c>
      <c r="V1081" s="2">
        <f t="shared" si="492"/>
        <v>132.85714285714286</v>
      </c>
      <c r="W1081" s="45">
        <f t="shared" ca="1" si="476"/>
        <v>6</v>
      </c>
      <c r="X1081" s="48">
        <f t="shared" ca="1" si="477"/>
        <v>38</v>
      </c>
      <c r="Y1081">
        <f t="shared" si="470"/>
        <v>18</v>
      </c>
      <c r="Z1081">
        <f t="shared" ca="1" si="473"/>
        <v>0</v>
      </c>
      <c r="AA1081" t="str">
        <f t="shared" ca="1" si="493"/>
        <v>9322100.png</v>
      </c>
      <c r="AB1081">
        <f t="shared" si="494"/>
        <v>20</v>
      </c>
      <c r="AC1081">
        <f>VLOOKUP(C1081,技能辅助查询表,技能配置辅助表!$W$1,FALSE)</f>
        <v>5330</v>
      </c>
      <c r="AD1081">
        <f t="shared" ca="1" si="474"/>
        <v>2.8459440803754661</v>
      </c>
      <c r="AE1081">
        <f>VLOOKUP(C1081,技能辅助查询表,技能配置辅助表!$U$1,FALSE)</f>
        <v>4</v>
      </c>
      <c r="AF1081">
        <f t="shared" ca="1" si="495"/>
        <v>9322108</v>
      </c>
      <c r="AG1081">
        <f t="shared" ca="1" si="496"/>
        <v>14.857142857142858</v>
      </c>
      <c r="AH1081">
        <f t="shared" ca="1" si="475"/>
        <v>32.722747310493212</v>
      </c>
      <c r="AI1081">
        <f ca="1">VLOOKUP(E1081,伤害参考系!$C$4:$E$104,3,FALSE)*$AN$12</f>
        <v>421.35260869565224</v>
      </c>
      <c r="AJ1081">
        <f>VLOOKUP(C1081,技能辅助查询表,技能配置辅助表!$L$1,FALSE)</f>
        <v>1</v>
      </c>
      <c r="AK1081">
        <f>VLOOKUP(C1081,技能辅助查询表,技能配置辅助表!$AE$1,FALSE)</f>
        <v>66000550</v>
      </c>
    </row>
    <row r="1082" spans="1:37" x14ac:dyDescent="0.15">
      <c r="A1082" s="1">
        <f t="shared" ca="1" si="478"/>
        <v>9322109</v>
      </c>
      <c r="B1082" s="1" t="str">
        <f t="shared" ca="1" si="479"/>
        <v>玫瑰之舞第1段</v>
      </c>
      <c r="C1082" t="s">
        <v>172</v>
      </c>
      <c r="D1082">
        <f t="shared" si="480"/>
        <v>3</v>
      </c>
      <c r="E1082" s="42">
        <f t="shared" ca="1" si="471"/>
        <v>18</v>
      </c>
      <c r="F1082" t="str">
        <f t="shared" ca="1" si="472"/>
        <v>第9级，共造成144.8%点伤害</v>
      </c>
      <c r="G1082">
        <f t="shared" ca="1" si="481"/>
        <v>1</v>
      </c>
      <c r="H1082">
        <f t="shared" si="482"/>
        <v>1</v>
      </c>
      <c r="I1082" s="44">
        <f t="shared" ca="1" si="483"/>
        <v>9</v>
      </c>
      <c r="J1082">
        <f t="shared" si="484"/>
        <v>2</v>
      </c>
      <c r="K1082" s="36">
        <f t="shared" ca="1" si="485"/>
        <v>144.81428571428572</v>
      </c>
      <c r="L1082" s="10">
        <f ca="1">AH1082*VLOOKUP(C1082,技能辅助查询表,技能配置辅助表!$T$1,FALSE)</f>
        <v>0</v>
      </c>
      <c r="M1082">
        <f t="shared" ca="1" si="469"/>
        <v>7280</v>
      </c>
      <c r="N1082" s="33">
        <f ca="1">CHOOSE(1,W1082*U1082,X1082*'[1]0、经济设定'!$C$18)</f>
        <v>912</v>
      </c>
      <c r="O1082">
        <f t="shared" si="486"/>
        <v>2</v>
      </c>
      <c r="P1082">
        <f t="shared" si="487"/>
        <v>1</v>
      </c>
      <c r="Q1082">
        <f t="shared" si="488"/>
        <v>1</v>
      </c>
      <c r="R1082" s="2">
        <f t="shared" si="489"/>
        <v>4</v>
      </c>
      <c r="S1082" s="2">
        <f t="shared" si="490"/>
        <v>50</v>
      </c>
      <c r="T1082" s="2">
        <f t="shared" si="491"/>
        <v>132.85714285714286</v>
      </c>
      <c r="U1082" s="2">
        <f ca="1">VLOOKUP(E1082,金币生产率!$A$2:$B$120,2,0)</f>
        <v>152</v>
      </c>
      <c r="V1082" s="2">
        <f t="shared" si="492"/>
        <v>132.85714285714286</v>
      </c>
      <c r="W1082" s="45">
        <f t="shared" ca="1" si="476"/>
        <v>6</v>
      </c>
      <c r="X1082" s="48">
        <f t="shared" ca="1" si="477"/>
        <v>44</v>
      </c>
      <c r="Y1082">
        <f t="shared" si="470"/>
        <v>18</v>
      </c>
      <c r="Z1082">
        <f t="shared" ca="1" si="473"/>
        <v>0</v>
      </c>
      <c r="AA1082" t="str">
        <f t="shared" ca="1" si="493"/>
        <v>9322100.png</v>
      </c>
      <c r="AB1082">
        <f t="shared" si="494"/>
        <v>20</v>
      </c>
      <c r="AC1082">
        <f>VLOOKUP(C1082,技能辅助查询表,技能配置辅助表!$W$1,FALSE)</f>
        <v>5330</v>
      </c>
      <c r="AD1082">
        <f t="shared" ca="1" si="474"/>
        <v>3.3390600331702203</v>
      </c>
      <c r="AE1082">
        <f>VLOOKUP(C1082,技能辅助查询表,技能配置辅助表!$U$1,FALSE)</f>
        <v>4</v>
      </c>
      <c r="AF1082">
        <f t="shared" ca="1" si="495"/>
        <v>9322109</v>
      </c>
      <c r="AG1082">
        <f t="shared" ca="1" si="496"/>
        <v>16.408163265306122</v>
      </c>
      <c r="AH1082">
        <f t="shared" ca="1" si="475"/>
        <v>37.25441541630785</v>
      </c>
      <c r="AI1082">
        <f ca="1">VLOOKUP(E1082,伤害参考系!$C$4:$E$104,3,FALSE)*$AN$12</f>
        <v>522.16043478260883</v>
      </c>
      <c r="AJ1082">
        <f>VLOOKUP(C1082,技能辅助查询表,技能配置辅助表!$L$1,FALSE)</f>
        <v>1</v>
      </c>
      <c r="AK1082">
        <f>VLOOKUP(C1082,技能辅助查询表,技能配置辅助表!$AE$1,FALSE)</f>
        <v>66000550</v>
      </c>
    </row>
    <row r="1083" spans="1:37" x14ac:dyDescent="0.15">
      <c r="A1083" s="1">
        <f t="shared" ca="1" si="478"/>
        <v>9322110</v>
      </c>
      <c r="B1083" s="1" t="str">
        <f t="shared" ca="1" si="479"/>
        <v>玫瑰之舞第1段</v>
      </c>
      <c r="C1083" t="s">
        <v>172</v>
      </c>
      <c r="D1083">
        <f t="shared" si="480"/>
        <v>3</v>
      </c>
      <c r="E1083" s="42">
        <f t="shared" ca="1" si="471"/>
        <v>19</v>
      </c>
      <c r="F1083" t="str">
        <f t="shared" ca="1" si="472"/>
        <v>第10级，共造成146.1%点伤害</v>
      </c>
      <c r="G1083">
        <f t="shared" ca="1" si="481"/>
        <v>1</v>
      </c>
      <c r="H1083">
        <f t="shared" si="482"/>
        <v>1</v>
      </c>
      <c r="I1083" s="44">
        <f t="shared" ca="1" si="483"/>
        <v>10</v>
      </c>
      <c r="J1083">
        <f t="shared" si="484"/>
        <v>2</v>
      </c>
      <c r="K1083" s="36">
        <f t="shared" ca="1" si="485"/>
        <v>146.14285714285714</v>
      </c>
      <c r="L1083" s="10">
        <f ca="1">AH1083*VLOOKUP(C1083,技能辅助查询表,技能配置辅助表!$T$1,FALSE)</f>
        <v>0</v>
      </c>
      <c r="M1083">
        <f t="shared" ca="1" si="469"/>
        <v>7200</v>
      </c>
      <c r="N1083" s="33">
        <f ca="1">CHOOSE(1,W1083*U1083,X1083*'[1]0、经济设定'!$C$18)</f>
        <v>1106</v>
      </c>
      <c r="O1083">
        <f t="shared" si="486"/>
        <v>2</v>
      </c>
      <c r="P1083">
        <f t="shared" si="487"/>
        <v>1</v>
      </c>
      <c r="Q1083">
        <f t="shared" si="488"/>
        <v>1</v>
      </c>
      <c r="R1083" s="2">
        <f t="shared" si="489"/>
        <v>4</v>
      </c>
      <c r="S1083" s="2">
        <f t="shared" si="490"/>
        <v>50</v>
      </c>
      <c r="T1083" s="2">
        <f t="shared" si="491"/>
        <v>132.85714285714286</v>
      </c>
      <c r="U1083" s="2">
        <f ca="1">VLOOKUP(E1083,金币生产率!$A$2:$B$120,2,0)</f>
        <v>158</v>
      </c>
      <c r="V1083" s="2">
        <f t="shared" si="492"/>
        <v>132.85714285714286</v>
      </c>
      <c r="W1083" s="45">
        <f t="shared" ca="1" si="476"/>
        <v>7</v>
      </c>
      <c r="X1083" s="48">
        <f t="shared" ca="1" si="477"/>
        <v>51</v>
      </c>
      <c r="Y1083">
        <f t="shared" si="470"/>
        <v>18</v>
      </c>
      <c r="Z1083">
        <f t="shared" ca="1" si="473"/>
        <v>0</v>
      </c>
      <c r="AA1083" t="str">
        <f t="shared" ca="1" si="493"/>
        <v>9322100.png</v>
      </c>
      <c r="AB1083">
        <f t="shared" si="494"/>
        <v>20</v>
      </c>
      <c r="AC1083">
        <f>VLOOKUP(C1083,技能辅助查询表,技能配置辅助表!$W$1,FALSE)</f>
        <v>5330</v>
      </c>
      <c r="AD1083">
        <f t="shared" ca="1" si="474"/>
        <v>3.9141748784447672</v>
      </c>
      <c r="AE1083">
        <f>VLOOKUP(C1083,技能辅助查询表,技能配置辅助表!$U$1,FALSE)</f>
        <v>4</v>
      </c>
      <c r="AF1083">
        <f t="shared" ca="1" si="495"/>
        <v>9322110</v>
      </c>
      <c r="AG1083">
        <f t="shared" ca="1" si="496"/>
        <v>17.95918367346939</v>
      </c>
      <c r="AH1083">
        <f t="shared" ca="1" si="475"/>
        <v>42.413659673550121</v>
      </c>
      <c r="AI1083">
        <f ca="1">VLOOKUP(E1083,伤害参考系!$C$4:$E$104,3,FALSE)*$AN$12</f>
        <v>576.22842391304346</v>
      </c>
      <c r="AJ1083">
        <f>VLOOKUP(C1083,技能辅助查询表,技能配置辅助表!$L$1,FALSE)</f>
        <v>1</v>
      </c>
      <c r="AK1083">
        <f>VLOOKUP(C1083,技能辅助查询表,技能配置辅助表!$AE$1,FALSE)</f>
        <v>66000550</v>
      </c>
    </row>
    <row r="1084" spans="1:37" x14ac:dyDescent="0.15">
      <c r="A1084" s="1">
        <f t="shared" ca="1" si="478"/>
        <v>9322111</v>
      </c>
      <c r="B1084" s="1" t="str">
        <f t="shared" ca="1" si="479"/>
        <v>玫瑰之舞第1段</v>
      </c>
      <c r="C1084" t="s">
        <v>172</v>
      </c>
      <c r="D1084">
        <f t="shared" si="480"/>
        <v>3</v>
      </c>
      <c r="E1084" s="42">
        <f t="shared" ca="1" si="471"/>
        <v>21</v>
      </c>
      <c r="F1084" t="str">
        <f t="shared" ca="1" si="472"/>
        <v>第11级，共造成147.5%点伤害</v>
      </c>
      <c r="G1084">
        <f t="shared" ca="1" si="481"/>
        <v>1</v>
      </c>
      <c r="H1084">
        <f t="shared" si="482"/>
        <v>1</v>
      </c>
      <c r="I1084" s="44">
        <f t="shared" ca="1" si="483"/>
        <v>11</v>
      </c>
      <c r="J1084">
        <f t="shared" si="484"/>
        <v>2</v>
      </c>
      <c r="K1084" s="36">
        <f t="shared" ca="1" si="485"/>
        <v>147.47142857142859</v>
      </c>
      <c r="L1084" s="10">
        <f ca="1">AH1084*VLOOKUP(C1084,技能辅助查询表,技能配置辅助表!$T$1,FALSE)</f>
        <v>0</v>
      </c>
      <c r="M1084">
        <f t="shared" ca="1" si="469"/>
        <v>7120</v>
      </c>
      <c r="N1084" s="33">
        <f ca="1">CHOOSE(1,W1084*U1084,X1084*'[1]0、经济设定'!$C$18)</f>
        <v>1470</v>
      </c>
      <c r="O1084">
        <f t="shared" si="486"/>
        <v>2</v>
      </c>
      <c r="P1084">
        <f t="shared" si="487"/>
        <v>1</v>
      </c>
      <c r="Q1084">
        <f t="shared" si="488"/>
        <v>1</v>
      </c>
      <c r="R1084" s="2">
        <f t="shared" si="489"/>
        <v>4</v>
      </c>
      <c r="S1084" s="2">
        <f t="shared" si="490"/>
        <v>50</v>
      </c>
      <c r="T1084" s="2">
        <f t="shared" si="491"/>
        <v>132.85714285714286</v>
      </c>
      <c r="U1084" s="2">
        <f ca="1">VLOOKUP(E1084,金币生产率!$A$2:$B$120,2,0)</f>
        <v>210</v>
      </c>
      <c r="V1084" s="2">
        <f t="shared" si="492"/>
        <v>132.85714285714286</v>
      </c>
      <c r="W1084" s="45">
        <f t="shared" ca="1" si="476"/>
        <v>7</v>
      </c>
      <c r="X1084" s="48">
        <f t="shared" ca="1" si="477"/>
        <v>58</v>
      </c>
      <c r="Y1084">
        <f t="shared" si="470"/>
        <v>18</v>
      </c>
      <c r="Z1084">
        <f t="shared" ca="1" si="473"/>
        <v>0</v>
      </c>
      <c r="AA1084" t="str">
        <f t="shared" ca="1" si="493"/>
        <v>9322100.png</v>
      </c>
      <c r="AB1084">
        <f t="shared" si="494"/>
        <v>20</v>
      </c>
      <c r="AC1084">
        <f>VLOOKUP(C1084,技能辅助查询表,技能配置辅助表!$W$1,FALSE)</f>
        <v>5330</v>
      </c>
      <c r="AD1084">
        <f t="shared" ca="1" si="474"/>
        <v>4.5845428737205722</v>
      </c>
      <c r="AE1084">
        <f>VLOOKUP(C1084,技能辅助查询表,技能配置辅助表!$U$1,FALSE)</f>
        <v>4</v>
      </c>
      <c r="AF1084">
        <f t="shared" ca="1" si="495"/>
        <v>9322111</v>
      </c>
      <c r="AG1084">
        <f t="shared" ca="1" si="496"/>
        <v>19.510204081632651</v>
      </c>
      <c r="AH1084">
        <f t="shared" ca="1" si="475"/>
        <v>48.287391086433935</v>
      </c>
      <c r="AI1084">
        <f ca="1">VLOOKUP(E1084,伤害参考系!$C$4:$E$104,3,FALSE)*$AN$12</f>
        <v>691.69255434782622</v>
      </c>
      <c r="AJ1084">
        <f>VLOOKUP(C1084,技能辅助查询表,技能配置辅助表!$L$1,FALSE)</f>
        <v>1</v>
      </c>
      <c r="AK1084">
        <f>VLOOKUP(C1084,技能辅助查询表,技能配置辅助表!$AE$1,FALSE)</f>
        <v>66000550</v>
      </c>
    </row>
    <row r="1085" spans="1:37" x14ac:dyDescent="0.15">
      <c r="A1085" s="1">
        <f t="shared" ca="1" si="478"/>
        <v>9322112</v>
      </c>
      <c r="B1085" s="1" t="str">
        <f t="shared" ca="1" si="479"/>
        <v>玫瑰之舞第1段</v>
      </c>
      <c r="C1085" t="s">
        <v>172</v>
      </c>
      <c r="D1085">
        <f t="shared" si="480"/>
        <v>3</v>
      </c>
      <c r="E1085" s="42">
        <f t="shared" ca="1" si="471"/>
        <v>22</v>
      </c>
      <c r="F1085" t="str">
        <f t="shared" ca="1" si="472"/>
        <v>第12级，共造成148.8%点伤害</v>
      </c>
      <c r="G1085">
        <f t="shared" ca="1" si="481"/>
        <v>1</v>
      </c>
      <c r="H1085">
        <f t="shared" si="482"/>
        <v>1</v>
      </c>
      <c r="I1085" s="44">
        <f t="shared" ca="1" si="483"/>
        <v>12</v>
      </c>
      <c r="J1085">
        <f t="shared" si="484"/>
        <v>2</v>
      </c>
      <c r="K1085" s="36">
        <f t="shared" ca="1" si="485"/>
        <v>148.80000000000001</v>
      </c>
      <c r="L1085" s="10">
        <f ca="1">AH1085*VLOOKUP(C1085,技能辅助查询表,技能配置辅助表!$T$1,FALSE)</f>
        <v>0</v>
      </c>
      <c r="M1085">
        <f t="shared" ca="1" si="469"/>
        <v>7040</v>
      </c>
      <c r="N1085" s="33">
        <f ca="1">CHOOSE(1,W1085*U1085,X1085*'[1]0、经济设定'!$C$18)</f>
        <v>1912</v>
      </c>
      <c r="O1085">
        <f t="shared" si="486"/>
        <v>2</v>
      </c>
      <c r="P1085">
        <f t="shared" si="487"/>
        <v>1</v>
      </c>
      <c r="Q1085">
        <f t="shared" si="488"/>
        <v>1</v>
      </c>
      <c r="R1085" s="2">
        <f t="shared" si="489"/>
        <v>4</v>
      </c>
      <c r="S1085" s="2">
        <f t="shared" si="490"/>
        <v>50</v>
      </c>
      <c r="T1085" s="2">
        <f t="shared" si="491"/>
        <v>132.85714285714286</v>
      </c>
      <c r="U1085" s="2">
        <f ca="1">VLOOKUP(E1085,金币生产率!$A$2:$B$120,2,0)</f>
        <v>239</v>
      </c>
      <c r="V1085" s="2">
        <f t="shared" si="492"/>
        <v>132.85714285714286</v>
      </c>
      <c r="W1085" s="45">
        <f t="shared" ca="1" si="476"/>
        <v>8</v>
      </c>
      <c r="X1085" s="48">
        <f t="shared" ca="1" si="477"/>
        <v>66</v>
      </c>
      <c r="Y1085">
        <f t="shared" si="470"/>
        <v>18</v>
      </c>
      <c r="Z1085">
        <f t="shared" ca="1" si="473"/>
        <v>0</v>
      </c>
      <c r="AA1085" t="str">
        <f t="shared" ca="1" si="493"/>
        <v>9322100.png</v>
      </c>
      <c r="AB1085">
        <f t="shared" si="494"/>
        <v>20</v>
      </c>
      <c r="AC1085">
        <f>VLOOKUP(C1085,技能辅助查询表,技能配置辅助表!$W$1,FALSE)</f>
        <v>5330</v>
      </c>
      <c r="AD1085">
        <f t="shared" ca="1" si="474"/>
        <v>5.3655167324383752</v>
      </c>
      <c r="AE1085">
        <f>VLOOKUP(C1085,技能辅助查询表,技能配置辅助表!$U$1,FALSE)</f>
        <v>4</v>
      </c>
      <c r="AF1085">
        <f t="shared" ca="1" si="495"/>
        <v>9322112</v>
      </c>
      <c r="AG1085">
        <f t="shared" ca="1" si="496"/>
        <v>21.061224489795919</v>
      </c>
      <c r="AH1085">
        <f t="shared" ca="1" si="475"/>
        <v>54.974556684819426</v>
      </c>
      <c r="AI1085">
        <f ca="1">VLOOKUP(E1085,伤害参考系!$C$4:$E$104,3,FALSE)*$AN$12</f>
        <v>753.08869565217401</v>
      </c>
      <c r="AJ1085">
        <f>VLOOKUP(C1085,技能辅助查询表,技能配置辅助表!$L$1,FALSE)</f>
        <v>1</v>
      </c>
      <c r="AK1085">
        <f>VLOOKUP(C1085,技能辅助查询表,技能配置辅助表!$AE$1,FALSE)</f>
        <v>66000550</v>
      </c>
    </row>
    <row r="1086" spans="1:37" x14ac:dyDescent="0.15">
      <c r="A1086" s="1">
        <f t="shared" ca="1" si="478"/>
        <v>9322113</v>
      </c>
      <c r="B1086" s="1" t="str">
        <f t="shared" ca="1" si="479"/>
        <v>玫瑰之舞第1段</v>
      </c>
      <c r="C1086" t="s">
        <v>172</v>
      </c>
      <c r="D1086">
        <f t="shared" si="480"/>
        <v>3</v>
      </c>
      <c r="E1086" s="42">
        <f t="shared" ca="1" si="471"/>
        <v>24</v>
      </c>
      <c r="F1086" t="str">
        <f t="shared" ca="1" si="472"/>
        <v>第13级，共造成150.1%点伤害</v>
      </c>
      <c r="G1086">
        <f t="shared" ca="1" si="481"/>
        <v>1</v>
      </c>
      <c r="H1086">
        <f t="shared" si="482"/>
        <v>1</v>
      </c>
      <c r="I1086" s="44">
        <f t="shared" ca="1" si="483"/>
        <v>13</v>
      </c>
      <c r="J1086">
        <f t="shared" si="484"/>
        <v>2</v>
      </c>
      <c r="K1086" s="36">
        <f t="shared" ca="1" si="485"/>
        <v>150.12857142857143</v>
      </c>
      <c r="L1086" s="10">
        <f ca="1">AH1086*VLOOKUP(C1086,技能辅助查询表,技能配置辅助表!$T$1,FALSE)</f>
        <v>0</v>
      </c>
      <c r="M1086">
        <f t="shared" ca="1" si="469"/>
        <v>6960</v>
      </c>
      <c r="N1086" s="33">
        <f ca="1">CHOOSE(1,W1086*U1086,X1086*'[1]0、经济设定'!$C$18)</f>
        <v>2416</v>
      </c>
      <c r="O1086">
        <f t="shared" si="486"/>
        <v>2</v>
      </c>
      <c r="P1086">
        <f t="shared" si="487"/>
        <v>1</v>
      </c>
      <c r="Q1086">
        <f t="shared" si="488"/>
        <v>1</v>
      </c>
      <c r="R1086" s="2">
        <f t="shared" si="489"/>
        <v>4</v>
      </c>
      <c r="S1086" s="2">
        <f t="shared" si="490"/>
        <v>50</v>
      </c>
      <c r="T1086" s="2">
        <f t="shared" si="491"/>
        <v>132.85714285714286</v>
      </c>
      <c r="U1086" s="2">
        <f ca="1">VLOOKUP(E1086,金币生产率!$A$2:$B$120,2,0)</f>
        <v>302</v>
      </c>
      <c r="V1086" s="2">
        <f t="shared" si="492"/>
        <v>132.85714285714286</v>
      </c>
      <c r="W1086" s="45">
        <f t="shared" ca="1" si="476"/>
        <v>8</v>
      </c>
      <c r="X1086" s="48">
        <f t="shared" ca="1" si="477"/>
        <v>74</v>
      </c>
      <c r="Y1086">
        <f t="shared" si="470"/>
        <v>18</v>
      </c>
      <c r="Z1086">
        <f t="shared" ca="1" si="473"/>
        <v>0</v>
      </c>
      <c r="AA1086" t="str">
        <f t="shared" ca="1" si="493"/>
        <v>9322100.png</v>
      </c>
      <c r="AB1086">
        <f t="shared" si="494"/>
        <v>20</v>
      </c>
      <c r="AC1086">
        <f>VLOOKUP(C1086,技能辅助查询表,技能配置辅助表!$W$1,FALSE)</f>
        <v>5330</v>
      </c>
      <c r="AD1086">
        <f t="shared" ca="1" si="474"/>
        <v>6.2748746428204898</v>
      </c>
      <c r="AE1086">
        <f>VLOOKUP(C1086,技能辅助查询表,技能配置辅助表!$U$1,FALSE)</f>
        <v>4</v>
      </c>
      <c r="AF1086">
        <f t="shared" ca="1" si="495"/>
        <v>9322113</v>
      </c>
      <c r="AG1086">
        <f t="shared" ca="1" si="496"/>
        <v>22.612244897959183</v>
      </c>
      <c r="AH1086">
        <f t="shared" ca="1" si="475"/>
        <v>62.587806354721323</v>
      </c>
      <c r="AI1086">
        <f ca="1">VLOOKUP(E1086,伤害参考系!$C$4:$E$104,3,FALSE)*$AN$12</f>
        <v>914.59374581939801</v>
      </c>
      <c r="AJ1086">
        <f>VLOOKUP(C1086,技能辅助查询表,技能配置辅助表!$L$1,FALSE)</f>
        <v>1</v>
      </c>
      <c r="AK1086">
        <f>VLOOKUP(C1086,技能辅助查询表,技能配置辅助表!$AE$1,FALSE)</f>
        <v>66000550</v>
      </c>
    </row>
    <row r="1087" spans="1:37" x14ac:dyDescent="0.15">
      <c r="A1087" s="1">
        <f t="shared" ca="1" si="478"/>
        <v>9322114</v>
      </c>
      <c r="B1087" s="1" t="str">
        <f t="shared" ca="1" si="479"/>
        <v>玫瑰之舞第1段</v>
      </c>
      <c r="C1087" t="s">
        <v>172</v>
      </c>
      <c r="D1087">
        <f t="shared" si="480"/>
        <v>3</v>
      </c>
      <c r="E1087" s="42">
        <f t="shared" ca="1" si="471"/>
        <v>25</v>
      </c>
      <c r="F1087" t="str">
        <f t="shared" ca="1" si="472"/>
        <v>第14级，共造成151.5%点伤害</v>
      </c>
      <c r="G1087">
        <f t="shared" ca="1" si="481"/>
        <v>1</v>
      </c>
      <c r="H1087">
        <f t="shared" si="482"/>
        <v>1</v>
      </c>
      <c r="I1087" s="44">
        <f t="shared" ca="1" si="483"/>
        <v>14</v>
      </c>
      <c r="J1087">
        <f t="shared" si="484"/>
        <v>2</v>
      </c>
      <c r="K1087" s="36">
        <f t="shared" ca="1" si="485"/>
        <v>151.45714285714286</v>
      </c>
      <c r="L1087" s="10">
        <f ca="1">AH1087*VLOOKUP(C1087,技能辅助查询表,技能配置辅助表!$T$1,FALSE)</f>
        <v>0</v>
      </c>
      <c r="M1087">
        <f t="shared" ca="1" si="469"/>
        <v>6880</v>
      </c>
      <c r="N1087" s="33">
        <f ca="1">CHOOSE(1,W1087*U1087,X1087*'[1]0、经济设定'!$C$18)</f>
        <v>3015</v>
      </c>
      <c r="O1087">
        <f t="shared" si="486"/>
        <v>2</v>
      </c>
      <c r="P1087">
        <f t="shared" si="487"/>
        <v>1</v>
      </c>
      <c r="Q1087">
        <f t="shared" si="488"/>
        <v>1</v>
      </c>
      <c r="R1087" s="2">
        <f t="shared" si="489"/>
        <v>4</v>
      </c>
      <c r="S1087" s="2">
        <f t="shared" si="490"/>
        <v>50</v>
      </c>
      <c r="T1087" s="2">
        <f t="shared" si="491"/>
        <v>132.85714285714286</v>
      </c>
      <c r="U1087" s="2">
        <f ca="1">VLOOKUP(E1087,金币生产率!$A$2:$B$120,2,0)</f>
        <v>335</v>
      </c>
      <c r="V1087" s="2">
        <f t="shared" si="492"/>
        <v>132.85714285714286</v>
      </c>
      <c r="W1087" s="45">
        <f t="shared" ca="1" si="476"/>
        <v>9</v>
      </c>
      <c r="X1087" s="48">
        <f t="shared" ca="1" si="477"/>
        <v>83</v>
      </c>
      <c r="Y1087">
        <f t="shared" si="470"/>
        <v>18</v>
      </c>
      <c r="Z1087">
        <f t="shared" ca="1" si="473"/>
        <v>0</v>
      </c>
      <c r="AA1087" t="str">
        <f t="shared" ca="1" si="493"/>
        <v>9322100.png</v>
      </c>
      <c r="AB1087">
        <f t="shared" si="494"/>
        <v>20</v>
      </c>
      <c r="AC1087">
        <f>VLOOKUP(C1087,技能辅助查询表,技能配置辅助表!$W$1,FALSE)</f>
        <v>5330</v>
      </c>
      <c r="AD1087">
        <f t="shared" ca="1" si="474"/>
        <v>7.3331976168899811</v>
      </c>
      <c r="AE1087">
        <f>VLOOKUP(C1087,技能辅助查询表,技能配置辅助表!$U$1,FALSE)</f>
        <v>4</v>
      </c>
      <c r="AF1087">
        <f t="shared" ca="1" si="495"/>
        <v>9322114</v>
      </c>
      <c r="AG1087">
        <f t="shared" ca="1" si="496"/>
        <v>24.163265306122447</v>
      </c>
      <c r="AH1087">
        <f t="shared" ca="1" si="475"/>
        <v>71.25539050281769</v>
      </c>
      <c r="AI1087">
        <f ca="1">VLOOKUP(E1087,伤害参考系!$C$4:$E$104,3,FALSE)*$AN$12</f>
        <v>1000.3949623745822</v>
      </c>
      <c r="AJ1087">
        <f>VLOOKUP(C1087,技能辅助查询表,技能配置辅助表!$L$1,FALSE)</f>
        <v>1</v>
      </c>
      <c r="AK1087">
        <f>VLOOKUP(C1087,技能辅助查询表,技能配置辅助表!$AE$1,FALSE)</f>
        <v>66000550</v>
      </c>
    </row>
    <row r="1088" spans="1:37" x14ac:dyDescent="0.15">
      <c r="A1088" s="1">
        <f t="shared" ca="1" si="478"/>
        <v>9322115</v>
      </c>
      <c r="B1088" s="1" t="str">
        <f t="shared" ca="1" si="479"/>
        <v>玫瑰之舞第1段</v>
      </c>
      <c r="C1088" t="s">
        <v>172</v>
      </c>
      <c r="D1088">
        <f t="shared" si="480"/>
        <v>3</v>
      </c>
      <c r="E1088" s="42">
        <f t="shared" ca="1" si="471"/>
        <v>27</v>
      </c>
      <c r="F1088" t="str">
        <f t="shared" ca="1" si="472"/>
        <v>第15级，共造成152.8%点伤害</v>
      </c>
      <c r="G1088">
        <f t="shared" ca="1" si="481"/>
        <v>1</v>
      </c>
      <c r="H1088">
        <f t="shared" si="482"/>
        <v>1</v>
      </c>
      <c r="I1088" s="44">
        <f t="shared" ca="1" si="483"/>
        <v>15</v>
      </c>
      <c r="J1088">
        <f t="shared" si="484"/>
        <v>2</v>
      </c>
      <c r="K1088" s="36">
        <f t="shared" ca="1" si="485"/>
        <v>152.78571428571428</v>
      </c>
      <c r="L1088" s="10">
        <f ca="1">AH1088*VLOOKUP(C1088,技能辅助查询表,技能配置辅助表!$T$1,FALSE)</f>
        <v>0</v>
      </c>
      <c r="M1088">
        <f t="shared" ca="1" si="469"/>
        <v>6800</v>
      </c>
      <c r="N1088" s="33">
        <f ca="1">CHOOSE(1,W1088*U1088,X1088*'[1]0、经济设定'!$C$18)</f>
        <v>4060</v>
      </c>
      <c r="O1088">
        <f t="shared" si="486"/>
        <v>2</v>
      </c>
      <c r="P1088">
        <f t="shared" si="487"/>
        <v>1</v>
      </c>
      <c r="Q1088">
        <f t="shared" si="488"/>
        <v>1</v>
      </c>
      <c r="R1088" s="2">
        <f t="shared" si="489"/>
        <v>4</v>
      </c>
      <c r="S1088" s="2">
        <f t="shared" si="490"/>
        <v>50</v>
      </c>
      <c r="T1088" s="2">
        <f t="shared" si="491"/>
        <v>132.85714285714286</v>
      </c>
      <c r="U1088" s="2">
        <f ca="1">VLOOKUP(E1088,金币生产率!$A$2:$B$120,2,0)</f>
        <v>406</v>
      </c>
      <c r="V1088" s="2">
        <f t="shared" si="492"/>
        <v>132.85714285714286</v>
      </c>
      <c r="W1088" s="45">
        <f t="shared" ca="1" si="476"/>
        <v>10</v>
      </c>
      <c r="X1088" s="48">
        <f t="shared" ca="1" si="477"/>
        <v>93</v>
      </c>
      <c r="Y1088">
        <f t="shared" si="470"/>
        <v>18</v>
      </c>
      <c r="Z1088">
        <f t="shared" ca="1" si="473"/>
        <v>0</v>
      </c>
      <c r="AA1088" t="str">
        <f t="shared" ca="1" si="493"/>
        <v>9322100.png</v>
      </c>
      <c r="AB1088">
        <f t="shared" si="494"/>
        <v>20</v>
      </c>
      <c r="AC1088">
        <f>VLOOKUP(C1088,技能辅助查询表,技能配置辅助表!$W$1,FALSE)</f>
        <v>5330</v>
      </c>
      <c r="AD1088">
        <f t="shared" ca="1" si="474"/>
        <v>8.5643048380094804</v>
      </c>
      <c r="AE1088">
        <f>VLOOKUP(C1088,技能辅助查询表,技能配置辅助表!$U$1,FALSE)</f>
        <v>4</v>
      </c>
      <c r="AF1088">
        <f t="shared" ca="1" si="495"/>
        <v>9322115</v>
      </c>
      <c r="AG1088">
        <f t="shared" ca="1" si="496"/>
        <v>25.714285714285715</v>
      </c>
      <c r="AH1088">
        <f t="shared" ca="1" si="475"/>
        <v>81.123320522417259</v>
      </c>
      <c r="AI1088">
        <f ca="1">VLOOKUP(E1088,伤害参考系!$C$4:$E$104,3,FALSE)*$AN$12</f>
        <v>1210.5107784280938</v>
      </c>
      <c r="AJ1088">
        <f>VLOOKUP(C1088,技能辅助查询表,技能配置辅助表!$L$1,FALSE)</f>
        <v>1</v>
      </c>
      <c r="AK1088">
        <f>VLOOKUP(C1088,技能辅助查询表,技能配置辅助表!$AE$1,FALSE)</f>
        <v>66000550</v>
      </c>
    </row>
    <row r="1089" spans="1:37" x14ac:dyDescent="0.15">
      <c r="A1089" s="1">
        <f t="shared" ca="1" si="478"/>
        <v>9322116</v>
      </c>
      <c r="B1089" s="1" t="str">
        <f t="shared" ca="1" si="479"/>
        <v>玫瑰之舞第1段</v>
      </c>
      <c r="C1089" t="s">
        <v>172</v>
      </c>
      <c r="D1089">
        <f t="shared" si="480"/>
        <v>3</v>
      </c>
      <c r="E1089" s="42">
        <f t="shared" ca="1" si="471"/>
        <v>28</v>
      </c>
      <c r="F1089" t="str">
        <f t="shared" ca="1" si="472"/>
        <v>第16级，共造成154.1%点伤害</v>
      </c>
      <c r="G1089">
        <f t="shared" ca="1" si="481"/>
        <v>1</v>
      </c>
      <c r="H1089">
        <f t="shared" si="482"/>
        <v>1</v>
      </c>
      <c r="I1089" s="44">
        <f t="shared" ca="1" si="483"/>
        <v>16</v>
      </c>
      <c r="J1089">
        <f t="shared" si="484"/>
        <v>2</v>
      </c>
      <c r="K1089" s="36">
        <f t="shared" ca="1" si="485"/>
        <v>154.11428571428573</v>
      </c>
      <c r="L1089" s="10">
        <f ca="1">AH1089*VLOOKUP(C1089,技能辅助查询表,技能配置辅助表!$T$1,FALSE)</f>
        <v>0</v>
      </c>
      <c r="M1089">
        <f t="shared" ca="1" si="469"/>
        <v>6720</v>
      </c>
      <c r="N1089" s="33">
        <f ca="1">CHOOSE(1,W1089*U1089,X1089*'[1]0、经济设定'!$C$18)</f>
        <v>4430</v>
      </c>
      <c r="O1089">
        <f t="shared" si="486"/>
        <v>2</v>
      </c>
      <c r="P1089">
        <f t="shared" si="487"/>
        <v>1</v>
      </c>
      <c r="Q1089">
        <f t="shared" si="488"/>
        <v>1</v>
      </c>
      <c r="R1089" s="2">
        <f t="shared" si="489"/>
        <v>4</v>
      </c>
      <c r="S1089" s="2">
        <f t="shared" si="490"/>
        <v>50</v>
      </c>
      <c r="T1089" s="2">
        <f t="shared" si="491"/>
        <v>132.85714285714286</v>
      </c>
      <c r="U1089" s="2">
        <f ca="1">VLOOKUP(E1089,金币生产率!$A$2:$B$120,2,0)</f>
        <v>443</v>
      </c>
      <c r="V1089" s="2">
        <f t="shared" si="492"/>
        <v>132.85714285714286</v>
      </c>
      <c r="W1089" s="45">
        <f t="shared" ca="1" si="476"/>
        <v>10</v>
      </c>
      <c r="X1089" s="48">
        <f t="shared" ca="1" si="477"/>
        <v>103</v>
      </c>
      <c r="Y1089">
        <f t="shared" si="470"/>
        <v>18</v>
      </c>
      <c r="Z1089">
        <f t="shared" ca="1" si="473"/>
        <v>0</v>
      </c>
      <c r="AA1089" t="str">
        <f t="shared" ca="1" si="493"/>
        <v>9322100.png</v>
      </c>
      <c r="AB1089">
        <f t="shared" si="494"/>
        <v>20</v>
      </c>
      <c r="AC1089">
        <f>VLOOKUP(C1089,技能辅助查询表,技能配置辅助表!$W$1,FALSE)</f>
        <v>5330</v>
      </c>
      <c r="AD1089">
        <f t="shared" ca="1" si="474"/>
        <v>9.9957558339746306</v>
      </c>
      <c r="AE1089">
        <f>VLOOKUP(C1089,技能辅助查询表,技能配置辅助表!$U$1,FALSE)</f>
        <v>4</v>
      </c>
      <c r="AF1089">
        <f t="shared" ca="1" si="495"/>
        <v>9322116</v>
      </c>
      <c r="AG1089">
        <f t="shared" ca="1" si="496"/>
        <v>27.26530612244898</v>
      </c>
      <c r="AH1089">
        <f t="shared" ca="1" si="475"/>
        <v>92.357828455414989</v>
      </c>
      <c r="AI1089">
        <f ca="1">VLOOKUP(E1089,伤害参考系!$C$4:$E$104,3,FALSE)*$AN$12</f>
        <v>1321.7693779264216</v>
      </c>
      <c r="AJ1089">
        <f>VLOOKUP(C1089,技能辅助查询表,技能配置辅助表!$L$1,FALSE)</f>
        <v>1</v>
      </c>
      <c r="AK1089">
        <f>VLOOKUP(C1089,技能辅助查询表,技能配置辅助表!$AE$1,FALSE)</f>
        <v>66000550</v>
      </c>
    </row>
    <row r="1090" spans="1:37" x14ac:dyDescent="0.15">
      <c r="A1090" s="1">
        <f t="shared" ca="1" si="478"/>
        <v>9322117</v>
      </c>
      <c r="B1090" s="1" t="str">
        <f t="shared" ca="1" si="479"/>
        <v>玫瑰之舞第1段</v>
      </c>
      <c r="C1090" t="s">
        <v>172</v>
      </c>
      <c r="D1090">
        <f t="shared" si="480"/>
        <v>3</v>
      </c>
      <c r="E1090" s="42">
        <f t="shared" ca="1" si="471"/>
        <v>30</v>
      </c>
      <c r="F1090" t="str">
        <f t="shared" ca="1" si="472"/>
        <v>第17级，共造成155.4%点伤害</v>
      </c>
      <c r="G1090">
        <f t="shared" ca="1" si="481"/>
        <v>1</v>
      </c>
      <c r="H1090">
        <f t="shared" si="482"/>
        <v>1</v>
      </c>
      <c r="I1090" s="44">
        <f t="shared" ca="1" si="483"/>
        <v>17</v>
      </c>
      <c r="J1090">
        <f t="shared" si="484"/>
        <v>2</v>
      </c>
      <c r="K1090" s="36">
        <f t="shared" ca="1" si="485"/>
        <v>155.44285714285715</v>
      </c>
      <c r="L1090" s="10">
        <f ca="1">AH1090*VLOOKUP(C1090,技能辅助查询表,技能配置辅助表!$T$1,FALSE)</f>
        <v>0</v>
      </c>
      <c r="M1090">
        <f t="shared" ref="M1090:M1153" ca="1" si="497">IF(OR(I1090=0,I1090=1),VLOOKUP(C1090,技能辅助查询表,14,FALSE),VLOOKUP(C1090,技能辅助查询表,14,FALSE)-VLOOKUP(C1090,技能辅助查询表,14,FALSE)*0.5/S1090*I1090)</f>
        <v>6640</v>
      </c>
      <c r="N1090" s="33">
        <f ca="1">CHOOSE(1,W1090*U1090,X1090*'[1]0、经济设定'!$C$18)</f>
        <v>5742</v>
      </c>
      <c r="O1090">
        <f t="shared" si="486"/>
        <v>2</v>
      </c>
      <c r="P1090">
        <f t="shared" si="487"/>
        <v>1</v>
      </c>
      <c r="Q1090">
        <f t="shared" si="488"/>
        <v>1</v>
      </c>
      <c r="R1090" s="2">
        <f t="shared" si="489"/>
        <v>4</v>
      </c>
      <c r="S1090" s="2">
        <f t="shared" si="490"/>
        <v>50</v>
      </c>
      <c r="T1090" s="2">
        <f t="shared" si="491"/>
        <v>132.85714285714286</v>
      </c>
      <c r="U1090" s="2">
        <f ca="1">VLOOKUP(E1090,金币生产率!$A$2:$B$120,2,0)</f>
        <v>522</v>
      </c>
      <c r="V1090" s="2">
        <f t="shared" si="492"/>
        <v>132.85714285714286</v>
      </c>
      <c r="W1090" s="45">
        <f t="shared" ca="1" si="476"/>
        <v>11</v>
      </c>
      <c r="X1090" s="48">
        <f t="shared" ca="1" si="477"/>
        <v>114</v>
      </c>
      <c r="Y1090">
        <f t="shared" ref="Y1090:Y1153" si="498">VLOOKUP(C1090,技能辅助查询表,15,FALSE)</f>
        <v>18</v>
      </c>
      <c r="Z1090">
        <f t="shared" ca="1" si="473"/>
        <v>0</v>
      </c>
      <c r="AA1090" t="str">
        <f t="shared" ca="1" si="493"/>
        <v>9322100.png</v>
      </c>
      <c r="AB1090">
        <f t="shared" si="494"/>
        <v>20</v>
      </c>
      <c r="AC1090">
        <f>VLOOKUP(C1090,技能辅助查询表,技能配置辅助表!$W$1,FALSE)</f>
        <v>5330</v>
      </c>
      <c r="AD1090">
        <f t="shared" ca="1" si="474"/>
        <v>11.659429635222889</v>
      </c>
      <c r="AE1090">
        <f>VLOOKUP(C1090,技能辅助查询表,技能配置辅助表!$U$1,FALSE)</f>
        <v>4</v>
      </c>
      <c r="AF1090">
        <f t="shared" ca="1" si="495"/>
        <v>9322117</v>
      </c>
      <c r="AG1090">
        <f t="shared" ca="1" si="496"/>
        <v>28.816326530612244</v>
      </c>
      <c r="AH1090">
        <f t="shared" ca="1" si="475"/>
        <v>105.14816728492683</v>
      </c>
      <c r="AI1090">
        <f ca="1">VLOOKUP(E1090,伤害参考系!$C$4:$E$104,3,FALSE)*$AN$12</f>
        <v>1576.1465593645489</v>
      </c>
      <c r="AJ1090">
        <f>VLOOKUP(C1090,技能辅助查询表,技能配置辅助表!$L$1,FALSE)</f>
        <v>1</v>
      </c>
      <c r="AK1090">
        <f>VLOOKUP(C1090,技能辅助查询表,技能配置辅助表!$AE$1,FALSE)</f>
        <v>66000550</v>
      </c>
    </row>
    <row r="1091" spans="1:37" x14ac:dyDescent="0.15">
      <c r="A1091" s="1">
        <f t="shared" ca="1" si="478"/>
        <v>9322118</v>
      </c>
      <c r="B1091" s="1" t="str">
        <f t="shared" ca="1" si="479"/>
        <v>玫瑰之舞第1段</v>
      </c>
      <c r="C1091" t="s">
        <v>172</v>
      </c>
      <c r="D1091">
        <f t="shared" si="480"/>
        <v>3</v>
      </c>
      <c r="E1091" s="42">
        <f t="shared" ref="E1091:E1154" ca="1" si="499">IF(I1091=0,E1092,IF(AND(I1091=1,G1091&gt;1),OFFSET(E1091,(1-G1091)*51,0),IF(OR(I1091=1,AND(I1091=2,R1091=2)),R1091,IF(I1091=0,0,ROUND(I1091*(80-R1091)/S1091,0)+R1091))))</f>
        <v>31</v>
      </c>
      <c r="F1091" t="str">
        <f t="shared" ref="F1091:F1154" ca="1" si="500">"第"&amp;I1091&amp;"级，共造成"&amp;ROUND(AJ1091*K1091,1)&amp;"%点伤害"</f>
        <v>第18级，共造成156.8%点伤害</v>
      </c>
      <c r="G1091">
        <f t="shared" ca="1" si="481"/>
        <v>1</v>
      </c>
      <c r="H1091">
        <f t="shared" si="482"/>
        <v>1</v>
      </c>
      <c r="I1091" s="44">
        <f t="shared" ca="1" si="483"/>
        <v>18</v>
      </c>
      <c r="J1091">
        <f t="shared" si="484"/>
        <v>2</v>
      </c>
      <c r="K1091" s="36">
        <f t="shared" ca="1" si="485"/>
        <v>156.77142857142857</v>
      </c>
      <c r="L1091" s="10">
        <f ca="1">AH1091*VLOOKUP(C1091,技能辅助查询表,技能配置辅助表!$T$1,FALSE)</f>
        <v>0</v>
      </c>
      <c r="M1091">
        <f t="shared" ca="1" si="497"/>
        <v>6560</v>
      </c>
      <c r="N1091" s="33">
        <f ca="1">CHOOSE(1,W1091*U1091,X1091*'[1]0、经济设定'!$C$18)</f>
        <v>6756</v>
      </c>
      <c r="O1091">
        <f t="shared" si="486"/>
        <v>2</v>
      </c>
      <c r="P1091">
        <f t="shared" si="487"/>
        <v>1</v>
      </c>
      <c r="Q1091">
        <f t="shared" si="488"/>
        <v>1</v>
      </c>
      <c r="R1091" s="2">
        <f t="shared" si="489"/>
        <v>4</v>
      </c>
      <c r="S1091" s="2">
        <f t="shared" si="490"/>
        <v>50</v>
      </c>
      <c r="T1091" s="2">
        <f t="shared" si="491"/>
        <v>132.85714285714286</v>
      </c>
      <c r="U1091" s="2">
        <f ca="1">VLOOKUP(E1091,金币生产率!$A$2:$B$120,2,0)</f>
        <v>563</v>
      </c>
      <c r="V1091" s="2">
        <f t="shared" si="492"/>
        <v>132.85714285714286</v>
      </c>
      <c r="W1091" s="45">
        <f t="shared" ca="1" si="476"/>
        <v>12</v>
      </c>
      <c r="X1091" s="48">
        <f t="shared" ca="1" si="477"/>
        <v>126</v>
      </c>
      <c r="Y1091">
        <f t="shared" si="498"/>
        <v>18</v>
      </c>
      <c r="Z1091">
        <f t="shared" ref="Z1091:Z1154" ca="1" si="501">IF(I1091&gt;=Y1091,ROUNDUP(W1091/$AN$15,0),0)</f>
        <v>5</v>
      </c>
      <c r="AA1091" t="str">
        <f t="shared" ca="1" si="493"/>
        <v>9322100.png</v>
      </c>
      <c r="AB1091">
        <f t="shared" si="494"/>
        <v>20</v>
      </c>
      <c r="AC1091">
        <f>VLOOKUP(C1091,技能辅助查询表,技能配置辅助表!$W$1,FALSE)</f>
        <v>5330</v>
      </c>
      <c r="AD1091">
        <f t="shared" ref="AD1091:AD1154" ca="1" si="502">((AH1091*K1091/100+L1091)*AJ1091-AH1091)/5</f>
        <v>13.592192610028173</v>
      </c>
      <c r="AE1091">
        <f>VLOOKUP(C1091,技能辅助查询表,技能配置辅助表!$U$1,FALSE)</f>
        <v>4</v>
      </c>
      <c r="AF1091">
        <f t="shared" ca="1" si="495"/>
        <v>9322118</v>
      </c>
      <c r="AG1091">
        <f t="shared" ca="1" si="496"/>
        <v>30.367346938775512</v>
      </c>
      <c r="AH1091">
        <f t="shared" ref="AH1091:AH1154" ca="1" si="503">(19.323*EXP(I1091*0.1297))*$AN$12</f>
        <v>119.70979903145096</v>
      </c>
      <c r="AI1091">
        <f ca="1">VLOOKUP(E1091,伤害参考系!$C$4:$E$104,3,FALSE)*$AN$12</f>
        <v>1721.3320384615388</v>
      </c>
      <c r="AJ1091">
        <f>VLOOKUP(C1091,技能辅助查询表,技能配置辅助表!$L$1,FALSE)</f>
        <v>1</v>
      </c>
      <c r="AK1091">
        <f>VLOOKUP(C1091,技能辅助查询表,技能配置辅助表!$AE$1,FALSE)</f>
        <v>66000550</v>
      </c>
    </row>
    <row r="1092" spans="1:37" x14ac:dyDescent="0.15">
      <c r="A1092" s="1">
        <f t="shared" ca="1" si="478"/>
        <v>9322119</v>
      </c>
      <c r="B1092" s="1" t="str">
        <f t="shared" ca="1" si="479"/>
        <v>玫瑰之舞第1段</v>
      </c>
      <c r="C1092" t="s">
        <v>172</v>
      </c>
      <c r="D1092">
        <f t="shared" si="480"/>
        <v>3</v>
      </c>
      <c r="E1092" s="42">
        <f t="shared" ca="1" si="499"/>
        <v>33</v>
      </c>
      <c r="F1092" t="str">
        <f t="shared" ca="1" si="500"/>
        <v>第19级，共造成158.1%点伤害</v>
      </c>
      <c r="G1092">
        <f t="shared" ca="1" si="481"/>
        <v>1</v>
      </c>
      <c r="H1092">
        <f t="shared" si="482"/>
        <v>1</v>
      </c>
      <c r="I1092" s="44">
        <f t="shared" ca="1" si="483"/>
        <v>19</v>
      </c>
      <c r="J1092">
        <f t="shared" si="484"/>
        <v>2</v>
      </c>
      <c r="K1092" s="36">
        <f t="shared" ca="1" si="485"/>
        <v>158.1</v>
      </c>
      <c r="L1092" s="10">
        <f ca="1">AH1092*VLOOKUP(C1092,技能辅助查询表,技能配置辅助表!$T$1,FALSE)</f>
        <v>0</v>
      </c>
      <c r="M1092">
        <f t="shared" ca="1" si="497"/>
        <v>6480</v>
      </c>
      <c r="N1092" s="33">
        <f ca="1">CHOOSE(1,W1092*U1092,X1092*'[1]0、经济设定'!$C$18)</f>
        <v>8463</v>
      </c>
      <c r="O1092">
        <f t="shared" si="486"/>
        <v>2</v>
      </c>
      <c r="P1092">
        <f t="shared" si="487"/>
        <v>1</v>
      </c>
      <c r="Q1092">
        <f t="shared" si="488"/>
        <v>1</v>
      </c>
      <c r="R1092" s="2">
        <f t="shared" si="489"/>
        <v>4</v>
      </c>
      <c r="S1092" s="2">
        <f t="shared" si="490"/>
        <v>50</v>
      </c>
      <c r="T1092" s="2">
        <f t="shared" si="491"/>
        <v>132.85714285714286</v>
      </c>
      <c r="U1092" s="2">
        <f ca="1">VLOOKUP(E1092,金币生产率!$A$2:$B$120,2,0)</f>
        <v>651</v>
      </c>
      <c r="V1092" s="2">
        <f t="shared" si="492"/>
        <v>132.85714285714286</v>
      </c>
      <c r="W1092" s="45">
        <f t="shared" ref="W1092:W1155" ca="1" si="504">ROUND((IF(I1092=0,0,ROUND(OFFSET(AD1092,S1092-I1092+510*(1-D1092),0)*(1-$AN$13)/(1-$AN$13^S1092)*$AN$13^(I1092-1),0))+IF(I1092=0,0,ROUND(OFFSET(AD1092,S1092-I1092+510*(2-D1092),0)*(1-$AN$13)/(1-$AN$13^S1092)*$AN$13^(I1092-1),0))+IF(I1092=0,0,ROUND(OFFSET(AD1092,S1092-I1092+510*(3-D1092),0)*(1-$AN$13)/(1-$AN$13^S1092)*$AN$13^(I1092-1),0)))/3,0)</f>
        <v>13</v>
      </c>
      <c r="X1092" s="48">
        <f t="shared" ref="X1092:X1155" ca="1" si="505">IF(I1092=0,0,X1091+W1092)</f>
        <v>139</v>
      </c>
      <c r="Y1092">
        <f t="shared" si="498"/>
        <v>18</v>
      </c>
      <c r="Z1092">
        <f t="shared" ca="1" si="501"/>
        <v>6</v>
      </c>
      <c r="AA1092" t="str">
        <f t="shared" ca="1" si="493"/>
        <v>9322100.png</v>
      </c>
      <c r="AB1092">
        <f t="shared" si="494"/>
        <v>20</v>
      </c>
      <c r="AC1092">
        <f>VLOOKUP(C1092,技能辅助查询表,技能配置辅助表!$W$1,FALSE)</f>
        <v>5330</v>
      </c>
      <c r="AD1092">
        <f t="shared" ca="1" si="502"/>
        <v>15.836668430425249</v>
      </c>
      <c r="AE1092">
        <f>VLOOKUP(C1092,技能辅助查询表,技能配置辅助表!$U$1,FALSE)</f>
        <v>4</v>
      </c>
      <c r="AF1092">
        <f t="shared" ca="1" si="495"/>
        <v>9322119</v>
      </c>
      <c r="AG1092">
        <f t="shared" ca="1" si="496"/>
        <v>31.918367346938776</v>
      </c>
      <c r="AH1092">
        <f t="shared" ca="1" si="503"/>
        <v>136.28802435822078</v>
      </c>
      <c r="AI1092">
        <f ca="1">VLOOKUP(E1092,伤害参考系!$C$4:$E$104,3,FALSE)*$AN$12</f>
        <v>2031.7137667224088</v>
      </c>
      <c r="AJ1092">
        <f>VLOOKUP(C1092,技能辅助查询表,技能配置辅助表!$L$1,FALSE)</f>
        <v>1</v>
      </c>
      <c r="AK1092">
        <f>VLOOKUP(C1092,技能辅助查询表,技能配置辅助表!$AE$1,FALSE)</f>
        <v>66000550</v>
      </c>
    </row>
    <row r="1093" spans="1:37" x14ac:dyDescent="0.15">
      <c r="A1093" s="1">
        <f t="shared" ca="1" si="478"/>
        <v>9322120</v>
      </c>
      <c r="B1093" s="1" t="str">
        <f t="shared" ca="1" si="479"/>
        <v>玫瑰之舞第1段</v>
      </c>
      <c r="C1093" t="s">
        <v>172</v>
      </c>
      <c r="D1093">
        <f t="shared" si="480"/>
        <v>3</v>
      </c>
      <c r="E1093" s="42">
        <f t="shared" ca="1" si="499"/>
        <v>34</v>
      </c>
      <c r="F1093" t="str">
        <f t="shared" ca="1" si="500"/>
        <v>第20级，共造成159.4%点伤害</v>
      </c>
      <c r="G1093">
        <f t="shared" ca="1" si="481"/>
        <v>1</v>
      </c>
      <c r="H1093">
        <f t="shared" si="482"/>
        <v>1</v>
      </c>
      <c r="I1093" s="44">
        <f t="shared" ca="1" si="483"/>
        <v>20</v>
      </c>
      <c r="J1093">
        <f t="shared" si="484"/>
        <v>2</v>
      </c>
      <c r="K1093" s="36">
        <f t="shared" ca="1" si="485"/>
        <v>159.42857142857144</v>
      </c>
      <c r="L1093" s="10">
        <f ca="1">AH1093*VLOOKUP(C1093,技能辅助查询表,技能配置辅助表!$T$1,FALSE)</f>
        <v>0</v>
      </c>
      <c r="M1093">
        <f t="shared" ca="1" si="497"/>
        <v>6400</v>
      </c>
      <c r="N1093" s="33">
        <f ca="1">CHOOSE(1,W1093*U1093,X1093*'[1]0、经济设定'!$C$18)</f>
        <v>9048</v>
      </c>
      <c r="O1093">
        <f t="shared" si="486"/>
        <v>2</v>
      </c>
      <c r="P1093">
        <f t="shared" si="487"/>
        <v>1</v>
      </c>
      <c r="Q1093">
        <f t="shared" si="488"/>
        <v>1</v>
      </c>
      <c r="R1093" s="2">
        <f t="shared" si="489"/>
        <v>4</v>
      </c>
      <c r="S1093" s="2">
        <f t="shared" si="490"/>
        <v>50</v>
      </c>
      <c r="T1093" s="2">
        <f t="shared" si="491"/>
        <v>132.85714285714286</v>
      </c>
      <c r="U1093" s="2">
        <f ca="1">VLOOKUP(E1093,金币生产率!$A$2:$B$120,2,0)</f>
        <v>696</v>
      </c>
      <c r="V1093" s="2">
        <f t="shared" si="492"/>
        <v>132.85714285714286</v>
      </c>
      <c r="W1093" s="45">
        <f t="shared" ca="1" si="504"/>
        <v>13</v>
      </c>
      <c r="X1093" s="48">
        <f t="shared" ca="1" si="505"/>
        <v>152</v>
      </c>
      <c r="Y1093">
        <f t="shared" si="498"/>
        <v>18</v>
      </c>
      <c r="Z1093">
        <f t="shared" ca="1" si="501"/>
        <v>6</v>
      </c>
      <c r="AA1093" t="str">
        <f t="shared" ca="1" si="493"/>
        <v>9322100.png</v>
      </c>
      <c r="AB1093">
        <f t="shared" si="494"/>
        <v>20</v>
      </c>
      <c r="AC1093">
        <f>VLOOKUP(C1093,技能辅助查询表,技能配置辅助表!$W$1,FALSE)</f>
        <v>5330</v>
      </c>
      <c r="AD1093">
        <f t="shared" ca="1" si="502"/>
        <v>18.442125648239397</v>
      </c>
      <c r="AE1093">
        <f>VLOOKUP(C1093,技能辅助查询表,技能配置辅助表!$U$1,FALSE)</f>
        <v>4</v>
      </c>
      <c r="AF1093">
        <f t="shared" ca="1" si="495"/>
        <v>9322120</v>
      </c>
      <c r="AG1093">
        <f t="shared" ca="1" si="496"/>
        <v>33.469387755102041</v>
      </c>
      <c r="AH1093">
        <f t="shared" ca="1" si="503"/>
        <v>155.16211482893718</v>
      </c>
      <c r="AI1093">
        <f ca="1">VLOOKUP(E1093,伤害参考系!$C$4:$E$104,3,FALSE)*$AN$12</f>
        <v>2196.2761028428095</v>
      </c>
      <c r="AJ1093">
        <f>VLOOKUP(C1093,技能辅助查询表,技能配置辅助表!$L$1,FALSE)</f>
        <v>1</v>
      </c>
      <c r="AK1093">
        <f>VLOOKUP(C1093,技能辅助查询表,技能配置辅助表!$AE$1,FALSE)</f>
        <v>66000550</v>
      </c>
    </row>
    <row r="1094" spans="1:37" x14ac:dyDescent="0.15">
      <c r="A1094" s="1">
        <f t="shared" ca="1" si="478"/>
        <v>9322121</v>
      </c>
      <c r="B1094" s="1" t="str">
        <f t="shared" ca="1" si="479"/>
        <v>玫瑰之舞第1段</v>
      </c>
      <c r="C1094" t="s">
        <v>172</v>
      </c>
      <c r="D1094">
        <f t="shared" si="480"/>
        <v>3</v>
      </c>
      <c r="E1094" s="42">
        <f t="shared" ca="1" si="499"/>
        <v>36</v>
      </c>
      <c r="F1094" t="str">
        <f t="shared" ca="1" si="500"/>
        <v>第21级，共造成160.8%点伤害</v>
      </c>
      <c r="G1094">
        <f t="shared" ca="1" si="481"/>
        <v>1</v>
      </c>
      <c r="H1094">
        <f t="shared" si="482"/>
        <v>1</v>
      </c>
      <c r="I1094" s="44">
        <f t="shared" ca="1" si="483"/>
        <v>21</v>
      </c>
      <c r="J1094">
        <f t="shared" si="484"/>
        <v>2</v>
      </c>
      <c r="K1094" s="36">
        <f t="shared" ca="1" si="485"/>
        <v>160.75714285714287</v>
      </c>
      <c r="L1094" s="10">
        <f ca="1">AH1094*VLOOKUP(C1094,技能辅助查询表,技能配置辅助表!$T$1,FALSE)</f>
        <v>0</v>
      </c>
      <c r="M1094">
        <f t="shared" ca="1" si="497"/>
        <v>6320</v>
      </c>
      <c r="N1094" s="33">
        <f ca="1">CHOOSE(1,W1094*U1094,X1094*'[1]0、经济设定'!$C$18)</f>
        <v>11074</v>
      </c>
      <c r="O1094">
        <f t="shared" si="486"/>
        <v>2</v>
      </c>
      <c r="P1094">
        <f t="shared" si="487"/>
        <v>1</v>
      </c>
      <c r="Q1094">
        <f t="shared" si="488"/>
        <v>1</v>
      </c>
      <c r="R1094" s="2">
        <f t="shared" si="489"/>
        <v>4</v>
      </c>
      <c r="S1094" s="2">
        <f t="shared" si="490"/>
        <v>50</v>
      </c>
      <c r="T1094" s="2">
        <f t="shared" si="491"/>
        <v>132.85714285714286</v>
      </c>
      <c r="U1094" s="2">
        <f ca="1">VLOOKUP(E1094,金币生产率!$A$2:$B$120,2,0)</f>
        <v>791</v>
      </c>
      <c r="V1094" s="2">
        <f t="shared" si="492"/>
        <v>132.85714285714286</v>
      </c>
      <c r="W1094" s="45">
        <f t="shared" ca="1" si="504"/>
        <v>14</v>
      </c>
      <c r="X1094" s="48">
        <f t="shared" ca="1" si="505"/>
        <v>166</v>
      </c>
      <c r="Y1094">
        <f t="shared" si="498"/>
        <v>18</v>
      </c>
      <c r="Z1094">
        <f t="shared" ca="1" si="501"/>
        <v>6</v>
      </c>
      <c r="AA1094" t="str">
        <f t="shared" ca="1" si="493"/>
        <v>9322100.png</v>
      </c>
      <c r="AB1094">
        <f t="shared" si="494"/>
        <v>20</v>
      </c>
      <c r="AC1094">
        <f>VLOOKUP(C1094,技能辅助查询表,技能配置辅助表!$W$1,FALSE)</f>
        <v>5330</v>
      </c>
      <c r="AD1094">
        <f t="shared" ca="1" si="502"/>
        <v>21.465500689251662</v>
      </c>
      <c r="AE1094">
        <f>VLOOKUP(C1094,技能辅助查询表,技能配置辅助表!$U$1,FALSE)</f>
        <v>4</v>
      </c>
      <c r="AF1094">
        <f t="shared" ca="1" si="495"/>
        <v>9322121</v>
      </c>
      <c r="AG1094">
        <f t="shared" ca="1" si="496"/>
        <v>35.020408163265301</v>
      </c>
      <c r="AH1094">
        <f t="shared" ca="1" si="503"/>
        <v>176.65001742859343</v>
      </c>
      <c r="AI1094">
        <f ca="1">VLOOKUP(E1094,伤害参考系!$C$4:$E$104,3,FALSE)*$AN$12</f>
        <v>2544.1437190635456</v>
      </c>
      <c r="AJ1094">
        <f>VLOOKUP(C1094,技能辅助查询表,技能配置辅助表!$L$1,FALSE)</f>
        <v>1</v>
      </c>
      <c r="AK1094">
        <f>VLOOKUP(C1094,技能辅助查询表,技能配置辅助表!$AE$1,FALSE)</f>
        <v>66000550</v>
      </c>
    </row>
    <row r="1095" spans="1:37" x14ac:dyDescent="0.15">
      <c r="A1095" s="1">
        <f t="shared" ca="1" si="478"/>
        <v>9322122</v>
      </c>
      <c r="B1095" s="1" t="str">
        <f t="shared" ca="1" si="479"/>
        <v>玫瑰之舞第1段</v>
      </c>
      <c r="C1095" t="s">
        <v>172</v>
      </c>
      <c r="D1095">
        <f t="shared" si="480"/>
        <v>3</v>
      </c>
      <c r="E1095" s="42">
        <f t="shared" ca="1" si="499"/>
        <v>37</v>
      </c>
      <c r="F1095" t="str">
        <f t="shared" ca="1" si="500"/>
        <v>第22级，共造成162.1%点伤害</v>
      </c>
      <c r="G1095">
        <f t="shared" ca="1" si="481"/>
        <v>1</v>
      </c>
      <c r="H1095">
        <f t="shared" si="482"/>
        <v>1</v>
      </c>
      <c r="I1095" s="44">
        <f t="shared" ca="1" si="483"/>
        <v>22</v>
      </c>
      <c r="J1095">
        <f t="shared" si="484"/>
        <v>2</v>
      </c>
      <c r="K1095" s="36">
        <f t="shared" ca="1" si="485"/>
        <v>162.08571428571429</v>
      </c>
      <c r="L1095" s="10">
        <f ca="1">AH1095*VLOOKUP(C1095,技能辅助查询表,技能配置辅助表!$T$1,FALSE)</f>
        <v>0</v>
      </c>
      <c r="M1095">
        <f t="shared" ca="1" si="497"/>
        <v>6240</v>
      </c>
      <c r="N1095" s="33">
        <f ca="1">CHOOSE(1,W1095*U1095,X1095*'[1]0、经济设定'!$C$18)</f>
        <v>12615</v>
      </c>
      <c r="O1095">
        <f t="shared" si="486"/>
        <v>2</v>
      </c>
      <c r="P1095">
        <f t="shared" si="487"/>
        <v>1</v>
      </c>
      <c r="Q1095">
        <f t="shared" si="488"/>
        <v>1</v>
      </c>
      <c r="R1095" s="2">
        <f t="shared" si="489"/>
        <v>4</v>
      </c>
      <c r="S1095" s="2">
        <f t="shared" si="490"/>
        <v>50</v>
      </c>
      <c r="T1095" s="2">
        <f t="shared" si="491"/>
        <v>132.85714285714286</v>
      </c>
      <c r="U1095" s="2">
        <f ca="1">VLOOKUP(E1095,金币生产率!$A$2:$B$120,2,0)</f>
        <v>841</v>
      </c>
      <c r="V1095" s="2">
        <f t="shared" si="492"/>
        <v>132.85714285714286</v>
      </c>
      <c r="W1095" s="45">
        <f t="shared" ca="1" si="504"/>
        <v>15</v>
      </c>
      <c r="X1095" s="48">
        <f t="shared" ca="1" si="505"/>
        <v>181</v>
      </c>
      <c r="Y1095">
        <f t="shared" si="498"/>
        <v>18</v>
      </c>
      <c r="Z1095">
        <f t="shared" ca="1" si="501"/>
        <v>6</v>
      </c>
      <c r="AA1095" t="str">
        <f t="shared" ca="1" si="493"/>
        <v>9322100.png</v>
      </c>
      <c r="AB1095">
        <f t="shared" si="494"/>
        <v>20</v>
      </c>
      <c r="AC1095">
        <f>VLOOKUP(C1095,技能辅助查询表,技能配置辅助表!$W$1,FALSE)</f>
        <v>5330</v>
      </c>
      <c r="AD1095">
        <f t="shared" ca="1" si="502"/>
        <v>24.97257675028802</v>
      </c>
      <c r="AE1095">
        <f>VLOOKUP(C1095,技能辅助查询表,技能配置辅助表!$U$1,FALSE)</f>
        <v>4</v>
      </c>
      <c r="AF1095">
        <f t="shared" ca="1" si="495"/>
        <v>9322122</v>
      </c>
      <c r="AG1095">
        <f t="shared" ca="1" si="496"/>
        <v>36.571428571428569</v>
      </c>
      <c r="AH1095">
        <f t="shared" ca="1" si="503"/>
        <v>201.11371059826985</v>
      </c>
      <c r="AI1095">
        <f ca="1">VLOOKUP(E1095,伤害参考系!$C$4:$E$104,3,FALSE)*$AN$12</f>
        <v>2727.4489991638798</v>
      </c>
      <c r="AJ1095">
        <f>VLOOKUP(C1095,技能辅助查询表,技能配置辅助表!$L$1,FALSE)</f>
        <v>1</v>
      </c>
      <c r="AK1095">
        <f>VLOOKUP(C1095,技能辅助查询表,技能配置辅助表!$AE$1,FALSE)</f>
        <v>66000550</v>
      </c>
    </row>
    <row r="1096" spans="1:37" x14ac:dyDescent="0.15">
      <c r="A1096" s="1">
        <f t="shared" ca="1" si="478"/>
        <v>9322123</v>
      </c>
      <c r="B1096" s="1" t="str">
        <f t="shared" ca="1" si="479"/>
        <v>玫瑰之舞第1段</v>
      </c>
      <c r="C1096" t="s">
        <v>172</v>
      </c>
      <c r="D1096">
        <f t="shared" si="480"/>
        <v>3</v>
      </c>
      <c r="E1096" s="42">
        <f t="shared" ca="1" si="499"/>
        <v>39</v>
      </c>
      <c r="F1096" t="str">
        <f t="shared" ca="1" si="500"/>
        <v>第23级，共造成163.4%点伤害</v>
      </c>
      <c r="G1096">
        <f t="shared" ca="1" si="481"/>
        <v>1</v>
      </c>
      <c r="H1096">
        <f t="shared" si="482"/>
        <v>1</v>
      </c>
      <c r="I1096" s="44">
        <f t="shared" ca="1" si="483"/>
        <v>23</v>
      </c>
      <c r="J1096">
        <f t="shared" si="484"/>
        <v>2</v>
      </c>
      <c r="K1096" s="36">
        <f t="shared" ca="1" si="485"/>
        <v>163.41428571428571</v>
      </c>
      <c r="L1096" s="10">
        <f ca="1">AH1096*VLOOKUP(C1096,技能辅助查询表,技能配置辅助表!$T$1,FALSE)</f>
        <v>0</v>
      </c>
      <c r="M1096">
        <f t="shared" ca="1" si="497"/>
        <v>6160</v>
      </c>
      <c r="N1096" s="33">
        <f ca="1">CHOOSE(1,W1096*U1096,X1096*'[1]0、经济设定'!$C$18)</f>
        <v>15104</v>
      </c>
      <c r="O1096">
        <f t="shared" si="486"/>
        <v>2</v>
      </c>
      <c r="P1096">
        <f t="shared" si="487"/>
        <v>1</v>
      </c>
      <c r="Q1096">
        <f t="shared" si="488"/>
        <v>1</v>
      </c>
      <c r="R1096" s="2">
        <f t="shared" si="489"/>
        <v>4</v>
      </c>
      <c r="S1096" s="2">
        <f t="shared" si="490"/>
        <v>50</v>
      </c>
      <c r="T1096" s="2">
        <f t="shared" si="491"/>
        <v>132.85714285714286</v>
      </c>
      <c r="U1096" s="2">
        <f ca="1">VLOOKUP(E1096,金币生产率!$A$2:$B$120,2,0)</f>
        <v>944</v>
      </c>
      <c r="V1096" s="2">
        <f t="shared" si="492"/>
        <v>132.85714285714286</v>
      </c>
      <c r="W1096" s="45">
        <f t="shared" ca="1" si="504"/>
        <v>16</v>
      </c>
      <c r="X1096" s="48">
        <f t="shared" ca="1" si="505"/>
        <v>197</v>
      </c>
      <c r="Y1096">
        <f t="shared" si="498"/>
        <v>18</v>
      </c>
      <c r="Z1096">
        <f t="shared" ca="1" si="501"/>
        <v>7</v>
      </c>
      <c r="AA1096" t="str">
        <f t="shared" ca="1" si="493"/>
        <v>9322100.png</v>
      </c>
      <c r="AB1096">
        <f t="shared" si="494"/>
        <v>20</v>
      </c>
      <c r="AC1096">
        <f>VLOOKUP(C1096,技能辅助查询表,技能配置辅助表!$W$1,FALSE)</f>
        <v>5330</v>
      </c>
      <c r="AD1096">
        <f t="shared" ca="1" si="502"/>
        <v>29.039342160636107</v>
      </c>
      <c r="AE1096">
        <f>VLOOKUP(C1096,技能辅助查询表,技能配置辅助表!$U$1,FALSE)</f>
        <v>4</v>
      </c>
      <c r="AF1096">
        <f t="shared" ca="1" si="495"/>
        <v>9322123</v>
      </c>
      <c r="AG1096">
        <f t="shared" ca="1" si="496"/>
        <v>38.122448979591837</v>
      </c>
      <c r="AH1096">
        <f t="shared" ca="1" si="503"/>
        <v>228.96530200997151</v>
      </c>
      <c r="AI1096">
        <f ca="1">VLOOKUP(E1096,伤害参考系!$C$4:$E$104,3,FALSE)*$AN$12</f>
        <v>3112.8025033444819</v>
      </c>
      <c r="AJ1096">
        <f>VLOOKUP(C1096,技能辅助查询表,技能配置辅助表!$L$1,FALSE)</f>
        <v>1</v>
      </c>
      <c r="AK1096">
        <f>VLOOKUP(C1096,技能辅助查询表,技能配置辅助表!$AE$1,FALSE)</f>
        <v>66000550</v>
      </c>
    </row>
    <row r="1097" spans="1:37" x14ac:dyDescent="0.15">
      <c r="A1097" s="1">
        <f t="shared" ca="1" si="478"/>
        <v>9322124</v>
      </c>
      <c r="B1097" s="1" t="str">
        <f t="shared" ca="1" si="479"/>
        <v>玫瑰之舞第1段</v>
      </c>
      <c r="C1097" t="s">
        <v>172</v>
      </c>
      <c r="D1097">
        <f t="shared" si="480"/>
        <v>3</v>
      </c>
      <c r="E1097" s="42">
        <f t="shared" ca="1" si="499"/>
        <v>40</v>
      </c>
      <c r="F1097" t="str">
        <f t="shared" ca="1" si="500"/>
        <v>第24级，共造成164.7%点伤害</v>
      </c>
      <c r="G1097">
        <f t="shared" ca="1" si="481"/>
        <v>1</v>
      </c>
      <c r="H1097">
        <f t="shared" si="482"/>
        <v>1</v>
      </c>
      <c r="I1097" s="44">
        <f t="shared" ca="1" si="483"/>
        <v>24</v>
      </c>
      <c r="J1097">
        <f t="shared" si="484"/>
        <v>2</v>
      </c>
      <c r="K1097" s="36">
        <f t="shared" ca="1" si="485"/>
        <v>164.74285714285713</v>
      </c>
      <c r="L1097" s="10">
        <f ca="1">AH1097*VLOOKUP(C1097,技能辅助查询表,技能配置辅助表!$T$1,FALSE)</f>
        <v>0</v>
      </c>
      <c r="M1097">
        <f t="shared" ca="1" si="497"/>
        <v>6080</v>
      </c>
      <c r="N1097" s="33">
        <f ca="1">CHOOSE(1,W1097*U1097,X1097*'[1]0、经济设定'!$C$18)</f>
        <v>16966</v>
      </c>
      <c r="O1097">
        <f t="shared" si="486"/>
        <v>2</v>
      </c>
      <c r="P1097">
        <f t="shared" si="487"/>
        <v>1</v>
      </c>
      <c r="Q1097">
        <f t="shared" si="488"/>
        <v>1</v>
      </c>
      <c r="R1097" s="2">
        <f t="shared" si="489"/>
        <v>4</v>
      </c>
      <c r="S1097" s="2">
        <f t="shared" si="490"/>
        <v>50</v>
      </c>
      <c r="T1097" s="2">
        <f t="shared" si="491"/>
        <v>132.85714285714286</v>
      </c>
      <c r="U1097" s="2">
        <f ca="1">VLOOKUP(E1097,金币生产率!$A$2:$B$120,2,0)</f>
        <v>998</v>
      </c>
      <c r="V1097" s="2">
        <f t="shared" si="492"/>
        <v>132.85714285714286</v>
      </c>
      <c r="W1097" s="45">
        <f t="shared" ca="1" si="504"/>
        <v>17</v>
      </c>
      <c r="X1097" s="48">
        <f t="shared" ca="1" si="505"/>
        <v>214</v>
      </c>
      <c r="Y1097">
        <f t="shared" si="498"/>
        <v>18</v>
      </c>
      <c r="Z1097">
        <f t="shared" ca="1" si="501"/>
        <v>7</v>
      </c>
      <c r="AA1097" t="str">
        <f t="shared" ca="1" si="493"/>
        <v>9322100.png</v>
      </c>
      <c r="AB1097">
        <f t="shared" si="494"/>
        <v>20</v>
      </c>
      <c r="AC1097">
        <f>VLOOKUP(C1097,技能辅助查询表,技能配置辅助表!$W$1,FALSE)</f>
        <v>5330</v>
      </c>
      <c r="AD1097">
        <f t="shared" ca="1" si="502"/>
        <v>33.753555305081932</v>
      </c>
      <c r="AE1097">
        <f>VLOOKUP(C1097,技能辅助查询表,技能配置辅助表!$U$1,FALSE)</f>
        <v>4</v>
      </c>
      <c r="AF1097">
        <f t="shared" ca="1" si="495"/>
        <v>9322124</v>
      </c>
      <c r="AG1097">
        <f t="shared" ca="1" si="496"/>
        <v>39.673469387755105</v>
      </c>
      <c r="AH1097">
        <f t="shared" ca="1" si="503"/>
        <v>260.67397080270689</v>
      </c>
      <c r="AI1097">
        <f ca="1">VLOOKUP(E1097,伤害参考系!$C$4:$E$104,3,FALSE)*$AN$12</f>
        <v>3344.7142474916404</v>
      </c>
      <c r="AJ1097">
        <f>VLOOKUP(C1097,技能辅助查询表,技能配置辅助表!$L$1,FALSE)</f>
        <v>1</v>
      </c>
      <c r="AK1097">
        <f>VLOOKUP(C1097,技能辅助查询表,技能配置辅助表!$AE$1,FALSE)</f>
        <v>66000550</v>
      </c>
    </row>
    <row r="1098" spans="1:37" x14ac:dyDescent="0.15">
      <c r="A1098" s="1">
        <f t="shared" ca="1" si="478"/>
        <v>9322125</v>
      </c>
      <c r="B1098" s="1" t="str">
        <f t="shared" ca="1" si="479"/>
        <v>玫瑰之舞第1段</v>
      </c>
      <c r="C1098" t="s">
        <v>172</v>
      </c>
      <c r="D1098">
        <f t="shared" si="480"/>
        <v>3</v>
      </c>
      <c r="E1098" s="42">
        <f t="shared" ca="1" si="499"/>
        <v>42</v>
      </c>
      <c r="F1098" t="str">
        <f t="shared" ca="1" si="500"/>
        <v>第25级，共造成166.1%点伤害</v>
      </c>
      <c r="G1098">
        <f t="shared" ca="1" si="481"/>
        <v>1</v>
      </c>
      <c r="H1098">
        <f t="shared" si="482"/>
        <v>1</v>
      </c>
      <c r="I1098" s="44">
        <f t="shared" ca="1" si="483"/>
        <v>25</v>
      </c>
      <c r="J1098">
        <f t="shared" si="484"/>
        <v>2</v>
      </c>
      <c r="K1098" s="36">
        <f t="shared" ca="1" si="485"/>
        <v>166.07142857142858</v>
      </c>
      <c r="L1098" s="10">
        <f ca="1">AH1098*VLOOKUP(C1098,技能辅助查询表,技能配置辅助表!$T$1,FALSE)</f>
        <v>0</v>
      </c>
      <c r="M1098">
        <f t="shared" ca="1" si="497"/>
        <v>6000</v>
      </c>
      <c r="N1098" s="33">
        <f ca="1">CHOOSE(1,W1098*U1098,X1098*'[1]0、经济设定'!$C$18)</f>
        <v>21090</v>
      </c>
      <c r="O1098">
        <f t="shared" si="486"/>
        <v>2</v>
      </c>
      <c r="P1098">
        <f t="shared" si="487"/>
        <v>1</v>
      </c>
      <c r="Q1098">
        <f t="shared" si="488"/>
        <v>1</v>
      </c>
      <c r="R1098" s="2">
        <f t="shared" si="489"/>
        <v>4</v>
      </c>
      <c r="S1098" s="2">
        <f t="shared" si="490"/>
        <v>50</v>
      </c>
      <c r="T1098" s="2">
        <f t="shared" si="491"/>
        <v>132.85714285714286</v>
      </c>
      <c r="U1098" s="2">
        <f ca="1">VLOOKUP(E1098,金币生产率!$A$2:$B$120,2,0)</f>
        <v>1110</v>
      </c>
      <c r="V1098" s="2">
        <f t="shared" si="492"/>
        <v>132.85714285714286</v>
      </c>
      <c r="W1098" s="45">
        <f t="shared" ca="1" si="504"/>
        <v>19</v>
      </c>
      <c r="X1098" s="48">
        <f t="shared" ca="1" si="505"/>
        <v>233</v>
      </c>
      <c r="Y1098">
        <f t="shared" si="498"/>
        <v>18</v>
      </c>
      <c r="Z1098">
        <f t="shared" ca="1" si="501"/>
        <v>8</v>
      </c>
      <c r="AA1098" t="str">
        <f t="shared" ca="1" si="493"/>
        <v>9322100.png</v>
      </c>
      <c r="AB1098">
        <f t="shared" si="494"/>
        <v>20</v>
      </c>
      <c r="AC1098">
        <f>VLOOKUP(C1098,技能辅助查询表,技能配置辅助表!$W$1,FALSE)</f>
        <v>5330</v>
      </c>
      <c r="AD1098">
        <f t="shared" ca="1" si="502"/>
        <v>39.21654726921988</v>
      </c>
      <c r="AE1098">
        <f>VLOOKUP(C1098,技能辅助查询表,技能配置辅助表!$U$1,FALSE)</f>
        <v>4</v>
      </c>
      <c r="AF1098">
        <f t="shared" ca="1" si="495"/>
        <v>9322125</v>
      </c>
      <c r="AG1098">
        <f t="shared" ca="1" si="496"/>
        <v>41.224489795918366</v>
      </c>
      <c r="AH1098">
        <f t="shared" ca="1" si="503"/>
        <v>296.77387122652874</v>
      </c>
      <c r="AI1098">
        <f ca="1">VLOOKUP(E1098,伤害参考系!$C$4:$E$104,3,FALSE)*$AN$12</f>
        <v>3833.528327759198</v>
      </c>
      <c r="AJ1098">
        <f>VLOOKUP(C1098,技能辅助查询表,技能配置辅助表!$L$1,FALSE)</f>
        <v>1</v>
      </c>
      <c r="AK1098">
        <f>VLOOKUP(C1098,技能辅助查询表,技能配置辅助表!$AE$1,FALSE)</f>
        <v>66000550</v>
      </c>
    </row>
    <row r="1099" spans="1:37" x14ac:dyDescent="0.15">
      <c r="A1099" s="1">
        <f t="shared" ca="1" si="478"/>
        <v>9322126</v>
      </c>
      <c r="B1099" s="1" t="str">
        <f t="shared" ca="1" si="479"/>
        <v>玫瑰之舞第1段</v>
      </c>
      <c r="C1099" t="s">
        <v>172</v>
      </c>
      <c r="D1099">
        <f t="shared" si="480"/>
        <v>3</v>
      </c>
      <c r="E1099" s="42">
        <f t="shared" ca="1" si="499"/>
        <v>44</v>
      </c>
      <c r="F1099" t="str">
        <f t="shared" ca="1" si="500"/>
        <v>第26级，共造成167.4%点伤害</v>
      </c>
      <c r="G1099">
        <f t="shared" ca="1" si="481"/>
        <v>1</v>
      </c>
      <c r="H1099">
        <f t="shared" si="482"/>
        <v>1</v>
      </c>
      <c r="I1099" s="44">
        <f t="shared" ca="1" si="483"/>
        <v>26</v>
      </c>
      <c r="J1099">
        <f t="shared" si="484"/>
        <v>2</v>
      </c>
      <c r="K1099" s="36">
        <f t="shared" ca="1" si="485"/>
        <v>167.4</v>
      </c>
      <c r="L1099" s="10">
        <f ca="1">AH1099*VLOOKUP(C1099,技能辅助查询表,技能配置辅助表!$T$1,FALSE)</f>
        <v>0</v>
      </c>
      <c r="M1099">
        <f t="shared" ca="1" si="497"/>
        <v>5920</v>
      </c>
      <c r="N1099" s="33">
        <f ca="1">CHOOSE(1,W1099*U1099,X1099*'[1]0、经济设定'!$C$18)</f>
        <v>24520</v>
      </c>
      <c r="O1099">
        <f t="shared" si="486"/>
        <v>2</v>
      </c>
      <c r="P1099">
        <f t="shared" si="487"/>
        <v>1</v>
      </c>
      <c r="Q1099">
        <f t="shared" si="488"/>
        <v>1</v>
      </c>
      <c r="R1099" s="2">
        <f t="shared" si="489"/>
        <v>4</v>
      </c>
      <c r="S1099" s="2">
        <f t="shared" si="490"/>
        <v>50</v>
      </c>
      <c r="T1099" s="2">
        <f t="shared" si="491"/>
        <v>132.85714285714286</v>
      </c>
      <c r="U1099" s="2">
        <f ca="1">VLOOKUP(E1099,金币生产率!$A$2:$B$120,2,0)</f>
        <v>1226</v>
      </c>
      <c r="V1099" s="2">
        <f t="shared" si="492"/>
        <v>132.85714285714286</v>
      </c>
      <c r="W1099" s="45">
        <f t="shared" ca="1" si="504"/>
        <v>20</v>
      </c>
      <c r="X1099" s="48">
        <f t="shared" ca="1" si="505"/>
        <v>253</v>
      </c>
      <c r="Y1099">
        <f t="shared" si="498"/>
        <v>18</v>
      </c>
      <c r="Z1099">
        <f t="shared" ca="1" si="501"/>
        <v>8</v>
      </c>
      <c r="AA1099" t="str">
        <f t="shared" ca="1" si="493"/>
        <v>9322100.png</v>
      </c>
      <c r="AB1099">
        <f t="shared" si="494"/>
        <v>20</v>
      </c>
      <c r="AC1099">
        <f>VLOOKUP(C1099,技能辅助查询表,技能配置辅助表!$W$1,FALSE)</f>
        <v>5330</v>
      </c>
      <c r="AD1099">
        <f t="shared" ca="1" si="502"/>
        <v>45.545298036805306</v>
      </c>
      <c r="AE1099">
        <f>VLOOKUP(C1099,技能辅助查询表,技能配置辅助表!$U$1,FALSE)</f>
        <v>4</v>
      </c>
      <c r="AF1099">
        <f t="shared" ca="1" si="495"/>
        <v>9322126</v>
      </c>
      <c r="AG1099">
        <f t="shared" ca="1" si="496"/>
        <v>42.775510204081634</v>
      </c>
      <c r="AH1099">
        <f t="shared" ca="1" si="503"/>
        <v>337.87313083683472</v>
      </c>
      <c r="AI1099">
        <f ca="1">VLOOKUP(E1099,伤害参考系!$C$4:$E$104,3,FALSE)*$AN$12</f>
        <v>4355.6631973244148</v>
      </c>
      <c r="AJ1099">
        <f>VLOOKUP(C1099,技能辅助查询表,技能配置辅助表!$L$1,FALSE)</f>
        <v>1</v>
      </c>
      <c r="AK1099">
        <f>VLOOKUP(C1099,技能辅助查询表,技能配置辅助表!$AE$1,FALSE)</f>
        <v>66000550</v>
      </c>
    </row>
    <row r="1100" spans="1:37" x14ac:dyDescent="0.15">
      <c r="A1100" s="1">
        <f t="shared" ca="1" si="478"/>
        <v>9322127</v>
      </c>
      <c r="B1100" s="1" t="str">
        <f t="shared" ca="1" si="479"/>
        <v>玫瑰之舞第1段</v>
      </c>
      <c r="C1100" t="s">
        <v>172</v>
      </c>
      <c r="D1100">
        <f t="shared" si="480"/>
        <v>3</v>
      </c>
      <c r="E1100" s="42">
        <f t="shared" ca="1" si="499"/>
        <v>45</v>
      </c>
      <c r="F1100" t="str">
        <f t="shared" ca="1" si="500"/>
        <v>第27级，共造成168.7%点伤害</v>
      </c>
      <c r="G1100">
        <f t="shared" ca="1" si="481"/>
        <v>1</v>
      </c>
      <c r="H1100">
        <f t="shared" si="482"/>
        <v>1</v>
      </c>
      <c r="I1100" s="44">
        <f t="shared" ca="1" si="483"/>
        <v>27</v>
      </c>
      <c r="J1100">
        <f t="shared" si="484"/>
        <v>2</v>
      </c>
      <c r="K1100" s="36">
        <f t="shared" ca="1" si="485"/>
        <v>168.72857142857143</v>
      </c>
      <c r="L1100" s="10">
        <f ca="1">AH1100*VLOOKUP(C1100,技能辅助查询表,技能配置辅助表!$T$1,FALSE)</f>
        <v>0</v>
      </c>
      <c r="M1100">
        <f t="shared" ca="1" si="497"/>
        <v>5840</v>
      </c>
      <c r="N1100" s="33">
        <f ca="1">CHOOSE(1,W1100*U1100,X1100*'[1]0、经济设定'!$C$18)</f>
        <v>27027</v>
      </c>
      <c r="O1100">
        <f t="shared" si="486"/>
        <v>2</v>
      </c>
      <c r="P1100">
        <f t="shared" si="487"/>
        <v>1</v>
      </c>
      <c r="Q1100">
        <f t="shared" si="488"/>
        <v>1</v>
      </c>
      <c r="R1100" s="2">
        <f t="shared" si="489"/>
        <v>4</v>
      </c>
      <c r="S1100" s="2">
        <f t="shared" si="490"/>
        <v>50</v>
      </c>
      <c r="T1100" s="2">
        <f t="shared" si="491"/>
        <v>132.85714285714286</v>
      </c>
      <c r="U1100" s="2">
        <f ca="1">VLOOKUP(E1100,金币生产率!$A$2:$B$120,2,0)</f>
        <v>1287</v>
      </c>
      <c r="V1100" s="2">
        <f t="shared" si="492"/>
        <v>132.85714285714286</v>
      </c>
      <c r="W1100" s="45">
        <f t="shared" ca="1" si="504"/>
        <v>21</v>
      </c>
      <c r="X1100" s="48">
        <f t="shared" ca="1" si="505"/>
        <v>274</v>
      </c>
      <c r="Y1100">
        <f t="shared" si="498"/>
        <v>18</v>
      </c>
      <c r="Z1100">
        <f t="shared" ca="1" si="501"/>
        <v>9</v>
      </c>
      <c r="AA1100" t="str">
        <f t="shared" ca="1" si="493"/>
        <v>9322100.png</v>
      </c>
      <c r="AB1100">
        <f t="shared" si="494"/>
        <v>20</v>
      </c>
      <c r="AC1100">
        <f>VLOOKUP(C1100,技能辅助查询表,技能配置辅助表!$W$1,FALSE)</f>
        <v>5330</v>
      </c>
      <c r="AD1100">
        <f t="shared" ca="1" si="502"/>
        <v>52.874827433642267</v>
      </c>
      <c r="AE1100">
        <f>VLOOKUP(C1100,技能辅助查询表,技能配置辅助表!$U$1,FALSE)</f>
        <v>4</v>
      </c>
      <c r="AF1100">
        <f t="shared" ca="1" si="495"/>
        <v>9322127</v>
      </c>
      <c r="AG1100">
        <f t="shared" ca="1" si="496"/>
        <v>44.326530612244895</v>
      </c>
      <c r="AH1100">
        <f t="shared" ca="1" si="503"/>
        <v>384.66409481967975</v>
      </c>
      <c r="AI1100">
        <f ca="1">VLOOKUP(E1100,伤害参考系!$C$4:$E$104,3,FALSE)*$AN$12</f>
        <v>4629.2259280936469</v>
      </c>
      <c r="AJ1100">
        <f>VLOOKUP(C1100,技能辅助查询表,技能配置辅助表!$L$1,FALSE)</f>
        <v>1</v>
      </c>
      <c r="AK1100">
        <f>VLOOKUP(C1100,技能辅助查询表,技能配置辅助表!$AE$1,FALSE)</f>
        <v>66000550</v>
      </c>
    </row>
    <row r="1101" spans="1:37" x14ac:dyDescent="0.15">
      <c r="A1101" s="1">
        <f t="shared" ca="1" si="478"/>
        <v>9322128</v>
      </c>
      <c r="B1101" s="1" t="str">
        <f t="shared" ca="1" si="479"/>
        <v>玫瑰之舞第1段</v>
      </c>
      <c r="C1101" t="s">
        <v>172</v>
      </c>
      <c r="D1101">
        <f t="shared" si="480"/>
        <v>3</v>
      </c>
      <c r="E1101" s="42">
        <f t="shared" ca="1" si="499"/>
        <v>47</v>
      </c>
      <c r="F1101" t="str">
        <f t="shared" ca="1" si="500"/>
        <v>第28级，共造成170.1%点伤害</v>
      </c>
      <c r="G1101">
        <f t="shared" ca="1" si="481"/>
        <v>1</v>
      </c>
      <c r="H1101">
        <f t="shared" si="482"/>
        <v>1</v>
      </c>
      <c r="I1101" s="44">
        <f t="shared" ca="1" si="483"/>
        <v>28</v>
      </c>
      <c r="J1101">
        <f t="shared" si="484"/>
        <v>2</v>
      </c>
      <c r="K1101" s="36">
        <f t="shared" ca="1" si="485"/>
        <v>170.05714285714285</v>
      </c>
      <c r="L1101" s="10">
        <f ca="1">AH1101*VLOOKUP(C1101,技能辅助查询表,技能配置辅助表!$T$1,FALSE)</f>
        <v>0</v>
      </c>
      <c r="M1101">
        <f t="shared" ca="1" si="497"/>
        <v>5760</v>
      </c>
      <c r="N1101" s="33">
        <f ca="1">CHOOSE(1,W1101*U1101,X1101*'[1]0、经济设定'!$C$18)</f>
        <v>32476</v>
      </c>
      <c r="O1101">
        <f t="shared" si="486"/>
        <v>2</v>
      </c>
      <c r="P1101">
        <f t="shared" si="487"/>
        <v>1</v>
      </c>
      <c r="Q1101">
        <f t="shared" si="488"/>
        <v>1</v>
      </c>
      <c r="R1101" s="2">
        <f t="shared" si="489"/>
        <v>4</v>
      </c>
      <c r="S1101" s="2">
        <f t="shared" si="490"/>
        <v>50</v>
      </c>
      <c r="T1101" s="2">
        <f t="shared" si="491"/>
        <v>132.85714285714286</v>
      </c>
      <c r="U1101" s="2">
        <f ca="1">VLOOKUP(E1101,金币生产率!$A$2:$B$120,2,0)</f>
        <v>1412</v>
      </c>
      <c r="V1101" s="2">
        <f t="shared" si="492"/>
        <v>132.85714285714286</v>
      </c>
      <c r="W1101" s="45">
        <f t="shared" ca="1" si="504"/>
        <v>23</v>
      </c>
      <c r="X1101" s="48">
        <f t="shared" ca="1" si="505"/>
        <v>297</v>
      </c>
      <c r="Y1101">
        <f t="shared" si="498"/>
        <v>18</v>
      </c>
      <c r="Z1101">
        <f t="shared" ca="1" si="501"/>
        <v>10</v>
      </c>
      <c r="AA1101" t="str">
        <f t="shared" ca="1" si="493"/>
        <v>9322100.png</v>
      </c>
      <c r="AB1101">
        <f t="shared" si="494"/>
        <v>20</v>
      </c>
      <c r="AC1101">
        <f>VLOOKUP(C1101,技能辅助查询表,技能配置辅助表!$W$1,FALSE)</f>
        <v>5330</v>
      </c>
      <c r="AD1101">
        <f t="shared" ca="1" si="502"/>
        <v>61.360948175939185</v>
      </c>
      <c r="AE1101">
        <f>VLOOKUP(C1101,技能辅助查询表,技能配置辅助表!$U$1,FALSE)</f>
        <v>4</v>
      </c>
      <c r="AF1101">
        <f t="shared" ca="1" si="495"/>
        <v>9322128</v>
      </c>
      <c r="AG1101">
        <f t="shared" ca="1" si="496"/>
        <v>45.877551020408163</v>
      </c>
      <c r="AH1101">
        <f t="shared" ca="1" si="503"/>
        <v>437.93498902077317</v>
      </c>
      <c r="AI1101">
        <f ca="1">VLOOKUP(E1101,伤害参考系!$C$4:$E$104,3,FALSE)*$AN$12</f>
        <v>5201.3419816053529</v>
      </c>
      <c r="AJ1101">
        <f>VLOOKUP(C1101,技能辅助查询表,技能配置辅助表!$L$1,FALSE)</f>
        <v>1</v>
      </c>
      <c r="AK1101">
        <f>VLOOKUP(C1101,技能辅助查询表,技能配置辅助表!$AE$1,FALSE)</f>
        <v>66000550</v>
      </c>
    </row>
    <row r="1102" spans="1:37" x14ac:dyDescent="0.15">
      <c r="A1102" s="1">
        <f t="shared" ca="1" si="478"/>
        <v>9322129</v>
      </c>
      <c r="B1102" s="1" t="str">
        <f t="shared" ca="1" si="479"/>
        <v>玫瑰之舞第1段</v>
      </c>
      <c r="C1102" t="s">
        <v>172</v>
      </c>
      <c r="D1102">
        <f t="shared" si="480"/>
        <v>3</v>
      </c>
      <c r="E1102" s="42">
        <f t="shared" ca="1" si="499"/>
        <v>48</v>
      </c>
      <c r="F1102" t="str">
        <f t="shared" ca="1" si="500"/>
        <v>第29级，共造成171.4%点伤害</v>
      </c>
      <c r="G1102">
        <f t="shared" ca="1" si="481"/>
        <v>1</v>
      </c>
      <c r="H1102">
        <f t="shared" si="482"/>
        <v>1</v>
      </c>
      <c r="I1102" s="44">
        <f t="shared" ca="1" si="483"/>
        <v>29</v>
      </c>
      <c r="J1102">
        <f t="shared" si="484"/>
        <v>2</v>
      </c>
      <c r="K1102" s="36">
        <f t="shared" ca="1" si="485"/>
        <v>171.3857142857143</v>
      </c>
      <c r="L1102" s="10">
        <f ca="1">AH1102*VLOOKUP(C1102,技能辅助查询表,技能配置辅助表!$T$1,FALSE)</f>
        <v>0</v>
      </c>
      <c r="M1102">
        <f t="shared" ca="1" si="497"/>
        <v>5680</v>
      </c>
      <c r="N1102" s="33">
        <f ca="1">CHOOSE(1,W1102*U1102,X1102*'[1]0、经济设定'!$C$18)</f>
        <v>36925</v>
      </c>
      <c r="O1102">
        <f t="shared" si="486"/>
        <v>2</v>
      </c>
      <c r="P1102">
        <f t="shared" si="487"/>
        <v>1</v>
      </c>
      <c r="Q1102">
        <f t="shared" si="488"/>
        <v>1</v>
      </c>
      <c r="R1102" s="2">
        <f t="shared" si="489"/>
        <v>4</v>
      </c>
      <c r="S1102" s="2">
        <f t="shared" si="490"/>
        <v>50</v>
      </c>
      <c r="T1102" s="2">
        <f t="shared" si="491"/>
        <v>132.85714285714286</v>
      </c>
      <c r="U1102" s="2">
        <f ca="1">VLOOKUP(E1102,金币生产率!$A$2:$B$120,2,0)</f>
        <v>1477</v>
      </c>
      <c r="V1102" s="2">
        <f t="shared" si="492"/>
        <v>132.85714285714286</v>
      </c>
      <c r="W1102" s="45">
        <f t="shared" ca="1" si="504"/>
        <v>25</v>
      </c>
      <c r="X1102" s="48">
        <f t="shared" ca="1" si="505"/>
        <v>322</v>
      </c>
      <c r="Y1102">
        <f t="shared" si="498"/>
        <v>18</v>
      </c>
      <c r="Z1102">
        <f t="shared" ca="1" si="501"/>
        <v>10</v>
      </c>
      <c r="AA1102" t="str">
        <f t="shared" ca="1" si="493"/>
        <v>9322100.png</v>
      </c>
      <c r="AB1102">
        <f t="shared" si="494"/>
        <v>20</v>
      </c>
      <c r="AC1102">
        <f>VLOOKUP(C1102,技能辅助查询表,技能配置辅助表!$W$1,FALSE)</f>
        <v>5330</v>
      </c>
      <c r="AD1102">
        <f t="shared" ca="1" si="502"/>
        <v>71.183435461570099</v>
      </c>
      <c r="AE1102">
        <f>VLOOKUP(C1102,技能辅助查询表,技能配置辅助表!$U$1,FALSE)</f>
        <v>4</v>
      </c>
      <c r="AF1102">
        <f t="shared" ca="1" si="495"/>
        <v>9322129</v>
      </c>
      <c r="AG1102">
        <f t="shared" ca="1" si="496"/>
        <v>47.428571428571431</v>
      </c>
      <c r="AH1102">
        <f t="shared" ca="1" si="503"/>
        <v>498.5831981498805</v>
      </c>
      <c r="AI1102">
        <f ca="1">VLOOKUP(E1102,伤害参考系!$C$4:$E$104,3,FALSE)*$AN$12</f>
        <v>5499.8953043478286</v>
      </c>
      <c r="AJ1102">
        <f>VLOOKUP(C1102,技能辅助查询表,技能配置辅助表!$L$1,FALSE)</f>
        <v>1</v>
      </c>
      <c r="AK1102">
        <f>VLOOKUP(C1102,技能辅助查询表,技能配置辅助表!$AE$1,FALSE)</f>
        <v>66000550</v>
      </c>
    </row>
    <row r="1103" spans="1:37" x14ac:dyDescent="0.15">
      <c r="A1103" s="1">
        <f t="shared" ca="1" si="478"/>
        <v>9322130</v>
      </c>
      <c r="B1103" s="1" t="str">
        <f t="shared" ca="1" si="479"/>
        <v>玫瑰之舞第1段</v>
      </c>
      <c r="C1103" t="s">
        <v>172</v>
      </c>
      <c r="D1103">
        <f t="shared" si="480"/>
        <v>3</v>
      </c>
      <c r="E1103" s="42">
        <f t="shared" ca="1" si="499"/>
        <v>50</v>
      </c>
      <c r="F1103" t="str">
        <f t="shared" ca="1" si="500"/>
        <v>第30级，共造成172.7%点伤害</v>
      </c>
      <c r="G1103">
        <f t="shared" ca="1" si="481"/>
        <v>1</v>
      </c>
      <c r="H1103">
        <f t="shared" si="482"/>
        <v>1</v>
      </c>
      <c r="I1103" s="44">
        <f t="shared" ca="1" si="483"/>
        <v>30</v>
      </c>
      <c r="J1103">
        <f t="shared" si="484"/>
        <v>2</v>
      </c>
      <c r="K1103" s="36">
        <f t="shared" ca="1" si="485"/>
        <v>172.71428571428572</v>
      </c>
      <c r="L1103" s="10">
        <f ca="1">AH1103*VLOOKUP(C1103,技能辅助查询表,技能配置辅助表!$T$1,FALSE)</f>
        <v>0</v>
      </c>
      <c r="M1103">
        <f t="shared" ca="1" si="497"/>
        <v>5600</v>
      </c>
      <c r="N1103" s="33">
        <f ca="1">CHOOSE(1,W1103*U1103,X1103*'[1]0、经济设定'!$C$18)</f>
        <v>41860</v>
      </c>
      <c r="O1103">
        <f t="shared" si="486"/>
        <v>2</v>
      </c>
      <c r="P1103">
        <f t="shared" si="487"/>
        <v>1</v>
      </c>
      <c r="Q1103">
        <f t="shared" si="488"/>
        <v>1</v>
      </c>
      <c r="R1103" s="2">
        <f t="shared" si="489"/>
        <v>4</v>
      </c>
      <c r="S1103" s="2">
        <f t="shared" si="490"/>
        <v>50</v>
      </c>
      <c r="T1103" s="2">
        <f t="shared" si="491"/>
        <v>132.85714285714286</v>
      </c>
      <c r="U1103" s="2">
        <f ca="1">VLOOKUP(E1103,金币生产率!$A$2:$B$120,2,0)</f>
        <v>1610</v>
      </c>
      <c r="V1103" s="2">
        <f t="shared" si="492"/>
        <v>132.85714285714286</v>
      </c>
      <c r="W1103" s="45">
        <f t="shared" ca="1" si="504"/>
        <v>26</v>
      </c>
      <c r="X1103" s="48">
        <f t="shared" ca="1" si="505"/>
        <v>348</v>
      </c>
      <c r="Y1103">
        <f t="shared" si="498"/>
        <v>18</v>
      </c>
      <c r="Z1103">
        <f t="shared" ca="1" si="501"/>
        <v>11</v>
      </c>
      <c r="AA1103" t="str">
        <f t="shared" ca="1" si="493"/>
        <v>9322100.png</v>
      </c>
      <c r="AB1103">
        <f t="shared" si="494"/>
        <v>20</v>
      </c>
      <c r="AC1103">
        <f>VLOOKUP(C1103,技能辅助查询表,技能配置辅助表!$W$1,FALSE)</f>
        <v>5330</v>
      </c>
      <c r="AD1103">
        <f t="shared" ca="1" si="502"/>
        <v>82.549675676030489</v>
      </c>
      <c r="AE1103">
        <f>VLOOKUP(C1103,技能辅助查询表,技能配置辅助表!$U$1,FALSE)</f>
        <v>4</v>
      </c>
      <c r="AF1103">
        <f t="shared" ca="1" si="495"/>
        <v>9322130</v>
      </c>
      <c r="AG1103">
        <f t="shared" ca="1" si="496"/>
        <v>48.979591836734691</v>
      </c>
      <c r="AH1103">
        <f t="shared" ca="1" si="503"/>
        <v>567.63038284107404</v>
      </c>
      <c r="AI1103">
        <f ca="1">VLOOKUP(E1103,伤害参考系!$C$4:$E$104,3,FALSE)*$AN$12</f>
        <v>6162.2688085284308</v>
      </c>
      <c r="AJ1103">
        <f>VLOOKUP(C1103,技能辅助查询表,技能配置辅助表!$L$1,FALSE)</f>
        <v>1</v>
      </c>
      <c r="AK1103">
        <f>VLOOKUP(C1103,技能辅助查询表,技能配置辅助表!$AE$1,FALSE)</f>
        <v>66000550</v>
      </c>
    </row>
    <row r="1104" spans="1:37" x14ac:dyDescent="0.15">
      <c r="A1104" s="1">
        <f t="shared" ca="1" si="478"/>
        <v>9322131</v>
      </c>
      <c r="B1104" s="1" t="str">
        <f t="shared" ca="1" si="479"/>
        <v>玫瑰之舞第1段</v>
      </c>
      <c r="C1104" t="s">
        <v>172</v>
      </c>
      <c r="D1104">
        <f t="shared" si="480"/>
        <v>3</v>
      </c>
      <c r="E1104" s="42">
        <f t="shared" ca="1" si="499"/>
        <v>51</v>
      </c>
      <c r="F1104" t="str">
        <f t="shared" ca="1" si="500"/>
        <v>第31级，共造成174%点伤害</v>
      </c>
      <c r="G1104">
        <f t="shared" ca="1" si="481"/>
        <v>1</v>
      </c>
      <c r="H1104">
        <f t="shared" si="482"/>
        <v>1</v>
      </c>
      <c r="I1104" s="44">
        <f t="shared" ca="1" si="483"/>
        <v>31</v>
      </c>
      <c r="J1104">
        <f t="shared" si="484"/>
        <v>2</v>
      </c>
      <c r="K1104" s="36">
        <f t="shared" ca="1" si="485"/>
        <v>174.04285714285714</v>
      </c>
      <c r="L1104" s="10">
        <f ca="1">AH1104*VLOOKUP(C1104,技能辅助查询表,技能配置辅助表!$T$1,FALSE)</f>
        <v>0</v>
      </c>
      <c r="M1104">
        <f t="shared" ca="1" si="497"/>
        <v>5520</v>
      </c>
      <c r="N1104" s="33">
        <f ca="1">CHOOSE(1,W1104*U1104,X1104*'[1]0、经济设定'!$C$18)</f>
        <v>47012</v>
      </c>
      <c r="O1104">
        <f t="shared" si="486"/>
        <v>2</v>
      </c>
      <c r="P1104">
        <f t="shared" si="487"/>
        <v>1</v>
      </c>
      <c r="Q1104">
        <f t="shared" si="488"/>
        <v>1</v>
      </c>
      <c r="R1104" s="2">
        <f t="shared" si="489"/>
        <v>4</v>
      </c>
      <c r="S1104" s="2">
        <f t="shared" si="490"/>
        <v>50</v>
      </c>
      <c r="T1104" s="2">
        <f t="shared" si="491"/>
        <v>132.85714285714286</v>
      </c>
      <c r="U1104" s="2">
        <f ca="1">VLOOKUP(E1104,金币生产率!$A$2:$B$120,2,0)</f>
        <v>1679</v>
      </c>
      <c r="V1104" s="2">
        <f t="shared" si="492"/>
        <v>132.85714285714286</v>
      </c>
      <c r="W1104" s="45">
        <f t="shared" ca="1" si="504"/>
        <v>28</v>
      </c>
      <c r="X1104" s="48">
        <f t="shared" ca="1" si="505"/>
        <v>376</v>
      </c>
      <c r="Y1104">
        <f t="shared" si="498"/>
        <v>18</v>
      </c>
      <c r="Z1104">
        <f t="shared" ca="1" si="501"/>
        <v>12</v>
      </c>
      <c r="AA1104" t="str">
        <f t="shared" ca="1" si="493"/>
        <v>9322100.png</v>
      </c>
      <c r="AB1104">
        <f t="shared" si="494"/>
        <v>20</v>
      </c>
      <c r="AC1104">
        <f>VLOOKUP(C1104,技能辅助查询表,技能配置辅助表!$W$1,FALSE)</f>
        <v>5330</v>
      </c>
      <c r="AD1104">
        <f t="shared" ca="1" si="502"/>
        <v>95.69886612690695</v>
      </c>
      <c r="AE1104">
        <f>VLOOKUP(C1104,技能辅助查询表,技能配置辅助表!$U$1,FALSE)</f>
        <v>4</v>
      </c>
      <c r="AF1104">
        <f t="shared" ca="1" si="495"/>
        <v>9322131</v>
      </c>
      <c r="AG1104">
        <f t="shared" ca="1" si="496"/>
        <v>50.530612244897959</v>
      </c>
      <c r="AH1104">
        <f t="shared" ca="1" si="503"/>
        <v>646.23969022607446</v>
      </c>
      <c r="AI1104">
        <f ca="1">VLOOKUP(E1104,伤害参考系!$C$4:$E$104,3,FALSE)*$AN$12</f>
        <v>6528.1715392976603</v>
      </c>
      <c r="AJ1104">
        <f>VLOOKUP(C1104,技能辅助查询表,技能配置辅助表!$L$1,FALSE)</f>
        <v>1</v>
      </c>
      <c r="AK1104">
        <f>VLOOKUP(C1104,技能辅助查询表,技能配置辅助表!$AE$1,FALSE)</f>
        <v>66000550</v>
      </c>
    </row>
    <row r="1105" spans="1:37" x14ac:dyDescent="0.15">
      <c r="A1105" s="1">
        <f t="shared" ca="1" si="478"/>
        <v>9322132</v>
      </c>
      <c r="B1105" s="1" t="str">
        <f t="shared" ca="1" si="479"/>
        <v>玫瑰之舞第1段</v>
      </c>
      <c r="C1105" t="s">
        <v>172</v>
      </c>
      <c r="D1105">
        <f t="shared" si="480"/>
        <v>3</v>
      </c>
      <c r="E1105" s="42">
        <f t="shared" ca="1" si="499"/>
        <v>53</v>
      </c>
      <c r="F1105" t="str">
        <f t="shared" ca="1" si="500"/>
        <v>第32级，共造成175.4%点伤害</v>
      </c>
      <c r="G1105">
        <f t="shared" ca="1" si="481"/>
        <v>1</v>
      </c>
      <c r="H1105">
        <f t="shared" si="482"/>
        <v>1</v>
      </c>
      <c r="I1105" s="44">
        <f t="shared" ca="1" si="483"/>
        <v>32</v>
      </c>
      <c r="J1105">
        <f t="shared" si="484"/>
        <v>2</v>
      </c>
      <c r="K1105" s="36">
        <f t="shared" ca="1" si="485"/>
        <v>175.37142857142857</v>
      </c>
      <c r="L1105" s="10">
        <f ca="1">AH1105*VLOOKUP(C1105,技能辅助查询表,技能配置辅助表!$T$1,FALSE)</f>
        <v>0</v>
      </c>
      <c r="M1105">
        <f t="shared" ca="1" si="497"/>
        <v>5440</v>
      </c>
      <c r="N1105" s="33">
        <f ca="1">CHOOSE(1,W1105*U1105,X1105*'[1]0、经济设定'!$C$18)</f>
        <v>54600</v>
      </c>
      <c r="O1105">
        <f t="shared" si="486"/>
        <v>2</v>
      </c>
      <c r="P1105">
        <f t="shared" si="487"/>
        <v>1</v>
      </c>
      <c r="Q1105">
        <f t="shared" si="488"/>
        <v>1</v>
      </c>
      <c r="R1105" s="2">
        <f t="shared" si="489"/>
        <v>4</v>
      </c>
      <c r="S1105" s="2">
        <f t="shared" si="490"/>
        <v>50</v>
      </c>
      <c r="T1105" s="2">
        <f t="shared" si="491"/>
        <v>132.85714285714286</v>
      </c>
      <c r="U1105" s="2">
        <f ca="1">VLOOKUP(E1105,金币生产率!$A$2:$B$120,2,0)</f>
        <v>1820</v>
      </c>
      <c r="V1105" s="2">
        <f t="shared" si="492"/>
        <v>132.85714285714286</v>
      </c>
      <c r="W1105" s="45">
        <f t="shared" ca="1" si="504"/>
        <v>30</v>
      </c>
      <c r="X1105" s="48">
        <f t="shared" ca="1" si="505"/>
        <v>406</v>
      </c>
      <c r="Y1105">
        <f t="shared" si="498"/>
        <v>18</v>
      </c>
      <c r="Z1105">
        <f t="shared" ca="1" si="501"/>
        <v>12</v>
      </c>
      <c r="AA1105" t="str">
        <f t="shared" ca="1" si="493"/>
        <v>9322100.png</v>
      </c>
      <c r="AB1105">
        <f t="shared" si="494"/>
        <v>20</v>
      </c>
      <c r="AC1105">
        <f>VLOOKUP(C1105,技能辅助查询表,技能配置辅助表!$W$1,FALSE)</f>
        <v>5330</v>
      </c>
      <c r="AD1105">
        <f t="shared" ca="1" si="502"/>
        <v>110.90684845016003</v>
      </c>
      <c r="AE1105">
        <f>VLOOKUP(C1105,技能辅助查询表,技能配置辅助表!$U$1,FALSE)</f>
        <v>4</v>
      </c>
      <c r="AF1105">
        <f t="shared" ca="1" si="495"/>
        <v>9322132</v>
      </c>
      <c r="AG1105">
        <f t="shared" ca="1" si="496"/>
        <v>52.081632653061227</v>
      </c>
      <c r="AH1105">
        <f t="shared" ca="1" si="503"/>
        <v>735.73534794457942</v>
      </c>
      <c r="AI1105">
        <f ca="1">VLOOKUP(E1105,伤害参考系!$C$4:$E$104,3,FALSE)*$AN$12</f>
        <v>7291.2152408026777</v>
      </c>
      <c r="AJ1105">
        <f>VLOOKUP(C1105,技能辅助查询表,技能配置辅助表!$L$1,FALSE)</f>
        <v>1</v>
      </c>
      <c r="AK1105">
        <f>VLOOKUP(C1105,技能辅助查询表,技能配置辅助表!$AE$1,FALSE)</f>
        <v>66000550</v>
      </c>
    </row>
    <row r="1106" spans="1:37" x14ac:dyDescent="0.15">
      <c r="A1106" s="1">
        <f t="shared" ca="1" si="478"/>
        <v>9322133</v>
      </c>
      <c r="B1106" s="1" t="str">
        <f t="shared" ca="1" si="479"/>
        <v>玫瑰之舞第1段</v>
      </c>
      <c r="C1106" t="s">
        <v>172</v>
      </c>
      <c r="D1106">
        <f t="shared" si="480"/>
        <v>3</v>
      </c>
      <c r="E1106" s="42">
        <f t="shared" ca="1" si="499"/>
        <v>54</v>
      </c>
      <c r="F1106" t="str">
        <f t="shared" ca="1" si="500"/>
        <v>第33级，共造成176.7%点伤害</v>
      </c>
      <c r="G1106">
        <f t="shared" ca="1" si="481"/>
        <v>1</v>
      </c>
      <c r="H1106">
        <f t="shared" si="482"/>
        <v>1</v>
      </c>
      <c r="I1106" s="44">
        <f t="shared" ca="1" si="483"/>
        <v>33</v>
      </c>
      <c r="J1106">
        <f t="shared" si="484"/>
        <v>2</v>
      </c>
      <c r="K1106" s="36">
        <f t="shared" ca="1" si="485"/>
        <v>176.7</v>
      </c>
      <c r="L1106" s="10">
        <f ca="1">AH1106*VLOOKUP(C1106,技能辅助查询表,技能配置辅助表!$T$1,FALSE)</f>
        <v>0</v>
      </c>
      <c r="M1106">
        <f t="shared" ca="1" si="497"/>
        <v>5360</v>
      </c>
      <c r="N1106" s="33">
        <f ca="1">CHOOSE(1,W1106*U1106,X1106*'[1]0、经济设定'!$C$18)</f>
        <v>60576</v>
      </c>
      <c r="O1106">
        <f t="shared" si="486"/>
        <v>2</v>
      </c>
      <c r="P1106">
        <f t="shared" si="487"/>
        <v>1</v>
      </c>
      <c r="Q1106">
        <f t="shared" si="488"/>
        <v>1</v>
      </c>
      <c r="R1106" s="2">
        <f t="shared" si="489"/>
        <v>4</v>
      </c>
      <c r="S1106" s="2">
        <f t="shared" si="490"/>
        <v>50</v>
      </c>
      <c r="T1106" s="2">
        <f t="shared" si="491"/>
        <v>132.85714285714286</v>
      </c>
      <c r="U1106" s="2">
        <f ca="1">VLOOKUP(E1106,金币生产率!$A$2:$B$120,2,0)</f>
        <v>1893</v>
      </c>
      <c r="V1106" s="2">
        <f t="shared" si="492"/>
        <v>132.85714285714286</v>
      </c>
      <c r="W1106" s="45">
        <f t="shared" ca="1" si="504"/>
        <v>32</v>
      </c>
      <c r="X1106" s="48">
        <f t="shared" ca="1" si="505"/>
        <v>438</v>
      </c>
      <c r="Y1106">
        <f t="shared" si="498"/>
        <v>18</v>
      </c>
      <c r="Z1106">
        <f t="shared" ca="1" si="501"/>
        <v>13</v>
      </c>
      <c r="AA1106" t="str">
        <f t="shared" ca="1" si="493"/>
        <v>9322100.png</v>
      </c>
      <c r="AB1106">
        <f t="shared" si="494"/>
        <v>20</v>
      </c>
      <c r="AC1106">
        <f>VLOOKUP(C1106,技能辅助查询表,技能配置辅助表!$W$1,FALSE)</f>
        <v>5330</v>
      </c>
      <c r="AD1106">
        <f t="shared" ca="1" si="502"/>
        <v>128.49167065358125</v>
      </c>
      <c r="AE1106">
        <f>VLOOKUP(C1106,技能辅助查询表,技能配置辅助表!$U$1,FALSE)</f>
        <v>4</v>
      </c>
      <c r="AF1106">
        <f t="shared" ca="1" si="495"/>
        <v>9322133</v>
      </c>
      <c r="AG1106">
        <f t="shared" ca="1" si="496"/>
        <v>53.632653061224488</v>
      </c>
      <c r="AH1106">
        <f t="shared" ca="1" si="503"/>
        <v>837.62497166611001</v>
      </c>
      <c r="AI1106">
        <f ca="1">VLOOKUP(E1106,伤害参考系!$C$4:$E$104,3,FALSE)*$AN$12</f>
        <v>7688.356211538463</v>
      </c>
      <c r="AJ1106">
        <f>VLOOKUP(C1106,技能辅助查询表,技能配置辅助表!$L$1,FALSE)</f>
        <v>1</v>
      </c>
      <c r="AK1106">
        <f>VLOOKUP(C1106,技能辅助查询表,技能配置辅助表!$AE$1,FALSE)</f>
        <v>66000550</v>
      </c>
    </row>
    <row r="1107" spans="1:37" x14ac:dyDescent="0.15">
      <c r="A1107" s="1">
        <f t="shared" ref="A1107:A1170" ca="1" si="506">IF(I1107=0,IF(H1107=1,VALUE("9"&amp;D1107&amp;J1107&amp;O1107&amp;G1107&amp;IF(I1107&gt;9,I1107,"0"&amp;I1107)),1),VALUE("9"&amp;D1107&amp;J1107&amp;O1107&amp;G1107&amp;IF(I1107&gt;9,I1107,"0"&amp;I1107)))</f>
        <v>9322134</v>
      </c>
      <c r="B1107" s="1" t="str">
        <f t="shared" ref="B1107:B1170" ca="1" si="507">IF(AND(G1107=0,AE1107=4),LEFT(C1107,LEN(C1107)-3),C1107)</f>
        <v>玫瑰之舞第1段</v>
      </c>
      <c r="C1107" t="s">
        <v>172</v>
      </c>
      <c r="D1107">
        <f t="shared" ref="D1107:D1170" si="508">VLOOKUP(C1107,技能辅助查询表,3,FALSE)</f>
        <v>3</v>
      </c>
      <c r="E1107" s="42">
        <f t="shared" ca="1" si="499"/>
        <v>56</v>
      </c>
      <c r="F1107" t="str">
        <f t="shared" ca="1" si="500"/>
        <v>第34级，共造成178%点伤害</v>
      </c>
      <c r="G1107">
        <f t="shared" ref="G1107:G1170" ca="1" si="509">IF(I1107=0,0,H1107)</f>
        <v>1</v>
      </c>
      <c r="H1107">
        <f t="shared" ref="H1107:H1170" si="510">VLOOKUP(C1107,技能辅助查询表,2,FALSE)</f>
        <v>1</v>
      </c>
      <c r="I1107" s="44">
        <f t="shared" ref="I1107:I1170" ca="1" si="511">IF(OFFSET(C1107,-1,0)=C1107,I1106+1,0)</f>
        <v>34</v>
      </c>
      <c r="J1107">
        <f t="shared" ref="J1107:J1170" si="512">VLOOKUP(C1107,技能辅助查询表,4,FALSE)</f>
        <v>2</v>
      </c>
      <c r="K1107" s="36">
        <f t="shared" ref="K1107:K1170" ca="1" si="513">IF(OR(I1107=0,I1107=1),T1107,T1107+T1107*($AN$6-1)/S1107*I1107)</f>
        <v>178.02857142857144</v>
      </c>
      <c r="L1107" s="10">
        <f ca="1">AH1107*VLOOKUP(C1107,技能辅助查询表,技能配置辅助表!$T$1,FALSE)</f>
        <v>0</v>
      </c>
      <c r="M1107">
        <f t="shared" ca="1" si="497"/>
        <v>5280</v>
      </c>
      <c r="N1107" s="33">
        <f ca="1">CHOOSE(1,W1107*U1107,X1107*'[1]0、经济设定'!$C$18)</f>
        <v>69428</v>
      </c>
      <c r="O1107">
        <f t="shared" ref="O1107:O1170" si="514">VLOOKUP(C1107,技能辅助查询表,5,FALSE)</f>
        <v>2</v>
      </c>
      <c r="P1107">
        <f t="shared" ref="P1107:P1170" si="515">VLOOKUP(C1107,技能辅助查询表,6,FALSE)</f>
        <v>1</v>
      </c>
      <c r="Q1107">
        <f t="shared" ref="Q1107:Q1170" si="516">VLOOKUP(C1107,技能辅助查询表,7,FALSE)</f>
        <v>1</v>
      </c>
      <c r="R1107" s="2">
        <f t="shared" ref="R1107:R1170" si="517">VLOOKUP(C1107,技能辅助查询表,9,FALSE)</f>
        <v>4</v>
      </c>
      <c r="S1107" s="2">
        <f t="shared" ref="S1107:S1170" si="518">VLOOKUP(C1107,技能辅助查询表,8,FALSE)</f>
        <v>50</v>
      </c>
      <c r="T1107" s="2">
        <f t="shared" ref="T1107:T1170" si="519">VLOOKUP(C1107,技能辅助查询表,11,FALSE)</f>
        <v>132.85714285714286</v>
      </c>
      <c r="U1107" s="2">
        <f ca="1">VLOOKUP(E1107,金币生产率!$A$2:$B$120,2,0)</f>
        <v>2042</v>
      </c>
      <c r="V1107" s="2">
        <f t="shared" ref="V1107:V1170" si="520">VLOOKUP(C1107,技能辅助查询表,12,FALSE)</f>
        <v>132.85714285714286</v>
      </c>
      <c r="W1107" s="45">
        <f t="shared" ca="1" si="504"/>
        <v>34</v>
      </c>
      <c r="X1107" s="48">
        <f t="shared" ca="1" si="505"/>
        <v>472</v>
      </c>
      <c r="Y1107">
        <f t="shared" si="498"/>
        <v>18</v>
      </c>
      <c r="Z1107">
        <f t="shared" ca="1" si="501"/>
        <v>14</v>
      </c>
      <c r="AA1107" t="str">
        <f t="shared" ref="AA1107:AA1170" ca="1" si="521">AF1107-MOD(AF1107,100)&amp;".png"</f>
        <v>9322100.png</v>
      </c>
      <c r="AB1107">
        <f t="shared" ref="AB1107:AB1170" si="522">VLOOKUP(C1107,技能辅助查询表,17,FALSE)</f>
        <v>20</v>
      </c>
      <c r="AC1107">
        <f>VLOOKUP(C1107,技能辅助查询表,技能配置辅助表!$W$1,FALSE)</f>
        <v>5330</v>
      </c>
      <c r="AD1107">
        <f t="shared" ca="1" si="502"/>
        <v>148.81998691274859</v>
      </c>
      <c r="AE1107">
        <f>VLOOKUP(C1107,技能辅助查询表,技能配置辅助表!$U$1,FALSE)</f>
        <v>4</v>
      </c>
      <c r="AF1107">
        <f t="shared" ref="AF1107:AF1170" ca="1" si="523">VALUE("9"&amp;D1107&amp;J1107&amp;O1107&amp;H1107&amp;IF(I1107&gt;9,I1107,"0"&amp;I1107))</f>
        <v>9322134</v>
      </c>
      <c r="AG1107">
        <f t="shared" ref="AG1107:AG1170" ca="1" si="524">IF(I1107=1,R1107,IF(I1107=0,0,(I1107-1)*(80-R1107)/(S1107-1)+R1107))</f>
        <v>55.183673469387756</v>
      </c>
      <c r="AH1107">
        <f t="shared" ca="1" si="503"/>
        <v>953.62496190886134</v>
      </c>
      <c r="AI1107">
        <f ca="1">VLOOKUP(E1107,伤害参考系!$C$4:$E$104,3,FALSE)*$AN$12</f>
        <v>8513.8763929765901</v>
      </c>
      <c r="AJ1107">
        <f>VLOOKUP(C1107,技能辅助查询表,技能配置辅助表!$L$1,FALSE)</f>
        <v>1</v>
      </c>
      <c r="AK1107">
        <f>VLOOKUP(C1107,技能辅助查询表,技能配置辅助表!$AE$1,FALSE)</f>
        <v>66000550</v>
      </c>
    </row>
    <row r="1108" spans="1:37" x14ac:dyDescent="0.15">
      <c r="A1108" s="1">
        <f t="shared" ca="1" si="506"/>
        <v>9322135</v>
      </c>
      <c r="B1108" s="1" t="str">
        <f t="shared" ca="1" si="507"/>
        <v>玫瑰之舞第1段</v>
      </c>
      <c r="C1108" t="s">
        <v>172</v>
      </c>
      <c r="D1108">
        <f t="shared" si="508"/>
        <v>3</v>
      </c>
      <c r="E1108" s="42">
        <f t="shared" ca="1" si="499"/>
        <v>57</v>
      </c>
      <c r="F1108" t="str">
        <f t="shared" ca="1" si="500"/>
        <v>第35级，共造成179.4%点伤害</v>
      </c>
      <c r="G1108">
        <f t="shared" ca="1" si="509"/>
        <v>1</v>
      </c>
      <c r="H1108">
        <f t="shared" si="510"/>
        <v>1</v>
      </c>
      <c r="I1108" s="44">
        <f t="shared" ca="1" si="511"/>
        <v>35</v>
      </c>
      <c r="J1108">
        <f t="shared" si="512"/>
        <v>2</v>
      </c>
      <c r="K1108" s="36">
        <f t="shared" ca="1" si="513"/>
        <v>179.35714285714286</v>
      </c>
      <c r="L1108" s="10">
        <f ca="1">AH1108*VLOOKUP(C1108,技能辅助查询表,技能配置辅助表!$T$1,FALSE)</f>
        <v>0</v>
      </c>
      <c r="M1108">
        <f t="shared" ca="1" si="497"/>
        <v>5200</v>
      </c>
      <c r="N1108" s="33">
        <f ca="1">CHOOSE(1,W1108*U1108,X1108*'[1]0、经济设定'!$C$18)</f>
        <v>76284</v>
      </c>
      <c r="O1108">
        <f t="shared" si="514"/>
        <v>2</v>
      </c>
      <c r="P1108">
        <f t="shared" si="515"/>
        <v>1</v>
      </c>
      <c r="Q1108">
        <f t="shared" si="516"/>
        <v>1</v>
      </c>
      <c r="R1108" s="2">
        <f t="shared" si="517"/>
        <v>4</v>
      </c>
      <c r="S1108" s="2">
        <f t="shared" si="518"/>
        <v>50</v>
      </c>
      <c r="T1108" s="2">
        <f t="shared" si="519"/>
        <v>132.85714285714286</v>
      </c>
      <c r="U1108" s="2">
        <f ca="1">VLOOKUP(E1108,金币生产率!$A$2:$B$120,2,0)</f>
        <v>2119</v>
      </c>
      <c r="V1108" s="2">
        <f t="shared" si="520"/>
        <v>132.85714285714286</v>
      </c>
      <c r="W1108" s="45">
        <f t="shared" ca="1" si="504"/>
        <v>36</v>
      </c>
      <c r="X1108" s="48">
        <f t="shared" ca="1" si="505"/>
        <v>508</v>
      </c>
      <c r="Y1108">
        <f t="shared" si="498"/>
        <v>18</v>
      </c>
      <c r="Z1108">
        <f t="shared" ca="1" si="501"/>
        <v>15</v>
      </c>
      <c r="AA1108" t="str">
        <f t="shared" ca="1" si="521"/>
        <v>9322100.png</v>
      </c>
      <c r="AB1108">
        <f t="shared" si="522"/>
        <v>20</v>
      </c>
      <c r="AC1108">
        <f>VLOOKUP(C1108,技能辅助查询表,技能配置辅助表!$W$1,FALSE)</f>
        <v>5330</v>
      </c>
      <c r="AD1108">
        <f t="shared" ca="1" si="502"/>
        <v>172.31442048263017</v>
      </c>
      <c r="AE1108">
        <f>VLOOKUP(C1108,技能辅助查询表,技能配置辅助表!$U$1,FALSE)</f>
        <v>4</v>
      </c>
      <c r="AF1108">
        <f t="shared" ca="1" si="523"/>
        <v>9322135</v>
      </c>
      <c r="AG1108">
        <f t="shared" ca="1" si="524"/>
        <v>56.734693877551024</v>
      </c>
      <c r="AH1108">
        <f t="shared" ca="1" si="503"/>
        <v>1085.689417982368</v>
      </c>
      <c r="AI1108">
        <f ca="1">VLOOKUP(E1108,伤害参考系!$C$4:$E$104,3,FALSE)*$AN$12</f>
        <v>8942.2556036789319</v>
      </c>
      <c r="AJ1108">
        <f>VLOOKUP(C1108,技能辅助查询表,技能配置辅助表!$L$1,FALSE)</f>
        <v>1</v>
      </c>
      <c r="AK1108">
        <f>VLOOKUP(C1108,技能辅助查询表,技能配置辅助表!$AE$1,FALSE)</f>
        <v>66000550</v>
      </c>
    </row>
    <row r="1109" spans="1:37" x14ac:dyDescent="0.15">
      <c r="A1109" s="1">
        <f t="shared" ca="1" si="506"/>
        <v>9322136</v>
      </c>
      <c r="B1109" s="1" t="str">
        <f t="shared" ca="1" si="507"/>
        <v>玫瑰之舞第1段</v>
      </c>
      <c r="C1109" t="s">
        <v>172</v>
      </c>
      <c r="D1109">
        <f t="shared" si="508"/>
        <v>3</v>
      </c>
      <c r="E1109" s="42">
        <f t="shared" ca="1" si="499"/>
        <v>59</v>
      </c>
      <c r="F1109" t="str">
        <f t="shared" ca="1" si="500"/>
        <v>第36级，共造成180.7%点伤害</v>
      </c>
      <c r="G1109">
        <f t="shared" ca="1" si="509"/>
        <v>1</v>
      </c>
      <c r="H1109">
        <f t="shared" si="510"/>
        <v>1</v>
      </c>
      <c r="I1109" s="44">
        <f t="shared" ca="1" si="511"/>
        <v>36</v>
      </c>
      <c r="J1109">
        <f t="shared" si="512"/>
        <v>2</v>
      </c>
      <c r="K1109" s="36">
        <f t="shared" ca="1" si="513"/>
        <v>180.68571428571428</v>
      </c>
      <c r="L1109" s="10">
        <f ca="1">AH1109*VLOOKUP(C1109,技能辅助查询表,技能配置辅助表!$T$1,FALSE)</f>
        <v>0</v>
      </c>
      <c r="M1109">
        <f t="shared" ca="1" si="497"/>
        <v>5120</v>
      </c>
      <c r="N1109" s="33">
        <f ca="1">CHOOSE(1,W1109*U1109,X1109*'[1]0、经济设定'!$C$18)</f>
        <v>88803</v>
      </c>
      <c r="O1109">
        <f t="shared" si="514"/>
        <v>2</v>
      </c>
      <c r="P1109">
        <f t="shared" si="515"/>
        <v>1</v>
      </c>
      <c r="Q1109">
        <f t="shared" si="516"/>
        <v>1</v>
      </c>
      <c r="R1109" s="2">
        <f t="shared" si="517"/>
        <v>4</v>
      </c>
      <c r="S1109" s="2">
        <f t="shared" si="518"/>
        <v>50</v>
      </c>
      <c r="T1109" s="2">
        <f t="shared" si="519"/>
        <v>132.85714285714286</v>
      </c>
      <c r="U1109" s="2">
        <f ca="1">VLOOKUP(E1109,金币生产率!$A$2:$B$120,2,0)</f>
        <v>2277</v>
      </c>
      <c r="V1109" s="2">
        <f t="shared" si="520"/>
        <v>132.85714285714286</v>
      </c>
      <c r="W1109" s="45">
        <f t="shared" ca="1" si="504"/>
        <v>39</v>
      </c>
      <c r="X1109" s="48">
        <f t="shared" ca="1" si="505"/>
        <v>547</v>
      </c>
      <c r="Y1109">
        <f t="shared" si="498"/>
        <v>18</v>
      </c>
      <c r="Z1109">
        <f t="shared" ca="1" si="501"/>
        <v>16</v>
      </c>
      <c r="AA1109" t="str">
        <f t="shared" ca="1" si="521"/>
        <v>9322100.png</v>
      </c>
      <c r="AB1109">
        <f t="shared" si="522"/>
        <v>20</v>
      </c>
      <c r="AC1109">
        <f>VLOOKUP(C1109,技能辅助查询表,技能配置辅助表!$W$1,FALSE)</f>
        <v>5330</v>
      </c>
      <c r="AD1109">
        <f t="shared" ca="1" si="502"/>
        <v>199.46203374335869</v>
      </c>
      <c r="AE1109">
        <f>VLOOKUP(C1109,技能辅助查询表,技能配置辅助表!$U$1,FALSE)</f>
        <v>4</v>
      </c>
      <c r="AF1109">
        <f t="shared" ca="1" si="523"/>
        <v>9322136</v>
      </c>
      <c r="AG1109">
        <f t="shared" ca="1" si="524"/>
        <v>58.285714285714285</v>
      </c>
      <c r="AH1109">
        <f t="shared" ca="1" si="503"/>
        <v>1236.0430561291703</v>
      </c>
      <c r="AI1109">
        <f ca="1">VLOOKUP(E1109,伤害参考系!$C$4:$E$104,3,FALSE)*$AN$12</f>
        <v>9830.2522650501687</v>
      </c>
      <c r="AJ1109">
        <f>VLOOKUP(C1109,技能辅助查询表,技能配置辅助表!$L$1,FALSE)</f>
        <v>1</v>
      </c>
      <c r="AK1109">
        <f>VLOOKUP(C1109,技能辅助查询表,技能配置辅助表!$AE$1,FALSE)</f>
        <v>66000550</v>
      </c>
    </row>
    <row r="1110" spans="1:37" x14ac:dyDescent="0.15">
      <c r="A1110" s="1">
        <f t="shared" ca="1" si="506"/>
        <v>9322137</v>
      </c>
      <c r="B1110" s="1" t="str">
        <f t="shared" ca="1" si="507"/>
        <v>玫瑰之舞第1段</v>
      </c>
      <c r="C1110" t="s">
        <v>172</v>
      </c>
      <c r="D1110">
        <f t="shared" si="508"/>
        <v>3</v>
      </c>
      <c r="E1110" s="42">
        <f t="shared" ca="1" si="499"/>
        <v>60</v>
      </c>
      <c r="F1110" t="str">
        <f t="shared" ca="1" si="500"/>
        <v>第37级，共造成182%点伤害</v>
      </c>
      <c r="G1110">
        <f t="shared" ca="1" si="509"/>
        <v>1</v>
      </c>
      <c r="H1110">
        <f t="shared" si="510"/>
        <v>1</v>
      </c>
      <c r="I1110" s="44">
        <f t="shared" ca="1" si="511"/>
        <v>37</v>
      </c>
      <c r="J1110">
        <f t="shared" si="512"/>
        <v>2</v>
      </c>
      <c r="K1110" s="36">
        <f t="shared" ca="1" si="513"/>
        <v>182.01428571428573</v>
      </c>
      <c r="L1110" s="10">
        <f ca="1">AH1110*VLOOKUP(C1110,技能辅助查询表,技能配置辅助表!$T$1,FALSE)</f>
        <v>0</v>
      </c>
      <c r="M1110">
        <f t="shared" ca="1" si="497"/>
        <v>5040</v>
      </c>
      <c r="N1110" s="33">
        <f ca="1">CHOOSE(1,W1110*U1110,X1110*'[1]0、经济设定'!$C$18)</f>
        <v>99036</v>
      </c>
      <c r="O1110">
        <f t="shared" si="514"/>
        <v>2</v>
      </c>
      <c r="P1110">
        <f t="shared" si="515"/>
        <v>1</v>
      </c>
      <c r="Q1110">
        <f t="shared" si="516"/>
        <v>1</v>
      </c>
      <c r="R1110" s="2">
        <f t="shared" si="517"/>
        <v>4</v>
      </c>
      <c r="S1110" s="2">
        <f t="shared" si="518"/>
        <v>50</v>
      </c>
      <c r="T1110" s="2">
        <f t="shared" si="519"/>
        <v>132.85714285714286</v>
      </c>
      <c r="U1110" s="2">
        <f ca="1">VLOOKUP(E1110,金币生产率!$A$2:$B$120,2,0)</f>
        <v>2358</v>
      </c>
      <c r="V1110" s="2">
        <f t="shared" si="520"/>
        <v>132.85714285714286</v>
      </c>
      <c r="W1110" s="45">
        <f t="shared" ca="1" si="504"/>
        <v>42</v>
      </c>
      <c r="X1110" s="48">
        <f t="shared" ca="1" si="505"/>
        <v>589</v>
      </c>
      <c r="Y1110">
        <f t="shared" si="498"/>
        <v>18</v>
      </c>
      <c r="Z1110">
        <f t="shared" ca="1" si="501"/>
        <v>17</v>
      </c>
      <c r="AA1110" t="str">
        <f t="shared" ca="1" si="521"/>
        <v>9322100.png</v>
      </c>
      <c r="AB1110">
        <f t="shared" si="522"/>
        <v>20</v>
      </c>
      <c r="AC1110">
        <f>VLOOKUP(C1110,技能辅助查询表,技能配置辅助表!$W$1,FALSE)</f>
        <v>5330</v>
      </c>
      <c r="AD1110">
        <f t="shared" ca="1" si="502"/>
        <v>230.82407081681791</v>
      </c>
      <c r="AE1110">
        <f>VLOOKUP(C1110,技能辅助查询表,技能配置辅助表!$U$1,FALSE)</f>
        <v>4</v>
      </c>
      <c r="AF1110">
        <f t="shared" ca="1" si="523"/>
        <v>9322137</v>
      </c>
      <c r="AG1110">
        <f t="shared" ca="1" si="524"/>
        <v>59.836734693877553</v>
      </c>
      <c r="AH1110">
        <f t="shared" ca="1" si="503"/>
        <v>1407.2186863941167</v>
      </c>
      <c r="AI1110">
        <f ca="1">VLOOKUP(E1110,伤害参考系!$C$4:$E$104,3,FALSE)*$AN$12</f>
        <v>10340.558729096994</v>
      </c>
      <c r="AJ1110">
        <f>VLOOKUP(C1110,技能辅助查询表,技能配置辅助表!$L$1,FALSE)</f>
        <v>1</v>
      </c>
      <c r="AK1110">
        <f>VLOOKUP(C1110,技能辅助查询表,技能配置辅助表!$AE$1,FALSE)</f>
        <v>66000550</v>
      </c>
    </row>
    <row r="1111" spans="1:37" x14ac:dyDescent="0.15">
      <c r="A1111" s="1">
        <f t="shared" ca="1" si="506"/>
        <v>9322138</v>
      </c>
      <c r="B1111" s="1" t="str">
        <f t="shared" ca="1" si="507"/>
        <v>玫瑰之舞第1段</v>
      </c>
      <c r="C1111" t="s">
        <v>172</v>
      </c>
      <c r="D1111">
        <f t="shared" si="508"/>
        <v>3</v>
      </c>
      <c r="E1111" s="42">
        <f t="shared" ca="1" si="499"/>
        <v>62</v>
      </c>
      <c r="F1111" t="str">
        <f t="shared" ca="1" si="500"/>
        <v>第38级，共造成183.3%点伤害</v>
      </c>
      <c r="G1111">
        <f t="shared" ca="1" si="509"/>
        <v>1</v>
      </c>
      <c r="H1111">
        <f t="shared" si="510"/>
        <v>1</v>
      </c>
      <c r="I1111" s="44">
        <f t="shared" ca="1" si="511"/>
        <v>38</v>
      </c>
      <c r="J1111">
        <f t="shared" si="512"/>
        <v>2</v>
      </c>
      <c r="K1111" s="36">
        <f t="shared" ca="1" si="513"/>
        <v>183.34285714285716</v>
      </c>
      <c r="L1111" s="10">
        <f ca="1">AH1111*VLOOKUP(C1111,技能辅助查询表,技能配置辅助表!$T$1,FALSE)</f>
        <v>0</v>
      </c>
      <c r="M1111">
        <f t="shared" ca="1" si="497"/>
        <v>4960</v>
      </c>
      <c r="N1111" s="33">
        <f ca="1">CHOOSE(1,W1111*U1111,X1111*'[1]0、经济设定'!$C$18)</f>
        <v>113580</v>
      </c>
      <c r="O1111">
        <f t="shared" si="514"/>
        <v>2</v>
      </c>
      <c r="P1111">
        <f t="shared" si="515"/>
        <v>1</v>
      </c>
      <c r="Q1111">
        <f t="shared" si="516"/>
        <v>1</v>
      </c>
      <c r="R1111" s="2">
        <f t="shared" si="517"/>
        <v>4</v>
      </c>
      <c r="S1111" s="2">
        <f t="shared" si="518"/>
        <v>50</v>
      </c>
      <c r="T1111" s="2">
        <f t="shared" si="519"/>
        <v>132.85714285714286</v>
      </c>
      <c r="U1111" s="2">
        <f ca="1">VLOOKUP(E1111,金币生产率!$A$2:$B$120,2,0)</f>
        <v>2524</v>
      </c>
      <c r="V1111" s="2">
        <f t="shared" si="520"/>
        <v>132.85714285714286</v>
      </c>
      <c r="W1111" s="45">
        <f t="shared" ca="1" si="504"/>
        <v>45</v>
      </c>
      <c r="X1111" s="48">
        <f t="shared" ca="1" si="505"/>
        <v>634</v>
      </c>
      <c r="Y1111">
        <f t="shared" si="498"/>
        <v>18</v>
      </c>
      <c r="Z1111">
        <f t="shared" ca="1" si="501"/>
        <v>18</v>
      </c>
      <c r="AA1111" t="str">
        <f t="shared" ca="1" si="521"/>
        <v>9322100.png</v>
      </c>
      <c r="AB1111">
        <f t="shared" si="522"/>
        <v>20</v>
      </c>
      <c r="AC1111">
        <f>VLOOKUP(C1111,技能辅助查询表,技能配置辅助表!$W$1,FALSE)</f>
        <v>5330</v>
      </c>
      <c r="AD1111">
        <f t="shared" ca="1" si="502"/>
        <v>267.04716277898876</v>
      </c>
      <c r="AE1111">
        <f>VLOOKUP(C1111,技能辅助查询表,技能配置辅助表!$U$1,FALSE)</f>
        <v>4</v>
      </c>
      <c r="AF1111">
        <f t="shared" ca="1" si="523"/>
        <v>9322138</v>
      </c>
      <c r="AG1111">
        <f t="shared" ca="1" si="524"/>
        <v>61.387755102040813</v>
      </c>
      <c r="AH1111">
        <f t="shared" ca="1" si="503"/>
        <v>1602.0998795448415</v>
      </c>
      <c r="AI1111">
        <f ca="1">VLOOKUP(E1111,伤害参考系!$C$4:$E$104,3,FALSE)*$AN$12</f>
        <v>11398.657545150505</v>
      </c>
      <c r="AJ1111">
        <f>VLOOKUP(C1111,技能辅助查询表,技能配置辅助表!$L$1,FALSE)</f>
        <v>1</v>
      </c>
      <c r="AK1111">
        <f>VLOOKUP(C1111,技能辅助查询表,技能配置辅助表!$AE$1,FALSE)</f>
        <v>66000550</v>
      </c>
    </row>
    <row r="1112" spans="1:37" x14ac:dyDescent="0.15">
      <c r="A1112" s="1">
        <f t="shared" ca="1" si="506"/>
        <v>9322139</v>
      </c>
      <c r="B1112" s="1" t="str">
        <f t="shared" ca="1" si="507"/>
        <v>玫瑰之舞第1段</v>
      </c>
      <c r="C1112" t="s">
        <v>172</v>
      </c>
      <c r="D1112">
        <f t="shared" si="508"/>
        <v>3</v>
      </c>
      <c r="E1112" s="42">
        <f t="shared" ca="1" si="499"/>
        <v>63</v>
      </c>
      <c r="F1112" t="str">
        <f t="shared" ca="1" si="500"/>
        <v>第39级，共造成184.7%点伤害</v>
      </c>
      <c r="G1112">
        <f t="shared" ca="1" si="509"/>
        <v>1</v>
      </c>
      <c r="H1112">
        <f t="shared" si="510"/>
        <v>1</v>
      </c>
      <c r="I1112" s="44">
        <f t="shared" ca="1" si="511"/>
        <v>39</v>
      </c>
      <c r="J1112">
        <f t="shared" si="512"/>
        <v>2</v>
      </c>
      <c r="K1112" s="36">
        <f t="shared" ca="1" si="513"/>
        <v>184.67142857142858</v>
      </c>
      <c r="L1112" s="10">
        <f ca="1">AH1112*VLOOKUP(C1112,技能辅助查询表,技能配置辅助表!$T$1,FALSE)</f>
        <v>0</v>
      </c>
      <c r="M1112">
        <f t="shared" ca="1" si="497"/>
        <v>4880</v>
      </c>
      <c r="N1112" s="33">
        <f ca="1">CHOOSE(1,W1112*U1112,X1112*'[1]0、经济设定'!$C$18)</f>
        <v>125232</v>
      </c>
      <c r="O1112">
        <f t="shared" si="514"/>
        <v>2</v>
      </c>
      <c r="P1112">
        <f t="shared" si="515"/>
        <v>1</v>
      </c>
      <c r="Q1112">
        <f t="shared" si="516"/>
        <v>1</v>
      </c>
      <c r="R1112" s="2">
        <f t="shared" si="517"/>
        <v>4</v>
      </c>
      <c r="S1112" s="2">
        <f t="shared" si="518"/>
        <v>50</v>
      </c>
      <c r="T1112" s="2">
        <f t="shared" si="519"/>
        <v>132.85714285714286</v>
      </c>
      <c r="U1112" s="2">
        <f ca="1">VLOOKUP(E1112,金币生产率!$A$2:$B$120,2,0)</f>
        <v>2609</v>
      </c>
      <c r="V1112" s="2">
        <f t="shared" si="520"/>
        <v>132.85714285714286</v>
      </c>
      <c r="W1112" s="45">
        <f t="shared" ca="1" si="504"/>
        <v>48</v>
      </c>
      <c r="X1112" s="48">
        <f t="shared" ca="1" si="505"/>
        <v>682</v>
      </c>
      <c r="Y1112">
        <f t="shared" si="498"/>
        <v>18</v>
      </c>
      <c r="Z1112">
        <f t="shared" ca="1" si="501"/>
        <v>20</v>
      </c>
      <c r="AA1112" t="str">
        <f t="shared" ca="1" si="521"/>
        <v>9322100.png</v>
      </c>
      <c r="AB1112">
        <f t="shared" si="522"/>
        <v>20</v>
      </c>
      <c r="AC1112">
        <f>VLOOKUP(C1112,技能辅助查询表,技能配置辅助表!$W$1,FALSE)</f>
        <v>5330</v>
      </c>
      <c r="AD1112">
        <f t="shared" ca="1" si="502"/>
        <v>308.87621371878566</v>
      </c>
      <c r="AE1112">
        <f>VLOOKUP(C1112,技能辅助查询表,技能配置辅助表!$U$1,FALSE)</f>
        <v>4</v>
      </c>
      <c r="AF1112">
        <f t="shared" ca="1" si="523"/>
        <v>9322139</v>
      </c>
      <c r="AG1112">
        <f t="shared" ca="1" si="524"/>
        <v>62.938775510204081</v>
      </c>
      <c r="AH1112">
        <f t="shared" ca="1" si="503"/>
        <v>1823.9695427969455</v>
      </c>
      <c r="AI1112">
        <f ca="1">VLOOKUP(E1112,伤害参考系!$C$4:$E$104,3,FALSE)*$AN$12</f>
        <v>11946.449897157196</v>
      </c>
      <c r="AJ1112">
        <f>VLOOKUP(C1112,技能辅助查询表,技能配置辅助表!$L$1,FALSE)</f>
        <v>1</v>
      </c>
      <c r="AK1112">
        <f>VLOOKUP(C1112,技能辅助查询表,技能配置辅助表!$AE$1,FALSE)</f>
        <v>66000550</v>
      </c>
    </row>
    <row r="1113" spans="1:37" x14ac:dyDescent="0.15">
      <c r="A1113" s="1">
        <f t="shared" ca="1" si="506"/>
        <v>9322140</v>
      </c>
      <c r="B1113" s="1" t="str">
        <f t="shared" ca="1" si="507"/>
        <v>玫瑰之舞第1段</v>
      </c>
      <c r="C1113" t="s">
        <v>172</v>
      </c>
      <c r="D1113">
        <f t="shared" si="508"/>
        <v>3</v>
      </c>
      <c r="E1113" s="42">
        <f t="shared" ca="1" si="499"/>
        <v>65</v>
      </c>
      <c r="F1113" t="str">
        <f t="shared" ca="1" si="500"/>
        <v>第40级，共造成186%点伤害</v>
      </c>
      <c r="G1113">
        <f t="shared" ca="1" si="509"/>
        <v>1</v>
      </c>
      <c r="H1113">
        <f t="shared" si="510"/>
        <v>1</v>
      </c>
      <c r="I1113" s="44">
        <f t="shared" ca="1" si="511"/>
        <v>40</v>
      </c>
      <c r="J1113">
        <f t="shared" si="512"/>
        <v>2</v>
      </c>
      <c r="K1113" s="36">
        <f t="shared" ca="1" si="513"/>
        <v>186</v>
      </c>
      <c r="L1113" s="10">
        <f ca="1">AH1113*VLOOKUP(C1113,技能辅助查询表,技能配置辅助表!$T$1,FALSE)</f>
        <v>0</v>
      </c>
      <c r="M1113">
        <f t="shared" ca="1" si="497"/>
        <v>4800</v>
      </c>
      <c r="N1113" s="33">
        <f ca="1">CHOOSE(1,W1113*U1113,X1113*'[1]0、经济设定'!$C$18)</f>
        <v>141933</v>
      </c>
      <c r="O1113">
        <f t="shared" si="514"/>
        <v>2</v>
      </c>
      <c r="P1113">
        <f t="shared" si="515"/>
        <v>1</v>
      </c>
      <c r="Q1113">
        <f t="shared" si="516"/>
        <v>1</v>
      </c>
      <c r="R1113" s="2">
        <f t="shared" si="517"/>
        <v>4</v>
      </c>
      <c r="S1113" s="2">
        <f t="shared" si="518"/>
        <v>50</v>
      </c>
      <c r="T1113" s="2">
        <f t="shared" si="519"/>
        <v>132.85714285714286</v>
      </c>
      <c r="U1113" s="2">
        <f ca="1">VLOOKUP(E1113,金币生产率!$A$2:$B$120,2,0)</f>
        <v>2783</v>
      </c>
      <c r="V1113" s="2">
        <f t="shared" si="520"/>
        <v>132.85714285714286</v>
      </c>
      <c r="W1113" s="45">
        <f t="shared" ca="1" si="504"/>
        <v>51</v>
      </c>
      <c r="X1113" s="48">
        <f t="shared" ca="1" si="505"/>
        <v>733</v>
      </c>
      <c r="Y1113">
        <f t="shared" si="498"/>
        <v>18</v>
      </c>
      <c r="Z1113">
        <f t="shared" ca="1" si="501"/>
        <v>21</v>
      </c>
      <c r="AA1113" t="str">
        <f t="shared" ca="1" si="521"/>
        <v>9322100.png</v>
      </c>
      <c r="AB1113">
        <f t="shared" si="522"/>
        <v>20</v>
      </c>
      <c r="AC1113">
        <f>VLOOKUP(C1113,技能辅助查询表,技能配置辅助表!$W$1,FALSE)</f>
        <v>5330</v>
      </c>
      <c r="AD1113">
        <f t="shared" ca="1" si="502"/>
        <v>357.16921829325872</v>
      </c>
      <c r="AE1113">
        <f>VLOOKUP(C1113,技能辅助查询表,技能配置辅助表!$U$1,FALSE)</f>
        <v>4</v>
      </c>
      <c r="AF1113">
        <f t="shared" ca="1" si="523"/>
        <v>9322140</v>
      </c>
      <c r="AG1113">
        <f t="shared" ca="1" si="524"/>
        <v>64.489795918367349</v>
      </c>
      <c r="AH1113">
        <f t="shared" ca="1" si="503"/>
        <v>2076.5652226352254</v>
      </c>
      <c r="AI1113">
        <f ca="1">VLOOKUP(E1113,伤害参考系!$C$4:$E$104,3,FALSE)*$AN$12</f>
        <v>13079.520489130437</v>
      </c>
      <c r="AJ1113">
        <f>VLOOKUP(C1113,技能辅助查询表,技能配置辅助表!$L$1,FALSE)</f>
        <v>1</v>
      </c>
      <c r="AK1113">
        <f>VLOOKUP(C1113,技能辅助查询表,技能配置辅助表!$AE$1,FALSE)</f>
        <v>66000550</v>
      </c>
    </row>
    <row r="1114" spans="1:37" x14ac:dyDescent="0.15">
      <c r="A1114" s="1">
        <f t="shared" ca="1" si="506"/>
        <v>9322141</v>
      </c>
      <c r="B1114" s="1" t="str">
        <f t="shared" ca="1" si="507"/>
        <v>玫瑰之舞第1段</v>
      </c>
      <c r="C1114" t="s">
        <v>172</v>
      </c>
      <c r="D1114">
        <f t="shared" si="508"/>
        <v>3</v>
      </c>
      <c r="E1114" s="42">
        <f t="shared" ca="1" si="499"/>
        <v>66</v>
      </c>
      <c r="F1114" t="str">
        <f t="shared" ca="1" si="500"/>
        <v>第41级，共造成187.3%点伤害</v>
      </c>
      <c r="G1114">
        <f t="shared" ca="1" si="509"/>
        <v>1</v>
      </c>
      <c r="H1114">
        <f t="shared" si="510"/>
        <v>1</v>
      </c>
      <c r="I1114" s="44">
        <f t="shared" ca="1" si="511"/>
        <v>41</v>
      </c>
      <c r="J1114">
        <f t="shared" si="512"/>
        <v>2</v>
      </c>
      <c r="K1114" s="36">
        <f t="shared" ca="1" si="513"/>
        <v>187.32857142857142</v>
      </c>
      <c r="L1114" s="10">
        <f ca="1">AH1114*VLOOKUP(C1114,技能辅助查询表,技能配置辅助表!$T$1,FALSE)</f>
        <v>0</v>
      </c>
      <c r="M1114">
        <f t="shared" ca="1" si="497"/>
        <v>4720</v>
      </c>
      <c r="N1114" s="33">
        <f ca="1">CHOOSE(1,W1114*U1114,X1114*'[1]0、经济设定'!$C$18)</f>
        <v>157960</v>
      </c>
      <c r="O1114">
        <f t="shared" si="514"/>
        <v>2</v>
      </c>
      <c r="P1114">
        <f t="shared" si="515"/>
        <v>1</v>
      </c>
      <c r="Q1114">
        <f t="shared" si="516"/>
        <v>1</v>
      </c>
      <c r="R1114" s="2">
        <f t="shared" si="517"/>
        <v>4</v>
      </c>
      <c r="S1114" s="2">
        <f t="shared" si="518"/>
        <v>50</v>
      </c>
      <c r="T1114" s="2">
        <f t="shared" si="519"/>
        <v>132.85714285714286</v>
      </c>
      <c r="U1114" s="2">
        <f ca="1">VLOOKUP(E1114,金币生产率!$A$2:$B$120,2,0)</f>
        <v>2872</v>
      </c>
      <c r="V1114" s="2">
        <f t="shared" si="520"/>
        <v>132.85714285714286</v>
      </c>
      <c r="W1114" s="45">
        <f t="shared" ca="1" si="504"/>
        <v>55</v>
      </c>
      <c r="X1114" s="48">
        <f t="shared" ca="1" si="505"/>
        <v>788</v>
      </c>
      <c r="Y1114">
        <f t="shared" si="498"/>
        <v>18</v>
      </c>
      <c r="Z1114">
        <f t="shared" ca="1" si="501"/>
        <v>22</v>
      </c>
      <c r="AA1114" t="str">
        <f t="shared" ca="1" si="521"/>
        <v>9322100.png</v>
      </c>
      <c r="AB1114">
        <f t="shared" si="522"/>
        <v>20</v>
      </c>
      <c r="AC1114">
        <f>VLOOKUP(C1114,技能辅助查询表,技能配置辅助表!$W$1,FALSE)</f>
        <v>5330</v>
      </c>
      <c r="AD1114">
        <f t="shared" ca="1" si="502"/>
        <v>412.91429861617689</v>
      </c>
      <c r="AE1114">
        <f>VLOOKUP(C1114,技能辅助查询表,技能配置辅助表!$U$1,FALSE)</f>
        <v>4</v>
      </c>
      <c r="AF1114">
        <f t="shared" ca="1" si="523"/>
        <v>9322141</v>
      </c>
      <c r="AG1114">
        <f t="shared" ca="1" si="524"/>
        <v>66.040816326530603</v>
      </c>
      <c r="AH1114">
        <f t="shared" ca="1" si="503"/>
        <v>2364.1420663448707</v>
      </c>
      <c r="AI1114">
        <f ca="1">VLOOKUP(E1114,伤害参考系!$C$4:$E$104,3,FALSE)*$AN$12</f>
        <v>13664.798729096996</v>
      </c>
      <c r="AJ1114">
        <f>VLOOKUP(C1114,技能辅助查询表,技能配置辅助表!$L$1,FALSE)</f>
        <v>1</v>
      </c>
      <c r="AK1114">
        <f>VLOOKUP(C1114,技能辅助查询表,技能配置辅助表!$AE$1,FALSE)</f>
        <v>66000550</v>
      </c>
    </row>
    <row r="1115" spans="1:37" x14ac:dyDescent="0.15">
      <c r="A1115" s="1">
        <f t="shared" ca="1" si="506"/>
        <v>9322142</v>
      </c>
      <c r="B1115" s="1" t="str">
        <f t="shared" ca="1" si="507"/>
        <v>玫瑰之舞第1段</v>
      </c>
      <c r="C1115" t="s">
        <v>172</v>
      </c>
      <c r="D1115">
        <f t="shared" si="508"/>
        <v>3</v>
      </c>
      <c r="E1115" s="42">
        <f t="shared" ca="1" si="499"/>
        <v>68</v>
      </c>
      <c r="F1115" t="str">
        <f t="shared" ca="1" si="500"/>
        <v>第42级，共造成188.7%点伤害</v>
      </c>
      <c r="G1115">
        <f t="shared" ca="1" si="509"/>
        <v>1</v>
      </c>
      <c r="H1115">
        <f t="shared" si="510"/>
        <v>1</v>
      </c>
      <c r="I1115" s="44">
        <f t="shared" ca="1" si="511"/>
        <v>42</v>
      </c>
      <c r="J1115">
        <f t="shared" si="512"/>
        <v>2</v>
      </c>
      <c r="K1115" s="36">
        <f t="shared" ca="1" si="513"/>
        <v>188.65714285714284</v>
      </c>
      <c r="L1115" s="10">
        <f ca="1">AH1115*VLOOKUP(C1115,技能辅助查询表,技能配置辅助表!$T$1,FALSE)</f>
        <v>0</v>
      </c>
      <c r="M1115">
        <f t="shared" ca="1" si="497"/>
        <v>4640</v>
      </c>
      <c r="N1115" s="33">
        <f ca="1">CHOOSE(1,W1115*U1115,X1115*'[1]0、经济设定'!$C$18)</f>
        <v>177132</v>
      </c>
      <c r="O1115">
        <f t="shared" si="514"/>
        <v>2</v>
      </c>
      <c r="P1115">
        <f t="shared" si="515"/>
        <v>1</v>
      </c>
      <c r="Q1115">
        <f t="shared" si="516"/>
        <v>1</v>
      </c>
      <c r="R1115" s="2">
        <f t="shared" si="517"/>
        <v>4</v>
      </c>
      <c r="S1115" s="2">
        <f t="shared" si="518"/>
        <v>50</v>
      </c>
      <c r="T1115" s="2">
        <f t="shared" si="519"/>
        <v>132.85714285714286</v>
      </c>
      <c r="U1115" s="2">
        <f ca="1">VLOOKUP(E1115,金币生产率!$A$2:$B$120,2,0)</f>
        <v>3054</v>
      </c>
      <c r="V1115" s="2">
        <f t="shared" si="520"/>
        <v>132.85714285714286</v>
      </c>
      <c r="W1115" s="45">
        <f t="shared" ca="1" si="504"/>
        <v>58</v>
      </c>
      <c r="X1115" s="48">
        <f t="shared" ca="1" si="505"/>
        <v>846</v>
      </c>
      <c r="Y1115">
        <f t="shared" si="498"/>
        <v>18</v>
      </c>
      <c r="Z1115">
        <f t="shared" ca="1" si="501"/>
        <v>24</v>
      </c>
      <c r="AA1115" t="str">
        <f t="shared" ca="1" si="521"/>
        <v>9322100.png</v>
      </c>
      <c r="AB1115">
        <f t="shared" si="522"/>
        <v>20</v>
      </c>
      <c r="AC1115">
        <f>VLOOKUP(C1115,技能辅助查询表,技能配置辅助表!$W$1,FALSE)</f>
        <v>5330</v>
      </c>
      <c r="AD1115">
        <f t="shared" ca="1" si="502"/>
        <v>477.24929099687216</v>
      </c>
      <c r="AE1115">
        <f>VLOOKUP(C1115,技能辅助查询表,技能配置辅助表!$U$1,FALSE)</f>
        <v>4</v>
      </c>
      <c r="AF1115">
        <f t="shared" ca="1" si="523"/>
        <v>9322142</v>
      </c>
      <c r="AG1115">
        <f t="shared" ca="1" si="524"/>
        <v>67.591836734693885</v>
      </c>
      <c r="AH1115">
        <f t="shared" ca="1" si="503"/>
        <v>2691.5445028827789</v>
      </c>
      <c r="AI1115">
        <f ca="1">VLOOKUP(E1115,伤害参考系!$C$4:$E$104,3,FALSE)*$AN$12</f>
        <v>14872.841096989978</v>
      </c>
      <c r="AJ1115">
        <f>VLOOKUP(C1115,技能辅助查询表,技能配置辅助表!$L$1,FALSE)</f>
        <v>1</v>
      </c>
      <c r="AK1115">
        <f>VLOOKUP(C1115,技能辅助查询表,技能配置辅助表!$AE$1,FALSE)</f>
        <v>66000550</v>
      </c>
    </row>
    <row r="1116" spans="1:37" x14ac:dyDescent="0.15">
      <c r="A1116" s="1">
        <f t="shared" ca="1" si="506"/>
        <v>9322143</v>
      </c>
      <c r="B1116" s="1" t="str">
        <f t="shared" ca="1" si="507"/>
        <v>玫瑰之舞第1段</v>
      </c>
      <c r="C1116" t="s">
        <v>172</v>
      </c>
      <c r="D1116">
        <f t="shared" si="508"/>
        <v>3</v>
      </c>
      <c r="E1116" s="42">
        <f t="shared" ca="1" si="499"/>
        <v>69</v>
      </c>
      <c r="F1116" t="str">
        <f t="shared" ca="1" si="500"/>
        <v>第43级，共造成190%点伤害</v>
      </c>
      <c r="G1116">
        <f t="shared" ca="1" si="509"/>
        <v>1</v>
      </c>
      <c r="H1116">
        <f t="shared" si="510"/>
        <v>1</v>
      </c>
      <c r="I1116" s="44">
        <f t="shared" ca="1" si="511"/>
        <v>43</v>
      </c>
      <c r="J1116">
        <f t="shared" si="512"/>
        <v>2</v>
      </c>
      <c r="K1116" s="36">
        <f t="shared" ca="1" si="513"/>
        <v>189.98571428571429</v>
      </c>
      <c r="L1116" s="10">
        <f ca="1">AH1116*VLOOKUP(C1116,技能辅助查询表,技能配置辅助表!$T$1,FALSE)</f>
        <v>0</v>
      </c>
      <c r="M1116">
        <f t="shared" ca="1" si="497"/>
        <v>4560</v>
      </c>
      <c r="N1116" s="33">
        <f ca="1">CHOOSE(1,W1116*U1116,X1116*'[1]0、经济设定'!$C$18)</f>
        <v>198261</v>
      </c>
      <c r="O1116">
        <f t="shared" si="514"/>
        <v>2</v>
      </c>
      <c r="P1116">
        <f t="shared" si="515"/>
        <v>1</v>
      </c>
      <c r="Q1116">
        <f t="shared" si="516"/>
        <v>1</v>
      </c>
      <c r="R1116" s="2">
        <f t="shared" si="517"/>
        <v>4</v>
      </c>
      <c r="S1116" s="2">
        <f t="shared" si="518"/>
        <v>50</v>
      </c>
      <c r="T1116" s="2">
        <f t="shared" si="519"/>
        <v>132.85714285714286</v>
      </c>
      <c r="U1116" s="2">
        <f ca="1">VLOOKUP(E1116,金币生产率!$A$2:$B$120,2,0)</f>
        <v>3147</v>
      </c>
      <c r="V1116" s="2">
        <f t="shared" si="520"/>
        <v>132.85714285714286</v>
      </c>
      <c r="W1116" s="45">
        <f t="shared" ca="1" si="504"/>
        <v>63</v>
      </c>
      <c r="X1116" s="48">
        <f t="shared" ca="1" si="505"/>
        <v>909</v>
      </c>
      <c r="Y1116">
        <f t="shared" si="498"/>
        <v>18</v>
      </c>
      <c r="Z1116">
        <f t="shared" ca="1" si="501"/>
        <v>26</v>
      </c>
      <c r="AA1116" t="str">
        <f t="shared" ca="1" si="521"/>
        <v>9322100.png</v>
      </c>
      <c r="AB1116">
        <f t="shared" si="522"/>
        <v>20</v>
      </c>
      <c r="AC1116">
        <f>VLOOKUP(C1116,技能辅助查询表,技能配置辅助表!$W$1,FALSE)</f>
        <v>5330</v>
      </c>
      <c r="AD1116">
        <f t="shared" ca="1" si="502"/>
        <v>551.48426202697658</v>
      </c>
      <c r="AE1116">
        <f>VLOOKUP(C1116,技能辅助查询表,技能配置辅助表!$U$1,FALSE)</f>
        <v>4</v>
      </c>
      <c r="AF1116">
        <f t="shared" ca="1" si="523"/>
        <v>9322143</v>
      </c>
      <c r="AG1116">
        <f t="shared" ca="1" si="524"/>
        <v>69.142857142857139</v>
      </c>
      <c r="AH1116">
        <f t="shared" ca="1" si="503"/>
        <v>3064.2878506023458</v>
      </c>
      <c r="AI1116">
        <f ca="1">VLOOKUP(E1116,伤害参考系!$C$4:$E$104,3,FALSE)*$AN$12</f>
        <v>15495.605224916402</v>
      </c>
      <c r="AJ1116">
        <f>VLOOKUP(C1116,技能辅助查询表,技能配置辅助表!$L$1,FALSE)</f>
        <v>1</v>
      </c>
      <c r="AK1116">
        <f>VLOOKUP(C1116,技能辅助查询表,技能配置辅助表!$AE$1,FALSE)</f>
        <v>66000550</v>
      </c>
    </row>
    <row r="1117" spans="1:37" x14ac:dyDescent="0.15">
      <c r="A1117" s="1">
        <f t="shared" ca="1" si="506"/>
        <v>9322144</v>
      </c>
      <c r="B1117" s="1" t="str">
        <f t="shared" ca="1" si="507"/>
        <v>玫瑰之舞第1段</v>
      </c>
      <c r="C1117" t="s">
        <v>172</v>
      </c>
      <c r="D1117">
        <f t="shared" si="508"/>
        <v>3</v>
      </c>
      <c r="E1117" s="42">
        <f t="shared" ca="1" si="499"/>
        <v>71</v>
      </c>
      <c r="F1117" t="str">
        <f t="shared" ca="1" si="500"/>
        <v>第44级，共造成191.3%点伤害</v>
      </c>
      <c r="G1117">
        <f t="shared" ca="1" si="509"/>
        <v>1</v>
      </c>
      <c r="H1117">
        <f t="shared" si="510"/>
        <v>1</v>
      </c>
      <c r="I1117" s="44">
        <f t="shared" ca="1" si="511"/>
        <v>44</v>
      </c>
      <c r="J1117">
        <f t="shared" si="512"/>
        <v>2</v>
      </c>
      <c r="K1117" s="36">
        <f t="shared" ca="1" si="513"/>
        <v>191.31428571428572</v>
      </c>
      <c r="L1117" s="10">
        <f ca="1">AH1117*VLOOKUP(C1117,技能辅助查询表,技能配置辅助表!$T$1,FALSE)</f>
        <v>0</v>
      </c>
      <c r="M1117">
        <f t="shared" ca="1" si="497"/>
        <v>4480</v>
      </c>
      <c r="N1117" s="33">
        <f ca="1">CHOOSE(1,W1117*U1117,X1117*'[1]0、经济设定'!$C$18)</f>
        <v>223646</v>
      </c>
      <c r="O1117">
        <f t="shared" si="514"/>
        <v>2</v>
      </c>
      <c r="P1117">
        <f t="shared" si="515"/>
        <v>1</v>
      </c>
      <c r="Q1117">
        <f t="shared" si="516"/>
        <v>1</v>
      </c>
      <c r="R1117" s="2">
        <f t="shared" si="517"/>
        <v>4</v>
      </c>
      <c r="S1117" s="2">
        <f t="shared" si="518"/>
        <v>50</v>
      </c>
      <c r="T1117" s="2">
        <f t="shared" si="519"/>
        <v>132.85714285714286</v>
      </c>
      <c r="U1117" s="2">
        <f ca="1">VLOOKUP(E1117,金币生产率!$A$2:$B$120,2,0)</f>
        <v>3338</v>
      </c>
      <c r="V1117" s="2">
        <f t="shared" si="520"/>
        <v>132.85714285714286</v>
      </c>
      <c r="W1117" s="45">
        <f t="shared" ca="1" si="504"/>
        <v>67</v>
      </c>
      <c r="X1117" s="48">
        <f t="shared" ca="1" si="505"/>
        <v>976</v>
      </c>
      <c r="Y1117">
        <f t="shared" si="498"/>
        <v>18</v>
      </c>
      <c r="Z1117">
        <f t="shared" ca="1" si="501"/>
        <v>27</v>
      </c>
      <c r="AA1117" t="str">
        <f t="shared" ca="1" si="521"/>
        <v>9322100.png</v>
      </c>
      <c r="AB1117">
        <f t="shared" si="522"/>
        <v>20</v>
      </c>
      <c r="AC1117">
        <f>VLOOKUP(C1117,技能辅助查询表,技能配置辅助表!$W$1,FALSE)</f>
        <v>5330</v>
      </c>
      <c r="AD1117">
        <f t="shared" ca="1" si="502"/>
        <v>637.12738972097111</v>
      </c>
      <c r="AE1117">
        <f>VLOOKUP(C1117,技能辅助查询表,技能配置辅助表!$U$1,FALSE)</f>
        <v>4</v>
      </c>
      <c r="AF1117">
        <f t="shared" ca="1" si="523"/>
        <v>9322144</v>
      </c>
      <c r="AG1117">
        <f t="shared" ca="1" si="524"/>
        <v>70.693877551020407</v>
      </c>
      <c r="AH1117">
        <f t="shared" ca="1" si="503"/>
        <v>3488.6512265697725</v>
      </c>
      <c r="AI1117">
        <f ca="1">VLOOKUP(E1117,伤害参考系!$C$4:$E$104,3,FALSE)*$AN$12</f>
        <v>16902.905438127098</v>
      </c>
      <c r="AJ1117">
        <f>VLOOKUP(C1117,技能辅助查询表,技能配置辅助表!$L$1,FALSE)</f>
        <v>1</v>
      </c>
      <c r="AK1117">
        <f>VLOOKUP(C1117,技能辅助查询表,技能配置辅助表!$AE$1,FALSE)</f>
        <v>66000550</v>
      </c>
    </row>
    <row r="1118" spans="1:37" x14ac:dyDescent="0.15">
      <c r="A1118" s="1">
        <f t="shared" ca="1" si="506"/>
        <v>9322145</v>
      </c>
      <c r="B1118" s="1" t="str">
        <f t="shared" ca="1" si="507"/>
        <v>玫瑰之舞第1段</v>
      </c>
      <c r="C1118" t="s">
        <v>172</v>
      </c>
      <c r="D1118">
        <f t="shared" si="508"/>
        <v>3</v>
      </c>
      <c r="E1118" s="42">
        <f t="shared" ca="1" si="499"/>
        <v>72</v>
      </c>
      <c r="F1118" t="str">
        <f t="shared" ca="1" si="500"/>
        <v>第45级，共造成192.6%点伤害</v>
      </c>
      <c r="G1118">
        <f t="shared" ca="1" si="509"/>
        <v>1</v>
      </c>
      <c r="H1118">
        <f t="shared" si="510"/>
        <v>1</v>
      </c>
      <c r="I1118" s="44">
        <f t="shared" ca="1" si="511"/>
        <v>45</v>
      </c>
      <c r="J1118">
        <f t="shared" si="512"/>
        <v>2</v>
      </c>
      <c r="K1118" s="36">
        <f t="shared" ca="1" si="513"/>
        <v>192.64285714285714</v>
      </c>
      <c r="L1118" s="10">
        <f ca="1">AH1118*VLOOKUP(C1118,技能辅助查询表,技能配置辅助表!$T$1,FALSE)</f>
        <v>0</v>
      </c>
      <c r="M1118">
        <f t="shared" ca="1" si="497"/>
        <v>4400</v>
      </c>
      <c r="N1118" s="33">
        <f ca="1">CHOOSE(1,W1118*U1118,X1118*'[1]0、经济设定'!$C$18)</f>
        <v>247320</v>
      </c>
      <c r="O1118">
        <f t="shared" si="514"/>
        <v>2</v>
      </c>
      <c r="P1118">
        <f t="shared" si="515"/>
        <v>1</v>
      </c>
      <c r="Q1118">
        <f t="shared" si="516"/>
        <v>1</v>
      </c>
      <c r="R1118" s="2">
        <f t="shared" si="517"/>
        <v>4</v>
      </c>
      <c r="S1118" s="2">
        <f t="shared" si="518"/>
        <v>50</v>
      </c>
      <c r="T1118" s="2">
        <f t="shared" si="519"/>
        <v>132.85714285714286</v>
      </c>
      <c r="U1118" s="2">
        <f ca="1">VLOOKUP(E1118,金币生产率!$A$2:$B$120,2,0)</f>
        <v>3435</v>
      </c>
      <c r="V1118" s="2">
        <f t="shared" si="520"/>
        <v>132.85714285714286</v>
      </c>
      <c r="W1118" s="45">
        <f t="shared" ca="1" si="504"/>
        <v>72</v>
      </c>
      <c r="X1118" s="48">
        <f t="shared" ca="1" si="505"/>
        <v>1048</v>
      </c>
      <c r="Y1118">
        <f t="shared" si="498"/>
        <v>18</v>
      </c>
      <c r="Z1118">
        <f t="shared" ca="1" si="501"/>
        <v>29</v>
      </c>
      <c r="AA1118" t="str">
        <f t="shared" ca="1" si="521"/>
        <v>9322100.png</v>
      </c>
      <c r="AB1118">
        <f t="shared" si="522"/>
        <v>20</v>
      </c>
      <c r="AC1118">
        <f>VLOOKUP(C1118,技能辅助查询表,技能配置辅助表!$W$1,FALSE)</f>
        <v>5330</v>
      </c>
      <c r="AD1118">
        <f t="shared" ca="1" si="502"/>
        <v>735.91470991473329</v>
      </c>
      <c r="AE1118">
        <f>VLOOKUP(C1118,技能辅助查询表,技能配置辅助表!$U$1,FALSE)</f>
        <v>4</v>
      </c>
      <c r="AF1118">
        <f t="shared" ca="1" si="523"/>
        <v>9322145</v>
      </c>
      <c r="AG1118">
        <f t="shared" ca="1" si="524"/>
        <v>72.244897959183675</v>
      </c>
      <c r="AH1118">
        <f t="shared" ca="1" si="503"/>
        <v>3971.7833225930094</v>
      </c>
      <c r="AI1118">
        <f ca="1">VLOOKUP(E1118,伤害参考系!$C$4:$E$104,3,FALSE)*$AN$12</f>
        <v>17628.422312709041</v>
      </c>
      <c r="AJ1118">
        <f>VLOOKUP(C1118,技能辅助查询表,技能配置辅助表!$L$1,FALSE)</f>
        <v>1</v>
      </c>
      <c r="AK1118">
        <f>VLOOKUP(C1118,技能辅助查询表,技能配置辅助表!$AE$1,FALSE)</f>
        <v>66000550</v>
      </c>
    </row>
    <row r="1119" spans="1:37" x14ac:dyDescent="0.15">
      <c r="A1119" s="1">
        <f t="shared" ca="1" si="506"/>
        <v>9322146</v>
      </c>
      <c r="B1119" s="1" t="str">
        <f t="shared" ca="1" si="507"/>
        <v>玫瑰之舞第1段</v>
      </c>
      <c r="C1119" t="s">
        <v>172</v>
      </c>
      <c r="D1119">
        <f t="shared" si="508"/>
        <v>3</v>
      </c>
      <c r="E1119" s="42">
        <f t="shared" ca="1" si="499"/>
        <v>74</v>
      </c>
      <c r="F1119" t="str">
        <f t="shared" ca="1" si="500"/>
        <v>第46级，共造成194%点伤害</v>
      </c>
      <c r="G1119">
        <f t="shared" ca="1" si="509"/>
        <v>1</v>
      </c>
      <c r="H1119">
        <f t="shared" si="510"/>
        <v>1</v>
      </c>
      <c r="I1119" s="44">
        <f t="shared" ca="1" si="511"/>
        <v>46</v>
      </c>
      <c r="J1119">
        <f t="shared" si="512"/>
        <v>2</v>
      </c>
      <c r="K1119" s="36">
        <f t="shared" ca="1" si="513"/>
        <v>193.97142857142859</v>
      </c>
      <c r="L1119" s="10">
        <f ca="1">AH1119*VLOOKUP(C1119,技能辅助查询表,技能配置辅助表!$T$1,FALSE)</f>
        <v>0</v>
      </c>
      <c r="M1119">
        <f t="shared" ca="1" si="497"/>
        <v>4320</v>
      </c>
      <c r="N1119" s="33">
        <f ca="1">CHOOSE(1,W1119*U1119,X1119*'[1]0、经济设定'!$C$18)</f>
        <v>279818</v>
      </c>
      <c r="O1119">
        <f t="shared" si="514"/>
        <v>2</v>
      </c>
      <c r="P1119">
        <f t="shared" si="515"/>
        <v>1</v>
      </c>
      <c r="Q1119">
        <f t="shared" si="516"/>
        <v>1</v>
      </c>
      <c r="R1119" s="2">
        <f t="shared" si="517"/>
        <v>4</v>
      </c>
      <c r="S1119" s="2">
        <f t="shared" si="518"/>
        <v>50</v>
      </c>
      <c r="T1119" s="2">
        <f t="shared" si="519"/>
        <v>132.85714285714286</v>
      </c>
      <c r="U1119" s="2">
        <f ca="1">VLOOKUP(E1119,金币生产率!$A$2:$B$120,2,0)</f>
        <v>3634</v>
      </c>
      <c r="V1119" s="2">
        <f t="shared" si="520"/>
        <v>132.85714285714286</v>
      </c>
      <c r="W1119" s="45">
        <f t="shared" ca="1" si="504"/>
        <v>77</v>
      </c>
      <c r="X1119" s="48">
        <f t="shared" ca="1" si="505"/>
        <v>1125</v>
      </c>
      <c r="Y1119">
        <f t="shared" si="498"/>
        <v>18</v>
      </c>
      <c r="Z1119">
        <f t="shared" ca="1" si="501"/>
        <v>31</v>
      </c>
      <c r="AA1119" t="str">
        <f t="shared" ca="1" si="521"/>
        <v>9322100.png</v>
      </c>
      <c r="AB1119">
        <f t="shared" si="522"/>
        <v>20</v>
      </c>
      <c r="AC1119">
        <f>VLOOKUP(C1119,技能辅助查询表,技能配置辅助表!$W$1,FALSE)</f>
        <v>5330</v>
      </c>
      <c r="AD1119">
        <f t="shared" ca="1" si="502"/>
        <v>849.84430213260771</v>
      </c>
      <c r="AE1119">
        <f>VLOOKUP(C1119,技能辅助查询表,技能配置辅助表!$U$1,FALSE)</f>
        <v>4</v>
      </c>
      <c r="AF1119">
        <f t="shared" ca="1" si="523"/>
        <v>9322146</v>
      </c>
      <c r="AG1119">
        <f t="shared" ca="1" si="524"/>
        <v>73.795918367346943</v>
      </c>
      <c r="AH1119">
        <f t="shared" ca="1" si="503"/>
        <v>4521.8228298329677</v>
      </c>
      <c r="AI1119">
        <f ca="1">VLOOKUP(E1119,伤害参考系!$C$4:$E$104,3,FALSE)*$AN$12</f>
        <v>19123.189597826095</v>
      </c>
      <c r="AJ1119">
        <f>VLOOKUP(C1119,技能辅助查询表,技能配置辅助表!$L$1,FALSE)</f>
        <v>1</v>
      </c>
      <c r="AK1119">
        <f>VLOOKUP(C1119,技能辅助查询表,技能配置辅助表!$AE$1,FALSE)</f>
        <v>66000550</v>
      </c>
    </row>
    <row r="1120" spans="1:37" x14ac:dyDescent="0.15">
      <c r="A1120" s="1">
        <f t="shared" ca="1" si="506"/>
        <v>9322147</v>
      </c>
      <c r="B1120" s="1" t="str">
        <f t="shared" ca="1" si="507"/>
        <v>玫瑰之舞第1段</v>
      </c>
      <c r="C1120" t="s">
        <v>172</v>
      </c>
      <c r="D1120">
        <f t="shared" si="508"/>
        <v>3</v>
      </c>
      <c r="E1120" s="42">
        <f t="shared" ca="1" si="499"/>
        <v>75</v>
      </c>
      <c r="F1120" t="str">
        <f t="shared" ca="1" si="500"/>
        <v>第47级，共造成195.3%点伤害</v>
      </c>
      <c r="G1120">
        <f t="shared" ca="1" si="509"/>
        <v>1</v>
      </c>
      <c r="H1120">
        <f t="shared" si="510"/>
        <v>1</v>
      </c>
      <c r="I1120" s="44">
        <f t="shared" ca="1" si="511"/>
        <v>47</v>
      </c>
      <c r="J1120">
        <f t="shared" si="512"/>
        <v>2</v>
      </c>
      <c r="K1120" s="36">
        <f t="shared" ca="1" si="513"/>
        <v>195.3</v>
      </c>
      <c r="L1120" s="10">
        <f ca="1">AH1120*VLOOKUP(C1120,技能辅助查询表,技能配置辅助表!$T$1,FALSE)</f>
        <v>0</v>
      </c>
      <c r="M1120">
        <f t="shared" ca="1" si="497"/>
        <v>4240</v>
      </c>
      <c r="N1120" s="33">
        <f ca="1">CHOOSE(1,W1120*U1120,X1120*'[1]0、经济设定'!$C$18)</f>
        <v>306270</v>
      </c>
      <c r="O1120">
        <f t="shared" si="514"/>
        <v>2</v>
      </c>
      <c r="P1120">
        <f t="shared" si="515"/>
        <v>1</v>
      </c>
      <c r="Q1120">
        <f t="shared" si="516"/>
        <v>1</v>
      </c>
      <c r="R1120" s="2">
        <f t="shared" si="517"/>
        <v>4</v>
      </c>
      <c r="S1120" s="2">
        <f t="shared" si="518"/>
        <v>50</v>
      </c>
      <c r="T1120" s="2">
        <f t="shared" si="519"/>
        <v>132.85714285714286</v>
      </c>
      <c r="U1120" s="2">
        <f ca="1">VLOOKUP(E1120,金币生产率!$A$2:$B$120,2,0)</f>
        <v>3735</v>
      </c>
      <c r="V1120" s="2">
        <f t="shared" si="520"/>
        <v>132.85714285714286</v>
      </c>
      <c r="W1120" s="45">
        <f t="shared" ca="1" si="504"/>
        <v>82</v>
      </c>
      <c r="X1120" s="48">
        <f t="shared" ca="1" si="505"/>
        <v>1207</v>
      </c>
      <c r="Y1120">
        <f t="shared" si="498"/>
        <v>18</v>
      </c>
      <c r="Z1120">
        <f t="shared" ca="1" si="501"/>
        <v>33</v>
      </c>
      <c r="AA1120" t="str">
        <f t="shared" ca="1" si="521"/>
        <v>9322100.png</v>
      </c>
      <c r="AB1120">
        <f t="shared" si="522"/>
        <v>20</v>
      </c>
      <c r="AC1120">
        <f>VLOOKUP(C1120,技能辅助查询表,技能配置辅助表!$W$1,FALSE)</f>
        <v>5330</v>
      </c>
      <c r="AD1120">
        <f t="shared" ca="1" si="502"/>
        <v>981.21557404447594</v>
      </c>
      <c r="AE1120">
        <f>VLOOKUP(C1120,技能辅助查询表,技能配置辅助表!$U$1,FALSE)</f>
        <v>4</v>
      </c>
      <c r="AF1120">
        <f t="shared" ca="1" si="523"/>
        <v>9322147</v>
      </c>
      <c r="AG1120">
        <f t="shared" ca="1" si="524"/>
        <v>75.34693877551021</v>
      </c>
      <c r="AH1120">
        <f t="shared" ca="1" si="503"/>
        <v>5148.0355406320868</v>
      </c>
      <c r="AI1120">
        <f ca="1">VLOOKUP(E1120,伤害参考系!$C$4:$E$104,3,FALSE)*$AN$12</f>
        <v>19892.440008361213</v>
      </c>
      <c r="AJ1120">
        <f>VLOOKUP(C1120,技能辅助查询表,技能配置辅助表!$L$1,FALSE)</f>
        <v>1</v>
      </c>
      <c r="AK1120">
        <f>VLOOKUP(C1120,技能辅助查询表,技能配置辅助表!$AE$1,FALSE)</f>
        <v>66000550</v>
      </c>
    </row>
    <row r="1121" spans="1:37" x14ac:dyDescent="0.15">
      <c r="A1121" s="1">
        <f t="shared" ca="1" si="506"/>
        <v>9322148</v>
      </c>
      <c r="B1121" s="1" t="str">
        <f t="shared" ca="1" si="507"/>
        <v>玫瑰之舞第1段</v>
      </c>
      <c r="C1121" t="s">
        <v>172</v>
      </c>
      <c r="D1121">
        <f t="shared" si="508"/>
        <v>3</v>
      </c>
      <c r="E1121" s="42">
        <f t="shared" ca="1" si="499"/>
        <v>77</v>
      </c>
      <c r="F1121" t="str">
        <f t="shared" ca="1" si="500"/>
        <v>第48级，共造成196.6%点伤害</v>
      </c>
      <c r="G1121">
        <f t="shared" ca="1" si="509"/>
        <v>1</v>
      </c>
      <c r="H1121">
        <f t="shared" si="510"/>
        <v>1</v>
      </c>
      <c r="I1121" s="44">
        <f t="shared" ca="1" si="511"/>
        <v>48</v>
      </c>
      <c r="J1121">
        <f t="shared" si="512"/>
        <v>2</v>
      </c>
      <c r="K1121" s="36">
        <f t="shared" ca="1" si="513"/>
        <v>196.62857142857143</v>
      </c>
      <c r="L1121" s="10">
        <f ca="1">AH1121*VLOOKUP(C1121,技能辅助查询表,技能配置辅助表!$T$1,FALSE)</f>
        <v>0</v>
      </c>
      <c r="M1121">
        <f t="shared" ca="1" si="497"/>
        <v>4160</v>
      </c>
      <c r="N1121" s="33">
        <f ca="1">CHOOSE(1,W1121*U1121,X1121*'[1]0、经济设定'!$C$18)</f>
        <v>346896</v>
      </c>
      <c r="O1121">
        <f t="shared" si="514"/>
        <v>2</v>
      </c>
      <c r="P1121">
        <f t="shared" si="515"/>
        <v>1</v>
      </c>
      <c r="Q1121">
        <f t="shared" si="516"/>
        <v>1</v>
      </c>
      <c r="R1121" s="2">
        <f t="shared" si="517"/>
        <v>4</v>
      </c>
      <c r="S1121" s="2">
        <f t="shared" si="518"/>
        <v>50</v>
      </c>
      <c r="T1121" s="2">
        <f t="shared" si="519"/>
        <v>132.85714285714286</v>
      </c>
      <c r="U1121" s="2">
        <f ca="1">VLOOKUP(E1121,金币生产率!$A$2:$B$120,2,0)</f>
        <v>3942</v>
      </c>
      <c r="V1121" s="2">
        <f t="shared" si="520"/>
        <v>132.85714285714286</v>
      </c>
      <c r="W1121" s="45">
        <f t="shared" ca="1" si="504"/>
        <v>88</v>
      </c>
      <c r="X1121" s="48">
        <f t="shared" ca="1" si="505"/>
        <v>1295</v>
      </c>
      <c r="Y1121">
        <f t="shared" si="498"/>
        <v>18</v>
      </c>
      <c r="Z1121">
        <f t="shared" ca="1" si="501"/>
        <v>36</v>
      </c>
      <c r="AA1121" t="str">
        <f t="shared" ca="1" si="521"/>
        <v>9322100.png</v>
      </c>
      <c r="AB1121">
        <f t="shared" si="522"/>
        <v>20</v>
      </c>
      <c r="AC1121">
        <f>VLOOKUP(C1121,技能辅助查询表,技能配置辅助表!$W$1,FALSE)</f>
        <v>5330</v>
      </c>
      <c r="AD1121">
        <f t="shared" ca="1" si="502"/>
        <v>1132.6744010508021</v>
      </c>
      <c r="AE1121">
        <f>VLOOKUP(C1121,技能辅助查询表,技能配置辅助表!$U$1,FALSE)</f>
        <v>4</v>
      </c>
      <c r="AF1121">
        <f t="shared" ca="1" si="523"/>
        <v>9322148</v>
      </c>
      <c r="AG1121">
        <f t="shared" ca="1" si="524"/>
        <v>76.897959183673464</v>
      </c>
      <c r="AH1121">
        <f t="shared" ca="1" si="503"/>
        <v>5860.970437134547</v>
      </c>
      <c r="AI1121">
        <f ca="1">VLOOKUP(E1121,伤害参考系!$C$4:$E$104,3,FALSE)*$AN$12</f>
        <v>21474.674365384624</v>
      </c>
      <c r="AJ1121">
        <f>VLOOKUP(C1121,技能辅助查询表,技能配置辅助表!$L$1,FALSE)</f>
        <v>1</v>
      </c>
      <c r="AK1121">
        <f>VLOOKUP(C1121,技能辅助查询表,技能配置辅助表!$AE$1,FALSE)</f>
        <v>66000550</v>
      </c>
    </row>
    <row r="1122" spans="1:37" x14ac:dyDescent="0.15">
      <c r="A1122" s="1">
        <f t="shared" ca="1" si="506"/>
        <v>9322149</v>
      </c>
      <c r="B1122" s="1" t="str">
        <f t="shared" ca="1" si="507"/>
        <v>玫瑰之舞第1段</v>
      </c>
      <c r="C1122" t="s">
        <v>172</v>
      </c>
      <c r="D1122">
        <f t="shared" si="508"/>
        <v>3</v>
      </c>
      <c r="E1122" s="42">
        <f t="shared" ca="1" si="499"/>
        <v>78</v>
      </c>
      <c r="F1122" t="str">
        <f t="shared" ca="1" si="500"/>
        <v>第49级，共造成198%点伤害</v>
      </c>
      <c r="G1122">
        <f t="shared" ca="1" si="509"/>
        <v>1</v>
      </c>
      <c r="H1122">
        <f t="shared" si="510"/>
        <v>1</v>
      </c>
      <c r="I1122" s="44">
        <f t="shared" ca="1" si="511"/>
        <v>49</v>
      </c>
      <c r="J1122">
        <f t="shared" si="512"/>
        <v>2</v>
      </c>
      <c r="K1122" s="36">
        <f t="shared" ca="1" si="513"/>
        <v>197.95714285714286</v>
      </c>
      <c r="L1122" s="10">
        <f ca="1">AH1122*VLOOKUP(C1122,技能辅助查询表,技能配置辅助表!$T$1,FALSE)</f>
        <v>0</v>
      </c>
      <c r="M1122">
        <f t="shared" ca="1" si="497"/>
        <v>4080</v>
      </c>
      <c r="N1122" s="33">
        <f ca="1">CHOOSE(1,W1122*U1122,X1122*'[1]0、经济设定'!$C$18)</f>
        <v>380418</v>
      </c>
      <c r="O1122">
        <f t="shared" si="514"/>
        <v>2</v>
      </c>
      <c r="P1122">
        <f t="shared" si="515"/>
        <v>1</v>
      </c>
      <c r="Q1122">
        <f t="shared" si="516"/>
        <v>1</v>
      </c>
      <c r="R1122" s="2">
        <f t="shared" si="517"/>
        <v>4</v>
      </c>
      <c r="S1122" s="2">
        <f t="shared" si="518"/>
        <v>50</v>
      </c>
      <c r="T1122" s="2">
        <f t="shared" si="519"/>
        <v>132.85714285714286</v>
      </c>
      <c r="U1122" s="2">
        <f ca="1">VLOOKUP(E1122,金币生产率!$A$2:$B$120,2,0)</f>
        <v>4047</v>
      </c>
      <c r="V1122" s="2">
        <f t="shared" si="520"/>
        <v>132.85714285714286</v>
      </c>
      <c r="W1122" s="45">
        <f t="shared" ca="1" si="504"/>
        <v>94</v>
      </c>
      <c r="X1122" s="48">
        <f t="shared" ca="1" si="505"/>
        <v>1389</v>
      </c>
      <c r="Y1122">
        <f t="shared" si="498"/>
        <v>18</v>
      </c>
      <c r="Z1122">
        <f t="shared" ca="1" si="501"/>
        <v>38</v>
      </c>
      <c r="AA1122" t="str">
        <f t="shared" ca="1" si="521"/>
        <v>9322100.png</v>
      </c>
      <c r="AB1122">
        <f t="shared" si="522"/>
        <v>20</v>
      </c>
      <c r="AC1122">
        <f>VLOOKUP(C1122,技能辅助查询表,技能配置辅助表!$W$1,FALSE)</f>
        <v>5330</v>
      </c>
      <c r="AD1122">
        <f t="shared" ca="1" si="502"/>
        <v>1307.2649892908489</v>
      </c>
      <c r="AE1122">
        <f>VLOOKUP(C1122,技能辅助查询表,技能配置辅助表!$U$1,FALSE)</f>
        <v>4</v>
      </c>
      <c r="AF1122">
        <f t="shared" ca="1" si="523"/>
        <v>9322149</v>
      </c>
      <c r="AG1122">
        <f t="shared" ca="1" si="524"/>
        <v>78.448979591836732</v>
      </c>
      <c r="AH1122">
        <f t="shared" ca="1" si="503"/>
        <v>6672.6373961177951</v>
      </c>
      <c r="AI1122">
        <f ca="1">VLOOKUP(E1122,伤害参考系!$C$4:$E$104,3,FALSE)*$AN$12</f>
        <v>22287.658311872914</v>
      </c>
      <c r="AJ1122">
        <f>VLOOKUP(C1122,技能辅助查询表,技能配置辅助表!$L$1,FALSE)</f>
        <v>1</v>
      </c>
      <c r="AK1122">
        <f>VLOOKUP(C1122,技能辅助查询表,技能配置辅助表!$AE$1,FALSE)</f>
        <v>66000550</v>
      </c>
    </row>
    <row r="1123" spans="1:37" x14ac:dyDescent="0.15">
      <c r="A1123" s="1">
        <f t="shared" ca="1" si="506"/>
        <v>9322150</v>
      </c>
      <c r="B1123" s="1" t="str">
        <f t="shared" ca="1" si="507"/>
        <v>玫瑰之舞第1段</v>
      </c>
      <c r="C1123" t="s">
        <v>172</v>
      </c>
      <c r="D1123">
        <f t="shared" si="508"/>
        <v>3</v>
      </c>
      <c r="E1123" s="42">
        <f t="shared" ca="1" si="499"/>
        <v>80</v>
      </c>
      <c r="F1123" t="str">
        <f t="shared" ca="1" si="500"/>
        <v>第50级，共造成199.3%点伤害</v>
      </c>
      <c r="G1123">
        <f t="shared" ca="1" si="509"/>
        <v>1</v>
      </c>
      <c r="H1123">
        <f t="shared" si="510"/>
        <v>1</v>
      </c>
      <c r="I1123" s="44">
        <f t="shared" ca="1" si="511"/>
        <v>50</v>
      </c>
      <c r="J1123">
        <f t="shared" si="512"/>
        <v>2</v>
      </c>
      <c r="K1123" s="36">
        <f t="shared" ca="1" si="513"/>
        <v>199.28571428571428</v>
      </c>
      <c r="L1123" s="10">
        <f ca="1">AH1123*VLOOKUP(C1123,技能辅助查询表,技能配置辅助表!$T$1,FALSE)</f>
        <v>0</v>
      </c>
      <c r="M1123">
        <f t="shared" ca="1" si="497"/>
        <v>4000</v>
      </c>
      <c r="N1123" s="33">
        <f ca="1">CHOOSE(1,W1123*U1123,X1123*'[1]0、经济设定'!$C$18)</f>
        <v>430462</v>
      </c>
      <c r="O1123">
        <f t="shared" si="514"/>
        <v>2</v>
      </c>
      <c r="P1123">
        <f t="shared" si="515"/>
        <v>1</v>
      </c>
      <c r="Q1123">
        <f t="shared" si="516"/>
        <v>1</v>
      </c>
      <c r="R1123" s="2">
        <f t="shared" si="517"/>
        <v>4</v>
      </c>
      <c r="S1123" s="2">
        <f t="shared" si="518"/>
        <v>50</v>
      </c>
      <c r="T1123" s="2">
        <f t="shared" si="519"/>
        <v>132.85714285714286</v>
      </c>
      <c r="U1123" s="2">
        <f ca="1">VLOOKUP(E1123,金币生产率!$A$2:$B$120,2,0)</f>
        <v>4262</v>
      </c>
      <c r="V1123" s="2">
        <f t="shared" si="520"/>
        <v>132.85714285714286</v>
      </c>
      <c r="W1123" s="45">
        <f t="shared" ca="1" si="504"/>
        <v>101</v>
      </c>
      <c r="X1123" s="48">
        <f t="shared" ca="1" si="505"/>
        <v>1490</v>
      </c>
      <c r="Y1123">
        <f t="shared" si="498"/>
        <v>18</v>
      </c>
      <c r="Z1123">
        <f t="shared" ca="1" si="501"/>
        <v>41</v>
      </c>
      <c r="AA1123" t="str">
        <f t="shared" ca="1" si="521"/>
        <v>9322100.png</v>
      </c>
      <c r="AB1123">
        <f t="shared" si="522"/>
        <v>20</v>
      </c>
      <c r="AC1123">
        <f>VLOOKUP(C1123,技能辅助查询表,技能配置辅助表!$W$1,FALSE)</f>
        <v>5330</v>
      </c>
      <c r="AD1123">
        <f t="shared" ca="1" si="502"/>
        <v>1508.4894585710163</v>
      </c>
      <c r="AE1123">
        <f>VLOOKUP(C1123,技能辅助查询表,技能配置辅助表!$U$1,FALSE)</f>
        <v>4</v>
      </c>
      <c r="AF1123">
        <f t="shared" ca="1" si="523"/>
        <v>9322150</v>
      </c>
      <c r="AG1123">
        <f t="shared" ca="1" si="524"/>
        <v>80</v>
      </c>
      <c r="AH1123">
        <f t="shared" ca="1" si="503"/>
        <v>7596.7095035950451</v>
      </c>
      <c r="AI1123">
        <f ca="1">VLOOKUP(E1123,伤害参考系!$C$4:$E$104,3,FALSE)*$AN$12</f>
        <v>24028.87424749164</v>
      </c>
      <c r="AJ1123">
        <f>VLOOKUP(C1123,技能辅助查询表,技能配置辅助表!$L$1,FALSE)</f>
        <v>1</v>
      </c>
      <c r="AK1123">
        <f>VLOOKUP(C1123,技能辅助查询表,技能配置辅助表!$AE$1,FALSE)</f>
        <v>66000550</v>
      </c>
    </row>
    <row r="1124" spans="1:37" x14ac:dyDescent="0.15">
      <c r="A1124" s="1">
        <f t="shared" ca="1" si="506"/>
        <v>1</v>
      </c>
      <c r="B1124" s="1" t="str">
        <f t="shared" ca="1" si="507"/>
        <v>玫瑰之舞</v>
      </c>
      <c r="C1124" t="s">
        <v>103</v>
      </c>
      <c r="D1124">
        <f t="shared" si="508"/>
        <v>3</v>
      </c>
      <c r="E1124" s="42">
        <f t="shared" ca="1" si="499"/>
        <v>4</v>
      </c>
      <c r="F1124" t="str">
        <f t="shared" ca="1" si="500"/>
        <v>第0级，共造成132.9%点伤害</v>
      </c>
      <c r="G1124">
        <f t="shared" ca="1" si="509"/>
        <v>0</v>
      </c>
      <c r="H1124">
        <f t="shared" si="510"/>
        <v>2</v>
      </c>
      <c r="I1124" s="44">
        <f t="shared" ca="1" si="511"/>
        <v>0</v>
      </c>
      <c r="J1124">
        <f t="shared" si="512"/>
        <v>2</v>
      </c>
      <c r="K1124" s="36">
        <f t="shared" ca="1" si="513"/>
        <v>66.428571428571431</v>
      </c>
      <c r="L1124" s="10">
        <f ca="1">AH1124*VLOOKUP(C1124,技能辅助查询表,技能配置辅助表!$T$1,FALSE)</f>
        <v>0</v>
      </c>
      <c r="M1124">
        <f t="shared" ca="1" si="497"/>
        <v>8000</v>
      </c>
      <c r="N1124" s="33">
        <f ca="1">CHOOSE(1,W1124*U1124,X1124*'[1]0、经济设定'!$C$18)</f>
        <v>0</v>
      </c>
      <c r="O1124">
        <f t="shared" si="514"/>
        <v>2</v>
      </c>
      <c r="P1124">
        <f t="shared" si="515"/>
        <v>2</v>
      </c>
      <c r="Q1124">
        <f t="shared" si="516"/>
        <v>1</v>
      </c>
      <c r="R1124" s="2">
        <f t="shared" si="517"/>
        <v>4</v>
      </c>
      <c r="S1124" s="2">
        <f t="shared" si="518"/>
        <v>50</v>
      </c>
      <c r="T1124" s="2">
        <f t="shared" si="519"/>
        <v>66.428571428571431</v>
      </c>
      <c r="U1124" s="2">
        <f ca="1">VLOOKUP(E1124,金币生产率!$A$2:$B$120,2,0)</f>
        <v>68</v>
      </c>
      <c r="V1124" s="2">
        <f t="shared" si="520"/>
        <v>132.85714285714286</v>
      </c>
      <c r="W1124" s="45">
        <f t="shared" ca="1" si="504"/>
        <v>0</v>
      </c>
      <c r="X1124" s="48">
        <f t="shared" ca="1" si="505"/>
        <v>0</v>
      </c>
      <c r="Y1124">
        <f t="shared" si="498"/>
        <v>18</v>
      </c>
      <c r="Z1124">
        <f t="shared" ca="1" si="501"/>
        <v>0</v>
      </c>
      <c r="AA1124" t="str">
        <f t="shared" ca="1" si="521"/>
        <v>9322200.png</v>
      </c>
      <c r="AB1124">
        <f t="shared" si="522"/>
        <v>10</v>
      </c>
      <c r="AC1124">
        <f>VLOOKUP(C1124,技能辅助查询表,技能配置辅助表!$W$1,FALSE)</f>
        <v>5331</v>
      </c>
      <c r="AD1124">
        <f t="shared" ca="1" si="502"/>
        <v>0.76187828571428573</v>
      </c>
      <c r="AE1124">
        <f>VLOOKUP(C1124,技能辅助查询表,技能配置辅助表!$U$1,FALSE)</f>
        <v>4</v>
      </c>
      <c r="AF1124">
        <f t="shared" ca="1" si="523"/>
        <v>9322200</v>
      </c>
      <c r="AG1124">
        <f t="shared" ca="1" si="524"/>
        <v>0</v>
      </c>
      <c r="AH1124">
        <f t="shared" ca="1" si="503"/>
        <v>11.5938</v>
      </c>
      <c r="AI1124">
        <f ca="1">VLOOKUP(E1124,伤害参考系!$C$4:$E$104,3,FALSE)*$AN$12</f>
        <v>50.4</v>
      </c>
      <c r="AJ1124">
        <f>VLOOKUP(C1124,技能辅助查询表,技能配置辅助表!$L$1,FALSE)</f>
        <v>2</v>
      </c>
      <c r="AK1124">
        <f>VLOOKUP(C1124,技能辅助查询表,技能配置辅助表!$AE$1,FALSE)</f>
        <v>66000550</v>
      </c>
    </row>
    <row r="1125" spans="1:37" x14ac:dyDescent="0.15">
      <c r="A1125" s="1">
        <f t="shared" ca="1" si="506"/>
        <v>9322201</v>
      </c>
      <c r="B1125" s="1" t="str">
        <f t="shared" ca="1" si="507"/>
        <v>玫瑰之舞第2段</v>
      </c>
      <c r="C1125" t="s">
        <v>103</v>
      </c>
      <c r="D1125">
        <f t="shared" si="508"/>
        <v>3</v>
      </c>
      <c r="E1125" s="42">
        <f t="shared" ca="1" si="499"/>
        <v>4</v>
      </c>
      <c r="F1125" t="str">
        <f t="shared" ca="1" si="500"/>
        <v>第1级，共造成132.9%点伤害</v>
      </c>
      <c r="G1125">
        <f t="shared" ca="1" si="509"/>
        <v>2</v>
      </c>
      <c r="H1125">
        <f t="shared" si="510"/>
        <v>2</v>
      </c>
      <c r="I1125" s="44">
        <f t="shared" ca="1" si="511"/>
        <v>1</v>
      </c>
      <c r="J1125">
        <f t="shared" si="512"/>
        <v>2</v>
      </c>
      <c r="K1125" s="36">
        <f t="shared" ca="1" si="513"/>
        <v>66.428571428571431</v>
      </c>
      <c r="L1125" s="10">
        <f ca="1">AH1125*VLOOKUP(C1125,技能辅助查询表,技能配置辅助表!$T$1,FALSE)</f>
        <v>0</v>
      </c>
      <c r="M1125">
        <f t="shared" ca="1" si="497"/>
        <v>8000</v>
      </c>
      <c r="N1125" s="33">
        <f ca="1">CHOOSE(1,W1125*U1125,X1125*'[1]0、经济设定'!$C$18)</f>
        <v>272</v>
      </c>
      <c r="O1125">
        <f t="shared" si="514"/>
        <v>2</v>
      </c>
      <c r="P1125">
        <f t="shared" si="515"/>
        <v>2</v>
      </c>
      <c r="Q1125">
        <f t="shared" si="516"/>
        <v>1</v>
      </c>
      <c r="R1125" s="2">
        <f t="shared" si="517"/>
        <v>4</v>
      </c>
      <c r="S1125" s="2">
        <f t="shared" si="518"/>
        <v>50</v>
      </c>
      <c r="T1125" s="2">
        <f t="shared" si="519"/>
        <v>66.428571428571431</v>
      </c>
      <c r="U1125" s="2">
        <f ca="1">VLOOKUP(E1125,金币生产率!$A$2:$B$120,2,0)</f>
        <v>68</v>
      </c>
      <c r="V1125" s="2">
        <f t="shared" si="520"/>
        <v>132.85714285714286</v>
      </c>
      <c r="W1125" s="45">
        <f t="shared" ca="1" si="504"/>
        <v>4</v>
      </c>
      <c r="X1125" s="48">
        <f t="shared" ca="1" si="505"/>
        <v>4</v>
      </c>
      <c r="Y1125">
        <f t="shared" si="498"/>
        <v>18</v>
      </c>
      <c r="Z1125">
        <f t="shared" ca="1" si="501"/>
        <v>0</v>
      </c>
      <c r="AA1125" t="str">
        <f t="shared" ca="1" si="521"/>
        <v>9322200.png</v>
      </c>
      <c r="AB1125">
        <f t="shared" si="522"/>
        <v>10</v>
      </c>
      <c r="AC1125">
        <f>VLOOKUP(C1125,技能辅助查询表,技能配置辅助表!$W$1,FALSE)</f>
        <v>5331</v>
      </c>
      <c r="AD1125">
        <f t="shared" ca="1" si="502"/>
        <v>0.86738836086549465</v>
      </c>
      <c r="AE1125">
        <f>VLOOKUP(C1125,技能辅助查询表,技能配置辅助表!$U$1,FALSE)</f>
        <v>4</v>
      </c>
      <c r="AF1125">
        <f t="shared" ca="1" si="523"/>
        <v>9322201</v>
      </c>
      <c r="AG1125">
        <f t="shared" ca="1" si="524"/>
        <v>4</v>
      </c>
      <c r="AH1125">
        <f t="shared" ca="1" si="503"/>
        <v>13.199388100127095</v>
      </c>
      <c r="AI1125">
        <f ca="1">VLOOKUP(E1125,伤害参考系!$C$4:$E$104,3,FALSE)*$AN$12</f>
        <v>50.4</v>
      </c>
      <c r="AJ1125">
        <f>VLOOKUP(C1125,技能辅助查询表,技能配置辅助表!$L$1,FALSE)</f>
        <v>2</v>
      </c>
      <c r="AK1125">
        <f>VLOOKUP(C1125,技能辅助查询表,技能配置辅助表!$AE$1,FALSE)</f>
        <v>66000550</v>
      </c>
    </row>
    <row r="1126" spans="1:37" x14ac:dyDescent="0.15">
      <c r="A1126" s="1">
        <f t="shared" ca="1" si="506"/>
        <v>9322202</v>
      </c>
      <c r="B1126" s="1" t="str">
        <f t="shared" ca="1" si="507"/>
        <v>玫瑰之舞第2段</v>
      </c>
      <c r="C1126" t="s">
        <v>103</v>
      </c>
      <c r="D1126">
        <f t="shared" si="508"/>
        <v>3</v>
      </c>
      <c r="E1126" s="42">
        <f t="shared" ca="1" si="499"/>
        <v>7</v>
      </c>
      <c r="F1126" t="str">
        <f t="shared" ca="1" si="500"/>
        <v>第2级，共造成135.5%点伤害</v>
      </c>
      <c r="G1126">
        <f t="shared" ca="1" si="509"/>
        <v>2</v>
      </c>
      <c r="H1126">
        <f t="shared" si="510"/>
        <v>2</v>
      </c>
      <c r="I1126" s="44">
        <f t="shared" ca="1" si="511"/>
        <v>2</v>
      </c>
      <c r="J1126">
        <f t="shared" si="512"/>
        <v>2</v>
      </c>
      <c r="K1126" s="36">
        <f t="shared" ca="1" si="513"/>
        <v>67.757142857142853</v>
      </c>
      <c r="L1126" s="10">
        <f ca="1">AH1126*VLOOKUP(C1126,技能辅助查询表,技能配置辅助表!$T$1,FALSE)</f>
        <v>0</v>
      </c>
      <c r="M1126">
        <f t="shared" ca="1" si="497"/>
        <v>7840</v>
      </c>
      <c r="N1126" s="33">
        <f ca="1">CHOOSE(1,W1126*U1126,X1126*'[1]0、经济设定'!$C$18)</f>
        <v>344</v>
      </c>
      <c r="O1126">
        <f t="shared" si="514"/>
        <v>2</v>
      </c>
      <c r="P1126">
        <f t="shared" si="515"/>
        <v>2</v>
      </c>
      <c r="Q1126">
        <f t="shared" si="516"/>
        <v>1</v>
      </c>
      <c r="R1126" s="2">
        <f t="shared" si="517"/>
        <v>4</v>
      </c>
      <c r="S1126" s="2">
        <f t="shared" si="518"/>
        <v>50</v>
      </c>
      <c r="T1126" s="2">
        <f t="shared" si="519"/>
        <v>66.428571428571431</v>
      </c>
      <c r="U1126" s="2">
        <f ca="1">VLOOKUP(E1126,金币生产率!$A$2:$B$120,2,0)</f>
        <v>86</v>
      </c>
      <c r="V1126" s="2">
        <f t="shared" si="520"/>
        <v>132.85714285714286</v>
      </c>
      <c r="W1126" s="45">
        <f t="shared" ca="1" si="504"/>
        <v>4</v>
      </c>
      <c r="X1126" s="48">
        <f t="shared" ca="1" si="505"/>
        <v>8</v>
      </c>
      <c r="Y1126">
        <f t="shared" si="498"/>
        <v>18</v>
      </c>
      <c r="Z1126">
        <f t="shared" ca="1" si="501"/>
        <v>0</v>
      </c>
      <c r="AA1126" t="str">
        <f t="shared" ca="1" si="521"/>
        <v>9322200.png</v>
      </c>
      <c r="AB1126">
        <f t="shared" si="522"/>
        <v>10</v>
      </c>
      <c r="AC1126">
        <f>VLOOKUP(C1126,技能辅助查询表,技能配置辅助表!$W$1,FALSE)</f>
        <v>5331</v>
      </c>
      <c r="AD1126">
        <f t="shared" ca="1" si="502"/>
        <v>1.0673697067087407</v>
      </c>
      <c r="AE1126">
        <f>VLOOKUP(C1126,技能辅助查询表,技能配置辅助表!$U$1,FALSE)</f>
        <v>4</v>
      </c>
      <c r="AF1126">
        <f t="shared" ca="1" si="523"/>
        <v>9322202</v>
      </c>
      <c r="AG1126">
        <f t="shared" ca="1" si="524"/>
        <v>5.5510204081632653</v>
      </c>
      <c r="AH1126">
        <f t="shared" ca="1" si="503"/>
        <v>15.027328935963775</v>
      </c>
      <c r="AI1126">
        <f ca="1">VLOOKUP(E1126,伤害参考系!$C$4:$E$104,3,FALSE)*$AN$12</f>
        <v>101.93624999999999</v>
      </c>
      <c r="AJ1126">
        <f>VLOOKUP(C1126,技能辅助查询表,技能配置辅助表!$L$1,FALSE)</f>
        <v>2</v>
      </c>
      <c r="AK1126">
        <f>VLOOKUP(C1126,技能辅助查询表,技能配置辅助表!$AE$1,FALSE)</f>
        <v>66000550</v>
      </c>
    </row>
    <row r="1127" spans="1:37" x14ac:dyDescent="0.15">
      <c r="A1127" s="1">
        <f t="shared" ca="1" si="506"/>
        <v>9322203</v>
      </c>
      <c r="B1127" s="1" t="str">
        <f t="shared" ca="1" si="507"/>
        <v>玫瑰之舞第2段</v>
      </c>
      <c r="C1127" t="s">
        <v>103</v>
      </c>
      <c r="D1127">
        <f t="shared" si="508"/>
        <v>3</v>
      </c>
      <c r="E1127" s="42">
        <f t="shared" ca="1" si="499"/>
        <v>9</v>
      </c>
      <c r="F1127" t="str">
        <f t="shared" ca="1" si="500"/>
        <v>第3级，共造成136.8%点伤害</v>
      </c>
      <c r="G1127">
        <f t="shared" ca="1" si="509"/>
        <v>2</v>
      </c>
      <c r="H1127">
        <f t="shared" si="510"/>
        <v>2</v>
      </c>
      <c r="I1127" s="44">
        <f t="shared" ca="1" si="511"/>
        <v>3</v>
      </c>
      <c r="J1127">
        <f t="shared" si="512"/>
        <v>2</v>
      </c>
      <c r="K1127" s="36">
        <f t="shared" ca="1" si="513"/>
        <v>68.421428571428578</v>
      </c>
      <c r="L1127" s="10">
        <f ca="1">AH1127*VLOOKUP(C1127,技能辅助查询表,技能配置辅助表!$T$1,FALSE)</f>
        <v>0</v>
      </c>
      <c r="M1127">
        <f t="shared" ca="1" si="497"/>
        <v>7760</v>
      </c>
      <c r="N1127" s="33">
        <f ca="1">CHOOSE(1,W1127*U1127,X1127*'[1]0、经济设定'!$C$18)</f>
        <v>392</v>
      </c>
      <c r="O1127">
        <f t="shared" si="514"/>
        <v>2</v>
      </c>
      <c r="P1127">
        <f t="shared" si="515"/>
        <v>2</v>
      </c>
      <c r="Q1127">
        <f t="shared" si="516"/>
        <v>1</v>
      </c>
      <c r="R1127" s="2">
        <f t="shared" si="517"/>
        <v>4</v>
      </c>
      <c r="S1127" s="2">
        <f t="shared" si="518"/>
        <v>50</v>
      </c>
      <c r="T1127" s="2">
        <f t="shared" si="519"/>
        <v>66.428571428571431</v>
      </c>
      <c r="U1127" s="2">
        <f ca="1">VLOOKUP(E1127,金币生产率!$A$2:$B$120,2,0)</f>
        <v>98</v>
      </c>
      <c r="V1127" s="2">
        <f t="shared" si="520"/>
        <v>132.85714285714286</v>
      </c>
      <c r="W1127" s="45">
        <f t="shared" ca="1" si="504"/>
        <v>4</v>
      </c>
      <c r="X1127" s="48">
        <f t="shared" ca="1" si="505"/>
        <v>12</v>
      </c>
      <c r="Y1127">
        <f t="shared" si="498"/>
        <v>18</v>
      </c>
      <c r="Z1127">
        <f t="shared" ca="1" si="501"/>
        <v>0</v>
      </c>
      <c r="AA1127" t="str">
        <f t="shared" ca="1" si="521"/>
        <v>9322200.png</v>
      </c>
      <c r="AB1127">
        <f t="shared" si="522"/>
        <v>10</v>
      </c>
      <c r="AC1127">
        <f>VLOOKUP(C1127,技能辅助查询表,技能配置辅助表!$W$1,FALSE)</f>
        <v>5331</v>
      </c>
      <c r="AD1127">
        <f t="shared" ca="1" si="502"/>
        <v>1.2606458107587806</v>
      </c>
      <c r="AE1127">
        <f>VLOOKUP(C1127,技能辅助查询表,技能配置辅助表!$U$1,FALSE)</f>
        <v>4</v>
      </c>
      <c r="AF1127">
        <f t="shared" ca="1" si="523"/>
        <v>9322203</v>
      </c>
      <c r="AG1127">
        <f t="shared" ca="1" si="524"/>
        <v>7.1020408163265305</v>
      </c>
      <c r="AH1127">
        <f t="shared" ca="1" si="503"/>
        <v>17.108415423248271</v>
      </c>
      <c r="AI1127">
        <f ca="1">VLOOKUP(E1127,伤害参考系!$C$4:$E$104,3,FALSE)*$AN$12</f>
        <v>145.4708152173913</v>
      </c>
      <c r="AJ1127">
        <f>VLOOKUP(C1127,技能辅助查询表,技能配置辅助表!$L$1,FALSE)</f>
        <v>2</v>
      </c>
      <c r="AK1127">
        <f>VLOOKUP(C1127,技能辅助查询表,技能配置辅助表!$AE$1,FALSE)</f>
        <v>66000550</v>
      </c>
    </row>
    <row r="1128" spans="1:37" x14ac:dyDescent="0.15">
      <c r="A1128" s="1">
        <f t="shared" ca="1" si="506"/>
        <v>9322204</v>
      </c>
      <c r="B1128" s="1" t="str">
        <f t="shared" ca="1" si="507"/>
        <v>玫瑰之舞第2段</v>
      </c>
      <c r="C1128" t="s">
        <v>103</v>
      </c>
      <c r="D1128">
        <f t="shared" si="508"/>
        <v>3</v>
      </c>
      <c r="E1128" s="42">
        <f t="shared" ca="1" si="499"/>
        <v>10</v>
      </c>
      <c r="F1128" t="str">
        <f t="shared" ca="1" si="500"/>
        <v>第4级，共造成138.2%点伤害</v>
      </c>
      <c r="G1128">
        <f t="shared" ca="1" si="509"/>
        <v>2</v>
      </c>
      <c r="H1128">
        <f t="shared" si="510"/>
        <v>2</v>
      </c>
      <c r="I1128" s="44">
        <f t="shared" ca="1" si="511"/>
        <v>4</v>
      </c>
      <c r="J1128">
        <f t="shared" si="512"/>
        <v>2</v>
      </c>
      <c r="K1128" s="36">
        <f t="shared" ca="1" si="513"/>
        <v>69.085714285714289</v>
      </c>
      <c r="L1128" s="10">
        <f ca="1">AH1128*VLOOKUP(C1128,技能辅助查询表,技能配置辅助表!$T$1,FALSE)</f>
        <v>0</v>
      </c>
      <c r="M1128">
        <f t="shared" ca="1" si="497"/>
        <v>7680</v>
      </c>
      <c r="N1128" s="33">
        <f ca="1">CHOOSE(1,W1128*U1128,X1128*'[1]0、经济设定'!$C$18)</f>
        <v>520</v>
      </c>
      <c r="O1128">
        <f t="shared" si="514"/>
        <v>2</v>
      </c>
      <c r="P1128">
        <f t="shared" si="515"/>
        <v>2</v>
      </c>
      <c r="Q1128">
        <f t="shared" si="516"/>
        <v>1</v>
      </c>
      <c r="R1128" s="2">
        <f t="shared" si="517"/>
        <v>4</v>
      </c>
      <c r="S1128" s="2">
        <f t="shared" si="518"/>
        <v>50</v>
      </c>
      <c r="T1128" s="2">
        <f t="shared" si="519"/>
        <v>66.428571428571431</v>
      </c>
      <c r="U1128" s="2">
        <f ca="1">VLOOKUP(E1128,金币生产率!$A$2:$B$120,2,0)</f>
        <v>104</v>
      </c>
      <c r="V1128" s="2">
        <f t="shared" si="520"/>
        <v>132.85714285714286</v>
      </c>
      <c r="W1128" s="45">
        <f t="shared" ca="1" si="504"/>
        <v>5</v>
      </c>
      <c r="X1128" s="48">
        <f t="shared" ca="1" si="505"/>
        <v>17</v>
      </c>
      <c r="Y1128">
        <f t="shared" si="498"/>
        <v>18</v>
      </c>
      <c r="Z1128">
        <f t="shared" ca="1" si="501"/>
        <v>0</v>
      </c>
      <c r="AA1128" t="str">
        <f t="shared" ca="1" si="521"/>
        <v>9322200.png</v>
      </c>
      <c r="AB1128">
        <f t="shared" si="522"/>
        <v>10</v>
      </c>
      <c r="AC1128">
        <f>VLOOKUP(C1128,技能辅助查询表,技能配置辅助表!$W$1,FALSE)</f>
        <v>5331</v>
      </c>
      <c r="AD1128">
        <f t="shared" ca="1" si="502"/>
        <v>1.4869836418614775</v>
      </c>
      <c r="AE1128">
        <f>VLOOKUP(C1128,技能辅助查询表,技能配置辅助表!$U$1,FALSE)</f>
        <v>4</v>
      </c>
      <c r="AF1128">
        <f t="shared" ca="1" si="523"/>
        <v>9322204</v>
      </c>
      <c r="AG1128">
        <f t="shared" ca="1" si="524"/>
        <v>8.6530612244897966</v>
      </c>
      <c r="AH1128">
        <f t="shared" ca="1" si="503"/>
        <v>19.477704889652582</v>
      </c>
      <c r="AI1128">
        <f ca="1">VLOOKUP(E1128,伤害参考系!$C$4:$E$104,3,FALSE)*$AN$12</f>
        <v>177.55434782608697</v>
      </c>
      <c r="AJ1128">
        <f>VLOOKUP(C1128,技能辅助查询表,技能配置辅助表!$L$1,FALSE)</f>
        <v>2</v>
      </c>
      <c r="AK1128">
        <f>VLOOKUP(C1128,技能辅助查询表,技能配置辅助表!$AE$1,FALSE)</f>
        <v>66000550</v>
      </c>
    </row>
    <row r="1129" spans="1:37" x14ac:dyDescent="0.15">
      <c r="A1129" s="1">
        <f t="shared" ca="1" si="506"/>
        <v>9322205</v>
      </c>
      <c r="B1129" s="1" t="str">
        <f t="shared" ca="1" si="507"/>
        <v>玫瑰之舞第2段</v>
      </c>
      <c r="C1129" t="s">
        <v>103</v>
      </c>
      <c r="D1129">
        <f t="shared" si="508"/>
        <v>3</v>
      </c>
      <c r="E1129" s="42">
        <f t="shared" ca="1" si="499"/>
        <v>12</v>
      </c>
      <c r="F1129" t="str">
        <f t="shared" ca="1" si="500"/>
        <v>第5级，共造成139.5%点伤害</v>
      </c>
      <c r="G1129">
        <f t="shared" ca="1" si="509"/>
        <v>2</v>
      </c>
      <c r="H1129">
        <f t="shared" si="510"/>
        <v>2</v>
      </c>
      <c r="I1129" s="44">
        <f t="shared" ca="1" si="511"/>
        <v>5</v>
      </c>
      <c r="J1129">
        <f t="shared" si="512"/>
        <v>2</v>
      </c>
      <c r="K1129" s="36">
        <f t="shared" ca="1" si="513"/>
        <v>69.75</v>
      </c>
      <c r="L1129" s="10">
        <f ca="1">AH1129*VLOOKUP(C1129,技能辅助查询表,技能配置辅助表!$T$1,FALSE)</f>
        <v>0</v>
      </c>
      <c r="M1129">
        <f t="shared" ca="1" si="497"/>
        <v>7600</v>
      </c>
      <c r="N1129" s="33">
        <f ca="1">CHOOSE(1,W1129*U1129,X1129*'[1]0、经济设定'!$C$18)</f>
        <v>580</v>
      </c>
      <c r="O1129">
        <f t="shared" si="514"/>
        <v>2</v>
      </c>
      <c r="P1129">
        <f t="shared" si="515"/>
        <v>2</v>
      </c>
      <c r="Q1129">
        <f t="shared" si="516"/>
        <v>1</v>
      </c>
      <c r="R1129" s="2">
        <f t="shared" si="517"/>
        <v>4</v>
      </c>
      <c r="S1129" s="2">
        <f t="shared" si="518"/>
        <v>50</v>
      </c>
      <c r="T1129" s="2">
        <f t="shared" si="519"/>
        <v>66.428571428571431</v>
      </c>
      <c r="U1129" s="2">
        <f ca="1">VLOOKUP(E1129,金币生产率!$A$2:$B$120,2,0)</f>
        <v>116</v>
      </c>
      <c r="V1129" s="2">
        <f t="shared" si="520"/>
        <v>132.85714285714286</v>
      </c>
      <c r="W1129" s="45">
        <f t="shared" ca="1" si="504"/>
        <v>5</v>
      </c>
      <c r="X1129" s="48">
        <f t="shared" ca="1" si="505"/>
        <v>22</v>
      </c>
      <c r="Y1129">
        <f t="shared" si="498"/>
        <v>18</v>
      </c>
      <c r="Z1129">
        <f t="shared" ca="1" si="501"/>
        <v>0</v>
      </c>
      <c r="AA1129" t="str">
        <f t="shared" ca="1" si="521"/>
        <v>9322200.png</v>
      </c>
      <c r="AB1129">
        <f t="shared" si="522"/>
        <v>10</v>
      </c>
      <c r="AC1129">
        <f>VLOOKUP(C1129,技能辅助查询表,技能配置辅助表!$W$1,FALSE)</f>
        <v>5331</v>
      </c>
      <c r="AD1129">
        <f t="shared" ca="1" si="502"/>
        <v>1.751833661519359</v>
      </c>
      <c r="AE1129">
        <f>VLOOKUP(C1129,技能辅助查询表,技能配置辅助表!$U$1,FALSE)</f>
        <v>4</v>
      </c>
      <c r="AF1129">
        <f t="shared" ca="1" si="523"/>
        <v>9322205</v>
      </c>
      <c r="AG1129">
        <f t="shared" ca="1" si="524"/>
        <v>10.204081632653061</v>
      </c>
      <c r="AH1129">
        <f t="shared" ca="1" si="503"/>
        <v>22.175109639485559</v>
      </c>
      <c r="AI1129">
        <f ca="1">VLOOKUP(E1129,伤害参考系!$C$4:$E$104,3,FALSE)*$AN$12</f>
        <v>249.04956521739126</v>
      </c>
      <c r="AJ1129">
        <f>VLOOKUP(C1129,技能辅助查询表,技能配置辅助表!$L$1,FALSE)</f>
        <v>2</v>
      </c>
      <c r="AK1129">
        <f>VLOOKUP(C1129,技能辅助查询表,技能配置辅助表!$AE$1,FALSE)</f>
        <v>66000550</v>
      </c>
    </row>
    <row r="1130" spans="1:37" x14ac:dyDescent="0.15">
      <c r="A1130" s="1">
        <f t="shared" ca="1" si="506"/>
        <v>9322206</v>
      </c>
      <c r="B1130" s="1" t="str">
        <f t="shared" ca="1" si="507"/>
        <v>玫瑰之舞第2段</v>
      </c>
      <c r="C1130" t="s">
        <v>103</v>
      </c>
      <c r="D1130">
        <f t="shared" si="508"/>
        <v>3</v>
      </c>
      <c r="E1130" s="42">
        <f t="shared" ca="1" si="499"/>
        <v>13</v>
      </c>
      <c r="F1130" t="str">
        <f t="shared" ca="1" si="500"/>
        <v>第6级，共造成140.8%点伤害</v>
      </c>
      <c r="G1130">
        <f t="shared" ca="1" si="509"/>
        <v>2</v>
      </c>
      <c r="H1130">
        <f t="shared" si="510"/>
        <v>2</v>
      </c>
      <c r="I1130" s="44">
        <f t="shared" ca="1" si="511"/>
        <v>6</v>
      </c>
      <c r="J1130">
        <f t="shared" si="512"/>
        <v>2</v>
      </c>
      <c r="K1130" s="36">
        <f t="shared" ca="1" si="513"/>
        <v>70.414285714285711</v>
      </c>
      <c r="L1130" s="10">
        <f ca="1">AH1130*VLOOKUP(C1130,技能辅助查询表,技能配置辅助表!$T$1,FALSE)</f>
        <v>0</v>
      </c>
      <c r="M1130">
        <f t="shared" ca="1" si="497"/>
        <v>7520</v>
      </c>
      <c r="N1130" s="33">
        <f ca="1">CHOOSE(1,W1130*U1130,X1130*'[1]0、经济设定'!$C$18)</f>
        <v>610</v>
      </c>
      <c r="O1130">
        <f t="shared" si="514"/>
        <v>2</v>
      </c>
      <c r="P1130">
        <f t="shared" si="515"/>
        <v>2</v>
      </c>
      <c r="Q1130">
        <f t="shared" si="516"/>
        <v>1</v>
      </c>
      <c r="R1130" s="2">
        <f t="shared" si="517"/>
        <v>4</v>
      </c>
      <c r="S1130" s="2">
        <f t="shared" si="518"/>
        <v>50</v>
      </c>
      <c r="T1130" s="2">
        <f t="shared" si="519"/>
        <v>66.428571428571431</v>
      </c>
      <c r="U1130" s="2">
        <f ca="1">VLOOKUP(E1130,金币生产率!$A$2:$B$120,2,0)</f>
        <v>122</v>
      </c>
      <c r="V1130" s="2">
        <f t="shared" si="520"/>
        <v>132.85714285714286</v>
      </c>
      <c r="W1130" s="45">
        <f t="shared" ca="1" si="504"/>
        <v>5</v>
      </c>
      <c r="X1130" s="48">
        <f t="shared" ca="1" si="505"/>
        <v>27</v>
      </c>
      <c r="Y1130">
        <f t="shared" si="498"/>
        <v>18</v>
      </c>
      <c r="Z1130">
        <f t="shared" ca="1" si="501"/>
        <v>0</v>
      </c>
      <c r="AA1130" t="str">
        <f t="shared" ca="1" si="521"/>
        <v>9322200.png</v>
      </c>
      <c r="AB1130">
        <f t="shared" si="522"/>
        <v>10</v>
      </c>
      <c r="AC1130">
        <f>VLOOKUP(C1130,技能辅助查询表,技能配置辅助表!$W$1,FALSE)</f>
        <v>5331</v>
      </c>
      <c r="AD1130">
        <f t="shared" ca="1" si="502"/>
        <v>2.0615218877220278</v>
      </c>
      <c r="AE1130">
        <f>VLOOKUP(C1130,技能辅助查询表,技能配置辅助表!$U$1,FALSE)</f>
        <v>4</v>
      </c>
      <c r="AF1130">
        <f t="shared" ca="1" si="523"/>
        <v>9322206</v>
      </c>
      <c r="AG1130">
        <f t="shared" ca="1" si="524"/>
        <v>11.755102040816325</v>
      </c>
      <c r="AH1130">
        <f t="shared" ca="1" si="503"/>
        <v>25.246069303803697</v>
      </c>
      <c r="AI1130">
        <f ca="1">VLOOKUP(E1130,伤害参考系!$C$4:$E$104,3,FALSE)*$AN$12</f>
        <v>288.46124999999995</v>
      </c>
      <c r="AJ1130">
        <f>VLOOKUP(C1130,技能辅助查询表,技能配置辅助表!$L$1,FALSE)</f>
        <v>2</v>
      </c>
      <c r="AK1130">
        <f>VLOOKUP(C1130,技能辅助查询表,技能配置辅助表!$AE$1,FALSE)</f>
        <v>66000550</v>
      </c>
    </row>
    <row r="1131" spans="1:37" x14ac:dyDescent="0.15">
      <c r="A1131" s="1">
        <f t="shared" ca="1" si="506"/>
        <v>9322207</v>
      </c>
      <c r="B1131" s="1" t="str">
        <f t="shared" ca="1" si="507"/>
        <v>玫瑰之舞第2段</v>
      </c>
      <c r="C1131" t="s">
        <v>103</v>
      </c>
      <c r="D1131">
        <f t="shared" si="508"/>
        <v>3</v>
      </c>
      <c r="E1131" s="42">
        <f t="shared" ca="1" si="499"/>
        <v>15</v>
      </c>
      <c r="F1131" t="str">
        <f t="shared" ca="1" si="500"/>
        <v>第7级，共造成142.2%点伤害</v>
      </c>
      <c r="G1131">
        <f t="shared" ca="1" si="509"/>
        <v>2</v>
      </c>
      <c r="H1131">
        <f t="shared" si="510"/>
        <v>2</v>
      </c>
      <c r="I1131" s="44">
        <f t="shared" ca="1" si="511"/>
        <v>7</v>
      </c>
      <c r="J1131">
        <f t="shared" si="512"/>
        <v>2</v>
      </c>
      <c r="K1131" s="36">
        <f t="shared" ca="1" si="513"/>
        <v>71.078571428571436</v>
      </c>
      <c r="L1131" s="10">
        <f ca="1">AH1131*VLOOKUP(C1131,技能辅助查询表,技能配置辅助表!$T$1,FALSE)</f>
        <v>0</v>
      </c>
      <c r="M1131">
        <f t="shared" ca="1" si="497"/>
        <v>7440</v>
      </c>
      <c r="N1131" s="33">
        <f ca="1">CHOOSE(1,W1131*U1131,X1131*'[1]0、经济设定'!$C$18)</f>
        <v>670</v>
      </c>
      <c r="O1131">
        <f t="shared" si="514"/>
        <v>2</v>
      </c>
      <c r="P1131">
        <f t="shared" si="515"/>
        <v>2</v>
      </c>
      <c r="Q1131">
        <f t="shared" si="516"/>
        <v>1</v>
      </c>
      <c r="R1131" s="2">
        <f t="shared" si="517"/>
        <v>4</v>
      </c>
      <c r="S1131" s="2">
        <f t="shared" si="518"/>
        <v>50</v>
      </c>
      <c r="T1131" s="2">
        <f t="shared" si="519"/>
        <v>66.428571428571431</v>
      </c>
      <c r="U1131" s="2">
        <f ca="1">VLOOKUP(E1131,金币生产率!$A$2:$B$120,2,0)</f>
        <v>134</v>
      </c>
      <c r="V1131" s="2">
        <f t="shared" si="520"/>
        <v>132.85714285714286</v>
      </c>
      <c r="W1131" s="45">
        <f t="shared" ca="1" si="504"/>
        <v>5</v>
      </c>
      <c r="X1131" s="48">
        <f t="shared" ca="1" si="505"/>
        <v>32</v>
      </c>
      <c r="Y1131">
        <f t="shared" si="498"/>
        <v>18</v>
      </c>
      <c r="Z1131">
        <f t="shared" ca="1" si="501"/>
        <v>0</v>
      </c>
      <c r="AA1131" t="str">
        <f t="shared" ca="1" si="521"/>
        <v>9322200.png</v>
      </c>
      <c r="AB1131">
        <f t="shared" si="522"/>
        <v>10</v>
      </c>
      <c r="AC1131">
        <f>VLOOKUP(C1131,技能辅助查询表,技能配置辅助表!$W$1,FALSE)</f>
        <v>5331</v>
      </c>
      <c r="AD1131">
        <f t="shared" ca="1" si="502"/>
        <v>2.423387868787986</v>
      </c>
      <c r="AE1131">
        <f>VLOOKUP(C1131,技能辅助查询表,技能配置辅助表!$U$1,FALSE)</f>
        <v>4</v>
      </c>
      <c r="AF1131">
        <f t="shared" ca="1" si="523"/>
        <v>9322207</v>
      </c>
      <c r="AG1131">
        <f t="shared" ca="1" si="524"/>
        <v>13.306122448979592</v>
      </c>
      <c r="AH1131">
        <f t="shared" ca="1" si="503"/>
        <v>28.742316302127907</v>
      </c>
      <c r="AI1131">
        <f ca="1">VLOOKUP(E1131,伤害参考系!$C$4:$E$104,3,FALSE)*$AN$12</f>
        <v>374.61277173913044</v>
      </c>
      <c r="AJ1131">
        <f>VLOOKUP(C1131,技能辅助查询表,技能配置辅助表!$L$1,FALSE)</f>
        <v>2</v>
      </c>
      <c r="AK1131">
        <f>VLOOKUP(C1131,技能辅助查询表,技能配置辅助表!$AE$1,FALSE)</f>
        <v>66000550</v>
      </c>
    </row>
    <row r="1132" spans="1:37" x14ac:dyDescent="0.15">
      <c r="A1132" s="1">
        <f t="shared" ca="1" si="506"/>
        <v>9322208</v>
      </c>
      <c r="B1132" s="1" t="str">
        <f t="shared" ca="1" si="507"/>
        <v>玫瑰之舞第2段</v>
      </c>
      <c r="C1132" t="s">
        <v>103</v>
      </c>
      <c r="D1132">
        <f t="shared" si="508"/>
        <v>3</v>
      </c>
      <c r="E1132" s="42">
        <f t="shared" ca="1" si="499"/>
        <v>16</v>
      </c>
      <c r="F1132" t="str">
        <f t="shared" ca="1" si="500"/>
        <v>第8级，共造成143.5%点伤害</v>
      </c>
      <c r="G1132">
        <f t="shared" ca="1" si="509"/>
        <v>2</v>
      </c>
      <c r="H1132">
        <f t="shared" si="510"/>
        <v>2</v>
      </c>
      <c r="I1132" s="44">
        <f t="shared" ca="1" si="511"/>
        <v>8</v>
      </c>
      <c r="J1132">
        <f t="shared" si="512"/>
        <v>2</v>
      </c>
      <c r="K1132" s="36">
        <f t="shared" ca="1" si="513"/>
        <v>71.742857142857147</v>
      </c>
      <c r="L1132" s="10">
        <f ca="1">AH1132*VLOOKUP(C1132,技能辅助查询表,技能配置辅助表!$T$1,FALSE)</f>
        <v>0</v>
      </c>
      <c r="M1132">
        <f t="shared" ca="1" si="497"/>
        <v>7360</v>
      </c>
      <c r="N1132" s="33">
        <f ca="1">CHOOSE(1,W1132*U1132,X1132*'[1]0、经济设定'!$C$18)</f>
        <v>840</v>
      </c>
      <c r="O1132">
        <f t="shared" si="514"/>
        <v>2</v>
      </c>
      <c r="P1132">
        <f t="shared" si="515"/>
        <v>2</v>
      </c>
      <c r="Q1132">
        <f t="shared" si="516"/>
        <v>1</v>
      </c>
      <c r="R1132" s="2">
        <f t="shared" si="517"/>
        <v>4</v>
      </c>
      <c r="S1132" s="2">
        <f t="shared" si="518"/>
        <v>50</v>
      </c>
      <c r="T1132" s="2">
        <f t="shared" si="519"/>
        <v>66.428571428571431</v>
      </c>
      <c r="U1132" s="2">
        <f ca="1">VLOOKUP(E1132,金币生产率!$A$2:$B$120,2,0)</f>
        <v>140</v>
      </c>
      <c r="V1132" s="2">
        <f t="shared" si="520"/>
        <v>132.85714285714286</v>
      </c>
      <c r="W1132" s="45">
        <f t="shared" ca="1" si="504"/>
        <v>6</v>
      </c>
      <c r="X1132" s="48">
        <f t="shared" ca="1" si="505"/>
        <v>38</v>
      </c>
      <c r="Y1132">
        <f t="shared" si="498"/>
        <v>18</v>
      </c>
      <c r="Z1132">
        <f t="shared" ca="1" si="501"/>
        <v>0</v>
      </c>
      <c r="AA1132" t="str">
        <f t="shared" ca="1" si="521"/>
        <v>9322200.png</v>
      </c>
      <c r="AB1132">
        <f t="shared" si="522"/>
        <v>10</v>
      </c>
      <c r="AC1132">
        <f>VLOOKUP(C1132,技能辅助查询表,技能配置辅助表!$W$1,FALSE)</f>
        <v>5331</v>
      </c>
      <c r="AD1132">
        <f t="shared" ca="1" si="502"/>
        <v>2.8459440803754661</v>
      </c>
      <c r="AE1132">
        <f>VLOOKUP(C1132,技能辅助查询表,技能配置辅助表!$U$1,FALSE)</f>
        <v>4</v>
      </c>
      <c r="AF1132">
        <f t="shared" ca="1" si="523"/>
        <v>9322208</v>
      </c>
      <c r="AG1132">
        <f t="shared" ca="1" si="524"/>
        <v>14.857142857142858</v>
      </c>
      <c r="AH1132">
        <f t="shared" ca="1" si="503"/>
        <v>32.722747310493212</v>
      </c>
      <c r="AI1132">
        <f ca="1">VLOOKUP(E1132,伤害参考系!$C$4:$E$104,3,FALSE)*$AN$12</f>
        <v>421.35260869565224</v>
      </c>
      <c r="AJ1132">
        <f>VLOOKUP(C1132,技能辅助查询表,技能配置辅助表!$L$1,FALSE)</f>
        <v>2</v>
      </c>
      <c r="AK1132">
        <f>VLOOKUP(C1132,技能辅助查询表,技能配置辅助表!$AE$1,FALSE)</f>
        <v>66000550</v>
      </c>
    </row>
    <row r="1133" spans="1:37" x14ac:dyDescent="0.15">
      <c r="A1133" s="1">
        <f t="shared" ca="1" si="506"/>
        <v>9322209</v>
      </c>
      <c r="B1133" s="1" t="str">
        <f t="shared" ca="1" si="507"/>
        <v>玫瑰之舞第2段</v>
      </c>
      <c r="C1133" t="s">
        <v>103</v>
      </c>
      <c r="D1133">
        <f t="shared" si="508"/>
        <v>3</v>
      </c>
      <c r="E1133" s="42">
        <f t="shared" ca="1" si="499"/>
        <v>18</v>
      </c>
      <c r="F1133" t="str">
        <f t="shared" ca="1" si="500"/>
        <v>第9级，共造成144.8%点伤害</v>
      </c>
      <c r="G1133">
        <f t="shared" ca="1" si="509"/>
        <v>2</v>
      </c>
      <c r="H1133">
        <f t="shared" si="510"/>
        <v>2</v>
      </c>
      <c r="I1133" s="44">
        <f t="shared" ca="1" si="511"/>
        <v>9</v>
      </c>
      <c r="J1133">
        <f t="shared" si="512"/>
        <v>2</v>
      </c>
      <c r="K1133" s="36">
        <f t="shared" ca="1" si="513"/>
        <v>72.407142857142858</v>
      </c>
      <c r="L1133" s="10">
        <f ca="1">AH1133*VLOOKUP(C1133,技能辅助查询表,技能配置辅助表!$T$1,FALSE)</f>
        <v>0</v>
      </c>
      <c r="M1133">
        <f t="shared" ca="1" si="497"/>
        <v>7280</v>
      </c>
      <c r="N1133" s="33">
        <f ca="1">CHOOSE(1,W1133*U1133,X1133*'[1]0、经济设定'!$C$18)</f>
        <v>912</v>
      </c>
      <c r="O1133">
        <f t="shared" si="514"/>
        <v>2</v>
      </c>
      <c r="P1133">
        <f t="shared" si="515"/>
        <v>2</v>
      </c>
      <c r="Q1133">
        <f t="shared" si="516"/>
        <v>1</v>
      </c>
      <c r="R1133" s="2">
        <f t="shared" si="517"/>
        <v>4</v>
      </c>
      <c r="S1133" s="2">
        <f t="shared" si="518"/>
        <v>50</v>
      </c>
      <c r="T1133" s="2">
        <f t="shared" si="519"/>
        <v>66.428571428571431</v>
      </c>
      <c r="U1133" s="2">
        <f ca="1">VLOOKUP(E1133,金币生产率!$A$2:$B$120,2,0)</f>
        <v>152</v>
      </c>
      <c r="V1133" s="2">
        <f t="shared" si="520"/>
        <v>132.85714285714286</v>
      </c>
      <c r="W1133" s="45">
        <f t="shared" ca="1" si="504"/>
        <v>6</v>
      </c>
      <c r="X1133" s="48">
        <f t="shared" ca="1" si="505"/>
        <v>44</v>
      </c>
      <c r="Y1133">
        <f t="shared" si="498"/>
        <v>18</v>
      </c>
      <c r="Z1133">
        <f t="shared" ca="1" si="501"/>
        <v>0</v>
      </c>
      <c r="AA1133" t="str">
        <f t="shared" ca="1" si="521"/>
        <v>9322200.png</v>
      </c>
      <c r="AB1133">
        <f t="shared" si="522"/>
        <v>10</v>
      </c>
      <c r="AC1133">
        <f>VLOOKUP(C1133,技能辅助查询表,技能配置辅助表!$W$1,FALSE)</f>
        <v>5331</v>
      </c>
      <c r="AD1133">
        <f t="shared" ca="1" si="502"/>
        <v>3.3390600331702203</v>
      </c>
      <c r="AE1133">
        <f>VLOOKUP(C1133,技能辅助查询表,技能配置辅助表!$U$1,FALSE)</f>
        <v>4</v>
      </c>
      <c r="AF1133">
        <f t="shared" ca="1" si="523"/>
        <v>9322209</v>
      </c>
      <c r="AG1133">
        <f t="shared" ca="1" si="524"/>
        <v>16.408163265306122</v>
      </c>
      <c r="AH1133">
        <f t="shared" ca="1" si="503"/>
        <v>37.25441541630785</v>
      </c>
      <c r="AI1133">
        <f ca="1">VLOOKUP(E1133,伤害参考系!$C$4:$E$104,3,FALSE)*$AN$12</f>
        <v>522.16043478260883</v>
      </c>
      <c r="AJ1133">
        <f>VLOOKUP(C1133,技能辅助查询表,技能配置辅助表!$L$1,FALSE)</f>
        <v>2</v>
      </c>
      <c r="AK1133">
        <f>VLOOKUP(C1133,技能辅助查询表,技能配置辅助表!$AE$1,FALSE)</f>
        <v>66000550</v>
      </c>
    </row>
    <row r="1134" spans="1:37" x14ac:dyDescent="0.15">
      <c r="A1134" s="1">
        <f t="shared" ca="1" si="506"/>
        <v>9322210</v>
      </c>
      <c r="B1134" s="1" t="str">
        <f t="shared" ca="1" si="507"/>
        <v>玫瑰之舞第2段</v>
      </c>
      <c r="C1134" t="s">
        <v>103</v>
      </c>
      <c r="D1134">
        <f t="shared" si="508"/>
        <v>3</v>
      </c>
      <c r="E1134" s="42">
        <f t="shared" ca="1" si="499"/>
        <v>19</v>
      </c>
      <c r="F1134" t="str">
        <f t="shared" ca="1" si="500"/>
        <v>第10级，共造成146.1%点伤害</v>
      </c>
      <c r="G1134">
        <f t="shared" ca="1" si="509"/>
        <v>2</v>
      </c>
      <c r="H1134">
        <f t="shared" si="510"/>
        <v>2</v>
      </c>
      <c r="I1134" s="44">
        <f t="shared" ca="1" si="511"/>
        <v>10</v>
      </c>
      <c r="J1134">
        <f t="shared" si="512"/>
        <v>2</v>
      </c>
      <c r="K1134" s="36">
        <f t="shared" ca="1" si="513"/>
        <v>73.071428571428569</v>
      </c>
      <c r="L1134" s="10">
        <f ca="1">AH1134*VLOOKUP(C1134,技能辅助查询表,技能配置辅助表!$T$1,FALSE)</f>
        <v>0</v>
      </c>
      <c r="M1134">
        <f t="shared" ca="1" si="497"/>
        <v>7200</v>
      </c>
      <c r="N1134" s="33">
        <f ca="1">CHOOSE(1,W1134*U1134,X1134*'[1]0、经济设定'!$C$18)</f>
        <v>1106</v>
      </c>
      <c r="O1134">
        <f t="shared" si="514"/>
        <v>2</v>
      </c>
      <c r="P1134">
        <f t="shared" si="515"/>
        <v>2</v>
      </c>
      <c r="Q1134">
        <f t="shared" si="516"/>
        <v>1</v>
      </c>
      <c r="R1134" s="2">
        <f t="shared" si="517"/>
        <v>4</v>
      </c>
      <c r="S1134" s="2">
        <f t="shared" si="518"/>
        <v>50</v>
      </c>
      <c r="T1134" s="2">
        <f t="shared" si="519"/>
        <v>66.428571428571431</v>
      </c>
      <c r="U1134" s="2">
        <f ca="1">VLOOKUP(E1134,金币生产率!$A$2:$B$120,2,0)</f>
        <v>158</v>
      </c>
      <c r="V1134" s="2">
        <f t="shared" si="520"/>
        <v>132.85714285714286</v>
      </c>
      <c r="W1134" s="45">
        <f t="shared" ca="1" si="504"/>
        <v>7</v>
      </c>
      <c r="X1134" s="48">
        <f t="shared" ca="1" si="505"/>
        <v>51</v>
      </c>
      <c r="Y1134">
        <f t="shared" si="498"/>
        <v>18</v>
      </c>
      <c r="Z1134">
        <f t="shared" ca="1" si="501"/>
        <v>0</v>
      </c>
      <c r="AA1134" t="str">
        <f t="shared" ca="1" si="521"/>
        <v>9322200.png</v>
      </c>
      <c r="AB1134">
        <f t="shared" si="522"/>
        <v>10</v>
      </c>
      <c r="AC1134">
        <f>VLOOKUP(C1134,技能辅助查询表,技能配置辅助表!$W$1,FALSE)</f>
        <v>5331</v>
      </c>
      <c r="AD1134">
        <f t="shared" ca="1" si="502"/>
        <v>3.9141748784447672</v>
      </c>
      <c r="AE1134">
        <f>VLOOKUP(C1134,技能辅助查询表,技能配置辅助表!$U$1,FALSE)</f>
        <v>4</v>
      </c>
      <c r="AF1134">
        <f t="shared" ca="1" si="523"/>
        <v>9322210</v>
      </c>
      <c r="AG1134">
        <f t="shared" ca="1" si="524"/>
        <v>17.95918367346939</v>
      </c>
      <c r="AH1134">
        <f t="shared" ca="1" si="503"/>
        <v>42.413659673550121</v>
      </c>
      <c r="AI1134">
        <f ca="1">VLOOKUP(E1134,伤害参考系!$C$4:$E$104,3,FALSE)*$AN$12</f>
        <v>576.22842391304346</v>
      </c>
      <c r="AJ1134">
        <f>VLOOKUP(C1134,技能辅助查询表,技能配置辅助表!$L$1,FALSE)</f>
        <v>2</v>
      </c>
      <c r="AK1134">
        <f>VLOOKUP(C1134,技能辅助查询表,技能配置辅助表!$AE$1,FALSE)</f>
        <v>66000550</v>
      </c>
    </row>
    <row r="1135" spans="1:37" x14ac:dyDescent="0.15">
      <c r="A1135" s="1">
        <f t="shared" ca="1" si="506"/>
        <v>9322211</v>
      </c>
      <c r="B1135" s="1" t="str">
        <f t="shared" ca="1" si="507"/>
        <v>玫瑰之舞第2段</v>
      </c>
      <c r="C1135" t="s">
        <v>103</v>
      </c>
      <c r="D1135">
        <f t="shared" si="508"/>
        <v>3</v>
      </c>
      <c r="E1135" s="42">
        <f t="shared" ca="1" si="499"/>
        <v>21</v>
      </c>
      <c r="F1135" t="str">
        <f t="shared" ca="1" si="500"/>
        <v>第11级，共造成147.5%点伤害</v>
      </c>
      <c r="G1135">
        <f t="shared" ca="1" si="509"/>
        <v>2</v>
      </c>
      <c r="H1135">
        <f t="shared" si="510"/>
        <v>2</v>
      </c>
      <c r="I1135" s="44">
        <f t="shared" ca="1" si="511"/>
        <v>11</v>
      </c>
      <c r="J1135">
        <f t="shared" si="512"/>
        <v>2</v>
      </c>
      <c r="K1135" s="36">
        <f t="shared" ca="1" si="513"/>
        <v>73.735714285714295</v>
      </c>
      <c r="L1135" s="10">
        <f ca="1">AH1135*VLOOKUP(C1135,技能辅助查询表,技能配置辅助表!$T$1,FALSE)</f>
        <v>0</v>
      </c>
      <c r="M1135">
        <f t="shared" ca="1" si="497"/>
        <v>7120</v>
      </c>
      <c r="N1135" s="33">
        <f ca="1">CHOOSE(1,W1135*U1135,X1135*'[1]0、经济设定'!$C$18)</f>
        <v>1470</v>
      </c>
      <c r="O1135">
        <f t="shared" si="514"/>
        <v>2</v>
      </c>
      <c r="P1135">
        <f t="shared" si="515"/>
        <v>2</v>
      </c>
      <c r="Q1135">
        <f t="shared" si="516"/>
        <v>1</v>
      </c>
      <c r="R1135" s="2">
        <f t="shared" si="517"/>
        <v>4</v>
      </c>
      <c r="S1135" s="2">
        <f t="shared" si="518"/>
        <v>50</v>
      </c>
      <c r="T1135" s="2">
        <f t="shared" si="519"/>
        <v>66.428571428571431</v>
      </c>
      <c r="U1135" s="2">
        <f ca="1">VLOOKUP(E1135,金币生产率!$A$2:$B$120,2,0)</f>
        <v>210</v>
      </c>
      <c r="V1135" s="2">
        <f t="shared" si="520"/>
        <v>132.85714285714286</v>
      </c>
      <c r="W1135" s="45">
        <f t="shared" ca="1" si="504"/>
        <v>7</v>
      </c>
      <c r="X1135" s="48">
        <f t="shared" ca="1" si="505"/>
        <v>58</v>
      </c>
      <c r="Y1135">
        <f t="shared" si="498"/>
        <v>18</v>
      </c>
      <c r="Z1135">
        <f t="shared" ca="1" si="501"/>
        <v>0</v>
      </c>
      <c r="AA1135" t="str">
        <f t="shared" ca="1" si="521"/>
        <v>9322200.png</v>
      </c>
      <c r="AB1135">
        <f t="shared" si="522"/>
        <v>10</v>
      </c>
      <c r="AC1135">
        <f>VLOOKUP(C1135,技能辅助查询表,技能配置辅助表!$W$1,FALSE)</f>
        <v>5331</v>
      </c>
      <c r="AD1135">
        <f t="shared" ca="1" si="502"/>
        <v>4.5845428737205722</v>
      </c>
      <c r="AE1135">
        <f>VLOOKUP(C1135,技能辅助查询表,技能配置辅助表!$U$1,FALSE)</f>
        <v>4</v>
      </c>
      <c r="AF1135">
        <f t="shared" ca="1" si="523"/>
        <v>9322211</v>
      </c>
      <c r="AG1135">
        <f t="shared" ca="1" si="524"/>
        <v>19.510204081632651</v>
      </c>
      <c r="AH1135">
        <f t="shared" ca="1" si="503"/>
        <v>48.287391086433935</v>
      </c>
      <c r="AI1135">
        <f ca="1">VLOOKUP(E1135,伤害参考系!$C$4:$E$104,3,FALSE)*$AN$12</f>
        <v>691.69255434782622</v>
      </c>
      <c r="AJ1135">
        <f>VLOOKUP(C1135,技能辅助查询表,技能配置辅助表!$L$1,FALSE)</f>
        <v>2</v>
      </c>
      <c r="AK1135">
        <f>VLOOKUP(C1135,技能辅助查询表,技能配置辅助表!$AE$1,FALSE)</f>
        <v>66000550</v>
      </c>
    </row>
    <row r="1136" spans="1:37" x14ac:dyDescent="0.15">
      <c r="A1136" s="1">
        <f t="shared" ca="1" si="506"/>
        <v>9322212</v>
      </c>
      <c r="B1136" s="1" t="str">
        <f t="shared" ca="1" si="507"/>
        <v>玫瑰之舞第2段</v>
      </c>
      <c r="C1136" t="s">
        <v>103</v>
      </c>
      <c r="D1136">
        <f t="shared" si="508"/>
        <v>3</v>
      </c>
      <c r="E1136" s="42">
        <f t="shared" ca="1" si="499"/>
        <v>22</v>
      </c>
      <c r="F1136" t="str">
        <f t="shared" ca="1" si="500"/>
        <v>第12级，共造成148.8%点伤害</v>
      </c>
      <c r="G1136">
        <f t="shared" ca="1" si="509"/>
        <v>2</v>
      </c>
      <c r="H1136">
        <f t="shared" si="510"/>
        <v>2</v>
      </c>
      <c r="I1136" s="44">
        <f t="shared" ca="1" si="511"/>
        <v>12</v>
      </c>
      <c r="J1136">
        <f t="shared" si="512"/>
        <v>2</v>
      </c>
      <c r="K1136" s="36">
        <f t="shared" ca="1" si="513"/>
        <v>74.400000000000006</v>
      </c>
      <c r="L1136" s="10">
        <f ca="1">AH1136*VLOOKUP(C1136,技能辅助查询表,技能配置辅助表!$T$1,FALSE)</f>
        <v>0</v>
      </c>
      <c r="M1136">
        <f t="shared" ca="1" si="497"/>
        <v>7040</v>
      </c>
      <c r="N1136" s="33">
        <f ca="1">CHOOSE(1,W1136*U1136,X1136*'[1]0、经济设定'!$C$18)</f>
        <v>1912</v>
      </c>
      <c r="O1136">
        <f t="shared" si="514"/>
        <v>2</v>
      </c>
      <c r="P1136">
        <f t="shared" si="515"/>
        <v>2</v>
      </c>
      <c r="Q1136">
        <f t="shared" si="516"/>
        <v>1</v>
      </c>
      <c r="R1136" s="2">
        <f t="shared" si="517"/>
        <v>4</v>
      </c>
      <c r="S1136" s="2">
        <f t="shared" si="518"/>
        <v>50</v>
      </c>
      <c r="T1136" s="2">
        <f t="shared" si="519"/>
        <v>66.428571428571431</v>
      </c>
      <c r="U1136" s="2">
        <f ca="1">VLOOKUP(E1136,金币生产率!$A$2:$B$120,2,0)</f>
        <v>239</v>
      </c>
      <c r="V1136" s="2">
        <f t="shared" si="520"/>
        <v>132.85714285714286</v>
      </c>
      <c r="W1136" s="45">
        <f t="shared" ca="1" si="504"/>
        <v>8</v>
      </c>
      <c r="X1136" s="48">
        <f t="shared" ca="1" si="505"/>
        <v>66</v>
      </c>
      <c r="Y1136">
        <f t="shared" si="498"/>
        <v>18</v>
      </c>
      <c r="Z1136">
        <f t="shared" ca="1" si="501"/>
        <v>0</v>
      </c>
      <c r="AA1136" t="str">
        <f t="shared" ca="1" si="521"/>
        <v>9322200.png</v>
      </c>
      <c r="AB1136">
        <f t="shared" si="522"/>
        <v>10</v>
      </c>
      <c r="AC1136">
        <f>VLOOKUP(C1136,技能辅助查询表,技能配置辅助表!$W$1,FALSE)</f>
        <v>5331</v>
      </c>
      <c r="AD1136">
        <f t="shared" ca="1" si="502"/>
        <v>5.3655167324383752</v>
      </c>
      <c r="AE1136">
        <f>VLOOKUP(C1136,技能辅助查询表,技能配置辅助表!$U$1,FALSE)</f>
        <v>4</v>
      </c>
      <c r="AF1136">
        <f t="shared" ca="1" si="523"/>
        <v>9322212</v>
      </c>
      <c r="AG1136">
        <f t="shared" ca="1" si="524"/>
        <v>21.061224489795919</v>
      </c>
      <c r="AH1136">
        <f t="shared" ca="1" si="503"/>
        <v>54.974556684819426</v>
      </c>
      <c r="AI1136">
        <f ca="1">VLOOKUP(E1136,伤害参考系!$C$4:$E$104,3,FALSE)*$AN$12</f>
        <v>753.08869565217401</v>
      </c>
      <c r="AJ1136">
        <f>VLOOKUP(C1136,技能辅助查询表,技能配置辅助表!$L$1,FALSE)</f>
        <v>2</v>
      </c>
      <c r="AK1136">
        <f>VLOOKUP(C1136,技能辅助查询表,技能配置辅助表!$AE$1,FALSE)</f>
        <v>66000550</v>
      </c>
    </row>
    <row r="1137" spans="1:37" x14ac:dyDescent="0.15">
      <c r="A1137" s="1">
        <f t="shared" ca="1" si="506"/>
        <v>9322213</v>
      </c>
      <c r="B1137" s="1" t="str">
        <f t="shared" ca="1" si="507"/>
        <v>玫瑰之舞第2段</v>
      </c>
      <c r="C1137" t="s">
        <v>103</v>
      </c>
      <c r="D1137">
        <f t="shared" si="508"/>
        <v>3</v>
      </c>
      <c r="E1137" s="42">
        <f t="shared" ca="1" si="499"/>
        <v>24</v>
      </c>
      <c r="F1137" t="str">
        <f t="shared" ca="1" si="500"/>
        <v>第13级，共造成150.1%点伤害</v>
      </c>
      <c r="G1137">
        <f t="shared" ca="1" si="509"/>
        <v>2</v>
      </c>
      <c r="H1137">
        <f t="shared" si="510"/>
        <v>2</v>
      </c>
      <c r="I1137" s="44">
        <f t="shared" ca="1" si="511"/>
        <v>13</v>
      </c>
      <c r="J1137">
        <f t="shared" si="512"/>
        <v>2</v>
      </c>
      <c r="K1137" s="36">
        <f t="shared" ca="1" si="513"/>
        <v>75.064285714285717</v>
      </c>
      <c r="L1137" s="39">
        <f ca="1">AH1137*VLOOKUP(C1137,技能辅助查询表,技能配置辅助表!$T$1,FALSE)</f>
        <v>0</v>
      </c>
      <c r="M1137">
        <f t="shared" ca="1" si="497"/>
        <v>6960</v>
      </c>
      <c r="N1137" s="33">
        <f ca="1">CHOOSE(1,W1137*U1137,X1137*'[1]0、经济设定'!$C$18)</f>
        <v>2416</v>
      </c>
      <c r="O1137">
        <f t="shared" si="514"/>
        <v>2</v>
      </c>
      <c r="P1137">
        <f t="shared" si="515"/>
        <v>2</v>
      </c>
      <c r="Q1137">
        <f t="shared" si="516"/>
        <v>1</v>
      </c>
      <c r="R1137" s="2">
        <f t="shared" si="517"/>
        <v>4</v>
      </c>
      <c r="S1137" s="2">
        <f t="shared" si="518"/>
        <v>50</v>
      </c>
      <c r="T1137" s="2">
        <f t="shared" si="519"/>
        <v>66.428571428571431</v>
      </c>
      <c r="U1137" s="2">
        <f ca="1">VLOOKUP(E1137,金币生产率!$A$2:$B$120,2,0)</f>
        <v>302</v>
      </c>
      <c r="V1137" s="2">
        <f t="shared" si="520"/>
        <v>132.85714285714286</v>
      </c>
      <c r="W1137" s="45">
        <f t="shared" ca="1" si="504"/>
        <v>8</v>
      </c>
      <c r="X1137" s="48">
        <f t="shared" ca="1" si="505"/>
        <v>74</v>
      </c>
      <c r="Y1137">
        <f t="shared" si="498"/>
        <v>18</v>
      </c>
      <c r="Z1137">
        <f t="shared" ca="1" si="501"/>
        <v>0</v>
      </c>
      <c r="AA1137" t="str">
        <f t="shared" ca="1" si="521"/>
        <v>9322200.png</v>
      </c>
      <c r="AB1137">
        <f t="shared" si="522"/>
        <v>10</v>
      </c>
      <c r="AC1137">
        <f>VLOOKUP(C1137,技能辅助查询表,技能配置辅助表!$W$1,FALSE)</f>
        <v>5331</v>
      </c>
      <c r="AD1137">
        <f t="shared" ca="1" si="502"/>
        <v>6.2748746428204898</v>
      </c>
      <c r="AE1137">
        <f>VLOOKUP(C1137,技能辅助查询表,技能配置辅助表!$U$1,FALSE)</f>
        <v>4</v>
      </c>
      <c r="AF1137">
        <f t="shared" ca="1" si="523"/>
        <v>9322213</v>
      </c>
      <c r="AG1137">
        <f t="shared" ca="1" si="524"/>
        <v>22.612244897959183</v>
      </c>
      <c r="AH1137">
        <f t="shared" ca="1" si="503"/>
        <v>62.587806354721323</v>
      </c>
      <c r="AI1137">
        <f ca="1">VLOOKUP(E1137,伤害参考系!$C$4:$E$104,3,FALSE)*$AN$12</f>
        <v>914.59374581939801</v>
      </c>
      <c r="AJ1137">
        <f>VLOOKUP(C1137,技能辅助查询表,技能配置辅助表!$L$1,FALSE)</f>
        <v>2</v>
      </c>
      <c r="AK1137">
        <f>VLOOKUP(C1137,技能辅助查询表,技能配置辅助表!$AE$1,FALSE)</f>
        <v>66000550</v>
      </c>
    </row>
    <row r="1138" spans="1:37" x14ac:dyDescent="0.15">
      <c r="A1138" s="1">
        <f t="shared" ca="1" si="506"/>
        <v>9322214</v>
      </c>
      <c r="B1138" s="1" t="str">
        <f t="shared" ca="1" si="507"/>
        <v>玫瑰之舞第2段</v>
      </c>
      <c r="C1138" t="s">
        <v>103</v>
      </c>
      <c r="D1138">
        <f t="shared" si="508"/>
        <v>3</v>
      </c>
      <c r="E1138" s="42">
        <f t="shared" ca="1" si="499"/>
        <v>25</v>
      </c>
      <c r="F1138" t="str">
        <f t="shared" ca="1" si="500"/>
        <v>第14级，共造成151.5%点伤害</v>
      </c>
      <c r="G1138">
        <f t="shared" ca="1" si="509"/>
        <v>2</v>
      </c>
      <c r="H1138">
        <f t="shared" si="510"/>
        <v>2</v>
      </c>
      <c r="I1138" s="44">
        <f t="shared" ca="1" si="511"/>
        <v>14</v>
      </c>
      <c r="J1138">
        <f t="shared" si="512"/>
        <v>2</v>
      </c>
      <c r="K1138" s="36">
        <f t="shared" ca="1" si="513"/>
        <v>75.728571428571428</v>
      </c>
      <c r="L1138" s="10">
        <f ca="1">AH1138*VLOOKUP(C1138,技能辅助查询表,技能配置辅助表!$T$1,FALSE)</f>
        <v>0</v>
      </c>
      <c r="M1138">
        <f t="shared" ca="1" si="497"/>
        <v>6880</v>
      </c>
      <c r="N1138" s="33">
        <f ca="1">CHOOSE(1,W1138*U1138,X1138*'[1]0、经济设定'!$C$18)</f>
        <v>3015</v>
      </c>
      <c r="O1138">
        <f t="shared" si="514"/>
        <v>2</v>
      </c>
      <c r="P1138">
        <f t="shared" si="515"/>
        <v>2</v>
      </c>
      <c r="Q1138">
        <f t="shared" si="516"/>
        <v>1</v>
      </c>
      <c r="R1138" s="2">
        <f t="shared" si="517"/>
        <v>4</v>
      </c>
      <c r="S1138" s="2">
        <f t="shared" si="518"/>
        <v>50</v>
      </c>
      <c r="T1138" s="2">
        <f t="shared" si="519"/>
        <v>66.428571428571431</v>
      </c>
      <c r="U1138" s="2">
        <f ca="1">VLOOKUP(E1138,金币生产率!$A$2:$B$120,2,0)</f>
        <v>335</v>
      </c>
      <c r="V1138" s="2">
        <f t="shared" si="520"/>
        <v>132.85714285714286</v>
      </c>
      <c r="W1138" s="45">
        <f t="shared" ca="1" si="504"/>
        <v>9</v>
      </c>
      <c r="X1138" s="48">
        <f t="shared" ca="1" si="505"/>
        <v>83</v>
      </c>
      <c r="Y1138">
        <f t="shared" si="498"/>
        <v>18</v>
      </c>
      <c r="Z1138">
        <f t="shared" ca="1" si="501"/>
        <v>0</v>
      </c>
      <c r="AA1138" t="str">
        <f t="shared" ca="1" si="521"/>
        <v>9322200.png</v>
      </c>
      <c r="AB1138">
        <f t="shared" si="522"/>
        <v>10</v>
      </c>
      <c r="AC1138">
        <f>VLOOKUP(C1138,技能辅助查询表,技能配置辅助表!$W$1,FALSE)</f>
        <v>5331</v>
      </c>
      <c r="AD1138">
        <f t="shared" ca="1" si="502"/>
        <v>7.3331976168899811</v>
      </c>
      <c r="AE1138">
        <f>VLOOKUP(C1138,技能辅助查询表,技能配置辅助表!$U$1,FALSE)</f>
        <v>4</v>
      </c>
      <c r="AF1138">
        <f t="shared" ca="1" si="523"/>
        <v>9322214</v>
      </c>
      <c r="AG1138">
        <f t="shared" ca="1" si="524"/>
        <v>24.163265306122447</v>
      </c>
      <c r="AH1138">
        <f t="shared" ca="1" si="503"/>
        <v>71.25539050281769</v>
      </c>
      <c r="AI1138">
        <f ca="1">VLOOKUP(E1138,伤害参考系!$C$4:$E$104,3,FALSE)*$AN$12</f>
        <v>1000.3949623745822</v>
      </c>
      <c r="AJ1138">
        <f>VLOOKUP(C1138,技能辅助查询表,技能配置辅助表!$L$1,FALSE)</f>
        <v>2</v>
      </c>
      <c r="AK1138">
        <f>VLOOKUP(C1138,技能辅助查询表,技能配置辅助表!$AE$1,FALSE)</f>
        <v>66000550</v>
      </c>
    </row>
    <row r="1139" spans="1:37" x14ac:dyDescent="0.15">
      <c r="A1139" s="1">
        <f t="shared" ca="1" si="506"/>
        <v>9322215</v>
      </c>
      <c r="B1139" s="1" t="str">
        <f t="shared" ca="1" si="507"/>
        <v>玫瑰之舞第2段</v>
      </c>
      <c r="C1139" t="s">
        <v>103</v>
      </c>
      <c r="D1139">
        <f t="shared" si="508"/>
        <v>3</v>
      </c>
      <c r="E1139" s="42">
        <f t="shared" ca="1" si="499"/>
        <v>27</v>
      </c>
      <c r="F1139" t="str">
        <f t="shared" ca="1" si="500"/>
        <v>第15级，共造成152.8%点伤害</v>
      </c>
      <c r="G1139">
        <f t="shared" ca="1" si="509"/>
        <v>2</v>
      </c>
      <c r="H1139">
        <f t="shared" si="510"/>
        <v>2</v>
      </c>
      <c r="I1139" s="44">
        <f t="shared" ca="1" si="511"/>
        <v>15</v>
      </c>
      <c r="J1139">
        <f t="shared" si="512"/>
        <v>2</v>
      </c>
      <c r="K1139" s="36">
        <f t="shared" ca="1" si="513"/>
        <v>76.392857142857139</v>
      </c>
      <c r="L1139" s="10">
        <f ca="1">AH1139*VLOOKUP(C1139,技能辅助查询表,技能配置辅助表!$T$1,FALSE)</f>
        <v>0</v>
      </c>
      <c r="M1139">
        <f t="shared" ca="1" si="497"/>
        <v>6800</v>
      </c>
      <c r="N1139" s="33">
        <f ca="1">CHOOSE(1,W1139*U1139,X1139*'[1]0、经济设定'!$C$18)</f>
        <v>4060</v>
      </c>
      <c r="O1139">
        <f t="shared" si="514"/>
        <v>2</v>
      </c>
      <c r="P1139">
        <f t="shared" si="515"/>
        <v>2</v>
      </c>
      <c r="Q1139">
        <f t="shared" si="516"/>
        <v>1</v>
      </c>
      <c r="R1139" s="2">
        <f t="shared" si="517"/>
        <v>4</v>
      </c>
      <c r="S1139" s="2">
        <f t="shared" si="518"/>
        <v>50</v>
      </c>
      <c r="T1139" s="2">
        <f t="shared" si="519"/>
        <v>66.428571428571431</v>
      </c>
      <c r="U1139" s="2">
        <f ca="1">VLOOKUP(E1139,金币生产率!$A$2:$B$120,2,0)</f>
        <v>406</v>
      </c>
      <c r="V1139" s="2">
        <f t="shared" si="520"/>
        <v>132.85714285714286</v>
      </c>
      <c r="W1139" s="45">
        <f t="shared" ca="1" si="504"/>
        <v>10</v>
      </c>
      <c r="X1139" s="48">
        <f t="shared" ca="1" si="505"/>
        <v>93</v>
      </c>
      <c r="Y1139">
        <f t="shared" si="498"/>
        <v>18</v>
      </c>
      <c r="Z1139">
        <f t="shared" ca="1" si="501"/>
        <v>0</v>
      </c>
      <c r="AA1139" t="str">
        <f t="shared" ca="1" si="521"/>
        <v>9322200.png</v>
      </c>
      <c r="AB1139">
        <f t="shared" si="522"/>
        <v>10</v>
      </c>
      <c r="AC1139">
        <f>VLOOKUP(C1139,技能辅助查询表,技能配置辅助表!$W$1,FALSE)</f>
        <v>5331</v>
      </c>
      <c r="AD1139">
        <f t="shared" ca="1" si="502"/>
        <v>8.5643048380094804</v>
      </c>
      <c r="AE1139">
        <f>VLOOKUP(C1139,技能辅助查询表,技能配置辅助表!$U$1,FALSE)</f>
        <v>4</v>
      </c>
      <c r="AF1139">
        <f t="shared" ca="1" si="523"/>
        <v>9322215</v>
      </c>
      <c r="AG1139">
        <f t="shared" ca="1" si="524"/>
        <v>25.714285714285715</v>
      </c>
      <c r="AH1139">
        <f t="shared" ca="1" si="503"/>
        <v>81.123320522417259</v>
      </c>
      <c r="AI1139">
        <f ca="1">VLOOKUP(E1139,伤害参考系!$C$4:$E$104,3,FALSE)*$AN$12</f>
        <v>1210.5107784280938</v>
      </c>
      <c r="AJ1139">
        <f>VLOOKUP(C1139,技能辅助查询表,技能配置辅助表!$L$1,FALSE)</f>
        <v>2</v>
      </c>
      <c r="AK1139">
        <f>VLOOKUP(C1139,技能辅助查询表,技能配置辅助表!$AE$1,FALSE)</f>
        <v>66000550</v>
      </c>
    </row>
    <row r="1140" spans="1:37" x14ac:dyDescent="0.15">
      <c r="A1140" s="1">
        <f t="shared" ca="1" si="506"/>
        <v>9322216</v>
      </c>
      <c r="B1140" s="1" t="str">
        <f t="shared" ca="1" si="507"/>
        <v>玫瑰之舞第2段</v>
      </c>
      <c r="C1140" t="s">
        <v>103</v>
      </c>
      <c r="D1140">
        <f t="shared" si="508"/>
        <v>3</v>
      </c>
      <c r="E1140" s="42">
        <f t="shared" ca="1" si="499"/>
        <v>28</v>
      </c>
      <c r="F1140" t="str">
        <f t="shared" ca="1" si="500"/>
        <v>第16级，共造成154.1%点伤害</v>
      </c>
      <c r="G1140">
        <f t="shared" ca="1" si="509"/>
        <v>2</v>
      </c>
      <c r="H1140">
        <f t="shared" si="510"/>
        <v>2</v>
      </c>
      <c r="I1140" s="44">
        <f t="shared" ca="1" si="511"/>
        <v>16</v>
      </c>
      <c r="J1140">
        <f t="shared" si="512"/>
        <v>2</v>
      </c>
      <c r="K1140" s="36">
        <f t="shared" ca="1" si="513"/>
        <v>77.057142857142864</v>
      </c>
      <c r="L1140" s="10">
        <f ca="1">AH1140*VLOOKUP(C1140,技能辅助查询表,技能配置辅助表!$T$1,FALSE)</f>
        <v>0</v>
      </c>
      <c r="M1140">
        <f t="shared" ca="1" si="497"/>
        <v>6720</v>
      </c>
      <c r="N1140" s="33">
        <f ca="1">CHOOSE(1,W1140*U1140,X1140*'[1]0、经济设定'!$C$18)</f>
        <v>4430</v>
      </c>
      <c r="O1140">
        <f t="shared" si="514"/>
        <v>2</v>
      </c>
      <c r="P1140">
        <f t="shared" si="515"/>
        <v>2</v>
      </c>
      <c r="Q1140">
        <f t="shared" si="516"/>
        <v>1</v>
      </c>
      <c r="R1140" s="2">
        <f t="shared" si="517"/>
        <v>4</v>
      </c>
      <c r="S1140" s="2">
        <f t="shared" si="518"/>
        <v>50</v>
      </c>
      <c r="T1140" s="2">
        <f t="shared" si="519"/>
        <v>66.428571428571431</v>
      </c>
      <c r="U1140" s="2">
        <f ca="1">VLOOKUP(E1140,金币生产率!$A$2:$B$120,2,0)</f>
        <v>443</v>
      </c>
      <c r="V1140" s="2">
        <f t="shared" si="520"/>
        <v>132.85714285714286</v>
      </c>
      <c r="W1140" s="45">
        <f t="shared" ca="1" si="504"/>
        <v>10</v>
      </c>
      <c r="X1140" s="48">
        <f t="shared" ca="1" si="505"/>
        <v>103</v>
      </c>
      <c r="Y1140">
        <f t="shared" si="498"/>
        <v>18</v>
      </c>
      <c r="Z1140">
        <f t="shared" ca="1" si="501"/>
        <v>0</v>
      </c>
      <c r="AA1140" t="str">
        <f t="shared" ca="1" si="521"/>
        <v>9322200.png</v>
      </c>
      <c r="AB1140">
        <f t="shared" si="522"/>
        <v>10</v>
      </c>
      <c r="AC1140">
        <f>VLOOKUP(C1140,技能辅助查询表,技能配置辅助表!$W$1,FALSE)</f>
        <v>5331</v>
      </c>
      <c r="AD1140">
        <f t="shared" ca="1" si="502"/>
        <v>9.9957558339746306</v>
      </c>
      <c r="AE1140">
        <f>VLOOKUP(C1140,技能辅助查询表,技能配置辅助表!$U$1,FALSE)</f>
        <v>4</v>
      </c>
      <c r="AF1140">
        <f t="shared" ca="1" si="523"/>
        <v>9322216</v>
      </c>
      <c r="AG1140">
        <f t="shared" ca="1" si="524"/>
        <v>27.26530612244898</v>
      </c>
      <c r="AH1140">
        <f t="shared" ca="1" si="503"/>
        <v>92.357828455414989</v>
      </c>
      <c r="AI1140">
        <f ca="1">VLOOKUP(E1140,伤害参考系!$C$4:$E$104,3,FALSE)*$AN$12</f>
        <v>1321.7693779264216</v>
      </c>
      <c r="AJ1140">
        <f>VLOOKUP(C1140,技能辅助查询表,技能配置辅助表!$L$1,FALSE)</f>
        <v>2</v>
      </c>
      <c r="AK1140">
        <f>VLOOKUP(C1140,技能辅助查询表,技能配置辅助表!$AE$1,FALSE)</f>
        <v>66000550</v>
      </c>
    </row>
    <row r="1141" spans="1:37" x14ac:dyDescent="0.15">
      <c r="A1141" s="1">
        <f t="shared" ca="1" si="506"/>
        <v>9322217</v>
      </c>
      <c r="B1141" s="1" t="str">
        <f t="shared" ca="1" si="507"/>
        <v>玫瑰之舞第2段</v>
      </c>
      <c r="C1141" t="s">
        <v>103</v>
      </c>
      <c r="D1141">
        <f t="shared" si="508"/>
        <v>3</v>
      </c>
      <c r="E1141" s="42">
        <f t="shared" ca="1" si="499"/>
        <v>30</v>
      </c>
      <c r="F1141" t="str">
        <f t="shared" ca="1" si="500"/>
        <v>第17级，共造成155.4%点伤害</v>
      </c>
      <c r="G1141">
        <f t="shared" ca="1" si="509"/>
        <v>2</v>
      </c>
      <c r="H1141">
        <f t="shared" si="510"/>
        <v>2</v>
      </c>
      <c r="I1141" s="44">
        <f t="shared" ca="1" si="511"/>
        <v>17</v>
      </c>
      <c r="J1141">
        <f t="shared" si="512"/>
        <v>2</v>
      </c>
      <c r="K1141" s="36">
        <f t="shared" ca="1" si="513"/>
        <v>77.721428571428575</v>
      </c>
      <c r="L1141" s="10">
        <f ca="1">AH1141*VLOOKUP(C1141,技能辅助查询表,技能配置辅助表!$T$1,FALSE)</f>
        <v>0</v>
      </c>
      <c r="M1141">
        <f t="shared" ca="1" si="497"/>
        <v>6640</v>
      </c>
      <c r="N1141" s="33">
        <f ca="1">CHOOSE(1,W1141*U1141,X1141*'[1]0、经济设定'!$C$18)</f>
        <v>5742</v>
      </c>
      <c r="O1141">
        <f t="shared" si="514"/>
        <v>2</v>
      </c>
      <c r="P1141">
        <f t="shared" si="515"/>
        <v>2</v>
      </c>
      <c r="Q1141">
        <f t="shared" si="516"/>
        <v>1</v>
      </c>
      <c r="R1141" s="2">
        <f t="shared" si="517"/>
        <v>4</v>
      </c>
      <c r="S1141" s="2">
        <f t="shared" si="518"/>
        <v>50</v>
      </c>
      <c r="T1141" s="2">
        <f t="shared" si="519"/>
        <v>66.428571428571431</v>
      </c>
      <c r="U1141" s="2">
        <f ca="1">VLOOKUP(E1141,金币生产率!$A$2:$B$120,2,0)</f>
        <v>522</v>
      </c>
      <c r="V1141" s="2">
        <f t="shared" si="520"/>
        <v>132.85714285714286</v>
      </c>
      <c r="W1141" s="45">
        <f t="shared" ca="1" si="504"/>
        <v>11</v>
      </c>
      <c r="X1141" s="48">
        <f t="shared" ca="1" si="505"/>
        <v>114</v>
      </c>
      <c r="Y1141">
        <f t="shared" si="498"/>
        <v>18</v>
      </c>
      <c r="Z1141">
        <f t="shared" ca="1" si="501"/>
        <v>0</v>
      </c>
      <c r="AA1141" t="str">
        <f t="shared" ca="1" si="521"/>
        <v>9322200.png</v>
      </c>
      <c r="AB1141">
        <f t="shared" si="522"/>
        <v>10</v>
      </c>
      <c r="AC1141">
        <f>VLOOKUP(C1141,技能辅助查询表,技能配置辅助表!$W$1,FALSE)</f>
        <v>5331</v>
      </c>
      <c r="AD1141">
        <f t="shared" ca="1" si="502"/>
        <v>11.659429635222889</v>
      </c>
      <c r="AE1141">
        <f>VLOOKUP(C1141,技能辅助查询表,技能配置辅助表!$U$1,FALSE)</f>
        <v>4</v>
      </c>
      <c r="AF1141">
        <f t="shared" ca="1" si="523"/>
        <v>9322217</v>
      </c>
      <c r="AG1141">
        <f t="shared" ca="1" si="524"/>
        <v>28.816326530612244</v>
      </c>
      <c r="AH1141">
        <f t="shared" ca="1" si="503"/>
        <v>105.14816728492683</v>
      </c>
      <c r="AI1141">
        <f ca="1">VLOOKUP(E1141,伤害参考系!$C$4:$E$104,3,FALSE)*$AN$12</f>
        <v>1576.1465593645489</v>
      </c>
      <c r="AJ1141">
        <f>VLOOKUP(C1141,技能辅助查询表,技能配置辅助表!$L$1,FALSE)</f>
        <v>2</v>
      </c>
      <c r="AK1141">
        <f>VLOOKUP(C1141,技能辅助查询表,技能配置辅助表!$AE$1,FALSE)</f>
        <v>66000550</v>
      </c>
    </row>
    <row r="1142" spans="1:37" x14ac:dyDescent="0.15">
      <c r="A1142" s="1">
        <f t="shared" ca="1" si="506"/>
        <v>9322218</v>
      </c>
      <c r="B1142" s="1" t="str">
        <f t="shared" ca="1" si="507"/>
        <v>玫瑰之舞第2段</v>
      </c>
      <c r="C1142" t="s">
        <v>103</v>
      </c>
      <c r="D1142">
        <f t="shared" si="508"/>
        <v>3</v>
      </c>
      <c r="E1142" s="42">
        <f t="shared" ca="1" si="499"/>
        <v>31</v>
      </c>
      <c r="F1142" t="str">
        <f t="shared" ca="1" si="500"/>
        <v>第18级，共造成156.8%点伤害</v>
      </c>
      <c r="G1142">
        <f t="shared" ca="1" si="509"/>
        <v>2</v>
      </c>
      <c r="H1142">
        <f t="shared" si="510"/>
        <v>2</v>
      </c>
      <c r="I1142" s="44">
        <f t="shared" ca="1" si="511"/>
        <v>18</v>
      </c>
      <c r="J1142">
        <f t="shared" si="512"/>
        <v>2</v>
      </c>
      <c r="K1142" s="36">
        <f t="shared" ca="1" si="513"/>
        <v>78.385714285714286</v>
      </c>
      <c r="L1142" s="10">
        <f ca="1">AH1142*VLOOKUP(C1142,技能辅助查询表,技能配置辅助表!$T$1,FALSE)</f>
        <v>0</v>
      </c>
      <c r="M1142">
        <f t="shared" ca="1" si="497"/>
        <v>6560</v>
      </c>
      <c r="N1142" s="33">
        <f ca="1">CHOOSE(1,W1142*U1142,X1142*'[1]0、经济设定'!$C$18)</f>
        <v>6756</v>
      </c>
      <c r="O1142">
        <f t="shared" si="514"/>
        <v>2</v>
      </c>
      <c r="P1142">
        <f t="shared" si="515"/>
        <v>2</v>
      </c>
      <c r="Q1142">
        <f t="shared" si="516"/>
        <v>1</v>
      </c>
      <c r="R1142" s="2">
        <f t="shared" si="517"/>
        <v>4</v>
      </c>
      <c r="S1142" s="2">
        <f t="shared" si="518"/>
        <v>50</v>
      </c>
      <c r="T1142" s="2">
        <f t="shared" si="519"/>
        <v>66.428571428571431</v>
      </c>
      <c r="U1142" s="2">
        <f ca="1">VLOOKUP(E1142,金币生产率!$A$2:$B$120,2,0)</f>
        <v>563</v>
      </c>
      <c r="V1142" s="2">
        <f t="shared" si="520"/>
        <v>132.85714285714286</v>
      </c>
      <c r="W1142" s="45">
        <f t="shared" ca="1" si="504"/>
        <v>12</v>
      </c>
      <c r="X1142" s="48">
        <f t="shared" ca="1" si="505"/>
        <v>126</v>
      </c>
      <c r="Y1142">
        <f t="shared" si="498"/>
        <v>18</v>
      </c>
      <c r="Z1142">
        <f t="shared" ca="1" si="501"/>
        <v>5</v>
      </c>
      <c r="AA1142" t="str">
        <f t="shared" ca="1" si="521"/>
        <v>9322200.png</v>
      </c>
      <c r="AB1142">
        <f t="shared" si="522"/>
        <v>10</v>
      </c>
      <c r="AC1142">
        <f>VLOOKUP(C1142,技能辅助查询表,技能配置辅助表!$W$1,FALSE)</f>
        <v>5331</v>
      </c>
      <c r="AD1142">
        <f t="shared" ca="1" si="502"/>
        <v>13.592192610028173</v>
      </c>
      <c r="AE1142">
        <f>VLOOKUP(C1142,技能辅助查询表,技能配置辅助表!$U$1,FALSE)</f>
        <v>4</v>
      </c>
      <c r="AF1142">
        <f t="shared" ca="1" si="523"/>
        <v>9322218</v>
      </c>
      <c r="AG1142">
        <f t="shared" ca="1" si="524"/>
        <v>30.367346938775512</v>
      </c>
      <c r="AH1142">
        <f t="shared" ca="1" si="503"/>
        <v>119.70979903145096</v>
      </c>
      <c r="AI1142">
        <f ca="1">VLOOKUP(E1142,伤害参考系!$C$4:$E$104,3,FALSE)*$AN$12</f>
        <v>1721.3320384615388</v>
      </c>
      <c r="AJ1142">
        <f>VLOOKUP(C1142,技能辅助查询表,技能配置辅助表!$L$1,FALSE)</f>
        <v>2</v>
      </c>
      <c r="AK1142">
        <f>VLOOKUP(C1142,技能辅助查询表,技能配置辅助表!$AE$1,FALSE)</f>
        <v>66000550</v>
      </c>
    </row>
    <row r="1143" spans="1:37" x14ac:dyDescent="0.15">
      <c r="A1143" s="1">
        <f t="shared" ca="1" si="506"/>
        <v>9322219</v>
      </c>
      <c r="B1143" s="1" t="str">
        <f t="shared" ca="1" si="507"/>
        <v>玫瑰之舞第2段</v>
      </c>
      <c r="C1143" t="s">
        <v>103</v>
      </c>
      <c r="D1143">
        <f t="shared" si="508"/>
        <v>3</v>
      </c>
      <c r="E1143" s="42">
        <f t="shared" ca="1" si="499"/>
        <v>33</v>
      </c>
      <c r="F1143" t="str">
        <f t="shared" ca="1" si="500"/>
        <v>第19级，共造成158.1%点伤害</v>
      </c>
      <c r="G1143">
        <f t="shared" ca="1" si="509"/>
        <v>2</v>
      </c>
      <c r="H1143">
        <f t="shared" si="510"/>
        <v>2</v>
      </c>
      <c r="I1143" s="44">
        <f t="shared" ca="1" si="511"/>
        <v>19</v>
      </c>
      <c r="J1143">
        <f t="shared" si="512"/>
        <v>2</v>
      </c>
      <c r="K1143" s="36">
        <f t="shared" ca="1" si="513"/>
        <v>79.05</v>
      </c>
      <c r="L1143" s="10">
        <f ca="1">AH1143*VLOOKUP(C1143,技能辅助查询表,技能配置辅助表!$T$1,FALSE)</f>
        <v>0</v>
      </c>
      <c r="M1143">
        <f t="shared" ca="1" si="497"/>
        <v>6480</v>
      </c>
      <c r="N1143" s="33">
        <f ca="1">CHOOSE(1,W1143*U1143,X1143*'[1]0、经济设定'!$C$18)</f>
        <v>8463</v>
      </c>
      <c r="O1143">
        <f t="shared" si="514"/>
        <v>2</v>
      </c>
      <c r="P1143">
        <f t="shared" si="515"/>
        <v>2</v>
      </c>
      <c r="Q1143">
        <f t="shared" si="516"/>
        <v>1</v>
      </c>
      <c r="R1143" s="2">
        <f t="shared" si="517"/>
        <v>4</v>
      </c>
      <c r="S1143" s="2">
        <f t="shared" si="518"/>
        <v>50</v>
      </c>
      <c r="T1143" s="2">
        <f t="shared" si="519"/>
        <v>66.428571428571431</v>
      </c>
      <c r="U1143" s="2">
        <f ca="1">VLOOKUP(E1143,金币生产率!$A$2:$B$120,2,0)</f>
        <v>651</v>
      </c>
      <c r="V1143" s="2">
        <f t="shared" si="520"/>
        <v>132.85714285714286</v>
      </c>
      <c r="W1143" s="45">
        <f t="shared" ca="1" si="504"/>
        <v>13</v>
      </c>
      <c r="X1143" s="48">
        <f t="shared" ca="1" si="505"/>
        <v>139</v>
      </c>
      <c r="Y1143">
        <f t="shared" si="498"/>
        <v>18</v>
      </c>
      <c r="Z1143">
        <f t="shared" ca="1" si="501"/>
        <v>6</v>
      </c>
      <c r="AA1143" t="str">
        <f t="shared" ca="1" si="521"/>
        <v>9322200.png</v>
      </c>
      <c r="AB1143">
        <f t="shared" si="522"/>
        <v>10</v>
      </c>
      <c r="AC1143">
        <f>VLOOKUP(C1143,技能辅助查询表,技能配置辅助表!$W$1,FALSE)</f>
        <v>5331</v>
      </c>
      <c r="AD1143">
        <f t="shared" ca="1" si="502"/>
        <v>15.836668430425249</v>
      </c>
      <c r="AE1143">
        <f>VLOOKUP(C1143,技能辅助查询表,技能配置辅助表!$U$1,FALSE)</f>
        <v>4</v>
      </c>
      <c r="AF1143">
        <f t="shared" ca="1" si="523"/>
        <v>9322219</v>
      </c>
      <c r="AG1143">
        <f t="shared" ca="1" si="524"/>
        <v>31.918367346938776</v>
      </c>
      <c r="AH1143">
        <f t="shared" ca="1" si="503"/>
        <v>136.28802435822078</v>
      </c>
      <c r="AI1143">
        <f ca="1">VLOOKUP(E1143,伤害参考系!$C$4:$E$104,3,FALSE)*$AN$12</f>
        <v>2031.7137667224088</v>
      </c>
      <c r="AJ1143">
        <f>VLOOKUP(C1143,技能辅助查询表,技能配置辅助表!$L$1,FALSE)</f>
        <v>2</v>
      </c>
      <c r="AK1143">
        <f>VLOOKUP(C1143,技能辅助查询表,技能配置辅助表!$AE$1,FALSE)</f>
        <v>66000550</v>
      </c>
    </row>
    <row r="1144" spans="1:37" x14ac:dyDescent="0.15">
      <c r="A1144" s="1">
        <f t="shared" ca="1" si="506"/>
        <v>9322220</v>
      </c>
      <c r="B1144" s="1" t="str">
        <f t="shared" ca="1" si="507"/>
        <v>玫瑰之舞第2段</v>
      </c>
      <c r="C1144" t="s">
        <v>103</v>
      </c>
      <c r="D1144">
        <f t="shared" si="508"/>
        <v>3</v>
      </c>
      <c r="E1144" s="42">
        <f t="shared" ca="1" si="499"/>
        <v>34</v>
      </c>
      <c r="F1144" t="str">
        <f t="shared" ca="1" si="500"/>
        <v>第20级，共造成159.4%点伤害</v>
      </c>
      <c r="G1144">
        <f t="shared" ca="1" si="509"/>
        <v>2</v>
      </c>
      <c r="H1144">
        <f t="shared" si="510"/>
        <v>2</v>
      </c>
      <c r="I1144" s="44">
        <f t="shared" ca="1" si="511"/>
        <v>20</v>
      </c>
      <c r="J1144">
        <f t="shared" si="512"/>
        <v>2</v>
      </c>
      <c r="K1144" s="36">
        <f t="shared" ca="1" si="513"/>
        <v>79.714285714285722</v>
      </c>
      <c r="L1144" s="10">
        <f ca="1">AH1144*VLOOKUP(C1144,技能辅助查询表,技能配置辅助表!$T$1,FALSE)</f>
        <v>0</v>
      </c>
      <c r="M1144">
        <f t="shared" ca="1" si="497"/>
        <v>6400</v>
      </c>
      <c r="N1144" s="33">
        <f ca="1">CHOOSE(1,W1144*U1144,X1144*'[1]0、经济设定'!$C$18)</f>
        <v>9048</v>
      </c>
      <c r="O1144">
        <f t="shared" si="514"/>
        <v>2</v>
      </c>
      <c r="P1144">
        <f t="shared" si="515"/>
        <v>2</v>
      </c>
      <c r="Q1144">
        <f t="shared" si="516"/>
        <v>1</v>
      </c>
      <c r="R1144" s="2">
        <f t="shared" si="517"/>
        <v>4</v>
      </c>
      <c r="S1144" s="2">
        <f t="shared" si="518"/>
        <v>50</v>
      </c>
      <c r="T1144" s="2">
        <f t="shared" si="519"/>
        <v>66.428571428571431</v>
      </c>
      <c r="U1144" s="2">
        <f ca="1">VLOOKUP(E1144,金币生产率!$A$2:$B$120,2,0)</f>
        <v>696</v>
      </c>
      <c r="V1144" s="2">
        <f t="shared" si="520"/>
        <v>132.85714285714286</v>
      </c>
      <c r="W1144" s="45">
        <f t="shared" ca="1" si="504"/>
        <v>13</v>
      </c>
      <c r="X1144" s="48">
        <f t="shared" ca="1" si="505"/>
        <v>152</v>
      </c>
      <c r="Y1144">
        <f t="shared" si="498"/>
        <v>18</v>
      </c>
      <c r="Z1144">
        <f t="shared" ca="1" si="501"/>
        <v>6</v>
      </c>
      <c r="AA1144" t="str">
        <f t="shared" ca="1" si="521"/>
        <v>9322200.png</v>
      </c>
      <c r="AB1144">
        <f t="shared" si="522"/>
        <v>10</v>
      </c>
      <c r="AC1144">
        <f>VLOOKUP(C1144,技能辅助查询表,技能配置辅助表!$W$1,FALSE)</f>
        <v>5331</v>
      </c>
      <c r="AD1144">
        <f t="shared" ca="1" si="502"/>
        <v>18.442125648239397</v>
      </c>
      <c r="AE1144">
        <f>VLOOKUP(C1144,技能辅助查询表,技能配置辅助表!$U$1,FALSE)</f>
        <v>4</v>
      </c>
      <c r="AF1144">
        <f t="shared" ca="1" si="523"/>
        <v>9322220</v>
      </c>
      <c r="AG1144">
        <f t="shared" ca="1" si="524"/>
        <v>33.469387755102041</v>
      </c>
      <c r="AH1144">
        <f t="shared" ca="1" si="503"/>
        <v>155.16211482893718</v>
      </c>
      <c r="AI1144">
        <f ca="1">VLOOKUP(E1144,伤害参考系!$C$4:$E$104,3,FALSE)*$AN$12</f>
        <v>2196.2761028428095</v>
      </c>
      <c r="AJ1144">
        <f>VLOOKUP(C1144,技能辅助查询表,技能配置辅助表!$L$1,FALSE)</f>
        <v>2</v>
      </c>
      <c r="AK1144">
        <f>VLOOKUP(C1144,技能辅助查询表,技能配置辅助表!$AE$1,FALSE)</f>
        <v>66000550</v>
      </c>
    </row>
    <row r="1145" spans="1:37" x14ac:dyDescent="0.15">
      <c r="A1145" s="1">
        <f t="shared" ca="1" si="506"/>
        <v>9322221</v>
      </c>
      <c r="B1145" s="1" t="str">
        <f t="shared" ca="1" si="507"/>
        <v>玫瑰之舞第2段</v>
      </c>
      <c r="C1145" t="s">
        <v>103</v>
      </c>
      <c r="D1145">
        <f t="shared" si="508"/>
        <v>3</v>
      </c>
      <c r="E1145" s="42">
        <f t="shared" ca="1" si="499"/>
        <v>36</v>
      </c>
      <c r="F1145" t="str">
        <f t="shared" ca="1" si="500"/>
        <v>第21级，共造成160.8%点伤害</v>
      </c>
      <c r="G1145">
        <f t="shared" ca="1" si="509"/>
        <v>2</v>
      </c>
      <c r="H1145">
        <f t="shared" si="510"/>
        <v>2</v>
      </c>
      <c r="I1145" s="44">
        <f t="shared" ca="1" si="511"/>
        <v>21</v>
      </c>
      <c r="J1145">
        <f t="shared" si="512"/>
        <v>2</v>
      </c>
      <c r="K1145" s="36">
        <f t="shared" ca="1" si="513"/>
        <v>80.378571428571433</v>
      </c>
      <c r="L1145" s="10">
        <f ca="1">AH1145*VLOOKUP(C1145,技能辅助查询表,技能配置辅助表!$T$1,FALSE)</f>
        <v>0</v>
      </c>
      <c r="M1145">
        <f t="shared" ca="1" si="497"/>
        <v>6320</v>
      </c>
      <c r="N1145" s="33">
        <f ca="1">CHOOSE(1,W1145*U1145,X1145*'[1]0、经济设定'!$C$18)</f>
        <v>11074</v>
      </c>
      <c r="O1145">
        <f t="shared" si="514"/>
        <v>2</v>
      </c>
      <c r="P1145">
        <f t="shared" si="515"/>
        <v>2</v>
      </c>
      <c r="Q1145">
        <f t="shared" si="516"/>
        <v>1</v>
      </c>
      <c r="R1145" s="2">
        <f t="shared" si="517"/>
        <v>4</v>
      </c>
      <c r="S1145" s="2">
        <f t="shared" si="518"/>
        <v>50</v>
      </c>
      <c r="T1145" s="2">
        <f t="shared" si="519"/>
        <v>66.428571428571431</v>
      </c>
      <c r="U1145" s="2">
        <f ca="1">VLOOKUP(E1145,金币生产率!$A$2:$B$120,2,0)</f>
        <v>791</v>
      </c>
      <c r="V1145" s="2">
        <f t="shared" si="520"/>
        <v>132.85714285714286</v>
      </c>
      <c r="W1145" s="45">
        <f t="shared" ca="1" si="504"/>
        <v>14</v>
      </c>
      <c r="X1145" s="48">
        <f t="shared" ca="1" si="505"/>
        <v>166</v>
      </c>
      <c r="Y1145">
        <f t="shared" si="498"/>
        <v>18</v>
      </c>
      <c r="Z1145">
        <f t="shared" ca="1" si="501"/>
        <v>6</v>
      </c>
      <c r="AA1145" t="str">
        <f t="shared" ca="1" si="521"/>
        <v>9322200.png</v>
      </c>
      <c r="AB1145">
        <f t="shared" si="522"/>
        <v>10</v>
      </c>
      <c r="AC1145">
        <f>VLOOKUP(C1145,技能辅助查询表,技能配置辅助表!$W$1,FALSE)</f>
        <v>5331</v>
      </c>
      <c r="AD1145">
        <f t="shared" ca="1" si="502"/>
        <v>21.465500689251662</v>
      </c>
      <c r="AE1145">
        <f>VLOOKUP(C1145,技能辅助查询表,技能配置辅助表!$U$1,FALSE)</f>
        <v>4</v>
      </c>
      <c r="AF1145">
        <f t="shared" ca="1" si="523"/>
        <v>9322221</v>
      </c>
      <c r="AG1145">
        <f t="shared" ca="1" si="524"/>
        <v>35.020408163265301</v>
      </c>
      <c r="AH1145">
        <f t="shared" ca="1" si="503"/>
        <v>176.65001742859343</v>
      </c>
      <c r="AI1145">
        <f ca="1">VLOOKUP(E1145,伤害参考系!$C$4:$E$104,3,FALSE)*$AN$12</f>
        <v>2544.1437190635456</v>
      </c>
      <c r="AJ1145">
        <f>VLOOKUP(C1145,技能辅助查询表,技能配置辅助表!$L$1,FALSE)</f>
        <v>2</v>
      </c>
      <c r="AK1145">
        <f>VLOOKUP(C1145,技能辅助查询表,技能配置辅助表!$AE$1,FALSE)</f>
        <v>66000550</v>
      </c>
    </row>
    <row r="1146" spans="1:37" x14ac:dyDescent="0.15">
      <c r="A1146" s="1">
        <f t="shared" ca="1" si="506"/>
        <v>9322222</v>
      </c>
      <c r="B1146" s="1" t="str">
        <f t="shared" ca="1" si="507"/>
        <v>玫瑰之舞第2段</v>
      </c>
      <c r="C1146" t="s">
        <v>103</v>
      </c>
      <c r="D1146">
        <f t="shared" si="508"/>
        <v>3</v>
      </c>
      <c r="E1146" s="42">
        <f t="shared" ca="1" si="499"/>
        <v>37</v>
      </c>
      <c r="F1146" t="str">
        <f t="shared" ca="1" si="500"/>
        <v>第22级，共造成162.1%点伤害</v>
      </c>
      <c r="G1146">
        <f t="shared" ca="1" si="509"/>
        <v>2</v>
      </c>
      <c r="H1146">
        <f t="shared" si="510"/>
        <v>2</v>
      </c>
      <c r="I1146" s="44">
        <f t="shared" ca="1" si="511"/>
        <v>22</v>
      </c>
      <c r="J1146">
        <f t="shared" si="512"/>
        <v>2</v>
      </c>
      <c r="K1146" s="36">
        <f t="shared" ca="1" si="513"/>
        <v>81.042857142857144</v>
      </c>
      <c r="L1146" s="10">
        <f ca="1">AH1146*VLOOKUP(C1146,技能辅助查询表,技能配置辅助表!$T$1,FALSE)</f>
        <v>0</v>
      </c>
      <c r="M1146">
        <f t="shared" ca="1" si="497"/>
        <v>6240</v>
      </c>
      <c r="N1146" s="33">
        <f ca="1">CHOOSE(1,W1146*U1146,X1146*'[1]0、经济设定'!$C$18)</f>
        <v>12615</v>
      </c>
      <c r="O1146">
        <f t="shared" si="514"/>
        <v>2</v>
      </c>
      <c r="P1146">
        <f t="shared" si="515"/>
        <v>2</v>
      </c>
      <c r="Q1146">
        <f t="shared" si="516"/>
        <v>1</v>
      </c>
      <c r="R1146" s="2">
        <f t="shared" si="517"/>
        <v>4</v>
      </c>
      <c r="S1146" s="2">
        <f t="shared" si="518"/>
        <v>50</v>
      </c>
      <c r="T1146" s="2">
        <f t="shared" si="519"/>
        <v>66.428571428571431</v>
      </c>
      <c r="U1146" s="2">
        <f ca="1">VLOOKUP(E1146,金币生产率!$A$2:$B$120,2,0)</f>
        <v>841</v>
      </c>
      <c r="V1146" s="2">
        <f t="shared" si="520"/>
        <v>132.85714285714286</v>
      </c>
      <c r="W1146" s="45">
        <f t="shared" ca="1" si="504"/>
        <v>15</v>
      </c>
      <c r="X1146" s="48">
        <f t="shared" ca="1" si="505"/>
        <v>181</v>
      </c>
      <c r="Y1146">
        <f t="shared" si="498"/>
        <v>18</v>
      </c>
      <c r="Z1146">
        <f t="shared" ca="1" si="501"/>
        <v>6</v>
      </c>
      <c r="AA1146" t="str">
        <f t="shared" ca="1" si="521"/>
        <v>9322200.png</v>
      </c>
      <c r="AB1146">
        <f t="shared" si="522"/>
        <v>10</v>
      </c>
      <c r="AC1146">
        <f>VLOOKUP(C1146,技能辅助查询表,技能配置辅助表!$W$1,FALSE)</f>
        <v>5331</v>
      </c>
      <c r="AD1146">
        <f t="shared" ca="1" si="502"/>
        <v>24.97257675028802</v>
      </c>
      <c r="AE1146">
        <f>VLOOKUP(C1146,技能辅助查询表,技能配置辅助表!$U$1,FALSE)</f>
        <v>4</v>
      </c>
      <c r="AF1146">
        <f t="shared" ca="1" si="523"/>
        <v>9322222</v>
      </c>
      <c r="AG1146">
        <f t="shared" ca="1" si="524"/>
        <v>36.571428571428569</v>
      </c>
      <c r="AH1146">
        <f t="shared" ca="1" si="503"/>
        <v>201.11371059826985</v>
      </c>
      <c r="AI1146">
        <f ca="1">VLOOKUP(E1146,伤害参考系!$C$4:$E$104,3,FALSE)*$AN$12</f>
        <v>2727.4489991638798</v>
      </c>
      <c r="AJ1146">
        <f>VLOOKUP(C1146,技能辅助查询表,技能配置辅助表!$L$1,FALSE)</f>
        <v>2</v>
      </c>
      <c r="AK1146">
        <f>VLOOKUP(C1146,技能辅助查询表,技能配置辅助表!$AE$1,FALSE)</f>
        <v>66000550</v>
      </c>
    </row>
    <row r="1147" spans="1:37" x14ac:dyDescent="0.15">
      <c r="A1147" s="1">
        <f t="shared" ca="1" si="506"/>
        <v>9322223</v>
      </c>
      <c r="B1147" s="1" t="str">
        <f t="shared" ca="1" si="507"/>
        <v>玫瑰之舞第2段</v>
      </c>
      <c r="C1147" t="s">
        <v>103</v>
      </c>
      <c r="D1147">
        <f t="shared" si="508"/>
        <v>3</v>
      </c>
      <c r="E1147" s="42">
        <f t="shared" ca="1" si="499"/>
        <v>39</v>
      </c>
      <c r="F1147" t="str">
        <f t="shared" ca="1" si="500"/>
        <v>第23级，共造成163.4%点伤害</v>
      </c>
      <c r="G1147">
        <f t="shared" ca="1" si="509"/>
        <v>2</v>
      </c>
      <c r="H1147">
        <f t="shared" si="510"/>
        <v>2</v>
      </c>
      <c r="I1147" s="44">
        <f t="shared" ca="1" si="511"/>
        <v>23</v>
      </c>
      <c r="J1147">
        <f t="shared" si="512"/>
        <v>2</v>
      </c>
      <c r="K1147" s="36">
        <f t="shared" ca="1" si="513"/>
        <v>81.707142857142856</v>
      </c>
      <c r="L1147" s="10">
        <f ca="1">AH1147*VLOOKUP(C1147,技能辅助查询表,技能配置辅助表!$T$1,FALSE)</f>
        <v>0</v>
      </c>
      <c r="M1147">
        <f t="shared" ca="1" si="497"/>
        <v>6160</v>
      </c>
      <c r="N1147" s="33">
        <f ca="1">CHOOSE(1,W1147*U1147,X1147*'[1]0、经济设定'!$C$18)</f>
        <v>15104</v>
      </c>
      <c r="O1147">
        <f t="shared" si="514"/>
        <v>2</v>
      </c>
      <c r="P1147">
        <f t="shared" si="515"/>
        <v>2</v>
      </c>
      <c r="Q1147">
        <f t="shared" si="516"/>
        <v>1</v>
      </c>
      <c r="R1147" s="2">
        <f t="shared" si="517"/>
        <v>4</v>
      </c>
      <c r="S1147" s="2">
        <f t="shared" si="518"/>
        <v>50</v>
      </c>
      <c r="T1147" s="2">
        <f t="shared" si="519"/>
        <v>66.428571428571431</v>
      </c>
      <c r="U1147" s="2">
        <f ca="1">VLOOKUP(E1147,金币生产率!$A$2:$B$120,2,0)</f>
        <v>944</v>
      </c>
      <c r="V1147" s="2">
        <f t="shared" si="520"/>
        <v>132.85714285714286</v>
      </c>
      <c r="W1147" s="45">
        <f t="shared" ca="1" si="504"/>
        <v>16</v>
      </c>
      <c r="X1147" s="48">
        <f t="shared" ca="1" si="505"/>
        <v>197</v>
      </c>
      <c r="Y1147">
        <f t="shared" si="498"/>
        <v>18</v>
      </c>
      <c r="Z1147">
        <f t="shared" ca="1" si="501"/>
        <v>7</v>
      </c>
      <c r="AA1147" t="str">
        <f t="shared" ca="1" si="521"/>
        <v>9322200.png</v>
      </c>
      <c r="AB1147">
        <f t="shared" si="522"/>
        <v>10</v>
      </c>
      <c r="AC1147">
        <f>VLOOKUP(C1147,技能辅助查询表,技能配置辅助表!$W$1,FALSE)</f>
        <v>5331</v>
      </c>
      <c r="AD1147">
        <f t="shared" ca="1" si="502"/>
        <v>29.039342160636107</v>
      </c>
      <c r="AE1147">
        <f>VLOOKUP(C1147,技能辅助查询表,技能配置辅助表!$U$1,FALSE)</f>
        <v>4</v>
      </c>
      <c r="AF1147">
        <f t="shared" ca="1" si="523"/>
        <v>9322223</v>
      </c>
      <c r="AG1147">
        <f t="shared" ca="1" si="524"/>
        <v>38.122448979591837</v>
      </c>
      <c r="AH1147">
        <f t="shared" ca="1" si="503"/>
        <v>228.96530200997151</v>
      </c>
      <c r="AI1147">
        <f ca="1">VLOOKUP(E1147,伤害参考系!$C$4:$E$104,3,FALSE)*$AN$12</f>
        <v>3112.8025033444819</v>
      </c>
      <c r="AJ1147">
        <f>VLOOKUP(C1147,技能辅助查询表,技能配置辅助表!$L$1,FALSE)</f>
        <v>2</v>
      </c>
      <c r="AK1147">
        <f>VLOOKUP(C1147,技能辅助查询表,技能配置辅助表!$AE$1,FALSE)</f>
        <v>66000550</v>
      </c>
    </row>
    <row r="1148" spans="1:37" x14ac:dyDescent="0.15">
      <c r="A1148" s="1">
        <f t="shared" ca="1" si="506"/>
        <v>9322224</v>
      </c>
      <c r="B1148" s="1" t="str">
        <f t="shared" ca="1" si="507"/>
        <v>玫瑰之舞第2段</v>
      </c>
      <c r="C1148" t="s">
        <v>103</v>
      </c>
      <c r="D1148">
        <f t="shared" si="508"/>
        <v>3</v>
      </c>
      <c r="E1148" s="42">
        <f t="shared" ca="1" si="499"/>
        <v>40</v>
      </c>
      <c r="F1148" t="str">
        <f t="shared" ca="1" si="500"/>
        <v>第24级，共造成164.7%点伤害</v>
      </c>
      <c r="G1148">
        <f t="shared" ca="1" si="509"/>
        <v>2</v>
      </c>
      <c r="H1148">
        <f t="shared" si="510"/>
        <v>2</v>
      </c>
      <c r="I1148" s="44">
        <f t="shared" ca="1" si="511"/>
        <v>24</v>
      </c>
      <c r="J1148">
        <f t="shared" si="512"/>
        <v>2</v>
      </c>
      <c r="K1148" s="36">
        <f t="shared" ca="1" si="513"/>
        <v>82.371428571428567</v>
      </c>
      <c r="L1148" s="10">
        <f ca="1">AH1148*VLOOKUP(C1148,技能辅助查询表,技能配置辅助表!$T$1,FALSE)</f>
        <v>0</v>
      </c>
      <c r="M1148">
        <f t="shared" ca="1" si="497"/>
        <v>6080</v>
      </c>
      <c r="N1148" s="33">
        <f ca="1">CHOOSE(1,W1148*U1148,X1148*'[1]0、经济设定'!$C$18)</f>
        <v>16966</v>
      </c>
      <c r="O1148">
        <f t="shared" si="514"/>
        <v>2</v>
      </c>
      <c r="P1148">
        <f t="shared" si="515"/>
        <v>2</v>
      </c>
      <c r="Q1148">
        <f t="shared" si="516"/>
        <v>1</v>
      </c>
      <c r="R1148" s="2">
        <f t="shared" si="517"/>
        <v>4</v>
      </c>
      <c r="S1148" s="2">
        <f t="shared" si="518"/>
        <v>50</v>
      </c>
      <c r="T1148" s="2">
        <f t="shared" si="519"/>
        <v>66.428571428571431</v>
      </c>
      <c r="U1148" s="2">
        <f ca="1">VLOOKUP(E1148,金币生产率!$A$2:$B$120,2,0)</f>
        <v>998</v>
      </c>
      <c r="V1148" s="2">
        <f t="shared" si="520"/>
        <v>132.85714285714286</v>
      </c>
      <c r="W1148" s="45">
        <f t="shared" ca="1" si="504"/>
        <v>17</v>
      </c>
      <c r="X1148" s="48">
        <f t="shared" ca="1" si="505"/>
        <v>214</v>
      </c>
      <c r="Y1148">
        <f t="shared" si="498"/>
        <v>18</v>
      </c>
      <c r="Z1148">
        <f t="shared" ca="1" si="501"/>
        <v>7</v>
      </c>
      <c r="AA1148" t="str">
        <f t="shared" ca="1" si="521"/>
        <v>9322200.png</v>
      </c>
      <c r="AB1148">
        <f t="shared" si="522"/>
        <v>10</v>
      </c>
      <c r="AC1148">
        <f>VLOOKUP(C1148,技能辅助查询表,技能配置辅助表!$W$1,FALSE)</f>
        <v>5331</v>
      </c>
      <c r="AD1148">
        <f t="shared" ca="1" si="502"/>
        <v>33.753555305081932</v>
      </c>
      <c r="AE1148">
        <f>VLOOKUP(C1148,技能辅助查询表,技能配置辅助表!$U$1,FALSE)</f>
        <v>4</v>
      </c>
      <c r="AF1148">
        <f t="shared" ca="1" si="523"/>
        <v>9322224</v>
      </c>
      <c r="AG1148">
        <f t="shared" ca="1" si="524"/>
        <v>39.673469387755105</v>
      </c>
      <c r="AH1148">
        <f t="shared" ca="1" si="503"/>
        <v>260.67397080270689</v>
      </c>
      <c r="AI1148">
        <f ca="1">VLOOKUP(E1148,伤害参考系!$C$4:$E$104,3,FALSE)*$AN$12</f>
        <v>3344.7142474916404</v>
      </c>
      <c r="AJ1148">
        <f>VLOOKUP(C1148,技能辅助查询表,技能配置辅助表!$L$1,FALSE)</f>
        <v>2</v>
      </c>
      <c r="AK1148">
        <f>VLOOKUP(C1148,技能辅助查询表,技能配置辅助表!$AE$1,FALSE)</f>
        <v>66000550</v>
      </c>
    </row>
    <row r="1149" spans="1:37" x14ac:dyDescent="0.15">
      <c r="A1149" s="1">
        <f t="shared" ca="1" si="506"/>
        <v>9322225</v>
      </c>
      <c r="B1149" s="1" t="str">
        <f t="shared" ca="1" si="507"/>
        <v>玫瑰之舞第2段</v>
      </c>
      <c r="C1149" t="s">
        <v>103</v>
      </c>
      <c r="D1149">
        <f t="shared" si="508"/>
        <v>3</v>
      </c>
      <c r="E1149" s="42">
        <f t="shared" ca="1" si="499"/>
        <v>42</v>
      </c>
      <c r="F1149" t="str">
        <f t="shared" ca="1" si="500"/>
        <v>第25级，共造成166.1%点伤害</v>
      </c>
      <c r="G1149">
        <f t="shared" ca="1" si="509"/>
        <v>2</v>
      </c>
      <c r="H1149">
        <f t="shared" si="510"/>
        <v>2</v>
      </c>
      <c r="I1149" s="44">
        <f t="shared" ca="1" si="511"/>
        <v>25</v>
      </c>
      <c r="J1149">
        <f t="shared" si="512"/>
        <v>2</v>
      </c>
      <c r="K1149" s="36">
        <f t="shared" ca="1" si="513"/>
        <v>83.035714285714292</v>
      </c>
      <c r="L1149" s="10">
        <f ca="1">AH1149*VLOOKUP(C1149,技能辅助查询表,技能配置辅助表!$T$1,FALSE)</f>
        <v>0</v>
      </c>
      <c r="M1149">
        <f t="shared" ca="1" si="497"/>
        <v>6000</v>
      </c>
      <c r="N1149" s="33">
        <f ca="1">CHOOSE(1,W1149*U1149,X1149*'[1]0、经济设定'!$C$18)</f>
        <v>21090</v>
      </c>
      <c r="O1149">
        <f t="shared" si="514"/>
        <v>2</v>
      </c>
      <c r="P1149">
        <f t="shared" si="515"/>
        <v>2</v>
      </c>
      <c r="Q1149">
        <f t="shared" si="516"/>
        <v>1</v>
      </c>
      <c r="R1149" s="2">
        <f t="shared" si="517"/>
        <v>4</v>
      </c>
      <c r="S1149" s="2">
        <f t="shared" si="518"/>
        <v>50</v>
      </c>
      <c r="T1149" s="2">
        <f t="shared" si="519"/>
        <v>66.428571428571431</v>
      </c>
      <c r="U1149" s="2">
        <f ca="1">VLOOKUP(E1149,金币生产率!$A$2:$B$120,2,0)</f>
        <v>1110</v>
      </c>
      <c r="V1149" s="2">
        <f t="shared" si="520"/>
        <v>132.85714285714286</v>
      </c>
      <c r="W1149" s="45">
        <f t="shared" ca="1" si="504"/>
        <v>19</v>
      </c>
      <c r="X1149" s="48">
        <f t="shared" ca="1" si="505"/>
        <v>233</v>
      </c>
      <c r="Y1149">
        <f t="shared" si="498"/>
        <v>18</v>
      </c>
      <c r="Z1149">
        <f t="shared" ca="1" si="501"/>
        <v>8</v>
      </c>
      <c r="AA1149" t="str">
        <f t="shared" ca="1" si="521"/>
        <v>9322200.png</v>
      </c>
      <c r="AB1149">
        <f t="shared" si="522"/>
        <v>10</v>
      </c>
      <c r="AC1149">
        <f>VLOOKUP(C1149,技能辅助查询表,技能配置辅助表!$W$1,FALSE)</f>
        <v>5331</v>
      </c>
      <c r="AD1149">
        <f t="shared" ca="1" si="502"/>
        <v>39.21654726921988</v>
      </c>
      <c r="AE1149">
        <f>VLOOKUP(C1149,技能辅助查询表,技能配置辅助表!$U$1,FALSE)</f>
        <v>4</v>
      </c>
      <c r="AF1149">
        <f t="shared" ca="1" si="523"/>
        <v>9322225</v>
      </c>
      <c r="AG1149">
        <f t="shared" ca="1" si="524"/>
        <v>41.224489795918366</v>
      </c>
      <c r="AH1149">
        <f t="shared" ca="1" si="503"/>
        <v>296.77387122652874</v>
      </c>
      <c r="AI1149">
        <f ca="1">VLOOKUP(E1149,伤害参考系!$C$4:$E$104,3,FALSE)*$AN$12</f>
        <v>3833.528327759198</v>
      </c>
      <c r="AJ1149">
        <f>VLOOKUP(C1149,技能辅助查询表,技能配置辅助表!$L$1,FALSE)</f>
        <v>2</v>
      </c>
      <c r="AK1149">
        <f>VLOOKUP(C1149,技能辅助查询表,技能配置辅助表!$AE$1,FALSE)</f>
        <v>66000550</v>
      </c>
    </row>
    <row r="1150" spans="1:37" x14ac:dyDescent="0.15">
      <c r="A1150" s="1">
        <f t="shared" ca="1" si="506"/>
        <v>9322226</v>
      </c>
      <c r="B1150" s="1" t="str">
        <f t="shared" ca="1" si="507"/>
        <v>玫瑰之舞第2段</v>
      </c>
      <c r="C1150" t="s">
        <v>103</v>
      </c>
      <c r="D1150">
        <f t="shared" si="508"/>
        <v>3</v>
      </c>
      <c r="E1150" s="42">
        <f t="shared" ca="1" si="499"/>
        <v>44</v>
      </c>
      <c r="F1150" t="str">
        <f t="shared" ca="1" si="500"/>
        <v>第26级，共造成167.4%点伤害</v>
      </c>
      <c r="G1150">
        <f t="shared" ca="1" si="509"/>
        <v>2</v>
      </c>
      <c r="H1150">
        <f t="shared" si="510"/>
        <v>2</v>
      </c>
      <c r="I1150" s="44">
        <f t="shared" ca="1" si="511"/>
        <v>26</v>
      </c>
      <c r="J1150">
        <f t="shared" si="512"/>
        <v>2</v>
      </c>
      <c r="K1150" s="36">
        <f t="shared" ca="1" si="513"/>
        <v>83.7</v>
      </c>
      <c r="L1150" s="10">
        <f ca="1">AH1150*VLOOKUP(C1150,技能辅助查询表,技能配置辅助表!$T$1,FALSE)</f>
        <v>0</v>
      </c>
      <c r="M1150">
        <f t="shared" ca="1" si="497"/>
        <v>5920</v>
      </c>
      <c r="N1150" s="33">
        <f ca="1">CHOOSE(1,W1150*U1150,X1150*'[1]0、经济设定'!$C$18)</f>
        <v>24520</v>
      </c>
      <c r="O1150">
        <f t="shared" si="514"/>
        <v>2</v>
      </c>
      <c r="P1150">
        <f t="shared" si="515"/>
        <v>2</v>
      </c>
      <c r="Q1150">
        <f t="shared" si="516"/>
        <v>1</v>
      </c>
      <c r="R1150" s="2">
        <f t="shared" si="517"/>
        <v>4</v>
      </c>
      <c r="S1150" s="2">
        <f t="shared" si="518"/>
        <v>50</v>
      </c>
      <c r="T1150" s="2">
        <f t="shared" si="519"/>
        <v>66.428571428571431</v>
      </c>
      <c r="U1150" s="2">
        <f ca="1">VLOOKUP(E1150,金币生产率!$A$2:$B$120,2,0)</f>
        <v>1226</v>
      </c>
      <c r="V1150" s="2">
        <f t="shared" si="520"/>
        <v>132.85714285714286</v>
      </c>
      <c r="W1150" s="45">
        <f t="shared" ca="1" si="504"/>
        <v>20</v>
      </c>
      <c r="X1150" s="48">
        <f t="shared" ca="1" si="505"/>
        <v>253</v>
      </c>
      <c r="Y1150">
        <f t="shared" si="498"/>
        <v>18</v>
      </c>
      <c r="Z1150">
        <f t="shared" ca="1" si="501"/>
        <v>8</v>
      </c>
      <c r="AA1150" t="str">
        <f t="shared" ca="1" si="521"/>
        <v>9322200.png</v>
      </c>
      <c r="AB1150">
        <f t="shared" si="522"/>
        <v>10</v>
      </c>
      <c r="AC1150">
        <f>VLOOKUP(C1150,技能辅助查询表,技能配置辅助表!$W$1,FALSE)</f>
        <v>5331</v>
      </c>
      <c r="AD1150">
        <f t="shared" ca="1" si="502"/>
        <v>45.545298036805306</v>
      </c>
      <c r="AE1150">
        <f>VLOOKUP(C1150,技能辅助查询表,技能配置辅助表!$U$1,FALSE)</f>
        <v>4</v>
      </c>
      <c r="AF1150">
        <f t="shared" ca="1" si="523"/>
        <v>9322226</v>
      </c>
      <c r="AG1150">
        <f t="shared" ca="1" si="524"/>
        <v>42.775510204081634</v>
      </c>
      <c r="AH1150">
        <f t="shared" ca="1" si="503"/>
        <v>337.87313083683472</v>
      </c>
      <c r="AI1150">
        <f ca="1">VLOOKUP(E1150,伤害参考系!$C$4:$E$104,3,FALSE)*$AN$12</f>
        <v>4355.6631973244148</v>
      </c>
      <c r="AJ1150">
        <f>VLOOKUP(C1150,技能辅助查询表,技能配置辅助表!$L$1,FALSE)</f>
        <v>2</v>
      </c>
      <c r="AK1150">
        <f>VLOOKUP(C1150,技能辅助查询表,技能配置辅助表!$AE$1,FALSE)</f>
        <v>66000550</v>
      </c>
    </row>
    <row r="1151" spans="1:37" x14ac:dyDescent="0.15">
      <c r="A1151" s="1">
        <f t="shared" ca="1" si="506"/>
        <v>9322227</v>
      </c>
      <c r="B1151" s="1" t="str">
        <f t="shared" ca="1" si="507"/>
        <v>玫瑰之舞第2段</v>
      </c>
      <c r="C1151" t="s">
        <v>103</v>
      </c>
      <c r="D1151">
        <f t="shared" si="508"/>
        <v>3</v>
      </c>
      <c r="E1151" s="42">
        <f t="shared" ca="1" si="499"/>
        <v>45</v>
      </c>
      <c r="F1151" t="str">
        <f t="shared" ca="1" si="500"/>
        <v>第27级，共造成168.7%点伤害</v>
      </c>
      <c r="G1151">
        <f t="shared" ca="1" si="509"/>
        <v>2</v>
      </c>
      <c r="H1151">
        <f t="shared" si="510"/>
        <v>2</v>
      </c>
      <c r="I1151" s="44">
        <f t="shared" ca="1" si="511"/>
        <v>27</v>
      </c>
      <c r="J1151">
        <f t="shared" si="512"/>
        <v>2</v>
      </c>
      <c r="K1151" s="36">
        <f t="shared" ca="1" si="513"/>
        <v>84.364285714285714</v>
      </c>
      <c r="L1151" s="10">
        <f ca="1">AH1151*VLOOKUP(C1151,技能辅助查询表,技能配置辅助表!$T$1,FALSE)</f>
        <v>0</v>
      </c>
      <c r="M1151">
        <f t="shared" ca="1" si="497"/>
        <v>5840</v>
      </c>
      <c r="N1151" s="33">
        <f ca="1">CHOOSE(1,W1151*U1151,X1151*'[1]0、经济设定'!$C$18)</f>
        <v>27027</v>
      </c>
      <c r="O1151">
        <f t="shared" si="514"/>
        <v>2</v>
      </c>
      <c r="P1151">
        <f t="shared" si="515"/>
        <v>2</v>
      </c>
      <c r="Q1151">
        <f t="shared" si="516"/>
        <v>1</v>
      </c>
      <c r="R1151" s="2">
        <f t="shared" si="517"/>
        <v>4</v>
      </c>
      <c r="S1151" s="2">
        <f t="shared" si="518"/>
        <v>50</v>
      </c>
      <c r="T1151" s="2">
        <f t="shared" si="519"/>
        <v>66.428571428571431</v>
      </c>
      <c r="U1151" s="2">
        <f ca="1">VLOOKUP(E1151,金币生产率!$A$2:$B$120,2,0)</f>
        <v>1287</v>
      </c>
      <c r="V1151" s="2">
        <f t="shared" si="520"/>
        <v>132.85714285714286</v>
      </c>
      <c r="W1151" s="45">
        <f t="shared" ca="1" si="504"/>
        <v>21</v>
      </c>
      <c r="X1151" s="48">
        <f t="shared" ca="1" si="505"/>
        <v>274</v>
      </c>
      <c r="Y1151">
        <f t="shared" si="498"/>
        <v>18</v>
      </c>
      <c r="Z1151">
        <f t="shared" ca="1" si="501"/>
        <v>9</v>
      </c>
      <c r="AA1151" t="str">
        <f t="shared" ca="1" si="521"/>
        <v>9322200.png</v>
      </c>
      <c r="AB1151">
        <f t="shared" si="522"/>
        <v>10</v>
      </c>
      <c r="AC1151">
        <f>VLOOKUP(C1151,技能辅助查询表,技能配置辅助表!$W$1,FALSE)</f>
        <v>5331</v>
      </c>
      <c r="AD1151">
        <f t="shared" ca="1" si="502"/>
        <v>52.874827433642267</v>
      </c>
      <c r="AE1151">
        <f>VLOOKUP(C1151,技能辅助查询表,技能配置辅助表!$U$1,FALSE)</f>
        <v>4</v>
      </c>
      <c r="AF1151">
        <f t="shared" ca="1" si="523"/>
        <v>9322227</v>
      </c>
      <c r="AG1151">
        <f t="shared" ca="1" si="524"/>
        <v>44.326530612244895</v>
      </c>
      <c r="AH1151">
        <f t="shared" ca="1" si="503"/>
        <v>384.66409481967975</v>
      </c>
      <c r="AI1151">
        <f ca="1">VLOOKUP(E1151,伤害参考系!$C$4:$E$104,3,FALSE)*$AN$12</f>
        <v>4629.2259280936469</v>
      </c>
      <c r="AJ1151">
        <f>VLOOKUP(C1151,技能辅助查询表,技能配置辅助表!$L$1,FALSE)</f>
        <v>2</v>
      </c>
      <c r="AK1151">
        <f>VLOOKUP(C1151,技能辅助查询表,技能配置辅助表!$AE$1,FALSE)</f>
        <v>66000550</v>
      </c>
    </row>
    <row r="1152" spans="1:37" x14ac:dyDescent="0.15">
      <c r="A1152" s="1">
        <f t="shared" ca="1" si="506"/>
        <v>9322228</v>
      </c>
      <c r="B1152" s="1" t="str">
        <f t="shared" ca="1" si="507"/>
        <v>玫瑰之舞第2段</v>
      </c>
      <c r="C1152" t="s">
        <v>103</v>
      </c>
      <c r="D1152">
        <f t="shared" si="508"/>
        <v>3</v>
      </c>
      <c r="E1152" s="42">
        <f t="shared" ca="1" si="499"/>
        <v>47</v>
      </c>
      <c r="F1152" t="str">
        <f t="shared" ca="1" si="500"/>
        <v>第28级，共造成170.1%点伤害</v>
      </c>
      <c r="G1152">
        <f t="shared" ca="1" si="509"/>
        <v>2</v>
      </c>
      <c r="H1152">
        <f t="shared" si="510"/>
        <v>2</v>
      </c>
      <c r="I1152" s="44">
        <f t="shared" ca="1" si="511"/>
        <v>28</v>
      </c>
      <c r="J1152">
        <f t="shared" si="512"/>
        <v>2</v>
      </c>
      <c r="K1152" s="36">
        <f t="shared" ca="1" si="513"/>
        <v>85.028571428571425</v>
      </c>
      <c r="L1152" s="10">
        <f ca="1">AH1152*VLOOKUP(C1152,技能辅助查询表,技能配置辅助表!$T$1,FALSE)</f>
        <v>0</v>
      </c>
      <c r="M1152">
        <f t="shared" ca="1" si="497"/>
        <v>5760</v>
      </c>
      <c r="N1152" s="33">
        <f ca="1">CHOOSE(1,W1152*U1152,X1152*'[1]0、经济设定'!$C$18)</f>
        <v>32476</v>
      </c>
      <c r="O1152">
        <f t="shared" si="514"/>
        <v>2</v>
      </c>
      <c r="P1152">
        <f t="shared" si="515"/>
        <v>2</v>
      </c>
      <c r="Q1152">
        <f t="shared" si="516"/>
        <v>1</v>
      </c>
      <c r="R1152" s="2">
        <f t="shared" si="517"/>
        <v>4</v>
      </c>
      <c r="S1152" s="2">
        <f t="shared" si="518"/>
        <v>50</v>
      </c>
      <c r="T1152" s="2">
        <f t="shared" si="519"/>
        <v>66.428571428571431</v>
      </c>
      <c r="U1152" s="2">
        <f ca="1">VLOOKUP(E1152,金币生产率!$A$2:$B$120,2,0)</f>
        <v>1412</v>
      </c>
      <c r="V1152" s="2">
        <f t="shared" si="520"/>
        <v>132.85714285714286</v>
      </c>
      <c r="W1152" s="45">
        <f t="shared" ca="1" si="504"/>
        <v>23</v>
      </c>
      <c r="X1152" s="48">
        <f t="shared" ca="1" si="505"/>
        <v>297</v>
      </c>
      <c r="Y1152">
        <f t="shared" si="498"/>
        <v>18</v>
      </c>
      <c r="Z1152">
        <f t="shared" ca="1" si="501"/>
        <v>10</v>
      </c>
      <c r="AA1152" t="str">
        <f t="shared" ca="1" si="521"/>
        <v>9322200.png</v>
      </c>
      <c r="AB1152">
        <f t="shared" si="522"/>
        <v>10</v>
      </c>
      <c r="AC1152">
        <f>VLOOKUP(C1152,技能辅助查询表,技能配置辅助表!$W$1,FALSE)</f>
        <v>5331</v>
      </c>
      <c r="AD1152">
        <f t="shared" ca="1" si="502"/>
        <v>61.360948175939185</v>
      </c>
      <c r="AE1152">
        <f>VLOOKUP(C1152,技能辅助查询表,技能配置辅助表!$U$1,FALSE)</f>
        <v>4</v>
      </c>
      <c r="AF1152">
        <f t="shared" ca="1" si="523"/>
        <v>9322228</v>
      </c>
      <c r="AG1152">
        <f t="shared" ca="1" si="524"/>
        <v>45.877551020408163</v>
      </c>
      <c r="AH1152">
        <f t="shared" ca="1" si="503"/>
        <v>437.93498902077317</v>
      </c>
      <c r="AI1152">
        <f ca="1">VLOOKUP(E1152,伤害参考系!$C$4:$E$104,3,FALSE)*$AN$12</f>
        <v>5201.3419816053529</v>
      </c>
      <c r="AJ1152">
        <f>VLOOKUP(C1152,技能辅助查询表,技能配置辅助表!$L$1,FALSE)</f>
        <v>2</v>
      </c>
      <c r="AK1152">
        <f>VLOOKUP(C1152,技能辅助查询表,技能配置辅助表!$AE$1,FALSE)</f>
        <v>66000550</v>
      </c>
    </row>
    <row r="1153" spans="1:37" x14ac:dyDescent="0.15">
      <c r="A1153" s="1">
        <f t="shared" ca="1" si="506"/>
        <v>9322229</v>
      </c>
      <c r="B1153" s="1" t="str">
        <f t="shared" ca="1" si="507"/>
        <v>玫瑰之舞第2段</v>
      </c>
      <c r="C1153" t="s">
        <v>103</v>
      </c>
      <c r="D1153">
        <f t="shared" si="508"/>
        <v>3</v>
      </c>
      <c r="E1153" s="42">
        <f t="shared" ca="1" si="499"/>
        <v>48</v>
      </c>
      <c r="F1153" t="str">
        <f t="shared" ca="1" si="500"/>
        <v>第29级，共造成171.4%点伤害</v>
      </c>
      <c r="G1153">
        <f t="shared" ca="1" si="509"/>
        <v>2</v>
      </c>
      <c r="H1153">
        <f t="shared" si="510"/>
        <v>2</v>
      </c>
      <c r="I1153" s="44">
        <f t="shared" ca="1" si="511"/>
        <v>29</v>
      </c>
      <c r="J1153">
        <f t="shared" si="512"/>
        <v>2</v>
      </c>
      <c r="K1153" s="36">
        <f t="shared" ca="1" si="513"/>
        <v>85.69285714285715</v>
      </c>
      <c r="L1153" s="10">
        <f ca="1">AH1153*VLOOKUP(C1153,技能辅助查询表,技能配置辅助表!$T$1,FALSE)</f>
        <v>0</v>
      </c>
      <c r="M1153">
        <f t="shared" ca="1" si="497"/>
        <v>5680</v>
      </c>
      <c r="N1153" s="33">
        <f ca="1">CHOOSE(1,W1153*U1153,X1153*'[1]0、经济设定'!$C$18)</f>
        <v>36925</v>
      </c>
      <c r="O1153">
        <f t="shared" si="514"/>
        <v>2</v>
      </c>
      <c r="P1153">
        <f t="shared" si="515"/>
        <v>2</v>
      </c>
      <c r="Q1153">
        <f t="shared" si="516"/>
        <v>1</v>
      </c>
      <c r="R1153" s="2">
        <f t="shared" si="517"/>
        <v>4</v>
      </c>
      <c r="S1153" s="2">
        <f t="shared" si="518"/>
        <v>50</v>
      </c>
      <c r="T1153" s="2">
        <f t="shared" si="519"/>
        <v>66.428571428571431</v>
      </c>
      <c r="U1153" s="2">
        <f ca="1">VLOOKUP(E1153,金币生产率!$A$2:$B$120,2,0)</f>
        <v>1477</v>
      </c>
      <c r="V1153" s="2">
        <f t="shared" si="520"/>
        <v>132.85714285714286</v>
      </c>
      <c r="W1153" s="45">
        <f t="shared" ca="1" si="504"/>
        <v>25</v>
      </c>
      <c r="X1153" s="48">
        <f t="shared" ca="1" si="505"/>
        <v>322</v>
      </c>
      <c r="Y1153">
        <f t="shared" si="498"/>
        <v>18</v>
      </c>
      <c r="Z1153">
        <f t="shared" ca="1" si="501"/>
        <v>10</v>
      </c>
      <c r="AA1153" t="str">
        <f t="shared" ca="1" si="521"/>
        <v>9322200.png</v>
      </c>
      <c r="AB1153">
        <f t="shared" si="522"/>
        <v>10</v>
      </c>
      <c r="AC1153">
        <f>VLOOKUP(C1153,技能辅助查询表,技能配置辅助表!$W$1,FALSE)</f>
        <v>5331</v>
      </c>
      <c r="AD1153">
        <f t="shared" ca="1" si="502"/>
        <v>71.183435461570099</v>
      </c>
      <c r="AE1153">
        <f>VLOOKUP(C1153,技能辅助查询表,技能配置辅助表!$U$1,FALSE)</f>
        <v>4</v>
      </c>
      <c r="AF1153">
        <f t="shared" ca="1" si="523"/>
        <v>9322229</v>
      </c>
      <c r="AG1153">
        <f t="shared" ca="1" si="524"/>
        <v>47.428571428571431</v>
      </c>
      <c r="AH1153">
        <f t="shared" ca="1" si="503"/>
        <v>498.5831981498805</v>
      </c>
      <c r="AI1153">
        <f ca="1">VLOOKUP(E1153,伤害参考系!$C$4:$E$104,3,FALSE)*$AN$12</f>
        <v>5499.8953043478286</v>
      </c>
      <c r="AJ1153">
        <f>VLOOKUP(C1153,技能辅助查询表,技能配置辅助表!$L$1,FALSE)</f>
        <v>2</v>
      </c>
      <c r="AK1153">
        <f>VLOOKUP(C1153,技能辅助查询表,技能配置辅助表!$AE$1,FALSE)</f>
        <v>66000550</v>
      </c>
    </row>
    <row r="1154" spans="1:37" x14ac:dyDescent="0.15">
      <c r="A1154" s="1">
        <f t="shared" ca="1" si="506"/>
        <v>9322230</v>
      </c>
      <c r="B1154" s="1" t="str">
        <f t="shared" ca="1" si="507"/>
        <v>玫瑰之舞第2段</v>
      </c>
      <c r="C1154" t="s">
        <v>103</v>
      </c>
      <c r="D1154">
        <f t="shared" si="508"/>
        <v>3</v>
      </c>
      <c r="E1154" s="42">
        <f t="shared" ca="1" si="499"/>
        <v>50</v>
      </c>
      <c r="F1154" t="str">
        <f t="shared" ca="1" si="500"/>
        <v>第30级，共造成172.7%点伤害</v>
      </c>
      <c r="G1154">
        <f t="shared" ca="1" si="509"/>
        <v>2</v>
      </c>
      <c r="H1154">
        <f t="shared" si="510"/>
        <v>2</v>
      </c>
      <c r="I1154" s="44">
        <f t="shared" ca="1" si="511"/>
        <v>30</v>
      </c>
      <c r="J1154">
        <f t="shared" si="512"/>
        <v>2</v>
      </c>
      <c r="K1154" s="36">
        <f t="shared" ca="1" si="513"/>
        <v>86.357142857142861</v>
      </c>
      <c r="L1154" s="10">
        <f ca="1">AH1154*VLOOKUP(C1154,技能辅助查询表,技能配置辅助表!$T$1,FALSE)</f>
        <v>0</v>
      </c>
      <c r="M1154">
        <f t="shared" ref="M1154:M1217" ca="1" si="525">IF(OR(I1154=0,I1154=1),VLOOKUP(C1154,技能辅助查询表,14,FALSE),VLOOKUP(C1154,技能辅助查询表,14,FALSE)-VLOOKUP(C1154,技能辅助查询表,14,FALSE)*0.5/S1154*I1154)</f>
        <v>5600</v>
      </c>
      <c r="N1154" s="33">
        <f ca="1">CHOOSE(1,W1154*U1154,X1154*'[1]0、经济设定'!$C$18)</f>
        <v>41860</v>
      </c>
      <c r="O1154">
        <f t="shared" si="514"/>
        <v>2</v>
      </c>
      <c r="P1154">
        <f t="shared" si="515"/>
        <v>2</v>
      </c>
      <c r="Q1154">
        <f t="shared" si="516"/>
        <v>1</v>
      </c>
      <c r="R1154" s="2">
        <f t="shared" si="517"/>
        <v>4</v>
      </c>
      <c r="S1154" s="2">
        <f t="shared" si="518"/>
        <v>50</v>
      </c>
      <c r="T1154" s="2">
        <f t="shared" si="519"/>
        <v>66.428571428571431</v>
      </c>
      <c r="U1154" s="2">
        <f ca="1">VLOOKUP(E1154,金币生产率!$A$2:$B$120,2,0)</f>
        <v>1610</v>
      </c>
      <c r="V1154" s="2">
        <f t="shared" si="520"/>
        <v>132.85714285714286</v>
      </c>
      <c r="W1154" s="45">
        <f t="shared" ca="1" si="504"/>
        <v>26</v>
      </c>
      <c r="X1154" s="48">
        <f t="shared" ca="1" si="505"/>
        <v>348</v>
      </c>
      <c r="Y1154">
        <f t="shared" ref="Y1154:Y1217" si="526">VLOOKUP(C1154,技能辅助查询表,15,FALSE)</f>
        <v>18</v>
      </c>
      <c r="Z1154">
        <f t="shared" ca="1" si="501"/>
        <v>11</v>
      </c>
      <c r="AA1154" t="str">
        <f t="shared" ca="1" si="521"/>
        <v>9322200.png</v>
      </c>
      <c r="AB1154">
        <f t="shared" si="522"/>
        <v>10</v>
      </c>
      <c r="AC1154">
        <f>VLOOKUP(C1154,技能辅助查询表,技能配置辅助表!$W$1,FALSE)</f>
        <v>5331</v>
      </c>
      <c r="AD1154">
        <f t="shared" ca="1" si="502"/>
        <v>82.549675676030489</v>
      </c>
      <c r="AE1154">
        <f>VLOOKUP(C1154,技能辅助查询表,技能配置辅助表!$U$1,FALSE)</f>
        <v>4</v>
      </c>
      <c r="AF1154">
        <f t="shared" ca="1" si="523"/>
        <v>9322230</v>
      </c>
      <c r="AG1154">
        <f t="shared" ca="1" si="524"/>
        <v>48.979591836734691</v>
      </c>
      <c r="AH1154">
        <f t="shared" ca="1" si="503"/>
        <v>567.63038284107404</v>
      </c>
      <c r="AI1154">
        <f ca="1">VLOOKUP(E1154,伤害参考系!$C$4:$E$104,3,FALSE)*$AN$12</f>
        <v>6162.2688085284308</v>
      </c>
      <c r="AJ1154">
        <f>VLOOKUP(C1154,技能辅助查询表,技能配置辅助表!$L$1,FALSE)</f>
        <v>2</v>
      </c>
      <c r="AK1154">
        <f>VLOOKUP(C1154,技能辅助查询表,技能配置辅助表!$AE$1,FALSE)</f>
        <v>66000550</v>
      </c>
    </row>
    <row r="1155" spans="1:37" x14ac:dyDescent="0.15">
      <c r="A1155" s="1">
        <f t="shared" ca="1" si="506"/>
        <v>9322231</v>
      </c>
      <c r="B1155" s="1" t="str">
        <f t="shared" ca="1" si="507"/>
        <v>玫瑰之舞第2段</v>
      </c>
      <c r="C1155" t="s">
        <v>103</v>
      </c>
      <c r="D1155">
        <f t="shared" si="508"/>
        <v>3</v>
      </c>
      <c r="E1155" s="42">
        <f t="shared" ref="E1155:E1218" ca="1" si="527">IF(I1155=0,E1156,IF(AND(I1155=1,G1155&gt;1),OFFSET(E1155,(1-G1155)*51,0),IF(OR(I1155=1,AND(I1155=2,R1155=2)),R1155,IF(I1155=0,0,ROUND(I1155*(80-R1155)/S1155,0)+R1155))))</f>
        <v>51</v>
      </c>
      <c r="F1155" t="str">
        <f t="shared" ref="F1155:F1218" ca="1" si="528">"第"&amp;I1155&amp;"级，共造成"&amp;ROUND(AJ1155*K1155,1)&amp;"%点伤害"</f>
        <v>第31级，共造成174%点伤害</v>
      </c>
      <c r="G1155">
        <f t="shared" ca="1" si="509"/>
        <v>2</v>
      </c>
      <c r="H1155">
        <f t="shared" si="510"/>
        <v>2</v>
      </c>
      <c r="I1155" s="44">
        <f t="shared" ca="1" si="511"/>
        <v>31</v>
      </c>
      <c r="J1155">
        <f t="shared" si="512"/>
        <v>2</v>
      </c>
      <c r="K1155" s="36">
        <f t="shared" ca="1" si="513"/>
        <v>87.021428571428572</v>
      </c>
      <c r="L1155" s="10">
        <f ca="1">AH1155*VLOOKUP(C1155,技能辅助查询表,技能配置辅助表!$T$1,FALSE)</f>
        <v>0</v>
      </c>
      <c r="M1155">
        <f t="shared" ca="1" si="525"/>
        <v>5520</v>
      </c>
      <c r="N1155" s="33">
        <f ca="1">CHOOSE(1,W1155*U1155,X1155*'[1]0、经济设定'!$C$18)</f>
        <v>47012</v>
      </c>
      <c r="O1155">
        <f t="shared" si="514"/>
        <v>2</v>
      </c>
      <c r="P1155">
        <f t="shared" si="515"/>
        <v>2</v>
      </c>
      <c r="Q1155">
        <f t="shared" si="516"/>
        <v>1</v>
      </c>
      <c r="R1155" s="2">
        <f t="shared" si="517"/>
        <v>4</v>
      </c>
      <c r="S1155" s="2">
        <f t="shared" si="518"/>
        <v>50</v>
      </c>
      <c r="T1155" s="2">
        <f t="shared" si="519"/>
        <v>66.428571428571431</v>
      </c>
      <c r="U1155" s="2">
        <f ca="1">VLOOKUP(E1155,金币生产率!$A$2:$B$120,2,0)</f>
        <v>1679</v>
      </c>
      <c r="V1155" s="2">
        <f t="shared" si="520"/>
        <v>132.85714285714286</v>
      </c>
      <c r="W1155" s="45">
        <f t="shared" ca="1" si="504"/>
        <v>28</v>
      </c>
      <c r="X1155" s="48">
        <f t="shared" ca="1" si="505"/>
        <v>376</v>
      </c>
      <c r="Y1155">
        <f t="shared" si="526"/>
        <v>18</v>
      </c>
      <c r="Z1155">
        <f t="shared" ref="Z1155:Z1218" ca="1" si="529">IF(I1155&gt;=Y1155,ROUNDUP(W1155/$AN$15,0),0)</f>
        <v>12</v>
      </c>
      <c r="AA1155" t="str">
        <f t="shared" ca="1" si="521"/>
        <v>9322200.png</v>
      </c>
      <c r="AB1155">
        <f t="shared" si="522"/>
        <v>10</v>
      </c>
      <c r="AC1155">
        <f>VLOOKUP(C1155,技能辅助查询表,技能配置辅助表!$W$1,FALSE)</f>
        <v>5331</v>
      </c>
      <c r="AD1155">
        <f t="shared" ref="AD1155:AD1218" ca="1" si="530">((AH1155*K1155/100+L1155)*AJ1155-AH1155)/5</f>
        <v>95.69886612690695</v>
      </c>
      <c r="AE1155">
        <f>VLOOKUP(C1155,技能辅助查询表,技能配置辅助表!$U$1,FALSE)</f>
        <v>4</v>
      </c>
      <c r="AF1155">
        <f t="shared" ca="1" si="523"/>
        <v>9322231</v>
      </c>
      <c r="AG1155">
        <f t="shared" ca="1" si="524"/>
        <v>50.530612244897959</v>
      </c>
      <c r="AH1155">
        <f t="shared" ref="AH1155:AH1218" ca="1" si="531">(19.323*EXP(I1155*0.1297))*$AN$12</f>
        <v>646.23969022607446</v>
      </c>
      <c r="AI1155">
        <f ca="1">VLOOKUP(E1155,伤害参考系!$C$4:$E$104,3,FALSE)*$AN$12</f>
        <v>6528.1715392976603</v>
      </c>
      <c r="AJ1155">
        <f>VLOOKUP(C1155,技能辅助查询表,技能配置辅助表!$L$1,FALSE)</f>
        <v>2</v>
      </c>
      <c r="AK1155">
        <f>VLOOKUP(C1155,技能辅助查询表,技能配置辅助表!$AE$1,FALSE)</f>
        <v>66000550</v>
      </c>
    </row>
    <row r="1156" spans="1:37" x14ac:dyDescent="0.15">
      <c r="A1156" s="1">
        <f t="shared" ca="1" si="506"/>
        <v>9322232</v>
      </c>
      <c r="B1156" s="1" t="str">
        <f t="shared" ca="1" si="507"/>
        <v>玫瑰之舞第2段</v>
      </c>
      <c r="C1156" t="s">
        <v>103</v>
      </c>
      <c r="D1156">
        <f t="shared" si="508"/>
        <v>3</v>
      </c>
      <c r="E1156" s="42">
        <f t="shared" ca="1" si="527"/>
        <v>53</v>
      </c>
      <c r="F1156" t="str">
        <f t="shared" ca="1" si="528"/>
        <v>第32级，共造成175.4%点伤害</v>
      </c>
      <c r="G1156">
        <f t="shared" ca="1" si="509"/>
        <v>2</v>
      </c>
      <c r="H1156">
        <f t="shared" si="510"/>
        <v>2</v>
      </c>
      <c r="I1156" s="44">
        <f t="shared" ca="1" si="511"/>
        <v>32</v>
      </c>
      <c r="J1156">
        <f t="shared" si="512"/>
        <v>2</v>
      </c>
      <c r="K1156" s="36">
        <f t="shared" ca="1" si="513"/>
        <v>87.685714285714283</v>
      </c>
      <c r="L1156" s="10">
        <f ca="1">AH1156*VLOOKUP(C1156,技能辅助查询表,技能配置辅助表!$T$1,FALSE)</f>
        <v>0</v>
      </c>
      <c r="M1156">
        <f t="shared" ca="1" si="525"/>
        <v>5440</v>
      </c>
      <c r="N1156" s="33">
        <f ca="1">CHOOSE(1,W1156*U1156,X1156*'[1]0、经济设定'!$C$18)</f>
        <v>54600</v>
      </c>
      <c r="O1156">
        <f t="shared" si="514"/>
        <v>2</v>
      </c>
      <c r="P1156">
        <f t="shared" si="515"/>
        <v>2</v>
      </c>
      <c r="Q1156">
        <f t="shared" si="516"/>
        <v>1</v>
      </c>
      <c r="R1156" s="2">
        <f t="shared" si="517"/>
        <v>4</v>
      </c>
      <c r="S1156" s="2">
        <f t="shared" si="518"/>
        <v>50</v>
      </c>
      <c r="T1156" s="2">
        <f t="shared" si="519"/>
        <v>66.428571428571431</v>
      </c>
      <c r="U1156" s="2">
        <f ca="1">VLOOKUP(E1156,金币生产率!$A$2:$B$120,2,0)</f>
        <v>1820</v>
      </c>
      <c r="V1156" s="2">
        <f t="shared" si="520"/>
        <v>132.85714285714286</v>
      </c>
      <c r="W1156" s="45">
        <f t="shared" ref="W1156:W1219" ca="1" si="532">ROUND((IF(I1156=0,0,ROUND(OFFSET(AD1156,S1156-I1156+510*(1-D1156),0)*(1-$AN$13)/(1-$AN$13^S1156)*$AN$13^(I1156-1),0))+IF(I1156=0,0,ROUND(OFFSET(AD1156,S1156-I1156+510*(2-D1156),0)*(1-$AN$13)/(1-$AN$13^S1156)*$AN$13^(I1156-1),0))+IF(I1156=0,0,ROUND(OFFSET(AD1156,S1156-I1156+510*(3-D1156),0)*(1-$AN$13)/(1-$AN$13^S1156)*$AN$13^(I1156-1),0)))/3,0)</f>
        <v>30</v>
      </c>
      <c r="X1156" s="48">
        <f t="shared" ref="X1156:X1219" ca="1" si="533">IF(I1156=0,0,X1155+W1156)</f>
        <v>406</v>
      </c>
      <c r="Y1156">
        <f t="shared" si="526"/>
        <v>18</v>
      </c>
      <c r="Z1156">
        <f t="shared" ca="1" si="529"/>
        <v>12</v>
      </c>
      <c r="AA1156" t="str">
        <f t="shared" ca="1" si="521"/>
        <v>9322200.png</v>
      </c>
      <c r="AB1156">
        <f t="shared" si="522"/>
        <v>10</v>
      </c>
      <c r="AC1156">
        <f>VLOOKUP(C1156,技能辅助查询表,技能配置辅助表!$W$1,FALSE)</f>
        <v>5331</v>
      </c>
      <c r="AD1156">
        <f t="shared" ca="1" si="530"/>
        <v>110.90684845016003</v>
      </c>
      <c r="AE1156">
        <f>VLOOKUP(C1156,技能辅助查询表,技能配置辅助表!$U$1,FALSE)</f>
        <v>4</v>
      </c>
      <c r="AF1156">
        <f t="shared" ca="1" si="523"/>
        <v>9322232</v>
      </c>
      <c r="AG1156">
        <f t="shared" ca="1" si="524"/>
        <v>52.081632653061227</v>
      </c>
      <c r="AH1156">
        <f t="shared" ca="1" si="531"/>
        <v>735.73534794457942</v>
      </c>
      <c r="AI1156">
        <f ca="1">VLOOKUP(E1156,伤害参考系!$C$4:$E$104,3,FALSE)*$AN$12</f>
        <v>7291.2152408026777</v>
      </c>
      <c r="AJ1156">
        <f>VLOOKUP(C1156,技能辅助查询表,技能配置辅助表!$L$1,FALSE)</f>
        <v>2</v>
      </c>
      <c r="AK1156">
        <f>VLOOKUP(C1156,技能辅助查询表,技能配置辅助表!$AE$1,FALSE)</f>
        <v>66000550</v>
      </c>
    </row>
    <row r="1157" spans="1:37" x14ac:dyDescent="0.15">
      <c r="A1157" s="1">
        <f t="shared" ca="1" si="506"/>
        <v>9322233</v>
      </c>
      <c r="B1157" s="1" t="str">
        <f t="shared" ca="1" si="507"/>
        <v>玫瑰之舞第2段</v>
      </c>
      <c r="C1157" t="s">
        <v>103</v>
      </c>
      <c r="D1157">
        <f t="shared" si="508"/>
        <v>3</v>
      </c>
      <c r="E1157" s="42">
        <f t="shared" ca="1" si="527"/>
        <v>54</v>
      </c>
      <c r="F1157" t="str">
        <f t="shared" ca="1" si="528"/>
        <v>第33级，共造成176.7%点伤害</v>
      </c>
      <c r="G1157">
        <f t="shared" ca="1" si="509"/>
        <v>2</v>
      </c>
      <c r="H1157">
        <f t="shared" si="510"/>
        <v>2</v>
      </c>
      <c r="I1157" s="44">
        <f t="shared" ca="1" si="511"/>
        <v>33</v>
      </c>
      <c r="J1157">
        <f t="shared" si="512"/>
        <v>2</v>
      </c>
      <c r="K1157" s="36">
        <f t="shared" ca="1" si="513"/>
        <v>88.35</v>
      </c>
      <c r="L1157" s="10">
        <f ca="1">AH1157*VLOOKUP(C1157,技能辅助查询表,技能配置辅助表!$T$1,FALSE)</f>
        <v>0</v>
      </c>
      <c r="M1157">
        <f t="shared" ca="1" si="525"/>
        <v>5360</v>
      </c>
      <c r="N1157" s="33">
        <f ca="1">CHOOSE(1,W1157*U1157,X1157*'[1]0、经济设定'!$C$18)</f>
        <v>60576</v>
      </c>
      <c r="O1157">
        <f t="shared" si="514"/>
        <v>2</v>
      </c>
      <c r="P1157">
        <f t="shared" si="515"/>
        <v>2</v>
      </c>
      <c r="Q1157">
        <f t="shared" si="516"/>
        <v>1</v>
      </c>
      <c r="R1157" s="2">
        <f t="shared" si="517"/>
        <v>4</v>
      </c>
      <c r="S1157" s="2">
        <f t="shared" si="518"/>
        <v>50</v>
      </c>
      <c r="T1157" s="2">
        <f t="shared" si="519"/>
        <v>66.428571428571431</v>
      </c>
      <c r="U1157" s="2">
        <f ca="1">VLOOKUP(E1157,金币生产率!$A$2:$B$120,2,0)</f>
        <v>1893</v>
      </c>
      <c r="V1157" s="2">
        <f t="shared" si="520"/>
        <v>132.85714285714286</v>
      </c>
      <c r="W1157" s="45">
        <f t="shared" ca="1" si="532"/>
        <v>32</v>
      </c>
      <c r="X1157" s="48">
        <f t="shared" ca="1" si="533"/>
        <v>438</v>
      </c>
      <c r="Y1157">
        <f t="shared" si="526"/>
        <v>18</v>
      </c>
      <c r="Z1157">
        <f t="shared" ca="1" si="529"/>
        <v>13</v>
      </c>
      <c r="AA1157" t="str">
        <f t="shared" ca="1" si="521"/>
        <v>9322200.png</v>
      </c>
      <c r="AB1157">
        <f t="shared" si="522"/>
        <v>10</v>
      </c>
      <c r="AC1157">
        <f>VLOOKUP(C1157,技能辅助查询表,技能配置辅助表!$W$1,FALSE)</f>
        <v>5331</v>
      </c>
      <c r="AD1157">
        <f t="shared" ca="1" si="530"/>
        <v>128.49167065358125</v>
      </c>
      <c r="AE1157">
        <f>VLOOKUP(C1157,技能辅助查询表,技能配置辅助表!$U$1,FALSE)</f>
        <v>4</v>
      </c>
      <c r="AF1157">
        <f t="shared" ca="1" si="523"/>
        <v>9322233</v>
      </c>
      <c r="AG1157">
        <f t="shared" ca="1" si="524"/>
        <v>53.632653061224488</v>
      </c>
      <c r="AH1157">
        <f t="shared" ca="1" si="531"/>
        <v>837.62497166611001</v>
      </c>
      <c r="AI1157">
        <f ca="1">VLOOKUP(E1157,伤害参考系!$C$4:$E$104,3,FALSE)*$AN$12</f>
        <v>7688.356211538463</v>
      </c>
      <c r="AJ1157">
        <f>VLOOKUP(C1157,技能辅助查询表,技能配置辅助表!$L$1,FALSE)</f>
        <v>2</v>
      </c>
      <c r="AK1157">
        <f>VLOOKUP(C1157,技能辅助查询表,技能配置辅助表!$AE$1,FALSE)</f>
        <v>66000550</v>
      </c>
    </row>
    <row r="1158" spans="1:37" x14ac:dyDescent="0.15">
      <c r="A1158" s="1">
        <f t="shared" ca="1" si="506"/>
        <v>9322234</v>
      </c>
      <c r="B1158" s="1" t="str">
        <f t="shared" ca="1" si="507"/>
        <v>玫瑰之舞第2段</v>
      </c>
      <c r="C1158" t="s">
        <v>103</v>
      </c>
      <c r="D1158">
        <f t="shared" si="508"/>
        <v>3</v>
      </c>
      <c r="E1158" s="42">
        <f t="shared" ca="1" si="527"/>
        <v>56</v>
      </c>
      <c r="F1158" t="str">
        <f t="shared" ca="1" si="528"/>
        <v>第34级，共造成178%点伤害</v>
      </c>
      <c r="G1158">
        <f t="shared" ca="1" si="509"/>
        <v>2</v>
      </c>
      <c r="H1158">
        <f t="shared" si="510"/>
        <v>2</v>
      </c>
      <c r="I1158" s="44">
        <f t="shared" ca="1" si="511"/>
        <v>34</v>
      </c>
      <c r="J1158">
        <f t="shared" si="512"/>
        <v>2</v>
      </c>
      <c r="K1158" s="36">
        <f t="shared" ca="1" si="513"/>
        <v>89.01428571428572</v>
      </c>
      <c r="L1158" s="10">
        <f ca="1">AH1158*VLOOKUP(C1158,技能辅助查询表,技能配置辅助表!$T$1,FALSE)</f>
        <v>0</v>
      </c>
      <c r="M1158">
        <f t="shared" ca="1" si="525"/>
        <v>5280</v>
      </c>
      <c r="N1158" s="33">
        <f ca="1">CHOOSE(1,W1158*U1158,X1158*'[1]0、经济设定'!$C$18)</f>
        <v>69428</v>
      </c>
      <c r="O1158">
        <f t="shared" si="514"/>
        <v>2</v>
      </c>
      <c r="P1158">
        <f t="shared" si="515"/>
        <v>2</v>
      </c>
      <c r="Q1158">
        <f t="shared" si="516"/>
        <v>1</v>
      </c>
      <c r="R1158" s="2">
        <f t="shared" si="517"/>
        <v>4</v>
      </c>
      <c r="S1158" s="2">
        <f t="shared" si="518"/>
        <v>50</v>
      </c>
      <c r="T1158" s="2">
        <f t="shared" si="519"/>
        <v>66.428571428571431</v>
      </c>
      <c r="U1158" s="2">
        <f ca="1">VLOOKUP(E1158,金币生产率!$A$2:$B$120,2,0)</f>
        <v>2042</v>
      </c>
      <c r="V1158" s="2">
        <f t="shared" si="520"/>
        <v>132.85714285714286</v>
      </c>
      <c r="W1158" s="45">
        <f t="shared" ca="1" si="532"/>
        <v>34</v>
      </c>
      <c r="X1158" s="48">
        <f t="shared" ca="1" si="533"/>
        <v>472</v>
      </c>
      <c r="Y1158">
        <f t="shared" si="526"/>
        <v>18</v>
      </c>
      <c r="Z1158">
        <f t="shared" ca="1" si="529"/>
        <v>14</v>
      </c>
      <c r="AA1158" t="str">
        <f t="shared" ca="1" si="521"/>
        <v>9322200.png</v>
      </c>
      <c r="AB1158">
        <f t="shared" si="522"/>
        <v>10</v>
      </c>
      <c r="AC1158">
        <f>VLOOKUP(C1158,技能辅助查询表,技能配置辅助表!$W$1,FALSE)</f>
        <v>5331</v>
      </c>
      <c r="AD1158">
        <f t="shared" ca="1" si="530"/>
        <v>148.81998691274859</v>
      </c>
      <c r="AE1158">
        <f>VLOOKUP(C1158,技能辅助查询表,技能配置辅助表!$U$1,FALSE)</f>
        <v>4</v>
      </c>
      <c r="AF1158">
        <f t="shared" ca="1" si="523"/>
        <v>9322234</v>
      </c>
      <c r="AG1158">
        <f t="shared" ca="1" si="524"/>
        <v>55.183673469387756</v>
      </c>
      <c r="AH1158">
        <f t="shared" ca="1" si="531"/>
        <v>953.62496190886134</v>
      </c>
      <c r="AI1158">
        <f ca="1">VLOOKUP(E1158,伤害参考系!$C$4:$E$104,3,FALSE)*$AN$12</f>
        <v>8513.8763929765901</v>
      </c>
      <c r="AJ1158">
        <f>VLOOKUP(C1158,技能辅助查询表,技能配置辅助表!$L$1,FALSE)</f>
        <v>2</v>
      </c>
      <c r="AK1158">
        <f>VLOOKUP(C1158,技能辅助查询表,技能配置辅助表!$AE$1,FALSE)</f>
        <v>66000550</v>
      </c>
    </row>
    <row r="1159" spans="1:37" x14ac:dyDescent="0.15">
      <c r="A1159" s="1">
        <f t="shared" ca="1" si="506"/>
        <v>9322235</v>
      </c>
      <c r="B1159" s="1" t="str">
        <f t="shared" ca="1" si="507"/>
        <v>玫瑰之舞第2段</v>
      </c>
      <c r="C1159" t="s">
        <v>103</v>
      </c>
      <c r="D1159">
        <f t="shared" si="508"/>
        <v>3</v>
      </c>
      <c r="E1159" s="42">
        <f t="shared" ca="1" si="527"/>
        <v>57</v>
      </c>
      <c r="F1159" t="str">
        <f t="shared" ca="1" si="528"/>
        <v>第35级，共造成179.4%点伤害</v>
      </c>
      <c r="G1159">
        <f t="shared" ca="1" si="509"/>
        <v>2</v>
      </c>
      <c r="H1159">
        <f t="shared" si="510"/>
        <v>2</v>
      </c>
      <c r="I1159" s="44">
        <f t="shared" ca="1" si="511"/>
        <v>35</v>
      </c>
      <c r="J1159">
        <f t="shared" si="512"/>
        <v>2</v>
      </c>
      <c r="K1159" s="36">
        <f t="shared" ca="1" si="513"/>
        <v>89.678571428571431</v>
      </c>
      <c r="L1159" s="10">
        <f ca="1">AH1159*VLOOKUP(C1159,技能辅助查询表,技能配置辅助表!$T$1,FALSE)</f>
        <v>0</v>
      </c>
      <c r="M1159">
        <f t="shared" ca="1" si="525"/>
        <v>5200</v>
      </c>
      <c r="N1159" s="33">
        <f ca="1">CHOOSE(1,W1159*U1159,X1159*'[1]0、经济设定'!$C$18)</f>
        <v>76284</v>
      </c>
      <c r="O1159">
        <f t="shared" si="514"/>
        <v>2</v>
      </c>
      <c r="P1159">
        <f t="shared" si="515"/>
        <v>2</v>
      </c>
      <c r="Q1159">
        <f t="shared" si="516"/>
        <v>1</v>
      </c>
      <c r="R1159" s="2">
        <f t="shared" si="517"/>
        <v>4</v>
      </c>
      <c r="S1159" s="2">
        <f t="shared" si="518"/>
        <v>50</v>
      </c>
      <c r="T1159" s="2">
        <f t="shared" si="519"/>
        <v>66.428571428571431</v>
      </c>
      <c r="U1159" s="2">
        <f ca="1">VLOOKUP(E1159,金币生产率!$A$2:$B$120,2,0)</f>
        <v>2119</v>
      </c>
      <c r="V1159" s="2">
        <f t="shared" si="520"/>
        <v>132.85714285714286</v>
      </c>
      <c r="W1159" s="45">
        <f t="shared" ca="1" si="532"/>
        <v>36</v>
      </c>
      <c r="X1159" s="48">
        <f t="shared" ca="1" si="533"/>
        <v>508</v>
      </c>
      <c r="Y1159">
        <f t="shared" si="526"/>
        <v>18</v>
      </c>
      <c r="Z1159">
        <f t="shared" ca="1" si="529"/>
        <v>15</v>
      </c>
      <c r="AA1159" t="str">
        <f t="shared" ca="1" si="521"/>
        <v>9322200.png</v>
      </c>
      <c r="AB1159">
        <f t="shared" si="522"/>
        <v>10</v>
      </c>
      <c r="AC1159">
        <f>VLOOKUP(C1159,技能辅助查询表,技能配置辅助表!$W$1,FALSE)</f>
        <v>5331</v>
      </c>
      <c r="AD1159">
        <f t="shared" ca="1" si="530"/>
        <v>172.31442048263017</v>
      </c>
      <c r="AE1159">
        <f>VLOOKUP(C1159,技能辅助查询表,技能配置辅助表!$U$1,FALSE)</f>
        <v>4</v>
      </c>
      <c r="AF1159">
        <f t="shared" ca="1" si="523"/>
        <v>9322235</v>
      </c>
      <c r="AG1159">
        <f t="shared" ca="1" si="524"/>
        <v>56.734693877551024</v>
      </c>
      <c r="AH1159">
        <f t="shared" ca="1" si="531"/>
        <v>1085.689417982368</v>
      </c>
      <c r="AI1159">
        <f ca="1">VLOOKUP(E1159,伤害参考系!$C$4:$E$104,3,FALSE)*$AN$12</f>
        <v>8942.2556036789319</v>
      </c>
      <c r="AJ1159">
        <f>VLOOKUP(C1159,技能辅助查询表,技能配置辅助表!$L$1,FALSE)</f>
        <v>2</v>
      </c>
      <c r="AK1159">
        <f>VLOOKUP(C1159,技能辅助查询表,技能配置辅助表!$AE$1,FALSE)</f>
        <v>66000550</v>
      </c>
    </row>
    <row r="1160" spans="1:37" x14ac:dyDescent="0.15">
      <c r="A1160" s="1">
        <f t="shared" ca="1" si="506"/>
        <v>9322236</v>
      </c>
      <c r="B1160" s="1" t="str">
        <f t="shared" ca="1" si="507"/>
        <v>玫瑰之舞第2段</v>
      </c>
      <c r="C1160" t="s">
        <v>103</v>
      </c>
      <c r="D1160">
        <f t="shared" si="508"/>
        <v>3</v>
      </c>
      <c r="E1160" s="42">
        <f t="shared" ca="1" si="527"/>
        <v>59</v>
      </c>
      <c r="F1160" t="str">
        <f t="shared" ca="1" si="528"/>
        <v>第36级，共造成180.7%点伤害</v>
      </c>
      <c r="G1160">
        <f t="shared" ca="1" si="509"/>
        <v>2</v>
      </c>
      <c r="H1160">
        <f t="shared" si="510"/>
        <v>2</v>
      </c>
      <c r="I1160" s="44">
        <f t="shared" ca="1" si="511"/>
        <v>36</v>
      </c>
      <c r="J1160">
        <f t="shared" si="512"/>
        <v>2</v>
      </c>
      <c r="K1160" s="36">
        <f t="shared" ca="1" si="513"/>
        <v>90.342857142857142</v>
      </c>
      <c r="L1160" s="10">
        <f ca="1">AH1160*VLOOKUP(C1160,技能辅助查询表,技能配置辅助表!$T$1,FALSE)</f>
        <v>0</v>
      </c>
      <c r="M1160">
        <f t="shared" ca="1" si="525"/>
        <v>5120</v>
      </c>
      <c r="N1160" s="33">
        <f ca="1">CHOOSE(1,W1160*U1160,X1160*'[1]0、经济设定'!$C$18)</f>
        <v>88803</v>
      </c>
      <c r="O1160">
        <f t="shared" si="514"/>
        <v>2</v>
      </c>
      <c r="P1160">
        <f t="shared" si="515"/>
        <v>2</v>
      </c>
      <c r="Q1160">
        <f t="shared" si="516"/>
        <v>1</v>
      </c>
      <c r="R1160" s="2">
        <f t="shared" si="517"/>
        <v>4</v>
      </c>
      <c r="S1160" s="2">
        <f t="shared" si="518"/>
        <v>50</v>
      </c>
      <c r="T1160" s="2">
        <f t="shared" si="519"/>
        <v>66.428571428571431</v>
      </c>
      <c r="U1160" s="2">
        <f ca="1">VLOOKUP(E1160,金币生产率!$A$2:$B$120,2,0)</f>
        <v>2277</v>
      </c>
      <c r="V1160" s="2">
        <f t="shared" si="520"/>
        <v>132.85714285714286</v>
      </c>
      <c r="W1160" s="45">
        <f t="shared" ca="1" si="532"/>
        <v>39</v>
      </c>
      <c r="X1160" s="48">
        <f t="shared" ca="1" si="533"/>
        <v>547</v>
      </c>
      <c r="Y1160">
        <f t="shared" si="526"/>
        <v>18</v>
      </c>
      <c r="Z1160">
        <f t="shared" ca="1" si="529"/>
        <v>16</v>
      </c>
      <c r="AA1160" t="str">
        <f t="shared" ca="1" si="521"/>
        <v>9322200.png</v>
      </c>
      <c r="AB1160">
        <f t="shared" si="522"/>
        <v>10</v>
      </c>
      <c r="AC1160">
        <f>VLOOKUP(C1160,技能辅助查询表,技能配置辅助表!$W$1,FALSE)</f>
        <v>5331</v>
      </c>
      <c r="AD1160">
        <f t="shared" ca="1" si="530"/>
        <v>199.46203374335869</v>
      </c>
      <c r="AE1160">
        <f>VLOOKUP(C1160,技能辅助查询表,技能配置辅助表!$U$1,FALSE)</f>
        <v>4</v>
      </c>
      <c r="AF1160">
        <f t="shared" ca="1" si="523"/>
        <v>9322236</v>
      </c>
      <c r="AG1160">
        <f t="shared" ca="1" si="524"/>
        <v>58.285714285714285</v>
      </c>
      <c r="AH1160">
        <f t="shared" ca="1" si="531"/>
        <v>1236.0430561291703</v>
      </c>
      <c r="AI1160">
        <f ca="1">VLOOKUP(E1160,伤害参考系!$C$4:$E$104,3,FALSE)*$AN$12</f>
        <v>9830.2522650501687</v>
      </c>
      <c r="AJ1160">
        <f>VLOOKUP(C1160,技能辅助查询表,技能配置辅助表!$L$1,FALSE)</f>
        <v>2</v>
      </c>
      <c r="AK1160">
        <f>VLOOKUP(C1160,技能辅助查询表,技能配置辅助表!$AE$1,FALSE)</f>
        <v>66000550</v>
      </c>
    </row>
    <row r="1161" spans="1:37" x14ac:dyDescent="0.15">
      <c r="A1161" s="1">
        <f t="shared" ca="1" si="506"/>
        <v>9322237</v>
      </c>
      <c r="B1161" s="1" t="str">
        <f t="shared" ca="1" si="507"/>
        <v>玫瑰之舞第2段</v>
      </c>
      <c r="C1161" t="s">
        <v>103</v>
      </c>
      <c r="D1161">
        <f t="shared" si="508"/>
        <v>3</v>
      </c>
      <c r="E1161" s="42">
        <f t="shared" ca="1" si="527"/>
        <v>60</v>
      </c>
      <c r="F1161" t="str">
        <f t="shared" ca="1" si="528"/>
        <v>第37级，共造成182%点伤害</v>
      </c>
      <c r="G1161">
        <f t="shared" ca="1" si="509"/>
        <v>2</v>
      </c>
      <c r="H1161">
        <f t="shared" si="510"/>
        <v>2</v>
      </c>
      <c r="I1161" s="44">
        <f t="shared" ca="1" si="511"/>
        <v>37</v>
      </c>
      <c r="J1161">
        <f t="shared" si="512"/>
        <v>2</v>
      </c>
      <c r="K1161" s="36">
        <f t="shared" ca="1" si="513"/>
        <v>91.007142857142867</v>
      </c>
      <c r="L1161" s="10">
        <f ca="1">AH1161*VLOOKUP(C1161,技能辅助查询表,技能配置辅助表!$T$1,FALSE)</f>
        <v>0</v>
      </c>
      <c r="M1161">
        <f t="shared" ca="1" si="525"/>
        <v>5040</v>
      </c>
      <c r="N1161" s="33">
        <f ca="1">CHOOSE(1,W1161*U1161,X1161*'[1]0、经济设定'!$C$18)</f>
        <v>99036</v>
      </c>
      <c r="O1161">
        <f t="shared" si="514"/>
        <v>2</v>
      </c>
      <c r="P1161">
        <f t="shared" si="515"/>
        <v>2</v>
      </c>
      <c r="Q1161">
        <f t="shared" si="516"/>
        <v>1</v>
      </c>
      <c r="R1161" s="2">
        <f t="shared" si="517"/>
        <v>4</v>
      </c>
      <c r="S1161" s="2">
        <f t="shared" si="518"/>
        <v>50</v>
      </c>
      <c r="T1161" s="2">
        <f t="shared" si="519"/>
        <v>66.428571428571431</v>
      </c>
      <c r="U1161" s="2">
        <f ca="1">VLOOKUP(E1161,金币生产率!$A$2:$B$120,2,0)</f>
        <v>2358</v>
      </c>
      <c r="V1161" s="2">
        <f t="shared" si="520"/>
        <v>132.85714285714286</v>
      </c>
      <c r="W1161" s="45">
        <f t="shared" ca="1" si="532"/>
        <v>42</v>
      </c>
      <c r="X1161" s="48">
        <f t="shared" ca="1" si="533"/>
        <v>589</v>
      </c>
      <c r="Y1161">
        <f t="shared" si="526"/>
        <v>18</v>
      </c>
      <c r="Z1161">
        <f t="shared" ca="1" si="529"/>
        <v>17</v>
      </c>
      <c r="AA1161" t="str">
        <f t="shared" ca="1" si="521"/>
        <v>9322200.png</v>
      </c>
      <c r="AB1161">
        <f t="shared" si="522"/>
        <v>10</v>
      </c>
      <c r="AC1161">
        <f>VLOOKUP(C1161,技能辅助查询表,技能配置辅助表!$W$1,FALSE)</f>
        <v>5331</v>
      </c>
      <c r="AD1161">
        <f t="shared" ca="1" si="530"/>
        <v>230.82407081681791</v>
      </c>
      <c r="AE1161">
        <f>VLOOKUP(C1161,技能辅助查询表,技能配置辅助表!$U$1,FALSE)</f>
        <v>4</v>
      </c>
      <c r="AF1161">
        <f t="shared" ca="1" si="523"/>
        <v>9322237</v>
      </c>
      <c r="AG1161">
        <f t="shared" ca="1" si="524"/>
        <v>59.836734693877553</v>
      </c>
      <c r="AH1161">
        <f t="shared" ca="1" si="531"/>
        <v>1407.2186863941167</v>
      </c>
      <c r="AI1161">
        <f ca="1">VLOOKUP(E1161,伤害参考系!$C$4:$E$104,3,FALSE)*$AN$12</f>
        <v>10340.558729096994</v>
      </c>
      <c r="AJ1161">
        <f>VLOOKUP(C1161,技能辅助查询表,技能配置辅助表!$L$1,FALSE)</f>
        <v>2</v>
      </c>
      <c r="AK1161">
        <f>VLOOKUP(C1161,技能辅助查询表,技能配置辅助表!$AE$1,FALSE)</f>
        <v>66000550</v>
      </c>
    </row>
    <row r="1162" spans="1:37" x14ac:dyDescent="0.15">
      <c r="A1162" s="1">
        <f t="shared" ca="1" si="506"/>
        <v>9322238</v>
      </c>
      <c r="B1162" s="1" t="str">
        <f t="shared" ca="1" si="507"/>
        <v>玫瑰之舞第2段</v>
      </c>
      <c r="C1162" t="s">
        <v>103</v>
      </c>
      <c r="D1162">
        <f t="shared" si="508"/>
        <v>3</v>
      </c>
      <c r="E1162" s="42">
        <f t="shared" ca="1" si="527"/>
        <v>62</v>
      </c>
      <c r="F1162" t="str">
        <f t="shared" ca="1" si="528"/>
        <v>第38级，共造成183.3%点伤害</v>
      </c>
      <c r="G1162">
        <f t="shared" ca="1" si="509"/>
        <v>2</v>
      </c>
      <c r="H1162">
        <f t="shared" si="510"/>
        <v>2</v>
      </c>
      <c r="I1162" s="44">
        <f t="shared" ca="1" si="511"/>
        <v>38</v>
      </c>
      <c r="J1162">
        <f t="shared" si="512"/>
        <v>2</v>
      </c>
      <c r="K1162" s="36">
        <f t="shared" ca="1" si="513"/>
        <v>91.671428571428578</v>
      </c>
      <c r="L1162" s="10">
        <f ca="1">AH1162*VLOOKUP(C1162,技能辅助查询表,技能配置辅助表!$T$1,FALSE)</f>
        <v>0</v>
      </c>
      <c r="M1162">
        <f t="shared" ca="1" si="525"/>
        <v>4960</v>
      </c>
      <c r="N1162" s="33">
        <f ca="1">CHOOSE(1,W1162*U1162,X1162*'[1]0、经济设定'!$C$18)</f>
        <v>113580</v>
      </c>
      <c r="O1162">
        <f t="shared" si="514"/>
        <v>2</v>
      </c>
      <c r="P1162">
        <f t="shared" si="515"/>
        <v>2</v>
      </c>
      <c r="Q1162">
        <f t="shared" si="516"/>
        <v>1</v>
      </c>
      <c r="R1162" s="2">
        <f t="shared" si="517"/>
        <v>4</v>
      </c>
      <c r="S1162" s="2">
        <f t="shared" si="518"/>
        <v>50</v>
      </c>
      <c r="T1162" s="2">
        <f t="shared" si="519"/>
        <v>66.428571428571431</v>
      </c>
      <c r="U1162" s="2">
        <f ca="1">VLOOKUP(E1162,金币生产率!$A$2:$B$120,2,0)</f>
        <v>2524</v>
      </c>
      <c r="V1162" s="2">
        <f t="shared" si="520"/>
        <v>132.85714285714286</v>
      </c>
      <c r="W1162" s="45">
        <f t="shared" ca="1" si="532"/>
        <v>45</v>
      </c>
      <c r="X1162" s="48">
        <f t="shared" ca="1" si="533"/>
        <v>634</v>
      </c>
      <c r="Y1162">
        <f t="shared" si="526"/>
        <v>18</v>
      </c>
      <c r="Z1162">
        <f t="shared" ca="1" si="529"/>
        <v>18</v>
      </c>
      <c r="AA1162" t="str">
        <f t="shared" ca="1" si="521"/>
        <v>9322200.png</v>
      </c>
      <c r="AB1162">
        <f t="shared" si="522"/>
        <v>10</v>
      </c>
      <c r="AC1162">
        <f>VLOOKUP(C1162,技能辅助查询表,技能配置辅助表!$W$1,FALSE)</f>
        <v>5331</v>
      </c>
      <c r="AD1162">
        <f t="shared" ca="1" si="530"/>
        <v>267.04716277898876</v>
      </c>
      <c r="AE1162">
        <f>VLOOKUP(C1162,技能辅助查询表,技能配置辅助表!$U$1,FALSE)</f>
        <v>4</v>
      </c>
      <c r="AF1162">
        <f t="shared" ca="1" si="523"/>
        <v>9322238</v>
      </c>
      <c r="AG1162">
        <f t="shared" ca="1" si="524"/>
        <v>61.387755102040813</v>
      </c>
      <c r="AH1162">
        <f t="shared" ca="1" si="531"/>
        <v>1602.0998795448415</v>
      </c>
      <c r="AI1162">
        <f ca="1">VLOOKUP(E1162,伤害参考系!$C$4:$E$104,3,FALSE)*$AN$12</f>
        <v>11398.657545150505</v>
      </c>
      <c r="AJ1162">
        <f>VLOOKUP(C1162,技能辅助查询表,技能配置辅助表!$L$1,FALSE)</f>
        <v>2</v>
      </c>
      <c r="AK1162">
        <f>VLOOKUP(C1162,技能辅助查询表,技能配置辅助表!$AE$1,FALSE)</f>
        <v>66000550</v>
      </c>
    </row>
    <row r="1163" spans="1:37" x14ac:dyDescent="0.15">
      <c r="A1163" s="1">
        <f t="shared" ca="1" si="506"/>
        <v>9322239</v>
      </c>
      <c r="B1163" s="1" t="str">
        <f t="shared" ca="1" si="507"/>
        <v>玫瑰之舞第2段</v>
      </c>
      <c r="C1163" t="s">
        <v>103</v>
      </c>
      <c r="D1163">
        <f t="shared" si="508"/>
        <v>3</v>
      </c>
      <c r="E1163" s="42">
        <f t="shared" ca="1" si="527"/>
        <v>63</v>
      </c>
      <c r="F1163" t="str">
        <f t="shared" ca="1" si="528"/>
        <v>第39级，共造成184.7%点伤害</v>
      </c>
      <c r="G1163">
        <f t="shared" ca="1" si="509"/>
        <v>2</v>
      </c>
      <c r="H1163">
        <f t="shared" si="510"/>
        <v>2</v>
      </c>
      <c r="I1163" s="44">
        <f t="shared" ca="1" si="511"/>
        <v>39</v>
      </c>
      <c r="J1163">
        <f t="shared" si="512"/>
        <v>2</v>
      </c>
      <c r="K1163" s="36">
        <f t="shared" ca="1" si="513"/>
        <v>92.335714285714289</v>
      </c>
      <c r="L1163" s="10">
        <f ca="1">AH1163*VLOOKUP(C1163,技能辅助查询表,技能配置辅助表!$T$1,FALSE)</f>
        <v>0</v>
      </c>
      <c r="M1163">
        <f t="shared" ca="1" si="525"/>
        <v>4880</v>
      </c>
      <c r="N1163" s="33">
        <f ca="1">CHOOSE(1,W1163*U1163,X1163*'[1]0、经济设定'!$C$18)</f>
        <v>125232</v>
      </c>
      <c r="O1163">
        <f t="shared" si="514"/>
        <v>2</v>
      </c>
      <c r="P1163">
        <f t="shared" si="515"/>
        <v>2</v>
      </c>
      <c r="Q1163">
        <f t="shared" si="516"/>
        <v>1</v>
      </c>
      <c r="R1163" s="2">
        <f t="shared" si="517"/>
        <v>4</v>
      </c>
      <c r="S1163" s="2">
        <f t="shared" si="518"/>
        <v>50</v>
      </c>
      <c r="T1163" s="2">
        <f t="shared" si="519"/>
        <v>66.428571428571431</v>
      </c>
      <c r="U1163" s="2">
        <f ca="1">VLOOKUP(E1163,金币生产率!$A$2:$B$120,2,0)</f>
        <v>2609</v>
      </c>
      <c r="V1163" s="2">
        <f t="shared" si="520"/>
        <v>132.85714285714286</v>
      </c>
      <c r="W1163" s="45">
        <f t="shared" ca="1" si="532"/>
        <v>48</v>
      </c>
      <c r="X1163" s="48">
        <f t="shared" ca="1" si="533"/>
        <v>682</v>
      </c>
      <c r="Y1163">
        <f t="shared" si="526"/>
        <v>18</v>
      </c>
      <c r="Z1163">
        <f t="shared" ca="1" si="529"/>
        <v>20</v>
      </c>
      <c r="AA1163" t="str">
        <f t="shared" ca="1" si="521"/>
        <v>9322200.png</v>
      </c>
      <c r="AB1163">
        <f t="shared" si="522"/>
        <v>10</v>
      </c>
      <c r="AC1163">
        <f>VLOOKUP(C1163,技能辅助查询表,技能配置辅助表!$W$1,FALSE)</f>
        <v>5331</v>
      </c>
      <c r="AD1163">
        <f t="shared" ca="1" si="530"/>
        <v>308.87621371878566</v>
      </c>
      <c r="AE1163">
        <f>VLOOKUP(C1163,技能辅助查询表,技能配置辅助表!$U$1,FALSE)</f>
        <v>4</v>
      </c>
      <c r="AF1163">
        <f t="shared" ca="1" si="523"/>
        <v>9322239</v>
      </c>
      <c r="AG1163">
        <f t="shared" ca="1" si="524"/>
        <v>62.938775510204081</v>
      </c>
      <c r="AH1163">
        <f t="shared" ca="1" si="531"/>
        <v>1823.9695427969455</v>
      </c>
      <c r="AI1163">
        <f ca="1">VLOOKUP(E1163,伤害参考系!$C$4:$E$104,3,FALSE)*$AN$12</f>
        <v>11946.449897157196</v>
      </c>
      <c r="AJ1163">
        <f>VLOOKUP(C1163,技能辅助查询表,技能配置辅助表!$L$1,FALSE)</f>
        <v>2</v>
      </c>
      <c r="AK1163">
        <f>VLOOKUP(C1163,技能辅助查询表,技能配置辅助表!$AE$1,FALSE)</f>
        <v>66000550</v>
      </c>
    </row>
    <row r="1164" spans="1:37" x14ac:dyDescent="0.15">
      <c r="A1164" s="1">
        <f t="shared" ca="1" si="506"/>
        <v>9322240</v>
      </c>
      <c r="B1164" s="1" t="str">
        <f t="shared" ca="1" si="507"/>
        <v>玫瑰之舞第2段</v>
      </c>
      <c r="C1164" t="s">
        <v>103</v>
      </c>
      <c r="D1164">
        <f t="shared" si="508"/>
        <v>3</v>
      </c>
      <c r="E1164" s="42">
        <f t="shared" ca="1" si="527"/>
        <v>65</v>
      </c>
      <c r="F1164" t="str">
        <f t="shared" ca="1" si="528"/>
        <v>第40级，共造成186%点伤害</v>
      </c>
      <c r="G1164">
        <f t="shared" ca="1" si="509"/>
        <v>2</v>
      </c>
      <c r="H1164">
        <f t="shared" si="510"/>
        <v>2</v>
      </c>
      <c r="I1164" s="44">
        <f t="shared" ca="1" si="511"/>
        <v>40</v>
      </c>
      <c r="J1164">
        <f t="shared" si="512"/>
        <v>2</v>
      </c>
      <c r="K1164" s="36">
        <f t="shared" ca="1" si="513"/>
        <v>93</v>
      </c>
      <c r="L1164" s="10">
        <f ca="1">AH1164*VLOOKUP(C1164,技能辅助查询表,技能配置辅助表!$T$1,FALSE)</f>
        <v>0</v>
      </c>
      <c r="M1164">
        <f t="shared" ca="1" si="525"/>
        <v>4800</v>
      </c>
      <c r="N1164" s="33">
        <f ca="1">CHOOSE(1,W1164*U1164,X1164*'[1]0、经济设定'!$C$18)</f>
        <v>141933</v>
      </c>
      <c r="O1164">
        <f t="shared" si="514"/>
        <v>2</v>
      </c>
      <c r="P1164">
        <f t="shared" si="515"/>
        <v>2</v>
      </c>
      <c r="Q1164">
        <f t="shared" si="516"/>
        <v>1</v>
      </c>
      <c r="R1164" s="2">
        <f t="shared" si="517"/>
        <v>4</v>
      </c>
      <c r="S1164" s="2">
        <f t="shared" si="518"/>
        <v>50</v>
      </c>
      <c r="T1164" s="2">
        <f t="shared" si="519"/>
        <v>66.428571428571431</v>
      </c>
      <c r="U1164" s="2">
        <f ca="1">VLOOKUP(E1164,金币生产率!$A$2:$B$120,2,0)</f>
        <v>2783</v>
      </c>
      <c r="V1164" s="2">
        <f t="shared" si="520"/>
        <v>132.85714285714286</v>
      </c>
      <c r="W1164" s="45">
        <f t="shared" ca="1" si="532"/>
        <v>51</v>
      </c>
      <c r="X1164" s="48">
        <f t="shared" ca="1" si="533"/>
        <v>733</v>
      </c>
      <c r="Y1164">
        <f t="shared" si="526"/>
        <v>18</v>
      </c>
      <c r="Z1164">
        <f t="shared" ca="1" si="529"/>
        <v>21</v>
      </c>
      <c r="AA1164" t="str">
        <f t="shared" ca="1" si="521"/>
        <v>9322200.png</v>
      </c>
      <c r="AB1164">
        <f t="shared" si="522"/>
        <v>10</v>
      </c>
      <c r="AC1164">
        <f>VLOOKUP(C1164,技能辅助查询表,技能配置辅助表!$W$1,FALSE)</f>
        <v>5331</v>
      </c>
      <c r="AD1164">
        <f t="shared" ca="1" si="530"/>
        <v>357.16921829325872</v>
      </c>
      <c r="AE1164">
        <f>VLOOKUP(C1164,技能辅助查询表,技能配置辅助表!$U$1,FALSE)</f>
        <v>4</v>
      </c>
      <c r="AF1164">
        <f t="shared" ca="1" si="523"/>
        <v>9322240</v>
      </c>
      <c r="AG1164">
        <f t="shared" ca="1" si="524"/>
        <v>64.489795918367349</v>
      </c>
      <c r="AH1164">
        <f t="shared" ca="1" si="531"/>
        <v>2076.5652226352254</v>
      </c>
      <c r="AI1164">
        <f ca="1">VLOOKUP(E1164,伤害参考系!$C$4:$E$104,3,FALSE)*$AN$12</f>
        <v>13079.520489130437</v>
      </c>
      <c r="AJ1164">
        <f>VLOOKUP(C1164,技能辅助查询表,技能配置辅助表!$L$1,FALSE)</f>
        <v>2</v>
      </c>
      <c r="AK1164">
        <f>VLOOKUP(C1164,技能辅助查询表,技能配置辅助表!$AE$1,FALSE)</f>
        <v>66000550</v>
      </c>
    </row>
    <row r="1165" spans="1:37" x14ac:dyDescent="0.15">
      <c r="A1165" s="1">
        <f t="shared" ca="1" si="506"/>
        <v>9322241</v>
      </c>
      <c r="B1165" s="1" t="str">
        <f t="shared" ca="1" si="507"/>
        <v>玫瑰之舞第2段</v>
      </c>
      <c r="C1165" t="s">
        <v>103</v>
      </c>
      <c r="D1165">
        <f t="shared" si="508"/>
        <v>3</v>
      </c>
      <c r="E1165" s="42">
        <f t="shared" ca="1" si="527"/>
        <v>66</v>
      </c>
      <c r="F1165" t="str">
        <f t="shared" ca="1" si="528"/>
        <v>第41级，共造成187.3%点伤害</v>
      </c>
      <c r="G1165">
        <f t="shared" ca="1" si="509"/>
        <v>2</v>
      </c>
      <c r="H1165">
        <f t="shared" si="510"/>
        <v>2</v>
      </c>
      <c r="I1165" s="44">
        <f t="shared" ca="1" si="511"/>
        <v>41</v>
      </c>
      <c r="J1165">
        <f t="shared" si="512"/>
        <v>2</v>
      </c>
      <c r="K1165" s="36">
        <f t="shared" ca="1" si="513"/>
        <v>93.664285714285711</v>
      </c>
      <c r="L1165" s="10">
        <f ca="1">AH1165*VLOOKUP(C1165,技能辅助查询表,技能配置辅助表!$T$1,FALSE)</f>
        <v>0</v>
      </c>
      <c r="M1165">
        <f t="shared" ca="1" si="525"/>
        <v>4720</v>
      </c>
      <c r="N1165" s="33">
        <f ca="1">CHOOSE(1,W1165*U1165,X1165*'[1]0、经济设定'!$C$18)</f>
        <v>157960</v>
      </c>
      <c r="O1165">
        <f t="shared" si="514"/>
        <v>2</v>
      </c>
      <c r="P1165">
        <f t="shared" si="515"/>
        <v>2</v>
      </c>
      <c r="Q1165">
        <f t="shared" si="516"/>
        <v>1</v>
      </c>
      <c r="R1165" s="2">
        <f t="shared" si="517"/>
        <v>4</v>
      </c>
      <c r="S1165" s="2">
        <f t="shared" si="518"/>
        <v>50</v>
      </c>
      <c r="T1165" s="2">
        <f t="shared" si="519"/>
        <v>66.428571428571431</v>
      </c>
      <c r="U1165" s="2">
        <f ca="1">VLOOKUP(E1165,金币生产率!$A$2:$B$120,2,0)</f>
        <v>2872</v>
      </c>
      <c r="V1165" s="2">
        <f t="shared" si="520"/>
        <v>132.85714285714286</v>
      </c>
      <c r="W1165" s="45">
        <f t="shared" ca="1" si="532"/>
        <v>55</v>
      </c>
      <c r="X1165" s="48">
        <f t="shared" ca="1" si="533"/>
        <v>788</v>
      </c>
      <c r="Y1165">
        <f t="shared" si="526"/>
        <v>18</v>
      </c>
      <c r="Z1165">
        <f t="shared" ca="1" si="529"/>
        <v>22</v>
      </c>
      <c r="AA1165" t="str">
        <f t="shared" ca="1" si="521"/>
        <v>9322200.png</v>
      </c>
      <c r="AB1165">
        <f t="shared" si="522"/>
        <v>10</v>
      </c>
      <c r="AC1165">
        <f>VLOOKUP(C1165,技能辅助查询表,技能配置辅助表!$W$1,FALSE)</f>
        <v>5331</v>
      </c>
      <c r="AD1165">
        <f t="shared" ca="1" si="530"/>
        <v>412.91429861617689</v>
      </c>
      <c r="AE1165">
        <f>VLOOKUP(C1165,技能辅助查询表,技能配置辅助表!$U$1,FALSE)</f>
        <v>4</v>
      </c>
      <c r="AF1165">
        <f t="shared" ca="1" si="523"/>
        <v>9322241</v>
      </c>
      <c r="AG1165">
        <f t="shared" ca="1" si="524"/>
        <v>66.040816326530603</v>
      </c>
      <c r="AH1165">
        <f t="shared" ca="1" si="531"/>
        <v>2364.1420663448707</v>
      </c>
      <c r="AI1165">
        <f ca="1">VLOOKUP(E1165,伤害参考系!$C$4:$E$104,3,FALSE)*$AN$12</f>
        <v>13664.798729096996</v>
      </c>
      <c r="AJ1165">
        <f>VLOOKUP(C1165,技能辅助查询表,技能配置辅助表!$L$1,FALSE)</f>
        <v>2</v>
      </c>
      <c r="AK1165">
        <f>VLOOKUP(C1165,技能辅助查询表,技能配置辅助表!$AE$1,FALSE)</f>
        <v>66000550</v>
      </c>
    </row>
    <row r="1166" spans="1:37" x14ac:dyDescent="0.15">
      <c r="A1166" s="1">
        <f t="shared" ca="1" si="506"/>
        <v>9322242</v>
      </c>
      <c r="B1166" s="1" t="str">
        <f t="shared" ca="1" si="507"/>
        <v>玫瑰之舞第2段</v>
      </c>
      <c r="C1166" t="s">
        <v>103</v>
      </c>
      <c r="D1166">
        <f t="shared" si="508"/>
        <v>3</v>
      </c>
      <c r="E1166" s="42">
        <f t="shared" ca="1" si="527"/>
        <v>68</v>
      </c>
      <c r="F1166" t="str">
        <f t="shared" ca="1" si="528"/>
        <v>第42级，共造成188.7%点伤害</v>
      </c>
      <c r="G1166">
        <f t="shared" ca="1" si="509"/>
        <v>2</v>
      </c>
      <c r="H1166">
        <f t="shared" si="510"/>
        <v>2</v>
      </c>
      <c r="I1166" s="44">
        <f t="shared" ca="1" si="511"/>
        <v>42</v>
      </c>
      <c r="J1166">
        <f t="shared" si="512"/>
        <v>2</v>
      </c>
      <c r="K1166" s="36">
        <f t="shared" ca="1" si="513"/>
        <v>94.328571428571422</v>
      </c>
      <c r="L1166" s="10">
        <f ca="1">AH1166*VLOOKUP(C1166,技能辅助查询表,技能配置辅助表!$T$1,FALSE)</f>
        <v>0</v>
      </c>
      <c r="M1166">
        <f t="shared" ca="1" si="525"/>
        <v>4640</v>
      </c>
      <c r="N1166" s="33">
        <f ca="1">CHOOSE(1,W1166*U1166,X1166*'[1]0、经济设定'!$C$18)</f>
        <v>177132</v>
      </c>
      <c r="O1166">
        <f t="shared" si="514"/>
        <v>2</v>
      </c>
      <c r="P1166">
        <f t="shared" si="515"/>
        <v>2</v>
      </c>
      <c r="Q1166">
        <f t="shared" si="516"/>
        <v>1</v>
      </c>
      <c r="R1166" s="2">
        <f t="shared" si="517"/>
        <v>4</v>
      </c>
      <c r="S1166" s="2">
        <f t="shared" si="518"/>
        <v>50</v>
      </c>
      <c r="T1166" s="2">
        <f t="shared" si="519"/>
        <v>66.428571428571431</v>
      </c>
      <c r="U1166" s="2">
        <f ca="1">VLOOKUP(E1166,金币生产率!$A$2:$B$120,2,0)</f>
        <v>3054</v>
      </c>
      <c r="V1166" s="2">
        <f t="shared" si="520"/>
        <v>132.85714285714286</v>
      </c>
      <c r="W1166" s="45">
        <f t="shared" ca="1" si="532"/>
        <v>58</v>
      </c>
      <c r="X1166" s="48">
        <f t="shared" ca="1" si="533"/>
        <v>846</v>
      </c>
      <c r="Y1166">
        <f t="shared" si="526"/>
        <v>18</v>
      </c>
      <c r="Z1166">
        <f t="shared" ca="1" si="529"/>
        <v>24</v>
      </c>
      <c r="AA1166" t="str">
        <f t="shared" ca="1" si="521"/>
        <v>9322200.png</v>
      </c>
      <c r="AB1166">
        <f t="shared" si="522"/>
        <v>10</v>
      </c>
      <c r="AC1166">
        <f>VLOOKUP(C1166,技能辅助查询表,技能配置辅助表!$W$1,FALSE)</f>
        <v>5331</v>
      </c>
      <c r="AD1166">
        <f t="shared" ca="1" si="530"/>
        <v>477.24929099687216</v>
      </c>
      <c r="AE1166">
        <f>VLOOKUP(C1166,技能辅助查询表,技能配置辅助表!$U$1,FALSE)</f>
        <v>4</v>
      </c>
      <c r="AF1166">
        <f t="shared" ca="1" si="523"/>
        <v>9322242</v>
      </c>
      <c r="AG1166">
        <f t="shared" ca="1" si="524"/>
        <v>67.591836734693885</v>
      </c>
      <c r="AH1166">
        <f t="shared" ca="1" si="531"/>
        <v>2691.5445028827789</v>
      </c>
      <c r="AI1166">
        <f ca="1">VLOOKUP(E1166,伤害参考系!$C$4:$E$104,3,FALSE)*$AN$12</f>
        <v>14872.841096989978</v>
      </c>
      <c r="AJ1166">
        <f>VLOOKUP(C1166,技能辅助查询表,技能配置辅助表!$L$1,FALSE)</f>
        <v>2</v>
      </c>
      <c r="AK1166">
        <f>VLOOKUP(C1166,技能辅助查询表,技能配置辅助表!$AE$1,FALSE)</f>
        <v>66000550</v>
      </c>
    </row>
    <row r="1167" spans="1:37" x14ac:dyDescent="0.15">
      <c r="A1167" s="1">
        <f t="shared" ca="1" si="506"/>
        <v>9322243</v>
      </c>
      <c r="B1167" s="1" t="str">
        <f t="shared" ca="1" si="507"/>
        <v>玫瑰之舞第2段</v>
      </c>
      <c r="C1167" t="s">
        <v>103</v>
      </c>
      <c r="D1167">
        <f t="shared" si="508"/>
        <v>3</v>
      </c>
      <c r="E1167" s="42">
        <f t="shared" ca="1" si="527"/>
        <v>69</v>
      </c>
      <c r="F1167" t="str">
        <f t="shared" ca="1" si="528"/>
        <v>第43级，共造成190%点伤害</v>
      </c>
      <c r="G1167">
        <f t="shared" ca="1" si="509"/>
        <v>2</v>
      </c>
      <c r="H1167">
        <f t="shared" si="510"/>
        <v>2</v>
      </c>
      <c r="I1167" s="44">
        <f t="shared" ca="1" si="511"/>
        <v>43</v>
      </c>
      <c r="J1167">
        <f t="shared" si="512"/>
        <v>2</v>
      </c>
      <c r="K1167" s="36">
        <f t="shared" ca="1" si="513"/>
        <v>94.992857142857147</v>
      </c>
      <c r="L1167" s="10">
        <f ca="1">AH1167*VLOOKUP(C1167,技能辅助查询表,技能配置辅助表!$T$1,FALSE)</f>
        <v>0</v>
      </c>
      <c r="M1167">
        <f t="shared" ca="1" si="525"/>
        <v>4560</v>
      </c>
      <c r="N1167" s="33">
        <f ca="1">CHOOSE(1,W1167*U1167,X1167*'[1]0、经济设定'!$C$18)</f>
        <v>198261</v>
      </c>
      <c r="O1167">
        <f t="shared" si="514"/>
        <v>2</v>
      </c>
      <c r="P1167">
        <f t="shared" si="515"/>
        <v>2</v>
      </c>
      <c r="Q1167">
        <f t="shared" si="516"/>
        <v>1</v>
      </c>
      <c r="R1167" s="2">
        <f t="shared" si="517"/>
        <v>4</v>
      </c>
      <c r="S1167" s="2">
        <f t="shared" si="518"/>
        <v>50</v>
      </c>
      <c r="T1167" s="2">
        <f t="shared" si="519"/>
        <v>66.428571428571431</v>
      </c>
      <c r="U1167" s="2">
        <f ca="1">VLOOKUP(E1167,金币生产率!$A$2:$B$120,2,0)</f>
        <v>3147</v>
      </c>
      <c r="V1167" s="2">
        <f t="shared" si="520"/>
        <v>132.85714285714286</v>
      </c>
      <c r="W1167" s="45">
        <f t="shared" ca="1" si="532"/>
        <v>63</v>
      </c>
      <c r="X1167" s="48">
        <f t="shared" ca="1" si="533"/>
        <v>909</v>
      </c>
      <c r="Y1167">
        <f t="shared" si="526"/>
        <v>18</v>
      </c>
      <c r="Z1167">
        <f t="shared" ca="1" si="529"/>
        <v>26</v>
      </c>
      <c r="AA1167" t="str">
        <f t="shared" ca="1" si="521"/>
        <v>9322200.png</v>
      </c>
      <c r="AB1167">
        <f t="shared" si="522"/>
        <v>10</v>
      </c>
      <c r="AC1167">
        <f>VLOOKUP(C1167,技能辅助查询表,技能配置辅助表!$W$1,FALSE)</f>
        <v>5331</v>
      </c>
      <c r="AD1167">
        <f t="shared" ca="1" si="530"/>
        <v>551.48426202697658</v>
      </c>
      <c r="AE1167">
        <f>VLOOKUP(C1167,技能辅助查询表,技能配置辅助表!$U$1,FALSE)</f>
        <v>4</v>
      </c>
      <c r="AF1167">
        <f t="shared" ca="1" si="523"/>
        <v>9322243</v>
      </c>
      <c r="AG1167">
        <f t="shared" ca="1" si="524"/>
        <v>69.142857142857139</v>
      </c>
      <c r="AH1167">
        <f t="shared" ca="1" si="531"/>
        <v>3064.2878506023458</v>
      </c>
      <c r="AI1167">
        <f ca="1">VLOOKUP(E1167,伤害参考系!$C$4:$E$104,3,FALSE)*$AN$12</f>
        <v>15495.605224916402</v>
      </c>
      <c r="AJ1167">
        <f>VLOOKUP(C1167,技能辅助查询表,技能配置辅助表!$L$1,FALSE)</f>
        <v>2</v>
      </c>
      <c r="AK1167">
        <f>VLOOKUP(C1167,技能辅助查询表,技能配置辅助表!$AE$1,FALSE)</f>
        <v>66000550</v>
      </c>
    </row>
    <row r="1168" spans="1:37" x14ac:dyDescent="0.15">
      <c r="A1168" s="1">
        <f t="shared" ca="1" si="506"/>
        <v>9322244</v>
      </c>
      <c r="B1168" s="1" t="str">
        <f t="shared" ca="1" si="507"/>
        <v>玫瑰之舞第2段</v>
      </c>
      <c r="C1168" t="s">
        <v>103</v>
      </c>
      <c r="D1168">
        <f t="shared" si="508"/>
        <v>3</v>
      </c>
      <c r="E1168" s="42">
        <f t="shared" ca="1" si="527"/>
        <v>71</v>
      </c>
      <c r="F1168" t="str">
        <f t="shared" ca="1" si="528"/>
        <v>第44级，共造成191.3%点伤害</v>
      </c>
      <c r="G1168">
        <f t="shared" ca="1" si="509"/>
        <v>2</v>
      </c>
      <c r="H1168">
        <f t="shared" si="510"/>
        <v>2</v>
      </c>
      <c r="I1168" s="44">
        <f t="shared" ca="1" si="511"/>
        <v>44</v>
      </c>
      <c r="J1168">
        <f t="shared" si="512"/>
        <v>2</v>
      </c>
      <c r="K1168" s="36">
        <f t="shared" ca="1" si="513"/>
        <v>95.657142857142858</v>
      </c>
      <c r="L1168" s="10">
        <f ca="1">AH1168*VLOOKUP(C1168,技能辅助查询表,技能配置辅助表!$T$1,FALSE)</f>
        <v>0</v>
      </c>
      <c r="M1168">
        <f t="shared" ca="1" si="525"/>
        <v>4480</v>
      </c>
      <c r="N1168" s="33">
        <f ca="1">CHOOSE(1,W1168*U1168,X1168*'[1]0、经济设定'!$C$18)</f>
        <v>223646</v>
      </c>
      <c r="O1168">
        <f t="shared" si="514"/>
        <v>2</v>
      </c>
      <c r="P1168">
        <f t="shared" si="515"/>
        <v>2</v>
      </c>
      <c r="Q1168">
        <f t="shared" si="516"/>
        <v>1</v>
      </c>
      <c r="R1168" s="2">
        <f t="shared" si="517"/>
        <v>4</v>
      </c>
      <c r="S1168" s="2">
        <f t="shared" si="518"/>
        <v>50</v>
      </c>
      <c r="T1168" s="2">
        <f t="shared" si="519"/>
        <v>66.428571428571431</v>
      </c>
      <c r="U1168" s="2">
        <f ca="1">VLOOKUP(E1168,金币生产率!$A$2:$B$120,2,0)</f>
        <v>3338</v>
      </c>
      <c r="V1168" s="2">
        <f t="shared" si="520"/>
        <v>132.85714285714286</v>
      </c>
      <c r="W1168" s="45">
        <f t="shared" ca="1" si="532"/>
        <v>67</v>
      </c>
      <c r="X1168" s="48">
        <f t="shared" ca="1" si="533"/>
        <v>976</v>
      </c>
      <c r="Y1168">
        <f t="shared" si="526"/>
        <v>18</v>
      </c>
      <c r="Z1168">
        <f t="shared" ca="1" si="529"/>
        <v>27</v>
      </c>
      <c r="AA1168" t="str">
        <f t="shared" ca="1" si="521"/>
        <v>9322200.png</v>
      </c>
      <c r="AB1168">
        <f t="shared" si="522"/>
        <v>10</v>
      </c>
      <c r="AC1168">
        <f>VLOOKUP(C1168,技能辅助查询表,技能配置辅助表!$W$1,FALSE)</f>
        <v>5331</v>
      </c>
      <c r="AD1168">
        <f t="shared" ca="1" si="530"/>
        <v>637.12738972097111</v>
      </c>
      <c r="AE1168">
        <f>VLOOKUP(C1168,技能辅助查询表,技能配置辅助表!$U$1,FALSE)</f>
        <v>4</v>
      </c>
      <c r="AF1168">
        <f t="shared" ca="1" si="523"/>
        <v>9322244</v>
      </c>
      <c r="AG1168">
        <f t="shared" ca="1" si="524"/>
        <v>70.693877551020407</v>
      </c>
      <c r="AH1168">
        <f t="shared" ca="1" si="531"/>
        <v>3488.6512265697725</v>
      </c>
      <c r="AI1168">
        <f ca="1">VLOOKUP(E1168,伤害参考系!$C$4:$E$104,3,FALSE)*$AN$12</f>
        <v>16902.905438127098</v>
      </c>
      <c r="AJ1168">
        <f>VLOOKUP(C1168,技能辅助查询表,技能配置辅助表!$L$1,FALSE)</f>
        <v>2</v>
      </c>
      <c r="AK1168">
        <f>VLOOKUP(C1168,技能辅助查询表,技能配置辅助表!$AE$1,FALSE)</f>
        <v>66000550</v>
      </c>
    </row>
    <row r="1169" spans="1:37" x14ac:dyDescent="0.15">
      <c r="A1169" s="1">
        <f t="shared" ca="1" si="506"/>
        <v>9322245</v>
      </c>
      <c r="B1169" s="1" t="str">
        <f t="shared" ca="1" si="507"/>
        <v>玫瑰之舞第2段</v>
      </c>
      <c r="C1169" t="s">
        <v>103</v>
      </c>
      <c r="D1169">
        <f t="shared" si="508"/>
        <v>3</v>
      </c>
      <c r="E1169" s="42">
        <f t="shared" ca="1" si="527"/>
        <v>72</v>
      </c>
      <c r="F1169" t="str">
        <f t="shared" ca="1" si="528"/>
        <v>第45级，共造成192.6%点伤害</v>
      </c>
      <c r="G1169">
        <f t="shared" ca="1" si="509"/>
        <v>2</v>
      </c>
      <c r="H1169">
        <f t="shared" si="510"/>
        <v>2</v>
      </c>
      <c r="I1169" s="44">
        <f t="shared" ca="1" si="511"/>
        <v>45</v>
      </c>
      <c r="J1169">
        <f t="shared" si="512"/>
        <v>2</v>
      </c>
      <c r="K1169" s="36">
        <f t="shared" ca="1" si="513"/>
        <v>96.321428571428569</v>
      </c>
      <c r="L1169" s="10">
        <f ca="1">AH1169*VLOOKUP(C1169,技能辅助查询表,技能配置辅助表!$T$1,FALSE)</f>
        <v>0</v>
      </c>
      <c r="M1169">
        <f t="shared" ca="1" si="525"/>
        <v>4400</v>
      </c>
      <c r="N1169" s="33">
        <f ca="1">CHOOSE(1,W1169*U1169,X1169*'[1]0、经济设定'!$C$18)</f>
        <v>247320</v>
      </c>
      <c r="O1169">
        <f t="shared" si="514"/>
        <v>2</v>
      </c>
      <c r="P1169">
        <f t="shared" si="515"/>
        <v>2</v>
      </c>
      <c r="Q1169">
        <f t="shared" si="516"/>
        <v>1</v>
      </c>
      <c r="R1169" s="2">
        <f t="shared" si="517"/>
        <v>4</v>
      </c>
      <c r="S1169" s="2">
        <f t="shared" si="518"/>
        <v>50</v>
      </c>
      <c r="T1169" s="2">
        <f t="shared" si="519"/>
        <v>66.428571428571431</v>
      </c>
      <c r="U1169" s="2">
        <f ca="1">VLOOKUP(E1169,金币生产率!$A$2:$B$120,2,0)</f>
        <v>3435</v>
      </c>
      <c r="V1169" s="2">
        <f t="shared" si="520"/>
        <v>132.85714285714286</v>
      </c>
      <c r="W1169" s="45">
        <f t="shared" ca="1" si="532"/>
        <v>72</v>
      </c>
      <c r="X1169" s="48">
        <f t="shared" ca="1" si="533"/>
        <v>1048</v>
      </c>
      <c r="Y1169">
        <f t="shared" si="526"/>
        <v>18</v>
      </c>
      <c r="Z1169">
        <f t="shared" ca="1" si="529"/>
        <v>29</v>
      </c>
      <c r="AA1169" t="str">
        <f t="shared" ca="1" si="521"/>
        <v>9322200.png</v>
      </c>
      <c r="AB1169">
        <f t="shared" si="522"/>
        <v>10</v>
      </c>
      <c r="AC1169">
        <f>VLOOKUP(C1169,技能辅助查询表,技能配置辅助表!$W$1,FALSE)</f>
        <v>5331</v>
      </c>
      <c r="AD1169">
        <f t="shared" ca="1" si="530"/>
        <v>735.91470991473329</v>
      </c>
      <c r="AE1169">
        <f>VLOOKUP(C1169,技能辅助查询表,技能配置辅助表!$U$1,FALSE)</f>
        <v>4</v>
      </c>
      <c r="AF1169">
        <f t="shared" ca="1" si="523"/>
        <v>9322245</v>
      </c>
      <c r="AG1169">
        <f t="shared" ca="1" si="524"/>
        <v>72.244897959183675</v>
      </c>
      <c r="AH1169">
        <f t="shared" ca="1" si="531"/>
        <v>3971.7833225930094</v>
      </c>
      <c r="AI1169">
        <f ca="1">VLOOKUP(E1169,伤害参考系!$C$4:$E$104,3,FALSE)*$AN$12</f>
        <v>17628.422312709041</v>
      </c>
      <c r="AJ1169">
        <f>VLOOKUP(C1169,技能辅助查询表,技能配置辅助表!$L$1,FALSE)</f>
        <v>2</v>
      </c>
      <c r="AK1169">
        <f>VLOOKUP(C1169,技能辅助查询表,技能配置辅助表!$AE$1,FALSE)</f>
        <v>66000550</v>
      </c>
    </row>
    <row r="1170" spans="1:37" x14ac:dyDescent="0.15">
      <c r="A1170" s="1">
        <f t="shared" ca="1" si="506"/>
        <v>9322246</v>
      </c>
      <c r="B1170" s="1" t="str">
        <f t="shared" ca="1" si="507"/>
        <v>玫瑰之舞第2段</v>
      </c>
      <c r="C1170" t="s">
        <v>103</v>
      </c>
      <c r="D1170">
        <f t="shared" si="508"/>
        <v>3</v>
      </c>
      <c r="E1170" s="42">
        <f t="shared" ca="1" si="527"/>
        <v>74</v>
      </c>
      <c r="F1170" t="str">
        <f t="shared" ca="1" si="528"/>
        <v>第46级，共造成194%点伤害</v>
      </c>
      <c r="G1170">
        <f t="shared" ca="1" si="509"/>
        <v>2</v>
      </c>
      <c r="H1170">
        <f t="shared" si="510"/>
        <v>2</v>
      </c>
      <c r="I1170" s="44">
        <f t="shared" ca="1" si="511"/>
        <v>46</v>
      </c>
      <c r="J1170">
        <f t="shared" si="512"/>
        <v>2</v>
      </c>
      <c r="K1170" s="36">
        <f t="shared" ca="1" si="513"/>
        <v>96.985714285714295</v>
      </c>
      <c r="L1170" s="10">
        <f ca="1">AH1170*VLOOKUP(C1170,技能辅助查询表,技能配置辅助表!$T$1,FALSE)</f>
        <v>0</v>
      </c>
      <c r="M1170">
        <f t="shared" ca="1" si="525"/>
        <v>4320</v>
      </c>
      <c r="N1170" s="33">
        <f ca="1">CHOOSE(1,W1170*U1170,X1170*'[1]0、经济设定'!$C$18)</f>
        <v>279818</v>
      </c>
      <c r="O1170">
        <f t="shared" si="514"/>
        <v>2</v>
      </c>
      <c r="P1170">
        <f t="shared" si="515"/>
        <v>2</v>
      </c>
      <c r="Q1170">
        <f t="shared" si="516"/>
        <v>1</v>
      </c>
      <c r="R1170" s="2">
        <f t="shared" si="517"/>
        <v>4</v>
      </c>
      <c r="S1170" s="2">
        <f t="shared" si="518"/>
        <v>50</v>
      </c>
      <c r="T1170" s="2">
        <f t="shared" si="519"/>
        <v>66.428571428571431</v>
      </c>
      <c r="U1170" s="2">
        <f ca="1">VLOOKUP(E1170,金币生产率!$A$2:$B$120,2,0)</f>
        <v>3634</v>
      </c>
      <c r="V1170" s="2">
        <f t="shared" si="520"/>
        <v>132.85714285714286</v>
      </c>
      <c r="W1170" s="45">
        <f t="shared" ca="1" si="532"/>
        <v>77</v>
      </c>
      <c r="X1170" s="48">
        <f t="shared" ca="1" si="533"/>
        <v>1125</v>
      </c>
      <c r="Y1170">
        <f t="shared" si="526"/>
        <v>18</v>
      </c>
      <c r="Z1170">
        <f t="shared" ca="1" si="529"/>
        <v>31</v>
      </c>
      <c r="AA1170" t="str">
        <f t="shared" ca="1" si="521"/>
        <v>9322200.png</v>
      </c>
      <c r="AB1170">
        <f t="shared" si="522"/>
        <v>10</v>
      </c>
      <c r="AC1170">
        <f>VLOOKUP(C1170,技能辅助查询表,技能配置辅助表!$W$1,FALSE)</f>
        <v>5331</v>
      </c>
      <c r="AD1170">
        <f t="shared" ca="1" si="530"/>
        <v>849.84430213260771</v>
      </c>
      <c r="AE1170">
        <f>VLOOKUP(C1170,技能辅助查询表,技能配置辅助表!$U$1,FALSE)</f>
        <v>4</v>
      </c>
      <c r="AF1170">
        <f t="shared" ca="1" si="523"/>
        <v>9322246</v>
      </c>
      <c r="AG1170">
        <f t="shared" ca="1" si="524"/>
        <v>73.795918367346943</v>
      </c>
      <c r="AH1170">
        <f t="shared" ca="1" si="531"/>
        <v>4521.8228298329677</v>
      </c>
      <c r="AI1170">
        <f ca="1">VLOOKUP(E1170,伤害参考系!$C$4:$E$104,3,FALSE)*$AN$12</f>
        <v>19123.189597826095</v>
      </c>
      <c r="AJ1170">
        <f>VLOOKUP(C1170,技能辅助查询表,技能配置辅助表!$L$1,FALSE)</f>
        <v>2</v>
      </c>
      <c r="AK1170">
        <f>VLOOKUP(C1170,技能辅助查询表,技能配置辅助表!$AE$1,FALSE)</f>
        <v>66000550</v>
      </c>
    </row>
    <row r="1171" spans="1:37" x14ac:dyDescent="0.15">
      <c r="A1171" s="1">
        <f t="shared" ref="A1171:A1234" ca="1" si="534">IF(I1171=0,IF(H1171=1,VALUE("9"&amp;D1171&amp;J1171&amp;O1171&amp;G1171&amp;IF(I1171&gt;9,I1171,"0"&amp;I1171)),1),VALUE("9"&amp;D1171&amp;J1171&amp;O1171&amp;G1171&amp;IF(I1171&gt;9,I1171,"0"&amp;I1171)))</f>
        <v>9322247</v>
      </c>
      <c r="B1171" s="1" t="str">
        <f t="shared" ref="B1171:B1234" ca="1" si="535">IF(AND(G1171=0,AE1171=4),LEFT(C1171,LEN(C1171)-3),C1171)</f>
        <v>玫瑰之舞第2段</v>
      </c>
      <c r="C1171" t="s">
        <v>103</v>
      </c>
      <c r="D1171">
        <f t="shared" ref="D1171:D1234" si="536">VLOOKUP(C1171,技能辅助查询表,3,FALSE)</f>
        <v>3</v>
      </c>
      <c r="E1171" s="42">
        <f t="shared" ca="1" si="527"/>
        <v>75</v>
      </c>
      <c r="F1171" t="str">
        <f t="shared" ca="1" si="528"/>
        <v>第47级，共造成195.3%点伤害</v>
      </c>
      <c r="G1171">
        <f t="shared" ref="G1171:G1234" ca="1" si="537">IF(I1171=0,0,H1171)</f>
        <v>2</v>
      </c>
      <c r="H1171">
        <f t="shared" ref="H1171:H1234" si="538">VLOOKUP(C1171,技能辅助查询表,2,FALSE)</f>
        <v>2</v>
      </c>
      <c r="I1171" s="44">
        <f t="shared" ref="I1171:I1234" ca="1" si="539">IF(OFFSET(C1171,-1,0)=C1171,I1170+1,0)</f>
        <v>47</v>
      </c>
      <c r="J1171">
        <f t="shared" ref="J1171:J1234" si="540">VLOOKUP(C1171,技能辅助查询表,4,FALSE)</f>
        <v>2</v>
      </c>
      <c r="K1171" s="36">
        <f t="shared" ref="K1171:K1234" ca="1" si="541">IF(OR(I1171=0,I1171=1),T1171,T1171+T1171*($AN$6-1)/S1171*I1171)</f>
        <v>97.65</v>
      </c>
      <c r="L1171" s="10">
        <f ca="1">AH1171*VLOOKUP(C1171,技能辅助查询表,技能配置辅助表!$T$1,FALSE)</f>
        <v>0</v>
      </c>
      <c r="M1171">
        <f t="shared" ca="1" si="525"/>
        <v>4240</v>
      </c>
      <c r="N1171" s="33">
        <f ca="1">CHOOSE(1,W1171*U1171,X1171*'[1]0、经济设定'!$C$18)</f>
        <v>306270</v>
      </c>
      <c r="O1171">
        <f t="shared" ref="O1171:O1234" si="542">VLOOKUP(C1171,技能辅助查询表,5,FALSE)</f>
        <v>2</v>
      </c>
      <c r="P1171">
        <f t="shared" ref="P1171:P1234" si="543">VLOOKUP(C1171,技能辅助查询表,6,FALSE)</f>
        <v>2</v>
      </c>
      <c r="Q1171">
        <f t="shared" ref="Q1171:Q1234" si="544">VLOOKUP(C1171,技能辅助查询表,7,FALSE)</f>
        <v>1</v>
      </c>
      <c r="R1171" s="2">
        <f t="shared" ref="R1171:R1234" si="545">VLOOKUP(C1171,技能辅助查询表,9,FALSE)</f>
        <v>4</v>
      </c>
      <c r="S1171" s="2">
        <f t="shared" ref="S1171:S1234" si="546">VLOOKUP(C1171,技能辅助查询表,8,FALSE)</f>
        <v>50</v>
      </c>
      <c r="T1171" s="2">
        <f t="shared" ref="T1171:T1234" si="547">VLOOKUP(C1171,技能辅助查询表,11,FALSE)</f>
        <v>66.428571428571431</v>
      </c>
      <c r="U1171" s="2">
        <f ca="1">VLOOKUP(E1171,金币生产率!$A$2:$B$120,2,0)</f>
        <v>3735</v>
      </c>
      <c r="V1171" s="2">
        <f t="shared" ref="V1171:V1234" si="548">VLOOKUP(C1171,技能辅助查询表,12,FALSE)</f>
        <v>132.85714285714286</v>
      </c>
      <c r="W1171" s="45">
        <f t="shared" ca="1" si="532"/>
        <v>82</v>
      </c>
      <c r="X1171" s="48">
        <f t="shared" ca="1" si="533"/>
        <v>1207</v>
      </c>
      <c r="Y1171">
        <f t="shared" si="526"/>
        <v>18</v>
      </c>
      <c r="Z1171">
        <f t="shared" ca="1" si="529"/>
        <v>33</v>
      </c>
      <c r="AA1171" t="str">
        <f t="shared" ref="AA1171:AA1234" ca="1" si="549">AF1171-MOD(AF1171,100)&amp;".png"</f>
        <v>9322200.png</v>
      </c>
      <c r="AB1171">
        <f t="shared" ref="AB1171:AB1234" si="550">VLOOKUP(C1171,技能辅助查询表,17,FALSE)</f>
        <v>10</v>
      </c>
      <c r="AC1171">
        <f>VLOOKUP(C1171,技能辅助查询表,技能配置辅助表!$W$1,FALSE)</f>
        <v>5331</v>
      </c>
      <c r="AD1171">
        <f t="shared" ca="1" si="530"/>
        <v>981.21557404447594</v>
      </c>
      <c r="AE1171">
        <f>VLOOKUP(C1171,技能辅助查询表,技能配置辅助表!$U$1,FALSE)</f>
        <v>4</v>
      </c>
      <c r="AF1171">
        <f t="shared" ref="AF1171:AF1234" ca="1" si="551">VALUE("9"&amp;D1171&amp;J1171&amp;O1171&amp;H1171&amp;IF(I1171&gt;9,I1171,"0"&amp;I1171))</f>
        <v>9322247</v>
      </c>
      <c r="AG1171">
        <f t="shared" ref="AG1171:AG1234" ca="1" si="552">IF(I1171=1,R1171,IF(I1171=0,0,(I1171-1)*(80-R1171)/(S1171-1)+R1171))</f>
        <v>75.34693877551021</v>
      </c>
      <c r="AH1171">
        <f t="shared" ca="1" si="531"/>
        <v>5148.0355406320868</v>
      </c>
      <c r="AI1171">
        <f ca="1">VLOOKUP(E1171,伤害参考系!$C$4:$E$104,3,FALSE)*$AN$12</f>
        <v>19892.440008361213</v>
      </c>
      <c r="AJ1171">
        <f>VLOOKUP(C1171,技能辅助查询表,技能配置辅助表!$L$1,FALSE)</f>
        <v>2</v>
      </c>
      <c r="AK1171">
        <f>VLOOKUP(C1171,技能辅助查询表,技能配置辅助表!$AE$1,FALSE)</f>
        <v>66000550</v>
      </c>
    </row>
    <row r="1172" spans="1:37" x14ac:dyDescent="0.15">
      <c r="A1172" s="1">
        <f t="shared" ca="1" si="534"/>
        <v>9322248</v>
      </c>
      <c r="B1172" s="1" t="str">
        <f t="shared" ca="1" si="535"/>
        <v>玫瑰之舞第2段</v>
      </c>
      <c r="C1172" t="s">
        <v>103</v>
      </c>
      <c r="D1172">
        <f t="shared" si="536"/>
        <v>3</v>
      </c>
      <c r="E1172" s="42">
        <f t="shared" ca="1" si="527"/>
        <v>77</v>
      </c>
      <c r="F1172" t="str">
        <f t="shared" ca="1" si="528"/>
        <v>第48级，共造成196.6%点伤害</v>
      </c>
      <c r="G1172">
        <f t="shared" ca="1" si="537"/>
        <v>2</v>
      </c>
      <c r="H1172">
        <f t="shared" si="538"/>
        <v>2</v>
      </c>
      <c r="I1172" s="44">
        <f t="shared" ca="1" si="539"/>
        <v>48</v>
      </c>
      <c r="J1172">
        <f t="shared" si="540"/>
        <v>2</v>
      </c>
      <c r="K1172" s="36">
        <f t="shared" ca="1" si="541"/>
        <v>98.314285714285717</v>
      </c>
      <c r="L1172" s="10">
        <f ca="1">AH1172*VLOOKUP(C1172,技能辅助查询表,技能配置辅助表!$T$1,FALSE)</f>
        <v>0</v>
      </c>
      <c r="M1172">
        <f t="shared" ca="1" si="525"/>
        <v>4160</v>
      </c>
      <c r="N1172" s="33">
        <f ca="1">CHOOSE(1,W1172*U1172,X1172*'[1]0、经济设定'!$C$18)</f>
        <v>346896</v>
      </c>
      <c r="O1172">
        <f t="shared" si="542"/>
        <v>2</v>
      </c>
      <c r="P1172">
        <f t="shared" si="543"/>
        <v>2</v>
      </c>
      <c r="Q1172">
        <f t="shared" si="544"/>
        <v>1</v>
      </c>
      <c r="R1172" s="2">
        <f t="shared" si="545"/>
        <v>4</v>
      </c>
      <c r="S1172" s="2">
        <f t="shared" si="546"/>
        <v>50</v>
      </c>
      <c r="T1172" s="2">
        <f t="shared" si="547"/>
        <v>66.428571428571431</v>
      </c>
      <c r="U1172" s="2">
        <f ca="1">VLOOKUP(E1172,金币生产率!$A$2:$B$120,2,0)</f>
        <v>3942</v>
      </c>
      <c r="V1172" s="2">
        <f t="shared" si="548"/>
        <v>132.85714285714286</v>
      </c>
      <c r="W1172" s="45">
        <f t="shared" ca="1" si="532"/>
        <v>88</v>
      </c>
      <c r="X1172" s="48">
        <f t="shared" ca="1" si="533"/>
        <v>1295</v>
      </c>
      <c r="Y1172">
        <f t="shared" si="526"/>
        <v>18</v>
      </c>
      <c r="Z1172">
        <f t="shared" ca="1" si="529"/>
        <v>36</v>
      </c>
      <c r="AA1172" t="str">
        <f t="shared" ca="1" si="549"/>
        <v>9322200.png</v>
      </c>
      <c r="AB1172">
        <f t="shared" si="550"/>
        <v>10</v>
      </c>
      <c r="AC1172">
        <f>VLOOKUP(C1172,技能辅助查询表,技能配置辅助表!$W$1,FALSE)</f>
        <v>5331</v>
      </c>
      <c r="AD1172">
        <f t="shared" ca="1" si="530"/>
        <v>1132.6744010508021</v>
      </c>
      <c r="AE1172">
        <f>VLOOKUP(C1172,技能辅助查询表,技能配置辅助表!$U$1,FALSE)</f>
        <v>4</v>
      </c>
      <c r="AF1172">
        <f t="shared" ca="1" si="551"/>
        <v>9322248</v>
      </c>
      <c r="AG1172">
        <f t="shared" ca="1" si="552"/>
        <v>76.897959183673464</v>
      </c>
      <c r="AH1172">
        <f t="shared" ca="1" si="531"/>
        <v>5860.970437134547</v>
      </c>
      <c r="AI1172">
        <f ca="1">VLOOKUP(E1172,伤害参考系!$C$4:$E$104,3,FALSE)*$AN$12</f>
        <v>21474.674365384624</v>
      </c>
      <c r="AJ1172">
        <f>VLOOKUP(C1172,技能辅助查询表,技能配置辅助表!$L$1,FALSE)</f>
        <v>2</v>
      </c>
      <c r="AK1172">
        <f>VLOOKUP(C1172,技能辅助查询表,技能配置辅助表!$AE$1,FALSE)</f>
        <v>66000550</v>
      </c>
    </row>
    <row r="1173" spans="1:37" x14ac:dyDescent="0.15">
      <c r="A1173" s="1">
        <f t="shared" ca="1" si="534"/>
        <v>9322249</v>
      </c>
      <c r="B1173" s="1" t="str">
        <f t="shared" ca="1" si="535"/>
        <v>玫瑰之舞第2段</v>
      </c>
      <c r="C1173" t="s">
        <v>103</v>
      </c>
      <c r="D1173">
        <f t="shared" si="536"/>
        <v>3</v>
      </c>
      <c r="E1173" s="42">
        <f t="shared" ca="1" si="527"/>
        <v>78</v>
      </c>
      <c r="F1173" t="str">
        <f t="shared" ca="1" si="528"/>
        <v>第49级，共造成198%点伤害</v>
      </c>
      <c r="G1173">
        <f t="shared" ca="1" si="537"/>
        <v>2</v>
      </c>
      <c r="H1173">
        <f t="shared" si="538"/>
        <v>2</v>
      </c>
      <c r="I1173" s="44">
        <f t="shared" ca="1" si="539"/>
        <v>49</v>
      </c>
      <c r="J1173">
        <f t="shared" si="540"/>
        <v>2</v>
      </c>
      <c r="K1173" s="36">
        <f t="shared" ca="1" si="541"/>
        <v>98.978571428571428</v>
      </c>
      <c r="L1173" s="10">
        <f ca="1">AH1173*VLOOKUP(C1173,技能辅助查询表,技能配置辅助表!$T$1,FALSE)</f>
        <v>0</v>
      </c>
      <c r="M1173">
        <f t="shared" ca="1" si="525"/>
        <v>4080</v>
      </c>
      <c r="N1173" s="33">
        <f ca="1">CHOOSE(1,W1173*U1173,X1173*'[1]0、经济设定'!$C$18)</f>
        <v>380418</v>
      </c>
      <c r="O1173">
        <f t="shared" si="542"/>
        <v>2</v>
      </c>
      <c r="P1173">
        <f t="shared" si="543"/>
        <v>2</v>
      </c>
      <c r="Q1173">
        <f t="shared" si="544"/>
        <v>1</v>
      </c>
      <c r="R1173" s="2">
        <f t="shared" si="545"/>
        <v>4</v>
      </c>
      <c r="S1173" s="2">
        <f t="shared" si="546"/>
        <v>50</v>
      </c>
      <c r="T1173" s="2">
        <f t="shared" si="547"/>
        <v>66.428571428571431</v>
      </c>
      <c r="U1173" s="2">
        <f ca="1">VLOOKUP(E1173,金币生产率!$A$2:$B$120,2,0)</f>
        <v>4047</v>
      </c>
      <c r="V1173" s="2">
        <f t="shared" si="548"/>
        <v>132.85714285714286</v>
      </c>
      <c r="W1173" s="45">
        <f t="shared" ca="1" si="532"/>
        <v>94</v>
      </c>
      <c r="X1173" s="48">
        <f t="shared" ca="1" si="533"/>
        <v>1389</v>
      </c>
      <c r="Y1173">
        <f t="shared" si="526"/>
        <v>18</v>
      </c>
      <c r="Z1173">
        <f t="shared" ca="1" si="529"/>
        <v>38</v>
      </c>
      <c r="AA1173" t="str">
        <f t="shared" ca="1" si="549"/>
        <v>9322200.png</v>
      </c>
      <c r="AB1173">
        <f t="shared" si="550"/>
        <v>10</v>
      </c>
      <c r="AC1173">
        <f>VLOOKUP(C1173,技能辅助查询表,技能配置辅助表!$W$1,FALSE)</f>
        <v>5331</v>
      </c>
      <c r="AD1173">
        <f t="shared" ca="1" si="530"/>
        <v>1307.2649892908489</v>
      </c>
      <c r="AE1173">
        <f>VLOOKUP(C1173,技能辅助查询表,技能配置辅助表!$U$1,FALSE)</f>
        <v>4</v>
      </c>
      <c r="AF1173">
        <f t="shared" ca="1" si="551"/>
        <v>9322249</v>
      </c>
      <c r="AG1173">
        <f t="shared" ca="1" si="552"/>
        <v>78.448979591836732</v>
      </c>
      <c r="AH1173">
        <f t="shared" ca="1" si="531"/>
        <v>6672.6373961177951</v>
      </c>
      <c r="AI1173">
        <f ca="1">VLOOKUP(E1173,伤害参考系!$C$4:$E$104,3,FALSE)*$AN$12</f>
        <v>22287.658311872914</v>
      </c>
      <c r="AJ1173">
        <f>VLOOKUP(C1173,技能辅助查询表,技能配置辅助表!$L$1,FALSE)</f>
        <v>2</v>
      </c>
      <c r="AK1173">
        <f>VLOOKUP(C1173,技能辅助查询表,技能配置辅助表!$AE$1,FALSE)</f>
        <v>66000550</v>
      </c>
    </row>
    <row r="1174" spans="1:37" x14ac:dyDescent="0.15">
      <c r="A1174" s="1">
        <f t="shared" ca="1" si="534"/>
        <v>9322250</v>
      </c>
      <c r="B1174" s="1" t="str">
        <f t="shared" ca="1" si="535"/>
        <v>玫瑰之舞第2段</v>
      </c>
      <c r="C1174" t="s">
        <v>103</v>
      </c>
      <c r="D1174">
        <f t="shared" si="536"/>
        <v>3</v>
      </c>
      <c r="E1174" s="42">
        <f t="shared" ca="1" si="527"/>
        <v>80</v>
      </c>
      <c r="F1174" t="str">
        <f t="shared" ca="1" si="528"/>
        <v>第50级，共造成199.3%点伤害</v>
      </c>
      <c r="G1174">
        <f t="shared" ca="1" si="537"/>
        <v>2</v>
      </c>
      <c r="H1174">
        <f t="shared" si="538"/>
        <v>2</v>
      </c>
      <c r="I1174" s="44">
        <f t="shared" ca="1" si="539"/>
        <v>50</v>
      </c>
      <c r="J1174">
        <f t="shared" si="540"/>
        <v>2</v>
      </c>
      <c r="K1174" s="36">
        <f t="shared" ca="1" si="541"/>
        <v>99.642857142857139</v>
      </c>
      <c r="L1174" s="10">
        <f ca="1">AH1174*VLOOKUP(C1174,技能辅助查询表,技能配置辅助表!$T$1,FALSE)</f>
        <v>0</v>
      </c>
      <c r="M1174">
        <f t="shared" ca="1" si="525"/>
        <v>4000</v>
      </c>
      <c r="N1174" s="33">
        <f ca="1">CHOOSE(1,W1174*U1174,X1174*'[1]0、经济设定'!$C$18)</f>
        <v>430462</v>
      </c>
      <c r="O1174">
        <f t="shared" si="542"/>
        <v>2</v>
      </c>
      <c r="P1174">
        <f t="shared" si="543"/>
        <v>2</v>
      </c>
      <c r="Q1174">
        <f t="shared" si="544"/>
        <v>1</v>
      </c>
      <c r="R1174" s="2">
        <f t="shared" si="545"/>
        <v>4</v>
      </c>
      <c r="S1174" s="2">
        <f t="shared" si="546"/>
        <v>50</v>
      </c>
      <c r="T1174" s="2">
        <f t="shared" si="547"/>
        <v>66.428571428571431</v>
      </c>
      <c r="U1174" s="2">
        <f ca="1">VLOOKUP(E1174,金币生产率!$A$2:$B$120,2,0)</f>
        <v>4262</v>
      </c>
      <c r="V1174" s="2">
        <f t="shared" si="548"/>
        <v>132.85714285714286</v>
      </c>
      <c r="W1174" s="45">
        <f t="shared" ca="1" si="532"/>
        <v>101</v>
      </c>
      <c r="X1174" s="48">
        <f t="shared" ca="1" si="533"/>
        <v>1490</v>
      </c>
      <c r="Y1174">
        <f t="shared" si="526"/>
        <v>18</v>
      </c>
      <c r="Z1174">
        <f t="shared" ca="1" si="529"/>
        <v>41</v>
      </c>
      <c r="AA1174" t="str">
        <f t="shared" ca="1" si="549"/>
        <v>9322200.png</v>
      </c>
      <c r="AB1174">
        <f t="shared" si="550"/>
        <v>10</v>
      </c>
      <c r="AC1174">
        <f>VLOOKUP(C1174,技能辅助查询表,技能配置辅助表!$W$1,FALSE)</f>
        <v>5331</v>
      </c>
      <c r="AD1174">
        <f t="shared" ca="1" si="530"/>
        <v>1508.4894585710163</v>
      </c>
      <c r="AE1174">
        <f>VLOOKUP(C1174,技能辅助查询表,技能配置辅助表!$U$1,FALSE)</f>
        <v>4</v>
      </c>
      <c r="AF1174">
        <f t="shared" ca="1" si="551"/>
        <v>9322250</v>
      </c>
      <c r="AG1174">
        <f t="shared" ca="1" si="552"/>
        <v>80</v>
      </c>
      <c r="AH1174">
        <f t="shared" ca="1" si="531"/>
        <v>7596.7095035950451</v>
      </c>
      <c r="AI1174">
        <f ca="1">VLOOKUP(E1174,伤害参考系!$C$4:$E$104,3,FALSE)*$AN$12</f>
        <v>24028.87424749164</v>
      </c>
      <c r="AJ1174">
        <f>VLOOKUP(C1174,技能辅助查询表,技能配置辅助表!$L$1,FALSE)</f>
        <v>2</v>
      </c>
      <c r="AK1174">
        <f>VLOOKUP(C1174,技能辅助查询表,技能配置辅助表!$AE$1,FALSE)</f>
        <v>66000550</v>
      </c>
    </row>
    <row r="1175" spans="1:37" x14ac:dyDescent="0.15">
      <c r="A1175" s="1">
        <f t="shared" ca="1" si="534"/>
        <v>1</v>
      </c>
      <c r="B1175" s="1" t="str">
        <f t="shared" ca="1" si="535"/>
        <v>玫瑰之舞</v>
      </c>
      <c r="C1175" t="s">
        <v>173</v>
      </c>
      <c r="D1175">
        <f t="shared" si="536"/>
        <v>3</v>
      </c>
      <c r="E1175" s="42">
        <f t="shared" ca="1" si="527"/>
        <v>4</v>
      </c>
      <c r="F1175" t="str">
        <f t="shared" ca="1" si="528"/>
        <v>第0级，共造成132.9%点伤害</v>
      </c>
      <c r="G1175">
        <f t="shared" ca="1" si="537"/>
        <v>0</v>
      </c>
      <c r="H1175">
        <f t="shared" si="538"/>
        <v>3</v>
      </c>
      <c r="I1175" s="44">
        <f t="shared" ca="1" si="539"/>
        <v>0</v>
      </c>
      <c r="J1175">
        <f t="shared" si="540"/>
        <v>2</v>
      </c>
      <c r="K1175" s="36">
        <f t="shared" ca="1" si="541"/>
        <v>26.571428571428573</v>
      </c>
      <c r="L1175" s="10">
        <f ca="1">AH1175*VLOOKUP(C1175,技能辅助查询表,技能配置辅助表!$T$1,FALSE)</f>
        <v>0</v>
      </c>
      <c r="M1175">
        <f t="shared" ca="1" si="525"/>
        <v>8000</v>
      </c>
      <c r="N1175" s="33">
        <f ca="1">CHOOSE(1,W1175*U1175,X1175*'[1]0、经济设定'!$C$18)</f>
        <v>0</v>
      </c>
      <c r="O1175">
        <f t="shared" si="542"/>
        <v>2</v>
      </c>
      <c r="P1175">
        <f t="shared" si="543"/>
        <v>5</v>
      </c>
      <c r="Q1175">
        <f t="shared" si="544"/>
        <v>1</v>
      </c>
      <c r="R1175" s="2">
        <f t="shared" si="545"/>
        <v>7</v>
      </c>
      <c r="S1175" s="2">
        <f t="shared" si="546"/>
        <v>50</v>
      </c>
      <c r="T1175" s="2">
        <f t="shared" si="547"/>
        <v>26.571428571428573</v>
      </c>
      <c r="U1175" s="2">
        <f ca="1">VLOOKUP(E1175,金币生产率!$A$2:$B$120,2,0)</f>
        <v>68</v>
      </c>
      <c r="V1175" s="2">
        <f t="shared" si="548"/>
        <v>132.85714285714286</v>
      </c>
      <c r="W1175" s="45">
        <f t="shared" ca="1" si="532"/>
        <v>0</v>
      </c>
      <c r="X1175" s="48">
        <f t="shared" ca="1" si="533"/>
        <v>0</v>
      </c>
      <c r="Y1175">
        <f t="shared" si="526"/>
        <v>18</v>
      </c>
      <c r="Z1175">
        <f t="shared" ca="1" si="529"/>
        <v>0</v>
      </c>
      <c r="AA1175" t="str">
        <f t="shared" ca="1" si="549"/>
        <v>9322300.png</v>
      </c>
      <c r="AB1175">
        <f t="shared" si="550"/>
        <v>4</v>
      </c>
      <c r="AC1175">
        <f>VLOOKUP(C1175,技能辅助查询表,技能配置辅助表!$W$1,FALSE)</f>
        <v>5332</v>
      </c>
      <c r="AD1175">
        <f t="shared" ca="1" si="530"/>
        <v>0.76187828571428606</v>
      </c>
      <c r="AE1175">
        <f>VLOOKUP(C1175,技能辅助查询表,技能配置辅助表!$U$1,FALSE)</f>
        <v>4</v>
      </c>
      <c r="AF1175">
        <f t="shared" ca="1" si="551"/>
        <v>9322300</v>
      </c>
      <c r="AG1175">
        <f t="shared" ca="1" si="552"/>
        <v>0</v>
      </c>
      <c r="AH1175">
        <f t="shared" ca="1" si="531"/>
        <v>11.5938</v>
      </c>
      <c r="AI1175">
        <f ca="1">VLOOKUP(E1175,伤害参考系!$C$4:$E$104,3,FALSE)*$AN$12</f>
        <v>50.4</v>
      </c>
      <c r="AJ1175">
        <f>VLOOKUP(C1175,技能辅助查询表,技能配置辅助表!$L$1,FALSE)</f>
        <v>5</v>
      </c>
      <c r="AK1175">
        <f>VLOOKUP(C1175,技能辅助查询表,技能配置辅助表!$AE$1,FALSE)</f>
        <v>66000550</v>
      </c>
    </row>
    <row r="1176" spans="1:37" x14ac:dyDescent="0.15">
      <c r="A1176" s="1">
        <f t="shared" ca="1" si="534"/>
        <v>9322301</v>
      </c>
      <c r="B1176" s="1" t="str">
        <f t="shared" ca="1" si="535"/>
        <v>玫瑰之舞第3段</v>
      </c>
      <c r="C1176" t="s">
        <v>174</v>
      </c>
      <c r="D1176">
        <f t="shared" si="536"/>
        <v>3</v>
      </c>
      <c r="E1176" s="42">
        <f t="shared" ca="1" si="527"/>
        <v>4</v>
      </c>
      <c r="F1176" t="str">
        <f t="shared" ca="1" si="528"/>
        <v>第1级，共造成132.9%点伤害</v>
      </c>
      <c r="G1176">
        <f t="shared" ca="1" si="537"/>
        <v>3</v>
      </c>
      <c r="H1176">
        <f t="shared" si="538"/>
        <v>3</v>
      </c>
      <c r="I1176" s="44">
        <f t="shared" ca="1" si="539"/>
        <v>1</v>
      </c>
      <c r="J1176">
        <f t="shared" si="540"/>
        <v>2</v>
      </c>
      <c r="K1176" s="36">
        <f t="shared" ca="1" si="541"/>
        <v>26.571428571428573</v>
      </c>
      <c r="L1176" s="10">
        <f ca="1">AH1176*VLOOKUP(C1176,技能辅助查询表,技能配置辅助表!$T$1,FALSE)</f>
        <v>0</v>
      </c>
      <c r="M1176">
        <f t="shared" ca="1" si="525"/>
        <v>8000</v>
      </c>
      <c r="N1176" s="33">
        <f ca="1">CHOOSE(1,W1176*U1176,X1176*'[1]0、经济设定'!$C$18)</f>
        <v>272</v>
      </c>
      <c r="O1176">
        <f t="shared" si="542"/>
        <v>2</v>
      </c>
      <c r="P1176">
        <f t="shared" si="543"/>
        <v>5</v>
      </c>
      <c r="Q1176">
        <f t="shared" si="544"/>
        <v>1</v>
      </c>
      <c r="R1176" s="2">
        <f t="shared" si="545"/>
        <v>7</v>
      </c>
      <c r="S1176" s="2">
        <f t="shared" si="546"/>
        <v>50</v>
      </c>
      <c r="T1176" s="2">
        <f t="shared" si="547"/>
        <v>26.571428571428573</v>
      </c>
      <c r="U1176" s="2">
        <f ca="1">VLOOKUP(E1176,金币生产率!$A$2:$B$120,2,0)</f>
        <v>68</v>
      </c>
      <c r="V1176" s="2">
        <f t="shared" si="548"/>
        <v>132.85714285714286</v>
      </c>
      <c r="W1176" s="45">
        <f t="shared" ca="1" si="532"/>
        <v>4</v>
      </c>
      <c r="X1176" s="48">
        <f t="shared" ca="1" si="533"/>
        <v>4</v>
      </c>
      <c r="Y1176">
        <f t="shared" si="526"/>
        <v>18</v>
      </c>
      <c r="Z1176">
        <f t="shared" ca="1" si="529"/>
        <v>0</v>
      </c>
      <c r="AA1176" t="str">
        <f t="shared" ca="1" si="549"/>
        <v>9322300.png</v>
      </c>
      <c r="AB1176">
        <f t="shared" si="550"/>
        <v>4</v>
      </c>
      <c r="AC1176">
        <f>VLOOKUP(C1176,技能辅助查询表,技能配置辅助表!$W$1,FALSE)</f>
        <v>5332</v>
      </c>
      <c r="AD1176">
        <f t="shared" ca="1" si="530"/>
        <v>0.86738836086549542</v>
      </c>
      <c r="AE1176">
        <f>VLOOKUP(C1176,技能辅助查询表,技能配置辅助表!$U$1,FALSE)</f>
        <v>4</v>
      </c>
      <c r="AF1176">
        <f t="shared" ca="1" si="551"/>
        <v>9322301</v>
      </c>
      <c r="AG1176">
        <f t="shared" ca="1" si="552"/>
        <v>7</v>
      </c>
      <c r="AH1176">
        <f t="shared" ca="1" si="531"/>
        <v>13.199388100127095</v>
      </c>
      <c r="AI1176">
        <f ca="1">VLOOKUP(E1176,伤害参考系!$C$4:$E$104,3,FALSE)*$AN$12</f>
        <v>50.4</v>
      </c>
      <c r="AJ1176">
        <f>VLOOKUP(C1176,技能辅助查询表,技能配置辅助表!$L$1,FALSE)</f>
        <v>5</v>
      </c>
      <c r="AK1176">
        <f>VLOOKUP(C1176,技能辅助查询表,技能配置辅助表!$AE$1,FALSE)</f>
        <v>66000550</v>
      </c>
    </row>
    <row r="1177" spans="1:37" x14ac:dyDescent="0.15">
      <c r="A1177" s="1">
        <f t="shared" ca="1" si="534"/>
        <v>9322302</v>
      </c>
      <c r="B1177" s="1" t="str">
        <f t="shared" ca="1" si="535"/>
        <v>玫瑰之舞第3段</v>
      </c>
      <c r="C1177" t="s">
        <v>174</v>
      </c>
      <c r="D1177">
        <f t="shared" si="536"/>
        <v>3</v>
      </c>
      <c r="E1177" s="42">
        <f t="shared" ca="1" si="527"/>
        <v>10</v>
      </c>
      <c r="F1177" t="str">
        <f t="shared" ca="1" si="528"/>
        <v>第2级，共造成135.5%点伤害</v>
      </c>
      <c r="G1177">
        <f t="shared" ca="1" si="537"/>
        <v>3</v>
      </c>
      <c r="H1177">
        <f t="shared" si="538"/>
        <v>3</v>
      </c>
      <c r="I1177" s="44">
        <f t="shared" ca="1" si="539"/>
        <v>2</v>
      </c>
      <c r="J1177">
        <f t="shared" si="540"/>
        <v>2</v>
      </c>
      <c r="K1177" s="36">
        <f t="shared" ca="1" si="541"/>
        <v>27.102857142857143</v>
      </c>
      <c r="L1177" s="10">
        <f ca="1">AH1177*VLOOKUP(C1177,技能辅助查询表,技能配置辅助表!$T$1,FALSE)</f>
        <v>0</v>
      </c>
      <c r="M1177">
        <f t="shared" ca="1" si="525"/>
        <v>7840</v>
      </c>
      <c r="N1177" s="33">
        <f ca="1">CHOOSE(1,W1177*U1177,X1177*'[1]0、经济设定'!$C$18)</f>
        <v>416</v>
      </c>
      <c r="O1177">
        <f t="shared" si="542"/>
        <v>2</v>
      </c>
      <c r="P1177">
        <f t="shared" si="543"/>
        <v>5</v>
      </c>
      <c r="Q1177">
        <f t="shared" si="544"/>
        <v>1</v>
      </c>
      <c r="R1177" s="2">
        <f t="shared" si="545"/>
        <v>7</v>
      </c>
      <c r="S1177" s="2">
        <f t="shared" si="546"/>
        <v>50</v>
      </c>
      <c r="T1177" s="2">
        <f t="shared" si="547"/>
        <v>26.571428571428573</v>
      </c>
      <c r="U1177" s="2">
        <f ca="1">VLOOKUP(E1177,金币生产率!$A$2:$B$120,2,0)</f>
        <v>104</v>
      </c>
      <c r="V1177" s="2">
        <f t="shared" si="548"/>
        <v>132.85714285714286</v>
      </c>
      <c r="W1177" s="45">
        <f t="shared" ca="1" si="532"/>
        <v>4</v>
      </c>
      <c r="X1177" s="48">
        <f t="shared" ca="1" si="533"/>
        <v>8</v>
      </c>
      <c r="Y1177">
        <f t="shared" si="526"/>
        <v>18</v>
      </c>
      <c r="Z1177">
        <f t="shared" ca="1" si="529"/>
        <v>0</v>
      </c>
      <c r="AA1177" t="str">
        <f t="shared" ca="1" si="549"/>
        <v>9322300.png</v>
      </c>
      <c r="AB1177">
        <f t="shared" si="550"/>
        <v>4</v>
      </c>
      <c r="AC1177">
        <f>VLOOKUP(C1177,技能辅助查询表,技能配置辅助表!$W$1,FALSE)</f>
        <v>5332</v>
      </c>
      <c r="AD1177">
        <f t="shared" ca="1" si="530"/>
        <v>1.0673697067087413</v>
      </c>
      <c r="AE1177">
        <f>VLOOKUP(C1177,技能辅助查询表,技能配置辅助表!$U$1,FALSE)</f>
        <v>4</v>
      </c>
      <c r="AF1177">
        <f t="shared" ca="1" si="551"/>
        <v>9322302</v>
      </c>
      <c r="AG1177">
        <f t="shared" ca="1" si="552"/>
        <v>8.4897959183673475</v>
      </c>
      <c r="AH1177">
        <f t="shared" ca="1" si="531"/>
        <v>15.027328935963775</v>
      </c>
      <c r="AI1177">
        <f ca="1">VLOOKUP(E1177,伤害参考系!$C$4:$E$104,3,FALSE)*$AN$12</f>
        <v>177.55434782608697</v>
      </c>
      <c r="AJ1177">
        <f>VLOOKUP(C1177,技能辅助查询表,技能配置辅助表!$L$1,FALSE)</f>
        <v>5</v>
      </c>
      <c r="AK1177">
        <f>VLOOKUP(C1177,技能辅助查询表,技能配置辅助表!$AE$1,FALSE)</f>
        <v>66000550</v>
      </c>
    </row>
    <row r="1178" spans="1:37" x14ac:dyDescent="0.15">
      <c r="A1178" s="1">
        <f t="shared" ca="1" si="534"/>
        <v>9322303</v>
      </c>
      <c r="B1178" s="1" t="str">
        <f t="shared" ca="1" si="535"/>
        <v>玫瑰之舞第3段</v>
      </c>
      <c r="C1178" t="s">
        <v>174</v>
      </c>
      <c r="D1178">
        <f t="shared" si="536"/>
        <v>3</v>
      </c>
      <c r="E1178" s="42">
        <f t="shared" ca="1" si="527"/>
        <v>11</v>
      </c>
      <c r="F1178" t="str">
        <f t="shared" ca="1" si="528"/>
        <v>第3级，共造成136.8%点伤害</v>
      </c>
      <c r="G1178">
        <f t="shared" ca="1" si="537"/>
        <v>3</v>
      </c>
      <c r="H1178">
        <f t="shared" si="538"/>
        <v>3</v>
      </c>
      <c r="I1178" s="44">
        <f t="shared" ca="1" si="539"/>
        <v>3</v>
      </c>
      <c r="J1178">
        <f t="shared" si="540"/>
        <v>2</v>
      </c>
      <c r="K1178" s="36">
        <f t="shared" ca="1" si="541"/>
        <v>27.368571428571428</v>
      </c>
      <c r="L1178" s="10">
        <f ca="1">AH1178*VLOOKUP(C1178,技能辅助查询表,技能配置辅助表!$T$1,FALSE)</f>
        <v>0</v>
      </c>
      <c r="M1178">
        <f t="shared" ca="1" si="525"/>
        <v>7760</v>
      </c>
      <c r="N1178" s="33">
        <f ca="1">CHOOSE(1,W1178*U1178,X1178*'[1]0、经济设定'!$C$18)</f>
        <v>440</v>
      </c>
      <c r="O1178">
        <f t="shared" si="542"/>
        <v>2</v>
      </c>
      <c r="P1178">
        <f t="shared" si="543"/>
        <v>5</v>
      </c>
      <c r="Q1178">
        <f t="shared" si="544"/>
        <v>1</v>
      </c>
      <c r="R1178" s="2">
        <f t="shared" si="545"/>
        <v>7</v>
      </c>
      <c r="S1178" s="2">
        <f t="shared" si="546"/>
        <v>50</v>
      </c>
      <c r="T1178" s="2">
        <f t="shared" si="547"/>
        <v>26.571428571428573</v>
      </c>
      <c r="U1178" s="2">
        <f ca="1">VLOOKUP(E1178,金币生产率!$A$2:$B$120,2,0)</f>
        <v>110</v>
      </c>
      <c r="V1178" s="2">
        <f t="shared" si="548"/>
        <v>132.85714285714286</v>
      </c>
      <c r="W1178" s="45">
        <f t="shared" ca="1" si="532"/>
        <v>4</v>
      </c>
      <c r="X1178" s="48">
        <f t="shared" ca="1" si="533"/>
        <v>12</v>
      </c>
      <c r="Y1178">
        <f t="shared" si="526"/>
        <v>18</v>
      </c>
      <c r="Z1178">
        <f t="shared" ca="1" si="529"/>
        <v>0</v>
      </c>
      <c r="AA1178" t="str">
        <f t="shared" ca="1" si="549"/>
        <v>9322300.png</v>
      </c>
      <c r="AB1178">
        <f t="shared" si="550"/>
        <v>4</v>
      </c>
      <c r="AC1178">
        <f>VLOOKUP(C1178,技能辅助查询表,技能配置辅助表!$W$1,FALSE)</f>
        <v>5332</v>
      </c>
      <c r="AD1178">
        <f t="shared" ca="1" si="530"/>
        <v>1.2606458107587806</v>
      </c>
      <c r="AE1178">
        <f>VLOOKUP(C1178,技能辅助查询表,技能配置辅助表!$U$1,FALSE)</f>
        <v>4</v>
      </c>
      <c r="AF1178">
        <f t="shared" ca="1" si="551"/>
        <v>9322303</v>
      </c>
      <c r="AG1178">
        <f t="shared" ca="1" si="552"/>
        <v>9.979591836734695</v>
      </c>
      <c r="AH1178">
        <f t="shared" ca="1" si="531"/>
        <v>17.108415423248271</v>
      </c>
      <c r="AI1178">
        <f ca="1">VLOOKUP(E1178,伤害参考系!$C$4:$E$104,3,FALSE)*$AN$12</f>
        <v>212.08059782608694</v>
      </c>
      <c r="AJ1178">
        <f>VLOOKUP(C1178,技能辅助查询表,技能配置辅助表!$L$1,FALSE)</f>
        <v>5</v>
      </c>
      <c r="AK1178">
        <f>VLOOKUP(C1178,技能辅助查询表,技能配置辅助表!$AE$1,FALSE)</f>
        <v>66000550</v>
      </c>
    </row>
    <row r="1179" spans="1:37" x14ac:dyDescent="0.15">
      <c r="A1179" s="1">
        <f t="shared" ca="1" si="534"/>
        <v>9322304</v>
      </c>
      <c r="B1179" s="1" t="str">
        <f t="shared" ca="1" si="535"/>
        <v>玫瑰之舞第3段</v>
      </c>
      <c r="C1179" t="s">
        <v>174</v>
      </c>
      <c r="D1179">
        <f t="shared" si="536"/>
        <v>3</v>
      </c>
      <c r="E1179" s="42">
        <f t="shared" ca="1" si="527"/>
        <v>13</v>
      </c>
      <c r="F1179" t="str">
        <f t="shared" ca="1" si="528"/>
        <v>第4级，共造成138.2%点伤害</v>
      </c>
      <c r="G1179">
        <f t="shared" ca="1" si="537"/>
        <v>3</v>
      </c>
      <c r="H1179">
        <f t="shared" si="538"/>
        <v>3</v>
      </c>
      <c r="I1179" s="44">
        <f t="shared" ca="1" si="539"/>
        <v>4</v>
      </c>
      <c r="J1179">
        <f t="shared" si="540"/>
        <v>2</v>
      </c>
      <c r="K1179" s="36">
        <f t="shared" ca="1" si="541"/>
        <v>27.634285714285717</v>
      </c>
      <c r="L1179" s="10">
        <f ca="1">AH1179*VLOOKUP(C1179,技能辅助查询表,技能配置辅助表!$T$1,FALSE)</f>
        <v>0</v>
      </c>
      <c r="M1179">
        <f t="shared" ca="1" si="525"/>
        <v>7680</v>
      </c>
      <c r="N1179" s="33">
        <f ca="1">CHOOSE(1,W1179*U1179,X1179*'[1]0、经济设定'!$C$18)</f>
        <v>610</v>
      </c>
      <c r="O1179">
        <f t="shared" si="542"/>
        <v>2</v>
      </c>
      <c r="P1179">
        <f t="shared" si="543"/>
        <v>5</v>
      </c>
      <c r="Q1179">
        <f t="shared" si="544"/>
        <v>1</v>
      </c>
      <c r="R1179" s="2">
        <f t="shared" si="545"/>
        <v>7</v>
      </c>
      <c r="S1179" s="2">
        <f t="shared" si="546"/>
        <v>50</v>
      </c>
      <c r="T1179" s="2">
        <f t="shared" si="547"/>
        <v>26.571428571428573</v>
      </c>
      <c r="U1179" s="2">
        <f ca="1">VLOOKUP(E1179,金币生产率!$A$2:$B$120,2,0)</f>
        <v>122</v>
      </c>
      <c r="V1179" s="2">
        <f t="shared" si="548"/>
        <v>132.85714285714286</v>
      </c>
      <c r="W1179" s="45">
        <f t="shared" ca="1" si="532"/>
        <v>5</v>
      </c>
      <c r="X1179" s="48">
        <f t="shared" ca="1" si="533"/>
        <v>17</v>
      </c>
      <c r="Y1179">
        <f t="shared" si="526"/>
        <v>18</v>
      </c>
      <c r="Z1179">
        <f t="shared" ca="1" si="529"/>
        <v>0</v>
      </c>
      <c r="AA1179" t="str">
        <f t="shared" ca="1" si="549"/>
        <v>9322300.png</v>
      </c>
      <c r="AB1179">
        <f t="shared" si="550"/>
        <v>4</v>
      </c>
      <c r="AC1179">
        <f>VLOOKUP(C1179,技能辅助查询表,技能配置辅助表!$W$1,FALSE)</f>
        <v>5332</v>
      </c>
      <c r="AD1179">
        <f t="shared" ca="1" si="530"/>
        <v>1.4869836418614781</v>
      </c>
      <c r="AE1179">
        <f>VLOOKUP(C1179,技能辅助查询表,技能配置辅助表!$U$1,FALSE)</f>
        <v>4</v>
      </c>
      <c r="AF1179">
        <f t="shared" ca="1" si="551"/>
        <v>9322304</v>
      </c>
      <c r="AG1179">
        <f t="shared" ca="1" si="552"/>
        <v>11.469387755102041</v>
      </c>
      <c r="AH1179">
        <f t="shared" ca="1" si="531"/>
        <v>19.477704889652582</v>
      </c>
      <c r="AI1179">
        <f ca="1">VLOOKUP(E1179,伤害参考系!$C$4:$E$104,3,FALSE)*$AN$12</f>
        <v>288.46124999999995</v>
      </c>
      <c r="AJ1179">
        <f>VLOOKUP(C1179,技能辅助查询表,技能配置辅助表!$L$1,FALSE)</f>
        <v>5</v>
      </c>
      <c r="AK1179">
        <f>VLOOKUP(C1179,技能辅助查询表,技能配置辅助表!$AE$1,FALSE)</f>
        <v>66000550</v>
      </c>
    </row>
    <row r="1180" spans="1:37" x14ac:dyDescent="0.15">
      <c r="A1180" s="1">
        <f t="shared" ca="1" si="534"/>
        <v>9322305</v>
      </c>
      <c r="B1180" s="1" t="str">
        <f t="shared" ca="1" si="535"/>
        <v>玫瑰之舞第3段</v>
      </c>
      <c r="C1180" t="s">
        <v>174</v>
      </c>
      <c r="D1180">
        <f t="shared" si="536"/>
        <v>3</v>
      </c>
      <c r="E1180" s="42">
        <f t="shared" ca="1" si="527"/>
        <v>14</v>
      </c>
      <c r="F1180" t="str">
        <f t="shared" ca="1" si="528"/>
        <v>第5级，共造成139.5%点伤害</v>
      </c>
      <c r="G1180">
        <f t="shared" ca="1" si="537"/>
        <v>3</v>
      </c>
      <c r="H1180">
        <f t="shared" si="538"/>
        <v>3</v>
      </c>
      <c r="I1180" s="44">
        <f t="shared" ca="1" si="539"/>
        <v>5</v>
      </c>
      <c r="J1180">
        <f t="shared" si="540"/>
        <v>2</v>
      </c>
      <c r="K1180" s="36">
        <f t="shared" ca="1" si="541"/>
        <v>27.900000000000002</v>
      </c>
      <c r="L1180" s="10">
        <f ca="1">AH1180*VLOOKUP(C1180,技能辅助查询表,技能配置辅助表!$T$1,FALSE)</f>
        <v>0</v>
      </c>
      <c r="M1180">
        <f t="shared" ca="1" si="525"/>
        <v>7600</v>
      </c>
      <c r="N1180" s="33">
        <f ca="1">CHOOSE(1,W1180*U1180,X1180*'[1]0、经济设定'!$C$18)</f>
        <v>640</v>
      </c>
      <c r="O1180">
        <f t="shared" si="542"/>
        <v>2</v>
      </c>
      <c r="P1180">
        <f t="shared" si="543"/>
        <v>5</v>
      </c>
      <c r="Q1180">
        <f t="shared" si="544"/>
        <v>1</v>
      </c>
      <c r="R1180" s="2">
        <f t="shared" si="545"/>
        <v>7</v>
      </c>
      <c r="S1180" s="2">
        <f t="shared" si="546"/>
        <v>50</v>
      </c>
      <c r="T1180" s="2">
        <f t="shared" si="547"/>
        <v>26.571428571428573</v>
      </c>
      <c r="U1180" s="2">
        <f ca="1">VLOOKUP(E1180,金币生产率!$A$2:$B$120,2,0)</f>
        <v>128</v>
      </c>
      <c r="V1180" s="2">
        <f t="shared" si="548"/>
        <v>132.85714285714286</v>
      </c>
      <c r="W1180" s="45">
        <f t="shared" ca="1" si="532"/>
        <v>5</v>
      </c>
      <c r="X1180" s="48">
        <f t="shared" ca="1" si="533"/>
        <v>22</v>
      </c>
      <c r="Y1180">
        <f t="shared" si="526"/>
        <v>18</v>
      </c>
      <c r="Z1180">
        <f t="shared" ca="1" si="529"/>
        <v>0</v>
      </c>
      <c r="AA1180" t="str">
        <f t="shared" ca="1" si="549"/>
        <v>9322300.png</v>
      </c>
      <c r="AB1180">
        <f t="shared" si="550"/>
        <v>4</v>
      </c>
      <c r="AC1180">
        <f>VLOOKUP(C1180,技能辅助查询表,技能配置辅助表!$W$1,FALSE)</f>
        <v>5332</v>
      </c>
      <c r="AD1180">
        <f t="shared" ca="1" si="530"/>
        <v>1.7518336615193597</v>
      </c>
      <c r="AE1180">
        <f>VLOOKUP(C1180,技能辅助查询表,技能配置辅助表!$U$1,FALSE)</f>
        <v>4</v>
      </c>
      <c r="AF1180">
        <f t="shared" ca="1" si="551"/>
        <v>9322305</v>
      </c>
      <c r="AG1180">
        <f t="shared" ca="1" si="552"/>
        <v>12.959183673469388</v>
      </c>
      <c r="AH1180">
        <f t="shared" ca="1" si="531"/>
        <v>22.175109639485559</v>
      </c>
      <c r="AI1180">
        <f ca="1">VLOOKUP(E1180,伤害参考系!$C$4:$E$104,3,FALSE)*$AN$12</f>
        <v>330.31565217391307</v>
      </c>
      <c r="AJ1180">
        <f>VLOOKUP(C1180,技能辅助查询表,技能配置辅助表!$L$1,FALSE)</f>
        <v>5</v>
      </c>
      <c r="AK1180">
        <f>VLOOKUP(C1180,技能辅助查询表,技能配置辅助表!$AE$1,FALSE)</f>
        <v>66000550</v>
      </c>
    </row>
    <row r="1181" spans="1:37" x14ac:dyDescent="0.15">
      <c r="A1181" s="1">
        <f t="shared" ca="1" si="534"/>
        <v>9322306</v>
      </c>
      <c r="B1181" s="1" t="str">
        <f t="shared" ca="1" si="535"/>
        <v>玫瑰之舞第3段</v>
      </c>
      <c r="C1181" t="s">
        <v>174</v>
      </c>
      <c r="D1181">
        <f t="shared" si="536"/>
        <v>3</v>
      </c>
      <c r="E1181" s="42">
        <f t="shared" ca="1" si="527"/>
        <v>16</v>
      </c>
      <c r="F1181" t="str">
        <f t="shared" ca="1" si="528"/>
        <v>第6级，共造成140.8%点伤害</v>
      </c>
      <c r="G1181">
        <f t="shared" ca="1" si="537"/>
        <v>3</v>
      </c>
      <c r="H1181">
        <f t="shared" si="538"/>
        <v>3</v>
      </c>
      <c r="I1181" s="44">
        <f t="shared" ca="1" si="539"/>
        <v>6</v>
      </c>
      <c r="J1181">
        <f t="shared" si="540"/>
        <v>2</v>
      </c>
      <c r="K1181" s="36">
        <f t="shared" ca="1" si="541"/>
        <v>28.165714285714287</v>
      </c>
      <c r="L1181" s="10">
        <f ca="1">AH1181*VLOOKUP(C1181,技能辅助查询表,技能配置辅助表!$T$1,FALSE)</f>
        <v>0</v>
      </c>
      <c r="M1181">
        <f t="shared" ca="1" si="525"/>
        <v>7520</v>
      </c>
      <c r="N1181" s="33">
        <f ca="1">CHOOSE(1,W1181*U1181,X1181*'[1]0、经济设定'!$C$18)</f>
        <v>700</v>
      </c>
      <c r="O1181">
        <f t="shared" si="542"/>
        <v>2</v>
      </c>
      <c r="P1181">
        <f t="shared" si="543"/>
        <v>5</v>
      </c>
      <c r="Q1181">
        <f t="shared" si="544"/>
        <v>1</v>
      </c>
      <c r="R1181" s="2">
        <f t="shared" si="545"/>
        <v>7</v>
      </c>
      <c r="S1181" s="2">
        <f t="shared" si="546"/>
        <v>50</v>
      </c>
      <c r="T1181" s="2">
        <f t="shared" si="547"/>
        <v>26.571428571428573</v>
      </c>
      <c r="U1181" s="2">
        <f ca="1">VLOOKUP(E1181,金币生产率!$A$2:$B$120,2,0)</f>
        <v>140</v>
      </c>
      <c r="V1181" s="2">
        <f t="shared" si="548"/>
        <v>132.85714285714286</v>
      </c>
      <c r="W1181" s="45">
        <f t="shared" ca="1" si="532"/>
        <v>5</v>
      </c>
      <c r="X1181" s="48">
        <f t="shared" ca="1" si="533"/>
        <v>27</v>
      </c>
      <c r="Y1181">
        <f t="shared" si="526"/>
        <v>18</v>
      </c>
      <c r="Z1181">
        <f t="shared" ca="1" si="529"/>
        <v>0</v>
      </c>
      <c r="AA1181" t="str">
        <f t="shared" ca="1" si="549"/>
        <v>9322300.png</v>
      </c>
      <c r="AB1181">
        <f t="shared" si="550"/>
        <v>4</v>
      </c>
      <c r="AC1181">
        <f>VLOOKUP(C1181,技能辅助查询表,技能配置辅助表!$W$1,FALSE)</f>
        <v>5332</v>
      </c>
      <c r="AD1181">
        <f t="shared" ca="1" si="530"/>
        <v>2.0615218877220278</v>
      </c>
      <c r="AE1181">
        <f>VLOOKUP(C1181,技能辅助查询表,技能配置辅助表!$U$1,FALSE)</f>
        <v>4</v>
      </c>
      <c r="AF1181">
        <f t="shared" ca="1" si="551"/>
        <v>9322306</v>
      </c>
      <c r="AG1181">
        <f t="shared" ca="1" si="552"/>
        <v>14.448979591836736</v>
      </c>
      <c r="AH1181">
        <f t="shared" ca="1" si="531"/>
        <v>25.246069303803697</v>
      </c>
      <c r="AI1181">
        <f ca="1">VLOOKUP(E1181,伤害参考系!$C$4:$E$104,3,FALSE)*$AN$12</f>
        <v>421.35260869565224</v>
      </c>
      <c r="AJ1181">
        <f>VLOOKUP(C1181,技能辅助查询表,技能配置辅助表!$L$1,FALSE)</f>
        <v>5</v>
      </c>
      <c r="AK1181">
        <f>VLOOKUP(C1181,技能辅助查询表,技能配置辅助表!$AE$1,FALSE)</f>
        <v>66000550</v>
      </c>
    </row>
    <row r="1182" spans="1:37" x14ac:dyDescent="0.15">
      <c r="A1182" s="1">
        <f t="shared" ca="1" si="534"/>
        <v>9322307</v>
      </c>
      <c r="B1182" s="1" t="str">
        <f t="shared" ca="1" si="535"/>
        <v>玫瑰之舞第3段</v>
      </c>
      <c r="C1182" t="s">
        <v>174</v>
      </c>
      <c r="D1182">
        <f t="shared" si="536"/>
        <v>3</v>
      </c>
      <c r="E1182" s="42">
        <f t="shared" ca="1" si="527"/>
        <v>17</v>
      </c>
      <c r="F1182" t="str">
        <f t="shared" ca="1" si="528"/>
        <v>第7级，共造成142.2%点伤害</v>
      </c>
      <c r="G1182">
        <f t="shared" ca="1" si="537"/>
        <v>3</v>
      </c>
      <c r="H1182">
        <f t="shared" si="538"/>
        <v>3</v>
      </c>
      <c r="I1182" s="44">
        <f t="shared" ca="1" si="539"/>
        <v>7</v>
      </c>
      <c r="J1182">
        <f t="shared" si="540"/>
        <v>2</v>
      </c>
      <c r="K1182" s="36">
        <f t="shared" ca="1" si="541"/>
        <v>28.431428571428572</v>
      </c>
      <c r="L1182" s="10">
        <f ca="1">AH1182*VLOOKUP(C1182,技能辅助查询表,技能配置辅助表!$T$1,FALSE)</f>
        <v>0</v>
      </c>
      <c r="M1182">
        <f t="shared" ca="1" si="525"/>
        <v>7440</v>
      </c>
      <c r="N1182" s="33">
        <f ca="1">CHOOSE(1,W1182*U1182,X1182*'[1]0、经济设定'!$C$18)</f>
        <v>730</v>
      </c>
      <c r="O1182">
        <f t="shared" si="542"/>
        <v>2</v>
      </c>
      <c r="P1182">
        <f t="shared" si="543"/>
        <v>5</v>
      </c>
      <c r="Q1182">
        <f t="shared" si="544"/>
        <v>1</v>
      </c>
      <c r="R1182" s="2">
        <f t="shared" si="545"/>
        <v>7</v>
      </c>
      <c r="S1182" s="2">
        <f t="shared" si="546"/>
        <v>50</v>
      </c>
      <c r="T1182" s="2">
        <f t="shared" si="547"/>
        <v>26.571428571428573</v>
      </c>
      <c r="U1182" s="2">
        <f ca="1">VLOOKUP(E1182,金币生产率!$A$2:$B$120,2,0)</f>
        <v>146</v>
      </c>
      <c r="V1182" s="2">
        <f t="shared" si="548"/>
        <v>132.85714285714286</v>
      </c>
      <c r="W1182" s="45">
        <f t="shared" ca="1" si="532"/>
        <v>5</v>
      </c>
      <c r="X1182" s="48">
        <f t="shared" ca="1" si="533"/>
        <v>32</v>
      </c>
      <c r="Y1182">
        <f t="shared" si="526"/>
        <v>18</v>
      </c>
      <c r="Z1182">
        <f t="shared" ca="1" si="529"/>
        <v>0</v>
      </c>
      <c r="AA1182" t="str">
        <f t="shared" ca="1" si="549"/>
        <v>9322300.png</v>
      </c>
      <c r="AB1182">
        <f t="shared" si="550"/>
        <v>4</v>
      </c>
      <c r="AC1182">
        <f>VLOOKUP(C1182,技能辅助查询表,技能配置辅助表!$W$1,FALSE)</f>
        <v>5332</v>
      </c>
      <c r="AD1182">
        <f t="shared" ca="1" si="530"/>
        <v>2.4233878687879846</v>
      </c>
      <c r="AE1182">
        <f>VLOOKUP(C1182,技能辅助查询表,技能配置辅助表!$U$1,FALSE)</f>
        <v>4</v>
      </c>
      <c r="AF1182">
        <f t="shared" ca="1" si="551"/>
        <v>9322307</v>
      </c>
      <c r="AG1182">
        <f t="shared" ca="1" si="552"/>
        <v>15.938775510204081</v>
      </c>
      <c r="AH1182">
        <f t="shared" ca="1" si="531"/>
        <v>28.742316302127907</v>
      </c>
      <c r="AI1182">
        <f ca="1">VLOOKUP(E1182,伤害参考系!$C$4:$E$104,3,FALSE)*$AN$12</f>
        <v>470.53516304347824</v>
      </c>
      <c r="AJ1182">
        <f>VLOOKUP(C1182,技能辅助查询表,技能配置辅助表!$L$1,FALSE)</f>
        <v>5</v>
      </c>
      <c r="AK1182">
        <f>VLOOKUP(C1182,技能辅助查询表,技能配置辅助表!$AE$1,FALSE)</f>
        <v>66000550</v>
      </c>
    </row>
    <row r="1183" spans="1:37" x14ac:dyDescent="0.15">
      <c r="A1183" s="1">
        <f t="shared" ca="1" si="534"/>
        <v>9322308</v>
      </c>
      <c r="B1183" s="1" t="str">
        <f t="shared" ca="1" si="535"/>
        <v>玫瑰之舞第3段</v>
      </c>
      <c r="C1183" t="s">
        <v>174</v>
      </c>
      <c r="D1183">
        <f t="shared" si="536"/>
        <v>3</v>
      </c>
      <c r="E1183" s="42">
        <f t="shared" ca="1" si="527"/>
        <v>19</v>
      </c>
      <c r="F1183" t="str">
        <f t="shared" ca="1" si="528"/>
        <v>第8级，共造成143.5%点伤害</v>
      </c>
      <c r="G1183">
        <f t="shared" ca="1" si="537"/>
        <v>3</v>
      </c>
      <c r="H1183">
        <f t="shared" si="538"/>
        <v>3</v>
      </c>
      <c r="I1183" s="44">
        <f t="shared" ca="1" si="539"/>
        <v>8</v>
      </c>
      <c r="J1183">
        <f t="shared" si="540"/>
        <v>2</v>
      </c>
      <c r="K1183" s="36">
        <f t="shared" ca="1" si="541"/>
        <v>28.697142857142858</v>
      </c>
      <c r="L1183" s="10">
        <f ca="1">AH1183*VLOOKUP(C1183,技能辅助查询表,技能配置辅助表!$T$1,FALSE)</f>
        <v>0</v>
      </c>
      <c r="M1183">
        <f t="shared" ca="1" si="525"/>
        <v>7360</v>
      </c>
      <c r="N1183" s="33">
        <f ca="1">CHOOSE(1,W1183*U1183,X1183*'[1]0、经济设定'!$C$18)</f>
        <v>948</v>
      </c>
      <c r="O1183">
        <f t="shared" si="542"/>
        <v>2</v>
      </c>
      <c r="P1183">
        <f t="shared" si="543"/>
        <v>5</v>
      </c>
      <c r="Q1183">
        <f t="shared" si="544"/>
        <v>1</v>
      </c>
      <c r="R1183" s="2">
        <f t="shared" si="545"/>
        <v>7</v>
      </c>
      <c r="S1183" s="2">
        <f t="shared" si="546"/>
        <v>50</v>
      </c>
      <c r="T1183" s="2">
        <f t="shared" si="547"/>
        <v>26.571428571428573</v>
      </c>
      <c r="U1183" s="2">
        <f ca="1">VLOOKUP(E1183,金币生产率!$A$2:$B$120,2,0)</f>
        <v>158</v>
      </c>
      <c r="V1183" s="2">
        <f t="shared" si="548"/>
        <v>132.85714285714286</v>
      </c>
      <c r="W1183" s="45">
        <f t="shared" ca="1" si="532"/>
        <v>6</v>
      </c>
      <c r="X1183" s="48">
        <f t="shared" ca="1" si="533"/>
        <v>38</v>
      </c>
      <c r="Y1183">
        <f t="shared" si="526"/>
        <v>18</v>
      </c>
      <c r="Z1183">
        <f t="shared" ca="1" si="529"/>
        <v>0</v>
      </c>
      <c r="AA1183" t="str">
        <f t="shared" ca="1" si="549"/>
        <v>9322300.png</v>
      </c>
      <c r="AB1183">
        <f t="shared" si="550"/>
        <v>4</v>
      </c>
      <c r="AC1183">
        <f>VLOOKUP(C1183,技能辅助查询表,技能配置辅助表!$W$1,FALSE)</f>
        <v>5332</v>
      </c>
      <c r="AD1183">
        <f t="shared" ca="1" si="530"/>
        <v>2.8459440803754674</v>
      </c>
      <c r="AE1183">
        <f>VLOOKUP(C1183,技能辅助查询表,技能配置辅助表!$U$1,FALSE)</f>
        <v>4</v>
      </c>
      <c r="AF1183">
        <f t="shared" ca="1" si="551"/>
        <v>9322308</v>
      </c>
      <c r="AG1183">
        <f t="shared" ca="1" si="552"/>
        <v>17.428571428571431</v>
      </c>
      <c r="AH1183">
        <f t="shared" ca="1" si="531"/>
        <v>32.722747310493212</v>
      </c>
      <c r="AI1183">
        <f ca="1">VLOOKUP(E1183,伤害参考系!$C$4:$E$104,3,FALSE)*$AN$12</f>
        <v>576.22842391304346</v>
      </c>
      <c r="AJ1183">
        <f>VLOOKUP(C1183,技能辅助查询表,技能配置辅助表!$L$1,FALSE)</f>
        <v>5</v>
      </c>
      <c r="AK1183">
        <f>VLOOKUP(C1183,技能辅助查询表,技能配置辅助表!$AE$1,FALSE)</f>
        <v>66000550</v>
      </c>
    </row>
    <row r="1184" spans="1:37" x14ac:dyDescent="0.15">
      <c r="A1184" s="1">
        <f t="shared" ca="1" si="534"/>
        <v>9322309</v>
      </c>
      <c r="B1184" s="1" t="str">
        <f t="shared" ca="1" si="535"/>
        <v>玫瑰之舞第3段</v>
      </c>
      <c r="C1184" t="s">
        <v>174</v>
      </c>
      <c r="D1184">
        <f t="shared" si="536"/>
        <v>3</v>
      </c>
      <c r="E1184" s="42">
        <f t="shared" ca="1" si="527"/>
        <v>20</v>
      </c>
      <c r="F1184" t="str">
        <f t="shared" ca="1" si="528"/>
        <v>第9级，共造成144.8%点伤害</v>
      </c>
      <c r="G1184">
        <f t="shared" ca="1" si="537"/>
        <v>3</v>
      </c>
      <c r="H1184">
        <f t="shared" si="538"/>
        <v>3</v>
      </c>
      <c r="I1184" s="44">
        <f t="shared" ca="1" si="539"/>
        <v>9</v>
      </c>
      <c r="J1184">
        <f t="shared" si="540"/>
        <v>2</v>
      </c>
      <c r="K1184" s="36">
        <f t="shared" ca="1" si="541"/>
        <v>28.962857142857146</v>
      </c>
      <c r="L1184" s="10">
        <f ca="1">AH1184*VLOOKUP(C1184,技能辅助查询表,技能配置辅助表!$T$1,FALSE)</f>
        <v>0</v>
      </c>
      <c r="M1184">
        <f t="shared" ca="1" si="525"/>
        <v>7280</v>
      </c>
      <c r="N1184" s="33">
        <f ca="1">CHOOSE(1,W1184*U1184,X1184*'[1]0、经济设定'!$C$18)</f>
        <v>1092</v>
      </c>
      <c r="O1184">
        <f t="shared" si="542"/>
        <v>2</v>
      </c>
      <c r="P1184">
        <f t="shared" si="543"/>
        <v>5</v>
      </c>
      <c r="Q1184">
        <f t="shared" si="544"/>
        <v>1</v>
      </c>
      <c r="R1184" s="2">
        <f t="shared" si="545"/>
        <v>7</v>
      </c>
      <c r="S1184" s="2">
        <f t="shared" si="546"/>
        <v>50</v>
      </c>
      <c r="T1184" s="2">
        <f t="shared" si="547"/>
        <v>26.571428571428573</v>
      </c>
      <c r="U1184" s="2">
        <f ca="1">VLOOKUP(E1184,金币生产率!$A$2:$B$120,2,0)</f>
        <v>182</v>
      </c>
      <c r="V1184" s="2">
        <f t="shared" si="548"/>
        <v>132.85714285714286</v>
      </c>
      <c r="W1184" s="45">
        <f t="shared" ca="1" si="532"/>
        <v>6</v>
      </c>
      <c r="X1184" s="48">
        <f t="shared" ca="1" si="533"/>
        <v>44</v>
      </c>
      <c r="Y1184">
        <f t="shared" si="526"/>
        <v>18</v>
      </c>
      <c r="Z1184">
        <f t="shared" ca="1" si="529"/>
        <v>0</v>
      </c>
      <c r="AA1184" t="str">
        <f t="shared" ca="1" si="549"/>
        <v>9322300.png</v>
      </c>
      <c r="AB1184">
        <f t="shared" si="550"/>
        <v>4</v>
      </c>
      <c r="AC1184">
        <f>VLOOKUP(C1184,技能辅助查询表,技能配置辅助表!$W$1,FALSE)</f>
        <v>5332</v>
      </c>
      <c r="AD1184">
        <f t="shared" ca="1" si="530"/>
        <v>3.3390600331702216</v>
      </c>
      <c r="AE1184">
        <f>VLOOKUP(C1184,技能辅助查询表,技能配置辅助表!$U$1,FALSE)</f>
        <v>4</v>
      </c>
      <c r="AF1184">
        <f t="shared" ca="1" si="551"/>
        <v>9322309</v>
      </c>
      <c r="AG1184">
        <f t="shared" ca="1" si="552"/>
        <v>18.918367346938776</v>
      </c>
      <c r="AH1184">
        <f t="shared" ca="1" si="531"/>
        <v>37.25441541630785</v>
      </c>
      <c r="AI1184">
        <f ca="1">VLOOKUP(E1184,伤害参考系!$C$4:$E$104,3,FALSE)*$AN$12</f>
        <v>632.73913043478262</v>
      </c>
      <c r="AJ1184">
        <f>VLOOKUP(C1184,技能辅助查询表,技能配置辅助表!$L$1,FALSE)</f>
        <v>5</v>
      </c>
      <c r="AK1184">
        <f>VLOOKUP(C1184,技能辅助查询表,技能配置辅助表!$AE$1,FALSE)</f>
        <v>66000550</v>
      </c>
    </row>
    <row r="1185" spans="1:37" x14ac:dyDescent="0.15">
      <c r="A1185" s="1">
        <f t="shared" ca="1" si="534"/>
        <v>9322310</v>
      </c>
      <c r="B1185" s="1" t="str">
        <f t="shared" ca="1" si="535"/>
        <v>玫瑰之舞第3段</v>
      </c>
      <c r="C1185" t="s">
        <v>174</v>
      </c>
      <c r="D1185">
        <f t="shared" si="536"/>
        <v>3</v>
      </c>
      <c r="E1185" s="42">
        <f t="shared" ca="1" si="527"/>
        <v>22</v>
      </c>
      <c r="F1185" t="str">
        <f t="shared" ca="1" si="528"/>
        <v>第10级，共造成146.1%点伤害</v>
      </c>
      <c r="G1185">
        <f t="shared" ca="1" si="537"/>
        <v>3</v>
      </c>
      <c r="H1185">
        <f t="shared" si="538"/>
        <v>3</v>
      </c>
      <c r="I1185" s="44">
        <f t="shared" ca="1" si="539"/>
        <v>10</v>
      </c>
      <c r="J1185">
        <f t="shared" si="540"/>
        <v>2</v>
      </c>
      <c r="K1185" s="36">
        <f t="shared" ca="1" si="541"/>
        <v>29.228571428571431</v>
      </c>
      <c r="L1185" s="10">
        <f ca="1">AH1185*VLOOKUP(C1185,技能辅助查询表,技能配置辅助表!$T$1,FALSE)</f>
        <v>0</v>
      </c>
      <c r="M1185">
        <f t="shared" ca="1" si="525"/>
        <v>7200</v>
      </c>
      <c r="N1185" s="33">
        <f ca="1">CHOOSE(1,W1185*U1185,X1185*'[1]0、经济设定'!$C$18)</f>
        <v>1673</v>
      </c>
      <c r="O1185">
        <f t="shared" si="542"/>
        <v>2</v>
      </c>
      <c r="P1185">
        <f t="shared" si="543"/>
        <v>5</v>
      </c>
      <c r="Q1185">
        <f t="shared" si="544"/>
        <v>1</v>
      </c>
      <c r="R1185" s="2">
        <f t="shared" si="545"/>
        <v>7</v>
      </c>
      <c r="S1185" s="2">
        <f t="shared" si="546"/>
        <v>50</v>
      </c>
      <c r="T1185" s="2">
        <f t="shared" si="547"/>
        <v>26.571428571428573</v>
      </c>
      <c r="U1185" s="2">
        <f ca="1">VLOOKUP(E1185,金币生产率!$A$2:$B$120,2,0)</f>
        <v>239</v>
      </c>
      <c r="V1185" s="2">
        <f t="shared" si="548"/>
        <v>132.85714285714286</v>
      </c>
      <c r="W1185" s="45">
        <f t="shared" ca="1" si="532"/>
        <v>7</v>
      </c>
      <c r="X1185" s="48">
        <f t="shared" ca="1" si="533"/>
        <v>51</v>
      </c>
      <c r="Y1185">
        <f t="shared" si="526"/>
        <v>18</v>
      </c>
      <c r="Z1185">
        <f t="shared" ca="1" si="529"/>
        <v>0</v>
      </c>
      <c r="AA1185" t="str">
        <f t="shared" ca="1" si="549"/>
        <v>9322300.png</v>
      </c>
      <c r="AB1185">
        <f t="shared" si="550"/>
        <v>4</v>
      </c>
      <c r="AC1185">
        <f>VLOOKUP(C1185,技能辅助查询表,技能配置辅助表!$W$1,FALSE)</f>
        <v>5332</v>
      </c>
      <c r="AD1185">
        <f t="shared" ca="1" si="530"/>
        <v>3.9141748784447699</v>
      </c>
      <c r="AE1185">
        <f>VLOOKUP(C1185,技能辅助查询表,技能配置辅助表!$U$1,FALSE)</f>
        <v>4</v>
      </c>
      <c r="AF1185">
        <f t="shared" ca="1" si="551"/>
        <v>9322310</v>
      </c>
      <c r="AG1185">
        <f t="shared" ca="1" si="552"/>
        <v>20.408163265306122</v>
      </c>
      <c r="AH1185">
        <f t="shared" ca="1" si="531"/>
        <v>42.413659673550121</v>
      </c>
      <c r="AI1185">
        <f ca="1">VLOOKUP(E1185,伤害参考系!$C$4:$E$104,3,FALSE)*$AN$12</f>
        <v>753.08869565217401</v>
      </c>
      <c r="AJ1185">
        <f>VLOOKUP(C1185,技能辅助查询表,技能配置辅助表!$L$1,FALSE)</f>
        <v>5</v>
      </c>
      <c r="AK1185">
        <f>VLOOKUP(C1185,技能辅助查询表,技能配置辅助表!$AE$1,FALSE)</f>
        <v>66000550</v>
      </c>
    </row>
    <row r="1186" spans="1:37" x14ac:dyDescent="0.15">
      <c r="A1186" s="1">
        <f t="shared" ca="1" si="534"/>
        <v>9322311</v>
      </c>
      <c r="B1186" s="1" t="str">
        <f t="shared" ca="1" si="535"/>
        <v>玫瑰之舞第3段</v>
      </c>
      <c r="C1186" t="s">
        <v>174</v>
      </c>
      <c r="D1186">
        <f t="shared" si="536"/>
        <v>3</v>
      </c>
      <c r="E1186" s="42">
        <f t="shared" ca="1" si="527"/>
        <v>23</v>
      </c>
      <c r="F1186" t="str">
        <f t="shared" ca="1" si="528"/>
        <v>第11级，共造成147.5%点伤害</v>
      </c>
      <c r="G1186">
        <f t="shared" ca="1" si="537"/>
        <v>3</v>
      </c>
      <c r="H1186">
        <f t="shared" si="538"/>
        <v>3</v>
      </c>
      <c r="I1186" s="44">
        <f t="shared" ca="1" si="539"/>
        <v>11</v>
      </c>
      <c r="J1186">
        <f t="shared" si="540"/>
        <v>2</v>
      </c>
      <c r="K1186" s="36">
        <f t="shared" ca="1" si="541"/>
        <v>29.494285714285716</v>
      </c>
      <c r="L1186" s="10">
        <f ca="1">AH1186*VLOOKUP(C1186,技能辅助查询表,技能配置辅助表!$T$1,FALSE)</f>
        <v>0</v>
      </c>
      <c r="M1186">
        <f t="shared" ca="1" si="525"/>
        <v>7120</v>
      </c>
      <c r="N1186" s="33">
        <f ca="1">CHOOSE(1,W1186*U1186,X1186*'[1]0、经济设定'!$C$18)</f>
        <v>1890</v>
      </c>
      <c r="O1186">
        <f t="shared" si="542"/>
        <v>2</v>
      </c>
      <c r="P1186">
        <f t="shared" si="543"/>
        <v>5</v>
      </c>
      <c r="Q1186">
        <f t="shared" si="544"/>
        <v>1</v>
      </c>
      <c r="R1186" s="2">
        <f t="shared" si="545"/>
        <v>7</v>
      </c>
      <c r="S1186" s="2">
        <f t="shared" si="546"/>
        <v>50</v>
      </c>
      <c r="T1186" s="2">
        <f t="shared" si="547"/>
        <v>26.571428571428573</v>
      </c>
      <c r="U1186" s="2">
        <f ca="1">VLOOKUP(E1186,金币生产率!$A$2:$B$120,2,0)</f>
        <v>270</v>
      </c>
      <c r="V1186" s="2">
        <f t="shared" si="548"/>
        <v>132.85714285714286</v>
      </c>
      <c r="W1186" s="45">
        <f t="shared" ca="1" si="532"/>
        <v>7</v>
      </c>
      <c r="X1186" s="48">
        <f t="shared" ca="1" si="533"/>
        <v>58</v>
      </c>
      <c r="Y1186">
        <f t="shared" si="526"/>
        <v>18</v>
      </c>
      <c r="Z1186">
        <f t="shared" ca="1" si="529"/>
        <v>0</v>
      </c>
      <c r="AA1186" t="str">
        <f t="shared" ca="1" si="549"/>
        <v>9322300.png</v>
      </c>
      <c r="AB1186">
        <f t="shared" si="550"/>
        <v>4</v>
      </c>
      <c r="AC1186">
        <f>VLOOKUP(C1186,技能辅助查询表,技能配置辅助表!$W$1,FALSE)</f>
        <v>5332</v>
      </c>
      <c r="AD1186">
        <f t="shared" ca="1" si="530"/>
        <v>4.5845428737205722</v>
      </c>
      <c r="AE1186">
        <f>VLOOKUP(C1186,技能辅助查询表,技能配置辅助表!$U$1,FALSE)</f>
        <v>4</v>
      </c>
      <c r="AF1186">
        <f t="shared" ca="1" si="551"/>
        <v>9322311</v>
      </c>
      <c r="AG1186">
        <f t="shared" ca="1" si="552"/>
        <v>21.897959183673471</v>
      </c>
      <c r="AH1186">
        <f t="shared" ca="1" si="531"/>
        <v>48.287391086433935</v>
      </c>
      <c r="AI1186">
        <f ca="1">VLOOKUP(E1186,伤害参考系!$C$4:$E$104,3,FALSE)*$AN$12</f>
        <v>832.15832357859551</v>
      </c>
      <c r="AJ1186">
        <f>VLOOKUP(C1186,技能辅助查询表,技能配置辅助表!$L$1,FALSE)</f>
        <v>5</v>
      </c>
      <c r="AK1186">
        <f>VLOOKUP(C1186,技能辅助查询表,技能配置辅助表!$AE$1,FALSE)</f>
        <v>66000550</v>
      </c>
    </row>
    <row r="1187" spans="1:37" x14ac:dyDescent="0.15">
      <c r="A1187" s="1">
        <f t="shared" ca="1" si="534"/>
        <v>9322312</v>
      </c>
      <c r="B1187" s="1" t="str">
        <f t="shared" ca="1" si="535"/>
        <v>玫瑰之舞第3段</v>
      </c>
      <c r="C1187" t="s">
        <v>174</v>
      </c>
      <c r="D1187">
        <f t="shared" si="536"/>
        <v>3</v>
      </c>
      <c r="E1187" s="42">
        <f t="shared" ca="1" si="527"/>
        <v>25</v>
      </c>
      <c r="F1187" t="str">
        <f t="shared" ca="1" si="528"/>
        <v>第12级，共造成148.8%点伤害</v>
      </c>
      <c r="G1187">
        <f t="shared" ca="1" si="537"/>
        <v>3</v>
      </c>
      <c r="H1187">
        <f t="shared" si="538"/>
        <v>3</v>
      </c>
      <c r="I1187" s="44">
        <f t="shared" ca="1" si="539"/>
        <v>12</v>
      </c>
      <c r="J1187">
        <f t="shared" si="540"/>
        <v>2</v>
      </c>
      <c r="K1187" s="36">
        <f t="shared" ca="1" si="541"/>
        <v>29.76</v>
      </c>
      <c r="L1187" s="10">
        <f ca="1">AH1187*VLOOKUP(C1187,技能辅助查询表,技能配置辅助表!$T$1,FALSE)</f>
        <v>0</v>
      </c>
      <c r="M1187">
        <f t="shared" ca="1" si="525"/>
        <v>7040</v>
      </c>
      <c r="N1187" s="33">
        <f ca="1">CHOOSE(1,W1187*U1187,X1187*'[1]0、经济设定'!$C$18)</f>
        <v>2680</v>
      </c>
      <c r="O1187">
        <f t="shared" si="542"/>
        <v>2</v>
      </c>
      <c r="P1187">
        <f t="shared" si="543"/>
        <v>5</v>
      </c>
      <c r="Q1187">
        <f t="shared" si="544"/>
        <v>1</v>
      </c>
      <c r="R1187" s="2">
        <f t="shared" si="545"/>
        <v>7</v>
      </c>
      <c r="S1187" s="2">
        <f t="shared" si="546"/>
        <v>50</v>
      </c>
      <c r="T1187" s="2">
        <f t="shared" si="547"/>
        <v>26.571428571428573</v>
      </c>
      <c r="U1187" s="2">
        <f ca="1">VLOOKUP(E1187,金币生产率!$A$2:$B$120,2,0)</f>
        <v>335</v>
      </c>
      <c r="V1187" s="2">
        <f t="shared" si="548"/>
        <v>132.85714285714286</v>
      </c>
      <c r="W1187" s="45">
        <f t="shared" ca="1" si="532"/>
        <v>8</v>
      </c>
      <c r="X1187" s="48">
        <f t="shared" ca="1" si="533"/>
        <v>66</v>
      </c>
      <c r="Y1187">
        <f t="shared" si="526"/>
        <v>18</v>
      </c>
      <c r="Z1187">
        <f t="shared" ca="1" si="529"/>
        <v>0</v>
      </c>
      <c r="AA1187" t="str">
        <f t="shared" ca="1" si="549"/>
        <v>9322300.png</v>
      </c>
      <c r="AB1187">
        <f t="shared" si="550"/>
        <v>4</v>
      </c>
      <c r="AC1187">
        <f>VLOOKUP(C1187,技能辅助查询表,技能配置辅助表!$W$1,FALSE)</f>
        <v>5332</v>
      </c>
      <c r="AD1187">
        <f t="shared" ca="1" si="530"/>
        <v>5.3655167324383752</v>
      </c>
      <c r="AE1187">
        <f>VLOOKUP(C1187,技能辅助查询表,技能配置辅助表!$U$1,FALSE)</f>
        <v>4</v>
      </c>
      <c r="AF1187">
        <f t="shared" ca="1" si="551"/>
        <v>9322312</v>
      </c>
      <c r="AG1187">
        <f t="shared" ca="1" si="552"/>
        <v>23.387755102040817</v>
      </c>
      <c r="AH1187">
        <f t="shared" ca="1" si="531"/>
        <v>54.974556684819426</v>
      </c>
      <c r="AI1187">
        <f ca="1">VLOOKUP(E1187,伤害参考系!$C$4:$E$104,3,FALSE)*$AN$12</f>
        <v>1000.3949623745822</v>
      </c>
      <c r="AJ1187">
        <f>VLOOKUP(C1187,技能辅助查询表,技能配置辅助表!$L$1,FALSE)</f>
        <v>5</v>
      </c>
      <c r="AK1187">
        <f>VLOOKUP(C1187,技能辅助查询表,技能配置辅助表!$AE$1,FALSE)</f>
        <v>66000550</v>
      </c>
    </row>
    <row r="1188" spans="1:37" x14ac:dyDescent="0.15">
      <c r="A1188" s="1">
        <f t="shared" ca="1" si="534"/>
        <v>9322313</v>
      </c>
      <c r="B1188" s="1" t="str">
        <f t="shared" ca="1" si="535"/>
        <v>玫瑰之舞第3段</v>
      </c>
      <c r="C1188" t="s">
        <v>174</v>
      </c>
      <c r="D1188">
        <f t="shared" si="536"/>
        <v>3</v>
      </c>
      <c r="E1188" s="42">
        <f t="shared" ca="1" si="527"/>
        <v>26</v>
      </c>
      <c r="F1188" t="str">
        <f t="shared" ca="1" si="528"/>
        <v>第13级，共造成150.1%点伤害</v>
      </c>
      <c r="G1188">
        <f t="shared" ca="1" si="537"/>
        <v>3</v>
      </c>
      <c r="H1188">
        <f t="shared" si="538"/>
        <v>3</v>
      </c>
      <c r="I1188" s="44">
        <f t="shared" ca="1" si="539"/>
        <v>13</v>
      </c>
      <c r="J1188">
        <f t="shared" si="540"/>
        <v>2</v>
      </c>
      <c r="K1188" s="36">
        <f t="shared" ca="1" si="541"/>
        <v>30.025714285714287</v>
      </c>
      <c r="L1188" s="10">
        <f ca="1">AH1188*VLOOKUP(C1188,技能辅助查询表,技能配置辅助表!$T$1,FALSE)</f>
        <v>0</v>
      </c>
      <c r="M1188">
        <f t="shared" ca="1" si="525"/>
        <v>6960</v>
      </c>
      <c r="N1188" s="33">
        <f ca="1">CHOOSE(1,W1188*U1188,X1188*'[1]0、经济设定'!$C$18)</f>
        <v>2960</v>
      </c>
      <c r="O1188">
        <f t="shared" si="542"/>
        <v>2</v>
      </c>
      <c r="P1188">
        <f t="shared" si="543"/>
        <v>5</v>
      </c>
      <c r="Q1188">
        <f t="shared" si="544"/>
        <v>1</v>
      </c>
      <c r="R1188" s="2">
        <f t="shared" si="545"/>
        <v>7</v>
      </c>
      <c r="S1188" s="2">
        <f t="shared" si="546"/>
        <v>50</v>
      </c>
      <c r="T1188" s="2">
        <f t="shared" si="547"/>
        <v>26.571428571428573</v>
      </c>
      <c r="U1188" s="2">
        <f ca="1">VLOOKUP(E1188,金币生产率!$A$2:$B$120,2,0)</f>
        <v>370</v>
      </c>
      <c r="V1188" s="2">
        <f t="shared" si="548"/>
        <v>132.85714285714286</v>
      </c>
      <c r="W1188" s="45">
        <f t="shared" ca="1" si="532"/>
        <v>8</v>
      </c>
      <c r="X1188" s="48">
        <f t="shared" ca="1" si="533"/>
        <v>74</v>
      </c>
      <c r="Y1188">
        <f t="shared" si="526"/>
        <v>18</v>
      </c>
      <c r="Z1188">
        <f t="shared" ca="1" si="529"/>
        <v>0</v>
      </c>
      <c r="AA1188" t="str">
        <f t="shared" ca="1" si="549"/>
        <v>9322300.png</v>
      </c>
      <c r="AB1188">
        <f t="shared" si="550"/>
        <v>4</v>
      </c>
      <c r="AC1188">
        <f>VLOOKUP(C1188,技能辅助查询表,技能配置辅助表!$W$1,FALSE)</f>
        <v>5332</v>
      </c>
      <c r="AD1188">
        <f t="shared" ca="1" si="530"/>
        <v>6.2748746428204925</v>
      </c>
      <c r="AE1188">
        <f>VLOOKUP(C1188,技能辅助查询表,技能配置辅助表!$U$1,FALSE)</f>
        <v>4</v>
      </c>
      <c r="AF1188">
        <f t="shared" ca="1" si="551"/>
        <v>9322313</v>
      </c>
      <c r="AG1188">
        <f t="shared" ca="1" si="552"/>
        <v>24.877551020408163</v>
      </c>
      <c r="AH1188">
        <f t="shared" ca="1" si="531"/>
        <v>62.587806354721323</v>
      </c>
      <c r="AI1188">
        <f ca="1">VLOOKUP(E1188,伤害参考系!$C$4:$E$104,3,FALSE)*$AN$12</f>
        <v>1103.3859732441474</v>
      </c>
      <c r="AJ1188">
        <f>VLOOKUP(C1188,技能辅助查询表,技能配置辅助表!$L$1,FALSE)</f>
        <v>5</v>
      </c>
      <c r="AK1188">
        <f>VLOOKUP(C1188,技能辅助查询表,技能配置辅助表!$AE$1,FALSE)</f>
        <v>66000550</v>
      </c>
    </row>
    <row r="1189" spans="1:37" x14ac:dyDescent="0.15">
      <c r="A1189" s="1">
        <f t="shared" ca="1" si="534"/>
        <v>9322314</v>
      </c>
      <c r="B1189" s="1" t="str">
        <f t="shared" ca="1" si="535"/>
        <v>玫瑰之舞第3段</v>
      </c>
      <c r="C1189" t="s">
        <v>174</v>
      </c>
      <c r="D1189">
        <f t="shared" si="536"/>
        <v>3</v>
      </c>
      <c r="E1189" s="42">
        <f t="shared" ca="1" si="527"/>
        <v>27</v>
      </c>
      <c r="F1189" t="str">
        <f t="shared" ca="1" si="528"/>
        <v>第14级，共造成151.5%点伤害</v>
      </c>
      <c r="G1189">
        <f t="shared" ca="1" si="537"/>
        <v>3</v>
      </c>
      <c r="H1189">
        <f t="shared" si="538"/>
        <v>3</v>
      </c>
      <c r="I1189" s="44">
        <f t="shared" ca="1" si="539"/>
        <v>14</v>
      </c>
      <c r="J1189">
        <f t="shared" si="540"/>
        <v>2</v>
      </c>
      <c r="K1189" s="36">
        <f t="shared" ca="1" si="541"/>
        <v>30.291428571428572</v>
      </c>
      <c r="L1189" s="10">
        <f ca="1">AH1189*VLOOKUP(C1189,技能辅助查询表,技能配置辅助表!$T$1,FALSE)</f>
        <v>0</v>
      </c>
      <c r="M1189">
        <f t="shared" ca="1" si="525"/>
        <v>6880</v>
      </c>
      <c r="N1189" s="33">
        <f ca="1">CHOOSE(1,W1189*U1189,X1189*'[1]0、经济设定'!$C$18)</f>
        <v>3654</v>
      </c>
      <c r="O1189">
        <f t="shared" si="542"/>
        <v>2</v>
      </c>
      <c r="P1189">
        <f t="shared" si="543"/>
        <v>5</v>
      </c>
      <c r="Q1189">
        <f t="shared" si="544"/>
        <v>1</v>
      </c>
      <c r="R1189" s="2">
        <f t="shared" si="545"/>
        <v>7</v>
      </c>
      <c r="S1189" s="2">
        <f t="shared" si="546"/>
        <v>50</v>
      </c>
      <c r="T1189" s="2">
        <f t="shared" si="547"/>
        <v>26.571428571428573</v>
      </c>
      <c r="U1189" s="2">
        <f ca="1">VLOOKUP(E1189,金币生产率!$A$2:$B$120,2,0)</f>
        <v>406</v>
      </c>
      <c r="V1189" s="2">
        <f t="shared" si="548"/>
        <v>132.85714285714286</v>
      </c>
      <c r="W1189" s="45">
        <f t="shared" ca="1" si="532"/>
        <v>9</v>
      </c>
      <c r="X1189" s="48">
        <f t="shared" ca="1" si="533"/>
        <v>83</v>
      </c>
      <c r="Y1189">
        <f t="shared" si="526"/>
        <v>18</v>
      </c>
      <c r="Z1189">
        <f t="shared" ca="1" si="529"/>
        <v>0</v>
      </c>
      <c r="AA1189" t="str">
        <f t="shared" ca="1" si="549"/>
        <v>9322300.png</v>
      </c>
      <c r="AB1189">
        <f t="shared" si="550"/>
        <v>4</v>
      </c>
      <c r="AC1189">
        <f>VLOOKUP(C1189,技能辅助查询表,技能配置辅助表!$W$1,FALSE)</f>
        <v>5332</v>
      </c>
      <c r="AD1189">
        <f t="shared" ca="1" si="530"/>
        <v>7.3331976168899811</v>
      </c>
      <c r="AE1189">
        <f>VLOOKUP(C1189,技能辅助查询表,技能配置辅助表!$U$1,FALSE)</f>
        <v>4</v>
      </c>
      <c r="AF1189">
        <f t="shared" ca="1" si="551"/>
        <v>9322314</v>
      </c>
      <c r="AG1189">
        <f t="shared" ca="1" si="552"/>
        <v>26.367346938775512</v>
      </c>
      <c r="AH1189">
        <f t="shared" ca="1" si="531"/>
        <v>71.25539050281769</v>
      </c>
      <c r="AI1189">
        <f ca="1">VLOOKUP(E1189,伤害参考系!$C$4:$E$104,3,FALSE)*$AN$12</f>
        <v>1210.5107784280938</v>
      </c>
      <c r="AJ1189">
        <f>VLOOKUP(C1189,技能辅助查询表,技能配置辅助表!$L$1,FALSE)</f>
        <v>5</v>
      </c>
      <c r="AK1189">
        <f>VLOOKUP(C1189,技能辅助查询表,技能配置辅助表!$AE$1,FALSE)</f>
        <v>66000550</v>
      </c>
    </row>
    <row r="1190" spans="1:37" x14ac:dyDescent="0.15">
      <c r="A1190" s="1">
        <f t="shared" ca="1" si="534"/>
        <v>9322315</v>
      </c>
      <c r="B1190" s="1" t="str">
        <f t="shared" ca="1" si="535"/>
        <v>玫瑰之舞第3段</v>
      </c>
      <c r="C1190" t="s">
        <v>174</v>
      </c>
      <c r="D1190">
        <f t="shared" si="536"/>
        <v>3</v>
      </c>
      <c r="E1190" s="42">
        <f t="shared" ca="1" si="527"/>
        <v>29</v>
      </c>
      <c r="F1190" t="str">
        <f t="shared" ca="1" si="528"/>
        <v>第15级，共造成152.8%点伤害</v>
      </c>
      <c r="G1190">
        <f t="shared" ca="1" si="537"/>
        <v>3</v>
      </c>
      <c r="H1190">
        <f t="shared" si="538"/>
        <v>3</v>
      </c>
      <c r="I1190" s="44">
        <f t="shared" ca="1" si="539"/>
        <v>15</v>
      </c>
      <c r="J1190">
        <f t="shared" si="540"/>
        <v>2</v>
      </c>
      <c r="K1190" s="36">
        <f t="shared" ca="1" si="541"/>
        <v>30.55714285714286</v>
      </c>
      <c r="L1190" s="10">
        <f ca="1">AH1190*VLOOKUP(C1190,技能辅助查询表,技能配置辅助表!$T$1,FALSE)</f>
        <v>0</v>
      </c>
      <c r="M1190">
        <f t="shared" ca="1" si="525"/>
        <v>6800</v>
      </c>
      <c r="N1190" s="33">
        <f ca="1">CHOOSE(1,W1190*U1190,X1190*'[1]0、经济设定'!$C$18)</f>
        <v>4820</v>
      </c>
      <c r="O1190">
        <f t="shared" si="542"/>
        <v>2</v>
      </c>
      <c r="P1190">
        <f t="shared" si="543"/>
        <v>5</v>
      </c>
      <c r="Q1190">
        <f t="shared" si="544"/>
        <v>1</v>
      </c>
      <c r="R1190" s="2">
        <f t="shared" si="545"/>
        <v>7</v>
      </c>
      <c r="S1190" s="2">
        <f t="shared" si="546"/>
        <v>50</v>
      </c>
      <c r="T1190" s="2">
        <f t="shared" si="547"/>
        <v>26.571428571428573</v>
      </c>
      <c r="U1190" s="2">
        <f ca="1">VLOOKUP(E1190,金币生产率!$A$2:$B$120,2,0)</f>
        <v>482</v>
      </c>
      <c r="V1190" s="2">
        <f t="shared" si="548"/>
        <v>132.85714285714286</v>
      </c>
      <c r="W1190" s="45">
        <f t="shared" ca="1" si="532"/>
        <v>10</v>
      </c>
      <c r="X1190" s="48">
        <f t="shared" ca="1" si="533"/>
        <v>93</v>
      </c>
      <c r="Y1190">
        <f t="shared" si="526"/>
        <v>18</v>
      </c>
      <c r="Z1190">
        <f t="shared" ca="1" si="529"/>
        <v>0</v>
      </c>
      <c r="AA1190" t="str">
        <f t="shared" ca="1" si="549"/>
        <v>9322300.png</v>
      </c>
      <c r="AB1190">
        <f t="shared" si="550"/>
        <v>4</v>
      </c>
      <c r="AC1190">
        <f>VLOOKUP(C1190,技能辅助查询表,技能配置辅助表!$W$1,FALSE)</f>
        <v>5332</v>
      </c>
      <c r="AD1190">
        <f t="shared" ca="1" si="530"/>
        <v>8.5643048380094804</v>
      </c>
      <c r="AE1190">
        <f>VLOOKUP(C1190,技能辅助查询表,技能配置辅助表!$U$1,FALSE)</f>
        <v>4</v>
      </c>
      <c r="AF1190">
        <f t="shared" ca="1" si="551"/>
        <v>9322315</v>
      </c>
      <c r="AG1190">
        <f t="shared" ca="1" si="552"/>
        <v>27.857142857142858</v>
      </c>
      <c r="AH1190">
        <f t="shared" ca="1" si="531"/>
        <v>81.123320522417259</v>
      </c>
      <c r="AI1190">
        <f ca="1">VLOOKUP(E1190,伤害参考系!$C$4:$E$104,3,FALSE)*$AN$12</f>
        <v>1437.1617717391309</v>
      </c>
      <c r="AJ1190">
        <f>VLOOKUP(C1190,技能辅助查询表,技能配置辅助表!$L$1,FALSE)</f>
        <v>5</v>
      </c>
      <c r="AK1190">
        <f>VLOOKUP(C1190,技能辅助查询表,技能配置辅助表!$AE$1,FALSE)</f>
        <v>66000550</v>
      </c>
    </row>
    <row r="1191" spans="1:37" x14ac:dyDescent="0.15">
      <c r="A1191" s="1">
        <f t="shared" ca="1" si="534"/>
        <v>9322316</v>
      </c>
      <c r="B1191" s="1" t="str">
        <f t="shared" ca="1" si="535"/>
        <v>玫瑰之舞第3段</v>
      </c>
      <c r="C1191" t="s">
        <v>174</v>
      </c>
      <c r="D1191">
        <f t="shared" si="536"/>
        <v>3</v>
      </c>
      <c r="E1191" s="42">
        <f t="shared" ca="1" si="527"/>
        <v>30</v>
      </c>
      <c r="F1191" t="str">
        <f t="shared" ca="1" si="528"/>
        <v>第16级，共造成154.1%点伤害</v>
      </c>
      <c r="G1191">
        <f t="shared" ca="1" si="537"/>
        <v>3</v>
      </c>
      <c r="H1191">
        <f t="shared" si="538"/>
        <v>3</v>
      </c>
      <c r="I1191" s="44">
        <f t="shared" ca="1" si="539"/>
        <v>16</v>
      </c>
      <c r="J1191">
        <f t="shared" si="540"/>
        <v>2</v>
      </c>
      <c r="K1191" s="36">
        <f t="shared" ca="1" si="541"/>
        <v>30.822857142857146</v>
      </c>
      <c r="L1191" s="10">
        <f ca="1">AH1191*VLOOKUP(C1191,技能辅助查询表,技能配置辅助表!$T$1,FALSE)</f>
        <v>0</v>
      </c>
      <c r="M1191">
        <f t="shared" ca="1" si="525"/>
        <v>6720</v>
      </c>
      <c r="N1191" s="33">
        <f ca="1">CHOOSE(1,W1191*U1191,X1191*'[1]0、经济设定'!$C$18)</f>
        <v>5220</v>
      </c>
      <c r="O1191">
        <f t="shared" si="542"/>
        <v>2</v>
      </c>
      <c r="P1191">
        <f t="shared" si="543"/>
        <v>5</v>
      </c>
      <c r="Q1191">
        <f t="shared" si="544"/>
        <v>1</v>
      </c>
      <c r="R1191" s="2">
        <f t="shared" si="545"/>
        <v>7</v>
      </c>
      <c r="S1191" s="2">
        <f t="shared" si="546"/>
        <v>50</v>
      </c>
      <c r="T1191" s="2">
        <f t="shared" si="547"/>
        <v>26.571428571428573</v>
      </c>
      <c r="U1191" s="2">
        <f ca="1">VLOOKUP(E1191,金币生产率!$A$2:$B$120,2,0)</f>
        <v>522</v>
      </c>
      <c r="V1191" s="2">
        <f t="shared" si="548"/>
        <v>132.85714285714286</v>
      </c>
      <c r="W1191" s="45">
        <f t="shared" ca="1" si="532"/>
        <v>10</v>
      </c>
      <c r="X1191" s="48">
        <f t="shared" ca="1" si="533"/>
        <v>103</v>
      </c>
      <c r="Y1191">
        <f t="shared" si="526"/>
        <v>18</v>
      </c>
      <c r="Z1191">
        <f t="shared" ca="1" si="529"/>
        <v>0</v>
      </c>
      <c r="AA1191" t="str">
        <f t="shared" ca="1" si="549"/>
        <v>9322300.png</v>
      </c>
      <c r="AB1191">
        <f t="shared" si="550"/>
        <v>4</v>
      </c>
      <c r="AC1191">
        <f>VLOOKUP(C1191,技能辅助查询表,技能配置辅助表!$W$1,FALSE)</f>
        <v>5332</v>
      </c>
      <c r="AD1191">
        <f t="shared" ca="1" si="530"/>
        <v>9.9957558339746306</v>
      </c>
      <c r="AE1191">
        <f>VLOOKUP(C1191,技能辅助查询表,技能配置辅助表!$U$1,FALSE)</f>
        <v>4</v>
      </c>
      <c r="AF1191">
        <f t="shared" ca="1" si="551"/>
        <v>9322316</v>
      </c>
      <c r="AG1191">
        <f t="shared" ca="1" si="552"/>
        <v>29.346938775510203</v>
      </c>
      <c r="AH1191">
        <f t="shared" ca="1" si="531"/>
        <v>92.357828455414989</v>
      </c>
      <c r="AI1191">
        <f ca="1">VLOOKUP(E1191,伤害参考系!$C$4:$E$104,3,FALSE)*$AN$12</f>
        <v>1576.1465593645489</v>
      </c>
      <c r="AJ1191">
        <f>VLOOKUP(C1191,技能辅助查询表,技能配置辅助表!$L$1,FALSE)</f>
        <v>5</v>
      </c>
      <c r="AK1191">
        <f>VLOOKUP(C1191,技能辅助查询表,技能配置辅助表!$AE$1,FALSE)</f>
        <v>66000550</v>
      </c>
    </row>
    <row r="1192" spans="1:37" x14ac:dyDescent="0.15">
      <c r="A1192" s="1">
        <f t="shared" ca="1" si="534"/>
        <v>9322317</v>
      </c>
      <c r="B1192" s="1" t="str">
        <f t="shared" ca="1" si="535"/>
        <v>玫瑰之舞第3段</v>
      </c>
      <c r="C1192" t="s">
        <v>174</v>
      </c>
      <c r="D1192">
        <f t="shared" si="536"/>
        <v>3</v>
      </c>
      <c r="E1192" s="42">
        <f t="shared" ca="1" si="527"/>
        <v>32</v>
      </c>
      <c r="F1192" t="str">
        <f t="shared" ca="1" si="528"/>
        <v>第17级，共造成155.4%点伤害</v>
      </c>
      <c r="G1192">
        <f t="shared" ca="1" si="537"/>
        <v>3</v>
      </c>
      <c r="H1192">
        <f t="shared" si="538"/>
        <v>3</v>
      </c>
      <c r="I1192" s="44">
        <f t="shared" ca="1" si="539"/>
        <v>17</v>
      </c>
      <c r="J1192">
        <f t="shared" si="540"/>
        <v>2</v>
      </c>
      <c r="K1192" s="36">
        <f t="shared" ca="1" si="541"/>
        <v>31.088571428571431</v>
      </c>
      <c r="L1192" s="10">
        <f ca="1">AH1192*VLOOKUP(C1192,技能辅助查询表,技能配置辅助表!$T$1,FALSE)</f>
        <v>0</v>
      </c>
      <c r="M1192">
        <f t="shared" ca="1" si="525"/>
        <v>6640</v>
      </c>
      <c r="N1192" s="33">
        <f ca="1">CHOOSE(1,W1192*U1192,X1192*'[1]0、经济设定'!$C$18)</f>
        <v>6666</v>
      </c>
      <c r="O1192">
        <f t="shared" si="542"/>
        <v>2</v>
      </c>
      <c r="P1192">
        <f t="shared" si="543"/>
        <v>5</v>
      </c>
      <c r="Q1192">
        <f t="shared" si="544"/>
        <v>1</v>
      </c>
      <c r="R1192" s="2">
        <f t="shared" si="545"/>
        <v>7</v>
      </c>
      <c r="S1192" s="2">
        <f t="shared" si="546"/>
        <v>50</v>
      </c>
      <c r="T1192" s="2">
        <f t="shared" si="547"/>
        <v>26.571428571428573</v>
      </c>
      <c r="U1192" s="2">
        <f ca="1">VLOOKUP(E1192,金币生产率!$A$2:$B$120,2,0)</f>
        <v>606</v>
      </c>
      <c r="V1192" s="2">
        <f t="shared" si="548"/>
        <v>132.85714285714286</v>
      </c>
      <c r="W1192" s="45">
        <f t="shared" ca="1" si="532"/>
        <v>11</v>
      </c>
      <c r="X1192" s="48">
        <f t="shared" ca="1" si="533"/>
        <v>114</v>
      </c>
      <c r="Y1192">
        <f t="shared" si="526"/>
        <v>18</v>
      </c>
      <c r="Z1192">
        <f t="shared" ca="1" si="529"/>
        <v>0</v>
      </c>
      <c r="AA1192" t="str">
        <f t="shared" ca="1" si="549"/>
        <v>9322300.png</v>
      </c>
      <c r="AB1192">
        <f t="shared" si="550"/>
        <v>4</v>
      </c>
      <c r="AC1192">
        <f>VLOOKUP(C1192,技能辅助查询表,技能配置辅助表!$W$1,FALSE)</f>
        <v>5332</v>
      </c>
      <c r="AD1192">
        <f t="shared" ca="1" si="530"/>
        <v>11.659429635222883</v>
      </c>
      <c r="AE1192">
        <f>VLOOKUP(C1192,技能辅助查询表,技能配置辅助表!$U$1,FALSE)</f>
        <v>4</v>
      </c>
      <c r="AF1192">
        <f t="shared" ca="1" si="551"/>
        <v>9322317</v>
      </c>
      <c r="AG1192">
        <f t="shared" ca="1" si="552"/>
        <v>30.836734693877553</v>
      </c>
      <c r="AH1192">
        <f t="shared" ca="1" si="531"/>
        <v>105.14816728492683</v>
      </c>
      <c r="AI1192">
        <f ca="1">VLOOKUP(E1192,伤害参考系!$C$4:$E$104,3,FALSE)*$AN$12</f>
        <v>1873.3990785953181</v>
      </c>
      <c r="AJ1192">
        <f>VLOOKUP(C1192,技能辅助查询表,技能配置辅助表!$L$1,FALSE)</f>
        <v>5</v>
      </c>
      <c r="AK1192">
        <f>VLOOKUP(C1192,技能辅助查询表,技能配置辅助表!$AE$1,FALSE)</f>
        <v>66000550</v>
      </c>
    </row>
    <row r="1193" spans="1:37" x14ac:dyDescent="0.15">
      <c r="A1193" s="1">
        <f t="shared" ca="1" si="534"/>
        <v>9322318</v>
      </c>
      <c r="B1193" s="1" t="str">
        <f t="shared" ca="1" si="535"/>
        <v>玫瑰之舞第3段</v>
      </c>
      <c r="C1193" t="s">
        <v>174</v>
      </c>
      <c r="D1193">
        <f t="shared" si="536"/>
        <v>3</v>
      </c>
      <c r="E1193" s="42">
        <f t="shared" ca="1" si="527"/>
        <v>33</v>
      </c>
      <c r="F1193" t="str">
        <f t="shared" ca="1" si="528"/>
        <v>第18级，共造成156.8%点伤害</v>
      </c>
      <c r="G1193">
        <f t="shared" ca="1" si="537"/>
        <v>3</v>
      </c>
      <c r="H1193">
        <f t="shared" si="538"/>
        <v>3</v>
      </c>
      <c r="I1193" s="44">
        <f t="shared" ca="1" si="539"/>
        <v>18</v>
      </c>
      <c r="J1193">
        <f t="shared" si="540"/>
        <v>2</v>
      </c>
      <c r="K1193" s="36">
        <f t="shared" ca="1" si="541"/>
        <v>31.354285714285716</v>
      </c>
      <c r="L1193" s="10">
        <f ca="1">AH1193*VLOOKUP(C1193,技能辅助查询表,技能配置辅助表!$T$1,FALSE)</f>
        <v>0</v>
      </c>
      <c r="M1193">
        <f t="shared" ca="1" si="525"/>
        <v>6560</v>
      </c>
      <c r="N1193" s="33">
        <f ca="1">CHOOSE(1,W1193*U1193,X1193*'[1]0、经济设定'!$C$18)</f>
        <v>7812</v>
      </c>
      <c r="O1193">
        <f t="shared" si="542"/>
        <v>2</v>
      </c>
      <c r="P1193">
        <f t="shared" si="543"/>
        <v>5</v>
      </c>
      <c r="Q1193">
        <f t="shared" si="544"/>
        <v>1</v>
      </c>
      <c r="R1193" s="2">
        <f t="shared" si="545"/>
        <v>7</v>
      </c>
      <c r="S1193" s="2">
        <f t="shared" si="546"/>
        <v>50</v>
      </c>
      <c r="T1193" s="2">
        <f t="shared" si="547"/>
        <v>26.571428571428573</v>
      </c>
      <c r="U1193" s="2">
        <f ca="1">VLOOKUP(E1193,金币生产率!$A$2:$B$120,2,0)</f>
        <v>651</v>
      </c>
      <c r="V1193" s="2">
        <f t="shared" si="548"/>
        <v>132.85714285714286</v>
      </c>
      <c r="W1193" s="45">
        <f t="shared" ca="1" si="532"/>
        <v>12</v>
      </c>
      <c r="X1193" s="48">
        <f t="shared" ca="1" si="533"/>
        <v>126</v>
      </c>
      <c r="Y1193">
        <f t="shared" si="526"/>
        <v>18</v>
      </c>
      <c r="Z1193">
        <f t="shared" ca="1" si="529"/>
        <v>5</v>
      </c>
      <c r="AA1193" t="str">
        <f t="shared" ca="1" si="549"/>
        <v>9322300.png</v>
      </c>
      <c r="AB1193">
        <f t="shared" si="550"/>
        <v>4</v>
      </c>
      <c r="AC1193">
        <f>VLOOKUP(C1193,技能辅助查询表,技能配置辅助表!$W$1,FALSE)</f>
        <v>5332</v>
      </c>
      <c r="AD1193">
        <f t="shared" ca="1" si="530"/>
        <v>13.592192610028173</v>
      </c>
      <c r="AE1193">
        <f>VLOOKUP(C1193,技能辅助查询表,技能配置辅助表!$U$1,FALSE)</f>
        <v>4</v>
      </c>
      <c r="AF1193">
        <f t="shared" ca="1" si="551"/>
        <v>9322318</v>
      </c>
      <c r="AG1193">
        <f t="shared" ca="1" si="552"/>
        <v>32.326530612244895</v>
      </c>
      <c r="AH1193">
        <f t="shared" ca="1" si="531"/>
        <v>119.70979903145096</v>
      </c>
      <c r="AI1193">
        <f ca="1">VLOOKUP(E1193,伤害参考系!$C$4:$E$104,3,FALSE)*$AN$12</f>
        <v>2031.7137667224088</v>
      </c>
      <c r="AJ1193">
        <f>VLOOKUP(C1193,技能辅助查询表,技能配置辅助表!$L$1,FALSE)</f>
        <v>5</v>
      </c>
      <c r="AK1193">
        <f>VLOOKUP(C1193,技能辅助查询表,技能配置辅助表!$AE$1,FALSE)</f>
        <v>66000550</v>
      </c>
    </row>
    <row r="1194" spans="1:37" x14ac:dyDescent="0.15">
      <c r="A1194" s="1">
        <f t="shared" ca="1" si="534"/>
        <v>9322319</v>
      </c>
      <c r="B1194" s="1" t="str">
        <f t="shared" ca="1" si="535"/>
        <v>玫瑰之舞第3段</v>
      </c>
      <c r="C1194" t="s">
        <v>174</v>
      </c>
      <c r="D1194">
        <f t="shared" si="536"/>
        <v>3</v>
      </c>
      <c r="E1194" s="42">
        <f t="shared" ca="1" si="527"/>
        <v>35</v>
      </c>
      <c r="F1194" t="str">
        <f t="shared" ca="1" si="528"/>
        <v>第19级，共造成158.1%点伤害</v>
      </c>
      <c r="G1194">
        <f t="shared" ca="1" si="537"/>
        <v>3</v>
      </c>
      <c r="H1194">
        <f t="shared" si="538"/>
        <v>3</v>
      </c>
      <c r="I1194" s="44">
        <f t="shared" ca="1" si="539"/>
        <v>19</v>
      </c>
      <c r="J1194">
        <f t="shared" si="540"/>
        <v>2</v>
      </c>
      <c r="K1194" s="36">
        <f t="shared" ca="1" si="541"/>
        <v>31.62</v>
      </c>
      <c r="L1194" s="10">
        <f ca="1">AH1194*VLOOKUP(C1194,技能辅助查询表,技能配置辅助表!$T$1,FALSE)</f>
        <v>0</v>
      </c>
      <c r="M1194">
        <f t="shared" ca="1" si="525"/>
        <v>6480</v>
      </c>
      <c r="N1194" s="33">
        <f ca="1">CHOOSE(1,W1194*U1194,X1194*'[1]0、经济设定'!$C$18)</f>
        <v>9659</v>
      </c>
      <c r="O1194">
        <f t="shared" si="542"/>
        <v>2</v>
      </c>
      <c r="P1194">
        <f t="shared" si="543"/>
        <v>5</v>
      </c>
      <c r="Q1194">
        <f t="shared" si="544"/>
        <v>1</v>
      </c>
      <c r="R1194" s="2">
        <f t="shared" si="545"/>
        <v>7</v>
      </c>
      <c r="S1194" s="2">
        <f t="shared" si="546"/>
        <v>50</v>
      </c>
      <c r="T1194" s="2">
        <f t="shared" si="547"/>
        <v>26.571428571428573</v>
      </c>
      <c r="U1194" s="2">
        <f ca="1">VLOOKUP(E1194,金币生产率!$A$2:$B$120,2,0)</f>
        <v>743</v>
      </c>
      <c r="V1194" s="2">
        <f t="shared" si="548"/>
        <v>132.85714285714286</v>
      </c>
      <c r="W1194" s="45">
        <f t="shared" ca="1" si="532"/>
        <v>13</v>
      </c>
      <c r="X1194" s="48">
        <f t="shared" ca="1" si="533"/>
        <v>139</v>
      </c>
      <c r="Y1194">
        <f t="shared" si="526"/>
        <v>18</v>
      </c>
      <c r="Z1194">
        <f t="shared" ca="1" si="529"/>
        <v>6</v>
      </c>
      <c r="AA1194" t="str">
        <f t="shared" ca="1" si="549"/>
        <v>9322300.png</v>
      </c>
      <c r="AB1194">
        <f t="shared" si="550"/>
        <v>4</v>
      </c>
      <c r="AC1194">
        <f>VLOOKUP(C1194,技能辅助查询表,技能配置辅助表!$W$1,FALSE)</f>
        <v>5332</v>
      </c>
      <c r="AD1194">
        <f t="shared" ca="1" si="530"/>
        <v>15.836668430425254</v>
      </c>
      <c r="AE1194">
        <f>VLOOKUP(C1194,技能辅助查询表,技能配置辅助表!$U$1,FALSE)</f>
        <v>4</v>
      </c>
      <c r="AF1194">
        <f t="shared" ca="1" si="551"/>
        <v>9322319</v>
      </c>
      <c r="AG1194">
        <f t="shared" ca="1" si="552"/>
        <v>33.816326530612244</v>
      </c>
      <c r="AH1194">
        <f t="shared" ca="1" si="531"/>
        <v>136.28802435822078</v>
      </c>
      <c r="AI1194">
        <f ca="1">VLOOKUP(E1194,伤害参考系!$C$4:$E$104,3,FALSE)*$AN$12</f>
        <v>2367.0860869565217</v>
      </c>
      <c r="AJ1194">
        <f>VLOOKUP(C1194,技能辅助查询表,技能配置辅助表!$L$1,FALSE)</f>
        <v>5</v>
      </c>
      <c r="AK1194">
        <f>VLOOKUP(C1194,技能辅助查询表,技能配置辅助表!$AE$1,FALSE)</f>
        <v>66000550</v>
      </c>
    </row>
    <row r="1195" spans="1:37" x14ac:dyDescent="0.15">
      <c r="A1195" s="1">
        <f t="shared" ca="1" si="534"/>
        <v>9322320</v>
      </c>
      <c r="B1195" s="1" t="str">
        <f t="shared" ca="1" si="535"/>
        <v>玫瑰之舞第3段</v>
      </c>
      <c r="C1195" t="s">
        <v>174</v>
      </c>
      <c r="D1195">
        <f t="shared" si="536"/>
        <v>3</v>
      </c>
      <c r="E1195" s="42">
        <f t="shared" ca="1" si="527"/>
        <v>36</v>
      </c>
      <c r="F1195" t="str">
        <f t="shared" ca="1" si="528"/>
        <v>第20级，共造成159.4%点伤害</v>
      </c>
      <c r="G1195">
        <f t="shared" ca="1" si="537"/>
        <v>3</v>
      </c>
      <c r="H1195">
        <f t="shared" si="538"/>
        <v>3</v>
      </c>
      <c r="I1195" s="44">
        <f t="shared" ca="1" si="539"/>
        <v>20</v>
      </c>
      <c r="J1195">
        <f t="shared" si="540"/>
        <v>2</v>
      </c>
      <c r="K1195" s="36">
        <f t="shared" ca="1" si="541"/>
        <v>31.885714285714286</v>
      </c>
      <c r="L1195" s="10">
        <f ca="1">AH1195*VLOOKUP(C1195,技能辅助查询表,技能配置辅助表!$T$1,FALSE)</f>
        <v>0</v>
      </c>
      <c r="M1195">
        <f t="shared" ca="1" si="525"/>
        <v>6400</v>
      </c>
      <c r="N1195" s="33">
        <f ca="1">CHOOSE(1,W1195*U1195,X1195*'[1]0、经济设定'!$C$18)</f>
        <v>10283</v>
      </c>
      <c r="O1195">
        <f t="shared" si="542"/>
        <v>2</v>
      </c>
      <c r="P1195">
        <f t="shared" si="543"/>
        <v>5</v>
      </c>
      <c r="Q1195">
        <f t="shared" si="544"/>
        <v>1</v>
      </c>
      <c r="R1195" s="2">
        <f t="shared" si="545"/>
        <v>7</v>
      </c>
      <c r="S1195" s="2">
        <f t="shared" si="546"/>
        <v>50</v>
      </c>
      <c r="T1195" s="2">
        <f t="shared" si="547"/>
        <v>26.571428571428573</v>
      </c>
      <c r="U1195" s="2">
        <f ca="1">VLOOKUP(E1195,金币生产率!$A$2:$B$120,2,0)</f>
        <v>791</v>
      </c>
      <c r="V1195" s="2">
        <f t="shared" si="548"/>
        <v>132.85714285714286</v>
      </c>
      <c r="W1195" s="45">
        <f t="shared" ca="1" si="532"/>
        <v>13</v>
      </c>
      <c r="X1195" s="48">
        <f t="shared" ca="1" si="533"/>
        <v>152</v>
      </c>
      <c r="Y1195">
        <f t="shared" si="526"/>
        <v>18</v>
      </c>
      <c r="Z1195">
        <f t="shared" ca="1" si="529"/>
        <v>6</v>
      </c>
      <c r="AA1195" t="str">
        <f t="shared" ca="1" si="549"/>
        <v>9322300.png</v>
      </c>
      <c r="AB1195">
        <f t="shared" si="550"/>
        <v>4</v>
      </c>
      <c r="AC1195">
        <f>VLOOKUP(C1195,技能辅助查询表,技能配置辅助表!$W$1,FALSE)</f>
        <v>5332</v>
      </c>
      <c r="AD1195">
        <f t="shared" ca="1" si="530"/>
        <v>18.442125648239386</v>
      </c>
      <c r="AE1195">
        <f>VLOOKUP(C1195,技能辅助查询表,技能配置辅助表!$U$1,FALSE)</f>
        <v>4</v>
      </c>
      <c r="AF1195">
        <f t="shared" ca="1" si="551"/>
        <v>9322320</v>
      </c>
      <c r="AG1195">
        <f t="shared" ca="1" si="552"/>
        <v>35.306122448979593</v>
      </c>
      <c r="AH1195">
        <f t="shared" ca="1" si="531"/>
        <v>155.16211482893718</v>
      </c>
      <c r="AI1195">
        <f ca="1">VLOOKUP(E1195,伤害参考系!$C$4:$E$104,3,FALSE)*$AN$12</f>
        <v>2544.1437190635456</v>
      </c>
      <c r="AJ1195">
        <f>VLOOKUP(C1195,技能辅助查询表,技能配置辅助表!$L$1,FALSE)</f>
        <v>5</v>
      </c>
      <c r="AK1195">
        <f>VLOOKUP(C1195,技能辅助查询表,技能配置辅助表!$AE$1,FALSE)</f>
        <v>66000550</v>
      </c>
    </row>
    <row r="1196" spans="1:37" x14ac:dyDescent="0.15">
      <c r="A1196" s="1">
        <f t="shared" ca="1" si="534"/>
        <v>9322321</v>
      </c>
      <c r="B1196" s="1" t="str">
        <f t="shared" ca="1" si="535"/>
        <v>玫瑰之舞第3段</v>
      </c>
      <c r="C1196" t="s">
        <v>174</v>
      </c>
      <c r="D1196">
        <f t="shared" si="536"/>
        <v>3</v>
      </c>
      <c r="E1196" s="42">
        <f t="shared" ca="1" si="527"/>
        <v>38</v>
      </c>
      <c r="F1196" t="str">
        <f t="shared" ca="1" si="528"/>
        <v>第21级，共造成160.8%点伤害</v>
      </c>
      <c r="G1196">
        <f t="shared" ca="1" si="537"/>
        <v>3</v>
      </c>
      <c r="H1196">
        <f t="shared" si="538"/>
        <v>3</v>
      </c>
      <c r="I1196" s="44">
        <f t="shared" ca="1" si="539"/>
        <v>21</v>
      </c>
      <c r="J1196">
        <f t="shared" si="540"/>
        <v>2</v>
      </c>
      <c r="K1196" s="36">
        <f t="shared" ca="1" si="541"/>
        <v>32.151428571428575</v>
      </c>
      <c r="L1196" s="10">
        <f ca="1">AH1196*VLOOKUP(C1196,技能辅助查询表,技能配置辅助表!$T$1,FALSE)</f>
        <v>0</v>
      </c>
      <c r="M1196">
        <f t="shared" ca="1" si="525"/>
        <v>6320</v>
      </c>
      <c r="N1196" s="33">
        <f ca="1">CHOOSE(1,W1196*U1196,X1196*'[1]0、经济设定'!$C$18)</f>
        <v>12488</v>
      </c>
      <c r="O1196">
        <f t="shared" si="542"/>
        <v>2</v>
      </c>
      <c r="P1196">
        <f t="shared" si="543"/>
        <v>5</v>
      </c>
      <c r="Q1196">
        <f t="shared" si="544"/>
        <v>1</v>
      </c>
      <c r="R1196" s="2">
        <f t="shared" si="545"/>
        <v>7</v>
      </c>
      <c r="S1196" s="2">
        <f t="shared" si="546"/>
        <v>50</v>
      </c>
      <c r="T1196" s="2">
        <f t="shared" si="547"/>
        <v>26.571428571428573</v>
      </c>
      <c r="U1196" s="2">
        <f ca="1">VLOOKUP(E1196,金币生产率!$A$2:$B$120,2,0)</f>
        <v>892</v>
      </c>
      <c r="V1196" s="2">
        <f t="shared" si="548"/>
        <v>132.85714285714286</v>
      </c>
      <c r="W1196" s="45">
        <f t="shared" ca="1" si="532"/>
        <v>14</v>
      </c>
      <c r="X1196" s="48">
        <f t="shared" ca="1" si="533"/>
        <v>166</v>
      </c>
      <c r="Y1196">
        <f t="shared" si="526"/>
        <v>18</v>
      </c>
      <c r="Z1196">
        <f t="shared" ca="1" si="529"/>
        <v>6</v>
      </c>
      <c r="AA1196" t="str">
        <f t="shared" ca="1" si="549"/>
        <v>9322300.png</v>
      </c>
      <c r="AB1196">
        <f t="shared" si="550"/>
        <v>4</v>
      </c>
      <c r="AC1196">
        <f>VLOOKUP(C1196,技能辅助查询表,技能配置辅助表!$W$1,FALSE)</f>
        <v>5332</v>
      </c>
      <c r="AD1196">
        <f t="shared" ca="1" si="530"/>
        <v>21.465500689251662</v>
      </c>
      <c r="AE1196">
        <f>VLOOKUP(C1196,技能辅助查询表,技能配置辅助表!$U$1,FALSE)</f>
        <v>4</v>
      </c>
      <c r="AF1196">
        <f t="shared" ca="1" si="551"/>
        <v>9322321</v>
      </c>
      <c r="AG1196">
        <f t="shared" ca="1" si="552"/>
        <v>36.795918367346943</v>
      </c>
      <c r="AH1196">
        <f t="shared" ca="1" si="531"/>
        <v>176.65001742859343</v>
      </c>
      <c r="AI1196">
        <f ca="1">VLOOKUP(E1196,伤害参考系!$C$4:$E$104,3,FALSE)*$AN$12</f>
        <v>2917.001927257525</v>
      </c>
      <c r="AJ1196">
        <f>VLOOKUP(C1196,技能辅助查询表,技能配置辅助表!$L$1,FALSE)</f>
        <v>5</v>
      </c>
      <c r="AK1196">
        <f>VLOOKUP(C1196,技能辅助查询表,技能配置辅助表!$AE$1,FALSE)</f>
        <v>66000550</v>
      </c>
    </row>
    <row r="1197" spans="1:37" x14ac:dyDescent="0.15">
      <c r="A1197" s="1">
        <f t="shared" ca="1" si="534"/>
        <v>9322322</v>
      </c>
      <c r="B1197" s="1" t="str">
        <f t="shared" ca="1" si="535"/>
        <v>玫瑰之舞第3段</v>
      </c>
      <c r="C1197" t="s">
        <v>174</v>
      </c>
      <c r="D1197">
        <f t="shared" si="536"/>
        <v>3</v>
      </c>
      <c r="E1197" s="42">
        <f t="shared" ca="1" si="527"/>
        <v>39</v>
      </c>
      <c r="F1197" t="str">
        <f t="shared" ca="1" si="528"/>
        <v>第22级，共造成162.1%点伤害</v>
      </c>
      <c r="G1197">
        <f t="shared" ca="1" si="537"/>
        <v>3</v>
      </c>
      <c r="H1197">
        <f t="shared" si="538"/>
        <v>3</v>
      </c>
      <c r="I1197" s="44">
        <f t="shared" ca="1" si="539"/>
        <v>22</v>
      </c>
      <c r="J1197">
        <f t="shared" si="540"/>
        <v>2</v>
      </c>
      <c r="K1197" s="36">
        <f t="shared" ca="1" si="541"/>
        <v>32.417142857142856</v>
      </c>
      <c r="L1197" s="10">
        <f ca="1">AH1197*VLOOKUP(C1197,技能辅助查询表,技能配置辅助表!$T$1,FALSE)</f>
        <v>0</v>
      </c>
      <c r="M1197">
        <f t="shared" ca="1" si="525"/>
        <v>6240</v>
      </c>
      <c r="N1197" s="33">
        <f ca="1">CHOOSE(1,W1197*U1197,X1197*'[1]0、经济设定'!$C$18)</f>
        <v>14160</v>
      </c>
      <c r="O1197">
        <f t="shared" si="542"/>
        <v>2</v>
      </c>
      <c r="P1197">
        <f t="shared" si="543"/>
        <v>5</v>
      </c>
      <c r="Q1197">
        <f t="shared" si="544"/>
        <v>1</v>
      </c>
      <c r="R1197" s="2">
        <f t="shared" si="545"/>
        <v>7</v>
      </c>
      <c r="S1197" s="2">
        <f t="shared" si="546"/>
        <v>50</v>
      </c>
      <c r="T1197" s="2">
        <f t="shared" si="547"/>
        <v>26.571428571428573</v>
      </c>
      <c r="U1197" s="2">
        <f ca="1">VLOOKUP(E1197,金币生产率!$A$2:$B$120,2,0)</f>
        <v>944</v>
      </c>
      <c r="V1197" s="2">
        <f t="shared" si="548"/>
        <v>132.85714285714286</v>
      </c>
      <c r="W1197" s="45">
        <f t="shared" ca="1" si="532"/>
        <v>15</v>
      </c>
      <c r="X1197" s="48">
        <f t="shared" ca="1" si="533"/>
        <v>181</v>
      </c>
      <c r="Y1197">
        <f t="shared" si="526"/>
        <v>18</v>
      </c>
      <c r="Z1197">
        <f t="shared" ca="1" si="529"/>
        <v>6</v>
      </c>
      <c r="AA1197" t="str">
        <f t="shared" ca="1" si="549"/>
        <v>9322300.png</v>
      </c>
      <c r="AB1197">
        <f t="shared" si="550"/>
        <v>4</v>
      </c>
      <c r="AC1197">
        <f>VLOOKUP(C1197,技能辅助查询表,技能配置辅助表!$W$1,FALSE)</f>
        <v>5332</v>
      </c>
      <c r="AD1197">
        <f t="shared" ca="1" si="530"/>
        <v>24.972576750288034</v>
      </c>
      <c r="AE1197">
        <f>VLOOKUP(C1197,技能辅助查询表,技能配置辅助表!$U$1,FALSE)</f>
        <v>4</v>
      </c>
      <c r="AF1197">
        <f t="shared" ca="1" si="551"/>
        <v>9322322</v>
      </c>
      <c r="AG1197">
        <f t="shared" ca="1" si="552"/>
        <v>38.285714285714285</v>
      </c>
      <c r="AH1197">
        <f t="shared" ca="1" si="531"/>
        <v>201.11371059826985</v>
      </c>
      <c r="AI1197">
        <f ca="1">VLOOKUP(E1197,伤害参考系!$C$4:$E$104,3,FALSE)*$AN$12</f>
        <v>3112.8025033444819</v>
      </c>
      <c r="AJ1197">
        <f>VLOOKUP(C1197,技能辅助查询表,技能配置辅助表!$L$1,FALSE)</f>
        <v>5</v>
      </c>
      <c r="AK1197">
        <f>VLOOKUP(C1197,技能辅助查询表,技能配置辅助表!$AE$1,FALSE)</f>
        <v>66000550</v>
      </c>
    </row>
    <row r="1198" spans="1:37" x14ac:dyDescent="0.15">
      <c r="A1198" s="1">
        <f t="shared" ca="1" si="534"/>
        <v>9322323</v>
      </c>
      <c r="B1198" s="1" t="str">
        <f t="shared" ca="1" si="535"/>
        <v>玫瑰之舞第3段</v>
      </c>
      <c r="C1198" t="s">
        <v>174</v>
      </c>
      <c r="D1198">
        <f t="shared" si="536"/>
        <v>3</v>
      </c>
      <c r="E1198" s="42">
        <f t="shared" ca="1" si="527"/>
        <v>41</v>
      </c>
      <c r="F1198" t="str">
        <f t="shared" ca="1" si="528"/>
        <v>第23级，共造成163.4%点伤害</v>
      </c>
      <c r="G1198">
        <f t="shared" ca="1" si="537"/>
        <v>3</v>
      </c>
      <c r="H1198">
        <f t="shared" si="538"/>
        <v>3</v>
      </c>
      <c r="I1198" s="44">
        <f t="shared" ca="1" si="539"/>
        <v>23</v>
      </c>
      <c r="J1198">
        <f t="shared" si="540"/>
        <v>2</v>
      </c>
      <c r="K1198" s="36">
        <f t="shared" ca="1" si="541"/>
        <v>32.682857142857145</v>
      </c>
      <c r="L1198" s="10">
        <f ca="1">AH1198*VLOOKUP(C1198,技能辅助查询表,技能配置辅助表!$T$1,FALSE)</f>
        <v>0</v>
      </c>
      <c r="M1198">
        <f t="shared" ca="1" si="525"/>
        <v>6160</v>
      </c>
      <c r="N1198" s="33">
        <f ca="1">CHOOSE(1,W1198*U1198,X1198*'[1]0、经济设定'!$C$18)</f>
        <v>16848</v>
      </c>
      <c r="O1198">
        <f t="shared" si="542"/>
        <v>2</v>
      </c>
      <c r="P1198">
        <f t="shared" si="543"/>
        <v>5</v>
      </c>
      <c r="Q1198">
        <f t="shared" si="544"/>
        <v>1</v>
      </c>
      <c r="R1198" s="2">
        <f t="shared" si="545"/>
        <v>7</v>
      </c>
      <c r="S1198" s="2">
        <f t="shared" si="546"/>
        <v>50</v>
      </c>
      <c r="T1198" s="2">
        <f t="shared" si="547"/>
        <v>26.571428571428573</v>
      </c>
      <c r="U1198" s="2">
        <f ca="1">VLOOKUP(E1198,金币生产率!$A$2:$B$120,2,0)</f>
        <v>1053</v>
      </c>
      <c r="V1198" s="2">
        <f t="shared" si="548"/>
        <v>132.85714285714286</v>
      </c>
      <c r="W1198" s="45">
        <f t="shared" ca="1" si="532"/>
        <v>16</v>
      </c>
      <c r="X1198" s="48">
        <f t="shared" ca="1" si="533"/>
        <v>197</v>
      </c>
      <c r="Y1198">
        <f t="shared" si="526"/>
        <v>18</v>
      </c>
      <c r="Z1198">
        <f t="shared" ca="1" si="529"/>
        <v>7</v>
      </c>
      <c r="AA1198" t="str">
        <f t="shared" ca="1" si="549"/>
        <v>9322300.png</v>
      </c>
      <c r="AB1198">
        <f t="shared" si="550"/>
        <v>4</v>
      </c>
      <c r="AC1198">
        <f>VLOOKUP(C1198,技能辅助查询表,技能配置辅助表!$W$1,FALSE)</f>
        <v>5332</v>
      </c>
      <c r="AD1198">
        <f t="shared" ca="1" si="530"/>
        <v>29.039342160636107</v>
      </c>
      <c r="AE1198">
        <f>VLOOKUP(C1198,技能辅助查询表,技能配置辅助表!$U$1,FALSE)</f>
        <v>4</v>
      </c>
      <c r="AF1198">
        <f t="shared" ca="1" si="551"/>
        <v>9322323</v>
      </c>
      <c r="AG1198">
        <f t="shared" ca="1" si="552"/>
        <v>39.775510204081634</v>
      </c>
      <c r="AH1198">
        <f t="shared" ca="1" si="531"/>
        <v>228.96530200997151</v>
      </c>
      <c r="AI1198">
        <f ca="1">VLOOKUP(E1198,伤害参考系!$C$4:$E$104,3,FALSE)*$AN$12</f>
        <v>3584.9561889632118</v>
      </c>
      <c r="AJ1198">
        <f>VLOOKUP(C1198,技能辅助查询表,技能配置辅助表!$L$1,FALSE)</f>
        <v>5</v>
      </c>
      <c r="AK1198">
        <f>VLOOKUP(C1198,技能辅助查询表,技能配置辅助表!$AE$1,FALSE)</f>
        <v>66000550</v>
      </c>
    </row>
    <row r="1199" spans="1:37" x14ac:dyDescent="0.15">
      <c r="A1199" s="1">
        <f t="shared" ca="1" si="534"/>
        <v>9322324</v>
      </c>
      <c r="B1199" s="1" t="str">
        <f t="shared" ca="1" si="535"/>
        <v>玫瑰之舞第3段</v>
      </c>
      <c r="C1199" t="s">
        <v>174</v>
      </c>
      <c r="D1199">
        <f t="shared" si="536"/>
        <v>3</v>
      </c>
      <c r="E1199" s="42">
        <f t="shared" ca="1" si="527"/>
        <v>42</v>
      </c>
      <c r="F1199" t="str">
        <f t="shared" ca="1" si="528"/>
        <v>第24级，共造成164.7%点伤害</v>
      </c>
      <c r="G1199">
        <f t="shared" ca="1" si="537"/>
        <v>3</v>
      </c>
      <c r="H1199">
        <f t="shared" si="538"/>
        <v>3</v>
      </c>
      <c r="I1199" s="44">
        <f t="shared" ca="1" si="539"/>
        <v>24</v>
      </c>
      <c r="J1199">
        <f t="shared" si="540"/>
        <v>2</v>
      </c>
      <c r="K1199" s="36">
        <f t="shared" ca="1" si="541"/>
        <v>32.948571428571427</v>
      </c>
      <c r="L1199" s="10">
        <f ca="1">AH1199*VLOOKUP(C1199,技能辅助查询表,技能配置辅助表!$T$1,FALSE)</f>
        <v>0</v>
      </c>
      <c r="M1199">
        <f t="shared" ca="1" si="525"/>
        <v>6080</v>
      </c>
      <c r="N1199" s="33">
        <f ca="1">CHOOSE(1,W1199*U1199,X1199*'[1]0、经济设定'!$C$18)</f>
        <v>18870</v>
      </c>
      <c r="O1199">
        <f t="shared" si="542"/>
        <v>2</v>
      </c>
      <c r="P1199">
        <f t="shared" si="543"/>
        <v>5</v>
      </c>
      <c r="Q1199">
        <f t="shared" si="544"/>
        <v>1</v>
      </c>
      <c r="R1199" s="2">
        <f t="shared" si="545"/>
        <v>7</v>
      </c>
      <c r="S1199" s="2">
        <f t="shared" si="546"/>
        <v>50</v>
      </c>
      <c r="T1199" s="2">
        <f t="shared" si="547"/>
        <v>26.571428571428573</v>
      </c>
      <c r="U1199" s="2">
        <f ca="1">VLOOKUP(E1199,金币生产率!$A$2:$B$120,2,0)</f>
        <v>1110</v>
      </c>
      <c r="V1199" s="2">
        <f t="shared" si="548"/>
        <v>132.85714285714286</v>
      </c>
      <c r="W1199" s="45">
        <f t="shared" ca="1" si="532"/>
        <v>17</v>
      </c>
      <c r="X1199" s="48">
        <f t="shared" ca="1" si="533"/>
        <v>214</v>
      </c>
      <c r="Y1199">
        <f t="shared" si="526"/>
        <v>18</v>
      </c>
      <c r="Z1199">
        <f t="shared" ca="1" si="529"/>
        <v>7</v>
      </c>
      <c r="AA1199" t="str">
        <f t="shared" ca="1" si="549"/>
        <v>9322300.png</v>
      </c>
      <c r="AB1199">
        <f t="shared" si="550"/>
        <v>4</v>
      </c>
      <c r="AC1199">
        <f>VLOOKUP(C1199,技能辅助查询表,技能配置辅助表!$W$1,FALSE)</f>
        <v>5332</v>
      </c>
      <c r="AD1199">
        <f t="shared" ca="1" si="530"/>
        <v>33.753555305081932</v>
      </c>
      <c r="AE1199">
        <f>VLOOKUP(C1199,技能辅助查询表,技能配置辅助表!$U$1,FALSE)</f>
        <v>4</v>
      </c>
      <c r="AF1199">
        <f t="shared" ca="1" si="551"/>
        <v>9322324</v>
      </c>
      <c r="AG1199">
        <f t="shared" ca="1" si="552"/>
        <v>41.265306122448976</v>
      </c>
      <c r="AH1199">
        <f t="shared" ca="1" si="531"/>
        <v>260.67397080270689</v>
      </c>
      <c r="AI1199">
        <f ca="1">VLOOKUP(E1199,伤害参考系!$C$4:$E$104,3,FALSE)*$AN$12</f>
        <v>3833.528327759198</v>
      </c>
      <c r="AJ1199">
        <f>VLOOKUP(C1199,技能辅助查询表,技能配置辅助表!$L$1,FALSE)</f>
        <v>5</v>
      </c>
      <c r="AK1199">
        <f>VLOOKUP(C1199,技能辅助查询表,技能配置辅助表!$AE$1,FALSE)</f>
        <v>66000550</v>
      </c>
    </row>
    <row r="1200" spans="1:37" x14ac:dyDescent="0.15">
      <c r="A1200" s="1">
        <f t="shared" ca="1" si="534"/>
        <v>9322325</v>
      </c>
      <c r="B1200" s="1" t="str">
        <f t="shared" ca="1" si="535"/>
        <v>玫瑰之舞第3段</v>
      </c>
      <c r="C1200" t="s">
        <v>174</v>
      </c>
      <c r="D1200">
        <f t="shared" si="536"/>
        <v>3</v>
      </c>
      <c r="E1200" s="42">
        <f t="shared" ca="1" si="527"/>
        <v>44</v>
      </c>
      <c r="F1200" t="str">
        <f t="shared" ca="1" si="528"/>
        <v>第25级，共造成166.1%点伤害</v>
      </c>
      <c r="G1200">
        <f t="shared" ca="1" si="537"/>
        <v>3</v>
      </c>
      <c r="H1200">
        <f t="shared" si="538"/>
        <v>3</v>
      </c>
      <c r="I1200" s="44">
        <f t="shared" ca="1" si="539"/>
        <v>25</v>
      </c>
      <c r="J1200">
        <f t="shared" si="540"/>
        <v>2</v>
      </c>
      <c r="K1200" s="36">
        <f t="shared" ca="1" si="541"/>
        <v>33.214285714285715</v>
      </c>
      <c r="L1200" s="10">
        <f ca="1">AH1200*VLOOKUP(C1200,技能辅助查询表,技能配置辅助表!$T$1,FALSE)</f>
        <v>0</v>
      </c>
      <c r="M1200">
        <f t="shared" ca="1" si="525"/>
        <v>6000</v>
      </c>
      <c r="N1200" s="33">
        <f ca="1">CHOOSE(1,W1200*U1200,X1200*'[1]0、经济设定'!$C$18)</f>
        <v>23294</v>
      </c>
      <c r="O1200">
        <f t="shared" si="542"/>
        <v>2</v>
      </c>
      <c r="P1200">
        <f t="shared" si="543"/>
        <v>5</v>
      </c>
      <c r="Q1200">
        <f t="shared" si="544"/>
        <v>1</v>
      </c>
      <c r="R1200" s="2">
        <f t="shared" si="545"/>
        <v>7</v>
      </c>
      <c r="S1200" s="2">
        <f t="shared" si="546"/>
        <v>50</v>
      </c>
      <c r="T1200" s="2">
        <f t="shared" si="547"/>
        <v>26.571428571428573</v>
      </c>
      <c r="U1200" s="2">
        <f ca="1">VLOOKUP(E1200,金币生产率!$A$2:$B$120,2,0)</f>
        <v>1226</v>
      </c>
      <c r="V1200" s="2">
        <f t="shared" si="548"/>
        <v>132.85714285714286</v>
      </c>
      <c r="W1200" s="45">
        <f t="shared" ca="1" si="532"/>
        <v>19</v>
      </c>
      <c r="X1200" s="48">
        <f t="shared" ca="1" si="533"/>
        <v>233</v>
      </c>
      <c r="Y1200">
        <f t="shared" si="526"/>
        <v>18</v>
      </c>
      <c r="Z1200">
        <f t="shared" ca="1" si="529"/>
        <v>8</v>
      </c>
      <c r="AA1200" t="str">
        <f t="shared" ca="1" si="549"/>
        <v>9322300.png</v>
      </c>
      <c r="AB1200">
        <f t="shared" si="550"/>
        <v>4</v>
      </c>
      <c r="AC1200">
        <f>VLOOKUP(C1200,技能辅助查询表,技能配置辅助表!$W$1,FALSE)</f>
        <v>5332</v>
      </c>
      <c r="AD1200">
        <f t="shared" ca="1" si="530"/>
        <v>39.216547269219873</v>
      </c>
      <c r="AE1200">
        <f>VLOOKUP(C1200,技能辅助查询表,技能配置辅助表!$U$1,FALSE)</f>
        <v>4</v>
      </c>
      <c r="AF1200">
        <f t="shared" ca="1" si="551"/>
        <v>9322325</v>
      </c>
      <c r="AG1200">
        <f t="shared" ca="1" si="552"/>
        <v>42.755102040816325</v>
      </c>
      <c r="AH1200">
        <f t="shared" ca="1" si="531"/>
        <v>296.77387122652874</v>
      </c>
      <c r="AI1200">
        <f ca="1">VLOOKUP(E1200,伤害参考系!$C$4:$E$104,3,FALSE)*$AN$12</f>
        <v>4355.6631973244148</v>
      </c>
      <c r="AJ1200">
        <f>VLOOKUP(C1200,技能辅助查询表,技能配置辅助表!$L$1,FALSE)</f>
        <v>5</v>
      </c>
      <c r="AK1200">
        <f>VLOOKUP(C1200,技能辅助查询表,技能配置辅助表!$AE$1,FALSE)</f>
        <v>66000550</v>
      </c>
    </row>
    <row r="1201" spans="1:37" x14ac:dyDescent="0.15">
      <c r="A1201" s="1">
        <f t="shared" ca="1" si="534"/>
        <v>9322326</v>
      </c>
      <c r="B1201" s="1" t="str">
        <f t="shared" ca="1" si="535"/>
        <v>玫瑰之舞第3段</v>
      </c>
      <c r="C1201" t="s">
        <v>174</v>
      </c>
      <c r="D1201">
        <f t="shared" si="536"/>
        <v>3</v>
      </c>
      <c r="E1201" s="42">
        <f t="shared" ca="1" si="527"/>
        <v>45</v>
      </c>
      <c r="F1201" t="str">
        <f t="shared" ca="1" si="528"/>
        <v>第26级，共造成167.4%点伤害</v>
      </c>
      <c r="G1201">
        <f t="shared" ca="1" si="537"/>
        <v>3</v>
      </c>
      <c r="H1201">
        <f t="shared" si="538"/>
        <v>3</v>
      </c>
      <c r="I1201" s="44">
        <f t="shared" ca="1" si="539"/>
        <v>26</v>
      </c>
      <c r="J1201">
        <f t="shared" si="540"/>
        <v>2</v>
      </c>
      <c r="K1201" s="36">
        <f t="shared" ca="1" si="541"/>
        <v>33.480000000000004</v>
      </c>
      <c r="L1201" s="10">
        <f ca="1">AH1201*VLOOKUP(C1201,技能辅助查询表,技能配置辅助表!$T$1,FALSE)</f>
        <v>0</v>
      </c>
      <c r="M1201">
        <f t="shared" ca="1" si="525"/>
        <v>5920</v>
      </c>
      <c r="N1201" s="33">
        <f ca="1">CHOOSE(1,W1201*U1201,X1201*'[1]0、经济设定'!$C$18)</f>
        <v>25740</v>
      </c>
      <c r="O1201">
        <f t="shared" si="542"/>
        <v>2</v>
      </c>
      <c r="P1201">
        <f t="shared" si="543"/>
        <v>5</v>
      </c>
      <c r="Q1201">
        <f t="shared" si="544"/>
        <v>1</v>
      </c>
      <c r="R1201" s="2">
        <f t="shared" si="545"/>
        <v>7</v>
      </c>
      <c r="S1201" s="2">
        <f t="shared" si="546"/>
        <v>50</v>
      </c>
      <c r="T1201" s="2">
        <f t="shared" si="547"/>
        <v>26.571428571428573</v>
      </c>
      <c r="U1201" s="2">
        <f ca="1">VLOOKUP(E1201,金币生产率!$A$2:$B$120,2,0)</f>
        <v>1287</v>
      </c>
      <c r="V1201" s="2">
        <f t="shared" si="548"/>
        <v>132.85714285714286</v>
      </c>
      <c r="W1201" s="45">
        <f t="shared" ca="1" si="532"/>
        <v>20</v>
      </c>
      <c r="X1201" s="48">
        <f t="shared" ca="1" si="533"/>
        <v>253</v>
      </c>
      <c r="Y1201">
        <f t="shared" si="526"/>
        <v>18</v>
      </c>
      <c r="Z1201">
        <f t="shared" ca="1" si="529"/>
        <v>8</v>
      </c>
      <c r="AA1201" t="str">
        <f t="shared" ca="1" si="549"/>
        <v>9322300.png</v>
      </c>
      <c r="AB1201">
        <f t="shared" si="550"/>
        <v>4</v>
      </c>
      <c r="AC1201">
        <f>VLOOKUP(C1201,技能辅助查询表,技能配置辅助表!$W$1,FALSE)</f>
        <v>5332</v>
      </c>
      <c r="AD1201">
        <f t="shared" ca="1" si="530"/>
        <v>45.545298036805335</v>
      </c>
      <c r="AE1201">
        <f>VLOOKUP(C1201,技能辅助查询表,技能配置辅助表!$U$1,FALSE)</f>
        <v>4</v>
      </c>
      <c r="AF1201">
        <f t="shared" ca="1" si="551"/>
        <v>9322326</v>
      </c>
      <c r="AG1201">
        <f t="shared" ca="1" si="552"/>
        <v>44.244897959183675</v>
      </c>
      <c r="AH1201">
        <f t="shared" ca="1" si="531"/>
        <v>337.87313083683472</v>
      </c>
      <c r="AI1201">
        <f ca="1">VLOOKUP(E1201,伤害参考系!$C$4:$E$104,3,FALSE)*$AN$12</f>
        <v>4629.2259280936469</v>
      </c>
      <c r="AJ1201">
        <f>VLOOKUP(C1201,技能辅助查询表,技能配置辅助表!$L$1,FALSE)</f>
        <v>5</v>
      </c>
      <c r="AK1201">
        <f>VLOOKUP(C1201,技能辅助查询表,技能配置辅助表!$AE$1,FALSE)</f>
        <v>66000550</v>
      </c>
    </row>
    <row r="1202" spans="1:37" x14ac:dyDescent="0.15">
      <c r="A1202" s="1">
        <f t="shared" ca="1" si="534"/>
        <v>9322327</v>
      </c>
      <c r="B1202" s="1" t="str">
        <f t="shared" ca="1" si="535"/>
        <v>玫瑰之舞第3段</v>
      </c>
      <c r="C1202" t="s">
        <v>174</v>
      </c>
      <c r="D1202">
        <f t="shared" si="536"/>
        <v>3</v>
      </c>
      <c r="E1202" s="42">
        <f t="shared" ca="1" si="527"/>
        <v>46</v>
      </c>
      <c r="F1202" t="str">
        <f t="shared" ca="1" si="528"/>
        <v>第27级，共造成168.7%点伤害</v>
      </c>
      <c r="G1202">
        <f t="shared" ca="1" si="537"/>
        <v>3</v>
      </c>
      <c r="H1202">
        <f t="shared" si="538"/>
        <v>3</v>
      </c>
      <c r="I1202" s="44">
        <f t="shared" ca="1" si="539"/>
        <v>27</v>
      </c>
      <c r="J1202">
        <f t="shared" si="540"/>
        <v>2</v>
      </c>
      <c r="K1202" s="36">
        <f t="shared" ca="1" si="541"/>
        <v>33.745714285714286</v>
      </c>
      <c r="L1202" s="10">
        <f ca="1">AH1202*VLOOKUP(C1202,技能辅助查询表,技能配置辅助表!$T$1,FALSE)</f>
        <v>0</v>
      </c>
      <c r="M1202">
        <f t="shared" ca="1" si="525"/>
        <v>5840</v>
      </c>
      <c r="N1202" s="33">
        <f ca="1">CHOOSE(1,W1202*U1202,X1202*'[1]0、经济设定'!$C$18)</f>
        <v>28329</v>
      </c>
      <c r="O1202">
        <f t="shared" si="542"/>
        <v>2</v>
      </c>
      <c r="P1202">
        <f t="shared" si="543"/>
        <v>5</v>
      </c>
      <c r="Q1202">
        <f t="shared" si="544"/>
        <v>1</v>
      </c>
      <c r="R1202" s="2">
        <f t="shared" si="545"/>
        <v>7</v>
      </c>
      <c r="S1202" s="2">
        <f t="shared" si="546"/>
        <v>50</v>
      </c>
      <c r="T1202" s="2">
        <f t="shared" si="547"/>
        <v>26.571428571428573</v>
      </c>
      <c r="U1202" s="2">
        <f ca="1">VLOOKUP(E1202,金币生产率!$A$2:$B$120,2,0)</f>
        <v>1349</v>
      </c>
      <c r="V1202" s="2">
        <f t="shared" si="548"/>
        <v>132.85714285714286</v>
      </c>
      <c r="W1202" s="45">
        <f t="shared" ca="1" si="532"/>
        <v>21</v>
      </c>
      <c r="X1202" s="48">
        <f t="shared" ca="1" si="533"/>
        <v>274</v>
      </c>
      <c r="Y1202">
        <f t="shared" si="526"/>
        <v>18</v>
      </c>
      <c r="Z1202">
        <f t="shared" ca="1" si="529"/>
        <v>9</v>
      </c>
      <c r="AA1202" t="str">
        <f t="shared" ca="1" si="549"/>
        <v>9322300.png</v>
      </c>
      <c r="AB1202">
        <f t="shared" si="550"/>
        <v>4</v>
      </c>
      <c r="AC1202">
        <f>VLOOKUP(C1202,技能辅助查询表,技能配置辅助表!$W$1,FALSE)</f>
        <v>5332</v>
      </c>
      <c r="AD1202">
        <f t="shared" ca="1" si="530"/>
        <v>52.874827433642245</v>
      </c>
      <c r="AE1202">
        <f>VLOOKUP(C1202,技能辅助查询表,技能配置辅助表!$U$1,FALSE)</f>
        <v>4</v>
      </c>
      <c r="AF1202">
        <f t="shared" ca="1" si="551"/>
        <v>9322327</v>
      </c>
      <c r="AG1202">
        <f t="shared" ca="1" si="552"/>
        <v>45.734693877551024</v>
      </c>
      <c r="AH1202">
        <f t="shared" ca="1" si="531"/>
        <v>384.66409481967975</v>
      </c>
      <c r="AI1202">
        <f ca="1">VLOOKUP(E1202,伤害参考系!$C$4:$E$104,3,FALSE)*$AN$12</f>
        <v>4911.1188561872923</v>
      </c>
      <c r="AJ1202">
        <f>VLOOKUP(C1202,技能辅助查询表,技能配置辅助表!$L$1,FALSE)</f>
        <v>5</v>
      </c>
      <c r="AK1202">
        <f>VLOOKUP(C1202,技能辅助查询表,技能配置辅助表!$AE$1,FALSE)</f>
        <v>66000550</v>
      </c>
    </row>
    <row r="1203" spans="1:37" x14ac:dyDescent="0.15">
      <c r="A1203" s="1">
        <f t="shared" ca="1" si="534"/>
        <v>9322328</v>
      </c>
      <c r="B1203" s="1" t="str">
        <f t="shared" ca="1" si="535"/>
        <v>玫瑰之舞第3段</v>
      </c>
      <c r="C1203" t="s">
        <v>174</v>
      </c>
      <c r="D1203">
        <f t="shared" si="536"/>
        <v>3</v>
      </c>
      <c r="E1203" s="42">
        <f t="shared" ca="1" si="527"/>
        <v>48</v>
      </c>
      <c r="F1203" t="str">
        <f t="shared" ca="1" si="528"/>
        <v>第28级，共造成170.1%点伤害</v>
      </c>
      <c r="G1203">
        <f t="shared" ca="1" si="537"/>
        <v>3</v>
      </c>
      <c r="H1203">
        <f t="shared" si="538"/>
        <v>3</v>
      </c>
      <c r="I1203" s="44">
        <f t="shared" ca="1" si="539"/>
        <v>28</v>
      </c>
      <c r="J1203">
        <f t="shared" si="540"/>
        <v>2</v>
      </c>
      <c r="K1203" s="36">
        <f t="shared" ca="1" si="541"/>
        <v>34.011428571428574</v>
      </c>
      <c r="L1203" s="10">
        <f ca="1">AH1203*VLOOKUP(C1203,技能辅助查询表,技能配置辅助表!$T$1,FALSE)</f>
        <v>0</v>
      </c>
      <c r="M1203">
        <f t="shared" ca="1" si="525"/>
        <v>5760</v>
      </c>
      <c r="N1203" s="33">
        <f ca="1">CHOOSE(1,W1203*U1203,X1203*'[1]0、经济设定'!$C$18)</f>
        <v>33971</v>
      </c>
      <c r="O1203">
        <f t="shared" si="542"/>
        <v>2</v>
      </c>
      <c r="P1203">
        <f t="shared" si="543"/>
        <v>5</v>
      </c>
      <c r="Q1203">
        <f t="shared" si="544"/>
        <v>1</v>
      </c>
      <c r="R1203" s="2">
        <f t="shared" si="545"/>
        <v>7</v>
      </c>
      <c r="S1203" s="2">
        <f t="shared" si="546"/>
        <v>50</v>
      </c>
      <c r="T1203" s="2">
        <f t="shared" si="547"/>
        <v>26.571428571428573</v>
      </c>
      <c r="U1203" s="2">
        <f ca="1">VLOOKUP(E1203,金币生产率!$A$2:$B$120,2,0)</f>
        <v>1477</v>
      </c>
      <c r="V1203" s="2">
        <f t="shared" si="548"/>
        <v>132.85714285714286</v>
      </c>
      <c r="W1203" s="45">
        <f t="shared" ca="1" si="532"/>
        <v>23</v>
      </c>
      <c r="X1203" s="48">
        <f t="shared" ca="1" si="533"/>
        <v>297</v>
      </c>
      <c r="Y1203">
        <f t="shared" si="526"/>
        <v>18</v>
      </c>
      <c r="Z1203">
        <f t="shared" ca="1" si="529"/>
        <v>10</v>
      </c>
      <c r="AA1203" t="str">
        <f t="shared" ca="1" si="549"/>
        <v>9322300.png</v>
      </c>
      <c r="AB1203">
        <f t="shared" si="550"/>
        <v>4</v>
      </c>
      <c r="AC1203">
        <f>VLOOKUP(C1203,技能辅助查询表,技能配置辅助表!$W$1,FALSE)</f>
        <v>5332</v>
      </c>
      <c r="AD1203">
        <f t="shared" ca="1" si="530"/>
        <v>61.360948175939214</v>
      </c>
      <c r="AE1203">
        <f>VLOOKUP(C1203,技能辅助查询表,技能配置辅助表!$U$1,FALSE)</f>
        <v>4</v>
      </c>
      <c r="AF1203">
        <f t="shared" ca="1" si="551"/>
        <v>9322328</v>
      </c>
      <c r="AG1203">
        <f t="shared" ca="1" si="552"/>
        <v>47.224489795918366</v>
      </c>
      <c r="AH1203">
        <f t="shared" ca="1" si="531"/>
        <v>437.93498902077317</v>
      </c>
      <c r="AI1203">
        <f ca="1">VLOOKUP(E1203,伤害参考系!$C$4:$E$104,3,FALSE)*$AN$12</f>
        <v>5499.8953043478286</v>
      </c>
      <c r="AJ1203">
        <f>VLOOKUP(C1203,技能辅助查询表,技能配置辅助表!$L$1,FALSE)</f>
        <v>5</v>
      </c>
      <c r="AK1203">
        <f>VLOOKUP(C1203,技能辅助查询表,技能配置辅助表!$AE$1,FALSE)</f>
        <v>66000550</v>
      </c>
    </row>
    <row r="1204" spans="1:37" x14ac:dyDescent="0.15">
      <c r="A1204" s="1">
        <f t="shared" ca="1" si="534"/>
        <v>9322329</v>
      </c>
      <c r="B1204" s="1" t="str">
        <f t="shared" ca="1" si="535"/>
        <v>玫瑰之舞第3段</v>
      </c>
      <c r="C1204" t="s">
        <v>174</v>
      </c>
      <c r="D1204">
        <f t="shared" si="536"/>
        <v>3</v>
      </c>
      <c r="E1204" s="42">
        <f t="shared" ca="1" si="527"/>
        <v>49</v>
      </c>
      <c r="F1204" t="str">
        <f t="shared" ca="1" si="528"/>
        <v>第29级，共造成171.4%点伤害</v>
      </c>
      <c r="G1204">
        <f t="shared" ca="1" si="537"/>
        <v>3</v>
      </c>
      <c r="H1204">
        <f t="shared" si="538"/>
        <v>3</v>
      </c>
      <c r="I1204" s="44">
        <f t="shared" ca="1" si="539"/>
        <v>29</v>
      </c>
      <c r="J1204">
        <f t="shared" si="540"/>
        <v>2</v>
      </c>
      <c r="K1204" s="36">
        <f t="shared" ca="1" si="541"/>
        <v>34.277142857142863</v>
      </c>
      <c r="L1204" s="10">
        <f ca="1">AH1204*VLOOKUP(C1204,技能辅助查询表,技能配置辅助表!$T$1,FALSE)</f>
        <v>0</v>
      </c>
      <c r="M1204">
        <f t="shared" ca="1" si="525"/>
        <v>5680</v>
      </c>
      <c r="N1204" s="33">
        <f ca="1">CHOOSE(1,W1204*U1204,X1204*'[1]0、经济设定'!$C$18)</f>
        <v>38575</v>
      </c>
      <c r="O1204">
        <f t="shared" si="542"/>
        <v>2</v>
      </c>
      <c r="P1204">
        <f t="shared" si="543"/>
        <v>5</v>
      </c>
      <c r="Q1204">
        <f t="shared" si="544"/>
        <v>1</v>
      </c>
      <c r="R1204" s="2">
        <f t="shared" si="545"/>
        <v>7</v>
      </c>
      <c r="S1204" s="2">
        <f t="shared" si="546"/>
        <v>50</v>
      </c>
      <c r="T1204" s="2">
        <f t="shared" si="547"/>
        <v>26.571428571428573</v>
      </c>
      <c r="U1204" s="2">
        <f ca="1">VLOOKUP(E1204,金币生产率!$A$2:$B$120,2,0)</f>
        <v>1543</v>
      </c>
      <c r="V1204" s="2">
        <f t="shared" si="548"/>
        <v>132.85714285714286</v>
      </c>
      <c r="W1204" s="45">
        <f t="shared" ca="1" si="532"/>
        <v>25</v>
      </c>
      <c r="X1204" s="48">
        <f t="shared" ca="1" si="533"/>
        <v>322</v>
      </c>
      <c r="Y1204">
        <f t="shared" si="526"/>
        <v>18</v>
      </c>
      <c r="Z1204">
        <f t="shared" ca="1" si="529"/>
        <v>10</v>
      </c>
      <c r="AA1204" t="str">
        <f t="shared" ca="1" si="549"/>
        <v>9322300.png</v>
      </c>
      <c r="AB1204">
        <f t="shared" si="550"/>
        <v>4</v>
      </c>
      <c r="AC1204">
        <f>VLOOKUP(C1204,技能辅助查询表,技能配置辅助表!$W$1,FALSE)</f>
        <v>5332</v>
      </c>
      <c r="AD1204">
        <f t="shared" ca="1" si="530"/>
        <v>71.183435461570099</v>
      </c>
      <c r="AE1204">
        <f>VLOOKUP(C1204,技能辅助查询表,技能配置辅助表!$U$1,FALSE)</f>
        <v>4</v>
      </c>
      <c r="AF1204">
        <f t="shared" ca="1" si="551"/>
        <v>9322329</v>
      </c>
      <c r="AG1204">
        <f t="shared" ca="1" si="552"/>
        <v>48.714285714285715</v>
      </c>
      <c r="AH1204">
        <f t="shared" ca="1" si="531"/>
        <v>498.5831981498805</v>
      </c>
      <c r="AI1204">
        <f ca="1">VLOOKUP(E1204,伤害参考系!$C$4:$E$104,3,FALSE)*$AN$12</f>
        <v>5806.7788244147177</v>
      </c>
      <c r="AJ1204">
        <f>VLOOKUP(C1204,技能辅助查询表,技能配置辅助表!$L$1,FALSE)</f>
        <v>5</v>
      </c>
      <c r="AK1204">
        <f>VLOOKUP(C1204,技能辅助查询表,技能配置辅助表!$AE$1,FALSE)</f>
        <v>66000550</v>
      </c>
    </row>
    <row r="1205" spans="1:37" x14ac:dyDescent="0.15">
      <c r="A1205" s="1">
        <f t="shared" ca="1" si="534"/>
        <v>9322330</v>
      </c>
      <c r="B1205" s="1" t="str">
        <f t="shared" ca="1" si="535"/>
        <v>玫瑰之舞第3段</v>
      </c>
      <c r="C1205" t="s">
        <v>174</v>
      </c>
      <c r="D1205">
        <f t="shared" si="536"/>
        <v>3</v>
      </c>
      <c r="E1205" s="42">
        <f t="shared" ca="1" si="527"/>
        <v>51</v>
      </c>
      <c r="F1205" t="str">
        <f t="shared" ca="1" si="528"/>
        <v>第30级，共造成172.7%点伤害</v>
      </c>
      <c r="G1205">
        <f t="shared" ca="1" si="537"/>
        <v>3</v>
      </c>
      <c r="H1205">
        <f t="shared" si="538"/>
        <v>3</v>
      </c>
      <c r="I1205" s="44">
        <f t="shared" ca="1" si="539"/>
        <v>30</v>
      </c>
      <c r="J1205">
        <f t="shared" si="540"/>
        <v>2</v>
      </c>
      <c r="K1205" s="36">
        <f t="shared" ca="1" si="541"/>
        <v>34.542857142857144</v>
      </c>
      <c r="L1205" s="10">
        <f ca="1">AH1205*VLOOKUP(C1205,技能辅助查询表,技能配置辅助表!$T$1,FALSE)</f>
        <v>0</v>
      </c>
      <c r="M1205">
        <f t="shared" ca="1" si="525"/>
        <v>5600</v>
      </c>
      <c r="N1205" s="33">
        <f ca="1">CHOOSE(1,W1205*U1205,X1205*'[1]0、经济设定'!$C$18)</f>
        <v>43654</v>
      </c>
      <c r="O1205">
        <f t="shared" si="542"/>
        <v>2</v>
      </c>
      <c r="P1205">
        <f t="shared" si="543"/>
        <v>5</v>
      </c>
      <c r="Q1205">
        <f t="shared" si="544"/>
        <v>1</v>
      </c>
      <c r="R1205" s="2">
        <f t="shared" si="545"/>
        <v>7</v>
      </c>
      <c r="S1205" s="2">
        <f t="shared" si="546"/>
        <v>50</v>
      </c>
      <c r="T1205" s="2">
        <f t="shared" si="547"/>
        <v>26.571428571428573</v>
      </c>
      <c r="U1205" s="2">
        <f ca="1">VLOOKUP(E1205,金币生产率!$A$2:$B$120,2,0)</f>
        <v>1679</v>
      </c>
      <c r="V1205" s="2">
        <f t="shared" si="548"/>
        <v>132.85714285714286</v>
      </c>
      <c r="W1205" s="45">
        <f t="shared" ca="1" si="532"/>
        <v>26</v>
      </c>
      <c r="X1205" s="48">
        <f t="shared" ca="1" si="533"/>
        <v>348</v>
      </c>
      <c r="Y1205">
        <f t="shared" si="526"/>
        <v>18</v>
      </c>
      <c r="Z1205">
        <f t="shared" ca="1" si="529"/>
        <v>11</v>
      </c>
      <c r="AA1205" t="str">
        <f t="shared" ca="1" si="549"/>
        <v>9322300.png</v>
      </c>
      <c r="AB1205">
        <f t="shared" si="550"/>
        <v>4</v>
      </c>
      <c r="AC1205">
        <f>VLOOKUP(C1205,技能辅助查询表,技能配置辅助表!$W$1,FALSE)</f>
        <v>5332</v>
      </c>
      <c r="AD1205">
        <f t="shared" ca="1" si="530"/>
        <v>82.549675676030503</v>
      </c>
      <c r="AE1205">
        <f>VLOOKUP(C1205,技能辅助查询表,技能配置辅助表!$U$1,FALSE)</f>
        <v>4</v>
      </c>
      <c r="AF1205">
        <f t="shared" ca="1" si="551"/>
        <v>9322330</v>
      </c>
      <c r="AG1205">
        <f t="shared" ca="1" si="552"/>
        <v>50.204081632653065</v>
      </c>
      <c r="AH1205">
        <f t="shared" ca="1" si="531"/>
        <v>567.63038284107404</v>
      </c>
      <c r="AI1205">
        <f ca="1">VLOOKUP(E1205,伤害参考系!$C$4:$E$104,3,FALSE)*$AN$12</f>
        <v>6528.1715392976603</v>
      </c>
      <c r="AJ1205">
        <f>VLOOKUP(C1205,技能辅助查询表,技能配置辅助表!$L$1,FALSE)</f>
        <v>5</v>
      </c>
      <c r="AK1205">
        <f>VLOOKUP(C1205,技能辅助查询表,技能配置辅助表!$AE$1,FALSE)</f>
        <v>66000550</v>
      </c>
    </row>
    <row r="1206" spans="1:37" x14ac:dyDescent="0.15">
      <c r="A1206" s="1">
        <f t="shared" ca="1" si="534"/>
        <v>9322331</v>
      </c>
      <c r="B1206" s="1" t="str">
        <f t="shared" ca="1" si="535"/>
        <v>玫瑰之舞第3段</v>
      </c>
      <c r="C1206" t="s">
        <v>174</v>
      </c>
      <c r="D1206">
        <f t="shared" si="536"/>
        <v>3</v>
      </c>
      <c r="E1206" s="42">
        <f t="shared" ca="1" si="527"/>
        <v>52</v>
      </c>
      <c r="F1206" t="str">
        <f t="shared" ca="1" si="528"/>
        <v>第31级，共造成174%点伤害</v>
      </c>
      <c r="G1206">
        <f t="shared" ca="1" si="537"/>
        <v>3</v>
      </c>
      <c r="H1206">
        <f t="shared" si="538"/>
        <v>3</v>
      </c>
      <c r="I1206" s="44">
        <f t="shared" ca="1" si="539"/>
        <v>31</v>
      </c>
      <c r="J1206">
        <f t="shared" si="540"/>
        <v>2</v>
      </c>
      <c r="K1206" s="36">
        <f t="shared" ca="1" si="541"/>
        <v>34.808571428571433</v>
      </c>
      <c r="L1206" s="10">
        <f ca="1">AH1206*VLOOKUP(C1206,技能辅助查询表,技能配置辅助表!$T$1,FALSE)</f>
        <v>0</v>
      </c>
      <c r="M1206">
        <f t="shared" ca="1" si="525"/>
        <v>5520</v>
      </c>
      <c r="N1206" s="33">
        <f ca="1">CHOOSE(1,W1206*U1206,X1206*'[1]0、经济设定'!$C$18)</f>
        <v>48972</v>
      </c>
      <c r="O1206">
        <f t="shared" si="542"/>
        <v>2</v>
      </c>
      <c r="P1206">
        <f t="shared" si="543"/>
        <v>5</v>
      </c>
      <c r="Q1206">
        <f t="shared" si="544"/>
        <v>1</v>
      </c>
      <c r="R1206" s="2">
        <f t="shared" si="545"/>
        <v>7</v>
      </c>
      <c r="S1206" s="2">
        <f t="shared" si="546"/>
        <v>50</v>
      </c>
      <c r="T1206" s="2">
        <f t="shared" si="547"/>
        <v>26.571428571428573</v>
      </c>
      <c r="U1206" s="2">
        <f ca="1">VLOOKUP(E1206,金币生产率!$A$2:$B$120,2,0)</f>
        <v>1749</v>
      </c>
      <c r="V1206" s="2">
        <f t="shared" si="548"/>
        <v>132.85714285714286</v>
      </c>
      <c r="W1206" s="45">
        <f t="shared" ca="1" si="532"/>
        <v>28</v>
      </c>
      <c r="X1206" s="48">
        <f t="shared" ca="1" si="533"/>
        <v>376</v>
      </c>
      <c r="Y1206">
        <f t="shared" si="526"/>
        <v>18</v>
      </c>
      <c r="Z1206">
        <f t="shared" ca="1" si="529"/>
        <v>12</v>
      </c>
      <c r="AA1206" t="str">
        <f t="shared" ca="1" si="549"/>
        <v>9322300.png</v>
      </c>
      <c r="AB1206">
        <f t="shared" si="550"/>
        <v>4</v>
      </c>
      <c r="AC1206">
        <f>VLOOKUP(C1206,技能辅助查询表,技能配置辅助表!$W$1,FALSE)</f>
        <v>5332</v>
      </c>
      <c r="AD1206">
        <f t="shared" ca="1" si="530"/>
        <v>95.698866126907006</v>
      </c>
      <c r="AE1206">
        <f>VLOOKUP(C1206,技能辅助查询表,技能配置辅助表!$U$1,FALSE)</f>
        <v>4</v>
      </c>
      <c r="AF1206">
        <f t="shared" ca="1" si="551"/>
        <v>9322331</v>
      </c>
      <c r="AG1206">
        <f t="shared" ca="1" si="552"/>
        <v>51.693877551020407</v>
      </c>
      <c r="AH1206">
        <f t="shared" ca="1" si="531"/>
        <v>646.23969022607446</v>
      </c>
      <c r="AI1206">
        <f ca="1">VLOOKUP(E1206,伤害参考系!$C$4:$E$104,3,FALSE)*$AN$12</f>
        <v>6904.487016722409</v>
      </c>
      <c r="AJ1206">
        <f>VLOOKUP(C1206,技能辅助查询表,技能配置辅助表!$L$1,FALSE)</f>
        <v>5</v>
      </c>
      <c r="AK1206">
        <f>VLOOKUP(C1206,技能辅助查询表,技能配置辅助表!$AE$1,FALSE)</f>
        <v>66000550</v>
      </c>
    </row>
    <row r="1207" spans="1:37" x14ac:dyDescent="0.15">
      <c r="A1207" s="1">
        <f t="shared" ca="1" si="534"/>
        <v>9322332</v>
      </c>
      <c r="B1207" s="1" t="str">
        <f t="shared" ca="1" si="535"/>
        <v>玫瑰之舞第3段</v>
      </c>
      <c r="C1207" t="s">
        <v>174</v>
      </c>
      <c r="D1207">
        <f t="shared" si="536"/>
        <v>3</v>
      </c>
      <c r="E1207" s="42">
        <f t="shared" ca="1" si="527"/>
        <v>54</v>
      </c>
      <c r="F1207" t="str">
        <f t="shared" ca="1" si="528"/>
        <v>第32级，共造成175.4%点伤害</v>
      </c>
      <c r="G1207">
        <f t="shared" ca="1" si="537"/>
        <v>3</v>
      </c>
      <c r="H1207">
        <f t="shared" si="538"/>
        <v>3</v>
      </c>
      <c r="I1207" s="44">
        <f t="shared" ca="1" si="539"/>
        <v>32</v>
      </c>
      <c r="J1207">
        <f t="shared" si="540"/>
        <v>2</v>
      </c>
      <c r="K1207" s="36">
        <f t="shared" ca="1" si="541"/>
        <v>35.074285714285715</v>
      </c>
      <c r="L1207" s="10">
        <f ca="1">AH1207*VLOOKUP(C1207,技能辅助查询表,技能配置辅助表!$T$1,FALSE)</f>
        <v>0</v>
      </c>
      <c r="M1207">
        <f t="shared" ca="1" si="525"/>
        <v>5440</v>
      </c>
      <c r="N1207" s="33">
        <f ca="1">CHOOSE(1,W1207*U1207,X1207*'[1]0、经济设定'!$C$18)</f>
        <v>56790</v>
      </c>
      <c r="O1207">
        <f t="shared" si="542"/>
        <v>2</v>
      </c>
      <c r="P1207">
        <f t="shared" si="543"/>
        <v>5</v>
      </c>
      <c r="Q1207">
        <f t="shared" si="544"/>
        <v>1</v>
      </c>
      <c r="R1207" s="2">
        <f t="shared" si="545"/>
        <v>7</v>
      </c>
      <c r="S1207" s="2">
        <f t="shared" si="546"/>
        <v>50</v>
      </c>
      <c r="T1207" s="2">
        <f t="shared" si="547"/>
        <v>26.571428571428573</v>
      </c>
      <c r="U1207" s="2">
        <f ca="1">VLOOKUP(E1207,金币生产率!$A$2:$B$120,2,0)</f>
        <v>1893</v>
      </c>
      <c r="V1207" s="2">
        <f t="shared" si="548"/>
        <v>132.85714285714286</v>
      </c>
      <c r="W1207" s="45">
        <f t="shared" ca="1" si="532"/>
        <v>30</v>
      </c>
      <c r="X1207" s="48">
        <f t="shared" ca="1" si="533"/>
        <v>406</v>
      </c>
      <c r="Y1207">
        <f t="shared" si="526"/>
        <v>18</v>
      </c>
      <c r="Z1207">
        <f t="shared" ca="1" si="529"/>
        <v>12</v>
      </c>
      <c r="AA1207" t="str">
        <f t="shared" ca="1" si="549"/>
        <v>9322300.png</v>
      </c>
      <c r="AB1207">
        <f t="shared" si="550"/>
        <v>4</v>
      </c>
      <c r="AC1207">
        <f>VLOOKUP(C1207,技能辅助查询表,技能配置辅助表!$W$1,FALSE)</f>
        <v>5332</v>
      </c>
      <c r="AD1207">
        <f t="shared" ca="1" si="530"/>
        <v>110.90684845015998</v>
      </c>
      <c r="AE1207">
        <f>VLOOKUP(C1207,技能辅助查询表,技能配置辅助表!$U$1,FALSE)</f>
        <v>4</v>
      </c>
      <c r="AF1207">
        <f t="shared" ca="1" si="551"/>
        <v>9322332</v>
      </c>
      <c r="AG1207">
        <f t="shared" ca="1" si="552"/>
        <v>53.183673469387756</v>
      </c>
      <c r="AH1207">
        <f t="shared" ca="1" si="531"/>
        <v>735.73534794457942</v>
      </c>
      <c r="AI1207">
        <f ca="1">VLOOKUP(E1207,伤害参考系!$C$4:$E$104,3,FALSE)*$AN$12</f>
        <v>7688.356211538463</v>
      </c>
      <c r="AJ1207">
        <f>VLOOKUP(C1207,技能辅助查询表,技能配置辅助表!$L$1,FALSE)</f>
        <v>5</v>
      </c>
      <c r="AK1207">
        <f>VLOOKUP(C1207,技能辅助查询表,技能配置辅助表!$AE$1,FALSE)</f>
        <v>66000550</v>
      </c>
    </row>
    <row r="1208" spans="1:37" x14ac:dyDescent="0.15">
      <c r="A1208" s="1">
        <f t="shared" ca="1" si="534"/>
        <v>9322333</v>
      </c>
      <c r="B1208" s="1" t="str">
        <f t="shared" ca="1" si="535"/>
        <v>玫瑰之舞第3段</v>
      </c>
      <c r="C1208" t="s">
        <v>174</v>
      </c>
      <c r="D1208">
        <f t="shared" si="536"/>
        <v>3</v>
      </c>
      <c r="E1208" s="42">
        <f t="shared" ca="1" si="527"/>
        <v>55</v>
      </c>
      <c r="F1208" t="str">
        <f t="shared" ca="1" si="528"/>
        <v>第33级，共造成176.7%点伤害</v>
      </c>
      <c r="G1208">
        <f t="shared" ca="1" si="537"/>
        <v>3</v>
      </c>
      <c r="H1208">
        <f t="shared" si="538"/>
        <v>3</v>
      </c>
      <c r="I1208" s="44">
        <f t="shared" ca="1" si="539"/>
        <v>33</v>
      </c>
      <c r="J1208">
        <f t="shared" si="540"/>
        <v>2</v>
      </c>
      <c r="K1208" s="36">
        <f t="shared" ca="1" si="541"/>
        <v>35.340000000000003</v>
      </c>
      <c r="L1208" s="10">
        <f ca="1">AH1208*VLOOKUP(C1208,技能辅助查询表,技能配置辅助表!$T$1,FALSE)</f>
        <v>0</v>
      </c>
      <c r="M1208">
        <f t="shared" ca="1" si="525"/>
        <v>5360</v>
      </c>
      <c r="N1208" s="33">
        <f ca="1">CHOOSE(1,W1208*U1208,X1208*'[1]0、经济设定'!$C$18)</f>
        <v>62944</v>
      </c>
      <c r="O1208">
        <f t="shared" si="542"/>
        <v>2</v>
      </c>
      <c r="P1208">
        <f t="shared" si="543"/>
        <v>5</v>
      </c>
      <c r="Q1208">
        <f t="shared" si="544"/>
        <v>1</v>
      </c>
      <c r="R1208" s="2">
        <f t="shared" si="545"/>
        <v>7</v>
      </c>
      <c r="S1208" s="2">
        <f t="shared" si="546"/>
        <v>50</v>
      </c>
      <c r="T1208" s="2">
        <f t="shared" si="547"/>
        <v>26.571428571428573</v>
      </c>
      <c r="U1208" s="2">
        <f ca="1">VLOOKUP(E1208,金币生产率!$A$2:$B$120,2,0)</f>
        <v>1967</v>
      </c>
      <c r="V1208" s="2">
        <f t="shared" si="548"/>
        <v>132.85714285714286</v>
      </c>
      <c r="W1208" s="45">
        <f t="shared" ca="1" si="532"/>
        <v>32</v>
      </c>
      <c r="X1208" s="48">
        <f t="shared" ca="1" si="533"/>
        <v>438</v>
      </c>
      <c r="Y1208">
        <f t="shared" si="526"/>
        <v>18</v>
      </c>
      <c r="Z1208">
        <f t="shared" ca="1" si="529"/>
        <v>13</v>
      </c>
      <c r="AA1208" t="str">
        <f t="shared" ca="1" si="549"/>
        <v>9322300.png</v>
      </c>
      <c r="AB1208">
        <f t="shared" si="550"/>
        <v>4</v>
      </c>
      <c r="AC1208">
        <f>VLOOKUP(C1208,技能辅助查询表,技能配置辅助表!$W$1,FALSE)</f>
        <v>5332</v>
      </c>
      <c r="AD1208">
        <f t="shared" ca="1" si="530"/>
        <v>128.49167065358128</v>
      </c>
      <c r="AE1208">
        <f>VLOOKUP(C1208,技能辅助查询表,技能配置辅助表!$U$1,FALSE)</f>
        <v>4</v>
      </c>
      <c r="AF1208">
        <f t="shared" ca="1" si="551"/>
        <v>9322333</v>
      </c>
      <c r="AG1208">
        <f t="shared" ca="1" si="552"/>
        <v>54.673469387755105</v>
      </c>
      <c r="AH1208">
        <f t="shared" ca="1" si="531"/>
        <v>837.62497166611001</v>
      </c>
      <c r="AI1208">
        <f ca="1">VLOOKUP(E1208,伤害参考系!$C$4:$E$104,3,FALSE)*$AN$12</f>
        <v>8095.9099289297656</v>
      </c>
      <c r="AJ1208">
        <f>VLOOKUP(C1208,技能辅助查询表,技能配置辅助表!$L$1,FALSE)</f>
        <v>5</v>
      </c>
      <c r="AK1208">
        <f>VLOOKUP(C1208,技能辅助查询表,技能配置辅助表!$AE$1,FALSE)</f>
        <v>66000550</v>
      </c>
    </row>
    <row r="1209" spans="1:37" x14ac:dyDescent="0.15">
      <c r="A1209" s="1">
        <f t="shared" ca="1" si="534"/>
        <v>9322334</v>
      </c>
      <c r="B1209" s="1" t="str">
        <f t="shared" ca="1" si="535"/>
        <v>玫瑰之舞第3段</v>
      </c>
      <c r="C1209" t="s">
        <v>174</v>
      </c>
      <c r="D1209">
        <f t="shared" si="536"/>
        <v>3</v>
      </c>
      <c r="E1209" s="42">
        <f t="shared" ca="1" si="527"/>
        <v>57</v>
      </c>
      <c r="F1209" t="str">
        <f t="shared" ca="1" si="528"/>
        <v>第34级，共造成178%点伤害</v>
      </c>
      <c r="G1209">
        <f t="shared" ca="1" si="537"/>
        <v>3</v>
      </c>
      <c r="H1209">
        <f t="shared" si="538"/>
        <v>3</v>
      </c>
      <c r="I1209" s="44">
        <f t="shared" ca="1" si="539"/>
        <v>34</v>
      </c>
      <c r="J1209">
        <f t="shared" si="540"/>
        <v>2</v>
      </c>
      <c r="K1209" s="36">
        <f t="shared" ca="1" si="541"/>
        <v>35.605714285714285</v>
      </c>
      <c r="L1209" s="10">
        <f ca="1">AH1209*VLOOKUP(C1209,技能辅助查询表,技能配置辅助表!$T$1,FALSE)</f>
        <v>0</v>
      </c>
      <c r="M1209">
        <f t="shared" ca="1" si="525"/>
        <v>5280</v>
      </c>
      <c r="N1209" s="33">
        <f ca="1">CHOOSE(1,W1209*U1209,X1209*'[1]0、经济设定'!$C$18)</f>
        <v>72046</v>
      </c>
      <c r="O1209">
        <f t="shared" si="542"/>
        <v>2</v>
      </c>
      <c r="P1209">
        <f t="shared" si="543"/>
        <v>5</v>
      </c>
      <c r="Q1209">
        <f t="shared" si="544"/>
        <v>1</v>
      </c>
      <c r="R1209" s="2">
        <f t="shared" si="545"/>
        <v>7</v>
      </c>
      <c r="S1209" s="2">
        <f t="shared" si="546"/>
        <v>50</v>
      </c>
      <c r="T1209" s="2">
        <f t="shared" si="547"/>
        <v>26.571428571428573</v>
      </c>
      <c r="U1209" s="2">
        <f ca="1">VLOOKUP(E1209,金币生产率!$A$2:$B$120,2,0)</f>
        <v>2119</v>
      </c>
      <c r="V1209" s="2">
        <f t="shared" si="548"/>
        <v>132.85714285714286</v>
      </c>
      <c r="W1209" s="45">
        <f t="shared" ca="1" si="532"/>
        <v>34</v>
      </c>
      <c r="X1209" s="48">
        <f t="shared" ca="1" si="533"/>
        <v>472</v>
      </c>
      <c r="Y1209">
        <f t="shared" si="526"/>
        <v>18</v>
      </c>
      <c r="Z1209">
        <f t="shared" ca="1" si="529"/>
        <v>14</v>
      </c>
      <c r="AA1209" t="str">
        <f t="shared" ca="1" si="549"/>
        <v>9322300.png</v>
      </c>
      <c r="AB1209">
        <f t="shared" si="550"/>
        <v>4</v>
      </c>
      <c r="AC1209">
        <f>VLOOKUP(C1209,技能辅助查询表,技能配置辅助表!$W$1,FALSE)</f>
        <v>5332</v>
      </c>
      <c r="AD1209">
        <f t="shared" ca="1" si="530"/>
        <v>148.81998691274856</v>
      </c>
      <c r="AE1209">
        <f>VLOOKUP(C1209,技能辅助查询表,技能配置辅助表!$U$1,FALSE)</f>
        <v>4</v>
      </c>
      <c r="AF1209">
        <f t="shared" ca="1" si="551"/>
        <v>9322334</v>
      </c>
      <c r="AG1209">
        <f t="shared" ca="1" si="552"/>
        <v>56.163265306122447</v>
      </c>
      <c r="AH1209">
        <f t="shared" ca="1" si="531"/>
        <v>953.62496190886134</v>
      </c>
      <c r="AI1209">
        <f ca="1">VLOOKUP(E1209,伤害参考系!$C$4:$E$104,3,FALSE)*$AN$12</f>
        <v>8942.2556036789319</v>
      </c>
      <c r="AJ1209">
        <f>VLOOKUP(C1209,技能辅助查询表,技能配置辅助表!$L$1,FALSE)</f>
        <v>5</v>
      </c>
      <c r="AK1209">
        <f>VLOOKUP(C1209,技能辅助查询表,技能配置辅助表!$AE$1,FALSE)</f>
        <v>66000550</v>
      </c>
    </row>
    <row r="1210" spans="1:37" x14ac:dyDescent="0.15">
      <c r="A1210" s="1">
        <f t="shared" ca="1" si="534"/>
        <v>9322335</v>
      </c>
      <c r="B1210" s="1" t="str">
        <f t="shared" ca="1" si="535"/>
        <v>玫瑰之舞第3段</v>
      </c>
      <c r="C1210" t="s">
        <v>174</v>
      </c>
      <c r="D1210">
        <f t="shared" si="536"/>
        <v>3</v>
      </c>
      <c r="E1210" s="42">
        <f t="shared" ca="1" si="527"/>
        <v>58</v>
      </c>
      <c r="F1210" t="str">
        <f t="shared" ca="1" si="528"/>
        <v>第35级，共造成179.4%点伤害</v>
      </c>
      <c r="G1210">
        <f t="shared" ca="1" si="537"/>
        <v>3</v>
      </c>
      <c r="H1210">
        <f t="shared" si="538"/>
        <v>3</v>
      </c>
      <c r="I1210" s="44">
        <f t="shared" ca="1" si="539"/>
        <v>35</v>
      </c>
      <c r="J1210">
        <f t="shared" si="540"/>
        <v>2</v>
      </c>
      <c r="K1210" s="36">
        <f t="shared" ca="1" si="541"/>
        <v>35.871428571428574</v>
      </c>
      <c r="L1210" s="10">
        <f ca="1">AH1210*VLOOKUP(C1210,技能辅助查询表,技能配置辅助表!$T$1,FALSE)</f>
        <v>0</v>
      </c>
      <c r="M1210">
        <f t="shared" ca="1" si="525"/>
        <v>5200</v>
      </c>
      <c r="N1210" s="33">
        <f ca="1">CHOOSE(1,W1210*U1210,X1210*'[1]0、经济设定'!$C$18)</f>
        <v>79128</v>
      </c>
      <c r="O1210">
        <f t="shared" si="542"/>
        <v>2</v>
      </c>
      <c r="P1210">
        <f t="shared" si="543"/>
        <v>5</v>
      </c>
      <c r="Q1210">
        <f t="shared" si="544"/>
        <v>1</v>
      </c>
      <c r="R1210" s="2">
        <f t="shared" si="545"/>
        <v>7</v>
      </c>
      <c r="S1210" s="2">
        <f t="shared" si="546"/>
        <v>50</v>
      </c>
      <c r="T1210" s="2">
        <f t="shared" si="547"/>
        <v>26.571428571428573</v>
      </c>
      <c r="U1210" s="2">
        <f ca="1">VLOOKUP(E1210,金币生产率!$A$2:$B$120,2,0)</f>
        <v>2198</v>
      </c>
      <c r="V1210" s="2">
        <f t="shared" si="548"/>
        <v>132.85714285714286</v>
      </c>
      <c r="W1210" s="45">
        <f t="shared" ca="1" si="532"/>
        <v>36</v>
      </c>
      <c r="X1210" s="48">
        <f t="shared" ca="1" si="533"/>
        <v>508</v>
      </c>
      <c r="Y1210">
        <f t="shared" si="526"/>
        <v>18</v>
      </c>
      <c r="Z1210">
        <f t="shared" ca="1" si="529"/>
        <v>15</v>
      </c>
      <c r="AA1210" t="str">
        <f t="shared" ca="1" si="549"/>
        <v>9322300.png</v>
      </c>
      <c r="AB1210">
        <f t="shared" si="550"/>
        <v>4</v>
      </c>
      <c r="AC1210">
        <f>VLOOKUP(C1210,技能辅助查询表,技能配置辅助表!$W$1,FALSE)</f>
        <v>5332</v>
      </c>
      <c r="AD1210">
        <f t="shared" ca="1" si="530"/>
        <v>172.31442048263017</v>
      </c>
      <c r="AE1210">
        <f>VLOOKUP(C1210,技能辅助查询表,技能配置辅助表!$U$1,FALSE)</f>
        <v>4</v>
      </c>
      <c r="AF1210">
        <f t="shared" ca="1" si="551"/>
        <v>9322335</v>
      </c>
      <c r="AG1210">
        <f t="shared" ca="1" si="552"/>
        <v>57.653061224489797</v>
      </c>
      <c r="AH1210">
        <f t="shared" ca="1" si="531"/>
        <v>1085.689417982368</v>
      </c>
      <c r="AI1210">
        <f ca="1">VLOOKUP(E1210,伤害参考系!$C$4:$E$104,3,FALSE)*$AN$12</f>
        <v>9381.0475610367921</v>
      </c>
      <c r="AJ1210">
        <f>VLOOKUP(C1210,技能辅助查询表,技能配置辅助表!$L$1,FALSE)</f>
        <v>5</v>
      </c>
      <c r="AK1210">
        <f>VLOOKUP(C1210,技能辅助查询表,技能配置辅助表!$AE$1,FALSE)</f>
        <v>66000550</v>
      </c>
    </row>
    <row r="1211" spans="1:37" x14ac:dyDescent="0.15">
      <c r="A1211" s="1">
        <f t="shared" ca="1" si="534"/>
        <v>9322336</v>
      </c>
      <c r="B1211" s="1" t="str">
        <f t="shared" ca="1" si="535"/>
        <v>玫瑰之舞第3段</v>
      </c>
      <c r="C1211" t="s">
        <v>174</v>
      </c>
      <c r="D1211">
        <f t="shared" si="536"/>
        <v>3</v>
      </c>
      <c r="E1211" s="42">
        <f t="shared" ca="1" si="527"/>
        <v>60</v>
      </c>
      <c r="F1211" t="str">
        <f t="shared" ca="1" si="528"/>
        <v>第36级，共造成180.7%点伤害</v>
      </c>
      <c r="G1211">
        <f t="shared" ca="1" si="537"/>
        <v>3</v>
      </c>
      <c r="H1211">
        <f t="shared" si="538"/>
        <v>3</v>
      </c>
      <c r="I1211" s="44">
        <f t="shared" ca="1" si="539"/>
        <v>36</v>
      </c>
      <c r="J1211">
        <f t="shared" si="540"/>
        <v>2</v>
      </c>
      <c r="K1211" s="36">
        <f t="shared" ca="1" si="541"/>
        <v>36.137142857142862</v>
      </c>
      <c r="L1211" s="10">
        <f ca="1">AH1211*VLOOKUP(C1211,技能辅助查询表,技能配置辅助表!$T$1,FALSE)</f>
        <v>0</v>
      </c>
      <c r="M1211">
        <f t="shared" ca="1" si="525"/>
        <v>5120</v>
      </c>
      <c r="N1211" s="33">
        <f ca="1">CHOOSE(1,W1211*U1211,X1211*'[1]0、经济设定'!$C$18)</f>
        <v>91962</v>
      </c>
      <c r="O1211">
        <f t="shared" si="542"/>
        <v>2</v>
      </c>
      <c r="P1211">
        <f t="shared" si="543"/>
        <v>5</v>
      </c>
      <c r="Q1211">
        <f t="shared" si="544"/>
        <v>1</v>
      </c>
      <c r="R1211" s="2">
        <f t="shared" si="545"/>
        <v>7</v>
      </c>
      <c r="S1211" s="2">
        <f t="shared" si="546"/>
        <v>50</v>
      </c>
      <c r="T1211" s="2">
        <f t="shared" si="547"/>
        <v>26.571428571428573</v>
      </c>
      <c r="U1211" s="2">
        <f ca="1">VLOOKUP(E1211,金币生产率!$A$2:$B$120,2,0)</f>
        <v>2358</v>
      </c>
      <c r="V1211" s="2">
        <f t="shared" si="548"/>
        <v>132.85714285714286</v>
      </c>
      <c r="W1211" s="45">
        <f t="shared" ca="1" si="532"/>
        <v>39</v>
      </c>
      <c r="X1211" s="48">
        <f t="shared" ca="1" si="533"/>
        <v>547</v>
      </c>
      <c r="Y1211">
        <f t="shared" si="526"/>
        <v>18</v>
      </c>
      <c r="Z1211">
        <f t="shared" ca="1" si="529"/>
        <v>16</v>
      </c>
      <c r="AA1211" t="str">
        <f t="shared" ca="1" si="549"/>
        <v>9322300.png</v>
      </c>
      <c r="AB1211">
        <f t="shared" si="550"/>
        <v>4</v>
      </c>
      <c r="AC1211">
        <f>VLOOKUP(C1211,技能辅助查询表,技能配置辅助表!$W$1,FALSE)</f>
        <v>5332</v>
      </c>
      <c r="AD1211">
        <f t="shared" ca="1" si="530"/>
        <v>199.46203374335869</v>
      </c>
      <c r="AE1211">
        <f>VLOOKUP(C1211,技能辅助查询表,技能配置辅助表!$U$1,FALSE)</f>
        <v>4</v>
      </c>
      <c r="AF1211">
        <f t="shared" ca="1" si="551"/>
        <v>9322336</v>
      </c>
      <c r="AG1211">
        <f t="shared" ca="1" si="552"/>
        <v>59.142857142857146</v>
      </c>
      <c r="AH1211">
        <f t="shared" ca="1" si="531"/>
        <v>1236.0430561291703</v>
      </c>
      <c r="AI1211">
        <f ca="1">VLOOKUP(E1211,伤害参考系!$C$4:$E$104,3,FALSE)*$AN$12</f>
        <v>10340.558729096994</v>
      </c>
      <c r="AJ1211">
        <f>VLOOKUP(C1211,技能辅助查询表,技能配置辅助表!$L$1,FALSE)</f>
        <v>5</v>
      </c>
      <c r="AK1211">
        <f>VLOOKUP(C1211,技能辅助查询表,技能配置辅助表!$AE$1,FALSE)</f>
        <v>66000550</v>
      </c>
    </row>
    <row r="1212" spans="1:37" x14ac:dyDescent="0.15">
      <c r="A1212" s="1">
        <f t="shared" ca="1" si="534"/>
        <v>9322337</v>
      </c>
      <c r="B1212" s="1" t="str">
        <f t="shared" ca="1" si="535"/>
        <v>玫瑰之舞第3段</v>
      </c>
      <c r="C1212" t="s">
        <v>174</v>
      </c>
      <c r="D1212">
        <f t="shared" si="536"/>
        <v>3</v>
      </c>
      <c r="E1212" s="42">
        <f t="shared" ca="1" si="527"/>
        <v>61</v>
      </c>
      <c r="F1212" t="str">
        <f t="shared" ca="1" si="528"/>
        <v>第37级，共造成182%点伤害</v>
      </c>
      <c r="G1212">
        <f t="shared" ca="1" si="537"/>
        <v>3</v>
      </c>
      <c r="H1212">
        <f t="shared" si="538"/>
        <v>3</v>
      </c>
      <c r="I1212" s="44">
        <f t="shared" ca="1" si="539"/>
        <v>37</v>
      </c>
      <c r="J1212">
        <f t="shared" si="540"/>
        <v>2</v>
      </c>
      <c r="K1212" s="36">
        <f t="shared" ca="1" si="541"/>
        <v>36.402857142857144</v>
      </c>
      <c r="L1212" s="10">
        <f ca="1">AH1212*VLOOKUP(C1212,技能辅助查询表,技能配置辅助表!$T$1,FALSE)</f>
        <v>0</v>
      </c>
      <c r="M1212">
        <f t="shared" ca="1" si="525"/>
        <v>5040</v>
      </c>
      <c r="N1212" s="33">
        <f ca="1">CHOOSE(1,W1212*U1212,X1212*'[1]0、经济设定'!$C$18)</f>
        <v>102480</v>
      </c>
      <c r="O1212">
        <f t="shared" si="542"/>
        <v>2</v>
      </c>
      <c r="P1212">
        <f t="shared" si="543"/>
        <v>5</v>
      </c>
      <c r="Q1212">
        <f t="shared" si="544"/>
        <v>1</v>
      </c>
      <c r="R1212" s="2">
        <f t="shared" si="545"/>
        <v>7</v>
      </c>
      <c r="S1212" s="2">
        <f t="shared" si="546"/>
        <v>50</v>
      </c>
      <c r="T1212" s="2">
        <f t="shared" si="547"/>
        <v>26.571428571428573</v>
      </c>
      <c r="U1212" s="2">
        <f ca="1">VLOOKUP(E1212,金币生产率!$A$2:$B$120,2,0)</f>
        <v>2440</v>
      </c>
      <c r="V1212" s="2">
        <f t="shared" si="548"/>
        <v>132.85714285714286</v>
      </c>
      <c r="W1212" s="45">
        <f t="shared" ca="1" si="532"/>
        <v>42</v>
      </c>
      <c r="X1212" s="48">
        <f t="shared" ca="1" si="533"/>
        <v>589</v>
      </c>
      <c r="Y1212">
        <f t="shared" si="526"/>
        <v>18</v>
      </c>
      <c r="Z1212">
        <f t="shared" ca="1" si="529"/>
        <v>17</v>
      </c>
      <c r="AA1212" t="str">
        <f t="shared" ca="1" si="549"/>
        <v>9322300.png</v>
      </c>
      <c r="AB1212">
        <f t="shared" si="550"/>
        <v>4</v>
      </c>
      <c r="AC1212">
        <f>VLOOKUP(C1212,技能辅助查询表,技能配置辅助表!$W$1,FALSE)</f>
        <v>5332</v>
      </c>
      <c r="AD1212">
        <f t="shared" ca="1" si="530"/>
        <v>230.82407081681782</v>
      </c>
      <c r="AE1212">
        <f>VLOOKUP(C1212,技能辅助查询表,技能配置辅助表!$U$1,FALSE)</f>
        <v>4</v>
      </c>
      <c r="AF1212">
        <f t="shared" ca="1" si="551"/>
        <v>9322337</v>
      </c>
      <c r="AG1212">
        <f t="shared" ca="1" si="552"/>
        <v>60.632653061224488</v>
      </c>
      <c r="AH1212">
        <f t="shared" ca="1" si="531"/>
        <v>1407.2186863941167</v>
      </c>
      <c r="AI1212">
        <f ca="1">VLOOKUP(E1212,伤害参考系!$C$4:$E$104,3,FALSE)*$AN$12</f>
        <v>10863.360489130437</v>
      </c>
      <c r="AJ1212">
        <f>VLOOKUP(C1212,技能辅助查询表,技能配置辅助表!$L$1,FALSE)</f>
        <v>5</v>
      </c>
      <c r="AK1212">
        <f>VLOOKUP(C1212,技能辅助查询表,技能配置辅助表!$AE$1,FALSE)</f>
        <v>66000550</v>
      </c>
    </row>
    <row r="1213" spans="1:37" x14ac:dyDescent="0.15">
      <c r="A1213" s="1">
        <f t="shared" ca="1" si="534"/>
        <v>9322338</v>
      </c>
      <c r="B1213" s="1" t="str">
        <f t="shared" ca="1" si="535"/>
        <v>玫瑰之舞第3段</v>
      </c>
      <c r="C1213" t="s">
        <v>174</v>
      </c>
      <c r="D1213">
        <f t="shared" si="536"/>
        <v>3</v>
      </c>
      <c r="E1213" s="42">
        <f t="shared" ca="1" si="527"/>
        <v>62</v>
      </c>
      <c r="F1213" t="str">
        <f t="shared" ca="1" si="528"/>
        <v>第38级，共造成183.3%点伤害</v>
      </c>
      <c r="G1213">
        <f t="shared" ca="1" si="537"/>
        <v>3</v>
      </c>
      <c r="H1213">
        <f t="shared" si="538"/>
        <v>3</v>
      </c>
      <c r="I1213" s="44">
        <f t="shared" ca="1" si="539"/>
        <v>38</v>
      </c>
      <c r="J1213">
        <f t="shared" si="540"/>
        <v>2</v>
      </c>
      <c r="K1213" s="36">
        <f t="shared" ca="1" si="541"/>
        <v>36.668571428571433</v>
      </c>
      <c r="L1213" s="10">
        <f ca="1">AH1213*VLOOKUP(C1213,技能辅助查询表,技能配置辅助表!$T$1,FALSE)</f>
        <v>0</v>
      </c>
      <c r="M1213">
        <f t="shared" ca="1" si="525"/>
        <v>4960</v>
      </c>
      <c r="N1213" s="33">
        <f ca="1">CHOOSE(1,W1213*U1213,X1213*'[1]0、经济设定'!$C$18)</f>
        <v>113580</v>
      </c>
      <c r="O1213">
        <f t="shared" si="542"/>
        <v>2</v>
      </c>
      <c r="P1213">
        <f t="shared" si="543"/>
        <v>5</v>
      </c>
      <c r="Q1213">
        <f t="shared" si="544"/>
        <v>1</v>
      </c>
      <c r="R1213" s="2">
        <f t="shared" si="545"/>
        <v>7</v>
      </c>
      <c r="S1213" s="2">
        <f t="shared" si="546"/>
        <v>50</v>
      </c>
      <c r="T1213" s="2">
        <f t="shared" si="547"/>
        <v>26.571428571428573</v>
      </c>
      <c r="U1213" s="2">
        <f ca="1">VLOOKUP(E1213,金币生产率!$A$2:$B$120,2,0)</f>
        <v>2524</v>
      </c>
      <c r="V1213" s="2">
        <f t="shared" si="548"/>
        <v>132.85714285714286</v>
      </c>
      <c r="W1213" s="45">
        <f t="shared" ca="1" si="532"/>
        <v>45</v>
      </c>
      <c r="X1213" s="48">
        <f t="shared" ca="1" si="533"/>
        <v>634</v>
      </c>
      <c r="Y1213">
        <f t="shared" si="526"/>
        <v>18</v>
      </c>
      <c r="Z1213">
        <f t="shared" ca="1" si="529"/>
        <v>18</v>
      </c>
      <c r="AA1213" t="str">
        <f t="shared" ca="1" si="549"/>
        <v>9322300.png</v>
      </c>
      <c r="AB1213">
        <f t="shared" si="550"/>
        <v>4</v>
      </c>
      <c r="AC1213">
        <f>VLOOKUP(C1213,技能辅助查询表,技能配置辅助表!$W$1,FALSE)</f>
        <v>5332</v>
      </c>
      <c r="AD1213">
        <f t="shared" ca="1" si="530"/>
        <v>267.04716277898882</v>
      </c>
      <c r="AE1213">
        <f>VLOOKUP(C1213,技能辅助查询表,技能配置辅助表!$U$1,FALSE)</f>
        <v>4</v>
      </c>
      <c r="AF1213">
        <f t="shared" ca="1" si="551"/>
        <v>9322338</v>
      </c>
      <c r="AG1213">
        <f t="shared" ca="1" si="552"/>
        <v>62.122448979591837</v>
      </c>
      <c r="AH1213">
        <f t="shared" ca="1" si="531"/>
        <v>1602.0998795448415</v>
      </c>
      <c r="AI1213">
        <f ca="1">VLOOKUP(E1213,伤害参考系!$C$4:$E$104,3,FALSE)*$AN$12</f>
        <v>11398.657545150505</v>
      </c>
      <c r="AJ1213">
        <f>VLOOKUP(C1213,技能辅助查询表,技能配置辅助表!$L$1,FALSE)</f>
        <v>5</v>
      </c>
      <c r="AK1213">
        <f>VLOOKUP(C1213,技能辅助查询表,技能配置辅助表!$AE$1,FALSE)</f>
        <v>66000550</v>
      </c>
    </row>
    <row r="1214" spans="1:37" x14ac:dyDescent="0.15">
      <c r="A1214" s="1">
        <f t="shared" ca="1" si="534"/>
        <v>9322339</v>
      </c>
      <c r="B1214" s="1" t="str">
        <f t="shared" ca="1" si="535"/>
        <v>玫瑰之舞第3段</v>
      </c>
      <c r="C1214" t="s">
        <v>174</v>
      </c>
      <c r="D1214">
        <f t="shared" si="536"/>
        <v>3</v>
      </c>
      <c r="E1214" s="42">
        <f t="shared" ca="1" si="527"/>
        <v>64</v>
      </c>
      <c r="F1214" t="str">
        <f t="shared" ca="1" si="528"/>
        <v>第39级，共造成184.7%点伤害</v>
      </c>
      <c r="G1214">
        <f t="shared" ca="1" si="537"/>
        <v>3</v>
      </c>
      <c r="H1214">
        <f t="shared" si="538"/>
        <v>3</v>
      </c>
      <c r="I1214" s="44">
        <f t="shared" ca="1" si="539"/>
        <v>39</v>
      </c>
      <c r="J1214">
        <f t="shared" si="540"/>
        <v>2</v>
      </c>
      <c r="K1214" s="36">
        <f t="shared" ca="1" si="541"/>
        <v>36.934285714285714</v>
      </c>
      <c r="L1214" s="10">
        <f ca="1">AH1214*VLOOKUP(C1214,技能辅助查询表,技能配置辅助表!$T$1,FALSE)</f>
        <v>0</v>
      </c>
      <c r="M1214">
        <f t="shared" ca="1" si="525"/>
        <v>4880</v>
      </c>
      <c r="N1214" s="33">
        <f ca="1">CHOOSE(1,W1214*U1214,X1214*'[1]0、经济设定'!$C$18)</f>
        <v>129360</v>
      </c>
      <c r="O1214">
        <f t="shared" si="542"/>
        <v>2</v>
      </c>
      <c r="P1214">
        <f t="shared" si="543"/>
        <v>5</v>
      </c>
      <c r="Q1214">
        <f t="shared" si="544"/>
        <v>1</v>
      </c>
      <c r="R1214" s="2">
        <f t="shared" si="545"/>
        <v>7</v>
      </c>
      <c r="S1214" s="2">
        <f t="shared" si="546"/>
        <v>50</v>
      </c>
      <c r="T1214" s="2">
        <f t="shared" si="547"/>
        <v>26.571428571428573</v>
      </c>
      <c r="U1214" s="2">
        <f ca="1">VLOOKUP(E1214,金币生产率!$A$2:$B$120,2,0)</f>
        <v>2695</v>
      </c>
      <c r="V1214" s="2">
        <f t="shared" si="548"/>
        <v>132.85714285714286</v>
      </c>
      <c r="W1214" s="45">
        <f t="shared" ca="1" si="532"/>
        <v>48</v>
      </c>
      <c r="X1214" s="48">
        <f t="shared" ca="1" si="533"/>
        <v>682</v>
      </c>
      <c r="Y1214">
        <f t="shared" si="526"/>
        <v>18</v>
      </c>
      <c r="Z1214">
        <f t="shared" ca="1" si="529"/>
        <v>20</v>
      </c>
      <c r="AA1214" t="str">
        <f t="shared" ca="1" si="549"/>
        <v>9322300.png</v>
      </c>
      <c r="AB1214">
        <f t="shared" si="550"/>
        <v>4</v>
      </c>
      <c r="AC1214">
        <f>VLOOKUP(C1214,技能辅助查询表,技能配置辅助表!$W$1,FALSE)</f>
        <v>5332</v>
      </c>
      <c r="AD1214">
        <f t="shared" ca="1" si="530"/>
        <v>308.87621371878561</v>
      </c>
      <c r="AE1214">
        <f>VLOOKUP(C1214,技能辅助查询表,技能配置辅助表!$U$1,FALSE)</f>
        <v>4</v>
      </c>
      <c r="AF1214">
        <f t="shared" ca="1" si="551"/>
        <v>9322339</v>
      </c>
      <c r="AG1214">
        <f t="shared" ca="1" si="552"/>
        <v>63.612244897959187</v>
      </c>
      <c r="AH1214">
        <f t="shared" ca="1" si="531"/>
        <v>1823.9695427969455</v>
      </c>
      <c r="AI1214">
        <f ca="1">VLOOKUP(E1214,伤害参考系!$C$4:$E$104,3,FALSE)*$AN$12</f>
        <v>12506.737545150507</v>
      </c>
      <c r="AJ1214">
        <f>VLOOKUP(C1214,技能辅助查询表,技能配置辅助表!$L$1,FALSE)</f>
        <v>5</v>
      </c>
      <c r="AK1214">
        <f>VLOOKUP(C1214,技能辅助查询表,技能配置辅助表!$AE$1,FALSE)</f>
        <v>66000550</v>
      </c>
    </row>
    <row r="1215" spans="1:37" x14ac:dyDescent="0.15">
      <c r="A1215" s="1">
        <f t="shared" ca="1" si="534"/>
        <v>9322340</v>
      </c>
      <c r="B1215" s="1" t="str">
        <f t="shared" ca="1" si="535"/>
        <v>玫瑰之舞第3段</v>
      </c>
      <c r="C1215" t="s">
        <v>174</v>
      </c>
      <c r="D1215">
        <f t="shared" si="536"/>
        <v>3</v>
      </c>
      <c r="E1215" s="42">
        <f t="shared" ca="1" si="527"/>
        <v>65</v>
      </c>
      <c r="F1215" t="str">
        <f t="shared" ca="1" si="528"/>
        <v>第40级，共造成186%点伤害</v>
      </c>
      <c r="G1215">
        <f t="shared" ca="1" si="537"/>
        <v>3</v>
      </c>
      <c r="H1215">
        <f t="shared" si="538"/>
        <v>3</v>
      </c>
      <c r="I1215" s="44">
        <f t="shared" ca="1" si="539"/>
        <v>40</v>
      </c>
      <c r="J1215">
        <f t="shared" si="540"/>
        <v>2</v>
      </c>
      <c r="K1215" s="36">
        <f t="shared" ca="1" si="541"/>
        <v>37.200000000000003</v>
      </c>
      <c r="L1215" s="10">
        <f ca="1">AH1215*VLOOKUP(C1215,技能辅助查询表,技能配置辅助表!$T$1,FALSE)</f>
        <v>0</v>
      </c>
      <c r="M1215">
        <f t="shared" ca="1" si="525"/>
        <v>4800</v>
      </c>
      <c r="N1215" s="33">
        <f ca="1">CHOOSE(1,W1215*U1215,X1215*'[1]0、经济设定'!$C$18)</f>
        <v>141933</v>
      </c>
      <c r="O1215">
        <f t="shared" si="542"/>
        <v>2</v>
      </c>
      <c r="P1215">
        <f t="shared" si="543"/>
        <v>5</v>
      </c>
      <c r="Q1215">
        <f t="shared" si="544"/>
        <v>1</v>
      </c>
      <c r="R1215" s="2">
        <f t="shared" si="545"/>
        <v>7</v>
      </c>
      <c r="S1215" s="2">
        <f t="shared" si="546"/>
        <v>50</v>
      </c>
      <c r="T1215" s="2">
        <f t="shared" si="547"/>
        <v>26.571428571428573</v>
      </c>
      <c r="U1215" s="2">
        <f ca="1">VLOOKUP(E1215,金币生产率!$A$2:$B$120,2,0)</f>
        <v>2783</v>
      </c>
      <c r="V1215" s="2">
        <f t="shared" si="548"/>
        <v>132.85714285714286</v>
      </c>
      <c r="W1215" s="45">
        <f t="shared" ca="1" si="532"/>
        <v>51</v>
      </c>
      <c r="X1215" s="48">
        <f t="shared" ca="1" si="533"/>
        <v>733</v>
      </c>
      <c r="Y1215">
        <f t="shared" si="526"/>
        <v>18</v>
      </c>
      <c r="Z1215">
        <f t="shared" ca="1" si="529"/>
        <v>21</v>
      </c>
      <c r="AA1215" t="str">
        <f t="shared" ca="1" si="549"/>
        <v>9322300.png</v>
      </c>
      <c r="AB1215">
        <f t="shared" si="550"/>
        <v>4</v>
      </c>
      <c r="AC1215">
        <f>VLOOKUP(C1215,技能辅助查询表,技能配置辅助表!$W$1,FALSE)</f>
        <v>5332</v>
      </c>
      <c r="AD1215">
        <f t="shared" ca="1" si="530"/>
        <v>357.16921829325872</v>
      </c>
      <c r="AE1215">
        <f>VLOOKUP(C1215,技能辅助查询表,技能配置辅助表!$U$1,FALSE)</f>
        <v>4</v>
      </c>
      <c r="AF1215">
        <f t="shared" ca="1" si="551"/>
        <v>9322340</v>
      </c>
      <c r="AG1215">
        <f t="shared" ca="1" si="552"/>
        <v>65.102040816326536</v>
      </c>
      <c r="AH1215">
        <f t="shared" ca="1" si="531"/>
        <v>2076.5652226352254</v>
      </c>
      <c r="AI1215">
        <f ca="1">VLOOKUP(E1215,伤害参考系!$C$4:$E$104,3,FALSE)*$AN$12</f>
        <v>13079.520489130437</v>
      </c>
      <c r="AJ1215">
        <f>VLOOKUP(C1215,技能辅助查询表,技能配置辅助表!$L$1,FALSE)</f>
        <v>5</v>
      </c>
      <c r="AK1215">
        <f>VLOOKUP(C1215,技能辅助查询表,技能配置辅助表!$AE$1,FALSE)</f>
        <v>66000550</v>
      </c>
    </row>
    <row r="1216" spans="1:37" x14ac:dyDescent="0.15">
      <c r="A1216" s="1">
        <f t="shared" ca="1" si="534"/>
        <v>9322341</v>
      </c>
      <c r="B1216" s="1" t="str">
        <f t="shared" ca="1" si="535"/>
        <v>玫瑰之舞第3段</v>
      </c>
      <c r="C1216" t="s">
        <v>174</v>
      </c>
      <c r="D1216">
        <f t="shared" si="536"/>
        <v>3</v>
      </c>
      <c r="E1216" s="42">
        <f t="shared" ca="1" si="527"/>
        <v>67</v>
      </c>
      <c r="F1216" t="str">
        <f t="shared" ca="1" si="528"/>
        <v>第41级，共造成187.3%点伤害</v>
      </c>
      <c r="G1216">
        <f t="shared" ca="1" si="537"/>
        <v>3</v>
      </c>
      <c r="H1216">
        <f t="shared" si="538"/>
        <v>3</v>
      </c>
      <c r="I1216" s="44">
        <f t="shared" ca="1" si="539"/>
        <v>41</v>
      </c>
      <c r="J1216">
        <f t="shared" si="540"/>
        <v>2</v>
      </c>
      <c r="K1216" s="36">
        <f t="shared" ca="1" si="541"/>
        <v>37.465714285714284</v>
      </c>
      <c r="L1216" s="10">
        <f ca="1">AH1216*VLOOKUP(C1216,技能辅助查询表,技能配置辅助表!$T$1,FALSE)</f>
        <v>0</v>
      </c>
      <c r="M1216">
        <f t="shared" ca="1" si="525"/>
        <v>4720</v>
      </c>
      <c r="N1216" s="33">
        <f ca="1">CHOOSE(1,W1216*U1216,X1216*'[1]0、经济设定'!$C$18)</f>
        <v>162965</v>
      </c>
      <c r="O1216">
        <f t="shared" si="542"/>
        <v>2</v>
      </c>
      <c r="P1216">
        <f t="shared" si="543"/>
        <v>5</v>
      </c>
      <c r="Q1216">
        <f t="shared" si="544"/>
        <v>1</v>
      </c>
      <c r="R1216" s="2">
        <f t="shared" si="545"/>
        <v>7</v>
      </c>
      <c r="S1216" s="2">
        <f t="shared" si="546"/>
        <v>50</v>
      </c>
      <c r="T1216" s="2">
        <f t="shared" si="547"/>
        <v>26.571428571428573</v>
      </c>
      <c r="U1216" s="2">
        <f ca="1">VLOOKUP(E1216,金币生产率!$A$2:$B$120,2,0)</f>
        <v>2963</v>
      </c>
      <c r="V1216" s="2">
        <f t="shared" si="548"/>
        <v>132.85714285714286</v>
      </c>
      <c r="W1216" s="45">
        <f t="shared" ca="1" si="532"/>
        <v>55</v>
      </c>
      <c r="X1216" s="48">
        <f t="shared" ca="1" si="533"/>
        <v>788</v>
      </c>
      <c r="Y1216">
        <f t="shared" si="526"/>
        <v>18</v>
      </c>
      <c r="Z1216">
        <f t="shared" ca="1" si="529"/>
        <v>22</v>
      </c>
      <c r="AA1216" t="str">
        <f t="shared" ca="1" si="549"/>
        <v>9322300.png</v>
      </c>
      <c r="AB1216">
        <f t="shared" si="550"/>
        <v>4</v>
      </c>
      <c r="AC1216">
        <f>VLOOKUP(C1216,技能辅助查询表,技能配置辅助表!$W$1,FALSE)</f>
        <v>5332</v>
      </c>
      <c r="AD1216">
        <f t="shared" ca="1" si="530"/>
        <v>412.91429861617689</v>
      </c>
      <c r="AE1216">
        <f>VLOOKUP(C1216,技能辅助查询表,技能配置辅助表!$U$1,FALSE)</f>
        <v>4</v>
      </c>
      <c r="AF1216">
        <f t="shared" ca="1" si="551"/>
        <v>9322341</v>
      </c>
      <c r="AG1216">
        <f t="shared" ca="1" si="552"/>
        <v>66.591836734693885</v>
      </c>
      <c r="AH1216">
        <f t="shared" ca="1" si="531"/>
        <v>2364.1420663448707</v>
      </c>
      <c r="AI1216">
        <f ca="1">VLOOKUP(E1216,伤害参考系!$C$4:$E$104,3,FALSE)*$AN$12</f>
        <v>14262.572265050176</v>
      </c>
      <c r="AJ1216">
        <f>VLOOKUP(C1216,技能辅助查询表,技能配置辅助表!$L$1,FALSE)</f>
        <v>5</v>
      </c>
      <c r="AK1216">
        <f>VLOOKUP(C1216,技能辅助查询表,技能配置辅助表!$AE$1,FALSE)</f>
        <v>66000550</v>
      </c>
    </row>
    <row r="1217" spans="1:37" x14ac:dyDescent="0.15">
      <c r="A1217" s="1">
        <f t="shared" ca="1" si="534"/>
        <v>9322342</v>
      </c>
      <c r="B1217" s="1" t="str">
        <f t="shared" ca="1" si="535"/>
        <v>玫瑰之舞第3段</v>
      </c>
      <c r="C1217" t="s">
        <v>174</v>
      </c>
      <c r="D1217">
        <f t="shared" si="536"/>
        <v>3</v>
      </c>
      <c r="E1217" s="42">
        <f t="shared" ca="1" si="527"/>
        <v>68</v>
      </c>
      <c r="F1217" t="str">
        <f t="shared" ca="1" si="528"/>
        <v>第42级，共造成188.7%点伤害</v>
      </c>
      <c r="G1217">
        <f t="shared" ca="1" si="537"/>
        <v>3</v>
      </c>
      <c r="H1217">
        <f t="shared" si="538"/>
        <v>3</v>
      </c>
      <c r="I1217" s="44">
        <f t="shared" ca="1" si="539"/>
        <v>42</v>
      </c>
      <c r="J1217">
        <f t="shared" si="540"/>
        <v>2</v>
      </c>
      <c r="K1217" s="36">
        <f t="shared" ca="1" si="541"/>
        <v>37.731428571428573</v>
      </c>
      <c r="L1217" s="10">
        <f ca="1">AH1217*VLOOKUP(C1217,技能辅助查询表,技能配置辅助表!$T$1,FALSE)</f>
        <v>0</v>
      </c>
      <c r="M1217">
        <f t="shared" ca="1" si="525"/>
        <v>4640</v>
      </c>
      <c r="N1217" s="33">
        <f ca="1">CHOOSE(1,W1217*U1217,X1217*'[1]0、经济设定'!$C$18)</f>
        <v>177132</v>
      </c>
      <c r="O1217">
        <f t="shared" si="542"/>
        <v>2</v>
      </c>
      <c r="P1217">
        <f t="shared" si="543"/>
        <v>5</v>
      </c>
      <c r="Q1217">
        <f t="shared" si="544"/>
        <v>1</v>
      </c>
      <c r="R1217" s="2">
        <f t="shared" si="545"/>
        <v>7</v>
      </c>
      <c r="S1217" s="2">
        <f t="shared" si="546"/>
        <v>50</v>
      </c>
      <c r="T1217" s="2">
        <f t="shared" si="547"/>
        <v>26.571428571428573</v>
      </c>
      <c r="U1217" s="2">
        <f ca="1">VLOOKUP(E1217,金币生产率!$A$2:$B$120,2,0)</f>
        <v>3054</v>
      </c>
      <c r="V1217" s="2">
        <f t="shared" si="548"/>
        <v>132.85714285714286</v>
      </c>
      <c r="W1217" s="45">
        <f t="shared" ca="1" si="532"/>
        <v>58</v>
      </c>
      <c r="X1217" s="48">
        <f t="shared" ca="1" si="533"/>
        <v>846</v>
      </c>
      <c r="Y1217">
        <f t="shared" si="526"/>
        <v>18</v>
      </c>
      <c r="Z1217">
        <f t="shared" ca="1" si="529"/>
        <v>24</v>
      </c>
      <c r="AA1217" t="str">
        <f t="shared" ca="1" si="549"/>
        <v>9322300.png</v>
      </c>
      <c r="AB1217">
        <f t="shared" si="550"/>
        <v>4</v>
      </c>
      <c r="AC1217">
        <f>VLOOKUP(C1217,技能辅助查询表,技能配置辅助表!$W$1,FALSE)</f>
        <v>5332</v>
      </c>
      <c r="AD1217">
        <f t="shared" ca="1" si="530"/>
        <v>477.24929099687233</v>
      </c>
      <c r="AE1217">
        <f>VLOOKUP(C1217,技能辅助查询表,技能配置辅助表!$U$1,FALSE)</f>
        <v>4</v>
      </c>
      <c r="AF1217">
        <f t="shared" ca="1" si="551"/>
        <v>9322342</v>
      </c>
      <c r="AG1217">
        <f t="shared" ca="1" si="552"/>
        <v>68.081632653061234</v>
      </c>
      <c r="AH1217">
        <f t="shared" ca="1" si="531"/>
        <v>2691.5445028827789</v>
      </c>
      <c r="AI1217">
        <f ca="1">VLOOKUP(E1217,伤害参考系!$C$4:$E$104,3,FALSE)*$AN$12</f>
        <v>14872.841096989978</v>
      </c>
      <c r="AJ1217">
        <f>VLOOKUP(C1217,技能辅助查询表,技能配置辅助表!$L$1,FALSE)</f>
        <v>5</v>
      </c>
      <c r="AK1217">
        <f>VLOOKUP(C1217,技能辅助查询表,技能配置辅助表!$AE$1,FALSE)</f>
        <v>66000550</v>
      </c>
    </row>
    <row r="1218" spans="1:37" x14ac:dyDescent="0.15">
      <c r="A1218" s="1">
        <f t="shared" ca="1" si="534"/>
        <v>9322343</v>
      </c>
      <c r="B1218" s="1" t="str">
        <f t="shared" ca="1" si="535"/>
        <v>玫瑰之舞第3段</v>
      </c>
      <c r="C1218" t="s">
        <v>174</v>
      </c>
      <c r="D1218">
        <f t="shared" si="536"/>
        <v>3</v>
      </c>
      <c r="E1218" s="42">
        <f t="shared" ca="1" si="527"/>
        <v>70</v>
      </c>
      <c r="F1218" t="str">
        <f t="shared" ca="1" si="528"/>
        <v>第43级，共造成190%点伤害</v>
      </c>
      <c r="G1218">
        <f t="shared" ca="1" si="537"/>
        <v>3</v>
      </c>
      <c r="H1218">
        <f t="shared" si="538"/>
        <v>3</v>
      </c>
      <c r="I1218" s="44">
        <f t="shared" ca="1" si="539"/>
        <v>43</v>
      </c>
      <c r="J1218">
        <f t="shared" si="540"/>
        <v>2</v>
      </c>
      <c r="K1218" s="36">
        <f t="shared" ca="1" si="541"/>
        <v>37.997142857142862</v>
      </c>
      <c r="L1218" s="39">
        <f ca="1">AH1218*VLOOKUP(C1218,技能辅助查询表,技能配置辅助表!$T$1,FALSE)</f>
        <v>0</v>
      </c>
      <c r="M1218">
        <f t="shared" ref="M1218:M1281" ca="1" si="553">IF(OR(I1218=0,I1218=1),VLOOKUP(C1218,技能辅助查询表,14,FALSE),VLOOKUP(C1218,技能辅助查询表,14,FALSE)-VLOOKUP(C1218,技能辅助查询表,14,FALSE)*0.5/S1218*I1218)</f>
        <v>4560</v>
      </c>
      <c r="N1218" s="33">
        <f ca="1">CHOOSE(1,W1218*U1218,X1218*'[1]0、经济设定'!$C$18)</f>
        <v>204246</v>
      </c>
      <c r="O1218">
        <f t="shared" si="542"/>
        <v>2</v>
      </c>
      <c r="P1218">
        <f t="shared" si="543"/>
        <v>5</v>
      </c>
      <c r="Q1218">
        <f t="shared" si="544"/>
        <v>1</v>
      </c>
      <c r="R1218" s="2">
        <f t="shared" si="545"/>
        <v>7</v>
      </c>
      <c r="S1218" s="2">
        <f t="shared" si="546"/>
        <v>50</v>
      </c>
      <c r="T1218" s="2">
        <f t="shared" si="547"/>
        <v>26.571428571428573</v>
      </c>
      <c r="U1218" s="2">
        <f ca="1">VLOOKUP(E1218,金币生产率!$A$2:$B$120,2,0)</f>
        <v>3242</v>
      </c>
      <c r="V1218" s="2">
        <f t="shared" si="548"/>
        <v>132.85714285714286</v>
      </c>
      <c r="W1218" s="45">
        <f t="shared" ca="1" si="532"/>
        <v>63</v>
      </c>
      <c r="X1218" s="48">
        <f t="shared" ca="1" si="533"/>
        <v>909</v>
      </c>
      <c r="Y1218">
        <f t="shared" ref="Y1218:Y1281" si="554">VLOOKUP(C1218,技能辅助查询表,15,FALSE)</f>
        <v>18</v>
      </c>
      <c r="Z1218">
        <f t="shared" ca="1" si="529"/>
        <v>26</v>
      </c>
      <c r="AA1218" t="str">
        <f t="shared" ca="1" si="549"/>
        <v>9322300.png</v>
      </c>
      <c r="AB1218">
        <f t="shared" si="550"/>
        <v>4</v>
      </c>
      <c r="AC1218">
        <f>VLOOKUP(C1218,技能辅助查询表,技能配置辅助表!$W$1,FALSE)</f>
        <v>5332</v>
      </c>
      <c r="AD1218">
        <f t="shared" ca="1" si="530"/>
        <v>551.48426202697658</v>
      </c>
      <c r="AE1218">
        <f>VLOOKUP(C1218,技能辅助查询表,技能配置辅助表!$U$1,FALSE)</f>
        <v>4</v>
      </c>
      <c r="AF1218">
        <f t="shared" ca="1" si="551"/>
        <v>9322343</v>
      </c>
      <c r="AG1218">
        <f t="shared" ca="1" si="552"/>
        <v>69.571428571428569</v>
      </c>
      <c r="AH1218">
        <f t="shared" ca="1" si="531"/>
        <v>3064.2878506023458</v>
      </c>
      <c r="AI1218">
        <f ca="1">VLOOKUP(E1218,伤害参考系!$C$4:$E$104,3,FALSE)*$AN$12</f>
        <v>16191.966408862889</v>
      </c>
      <c r="AJ1218">
        <f>VLOOKUP(C1218,技能辅助查询表,技能配置辅助表!$L$1,FALSE)</f>
        <v>5</v>
      </c>
      <c r="AK1218">
        <f>VLOOKUP(C1218,技能辅助查询表,技能配置辅助表!$AE$1,FALSE)</f>
        <v>66000550</v>
      </c>
    </row>
    <row r="1219" spans="1:37" x14ac:dyDescent="0.15">
      <c r="A1219" s="1">
        <f t="shared" ca="1" si="534"/>
        <v>9322344</v>
      </c>
      <c r="B1219" s="1" t="str">
        <f t="shared" ca="1" si="535"/>
        <v>玫瑰之舞第3段</v>
      </c>
      <c r="C1219" t="s">
        <v>174</v>
      </c>
      <c r="D1219">
        <f t="shared" si="536"/>
        <v>3</v>
      </c>
      <c r="E1219" s="42">
        <f t="shared" ref="E1219:E1282" ca="1" si="555">IF(I1219=0,E1220,IF(AND(I1219=1,G1219&gt;1),OFFSET(E1219,(1-G1219)*51,0),IF(OR(I1219=1,AND(I1219=2,R1219=2)),R1219,IF(I1219=0,0,ROUND(I1219*(80-R1219)/S1219,0)+R1219))))</f>
        <v>71</v>
      </c>
      <c r="F1219" t="str">
        <f t="shared" ref="F1219:F1282" ca="1" si="556">"第"&amp;I1219&amp;"级，共造成"&amp;ROUND(AJ1219*K1219,1)&amp;"%点伤害"</f>
        <v>第44级，共造成191.3%点伤害</v>
      </c>
      <c r="G1219">
        <f t="shared" ca="1" si="537"/>
        <v>3</v>
      </c>
      <c r="H1219">
        <f t="shared" si="538"/>
        <v>3</v>
      </c>
      <c r="I1219" s="44">
        <f t="shared" ca="1" si="539"/>
        <v>44</v>
      </c>
      <c r="J1219">
        <f t="shared" si="540"/>
        <v>2</v>
      </c>
      <c r="K1219" s="36">
        <f t="shared" ca="1" si="541"/>
        <v>38.262857142857143</v>
      </c>
      <c r="L1219" s="10">
        <f ca="1">AH1219*VLOOKUP(C1219,技能辅助查询表,技能配置辅助表!$T$1,FALSE)</f>
        <v>0</v>
      </c>
      <c r="M1219">
        <f t="shared" ca="1" si="553"/>
        <v>4480</v>
      </c>
      <c r="N1219" s="33">
        <f ca="1">CHOOSE(1,W1219*U1219,X1219*'[1]0、经济设定'!$C$18)</f>
        <v>223646</v>
      </c>
      <c r="O1219">
        <f t="shared" si="542"/>
        <v>2</v>
      </c>
      <c r="P1219">
        <f t="shared" si="543"/>
        <v>5</v>
      </c>
      <c r="Q1219">
        <f t="shared" si="544"/>
        <v>1</v>
      </c>
      <c r="R1219" s="2">
        <f t="shared" si="545"/>
        <v>7</v>
      </c>
      <c r="S1219" s="2">
        <f t="shared" si="546"/>
        <v>50</v>
      </c>
      <c r="T1219" s="2">
        <f t="shared" si="547"/>
        <v>26.571428571428573</v>
      </c>
      <c r="U1219" s="2">
        <f ca="1">VLOOKUP(E1219,金币生产率!$A$2:$B$120,2,0)</f>
        <v>3338</v>
      </c>
      <c r="V1219" s="2">
        <f t="shared" si="548"/>
        <v>132.85714285714286</v>
      </c>
      <c r="W1219" s="45">
        <f t="shared" ca="1" si="532"/>
        <v>67</v>
      </c>
      <c r="X1219" s="48">
        <f t="shared" ca="1" si="533"/>
        <v>976</v>
      </c>
      <c r="Y1219">
        <f t="shared" si="554"/>
        <v>18</v>
      </c>
      <c r="Z1219">
        <f t="shared" ref="Z1219:Z1282" ca="1" si="557">IF(I1219&gt;=Y1219,ROUNDUP(W1219/$AN$15,0),0)</f>
        <v>27</v>
      </c>
      <c r="AA1219" t="str">
        <f t="shared" ca="1" si="549"/>
        <v>9322300.png</v>
      </c>
      <c r="AB1219">
        <f t="shared" si="550"/>
        <v>4</v>
      </c>
      <c r="AC1219">
        <f>VLOOKUP(C1219,技能辅助查询表,技能配置辅助表!$W$1,FALSE)</f>
        <v>5332</v>
      </c>
      <c r="AD1219">
        <f t="shared" ref="AD1219:AD1282" ca="1" si="558">((AH1219*K1219/100+L1219)*AJ1219-AH1219)/5</f>
        <v>637.12738972097111</v>
      </c>
      <c r="AE1219">
        <f>VLOOKUP(C1219,技能辅助查询表,技能配置辅助表!$U$1,FALSE)</f>
        <v>4</v>
      </c>
      <c r="AF1219">
        <f t="shared" ca="1" si="551"/>
        <v>9322344</v>
      </c>
      <c r="AG1219">
        <f t="shared" ca="1" si="552"/>
        <v>71.061224489795919</v>
      </c>
      <c r="AH1219">
        <f t="shared" ref="AH1219:AH1282" ca="1" si="559">(19.323*EXP(I1219*0.1297))*$AN$12</f>
        <v>3488.6512265697725</v>
      </c>
      <c r="AI1219">
        <f ca="1">VLOOKUP(E1219,伤害参考系!$C$4:$E$104,3,FALSE)*$AN$12</f>
        <v>16902.905438127098</v>
      </c>
      <c r="AJ1219">
        <f>VLOOKUP(C1219,技能辅助查询表,技能配置辅助表!$L$1,FALSE)</f>
        <v>5</v>
      </c>
      <c r="AK1219">
        <f>VLOOKUP(C1219,技能辅助查询表,技能配置辅助表!$AE$1,FALSE)</f>
        <v>66000550</v>
      </c>
    </row>
    <row r="1220" spans="1:37" x14ac:dyDescent="0.15">
      <c r="A1220" s="1">
        <f t="shared" ca="1" si="534"/>
        <v>9322345</v>
      </c>
      <c r="B1220" s="1" t="str">
        <f t="shared" ca="1" si="535"/>
        <v>玫瑰之舞第3段</v>
      </c>
      <c r="C1220" t="s">
        <v>174</v>
      </c>
      <c r="D1220">
        <f t="shared" si="536"/>
        <v>3</v>
      </c>
      <c r="E1220" s="42">
        <f t="shared" ca="1" si="555"/>
        <v>73</v>
      </c>
      <c r="F1220" t="str">
        <f t="shared" ca="1" si="556"/>
        <v>第45级，共造成192.6%点伤害</v>
      </c>
      <c r="G1220">
        <f t="shared" ca="1" si="537"/>
        <v>3</v>
      </c>
      <c r="H1220">
        <f t="shared" si="538"/>
        <v>3</v>
      </c>
      <c r="I1220" s="44">
        <f t="shared" ca="1" si="539"/>
        <v>45</v>
      </c>
      <c r="J1220">
        <f t="shared" si="540"/>
        <v>2</v>
      </c>
      <c r="K1220" s="36">
        <f t="shared" ca="1" si="541"/>
        <v>38.528571428571432</v>
      </c>
      <c r="L1220" s="10">
        <f ca="1">AH1220*VLOOKUP(C1220,技能辅助查询表,技能配置辅助表!$T$1,FALSE)</f>
        <v>0</v>
      </c>
      <c r="M1220">
        <f t="shared" ca="1" si="553"/>
        <v>4400</v>
      </c>
      <c r="N1220" s="33">
        <f ca="1">CHOOSE(1,W1220*U1220,X1220*'[1]0、经济设定'!$C$18)</f>
        <v>254448</v>
      </c>
      <c r="O1220">
        <f t="shared" si="542"/>
        <v>2</v>
      </c>
      <c r="P1220">
        <f t="shared" si="543"/>
        <v>5</v>
      </c>
      <c r="Q1220">
        <f t="shared" si="544"/>
        <v>1</v>
      </c>
      <c r="R1220" s="2">
        <f t="shared" si="545"/>
        <v>7</v>
      </c>
      <c r="S1220" s="2">
        <f t="shared" si="546"/>
        <v>50</v>
      </c>
      <c r="T1220" s="2">
        <f t="shared" si="547"/>
        <v>26.571428571428573</v>
      </c>
      <c r="U1220" s="2">
        <f ca="1">VLOOKUP(E1220,金币生产率!$A$2:$B$120,2,0)</f>
        <v>3534</v>
      </c>
      <c r="V1220" s="2">
        <f t="shared" si="548"/>
        <v>132.85714285714286</v>
      </c>
      <c r="W1220" s="45">
        <f t="shared" ref="W1220:W1283" ca="1" si="560">ROUND((IF(I1220=0,0,ROUND(OFFSET(AD1220,S1220-I1220+510*(1-D1220),0)*(1-$AN$13)/(1-$AN$13^S1220)*$AN$13^(I1220-1),0))+IF(I1220=0,0,ROUND(OFFSET(AD1220,S1220-I1220+510*(2-D1220),0)*(1-$AN$13)/(1-$AN$13^S1220)*$AN$13^(I1220-1),0))+IF(I1220=0,0,ROUND(OFFSET(AD1220,S1220-I1220+510*(3-D1220),0)*(1-$AN$13)/(1-$AN$13^S1220)*$AN$13^(I1220-1),0)))/3,0)</f>
        <v>72</v>
      </c>
      <c r="X1220" s="48">
        <f t="shared" ref="X1220:X1283" ca="1" si="561">IF(I1220=0,0,X1219+W1220)</f>
        <v>1048</v>
      </c>
      <c r="Y1220">
        <f t="shared" si="554"/>
        <v>18</v>
      </c>
      <c r="Z1220">
        <f t="shared" ca="1" si="557"/>
        <v>29</v>
      </c>
      <c r="AA1220" t="str">
        <f t="shared" ca="1" si="549"/>
        <v>9322300.png</v>
      </c>
      <c r="AB1220">
        <f t="shared" si="550"/>
        <v>4</v>
      </c>
      <c r="AC1220">
        <f>VLOOKUP(C1220,技能辅助查询表,技能配置辅助表!$W$1,FALSE)</f>
        <v>5332</v>
      </c>
      <c r="AD1220">
        <f t="shared" ca="1" si="558"/>
        <v>735.91470991473375</v>
      </c>
      <c r="AE1220">
        <f>VLOOKUP(C1220,技能辅助查询表,技能配置辅助表!$U$1,FALSE)</f>
        <v>4</v>
      </c>
      <c r="AF1220">
        <f t="shared" ca="1" si="551"/>
        <v>9322345</v>
      </c>
      <c r="AG1220">
        <f t="shared" ca="1" si="552"/>
        <v>72.551020408163268</v>
      </c>
      <c r="AH1220">
        <f t="shared" ca="1" si="559"/>
        <v>3971.7833225930094</v>
      </c>
      <c r="AI1220">
        <f ca="1">VLOOKUP(E1220,伤害参考系!$C$4:$E$104,3,FALSE)*$AN$12</f>
        <v>18368.517032608706</v>
      </c>
      <c r="AJ1220">
        <f>VLOOKUP(C1220,技能辅助查询表,技能配置辅助表!$L$1,FALSE)</f>
        <v>5</v>
      </c>
      <c r="AK1220">
        <f>VLOOKUP(C1220,技能辅助查询表,技能配置辅助表!$AE$1,FALSE)</f>
        <v>66000550</v>
      </c>
    </row>
    <row r="1221" spans="1:37" x14ac:dyDescent="0.15">
      <c r="A1221" s="1">
        <f t="shared" ca="1" si="534"/>
        <v>9322346</v>
      </c>
      <c r="B1221" s="1" t="str">
        <f t="shared" ca="1" si="535"/>
        <v>玫瑰之舞第3段</v>
      </c>
      <c r="C1221" t="s">
        <v>174</v>
      </c>
      <c r="D1221">
        <f t="shared" si="536"/>
        <v>3</v>
      </c>
      <c r="E1221" s="42">
        <f t="shared" ca="1" si="555"/>
        <v>74</v>
      </c>
      <c r="F1221" t="str">
        <f t="shared" ca="1" si="556"/>
        <v>第46级，共造成194%点伤害</v>
      </c>
      <c r="G1221">
        <f t="shared" ca="1" si="537"/>
        <v>3</v>
      </c>
      <c r="H1221">
        <f t="shared" si="538"/>
        <v>3</v>
      </c>
      <c r="I1221" s="44">
        <f t="shared" ca="1" si="539"/>
        <v>46</v>
      </c>
      <c r="J1221">
        <f t="shared" si="540"/>
        <v>2</v>
      </c>
      <c r="K1221" s="36">
        <f t="shared" ca="1" si="541"/>
        <v>38.794285714285721</v>
      </c>
      <c r="L1221" s="10">
        <f ca="1">AH1221*VLOOKUP(C1221,技能辅助查询表,技能配置辅助表!$T$1,FALSE)</f>
        <v>0</v>
      </c>
      <c r="M1221">
        <f t="shared" ca="1" si="553"/>
        <v>4320</v>
      </c>
      <c r="N1221" s="33">
        <f ca="1">CHOOSE(1,W1221*U1221,X1221*'[1]0、经济设定'!$C$18)</f>
        <v>279818</v>
      </c>
      <c r="O1221">
        <f t="shared" si="542"/>
        <v>2</v>
      </c>
      <c r="P1221">
        <f t="shared" si="543"/>
        <v>5</v>
      </c>
      <c r="Q1221">
        <f t="shared" si="544"/>
        <v>1</v>
      </c>
      <c r="R1221" s="2">
        <f t="shared" si="545"/>
        <v>7</v>
      </c>
      <c r="S1221" s="2">
        <f t="shared" si="546"/>
        <v>50</v>
      </c>
      <c r="T1221" s="2">
        <f t="shared" si="547"/>
        <v>26.571428571428573</v>
      </c>
      <c r="U1221" s="2">
        <f ca="1">VLOOKUP(E1221,金币生产率!$A$2:$B$120,2,0)</f>
        <v>3634</v>
      </c>
      <c r="V1221" s="2">
        <f t="shared" si="548"/>
        <v>132.85714285714286</v>
      </c>
      <c r="W1221" s="45">
        <f t="shared" ca="1" si="560"/>
        <v>77</v>
      </c>
      <c r="X1221" s="48">
        <f t="shared" ca="1" si="561"/>
        <v>1125</v>
      </c>
      <c r="Y1221">
        <f t="shared" si="554"/>
        <v>18</v>
      </c>
      <c r="Z1221">
        <f t="shared" ca="1" si="557"/>
        <v>31</v>
      </c>
      <c r="AA1221" t="str">
        <f t="shared" ca="1" si="549"/>
        <v>9322300.png</v>
      </c>
      <c r="AB1221">
        <f t="shared" si="550"/>
        <v>4</v>
      </c>
      <c r="AC1221">
        <f>VLOOKUP(C1221,技能辅助查询表,技能配置辅助表!$W$1,FALSE)</f>
        <v>5332</v>
      </c>
      <c r="AD1221">
        <f t="shared" ca="1" si="558"/>
        <v>849.84430213260771</v>
      </c>
      <c r="AE1221">
        <f>VLOOKUP(C1221,技能辅助查询表,技能配置辅助表!$U$1,FALSE)</f>
        <v>4</v>
      </c>
      <c r="AF1221">
        <f t="shared" ca="1" si="551"/>
        <v>9322346</v>
      </c>
      <c r="AG1221">
        <f t="shared" ca="1" si="552"/>
        <v>74.040816326530617</v>
      </c>
      <c r="AH1221">
        <f t="shared" ca="1" si="559"/>
        <v>4521.8228298329677</v>
      </c>
      <c r="AI1221">
        <f ca="1">VLOOKUP(E1221,伤害参考系!$C$4:$E$104,3,FALSE)*$AN$12</f>
        <v>19123.189597826095</v>
      </c>
      <c r="AJ1221">
        <f>VLOOKUP(C1221,技能辅助查询表,技能配置辅助表!$L$1,FALSE)</f>
        <v>5</v>
      </c>
      <c r="AK1221">
        <f>VLOOKUP(C1221,技能辅助查询表,技能配置辅助表!$AE$1,FALSE)</f>
        <v>66000550</v>
      </c>
    </row>
    <row r="1222" spans="1:37" x14ac:dyDescent="0.15">
      <c r="A1222" s="1">
        <f t="shared" ca="1" si="534"/>
        <v>9322347</v>
      </c>
      <c r="B1222" s="1" t="str">
        <f t="shared" ca="1" si="535"/>
        <v>玫瑰之舞第3段</v>
      </c>
      <c r="C1222" t="s">
        <v>174</v>
      </c>
      <c r="D1222">
        <f t="shared" si="536"/>
        <v>3</v>
      </c>
      <c r="E1222" s="42">
        <f t="shared" ca="1" si="555"/>
        <v>76</v>
      </c>
      <c r="F1222" t="str">
        <f t="shared" ca="1" si="556"/>
        <v>第47级，共造成195.3%点伤害</v>
      </c>
      <c r="G1222">
        <f t="shared" ca="1" si="537"/>
        <v>3</v>
      </c>
      <c r="H1222">
        <f t="shared" si="538"/>
        <v>3</v>
      </c>
      <c r="I1222" s="44">
        <f t="shared" ca="1" si="539"/>
        <v>47</v>
      </c>
      <c r="J1222">
        <f t="shared" si="540"/>
        <v>2</v>
      </c>
      <c r="K1222" s="36">
        <f t="shared" ca="1" si="541"/>
        <v>39.06</v>
      </c>
      <c r="L1222" s="10">
        <f ca="1">AH1222*VLOOKUP(C1222,技能辅助查询表,技能配置辅助表!$T$1,FALSE)</f>
        <v>0</v>
      </c>
      <c r="M1222">
        <f t="shared" ca="1" si="553"/>
        <v>4240</v>
      </c>
      <c r="N1222" s="33">
        <f ca="1">CHOOSE(1,W1222*U1222,X1222*'[1]0、经济设定'!$C$18)</f>
        <v>314716</v>
      </c>
      <c r="O1222">
        <f t="shared" si="542"/>
        <v>2</v>
      </c>
      <c r="P1222">
        <f t="shared" si="543"/>
        <v>5</v>
      </c>
      <c r="Q1222">
        <f t="shared" si="544"/>
        <v>1</v>
      </c>
      <c r="R1222" s="2">
        <f t="shared" si="545"/>
        <v>7</v>
      </c>
      <c r="S1222" s="2">
        <f t="shared" si="546"/>
        <v>50</v>
      </c>
      <c r="T1222" s="2">
        <f t="shared" si="547"/>
        <v>26.571428571428573</v>
      </c>
      <c r="U1222" s="2">
        <f ca="1">VLOOKUP(E1222,金币生产率!$A$2:$B$120,2,0)</f>
        <v>3838</v>
      </c>
      <c r="V1222" s="2">
        <f t="shared" si="548"/>
        <v>132.85714285714286</v>
      </c>
      <c r="W1222" s="45">
        <f t="shared" ca="1" si="560"/>
        <v>82</v>
      </c>
      <c r="X1222" s="48">
        <f t="shared" ca="1" si="561"/>
        <v>1207</v>
      </c>
      <c r="Y1222">
        <f t="shared" si="554"/>
        <v>18</v>
      </c>
      <c r="Z1222">
        <f t="shared" ca="1" si="557"/>
        <v>33</v>
      </c>
      <c r="AA1222" t="str">
        <f t="shared" ca="1" si="549"/>
        <v>9322300.png</v>
      </c>
      <c r="AB1222">
        <f t="shared" si="550"/>
        <v>4</v>
      </c>
      <c r="AC1222">
        <f>VLOOKUP(C1222,技能辅助查询表,技能配置辅助表!$W$1,FALSE)</f>
        <v>5332</v>
      </c>
      <c r="AD1222">
        <f t="shared" ca="1" si="558"/>
        <v>981.2155740444756</v>
      </c>
      <c r="AE1222">
        <f>VLOOKUP(C1222,技能辅助查询表,技能配置辅助表!$U$1,FALSE)</f>
        <v>4</v>
      </c>
      <c r="AF1222">
        <f t="shared" ca="1" si="551"/>
        <v>9322347</v>
      </c>
      <c r="AG1222">
        <f t="shared" ca="1" si="552"/>
        <v>75.530612244897952</v>
      </c>
      <c r="AH1222">
        <f t="shared" ca="1" si="559"/>
        <v>5148.0355406320868</v>
      </c>
      <c r="AI1222">
        <f ca="1">VLOOKUP(E1222,伤害参考系!$C$4:$E$104,3,FALSE)*$AN$12</f>
        <v>20676.268264214057</v>
      </c>
      <c r="AJ1222">
        <f>VLOOKUP(C1222,技能辅助查询表,技能配置辅助表!$L$1,FALSE)</f>
        <v>5</v>
      </c>
      <c r="AK1222">
        <f>VLOOKUP(C1222,技能辅助查询表,技能配置辅助表!$AE$1,FALSE)</f>
        <v>66000550</v>
      </c>
    </row>
    <row r="1223" spans="1:37" x14ac:dyDescent="0.15">
      <c r="A1223" s="1">
        <f t="shared" ca="1" si="534"/>
        <v>9322348</v>
      </c>
      <c r="B1223" s="1" t="str">
        <f t="shared" ca="1" si="535"/>
        <v>玫瑰之舞第3段</v>
      </c>
      <c r="C1223" t="s">
        <v>174</v>
      </c>
      <c r="D1223">
        <f t="shared" si="536"/>
        <v>3</v>
      </c>
      <c r="E1223" s="42">
        <f t="shared" ca="1" si="555"/>
        <v>77</v>
      </c>
      <c r="F1223" t="str">
        <f t="shared" ca="1" si="556"/>
        <v>第48级，共造成196.6%点伤害</v>
      </c>
      <c r="G1223">
        <f t="shared" ca="1" si="537"/>
        <v>3</v>
      </c>
      <c r="H1223">
        <f t="shared" si="538"/>
        <v>3</v>
      </c>
      <c r="I1223" s="44">
        <f t="shared" ca="1" si="539"/>
        <v>48</v>
      </c>
      <c r="J1223">
        <f t="shared" si="540"/>
        <v>2</v>
      </c>
      <c r="K1223" s="36">
        <f t="shared" ca="1" si="541"/>
        <v>39.325714285714284</v>
      </c>
      <c r="L1223" s="10">
        <f ca="1">AH1223*VLOOKUP(C1223,技能辅助查询表,技能配置辅助表!$T$1,FALSE)</f>
        <v>0</v>
      </c>
      <c r="M1223">
        <f t="shared" ca="1" si="553"/>
        <v>4160</v>
      </c>
      <c r="N1223" s="33">
        <f ca="1">CHOOSE(1,W1223*U1223,X1223*'[1]0、经济设定'!$C$18)</f>
        <v>346896</v>
      </c>
      <c r="O1223">
        <f t="shared" si="542"/>
        <v>2</v>
      </c>
      <c r="P1223">
        <f t="shared" si="543"/>
        <v>5</v>
      </c>
      <c r="Q1223">
        <f t="shared" si="544"/>
        <v>1</v>
      </c>
      <c r="R1223" s="2">
        <f t="shared" si="545"/>
        <v>7</v>
      </c>
      <c r="S1223" s="2">
        <f t="shared" si="546"/>
        <v>50</v>
      </c>
      <c r="T1223" s="2">
        <f t="shared" si="547"/>
        <v>26.571428571428573</v>
      </c>
      <c r="U1223" s="2">
        <f ca="1">VLOOKUP(E1223,金币生产率!$A$2:$B$120,2,0)</f>
        <v>3942</v>
      </c>
      <c r="V1223" s="2">
        <f t="shared" si="548"/>
        <v>132.85714285714286</v>
      </c>
      <c r="W1223" s="45">
        <f t="shared" ca="1" si="560"/>
        <v>88</v>
      </c>
      <c r="X1223" s="48">
        <f t="shared" ca="1" si="561"/>
        <v>1295</v>
      </c>
      <c r="Y1223">
        <f t="shared" si="554"/>
        <v>18</v>
      </c>
      <c r="Z1223">
        <f t="shared" ca="1" si="557"/>
        <v>36</v>
      </c>
      <c r="AA1223" t="str">
        <f t="shared" ca="1" si="549"/>
        <v>9322300.png</v>
      </c>
      <c r="AB1223">
        <f t="shared" si="550"/>
        <v>4</v>
      </c>
      <c r="AC1223">
        <f>VLOOKUP(C1223,技能辅助查询表,技能配置辅助表!$W$1,FALSE)</f>
        <v>5332</v>
      </c>
      <c r="AD1223">
        <f t="shared" ca="1" si="558"/>
        <v>1132.6744010508023</v>
      </c>
      <c r="AE1223">
        <f>VLOOKUP(C1223,技能辅助查询表,技能配置辅助表!$U$1,FALSE)</f>
        <v>4</v>
      </c>
      <c r="AF1223">
        <f t="shared" ca="1" si="551"/>
        <v>9322348</v>
      </c>
      <c r="AG1223">
        <f t="shared" ca="1" si="552"/>
        <v>77.020408163265301</v>
      </c>
      <c r="AH1223">
        <f t="shared" ca="1" si="559"/>
        <v>5860.970437134547</v>
      </c>
      <c r="AI1223">
        <f ca="1">VLOOKUP(E1223,伤害参考系!$C$4:$E$104,3,FALSE)*$AN$12</f>
        <v>21474.674365384624</v>
      </c>
      <c r="AJ1223">
        <f>VLOOKUP(C1223,技能辅助查询表,技能配置辅助表!$L$1,FALSE)</f>
        <v>5</v>
      </c>
      <c r="AK1223">
        <f>VLOOKUP(C1223,技能辅助查询表,技能配置辅助表!$AE$1,FALSE)</f>
        <v>66000550</v>
      </c>
    </row>
    <row r="1224" spans="1:37" x14ac:dyDescent="0.15">
      <c r="A1224" s="1">
        <f t="shared" ca="1" si="534"/>
        <v>9322349</v>
      </c>
      <c r="B1224" s="1" t="str">
        <f t="shared" ca="1" si="535"/>
        <v>玫瑰之舞第3段</v>
      </c>
      <c r="C1224" t="s">
        <v>174</v>
      </c>
      <c r="D1224">
        <f t="shared" si="536"/>
        <v>3</v>
      </c>
      <c r="E1224" s="42">
        <f t="shared" ca="1" si="555"/>
        <v>79</v>
      </c>
      <c r="F1224" t="str">
        <f t="shared" ca="1" si="556"/>
        <v>第49级，共造成198%点伤害</v>
      </c>
      <c r="G1224">
        <f t="shared" ca="1" si="537"/>
        <v>3</v>
      </c>
      <c r="H1224">
        <f t="shared" si="538"/>
        <v>3</v>
      </c>
      <c r="I1224" s="44">
        <f t="shared" ca="1" si="539"/>
        <v>49</v>
      </c>
      <c r="J1224">
        <f t="shared" si="540"/>
        <v>2</v>
      </c>
      <c r="K1224" s="36">
        <f t="shared" ca="1" si="541"/>
        <v>39.591428571428573</v>
      </c>
      <c r="L1224" s="10">
        <f ca="1">AH1224*VLOOKUP(C1224,技能辅助查询表,技能配置辅助表!$T$1,FALSE)</f>
        <v>0</v>
      </c>
      <c r="M1224">
        <f t="shared" ca="1" si="553"/>
        <v>4080</v>
      </c>
      <c r="N1224" s="33">
        <f ca="1">CHOOSE(1,W1224*U1224,X1224*'[1]0、经济设定'!$C$18)</f>
        <v>390476</v>
      </c>
      <c r="O1224">
        <f t="shared" si="542"/>
        <v>2</v>
      </c>
      <c r="P1224">
        <f t="shared" si="543"/>
        <v>5</v>
      </c>
      <c r="Q1224">
        <f t="shared" si="544"/>
        <v>1</v>
      </c>
      <c r="R1224" s="2">
        <f t="shared" si="545"/>
        <v>7</v>
      </c>
      <c r="S1224" s="2">
        <f t="shared" si="546"/>
        <v>50</v>
      </c>
      <c r="T1224" s="2">
        <f t="shared" si="547"/>
        <v>26.571428571428573</v>
      </c>
      <c r="U1224" s="2">
        <f ca="1">VLOOKUP(E1224,金币生产率!$A$2:$B$120,2,0)</f>
        <v>4154</v>
      </c>
      <c r="V1224" s="2">
        <f t="shared" si="548"/>
        <v>132.85714285714286</v>
      </c>
      <c r="W1224" s="45">
        <f t="shared" ca="1" si="560"/>
        <v>94</v>
      </c>
      <c r="X1224" s="48">
        <f t="shared" ca="1" si="561"/>
        <v>1389</v>
      </c>
      <c r="Y1224">
        <f t="shared" si="554"/>
        <v>18</v>
      </c>
      <c r="Z1224">
        <f t="shared" ca="1" si="557"/>
        <v>38</v>
      </c>
      <c r="AA1224" t="str">
        <f t="shared" ca="1" si="549"/>
        <v>9322300.png</v>
      </c>
      <c r="AB1224">
        <f t="shared" si="550"/>
        <v>4</v>
      </c>
      <c r="AC1224">
        <f>VLOOKUP(C1224,技能辅助查询表,技能配置辅助表!$W$1,FALSE)</f>
        <v>5332</v>
      </c>
      <c r="AD1224">
        <f t="shared" ca="1" si="558"/>
        <v>1307.2649892908489</v>
      </c>
      <c r="AE1224">
        <f>VLOOKUP(C1224,技能辅助查询表,技能配置辅助表!$U$1,FALSE)</f>
        <v>4</v>
      </c>
      <c r="AF1224">
        <f t="shared" ca="1" si="551"/>
        <v>9322349</v>
      </c>
      <c r="AG1224">
        <f t="shared" ca="1" si="552"/>
        <v>78.510204081632651</v>
      </c>
      <c r="AH1224">
        <f t="shared" ca="1" si="559"/>
        <v>6672.6373961177951</v>
      </c>
      <c r="AI1224">
        <f ca="1">VLOOKUP(E1224,伤害参考系!$C$4:$E$104,3,FALSE)*$AN$12</f>
        <v>23115.220103678937</v>
      </c>
      <c r="AJ1224">
        <f>VLOOKUP(C1224,技能辅助查询表,技能配置辅助表!$L$1,FALSE)</f>
        <v>5</v>
      </c>
      <c r="AK1224">
        <f>VLOOKUP(C1224,技能辅助查询表,技能配置辅助表!$AE$1,FALSE)</f>
        <v>66000550</v>
      </c>
    </row>
    <row r="1225" spans="1:37" x14ac:dyDescent="0.15">
      <c r="A1225" s="1">
        <f t="shared" ca="1" si="534"/>
        <v>9322350</v>
      </c>
      <c r="B1225" s="1" t="str">
        <f t="shared" ca="1" si="535"/>
        <v>玫瑰之舞第3段</v>
      </c>
      <c r="C1225" t="s">
        <v>174</v>
      </c>
      <c r="D1225">
        <f t="shared" si="536"/>
        <v>3</v>
      </c>
      <c r="E1225" s="42">
        <f t="shared" ca="1" si="555"/>
        <v>80</v>
      </c>
      <c r="F1225" t="str">
        <f t="shared" ca="1" si="556"/>
        <v>第50级，共造成199.3%点伤害</v>
      </c>
      <c r="G1225">
        <f t="shared" ca="1" si="537"/>
        <v>3</v>
      </c>
      <c r="H1225">
        <f t="shared" si="538"/>
        <v>3</v>
      </c>
      <c r="I1225" s="44">
        <f t="shared" ca="1" si="539"/>
        <v>50</v>
      </c>
      <c r="J1225">
        <f t="shared" si="540"/>
        <v>2</v>
      </c>
      <c r="K1225" s="36">
        <f t="shared" ca="1" si="541"/>
        <v>39.857142857142861</v>
      </c>
      <c r="L1225" s="10">
        <f ca="1">AH1225*VLOOKUP(C1225,技能辅助查询表,技能配置辅助表!$T$1,FALSE)</f>
        <v>0</v>
      </c>
      <c r="M1225">
        <f t="shared" ca="1" si="553"/>
        <v>4000</v>
      </c>
      <c r="N1225" s="33">
        <f ca="1">CHOOSE(1,W1225*U1225,X1225*'[1]0、经济设定'!$C$18)</f>
        <v>430462</v>
      </c>
      <c r="O1225">
        <f t="shared" si="542"/>
        <v>2</v>
      </c>
      <c r="P1225">
        <f t="shared" si="543"/>
        <v>5</v>
      </c>
      <c r="Q1225">
        <f t="shared" si="544"/>
        <v>1</v>
      </c>
      <c r="R1225" s="2">
        <f t="shared" si="545"/>
        <v>7</v>
      </c>
      <c r="S1225" s="2">
        <f t="shared" si="546"/>
        <v>50</v>
      </c>
      <c r="T1225" s="2">
        <f t="shared" si="547"/>
        <v>26.571428571428573</v>
      </c>
      <c r="U1225" s="2">
        <f ca="1">VLOOKUP(E1225,金币生产率!$A$2:$B$120,2,0)</f>
        <v>4262</v>
      </c>
      <c r="V1225" s="2">
        <f t="shared" si="548"/>
        <v>132.85714285714286</v>
      </c>
      <c r="W1225" s="45">
        <f t="shared" ca="1" si="560"/>
        <v>101</v>
      </c>
      <c r="X1225" s="48">
        <f t="shared" ca="1" si="561"/>
        <v>1490</v>
      </c>
      <c r="Y1225">
        <f t="shared" si="554"/>
        <v>18</v>
      </c>
      <c r="Z1225">
        <f t="shared" ca="1" si="557"/>
        <v>41</v>
      </c>
      <c r="AA1225" t="str">
        <f t="shared" ca="1" si="549"/>
        <v>9322300.png</v>
      </c>
      <c r="AB1225">
        <f t="shared" si="550"/>
        <v>4</v>
      </c>
      <c r="AC1225">
        <f>VLOOKUP(C1225,技能辅助查询表,技能配置辅助表!$W$1,FALSE)</f>
        <v>5332</v>
      </c>
      <c r="AD1225">
        <f t="shared" ca="1" si="558"/>
        <v>1508.4894585710163</v>
      </c>
      <c r="AE1225">
        <f>VLOOKUP(C1225,技能辅助查询表,技能配置辅助表!$U$1,FALSE)</f>
        <v>4</v>
      </c>
      <c r="AF1225">
        <f t="shared" ca="1" si="551"/>
        <v>9322350</v>
      </c>
      <c r="AG1225">
        <f t="shared" ca="1" si="552"/>
        <v>80</v>
      </c>
      <c r="AH1225">
        <f t="shared" ca="1" si="559"/>
        <v>7596.7095035950451</v>
      </c>
      <c r="AI1225">
        <f ca="1">VLOOKUP(E1225,伤害参考系!$C$4:$E$104,3,FALSE)*$AN$12</f>
        <v>24028.87424749164</v>
      </c>
      <c r="AJ1225">
        <f>VLOOKUP(C1225,技能辅助查询表,技能配置辅助表!$L$1,FALSE)</f>
        <v>5</v>
      </c>
      <c r="AK1225">
        <f>VLOOKUP(C1225,技能辅助查询表,技能配置辅助表!$AE$1,FALSE)</f>
        <v>66000550</v>
      </c>
    </row>
    <row r="1226" spans="1:37" x14ac:dyDescent="0.15">
      <c r="A1226" s="1">
        <f t="shared" ca="1" si="534"/>
        <v>1</v>
      </c>
      <c r="B1226" s="1" t="str">
        <f t="shared" ca="1" si="535"/>
        <v>玫瑰之舞</v>
      </c>
      <c r="C1226" t="s">
        <v>175</v>
      </c>
      <c r="D1226">
        <f t="shared" si="536"/>
        <v>3</v>
      </c>
      <c r="E1226" s="42">
        <f t="shared" ca="1" si="555"/>
        <v>4</v>
      </c>
      <c r="F1226" t="str">
        <f t="shared" ca="1" si="556"/>
        <v>第0级，共造成166.1%点伤害</v>
      </c>
      <c r="G1226">
        <f t="shared" ca="1" si="537"/>
        <v>0</v>
      </c>
      <c r="H1226">
        <f t="shared" si="538"/>
        <v>4</v>
      </c>
      <c r="I1226" s="44">
        <f t="shared" ca="1" si="539"/>
        <v>0</v>
      </c>
      <c r="J1226">
        <f t="shared" si="540"/>
        <v>2</v>
      </c>
      <c r="K1226" s="36">
        <f t="shared" ca="1" si="541"/>
        <v>166.07142857142858</v>
      </c>
      <c r="L1226" s="10">
        <f ca="1">AH1226*VLOOKUP(C1226,技能辅助查询表,技能配置辅助表!$T$1,FALSE)</f>
        <v>0</v>
      </c>
      <c r="M1226">
        <f t="shared" ca="1" si="553"/>
        <v>8000</v>
      </c>
      <c r="N1226" s="33">
        <f ca="1">CHOOSE(1,W1226*U1226,X1226*'[1]0、经济设定'!$C$18)</f>
        <v>0</v>
      </c>
      <c r="O1226">
        <f t="shared" si="542"/>
        <v>2</v>
      </c>
      <c r="P1226">
        <f t="shared" si="543"/>
        <v>1</v>
      </c>
      <c r="Q1226">
        <f t="shared" si="544"/>
        <v>1</v>
      </c>
      <c r="R1226" s="2">
        <f t="shared" si="545"/>
        <v>9</v>
      </c>
      <c r="S1226" s="2">
        <f t="shared" si="546"/>
        <v>50</v>
      </c>
      <c r="T1226" s="2">
        <f t="shared" si="547"/>
        <v>166.07142857142858</v>
      </c>
      <c r="U1226" s="2">
        <f ca="1">VLOOKUP(E1226,金币生产率!$A$2:$B$120,2,0)</f>
        <v>68</v>
      </c>
      <c r="V1226" s="2">
        <f t="shared" si="548"/>
        <v>166.07142857142858</v>
      </c>
      <c r="W1226" s="45">
        <f t="shared" ca="1" si="560"/>
        <v>0</v>
      </c>
      <c r="X1226" s="48">
        <f t="shared" ca="1" si="561"/>
        <v>0</v>
      </c>
      <c r="Y1226">
        <f t="shared" si="554"/>
        <v>18</v>
      </c>
      <c r="Z1226">
        <f t="shared" ca="1" si="557"/>
        <v>0</v>
      </c>
      <c r="AA1226" t="str">
        <f t="shared" ca="1" si="549"/>
        <v>9322400.png</v>
      </c>
      <c r="AB1226">
        <f t="shared" si="550"/>
        <v>20</v>
      </c>
      <c r="AC1226">
        <f>VLOOKUP(C1226,技能辅助查询表,技能配置辅助表!$W$1,FALSE)</f>
        <v>5333</v>
      </c>
      <c r="AD1226">
        <f t="shared" ca="1" si="558"/>
        <v>1.5320378571428575</v>
      </c>
      <c r="AE1226">
        <f>VLOOKUP(C1226,技能辅助查询表,技能配置辅助表!$U$1,FALSE)</f>
        <v>4</v>
      </c>
      <c r="AF1226">
        <f t="shared" ca="1" si="551"/>
        <v>9322400</v>
      </c>
      <c r="AG1226">
        <f t="shared" ca="1" si="552"/>
        <v>0</v>
      </c>
      <c r="AH1226">
        <f t="shared" ca="1" si="559"/>
        <v>11.5938</v>
      </c>
      <c r="AI1226">
        <f ca="1">VLOOKUP(E1226,伤害参考系!$C$4:$E$104,3,FALSE)*$AN$12</f>
        <v>50.4</v>
      </c>
      <c r="AJ1226">
        <f>VLOOKUP(C1226,技能辅助查询表,技能配置辅助表!$L$1,FALSE)</f>
        <v>1</v>
      </c>
      <c r="AK1226">
        <f>VLOOKUP(C1226,技能辅助查询表,技能配置辅助表!$AE$1,FALSE)</f>
        <v>66000550</v>
      </c>
    </row>
    <row r="1227" spans="1:37" x14ac:dyDescent="0.15">
      <c r="A1227" s="1">
        <f t="shared" ca="1" si="534"/>
        <v>9322401</v>
      </c>
      <c r="B1227" s="1" t="str">
        <f t="shared" ca="1" si="535"/>
        <v>玫瑰之舞第4段</v>
      </c>
      <c r="C1227" t="s">
        <v>176</v>
      </c>
      <c r="D1227">
        <f t="shared" si="536"/>
        <v>3</v>
      </c>
      <c r="E1227" s="42">
        <f t="shared" ca="1" si="555"/>
        <v>4</v>
      </c>
      <c r="F1227" t="str">
        <f t="shared" ca="1" si="556"/>
        <v>第1级，共造成166.1%点伤害</v>
      </c>
      <c r="G1227">
        <f t="shared" ca="1" si="537"/>
        <v>4</v>
      </c>
      <c r="H1227">
        <f t="shared" si="538"/>
        <v>4</v>
      </c>
      <c r="I1227" s="44">
        <f t="shared" ca="1" si="539"/>
        <v>1</v>
      </c>
      <c r="J1227">
        <f t="shared" si="540"/>
        <v>2</v>
      </c>
      <c r="K1227" s="36">
        <f t="shared" ca="1" si="541"/>
        <v>166.07142857142858</v>
      </c>
      <c r="L1227" s="10">
        <f ca="1">AH1227*VLOOKUP(C1227,技能辅助查询表,技能配置辅助表!$T$1,FALSE)</f>
        <v>0</v>
      </c>
      <c r="M1227">
        <f t="shared" ca="1" si="553"/>
        <v>8000</v>
      </c>
      <c r="N1227" s="33">
        <f ca="1">CHOOSE(1,W1227*U1227,X1227*'[1]0、经济设定'!$C$18)</f>
        <v>408</v>
      </c>
      <c r="O1227">
        <f t="shared" si="542"/>
        <v>2</v>
      </c>
      <c r="P1227">
        <f t="shared" si="543"/>
        <v>1</v>
      </c>
      <c r="Q1227">
        <f t="shared" si="544"/>
        <v>1</v>
      </c>
      <c r="R1227" s="2">
        <f t="shared" si="545"/>
        <v>9</v>
      </c>
      <c r="S1227" s="2">
        <f t="shared" si="546"/>
        <v>50</v>
      </c>
      <c r="T1227" s="2">
        <f t="shared" si="547"/>
        <v>166.07142857142858</v>
      </c>
      <c r="U1227" s="2">
        <f ca="1">VLOOKUP(E1227,金币生产率!$A$2:$B$120,2,0)</f>
        <v>68</v>
      </c>
      <c r="V1227" s="2">
        <f t="shared" si="548"/>
        <v>166.07142857142858</v>
      </c>
      <c r="W1227" s="45">
        <f t="shared" ca="1" si="560"/>
        <v>6</v>
      </c>
      <c r="X1227" s="48">
        <f t="shared" ca="1" si="561"/>
        <v>6</v>
      </c>
      <c r="Y1227">
        <f t="shared" si="554"/>
        <v>18</v>
      </c>
      <c r="Z1227">
        <f t="shared" ca="1" si="557"/>
        <v>0</v>
      </c>
      <c r="AA1227" t="str">
        <f t="shared" ca="1" si="549"/>
        <v>9322400.png</v>
      </c>
      <c r="AB1227">
        <f t="shared" si="550"/>
        <v>20</v>
      </c>
      <c r="AC1227">
        <f>VLOOKUP(C1227,技能辅助查询表,技能配置辅助表!$W$1,FALSE)</f>
        <v>5333</v>
      </c>
      <c r="AD1227">
        <f t="shared" ca="1" si="558"/>
        <v>1.7442048560882235</v>
      </c>
      <c r="AE1227">
        <f>VLOOKUP(C1227,技能辅助查询表,技能配置辅助表!$U$1,FALSE)</f>
        <v>4</v>
      </c>
      <c r="AF1227">
        <f t="shared" ca="1" si="551"/>
        <v>9322401</v>
      </c>
      <c r="AG1227">
        <f t="shared" ca="1" si="552"/>
        <v>9</v>
      </c>
      <c r="AH1227">
        <f t="shared" ca="1" si="559"/>
        <v>13.199388100127095</v>
      </c>
      <c r="AI1227">
        <f ca="1">VLOOKUP(E1227,伤害参考系!$C$4:$E$104,3,FALSE)*$AN$12</f>
        <v>50.4</v>
      </c>
      <c r="AJ1227">
        <f>VLOOKUP(C1227,技能辅助查询表,技能配置辅助表!$L$1,FALSE)</f>
        <v>1</v>
      </c>
      <c r="AK1227">
        <f>VLOOKUP(C1227,技能辅助查询表,技能配置辅助表!$AE$1,FALSE)</f>
        <v>66000550</v>
      </c>
    </row>
    <row r="1228" spans="1:37" x14ac:dyDescent="0.15">
      <c r="A1228" s="1">
        <f t="shared" ca="1" si="534"/>
        <v>9322402</v>
      </c>
      <c r="B1228" s="1" t="str">
        <f t="shared" ca="1" si="535"/>
        <v>玫瑰之舞第4段</v>
      </c>
      <c r="C1228" t="s">
        <v>176</v>
      </c>
      <c r="D1228">
        <f t="shared" si="536"/>
        <v>3</v>
      </c>
      <c r="E1228" s="42">
        <f t="shared" ca="1" si="555"/>
        <v>12</v>
      </c>
      <c r="F1228" t="str">
        <f t="shared" ca="1" si="556"/>
        <v>第2级，共造成169.4%点伤害</v>
      </c>
      <c r="G1228">
        <f t="shared" ca="1" si="537"/>
        <v>4</v>
      </c>
      <c r="H1228">
        <f t="shared" si="538"/>
        <v>4</v>
      </c>
      <c r="I1228" s="44">
        <f t="shared" ca="1" si="539"/>
        <v>2</v>
      </c>
      <c r="J1228">
        <f t="shared" si="540"/>
        <v>2</v>
      </c>
      <c r="K1228" s="36">
        <f t="shared" ca="1" si="541"/>
        <v>169.39285714285717</v>
      </c>
      <c r="L1228" s="10">
        <f ca="1">AH1228*VLOOKUP(C1228,技能辅助查询表,技能配置辅助表!$T$1,FALSE)</f>
        <v>0</v>
      </c>
      <c r="M1228">
        <f t="shared" ca="1" si="553"/>
        <v>7840</v>
      </c>
      <c r="N1228" s="33">
        <f ca="1">CHOOSE(1,W1228*U1228,X1228*'[1]0、经济设定'!$C$18)</f>
        <v>812</v>
      </c>
      <c r="O1228">
        <f t="shared" si="542"/>
        <v>2</v>
      </c>
      <c r="P1228">
        <f t="shared" si="543"/>
        <v>1</v>
      </c>
      <c r="Q1228">
        <f t="shared" si="544"/>
        <v>1</v>
      </c>
      <c r="R1228" s="2">
        <f t="shared" si="545"/>
        <v>9</v>
      </c>
      <c r="S1228" s="2">
        <f t="shared" si="546"/>
        <v>50</v>
      </c>
      <c r="T1228" s="2">
        <f t="shared" si="547"/>
        <v>166.07142857142858</v>
      </c>
      <c r="U1228" s="2">
        <f ca="1">VLOOKUP(E1228,金币生产率!$A$2:$B$120,2,0)</f>
        <v>116</v>
      </c>
      <c r="V1228" s="2">
        <f t="shared" si="548"/>
        <v>166.07142857142858</v>
      </c>
      <c r="W1228" s="45">
        <f t="shared" ca="1" si="560"/>
        <v>7</v>
      </c>
      <c r="X1228" s="48">
        <f t="shared" ca="1" si="561"/>
        <v>13</v>
      </c>
      <c r="Y1228">
        <f t="shared" si="554"/>
        <v>18</v>
      </c>
      <c r="Z1228">
        <f t="shared" ca="1" si="557"/>
        <v>0</v>
      </c>
      <c r="AA1228" t="str">
        <f t="shared" ca="1" si="549"/>
        <v>9322400.png</v>
      </c>
      <c r="AB1228">
        <f t="shared" si="550"/>
        <v>20</v>
      </c>
      <c r="AC1228">
        <f>VLOOKUP(C1228,技能辅助查询表,技能配置辅助表!$W$1,FALSE)</f>
        <v>5333</v>
      </c>
      <c r="AD1228">
        <f t="shared" ca="1" si="558"/>
        <v>2.0855785801841162</v>
      </c>
      <c r="AE1228">
        <f>VLOOKUP(C1228,技能辅助查询表,技能配置辅助表!$U$1,FALSE)</f>
        <v>4</v>
      </c>
      <c r="AF1228">
        <f t="shared" ca="1" si="551"/>
        <v>9322402</v>
      </c>
      <c r="AG1228">
        <f t="shared" ca="1" si="552"/>
        <v>10.448979591836736</v>
      </c>
      <c r="AH1228">
        <f t="shared" ca="1" si="559"/>
        <v>15.027328935963775</v>
      </c>
      <c r="AI1228">
        <f ca="1">VLOOKUP(E1228,伤害参考系!$C$4:$E$104,3,FALSE)*$AN$12</f>
        <v>249.04956521739126</v>
      </c>
      <c r="AJ1228">
        <f>VLOOKUP(C1228,技能辅助查询表,技能配置辅助表!$L$1,FALSE)</f>
        <v>1</v>
      </c>
      <c r="AK1228">
        <f>VLOOKUP(C1228,技能辅助查询表,技能配置辅助表!$AE$1,FALSE)</f>
        <v>66000550</v>
      </c>
    </row>
    <row r="1229" spans="1:37" x14ac:dyDescent="0.15">
      <c r="A1229" s="1">
        <f t="shared" ca="1" si="534"/>
        <v>9322403</v>
      </c>
      <c r="B1229" s="1" t="str">
        <f t="shared" ca="1" si="535"/>
        <v>玫瑰之舞第4段</v>
      </c>
      <c r="C1229" t="s">
        <v>176</v>
      </c>
      <c r="D1229">
        <f t="shared" si="536"/>
        <v>3</v>
      </c>
      <c r="E1229" s="42">
        <f t="shared" ca="1" si="555"/>
        <v>13</v>
      </c>
      <c r="F1229" t="str">
        <f t="shared" ca="1" si="556"/>
        <v>第3级，共造成171.1%点伤害</v>
      </c>
      <c r="G1229">
        <f t="shared" ca="1" si="537"/>
        <v>4</v>
      </c>
      <c r="H1229">
        <f t="shared" si="538"/>
        <v>4</v>
      </c>
      <c r="I1229" s="44">
        <f t="shared" ca="1" si="539"/>
        <v>3</v>
      </c>
      <c r="J1229">
        <f t="shared" si="540"/>
        <v>2</v>
      </c>
      <c r="K1229" s="36">
        <f t="shared" ca="1" si="541"/>
        <v>171.05357142857144</v>
      </c>
      <c r="L1229" s="10">
        <f ca="1">AH1229*VLOOKUP(C1229,技能辅助查询表,技能配置辅助表!$T$1,FALSE)</f>
        <v>0</v>
      </c>
      <c r="M1229">
        <f t="shared" ca="1" si="553"/>
        <v>7760</v>
      </c>
      <c r="N1229" s="33">
        <f ca="1">CHOOSE(1,W1229*U1229,X1229*'[1]0、经济设定'!$C$18)</f>
        <v>854</v>
      </c>
      <c r="O1229">
        <f t="shared" si="542"/>
        <v>2</v>
      </c>
      <c r="P1229">
        <f t="shared" si="543"/>
        <v>1</v>
      </c>
      <c r="Q1229">
        <f t="shared" si="544"/>
        <v>1</v>
      </c>
      <c r="R1229" s="2">
        <f t="shared" si="545"/>
        <v>9</v>
      </c>
      <c r="S1229" s="2">
        <f t="shared" si="546"/>
        <v>50</v>
      </c>
      <c r="T1229" s="2">
        <f t="shared" si="547"/>
        <v>166.07142857142858</v>
      </c>
      <c r="U1229" s="2">
        <f ca="1">VLOOKUP(E1229,金币生产率!$A$2:$B$120,2,0)</f>
        <v>122</v>
      </c>
      <c r="V1229" s="2">
        <f t="shared" si="548"/>
        <v>166.07142857142858</v>
      </c>
      <c r="W1229" s="45">
        <f t="shared" ca="1" si="560"/>
        <v>7</v>
      </c>
      <c r="X1229" s="48">
        <f t="shared" ca="1" si="561"/>
        <v>20</v>
      </c>
      <c r="Y1229">
        <f t="shared" si="554"/>
        <v>18</v>
      </c>
      <c r="Z1229">
        <f t="shared" ca="1" si="557"/>
        <v>0</v>
      </c>
      <c r="AA1229" t="str">
        <f t="shared" ca="1" si="549"/>
        <v>9322400.png</v>
      </c>
      <c r="AB1229">
        <f t="shared" si="550"/>
        <v>20</v>
      </c>
      <c r="AC1229">
        <f>VLOOKUP(C1229,技能辅助查询表,技能配置辅助表!$W$1,FALSE)</f>
        <v>5333</v>
      </c>
      <c r="AD1229">
        <f t="shared" ca="1" si="558"/>
        <v>2.4312280346108892</v>
      </c>
      <c r="AE1229">
        <f>VLOOKUP(C1229,技能辅助查询表,技能配置辅助表!$U$1,FALSE)</f>
        <v>4</v>
      </c>
      <c r="AF1229">
        <f t="shared" ca="1" si="551"/>
        <v>9322403</v>
      </c>
      <c r="AG1229">
        <f t="shared" ca="1" si="552"/>
        <v>11.897959183673469</v>
      </c>
      <c r="AH1229">
        <f t="shared" ca="1" si="559"/>
        <v>17.108415423248271</v>
      </c>
      <c r="AI1229">
        <f ca="1">VLOOKUP(E1229,伤害参考系!$C$4:$E$104,3,FALSE)*$AN$12</f>
        <v>288.46124999999995</v>
      </c>
      <c r="AJ1229">
        <f>VLOOKUP(C1229,技能辅助查询表,技能配置辅助表!$L$1,FALSE)</f>
        <v>1</v>
      </c>
      <c r="AK1229">
        <f>VLOOKUP(C1229,技能辅助查询表,技能配置辅助表!$AE$1,FALSE)</f>
        <v>66000550</v>
      </c>
    </row>
    <row r="1230" spans="1:37" x14ac:dyDescent="0.15">
      <c r="A1230" s="1">
        <f t="shared" ca="1" si="534"/>
        <v>9322404</v>
      </c>
      <c r="B1230" s="1" t="str">
        <f t="shared" ca="1" si="535"/>
        <v>玫瑰之舞第4段</v>
      </c>
      <c r="C1230" t="s">
        <v>176</v>
      </c>
      <c r="D1230">
        <f t="shared" si="536"/>
        <v>3</v>
      </c>
      <c r="E1230" s="42">
        <f t="shared" ca="1" si="555"/>
        <v>15</v>
      </c>
      <c r="F1230" t="str">
        <f t="shared" ca="1" si="556"/>
        <v>第4级，共造成172.7%点伤害</v>
      </c>
      <c r="G1230">
        <f t="shared" ca="1" si="537"/>
        <v>4</v>
      </c>
      <c r="H1230">
        <f t="shared" si="538"/>
        <v>4</v>
      </c>
      <c r="I1230" s="44">
        <f t="shared" ca="1" si="539"/>
        <v>4</v>
      </c>
      <c r="J1230">
        <f t="shared" si="540"/>
        <v>2</v>
      </c>
      <c r="K1230" s="36">
        <f t="shared" ca="1" si="541"/>
        <v>172.71428571428572</v>
      </c>
      <c r="L1230" s="10">
        <f ca="1">AH1230*VLOOKUP(C1230,技能辅助查询表,技能配置辅助表!$T$1,FALSE)</f>
        <v>0</v>
      </c>
      <c r="M1230">
        <f t="shared" ca="1" si="553"/>
        <v>7680</v>
      </c>
      <c r="N1230" s="33">
        <f ca="1">CHOOSE(1,W1230*U1230,X1230*'[1]0、经济设定'!$C$18)</f>
        <v>1072</v>
      </c>
      <c r="O1230">
        <f t="shared" si="542"/>
        <v>2</v>
      </c>
      <c r="P1230">
        <f t="shared" si="543"/>
        <v>1</v>
      </c>
      <c r="Q1230">
        <f t="shared" si="544"/>
        <v>1</v>
      </c>
      <c r="R1230" s="2">
        <f t="shared" si="545"/>
        <v>9</v>
      </c>
      <c r="S1230" s="2">
        <f t="shared" si="546"/>
        <v>50</v>
      </c>
      <c r="T1230" s="2">
        <f t="shared" si="547"/>
        <v>166.07142857142858</v>
      </c>
      <c r="U1230" s="2">
        <f ca="1">VLOOKUP(E1230,金币生产率!$A$2:$B$120,2,0)</f>
        <v>134</v>
      </c>
      <c r="V1230" s="2">
        <f t="shared" si="548"/>
        <v>166.07142857142858</v>
      </c>
      <c r="W1230" s="45">
        <f t="shared" ca="1" si="560"/>
        <v>8</v>
      </c>
      <c r="X1230" s="48">
        <f t="shared" ca="1" si="561"/>
        <v>28</v>
      </c>
      <c r="Y1230">
        <f t="shared" si="554"/>
        <v>18</v>
      </c>
      <c r="Z1230">
        <f t="shared" ca="1" si="557"/>
        <v>0</v>
      </c>
      <c r="AA1230" t="str">
        <f t="shared" ca="1" si="549"/>
        <v>9322400.png</v>
      </c>
      <c r="AB1230">
        <f t="shared" si="550"/>
        <v>20</v>
      </c>
      <c r="AC1230">
        <f>VLOOKUP(C1230,技能辅助查询表,技能配置辅助表!$W$1,FALSE)</f>
        <v>5333</v>
      </c>
      <c r="AD1230">
        <f t="shared" ca="1" si="558"/>
        <v>2.8326147968094753</v>
      </c>
      <c r="AE1230">
        <f>VLOOKUP(C1230,技能辅助查询表,技能配置辅助表!$U$1,FALSE)</f>
        <v>4</v>
      </c>
      <c r="AF1230">
        <f t="shared" ca="1" si="551"/>
        <v>9322404</v>
      </c>
      <c r="AG1230">
        <f t="shared" ca="1" si="552"/>
        <v>13.346938775510203</v>
      </c>
      <c r="AH1230">
        <f t="shared" ca="1" si="559"/>
        <v>19.477704889652582</v>
      </c>
      <c r="AI1230">
        <f ca="1">VLOOKUP(E1230,伤害参考系!$C$4:$E$104,3,FALSE)*$AN$12</f>
        <v>374.61277173913044</v>
      </c>
      <c r="AJ1230">
        <f>VLOOKUP(C1230,技能辅助查询表,技能配置辅助表!$L$1,FALSE)</f>
        <v>1</v>
      </c>
      <c r="AK1230">
        <f>VLOOKUP(C1230,技能辅助查询表,技能配置辅助表!$AE$1,FALSE)</f>
        <v>66000550</v>
      </c>
    </row>
    <row r="1231" spans="1:37" x14ac:dyDescent="0.15">
      <c r="A1231" s="1">
        <f t="shared" ca="1" si="534"/>
        <v>9322405</v>
      </c>
      <c r="B1231" s="1" t="str">
        <f t="shared" ca="1" si="535"/>
        <v>玫瑰之舞第4段</v>
      </c>
      <c r="C1231" t="s">
        <v>176</v>
      </c>
      <c r="D1231">
        <f t="shared" si="536"/>
        <v>3</v>
      </c>
      <c r="E1231" s="42">
        <f t="shared" ca="1" si="555"/>
        <v>16</v>
      </c>
      <c r="F1231" t="str">
        <f t="shared" ca="1" si="556"/>
        <v>第5级，共造成174.4%点伤害</v>
      </c>
      <c r="G1231">
        <f t="shared" ca="1" si="537"/>
        <v>4</v>
      </c>
      <c r="H1231">
        <f t="shared" si="538"/>
        <v>4</v>
      </c>
      <c r="I1231" s="44">
        <f t="shared" ca="1" si="539"/>
        <v>5</v>
      </c>
      <c r="J1231">
        <f t="shared" si="540"/>
        <v>2</v>
      </c>
      <c r="K1231" s="36">
        <f t="shared" ca="1" si="541"/>
        <v>174.375</v>
      </c>
      <c r="L1231" s="10">
        <f ca="1">AH1231*VLOOKUP(C1231,技能辅助查询表,技能配置辅助表!$T$1,FALSE)</f>
        <v>0</v>
      </c>
      <c r="M1231">
        <f t="shared" ca="1" si="553"/>
        <v>7600</v>
      </c>
      <c r="N1231" s="33">
        <f ca="1">CHOOSE(1,W1231*U1231,X1231*'[1]0、经济设定'!$C$18)</f>
        <v>1120</v>
      </c>
      <c r="O1231">
        <f t="shared" si="542"/>
        <v>2</v>
      </c>
      <c r="P1231">
        <f t="shared" si="543"/>
        <v>1</v>
      </c>
      <c r="Q1231">
        <f t="shared" si="544"/>
        <v>1</v>
      </c>
      <c r="R1231" s="2">
        <f t="shared" si="545"/>
        <v>9</v>
      </c>
      <c r="S1231" s="2">
        <f t="shared" si="546"/>
        <v>50</v>
      </c>
      <c r="T1231" s="2">
        <f t="shared" si="547"/>
        <v>166.07142857142858</v>
      </c>
      <c r="U1231" s="2">
        <f ca="1">VLOOKUP(E1231,金币生产率!$A$2:$B$120,2,0)</f>
        <v>140</v>
      </c>
      <c r="V1231" s="2">
        <f t="shared" si="548"/>
        <v>166.07142857142858</v>
      </c>
      <c r="W1231" s="45">
        <f t="shared" ca="1" si="560"/>
        <v>8</v>
      </c>
      <c r="X1231" s="48">
        <f t="shared" ca="1" si="561"/>
        <v>36</v>
      </c>
      <c r="Y1231">
        <f t="shared" si="554"/>
        <v>18</v>
      </c>
      <c r="Z1231">
        <f t="shared" ca="1" si="557"/>
        <v>0</v>
      </c>
      <c r="AA1231" t="str">
        <f t="shared" ca="1" si="549"/>
        <v>9322400.png</v>
      </c>
      <c r="AB1231">
        <f t="shared" si="550"/>
        <v>20</v>
      </c>
      <c r="AC1231">
        <f>VLOOKUP(C1231,技能辅助查询表,技能配置辅助表!$W$1,FALSE)</f>
        <v>5333</v>
      </c>
      <c r="AD1231">
        <f t="shared" ca="1" si="558"/>
        <v>3.2985475588734765</v>
      </c>
      <c r="AE1231">
        <f>VLOOKUP(C1231,技能辅助查询表,技能配置辅助表!$U$1,FALSE)</f>
        <v>4</v>
      </c>
      <c r="AF1231">
        <f t="shared" ca="1" si="551"/>
        <v>9322405</v>
      </c>
      <c r="AG1231">
        <f t="shared" ca="1" si="552"/>
        <v>14.795918367346939</v>
      </c>
      <c r="AH1231">
        <f t="shared" ca="1" si="559"/>
        <v>22.175109639485559</v>
      </c>
      <c r="AI1231">
        <f ca="1">VLOOKUP(E1231,伤害参考系!$C$4:$E$104,3,FALSE)*$AN$12</f>
        <v>421.35260869565224</v>
      </c>
      <c r="AJ1231">
        <f>VLOOKUP(C1231,技能辅助查询表,技能配置辅助表!$L$1,FALSE)</f>
        <v>1</v>
      </c>
      <c r="AK1231">
        <f>VLOOKUP(C1231,技能辅助查询表,技能配置辅助表!$AE$1,FALSE)</f>
        <v>66000550</v>
      </c>
    </row>
    <row r="1232" spans="1:37" x14ac:dyDescent="0.15">
      <c r="A1232" s="1">
        <f t="shared" ca="1" si="534"/>
        <v>9322406</v>
      </c>
      <c r="B1232" s="1" t="str">
        <f t="shared" ca="1" si="535"/>
        <v>玫瑰之舞第4段</v>
      </c>
      <c r="C1232" t="s">
        <v>176</v>
      </c>
      <c r="D1232">
        <f t="shared" si="536"/>
        <v>3</v>
      </c>
      <c r="E1232" s="42">
        <f t="shared" ca="1" si="555"/>
        <v>18</v>
      </c>
      <c r="F1232" t="str">
        <f t="shared" ca="1" si="556"/>
        <v>第6级，共造成176%点伤害</v>
      </c>
      <c r="G1232">
        <f t="shared" ca="1" si="537"/>
        <v>4</v>
      </c>
      <c r="H1232">
        <f t="shared" si="538"/>
        <v>4</v>
      </c>
      <c r="I1232" s="44">
        <f t="shared" ca="1" si="539"/>
        <v>6</v>
      </c>
      <c r="J1232">
        <f t="shared" si="540"/>
        <v>2</v>
      </c>
      <c r="K1232" s="36">
        <f t="shared" ca="1" si="541"/>
        <v>176.03571428571431</v>
      </c>
      <c r="L1232" s="10">
        <f ca="1">AH1232*VLOOKUP(C1232,技能辅助查询表,技能配置辅助表!$T$1,FALSE)</f>
        <v>0</v>
      </c>
      <c r="M1232">
        <f t="shared" ca="1" si="553"/>
        <v>7520</v>
      </c>
      <c r="N1232" s="33">
        <f ca="1">CHOOSE(1,W1232*U1232,X1232*'[1]0、经济设定'!$C$18)</f>
        <v>1368</v>
      </c>
      <c r="O1232">
        <f t="shared" si="542"/>
        <v>2</v>
      </c>
      <c r="P1232">
        <f t="shared" si="543"/>
        <v>1</v>
      </c>
      <c r="Q1232">
        <f t="shared" si="544"/>
        <v>1</v>
      </c>
      <c r="R1232" s="2">
        <f t="shared" si="545"/>
        <v>9</v>
      </c>
      <c r="S1232" s="2">
        <f t="shared" si="546"/>
        <v>50</v>
      </c>
      <c r="T1232" s="2">
        <f t="shared" si="547"/>
        <v>166.07142857142858</v>
      </c>
      <c r="U1232" s="2">
        <f ca="1">VLOOKUP(E1232,金币生产率!$A$2:$B$120,2,0)</f>
        <v>152</v>
      </c>
      <c r="V1232" s="2">
        <f t="shared" si="548"/>
        <v>166.07142857142858</v>
      </c>
      <c r="W1232" s="45">
        <f t="shared" ca="1" si="560"/>
        <v>9</v>
      </c>
      <c r="X1232" s="48">
        <f t="shared" ca="1" si="561"/>
        <v>45</v>
      </c>
      <c r="Y1232">
        <f t="shared" si="554"/>
        <v>18</v>
      </c>
      <c r="Z1232">
        <f t="shared" ca="1" si="557"/>
        <v>0</v>
      </c>
      <c r="AA1232" t="str">
        <f t="shared" ca="1" si="549"/>
        <v>9322400.png</v>
      </c>
      <c r="AB1232">
        <f t="shared" si="550"/>
        <v>20</v>
      </c>
      <c r="AC1232">
        <f>VLOOKUP(C1232,技能辅助查询表,技能配置辅助表!$W$1,FALSE)</f>
        <v>5333</v>
      </c>
      <c r="AD1232">
        <f t="shared" ca="1" si="558"/>
        <v>3.8392058248427197</v>
      </c>
      <c r="AE1232">
        <f>VLOOKUP(C1232,技能辅助查询表,技能配置辅助表!$U$1,FALSE)</f>
        <v>4</v>
      </c>
      <c r="AF1232">
        <f t="shared" ca="1" si="551"/>
        <v>9322406</v>
      </c>
      <c r="AG1232">
        <f t="shared" ca="1" si="552"/>
        <v>16.244897959183675</v>
      </c>
      <c r="AH1232">
        <f t="shared" ca="1" si="559"/>
        <v>25.246069303803697</v>
      </c>
      <c r="AI1232">
        <f ca="1">VLOOKUP(E1232,伤害参考系!$C$4:$E$104,3,FALSE)*$AN$12</f>
        <v>522.16043478260883</v>
      </c>
      <c r="AJ1232">
        <f>VLOOKUP(C1232,技能辅助查询表,技能配置辅助表!$L$1,FALSE)</f>
        <v>1</v>
      </c>
      <c r="AK1232">
        <f>VLOOKUP(C1232,技能辅助查询表,技能配置辅助表!$AE$1,FALSE)</f>
        <v>66000550</v>
      </c>
    </row>
    <row r="1233" spans="1:37" x14ac:dyDescent="0.15">
      <c r="A1233" s="1">
        <f t="shared" ca="1" si="534"/>
        <v>9322407</v>
      </c>
      <c r="B1233" s="1" t="str">
        <f t="shared" ca="1" si="535"/>
        <v>玫瑰之舞第4段</v>
      </c>
      <c r="C1233" t="s">
        <v>176</v>
      </c>
      <c r="D1233">
        <f t="shared" si="536"/>
        <v>3</v>
      </c>
      <c r="E1233" s="42">
        <f t="shared" ca="1" si="555"/>
        <v>19</v>
      </c>
      <c r="F1233" t="str">
        <f t="shared" ca="1" si="556"/>
        <v>第7级，共造成177.7%点伤害</v>
      </c>
      <c r="G1233">
        <f t="shared" ca="1" si="537"/>
        <v>4</v>
      </c>
      <c r="H1233">
        <f t="shared" si="538"/>
        <v>4</v>
      </c>
      <c r="I1233" s="44">
        <f t="shared" ca="1" si="539"/>
        <v>7</v>
      </c>
      <c r="J1233">
        <f t="shared" si="540"/>
        <v>2</v>
      </c>
      <c r="K1233" s="36">
        <f t="shared" ca="1" si="541"/>
        <v>177.69642857142858</v>
      </c>
      <c r="L1233" s="10">
        <f ca="1">AH1233*VLOOKUP(C1233,技能辅助查询表,技能配置辅助表!$T$1,FALSE)</f>
        <v>0</v>
      </c>
      <c r="M1233">
        <f t="shared" ca="1" si="553"/>
        <v>7440</v>
      </c>
      <c r="N1233" s="33">
        <f ca="1">CHOOSE(1,W1233*U1233,X1233*'[1]0、经济设定'!$C$18)</f>
        <v>1422</v>
      </c>
      <c r="O1233">
        <f t="shared" si="542"/>
        <v>2</v>
      </c>
      <c r="P1233">
        <f t="shared" si="543"/>
        <v>1</v>
      </c>
      <c r="Q1233">
        <f t="shared" si="544"/>
        <v>1</v>
      </c>
      <c r="R1233" s="2">
        <f t="shared" si="545"/>
        <v>9</v>
      </c>
      <c r="S1233" s="2">
        <f t="shared" si="546"/>
        <v>50</v>
      </c>
      <c r="T1233" s="2">
        <f t="shared" si="547"/>
        <v>166.07142857142858</v>
      </c>
      <c r="U1233" s="2">
        <f ca="1">VLOOKUP(E1233,金币生产率!$A$2:$B$120,2,0)</f>
        <v>158</v>
      </c>
      <c r="V1233" s="2">
        <f t="shared" si="548"/>
        <v>166.07142857142858</v>
      </c>
      <c r="W1233" s="45">
        <f t="shared" ca="1" si="560"/>
        <v>9</v>
      </c>
      <c r="X1233" s="48">
        <f t="shared" ca="1" si="561"/>
        <v>54</v>
      </c>
      <c r="Y1233">
        <f t="shared" si="554"/>
        <v>18</v>
      </c>
      <c r="Z1233">
        <f t="shared" ca="1" si="557"/>
        <v>0</v>
      </c>
      <c r="AA1233" t="str">
        <f t="shared" ca="1" si="549"/>
        <v>9322400.png</v>
      </c>
      <c r="AB1233">
        <f t="shared" si="550"/>
        <v>20</v>
      </c>
      <c r="AC1233">
        <f>VLOOKUP(C1233,技能辅助查询表,技能配置辅助表!$W$1,FALSE)</f>
        <v>5333</v>
      </c>
      <c r="AD1233">
        <f t="shared" ca="1" si="558"/>
        <v>4.4663506510913766</v>
      </c>
      <c r="AE1233">
        <f>VLOOKUP(C1233,技能辅助查询表,技能配置辅助表!$U$1,FALSE)</f>
        <v>4</v>
      </c>
      <c r="AF1233">
        <f t="shared" ca="1" si="551"/>
        <v>9322407</v>
      </c>
      <c r="AG1233">
        <f t="shared" ca="1" si="552"/>
        <v>17.693877551020407</v>
      </c>
      <c r="AH1233">
        <f t="shared" ca="1" si="559"/>
        <v>28.742316302127907</v>
      </c>
      <c r="AI1233">
        <f ca="1">VLOOKUP(E1233,伤害参考系!$C$4:$E$104,3,FALSE)*$AN$12</f>
        <v>576.22842391304346</v>
      </c>
      <c r="AJ1233">
        <f>VLOOKUP(C1233,技能辅助查询表,技能配置辅助表!$L$1,FALSE)</f>
        <v>1</v>
      </c>
      <c r="AK1233">
        <f>VLOOKUP(C1233,技能辅助查询表,技能配置辅助表!$AE$1,FALSE)</f>
        <v>66000550</v>
      </c>
    </row>
    <row r="1234" spans="1:37" x14ac:dyDescent="0.15">
      <c r="A1234" s="1">
        <f t="shared" ca="1" si="534"/>
        <v>9322408</v>
      </c>
      <c r="B1234" s="1" t="str">
        <f t="shared" ca="1" si="535"/>
        <v>玫瑰之舞第4段</v>
      </c>
      <c r="C1234" t="s">
        <v>176</v>
      </c>
      <c r="D1234">
        <f t="shared" si="536"/>
        <v>3</v>
      </c>
      <c r="E1234" s="42">
        <f t="shared" ca="1" si="555"/>
        <v>20</v>
      </c>
      <c r="F1234" t="str">
        <f t="shared" ca="1" si="556"/>
        <v>第8级，共造成179.4%点伤害</v>
      </c>
      <c r="G1234">
        <f t="shared" ca="1" si="537"/>
        <v>4</v>
      </c>
      <c r="H1234">
        <f t="shared" si="538"/>
        <v>4</v>
      </c>
      <c r="I1234" s="44">
        <f t="shared" ca="1" si="539"/>
        <v>8</v>
      </c>
      <c r="J1234">
        <f t="shared" si="540"/>
        <v>2</v>
      </c>
      <c r="K1234" s="36">
        <f t="shared" ca="1" si="541"/>
        <v>179.35714285714286</v>
      </c>
      <c r="L1234" s="10">
        <f ca="1">AH1234*VLOOKUP(C1234,技能辅助查询表,技能配置辅助表!$T$1,FALSE)</f>
        <v>0</v>
      </c>
      <c r="M1234">
        <f t="shared" ca="1" si="553"/>
        <v>7360</v>
      </c>
      <c r="N1234" s="33">
        <f ca="1">CHOOSE(1,W1234*U1234,X1234*'[1]0、经济设定'!$C$18)</f>
        <v>1820</v>
      </c>
      <c r="O1234">
        <f t="shared" si="542"/>
        <v>2</v>
      </c>
      <c r="P1234">
        <f t="shared" si="543"/>
        <v>1</v>
      </c>
      <c r="Q1234">
        <f t="shared" si="544"/>
        <v>1</v>
      </c>
      <c r="R1234" s="2">
        <f t="shared" si="545"/>
        <v>9</v>
      </c>
      <c r="S1234" s="2">
        <f t="shared" si="546"/>
        <v>50</v>
      </c>
      <c r="T1234" s="2">
        <f t="shared" si="547"/>
        <v>166.07142857142858</v>
      </c>
      <c r="U1234" s="2">
        <f ca="1">VLOOKUP(E1234,金币生产率!$A$2:$B$120,2,0)</f>
        <v>182</v>
      </c>
      <c r="V1234" s="2">
        <f t="shared" si="548"/>
        <v>166.07142857142858</v>
      </c>
      <c r="W1234" s="45">
        <f t="shared" ca="1" si="560"/>
        <v>10</v>
      </c>
      <c r="X1234" s="48">
        <f t="shared" ca="1" si="561"/>
        <v>64</v>
      </c>
      <c r="Y1234">
        <f t="shared" si="554"/>
        <v>18</v>
      </c>
      <c r="Z1234">
        <f t="shared" ca="1" si="557"/>
        <v>0</v>
      </c>
      <c r="AA1234" t="str">
        <f t="shared" ca="1" si="549"/>
        <v>9322400.png</v>
      </c>
      <c r="AB1234">
        <f t="shared" si="550"/>
        <v>20</v>
      </c>
      <c r="AC1234">
        <f>VLOOKUP(C1234,技能辅助查询表,技能配置辅助表!$W$1,FALSE)</f>
        <v>5333</v>
      </c>
      <c r="AD1234">
        <f t="shared" ca="1" si="558"/>
        <v>5.1935674659939952</v>
      </c>
      <c r="AE1234">
        <f>VLOOKUP(C1234,技能辅助查询表,技能配置辅助表!$U$1,FALSE)</f>
        <v>4</v>
      </c>
      <c r="AF1234">
        <f t="shared" ca="1" si="551"/>
        <v>9322408</v>
      </c>
      <c r="AG1234">
        <f t="shared" ca="1" si="552"/>
        <v>19.142857142857142</v>
      </c>
      <c r="AH1234">
        <f t="shared" ca="1" si="559"/>
        <v>32.722747310493212</v>
      </c>
      <c r="AI1234">
        <f ca="1">VLOOKUP(E1234,伤害参考系!$C$4:$E$104,3,FALSE)*$AN$12</f>
        <v>632.73913043478262</v>
      </c>
      <c r="AJ1234">
        <f>VLOOKUP(C1234,技能辅助查询表,技能配置辅助表!$L$1,FALSE)</f>
        <v>1</v>
      </c>
      <c r="AK1234">
        <f>VLOOKUP(C1234,技能辅助查询表,技能配置辅助表!$AE$1,FALSE)</f>
        <v>66000550</v>
      </c>
    </row>
    <row r="1235" spans="1:37" x14ac:dyDescent="0.15">
      <c r="A1235" s="1">
        <f t="shared" ref="A1235:A1298" ca="1" si="562">IF(I1235=0,IF(H1235=1,VALUE("9"&amp;D1235&amp;J1235&amp;O1235&amp;G1235&amp;IF(I1235&gt;9,I1235,"0"&amp;I1235)),1),VALUE("9"&amp;D1235&amp;J1235&amp;O1235&amp;G1235&amp;IF(I1235&gt;9,I1235,"0"&amp;I1235)))</f>
        <v>9322409</v>
      </c>
      <c r="B1235" s="1" t="str">
        <f t="shared" ref="B1235:B1298" ca="1" si="563">IF(AND(G1235=0,AE1235=4),LEFT(C1235,LEN(C1235)-3),C1235)</f>
        <v>玫瑰之舞第4段</v>
      </c>
      <c r="C1235" t="s">
        <v>176</v>
      </c>
      <c r="D1235">
        <f t="shared" ref="D1235:D1298" si="564">VLOOKUP(C1235,技能辅助查询表,3,FALSE)</f>
        <v>3</v>
      </c>
      <c r="E1235" s="42">
        <f t="shared" ca="1" si="555"/>
        <v>22</v>
      </c>
      <c r="F1235" t="str">
        <f t="shared" ca="1" si="556"/>
        <v>第9级，共造成181%点伤害</v>
      </c>
      <c r="G1235">
        <f t="shared" ref="G1235:G1298" ca="1" si="565">IF(I1235=0,0,H1235)</f>
        <v>4</v>
      </c>
      <c r="H1235">
        <f t="shared" ref="H1235:H1298" si="566">VLOOKUP(C1235,技能辅助查询表,2,FALSE)</f>
        <v>4</v>
      </c>
      <c r="I1235" s="44">
        <f t="shared" ref="I1235:I1298" ca="1" si="567">IF(OFFSET(C1235,-1,0)=C1235,I1234+1,0)</f>
        <v>9</v>
      </c>
      <c r="J1235">
        <f t="shared" ref="J1235:J1298" si="568">VLOOKUP(C1235,技能辅助查询表,4,FALSE)</f>
        <v>2</v>
      </c>
      <c r="K1235" s="36">
        <f t="shared" ref="K1235:K1298" ca="1" si="569">IF(OR(I1235=0,I1235=1),T1235,T1235+T1235*($AN$6-1)/S1235*I1235)</f>
        <v>181.01785714285717</v>
      </c>
      <c r="L1235" s="10">
        <f ca="1">AH1235*VLOOKUP(C1235,技能辅助查询表,技能配置辅助表!$T$1,FALSE)</f>
        <v>0</v>
      </c>
      <c r="M1235">
        <f t="shared" ca="1" si="553"/>
        <v>7280</v>
      </c>
      <c r="N1235" s="33">
        <f ca="1">CHOOSE(1,W1235*U1235,X1235*'[1]0、经济设定'!$C$18)</f>
        <v>2629</v>
      </c>
      <c r="O1235">
        <f t="shared" ref="O1235:O1298" si="570">VLOOKUP(C1235,技能辅助查询表,5,FALSE)</f>
        <v>2</v>
      </c>
      <c r="P1235">
        <f t="shared" ref="P1235:P1298" si="571">VLOOKUP(C1235,技能辅助查询表,6,FALSE)</f>
        <v>1</v>
      </c>
      <c r="Q1235">
        <f t="shared" ref="Q1235:Q1298" si="572">VLOOKUP(C1235,技能辅助查询表,7,FALSE)</f>
        <v>1</v>
      </c>
      <c r="R1235" s="2">
        <f t="shared" ref="R1235:R1298" si="573">VLOOKUP(C1235,技能辅助查询表,9,FALSE)</f>
        <v>9</v>
      </c>
      <c r="S1235" s="2">
        <f t="shared" ref="S1235:S1298" si="574">VLOOKUP(C1235,技能辅助查询表,8,FALSE)</f>
        <v>50</v>
      </c>
      <c r="T1235" s="2">
        <f t="shared" ref="T1235:T1298" si="575">VLOOKUP(C1235,技能辅助查询表,11,FALSE)</f>
        <v>166.07142857142858</v>
      </c>
      <c r="U1235" s="2">
        <f ca="1">VLOOKUP(E1235,金币生产率!$A$2:$B$120,2,0)</f>
        <v>239</v>
      </c>
      <c r="V1235" s="2">
        <f t="shared" ref="V1235:V1298" si="576">VLOOKUP(C1235,技能辅助查询表,12,FALSE)</f>
        <v>166.07142857142858</v>
      </c>
      <c r="W1235" s="45">
        <f t="shared" ca="1" si="560"/>
        <v>11</v>
      </c>
      <c r="X1235" s="48">
        <f t="shared" ca="1" si="561"/>
        <v>75</v>
      </c>
      <c r="Y1235">
        <f t="shared" si="554"/>
        <v>18</v>
      </c>
      <c r="Z1235">
        <f t="shared" ca="1" si="557"/>
        <v>0</v>
      </c>
      <c r="AA1235" t="str">
        <f t="shared" ref="AA1235:AA1298" ca="1" si="577">AF1235-MOD(AF1235,100)&amp;".png"</f>
        <v>9322400.png</v>
      </c>
      <c r="AB1235">
        <f t="shared" ref="AB1235:AB1298" si="578">VLOOKUP(C1235,技能辅助查询表,17,FALSE)</f>
        <v>20</v>
      </c>
      <c r="AC1235">
        <f>VLOOKUP(C1235,技能辅助查询表,技能配置辅助表!$W$1,FALSE)</f>
        <v>5333</v>
      </c>
      <c r="AD1235">
        <f t="shared" ca="1" si="558"/>
        <v>6.0365458122781721</v>
      </c>
      <c r="AE1235">
        <f>VLOOKUP(C1235,技能辅助查询表,技能配置辅助表!$U$1,FALSE)</f>
        <v>4</v>
      </c>
      <c r="AF1235">
        <f t="shared" ref="AF1235:AF1298" ca="1" si="579">VALUE("9"&amp;D1235&amp;J1235&amp;O1235&amp;H1235&amp;IF(I1235&gt;9,I1235,"0"&amp;I1235))</f>
        <v>9322409</v>
      </c>
      <c r="AG1235">
        <f t="shared" ref="AG1235:AG1298" ca="1" si="580">IF(I1235=1,R1235,IF(I1235=0,0,(I1235-1)*(80-R1235)/(S1235-1)+R1235))</f>
        <v>20.591836734693878</v>
      </c>
      <c r="AH1235">
        <f t="shared" ca="1" si="559"/>
        <v>37.25441541630785</v>
      </c>
      <c r="AI1235">
        <f ca="1">VLOOKUP(E1235,伤害参考系!$C$4:$E$104,3,FALSE)*$AN$12</f>
        <v>753.08869565217401</v>
      </c>
      <c r="AJ1235">
        <f>VLOOKUP(C1235,技能辅助查询表,技能配置辅助表!$L$1,FALSE)</f>
        <v>1</v>
      </c>
      <c r="AK1235">
        <f>VLOOKUP(C1235,技能辅助查询表,技能配置辅助表!$AE$1,FALSE)</f>
        <v>66000550</v>
      </c>
    </row>
    <row r="1236" spans="1:37" x14ac:dyDescent="0.15">
      <c r="A1236" s="1">
        <f t="shared" ca="1" si="562"/>
        <v>9322410</v>
      </c>
      <c r="B1236" s="1" t="str">
        <f t="shared" ca="1" si="563"/>
        <v>玫瑰之舞第4段</v>
      </c>
      <c r="C1236" t="s">
        <v>176</v>
      </c>
      <c r="D1236">
        <f t="shared" si="564"/>
        <v>3</v>
      </c>
      <c r="E1236" s="42">
        <f t="shared" ca="1" si="555"/>
        <v>23</v>
      </c>
      <c r="F1236" t="str">
        <f t="shared" ca="1" si="556"/>
        <v>第10级，共造成182.7%点伤害</v>
      </c>
      <c r="G1236">
        <f t="shared" ca="1" si="565"/>
        <v>4</v>
      </c>
      <c r="H1236">
        <f t="shared" si="566"/>
        <v>4</v>
      </c>
      <c r="I1236" s="44">
        <f t="shared" ca="1" si="567"/>
        <v>10</v>
      </c>
      <c r="J1236">
        <f t="shared" si="568"/>
        <v>2</v>
      </c>
      <c r="K1236" s="36">
        <f t="shared" ca="1" si="569"/>
        <v>182.67857142857144</v>
      </c>
      <c r="L1236" s="10">
        <f ca="1">AH1236*VLOOKUP(C1236,技能辅助查询表,技能配置辅助表!$T$1,FALSE)</f>
        <v>0</v>
      </c>
      <c r="M1236">
        <f t="shared" ca="1" si="553"/>
        <v>7200</v>
      </c>
      <c r="N1236" s="33">
        <f ca="1">CHOOSE(1,W1236*U1236,X1236*'[1]0、经济设定'!$C$18)</f>
        <v>2970</v>
      </c>
      <c r="O1236">
        <f t="shared" si="570"/>
        <v>2</v>
      </c>
      <c r="P1236">
        <f t="shared" si="571"/>
        <v>1</v>
      </c>
      <c r="Q1236">
        <f t="shared" si="572"/>
        <v>1</v>
      </c>
      <c r="R1236" s="2">
        <f t="shared" si="573"/>
        <v>9</v>
      </c>
      <c r="S1236" s="2">
        <f t="shared" si="574"/>
        <v>50</v>
      </c>
      <c r="T1236" s="2">
        <f t="shared" si="575"/>
        <v>166.07142857142858</v>
      </c>
      <c r="U1236" s="2">
        <f ca="1">VLOOKUP(E1236,金币生产率!$A$2:$B$120,2,0)</f>
        <v>270</v>
      </c>
      <c r="V1236" s="2">
        <f t="shared" si="576"/>
        <v>166.07142857142858</v>
      </c>
      <c r="W1236" s="45">
        <f t="shared" ca="1" si="560"/>
        <v>11</v>
      </c>
      <c r="X1236" s="48">
        <f t="shared" ca="1" si="561"/>
        <v>86</v>
      </c>
      <c r="Y1236">
        <f t="shared" si="554"/>
        <v>18</v>
      </c>
      <c r="Z1236">
        <f t="shared" ca="1" si="557"/>
        <v>0</v>
      </c>
      <c r="AA1236" t="str">
        <f t="shared" ca="1" si="577"/>
        <v>9322400.png</v>
      </c>
      <c r="AB1236">
        <f t="shared" si="578"/>
        <v>20</v>
      </c>
      <c r="AC1236">
        <f>VLOOKUP(C1236,技能辅助查询表,技能配置辅助表!$W$1,FALSE)</f>
        <v>5333</v>
      </c>
      <c r="AD1236">
        <f t="shared" ca="1" si="558"/>
        <v>7.0134015817334658</v>
      </c>
      <c r="AE1236">
        <f>VLOOKUP(C1236,技能辅助查询表,技能配置辅助表!$U$1,FALSE)</f>
        <v>4</v>
      </c>
      <c r="AF1236">
        <f t="shared" ca="1" si="579"/>
        <v>9322410</v>
      </c>
      <c r="AG1236">
        <f t="shared" ca="1" si="580"/>
        <v>22.04081632653061</v>
      </c>
      <c r="AH1236">
        <f t="shared" ca="1" si="559"/>
        <v>42.413659673550121</v>
      </c>
      <c r="AI1236">
        <f ca="1">VLOOKUP(E1236,伤害参考系!$C$4:$E$104,3,FALSE)*$AN$12</f>
        <v>832.15832357859551</v>
      </c>
      <c r="AJ1236">
        <f>VLOOKUP(C1236,技能辅助查询表,技能配置辅助表!$L$1,FALSE)</f>
        <v>1</v>
      </c>
      <c r="AK1236">
        <f>VLOOKUP(C1236,技能辅助查询表,技能配置辅助表!$AE$1,FALSE)</f>
        <v>66000550</v>
      </c>
    </row>
    <row r="1237" spans="1:37" x14ac:dyDescent="0.15">
      <c r="A1237" s="1">
        <f t="shared" ca="1" si="562"/>
        <v>9322411</v>
      </c>
      <c r="B1237" s="1" t="str">
        <f t="shared" ca="1" si="563"/>
        <v>玫瑰之舞第4段</v>
      </c>
      <c r="C1237" t="s">
        <v>176</v>
      </c>
      <c r="D1237">
        <f t="shared" si="564"/>
        <v>3</v>
      </c>
      <c r="E1237" s="42">
        <f t="shared" ca="1" si="555"/>
        <v>25</v>
      </c>
      <c r="F1237" t="str">
        <f t="shared" ca="1" si="556"/>
        <v>第11级，共造成184.3%点伤害</v>
      </c>
      <c r="G1237">
        <f t="shared" ca="1" si="565"/>
        <v>4</v>
      </c>
      <c r="H1237">
        <f t="shared" si="566"/>
        <v>4</v>
      </c>
      <c r="I1237" s="44">
        <f t="shared" ca="1" si="567"/>
        <v>11</v>
      </c>
      <c r="J1237">
        <f t="shared" si="568"/>
        <v>2</v>
      </c>
      <c r="K1237" s="36">
        <f t="shared" ca="1" si="569"/>
        <v>184.33928571428572</v>
      </c>
      <c r="L1237" s="10">
        <f ca="1">AH1237*VLOOKUP(C1237,技能辅助查询表,技能配置辅助表!$T$1,FALSE)</f>
        <v>0</v>
      </c>
      <c r="M1237">
        <f t="shared" ca="1" si="553"/>
        <v>7120</v>
      </c>
      <c r="N1237" s="33">
        <f ca="1">CHOOSE(1,W1237*U1237,X1237*'[1]0、经济设定'!$C$18)</f>
        <v>4020</v>
      </c>
      <c r="O1237">
        <f t="shared" si="570"/>
        <v>2</v>
      </c>
      <c r="P1237">
        <f t="shared" si="571"/>
        <v>1</v>
      </c>
      <c r="Q1237">
        <f t="shared" si="572"/>
        <v>1</v>
      </c>
      <c r="R1237" s="2">
        <f t="shared" si="573"/>
        <v>9</v>
      </c>
      <c r="S1237" s="2">
        <f t="shared" si="574"/>
        <v>50</v>
      </c>
      <c r="T1237" s="2">
        <f t="shared" si="575"/>
        <v>166.07142857142858</v>
      </c>
      <c r="U1237" s="2">
        <f ca="1">VLOOKUP(E1237,金币生产率!$A$2:$B$120,2,0)</f>
        <v>335</v>
      </c>
      <c r="V1237" s="2">
        <f t="shared" si="576"/>
        <v>166.07142857142858</v>
      </c>
      <c r="W1237" s="45">
        <f t="shared" ca="1" si="560"/>
        <v>12</v>
      </c>
      <c r="X1237" s="48">
        <f t="shared" ca="1" si="561"/>
        <v>98</v>
      </c>
      <c r="Y1237">
        <f t="shared" si="554"/>
        <v>18</v>
      </c>
      <c r="Z1237">
        <f t="shared" ca="1" si="557"/>
        <v>0</v>
      </c>
      <c r="AA1237" t="str">
        <f t="shared" ca="1" si="577"/>
        <v>9322400.png</v>
      </c>
      <c r="AB1237">
        <f t="shared" si="578"/>
        <v>20</v>
      </c>
      <c r="AC1237">
        <f>VLOOKUP(C1237,技能辅助查询表,技能配置辅助表!$W$1,FALSE)</f>
        <v>5333</v>
      </c>
      <c r="AD1237">
        <f t="shared" ca="1" si="558"/>
        <v>8.1450481464724085</v>
      </c>
      <c r="AE1237">
        <f>VLOOKUP(C1237,技能辅助查询表,技能配置辅助表!$U$1,FALSE)</f>
        <v>4</v>
      </c>
      <c r="AF1237">
        <f t="shared" ca="1" si="579"/>
        <v>9322411</v>
      </c>
      <c r="AG1237">
        <f t="shared" ca="1" si="580"/>
        <v>23.489795918367349</v>
      </c>
      <c r="AH1237">
        <f t="shared" ca="1" si="559"/>
        <v>48.287391086433935</v>
      </c>
      <c r="AI1237">
        <f ca="1">VLOOKUP(E1237,伤害参考系!$C$4:$E$104,3,FALSE)*$AN$12</f>
        <v>1000.3949623745822</v>
      </c>
      <c r="AJ1237">
        <f>VLOOKUP(C1237,技能辅助查询表,技能配置辅助表!$L$1,FALSE)</f>
        <v>1</v>
      </c>
      <c r="AK1237">
        <f>VLOOKUP(C1237,技能辅助查询表,技能配置辅助表!$AE$1,FALSE)</f>
        <v>66000550</v>
      </c>
    </row>
    <row r="1238" spans="1:37" x14ac:dyDescent="0.15">
      <c r="A1238" s="1">
        <f t="shared" ca="1" si="562"/>
        <v>9322412</v>
      </c>
      <c r="B1238" s="1" t="str">
        <f t="shared" ca="1" si="563"/>
        <v>玫瑰之舞第4段</v>
      </c>
      <c r="C1238" t="s">
        <v>176</v>
      </c>
      <c r="D1238">
        <f t="shared" si="564"/>
        <v>3</v>
      </c>
      <c r="E1238" s="42">
        <f t="shared" ca="1" si="555"/>
        <v>26</v>
      </c>
      <c r="F1238" t="str">
        <f t="shared" ca="1" si="556"/>
        <v>第12级，共造成186%点伤害</v>
      </c>
      <c r="G1238">
        <f t="shared" ca="1" si="565"/>
        <v>4</v>
      </c>
      <c r="H1238">
        <f t="shared" si="566"/>
        <v>4</v>
      </c>
      <c r="I1238" s="44">
        <f t="shared" ca="1" si="567"/>
        <v>12</v>
      </c>
      <c r="J1238">
        <f t="shared" si="568"/>
        <v>2</v>
      </c>
      <c r="K1238" s="36">
        <f t="shared" ca="1" si="569"/>
        <v>186</v>
      </c>
      <c r="L1238" s="10">
        <f ca="1">AH1238*VLOOKUP(C1238,技能辅助查询表,技能配置辅助表!$T$1,FALSE)</f>
        <v>0</v>
      </c>
      <c r="M1238">
        <f t="shared" ca="1" si="553"/>
        <v>7040</v>
      </c>
      <c r="N1238" s="33">
        <f ca="1">CHOOSE(1,W1238*U1238,X1238*'[1]0、经济设定'!$C$18)</f>
        <v>4810</v>
      </c>
      <c r="O1238">
        <f t="shared" si="570"/>
        <v>2</v>
      </c>
      <c r="P1238">
        <f t="shared" si="571"/>
        <v>1</v>
      </c>
      <c r="Q1238">
        <f t="shared" si="572"/>
        <v>1</v>
      </c>
      <c r="R1238" s="2">
        <f t="shared" si="573"/>
        <v>9</v>
      </c>
      <c r="S1238" s="2">
        <f t="shared" si="574"/>
        <v>50</v>
      </c>
      <c r="T1238" s="2">
        <f t="shared" si="575"/>
        <v>166.07142857142858</v>
      </c>
      <c r="U1238" s="2">
        <f ca="1">VLOOKUP(E1238,金币生产率!$A$2:$B$120,2,0)</f>
        <v>370</v>
      </c>
      <c r="V1238" s="2">
        <f t="shared" si="576"/>
        <v>166.07142857142858</v>
      </c>
      <c r="W1238" s="45">
        <f t="shared" ca="1" si="560"/>
        <v>13</v>
      </c>
      <c r="X1238" s="48">
        <f t="shared" ca="1" si="561"/>
        <v>111</v>
      </c>
      <c r="Y1238">
        <f t="shared" si="554"/>
        <v>18</v>
      </c>
      <c r="Z1238">
        <f t="shared" ca="1" si="557"/>
        <v>0</v>
      </c>
      <c r="AA1238" t="str">
        <f t="shared" ca="1" si="577"/>
        <v>9322400.png</v>
      </c>
      <c r="AB1238">
        <f t="shared" si="578"/>
        <v>20</v>
      </c>
      <c r="AC1238">
        <f>VLOOKUP(C1238,技能辅助查询表,技能配置辅助表!$W$1,FALSE)</f>
        <v>5333</v>
      </c>
      <c r="AD1238">
        <f t="shared" ca="1" si="558"/>
        <v>9.4556237497889395</v>
      </c>
      <c r="AE1238">
        <f>VLOOKUP(C1238,技能辅助查询表,技能配置辅助表!$U$1,FALSE)</f>
        <v>4</v>
      </c>
      <c r="AF1238">
        <f t="shared" ca="1" si="579"/>
        <v>9322412</v>
      </c>
      <c r="AG1238">
        <f t="shared" ca="1" si="580"/>
        <v>24.938775510204081</v>
      </c>
      <c r="AH1238">
        <f t="shared" ca="1" si="559"/>
        <v>54.974556684819426</v>
      </c>
      <c r="AI1238">
        <f ca="1">VLOOKUP(E1238,伤害参考系!$C$4:$E$104,3,FALSE)*$AN$12</f>
        <v>1103.3859732441474</v>
      </c>
      <c r="AJ1238">
        <f>VLOOKUP(C1238,技能辅助查询表,技能配置辅助表!$L$1,FALSE)</f>
        <v>1</v>
      </c>
      <c r="AK1238">
        <f>VLOOKUP(C1238,技能辅助查询表,技能配置辅助表!$AE$1,FALSE)</f>
        <v>66000550</v>
      </c>
    </row>
    <row r="1239" spans="1:37" x14ac:dyDescent="0.15">
      <c r="A1239" s="1">
        <f t="shared" ca="1" si="562"/>
        <v>9322413</v>
      </c>
      <c r="B1239" s="1" t="str">
        <f t="shared" ca="1" si="563"/>
        <v>玫瑰之舞第4段</v>
      </c>
      <c r="C1239" t="s">
        <v>176</v>
      </c>
      <c r="D1239">
        <f t="shared" si="564"/>
        <v>3</v>
      </c>
      <c r="E1239" s="42">
        <f t="shared" ca="1" si="555"/>
        <v>27</v>
      </c>
      <c r="F1239" t="str">
        <f t="shared" ca="1" si="556"/>
        <v>第13级，共造成187.7%点伤害</v>
      </c>
      <c r="G1239">
        <f t="shared" ca="1" si="565"/>
        <v>4</v>
      </c>
      <c r="H1239">
        <f t="shared" si="566"/>
        <v>4</v>
      </c>
      <c r="I1239" s="44">
        <f t="shared" ca="1" si="567"/>
        <v>13</v>
      </c>
      <c r="J1239">
        <f t="shared" si="568"/>
        <v>2</v>
      </c>
      <c r="K1239" s="36">
        <f t="shared" ca="1" si="569"/>
        <v>187.66071428571431</v>
      </c>
      <c r="L1239" s="10">
        <f ca="1">AH1239*VLOOKUP(C1239,技能辅助查询表,技能配置辅助表!$T$1,FALSE)</f>
        <v>0</v>
      </c>
      <c r="M1239">
        <f t="shared" ca="1" si="553"/>
        <v>6960</v>
      </c>
      <c r="N1239" s="33">
        <f ca="1">CHOOSE(1,W1239*U1239,X1239*'[1]0、经济设定'!$C$18)</f>
        <v>5684</v>
      </c>
      <c r="O1239">
        <f t="shared" si="570"/>
        <v>2</v>
      </c>
      <c r="P1239">
        <f t="shared" si="571"/>
        <v>1</v>
      </c>
      <c r="Q1239">
        <f t="shared" si="572"/>
        <v>1</v>
      </c>
      <c r="R1239" s="2">
        <f t="shared" si="573"/>
        <v>9</v>
      </c>
      <c r="S1239" s="2">
        <f t="shared" si="574"/>
        <v>50</v>
      </c>
      <c r="T1239" s="2">
        <f t="shared" si="575"/>
        <v>166.07142857142858</v>
      </c>
      <c r="U1239" s="2">
        <f ca="1">VLOOKUP(E1239,金币生产率!$A$2:$B$120,2,0)</f>
        <v>406</v>
      </c>
      <c r="V1239" s="2">
        <f t="shared" si="576"/>
        <v>166.07142857142858</v>
      </c>
      <c r="W1239" s="45">
        <f t="shared" ca="1" si="560"/>
        <v>14</v>
      </c>
      <c r="X1239" s="48">
        <f t="shared" ca="1" si="561"/>
        <v>125</v>
      </c>
      <c r="Y1239">
        <f t="shared" si="554"/>
        <v>18</v>
      </c>
      <c r="Z1239">
        <f t="shared" ca="1" si="557"/>
        <v>0</v>
      </c>
      <c r="AA1239" t="str">
        <f t="shared" ca="1" si="577"/>
        <v>9322400.png</v>
      </c>
      <c r="AB1239">
        <f t="shared" si="578"/>
        <v>20</v>
      </c>
      <c r="AC1239">
        <f>VLOOKUP(C1239,技能辅助查询表,技能配置辅助表!$W$1,FALSE)</f>
        <v>5333</v>
      </c>
      <c r="AD1239">
        <f t="shared" ca="1" si="558"/>
        <v>10.97298362126168</v>
      </c>
      <c r="AE1239">
        <f>VLOOKUP(C1239,技能辅助查询表,技能配置辅助表!$U$1,FALSE)</f>
        <v>4</v>
      </c>
      <c r="AF1239">
        <f t="shared" ca="1" si="579"/>
        <v>9322413</v>
      </c>
      <c r="AG1239">
        <f t="shared" ca="1" si="580"/>
        <v>26.387755102040817</v>
      </c>
      <c r="AH1239">
        <f t="shared" ca="1" si="559"/>
        <v>62.587806354721323</v>
      </c>
      <c r="AI1239">
        <f ca="1">VLOOKUP(E1239,伤害参考系!$C$4:$E$104,3,FALSE)*$AN$12</f>
        <v>1210.5107784280938</v>
      </c>
      <c r="AJ1239">
        <f>VLOOKUP(C1239,技能辅助查询表,技能配置辅助表!$L$1,FALSE)</f>
        <v>1</v>
      </c>
      <c r="AK1239">
        <f>VLOOKUP(C1239,技能辅助查询表,技能配置辅助表!$AE$1,FALSE)</f>
        <v>66000550</v>
      </c>
    </row>
    <row r="1240" spans="1:37" x14ac:dyDescent="0.15">
      <c r="A1240" s="1">
        <f t="shared" ca="1" si="562"/>
        <v>9322414</v>
      </c>
      <c r="B1240" s="1" t="str">
        <f t="shared" ca="1" si="563"/>
        <v>玫瑰之舞第4段</v>
      </c>
      <c r="C1240" t="s">
        <v>176</v>
      </c>
      <c r="D1240">
        <f t="shared" si="564"/>
        <v>3</v>
      </c>
      <c r="E1240" s="42">
        <f t="shared" ca="1" si="555"/>
        <v>29</v>
      </c>
      <c r="F1240" t="str">
        <f t="shared" ca="1" si="556"/>
        <v>第14级，共造成189.3%点伤害</v>
      </c>
      <c r="G1240">
        <f t="shared" ca="1" si="565"/>
        <v>4</v>
      </c>
      <c r="H1240">
        <f t="shared" si="566"/>
        <v>4</v>
      </c>
      <c r="I1240" s="44">
        <f t="shared" ca="1" si="567"/>
        <v>14</v>
      </c>
      <c r="J1240">
        <f t="shared" si="568"/>
        <v>2</v>
      </c>
      <c r="K1240" s="36">
        <f t="shared" ca="1" si="569"/>
        <v>189.32142857142858</v>
      </c>
      <c r="L1240" s="10">
        <f ca="1">AH1240*VLOOKUP(C1240,技能辅助查询表,技能配置辅助表!$T$1,FALSE)</f>
        <v>0</v>
      </c>
      <c r="M1240">
        <f t="shared" ca="1" si="553"/>
        <v>6880</v>
      </c>
      <c r="N1240" s="33">
        <f ca="1">CHOOSE(1,W1240*U1240,X1240*'[1]0、经济设定'!$C$18)</f>
        <v>6748</v>
      </c>
      <c r="O1240">
        <f t="shared" si="570"/>
        <v>2</v>
      </c>
      <c r="P1240">
        <f t="shared" si="571"/>
        <v>1</v>
      </c>
      <c r="Q1240">
        <f t="shared" si="572"/>
        <v>1</v>
      </c>
      <c r="R1240" s="2">
        <f t="shared" si="573"/>
        <v>9</v>
      </c>
      <c r="S1240" s="2">
        <f t="shared" si="574"/>
        <v>50</v>
      </c>
      <c r="T1240" s="2">
        <f t="shared" si="575"/>
        <v>166.07142857142858</v>
      </c>
      <c r="U1240" s="2">
        <f ca="1">VLOOKUP(E1240,金币生产率!$A$2:$B$120,2,0)</f>
        <v>482</v>
      </c>
      <c r="V1240" s="2">
        <f t="shared" si="576"/>
        <v>166.07142857142858</v>
      </c>
      <c r="W1240" s="45">
        <f t="shared" ca="1" si="560"/>
        <v>14</v>
      </c>
      <c r="X1240" s="48">
        <f t="shared" ca="1" si="561"/>
        <v>139</v>
      </c>
      <c r="Y1240">
        <f t="shared" si="554"/>
        <v>18</v>
      </c>
      <c r="Z1240">
        <f t="shared" ca="1" si="557"/>
        <v>0</v>
      </c>
      <c r="AA1240" t="str">
        <f t="shared" ca="1" si="577"/>
        <v>9322400.png</v>
      </c>
      <c r="AB1240">
        <f t="shared" si="578"/>
        <v>20</v>
      </c>
      <c r="AC1240">
        <f>VLOOKUP(C1240,技能辅助查询表,技能配置辅助表!$W$1,FALSE)</f>
        <v>5333</v>
      </c>
      <c r="AD1240">
        <f t="shared" ca="1" si="558"/>
        <v>12.729266546253362</v>
      </c>
      <c r="AE1240">
        <f>VLOOKUP(C1240,技能辅助查询表,技能配置辅助表!$U$1,FALSE)</f>
        <v>4</v>
      </c>
      <c r="AF1240">
        <f t="shared" ca="1" si="579"/>
        <v>9322414</v>
      </c>
      <c r="AG1240">
        <f t="shared" ca="1" si="580"/>
        <v>27.836734693877553</v>
      </c>
      <c r="AH1240">
        <f t="shared" ca="1" si="559"/>
        <v>71.25539050281769</v>
      </c>
      <c r="AI1240">
        <f ca="1">VLOOKUP(E1240,伤害参考系!$C$4:$E$104,3,FALSE)*$AN$12</f>
        <v>1437.1617717391309</v>
      </c>
      <c r="AJ1240">
        <f>VLOOKUP(C1240,技能辅助查询表,技能配置辅助表!$L$1,FALSE)</f>
        <v>1</v>
      </c>
      <c r="AK1240">
        <f>VLOOKUP(C1240,技能辅助查询表,技能配置辅助表!$AE$1,FALSE)</f>
        <v>66000550</v>
      </c>
    </row>
    <row r="1241" spans="1:37" x14ac:dyDescent="0.15">
      <c r="A1241" s="1">
        <f t="shared" ca="1" si="562"/>
        <v>9322415</v>
      </c>
      <c r="B1241" s="1" t="str">
        <f t="shared" ca="1" si="563"/>
        <v>玫瑰之舞第4段</v>
      </c>
      <c r="C1241" t="s">
        <v>176</v>
      </c>
      <c r="D1241">
        <f t="shared" si="564"/>
        <v>3</v>
      </c>
      <c r="E1241" s="42">
        <f t="shared" ca="1" si="555"/>
        <v>30</v>
      </c>
      <c r="F1241" t="str">
        <f t="shared" ca="1" si="556"/>
        <v>第15级，共造成191%点伤害</v>
      </c>
      <c r="G1241">
        <f t="shared" ca="1" si="565"/>
        <v>4</v>
      </c>
      <c r="H1241">
        <f t="shared" si="566"/>
        <v>4</v>
      </c>
      <c r="I1241" s="44">
        <f t="shared" ca="1" si="567"/>
        <v>15</v>
      </c>
      <c r="J1241">
        <f t="shared" si="568"/>
        <v>2</v>
      </c>
      <c r="K1241" s="36">
        <f t="shared" ca="1" si="569"/>
        <v>190.98214285714286</v>
      </c>
      <c r="L1241" s="10">
        <f ca="1">AH1241*VLOOKUP(C1241,技能辅助查询表,技能配置辅助表!$T$1,FALSE)</f>
        <v>0</v>
      </c>
      <c r="M1241">
        <f t="shared" ca="1" si="553"/>
        <v>6800</v>
      </c>
      <c r="N1241" s="33">
        <f ca="1">CHOOSE(1,W1241*U1241,X1241*'[1]0、经济设定'!$C$18)</f>
        <v>7830</v>
      </c>
      <c r="O1241">
        <f t="shared" si="570"/>
        <v>2</v>
      </c>
      <c r="P1241">
        <f t="shared" si="571"/>
        <v>1</v>
      </c>
      <c r="Q1241">
        <f t="shared" si="572"/>
        <v>1</v>
      </c>
      <c r="R1241" s="2">
        <f t="shared" si="573"/>
        <v>9</v>
      </c>
      <c r="S1241" s="2">
        <f t="shared" si="574"/>
        <v>50</v>
      </c>
      <c r="T1241" s="2">
        <f t="shared" si="575"/>
        <v>166.07142857142858</v>
      </c>
      <c r="U1241" s="2">
        <f ca="1">VLOOKUP(E1241,金币生产率!$A$2:$B$120,2,0)</f>
        <v>522</v>
      </c>
      <c r="V1241" s="2">
        <f t="shared" si="576"/>
        <v>166.07142857142858</v>
      </c>
      <c r="W1241" s="45">
        <f t="shared" ca="1" si="560"/>
        <v>15</v>
      </c>
      <c r="X1241" s="48">
        <f t="shared" ca="1" si="561"/>
        <v>154</v>
      </c>
      <c r="Y1241">
        <f t="shared" si="554"/>
        <v>18</v>
      </c>
      <c r="Z1241">
        <f t="shared" ca="1" si="557"/>
        <v>0</v>
      </c>
      <c r="AA1241" t="str">
        <f t="shared" ca="1" si="577"/>
        <v>9322400.png</v>
      </c>
      <c r="AB1241">
        <f t="shared" si="578"/>
        <v>20</v>
      </c>
      <c r="AC1241">
        <f>VLOOKUP(C1241,技能辅助查询表,技能配置辅助表!$W$1,FALSE)</f>
        <v>5333</v>
      </c>
      <c r="AD1241">
        <f t="shared" ca="1" si="558"/>
        <v>14.761547073632716</v>
      </c>
      <c r="AE1241">
        <f>VLOOKUP(C1241,技能辅助查询表,技能配置辅助表!$U$1,FALSE)</f>
        <v>4</v>
      </c>
      <c r="AF1241">
        <f t="shared" ca="1" si="579"/>
        <v>9322415</v>
      </c>
      <c r="AG1241">
        <f t="shared" ca="1" si="580"/>
        <v>29.285714285714285</v>
      </c>
      <c r="AH1241">
        <f t="shared" ca="1" si="559"/>
        <v>81.123320522417259</v>
      </c>
      <c r="AI1241">
        <f ca="1">VLOOKUP(E1241,伤害参考系!$C$4:$E$104,3,FALSE)*$AN$12</f>
        <v>1576.1465593645489</v>
      </c>
      <c r="AJ1241">
        <f>VLOOKUP(C1241,技能辅助查询表,技能配置辅助表!$L$1,FALSE)</f>
        <v>1</v>
      </c>
      <c r="AK1241">
        <f>VLOOKUP(C1241,技能辅助查询表,技能配置辅助表!$AE$1,FALSE)</f>
        <v>66000550</v>
      </c>
    </row>
    <row r="1242" spans="1:37" x14ac:dyDescent="0.15">
      <c r="A1242" s="1">
        <f t="shared" ca="1" si="562"/>
        <v>9322416</v>
      </c>
      <c r="B1242" s="1" t="str">
        <f t="shared" ca="1" si="563"/>
        <v>玫瑰之舞第4段</v>
      </c>
      <c r="C1242" t="s">
        <v>176</v>
      </c>
      <c r="D1242">
        <f t="shared" si="564"/>
        <v>3</v>
      </c>
      <c r="E1242" s="42">
        <f t="shared" ca="1" si="555"/>
        <v>32</v>
      </c>
      <c r="F1242" t="str">
        <f t="shared" ca="1" si="556"/>
        <v>第16级，共造成192.6%点伤害</v>
      </c>
      <c r="G1242">
        <f t="shared" ca="1" si="565"/>
        <v>4</v>
      </c>
      <c r="H1242">
        <f t="shared" si="566"/>
        <v>4</v>
      </c>
      <c r="I1242" s="44">
        <f t="shared" ca="1" si="567"/>
        <v>16</v>
      </c>
      <c r="J1242">
        <f t="shared" si="568"/>
        <v>2</v>
      </c>
      <c r="K1242" s="36">
        <f t="shared" ca="1" si="569"/>
        <v>192.64285714285717</v>
      </c>
      <c r="L1242" s="10">
        <f ca="1">AH1242*VLOOKUP(C1242,技能辅助查询表,技能配置辅助表!$T$1,FALSE)</f>
        <v>0</v>
      </c>
      <c r="M1242">
        <f t="shared" ca="1" si="553"/>
        <v>6720</v>
      </c>
      <c r="N1242" s="33">
        <f ca="1">CHOOSE(1,W1242*U1242,X1242*'[1]0、经济设定'!$C$18)</f>
        <v>9696</v>
      </c>
      <c r="O1242">
        <f t="shared" si="570"/>
        <v>2</v>
      </c>
      <c r="P1242">
        <f t="shared" si="571"/>
        <v>1</v>
      </c>
      <c r="Q1242">
        <f t="shared" si="572"/>
        <v>1</v>
      </c>
      <c r="R1242" s="2">
        <f t="shared" si="573"/>
        <v>9</v>
      </c>
      <c r="S1242" s="2">
        <f t="shared" si="574"/>
        <v>50</v>
      </c>
      <c r="T1242" s="2">
        <f t="shared" si="575"/>
        <v>166.07142857142858</v>
      </c>
      <c r="U1242" s="2">
        <f ca="1">VLOOKUP(E1242,金币生产率!$A$2:$B$120,2,0)</f>
        <v>606</v>
      </c>
      <c r="V1242" s="2">
        <f t="shared" si="576"/>
        <v>166.07142857142858</v>
      </c>
      <c r="W1242" s="45">
        <f t="shared" ca="1" si="560"/>
        <v>16</v>
      </c>
      <c r="X1242" s="48">
        <f t="shared" ca="1" si="561"/>
        <v>170</v>
      </c>
      <c r="Y1242">
        <f t="shared" si="554"/>
        <v>18</v>
      </c>
      <c r="Z1242">
        <f t="shared" ca="1" si="557"/>
        <v>0</v>
      </c>
      <c r="AA1242" t="str">
        <f t="shared" ca="1" si="577"/>
        <v>9322400.png</v>
      </c>
      <c r="AB1242">
        <f t="shared" si="578"/>
        <v>20</v>
      </c>
      <c r="AC1242">
        <f>VLOOKUP(C1242,技能辅助查询表,技能配置辅助表!$W$1,FALSE)</f>
        <v>5333</v>
      </c>
      <c r="AD1242">
        <f t="shared" ca="1" si="558"/>
        <v>17.112586215239038</v>
      </c>
      <c r="AE1242">
        <f>VLOOKUP(C1242,技能辅助查询表,技能配置辅助表!$U$1,FALSE)</f>
        <v>4</v>
      </c>
      <c r="AF1242">
        <f t="shared" ca="1" si="579"/>
        <v>9322416</v>
      </c>
      <c r="AG1242">
        <f t="shared" ca="1" si="580"/>
        <v>30.73469387755102</v>
      </c>
      <c r="AH1242">
        <f t="shared" ca="1" si="559"/>
        <v>92.357828455414989</v>
      </c>
      <c r="AI1242">
        <f ca="1">VLOOKUP(E1242,伤害参考系!$C$4:$E$104,3,FALSE)*$AN$12</f>
        <v>1873.3990785953181</v>
      </c>
      <c r="AJ1242">
        <f>VLOOKUP(C1242,技能辅助查询表,技能配置辅助表!$L$1,FALSE)</f>
        <v>1</v>
      </c>
      <c r="AK1242">
        <f>VLOOKUP(C1242,技能辅助查询表,技能配置辅助表!$AE$1,FALSE)</f>
        <v>66000550</v>
      </c>
    </row>
    <row r="1243" spans="1:37" x14ac:dyDescent="0.15">
      <c r="A1243" s="1">
        <f t="shared" ca="1" si="562"/>
        <v>9322417</v>
      </c>
      <c r="B1243" s="1" t="str">
        <f t="shared" ca="1" si="563"/>
        <v>玫瑰之舞第4段</v>
      </c>
      <c r="C1243" t="s">
        <v>176</v>
      </c>
      <c r="D1243">
        <f t="shared" si="564"/>
        <v>3</v>
      </c>
      <c r="E1243" s="42">
        <f t="shared" ca="1" si="555"/>
        <v>33</v>
      </c>
      <c r="F1243" t="str">
        <f t="shared" ca="1" si="556"/>
        <v>第17级，共造成194.3%点伤害</v>
      </c>
      <c r="G1243">
        <f t="shared" ca="1" si="565"/>
        <v>4</v>
      </c>
      <c r="H1243">
        <f t="shared" si="566"/>
        <v>4</v>
      </c>
      <c r="I1243" s="44">
        <f t="shared" ca="1" si="567"/>
        <v>17</v>
      </c>
      <c r="J1243">
        <f t="shared" si="568"/>
        <v>2</v>
      </c>
      <c r="K1243" s="36">
        <f t="shared" ca="1" si="569"/>
        <v>194.30357142857144</v>
      </c>
      <c r="L1243" s="10">
        <f ca="1">AH1243*VLOOKUP(C1243,技能辅助查询表,技能配置辅助表!$T$1,FALSE)</f>
        <v>0</v>
      </c>
      <c r="M1243">
        <f t="shared" ca="1" si="553"/>
        <v>6640</v>
      </c>
      <c r="N1243" s="33">
        <f ca="1">CHOOSE(1,W1243*U1243,X1243*'[1]0、经济设定'!$C$18)</f>
        <v>11718</v>
      </c>
      <c r="O1243">
        <f t="shared" si="570"/>
        <v>2</v>
      </c>
      <c r="P1243">
        <f t="shared" si="571"/>
        <v>1</v>
      </c>
      <c r="Q1243">
        <f t="shared" si="572"/>
        <v>1</v>
      </c>
      <c r="R1243" s="2">
        <f t="shared" si="573"/>
        <v>9</v>
      </c>
      <c r="S1243" s="2">
        <f t="shared" si="574"/>
        <v>50</v>
      </c>
      <c r="T1243" s="2">
        <f t="shared" si="575"/>
        <v>166.07142857142858</v>
      </c>
      <c r="U1243" s="2">
        <f ca="1">VLOOKUP(E1243,金币生产率!$A$2:$B$120,2,0)</f>
        <v>651</v>
      </c>
      <c r="V1243" s="2">
        <f t="shared" si="576"/>
        <v>166.07142857142858</v>
      </c>
      <c r="W1243" s="45">
        <f t="shared" ca="1" si="560"/>
        <v>18</v>
      </c>
      <c r="X1243" s="48">
        <f t="shared" ca="1" si="561"/>
        <v>188</v>
      </c>
      <c r="Y1243">
        <f t="shared" si="554"/>
        <v>18</v>
      </c>
      <c r="Z1243">
        <f t="shared" ca="1" si="557"/>
        <v>0</v>
      </c>
      <c r="AA1243" t="str">
        <f t="shared" ca="1" si="577"/>
        <v>9322400.png</v>
      </c>
      <c r="AB1243">
        <f t="shared" si="578"/>
        <v>20</v>
      </c>
      <c r="AC1243">
        <f>VLOOKUP(C1243,技能辅助查询表,技能配置辅助表!$W$1,FALSE)</f>
        <v>5333</v>
      </c>
      <c r="AD1243">
        <f t="shared" ca="1" si="558"/>
        <v>19.83169540827495</v>
      </c>
      <c r="AE1243">
        <f>VLOOKUP(C1243,技能辅助查询表,技能配置辅助表!$U$1,FALSE)</f>
        <v>4</v>
      </c>
      <c r="AF1243">
        <f t="shared" ca="1" si="579"/>
        <v>9322417</v>
      </c>
      <c r="AG1243">
        <f t="shared" ca="1" si="580"/>
        <v>32.183673469387756</v>
      </c>
      <c r="AH1243">
        <f t="shared" ca="1" si="559"/>
        <v>105.14816728492683</v>
      </c>
      <c r="AI1243">
        <f ca="1">VLOOKUP(E1243,伤害参考系!$C$4:$E$104,3,FALSE)*$AN$12</f>
        <v>2031.7137667224088</v>
      </c>
      <c r="AJ1243">
        <f>VLOOKUP(C1243,技能辅助查询表,技能配置辅助表!$L$1,FALSE)</f>
        <v>1</v>
      </c>
      <c r="AK1243">
        <f>VLOOKUP(C1243,技能辅助查询表,技能配置辅助表!$AE$1,FALSE)</f>
        <v>66000550</v>
      </c>
    </row>
    <row r="1244" spans="1:37" x14ac:dyDescent="0.15">
      <c r="A1244" s="1">
        <f t="shared" ca="1" si="562"/>
        <v>9322418</v>
      </c>
      <c r="B1244" s="1" t="str">
        <f t="shared" ca="1" si="563"/>
        <v>玫瑰之舞第4段</v>
      </c>
      <c r="C1244" t="s">
        <v>176</v>
      </c>
      <c r="D1244">
        <f t="shared" si="564"/>
        <v>3</v>
      </c>
      <c r="E1244" s="42">
        <f t="shared" ca="1" si="555"/>
        <v>35</v>
      </c>
      <c r="F1244" t="str">
        <f t="shared" ca="1" si="556"/>
        <v>第18级，共造成196%点伤害</v>
      </c>
      <c r="G1244">
        <f t="shared" ca="1" si="565"/>
        <v>4</v>
      </c>
      <c r="H1244">
        <f t="shared" si="566"/>
        <v>4</v>
      </c>
      <c r="I1244" s="44">
        <f t="shared" ca="1" si="567"/>
        <v>18</v>
      </c>
      <c r="J1244">
        <f t="shared" si="568"/>
        <v>2</v>
      </c>
      <c r="K1244" s="36">
        <f t="shared" ca="1" si="569"/>
        <v>195.96428571428572</v>
      </c>
      <c r="L1244" s="10">
        <f ca="1">AH1244*VLOOKUP(C1244,技能辅助查询表,技能配置辅助表!$T$1,FALSE)</f>
        <v>0</v>
      </c>
      <c r="M1244">
        <f t="shared" ca="1" si="553"/>
        <v>6560</v>
      </c>
      <c r="N1244" s="33">
        <f ca="1">CHOOSE(1,W1244*U1244,X1244*'[1]0、经济设定'!$C$18)</f>
        <v>14117</v>
      </c>
      <c r="O1244">
        <f t="shared" si="570"/>
        <v>2</v>
      </c>
      <c r="P1244">
        <f t="shared" si="571"/>
        <v>1</v>
      </c>
      <c r="Q1244">
        <f t="shared" si="572"/>
        <v>1</v>
      </c>
      <c r="R1244" s="2">
        <f t="shared" si="573"/>
        <v>9</v>
      </c>
      <c r="S1244" s="2">
        <f t="shared" si="574"/>
        <v>50</v>
      </c>
      <c r="T1244" s="2">
        <f t="shared" si="575"/>
        <v>166.07142857142858</v>
      </c>
      <c r="U1244" s="2">
        <f ca="1">VLOOKUP(E1244,金币生产率!$A$2:$B$120,2,0)</f>
        <v>743</v>
      </c>
      <c r="V1244" s="2">
        <f t="shared" si="576"/>
        <v>166.07142857142858</v>
      </c>
      <c r="W1244" s="45">
        <f t="shared" ca="1" si="560"/>
        <v>19</v>
      </c>
      <c r="X1244" s="48">
        <f t="shared" ca="1" si="561"/>
        <v>207</v>
      </c>
      <c r="Y1244">
        <f t="shared" si="554"/>
        <v>18</v>
      </c>
      <c r="Z1244">
        <f t="shared" ca="1" si="557"/>
        <v>8</v>
      </c>
      <c r="AA1244" t="str">
        <f t="shared" ca="1" si="577"/>
        <v>9322400.png</v>
      </c>
      <c r="AB1244">
        <f t="shared" si="578"/>
        <v>20</v>
      </c>
      <c r="AC1244">
        <f>VLOOKUP(C1244,技能辅助查询表,技能配置辅助表!$W$1,FALSE)</f>
        <v>5333</v>
      </c>
      <c r="AD1244">
        <f t="shared" ca="1" si="558"/>
        <v>22.975730714107772</v>
      </c>
      <c r="AE1244">
        <f>VLOOKUP(C1244,技能辅助查询表,技能配置辅助表!$U$1,FALSE)</f>
        <v>4</v>
      </c>
      <c r="AF1244">
        <f t="shared" ca="1" si="579"/>
        <v>9322418</v>
      </c>
      <c r="AG1244">
        <f t="shared" ca="1" si="580"/>
        <v>33.632653061224488</v>
      </c>
      <c r="AH1244">
        <f t="shared" ca="1" si="559"/>
        <v>119.70979903145096</v>
      </c>
      <c r="AI1244">
        <f ca="1">VLOOKUP(E1244,伤害参考系!$C$4:$E$104,3,FALSE)*$AN$12</f>
        <v>2367.0860869565217</v>
      </c>
      <c r="AJ1244">
        <f>VLOOKUP(C1244,技能辅助查询表,技能配置辅助表!$L$1,FALSE)</f>
        <v>1</v>
      </c>
      <c r="AK1244">
        <f>VLOOKUP(C1244,技能辅助查询表,技能配置辅助表!$AE$1,FALSE)</f>
        <v>66000550</v>
      </c>
    </row>
    <row r="1245" spans="1:37" x14ac:dyDescent="0.15">
      <c r="A1245" s="1">
        <f t="shared" ca="1" si="562"/>
        <v>9322419</v>
      </c>
      <c r="B1245" s="1" t="str">
        <f t="shared" ca="1" si="563"/>
        <v>玫瑰之舞第4段</v>
      </c>
      <c r="C1245" t="s">
        <v>176</v>
      </c>
      <c r="D1245">
        <f t="shared" si="564"/>
        <v>3</v>
      </c>
      <c r="E1245" s="42">
        <f t="shared" ca="1" si="555"/>
        <v>36</v>
      </c>
      <c r="F1245" t="str">
        <f t="shared" ca="1" si="556"/>
        <v>第19级，共造成197.6%点伤害</v>
      </c>
      <c r="G1245">
        <f t="shared" ca="1" si="565"/>
        <v>4</v>
      </c>
      <c r="H1245">
        <f t="shared" si="566"/>
        <v>4</v>
      </c>
      <c r="I1245" s="44">
        <f t="shared" ca="1" si="567"/>
        <v>19</v>
      </c>
      <c r="J1245">
        <f t="shared" si="568"/>
        <v>2</v>
      </c>
      <c r="K1245" s="36">
        <f t="shared" ca="1" si="569"/>
        <v>197.625</v>
      </c>
      <c r="L1245" s="10">
        <f ca="1">AH1245*VLOOKUP(C1245,技能辅助查询表,技能配置辅助表!$T$1,FALSE)</f>
        <v>0</v>
      </c>
      <c r="M1245">
        <f t="shared" ca="1" si="553"/>
        <v>6480</v>
      </c>
      <c r="N1245" s="33">
        <f ca="1">CHOOSE(1,W1245*U1245,X1245*'[1]0、经济设定'!$C$18)</f>
        <v>15820</v>
      </c>
      <c r="O1245">
        <f t="shared" si="570"/>
        <v>2</v>
      </c>
      <c r="P1245">
        <f t="shared" si="571"/>
        <v>1</v>
      </c>
      <c r="Q1245">
        <f t="shared" si="572"/>
        <v>1</v>
      </c>
      <c r="R1245" s="2">
        <f t="shared" si="573"/>
        <v>9</v>
      </c>
      <c r="S1245" s="2">
        <f t="shared" si="574"/>
        <v>50</v>
      </c>
      <c r="T1245" s="2">
        <f t="shared" si="575"/>
        <v>166.07142857142858</v>
      </c>
      <c r="U1245" s="2">
        <f ca="1">VLOOKUP(E1245,金币生产率!$A$2:$B$120,2,0)</f>
        <v>791</v>
      </c>
      <c r="V1245" s="2">
        <f t="shared" si="576"/>
        <v>166.07142857142858</v>
      </c>
      <c r="W1245" s="45">
        <f t="shared" ca="1" si="560"/>
        <v>20</v>
      </c>
      <c r="X1245" s="48">
        <f t="shared" ca="1" si="561"/>
        <v>227</v>
      </c>
      <c r="Y1245">
        <f t="shared" si="554"/>
        <v>18</v>
      </c>
      <c r="Z1245">
        <f t="shared" ca="1" si="557"/>
        <v>8</v>
      </c>
      <c r="AA1245" t="str">
        <f t="shared" ca="1" si="577"/>
        <v>9322400.png</v>
      </c>
      <c r="AB1245">
        <f t="shared" si="578"/>
        <v>20</v>
      </c>
      <c r="AC1245">
        <f>VLOOKUP(C1245,技能辅助查询表,技能配置辅助表!$W$1,FALSE)</f>
        <v>5333</v>
      </c>
      <c r="AD1245">
        <f t="shared" ca="1" si="558"/>
        <v>26.610236755942612</v>
      </c>
      <c r="AE1245">
        <f>VLOOKUP(C1245,技能辅助查询表,技能配置辅助表!$U$1,FALSE)</f>
        <v>4</v>
      </c>
      <c r="AF1245">
        <f t="shared" ca="1" si="579"/>
        <v>9322419</v>
      </c>
      <c r="AG1245">
        <f t="shared" ca="1" si="580"/>
        <v>35.08163265306122</v>
      </c>
      <c r="AH1245">
        <f t="shared" ca="1" si="559"/>
        <v>136.28802435822078</v>
      </c>
      <c r="AI1245">
        <f ca="1">VLOOKUP(E1245,伤害参考系!$C$4:$E$104,3,FALSE)*$AN$12</f>
        <v>2544.1437190635456</v>
      </c>
      <c r="AJ1245">
        <f>VLOOKUP(C1245,技能辅助查询表,技能配置辅助表!$L$1,FALSE)</f>
        <v>1</v>
      </c>
      <c r="AK1245">
        <f>VLOOKUP(C1245,技能辅助查询表,技能配置辅助表!$AE$1,FALSE)</f>
        <v>66000550</v>
      </c>
    </row>
    <row r="1246" spans="1:37" x14ac:dyDescent="0.15">
      <c r="A1246" s="1">
        <f t="shared" ca="1" si="562"/>
        <v>9322420</v>
      </c>
      <c r="B1246" s="1" t="str">
        <f t="shared" ca="1" si="563"/>
        <v>玫瑰之舞第4段</v>
      </c>
      <c r="C1246" t="s">
        <v>176</v>
      </c>
      <c r="D1246">
        <f t="shared" si="564"/>
        <v>3</v>
      </c>
      <c r="E1246" s="42">
        <f t="shared" ca="1" si="555"/>
        <v>37</v>
      </c>
      <c r="F1246" t="str">
        <f t="shared" ca="1" si="556"/>
        <v>第20级，共造成199.3%点伤害</v>
      </c>
      <c r="G1246">
        <f t="shared" ca="1" si="565"/>
        <v>4</v>
      </c>
      <c r="H1246">
        <f t="shared" si="566"/>
        <v>4</v>
      </c>
      <c r="I1246" s="44">
        <f t="shared" ca="1" si="567"/>
        <v>20</v>
      </c>
      <c r="J1246">
        <f t="shared" si="568"/>
        <v>2</v>
      </c>
      <c r="K1246" s="36">
        <f t="shared" ca="1" si="569"/>
        <v>199.28571428571431</v>
      </c>
      <c r="L1246" s="10">
        <f ca="1">AH1246*VLOOKUP(C1246,技能辅助查询表,技能配置辅助表!$T$1,FALSE)</f>
        <v>0</v>
      </c>
      <c r="M1246">
        <f t="shared" ca="1" si="553"/>
        <v>6400</v>
      </c>
      <c r="N1246" s="33">
        <f ca="1">CHOOSE(1,W1246*U1246,X1246*'[1]0、经济设定'!$C$18)</f>
        <v>18502</v>
      </c>
      <c r="O1246">
        <f t="shared" si="570"/>
        <v>2</v>
      </c>
      <c r="P1246">
        <f t="shared" si="571"/>
        <v>1</v>
      </c>
      <c r="Q1246">
        <f t="shared" si="572"/>
        <v>1</v>
      </c>
      <c r="R1246" s="2">
        <f t="shared" si="573"/>
        <v>9</v>
      </c>
      <c r="S1246" s="2">
        <f t="shared" si="574"/>
        <v>50</v>
      </c>
      <c r="T1246" s="2">
        <f t="shared" si="575"/>
        <v>166.07142857142858</v>
      </c>
      <c r="U1246" s="2">
        <f ca="1">VLOOKUP(E1246,金币生产率!$A$2:$B$120,2,0)</f>
        <v>841</v>
      </c>
      <c r="V1246" s="2">
        <f t="shared" si="576"/>
        <v>166.07142857142858</v>
      </c>
      <c r="W1246" s="45">
        <f t="shared" ca="1" si="560"/>
        <v>22</v>
      </c>
      <c r="X1246" s="48">
        <f t="shared" ca="1" si="561"/>
        <v>249</v>
      </c>
      <c r="Y1246">
        <f t="shared" si="554"/>
        <v>18</v>
      </c>
      <c r="Z1246">
        <f t="shared" ca="1" si="557"/>
        <v>9</v>
      </c>
      <c r="AA1246" t="str">
        <f t="shared" ca="1" si="577"/>
        <v>9322400.png</v>
      </c>
      <c r="AB1246">
        <f t="shared" si="578"/>
        <v>20</v>
      </c>
      <c r="AC1246">
        <f>VLOOKUP(C1246,技能辅助查询表,技能配置辅助表!$W$1,FALSE)</f>
        <v>5333</v>
      </c>
      <c r="AD1246">
        <f t="shared" ca="1" si="558"/>
        <v>30.810762801746108</v>
      </c>
      <c r="AE1246">
        <f>VLOOKUP(C1246,技能辅助查询表,技能配置辅助表!$U$1,FALSE)</f>
        <v>4</v>
      </c>
      <c r="AF1246">
        <f t="shared" ca="1" si="579"/>
        <v>9322420</v>
      </c>
      <c r="AG1246">
        <f t="shared" ca="1" si="580"/>
        <v>36.530612244897959</v>
      </c>
      <c r="AH1246">
        <f t="shared" ca="1" si="559"/>
        <v>155.16211482893718</v>
      </c>
      <c r="AI1246">
        <f ca="1">VLOOKUP(E1246,伤害参考系!$C$4:$E$104,3,FALSE)*$AN$12</f>
        <v>2727.4489991638798</v>
      </c>
      <c r="AJ1246">
        <f>VLOOKUP(C1246,技能辅助查询表,技能配置辅助表!$L$1,FALSE)</f>
        <v>1</v>
      </c>
      <c r="AK1246">
        <f>VLOOKUP(C1246,技能辅助查询表,技能配置辅助表!$AE$1,FALSE)</f>
        <v>66000550</v>
      </c>
    </row>
    <row r="1247" spans="1:37" x14ac:dyDescent="0.15">
      <c r="A1247" s="1">
        <f t="shared" ca="1" si="562"/>
        <v>9322421</v>
      </c>
      <c r="B1247" s="1" t="str">
        <f t="shared" ca="1" si="563"/>
        <v>玫瑰之舞第4段</v>
      </c>
      <c r="C1247" t="s">
        <v>176</v>
      </c>
      <c r="D1247">
        <f t="shared" si="564"/>
        <v>3</v>
      </c>
      <c r="E1247" s="42">
        <f t="shared" ca="1" si="555"/>
        <v>39</v>
      </c>
      <c r="F1247" t="str">
        <f t="shared" ca="1" si="556"/>
        <v>第21级，共造成200.9%点伤害</v>
      </c>
      <c r="G1247">
        <f t="shared" ca="1" si="565"/>
        <v>4</v>
      </c>
      <c r="H1247">
        <f t="shared" si="566"/>
        <v>4</v>
      </c>
      <c r="I1247" s="44">
        <f t="shared" ca="1" si="567"/>
        <v>21</v>
      </c>
      <c r="J1247">
        <f t="shared" si="568"/>
        <v>2</v>
      </c>
      <c r="K1247" s="36">
        <f t="shared" ca="1" si="569"/>
        <v>200.94642857142858</v>
      </c>
      <c r="L1247" s="10">
        <f ca="1">AH1247*VLOOKUP(C1247,技能辅助查询表,技能配置辅助表!$T$1,FALSE)</f>
        <v>0</v>
      </c>
      <c r="M1247">
        <f t="shared" ca="1" si="553"/>
        <v>6320</v>
      </c>
      <c r="N1247" s="33">
        <f ca="1">CHOOSE(1,W1247*U1247,X1247*'[1]0、经济设定'!$C$18)</f>
        <v>21712</v>
      </c>
      <c r="O1247">
        <f t="shared" si="570"/>
        <v>2</v>
      </c>
      <c r="P1247">
        <f t="shared" si="571"/>
        <v>1</v>
      </c>
      <c r="Q1247">
        <f t="shared" si="572"/>
        <v>1</v>
      </c>
      <c r="R1247" s="2">
        <f t="shared" si="573"/>
        <v>9</v>
      </c>
      <c r="S1247" s="2">
        <f t="shared" si="574"/>
        <v>50</v>
      </c>
      <c r="T1247" s="2">
        <f t="shared" si="575"/>
        <v>166.07142857142858</v>
      </c>
      <c r="U1247" s="2">
        <f ca="1">VLOOKUP(E1247,金币生产率!$A$2:$B$120,2,0)</f>
        <v>944</v>
      </c>
      <c r="V1247" s="2">
        <f t="shared" si="576"/>
        <v>166.07142857142858</v>
      </c>
      <c r="W1247" s="45">
        <f t="shared" ca="1" si="560"/>
        <v>23</v>
      </c>
      <c r="X1247" s="48">
        <f t="shared" ca="1" si="561"/>
        <v>272</v>
      </c>
      <c r="Y1247">
        <f t="shared" si="554"/>
        <v>18</v>
      </c>
      <c r="Z1247">
        <f t="shared" ca="1" si="557"/>
        <v>10</v>
      </c>
      <c r="AA1247" t="str">
        <f t="shared" ca="1" si="577"/>
        <v>9322400.png</v>
      </c>
      <c r="AB1247">
        <f t="shared" si="578"/>
        <v>20</v>
      </c>
      <c r="AC1247">
        <f>VLOOKUP(C1247,技能辅助查询表,技能配置辅助表!$W$1,FALSE)</f>
        <v>5333</v>
      </c>
      <c r="AD1247">
        <f t="shared" ca="1" si="558"/>
        <v>35.664376732994249</v>
      </c>
      <c r="AE1247">
        <f>VLOOKUP(C1247,技能辅助查询表,技能配置辅助表!$U$1,FALSE)</f>
        <v>4</v>
      </c>
      <c r="AF1247">
        <f t="shared" ca="1" si="579"/>
        <v>9322421</v>
      </c>
      <c r="AG1247">
        <f t="shared" ca="1" si="580"/>
        <v>37.979591836734699</v>
      </c>
      <c r="AH1247">
        <f t="shared" ca="1" si="559"/>
        <v>176.65001742859343</v>
      </c>
      <c r="AI1247">
        <f ca="1">VLOOKUP(E1247,伤害参考系!$C$4:$E$104,3,FALSE)*$AN$12</f>
        <v>3112.8025033444819</v>
      </c>
      <c r="AJ1247">
        <f>VLOOKUP(C1247,技能辅助查询表,技能配置辅助表!$L$1,FALSE)</f>
        <v>1</v>
      </c>
      <c r="AK1247">
        <f>VLOOKUP(C1247,技能辅助查询表,技能配置辅助表!$AE$1,FALSE)</f>
        <v>66000550</v>
      </c>
    </row>
    <row r="1248" spans="1:37" x14ac:dyDescent="0.15">
      <c r="A1248" s="1">
        <f t="shared" ca="1" si="562"/>
        <v>9322422</v>
      </c>
      <c r="B1248" s="1" t="str">
        <f t="shared" ca="1" si="563"/>
        <v>玫瑰之舞第4段</v>
      </c>
      <c r="C1248" t="s">
        <v>176</v>
      </c>
      <c r="D1248">
        <f t="shared" si="564"/>
        <v>3</v>
      </c>
      <c r="E1248" s="42">
        <f t="shared" ca="1" si="555"/>
        <v>40</v>
      </c>
      <c r="F1248" t="str">
        <f t="shared" ca="1" si="556"/>
        <v>第22级，共造成202.6%点伤害</v>
      </c>
      <c r="G1248">
        <f t="shared" ca="1" si="565"/>
        <v>4</v>
      </c>
      <c r="H1248">
        <f t="shared" si="566"/>
        <v>4</v>
      </c>
      <c r="I1248" s="44">
        <f t="shared" ca="1" si="567"/>
        <v>22</v>
      </c>
      <c r="J1248">
        <f t="shared" si="568"/>
        <v>2</v>
      </c>
      <c r="K1248" s="36">
        <f t="shared" ca="1" si="569"/>
        <v>202.60714285714286</v>
      </c>
      <c r="L1248" s="10">
        <f ca="1">AH1248*VLOOKUP(C1248,技能辅助查询表,技能配置辅助表!$T$1,FALSE)</f>
        <v>0</v>
      </c>
      <c r="M1248">
        <f t="shared" ca="1" si="553"/>
        <v>6240</v>
      </c>
      <c r="N1248" s="33">
        <f ca="1">CHOOSE(1,W1248*U1248,X1248*'[1]0、经济设定'!$C$18)</f>
        <v>24950</v>
      </c>
      <c r="O1248">
        <f t="shared" si="570"/>
        <v>2</v>
      </c>
      <c r="P1248">
        <f t="shared" si="571"/>
        <v>1</v>
      </c>
      <c r="Q1248">
        <f t="shared" si="572"/>
        <v>1</v>
      </c>
      <c r="R1248" s="2">
        <f t="shared" si="573"/>
        <v>9</v>
      </c>
      <c r="S1248" s="2">
        <f t="shared" si="574"/>
        <v>50</v>
      </c>
      <c r="T1248" s="2">
        <f t="shared" si="575"/>
        <v>166.07142857142858</v>
      </c>
      <c r="U1248" s="2">
        <f ca="1">VLOOKUP(E1248,金币生产率!$A$2:$B$120,2,0)</f>
        <v>998</v>
      </c>
      <c r="V1248" s="2">
        <f t="shared" si="576"/>
        <v>166.07142857142858</v>
      </c>
      <c r="W1248" s="45">
        <f t="shared" ca="1" si="560"/>
        <v>25</v>
      </c>
      <c r="X1248" s="48">
        <f t="shared" ca="1" si="561"/>
        <v>297</v>
      </c>
      <c r="Y1248">
        <f t="shared" si="554"/>
        <v>18</v>
      </c>
      <c r="Z1248">
        <f t="shared" ca="1" si="557"/>
        <v>10</v>
      </c>
      <c r="AA1248" t="str">
        <f t="shared" ca="1" si="577"/>
        <v>9322400.png</v>
      </c>
      <c r="AB1248">
        <f t="shared" si="578"/>
        <v>20</v>
      </c>
      <c r="AC1248">
        <f>VLOOKUP(C1248,技能辅助查询表,技能配置辅助表!$W$1,FALSE)</f>
        <v>5333</v>
      </c>
      <c r="AD1248">
        <f t="shared" ca="1" si="558"/>
        <v>41.271406467773524</v>
      </c>
      <c r="AE1248">
        <f>VLOOKUP(C1248,技能辅助查询表,技能配置辅助表!$U$1,FALSE)</f>
        <v>4</v>
      </c>
      <c r="AF1248">
        <f t="shared" ca="1" si="579"/>
        <v>9322422</v>
      </c>
      <c r="AG1248">
        <f t="shared" ca="1" si="580"/>
        <v>39.428571428571431</v>
      </c>
      <c r="AH1248">
        <f t="shared" ca="1" si="559"/>
        <v>201.11371059826985</v>
      </c>
      <c r="AI1248">
        <f ca="1">VLOOKUP(E1248,伤害参考系!$C$4:$E$104,3,FALSE)*$AN$12</f>
        <v>3344.7142474916404</v>
      </c>
      <c r="AJ1248">
        <f>VLOOKUP(C1248,技能辅助查询表,技能配置辅助表!$L$1,FALSE)</f>
        <v>1</v>
      </c>
      <c r="AK1248">
        <f>VLOOKUP(C1248,技能辅助查询表,技能配置辅助表!$AE$1,FALSE)</f>
        <v>66000550</v>
      </c>
    </row>
    <row r="1249" spans="1:37" x14ac:dyDescent="0.15">
      <c r="A1249" s="1">
        <f t="shared" ca="1" si="562"/>
        <v>9322423</v>
      </c>
      <c r="B1249" s="1" t="str">
        <f t="shared" ca="1" si="563"/>
        <v>玫瑰之舞第4段</v>
      </c>
      <c r="C1249" t="s">
        <v>176</v>
      </c>
      <c r="D1249">
        <f t="shared" si="564"/>
        <v>3</v>
      </c>
      <c r="E1249" s="42">
        <f t="shared" ca="1" si="555"/>
        <v>42</v>
      </c>
      <c r="F1249" t="str">
        <f t="shared" ca="1" si="556"/>
        <v>第23级，共造成204.3%点伤害</v>
      </c>
      <c r="G1249">
        <f t="shared" ca="1" si="565"/>
        <v>4</v>
      </c>
      <c r="H1249">
        <f t="shared" si="566"/>
        <v>4</v>
      </c>
      <c r="I1249" s="44">
        <f t="shared" ca="1" si="567"/>
        <v>23</v>
      </c>
      <c r="J1249">
        <f t="shared" si="568"/>
        <v>2</v>
      </c>
      <c r="K1249" s="36">
        <f t="shared" ca="1" si="569"/>
        <v>204.26785714285717</v>
      </c>
      <c r="L1249" s="10">
        <f ca="1">AH1249*VLOOKUP(C1249,技能辅助查询表,技能配置辅助表!$T$1,FALSE)</f>
        <v>0</v>
      </c>
      <c r="M1249">
        <f t="shared" ca="1" si="553"/>
        <v>6160</v>
      </c>
      <c r="N1249" s="33">
        <f ca="1">CHOOSE(1,W1249*U1249,X1249*'[1]0、经济设定'!$C$18)</f>
        <v>29970</v>
      </c>
      <c r="O1249">
        <f t="shared" si="570"/>
        <v>2</v>
      </c>
      <c r="P1249">
        <f t="shared" si="571"/>
        <v>1</v>
      </c>
      <c r="Q1249">
        <f t="shared" si="572"/>
        <v>1</v>
      </c>
      <c r="R1249" s="2">
        <f t="shared" si="573"/>
        <v>9</v>
      </c>
      <c r="S1249" s="2">
        <f t="shared" si="574"/>
        <v>50</v>
      </c>
      <c r="T1249" s="2">
        <f t="shared" si="575"/>
        <v>166.07142857142858</v>
      </c>
      <c r="U1249" s="2">
        <f ca="1">VLOOKUP(E1249,金币生产率!$A$2:$B$120,2,0)</f>
        <v>1110</v>
      </c>
      <c r="V1249" s="2">
        <f t="shared" si="576"/>
        <v>166.07142857142858</v>
      </c>
      <c r="W1249" s="45">
        <f t="shared" ca="1" si="560"/>
        <v>27</v>
      </c>
      <c r="X1249" s="48">
        <f t="shared" ca="1" si="561"/>
        <v>324</v>
      </c>
      <c r="Y1249">
        <f t="shared" si="554"/>
        <v>18</v>
      </c>
      <c r="Z1249">
        <f t="shared" ca="1" si="557"/>
        <v>11</v>
      </c>
      <c r="AA1249" t="str">
        <f t="shared" ca="1" si="577"/>
        <v>9322400.png</v>
      </c>
      <c r="AB1249">
        <f t="shared" si="578"/>
        <v>20</v>
      </c>
      <c r="AC1249">
        <f>VLOOKUP(C1249,技能辅助查询表,技能配置辅助表!$W$1,FALSE)</f>
        <v>5333</v>
      </c>
      <c r="AD1249">
        <f t="shared" ca="1" si="558"/>
        <v>47.747442801293715</v>
      </c>
      <c r="AE1249">
        <f>VLOOKUP(C1249,技能辅助查询表,技能配置辅助表!$U$1,FALSE)</f>
        <v>4</v>
      </c>
      <c r="AF1249">
        <f t="shared" ca="1" si="579"/>
        <v>9322423</v>
      </c>
      <c r="AG1249">
        <f t="shared" ca="1" si="580"/>
        <v>40.877551020408163</v>
      </c>
      <c r="AH1249">
        <f t="shared" ca="1" si="559"/>
        <v>228.96530200997151</v>
      </c>
      <c r="AI1249">
        <f ca="1">VLOOKUP(E1249,伤害参考系!$C$4:$E$104,3,FALSE)*$AN$12</f>
        <v>3833.528327759198</v>
      </c>
      <c r="AJ1249">
        <f>VLOOKUP(C1249,技能辅助查询表,技能配置辅助表!$L$1,FALSE)</f>
        <v>1</v>
      </c>
      <c r="AK1249">
        <f>VLOOKUP(C1249,技能辅助查询表,技能配置辅助表!$AE$1,FALSE)</f>
        <v>66000550</v>
      </c>
    </row>
    <row r="1250" spans="1:37" x14ac:dyDescent="0.15">
      <c r="A1250" s="1">
        <f t="shared" ca="1" si="562"/>
        <v>9322424</v>
      </c>
      <c r="B1250" s="1" t="str">
        <f t="shared" ca="1" si="563"/>
        <v>玫瑰之舞第4段</v>
      </c>
      <c r="C1250" t="s">
        <v>176</v>
      </c>
      <c r="D1250">
        <f t="shared" si="564"/>
        <v>3</v>
      </c>
      <c r="E1250" s="42">
        <f t="shared" ca="1" si="555"/>
        <v>43</v>
      </c>
      <c r="F1250" t="str">
        <f t="shared" ca="1" si="556"/>
        <v>第24级，共造成205.9%点伤害</v>
      </c>
      <c r="G1250">
        <f t="shared" ca="1" si="565"/>
        <v>4</v>
      </c>
      <c r="H1250">
        <f t="shared" si="566"/>
        <v>4</v>
      </c>
      <c r="I1250" s="44">
        <f t="shared" ca="1" si="567"/>
        <v>24</v>
      </c>
      <c r="J1250">
        <f t="shared" si="568"/>
        <v>2</v>
      </c>
      <c r="K1250" s="36">
        <f t="shared" ca="1" si="569"/>
        <v>205.92857142857144</v>
      </c>
      <c r="L1250" s="10">
        <f ca="1">AH1250*VLOOKUP(C1250,技能辅助查询表,技能配置辅助表!$T$1,FALSE)</f>
        <v>0</v>
      </c>
      <c r="M1250">
        <f t="shared" ca="1" si="553"/>
        <v>6080</v>
      </c>
      <c r="N1250" s="33">
        <f ca="1">CHOOSE(1,W1250*U1250,X1250*'[1]0、经济设定'!$C$18)</f>
        <v>33843</v>
      </c>
      <c r="O1250">
        <f t="shared" si="570"/>
        <v>2</v>
      </c>
      <c r="P1250">
        <f t="shared" si="571"/>
        <v>1</v>
      </c>
      <c r="Q1250">
        <f t="shared" si="572"/>
        <v>1</v>
      </c>
      <c r="R1250" s="2">
        <f t="shared" si="573"/>
        <v>9</v>
      </c>
      <c r="S1250" s="2">
        <f t="shared" si="574"/>
        <v>50</v>
      </c>
      <c r="T1250" s="2">
        <f t="shared" si="575"/>
        <v>166.07142857142858</v>
      </c>
      <c r="U1250" s="2">
        <f ca="1">VLOOKUP(E1250,金币生产率!$A$2:$B$120,2,0)</f>
        <v>1167</v>
      </c>
      <c r="V1250" s="2">
        <f t="shared" si="576"/>
        <v>166.07142857142858</v>
      </c>
      <c r="W1250" s="45">
        <f t="shared" ca="1" si="560"/>
        <v>29</v>
      </c>
      <c r="X1250" s="48">
        <f t="shared" ca="1" si="561"/>
        <v>353</v>
      </c>
      <c r="Y1250">
        <f t="shared" si="554"/>
        <v>18</v>
      </c>
      <c r="Z1250">
        <f t="shared" ca="1" si="557"/>
        <v>12</v>
      </c>
      <c r="AA1250" t="str">
        <f t="shared" ca="1" si="577"/>
        <v>9322400.png</v>
      </c>
      <c r="AB1250">
        <f t="shared" si="578"/>
        <v>20</v>
      </c>
      <c r="AC1250">
        <f>VLOOKUP(C1250,技能辅助查询表,技能配置辅助表!$W$1,FALSE)</f>
        <v>5333</v>
      </c>
      <c r="AD1250">
        <f t="shared" ca="1" si="558"/>
        <v>55.225642671487755</v>
      </c>
      <c r="AE1250">
        <f>VLOOKUP(C1250,技能辅助查询表,技能配置辅助表!$U$1,FALSE)</f>
        <v>4</v>
      </c>
      <c r="AF1250">
        <f t="shared" ca="1" si="579"/>
        <v>9322424</v>
      </c>
      <c r="AG1250">
        <f t="shared" ca="1" si="580"/>
        <v>42.326530612244895</v>
      </c>
      <c r="AH1250">
        <f t="shared" ca="1" si="559"/>
        <v>260.67397080270689</v>
      </c>
      <c r="AI1250">
        <f ca="1">VLOOKUP(E1250,伤害参考系!$C$4:$E$104,3,FALSE)*$AN$12</f>
        <v>4090.4306638795993</v>
      </c>
      <c r="AJ1250">
        <f>VLOOKUP(C1250,技能辅助查询表,技能配置辅助表!$L$1,FALSE)</f>
        <v>1</v>
      </c>
      <c r="AK1250">
        <f>VLOOKUP(C1250,技能辅助查询表,技能配置辅助表!$AE$1,FALSE)</f>
        <v>66000550</v>
      </c>
    </row>
    <row r="1251" spans="1:37" x14ac:dyDescent="0.15">
      <c r="A1251" s="1">
        <f t="shared" ca="1" si="562"/>
        <v>9322425</v>
      </c>
      <c r="B1251" s="1" t="str">
        <f t="shared" ca="1" si="563"/>
        <v>玫瑰之舞第4段</v>
      </c>
      <c r="C1251" t="s">
        <v>176</v>
      </c>
      <c r="D1251">
        <f t="shared" si="564"/>
        <v>3</v>
      </c>
      <c r="E1251" s="42">
        <f t="shared" ca="1" si="555"/>
        <v>45</v>
      </c>
      <c r="F1251" t="str">
        <f t="shared" ca="1" si="556"/>
        <v>第25级，共造成207.6%点伤害</v>
      </c>
      <c r="G1251">
        <f t="shared" ca="1" si="565"/>
        <v>4</v>
      </c>
      <c r="H1251">
        <f t="shared" si="566"/>
        <v>4</v>
      </c>
      <c r="I1251" s="44">
        <f t="shared" ca="1" si="567"/>
        <v>25</v>
      </c>
      <c r="J1251">
        <f t="shared" si="568"/>
        <v>2</v>
      </c>
      <c r="K1251" s="36">
        <f t="shared" ca="1" si="569"/>
        <v>207.58928571428572</v>
      </c>
      <c r="L1251" s="10">
        <f ca="1">AH1251*VLOOKUP(C1251,技能辅助查询表,技能配置辅助表!$T$1,FALSE)</f>
        <v>0</v>
      </c>
      <c r="M1251">
        <f t="shared" ca="1" si="553"/>
        <v>6000</v>
      </c>
      <c r="N1251" s="33">
        <f ca="1">CHOOSE(1,W1251*U1251,X1251*'[1]0、经济设定'!$C$18)</f>
        <v>39897</v>
      </c>
      <c r="O1251">
        <f t="shared" si="570"/>
        <v>2</v>
      </c>
      <c r="P1251">
        <f t="shared" si="571"/>
        <v>1</v>
      </c>
      <c r="Q1251">
        <f t="shared" si="572"/>
        <v>1</v>
      </c>
      <c r="R1251" s="2">
        <f t="shared" si="573"/>
        <v>9</v>
      </c>
      <c r="S1251" s="2">
        <f t="shared" si="574"/>
        <v>50</v>
      </c>
      <c r="T1251" s="2">
        <f t="shared" si="575"/>
        <v>166.07142857142858</v>
      </c>
      <c r="U1251" s="2">
        <f ca="1">VLOOKUP(E1251,金币生产率!$A$2:$B$120,2,0)</f>
        <v>1287</v>
      </c>
      <c r="V1251" s="2">
        <f t="shared" si="576"/>
        <v>166.07142857142858</v>
      </c>
      <c r="W1251" s="45">
        <f t="shared" ca="1" si="560"/>
        <v>31</v>
      </c>
      <c r="X1251" s="48">
        <f t="shared" ca="1" si="561"/>
        <v>384</v>
      </c>
      <c r="Y1251">
        <f t="shared" si="554"/>
        <v>18</v>
      </c>
      <c r="Z1251">
        <f t="shared" ca="1" si="557"/>
        <v>13</v>
      </c>
      <c r="AA1251" t="str">
        <f t="shared" ca="1" si="577"/>
        <v>9322400.png</v>
      </c>
      <c r="AB1251">
        <f t="shared" si="578"/>
        <v>20</v>
      </c>
      <c r="AC1251">
        <f>VLOOKUP(C1251,技能辅助查询表,技能配置辅助表!$W$1,FALSE)</f>
        <v>5333</v>
      </c>
      <c r="AD1251">
        <f t="shared" ca="1" si="558"/>
        <v>63.859377647851282</v>
      </c>
      <c r="AE1251">
        <f>VLOOKUP(C1251,技能辅助查询表,技能配置辅助表!$U$1,FALSE)</f>
        <v>4</v>
      </c>
      <c r="AF1251">
        <f t="shared" ca="1" si="579"/>
        <v>9322425</v>
      </c>
      <c r="AG1251">
        <f t="shared" ca="1" si="580"/>
        <v>43.775510204081634</v>
      </c>
      <c r="AH1251">
        <f t="shared" ca="1" si="559"/>
        <v>296.77387122652874</v>
      </c>
      <c r="AI1251">
        <f ca="1">VLOOKUP(E1251,伤害参考系!$C$4:$E$104,3,FALSE)*$AN$12</f>
        <v>4629.2259280936469</v>
      </c>
      <c r="AJ1251">
        <f>VLOOKUP(C1251,技能辅助查询表,技能配置辅助表!$L$1,FALSE)</f>
        <v>1</v>
      </c>
      <c r="AK1251">
        <f>VLOOKUP(C1251,技能辅助查询表,技能配置辅助表!$AE$1,FALSE)</f>
        <v>66000550</v>
      </c>
    </row>
    <row r="1252" spans="1:37" x14ac:dyDescent="0.15">
      <c r="A1252" s="1">
        <f t="shared" ca="1" si="562"/>
        <v>9322426</v>
      </c>
      <c r="B1252" s="1" t="str">
        <f t="shared" ca="1" si="563"/>
        <v>玫瑰之舞第4段</v>
      </c>
      <c r="C1252" t="s">
        <v>176</v>
      </c>
      <c r="D1252">
        <f t="shared" si="564"/>
        <v>3</v>
      </c>
      <c r="E1252" s="42">
        <f t="shared" ca="1" si="555"/>
        <v>46</v>
      </c>
      <c r="F1252" t="str">
        <f t="shared" ca="1" si="556"/>
        <v>第26级，共造成209.3%点伤害</v>
      </c>
      <c r="G1252">
        <f t="shared" ca="1" si="565"/>
        <v>4</v>
      </c>
      <c r="H1252">
        <f t="shared" si="566"/>
        <v>4</v>
      </c>
      <c r="I1252" s="44">
        <f t="shared" ca="1" si="567"/>
        <v>26</v>
      </c>
      <c r="J1252">
        <f t="shared" si="568"/>
        <v>2</v>
      </c>
      <c r="K1252" s="36">
        <f t="shared" ca="1" si="569"/>
        <v>209.25</v>
      </c>
      <c r="L1252" s="10">
        <f ca="1">AH1252*VLOOKUP(C1252,技能辅助查询表,技能配置辅助表!$T$1,FALSE)</f>
        <v>0</v>
      </c>
      <c r="M1252">
        <f t="shared" ca="1" si="553"/>
        <v>5920</v>
      </c>
      <c r="N1252" s="33">
        <f ca="1">CHOOSE(1,W1252*U1252,X1252*'[1]0、经济设定'!$C$18)</f>
        <v>44517</v>
      </c>
      <c r="O1252">
        <f t="shared" si="570"/>
        <v>2</v>
      </c>
      <c r="P1252">
        <f t="shared" si="571"/>
        <v>1</v>
      </c>
      <c r="Q1252">
        <f t="shared" si="572"/>
        <v>1</v>
      </c>
      <c r="R1252" s="2">
        <f t="shared" si="573"/>
        <v>9</v>
      </c>
      <c r="S1252" s="2">
        <f t="shared" si="574"/>
        <v>50</v>
      </c>
      <c r="T1252" s="2">
        <f t="shared" si="575"/>
        <v>166.07142857142858</v>
      </c>
      <c r="U1252" s="2">
        <f ca="1">VLOOKUP(E1252,金币生产率!$A$2:$B$120,2,0)</f>
        <v>1349</v>
      </c>
      <c r="V1252" s="2">
        <f t="shared" si="576"/>
        <v>166.07142857142858</v>
      </c>
      <c r="W1252" s="45">
        <f t="shared" ca="1" si="560"/>
        <v>33</v>
      </c>
      <c r="X1252" s="48">
        <f t="shared" ca="1" si="561"/>
        <v>417</v>
      </c>
      <c r="Y1252">
        <f t="shared" si="554"/>
        <v>18</v>
      </c>
      <c r="Z1252">
        <f t="shared" ca="1" si="557"/>
        <v>14</v>
      </c>
      <c r="AA1252" t="str">
        <f t="shared" ca="1" si="577"/>
        <v>9322400.png</v>
      </c>
      <c r="AB1252">
        <f t="shared" si="578"/>
        <v>20</v>
      </c>
      <c r="AC1252">
        <f>VLOOKUP(C1252,技能辅助查询表,技能配置辅助表!$W$1,FALSE)</f>
        <v>5333</v>
      </c>
      <c r="AD1252">
        <f t="shared" ca="1" si="558"/>
        <v>73.825279087848372</v>
      </c>
      <c r="AE1252">
        <f>VLOOKUP(C1252,技能辅助查询表,技能配置辅助表!$U$1,FALSE)</f>
        <v>4</v>
      </c>
      <c r="AF1252">
        <f t="shared" ca="1" si="579"/>
        <v>9322426</v>
      </c>
      <c r="AG1252">
        <f t="shared" ca="1" si="580"/>
        <v>45.224489795918366</v>
      </c>
      <c r="AH1252">
        <f t="shared" ca="1" si="559"/>
        <v>337.87313083683472</v>
      </c>
      <c r="AI1252">
        <f ca="1">VLOOKUP(E1252,伤害参考系!$C$4:$E$104,3,FALSE)*$AN$12</f>
        <v>4911.1188561872923</v>
      </c>
      <c r="AJ1252">
        <f>VLOOKUP(C1252,技能辅助查询表,技能配置辅助表!$L$1,FALSE)</f>
        <v>1</v>
      </c>
      <c r="AK1252">
        <f>VLOOKUP(C1252,技能辅助查询表,技能配置辅助表!$AE$1,FALSE)</f>
        <v>66000550</v>
      </c>
    </row>
    <row r="1253" spans="1:37" x14ac:dyDescent="0.15">
      <c r="A1253" s="1">
        <f t="shared" ca="1" si="562"/>
        <v>9322427</v>
      </c>
      <c r="B1253" s="1" t="str">
        <f t="shared" ca="1" si="563"/>
        <v>玫瑰之舞第4段</v>
      </c>
      <c r="C1253" t="s">
        <v>176</v>
      </c>
      <c r="D1253">
        <f t="shared" si="564"/>
        <v>3</v>
      </c>
      <c r="E1253" s="42">
        <f t="shared" ca="1" si="555"/>
        <v>47</v>
      </c>
      <c r="F1253" t="str">
        <f t="shared" ca="1" si="556"/>
        <v>第27级，共造成210.9%点伤害</v>
      </c>
      <c r="G1253">
        <f t="shared" ca="1" si="565"/>
        <v>4</v>
      </c>
      <c r="H1253">
        <f t="shared" si="566"/>
        <v>4</v>
      </c>
      <c r="I1253" s="44">
        <f t="shared" ca="1" si="567"/>
        <v>27</v>
      </c>
      <c r="J1253">
        <f t="shared" si="568"/>
        <v>2</v>
      </c>
      <c r="K1253" s="36">
        <f t="shared" ca="1" si="569"/>
        <v>210.91071428571431</v>
      </c>
      <c r="L1253" s="10">
        <f ca="1">AH1253*VLOOKUP(C1253,技能辅助查询表,技能配置辅助表!$T$1,FALSE)</f>
        <v>0</v>
      </c>
      <c r="M1253">
        <f t="shared" ca="1" si="553"/>
        <v>5840</v>
      </c>
      <c r="N1253" s="33">
        <f ca="1">CHOOSE(1,W1253*U1253,X1253*'[1]0、经济设定'!$C$18)</f>
        <v>49420</v>
      </c>
      <c r="O1253">
        <f t="shared" si="570"/>
        <v>2</v>
      </c>
      <c r="P1253">
        <f t="shared" si="571"/>
        <v>1</v>
      </c>
      <c r="Q1253">
        <f t="shared" si="572"/>
        <v>1</v>
      </c>
      <c r="R1253" s="2">
        <f t="shared" si="573"/>
        <v>9</v>
      </c>
      <c r="S1253" s="2">
        <f t="shared" si="574"/>
        <v>50</v>
      </c>
      <c r="T1253" s="2">
        <f t="shared" si="575"/>
        <v>166.07142857142858</v>
      </c>
      <c r="U1253" s="2">
        <f ca="1">VLOOKUP(E1253,金币生产率!$A$2:$B$120,2,0)</f>
        <v>1412</v>
      </c>
      <c r="V1253" s="2">
        <f t="shared" si="576"/>
        <v>166.07142857142858</v>
      </c>
      <c r="W1253" s="45">
        <f t="shared" ca="1" si="560"/>
        <v>35</v>
      </c>
      <c r="X1253" s="48">
        <f t="shared" ca="1" si="561"/>
        <v>452</v>
      </c>
      <c r="Y1253">
        <f t="shared" si="554"/>
        <v>18</v>
      </c>
      <c r="Z1253">
        <f t="shared" ca="1" si="557"/>
        <v>14</v>
      </c>
      <c r="AA1253" t="str">
        <f t="shared" ca="1" si="577"/>
        <v>9322400.png</v>
      </c>
      <c r="AB1253">
        <f t="shared" si="578"/>
        <v>20</v>
      </c>
      <c r="AC1253">
        <f>VLOOKUP(C1253,技能辅助查询表,技能配置辅助表!$W$1,FALSE)</f>
        <v>5333</v>
      </c>
      <c r="AD1253">
        <f t="shared" ca="1" si="558"/>
        <v>85.32673903303683</v>
      </c>
      <c r="AE1253">
        <f>VLOOKUP(C1253,技能辅助查询表,技能配置辅助表!$U$1,FALSE)</f>
        <v>4</v>
      </c>
      <c r="AF1253">
        <f t="shared" ca="1" si="579"/>
        <v>9322427</v>
      </c>
      <c r="AG1253">
        <f t="shared" ca="1" si="580"/>
        <v>46.673469387755105</v>
      </c>
      <c r="AH1253">
        <f t="shared" ca="1" si="559"/>
        <v>384.66409481967975</v>
      </c>
      <c r="AI1253">
        <f ca="1">VLOOKUP(E1253,伤害参考系!$C$4:$E$104,3,FALSE)*$AN$12</f>
        <v>5201.3419816053529</v>
      </c>
      <c r="AJ1253">
        <f>VLOOKUP(C1253,技能辅助查询表,技能配置辅助表!$L$1,FALSE)</f>
        <v>1</v>
      </c>
      <c r="AK1253">
        <f>VLOOKUP(C1253,技能辅助查询表,技能配置辅助表!$AE$1,FALSE)</f>
        <v>66000550</v>
      </c>
    </row>
    <row r="1254" spans="1:37" x14ac:dyDescent="0.15">
      <c r="A1254" s="1">
        <f t="shared" ca="1" si="562"/>
        <v>9322428</v>
      </c>
      <c r="B1254" s="1" t="str">
        <f t="shared" ca="1" si="563"/>
        <v>玫瑰之舞第4段</v>
      </c>
      <c r="C1254" t="s">
        <v>176</v>
      </c>
      <c r="D1254">
        <f t="shared" si="564"/>
        <v>3</v>
      </c>
      <c r="E1254" s="42">
        <f t="shared" ca="1" si="555"/>
        <v>49</v>
      </c>
      <c r="F1254" t="str">
        <f t="shared" ca="1" si="556"/>
        <v>第28级，共造成212.6%点伤害</v>
      </c>
      <c r="G1254">
        <f t="shared" ca="1" si="565"/>
        <v>4</v>
      </c>
      <c r="H1254">
        <f t="shared" si="566"/>
        <v>4</v>
      </c>
      <c r="I1254" s="44">
        <f t="shared" ca="1" si="567"/>
        <v>28</v>
      </c>
      <c r="J1254">
        <f t="shared" si="568"/>
        <v>2</v>
      </c>
      <c r="K1254" s="36">
        <f t="shared" ca="1" si="569"/>
        <v>212.57142857142858</v>
      </c>
      <c r="L1254" s="10">
        <f ca="1">AH1254*VLOOKUP(C1254,技能辅助查询表,技能配置辅助表!$T$1,FALSE)</f>
        <v>0</v>
      </c>
      <c r="M1254">
        <f t="shared" ca="1" si="553"/>
        <v>5760</v>
      </c>
      <c r="N1254" s="33">
        <f ca="1">CHOOSE(1,W1254*U1254,X1254*'[1]0、经济设定'!$C$18)</f>
        <v>58634</v>
      </c>
      <c r="O1254">
        <f t="shared" si="570"/>
        <v>2</v>
      </c>
      <c r="P1254">
        <f t="shared" si="571"/>
        <v>1</v>
      </c>
      <c r="Q1254">
        <f t="shared" si="572"/>
        <v>1</v>
      </c>
      <c r="R1254" s="2">
        <f t="shared" si="573"/>
        <v>9</v>
      </c>
      <c r="S1254" s="2">
        <f t="shared" si="574"/>
        <v>50</v>
      </c>
      <c r="T1254" s="2">
        <f t="shared" si="575"/>
        <v>166.07142857142858</v>
      </c>
      <c r="U1254" s="2">
        <f ca="1">VLOOKUP(E1254,金币生产率!$A$2:$B$120,2,0)</f>
        <v>1543</v>
      </c>
      <c r="V1254" s="2">
        <f t="shared" si="576"/>
        <v>166.07142857142858</v>
      </c>
      <c r="W1254" s="45">
        <f t="shared" ca="1" si="560"/>
        <v>38</v>
      </c>
      <c r="X1254" s="48">
        <f t="shared" ca="1" si="561"/>
        <v>490</v>
      </c>
      <c r="Y1254">
        <f t="shared" si="554"/>
        <v>18</v>
      </c>
      <c r="Z1254">
        <f t="shared" ca="1" si="557"/>
        <v>16</v>
      </c>
      <c r="AA1254" t="str">
        <f t="shared" ca="1" si="577"/>
        <v>9322400.png</v>
      </c>
      <c r="AB1254">
        <f t="shared" si="578"/>
        <v>20</v>
      </c>
      <c r="AC1254">
        <f>VLOOKUP(C1254,技能辅助查询表,技能配置辅助表!$W$1,FALSE)</f>
        <v>5333</v>
      </c>
      <c r="AD1254">
        <f t="shared" ca="1" si="558"/>
        <v>98.597934670962672</v>
      </c>
      <c r="AE1254">
        <f>VLOOKUP(C1254,技能辅助查询表,技能配置辅助表!$U$1,FALSE)</f>
        <v>4</v>
      </c>
      <c r="AF1254">
        <f t="shared" ca="1" si="579"/>
        <v>9322428</v>
      </c>
      <c r="AG1254">
        <f t="shared" ca="1" si="580"/>
        <v>48.122448979591837</v>
      </c>
      <c r="AH1254">
        <f t="shared" ca="1" si="559"/>
        <v>437.93498902077317</v>
      </c>
      <c r="AI1254">
        <f ca="1">VLOOKUP(E1254,伤害参考系!$C$4:$E$104,3,FALSE)*$AN$12</f>
        <v>5806.7788244147177</v>
      </c>
      <c r="AJ1254">
        <f>VLOOKUP(C1254,技能辅助查询表,技能配置辅助表!$L$1,FALSE)</f>
        <v>1</v>
      </c>
      <c r="AK1254">
        <f>VLOOKUP(C1254,技能辅助查询表,技能配置辅助表!$AE$1,FALSE)</f>
        <v>66000550</v>
      </c>
    </row>
    <row r="1255" spans="1:37" x14ac:dyDescent="0.15">
      <c r="A1255" s="1">
        <f t="shared" ca="1" si="562"/>
        <v>9322429</v>
      </c>
      <c r="B1255" s="1" t="str">
        <f t="shared" ca="1" si="563"/>
        <v>玫瑰之舞第4段</v>
      </c>
      <c r="C1255" t="s">
        <v>176</v>
      </c>
      <c r="D1255">
        <f t="shared" si="564"/>
        <v>3</v>
      </c>
      <c r="E1255" s="42">
        <f t="shared" ca="1" si="555"/>
        <v>50</v>
      </c>
      <c r="F1255" t="str">
        <f t="shared" ca="1" si="556"/>
        <v>第29级，共造成214.2%点伤害</v>
      </c>
      <c r="G1255">
        <f t="shared" ca="1" si="565"/>
        <v>4</v>
      </c>
      <c r="H1255">
        <f t="shared" si="566"/>
        <v>4</v>
      </c>
      <c r="I1255" s="44">
        <f t="shared" ca="1" si="567"/>
        <v>29</v>
      </c>
      <c r="J1255">
        <f t="shared" si="568"/>
        <v>2</v>
      </c>
      <c r="K1255" s="36">
        <f t="shared" ca="1" si="569"/>
        <v>214.23214285714289</v>
      </c>
      <c r="L1255" s="10">
        <f ca="1">AH1255*VLOOKUP(C1255,技能辅助查询表,技能配置辅助表!$T$1,FALSE)</f>
        <v>0</v>
      </c>
      <c r="M1255">
        <f t="shared" ca="1" si="553"/>
        <v>5680</v>
      </c>
      <c r="N1255" s="33">
        <f ca="1">CHOOSE(1,W1255*U1255,X1255*'[1]0、经济设定'!$C$18)</f>
        <v>64400</v>
      </c>
      <c r="O1255">
        <f t="shared" si="570"/>
        <v>2</v>
      </c>
      <c r="P1255">
        <f t="shared" si="571"/>
        <v>1</v>
      </c>
      <c r="Q1255">
        <f t="shared" si="572"/>
        <v>1</v>
      </c>
      <c r="R1255" s="2">
        <f t="shared" si="573"/>
        <v>9</v>
      </c>
      <c r="S1255" s="2">
        <f t="shared" si="574"/>
        <v>50</v>
      </c>
      <c r="T1255" s="2">
        <f t="shared" si="575"/>
        <v>166.07142857142858</v>
      </c>
      <c r="U1255" s="2">
        <f ca="1">VLOOKUP(E1255,金币生产率!$A$2:$B$120,2,0)</f>
        <v>1610</v>
      </c>
      <c r="V1255" s="2">
        <f t="shared" si="576"/>
        <v>166.07142857142858</v>
      </c>
      <c r="W1255" s="45">
        <f t="shared" ca="1" si="560"/>
        <v>40</v>
      </c>
      <c r="X1255" s="48">
        <f t="shared" ca="1" si="561"/>
        <v>530</v>
      </c>
      <c r="Y1255">
        <f t="shared" si="554"/>
        <v>18</v>
      </c>
      <c r="Z1255">
        <f t="shared" ca="1" si="557"/>
        <v>16</v>
      </c>
      <c r="AA1255" t="str">
        <f t="shared" ca="1" si="577"/>
        <v>9322400.png</v>
      </c>
      <c r="AB1255">
        <f t="shared" si="578"/>
        <v>20</v>
      </c>
      <c r="AC1255">
        <f>VLOOKUP(C1255,技能辅助查询表,技能配置辅助表!$W$1,FALSE)</f>
        <v>5333</v>
      </c>
      <c r="AD1255">
        <f t="shared" ca="1" si="558"/>
        <v>113.90845423445667</v>
      </c>
      <c r="AE1255">
        <f>VLOOKUP(C1255,技能辅助查询表,技能配置辅助表!$U$1,FALSE)</f>
        <v>4</v>
      </c>
      <c r="AF1255">
        <f t="shared" ca="1" si="579"/>
        <v>9322429</v>
      </c>
      <c r="AG1255">
        <f t="shared" ca="1" si="580"/>
        <v>49.571428571428569</v>
      </c>
      <c r="AH1255">
        <f t="shared" ca="1" si="559"/>
        <v>498.5831981498805</v>
      </c>
      <c r="AI1255">
        <f ca="1">VLOOKUP(E1255,伤害参考系!$C$4:$E$104,3,FALSE)*$AN$12</f>
        <v>6162.2688085284308</v>
      </c>
      <c r="AJ1255">
        <f>VLOOKUP(C1255,技能辅助查询表,技能配置辅助表!$L$1,FALSE)</f>
        <v>1</v>
      </c>
      <c r="AK1255">
        <f>VLOOKUP(C1255,技能辅助查询表,技能配置辅助表!$AE$1,FALSE)</f>
        <v>66000550</v>
      </c>
    </row>
    <row r="1256" spans="1:37" x14ac:dyDescent="0.15">
      <c r="A1256" s="1">
        <f t="shared" ca="1" si="562"/>
        <v>9322430</v>
      </c>
      <c r="B1256" s="1" t="str">
        <f t="shared" ca="1" si="563"/>
        <v>玫瑰之舞第4段</v>
      </c>
      <c r="C1256" t="s">
        <v>176</v>
      </c>
      <c r="D1256">
        <f t="shared" si="564"/>
        <v>3</v>
      </c>
      <c r="E1256" s="42">
        <f t="shared" ca="1" si="555"/>
        <v>52</v>
      </c>
      <c r="F1256" t="str">
        <f t="shared" ca="1" si="556"/>
        <v>第30级，共造成215.9%点伤害</v>
      </c>
      <c r="G1256">
        <f t="shared" ca="1" si="565"/>
        <v>4</v>
      </c>
      <c r="H1256">
        <f t="shared" si="566"/>
        <v>4</v>
      </c>
      <c r="I1256" s="44">
        <f t="shared" ca="1" si="567"/>
        <v>30</v>
      </c>
      <c r="J1256">
        <f t="shared" si="568"/>
        <v>2</v>
      </c>
      <c r="K1256" s="36">
        <f t="shared" ca="1" si="569"/>
        <v>215.89285714285717</v>
      </c>
      <c r="L1256" s="10">
        <f ca="1">AH1256*VLOOKUP(C1256,技能辅助查询表,技能配置辅助表!$T$1,FALSE)</f>
        <v>0</v>
      </c>
      <c r="M1256">
        <f t="shared" ca="1" si="553"/>
        <v>5600</v>
      </c>
      <c r="N1256" s="33">
        <f ca="1">CHOOSE(1,W1256*U1256,X1256*'[1]0、经济设定'!$C$18)</f>
        <v>75207</v>
      </c>
      <c r="O1256">
        <f t="shared" si="570"/>
        <v>2</v>
      </c>
      <c r="P1256">
        <f t="shared" si="571"/>
        <v>1</v>
      </c>
      <c r="Q1256">
        <f t="shared" si="572"/>
        <v>1</v>
      </c>
      <c r="R1256" s="2">
        <f t="shared" si="573"/>
        <v>9</v>
      </c>
      <c r="S1256" s="2">
        <f t="shared" si="574"/>
        <v>50</v>
      </c>
      <c r="T1256" s="2">
        <f t="shared" si="575"/>
        <v>166.07142857142858</v>
      </c>
      <c r="U1256" s="2">
        <f ca="1">VLOOKUP(E1256,金币生产率!$A$2:$B$120,2,0)</f>
        <v>1749</v>
      </c>
      <c r="V1256" s="2">
        <f t="shared" si="576"/>
        <v>166.07142857142858</v>
      </c>
      <c r="W1256" s="45">
        <f t="shared" ca="1" si="560"/>
        <v>43</v>
      </c>
      <c r="X1256" s="48">
        <f t="shared" ca="1" si="561"/>
        <v>573</v>
      </c>
      <c r="Y1256">
        <f t="shared" si="554"/>
        <v>18</v>
      </c>
      <c r="Z1256">
        <f t="shared" ca="1" si="557"/>
        <v>18</v>
      </c>
      <c r="AA1256" t="str">
        <f t="shared" ca="1" si="577"/>
        <v>9322400.png</v>
      </c>
      <c r="AB1256">
        <f t="shared" si="578"/>
        <v>20</v>
      </c>
      <c r="AC1256">
        <f>VLOOKUP(C1256,技能辅助查询表,技能配置辅助表!$W$1,FALSE)</f>
        <v>5333</v>
      </c>
      <c r="AD1256">
        <f t="shared" ca="1" si="558"/>
        <v>131.56861373709182</v>
      </c>
      <c r="AE1256">
        <f>VLOOKUP(C1256,技能辅助查询表,技能配置辅助表!$U$1,FALSE)</f>
        <v>4</v>
      </c>
      <c r="AF1256">
        <f t="shared" ca="1" si="579"/>
        <v>9322430</v>
      </c>
      <c r="AG1256">
        <f t="shared" ca="1" si="580"/>
        <v>51.020408163265309</v>
      </c>
      <c r="AH1256">
        <f t="shared" ca="1" si="559"/>
        <v>567.63038284107404</v>
      </c>
      <c r="AI1256">
        <f ca="1">VLOOKUP(E1256,伤害参考系!$C$4:$E$104,3,FALSE)*$AN$12</f>
        <v>6904.487016722409</v>
      </c>
      <c r="AJ1256">
        <f>VLOOKUP(C1256,技能辅助查询表,技能配置辅助表!$L$1,FALSE)</f>
        <v>1</v>
      </c>
      <c r="AK1256">
        <f>VLOOKUP(C1256,技能辅助查询表,技能配置辅助表!$AE$1,FALSE)</f>
        <v>66000550</v>
      </c>
    </row>
    <row r="1257" spans="1:37" x14ac:dyDescent="0.15">
      <c r="A1257" s="1">
        <f t="shared" ca="1" si="562"/>
        <v>9322431</v>
      </c>
      <c r="B1257" s="1" t="str">
        <f t="shared" ca="1" si="563"/>
        <v>玫瑰之舞第4段</v>
      </c>
      <c r="C1257" t="s">
        <v>176</v>
      </c>
      <c r="D1257">
        <f t="shared" si="564"/>
        <v>3</v>
      </c>
      <c r="E1257" s="42">
        <f t="shared" ca="1" si="555"/>
        <v>53</v>
      </c>
      <c r="F1257" t="str">
        <f t="shared" ca="1" si="556"/>
        <v>第31级，共造成217.6%点伤害</v>
      </c>
      <c r="G1257">
        <f t="shared" ca="1" si="565"/>
        <v>4</v>
      </c>
      <c r="H1257">
        <f t="shared" si="566"/>
        <v>4</v>
      </c>
      <c r="I1257" s="44">
        <f t="shared" ca="1" si="567"/>
        <v>31</v>
      </c>
      <c r="J1257">
        <f t="shared" si="568"/>
        <v>2</v>
      </c>
      <c r="K1257" s="36">
        <f t="shared" ca="1" si="569"/>
        <v>217.55357142857144</v>
      </c>
      <c r="L1257" s="10">
        <f ca="1">AH1257*VLOOKUP(C1257,技能辅助查询表,技能配置辅助表!$T$1,FALSE)</f>
        <v>0</v>
      </c>
      <c r="M1257">
        <f t="shared" ca="1" si="553"/>
        <v>5520</v>
      </c>
      <c r="N1257" s="33">
        <f ca="1">CHOOSE(1,W1257*U1257,X1257*'[1]0、经济设定'!$C$18)</f>
        <v>83720</v>
      </c>
      <c r="O1257">
        <f t="shared" si="570"/>
        <v>2</v>
      </c>
      <c r="P1257">
        <f t="shared" si="571"/>
        <v>1</v>
      </c>
      <c r="Q1257">
        <f t="shared" si="572"/>
        <v>1</v>
      </c>
      <c r="R1257" s="2">
        <f t="shared" si="573"/>
        <v>9</v>
      </c>
      <c r="S1257" s="2">
        <f t="shared" si="574"/>
        <v>50</v>
      </c>
      <c r="T1257" s="2">
        <f t="shared" si="575"/>
        <v>166.07142857142858</v>
      </c>
      <c r="U1257" s="2">
        <f ca="1">VLOOKUP(E1257,金币生产率!$A$2:$B$120,2,0)</f>
        <v>1820</v>
      </c>
      <c r="V1257" s="2">
        <f t="shared" si="576"/>
        <v>166.07142857142858</v>
      </c>
      <c r="W1257" s="45">
        <f t="shared" ca="1" si="560"/>
        <v>46</v>
      </c>
      <c r="X1257" s="48">
        <f t="shared" ca="1" si="561"/>
        <v>619</v>
      </c>
      <c r="Y1257">
        <f t="shared" si="554"/>
        <v>18</v>
      </c>
      <c r="Z1257">
        <f t="shared" ca="1" si="557"/>
        <v>19</v>
      </c>
      <c r="AA1257" t="str">
        <f t="shared" ca="1" si="577"/>
        <v>9322400.png</v>
      </c>
      <c r="AB1257">
        <f t="shared" si="578"/>
        <v>20</v>
      </c>
      <c r="AC1257">
        <f>VLOOKUP(C1257,技能辅助查询表,技能配置辅助表!$W$1,FALSE)</f>
        <v>5333</v>
      </c>
      <c r="AD1257">
        <f t="shared" ca="1" si="558"/>
        <v>151.93556716993746</v>
      </c>
      <c r="AE1257">
        <f>VLOOKUP(C1257,技能辅助查询表,技能配置辅助表!$U$1,FALSE)</f>
        <v>4</v>
      </c>
      <c r="AF1257">
        <f t="shared" ca="1" si="579"/>
        <v>9322431</v>
      </c>
      <c r="AG1257">
        <f t="shared" ca="1" si="580"/>
        <v>52.469387755102041</v>
      </c>
      <c r="AH1257">
        <f t="shared" ca="1" si="559"/>
        <v>646.23969022607446</v>
      </c>
      <c r="AI1257">
        <f ca="1">VLOOKUP(E1257,伤害参考系!$C$4:$E$104,3,FALSE)*$AN$12</f>
        <v>7291.2152408026777</v>
      </c>
      <c r="AJ1257">
        <f>VLOOKUP(C1257,技能辅助查询表,技能配置辅助表!$L$1,FALSE)</f>
        <v>1</v>
      </c>
      <c r="AK1257">
        <f>VLOOKUP(C1257,技能辅助查询表,技能配置辅助表!$AE$1,FALSE)</f>
        <v>66000550</v>
      </c>
    </row>
    <row r="1258" spans="1:37" x14ac:dyDescent="0.15">
      <c r="A1258" s="1">
        <f t="shared" ca="1" si="562"/>
        <v>9322432</v>
      </c>
      <c r="B1258" s="1" t="str">
        <f t="shared" ca="1" si="563"/>
        <v>玫瑰之舞第4段</v>
      </c>
      <c r="C1258" t="s">
        <v>176</v>
      </c>
      <c r="D1258">
        <f t="shared" si="564"/>
        <v>3</v>
      </c>
      <c r="E1258" s="42">
        <f t="shared" ca="1" si="555"/>
        <v>54</v>
      </c>
      <c r="F1258" t="str">
        <f t="shared" ca="1" si="556"/>
        <v>第32级，共造成219.2%点伤害</v>
      </c>
      <c r="G1258">
        <f t="shared" ca="1" si="565"/>
        <v>4</v>
      </c>
      <c r="H1258">
        <f t="shared" si="566"/>
        <v>4</v>
      </c>
      <c r="I1258" s="44">
        <f t="shared" ca="1" si="567"/>
        <v>32</v>
      </c>
      <c r="J1258">
        <f t="shared" si="568"/>
        <v>2</v>
      </c>
      <c r="K1258" s="36">
        <f t="shared" ca="1" si="569"/>
        <v>219.21428571428572</v>
      </c>
      <c r="L1258" s="10">
        <f ca="1">AH1258*VLOOKUP(C1258,技能辅助查询表,技能配置辅助表!$T$1,FALSE)</f>
        <v>0</v>
      </c>
      <c r="M1258">
        <f t="shared" ca="1" si="553"/>
        <v>5440</v>
      </c>
      <c r="N1258" s="33">
        <f ca="1">CHOOSE(1,W1258*U1258,X1258*'[1]0、经济设定'!$C$18)</f>
        <v>92757</v>
      </c>
      <c r="O1258">
        <f t="shared" si="570"/>
        <v>2</v>
      </c>
      <c r="P1258">
        <f t="shared" si="571"/>
        <v>1</v>
      </c>
      <c r="Q1258">
        <f t="shared" si="572"/>
        <v>1</v>
      </c>
      <c r="R1258" s="2">
        <f t="shared" si="573"/>
        <v>9</v>
      </c>
      <c r="S1258" s="2">
        <f t="shared" si="574"/>
        <v>50</v>
      </c>
      <c r="T1258" s="2">
        <f t="shared" si="575"/>
        <v>166.07142857142858</v>
      </c>
      <c r="U1258" s="2">
        <f ca="1">VLOOKUP(E1258,金币生产率!$A$2:$B$120,2,0)</f>
        <v>1893</v>
      </c>
      <c r="V1258" s="2">
        <f t="shared" si="576"/>
        <v>166.07142857142858</v>
      </c>
      <c r="W1258" s="45">
        <f t="shared" ca="1" si="560"/>
        <v>49</v>
      </c>
      <c r="X1258" s="48">
        <f t="shared" ca="1" si="561"/>
        <v>668</v>
      </c>
      <c r="Y1258">
        <f t="shared" si="554"/>
        <v>18</v>
      </c>
      <c r="Z1258">
        <f t="shared" ca="1" si="557"/>
        <v>20</v>
      </c>
      <c r="AA1258" t="str">
        <f t="shared" ca="1" si="577"/>
        <v>9322400.png</v>
      </c>
      <c r="AB1258">
        <f t="shared" si="578"/>
        <v>20</v>
      </c>
      <c r="AC1258">
        <f>VLOOKUP(C1258,技能辅助查询表,技能配置辅助表!$W$1,FALSE)</f>
        <v>5333</v>
      </c>
      <c r="AD1258">
        <f t="shared" ca="1" si="558"/>
        <v>175.42032795992904</v>
      </c>
      <c r="AE1258">
        <f>VLOOKUP(C1258,技能辅助查询表,技能配置辅助表!$U$1,FALSE)</f>
        <v>4</v>
      </c>
      <c r="AF1258">
        <f t="shared" ca="1" si="579"/>
        <v>9322432</v>
      </c>
      <c r="AG1258">
        <f t="shared" ca="1" si="580"/>
        <v>53.918367346938773</v>
      </c>
      <c r="AH1258">
        <f t="shared" ca="1" si="559"/>
        <v>735.73534794457942</v>
      </c>
      <c r="AI1258">
        <f ca="1">VLOOKUP(E1258,伤害参考系!$C$4:$E$104,3,FALSE)*$AN$12</f>
        <v>7688.356211538463</v>
      </c>
      <c r="AJ1258">
        <f>VLOOKUP(C1258,技能辅助查询表,技能配置辅助表!$L$1,FALSE)</f>
        <v>1</v>
      </c>
      <c r="AK1258">
        <f>VLOOKUP(C1258,技能辅助查询表,技能配置辅助表!$AE$1,FALSE)</f>
        <v>66000550</v>
      </c>
    </row>
    <row r="1259" spans="1:37" x14ac:dyDescent="0.15">
      <c r="A1259" s="1">
        <f t="shared" ca="1" si="562"/>
        <v>9322433</v>
      </c>
      <c r="B1259" s="1" t="str">
        <f t="shared" ca="1" si="563"/>
        <v>玫瑰之舞第4段</v>
      </c>
      <c r="C1259" t="s">
        <v>176</v>
      </c>
      <c r="D1259">
        <f t="shared" si="564"/>
        <v>3</v>
      </c>
      <c r="E1259" s="42">
        <f t="shared" ca="1" si="555"/>
        <v>56</v>
      </c>
      <c r="F1259" t="str">
        <f t="shared" ca="1" si="556"/>
        <v>第33级，共造成220.9%点伤害</v>
      </c>
      <c r="G1259">
        <f t="shared" ca="1" si="565"/>
        <v>4</v>
      </c>
      <c r="H1259">
        <f t="shared" si="566"/>
        <v>4</v>
      </c>
      <c r="I1259" s="44">
        <f t="shared" ca="1" si="567"/>
        <v>33</v>
      </c>
      <c r="J1259">
        <f t="shared" si="568"/>
        <v>2</v>
      </c>
      <c r="K1259" s="36">
        <f t="shared" ca="1" si="569"/>
        <v>220.875</v>
      </c>
      <c r="L1259" s="10">
        <f ca="1">AH1259*VLOOKUP(C1259,技能辅助查询表,技能配置辅助表!$T$1,FALSE)</f>
        <v>0</v>
      </c>
      <c r="M1259">
        <f t="shared" ca="1" si="553"/>
        <v>5360</v>
      </c>
      <c r="N1259" s="33">
        <f ca="1">CHOOSE(1,W1259*U1259,X1259*'[1]0、经济设定'!$C$18)</f>
        <v>108226</v>
      </c>
      <c r="O1259">
        <f t="shared" si="570"/>
        <v>2</v>
      </c>
      <c r="P1259">
        <f t="shared" si="571"/>
        <v>1</v>
      </c>
      <c r="Q1259">
        <f t="shared" si="572"/>
        <v>1</v>
      </c>
      <c r="R1259" s="2">
        <f t="shared" si="573"/>
        <v>9</v>
      </c>
      <c r="S1259" s="2">
        <f t="shared" si="574"/>
        <v>50</v>
      </c>
      <c r="T1259" s="2">
        <f t="shared" si="575"/>
        <v>166.07142857142858</v>
      </c>
      <c r="U1259" s="2">
        <f ca="1">VLOOKUP(E1259,金币生产率!$A$2:$B$120,2,0)</f>
        <v>2042</v>
      </c>
      <c r="V1259" s="2">
        <f t="shared" si="576"/>
        <v>166.07142857142858</v>
      </c>
      <c r="W1259" s="45">
        <f t="shared" ca="1" si="560"/>
        <v>53</v>
      </c>
      <c r="X1259" s="48">
        <f t="shared" ca="1" si="561"/>
        <v>721</v>
      </c>
      <c r="Y1259">
        <f t="shared" si="554"/>
        <v>18</v>
      </c>
      <c r="Z1259">
        <f t="shared" ca="1" si="557"/>
        <v>22</v>
      </c>
      <c r="AA1259" t="str">
        <f t="shared" ca="1" si="577"/>
        <v>9322400.png</v>
      </c>
      <c r="AB1259">
        <f t="shared" si="578"/>
        <v>20</v>
      </c>
      <c r="AC1259">
        <f>VLOOKUP(C1259,技能辅助查询表,技能配置辅助表!$W$1,FALSE)</f>
        <v>5333</v>
      </c>
      <c r="AD1259">
        <f t="shared" ca="1" si="558"/>
        <v>202.49583690028211</v>
      </c>
      <c r="AE1259">
        <f>VLOOKUP(C1259,技能辅助查询表,技能配置辅助表!$U$1,FALSE)</f>
        <v>4</v>
      </c>
      <c r="AF1259">
        <f t="shared" ca="1" si="579"/>
        <v>9322433</v>
      </c>
      <c r="AG1259">
        <f t="shared" ca="1" si="580"/>
        <v>55.367346938775512</v>
      </c>
      <c r="AH1259">
        <f t="shared" ca="1" si="559"/>
        <v>837.62497166611001</v>
      </c>
      <c r="AI1259">
        <f ca="1">VLOOKUP(E1259,伤害参考系!$C$4:$E$104,3,FALSE)*$AN$12</f>
        <v>8513.8763929765901</v>
      </c>
      <c r="AJ1259">
        <f>VLOOKUP(C1259,技能辅助查询表,技能配置辅助表!$L$1,FALSE)</f>
        <v>1</v>
      </c>
      <c r="AK1259">
        <f>VLOOKUP(C1259,技能辅助查询表,技能配置辅助表!$AE$1,FALSE)</f>
        <v>66000550</v>
      </c>
    </row>
    <row r="1260" spans="1:37" x14ac:dyDescent="0.15">
      <c r="A1260" s="1">
        <f t="shared" ca="1" si="562"/>
        <v>9322434</v>
      </c>
      <c r="B1260" s="1" t="str">
        <f t="shared" ca="1" si="563"/>
        <v>玫瑰之舞第4段</v>
      </c>
      <c r="C1260" t="s">
        <v>176</v>
      </c>
      <c r="D1260">
        <f t="shared" si="564"/>
        <v>3</v>
      </c>
      <c r="E1260" s="42">
        <f t="shared" ca="1" si="555"/>
        <v>57</v>
      </c>
      <c r="F1260" t="str">
        <f t="shared" ca="1" si="556"/>
        <v>第34级，共造成222.5%点伤害</v>
      </c>
      <c r="G1260">
        <f t="shared" ca="1" si="565"/>
        <v>4</v>
      </c>
      <c r="H1260">
        <f t="shared" si="566"/>
        <v>4</v>
      </c>
      <c r="I1260" s="44">
        <f t="shared" ca="1" si="567"/>
        <v>34</v>
      </c>
      <c r="J1260">
        <f t="shared" si="568"/>
        <v>2</v>
      </c>
      <c r="K1260" s="36">
        <f t="shared" ca="1" si="569"/>
        <v>222.53571428571431</v>
      </c>
      <c r="L1260" s="10">
        <f ca="1">AH1260*VLOOKUP(C1260,技能辅助查询表,技能配置辅助表!$T$1,FALSE)</f>
        <v>0</v>
      </c>
      <c r="M1260">
        <f t="shared" ca="1" si="553"/>
        <v>5280</v>
      </c>
      <c r="N1260" s="33">
        <f ca="1">CHOOSE(1,W1260*U1260,X1260*'[1]0、经济设定'!$C$18)</f>
        <v>120783</v>
      </c>
      <c r="O1260">
        <f t="shared" si="570"/>
        <v>2</v>
      </c>
      <c r="P1260">
        <f t="shared" si="571"/>
        <v>1</v>
      </c>
      <c r="Q1260">
        <f t="shared" si="572"/>
        <v>1</v>
      </c>
      <c r="R1260" s="2">
        <f t="shared" si="573"/>
        <v>9</v>
      </c>
      <c r="S1260" s="2">
        <f t="shared" si="574"/>
        <v>50</v>
      </c>
      <c r="T1260" s="2">
        <f t="shared" si="575"/>
        <v>166.07142857142858</v>
      </c>
      <c r="U1260" s="2">
        <f ca="1">VLOOKUP(E1260,金币生产率!$A$2:$B$120,2,0)</f>
        <v>2119</v>
      </c>
      <c r="V1260" s="2">
        <f t="shared" si="576"/>
        <v>166.07142857142858</v>
      </c>
      <c r="W1260" s="45">
        <f t="shared" ca="1" si="560"/>
        <v>57</v>
      </c>
      <c r="X1260" s="48">
        <f t="shared" ca="1" si="561"/>
        <v>778</v>
      </c>
      <c r="Y1260">
        <f t="shared" si="554"/>
        <v>18</v>
      </c>
      <c r="Z1260">
        <f t="shared" ca="1" si="557"/>
        <v>23</v>
      </c>
      <c r="AA1260" t="str">
        <f t="shared" ca="1" si="577"/>
        <v>9322400.png</v>
      </c>
      <c r="AB1260">
        <f t="shared" si="578"/>
        <v>20</v>
      </c>
      <c r="AC1260">
        <f>VLOOKUP(C1260,技能辅助查询表,技能配置辅助表!$W$1,FALSE)</f>
        <v>5333</v>
      </c>
      <c r="AD1260">
        <f t="shared" ca="1" si="558"/>
        <v>233.70623173637887</v>
      </c>
      <c r="AE1260">
        <f>VLOOKUP(C1260,技能辅助查询表,技能配置辅助表!$U$1,FALSE)</f>
        <v>4</v>
      </c>
      <c r="AF1260">
        <f t="shared" ca="1" si="579"/>
        <v>9322434</v>
      </c>
      <c r="AG1260">
        <f t="shared" ca="1" si="580"/>
        <v>56.816326530612244</v>
      </c>
      <c r="AH1260">
        <f t="shared" ca="1" si="559"/>
        <v>953.62496190886134</v>
      </c>
      <c r="AI1260">
        <f ca="1">VLOOKUP(E1260,伤害参考系!$C$4:$E$104,3,FALSE)*$AN$12</f>
        <v>8942.2556036789319</v>
      </c>
      <c r="AJ1260">
        <f>VLOOKUP(C1260,技能辅助查询表,技能配置辅助表!$L$1,FALSE)</f>
        <v>1</v>
      </c>
      <c r="AK1260">
        <f>VLOOKUP(C1260,技能辅助查询表,技能配置辅助表!$AE$1,FALSE)</f>
        <v>66000550</v>
      </c>
    </row>
    <row r="1261" spans="1:37" x14ac:dyDescent="0.15">
      <c r="A1261" s="1">
        <f t="shared" ca="1" si="562"/>
        <v>9322435</v>
      </c>
      <c r="B1261" s="1" t="str">
        <f t="shared" ca="1" si="563"/>
        <v>玫瑰之舞第4段</v>
      </c>
      <c r="C1261" t="s">
        <v>176</v>
      </c>
      <c r="D1261">
        <f t="shared" si="564"/>
        <v>3</v>
      </c>
      <c r="E1261" s="42">
        <f t="shared" ca="1" si="555"/>
        <v>59</v>
      </c>
      <c r="F1261" t="str">
        <f t="shared" ca="1" si="556"/>
        <v>第35级，共造成224.2%点伤害</v>
      </c>
      <c r="G1261">
        <f t="shared" ca="1" si="565"/>
        <v>4</v>
      </c>
      <c r="H1261">
        <f t="shared" si="566"/>
        <v>4</v>
      </c>
      <c r="I1261" s="44">
        <f t="shared" ca="1" si="567"/>
        <v>35</v>
      </c>
      <c r="J1261">
        <f t="shared" si="568"/>
        <v>2</v>
      </c>
      <c r="K1261" s="36">
        <f t="shared" ca="1" si="569"/>
        <v>224.19642857142858</v>
      </c>
      <c r="L1261" s="10">
        <f ca="1">AH1261*VLOOKUP(C1261,技能辅助查询表,技能配置辅助表!$T$1,FALSE)</f>
        <v>0</v>
      </c>
      <c r="M1261">
        <f t="shared" ca="1" si="553"/>
        <v>5200</v>
      </c>
      <c r="N1261" s="33">
        <f ca="1">CHOOSE(1,W1261*U1261,X1261*'[1]0、经济设定'!$C$18)</f>
        <v>138897</v>
      </c>
      <c r="O1261">
        <f t="shared" si="570"/>
        <v>2</v>
      </c>
      <c r="P1261">
        <f t="shared" si="571"/>
        <v>1</v>
      </c>
      <c r="Q1261">
        <f t="shared" si="572"/>
        <v>1</v>
      </c>
      <c r="R1261" s="2">
        <f t="shared" si="573"/>
        <v>9</v>
      </c>
      <c r="S1261" s="2">
        <f t="shared" si="574"/>
        <v>50</v>
      </c>
      <c r="T1261" s="2">
        <f t="shared" si="575"/>
        <v>166.07142857142858</v>
      </c>
      <c r="U1261" s="2">
        <f ca="1">VLOOKUP(E1261,金币生产率!$A$2:$B$120,2,0)</f>
        <v>2277</v>
      </c>
      <c r="V1261" s="2">
        <f t="shared" si="576"/>
        <v>166.07142857142858</v>
      </c>
      <c r="W1261" s="45">
        <f t="shared" ca="1" si="560"/>
        <v>61</v>
      </c>
      <c r="X1261" s="48">
        <f t="shared" ca="1" si="561"/>
        <v>839</v>
      </c>
      <c r="Y1261">
        <f t="shared" si="554"/>
        <v>18</v>
      </c>
      <c r="Z1261">
        <f t="shared" ca="1" si="557"/>
        <v>25</v>
      </c>
      <c r="AA1261" t="str">
        <f t="shared" ca="1" si="577"/>
        <v>9322400.png</v>
      </c>
      <c r="AB1261">
        <f t="shared" si="578"/>
        <v>20</v>
      </c>
      <c r="AC1261">
        <f>VLOOKUP(C1261,技能辅助查询表,技能配置辅助表!$W$1,FALSE)</f>
        <v>5333</v>
      </c>
      <c r="AD1261">
        <f t="shared" ca="1" si="558"/>
        <v>269.67749650240614</v>
      </c>
      <c r="AE1261">
        <f>VLOOKUP(C1261,技能辅助查询表,技能配置辅助表!$U$1,FALSE)</f>
        <v>4</v>
      </c>
      <c r="AF1261">
        <f t="shared" ca="1" si="579"/>
        <v>9322435</v>
      </c>
      <c r="AG1261">
        <f t="shared" ca="1" si="580"/>
        <v>58.265306122448976</v>
      </c>
      <c r="AH1261">
        <f t="shared" ca="1" si="559"/>
        <v>1085.689417982368</v>
      </c>
      <c r="AI1261">
        <f ca="1">VLOOKUP(E1261,伤害参考系!$C$4:$E$104,3,FALSE)*$AN$12</f>
        <v>9830.2522650501687</v>
      </c>
      <c r="AJ1261">
        <f>VLOOKUP(C1261,技能辅助查询表,技能配置辅助表!$L$1,FALSE)</f>
        <v>1</v>
      </c>
      <c r="AK1261">
        <f>VLOOKUP(C1261,技能辅助查询表,技能配置辅助表!$AE$1,FALSE)</f>
        <v>66000550</v>
      </c>
    </row>
    <row r="1262" spans="1:37" x14ac:dyDescent="0.15">
      <c r="A1262" s="1">
        <f t="shared" ca="1" si="562"/>
        <v>9322436</v>
      </c>
      <c r="B1262" s="1" t="str">
        <f t="shared" ca="1" si="563"/>
        <v>玫瑰之舞第4段</v>
      </c>
      <c r="C1262" t="s">
        <v>176</v>
      </c>
      <c r="D1262">
        <f t="shared" si="564"/>
        <v>3</v>
      </c>
      <c r="E1262" s="42">
        <f t="shared" ca="1" si="555"/>
        <v>60</v>
      </c>
      <c r="F1262" t="str">
        <f t="shared" ca="1" si="556"/>
        <v>第36级，共造成225.9%点伤害</v>
      </c>
      <c r="G1262">
        <f t="shared" ca="1" si="565"/>
        <v>4</v>
      </c>
      <c r="H1262">
        <f t="shared" si="566"/>
        <v>4</v>
      </c>
      <c r="I1262" s="44">
        <f t="shared" ca="1" si="567"/>
        <v>36</v>
      </c>
      <c r="J1262">
        <f t="shared" si="568"/>
        <v>2</v>
      </c>
      <c r="K1262" s="36">
        <f t="shared" ca="1" si="569"/>
        <v>225.85714285714289</v>
      </c>
      <c r="L1262" s="10">
        <f ca="1">AH1262*VLOOKUP(C1262,技能辅助查询表,技能配置辅助表!$T$1,FALSE)</f>
        <v>0</v>
      </c>
      <c r="M1262">
        <f t="shared" ca="1" si="553"/>
        <v>5120</v>
      </c>
      <c r="N1262" s="33">
        <f ca="1">CHOOSE(1,W1262*U1262,X1262*'[1]0、经济设定'!$C$18)</f>
        <v>150912</v>
      </c>
      <c r="O1262">
        <f t="shared" si="570"/>
        <v>2</v>
      </c>
      <c r="P1262">
        <f t="shared" si="571"/>
        <v>1</v>
      </c>
      <c r="Q1262">
        <f t="shared" si="572"/>
        <v>1</v>
      </c>
      <c r="R1262" s="2">
        <f t="shared" si="573"/>
        <v>9</v>
      </c>
      <c r="S1262" s="2">
        <f t="shared" si="574"/>
        <v>50</v>
      </c>
      <c r="T1262" s="2">
        <f t="shared" si="575"/>
        <v>166.07142857142858</v>
      </c>
      <c r="U1262" s="2">
        <f ca="1">VLOOKUP(E1262,金币生产率!$A$2:$B$120,2,0)</f>
        <v>2358</v>
      </c>
      <c r="V1262" s="2">
        <f t="shared" si="576"/>
        <v>166.07142857142858</v>
      </c>
      <c r="W1262" s="45">
        <f t="shared" ca="1" si="560"/>
        <v>64</v>
      </c>
      <c r="X1262" s="48">
        <f t="shared" ca="1" si="561"/>
        <v>903</v>
      </c>
      <c r="Y1262">
        <f t="shared" si="554"/>
        <v>18</v>
      </c>
      <c r="Z1262">
        <f t="shared" ca="1" si="557"/>
        <v>26</v>
      </c>
      <c r="AA1262" t="str">
        <f t="shared" ca="1" si="577"/>
        <v>9322400.png</v>
      </c>
      <c r="AB1262">
        <f t="shared" si="578"/>
        <v>20</v>
      </c>
      <c r="AC1262">
        <f>VLOOKUP(C1262,技能辅助查询表,技能配置辅助表!$W$1,FALSE)</f>
        <v>5333</v>
      </c>
      <c r="AD1262">
        <f t="shared" ca="1" si="558"/>
        <v>311.12969498565695</v>
      </c>
      <c r="AE1262">
        <f>VLOOKUP(C1262,技能辅助查询表,技能配置辅助表!$U$1,FALSE)</f>
        <v>4</v>
      </c>
      <c r="AF1262">
        <f t="shared" ca="1" si="579"/>
        <v>9322436</v>
      </c>
      <c r="AG1262">
        <f t="shared" ca="1" si="580"/>
        <v>59.714285714285715</v>
      </c>
      <c r="AH1262">
        <f t="shared" ca="1" si="559"/>
        <v>1236.0430561291703</v>
      </c>
      <c r="AI1262">
        <f ca="1">VLOOKUP(E1262,伤害参考系!$C$4:$E$104,3,FALSE)*$AN$12</f>
        <v>10340.558729096994</v>
      </c>
      <c r="AJ1262">
        <f>VLOOKUP(C1262,技能辅助查询表,技能配置辅助表!$L$1,FALSE)</f>
        <v>1</v>
      </c>
      <c r="AK1262">
        <f>VLOOKUP(C1262,技能辅助查询表,技能配置辅助表!$AE$1,FALSE)</f>
        <v>66000550</v>
      </c>
    </row>
    <row r="1263" spans="1:37" x14ac:dyDescent="0.15">
      <c r="A1263" s="1">
        <f t="shared" ca="1" si="562"/>
        <v>9322437</v>
      </c>
      <c r="B1263" s="1" t="str">
        <f t="shared" ca="1" si="563"/>
        <v>玫瑰之舞第4段</v>
      </c>
      <c r="C1263" t="s">
        <v>176</v>
      </c>
      <c r="D1263">
        <f t="shared" si="564"/>
        <v>3</v>
      </c>
      <c r="E1263" s="42">
        <f t="shared" ca="1" si="555"/>
        <v>62</v>
      </c>
      <c r="F1263" t="str">
        <f t="shared" ca="1" si="556"/>
        <v>第37级，共造成227.5%点伤害</v>
      </c>
      <c r="G1263">
        <f t="shared" ca="1" si="565"/>
        <v>4</v>
      </c>
      <c r="H1263">
        <f t="shared" si="566"/>
        <v>4</v>
      </c>
      <c r="I1263" s="44">
        <f t="shared" ca="1" si="567"/>
        <v>37</v>
      </c>
      <c r="J1263">
        <f t="shared" si="568"/>
        <v>2</v>
      </c>
      <c r="K1263" s="36">
        <f t="shared" ca="1" si="569"/>
        <v>227.51785714285717</v>
      </c>
      <c r="L1263" s="10">
        <f ca="1">AH1263*VLOOKUP(C1263,技能辅助查询表,技能配置辅助表!$T$1,FALSE)</f>
        <v>0</v>
      </c>
      <c r="M1263">
        <f t="shared" ca="1" si="553"/>
        <v>5040</v>
      </c>
      <c r="N1263" s="33">
        <f ca="1">CHOOSE(1,W1263*U1263,X1263*'[1]0、经济设定'!$C$18)</f>
        <v>174156</v>
      </c>
      <c r="O1263">
        <f t="shared" si="570"/>
        <v>2</v>
      </c>
      <c r="P1263">
        <f t="shared" si="571"/>
        <v>1</v>
      </c>
      <c r="Q1263">
        <f t="shared" si="572"/>
        <v>1</v>
      </c>
      <c r="R1263" s="2">
        <f t="shared" si="573"/>
        <v>9</v>
      </c>
      <c r="S1263" s="2">
        <f t="shared" si="574"/>
        <v>50</v>
      </c>
      <c r="T1263" s="2">
        <f t="shared" si="575"/>
        <v>166.07142857142858</v>
      </c>
      <c r="U1263" s="2">
        <f ca="1">VLOOKUP(E1263,金币生产率!$A$2:$B$120,2,0)</f>
        <v>2524</v>
      </c>
      <c r="V1263" s="2">
        <f t="shared" si="576"/>
        <v>166.07142857142858</v>
      </c>
      <c r="W1263" s="45">
        <f t="shared" ca="1" si="560"/>
        <v>69</v>
      </c>
      <c r="X1263" s="48">
        <f t="shared" ca="1" si="561"/>
        <v>972</v>
      </c>
      <c r="Y1263">
        <f t="shared" si="554"/>
        <v>18</v>
      </c>
      <c r="Z1263">
        <f t="shared" ca="1" si="557"/>
        <v>28</v>
      </c>
      <c r="AA1263" t="str">
        <f t="shared" ca="1" si="577"/>
        <v>9322400.png</v>
      </c>
      <c r="AB1263">
        <f t="shared" si="578"/>
        <v>20</v>
      </c>
      <c r="AC1263">
        <f>VLOOKUP(C1263,技能辅助查询表,技能配置辅助表!$W$1,FALSE)</f>
        <v>5333</v>
      </c>
      <c r="AD1263">
        <f t="shared" ca="1" si="558"/>
        <v>358.89102284072817</v>
      </c>
      <c r="AE1263">
        <f>VLOOKUP(C1263,技能辅助查询表,技能配置辅助表!$U$1,FALSE)</f>
        <v>4</v>
      </c>
      <c r="AF1263">
        <f t="shared" ca="1" si="579"/>
        <v>9322437</v>
      </c>
      <c r="AG1263">
        <f t="shared" ca="1" si="580"/>
        <v>61.163265306122447</v>
      </c>
      <c r="AH1263">
        <f t="shared" ca="1" si="559"/>
        <v>1407.2186863941167</v>
      </c>
      <c r="AI1263">
        <f ca="1">VLOOKUP(E1263,伤害参考系!$C$4:$E$104,3,FALSE)*$AN$12</f>
        <v>11398.657545150505</v>
      </c>
      <c r="AJ1263">
        <f>VLOOKUP(C1263,技能辅助查询表,技能配置辅助表!$L$1,FALSE)</f>
        <v>1</v>
      </c>
      <c r="AK1263">
        <f>VLOOKUP(C1263,技能辅助查询表,技能配置辅助表!$AE$1,FALSE)</f>
        <v>66000550</v>
      </c>
    </row>
    <row r="1264" spans="1:37" x14ac:dyDescent="0.15">
      <c r="A1264" s="1">
        <f t="shared" ca="1" si="562"/>
        <v>9322438</v>
      </c>
      <c r="B1264" s="1" t="str">
        <f t="shared" ca="1" si="563"/>
        <v>玫瑰之舞第4段</v>
      </c>
      <c r="C1264" t="s">
        <v>176</v>
      </c>
      <c r="D1264">
        <f t="shared" si="564"/>
        <v>3</v>
      </c>
      <c r="E1264" s="42">
        <f t="shared" ca="1" si="555"/>
        <v>63</v>
      </c>
      <c r="F1264" t="str">
        <f t="shared" ca="1" si="556"/>
        <v>第38级，共造成229.2%点伤害</v>
      </c>
      <c r="G1264">
        <f t="shared" ca="1" si="565"/>
        <v>4</v>
      </c>
      <c r="H1264">
        <f t="shared" si="566"/>
        <v>4</v>
      </c>
      <c r="I1264" s="44">
        <f t="shared" ca="1" si="567"/>
        <v>38</v>
      </c>
      <c r="J1264">
        <f t="shared" si="568"/>
        <v>2</v>
      </c>
      <c r="K1264" s="36">
        <f t="shared" ca="1" si="569"/>
        <v>229.17857142857144</v>
      </c>
      <c r="L1264" s="10">
        <f ca="1">AH1264*VLOOKUP(C1264,技能辅助查询表,技能配置辅助表!$T$1,FALSE)</f>
        <v>0</v>
      </c>
      <c r="M1264">
        <f t="shared" ca="1" si="553"/>
        <v>4960</v>
      </c>
      <c r="N1264" s="33">
        <f ca="1">CHOOSE(1,W1264*U1264,X1264*'[1]0、经济设定'!$C$18)</f>
        <v>193066</v>
      </c>
      <c r="O1264">
        <f t="shared" si="570"/>
        <v>2</v>
      </c>
      <c r="P1264">
        <f t="shared" si="571"/>
        <v>1</v>
      </c>
      <c r="Q1264">
        <f t="shared" si="572"/>
        <v>1</v>
      </c>
      <c r="R1264" s="2">
        <f t="shared" si="573"/>
        <v>9</v>
      </c>
      <c r="S1264" s="2">
        <f t="shared" si="574"/>
        <v>50</v>
      </c>
      <c r="T1264" s="2">
        <f t="shared" si="575"/>
        <v>166.07142857142858</v>
      </c>
      <c r="U1264" s="2">
        <f ca="1">VLOOKUP(E1264,金币生产率!$A$2:$B$120,2,0)</f>
        <v>2609</v>
      </c>
      <c r="V1264" s="2">
        <f t="shared" si="576"/>
        <v>166.07142857142858</v>
      </c>
      <c r="W1264" s="45">
        <f t="shared" ca="1" si="560"/>
        <v>74</v>
      </c>
      <c r="X1264" s="48">
        <f t="shared" ca="1" si="561"/>
        <v>1046</v>
      </c>
      <c r="Y1264">
        <f t="shared" si="554"/>
        <v>18</v>
      </c>
      <c r="Z1264">
        <f t="shared" ca="1" si="557"/>
        <v>30</v>
      </c>
      <c r="AA1264" t="str">
        <f t="shared" ca="1" si="577"/>
        <v>9322400.png</v>
      </c>
      <c r="AB1264">
        <f t="shared" si="578"/>
        <v>20</v>
      </c>
      <c r="AC1264">
        <f>VLOOKUP(C1264,技能辅助查询表,技能配置辅助表!$W$1,FALSE)</f>
        <v>5333</v>
      </c>
      <c r="AD1264">
        <f t="shared" ca="1" si="558"/>
        <v>413.91394745097807</v>
      </c>
      <c r="AE1264">
        <f>VLOOKUP(C1264,技能辅助查询表,技能配置辅助表!$U$1,FALSE)</f>
        <v>4</v>
      </c>
      <c r="AF1264">
        <f t="shared" ca="1" si="579"/>
        <v>9322438</v>
      </c>
      <c r="AG1264">
        <f t="shared" ca="1" si="580"/>
        <v>62.612244897959187</v>
      </c>
      <c r="AH1264">
        <f t="shared" ca="1" si="559"/>
        <v>1602.0998795448415</v>
      </c>
      <c r="AI1264">
        <f ca="1">VLOOKUP(E1264,伤害参考系!$C$4:$E$104,3,FALSE)*$AN$12</f>
        <v>11946.449897157196</v>
      </c>
      <c r="AJ1264">
        <f>VLOOKUP(C1264,技能辅助查询表,技能配置辅助表!$L$1,FALSE)</f>
        <v>1</v>
      </c>
      <c r="AK1264">
        <f>VLOOKUP(C1264,技能辅助查询表,技能配置辅助表!$AE$1,FALSE)</f>
        <v>66000550</v>
      </c>
    </row>
    <row r="1265" spans="1:37" x14ac:dyDescent="0.15">
      <c r="A1265" s="1">
        <f t="shared" ca="1" si="562"/>
        <v>9322439</v>
      </c>
      <c r="B1265" s="1" t="str">
        <f t="shared" ca="1" si="563"/>
        <v>玫瑰之舞第4段</v>
      </c>
      <c r="C1265" t="s">
        <v>176</v>
      </c>
      <c r="D1265">
        <f t="shared" si="564"/>
        <v>3</v>
      </c>
      <c r="E1265" s="42">
        <f t="shared" ca="1" si="555"/>
        <v>64</v>
      </c>
      <c r="F1265" t="str">
        <f t="shared" ca="1" si="556"/>
        <v>第39级，共造成230.8%点伤害</v>
      </c>
      <c r="G1265">
        <f t="shared" ca="1" si="565"/>
        <v>4</v>
      </c>
      <c r="H1265">
        <f t="shared" si="566"/>
        <v>4</v>
      </c>
      <c r="I1265" s="44">
        <f t="shared" ca="1" si="567"/>
        <v>39</v>
      </c>
      <c r="J1265">
        <f t="shared" si="568"/>
        <v>2</v>
      </c>
      <c r="K1265" s="36">
        <f t="shared" ca="1" si="569"/>
        <v>230.83928571428572</v>
      </c>
      <c r="L1265" s="10">
        <f ca="1">AH1265*VLOOKUP(C1265,技能辅助查询表,技能配置辅助表!$T$1,FALSE)</f>
        <v>0</v>
      </c>
      <c r="M1265">
        <f t="shared" ca="1" si="553"/>
        <v>4880</v>
      </c>
      <c r="N1265" s="33">
        <f ca="1">CHOOSE(1,W1265*U1265,X1265*'[1]0、经济设定'!$C$18)</f>
        <v>212905</v>
      </c>
      <c r="O1265">
        <f t="shared" si="570"/>
        <v>2</v>
      </c>
      <c r="P1265">
        <f t="shared" si="571"/>
        <v>1</v>
      </c>
      <c r="Q1265">
        <f t="shared" si="572"/>
        <v>1</v>
      </c>
      <c r="R1265" s="2">
        <f t="shared" si="573"/>
        <v>9</v>
      </c>
      <c r="S1265" s="2">
        <f t="shared" si="574"/>
        <v>50</v>
      </c>
      <c r="T1265" s="2">
        <f t="shared" si="575"/>
        <v>166.07142857142858</v>
      </c>
      <c r="U1265" s="2">
        <f ca="1">VLOOKUP(E1265,金币生产率!$A$2:$B$120,2,0)</f>
        <v>2695</v>
      </c>
      <c r="V1265" s="2">
        <f t="shared" si="576"/>
        <v>166.07142857142858</v>
      </c>
      <c r="W1265" s="45">
        <f t="shared" ca="1" si="560"/>
        <v>79</v>
      </c>
      <c r="X1265" s="48">
        <f t="shared" ca="1" si="561"/>
        <v>1125</v>
      </c>
      <c r="Y1265">
        <f t="shared" si="554"/>
        <v>18</v>
      </c>
      <c r="Z1265">
        <f t="shared" ca="1" si="557"/>
        <v>32</v>
      </c>
      <c r="AA1265" t="str">
        <f t="shared" ca="1" si="577"/>
        <v>9322400.png</v>
      </c>
      <c r="AB1265">
        <f t="shared" si="578"/>
        <v>20</v>
      </c>
      <c r="AC1265">
        <f>VLOOKUP(C1265,技能辅助查询表,技能配置辅助表!$W$1,FALSE)</f>
        <v>5333</v>
      </c>
      <c r="AD1265">
        <f t="shared" ca="1" si="558"/>
        <v>477.29374428832926</v>
      </c>
      <c r="AE1265">
        <f>VLOOKUP(C1265,技能辅助查询表,技能配置辅助表!$U$1,FALSE)</f>
        <v>4</v>
      </c>
      <c r="AF1265">
        <f t="shared" ca="1" si="579"/>
        <v>9322439</v>
      </c>
      <c r="AG1265">
        <f t="shared" ca="1" si="580"/>
        <v>64.061224489795919</v>
      </c>
      <c r="AH1265">
        <f t="shared" ca="1" si="559"/>
        <v>1823.9695427969455</v>
      </c>
      <c r="AI1265">
        <f ca="1">VLOOKUP(E1265,伤害参考系!$C$4:$E$104,3,FALSE)*$AN$12</f>
        <v>12506.737545150507</v>
      </c>
      <c r="AJ1265">
        <f>VLOOKUP(C1265,技能辅助查询表,技能配置辅助表!$L$1,FALSE)</f>
        <v>1</v>
      </c>
      <c r="AK1265">
        <f>VLOOKUP(C1265,技能辅助查询表,技能配置辅助表!$AE$1,FALSE)</f>
        <v>66000550</v>
      </c>
    </row>
    <row r="1266" spans="1:37" x14ac:dyDescent="0.15">
      <c r="A1266" s="1">
        <f t="shared" ca="1" si="562"/>
        <v>9322440</v>
      </c>
      <c r="B1266" s="1" t="str">
        <f t="shared" ca="1" si="563"/>
        <v>玫瑰之舞第4段</v>
      </c>
      <c r="C1266" t="s">
        <v>176</v>
      </c>
      <c r="D1266">
        <f t="shared" si="564"/>
        <v>3</v>
      </c>
      <c r="E1266" s="42">
        <f t="shared" ca="1" si="555"/>
        <v>66</v>
      </c>
      <c r="F1266" t="str">
        <f t="shared" ca="1" si="556"/>
        <v>第40级，共造成232.5%点伤害</v>
      </c>
      <c r="G1266">
        <f t="shared" ca="1" si="565"/>
        <v>4</v>
      </c>
      <c r="H1266">
        <f t="shared" si="566"/>
        <v>4</v>
      </c>
      <c r="I1266" s="44">
        <f t="shared" ca="1" si="567"/>
        <v>40</v>
      </c>
      <c r="J1266">
        <f t="shared" si="568"/>
        <v>2</v>
      </c>
      <c r="K1266" s="36">
        <f t="shared" ca="1" si="569"/>
        <v>232.5</v>
      </c>
      <c r="L1266" s="10">
        <f ca="1">AH1266*VLOOKUP(C1266,技能辅助查询表,技能配置辅助表!$T$1,FALSE)</f>
        <v>0</v>
      </c>
      <c r="M1266">
        <f t="shared" ca="1" si="553"/>
        <v>4800</v>
      </c>
      <c r="N1266" s="33">
        <f ca="1">CHOOSE(1,W1266*U1266,X1266*'[1]0、经济设定'!$C$18)</f>
        <v>244120</v>
      </c>
      <c r="O1266">
        <f t="shared" si="570"/>
        <v>2</v>
      </c>
      <c r="P1266">
        <f t="shared" si="571"/>
        <v>1</v>
      </c>
      <c r="Q1266">
        <f t="shared" si="572"/>
        <v>1</v>
      </c>
      <c r="R1266" s="2">
        <f t="shared" si="573"/>
        <v>9</v>
      </c>
      <c r="S1266" s="2">
        <f t="shared" si="574"/>
        <v>50</v>
      </c>
      <c r="T1266" s="2">
        <f t="shared" si="575"/>
        <v>166.07142857142858</v>
      </c>
      <c r="U1266" s="2">
        <f ca="1">VLOOKUP(E1266,金币生产率!$A$2:$B$120,2,0)</f>
        <v>2872</v>
      </c>
      <c r="V1266" s="2">
        <f t="shared" si="576"/>
        <v>166.07142857142858</v>
      </c>
      <c r="W1266" s="45">
        <f t="shared" ca="1" si="560"/>
        <v>85</v>
      </c>
      <c r="X1266" s="48">
        <f t="shared" ca="1" si="561"/>
        <v>1210</v>
      </c>
      <c r="Y1266">
        <f t="shared" si="554"/>
        <v>18</v>
      </c>
      <c r="Z1266">
        <f t="shared" ca="1" si="557"/>
        <v>34</v>
      </c>
      <c r="AA1266" t="str">
        <f t="shared" ca="1" si="577"/>
        <v>9322400.png</v>
      </c>
      <c r="AB1266">
        <f t="shared" si="578"/>
        <v>20</v>
      </c>
      <c r="AC1266">
        <f>VLOOKUP(C1266,技能辅助查询表,技能配置辅助表!$W$1,FALSE)</f>
        <v>5333</v>
      </c>
      <c r="AD1266">
        <f t="shared" ca="1" si="558"/>
        <v>550.28978399833477</v>
      </c>
      <c r="AE1266">
        <f>VLOOKUP(C1266,技能辅助查询表,技能配置辅助表!$U$1,FALSE)</f>
        <v>4</v>
      </c>
      <c r="AF1266">
        <f t="shared" ca="1" si="579"/>
        <v>9322440</v>
      </c>
      <c r="AG1266">
        <f t="shared" ca="1" si="580"/>
        <v>65.510204081632651</v>
      </c>
      <c r="AH1266">
        <f t="shared" ca="1" si="559"/>
        <v>2076.5652226352254</v>
      </c>
      <c r="AI1266">
        <f ca="1">VLOOKUP(E1266,伤害参考系!$C$4:$E$104,3,FALSE)*$AN$12</f>
        <v>13664.798729096996</v>
      </c>
      <c r="AJ1266">
        <f>VLOOKUP(C1266,技能辅助查询表,技能配置辅助表!$L$1,FALSE)</f>
        <v>1</v>
      </c>
      <c r="AK1266">
        <f>VLOOKUP(C1266,技能辅助查询表,技能配置辅助表!$AE$1,FALSE)</f>
        <v>66000550</v>
      </c>
    </row>
    <row r="1267" spans="1:37" x14ac:dyDescent="0.15">
      <c r="A1267" s="1">
        <f t="shared" ca="1" si="562"/>
        <v>9322441</v>
      </c>
      <c r="B1267" s="1" t="str">
        <f t="shared" ca="1" si="563"/>
        <v>玫瑰之舞第4段</v>
      </c>
      <c r="C1267" t="s">
        <v>176</v>
      </c>
      <c r="D1267">
        <f t="shared" si="564"/>
        <v>3</v>
      </c>
      <c r="E1267" s="42">
        <f t="shared" ca="1" si="555"/>
        <v>67</v>
      </c>
      <c r="F1267" t="str">
        <f t="shared" ca="1" si="556"/>
        <v>第41级，共造成234.2%点伤害</v>
      </c>
      <c r="G1267">
        <f t="shared" ca="1" si="565"/>
        <v>4</v>
      </c>
      <c r="H1267">
        <f t="shared" si="566"/>
        <v>4</v>
      </c>
      <c r="I1267" s="44">
        <f t="shared" ca="1" si="567"/>
        <v>41</v>
      </c>
      <c r="J1267">
        <f t="shared" si="568"/>
        <v>2</v>
      </c>
      <c r="K1267" s="36">
        <f t="shared" ca="1" si="569"/>
        <v>234.16071428571431</v>
      </c>
      <c r="L1267" s="10">
        <f ca="1">AH1267*VLOOKUP(C1267,技能辅助查询表,技能配置辅助表!$T$1,FALSE)</f>
        <v>0</v>
      </c>
      <c r="M1267">
        <f t="shared" ca="1" si="553"/>
        <v>4720</v>
      </c>
      <c r="N1267" s="33">
        <f ca="1">CHOOSE(1,W1267*U1267,X1267*'[1]0、经济设定'!$C$18)</f>
        <v>269633</v>
      </c>
      <c r="O1267">
        <f t="shared" si="570"/>
        <v>2</v>
      </c>
      <c r="P1267">
        <f t="shared" si="571"/>
        <v>1</v>
      </c>
      <c r="Q1267">
        <f t="shared" si="572"/>
        <v>1</v>
      </c>
      <c r="R1267" s="2">
        <f t="shared" si="573"/>
        <v>9</v>
      </c>
      <c r="S1267" s="2">
        <f t="shared" si="574"/>
        <v>50</v>
      </c>
      <c r="T1267" s="2">
        <f t="shared" si="575"/>
        <v>166.07142857142858</v>
      </c>
      <c r="U1267" s="2">
        <f ca="1">VLOOKUP(E1267,金币生产率!$A$2:$B$120,2,0)</f>
        <v>2963</v>
      </c>
      <c r="V1267" s="2">
        <f t="shared" si="576"/>
        <v>166.07142857142858</v>
      </c>
      <c r="W1267" s="45">
        <f t="shared" ca="1" si="560"/>
        <v>91</v>
      </c>
      <c r="X1267" s="48">
        <f t="shared" ca="1" si="561"/>
        <v>1301</v>
      </c>
      <c r="Y1267">
        <f t="shared" si="554"/>
        <v>18</v>
      </c>
      <c r="Z1267">
        <f t="shared" ca="1" si="557"/>
        <v>37</v>
      </c>
      <c r="AA1267" t="str">
        <f t="shared" ca="1" si="577"/>
        <v>9322400.png</v>
      </c>
      <c r="AB1267">
        <f t="shared" si="578"/>
        <v>20</v>
      </c>
      <c r="AC1267">
        <f>VLOOKUP(C1267,技能辅助查询表,技能配置辅助表!$W$1,FALSE)</f>
        <v>5333</v>
      </c>
      <c r="AD1267">
        <f t="shared" ca="1" si="558"/>
        <v>634.34997658746488</v>
      </c>
      <c r="AE1267">
        <f>VLOOKUP(C1267,技能辅助查询表,技能配置辅助表!$U$1,FALSE)</f>
        <v>4</v>
      </c>
      <c r="AF1267">
        <f t="shared" ca="1" si="579"/>
        <v>9322441</v>
      </c>
      <c r="AG1267">
        <f t="shared" ca="1" si="580"/>
        <v>66.959183673469397</v>
      </c>
      <c r="AH1267">
        <f t="shared" ca="1" si="559"/>
        <v>2364.1420663448707</v>
      </c>
      <c r="AI1267">
        <f ca="1">VLOOKUP(E1267,伤害参考系!$C$4:$E$104,3,FALSE)*$AN$12</f>
        <v>14262.572265050176</v>
      </c>
      <c r="AJ1267">
        <f>VLOOKUP(C1267,技能辅助查询表,技能配置辅助表!$L$1,FALSE)</f>
        <v>1</v>
      </c>
      <c r="AK1267">
        <f>VLOOKUP(C1267,技能辅助查询表,技能配置辅助表!$AE$1,FALSE)</f>
        <v>66000550</v>
      </c>
    </row>
    <row r="1268" spans="1:37" x14ac:dyDescent="0.15">
      <c r="A1268" s="1">
        <f t="shared" ca="1" si="562"/>
        <v>9322442</v>
      </c>
      <c r="B1268" s="1" t="str">
        <f t="shared" ca="1" si="563"/>
        <v>玫瑰之舞第4段</v>
      </c>
      <c r="C1268" t="s">
        <v>176</v>
      </c>
      <c r="D1268">
        <f t="shared" si="564"/>
        <v>3</v>
      </c>
      <c r="E1268" s="42">
        <f t="shared" ca="1" si="555"/>
        <v>69</v>
      </c>
      <c r="F1268" t="str">
        <f t="shared" ca="1" si="556"/>
        <v>第42级，共造成235.8%点伤害</v>
      </c>
      <c r="G1268">
        <f t="shared" ca="1" si="565"/>
        <v>4</v>
      </c>
      <c r="H1268">
        <f t="shared" si="566"/>
        <v>4</v>
      </c>
      <c r="I1268" s="44">
        <f t="shared" ca="1" si="567"/>
        <v>42</v>
      </c>
      <c r="J1268">
        <f t="shared" si="568"/>
        <v>2</v>
      </c>
      <c r="K1268" s="36">
        <f t="shared" ca="1" si="569"/>
        <v>235.82142857142858</v>
      </c>
      <c r="L1268" s="10">
        <f ca="1">AH1268*VLOOKUP(C1268,技能辅助查询表,技能配置辅助表!$T$1,FALSE)</f>
        <v>0</v>
      </c>
      <c r="M1268">
        <f t="shared" ca="1" si="553"/>
        <v>4640</v>
      </c>
      <c r="N1268" s="33">
        <f ca="1">CHOOSE(1,W1268*U1268,X1268*'[1]0、经济设定'!$C$18)</f>
        <v>305259</v>
      </c>
      <c r="O1268">
        <f t="shared" si="570"/>
        <v>2</v>
      </c>
      <c r="P1268">
        <f t="shared" si="571"/>
        <v>1</v>
      </c>
      <c r="Q1268">
        <f t="shared" si="572"/>
        <v>1</v>
      </c>
      <c r="R1268" s="2">
        <f t="shared" si="573"/>
        <v>9</v>
      </c>
      <c r="S1268" s="2">
        <f t="shared" si="574"/>
        <v>50</v>
      </c>
      <c r="T1268" s="2">
        <f t="shared" si="575"/>
        <v>166.07142857142858</v>
      </c>
      <c r="U1268" s="2">
        <f ca="1">VLOOKUP(E1268,金币生产率!$A$2:$B$120,2,0)</f>
        <v>3147</v>
      </c>
      <c r="V1268" s="2">
        <f t="shared" si="576"/>
        <v>166.07142857142858</v>
      </c>
      <c r="W1268" s="45">
        <f t="shared" ca="1" si="560"/>
        <v>97</v>
      </c>
      <c r="X1268" s="48">
        <f t="shared" ca="1" si="561"/>
        <v>1398</v>
      </c>
      <c r="Y1268">
        <f t="shared" si="554"/>
        <v>18</v>
      </c>
      <c r="Z1268">
        <f t="shared" ca="1" si="557"/>
        <v>39</v>
      </c>
      <c r="AA1268" t="str">
        <f t="shared" ca="1" si="577"/>
        <v>9322400.png</v>
      </c>
      <c r="AB1268">
        <f t="shared" si="578"/>
        <v>20</v>
      </c>
      <c r="AC1268">
        <f>VLOOKUP(C1268,技能辅助查询表,技能配置辅助表!$W$1,FALSE)</f>
        <v>5333</v>
      </c>
      <c r="AD1268">
        <f t="shared" ca="1" si="558"/>
        <v>731.13883889022929</v>
      </c>
      <c r="AE1268">
        <f>VLOOKUP(C1268,技能辅助查询表,技能配置辅助表!$U$1,FALSE)</f>
        <v>4</v>
      </c>
      <c r="AF1268">
        <f t="shared" ca="1" si="579"/>
        <v>9322442</v>
      </c>
      <c r="AG1268">
        <f t="shared" ca="1" si="580"/>
        <v>68.408163265306115</v>
      </c>
      <c r="AH1268">
        <f t="shared" ca="1" si="559"/>
        <v>2691.5445028827789</v>
      </c>
      <c r="AI1268">
        <f ca="1">VLOOKUP(E1268,伤害参考系!$C$4:$E$104,3,FALSE)*$AN$12</f>
        <v>15495.605224916402</v>
      </c>
      <c r="AJ1268">
        <f>VLOOKUP(C1268,技能辅助查询表,技能配置辅助表!$L$1,FALSE)</f>
        <v>1</v>
      </c>
      <c r="AK1268">
        <f>VLOOKUP(C1268,技能辅助查询表,技能配置辅助表!$AE$1,FALSE)</f>
        <v>66000550</v>
      </c>
    </row>
    <row r="1269" spans="1:37" x14ac:dyDescent="0.15">
      <c r="A1269" s="1">
        <f t="shared" ca="1" si="562"/>
        <v>9322443</v>
      </c>
      <c r="B1269" s="1" t="str">
        <f t="shared" ca="1" si="563"/>
        <v>玫瑰之舞第4段</v>
      </c>
      <c r="C1269" t="s">
        <v>176</v>
      </c>
      <c r="D1269">
        <f t="shared" si="564"/>
        <v>3</v>
      </c>
      <c r="E1269" s="42">
        <f t="shared" ca="1" si="555"/>
        <v>70</v>
      </c>
      <c r="F1269" t="str">
        <f t="shared" ca="1" si="556"/>
        <v>第43级，共造成237.5%点伤害</v>
      </c>
      <c r="G1269">
        <f t="shared" ca="1" si="565"/>
        <v>4</v>
      </c>
      <c r="H1269">
        <f t="shared" si="566"/>
        <v>4</v>
      </c>
      <c r="I1269" s="44">
        <f t="shared" ca="1" si="567"/>
        <v>43</v>
      </c>
      <c r="J1269">
        <f t="shared" si="568"/>
        <v>2</v>
      </c>
      <c r="K1269" s="36">
        <f t="shared" ca="1" si="569"/>
        <v>237.48214285714289</v>
      </c>
      <c r="L1269" s="10">
        <f ca="1">AH1269*VLOOKUP(C1269,技能辅助查询表,技能配置辅助表!$T$1,FALSE)</f>
        <v>0</v>
      </c>
      <c r="M1269">
        <f t="shared" ca="1" si="553"/>
        <v>4560</v>
      </c>
      <c r="N1269" s="33">
        <f ca="1">CHOOSE(1,W1269*U1269,X1269*'[1]0、经济设定'!$C$18)</f>
        <v>337168</v>
      </c>
      <c r="O1269">
        <f t="shared" si="570"/>
        <v>2</v>
      </c>
      <c r="P1269">
        <f t="shared" si="571"/>
        <v>1</v>
      </c>
      <c r="Q1269">
        <f t="shared" si="572"/>
        <v>1</v>
      </c>
      <c r="R1269" s="2">
        <f t="shared" si="573"/>
        <v>9</v>
      </c>
      <c r="S1269" s="2">
        <f t="shared" si="574"/>
        <v>50</v>
      </c>
      <c r="T1269" s="2">
        <f t="shared" si="575"/>
        <v>166.07142857142858</v>
      </c>
      <c r="U1269" s="2">
        <f ca="1">VLOOKUP(E1269,金币生产率!$A$2:$B$120,2,0)</f>
        <v>3242</v>
      </c>
      <c r="V1269" s="2">
        <f t="shared" si="576"/>
        <v>166.07142857142858</v>
      </c>
      <c r="W1269" s="45">
        <f t="shared" ca="1" si="560"/>
        <v>104</v>
      </c>
      <c r="X1269" s="48">
        <f t="shared" ca="1" si="561"/>
        <v>1502</v>
      </c>
      <c r="Y1269">
        <f t="shared" si="554"/>
        <v>18</v>
      </c>
      <c r="Z1269">
        <f t="shared" ca="1" si="557"/>
        <v>42</v>
      </c>
      <c r="AA1269" t="str">
        <f t="shared" ca="1" si="577"/>
        <v>9322400.png</v>
      </c>
      <c r="AB1269">
        <f t="shared" si="578"/>
        <v>20</v>
      </c>
      <c r="AC1269">
        <f>VLOOKUP(C1269,技能辅助查询表,技能配置辅助表!$W$1,FALSE)</f>
        <v>5333</v>
      </c>
      <c r="AD1269">
        <f t="shared" ca="1" si="558"/>
        <v>842.56972006383808</v>
      </c>
      <c r="AE1269">
        <f>VLOOKUP(C1269,技能辅助查询表,技能配置辅助表!$U$1,FALSE)</f>
        <v>4</v>
      </c>
      <c r="AF1269">
        <f t="shared" ca="1" si="579"/>
        <v>9322443</v>
      </c>
      <c r="AG1269">
        <f t="shared" ca="1" si="580"/>
        <v>69.857142857142861</v>
      </c>
      <c r="AH1269">
        <f t="shared" ca="1" si="559"/>
        <v>3064.2878506023458</v>
      </c>
      <c r="AI1269">
        <f ca="1">VLOOKUP(E1269,伤害参考系!$C$4:$E$104,3,FALSE)*$AN$12</f>
        <v>16191.966408862889</v>
      </c>
      <c r="AJ1269">
        <f>VLOOKUP(C1269,技能辅助查询表,技能配置辅助表!$L$1,FALSE)</f>
        <v>1</v>
      </c>
      <c r="AK1269">
        <f>VLOOKUP(C1269,技能辅助查询表,技能配置辅助表!$AE$1,FALSE)</f>
        <v>66000550</v>
      </c>
    </row>
    <row r="1270" spans="1:37" x14ac:dyDescent="0.15">
      <c r="A1270" s="1">
        <f t="shared" ca="1" si="562"/>
        <v>9322444</v>
      </c>
      <c r="B1270" s="1" t="str">
        <f t="shared" ca="1" si="563"/>
        <v>玫瑰之舞第4段</v>
      </c>
      <c r="C1270" t="s">
        <v>176</v>
      </c>
      <c r="D1270">
        <f t="shared" si="564"/>
        <v>3</v>
      </c>
      <c r="E1270" s="42">
        <f t="shared" ca="1" si="555"/>
        <v>71</v>
      </c>
      <c r="F1270" t="str">
        <f t="shared" ca="1" si="556"/>
        <v>第44级，共造成239.1%点伤害</v>
      </c>
      <c r="G1270">
        <f t="shared" ca="1" si="565"/>
        <v>4</v>
      </c>
      <c r="H1270">
        <f t="shared" si="566"/>
        <v>4</v>
      </c>
      <c r="I1270" s="44">
        <f t="shared" ca="1" si="567"/>
        <v>44</v>
      </c>
      <c r="J1270">
        <f t="shared" si="568"/>
        <v>2</v>
      </c>
      <c r="K1270" s="36">
        <f t="shared" ca="1" si="569"/>
        <v>239.14285714285717</v>
      </c>
      <c r="L1270" s="10">
        <f ca="1">AH1270*VLOOKUP(C1270,技能辅助查询表,技能配置辅助表!$T$1,FALSE)</f>
        <v>0</v>
      </c>
      <c r="M1270">
        <f t="shared" ca="1" si="553"/>
        <v>4480</v>
      </c>
      <c r="N1270" s="33">
        <f ca="1">CHOOSE(1,W1270*U1270,X1270*'[1]0、经济设定'!$C$18)</f>
        <v>370518</v>
      </c>
      <c r="O1270">
        <f t="shared" si="570"/>
        <v>2</v>
      </c>
      <c r="P1270">
        <f t="shared" si="571"/>
        <v>1</v>
      </c>
      <c r="Q1270">
        <f t="shared" si="572"/>
        <v>1</v>
      </c>
      <c r="R1270" s="2">
        <f t="shared" si="573"/>
        <v>9</v>
      </c>
      <c r="S1270" s="2">
        <f t="shared" si="574"/>
        <v>50</v>
      </c>
      <c r="T1270" s="2">
        <f t="shared" si="575"/>
        <v>166.07142857142858</v>
      </c>
      <c r="U1270" s="2">
        <f ca="1">VLOOKUP(E1270,金币生产率!$A$2:$B$120,2,0)</f>
        <v>3338</v>
      </c>
      <c r="V1270" s="2">
        <f t="shared" si="576"/>
        <v>166.07142857142858</v>
      </c>
      <c r="W1270" s="45">
        <f t="shared" ca="1" si="560"/>
        <v>111</v>
      </c>
      <c r="X1270" s="48">
        <f t="shared" ca="1" si="561"/>
        <v>1613</v>
      </c>
      <c r="Y1270">
        <f t="shared" si="554"/>
        <v>18</v>
      </c>
      <c r="Z1270">
        <f t="shared" ca="1" si="557"/>
        <v>45</v>
      </c>
      <c r="AA1270" t="str">
        <f t="shared" ca="1" si="577"/>
        <v>9322400.png</v>
      </c>
      <c r="AB1270">
        <f t="shared" si="578"/>
        <v>20</v>
      </c>
      <c r="AC1270">
        <f>VLOOKUP(C1270,技能辅助查询表,技能配置辅助表!$W$1,FALSE)</f>
        <v>5333</v>
      </c>
      <c r="AD1270">
        <f t="shared" ca="1" si="558"/>
        <v>970.84179847970267</v>
      </c>
      <c r="AE1270">
        <f>VLOOKUP(C1270,技能辅助查询表,技能配置辅助表!$U$1,FALSE)</f>
        <v>4</v>
      </c>
      <c r="AF1270">
        <f t="shared" ca="1" si="579"/>
        <v>9322444</v>
      </c>
      <c r="AG1270">
        <f t="shared" ca="1" si="580"/>
        <v>71.306122448979593</v>
      </c>
      <c r="AH1270">
        <f t="shared" ca="1" si="559"/>
        <v>3488.6512265697725</v>
      </c>
      <c r="AI1270">
        <f ca="1">VLOOKUP(E1270,伤害参考系!$C$4:$E$104,3,FALSE)*$AN$12</f>
        <v>16902.905438127098</v>
      </c>
      <c r="AJ1270">
        <f>VLOOKUP(C1270,技能辅助查询表,技能配置辅助表!$L$1,FALSE)</f>
        <v>1</v>
      </c>
      <c r="AK1270">
        <f>VLOOKUP(C1270,技能辅助查询表,技能配置辅助表!$AE$1,FALSE)</f>
        <v>66000550</v>
      </c>
    </row>
    <row r="1271" spans="1:37" x14ac:dyDescent="0.15">
      <c r="A1271" s="1">
        <f t="shared" ca="1" si="562"/>
        <v>9322445</v>
      </c>
      <c r="B1271" s="1" t="str">
        <f t="shared" ca="1" si="563"/>
        <v>玫瑰之舞第4段</v>
      </c>
      <c r="C1271" t="s">
        <v>176</v>
      </c>
      <c r="D1271">
        <f t="shared" si="564"/>
        <v>3</v>
      </c>
      <c r="E1271" s="42">
        <f t="shared" ca="1" si="555"/>
        <v>73</v>
      </c>
      <c r="F1271" t="str">
        <f t="shared" ca="1" si="556"/>
        <v>第45级，共造成240.8%点伤害</v>
      </c>
      <c r="G1271">
        <f t="shared" ca="1" si="565"/>
        <v>4</v>
      </c>
      <c r="H1271">
        <f t="shared" si="566"/>
        <v>4</v>
      </c>
      <c r="I1271" s="44">
        <f t="shared" ca="1" si="567"/>
        <v>45</v>
      </c>
      <c r="J1271">
        <f t="shared" si="568"/>
        <v>2</v>
      </c>
      <c r="K1271" s="36">
        <f t="shared" ca="1" si="569"/>
        <v>240.80357142857144</v>
      </c>
      <c r="L1271" s="10">
        <f ca="1">AH1271*VLOOKUP(C1271,技能辅助查询表,技能配置辅助表!$T$1,FALSE)</f>
        <v>0</v>
      </c>
      <c r="M1271">
        <f t="shared" ca="1" si="553"/>
        <v>4400</v>
      </c>
      <c r="N1271" s="33">
        <f ca="1">CHOOSE(1,W1271*U1271,X1271*'[1]0、经济设定'!$C$18)</f>
        <v>420546</v>
      </c>
      <c r="O1271">
        <f t="shared" si="570"/>
        <v>2</v>
      </c>
      <c r="P1271">
        <f t="shared" si="571"/>
        <v>1</v>
      </c>
      <c r="Q1271">
        <f t="shared" si="572"/>
        <v>1</v>
      </c>
      <c r="R1271" s="2">
        <f t="shared" si="573"/>
        <v>9</v>
      </c>
      <c r="S1271" s="2">
        <f t="shared" si="574"/>
        <v>50</v>
      </c>
      <c r="T1271" s="2">
        <f t="shared" si="575"/>
        <v>166.07142857142858</v>
      </c>
      <c r="U1271" s="2">
        <f ca="1">VLOOKUP(E1271,金币生产率!$A$2:$B$120,2,0)</f>
        <v>3534</v>
      </c>
      <c r="V1271" s="2">
        <f t="shared" si="576"/>
        <v>166.07142857142858</v>
      </c>
      <c r="W1271" s="45">
        <f t="shared" ca="1" si="560"/>
        <v>119</v>
      </c>
      <c r="X1271" s="48">
        <f t="shared" ca="1" si="561"/>
        <v>1732</v>
      </c>
      <c r="Y1271">
        <f t="shared" si="554"/>
        <v>18</v>
      </c>
      <c r="Z1271">
        <f t="shared" ca="1" si="557"/>
        <v>48</v>
      </c>
      <c r="AA1271" t="str">
        <f t="shared" ca="1" si="577"/>
        <v>9322400.png</v>
      </c>
      <c r="AB1271">
        <f t="shared" si="578"/>
        <v>20</v>
      </c>
      <c r="AC1271">
        <f>VLOOKUP(C1271,技能辅助查询表,技能配置辅助表!$W$1,FALSE)</f>
        <v>5333</v>
      </c>
      <c r="AD1271">
        <f t="shared" ca="1" si="558"/>
        <v>1118.4825535230671</v>
      </c>
      <c r="AE1271">
        <f>VLOOKUP(C1271,技能辅助查询表,技能配置辅助表!$U$1,FALSE)</f>
        <v>4</v>
      </c>
      <c r="AF1271">
        <f t="shared" ca="1" si="579"/>
        <v>9322445</v>
      </c>
      <c r="AG1271">
        <f t="shared" ca="1" si="580"/>
        <v>72.755102040816325</v>
      </c>
      <c r="AH1271">
        <f t="shared" ca="1" si="559"/>
        <v>3971.7833225930094</v>
      </c>
      <c r="AI1271">
        <f ca="1">VLOOKUP(E1271,伤害参考系!$C$4:$E$104,3,FALSE)*$AN$12</f>
        <v>18368.517032608706</v>
      </c>
      <c r="AJ1271">
        <f>VLOOKUP(C1271,技能辅助查询表,技能配置辅助表!$L$1,FALSE)</f>
        <v>1</v>
      </c>
      <c r="AK1271">
        <f>VLOOKUP(C1271,技能辅助查询表,技能配置辅助表!$AE$1,FALSE)</f>
        <v>66000550</v>
      </c>
    </row>
    <row r="1272" spans="1:37" x14ac:dyDescent="0.15">
      <c r="A1272" s="1">
        <f t="shared" ca="1" si="562"/>
        <v>9322446</v>
      </c>
      <c r="B1272" s="1" t="str">
        <f t="shared" ca="1" si="563"/>
        <v>玫瑰之舞第4段</v>
      </c>
      <c r="C1272" t="s">
        <v>176</v>
      </c>
      <c r="D1272">
        <f t="shared" si="564"/>
        <v>3</v>
      </c>
      <c r="E1272" s="42">
        <f t="shared" ca="1" si="555"/>
        <v>74</v>
      </c>
      <c r="F1272" t="str">
        <f t="shared" ca="1" si="556"/>
        <v>第46级，共造成242.5%点伤害</v>
      </c>
      <c r="G1272">
        <f t="shared" ca="1" si="565"/>
        <v>4</v>
      </c>
      <c r="H1272">
        <f t="shared" si="566"/>
        <v>4</v>
      </c>
      <c r="I1272" s="44">
        <f t="shared" ca="1" si="567"/>
        <v>46</v>
      </c>
      <c r="J1272">
        <f t="shared" si="568"/>
        <v>2</v>
      </c>
      <c r="K1272" s="36">
        <f t="shared" ca="1" si="569"/>
        <v>242.46428571428572</v>
      </c>
      <c r="L1272" s="10">
        <f ca="1">AH1272*VLOOKUP(C1272,技能辅助查询表,技能配置辅助表!$T$1,FALSE)</f>
        <v>0</v>
      </c>
      <c r="M1272">
        <f t="shared" ca="1" si="553"/>
        <v>4320</v>
      </c>
      <c r="N1272" s="33">
        <f ca="1">CHOOSE(1,W1272*U1272,X1272*'[1]0、经济设定'!$C$18)</f>
        <v>461518</v>
      </c>
      <c r="O1272">
        <f t="shared" si="570"/>
        <v>2</v>
      </c>
      <c r="P1272">
        <f t="shared" si="571"/>
        <v>1</v>
      </c>
      <c r="Q1272">
        <f t="shared" si="572"/>
        <v>1</v>
      </c>
      <c r="R1272" s="2">
        <f t="shared" si="573"/>
        <v>9</v>
      </c>
      <c r="S1272" s="2">
        <f t="shared" si="574"/>
        <v>50</v>
      </c>
      <c r="T1272" s="2">
        <f t="shared" si="575"/>
        <v>166.07142857142858</v>
      </c>
      <c r="U1272" s="2">
        <f ca="1">VLOOKUP(E1272,金币生产率!$A$2:$B$120,2,0)</f>
        <v>3634</v>
      </c>
      <c r="V1272" s="2">
        <f t="shared" si="576"/>
        <v>166.07142857142858</v>
      </c>
      <c r="W1272" s="45">
        <f t="shared" ca="1" si="560"/>
        <v>127</v>
      </c>
      <c r="X1272" s="48">
        <f t="shared" ca="1" si="561"/>
        <v>1859</v>
      </c>
      <c r="Y1272">
        <f t="shared" si="554"/>
        <v>18</v>
      </c>
      <c r="Z1272">
        <f t="shared" ca="1" si="557"/>
        <v>51</v>
      </c>
      <c r="AA1272" t="str">
        <f t="shared" ca="1" si="577"/>
        <v>9322400.png</v>
      </c>
      <c r="AB1272">
        <f t="shared" si="578"/>
        <v>20</v>
      </c>
      <c r="AC1272">
        <f>VLOOKUP(C1272,技能辅助查询表,技能配置辅助表!$W$1,FALSE)</f>
        <v>5333</v>
      </c>
      <c r="AD1272">
        <f t="shared" ca="1" si="558"/>
        <v>1288.3965191574077</v>
      </c>
      <c r="AE1272">
        <f>VLOOKUP(C1272,技能辅助查询表,技能配置辅助表!$U$1,FALSE)</f>
        <v>4</v>
      </c>
      <c r="AF1272">
        <f t="shared" ca="1" si="579"/>
        <v>9322446</v>
      </c>
      <c r="AG1272">
        <f t="shared" ca="1" si="580"/>
        <v>74.204081632653057</v>
      </c>
      <c r="AH1272">
        <f t="shared" ca="1" si="559"/>
        <v>4521.8228298329677</v>
      </c>
      <c r="AI1272">
        <f ca="1">VLOOKUP(E1272,伤害参考系!$C$4:$E$104,3,FALSE)*$AN$12</f>
        <v>19123.189597826095</v>
      </c>
      <c r="AJ1272">
        <f>VLOOKUP(C1272,技能辅助查询表,技能配置辅助表!$L$1,FALSE)</f>
        <v>1</v>
      </c>
      <c r="AK1272">
        <f>VLOOKUP(C1272,技能辅助查询表,技能配置辅助表!$AE$1,FALSE)</f>
        <v>66000550</v>
      </c>
    </row>
    <row r="1273" spans="1:37" x14ac:dyDescent="0.15">
      <c r="A1273" s="1">
        <f t="shared" ca="1" si="562"/>
        <v>9322447</v>
      </c>
      <c r="B1273" s="1" t="str">
        <f t="shared" ca="1" si="563"/>
        <v>玫瑰之舞第4段</v>
      </c>
      <c r="C1273" t="s">
        <v>176</v>
      </c>
      <c r="D1273">
        <f t="shared" si="564"/>
        <v>3</v>
      </c>
      <c r="E1273" s="42">
        <f t="shared" ca="1" si="555"/>
        <v>76</v>
      </c>
      <c r="F1273" t="str">
        <f t="shared" ca="1" si="556"/>
        <v>第47级，共造成244.1%点伤害</v>
      </c>
      <c r="G1273">
        <f t="shared" ca="1" si="565"/>
        <v>4</v>
      </c>
      <c r="H1273">
        <f t="shared" si="566"/>
        <v>4</v>
      </c>
      <c r="I1273" s="44">
        <f t="shared" ca="1" si="567"/>
        <v>47</v>
      </c>
      <c r="J1273">
        <f t="shared" si="568"/>
        <v>2</v>
      </c>
      <c r="K1273" s="36">
        <f t="shared" ca="1" si="569"/>
        <v>244.125</v>
      </c>
      <c r="L1273" s="10">
        <f ca="1">AH1273*VLOOKUP(C1273,技能辅助查询表,技能配置辅助表!$T$1,FALSE)</f>
        <v>0</v>
      </c>
      <c r="M1273">
        <f t="shared" ca="1" si="553"/>
        <v>4240</v>
      </c>
      <c r="N1273" s="33">
        <f ca="1">CHOOSE(1,W1273*U1273,X1273*'[1]0、经济设定'!$C$18)</f>
        <v>521968</v>
      </c>
      <c r="O1273">
        <f t="shared" si="570"/>
        <v>2</v>
      </c>
      <c r="P1273">
        <f t="shared" si="571"/>
        <v>1</v>
      </c>
      <c r="Q1273">
        <f t="shared" si="572"/>
        <v>1</v>
      </c>
      <c r="R1273" s="2">
        <f t="shared" si="573"/>
        <v>9</v>
      </c>
      <c r="S1273" s="2">
        <f t="shared" si="574"/>
        <v>50</v>
      </c>
      <c r="T1273" s="2">
        <f t="shared" si="575"/>
        <v>166.07142857142858</v>
      </c>
      <c r="U1273" s="2">
        <f ca="1">VLOOKUP(E1273,金币生产率!$A$2:$B$120,2,0)</f>
        <v>3838</v>
      </c>
      <c r="V1273" s="2">
        <f t="shared" si="576"/>
        <v>166.07142857142858</v>
      </c>
      <c r="W1273" s="45">
        <f t="shared" ca="1" si="560"/>
        <v>136</v>
      </c>
      <c r="X1273" s="48">
        <f t="shared" ca="1" si="561"/>
        <v>1995</v>
      </c>
      <c r="Y1273">
        <f t="shared" si="554"/>
        <v>18</v>
      </c>
      <c r="Z1273">
        <f t="shared" ca="1" si="557"/>
        <v>55</v>
      </c>
      <c r="AA1273" t="str">
        <f t="shared" ca="1" si="577"/>
        <v>9322400.png</v>
      </c>
      <c r="AB1273">
        <f t="shared" si="578"/>
        <v>20</v>
      </c>
      <c r="AC1273">
        <f>VLOOKUP(C1273,技能辅助查询表,技能配置辅助表!$W$1,FALSE)</f>
        <v>5333</v>
      </c>
      <c r="AD1273">
        <f t="shared" ca="1" si="558"/>
        <v>1483.9212445871992</v>
      </c>
      <c r="AE1273">
        <f>VLOOKUP(C1273,技能辅助查询表,技能配置辅助表!$U$1,FALSE)</f>
        <v>4</v>
      </c>
      <c r="AF1273">
        <f t="shared" ca="1" si="579"/>
        <v>9322447</v>
      </c>
      <c r="AG1273">
        <f t="shared" ca="1" si="580"/>
        <v>75.65306122448979</v>
      </c>
      <c r="AH1273">
        <f t="shared" ca="1" si="559"/>
        <v>5148.0355406320868</v>
      </c>
      <c r="AI1273">
        <f ca="1">VLOOKUP(E1273,伤害参考系!$C$4:$E$104,3,FALSE)*$AN$12</f>
        <v>20676.268264214057</v>
      </c>
      <c r="AJ1273">
        <f>VLOOKUP(C1273,技能辅助查询表,技能配置辅助表!$L$1,FALSE)</f>
        <v>1</v>
      </c>
      <c r="AK1273">
        <f>VLOOKUP(C1273,技能辅助查询表,技能配置辅助表!$AE$1,FALSE)</f>
        <v>66000550</v>
      </c>
    </row>
    <row r="1274" spans="1:37" x14ac:dyDescent="0.15">
      <c r="A1274" s="1">
        <f t="shared" ca="1" si="562"/>
        <v>9322448</v>
      </c>
      <c r="B1274" s="1" t="str">
        <f t="shared" ca="1" si="563"/>
        <v>玫瑰之舞第4段</v>
      </c>
      <c r="C1274" t="s">
        <v>176</v>
      </c>
      <c r="D1274">
        <f t="shared" si="564"/>
        <v>3</v>
      </c>
      <c r="E1274" s="42">
        <f t="shared" ca="1" si="555"/>
        <v>77</v>
      </c>
      <c r="F1274" t="str">
        <f t="shared" ca="1" si="556"/>
        <v>第48级，共造成245.8%点伤害</v>
      </c>
      <c r="G1274">
        <f t="shared" ca="1" si="565"/>
        <v>4</v>
      </c>
      <c r="H1274">
        <f t="shared" si="566"/>
        <v>4</v>
      </c>
      <c r="I1274" s="44">
        <f t="shared" ca="1" si="567"/>
        <v>48</v>
      </c>
      <c r="J1274">
        <f t="shared" si="568"/>
        <v>2</v>
      </c>
      <c r="K1274" s="36">
        <f t="shared" ca="1" si="569"/>
        <v>245.78571428571431</v>
      </c>
      <c r="L1274" s="10">
        <f ca="1">AH1274*VLOOKUP(C1274,技能辅助查询表,技能配置辅助表!$T$1,FALSE)</f>
        <v>0</v>
      </c>
      <c r="M1274">
        <f t="shared" ca="1" si="553"/>
        <v>4160</v>
      </c>
      <c r="N1274" s="33">
        <f ca="1">CHOOSE(1,W1274*U1274,X1274*'[1]0、经济设定'!$C$18)</f>
        <v>575532</v>
      </c>
      <c r="O1274">
        <f t="shared" si="570"/>
        <v>2</v>
      </c>
      <c r="P1274">
        <f t="shared" si="571"/>
        <v>1</v>
      </c>
      <c r="Q1274">
        <f t="shared" si="572"/>
        <v>1</v>
      </c>
      <c r="R1274" s="2">
        <f t="shared" si="573"/>
        <v>9</v>
      </c>
      <c r="S1274" s="2">
        <f t="shared" si="574"/>
        <v>50</v>
      </c>
      <c r="T1274" s="2">
        <f t="shared" si="575"/>
        <v>166.07142857142858</v>
      </c>
      <c r="U1274" s="2">
        <f ca="1">VLOOKUP(E1274,金币生产率!$A$2:$B$120,2,0)</f>
        <v>3942</v>
      </c>
      <c r="V1274" s="2">
        <f t="shared" si="576"/>
        <v>166.07142857142858</v>
      </c>
      <c r="W1274" s="45">
        <f t="shared" ca="1" si="560"/>
        <v>146</v>
      </c>
      <c r="X1274" s="48">
        <f t="shared" ca="1" si="561"/>
        <v>2141</v>
      </c>
      <c r="Y1274">
        <f t="shared" si="554"/>
        <v>18</v>
      </c>
      <c r="Z1274">
        <f t="shared" ca="1" si="557"/>
        <v>59</v>
      </c>
      <c r="AA1274" t="str">
        <f t="shared" ca="1" si="577"/>
        <v>9322400.png</v>
      </c>
      <c r="AB1274">
        <f t="shared" si="578"/>
        <v>20</v>
      </c>
      <c r="AC1274">
        <f>VLOOKUP(C1274,技能辅助查询表,技能配置辅助表!$W$1,FALSE)</f>
        <v>5333</v>
      </c>
      <c r="AD1274">
        <f t="shared" ca="1" si="558"/>
        <v>1708.8915231702304</v>
      </c>
      <c r="AE1274">
        <f>VLOOKUP(C1274,技能辅助查询表,技能配置辅助表!$U$1,FALSE)</f>
        <v>4</v>
      </c>
      <c r="AF1274">
        <f t="shared" ca="1" si="579"/>
        <v>9322448</v>
      </c>
      <c r="AG1274">
        <f t="shared" ca="1" si="580"/>
        <v>77.102040816326536</v>
      </c>
      <c r="AH1274">
        <f t="shared" ca="1" si="559"/>
        <v>5860.970437134547</v>
      </c>
      <c r="AI1274">
        <f ca="1">VLOOKUP(E1274,伤害参考系!$C$4:$E$104,3,FALSE)*$AN$12</f>
        <v>21474.674365384624</v>
      </c>
      <c r="AJ1274">
        <f>VLOOKUP(C1274,技能辅助查询表,技能配置辅助表!$L$1,FALSE)</f>
        <v>1</v>
      </c>
      <c r="AK1274">
        <f>VLOOKUP(C1274,技能辅助查询表,技能配置辅助表!$AE$1,FALSE)</f>
        <v>66000550</v>
      </c>
    </row>
    <row r="1275" spans="1:37" x14ac:dyDescent="0.15">
      <c r="A1275" s="1">
        <f t="shared" ca="1" si="562"/>
        <v>9322449</v>
      </c>
      <c r="B1275" s="1" t="str">
        <f t="shared" ca="1" si="563"/>
        <v>玫瑰之舞第4段</v>
      </c>
      <c r="C1275" t="s">
        <v>176</v>
      </c>
      <c r="D1275">
        <f t="shared" si="564"/>
        <v>3</v>
      </c>
      <c r="E1275" s="42">
        <f t="shared" ca="1" si="555"/>
        <v>79</v>
      </c>
      <c r="F1275" t="str">
        <f t="shared" ca="1" si="556"/>
        <v>第49级，共造成247.4%点伤害</v>
      </c>
      <c r="G1275">
        <f t="shared" ca="1" si="565"/>
        <v>4</v>
      </c>
      <c r="H1275">
        <f t="shared" si="566"/>
        <v>4</v>
      </c>
      <c r="I1275" s="44">
        <f t="shared" ca="1" si="567"/>
        <v>49</v>
      </c>
      <c r="J1275">
        <f t="shared" si="568"/>
        <v>2</v>
      </c>
      <c r="K1275" s="36">
        <f t="shared" ca="1" si="569"/>
        <v>247.44642857142858</v>
      </c>
      <c r="L1275" s="10">
        <f ca="1">AH1275*VLOOKUP(C1275,技能辅助查询表,技能配置辅助表!$T$1,FALSE)</f>
        <v>0</v>
      </c>
      <c r="M1275">
        <f t="shared" ca="1" si="553"/>
        <v>4080</v>
      </c>
      <c r="N1275" s="33">
        <f ca="1">CHOOSE(1,W1275*U1275,X1275*'[1]0、经济设定'!$C$18)</f>
        <v>648024</v>
      </c>
      <c r="O1275">
        <f t="shared" si="570"/>
        <v>2</v>
      </c>
      <c r="P1275">
        <f t="shared" si="571"/>
        <v>1</v>
      </c>
      <c r="Q1275">
        <f t="shared" si="572"/>
        <v>1</v>
      </c>
      <c r="R1275" s="2">
        <f t="shared" si="573"/>
        <v>9</v>
      </c>
      <c r="S1275" s="2">
        <f t="shared" si="574"/>
        <v>50</v>
      </c>
      <c r="T1275" s="2">
        <f t="shared" si="575"/>
        <v>166.07142857142858</v>
      </c>
      <c r="U1275" s="2">
        <f ca="1">VLOOKUP(E1275,金币生产率!$A$2:$B$120,2,0)</f>
        <v>4154</v>
      </c>
      <c r="V1275" s="2">
        <f t="shared" si="576"/>
        <v>166.07142857142858</v>
      </c>
      <c r="W1275" s="45">
        <f t="shared" ca="1" si="560"/>
        <v>156</v>
      </c>
      <c r="X1275" s="48">
        <f t="shared" ca="1" si="561"/>
        <v>2297</v>
      </c>
      <c r="Y1275">
        <f t="shared" si="554"/>
        <v>18</v>
      </c>
      <c r="Z1275">
        <f t="shared" ca="1" si="557"/>
        <v>63</v>
      </c>
      <c r="AA1275" t="str">
        <f t="shared" ca="1" si="577"/>
        <v>9322400.png</v>
      </c>
      <c r="AB1275">
        <f t="shared" si="578"/>
        <v>20</v>
      </c>
      <c r="AC1275">
        <f>VLOOKUP(C1275,技能辅助查询表,技能配置辅助表!$W$1,FALSE)</f>
        <v>5333</v>
      </c>
      <c r="AD1275">
        <f t="shared" ca="1" si="558"/>
        <v>1967.7131064194509</v>
      </c>
      <c r="AE1275">
        <f>VLOOKUP(C1275,技能辅助查询表,技能配置辅助表!$U$1,FALSE)</f>
        <v>4</v>
      </c>
      <c r="AF1275">
        <f t="shared" ca="1" si="579"/>
        <v>9322449</v>
      </c>
      <c r="AG1275">
        <f t="shared" ca="1" si="580"/>
        <v>78.551020408163268</v>
      </c>
      <c r="AH1275">
        <f t="shared" ca="1" si="559"/>
        <v>6672.6373961177951</v>
      </c>
      <c r="AI1275">
        <f ca="1">VLOOKUP(E1275,伤害参考系!$C$4:$E$104,3,FALSE)*$AN$12</f>
        <v>23115.220103678937</v>
      </c>
      <c r="AJ1275">
        <f>VLOOKUP(C1275,技能辅助查询表,技能配置辅助表!$L$1,FALSE)</f>
        <v>1</v>
      </c>
      <c r="AK1275">
        <f>VLOOKUP(C1275,技能辅助查询表,技能配置辅助表!$AE$1,FALSE)</f>
        <v>66000550</v>
      </c>
    </row>
    <row r="1276" spans="1:37" x14ac:dyDescent="0.15">
      <c r="A1276" s="1">
        <f t="shared" ca="1" si="562"/>
        <v>9322450</v>
      </c>
      <c r="B1276" s="1" t="str">
        <f t="shared" ca="1" si="563"/>
        <v>玫瑰之舞第4段</v>
      </c>
      <c r="C1276" t="s">
        <v>176</v>
      </c>
      <c r="D1276">
        <f t="shared" si="564"/>
        <v>3</v>
      </c>
      <c r="E1276" s="42">
        <f t="shared" ca="1" si="555"/>
        <v>80</v>
      </c>
      <c r="F1276" t="str">
        <f t="shared" ca="1" si="556"/>
        <v>第50级，共造成249.1%点伤害</v>
      </c>
      <c r="G1276">
        <f t="shared" ca="1" si="565"/>
        <v>4</v>
      </c>
      <c r="H1276">
        <f t="shared" si="566"/>
        <v>4</v>
      </c>
      <c r="I1276" s="44">
        <f t="shared" ca="1" si="567"/>
        <v>50</v>
      </c>
      <c r="J1276">
        <f t="shared" si="568"/>
        <v>2</v>
      </c>
      <c r="K1276" s="36">
        <f t="shared" ca="1" si="569"/>
        <v>249.10714285714289</v>
      </c>
      <c r="L1276" s="10">
        <f ca="1">AH1276*VLOOKUP(C1276,技能辅助查询表,技能配置辅助表!$T$1,FALSE)</f>
        <v>0</v>
      </c>
      <c r="M1276">
        <f t="shared" ca="1" si="553"/>
        <v>4000</v>
      </c>
      <c r="N1276" s="33">
        <f ca="1">CHOOSE(1,W1276*U1276,X1276*'[1]0、经济设定'!$C$18)</f>
        <v>711754</v>
      </c>
      <c r="O1276">
        <f t="shared" si="570"/>
        <v>2</v>
      </c>
      <c r="P1276">
        <f t="shared" si="571"/>
        <v>1</v>
      </c>
      <c r="Q1276">
        <f t="shared" si="572"/>
        <v>1</v>
      </c>
      <c r="R1276" s="2">
        <f t="shared" si="573"/>
        <v>9</v>
      </c>
      <c r="S1276" s="2">
        <f t="shared" si="574"/>
        <v>50</v>
      </c>
      <c r="T1276" s="2">
        <f t="shared" si="575"/>
        <v>166.07142857142858</v>
      </c>
      <c r="U1276" s="2">
        <f ca="1">VLOOKUP(E1276,金币生产率!$A$2:$B$120,2,0)</f>
        <v>4262</v>
      </c>
      <c r="V1276" s="2">
        <f t="shared" si="576"/>
        <v>166.07142857142858</v>
      </c>
      <c r="W1276" s="45">
        <f t="shared" ca="1" si="560"/>
        <v>167</v>
      </c>
      <c r="X1276" s="48">
        <f t="shared" ca="1" si="561"/>
        <v>2464</v>
      </c>
      <c r="Y1276">
        <f t="shared" si="554"/>
        <v>18</v>
      </c>
      <c r="Z1276">
        <f t="shared" ca="1" si="557"/>
        <v>67</v>
      </c>
      <c r="AA1276" t="str">
        <f t="shared" ca="1" si="577"/>
        <v>9322400.png</v>
      </c>
      <c r="AB1276">
        <f t="shared" si="578"/>
        <v>20</v>
      </c>
      <c r="AC1276">
        <f>VLOOKUP(C1276,技能辅助查询表,技能配置辅助表!$W$1,FALSE)</f>
        <v>5333</v>
      </c>
      <c r="AD1276">
        <f t="shared" ca="1" si="558"/>
        <v>2265.4472983935229</v>
      </c>
      <c r="AE1276">
        <f>VLOOKUP(C1276,技能辅助查询表,技能配置辅助表!$U$1,FALSE)</f>
        <v>4</v>
      </c>
      <c r="AF1276">
        <f t="shared" ca="1" si="579"/>
        <v>9322450</v>
      </c>
      <c r="AG1276">
        <f t="shared" ca="1" si="580"/>
        <v>80</v>
      </c>
      <c r="AH1276">
        <f t="shared" ca="1" si="559"/>
        <v>7596.7095035950451</v>
      </c>
      <c r="AI1276">
        <f ca="1">VLOOKUP(E1276,伤害参考系!$C$4:$E$104,3,FALSE)*$AN$12</f>
        <v>24028.87424749164</v>
      </c>
      <c r="AJ1276">
        <f>VLOOKUP(C1276,技能辅助查询表,技能配置辅助表!$L$1,FALSE)</f>
        <v>1</v>
      </c>
      <c r="AK1276">
        <f>VLOOKUP(C1276,技能辅助查询表,技能配置辅助表!$AE$1,FALSE)</f>
        <v>66000550</v>
      </c>
    </row>
    <row r="1277" spans="1:37" x14ac:dyDescent="0.15">
      <c r="A1277" s="1">
        <f t="shared" ca="1" si="562"/>
        <v>9313000</v>
      </c>
      <c r="B1277" s="1" t="str">
        <f t="shared" ca="1" si="563"/>
        <v>聚能手雷</v>
      </c>
      <c r="C1277" t="s">
        <v>177</v>
      </c>
      <c r="D1277">
        <f t="shared" si="564"/>
        <v>3</v>
      </c>
      <c r="E1277" s="42">
        <f t="shared" ca="1" si="555"/>
        <v>5</v>
      </c>
      <c r="F1277" t="str">
        <f t="shared" ca="1" si="556"/>
        <v>第0级，共造成199.3%点伤害</v>
      </c>
      <c r="G1277">
        <f t="shared" ca="1" si="565"/>
        <v>0</v>
      </c>
      <c r="H1277">
        <f t="shared" si="566"/>
        <v>1</v>
      </c>
      <c r="I1277" s="44">
        <f t="shared" ca="1" si="567"/>
        <v>0</v>
      </c>
      <c r="J1277">
        <f t="shared" si="568"/>
        <v>1</v>
      </c>
      <c r="K1277" s="36">
        <f t="shared" ca="1" si="569"/>
        <v>22.142857142857142</v>
      </c>
      <c r="L1277" s="10">
        <f ca="1">AH1277*VLOOKUP(C1277,技能辅助查询表,技能配置辅助表!$T$1,FALSE)</f>
        <v>0</v>
      </c>
      <c r="M1277">
        <f t="shared" ca="1" si="553"/>
        <v>10000</v>
      </c>
      <c r="N1277" s="33">
        <f ca="1">CHOOSE(1,W1277*U1277,X1277*'[1]0、经济设定'!$C$18)</f>
        <v>0</v>
      </c>
      <c r="O1277">
        <f t="shared" si="570"/>
        <v>3</v>
      </c>
      <c r="P1277">
        <f t="shared" si="571"/>
        <v>9</v>
      </c>
      <c r="Q1277">
        <f t="shared" si="572"/>
        <v>1</v>
      </c>
      <c r="R1277" s="2">
        <f t="shared" si="573"/>
        <v>5</v>
      </c>
      <c r="S1277" s="2">
        <f t="shared" si="574"/>
        <v>50</v>
      </c>
      <c r="T1277" s="2">
        <f t="shared" si="575"/>
        <v>22.142857142857142</v>
      </c>
      <c r="U1277" s="2">
        <f ca="1">VLOOKUP(E1277,金币生产率!$A$2:$B$120,2,0)</f>
        <v>74</v>
      </c>
      <c r="V1277" s="2">
        <f t="shared" si="576"/>
        <v>199.28571428571428</v>
      </c>
      <c r="W1277" s="45">
        <f t="shared" ca="1" si="560"/>
        <v>0</v>
      </c>
      <c r="X1277" s="48">
        <f t="shared" ca="1" si="561"/>
        <v>0</v>
      </c>
      <c r="Y1277">
        <f t="shared" si="554"/>
        <v>18</v>
      </c>
      <c r="Z1277">
        <f t="shared" ca="1" si="557"/>
        <v>0</v>
      </c>
      <c r="AA1277" t="str">
        <f t="shared" ca="1" si="577"/>
        <v>9313100.png</v>
      </c>
      <c r="AB1277">
        <f t="shared" si="578"/>
        <v>2</v>
      </c>
      <c r="AC1277">
        <f>VLOOKUP(C1277,技能辅助查询表,技能配置辅助表!$W$1,FALSE)</f>
        <v>5321</v>
      </c>
      <c r="AD1277">
        <f t="shared" ca="1" si="558"/>
        <v>2.3021974285714277</v>
      </c>
      <c r="AE1277">
        <f>VLOOKUP(C1277,技能辅助查询表,技能配置辅助表!$U$1,FALSE)</f>
        <v>1</v>
      </c>
      <c r="AF1277">
        <f t="shared" ca="1" si="579"/>
        <v>9313100</v>
      </c>
      <c r="AG1277">
        <f t="shared" ca="1" si="580"/>
        <v>0</v>
      </c>
      <c r="AH1277">
        <f t="shared" ca="1" si="559"/>
        <v>11.5938</v>
      </c>
      <c r="AI1277">
        <f ca="1">VLOOKUP(E1277,伤害参考系!$C$4:$E$104,3,FALSE)*$AN$12</f>
        <v>54</v>
      </c>
      <c r="AJ1277">
        <f>VLOOKUP(C1277,技能辅助查询表,技能配置辅助表!$L$1,FALSE)</f>
        <v>9</v>
      </c>
      <c r="AK1277">
        <f>VLOOKUP(C1277,技能辅助查询表,技能配置辅助表!$AE$1,FALSE)</f>
        <v>66000526</v>
      </c>
    </row>
    <row r="1278" spans="1:37" x14ac:dyDescent="0.15">
      <c r="A1278" s="1">
        <f t="shared" ca="1" si="562"/>
        <v>9313101</v>
      </c>
      <c r="B1278" s="1" t="str">
        <f t="shared" ca="1" si="563"/>
        <v>聚能手雷</v>
      </c>
      <c r="C1278" t="s">
        <v>177</v>
      </c>
      <c r="D1278">
        <f t="shared" si="564"/>
        <v>3</v>
      </c>
      <c r="E1278" s="42">
        <f t="shared" ca="1" si="555"/>
        <v>5</v>
      </c>
      <c r="F1278" t="str">
        <f t="shared" ca="1" si="556"/>
        <v>第1级，共造成199.3%点伤害</v>
      </c>
      <c r="G1278">
        <f t="shared" ca="1" si="565"/>
        <v>1</v>
      </c>
      <c r="H1278">
        <f t="shared" si="566"/>
        <v>1</v>
      </c>
      <c r="I1278" s="44">
        <f t="shared" ca="1" si="567"/>
        <v>1</v>
      </c>
      <c r="J1278">
        <f t="shared" si="568"/>
        <v>1</v>
      </c>
      <c r="K1278" s="36">
        <f t="shared" ca="1" si="569"/>
        <v>22.142857142857142</v>
      </c>
      <c r="L1278" s="10">
        <f ca="1">AH1278*VLOOKUP(C1278,技能辅助查询表,技能配置辅助表!$T$1,FALSE)</f>
        <v>0</v>
      </c>
      <c r="M1278">
        <f t="shared" ca="1" si="553"/>
        <v>10000</v>
      </c>
      <c r="N1278" s="33">
        <f ca="1">CHOOSE(1,W1278*U1278,X1278*'[1]0、经济设定'!$C$18)</f>
        <v>592</v>
      </c>
      <c r="O1278">
        <f t="shared" si="570"/>
        <v>3</v>
      </c>
      <c r="P1278">
        <f t="shared" si="571"/>
        <v>9</v>
      </c>
      <c r="Q1278">
        <f t="shared" si="572"/>
        <v>1</v>
      </c>
      <c r="R1278" s="2">
        <f t="shared" si="573"/>
        <v>5</v>
      </c>
      <c r="S1278" s="2">
        <f t="shared" si="574"/>
        <v>50</v>
      </c>
      <c r="T1278" s="2">
        <f t="shared" si="575"/>
        <v>22.142857142857142</v>
      </c>
      <c r="U1278" s="2">
        <f ca="1">VLOOKUP(E1278,金币生产率!$A$2:$B$120,2,0)</f>
        <v>74</v>
      </c>
      <c r="V1278" s="2">
        <f t="shared" si="576"/>
        <v>199.28571428571428</v>
      </c>
      <c r="W1278" s="45">
        <f t="shared" ca="1" si="560"/>
        <v>8</v>
      </c>
      <c r="X1278" s="48">
        <f t="shared" ca="1" si="561"/>
        <v>8</v>
      </c>
      <c r="Y1278">
        <f t="shared" si="554"/>
        <v>18</v>
      </c>
      <c r="Z1278">
        <f t="shared" ca="1" si="557"/>
        <v>0</v>
      </c>
      <c r="AA1278" t="str">
        <f t="shared" ca="1" si="577"/>
        <v>9313100.png</v>
      </c>
      <c r="AB1278">
        <f t="shared" si="578"/>
        <v>2</v>
      </c>
      <c r="AC1278">
        <f>VLOOKUP(C1278,技能辅助查询表,技能配置辅助表!$W$1,FALSE)</f>
        <v>5321</v>
      </c>
      <c r="AD1278">
        <f t="shared" ca="1" si="558"/>
        <v>2.6210213513109517</v>
      </c>
      <c r="AE1278">
        <f>VLOOKUP(C1278,技能辅助查询表,技能配置辅助表!$U$1,FALSE)</f>
        <v>1</v>
      </c>
      <c r="AF1278">
        <f t="shared" ca="1" si="579"/>
        <v>9313101</v>
      </c>
      <c r="AG1278">
        <f t="shared" ca="1" si="580"/>
        <v>5</v>
      </c>
      <c r="AH1278">
        <f t="shared" ca="1" si="559"/>
        <v>13.199388100127095</v>
      </c>
      <c r="AI1278">
        <f ca="1">VLOOKUP(E1278,伤害参考系!$C$4:$E$104,3,FALSE)*$AN$12</f>
        <v>54</v>
      </c>
      <c r="AJ1278">
        <f>VLOOKUP(C1278,技能辅助查询表,技能配置辅助表!$L$1,FALSE)</f>
        <v>9</v>
      </c>
      <c r="AK1278">
        <f>VLOOKUP(C1278,技能辅助查询表,技能配置辅助表!$AE$1,FALSE)</f>
        <v>66000526</v>
      </c>
    </row>
    <row r="1279" spans="1:37" x14ac:dyDescent="0.15">
      <c r="A1279" s="1">
        <f t="shared" ca="1" si="562"/>
        <v>9313102</v>
      </c>
      <c r="B1279" s="1" t="str">
        <f t="shared" ca="1" si="563"/>
        <v>聚能手雷</v>
      </c>
      <c r="C1279" t="s">
        <v>177</v>
      </c>
      <c r="D1279">
        <f t="shared" si="564"/>
        <v>3</v>
      </c>
      <c r="E1279" s="42">
        <f t="shared" ca="1" si="555"/>
        <v>8</v>
      </c>
      <c r="F1279" t="str">
        <f t="shared" ca="1" si="556"/>
        <v>第2级，共造成203.3%点伤害</v>
      </c>
      <c r="G1279">
        <f t="shared" ca="1" si="565"/>
        <v>1</v>
      </c>
      <c r="H1279">
        <f t="shared" si="566"/>
        <v>1</v>
      </c>
      <c r="I1279" s="44">
        <f t="shared" ca="1" si="567"/>
        <v>2</v>
      </c>
      <c r="J1279">
        <f t="shared" si="568"/>
        <v>1</v>
      </c>
      <c r="K1279" s="36">
        <f t="shared" ca="1" si="569"/>
        <v>22.585714285714285</v>
      </c>
      <c r="L1279" s="10">
        <f ca="1">AH1279*VLOOKUP(C1279,技能辅助查询表,技能配置辅助表!$T$1,FALSE)</f>
        <v>0</v>
      </c>
      <c r="M1279">
        <f t="shared" ca="1" si="553"/>
        <v>9800</v>
      </c>
      <c r="N1279" s="33">
        <f ca="1">CHOOSE(1,W1279*U1279,X1279*'[1]0、经济设定'!$C$18)</f>
        <v>828</v>
      </c>
      <c r="O1279">
        <f t="shared" si="570"/>
        <v>3</v>
      </c>
      <c r="P1279">
        <f t="shared" si="571"/>
        <v>9</v>
      </c>
      <c r="Q1279">
        <f t="shared" si="572"/>
        <v>1</v>
      </c>
      <c r="R1279" s="2">
        <f t="shared" si="573"/>
        <v>5</v>
      </c>
      <c r="S1279" s="2">
        <f t="shared" si="574"/>
        <v>50</v>
      </c>
      <c r="T1279" s="2">
        <f t="shared" si="575"/>
        <v>22.142857142857142</v>
      </c>
      <c r="U1279" s="2">
        <f ca="1">VLOOKUP(E1279,金币生产率!$A$2:$B$120,2,0)</f>
        <v>92</v>
      </c>
      <c r="V1279" s="2">
        <f t="shared" si="576"/>
        <v>199.28571428571428</v>
      </c>
      <c r="W1279" s="45">
        <f t="shared" ca="1" si="560"/>
        <v>9</v>
      </c>
      <c r="X1279" s="48">
        <f t="shared" ca="1" si="561"/>
        <v>17</v>
      </c>
      <c r="Y1279">
        <f t="shared" si="554"/>
        <v>18</v>
      </c>
      <c r="Z1279">
        <f t="shared" ca="1" si="557"/>
        <v>0</v>
      </c>
      <c r="AA1279" t="str">
        <f t="shared" ca="1" si="577"/>
        <v>9313100.png</v>
      </c>
      <c r="AB1279">
        <f t="shared" si="578"/>
        <v>2</v>
      </c>
      <c r="AC1279">
        <f>VLOOKUP(C1279,技能辅助查询表,技能配置辅助表!$W$1,FALSE)</f>
        <v>5321</v>
      </c>
      <c r="AD1279">
        <f t="shared" ca="1" si="558"/>
        <v>3.1037874536594896</v>
      </c>
      <c r="AE1279">
        <f>VLOOKUP(C1279,技能辅助查询表,技能配置辅助表!$U$1,FALSE)</f>
        <v>1</v>
      </c>
      <c r="AF1279">
        <f t="shared" ca="1" si="579"/>
        <v>9313102</v>
      </c>
      <c r="AG1279">
        <f t="shared" ca="1" si="580"/>
        <v>6.5306122448979593</v>
      </c>
      <c r="AH1279">
        <f t="shared" ca="1" si="559"/>
        <v>15.027328935963775</v>
      </c>
      <c r="AI1279">
        <f ca="1">VLOOKUP(E1279,伤害参考系!$C$4:$E$104,3,FALSE)*$AN$12</f>
        <v>115.83</v>
      </c>
      <c r="AJ1279">
        <f>VLOOKUP(C1279,技能辅助查询表,技能配置辅助表!$L$1,FALSE)</f>
        <v>9</v>
      </c>
      <c r="AK1279">
        <f>VLOOKUP(C1279,技能辅助查询表,技能配置辅助表!$AE$1,FALSE)</f>
        <v>66000526</v>
      </c>
    </row>
    <row r="1280" spans="1:37" x14ac:dyDescent="0.15">
      <c r="A1280" s="1">
        <f t="shared" ca="1" si="562"/>
        <v>9313103</v>
      </c>
      <c r="B1280" s="1" t="str">
        <f t="shared" ca="1" si="563"/>
        <v>聚能手雷</v>
      </c>
      <c r="C1280" t="s">
        <v>177</v>
      </c>
      <c r="D1280">
        <f t="shared" si="564"/>
        <v>3</v>
      </c>
      <c r="E1280" s="42">
        <f t="shared" ca="1" si="555"/>
        <v>10</v>
      </c>
      <c r="F1280" t="str">
        <f t="shared" ca="1" si="556"/>
        <v>第3级，共造成205.3%点伤害</v>
      </c>
      <c r="G1280">
        <f t="shared" ca="1" si="565"/>
        <v>1</v>
      </c>
      <c r="H1280">
        <f t="shared" si="566"/>
        <v>1</v>
      </c>
      <c r="I1280" s="44">
        <f t="shared" ca="1" si="567"/>
        <v>3</v>
      </c>
      <c r="J1280">
        <f t="shared" si="568"/>
        <v>1</v>
      </c>
      <c r="K1280" s="36">
        <f t="shared" ca="1" si="569"/>
        <v>22.807142857142857</v>
      </c>
      <c r="L1280" s="10">
        <f ca="1">AH1280*VLOOKUP(C1280,技能辅助查询表,技能配置辅助表!$T$1,FALSE)</f>
        <v>0</v>
      </c>
      <c r="M1280">
        <f t="shared" ca="1" si="553"/>
        <v>9700</v>
      </c>
      <c r="N1280" s="33">
        <f ca="1">CHOOSE(1,W1280*U1280,X1280*'[1]0、经济设定'!$C$18)</f>
        <v>936</v>
      </c>
      <c r="O1280">
        <f t="shared" si="570"/>
        <v>3</v>
      </c>
      <c r="P1280">
        <f t="shared" si="571"/>
        <v>9</v>
      </c>
      <c r="Q1280">
        <f t="shared" si="572"/>
        <v>1</v>
      </c>
      <c r="R1280" s="2">
        <f t="shared" si="573"/>
        <v>5</v>
      </c>
      <c r="S1280" s="2">
        <f t="shared" si="574"/>
        <v>50</v>
      </c>
      <c r="T1280" s="2">
        <f t="shared" si="575"/>
        <v>22.142857142857142</v>
      </c>
      <c r="U1280" s="2">
        <f ca="1">VLOOKUP(E1280,金币生产率!$A$2:$B$120,2,0)</f>
        <v>104</v>
      </c>
      <c r="V1280" s="2">
        <f t="shared" si="576"/>
        <v>199.28571428571428</v>
      </c>
      <c r="W1280" s="45">
        <f t="shared" ca="1" si="560"/>
        <v>9</v>
      </c>
      <c r="X1280" s="48">
        <f t="shared" ca="1" si="561"/>
        <v>26</v>
      </c>
      <c r="Y1280">
        <f t="shared" si="554"/>
        <v>18</v>
      </c>
      <c r="Z1280">
        <f t="shared" ca="1" si="557"/>
        <v>0</v>
      </c>
      <c r="AA1280" t="str">
        <f t="shared" ca="1" si="577"/>
        <v>9313100.png</v>
      </c>
      <c r="AB1280">
        <f t="shared" si="578"/>
        <v>2</v>
      </c>
      <c r="AC1280">
        <f>VLOOKUP(C1280,技能辅助查询表,技能配置辅助表!$W$1,FALSE)</f>
        <v>5321</v>
      </c>
      <c r="AD1280">
        <f t="shared" ca="1" si="558"/>
        <v>3.6018102584629963</v>
      </c>
      <c r="AE1280">
        <f>VLOOKUP(C1280,技能辅助查询表,技能配置辅助表!$U$1,FALSE)</f>
        <v>1</v>
      </c>
      <c r="AF1280">
        <f t="shared" ca="1" si="579"/>
        <v>9313103</v>
      </c>
      <c r="AG1280">
        <f t="shared" ca="1" si="580"/>
        <v>8.0612244897959187</v>
      </c>
      <c r="AH1280">
        <f t="shared" ca="1" si="559"/>
        <v>17.108415423248271</v>
      </c>
      <c r="AI1280">
        <f ca="1">VLOOKUP(E1280,伤害参考系!$C$4:$E$104,3,FALSE)*$AN$12</f>
        <v>177.55434782608697</v>
      </c>
      <c r="AJ1280">
        <f>VLOOKUP(C1280,技能辅助查询表,技能配置辅助表!$L$1,FALSE)</f>
        <v>9</v>
      </c>
      <c r="AK1280">
        <f>VLOOKUP(C1280,技能辅助查询表,技能配置辅助表!$AE$1,FALSE)</f>
        <v>66000526</v>
      </c>
    </row>
    <row r="1281" spans="1:37" x14ac:dyDescent="0.15">
      <c r="A1281" s="1">
        <f t="shared" ca="1" si="562"/>
        <v>9313104</v>
      </c>
      <c r="B1281" s="1" t="str">
        <f t="shared" ca="1" si="563"/>
        <v>聚能手雷</v>
      </c>
      <c r="C1281" t="s">
        <v>177</v>
      </c>
      <c r="D1281">
        <f t="shared" si="564"/>
        <v>3</v>
      </c>
      <c r="E1281" s="42">
        <f t="shared" ca="1" si="555"/>
        <v>11</v>
      </c>
      <c r="F1281" t="str">
        <f t="shared" ca="1" si="556"/>
        <v>第4级，共造成207.3%点伤害</v>
      </c>
      <c r="G1281">
        <f t="shared" ca="1" si="565"/>
        <v>1</v>
      </c>
      <c r="H1281">
        <f t="shared" si="566"/>
        <v>1</v>
      </c>
      <c r="I1281" s="44">
        <f t="shared" ca="1" si="567"/>
        <v>4</v>
      </c>
      <c r="J1281">
        <f t="shared" si="568"/>
        <v>1</v>
      </c>
      <c r="K1281" s="36">
        <f t="shared" ca="1" si="569"/>
        <v>23.028571428571428</v>
      </c>
      <c r="L1281" s="10">
        <f ca="1">AH1281*VLOOKUP(C1281,技能辅助查询表,技能配置辅助表!$T$1,FALSE)</f>
        <v>0</v>
      </c>
      <c r="M1281">
        <f t="shared" ca="1" si="553"/>
        <v>9600</v>
      </c>
      <c r="N1281" s="33">
        <f ca="1">CHOOSE(1,W1281*U1281,X1281*'[1]0、经济设定'!$C$18)</f>
        <v>1100</v>
      </c>
      <c r="O1281">
        <f t="shared" si="570"/>
        <v>3</v>
      </c>
      <c r="P1281">
        <f t="shared" si="571"/>
        <v>9</v>
      </c>
      <c r="Q1281">
        <f t="shared" si="572"/>
        <v>1</v>
      </c>
      <c r="R1281" s="2">
        <f t="shared" si="573"/>
        <v>5</v>
      </c>
      <c r="S1281" s="2">
        <f t="shared" si="574"/>
        <v>50</v>
      </c>
      <c r="T1281" s="2">
        <f t="shared" si="575"/>
        <v>22.142857142857142</v>
      </c>
      <c r="U1281" s="2">
        <f ca="1">VLOOKUP(E1281,金币生产率!$A$2:$B$120,2,0)</f>
        <v>110</v>
      </c>
      <c r="V1281" s="2">
        <f t="shared" si="576"/>
        <v>199.28571428571428</v>
      </c>
      <c r="W1281" s="45">
        <f t="shared" ca="1" si="560"/>
        <v>10</v>
      </c>
      <c r="X1281" s="48">
        <f t="shared" ca="1" si="561"/>
        <v>36</v>
      </c>
      <c r="Y1281">
        <f t="shared" si="554"/>
        <v>18</v>
      </c>
      <c r="Z1281">
        <f t="shared" ca="1" si="557"/>
        <v>0</v>
      </c>
      <c r="AA1281" t="str">
        <f t="shared" ca="1" si="577"/>
        <v>9313100.png</v>
      </c>
      <c r="AB1281">
        <f t="shared" si="578"/>
        <v>2</v>
      </c>
      <c r="AC1281">
        <f>VLOOKUP(C1281,技能辅助查询表,技能配置辅助表!$W$1,FALSE)</f>
        <v>5321</v>
      </c>
      <c r="AD1281">
        <f t="shared" ca="1" si="558"/>
        <v>4.1782459517574742</v>
      </c>
      <c r="AE1281">
        <f>VLOOKUP(C1281,技能辅助查询表,技能配置辅助表!$U$1,FALSE)</f>
        <v>1</v>
      </c>
      <c r="AF1281">
        <f t="shared" ca="1" si="579"/>
        <v>9313104</v>
      </c>
      <c r="AG1281">
        <f t="shared" ca="1" si="580"/>
        <v>9.591836734693878</v>
      </c>
      <c r="AH1281">
        <f t="shared" ca="1" si="559"/>
        <v>19.477704889652582</v>
      </c>
      <c r="AI1281">
        <f ca="1">VLOOKUP(E1281,伤害参考系!$C$4:$E$104,3,FALSE)*$AN$12</f>
        <v>212.08059782608694</v>
      </c>
      <c r="AJ1281">
        <f>VLOOKUP(C1281,技能辅助查询表,技能配置辅助表!$L$1,FALSE)</f>
        <v>9</v>
      </c>
      <c r="AK1281">
        <f>VLOOKUP(C1281,技能辅助查询表,技能配置辅助表!$AE$1,FALSE)</f>
        <v>66000526</v>
      </c>
    </row>
    <row r="1282" spans="1:37" x14ac:dyDescent="0.15">
      <c r="A1282" s="1">
        <f t="shared" ca="1" si="562"/>
        <v>9313105</v>
      </c>
      <c r="B1282" s="1" t="str">
        <f t="shared" ca="1" si="563"/>
        <v>聚能手雷</v>
      </c>
      <c r="C1282" t="s">
        <v>177</v>
      </c>
      <c r="D1282">
        <f t="shared" si="564"/>
        <v>3</v>
      </c>
      <c r="E1282" s="42">
        <f t="shared" ca="1" si="555"/>
        <v>13</v>
      </c>
      <c r="F1282" t="str">
        <f t="shared" ca="1" si="556"/>
        <v>第5级，共造成209.3%点伤害</v>
      </c>
      <c r="G1282">
        <f t="shared" ca="1" si="565"/>
        <v>1</v>
      </c>
      <c r="H1282">
        <f t="shared" si="566"/>
        <v>1</v>
      </c>
      <c r="I1282" s="44">
        <f t="shared" ca="1" si="567"/>
        <v>5</v>
      </c>
      <c r="J1282">
        <f t="shared" si="568"/>
        <v>1</v>
      </c>
      <c r="K1282" s="36">
        <f t="shared" ca="1" si="569"/>
        <v>23.25</v>
      </c>
      <c r="L1282" s="10">
        <f ca="1">AH1282*VLOOKUP(C1282,技能辅助查询表,技能配置辅助表!$T$1,FALSE)</f>
        <v>0</v>
      </c>
      <c r="M1282">
        <f t="shared" ref="M1282:M1345" ca="1" si="581">IF(OR(I1282=0,I1282=1),VLOOKUP(C1282,技能辅助查询表,14,FALSE),VLOOKUP(C1282,技能辅助查询表,14,FALSE)-VLOOKUP(C1282,技能辅助查询表,14,FALSE)*0.5/S1282*I1282)</f>
        <v>9500</v>
      </c>
      <c r="N1282" s="33">
        <f ca="1">CHOOSE(1,W1282*U1282,X1282*'[1]0、经济设定'!$C$18)</f>
        <v>1342</v>
      </c>
      <c r="O1282">
        <f t="shared" si="570"/>
        <v>3</v>
      </c>
      <c r="P1282">
        <f t="shared" si="571"/>
        <v>9</v>
      </c>
      <c r="Q1282">
        <f t="shared" si="572"/>
        <v>1</v>
      </c>
      <c r="R1282" s="2">
        <f t="shared" si="573"/>
        <v>5</v>
      </c>
      <c r="S1282" s="2">
        <f t="shared" si="574"/>
        <v>50</v>
      </c>
      <c r="T1282" s="2">
        <f t="shared" si="575"/>
        <v>22.142857142857142</v>
      </c>
      <c r="U1282" s="2">
        <f ca="1">VLOOKUP(E1282,金币生产率!$A$2:$B$120,2,0)</f>
        <v>122</v>
      </c>
      <c r="V1282" s="2">
        <f t="shared" si="576"/>
        <v>199.28571428571428</v>
      </c>
      <c r="W1282" s="45">
        <f t="shared" ca="1" si="560"/>
        <v>11</v>
      </c>
      <c r="X1282" s="48">
        <f t="shared" ca="1" si="561"/>
        <v>47</v>
      </c>
      <c r="Y1282">
        <f t="shared" ref="Y1282:Y1345" si="582">VLOOKUP(C1282,技能辅助查询表,15,FALSE)</f>
        <v>18</v>
      </c>
      <c r="Z1282">
        <f t="shared" ca="1" si="557"/>
        <v>0</v>
      </c>
      <c r="AA1282" t="str">
        <f t="shared" ca="1" si="577"/>
        <v>9313100.png</v>
      </c>
      <c r="AB1282">
        <f t="shared" si="578"/>
        <v>2</v>
      </c>
      <c r="AC1282">
        <f>VLOOKUP(C1282,技能辅助查询表,技能配置辅助表!$W$1,FALSE)</f>
        <v>5321</v>
      </c>
      <c r="AD1282">
        <f t="shared" ca="1" si="558"/>
        <v>4.845261456227596</v>
      </c>
      <c r="AE1282">
        <f>VLOOKUP(C1282,技能辅助查询表,技能配置辅助表!$U$1,FALSE)</f>
        <v>1</v>
      </c>
      <c r="AF1282">
        <f t="shared" ca="1" si="579"/>
        <v>9313105</v>
      </c>
      <c r="AG1282">
        <f t="shared" ca="1" si="580"/>
        <v>11.122448979591837</v>
      </c>
      <c r="AH1282">
        <f t="shared" ca="1" si="559"/>
        <v>22.175109639485559</v>
      </c>
      <c r="AI1282">
        <f ca="1">VLOOKUP(E1282,伤害参考系!$C$4:$E$104,3,FALSE)*$AN$12</f>
        <v>288.46124999999995</v>
      </c>
      <c r="AJ1282">
        <f>VLOOKUP(C1282,技能辅助查询表,技能配置辅助表!$L$1,FALSE)</f>
        <v>9</v>
      </c>
      <c r="AK1282">
        <f>VLOOKUP(C1282,技能辅助查询表,技能配置辅助表!$AE$1,FALSE)</f>
        <v>66000526</v>
      </c>
    </row>
    <row r="1283" spans="1:37" x14ac:dyDescent="0.15">
      <c r="A1283" s="1">
        <f t="shared" ca="1" si="562"/>
        <v>9313106</v>
      </c>
      <c r="B1283" s="1" t="str">
        <f t="shared" ca="1" si="563"/>
        <v>聚能手雷</v>
      </c>
      <c r="C1283" t="s">
        <v>177</v>
      </c>
      <c r="D1283">
        <f t="shared" si="564"/>
        <v>3</v>
      </c>
      <c r="E1283" s="42">
        <f t="shared" ref="E1283:E1346" ca="1" si="583">IF(I1283=0,E1284,IF(AND(I1283=1,G1283&gt;1),OFFSET(E1283,(1-G1283)*51,0),IF(OR(I1283=1,AND(I1283=2,R1283=2)),R1283,IF(I1283=0,0,ROUND(I1283*(80-R1283)/S1283,0)+R1283))))</f>
        <v>14</v>
      </c>
      <c r="F1283" t="str">
        <f t="shared" ref="F1283:F1346" ca="1" si="584">"第"&amp;I1283&amp;"级，共造成"&amp;ROUND(AJ1283*K1283,1)&amp;"%点伤害"</f>
        <v>第6级，共造成211.2%点伤害</v>
      </c>
      <c r="G1283">
        <f t="shared" ca="1" si="565"/>
        <v>1</v>
      </c>
      <c r="H1283">
        <f t="shared" si="566"/>
        <v>1</v>
      </c>
      <c r="I1283" s="44">
        <f t="shared" ca="1" si="567"/>
        <v>6</v>
      </c>
      <c r="J1283">
        <f t="shared" si="568"/>
        <v>1</v>
      </c>
      <c r="K1283" s="36">
        <f t="shared" ca="1" si="569"/>
        <v>23.471428571428572</v>
      </c>
      <c r="L1283" s="10">
        <f ca="1">AH1283*VLOOKUP(C1283,技能辅助查询表,技能配置辅助表!$T$1,FALSE)</f>
        <v>0</v>
      </c>
      <c r="M1283">
        <f t="shared" ca="1" si="581"/>
        <v>9400</v>
      </c>
      <c r="N1283" s="33">
        <f ca="1">CHOOSE(1,W1283*U1283,X1283*'[1]0、经济设定'!$C$18)</f>
        <v>1408</v>
      </c>
      <c r="O1283">
        <f t="shared" si="570"/>
        <v>3</v>
      </c>
      <c r="P1283">
        <f t="shared" si="571"/>
        <v>9</v>
      </c>
      <c r="Q1283">
        <f t="shared" si="572"/>
        <v>1</v>
      </c>
      <c r="R1283" s="2">
        <f t="shared" si="573"/>
        <v>5</v>
      </c>
      <c r="S1283" s="2">
        <f t="shared" si="574"/>
        <v>50</v>
      </c>
      <c r="T1283" s="2">
        <f t="shared" si="575"/>
        <v>22.142857142857142</v>
      </c>
      <c r="U1283" s="2">
        <f ca="1">VLOOKUP(E1283,金币生产率!$A$2:$B$120,2,0)</f>
        <v>128</v>
      </c>
      <c r="V1283" s="2">
        <f t="shared" si="576"/>
        <v>199.28571428571428</v>
      </c>
      <c r="W1283" s="45">
        <f t="shared" ca="1" si="560"/>
        <v>11</v>
      </c>
      <c r="X1283" s="48">
        <f t="shared" ca="1" si="561"/>
        <v>58</v>
      </c>
      <c r="Y1283">
        <f t="shared" si="582"/>
        <v>18</v>
      </c>
      <c r="Z1283">
        <f t="shared" ref="Z1283:Z1346" ca="1" si="585">IF(I1283&gt;=Y1283,ROUNDUP(W1283/$AN$15,0),0)</f>
        <v>0</v>
      </c>
      <c r="AA1283" t="str">
        <f t="shared" ca="1" si="577"/>
        <v>9313100.png</v>
      </c>
      <c r="AB1283">
        <f t="shared" si="578"/>
        <v>2</v>
      </c>
      <c r="AC1283">
        <f>VLOOKUP(C1283,技能辅助查询表,技能配置辅助表!$W$1,FALSE)</f>
        <v>5321</v>
      </c>
      <c r="AD1283">
        <f t="shared" ref="AD1283:AD1346" ca="1" si="586">((AH1283*K1283/100+L1283)*AJ1283-AH1283)/5</f>
        <v>5.6168897619634119</v>
      </c>
      <c r="AE1283">
        <f>VLOOKUP(C1283,技能辅助查询表,技能配置辅助表!$U$1,FALSE)</f>
        <v>1</v>
      </c>
      <c r="AF1283">
        <f t="shared" ca="1" si="579"/>
        <v>9313106</v>
      </c>
      <c r="AG1283">
        <f t="shared" ca="1" si="580"/>
        <v>12.653061224489797</v>
      </c>
      <c r="AH1283">
        <f t="shared" ref="AH1283:AH1346" ca="1" si="587">(19.323*EXP(I1283*0.1297))*$AN$12</f>
        <v>25.246069303803697</v>
      </c>
      <c r="AI1283">
        <f ca="1">VLOOKUP(E1283,伤害参考系!$C$4:$E$104,3,FALSE)*$AN$12</f>
        <v>330.31565217391307</v>
      </c>
      <c r="AJ1283">
        <f>VLOOKUP(C1283,技能辅助查询表,技能配置辅助表!$L$1,FALSE)</f>
        <v>9</v>
      </c>
      <c r="AK1283">
        <f>VLOOKUP(C1283,技能辅助查询表,技能配置辅助表!$AE$1,FALSE)</f>
        <v>66000526</v>
      </c>
    </row>
    <row r="1284" spans="1:37" x14ac:dyDescent="0.15">
      <c r="A1284" s="1">
        <f t="shared" ca="1" si="562"/>
        <v>9313107</v>
      </c>
      <c r="B1284" s="1" t="str">
        <f t="shared" ca="1" si="563"/>
        <v>聚能手雷</v>
      </c>
      <c r="C1284" t="s">
        <v>178</v>
      </c>
      <c r="D1284">
        <f t="shared" si="564"/>
        <v>3</v>
      </c>
      <c r="E1284" s="42">
        <f t="shared" ca="1" si="583"/>
        <v>16</v>
      </c>
      <c r="F1284" t="str">
        <f t="shared" ca="1" si="584"/>
        <v>第7级，共造成213.2%点伤害</v>
      </c>
      <c r="G1284">
        <f t="shared" ca="1" si="565"/>
        <v>1</v>
      </c>
      <c r="H1284">
        <f t="shared" si="566"/>
        <v>1</v>
      </c>
      <c r="I1284" s="44">
        <f t="shared" ca="1" si="567"/>
        <v>7</v>
      </c>
      <c r="J1284">
        <f t="shared" si="568"/>
        <v>1</v>
      </c>
      <c r="K1284" s="36">
        <f t="shared" ca="1" si="569"/>
        <v>23.692857142857143</v>
      </c>
      <c r="L1284" s="10">
        <f ca="1">AH1284*VLOOKUP(C1284,技能辅助查询表,技能配置辅助表!$T$1,FALSE)</f>
        <v>0</v>
      </c>
      <c r="M1284">
        <f t="shared" ca="1" si="581"/>
        <v>9300</v>
      </c>
      <c r="N1284" s="33">
        <f ca="1">CHOOSE(1,W1284*U1284,X1284*'[1]0、经济设定'!$C$18)</f>
        <v>1680</v>
      </c>
      <c r="O1284">
        <f t="shared" si="570"/>
        <v>3</v>
      </c>
      <c r="P1284">
        <f t="shared" si="571"/>
        <v>9</v>
      </c>
      <c r="Q1284">
        <f t="shared" si="572"/>
        <v>1</v>
      </c>
      <c r="R1284" s="2">
        <f t="shared" si="573"/>
        <v>5</v>
      </c>
      <c r="S1284" s="2">
        <f t="shared" si="574"/>
        <v>50</v>
      </c>
      <c r="T1284" s="2">
        <f t="shared" si="575"/>
        <v>22.142857142857142</v>
      </c>
      <c r="U1284" s="2">
        <f ca="1">VLOOKUP(E1284,金币生产率!$A$2:$B$120,2,0)</f>
        <v>140</v>
      </c>
      <c r="V1284" s="2">
        <f t="shared" si="576"/>
        <v>199.28571428571428</v>
      </c>
      <c r="W1284" s="45">
        <f t="shared" ref="W1284:W1347" ca="1" si="588">ROUND((IF(I1284=0,0,ROUND(OFFSET(AD1284,S1284-I1284+510*(1-D1284),0)*(1-$AN$13)/(1-$AN$13^S1284)*$AN$13^(I1284-1),0))+IF(I1284=0,0,ROUND(OFFSET(AD1284,S1284-I1284+510*(2-D1284),0)*(1-$AN$13)/(1-$AN$13^S1284)*$AN$13^(I1284-1),0))+IF(I1284=0,0,ROUND(OFFSET(AD1284,S1284-I1284+510*(3-D1284),0)*(1-$AN$13)/(1-$AN$13^S1284)*$AN$13^(I1284-1),0)))/3,0)</f>
        <v>12</v>
      </c>
      <c r="X1284" s="48">
        <f t="shared" ref="X1284:X1347" ca="1" si="589">IF(I1284=0,0,X1283+W1284)</f>
        <v>70</v>
      </c>
      <c r="Y1284">
        <f t="shared" si="582"/>
        <v>18</v>
      </c>
      <c r="Z1284">
        <f t="shared" ca="1" si="585"/>
        <v>0</v>
      </c>
      <c r="AA1284" t="str">
        <f t="shared" ca="1" si="577"/>
        <v>9313100.png</v>
      </c>
      <c r="AB1284">
        <f t="shared" si="578"/>
        <v>2</v>
      </c>
      <c r="AC1284">
        <f>VLOOKUP(C1284,技能辅助查询表,技能配置辅助表!$W$1,FALSE)</f>
        <v>5321</v>
      </c>
      <c r="AD1284">
        <f t="shared" ca="1" si="586"/>
        <v>6.5093134333947686</v>
      </c>
      <c r="AE1284">
        <f>VLOOKUP(C1284,技能辅助查询表,技能配置辅助表!$U$1,FALSE)</f>
        <v>1</v>
      </c>
      <c r="AF1284">
        <f t="shared" ca="1" si="579"/>
        <v>9313107</v>
      </c>
      <c r="AG1284">
        <f t="shared" ca="1" si="580"/>
        <v>14.183673469387756</v>
      </c>
      <c r="AH1284">
        <f t="shared" ca="1" si="587"/>
        <v>28.742316302127907</v>
      </c>
      <c r="AI1284">
        <f ca="1">VLOOKUP(E1284,伤害参考系!$C$4:$E$104,3,FALSE)*$AN$12</f>
        <v>421.35260869565224</v>
      </c>
      <c r="AJ1284">
        <f>VLOOKUP(C1284,技能辅助查询表,技能配置辅助表!$L$1,FALSE)</f>
        <v>9</v>
      </c>
      <c r="AK1284">
        <f>VLOOKUP(C1284,技能辅助查询表,技能配置辅助表!$AE$1,FALSE)</f>
        <v>66000526</v>
      </c>
    </row>
    <row r="1285" spans="1:37" x14ac:dyDescent="0.15">
      <c r="A1285" s="1">
        <f t="shared" ca="1" si="562"/>
        <v>9313108</v>
      </c>
      <c r="B1285" s="1" t="str">
        <f t="shared" ca="1" si="563"/>
        <v>聚能手雷</v>
      </c>
      <c r="C1285" t="s">
        <v>178</v>
      </c>
      <c r="D1285">
        <f t="shared" si="564"/>
        <v>3</v>
      </c>
      <c r="E1285" s="42">
        <f t="shared" ca="1" si="583"/>
        <v>17</v>
      </c>
      <c r="F1285" t="str">
        <f t="shared" ca="1" si="584"/>
        <v>第8级，共造成215.2%点伤害</v>
      </c>
      <c r="G1285">
        <f t="shared" ca="1" si="565"/>
        <v>1</v>
      </c>
      <c r="H1285">
        <f t="shared" si="566"/>
        <v>1</v>
      </c>
      <c r="I1285" s="44">
        <f t="shared" ca="1" si="567"/>
        <v>8</v>
      </c>
      <c r="J1285">
        <f t="shared" si="568"/>
        <v>1</v>
      </c>
      <c r="K1285" s="36">
        <f t="shared" ca="1" si="569"/>
        <v>23.914285714285715</v>
      </c>
      <c r="L1285" s="10">
        <f ca="1">AH1285*VLOOKUP(C1285,技能辅助查询表,技能配置辅助表!$T$1,FALSE)</f>
        <v>0</v>
      </c>
      <c r="M1285">
        <f t="shared" ca="1" si="581"/>
        <v>9200</v>
      </c>
      <c r="N1285" s="33">
        <f ca="1">CHOOSE(1,W1285*U1285,X1285*'[1]0、经济设定'!$C$18)</f>
        <v>1898</v>
      </c>
      <c r="O1285">
        <f t="shared" si="570"/>
        <v>3</v>
      </c>
      <c r="P1285">
        <f t="shared" si="571"/>
        <v>9</v>
      </c>
      <c r="Q1285">
        <f t="shared" si="572"/>
        <v>1</v>
      </c>
      <c r="R1285" s="2">
        <f t="shared" si="573"/>
        <v>5</v>
      </c>
      <c r="S1285" s="2">
        <f t="shared" si="574"/>
        <v>50</v>
      </c>
      <c r="T1285" s="2">
        <f t="shared" si="575"/>
        <v>22.142857142857142</v>
      </c>
      <c r="U1285" s="2">
        <f ca="1">VLOOKUP(E1285,金币生产率!$A$2:$B$120,2,0)</f>
        <v>146</v>
      </c>
      <c r="V1285" s="2">
        <f t="shared" si="576"/>
        <v>199.28571428571428</v>
      </c>
      <c r="W1285" s="45">
        <f t="shared" ca="1" si="588"/>
        <v>13</v>
      </c>
      <c r="X1285" s="48">
        <f t="shared" ca="1" si="589"/>
        <v>83</v>
      </c>
      <c r="Y1285">
        <f t="shared" si="582"/>
        <v>18</v>
      </c>
      <c r="Z1285">
        <f t="shared" ca="1" si="585"/>
        <v>0</v>
      </c>
      <c r="AA1285" t="str">
        <f t="shared" ca="1" si="577"/>
        <v>9313100.png</v>
      </c>
      <c r="AB1285">
        <f t="shared" si="578"/>
        <v>2</v>
      </c>
      <c r="AC1285">
        <f>VLOOKUP(C1285,技能辅助查询表,技能配置辅助表!$W$1,FALSE)</f>
        <v>5321</v>
      </c>
      <c r="AD1285">
        <f t="shared" ca="1" si="586"/>
        <v>7.5411908516125221</v>
      </c>
      <c r="AE1285">
        <f>VLOOKUP(C1285,技能辅助查询表,技能配置辅助表!$U$1,FALSE)</f>
        <v>1</v>
      </c>
      <c r="AF1285">
        <f t="shared" ca="1" si="579"/>
        <v>9313108</v>
      </c>
      <c r="AG1285">
        <f t="shared" ca="1" si="580"/>
        <v>15.714285714285714</v>
      </c>
      <c r="AH1285">
        <f t="shared" ca="1" si="587"/>
        <v>32.722747310493212</v>
      </c>
      <c r="AI1285">
        <f ca="1">VLOOKUP(E1285,伤害参考系!$C$4:$E$104,3,FALSE)*$AN$12</f>
        <v>470.53516304347824</v>
      </c>
      <c r="AJ1285">
        <f>VLOOKUP(C1285,技能辅助查询表,技能配置辅助表!$L$1,FALSE)</f>
        <v>9</v>
      </c>
      <c r="AK1285">
        <f>VLOOKUP(C1285,技能辅助查询表,技能配置辅助表!$AE$1,FALSE)</f>
        <v>66000526</v>
      </c>
    </row>
    <row r="1286" spans="1:37" x14ac:dyDescent="0.15">
      <c r="A1286" s="1">
        <f t="shared" ca="1" si="562"/>
        <v>9313109</v>
      </c>
      <c r="B1286" s="1" t="str">
        <f t="shared" ca="1" si="563"/>
        <v>聚能手雷</v>
      </c>
      <c r="C1286" t="s">
        <v>178</v>
      </c>
      <c r="D1286">
        <f t="shared" si="564"/>
        <v>3</v>
      </c>
      <c r="E1286" s="42">
        <f t="shared" ca="1" si="583"/>
        <v>19</v>
      </c>
      <c r="F1286" t="str">
        <f t="shared" ca="1" si="584"/>
        <v>第9级，共造成217.2%点伤害</v>
      </c>
      <c r="G1286">
        <f t="shared" ca="1" si="565"/>
        <v>1</v>
      </c>
      <c r="H1286">
        <f t="shared" si="566"/>
        <v>1</v>
      </c>
      <c r="I1286" s="44">
        <f t="shared" ca="1" si="567"/>
        <v>9</v>
      </c>
      <c r="J1286">
        <f t="shared" si="568"/>
        <v>1</v>
      </c>
      <c r="K1286" s="36">
        <f t="shared" ca="1" si="569"/>
        <v>24.135714285714286</v>
      </c>
      <c r="L1286" s="10">
        <f ca="1">AH1286*VLOOKUP(C1286,技能辅助查询表,技能配置辅助表!$T$1,FALSE)</f>
        <v>0</v>
      </c>
      <c r="M1286">
        <f t="shared" ca="1" si="581"/>
        <v>9100</v>
      </c>
      <c r="N1286" s="33">
        <f ca="1">CHOOSE(1,W1286*U1286,X1286*'[1]0、经济设定'!$C$18)</f>
        <v>2212</v>
      </c>
      <c r="O1286">
        <f t="shared" si="570"/>
        <v>3</v>
      </c>
      <c r="P1286">
        <f t="shared" si="571"/>
        <v>9</v>
      </c>
      <c r="Q1286">
        <f t="shared" si="572"/>
        <v>1</v>
      </c>
      <c r="R1286" s="2">
        <f t="shared" si="573"/>
        <v>5</v>
      </c>
      <c r="S1286" s="2">
        <f t="shared" si="574"/>
        <v>50</v>
      </c>
      <c r="T1286" s="2">
        <f t="shared" si="575"/>
        <v>22.142857142857142</v>
      </c>
      <c r="U1286" s="2">
        <f ca="1">VLOOKUP(E1286,金币生产率!$A$2:$B$120,2,0)</f>
        <v>158</v>
      </c>
      <c r="V1286" s="2">
        <f t="shared" si="576"/>
        <v>199.28571428571428</v>
      </c>
      <c r="W1286" s="45">
        <f t="shared" ca="1" si="588"/>
        <v>14</v>
      </c>
      <c r="X1286" s="48">
        <f t="shared" ca="1" si="589"/>
        <v>97</v>
      </c>
      <c r="Y1286">
        <f t="shared" si="582"/>
        <v>18</v>
      </c>
      <c r="Z1286">
        <f t="shared" ca="1" si="585"/>
        <v>0</v>
      </c>
      <c r="AA1286" t="str">
        <f t="shared" ca="1" si="577"/>
        <v>9313100.png</v>
      </c>
      <c r="AB1286">
        <f t="shared" si="578"/>
        <v>2</v>
      </c>
      <c r="AC1286">
        <f>VLOOKUP(C1286,技能辅助查询表,技能配置辅助表!$W$1,FALSE)</f>
        <v>5321</v>
      </c>
      <c r="AD1286">
        <f t="shared" ca="1" si="586"/>
        <v>8.7340315913861186</v>
      </c>
      <c r="AE1286">
        <f>VLOOKUP(C1286,技能辅助查询表,技能配置辅助表!$U$1,FALSE)</f>
        <v>1</v>
      </c>
      <c r="AF1286">
        <f t="shared" ca="1" si="579"/>
        <v>9313109</v>
      </c>
      <c r="AG1286">
        <f t="shared" ca="1" si="580"/>
        <v>17.244897959183675</v>
      </c>
      <c r="AH1286">
        <f t="shared" ca="1" si="587"/>
        <v>37.25441541630785</v>
      </c>
      <c r="AI1286">
        <f ca="1">VLOOKUP(E1286,伤害参考系!$C$4:$E$104,3,FALSE)*$AN$12</f>
        <v>576.22842391304346</v>
      </c>
      <c r="AJ1286">
        <f>VLOOKUP(C1286,技能辅助查询表,技能配置辅助表!$L$1,FALSE)</f>
        <v>9</v>
      </c>
      <c r="AK1286">
        <f>VLOOKUP(C1286,技能辅助查询表,技能配置辅助表!$AE$1,FALSE)</f>
        <v>66000526</v>
      </c>
    </row>
    <row r="1287" spans="1:37" x14ac:dyDescent="0.15">
      <c r="A1287" s="1">
        <f t="shared" ca="1" si="562"/>
        <v>9313110</v>
      </c>
      <c r="B1287" s="1" t="str">
        <f t="shared" ca="1" si="563"/>
        <v>聚能手雷</v>
      </c>
      <c r="C1287" t="s">
        <v>178</v>
      </c>
      <c r="D1287">
        <f t="shared" si="564"/>
        <v>3</v>
      </c>
      <c r="E1287" s="42">
        <f t="shared" ca="1" si="583"/>
        <v>20</v>
      </c>
      <c r="F1287" t="str">
        <f t="shared" ca="1" si="584"/>
        <v>第10级，共造成219.2%点伤害</v>
      </c>
      <c r="G1287">
        <f t="shared" ca="1" si="565"/>
        <v>1</v>
      </c>
      <c r="H1287">
        <f t="shared" si="566"/>
        <v>1</v>
      </c>
      <c r="I1287" s="44">
        <f t="shared" ca="1" si="567"/>
        <v>10</v>
      </c>
      <c r="J1287">
        <f t="shared" si="568"/>
        <v>1</v>
      </c>
      <c r="K1287" s="36">
        <f t="shared" ca="1" si="569"/>
        <v>24.357142857142858</v>
      </c>
      <c r="L1287" s="10">
        <f ca="1">AH1287*VLOOKUP(C1287,技能辅助查询表,技能配置辅助表!$T$1,FALSE)</f>
        <v>0</v>
      </c>
      <c r="M1287">
        <f t="shared" ca="1" si="581"/>
        <v>9000</v>
      </c>
      <c r="N1287" s="33">
        <f ca="1">CHOOSE(1,W1287*U1287,X1287*'[1]0、经济设定'!$C$18)</f>
        <v>2730</v>
      </c>
      <c r="O1287">
        <f t="shared" si="570"/>
        <v>3</v>
      </c>
      <c r="P1287">
        <f t="shared" si="571"/>
        <v>9</v>
      </c>
      <c r="Q1287">
        <f t="shared" si="572"/>
        <v>1</v>
      </c>
      <c r="R1287" s="2">
        <f t="shared" si="573"/>
        <v>5</v>
      </c>
      <c r="S1287" s="2">
        <f t="shared" si="574"/>
        <v>50</v>
      </c>
      <c r="T1287" s="2">
        <f t="shared" si="575"/>
        <v>22.142857142857142</v>
      </c>
      <c r="U1287" s="2">
        <f ca="1">VLOOKUP(E1287,金币生产率!$A$2:$B$120,2,0)</f>
        <v>182</v>
      </c>
      <c r="V1287" s="2">
        <f t="shared" si="576"/>
        <v>199.28571428571428</v>
      </c>
      <c r="W1287" s="45">
        <f t="shared" ca="1" si="588"/>
        <v>15</v>
      </c>
      <c r="X1287" s="48">
        <f t="shared" ca="1" si="589"/>
        <v>112</v>
      </c>
      <c r="Y1287">
        <f t="shared" si="582"/>
        <v>18</v>
      </c>
      <c r="Z1287">
        <f t="shared" ca="1" si="585"/>
        <v>0</v>
      </c>
      <c r="AA1287" t="str">
        <f t="shared" ca="1" si="577"/>
        <v>9313100.png</v>
      </c>
      <c r="AB1287">
        <f t="shared" si="578"/>
        <v>2</v>
      </c>
      <c r="AC1287">
        <f>VLOOKUP(C1287,技能辅助查询表,技能配置辅助表!$W$1,FALSE)</f>
        <v>5321</v>
      </c>
      <c r="AD1287">
        <f t="shared" ca="1" si="586"/>
        <v>10.112628285022167</v>
      </c>
      <c r="AE1287">
        <f>VLOOKUP(C1287,技能辅助查询表,技能配置辅助表!$U$1,FALSE)</f>
        <v>1</v>
      </c>
      <c r="AF1287">
        <f t="shared" ca="1" si="579"/>
        <v>9313110</v>
      </c>
      <c r="AG1287">
        <f t="shared" ca="1" si="580"/>
        <v>18.775510204081634</v>
      </c>
      <c r="AH1287">
        <f t="shared" ca="1" si="587"/>
        <v>42.413659673550121</v>
      </c>
      <c r="AI1287">
        <f ca="1">VLOOKUP(E1287,伤害参考系!$C$4:$E$104,3,FALSE)*$AN$12</f>
        <v>632.73913043478262</v>
      </c>
      <c r="AJ1287">
        <f>VLOOKUP(C1287,技能辅助查询表,技能配置辅助表!$L$1,FALSE)</f>
        <v>9</v>
      </c>
      <c r="AK1287">
        <f>VLOOKUP(C1287,技能辅助查询表,技能配置辅助表!$AE$1,FALSE)</f>
        <v>66000526</v>
      </c>
    </row>
    <row r="1288" spans="1:37" x14ac:dyDescent="0.15">
      <c r="A1288" s="1">
        <f t="shared" ca="1" si="562"/>
        <v>9313111</v>
      </c>
      <c r="B1288" s="1" t="str">
        <f t="shared" ca="1" si="563"/>
        <v>聚能手雷</v>
      </c>
      <c r="C1288" t="s">
        <v>178</v>
      </c>
      <c r="D1288">
        <f t="shared" si="564"/>
        <v>3</v>
      </c>
      <c r="E1288" s="42">
        <f t="shared" ca="1" si="583"/>
        <v>22</v>
      </c>
      <c r="F1288" t="str">
        <f t="shared" ca="1" si="584"/>
        <v>第11级，共造成221.2%点伤害</v>
      </c>
      <c r="G1288">
        <f t="shared" ca="1" si="565"/>
        <v>1</v>
      </c>
      <c r="H1288">
        <f t="shared" si="566"/>
        <v>1</v>
      </c>
      <c r="I1288" s="44">
        <f t="shared" ca="1" si="567"/>
        <v>11</v>
      </c>
      <c r="J1288">
        <f t="shared" si="568"/>
        <v>1</v>
      </c>
      <c r="K1288" s="36">
        <f t="shared" ca="1" si="569"/>
        <v>24.578571428571429</v>
      </c>
      <c r="L1288" s="10">
        <f ca="1">AH1288*VLOOKUP(C1288,技能辅助查询表,技能配置辅助表!$T$1,FALSE)</f>
        <v>0</v>
      </c>
      <c r="M1288">
        <f t="shared" ca="1" si="581"/>
        <v>8900</v>
      </c>
      <c r="N1288" s="33">
        <f ca="1">CHOOSE(1,W1288*U1288,X1288*'[1]0、经济设定'!$C$18)</f>
        <v>3824</v>
      </c>
      <c r="O1288">
        <f t="shared" si="570"/>
        <v>3</v>
      </c>
      <c r="P1288">
        <f t="shared" si="571"/>
        <v>9</v>
      </c>
      <c r="Q1288">
        <f t="shared" si="572"/>
        <v>1</v>
      </c>
      <c r="R1288" s="2">
        <f t="shared" si="573"/>
        <v>5</v>
      </c>
      <c r="S1288" s="2">
        <f t="shared" si="574"/>
        <v>50</v>
      </c>
      <c r="T1288" s="2">
        <f t="shared" si="575"/>
        <v>22.142857142857142</v>
      </c>
      <c r="U1288" s="2">
        <f ca="1">VLOOKUP(E1288,金币生产率!$A$2:$B$120,2,0)</f>
        <v>239</v>
      </c>
      <c r="V1288" s="2">
        <f t="shared" si="576"/>
        <v>199.28571428571428</v>
      </c>
      <c r="W1288" s="45">
        <f t="shared" ca="1" si="588"/>
        <v>16</v>
      </c>
      <c r="X1288" s="48">
        <f t="shared" ca="1" si="589"/>
        <v>128</v>
      </c>
      <c r="Y1288">
        <f t="shared" si="582"/>
        <v>18</v>
      </c>
      <c r="Z1288">
        <f t="shared" ca="1" si="585"/>
        <v>0</v>
      </c>
      <c r="AA1288" t="str">
        <f t="shared" ca="1" si="577"/>
        <v>9313100.png</v>
      </c>
      <c r="AB1288">
        <f t="shared" si="578"/>
        <v>2</v>
      </c>
      <c r="AC1288">
        <f>VLOOKUP(C1288,技能辅助查询表,技能配置辅助表!$W$1,FALSE)</f>
        <v>5321</v>
      </c>
      <c r="AD1288">
        <f t="shared" ca="1" si="586"/>
        <v>11.705553419224247</v>
      </c>
      <c r="AE1288">
        <f>VLOOKUP(C1288,技能辅助查询表,技能配置辅助表!$U$1,FALSE)</f>
        <v>1</v>
      </c>
      <c r="AF1288">
        <f t="shared" ca="1" si="579"/>
        <v>9313111</v>
      </c>
      <c r="AG1288">
        <f t="shared" ca="1" si="580"/>
        <v>20.306122448979593</v>
      </c>
      <c r="AH1288">
        <f t="shared" ca="1" si="587"/>
        <v>48.287391086433935</v>
      </c>
      <c r="AI1288">
        <f ca="1">VLOOKUP(E1288,伤害参考系!$C$4:$E$104,3,FALSE)*$AN$12</f>
        <v>753.08869565217401</v>
      </c>
      <c r="AJ1288">
        <f>VLOOKUP(C1288,技能辅助查询表,技能配置辅助表!$L$1,FALSE)</f>
        <v>9</v>
      </c>
      <c r="AK1288">
        <f>VLOOKUP(C1288,技能辅助查询表,技能配置辅助表!$AE$1,FALSE)</f>
        <v>66000526</v>
      </c>
    </row>
    <row r="1289" spans="1:37" x14ac:dyDescent="0.15">
      <c r="A1289" s="1">
        <f t="shared" ca="1" si="562"/>
        <v>9313112</v>
      </c>
      <c r="B1289" s="1" t="str">
        <f t="shared" ca="1" si="563"/>
        <v>聚能手雷</v>
      </c>
      <c r="C1289" t="s">
        <v>178</v>
      </c>
      <c r="D1289">
        <f t="shared" si="564"/>
        <v>3</v>
      </c>
      <c r="E1289" s="42">
        <f t="shared" ca="1" si="583"/>
        <v>23</v>
      </c>
      <c r="F1289" t="str">
        <f t="shared" ca="1" si="584"/>
        <v>第12级，共造成223.2%点伤害</v>
      </c>
      <c r="G1289">
        <f t="shared" ca="1" si="565"/>
        <v>1</v>
      </c>
      <c r="H1289">
        <f t="shared" si="566"/>
        <v>1</v>
      </c>
      <c r="I1289" s="44">
        <f t="shared" ca="1" si="567"/>
        <v>12</v>
      </c>
      <c r="J1289">
        <f t="shared" si="568"/>
        <v>1</v>
      </c>
      <c r="K1289" s="36">
        <f t="shared" ca="1" si="569"/>
        <v>24.8</v>
      </c>
      <c r="L1289" s="10">
        <f ca="1">AH1289*VLOOKUP(C1289,技能辅助查询表,技能配置辅助表!$T$1,FALSE)</f>
        <v>0</v>
      </c>
      <c r="M1289">
        <f t="shared" ca="1" si="581"/>
        <v>8800</v>
      </c>
      <c r="N1289" s="33">
        <f ca="1">CHOOSE(1,W1289*U1289,X1289*'[1]0、经济设定'!$C$18)</f>
        <v>4590</v>
      </c>
      <c r="O1289">
        <f t="shared" si="570"/>
        <v>3</v>
      </c>
      <c r="P1289">
        <f t="shared" si="571"/>
        <v>9</v>
      </c>
      <c r="Q1289">
        <f t="shared" si="572"/>
        <v>1</v>
      </c>
      <c r="R1289" s="2">
        <f t="shared" si="573"/>
        <v>5</v>
      </c>
      <c r="S1289" s="2">
        <f t="shared" si="574"/>
        <v>50</v>
      </c>
      <c r="T1289" s="2">
        <f t="shared" si="575"/>
        <v>22.142857142857142</v>
      </c>
      <c r="U1289" s="2">
        <f ca="1">VLOOKUP(E1289,金币生产率!$A$2:$B$120,2,0)</f>
        <v>270</v>
      </c>
      <c r="V1289" s="2">
        <f t="shared" si="576"/>
        <v>199.28571428571428</v>
      </c>
      <c r="W1289" s="45">
        <f t="shared" ca="1" si="588"/>
        <v>17</v>
      </c>
      <c r="X1289" s="48">
        <f t="shared" ca="1" si="589"/>
        <v>145</v>
      </c>
      <c r="Y1289">
        <f t="shared" si="582"/>
        <v>18</v>
      </c>
      <c r="Z1289">
        <f t="shared" ca="1" si="585"/>
        <v>0</v>
      </c>
      <c r="AA1289" t="str">
        <f t="shared" ca="1" si="577"/>
        <v>9313100.png</v>
      </c>
      <c r="AB1289">
        <f t="shared" si="578"/>
        <v>2</v>
      </c>
      <c r="AC1289">
        <f>VLOOKUP(C1289,技能辅助查询表,技能配置辅助表!$W$1,FALSE)</f>
        <v>5321</v>
      </c>
      <c r="AD1289">
        <f t="shared" ca="1" si="586"/>
        <v>13.545730767139508</v>
      </c>
      <c r="AE1289">
        <f>VLOOKUP(C1289,技能辅助查询表,技能配置辅助表!$U$1,FALSE)</f>
        <v>1</v>
      </c>
      <c r="AF1289">
        <f t="shared" ca="1" si="579"/>
        <v>9313112</v>
      </c>
      <c r="AG1289">
        <f t="shared" ca="1" si="580"/>
        <v>21.836734693877553</v>
      </c>
      <c r="AH1289">
        <f t="shared" ca="1" si="587"/>
        <v>54.974556684819426</v>
      </c>
      <c r="AI1289">
        <f ca="1">VLOOKUP(E1289,伤害参考系!$C$4:$E$104,3,FALSE)*$AN$12</f>
        <v>832.15832357859551</v>
      </c>
      <c r="AJ1289">
        <f>VLOOKUP(C1289,技能辅助查询表,技能配置辅助表!$L$1,FALSE)</f>
        <v>9</v>
      </c>
      <c r="AK1289">
        <f>VLOOKUP(C1289,技能辅助查询表,技能配置辅助表!$AE$1,FALSE)</f>
        <v>66000526</v>
      </c>
    </row>
    <row r="1290" spans="1:37" x14ac:dyDescent="0.15">
      <c r="A1290" s="1">
        <f t="shared" ca="1" si="562"/>
        <v>9313113</v>
      </c>
      <c r="B1290" s="1" t="str">
        <f t="shared" ca="1" si="563"/>
        <v>聚能手雷</v>
      </c>
      <c r="C1290" t="s">
        <v>178</v>
      </c>
      <c r="D1290">
        <f t="shared" si="564"/>
        <v>3</v>
      </c>
      <c r="E1290" s="42">
        <f t="shared" ca="1" si="583"/>
        <v>25</v>
      </c>
      <c r="F1290" t="str">
        <f t="shared" ca="1" si="584"/>
        <v>第13级，共造成225.2%点伤害</v>
      </c>
      <c r="G1290">
        <f t="shared" ca="1" si="565"/>
        <v>1</v>
      </c>
      <c r="H1290">
        <f t="shared" si="566"/>
        <v>1</v>
      </c>
      <c r="I1290" s="44">
        <f t="shared" ca="1" si="567"/>
        <v>13</v>
      </c>
      <c r="J1290">
        <f t="shared" si="568"/>
        <v>1</v>
      </c>
      <c r="K1290" s="36">
        <f t="shared" ca="1" si="569"/>
        <v>25.021428571428572</v>
      </c>
      <c r="L1290" s="10">
        <f ca="1">AH1290*VLOOKUP(C1290,技能辅助查询表,技能配置辅助表!$T$1,FALSE)</f>
        <v>0</v>
      </c>
      <c r="M1290">
        <f t="shared" ca="1" si="581"/>
        <v>8700</v>
      </c>
      <c r="N1290" s="33">
        <f ca="1">CHOOSE(1,W1290*U1290,X1290*'[1]0、经济设定'!$C$18)</f>
        <v>6030</v>
      </c>
      <c r="O1290">
        <f t="shared" si="570"/>
        <v>3</v>
      </c>
      <c r="P1290">
        <f t="shared" si="571"/>
        <v>9</v>
      </c>
      <c r="Q1290">
        <f t="shared" si="572"/>
        <v>1</v>
      </c>
      <c r="R1290" s="2">
        <f t="shared" si="573"/>
        <v>5</v>
      </c>
      <c r="S1290" s="2">
        <f t="shared" si="574"/>
        <v>50</v>
      </c>
      <c r="T1290" s="2">
        <f t="shared" si="575"/>
        <v>22.142857142857142</v>
      </c>
      <c r="U1290" s="2">
        <f ca="1">VLOOKUP(E1290,金币生产率!$A$2:$B$120,2,0)</f>
        <v>335</v>
      </c>
      <c r="V1290" s="2">
        <f t="shared" si="576"/>
        <v>199.28571428571428</v>
      </c>
      <c r="W1290" s="45">
        <f t="shared" ca="1" si="588"/>
        <v>18</v>
      </c>
      <c r="X1290" s="48">
        <f t="shared" ca="1" si="589"/>
        <v>163</v>
      </c>
      <c r="Y1290">
        <f t="shared" si="582"/>
        <v>18</v>
      </c>
      <c r="Z1290">
        <f t="shared" ca="1" si="585"/>
        <v>0</v>
      </c>
      <c r="AA1290" t="str">
        <f t="shared" ca="1" si="577"/>
        <v>9313100.png</v>
      </c>
      <c r="AB1290">
        <f t="shared" si="578"/>
        <v>2</v>
      </c>
      <c r="AC1290">
        <f>VLOOKUP(C1290,技能辅助查询表,技能配置辅助表!$W$1,FALSE)</f>
        <v>5321</v>
      </c>
      <c r="AD1290">
        <f t="shared" ca="1" si="586"/>
        <v>15.671092599702865</v>
      </c>
      <c r="AE1290">
        <f>VLOOKUP(C1290,技能辅助查询表,技能配置辅助表!$U$1,FALSE)</f>
        <v>1</v>
      </c>
      <c r="AF1290">
        <f t="shared" ca="1" si="579"/>
        <v>9313113</v>
      </c>
      <c r="AG1290">
        <f t="shared" ca="1" si="580"/>
        <v>23.367346938775512</v>
      </c>
      <c r="AH1290">
        <f t="shared" ca="1" si="587"/>
        <v>62.587806354721323</v>
      </c>
      <c r="AI1290">
        <f ca="1">VLOOKUP(E1290,伤害参考系!$C$4:$E$104,3,FALSE)*$AN$12</f>
        <v>1000.3949623745822</v>
      </c>
      <c r="AJ1290">
        <f>VLOOKUP(C1290,技能辅助查询表,技能配置辅助表!$L$1,FALSE)</f>
        <v>9</v>
      </c>
      <c r="AK1290">
        <f>VLOOKUP(C1290,技能辅助查询表,技能配置辅助表!$AE$1,FALSE)</f>
        <v>66000526</v>
      </c>
    </row>
    <row r="1291" spans="1:37" x14ac:dyDescent="0.15">
      <c r="A1291" s="1">
        <f t="shared" ca="1" si="562"/>
        <v>9313114</v>
      </c>
      <c r="B1291" s="1" t="str">
        <f t="shared" ca="1" si="563"/>
        <v>聚能手雷</v>
      </c>
      <c r="C1291" t="s">
        <v>178</v>
      </c>
      <c r="D1291">
        <f t="shared" si="564"/>
        <v>3</v>
      </c>
      <c r="E1291" s="42">
        <f t="shared" ca="1" si="583"/>
        <v>26</v>
      </c>
      <c r="F1291" t="str">
        <f t="shared" ca="1" si="584"/>
        <v>第14级，共造成227.2%点伤害</v>
      </c>
      <c r="G1291">
        <f t="shared" ca="1" si="565"/>
        <v>1</v>
      </c>
      <c r="H1291">
        <f t="shared" si="566"/>
        <v>1</v>
      </c>
      <c r="I1291" s="44">
        <f t="shared" ca="1" si="567"/>
        <v>14</v>
      </c>
      <c r="J1291">
        <f t="shared" si="568"/>
        <v>1</v>
      </c>
      <c r="K1291" s="36">
        <f t="shared" ca="1" si="569"/>
        <v>25.24285714285714</v>
      </c>
      <c r="L1291" s="10">
        <f ca="1">AH1291*VLOOKUP(C1291,技能辅助查询表,技能配置辅助表!$T$1,FALSE)</f>
        <v>0</v>
      </c>
      <c r="M1291">
        <f t="shared" ca="1" si="581"/>
        <v>8600</v>
      </c>
      <c r="N1291" s="33">
        <f ca="1">CHOOSE(1,W1291*U1291,X1291*'[1]0、经济设定'!$C$18)</f>
        <v>7030</v>
      </c>
      <c r="O1291">
        <f t="shared" si="570"/>
        <v>3</v>
      </c>
      <c r="P1291">
        <f t="shared" si="571"/>
        <v>9</v>
      </c>
      <c r="Q1291">
        <f t="shared" si="572"/>
        <v>1</v>
      </c>
      <c r="R1291" s="2">
        <f t="shared" si="573"/>
        <v>5</v>
      </c>
      <c r="S1291" s="2">
        <f t="shared" si="574"/>
        <v>50</v>
      </c>
      <c r="T1291" s="2">
        <f t="shared" si="575"/>
        <v>22.142857142857142</v>
      </c>
      <c r="U1291" s="2">
        <f ca="1">VLOOKUP(E1291,金币生产率!$A$2:$B$120,2,0)</f>
        <v>370</v>
      </c>
      <c r="V1291" s="2">
        <f t="shared" si="576"/>
        <v>199.28571428571428</v>
      </c>
      <c r="W1291" s="45">
        <f t="shared" ca="1" si="588"/>
        <v>19</v>
      </c>
      <c r="X1291" s="48">
        <f t="shared" ca="1" si="589"/>
        <v>182</v>
      </c>
      <c r="Y1291">
        <f t="shared" si="582"/>
        <v>18</v>
      </c>
      <c r="Z1291">
        <f t="shared" ca="1" si="585"/>
        <v>0</v>
      </c>
      <c r="AA1291" t="str">
        <f t="shared" ca="1" si="577"/>
        <v>9313100.png</v>
      </c>
      <c r="AB1291">
        <f t="shared" si="578"/>
        <v>2</v>
      </c>
      <c r="AC1291">
        <f>VLOOKUP(C1291,技能辅助查询表,技能配置辅助表!$W$1,FALSE)</f>
        <v>5321</v>
      </c>
      <c r="AD1291">
        <f t="shared" ca="1" si="586"/>
        <v>18.12533547561674</v>
      </c>
      <c r="AE1291">
        <f>VLOOKUP(C1291,技能辅助查询表,技能配置辅助表!$U$1,FALSE)</f>
        <v>1</v>
      </c>
      <c r="AF1291">
        <f t="shared" ca="1" si="579"/>
        <v>9313114</v>
      </c>
      <c r="AG1291">
        <f t="shared" ca="1" si="580"/>
        <v>24.897959183673468</v>
      </c>
      <c r="AH1291">
        <f t="shared" ca="1" si="587"/>
        <v>71.25539050281769</v>
      </c>
      <c r="AI1291">
        <f ca="1">VLOOKUP(E1291,伤害参考系!$C$4:$E$104,3,FALSE)*$AN$12</f>
        <v>1103.3859732441474</v>
      </c>
      <c r="AJ1291">
        <f>VLOOKUP(C1291,技能辅助查询表,技能配置辅助表!$L$1,FALSE)</f>
        <v>9</v>
      </c>
      <c r="AK1291">
        <f>VLOOKUP(C1291,技能辅助查询表,技能配置辅助表!$AE$1,FALSE)</f>
        <v>66000526</v>
      </c>
    </row>
    <row r="1292" spans="1:37" x14ac:dyDescent="0.15">
      <c r="A1292" s="1">
        <f t="shared" ca="1" si="562"/>
        <v>9313115</v>
      </c>
      <c r="B1292" s="1" t="str">
        <f t="shared" ca="1" si="563"/>
        <v>聚能手雷</v>
      </c>
      <c r="C1292" t="s">
        <v>178</v>
      </c>
      <c r="D1292">
        <f t="shared" si="564"/>
        <v>3</v>
      </c>
      <c r="E1292" s="42">
        <f t="shared" ca="1" si="583"/>
        <v>28</v>
      </c>
      <c r="F1292" t="str">
        <f t="shared" ca="1" si="584"/>
        <v>第15级，共造成229.2%点伤害</v>
      </c>
      <c r="G1292">
        <f t="shared" ca="1" si="565"/>
        <v>1</v>
      </c>
      <c r="H1292">
        <f t="shared" si="566"/>
        <v>1</v>
      </c>
      <c r="I1292" s="44">
        <f t="shared" ca="1" si="567"/>
        <v>15</v>
      </c>
      <c r="J1292">
        <f t="shared" si="568"/>
        <v>1</v>
      </c>
      <c r="K1292" s="36">
        <f t="shared" ca="1" si="569"/>
        <v>25.464285714285715</v>
      </c>
      <c r="L1292" s="10">
        <f ca="1">AH1292*VLOOKUP(C1292,技能辅助查询表,技能配置辅助表!$T$1,FALSE)</f>
        <v>0</v>
      </c>
      <c r="M1292">
        <f t="shared" ca="1" si="581"/>
        <v>8500</v>
      </c>
      <c r="N1292" s="33">
        <f ca="1">CHOOSE(1,W1292*U1292,X1292*'[1]0、经济设定'!$C$18)</f>
        <v>8860</v>
      </c>
      <c r="O1292">
        <f t="shared" si="570"/>
        <v>3</v>
      </c>
      <c r="P1292">
        <f t="shared" si="571"/>
        <v>9</v>
      </c>
      <c r="Q1292">
        <f t="shared" si="572"/>
        <v>1</v>
      </c>
      <c r="R1292" s="2">
        <f t="shared" si="573"/>
        <v>5</v>
      </c>
      <c r="S1292" s="2">
        <f t="shared" si="574"/>
        <v>50</v>
      </c>
      <c r="T1292" s="2">
        <f t="shared" si="575"/>
        <v>22.142857142857142</v>
      </c>
      <c r="U1292" s="2">
        <f ca="1">VLOOKUP(E1292,金币生产率!$A$2:$B$120,2,0)</f>
        <v>443</v>
      </c>
      <c r="V1292" s="2">
        <f t="shared" si="576"/>
        <v>199.28571428571428</v>
      </c>
      <c r="W1292" s="45">
        <f t="shared" ca="1" si="588"/>
        <v>20</v>
      </c>
      <c r="X1292" s="48">
        <f t="shared" ca="1" si="589"/>
        <v>202</v>
      </c>
      <c r="Y1292">
        <f t="shared" si="582"/>
        <v>18</v>
      </c>
      <c r="Z1292">
        <f t="shared" ca="1" si="585"/>
        <v>0</v>
      </c>
      <c r="AA1292" t="str">
        <f t="shared" ca="1" si="577"/>
        <v>9313100.png</v>
      </c>
      <c r="AB1292">
        <f t="shared" si="578"/>
        <v>2</v>
      </c>
      <c r="AC1292">
        <f>VLOOKUP(C1292,技能辅助查询表,技能配置辅助表!$W$1,FALSE)</f>
        <v>5321</v>
      </c>
      <c r="AD1292">
        <f t="shared" ca="1" si="586"/>
        <v>20.958789309255952</v>
      </c>
      <c r="AE1292">
        <f>VLOOKUP(C1292,技能辅助查询表,技能配置辅助表!$U$1,FALSE)</f>
        <v>1</v>
      </c>
      <c r="AF1292">
        <f t="shared" ca="1" si="579"/>
        <v>9313115</v>
      </c>
      <c r="AG1292">
        <f t="shared" ca="1" si="580"/>
        <v>26.428571428571427</v>
      </c>
      <c r="AH1292">
        <f t="shared" ca="1" si="587"/>
        <v>81.123320522417259</v>
      </c>
      <c r="AI1292">
        <f ca="1">VLOOKUP(E1292,伤害参考系!$C$4:$E$104,3,FALSE)*$AN$12</f>
        <v>1321.7693779264216</v>
      </c>
      <c r="AJ1292">
        <f>VLOOKUP(C1292,技能辅助查询表,技能配置辅助表!$L$1,FALSE)</f>
        <v>9</v>
      </c>
      <c r="AK1292">
        <f>VLOOKUP(C1292,技能辅助查询表,技能配置辅助表!$AE$1,FALSE)</f>
        <v>66000526</v>
      </c>
    </row>
    <row r="1293" spans="1:37" x14ac:dyDescent="0.15">
      <c r="A1293" s="1">
        <f t="shared" ca="1" si="562"/>
        <v>9313116</v>
      </c>
      <c r="B1293" s="1" t="str">
        <f t="shared" ca="1" si="563"/>
        <v>聚能手雷</v>
      </c>
      <c r="C1293" t="s">
        <v>178</v>
      </c>
      <c r="D1293">
        <f t="shared" si="564"/>
        <v>3</v>
      </c>
      <c r="E1293" s="42">
        <f t="shared" ca="1" si="583"/>
        <v>29</v>
      </c>
      <c r="F1293" t="str">
        <f t="shared" ca="1" si="584"/>
        <v>第16级，共造成231.2%点伤害</v>
      </c>
      <c r="G1293">
        <f t="shared" ca="1" si="565"/>
        <v>1</v>
      </c>
      <c r="H1293">
        <f t="shared" si="566"/>
        <v>1</v>
      </c>
      <c r="I1293" s="44">
        <f t="shared" ca="1" si="567"/>
        <v>16</v>
      </c>
      <c r="J1293">
        <f t="shared" si="568"/>
        <v>1</v>
      </c>
      <c r="K1293" s="36">
        <f t="shared" ca="1" si="569"/>
        <v>25.685714285714283</v>
      </c>
      <c r="L1293" s="10">
        <f ca="1">AH1293*VLOOKUP(C1293,技能辅助查询表,技能配置辅助表!$T$1,FALSE)</f>
        <v>0</v>
      </c>
      <c r="M1293">
        <f t="shared" ca="1" si="581"/>
        <v>8400</v>
      </c>
      <c r="N1293" s="33">
        <f ca="1">CHOOSE(1,W1293*U1293,X1293*'[1]0、经济设定'!$C$18)</f>
        <v>10604</v>
      </c>
      <c r="O1293">
        <f t="shared" si="570"/>
        <v>3</v>
      </c>
      <c r="P1293">
        <f t="shared" si="571"/>
        <v>9</v>
      </c>
      <c r="Q1293">
        <f t="shared" si="572"/>
        <v>1</v>
      </c>
      <c r="R1293" s="2">
        <f t="shared" si="573"/>
        <v>5</v>
      </c>
      <c r="S1293" s="2">
        <f t="shared" si="574"/>
        <v>50</v>
      </c>
      <c r="T1293" s="2">
        <f t="shared" si="575"/>
        <v>22.142857142857142</v>
      </c>
      <c r="U1293" s="2">
        <f ca="1">VLOOKUP(E1293,金币生产率!$A$2:$B$120,2,0)</f>
        <v>482</v>
      </c>
      <c r="V1293" s="2">
        <f t="shared" si="576"/>
        <v>199.28571428571428</v>
      </c>
      <c r="W1293" s="45">
        <f t="shared" ca="1" si="588"/>
        <v>22</v>
      </c>
      <c r="X1293" s="48">
        <f t="shared" ca="1" si="589"/>
        <v>224</v>
      </c>
      <c r="Y1293">
        <f t="shared" si="582"/>
        <v>18</v>
      </c>
      <c r="Z1293">
        <f t="shared" ca="1" si="585"/>
        <v>0</v>
      </c>
      <c r="AA1293" t="str">
        <f t="shared" ca="1" si="577"/>
        <v>9313100.png</v>
      </c>
      <c r="AB1293">
        <f t="shared" si="578"/>
        <v>2</v>
      </c>
      <c r="AC1293">
        <f>VLOOKUP(C1293,技能辅助查询表,技能配置辅助表!$W$1,FALSE)</f>
        <v>5321</v>
      </c>
      <c r="AD1293">
        <f t="shared" ca="1" si="586"/>
        <v>24.229416596503437</v>
      </c>
      <c r="AE1293">
        <f>VLOOKUP(C1293,技能辅助查询表,技能配置辅助表!$U$1,FALSE)</f>
        <v>1</v>
      </c>
      <c r="AF1293">
        <f t="shared" ca="1" si="579"/>
        <v>9313116</v>
      </c>
      <c r="AG1293">
        <f t="shared" ca="1" si="580"/>
        <v>27.959183673469386</v>
      </c>
      <c r="AH1293">
        <f t="shared" ca="1" si="587"/>
        <v>92.357828455414989</v>
      </c>
      <c r="AI1293">
        <f ca="1">VLOOKUP(E1293,伤害参考系!$C$4:$E$104,3,FALSE)*$AN$12</f>
        <v>1437.1617717391309</v>
      </c>
      <c r="AJ1293">
        <f>VLOOKUP(C1293,技能辅助查询表,技能配置辅助表!$L$1,FALSE)</f>
        <v>9</v>
      </c>
      <c r="AK1293">
        <f>VLOOKUP(C1293,技能辅助查询表,技能配置辅助表!$AE$1,FALSE)</f>
        <v>66000526</v>
      </c>
    </row>
    <row r="1294" spans="1:37" x14ac:dyDescent="0.15">
      <c r="A1294" s="1">
        <f t="shared" ca="1" si="562"/>
        <v>9313117</v>
      </c>
      <c r="B1294" s="1" t="str">
        <f t="shared" ca="1" si="563"/>
        <v>聚能手雷</v>
      </c>
      <c r="C1294" t="s">
        <v>178</v>
      </c>
      <c r="D1294">
        <f t="shared" si="564"/>
        <v>3</v>
      </c>
      <c r="E1294" s="42">
        <f t="shared" ca="1" si="583"/>
        <v>31</v>
      </c>
      <c r="F1294" t="str">
        <f t="shared" ca="1" si="584"/>
        <v>第17级，共造成233.2%点伤害</v>
      </c>
      <c r="G1294">
        <f t="shared" ca="1" si="565"/>
        <v>1</v>
      </c>
      <c r="H1294">
        <f t="shared" si="566"/>
        <v>1</v>
      </c>
      <c r="I1294" s="44">
        <f t="shared" ca="1" si="567"/>
        <v>17</v>
      </c>
      <c r="J1294">
        <f t="shared" si="568"/>
        <v>1</v>
      </c>
      <c r="K1294" s="36">
        <f t="shared" ca="1" si="569"/>
        <v>25.907142857142858</v>
      </c>
      <c r="L1294" s="10">
        <f ca="1">AH1294*VLOOKUP(C1294,技能辅助查询表,技能配置辅助表!$T$1,FALSE)</f>
        <v>0</v>
      </c>
      <c r="M1294">
        <f t="shared" ca="1" si="581"/>
        <v>8300</v>
      </c>
      <c r="N1294" s="33">
        <f ca="1">CHOOSE(1,W1294*U1294,X1294*'[1]0、经济设定'!$C$18)</f>
        <v>13512</v>
      </c>
      <c r="O1294">
        <f t="shared" si="570"/>
        <v>3</v>
      </c>
      <c r="P1294">
        <f t="shared" si="571"/>
        <v>9</v>
      </c>
      <c r="Q1294">
        <f t="shared" si="572"/>
        <v>1</v>
      </c>
      <c r="R1294" s="2">
        <f t="shared" si="573"/>
        <v>5</v>
      </c>
      <c r="S1294" s="2">
        <f t="shared" si="574"/>
        <v>50</v>
      </c>
      <c r="T1294" s="2">
        <f t="shared" si="575"/>
        <v>22.142857142857142</v>
      </c>
      <c r="U1294" s="2">
        <f ca="1">VLOOKUP(E1294,金币生产率!$A$2:$B$120,2,0)</f>
        <v>563</v>
      </c>
      <c r="V1294" s="2">
        <f t="shared" si="576"/>
        <v>199.28571428571428</v>
      </c>
      <c r="W1294" s="45">
        <f t="shared" ca="1" si="588"/>
        <v>24</v>
      </c>
      <c r="X1294" s="48">
        <f t="shared" ca="1" si="589"/>
        <v>248</v>
      </c>
      <c r="Y1294">
        <f t="shared" si="582"/>
        <v>18</v>
      </c>
      <c r="Z1294">
        <f t="shared" ca="1" si="585"/>
        <v>0</v>
      </c>
      <c r="AA1294" t="str">
        <f t="shared" ca="1" si="577"/>
        <v>9313100.png</v>
      </c>
      <c r="AB1294">
        <f t="shared" si="578"/>
        <v>2</v>
      </c>
      <c r="AC1294">
        <f>VLOOKUP(C1294,技能辅助查询表,技能配置辅助表!$W$1,FALSE)</f>
        <v>5321</v>
      </c>
      <c r="AD1294">
        <f t="shared" ca="1" si="586"/>
        <v>28.003961181327007</v>
      </c>
      <c r="AE1294">
        <f>VLOOKUP(C1294,技能辅助查询表,技能配置辅助表!$U$1,FALSE)</f>
        <v>1</v>
      </c>
      <c r="AF1294">
        <f t="shared" ca="1" si="579"/>
        <v>9313117</v>
      </c>
      <c r="AG1294">
        <f t="shared" ca="1" si="580"/>
        <v>29.489795918367346</v>
      </c>
      <c r="AH1294">
        <f t="shared" ca="1" si="587"/>
        <v>105.14816728492683</v>
      </c>
      <c r="AI1294">
        <f ca="1">VLOOKUP(E1294,伤害参考系!$C$4:$E$104,3,FALSE)*$AN$12</f>
        <v>1721.3320384615388</v>
      </c>
      <c r="AJ1294">
        <f>VLOOKUP(C1294,技能辅助查询表,技能配置辅助表!$L$1,FALSE)</f>
        <v>9</v>
      </c>
      <c r="AK1294">
        <f>VLOOKUP(C1294,技能辅助查询表,技能配置辅助表!$AE$1,FALSE)</f>
        <v>66000526</v>
      </c>
    </row>
    <row r="1295" spans="1:37" x14ac:dyDescent="0.15">
      <c r="A1295" s="1">
        <f t="shared" ca="1" si="562"/>
        <v>9313118</v>
      </c>
      <c r="B1295" s="1" t="str">
        <f t="shared" ca="1" si="563"/>
        <v>聚能手雷</v>
      </c>
      <c r="C1295" t="s">
        <v>178</v>
      </c>
      <c r="D1295">
        <f t="shared" si="564"/>
        <v>3</v>
      </c>
      <c r="E1295" s="42">
        <f t="shared" ca="1" si="583"/>
        <v>32</v>
      </c>
      <c r="F1295" t="str">
        <f t="shared" ca="1" si="584"/>
        <v>第18级，共造成235.2%点伤害</v>
      </c>
      <c r="G1295">
        <f t="shared" ca="1" si="565"/>
        <v>1</v>
      </c>
      <c r="H1295">
        <f t="shared" si="566"/>
        <v>1</v>
      </c>
      <c r="I1295" s="44">
        <f t="shared" ca="1" si="567"/>
        <v>18</v>
      </c>
      <c r="J1295">
        <f t="shared" si="568"/>
        <v>1</v>
      </c>
      <c r="K1295" s="36">
        <f t="shared" ca="1" si="569"/>
        <v>26.128571428571426</v>
      </c>
      <c r="L1295" s="10">
        <f ca="1">AH1295*VLOOKUP(C1295,技能辅助查询表,技能配置辅助表!$T$1,FALSE)</f>
        <v>0</v>
      </c>
      <c r="M1295">
        <f t="shared" ca="1" si="581"/>
        <v>8200</v>
      </c>
      <c r="N1295" s="33">
        <f ca="1">CHOOSE(1,W1295*U1295,X1295*'[1]0、经济设定'!$C$18)</f>
        <v>15150</v>
      </c>
      <c r="O1295">
        <f t="shared" si="570"/>
        <v>3</v>
      </c>
      <c r="P1295">
        <f t="shared" si="571"/>
        <v>9</v>
      </c>
      <c r="Q1295">
        <f t="shared" si="572"/>
        <v>1</v>
      </c>
      <c r="R1295" s="2">
        <f t="shared" si="573"/>
        <v>5</v>
      </c>
      <c r="S1295" s="2">
        <f t="shared" si="574"/>
        <v>50</v>
      </c>
      <c r="T1295" s="2">
        <f t="shared" si="575"/>
        <v>22.142857142857142</v>
      </c>
      <c r="U1295" s="2">
        <f ca="1">VLOOKUP(E1295,金币生产率!$A$2:$B$120,2,0)</f>
        <v>606</v>
      </c>
      <c r="V1295" s="2">
        <f t="shared" si="576"/>
        <v>199.28571428571428</v>
      </c>
      <c r="W1295" s="45">
        <f t="shared" ca="1" si="588"/>
        <v>25</v>
      </c>
      <c r="X1295" s="48">
        <f t="shared" ca="1" si="589"/>
        <v>273</v>
      </c>
      <c r="Y1295">
        <f t="shared" si="582"/>
        <v>18</v>
      </c>
      <c r="Z1295">
        <f t="shared" ca="1" si="585"/>
        <v>10</v>
      </c>
      <c r="AA1295" t="str">
        <f t="shared" ca="1" si="577"/>
        <v>9313100.png</v>
      </c>
      <c r="AB1295">
        <f t="shared" si="578"/>
        <v>2</v>
      </c>
      <c r="AC1295">
        <f>VLOOKUP(C1295,技能辅助查询表,技能配置辅助表!$W$1,FALSE)</f>
        <v>5321</v>
      </c>
      <c r="AD1295">
        <f t="shared" ca="1" si="586"/>
        <v>32.359268818187346</v>
      </c>
      <c r="AE1295">
        <f>VLOOKUP(C1295,技能辅助查询表,技能配置辅助表!$U$1,FALSE)</f>
        <v>1</v>
      </c>
      <c r="AF1295">
        <f t="shared" ca="1" si="579"/>
        <v>9313118</v>
      </c>
      <c r="AG1295">
        <f t="shared" ca="1" si="580"/>
        <v>31.020408163265305</v>
      </c>
      <c r="AH1295">
        <f t="shared" ca="1" si="587"/>
        <v>119.70979903145096</v>
      </c>
      <c r="AI1295">
        <f ca="1">VLOOKUP(E1295,伤害参考系!$C$4:$E$104,3,FALSE)*$AN$12</f>
        <v>1873.3990785953181</v>
      </c>
      <c r="AJ1295">
        <f>VLOOKUP(C1295,技能辅助查询表,技能配置辅助表!$L$1,FALSE)</f>
        <v>9</v>
      </c>
      <c r="AK1295">
        <f>VLOOKUP(C1295,技能辅助查询表,技能配置辅助表!$AE$1,FALSE)</f>
        <v>66000526</v>
      </c>
    </row>
    <row r="1296" spans="1:37" x14ac:dyDescent="0.15">
      <c r="A1296" s="1">
        <f t="shared" ca="1" si="562"/>
        <v>9313119</v>
      </c>
      <c r="B1296" s="1" t="str">
        <f t="shared" ca="1" si="563"/>
        <v>聚能手雷</v>
      </c>
      <c r="C1296" t="s">
        <v>178</v>
      </c>
      <c r="D1296">
        <f t="shared" si="564"/>
        <v>3</v>
      </c>
      <c r="E1296" s="42">
        <f t="shared" ca="1" si="583"/>
        <v>34</v>
      </c>
      <c r="F1296" t="str">
        <f t="shared" ca="1" si="584"/>
        <v>第19级，共造成237.2%点伤害</v>
      </c>
      <c r="G1296">
        <f t="shared" ca="1" si="565"/>
        <v>1</v>
      </c>
      <c r="H1296">
        <f t="shared" si="566"/>
        <v>1</v>
      </c>
      <c r="I1296" s="44">
        <f t="shared" ca="1" si="567"/>
        <v>19</v>
      </c>
      <c r="J1296">
        <f t="shared" si="568"/>
        <v>1</v>
      </c>
      <c r="K1296" s="36">
        <f t="shared" ca="1" si="569"/>
        <v>26.35</v>
      </c>
      <c r="L1296" s="10">
        <f ca="1">AH1296*VLOOKUP(C1296,技能辅助查询表,技能配置辅助表!$T$1,FALSE)</f>
        <v>0</v>
      </c>
      <c r="M1296">
        <f t="shared" ca="1" si="581"/>
        <v>8100</v>
      </c>
      <c r="N1296" s="33">
        <f ca="1">CHOOSE(1,W1296*U1296,X1296*'[1]0、经济设定'!$C$18)</f>
        <v>18792</v>
      </c>
      <c r="O1296">
        <f t="shared" si="570"/>
        <v>3</v>
      </c>
      <c r="P1296">
        <f t="shared" si="571"/>
        <v>9</v>
      </c>
      <c r="Q1296">
        <f t="shared" si="572"/>
        <v>1</v>
      </c>
      <c r="R1296" s="2">
        <f t="shared" si="573"/>
        <v>5</v>
      </c>
      <c r="S1296" s="2">
        <f t="shared" si="574"/>
        <v>50</v>
      </c>
      <c r="T1296" s="2">
        <f t="shared" si="575"/>
        <v>22.142857142857142</v>
      </c>
      <c r="U1296" s="2">
        <f ca="1">VLOOKUP(E1296,金币生产率!$A$2:$B$120,2,0)</f>
        <v>696</v>
      </c>
      <c r="V1296" s="2">
        <f t="shared" si="576"/>
        <v>199.28571428571428</v>
      </c>
      <c r="W1296" s="45">
        <f t="shared" ca="1" si="588"/>
        <v>27</v>
      </c>
      <c r="X1296" s="48">
        <f t="shared" ca="1" si="589"/>
        <v>300</v>
      </c>
      <c r="Y1296">
        <f t="shared" si="582"/>
        <v>18</v>
      </c>
      <c r="Z1296">
        <f t="shared" ca="1" si="585"/>
        <v>11</v>
      </c>
      <c r="AA1296" t="str">
        <f t="shared" ca="1" si="577"/>
        <v>9313100.png</v>
      </c>
      <c r="AB1296">
        <f t="shared" si="578"/>
        <v>2</v>
      </c>
      <c r="AC1296">
        <f>VLOOKUP(C1296,技能辅助查询表,技能配置辅助表!$W$1,FALSE)</f>
        <v>5321</v>
      </c>
      <c r="AD1296">
        <f t="shared" ca="1" si="586"/>
        <v>37.383805081459961</v>
      </c>
      <c r="AE1296">
        <f>VLOOKUP(C1296,技能辅助查询表,技能配置辅助表!$U$1,FALSE)</f>
        <v>1</v>
      </c>
      <c r="AF1296">
        <f t="shared" ca="1" si="579"/>
        <v>9313119</v>
      </c>
      <c r="AG1296">
        <f t="shared" ca="1" si="580"/>
        <v>32.551020408163268</v>
      </c>
      <c r="AH1296">
        <f t="shared" ca="1" si="587"/>
        <v>136.28802435822078</v>
      </c>
      <c r="AI1296">
        <f ca="1">VLOOKUP(E1296,伤害参考系!$C$4:$E$104,3,FALSE)*$AN$12</f>
        <v>2196.2761028428095</v>
      </c>
      <c r="AJ1296">
        <f>VLOOKUP(C1296,技能辅助查询表,技能配置辅助表!$L$1,FALSE)</f>
        <v>9</v>
      </c>
      <c r="AK1296">
        <f>VLOOKUP(C1296,技能辅助查询表,技能配置辅助表!$AE$1,FALSE)</f>
        <v>66000526</v>
      </c>
    </row>
    <row r="1297" spans="1:37" x14ac:dyDescent="0.15">
      <c r="A1297" s="1">
        <f t="shared" ca="1" si="562"/>
        <v>9313120</v>
      </c>
      <c r="B1297" s="1" t="str">
        <f t="shared" ca="1" si="563"/>
        <v>聚能手雷</v>
      </c>
      <c r="C1297" t="s">
        <v>178</v>
      </c>
      <c r="D1297">
        <f t="shared" si="564"/>
        <v>3</v>
      </c>
      <c r="E1297" s="42">
        <f t="shared" ca="1" si="583"/>
        <v>35</v>
      </c>
      <c r="F1297" t="str">
        <f t="shared" ca="1" si="584"/>
        <v>第20级，共造成239.1%点伤害</v>
      </c>
      <c r="G1297">
        <f t="shared" ca="1" si="565"/>
        <v>1</v>
      </c>
      <c r="H1297">
        <f t="shared" si="566"/>
        <v>1</v>
      </c>
      <c r="I1297" s="44">
        <f t="shared" ca="1" si="567"/>
        <v>20</v>
      </c>
      <c r="J1297">
        <f t="shared" si="568"/>
        <v>1</v>
      </c>
      <c r="K1297" s="36">
        <f t="shared" ca="1" si="569"/>
        <v>26.571428571428569</v>
      </c>
      <c r="L1297" s="10">
        <f ca="1">AH1297*VLOOKUP(C1297,技能辅助查询表,技能配置辅助表!$T$1,FALSE)</f>
        <v>0</v>
      </c>
      <c r="M1297">
        <f t="shared" ca="1" si="581"/>
        <v>8000</v>
      </c>
      <c r="N1297" s="33">
        <f ca="1">CHOOSE(1,W1297*U1297,X1297*'[1]0、经济设定'!$C$18)</f>
        <v>21547</v>
      </c>
      <c r="O1297">
        <f t="shared" si="570"/>
        <v>3</v>
      </c>
      <c r="P1297">
        <f t="shared" si="571"/>
        <v>9</v>
      </c>
      <c r="Q1297">
        <f t="shared" si="572"/>
        <v>1</v>
      </c>
      <c r="R1297" s="2">
        <f t="shared" si="573"/>
        <v>5</v>
      </c>
      <c r="S1297" s="2">
        <f t="shared" si="574"/>
        <v>50</v>
      </c>
      <c r="T1297" s="2">
        <f t="shared" si="575"/>
        <v>22.142857142857142</v>
      </c>
      <c r="U1297" s="2">
        <f ca="1">VLOOKUP(E1297,金币生产率!$A$2:$B$120,2,0)</f>
        <v>743</v>
      </c>
      <c r="V1297" s="2">
        <f t="shared" si="576"/>
        <v>199.28571428571428</v>
      </c>
      <c r="W1297" s="45">
        <f t="shared" ca="1" si="588"/>
        <v>29</v>
      </c>
      <c r="X1297" s="48">
        <f t="shared" ca="1" si="589"/>
        <v>329</v>
      </c>
      <c r="Y1297">
        <f t="shared" si="582"/>
        <v>18</v>
      </c>
      <c r="Z1297">
        <f t="shared" ca="1" si="585"/>
        <v>12</v>
      </c>
      <c r="AA1297" t="str">
        <f t="shared" ca="1" si="577"/>
        <v>9313100.png</v>
      </c>
      <c r="AB1297">
        <f t="shared" si="578"/>
        <v>2</v>
      </c>
      <c r="AC1297">
        <f>VLOOKUP(C1297,技能辅助查询表,技能配置辅助表!$W$1,FALSE)</f>
        <v>5321</v>
      </c>
      <c r="AD1297">
        <f t="shared" ca="1" si="586"/>
        <v>43.179399955252798</v>
      </c>
      <c r="AE1297">
        <f>VLOOKUP(C1297,技能辅助查询表,技能配置辅助表!$U$1,FALSE)</f>
        <v>1</v>
      </c>
      <c r="AF1297">
        <f t="shared" ca="1" si="579"/>
        <v>9313120</v>
      </c>
      <c r="AG1297">
        <f t="shared" ca="1" si="580"/>
        <v>34.08163265306122</v>
      </c>
      <c r="AH1297">
        <f t="shared" ca="1" si="587"/>
        <v>155.16211482893718</v>
      </c>
      <c r="AI1297">
        <f ca="1">VLOOKUP(E1297,伤害参考系!$C$4:$E$104,3,FALSE)*$AN$12</f>
        <v>2367.0860869565217</v>
      </c>
      <c r="AJ1297">
        <f>VLOOKUP(C1297,技能辅助查询表,技能配置辅助表!$L$1,FALSE)</f>
        <v>9</v>
      </c>
      <c r="AK1297">
        <f>VLOOKUP(C1297,技能辅助查询表,技能配置辅助表!$AE$1,FALSE)</f>
        <v>66000526</v>
      </c>
    </row>
    <row r="1298" spans="1:37" x14ac:dyDescent="0.15">
      <c r="A1298" s="1">
        <f t="shared" ca="1" si="562"/>
        <v>9313121</v>
      </c>
      <c r="B1298" s="1" t="str">
        <f t="shared" ca="1" si="563"/>
        <v>聚能手雷</v>
      </c>
      <c r="C1298" t="s">
        <v>178</v>
      </c>
      <c r="D1298">
        <f t="shared" si="564"/>
        <v>3</v>
      </c>
      <c r="E1298" s="42">
        <f t="shared" ca="1" si="583"/>
        <v>37</v>
      </c>
      <c r="F1298" t="str">
        <f t="shared" ca="1" si="584"/>
        <v>第21级，共造成241.1%点伤害</v>
      </c>
      <c r="G1298">
        <f t="shared" ca="1" si="565"/>
        <v>1</v>
      </c>
      <c r="H1298">
        <f t="shared" si="566"/>
        <v>1</v>
      </c>
      <c r="I1298" s="44">
        <f t="shared" ca="1" si="567"/>
        <v>21</v>
      </c>
      <c r="J1298">
        <f t="shared" si="568"/>
        <v>1</v>
      </c>
      <c r="K1298" s="36">
        <f t="shared" ca="1" si="569"/>
        <v>26.792857142857141</v>
      </c>
      <c r="L1298" s="10">
        <f ca="1">AH1298*VLOOKUP(C1298,技能辅助查询表,技能配置辅助表!$T$1,FALSE)</f>
        <v>0</v>
      </c>
      <c r="M1298">
        <f t="shared" ca="1" si="581"/>
        <v>7900</v>
      </c>
      <c r="N1298" s="33">
        <f ca="1">CHOOSE(1,W1298*U1298,X1298*'[1]0、经济设定'!$C$18)</f>
        <v>26071</v>
      </c>
      <c r="O1298">
        <f t="shared" si="570"/>
        <v>3</v>
      </c>
      <c r="P1298">
        <f t="shared" si="571"/>
        <v>9</v>
      </c>
      <c r="Q1298">
        <f t="shared" si="572"/>
        <v>1</v>
      </c>
      <c r="R1298" s="2">
        <f t="shared" si="573"/>
        <v>5</v>
      </c>
      <c r="S1298" s="2">
        <f t="shared" si="574"/>
        <v>50</v>
      </c>
      <c r="T1298" s="2">
        <f t="shared" si="575"/>
        <v>22.142857142857142</v>
      </c>
      <c r="U1298" s="2">
        <f ca="1">VLOOKUP(E1298,金币生产率!$A$2:$B$120,2,0)</f>
        <v>841</v>
      </c>
      <c r="V1298" s="2">
        <f t="shared" si="576"/>
        <v>199.28571428571428</v>
      </c>
      <c r="W1298" s="45">
        <f t="shared" ca="1" si="588"/>
        <v>31</v>
      </c>
      <c r="X1298" s="48">
        <f t="shared" ca="1" si="589"/>
        <v>360</v>
      </c>
      <c r="Y1298">
        <f t="shared" si="582"/>
        <v>18</v>
      </c>
      <c r="Z1298">
        <f t="shared" ca="1" si="585"/>
        <v>13</v>
      </c>
      <c r="AA1298" t="str">
        <f t="shared" ca="1" si="577"/>
        <v>9313100.png</v>
      </c>
      <c r="AB1298">
        <f t="shared" si="578"/>
        <v>2</v>
      </c>
      <c r="AC1298">
        <f>VLOOKUP(C1298,技能辅助查询表,技能配置辅助表!$W$1,FALSE)</f>
        <v>5321</v>
      </c>
      <c r="AD1298">
        <f t="shared" ca="1" si="586"/>
        <v>49.863252776736822</v>
      </c>
      <c r="AE1298">
        <f>VLOOKUP(C1298,技能辅助查询表,技能配置辅助表!$U$1,FALSE)</f>
        <v>1</v>
      </c>
      <c r="AF1298">
        <f t="shared" ca="1" si="579"/>
        <v>9313121</v>
      </c>
      <c r="AG1298">
        <f t="shared" ca="1" si="580"/>
        <v>35.612244897959187</v>
      </c>
      <c r="AH1298">
        <f t="shared" ca="1" si="587"/>
        <v>176.65001742859343</v>
      </c>
      <c r="AI1298">
        <f ca="1">VLOOKUP(E1298,伤害参考系!$C$4:$E$104,3,FALSE)*$AN$12</f>
        <v>2727.4489991638798</v>
      </c>
      <c r="AJ1298">
        <f>VLOOKUP(C1298,技能辅助查询表,技能配置辅助表!$L$1,FALSE)</f>
        <v>9</v>
      </c>
      <c r="AK1298">
        <f>VLOOKUP(C1298,技能辅助查询表,技能配置辅助表!$AE$1,FALSE)</f>
        <v>66000526</v>
      </c>
    </row>
    <row r="1299" spans="1:37" x14ac:dyDescent="0.15">
      <c r="A1299" s="1">
        <f t="shared" ref="A1299:A1362" ca="1" si="590">IF(I1299=0,IF(H1299=1,VALUE("9"&amp;D1299&amp;J1299&amp;O1299&amp;G1299&amp;IF(I1299&gt;9,I1299,"0"&amp;I1299)),1),VALUE("9"&amp;D1299&amp;J1299&amp;O1299&amp;G1299&amp;IF(I1299&gt;9,I1299,"0"&amp;I1299)))</f>
        <v>9313122</v>
      </c>
      <c r="B1299" s="1" t="str">
        <f t="shared" ref="B1299:B1362" ca="1" si="591">IF(AND(G1299=0,AE1299=4),LEFT(C1299,LEN(C1299)-3),C1299)</f>
        <v>聚能手雷</v>
      </c>
      <c r="C1299" t="s">
        <v>178</v>
      </c>
      <c r="D1299">
        <f t="shared" ref="D1299:D1362" si="592">VLOOKUP(C1299,技能辅助查询表,3,FALSE)</f>
        <v>3</v>
      </c>
      <c r="E1299" s="42">
        <f t="shared" ca="1" si="583"/>
        <v>38</v>
      </c>
      <c r="F1299" t="str">
        <f t="shared" ca="1" si="584"/>
        <v>第22级，共造成243.1%点伤害</v>
      </c>
      <c r="G1299">
        <f t="shared" ref="G1299:G1362" ca="1" si="593">IF(I1299=0,0,H1299)</f>
        <v>1</v>
      </c>
      <c r="H1299">
        <f t="shared" ref="H1299:H1362" si="594">VLOOKUP(C1299,技能辅助查询表,2,FALSE)</f>
        <v>1</v>
      </c>
      <c r="I1299" s="44">
        <f t="shared" ref="I1299:I1362" ca="1" si="595">IF(OFFSET(C1299,-1,0)=C1299,I1298+1,0)</f>
        <v>22</v>
      </c>
      <c r="J1299">
        <f t="shared" ref="J1299:J1362" si="596">VLOOKUP(C1299,技能辅助查询表,4,FALSE)</f>
        <v>1</v>
      </c>
      <c r="K1299" s="36">
        <f t="shared" ref="K1299:K1362" ca="1" si="597">IF(OR(I1299=0,I1299=1),T1299,T1299+T1299*($AN$6-1)/S1299*I1299)</f>
        <v>27.014285714285712</v>
      </c>
      <c r="L1299" s="39">
        <f ca="1">AH1299*VLOOKUP(C1299,技能辅助查询表,技能配置辅助表!$T$1,FALSE)</f>
        <v>0</v>
      </c>
      <c r="M1299">
        <f t="shared" ca="1" si="581"/>
        <v>7800</v>
      </c>
      <c r="N1299" s="33">
        <f ca="1">CHOOSE(1,W1299*U1299,X1299*'[1]0、经济设定'!$C$18)</f>
        <v>29436</v>
      </c>
      <c r="O1299">
        <f t="shared" ref="O1299:O1362" si="598">VLOOKUP(C1299,技能辅助查询表,5,FALSE)</f>
        <v>3</v>
      </c>
      <c r="P1299">
        <f t="shared" ref="P1299:P1362" si="599">VLOOKUP(C1299,技能辅助查询表,6,FALSE)</f>
        <v>9</v>
      </c>
      <c r="Q1299">
        <f t="shared" ref="Q1299:Q1362" si="600">VLOOKUP(C1299,技能辅助查询表,7,FALSE)</f>
        <v>1</v>
      </c>
      <c r="R1299" s="2">
        <f t="shared" ref="R1299:R1362" si="601">VLOOKUP(C1299,技能辅助查询表,9,FALSE)</f>
        <v>5</v>
      </c>
      <c r="S1299" s="2">
        <f t="shared" ref="S1299:S1362" si="602">VLOOKUP(C1299,技能辅助查询表,8,FALSE)</f>
        <v>50</v>
      </c>
      <c r="T1299" s="2">
        <f t="shared" ref="T1299:T1362" si="603">VLOOKUP(C1299,技能辅助查询表,11,FALSE)</f>
        <v>22.142857142857142</v>
      </c>
      <c r="U1299" s="2">
        <f ca="1">VLOOKUP(E1299,金币生产率!$A$2:$B$120,2,0)</f>
        <v>892</v>
      </c>
      <c r="V1299" s="2">
        <f t="shared" ref="V1299:V1362" si="604">VLOOKUP(C1299,技能辅助查询表,12,FALSE)</f>
        <v>199.28571428571428</v>
      </c>
      <c r="W1299" s="45">
        <f t="shared" ca="1" si="588"/>
        <v>33</v>
      </c>
      <c r="X1299" s="48">
        <f t="shared" ca="1" si="589"/>
        <v>393</v>
      </c>
      <c r="Y1299">
        <f t="shared" si="582"/>
        <v>18</v>
      </c>
      <c r="Z1299">
        <f t="shared" ca="1" si="585"/>
        <v>14</v>
      </c>
      <c r="AA1299" t="str">
        <f t="shared" ref="AA1299:AA1362" ca="1" si="605">AF1299-MOD(AF1299,100)&amp;".png"</f>
        <v>9313100.png</v>
      </c>
      <c r="AB1299">
        <f t="shared" ref="AB1299:AB1362" si="606">VLOOKUP(C1299,技能辅助查询表,17,FALSE)</f>
        <v>2</v>
      </c>
      <c r="AC1299">
        <f>VLOOKUP(C1299,技能辅助查询表,技能配置辅助表!$W$1,FALSE)</f>
        <v>5321</v>
      </c>
      <c r="AD1299">
        <f t="shared" ca="1" si="586"/>
        <v>57.570236185258999</v>
      </c>
      <c r="AE1299">
        <f>VLOOKUP(C1299,技能辅助查询表,技能配置辅助表!$U$1,FALSE)</f>
        <v>1</v>
      </c>
      <c r="AF1299">
        <f t="shared" ref="AF1299:AF1362" ca="1" si="607">VALUE("9"&amp;D1299&amp;J1299&amp;O1299&amp;H1299&amp;IF(I1299&gt;9,I1299,"0"&amp;I1299))</f>
        <v>9313122</v>
      </c>
      <c r="AG1299">
        <f t="shared" ref="AG1299:AG1362" ca="1" si="608">IF(I1299=1,R1299,IF(I1299=0,0,(I1299-1)*(80-R1299)/(S1299-1)+R1299))</f>
        <v>37.142857142857146</v>
      </c>
      <c r="AH1299">
        <f t="shared" ca="1" si="587"/>
        <v>201.11371059826985</v>
      </c>
      <c r="AI1299">
        <f ca="1">VLOOKUP(E1299,伤害参考系!$C$4:$E$104,3,FALSE)*$AN$12</f>
        <v>2917.001927257525</v>
      </c>
      <c r="AJ1299">
        <f>VLOOKUP(C1299,技能辅助查询表,技能配置辅助表!$L$1,FALSE)</f>
        <v>9</v>
      </c>
      <c r="AK1299">
        <f>VLOOKUP(C1299,技能辅助查询表,技能配置辅助表!$AE$1,FALSE)</f>
        <v>66000526</v>
      </c>
    </row>
    <row r="1300" spans="1:37" x14ac:dyDescent="0.15">
      <c r="A1300" s="1">
        <f t="shared" ca="1" si="590"/>
        <v>9313123</v>
      </c>
      <c r="B1300" s="1" t="str">
        <f t="shared" ca="1" si="591"/>
        <v>聚能手雷</v>
      </c>
      <c r="C1300" t="s">
        <v>178</v>
      </c>
      <c r="D1300">
        <f t="shared" si="592"/>
        <v>3</v>
      </c>
      <c r="E1300" s="42">
        <f t="shared" ca="1" si="583"/>
        <v>40</v>
      </c>
      <c r="F1300" t="str">
        <f t="shared" ca="1" si="584"/>
        <v>第23级，共造成245.1%点伤害</v>
      </c>
      <c r="G1300">
        <f t="shared" ca="1" si="593"/>
        <v>1</v>
      </c>
      <c r="H1300">
        <f t="shared" si="594"/>
        <v>1</v>
      </c>
      <c r="I1300" s="44">
        <f t="shared" ca="1" si="595"/>
        <v>23</v>
      </c>
      <c r="J1300">
        <f t="shared" si="596"/>
        <v>1</v>
      </c>
      <c r="K1300" s="36">
        <f t="shared" ca="1" si="597"/>
        <v>27.235714285714284</v>
      </c>
      <c r="L1300" s="10">
        <f ca="1">AH1300*VLOOKUP(C1300,技能辅助查询表,技能配置辅助表!$T$1,FALSE)</f>
        <v>0</v>
      </c>
      <c r="M1300">
        <f t="shared" ca="1" si="581"/>
        <v>7700</v>
      </c>
      <c r="N1300" s="33">
        <f ca="1">CHOOSE(1,W1300*U1300,X1300*'[1]0、经济设定'!$C$18)</f>
        <v>35928</v>
      </c>
      <c r="O1300">
        <f t="shared" si="598"/>
        <v>3</v>
      </c>
      <c r="P1300">
        <f t="shared" si="599"/>
        <v>9</v>
      </c>
      <c r="Q1300">
        <f t="shared" si="600"/>
        <v>1</v>
      </c>
      <c r="R1300" s="2">
        <f t="shared" si="601"/>
        <v>5</v>
      </c>
      <c r="S1300" s="2">
        <f t="shared" si="602"/>
        <v>50</v>
      </c>
      <c r="T1300" s="2">
        <f t="shared" si="603"/>
        <v>22.142857142857142</v>
      </c>
      <c r="U1300" s="2">
        <f ca="1">VLOOKUP(E1300,金币生产率!$A$2:$B$120,2,0)</f>
        <v>998</v>
      </c>
      <c r="V1300" s="2">
        <f t="shared" si="604"/>
        <v>199.28571428571428</v>
      </c>
      <c r="W1300" s="45">
        <f t="shared" ca="1" si="588"/>
        <v>36</v>
      </c>
      <c r="X1300" s="48">
        <f t="shared" ca="1" si="589"/>
        <v>429</v>
      </c>
      <c r="Y1300">
        <f t="shared" si="582"/>
        <v>18</v>
      </c>
      <c r="Z1300">
        <f t="shared" ca="1" si="585"/>
        <v>15</v>
      </c>
      <c r="AA1300" t="str">
        <f t="shared" ca="1" si="605"/>
        <v>9313100.png</v>
      </c>
      <c r="AB1300">
        <f t="shared" si="606"/>
        <v>2</v>
      </c>
      <c r="AC1300">
        <f>VLOOKUP(C1300,技能辅助查询表,技能配置辅助表!$W$1,FALSE)</f>
        <v>5321</v>
      </c>
      <c r="AD1300">
        <f t="shared" ca="1" si="586"/>
        <v>66.455543441951292</v>
      </c>
      <c r="AE1300">
        <f>VLOOKUP(C1300,技能辅助查询表,技能配置辅助表!$U$1,FALSE)</f>
        <v>1</v>
      </c>
      <c r="AF1300">
        <f t="shared" ca="1" si="607"/>
        <v>9313123</v>
      </c>
      <c r="AG1300">
        <f t="shared" ca="1" si="608"/>
        <v>38.673469387755105</v>
      </c>
      <c r="AH1300">
        <f t="shared" ca="1" si="587"/>
        <v>228.96530200997151</v>
      </c>
      <c r="AI1300">
        <f ca="1">VLOOKUP(E1300,伤害参考系!$C$4:$E$104,3,FALSE)*$AN$12</f>
        <v>3344.7142474916404</v>
      </c>
      <c r="AJ1300">
        <f>VLOOKUP(C1300,技能辅助查询表,技能配置辅助表!$L$1,FALSE)</f>
        <v>9</v>
      </c>
      <c r="AK1300">
        <f>VLOOKUP(C1300,技能辅助查询表,技能配置辅助表!$AE$1,FALSE)</f>
        <v>66000526</v>
      </c>
    </row>
    <row r="1301" spans="1:37" x14ac:dyDescent="0.15">
      <c r="A1301" s="1">
        <f t="shared" ca="1" si="590"/>
        <v>9313124</v>
      </c>
      <c r="B1301" s="1" t="str">
        <f t="shared" ca="1" si="591"/>
        <v>聚能手雷</v>
      </c>
      <c r="C1301" t="s">
        <v>178</v>
      </c>
      <c r="D1301">
        <f t="shared" si="592"/>
        <v>3</v>
      </c>
      <c r="E1301" s="42">
        <f t="shared" ca="1" si="583"/>
        <v>41</v>
      </c>
      <c r="F1301" t="str">
        <f t="shared" ca="1" si="584"/>
        <v>第24级，共造成247.1%点伤害</v>
      </c>
      <c r="G1301">
        <f t="shared" ca="1" si="593"/>
        <v>1</v>
      </c>
      <c r="H1301">
        <f t="shared" si="594"/>
        <v>1</v>
      </c>
      <c r="I1301" s="44">
        <f t="shared" ca="1" si="595"/>
        <v>24</v>
      </c>
      <c r="J1301">
        <f t="shared" si="596"/>
        <v>1</v>
      </c>
      <c r="K1301" s="36">
        <f t="shared" ca="1" si="597"/>
        <v>27.457142857142856</v>
      </c>
      <c r="L1301" s="10">
        <f ca="1">AH1301*VLOOKUP(C1301,技能辅助查询表,技能配置辅助表!$T$1,FALSE)</f>
        <v>0</v>
      </c>
      <c r="M1301">
        <f t="shared" ca="1" si="581"/>
        <v>7600</v>
      </c>
      <c r="N1301" s="33">
        <f ca="1">CHOOSE(1,W1301*U1301,X1301*'[1]0、经济设定'!$C$18)</f>
        <v>40014</v>
      </c>
      <c r="O1301">
        <f t="shared" si="598"/>
        <v>3</v>
      </c>
      <c r="P1301">
        <f t="shared" si="599"/>
        <v>9</v>
      </c>
      <c r="Q1301">
        <f t="shared" si="600"/>
        <v>1</v>
      </c>
      <c r="R1301" s="2">
        <f t="shared" si="601"/>
        <v>5</v>
      </c>
      <c r="S1301" s="2">
        <f t="shared" si="602"/>
        <v>50</v>
      </c>
      <c r="T1301" s="2">
        <f t="shared" si="603"/>
        <v>22.142857142857142</v>
      </c>
      <c r="U1301" s="2">
        <f ca="1">VLOOKUP(E1301,金币生产率!$A$2:$B$120,2,0)</f>
        <v>1053</v>
      </c>
      <c r="V1301" s="2">
        <f t="shared" si="604"/>
        <v>199.28571428571428</v>
      </c>
      <c r="W1301" s="45">
        <f t="shared" ca="1" si="588"/>
        <v>38</v>
      </c>
      <c r="X1301" s="48">
        <f t="shared" ca="1" si="589"/>
        <v>467</v>
      </c>
      <c r="Y1301">
        <f t="shared" si="582"/>
        <v>18</v>
      </c>
      <c r="Z1301">
        <f t="shared" ca="1" si="585"/>
        <v>16</v>
      </c>
      <c r="AA1301" t="str">
        <f t="shared" ca="1" si="605"/>
        <v>9313100.png</v>
      </c>
      <c r="AB1301">
        <f t="shared" si="606"/>
        <v>2</v>
      </c>
      <c r="AC1301">
        <f>VLOOKUP(C1301,技能辅助查询表,技能配置辅助表!$W$1,FALSE)</f>
        <v>5321</v>
      </c>
      <c r="AD1301">
        <f t="shared" ca="1" si="586"/>
        <v>76.697730037893592</v>
      </c>
      <c r="AE1301">
        <f>VLOOKUP(C1301,技能辅助查询表,技能配置辅助表!$U$1,FALSE)</f>
        <v>1</v>
      </c>
      <c r="AF1301">
        <f t="shared" ca="1" si="607"/>
        <v>9313124</v>
      </c>
      <c r="AG1301">
        <f t="shared" ca="1" si="608"/>
        <v>40.204081632653065</v>
      </c>
      <c r="AH1301">
        <f t="shared" ca="1" si="587"/>
        <v>260.67397080270689</v>
      </c>
      <c r="AI1301">
        <f ca="1">VLOOKUP(E1301,伤害参考系!$C$4:$E$104,3,FALSE)*$AN$12</f>
        <v>3584.9561889632118</v>
      </c>
      <c r="AJ1301">
        <f>VLOOKUP(C1301,技能辅助查询表,技能配置辅助表!$L$1,FALSE)</f>
        <v>9</v>
      </c>
      <c r="AK1301">
        <f>VLOOKUP(C1301,技能辅助查询表,技能配置辅助表!$AE$1,FALSE)</f>
        <v>66000526</v>
      </c>
    </row>
    <row r="1302" spans="1:37" x14ac:dyDescent="0.15">
      <c r="A1302" s="1">
        <f t="shared" ca="1" si="590"/>
        <v>9313125</v>
      </c>
      <c r="B1302" s="1" t="str">
        <f t="shared" ca="1" si="591"/>
        <v>聚能手雷</v>
      </c>
      <c r="C1302" t="s">
        <v>178</v>
      </c>
      <c r="D1302">
        <f t="shared" si="592"/>
        <v>3</v>
      </c>
      <c r="E1302" s="42">
        <f t="shared" ca="1" si="583"/>
        <v>43</v>
      </c>
      <c r="F1302" t="str">
        <f t="shared" ca="1" si="584"/>
        <v>第25级，共造成249.1%点伤害</v>
      </c>
      <c r="G1302">
        <f t="shared" ca="1" si="593"/>
        <v>1</v>
      </c>
      <c r="H1302">
        <f t="shared" si="594"/>
        <v>1</v>
      </c>
      <c r="I1302" s="44">
        <f t="shared" ca="1" si="595"/>
        <v>25</v>
      </c>
      <c r="J1302">
        <f t="shared" si="596"/>
        <v>1</v>
      </c>
      <c r="K1302" s="36">
        <f t="shared" ca="1" si="597"/>
        <v>27.678571428571427</v>
      </c>
      <c r="L1302" s="10">
        <f ca="1">AH1302*VLOOKUP(C1302,技能辅助查询表,技能配置辅助表!$T$1,FALSE)</f>
        <v>0</v>
      </c>
      <c r="M1302">
        <f t="shared" ca="1" si="581"/>
        <v>7500</v>
      </c>
      <c r="N1302" s="33">
        <f ca="1">CHOOSE(1,W1302*U1302,X1302*'[1]0、经济设定'!$C$18)</f>
        <v>47847</v>
      </c>
      <c r="O1302">
        <f t="shared" si="598"/>
        <v>3</v>
      </c>
      <c r="P1302">
        <f t="shared" si="599"/>
        <v>9</v>
      </c>
      <c r="Q1302">
        <f t="shared" si="600"/>
        <v>1</v>
      </c>
      <c r="R1302" s="2">
        <f t="shared" si="601"/>
        <v>5</v>
      </c>
      <c r="S1302" s="2">
        <f t="shared" si="602"/>
        <v>50</v>
      </c>
      <c r="T1302" s="2">
        <f t="shared" si="603"/>
        <v>22.142857142857142</v>
      </c>
      <c r="U1302" s="2">
        <f ca="1">VLOOKUP(E1302,金币生产率!$A$2:$B$120,2,0)</f>
        <v>1167</v>
      </c>
      <c r="V1302" s="2">
        <f t="shared" si="604"/>
        <v>199.28571428571428</v>
      </c>
      <c r="W1302" s="45">
        <f t="shared" ca="1" si="588"/>
        <v>41</v>
      </c>
      <c r="X1302" s="48">
        <f t="shared" ca="1" si="589"/>
        <v>508</v>
      </c>
      <c r="Y1302">
        <f t="shared" si="582"/>
        <v>18</v>
      </c>
      <c r="Z1302">
        <f t="shared" ca="1" si="585"/>
        <v>17</v>
      </c>
      <c r="AA1302" t="str">
        <f t="shared" ca="1" si="605"/>
        <v>9313100.png</v>
      </c>
      <c r="AB1302">
        <f t="shared" si="606"/>
        <v>2</v>
      </c>
      <c r="AC1302">
        <f>VLOOKUP(C1302,技能辅助查询表,技能配置辅助表!$W$1,FALSE)</f>
        <v>5321</v>
      </c>
      <c r="AD1302">
        <f t="shared" ca="1" si="586"/>
        <v>88.502208026482663</v>
      </c>
      <c r="AE1302">
        <f>VLOOKUP(C1302,技能辅助查询表,技能配置辅助表!$U$1,FALSE)</f>
        <v>1</v>
      </c>
      <c r="AF1302">
        <f t="shared" ca="1" si="607"/>
        <v>9313125</v>
      </c>
      <c r="AG1302">
        <f t="shared" ca="1" si="608"/>
        <v>41.734693877551024</v>
      </c>
      <c r="AH1302">
        <f t="shared" ca="1" si="587"/>
        <v>296.77387122652874</v>
      </c>
      <c r="AI1302">
        <f ca="1">VLOOKUP(E1302,伤害参考系!$C$4:$E$104,3,FALSE)*$AN$12</f>
        <v>4090.4306638795993</v>
      </c>
      <c r="AJ1302">
        <f>VLOOKUP(C1302,技能辅助查询表,技能配置辅助表!$L$1,FALSE)</f>
        <v>9</v>
      </c>
      <c r="AK1302">
        <f>VLOOKUP(C1302,技能辅助查询表,技能配置辅助表!$AE$1,FALSE)</f>
        <v>66000526</v>
      </c>
    </row>
    <row r="1303" spans="1:37" x14ac:dyDescent="0.15">
      <c r="A1303" s="1">
        <f t="shared" ca="1" si="590"/>
        <v>9313126</v>
      </c>
      <c r="B1303" s="1" t="str">
        <f t="shared" ca="1" si="591"/>
        <v>聚能手雷</v>
      </c>
      <c r="C1303" t="s">
        <v>178</v>
      </c>
      <c r="D1303">
        <f t="shared" si="592"/>
        <v>3</v>
      </c>
      <c r="E1303" s="42">
        <f t="shared" ca="1" si="583"/>
        <v>44</v>
      </c>
      <c r="F1303" t="str">
        <f t="shared" ca="1" si="584"/>
        <v>第26级，共造成251.1%点伤害</v>
      </c>
      <c r="G1303">
        <f t="shared" ca="1" si="593"/>
        <v>1</v>
      </c>
      <c r="H1303">
        <f t="shared" si="594"/>
        <v>1</v>
      </c>
      <c r="I1303" s="44">
        <f t="shared" ca="1" si="595"/>
        <v>26</v>
      </c>
      <c r="J1303">
        <f t="shared" si="596"/>
        <v>1</v>
      </c>
      <c r="K1303" s="36">
        <f t="shared" ca="1" si="597"/>
        <v>27.9</v>
      </c>
      <c r="L1303" s="10">
        <f ca="1">AH1303*VLOOKUP(C1303,技能辅助查询表,技能配置辅助表!$T$1,FALSE)</f>
        <v>0</v>
      </c>
      <c r="M1303">
        <f t="shared" ca="1" si="581"/>
        <v>7400</v>
      </c>
      <c r="N1303" s="33">
        <f ca="1">CHOOSE(1,W1303*U1303,X1303*'[1]0、经济设定'!$C$18)</f>
        <v>52718</v>
      </c>
      <c r="O1303">
        <f t="shared" si="598"/>
        <v>3</v>
      </c>
      <c r="P1303">
        <f t="shared" si="599"/>
        <v>9</v>
      </c>
      <c r="Q1303">
        <f t="shared" si="600"/>
        <v>1</v>
      </c>
      <c r="R1303" s="2">
        <f t="shared" si="601"/>
        <v>5</v>
      </c>
      <c r="S1303" s="2">
        <f t="shared" si="602"/>
        <v>50</v>
      </c>
      <c r="T1303" s="2">
        <f t="shared" si="603"/>
        <v>22.142857142857142</v>
      </c>
      <c r="U1303" s="2">
        <f ca="1">VLOOKUP(E1303,金币生产率!$A$2:$B$120,2,0)</f>
        <v>1226</v>
      </c>
      <c r="V1303" s="2">
        <f t="shared" si="604"/>
        <v>199.28571428571428</v>
      </c>
      <c r="W1303" s="45">
        <f t="shared" ca="1" si="588"/>
        <v>43</v>
      </c>
      <c r="X1303" s="48">
        <f t="shared" ca="1" si="589"/>
        <v>551</v>
      </c>
      <c r="Y1303">
        <f t="shared" si="582"/>
        <v>18</v>
      </c>
      <c r="Z1303">
        <f t="shared" ca="1" si="585"/>
        <v>18</v>
      </c>
      <c r="AA1303" t="str">
        <f t="shared" ca="1" si="605"/>
        <v>9313100.png</v>
      </c>
      <c r="AB1303">
        <f t="shared" si="606"/>
        <v>2</v>
      </c>
      <c r="AC1303">
        <f>VLOOKUP(C1303,技能辅助查询表,技能配置辅助表!$W$1,FALSE)</f>
        <v>5321</v>
      </c>
      <c r="AD1303">
        <f t="shared" ca="1" si="586"/>
        <v>102.10526013889145</v>
      </c>
      <c r="AE1303">
        <f>VLOOKUP(C1303,技能辅助查询表,技能配置辅助表!$U$1,FALSE)</f>
        <v>1</v>
      </c>
      <c r="AF1303">
        <f t="shared" ca="1" si="607"/>
        <v>9313126</v>
      </c>
      <c r="AG1303">
        <f t="shared" ca="1" si="608"/>
        <v>43.265306122448976</v>
      </c>
      <c r="AH1303">
        <f t="shared" ca="1" si="587"/>
        <v>337.87313083683472</v>
      </c>
      <c r="AI1303">
        <f ca="1">VLOOKUP(E1303,伤害参考系!$C$4:$E$104,3,FALSE)*$AN$12</f>
        <v>4355.6631973244148</v>
      </c>
      <c r="AJ1303">
        <f>VLOOKUP(C1303,技能辅助查询表,技能配置辅助表!$L$1,FALSE)</f>
        <v>9</v>
      </c>
      <c r="AK1303">
        <f>VLOOKUP(C1303,技能辅助查询表,技能配置辅助表!$AE$1,FALSE)</f>
        <v>66000526</v>
      </c>
    </row>
    <row r="1304" spans="1:37" x14ac:dyDescent="0.15">
      <c r="A1304" s="1">
        <f t="shared" ca="1" si="590"/>
        <v>9313127</v>
      </c>
      <c r="B1304" s="1" t="str">
        <f t="shared" ca="1" si="591"/>
        <v>聚能手雷</v>
      </c>
      <c r="C1304" t="s">
        <v>178</v>
      </c>
      <c r="D1304">
        <f t="shared" si="592"/>
        <v>3</v>
      </c>
      <c r="E1304" s="42">
        <f t="shared" ca="1" si="583"/>
        <v>46</v>
      </c>
      <c r="F1304" t="str">
        <f t="shared" ca="1" si="584"/>
        <v>第27级，共造成253.1%点伤害</v>
      </c>
      <c r="G1304">
        <f t="shared" ca="1" si="593"/>
        <v>1</v>
      </c>
      <c r="H1304">
        <f t="shared" si="594"/>
        <v>1</v>
      </c>
      <c r="I1304" s="44">
        <f t="shared" ca="1" si="595"/>
        <v>27</v>
      </c>
      <c r="J1304">
        <f t="shared" si="596"/>
        <v>1</v>
      </c>
      <c r="K1304" s="36">
        <f t="shared" ca="1" si="597"/>
        <v>28.12142857142857</v>
      </c>
      <c r="L1304" s="10">
        <f ca="1">AH1304*VLOOKUP(C1304,技能辅助查询表,技能配置辅助表!$T$1,FALSE)</f>
        <v>0</v>
      </c>
      <c r="M1304">
        <f t="shared" ca="1" si="581"/>
        <v>7300</v>
      </c>
      <c r="N1304" s="33">
        <f ca="1">CHOOSE(1,W1304*U1304,X1304*'[1]0、经济设定'!$C$18)</f>
        <v>62054</v>
      </c>
      <c r="O1304">
        <f t="shared" si="598"/>
        <v>3</v>
      </c>
      <c r="P1304">
        <f t="shared" si="599"/>
        <v>9</v>
      </c>
      <c r="Q1304">
        <f t="shared" si="600"/>
        <v>1</v>
      </c>
      <c r="R1304" s="2">
        <f t="shared" si="601"/>
        <v>5</v>
      </c>
      <c r="S1304" s="2">
        <f t="shared" si="602"/>
        <v>50</v>
      </c>
      <c r="T1304" s="2">
        <f t="shared" si="603"/>
        <v>22.142857142857142</v>
      </c>
      <c r="U1304" s="2">
        <f ca="1">VLOOKUP(E1304,金币生产率!$A$2:$B$120,2,0)</f>
        <v>1349</v>
      </c>
      <c r="V1304" s="2">
        <f t="shared" si="604"/>
        <v>199.28571428571428</v>
      </c>
      <c r="W1304" s="45">
        <f t="shared" ca="1" si="588"/>
        <v>46</v>
      </c>
      <c r="X1304" s="48">
        <f t="shared" ca="1" si="589"/>
        <v>597</v>
      </c>
      <c r="Y1304">
        <f t="shared" si="582"/>
        <v>18</v>
      </c>
      <c r="Z1304">
        <f t="shared" ca="1" si="585"/>
        <v>19</v>
      </c>
      <c r="AA1304" t="str">
        <f t="shared" ca="1" si="605"/>
        <v>9313100.png</v>
      </c>
      <c r="AB1304">
        <f t="shared" si="606"/>
        <v>2</v>
      </c>
      <c r="AC1304">
        <f>VLOOKUP(C1304,技能辅助查询表,技能配置辅助表!$W$1,FALSE)</f>
        <v>5321</v>
      </c>
      <c r="AD1304">
        <f t="shared" ca="1" si="586"/>
        <v>117.77865063243135</v>
      </c>
      <c r="AE1304">
        <f>VLOOKUP(C1304,技能辅助查询表,技能配置辅助表!$U$1,FALSE)</f>
        <v>1</v>
      </c>
      <c r="AF1304">
        <f t="shared" ca="1" si="607"/>
        <v>9313127</v>
      </c>
      <c r="AG1304">
        <f t="shared" ca="1" si="608"/>
        <v>44.795918367346935</v>
      </c>
      <c r="AH1304">
        <f t="shared" ca="1" si="587"/>
        <v>384.66409481967975</v>
      </c>
      <c r="AI1304">
        <f ca="1">VLOOKUP(E1304,伤害参考系!$C$4:$E$104,3,FALSE)*$AN$12</f>
        <v>4911.1188561872923</v>
      </c>
      <c r="AJ1304">
        <f>VLOOKUP(C1304,技能辅助查询表,技能配置辅助表!$L$1,FALSE)</f>
        <v>9</v>
      </c>
      <c r="AK1304">
        <f>VLOOKUP(C1304,技能辅助查询表,技能配置辅助表!$AE$1,FALSE)</f>
        <v>66000526</v>
      </c>
    </row>
    <row r="1305" spans="1:37" x14ac:dyDescent="0.15">
      <c r="A1305" s="1">
        <f t="shared" ca="1" si="590"/>
        <v>9313128</v>
      </c>
      <c r="B1305" s="1" t="str">
        <f t="shared" ca="1" si="591"/>
        <v>聚能手雷</v>
      </c>
      <c r="C1305" t="s">
        <v>178</v>
      </c>
      <c r="D1305">
        <f t="shared" si="592"/>
        <v>3</v>
      </c>
      <c r="E1305" s="42">
        <f t="shared" ca="1" si="583"/>
        <v>47</v>
      </c>
      <c r="F1305" t="str">
        <f t="shared" ca="1" si="584"/>
        <v>第28级，共造成255.1%点伤害</v>
      </c>
      <c r="G1305">
        <f t="shared" ca="1" si="593"/>
        <v>1</v>
      </c>
      <c r="H1305">
        <f t="shared" si="594"/>
        <v>1</v>
      </c>
      <c r="I1305" s="44">
        <f t="shared" ca="1" si="595"/>
        <v>28</v>
      </c>
      <c r="J1305">
        <f t="shared" si="596"/>
        <v>1</v>
      </c>
      <c r="K1305" s="36">
        <f t="shared" ca="1" si="597"/>
        <v>28.342857142857142</v>
      </c>
      <c r="L1305" s="10">
        <f ca="1">AH1305*VLOOKUP(C1305,技能辅助查询表,技能配置辅助表!$T$1,FALSE)</f>
        <v>0</v>
      </c>
      <c r="M1305">
        <f t="shared" ca="1" si="581"/>
        <v>7200</v>
      </c>
      <c r="N1305" s="33">
        <f ca="1">CHOOSE(1,W1305*U1305,X1305*'[1]0、经济设定'!$C$18)</f>
        <v>70600</v>
      </c>
      <c r="O1305">
        <f t="shared" si="598"/>
        <v>3</v>
      </c>
      <c r="P1305">
        <f t="shared" si="599"/>
        <v>9</v>
      </c>
      <c r="Q1305">
        <f t="shared" si="600"/>
        <v>1</v>
      </c>
      <c r="R1305" s="2">
        <f t="shared" si="601"/>
        <v>5</v>
      </c>
      <c r="S1305" s="2">
        <f t="shared" si="602"/>
        <v>50</v>
      </c>
      <c r="T1305" s="2">
        <f t="shared" si="603"/>
        <v>22.142857142857142</v>
      </c>
      <c r="U1305" s="2">
        <f ca="1">VLOOKUP(E1305,金币生产率!$A$2:$B$120,2,0)</f>
        <v>1412</v>
      </c>
      <c r="V1305" s="2">
        <f t="shared" si="604"/>
        <v>199.28571428571428</v>
      </c>
      <c r="W1305" s="45">
        <f t="shared" ca="1" si="588"/>
        <v>50</v>
      </c>
      <c r="X1305" s="48">
        <f t="shared" ca="1" si="589"/>
        <v>647</v>
      </c>
      <c r="Y1305">
        <f t="shared" si="582"/>
        <v>18</v>
      </c>
      <c r="Z1305">
        <f t="shared" ca="1" si="585"/>
        <v>20</v>
      </c>
      <c r="AA1305" t="str">
        <f t="shared" ca="1" si="605"/>
        <v>9313100.png</v>
      </c>
      <c r="AB1305">
        <f t="shared" si="606"/>
        <v>2</v>
      </c>
      <c r="AC1305">
        <f>VLOOKUP(C1305,技能辅助查询表,技能配置辅助表!$W$1,FALSE)</f>
        <v>5321</v>
      </c>
      <c r="AD1305">
        <f t="shared" ca="1" si="586"/>
        <v>135.83492116598615</v>
      </c>
      <c r="AE1305">
        <f>VLOOKUP(C1305,技能辅助查询表,技能配置辅助表!$U$1,FALSE)</f>
        <v>1</v>
      </c>
      <c r="AF1305">
        <f t="shared" ca="1" si="607"/>
        <v>9313128</v>
      </c>
      <c r="AG1305">
        <f t="shared" ca="1" si="608"/>
        <v>46.326530612244895</v>
      </c>
      <c r="AH1305">
        <f t="shared" ca="1" si="587"/>
        <v>437.93498902077317</v>
      </c>
      <c r="AI1305">
        <f ca="1">VLOOKUP(E1305,伤害参考系!$C$4:$E$104,3,FALSE)*$AN$12</f>
        <v>5201.3419816053529</v>
      </c>
      <c r="AJ1305">
        <f>VLOOKUP(C1305,技能辅助查询表,技能配置辅助表!$L$1,FALSE)</f>
        <v>9</v>
      </c>
      <c r="AK1305">
        <f>VLOOKUP(C1305,技能辅助查询表,技能配置辅助表!$AE$1,FALSE)</f>
        <v>66000526</v>
      </c>
    </row>
    <row r="1306" spans="1:37" x14ac:dyDescent="0.15">
      <c r="A1306" s="1">
        <f t="shared" ca="1" si="590"/>
        <v>9313129</v>
      </c>
      <c r="B1306" s="1" t="str">
        <f t="shared" ca="1" si="591"/>
        <v>聚能手雷</v>
      </c>
      <c r="C1306" t="s">
        <v>178</v>
      </c>
      <c r="D1306">
        <f t="shared" si="592"/>
        <v>3</v>
      </c>
      <c r="E1306" s="42">
        <f t="shared" ca="1" si="583"/>
        <v>49</v>
      </c>
      <c r="F1306" t="str">
        <f t="shared" ca="1" si="584"/>
        <v>第29级，共造成257.1%点伤害</v>
      </c>
      <c r="G1306">
        <f t="shared" ca="1" si="593"/>
        <v>1</v>
      </c>
      <c r="H1306">
        <f t="shared" si="594"/>
        <v>1</v>
      </c>
      <c r="I1306" s="44">
        <f t="shared" ca="1" si="595"/>
        <v>29</v>
      </c>
      <c r="J1306">
        <f t="shared" si="596"/>
        <v>1</v>
      </c>
      <c r="K1306" s="36">
        <f t="shared" ca="1" si="597"/>
        <v>28.564285714285713</v>
      </c>
      <c r="L1306" s="10">
        <f ca="1">AH1306*VLOOKUP(C1306,技能辅助查询表,技能配置辅助表!$T$1,FALSE)</f>
        <v>0</v>
      </c>
      <c r="M1306">
        <f t="shared" ca="1" si="581"/>
        <v>7100</v>
      </c>
      <c r="N1306" s="33">
        <f ca="1">CHOOSE(1,W1306*U1306,X1306*'[1]0、经济设定'!$C$18)</f>
        <v>81779</v>
      </c>
      <c r="O1306">
        <f t="shared" si="598"/>
        <v>3</v>
      </c>
      <c r="P1306">
        <f t="shared" si="599"/>
        <v>9</v>
      </c>
      <c r="Q1306">
        <f t="shared" si="600"/>
        <v>1</v>
      </c>
      <c r="R1306" s="2">
        <f t="shared" si="601"/>
        <v>5</v>
      </c>
      <c r="S1306" s="2">
        <f t="shared" si="602"/>
        <v>50</v>
      </c>
      <c r="T1306" s="2">
        <f t="shared" si="603"/>
        <v>22.142857142857142</v>
      </c>
      <c r="U1306" s="2">
        <f ca="1">VLOOKUP(E1306,金币生产率!$A$2:$B$120,2,0)</f>
        <v>1543</v>
      </c>
      <c r="V1306" s="2">
        <f t="shared" si="604"/>
        <v>199.28571428571428</v>
      </c>
      <c r="W1306" s="45">
        <f t="shared" ca="1" si="588"/>
        <v>53</v>
      </c>
      <c r="X1306" s="48">
        <f t="shared" ca="1" si="589"/>
        <v>700</v>
      </c>
      <c r="Y1306">
        <f t="shared" si="582"/>
        <v>18</v>
      </c>
      <c r="Z1306">
        <f t="shared" ca="1" si="585"/>
        <v>22</v>
      </c>
      <c r="AA1306" t="str">
        <f t="shared" ca="1" si="605"/>
        <v>9313100.png</v>
      </c>
      <c r="AB1306">
        <f t="shared" si="606"/>
        <v>2</v>
      </c>
      <c r="AC1306">
        <f>VLOOKUP(C1306,技能辅助查询表,技能配置辅助表!$W$1,FALSE)</f>
        <v>5321</v>
      </c>
      <c r="AD1306">
        <f t="shared" ca="1" si="586"/>
        <v>156.63347300734318</v>
      </c>
      <c r="AE1306">
        <f>VLOOKUP(C1306,技能辅助查询表,技能配置辅助表!$U$1,FALSE)</f>
        <v>1</v>
      </c>
      <c r="AF1306">
        <f t="shared" ca="1" si="607"/>
        <v>9313129</v>
      </c>
      <c r="AG1306">
        <f t="shared" ca="1" si="608"/>
        <v>47.857142857142854</v>
      </c>
      <c r="AH1306">
        <f t="shared" ca="1" si="587"/>
        <v>498.5831981498805</v>
      </c>
      <c r="AI1306">
        <f ca="1">VLOOKUP(E1306,伤害参考系!$C$4:$E$104,3,FALSE)*$AN$12</f>
        <v>5806.7788244147177</v>
      </c>
      <c r="AJ1306">
        <f>VLOOKUP(C1306,技能辅助查询表,技能配置辅助表!$L$1,FALSE)</f>
        <v>9</v>
      </c>
      <c r="AK1306">
        <f>VLOOKUP(C1306,技能辅助查询表,技能配置辅助表!$AE$1,FALSE)</f>
        <v>66000526</v>
      </c>
    </row>
    <row r="1307" spans="1:37" x14ac:dyDescent="0.15">
      <c r="A1307" s="1">
        <f t="shared" ca="1" si="590"/>
        <v>9313130</v>
      </c>
      <c r="B1307" s="1" t="str">
        <f t="shared" ca="1" si="591"/>
        <v>聚能手雷</v>
      </c>
      <c r="C1307" t="s">
        <v>178</v>
      </c>
      <c r="D1307">
        <f t="shared" si="592"/>
        <v>3</v>
      </c>
      <c r="E1307" s="42">
        <f t="shared" ca="1" si="583"/>
        <v>50</v>
      </c>
      <c r="F1307" t="str">
        <f t="shared" ca="1" si="584"/>
        <v>第30级，共造成259.1%点伤害</v>
      </c>
      <c r="G1307">
        <f t="shared" ca="1" si="593"/>
        <v>1</v>
      </c>
      <c r="H1307">
        <f t="shared" si="594"/>
        <v>1</v>
      </c>
      <c r="I1307" s="44">
        <f t="shared" ca="1" si="595"/>
        <v>30</v>
      </c>
      <c r="J1307">
        <f t="shared" si="596"/>
        <v>1</v>
      </c>
      <c r="K1307" s="36">
        <f t="shared" ca="1" si="597"/>
        <v>28.785714285714285</v>
      </c>
      <c r="L1307" s="10">
        <f ca="1">AH1307*VLOOKUP(C1307,技能辅助查询表,技能配置辅助表!$T$1,FALSE)</f>
        <v>0</v>
      </c>
      <c r="M1307">
        <f t="shared" ca="1" si="581"/>
        <v>7000</v>
      </c>
      <c r="N1307" s="33">
        <f ca="1">CHOOSE(1,W1307*U1307,X1307*'[1]0、经济设定'!$C$18)</f>
        <v>91770</v>
      </c>
      <c r="O1307">
        <f t="shared" si="598"/>
        <v>3</v>
      </c>
      <c r="P1307">
        <f t="shared" si="599"/>
        <v>9</v>
      </c>
      <c r="Q1307">
        <f t="shared" si="600"/>
        <v>1</v>
      </c>
      <c r="R1307" s="2">
        <f t="shared" si="601"/>
        <v>5</v>
      </c>
      <c r="S1307" s="2">
        <f t="shared" si="602"/>
        <v>50</v>
      </c>
      <c r="T1307" s="2">
        <f t="shared" si="603"/>
        <v>22.142857142857142</v>
      </c>
      <c r="U1307" s="2">
        <f ca="1">VLOOKUP(E1307,金币生产率!$A$2:$B$120,2,0)</f>
        <v>1610</v>
      </c>
      <c r="V1307" s="2">
        <f t="shared" si="604"/>
        <v>199.28571428571428</v>
      </c>
      <c r="W1307" s="45">
        <f t="shared" ca="1" si="588"/>
        <v>57</v>
      </c>
      <c r="X1307" s="48">
        <f t="shared" ca="1" si="589"/>
        <v>757</v>
      </c>
      <c r="Y1307">
        <f t="shared" si="582"/>
        <v>18</v>
      </c>
      <c r="Z1307">
        <f t="shared" ca="1" si="585"/>
        <v>23</v>
      </c>
      <c r="AA1307" t="str">
        <f t="shared" ca="1" si="605"/>
        <v>9313100.png</v>
      </c>
      <c r="AB1307">
        <f t="shared" si="606"/>
        <v>2</v>
      </c>
      <c r="AC1307">
        <f>VLOOKUP(C1307,技能辅助查询表,技能配置辅助表!$W$1,FALSE)</f>
        <v>5321</v>
      </c>
      <c r="AD1307">
        <f t="shared" ca="1" si="586"/>
        <v>180.58755179815313</v>
      </c>
      <c r="AE1307">
        <f>VLOOKUP(C1307,技能辅助查询表,技能配置辅助表!$U$1,FALSE)</f>
        <v>1</v>
      </c>
      <c r="AF1307">
        <f t="shared" ca="1" si="607"/>
        <v>9313130</v>
      </c>
      <c r="AG1307">
        <f t="shared" ca="1" si="608"/>
        <v>49.387755102040813</v>
      </c>
      <c r="AH1307">
        <f t="shared" ca="1" si="587"/>
        <v>567.63038284107404</v>
      </c>
      <c r="AI1307">
        <f ca="1">VLOOKUP(E1307,伤害参考系!$C$4:$E$104,3,FALSE)*$AN$12</f>
        <v>6162.2688085284308</v>
      </c>
      <c r="AJ1307">
        <f>VLOOKUP(C1307,技能辅助查询表,技能配置辅助表!$L$1,FALSE)</f>
        <v>9</v>
      </c>
      <c r="AK1307">
        <f>VLOOKUP(C1307,技能辅助查询表,技能配置辅助表!$AE$1,FALSE)</f>
        <v>66000526</v>
      </c>
    </row>
    <row r="1308" spans="1:37" x14ac:dyDescent="0.15">
      <c r="A1308" s="1">
        <f t="shared" ca="1" si="590"/>
        <v>9313131</v>
      </c>
      <c r="B1308" s="1" t="str">
        <f t="shared" ca="1" si="591"/>
        <v>聚能手雷</v>
      </c>
      <c r="C1308" t="s">
        <v>178</v>
      </c>
      <c r="D1308">
        <f t="shared" si="592"/>
        <v>3</v>
      </c>
      <c r="E1308" s="42">
        <f t="shared" ca="1" si="583"/>
        <v>52</v>
      </c>
      <c r="F1308" t="str">
        <f t="shared" ca="1" si="584"/>
        <v>第31级，共造成261.1%点伤害</v>
      </c>
      <c r="G1308">
        <f t="shared" ca="1" si="593"/>
        <v>1</v>
      </c>
      <c r="H1308">
        <f t="shared" si="594"/>
        <v>1</v>
      </c>
      <c r="I1308" s="44">
        <f t="shared" ca="1" si="595"/>
        <v>31</v>
      </c>
      <c r="J1308">
        <f t="shared" si="596"/>
        <v>1</v>
      </c>
      <c r="K1308" s="36">
        <f t="shared" ca="1" si="597"/>
        <v>29.007142857142856</v>
      </c>
      <c r="L1308" s="10">
        <f ca="1">AH1308*VLOOKUP(C1308,技能辅助查询表,技能配置辅助表!$T$1,FALSE)</f>
        <v>0</v>
      </c>
      <c r="M1308">
        <f t="shared" ca="1" si="581"/>
        <v>6900</v>
      </c>
      <c r="N1308" s="33">
        <f ca="1">CHOOSE(1,W1308*U1308,X1308*'[1]0、经济设定'!$C$18)</f>
        <v>106689</v>
      </c>
      <c r="O1308">
        <f t="shared" si="598"/>
        <v>3</v>
      </c>
      <c r="P1308">
        <f t="shared" si="599"/>
        <v>9</v>
      </c>
      <c r="Q1308">
        <f t="shared" si="600"/>
        <v>1</v>
      </c>
      <c r="R1308" s="2">
        <f t="shared" si="601"/>
        <v>5</v>
      </c>
      <c r="S1308" s="2">
        <f t="shared" si="602"/>
        <v>50</v>
      </c>
      <c r="T1308" s="2">
        <f t="shared" si="603"/>
        <v>22.142857142857142</v>
      </c>
      <c r="U1308" s="2">
        <f ca="1">VLOOKUP(E1308,金币生产率!$A$2:$B$120,2,0)</f>
        <v>1749</v>
      </c>
      <c r="V1308" s="2">
        <f t="shared" si="604"/>
        <v>199.28571428571428</v>
      </c>
      <c r="W1308" s="45">
        <f t="shared" ca="1" si="588"/>
        <v>61</v>
      </c>
      <c r="X1308" s="48">
        <f t="shared" ca="1" si="589"/>
        <v>818</v>
      </c>
      <c r="Y1308">
        <f t="shared" si="582"/>
        <v>18</v>
      </c>
      <c r="Z1308">
        <f t="shared" ca="1" si="585"/>
        <v>25</v>
      </c>
      <c r="AA1308" t="str">
        <f t="shared" ca="1" si="605"/>
        <v>9313100.png</v>
      </c>
      <c r="AB1308">
        <f t="shared" si="606"/>
        <v>2</v>
      </c>
      <c r="AC1308">
        <f>VLOOKUP(C1308,技能辅助查询表,技能配置辅助表!$W$1,FALSE)</f>
        <v>5321</v>
      </c>
      <c r="AD1308">
        <f t="shared" ca="1" si="586"/>
        <v>208.17226821296791</v>
      </c>
      <c r="AE1308">
        <f>VLOOKUP(C1308,技能辅助查询表,技能配置辅助表!$U$1,FALSE)</f>
        <v>1</v>
      </c>
      <c r="AF1308">
        <f t="shared" ca="1" si="607"/>
        <v>9313131</v>
      </c>
      <c r="AG1308">
        <f t="shared" ca="1" si="608"/>
        <v>50.918367346938773</v>
      </c>
      <c r="AH1308">
        <f t="shared" ca="1" si="587"/>
        <v>646.23969022607446</v>
      </c>
      <c r="AI1308">
        <f ca="1">VLOOKUP(E1308,伤害参考系!$C$4:$E$104,3,FALSE)*$AN$12</f>
        <v>6904.487016722409</v>
      </c>
      <c r="AJ1308">
        <f>VLOOKUP(C1308,技能辅助查询表,技能配置辅助表!$L$1,FALSE)</f>
        <v>9</v>
      </c>
      <c r="AK1308">
        <f>VLOOKUP(C1308,技能辅助查询表,技能配置辅助表!$AE$1,FALSE)</f>
        <v>66000526</v>
      </c>
    </row>
    <row r="1309" spans="1:37" x14ac:dyDescent="0.15">
      <c r="A1309" s="1">
        <f t="shared" ca="1" si="590"/>
        <v>9313132</v>
      </c>
      <c r="B1309" s="1" t="str">
        <f t="shared" ca="1" si="591"/>
        <v>聚能手雷</v>
      </c>
      <c r="C1309" t="s">
        <v>178</v>
      </c>
      <c r="D1309">
        <f t="shared" si="592"/>
        <v>3</v>
      </c>
      <c r="E1309" s="42">
        <f t="shared" ca="1" si="583"/>
        <v>53</v>
      </c>
      <c r="F1309" t="str">
        <f t="shared" ca="1" si="584"/>
        <v>第32级，共造成263.1%点伤害</v>
      </c>
      <c r="G1309">
        <f t="shared" ca="1" si="593"/>
        <v>1</v>
      </c>
      <c r="H1309">
        <f t="shared" si="594"/>
        <v>1</v>
      </c>
      <c r="I1309" s="44">
        <f t="shared" ca="1" si="595"/>
        <v>32</v>
      </c>
      <c r="J1309">
        <f t="shared" si="596"/>
        <v>1</v>
      </c>
      <c r="K1309" s="36">
        <f t="shared" ca="1" si="597"/>
        <v>29.228571428571428</v>
      </c>
      <c r="L1309" s="10">
        <f ca="1">AH1309*VLOOKUP(C1309,技能辅助查询表,技能配置辅助表!$T$1,FALSE)</f>
        <v>0</v>
      </c>
      <c r="M1309">
        <f t="shared" ca="1" si="581"/>
        <v>6800</v>
      </c>
      <c r="N1309" s="33">
        <f ca="1">CHOOSE(1,W1309*U1309,X1309*'[1]0、经济设定'!$C$18)</f>
        <v>118300</v>
      </c>
      <c r="O1309">
        <f t="shared" si="598"/>
        <v>3</v>
      </c>
      <c r="P1309">
        <f t="shared" si="599"/>
        <v>9</v>
      </c>
      <c r="Q1309">
        <f t="shared" si="600"/>
        <v>1</v>
      </c>
      <c r="R1309" s="2">
        <f t="shared" si="601"/>
        <v>5</v>
      </c>
      <c r="S1309" s="2">
        <f t="shared" si="602"/>
        <v>50</v>
      </c>
      <c r="T1309" s="2">
        <f t="shared" si="603"/>
        <v>22.142857142857142</v>
      </c>
      <c r="U1309" s="2">
        <f ca="1">VLOOKUP(E1309,金币生产率!$A$2:$B$120,2,0)</f>
        <v>1820</v>
      </c>
      <c r="V1309" s="2">
        <f t="shared" si="604"/>
        <v>199.28571428571428</v>
      </c>
      <c r="W1309" s="45">
        <f t="shared" ca="1" si="588"/>
        <v>65</v>
      </c>
      <c r="X1309" s="48">
        <f t="shared" ca="1" si="589"/>
        <v>883</v>
      </c>
      <c r="Y1309">
        <f t="shared" si="582"/>
        <v>18</v>
      </c>
      <c r="Z1309">
        <f t="shared" ca="1" si="585"/>
        <v>26</v>
      </c>
      <c r="AA1309" t="str">
        <f t="shared" ca="1" si="605"/>
        <v>9313100.png</v>
      </c>
      <c r="AB1309">
        <f t="shared" si="606"/>
        <v>2</v>
      </c>
      <c r="AC1309">
        <f>VLOOKUP(C1309,技能辅助查询表,技能配置辅助表!$W$1,FALSE)</f>
        <v>5321</v>
      </c>
      <c r="AD1309">
        <f t="shared" ca="1" si="586"/>
        <v>239.93380746969797</v>
      </c>
      <c r="AE1309">
        <f>VLOOKUP(C1309,技能辅助查询表,技能配置辅助表!$U$1,FALSE)</f>
        <v>1</v>
      </c>
      <c r="AF1309">
        <f t="shared" ca="1" si="607"/>
        <v>9313132</v>
      </c>
      <c r="AG1309">
        <f t="shared" ca="1" si="608"/>
        <v>52.448979591836732</v>
      </c>
      <c r="AH1309">
        <f t="shared" ca="1" si="587"/>
        <v>735.73534794457942</v>
      </c>
      <c r="AI1309">
        <f ca="1">VLOOKUP(E1309,伤害参考系!$C$4:$E$104,3,FALSE)*$AN$12</f>
        <v>7291.2152408026777</v>
      </c>
      <c r="AJ1309">
        <f>VLOOKUP(C1309,技能辅助查询表,技能配置辅助表!$L$1,FALSE)</f>
        <v>9</v>
      </c>
      <c r="AK1309">
        <f>VLOOKUP(C1309,技能辅助查询表,技能配置辅助表!$AE$1,FALSE)</f>
        <v>66000526</v>
      </c>
    </row>
    <row r="1310" spans="1:37" x14ac:dyDescent="0.15">
      <c r="A1310" s="1">
        <f t="shared" ca="1" si="590"/>
        <v>9313133</v>
      </c>
      <c r="B1310" s="1" t="str">
        <f t="shared" ca="1" si="591"/>
        <v>聚能手雷</v>
      </c>
      <c r="C1310" t="s">
        <v>178</v>
      </c>
      <c r="D1310">
        <f t="shared" si="592"/>
        <v>3</v>
      </c>
      <c r="E1310" s="42">
        <f t="shared" ca="1" si="583"/>
        <v>55</v>
      </c>
      <c r="F1310" t="str">
        <f t="shared" ca="1" si="584"/>
        <v>第33级，共造成265.1%点伤害</v>
      </c>
      <c r="G1310">
        <f t="shared" ca="1" si="593"/>
        <v>1</v>
      </c>
      <c r="H1310">
        <f t="shared" si="594"/>
        <v>1</v>
      </c>
      <c r="I1310" s="44">
        <f t="shared" ca="1" si="595"/>
        <v>33</v>
      </c>
      <c r="J1310">
        <f t="shared" si="596"/>
        <v>1</v>
      </c>
      <c r="K1310" s="36">
        <f t="shared" ca="1" si="597"/>
        <v>29.45</v>
      </c>
      <c r="L1310" s="10">
        <f ca="1">AH1310*VLOOKUP(C1310,技能辅助查询表,技能配置辅助表!$T$1,FALSE)</f>
        <v>0</v>
      </c>
      <c r="M1310">
        <f t="shared" ca="1" si="581"/>
        <v>6700</v>
      </c>
      <c r="N1310" s="33">
        <f ca="1">CHOOSE(1,W1310*U1310,X1310*'[1]0、经济设定'!$C$18)</f>
        <v>137690</v>
      </c>
      <c r="O1310">
        <f t="shared" si="598"/>
        <v>3</v>
      </c>
      <c r="P1310">
        <f t="shared" si="599"/>
        <v>9</v>
      </c>
      <c r="Q1310">
        <f t="shared" si="600"/>
        <v>1</v>
      </c>
      <c r="R1310" s="2">
        <f t="shared" si="601"/>
        <v>5</v>
      </c>
      <c r="S1310" s="2">
        <f t="shared" si="602"/>
        <v>50</v>
      </c>
      <c r="T1310" s="2">
        <f t="shared" si="603"/>
        <v>22.142857142857142</v>
      </c>
      <c r="U1310" s="2">
        <f ca="1">VLOOKUP(E1310,金币生产率!$A$2:$B$120,2,0)</f>
        <v>1967</v>
      </c>
      <c r="V1310" s="2">
        <f t="shared" si="604"/>
        <v>199.28571428571428</v>
      </c>
      <c r="W1310" s="45">
        <f t="shared" ca="1" si="588"/>
        <v>70</v>
      </c>
      <c r="X1310" s="48">
        <f t="shared" ca="1" si="589"/>
        <v>953</v>
      </c>
      <c r="Y1310">
        <f t="shared" si="582"/>
        <v>18</v>
      </c>
      <c r="Z1310">
        <f t="shared" ca="1" si="585"/>
        <v>28</v>
      </c>
      <c r="AA1310" t="str">
        <f t="shared" ca="1" si="605"/>
        <v>9313100.png</v>
      </c>
      <c r="AB1310">
        <f t="shared" si="606"/>
        <v>2</v>
      </c>
      <c r="AC1310">
        <f>VLOOKUP(C1310,技能辅助查询表,技能配置辅助表!$W$1,FALSE)</f>
        <v>5321</v>
      </c>
      <c r="AD1310">
        <f t="shared" ca="1" si="586"/>
        <v>276.50000314698292</v>
      </c>
      <c r="AE1310">
        <f>VLOOKUP(C1310,技能辅助查询表,技能配置辅助表!$U$1,FALSE)</f>
        <v>1</v>
      </c>
      <c r="AF1310">
        <f t="shared" ca="1" si="607"/>
        <v>9313133</v>
      </c>
      <c r="AG1310">
        <f t="shared" ca="1" si="608"/>
        <v>53.979591836734691</v>
      </c>
      <c r="AH1310">
        <f t="shared" ca="1" si="587"/>
        <v>837.62497166611001</v>
      </c>
      <c r="AI1310">
        <f ca="1">VLOOKUP(E1310,伤害参考系!$C$4:$E$104,3,FALSE)*$AN$12</f>
        <v>8095.9099289297656</v>
      </c>
      <c r="AJ1310">
        <f>VLOOKUP(C1310,技能辅助查询表,技能配置辅助表!$L$1,FALSE)</f>
        <v>9</v>
      </c>
      <c r="AK1310">
        <f>VLOOKUP(C1310,技能辅助查询表,技能配置辅助表!$AE$1,FALSE)</f>
        <v>66000526</v>
      </c>
    </row>
    <row r="1311" spans="1:37" x14ac:dyDescent="0.15">
      <c r="A1311" s="1">
        <f t="shared" ca="1" si="590"/>
        <v>9313134</v>
      </c>
      <c r="B1311" s="1" t="str">
        <f t="shared" ca="1" si="591"/>
        <v>聚能手雷</v>
      </c>
      <c r="C1311" t="s">
        <v>178</v>
      </c>
      <c r="D1311">
        <f t="shared" si="592"/>
        <v>3</v>
      </c>
      <c r="E1311" s="42">
        <f t="shared" ca="1" si="583"/>
        <v>56</v>
      </c>
      <c r="F1311" t="str">
        <f t="shared" ca="1" si="584"/>
        <v>第34级，共造成267%点伤害</v>
      </c>
      <c r="G1311">
        <f t="shared" ca="1" si="593"/>
        <v>1</v>
      </c>
      <c r="H1311">
        <f t="shared" si="594"/>
        <v>1</v>
      </c>
      <c r="I1311" s="44">
        <f t="shared" ca="1" si="595"/>
        <v>34</v>
      </c>
      <c r="J1311">
        <f t="shared" si="596"/>
        <v>1</v>
      </c>
      <c r="K1311" s="36">
        <f t="shared" ca="1" si="597"/>
        <v>29.671428571428571</v>
      </c>
      <c r="L1311" s="10">
        <f ca="1">AH1311*VLOOKUP(C1311,技能辅助查询表,技能配置辅助表!$T$1,FALSE)</f>
        <v>0</v>
      </c>
      <c r="M1311">
        <f t="shared" ca="1" si="581"/>
        <v>6600</v>
      </c>
      <c r="N1311" s="33">
        <f ca="1">CHOOSE(1,W1311*U1311,X1311*'[1]0、经济设定'!$C$18)</f>
        <v>153150</v>
      </c>
      <c r="O1311">
        <f t="shared" si="598"/>
        <v>3</v>
      </c>
      <c r="P1311">
        <f t="shared" si="599"/>
        <v>9</v>
      </c>
      <c r="Q1311">
        <f t="shared" si="600"/>
        <v>1</v>
      </c>
      <c r="R1311" s="2">
        <f t="shared" si="601"/>
        <v>5</v>
      </c>
      <c r="S1311" s="2">
        <f t="shared" si="602"/>
        <v>50</v>
      </c>
      <c r="T1311" s="2">
        <f t="shared" si="603"/>
        <v>22.142857142857142</v>
      </c>
      <c r="U1311" s="2">
        <f ca="1">VLOOKUP(E1311,金币生产率!$A$2:$B$120,2,0)</f>
        <v>2042</v>
      </c>
      <c r="V1311" s="2">
        <f t="shared" si="604"/>
        <v>199.28571428571428</v>
      </c>
      <c r="W1311" s="45">
        <f t="shared" ca="1" si="588"/>
        <v>75</v>
      </c>
      <c r="X1311" s="48">
        <f t="shared" ca="1" si="589"/>
        <v>1028</v>
      </c>
      <c r="Y1311">
        <f t="shared" si="582"/>
        <v>18</v>
      </c>
      <c r="Z1311">
        <f t="shared" ca="1" si="585"/>
        <v>30</v>
      </c>
      <c r="AA1311" t="str">
        <f t="shared" ca="1" si="605"/>
        <v>9313100.png</v>
      </c>
      <c r="AB1311">
        <f t="shared" si="606"/>
        <v>2</v>
      </c>
      <c r="AC1311">
        <f>VLOOKUP(C1311,技能辅助查询表,技能配置辅助表!$W$1,FALSE)</f>
        <v>5321</v>
      </c>
      <c r="AD1311">
        <f t="shared" ca="1" si="586"/>
        <v>318.59247656000906</v>
      </c>
      <c r="AE1311">
        <f>VLOOKUP(C1311,技能辅助查询表,技能配置辅助表!$U$1,FALSE)</f>
        <v>1</v>
      </c>
      <c r="AF1311">
        <f t="shared" ca="1" si="607"/>
        <v>9313134</v>
      </c>
      <c r="AG1311">
        <f t="shared" ca="1" si="608"/>
        <v>55.510204081632651</v>
      </c>
      <c r="AH1311">
        <f t="shared" ca="1" si="587"/>
        <v>953.62496190886134</v>
      </c>
      <c r="AI1311">
        <f ca="1">VLOOKUP(E1311,伤害参考系!$C$4:$E$104,3,FALSE)*$AN$12</f>
        <v>8513.8763929765901</v>
      </c>
      <c r="AJ1311">
        <f>VLOOKUP(C1311,技能辅助查询表,技能配置辅助表!$L$1,FALSE)</f>
        <v>9</v>
      </c>
      <c r="AK1311">
        <f>VLOOKUP(C1311,技能辅助查询表,技能配置辅助表!$AE$1,FALSE)</f>
        <v>66000526</v>
      </c>
    </row>
    <row r="1312" spans="1:37" x14ac:dyDescent="0.15">
      <c r="A1312" s="1">
        <f t="shared" ca="1" si="590"/>
        <v>9313135</v>
      </c>
      <c r="B1312" s="1" t="str">
        <f t="shared" ca="1" si="591"/>
        <v>聚能手雷</v>
      </c>
      <c r="C1312" t="s">
        <v>178</v>
      </c>
      <c r="D1312">
        <f t="shared" si="592"/>
        <v>3</v>
      </c>
      <c r="E1312" s="42">
        <f t="shared" ca="1" si="583"/>
        <v>58</v>
      </c>
      <c r="F1312" t="str">
        <f t="shared" ca="1" si="584"/>
        <v>第35级，共造成269%点伤害</v>
      </c>
      <c r="G1312">
        <f t="shared" ca="1" si="593"/>
        <v>1</v>
      </c>
      <c r="H1312">
        <f t="shared" si="594"/>
        <v>1</v>
      </c>
      <c r="I1312" s="44">
        <f t="shared" ca="1" si="595"/>
        <v>35</v>
      </c>
      <c r="J1312">
        <f t="shared" si="596"/>
        <v>1</v>
      </c>
      <c r="K1312" s="36">
        <f t="shared" ca="1" si="597"/>
        <v>29.892857142857142</v>
      </c>
      <c r="L1312" s="10">
        <f ca="1">AH1312*VLOOKUP(C1312,技能辅助查询表,技能配置辅助表!$T$1,FALSE)</f>
        <v>0</v>
      </c>
      <c r="M1312">
        <f t="shared" ca="1" si="581"/>
        <v>6500</v>
      </c>
      <c r="N1312" s="33">
        <f ca="1">CHOOSE(1,W1312*U1312,X1312*'[1]0、经济设定'!$C$18)</f>
        <v>175840</v>
      </c>
      <c r="O1312">
        <f t="shared" si="598"/>
        <v>3</v>
      </c>
      <c r="P1312">
        <f t="shared" si="599"/>
        <v>9</v>
      </c>
      <c r="Q1312">
        <f t="shared" si="600"/>
        <v>1</v>
      </c>
      <c r="R1312" s="2">
        <f t="shared" si="601"/>
        <v>5</v>
      </c>
      <c r="S1312" s="2">
        <f t="shared" si="602"/>
        <v>50</v>
      </c>
      <c r="T1312" s="2">
        <f t="shared" si="603"/>
        <v>22.142857142857142</v>
      </c>
      <c r="U1312" s="2">
        <f ca="1">VLOOKUP(E1312,金币生产率!$A$2:$B$120,2,0)</f>
        <v>2198</v>
      </c>
      <c r="V1312" s="2">
        <f t="shared" si="604"/>
        <v>199.28571428571428</v>
      </c>
      <c r="W1312" s="45">
        <f t="shared" ca="1" si="588"/>
        <v>80</v>
      </c>
      <c r="X1312" s="48">
        <f t="shared" ca="1" si="589"/>
        <v>1108</v>
      </c>
      <c r="Y1312">
        <f t="shared" si="582"/>
        <v>18</v>
      </c>
      <c r="Z1312">
        <f t="shared" ca="1" si="585"/>
        <v>32</v>
      </c>
      <c r="AA1312" t="str">
        <f t="shared" ca="1" si="605"/>
        <v>9313100.png</v>
      </c>
      <c r="AB1312">
        <f t="shared" si="606"/>
        <v>2</v>
      </c>
      <c r="AC1312">
        <f>VLOOKUP(C1312,技能辅助查询表,技能配置辅助表!$W$1,FALSE)</f>
        <v>5321</v>
      </c>
      <c r="AD1312">
        <f t="shared" ca="1" si="586"/>
        <v>367.040572522182</v>
      </c>
      <c r="AE1312">
        <f>VLOOKUP(C1312,技能辅助查询表,技能配置辅助表!$U$1,FALSE)</f>
        <v>1</v>
      </c>
      <c r="AF1312">
        <f t="shared" ca="1" si="607"/>
        <v>9313135</v>
      </c>
      <c r="AG1312">
        <f t="shared" ca="1" si="608"/>
        <v>57.04081632653061</v>
      </c>
      <c r="AH1312">
        <f t="shared" ca="1" si="587"/>
        <v>1085.689417982368</v>
      </c>
      <c r="AI1312">
        <f ca="1">VLOOKUP(E1312,伤害参考系!$C$4:$E$104,3,FALSE)*$AN$12</f>
        <v>9381.0475610367921</v>
      </c>
      <c r="AJ1312">
        <f>VLOOKUP(C1312,技能辅助查询表,技能配置辅助表!$L$1,FALSE)</f>
        <v>9</v>
      </c>
      <c r="AK1312">
        <f>VLOOKUP(C1312,技能辅助查询表,技能配置辅助表!$AE$1,FALSE)</f>
        <v>66000526</v>
      </c>
    </row>
    <row r="1313" spans="1:37" x14ac:dyDescent="0.15">
      <c r="A1313" s="1">
        <f t="shared" ca="1" si="590"/>
        <v>9313136</v>
      </c>
      <c r="B1313" s="1" t="str">
        <f t="shared" ca="1" si="591"/>
        <v>聚能手雷</v>
      </c>
      <c r="C1313" t="s">
        <v>178</v>
      </c>
      <c r="D1313">
        <f t="shared" si="592"/>
        <v>3</v>
      </c>
      <c r="E1313" s="42">
        <f t="shared" ca="1" si="583"/>
        <v>59</v>
      </c>
      <c r="F1313" t="str">
        <f t="shared" ca="1" si="584"/>
        <v>第36级，共造成271%点伤害</v>
      </c>
      <c r="G1313">
        <f t="shared" ca="1" si="593"/>
        <v>1</v>
      </c>
      <c r="H1313">
        <f t="shared" si="594"/>
        <v>1</v>
      </c>
      <c r="I1313" s="44">
        <f t="shared" ca="1" si="595"/>
        <v>36</v>
      </c>
      <c r="J1313">
        <f t="shared" si="596"/>
        <v>1</v>
      </c>
      <c r="K1313" s="36">
        <f t="shared" ca="1" si="597"/>
        <v>30.114285714285714</v>
      </c>
      <c r="L1313" s="10">
        <f ca="1">AH1313*VLOOKUP(C1313,技能辅助查询表,技能配置辅助表!$T$1,FALSE)</f>
        <v>0</v>
      </c>
      <c r="M1313">
        <f t="shared" ca="1" si="581"/>
        <v>6400</v>
      </c>
      <c r="N1313" s="33">
        <f ca="1">CHOOSE(1,W1313*U1313,X1313*'[1]0、经济设定'!$C$18)</f>
        <v>193545</v>
      </c>
      <c r="O1313">
        <f t="shared" si="598"/>
        <v>3</v>
      </c>
      <c r="P1313">
        <f t="shared" si="599"/>
        <v>9</v>
      </c>
      <c r="Q1313">
        <f t="shared" si="600"/>
        <v>1</v>
      </c>
      <c r="R1313" s="2">
        <f t="shared" si="601"/>
        <v>5</v>
      </c>
      <c r="S1313" s="2">
        <f t="shared" si="602"/>
        <v>50</v>
      </c>
      <c r="T1313" s="2">
        <f t="shared" si="603"/>
        <v>22.142857142857142</v>
      </c>
      <c r="U1313" s="2">
        <f ca="1">VLOOKUP(E1313,金币生产率!$A$2:$B$120,2,0)</f>
        <v>2277</v>
      </c>
      <c r="V1313" s="2">
        <f t="shared" si="604"/>
        <v>199.28571428571428</v>
      </c>
      <c r="W1313" s="45">
        <f t="shared" ca="1" si="588"/>
        <v>85</v>
      </c>
      <c r="X1313" s="48">
        <f t="shared" ca="1" si="589"/>
        <v>1193</v>
      </c>
      <c r="Y1313">
        <f t="shared" si="582"/>
        <v>18</v>
      </c>
      <c r="Z1313">
        <f t="shared" ca="1" si="585"/>
        <v>34</v>
      </c>
      <c r="AA1313" t="str">
        <f t="shared" ca="1" si="605"/>
        <v>9313100.png</v>
      </c>
      <c r="AB1313">
        <f t="shared" si="606"/>
        <v>2</v>
      </c>
      <c r="AC1313">
        <f>VLOOKUP(C1313,技能辅助查询表,技能配置辅助表!$W$1,FALSE)</f>
        <v>5321</v>
      </c>
      <c r="AD1313">
        <f t="shared" ca="1" si="586"/>
        <v>422.79735622795505</v>
      </c>
      <c r="AE1313">
        <f>VLOOKUP(C1313,技能辅助查询表,技能配置辅助表!$U$1,FALSE)</f>
        <v>1</v>
      </c>
      <c r="AF1313">
        <f t="shared" ca="1" si="607"/>
        <v>9313136</v>
      </c>
      <c r="AG1313">
        <f t="shared" ca="1" si="608"/>
        <v>58.571428571428569</v>
      </c>
      <c r="AH1313">
        <f t="shared" ca="1" si="587"/>
        <v>1236.0430561291703</v>
      </c>
      <c r="AI1313">
        <f ca="1">VLOOKUP(E1313,伤害参考系!$C$4:$E$104,3,FALSE)*$AN$12</f>
        <v>9830.2522650501687</v>
      </c>
      <c r="AJ1313">
        <f>VLOOKUP(C1313,技能辅助查询表,技能配置辅助表!$L$1,FALSE)</f>
        <v>9</v>
      </c>
      <c r="AK1313">
        <f>VLOOKUP(C1313,技能辅助查询表,技能配置辅助表!$AE$1,FALSE)</f>
        <v>66000526</v>
      </c>
    </row>
    <row r="1314" spans="1:37" x14ac:dyDescent="0.15">
      <c r="A1314" s="1">
        <f t="shared" ca="1" si="590"/>
        <v>9313137</v>
      </c>
      <c r="B1314" s="1" t="str">
        <f t="shared" ca="1" si="591"/>
        <v>聚能手雷</v>
      </c>
      <c r="C1314" t="s">
        <v>178</v>
      </c>
      <c r="D1314">
        <f t="shared" si="592"/>
        <v>3</v>
      </c>
      <c r="E1314" s="42">
        <f t="shared" ca="1" si="583"/>
        <v>61</v>
      </c>
      <c r="F1314" t="str">
        <f t="shared" ca="1" si="584"/>
        <v>第37级，共造成273%点伤害</v>
      </c>
      <c r="G1314">
        <f t="shared" ca="1" si="593"/>
        <v>1</v>
      </c>
      <c r="H1314">
        <f t="shared" si="594"/>
        <v>1</v>
      </c>
      <c r="I1314" s="44">
        <f t="shared" ca="1" si="595"/>
        <v>37</v>
      </c>
      <c r="J1314">
        <f t="shared" si="596"/>
        <v>1</v>
      </c>
      <c r="K1314" s="36">
        <f t="shared" ca="1" si="597"/>
        <v>30.335714285714285</v>
      </c>
      <c r="L1314" s="10">
        <f ca="1">AH1314*VLOOKUP(C1314,技能辅助查询表,技能配置辅助表!$T$1,FALSE)</f>
        <v>0</v>
      </c>
      <c r="M1314">
        <f t="shared" ca="1" si="581"/>
        <v>6300</v>
      </c>
      <c r="N1314" s="33">
        <f ca="1">CHOOSE(1,W1314*U1314,X1314*'[1]0、经济设定'!$C$18)</f>
        <v>224480</v>
      </c>
      <c r="O1314">
        <f t="shared" si="598"/>
        <v>3</v>
      </c>
      <c r="P1314">
        <f t="shared" si="599"/>
        <v>9</v>
      </c>
      <c r="Q1314">
        <f t="shared" si="600"/>
        <v>1</v>
      </c>
      <c r="R1314" s="2">
        <f t="shared" si="601"/>
        <v>5</v>
      </c>
      <c r="S1314" s="2">
        <f t="shared" si="602"/>
        <v>50</v>
      </c>
      <c r="T1314" s="2">
        <f t="shared" si="603"/>
        <v>22.142857142857142</v>
      </c>
      <c r="U1314" s="2">
        <f ca="1">VLOOKUP(E1314,金币生产率!$A$2:$B$120,2,0)</f>
        <v>2440</v>
      </c>
      <c r="V1314" s="2">
        <f t="shared" si="604"/>
        <v>199.28571428571428</v>
      </c>
      <c r="W1314" s="45">
        <f t="shared" ca="1" si="588"/>
        <v>92</v>
      </c>
      <c r="X1314" s="48">
        <f t="shared" ca="1" si="589"/>
        <v>1285</v>
      </c>
      <c r="Y1314">
        <f t="shared" si="582"/>
        <v>18</v>
      </c>
      <c r="Z1314">
        <f t="shared" ca="1" si="585"/>
        <v>37</v>
      </c>
      <c r="AA1314" t="str">
        <f t="shared" ca="1" si="605"/>
        <v>9313100.png</v>
      </c>
      <c r="AB1314">
        <f t="shared" si="606"/>
        <v>2</v>
      </c>
      <c r="AC1314">
        <f>VLOOKUP(C1314,技能辅助查询表,技能配置辅助表!$W$1,FALSE)</f>
        <v>5321</v>
      </c>
      <c r="AD1314">
        <f t="shared" ca="1" si="586"/>
        <v>486.95797486463835</v>
      </c>
      <c r="AE1314">
        <f>VLOOKUP(C1314,技能辅助查询表,技能配置辅助表!$U$1,FALSE)</f>
        <v>1</v>
      </c>
      <c r="AF1314">
        <f t="shared" ca="1" si="607"/>
        <v>9313137</v>
      </c>
      <c r="AG1314">
        <f t="shared" ca="1" si="608"/>
        <v>60.102040816326529</v>
      </c>
      <c r="AH1314">
        <f t="shared" ca="1" si="587"/>
        <v>1407.2186863941167</v>
      </c>
      <c r="AI1314">
        <f ca="1">VLOOKUP(E1314,伤害参考系!$C$4:$E$104,3,FALSE)*$AN$12</f>
        <v>10863.360489130437</v>
      </c>
      <c r="AJ1314">
        <f>VLOOKUP(C1314,技能辅助查询表,技能配置辅助表!$L$1,FALSE)</f>
        <v>9</v>
      </c>
      <c r="AK1314">
        <f>VLOOKUP(C1314,技能辅助查询表,技能配置辅助表!$AE$1,FALSE)</f>
        <v>66000526</v>
      </c>
    </row>
    <row r="1315" spans="1:37" x14ac:dyDescent="0.15">
      <c r="A1315" s="1">
        <f t="shared" ca="1" si="590"/>
        <v>9313138</v>
      </c>
      <c r="B1315" s="1" t="str">
        <f t="shared" ca="1" si="591"/>
        <v>聚能手雷</v>
      </c>
      <c r="C1315" t="s">
        <v>178</v>
      </c>
      <c r="D1315">
        <f t="shared" si="592"/>
        <v>3</v>
      </c>
      <c r="E1315" s="42">
        <f t="shared" ca="1" si="583"/>
        <v>62</v>
      </c>
      <c r="F1315" t="str">
        <f t="shared" ca="1" si="584"/>
        <v>第38级，共造成275%点伤害</v>
      </c>
      <c r="G1315">
        <f t="shared" ca="1" si="593"/>
        <v>1</v>
      </c>
      <c r="H1315">
        <f t="shared" si="594"/>
        <v>1</v>
      </c>
      <c r="I1315" s="44">
        <f t="shared" ca="1" si="595"/>
        <v>38</v>
      </c>
      <c r="J1315">
        <f t="shared" si="596"/>
        <v>1</v>
      </c>
      <c r="K1315" s="36">
        <f t="shared" ca="1" si="597"/>
        <v>30.557142857142857</v>
      </c>
      <c r="L1315" s="10">
        <f ca="1">AH1315*VLOOKUP(C1315,技能辅助查询表,技能配置辅助表!$T$1,FALSE)</f>
        <v>0</v>
      </c>
      <c r="M1315">
        <f t="shared" ca="1" si="581"/>
        <v>6200</v>
      </c>
      <c r="N1315" s="33">
        <f ca="1">CHOOSE(1,W1315*U1315,X1315*'[1]0、经济设定'!$C$18)</f>
        <v>247352</v>
      </c>
      <c r="O1315">
        <f t="shared" si="598"/>
        <v>3</v>
      </c>
      <c r="P1315">
        <f t="shared" si="599"/>
        <v>9</v>
      </c>
      <c r="Q1315">
        <f t="shared" si="600"/>
        <v>1</v>
      </c>
      <c r="R1315" s="2">
        <f t="shared" si="601"/>
        <v>5</v>
      </c>
      <c r="S1315" s="2">
        <f t="shared" si="602"/>
        <v>50</v>
      </c>
      <c r="T1315" s="2">
        <f t="shared" si="603"/>
        <v>22.142857142857142</v>
      </c>
      <c r="U1315" s="2">
        <f ca="1">VLOOKUP(E1315,金币生产率!$A$2:$B$120,2,0)</f>
        <v>2524</v>
      </c>
      <c r="V1315" s="2">
        <f t="shared" si="604"/>
        <v>199.28571428571428</v>
      </c>
      <c r="W1315" s="45">
        <f t="shared" ca="1" si="588"/>
        <v>98</v>
      </c>
      <c r="X1315" s="48">
        <f t="shared" ca="1" si="589"/>
        <v>1383</v>
      </c>
      <c r="Y1315">
        <f t="shared" si="582"/>
        <v>18</v>
      </c>
      <c r="Z1315">
        <f t="shared" ca="1" si="585"/>
        <v>40</v>
      </c>
      <c r="AA1315" t="str">
        <f t="shared" ca="1" si="605"/>
        <v>9313100.png</v>
      </c>
      <c r="AB1315">
        <f t="shared" si="606"/>
        <v>2</v>
      </c>
      <c r="AC1315">
        <f>VLOOKUP(C1315,技能辅助查询表,技能配置辅助表!$W$1,FALSE)</f>
        <v>5321</v>
      </c>
      <c r="AD1315">
        <f t="shared" ca="1" si="586"/>
        <v>560.78073212296727</v>
      </c>
      <c r="AE1315">
        <f>VLOOKUP(C1315,技能辅助查询表,技能配置辅助表!$U$1,FALSE)</f>
        <v>1</v>
      </c>
      <c r="AF1315">
        <f t="shared" ca="1" si="607"/>
        <v>9313138</v>
      </c>
      <c r="AG1315">
        <f t="shared" ca="1" si="608"/>
        <v>61.632653061224488</v>
      </c>
      <c r="AH1315">
        <f t="shared" ca="1" si="587"/>
        <v>1602.0998795448415</v>
      </c>
      <c r="AI1315">
        <f ca="1">VLOOKUP(E1315,伤害参考系!$C$4:$E$104,3,FALSE)*$AN$12</f>
        <v>11398.657545150505</v>
      </c>
      <c r="AJ1315">
        <f>VLOOKUP(C1315,技能辅助查询表,技能配置辅助表!$L$1,FALSE)</f>
        <v>9</v>
      </c>
      <c r="AK1315">
        <f>VLOOKUP(C1315,技能辅助查询表,技能配置辅助表!$AE$1,FALSE)</f>
        <v>66000526</v>
      </c>
    </row>
    <row r="1316" spans="1:37" x14ac:dyDescent="0.15">
      <c r="A1316" s="1">
        <f t="shared" ca="1" si="590"/>
        <v>9313139</v>
      </c>
      <c r="B1316" s="1" t="str">
        <f t="shared" ca="1" si="591"/>
        <v>聚能手雷</v>
      </c>
      <c r="C1316" t="s">
        <v>178</v>
      </c>
      <c r="D1316">
        <f t="shared" si="592"/>
        <v>3</v>
      </c>
      <c r="E1316" s="42">
        <f t="shared" ca="1" si="583"/>
        <v>64</v>
      </c>
      <c r="F1316" t="str">
        <f t="shared" ca="1" si="584"/>
        <v>第39级，共造成277%点伤害</v>
      </c>
      <c r="G1316">
        <f t="shared" ca="1" si="593"/>
        <v>1</v>
      </c>
      <c r="H1316">
        <f t="shared" si="594"/>
        <v>1</v>
      </c>
      <c r="I1316" s="44">
        <f t="shared" ca="1" si="595"/>
        <v>39</v>
      </c>
      <c r="J1316">
        <f t="shared" si="596"/>
        <v>1</v>
      </c>
      <c r="K1316" s="36">
        <f t="shared" ca="1" si="597"/>
        <v>30.778571428571428</v>
      </c>
      <c r="L1316" s="10">
        <f ca="1">AH1316*VLOOKUP(C1316,技能辅助查询表,技能配置辅助表!$T$1,FALSE)</f>
        <v>0</v>
      </c>
      <c r="M1316">
        <f t="shared" ca="1" si="581"/>
        <v>6100</v>
      </c>
      <c r="N1316" s="33">
        <f ca="1">CHOOSE(1,W1316*U1316,X1316*'[1]0、经济设定'!$C$18)</f>
        <v>282975</v>
      </c>
      <c r="O1316">
        <f t="shared" si="598"/>
        <v>3</v>
      </c>
      <c r="P1316">
        <f t="shared" si="599"/>
        <v>9</v>
      </c>
      <c r="Q1316">
        <f t="shared" si="600"/>
        <v>1</v>
      </c>
      <c r="R1316" s="2">
        <f t="shared" si="601"/>
        <v>5</v>
      </c>
      <c r="S1316" s="2">
        <f t="shared" si="602"/>
        <v>50</v>
      </c>
      <c r="T1316" s="2">
        <f t="shared" si="603"/>
        <v>22.142857142857142</v>
      </c>
      <c r="U1316" s="2">
        <f ca="1">VLOOKUP(E1316,金币生产率!$A$2:$B$120,2,0)</f>
        <v>2695</v>
      </c>
      <c r="V1316" s="2">
        <f t="shared" si="604"/>
        <v>199.28571428571428</v>
      </c>
      <c r="W1316" s="45">
        <f t="shared" ca="1" si="588"/>
        <v>105</v>
      </c>
      <c r="X1316" s="48">
        <f t="shared" ca="1" si="589"/>
        <v>1488</v>
      </c>
      <c r="Y1316">
        <f t="shared" si="582"/>
        <v>18</v>
      </c>
      <c r="Z1316">
        <f t="shared" ca="1" si="585"/>
        <v>42</v>
      </c>
      <c r="AA1316" t="str">
        <f t="shared" ca="1" si="605"/>
        <v>9313100.png</v>
      </c>
      <c r="AB1316">
        <f t="shared" si="606"/>
        <v>2</v>
      </c>
      <c r="AC1316">
        <f>VLOOKUP(C1316,技能辅助查询表,技能配置辅助表!$W$1,FALSE)</f>
        <v>5321</v>
      </c>
      <c r="AD1316">
        <f t="shared" ca="1" si="586"/>
        <v>645.71127485787292</v>
      </c>
      <c r="AE1316">
        <f>VLOOKUP(C1316,技能辅助查询表,技能配置辅助表!$U$1,FALSE)</f>
        <v>1</v>
      </c>
      <c r="AF1316">
        <f t="shared" ca="1" si="607"/>
        <v>9313139</v>
      </c>
      <c r="AG1316">
        <f t="shared" ca="1" si="608"/>
        <v>63.163265306122447</v>
      </c>
      <c r="AH1316">
        <f t="shared" ca="1" si="587"/>
        <v>1823.9695427969455</v>
      </c>
      <c r="AI1316">
        <f ca="1">VLOOKUP(E1316,伤害参考系!$C$4:$E$104,3,FALSE)*$AN$12</f>
        <v>12506.737545150507</v>
      </c>
      <c r="AJ1316">
        <f>VLOOKUP(C1316,技能辅助查询表,技能配置辅助表!$L$1,FALSE)</f>
        <v>9</v>
      </c>
      <c r="AK1316">
        <f>VLOOKUP(C1316,技能辅助查询表,技能配置辅助表!$AE$1,FALSE)</f>
        <v>66000526</v>
      </c>
    </row>
    <row r="1317" spans="1:37" x14ac:dyDescent="0.15">
      <c r="A1317" s="1">
        <f t="shared" ca="1" si="590"/>
        <v>9313140</v>
      </c>
      <c r="B1317" s="1" t="str">
        <f t="shared" ca="1" si="591"/>
        <v>聚能手雷</v>
      </c>
      <c r="C1317" t="s">
        <v>178</v>
      </c>
      <c r="D1317">
        <f t="shared" si="592"/>
        <v>3</v>
      </c>
      <c r="E1317" s="42">
        <f t="shared" ca="1" si="583"/>
        <v>65</v>
      </c>
      <c r="F1317" t="str">
        <f t="shared" ca="1" si="584"/>
        <v>第40级，共造成279%点伤害</v>
      </c>
      <c r="G1317">
        <f t="shared" ca="1" si="593"/>
        <v>1</v>
      </c>
      <c r="H1317">
        <f t="shared" si="594"/>
        <v>1</v>
      </c>
      <c r="I1317" s="44">
        <f t="shared" ca="1" si="595"/>
        <v>40</v>
      </c>
      <c r="J1317">
        <f t="shared" si="596"/>
        <v>1</v>
      </c>
      <c r="K1317" s="36">
        <f t="shared" ca="1" si="597"/>
        <v>31</v>
      </c>
      <c r="L1317" s="10">
        <f ca="1">AH1317*VLOOKUP(C1317,技能辅助查询表,技能配置辅助表!$T$1,FALSE)</f>
        <v>0</v>
      </c>
      <c r="M1317">
        <f t="shared" ca="1" si="581"/>
        <v>6000</v>
      </c>
      <c r="N1317" s="33">
        <f ca="1">CHOOSE(1,W1317*U1317,X1317*'[1]0、经济设定'!$C$18)</f>
        <v>311696</v>
      </c>
      <c r="O1317">
        <f t="shared" si="598"/>
        <v>3</v>
      </c>
      <c r="P1317">
        <f t="shared" si="599"/>
        <v>9</v>
      </c>
      <c r="Q1317">
        <f t="shared" si="600"/>
        <v>1</v>
      </c>
      <c r="R1317" s="2">
        <f t="shared" si="601"/>
        <v>5</v>
      </c>
      <c r="S1317" s="2">
        <f t="shared" si="602"/>
        <v>50</v>
      </c>
      <c r="T1317" s="2">
        <f t="shared" si="603"/>
        <v>22.142857142857142</v>
      </c>
      <c r="U1317" s="2">
        <f ca="1">VLOOKUP(E1317,金币生产率!$A$2:$B$120,2,0)</f>
        <v>2783</v>
      </c>
      <c r="V1317" s="2">
        <f t="shared" si="604"/>
        <v>199.28571428571428</v>
      </c>
      <c r="W1317" s="45">
        <f t="shared" ca="1" si="588"/>
        <v>112</v>
      </c>
      <c r="X1317" s="48">
        <f t="shared" ca="1" si="589"/>
        <v>1600</v>
      </c>
      <c r="Y1317">
        <f t="shared" si="582"/>
        <v>18</v>
      </c>
      <c r="Z1317">
        <f t="shared" ca="1" si="585"/>
        <v>45</v>
      </c>
      <c r="AA1317" t="str">
        <f t="shared" ca="1" si="605"/>
        <v>9313100.png</v>
      </c>
      <c r="AB1317">
        <f t="shared" si="606"/>
        <v>2</v>
      </c>
      <c r="AC1317">
        <f>VLOOKUP(C1317,技能辅助查询表,技能配置辅助表!$W$1,FALSE)</f>
        <v>5321</v>
      </c>
      <c r="AD1317">
        <f t="shared" ca="1" si="586"/>
        <v>743.41034970341093</v>
      </c>
      <c r="AE1317">
        <f>VLOOKUP(C1317,技能辅助查询表,技能配置辅助表!$U$1,FALSE)</f>
        <v>1</v>
      </c>
      <c r="AF1317">
        <f t="shared" ca="1" si="607"/>
        <v>9313140</v>
      </c>
      <c r="AG1317">
        <f t="shared" ca="1" si="608"/>
        <v>64.693877551020407</v>
      </c>
      <c r="AH1317">
        <f t="shared" ca="1" si="587"/>
        <v>2076.5652226352254</v>
      </c>
      <c r="AI1317">
        <f ca="1">VLOOKUP(E1317,伤害参考系!$C$4:$E$104,3,FALSE)*$AN$12</f>
        <v>13079.520489130437</v>
      </c>
      <c r="AJ1317">
        <f>VLOOKUP(C1317,技能辅助查询表,技能配置辅助表!$L$1,FALSE)</f>
        <v>9</v>
      </c>
      <c r="AK1317">
        <f>VLOOKUP(C1317,技能辅助查询表,技能配置辅助表!$AE$1,FALSE)</f>
        <v>66000526</v>
      </c>
    </row>
    <row r="1318" spans="1:37" x14ac:dyDescent="0.15">
      <c r="A1318" s="1">
        <f t="shared" ca="1" si="590"/>
        <v>9313141</v>
      </c>
      <c r="B1318" s="1" t="str">
        <f t="shared" ca="1" si="591"/>
        <v>聚能手雷</v>
      </c>
      <c r="C1318" t="s">
        <v>178</v>
      </c>
      <c r="D1318">
        <f t="shared" si="592"/>
        <v>3</v>
      </c>
      <c r="E1318" s="42">
        <f t="shared" ca="1" si="583"/>
        <v>67</v>
      </c>
      <c r="F1318" t="str">
        <f t="shared" ca="1" si="584"/>
        <v>第41级，共造成281%点伤害</v>
      </c>
      <c r="G1318">
        <f t="shared" ca="1" si="593"/>
        <v>1</v>
      </c>
      <c r="H1318">
        <f t="shared" si="594"/>
        <v>1</v>
      </c>
      <c r="I1318" s="44">
        <f t="shared" ca="1" si="595"/>
        <v>41</v>
      </c>
      <c r="J1318">
        <f t="shared" si="596"/>
        <v>1</v>
      </c>
      <c r="K1318" s="36">
        <f t="shared" ca="1" si="597"/>
        <v>31.221428571428568</v>
      </c>
      <c r="L1318" s="10">
        <f ca="1">AH1318*VLOOKUP(C1318,技能辅助查询表,技能配置辅助表!$T$1,FALSE)</f>
        <v>0</v>
      </c>
      <c r="M1318">
        <f t="shared" ca="1" si="581"/>
        <v>5900</v>
      </c>
      <c r="N1318" s="33">
        <f ca="1">CHOOSE(1,W1318*U1318,X1318*'[1]0、经济设定'!$C$18)</f>
        <v>355560</v>
      </c>
      <c r="O1318">
        <f t="shared" si="598"/>
        <v>3</v>
      </c>
      <c r="P1318">
        <f t="shared" si="599"/>
        <v>9</v>
      </c>
      <c r="Q1318">
        <f t="shared" si="600"/>
        <v>1</v>
      </c>
      <c r="R1318" s="2">
        <f t="shared" si="601"/>
        <v>5</v>
      </c>
      <c r="S1318" s="2">
        <f t="shared" si="602"/>
        <v>50</v>
      </c>
      <c r="T1318" s="2">
        <f t="shared" si="603"/>
        <v>22.142857142857142</v>
      </c>
      <c r="U1318" s="2">
        <f ca="1">VLOOKUP(E1318,金币生产率!$A$2:$B$120,2,0)</f>
        <v>2963</v>
      </c>
      <c r="V1318" s="2">
        <f t="shared" si="604"/>
        <v>199.28571428571428</v>
      </c>
      <c r="W1318" s="45">
        <f t="shared" ca="1" si="588"/>
        <v>120</v>
      </c>
      <c r="X1318" s="48">
        <f t="shared" ca="1" si="589"/>
        <v>1720</v>
      </c>
      <c r="Y1318">
        <f t="shared" si="582"/>
        <v>18</v>
      </c>
      <c r="Z1318">
        <f t="shared" ca="1" si="585"/>
        <v>48</v>
      </c>
      <c r="AA1318" t="str">
        <f t="shared" ca="1" si="605"/>
        <v>9313100.png</v>
      </c>
      <c r="AB1318">
        <f t="shared" si="606"/>
        <v>2</v>
      </c>
      <c r="AC1318">
        <f>VLOOKUP(C1318,技能辅助查询表,技能配置辅助表!$W$1,FALSE)</f>
        <v>5321</v>
      </c>
      <c r="AD1318">
        <f t="shared" ca="1" si="586"/>
        <v>855.7856545587523</v>
      </c>
      <c r="AE1318">
        <f>VLOOKUP(C1318,技能辅助查询表,技能配置辅助表!$U$1,FALSE)</f>
        <v>1</v>
      </c>
      <c r="AF1318">
        <f t="shared" ca="1" si="607"/>
        <v>9313141</v>
      </c>
      <c r="AG1318">
        <f t="shared" ca="1" si="608"/>
        <v>66.224489795918373</v>
      </c>
      <c r="AH1318">
        <f t="shared" ca="1" si="587"/>
        <v>2364.1420663448707</v>
      </c>
      <c r="AI1318">
        <f ca="1">VLOOKUP(E1318,伤害参考系!$C$4:$E$104,3,FALSE)*$AN$12</f>
        <v>14262.572265050176</v>
      </c>
      <c r="AJ1318">
        <f>VLOOKUP(C1318,技能辅助查询表,技能配置辅助表!$L$1,FALSE)</f>
        <v>9</v>
      </c>
      <c r="AK1318">
        <f>VLOOKUP(C1318,技能辅助查询表,技能配置辅助表!$AE$1,FALSE)</f>
        <v>66000526</v>
      </c>
    </row>
    <row r="1319" spans="1:37" x14ac:dyDescent="0.15">
      <c r="A1319" s="1">
        <f t="shared" ca="1" si="590"/>
        <v>9313142</v>
      </c>
      <c r="B1319" s="1" t="str">
        <f t="shared" ca="1" si="591"/>
        <v>聚能手雷</v>
      </c>
      <c r="C1319" t="s">
        <v>178</v>
      </c>
      <c r="D1319">
        <f t="shared" si="592"/>
        <v>3</v>
      </c>
      <c r="E1319" s="42">
        <f t="shared" ca="1" si="583"/>
        <v>68</v>
      </c>
      <c r="F1319" t="str">
        <f t="shared" ca="1" si="584"/>
        <v>第42级，共造成283%点伤害</v>
      </c>
      <c r="G1319">
        <f t="shared" ca="1" si="593"/>
        <v>1</v>
      </c>
      <c r="H1319">
        <f t="shared" si="594"/>
        <v>1</v>
      </c>
      <c r="I1319" s="44">
        <f t="shared" ca="1" si="595"/>
        <v>42</v>
      </c>
      <c r="J1319">
        <f t="shared" si="596"/>
        <v>1</v>
      </c>
      <c r="K1319" s="36">
        <f t="shared" ca="1" si="597"/>
        <v>31.442857142857143</v>
      </c>
      <c r="L1319" s="10">
        <f ca="1">AH1319*VLOOKUP(C1319,技能辅助查询表,技能配置辅助表!$T$1,FALSE)</f>
        <v>0</v>
      </c>
      <c r="M1319">
        <f t="shared" ca="1" si="581"/>
        <v>5800</v>
      </c>
      <c r="N1319" s="33">
        <f ca="1">CHOOSE(1,W1319*U1319,X1319*'[1]0、经济设定'!$C$18)</f>
        <v>390912</v>
      </c>
      <c r="O1319">
        <f t="shared" si="598"/>
        <v>3</v>
      </c>
      <c r="P1319">
        <f t="shared" si="599"/>
        <v>9</v>
      </c>
      <c r="Q1319">
        <f t="shared" si="600"/>
        <v>1</v>
      </c>
      <c r="R1319" s="2">
        <f t="shared" si="601"/>
        <v>5</v>
      </c>
      <c r="S1319" s="2">
        <f t="shared" si="602"/>
        <v>50</v>
      </c>
      <c r="T1319" s="2">
        <f t="shared" si="603"/>
        <v>22.142857142857142</v>
      </c>
      <c r="U1319" s="2">
        <f ca="1">VLOOKUP(E1319,金币生产率!$A$2:$B$120,2,0)</f>
        <v>3054</v>
      </c>
      <c r="V1319" s="2">
        <f t="shared" si="604"/>
        <v>199.28571428571428</v>
      </c>
      <c r="W1319" s="45">
        <f t="shared" ca="1" si="588"/>
        <v>128</v>
      </c>
      <c r="X1319" s="48">
        <f t="shared" ca="1" si="589"/>
        <v>1848</v>
      </c>
      <c r="Y1319">
        <f t="shared" si="582"/>
        <v>18</v>
      </c>
      <c r="Z1319">
        <f t="shared" ca="1" si="585"/>
        <v>52</v>
      </c>
      <c r="AA1319" t="str">
        <f t="shared" ca="1" si="605"/>
        <v>9313100.png</v>
      </c>
      <c r="AB1319">
        <f t="shared" si="606"/>
        <v>2</v>
      </c>
      <c r="AC1319">
        <f>VLOOKUP(C1319,技能辅助查询表,技能配置辅助表!$W$1,FALSE)</f>
        <v>5321</v>
      </c>
      <c r="AD1319">
        <f t="shared" ca="1" si="586"/>
        <v>985.02838678358626</v>
      </c>
      <c r="AE1319">
        <f>VLOOKUP(C1319,技能辅助查询表,技能配置辅助表!$U$1,FALSE)</f>
        <v>1</v>
      </c>
      <c r="AF1319">
        <f t="shared" ca="1" si="607"/>
        <v>9313142</v>
      </c>
      <c r="AG1319">
        <f t="shared" ca="1" si="608"/>
        <v>67.755102040816325</v>
      </c>
      <c r="AH1319">
        <f t="shared" ca="1" si="587"/>
        <v>2691.5445028827789</v>
      </c>
      <c r="AI1319">
        <f ca="1">VLOOKUP(E1319,伤害参考系!$C$4:$E$104,3,FALSE)*$AN$12</f>
        <v>14872.841096989978</v>
      </c>
      <c r="AJ1319">
        <f>VLOOKUP(C1319,技能辅助查询表,技能配置辅助表!$L$1,FALSE)</f>
        <v>9</v>
      </c>
      <c r="AK1319">
        <f>VLOOKUP(C1319,技能辅助查询表,技能配置辅助表!$AE$1,FALSE)</f>
        <v>66000526</v>
      </c>
    </row>
    <row r="1320" spans="1:37" x14ac:dyDescent="0.15">
      <c r="A1320" s="1">
        <f t="shared" ca="1" si="590"/>
        <v>9313143</v>
      </c>
      <c r="B1320" s="1" t="str">
        <f t="shared" ca="1" si="591"/>
        <v>聚能手雷</v>
      </c>
      <c r="C1320" t="s">
        <v>178</v>
      </c>
      <c r="D1320">
        <f t="shared" si="592"/>
        <v>3</v>
      </c>
      <c r="E1320" s="42">
        <f t="shared" ca="1" si="583"/>
        <v>70</v>
      </c>
      <c r="F1320" t="str">
        <f t="shared" ca="1" si="584"/>
        <v>第43级，共造成285%点伤害</v>
      </c>
      <c r="G1320">
        <f t="shared" ca="1" si="593"/>
        <v>1</v>
      </c>
      <c r="H1320">
        <f t="shared" si="594"/>
        <v>1</v>
      </c>
      <c r="I1320" s="44">
        <f t="shared" ca="1" si="595"/>
        <v>43</v>
      </c>
      <c r="J1320">
        <f t="shared" si="596"/>
        <v>1</v>
      </c>
      <c r="K1320" s="36">
        <f t="shared" ca="1" si="597"/>
        <v>31.664285714285711</v>
      </c>
      <c r="L1320" s="10">
        <f ca="1">AH1320*VLOOKUP(C1320,技能辅助查询表,技能配置辅助表!$T$1,FALSE)</f>
        <v>0</v>
      </c>
      <c r="M1320">
        <f t="shared" ca="1" si="581"/>
        <v>5700</v>
      </c>
      <c r="N1320" s="33">
        <f ca="1">CHOOSE(1,W1320*U1320,X1320*'[1]0、经济设定'!$C$18)</f>
        <v>444154</v>
      </c>
      <c r="O1320">
        <f t="shared" si="598"/>
        <v>3</v>
      </c>
      <c r="P1320">
        <f t="shared" si="599"/>
        <v>9</v>
      </c>
      <c r="Q1320">
        <f t="shared" si="600"/>
        <v>1</v>
      </c>
      <c r="R1320" s="2">
        <f t="shared" si="601"/>
        <v>5</v>
      </c>
      <c r="S1320" s="2">
        <f t="shared" si="602"/>
        <v>50</v>
      </c>
      <c r="T1320" s="2">
        <f t="shared" si="603"/>
        <v>22.142857142857142</v>
      </c>
      <c r="U1320" s="2">
        <f ca="1">VLOOKUP(E1320,金币生产率!$A$2:$B$120,2,0)</f>
        <v>3242</v>
      </c>
      <c r="V1320" s="2">
        <f t="shared" si="604"/>
        <v>199.28571428571428</v>
      </c>
      <c r="W1320" s="45">
        <f t="shared" ca="1" si="588"/>
        <v>137</v>
      </c>
      <c r="X1320" s="48">
        <f t="shared" ca="1" si="589"/>
        <v>1985</v>
      </c>
      <c r="Y1320">
        <f t="shared" si="582"/>
        <v>18</v>
      </c>
      <c r="Z1320">
        <f t="shared" ca="1" si="585"/>
        <v>55</v>
      </c>
      <c r="AA1320" t="str">
        <f t="shared" ca="1" si="605"/>
        <v>9313100.png</v>
      </c>
      <c r="AB1320">
        <f t="shared" si="606"/>
        <v>2</v>
      </c>
      <c r="AC1320">
        <f>VLOOKUP(C1320,技能辅助查询表,技能配置辅助表!$W$1,FALSE)</f>
        <v>5321</v>
      </c>
      <c r="AD1320">
        <f t="shared" ca="1" si="586"/>
        <v>1133.6551781006988</v>
      </c>
      <c r="AE1320">
        <f>VLOOKUP(C1320,技能辅助查询表,技能配置辅助表!$U$1,FALSE)</f>
        <v>1</v>
      </c>
      <c r="AF1320">
        <f t="shared" ca="1" si="607"/>
        <v>9313143</v>
      </c>
      <c r="AG1320">
        <f t="shared" ca="1" si="608"/>
        <v>69.285714285714292</v>
      </c>
      <c r="AH1320">
        <f t="shared" ca="1" si="587"/>
        <v>3064.2878506023458</v>
      </c>
      <c r="AI1320">
        <f ca="1">VLOOKUP(E1320,伤害参考系!$C$4:$E$104,3,FALSE)*$AN$12</f>
        <v>16191.966408862889</v>
      </c>
      <c r="AJ1320">
        <f>VLOOKUP(C1320,技能辅助查询表,技能配置辅助表!$L$1,FALSE)</f>
        <v>9</v>
      </c>
      <c r="AK1320">
        <f>VLOOKUP(C1320,技能辅助查询表,技能配置辅助表!$AE$1,FALSE)</f>
        <v>66000526</v>
      </c>
    </row>
    <row r="1321" spans="1:37" x14ac:dyDescent="0.15">
      <c r="A1321" s="1">
        <f t="shared" ca="1" si="590"/>
        <v>9313144</v>
      </c>
      <c r="B1321" s="1" t="str">
        <f t="shared" ca="1" si="591"/>
        <v>聚能手雷</v>
      </c>
      <c r="C1321" t="s">
        <v>178</v>
      </c>
      <c r="D1321">
        <f t="shared" si="592"/>
        <v>3</v>
      </c>
      <c r="E1321" s="42">
        <f t="shared" ca="1" si="583"/>
        <v>71</v>
      </c>
      <c r="F1321" t="str">
        <f t="shared" ca="1" si="584"/>
        <v>第44级，共造成287%点伤害</v>
      </c>
      <c r="G1321">
        <f t="shared" ca="1" si="593"/>
        <v>1</v>
      </c>
      <c r="H1321">
        <f t="shared" si="594"/>
        <v>1</v>
      </c>
      <c r="I1321" s="44">
        <f t="shared" ca="1" si="595"/>
        <v>44</v>
      </c>
      <c r="J1321">
        <f t="shared" si="596"/>
        <v>1</v>
      </c>
      <c r="K1321" s="36">
        <f t="shared" ca="1" si="597"/>
        <v>31.885714285714286</v>
      </c>
      <c r="L1321" s="10">
        <f ca="1">AH1321*VLOOKUP(C1321,技能辅助查询表,技能配置辅助表!$T$1,FALSE)</f>
        <v>0</v>
      </c>
      <c r="M1321">
        <f t="shared" ca="1" si="581"/>
        <v>5600</v>
      </c>
      <c r="N1321" s="33">
        <f ca="1">CHOOSE(1,W1321*U1321,X1321*'[1]0、经济设定'!$C$18)</f>
        <v>490686</v>
      </c>
      <c r="O1321">
        <f t="shared" si="598"/>
        <v>3</v>
      </c>
      <c r="P1321">
        <f t="shared" si="599"/>
        <v>9</v>
      </c>
      <c r="Q1321">
        <f t="shared" si="600"/>
        <v>1</v>
      </c>
      <c r="R1321" s="2">
        <f t="shared" si="601"/>
        <v>5</v>
      </c>
      <c r="S1321" s="2">
        <f t="shared" si="602"/>
        <v>50</v>
      </c>
      <c r="T1321" s="2">
        <f t="shared" si="603"/>
        <v>22.142857142857142</v>
      </c>
      <c r="U1321" s="2">
        <f ca="1">VLOOKUP(E1321,金币生产率!$A$2:$B$120,2,0)</f>
        <v>3338</v>
      </c>
      <c r="V1321" s="2">
        <f t="shared" si="604"/>
        <v>199.28571428571428</v>
      </c>
      <c r="W1321" s="45">
        <f t="shared" ca="1" si="588"/>
        <v>147</v>
      </c>
      <c r="X1321" s="48">
        <f t="shared" ca="1" si="589"/>
        <v>2132</v>
      </c>
      <c r="Y1321">
        <f t="shared" si="582"/>
        <v>18</v>
      </c>
      <c r="Z1321">
        <f t="shared" ca="1" si="585"/>
        <v>59</v>
      </c>
      <c r="AA1321" t="str">
        <f t="shared" ca="1" si="605"/>
        <v>9313100.png</v>
      </c>
      <c r="AB1321">
        <f t="shared" si="606"/>
        <v>2</v>
      </c>
      <c r="AC1321">
        <f>VLOOKUP(C1321,技能辅助查询表,技能配置辅助表!$W$1,FALSE)</f>
        <v>5321</v>
      </c>
      <c r="AD1321">
        <f t="shared" ca="1" si="586"/>
        <v>1304.5562072384339</v>
      </c>
      <c r="AE1321">
        <f>VLOOKUP(C1321,技能辅助查询表,技能配置辅助表!$U$1,FALSE)</f>
        <v>1</v>
      </c>
      <c r="AF1321">
        <f t="shared" ca="1" si="607"/>
        <v>9313144</v>
      </c>
      <c r="AG1321">
        <f t="shared" ca="1" si="608"/>
        <v>70.816326530612244</v>
      </c>
      <c r="AH1321">
        <f t="shared" ca="1" si="587"/>
        <v>3488.6512265697725</v>
      </c>
      <c r="AI1321">
        <f ca="1">VLOOKUP(E1321,伤害参考系!$C$4:$E$104,3,FALSE)*$AN$12</f>
        <v>16902.905438127098</v>
      </c>
      <c r="AJ1321">
        <f>VLOOKUP(C1321,技能辅助查询表,技能配置辅助表!$L$1,FALSE)</f>
        <v>9</v>
      </c>
      <c r="AK1321">
        <f>VLOOKUP(C1321,技能辅助查询表,技能配置辅助表!$AE$1,FALSE)</f>
        <v>66000526</v>
      </c>
    </row>
    <row r="1322" spans="1:37" x14ac:dyDescent="0.15">
      <c r="A1322" s="1">
        <f t="shared" ca="1" si="590"/>
        <v>9313145</v>
      </c>
      <c r="B1322" s="1" t="str">
        <f t="shared" ca="1" si="591"/>
        <v>聚能手雷</v>
      </c>
      <c r="C1322" t="s">
        <v>178</v>
      </c>
      <c r="D1322">
        <f t="shared" si="592"/>
        <v>3</v>
      </c>
      <c r="E1322" s="42">
        <f t="shared" ca="1" si="583"/>
        <v>73</v>
      </c>
      <c r="F1322" t="str">
        <f t="shared" ca="1" si="584"/>
        <v>第45级，共造成289%点伤害</v>
      </c>
      <c r="G1322">
        <f t="shared" ca="1" si="593"/>
        <v>1</v>
      </c>
      <c r="H1322">
        <f t="shared" si="594"/>
        <v>1</v>
      </c>
      <c r="I1322" s="44">
        <f t="shared" ca="1" si="595"/>
        <v>45</v>
      </c>
      <c r="J1322">
        <f t="shared" si="596"/>
        <v>1</v>
      </c>
      <c r="K1322" s="36">
        <f t="shared" ca="1" si="597"/>
        <v>32.107142857142854</v>
      </c>
      <c r="L1322" s="10">
        <f ca="1">AH1322*VLOOKUP(C1322,技能辅助查询表,技能配置辅助表!$T$1,FALSE)</f>
        <v>0</v>
      </c>
      <c r="M1322">
        <f t="shared" ca="1" si="581"/>
        <v>5500</v>
      </c>
      <c r="N1322" s="33">
        <f ca="1">CHOOSE(1,W1322*U1322,X1322*'[1]0、经济设定'!$C$18)</f>
        <v>554838</v>
      </c>
      <c r="O1322">
        <f t="shared" si="598"/>
        <v>3</v>
      </c>
      <c r="P1322">
        <f t="shared" si="599"/>
        <v>9</v>
      </c>
      <c r="Q1322">
        <f t="shared" si="600"/>
        <v>1</v>
      </c>
      <c r="R1322" s="2">
        <f t="shared" si="601"/>
        <v>5</v>
      </c>
      <c r="S1322" s="2">
        <f t="shared" si="602"/>
        <v>50</v>
      </c>
      <c r="T1322" s="2">
        <f t="shared" si="603"/>
        <v>22.142857142857142</v>
      </c>
      <c r="U1322" s="2">
        <f ca="1">VLOOKUP(E1322,金币生产率!$A$2:$B$120,2,0)</f>
        <v>3534</v>
      </c>
      <c r="V1322" s="2">
        <f t="shared" si="604"/>
        <v>199.28571428571428</v>
      </c>
      <c r="W1322" s="45">
        <f t="shared" ca="1" si="588"/>
        <v>157</v>
      </c>
      <c r="X1322" s="48">
        <f t="shared" ca="1" si="589"/>
        <v>2289</v>
      </c>
      <c r="Y1322">
        <f t="shared" si="582"/>
        <v>18</v>
      </c>
      <c r="Z1322">
        <f t="shared" ca="1" si="585"/>
        <v>63</v>
      </c>
      <c r="AA1322" t="str">
        <f t="shared" ca="1" si="605"/>
        <v>9313100.png</v>
      </c>
      <c r="AB1322">
        <f t="shared" si="606"/>
        <v>2</v>
      </c>
      <c r="AC1322">
        <f>VLOOKUP(C1322,技能辅助查询表,技能配置辅助表!$W$1,FALSE)</f>
        <v>5321</v>
      </c>
      <c r="AD1322">
        <f t="shared" ca="1" si="586"/>
        <v>1501.050397131401</v>
      </c>
      <c r="AE1322">
        <f>VLOOKUP(C1322,技能辅助查询表,技能配置辅助表!$U$1,FALSE)</f>
        <v>1</v>
      </c>
      <c r="AF1322">
        <f t="shared" ca="1" si="607"/>
        <v>9313145</v>
      </c>
      <c r="AG1322">
        <f t="shared" ca="1" si="608"/>
        <v>72.34693877551021</v>
      </c>
      <c r="AH1322">
        <f t="shared" ca="1" si="587"/>
        <v>3971.7833225930094</v>
      </c>
      <c r="AI1322">
        <f ca="1">VLOOKUP(E1322,伤害参考系!$C$4:$E$104,3,FALSE)*$AN$12</f>
        <v>18368.517032608706</v>
      </c>
      <c r="AJ1322">
        <f>VLOOKUP(C1322,技能辅助查询表,技能配置辅助表!$L$1,FALSE)</f>
        <v>9</v>
      </c>
      <c r="AK1322">
        <f>VLOOKUP(C1322,技能辅助查询表,技能配置辅助表!$AE$1,FALSE)</f>
        <v>66000526</v>
      </c>
    </row>
    <row r="1323" spans="1:37" x14ac:dyDescent="0.15">
      <c r="A1323" s="1">
        <f t="shared" ca="1" si="590"/>
        <v>9313146</v>
      </c>
      <c r="B1323" s="1" t="str">
        <f t="shared" ca="1" si="591"/>
        <v>聚能手雷</v>
      </c>
      <c r="C1323" t="s">
        <v>178</v>
      </c>
      <c r="D1323">
        <f t="shared" si="592"/>
        <v>3</v>
      </c>
      <c r="E1323" s="42">
        <f t="shared" ca="1" si="583"/>
        <v>74</v>
      </c>
      <c r="F1323" t="str">
        <f t="shared" ca="1" si="584"/>
        <v>第46级，共造成291%点伤害</v>
      </c>
      <c r="G1323">
        <f t="shared" ca="1" si="593"/>
        <v>1</v>
      </c>
      <c r="H1323">
        <f t="shared" si="594"/>
        <v>1</v>
      </c>
      <c r="I1323" s="44">
        <f t="shared" ca="1" si="595"/>
        <v>46</v>
      </c>
      <c r="J1323">
        <f t="shared" si="596"/>
        <v>1</v>
      </c>
      <c r="K1323" s="36">
        <f t="shared" ca="1" si="597"/>
        <v>32.328571428571429</v>
      </c>
      <c r="L1323" s="10">
        <f ca="1">AH1323*VLOOKUP(C1323,技能辅助查询表,技能配置辅助表!$T$1,FALSE)</f>
        <v>0</v>
      </c>
      <c r="M1323">
        <f t="shared" ca="1" si="581"/>
        <v>5400</v>
      </c>
      <c r="N1323" s="33">
        <f ca="1">CHOOSE(1,W1323*U1323,X1323*'[1]0、经济设定'!$C$18)</f>
        <v>610512</v>
      </c>
      <c r="O1323">
        <f t="shared" si="598"/>
        <v>3</v>
      </c>
      <c r="P1323">
        <f t="shared" si="599"/>
        <v>9</v>
      </c>
      <c r="Q1323">
        <f t="shared" si="600"/>
        <v>1</v>
      </c>
      <c r="R1323" s="2">
        <f t="shared" si="601"/>
        <v>5</v>
      </c>
      <c r="S1323" s="2">
        <f t="shared" si="602"/>
        <v>50</v>
      </c>
      <c r="T1323" s="2">
        <f t="shared" si="603"/>
        <v>22.142857142857142</v>
      </c>
      <c r="U1323" s="2">
        <f ca="1">VLOOKUP(E1323,金币生产率!$A$2:$B$120,2,0)</f>
        <v>3634</v>
      </c>
      <c r="V1323" s="2">
        <f t="shared" si="604"/>
        <v>199.28571428571428</v>
      </c>
      <c r="W1323" s="45">
        <f t="shared" ca="1" si="588"/>
        <v>168</v>
      </c>
      <c r="X1323" s="48">
        <f t="shared" ca="1" si="589"/>
        <v>2457</v>
      </c>
      <c r="Y1323">
        <f t="shared" si="582"/>
        <v>18</v>
      </c>
      <c r="Z1323">
        <f t="shared" ca="1" si="585"/>
        <v>68</v>
      </c>
      <c r="AA1323" t="str">
        <f t="shared" ca="1" si="605"/>
        <v>9313100.png</v>
      </c>
      <c r="AB1323">
        <f t="shared" si="606"/>
        <v>2</v>
      </c>
      <c r="AC1323">
        <f>VLOOKUP(C1323,技能辅助查询表,技能配置辅助表!$W$1,FALSE)</f>
        <v>5321</v>
      </c>
      <c r="AD1323">
        <f t="shared" ca="1" si="586"/>
        <v>1726.948736182208</v>
      </c>
      <c r="AE1323">
        <f>VLOOKUP(C1323,技能辅助查询表,技能配置辅助表!$U$1,FALSE)</f>
        <v>1</v>
      </c>
      <c r="AF1323">
        <f t="shared" ca="1" si="607"/>
        <v>9313146</v>
      </c>
      <c r="AG1323">
        <f t="shared" ca="1" si="608"/>
        <v>73.877551020408163</v>
      </c>
      <c r="AH1323">
        <f t="shared" ca="1" si="587"/>
        <v>4521.8228298329677</v>
      </c>
      <c r="AI1323">
        <f ca="1">VLOOKUP(E1323,伤害参考系!$C$4:$E$104,3,FALSE)*$AN$12</f>
        <v>19123.189597826095</v>
      </c>
      <c r="AJ1323">
        <f>VLOOKUP(C1323,技能辅助查询表,技能配置辅助表!$L$1,FALSE)</f>
        <v>9</v>
      </c>
      <c r="AK1323">
        <f>VLOOKUP(C1323,技能辅助查询表,技能配置辅助表!$AE$1,FALSE)</f>
        <v>66000526</v>
      </c>
    </row>
    <row r="1324" spans="1:37" x14ac:dyDescent="0.15">
      <c r="A1324" s="1">
        <f t="shared" ca="1" si="590"/>
        <v>9313147</v>
      </c>
      <c r="B1324" s="1" t="str">
        <f t="shared" ca="1" si="591"/>
        <v>聚能手雷</v>
      </c>
      <c r="C1324" t="s">
        <v>178</v>
      </c>
      <c r="D1324">
        <f t="shared" si="592"/>
        <v>3</v>
      </c>
      <c r="E1324" s="42">
        <f t="shared" ca="1" si="583"/>
        <v>76</v>
      </c>
      <c r="F1324" t="str">
        <f t="shared" ca="1" si="584"/>
        <v>第47级，共造成293%点伤害</v>
      </c>
      <c r="G1324">
        <f t="shared" ca="1" si="593"/>
        <v>1</v>
      </c>
      <c r="H1324">
        <f t="shared" si="594"/>
        <v>1</v>
      </c>
      <c r="I1324" s="44">
        <f t="shared" ca="1" si="595"/>
        <v>47</v>
      </c>
      <c r="J1324">
        <f t="shared" si="596"/>
        <v>1</v>
      </c>
      <c r="K1324" s="36">
        <f t="shared" ca="1" si="597"/>
        <v>32.549999999999997</v>
      </c>
      <c r="L1324" s="10">
        <f ca="1">AH1324*VLOOKUP(C1324,技能辅助查询表,技能配置辅助表!$T$1,FALSE)</f>
        <v>0</v>
      </c>
      <c r="M1324">
        <f t="shared" ca="1" si="581"/>
        <v>5300</v>
      </c>
      <c r="N1324" s="33">
        <f ca="1">CHOOSE(1,W1324*U1324,X1324*'[1]0、经济设定'!$C$18)</f>
        <v>690840</v>
      </c>
      <c r="O1324">
        <f t="shared" si="598"/>
        <v>3</v>
      </c>
      <c r="P1324">
        <f t="shared" si="599"/>
        <v>9</v>
      </c>
      <c r="Q1324">
        <f t="shared" si="600"/>
        <v>1</v>
      </c>
      <c r="R1324" s="2">
        <f t="shared" si="601"/>
        <v>5</v>
      </c>
      <c r="S1324" s="2">
        <f t="shared" si="602"/>
        <v>50</v>
      </c>
      <c r="T1324" s="2">
        <f t="shared" si="603"/>
        <v>22.142857142857142</v>
      </c>
      <c r="U1324" s="2">
        <f ca="1">VLOOKUP(E1324,金币生产率!$A$2:$B$120,2,0)</f>
        <v>3838</v>
      </c>
      <c r="V1324" s="2">
        <f t="shared" si="604"/>
        <v>199.28571428571428</v>
      </c>
      <c r="W1324" s="45">
        <f t="shared" ca="1" si="588"/>
        <v>180</v>
      </c>
      <c r="X1324" s="48">
        <f t="shared" ca="1" si="589"/>
        <v>2637</v>
      </c>
      <c r="Y1324">
        <f t="shared" si="582"/>
        <v>18</v>
      </c>
      <c r="Z1324">
        <f t="shared" ca="1" si="585"/>
        <v>72</v>
      </c>
      <c r="AA1324" t="str">
        <f t="shared" ca="1" si="605"/>
        <v>9313100.png</v>
      </c>
      <c r="AB1324">
        <f t="shared" si="606"/>
        <v>2</v>
      </c>
      <c r="AC1324">
        <f>VLOOKUP(C1324,技能辅助查询表,技能配置辅助表!$W$1,FALSE)</f>
        <v>5321</v>
      </c>
      <c r="AD1324">
        <f t="shared" ca="1" si="586"/>
        <v>1986.6269151299225</v>
      </c>
      <c r="AE1324">
        <f>VLOOKUP(C1324,技能辅助查询表,技能配置辅助表!$U$1,FALSE)</f>
        <v>1</v>
      </c>
      <c r="AF1324">
        <f t="shared" ca="1" si="607"/>
        <v>9313147</v>
      </c>
      <c r="AG1324">
        <f t="shared" ca="1" si="608"/>
        <v>75.408163265306129</v>
      </c>
      <c r="AH1324">
        <f t="shared" ca="1" si="587"/>
        <v>5148.0355406320868</v>
      </c>
      <c r="AI1324">
        <f ca="1">VLOOKUP(E1324,伤害参考系!$C$4:$E$104,3,FALSE)*$AN$12</f>
        <v>20676.268264214057</v>
      </c>
      <c r="AJ1324">
        <f>VLOOKUP(C1324,技能辅助查询表,技能配置辅助表!$L$1,FALSE)</f>
        <v>9</v>
      </c>
      <c r="AK1324">
        <f>VLOOKUP(C1324,技能辅助查询表,技能配置辅助表!$AE$1,FALSE)</f>
        <v>66000526</v>
      </c>
    </row>
    <row r="1325" spans="1:37" x14ac:dyDescent="0.15">
      <c r="A1325" s="1">
        <f t="shared" ca="1" si="590"/>
        <v>9313148</v>
      </c>
      <c r="B1325" s="1" t="str">
        <f t="shared" ca="1" si="591"/>
        <v>聚能手雷</v>
      </c>
      <c r="C1325" t="s">
        <v>178</v>
      </c>
      <c r="D1325">
        <f t="shared" si="592"/>
        <v>3</v>
      </c>
      <c r="E1325" s="42">
        <f t="shared" ca="1" si="583"/>
        <v>77</v>
      </c>
      <c r="F1325" t="str">
        <f t="shared" ca="1" si="584"/>
        <v>第48级，共造成294.9%点伤害</v>
      </c>
      <c r="G1325">
        <f t="shared" ca="1" si="593"/>
        <v>1</v>
      </c>
      <c r="H1325">
        <f t="shared" si="594"/>
        <v>1</v>
      </c>
      <c r="I1325" s="44">
        <f t="shared" ca="1" si="595"/>
        <v>48</v>
      </c>
      <c r="J1325">
        <f t="shared" si="596"/>
        <v>1</v>
      </c>
      <c r="K1325" s="36">
        <f t="shared" ca="1" si="597"/>
        <v>32.771428571428572</v>
      </c>
      <c r="L1325" s="10">
        <f ca="1">AH1325*VLOOKUP(C1325,技能辅助查询表,技能配置辅助表!$T$1,FALSE)</f>
        <v>0</v>
      </c>
      <c r="M1325">
        <f t="shared" ca="1" si="581"/>
        <v>5200</v>
      </c>
      <c r="N1325" s="33">
        <f ca="1">CHOOSE(1,W1325*U1325,X1325*'[1]0、经济设定'!$C$18)</f>
        <v>760806</v>
      </c>
      <c r="O1325">
        <f t="shared" si="598"/>
        <v>3</v>
      </c>
      <c r="P1325">
        <f t="shared" si="599"/>
        <v>9</v>
      </c>
      <c r="Q1325">
        <f t="shared" si="600"/>
        <v>1</v>
      </c>
      <c r="R1325" s="2">
        <f t="shared" si="601"/>
        <v>5</v>
      </c>
      <c r="S1325" s="2">
        <f t="shared" si="602"/>
        <v>50</v>
      </c>
      <c r="T1325" s="2">
        <f t="shared" si="603"/>
        <v>22.142857142857142</v>
      </c>
      <c r="U1325" s="2">
        <f ca="1">VLOOKUP(E1325,金币生产率!$A$2:$B$120,2,0)</f>
        <v>3942</v>
      </c>
      <c r="V1325" s="2">
        <f t="shared" si="604"/>
        <v>199.28571428571428</v>
      </c>
      <c r="W1325" s="45">
        <f t="shared" ca="1" si="588"/>
        <v>193</v>
      </c>
      <c r="X1325" s="48">
        <f t="shared" ca="1" si="589"/>
        <v>2830</v>
      </c>
      <c r="Y1325">
        <f t="shared" si="582"/>
        <v>18</v>
      </c>
      <c r="Z1325">
        <f t="shared" ca="1" si="585"/>
        <v>78</v>
      </c>
      <c r="AA1325" t="str">
        <f t="shared" ca="1" si="605"/>
        <v>9313100.png</v>
      </c>
      <c r="AB1325">
        <f t="shared" si="606"/>
        <v>2</v>
      </c>
      <c r="AC1325">
        <f>VLOOKUP(C1325,技能辅助查询表,技能配置辅助表!$W$1,FALSE)</f>
        <v>5321</v>
      </c>
      <c r="AD1325">
        <f t="shared" ca="1" si="586"/>
        <v>2285.1086452896584</v>
      </c>
      <c r="AE1325">
        <f>VLOOKUP(C1325,技能辅助查询表,技能配置辅助表!$U$1,FALSE)</f>
        <v>1</v>
      </c>
      <c r="AF1325">
        <f t="shared" ca="1" si="607"/>
        <v>9313148</v>
      </c>
      <c r="AG1325">
        <f t="shared" ca="1" si="608"/>
        <v>76.938775510204081</v>
      </c>
      <c r="AH1325">
        <f t="shared" ca="1" si="587"/>
        <v>5860.970437134547</v>
      </c>
      <c r="AI1325">
        <f ca="1">VLOOKUP(E1325,伤害参考系!$C$4:$E$104,3,FALSE)*$AN$12</f>
        <v>21474.674365384624</v>
      </c>
      <c r="AJ1325">
        <f>VLOOKUP(C1325,技能辅助查询表,技能配置辅助表!$L$1,FALSE)</f>
        <v>9</v>
      </c>
      <c r="AK1325">
        <f>VLOOKUP(C1325,技能辅助查询表,技能配置辅助表!$AE$1,FALSE)</f>
        <v>66000526</v>
      </c>
    </row>
    <row r="1326" spans="1:37" x14ac:dyDescent="0.15">
      <c r="A1326" s="1">
        <f t="shared" ca="1" si="590"/>
        <v>9313149</v>
      </c>
      <c r="B1326" s="1" t="str">
        <f t="shared" ca="1" si="591"/>
        <v>聚能手雷</v>
      </c>
      <c r="C1326" t="s">
        <v>178</v>
      </c>
      <c r="D1326">
        <f t="shared" si="592"/>
        <v>3</v>
      </c>
      <c r="E1326" s="42">
        <f t="shared" ca="1" si="583"/>
        <v>79</v>
      </c>
      <c r="F1326" t="str">
        <f t="shared" ca="1" si="584"/>
        <v>第49级，共造成296.9%点伤害</v>
      </c>
      <c r="G1326">
        <f t="shared" ca="1" si="593"/>
        <v>1</v>
      </c>
      <c r="H1326">
        <f t="shared" si="594"/>
        <v>1</v>
      </c>
      <c r="I1326" s="44">
        <f t="shared" ca="1" si="595"/>
        <v>49</v>
      </c>
      <c r="J1326">
        <f t="shared" si="596"/>
        <v>1</v>
      </c>
      <c r="K1326" s="36">
        <f t="shared" ca="1" si="597"/>
        <v>32.99285714285714</v>
      </c>
      <c r="L1326" s="10">
        <f ca="1">AH1326*VLOOKUP(C1326,技能辅助查询表,技能配置辅助表!$T$1,FALSE)</f>
        <v>0</v>
      </c>
      <c r="M1326">
        <f t="shared" ca="1" si="581"/>
        <v>5100</v>
      </c>
      <c r="N1326" s="33">
        <f ca="1">CHOOSE(1,W1326*U1326,X1326*'[1]0、经济设定'!$C$18)</f>
        <v>855724</v>
      </c>
      <c r="O1326">
        <f t="shared" si="598"/>
        <v>3</v>
      </c>
      <c r="P1326">
        <f t="shared" si="599"/>
        <v>9</v>
      </c>
      <c r="Q1326">
        <f t="shared" si="600"/>
        <v>1</v>
      </c>
      <c r="R1326" s="2">
        <f t="shared" si="601"/>
        <v>5</v>
      </c>
      <c r="S1326" s="2">
        <f t="shared" si="602"/>
        <v>50</v>
      </c>
      <c r="T1326" s="2">
        <f t="shared" si="603"/>
        <v>22.142857142857142</v>
      </c>
      <c r="U1326" s="2">
        <f ca="1">VLOOKUP(E1326,金币生产率!$A$2:$B$120,2,0)</f>
        <v>4154</v>
      </c>
      <c r="V1326" s="2">
        <f t="shared" si="604"/>
        <v>199.28571428571428</v>
      </c>
      <c r="W1326" s="45">
        <f t="shared" ca="1" si="588"/>
        <v>206</v>
      </c>
      <c r="X1326" s="48">
        <f t="shared" ca="1" si="589"/>
        <v>3036</v>
      </c>
      <c r="Y1326">
        <f t="shared" si="582"/>
        <v>18</v>
      </c>
      <c r="Z1326">
        <f t="shared" ca="1" si="585"/>
        <v>83</v>
      </c>
      <c r="AA1326" t="str">
        <f t="shared" ca="1" si="605"/>
        <v>9313100.png</v>
      </c>
      <c r="AB1326">
        <f t="shared" si="606"/>
        <v>2</v>
      </c>
      <c r="AC1326">
        <f>VLOOKUP(C1326,技能辅助查询表,技能配置辅助表!$W$1,FALSE)</f>
        <v>5321</v>
      </c>
      <c r="AD1326">
        <f t="shared" ca="1" si="586"/>
        <v>2628.1612235480525</v>
      </c>
      <c r="AE1326">
        <f>VLOOKUP(C1326,技能辅助查询表,技能配置辅助表!$U$1,FALSE)</f>
        <v>1</v>
      </c>
      <c r="AF1326">
        <f t="shared" ca="1" si="607"/>
        <v>9313149</v>
      </c>
      <c r="AG1326">
        <f t="shared" ca="1" si="608"/>
        <v>78.469387755102048</v>
      </c>
      <c r="AH1326">
        <f t="shared" ca="1" si="587"/>
        <v>6672.6373961177951</v>
      </c>
      <c r="AI1326">
        <f ca="1">VLOOKUP(E1326,伤害参考系!$C$4:$E$104,3,FALSE)*$AN$12</f>
        <v>23115.220103678937</v>
      </c>
      <c r="AJ1326">
        <f>VLOOKUP(C1326,技能辅助查询表,技能配置辅助表!$L$1,FALSE)</f>
        <v>9</v>
      </c>
      <c r="AK1326">
        <f>VLOOKUP(C1326,技能辅助查询表,技能配置辅助表!$AE$1,FALSE)</f>
        <v>66000526</v>
      </c>
    </row>
    <row r="1327" spans="1:37" x14ac:dyDescent="0.15">
      <c r="A1327" s="1">
        <f t="shared" ca="1" si="590"/>
        <v>9313150</v>
      </c>
      <c r="B1327" s="1" t="str">
        <f t="shared" ca="1" si="591"/>
        <v>聚能手雷</v>
      </c>
      <c r="C1327" t="s">
        <v>178</v>
      </c>
      <c r="D1327">
        <f t="shared" si="592"/>
        <v>3</v>
      </c>
      <c r="E1327" s="42">
        <f t="shared" ca="1" si="583"/>
        <v>80</v>
      </c>
      <c r="F1327" t="str">
        <f t="shared" ca="1" si="584"/>
        <v>第50级，共造成298.9%点伤害</v>
      </c>
      <c r="G1327">
        <f t="shared" ca="1" si="593"/>
        <v>1</v>
      </c>
      <c r="H1327">
        <f t="shared" si="594"/>
        <v>1</v>
      </c>
      <c r="I1327" s="44">
        <f t="shared" ca="1" si="595"/>
        <v>50</v>
      </c>
      <c r="J1327">
        <f t="shared" si="596"/>
        <v>1</v>
      </c>
      <c r="K1327" s="36">
        <f t="shared" ca="1" si="597"/>
        <v>33.214285714285715</v>
      </c>
      <c r="L1327" s="10">
        <f ca="1">AH1327*VLOOKUP(C1327,技能辅助查询表,技能配置辅助表!$T$1,FALSE)</f>
        <v>0</v>
      </c>
      <c r="M1327">
        <f t="shared" ca="1" si="581"/>
        <v>5000</v>
      </c>
      <c r="N1327" s="33">
        <f ca="1">CHOOSE(1,W1327*U1327,X1327*'[1]0、经济设定'!$C$18)</f>
        <v>941902</v>
      </c>
      <c r="O1327">
        <f t="shared" si="598"/>
        <v>3</v>
      </c>
      <c r="P1327">
        <f t="shared" si="599"/>
        <v>9</v>
      </c>
      <c r="Q1327">
        <f t="shared" si="600"/>
        <v>1</v>
      </c>
      <c r="R1327" s="2">
        <f t="shared" si="601"/>
        <v>5</v>
      </c>
      <c r="S1327" s="2">
        <f t="shared" si="602"/>
        <v>50</v>
      </c>
      <c r="T1327" s="2">
        <f t="shared" si="603"/>
        <v>22.142857142857142</v>
      </c>
      <c r="U1327" s="2">
        <f ca="1">VLOOKUP(E1327,金币生产率!$A$2:$B$120,2,0)</f>
        <v>4262</v>
      </c>
      <c r="V1327" s="2">
        <f t="shared" si="604"/>
        <v>199.28571428571428</v>
      </c>
      <c r="W1327" s="45">
        <f t="shared" ca="1" si="588"/>
        <v>221</v>
      </c>
      <c r="X1327" s="48">
        <f t="shared" ca="1" si="589"/>
        <v>3257</v>
      </c>
      <c r="Y1327">
        <f t="shared" si="582"/>
        <v>18</v>
      </c>
      <c r="Z1327">
        <f t="shared" ca="1" si="585"/>
        <v>89</v>
      </c>
      <c r="AA1327" t="str">
        <f t="shared" ca="1" si="605"/>
        <v>9313100.png</v>
      </c>
      <c r="AB1327">
        <f t="shared" si="606"/>
        <v>2</v>
      </c>
      <c r="AC1327">
        <f>VLOOKUP(C1327,技能辅助查询表,技能配置辅助表!$W$1,FALSE)</f>
        <v>5321</v>
      </c>
      <c r="AD1327">
        <f t="shared" ca="1" si="586"/>
        <v>3022.4051382160287</v>
      </c>
      <c r="AE1327">
        <f>VLOOKUP(C1327,技能辅助查询表,技能配置辅助表!$U$1,FALSE)</f>
        <v>1</v>
      </c>
      <c r="AF1327">
        <f t="shared" ca="1" si="607"/>
        <v>9313150</v>
      </c>
      <c r="AG1327">
        <f t="shared" ca="1" si="608"/>
        <v>80</v>
      </c>
      <c r="AH1327">
        <f t="shared" ca="1" si="587"/>
        <v>7596.7095035950451</v>
      </c>
      <c r="AI1327">
        <f ca="1">VLOOKUP(E1327,伤害参考系!$C$4:$E$104,3,FALSE)*$AN$12</f>
        <v>24028.87424749164</v>
      </c>
      <c r="AJ1327">
        <f>VLOOKUP(C1327,技能辅助查询表,技能配置辅助表!$L$1,FALSE)</f>
        <v>9</v>
      </c>
      <c r="AK1327">
        <f>VLOOKUP(C1327,技能辅助查询表,技能配置辅助表!$AE$1,FALSE)</f>
        <v>66000526</v>
      </c>
    </row>
    <row r="1328" spans="1:37" x14ac:dyDescent="0.15">
      <c r="A1328" s="1">
        <f t="shared" ca="1" si="590"/>
        <v>9324000</v>
      </c>
      <c r="B1328" s="1" t="str">
        <f t="shared" ca="1" si="591"/>
        <v>子弹风暴</v>
      </c>
      <c r="C1328" t="s">
        <v>179</v>
      </c>
      <c r="D1328">
        <f t="shared" si="592"/>
        <v>3</v>
      </c>
      <c r="E1328" s="42">
        <f t="shared" ca="1" si="583"/>
        <v>6</v>
      </c>
      <c r="F1328" t="str">
        <f t="shared" ca="1" si="584"/>
        <v>第0级，共造成143.9%点伤害</v>
      </c>
      <c r="G1328">
        <f t="shared" ca="1" si="593"/>
        <v>0</v>
      </c>
      <c r="H1328">
        <f t="shared" si="594"/>
        <v>1</v>
      </c>
      <c r="I1328" s="44">
        <f t="shared" ca="1" si="595"/>
        <v>0</v>
      </c>
      <c r="J1328">
        <f t="shared" si="596"/>
        <v>2</v>
      </c>
      <c r="K1328" s="36">
        <f t="shared" ca="1" si="597"/>
        <v>47.976190476190474</v>
      </c>
      <c r="L1328" s="10">
        <f ca="1">AH1328*VLOOKUP(C1328,技能辅助查询表,技能配置辅助表!$T$1,FALSE)</f>
        <v>0</v>
      </c>
      <c r="M1328">
        <f t="shared" ca="1" si="581"/>
        <v>8000</v>
      </c>
      <c r="N1328" s="33">
        <f ca="1">CHOOSE(1,W1328*U1328,X1328*'[1]0、经济设定'!$C$18)</f>
        <v>0</v>
      </c>
      <c r="O1328">
        <f t="shared" si="598"/>
        <v>4</v>
      </c>
      <c r="P1328">
        <f t="shared" si="599"/>
        <v>3</v>
      </c>
      <c r="Q1328">
        <f t="shared" si="600"/>
        <v>1</v>
      </c>
      <c r="R1328" s="2">
        <f t="shared" si="601"/>
        <v>6</v>
      </c>
      <c r="S1328" s="2">
        <f t="shared" si="602"/>
        <v>50</v>
      </c>
      <c r="T1328" s="2">
        <f t="shared" si="603"/>
        <v>47.976190476190474</v>
      </c>
      <c r="U1328" s="2">
        <f ca="1">VLOOKUP(E1328,金币生产率!$A$2:$B$120,2,0)</f>
        <v>80</v>
      </c>
      <c r="V1328" s="2">
        <f t="shared" si="604"/>
        <v>143.92857142857142</v>
      </c>
      <c r="W1328" s="45">
        <f t="shared" ca="1" si="588"/>
        <v>0</v>
      </c>
      <c r="X1328" s="48">
        <f t="shared" ca="1" si="589"/>
        <v>0</v>
      </c>
      <c r="Y1328">
        <f t="shared" si="582"/>
        <v>18</v>
      </c>
      <c r="Z1328">
        <f t="shared" ca="1" si="585"/>
        <v>0</v>
      </c>
      <c r="AA1328" t="str">
        <f t="shared" ca="1" si="605"/>
        <v>9324100.png</v>
      </c>
      <c r="AB1328">
        <f t="shared" si="606"/>
        <v>7</v>
      </c>
      <c r="AC1328">
        <f>VLOOKUP(C1328,技能辅助查询表,技能配置辅助表!$W$1,FALSE)</f>
        <v>65043888</v>
      </c>
      <c r="AD1328">
        <f t="shared" ca="1" si="586"/>
        <v>1.0185981428571427</v>
      </c>
      <c r="AE1328">
        <f>VLOOKUP(C1328,技能辅助查询表,技能配置辅助表!$U$1,FALSE)</f>
        <v>4</v>
      </c>
      <c r="AF1328">
        <f t="shared" ca="1" si="607"/>
        <v>9324100</v>
      </c>
      <c r="AG1328">
        <f t="shared" ca="1" si="608"/>
        <v>0</v>
      </c>
      <c r="AH1328">
        <f t="shared" ca="1" si="587"/>
        <v>11.5938</v>
      </c>
      <c r="AI1328">
        <f ca="1">VLOOKUP(E1328,伤害参考系!$C$4:$E$104,3,FALSE)*$AN$12</f>
        <v>88.919999999999987</v>
      </c>
      <c r="AJ1328">
        <f>VLOOKUP(C1328,技能辅助查询表,技能配置辅助表!$L$1,FALSE)</f>
        <v>3</v>
      </c>
      <c r="AK1328">
        <f>VLOOKUP(C1328,技能辅助查询表,技能配置辅助表!$AE$1,FALSE)</f>
        <v>66000650</v>
      </c>
    </row>
    <row r="1329" spans="1:37" x14ac:dyDescent="0.15">
      <c r="A1329" s="1">
        <f t="shared" ca="1" si="590"/>
        <v>9324101</v>
      </c>
      <c r="B1329" s="1" t="str">
        <f t="shared" ca="1" si="591"/>
        <v>子弹风暴第1段</v>
      </c>
      <c r="C1329" t="s">
        <v>179</v>
      </c>
      <c r="D1329">
        <f t="shared" si="592"/>
        <v>3</v>
      </c>
      <c r="E1329" s="42">
        <f t="shared" ca="1" si="583"/>
        <v>6</v>
      </c>
      <c r="F1329" t="str">
        <f t="shared" ca="1" si="584"/>
        <v>第1级，共造成143.9%点伤害</v>
      </c>
      <c r="G1329">
        <f t="shared" ca="1" si="593"/>
        <v>1</v>
      </c>
      <c r="H1329">
        <f t="shared" si="594"/>
        <v>1</v>
      </c>
      <c r="I1329" s="44">
        <f t="shared" ca="1" si="595"/>
        <v>1</v>
      </c>
      <c r="J1329">
        <f t="shared" si="596"/>
        <v>2</v>
      </c>
      <c r="K1329" s="36">
        <f t="shared" ca="1" si="597"/>
        <v>47.976190476190474</v>
      </c>
      <c r="L1329" s="10">
        <f ca="1">AH1329*VLOOKUP(C1329,技能辅助查询表,技能配置辅助表!$T$1,FALSE)</f>
        <v>0</v>
      </c>
      <c r="M1329">
        <f t="shared" ca="1" si="581"/>
        <v>8000</v>
      </c>
      <c r="N1329" s="33">
        <f ca="1">CHOOSE(1,W1329*U1329,X1329*'[1]0、经济设定'!$C$18)</f>
        <v>320</v>
      </c>
      <c r="O1329">
        <f t="shared" si="598"/>
        <v>4</v>
      </c>
      <c r="P1329">
        <f t="shared" si="599"/>
        <v>3</v>
      </c>
      <c r="Q1329">
        <f t="shared" si="600"/>
        <v>1</v>
      </c>
      <c r="R1329" s="2">
        <f t="shared" si="601"/>
        <v>6</v>
      </c>
      <c r="S1329" s="2">
        <f t="shared" si="602"/>
        <v>50</v>
      </c>
      <c r="T1329" s="2">
        <f t="shared" si="603"/>
        <v>47.976190476190474</v>
      </c>
      <c r="U1329" s="2">
        <f ca="1">VLOOKUP(E1329,金币生产率!$A$2:$B$120,2,0)</f>
        <v>80</v>
      </c>
      <c r="V1329" s="2">
        <f t="shared" si="604"/>
        <v>143.92857142857142</v>
      </c>
      <c r="W1329" s="45">
        <f t="shared" ca="1" si="588"/>
        <v>4</v>
      </c>
      <c r="X1329" s="48">
        <f t="shared" ca="1" si="589"/>
        <v>4</v>
      </c>
      <c r="Y1329">
        <f t="shared" si="582"/>
        <v>18</v>
      </c>
      <c r="Z1329">
        <f t="shared" ca="1" si="585"/>
        <v>0</v>
      </c>
      <c r="AA1329" t="str">
        <f t="shared" ca="1" si="605"/>
        <v>9324100.png</v>
      </c>
      <c r="AB1329">
        <f t="shared" si="606"/>
        <v>7</v>
      </c>
      <c r="AC1329">
        <f>VLOOKUP(C1329,技能辅助查询表,技能配置辅助表!$W$1,FALSE)</f>
        <v>65043888</v>
      </c>
      <c r="AD1329">
        <f t="shared" ca="1" si="586"/>
        <v>1.1596605259397379</v>
      </c>
      <c r="AE1329">
        <f>VLOOKUP(C1329,技能辅助查询表,技能配置辅助表!$U$1,FALSE)</f>
        <v>4</v>
      </c>
      <c r="AF1329">
        <f t="shared" ca="1" si="607"/>
        <v>9324101</v>
      </c>
      <c r="AG1329">
        <f t="shared" ca="1" si="608"/>
        <v>6</v>
      </c>
      <c r="AH1329">
        <f t="shared" ca="1" si="587"/>
        <v>13.199388100127095</v>
      </c>
      <c r="AI1329">
        <f ca="1">VLOOKUP(E1329,伤害参考系!$C$4:$E$104,3,FALSE)*$AN$12</f>
        <v>88.919999999999987</v>
      </c>
      <c r="AJ1329">
        <f>VLOOKUP(C1329,技能辅助查询表,技能配置辅助表!$L$1,FALSE)</f>
        <v>3</v>
      </c>
      <c r="AK1329">
        <f>VLOOKUP(C1329,技能辅助查询表,技能配置辅助表!$AE$1,FALSE)</f>
        <v>66000650</v>
      </c>
    </row>
    <row r="1330" spans="1:37" x14ac:dyDescent="0.15">
      <c r="A1330" s="1">
        <f t="shared" ca="1" si="590"/>
        <v>9324102</v>
      </c>
      <c r="B1330" s="1" t="str">
        <f t="shared" ca="1" si="591"/>
        <v>子弹风暴第1段</v>
      </c>
      <c r="C1330" t="s">
        <v>179</v>
      </c>
      <c r="D1330">
        <f t="shared" si="592"/>
        <v>3</v>
      </c>
      <c r="E1330" s="42">
        <f t="shared" ca="1" si="583"/>
        <v>9</v>
      </c>
      <c r="F1330" t="str">
        <f t="shared" ca="1" si="584"/>
        <v>第2级，共造成146.8%点伤害</v>
      </c>
      <c r="G1330">
        <f t="shared" ca="1" si="593"/>
        <v>1</v>
      </c>
      <c r="H1330">
        <f t="shared" si="594"/>
        <v>1</v>
      </c>
      <c r="I1330" s="44">
        <f t="shared" ca="1" si="595"/>
        <v>2</v>
      </c>
      <c r="J1330">
        <f t="shared" si="596"/>
        <v>2</v>
      </c>
      <c r="K1330" s="36">
        <f t="shared" ca="1" si="597"/>
        <v>48.935714285714283</v>
      </c>
      <c r="L1330" s="10">
        <f ca="1">AH1330*VLOOKUP(C1330,技能辅助查询表,技能配置辅助表!$T$1,FALSE)</f>
        <v>0</v>
      </c>
      <c r="M1330">
        <f t="shared" ca="1" si="581"/>
        <v>7840</v>
      </c>
      <c r="N1330" s="33">
        <f ca="1">CHOOSE(1,W1330*U1330,X1330*'[1]0、经济设定'!$C$18)</f>
        <v>392</v>
      </c>
      <c r="O1330">
        <f t="shared" si="598"/>
        <v>4</v>
      </c>
      <c r="P1330">
        <f t="shared" si="599"/>
        <v>3</v>
      </c>
      <c r="Q1330">
        <f t="shared" si="600"/>
        <v>1</v>
      </c>
      <c r="R1330" s="2">
        <f t="shared" si="601"/>
        <v>6</v>
      </c>
      <c r="S1330" s="2">
        <f t="shared" si="602"/>
        <v>50</v>
      </c>
      <c r="T1330" s="2">
        <f t="shared" si="603"/>
        <v>47.976190476190474</v>
      </c>
      <c r="U1330" s="2">
        <f ca="1">VLOOKUP(E1330,金币生产率!$A$2:$B$120,2,0)</f>
        <v>98</v>
      </c>
      <c r="V1330" s="2">
        <f t="shared" si="604"/>
        <v>143.92857142857142</v>
      </c>
      <c r="W1330" s="45">
        <f t="shared" ca="1" si="588"/>
        <v>4</v>
      </c>
      <c r="X1330" s="48">
        <f t="shared" ca="1" si="589"/>
        <v>8</v>
      </c>
      <c r="Y1330">
        <f t="shared" si="582"/>
        <v>18</v>
      </c>
      <c r="Z1330">
        <f t="shared" ca="1" si="585"/>
        <v>0</v>
      </c>
      <c r="AA1330" t="str">
        <f t="shared" ca="1" si="605"/>
        <v>9324100.png</v>
      </c>
      <c r="AB1330">
        <f t="shared" si="606"/>
        <v>7</v>
      </c>
      <c r="AC1330">
        <f>VLOOKUP(C1330,技能辅助查询表,技能配置辅助表!$W$1,FALSE)</f>
        <v>65043888</v>
      </c>
      <c r="AD1330">
        <f t="shared" ca="1" si="586"/>
        <v>1.4067726645338656</v>
      </c>
      <c r="AE1330">
        <f>VLOOKUP(C1330,技能辅助查询表,技能配置辅助表!$U$1,FALSE)</f>
        <v>4</v>
      </c>
      <c r="AF1330">
        <f t="shared" ca="1" si="607"/>
        <v>9324102</v>
      </c>
      <c r="AG1330">
        <f t="shared" ca="1" si="608"/>
        <v>7.5102040816326525</v>
      </c>
      <c r="AH1330">
        <f t="shared" ca="1" si="587"/>
        <v>15.027328935963775</v>
      </c>
      <c r="AI1330">
        <f ca="1">VLOOKUP(E1330,伤害参考系!$C$4:$E$104,3,FALSE)*$AN$12</f>
        <v>145.4708152173913</v>
      </c>
      <c r="AJ1330">
        <f>VLOOKUP(C1330,技能辅助查询表,技能配置辅助表!$L$1,FALSE)</f>
        <v>3</v>
      </c>
      <c r="AK1330">
        <f>VLOOKUP(C1330,技能辅助查询表,技能配置辅助表!$AE$1,FALSE)</f>
        <v>66000650</v>
      </c>
    </row>
    <row r="1331" spans="1:37" x14ac:dyDescent="0.15">
      <c r="A1331" s="1">
        <f t="shared" ca="1" si="590"/>
        <v>9324103</v>
      </c>
      <c r="B1331" s="1" t="str">
        <f t="shared" ca="1" si="591"/>
        <v>子弹风暴第1段</v>
      </c>
      <c r="C1331" t="s">
        <v>179</v>
      </c>
      <c r="D1331">
        <f t="shared" si="592"/>
        <v>3</v>
      </c>
      <c r="E1331" s="42">
        <f t="shared" ca="1" si="583"/>
        <v>10</v>
      </c>
      <c r="F1331" t="str">
        <f t="shared" ca="1" si="584"/>
        <v>第3级，共造成148.2%点伤害</v>
      </c>
      <c r="G1331">
        <f t="shared" ca="1" si="593"/>
        <v>1</v>
      </c>
      <c r="H1331">
        <f t="shared" si="594"/>
        <v>1</v>
      </c>
      <c r="I1331" s="44">
        <f t="shared" ca="1" si="595"/>
        <v>3</v>
      </c>
      <c r="J1331">
        <f t="shared" si="596"/>
        <v>2</v>
      </c>
      <c r="K1331" s="36">
        <f t="shared" ca="1" si="597"/>
        <v>49.415476190476191</v>
      </c>
      <c r="L1331" s="10">
        <f ca="1">AH1331*VLOOKUP(C1331,技能辅助查询表,技能配置辅助表!$T$1,FALSE)</f>
        <v>0</v>
      </c>
      <c r="M1331">
        <f t="shared" ca="1" si="581"/>
        <v>7760</v>
      </c>
      <c r="N1331" s="33">
        <f ca="1">CHOOSE(1,W1331*U1331,X1331*'[1]0、经济设定'!$C$18)</f>
        <v>416</v>
      </c>
      <c r="O1331">
        <f t="shared" si="598"/>
        <v>4</v>
      </c>
      <c r="P1331">
        <f t="shared" si="599"/>
        <v>3</v>
      </c>
      <c r="Q1331">
        <f t="shared" si="600"/>
        <v>1</v>
      </c>
      <c r="R1331" s="2">
        <f t="shared" si="601"/>
        <v>6</v>
      </c>
      <c r="S1331" s="2">
        <f t="shared" si="602"/>
        <v>50</v>
      </c>
      <c r="T1331" s="2">
        <f t="shared" si="603"/>
        <v>47.976190476190474</v>
      </c>
      <c r="U1331" s="2">
        <f ca="1">VLOOKUP(E1331,金币生产率!$A$2:$B$120,2,0)</f>
        <v>104</v>
      </c>
      <c r="V1331" s="2">
        <f t="shared" si="604"/>
        <v>143.92857142857142</v>
      </c>
      <c r="W1331" s="45">
        <f t="shared" ca="1" si="588"/>
        <v>4</v>
      </c>
      <c r="X1331" s="48">
        <f t="shared" ca="1" si="589"/>
        <v>12</v>
      </c>
      <c r="Y1331">
        <f t="shared" si="582"/>
        <v>18</v>
      </c>
      <c r="Z1331">
        <f t="shared" ca="1" si="585"/>
        <v>0</v>
      </c>
      <c r="AA1331" t="str">
        <f t="shared" ca="1" si="605"/>
        <v>9324100.png</v>
      </c>
      <c r="AB1331">
        <f t="shared" si="606"/>
        <v>7</v>
      </c>
      <c r="AC1331">
        <f>VLOOKUP(C1331,技能辅助查询表,技能配置辅助表!$W$1,FALSE)</f>
        <v>65043888</v>
      </c>
      <c r="AD1331">
        <f t="shared" ca="1" si="586"/>
        <v>1.6508398853761499</v>
      </c>
      <c r="AE1331">
        <f>VLOOKUP(C1331,技能辅助查询表,技能配置辅助表!$U$1,FALSE)</f>
        <v>4</v>
      </c>
      <c r="AF1331">
        <f t="shared" ca="1" si="607"/>
        <v>9324103</v>
      </c>
      <c r="AG1331">
        <f t="shared" ca="1" si="608"/>
        <v>9.020408163265305</v>
      </c>
      <c r="AH1331">
        <f t="shared" ca="1" si="587"/>
        <v>17.108415423248271</v>
      </c>
      <c r="AI1331">
        <f ca="1">VLOOKUP(E1331,伤害参考系!$C$4:$E$104,3,FALSE)*$AN$12</f>
        <v>177.55434782608697</v>
      </c>
      <c r="AJ1331">
        <f>VLOOKUP(C1331,技能辅助查询表,技能配置辅助表!$L$1,FALSE)</f>
        <v>3</v>
      </c>
      <c r="AK1331">
        <f>VLOOKUP(C1331,技能辅助查询表,技能配置辅助表!$AE$1,FALSE)</f>
        <v>66000650</v>
      </c>
    </row>
    <row r="1332" spans="1:37" x14ac:dyDescent="0.15">
      <c r="A1332" s="1">
        <f t="shared" ca="1" si="590"/>
        <v>9324104</v>
      </c>
      <c r="B1332" s="1" t="str">
        <f t="shared" ca="1" si="591"/>
        <v>子弹风暴第1段</v>
      </c>
      <c r="C1332" t="s">
        <v>179</v>
      </c>
      <c r="D1332">
        <f t="shared" si="592"/>
        <v>3</v>
      </c>
      <c r="E1332" s="42">
        <f t="shared" ca="1" si="583"/>
        <v>12</v>
      </c>
      <c r="F1332" t="str">
        <f t="shared" ca="1" si="584"/>
        <v>第4级，共造成149.7%点伤害</v>
      </c>
      <c r="G1332">
        <f t="shared" ca="1" si="593"/>
        <v>1</v>
      </c>
      <c r="H1332">
        <f t="shared" si="594"/>
        <v>1</v>
      </c>
      <c r="I1332" s="44">
        <f t="shared" ca="1" si="595"/>
        <v>4</v>
      </c>
      <c r="J1332">
        <f t="shared" si="596"/>
        <v>2</v>
      </c>
      <c r="K1332" s="36">
        <f t="shared" ca="1" si="597"/>
        <v>49.895238095238092</v>
      </c>
      <c r="L1332" s="10">
        <f ca="1">AH1332*VLOOKUP(C1332,技能辅助查询表,技能配置辅助表!$T$1,FALSE)</f>
        <v>0</v>
      </c>
      <c r="M1332">
        <f t="shared" ca="1" si="581"/>
        <v>7680</v>
      </c>
      <c r="N1332" s="33">
        <f ca="1">CHOOSE(1,W1332*U1332,X1332*'[1]0、经济设定'!$C$18)</f>
        <v>580</v>
      </c>
      <c r="O1332">
        <f t="shared" si="598"/>
        <v>4</v>
      </c>
      <c r="P1332">
        <f t="shared" si="599"/>
        <v>3</v>
      </c>
      <c r="Q1332">
        <f t="shared" si="600"/>
        <v>1</v>
      </c>
      <c r="R1332" s="2">
        <f t="shared" si="601"/>
        <v>6</v>
      </c>
      <c r="S1332" s="2">
        <f t="shared" si="602"/>
        <v>50</v>
      </c>
      <c r="T1332" s="2">
        <f t="shared" si="603"/>
        <v>47.976190476190474</v>
      </c>
      <c r="U1332" s="2">
        <f ca="1">VLOOKUP(E1332,金币生产率!$A$2:$B$120,2,0)</f>
        <v>116</v>
      </c>
      <c r="V1332" s="2">
        <f t="shared" si="604"/>
        <v>143.92857142857142</v>
      </c>
      <c r="W1332" s="45">
        <f t="shared" ca="1" si="588"/>
        <v>5</v>
      </c>
      <c r="X1332" s="48">
        <f t="shared" ca="1" si="589"/>
        <v>17</v>
      </c>
      <c r="Y1332">
        <f t="shared" si="582"/>
        <v>18</v>
      </c>
      <c r="Z1332">
        <f t="shared" ca="1" si="585"/>
        <v>0</v>
      </c>
      <c r="AA1332" t="str">
        <f t="shared" ca="1" si="605"/>
        <v>9324100.png</v>
      </c>
      <c r="AB1332">
        <f t="shared" si="606"/>
        <v>7</v>
      </c>
      <c r="AC1332">
        <f>VLOOKUP(C1332,技能辅助查询表,技能配置辅助表!$W$1,FALSE)</f>
        <v>65043888</v>
      </c>
      <c r="AD1332">
        <f t="shared" ca="1" si="586"/>
        <v>1.9355273601774754</v>
      </c>
      <c r="AE1332">
        <f>VLOOKUP(C1332,技能辅助查询表,技能配置辅助表!$U$1,FALSE)</f>
        <v>4</v>
      </c>
      <c r="AF1332">
        <f t="shared" ca="1" si="607"/>
        <v>9324104</v>
      </c>
      <c r="AG1332">
        <f t="shared" ca="1" si="608"/>
        <v>10.530612244897959</v>
      </c>
      <c r="AH1332">
        <f t="shared" ca="1" si="587"/>
        <v>19.477704889652582</v>
      </c>
      <c r="AI1332">
        <f ca="1">VLOOKUP(E1332,伤害参考系!$C$4:$E$104,3,FALSE)*$AN$12</f>
        <v>249.04956521739126</v>
      </c>
      <c r="AJ1332">
        <f>VLOOKUP(C1332,技能辅助查询表,技能配置辅助表!$L$1,FALSE)</f>
        <v>3</v>
      </c>
      <c r="AK1332">
        <f>VLOOKUP(C1332,技能辅助查询表,技能配置辅助表!$AE$1,FALSE)</f>
        <v>66000650</v>
      </c>
    </row>
    <row r="1333" spans="1:37" x14ac:dyDescent="0.15">
      <c r="A1333" s="1">
        <f t="shared" ca="1" si="590"/>
        <v>9324105</v>
      </c>
      <c r="B1333" s="1" t="str">
        <f t="shared" ca="1" si="591"/>
        <v>子弹风暴第1段</v>
      </c>
      <c r="C1333" t="s">
        <v>179</v>
      </c>
      <c r="D1333">
        <f t="shared" si="592"/>
        <v>3</v>
      </c>
      <c r="E1333" s="42">
        <f t="shared" ca="1" si="583"/>
        <v>13</v>
      </c>
      <c r="F1333" t="str">
        <f t="shared" ca="1" si="584"/>
        <v>第5级，共造成151.1%点伤害</v>
      </c>
      <c r="G1333">
        <f t="shared" ca="1" si="593"/>
        <v>1</v>
      </c>
      <c r="H1333">
        <f t="shared" si="594"/>
        <v>1</v>
      </c>
      <c r="I1333" s="44">
        <f t="shared" ca="1" si="595"/>
        <v>5</v>
      </c>
      <c r="J1333">
        <f t="shared" si="596"/>
        <v>2</v>
      </c>
      <c r="K1333" s="36">
        <f t="shared" ca="1" si="597"/>
        <v>50.375</v>
      </c>
      <c r="L1333" s="10">
        <f ca="1">AH1333*VLOOKUP(C1333,技能辅助查询表,技能配置辅助表!$T$1,FALSE)</f>
        <v>0</v>
      </c>
      <c r="M1333">
        <f t="shared" ca="1" si="581"/>
        <v>7600</v>
      </c>
      <c r="N1333" s="33">
        <f ca="1">CHOOSE(1,W1333*U1333,X1333*'[1]0、经济设定'!$C$18)</f>
        <v>610</v>
      </c>
      <c r="O1333">
        <f t="shared" si="598"/>
        <v>4</v>
      </c>
      <c r="P1333">
        <f t="shared" si="599"/>
        <v>3</v>
      </c>
      <c r="Q1333">
        <f t="shared" si="600"/>
        <v>1</v>
      </c>
      <c r="R1333" s="2">
        <f t="shared" si="601"/>
        <v>6</v>
      </c>
      <c r="S1333" s="2">
        <f t="shared" si="602"/>
        <v>50</v>
      </c>
      <c r="T1333" s="2">
        <f t="shared" si="603"/>
        <v>47.976190476190474</v>
      </c>
      <c r="U1333" s="2">
        <f ca="1">VLOOKUP(E1333,金币生产率!$A$2:$B$120,2,0)</f>
        <v>122</v>
      </c>
      <c r="V1333" s="2">
        <f t="shared" si="604"/>
        <v>143.92857142857142</v>
      </c>
      <c r="W1333" s="45">
        <f t="shared" ca="1" si="588"/>
        <v>5</v>
      </c>
      <c r="X1333" s="48">
        <f t="shared" ca="1" si="589"/>
        <v>22</v>
      </c>
      <c r="Y1333">
        <f t="shared" si="582"/>
        <v>18</v>
      </c>
      <c r="Z1333">
        <f t="shared" ca="1" si="585"/>
        <v>0</v>
      </c>
      <c r="AA1333" t="str">
        <f t="shared" ca="1" si="605"/>
        <v>9324100.png</v>
      </c>
      <c r="AB1333">
        <f t="shared" si="606"/>
        <v>7</v>
      </c>
      <c r="AC1333">
        <f>VLOOKUP(C1333,技能辅助查询表,技能配置辅助表!$W$1,FALSE)</f>
        <v>65043888</v>
      </c>
      <c r="AD1333">
        <f t="shared" ca="1" si="586"/>
        <v>2.2674049606373976</v>
      </c>
      <c r="AE1333">
        <f>VLOOKUP(C1333,技能辅助查询表,技能配置辅助表!$U$1,FALSE)</f>
        <v>4</v>
      </c>
      <c r="AF1333">
        <f t="shared" ca="1" si="607"/>
        <v>9324105</v>
      </c>
      <c r="AG1333">
        <f t="shared" ca="1" si="608"/>
        <v>12.040816326530612</v>
      </c>
      <c r="AH1333">
        <f t="shared" ca="1" si="587"/>
        <v>22.175109639485559</v>
      </c>
      <c r="AI1333">
        <f ca="1">VLOOKUP(E1333,伤害参考系!$C$4:$E$104,3,FALSE)*$AN$12</f>
        <v>288.46124999999995</v>
      </c>
      <c r="AJ1333">
        <f>VLOOKUP(C1333,技能辅助查询表,技能配置辅助表!$L$1,FALSE)</f>
        <v>3</v>
      </c>
      <c r="AK1333">
        <f>VLOOKUP(C1333,技能辅助查询表,技能配置辅助表!$AE$1,FALSE)</f>
        <v>66000650</v>
      </c>
    </row>
    <row r="1334" spans="1:37" x14ac:dyDescent="0.15">
      <c r="A1334" s="1">
        <f t="shared" ca="1" si="590"/>
        <v>9324106</v>
      </c>
      <c r="B1334" s="1" t="str">
        <f t="shared" ca="1" si="591"/>
        <v>子弹风暴第1段</v>
      </c>
      <c r="C1334" t="s">
        <v>179</v>
      </c>
      <c r="D1334">
        <f t="shared" si="592"/>
        <v>3</v>
      </c>
      <c r="E1334" s="42">
        <f t="shared" ca="1" si="583"/>
        <v>15</v>
      </c>
      <c r="F1334" t="str">
        <f t="shared" ca="1" si="584"/>
        <v>第6级，共造成152.6%点伤害</v>
      </c>
      <c r="G1334">
        <f t="shared" ca="1" si="593"/>
        <v>1</v>
      </c>
      <c r="H1334">
        <f t="shared" si="594"/>
        <v>1</v>
      </c>
      <c r="I1334" s="44">
        <f t="shared" ca="1" si="595"/>
        <v>6</v>
      </c>
      <c r="J1334">
        <f t="shared" si="596"/>
        <v>2</v>
      </c>
      <c r="K1334" s="36">
        <f t="shared" ca="1" si="597"/>
        <v>50.854761904761901</v>
      </c>
      <c r="L1334" s="10">
        <f ca="1">AH1334*VLOOKUP(C1334,技能辅助查询表,技能配置辅助表!$T$1,FALSE)</f>
        <v>0</v>
      </c>
      <c r="M1334">
        <f t="shared" ca="1" si="581"/>
        <v>7520</v>
      </c>
      <c r="N1334" s="33">
        <f ca="1">CHOOSE(1,W1334*U1334,X1334*'[1]0、经济设定'!$C$18)</f>
        <v>670</v>
      </c>
      <c r="O1334">
        <f t="shared" si="598"/>
        <v>4</v>
      </c>
      <c r="P1334">
        <f t="shared" si="599"/>
        <v>3</v>
      </c>
      <c r="Q1334">
        <f t="shared" si="600"/>
        <v>1</v>
      </c>
      <c r="R1334" s="2">
        <f t="shared" si="601"/>
        <v>6</v>
      </c>
      <c r="S1334" s="2">
        <f t="shared" si="602"/>
        <v>50</v>
      </c>
      <c r="T1334" s="2">
        <f t="shared" si="603"/>
        <v>47.976190476190474</v>
      </c>
      <c r="U1334" s="2">
        <f ca="1">VLOOKUP(E1334,金币生产率!$A$2:$B$120,2,0)</f>
        <v>134</v>
      </c>
      <c r="V1334" s="2">
        <f t="shared" si="604"/>
        <v>143.92857142857142</v>
      </c>
      <c r="W1334" s="45">
        <f t="shared" ca="1" si="588"/>
        <v>5</v>
      </c>
      <c r="X1334" s="48">
        <f t="shared" ca="1" si="589"/>
        <v>27</v>
      </c>
      <c r="Y1334">
        <f t="shared" si="582"/>
        <v>18</v>
      </c>
      <c r="Z1334">
        <f t="shared" ca="1" si="585"/>
        <v>0</v>
      </c>
      <c r="AA1334" t="str">
        <f t="shared" ca="1" si="605"/>
        <v>9324100.png</v>
      </c>
      <c r="AB1334">
        <f t="shared" si="606"/>
        <v>7</v>
      </c>
      <c r="AC1334">
        <f>VLOOKUP(C1334,技能辅助查询表,技能配置辅助表!$W$1,FALSE)</f>
        <v>65043888</v>
      </c>
      <c r="AD1334">
        <f t="shared" ca="1" si="586"/>
        <v>2.6540832000955907</v>
      </c>
      <c r="AE1334">
        <f>VLOOKUP(C1334,技能辅助查询表,技能配置辅助表!$U$1,FALSE)</f>
        <v>4</v>
      </c>
      <c r="AF1334">
        <f t="shared" ca="1" si="607"/>
        <v>9324106</v>
      </c>
      <c r="AG1334">
        <f t="shared" ca="1" si="608"/>
        <v>13.551020408163264</v>
      </c>
      <c r="AH1334">
        <f t="shared" ca="1" si="587"/>
        <v>25.246069303803697</v>
      </c>
      <c r="AI1334">
        <f ca="1">VLOOKUP(E1334,伤害参考系!$C$4:$E$104,3,FALSE)*$AN$12</f>
        <v>374.61277173913044</v>
      </c>
      <c r="AJ1334">
        <f>VLOOKUP(C1334,技能辅助查询表,技能配置辅助表!$L$1,FALSE)</f>
        <v>3</v>
      </c>
      <c r="AK1334">
        <f>VLOOKUP(C1334,技能辅助查询表,技能配置辅助表!$AE$1,FALSE)</f>
        <v>66000650</v>
      </c>
    </row>
    <row r="1335" spans="1:37" x14ac:dyDescent="0.15">
      <c r="A1335" s="1">
        <f t="shared" ca="1" si="590"/>
        <v>9324107</v>
      </c>
      <c r="B1335" s="1" t="str">
        <f t="shared" ca="1" si="591"/>
        <v>子弹风暴第1段</v>
      </c>
      <c r="C1335" t="s">
        <v>179</v>
      </c>
      <c r="D1335">
        <f t="shared" si="592"/>
        <v>3</v>
      </c>
      <c r="E1335" s="42">
        <f t="shared" ca="1" si="583"/>
        <v>16</v>
      </c>
      <c r="F1335" t="str">
        <f t="shared" ca="1" si="584"/>
        <v>第7级，共造成154%点伤害</v>
      </c>
      <c r="G1335">
        <f t="shared" ca="1" si="593"/>
        <v>1</v>
      </c>
      <c r="H1335">
        <f t="shared" si="594"/>
        <v>1</v>
      </c>
      <c r="I1335" s="44">
        <f t="shared" ca="1" si="595"/>
        <v>7</v>
      </c>
      <c r="J1335">
        <f t="shared" si="596"/>
        <v>2</v>
      </c>
      <c r="K1335" s="36">
        <f t="shared" ca="1" si="597"/>
        <v>51.334523809523809</v>
      </c>
      <c r="L1335" s="10">
        <f ca="1">AH1335*VLOOKUP(C1335,技能辅助查询表,技能配置辅助表!$T$1,FALSE)</f>
        <v>0</v>
      </c>
      <c r="M1335">
        <f t="shared" ca="1" si="581"/>
        <v>7440</v>
      </c>
      <c r="N1335" s="33">
        <f ca="1">CHOOSE(1,W1335*U1335,X1335*'[1]0、经济设定'!$C$18)</f>
        <v>840</v>
      </c>
      <c r="O1335">
        <f t="shared" si="598"/>
        <v>4</v>
      </c>
      <c r="P1335">
        <f t="shared" si="599"/>
        <v>3</v>
      </c>
      <c r="Q1335">
        <f t="shared" si="600"/>
        <v>1</v>
      </c>
      <c r="R1335" s="2">
        <f t="shared" si="601"/>
        <v>6</v>
      </c>
      <c r="S1335" s="2">
        <f t="shared" si="602"/>
        <v>50</v>
      </c>
      <c r="T1335" s="2">
        <f t="shared" si="603"/>
        <v>47.976190476190474</v>
      </c>
      <c r="U1335" s="2">
        <f ca="1">VLOOKUP(E1335,金币生产率!$A$2:$B$120,2,0)</f>
        <v>140</v>
      </c>
      <c r="V1335" s="2">
        <f t="shared" si="604"/>
        <v>143.92857142857142</v>
      </c>
      <c r="W1335" s="45">
        <f t="shared" ca="1" si="588"/>
        <v>6</v>
      </c>
      <c r="X1335" s="48">
        <f t="shared" ca="1" si="589"/>
        <v>33</v>
      </c>
      <c r="Y1335">
        <f t="shared" si="582"/>
        <v>18</v>
      </c>
      <c r="Z1335">
        <f t="shared" ca="1" si="585"/>
        <v>0</v>
      </c>
      <c r="AA1335" t="str">
        <f t="shared" ca="1" si="605"/>
        <v>9324100.png</v>
      </c>
      <c r="AB1335">
        <f t="shared" si="606"/>
        <v>7</v>
      </c>
      <c r="AC1335">
        <f>VLOOKUP(C1335,技能辅助查询表,技能配置辅助表!$W$1,FALSE)</f>
        <v>65043888</v>
      </c>
      <c r="AD1335">
        <f t="shared" ca="1" si="586"/>
        <v>3.1043754628891156</v>
      </c>
      <c r="AE1335">
        <f>VLOOKUP(C1335,技能辅助查询表,技能配置辅助表!$U$1,FALSE)</f>
        <v>4</v>
      </c>
      <c r="AF1335">
        <f t="shared" ca="1" si="607"/>
        <v>9324107</v>
      </c>
      <c r="AG1335">
        <f t="shared" ca="1" si="608"/>
        <v>15.061224489795919</v>
      </c>
      <c r="AH1335">
        <f t="shared" ca="1" si="587"/>
        <v>28.742316302127907</v>
      </c>
      <c r="AI1335">
        <f ca="1">VLOOKUP(E1335,伤害参考系!$C$4:$E$104,3,FALSE)*$AN$12</f>
        <v>421.35260869565224</v>
      </c>
      <c r="AJ1335">
        <f>VLOOKUP(C1335,技能辅助查询表,技能配置辅助表!$L$1,FALSE)</f>
        <v>3</v>
      </c>
      <c r="AK1335">
        <f>VLOOKUP(C1335,技能辅助查询表,技能配置辅助表!$AE$1,FALSE)</f>
        <v>66000650</v>
      </c>
    </row>
    <row r="1336" spans="1:37" x14ac:dyDescent="0.15">
      <c r="A1336" s="1">
        <f t="shared" ca="1" si="590"/>
        <v>9324108</v>
      </c>
      <c r="B1336" s="1" t="str">
        <f t="shared" ca="1" si="591"/>
        <v>子弹风暴第1段</v>
      </c>
      <c r="C1336" t="s">
        <v>179</v>
      </c>
      <c r="D1336">
        <f t="shared" si="592"/>
        <v>3</v>
      </c>
      <c r="E1336" s="42">
        <f t="shared" ca="1" si="583"/>
        <v>18</v>
      </c>
      <c r="F1336" t="str">
        <f t="shared" ca="1" si="584"/>
        <v>第8级，共造成155.4%点伤害</v>
      </c>
      <c r="G1336">
        <f t="shared" ca="1" si="593"/>
        <v>1</v>
      </c>
      <c r="H1336">
        <f t="shared" si="594"/>
        <v>1</v>
      </c>
      <c r="I1336" s="44">
        <f t="shared" ca="1" si="595"/>
        <v>8</v>
      </c>
      <c r="J1336">
        <f t="shared" si="596"/>
        <v>2</v>
      </c>
      <c r="K1336" s="36">
        <f t="shared" ca="1" si="597"/>
        <v>51.81428571428571</v>
      </c>
      <c r="L1336" s="10">
        <f ca="1">AH1336*VLOOKUP(C1336,技能辅助查询表,技能配置辅助表!$T$1,FALSE)</f>
        <v>0</v>
      </c>
      <c r="M1336">
        <f t="shared" ca="1" si="581"/>
        <v>7360</v>
      </c>
      <c r="N1336" s="33">
        <f ca="1">CHOOSE(1,W1336*U1336,X1336*'[1]0、经济设定'!$C$18)</f>
        <v>912</v>
      </c>
      <c r="O1336">
        <f t="shared" si="598"/>
        <v>4</v>
      </c>
      <c r="P1336">
        <f t="shared" si="599"/>
        <v>3</v>
      </c>
      <c r="Q1336">
        <f t="shared" si="600"/>
        <v>1</v>
      </c>
      <c r="R1336" s="2">
        <f t="shared" si="601"/>
        <v>6</v>
      </c>
      <c r="S1336" s="2">
        <f t="shared" si="602"/>
        <v>50</v>
      </c>
      <c r="T1336" s="2">
        <f t="shared" si="603"/>
        <v>47.976190476190474</v>
      </c>
      <c r="U1336" s="2">
        <f ca="1">VLOOKUP(E1336,金币生产率!$A$2:$B$120,2,0)</f>
        <v>152</v>
      </c>
      <c r="V1336" s="2">
        <f t="shared" si="604"/>
        <v>143.92857142857142</v>
      </c>
      <c r="W1336" s="45">
        <f t="shared" ca="1" si="588"/>
        <v>6</v>
      </c>
      <c r="X1336" s="48">
        <f t="shared" ca="1" si="589"/>
        <v>39</v>
      </c>
      <c r="Y1336">
        <f t="shared" si="582"/>
        <v>18</v>
      </c>
      <c r="Z1336">
        <f t="shared" ca="1" si="585"/>
        <v>0</v>
      </c>
      <c r="AA1336" t="str">
        <f t="shared" ca="1" si="605"/>
        <v>9324100.png</v>
      </c>
      <c r="AB1336">
        <f t="shared" si="606"/>
        <v>7</v>
      </c>
      <c r="AC1336">
        <f>VLOOKUP(C1336,技能辅助查询表,技能配置辅助表!$W$1,FALSE)</f>
        <v>65043888</v>
      </c>
      <c r="AD1336">
        <f t="shared" ca="1" si="586"/>
        <v>3.6284852089149751</v>
      </c>
      <c r="AE1336">
        <f>VLOOKUP(C1336,技能辅助查询表,技能配置辅助表!$U$1,FALSE)</f>
        <v>4</v>
      </c>
      <c r="AF1336">
        <f t="shared" ca="1" si="607"/>
        <v>9324108</v>
      </c>
      <c r="AG1336">
        <f t="shared" ca="1" si="608"/>
        <v>16.571428571428569</v>
      </c>
      <c r="AH1336">
        <f t="shared" ca="1" si="587"/>
        <v>32.722747310493212</v>
      </c>
      <c r="AI1336">
        <f ca="1">VLOOKUP(E1336,伤害参考系!$C$4:$E$104,3,FALSE)*$AN$12</f>
        <v>522.16043478260883</v>
      </c>
      <c r="AJ1336">
        <f>VLOOKUP(C1336,技能辅助查询表,技能配置辅助表!$L$1,FALSE)</f>
        <v>3</v>
      </c>
      <c r="AK1336">
        <f>VLOOKUP(C1336,技能辅助查询表,技能配置辅助表!$AE$1,FALSE)</f>
        <v>66000650</v>
      </c>
    </row>
    <row r="1337" spans="1:37" x14ac:dyDescent="0.15">
      <c r="A1337" s="1">
        <f t="shared" ca="1" si="590"/>
        <v>9324109</v>
      </c>
      <c r="B1337" s="1" t="str">
        <f t="shared" ca="1" si="591"/>
        <v>子弹风暴第1段</v>
      </c>
      <c r="C1337" t="s">
        <v>179</v>
      </c>
      <c r="D1337">
        <f t="shared" si="592"/>
        <v>3</v>
      </c>
      <c r="E1337" s="42">
        <f t="shared" ca="1" si="583"/>
        <v>19</v>
      </c>
      <c r="F1337" t="str">
        <f t="shared" ca="1" si="584"/>
        <v>第9级，共造成156.9%点伤害</v>
      </c>
      <c r="G1337">
        <f t="shared" ca="1" si="593"/>
        <v>1</v>
      </c>
      <c r="H1337">
        <f t="shared" si="594"/>
        <v>1</v>
      </c>
      <c r="I1337" s="44">
        <f t="shared" ca="1" si="595"/>
        <v>9</v>
      </c>
      <c r="J1337">
        <f t="shared" si="596"/>
        <v>2</v>
      </c>
      <c r="K1337" s="36">
        <f t="shared" ca="1" si="597"/>
        <v>52.294047619047618</v>
      </c>
      <c r="L1337" s="10">
        <f ca="1">AH1337*VLOOKUP(C1337,技能辅助查询表,技能配置辅助表!$T$1,FALSE)</f>
        <v>0</v>
      </c>
      <c r="M1337">
        <f t="shared" ca="1" si="581"/>
        <v>7280</v>
      </c>
      <c r="N1337" s="33">
        <f ca="1">CHOOSE(1,W1337*U1337,X1337*'[1]0、经济设定'!$C$18)</f>
        <v>948</v>
      </c>
      <c r="O1337">
        <f t="shared" si="598"/>
        <v>4</v>
      </c>
      <c r="P1337">
        <f t="shared" si="599"/>
        <v>3</v>
      </c>
      <c r="Q1337">
        <f t="shared" si="600"/>
        <v>1</v>
      </c>
      <c r="R1337" s="2">
        <f t="shared" si="601"/>
        <v>6</v>
      </c>
      <c r="S1337" s="2">
        <f t="shared" si="602"/>
        <v>50</v>
      </c>
      <c r="T1337" s="2">
        <f t="shared" si="603"/>
        <v>47.976190476190474</v>
      </c>
      <c r="U1337" s="2">
        <f ca="1">VLOOKUP(E1337,金币生产率!$A$2:$B$120,2,0)</f>
        <v>158</v>
      </c>
      <c r="V1337" s="2">
        <f t="shared" si="604"/>
        <v>143.92857142857142</v>
      </c>
      <c r="W1337" s="45">
        <f t="shared" ca="1" si="588"/>
        <v>6</v>
      </c>
      <c r="X1337" s="48">
        <f t="shared" ca="1" si="589"/>
        <v>45</v>
      </c>
      <c r="Y1337">
        <f t="shared" si="582"/>
        <v>18</v>
      </c>
      <c r="Z1337">
        <f t="shared" ca="1" si="585"/>
        <v>0</v>
      </c>
      <c r="AA1337" t="str">
        <f t="shared" ca="1" si="605"/>
        <v>9324100.png</v>
      </c>
      <c r="AB1337">
        <f t="shared" si="606"/>
        <v>7</v>
      </c>
      <c r="AC1337">
        <f>VLOOKUP(C1337,技能辅助查询表,技能配置辅助表!$W$1,FALSE)</f>
        <v>65043888</v>
      </c>
      <c r="AD1337">
        <f t="shared" ca="1" si="586"/>
        <v>4.2382219595395352</v>
      </c>
      <c r="AE1337">
        <f>VLOOKUP(C1337,技能辅助查询表,技能配置辅助表!$U$1,FALSE)</f>
        <v>4</v>
      </c>
      <c r="AF1337">
        <f t="shared" ca="1" si="607"/>
        <v>9324109</v>
      </c>
      <c r="AG1337">
        <f t="shared" ca="1" si="608"/>
        <v>18.081632653061224</v>
      </c>
      <c r="AH1337">
        <f t="shared" ca="1" si="587"/>
        <v>37.25441541630785</v>
      </c>
      <c r="AI1337">
        <f ca="1">VLOOKUP(E1337,伤害参考系!$C$4:$E$104,3,FALSE)*$AN$12</f>
        <v>576.22842391304346</v>
      </c>
      <c r="AJ1337">
        <f>VLOOKUP(C1337,技能辅助查询表,技能配置辅助表!$L$1,FALSE)</f>
        <v>3</v>
      </c>
      <c r="AK1337">
        <f>VLOOKUP(C1337,技能辅助查询表,技能配置辅助表!$AE$1,FALSE)</f>
        <v>66000650</v>
      </c>
    </row>
    <row r="1338" spans="1:37" x14ac:dyDescent="0.15">
      <c r="A1338" s="1">
        <f t="shared" ca="1" si="590"/>
        <v>9324110</v>
      </c>
      <c r="B1338" s="1" t="str">
        <f t="shared" ca="1" si="591"/>
        <v>子弹风暴第1段</v>
      </c>
      <c r="C1338" t="s">
        <v>179</v>
      </c>
      <c r="D1338">
        <f t="shared" si="592"/>
        <v>3</v>
      </c>
      <c r="E1338" s="42">
        <f t="shared" ca="1" si="583"/>
        <v>21</v>
      </c>
      <c r="F1338" t="str">
        <f t="shared" ca="1" si="584"/>
        <v>第10级，共造成158.3%点伤害</v>
      </c>
      <c r="G1338">
        <f t="shared" ca="1" si="593"/>
        <v>1</v>
      </c>
      <c r="H1338">
        <f t="shared" si="594"/>
        <v>1</v>
      </c>
      <c r="I1338" s="44">
        <f t="shared" ca="1" si="595"/>
        <v>10</v>
      </c>
      <c r="J1338">
        <f t="shared" si="596"/>
        <v>2</v>
      </c>
      <c r="K1338" s="36">
        <f t="shared" ca="1" si="597"/>
        <v>52.773809523809518</v>
      </c>
      <c r="L1338" s="10">
        <f ca="1">AH1338*VLOOKUP(C1338,技能辅助查询表,技能配置辅助表!$T$1,FALSE)</f>
        <v>0</v>
      </c>
      <c r="M1338">
        <f t="shared" ca="1" si="581"/>
        <v>7200</v>
      </c>
      <c r="N1338" s="33">
        <f ca="1">CHOOSE(1,W1338*U1338,X1338*'[1]0、经济设定'!$C$18)</f>
        <v>1470</v>
      </c>
      <c r="O1338">
        <f t="shared" si="598"/>
        <v>4</v>
      </c>
      <c r="P1338">
        <f t="shared" si="599"/>
        <v>3</v>
      </c>
      <c r="Q1338">
        <f t="shared" si="600"/>
        <v>1</v>
      </c>
      <c r="R1338" s="2">
        <f t="shared" si="601"/>
        <v>6</v>
      </c>
      <c r="S1338" s="2">
        <f t="shared" si="602"/>
        <v>50</v>
      </c>
      <c r="T1338" s="2">
        <f t="shared" si="603"/>
        <v>47.976190476190474</v>
      </c>
      <c r="U1338" s="2">
        <f ca="1">VLOOKUP(E1338,金币生产率!$A$2:$B$120,2,0)</f>
        <v>210</v>
      </c>
      <c r="V1338" s="2">
        <f t="shared" si="604"/>
        <v>143.92857142857142</v>
      </c>
      <c r="W1338" s="45">
        <f t="shared" ca="1" si="588"/>
        <v>7</v>
      </c>
      <c r="X1338" s="48">
        <f t="shared" ca="1" si="589"/>
        <v>52</v>
      </c>
      <c r="Y1338">
        <f t="shared" si="582"/>
        <v>18</v>
      </c>
      <c r="Z1338">
        <f t="shared" ca="1" si="585"/>
        <v>0</v>
      </c>
      <c r="AA1338" t="str">
        <f t="shared" ca="1" si="605"/>
        <v>9324100.png</v>
      </c>
      <c r="AB1338">
        <f t="shared" si="606"/>
        <v>7</v>
      </c>
      <c r="AC1338">
        <f>VLOOKUP(C1338,技能辅助查询表,技能配置辅助表!$W$1,FALSE)</f>
        <v>65043888</v>
      </c>
      <c r="AD1338">
        <f t="shared" ca="1" si="586"/>
        <v>4.9472504462076685</v>
      </c>
      <c r="AE1338">
        <f>VLOOKUP(C1338,技能辅助查询表,技能配置辅助表!$U$1,FALSE)</f>
        <v>4</v>
      </c>
      <c r="AF1338">
        <f t="shared" ca="1" si="607"/>
        <v>9324110</v>
      </c>
      <c r="AG1338">
        <f t="shared" ca="1" si="608"/>
        <v>19.591836734693878</v>
      </c>
      <c r="AH1338">
        <f t="shared" ca="1" si="587"/>
        <v>42.413659673550121</v>
      </c>
      <c r="AI1338">
        <f ca="1">VLOOKUP(E1338,伤害参考系!$C$4:$E$104,3,FALSE)*$AN$12</f>
        <v>691.69255434782622</v>
      </c>
      <c r="AJ1338">
        <f>VLOOKUP(C1338,技能辅助查询表,技能配置辅助表!$L$1,FALSE)</f>
        <v>3</v>
      </c>
      <c r="AK1338">
        <f>VLOOKUP(C1338,技能辅助查询表,技能配置辅助表!$AE$1,FALSE)</f>
        <v>66000650</v>
      </c>
    </row>
    <row r="1339" spans="1:37" x14ac:dyDescent="0.15">
      <c r="A1339" s="1">
        <f t="shared" ca="1" si="590"/>
        <v>9324111</v>
      </c>
      <c r="B1339" s="1" t="str">
        <f t="shared" ca="1" si="591"/>
        <v>子弹风暴第1段</v>
      </c>
      <c r="C1339" t="s">
        <v>179</v>
      </c>
      <c r="D1339">
        <f t="shared" si="592"/>
        <v>3</v>
      </c>
      <c r="E1339" s="42">
        <f t="shared" ca="1" si="583"/>
        <v>22</v>
      </c>
      <c r="F1339" t="str">
        <f t="shared" ca="1" si="584"/>
        <v>第11级，共造成159.8%点伤害</v>
      </c>
      <c r="G1339">
        <f t="shared" ca="1" si="593"/>
        <v>1</v>
      </c>
      <c r="H1339">
        <f t="shared" si="594"/>
        <v>1</v>
      </c>
      <c r="I1339" s="44">
        <f t="shared" ca="1" si="595"/>
        <v>11</v>
      </c>
      <c r="J1339">
        <f t="shared" si="596"/>
        <v>2</v>
      </c>
      <c r="K1339" s="36">
        <f t="shared" ca="1" si="597"/>
        <v>53.253571428571426</v>
      </c>
      <c r="L1339" s="10">
        <f ca="1">AH1339*VLOOKUP(C1339,技能辅助查询表,技能配置辅助表!$T$1,FALSE)</f>
        <v>0</v>
      </c>
      <c r="M1339">
        <f t="shared" ca="1" si="581"/>
        <v>7120</v>
      </c>
      <c r="N1339" s="33">
        <f ca="1">CHOOSE(1,W1339*U1339,X1339*'[1]0、经济设定'!$C$18)</f>
        <v>1912</v>
      </c>
      <c r="O1339">
        <f t="shared" si="598"/>
        <v>4</v>
      </c>
      <c r="P1339">
        <f t="shared" si="599"/>
        <v>3</v>
      </c>
      <c r="Q1339">
        <f t="shared" si="600"/>
        <v>1</v>
      </c>
      <c r="R1339" s="2">
        <f t="shared" si="601"/>
        <v>6</v>
      </c>
      <c r="S1339" s="2">
        <f t="shared" si="602"/>
        <v>50</v>
      </c>
      <c r="T1339" s="2">
        <f t="shared" si="603"/>
        <v>47.976190476190474</v>
      </c>
      <c r="U1339" s="2">
        <f ca="1">VLOOKUP(E1339,金币生产率!$A$2:$B$120,2,0)</f>
        <v>239</v>
      </c>
      <c r="V1339" s="2">
        <f t="shared" si="604"/>
        <v>143.92857142857142</v>
      </c>
      <c r="W1339" s="45">
        <f t="shared" ca="1" si="588"/>
        <v>8</v>
      </c>
      <c r="X1339" s="48">
        <f t="shared" ca="1" si="589"/>
        <v>60</v>
      </c>
      <c r="Y1339">
        <f t="shared" si="582"/>
        <v>18</v>
      </c>
      <c r="Z1339">
        <f t="shared" ca="1" si="585"/>
        <v>0</v>
      </c>
      <c r="AA1339" t="str">
        <f t="shared" ca="1" si="605"/>
        <v>9324100.png</v>
      </c>
      <c r="AB1339">
        <f t="shared" si="606"/>
        <v>7</v>
      </c>
      <c r="AC1339">
        <f>VLOOKUP(C1339,技能辅助查询表,技能配置辅助表!$W$1,FALSE)</f>
        <v>65043888</v>
      </c>
      <c r="AD1339">
        <f t="shared" ca="1" si="586"/>
        <v>5.771377964637848</v>
      </c>
      <c r="AE1339">
        <f>VLOOKUP(C1339,技能辅助查询表,技能配置辅助表!$U$1,FALSE)</f>
        <v>4</v>
      </c>
      <c r="AF1339">
        <f t="shared" ca="1" si="607"/>
        <v>9324111</v>
      </c>
      <c r="AG1339">
        <f t="shared" ca="1" si="608"/>
        <v>21.102040816326529</v>
      </c>
      <c r="AH1339">
        <f t="shared" ca="1" si="587"/>
        <v>48.287391086433935</v>
      </c>
      <c r="AI1339">
        <f ca="1">VLOOKUP(E1339,伤害参考系!$C$4:$E$104,3,FALSE)*$AN$12</f>
        <v>753.08869565217401</v>
      </c>
      <c r="AJ1339">
        <f>VLOOKUP(C1339,技能辅助查询表,技能配置辅助表!$L$1,FALSE)</f>
        <v>3</v>
      </c>
      <c r="AK1339">
        <f>VLOOKUP(C1339,技能辅助查询表,技能配置辅助表!$AE$1,FALSE)</f>
        <v>66000650</v>
      </c>
    </row>
    <row r="1340" spans="1:37" x14ac:dyDescent="0.15">
      <c r="A1340" s="1">
        <f t="shared" ca="1" si="590"/>
        <v>9324112</v>
      </c>
      <c r="B1340" s="1" t="str">
        <f t="shared" ca="1" si="591"/>
        <v>子弹风暴第1段</v>
      </c>
      <c r="C1340" t="s">
        <v>179</v>
      </c>
      <c r="D1340">
        <f t="shared" si="592"/>
        <v>3</v>
      </c>
      <c r="E1340" s="42">
        <f t="shared" ca="1" si="583"/>
        <v>24</v>
      </c>
      <c r="F1340" t="str">
        <f t="shared" ca="1" si="584"/>
        <v>第12级，共造成161.2%点伤害</v>
      </c>
      <c r="G1340">
        <f t="shared" ca="1" si="593"/>
        <v>1</v>
      </c>
      <c r="H1340">
        <f t="shared" si="594"/>
        <v>1</v>
      </c>
      <c r="I1340" s="44">
        <f t="shared" ca="1" si="595"/>
        <v>12</v>
      </c>
      <c r="J1340">
        <f t="shared" si="596"/>
        <v>2</v>
      </c>
      <c r="K1340" s="36">
        <f t="shared" ca="1" si="597"/>
        <v>53.733333333333334</v>
      </c>
      <c r="L1340" s="10">
        <f ca="1">AH1340*VLOOKUP(C1340,技能辅助查询表,技能配置辅助表!$T$1,FALSE)</f>
        <v>0</v>
      </c>
      <c r="M1340">
        <f t="shared" ca="1" si="581"/>
        <v>7040</v>
      </c>
      <c r="N1340" s="33">
        <f ca="1">CHOOSE(1,W1340*U1340,X1340*'[1]0、经济设定'!$C$18)</f>
        <v>2416</v>
      </c>
      <c r="O1340">
        <f t="shared" si="598"/>
        <v>4</v>
      </c>
      <c r="P1340">
        <f t="shared" si="599"/>
        <v>3</v>
      </c>
      <c r="Q1340">
        <f t="shared" si="600"/>
        <v>1</v>
      </c>
      <c r="R1340" s="2">
        <f t="shared" si="601"/>
        <v>6</v>
      </c>
      <c r="S1340" s="2">
        <f t="shared" si="602"/>
        <v>50</v>
      </c>
      <c r="T1340" s="2">
        <f t="shared" si="603"/>
        <v>47.976190476190474</v>
      </c>
      <c r="U1340" s="2">
        <f ca="1">VLOOKUP(E1340,金币生产率!$A$2:$B$120,2,0)</f>
        <v>302</v>
      </c>
      <c r="V1340" s="2">
        <f t="shared" si="604"/>
        <v>143.92857142857142</v>
      </c>
      <c r="W1340" s="45">
        <f t="shared" ca="1" si="588"/>
        <v>8</v>
      </c>
      <c r="X1340" s="48">
        <f t="shared" ca="1" si="589"/>
        <v>68</v>
      </c>
      <c r="Y1340">
        <f t="shared" si="582"/>
        <v>18</v>
      </c>
      <c r="Z1340">
        <f t="shared" ca="1" si="585"/>
        <v>0</v>
      </c>
      <c r="AA1340" t="str">
        <f t="shared" ca="1" si="605"/>
        <v>9324100.png</v>
      </c>
      <c r="AB1340">
        <f t="shared" si="606"/>
        <v>7</v>
      </c>
      <c r="AC1340">
        <f>VLOOKUP(C1340,技能辅助查询表,技能配置辅助表!$W$1,FALSE)</f>
        <v>65043888</v>
      </c>
      <c r="AD1340">
        <f t="shared" ca="1" si="586"/>
        <v>6.7288857382218978</v>
      </c>
      <c r="AE1340">
        <f>VLOOKUP(C1340,技能辅助查询表,技能配置辅助表!$U$1,FALSE)</f>
        <v>4</v>
      </c>
      <c r="AF1340">
        <f t="shared" ca="1" si="607"/>
        <v>9324112</v>
      </c>
      <c r="AG1340">
        <f t="shared" ca="1" si="608"/>
        <v>22.612244897959183</v>
      </c>
      <c r="AH1340">
        <f t="shared" ca="1" si="587"/>
        <v>54.974556684819426</v>
      </c>
      <c r="AI1340">
        <f ca="1">VLOOKUP(E1340,伤害参考系!$C$4:$E$104,3,FALSE)*$AN$12</f>
        <v>914.59374581939801</v>
      </c>
      <c r="AJ1340">
        <f>VLOOKUP(C1340,技能辅助查询表,技能配置辅助表!$L$1,FALSE)</f>
        <v>3</v>
      </c>
      <c r="AK1340">
        <f>VLOOKUP(C1340,技能辅助查询表,技能配置辅助表!$AE$1,FALSE)</f>
        <v>66000650</v>
      </c>
    </row>
    <row r="1341" spans="1:37" x14ac:dyDescent="0.15">
      <c r="A1341" s="1">
        <f t="shared" ca="1" si="590"/>
        <v>9324113</v>
      </c>
      <c r="B1341" s="1" t="str">
        <f t="shared" ca="1" si="591"/>
        <v>子弹风暴第1段</v>
      </c>
      <c r="C1341" t="s">
        <v>179</v>
      </c>
      <c r="D1341">
        <f t="shared" si="592"/>
        <v>3</v>
      </c>
      <c r="E1341" s="42">
        <f t="shared" ca="1" si="583"/>
        <v>25</v>
      </c>
      <c r="F1341" t="str">
        <f t="shared" ca="1" si="584"/>
        <v>第13级，共造成162.6%点伤害</v>
      </c>
      <c r="G1341">
        <f t="shared" ca="1" si="593"/>
        <v>1</v>
      </c>
      <c r="H1341">
        <f t="shared" si="594"/>
        <v>1</v>
      </c>
      <c r="I1341" s="44">
        <f t="shared" ca="1" si="595"/>
        <v>13</v>
      </c>
      <c r="J1341">
        <f t="shared" si="596"/>
        <v>2</v>
      </c>
      <c r="K1341" s="36">
        <f t="shared" ca="1" si="597"/>
        <v>54.213095238095235</v>
      </c>
      <c r="L1341" s="10">
        <f ca="1">AH1341*VLOOKUP(C1341,技能辅助查询表,技能配置辅助表!$T$1,FALSE)</f>
        <v>0</v>
      </c>
      <c r="M1341">
        <f t="shared" ca="1" si="581"/>
        <v>6960</v>
      </c>
      <c r="N1341" s="33">
        <f ca="1">CHOOSE(1,W1341*U1341,X1341*'[1]0、经济设定'!$C$18)</f>
        <v>3015</v>
      </c>
      <c r="O1341">
        <f t="shared" si="598"/>
        <v>4</v>
      </c>
      <c r="P1341">
        <f t="shared" si="599"/>
        <v>3</v>
      </c>
      <c r="Q1341">
        <f t="shared" si="600"/>
        <v>1</v>
      </c>
      <c r="R1341" s="2">
        <f t="shared" si="601"/>
        <v>6</v>
      </c>
      <c r="S1341" s="2">
        <f t="shared" si="602"/>
        <v>50</v>
      </c>
      <c r="T1341" s="2">
        <f t="shared" si="603"/>
        <v>47.976190476190474</v>
      </c>
      <c r="U1341" s="2">
        <f ca="1">VLOOKUP(E1341,金币生产率!$A$2:$B$120,2,0)</f>
        <v>335</v>
      </c>
      <c r="V1341" s="2">
        <f t="shared" si="604"/>
        <v>143.92857142857142</v>
      </c>
      <c r="W1341" s="45">
        <f t="shared" ca="1" si="588"/>
        <v>9</v>
      </c>
      <c r="X1341" s="48">
        <f t="shared" ca="1" si="589"/>
        <v>77</v>
      </c>
      <c r="Y1341">
        <f t="shared" si="582"/>
        <v>18</v>
      </c>
      <c r="Z1341">
        <f t="shared" ca="1" si="585"/>
        <v>0</v>
      </c>
      <c r="AA1341" t="str">
        <f t="shared" ca="1" si="605"/>
        <v>9324100.png</v>
      </c>
      <c r="AB1341">
        <f t="shared" si="606"/>
        <v>7</v>
      </c>
      <c r="AC1341">
        <f>VLOOKUP(C1341,技能辅助查询表,技能配置辅助表!$W$1,FALSE)</f>
        <v>65043888</v>
      </c>
      <c r="AD1341">
        <f t="shared" ca="1" si="586"/>
        <v>7.8409109689675516</v>
      </c>
      <c r="AE1341">
        <f>VLOOKUP(C1341,技能辅助查询表,技能配置辅助表!$U$1,FALSE)</f>
        <v>4</v>
      </c>
      <c r="AF1341">
        <f t="shared" ca="1" si="607"/>
        <v>9324113</v>
      </c>
      <c r="AG1341">
        <f t="shared" ca="1" si="608"/>
        <v>24.122448979591837</v>
      </c>
      <c r="AH1341">
        <f t="shared" ca="1" si="587"/>
        <v>62.587806354721323</v>
      </c>
      <c r="AI1341">
        <f ca="1">VLOOKUP(E1341,伤害参考系!$C$4:$E$104,3,FALSE)*$AN$12</f>
        <v>1000.3949623745822</v>
      </c>
      <c r="AJ1341">
        <f>VLOOKUP(C1341,技能辅助查询表,技能配置辅助表!$L$1,FALSE)</f>
        <v>3</v>
      </c>
      <c r="AK1341">
        <f>VLOOKUP(C1341,技能辅助查询表,技能配置辅助表!$AE$1,FALSE)</f>
        <v>66000650</v>
      </c>
    </row>
    <row r="1342" spans="1:37" x14ac:dyDescent="0.15">
      <c r="A1342" s="1">
        <f t="shared" ca="1" si="590"/>
        <v>9324114</v>
      </c>
      <c r="B1342" s="1" t="str">
        <f t="shared" ca="1" si="591"/>
        <v>子弹风暴第1段</v>
      </c>
      <c r="C1342" t="s">
        <v>179</v>
      </c>
      <c r="D1342">
        <f t="shared" si="592"/>
        <v>3</v>
      </c>
      <c r="E1342" s="42">
        <f t="shared" ca="1" si="583"/>
        <v>27</v>
      </c>
      <c r="F1342" t="str">
        <f t="shared" ca="1" si="584"/>
        <v>第14级，共造成164.1%点伤害</v>
      </c>
      <c r="G1342">
        <f t="shared" ca="1" si="593"/>
        <v>1</v>
      </c>
      <c r="H1342">
        <f t="shared" si="594"/>
        <v>1</v>
      </c>
      <c r="I1342" s="44">
        <f t="shared" ca="1" si="595"/>
        <v>14</v>
      </c>
      <c r="J1342">
        <f t="shared" si="596"/>
        <v>2</v>
      </c>
      <c r="K1342" s="36">
        <f t="shared" ca="1" si="597"/>
        <v>54.692857142857143</v>
      </c>
      <c r="L1342" s="10">
        <f ca="1">AH1342*VLOOKUP(C1342,技能辅助查询表,技能配置辅助表!$T$1,FALSE)</f>
        <v>0</v>
      </c>
      <c r="M1342">
        <f t="shared" ca="1" si="581"/>
        <v>6880</v>
      </c>
      <c r="N1342" s="33">
        <f ca="1">CHOOSE(1,W1342*U1342,X1342*'[1]0、经济设定'!$C$18)</f>
        <v>3654</v>
      </c>
      <c r="O1342">
        <f t="shared" si="598"/>
        <v>4</v>
      </c>
      <c r="P1342">
        <f t="shared" si="599"/>
        <v>3</v>
      </c>
      <c r="Q1342">
        <f t="shared" si="600"/>
        <v>1</v>
      </c>
      <c r="R1342" s="2">
        <f t="shared" si="601"/>
        <v>6</v>
      </c>
      <c r="S1342" s="2">
        <f t="shared" si="602"/>
        <v>50</v>
      </c>
      <c r="T1342" s="2">
        <f t="shared" si="603"/>
        <v>47.976190476190474</v>
      </c>
      <c r="U1342" s="2">
        <f ca="1">VLOOKUP(E1342,金币生产率!$A$2:$B$120,2,0)</f>
        <v>406</v>
      </c>
      <c r="V1342" s="2">
        <f t="shared" si="604"/>
        <v>143.92857142857142</v>
      </c>
      <c r="W1342" s="45">
        <f t="shared" ca="1" si="588"/>
        <v>9</v>
      </c>
      <c r="X1342" s="48">
        <f t="shared" ca="1" si="589"/>
        <v>86</v>
      </c>
      <c r="Y1342">
        <f t="shared" si="582"/>
        <v>18</v>
      </c>
      <c r="Z1342">
        <f t="shared" ca="1" si="585"/>
        <v>0</v>
      </c>
      <c r="AA1342" t="str">
        <f t="shared" ca="1" si="605"/>
        <v>9324100.png</v>
      </c>
      <c r="AB1342">
        <f t="shared" si="606"/>
        <v>7</v>
      </c>
      <c r="AC1342">
        <f>VLOOKUP(C1342,技能辅助查询表,技能配置辅助表!$W$1,FALSE)</f>
        <v>65043888</v>
      </c>
      <c r="AD1342">
        <f t="shared" ca="1" si="586"/>
        <v>9.1318872600111067</v>
      </c>
      <c r="AE1342">
        <f>VLOOKUP(C1342,技能辅助查询表,技能配置辅助表!$U$1,FALSE)</f>
        <v>4</v>
      </c>
      <c r="AF1342">
        <f t="shared" ca="1" si="607"/>
        <v>9324114</v>
      </c>
      <c r="AG1342">
        <f t="shared" ca="1" si="608"/>
        <v>25.632653061224488</v>
      </c>
      <c r="AH1342">
        <f t="shared" ca="1" si="587"/>
        <v>71.25539050281769</v>
      </c>
      <c r="AI1342">
        <f ca="1">VLOOKUP(E1342,伤害参考系!$C$4:$E$104,3,FALSE)*$AN$12</f>
        <v>1210.5107784280938</v>
      </c>
      <c r="AJ1342">
        <f>VLOOKUP(C1342,技能辅助查询表,技能配置辅助表!$L$1,FALSE)</f>
        <v>3</v>
      </c>
      <c r="AK1342">
        <f>VLOOKUP(C1342,技能辅助查询表,技能配置辅助表!$AE$1,FALSE)</f>
        <v>66000650</v>
      </c>
    </row>
    <row r="1343" spans="1:37" x14ac:dyDescent="0.15">
      <c r="A1343" s="1">
        <f t="shared" ca="1" si="590"/>
        <v>9324115</v>
      </c>
      <c r="B1343" s="1" t="str">
        <f t="shared" ca="1" si="591"/>
        <v>子弹风暴第1段</v>
      </c>
      <c r="C1343" t="s">
        <v>179</v>
      </c>
      <c r="D1343">
        <f t="shared" si="592"/>
        <v>3</v>
      </c>
      <c r="E1343" s="42">
        <f t="shared" ca="1" si="583"/>
        <v>28</v>
      </c>
      <c r="F1343" t="str">
        <f t="shared" ca="1" si="584"/>
        <v>第15级，共造成165.5%点伤害</v>
      </c>
      <c r="G1343">
        <f t="shared" ca="1" si="593"/>
        <v>1</v>
      </c>
      <c r="H1343">
        <f t="shared" si="594"/>
        <v>1</v>
      </c>
      <c r="I1343" s="44">
        <f t="shared" ca="1" si="595"/>
        <v>15</v>
      </c>
      <c r="J1343">
        <f t="shared" si="596"/>
        <v>2</v>
      </c>
      <c r="K1343" s="36">
        <f t="shared" ca="1" si="597"/>
        <v>55.172619047619044</v>
      </c>
      <c r="L1343" s="10">
        <f ca="1">AH1343*VLOOKUP(C1343,技能辅助查询表,技能配置辅助表!$T$1,FALSE)</f>
        <v>0</v>
      </c>
      <c r="M1343">
        <f t="shared" ca="1" si="581"/>
        <v>6800</v>
      </c>
      <c r="N1343" s="33">
        <f ca="1">CHOOSE(1,W1343*U1343,X1343*'[1]0、经济设定'!$C$18)</f>
        <v>4430</v>
      </c>
      <c r="O1343">
        <f t="shared" si="598"/>
        <v>4</v>
      </c>
      <c r="P1343">
        <f t="shared" si="599"/>
        <v>3</v>
      </c>
      <c r="Q1343">
        <f t="shared" si="600"/>
        <v>1</v>
      </c>
      <c r="R1343" s="2">
        <f t="shared" si="601"/>
        <v>6</v>
      </c>
      <c r="S1343" s="2">
        <f t="shared" si="602"/>
        <v>50</v>
      </c>
      <c r="T1343" s="2">
        <f t="shared" si="603"/>
        <v>47.976190476190474</v>
      </c>
      <c r="U1343" s="2">
        <f ca="1">VLOOKUP(E1343,金币生产率!$A$2:$B$120,2,0)</f>
        <v>443</v>
      </c>
      <c r="V1343" s="2">
        <f t="shared" si="604"/>
        <v>143.92857142857142</v>
      </c>
      <c r="W1343" s="45">
        <f t="shared" ca="1" si="588"/>
        <v>10</v>
      </c>
      <c r="X1343" s="48">
        <f t="shared" ca="1" si="589"/>
        <v>96</v>
      </c>
      <c r="Y1343">
        <f t="shared" si="582"/>
        <v>18</v>
      </c>
      <c r="Z1343">
        <f t="shared" ca="1" si="585"/>
        <v>0</v>
      </c>
      <c r="AA1343" t="str">
        <f t="shared" ca="1" si="605"/>
        <v>9324100.png</v>
      </c>
      <c r="AB1343">
        <f t="shared" si="606"/>
        <v>7</v>
      </c>
      <c r="AC1343">
        <f>VLOOKUP(C1343,技能辅助查询表,技能配置辅助表!$W$1,FALSE)</f>
        <v>65043888</v>
      </c>
      <c r="AD1343">
        <f t="shared" ca="1" si="586"/>
        <v>10.630052249883892</v>
      </c>
      <c r="AE1343">
        <f>VLOOKUP(C1343,技能辅助查询表,技能配置辅助表!$U$1,FALSE)</f>
        <v>4</v>
      </c>
      <c r="AF1343">
        <f t="shared" ca="1" si="607"/>
        <v>9324115</v>
      </c>
      <c r="AG1343">
        <f t="shared" ca="1" si="608"/>
        <v>27.142857142857142</v>
      </c>
      <c r="AH1343">
        <f t="shared" ca="1" si="587"/>
        <v>81.123320522417259</v>
      </c>
      <c r="AI1343">
        <f ca="1">VLOOKUP(E1343,伤害参考系!$C$4:$E$104,3,FALSE)*$AN$12</f>
        <v>1321.7693779264216</v>
      </c>
      <c r="AJ1343">
        <f>VLOOKUP(C1343,技能辅助查询表,技能配置辅助表!$L$1,FALSE)</f>
        <v>3</v>
      </c>
      <c r="AK1343">
        <f>VLOOKUP(C1343,技能辅助查询表,技能配置辅助表!$AE$1,FALSE)</f>
        <v>66000650</v>
      </c>
    </row>
    <row r="1344" spans="1:37" x14ac:dyDescent="0.15">
      <c r="A1344" s="1">
        <f t="shared" ca="1" si="590"/>
        <v>9324116</v>
      </c>
      <c r="B1344" s="1" t="str">
        <f t="shared" ca="1" si="591"/>
        <v>子弹风暴第1段</v>
      </c>
      <c r="C1344" t="s">
        <v>179</v>
      </c>
      <c r="D1344">
        <f t="shared" si="592"/>
        <v>3</v>
      </c>
      <c r="E1344" s="42">
        <f t="shared" ca="1" si="583"/>
        <v>30</v>
      </c>
      <c r="F1344" t="str">
        <f t="shared" ca="1" si="584"/>
        <v>第16级，共造成167%点伤害</v>
      </c>
      <c r="G1344">
        <f t="shared" ca="1" si="593"/>
        <v>1</v>
      </c>
      <c r="H1344">
        <f t="shared" si="594"/>
        <v>1</v>
      </c>
      <c r="I1344" s="44">
        <f t="shared" ca="1" si="595"/>
        <v>16</v>
      </c>
      <c r="J1344">
        <f t="shared" si="596"/>
        <v>2</v>
      </c>
      <c r="K1344" s="36">
        <f t="shared" ca="1" si="597"/>
        <v>55.652380952380952</v>
      </c>
      <c r="L1344" s="10">
        <f ca="1">AH1344*VLOOKUP(C1344,技能辅助查询表,技能配置辅助表!$T$1,FALSE)</f>
        <v>0</v>
      </c>
      <c r="M1344">
        <f t="shared" ca="1" si="581"/>
        <v>6720</v>
      </c>
      <c r="N1344" s="33">
        <f ca="1">CHOOSE(1,W1344*U1344,X1344*'[1]0、经济设定'!$C$18)</f>
        <v>5742</v>
      </c>
      <c r="O1344">
        <f t="shared" si="598"/>
        <v>4</v>
      </c>
      <c r="P1344">
        <f t="shared" si="599"/>
        <v>3</v>
      </c>
      <c r="Q1344">
        <f t="shared" si="600"/>
        <v>1</v>
      </c>
      <c r="R1344" s="2">
        <f t="shared" si="601"/>
        <v>6</v>
      </c>
      <c r="S1344" s="2">
        <f t="shared" si="602"/>
        <v>50</v>
      </c>
      <c r="T1344" s="2">
        <f t="shared" si="603"/>
        <v>47.976190476190474</v>
      </c>
      <c r="U1344" s="2">
        <f ca="1">VLOOKUP(E1344,金币生产率!$A$2:$B$120,2,0)</f>
        <v>522</v>
      </c>
      <c r="V1344" s="2">
        <f t="shared" si="604"/>
        <v>143.92857142857142</v>
      </c>
      <c r="W1344" s="45">
        <f t="shared" ca="1" si="588"/>
        <v>11</v>
      </c>
      <c r="X1344" s="48">
        <f t="shared" ca="1" si="589"/>
        <v>107</v>
      </c>
      <c r="Y1344">
        <f t="shared" si="582"/>
        <v>18</v>
      </c>
      <c r="Z1344">
        <f t="shared" ca="1" si="585"/>
        <v>0</v>
      </c>
      <c r="AA1344" t="str">
        <f t="shared" ca="1" si="605"/>
        <v>9324100.png</v>
      </c>
      <c r="AB1344">
        <f t="shared" si="606"/>
        <v>7</v>
      </c>
      <c r="AC1344">
        <f>VLOOKUP(C1344,技能辅助查询表,技能配置辅助表!$W$1,FALSE)</f>
        <v>65043888</v>
      </c>
      <c r="AD1344">
        <f t="shared" ca="1" si="586"/>
        <v>12.368032627729429</v>
      </c>
      <c r="AE1344">
        <f>VLOOKUP(C1344,技能辅助查询表,技能配置辅助表!$U$1,FALSE)</f>
        <v>4</v>
      </c>
      <c r="AF1344">
        <f t="shared" ca="1" si="607"/>
        <v>9324116</v>
      </c>
      <c r="AG1344">
        <f t="shared" ca="1" si="608"/>
        <v>28.653061224489797</v>
      </c>
      <c r="AH1344">
        <f t="shared" ca="1" si="587"/>
        <v>92.357828455414989</v>
      </c>
      <c r="AI1344">
        <f ca="1">VLOOKUP(E1344,伤害参考系!$C$4:$E$104,3,FALSE)*$AN$12</f>
        <v>1576.1465593645489</v>
      </c>
      <c r="AJ1344">
        <f>VLOOKUP(C1344,技能辅助查询表,技能配置辅助表!$L$1,FALSE)</f>
        <v>3</v>
      </c>
      <c r="AK1344">
        <f>VLOOKUP(C1344,技能辅助查询表,技能配置辅助表!$AE$1,FALSE)</f>
        <v>66000650</v>
      </c>
    </row>
    <row r="1345" spans="1:37" x14ac:dyDescent="0.15">
      <c r="A1345" s="1">
        <f t="shared" ca="1" si="590"/>
        <v>9324117</v>
      </c>
      <c r="B1345" s="1" t="str">
        <f t="shared" ca="1" si="591"/>
        <v>子弹风暴第1段</v>
      </c>
      <c r="C1345" t="s">
        <v>179</v>
      </c>
      <c r="D1345">
        <f t="shared" si="592"/>
        <v>3</v>
      </c>
      <c r="E1345" s="42">
        <f t="shared" ca="1" si="583"/>
        <v>31</v>
      </c>
      <c r="F1345" t="str">
        <f t="shared" ca="1" si="584"/>
        <v>第17级，共造成168.4%点伤害</v>
      </c>
      <c r="G1345">
        <f t="shared" ca="1" si="593"/>
        <v>1</v>
      </c>
      <c r="H1345">
        <f t="shared" si="594"/>
        <v>1</v>
      </c>
      <c r="I1345" s="44">
        <f t="shared" ca="1" si="595"/>
        <v>17</v>
      </c>
      <c r="J1345">
        <f t="shared" si="596"/>
        <v>2</v>
      </c>
      <c r="K1345" s="36">
        <f t="shared" ca="1" si="597"/>
        <v>56.132142857142853</v>
      </c>
      <c r="L1345" s="10">
        <f ca="1">AH1345*VLOOKUP(C1345,技能辅助查询表,技能配置辅助表!$T$1,FALSE)</f>
        <v>0</v>
      </c>
      <c r="M1345">
        <f t="shared" ca="1" si="581"/>
        <v>6640</v>
      </c>
      <c r="N1345" s="33">
        <f ca="1">CHOOSE(1,W1345*U1345,X1345*'[1]0、经济设定'!$C$18)</f>
        <v>6756</v>
      </c>
      <c r="O1345">
        <f t="shared" si="598"/>
        <v>4</v>
      </c>
      <c r="P1345">
        <f t="shared" si="599"/>
        <v>3</v>
      </c>
      <c r="Q1345">
        <f t="shared" si="600"/>
        <v>1</v>
      </c>
      <c r="R1345" s="2">
        <f t="shared" si="601"/>
        <v>6</v>
      </c>
      <c r="S1345" s="2">
        <f t="shared" si="602"/>
        <v>50</v>
      </c>
      <c r="T1345" s="2">
        <f t="shared" si="603"/>
        <v>47.976190476190474</v>
      </c>
      <c r="U1345" s="2">
        <f ca="1">VLOOKUP(E1345,金币生产率!$A$2:$B$120,2,0)</f>
        <v>563</v>
      </c>
      <c r="V1345" s="2">
        <f t="shared" si="604"/>
        <v>143.92857142857142</v>
      </c>
      <c r="W1345" s="45">
        <f t="shared" ca="1" si="588"/>
        <v>12</v>
      </c>
      <c r="X1345" s="48">
        <f t="shared" ca="1" si="589"/>
        <v>119</v>
      </c>
      <c r="Y1345">
        <f t="shared" si="582"/>
        <v>18</v>
      </c>
      <c r="Z1345">
        <f t="shared" ca="1" si="585"/>
        <v>0</v>
      </c>
      <c r="AA1345" t="str">
        <f t="shared" ca="1" si="605"/>
        <v>9324100.png</v>
      </c>
      <c r="AB1345">
        <f t="shared" si="606"/>
        <v>7</v>
      </c>
      <c r="AC1345">
        <f>VLOOKUP(C1345,技能辅助查询表,技能配置辅助表!$W$1,FALSE)</f>
        <v>65043888</v>
      </c>
      <c r="AD1345">
        <f t="shared" ca="1" si="586"/>
        <v>14.383518226240241</v>
      </c>
      <c r="AE1345">
        <f>VLOOKUP(C1345,技能辅助查询表,技能配置辅助表!$U$1,FALSE)</f>
        <v>4</v>
      </c>
      <c r="AF1345">
        <f t="shared" ca="1" si="607"/>
        <v>9324117</v>
      </c>
      <c r="AG1345">
        <f t="shared" ca="1" si="608"/>
        <v>30.163265306122447</v>
      </c>
      <c r="AH1345">
        <f t="shared" ca="1" si="587"/>
        <v>105.14816728492683</v>
      </c>
      <c r="AI1345">
        <f ca="1">VLOOKUP(E1345,伤害参考系!$C$4:$E$104,3,FALSE)*$AN$12</f>
        <v>1721.3320384615388</v>
      </c>
      <c r="AJ1345">
        <f>VLOOKUP(C1345,技能辅助查询表,技能配置辅助表!$L$1,FALSE)</f>
        <v>3</v>
      </c>
      <c r="AK1345">
        <f>VLOOKUP(C1345,技能辅助查询表,技能配置辅助表!$AE$1,FALSE)</f>
        <v>66000650</v>
      </c>
    </row>
    <row r="1346" spans="1:37" x14ac:dyDescent="0.15">
      <c r="A1346" s="1">
        <f t="shared" ca="1" si="590"/>
        <v>9324118</v>
      </c>
      <c r="B1346" s="1" t="str">
        <f t="shared" ca="1" si="591"/>
        <v>子弹风暴第1段</v>
      </c>
      <c r="C1346" t="s">
        <v>179</v>
      </c>
      <c r="D1346">
        <f t="shared" si="592"/>
        <v>3</v>
      </c>
      <c r="E1346" s="42">
        <f t="shared" ca="1" si="583"/>
        <v>33</v>
      </c>
      <c r="F1346" t="str">
        <f t="shared" ca="1" si="584"/>
        <v>第18级，共造成169.8%点伤害</v>
      </c>
      <c r="G1346">
        <f t="shared" ca="1" si="593"/>
        <v>1</v>
      </c>
      <c r="H1346">
        <f t="shared" si="594"/>
        <v>1</v>
      </c>
      <c r="I1346" s="44">
        <f t="shared" ca="1" si="595"/>
        <v>18</v>
      </c>
      <c r="J1346">
        <f t="shared" si="596"/>
        <v>2</v>
      </c>
      <c r="K1346" s="36">
        <f t="shared" ca="1" si="597"/>
        <v>56.611904761904761</v>
      </c>
      <c r="L1346" s="10">
        <f ca="1">AH1346*VLOOKUP(C1346,技能辅助查询表,技能配置辅助表!$T$1,FALSE)</f>
        <v>0</v>
      </c>
      <c r="M1346">
        <f t="shared" ref="M1346:M1409" ca="1" si="609">IF(OR(I1346=0,I1346=1),VLOOKUP(C1346,技能辅助查询表,14,FALSE),VLOOKUP(C1346,技能辅助查询表,14,FALSE)-VLOOKUP(C1346,技能辅助查询表,14,FALSE)*0.5/S1346*I1346)</f>
        <v>6560</v>
      </c>
      <c r="N1346" s="33">
        <f ca="1">CHOOSE(1,W1346*U1346,X1346*'[1]0、经济设定'!$C$18)</f>
        <v>7812</v>
      </c>
      <c r="O1346">
        <f t="shared" si="598"/>
        <v>4</v>
      </c>
      <c r="P1346">
        <f t="shared" si="599"/>
        <v>3</v>
      </c>
      <c r="Q1346">
        <f t="shared" si="600"/>
        <v>1</v>
      </c>
      <c r="R1346" s="2">
        <f t="shared" si="601"/>
        <v>6</v>
      </c>
      <c r="S1346" s="2">
        <f t="shared" si="602"/>
        <v>50</v>
      </c>
      <c r="T1346" s="2">
        <f t="shared" si="603"/>
        <v>47.976190476190474</v>
      </c>
      <c r="U1346" s="2">
        <f ca="1">VLOOKUP(E1346,金币生产率!$A$2:$B$120,2,0)</f>
        <v>651</v>
      </c>
      <c r="V1346" s="2">
        <f t="shared" si="604"/>
        <v>143.92857142857142</v>
      </c>
      <c r="W1346" s="45">
        <f t="shared" ca="1" si="588"/>
        <v>12</v>
      </c>
      <c r="X1346" s="48">
        <f t="shared" ca="1" si="589"/>
        <v>131</v>
      </c>
      <c r="Y1346">
        <f t="shared" ref="Y1346:Y1378" si="610">VLOOKUP(C1346,技能辅助查询表,15,FALSE)</f>
        <v>18</v>
      </c>
      <c r="Z1346">
        <f t="shared" ca="1" si="585"/>
        <v>5</v>
      </c>
      <c r="AA1346" t="str">
        <f t="shared" ca="1" si="605"/>
        <v>9324100.png</v>
      </c>
      <c r="AB1346">
        <f t="shared" si="606"/>
        <v>7</v>
      </c>
      <c r="AC1346">
        <f>VLOOKUP(C1346,技能辅助查询表,技能配置辅助表!$W$1,FALSE)</f>
        <v>65043888</v>
      </c>
      <c r="AD1346">
        <f t="shared" ca="1" si="586"/>
        <v>16.72003864472137</v>
      </c>
      <c r="AE1346">
        <f>VLOOKUP(C1346,技能辅助查询表,技能配置辅助表!$U$1,FALSE)</f>
        <v>4</v>
      </c>
      <c r="AF1346">
        <f t="shared" ca="1" si="607"/>
        <v>9324118</v>
      </c>
      <c r="AG1346">
        <f t="shared" ca="1" si="608"/>
        <v>31.673469387755102</v>
      </c>
      <c r="AH1346">
        <f t="shared" ca="1" si="587"/>
        <v>119.70979903145096</v>
      </c>
      <c r="AI1346">
        <f ca="1">VLOOKUP(E1346,伤害参考系!$C$4:$E$104,3,FALSE)*$AN$12</f>
        <v>2031.7137667224088</v>
      </c>
      <c r="AJ1346">
        <f>VLOOKUP(C1346,技能辅助查询表,技能配置辅助表!$L$1,FALSE)</f>
        <v>3</v>
      </c>
      <c r="AK1346">
        <f>VLOOKUP(C1346,技能辅助查询表,技能配置辅助表!$AE$1,FALSE)</f>
        <v>66000650</v>
      </c>
    </row>
    <row r="1347" spans="1:37" x14ac:dyDescent="0.15">
      <c r="A1347" s="1">
        <f t="shared" ca="1" si="590"/>
        <v>9324119</v>
      </c>
      <c r="B1347" s="1" t="str">
        <f t="shared" ca="1" si="591"/>
        <v>子弹风暴第1段</v>
      </c>
      <c r="C1347" t="s">
        <v>179</v>
      </c>
      <c r="D1347">
        <f t="shared" si="592"/>
        <v>3</v>
      </c>
      <c r="E1347" s="42">
        <f t="shared" ref="E1347:E1410" ca="1" si="611">IF(I1347=0,E1348,IF(AND(I1347=1,G1347&gt;1),OFFSET(E1347,(1-G1347)*51,0),IF(OR(I1347=1,AND(I1347=2,R1347=2)),R1347,IF(I1347=0,0,ROUND(I1347*(80-R1347)/S1347,0)+R1347))))</f>
        <v>34</v>
      </c>
      <c r="F1347" t="str">
        <f t="shared" ref="F1347:F1410" ca="1" si="612">"第"&amp;I1347&amp;"级，共造成"&amp;ROUND(AJ1347*K1347,1)&amp;"%点伤害"</f>
        <v>第19级，共造成171.3%点伤害</v>
      </c>
      <c r="G1347">
        <f t="shared" ca="1" si="593"/>
        <v>1</v>
      </c>
      <c r="H1347">
        <f t="shared" si="594"/>
        <v>1</v>
      </c>
      <c r="I1347" s="44">
        <f t="shared" ca="1" si="595"/>
        <v>19</v>
      </c>
      <c r="J1347">
        <f t="shared" si="596"/>
        <v>2</v>
      </c>
      <c r="K1347" s="36">
        <f t="shared" ca="1" si="597"/>
        <v>57.091666666666669</v>
      </c>
      <c r="L1347" s="10">
        <f ca="1">AH1347*VLOOKUP(C1347,技能辅助查询表,技能配置辅助表!$T$1,FALSE)</f>
        <v>0</v>
      </c>
      <c r="M1347">
        <f t="shared" ca="1" si="609"/>
        <v>6480</v>
      </c>
      <c r="N1347" s="33">
        <f ca="1">CHOOSE(1,W1347*U1347,X1347*'[1]0、经济设定'!$C$18)</f>
        <v>9048</v>
      </c>
      <c r="O1347">
        <f t="shared" si="598"/>
        <v>4</v>
      </c>
      <c r="P1347">
        <f t="shared" si="599"/>
        <v>3</v>
      </c>
      <c r="Q1347">
        <f t="shared" si="600"/>
        <v>1</v>
      </c>
      <c r="R1347" s="2">
        <f t="shared" si="601"/>
        <v>6</v>
      </c>
      <c r="S1347" s="2">
        <f t="shared" si="602"/>
        <v>50</v>
      </c>
      <c r="T1347" s="2">
        <f t="shared" si="603"/>
        <v>47.976190476190474</v>
      </c>
      <c r="U1347" s="2">
        <f ca="1">VLOOKUP(E1347,金币生产率!$A$2:$B$120,2,0)</f>
        <v>696</v>
      </c>
      <c r="V1347" s="2">
        <f t="shared" si="604"/>
        <v>143.92857142857142</v>
      </c>
      <c r="W1347" s="45">
        <f t="shared" ca="1" si="588"/>
        <v>13</v>
      </c>
      <c r="X1347" s="48">
        <f t="shared" ca="1" si="589"/>
        <v>144</v>
      </c>
      <c r="Y1347">
        <f t="shared" si="610"/>
        <v>18</v>
      </c>
      <c r="Z1347">
        <f t="shared" ref="Z1347:Z1410" ca="1" si="613">IF(I1347&gt;=Y1347,ROUNDUP(W1347/$AN$15,0),0)</f>
        <v>6</v>
      </c>
      <c r="AA1347" t="str">
        <f t="shared" ca="1" si="605"/>
        <v>9324100.png</v>
      </c>
      <c r="AB1347">
        <f t="shared" si="606"/>
        <v>7</v>
      </c>
      <c r="AC1347">
        <f>VLOOKUP(C1347,技能辅助查询表,技能配置辅助表!$W$1,FALSE)</f>
        <v>65043888</v>
      </c>
      <c r="AD1347">
        <f t="shared" ref="AD1347:AD1410" ca="1" si="614">((AH1347*K1347/100+L1347)*AJ1347-AH1347)/5</f>
        <v>19.427857872264376</v>
      </c>
      <c r="AE1347">
        <f>VLOOKUP(C1347,技能辅助查询表,技能配置辅助表!$U$1,FALSE)</f>
        <v>4</v>
      </c>
      <c r="AF1347">
        <f t="shared" ca="1" si="607"/>
        <v>9324119</v>
      </c>
      <c r="AG1347">
        <f t="shared" ca="1" si="608"/>
        <v>33.183673469387756</v>
      </c>
      <c r="AH1347">
        <f t="shared" ref="AH1347:AH1378" ca="1" si="615">(19.323*EXP(I1347*0.1297))*$AN$12</f>
        <v>136.28802435822078</v>
      </c>
      <c r="AI1347">
        <f ca="1">VLOOKUP(E1347,伤害参考系!$C$4:$E$104,3,FALSE)*$AN$12</f>
        <v>2196.2761028428095</v>
      </c>
      <c r="AJ1347">
        <f>VLOOKUP(C1347,技能辅助查询表,技能配置辅助表!$L$1,FALSE)</f>
        <v>3</v>
      </c>
      <c r="AK1347">
        <f>VLOOKUP(C1347,技能辅助查询表,技能配置辅助表!$AE$1,FALSE)</f>
        <v>66000650</v>
      </c>
    </row>
    <row r="1348" spans="1:37" x14ac:dyDescent="0.15">
      <c r="A1348" s="1">
        <f t="shared" ca="1" si="590"/>
        <v>9324120</v>
      </c>
      <c r="B1348" s="1" t="str">
        <f t="shared" ca="1" si="591"/>
        <v>子弹风暴第1段</v>
      </c>
      <c r="C1348" t="s">
        <v>179</v>
      </c>
      <c r="D1348">
        <f t="shared" si="592"/>
        <v>3</v>
      </c>
      <c r="E1348" s="42">
        <f t="shared" ca="1" si="611"/>
        <v>36</v>
      </c>
      <c r="F1348" t="str">
        <f t="shared" ca="1" si="612"/>
        <v>第20级，共造成172.7%点伤害</v>
      </c>
      <c r="G1348">
        <f t="shared" ca="1" si="593"/>
        <v>1</v>
      </c>
      <c r="H1348">
        <f t="shared" si="594"/>
        <v>1</v>
      </c>
      <c r="I1348" s="44">
        <f t="shared" ca="1" si="595"/>
        <v>20</v>
      </c>
      <c r="J1348">
        <f t="shared" si="596"/>
        <v>2</v>
      </c>
      <c r="K1348" s="36">
        <f t="shared" ca="1" si="597"/>
        <v>57.571428571428569</v>
      </c>
      <c r="L1348" s="10">
        <f ca="1">AH1348*VLOOKUP(C1348,技能辅助查询表,技能配置辅助表!$T$1,FALSE)</f>
        <v>0</v>
      </c>
      <c r="M1348">
        <f t="shared" ca="1" si="609"/>
        <v>6400</v>
      </c>
      <c r="N1348" s="33">
        <f ca="1">CHOOSE(1,W1348*U1348,X1348*'[1]0、经济设定'!$C$18)</f>
        <v>11074</v>
      </c>
      <c r="O1348">
        <f t="shared" si="598"/>
        <v>4</v>
      </c>
      <c r="P1348">
        <f t="shared" si="599"/>
        <v>3</v>
      </c>
      <c r="Q1348">
        <f t="shared" si="600"/>
        <v>1</v>
      </c>
      <c r="R1348" s="2">
        <f t="shared" si="601"/>
        <v>6</v>
      </c>
      <c r="S1348" s="2">
        <f t="shared" si="602"/>
        <v>50</v>
      </c>
      <c r="T1348" s="2">
        <f t="shared" si="603"/>
        <v>47.976190476190474</v>
      </c>
      <c r="U1348" s="2">
        <f ca="1">VLOOKUP(E1348,金币生产率!$A$2:$B$120,2,0)</f>
        <v>791</v>
      </c>
      <c r="V1348" s="2">
        <f t="shared" si="604"/>
        <v>143.92857142857142</v>
      </c>
      <c r="W1348" s="45">
        <f t="shared" ref="W1348:W1411" ca="1" si="616">ROUND((IF(I1348=0,0,ROUND(OFFSET(AD1348,S1348-I1348+510*(1-D1348),0)*(1-$AN$13)/(1-$AN$13^S1348)*$AN$13^(I1348-1),0))+IF(I1348=0,0,ROUND(OFFSET(AD1348,S1348-I1348+510*(2-D1348),0)*(1-$AN$13)/(1-$AN$13^S1348)*$AN$13^(I1348-1),0))+IF(I1348=0,0,ROUND(OFFSET(AD1348,S1348-I1348+510*(3-D1348),0)*(1-$AN$13)/(1-$AN$13^S1348)*$AN$13^(I1348-1),0)))/3,0)</f>
        <v>14</v>
      </c>
      <c r="X1348" s="48">
        <f t="shared" ref="X1348:X1411" ca="1" si="617">IF(I1348=0,0,X1347+W1348)</f>
        <v>158</v>
      </c>
      <c r="Y1348">
        <f t="shared" si="610"/>
        <v>18</v>
      </c>
      <c r="Z1348">
        <f t="shared" ca="1" si="613"/>
        <v>6</v>
      </c>
      <c r="AA1348" t="str">
        <f t="shared" ca="1" si="605"/>
        <v>9324100.png</v>
      </c>
      <c r="AB1348">
        <f t="shared" si="606"/>
        <v>7</v>
      </c>
      <c r="AC1348">
        <f>VLOOKUP(C1348,技能辅助查询表,技能配置辅助表!$W$1,FALSE)</f>
        <v>65043888</v>
      </c>
      <c r="AD1348">
        <f t="shared" ca="1" si="614"/>
        <v>22.565004699408298</v>
      </c>
      <c r="AE1348">
        <f>VLOOKUP(C1348,技能辅助查询表,技能配置辅助表!$U$1,FALSE)</f>
        <v>4</v>
      </c>
      <c r="AF1348">
        <f t="shared" ca="1" si="607"/>
        <v>9324120</v>
      </c>
      <c r="AG1348">
        <f t="shared" ca="1" si="608"/>
        <v>34.693877551020407</v>
      </c>
      <c r="AH1348">
        <f t="shared" ca="1" si="615"/>
        <v>155.16211482893718</v>
      </c>
      <c r="AI1348">
        <f ca="1">VLOOKUP(E1348,伤害参考系!$C$4:$E$104,3,FALSE)*$AN$12</f>
        <v>2544.1437190635456</v>
      </c>
      <c r="AJ1348">
        <f>VLOOKUP(C1348,技能辅助查询表,技能配置辅助表!$L$1,FALSE)</f>
        <v>3</v>
      </c>
      <c r="AK1348">
        <f>VLOOKUP(C1348,技能辅助查询表,技能配置辅助表!$AE$1,FALSE)</f>
        <v>66000650</v>
      </c>
    </row>
    <row r="1349" spans="1:37" x14ac:dyDescent="0.15">
      <c r="A1349" s="1">
        <f t="shared" ca="1" si="590"/>
        <v>9324121</v>
      </c>
      <c r="B1349" s="1" t="str">
        <f t="shared" ca="1" si="591"/>
        <v>子弹风暴第1段</v>
      </c>
      <c r="C1349" t="s">
        <v>179</v>
      </c>
      <c r="D1349">
        <f t="shared" si="592"/>
        <v>3</v>
      </c>
      <c r="E1349" s="42">
        <f t="shared" ca="1" si="611"/>
        <v>37</v>
      </c>
      <c r="F1349" t="str">
        <f t="shared" ca="1" si="612"/>
        <v>第21级，共造成174.2%点伤害</v>
      </c>
      <c r="G1349">
        <f t="shared" ca="1" si="593"/>
        <v>1</v>
      </c>
      <c r="H1349">
        <f t="shared" si="594"/>
        <v>1</v>
      </c>
      <c r="I1349" s="44">
        <f t="shared" ca="1" si="595"/>
        <v>21</v>
      </c>
      <c r="J1349">
        <f t="shared" si="596"/>
        <v>2</v>
      </c>
      <c r="K1349" s="36">
        <f t="shared" ca="1" si="597"/>
        <v>58.05119047619047</v>
      </c>
      <c r="L1349" s="10">
        <f ca="1">AH1349*VLOOKUP(C1349,技能辅助查询表,技能配置辅助表!$T$1,FALSE)</f>
        <v>0</v>
      </c>
      <c r="M1349">
        <f t="shared" ca="1" si="609"/>
        <v>6320</v>
      </c>
      <c r="N1349" s="33">
        <f ca="1">CHOOSE(1,W1349*U1349,X1349*'[1]0、经济设定'!$C$18)</f>
        <v>12615</v>
      </c>
      <c r="O1349">
        <f t="shared" si="598"/>
        <v>4</v>
      </c>
      <c r="P1349">
        <f t="shared" si="599"/>
        <v>3</v>
      </c>
      <c r="Q1349">
        <f t="shared" si="600"/>
        <v>1</v>
      </c>
      <c r="R1349" s="2">
        <f t="shared" si="601"/>
        <v>6</v>
      </c>
      <c r="S1349" s="2">
        <f t="shared" si="602"/>
        <v>50</v>
      </c>
      <c r="T1349" s="2">
        <f t="shared" si="603"/>
        <v>47.976190476190474</v>
      </c>
      <c r="U1349" s="2">
        <f ca="1">VLOOKUP(E1349,金币生产率!$A$2:$B$120,2,0)</f>
        <v>841</v>
      </c>
      <c r="V1349" s="2">
        <f t="shared" si="604"/>
        <v>143.92857142857142</v>
      </c>
      <c r="W1349" s="45">
        <f t="shared" ca="1" si="616"/>
        <v>15</v>
      </c>
      <c r="X1349" s="48">
        <f t="shared" ca="1" si="617"/>
        <v>173</v>
      </c>
      <c r="Y1349">
        <f t="shared" si="610"/>
        <v>18</v>
      </c>
      <c r="Z1349">
        <f t="shared" ca="1" si="613"/>
        <v>6</v>
      </c>
      <c r="AA1349" t="str">
        <f t="shared" ca="1" si="605"/>
        <v>9324100.png</v>
      </c>
      <c r="AB1349">
        <f t="shared" si="606"/>
        <v>7</v>
      </c>
      <c r="AC1349">
        <f>VLOOKUP(C1349,技能辅助查询表,技能配置辅助表!$W$1,FALSE)</f>
        <v>65043888</v>
      </c>
      <c r="AD1349">
        <f t="shared" ca="1" si="614"/>
        <v>26.198459370499183</v>
      </c>
      <c r="AE1349">
        <f>VLOOKUP(C1349,技能辅助查询表,技能配置辅助表!$U$1,FALSE)</f>
        <v>4</v>
      </c>
      <c r="AF1349">
        <f t="shared" ca="1" si="607"/>
        <v>9324121</v>
      </c>
      <c r="AG1349">
        <f t="shared" ca="1" si="608"/>
        <v>36.204081632653057</v>
      </c>
      <c r="AH1349">
        <f t="shared" ca="1" si="615"/>
        <v>176.65001742859343</v>
      </c>
      <c r="AI1349">
        <f ca="1">VLOOKUP(E1349,伤害参考系!$C$4:$E$104,3,FALSE)*$AN$12</f>
        <v>2727.4489991638798</v>
      </c>
      <c r="AJ1349">
        <f>VLOOKUP(C1349,技能辅助查询表,技能配置辅助表!$L$1,FALSE)</f>
        <v>3</v>
      </c>
      <c r="AK1349">
        <f>VLOOKUP(C1349,技能辅助查询表,技能配置辅助表!$AE$1,FALSE)</f>
        <v>66000650</v>
      </c>
    </row>
    <row r="1350" spans="1:37" x14ac:dyDescent="0.15">
      <c r="A1350" s="1">
        <f t="shared" ca="1" si="590"/>
        <v>9324122</v>
      </c>
      <c r="B1350" s="1" t="str">
        <f t="shared" ca="1" si="591"/>
        <v>子弹风暴第1段</v>
      </c>
      <c r="C1350" t="s">
        <v>179</v>
      </c>
      <c r="D1350">
        <f t="shared" si="592"/>
        <v>3</v>
      </c>
      <c r="E1350" s="42">
        <f t="shared" ca="1" si="611"/>
        <v>39</v>
      </c>
      <c r="F1350" t="str">
        <f t="shared" ca="1" si="612"/>
        <v>第22级，共造成175.6%点伤害</v>
      </c>
      <c r="G1350">
        <f t="shared" ca="1" si="593"/>
        <v>1</v>
      </c>
      <c r="H1350">
        <f t="shared" si="594"/>
        <v>1</v>
      </c>
      <c r="I1350" s="44">
        <f t="shared" ca="1" si="595"/>
        <v>22</v>
      </c>
      <c r="J1350">
        <f t="shared" si="596"/>
        <v>2</v>
      </c>
      <c r="K1350" s="36">
        <f t="shared" ca="1" si="597"/>
        <v>58.530952380952378</v>
      </c>
      <c r="L1350" s="10">
        <f ca="1">AH1350*VLOOKUP(C1350,技能辅助查询表,技能配置辅助表!$T$1,FALSE)</f>
        <v>0</v>
      </c>
      <c r="M1350">
        <f t="shared" ca="1" si="609"/>
        <v>6240</v>
      </c>
      <c r="N1350" s="33">
        <f ca="1">CHOOSE(1,W1350*U1350,X1350*'[1]0、经济设定'!$C$18)</f>
        <v>15104</v>
      </c>
      <c r="O1350">
        <f t="shared" si="598"/>
        <v>4</v>
      </c>
      <c r="P1350">
        <f t="shared" si="599"/>
        <v>3</v>
      </c>
      <c r="Q1350">
        <f t="shared" si="600"/>
        <v>1</v>
      </c>
      <c r="R1350" s="2">
        <f t="shared" si="601"/>
        <v>6</v>
      </c>
      <c r="S1350" s="2">
        <f t="shared" si="602"/>
        <v>50</v>
      </c>
      <c r="T1350" s="2">
        <f t="shared" si="603"/>
        <v>47.976190476190474</v>
      </c>
      <c r="U1350" s="2">
        <f ca="1">VLOOKUP(E1350,金币生产率!$A$2:$B$120,2,0)</f>
        <v>944</v>
      </c>
      <c r="V1350" s="2">
        <f t="shared" si="604"/>
        <v>143.92857142857142</v>
      </c>
      <c r="W1350" s="45">
        <f t="shared" ca="1" si="616"/>
        <v>16</v>
      </c>
      <c r="X1350" s="48">
        <f t="shared" ca="1" si="617"/>
        <v>189</v>
      </c>
      <c r="Y1350">
        <f t="shared" si="610"/>
        <v>18</v>
      </c>
      <c r="Z1350">
        <f t="shared" ca="1" si="613"/>
        <v>7</v>
      </c>
      <c r="AA1350" t="str">
        <f t="shared" ca="1" si="605"/>
        <v>9324100.png</v>
      </c>
      <c r="AB1350">
        <f t="shared" si="606"/>
        <v>7</v>
      </c>
      <c r="AC1350">
        <f>VLOOKUP(C1350,技能辅助查询表,技能配置辅助表!$W$1,FALSE)</f>
        <v>65043888</v>
      </c>
      <c r="AD1350">
        <f t="shared" ca="1" si="614"/>
        <v>30.40551998944985</v>
      </c>
      <c r="AE1350">
        <f>VLOOKUP(C1350,技能辅助查询表,技能配置辅助表!$U$1,FALSE)</f>
        <v>4</v>
      </c>
      <c r="AF1350">
        <f t="shared" ca="1" si="607"/>
        <v>9324122</v>
      </c>
      <c r="AG1350">
        <f t="shared" ca="1" si="608"/>
        <v>37.714285714285715</v>
      </c>
      <c r="AH1350">
        <f t="shared" ca="1" si="615"/>
        <v>201.11371059826985</v>
      </c>
      <c r="AI1350">
        <f ca="1">VLOOKUP(E1350,伤害参考系!$C$4:$E$104,3,FALSE)*$AN$12</f>
        <v>3112.8025033444819</v>
      </c>
      <c r="AJ1350">
        <f>VLOOKUP(C1350,技能辅助查询表,技能配置辅助表!$L$1,FALSE)</f>
        <v>3</v>
      </c>
      <c r="AK1350">
        <f>VLOOKUP(C1350,技能辅助查询表,技能配置辅助表!$AE$1,FALSE)</f>
        <v>66000650</v>
      </c>
    </row>
    <row r="1351" spans="1:37" x14ac:dyDescent="0.15">
      <c r="A1351" s="1">
        <f t="shared" ca="1" si="590"/>
        <v>9324123</v>
      </c>
      <c r="B1351" s="1" t="str">
        <f t="shared" ca="1" si="591"/>
        <v>子弹风暴第1段</v>
      </c>
      <c r="C1351" t="s">
        <v>179</v>
      </c>
      <c r="D1351">
        <f t="shared" si="592"/>
        <v>3</v>
      </c>
      <c r="E1351" s="42">
        <f t="shared" ca="1" si="611"/>
        <v>40</v>
      </c>
      <c r="F1351" t="str">
        <f t="shared" ca="1" si="612"/>
        <v>第23级，共造成177%点伤害</v>
      </c>
      <c r="G1351">
        <f t="shared" ca="1" si="593"/>
        <v>1</v>
      </c>
      <c r="H1351">
        <f t="shared" si="594"/>
        <v>1</v>
      </c>
      <c r="I1351" s="44">
        <f t="shared" ca="1" si="595"/>
        <v>23</v>
      </c>
      <c r="J1351">
        <f t="shared" si="596"/>
        <v>2</v>
      </c>
      <c r="K1351" s="36">
        <f t="shared" ca="1" si="597"/>
        <v>59.010714285714286</v>
      </c>
      <c r="L1351" s="10">
        <f ca="1">AH1351*VLOOKUP(C1351,技能辅助查询表,技能配置辅助表!$T$1,FALSE)</f>
        <v>0</v>
      </c>
      <c r="M1351">
        <f t="shared" ca="1" si="609"/>
        <v>6160</v>
      </c>
      <c r="N1351" s="33">
        <f ca="1">CHOOSE(1,W1351*U1351,X1351*'[1]0、经济设定'!$C$18)</f>
        <v>16966</v>
      </c>
      <c r="O1351">
        <f t="shared" si="598"/>
        <v>4</v>
      </c>
      <c r="P1351">
        <f t="shared" si="599"/>
        <v>3</v>
      </c>
      <c r="Q1351">
        <f t="shared" si="600"/>
        <v>1</v>
      </c>
      <c r="R1351" s="2">
        <f t="shared" si="601"/>
        <v>6</v>
      </c>
      <c r="S1351" s="2">
        <f t="shared" si="602"/>
        <v>50</v>
      </c>
      <c r="T1351" s="2">
        <f t="shared" si="603"/>
        <v>47.976190476190474</v>
      </c>
      <c r="U1351" s="2">
        <f ca="1">VLOOKUP(E1351,金币生产率!$A$2:$B$120,2,0)</f>
        <v>998</v>
      </c>
      <c r="V1351" s="2">
        <f t="shared" si="604"/>
        <v>143.92857142857142</v>
      </c>
      <c r="W1351" s="45">
        <f t="shared" ca="1" si="616"/>
        <v>17</v>
      </c>
      <c r="X1351" s="48">
        <f t="shared" ca="1" si="617"/>
        <v>206</v>
      </c>
      <c r="Y1351">
        <f t="shared" si="610"/>
        <v>18</v>
      </c>
      <c r="Z1351">
        <f t="shared" ca="1" si="613"/>
        <v>7</v>
      </c>
      <c r="AA1351" t="str">
        <f t="shared" ca="1" si="605"/>
        <v>9324100.png</v>
      </c>
      <c r="AB1351">
        <f t="shared" si="606"/>
        <v>7</v>
      </c>
      <c r="AC1351">
        <f>VLOOKUP(C1351,技能辅助查询表,技能配置辅助表!$W$1,FALSE)</f>
        <v>65043888</v>
      </c>
      <c r="AD1351">
        <f t="shared" ca="1" si="614"/>
        <v>35.275375707521967</v>
      </c>
      <c r="AE1351">
        <f>VLOOKUP(C1351,技能辅助查询表,技能配置辅助表!$U$1,FALSE)</f>
        <v>4</v>
      </c>
      <c r="AF1351">
        <f t="shared" ca="1" si="607"/>
        <v>9324123</v>
      </c>
      <c r="AG1351">
        <f t="shared" ca="1" si="608"/>
        <v>39.224489795918366</v>
      </c>
      <c r="AH1351">
        <f t="shared" ca="1" si="615"/>
        <v>228.96530200997151</v>
      </c>
      <c r="AI1351">
        <f ca="1">VLOOKUP(E1351,伤害参考系!$C$4:$E$104,3,FALSE)*$AN$12</f>
        <v>3344.7142474916404</v>
      </c>
      <c r="AJ1351">
        <f>VLOOKUP(C1351,技能辅助查询表,技能配置辅助表!$L$1,FALSE)</f>
        <v>3</v>
      </c>
      <c r="AK1351">
        <f>VLOOKUP(C1351,技能辅助查询表,技能配置辅助表!$AE$1,FALSE)</f>
        <v>66000650</v>
      </c>
    </row>
    <row r="1352" spans="1:37" x14ac:dyDescent="0.15">
      <c r="A1352" s="1">
        <f t="shared" ca="1" si="590"/>
        <v>9324124</v>
      </c>
      <c r="B1352" s="1" t="str">
        <f t="shared" ca="1" si="591"/>
        <v>子弹风暴第1段</v>
      </c>
      <c r="C1352" t="s">
        <v>179</v>
      </c>
      <c r="D1352">
        <f t="shared" si="592"/>
        <v>3</v>
      </c>
      <c r="E1352" s="42">
        <f t="shared" ca="1" si="611"/>
        <v>42</v>
      </c>
      <c r="F1352" t="str">
        <f t="shared" ca="1" si="612"/>
        <v>第24级，共造成178.5%点伤害</v>
      </c>
      <c r="G1352">
        <f t="shared" ca="1" si="593"/>
        <v>1</v>
      </c>
      <c r="H1352">
        <f t="shared" si="594"/>
        <v>1</v>
      </c>
      <c r="I1352" s="44">
        <f t="shared" ca="1" si="595"/>
        <v>24</v>
      </c>
      <c r="J1352">
        <f t="shared" si="596"/>
        <v>2</v>
      </c>
      <c r="K1352" s="36">
        <f t="shared" ca="1" si="597"/>
        <v>59.490476190476187</v>
      </c>
      <c r="L1352" s="10">
        <f ca="1">AH1352*VLOOKUP(C1352,技能辅助查询表,技能配置辅助表!$T$1,FALSE)</f>
        <v>0</v>
      </c>
      <c r="M1352">
        <f t="shared" ca="1" si="609"/>
        <v>6080</v>
      </c>
      <c r="N1352" s="33">
        <f ca="1">CHOOSE(1,W1352*U1352,X1352*'[1]0、经济设定'!$C$18)</f>
        <v>19980</v>
      </c>
      <c r="O1352">
        <f t="shared" si="598"/>
        <v>4</v>
      </c>
      <c r="P1352">
        <f t="shared" si="599"/>
        <v>3</v>
      </c>
      <c r="Q1352">
        <f t="shared" si="600"/>
        <v>1</v>
      </c>
      <c r="R1352" s="2">
        <f t="shared" si="601"/>
        <v>6</v>
      </c>
      <c r="S1352" s="2">
        <f t="shared" si="602"/>
        <v>50</v>
      </c>
      <c r="T1352" s="2">
        <f t="shared" si="603"/>
        <v>47.976190476190474</v>
      </c>
      <c r="U1352" s="2">
        <f ca="1">VLOOKUP(E1352,金币生产率!$A$2:$B$120,2,0)</f>
        <v>1110</v>
      </c>
      <c r="V1352" s="2">
        <f t="shared" si="604"/>
        <v>143.92857142857142</v>
      </c>
      <c r="W1352" s="45">
        <f t="shared" ca="1" si="616"/>
        <v>18</v>
      </c>
      <c r="X1352" s="48">
        <f t="shared" ca="1" si="617"/>
        <v>224</v>
      </c>
      <c r="Y1352">
        <f t="shared" si="610"/>
        <v>18</v>
      </c>
      <c r="Z1352">
        <f t="shared" ca="1" si="613"/>
        <v>8</v>
      </c>
      <c r="AA1352" t="str">
        <f t="shared" ca="1" si="605"/>
        <v>9324100.png</v>
      </c>
      <c r="AB1352">
        <f t="shared" si="606"/>
        <v>7</v>
      </c>
      <c r="AC1352">
        <f>VLOOKUP(C1352,技能辅助查询表,技能配置辅助表!$W$1,FALSE)</f>
        <v>65043888</v>
      </c>
      <c r="AD1352">
        <f t="shared" ca="1" si="614"/>
        <v>40.910917760550547</v>
      </c>
      <c r="AE1352">
        <f>VLOOKUP(C1352,技能辅助查询表,技能配置辅助表!$U$1,FALSE)</f>
        <v>4</v>
      </c>
      <c r="AF1352">
        <f t="shared" ca="1" si="607"/>
        <v>9324124</v>
      </c>
      <c r="AG1352">
        <f t="shared" ca="1" si="608"/>
        <v>40.734693877551024</v>
      </c>
      <c r="AH1352">
        <f t="shared" ca="1" si="615"/>
        <v>260.67397080270689</v>
      </c>
      <c r="AI1352">
        <f ca="1">VLOOKUP(E1352,伤害参考系!$C$4:$E$104,3,FALSE)*$AN$12</f>
        <v>3833.528327759198</v>
      </c>
      <c r="AJ1352">
        <f>VLOOKUP(C1352,技能辅助查询表,技能配置辅助表!$L$1,FALSE)</f>
        <v>3</v>
      </c>
      <c r="AK1352">
        <f>VLOOKUP(C1352,技能辅助查询表,技能配置辅助表!$AE$1,FALSE)</f>
        <v>66000650</v>
      </c>
    </row>
    <row r="1353" spans="1:37" x14ac:dyDescent="0.15">
      <c r="A1353" s="1">
        <f t="shared" ca="1" si="590"/>
        <v>9324125</v>
      </c>
      <c r="B1353" s="1" t="str">
        <f t="shared" ca="1" si="591"/>
        <v>子弹风暴第1段</v>
      </c>
      <c r="C1353" t="s">
        <v>179</v>
      </c>
      <c r="D1353">
        <f t="shared" si="592"/>
        <v>3</v>
      </c>
      <c r="E1353" s="42">
        <f t="shared" ca="1" si="611"/>
        <v>43</v>
      </c>
      <c r="F1353" t="str">
        <f t="shared" ca="1" si="612"/>
        <v>第25级，共造成179.9%点伤害</v>
      </c>
      <c r="G1353">
        <f t="shared" ca="1" si="593"/>
        <v>1</v>
      </c>
      <c r="H1353">
        <f t="shared" si="594"/>
        <v>1</v>
      </c>
      <c r="I1353" s="44">
        <f t="shared" ca="1" si="595"/>
        <v>25</v>
      </c>
      <c r="J1353">
        <f t="shared" si="596"/>
        <v>2</v>
      </c>
      <c r="K1353" s="36">
        <f t="shared" ca="1" si="597"/>
        <v>59.970238095238095</v>
      </c>
      <c r="L1353" s="10">
        <f ca="1">AH1353*VLOOKUP(C1353,技能辅助查询表,技能配置辅助表!$T$1,FALSE)</f>
        <v>0</v>
      </c>
      <c r="M1353">
        <f t="shared" ca="1" si="609"/>
        <v>6000</v>
      </c>
      <c r="N1353" s="33">
        <f ca="1">CHOOSE(1,W1353*U1353,X1353*'[1]0、经济设定'!$C$18)</f>
        <v>23340</v>
      </c>
      <c r="O1353">
        <f t="shared" si="598"/>
        <v>4</v>
      </c>
      <c r="P1353">
        <f t="shared" si="599"/>
        <v>3</v>
      </c>
      <c r="Q1353">
        <f t="shared" si="600"/>
        <v>1</v>
      </c>
      <c r="R1353" s="2">
        <f t="shared" si="601"/>
        <v>6</v>
      </c>
      <c r="S1353" s="2">
        <f t="shared" si="602"/>
        <v>50</v>
      </c>
      <c r="T1353" s="2">
        <f t="shared" si="603"/>
        <v>47.976190476190474</v>
      </c>
      <c r="U1353" s="2">
        <f ca="1">VLOOKUP(E1353,金币生产率!$A$2:$B$120,2,0)</f>
        <v>1167</v>
      </c>
      <c r="V1353" s="2">
        <f t="shared" si="604"/>
        <v>143.92857142857142</v>
      </c>
      <c r="W1353" s="45">
        <f t="shared" ca="1" si="616"/>
        <v>20</v>
      </c>
      <c r="X1353" s="48">
        <f t="shared" ca="1" si="617"/>
        <v>244</v>
      </c>
      <c r="Y1353">
        <f t="shared" si="610"/>
        <v>18</v>
      </c>
      <c r="Z1353">
        <f t="shared" ca="1" si="613"/>
        <v>8</v>
      </c>
      <c r="AA1353" t="str">
        <f t="shared" ca="1" si="605"/>
        <v>9324100.png</v>
      </c>
      <c r="AB1353">
        <f t="shared" si="606"/>
        <v>7</v>
      </c>
      <c r="AC1353">
        <f>VLOOKUP(C1353,技能辅助查询表,技能配置辅助表!$W$1,FALSE)</f>
        <v>65043888</v>
      </c>
      <c r="AD1353">
        <f t="shared" ca="1" si="614"/>
        <v>47.43082406209701</v>
      </c>
      <c r="AE1353">
        <f>VLOOKUP(C1353,技能辅助查询表,技能配置辅助表!$U$1,FALSE)</f>
        <v>4</v>
      </c>
      <c r="AF1353">
        <f t="shared" ca="1" si="607"/>
        <v>9324125</v>
      </c>
      <c r="AG1353">
        <f t="shared" ca="1" si="608"/>
        <v>42.244897959183675</v>
      </c>
      <c r="AH1353">
        <f t="shared" ca="1" si="615"/>
        <v>296.77387122652874</v>
      </c>
      <c r="AI1353">
        <f ca="1">VLOOKUP(E1353,伤害参考系!$C$4:$E$104,3,FALSE)*$AN$12</f>
        <v>4090.4306638795993</v>
      </c>
      <c r="AJ1353">
        <f>VLOOKUP(C1353,技能辅助查询表,技能配置辅助表!$L$1,FALSE)</f>
        <v>3</v>
      </c>
      <c r="AK1353">
        <f>VLOOKUP(C1353,技能辅助查询表,技能配置辅助表!$AE$1,FALSE)</f>
        <v>66000650</v>
      </c>
    </row>
    <row r="1354" spans="1:37" x14ac:dyDescent="0.15">
      <c r="A1354" s="1">
        <f t="shared" ca="1" si="590"/>
        <v>9324126</v>
      </c>
      <c r="B1354" s="1" t="str">
        <f t="shared" ca="1" si="591"/>
        <v>子弹风暴第1段</v>
      </c>
      <c r="C1354" t="s">
        <v>179</v>
      </c>
      <c r="D1354">
        <f t="shared" si="592"/>
        <v>3</v>
      </c>
      <c r="E1354" s="42">
        <f t="shared" ca="1" si="611"/>
        <v>44</v>
      </c>
      <c r="F1354" t="str">
        <f t="shared" ca="1" si="612"/>
        <v>第26级，共造成181.4%点伤害</v>
      </c>
      <c r="G1354">
        <f t="shared" ca="1" si="593"/>
        <v>1</v>
      </c>
      <c r="H1354">
        <f t="shared" si="594"/>
        <v>1</v>
      </c>
      <c r="I1354" s="44">
        <f t="shared" ca="1" si="595"/>
        <v>26</v>
      </c>
      <c r="J1354">
        <f t="shared" si="596"/>
        <v>2</v>
      </c>
      <c r="K1354" s="36">
        <f t="shared" ca="1" si="597"/>
        <v>60.449999999999996</v>
      </c>
      <c r="L1354" s="10">
        <f ca="1">AH1354*VLOOKUP(C1354,技能辅助查询表,技能配置辅助表!$T$1,FALSE)</f>
        <v>0</v>
      </c>
      <c r="M1354">
        <f t="shared" ca="1" si="609"/>
        <v>5920</v>
      </c>
      <c r="N1354" s="33">
        <f ca="1">CHOOSE(1,W1354*U1354,X1354*'[1]0、经济设定'!$C$18)</f>
        <v>25746</v>
      </c>
      <c r="O1354">
        <f t="shared" si="598"/>
        <v>4</v>
      </c>
      <c r="P1354">
        <f t="shared" si="599"/>
        <v>3</v>
      </c>
      <c r="Q1354">
        <f t="shared" si="600"/>
        <v>1</v>
      </c>
      <c r="R1354" s="2">
        <f t="shared" si="601"/>
        <v>6</v>
      </c>
      <c r="S1354" s="2">
        <f t="shared" si="602"/>
        <v>50</v>
      </c>
      <c r="T1354" s="2">
        <f t="shared" si="603"/>
        <v>47.976190476190474</v>
      </c>
      <c r="U1354" s="2">
        <f ca="1">VLOOKUP(E1354,金币生产率!$A$2:$B$120,2,0)</f>
        <v>1226</v>
      </c>
      <c r="V1354" s="2">
        <f t="shared" si="604"/>
        <v>143.92857142857142</v>
      </c>
      <c r="W1354" s="45">
        <f t="shared" ca="1" si="616"/>
        <v>21</v>
      </c>
      <c r="X1354" s="48">
        <f t="shared" ca="1" si="617"/>
        <v>265</v>
      </c>
      <c r="Y1354">
        <f t="shared" si="610"/>
        <v>18</v>
      </c>
      <c r="Z1354">
        <f t="shared" ca="1" si="613"/>
        <v>9</v>
      </c>
      <c r="AA1354" t="str">
        <f t="shared" ca="1" si="605"/>
        <v>9324100.png</v>
      </c>
      <c r="AB1354">
        <f t="shared" si="606"/>
        <v>7</v>
      </c>
      <c r="AC1354">
        <f>VLOOKUP(C1354,技能辅助查询表,技能配置辅助表!$W$1,FALSE)</f>
        <v>65043888</v>
      </c>
      <c r="AD1354">
        <f t="shared" ca="1" si="614"/>
        <v>54.971958387152981</v>
      </c>
      <c r="AE1354">
        <f>VLOOKUP(C1354,技能辅助查询表,技能配置辅助表!$U$1,FALSE)</f>
        <v>4</v>
      </c>
      <c r="AF1354">
        <f t="shared" ca="1" si="607"/>
        <v>9324126</v>
      </c>
      <c r="AG1354">
        <f t="shared" ca="1" si="608"/>
        <v>43.755102040816325</v>
      </c>
      <c r="AH1354">
        <f t="shared" ca="1" si="615"/>
        <v>337.87313083683472</v>
      </c>
      <c r="AI1354">
        <f ca="1">VLOOKUP(E1354,伤害参考系!$C$4:$E$104,3,FALSE)*$AN$12</f>
        <v>4355.6631973244148</v>
      </c>
      <c r="AJ1354">
        <f>VLOOKUP(C1354,技能辅助查询表,技能配置辅助表!$L$1,FALSE)</f>
        <v>3</v>
      </c>
      <c r="AK1354">
        <f>VLOOKUP(C1354,技能辅助查询表,技能配置辅助表!$AE$1,FALSE)</f>
        <v>66000650</v>
      </c>
    </row>
    <row r="1355" spans="1:37" x14ac:dyDescent="0.15">
      <c r="A1355" s="1">
        <f t="shared" ca="1" si="590"/>
        <v>9324127</v>
      </c>
      <c r="B1355" s="1" t="str">
        <f t="shared" ca="1" si="591"/>
        <v>子弹风暴第1段</v>
      </c>
      <c r="C1355" t="s">
        <v>179</v>
      </c>
      <c r="D1355">
        <f t="shared" si="592"/>
        <v>3</v>
      </c>
      <c r="E1355" s="42">
        <f t="shared" ca="1" si="611"/>
        <v>46</v>
      </c>
      <c r="F1355" t="str">
        <f t="shared" ca="1" si="612"/>
        <v>第27级，共造成182.8%点伤害</v>
      </c>
      <c r="G1355">
        <f t="shared" ca="1" si="593"/>
        <v>1</v>
      </c>
      <c r="H1355">
        <f t="shared" si="594"/>
        <v>1</v>
      </c>
      <c r="I1355" s="44">
        <f t="shared" ca="1" si="595"/>
        <v>27</v>
      </c>
      <c r="J1355">
        <f t="shared" si="596"/>
        <v>2</v>
      </c>
      <c r="K1355" s="36">
        <f t="shared" ca="1" si="597"/>
        <v>60.929761904761904</v>
      </c>
      <c r="L1355" s="10">
        <f ca="1">AH1355*VLOOKUP(C1355,技能辅助查询表,技能配置辅助表!$T$1,FALSE)</f>
        <v>0</v>
      </c>
      <c r="M1355">
        <f t="shared" ca="1" si="609"/>
        <v>5840</v>
      </c>
      <c r="N1355" s="33">
        <f ca="1">CHOOSE(1,W1355*U1355,X1355*'[1]0、经济设定'!$C$18)</f>
        <v>29678</v>
      </c>
      <c r="O1355">
        <f t="shared" si="598"/>
        <v>4</v>
      </c>
      <c r="P1355">
        <f t="shared" si="599"/>
        <v>3</v>
      </c>
      <c r="Q1355">
        <f t="shared" si="600"/>
        <v>1</v>
      </c>
      <c r="R1355" s="2">
        <f t="shared" si="601"/>
        <v>6</v>
      </c>
      <c r="S1355" s="2">
        <f t="shared" si="602"/>
        <v>50</v>
      </c>
      <c r="T1355" s="2">
        <f t="shared" si="603"/>
        <v>47.976190476190474</v>
      </c>
      <c r="U1355" s="2">
        <f ca="1">VLOOKUP(E1355,金币生产率!$A$2:$B$120,2,0)</f>
        <v>1349</v>
      </c>
      <c r="V1355" s="2">
        <f t="shared" si="604"/>
        <v>143.92857142857142</v>
      </c>
      <c r="W1355" s="45">
        <f t="shared" ca="1" si="616"/>
        <v>22</v>
      </c>
      <c r="X1355" s="48">
        <f t="shared" ca="1" si="617"/>
        <v>287</v>
      </c>
      <c r="Y1355">
        <f t="shared" si="610"/>
        <v>18</v>
      </c>
      <c r="Z1355">
        <f t="shared" ca="1" si="613"/>
        <v>9</v>
      </c>
      <c r="AA1355" t="str">
        <f t="shared" ca="1" si="605"/>
        <v>9324100.png</v>
      </c>
      <c r="AB1355">
        <f t="shared" si="606"/>
        <v>7</v>
      </c>
      <c r="AC1355">
        <f>VLOOKUP(C1355,技能辅助查询表,技能配置辅助表!$W$1,FALSE)</f>
        <v>65043888</v>
      </c>
      <c r="AD1355">
        <f t="shared" ca="1" si="614"/>
        <v>63.692131300107107</v>
      </c>
      <c r="AE1355">
        <f>VLOOKUP(C1355,技能辅助查询表,技能配置辅助表!$U$1,FALSE)</f>
        <v>4</v>
      </c>
      <c r="AF1355">
        <f t="shared" ca="1" si="607"/>
        <v>9324127</v>
      </c>
      <c r="AG1355">
        <f t="shared" ca="1" si="608"/>
        <v>45.265306122448976</v>
      </c>
      <c r="AH1355">
        <f t="shared" ca="1" si="615"/>
        <v>384.66409481967975</v>
      </c>
      <c r="AI1355">
        <f ca="1">VLOOKUP(E1355,伤害参考系!$C$4:$E$104,3,FALSE)*$AN$12</f>
        <v>4911.1188561872923</v>
      </c>
      <c r="AJ1355">
        <f>VLOOKUP(C1355,技能辅助查询表,技能配置辅助表!$L$1,FALSE)</f>
        <v>3</v>
      </c>
      <c r="AK1355">
        <f>VLOOKUP(C1355,技能辅助查询表,技能配置辅助表!$AE$1,FALSE)</f>
        <v>66000650</v>
      </c>
    </row>
    <row r="1356" spans="1:37" x14ac:dyDescent="0.15">
      <c r="A1356" s="1">
        <f t="shared" ca="1" si="590"/>
        <v>9324128</v>
      </c>
      <c r="B1356" s="1" t="str">
        <f t="shared" ca="1" si="591"/>
        <v>子弹风暴第1段</v>
      </c>
      <c r="C1356" t="s">
        <v>179</v>
      </c>
      <c r="D1356">
        <f t="shared" si="592"/>
        <v>3</v>
      </c>
      <c r="E1356" s="42">
        <f t="shared" ca="1" si="611"/>
        <v>47</v>
      </c>
      <c r="F1356" t="str">
        <f t="shared" ca="1" si="612"/>
        <v>第28级，共造成184.2%点伤害</v>
      </c>
      <c r="G1356">
        <f t="shared" ca="1" si="593"/>
        <v>1</v>
      </c>
      <c r="H1356">
        <f t="shared" si="594"/>
        <v>1</v>
      </c>
      <c r="I1356" s="44">
        <f t="shared" ca="1" si="595"/>
        <v>28</v>
      </c>
      <c r="J1356">
        <f t="shared" si="596"/>
        <v>2</v>
      </c>
      <c r="K1356" s="36">
        <f t="shared" ca="1" si="597"/>
        <v>61.409523809523805</v>
      </c>
      <c r="L1356" s="10">
        <f ca="1">AH1356*VLOOKUP(C1356,技能辅助查询表,技能配置辅助表!$T$1,FALSE)</f>
        <v>0</v>
      </c>
      <c r="M1356">
        <f t="shared" ca="1" si="609"/>
        <v>5760</v>
      </c>
      <c r="N1356" s="33">
        <f ca="1">CHOOSE(1,W1356*U1356,X1356*'[1]0、经济设定'!$C$18)</f>
        <v>33888</v>
      </c>
      <c r="O1356">
        <f t="shared" si="598"/>
        <v>4</v>
      </c>
      <c r="P1356">
        <f t="shared" si="599"/>
        <v>3</v>
      </c>
      <c r="Q1356">
        <f t="shared" si="600"/>
        <v>1</v>
      </c>
      <c r="R1356" s="2">
        <f t="shared" si="601"/>
        <v>6</v>
      </c>
      <c r="S1356" s="2">
        <f t="shared" si="602"/>
        <v>50</v>
      </c>
      <c r="T1356" s="2">
        <f t="shared" si="603"/>
        <v>47.976190476190474</v>
      </c>
      <c r="U1356" s="2">
        <f ca="1">VLOOKUP(E1356,金币生产率!$A$2:$B$120,2,0)</f>
        <v>1412</v>
      </c>
      <c r="V1356" s="2">
        <f t="shared" si="604"/>
        <v>143.92857142857142</v>
      </c>
      <c r="W1356" s="45">
        <f t="shared" ca="1" si="616"/>
        <v>24</v>
      </c>
      <c r="X1356" s="48">
        <f t="shared" ca="1" si="617"/>
        <v>311</v>
      </c>
      <c r="Y1356">
        <f t="shared" si="610"/>
        <v>18</v>
      </c>
      <c r="Z1356">
        <f t="shared" ca="1" si="613"/>
        <v>10</v>
      </c>
      <c r="AA1356" t="str">
        <f t="shared" ca="1" si="605"/>
        <v>9324100.png</v>
      </c>
      <c r="AB1356">
        <f t="shared" si="606"/>
        <v>7</v>
      </c>
      <c r="AC1356">
        <f>VLOOKUP(C1356,技能辅助查询表,技能配置辅助表!$W$1,FALSE)</f>
        <v>65043888</v>
      </c>
      <c r="AD1356">
        <f t="shared" ca="1" si="614"/>
        <v>73.773277007613657</v>
      </c>
      <c r="AE1356">
        <f>VLOOKUP(C1356,技能辅助查询表,技能配置辅助表!$U$1,FALSE)</f>
        <v>4</v>
      </c>
      <c r="AF1356">
        <f t="shared" ca="1" si="607"/>
        <v>9324128</v>
      </c>
      <c r="AG1356">
        <f t="shared" ca="1" si="608"/>
        <v>46.775510204081634</v>
      </c>
      <c r="AH1356">
        <f t="shared" ca="1" si="615"/>
        <v>437.93498902077317</v>
      </c>
      <c r="AI1356">
        <f ca="1">VLOOKUP(E1356,伤害参考系!$C$4:$E$104,3,FALSE)*$AN$12</f>
        <v>5201.3419816053529</v>
      </c>
      <c r="AJ1356">
        <f>VLOOKUP(C1356,技能辅助查询表,技能配置辅助表!$L$1,FALSE)</f>
        <v>3</v>
      </c>
      <c r="AK1356">
        <f>VLOOKUP(C1356,技能辅助查询表,技能配置辅助表!$AE$1,FALSE)</f>
        <v>66000650</v>
      </c>
    </row>
    <row r="1357" spans="1:37" x14ac:dyDescent="0.15">
      <c r="A1357" s="1">
        <f t="shared" ca="1" si="590"/>
        <v>9324129</v>
      </c>
      <c r="B1357" s="1" t="str">
        <f t="shared" ca="1" si="591"/>
        <v>子弹风暴第1段</v>
      </c>
      <c r="C1357" t="s">
        <v>179</v>
      </c>
      <c r="D1357">
        <f t="shared" si="592"/>
        <v>3</v>
      </c>
      <c r="E1357" s="42">
        <f t="shared" ca="1" si="611"/>
        <v>49</v>
      </c>
      <c r="F1357" t="str">
        <f t="shared" ca="1" si="612"/>
        <v>第29级，共造成185.7%点伤害</v>
      </c>
      <c r="G1357">
        <f t="shared" ca="1" si="593"/>
        <v>1</v>
      </c>
      <c r="H1357">
        <f t="shared" si="594"/>
        <v>1</v>
      </c>
      <c r="I1357" s="44">
        <f t="shared" ca="1" si="595"/>
        <v>29</v>
      </c>
      <c r="J1357">
        <f t="shared" si="596"/>
        <v>2</v>
      </c>
      <c r="K1357" s="36">
        <f t="shared" ca="1" si="597"/>
        <v>61.889285714285712</v>
      </c>
      <c r="L1357" s="10">
        <f ca="1">AH1357*VLOOKUP(C1357,技能辅助查询表,技能配置辅助表!$T$1,FALSE)</f>
        <v>0</v>
      </c>
      <c r="M1357">
        <f t="shared" ca="1" si="609"/>
        <v>5680</v>
      </c>
      <c r="N1357" s="33">
        <f ca="1">CHOOSE(1,W1357*U1357,X1357*'[1]0、经济设定'!$C$18)</f>
        <v>40118</v>
      </c>
      <c r="O1357">
        <f t="shared" si="598"/>
        <v>4</v>
      </c>
      <c r="P1357">
        <f t="shared" si="599"/>
        <v>3</v>
      </c>
      <c r="Q1357">
        <f t="shared" si="600"/>
        <v>1</v>
      </c>
      <c r="R1357" s="2">
        <f t="shared" si="601"/>
        <v>6</v>
      </c>
      <c r="S1357" s="2">
        <f t="shared" si="602"/>
        <v>50</v>
      </c>
      <c r="T1357" s="2">
        <f t="shared" si="603"/>
        <v>47.976190476190474</v>
      </c>
      <c r="U1357" s="2">
        <f ca="1">VLOOKUP(E1357,金币生产率!$A$2:$B$120,2,0)</f>
        <v>1543</v>
      </c>
      <c r="V1357" s="2">
        <f t="shared" si="604"/>
        <v>143.92857142857142</v>
      </c>
      <c r="W1357" s="45">
        <f t="shared" ca="1" si="616"/>
        <v>26</v>
      </c>
      <c r="X1357" s="48">
        <f t="shared" ca="1" si="617"/>
        <v>337</v>
      </c>
      <c r="Y1357">
        <f t="shared" si="610"/>
        <v>18</v>
      </c>
      <c r="Z1357">
        <f t="shared" ca="1" si="613"/>
        <v>11</v>
      </c>
      <c r="AA1357" t="str">
        <f t="shared" ca="1" si="605"/>
        <v>9324100.png</v>
      </c>
      <c r="AB1357">
        <f t="shared" si="606"/>
        <v>7</v>
      </c>
      <c r="AC1357">
        <f>VLOOKUP(C1357,技能辅助查询表,技能配置辅助表!$W$1,FALSE)</f>
        <v>65043888</v>
      </c>
      <c r="AD1357">
        <f t="shared" ca="1" si="614"/>
        <v>85.425108385865599</v>
      </c>
      <c r="AE1357">
        <f>VLOOKUP(C1357,技能辅助查询表,技能配置辅助表!$U$1,FALSE)</f>
        <v>4</v>
      </c>
      <c r="AF1357">
        <f t="shared" ca="1" si="607"/>
        <v>9324129</v>
      </c>
      <c r="AG1357">
        <f t="shared" ca="1" si="608"/>
        <v>48.285714285714285</v>
      </c>
      <c r="AH1357">
        <f t="shared" ca="1" si="615"/>
        <v>498.5831981498805</v>
      </c>
      <c r="AI1357">
        <f ca="1">VLOOKUP(E1357,伤害参考系!$C$4:$E$104,3,FALSE)*$AN$12</f>
        <v>5806.7788244147177</v>
      </c>
      <c r="AJ1357">
        <f>VLOOKUP(C1357,技能辅助查询表,技能配置辅助表!$L$1,FALSE)</f>
        <v>3</v>
      </c>
      <c r="AK1357">
        <f>VLOOKUP(C1357,技能辅助查询表,技能配置辅助表!$AE$1,FALSE)</f>
        <v>66000650</v>
      </c>
    </row>
    <row r="1358" spans="1:37" x14ac:dyDescent="0.15">
      <c r="A1358" s="1">
        <f t="shared" ca="1" si="590"/>
        <v>9324130</v>
      </c>
      <c r="B1358" s="1" t="str">
        <f t="shared" ca="1" si="591"/>
        <v>子弹风暴第1段</v>
      </c>
      <c r="C1358" t="s">
        <v>179</v>
      </c>
      <c r="D1358">
        <f t="shared" si="592"/>
        <v>3</v>
      </c>
      <c r="E1358" s="42">
        <f t="shared" ca="1" si="611"/>
        <v>50</v>
      </c>
      <c r="F1358" t="str">
        <f t="shared" ca="1" si="612"/>
        <v>第30级，共造成187.1%点伤害</v>
      </c>
      <c r="G1358">
        <f t="shared" ca="1" si="593"/>
        <v>1</v>
      </c>
      <c r="H1358">
        <f t="shared" si="594"/>
        <v>1</v>
      </c>
      <c r="I1358" s="44">
        <f t="shared" ca="1" si="595"/>
        <v>30</v>
      </c>
      <c r="J1358">
        <f t="shared" si="596"/>
        <v>2</v>
      </c>
      <c r="K1358" s="36">
        <f t="shared" ca="1" si="597"/>
        <v>62.36904761904762</v>
      </c>
      <c r="L1358" s="10">
        <f ca="1">AH1358*VLOOKUP(C1358,技能辅助查询表,技能配置辅助表!$T$1,FALSE)</f>
        <v>0</v>
      </c>
      <c r="M1358">
        <f t="shared" ca="1" si="609"/>
        <v>5600</v>
      </c>
      <c r="N1358" s="33">
        <f ca="1">CHOOSE(1,W1358*U1358,X1358*'[1]0、经济设定'!$C$18)</f>
        <v>45080</v>
      </c>
      <c r="O1358">
        <f t="shared" si="598"/>
        <v>4</v>
      </c>
      <c r="P1358">
        <f t="shared" si="599"/>
        <v>3</v>
      </c>
      <c r="Q1358">
        <f t="shared" si="600"/>
        <v>1</v>
      </c>
      <c r="R1358" s="2">
        <f t="shared" si="601"/>
        <v>6</v>
      </c>
      <c r="S1358" s="2">
        <f t="shared" si="602"/>
        <v>50</v>
      </c>
      <c r="T1358" s="2">
        <f t="shared" si="603"/>
        <v>47.976190476190474</v>
      </c>
      <c r="U1358" s="2">
        <f ca="1">VLOOKUP(E1358,金币生产率!$A$2:$B$120,2,0)</f>
        <v>1610</v>
      </c>
      <c r="V1358" s="2">
        <f t="shared" si="604"/>
        <v>143.92857142857142</v>
      </c>
      <c r="W1358" s="45">
        <f t="shared" ca="1" si="616"/>
        <v>28</v>
      </c>
      <c r="X1358" s="48">
        <f t="shared" ca="1" si="617"/>
        <v>365</v>
      </c>
      <c r="Y1358">
        <f t="shared" si="610"/>
        <v>18</v>
      </c>
      <c r="Z1358">
        <f t="shared" ca="1" si="613"/>
        <v>12</v>
      </c>
      <c r="AA1358" t="str">
        <f t="shared" ca="1" si="605"/>
        <v>9324100.png</v>
      </c>
      <c r="AB1358">
        <f t="shared" si="606"/>
        <v>7</v>
      </c>
      <c r="AC1358">
        <f>VLOOKUP(C1358,技能辅助查询表,技能配置辅助表!$W$1,FALSE)</f>
        <v>65043888</v>
      </c>
      <c r="AD1358">
        <f t="shared" ca="1" si="614"/>
        <v>98.889321696384215</v>
      </c>
      <c r="AE1358">
        <f>VLOOKUP(C1358,技能辅助查询表,技能配置辅助表!$U$1,FALSE)</f>
        <v>4</v>
      </c>
      <c r="AF1358">
        <f t="shared" ca="1" si="607"/>
        <v>9324130</v>
      </c>
      <c r="AG1358">
        <f t="shared" ca="1" si="608"/>
        <v>49.795918367346935</v>
      </c>
      <c r="AH1358">
        <f t="shared" ca="1" si="615"/>
        <v>567.63038284107404</v>
      </c>
      <c r="AI1358">
        <f ca="1">VLOOKUP(E1358,伤害参考系!$C$4:$E$104,3,FALSE)*$AN$12</f>
        <v>6162.2688085284308</v>
      </c>
      <c r="AJ1358">
        <f>VLOOKUP(C1358,技能辅助查询表,技能配置辅助表!$L$1,FALSE)</f>
        <v>3</v>
      </c>
      <c r="AK1358">
        <f>VLOOKUP(C1358,技能辅助查询表,技能配置辅助表!$AE$1,FALSE)</f>
        <v>66000650</v>
      </c>
    </row>
    <row r="1359" spans="1:37" x14ac:dyDescent="0.15">
      <c r="A1359" s="1">
        <f t="shared" ca="1" si="590"/>
        <v>9324131</v>
      </c>
      <c r="B1359" s="1" t="str">
        <f t="shared" ca="1" si="591"/>
        <v>子弹风暴第1段</v>
      </c>
      <c r="C1359" t="s">
        <v>179</v>
      </c>
      <c r="D1359">
        <f t="shared" si="592"/>
        <v>3</v>
      </c>
      <c r="E1359" s="42">
        <f t="shared" ca="1" si="611"/>
        <v>52</v>
      </c>
      <c r="F1359" t="str">
        <f t="shared" ca="1" si="612"/>
        <v>第31级，共造成188.5%点伤害</v>
      </c>
      <c r="G1359">
        <f t="shared" ca="1" si="593"/>
        <v>1</v>
      </c>
      <c r="H1359">
        <f t="shared" si="594"/>
        <v>1</v>
      </c>
      <c r="I1359" s="44">
        <f t="shared" ca="1" si="595"/>
        <v>31</v>
      </c>
      <c r="J1359">
        <f t="shared" si="596"/>
        <v>2</v>
      </c>
      <c r="K1359" s="36">
        <f t="shared" ca="1" si="597"/>
        <v>62.848809523809521</v>
      </c>
      <c r="L1359" s="10">
        <f ca="1">AH1359*VLOOKUP(C1359,技能辅助查询表,技能配置辅助表!$T$1,FALSE)</f>
        <v>0</v>
      </c>
      <c r="M1359">
        <f t="shared" ca="1" si="609"/>
        <v>5520</v>
      </c>
      <c r="N1359" s="33">
        <f ca="1">CHOOSE(1,W1359*U1359,X1359*'[1]0、经济设定'!$C$18)</f>
        <v>50721</v>
      </c>
      <c r="O1359">
        <f t="shared" si="598"/>
        <v>4</v>
      </c>
      <c r="P1359">
        <f t="shared" si="599"/>
        <v>3</v>
      </c>
      <c r="Q1359">
        <f t="shared" si="600"/>
        <v>1</v>
      </c>
      <c r="R1359" s="2">
        <f t="shared" si="601"/>
        <v>6</v>
      </c>
      <c r="S1359" s="2">
        <f t="shared" si="602"/>
        <v>50</v>
      </c>
      <c r="T1359" s="2">
        <f t="shared" si="603"/>
        <v>47.976190476190474</v>
      </c>
      <c r="U1359" s="2">
        <f ca="1">VLOOKUP(E1359,金币生产率!$A$2:$B$120,2,0)</f>
        <v>1749</v>
      </c>
      <c r="V1359" s="2">
        <f t="shared" si="604"/>
        <v>143.92857142857142</v>
      </c>
      <c r="W1359" s="45">
        <f t="shared" ca="1" si="616"/>
        <v>29</v>
      </c>
      <c r="X1359" s="48">
        <f t="shared" ca="1" si="617"/>
        <v>394</v>
      </c>
      <c r="Y1359">
        <f t="shared" si="610"/>
        <v>18</v>
      </c>
      <c r="Z1359">
        <f t="shared" ca="1" si="613"/>
        <v>12</v>
      </c>
      <c r="AA1359" t="str">
        <f t="shared" ca="1" si="605"/>
        <v>9324100.png</v>
      </c>
      <c r="AB1359">
        <f t="shared" si="606"/>
        <v>7</v>
      </c>
      <c r="AC1359">
        <f>VLOOKUP(C1359,技能辅助查询表,技能配置辅助表!$W$1,FALSE)</f>
        <v>65043888</v>
      </c>
      <c r="AD1359">
        <f t="shared" ca="1" si="614"/>
        <v>114.44443314125044</v>
      </c>
      <c r="AE1359">
        <f>VLOOKUP(C1359,技能辅助查询表,技能配置辅助表!$U$1,FALSE)</f>
        <v>4</v>
      </c>
      <c r="AF1359">
        <f t="shared" ca="1" si="607"/>
        <v>9324131</v>
      </c>
      <c r="AG1359">
        <f t="shared" ca="1" si="608"/>
        <v>51.306122448979593</v>
      </c>
      <c r="AH1359">
        <f t="shared" ca="1" si="615"/>
        <v>646.23969022607446</v>
      </c>
      <c r="AI1359">
        <f ca="1">VLOOKUP(E1359,伤害参考系!$C$4:$E$104,3,FALSE)*$AN$12</f>
        <v>6904.487016722409</v>
      </c>
      <c r="AJ1359">
        <f>VLOOKUP(C1359,技能辅助查询表,技能配置辅助表!$L$1,FALSE)</f>
        <v>3</v>
      </c>
      <c r="AK1359">
        <f>VLOOKUP(C1359,技能辅助查询表,技能配置辅助表!$AE$1,FALSE)</f>
        <v>66000650</v>
      </c>
    </row>
    <row r="1360" spans="1:37" x14ac:dyDescent="0.15">
      <c r="A1360" s="1">
        <f t="shared" ca="1" si="590"/>
        <v>9324132</v>
      </c>
      <c r="B1360" s="1" t="str">
        <f t="shared" ca="1" si="591"/>
        <v>子弹风暴第1段</v>
      </c>
      <c r="C1360" t="s">
        <v>179</v>
      </c>
      <c r="D1360">
        <f t="shared" si="592"/>
        <v>3</v>
      </c>
      <c r="E1360" s="42">
        <f t="shared" ca="1" si="611"/>
        <v>53</v>
      </c>
      <c r="F1360" t="str">
        <f t="shared" ca="1" si="612"/>
        <v>第32级，共造成190%点伤害</v>
      </c>
      <c r="G1360">
        <f t="shared" ca="1" si="593"/>
        <v>1</v>
      </c>
      <c r="H1360">
        <f t="shared" si="594"/>
        <v>1</v>
      </c>
      <c r="I1360" s="44">
        <f t="shared" ca="1" si="595"/>
        <v>32</v>
      </c>
      <c r="J1360">
        <f t="shared" si="596"/>
        <v>2</v>
      </c>
      <c r="K1360" s="36">
        <f t="shared" ca="1" si="597"/>
        <v>63.328571428571422</v>
      </c>
      <c r="L1360" s="10">
        <f ca="1">AH1360*VLOOKUP(C1360,技能辅助查询表,技能配置辅助表!$T$1,FALSE)</f>
        <v>0</v>
      </c>
      <c r="M1360">
        <f t="shared" ca="1" si="609"/>
        <v>5440</v>
      </c>
      <c r="N1360" s="33">
        <f ca="1">CHOOSE(1,W1360*U1360,X1360*'[1]0、经济设定'!$C$18)</f>
        <v>56420</v>
      </c>
      <c r="O1360">
        <f t="shared" si="598"/>
        <v>4</v>
      </c>
      <c r="P1360">
        <f t="shared" si="599"/>
        <v>3</v>
      </c>
      <c r="Q1360">
        <f t="shared" si="600"/>
        <v>1</v>
      </c>
      <c r="R1360" s="2">
        <f t="shared" si="601"/>
        <v>6</v>
      </c>
      <c r="S1360" s="2">
        <f t="shared" si="602"/>
        <v>50</v>
      </c>
      <c r="T1360" s="2">
        <f t="shared" si="603"/>
        <v>47.976190476190474</v>
      </c>
      <c r="U1360" s="2">
        <f ca="1">VLOOKUP(E1360,金币生产率!$A$2:$B$120,2,0)</f>
        <v>1820</v>
      </c>
      <c r="V1360" s="2">
        <f t="shared" si="604"/>
        <v>143.92857142857142</v>
      </c>
      <c r="W1360" s="45">
        <f t="shared" ca="1" si="616"/>
        <v>31</v>
      </c>
      <c r="X1360" s="48">
        <f t="shared" ca="1" si="617"/>
        <v>425</v>
      </c>
      <c r="Y1360">
        <f t="shared" si="610"/>
        <v>18</v>
      </c>
      <c r="Z1360">
        <f t="shared" ca="1" si="613"/>
        <v>13</v>
      </c>
      <c r="AA1360" t="str">
        <f t="shared" ca="1" si="605"/>
        <v>9324100.png</v>
      </c>
      <c r="AB1360">
        <f t="shared" si="606"/>
        <v>7</v>
      </c>
      <c r="AC1360">
        <f>VLOOKUP(C1360,技能辅助查询表,技能配置辅助表!$W$1,FALSE)</f>
        <v>65043888</v>
      </c>
      <c r="AD1360">
        <f t="shared" ca="1" si="614"/>
        <v>132.41134162008296</v>
      </c>
      <c r="AE1360">
        <f>VLOOKUP(C1360,技能辅助查询表,技能配置辅助表!$U$1,FALSE)</f>
        <v>4</v>
      </c>
      <c r="AF1360">
        <f t="shared" ca="1" si="607"/>
        <v>9324132</v>
      </c>
      <c r="AG1360">
        <f t="shared" ca="1" si="608"/>
        <v>52.816326530612244</v>
      </c>
      <c r="AH1360">
        <f t="shared" ca="1" si="615"/>
        <v>735.73534794457942</v>
      </c>
      <c r="AI1360">
        <f ca="1">VLOOKUP(E1360,伤害参考系!$C$4:$E$104,3,FALSE)*$AN$12</f>
        <v>7291.2152408026777</v>
      </c>
      <c r="AJ1360">
        <f>VLOOKUP(C1360,技能辅助查询表,技能配置辅助表!$L$1,FALSE)</f>
        <v>3</v>
      </c>
      <c r="AK1360">
        <f>VLOOKUP(C1360,技能辅助查询表,技能配置辅助表!$AE$1,FALSE)</f>
        <v>66000650</v>
      </c>
    </row>
    <row r="1361" spans="1:37" x14ac:dyDescent="0.15">
      <c r="A1361" s="1">
        <f t="shared" ca="1" si="590"/>
        <v>9324133</v>
      </c>
      <c r="B1361" s="1" t="str">
        <f t="shared" ca="1" si="591"/>
        <v>子弹风暴第1段</v>
      </c>
      <c r="C1361" t="s">
        <v>179</v>
      </c>
      <c r="D1361">
        <f t="shared" si="592"/>
        <v>3</v>
      </c>
      <c r="E1361" s="42">
        <f t="shared" ca="1" si="611"/>
        <v>55</v>
      </c>
      <c r="F1361" t="str">
        <f t="shared" ca="1" si="612"/>
        <v>第33级，共造成191.4%点伤害</v>
      </c>
      <c r="G1361">
        <f t="shared" ca="1" si="593"/>
        <v>1</v>
      </c>
      <c r="H1361">
        <f t="shared" si="594"/>
        <v>1</v>
      </c>
      <c r="I1361" s="44">
        <f t="shared" ca="1" si="595"/>
        <v>33</v>
      </c>
      <c r="J1361">
        <f t="shared" si="596"/>
        <v>2</v>
      </c>
      <c r="K1361" s="36">
        <f t="shared" ca="1" si="597"/>
        <v>63.80833333333333</v>
      </c>
      <c r="L1361" s="10">
        <f ca="1">AH1361*VLOOKUP(C1361,技能辅助查询表,技能配置辅助表!$T$1,FALSE)</f>
        <v>0</v>
      </c>
      <c r="M1361">
        <f t="shared" ca="1" si="609"/>
        <v>5360</v>
      </c>
      <c r="N1361" s="33">
        <f ca="1">CHOOSE(1,W1361*U1361,X1361*'[1]0、经济设定'!$C$18)</f>
        <v>66878</v>
      </c>
      <c r="O1361">
        <f t="shared" si="598"/>
        <v>4</v>
      </c>
      <c r="P1361">
        <f t="shared" si="599"/>
        <v>3</v>
      </c>
      <c r="Q1361">
        <f t="shared" si="600"/>
        <v>1</v>
      </c>
      <c r="R1361" s="2">
        <f t="shared" si="601"/>
        <v>6</v>
      </c>
      <c r="S1361" s="2">
        <f t="shared" si="602"/>
        <v>50</v>
      </c>
      <c r="T1361" s="2">
        <f t="shared" si="603"/>
        <v>47.976190476190474</v>
      </c>
      <c r="U1361" s="2">
        <f ca="1">VLOOKUP(E1361,金币生产率!$A$2:$B$120,2,0)</f>
        <v>1967</v>
      </c>
      <c r="V1361" s="2">
        <f t="shared" si="604"/>
        <v>143.92857142857142</v>
      </c>
      <c r="W1361" s="45">
        <f t="shared" ca="1" si="616"/>
        <v>34</v>
      </c>
      <c r="X1361" s="48">
        <f t="shared" ca="1" si="617"/>
        <v>459</v>
      </c>
      <c r="Y1361">
        <f t="shared" si="610"/>
        <v>18</v>
      </c>
      <c r="Z1361">
        <f t="shared" ca="1" si="613"/>
        <v>14</v>
      </c>
      <c r="AA1361" t="str">
        <f t="shared" ca="1" si="605"/>
        <v>9324100.png</v>
      </c>
      <c r="AB1361">
        <f t="shared" si="606"/>
        <v>7</v>
      </c>
      <c r="AC1361">
        <f>VLOOKUP(C1361,技能辅助查询表,技能配置辅助表!$W$1,FALSE)</f>
        <v>65043888</v>
      </c>
      <c r="AD1361">
        <f t="shared" ca="1" si="614"/>
        <v>153.15972606914821</v>
      </c>
      <c r="AE1361">
        <f>VLOOKUP(C1361,技能辅助查询表,技能配置辅助表!$U$1,FALSE)</f>
        <v>4</v>
      </c>
      <c r="AF1361">
        <f t="shared" ca="1" si="607"/>
        <v>9324133</v>
      </c>
      <c r="AG1361">
        <f t="shared" ca="1" si="608"/>
        <v>54.326530612244895</v>
      </c>
      <c r="AH1361">
        <f t="shared" ca="1" si="615"/>
        <v>837.62497166611001</v>
      </c>
      <c r="AI1361">
        <f ca="1">VLOOKUP(E1361,伤害参考系!$C$4:$E$104,3,FALSE)*$AN$12</f>
        <v>8095.9099289297656</v>
      </c>
      <c r="AJ1361">
        <f>VLOOKUP(C1361,技能辅助查询表,技能配置辅助表!$L$1,FALSE)</f>
        <v>3</v>
      </c>
      <c r="AK1361">
        <f>VLOOKUP(C1361,技能辅助查询表,技能配置辅助表!$AE$1,FALSE)</f>
        <v>66000650</v>
      </c>
    </row>
    <row r="1362" spans="1:37" x14ac:dyDescent="0.15">
      <c r="A1362" s="1">
        <f t="shared" ca="1" si="590"/>
        <v>9324134</v>
      </c>
      <c r="B1362" s="1" t="str">
        <f t="shared" ca="1" si="591"/>
        <v>子弹风暴第1段</v>
      </c>
      <c r="C1362" t="s">
        <v>179</v>
      </c>
      <c r="D1362">
        <f t="shared" si="592"/>
        <v>3</v>
      </c>
      <c r="E1362" s="42">
        <f t="shared" ca="1" si="611"/>
        <v>56</v>
      </c>
      <c r="F1362" t="str">
        <f t="shared" ca="1" si="612"/>
        <v>第34级，共造成192.9%点伤害</v>
      </c>
      <c r="G1362">
        <f t="shared" ca="1" si="593"/>
        <v>1</v>
      </c>
      <c r="H1362">
        <f t="shared" si="594"/>
        <v>1</v>
      </c>
      <c r="I1362" s="44">
        <f t="shared" ca="1" si="595"/>
        <v>34</v>
      </c>
      <c r="J1362">
        <f t="shared" si="596"/>
        <v>2</v>
      </c>
      <c r="K1362" s="36">
        <f t="shared" ca="1" si="597"/>
        <v>64.288095238095238</v>
      </c>
      <c r="L1362" s="10">
        <f ca="1">AH1362*VLOOKUP(C1362,技能辅助查询表,技能配置辅助表!$T$1,FALSE)</f>
        <v>0</v>
      </c>
      <c r="M1362">
        <f t="shared" ca="1" si="609"/>
        <v>5280</v>
      </c>
      <c r="N1362" s="33">
        <f ca="1">CHOOSE(1,W1362*U1362,X1362*'[1]0、经济设定'!$C$18)</f>
        <v>73512</v>
      </c>
      <c r="O1362">
        <f t="shared" si="598"/>
        <v>4</v>
      </c>
      <c r="P1362">
        <f t="shared" si="599"/>
        <v>3</v>
      </c>
      <c r="Q1362">
        <f t="shared" si="600"/>
        <v>1</v>
      </c>
      <c r="R1362" s="2">
        <f t="shared" si="601"/>
        <v>6</v>
      </c>
      <c r="S1362" s="2">
        <f t="shared" si="602"/>
        <v>50</v>
      </c>
      <c r="T1362" s="2">
        <f t="shared" si="603"/>
        <v>47.976190476190474</v>
      </c>
      <c r="U1362" s="2">
        <f ca="1">VLOOKUP(E1362,金币生产率!$A$2:$B$120,2,0)</f>
        <v>2042</v>
      </c>
      <c r="V1362" s="2">
        <f t="shared" si="604"/>
        <v>143.92857142857142</v>
      </c>
      <c r="W1362" s="45">
        <f t="shared" ca="1" si="616"/>
        <v>36</v>
      </c>
      <c r="X1362" s="48">
        <f t="shared" ca="1" si="617"/>
        <v>495</v>
      </c>
      <c r="Y1362">
        <f t="shared" si="610"/>
        <v>18</v>
      </c>
      <c r="Z1362">
        <f t="shared" ca="1" si="613"/>
        <v>15</v>
      </c>
      <c r="AA1362" t="str">
        <f t="shared" ca="1" si="605"/>
        <v>9324100.png</v>
      </c>
      <c r="AB1362">
        <f t="shared" si="606"/>
        <v>7</v>
      </c>
      <c r="AC1362">
        <f>VLOOKUP(C1362,技能辅助查询表,技能配置辅助表!$W$1,FALSE)</f>
        <v>65043888</v>
      </c>
      <c r="AD1362">
        <f t="shared" ca="1" si="614"/>
        <v>177.11540185395867</v>
      </c>
      <c r="AE1362">
        <f>VLOOKUP(C1362,技能辅助查询表,技能配置辅助表!$U$1,FALSE)</f>
        <v>4</v>
      </c>
      <c r="AF1362">
        <f t="shared" ca="1" si="607"/>
        <v>9324134</v>
      </c>
      <c r="AG1362">
        <f t="shared" ca="1" si="608"/>
        <v>55.836734693877553</v>
      </c>
      <c r="AH1362">
        <f t="shared" ca="1" si="615"/>
        <v>953.62496190886134</v>
      </c>
      <c r="AI1362">
        <f ca="1">VLOOKUP(E1362,伤害参考系!$C$4:$E$104,3,FALSE)*$AN$12</f>
        <v>8513.8763929765901</v>
      </c>
      <c r="AJ1362">
        <f>VLOOKUP(C1362,技能辅助查询表,技能配置辅助表!$L$1,FALSE)</f>
        <v>3</v>
      </c>
      <c r="AK1362">
        <f>VLOOKUP(C1362,技能辅助查询表,技能配置辅助表!$AE$1,FALSE)</f>
        <v>66000650</v>
      </c>
    </row>
    <row r="1363" spans="1:37" x14ac:dyDescent="0.15">
      <c r="A1363" s="1">
        <f t="shared" ref="A1363:A1426" ca="1" si="618">IF(I1363=0,IF(H1363=1,VALUE("9"&amp;D1363&amp;J1363&amp;O1363&amp;G1363&amp;IF(I1363&gt;9,I1363,"0"&amp;I1363)),1),VALUE("9"&amp;D1363&amp;J1363&amp;O1363&amp;G1363&amp;IF(I1363&gt;9,I1363,"0"&amp;I1363)))</f>
        <v>9324135</v>
      </c>
      <c r="B1363" s="1" t="str">
        <f t="shared" ref="B1363:B1426" ca="1" si="619">IF(AND(G1363=0,AE1363=4),LEFT(C1363,LEN(C1363)-3),C1363)</f>
        <v>子弹风暴第1段</v>
      </c>
      <c r="C1363" t="s">
        <v>179</v>
      </c>
      <c r="D1363">
        <f t="shared" ref="D1363:D1378" si="620">VLOOKUP(C1363,技能辅助查询表,3,FALSE)</f>
        <v>3</v>
      </c>
      <c r="E1363" s="42">
        <f t="shared" ca="1" si="611"/>
        <v>58</v>
      </c>
      <c r="F1363" t="str">
        <f t="shared" ca="1" si="612"/>
        <v>第35级，共造成194.3%点伤害</v>
      </c>
      <c r="G1363">
        <f t="shared" ref="G1363:G1378" ca="1" si="621">IF(I1363=0,0,H1363)</f>
        <v>1</v>
      </c>
      <c r="H1363">
        <f t="shared" ref="H1363:H1378" si="622">VLOOKUP(C1363,技能辅助查询表,2,FALSE)</f>
        <v>1</v>
      </c>
      <c r="I1363" s="44">
        <f t="shared" ref="I1363:I1378" ca="1" si="623">IF(OFFSET(C1363,-1,0)=C1363,I1362+1,0)</f>
        <v>35</v>
      </c>
      <c r="J1363">
        <f t="shared" ref="J1363:J1378" si="624">VLOOKUP(C1363,技能辅助查询表,4,FALSE)</f>
        <v>2</v>
      </c>
      <c r="K1363" s="36">
        <f t="shared" ref="K1363:K1378" ca="1" si="625">IF(OR(I1363=0,I1363=1),T1363,T1363+T1363*($AN$6-1)/S1363*I1363)</f>
        <v>64.767857142857139</v>
      </c>
      <c r="L1363" s="10">
        <f ca="1">AH1363*VLOOKUP(C1363,技能辅助查询表,技能配置辅助表!$T$1,FALSE)</f>
        <v>0</v>
      </c>
      <c r="M1363">
        <f t="shared" ca="1" si="609"/>
        <v>5200</v>
      </c>
      <c r="N1363" s="33">
        <f ca="1">CHOOSE(1,W1363*U1363,X1363*'[1]0、经济设定'!$C$18)</f>
        <v>83524</v>
      </c>
      <c r="O1363">
        <f t="shared" ref="O1363:O1378" si="626">VLOOKUP(C1363,技能辅助查询表,5,FALSE)</f>
        <v>4</v>
      </c>
      <c r="P1363">
        <f t="shared" ref="P1363:P1378" si="627">VLOOKUP(C1363,技能辅助查询表,6,FALSE)</f>
        <v>3</v>
      </c>
      <c r="Q1363">
        <f t="shared" ref="Q1363:Q1378" si="628">VLOOKUP(C1363,技能辅助查询表,7,FALSE)</f>
        <v>1</v>
      </c>
      <c r="R1363" s="2">
        <f t="shared" ref="R1363:R1378" si="629">VLOOKUP(C1363,技能辅助查询表,9,FALSE)</f>
        <v>6</v>
      </c>
      <c r="S1363" s="2">
        <f t="shared" ref="S1363:S1378" si="630">VLOOKUP(C1363,技能辅助查询表,8,FALSE)</f>
        <v>50</v>
      </c>
      <c r="T1363" s="2">
        <f t="shared" ref="T1363:T1378" si="631">VLOOKUP(C1363,技能辅助查询表,11,FALSE)</f>
        <v>47.976190476190474</v>
      </c>
      <c r="U1363" s="2">
        <f ca="1">VLOOKUP(E1363,金币生产率!$A$2:$B$120,2,0)</f>
        <v>2198</v>
      </c>
      <c r="V1363" s="2">
        <f t="shared" ref="V1363:V1378" si="632">VLOOKUP(C1363,技能辅助查询表,12,FALSE)</f>
        <v>143.92857142857142</v>
      </c>
      <c r="W1363" s="45">
        <f t="shared" ca="1" si="616"/>
        <v>38</v>
      </c>
      <c r="X1363" s="48">
        <f t="shared" ca="1" si="617"/>
        <v>533</v>
      </c>
      <c r="Y1363">
        <f t="shared" si="610"/>
        <v>18</v>
      </c>
      <c r="Z1363">
        <f t="shared" ca="1" si="613"/>
        <v>16</v>
      </c>
      <c r="AA1363" t="str">
        <f t="shared" ref="AA1363:AA1378" ca="1" si="633">AF1363-MOD(AF1363,100)&amp;".png"</f>
        <v>9324100.png</v>
      </c>
      <c r="AB1363">
        <f t="shared" ref="AB1363:AB1378" si="634">VLOOKUP(C1363,技能辅助查询表,17,FALSE)</f>
        <v>7</v>
      </c>
      <c r="AC1363">
        <f>VLOOKUP(C1363,技能辅助查询表,技能配置辅助表!$W$1,FALSE)</f>
        <v>65043888</v>
      </c>
      <c r="AD1363">
        <f t="shared" ca="1" si="614"/>
        <v>204.76877915588875</v>
      </c>
      <c r="AE1363">
        <f>VLOOKUP(C1363,技能辅助查询表,技能配置辅助表!$U$1,FALSE)</f>
        <v>4</v>
      </c>
      <c r="AF1363">
        <f t="shared" ref="AF1363:AF1378" ca="1" si="635">VALUE("9"&amp;D1363&amp;J1363&amp;O1363&amp;H1363&amp;IF(I1363&gt;9,I1363,"0"&amp;I1363))</f>
        <v>9324135</v>
      </c>
      <c r="AG1363">
        <f t="shared" ref="AG1363:AG1378" ca="1" si="636">IF(I1363=1,R1363,IF(I1363=0,0,(I1363-1)*(80-R1363)/(S1363-1)+R1363))</f>
        <v>57.346938775510203</v>
      </c>
      <c r="AH1363">
        <f t="shared" ca="1" si="615"/>
        <v>1085.689417982368</v>
      </c>
      <c r="AI1363">
        <f ca="1">VLOOKUP(E1363,伤害参考系!$C$4:$E$104,3,FALSE)*$AN$12</f>
        <v>9381.0475610367921</v>
      </c>
      <c r="AJ1363">
        <f>VLOOKUP(C1363,技能辅助查询表,技能配置辅助表!$L$1,FALSE)</f>
        <v>3</v>
      </c>
      <c r="AK1363">
        <f>VLOOKUP(C1363,技能辅助查询表,技能配置辅助表!$AE$1,FALSE)</f>
        <v>66000650</v>
      </c>
    </row>
    <row r="1364" spans="1:37" x14ac:dyDescent="0.15">
      <c r="A1364" s="1">
        <f t="shared" ca="1" si="618"/>
        <v>9324136</v>
      </c>
      <c r="B1364" s="1" t="str">
        <f t="shared" ca="1" si="619"/>
        <v>子弹风暴第1段</v>
      </c>
      <c r="C1364" t="s">
        <v>179</v>
      </c>
      <c r="D1364">
        <f t="shared" si="620"/>
        <v>3</v>
      </c>
      <c r="E1364" s="42">
        <f t="shared" ca="1" si="611"/>
        <v>59</v>
      </c>
      <c r="F1364" t="str">
        <f t="shared" ca="1" si="612"/>
        <v>第36级，共造成195.7%点伤害</v>
      </c>
      <c r="G1364">
        <f t="shared" ca="1" si="621"/>
        <v>1</v>
      </c>
      <c r="H1364">
        <f t="shared" si="622"/>
        <v>1</v>
      </c>
      <c r="I1364" s="44">
        <f t="shared" ca="1" si="623"/>
        <v>36</v>
      </c>
      <c r="J1364">
        <f t="shared" si="624"/>
        <v>2</v>
      </c>
      <c r="K1364" s="36">
        <f t="shared" ca="1" si="625"/>
        <v>65.24761904761904</v>
      </c>
      <c r="L1364" s="10">
        <f ca="1">AH1364*VLOOKUP(C1364,技能辅助查询表,技能配置辅助表!$T$1,FALSE)</f>
        <v>0</v>
      </c>
      <c r="M1364">
        <f t="shared" ca="1" si="609"/>
        <v>5120</v>
      </c>
      <c r="N1364" s="33">
        <f ca="1">CHOOSE(1,W1364*U1364,X1364*'[1]0、经济设定'!$C$18)</f>
        <v>93357</v>
      </c>
      <c r="O1364">
        <f t="shared" si="626"/>
        <v>4</v>
      </c>
      <c r="P1364">
        <f t="shared" si="627"/>
        <v>3</v>
      </c>
      <c r="Q1364">
        <f t="shared" si="628"/>
        <v>1</v>
      </c>
      <c r="R1364" s="2">
        <f t="shared" si="629"/>
        <v>6</v>
      </c>
      <c r="S1364" s="2">
        <f t="shared" si="630"/>
        <v>50</v>
      </c>
      <c r="T1364" s="2">
        <f t="shared" si="631"/>
        <v>47.976190476190474</v>
      </c>
      <c r="U1364" s="2">
        <f ca="1">VLOOKUP(E1364,金币生产率!$A$2:$B$120,2,0)</f>
        <v>2277</v>
      </c>
      <c r="V1364" s="2">
        <f t="shared" si="632"/>
        <v>143.92857142857142</v>
      </c>
      <c r="W1364" s="45">
        <f t="shared" ca="1" si="616"/>
        <v>41</v>
      </c>
      <c r="X1364" s="48">
        <f t="shared" ca="1" si="617"/>
        <v>574</v>
      </c>
      <c r="Y1364">
        <f t="shared" si="610"/>
        <v>18</v>
      </c>
      <c r="Z1364">
        <f t="shared" ca="1" si="613"/>
        <v>17</v>
      </c>
      <c r="AA1364" t="str">
        <f t="shared" ca="1" si="633"/>
        <v>9324100.png</v>
      </c>
      <c r="AB1364">
        <f t="shared" si="634"/>
        <v>7</v>
      </c>
      <c r="AC1364">
        <f>VLOOKUP(C1364,技能辅助查询表,技能配置辅助表!$W$1,FALSE)</f>
        <v>65043888</v>
      </c>
      <c r="AD1364">
        <f t="shared" ca="1" si="614"/>
        <v>236.68458749079133</v>
      </c>
      <c r="AE1364">
        <f>VLOOKUP(C1364,技能辅助查询表,技能配置辅助表!$U$1,FALSE)</f>
        <v>4</v>
      </c>
      <c r="AF1364">
        <f t="shared" ca="1" si="635"/>
        <v>9324136</v>
      </c>
      <c r="AG1364">
        <f t="shared" ca="1" si="636"/>
        <v>58.857142857142854</v>
      </c>
      <c r="AH1364">
        <f t="shared" ca="1" si="615"/>
        <v>1236.0430561291703</v>
      </c>
      <c r="AI1364">
        <f ca="1">VLOOKUP(E1364,伤害参考系!$C$4:$E$104,3,FALSE)*$AN$12</f>
        <v>9830.2522650501687</v>
      </c>
      <c r="AJ1364">
        <f>VLOOKUP(C1364,技能辅助查询表,技能配置辅助表!$L$1,FALSE)</f>
        <v>3</v>
      </c>
      <c r="AK1364">
        <f>VLOOKUP(C1364,技能辅助查询表,技能配置辅助表!$AE$1,FALSE)</f>
        <v>66000650</v>
      </c>
    </row>
    <row r="1365" spans="1:37" x14ac:dyDescent="0.15">
      <c r="A1365" s="1">
        <f t="shared" ca="1" si="618"/>
        <v>9324137</v>
      </c>
      <c r="B1365" s="1" t="str">
        <f t="shared" ca="1" si="619"/>
        <v>子弹风暴第1段</v>
      </c>
      <c r="C1365" t="s">
        <v>179</v>
      </c>
      <c r="D1365">
        <f t="shared" si="620"/>
        <v>3</v>
      </c>
      <c r="E1365" s="42">
        <f t="shared" ca="1" si="611"/>
        <v>61</v>
      </c>
      <c r="F1365" t="str">
        <f t="shared" ca="1" si="612"/>
        <v>第37级，共造成197.2%点伤害</v>
      </c>
      <c r="G1365">
        <f t="shared" ca="1" si="621"/>
        <v>1</v>
      </c>
      <c r="H1365">
        <f t="shared" si="622"/>
        <v>1</v>
      </c>
      <c r="I1365" s="44">
        <f t="shared" ca="1" si="623"/>
        <v>37</v>
      </c>
      <c r="J1365">
        <f t="shared" si="624"/>
        <v>2</v>
      </c>
      <c r="K1365" s="36">
        <f t="shared" ca="1" si="625"/>
        <v>65.72738095238094</v>
      </c>
      <c r="L1365" s="10">
        <f ca="1">AH1365*VLOOKUP(C1365,技能辅助查询表,技能配置辅助表!$T$1,FALSE)</f>
        <v>0</v>
      </c>
      <c r="M1365">
        <f t="shared" ca="1" si="609"/>
        <v>5040</v>
      </c>
      <c r="N1365" s="33">
        <f ca="1">CHOOSE(1,W1365*U1365,X1365*'[1]0、经济设定'!$C$18)</f>
        <v>107360</v>
      </c>
      <c r="O1365">
        <f t="shared" si="626"/>
        <v>4</v>
      </c>
      <c r="P1365">
        <f t="shared" si="627"/>
        <v>3</v>
      </c>
      <c r="Q1365">
        <f t="shared" si="628"/>
        <v>1</v>
      </c>
      <c r="R1365" s="2">
        <f t="shared" si="629"/>
        <v>6</v>
      </c>
      <c r="S1365" s="2">
        <f t="shared" si="630"/>
        <v>50</v>
      </c>
      <c r="T1365" s="2">
        <f t="shared" si="631"/>
        <v>47.976190476190474</v>
      </c>
      <c r="U1365" s="2">
        <f ca="1">VLOOKUP(E1365,金币生产率!$A$2:$B$120,2,0)</f>
        <v>2440</v>
      </c>
      <c r="V1365" s="2">
        <f t="shared" si="632"/>
        <v>143.92857142857142</v>
      </c>
      <c r="W1365" s="45">
        <f t="shared" ca="1" si="616"/>
        <v>44</v>
      </c>
      <c r="X1365" s="48">
        <f t="shared" ca="1" si="617"/>
        <v>618</v>
      </c>
      <c r="Y1365">
        <f t="shared" si="610"/>
        <v>18</v>
      </c>
      <c r="Z1365">
        <f t="shared" ca="1" si="613"/>
        <v>18</v>
      </c>
      <c r="AA1365" t="str">
        <f t="shared" ca="1" si="633"/>
        <v>9324100.png</v>
      </c>
      <c r="AB1365">
        <f t="shared" si="634"/>
        <v>7</v>
      </c>
      <c r="AC1365">
        <f>VLOOKUP(C1365,技能辅助查询表,技能配置辅助表!$W$1,FALSE)</f>
        <v>65043888</v>
      </c>
      <c r="AD1365">
        <f t="shared" ca="1" si="614"/>
        <v>273.51305482478779</v>
      </c>
      <c r="AE1365">
        <f>VLOOKUP(C1365,技能辅助查询表,技能配置辅助表!$U$1,FALSE)</f>
        <v>4</v>
      </c>
      <c r="AF1365">
        <f t="shared" ca="1" si="635"/>
        <v>9324137</v>
      </c>
      <c r="AG1365">
        <f t="shared" ca="1" si="636"/>
        <v>60.367346938775512</v>
      </c>
      <c r="AH1365">
        <f t="shared" ca="1" si="615"/>
        <v>1407.2186863941167</v>
      </c>
      <c r="AI1365">
        <f ca="1">VLOOKUP(E1365,伤害参考系!$C$4:$E$104,3,FALSE)*$AN$12</f>
        <v>10863.360489130437</v>
      </c>
      <c r="AJ1365">
        <f>VLOOKUP(C1365,技能辅助查询表,技能配置辅助表!$L$1,FALSE)</f>
        <v>3</v>
      </c>
      <c r="AK1365">
        <f>VLOOKUP(C1365,技能辅助查询表,技能配置辅助表!$AE$1,FALSE)</f>
        <v>66000650</v>
      </c>
    </row>
    <row r="1366" spans="1:37" x14ac:dyDescent="0.15">
      <c r="A1366" s="1">
        <f t="shared" ca="1" si="618"/>
        <v>9324138</v>
      </c>
      <c r="B1366" s="1" t="str">
        <f t="shared" ca="1" si="619"/>
        <v>子弹风暴第1段</v>
      </c>
      <c r="C1366" t="s">
        <v>179</v>
      </c>
      <c r="D1366">
        <f t="shared" si="620"/>
        <v>3</v>
      </c>
      <c r="E1366" s="42">
        <f t="shared" ca="1" si="611"/>
        <v>62</v>
      </c>
      <c r="F1366" t="str">
        <f t="shared" ca="1" si="612"/>
        <v>第38级，共造成198.6%点伤害</v>
      </c>
      <c r="G1366">
        <f t="shared" ca="1" si="621"/>
        <v>1</v>
      </c>
      <c r="H1366">
        <f t="shared" si="622"/>
        <v>1</v>
      </c>
      <c r="I1366" s="44">
        <f t="shared" ca="1" si="623"/>
        <v>38</v>
      </c>
      <c r="J1366">
        <f t="shared" si="624"/>
        <v>2</v>
      </c>
      <c r="K1366" s="36">
        <f t="shared" ca="1" si="625"/>
        <v>66.207142857142856</v>
      </c>
      <c r="L1366" s="10">
        <f ca="1">AH1366*VLOOKUP(C1366,技能辅助查询表,技能配置辅助表!$T$1,FALSE)</f>
        <v>0</v>
      </c>
      <c r="M1366">
        <f t="shared" ca="1" si="609"/>
        <v>4960</v>
      </c>
      <c r="N1366" s="33">
        <f ca="1">CHOOSE(1,W1366*U1366,X1366*'[1]0、经济设定'!$C$18)</f>
        <v>118628</v>
      </c>
      <c r="O1366">
        <f t="shared" si="626"/>
        <v>4</v>
      </c>
      <c r="P1366">
        <f t="shared" si="627"/>
        <v>3</v>
      </c>
      <c r="Q1366">
        <f t="shared" si="628"/>
        <v>1</v>
      </c>
      <c r="R1366" s="2">
        <f t="shared" si="629"/>
        <v>6</v>
      </c>
      <c r="S1366" s="2">
        <f t="shared" si="630"/>
        <v>50</v>
      </c>
      <c r="T1366" s="2">
        <f t="shared" si="631"/>
        <v>47.976190476190474</v>
      </c>
      <c r="U1366" s="2">
        <f ca="1">VLOOKUP(E1366,金币生产率!$A$2:$B$120,2,0)</f>
        <v>2524</v>
      </c>
      <c r="V1366" s="2">
        <f t="shared" si="632"/>
        <v>143.92857142857142</v>
      </c>
      <c r="W1366" s="45">
        <f t="shared" ca="1" si="616"/>
        <v>47</v>
      </c>
      <c r="X1366" s="48">
        <f t="shared" ca="1" si="617"/>
        <v>665</v>
      </c>
      <c r="Y1366">
        <f t="shared" si="610"/>
        <v>18</v>
      </c>
      <c r="Z1366">
        <f t="shared" ca="1" si="613"/>
        <v>19</v>
      </c>
      <c r="AA1366" t="str">
        <f t="shared" ca="1" si="633"/>
        <v>9324100.png</v>
      </c>
      <c r="AB1366">
        <f t="shared" si="634"/>
        <v>7</v>
      </c>
      <c r="AC1366">
        <f>VLOOKUP(C1366,技能辅助查询表,技能配置辅助表!$W$1,FALSE)</f>
        <v>65043888</v>
      </c>
      <c r="AD1366">
        <f t="shared" ca="1" si="614"/>
        <v>316.00275766965183</v>
      </c>
      <c r="AE1366">
        <f>VLOOKUP(C1366,技能辅助查询表,技能配置辅助表!$U$1,FALSE)</f>
        <v>4</v>
      </c>
      <c r="AF1366">
        <f t="shared" ca="1" si="635"/>
        <v>9324138</v>
      </c>
      <c r="AG1366">
        <f t="shared" ca="1" si="636"/>
        <v>61.877551020408163</v>
      </c>
      <c r="AH1366">
        <f t="shared" ca="1" si="615"/>
        <v>1602.0998795448415</v>
      </c>
      <c r="AI1366">
        <f ca="1">VLOOKUP(E1366,伤害参考系!$C$4:$E$104,3,FALSE)*$AN$12</f>
        <v>11398.657545150505</v>
      </c>
      <c r="AJ1366">
        <f>VLOOKUP(C1366,技能辅助查询表,技能配置辅助表!$L$1,FALSE)</f>
        <v>3</v>
      </c>
      <c r="AK1366">
        <f>VLOOKUP(C1366,技能辅助查询表,技能配置辅助表!$AE$1,FALSE)</f>
        <v>66000650</v>
      </c>
    </row>
    <row r="1367" spans="1:37" x14ac:dyDescent="0.15">
      <c r="A1367" s="1">
        <f t="shared" ca="1" si="618"/>
        <v>9324139</v>
      </c>
      <c r="B1367" s="1" t="str">
        <f t="shared" ca="1" si="619"/>
        <v>子弹风暴第1段</v>
      </c>
      <c r="C1367" t="s">
        <v>179</v>
      </c>
      <c r="D1367">
        <f t="shared" si="620"/>
        <v>3</v>
      </c>
      <c r="E1367" s="42">
        <f t="shared" ca="1" si="611"/>
        <v>64</v>
      </c>
      <c r="F1367" t="str">
        <f t="shared" ca="1" si="612"/>
        <v>第39级，共造成200.1%点伤害</v>
      </c>
      <c r="G1367">
        <f t="shared" ca="1" si="621"/>
        <v>1</v>
      </c>
      <c r="H1367">
        <f t="shared" si="622"/>
        <v>1</v>
      </c>
      <c r="I1367" s="44">
        <f t="shared" ca="1" si="623"/>
        <v>39</v>
      </c>
      <c r="J1367">
        <f t="shared" si="624"/>
        <v>2</v>
      </c>
      <c r="K1367" s="36">
        <f t="shared" ca="1" si="625"/>
        <v>66.686904761904756</v>
      </c>
      <c r="L1367" s="10">
        <f ca="1">AH1367*VLOOKUP(C1367,技能辅助查询表,技能配置辅助表!$T$1,FALSE)</f>
        <v>0</v>
      </c>
      <c r="M1367">
        <f t="shared" ca="1" si="609"/>
        <v>4880</v>
      </c>
      <c r="N1367" s="33">
        <f ca="1">CHOOSE(1,W1367*U1367,X1367*'[1]0、经济设定'!$C$18)</f>
        <v>134750</v>
      </c>
      <c r="O1367">
        <f t="shared" si="626"/>
        <v>4</v>
      </c>
      <c r="P1367">
        <f t="shared" si="627"/>
        <v>3</v>
      </c>
      <c r="Q1367">
        <f t="shared" si="628"/>
        <v>1</v>
      </c>
      <c r="R1367" s="2">
        <f t="shared" si="629"/>
        <v>6</v>
      </c>
      <c r="S1367" s="2">
        <f t="shared" si="630"/>
        <v>50</v>
      </c>
      <c r="T1367" s="2">
        <f t="shared" si="631"/>
        <v>47.976190476190474</v>
      </c>
      <c r="U1367" s="2">
        <f ca="1">VLOOKUP(E1367,金币生产率!$A$2:$B$120,2,0)</f>
        <v>2695</v>
      </c>
      <c r="V1367" s="2">
        <f t="shared" si="632"/>
        <v>143.92857142857142</v>
      </c>
      <c r="W1367" s="45">
        <f t="shared" ca="1" si="616"/>
        <v>50</v>
      </c>
      <c r="X1367" s="48">
        <f t="shared" ca="1" si="617"/>
        <v>715</v>
      </c>
      <c r="Y1367">
        <f t="shared" si="610"/>
        <v>18</v>
      </c>
      <c r="Z1367">
        <f t="shared" ca="1" si="613"/>
        <v>20</v>
      </c>
      <c r="AA1367" t="str">
        <f t="shared" ca="1" si="633"/>
        <v>9324100.png</v>
      </c>
      <c r="AB1367">
        <f t="shared" si="634"/>
        <v>7</v>
      </c>
      <c r="AC1367">
        <f>VLOOKUP(C1367,技能辅助查询表,技能配置辅助表!$W$1,FALSE)</f>
        <v>65043888</v>
      </c>
      <c r="AD1367">
        <f t="shared" ca="1" si="614"/>
        <v>365.0153905753001</v>
      </c>
      <c r="AE1367">
        <f>VLOOKUP(C1367,技能辅助查询表,技能配置辅助表!$U$1,FALSE)</f>
        <v>4</v>
      </c>
      <c r="AF1367">
        <f t="shared" ca="1" si="635"/>
        <v>9324139</v>
      </c>
      <c r="AG1367">
        <f t="shared" ca="1" si="636"/>
        <v>63.387755102040813</v>
      </c>
      <c r="AH1367">
        <f t="shared" ca="1" si="615"/>
        <v>1823.9695427969455</v>
      </c>
      <c r="AI1367">
        <f ca="1">VLOOKUP(E1367,伤害参考系!$C$4:$E$104,3,FALSE)*$AN$12</f>
        <v>12506.737545150507</v>
      </c>
      <c r="AJ1367">
        <f>VLOOKUP(C1367,技能辅助查询表,技能配置辅助表!$L$1,FALSE)</f>
        <v>3</v>
      </c>
      <c r="AK1367">
        <f>VLOOKUP(C1367,技能辅助查询表,技能配置辅助表!$AE$1,FALSE)</f>
        <v>66000650</v>
      </c>
    </row>
    <row r="1368" spans="1:37" x14ac:dyDescent="0.15">
      <c r="A1368" s="1">
        <f t="shared" ca="1" si="618"/>
        <v>9324140</v>
      </c>
      <c r="B1368" s="1" t="str">
        <f t="shared" ca="1" si="619"/>
        <v>子弹风暴第1段</v>
      </c>
      <c r="C1368" t="s">
        <v>179</v>
      </c>
      <c r="D1368">
        <f t="shared" si="620"/>
        <v>3</v>
      </c>
      <c r="E1368" s="42">
        <f t="shared" ca="1" si="611"/>
        <v>65</v>
      </c>
      <c r="F1368" t="str">
        <f t="shared" ca="1" si="612"/>
        <v>第40级，共造成201.5%点伤害</v>
      </c>
      <c r="G1368">
        <f t="shared" ca="1" si="621"/>
        <v>1</v>
      </c>
      <c r="H1368">
        <f t="shared" si="622"/>
        <v>1</v>
      </c>
      <c r="I1368" s="44">
        <f t="shared" ca="1" si="623"/>
        <v>40</v>
      </c>
      <c r="J1368">
        <f t="shared" si="624"/>
        <v>2</v>
      </c>
      <c r="K1368" s="36">
        <f t="shared" ca="1" si="625"/>
        <v>67.166666666666657</v>
      </c>
      <c r="L1368" s="10">
        <f ca="1">AH1368*VLOOKUP(C1368,技能辅助查询表,技能配置辅助表!$T$1,FALSE)</f>
        <v>0</v>
      </c>
      <c r="M1368">
        <f t="shared" ca="1" si="609"/>
        <v>4800</v>
      </c>
      <c r="N1368" s="33">
        <f ca="1">CHOOSE(1,W1368*U1368,X1368*'[1]0、经济设定'!$C$18)</f>
        <v>150282</v>
      </c>
      <c r="O1368">
        <f t="shared" si="626"/>
        <v>4</v>
      </c>
      <c r="P1368">
        <f t="shared" si="627"/>
        <v>3</v>
      </c>
      <c r="Q1368">
        <f t="shared" si="628"/>
        <v>1</v>
      </c>
      <c r="R1368" s="2">
        <f t="shared" si="629"/>
        <v>6</v>
      </c>
      <c r="S1368" s="2">
        <f t="shared" si="630"/>
        <v>50</v>
      </c>
      <c r="T1368" s="2">
        <f t="shared" si="631"/>
        <v>47.976190476190474</v>
      </c>
      <c r="U1368" s="2">
        <f ca="1">VLOOKUP(E1368,金币生产率!$A$2:$B$120,2,0)</f>
        <v>2783</v>
      </c>
      <c r="V1368" s="2">
        <f t="shared" si="632"/>
        <v>143.92857142857142</v>
      </c>
      <c r="W1368" s="45">
        <f t="shared" ca="1" si="616"/>
        <v>54</v>
      </c>
      <c r="X1368" s="48">
        <f t="shared" ca="1" si="617"/>
        <v>769</v>
      </c>
      <c r="Y1368">
        <f t="shared" si="610"/>
        <v>18</v>
      </c>
      <c r="Z1368">
        <f t="shared" ca="1" si="613"/>
        <v>22</v>
      </c>
      <c r="AA1368" t="str">
        <f t="shared" ca="1" si="633"/>
        <v>9324100.png</v>
      </c>
      <c r="AB1368">
        <f t="shared" si="634"/>
        <v>7</v>
      </c>
      <c r="AC1368">
        <f>VLOOKUP(C1368,技能辅助查询表,技能配置辅助表!$W$1,FALSE)</f>
        <v>65043888</v>
      </c>
      <c r="AD1368">
        <f t="shared" ca="1" si="614"/>
        <v>421.54274019495068</v>
      </c>
      <c r="AE1368">
        <f>VLOOKUP(C1368,技能辅助查询表,技能配置辅助表!$U$1,FALSE)</f>
        <v>4</v>
      </c>
      <c r="AF1368">
        <f t="shared" ca="1" si="635"/>
        <v>9324140</v>
      </c>
      <c r="AG1368">
        <f t="shared" ca="1" si="636"/>
        <v>64.897959183673464</v>
      </c>
      <c r="AH1368">
        <f t="shared" ca="1" si="615"/>
        <v>2076.5652226352254</v>
      </c>
      <c r="AI1368">
        <f ca="1">VLOOKUP(E1368,伤害参考系!$C$4:$E$104,3,FALSE)*$AN$12</f>
        <v>13079.520489130437</v>
      </c>
      <c r="AJ1368">
        <f>VLOOKUP(C1368,技能辅助查询表,技能配置辅助表!$L$1,FALSE)</f>
        <v>3</v>
      </c>
      <c r="AK1368">
        <f>VLOOKUP(C1368,技能辅助查询表,技能配置辅助表!$AE$1,FALSE)</f>
        <v>66000650</v>
      </c>
    </row>
    <row r="1369" spans="1:37" x14ac:dyDescent="0.15">
      <c r="A1369" s="1">
        <f t="shared" ca="1" si="618"/>
        <v>9324141</v>
      </c>
      <c r="B1369" s="1" t="str">
        <f t="shared" ca="1" si="619"/>
        <v>子弹风暴第1段</v>
      </c>
      <c r="C1369" t="s">
        <v>179</v>
      </c>
      <c r="D1369">
        <f t="shared" si="620"/>
        <v>3</v>
      </c>
      <c r="E1369" s="42">
        <f t="shared" ca="1" si="611"/>
        <v>67</v>
      </c>
      <c r="F1369" t="str">
        <f t="shared" ca="1" si="612"/>
        <v>第41级，共造成202.9%点伤害</v>
      </c>
      <c r="G1369">
        <f t="shared" ca="1" si="621"/>
        <v>1</v>
      </c>
      <c r="H1369">
        <f t="shared" si="622"/>
        <v>1</v>
      </c>
      <c r="I1369" s="44">
        <f t="shared" ca="1" si="623"/>
        <v>41</v>
      </c>
      <c r="J1369">
        <f t="shared" si="624"/>
        <v>2</v>
      </c>
      <c r="K1369" s="36">
        <f t="shared" ca="1" si="625"/>
        <v>67.646428571428572</v>
      </c>
      <c r="L1369" s="10">
        <f ca="1">AH1369*VLOOKUP(C1369,技能辅助查询表,技能配置辅助表!$T$1,FALSE)</f>
        <v>0</v>
      </c>
      <c r="M1369">
        <f t="shared" ca="1" si="609"/>
        <v>4720</v>
      </c>
      <c r="N1369" s="33">
        <f ca="1">CHOOSE(1,W1369*U1369,X1369*'[1]0、经济设定'!$C$18)</f>
        <v>171854</v>
      </c>
      <c r="O1369">
        <f t="shared" si="626"/>
        <v>4</v>
      </c>
      <c r="P1369">
        <f t="shared" si="627"/>
        <v>3</v>
      </c>
      <c r="Q1369">
        <f t="shared" si="628"/>
        <v>1</v>
      </c>
      <c r="R1369" s="2">
        <f t="shared" si="629"/>
        <v>6</v>
      </c>
      <c r="S1369" s="2">
        <f t="shared" si="630"/>
        <v>50</v>
      </c>
      <c r="T1369" s="2">
        <f t="shared" si="631"/>
        <v>47.976190476190474</v>
      </c>
      <c r="U1369" s="2">
        <f ca="1">VLOOKUP(E1369,金币生产率!$A$2:$B$120,2,0)</f>
        <v>2963</v>
      </c>
      <c r="V1369" s="2">
        <f t="shared" si="632"/>
        <v>143.92857142857142</v>
      </c>
      <c r="W1369" s="45">
        <f t="shared" ca="1" si="616"/>
        <v>58</v>
      </c>
      <c r="X1369" s="48">
        <f t="shared" ca="1" si="617"/>
        <v>827</v>
      </c>
      <c r="Y1369">
        <f t="shared" si="610"/>
        <v>18</v>
      </c>
      <c r="Z1369">
        <f t="shared" ca="1" si="613"/>
        <v>24</v>
      </c>
      <c r="AA1369" t="str">
        <f t="shared" ca="1" si="633"/>
        <v>9324100.png</v>
      </c>
      <c r="AB1369">
        <f t="shared" si="634"/>
        <v>7</v>
      </c>
      <c r="AC1369">
        <f>VLOOKUP(C1369,技能辅助查询表,技能配置辅助表!$W$1,FALSE)</f>
        <v>65043888</v>
      </c>
      <c r="AD1369">
        <f t="shared" ca="1" si="614"/>
        <v>486.72619127327289</v>
      </c>
      <c r="AE1369">
        <f>VLOOKUP(C1369,技能辅助查询表,技能配置辅助表!$U$1,FALSE)</f>
        <v>4</v>
      </c>
      <c r="AF1369">
        <f t="shared" ca="1" si="635"/>
        <v>9324141</v>
      </c>
      <c r="AG1369">
        <f t="shared" ca="1" si="636"/>
        <v>66.408163265306115</v>
      </c>
      <c r="AH1369">
        <f t="shared" ca="1" si="615"/>
        <v>2364.1420663448707</v>
      </c>
      <c r="AI1369">
        <f ca="1">VLOOKUP(E1369,伤害参考系!$C$4:$E$104,3,FALSE)*$AN$12</f>
        <v>14262.572265050176</v>
      </c>
      <c r="AJ1369">
        <f>VLOOKUP(C1369,技能辅助查询表,技能配置辅助表!$L$1,FALSE)</f>
        <v>3</v>
      </c>
      <c r="AK1369">
        <f>VLOOKUP(C1369,技能辅助查询表,技能配置辅助表!$AE$1,FALSE)</f>
        <v>66000650</v>
      </c>
    </row>
    <row r="1370" spans="1:37" x14ac:dyDescent="0.15">
      <c r="A1370" s="1">
        <f t="shared" ca="1" si="618"/>
        <v>9324142</v>
      </c>
      <c r="B1370" s="1" t="str">
        <f t="shared" ca="1" si="619"/>
        <v>子弹风暴第1段</v>
      </c>
      <c r="C1370" t="s">
        <v>179</v>
      </c>
      <c r="D1370">
        <f t="shared" si="620"/>
        <v>3</v>
      </c>
      <c r="E1370" s="42">
        <f t="shared" ca="1" si="611"/>
        <v>68</v>
      </c>
      <c r="F1370" t="str">
        <f t="shared" ca="1" si="612"/>
        <v>第42级，共造成204.4%点伤害</v>
      </c>
      <c r="G1370">
        <f t="shared" ca="1" si="621"/>
        <v>1</v>
      </c>
      <c r="H1370">
        <f t="shared" si="622"/>
        <v>1</v>
      </c>
      <c r="I1370" s="44">
        <f t="shared" ca="1" si="623"/>
        <v>42</v>
      </c>
      <c r="J1370">
        <f t="shared" si="624"/>
        <v>2</v>
      </c>
      <c r="K1370" s="36">
        <f t="shared" ca="1" si="625"/>
        <v>68.126190476190473</v>
      </c>
      <c r="L1370" s="10">
        <f ca="1">AH1370*VLOOKUP(C1370,技能辅助查询表,技能配置辅助表!$T$1,FALSE)</f>
        <v>0</v>
      </c>
      <c r="M1370">
        <f t="shared" ca="1" si="609"/>
        <v>4640</v>
      </c>
      <c r="N1370" s="33">
        <f ca="1">CHOOSE(1,W1370*U1370,X1370*'[1]0、经济设定'!$C$18)</f>
        <v>189348</v>
      </c>
      <c r="O1370">
        <f t="shared" si="626"/>
        <v>4</v>
      </c>
      <c r="P1370">
        <f t="shared" si="627"/>
        <v>3</v>
      </c>
      <c r="Q1370">
        <f t="shared" si="628"/>
        <v>1</v>
      </c>
      <c r="R1370" s="2">
        <f t="shared" si="629"/>
        <v>6</v>
      </c>
      <c r="S1370" s="2">
        <f t="shared" si="630"/>
        <v>50</v>
      </c>
      <c r="T1370" s="2">
        <f t="shared" si="631"/>
        <v>47.976190476190474</v>
      </c>
      <c r="U1370" s="2">
        <f ca="1">VLOOKUP(E1370,金币生产率!$A$2:$B$120,2,0)</f>
        <v>3054</v>
      </c>
      <c r="V1370" s="2">
        <f t="shared" si="632"/>
        <v>143.92857142857142</v>
      </c>
      <c r="W1370" s="45">
        <f t="shared" ca="1" si="616"/>
        <v>62</v>
      </c>
      <c r="X1370" s="48">
        <f t="shared" ca="1" si="617"/>
        <v>889</v>
      </c>
      <c r="Y1370">
        <f t="shared" si="610"/>
        <v>18</v>
      </c>
      <c r="Z1370">
        <f t="shared" ca="1" si="613"/>
        <v>25</v>
      </c>
      <c r="AA1370" t="str">
        <f t="shared" ca="1" si="633"/>
        <v>9324100.png</v>
      </c>
      <c r="AB1370">
        <f t="shared" si="634"/>
        <v>7</v>
      </c>
      <c r="AC1370">
        <f>VLOOKUP(C1370,技能辅助查询表,技能配置辅助表!$W$1,FALSE)</f>
        <v>65043888</v>
      </c>
      <c r="AD1370">
        <f t="shared" ca="1" si="614"/>
        <v>561.87914029465787</v>
      </c>
      <c r="AE1370">
        <f>VLOOKUP(C1370,技能辅助查询表,技能配置辅助表!$U$1,FALSE)</f>
        <v>4</v>
      </c>
      <c r="AF1370">
        <f t="shared" ca="1" si="635"/>
        <v>9324142</v>
      </c>
      <c r="AG1370">
        <f t="shared" ca="1" si="636"/>
        <v>67.918367346938766</v>
      </c>
      <c r="AH1370">
        <f t="shared" ca="1" si="615"/>
        <v>2691.5445028827789</v>
      </c>
      <c r="AI1370">
        <f ca="1">VLOOKUP(E1370,伤害参考系!$C$4:$E$104,3,FALSE)*$AN$12</f>
        <v>14872.841096989978</v>
      </c>
      <c r="AJ1370">
        <f>VLOOKUP(C1370,技能辅助查询表,技能配置辅助表!$L$1,FALSE)</f>
        <v>3</v>
      </c>
      <c r="AK1370">
        <f>VLOOKUP(C1370,技能辅助查询表,技能配置辅助表!$AE$1,FALSE)</f>
        <v>66000650</v>
      </c>
    </row>
    <row r="1371" spans="1:37" x14ac:dyDescent="0.15">
      <c r="A1371" s="1">
        <f t="shared" ca="1" si="618"/>
        <v>9324143</v>
      </c>
      <c r="B1371" s="1" t="str">
        <f t="shared" ca="1" si="619"/>
        <v>子弹风暴第1段</v>
      </c>
      <c r="C1371" t="s">
        <v>179</v>
      </c>
      <c r="D1371">
        <f t="shared" si="620"/>
        <v>3</v>
      </c>
      <c r="E1371" s="42">
        <f t="shared" ca="1" si="611"/>
        <v>70</v>
      </c>
      <c r="F1371" t="str">
        <f t="shared" ca="1" si="612"/>
        <v>第43级，共造成205.8%点伤害</v>
      </c>
      <c r="G1371">
        <f t="shared" ca="1" si="621"/>
        <v>1</v>
      </c>
      <c r="H1371">
        <f t="shared" si="622"/>
        <v>1</v>
      </c>
      <c r="I1371" s="44">
        <f t="shared" ca="1" si="623"/>
        <v>43</v>
      </c>
      <c r="J1371">
        <f t="shared" si="624"/>
        <v>2</v>
      </c>
      <c r="K1371" s="36">
        <f t="shared" ca="1" si="625"/>
        <v>68.605952380952374</v>
      </c>
      <c r="L1371" s="10">
        <f ca="1">AH1371*VLOOKUP(C1371,技能辅助查询表,技能配置辅助表!$T$1,FALSE)</f>
        <v>0</v>
      </c>
      <c r="M1371">
        <f t="shared" ca="1" si="609"/>
        <v>4560</v>
      </c>
      <c r="N1371" s="33">
        <f ca="1">CHOOSE(1,W1371*U1371,X1371*'[1]0、经济设定'!$C$18)</f>
        <v>213972</v>
      </c>
      <c r="O1371">
        <f t="shared" si="626"/>
        <v>4</v>
      </c>
      <c r="P1371">
        <f t="shared" si="627"/>
        <v>3</v>
      </c>
      <c r="Q1371">
        <f t="shared" si="628"/>
        <v>1</v>
      </c>
      <c r="R1371" s="2">
        <f t="shared" si="629"/>
        <v>6</v>
      </c>
      <c r="S1371" s="2">
        <f t="shared" si="630"/>
        <v>50</v>
      </c>
      <c r="T1371" s="2">
        <f t="shared" si="631"/>
        <v>47.976190476190474</v>
      </c>
      <c r="U1371" s="2">
        <f ca="1">VLOOKUP(E1371,金币生产率!$A$2:$B$120,2,0)</f>
        <v>3242</v>
      </c>
      <c r="V1371" s="2">
        <f t="shared" si="632"/>
        <v>143.92857142857142</v>
      </c>
      <c r="W1371" s="45">
        <f t="shared" ca="1" si="616"/>
        <v>66</v>
      </c>
      <c r="X1371" s="48">
        <f t="shared" ca="1" si="617"/>
        <v>955</v>
      </c>
      <c r="Y1371">
        <f t="shared" si="610"/>
        <v>18</v>
      </c>
      <c r="Z1371">
        <f t="shared" ca="1" si="613"/>
        <v>27</v>
      </c>
      <c r="AA1371" t="str">
        <f t="shared" ca="1" si="633"/>
        <v>9324100.png</v>
      </c>
      <c r="AB1371">
        <f t="shared" si="634"/>
        <v>7</v>
      </c>
      <c r="AC1371">
        <f>VLOOKUP(C1371,技能辅助查询表,技能配置辅助表!$W$1,FALSE)</f>
        <v>65043888</v>
      </c>
      <c r="AD1371">
        <f t="shared" ca="1" si="614"/>
        <v>648.51274803926367</v>
      </c>
      <c r="AE1371">
        <f>VLOOKUP(C1371,技能辅助查询表,技能配置辅助表!$U$1,FALSE)</f>
        <v>4</v>
      </c>
      <c r="AF1371">
        <f t="shared" ca="1" si="635"/>
        <v>9324143</v>
      </c>
      <c r="AG1371">
        <f t="shared" ca="1" si="636"/>
        <v>69.428571428571431</v>
      </c>
      <c r="AH1371">
        <f t="shared" ca="1" si="615"/>
        <v>3064.2878506023458</v>
      </c>
      <c r="AI1371">
        <f ca="1">VLOOKUP(E1371,伤害参考系!$C$4:$E$104,3,FALSE)*$AN$12</f>
        <v>16191.966408862889</v>
      </c>
      <c r="AJ1371">
        <f>VLOOKUP(C1371,技能辅助查询表,技能配置辅助表!$L$1,FALSE)</f>
        <v>3</v>
      </c>
      <c r="AK1371">
        <f>VLOOKUP(C1371,技能辅助查询表,技能配置辅助表!$AE$1,FALSE)</f>
        <v>66000650</v>
      </c>
    </row>
    <row r="1372" spans="1:37" x14ac:dyDescent="0.15">
      <c r="A1372" s="1">
        <f t="shared" ca="1" si="618"/>
        <v>9324144</v>
      </c>
      <c r="B1372" s="1" t="str">
        <f t="shared" ca="1" si="619"/>
        <v>子弹风暴第1段</v>
      </c>
      <c r="C1372" t="s">
        <v>179</v>
      </c>
      <c r="D1372">
        <f t="shared" si="620"/>
        <v>3</v>
      </c>
      <c r="E1372" s="42">
        <f t="shared" ca="1" si="611"/>
        <v>71</v>
      </c>
      <c r="F1372" t="str">
        <f t="shared" ca="1" si="612"/>
        <v>第44级，共造成207.3%点伤害</v>
      </c>
      <c r="G1372">
        <f t="shared" ca="1" si="621"/>
        <v>1</v>
      </c>
      <c r="H1372">
        <f t="shared" si="622"/>
        <v>1</v>
      </c>
      <c r="I1372" s="44">
        <f t="shared" ca="1" si="623"/>
        <v>44</v>
      </c>
      <c r="J1372">
        <f t="shared" si="624"/>
        <v>2</v>
      </c>
      <c r="K1372" s="36">
        <f t="shared" ca="1" si="625"/>
        <v>69.085714285714289</v>
      </c>
      <c r="L1372" s="10">
        <f ca="1">AH1372*VLOOKUP(C1372,技能辅助查询表,技能配置辅助表!$T$1,FALSE)</f>
        <v>0</v>
      </c>
      <c r="M1372">
        <f t="shared" ca="1" si="609"/>
        <v>4480</v>
      </c>
      <c r="N1372" s="33">
        <f ca="1">CHOOSE(1,W1372*U1372,X1372*'[1]0、经济设定'!$C$18)</f>
        <v>236998</v>
      </c>
      <c r="O1372">
        <f t="shared" si="626"/>
        <v>4</v>
      </c>
      <c r="P1372">
        <f t="shared" si="627"/>
        <v>3</v>
      </c>
      <c r="Q1372">
        <f t="shared" si="628"/>
        <v>1</v>
      </c>
      <c r="R1372" s="2">
        <f t="shared" si="629"/>
        <v>6</v>
      </c>
      <c r="S1372" s="2">
        <f t="shared" si="630"/>
        <v>50</v>
      </c>
      <c r="T1372" s="2">
        <f t="shared" si="631"/>
        <v>47.976190476190474</v>
      </c>
      <c r="U1372" s="2">
        <f ca="1">VLOOKUP(E1372,金币生产率!$A$2:$B$120,2,0)</f>
        <v>3338</v>
      </c>
      <c r="V1372" s="2">
        <f t="shared" si="632"/>
        <v>143.92857142857142</v>
      </c>
      <c r="W1372" s="45">
        <f t="shared" ca="1" si="616"/>
        <v>71</v>
      </c>
      <c r="X1372" s="48">
        <f t="shared" ca="1" si="617"/>
        <v>1026</v>
      </c>
      <c r="Y1372">
        <f t="shared" si="610"/>
        <v>18</v>
      </c>
      <c r="Z1372">
        <f t="shared" ca="1" si="613"/>
        <v>29</v>
      </c>
      <c r="AA1372" t="str">
        <f t="shared" ca="1" si="633"/>
        <v>9324100.png</v>
      </c>
      <c r="AB1372">
        <f t="shared" si="634"/>
        <v>7</v>
      </c>
      <c r="AC1372">
        <f>VLOOKUP(C1372,技能辅助查询表,技能配置辅助表!$W$1,FALSE)</f>
        <v>65043888</v>
      </c>
      <c r="AD1372">
        <f t="shared" ca="1" si="614"/>
        <v>748.3655259738814</v>
      </c>
      <c r="AE1372">
        <f>VLOOKUP(C1372,技能辅助查询表,技能配置辅助表!$U$1,FALSE)</f>
        <v>4</v>
      </c>
      <c r="AF1372">
        <f t="shared" ca="1" si="635"/>
        <v>9324144</v>
      </c>
      <c r="AG1372">
        <f t="shared" ca="1" si="636"/>
        <v>70.938775510204081</v>
      </c>
      <c r="AH1372">
        <f t="shared" ca="1" si="615"/>
        <v>3488.6512265697725</v>
      </c>
      <c r="AI1372">
        <f ca="1">VLOOKUP(E1372,伤害参考系!$C$4:$E$104,3,FALSE)*$AN$12</f>
        <v>16902.905438127098</v>
      </c>
      <c r="AJ1372">
        <f>VLOOKUP(C1372,技能辅助查询表,技能配置辅助表!$L$1,FALSE)</f>
        <v>3</v>
      </c>
      <c r="AK1372">
        <f>VLOOKUP(C1372,技能辅助查询表,技能配置辅助表!$AE$1,FALSE)</f>
        <v>66000650</v>
      </c>
    </row>
    <row r="1373" spans="1:37" x14ac:dyDescent="0.15">
      <c r="A1373" s="1">
        <f t="shared" ca="1" si="618"/>
        <v>9324145</v>
      </c>
      <c r="B1373" s="1" t="str">
        <f t="shared" ca="1" si="619"/>
        <v>子弹风暴第1段</v>
      </c>
      <c r="C1373" t="s">
        <v>179</v>
      </c>
      <c r="D1373">
        <f t="shared" si="620"/>
        <v>3</v>
      </c>
      <c r="E1373" s="42">
        <f t="shared" ca="1" si="611"/>
        <v>73</v>
      </c>
      <c r="F1373" t="str">
        <f t="shared" ca="1" si="612"/>
        <v>第45级，共造成208.7%点伤害</v>
      </c>
      <c r="G1373">
        <f t="shared" ca="1" si="621"/>
        <v>1</v>
      </c>
      <c r="H1373">
        <f t="shared" si="622"/>
        <v>1</v>
      </c>
      <c r="I1373" s="44">
        <f t="shared" ca="1" si="623"/>
        <v>45</v>
      </c>
      <c r="J1373">
        <f t="shared" si="624"/>
        <v>2</v>
      </c>
      <c r="K1373" s="36">
        <f t="shared" ca="1" si="625"/>
        <v>69.56547619047619</v>
      </c>
      <c r="L1373" s="10">
        <f ca="1">AH1373*VLOOKUP(C1373,技能辅助查询表,技能配置辅助表!$T$1,FALSE)</f>
        <v>0</v>
      </c>
      <c r="M1373">
        <f t="shared" ca="1" si="609"/>
        <v>4400</v>
      </c>
      <c r="N1373" s="33">
        <f ca="1">CHOOSE(1,W1373*U1373,X1373*'[1]0、经济设定'!$C$18)</f>
        <v>268584</v>
      </c>
      <c r="O1373">
        <f t="shared" si="626"/>
        <v>4</v>
      </c>
      <c r="P1373">
        <f t="shared" si="627"/>
        <v>3</v>
      </c>
      <c r="Q1373">
        <f t="shared" si="628"/>
        <v>1</v>
      </c>
      <c r="R1373" s="2">
        <f t="shared" si="629"/>
        <v>6</v>
      </c>
      <c r="S1373" s="2">
        <f t="shared" si="630"/>
        <v>50</v>
      </c>
      <c r="T1373" s="2">
        <f t="shared" si="631"/>
        <v>47.976190476190474</v>
      </c>
      <c r="U1373" s="2">
        <f ca="1">VLOOKUP(E1373,金币生产率!$A$2:$B$120,2,0)</f>
        <v>3534</v>
      </c>
      <c r="V1373" s="2">
        <f t="shared" si="632"/>
        <v>143.92857142857142</v>
      </c>
      <c r="W1373" s="45">
        <f t="shared" ca="1" si="616"/>
        <v>76</v>
      </c>
      <c r="X1373" s="48">
        <f t="shared" ca="1" si="617"/>
        <v>1102</v>
      </c>
      <c r="Y1373">
        <f t="shared" si="610"/>
        <v>18</v>
      </c>
      <c r="Z1373">
        <f t="shared" ca="1" si="613"/>
        <v>31</v>
      </c>
      <c r="AA1373" t="str">
        <f t="shared" ca="1" si="633"/>
        <v>9324100.png</v>
      </c>
      <c r="AB1373">
        <f t="shared" si="634"/>
        <v>7</v>
      </c>
      <c r="AC1373">
        <f>VLOOKUP(C1373,技能辅助查询表,技能配置辅助表!$W$1,FALSE)</f>
        <v>65043888</v>
      </c>
      <c r="AD1373">
        <f t="shared" ca="1" si="614"/>
        <v>863.43732445084424</v>
      </c>
      <c r="AE1373">
        <f>VLOOKUP(C1373,技能辅助查询表,技能配置辅助表!$U$1,FALSE)</f>
        <v>4</v>
      </c>
      <c r="AF1373">
        <f t="shared" ca="1" si="635"/>
        <v>9324145</v>
      </c>
      <c r="AG1373">
        <f t="shared" ca="1" si="636"/>
        <v>72.448979591836732</v>
      </c>
      <c r="AH1373">
        <f t="shared" ca="1" si="615"/>
        <v>3971.7833225930094</v>
      </c>
      <c r="AI1373">
        <f ca="1">VLOOKUP(E1373,伤害参考系!$C$4:$E$104,3,FALSE)*$AN$12</f>
        <v>18368.517032608706</v>
      </c>
      <c r="AJ1373">
        <f>VLOOKUP(C1373,技能辅助查询表,技能配置辅助表!$L$1,FALSE)</f>
        <v>3</v>
      </c>
      <c r="AK1373">
        <f>VLOOKUP(C1373,技能辅助查询表,技能配置辅助表!$AE$1,FALSE)</f>
        <v>66000650</v>
      </c>
    </row>
    <row r="1374" spans="1:37" x14ac:dyDescent="0.15">
      <c r="A1374" s="1">
        <f t="shared" ca="1" si="618"/>
        <v>9324146</v>
      </c>
      <c r="B1374" s="1" t="str">
        <f t="shared" ca="1" si="619"/>
        <v>子弹风暴第1段</v>
      </c>
      <c r="C1374" t="s">
        <v>179</v>
      </c>
      <c r="D1374">
        <f t="shared" si="620"/>
        <v>3</v>
      </c>
      <c r="E1374" s="42">
        <f t="shared" ca="1" si="611"/>
        <v>74</v>
      </c>
      <c r="F1374" t="str">
        <f t="shared" ca="1" si="612"/>
        <v>第46级，共造成210.1%点伤害</v>
      </c>
      <c r="G1374">
        <f t="shared" ca="1" si="621"/>
        <v>1</v>
      </c>
      <c r="H1374">
        <f t="shared" si="622"/>
        <v>1</v>
      </c>
      <c r="I1374" s="44">
        <f t="shared" ca="1" si="623"/>
        <v>46</v>
      </c>
      <c r="J1374">
        <f t="shared" si="624"/>
        <v>2</v>
      </c>
      <c r="K1374" s="36">
        <f t="shared" ca="1" si="625"/>
        <v>70.045238095238091</v>
      </c>
      <c r="L1374" s="10">
        <f ca="1">AH1374*VLOOKUP(C1374,技能辅助查询表,技能配置辅助表!$T$1,FALSE)</f>
        <v>0</v>
      </c>
      <c r="M1374">
        <f t="shared" ca="1" si="609"/>
        <v>4320</v>
      </c>
      <c r="N1374" s="33">
        <f ca="1">CHOOSE(1,W1374*U1374,X1374*'[1]0、经济设定'!$C$18)</f>
        <v>294354</v>
      </c>
      <c r="O1374">
        <f t="shared" si="626"/>
        <v>4</v>
      </c>
      <c r="P1374">
        <f t="shared" si="627"/>
        <v>3</v>
      </c>
      <c r="Q1374">
        <f t="shared" si="628"/>
        <v>1</v>
      </c>
      <c r="R1374" s="2">
        <f t="shared" si="629"/>
        <v>6</v>
      </c>
      <c r="S1374" s="2">
        <f t="shared" si="630"/>
        <v>50</v>
      </c>
      <c r="T1374" s="2">
        <f t="shared" si="631"/>
        <v>47.976190476190474</v>
      </c>
      <c r="U1374" s="2">
        <f ca="1">VLOOKUP(E1374,金币生产率!$A$2:$B$120,2,0)</f>
        <v>3634</v>
      </c>
      <c r="V1374" s="2">
        <f t="shared" si="632"/>
        <v>143.92857142857142</v>
      </c>
      <c r="W1374" s="45">
        <f t="shared" ca="1" si="616"/>
        <v>81</v>
      </c>
      <c r="X1374" s="48">
        <f t="shared" ca="1" si="617"/>
        <v>1183</v>
      </c>
      <c r="Y1374">
        <f t="shared" si="610"/>
        <v>18</v>
      </c>
      <c r="Z1374">
        <f t="shared" ca="1" si="613"/>
        <v>33</v>
      </c>
      <c r="AA1374" t="str">
        <f t="shared" ca="1" si="633"/>
        <v>9324100.png</v>
      </c>
      <c r="AB1374">
        <f t="shared" si="634"/>
        <v>7</v>
      </c>
      <c r="AC1374">
        <f>VLOOKUP(C1374,技能辅助查询表,技能配置辅助表!$W$1,FALSE)</f>
        <v>65043888</v>
      </c>
      <c r="AD1374">
        <f t="shared" ca="1" si="614"/>
        <v>996.02837447420734</v>
      </c>
      <c r="AE1374">
        <f>VLOOKUP(C1374,技能辅助查询表,技能配置辅助表!$U$1,FALSE)</f>
        <v>4</v>
      </c>
      <c r="AF1374">
        <f t="shared" ca="1" si="635"/>
        <v>9324146</v>
      </c>
      <c r="AG1374">
        <f t="shared" ca="1" si="636"/>
        <v>73.959183673469383</v>
      </c>
      <c r="AH1374">
        <f t="shared" ca="1" si="615"/>
        <v>4521.8228298329677</v>
      </c>
      <c r="AI1374">
        <f ca="1">VLOOKUP(E1374,伤害参考系!$C$4:$E$104,3,FALSE)*$AN$12</f>
        <v>19123.189597826095</v>
      </c>
      <c r="AJ1374">
        <f>VLOOKUP(C1374,技能辅助查询表,技能配置辅助表!$L$1,FALSE)</f>
        <v>3</v>
      </c>
      <c r="AK1374">
        <f>VLOOKUP(C1374,技能辅助查询表,技能配置辅助表!$AE$1,FALSE)</f>
        <v>66000650</v>
      </c>
    </row>
    <row r="1375" spans="1:37" x14ac:dyDescent="0.15">
      <c r="A1375" s="1">
        <f t="shared" ca="1" si="618"/>
        <v>9324147</v>
      </c>
      <c r="B1375" s="1" t="str">
        <f t="shared" ca="1" si="619"/>
        <v>子弹风暴第1段</v>
      </c>
      <c r="C1375" t="s">
        <v>179</v>
      </c>
      <c r="D1375">
        <f t="shared" si="620"/>
        <v>3</v>
      </c>
      <c r="E1375" s="42">
        <f t="shared" ca="1" si="611"/>
        <v>76</v>
      </c>
      <c r="F1375" t="str">
        <f t="shared" ca="1" si="612"/>
        <v>第47级，共造成211.6%点伤害</v>
      </c>
      <c r="G1375">
        <f t="shared" ca="1" si="621"/>
        <v>1</v>
      </c>
      <c r="H1375">
        <f t="shared" si="622"/>
        <v>1</v>
      </c>
      <c r="I1375" s="44">
        <f t="shared" ca="1" si="623"/>
        <v>47</v>
      </c>
      <c r="J1375">
        <f t="shared" si="624"/>
        <v>2</v>
      </c>
      <c r="K1375" s="36">
        <f t="shared" ca="1" si="625"/>
        <v>70.524999999999991</v>
      </c>
      <c r="L1375" s="10">
        <f ca="1">AH1375*VLOOKUP(C1375,技能辅助查询表,技能配置辅助表!$T$1,FALSE)</f>
        <v>0</v>
      </c>
      <c r="M1375">
        <f t="shared" ca="1" si="609"/>
        <v>4240</v>
      </c>
      <c r="N1375" s="33">
        <f ca="1">CHOOSE(1,W1375*U1375,X1375*'[1]0、经济设定'!$C$18)</f>
        <v>333906</v>
      </c>
      <c r="O1375">
        <f t="shared" si="626"/>
        <v>4</v>
      </c>
      <c r="P1375">
        <f t="shared" si="627"/>
        <v>3</v>
      </c>
      <c r="Q1375">
        <f t="shared" si="628"/>
        <v>1</v>
      </c>
      <c r="R1375" s="2">
        <f t="shared" si="629"/>
        <v>6</v>
      </c>
      <c r="S1375" s="2">
        <f t="shared" si="630"/>
        <v>50</v>
      </c>
      <c r="T1375" s="2">
        <f t="shared" si="631"/>
        <v>47.976190476190474</v>
      </c>
      <c r="U1375" s="2">
        <f ca="1">VLOOKUP(E1375,金币生产率!$A$2:$B$120,2,0)</f>
        <v>3838</v>
      </c>
      <c r="V1375" s="2">
        <f t="shared" si="632"/>
        <v>143.92857142857142</v>
      </c>
      <c r="W1375" s="45">
        <f t="shared" ca="1" si="616"/>
        <v>87</v>
      </c>
      <c r="X1375" s="48">
        <f t="shared" ca="1" si="617"/>
        <v>1270</v>
      </c>
      <c r="Y1375">
        <f t="shared" si="610"/>
        <v>18</v>
      </c>
      <c r="Z1375">
        <f t="shared" ca="1" si="613"/>
        <v>35</v>
      </c>
      <c r="AA1375" t="str">
        <f t="shared" ca="1" si="633"/>
        <v>9324100.png</v>
      </c>
      <c r="AB1375">
        <f t="shared" si="634"/>
        <v>7</v>
      </c>
      <c r="AC1375">
        <f>VLOOKUP(C1375,技能辅助查询表,技能配置辅助表!$W$1,FALSE)</f>
        <v>65043888</v>
      </c>
      <c r="AD1375">
        <f t="shared" ca="1" si="614"/>
        <v>1148.7841308920499</v>
      </c>
      <c r="AE1375">
        <f>VLOOKUP(C1375,技能辅助查询表,技能配置辅助表!$U$1,FALSE)</f>
        <v>4</v>
      </c>
      <c r="AF1375">
        <f t="shared" ca="1" si="635"/>
        <v>9324147</v>
      </c>
      <c r="AG1375">
        <f t="shared" ca="1" si="636"/>
        <v>75.469387755102048</v>
      </c>
      <c r="AH1375">
        <f t="shared" ca="1" si="615"/>
        <v>5148.0355406320868</v>
      </c>
      <c r="AI1375">
        <f ca="1">VLOOKUP(E1375,伤害参考系!$C$4:$E$104,3,FALSE)*$AN$12</f>
        <v>20676.268264214057</v>
      </c>
      <c r="AJ1375">
        <f>VLOOKUP(C1375,技能辅助查询表,技能配置辅助表!$L$1,FALSE)</f>
        <v>3</v>
      </c>
      <c r="AK1375">
        <f>VLOOKUP(C1375,技能辅助查询表,技能配置辅助表!$AE$1,FALSE)</f>
        <v>66000650</v>
      </c>
    </row>
    <row r="1376" spans="1:37" x14ac:dyDescent="0.15">
      <c r="A1376" s="1">
        <f t="shared" ca="1" si="618"/>
        <v>9324148</v>
      </c>
      <c r="B1376" s="1" t="str">
        <f t="shared" ca="1" si="619"/>
        <v>子弹风暴第1段</v>
      </c>
      <c r="C1376" t="s">
        <v>179</v>
      </c>
      <c r="D1376">
        <f t="shared" si="620"/>
        <v>3</v>
      </c>
      <c r="E1376" s="42">
        <f t="shared" ca="1" si="611"/>
        <v>77</v>
      </c>
      <c r="F1376" t="str">
        <f t="shared" ca="1" si="612"/>
        <v>第48级，共造成213%点伤害</v>
      </c>
      <c r="G1376">
        <f t="shared" ca="1" si="621"/>
        <v>1</v>
      </c>
      <c r="H1376">
        <f t="shared" si="622"/>
        <v>1</v>
      </c>
      <c r="I1376" s="44">
        <f t="shared" ca="1" si="623"/>
        <v>48</v>
      </c>
      <c r="J1376">
        <f t="shared" si="624"/>
        <v>2</v>
      </c>
      <c r="K1376" s="36">
        <f t="shared" ca="1" si="625"/>
        <v>71.004761904761892</v>
      </c>
      <c r="L1376" s="10">
        <f ca="1">AH1376*VLOOKUP(C1376,技能辅助查询表,技能配置辅助表!$T$1,FALSE)</f>
        <v>0</v>
      </c>
      <c r="M1376">
        <f t="shared" ca="1" si="609"/>
        <v>4160</v>
      </c>
      <c r="N1376" s="33">
        <f ca="1">CHOOSE(1,W1376*U1376,X1376*'[1]0、经济设定'!$C$18)</f>
        <v>366606</v>
      </c>
      <c r="O1376">
        <f t="shared" si="626"/>
        <v>4</v>
      </c>
      <c r="P1376">
        <f t="shared" si="627"/>
        <v>3</v>
      </c>
      <c r="Q1376">
        <f t="shared" si="628"/>
        <v>1</v>
      </c>
      <c r="R1376" s="2">
        <f t="shared" si="629"/>
        <v>6</v>
      </c>
      <c r="S1376" s="2">
        <f t="shared" si="630"/>
        <v>50</v>
      </c>
      <c r="T1376" s="2">
        <f t="shared" si="631"/>
        <v>47.976190476190474</v>
      </c>
      <c r="U1376" s="2">
        <f ca="1">VLOOKUP(E1376,金币生产率!$A$2:$B$120,2,0)</f>
        <v>3942</v>
      </c>
      <c r="V1376" s="2">
        <f t="shared" si="632"/>
        <v>143.92857142857142</v>
      </c>
      <c r="W1376" s="45">
        <f t="shared" ca="1" si="616"/>
        <v>93</v>
      </c>
      <c r="X1376" s="48">
        <f t="shared" ca="1" si="617"/>
        <v>1363</v>
      </c>
      <c r="Y1376">
        <f t="shared" si="610"/>
        <v>18</v>
      </c>
      <c r="Z1376">
        <f t="shared" ca="1" si="613"/>
        <v>38</v>
      </c>
      <c r="AA1376" t="str">
        <f t="shared" ca="1" si="633"/>
        <v>9324100.png</v>
      </c>
      <c r="AB1376">
        <f t="shared" si="634"/>
        <v>7</v>
      </c>
      <c r="AC1376">
        <f>VLOOKUP(C1376,技能辅助查询表,技能配置辅助表!$W$1,FALSE)</f>
        <v>65043888</v>
      </c>
      <c r="AD1376">
        <f t="shared" ca="1" si="614"/>
        <v>1324.7467750906108</v>
      </c>
      <c r="AE1376">
        <f>VLOOKUP(C1376,技能辅助查询表,技能配置辅助表!$U$1,FALSE)</f>
        <v>4</v>
      </c>
      <c r="AF1376">
        <f t="shared" ca="1" si="635"/>
        <v>9324148</v>
      </c>
      <c r="AG1376">
        <f t="shared" ca="1" si="636"/>
        <v>76.979591836734699</v>
      </c>
      <c r="AH1376">
        <f t="shared" ca="1" si="615"/>
        <v>5860.970437134547</v>
      </c>
      <c r="AI1376">
        <f ca="1">VLOOKUP(E1376,伤害参考系!$C$4:$E$104,3,FALSE)*$AN$12</f>
        <v>21474.674365384624</v>
      </c>
      <c r="AJ1376">
        <f>VLOOKUP(C1376,技能辅助查询表,技能配置辅助表!$L$1,FALSE)</f>
        <v>3</v>
      </c>
      <c r="AK1376">
        <f>VLOOKUP(C1376,技能辅助查询表,技能配置辅助表!$AE$1,FALSE)</f>
        <v>66000650</v>
      </c>
    </row>
    <row r="1377" spans="1:37" x14ac:dyDescent="0.15">
      <c r="A1377" s="1">
        <f t="shared" ca="1" si="618"/>
        <v>9324149</v>
      </c>
      <c r="B1377" s="1" t="str">
        <f t="shared" ca="1" si="619"/>
        <v>子弹风暴第1段</v>
      </c>
      <c r="C1377" t="s">
        <v>179</v>
      </c>
      <c r="D1377">
        <f t="shared" si="620"/>
        <v>3</v>
      </c>
      <c r="E1377" s="42">
        <f t="shared" ca="1" si="611"/>
        <v>79</v>
      </c>
      <c r="F1377" t="str">
        <f t="shared" ca="1" si="612"/>
        <v>第49级，共造成214.5%点伤害</v>
      </c>
      <c r="G1377">
        <f t="shared" ca="1" si="621"/>
        <v>1</v>
      </c>
      <c r="H1377">
        <f t="shared" si="622"/>
        <v>1</v>
      </c>
      <c r="I1377" s="44">
        <f t="shared" ca="1" si="623"/>
        <v>49</v>
      </c>
      <c r="J1377">
        <f t="shared" si="624"/>
        <v>2</v>
      </c>
      <c r="K1377" s="36">
        <f t="shared" ca="1" si="625"/>
        <v>71.484523809523807</v>
      </c>
      <c r="L1377" s="10">
        <f ca="1">AH1377*VLOOKUP(C1377,技能辅助查询表,技能配置辅助表!$T$1,FALSE)</f>
        <v>0</v>
      </c>
      <c r="M1377">
        <f t="shared" ca="1" si="609"/>
        <v>4080</v>
      </c>
      <c r="N1377" s="33">
        <f ca="1">CHOOSE(1,W1377*U1377,X1377*'[1]0、经济设定'!$C$18)</f>
        <v>411246</v>
      </c>
      <c r="O1377">
        <f t="shared" si="626"/>
        <v>4</v>
      </c>
      <c r="P1377">
        <f t="shared" si="627"/>
        <v>3</v>
      </c>
      <c r="Q1377">
        <f t="shared" si="628"/>
        <v>1</v>
      </c>
      <c r="R1377" s="2">
        <f t="shared" si="629"/>
        <v>6</v>
      </c>
      <c r="S1377" s="2">
        <f t="shared" si="630"/>
        <v>50</v>
      </c>
      <c r="T1377" s="2">
        <f t="shared" si="631"/>
        <v>47.976190476190474</v>
      </c>
      <c r="U1377" s="2">
        <f ca="1">VLOOKUP(E1377,金币生产率!$A$2:$B$120,2,0)</f>
        <v>4154</v>
      </c>
      <c r="V1377" s="2">
        <f t="shared" si="632"/>
        <v>143.92857142857142</v>
      </c>
      <c r="W1377" s="45">
        <f t="shared" ca="1" si="616"/>
        <v>99</v>
      </c>
      <c r="X1377" s="48">
        <f t="shared" ca="1" si="617"/>
        <v>1462</v>
      </c>
      <c r="Y1377">
        <f t="shared" si="610"/>
        <v>18</v>
      </c>
      <c r="Z1377">
        <f t="shared" ca="1" si="613"/>
        <v>40</v>
      </c>
      <c r="AA1377" t="str">
        <f t="shared" ca="1" si="633"/>
        <v>9324100.png</v>
      </c>
      <c r="AB1377">
        <f t="shared" si="634"/>
        <v>7</v>
      </c>
      <c r="AC1377">
        <f>VLOOKUP(C1377,技能辅助查询表,技能配置辅助表!$W$1,FALSE)</f>
        <v>65043888</v>
      </c>
      <c r="AD1377">
        <f t="shared" ca="1" si="614"/>
        <v>1527.4143616670497</v>
      </c>
      <c r="AE1377">
        <f>VLOOKUP(C1377,技能辅助查询表,技能配置辅助表!$U$1,FALSE)</f>
        <v>4</v>
      </c>
      <c r="AF1377">
        <f t="shared" ca="1" si="635"/>
        <v>9324149</v>
      </c>
      <c r="AG1377">
        <f t="shared" ca="1" si="636"/>
        <v>78.489795918367349</v>
      </c>
      <c r="AH1377">
        <f t="shared" ca="1" si="615"/>
        <v>6672.6373961177951</v>
      </c>
      <c r="AI1377">
        <f ca="1">VLOOKUP(E1377,伤害参考系!$C$4:$E$104,3,FALSE)*$AN$12</f>
        <v>23115.220103678937</v>
      </c>
      <c r="AJ1377">
        <f>VLOOKUP(C1377,技能辅助查询表,技能配置辅助表!$L$1,FALSE)</f>
        <v>3</v>
      </c>
      <c r="AK1377">
        <f>VLOOKUP(C1377,技能辅助查询表,技能配置辅助表!$AE$1,FALSE)</f>
        <v>66000650</v>
      </c>
    </row>
    <row r="1378" spans="1:37" x14ac:dyDescent="0.15">
      <c r="A1378" s="1">
        <f t="shared" ca="1" si="618"/>
        <v>9324150</v>
      </c>
      <c r="B1378" s="1" t="str">
        <f t="shared" ca="1" si="619"/>
        <v>子弹风暴第1段</v>
      </c>
      <c r="C1378" t="s">
        <v>179</v>
      </c>
      <c r="D1378">
        <f t="shared" si="620"/>
        <v>3</v>
      </c>
      <c r="E1378" s="42">
        <f t="shared" ca="1" si="611"/>
        <v>80</v>
      </c>
      <c r="F1378" t="str">
        <f t="shared" ca="1" si="612"/>
        <v>第50级，共造成215.9%点伤害</v>
      </c>
      <c r="G1378">
        <f t="shared" ca="1" si="621"/>
        <v>1</v>
      </c>
      <c r="H1378">
        <f t="shared" si="622"/>
        <v>1</v>
      </c>
      <c r="I1378" s="44">
        <f t="shared" ca="1" si="623"/>
        <v>50</v>
      </c>
      <c r="J1378">
        <f t="shared" si="624"/>
        <v>2</v>
      </c>
      <c r="K1378" s="36">
        <f t="shared" ca="1" si="625"/>
        <v>71.964285714285708</v>
      </c>
      <c r="L1378" s="10">
        <f ca="1">AH1378*VLOOKUP(C1378,技能辅助查询表,技能配置辅助表!$T$1,FALSE)</f>
        <v>0</v>
      </c>
      <c r="M1378">
        <f t="shared" ca="1" si="609"/>
        <v>4000</v>
      </c>
      <c r="N1378" s="33">
        <f ca="1">CHOOSE(1,W1378*U1378,X1378*'[1]0、经济设定'!$C$18)</f>
        <v>451772</v>
      </c>
      <c r="O1378">
        <f t="shared" si="626"/>
        <v>4</v>
      </c>
      <c r="P1378">
        <f t="shared" si="627"/>
        <v>3</v>
      </c>
      <c r="Q1378">
        <f t="shared" si="628"/>
        <v>1</v>
      </c>
      <c r="R1378" s="2">
        <f t="shared" si="629"/>
        <v>6</v>
      </c>
      <c r="S1378" s="2">
        <f t="shared" si="630"/>
        <v>50</v>
      </c>
      <c r="T1378" s="2">
        <f t="shared" si="631"/>
        <v>47.976190476190474</v>
      </c>
      <c r="U1378" s="2">
        <f ca="1">VLOOKUP(E1378,金币生产率!$A$2:$B$120,2,0)</f>
        <v>4262</v>
      </c>
      <c r="V1378" s="2">
        <f t="shared" si="632"/>
        <v>143.92857142857142</v>
      </c>
      <c r="W1378" s="45">
        <f t="shared" ca="1" si="616"/>
        <v>106</v>
      </c>
      <c r="X1378" s="48">
        <f t="shared" ca="1" si="617"/>
        <v>1568</v>
      </c>
      <c r="Y1378">
        <f t="shared" si="610"/>
        <v>18</v>
      </c>
      <c r="Z1378">
        <f t="shared" ca="1" si="613"/>
        <v>43</v>
      </c>
      <c r="AA1378" t="str">
        <f t="shared" ca="1" si="633"/>
        <v>9324100.png</v>
      </c>
      <c r="AB1378">
        <f t="shared" si="634"/>
        <v>7</v>
      </c>
      <c r="AC1378">
        <f>VLOOKUP(C1378,技能辅助查询表,技能配置辅助表!$W$1,FALSE)</f>
        <v>65043888</v>
      </c>
      <c r="AD1378">
        <f t="shared" ca="1" si="614"/>
        <v>1760.8087385118511</v>
      </c>
      <c r="AE1378">
        <f>VLOOKUP(C1378,技能辅助查询表,技能配置辅助表!$U$1,FALSE)</f>
        <v>4</v>
      </c>
      <c r="AF1378">
        <f t="shared" ca="1" si="635"/>
        <v>9324150</v>
      </c>
      <c r="AG1378">
        <f t="shared" ca="1" si="636"/>
        <v>80</v>
      </c>
      <c r="AH1378">
        <f t="shared" ca="1" si="615"/>
        <v>7596.7095035950451</v>
      </c>
      <c r="AI1378">
        <f ca="1">VLOOKUP(E1378,伤害参考系!$C$4:$E$104,3,FALSE)*$AN$12</f>
        <v>24028.87424749164</v>
      </c>
      <c r="AJ1378">
        <f>VLOOKUP(C1378,技能辅助查询表,技能配置辅助表!$L$1,FALSE)</f>
        <v>3</v>
      </c>
      <c r="AK1378">
        <f>VLOOKUP(C1378,技能辅助查询表,技能配置辅助表!$AE$1,FALSE)</f>
        <v>66000650</v>
      </c>
    </row>
    <row r="1379" spans="1:37" x14ac:dyDescent="0.15">
      <c r="A1379" s="1">
        <f t="shared" ca="1" si="618"/>
        <v>1</v>
      </c>
      <c r="B1379" s="1" t="str">
        <f t="shared" ca="1" si="619"/>
        <v>子弹风暴</v>
      </c>
      <c r="C1379" t="s">
        <v>180</v>
      </c>
      <c r="D1379">
        <f t="shared" ref="D1379:D1442" si="637">VLOOKUP(C1379,技能辅助查询表,3,FALSE)</f>
        <v>3</v>
      </c>
      <c r="E1379" s="42">
        <f t="shared" ca="1" si="611"/>
        <v>6</v>
      </c>
      <c r="F1379" t="str">
        <f t="shared" ca="1" si="612"/>
        <v>第0级，共造成121.8%点伤害</v>
      </c>
      <c r="G1379">
        <f t="shared" ref="G1379:G1442" ca="1" si="638">IF(I1379=0,0,H1379)</f>
        <v>0</v>
      </c>
      <c r="H1379">
        <f t="shared" ref="H1379:H1442" si="639">VLOOKUP(C1379,技能辅助查询表,2,FALSE)</f>
        <v>2</v>
      </c>
      <c r="I1379" s="44">
        <f t="shared" ref="I1379:I1442" ca="1" si="640">IF(OFFSET(C1379,-1,0)=C1379,I1378+1,0)</f>
        <v>0</v>
      </c>
      <c r="J1379">
        <f t="shared" ref="J1379:J1442" si="641">VLOOKUP(C1379,技能辅助查询表,4,FALSE)</f>
        <v>2</v>
      </c>
      <c r="K1379" s="36">
        <f t="shared" ref="K1379:K1442" ca="1" si="642">IF(OR(I1379=0,I1379=1),T1379,T1379+T1379*($AN$6-1)/S1379*I1379)</f>
        <v>121.78571428571431</v>
      </c>
      <c r="L1379" s="10">
        <f ca="1">AH1379*VLOOKUP(C1379,技能辅助查询表,技能配置辅助表!$T$1,FALSE)</f>
        <v>0</v>
      </c>
      <c r="M1379">
        <f t="shared" ca="1" si="609"/>
        <v>8000</v>
      </c>
      <c r="N1379" s="33">
        <f ca="1">CHOOSE(1,W1379*U1379,X1379*'[1]0、经济设定'!$C$18)</f>
        <v>0</v>
      </c>
      <c r="O1379">
        <f t="shared" ref="O1379:O1442" si="643">VLOOKUP(C1379,技能辅助查询表,5,FALSE)</f>
        <v>4</v>
      </c>
      <c r="P1379">
        <f t="shared" ref="P1379:P1442" si="644">VLOOKUP(C1379,技能辅助查询表,6,FALSE)</f>
        <v>1</v>
      </c>
      <c r="Q1379">
        <f t="shared" ref="Q1379:Q1442" si="645">VLOOKUP(C1379,技能辅助查询表,7,FALSE)</f>
        <v>1</v>
      </c>
      <c r="R1379" s="2">
        <f t="shared" ref="R1379:R1442" si="646">VLOOKUP(C1379,技能辅助查询表,9,FALSE)</f>
        <v>8</v>
      </c>
      <c r="S1379" s="2">
        <f t="shared" ref="S1379:S1442" si="647">VLOOKUP(C1379,技能辅助查询表,8,FALSE)</f>
        <v>50</v>
      </c>
      <c r="T1379" s="2">
        <f t="shared" ref="T1379:T1442" si="648">VLOOKUP(C1379,技能辅助查询表,11,FALSE)</f>
        <v>121.78571428571431</v>
      </c>
      <c r="U1379" s="2">
        <f ca="1">VLOOKUP(E1379,金币生产率!$A$2:$B$120,2,0)</f>
        <v>80</v>
      </c>
      <c r="V1379" s="2">
        <f t="shared" ref="V1379:V1442" si="649">VLOOKUP(C1379,技能辅助查询表,12,FALSE)</f>
        <v>121.78571428571431</v>
      </c>
      <c r="W1379" s="45">
        <f t="shared" ca="1" si="616"/>
        <v>0</v>
      </c>
      <c r="X1379" s="48">
        <f t="shared" ca="1" si="617"/>
        <v>0</v>
      </c>
      <c r="Y1379">
        <f t="shared" ref="Y1379:Y1442" si="650">VLOOKUP(C1379,技能辅助查询表,15,FALSE)</f>
        <v>18</v>
      </c>
      <c r="Z1379">
        <f t="shared" ca="1" si="613"/>
        <v>0</v>
      </c>
      <c r="AA1379" t="str">
        <f t="shared" ref="AA1379:AA1442" ca="1" si="651">AF1379-MOD(AF1379,100)&amp;".png"</f>
        <v>9324200.png</v>
      </c>
      <c r="AB1379">
        <f t="shared" ref="AB1379:AB1442" si="652">VLOOKUP(C1379,技能辅助查询表,17,FALSE)</f>
        <v>20</v>
      </c>
      <c r="AC1379">
        <f>VLOOKUP(C1379,技能辅助查询表,技能配置辅助表!$W$1,FALSE)</f>
        <v>65043890</v>
      </c>
      <c r="AD1379">
        <f t="shared" ca="1" si="614"/>
        <v>0.50515842857142912</v>
      </c>
      <c r="AE1379">
        <f>VLOOKUP(C1379,技能辅助查询表,技能配置辅助表!$U$1,FALSE)</f>
        <v>4</v>
      </c>
      <c r="AF1379">
        <f t="shared" ref="AF1379:AF1442" ca="1" si="653">VALUE("9"&amp;D1379&amp;J1379&amp;O1379&amp;H1379&amp;IF(I1379&gt;9,I1379,"0"&amp;I1379))</f>
        <v>9324200</v>
      </c>
      <c r="AG1379">
        <f t="shared" ref="AG1379:AG1442" ca="1" si="654">IF(I1379=1,R1379,IF(I1379=0,0,(I1379-1)*(80-R1379)/(S1379-1)+R1379))</f>
        <v>0</v>
      </c>
      <c r="AH1379">
        <f t="shared" ref="AH1379:AH1442" ca="1" si="655">(19.323*EXP(I1379*0.1297))*$AN$12</f>
        <v>11.5938</v>
      </c>
      <c r="AI1379">
        <f ca="1">VLOOKUP(E1379,伤害参考系!$C$4:$E$104,3,FALSE)*$AN$12</f>
        <v>88.919999999999987</v>
      </c>
      <c r="AJ1379">
        <f>VLOOKUP(C1379,技能辅助查询表,技能配置辅助表!$L$1,FALSE)</f>
        <v>1</v>
      </c>
      <c r="AK1379">
        <f>VLOOKUP(C1379,技能辅助查询表,技能配置辅助表!$AE$1,FALSE)</f>
        <v>66000650</v>
      </c>
    </row>
    <row r="1380" spans="1:37" x14ac:dyDescent="0.15">
      <c r="A1380" s="1">
        <f t="shared" ca="1" si="618"/>
        <v>9324201</v>
      </c>
      <c r="B1380" s="1" t="str">
        <f t="shared" ca="1" si="619"/>
        <v>子弹风暴第2段</v>
      </c>
      <c r="C1380" t="s">
        <v>181</v>
      </c>
      <c r="D1380">
        <f t="shared" si="637"/>
        <v>3</v>
      </c>
      <c r="E1380" s="42">
        <f t="shared" ca="1" si="611"/>
        <v>6</v>
      </c>
      <c r="F1380" t="str">
        <f t="shared" ca="1" si="612"/>
        <v>第1级，共造成121.8%点伤害</v>
      </c>
      <c r="G1380">
        <f t="shared" ca="1" si="638"/>
        <v>2</v>
      </c>
      <c r="H1380">
        <f t="shared" si="639"/>
        <v>2</v>
      </c>
      <c r="I1380" s="44">
        <f t="shared" ca="1" si="640"/>
        <v>1</v>
      </c>
      <c r="J1380">
        <f t="shared" si="641"/>
        <v>2</v>
      </c>
      <c r="K1380" s="36">
        <f t="shared" ca="1" si="642"/>
        <v>121.78571428571431</v>
      </c>
      <c r="L1380" s="10">
        <f ca="1">AH1380*VLOOKUP(C1380,技能辅助查询表,技能配置辅助表!$T$1,FALSE)</f>
        <v>0</v>
      </c>
      <c r="M1380">
        <f t="shared" ca="1" si="609"/>
        <v>8000</v>
      </c>
      <c r="N1380" s="33">
        <f ca="1">CHOOSE(1,W1380*U1380,X1380*'[1]0、经济设定'!$C$18)</f>
        <v>240</v>
      </c>
      <c r="O1380">
        <f t="shared" si="643"/>
        <v>4</v>
      </c>
      <c r="P1380">
        <f t="shared" si="644"/>
        <v>1</v>
      </c>
      <c r="Q1380">
        <f t="shared" si="645"/>
        <v>1</v>
      </c>
      <c r="R1380" s="2">
        <f t="shared" si="646"/>
        <v>8</v>
      </c>
      <c r="S1380" s="2">
        <f t="shared" si="647"/>
        <v>50</v>
      </c>
      <c r="T1380" s="2">
        <f t="shared" si="648"/>
        <v>121.78571428571431</v>
      </c>
      <c r="U1380" s="2">
        <f ca="1">VLOOKUP(E1380,金币生产率!$A$2:$B$120,2,0)</f>
        <v>80</v>
      </c>
      <c r="V1380" s="2">
        <f t="shared" si="649"/>
        <v>121.78571428571431</v>
      </c>
      <c r="W1380" s="45">
        <f t="shared" ca="1" si="616"/>
        <v>3</v>
      </c>
      <c r="X1380" s="48">
        <f t="shared" ca="1" si="617"/>
        <v>3</v>
      </c>
      <c r="Y1380">
        <f t="shared" si="650"/>
        <v>18</v>
      </c>
      <c r="Z1380">
        <f t="shared" ca="1" si="613"/>
        <v>0</v>
      </c>
      <c r="AA1380" t="str">
        <f t="shared" ca="1" si="651"/>
        <v>9324200.png</v>
      </c>
      <c r="AB1380">
        <f t="shared" si="652"/>
        <v>20</v>
      </c>
      <c r="AC1380">
        <f>VLOOKUP(C1380,技能辅助查询表,技能配置辅助表!$W$1,FALSE)</f>
        <v>65043890</v>
      </c>
      <c r="AD1380">
        <f t="shared" ca="1" si="614"/>
        <v>0.57511619579125228</v>
      </c>
      <c r="AE1380">
        <f>VLOOKUP(C1380,技能辅助查询表,技能配置辅助表!$U$1,FALSE)</f>
        <v>4</v>
      </c>
      <c r="AF1380">
        <f t="shared" ca="1" si="653"/>
        <v>9324201</v>
      </c>
      <c r="AG1380">
        <f t="shared" ca="1" si="654"/>
        <v>8</v>
      </c>
      <c r="AH1380">
        <f t="shared" ca="1" si="655"/>
        <v>13.199388100127095</v>
      </c>
      <c r="AI1380">
        <f ca="1">VLOOKUP(E1380,伤害参考系!$C$4:$E$104,3,FALSE)*$AN$12</f>
        <v>88.919999999999987</v>
      </c>
      <c r="AJ1380">
        <f>VLOOKUP(C1380,技能辅助查询表,技能配置辅助表!$L$1,FALSE)</f>
        <v>1</v>
      </c>
      <c r="AK1380">
        <f>VLOOKUP(C1380,技能辅助查询表,技能配置辅助表!$AE$1,FALSE)</f>
        <v>66000650</v>
      </c>
    </row>
    <row r="1381" spans="1:37" x14ac:dyDescent="0.15">
      <c r="A1381" s="1">
        <f t="shared" ca="1" si="618"/>
        <v>9324202</v>
      </c>
      <c r="B1381" s="1" t="str">
        <f t="shared" ca="1" si="619"/>
        <v>子弹风暴第2段</v>
      </c>
      <c r="C1381" t="s">
        <v>181</v>
      </c>
      <c r="D1381">
        <f t="shared" si="637"/>
        <v>3</v>
      </c>
      <c r="E1381" s="42">
        <f t="shared" ca="1" si="611"/>
        <v>11</v>
      </c>
      <c r="F1381" t="str">
        <f t="shared" ca="1" si="612"/>
        <v>第2级，共造成124.2%点伤害</v>
      </c>
      <c r="G1381">
        <f t="shared" ca="1" si="638"/>
        <v>2</v>
      </c>
      <c r="H1381">
        <f t="shared" si="639"/>
        <v>2</v>
      </c>
      <c r="I1381" s="44">
        <f t="shared" ca="1" si="640"/>
        <v>2</v>
      </c>
      <c r="J1381">
        <f t="shared" si="641"/>
        <v>2</v>
      </c>
      <c r="K1381" s="36">
        <f t="shared" ca="1" si="642"/>
        <v>124.22142857142859</v>
      </c>
      <c r="L1381" s="10">
        <f ca="1">AH1381*VLOOKUP(C1381,技能辅助查询表,技能配置辅助表!$T$1,FALSE)</f>
        <v>0</v>
      </c>
      <c r="M1381">
        <f t="shared" ca="1" si="609"/>
        <v>7840</v>
      </c>
      <c r="N1381" s="33">
        <f ca="1">CHOOSE(1,W1381*U1381,X1381*'[1]0、经济设定'!$C$18)</f>
        <v>440</v>
      </c>
      <c r="O1381">
        <f t="shared" si="643"/>
        <v>4</v>
      </c>
      <c r="P1381">
        <f t="shared" si="644"/>
        <v>1</v>
      </c>
      <c r="Q1381">
        <f t="shared" si="645"/>
        <v>1</v>
      </c>
      <c r="R1381" s="2">
        <f t="shared" si="646"/>
        <v>8</v>
      </c>
      <c r="S1381" s="2">
        <f t="shared" si="647"/>
        <v>50</v>
      </c>
      <c r="T1381" s="2">
        <f t="shared" si="648"/>
        <v>121.78571428571431</v>
      </c>
      <c r="U1381" s="2">
        <f ca="1">VLOOKUP(E1381,金币生产率!$A$2:$B$120,2,0)</f>
        <v>110</v>
      </c>
      <c r="V1381" s="2">
        <f t="shared" si="649"/>
        <v>121.78571428571431</v>
      </c>
      <c r="W1381" s="45">
        <f t="shared" ca="1" si="616"/>
        <v>4</v>
      </c>
      <c r="X1381" s="48">
        <f t="shared" ca="1" si="617"/>
        <v>7</v>
      </c>
      <c r="Y1381">
        <f t="shared" si="650"/>
        <v>18</v>
      </c>
      <c r="Z1381">
        <f t="shared" ca="1" si="613"/>
        <v>0</v>
      </c>
      <c r="AA1381" t="str">
        <f t="shared" ca="1" si="651"/>
        <v>9324200.png</v>
      </c>
      <c r="AB1381">
        <f t="shared" si="652"/>
        <v>20</v>
      </c>
      <c r="AC1381">
        <f>VLOOKUP(C1381,技能辅助查询表,技能配置辅助表!$W$1,FALSE)</f>
        <v>65043890</v>
      </c>
      <c r="AD1381">
        <f t="shared" ca="1" si="614"/>
        <v>0.72796674888361712</v>
      </c>
      <c r="AE1381">
        <f>VLOOKUP(C1381,技能辅助查询表,技能配置辅助表!$U$1,FALSE)</f>
        <v>4</v>
      </c>
      <c r="AF1381">
        <f t="shared" ca="1" si="653"/>
        <v>9324202</v>
      </c>
      <c r="AG1381">
        <f t="shared" ca="1" si="654"/>
        <v>9.4693877551020407</v>
      </c>
      <c r="AH1381">
        <f t="shared" ca="1" si="655"/>
        <v>15.027328935963775</v>
      </c>
      <c r="AI1381">
        <f ca="1">VLOOKUP(E1381,伤害参考系!$C$4:$E$104,3,FALSE)*$AN$12</f>
        <v>212.08059782608694</v>
      </c>
      <c r="AJ1381">
        <f>VLOOKUP(C1381,技能辅助查询表,技能配置辅助表!$L$1,FALSE)</f>
        <v>1</v>
      </c>
      <c r="AK1381">
        <f>VLOOKUP(C1381,技能辅助查询表,技能配置辅助表!$AE$1,FALSE)</f>
        <v>66000650</v>
      </c>
    </row>
    <row r="1382" spans="1:37" x14ac:dyDescent="0.15">
      <c r="A1382" s="1">
        <f t="shared" ca="1" si="618"/>
        <v>9324203</v>
      </c>
      <c r="B1382" s="1" t="str">
        <f t="shared" ca="1" si="619"/>
        <v>子弹风暴第2段</v>
      </c>
      <c r="C1382" t="s">
        <v>181</v>
      </c>
      <c r="D1382">
        <f t="shared" si="637"/>
        <v>3</v>
      </c>
      <c r="E1382" s="42">
        <f t="shared" ca="1" si="611"/>
        <v>12</v>
      </c>
      <c r="F1382" t="str">
        <f t="shared" ca="1" si="612"/>
        <v>第3级，共造成125.4%点伤害</v>
      </c>
      <c r="G1382">
        <f t="shared" ca="1" si="638"/>
        <v>2</v>
      </c>
      <c r="H1382">
        <f t="shared" si="639"/>
        <v>2</v>
      </c>
      <c r="I1382" s="44">
        <f t="shared" ca="1" si="640"/>
        <v>3</v>
      </c>
      <c r="J1382">
        <f t="shared" si="641"/>
        <v>2</v>
      </c>
      <c r="K1382" s="36">
        <f t="shared" ca="1" si="642"/>
        <v>125.43928571428573</v>
      </c>
      <c r="L1382" s="10">
        <f ca="1">AH1382*VLOOKUP(C1382,技能辅助查询表,技能配置辅助表!$T$1,FALSE)</f>
        <v>0</v>
      </c>
      <c r="M1382">
        <f t="shared" ca="1" si="609"/>
        <v>7760</v>
      </c>
      <c r="N1382" s="33">
        <f ca="1">CHOOSE(1,W1382*U1382,X1382*'[1]0、经济设定'!$C$18)</f>
        <v>464</v>
      </c>
      <c r="O1382">
        <f t="shared" si="643"/>
        <v>4</v>
      </c>
      <c r="P1382">
        <f t="shared" si="644"/>
        <v>1</v>
      </c>
      <c r="Q1382">
        <f t="shared" si="645"/>
        <v>1</v>
      </c>
      <c r="R1382" s="2">
        <f t="shared" si="646"/>
        <v>8</v>
      </c>
      <c r="S1382" s="2">
        <f t="shared" si="647"/>
        <v>50</v>
      </c>
      <c r="T1382" s="2">
        <f t="shared" si="648"/>
        <v>121.78571428571431</v>
      </c>
      <c r="U1382" s="2">
        <f ca="1">VLOOKUP(E1382,金币生产率!$A$2:$B$120,2,0)</f>
        <v>116</v>
      </c>
      <c r="V1382" s="2">
        <f t="shared" si="649"/>
        <v>121.78571428571431</v>
      </c>
      <c r="W1382" s="45">
        <f t="shared" ca="1" si="616"/>
        <v>4</v>
      </c>
      <c r="X1382" s="48">
        <f t="shared" ca="1" si="617"/>
        <v>11</v>
      </c>
      <c r="Y1382">
        <f t="shared" si="650"/>
        <v>18</v>
      </c>
      <c r="Z1382">
        <f t="shared" ca="1" si="613"/>
        <v>0</v>
      </c>
      <c r="AA1382" t="str">
        <f t="shared" ca="1" si="651"/>
        <v>9324200.png</v>
      </c>
      <c r="AB1382">
        <f t="shared" si="652"/>
        <v>20</v>
      </c>
      <c r="AC1382">
        <f>VLOOKUP(C1382,技能辅助查询表,技能配置辅助表!$W$1,FALSE)</f>
        <v>65043890</v>
      </c>
      <c r="AD1382">
        <f t="shared" ca="1" si="614"/>
        <v>0.87045173614141125</v>
      </c>
      <c r="AE1382">
        <f>VLOOKUP(C1382,技能辅助查询表,技能配置辅助表!$U$1,FALSE)</f>
        <v>4</v>
      </c>
      <c r="AF1382">
        <f t="shared" ca="1" si="653"/>
        <v>9324203</v>
      </c>
      <c r="AG1382">
        <f t="shared" ca="1" si="654"/>
        <v>10.938775510204081</v>
      </c>
      <c r="AH1382">
        <f t="shared" ca="1" si="655"/>
        <v>17.108415423248271</v>
      </c>
      <c r="AI1382">
        <f ca="1">VLOOKUP(E1382,伤害参考系!$C$4:$E$104,3,FALSE)*$AN$12</f>
        <v>249.04956521739126</v>
      </c>
      <c r="AJ1382">
        <f>VLOOKUP(C1382,技能辅助查询表,技能配置辅助表!$L$1,FALSE)</f>
        <v>1</v>
      </c>
      <c r="AK1382">
        <f>VLOOKUP(C1382,技能辅助查询表,技能配置辅助表!$AE$1,FALSE)</f>
        <v>66000650</v>
      </c>
    </row>
    <row r="1383" spans="1:37" x14ac:dyDescent="0.15">
      <c r="A1383" s="1">
        <f t="shared" ca="1" si="618"/>
        <v>9324204</v>
      </c>
      <c r="B1383" s="1" t="str">
        <f t="shared" ca="1" si="619"/>
        <v>子弹风暴第2段</v>
      </c>
      <c r="C1383" t="s">
        <v>181</v>
      </c>
      <c r="D1383">
        <f t="shared" si="637"/>
        <v>3</v>
      </c>
      <c r="E1383" s="42">
        <f t="shared" ca="1" si="611"/>
        <v>14</v>
      </c>
      <c r="F1383" t="str">
        <f t="shared" ca="1" si="612"/>
        <v>第4级，共造成126.7%点伤害</v>
      </c>
      <c r="G1383">
        <f t="shared" ca="1" si="638"/>
        <v>2</v>
      </c>
      <c r="H1383">
        <f t="shared" si="639"/>
        <v>2</v>
      </c>
      <c r="I1383" s="44">
        <f t="shared" ca="1" si="640"/>
        <v>4</v>
      </c>
      <c r="J1383">
        <f t="shared" si="641"/>
        <v>2</v>
      </c>
      <c r="K1383" s="36">
        <f t="shared" ca="1" si="642"/>
        <v>126.65714285714287</v>
      </c>
      <c r="L1383" s="10">
        <f ca="1">AH1383*VLOOKUP(C1383,技能辅助查询表,技能配置辅助表!$T$1,FALSE)</f>
        <v>0</v>
      </c>
      <c r="M1383">
        <f t="shared" ca="1" si="609"/>
        <v>7680</v>
      </c>
      <c r="N1383" s="33">
        <f ca="1">CHOOSE(1,W1383*U1383,X1383*'[1]0、经济设定'!$C$18)</f>
        <v>512</v>
      </c>
      <c r="O1383">
        <f t="shared" si="643"/>
        <v>4</v>
      </c>
      <c r="P1383">
        <f t="shared" si="644"/>
        <v>1</v>
      </c>
      <c r="Q1383">
        <f t="shared" si="645"/>
        <v>1</v>
      </c>
      <c r="R1383" s="2">
        <f t="shared" si="646"/>
        <v>8</v>
      </c>
      <c r="S1383" s="2">
        <f t="shared" si="647"/>
        <v>50</v>
      </c>
      <c r="T1383" s="2">
        <f t="shared" si="648"/>
        <v>121.78571428571431</v>
      </c>
      <c r="U1383" s="2">
        <f ca="1">VLOOKUP(E1383,金币生产率!$A$2:$B$120,2,0)</f>
        <v>128</v>
      </c>
      <c r="V1383" s="2">
        <f t="shared" si="649"/>
        <v>121.78571428571431</v>
      </c>
      <c r="W1383" s="45">
        <f t="shared" ca="1" si="616"/>
        <v>4</v>
      </c>
      <c r="X1383" s="48">
        <f t="shared" ca="1" si="617"/>
        <v>15</v>
      </c>
      <c r="Y1383">
        <f t="shared" si="650"/>
        <v>18</v>
      </c>
      <c r="Z1383">
        <f t="shared" ca="1" si="613"/>
        <v>0</v>
      </c>
      <c r="AA1383" t="str">
        <f t="shared" ca="1" si="651"/>
        <v>9324200.png</v>
      </c>
      <c r="AB1383">
        <f t="shared" si="652"/>
        <v>20</v>
      </c>
      <c r="AC1383">
        <f>VLOOKUP(C1383,技能辅助查询表,技能配置辅助表!$W$1,FALSE)</f>
        <v>65043890</v>
      </c>
      <c r="AD1383">
        <f t="shared" ca="1" si="614"/>
        <v>1.0384399235454786</v>
      </c>
      <c r="AE1383">
        <f>VLOOKUP(C1383,技能辅助查询表,技能配置辅助表!$U$1,FALSE)</f>
        <v>4</v>
      </c>
      <c r="AF1383">
        <f t="shared" ca="1" si="653"/>
        <v>9324204</v>
      </c>
      <c r="AG1383">
        <f t="shared" ca="1" si="654"/>
        <v>12.408163265306122</v>
      </c>
      <c r="AH1383">
        <f t="shared" ca="1" si="655"/>
        <v>19.477704889652582</v>
      </c>
      <c r="AI1383">
        <f ca="1">VLOOKUP(E1383,伤害参考系!$C$4:$E$104,3,FALSE)*$AN$12</f>
        <v>330.31565217391307</v>
      </c>
      <c r="AJ1383">
        <f>VLOOKUP(C1383,技能辅助查询表,技能配置辅助表!$L$1,FALSE)</f>
        <v>1</v>
      </c>
      <c r="AK1383">
        <f>VLOOKUP(C1383,技能辅助查询表,技能配置辅助表!$AE$1,FALSE)</f>
        <v>66000650</v>
      </c>
    </row>
    <row r="1384" spans="1:37" x14ac:dyDescent="0.15">
      <c r="A1384" s="1">
        <f t="shared" ca="1" si="618"/>
        <v>9324205</v>
      </c>
      <c r="B1384" s="1" t="str">
        <f t="shared" ca="1" si="619"/>
        <v>子弹风暴第2段</v>
      </c>
      <c r="C1384" t="s">
        <v>181</v>
      </c>
      <c r="D1384">
        <f t="shared" si="637"/>
        <v>3</v>
      </c>
      <c r="E1384" s="42">
        <f t="shared" ca="1" si="611"/>
        <v>15</v>
      </c>
      <c r="F1384" t="str">
        <f t="shared" ca="1" si="612"/>
        <v>第5级，共造成127.9%点伤害</v>
      </c>
      <c r="G1384">
        <f t="shared" ca="1" si="638"/>
        <v>2</v>
      </c>
      <c r="H1384">
        <f t="shared" si="639"/>
        <v>2</v>
      </c>
      <c r="I1384" s="44">
        <f t="shared" ca="1" si="640"/>
        <v>5</v>
      </c>
      <c r="J1384">
        <f t="shared" si="641"/>
        <v>2</v>
      </c>
      <c r="K1384" s="36">
        <f t="shared" ca="1" si="642"/>
        <v>127.87500000000003</v>
      </c>
      <c r="L1384" s="10">
        <f ca="1">AH1384*VLOOKUP(C1384,技能辅助查询表,技能配置辅助表!$T$1,FALSE)</f>
        <v>0</v>
      </c>
      <c r="M1384">
        <f t="shared" ca="1" si="609"/>
        <v>7600</v>
      </c>
      <c r="N1384" s="33">
        <f ca="1">CHOOSE(1,W1384*U1384,X1384*'[1]0、经济设定'!$C$18)</f>
        <v>670</v>
      </c>
      <c r="O1384">
        <f t="shared" si="643"/>
        <v>4</v>
      </c>
      <c r="P1384">
        <f t="shared" si="644"/>
        <v>1</v>
      </c>
      <c r="Q1384">
        <f t="shared" si="645"/>
        <v>1</v>
      </c>
      <c r="R1384" s="2">
        <f t="shared" si="646"/>
        <v>8</v>
      </c>
      <c r="S1384" s="2">
        <f t="shared" si="647"/>
        <v>50</v>
      </c>
      <c r="T1384" s="2">
        <f t="shared" si="648"/>
        <v>121.78571428571431</v>
      </c>
      <c r="U1384" s="2">
        <f ca="1">VLOOKUP(E1384,金币生产率!$A$2:$B$120,2,0)</f>
        <v>134</v>
      </c>
      <c r="V1384" s="2">
        <f t="shared" si="649"/>
        <v>121.78571428571431</v>
      </c>
      <c r="W1384" s="45">
        <f t="shared" ca="1" si="616"/>
        <v>5</v>
      </c>
      <c r="X1384" s="48">
        <f t="shared" ca="1" si="617"/>
        <v>20</v>
      </c>
      <c r="Y1384">
        <f t="shared" si="650"/>
        <v>18</v>
      </c>
      <c r="Z1384">
        <f t="shared" ca="1" si="613"/>
        <v>0</v>
      </c>
      <c r="AA1384" t="str">
        <f t="shared" ca="1" si="651"/>
        <v>9324200.png</v>
      </c>
      <c r="AB1384">
        <f t="shared" si="652"/>
        <v>20</v>
      </c>
      <c r="AC1384">
        <f>VLOOKUP(C1384,技能辅助查询表,技能配置辅助表!$W$1,FALSE)</f>
        <v>65043890</v>
      </c>
      <c r="AD1384">
        <f t="shared" ca="1" si="614"/>
        <v>1.2362623624013209</v>
      </c>
      <c r="AE1384">
        <f>VLOOKUP(C1384,技能辅助查询表,技能配置辅助表!$U$1,FALSE)</f>
        <v>4</v>
      </c>
      <c r="AF1384">
        <f t="shared" ca="1" si="653"/>
        <v>9324205</v>
      </c>
      <c r="AG1384">
        <f t="shared" ca="1" si="654"/>
        <v>13.877551020408163</v>
      </c>
      <c r="AH1384">
        <f t="shared" ca="1" si="655"/>
        <v>22.175109639485559</v>
      </c>
      <c r="AI1384">
        <f ca="1">VLOOKUP(E1384,伤害参考系!$C$4:$E$104,3,FALSE)*$AN$12</f>
        <v>374.61277173913044</v>
      </c>
      <c r="AJ1384">
        <f>VLOOKUP(C1384,技能辅助查询表,技能配置辅助表!$L$1,FALSE)</f>
        <v>1</v>
      </c>
      <c r="AK1384">
        <f>VLOOKUP(C1384,技能辅助查询表,技能配置辅助表!$AE$1,FALSE)</f>
        <v>66000650</v>
      </c>
    </row>
    <row r="1385" spans="1:37" x14ac:dyDescent="0.15">
      <c r="A1385" s="1">
        <f t="shared" ca="1" si="618"/>
        <v>9324206</v>
      </c>
      <c r="B1385" s="1" t="str">
        <f t="shared" ca="1" si="619"/>
        <v>子弹风暴第2段</v>
      </c>
      <c r="C1385" t="s">
        <v>181</v>
      </c>
      <c r="D1385">
        <f t="shared" si="637"/>
        <v>3</v>
      </c>
      <c r="E1385" s="42">
        <f t="shared" ca="1" si="611"/>
        <v>17</v>
      </c>
      <c r="F1385" t="str">
        <f t="shared" ca="1" si="612"/>
        <v>第6级，共造成129.1%点伤害</v>
      </c>
      <c r="G1385">
        <f t="shared" ca="1" si="638"/>
        <v>2</v>
      </c>
      <c r="H1385">
        <f t="shared" si="639"/>
        <v>2</v>
      </c>
      <c r="I1385" s="44">
        <f t="shared" ca="1" si="640"/>
        <v>6</v>
      </c>
      <c r="J1385">
        <f t="shared" si="641"/>
        <v>2</v>
      </c>
      <c r="K1385" s="36">
        <f t="shared" ca="1" si="642"/>
        <v>129.09285714285716</v>
      </c>
      <c r="L1385" s="10">
        <f ca="1">AH1385*VLOOKUP(C1385,技能辅助查询表,技能配置辅助表!$T$1,FALSE)</f>
        <v>0</v>
      </c>
      <c r="M1385">
        <f t="shared" ca="1" si="609"/>
        <v>7520</v>
      </c>
      <c r="N1385" s="33">
        <f ca="1">CHOOSE(1,W1385*U1385,X1385*'[1]0、经济设定'!$C$18)</f>
        <v>730</v>
      </c>
      <c r="O1385">
        <f t="shared" si="643"/>
        <v>4</v>
      </c>
      <c r="P1385">
        <f t="shared" si="644"/>
        <v>1</v>
      </c>
      <c r="Q1385">
        <f t="shared" si="645"/>
        <v>1</v>
      </c>
      <c r="R1385" s="2">
        <f t="shared" si="646"/>
        <v>8</v>
      </c>
      <c r="S1385" s="2">
        <f t="shared" si="647"/>
        <v>50</v>
      </c>
      <c r="T1385" s="2">
        <f t="shared" si="648"/>
        <v>121.78571428571431</v>
      </c>
      <c r="U1385" s="2">
        <f ca="1">VLOOKUP(E1385,金币生产率!$A$2:$B$120,2,0)</f>
        <v>146</v>
      </c>
      <c r="V1385" s="2">
        <f t="shared" si="649"/>
        <v>121.78571428571431</v>
      </c>
      <c r="W1385" s="45">
        <f t="shared" ca="1" si="616"/>
        <v>5</v>
      </c>
      <c r="X1385" s="48">
        <f t="shared" ca="1" si="617"/>
        <v>25</v>
      </c>
      <c r="Y1385">
        <f t="shared" si="650"/>
        <v>18</v>
      </c>
      <c r="Z1385">
        <f t="shared" ca="1" si="613"/>
        <v>0</v>
      </c>
      <c r="AA1385" t="str">
        <f t="shared" ca="1" si="651"/>
        <v>9324200.png</v>
      </c>
      <c r="AB1385">
        <f t="shared" si="652"/>
        <v>20</v>
      </c>
      <c r="AC1385">
        <f>VLOOKUP(C1385,技能辅助查询表,技能配置辅助表!$W$1,FALSE)</f>
        <v>65043890</v>
      </c>
      <c r="AD1385">
        <f t="shared" ca="1" si="614"/>
        <v>1.4689605753484649</v>
      </c>
      <c r="AE1385">
        <f>VLOOKUP(C1385,技能辅助查询表,技能配置辅助表!$U$1,FALSE)</f>
        <v>4</v>
      </c>
      <c r="AF1385">
        <f t="shared" ca="1" si="653"/>
        <v>9324206</v>
      </c>
      <c r="AG1385">
        <f t="shared" ca="1" si="654"/>
        <v>15.346938775510203</v>
      </c>
      <c r="AH1385">
        <f t="shared" ca="1" si="655"/>
        <v>25.246069303803697</v>
      </c>
      <c r="AI1385">
        <f ca="1">VLOOKUP(E1385,伤害参考系!$C$4:$E$104,3,FALSE)*$AN$12</f>
        <v>470.53516304347824</v>
      </c>
      <c r="AJ1385">
        <f>VLOOKUP(C1385,技能辅助查询表,技能配置辅助表!$L$1,FALSE)</f>
        <v>1</v>
      </c>
      <c r="AK1385">
        <f>VLOOKUP(C1385,技能辅助查询表,技能配置辅助表!$AE$1,FALSE)</f>
        <v>66000650</v>
      </c>
    </row>
    <row r="1386" spans="1:37" x14ac:dyDescent="0.15">
      <c r="A1386" s="1">
        <f t="shared" ca="1" si="618"/>
        <v>9324207</v>
      </c>
      <c r="B1386" s="1" t="str">
        <f t="shared" ca="1" si="619"/>
        <v>子弹风暴第2段</v>
      </c>
      <c r="C1386" t="s">
        <v>181</v>
      </c>
      <c r="D1386">
        <f t="shared" si="637"/>
        <v>3</v>
      </c>
      <c r="E1386" s="42">
        <f t="shared" ca="1" si="611"/>
        <v>18</v>
      </c>
      <c r="F1386" t="str">
        <f t="shared" ca="1" si="612"/>
        <v>第7级，共造成130.3%点伤害</v>
      </c>
      <c r="G1386">
        <f t="shared" ca="1" si="638"/>
        <v>2</v>
      </c>
      <c r="H1386">
        <f t="shared" si="639"/>
        <v>2</v>
      </c>
      <c r="I1386" s="44">
        <f t="shared" ca="1" si="640"/>
        <v>7</v>
      </c>
      <c r="J1386">
        <f t="shared" si="641"/>
        <v>2</v>
      </c>
      <c r="K1386" s="36">
        <f t="shared" ca="1" si="642"/>
        <v>130.31071428571431</v>
      </c>
      <c r="L1386" s="10">
        <f ca="1">AH1386*VLOOKUP(C1386,技能辅助查询表,技能配置辅助表!$T$1,FALSE)</f>
        <v>0</v>
      </c>
      <c r="M1386">
        <f t="shared" ca="1" si="609"/>
        <v>7440</v>
      </c>
      <c r="N1386" s="33">
        <f ca="1">CHOOSE(1,W1386*U1386,X1386*'[1]0、经济设定'!$C$18)</f>
        <v>760</v>
      </c>
      <c r="O1386">
        <f t="shared" si="643"/>
        <v>4</v>
      </c>
      <c r="P1386">
        <f t="shared" si="644"/>
        <v>1</v>
      </c>
      <c r="Q1386">
        <f t="shared" si="645"/>
        <v>1</v>
      </c>
      <c r="R1386" s="2">
        <f t="shared" si="646"/>
        <v>8</v>
      </c>
      <c r="S1386" s="2">
        <f t="shared" si="647"/>
        <v>50</v>
      </c>
      <c r="T1386" s="2">
        <f t="shared" si="648"/>
        <v>121.78571428571431</v>
      </c>
      <c r="U1386" s="2">
        <f ca="1">VLOOKUP(E1386,金币生产率!$A$2:$B$120,2,0)</f>
        <v>152</v>
      </c>
      <c r="V1386" s="2">
        <f t="shared" si="649"/>
        <v>121.78571428571431</v>
      </c>
      <c r="W1386" s="45">
        <f t="shared" ca="1" si="616"/>
        <v>5</v>
      </c>
      <c r="X1386" s="48">
        <f t="shared" ca="1" si="617"/>
        <v>30</v>
      </c>
      <c r="Y1386">
        <f t="shared" si="650"/>
        <v>18</v>
      </c>
      <c r="Z1386">
        <f t="shared" ca="1" si="613"/>
        <v>0</v>
      </c>
      <c r="AA1386" t="str">
        <f t="shared" ca="1" si="651"/>
        <v>9324200.png</v>
      </c>
      <c r="AB1386">
        <f t="shared" si="652"/>
        <v>20</v>
      </c>
      <c r="AC1386">
        <f>VLOOKUP(C1386,技能辅助查询表,技能配置辅助表!$W$1,FALSE)</f>
        <v>65043890</v>
      </c>
      <c r="AD1386">
        <f t="shared" ca="1" si="614"/>
        <v>1.7424002746868545</v>
      </c>
      <c r="AE1386">
        <f>VLOOKUP(C1386,技能辅助查询表,技能配置辅助表!$U$1,FALSE)</f>
        <v>4</v>
      </c>
      <c r="AF1386">
        <f t="shared" ca="1" si="653"/>
        <v>9324207</v>
      </c>
      <c r="AG1386">
        <f t="shared" ca="1" si="654"/>
        <v>16.816326530612244</v>
      </c>
      <c r="AH1386">
        <f t="shared" ca="1" si="655"/>
        <v>28.742316302127907</v>
      </c>
      <c r="AI1386">
        <f ca="1">VLOOKUP(E1386,伤害参考系!$C$4:$E$104,3,FALSE)*$AN$12</f>
        <v>522.16043478260883</v>
      </c>
      <c r="AJ1386">
        <f>VLOOKUP(C1386,技能辅助查询表,技能配置辅助表!$L$1,FALSE)</f>
        <v>1</v>
      </c>
      <c r="AK1386">
        <f>VLOOKUP(C1386,技能辅助查询表,技能配置辅助表!$AE$1,FALSE)</f>
        <v>66000650</v>
      </c>
    </row>
    <row r="1387" spans="1:37" x14ac:dyDescent="0.15">
      <c r="A1387" s="1">
        <f t="shared" ca="1" si="618"/>
        <v>9324208</v>
      </c>
      <c r="B1387" s="1" t="str">
        <f t="shared" ca="1" si="619"/>
        <v>子弹风暴第2段</v>
      </c>
      <c r="C1387" t="s">
        <v>181</v>
      </c>
      <c r="D1387">
        <f t="shared" si="637"/>
        <v>3</v>
      </c>
      <c r="E1387" s="42">
        <f t="shared" ca="1" si="611"/>
        <v>20</v>
      </c>
      <c r="F1387" t="str">
        <f t="shared" ca="1" si="612"/>
        <v>第8级，共造成131.5%点伤害</v>
      </c>
      <c r="G1387">
        <f t="shared" ca="1" si="638"/>
        <v>2</v>
      </c>
      <c r="H1387">
        <f t="shared" si="639"/>
        <v>2</v>
      </c>
      <c r="I1387" s="44">
        <f t="shared" ca="1" si="640"/>
        <v>8</v>
      </c>
      <c r="J1387">
        <f t="shared" si="641"/>
        <v>2</v>
      </c>
      <c r="K1387" s="36">
        <f t="shared" ca="1" si="642"/>
        <v>131.52857142857144</v>
      </c>
      <c r="L1387" s="10">
        <f ca="1">AH1387*VLOOKUP(C1387,技能辅助查询表,技能配置辅助表!$T$1,FALSE)</f>
        <v>0</v>
      </c>
      <c r="M1387">
        <f t="shared" ca="1" si="609"/>
        <v>7360</v>
      </c>
      <c r="N1387" s="33">
        <f ca="1">CHOOSE(1,W1387*U1387,X1387*'[1]0、经济设定'!$C$18)</f>
        <v>1092</v>
      </c>
      <c r="O1387">
        <f t="shared" si="643"/>
        <v>4</v>
      </c>
      <c r="P1387">
        <f t="shared" si="644"/>
        <v>1</v>
      </c>
      <c r="Q1387">
        <f t="shared" si="645"/>
        <v>1</v>
      </c>
      <c r="R1387" s="2">
        <f t="shared" si="646"/>
        <v>8</v>
      </c>
      <c r="S1387" s="2">
        <f t="shared" si="647"/>
        <v>50</v>
      </c>
      <c r="T1387" s="2">
        <f t="shared" si="648"/>
        <v>121.78571428571431</v>
      </c>
      <c r="U1387" s="2">
        <f ca="1">VLOOKUP(E1387,金币生产率!$A$2:$B$120,2,0)</f>
        <v>182</v>
      </c>
      <c r="V1387" s="2">
        <f t="shared" si="649"/>
        <v>121.78571428571431</v>
      </c>
      <c r="W1387" s="45">
        <f t="shared" ca="1" si="616"/>
        <v>6</v>
      </c>
      <c r="X1387" s="48">
        <f t="shared" ca="1" si="617"/>
        <v>36</v>
      </c>
      <c r="Y1387">
        <f t="shared" si="650"/>
        <v>18</v>
      </c>
      <c r="Z1387">
        <f t="shared" ca="1" si="613"/>
        <v>0</v>
      </c>
      <c r="AA1387" t="str">
        <f t="shared" ca="1" si="651"/>
        <v>9324200.png</v>
      </c>
      <c r="AB1387">
        <f t="shared" si="652"/>
        <v>20</v>
      </c>
      <c r="AC1387">
        <f>VLOOKUP(C1387,技能辅助查询表,技能配置辅助表!$W$1,FALSE)</f>
        <v>65043890</v>
      </c>
      <c r="AD1387">
        <f t="shared" ca="1" si="614"/>
        <v>2.0634029518359585</v>
      </c>
      <c r="AE1387">
        <f>VLOOKUP(C1387,技能辅助查询表,技能配置辅助表!$U$1,FALSE)</f>
        <v>4</v>
      </c>
      <c r="AF1387">
        <f t="shared" ca="1" si="653"/>
        <v>9324208</v>
      </c>
      <c r="AG1387">
        <f t="shared" ca="1" si="654"/>
        <v>18.285714285714285</v>
      </c>
      <c r="AH1387">
        <f t="shared" ca="1" si="655"/>
        <v>32.722747310493212</v>
      </c>
      <c r="AI1387">
        <f ca="1">VLOOKUP(E1387,伤害参考系!$C$4:$E$104,3,FALSE)*$AN$12</f>
        <v>632.73913043478262</v>
      </c>
      <c r="AJ1387">
        <f>VLOOKUP(C1387,技能辅助查询表,技能配置辅助表!$L$1,FALSE)</f>
        <v>1</v>
      </c>
      <c r="AK1387">
        <f>VLOOKUP(C1387,技能辅助查询表,技能配置辅助表!$AE$1,FALSE)</f>
        <v>66000650</v>
      </c>
    </row>
    <row r="1388" spans="1:37" x14ac:dyDescent="0.15">
      <c r="A1388" s="1">
        <f t="shared" ca="1" si="618"/>
        <v>9324209</v>
      </c>
      <c r="B1388" s="1" t="str">
        <f t="shared" ca="1" si="619"/>
        <v>子弹风暴第2段</v>
      </c>
      <c r="C1388" t="s">
        <v>181</v>
      </c>
      <c r="D1388">
        <f t="shared" si="637"/>
        <v>3</v>
      </c>
      <c r="E1388" s="42">
        <f t="shared" ca="1" si="611"/>
        <v>21</v>
      </c>
      <c r="F1388" t="str">
        <f t="shared" ca="1" si="612"/>
        <v>第9级，共造成132.7%点伤害</v>
      </c>
      <c r="G1388">
        <f t="shared" ca="1" si="638"/>
        <v>2</v>
      </c>
      <c r="H1388">
        <f t="shared" si="639"/>
        <v>2</v>
      </c>
      <c r="I1388" s="44">
        <f t="shared" ca="1" si="640"/>
        <v>9</v>
      </c>
      <c r="J1388">
        <f t="shared" si="641"/>
        <v>2</v>
      </c>
      <c r="K1388" s="36">
        <f t="shared" ca="1" si="642"/>
        <v>132.74642857142859</v>
      </c>
      <c r="L1388" s="10">
        <f ca="1">AH1388*VLOOKUP(C1388,技能辅助查询表,技能配置辅助表!$T$1,FALSE)</f>
        <v>0</v>
      </c>
      <c r="M1388">
        <f t="shared" ca="1" si="609"/>
        <v>7280</v>
      </c>
      <c r="N1388" s="33">
        <f ca="1">CHOOSE(1,W1388*U1388,X1388*'[1]0、经济设定'!$C$18)</f>
        <v>1260</v>
      </c>
      <c r="O1388">
        <f t="shared" si="643"/>
        <v>4</v>
      </c>
      <c r="P1388">
        <f t="shared" si="644"/>
        <v>1</v>
      </c>
      <c r="Q1388">
        <f t="shared" si="645"/>
        <v>1</v>
      </c>
      <c r="R1388" s="2">
        <f t="shared" si="646"/>
        <v>8</v>
      </c>
      <c r="S1388" s="2">
        <f t="shared" si="647"/>
        <v>50</v>
      </c>
      <c r="T1388" s="2">
        <f t="shared" si="648"/>
        <v>121.78571428571431</v>
      </c>
      <c r="U1388" s="2">
        <f ca="1">VLOOKUP(E1388,金币生产率!$A$2:$B$120,2,0)</f>
        <v>210</v>
      </c>
      <c r="V1388" s="2">
        <f t="shared" si="649"/>
        <v>121.78571428571431</v>
      </c>
      <c r="W1388" s="45">
        <f t="shared" ca="1" si="616"/>
        <v>6</v>
      </c>
      <c r="X1388" s="48">
        <f t="shared" ca="1" si="617"/>
        <v>42</v>
      </c>
      <c r="Y1388">
        <f t="shared" si="650"/>
        <v>18</v>
      </c>
      <c r="Z1388">
        <f t="shared" ca="1" si="613"/>
        <v>0</v>
      </c>
      <c r="AA1388" t="str">
        <f t="shared" ca="1" si="651"/>
        <v>9324200.png</v>
      </c>
      <c r="AB1388">
        <f t="shared" si="652"/>
        <v>20</v>
      </c>
      <c r="AC1388">
        <f>VLOOKUP(C1388,技能辅助查询表,技能配置辅助表!$W$1,FALSE)</f>
        <v>65043890</v>
      </c>
      <c r="AD1388">
        <f t="shared" ca="1" si="614"/>
        <v>2.4398981068009062</v>
      </c>
      <c r="AE1388">
        <f>VLOOKUP(C1388,技能辅助查询表,技能配置辅助表!$U$1,FALSE)</f>
        <v>4</v>
      </c>
      <c r="AF1388">
        <f t="shared" ca="1" si="653"/>
        <v>9324209</v>
      </c>
      <c r="AG1388">
        <f t="shared" ca="1" si="654"/>
        <v>19.755102040816325</v>
      </c>
      <c r="AH1388">
        <f t="shared" ca="1" si="655"/>
        <v>37.25441541630785</v>
      </c>
      <c r="AI1388">
        <f ca="1">VLOOKUP(E1388,伤害参考系!$C$4:$E$104,3,FALSE)*$AN$12</f>
        <v>691.69255434782622</v>
      </c>
      <c r="AJ1388">
        <f>VLOOKUP(C1388,技能辅助查询表,技能配置辅助表!$L$1,FALSE)</f>
        <v>1</v>
      </c>
      <c r="AK1388">
        <f>VLOOKUP(C1388,技能辅助查询表,技能配置辅助表!$AE$1,FALSE)</f>
        <v>66000650</v>
      </c>
    </row>
    <row r="1389" spans="1:37" x14ac:dyDescent="0.15">
      <c r="A1389" s="1">
        <f t="shared" ca="1" si="618"/>
        <v>9324210</v>
      </c>
      <c r="B1389" s="1" t="str">
        <f t="shared" ca="1" si="619"/>
        <v>子弹风暴第2段</v>
      </c>
      <c r="C1389" t="s">
        <v>181</v>
      </c>
      <c r="D1389">
        <f t="shared" si="637"/>
        <v>3</v>
      </c>
      <c r="E1389" s="42">
        <f t="shared" ca="1" si="611"/>
        <v>22</v>
      </c>
      <c r="F1389" t="str">
        <f t="shared" ca="1" si="612"/>
        <v>第10级，共造成134%点伤害</v>
      </c>
      <c r="G1389">
        <f t="shared" ca="1" si="638"/>
        <v>2</v>
      </c>
      <c r="H1389">
        <f t="shared" si="639"/>
        <v>2</v>
      </c>
      <c r="I1389" s="44">
        <f t="shared" ca="1" si="640"/>
        <v>10</v>
      </c>
      <c r="J1389">
        <f t="shared" si="641"/>
        <v>2</v>
      </c>
      <c r="K1389" s="36">
        <f t="shared" ca="1" si="642"/>
        <v>133.96428571428572</v>
      </c>
      <c r="L1389" s="10">
        <f ca="1">AH1389*VLOOKUP(C1389,技能辅助查询表,技能配置辅助表!$T$1,FALSE)</f>
        <v>0</v>
      </c>
      <c r="M1389">
        <f t="shared" ca="1" si="609"/>
        <v>7200</v>
      </c>
      <c r="N1389" s="33">
        <f ca="1">CHOOSE(1,W1389*U1389,X1389*'[1]0、经济设定'!$C$18)</f>
        <v>1434</v>
      </c>
      <c r="O1389">
        <f t="shared" si="643"/>
        <v>4</v>
      </c>
      <c r="P1389">
        <f t="shared" si="644"/>
        <v>1</v>
      </c>
      <c r="Q1389">
        <f t="shared" si="645"/>
        <v>1</v>
      </c>
      <c r="R1389" s="2">
        <f t="shared" si="646"/>
        <v>8</v>
      </c>
      <c r="S1389" s="2">
        <f t="shared" si="647"/>
        <v>50</v>
      </c>
      <c r="T1389" s="2">
        <f t="shared" si="648"/>
        <v>121.78571428571431</v>
      </c>
      <c r="U1389" s="2">
        <f ca="1">VLOOKUP(E1389,金币生产率!$A$2:$B$120,2,0)</f>
        <v>239</v>
      </c>
      <c r="V1389" s="2">
        <f t="shared" si="649"/>
        <v>121.78571428571431</v>
      </c>
      <c r="W1389" s="45">
        <f t="shared" ca="1" si="616"/>
        <v>6</v>
      </c>
      <c r="X1389" s="48">
        <f t="shared" ca="1" si="617"/>
        <v>48</v>
      </c>
      <c r="Y1389">
        <f t="shared" si="650"/>
        <v>18</v>
      </c>
      <c r="Z1389">
        <f t="shared" ca="1" si="613"/>
        <v>0</v>
      </c>
      <c r="AA1389" t="str">
        <f t="shared" ca="1" si="651"/>
        <v>9324200.png</v>
      </c>
      <c r="AB1389">
        <f t="shared" si="652"/>
        <v>20</v>
      </c>
      <c r="AC1389">
        <f>VLOOKUP(C1389,技能辅助查询表,技能配置辅助表!$W$1,FALSE)</f>
        <v>65043890</v>
      </c>
      <c r="AD1389">
        <f t="shared" ca="1" si="614"/>
        <v>2.8810993106818685</v>
      </c>
      <c r="AE1389">
        <f>VLOOKUP(C1389,技能辅助查询表,技能配置辅助表!$U$1,FALSE)</f>
        <v>4</v>
      </c>
      <c r="AF1389">
        <f t="shared" ca="1" si="653"/>
        <v>9324210</v>
      </c>
      <c r="AG1389">
        <f t="shared" ca="1" si="654"/>
        <v>21.224489795918366</v>
      </c>
      <c r="AH1389">
        <f t="shared" ca="1" si="655"/>
        <v>42.413659673550121</v>
      </c>
      <c r="AI1389">
        <f ca="1">VLOOKUP(E1389,伤害参考系!$C$4:$E$104,3,FALSE)*$AN$12</f>
        <v>753.08869565217401</v>
      </c>
      <c r="AJ1389">
        <f>VLOOKUP(C1389,技能辅助查询表,技能配置辅助表!$L$1,FALSE)</f>
        <v>1</v>
      </c>
      <c r="AK1389">
        <f>VLOOKUP(C1389,技能辅助查询表,技能配置辅助表!$AE$1,FALSE)</f>
        <v>66000650</v>
      </c>
    </row>
    <row r="1390" spans="1:37" x14ac:dyDescent="0.15">
      <c r="A1390" s="1">
        <f t="shared" ca="1" si="618"/>
        <v>9324211</v>
      </c>
      <c r="B1390" s="1" t="str">
        <f t="shared" ca="1" si="619"/>
        <v>子弹风暴第2段</v>
      </c>
      <c r="C1390" t="s">
        <v>181</v>
      </c>
      <c r="D1390">
        <f t="shared" si="637"/>
        <v>3</v>
      </c>
      <c r="E1390" s="42">
        <f t="shared" ca="1" si="611"/>
        <v>24</v>
      </c>
      <c r="F1390" t="str">
        <f t="shared" ca="1" si="612"/>
        <v>第11级，共造成135.2%点伤害</v>
      </c>
      <c r="G1390">
        <f t="shared" ca="1" si="638"/>
        <v>2</v>
      </c>
      <c r="H1390">
        <f t="shared" si="639"/>
        <v>2</v>
      </c>
      <c r="I1390" s="44">
        <f t="shared" ca="1" si="640"/>
        <v>11</v>
      </c>
      <c r="J1390">
        <f t="shared" si="641"/>
        <v>2</v>
      </c>
      <c r="K1390" s="36">
        <f t="shared" ca="1" si="642"/>
        <v>135.18214285714288</v>
      </c>
      <c r="L1390" s="10">
        <f ca="1">AH1390*VLOOKUP(C1390,技能辅助查询表,技能配置辅助表!$T$1,FALSE)</f>
        <v>0</v>
      </c>
      <c r="M1390">
        <f t="shared" ca="1" si="609"/>
        <v>7120</v>
      </c>
      <c r="N1390" s="33">
        <f ca="1">CHOOSE(1,W1390*U1390,X1390*'[1]0、经济设定'!$C$18)</f>
        <v>2114</v>
      </c>
      <c r="O1390">
        <f t="shared" si="643"/>
        <v>4</v>
      </c>
      <c r="P1390">
        <f t="shared" si="644"/>
        <v>1</v>
      </c>
      <c r="Q1390">
        <f t="shared" si="645"/>
        <v>1</v>
      </c>
      <c r="R1390" s="2">
        <f t="shared" si="646"/>
        <v>8</v>
      </c>
      <c r="S1390" s="2">
        <f t="shared" si="647"/>
        <v>50</v>
      </c>
      <c r="T1390" s="2">
        <f t="shared" si="648"/>
        <v>121.78571428571431</v>
      </c>
      <c r="U1390" s="2">
        <f ca="1">VLOOKUP(E1390,金币生产率!$A$2:$B$120,2,0)</f>
        <v>302</v>
      </c>
      <c r="V1390" s="2">
        <f t="shared" si="649"/>
        <v>121.78571428571431</v>
      </c>
      <c r="W1390" s="45">
        <f t="shared" ca="1" si="616"/>
        <v>7</v>
      </c>
      <c r="X1390" s="48">
        <f t="shared" ca="1" si="617"/>
        <v>55</v>
      </c>
      <c r="Y1390">
        <f t="shared" si="650"/>
        <v>18</v>
      </c>
      <c r="Z1390">
        <f t="shared" ca="1" si="613"/>
        <v>0</v>
      </c>
      <c r="AA1390" t="str">
        <f t="shared" ca="1" si="651"/>
        <v>9324200.png</v>
      </c>
      <c r="AB1390">
        <f t="shared" si="652"/>
        <v>20</v>
      </c>
      <c r="AC1390">
        <f>VLOOKUP(C1390,技能辅助查询表,技能配置辅助表!$W$1,FALSE)</f>
        <v>65043890</v>
      </c>
      <c r="AD1390">
        <f t="shared" ca="1" si="614"/>
        <v>3.3977077828032933</v>
      </c>
      <c r="AE1390">
        <f>VLOOKUP(C1390,技能辅助查询表,技能配置辅助表!$U$1,FALSE)</f>
        <v>4</v>
      </c>
      <c r="AF1390">
        <f t="shared" ca="1" si="653"/>
        <v>9324211</v>
      </c>
      <c r="AG1390">
        <f t="shared" ca="1" si="654"/>
        <v>22.693877551020407</v>
      </c>
      <c r="AH1390">
        <f t="shared" ca="1" si="655"/>
        <v>48.287391086433935</v>
      </c>
      <c r="AI1390">
        <f ca="1">VLOOKUP(E1390,伤害参考系!$C$4:$E$104,3,FALSE)*$AN$12</f>
        <v>914.59374581939801</v>
      </c>
      <c r="AJ1390">
        <f>VLOOKUP(C1390,技能辅助查询表,技能配置辅助表!$L$1,FALSE)</f>
        <v>1</v>
      </c>
      <c r="AK1390">
        <f>VLOOKUP(C1390,技能辅助查询表,技能配置辅助表!$AE$1,FALSE)</f>
        <v>66000650</v>
      </c>
    </row>
    <row r="1391" spans="1:37" x14ac:dyDescent="0.15">
      <c r="A1391" s="1">
        <f t="shared" ca="1" si="618"/>
        <v>9324212</v>
      </c>
      <c r="B1391" s="1" t="str">
        <f t="shared" ca="1" si="619"/>
        <v>子弹风暴第2段</v>
      </c>
      <c r="C1391" t="s">
        <v>181</v>
      </c>
      <c r="D1391">
        <f t="shared" si="637"/>
        <v>3</v>
      </c>
      <c r="E1391" s="42">
        <f t="shared" ca="1" si="611"/>
        <v>25</v>
      </c>
      <c r="F1391" t="str">
        <f t="shared" ca="1" si="612"/>
        <v>第12级，共造成136.4%点伤害</v>
      </c>
      <c r="G1391">
        <f t="shared" ca="1" si="638"/>
        <v>2</v>
      </c>
      <c r="H1391">
        <f t="shared" si="639"/>
        <v>2</v>
      </c>
      <c r="I1391" s="44">
        <f t="shared" ca="1" si="640"/>
        <v>12</v>
      </c>
      <c r="J1391">
        <f t="shared" si="641"/>
        <v>2</v>
      </c>
      <c r="K1391" s="36">
        <f t="shared" ca="1" si="642"/>
        <v>136.40000000000003</v>
      </c>
      <c r="L1391" s="10">
        <f ca="1">AH1391*VLOOKUP(C1391,技能辅助查询表,技能配置辅助表!$T$1,FALSE)</f>
        <v>0</v>
      </c>
      <c r="M1391">
        <f t="shared" ca="1" si="609"/>
        <v>7040</v>
      </c>
      <c r="N1391" s="33">
        <f ca="1">CHOOSE(1,W1391*U1391,X1391*'[1]0、经济设定'!$C$18)</f>
        <v>2345</v>
      </c>
      <c r="O1391">
        <f t="shared" si="643"/>
        <v>4</v>
      </c>
      <c r="P1391">
        <f t="shared" si="644"/>
        <v>1</v>
      </c>
      <c r="Q1391">
        <f t="shared" si="645"/>
        <v>1</v>
      </c>
      <c r="R1391" s="2">
        <f t="shared" si="646"/>
        <v>8</v>
      </c>
      <c r="S1391" s="2">
        <f t="shared" si="647"/>
        <v>50</v>
      </c>
      <c r="T1391" s="2">
        <f t="shared" si="648"/>
        <v>121.78571428571431</v>
      </c>
      <c r="U1391" s="2">
        <f ca="1">VLOOKUP(E1391,金币生产率!$A$2:$B$120,2,0)</f>
        <v>335</v>
      </c>
      <c r="V1391" s="2">
        <f t="shared" si="649"/>
        <v>121.78571428571431</v>
      </c>
      <c r="W1391" s="45">
        <f t="shared" ca="1" si="616"/>
        <v>7</v>
      </c>
      <c r="X1391" s="48">
        <f t="shared" ca="1" si="617"/>
        <v>62</v>
      </c>
      <c r="Y1391">
        <f t="shared" si="650"/>
        <v>18</v>
      </c>
      <c r="Z1391">
        <f t="shared" ca="1" si="613"/>
        <v>0</v>
      </c>
      <c r="AA1391" t="str">
        <f t="shared" ca="1" si="651"/>
        <v>9324200.png</v>
      </c>
      <c r="AB1391">
        <f t="shared" si="652"/>
        <v>20</v>
      </c>
      <c r="AC1391">
        <f>VLOOKUP(C1391,技能辅助查询表,技能配置辅助表!$W$1,FALSE)</f>
        <v>65043890</v>
      </c>
      <c r="AD1391">
        <f t="shared" ca="1" si="614"/>
        <v>4.0021477266548589</v>
      </c>
      <c r="AE1391">
        <f>VLOOKUP(C1391,技能辅助查询表,技能配置辅助表!$U$1,FALSE)</f>
        <v>4</v>
      </c>
      <c r="AF1391">
        <f t="shared" ca="1" si="653"/>
        <v>9324212</v>
      </c>
      <c r="AG1391">
        <f t="shared" ca="1" si="654"/>
        <v>24.163265306122447</v>
      </c>
      <c r="AH1391">
        <f t="shared" ca="1" si="655"/>
        <v>54.974556684819426</v>
      </c>
      <c r="AI1391">
        <f ca="1">VLOOKUP(E1391,伤害参考系!$C$4:$E$104,3,FALSE)*$AN$12</f>
        <v>1000.3949623745822</v>
      </c>
      <c r="AJ1391">
        <f>VLOOKUP(C1391,技能辅助查询表,技能配置辅助表!$L$1,FALSE)</f>
        <v>1</v>
      </c>
      <c r="AK1391">
        <f>VLOOKUP(C1391,技能辅助查询表,技能配置辅助表!$AE$1,FALSE)</f>
        <v>66000650</v>
      </c>
    </row>
    <row r="1392" spans="1:37" x14ac:dyDescent="0.15">
      <c r="A1392" s="1">
        <f t="shared" ca="1" si="618"/>
        <v>9324213</v>
      </c>
      <c r="B1392" s="1" t="str">
        <f t="shared" ca="1" si="619"/>
        <v>子弹风暴第2段</v>
      </c>
      <c r="C1392" t="s">
        <v>181</v>
      </c>
      <c r="D1392">
        <f t="shared" si="637"/>
        <v>3</v>
      </c>
      <c r="E1392" s="42">
        <f t="shared" ca="1" si="611"/>
        <v>27</v>
      </c>
      <c r="F1392" t="str">
        <f t="shared" ca="1" si="612"/>
        <v>第13级，共造成137.6%点伤害</v>
      </c>
      <c r="G1392">
        <f t="shared" ca="1" si="638"/>
        <v>2</v>
      </c>
      <c r="H1392">
        <f t="shared" si="639"/>
        <v>2</v>
      </c>
      <c r="I1392" s="44">
        <f t="shared" ca="1" si="640"/>
        <v>13</v>
      </c>
      <c r="J1392">
        <f t="shared" si="641"/>
        <v>2</v>
      </c>
      <c r="K1392" s="36">
        <f t="shared" ca="1" si="642"/>
        <v>137.61785714285716</v>
      </c>
      <c r="L1392" s="10">
        <f ca="1">AH1392*VLOOKUP(C1392,技能辅助查询表,技能配置辅助表!$T$1,FALSE)</f>
        <v>0</v>
      </c>
      <c r="M1392">
        <f t="shared" ca="1" si="609"/>
        <v>6960</v>
      </c>
      <c r="N1392" s="33">
        <f ca="1">CHOOSE(1,W1392*U1392,X1392*'[1]0、经济设定'!$C$18)</f>
        <v>3248</v>
      </c>
      <c r="O1392">
        <f t="shared" si="643"/>
        <v>4</v>
      </c>
      <c r="P1392">
        <f t="shared" si="644"/>
        <v>1</v>
      </c>
      <c r="Q1392">
        <f t="shared" si="645"/>
        <v>1</v>
      </c>
      <c r="R1392" s="2">
        <f t="shared" si="646"/>
        <v>8</v>
      </c>
      <c r="S1392" s="2">
        <f t="shared" si="647"/>
        <v>50</v>
      </c>
      <c r="T1392" s="2">
        <f t="shared" si="648"/>
        <v>121.78571428571431</v>
      </c>
      <c r="U1392" s="2">
        <f ca="1">VLOOKUP(E1392,金币生产率!$A$2:$B$120,2,0)</f>
        <v>406</v>
      </c>
      <c r="V1392" s="2">
        <f t="shared" si="649"/>
        <v>121.78571428571431</v>
      </c>
      <c r="W1392" s="45">
        <f t="shared" ca="1" si="616"/>
        <v>8</v>
      </c>
      <c r="X1392" s="48">
        <f t="shared" ca="1" si="617"/>
        <v>70</v>
      </c>
      <c r="Y1392">
        <f t="shared" si="650"/>
        <v>18</v>
      </c>
      <c r="Z1392">
        <f t="shared" ca="1" si="613"/>
        <v>0</v>
      </c>
      <c r="AA1392" t="str">
        <f t="shared" ca="1" si="651"/>
        <v>9324200.png</v>
      </c>
      <c r="AB1392">
        <f t="shared" si="652"/>
        <v>20</v>
      </c>
      <c r="AC1392">
        <f>VLOOKUP(C1392,技能辅助查询表,技能配置辅助表!$W$1,FALSE)</f>
        <v>65043890</v>
      </c>
      <c r="AD1392">
        <f t="shared" ca="1" si="614"/>
        <v>4.7088383166734271</v>
      </c>
      <c r="AE1392">
        <f>VLOOKUP(C1392,技能辅助查询表,技能配置辅助表!$U$1,FALSE)</f>
        <v>4</v>
      </c>
      <c r="AF1392">
        <f t="shared" ca="1" si="653"/>
        <v>9324213</v>
      </c>
      <c r="AG1392">
        <f t="shared" ca="1" si="654"/>
        <v>25.632653061224488</v>
      </c>
      <c r="AH1392">
        <f t="shared" ca="1" si="655"/>
        <v>62.587806354721323</v>
      </c>
      <c r="AI1392">
        <f ca="1">VLOOKUP(E1392,伤害参考系!$C$4:$E$104,3,FALSE)*$AN$12</f>
        <v>1210.5107784280938</v>
      </c>
      <c r="AJ1392">
        <f>VLOOKUP(C1392,技能辅助查询表,技能配置辅助表!$L$1,FALSE)</f>
        <v>1</v>
      </c>
      <c r="AK1392">
        <f>VLOOKUP(C1392,技能辅助查询表,技能配置辅助表!$AE$1,FALSE)</f>
        <v>66000650</v>
      </c>
    </row>
    <row r="1393" spans="1:37" x14ac:dyDescent="0.15">
      <c r="A1393" s="1">
        <f t="shared" ca="1" si="618"/>
        <v>9324214</v>
      </c>
      <c r="B1393" s="1" t="str">
        <f t="shared" ca="1" si="619"/>
        <v>子弹风暴第2段</v>
      </c>
      <c r="C1393" t="s">
        <v>181</v>
      </c>
      <c r="D1393">
        <f t="shared" si="637"/>
        <v>3</v>
      </c>
      <c r="E1393" s="42">
        <f t="shared" ca="1" si="611"/>
        <v>28</v>
      </c>
      <c r="F1393" t="str">
        <f t="shared" ca="1" si="612"/>
        <v>第14级，共造成138.8%点伤害</v>
      </c>
      <c r="G1393">
        <f t="shared" ca="1" si="638"/>
        <v>2</v>
      </c>
      <c r="H1393">
        <f t="shared" si="639"/>
        <v>2</v>
      </c>
      <c r="I1393" s="44">
        <f t="shared" ca="1" si="640"/>
        <v>14</v>
      </c>
      <c r="J1393">
        <f t="shared" si="641"/>
        <v>2</v>
      </c>
      <c r="K1393" s="36">
        <f t="shared" ca="1" si="642"/>
        <v>138.83571428571432</v>
      </c>
      <c r="L1393" s="10">
        <f ca="1">AH1393*VLOOKUP(C1393,技能辅助查询表,技能配置辅助表!$T$1,FALSE)</f>
        <v>0</v>
      </c>
      <c r="M1393">
        <f t="shared" ca="1" si="609"/>
        <v>6880</v>
      </c>
      <c r="N1393" s="33">
        <f ca="1">CHOOSE(1,W1393*U1393,X1393*'[1]0、经济设定'!$C$18)</f>
        <v>3544</v>
      </c>
      <c r="O1393">
        <f t="shared" si="643"/>
        <v>4</v>
      </c>
      <c r="P1393">
        <f t="shared" si="644"/>
        <v>1</v>
      </c>
      <c r="Q1393">
        <f t="shared" si="645"/>
        <v>1</v>
      </c>
      <c r="R1393" s="2">
        <f t="shared" si="646"/>
        <v>8</v>
      </c>
      <c r="S1393" s="2">
        <f t="shared" si="647"/>
        <v>50</v>
      </c>
      <c r="T1393" s="2">
        <f t="shared" si="648"/>
        <v>121.78571428571431</v>
      </c>
      <c r="U1393" s="2">
        <f ca="1">VLOOKUP(E1393,金币生产率!$A$2:$B$120,2,0)</f>
        <v>443</v>
      </c>
      <c r="V1393" s="2">
        <f t="shared" si="649"/>
        <v>121.78571428571431</v>
      </c>
      <c r="W1393" s="45">
        <f t="shared" ca="1" si="616"/>
        <v>8</v>
      </c>
      <c r="X1393" s="48">
        <f t="shared" ca="1" si="617"/>
        <v>78</v>
      </c>
      <c r="Y1393">
        <f t="shared" si="650"/>
        <v>18</v>
      </c>
      <c r="Z1393">
        <f t="shared" ca="1" si="613"/>
        <v>0</v>
      </c>
      <c r="AA1393" t="str">
        <f t="shared" ca="1" si="651"/>
        <v>9324200.png</v>
      </c>
      <c r="AB1393">
        <f t="shared" si="652"/>
        <v>20</v>
      </c>
      <c r="AC1393">
        <f>VLOOKUP(C1393,技能辅助查询表,技能配置辅助表!$W$1,FALSE)</f>
        <v>65043890</v>
      </c>
      <c r="AD1393">
        <f t="shared" ca="1" si="614"/>
        <v>5.5345079737688589</v>
      </c>
      <c r="AE1393">
        <f>VLOOKUP(C1393,技能辅助查询表,技能配置辅助表!$U$1,FALSE)</f>
        <v>4</v>
      </c>
      <c r="AF1393">
        <f t="shared" ca="1" si="653"/>
        <v>9324214</v>
      </c>
      <c r="AG1393">
        <f t="shared" ca="1" si="654"/>
        <v>27.102040816326532</v>
      </c>
      <c r="AH1393">
        <f t="shared" ca="1" si="655"/>
        <v>71.25539050281769</v>
      </c>
      <c r="AI1393">
        <f ca="1">VLOOKUP(E1393,伤害参考系!$C$4:$E$104,3,FALSE)*$AN$12</f>
        <v>1321.7693779264216</v>
      </c>
      <c r="AJ1393">
        <f>VLOOKUP(C1393,技能辅助查询表,技能配置辅助表!$L$1,FALSE)</f>
        <v>1</v>
      </c>
      <c r="AK1393">
        <f>VLOOKUP(C1393,技能辅助查询表,技能配置辅助表!$AE$1,FALSE)</f>
        <v>66000650</v>
      </c>
    </row>
    <row r="1394" spans="1:37" x14ac:dyDescent="0.15">
      <c r="A1394" s="1">
        <f t="shared" ca="1" si="618"/>
        <v>9324215</v>
      </c>
      <c r="B1394" s="1" t="str">
        <f t="shared" ca="1" si="619"/>
        <v>子弹风暴第2段</v>
      </c>
      <c r="C1394" t="s">
        <v>181</v>
      </c>
      <c r="D1394">
        <f t="shared" si="637"/>
        <v>3</v>
      </c>
      <c r="E1394" s="42">
        <f t="shared" ca="1" si="611"/>
        <v>30</v>
      </c>
      <c r="F1394" t="str">
        <f t="shared" ca="1" si="612"/>
        <v>第15级，共造成140.1%点伤害</v>
      </c>
      <c r="G1394">
        <f t="shared" ca="1" si="638"/>
        <v>2</v>
      </c>
      <c r="H1394">
        <f t="shared" si="639"/>
        <v>2</v>
      </c>
      <c r="I1394" s="44">
        <f t="shared" ca="1" si="640"/>
        <v>15</v>
      </c>
      <c r="J1394">
        <f t="shared" si="641"/>
        <v>2</v>
      </c>
      <c r="K1394" s="36">
        <f t="shared" ca="1" si="642"/>
        <v>140.05357142857144</v>
      </c>
      <c r="L1394" s="10">
        <f ca="1">AH1394*VLOOKUP(C1394,技能辅助查询表,技能配置辅助表!$T$1,FALSE)</f>
        <v>0</v>
      </c>
      <c r="M1394">
        <f t="shared" ca="1" si="609"/>
        <v>6800</v>
      </c>
      <c r="N1394" s="33">
        <f ca="1">CHOOSE(1,W1394*U1394,X1394*'[1]0、经济设定'!$C$18)</f>
        <v>4698</v>
      </c>
      <c r="O1394">
        <f t="shared" si="643"/>
        <v>4</v>
      </c>
      <c r="P1394">
        <f t="shared" si="644"/>
        <v>1</v>
      </c>
      <c r="Q1394">
        <f t="shared" si="645"/>
        <v>1</v>
      </c>
      <c r="R1394" s="2">
        <f t="shared" si="646"/>
        <v>8</v>
      </c>
      <c r="S1394" s="2">
        <f t="shared" si="647"/>
        <v>50</v>
      </c>
      <c r="T1394" s="2">
        <f t="shared" si="648"/>
        <v>121.78571428571431</v>
      </c>
      <c r="U1394" s="2">
        <f ca="1">VLOOKUP(E1394,金币生产率!$A$2:$B$120,2,0)</f>
        <v>522</v>
      </c>
      <c r="V1394" s="2">
        <f t="shared" si="649"/>
        <v>121.78571428571431</v>
      </c>
      <c r="W1394" s="45">
        <f t="shared" ca="1" si="616"/>
        <v>9</v>
      </c>
      <c r="X1394" s="48">
        <f t="shared" ca="1" si="617"/>
        <v>87</v>
      </c>
      <c r="Y1394">
        <f t="shared" si="650"/>
        <v>18</v>
      </c>
      <c r="Z1394">
        <f t="shared" ca="1" si="613"/>
        <v>0</v>
      </c>
      <c r="AA1394" t="str">
        <f t="shared" ca="1" si="651"/>
        <v>9324200.png</v>
      </c>
      <c r="AB1394">
        <f t="shared" si="652"/>
        <v>20</v>
      </c>
      <c r="AC1394">
        <f>VLOOKUP(C1394,技能辅助查询表,技能配置辅助表!$W$1,FALSE)</f>
        <v>65043890</v>
      </c>
      <c r="AD1394">
        <f t="shared" ca="1" si="614"/>
        <v>6.4985574261350738</v>
      </c>
      <c r="AE1394">
        <f>VLOOKUP(C1394,技能辅助查询表,技能配置辅助表!$U$1,FALSE)</f>
        <v>4</v>
      </c>
      <c r="AF1394">
        <f t="shared" ca="1" si="653"/>
        <v>9324215</v>
      </c>
      <c r="AG1394">
        <f t="shared" ca="1" si="654"/>
        <v>28.571428571428573</v>
      </c>
      <c r="AH1394">
        <f t="shared" ca="1" si="655"/>
        <v>81.123320522417259</v>
      </c>
      <c r="AI1394">
        <f ca="1">VLOOKUP(E1394,伤害参考系!$C$4:$E$104,3,FALSE)*$AN$12</f>
        <v>1576.1465593645489</v>
      </c>
      <c r="AJ1394">
        <f>VLOOKUP(C1394,技能辅助查询表,技能配置辅助表!$L$1,FALSE)</f>
        <v>1</v>
      </c>
      <c r="AK1394">
        <f>VLOOKUP(C1394,技能辅助查询表,技能配置辅助表!$AE$1,FALSE)</f>
        <v>66000650</v>
      </c>
    </row>
    <row r="1395" spans="1:37" x14ac:dyDescent="0.15">
      <c r="A1395" s="1">
        <f t="shared" ca="1" si="618"/>
        <v>9324216</v>
      </c>
      <c r="B1395" s="1" t="str">
        <f t="shared" ca="1" si="619"/>
        <v>子弹风暴第2段</v>
      </c>
      <c r="C1395" t="s">
        <v>181</v>
      </c>
      <c r="D1395">
        <f t="shared" si="637"/>
        <v>3</v>
      </c>
      <c r="E1395" s="42">
        <f t="shared" ca="1" si="611"/>
        <v>31</v>
      </c>
      <c r="F1395" t="str">
        <f t="shared" ca="1" si="612"/>
        <v>第16级，共造成141.3%点伤害</v>
      </c>
      <c r="G1395">
        <f t="shared" ca="1" si="638"/>
        <v>2</v>
      </c>
      <c r="H1395">
        <f t="shared" si="639"/>
        <v>2</v>
      </c>
      <c r="I1395" s="44">
        <f t="shared" ca="1" si="640"/>
        <v>16</v>
      </c>
      <c r="J1395">
        <f t="shared" si="641"/>
        <v>2</v>
      </c>
      <c r="K1395" s="36">
        <f t="shared" ca="1" si="642"/>
        <v>141.2714285714286</v>
      </c>
      <c r="L1395" s="10">
        <f ca="1">AH1395*VLOOKUP(C1395,技能辅助查询表,技能配置辅助表!$T$1,FALSE)</f>
        <v>0</v>
      </c>
      <c r="M1395">
        <f t="shared" ca="1" si="609"/>
        <v>6720</v>
      </c>
      <c r="N1395" s="33">
        <f ca="1">CHOOSE(1,W1395*U1395,X1395*'[1]0、经济设定'!$C$18)</f>
        <v>5630</v>
      </c>
      <c r="O1395">
        <f t="shared" si="643"/>
        <v>4</v>
      </c>
      <c r="P1395">
        <f t="shared" si="644"/>
        <v>1</v>
      </c>
      <c r="Q1395">
        <f t="shared" si="645"/>
        <v>1</v>
      </c>
      <c r="R1395" s="2">
        <f t="shared" si="646"/>
        <v>8</v>
      </c>
      <c r="S1395" s="2">
        <f t="shared" si="647"/>
        <v>50</v>
      </c>
      <c r="T1395" s="2">
        <f t="shared" si="648"/>
        <v>121.78571428571431</v>
      </c>
      <c r="U1395" s="2">
        <f ca="1">VLOOKUP(E1395,金币生产率!$A$2:$B$120,2,0)</f>
        <v>563</v>
      </c>
      <c r="V1395" s="2">
        <f t="shared" si="649"/>
        <v>121.78571428571431</v>
      </c>
      <c r="W1395" s="45">
        <f t="shared" ca="1" si="616"/>
        <v>10</v>
      </c>
      <c r="X1395" s="48">
        <f t="shared" ca="1" si="617"/>
        <v>97</v>
      </c>
      <c r="Y1395">
        <f t="shared" si="650"/>
        <v>18</v>
      </c>
      <c r="Z1395">
        <f t="shared" ca="1" si="613"/>
        <v>0</v>
      </c>
      <c r="AA1395" t="str">
        <f t="shared" ca="1" si="651"/>
        <v>9324200.png</v>
      </c>
      <c r="AB1395">
        <f t="shared" si="652"/>
        <v>20</v>
      </c>
      <c r="AC1395">
        <f>VLOOKUP(C1395,技能辅助查询表,技能配置辅助表!$W$1,FALSE)</f>
        <v>65043890</v>
      </c>
      <c r="AD1395">
        <f t="shared" ca="1" si="614"/>
        <v>7.6234790402198316</v>
      </c>
      <c r="AE1395">
        <f>VLOOKUP(C1395,技能辅助查询表,技能配置辅助表!$U$1,FALSE)</f>
        <v>4</v>
      </c>
      <c r="AF1395">
        <f t="shared" ca="1" si="653"/>
        <v>9324216</v>
      </c>
      <c r="AG1395">
        <f t="shared" ca="1" si="654"/>
        <v>30.040816326530614</v>
      </c>
      <c r="AH1395">
        <f t="shared" ca="1" si="655"/>
        <v>92.357828455414989</v>
      </c>
      <c r="AI1395">
        <f ca="1">VLOOKUP(E1395,伤害参考系!$C$4:$E$104,3,FALSE)*$AN$12</f>
        <v>1721.3320384615388</v>
      </c>
      <c r="AJ1395">
        <f>VLOOKUP(C1395,技能辅助查询表,技能配置辅助表!$L$1,FALSE)</f>
        <v>1</v>
      </c>
      <c r="AK1395">
        <f>VLOOKUP(C1395,技能辅助查询表,技能配置辅助表!$AE$1,FALSE)</f>
        <v>66000650</v>
      </c>
    </row>
    <row r="1396" spans="1:37" x14ac:dyDescent="0.15">
      <c r="A1396" s="1">
        <f t="shared" ca="1" si="618"/>
        <v>9324217</v>
      </c>
      <c r="B1396" s="1" t="str">
        <f t="shared" ca="1" si="619"/>
        <v>子弹风暴第2段</v>
      </c>
      <c r="C1396" t="s">
        <v>181</v>
      </c>
      <c r="D1396">
        <f t="shared" si="637"/>
        <v>3</v>
      </c>
      <c r="E1396" s="42">
        <f t="shared" ca="1" si="611"/>
        <v>32</v>
      </c>
      <c r="F1396" t="str">
        <f t="shared" ca="1" si="612"/>
        <v>第17级，共造成142.5%点伤害</v>
      </c>
      <c r="G1396">
        <f t="shared" ca="1" si="638"/>
        <v>2</v>
      </c>
      <c r="H1396">
        <f t="shared" si="639"/>
        <v>2</v>
      </c>
      <c r="I1396" s="44">
        <f t="shared" ca="1" si="640"/>
        <v>17</v>
      </c>
      <c r="J1396">
        <f t="shared" si="641"/>
        <v>2</v>
      </c>
      <c r="K1396" s="36">
        <f t="shared" ca="1" si="642"/>
        <v>142.48928571428573</v>
      </c>
      <c r="L1396" s="10">
        <f ca="1">AH1396*VLOOKUP(C1396,技能辅助查询表,技能配置辅助表!$T$1,FALSE)</f>
        <v>0</v>
      </c>
      <c r="M1396">
        <f t="shared" ca="1" si="609"/>
        <v>6640</v>
      </c>
      <c r="N1396" s="33">
        <f ca="1">CHOOSE(1,W1396*U1396,X1396*'[1]0、经济设定'!$C$18)</f>
        <v>6060</v>
      </c>
      <c r="O1396">
        <f t="shared" si="643"/>
        <v>4</v>
      </c>
      <c r="P1396">
        <f t="shared" si="644"/>
        <v>1</v>
      </c>
      <c r="Q1396">
        <f t="shared" si="645"/>
        <v>1</v>
      </c>
      <c r="R1396" s="2">
        <f t="shared" si="646"/>
        <v>8</v>
      </c>
      <c r="S1396" s="2">
        <f t="shared" si="647"/>
        <v>50</v>
      </c>
      <c r="T1396" s="2">
        <f t="shared" si="648"/>
        <v>121.78571428571431</v>
      </c>
      <c r="U1396" s="2">
        <f ca="1">VLOOKUP(E1396,金币生产率!$A$2:$B$120,2,0)</f>
        <v>606</v>
      </c>
      <c r="V1396" s="2">
        <f t="shared" si="649"/>
        <v>121.78571428571431</v>
      </c>
      <c r="W1396" s="45">
        <f t="shared" ca="1" si="616"/>
        <v>10</v>
      </c>
      <c r="X1396" s="48">
        <f t="shared" ca="1" si="617"/>
        <v>107</v>
      </c>
      <c r="Y1396">
        <f t="shared" si="650"/>
        <v>18</v>
      </c>
      <c r="Z1396">
        <f t="shared" ca="1" si="613"/>
        <v>0</v>
      </c>
      <c r="AA1396" t="str">
        <f t="shared" ca="1" si="651"/>
        <v>9324200.png</v>
      </c>
      <c r="AB1396">
        <f t="shared" si="652"/>
        <v>20</v>
      </c>
      <c r="AC1396">
        <f>VLOOKUP(C1396,技能辅助查询表,技能配置辅助表!$W$1,FALSE)</f>
        <v>65043890</v>
      </c>
      <c r="AD1396">
        <f t="shared" ca="1" si="614"/>
        <v>8.9353410442055328</v>
      </c>
      <c r="AE1396">
        <f>VLOOKUP(C1396,技能辅助查询表,技能配置辅助表!$U$1,FALSE)</f>
        <v>4</v>
      </c>
      <c r="AF1396">
        <f t="shared" ca="1" si="653"/>
        <v>9324217</v>
      </c>
      <c r="AG1396">
        <f t="shared" ca="1" si="654"/>
        <v>31.510204081632654</v>
      </c>
      <c r="AH1396">
        <f t="shared" ca="1" si="655"/>
        <v>105.14816728492683</v>
      </c>
      <c r="AI1396">
        <f ca="1">VLOOKUP(E1396,伤害参考系!$C$4:$E$104,3,FALSE)*$AN$12</f>
        <v>1873.3990785953181</v>
      </c>
      <c r="AJ1396">
        <f>VLOOKUP(C1396,技能辅助查询表,技能配置辅助表!$L$1,FALSE)</f>
        <v>1</v>
      </c>
      <c r="AK1396">
        <f>VLOOKUP(C1396,技能辅助查询表,技能配置辅助表!$AE$1,FALSE)</f>
        <v>66000650</v>
      </c>
    </row>
    <row r="1397" spans="1:37" x14ac:dyDescent="0.15">
      <c r="A1397" s="1">
        <f t="shared" ca="1" si="618"/>
        <v>9324218</v>
      </c>
      <c r="B1397" s="1" t="str">
        <f t="shared" ca="1" si="619"/>
        <v>子弹风暴第2段</v>
      </c>
      <c r="C1397" t="s">
        <v>181</v>
      </c>
      <c r="D1397">
        <f t="shared" si="637"/>
        <v>3</v>
      </c>
      <c r="E1397" s="42">
        <f t="shared" ca="1" si="611"/>
        <v>34</v>
      </c>
      <c r="F1397" t="str">
        <f t="shared" ca="1" si="612"/>
        <v>第18级，共造成143.7%点伤害</v>
      </c>
      <c r="G1397">
        <f t="shared" ca="1" si="638"/>
        <v>2</v>
      </c>
      <c r="H1397">
        <f t="shared" si="639"/>
        <v>2</v>
      </c>
      <c r="I1397" s="44">
        <f t="shared" ca="1" si="640"/>
        <v>18</v>
      </c>
      <c r="J1397">
        <f t="shared" si="641"/>
        <v>2</v>
      </c>
      <c r="K1397" s="36">
        <f t="shared" ca="1" si="642"/>
        <v>143.70714285714288</v>
      </c>
      <c r="L1397" s="10">
        <f ca="1">AH1397*VLOOKUP(C1397,技能辅助查询表,技能配置辅助表!$T$1,FALSE)</f>
        <v>0</v>
      </c>
      <c r="M1397">
        <f t="shared" ca="1" si="609"/>
        <v>6560</v>
      </c>
      <c r="N1397" s="33">
        <f ca="1">CHOOSE(1,W1397*U1397,X1397*'[1]0、经济设定'!$C$18)</f>
        <v>7656</v>
      </c>
      <c r="O1397">
        <f t="shared" si="643"/>
        <v>4</v>
      </c>
      <c r="P1397">
        <f t="shared" si="644"/>
        <v>1</v>
      </c>
      <c r="Q1397">
        <f t="shared" si="645"/>
        <v>1</v>
      </c>
      <c r="R1397" s="2">
        <f t="shared" si="646"/>
        <v>8</v>
      </c>
      <c r="S1397" s="2">
        <f t="shared" si="647"/>
        <v>50</v>
      </c>
      <c r="T1397" s="2">
        <f t="shared" si="648"/>
        <v>121.78571428571431</v>
      </c>
      <c r="U1397" s="2">
        <f ca="1">VLOOKUP(E1397,金币生产率!$A$2:$B$120,2,0)</f>
        <v>696</v>
      </c>
      <c r="V1397" s="2">
        <f t="shared" si="649"/>
        <v>121.78571428571431</v>
      </c>
      <c r="W1397" s="45">
        <f t="shared" ca="1" si="616"/>
        <v>11</v>
      </c>
      <c r="X1397" s="48">
        <f t="shared" ca="1" si="617"/>
        <v>118</v>
      </c>
      <c r="Y1397">
        <f t="shared" si="650"/>
        <v>18</v>
      </c>
      <c r="Z1397">
        <f t="shared" ca="1" si="613"/>
        <v>5</v>
      </c>
      <c r="AA1397" t="str">
        <f t="shared" ca="1" si="651"/>
        <v>9324200.png</v>
      </c>
      <c r="AB1397">
        <f t="shared" si="652"/>
        <v>20</v>
      </c>
      <c r="AC1397">
        <f>VLOOKUP(C1397,技能辅助查询表,技能配置辅助表!$W$1,FALSE)</f>
        <v>65043890</v>
      </c>
      <c r="AD1397">
        <f t="shared" ca="1" si="614"/>
        <v>10.464346575334986</v>
      </c>
      <c r="AE1397">
        <f>VLOOKUP(C1397,技能辅助查询表,技能配置辅助表!$U$1,FALSE)</f>
        <v>4</v>
      </c>
      <c r="AF1397">
        <f t="shared" ca="1" si="653"/>
        <v>9324218</v>
      </c>
      <c r="AG1397">
        <f t="shared" ca="1" si="654"/>
        <v>32.979591836734699</v>
      </c>
      <c r="AH1397">
        <f t="shared" ca="1" si="655"/>
        <v>119.70979903145096</v>
      </c>
      <c r="AI1397">
        <f ca="1">VLOOKUP(E1397,伤害参考系!$C$4:$E$104,3,FALSE)*$AN$12</f>
        <v>2196.2761028428095</v>
      </c>
      <c r="AJ1397">
        <f>VLOOKUP(C1397,技能辅助查询表,技能配置辅助表!$L$1,FALSE)</f>
        <v>1</v>
      </c>
      <c r="AK1397">
        <f>VLOOKUP(C1397,技能辅助查询表,技能配置辅助表!$AE$1,FALSE)</f>
        <v>66000650</v>
      </c>
    </row>
    <row r="1398" spans="1:37" x14ac:dyDescent="0.15">
      <c r="A1398" s="1">
        <f t="shared" ca="1" si="618"/>
        <v>9324219</v>
      </c>
      <c r="B1398" s="1" t="str">
        <f t="shared" ca="1" si="619"/>
        <v>子弹风暴第2段</v>
      </c>
      <c r="C1398" t="s">
        <v>181</v>
      </c>
      <c r="D1398">
        <f t="shared" si="637"/>
        <v>3</v>
      </c>
      <c r="E1398" s="42">
        <f t="shared" ca="1" si="611"/>
        <v>35</v>
      </c>
      <c r="F1398" t="str">
        <f t="shared" ca="1" si="612"/>
        <v>第19级，共造成144.9%点伤害</v>
      </c>
      <c r="G1398">
        <f t="shared" ca="1" si="638"/>
        <v>2</v>
      </c>
      <c r="H1398">
        <f t="shared" si="639"/>
        <v>2</v>
      </c>
      <c r="I1398" s="44">
        <f t="shared" ca="1" si="640"/>
        <v>19</v>
      </c>
      <c r="J1398">
        <f t="shared" si="641"/>
        <v>2</v>
      </c>
      <c r="K1398" s="36">
        <f t="shared" ca="1" si="642"/>
        <v>144.92500000000001</v>
      </c>
      <c r="L1398" s="10">
        <f ca="1">AH1398*VLOOKUP(C1398,技能辅助查询表,技能配置辅助表!$T$1,FALSE)</f>
        <v>0</v>
      </c>
      <c r="M1398">
        <f t="shared" ca="1" si="609"/>
        <v>6480</v>
      </c>
      <c r="N1398" s="33">
        <f ca="1">CHOOSE(1,W1398*U1398,X1398*'[1]0、经济设定'!$C$18)</f>
        <v>8916</v>
      </c>
      <c r="O1398">
        <f t="shared" si="643"/>
        <v>4</v>
      </c>
      <c r="P1398">
        <f t="shared" si="644"/>
        <v>1</v>
      </c>
      <c r="Q1398">
        <f t="shared" si="645"/>
        <v>1</v>
      </c>
      <c r="R1398" s="2">
        <f t="shared" si="646"/>
        <v>8</v>
      </c>
      <c r="S1398" s="2">
        <f t="shared" si="647"/>
        <v>50</v>
      </c>
      <c r="T1398" s="2">
        <f t="shared" si="648"/>
        <v>121.78571428571431</v>
      </c>
      <c r="U1398" s="2">
        <f ca="1">VLOOKUP(E1398,金币生产率!$A$2:$B$120,2,0)</f>
        <v>743</v>
      </c>
      <c r="V1398" s="2">
        <f t="shared" si="649"/>
        <v>121.78571428571431</v>
      </c>
      <c r="W1398" s="45">
        <f t="shared" ca="1" si="616"/>
        <v>12</v>
      </c>
      <c r="X1398" s="48">
        <f t="shared" ca="1" si="617"/>
        <v>130</v>
      </c>
      <c r="Y1398">
        <f t="shared" si="650"/>
        <v>18</v>
      </c>
      <c r="Z1398">
        <f t="shared" ca="1" si="613"/>
        <v>5</v>
      </c>
      <c r="AA1398" t="str">
        <f t="shared" ca="1" si="651"/>
        <v>9324200.png</v>
      </c>
      <c r="AB1398">
        <f t="shared" si="652"/>
        <v>20</v>
      </c>
      <c r="AC1398">
        <f>VLOOKUP(C1398,技能辅助查询表,技能配置辅助表!$W$1,FALSE)</f>
        <v>65043890</v>
      </c>
      <c r="AD1398">
        <f t="shared" ca="1" si="614"/>
        <v>12.245478988586143</v>
      </c>
      <c r="AE1398">
        <f>VLOOKUP(C1398,技能辅助查询表,技能配置辅助表!$U$1,FALSE)</f>
        <v>4</v>
      </c>
      <c r="AF1398">
        <f t="shared" ca="1" si="653"/>
        <v>9324219</v>
      </c>
      <c r="AG1398">
        <f t="shared" ca="1" si="654"/>
        <v>34.448979591836732</v>
      </c>
      <c r="AH1398">
        <f t="shared" ca="1" si="655"/>
        <v>136.28802435822078</v>
      </c>
      <c r="AI1398">
        <f ca="1">VLOOKUP(E1398,伤害参考系!$C$4:$E$104,3,FALSE)*$AN$12</f>
        <v>2367.0860869565217</v>
      </c>
      <c r="AJ1398">
        <f>VLOOKUP(C1398,技能辅助查询表,技能配置辅助表!$L$1,FALSE)</f>
        <v>1</v>
      </c>
      <c r="AK1398">
        <f>VLOOKUP(C1398,技能辅助查询表,技能配置辅助表!$AE$1,FALSE)</f>
        <v>66000650</v>
      </c>
    </row>
    <row r="1399" spans="1:37" x14ac:dyDescent="0.15">
      <c r="A1399" s="1">
        <f t="shared" ca="1" si="618"/>
        <v>9324220</v>
      </c>
      <c r="B1399" s="1" t="str">
        <f t="shared" ca="1" si="619"/>
        <v>子弹风暴第2段</v>
      </c>
      <c r="C1399" t="s">
        <v>181</v>
      </c>
      <c r="D1399">
        <f t="shared" si="637"/>
        <v>3</v>
      </c>
      <c r="E1399" s="42">
        <f t="shared" ca="1" si="611"/>
        <v>37</v>
      </c>
      <c r="F1399" t="str">
        <f t="shared" ca="1" si="612"/>
        <v>第20级，共造成146.1%点伤害</v>
      </c>
      <c r="G1399">
        <f t="shared" ca="1" si="638"/>
        <v>2</v>
      </c>
      <c r="H1399">
        <f t="shared" si="639"/>
        <v>2</v>
      </c>
      <c r="I1399" s="44">
        <f t="shared" ca="1" si="640"/>
        <v>20</v>
      </c>
      <c r="J1399">
        <f t="shared" si="641"/>
        <v>2</v>
      </c>
      <c r="K1399" s="36">
        <f t="shared" ca="1" si="642"/>
        <v>146.14285714285717</v>
      </c>
      <c r="L1399" s="10">
        <f ca="1">AH1399*VLOOKUP(C1399,技能辅助查询表,技能配置辅助表!$T$1,FALSE)</f>
        <v>0</v>
      </c>
      <c r="M1399">
        <f t="shared" ca="1" si="609"/>
        <v>6400</v>
      </c>
      <c r="N1399" s="33">
        <f ca="1">CHOOSE(1,W1399*U1399,X1399*'[1]0、经济设定'!$C$18)</f>
        <v>10933</v>
      </c>
      <c r="O1399">
        <f t="shared" si="643"/>
        <v>4</v>
      </c>
      <c r="P1399">
        <f t="shared" si="644"/>
        <v>1</v>
      </c>
      <c r="Q1399">
        <f t="shared" si="645"/>
        <v>1</v>
      </c>
      <c r="R1399" s="2">
        <f t="shared" si="646"/>
        <v>8</v>
      </c>
      <c r="S1399" s="2">
        <f t="shared" si="647"/>
        <v>50</v>
      </c>
      <c r="T1399" s="2">
        <f t="shared" si="648"/>
        <v>121.78571428571431</v>
      </c>
      <c r="U1399" s="2">
        <f ca="1">VLOOKUP(E1399,金币生产率!$A$2:$B$120,2,0)</f>
        <v>841</v>
      </c>
      <c r="V1399" s="2">
        <f t="shared" si="649"/>
        <v>121.78571428571431</v>
      </c>
      <c r="W1399" s="45">
        <f t="shared" ca="1" si="616"/>
        <v>13</v>
      </c>
      <c r="X1399" s="48">
        <f t="shared" ca="1" si="617"/>
        <v>143</v>
      </c>
      <c r="Y1399">
        <f t="shared" si="650"/>
        <v>18</v>
      </c>
      <c r="Z1399">
        <f t="shared" ca="1" si="613"/>
        <v>6</v>
      </c>
      <c r="AA1399" t="str">
        <f t="shared" ca="1" si="651"/>
        <v>9324200.png</v>
      </c>
      <c r="AB1399">
        <f t="shared" si="652"/>
        <v>20</v>
      </c>
      <c r="AC1399">
        <f>VLOOKUP(C1399,技能辅助查询表,技能配置辅助表!$W$1,FALSE)</f>
        <v>65043890</v>
      </c>
      <c r="AD1399">
        <f t="shared" ca="1" si="614"/>
        <v>14.319246597070498</v>
      </c>
      <c r="AE1399">
        <f>VLOOKUP(C1399,技能辅助查询表,技能配置辅助表!$U$1,FALSE)</f>
        <v>4</v>
      </c>
      <c r="AF1399">
        <f t="shared" ca="1" si="653"/>
        <v>9324220</v>
      </c>
      <c r="AG1399">
        <f t="shared" ca="1" si="654"/>
        <v>35.91836734693878</v>
      </c>
      <c r="AH1399">
        <f t="shared" ca="1" si="655"/>
        <v>155.16211482893718</v>
      </c>
      <c r="AI1399">
        <f ca="1">VLOOKUP(E1399,伤害参考系!$C$4:$E$104,3,FALSE)*$AN$12</f>
        <v>2727.4489991638798</v>
      </c>
      <c r="AJ1399">
        <f>VLOOKUP(C1399,技能辅助查询表,技能配置辅助表!$L$1,FALSE)</f>
        <v>1</v>
      </c>
      <c r="AK1399">
        <f>VLOOKUP(C1399,技能辅助查询表,技能配置辅助表!$AE$1,FALSE)</f>
        <v>66000650</v>
      </c>
    </row>
    <row r="1400" spans="1:37" x14ac:dyDescent="0.15">
      <c r="A1400" s="1">
        <f t="shared" ca="1" si="618"/>
        <v>9324221</v>
      </c>
      <c r="B1400" s="1" t="str">
        <f t="shared" ca="1" si="619"/>
        <v>子弹风暴第2段</v>
      </c>
      <c r="C1400" t="s">
        <v>181</v>
      </c>
      <c r="D1400">
        <f t="shared" si="637"/>
        <v>3</v>
      </c>
      <c r="E1400" s="42">
        <f t="shared" ca="1" si="611"/>
        <v>38</v>
      </c>
      <c r="F1400" t="str">
        <f t="shared" ca="1" si="612"/>
        <v>第21级，共造成147.4%点伤害</v>
      </c>
      <c r="G1400">
        <f t="shared" ca="1" si="638"/>
        <v>2</v>
      </c>
      <c r="H1400">
        <f t="shared" si="639"/>
        <v>2</v>
      </c>
      <c r="I1400" s="44">
        <f t="shared" ca="1" si="640"/>
        <v>21</v>
      </c>
      <c r="J1400">
        <f t="shared" si="641"/>
        <v>2</v>
      </c>
      <c r="K1400" s="36">
        <f t="shared" ca="1" si="642"/>
        <v>147.36071428571432</v>
      </c>
      <c r="L1400" s="10">
        <f ca="1">AH1400*VLOOKUP(C1400,技能辅助查询表,技能配置辅助表!$T$1,FALSE)</f>
        <v>0</v>
      </c>
      <c r="M1400">
        <f t="shared" ca="1" si="609"/>
        <v>6320</v>
      </c>
      <c r="N1400" s="33">
        <f ca="1">CHOOSE(1,W1400*U1400,X1400*'[1]0、经济设定'!$C$18)</f>
        <v>11596</v>
      </c>
      <c r="O1400">
        <f t="shared" si="643"/>
        <v>4</v>
      </c>
      <c r="P1400">
        <f t="shared" si="644"/>
        <v>1</v>
      </c>
      <c r="Q1400">
        <f t="shared" si="645"/>
        <v>1</v>
      </c>
      <c r="R1400" s="2">
        <f t="shared" si="646"/>
        <v>8</v>
      </c>
      <c r="S1400" s="2">
        <f t="shared" si="647"/>
        <v>50</v>
      </c>
      <c r="T1400" s="2">
        <f t="shared" si="648"/>
        <v>121.78571428571431</v>
      </c>
      <c r="U1400" s="2">
        <f ca="1">VLOOKUP(E1400,金币生产率!$A$2:$B$120,2,0)</f>
        <v>892</v>
      </c>
      <c r="V1400" s="2">
        <f t="shared" si="649"/>
        <v>121.78571428571431</v>
      </c>
      <c r="W1400" s="45">
        <f t="shared" ca="1" si="616"/>
        <v>13</v>
      </c>
      <c r="X1400" s="48">
        <f t="shared" ca="1" si="617"/>
        <v>156</v>
      </c>
      <c r="Y1400">
        <f t="shared" si="650"/>
        <v>18</v>
      </c>
      <c r="Z1400">
        <f t="shared" ca="1" si="613"/>
        <v>6</v>
      </c>
      <c r="AA1400" t="str">
        <f t="shared" ca="1" si="651"/>
        <v>9324200.png</v>
      </c>
      <c r="AB1400">
        <f t="shared" si="652"/>
        <v>20</v>
      </c>
      <c r="AC1400">
        <f>VLOOKUP(C1400,技能辅助查询表,技能配置辅助表!$W$1,FALSE)</f>
        <v>65043890</v>
      </c>
      <c r="AD1400">
        <f t="shared" ca="1" si="614"/>
        <v>16.732542008004138</v>
      </c>
      <c r="AE1400">
        <f>VLOOKUP(C1400,技能辅助查询表,技能配置辅助表!$U$1,FALSE)</f>
        <v>4</v>
      </c>
      <c r="AF1400">
        <f t="shared" ca="1" si="653"/>
        <v>9324221</v>
      </c>
      <c r="AG1400">
        <f t="shared" ca="1" si="654"/>
        <v>37.387755102040813</v>
      </c>
      <c r="AH1400">
        <f t="shared" ca="1" si="655"/>
        <v>176.65001742859343</v>
      </c>
      <c r="AI1400">
        <f ca="1">VLOOKUP(E1400,伤害参考系!$C$4:$E$104,3,FALSE)*$AN$12</f>
        <v>2917.001927257525</v>
      </c>
      <c r="AJ1400">
        <f>VLOOKUP(C1400,技能辅助查询表,技能配置辅助表!$L$1,FALSE)</f>
        <v>1</v>
      </c>
      <c r="AK1400">
        <f>VLOOKUP(C1400,技能辅助查询表,技能配置辅助表!$AE$1,FALSE)</f>
        <v>66000650</v>
      </c>
    </row>
    <row r="1401" spans="1:37" x14ac:dyDescent="0.15">
      <c r="A1401" s="1">
        <f t="shared" ca="1" si="618"/>
        <v>9324222</v>
      </c>
      <c r="B1401" s="1" t="str">
        <f t="shared" ca="1" si="619"/>
        <v>子弹风暴第2段</v>
      </c>
      <c r="C1401" t="s">
        <v>181</v>
      </c>
      <c r="D1401">
        <f t="shared" si="637"/>
        <v>3</v>
      </c>
      <c r="E1401" s="42">
        <f t="shared" ca="1" si="611"/>
        <v>40</v>
      </c>
      <c r="F1401" t="str">
        <f t="shared" ca="1" si="612"/>
        <v>第22级，共造成148.6%点伤害</v>
      </c>
      <c r="G1401">
        <f t="shared" ca="1" si="638"/>
        <v>2</v>
      </c>
      <c r="H1401">
        <f t="shared" si="639"/>
        <v>2</v>
      </c>
      <c r="I1401" s="44">
        <f t="shared" ca="1" si="640"/>
        <v>22</v>
      </c>
      <c r="J1401">
        <f t="shared" si="641"/>
        <v>2</v>
      </c>
      <c r="K1401" s="36">
        <f t="shared" ca="1" si="642"/>
        <v>148.57857142857145</v>
      </c>
      <c r="L1401" s="10">
        <f ca="1">AH1401*VLOOKUP(C1401,技能辅助查询表,技能配置辅助表!$T$1,FALSE)</f>
        <v>0</v>
      </c>
      <c r="M1401">
        <f t="shared" ca="1" si="609"/>
        <v>6240</v>
      </c>
      <c r="N1401" s="33">
        <f ca="1">CHOOSE(1,W1401*U1401,X1401*'[1]0、经济设定'!$C$18)</f>
        <v>13972</v>
      </c>
      <c r="O1401">
        <f t="shared" si="643"/>
        <v>4</v>
      </c>
      <c r="P1401">
        <f t="shared" si="644"/>
        <v>1</v>
      </c>
      <c r="Q1401">
        <f t="shared" si="645"/>
        <v>1</v>
      </c>
      <c r="R1401" s="2">
        <f t="shared" si="646"/>
        <v>8</v>
      </c>
      <c r="S1401" s="2">
        <f t="shared" si="647"/>
        <v>50</v>
      </c>
      <c r="T1401" s="2">
        <f t="shared" si="648"/>
        <v>121.78571428571431</v>
      </c>
      <c r="U1401" s="2">
        <f ca="1">VLOOKUP(E1401,金币生产率!$A$2:$B$120,2,0)</f>
        <v>998</v>
      </c>
      <c r="V1401" s="2">
        <f t="shared" si="649"/>
        <v>121.78571428571431</v>
      </c>
      <c r="W1401" s="45">
        <f t="shared" ca="1" si="616"/>
        <v>14</v>
      </c>
      <c r="X1401" s="48">
        <f t="shared" ca="1" si="617"/>
        <v>170</v>
      </c>
      <c r="Y1401">
        <f t="shared" si="650"/>
        <v>18</v>
      </c>
      <c r="Z1401">
        <f t="shared" ca="1" si="613"/>
        <v>6</v>
      </c>
      <c r="AA1401" t="str">
        <f t="shared" ca="1" si="651"/>
        <v>9324200.png</v>
      </c>
      <c r="AB1401">
        <f t="shared" si="652"/>
        <v>20</v>
      </c>
      <c r="AC1401">
        <f>VLOOKUP(C1401,技能辅助查询表,技能配置辅助表!$W$1,FALSE)</f>
        <v>65043890</v>
      </c>
      <c r="AD1401">
        <f t="shared" ca="1" si="614"/>
        <v>19.539633511126191</v>
      </c>
      <c r="AE1401">
        <f>VLOOKUP(C1401,技能辅助查询表,技能配置辅助表!$U$1,FALSE)</f>
        <v>4</v>
      </c>
      <c r="AF1401">
        <f t="shared" ca="1" si="653"/>
        <v>9324222</v>
      </c>
      <c r="AG1401">
        <f t="shared" ca="1" si="654"/>
        <v>38.857142857142861</v>
      </c>
      <c r="AH1401">
        <f t="shared" ca="1" si="655"/>
        <v>201.11371059826985</v>
      </c>
      <c r="AI1401">
        <f ca="1">VLOOKUP(E1401,伤害参考系!$C$4:$E$104,3,FALSE)*$AN$12</f>
        <v>3344.7142474916404</v>
      </c>
      <c r="AJ1401">
        <f>VLOOKUP(C1401,技能辅助查询表,技能配置辅助表!$L$1,FALSE)</f>
        <v>1</v>
      </c>
      <c r="AK1401">
        <f>VLOOKUP(C1401,技能辅助查询表,技能配置辅助表!$AE$1,FALSE)</f>
        <v>66000650</v>
      </c>
    </row>
    <row r="1402" spans="1:37" x14ac:dyDescent="0.15">
      <c r="A1402" s="1">
        <f t="shared" ca="1" si="618"/>
        <v>9324223</v>
      </c>
      <c r="B1402" s="1" t="str">
        <f t="shared" ca="1" si="619"/>
        <v>子弹风暴第2段</v>
      </c>
      <c r="C1402" t="s">
        <v>181</v>
      </c>
      <c r="D1402">
        <f t="shared" si="637"/>
        <v>3</v>
      </c>
      <c r="E1402" s="42">
        <f t="shared" ca="1" si="611"/>
        <v>41</v>
      </c>
      <c r="F1402" t="str">
        <f t="shared" ca="1" si="612"/>
        <v>第23级，共造成149.8%点伤害</v>
      </c>
      <c r="G1402">
        <f t="shared" ca="1" si="638"/>
        <v>2</v>
      </c>
      <c r="H1402">
        <f t="shared" si="639"/>
        <v>2</v>
      </c>
      <c r="I1402" s="44">
        <f t="shared" ca="1" si="640"/>
        <v>23</v>
      </c>
      <c r="J1402">
        <f t="shared" si="641"/>
        <v>2</v>
      </c>
      <c r="K1402" s="36">
        <f t="shared" ca="1" si="642"/>
        <v>149.79642857142861</v>
      </c>
      <c r="L1402" s="10">
        <f ca="1">AH1402*VLOOKUP(C1402,技能辅助查询表,技能配置辅助表!$T$1,FALSE)</f>
        <v>0</v>
      </c>
      <c r="M1402">
        <f t="shared" ca="1" si="609"/>
        <v>6160</v>
      </c>
      <c r="N1402" s="33">
        <f ca="1">CHOOSE(1,W1402*U1402,X1402*'[1]0、经济设定'!$C$18)</f>
        <v>15795</v>
      </c>
      <c r="O1402">
        <f t="shared" si="643"/>
        <v>4</v>
      </c>
      <c r="P1402">
        <f t="shared" si="644"/>
        <v>1</v>
      </c>
      <c r="Q1402">
        <f t="shared" si="645"/>
        <v>1</v>
      </c>
      <c r="R1402" s="2">
        <f t="shared" si="646"/>
        <v>8</v>
      </c>
      <c r="S1402" s="2">
        <f t="shared" si="647"/>
        <v>50</v>
      </c>
      <c r="T1402" s="2">
        <f t="shared" si="648"/>
        <v>121.78571428571431</v>
      </c>
      <c r="U1402" s="2">
        <f ca="1">VLOOKUP(E1402,金币生产率!$A$2:$B$120,2,0)</f>
        <v>1053</v>
      </c>
      <c r="V1402" s="2">
        <f t="shared" si="649"/>
        <v>121.78571428571431</v>
      </c>
      <c r="W1402" s="45">
        <f t="shared" ca="1" si="616"/>
        <v>15</v>
      </c>
      <c r="X1402" s="48">
        <f t="shared" ca="1" si="617"/>
        <v>185</v>
      </c>
      <c r="Y1402">
        <f t="shared" si="650"/>
        <v>18</v>
      </c>
      <c r="Z1402">
        <f t="shared" ca="1" si="613"/>
        <v>6</v>
      </c>
      <c r="AA1402" t="str">
        <f t="shared" ca="1" si="651"/>
        <v>9324200.png</v>
      </c>
      <c r="AB1402">
        <f t="shared" si="652"/>
        <v>20</v>
      </c>
      <c r="AC1402">
        <f>VLOOKUP(C1402,技能辅助查询表,技能配置辅助表!$W$1,FALSE)</f>
        <v>65043890</v>
      </c>
      <c r="AD1402">
        <f t="shared" ca="1" si="614"/>
        <v>22.80330861375025</v>
      </c>
      <c r="AE1402">
        <f>VLOOKUP(C1402,技能辅助查询表,技能配置辅助表!$U$1,FALSE)</f>
        <v>4</v>
      </c>
      <c r="AF1402">
        <f t="shared" ca="1" si="653"/>
        <v>9324223</v>
      </c>
      <c r="AG1402">
        <f t="shared" ca="1" si="654"/>
        <v>40.326530612244895</v>
      </c>
      <c r="AH1402">
        <f t="shared" ca="1" si="655"/>
        <v>228.96530200997151</v>
      </c>
      <c r="AI1402">
        <f ca="1">VLOOKUP(E1402,伤害参考系!$C$4:$E$104,3,FALSE)*$AN$12</f>
        <v>3584.9561889632118</v>
      </c>
      <c r="AJ1402">
        <f>VLOOKUP(C1402,技能辅助查询表,技能配置辅助表!$L$1,FALSE)</f>
        <v>1</v>
      </c>
      <c r="AK1402">
        <f>VLOOKUP(C1402,技能辅助查询表,技能配置辅助表!$AE$1,FALSE)</f>
        <v>66000650</v>
      </c>
    </row>
    <row r="1403" spans="1:37" x14ac:dyDescent="0.15">
      <c r="A1403" s="1">
        <f t="shared" ca="1" si="618"/>
        <v>9324224</v>
      </c>
      <c r="B1403" s="1" t="str">
        <f t="shared" ca="1" si="619"/>
        <v>子弹风暴第2段</v>
      </c>
      <c r="C1403" t="s">
        <v>181</v>
      </c>
      <c r="D1403">
        <f t="shared" si="637"/>
        <v>3</v>
      </c>
      <c r="E1403" s="42">
        <f t="shared" ca="1" si="611"/>
        <v>43</v>
      </c>
      <c r="F1403" t="str">
        <f t="shared" ca="1" si="612"/>
        <v>第24级，共造成151%点伤害</v>
      </c>
      <c r="G1403">
        <f t="shared" ca="1" si="638"/>
        <v>2</v>
      </c>
      <c r="H1403">
        <f t="shared" si="639"/>
        <v>2</v>
      </c>
      <c r="I1403" s="44">
        <f t="shared" ca="1" si="640"/>
        <v>24</v>
      </c>
      <c r="J1403">
        <f t="shared" si="641"/>
        <v>2</v>
      </c>
      <c r="K1403" s="36">
        <f t="shared" ca="1" si="642"/>
        <v>151.01428571428573</v>
      </c>
      <c r="L1403" s="10">
        <f ca="1">AH1403*VLOOKUP(C1403,技能辅助查询表,技能配置辅助表!$T$1,FALSE)</f>
        <v>0</v>
      </c>
      <c r="M1403">
        <f t="shared" ca="1" si="609"/>
        <v>6080</v>
      </c>
      <c r="N1403" s="33">
        <f ca="1">CHOOSE(1,W1403*U1403,X1403*'[1]0、经济设定'!$C$18)</f>
        <v>18672</v>
      </c>
      <c r="O1403">
        <f t="shared" si="643"/>
        <v>4</v>
      </c>
      <c r="P1403">
        <f t="shared" si="644"/>
        <v>1</v>
      </c>
      <c r="Q1403">
        <f t="shared" si="645"/>
        <v>1</v>
      </c>
      <c r="R1403" s="2">
        <f t="shared" si="646"/>
        <v>8</v>
      </c>
      <c r="S1403" s="2">
        <f t="shared" si="647"/>
        <v>50</v>
      </c>
      <c r="T1403" s="2">
        <f t="shared" si="648"/>
        <v>121.78571428571431</v>
      </c>
      <c r="U1403" s="2">
        <f ca="1">VLOOKUP(E1403,金币生产率!$A$2:$B$120,2,0)</f>
        <v>1167</v>
      </c>
      <c r="V1403" s="2">
        <f t="shared" si="649"/>
        <v>121.78571428571431</v>
      </c>
      <c r="W1403" s="45">
        <f t="shared" ca="1" si="616"/>
        <v>16</v>
      </c>
      <c r="X1403" s="48">
        <f t="shared" ca="1" si="617"/>
        <v>201</v>
      </c>
      <c r="Y1403">
        <f t="shared" si="650"/>
        <v>18</v>
      </c>
      <c r="Z1403">
        <f t="shared" ca="1" si="613"/>
        <v>7</v>
      </c>
      <c r="AA1403" t="str">
        <f t="shared" ca="1" si="651"/>
        <v>9324200.png</v>
      </c>
      <c r="AB1403">
        <f t="shared" si="652"/>
        <v>20</v>
      </c>
      <c r="AC1403">
        <f>VLOOKUP(C1403,技能辅助查询表,技能配置辅助表!$W$1,FALSE)</f>
        <v>65043890</v>
      </c>
      <c r="AD1403">
        <f t="shared" ca="1" si="614"/>
        <v>26.596192849613338</v>
      </c>
      <c r="AE1403">
        <f>VLOOKUP(C1403,技能辅助查询表,技能配置辅助表!$U$1,FALSE)</f>
        <v>4</v>
      </c>
      <c r="AF1403">
        <f t="shared" ca="1" si="653"/>
        <v>9324224</v>
      </c>
      <c r="AG1403">
        <f t="shared" ca="1" si="654"/>
        <v>41.795918367346935</v>
      </c>
      <c r="AH1403">
        <f t="shared" ca="1" si="655"/>
        <v>260.67397080270689</v>
      </c>
      <c r="AI1403">
        <f ca="1">VLOOKUP(E1403,伤害参考系!$C$4:$E$104,3,FALSE)*$AN$12</f>
        <v>4090.4306638795993</v>
      </c>
      <c r="AJ1403">
        <f>VLOOKUP(C1403,技能辅助查询表,技能配置辅助表!$L$1,FALSE)</f>
        <v>1</v>
      </c>
      <c r="AK1403">
        <f>VLOOKUP(C1403,技能辅助查询表,技能配置辅助表!$AE$1,FALSE)</f>
        <v>66000650</v>
      </c>
    </row>
    <row r="1404" spans="1:37" x14ac:dyDescent="0.15">
      <c r="A1404" s="1">
        <f t="shared" ca="1" si="618"/>
        <v>9324225</v>
      </c>
      <c r="B1404" s="1" t="str">
        <f t="shared" ca="1" si="619"/>
        <v>子弹风暴第2段</v>
      </c>
      <c r="C1404" t="s">
        <v>181</v>
      </c>
      <c r="D1404">
        <f t="shared" si="637"/>
        <v>3</v>
      </c>
      <c r="E1404" s="42">
        <f t="shared" ca="1" si="611"/>
        <v>44</v>
      </c>
      <c r="F1404" t="str">
        <f t="shared" ca="1" si="612"/>
        <v>第25级，共造成152.2%点伤害</v>
      </c>
      <c r="G1404">
        <f t="shared" ca="1" si="638"/>
        <v>2</v>
      </c>
      <c r="H1404">
        <f t="shared" si="639"/>
        <v>2</v>
      </c>
      <c r="I1404" s="44">
        <f t="shared" ca="1" si="640"/>
        <v>25</v>
      </c>
      <c r="J1404">
        <f t="shared" si="641"/>
        <v>2</v>
      </c>
      <c r="K1404" s="36">
        <f t="shared" ca="1" si="642"/>
        <v>152.23214285714289</v>
      </c>
      <c r="L1404" s="10">
        <f ca="1">AH1404*VLOOKUP(C1404,技能辅助查询表,技能配置辅助表!$T$1,FALSE)</f>
        <v>0</v>
      </c>
      <c r="M1404">
        <f t="shared" ca="1" si="609"/>
        <v>6000</v>
      </c>
      <c r="N1404" s="33">
        <f ca="1">CHOOSE(1,W1404*U1404,X1404*'[1]0、经济设定'!$C$18)</f>
        <v>22068</v>
      </c>
      <c r="O1404">
        <f t="shared" si="643"/>
        <v>4</v>
      </c>
      <c r="P1404">
        <f t="shared" si="644"/>
        <v>1</v>
      </c>
      <c r="Q1404">
        <f t="shared" si="645"/>
        <v>1</v>
      </c>
      <c r="R1404" s="2">
        <f t="shared" si="646"/>
        <v>8</v>
      </c>
      <c r="S1404" s="2">
        <f t="shared" si="647"/>
        <v>50</v>
      </c>
      <c r="T1404" s="2">
        <f t="shared" si="648"/>
        <v>121.78571428571431</v>
      </c>
      <c r="U1404" s="2">
        <f ca="1">VLOOKUP(E1404,金币生产率!$A$2:$B$120,2,0)</f>
        <v>1226</v>
      </c>
      <c r="V1404" s="2">
        <f t="shared" si="649"/>
        <v>121.78571428571431</v>
      </c>
      <c r="W1404" s="45">
        <f t="shared" ca="1" si="616"/>
        <v>18</v>
      </c>
      <c r="X1404" s="48">
        <f t="shared" ca="1" si="617"/>
        <v>219</v>
      </c>
      <c r="Y1404">
        <f t="shared" si="650"/>
        <v>18</v>
      </c>
      <c r="Z1404">
        <f t="shared" ca="1" si="613"/>
        <v>8</v>
      </c>
      <c r="AA1404" t="str">
        <f t="shared" ca="1" si="651"/>
        <v>9324200.png</v>
      </c>
      <c r="AB1404">
        <f t="shared" si="652"/>
        <v>20</v>
      </c>
      <c r="AC1404">
        <f>VLOOKUP(C1404,技能辅助查询表,技能配置辅助表!$W$1,FALSE)</f>
        <v>65043890</v>
      </c>
      <c r="AD1404">
        <f t="shared" ca="1" si="614"/>
        <v>31.002270476342755</v>
      </c>
      <c r="AE1404">
        <f>VLOOKUP(C1404,技能辅助查询表,技能配置辅助表!$U$1,FALSE)</f>
        <v>4</v>
      </c>
      <c r="AF1404">
        <f t="shared" ca="1" si="653"/>
        <v>9324225</v>
      </c>
      <c r="AG1404">
        <f t="shared" ca="1" si="654"/>
        <v>43.265306122448976</v>
      </c>
      <c r="AH1404">
        <f t="shared" ca="1" si="655"/>
        <v>296.77387122652874</v>
      </c>
      <c r="AI1404">
        <f ca="1">VLOOKUP(E1404,伤害参考系!$C$4:$E$104,3,FALSE)*$AN$12</f>
        <v>4355.6631973244148</v>
      </c>
      <c r="AJ1404">
        <f>VLOOKUP(C1404,技能辅助查询表,技能配置辅助表!$L$1,FALSE)</f>
        <v>1</v>
      </c>
      <c r="AK1404">
        <f>VLOOKUP(C1404,技能辅助查询表,技能配置辅助表!$AE$1,FALSE)</f>
        <v>66000650</v>
      </c>
    </row>
    <row r="1405" spans="1:37" x14ac:dyDescent="0.15">
      <c r="A1405" s="1">
        <f t="shared" ca="1" si="618"/>
        <v>9324226</v>
      </c>
      <c r="B1405" s="1" t="str">
        <f t="shared" ca="1" si="619"/>
        <v>子弹风暴第2段</v>
      </c>
      <c r="C1405" t="s">
        <v>181</v>
      </c>
      <c r="D1405">
        <f t="shared" si="637"/>
        <v>3</v>
      </c>
      <c r="E1405" s="42">
        <f t="shared" ca="1" si="611"/>
        <v>45</v>
      </c>
      <c r="F1405" t="str">
        <f t="shared" ca="1" si="612"/>
        <v>第26级，共造成153.5%点伤害</v>
      </c>
      <c r="G1405">
        <f t="shared" ca="1" si="638"/>
        <v>2</v>
      </c>
      <c r="H1405">
        <f t="shared" si="639"/>
        <v>2</v>
      </c>
      <c r="I1405" s="44">
        <f t="shared" ca="1" si="640"/>
        <v>26</v>
      </c>
      <c r="J1405">
        <f t="shared" si="641"/>
        <v>2</v>
      </c>
      <c r="K1405" s="36">
        <f t="shared" ca="1" si="642"/>
        <v>153.45000000000002</v>
      </c>
      <c r="L1405" s="10">
        <f ca="1">AH1405*VLOOKUP(C1405,技能辅助查询表,技能配置辅助表!$T$1,FALSE)</f>
        <v>0</v>
      </c>
      <c r="M1405">
        <f t="shared" ca="1" si="609"/>
        <v>5920</v>
      </c>
      <c r="N1405" s="33">
        <f ca="1">CHOOSE(1,W1405*U1405,X1405*'[1]0、经济设定'!$C$18)</f>
        <v>24453</v>
      </c>
      <c r="O1405">
        <f t="shared" si="643"/>
        <v>4</v>
      </c>
      <c r="P1405">
        <f t="shared" si="644"/>
        <v>1</v>
      </c>
      <c r="Q1405">
        <f t="shared" si="645"/>
        <v>1</v>
      </c>
      <c r="R1405" s="2">
        <f t="shared" si="646"/>
        <v>8</v>
      </c>
      <c r="S1405" s="2">
        <f t="shared" si="647"/>
        <v>50</v>
      </c>
      <c r="T1405" s="2">
        <f t="shared" si="648"/>
        <v>121.78571428571431</v>
      </c>
      <c r="U1405" s="2">
        <f ca="1">VLOOKUP(E1405,金币生产率!$A$2:$B$120,2,0)</f>
        <v>1287</v>
      </c>
      <c r="V1405" s="2">
        <f t="shared" si="649"/>
        <v>121.78571428571431</v>
      </c>
      <c r="W1405" s="45">
        <f t="shared" ca="1" si="616"/>
        <v>19</v>
      </c>
      <c r="X1405" s="48">
        <f t="shared" ca="1" si="617"/>
        <v>238</v>
      </c>
      <c r="Y1405">
        <f t="shared" si="650"/>
        <v>18</v>
      </c>
      <c r="Z1405">
        <f t="shared" ca="1" si="613"/>
        <v>8</v>
      </c>
      <c r="AA1405" t="str">
        <f t="shared" ca="1" si="651"/>
        <v>9324200.png</v>
      </c>
      <c r="AB1405">
        <f t="shared" si="652"/>
        <v>20</v>
      </c>
      <c r="AC1405">
        <f>VLOOKUP(C1405,技能辅助查询表,技能配置辅助表!$W$1,FALSE)</f>
        <v>65043890</v>
      </c>
      <c r="AD1405">
        <f t="shared" ca="1" si="614"/>
        <v>36.118637686457632</v>
      </c>
      <c r="AE1405">
        <f>VLOOKUP(C1405,技能辅助查询表,技能配置辅助表!$U$1,FALSE)</f>
        <v>4</v>
      </c>
      <c r="AF1405">
        <f t="shared" ca="1" si="653"/>
        <v>9324226</v>
      </c>
      <c r="AG1405">
        <f t="shared" ca="1" si="654"/>
        <v>44.734693877551024</v>
      </c>
      <c r="AH1405">
        <f t="shared" ca="1" si="655"/>
        <v>337.87313083683472</v>
      </c>
      <c r="AI1405">
        <f ca="1">VLOOKUP(E1405,伤害参考系!$C$4:$E$104,3,FALSE)*$AN$12</f>
        <v>4629.2259280936469</v>
      </c>
      <c r="AJ1405">
        <f>VLOOKUP(C1405,技能辅助查询表,技能配置辅助表!$L$1,FALSE)</f>
        <v>1</v>
      </c>
      <c r="AK1405">
        <f>VLOOKUP(C1405,技能辅助查询表,技能配置辅助表!$AE$1,FALSE)</f>
        <v>66000650</v>
      </c>
    </row>
    <row r="1406" spans="1:37" x14ac:dyDescent="0.15">
      <c r="A1406" s="1">
        <f t="shared" ca="1" si="618"/>
        <v>9324227</v>
      </c>
      <c r="B1406" s="1" t="str">
        <f t="shared" ca="1" si="619"/>
        <v>子弹风暴第2段</v>
      </c>
      <c r="C1406" t="s">
        <v>181</v>
      </c>
      <c r="D1406">
        <f t="shared" si="637"/>
        <v>3</v>
      </c>
      <c r="E1406" s="42">
        <f t="shared" ca="1" si="611"/>
        <v>47</v>
      </c>
      <c r="F1406" t="str">
        <f t="shared" ca="1" si="612"/>
        <v>第27级，共造成154.7%点伤害</v>
      </c>
      <c r="G1406">
        <f t="shared" ca="1" si="638"/>
        <v>2</v>
      </c>
      <c r="H1406">
        <f t="shared" si="639"/>
        <v>2</v>
      </c>
      <c r="I1406" s="44">
        <f t="shared" ca="1" si="640"/>
        <v>27</v>
      </c>
      <c r="J1406">
        <f t="shared" si="641"/>
        <v>2</v>
      </c>
      <c r="K1406" s="36">
        <f t="shared" ca="1" si="642"/>
        <v>154.66785714285717</v>
      </c>
      <c r="L1406" s="10">
        <f ca="1">AH1406*VLOOKUP(C1406,技能辅助查询表,技能配置辅助表!$T$1,FALSE)</f>
        <v>0</v>
      </c>
      <c r="M1406">
        <f t="shared" ca="1" si="609"/>
        <v>5840</v>
      </c>
      <c r="N1406" s="33">
        <f ca="1">CHOOSE(1,W1406*U1406,X1406*'[1]0、经济设定'!$C$18)</f>
        <v>28240</v>
      </c>
      <c r="O1406">
        <f t="shared" si="643"/>
        <v>4</v>
      </c>
      <c r="P1406">
        <f t="shared" si="644"/>
        <v>1</v>
      </c>
      <c r="Q1406">
        <f t="shared" si="645"/>
        <v>1</v>
      </c>
      <c r="R1406" s="2">
        <f t="shared" si="646"/>
        <v>8</v>
      </c>
      <c r="S1406" s="2">
        <f t="shared" si="647"/>
        <v>50</v>
      </c>
      <c r="T1406" s="2">
        <f t="shared" si="648"/>
        <v>121.78571428571431</v>
      </c>
      <c r="U1406" s="2">
        <f ca="1">VLOOKUP(E1406,金币生产率!$A$2:$B$120,2,0)</f>
        <v>1412</v>
      </c>
      <c r="V1406" s="2">
        <f t="shared" si="649"/>
        <v>121.78571428571431</v>
      </c>
      <c r="W1406" s="45">
        <f t="shared" ca="1" si="616"/>
        <v>20</v>
      </c>
      <c r="X1406" s="48">
        <f t="shared" ca="1" si="617"/>
        <v>258</v>
      </c>
      <c r="Y1406">
        <f t="shared" si="650"/>
        <v>18</v>
      </c>
      <c r="Z1406">
        <f t="shared" ca="1" si="613"/>
        <v>8</v>
      </c>
      <c r="AA1406" t="str">
        <f t="shared" ca="1" si="651"/>
        <v>9324200.png</v>
      </c>
      <c r="AB1406">
        <f t="shared" si="652"/>
        <v>20</v>
      </c>
      <c r="AC1406">
        <f>VLOOKUP(C1406,技能辅助查询表,技能配置辅助表!$W$1,FALSE)</f>
        <v>65043890</v>
      </c>
      <c r="AD1406">
        <f t="shared" ca="1" si="614"/>
        <v>42.057523567177455</v>
      </c>
      <c r="AE1406">
        <f>VLOOKUP(C1406,技能辅助查询表,技能配置辅助表!$U$1,FALSE)</f>
        <v>4</v>
      </c>
      <c r="AF1406">
        <f t="shared" ca="1" si="653"/>
        <v>9324227</v>
      </c>
      <c r="AG1406">
        <f t="shared" ca="1" si="654"/>
        <v>46.204081632653065</v>
      </c>
      <c r="AH1406">
        <f t="shared" ca="1" si="655"/>
        <v>384.66409481967975</v>
      </c>
      <c r="AI1406">
        <f ca="1">VLOOKUP(E1406,伤害参考系!$C$4:$E$104,3,FALSE)*$AN$12</f>
        <v>5201.3419816053529</v>
      </c>
      <c r="AJ1406">
        <f>VLOOKUP(C1406,技能辅助查询表,技能配置辅助表!$L$1,FALSE)</f>
        <v>1</v>
      </c>
      <c r="AK1406">
        <f>VLOOKUP(C1406,技能辅助查询表,技能配置辅助表!$AE$1,FALSE)</f>
        <v>66000650</v>
      </c>
    </row>
    <row r="1407" spans="1:37" x14ac:dyDescent="0.15">
      <c r="A1407" s="1">
        <f t="shared" ca="1" si="618"/>
        <v>9324228</v>
      </c>
      <c r="B1407" s="1" t="str">
        <f t="shared" ca="1" si="619"/>
        <v>子弹风暴第2段</v>
      </c>
      <c r="C1407" t="s">
        <v>181</v>
      </c>
      <c r="D1407">
        <f t="shared" si="637"/>
        <v>3</v>
      </c>
      <c r="E1407" s="42">
        <f t="shared" ca="1" si="611"/>
        <v>48</v>
      </c>
      <c r="F1407" t="str">
        <f t="shared" ca="1" si="612"/>
        <v>第28级，共造成155.9%点伤害</v>
      </c>
      <c r="G1407">
        <f t="shared" ca="1" si="638"/>
        <v>2</v>
      </c>
      <c r="H1407">
        <f t="shared" si="639"/>
        <v>2</v>
      </c>
      <c r="I1407" s="44">
        <f t="shared" ca="1" si="640"/>
        <v>28</v>
      </c>
      <c r="J1407">
        <f t="shared" si="641"/>
        <v>2</v>
      </c>
      <c r="K1407" s="36">
        <f t="shared" ca="1" si="642"/>
        <v>155.8857142857143</v>
      </c>
      <c r="L1407" s="10">
        <f ca="1">AH1407*VLOOKUP(C1407,技能辅助查询表,技能配置辅助表!$T$1,FALSE)</f>
        <v>0</v>
      </c>
      <c r="M1407">
        <f t="shared" ca="1" si="609"/>
        <v>5760</v>
      </c>
      <c r="N1407" s="33">
        <f ca="1">CHOOSE(1,W1407*U1407,X1407*'[1]0、经济设定'!$C$18)</f>
        <v>31017</v>
      </c>
      <c r="O1407">
        <f t="shared" si="643"/>
        <v>4</v>
      </c>
      <c r="P1407">
        <f t="shared" si="644"/>
        <v>1</v>
      </c>
      <c r="Q1407">
        <f t="shared" si="645"/>
        <v>1</v>
      </c>
      <c r="R1407" s="2">
        <f t="shared" si="646"/>
        <v>8</v>
      </c>
      <c r="S1407" s="2">
        <f t="shared" si="647"/>
        <v>50</v>
      </c>
      <c r="T1407" s="2">
        <f t="shared" si="648"/>
        <v>121.78571428571431</v>
      </c>
      <c r="U1407" s="2">
        <f ca="1">VLOOKUP(E1407,金币生产率!$A$2:$B$120,2,0)</f>
        <v>1477</v>
      </c>
      <c r="V1407" s="2">
        <f t="shared" si="649"/>
        <v>121.78571428571431</v>
      </c>
      <c r="W1407" s="45">
        <f t="shared" ca="1" si="616"/>
        <v>21</v>
      </c>
      <c r="X1407" s="48">
        <f t="shared" ca="1" si="617"/>
        <v>279</v>
      </c>
      <c r="Y1407">
        <f t="shared" si="650"/>
        <v>18</v>
      </c>
      <c r="Z1407">
        <f t="shared" ca="1" si="613"/>
        <v>9</v>
      </c>
      <c r="AA1407" t="str">
        <f t="shared" ca="1" si="651"/>
        <v>9324200.png</v>
      </c>
      <c r="AB1407">
        <f t="shared" si="652"/>
        <v>20</v>
      </c>
      <c r="AC1407">
        <f>VLOOKUP(C1407,技能辅助查询表,技能配置辅助表!$W$1,FALSE)</f>
        <v>65043890</v>
      </c>
      <c r="AD1407">
        <f t="shared" ca="1" si="614"/>
        <v>48.948619344264714</v>
      </c>
      <c r="AE1407">
        <f>VLOOKUP(C1407,技能辅助查询表,技能配置辅助表!$U$1,FALSE)</f>
        <v>4</v>
      </c>
      <c r="AF1407">
        <f t="shared" ca="1" si="653"/>
        <v>9324228</v>
      </c>
      <c r="AG1407">
        <f t="shared" ca="1" si="654"/>
        <v>47.673469387755105</v>
      </c>
      <c r="AH1407">
        <f t="shared" ca="1" si="655"/>
        <v>437.93498902077317</v>
      </c>
      <c r="AI1407">
        <f ca="1">VLOOKUP(E1407,伤害参考系!$C$4:$E$104,3,FALSE)*$AN$12</f>
        <v>5499.8953043478286</v>
      </c>
      <c r="AJ1407">
        <f>VLOOKUP(C1407,技能辅助查询表,技能配置辅助表!$L$1,FALSE)</f>
        <v>1</v>
      </c>
      <c r="AK1407">
        <f>VLOOKUP(C1407,技能辅助查询表,技能配置辅助表!$AE$1,FALSE)</f>
        <v>66000650</v>
      </c>
    </row>
    <row r="1408" spans="1:37" x14ac:dyDescent="0.15">
      <c r="A1408" s="1">
        <f t="shared" ca="1" si="618"/>
        <v>9324229</v>
      </c>
      <c r="B1408" s="1" t="str">
        <f t="shared" ca="1" si="619"/>
        <v>子弹风暴第2段</v>
      </c>
      <c r="C1408" t="s">
        <v>181</v>
      </c>
      <c r="D1408">
        <f t="shared" si="637"/>
        <v>3</v>
      </c>
      <c r="E1408" s="42">
        <f t="shared" ca="1" si="611"/>
        <v>50</v>
      </c>
      <c r="F1408" t="str">
        <f t="shared" ca="1" si="612"/>
        <v>第29级，共造成157.1%点伤害</v>
      </c>
      <c r="G1408">
        <f t="shared" ca="1" si="638"/>
        <v>2</v>
      </c>
      <c r="H1408">
        <f t="shared" si="639"/>
        <v>2</v>
      </c>
      <c r="I1408" s="44">
        <f t="shared" ca="1" si="640"/>
        <v>29</v>
      </c>
      <c r="J1408">
        <f t="shared" si="641"/>
        <v>2</v>
      </c>
      <c r="K1408" s="36">
        <f t="shared" ca="1" si="642"/>
        <v>157.10357142857146</v>
      </c>
      <c r="L1408" s="10">
        <f ca="1">AH1408*VLOOKUP(C1408,技能辅助查询表,技能配置辅助表!$T$1,FALSE)</f>
        <v>0</v>
      </c>
      <c r="M1408">
        <f t="shared" ca="1" si="609"/>
        <v>5680</v>
      </c>
      <c r="N1408" s="33">
        <f ca="1">CHOOSE(1,W1408*U1408,X1408*'[1]0、经济设定'!$C$18)</f>
        <v>37030</v>
      </c>
      <c r="O1408">
        <f t="shared" si="643"/>
        <v>4</v>
      </c>
      <c r="P1408">
        <f t="shared" si="644"/>
        <v>1</v>
      </c>
      <c r="Q1408">
        <f t="shared" si="645"/>
        <v>1</v>
      </c>
      <c r="R1408" s="2">
        <f t="shared" si="646"/>
        <v>8</v>
      </c>
      <c r="S1408" s="2">
        <f t="shared" si="647"/>
        <v>50</v>
      </c>
      <c r="T1408" s="2">
        <f t="shared" si="648"/>
        <v>121.78571428571431</v>
      </c>
      <c r="U1408" s="2">
        <f ca="1">VLOOKUP(E1408,金币生产率!$A$2:$B$120,2,0)</f>
        <v>1610</v>
      </c>
      <c r="V1408" s="2">
        <f t="shared" si="649"/>
        <v>121.78571428571431</v>
      </c>
      <c r="W1408" s="45">
        <f t="shared" ca="1" si="616"/>
        <v>23</v>
      </c>
      <c r="X1408" s="48">
        <f t="shared" ca="1" si="617"/>
        <v>302</v>
      </c>
      <c r="Y1408">
        <f t="shared" si="650"/>
        <v>18</v>
      </c>
      <c r="Z1408">
        <f t="shared" ca="1" si="613"/>
        <v>10</v>
      </c>
      <c r="AA1408" t="str">
        <f t="shared" ca="1" si="651"/>
        <v>9324200.png</v>
      </c>
      <c r="AB1408">
        <f t="shared" si="652"/>
        <v>20</v>
      </c>
      <c r="AC1408">
        <f>VLOOKUP(C1408,技能辅助查询表,技能配置辅助表!$W$1,FALSE)</f>
        <v>65043890</v>
      </c>
      <c r="AD1408">
        <f t="shared" ca="1" si="614"/>
        <v>56.941762537274585</v>
      </c>
      <c r="AE1408">
        <f>VLOOKUP(C1408,技能辅助查询表,技能配置辅助表!$U$1,FALSE)</f>
        <v>4</v>
      </c>
      <c r="AF1408">
        <f t="shared" ca="1" si="653"/>
        <v>9324229</v>
      </c>
      <c r="AG1408">
        <f t="shared" ca="1" si="654"/>
        <v>49.142857142857146</v>
      </c>
      <c r="AH1408">
        <f t="shared" ca="1" si="655"/>
        <v>498.5831981498805</v>
      </c>
      <c r="AI1408">
        <f ca="1">VLOOKUP(E1408,伤害参考系!$C$4:$E$104,3,FALSE)*$AN$12</f>
        <v>6162.2688085284308</v>
      </c>
      <c r="AJ1408">
        <f>VLOOKUP(C1408,技能辅助查询表,技能配置辅助表!$L$1,FALSE)</f>
        <v>1</v>
      </c>
      <c r="AK1408">
        <f>VLOOKUP(C1408,技能辅助查询表,技能配置辅助表!$AE$1,FALSE)</f>
        <v>66000650</v>
      </c>
    </row>
    <row r="1409" spans="1:37" x14ac:dyDescent="0.15">
      <c r="A1409" s="1">
        <f t="shared" ca="1" si="618"/>
        <v>9324230</v>
      </c>
      <c r="B1409" s="1" t="str">
        <f t="shared" ca="1" si="619"/>
        <v>子弹风暴第2段</v>
      </c>
      <c r="C1409" t="s">
        <v>181</v>
      </c>
      <c r="D1409">
        <f t="shared" si="637"/>
        <v>3</v>
      </c>
      <c r="E1409" s="42">
        <f t="shared" ca="1" si="611"/>
        <v>51</v>
      </c>
      <c r="F1409" t="str">
        <f t="shared" ca="1" si="612"/>
        <v>第30级，共造成158.3%点伤害</v>
      </c>
      <c r="G1409">
        <f t="shared" ca="1" si="638"/>
        <v>2</v>
      </c>
      <c r="H1409">
        <f t="shared" si="639"/>
        <v>2</v>
      </c>
      <c r="I1409" s="44">
        <f t="shared" ca="1" si="640"/>
        <v>30</v>
      </c>
      <c r="J1409">
        <f t="shared" si="641"/>
        <v>2</v>
      </c>
      <c r="K1409" s="36">
        <f t="shared" ca="1" si="642"/>
        <v>158.32142857142861</v>
      </c>
      <c r="L1409" s="10">
        <f ca="1">AH1409*VLOOKUP(C1409,技能辅助查询表,技能配置辅助表!$T$1,FALSE)</f>
        <v>0</v>
      </c>
      <c r="M1409">
        <f t="shared" ca="1" si="609"/>
        <v>5600</v>
      </c>
      <c r="N1409" s="33">
        <f ca="1">CHOOSE(1,W1409*U1409,X1409*'[1]0、经济设定'!$C$18)</f>
        <v>41975</v>
      </c>
      <c r="O1409">
        <f t="shared" si="643"/>
        <v>4</v>
      </c>
      <c r="P1409">
        <f t="shared" si="644"/>
        <v>1</v>
      </c>
      <c r="Q1409">
        <f t="shared" si="645"/>
        <v>1</v>
      </c>
      <c r="R1409" s="2">
        <f t="shared" si="646"/>
        <v>8</v>
      </c>
      <c r="S1409" s="2">
        <f t="shared" si="647"/>
        <v>50</v>
      </c>
      <c r="T1409" s="2">
        <f t="shared" si="648"/>
        <v>121.78571428571431</v>
      </c>
      <c r="U1409" s="2">
        <f ca="1">VLOOKUP(E1409,金币生产率!$A$2:$B$120,2,0)</f>
        <v>1679</v>
      </c>
      <c r="V1409" s="2">
        <f t="shared" si="649"/>
        <v>121.78571428571431</v>
      </c>
      <c r="W1409" s="45">
        <f t="shared" ca="1" si="616"/>
        <v>25</v>
      </c>
      <c r="X1409" s="48">
        <f t="shared" ca="1" si="617"/>
        <v>327</v>
      </c>
      <c r="Y1409">
        <f t="shared" si="650"/>
        <v>18</v>
      </c>
      <c r="Z1409">
        <f t="shared" ca="1" si="613"/>
        <v>10</v>
      </c>
      <c r="AA1409" t="str">
        <f t="shared" ca="1" si="651"/>
        <v>9324200.png</v>
      </c>
      <c r="AB1409">
        <f t="shared" si="652"/>
        <v>20</v>
      </c>
      <c r="AC1409">
        <f>VLOOKUP(C1409,技能辅助查询表,技能配置辅助表!$W$1,FALSE)</f>
        <v>65043890</v>
      </c>
      <c r="AD1409">
        <f t="shared" ca="1" si="614"/>
        <v>66.210029655676749</v>
      </c>
      <c r="AE1409">
        <f>VLOOKUP(C1409,技能辅助查询表,技能配置辅助表!$U$1,FALSE)</f>
        <v>4</v>
      </c>
      <c r="AF1409">
        <f t="shared" ca="1" si="653"/>
        <v>9324230</v>
      </c>
      <c r="AG1409">
        <f t="shared" ca="1" si="654"/>
        <v>50.612244897959187</v>
      </c>
      <c r="AH1409">
        <f t="shared" ca="1" si="655"/>
        <v>567.63038284107404</v>
      </c>
      <c r="AI1409">
        <f ca="1">VLOOKUP(E1409,伤害参考系!$C$4:$E$104,3,FALSE)*$AN$12</f>
        <v>6528.1715392976603</v>
      </c>
      <c r="AJ1409">
        <f>VLOOKUP(C1409,技能辅助查询表,技能配置辅助表!$L$1,FALSE)</f>
        <v>1</v>
      </c>
      <c r="AK1409">
        <f>VLOOKUP(C1409,技能辅助查询表,技能配置辅助表!$AE$1,FALSE)</f>
        <v>66000650</v>
      </c>
    </row>
    <row r="1410" spans="1:37" x14ac:dyDescent="0.15">
      <c r="A1410" s="1">
        <f t="shared" ca="1" si="618"/>
        <v>9324231</v>
      </c>
      <c r="B1410" s="1" t="str">
        <f t="shared" ca="1" si="619"/>
        <v>子弹风暴第2段</v>
      </c>
      <c r="C1410" t="s">
        <v>181</v>
      </c>
      <c r="D1410">
        <f t="shared" si="637"/>
        <v>3</v>
      </c>
      <c r="E1410" s="42">
        <f t="shared" ca="1" si="611"/>
        <v>53</v>
      </c>
      <c r="F1410" t="str">
        <f t="shared" ca="1" si="612"/>
        <v>第31级，共造成159.5%点伤害</v>
      </c>
      <c r="G1410">
        <f t="shared" ca="1" si="638"/>
        <v>2</v>
      </c>
      <c r="H1410">
        <f t="shared" si="639"/>
        <v>2</v>
      </c>
      <c r="I1410" s="44">
        <f t="shared" ca="1" si="640"/>
        <v>31</v>
      </c>
      <c r="J1410">
        <f t="shared" si="641"/>
        <v>2</v>
      </c>
      <c r="K1410" s="36">
        <f t="shared" ca="1" si="642"/>
        <v>159.53928571428574</v>
      </c>
      <c r="L1410" s="10">
        <f ca="1">AH1410*VLOOKUP(C1410,技能辅助查询表,技能配置辅助表!$T$1,FALSE)</f>
        <v>0</v>
      </c>
      <c r="M1410">
        <f t="shared" ref="M1410:M1473" ca="1" si="656">IF(OR(I1410=0,I1410=1),VLOOKUP(C1410,技能辅助查询表,14,FALSE),VLOOKUP(C1410,技能辅助查询表,14,FALSE)-VLOOKUP(C1410,技能辅助查询表,14,FALSE)*0.5/S1410*I1410)</f>
        <v>5520</v>
      </c>
      <c r="N1410" s="33">
        <f ca="1">CHOOSE(1,W1410*U1410,X1410*'[1]0、经济设定'!$C$18)</f>
        <v>47320</v>
      </c>
      <c r="O1410">
        <f t="shared" si="643"/>
        <v>4</v>
      </c>
      <c r="P1410">
        <f t="shared" si="644"/>
        <v>1</v>
      </c>
      <c r="Q1410">
        <f t="shared" si="645"/>
        <v>1</v>
      </c>
      <c r="R1410" s="2">
        <f t="shared" si="646"/>
        <v>8</v>
      </c>
      <c r="S1410" s="2">
        <f t="shared" si="647"/>
        <v>50</v>
      </c>
      <c r="T1410" s="2">
        <f t="shared" si="648"/>
        <v>121.78571428571431</v>
      </c>
      <c r="U1410" s="2">
        <f ca="1">VLOOKUP(E1410,金币生产率!$A$2:$B$120,2,0)</f>
        <v>1820</v>
      </c>
      <c r="V1410" s="2">
        <f t="shared" si="649"/>
        <v>121.78571428571431</v>
      </c>
      <c r="W1410" s="45">
        <f t="shared" ca="1" si="616"/>
        <v>26</v>
      </c>
      <c r="X1410" s="48">
        <f t="shared" ca="1" si="617"/>
        <v>353</v>
      </c>
      <c r="Y1410">
        <f t="shared" si="650"/>
        <v>18</v>
      </c>
      <c r="Z1410">
        <f t="shared" ca="1" si="613"/>
        <v>11</v>
      </c>
      <c r="AA1410" t="str">
        <f t="shared" ca="1" si="651"/>
        <v>9324200.png</v>
      </c>
      <c r="AB1410">
        <f t="shared" si="652"/>
        <v>20</v>
      </c>
      <c r="AC1410">
        <f>VLOOKUP(C1410,技能辅助查询表,技能配置辅助表!$W$1,FALSE)</f>
        <v>65043890</v>
      </c>
      <c r="AD1410">
        <f t="shared" ca="1" si="614"/>
        <v>76.953299112563514</v>
      </c>
      <c r="AE1410">
        <f>VLOOKUP(C1410,技能辅助查询表,技能配置辅助表!$U$1,FALSE)</f>
        <v>4</v>
      </c>
      <c r="AF1410">
        <f t="shared" ca="1" si="653"/>
        <v>9324231</v>
      </c>
      <c r="AG1410">
        <f t="shared" ca="1" si="654"/>
        <v>52.081632653061227</v>
      </c>
      <c r="AH1410">
        <f t="shared" ca="1" si="655"/>
        <v>646.23969022607446</v>
      </c>
      <c r="AI1410">
        <f ca="1">VLOOKUP(E1410,伤害参考系!$C$4:$E$104,3,FALSE)*$AN$12</f>
        <v>7291.2152408026777</v>
      </c>
      <c r="AJ1410">
        <f>VLOOKUP(C1410,技能辅助查询表,技能配置辅助表!$L$1,FALSE)</f>
        <v>1</v>
      </c>
      <c r="AK1410">
        <f>VLOOKUP(C1410,技能辅助查询表,技能配置辅助表!$AE$1,FALSE)</f>
        <v>66000650</v>
      </c>
    </row>
    <row r="1411" spans="1:37" x14ac:dyDescent="0.15">
      <c r="A1411" s="1">
        <f t="shared" ca="1" si="618"/>
        <v>9324232</v>
      </c>
      <c r="B1411" s="1" t="str">
        <f t="shared" ca="1" si="619"/>
        <v>子弹风暴第2段</v>
      </c>
      <c r="C1411" t="s">
        <v>181</v>
      </c>
      <c r="D1411">
        <f t="shared" si="637"/>
        <v>3</v>
      </c>
      <c r="E1411" s="42">
        <f t="shared" ref="E1411:E1474" ca="1" si="657">IF(I1411=0,E1412,IF(AND(I1411=1,G1411&gt;1),OFFSET(E1411,(1-G1411)*51,0),IF(OR(I1411=1,AND(I1411=2,R1411=2)),R1411,IF(I1411=0,0,ROUND(I1411*(80-R1411)/S1411,0)+R1411))))</f>
        <v>54</v>
      </c>
      <c r="F1411" t="str">
        <f t="shared" ref="F1411:F1474" ca="1" si="658">"第"&amp;I1411&amp;"级，共造成"&amp;ROUND(AJ1411*K1411,1)&amp;"%点伤害"</f>
        <v>第32级，共造成160.8%点伤害</v>
      </c>
      <c r="G1411">
        <f t="shared" ca="1" si="638"/>
        <v>2</v>
      </c>
      <c r="H1411">
        <f t="shared" si="639"/>
        <v>2</v>
      </c>
      <c r="I1411" s="44">
        <f t="shared" ca="1" si="640"/>
        <v>32</v>
      </c>
      <c r="J1411">
        <f t="shared" si="641"/>
        <v>2</v>
      </c>
      <c r="K1411" s="36">
        <f t="shared" ca="1" si="642"/>
        <v>160.75714285714287</v>
      </c>
      <c r="L1411" s="10">
        <f ca="1">AH1411*VLOOKUP(C1411,技能辅助查询表,技能配置辅助表!$T$1,FALSE)</f>
        <v>0</v>
      </c>
      <c r="M1411">
        <f t="shared" ca="1" si="656"/>
        <v>5440</v>
      </c>
      <c r="N1411" s="33">
        <f ca="1">CHOOSE(1,W1411*U1411,X1411*'[1]0、经济设定'!$C$18)</f>
        <v>53004</v>
      </c>
      <c r="O1411">
        <f t="shared" si="643"/>
        <v>4</v>
      </c>
      <c r="P1411">
        <f t="shared" si="644"/>
        <v>1</v>
      </c>
      <c r="Q1411">
        <f t="shared" si="645"/>
        <v>1</v>
      </c>
      <c r="R1411" s="2">
        <f t="shared" si="646"/>
        <v>8</v>
      </c>
      <c r="S1411" s="2">
        <f t="shared" si="647"/>
        <v>50</v>
      </c>
      <c r="T1411" s="2">
        <f t="shared" si="648"/>
        <v>121.78571428571431</v>
      </c>
      <c r="U1411" s="2">
        <f ca="1">VLOOKUP(E1411,金币生产率!$A$2:$B$120,2,0)</f>
        <v>1893</v>
      </c>
      <c r="V1411" s="2">
        <f t="shared" si="649"/>
        <v>121.78571428571431</v>
      </c>
      <c r="W1411" s="45">
        <f t="shared" ca="1" si="616"/>
        <v>28</v>
      </c>
      <c r="X1411" s="48">
        <f t="shared" ca="1" si="617"/>
        <v>381</v>
      </c>
      <c r="Y1411">
        <f t="shared" si="650"/>
        <v>18</v>
      </c>
      <c r="Z1411">
        <f t="shared" ref="Z1411:Z1474" ca="1" si="659">IF(I1411&gt;=Y1411,ROUNDUP(W1411/$AN$15,0),0)</f>
        <v>12</v>
      </c>
      <c r="AA1411" t="str">
        <f t="shared" ca="1" si="651"/>
        <v>9324200.png</v>
      </c>
      <c r="AB1411">
        <f t="shared" si="652"/>
        <v>20</v>
      </c>
      <c r="AC1411">
        <f>VLOOKUP(C1411,技能辅助查询表,技能配置辅助表!$W$1,FALSE)</f>
        <v>65043890</v>
      </c>
      <c r="AD1411">
        <f t="shared" ref="AD1411:AD1474" ca="1" si="660">((AH1411*K1411/100+L1411)*AJ1411-AH1411)/5</f>
        <v>89.402355280237046</v>
      </c>
      <c r="AE1411">
        <f>VLOOKUP(C1411,技能辅助查询表,技能配置辅助表!$U$1,FALSE)</f>
        <v>4</v>
      </c>
      <c r="AF1411">
        <f t="shared" ca="1" si="653"/>
        <v>9324232</v>
      </c>
      <c r="AG1411">
        <f t="shared" ca="1" si="654"/>
        <v>53.551020408163268</v>
      </c>
      <c r="AH1411">
        <f t="shared" ca="1" si="655"/>
        <v>735.73534794457942</v>
      </c>
      <c r="AI1411">
        <f ca="1">VLOOKUP(E1411,伤害参考系!$C$4:$E$104,3,FALSE)*$AN$12</f>
        <v>7688.356211538463</v>
      </c>
      <c r="AJ1411">
        <f>VLOOKUP(C1411,技能辅助查询表,技能配置辅助表!$L$1,FALSE)</f>
        <v>1</v>
      </c>
      <c r="AK1411">
        <f>VLOOKUP(C1411,技能辅助查询表,技能配置辅助表!$AE$1,FALSE)</f>
        <v>66000650</v>
      </c>
    </row>
    <row r="1412" spans="1:37" x14ac:dyDescent="0.15">
      <c r="A1412" s="1">
        <f t="shared" ca="1" si="618"/>
        <v>9324233</v>
      </c>
      <c r="B1412" s="1" t="str">
        <f t="shared" ca="1" si="619"/>
        <v>子弹风暴第2段</v>
      </c>
      <c r="C1412" t="s">
        <v>181</v>
      </c>
      <c r="D1412">
        <f t="shared" si="637"/>
        <v>3</v>
      </c>
      <c r="E1412" s="42">
        <f t="shared" ca="1" si="657"/>
        <v>56</v>
      </c>
      <c r="F1412" t="str">
        <f t="shared" ca="1" si="658"/>
        <v>第33级，共造成162%点伤害</v>
      </c>
      <c r="G1412">
        <f t="shared" ca="1" si="638"/>
        <v>2</v>
      </c>
      <c r="H1412">
        <f t="shared" si="639"/>
        <v>2</v>
      </c>
      <c r="I1412" s="44">
        <f t="shared" ca="1" si="640"/>
        <v>33</v>
      </c>
      <c r="J1412">
        <f t="shared" si="641"/>
        <v>2</v>
      </c>
      <c r="K1412" s="36">
        <f t="shared" ca="1" si="642"/>
        <v>161.97500000000002</v>
      </c>
      <c r="L1412" s="10">
        <f ca="1">AH1412*VLOOKUP(C1412,技能辅助查询表,技能配置辅助表!$T$1,FALSE)</f>
        <v>0</v>
      </c>
      <c r="M1412">
        <f t="shared" ca="1" si="656"/>
        <v>5360</v>
      </c>
      <c r="N1412" s="33">
        <f ca="1">CHOOSE(1,W1412*U1412,X1412*'[1]0、经济设定'!$C$18)</f>
        <v>61260</v>
      </c>
      <c r="O1412">
        <f t="shared" si="643"/>
        <v>4</v>
      </c>
      <c r="P1412">
        <f t="shared" si="644"/>
        <v>1</v>
      </c>
      <c r="Q1412">
        <f t="shared" si="645"/>
        <v>1</v>
      </c>
      <c r="R1412" s="2">
        <f t="shared" si="646"/>
        <v>8</v>
      </c>
      <c r="S1412" s="2">
        <f t="shared" si="647"/>
        <v>50</v>
      </c>
      <c r="T1412" s="2">
        <f t="shared" si="648"/>
        <v>121.78571428571431</v>
      </c>
      <c r="U1412" s="2">
        <f ca="1">VLOOKUP(E1412,金币生产率!$A$2:$B$120,2,0)</f>
        <v>2042</v>
      </c>
      <c r="V1412" s="2">
        <f t="shared" si="649"/>
        <v>121.78571428571431</v>
      </c>
      <c r="W1412" s="45">
        <f t="shared" ref="W1412:W1475" ca="1" si="661">ROUND((IF(I1412=0,0,ROUND(OFFSET(AD1412,S1412-I1412+510*(1-D1412),0)*(1-$AN$13)/(1-$AN$13^S1412)*$AN$13^(I1412-1),0))+IF(I1412=0,0,ROUND(OFFSET(AD1412,S1412-I1412+510*(2-D1412),0)*(1-$AN$13)/(1-$AN$13^S1412)*$AN$13^(I1412-1),0))+IF(I1412=0,0,ROUND(OFFSET(AD1412,S1412-I1412+510*(3-D1412),0)*(1-$AN$13)/(1-$AN$13^S1412)*$AN$13^(I1412-1),0)))/3,0)</f>
        <v>30</v>
      </c>
      <c r="X1412" s="48">
        <f t="shared" ref="X1412:X1475" ca="1" si="662">IF(I1412=0,0,X1411+W1412)</f>
        <v>411</v>
      </c>
      <c r="Y1412">
        <f t="shared" si="650"/>
        <v>18</v>
      </c>
      <c r="Z1412">
        <f t="shared" ca="1" si="659"/>
        <v>12</v>
      </c>
      <c r="AA1412" t="str">
        <f t="shared" ca="1" si="651"/>
        <v>9324200.png</v>
      </c>
      <c r="AB1412">
        <f t="shared" si="652"/>
        <v>20</v>
      </c>
      <c r="AC1412">
        <f>VLOOKUP(C1412,技能辅助查询表,技能配置辅助表!$W$1,FALSE)</f>
        <v>65043890</v>
      </c>
      <c r="AD1412">
        <f t="shared" ca="1" si="660"/>
        <v>103.82361523801437</v>
      </c>
      <c r="AE1412">
        <f>VLOOKUP(C1412,技能辅助查询表,技能配置辅助表!$U$1,FALSE)</f>
        <v>4</v>
      </c>
      <c r="AF1412">
        <f t="shared" ca="1" si="653"/>
        <v>9324233</v>
      </c>
      <c r="AG1412">
        <f t="shared" ca="1" si="654"/>
        <v>55.020408163265309</v>
      </c>
      <c r="AH1412">
        <f t="shared" ca="1" si="655"/>
        <v>837.62497166611001</v>
      </c>
      <c r="AI1412">
        <f ca="1">VLOOKUP(E1412,伤害参考系!$C$4:$E$104,3,FALSE)*$AN$12</f>
        <v>8513.8763929765901</v>
      </c>
      <c r="AJ1412">
        <f>VLOOKUP(C1412,技能辅助查询表,技能配置辅助表!$L$1,FALSE)</f>
        <v>1</v>
      </c>
      <c r="AK1412">
        <f>VLOOKUP(C1412,技能辅助查询表,技能配置辅助表!$AE$1,FALSE)</f>
        <v>66000650</v>
      </c>
    </row>
    <row r="1413" spans="1:37" x14ac:dyDescent="0.15">
      <c r="A1413" s="1">
        <f t="shared" ca="1" si="618"/>
        <v>9324234</v>
      </c>
      <c r="B1413" s="1" t="str">
        <f t="shared" ca="1" si="619"/>
        <v>子弹风暴第2段</v>
      </c>
      <c r="C1413" t="s">
        <v>181</v>
      </c>
      <c r="D1413">
        <f t="shared" si="637"/>
        <v>3</v>
      </c>
      <c r="E1413" s="42">
        <f t="shared" ca="1" si="657"/>
        <v>57</v>
      </c>
      <c r="F1413" t="str">
        <f t="shared" ca="1" si="658"/>
        <v>第34级，共造成163.2%点伤害</v>
      </c>
      <c r="G1413">
        <f t="shared" ca="1" si="638"/>
        <v>2</v>
      </c>
      <c r="H1413">
        <f t="shared" si="639"/>
        <v>2</v>
      </c>
      <c r="I1413" s="44">
        <f t="shared" ca="1" si="640"/>
        <v>34</v>
      </c>
      <c r="J1413">
        <f t="shared" si="641"/>
        <v>2</v>
      </c>
      <c r="K1413" s="36">
        <f t="shared" ca="1" si="642"/>
        <v>163.19285714285718</v>
      </c>
      <c r="L1413" s="10">
        <f ca="1">AH1413*VLOOKUP(C1413,技能辅助查询表,技能配置辅助表!$T$1,FALSE)</f>
        <v>0</v>
      </c>
      <c r="M1413">
        <f t="shared" ca="1" si="656"/>
        <v>5280</v>
      </c>
      <c r="N1413" s="33">
        <f ca="1">CHOOSE(1,W1413*U1413,X1413*'[1]0、经济设定'!$C$18)</f>
        <v>67808</v>
      </c>
      <c r="O1413">
        <f t="shared" si="643"/>
        <v>4</v>
      </c>
      <c r="P1413">
        <f t="shared" si="644"/>
        <v>1</v>
      </c>
      <c r="Q1413">
        <f t="shared" si="645"/>
        <v>1</v>
      </c>
      <c r="R1413" s="2">
        <f t="shared" si="646"/>
        <v>8</v>
      </c>
      <c r="S1413" s="2">
        <f t="shared" si="647"/>
        <v>50</v>
      </c>
      <c r="T1413" s="2">
        <f t="shared" si="648"/>
        <v>121.78571428571431</v>
      </c>
      <c r="U1413" s="2">
        <f ca="1">VLOOKUP(E1413,金币生产率!$A$2:$B$120,2,0)</f>
        <v>2119</v>
      </c>
      <c r="V1413" s="2">
        <f t="shared" si="649"/>
        <v>121.78571428571431</v>
      </c>
      <c r="W1413" s="45">
        <f t="shared" ca="1" si="661"/>
        <v>32</v>
      </c>
      <c r="X1413" s="48">
        <f t="shared" ca="1" si="662"/>
        <v>443</v>
      </c>
      <c r="Y1413">
        <f t="shared" si="650"/>
        <v>18</v>
      </c>
      <c r="Z1413">
        <f t="shared" ca="1" si="659"/>
        <v>13</v>
      </c>
      <c r="AA1413" t="str">
        <f t="shared" ca="1" si="651"/>
        <v>9324200.png</v>
      </c>
      <c r="AB1413">
        <f t="shared" si="652"/>
        <v>20</v>
      </c>
      <c r="AC1413">
        <f>VLOOKUP(C1413,技能辅助查询表,技能配置辅助表!$W$1,FALSE)</f>
        <v>65043890</v>
      </c>
      <c r="AD1413">
        <f t="shared" ca="1" si="660"/>
        <v>120.52457197153861</v>
      </c>
      <c r="AE1413">
        <f>VLOOKUP(C1413,技能辅助查询表,技能配置辅助表!$U$1,FALSE)</f>
        <v>4</v>
      </c>
      <c r="AF1413">
        <f t="shared" ca="1" si="653"/>
        <v>9324234</v>
      </c>
      <c r="AG1413">
        <f t="shared" ca="1" si="654"/>
        <v>56.489795918367349</v>
      </c>
      <c r="AH1413">
        <f t="shared" ca="1" si="655"/>
        <v>953.62496190886134</v>
      </c>
      <c r="AI1413">
        <f ca="1">VLOOKUP(E1413,伤害参考系!$C$4:$E$104,3,FALSE)*$AN$12</f>
        <v>8942.2556036789319</v>
      </c>
      <c r="AJ1413">
        <f>VLOOKUP(C1413,技能辅助查询表,技能配置辅助表!$L$1,FALSE)</f>
        <v>1</v>
      </c>
      <c r="AK1413">
        <f>VLOOKUP(C1413,技能辅助查询表,技能配置辅助表!$AE$1,FALSE)</f>
        <v>66000650</v>
      </c>
    </row>
    <row r="1414" spans="1:37" x14ac:dyDescent="0.15">
      <c r="A1414" s="1">
        <f t="shared" ca="1" si="618"/>
        <v>9324235</v>
      </c>
      <c r="B1414" s="1" t="str">
        <f t="shared" ca="1" si="619"/>
        <v>子弹风暴第2段</v>
      </c>
      <c r="C1414" t="s">
        <v>181</v>
      </c>
      <c r="D1414">
        <f t="shared" si="637"/>
        <v>3</v>
      </c>
      <c r="E1414" s="42">
        <f t="shared" ca="1" si="657"/>
        <v>58</v>
      </c>
      <c r="F1414" t="str">
        <f t="shared" ca="1" si="658"/>
        <v>第35级，共造成164.4%点伤害</v>
      </c>
      <c r="G1414">
        <f t="shared" ca="1" si="638"/>
        <v>2</v>
      </c>
      <c r="H1414">
        <f t="shared" si="639"/>
        <v>2</v>
      </c>
      <c r="I1414" s="44">
        <f t="shared" ca="1" si="640"/>
        <v>35</v>
      </c>
      <c r="J1414">
        <f t="shared" si="641"/>
        <v>2</v>
      </c>
      <c r="K1414" s="36">
        <f t="shared" ca="1" si="642"/>
        <v>164.41071428571431</v>
      </c>
      <c r="L1414" s="10">
        <f ca="1">AH1414*VLOOKUP(C1414,技能辅助查询表,技能配置辅助表!$T$1,FALSE)</f>
        <v>0</v>
      </c>
      <c r="M1414">
        <f t="shared" ca="1" si="656"/>
        <v>5200</v>
      </c>
      <c r="N1414" s="33">
        <f ca="1">CHOOSE(1,W1414*U1414,X1414*'[1]0、经济设定'!$C$18)</f>
        <v>74732</v>
      </c>
      <c r="O1414">
        <f t="shared" si="643"/>
        <v>4</v>
      </c>
      <c r="P1414">
        <f t="shared" si="644"/>
        <v>1</v>
      </c>
      <c r="Q1414">
        <f t="shared" si="645"/>
        <v>1</v>
      </c>
      <c r="R1414" s="2">
        <f t="shared" si="646"/>
        <v>8</v>
      </c>
      <c r="S1414" s="2">
        <f t="shared" si="647"/>
        <v>50</v>
      </c>
      <c r="T1414" s="2">
        <f t="shared" si="648"/>
        <v>121.78571428571431</v>
      </c>
      <c r="U1414" s="2">
        <f ca="1">VLOOKUP(E1414,金币生产率!$A$2:$B$120,2,0)</f>
        <v>2198</v>
      </c>
      <c r="V1414" s="2">
        <f t="shared" si="649"/>
        <v>121.78571428571431</v>
      </c>
      <c r="W1414" s="45">
        <f t="shared" ca="1" si="661"/>
        <v>34</v>
      </c>
      <c r="X1414" s="48">
        <f t="shared" ca="1" si="662"/>
        <v>477</v>
      </c>
      <c r="Y1414">
        <f t="shared" si="650"/>
        <v>18</v>
      </c>
      <c r="Z1414">
        <f t="shared" ca="1" si="659"/>
        <v>14</v>
      </c>
      <c r="AA1414" t="str">
        <f t="shared" ca="1" si="651"/>
        <v>9324200.png</v>
      </c>
      <c r="AB1414">
        <f t="shared" si="652"/>
        <v>20</v>
      </c>
      <c r="AC1414">
        <f>VLOOKUP(C1414,技能辅助查询表,技能配置辅助表!$W$1,FALSE)</f>
        <v>65043890</v>
      </c>
      <c r="AD1414">
        <f t="shared" ca="1" si="660"/>
        <v>139.86006180937153</v>
      </c>
      <c r="AE1414">
        <f>VLOOKUP(C1414,技能辅助查询表,技能配置辅助表!$U$1,FALSE)</f>
        <v>4</v>
      </c>
      <c r="AF1414">
        <f t="shared" ca="1" si="653"/>
        <v>9324235</v>
      </c>
      <c r="AG1414">
        <f t="shared" ca="1" si="654"/>
        <v>57.95918367346939</v>
      </c>
      <c r="AH1414">
        <f t="shared" ca="1" si="655"/>
        <v>1085.689417982368</v>
      </c>
      <c r="AI1414">
        <f ca="1">VLOOKUP(E1414,伤害参考系!$C$4:$E$104,3,FALSE)*$AN$12</f>
        <v>9381.0475610367921</v>
      </c>
      <c r="AJ1414">
        <f>VLOOKUP(C1414,技能辅助查询表,技能配置辅助表!$L$1,FALSE)</f>
        <v>1</v>
      </c>
      <c r="AK1414">
        <f>VLOOKUP(C1414,技能辅助查询表,技能配置辅助表!$AE$1,FALSE)</f>
        <v>66000650</v>
      </c>
    </row>
    <row r="1415" spans="1:37" x14ac:dyDescent="0.15">
      <c r="A1415" s="1">
        <f t="shared" ca="1" si="618"/>
        <v>9324236</v>
      </c>
      <c r="B1415" s="1" t="str">
        <f t="shared" ca="1" si="619"/>
        <v>子弹风暴第2段</v>
      </c>
      <c r="C1415" t="s">
        <v>181</v>
      </c>
      <c r="D1415">
        <f t="shared" si="637"/>
        <v>3</v>
      </c>
      <c r="E1415" s="42">
        <f t="shared" ca="1" si="657"/>
        <v>60</v>
      </c>
      <c r="F1415" t="str">
        <f t="shared" ca="1" si="658"/>
        <v>第36级，共造成165.6%点伤害</v>
      </c>
      <c r="G1415">
        <f t="shared" ca="1" si="638"/>
        <v>2</v>
      </c>
      <c r="H1415">
        <f t="shared" si="639"/>
        <v>2</v>
      </c>
      <c r="I1415" s="44">
        <f t="shared" ca="1" si="640"/>
        <v>36</v>
      </c>
      <c r="J1415">
        <f t="shared" si="641"/>
        <v>2</v>
      </c>
      <c r="K1415" s="36">
        <f t="shared" ca="1" si="642"/>
        <v>165.62857142857146</v>
      </c>
      <c r="L1415" s="10">
        <f ca="1">AH1415*VLOOKUP(C1415,技能辅助查询表,技能配置辅助表!$T$1,FALSE)</f>
        <v>0</v>
      </c>
      <c r="M1415">
        <f t="shared" ca="1" si="656"/>
        <v>5120</v>
      </c>
      <c r="N1415" s="33">
        <f ca="1">CHOOSE(1,W1415*U1415,X1415*'[1]0、经济设定'!$C$18)</f>
        <v>87246</v>
      </c>
      <c r="O1415">
        <f t="shared" si="643"/>
        <v>4</v>
      </c>
      <c r="P1415">
        <f t="shared" si="644"/>
        <v>1</v>
      </c>
      <c r="Q1415">
        <f t="shared" si="645"/>
        <v>1</v>
      </c>
      <c r="R1415" s="2">
        <f t="shared" si="646"/>
        <v>8</v>
      </c>
      <c r="S1415" s="2">
        <f t="shared" si="647"/>
        <v>50</v>
      </c>
      <c r="T1415" s="2">
        <f t="shared" si="648"/>
        <v>121.78571428571431</v>
      </c>
      <c r="U1415" s="2">
        <f ca="1">VLOOKUP(E1415,金币生产率!$A$2:$B$120,2,0)</f>
        <v>2358</v>
      </c>
      <c r="V1415" s="2">
        <f t="shared" si="649"/>
        <v>121.78571428571431</v>
      </c>
      <c r="W1415" s="45">
        <f t="shared" ca="1" si="661"/>
        <v>37</v>
      </c>
      <c r="X1415" s="48">
        <f t="shared" ca="1" si="662"/>
        <v>514</v>
      </c>
      <c r="Y1415">
        <f t="shared" si="650"/>
        <v>18</v>
      </c>
      <c r="Z1415">
        <f t="shared" ca="1" si="659"/>
        <v>15</v>
      </c>
      <c r="AA1415" t="str">
        <f t="shared" ca="1" si="651"/>
        <v>9324200.png</v>
      </c>
      <c r="AB1415">
        <f t="shared" si="652"/>
        <v>20</v>
      </c>
      <c r="AC1415">
        <f>VLOOKUP(C1415,技能辅助查询表,技能配置辅助表!$W$1,FALSE)</f>
        <v>65043890</v>
      </c>
      <c r="AD1415">
        <f t="shared" ca="1" si="660"/>
        <v>162.23947999592602</v>
      </c>
      <c r="AE1415">
        <f>VLOOKUP(C1415,技能辅助查询表,技能配置辅助表!$U$1,FALSE)</f>
        <v>4</v>
      </c>
      <c r="AF1415">
        <f t="shared" ca="1" si="653"/>
        <v>9324236</v>
      </c>
      <c r="AG1415">
        <f t="shared" ca="1" si="654"/>
        <v>59.428571428571431</v>
      </c>
      <c r="AH1415">
        <f t="shared" ca="1" si="655"/>
        <v>1236.0430561291703</v>
      </c>
      <c r="AI1415">
        <f ca="1">VLOOKUP(E1415,伤害参考系!$C$4:$E$104,3,FALSE)*$AN$12</f>
        <v>10340.558729096994</v>
      </c>
      <c r="AJ1415">
        <f>VLOOKUP(C1415,技能辅助查询表,技能配置辅助表!$L$1,FALSE)</f>
        <v>1</v>
      </c>
      <c r="AK1415">
        <f>VLOOKUP(C1415,技能辅助查询表,技能配置辅助表!$AE$1,FALSE)</f>
        <v>66000650</v>
      </c>
    </row>
    <row r="1416" spans="1:37" x14ac:dyDescent="0.15">
      <c r="A1416" s="1">
        <f t="shared" ca="1" si="618"/>
        <v>9324237</v>
      </c>
      <c r="B1416" s="1" t="str">
        <f t="shared" ca="1" si="619"/>
        <v>子弹风暴第2段</v>
      </c>
      <c r="C1416" t="s">
        <v>181</v>
      </c>
      <c r="D1416">
        <f t="shared" si="637"/>
        <v>3</v>
      </c>
      <c r="E1416" s="42">
        <f t="shared" ca="1" si="657"/>
        <v>61</v>
      </c>
      <c r="F1416" t="str">
        <f t="shared" ca="1" si="658"/>
        <v>第37级，共造成166.8%点伤害</v>
      </c>
      <c r="G1416">
        <f t="shared" ca="1" si="638"/>
        <v>2</v>
      </c>
      <c r="H1416">
        <f t="shared" si="639"/>
        <v>2</v>
      </c>
      <c r="I1416" s="44">
        <f t="shared" ca="1" si="640"/>
        <v>37</v>
      </c>
      <c r="J1416">
        <f t="shared" si="641"/>
        <v>2</v>
      </c>
      <c r="K1416" s="36">
        <f t="shared" ca="1" si="642"/>
        <v>166.84642857142859</v>
      </c>
      <c r="L1416" s="10">
        <f ca="1">AH1416*VLOOKUP(C1416,技能辅助查询表,技能配置辅助表!$T$1,FALSE)</f>
        <v>0</v>
      </c>
      <c r="M1416">
        <f t="shared" ca="1" si="656"/>
        <v>5040</v>
      </c>
      <c r="N1416" s="33">
        <f ca="1">CHOOSE(1,W1416*U1416,X1416*'[1]0、经济设定'!$C$18)</f>
        <v>95160</v>
      </c>
      <c r="O1416">
        <f t="shared" si="643"/>
        <v>4</v>
      </c>
      <c r="P1416">
        <f t="shared" si="644"/>
        <v>1</v>
      </c>
      <c r="Q1416">
        <f t="shared" si="645"/>
        <v>1</v>
      </c>
      <c r="R1416" s="2">
        <f t="shared" si="646"/>
        <v>8</v>
      </c>
      <c r="S1416" s="2">
        <f t="shared" si="647"/>
        <v>50</v>
      </c>
      <c r="T1416" s="2">
        <f t="shared" si="648"/>
        <v>121.78571428571431</v>
      </c>
      <c r="U1416" s="2">
        <f ca="1">VLOOKUP(E1416,金币生产率!$A$2:$B$120,2,0)</f>
        <v>2440</v>
      </c>
      <c r="V1416" s="2">
        <f t="shared" si="649"/>
        <v>121.78571428571431</v>
      </c>
      <c r="W1416" s="45">
        <f t="shared" ca="1" si="661"/>
        <v>39</v>
      </c>
      <c r="X1416" s="48">
        <f t="shared" ca="1" si="662"/>
        <v>553</v>
      </c>
      <c r="Y1416">
        <f t="shared" si="650"/>
        <v>18</v>
      </c>
      <c r="Z1416">
        <f t="shared" ca="1" si="659"/>
        <v>16</v>
      </c>
      <c r="AA1416" t="str">
        <f t="shared" ca="1" si="651"/>
        <v>9324200.png</v>
      </c>
      <c r="AB1416">
        <f t="shared" si="652"/>
        <v>20</v>
      </c>
      <c r="AC1416">
        <f>VLOOKUP(C1416,技能辅助查询表,技能配置辅助表!$W$1,FALSE)</f>
        <v>65043890</v>
      </c>
      <c r="AD1416">
        <f t="shared" ca="1" si="660"/>
        <v>188.13508680884775</v>
      </c>
      <c r="AE1416">
        <f>VLOOKUP(C1416,技能辅助查询表,技能配置辅助表!$U$1,FALSE)</f>
        <v>4</v>
      </c>
      <c r="AF1416">
        <f t="shared" ca="1" si="653"/>
        <v>9324237</v>
      </c>
      <c r="AG1416">
        <f t="shared" ca="1" si="654"/>
        <v>60.897959183673471</v>
      </c>
      <c r="AH1416">
        <f t="shared" ca="1" si="655"/>
        <v>1407.2186863941167</v>
      </c>
      <c r="AI1416">
        <f ca="1">VLOOKUP(E1416,伤害参考系!$C$4:$E$104,3,FALSE)*$AN$12</f>
        <v>10863.360489130437</v>
      </c>
      <c r="AJ1416">
        <f>VLOOKUP(C1416,技能辅助查询表,技能配置辅助表!$L$1,FALSE)</f>
        <v>1</v>
      </c>
      <c r="AK1416">
        <f>VLOOKUP(C1416,技能辅助查询表,技能配置辅助表!$AE$1,FALSE)</f>
        <v>66000650</v>
      </c>
    </row>
    <row r="1417" spans="1:37" x14ac:dyDescent="0.15">
      <c r="A1417" s="1">
        <f t="shared" ca="1" si="618"/>
        <v>9324238</v>
      </c>
      <c r="B1417" s="1" t="str">
        <f t="shared" ca="1" si="619"/>
        <v>子弹风暴第2段</v>
      </c>
      <c r="C1417" t="s">
        <v>181</v>
      </c>
      <c r="D1417">
        <f t="shared" si="637"/>
        <v>3</v>
      </c>
      <c r="E1417" s="42">
        <f t="shared" ca="1" si="657"/>
        <v>63</v>
      </c>
      <c r="F1417" t="str">
        <f t="shared" ca="1" si="658"/>
        <v>第38级，共造成168.1%点伤害</v>
      </c>
      <c r="G1417">
        <f t="shared" ca="1" si="638"/>
        <v>2</v>
      </c>
      <c r="H1417">
        <f t="shared" si="639"/>
        <v>2</v>
      </c>
      <c r="I1417" s="44">
        <f t="shared" ca="1" si="640"/>
        <v>38</v>
      </c>
      <c r="J1417">
        <f t="shared" si="641"/>
        <v>2</v>
      </c>
      <c r="K1417" s="36">
        <f t="shared" ca="1" si="642"/>
        <v>168.06428571428575</v>
      </c>
      <c r="L1417" s="10">
        <f ca="1">AH1417*VLOOKUP(C1417,技能辅助查询表,技能配置辅助表!$T$1,FALSE)</f>
        <v>0</v>
      </c>
      <c r="M1417">
        <f t="shared" ca="1" si="656"/>
        <v>4960</v>
      </c>
      <c r="N1417" s="33">
        <f ca="1">CHOOSE(1,W1417*U1417,X1417*'[1]0、经济设定'!$C$18)</f>
        <v>109578</v>
      </c>
      <c r="O1417">
        <f t="shared" si="643"/>
        <v>4</v>
      </c>
      <c r="P1417">
        <f t="shared" si="644"/>
        <v>1</v>
      </c>
      <c r="Q1417">
        <f t="shared" si="645"/>
        <v>1</v>
      </c>
      <c r="R1417" s="2">
        <f t="shared" si="646"/>
        <v>8</v>
      </c>
      <c r="S1417" s="2">
        <f t="shared" si="647"/>
        <v>50</v>
      </c>
      <c r="T1417" s="2">
        <f t="shared" si="648"/>
        <v>121.78571428571431</v>
      </c>
      <c r="U1417" s="2">
        <f ca="1">VLOOKUP(E1417,金币生产率!$A$2:$B$120,2,0)</f>
        <v>2609</v>
      </c>
      <c r="V1417" s="2">
        <f t="shared" si="649"/>
        <v>121.78571428571431</v>
      </c>
      <c r="W1417" s="45">
        <f t="shared" ca="1" si="661"/>
        <v>42</v>
      </c>
      <c r="X1417" s="48">
        <f t="shared" ca="1" si="662"/>
        <v>595</v>
      </c>
      <c r="Y1417">
        <f t="shared" si="650"/>
        <v>18</v>
      </c>
      <c r="Z1417">
        <f t="shared" ca="1" si="659"/>
        <v>17</v>
      </c>
      <c r="AA1417" t="str">
        <f t="shared" ca="1" si="651"/>
        <v>9324200.png</v>
      </c>
      <c r="AB1417">
        <f t="shared" si="652"/>
        <v>20</v>
      </c>
      <c r="AC1417">
        <f>VLOOKUP(C1417,技能辅助查询表,技能配置辅助表!$W$1,FALSE)</f>
        <v>65043890</v>
      </c>
      <c r="AD1417">
        <f t="shared" ca="1" si="660"/>
        <v>218.09156788832576</v>
      </c>
      <c r="AE1417">
        <f>VLOOKUP(C1417,技能辅助查询表,技能配置辅助表!$U$1,FALSE)</f>
        <v>4</v>
      </c>
      <c r="AF1417">
        <f t="shared" ca="1" si="653"/>
        <v>9324238</v>
      </c>
      <c r="AG1417">
        <f t="shared" ca="1" si="654"/>
        <v>62.367346938775512</v>
      </c>
      <c r="AH1417">
        <f t="shared" ca="1" si="655"/>
        <v>1602.0998795448415</v>
      </c>
      <c r="AI1417">
        <f ca="1">VLOOKUP(E1417,伤害参考系!$C$4:$E$104,3,FALSE)*$AN$12</f>
        <v>11946.449897157196</v>
      </c>
      <c r="AJ1417">
        <f>VLOOKUP(C1417,技能辅助查询表,技能配置辅助表!$L$1,FALSE)</f>
        <v>1</v>
      </c>
      <c r="AK1417">
        <f>VLOOKUP(C1417,技能辅助查询表,技能配置辅助表!$AE$1,FALSE)</f>
        <v>66000650</v>
      </c>
    </row>
    <row r="1418" spans="1:37" x14ac:dyDescent="0.15">
      <c r="A1418" s="1">
        <f t="shared" ca="1" si="618"/>
        <v>9324239</v>
      </c>
      <c r="B1418" s="1" t="str">
        <f t="shared" ca="1" si="619"/>
        <v>子弹风暴第2段</v>
      </c>
      <c r="C1418" t="s">
        <v>181</v>
      </c>
      <c r="D1418">
        <f t="shared" si="637"/>
        <v>3</v>
      </c>
      <c r="E1418" s="42">
        <f t="shared" ca="1" si="657"/>
        <v>64</v>
      </c>
      <c r="F1418" t="str">
        <f t="shared" ca="1" si="658"/>
        <v>第39级，共造成169.3%点伤害</v>
      </c>
      <c r="G1418">
        <f t="shared" ca="1" si="638"/>
        <v>2</v>
      </c>
      <c r="H1418">
        <f t="shared" si="639"/>
        <v>2</v>
      </c>
      <c r="I1418" s="44">
        <f t="shared" ca="1" si="640"/>
        <v>39</v>
      </c>
      <c r="J1418">
        <f t="shared" si="641"/>
        <v>2</v>
      </c>
      <c r="K1418" s="36">
        <f t="shared" ca="1" si="642"/>
        <v>169.28214285714287</v>
      </c>
      <c r="L1418" s="10">
        <f ca="1">AH1418*VLOOKUP(C1418,技能辅助查询表,技能配置辅助表!$T$1,FALSE)</f>
        <v>0</v>
      </c>
      <c r="M1418">
        <f t="shared" ca="1" si="656"/>
        <v>4880</v>
      </c>
      <c r="N1418" s="33">
        <f ca="1">CHOOSE(1,W1418*U1418,X1418*'[1]0、经济设定'!$C$18)</f>
        <v>121275</v>
      </c>
      <c r="O1418">
        <f t="shared" si="643"/>
        <v>4</v>
      </c>
      <c r="P1418">
        <f t="shared" si="644"/>
        <v>1</v>
      </c>
      <c r="Q1418">
        <f t="shared" si="645"/>
        <v>1</v>
      </c>
      <c r="R1418" s="2">
        <f t="shared" si="646"/>
        <v>8</v>
      </c>
      <c r="S1418" s="2">
        <f t="shared" si="647"/>
        <v>50</v>
      </c>
      <c r="T1418" s="2">
        <f t="shared" si="648"/>
        <v>121.78571428571431</v>
      </c>
      <c r="U1418" s="2">
        <f ca="1">VLOOKUP(E1418,金币生产率!$A$2:$B$120,2,0)</f>
        <v>2695</v>
      </c>
      <c r="V1418" s="2">
        <f t="shared" si="649"/>
        <v>121.78571428571431</v>
      </c>
      <c r="W1418" s="45">
        <f t="shared" ca="1" si="661"/>
        <v>45</v>
      </c>
      <c r="X1418" s="48">
        <f t="shared" ca="1" si="662"/>
        <v>640</v>
      </c>
      <c r="Y1418">
        <f t="shared" si="650"/>
        <v>18</v>
      </c>
      <c r="Z1418">
        <f t="shared" ca="1" si="659"/>
        <v>18</v>
      </c>
      <c r="AA1418" t="str">
        <f t="shared" ca="1" si="651"/>
        <v>9324200.png</v>
      </c>
      <c r="AB1418">
        <f t="shared" si="652"/>
        <v>20</v>
      </c>
      <c r="AC1418">
        <f>VLOOKUP(C1418,技能辅助查询表,技能配置辅助表!$W$1,FALSE)</f>
        <v>65043890</v>
      </c>
      <c r="AD1418">
        <f t="shared" ca="1" si="660"/>
        <v>252.73703686227108</v>
      </c>
      <c r="AE1418">
        <f>VLOOKUP(C1418,技能辅助查询表,技能配置辅助表!$U$1,FALSE)</f>
        <v>4</v>
      </c>
      <c r="AF1418">
        <f t="shared" ca="1" si="653"/>
        <v>9324239</v>
      </c>
      <c r="AG1418">
        <f t="shared" ca="1" si="654"/>
        <v>63.836734693877553</v>
      </c>
      <c r="AH1418">
        <f t="shared" ca="1" si="655"/>
        <v>1823.9695427969455</v>
      </c>
      <c r="AI1418">
        <f ca="1">VLOOKUP(E1418,伤害参考系!$C$4:$E$104,3,FALSE)*$AN$12</f>
        <v>12506.737545150507</v>
      </c>
      <c r="AJ1418">
        <f>VLOOKUP(C1418,技能辅助查询表,技能配置辅助表!$L$1,FALSE)</f>
        <v>1</v>
      </c>
      <c r="AK1418">
        <f>VLOOKUP(C1418,技能辅助查询表,技能配置辅助表!$AE$1,FALSE)</f>
        <v>66000650</v>
      </c>
    </row>
    <row r="1419" spans="1:37" x14ac:dyDescent="0.15">
      <c r="A1419" s="1">
        <f t="shared" ca="1" si="618"/>
        <v>9324240</v>
      </c>
      <c r="B1419" s="1" t="str">
        <f t="shared" ca="1" si="619"/>
        <v>子弹风暴第2段</v>
      </c>
      <c r="C1419" t="s">
        <v>181</v>
      </c>
      <c r="D1419">
        <f t="shared" si="637"/>
        <v>3</v>
      </c>
      <c r="E1419" s="42">
        <f t="shared" ca="1" si="657"/>
        <v>66</v>
      </c>
      <c r="F1419" t="str">
        <f t="shared" ca="1" si="658"/>
        <v>第40级，共造成170.5%点伤害</v>
      </c>
      <c r="G1419">
        <f t="shared" ca="1" si="638"/>
        <v>2</v>
      </c>
      <c r="H1419">
        <f t="shared" si="639"/>
        <v>2</v>
      </c>
      <c r="I1419" s="44">
        <f t="shared" ca="1" si="640"/>
        <v>40</v>
      </c>
      <c r="J1419">
        <f t="shared" si="641"/>
        <v>2</v>
      </c>
      <c r="K1419" s="36">
        <f t="shared" ca="1" si="642"/>
        <v>170.50000000000003</v>
      </c>
      <c r="L1419" s="10">
        <f ca="1">AH1419*VLOOKUP(C1419,技能辅助查询表,技能配置辅助表!$T$1,FALSE)</f>
        <v>0</v>
      </c>
      <c r="M1419">
        <f t="shared" ca="1" si="656"/>
        <v>4800</v>
      </c>
      <c r="N1419" s="33">
        <f ca="1">CHOOSE(1,W1419*U1419,X1419*'[1]0、经济设定'!$C$18)</f>
        <v>137856</v>
      </c>
      <c r="O1419">
        <f t="shared" si="643"/>
        <v>4</v>
      </c>
      <c r="P1419">
        <f t="shared" si="644"/>
        <v>1</v>
      </c>
      <c r="Q1419">
        <f t="shared" si="645"/>
        <v>1</v>
      </c>
      <c r="R1419" s="2">
        <f t="shared" si="646"/>
        <v>8</v>
      </c>
      <c r="S1419" s="2">
        <f t="shared" si="647"/>
        <v>50</v>
      </c>
      <c r="T1419" s="2">
        <f t="shared" si="648"/>
        <v>121.78571428571431</v>
      </c>
      <c r="U1419" s="2">
        <f ca="1">VLOOKUP(E1419,金币生产率!$A$2:$B$120,2,0)</f>
        <v>2872</v>
      </c>
      <c r="V1419" s="2">
        <f t="shared" si="649"/>
        <v>121.78571428571431</v>
      </c>
      <c r="W1419" s="45">
        <f t="shared" ca="1" si="661"/>
        <v>48</v>
      </c>
      <c r="X1419" s="48">
        <f t="shared" ca="1" si="662"/>
        <v>688</v>
      </c>
      <c r="Y1419">
        <f t="shared" si="650"/>
        <v>18</v>
      </c>
      <c r="Z1419">
        <f t="shared" ca="1" si="659"/>
        <v>20</v>
      </c>
      <c r="AA1419" t="str">
        <f t="shared" ca="1" si="651"/>
        <v>9324200.png</v>
      </c>
      <c r="AB1419">
        <f t="shared" si="652"/>
        <v>20</v>
      </c>
      <c r="AC1419">
        <f>VLOOKUP(C1419,技能辅助查询表,技能配置辅助表!$W$1,FALSE)</f>
        <v>65043890</v>
      </c>
      <c r="AD1419">
        <f t="shared" ca="1" si="660"/>
        <v>292.79569639156688</v>
      </c>
      <c r="AE1419">
        <f>VLOOKUP(C1419,技能辅助查询表,技能配置辅助表!$U$1,FALSE)</f>
        <v>4</v>
      </c>
      <c r="AF1419">
        <f t="shared" ca="1" si="653"/>
        <v>9324240</v>
      </c>
      <c r="AG1419">
        <f t="shared" ca="1" si="654"/>
        <v>65.306122448979593</v>
      </c>
      <c r="AH1419">
        <f t="shared" ca="1" si="655"/>
        <v>2076.5652226352254</v>
      </c>
      <c r="AI1419">
        <f ca="1">VLOOKUP(E1419,伤害参考系!$C$4:$E$104,3,FALSE)*$AN$12</f>
        <v>13664.798729096996</v>
      </c>
      <c r="AJ1419">
        <f>VLOOKUP(C1419,技能辅助查询表,技能配置辅助表!$L$1,FALSE)</f>
        <v>1</v>
      </c>
      <c r="AK1419">
        <f>VLOOKUP(C1419,技能辅助查询表,技能配置辅助表!$AE$1,FALSE)</f>
        <v>66000650</v>
      </c>
    </row>
    <row r="1420" spans="1:37" x14ac:dyDescent="0.15">
      <c r="A1420" s="1">
        <f t="shared" ca="1" si="618"/>
        <v>9324241</v>
      </c>
      <c r="B1420" s="1" t="str">
        <f t="shared" ca="1" si="619"/>
        <v>子弹风暴第2段</v>
      </c>
      <c r="C1420" t="s">
        <v>181</v>
      </c>
      <c r="D1420">
        <f t="shared" si="637"/>
        <v>3</v>
      </c>
      <c r="E1420" s="42">
        <f t="shared" ca="1" si="657"/>
        <v>67</v>
      </c>
      <c r="F1420" t="str">
        <f t="shared" ca="1" si="658"/>
        <v>第41级，共造成171.7%点伤害</v>
      </c>
      <c r="G1420">
        <f t="shared" ca="1" si="638"/>
        <v>2</v>
      </c>
      <c r="H1420">
        <f t="shared" si="639"/>
        <v>2</v>
      </c>
      <c r="I1420" s="44">
        <f t="shared" ca="1" si="640"/>
        <v>41</v>
      </c>
      <c r="J1420">
        <f t="shared" si="641"/>
        <v>2</v>
      </c>
      <c r="K1420" s="36">
        <f t="shared" ca="1" si="642"/>
        <v>171.71785714285716</v>
      </c>
      <c r="L1420" s="10">
        <f ca="1">AH1420*VLOOKUP(C1420,技能辅助查询表,技能配置辅助表!$T$1,FALSE)</f>
        <v>0</v>
      </c>
      <c r="M1420">
        <f t="shared" ca="1" si="656"/>
        <v>4720</v>
      </c>
      <c r="N1420" s="33">
        <f ca="1">CHOOSE(1,W1420*U1420,X1420*'[1]0、经济设定'!$C$18)</f>
        <v>151113</v>
      </c>
      <c r="O1420">
        <f t="shared" si="643"/>
        <v>4</v>
      </c>
      <c r="P1420">
        <f t="shared" si="644"/>
        <v>1</v>
      </c>
      <c r="Q1420">
        <f t="shared" si="645"/>
        <v>1</v>
      </c>
      <c r="R1420" s="2">
        <f t="shared" si="646"/>
        <v>8</v>
      </c>
      <c r="S1420" s="2">
        <f t="shared" si="647"/>
        <v>50</v>
      </c>
      <c r="T1420" s="2">
        <f t="shared" si="648"/>
        <v>121.78571428571431</v>
      </c>
      <c r="U1420" s="2">
        <f ca="1">VLOOKUP(E1420,金币生产率!$A$2:$B$120,2,0)</f>
        <v>2963</v>
      </c>
      <c r="V1420" s="2">
        <f t="shared" si="649"/>
        <v>121.78571428571431</v>
      </c>
      <c r="W1420" s="45">
        <f t="shared" ca="1" si="661"/>
        <v>51</v>
      </c>
      <c r="X1420" s="48">
        <f t="shared" ca="1" si="662"/>
        <v>739</v>
      </c>
      <c r="Y1420">
        <f t="shared" si="650"/>
        <v>18</v>
      </c>
      <c r="Z1420">
        <f t="shared" ca="1" si="659"/>
        <v>21</v>
      </c>
      <c r="AA1420" t="str">
        <f t="shared" ca="1" si="651"/>
        <v>9324200.png</v>
      </c>
      <c r="AB1420">
        <f t="shared" si="652"/>
        <v>20</v>
      </c>
      <c r="AC1420">
        <f>VLOOKUP(C1420,技能辅助查询表,技能配置辅助表!$W$1,FALSE)</f>
        <v>65043890</v>
      </c>
      <c r="AD1420">
        <f t="shared" ca="1" si="660"/>
        <v>339.10240595908118</v>
      </c>
      <c r="AE1420">
        <f>VLOOKUP(C1420,技能辅助查询表,技能配置辅助表!$U$1,FALSE)</f>
        <v>4</v>
      </c>
      <c r="AF1420">
        <f t="shared" ca="1" si="653"/>
        <v>9324241</v>
      </c>
      <c r="AG1420">
        <f t="shared" ca="1" si="654"/>
        <v>66.775510204081627</v>
      </c>
      <c r="AH1420">
        <f t="shared" ca="1" si="655"/>
        <v>2364.1420663448707</v>
      </c>
      <c r="AI1420">
        <f ca="1">VLOOKUP(E1420,伤害参考系!$C$4:$E$104,3,FALSE)*$AN$12</f>
        <v>14262.572265050176</v>
      </c>
      <c r="AJ1420">
        <f>VLOOKUP(C1420,技能辅助查询表,技能配置辅助表!$L$1,FALSE)</f>
        <v>1</v>
      </c>
      <c r="AK1420">
        <f>VLOOKUP(C1420,技能辅助查询表,技能配置辅助表!$AE$1,FALSE)</f>
        <v>66000650</v>
      </c>
    </row>
    <row r="1421" spans="1:37" x14ac:dyDescent="0.15">
      <c r="A1421" s="1">
        <f t="shared" ca="1" si="618"/>
        <v>9324242</v>
      </c>
      <c r="B1421" s="1" t="str">
        <f t="shared" ca="1" si="619"/>
        <v>子弹风暴第2段</v>
      </c>
      <c r="C1421" t="s">
        <v>181</v>
      </c>
      <c r="D1421">
        <f t="shared" si="637"/>
        <v>3</v>
      </c>
      <c r="E1421" s="42">
        <f t="shared" ca="1" si="657"/>
        <v>68</v>
      </c>
      <c r="F1421" t="str">
        <f t="shared" ca="1" si="658"/>
        <v>第42级，共造成172.9%点伤害</v>
      </c>
      <c r="G1421">
        <f t="shared" ca="1" si="638"/>
        <v>2</v>
      </c>
      <c r="H1421">
        <f t="shared" si="639"/>
        <v>2</v>
      </c>
      <c r="I1421" s="44">
        <f t="shared" ca="1" si="640"/>
        <v>42</v>
      </c>
      <c r="J1421">
        <f t="shared" si="641"/>
        <v>2</v>
      </c>
      <c r="K1421" s="36">
        <f t="shared" ca="1" si="642"/>
        <v>172.93571428571431</v>
      </c>
      <c r="L1421" s="10">
        <f ca="1">AH1421*VLOOKUP(C1421,技能辅助查询表,技能配置辅助表!$T$1,FALSE)</f>
        <v>0</v>
      </c>
      <c r="M1421">
        <f t="shared" ca="1" si="656"/>
        <v>4640</v>
      </c>
      <c r="N1421" s="33">
        <f ca="1">CHOOSE(1,W1421*U1421,X1421*'[1]0、经济设定'!$C$18)</f>
        <v>167970</v>
      </c>
      <c r="O1421">
        <f t="shared" si="643"/>
        <v>4</v>
      </c>
      <c r="P1421">
        <f t="shared" si="644"/>
        <v>1</v>
      </c>
      <c r="Q1421">
        <f t="shared" si="645"/>
        <v>1</v>
      </c>
      <c r="R1421" s="2">
        <f t="shared" si="646"/>
        <v>8</v>
      </c>
      <c r="S1421" s="2">
        <f t="shared" si="647"/>
        <v>50</v>
      </c>
      <c r="T1421" s="2">
        <f t="shared" si="648"/>
        <v>121.78571428571431</v>
      </c>
      <c r="U1421" s="2">
        <f ca="1">VLOOKUP(E1421,金币生产率!$A$2:$B$120,2,0)</f>
        <v>3054</v>
      </c>
      <c r="V1421" s="2">
        <f t="shared" si="649"/>
        <v>121.78571428571431</v>
      </c>
      <c r="W1421" s="45">
        <f t="shared" ca="1" si="661"/>
        <v>55</v>
      </c>
      <c r="X1421" s="48">
        <f t="shared" ca="1" si="662"/>
        <v>794</v>
      </c>
      <c r="Y1421">
        <f t="shared" si="650"/>
        <v>18</v>
      </c>
      <c r="Z1421">
        <f t="shared" ca="1" si="659"/>
        <v>22</v>
      </c>
      <c r="AA1421" t="str">
        <f t="shared" ca="1" si="651"/>
        <v>9324200.png</v>
      </c>
      <c r="AB1421">
        <f t="shared" si="652"/>
        <v>20</v>
      </c>
      <c r="AC1421">
        <f>VLOOKUP(C1421,技能辅助查询表,技能配置辅助表!$W$1,FALSE)</f>
        <v>65043890</v>
      </c>
      <c r="AD1421">
        <f t="shared" ca="1" si="660"/>
        <v>392.61944169908656</v>
      </c>
      <c r="AE1421">
        <f>VLOOKUP(C1421,技能辅助查询表,技能配置辅助表!$U$1,FALSE)</f>
        <v>4</v>
      </c>
      <c r="AF1421">
        <f t="shared" ca="1" si="653"/>
        <v>9324242</v>
      </c>
      <c r="AG1421">
        <f t="shared" ca="1" si="654"/>
        <v>68.244897959183675</v>
      </c>
      <c r="AH1421">
        <f t="shared" ca="1" si="655"/>
        <v>2691.5445028827789</v>
      </c>
      <c r="AI1421">
        <f ca="1">VLOOKUP(E1421,伤害参考系!$C$4:$E$104,3,FALSE)*$AN$12</f>
        <v>14872.841096989978</v>
      </c>
      <c r="AJ1421">
        <f>VLOOKUP(C1421,技能辅助查询表,技能配置辅助表!$L$1,FALSE)</f>
        <v>1</v>
      </c>
      <c r="AK1421">
        <f>VLOOKUP(C1421,技能辅助查询表,技能配置辅助表!$AE$1,FALSE)</f>
        <v>66000650</v>
      </c>
    </row>
    <row r="1422" spans="1:37" x14ac:dyDescent="0.15">
      <c r="A1422" s="1">
        <f t="shared" ca="1" si="618"/>
        <v>9324243</v>
      </c>
      <c r="B1422" s="1" t="str">
        <f t="shared" ca="1" si="619"/>
        <v>子弹风暴第2段</v>
      </c>
      <c r="C1422" t="s">
        <v>181</v>
      </c>
      <c r="D1422">
        <f t="shared" si="637"/>
        <v>3</v>
      </c>
      <c r="E1422" s="42">
        <f t="shared" ca="1" si="657"/>
        <v>70</v>
      </c>
      <c r="F1422" t="str">
        <f t="shared" ca="1" si="658"/>
        <v>第43级，共造成174.2%点伤害</v>
      </c>
      <c r="G1422">
        <f t="shared" ca="1" si="638"/>
        <v>2</v>
      </c>
      <c r="H1422">
        <f t="shared" si="639"/>
        <v>2</v>
      </c>
      <c r="I1422" s="44">
        <f t="shared" ca="1" si="640"/>
        <v>43</v>
      </c>
      <c r="J1422">
        <f t="shared" si="641"/>
        <v>2</v>
      </c>
      <c r="K1422" s="36">
        <f t="shared" ca="1" si="642"/>
        <v>174.15357142857147</v>
      </c>
      <c r="L1422" s="10">
        <f ca="1">AH1422*VLOOKUP(C1422,技能辅助查询表,技能配置辅助表!$T$1,FALSE)</f>
        <v>0</v>
      </c>
      <c r="M1422">
        <f t="shared" ca="1" si="656"/>
        <v>4560</v>
      </c>
      <c r="N1422" s="33">
        <f ca="1">CHOOSE(1,W1422*U1422,X1422*'[1]0、经济设定'!$C$18)</f>
        <v>191278</v>
      </c>
      <c r="O1422">
        <f t="shared" si="643"/>
        <v>4</v>
      </c>
      <c r="P1422">
        <f t="shared" si="644"/>
        <v>1</v>
      </c>
      <c r="Q1422">
        <f t="shared" si="645"/>
        <v>1</v>
      </c>
      <c r="R1422" s="2">
        <f t="shared" si="646"/>
        <v>8</v>
      </c>
      <c r="S1422" s="2">
        <f t="shared" si="647"/>
        <v>50</v>
      </c>
      <c r="T1422" s="2">
        <f t="shared" si="648"/>
        <v>121.78571428571431</v>
      </c>
      <c r="U1422" s="2">
        <f ca="1">VLOOKUP(E1422,金币生产率!$A$2:$B$120,2,0)</f>
        <v>3242</v>
      </c>
      <c r="V1422" s="2">
        <f t="shared" si="649"/>
        <v>121.78571428571431</v>
      </c>
      <c r="W1422" s="45">
        <f t="shared" ca="1" si="661"/>
        <v>59</v>
      </c>
      <c r="X1422" s="48">
        <f t="shared" ca="1" si="662"/>
        <v>853</v>
      </c>
      <c r="Y1422">
        <f t="shared" si="650"/>
        <v>18</v>
      </c>
      <c r="Z1422">
        <f t="shared" ca="1" si="659"/>
        <v>24</v>
      </c>
      <c r="AA1422" t="str">
        <f t="shared" ca="1" si="651"/>
        <v>9324200.png</v>
      </c>
      <c r="AB1422">
        <f t="shared" si="652"/>
        <v>20</v>
      </c>
      <c r="AC1422">
        <f>VLOOKUP(C1422,技能辅助查询表,技能配置辅助表!$W$1,FALSE)</f>
        <v>65043890</v>
      </c>
      <c r="AD1422">
        <f t="shared" ca="1" si="660"/>
        <v>454.45577601468966</v>
      </c>
      <c r="AE1422">
        <f>VLOOKUP(C1422,技能辅助查询表,技能配置辅助表!$U$1,FALSE)</f>
        <v>4</v>
      </c>
      <c r="AF1422">
        <f t="shared" ca="1" si="653"/>
        <v>9324243</v>
      </c>
      <c r="AG1422">
        <f t="shared" ca="1" si="654"/>
        <v>69.714285714285722</v>
      </c>
      <c r="AH1422">
        <f t="shared" ca="1" si="655"/>
        <v>3064.2878506023458</v>
      </c>
      <c r="AI1422">
        <f ca="1">VLOOKUP(E1422,伤害参考系!$C$4:$E$104,3,FALSE)*$AN$12</f>
        <v>16191.966408862889</v>
      </c>
      <c r="AJ1422">
        <f>VLOOKUP(C1422,技能辅助查询表,技能配置辅助表!$L$1,FALSE)</f>
        <v>1</v>
      </c>
      <c r="AK1422">
        <f>VLOOKUP(C1422,技能辅助查询表,技能配置辅助表!$AE$1,FALSE)</f>
        <v>66000650</v>
      </c>
    </row>
    <row r="1423" spans="1:37" x14ac:dyDescent="0.15">
      <c r="A1423" s="1">
        <f t="shared" ca="1" si="618"/>
        <v>9324244</v>
      </c>
      <c r="B1423" s="1" t="str">
        <f t="shared" ca="1" si="619"/>
        <v>子弹风暴第2段</v>
      </c>
      <c r="C1423" t="s">
        <v>181</v>
      </c>
      <c r="D1423">
        <f t="shared" si="637"/>
        <v>3</v>
      </c>
      <c r="E1423" s="42">
        <f t="shared" ca="1" si="657"/>
        <v>71</v>
      </c>
      <c r="F1423" t="str">
        <f t="shared" ca="1" si="658"/>
        <v>第44级，共造成175.4%点伤害</v>
      </c>
      <c r="G1423">
        <f t="shared" ca="1" si="638"/>
        <v>2</v>
      </c>
      <c r="H1423">
        <f t="shared" si="639"/>
        <v>2</v>
      </c>
      <c r="I1423" s="44">
        <f t="shared" ca="1" si="640"/>
        <v>44</v>
      </c>
      <c r="J1423">
        <f t="shared" si="641"/>
        <v>2</v>
      </c>
      <c r="K1423" s="36">
        <f t="shared" ca="1" si="642"/>
        <v>175.37142857142859</v>
      </c>
      <c r="L1423" s="10">
        <f ca="1">AH1423*VLOOKUP(C1423,技能辅助查询表,技能配置辅助表!$T$1,FALSE)</f>
        <v>0</v>
      </c>
      <c r="M1423">
        <f t="shared" ca="1" si="656"/>
        <v>4480</v>
      </c>
      <c r="N1423" s="33">
        <f ca="1">CHOOSE(1,W1423*U1423,X1423*'[1]0、经济设定'!$C$18)</f>
        <v>210294</v>
      </c>
      <c r="O1423">
        <f t="shared" si="643"/>
        <v>4</v>
      </c>
      <c r="P1423">
        <f t="shared" si="644"/>
        <v>1</v>
      </c>
      <c r="Q1423">
        <f t="shared" si="645"/>
        <v>1</v>
      </c>
      <c r="R1423" s="2">
        <f t="shared" si="646"/>
        <v>8</v>
      </c>
      <c r="S1423" s="2">
        <f t="shared" si="647"/>
        <v>50</v>
      </c>
      <c r="T1423" s="2">
        <f t="shared" si="648"/>
        <v>121.78571428571431</v>
      </c>
      <c r="U1423" s="2">
        <f ca="1">VLOOKUP(E1423,金币生产率!$A$2:$B$120,2,0)</f>
        <v>3338</v>
      </c>
      <c r="V1423" s="2">
        <f t="shared" si="649"/>
        <v>121.78571428571431</v>
      </c>
      <c r="W1423" s="45">
        <f t="shared" ca="1" si="661"/>
        <v>63</v>
      </c>
      <c r="X1423" s="48">
        <f t="shared" ca="1" si="662"/>
        <v>916</v>
      </c>
      <c r="Y1423">
        <f t="shared" si="650"/>
        <v>18</v>
      </c>
      <c r="Z1423">
        <f t="shared" ca="1" si="659"/>
        <v>26</v>
      </c>
      <c r="AA1423" t="str">
        <f t="shared" ca="1" si="651"/>
        <v>9324200.png</v>
      </c>
      <c r="AB1423">
        <f t="shared" si="652"/>
        <v>20</v>
      </c>
      <c r="AC1423">
        <f>VLOOKUP(C1423,技能辅助查询表,技能配置辅助表!$W$1,FALSE)</f>
        <v>65043890</v>
      </c>
      <c r="AD1423">
        <f t="shared" ca="1" si="660"/>
        <v>525.8892534680607</v>
      </c>
      <c r="AE1423">
        <f>VLOOKUP(C1423,技能辅助查询表,技能配置辅助表!$U$1,FALSE)</f>
        <v>4</v>
      </c>
      <c r="AF1423">
        <f t="shared" ca="1" si="653"/>
        <v>9324244</v>
      </c>
      <c r="AG1423">
        <f t="shared" ca="1" si="654"/>
        <v>71.183673469387756</v>
      </c>
      <c r="AH1423">
        <f t="shared" ca="1" si="655"/>
        <v>3488.6512265697725</v>
      </c>
      <c r="AI1423">
        <f ca="1">VLOOKUP(E1423,伤害参考系!$C$4:$E$104,3,FALSE)*$AN$12</f>
        <v>16902.905438127098</v>
      </c>
      <c r="AJ1423">
        <f>VLOOKUP(C1423,技能辅助查询表,技能配置辅助表!$L$1,FALSE)</f>
        <v>1</v>
      </c>
      <c r="AK1423">
        <f>VLOOKUP(C1423,技能辅助查询表,技能配置辅助表!$AE$1,FALSE)</f>
        <v>66000650</v>
      </c>
    </row>
    <row r="1424" spans="1:37" x14ac:dyDescent="0.15">
      <c r="A1424" s="1">
        <f t="shared" ca="1" si="618"/>
        <v>9324245</v>
      </c>
      <c r="B1424" s="1" t="str">
        <f t="shared" ca="1" si="619"/>
        <v>子弹风暴第2段</v>
      </c>
      <c r="C1424" t="s">
        <v>181</v>
      </c>
      <c r="D1424">
        <f t="shared" si="637"/>
        <v>3</v>
      </c>
      <c r="E1424" s="42">
        <f t="shared" ca="1" si="657"/>
        <v>73</v>
      </c>
      <c r="F1424" t="str">
        <f t="shared" ca="1" si="658"/>
        <v>第45级，共造成176.6%点伤害</v>
      </c>
      <c r="G1424">
        <f t="shared" ca="1" si="638"/>
        <v>2</v>
      </c>
      <c r="H1424">
        <f t="shared" si="639"/>
        <v>2</v>
      </c>
      <c r="I1424" s="44">
        <f t="shared" ca="1" si="640"/>
        <v>45</v>
      </c>
      <c r="J1424">
        <f t="shared" si="641"/>
        <v>2</v>
      </c>
      <c r="K1424" s="36">
        <f t="shared" ca="1" si="642"/>
        <v>176.58928571428572</v>
      </c>
      <c r="L1424" s="10">
        <f ca="1">AH1424*VLOOKUP(C1424,技能辅助查询表,技能配置辅助表!$T$1,FALSE)</f>
        <v>0</v>
      </c>
      <c r="M1424">
        <f t="shared" ca="1" si="656"/>
        <v>4400</v>
      </c>
      <c r="N1424" s="33">
        <f ca="1">CHOOSE(1,W1424*U1424,X1424*'[1]0、经济设定'!$C$18)</f>
        <v>240312</v>
      </c>
      <c r="O1424">
        <f t="shared" si="643"/>
        <v>4</v>
      </c>
      <c r="P1424">
        <f t="shared" si="644"/>
        <v>1</v>
      </c>
      <c r="Q1424">
        <f t="shared" si="645"/>
        <v>1</v>
      </c>
      <c r="R1424" s="2">
        <f t="shared" si="646"/>
        <v>8</v>
      </c>
      <c r="S1424" s="2">
        <f t="shared" si="647"/>
        <v>50</v>
      </c>
      <c r="T1424" s="2">
        <f t="shared" si="648"/>
        <v>121.78571428571431</v>
      </c>
      <c r="U1424" s="2">
        <f ca="1">VLOOKUP(E1424,金币生产率!$A$2:$B$120,2,0)</f>
        <v>3534</v>
      </c>
      <c r="V1424" s="2">
        <f t="shared" si="649"/>
        <v>121.78571428571431</v>
      </c>
      <c r="W1424" s="45">
        <f t="shared" ca="1" si="661"/>
        <v>68</v>
      </c>
      <c r="X1424" s="48">
        <f t="shared" ca="1" si="662"/>
        <v>984</v>
      </c>
      <c r="Y1424">
        <f t="shared" si="650"/>
        <v>18</v>
      </c>
      <c r="Z1424">
        <f t="shared" ca="1" si="659"/>
        <v>28</v>
      </c>
      <c r="AA1424" t="str">
        <f t="shared" ca="1" si="651"/>
        <v>9324200.png</v>
      </c>
      <c r="AB1424">
        <f t="shared" si="652"/>
        <v>20</v>
      </c>
      <c r="AC1424">
        <f>VLOOKUP(C1424,技能辅助查询表,技能配置辅助表!$W$1,FALSE)</f>
        <v>65043890</v>
      </c>
      <c r="AD1424">
        <f t="shared" ca="1" si="660"/>
        <v>608.392095378622</v>
      </c>
      <c r="AE1424">
        <f>VLOOKUP(C1424,技能辅助查询表,技能配置辅助表!$U$1,FALSE)</f>
        <v>4</v>
      </c>
      <c r="AF1424">
        <f t="shared" ca="1" si="653"/>
        <v>9324245</v>
      </c>
      <c r="AG1424">
        <f t="shared" ca="1" si="654"/>
        <v>72.65306122448979</v>
      </c>
      <c r="AH1424">
        <f t="shared" ca="1" si="655"/>
        <v>3971.7833225930094</v>
      </c>
      <c r="AI1424">
        <f ca="1">VLOOKUP(E1424,伤害参考系!$C$4:$E$104,3,FALSE)*$AN$12</f>
        <v>18368.517032608706</v>
      </c>
      <c r="AJ1424">
        <f>VLOOKUP(C1424,技能辅助查询表,技能配置辅助表!$L$1,FALSE)</f>
        <v>1</v>
      </c>
      <c r="AK1424">
        <f>VLOOKUP(C1424,技能辅助查询表,技能配置辅助表!$AE$1,FALSE)</f>
        <v>66000650</v>
      </c>
    </row>
    <row r="1425" spans="1:37" x14ac:dyDescent="0.15">
      <c r="A1425" s="1">
        <f t="shared" ca="1" si="618"/>
        <v>9324246</v>
      </c>
      <c r="B1425" s="1" t="str">
        <f t="shared" ca="1" si="619"/>
        <v>子弹风暴第2段</v>
      </c>
      <c r="C1425" t="s">
        <v>181</v>
      </c>
      <c r="D1425">
        <f t="shared" si="637"/>
        <v>3</v>
      </c>
      <c r="E1425" s="42">
        <f t="shared" ca="1" si="657"/>
        <v>74</v>
      </c>
      <c r="F1425" t="str">
        <f t="shared" ca="1" si="658"/>
        <v>第46级，共造成177.8%点伤害</v>
      </c>
      <c r="G1425">
        <f t="shared" ca="1" si="638"/>
        <v>2</v>
      </c>
      <c r="H1425">
        <f t="shared" si="639"/>
        <v>2</v>
      </c>
      <c r="I1425" s="44">
        <f t="shared" ca="1" si="640"/>
        <v>46</v>
      </c>
      <c r="J1425">
        <f t="shared" si="641"/>
        <v>2</v>
      </c>
      <c r="K1425" s="36">
        <f t="shared" ca="1" si="642"/>
        <v>177.80714285714288</v>
      </c>
      <c r="L1425" s="10">
        <f ca="1">AH1425*VLOOKUP(C1425,技能辅助查询表,技能配置辅助表!$T$1,FALSE)</f>
        <v>0</v>
      </c>
      <c r="M1425">
        <f t="shared" ca="1" si="656"/>
        <v>4320</v>
      </c>
      <c r="N1425" s="33">
        <f ca="1">CHOOSE(1,W1425*U1425,X1425*'[1]0、经济设定'!$C$18)</f>
        <v>261648</v>
      </c>
      <c r="O1425">
        <f t="shared" si="643"/>
        <v>4</v>
      </c>
      <c r="P1425">
        <f t="shared" si="644"/>
        <v>1</v>
      </c>
      <c r="Q1425">
        <f t="shared" si="645"/>
        <v>1</v>
      </c>
      <c r="R1425" s="2">
        <f t="shared" si="646"/>
        <v>8</v>
      </c>
      <c r="S1425" s="2">
        <f t="shared" si="647"/>
        <v>50</v>
      </c>
      <c r="T1425" s="2">
        <f t="shared" si="648"/>
        <v>121.78571428571431</v>
      </c>
      <c r="U1425" s="2">
        <f ca="1">VLOOKUP(E1425,金币生产率!$A$2:$B$120,2,0)</f>
        <v>3634</v>
      </c>
      <c r="V1425" s="2">
        <f t="shared" si="649"/>
        <v>121.78571428571431</v>
      </c>
      <c r="W1425" s="45">
        <f t="shared" ca="1" si="661"/>
        <v>72</v>
      </c>
      <c r="X1425" s="48">
        <f t="shared" ca="1" si="662"/>
        <v>1056</v>
      </c>
      <c r="Y1425">
        <f t="shared" si="650"/>
        <v>18</v>
      </c>
      <c r="Z1425">
        <f t="shared" ca="1" si="659"/>
        <v>29</v>
      </c>
      <c r="AA1425" t="str">
        <f t="shared" ca="1" si="651"/>
        <v>9324200.png</v>
      </c>
      <c r="AB1425">
        <f t="shared" si="652"/>
        <v>20</v>
      </c>
      <c r="AC1425">
        <f>VLOOKUP(C1425,技能辅助查询表,技能配置辅助表!$W$1,FALSE)</f>
        <v>65043890</v>
      </c>
      <c r="AD1425">
        <f t="shared" ca="1" si="660"/>
        <v>703.6602297910074</v>
      </c>
      <c r="AE1425">
        <f>VLOOKUP(C1425,技能辅助查询表,技能配置辅助表!$U$1,FALSE)</f>
        <v>4</v>
      </c>
      <c r="AF1425">
        <f t="shared" ca="1" si="653"/>
        <v>9324246</v>
      </c>
      <c r="AG1425">
        <f t="shared" ca="1" si="654"/>
        <v>74.122448979591837</v>
      </c>
      <c r="AH1425">
        <f t="shared" ca="1" si="655"/>
        <v>4521.8228298329677</v>
      </c>
      <c r="AI1425">
        <f ca="1">VLOOKUP(E1425,伤害参考系!$C$4:$E$104,3,FALSE)*$AN$12</f>
        <v>19123.189597826095</v>
      </c>
      <c r="AJ1425">
        <f>VLOOKUP(C1425,技能辅助查询表,技能配置辅助表!$L$1,FALSE)</f>
        <v>1</v>
      </c>
      <c r="AK1425">
        <f>VLOOKUP(C1425,技能辅助查询表,技能配置辅助表!$AE$1,FALSE)</f>
        <v>66000650</v>
      </c>
    </row>
    <row r="1426" spans="1:37" x14ac:dyDescent="0.15">
      <c r="A1426" s="1">
        <f t="shared" ca="1" si="618"/>
        <v>9324247</v>
      </c>
      <c r="B1426" s="1" t="str">
        <f t="shared" ca="1" si="619"/>
        <v>子弹风暴第2段</v>
      </c>
      <c r="C1426" t="s">
        <v>181</v>
      </c>
      <c r="D1426">
        <f t="shared" si="637"/>
        <v>3</v>
      </c>
      <c r="E1426" s="42">
        <f t="shared" ca="1" si="657"/>
        <v>76</v>
      </c>
      <c r="F1426" t="str">
        <f t="shared" ca="1" si="658"/>
        <v>第47级，共造成179%点伤害</v>
      </c>
      <c r="G1426">
        <f t="shared" ca="1" si="638"/>
        <v>2</v>
      </c>
      <c r="H1426">
        <f t="shared" si="639"/>
        <v>2</v>
      </c>
      <c r="I1426" s="44">
        <f t="shared" ca="1" si="640"/>
        <v>47</v>
      </c>
      <c r="J1426">
        <f t="shared" si="641"/>
        <v>2</v>
      </c>
      <c r="K1426" s="36">
        <f t="shared" ca="1" si="642"/>
        <v>179.02500000000003</v>
      </c>
      <c r="L1426" s="10">
        <f ca="1">AH1426*VLOOKUP(C1426,技能辅助查询表,技能配置辅助表!$T$1,FALSE)</f>
        <v>0</v>
      </c>
      <c r="M1426">
        <f t="shared" ca="1" si="656"/>
        <v>4240</v>
      </c>
      <c r="N1426" s="33">
        <f ca="1">CHOOSE(1,W1426*U1426,X1426*'[1]0、经济设定'!$C$18)</f>
        <v>295526</v>
      </c>
      <c r="O1426">
        <f t="shared" si="643"/>
        <v>4</v>
      </c>
      <c r="P1426">
        <f t="shared" si="644"/>
        <v>1</v>
      </c>
      <c r="Q1426">
        <f t="shared" si="645"/>
        <v>1</v>
      </c>
      <c r="R1426" s="2">
        <f t="shared" si="646"/>
        <v>8</v>
      </c>
      <c r="S1426" s="2">
        <f t="shared" si="647"/>
        <v>50</v>
      </c>
      <c r="T1426" s="2">
        <f t="shared" si="648"/>
        <v>121.78571428571431</v>
      </c>
      <c r="U1426" s="2">
        <f ca="1">VLOOKUP(E1426,金币生产率!$A$2:$B$120,2,0)</f>
        <v>3838</v>
      </c>
      <c r="V1426" s="2">
        <f t="shared" si="649"/>
        <v>121.78571428571431</v>
      </c>
      <c r="W1426" s="45">
        <f t="shared" ca="1" si="661"/>
        <v>77</v>
      </c>
      <c r="X1426" s="48">
        <f t="shared" ca="1" si="662"/>
        <v>1133</v>
      </c>
      <c r="Y1426">
        <f t="shared" si="650"/>
        <v>18</v>
      </c>
      <c r="Z1426">
        <f t="shared" ca="1" si="659"/>
        <v>31</v>
      </c>
      <c r="AA1426" t="str">
        <f t="shared" ca="1" si="651"/>
        <v>9324200.png</v>
      </c>
      <c r="AB1426">
        <f t="shared" si="652"/>
        <v>20</v>
      </c>
      <c r="AC1426">
        <f>VLOOKUP(C1426,技能辅助查询表,技能配置辅助表!$W$1,FALSE)</f>
        <v>65043890</v>
      </c>
      <c r="AD1426">
        <f t="shared" ca="1" si="660"/>
        <v>813.64701719690163</v>
      </c>
      <c r="AE1426">
        <f>VLOOKUP(C1426,技能辅助查询表,技能配置辅助表!$U$1,FALSE)</f>
        <v>4</v>
      </c>
      <c r="AF1426">
        <f t="shared" ca="1" si="653"/>
        <v>9324247</v>
      </c>
      <c r="AG1426">
        <f t="shared" ca="1" si="654"/>
        <v>75.591836734693871</v>
      </c>
      <c r="AH1426">
        <f t="shared" ca="1" si="655"/>
        <v>5148.0355406320868</v>
      </c>
      <c r="AI1426">
        <f ca="1">VLOOKUP(E1426,伤害参考系!$C$4:$E$104,3,FALSE)*$AN$12</f>
        <v>20676.268264214057</v>
      </c>
      <c r="AJ1426">
        <f>VLOOKUP(C1426,技能辅助查询表,技能配置辅助表!$L$1,FALSE)</f>
        <v>1</v>
      </c>
      <c r="AK1426">
        <f>VLOOKUP(C1426,技能辅助查询表,技能配置辅助表!$AE$1,FALSE)</f>
        <v>66000650</v>
      </c>
    </row>
    <row r="1427" spans="1:37" x14ac:dyDescent="0.15">
      <c r="A1427" s="1">
        <f t="shared" ref="A1427:A1490" ca="1" si="663">IF(I1427=0,IF(H1427=1,VALUE("9"&amp;D1427&amp;J1427&amp;O1427&amp;G1427&amp;IF(I1427&gt;9,I1427,"0"&amp;I1427)),1),VALUE("9"&amp;D1427&amp;J1427&amp;O1427&amp;G1427&amp;IF(I1427&gt;9,I1427,"0"&amp;I1427)))</f>
        <v>9324248</v>
      </c>
      <c r="B1427" s="1" t="str">
        <f t="shared" ref="B1427:B1490" ca="1" si="664">IF(AND(G1427=0,AE1427=4),LEFT(C1427,LEN(C1427)-3),C1427)</f>
        <v>子弹风暴第2段</v>
      </c>
      <c r="C1427" t="s">
        <v>181</v>
      </c>
      <c r="D1427">
        <f t="shared" si="637"/>
        <v>3</v>
      </c>
      <c r="E1427" s="42">
        <f t="shared" ca="1" si="657"/>
        <v>77</v>
      </c>
      <c r="F1427" t="str">
        <f t="shared" ca="1" si="658"/>
        <v>第48级，共造成180.2%点伤害</v>
      </c>
      <c r="G1427">
        <f t="shared" ca="1" si="638"/>
        <v>2</v>
      </c>
      <c r="H1427">
        <f t="shared" si="639"/>
        <v>2</v>
      </c>
      <c r="I1427" s="44">
        <f t="shared" ca="1" si="640"/>
        <v>48</v>
      </c>
      <c r="J1427">
        <f t="shared" si="641"/>
        <v>2</v>
      </c>
      <c r="K1427" s="36">
        <f t="shared" ca="1" si="642"/>
        <v>180.24285714285716</v>
      </c>
      <c r="L1427" s="10">
        <f ca="1">AH1427*VLOOKUP(C1427,技能辅助查询表,技能配置辅助表!$T$1,FALSE)</f>
        <v>0</v>
      </c>
      <c r="M1427">
        <f t="shared" ca="1" si="656"/>
        <v>4160</v>
      </c>
      <c r="N1427" s="33">
        <f ca="1">CHOOSE(1,W1427*U1427,X1427*'[1]0、经济设定'!$C$18)</f>
        <v>327186</v>
      </c>
      <c r="O1427">
        <f t="shared" si="643"/>
        <v>4</v>
      </c>
      <c r="P1427">
        <f t="shared" si="644"/>
        <v>1</v>
      </c>
      <c r="Q1427">
        <f t="shared" si="645"/>
        <v>1</v>
      </c>
      <c r="R1427" s="2">
        <f t="shared" si="646"/>
        <v>8</v>
      </c>
      <c r="S1427" s="2">
        <f t="shared" si="647"/>
        <v>50</v>
      </c>
      <c r="T1427" s="2">
        <f t="shared" si="648"/>
        <v>121.78571428571431</v>
      </c>
      <c r="U1427" s="2">
        <f ca="1">VLOOKUP(E1427,金币生产率!$A$2:$B$120,2,0)</f>
        <v>3942</v>
      </c>
      <c r="V1427" s="2">
        <f t="shared" si="649"/>
        <v>121.78571428571431</v>
      </c>
      <c r="W1427" s="45">
        <f t="shared" ca="1" si="661"/>
        <v>83</v>
      </c>
      <c r="X1427" s="48">
        <f t="shared" ca="1" si="662"/>
        <v>1216</v>
      </c>
      <c r="Y1427">
        <f t="shared" si="650"/>
        <v>18</v>
      </c>
      <c r="Z1427">
        <f t="shared" ca="1" si="659"/>
        <v>34</v>
      </c>
      <c r="AA1427" t="str">
        <f t="shared" ca="1" si="651"/>
        <v>9324200.png</v>
      </c>
      <c r="AB1427">
        <f t="shared" si="652"/>
        <v>20</v>
      </c>
      <c r="AC1427">
        <f>VLOOKUP(C1427,技能辅助查询表,技能配置辅助表!$W$1,FALSE)</f>
        <v>65043890</v>
      </c>
      <c r="AD1427">
        <f t="shared" ca="1" si="660"/>
        <v>940.60202701099297</v>
      </c>
      <c r="AE1427">
        <f>VLOOKUP(C1427,技能辅助查询表,技能配置辅助表!$U$1,FALSE)</f>
        <v>4</v>
      </c>
      <c r="AF1427">
        <f t="shared" ca="1" si="653"/>
        <v>9324248</v>
      </c>
      <c r="AG1427">
        <f t="shared" ca="1" si="654"/>
        <v>77.061224489795919</v>
      </c>
      <c r="AH1427">
        <f t="shared" ca="1" si="655"/>
        <v>5860.970437134547</v>
      </c>
      <c r="AI1427">
        <f ca="1">VLOOKUP(E1427,伤害参考系!$C$4:$E$104,3,FALSE)*$AN$12</f>
        <v>21474.674365384624</v>
      </c>
      <c r="AJ1427">
        <f>VLOOKUP(C1427,技能辅助查询表,技能配置辅助表!$L$1,FALSE)</f>
        <v>1</v>
      </c>
      <c r="AK1427">
        <f>VLOOKUP(C1427,技能辅助查询表,技能配置辅助表!$AE$1,FALSE)</f>
        <v>66000650</v>
      </c>
    </row>
    <row r="1428" spans="1:37" x14ac:dyDescent="0.15">
      <c r="A1428" s="1">
        <f t="shared" ca="1" si="663"/>
        <v>9324249</v>
      </c>
      <c r="B1428" s="1" t="str">
        <f t="shared" ca="1" si="664"/>
        <v>子弹风暴第2段</v>
      </c>
      <c r="C1428" t="s">
        <v>181</v>
      </c>
      <c r="D1428">
        <f t="shared" si="637"/>
        <v>3</v>
      </c>
      <c r="E1428" s="42">
        <f t="shared" ca="1" si="657"/>
        <v>79</v>
      </c>
      <c r="F1428" t="str">
        <f t="shared" ca="1" si="658"/>
        <v>第49级，共造成181.5%点伤害</v>
      </c>
      <c r="G1428">
        <f t="shared" ca="1" si="638"/>
        <v>2</v>
      </c>
      <c r="H1428">
        <f t="shared" si="639"/>
        <v>2</v>
      </c>
      <c r="I1428" s="44">
        <f t="shared" ca="1" si="640"/>
        <v>49</v>
      </c>
      <c r="J1428">
        <f t="shared" si="641"/>
        <v>2</v>
      </c>
      <c r="K1428" s="36">
        <f t="shared" ca="1" si="642"/>
        <v>181.46071428571432</v>
      </c>
      <c r="L1428" s="10">
        <f ca="1">AH1428*VLOOKUP(C1428,技能辅助查询表,技能配置辅助表!$T$1,FALSE)</f>
        <v>0</v>
      </c>
      <c r="M1428">
        <f t="shared" ca="1" si="656"/>
        <v>4080</v>
      </c>
      <c r="N1428" s="33">
        <f ca="1">CHOOSE(1,W1428*U1428,X1428*'[1]0、经济设定'!$C$18)</f>
        <v>369706</v>
      </c>
      <c r="O1428">
        <f t="shared" si="643"/>
        <v>4</v>
      </c>
      <c r="P1428">
        <f t="shared" si="644"/>
        <v>1</v>
      </c>
      <c r="Q1428">
        <f t="shared" si="645"/>
        <v>1</v>
      </c>
      <c r="R1428" s="2">
        <f t="shared" si="646"/>
        <v>8</v>
      </c>
      <c r="S1428" s="2">
        <f t="shared" si="647"/>
        <v>50</v>
      </c>
      <c r="T1428" s="2">
        <f t="shared" si="648"/>
        <v>121.78571428571431</v>
      </c>
      <c r="U1428" s="2">
        <f ca="1">VLOOKUP(E1428,金币生产率!$A$2:$B$120,2,0)</f>
        <v>4154</v>
      </c>
      <c r="V1428" s="2">
        <f t="shared" si="649"/>
        <v>121.78571428571431</v>
      </c>
      <c r="W1428" s="45">
        <f t="shared" ca="1" si="661"/>
        <v>89</v>
      </c>
      <c r="X1428" s="48">
        <f t="shared" ca="1" si="662"/>
        <v>1305</v>
      </c>
      <c r="Y1428">
        <f t="shared" si="650"/>
        <v>18</v>
      </c>
      <c r="Z1428">
        <f t="shared" ca="1" si="659"/>
        <v>36</v>
      </c>
      <c r="AA1428" t="str">
        <f t="shared" ca="1" si="651"/>
        <v>9324200.png</v>
      </c>
      <c r="AB1428">
        <f t="shared" si="652"/>
        <v>20</v>
      </c>
      <c r="AC1428">
        <f>VLOOKUP(C1428,技能辅助查询表,技能配置辅助表!$W$1,FALSE)</f>
        <v>65043890</v>
      </c>
      <c r="AD1428">
        <f t="shared" ca="1" si="660"/>
        <v>1087.1156169146486</v>
      </c>
      <c r="AE1428">
        <f>VLOOKUP(C1428,技能辅助查询表,技能配置辅助表!$U$1,FALSE)</f>
        <v>4</v>
      </c>
      <c r="AF1428">
        <f t="shared" ca="1" si="653"/>
        <v>9324249</v>
      </c>
      <c r="AG1428">
        <f t="shared" ca="1" si="654"/>
        <v>78.530612244897952</v>
      </c>
      <c r="AH1428">
        <f t="shared" ca="1" si="655"/>
        <v>6672.6373961177951</v>
      </c>
      <c r="AI1428">
        <f ca="1">VLOOKUP(E1428,伤害参考系!$C$4:$E$104,3,FALSE)*$AN$12</f>
        <v>23115.220103678937</v>
      </c>
      <c r="AJ1428">
        <f>VLOOKUP(C1428,技能辅助查询表,技能配置辅助表!$L$1,FALSE)</f>
        <v>1</v>
      </c>
      <c r="AK1428">
        <f>VLOOKUP(C1428,技能辅助查询表,技能配置辅助表!$AE$1,FALSE)</f>
        <v>66000650</v>
      </c>
    </row>
    <row r="1429" spans="1:37" x14ac:dyDescent="0.15">
      <c r="A1429" s="1">
        <f t="shared" ca="1" si="663"/>
        <v>9324250</v>
      </c>
      <c r="B1429" s="1" t="str">
        <f t="shared" ca="1" si="664"/>
        <v>子弹风暴第2段</v>
      </c>
      <c r="C1429" t="s">
        <v>181</v>
      </c>
      <c r="D1429">
        <f t="shared" si="637"/>
        <v>3</v>
      </c>
      <c r="E1429" s="42">
        <f t="shared" ca="1" si="657"/>
        <v>80</v>
      </c>
      <c r="F1429" t="str">
        <f t="shared" ca="1" si="658"/>
        <v>第50级，共造成182.7%点伤害</v>
      </c>
      <c r="G1429">
        <f t="shared" ca="1" si="638"/>
        <v>2</v>
      </c>
      <c r="H1429">
        <f t="shared" si="639"/>
        <v>2</v>
      </c>
      <c r="I1429" s="44">
        <f t="shared" ca="1" si="640"/>
        <v>50</v>
      </c>
      <c r="J1429">
        <f t="shared" si="641"/>
        <v>2</v>
      </c>
      <c r="K1429" s="36">
        <f t="shared" ca="1" si="642"/>
        <v>182.67857142857144</v>
      </c>
      <c r="L1429" s="10">
        <f ca="1">AH1429*VLOOKUP(C1429,技能辅助查询表,技能配置辅助表!$T$1,FALSE)</f>
        <v>0</v>
      </c>
      <c r="M1429">
        <f t="shared" ca="1" si="656"/>
        <v>4000</v>
      </c>
      <c r="N1429" s="33">
        <f ca="1">CHOOSE(1,W1429*U1429,X1429*'[1]0、经济设定'!$C$18)</f>
        <v>404890</v>
      </c>
      <c r="O1429">
        <f t="shared" si="643"/>
        <v>4</v>
      </c>
      <c r="P1429">
        <f t="shared" si="644"/>
        <v>1</v>
      </c>
      <c r="Q1429">
        <f t="shared" si="645"/>
        <v>1</v>
      </c>
      <c r="R1429" s="2">
        <f t="shared" si="646"/>
        <v>8</v>
      </c>
      <c r="S1429" s="2">
        <f t="shared" si="647"/>
        <v>50</v>
      </c>
      <c r="T1429" s="2">
        <f t="shared" si="648"/>
        <v>121.78571428571431</v>
      </c>
      <c r="U1429" s="2">
        <f ca="1">VLOOKUP(E1429,金币生产率!$A$2:$B$120,2,0)</f>
        <v>4262</v>
      </c>
      <c r="V1429" s="2">
        <f t="shared" si="649"/>
        <v>121.78571428571431</v>
      </c>
      <c r="W1429" s="45">
        <f t="shared" ca="1" si="661"/>
        <v>95</v>
      </c>
      <c r="X1429" s="48">
        <f t="shared" ca="1" si="662"/>
        <v>1400</v>
      </c>
      <c r="Y1429">
        <f t="shared" si="650"/>
        <v>18</v>
      </c>
      <c r="Z1429">
        <f t="shared" ca="1" si="659"/>
        <v>38</v>
      </c>
      <c r="AA1429" t="str">
        <f t="shared" ca="1" si="651"/>
        <v>9324200.png</v>
      </c>
      <c r="AB1429">
        <f t="shared" si="652"/>
        <v>20</v>
      </c>
      <c r="AC1429">
        <f>VLOOKUP(C1429,技能辅助查询表,技能配置辅助表!$W$1,FALSE)</f>
        <v>65043890</v>
      </c>
      <c r="AD1429">
        <f t="shared" ca="1" si="660"/>
        <v>1256.170178630181</v>
      </c>
      <c r="AE1429">
        <f>VLOOKUP(C1429,技能辅助查询表,技能配置辅助表!$U$1,FALSE)</f>
        <v>4</v>
      </c>
      <c r="AF1429">
        <f t="shared" ca="1" si="653"/>
        <v>9324250</v>
      </c>
      <c r="AG1429">
        <f t="shared" ca="1" si="654"/>
        <v>80</v>
      </c>
      <c r="AH1429">
        <f t="shared" ca="1" si="655"/>
        <v>7596.7095035950451</v>
      </c>
      <c r="AI1429">
        <f ca="1">VLOOKUP(E1429,伤害参考系!$C$4:$E$104,3,FALSE)*$AN$12</f>
        <v>24028.87424749164</v>
      </c>
      <c r="AJ1429">
        <f>VLOOKUP(C1429,技能辅助查询表,技能配置辅助表!$L$1,FALSE)</f>
        <v>1</v>
      </c>
      <c r="AK1429">
        <f>VLOOKUP(C1429,技能辅助查询表,技能配置辅助表!$AE$1,FALSE)</f>
        <v>66000650</v>
      </c>
    </row>
    <row r="1430" spans="1:37" x14ac:dyDescent="0.15">
      <c r="A1430" s="1">
        <f t="shared" ca="1" si="663"/>
        <v>1</v>
      </c>
      <c r="B1430" s="1" t="str">
        <f t="shared" ca="1" si="664"/>
        <v>子弹风暴</v>
      </c>
      <c r="C1430" t="s">
        <v>182</v>
      </c>
      <c r="D1430">
        <f t="shared" si="637"/>
        <v>3</v>
      </c>
      <c r="E1430" s="42">
        <f t="shared" ca="1" si="657"/>
        <v>6</v>
      </c>
      <c r="F1430" t="str">
        <f t="shared" ca="1" si="658"/>
        <v>第0级，共造成121.8%点伤害</v>
      </c>
      <c r="G1430">
        <f t="shared" ca="1" si="638"/>
        <v>0</v>
      </c>
      <c r="H1430">
        <f t="shared" si="639"/>
        <v>3</v>
      </c>
      <c r="I1430" s="44">
        <f t="shared" ca="1" si="640"/>
        <v>0</v>
      </c>
      <c r="J1430">
        <f t="shared" si="641"/>
        <v>2</v>
      </c>
      <c r="K1430" s="36">
        <f t="shared" ca="1" si="642"/>
        <v>121.78571428571431</v>
      </c>
      <c r="L1430" s="10">
        <f ca="1">AH1430*VLOOKUP(C1430,技能辅助查询表,技能配置辅助表!$T$1,FALSE)</f>
        <v>0</v>
      </c>
      <c r="M1430">
        <f t="shared" ca="1" si="656"/>
        <v>8000</v>
      </c>
      <c r="N1430" s="33">
        <f ca="1">CHOOSE(1,W1430*U1430,X1430*'[1]0、经济设定'!$C$18)</f>
        <v>0</v>
      </c>
      <c r="O1430">
        <f t="shared" si="643"/>
        <v>4</v>
      </c>
      <c r="P1430">
        <f t="shared" si="644"/>
        <v>1</v>
      </c>
      <c r="Q1430">
        <f t="shared" si="645"/>
        <v>1</v>
      </c>
      <c r="R1430" s="2">
        <f t="shared" si="646"/>
        <v>10</v>
      </c>
      <c r="S1430" s="2">
        <f t="shared" si="647"/>
        <v>50</v>
      </c>
      <c r="T1430" s="2">
        <f t="shared" si="648"/>
        <v>121.78571428571431</v>
      </c>
      <c r="U1430" s="2">
        <f ca="1">VLOOKUP(E1430,金币生产率!$A$2:$B$120,2,0)</f>
        <v>80</v>
      </c>
      <c r="V1430" s="2">
        <f t="shared" si="649"/>
        <v>121.78571428571431</v>
      </c>
      <c r="W1430" s="45">
        <f t="shared" ca="1" si="661"/>
        <v>0</v>
      </c>
      <c r="X1430" s="48">
        <f t="shared" ca="1" si="662"/>
        <v>0</v>
      </c>
      <c r="Y1430">
        <f t="shared" si="650"/>
        <v>18</v>
      </c>
      <c r="Z1430">
        <f t="shared" ca="1" si="659"/>
        <v>0</v>
      </c>
      <c r="AA1430" t="str">
        <f t="shared" ca="1" si="651"/>
        <v>9324300.png</v>
      </c>
      <c r="AB1430">
        <f t="shared" si="652"/>
        <v>20</v>
      </c>
      <c r="AC1430">
        <f>VLOOKUP(C1430,技能辅助查询表,技能配置辅助表!$W$1,FALSE)</f>
        <v>65043892</v>
      </c>
      <c r="AD1430">
        <f t="shared" ca="1" si="660"/>
        <v>0.50515842857142912</v>
      </c>
      <c r="AE1430">
        <f>VLOOKUP(C1430,技能辅助查询表,技能配置辅助表!$U$1,FALSE)</f>
        <v>4</v>
      </c>
      <c r="AF1430">
        <f t="shared" ca="1" si="653"/>
        <v>9324300</v>
      </c>
      <c r="AG1430">
        <f t="shared" ca="1" si="654"/>
        <v>0</v>
      </c>
      <c r="AH1430">
        <f t="shared" ca="1" si="655"/>
        <v>11.5938</v>
      </c>
      <c r="AI1430">
        <f ca="1">VLOOKUP(E1430,伤害参考系!$C$4:$E$104,3,FALSE)*$AN$12</f>
        <v>88.919999999999987</v>
      </c>
      <c r="AJ1430">
        <f>VLOOKUP(C1430,技能辅助查询表,技能配置辅助表!$L$1,FALSE)</f>
        <v>1</v>
      </c>
      <c r="AK1430">
        <f>VLOOKUP(C1430,技能辅助查询表,技能配置辅助表!$AE$1,FALSE)</f>
        <v>66000650</v>
      </c>
    </row>
    <row r="1431" spans="1:37" x14ac:dyDescent="0.15">
      <c r="A1431" s="1">
        <f t="shared" ca="1" si="663"/>
        <v>9324301</v>
      </c>
      <c r="B1431" s="1" t="str">
        <f t="shared" ca="1" si="664"/>
        <v>子弹风暴第3段</v>
      </c>
      <c r="C1431" t="s">
        <v>183</v>
      </c>
      <c r="D1431">
        <f t="shared" si="637"/>
        <v>3</v>
      </c>
      <c r="E1431" s="42">
        <f t="shared" ca="1" si="657"/>
        <v>6</v>
      </c>
      <c r="F1431" t="str">
        <f t="shared" ca="1" si="658"/>
        <v>第1级，共造成121.8%点伤害</v>
      </c>
      <c r="G1431">
        <f t="shared" ca="1" si="638"/>
        <v>3</v>
      </c>
      <c r="H1431">
        <f t="shared" si="639"/>
        <v>3</v>
      </c>
      <c r="I1431" s="44">
        <f t="shared" ca="1" si="640"/>
        <v>1</v>
      </c>
      <c r="J1431">
        <f t="shared" si="641"/>
        <v>2</v>
      </c>
      <c r="K1431" s="36">
        <f t="shared" ca="1" si="642"/>
        <v>121.78571428571431</v>
      </c>
      <c r="L1431" s="10">
        <f ca="1">AH1431*VLOOKUP(C1431,技能辅助查询表,技能配置辅助表!$T$1,FALSE)</f>
        <v>0</v>
      </c>
      <c r="M1431">
        <f t="shared" ca="1" si="656"/>
        <v>8000</v>
      </c>
      <c r="N1431" s="33">
        <f ca="1">CHOOSE(1,W1431*U1431,X1431*'[1]0、经济设定'!$C$18)</f>
        <v>240</v>
      </c>
      <c r="O1431">
        <f t="shared" si="643"/>
        <v>4</v>
      </c>
      <c r="P1431">
        <f t="shared" si="644"/>
        <v>1</v>
      </c>
      <c r="Q1431">
        <f t="shared" si="645"/>
        <v>1</v>
      </c>
      <c r="R1431" s="2">
        <f t="shared" si="646"/>
        <v>10</v>
      </c>
      <c r="S1431" s="2">
        <f t="shared" si="647"/>
        <v>50</v>
      </c>
      <c r="T1431" s="2">
        <f t="shared" si="648"/>
        <v>121.78571428571431</v>
      </c>
      <c r="U1431" s="2">
        <f ca="1">VLOOKUP(E1431,金币生产率!$A$2:$B$120,2,0)</f>
        <v>80</v>
      </c>
      <c r="V1431" s="2">
        <f t="shared" si="649"/>
        <v>121.78571428571431</v>
      </c>
      <c r="W1431" s="45">
        <f t="shared" ca="1" si="661"/>
        <v>3</v>
      </c>
      <c r="X1431" s="48">
        <f t="shared" ca="1" si="662"/>
        <v>3</v>
      </c>
      <c r="Y1431">
        <f t="shared" si="650"/>
        <v>18</v>
      </c>
      <c r="Z1431">
        <f t="shared" ca="1" si="659"/>
        <v>0</v>
      </c>
      <c r="AA1431" t="str">
        <f t="shared" ca="1" si="651"/>
        <v>9324300.png</v>
      </c>
      <c r="AB1431">
        <f t="shared" si="652"/>
        <v>20</v>
      </c>
      <c r="AC1431">
        <f>VLOOKUP(C1431,技能辅助查询表,技能配置辅助表!$W$1,FALSE)</f>
        <v>65043892</v>
      </c>
      <c r="AD1431">
        <f t="shared" ca="1" si="660"/>
        <v>0.57511619579125228</v>
      </c>
      <c r="AE1431">
        <f>VLOOKUP(C1431,技能辅助查询表,技能配置辅助表!$U$1,FALSE)</f>
        <v>4</v>
      </c>
      <c r="AF1431">
        <f t="shared" ca="1" si="653"/>
        <v>9324301</v>
      </c>
      <c r="AG1431">
        <f t="shared" ca="1" si="654"/>
        <v>10</v>
      </c>
      <c r="AH1431">
        <f t="shared" ca="1" si="655"/>
        <v>13.199388100127095</v>
      </c>
      <c r="AI1431">
        <f ca="1">VLOOKUP(E1431,伤害参考系!$C$4:$E$104,3,FALSE)*$AN$12</f>
        <v>88.919999999999987</v>
      </c>
      <c r="AJ1431">
        <f>VLOOKUP(C1431,技能辅助查询表,技能配置辅助表!$L$1,FALSE)</f>
        <v>1</v>
      </c>
      <c r="AK1431">
        <f>VLOOKUP(C1431,技能辅助查询表,技能配置辅助表!$AE$1,FALSE)</f>
        <v>66000650</v>
      </c>
    </row>
    <row r="1432" spans="1:37" x14ac:dyDescent="0.15">
      <c r="A1432" s="1">
        <f t="shared" ca="1" si="663"/>
        <v>9324302</v>
      </c>
      <c r="B1432" s="1" t="str">
        <f t="shared" ca="1" si="664"/>
        <v>子弹风暴第3段</v>
      </c>
      <c r="C1432" t="s">
        <v>183</v>
      </c>
      <c r="D1432">
        <f t="shared" si="637"/>
        <v>3</v>
      </c>
      <c r="E1432" s="42">
        <f t="shared" ca="1" si="657"/>
        <v>13</v>
      </c>
      <c r="F1432" t="str">
        <f t="shared" ca="1" si="658"/>
        <v>第2级，共造成124.2%点伤害</v>
      </c>
      <c r="G1432">
        <f t="shared" ca="1" si="638"/>
        <v>3</v>
      </c>
      <c r="H1432">
        <f t="shared" si="639"/>
        <v>3</v>
      </c>
      <c r="I1432" s="44">
        <f t="shared" ca="1" si="640"/>
        <v>2</v>
      </c>
      <c r="J1432">
        <f t="shared" si="641"/>
        <v>2</v>
      </c>
      <c r="K1432" s="36">
        <f t="shared" ca="1" si="642"/>
        <v>124.22142857142859</v>
      </c>
      <c r="L1432" s="10">
        <f ca="1">AH1432*VLOOKUP(C1432,技能辅助查询表,技能配置辅助表!$T$1,FALSE)</f>
        <v>0</v>
      </c>
      <c r="M1432">
        <f t="shared" ca="1" si="656"/>
        <v>7840</v>
      </c>
      <c r="N1432" s="33">
        <f ca="1">CHOOSE(1,W1432*U1432,X1432*'[1]0、经济设定'!$C$18)</f>
        <v>488</v>
      </c>
      <c r="O1432">
        <f t="shared" si="643"/>
        <v>4</v>
      </c>
      <c r="P1432">
        <f t="shared" si="644"/>
        <v>1</v>
      </c>
      <c r="Q1432">
        <f t="shared" si="645"/>
        <v>1</v>
      </c>
      <c r="R1432" s="2">
        <f t="shared" si="646"/>
        <v>10</v>
      </c>
      <c r="S1432" s="2">
        <f t="shared" si="647"/>
        <v>50</v>
      </c>
      <c r="T1432" s="2">
        <f t="shared" si="648"/>
        <v>121.78571428571431</v>
      </c>
      <c r="U1432" s="2">
        <f ca="1">VLOOKUP(E1432,金币生产率!$A$2:$B$120,2,0)</f>
        <v>122</v>
      </c>
      <c r="V1432" s="2">
        <f t="shared" si="649"/>
        <v>121.78571428571431</v>
      </c>
      <c r="W1432" s="45">
        <f t="shared" ca="1" si="661"/>
        <v>4</v>
      </c>
      <c r="X1432" s="48">
        <f t="shared" ca="1" si="662"/>
        <v>7</v>
      </c>
      <c r="Y1432">
        <f t="shared" si="650"/>
        <v>18</v>
      </c>
      <c r="Z1432">
        <f t="shared" ca="1" si="659"/>
        <v>0</v>
      </c>
      <c r="AA1432" t="str">
        <f t="shared" ca="1" si="651"/>
        <v>9324300.png</v>
      </c>
      <c r="AB1432">
        <f t="shared" si="652"/>
        <v>20</v>
      </c>
      <c r="AC1432">
        <f>VLOOKUP(C1432,技能辅助查询表,技能配置辅助表!$W$1,FALSE)</f>
        <v>65043892</v>
      </c>
      <c r="AD1432">
        <f t="shared" ca="1" si="660"/>
        <v>0.72796674888361712</v>
      </c>
      <c r="AE1432">
        <f>VLOOKUP(C1432,技能辅助查询表,技能配置辅助表!$U$1,FALSE)</f>
        <v>4</v>
      </c>
      <c r="AF1432">
        <f t="shared" ca="1" si="653"/>
        <v>9324302</v>
      </c>
      <c r="AG1432">
        <f t="shared" ca="1" si="654"/>
        <v>11.428571428571429</v>
      </c>
      <c r="AH1432">
        <f t="shared" ca="1" si="655"/>
        <v>15.027328935963775</v>
      </c>
      <c r="AI1432">
        <f ca="1">VLOOKUP(E1432,伤害参考系!$C$4:$E$104,3,FALSE)*$AN$12</f>
        <v>288.46124999999995</v>
      </c>
      <c r="AJ1432">
        <f>VLOOKUP(C1432,技能辅助查询表,技能配置辅助表!$L$1,FALSE)</f>
        <v>1</v>
      </c>
      <c r="AK1432">
        <f>VLOOKUP(C1432,技能辅助查询表,技能配置辅助表!$AE$1,FALSE)</f>
        <v>66000650</v>
      </c>
    </row>
    <row r="1433" spans="1:37" x14ac:dyDescent="0.15">
      <c r="A1433" s="1">
        <f t="shared" ca="1" si="663"/>
        <v>9324303</v>
      </c>
      <c r="B1433" s="1" t="str">
        <f t="shared" ca="1" si="664"/>
        <v>子弹风暴第3段</v>
      </c>
      <c r="C1433" t="s">
        <v>183</v>
      </c>
      <c r="D1433">
        <f t="shared" si="637"/>
        <v>3</v>
      </c>
      <c r="E1433" s="42">
        <f t="shared" ca="1" si="657"/>
        <v>14</v>
      </c>
      <c r="F1433" t="str">
        <f t="shared" ca="1" si="658"/>
        <v>第3级，共造成125.4%点伤害</v>
      </c>
      <c r="G1433">
        <f t="shared" ca="1" si="638"/>
        <v>3</v>
      </c>
      <c r="H1433">
        <f t="shared" si="639"/>
        <v>3</v>
      </c>
      <c r="I1433" s="44">
        <f t="shared" ca="1" si="640"/>
        <v>3</v>
      </c>
      <c r="J1433">
        <f t="shared" si="641"/>
        <v>2</v>
      </c>
      <c r="K1433" s="36">
        <f t="shared" ca="1" si="642"/>
        <v>125.43928571428573</v>
      </c>
      <c r="L1433" s="10">
        <f ca="1">AH1433*VLOOKUP(C1433,技能辅助查询表,技能配置辅助表!$T$1,FALSE)</f>
        <v>0</v>
      </c>
      <c r="M1433">
        <f t="shared" ca="1" si="656"/>
        <v>7760</v>
      </c>
      <c r="N1433" s="33">
        <f ca="1">CHOOSE(1,W1433*U1433,X1433*'[1]0、经济设定'!$C$18)</f>
        <v>512</v>
      </c>
      <c r="O1433">
        <f t="shared" si="643"/>
        <v>4</v>
      </c>
      <c r="P1433">
        <f t="shared" si="644"/>
        <v>1</v>
      </c>
      <c r="Q1433">
        <f t="shared" si="645"/>
        <v>1</v>
      </c>
      <c r="R1433" s="2">
        <f t="shared" si="646"/>
        <v>10</v>
      </c>
      <c r="S1433" s="2">
        <f t="shared" si="647"/>
        <v>50</v>
      </c>
      <c r="T1433" s="2">
        <f t="shared" si="648"/>
        <v>121.78571428571431</v>
      </c>
      <c r="U1433" s="2">
        <f ca="1">VLOOKUP(E1433,金币生产率!$A$2:$B$120,2,0)</f>
        <v>128</v>
      </c>
      <c r="V1433" s="2">
        <f t="shared" si="649"/>
        <v>121.78571428571431</v>
      </c>
      <c r="W1433" s="45">
        <f t="shared" ca="1" si="661"/>
        <v>4</v>
      </c>
      <c r="X1433" s="48">
        <f t="shared" ca="1" si="662"/>
        <v>11</v>
      </c>
      <c r="Y1433">
        <f t="shared" si="650"/>
        <v>18</v>
      </c>
      <c r="Z1433">
        <f t="shared" ca="1" si="659"/>
        <v>0</v>
      </c>
      <c r="AA1433" t="str">
        <f t="shared" ca="1" si="651"/>
        <v>9324300.png</v>
      </c>
      <c r="AB1433">
        <f t="shared" si="652"/>
        <v>20</v>
      </c>
      <c r="AC1433">
        <f>VLOOKUP(C1433,技能辅助查询表,技能配置辅助表!$W$1,FALSE)</f>
        <v>65043892</v>
      </c>
      <c r="AD1433">
        <f t="shared" ca="1" si="660"/>
        <v>0.87045173614141125</v>
      </c>
      <c r="AE1433">
        <f>VLOOKUP(C1433,技能辅助查询表,技能配置辅助表!$U$1,FALSE)</f>
        <v>4</v>
      </c>
      <c r="AF1433">
        <f t="shared" ca="1" si="653"/>
        <v>9324303</v>
      </c>
      <c r="AG1433">
        <f t="shared" ca="1" si="654"/>
        <v>12.857142857142858</v>
      </c>
      <c r="AH1433">
        <f t="shared" ca="1" si="655"/>
        <v>17.108415423248271</v>
      </c>
      <c r="AI1433">
        <f ca="1">VLOOKUP(E1433,伤害参考系!$C$4:$E$104,3,FALSE)*$AN$12</f>
        <v>330.31565217391307</v>
      </c>
      <c r="AJ1433">
        <f>VLOOKUP(C1433,技能辅助查询表,技能配置辅助表!$L$1,FALSE)</f>
        <v>1</v>
      </c>
      <c r="AK1433">
        <f>VLOOKUP(C1433,技能辅助查询表,技能配置辅助表!$AE$1,FALSE)</f>
        <v>66000650</v>
      </c>
    </row>
    <row r="1434" spans="1:37" x14ac:dyDescent="0.15">
      <c r="A1434" s="1">
        <f t="shared" ca="1" si="663"/>
        <v>9324304</v>
      </c>
      <c r="B1434" s="1" t="str">
        <f t="shared" ca="1" si="664"/>
        <v>子弹风暴第3段</v>
      </c>
      <c r="C1434" t="s">
        <v>183</v>
      </c>
      <c r="D1434">
        <f t="shared" si="637"/>
        <v>3</v>
      </c>
      <c r="E1434" s="42">
        <f t="shared" ca="1" si="657"/>
        <v>16</v>
      </c>
      <c r="F1434" t="str">
        <f t="shared" ca="1" si="658"/>
        <v>第4级，共造成126.7%点伤害</v>
      </c>
      <c r="G1434">
        <f t="shared" ca="1" si="638"/>
        <v>3</v>
      </c>
      <c r="H1434">
        <f t="shared" si="639"/>
        <v>3</v>
      </c>
      <c r="I1434" s="44">
        <f t="shared" ca="1" si="640"/>
        <v>4</v>
      </c>
      <c r="J1434">
        <f t="shared" si="641"/>
        <v>2</v>
      </c>
      <c r="K1434" s="36">
        <f t="shared" ca="1" si="642"/>
        <v>126.65714285714287</v>
      </c>
      <c r="L1434" s="10">
        <f ca="1">AH1434*VLOOKUP(C1434,技能辅助查询表,技能配置辅助表!$T$1,FALSE)</f>
        <v>0</v>
      </c>
      <c r="M1434">
        <f t="shared" ca="1" si="656"/>
        <v>7680</v>
      </c>
      <c r="N1434" s="33">
        <f ca="1">CHOOSE(1,W1434*U1434,X1434*'[1]0、经济设定'!$C$18)</f>
        <v>560</v>
      </c>
      <c r="O1434">
        <f t="shared" si="643"/>
        <v>4</v>
      </c>
      <c r="P1434">
        <f t="shared" si="644"/>
        <v>1</v>
      </c>
      <c r="Q1434">
        <f t="shared" si="645"/>
        <v>1</v>
      </c>
      <c r="R1434" s="2">
        <f t="shared" si="646"/>
        <v>10</v>
      </c>
      <c r="S1434" s="2">
        <f t="shared" si="647"/>
        <v>50</v>
      </c>
      <c r="T1434" s="2">
        <f t="shared" si="648"/>
        <v>121.78571428571431</v>
      </c>
      <c r="U1434" s="2">
        <f ca="1">VLOOKUP(E1434,金币生产率!$A$2:$B$120,2,0)</f>
        <v>140</v>
      </c>
      <c r="V1434" s="2">
        <f t="shared" si="649"/>
        <v>121.78571428571431</v>
      </c>
      <c r="W1434" s="45">
        <f t="shared" ca="1" si="661"/>
        <v>4</v>
      </c>
      <c r="X1434" s="48">
        <f t="shared" ca="1" si="662"/>
        <v>15</v>
      </c>
      <c r="Y1434">
        <f t="shared" si="650"/>
        <v>18</v>
      </c>
      <c r="Z1434">
        <f t="shared" ca="1" si="659"/>
        <v>0</v>
      </c>
      <c r="AA1434" t="str">
        <f t="shared" ca="1" si="651"/>
        <v>9324300.png</v>
      </c>
      <c r="AB1434">
        <f t="shared" si="652"/>
        <v>20</v>
      </c>
      <c r="AC1434">
        <f>VLOOKUP(C1434,技能辅助查询表,技能配置辅助表!$W$1,FALSE)</f>
        <v>65043892</v>
      </c>
      <c r="AD1434">
        <f t="shared" ca="1" si="660"/>
        <v>1.0384399235454786</v>
      </c>
      <c r="AE1434">
        <f>VLOOKUP(C1434,技能辅助查询表,技能配置辅助表!$U$1,FALSE)</f>
        <v>4</v>
      </c>
      <c r="AF1434">
        <f t="shared" ca="1" si="653"/>
        <v>9324304</v>
      </c>
      <c r="AG1434">
        <f t="shared" ca="1" si="654"/>
        <v>14.285714285714285</v>
      </c>
      <c r="AH1434">
        <f t="shared" ca="1" si="655"/>
        <v>19.477704889652582</v>
      </c>
      <c r="AI1434">
        <f ca="1">VLOOKUP(E1434,伤害参考系!$C$4:$E$104,3,FALSE)*$AN$12</f>
        <v>421.35260869565224</v>
      </c>
      <c r="AJ1434">
        <f>VLOOKUP(C1434,技能辅助查询表,技能配置辅助表!$L$1,FALSE)</f>
        <v>1</v>
      </c>
      <c r="AK1434">
        <f>VLOOKUP(C1434,技能辅助查询表,技能配置辅助表!$AE$1,FALSE)</f>
        <v>66000650</v>
      </c>
    </row>
    <row r="1435" spans="1:37" x14ac:dyDescent="0.15">
      <c r="A1435" s="1">
        <f t="shared" ca="1" si="663"/>
        <v>9324305</v>
      </c>
      <c r="B1435" s="1" t="str">
        <f t="shared" ca="1" si="664"/>
        <v>子弹风暴第3段</v>
      </c>
      <c r="C1435" t="s">
        <v>183</v>
      </c>
      <c r="D1435">
        <f t="shared" si="637"/>
        <v>3</v>
      </c>
      <c r="E1435" s="42">
        <f t="shared" ca="1" si="657"/>
        <v>17</v>
      </c>
      <c r="F1435" t="str">
        <f t="shared" ca="1" si="658"/>
        <v>第5级，共造成127.9%点伤害</v>
      </c>
      <c r="G1435">
        <f t="shared" ca="1" si="638"/>
        <v>3</v>
      </c>
      <c r="H1435">
        <f t="shared" si="639"/>
        <v>3</v>
      </c>
      <c r="I1435" s="44">
        <f t="shared" ca="1" si="640"/>
        <v>5</v>
      </c>
      <c r="J1435">
        <f t="shared" si="641"/>
        <v>2</v>
      </c>
      <c r="K1435" s="36">
        <f t="shared" ca="1" si="642"/>
        <v>127.87500000000003</v>
      </c>
      <c r="L1435" s="10">
        <f ca="1">AH1435*VLOOKUP(C1435,技能辅助查询表,技能配置辅助表!$T$1,FALSE)</f>
        <v>0</v>
      </c>
      <c r="M1435">
        <f t="shared" ca="1" si="656"/>
        <v>7600</v>
      </c>
      <c r="N1435" s="33">
        <f ca="1">CHOOSE(1,W1435*U1435,X1435*'[1]0、经济设定'!$C$18)</f>
        <v>730</v>
      </c>
      <c r="O1435">
        <f t="shared" si="643"/>
        <v>4</v>
      </c>
      <c r="P1435">
        <f t="shared" si="644"/>
        <v>1</v>
      </c>
      <c r="Q1435">
        <f t="shared" si="645"/>
        <v>1</v>
      </c>
      <c r="R1435" s="2">
        <f t="shared" si="646"/>
        <v>10</v>
      </c>
      <c r="S1435" s="2">
        <f t="shared" si="647"/>
        <v>50</v>
      </c>
      <c r="T1435" s="2">
        <f t="shared" si="648"/>
        <v>121.78571428571431</v>
      </c>
      <c r="U1435" s="2">
        <f ca="1">VLOOKUP(E1435,金币生产率!$A$2:$B$120,2,0)</f>
        <v>146</v>
      </c>
      <c r="V1435" s="2">
        <f t="shared" si="649"/>
        <v>121.78571428571431</v>
      </c>
      <c r="W1435" s="45">
        <f t="shared" ca="1" si="661"/>
        <v>5</v>
      </c>
      <c r="X1435" s="48">
        <f t="shared" ca="1" si="662"/>
        <v>20</v>
      </c>
      <c r="Y1435">
        <f t="shared" si="650"/>
        <v>18</v>
      </c>
      <c r="Z1435">
        <f t="shared" ca="1" si="659"/>
        <v>0</v>
      </c>
      <c r="AA1435" t="str">
        <f t="shared" ca="1" si="651"/>
        <v>9324300.png</v>
      </c>
      <c r="AB1435">
        <f t="shared" si="652"/>
        <v>20</v>
      </c>
      <c r="AC1435">
        <f>VLOOKUP(C1435,技能辅助查询表,技能配置辅助表!$W$1,FALSE)</f>
        <v>65043892</v>
      </c>
      <c r="AD1435">
        <f t="shared" ca="1" si="660"/>
        <v>1.2362623624013209</v>
      </c>
      <c r="AE1435">
        <f>VLOOKUP(C1435,技能辅助查询表,技能配置辅助表!$U$1,FALSE)</f>
        <v>4</v>
      </c>
      <c r="AF1435">
        <f t="shared" ca="1" si="653"/>
        <v>9324305</v>
      </c>
      <c r="AG1435">
        <f t="shared" ca="1" si="654"/>
        <v>15.714285714285715</v>
      </c>
      <c r="AH1435">
        <f t="shared" ca="1" si="655"/>
        <v>22.175109639485559</v>
      </c>
      <c r="AI1435">
        <f ca="1">VLOOKUP(E1435,伤害参考系!$C$4:$E$104,3,FALSE)*$AN$12</f>
        <v>470.53516304347824</v>
      </c>
      <c r="AJ1435">
        <f>VLOOKUP(C1435,技能辅助查询表,技能配置辅助表!$L$1,FALSE)</f>
        <v>1</v>
      </c>
      <c r="AK1435">
        <f>VLOOKUP(C1435,技能辅助查询表,技能配置辅助表!$AE$1,FALSE)</f>
        <v>66000650</v>
      </c>
    </row>
    <row r="1436" spans="1:37" x14ac:dyDescent="0.15">
      <c r="A1436" s="1">
        <f t="shared" ca="1" si="663"/>
        <v>9324306</v>
      </c>
      <c r="B1436" s="1" t="str">
        <f t="shared" ca="1" si="664"/>
        <v>子弹风暴第3段</v>
      </c>
      <c r="C1436" t="s">
        <v>183</v>
      </c>
      <c r="D1436">
        <f t="shared" si="637"/>
        <v>3</v>
      </c>
      <c r="E1436" s="42">
        <f t="shared" ca="1" si="657"/>
        <v>18</v>
      </c>
      <c r="F1436" t="str">
        <f t="shared" ca="1" si="658"/>
        <v>第6级，共造成129.1%点伤害</v>
      </c>
      <c r="G1436">
        <f t="shared" ca="1" si="638"/>
        <v>3</v>
      </c>
      <c r="H1436">
        <f t="shared" si="639"/>
        <v>3</v>
      </c>
      <c r="I1436" s="44">
        <f t="shared" ca="1" si="640"/>
        <v>6</v>
      </c>
      <c r="J1436">
        <f t="shared" si="641"/>
        <v>2</v>
      </c>
      <c r="K1436" s="36">
        <f t="shared" ca="1" si="642"/>
        <v>129.09285714285716</v>
      </c>
      <c r="L1436" s="10">
        <f ca="1">AH1436*VLOOKUP(C1436,技能辅助查询表,技能配置辅助表!$T$1,FALSE)</f>
        <v>0</v>
      </c>
      <c r="M1436">
        <f t="shared" ca="1" si="656"/>
        <v>7520</v>
      </c>
      <c r="N1436" s="33">
        <f ca="1">CHOOSE(1,W1436*U1436,X1436*'[1]0、经济设定'!$C$18)</f>
        <v>760</v>
      </c>
      <c r="O1436">
        <f t="shared" si="643"/>
        <v>4</v>
      </c>
      <c r="P1436">
        <f t="shared" si="644"/>
        <v>1</v>
      </c>
      <c r="Q1436">
        <f t="shared" si="645"/>
        <v>1</v>
      </c>
      <c r="R1436" s="2">
        <f t="shared" si="646"/>
        <v>10</v>
      </c>
      <c r="S1436" s="2">
        <f t="shared" si="647"/>
        <v>50</v>
      </c>
      <c r="T1436" s="2">
        <f t="shared" si="648"/>
        <v>121.78571428571431</v>
      </c>
      <c r="U1436" s="2">
        <f ca="1">VLOOKUP(E1436,金币生产率!$A$2:$B$120,2,0)</f>
        <v>152</v>
      </c>
      <c r="V1436" s="2">
        <f t="shared" si="649"/>
        <v>121.78571428571431</v>
      </c>
      <c r="W1436" s="45">
        <f t="shared" ca="1" si="661"/>
        <v>5</v>
      </c>
      <c r="X1436" s="48">
        <f t="shared" ca="1" si="662"/>
        <v>25</v>
      </c>
      <c r="Y1436">
        <f t="shared" si="650"/>
        <v>18</v>
      </c>
      <c r="Z1436">
        <f t="shared" ca="1" si="659"/>
        <v>0</v>
      </c>
      <c r="AA1436" t="str">
        <f t="shared" ca="1" si="651"/>
        <v>9324300.png</v>
      </c>
      <c r="AB1436">
        <f t="shared" si="652"/>
        <v>20</v>
      </c>
      <c r="AC1436">
        <f>VLOOKUP(C1436,技能辅助查询表,技能配置辅助表!$W$1,FALSE)</f>
        <v>65043892</v>
      </c>
      <c r="AD1436">
        <f t="shared" ca="1" si="660"/>
        <v>1.4689605753484649</v>
      </c>
      <c r="AE1436">
        <f>VLOOKUP(C1436,技能辅助查询表,技能配置辅助表!$U$1,FALSE)</f>
        <v>4</v>
      </c>
      <c r="AF1436">
        <f t="shared" ca="1" si="653"/>
        <v>9324306</v>
      </c>
      <c r="AG1436">
        <f t="shared" ca="1" si="654"/>
        <v>17.142857142857142</v>
      </c>
      <c r="AH1436">
        <f t="shared" ca="1" si="655"/>
        <v>25.246069303803697</v>
      </c>
      <c r="AI1436">
        <f ca="1">VLOOKUP(E1436,伤害参考系!$C$4:$E$104,3,FALSE)*$AN$12</f>
        <v>522.16043478260883</v>
      </c>
      <c r="AJ1436">
        <f>VLOOKUP(C1436,技能辅助查询表,技能配置辅助表!$L$1,FALSE)</f>
        <v>1</v>
      </c>
      <c r="AK1436">
        <f>VLOOKUP(C1436,技能辅助查询表,技能配置辅助表!$AE$1,FALSE)</f>
        <v>66000650</v>
      </c>
    </row>
    <row r="1437" spans="1:37" x14ac:dyDescent="0.15">
      <c r="A1437" s="1">
        <f t="shared" ca="1" si="663"/>
        <v>9324307</v>
      </c>
      <c r="B1437" s="1" t="str">
        <f t="shared" ca="1" si="664"/>
        <v>子弹风暴第3段</v>
      </c>
      <c r="C1437" t="s">
        <v>183</v>
      </c>
      <c r="D1437">
        <f t="shared" si="637"/>
        <v>3</v>
      </c>
      <c r="E1437" s="42">
        <f t="shared" ca="1" si="657"/>
        <v>20</v>
      </c>
      <c r="F1437" t="str">
        <f t="shared" ca="1" si="658"/>
        <v>第7级，共造成130.3%点伤害</v>
      </c>
      <c r="G1437">
        <f t="shared" ca="1" si="638"/>
        <v>3</v>
      </c>
      <c r="H1437">
        <f t="shared" si="639"/>
        <v>3</v>
      </c>
      <c r="I1437" s="44">
        <f t="shared" ca="1" si="640"/>
        <v>7</v>
      </c>
      <c r="J1437">
        <f t="shared" si="641"/>
        <v>2</v>
      </c>
      <c r="K1437" s="36">
        <f t="shared" ca="1" si="642"/>
        <v>130.31071428571431</v>
      </c>
      <c r="L1437" s="10">
        <f ca="1">AH1437*VLOOKUP(C1437,技能辅助查询表,技能配置辅助表!$T$1,FALSE)</f>
        <v>0</v>
      </c>
      <c r="M1437">
        <f t="shared" ca="1" si="656"/>
        <v>7440</v>
      </c>
      <c r="N1437" s="33">
        <f ca="1">CHOOSE(1,W1437*U1437,X1437*'[1]0、经济设定'!$C$18)</f>
        <v>910</v>
      </c>
      <c r="O1437">
        <f t="shared" si="643"/>
        <v>4</v>
      </c>
      <c r="P1437">
        <f t="shared" si="644"/>
        <v>1</v>
      </c>
      <c r="Q1437">
        <f t="shared" si="645"/>
        <v>1</v>
      </c>
      <c r="R1437" s="2">
        <f t="shared" si="646"/>
        <v>10</v>
      </c>
      <c r="S1437" s="2">
        <f t="shared" si="647"/>
        <v>50</v>
      </c>
      <c r="T1437" s="2">
        <f t="shared" si="648"/>
        <v>121.78571428571431</v>
      </c>
      <c r="U1437" s="2">
        <f ca="1">VLOOKUP(E1437,金币生产率!$A$2:$B$120,2,0)</f>
        <v>182</v>
      </c>
      <c r="V1437" s="2">
        <f t="shared" si="649"/>
        <v>121.78571428571431</v>
      </c>
      <c r="W1437" s="45">
        <f t="shared" ca="1" si="661"/>
        <v>5</v>
      </c>
      <c r="X1437" s="48">
        <f t="shared" ca="1" si="662"/>
        <v>30</v>
      </c>
      <c r="Y1437">
        <f t="shared" si="650"/>
        <v>18</v>
      </c>
      <c r="Z1437">
        <f t="shared" ca="1" si="659"/>
        <v>0</v>
      </c>
      <c r="AA1437" t="str">
        <f t="shared" ca="1" si="651"/>
        <v>9324300.png</v>
      </c>
      <c r="AB1437">
        <f t="shared" si="652"/>
        <v>20</v>
      </c>
      <c r="AC1437">
        <f>VLOOKUP(C1437,技能辅助查询表,技能配置辅助表!$W$1,FALSE)</f>
        <v>65043892</v>
      </c>
      <c r="AD1437">
        <f t="shared" ca="1" si="660"/>
        <v>1.7424002746868545</v>
      </c>
      <c r="AE1437">
        <f>VLOOKUP(C1437,技能辅助查询表,技能配置辅助表!$U$1,FALSE)</f>
        <v>4</v>
      </c>
      <c r="AF1437">
        <f t="shared" ca="1" si="653"/>
        <v>9324307</v>
      </c>
      <c r="AG1437">
        <f t="shared" ca="1" si="654"/>
        <v>18.571428571428569</v>
      </c>
      <c r="AH1437">
        <f t="shared" ca="1" si="655"/>
        <v>28.742316302127907</v>
      </c>
      <c r="AI1437">
        <f ca="1">VLOOKUP(E1437,伤害参考系!$C$4:$E$104,3,FALSE)*$AN$12</f>
        <v>632.73913043478262</v>
      </c>
      <c r="AJ1437">
        <f>VLOOKUP(C1437,技能辅助查询表,技能配置辅助表!$L$1,FALSE)</f>
        <v>1</v>
      </c>
      <c r="AK1437">
        <f>VLOOKUP(C1437,技能辅助查询表,技能配置辅助表!$AE$1,FALSE)</f>
        <v>66000650</v>
      </c>
    </row>
    <row r="1438" spans="1:37" x14ac:dyDescent="0.15">
      <c r="A1438" s="1">
        <f t="shared" ca="1" si="663"/>
        <v>9324308</v>
      </c>
      <c r="B1438" s="1" t="str">
        <f t="shared" ca="1" si="664"/>
        <v>子弹风暴第3段</v>
      </c>
      <c r="C1438" t="s">
        <v>183</v>
      </c>
      <c r="D1438">
        <f t="shared" si="637"/>
        <v>3</v>
      </c>
      <c r="E1438" s="42">
        <f t="shared" ca="1" si="657"/>
        <v>21</v>
      </c>
      <c r="F1438" t="str">
        <f t="shared" ca="1" si="658"/>
        <v>第8级，共造成131.5%点伤害</v>
      </c>
      <c r="G1438">
        <f t="shared" ca="1" si="638"/>
        <v>3</v>
      </c>
      <c r="H1438">
        <f t="shared" si="639"/>
        <v>3</v>
      </c>
      <c r="I1438" s="44">
        <f t="shared" ca="1" si="640"/>
        <v>8</v>
      </c>
      <c r="J1438">
        <f t="shared" si="641"/>
        <v>2</v>
      </c>
      <c r="K1438" s="36">
        <f t="shared" ca="1" si="642"/>
        <v>131.52857142857144</v>
      </c>
      <c r="L1438" s="10">
        <f ca="1">AH1438*VLOOKUP(C1438,技能辅助查询表,技能配置辅助表!$T$1,FALSE)</f>
        <v>0</v>
      </c>
      <c r="M1438">
        <f t="shared" ca="1" si="656"/>
        <v>7360</v>
      </c>
      <c r="N1438" s="33">
        <f ca="1">CHOOSE(1,W1438*U1438,X1438*'[1]0、经济设定'!$C$18)</f>
        <v>1260</v>
      </c>
      <c r="O1438">
        <f t="shared" si="643"/>
        <v>4</v>
      </c>
      <c r="P1438">
        <f t="shared" si="644"/>
        <v>1</v>
      </c>
      <c r="Q1438">
        <f t="shared" si="645"/>
        <v>1</v>
      </c>
      <c r="R1438" s="2">
        <f t="shared" si="646"/>
        <v>10</v>
      </c>
      <c r="S1438" s="2">
        <f t="shared" si="647"/>
        <v>50</v>
      </c>
      <c r="T1438" s="2">
        <f t="shared" si="648"/>
        <v>121.78571428571431</v>
      </c>
      <c r="U1438" s="2">
        <f ca="1">VLOOKUP(E1438,金币生产率!$A$2:$B$120,2,0)</f>
        <v>210</v>
      </c>
      <c r="V1438" s="2">
        <f t="shared" si="649"/>
        <v>121.78571428571431</v>
      </c>
      <c r="W1438" s="45">
        <f t="shared" ca="1" si="661"/>
        <v>6</v>
      </c>
      <c r="X1438" s="48">
        <f t="shared" ca="1" si="662"/>
        <v>36</v>
      </c>
      <c r="Y1438">
        <f t="shared" si="650"/>
        <v>18</v>
      </c>
      <c r="Z1438">
        <f t="shared" ca="1" si="659"/>
        <v>0</v>
      </c>
      <c r="AA1438" t="str">
        <f t="shared" ca="1" si="651"/>
        <v>9324300.png</v>
      </c>
      <c r="AB1438">
        <f t="shared" si="652"/>
        <v>20</v>
      </c>
      <c r="AC1438">
        <f>VLOOKUP(C1438,技能辅助查询表,技能配置辅助表!$W$1,FALSE)</f>
        <v>65043892</v>
      </c>
      <c r="AD1438">
        <f t="shared" ca="1" si="660"/>
        <v>2.0634029518359585</v>
      </c>
      <c r="AE1438">
        <f>VLOOKUP(C1438,技能辅助查询表,技能配置辅助表!$U$1,FALSE)</f>
        <v>4</v>
      </c>
      <c r="AF1438">
        <f t="shared" ca="1" si="653"/>
        <v>9324308</v>
      </c>
      <c r="AG1438">
        <f t="shared" ca="1" si="654"/>
        <v>20</v>
      </c>
      <c r="AH1438">
        <f t="shared" ca="1" si="655"/>
        <v>32.722747310493212</v>
      </c>
      <c r="AI1438">
        <f ca="1">VLOOKUP(E1438,伤害参考系!$C$4:$E$104,3,FALSE)*$AN$12</f>
        <v>691.69255434782622</v>
      </c>
      <c r="AJ1438">
        <f>VLOOKUP(C1438,技能辅助查询表,技能配置辅助表!$L$1,FALSE)</f>
        <v>1</v>
      </c>
      <c r="AK1438">
        <f>VLOOKUP(C1438,技能辅助查询表,技能配置辅助表!$AE$1,FALSE)</f>
        <v>66000650</v>
      </c>
    </row>
    <row r="1439" spans="1:37" x14ac:dyDescent="0.15">
      <c r="A1439" s="1">
        <f t="shared" ca="1" si="663"/>
        <v>9324309</v>
      </c>
      <c r="B1439" s="1" t="str">
        <f t="shared" ca="1" si="664"/>
        <v>子弹风暴第3段</v>
      </c>
      <c r="C1439" t="s">
        <v>183</v>
      </c>
      <c r="D1439">
        <f t="shared" si="637"/>
        <v>3</v>
      </c>
      <c r="E1439" s="42">
        <f t="shared" ca="1" si="657"/>
        <v>23</v>
      </c>
      <c r="F1439" t="str">
        <f t="shared" ca="1" si="658"/>
        <v>第9级，共造成132.7%点伤害</v>
      </c>
      <c r="G1439">
        <f t="shared" ca="1" si="638"/>
        <v>3</v>
      </c>
      <c r="H1439">
        <f t="shared" si="639"/>
        <v>3</v>
      </c>
      <c r="I1439" s="44">
        <f t="shared" ca="1" si="640"/>
        <v>9</v>
      </c>
      <c r="J1439">
        <f t="shared" si="641"/>
        <v>2</v>
      </c>
      <c r="K1439" s="36">
        <f t="shared" ca="1" si="642"/>
        <v>132.74642857142859</v>
      </c>
      <c r="L1439" s="10">
        <f ca="1">AH1439*VLOOKUP(C1439,技能辅助查询表,技能配置辅助表!$T$1,FALSE)</f>
        <v>0</v>
      </c>
      <c r="M1439">
        <f t="shared" ca="1" si="656"/>
        <v>7280</v>
      </c>
      <c r="N1439" s="33">
        <f ca="1">CHOOSE(1,W1439*U1439,X1439*'[1]0、经济设定'!$C$18)</f>
        <v>1620</v>
      </c>
      <c r="O1439">
        <f t="shared" si="643"/>
        <v>4</v>
      </c>
      <c r="P1439">
        <f t="shared" si="644"/>
        <v>1</v>
      </c>
      <c r="Q1439">
        <f t="shared" si="645"/>
        <v>1</v>
      </c>
      <c r="R1439" s="2">
        <f t="shared" si="646"/>
        <v>10</v>
      </c>
      <c r="S1439" s="2">
        <f t="shared" si="647"/>
        <v>50</v>
      </c>
      <c r="T1439" s="2">
        <f t="shared" si="648"/>
        <v>121.78571428571431</v>
      </c>
      <c r="U1439" s="2">
        <f ca="1">VLOOKUP(E1439,金币生产率!$A$2:$B$120,2,0)</f>
        <v>270</v>
      </c>
      <c r="V1439" s="2">
        <f t="shared" si="649"/>
        <v>121.78571428571431</v>
      </c>
      <c r="W1439" s="45">
        <f t="shared" ca="1" si="661"/>
        <v>6</v>
      </c>
      <c r="X1439" s="48">
        <f t="shared" ca="1" si="662"/>
        <v>42</v>
      </c>
      <c r="Y1439">
        <f t="shared" si="650"/>
        <v>18</v>
      </c>
      <c r="Z1439">
        <f t="shared" ca="1" si="659"/>
        <v>0</v>
      </c>
      <c r="AA1439" t="str">
        <f t="shared" ca="1" si="651"/>
        <v>9324300.png</v>
      </c>
      <c r="AB1439">
        <f t="shared" si="652"/>
        <v>20</v>
      </c>
      <c r="AC1439">
        <f>VLOOKUP(C1439,技能辅助查询表,技能配置辅助表!$W$1,FALSE)</f>
        <v>65043892</v>
      </c>
      <c r="AD1439">
        <f t="shared" ca="1" si="660"/>
        <v>2.4398981068009062</v>
      </c>
      <c r="AE1439">
        <f>VLOOKUP(C1439,技能辅助查询表,技能配置辅助表!$U$1,FALSE)</f>
        <v>4</v>
      </c>
      <c r="AF1439">
        <f t="shared" ca="1" si="653"/>
        <v>9324309</v>
      </c>
      <c r="AG1439">
        <f t="shared" ca="1" si="654"/>
        <v>21.428571428571431</v>
      </c>
      <c r="AH1439">
        <f t="shared" ca="1" si="655"/>
        <v>37.25441541630785</v>
      </c>
      <c r="AI1439">
        <f ca="1">VLOOKUP(E1439,伤害参考系!$C$4:$E$104,3,FALSE)*$AN$12</f>
        <v>832.15832357859551</v>
      </c>
      <c r="AJ1439">
        <f>VLOOKUP(C1439,技能辅助查询表,技能配置辅助表!$L$1,FALSE)</f>
        <v>1</v>
      </c>
      <c r="AK1439">
        <f>VLOOKUP(C1439,技能辅助查询表,技能配置辅助表!$AE$1,FALSE)</f>
        <v>66000650</v>
      </c>
    </row>
    <row r="1440" spans="1:37" x14ac:dyDescent="0.15">
      <c r="A1440" s="1">
        <f t="shared" ca="1" si="663"/>
        <v>9324310</v>
      </c>
      <c r="B1440" s="1" t="str">
        <f t="shared" ca="1" si="664"/>
        <v>子弹风暴第3段</v>
      </c>
      <c r="C1440" t="s">
        <v>183</v>
      </c>
      <c r="D1440">
        <f t="shared" si="637"/>
        <v>3</v>
      </c>
      <c r="E1440" s="42">
        <f t="shared" ca="1" si="657"/>
        <v>24</v>
      </c>
      <c r="F1440" t="str">
        <f t="shared" ca="1" si="658"/>
        <v>第10级，共造成134%点伤害</v>
      </c>
      <c r="G1440">
        <f t="shared" ca="1" si="638"/>
        <v>3</v>
      </c>
      <c r="H1440">
        <f t="shared" si="639"/>
        <v>3</v>
      </c>
      <c r="I1440" s="44">
        <f t="shared" ca="1" si="640"/>
        <v>10</v>
      </c>
      <c r="J1440">
        <f t="shared" si="641"/>
        <v>2</v>
      </c>
      <c r="K1440" s="36">
        <f t="shared" ca="1" si="642"/>
        <v>133.96428571428572</v>
      </c>
      <c r="L1440" s="10">
        <f ca="1">AH1440*VLOOKUP(C1440,技能辅助查询表,技能配置辅助表!$T$1,FALSE)</f>
        <v>0</v>
      </c>
      <c r="M1440">
        <f t="shared" ca="1" si="656"/>
        <v>7200</v>
      </c>
      <c r="N1440" s="33">
        <f ca="1">CHOOSE(1,W1440*U1440,X1440*'[1]0、经济设定'!$C$18)</f>
        <v>1812</v>
      </c>
      <c r="O1440">
        <f t="shared" si="643"/>
        <v>4</v>
      </c>
      <c r="P1440">
        <f t="shared" si="644"/>
        <v>1</v>
      </c>
      <c r="Q1440">
        <f t="shared" si="645"/>
        <v>1</v>
      </c>
      <c r="R1440" s="2">
        <f t="shared" si="646"/>
        <v>10</v>
      </c>
      <c r="S1440" s="2">
        <f t="shared" si="647"/>
        <v>50</v>
      </c>
      <c r="T1440" s="2">
        <f t="shared" si="648"/>
        <v>121.78571428571431</v>
      </c>
      <c r="U1440" s="2">
        <f ca="1">VLOOKUP(E1440,金币生产率!$A$2:$B$120,2,0)</f>
        <v>302</v>
      </c>
      <c r="V1440" s="2">
        <f t="shared" si="649"/>
        <v>121.78571428571431</v>
      </c>
      <c r="W1440" s="45">
        <f t="shared" ca="1" si="661"/>
        <v>6</v>
      </c>
      <c r="X1440" s="48">
        <f t="shared" ca="1" si="662"/>
        <v>48</v>
      </c>
      <c r="Y1440">
        <f t="shared" si="650"/>
        <v>18</v>
      </c>
      <c r="Z1440">
        <f t="shared" ca="1" si="659"/>
        <v>0</v>
      </c>
      <c r="AA1440" t="str">
        <f t="shared" ca="1" si="651"/>
        <v>9324300.png</v>
      </c>
      <c r="AB1440">
        <f t="shared" si="652"/>
        <v>20</v>
      </c>
      <c r="AC1440">
        <f>VLOOKUP(C1440,技能辅助查询表,技能配置辅助表!$W$1,FALSE)</f>
        <v>65043892</v>
      </c>
      <c r="AD1440">
        <f t="shared" ca="1" si="660"/>
        <v>2.8810993106818685</v>
      </c>
      <c r="AE1440">
        <f>VLOOKUP(C1440,技能辅助查询表,技能配置辅助表!$U$1,FALSE)</f>
        <v>4</v>
      </c>
      <c r="AF1440">
        <f t="shared" ca="1" si="653"/>
        <v>9324310</v>
      </c>
      <c r="AG1440">
        <f t="shared" ca="1" si="654"/>
        <v>22.857142857142858</v>
      </c>
      <c r="AH1440">
        <f t="shared" ca="1" si="655"/>
        <v>42.413659673550121</v>
      </c>
      <c r="AI1440">
        <f ca="1">VLOOKUP(E1440,伤害参考系!$C$4:$E$104,3,FALSE)*$AN$12</f>
        <v>914.59374581939801</v>
      </c>
      <c r="AJ1440">
        <f>VLOOKUP(C1440,技能辅助查询表,技能配置辅助表!$L$1,FALSE)</f>
        <v>1</v>
      </c>
      <c r="AK1440">
        <f>VLOOKUP(C1440,技能辅助查询表,技能配置辅助表!$AE$1,FALSE)</f>
        <v>66000650</v>
      </c>
    </row>
    <row r="1441" spans="1:37" x14ac:dyDescent="0.15">
      <c r="A1441" s="1">
        <f t="shared" ca="1" si="663"/>
        <v>9324311</v>
      </c>
      <c r="B1441" s="1" t="str">
        <f t="shared" ca="1" si="664"/>
        <v>子弹风暴第3段</v>
      </c>
      <c r="C1441" t="s">
        <v>183</v>
      </c>
      <c r="D1441">
        <f t="shared" si="637"/>
        <v>3</v>
      </c>
      <c r="E1441" s="42">
        <f t="shared" ca="1" si="657"/>
        <v>25</v>
      </c>
      <c r="F1441" t="str">
        <f t="shared" ca="1" si="658"/>
        <v>第11级，共造成135.2%点伤害</v>
      </c>
      <c r="G1441">
        <f t="shared" ca="1" si="638"/>
        <v>3</v>
      </c>
      <c r="H1441">
        <f t="shared" si="639"/>
        <v>3</v>
      </c>
      <c r="I1441" s="44">
        <f t="shared" ca="1" si="640"/>
        <v>11</v>
      </c>
      <c r="J1441">
        <f t="shared" si="641"/>
        <v>2</v>
      </c>
      <c r="K1441" s="36">
        <f t="shared" ca="1" si="642"/>
        <v>135.18214285714288</v>
      </c>
      <c r="L1441" s="10">
        <f ca="1">AH1441*VLOOKUP(C1441,技能辅助查询表,技能配置辅助表!$T$1,FALSE)</f>
        <v>0</v>
      </c>
      <c r="M1441">
        <f t="shared" ca="1" si="656"/>
        <v>7120</v>
      </c>
      <c r="N1441" s="33">
        <f ca="1">CHOOSE(1,W1441*U1441,X1441*'[1]0、经济设定'!$C$18)</f>
        <v>2345</v>
      </c>
      <c r="O1441">
        <f t="shared" si="643"/>
        <v>4</v>
      </c>
      <c r="P1441">
        <f t="shared" si="644"/>
        <v>1</v>
      </c>
      <c r="Q1441">
        <f t="shared" si="645"/>
        <v>1</v>
      </c>
      <c r="R1441" s="2">
        <f t="shared" si="646"/>
        <v>10</v>
      </c>
      <c r="S1441" s="2">
        <f t="shared" si="647"/>
        <v>50</v>
      </c>
      <c r="T1441" s="2">
        <f t="shared" si="648"/>
        <v>121.78571428571431</v>
      </c>
      <c r="U1441" s="2">
        <f ca="1">VLOOKUP(E1441,金币生产率!$A$2:$B$120,2,0)</f>
        <v>335</v>
      </c>
      <c r="V1441" s="2">
        <f t="shared" si="649"/>
        <v>121.78571428571431</v>
      </c>
      <c r="W1441" s="45">
        <f t="shared" ca="1" si="661"/>
        <v>7</v>
      </c>
      <c r="X1441" s="48">
        <f t="shared" ca="1" si="662"/>
        <v>55</v>
      </c>
      <c r="Y1441">
        <f t="shared" si="650"/>
        <v>18</v>
      </c>
      <c r="Z1441">
        <f t="shared" ca="1" si="659"/>
        <v>0</v>
      </c>
      <c r="AA1441" t="str">
        <f t="shared" ca="1" si="651"/>
        <v>9324300.png</v>
      </c>
      <c r="AB1441">
        <f t="shared" si="652"/>
        <v>20</v>
      </c>
      <c r="AC1441">
        <f>VLOOKUP(C1441,技能辅助查询表,技能配置辅助表!$W$1,FALSE)</f>
        <v>65043892</v>
      </c>
      <c r="AD1441">
        <f t="shared" ca="1" si="660"/>
        <v>3.3977077828032933</v>
      </c>
      <c r="AE1441">
        <f>VLOOKUP(C1441,技能辅助查询表,技能配置辅助表!$U$1,FALSE)</f>
        <v>4</v>
      </c>
      <c r="AF1441">
        <f t="shared" ca="1" si="653"/>
        <v>9324311</v>
      </c>
      <c r="AG1441">
        <f t="shared" ca="1" si="654"/>
        <v>24.285714285714285</v>
      </c>
      <c r="AH1441">
        <f t="shared" ca="1" si="655"/>
        <v>48.287391086433935</v>
      </c>
      <c r="AI1441">
        <f ca="1">VLOOKUP(E1441,伤害参考系!$C$4:$E$104,3,FALSE)*$AN$12</f>
        <v>1000.3949623745822</v>
      </c>
      <c r="AJ1441">
        <f>VLOOKUP(C1441,技能辅助查询表,技能配置辅助表!$L$1,FALSE)</f>
        <v>1</v>
      </c>
      <c r="AK1441">
        <f>VLOOKUP(C1441,技能辅助查询表,技能配置辅助表!$AE$1,FALSE)</f>
        <v>66000650</v>
      </c>
    </row>
    <row r="1442" spans="1:37" x14ac:dyDescent="0.15">
      <c r="A1442" s="1">
        <f t="shared" ca="1" si="663"/>
        <v>9324312</v>
      </c>
      <c r="B1442" s="1" t="str">
        <f t="shared" ca="1" si="664"/>
        <v>子弹风暴第3段</v>
      </c>
      <c r="C1442" t="s">
        <v>183</v>
      </c>
      <c r="D1442">
        <f t="shared" si="637"/>
        <v>3</v>
      </c>
      <c r="E1442" s="42">
        <f t="shared" ca="1" si="657"/>
        <v>27</v>
      </c>
      <c r="F1442" t="str">
        <f t="shared" ca="1" si="658"/>
        <v>第12级，共造成136.4%点伤害</v>
      </c>
      <c r="G1442">
        <f t="shared" ca="1" si="638"/>
        <v>3</v>
      </c>
      <c r="H1442">
        <f t="shared" si="639"/>
        <v>3</v>
      </c>
      <c r="I1442" s="44">
        <f t="shared" ca="1" si="640"/>
        <v>12</v>
      </c>
      <c r="J1442">
        <f t="shared" si="641"/>
        <v>2</v>
      </c>
      <c r="K1442" s="36">
        <f t="shared" ca="1" si="642"/>
        <v>136.40000000000003</v>
      </c>
      <c r="L1442" s="10">
        <f ca="1">AH1442*VLOOKUP(C1442,技能辅助查询表,技能配置辅助表!$T$1,FALSE)</f>
        <v>0</v>
      </c>
      <c r="M1442">
        <f t="shared" ca="1" si="656"/>
        <v>7040</v>
      </c>
      <c r="N1442" s="33">
        <f ca="1">CHOOSE(1,W1442*U1442,X1442*'[1]0、经济设定'!$C$18)</f>
        <v>2842</v>
      </c>
      <c r="O1442">
        <f t="shared" si="643"/>
        <v>4</v>
      </c>
      <c r="P1442">
        <f t="shared" si="644"/>
        <v>1</v>
      </c>
      <c r="Q1442">
        <f t="shared" si="645"/>
        <v>1</v>
      </c>
      <c r="R1442" s="2">
        <f t="shared" si="646"/>
        <v>10</v>
      </c>
      <c r="S1442" s="2">
        <f t="shared" si="647"/>
        <v>50</v>
      </c>
      <c r="T1442" s="2">
        <f t="shared" si="648"/>
        <v>121.78571428571431</v>
      </c>
      <c r="U1442" s="2">
        <f ca="1">VLOOKUP(E1442,金币生产率!$A$2:$B$120,2,0)</f>
        <v>406</v>
      </c>
      <c r="V1442" s="2">
        <f t="shared" si="649"/>
        <v>121.78571428571431</v>
      </c>
      <c r="W1442" s="45">
        <f t="shared" ca="1" si="661"/>
        <v>7</v>
      </c>
      <c r="X1442" s="48">
        <f t="shared" ca="1" si="662"/>
        <v>62</v>
      </c>
      <c r="Y1442">
        <f t="shared" si="650"/>
        <v>18</v>
      </c>
      <c r="Z1442">
        <f t="shared" ca="1" si="659"/>
        <v>0</v>
      </c>
      <c r="AA1442" t="str">
        <f t="shared" ca="1" si="651"/>
        <v>9324300.png</v>
      </c>
      <c r="AB1442">
        <f t="shared" si="652"/>
        <v>20</v>
      </c>
      <c r="AC1442">
        <f>VLOOKUP(C1442,技能辅助查询表,技能配置辅助表!$W$1,FALSE)</f>
        <v>65043892</v>
      </c>
      <c r="AD1442">
        <f t="shared" ca="1" si="660"/>
        <v>4.0021477266548589</v>
      </c>
      <c r="AE1442">
        <f>VLOOKUP(C1442,技能辅助查询表,技能配置辅助表!$U$1,FALSE)</f>
        <v>4</v>
      </c>
      <c r="AF1442">
        <f t="shared" ca="1" si="653"/>
        <v>9324312</v>
      </c>
      <c r="AG1442">
        <f t="shared" ca="1" si="654"/>
        <v>25.714285714285715</v>
      </c>
      <c r="AH1442">
        <f t="shared" ca="1" si="655"/>
        <v>54.974556684819426</v>
      </c>
      <c r="AI1442">
        <f ca="1">VLOOKUP(E1442,伤害参考系!$C$4:$E$104,3,FALSE)*$AN$12</f>
        <v>1210.5107784280938</v>
      </c>
      <c r="AJ1442">
        <f>VLOOKUP(C1442,技能辅助查询表,技能配置辅助表!$L$1,FALSE)</f>
        <v>1</v>
      </c>
      <c r="AK1442">
        <f>VLOOKUP(C1442,技能辅助查询表,技能配置辅助表!$AE$1,FALSE)</f>
        <v>66000650</v>
      </c>
    </row>
    <row r="1443" spans="1:37" x14ac:dyDescent="0.15">
      <c r="A1443" s="1">
        <f t="shared" ca="1" si="663"/>
        <v>9324313</v>
      </c>
      <c r="B1443" s="1" t="str">
        <f t="shared" ca="1" si="664"/>
        <v>子弹风暴第3段</v>
      </c>
      <c r="C1443" t="s">
        <v>183</v>
      </c>
      <c r="D1443">
        <f t="shared" ref="D1443:D1506" si="665">VLOOKUP(C1443,技能辅助查询表,3,FALSE)</f>
        <v>3</v>
      </c>
      <c r="E1443" s="42">
        <f t="shared" ca="1" si="657"/>
        <v>28</v>
      </c>
      <c r="F1443" t="str">
        <f t="shared" ca="1" si="658"/>
        <v>第13级，共造成137.6%点伤害</v>
      </c>
      <c r="G1443">
        <f t="shared" ref="G1443:G1506" ca="1" si="666">IF(I1443=0,0,H1443)</f>
        <v>3</v>
      </c>
      <c r="H1443">
        <f t="shared" ref="H1443:H1506" si="667">VLOOKUP(C1443,技能辅助查询表,2,FALSE)</f>
        <v>3</v>
      </c>
      <c r="I1443" s="44">
        <f t="shared" ref="I1443:I1506" ca="1" si="668">IF(OFFSET(C1443,-1,0)=C1443,I1442+1,0)</f>
        <v>13</v>
      </c>
      <c r="J1443">
        <f t="shared" ref="J1443:J1506" si="669">VLOOKUP(C1443,技能辅助查询表,4,FALSE)</f>
        <v>2</v>
      </c>
      <c r="K1443" s="36">
        <f t="shared" ref="K1443:K1506" ca="1" si="670">IF(OR(I1443=0,I1443=1),T1443,T1443+T1443*($AN$6-1)/S1443*I1443)</f>
        <v>137.61785714285716</v>
      </c>
      <c r="L1443" s="10">
        <f ca="1">AH1443*VLOOKUP(C1443,技能辅助查询表,技能配置辅助表!$T$1,FALSE)</f>
        <v>0</v>
      </c>
      <c r="M1443">
        <f t="shared" ca="1" si="656"/>
        <v>6960</v>
      </c>
      <c r="N1443" s="33">
        <f ca="1">CHOOSE(1,W1443*U1443,X1443*'[1]0、经济设定'!$C$18)</f>
        <v>3544</v>
      </c>
      <c r="O1443">
        <f t="shared" ref="O1443:O1506" si="671">VLOOKUP(C1443,技能辅助查询表,5,FALSE)</f>
        <v>4</v>
      </c>
      <c r="P1443">
        <f t="shared" ref="P1443:P1506" si="672">VLOOKUP(C1443,技能辅助查询表,6,FALSE)</f>
        <v>1</v>
      </c>
      <c r="Q1443">
        <f t="shared" ref="Q1443:Q1506" si="673">VLOOKUP(C1443,技能辅助查询表,7,FALSE)</f>
        <v>1</v>
      </c>
      <c r="R1443" s="2">
        <f t="shared" ref="R1443:R1506" si="674">VLOOKUP(C1443,技能辅助查询表,9,FALSE)</f>
        <v>10</v>
      </c>
      <c r="S1443" s="2">
        <f t="shared" ref="S1443:S1506" si="675">VLOOKUP(C1443,技能辅助查询表,8,FALSE)</f>
        <v>50</v>
      </c>
      <c r="T1443" s="2">
        <f t="shared" ref="T1443:T1506" si="676">VLOOKUP(C1443,技能辅助查询表,11,FALSE)</f>
        <v>121.78571428571431</v>
      </c>
      <c r="U1443" s="2">
        <f ca="1">VLOOKUP(E1443,金币生产率!$A$2:$B$120,2,0)</f>
        <v>443</v>
      </c>
      <c r="V1443" s="2">
        <f t="shared" ref="V1443:V1506" si="677">VLOOKUP(C1443,技能辅助查询表,12,FALSE)</f>
        <v>121.78571428571431</v>
      </c>
      <c r="W1443" s="45">
        <f t="shared" ca="1" si="661"/>
        <v>8</v>
      </c>
      <c r="X1443" s="48">
        <f t="shared" ca="1" si="662"/>
        <v>70</v>
      </c>
      <c r="Y1443">
        <f t="shared" ref="Y1443:Y1506" si="678">VLOOKUP(C1443,技能辅助查询表,15,FALSE)</f>
        <v>18</v>
      </c>
      <c r="Z1443">
        <f t="shared" ca="1" si="659"/>
        <v>0</v>
      </c>
      <c r="AA1443" t="str">
        <f t="shared" ref="AA1443:AA1506" ca="1" si="679">AF1443-MOD(AF1443,100)&amp;".png"</f>
        <v>9324300.png</v>
      </c>
      <c r="AB1443">
        <f t="shared" ref="AB1443:AB1506" si="680">VLOOKUP(C1443,技能辅助查询表,17,FALSE)</f>
        <v>20</v>
      </c>
      <c r="AC1443">
        <f>VLOOKUP(C1443,技能辅助查询表,技能配置辅助表!$W$1,FALSE)</f>
        <v>65043892</v>
      </c>
      <c r="AD1443">
        <f t="shared" ca="1" si="660"/>
        <v>4.7088383166734271</v>
      </c>
      <c r="AE1443">
        <f>VLOOKUP(C1443,技能辅助查询表,技能配置辅助表!$U$1,FALSE)</f>
        <v>4</v>
      </c>
      <c r="AF1443">
        <f t="shared" ref="AF1443:AF1506" ca="1" si="681">VALUE("9"&amp;D1443&amp;J1443&amp;O1443&amp;H1443&amp;IF(I1443&gt;9,I1443,"0"&amp;I1443))</f>
        <v>9324313</v>
      </c>
      <c r="AG1443">
        <f t="shared" ref="AG1443:AG1506" ca="1" si="682">IF(I1443=1,R1443,IF(I1443=0,0,(I1443-1)*(80-R1443)/(S1443-1)+R1443))</f>
        <v>27.142857142857142</v>
      </c>
      <c r="AH1443">
        <f t="shared" ref="AH1443:AH1506" ca="1" si="683">(19.323*EXP(I1443*0.1297))*$AN$12</f>
        <v>62.587806354721323</v>
      </c>
      <c r="AI1443">
        <f ca="1">VLOOKUP(E1443,伤害参考系!$C$4:$E$104,3,FALSE)*$AN$12</f>
        <v>1321.7693779264216</v>
      </c>
      <c r="AJ1443">
        <f>VLOOKUP(C1443,技能辅助查询表,技能配置辅助表!$L$1,FALSE)</f>
        <v>1</v>
      </c>
      <c r="AK1443">
        <f>VLOOKUP(C1443,技能辅助查询表,技能配置辅助表!$AE$1,FALSE)</f>
        <v>66000650</v>
      </c>
    </row>
    <row r="1444" spans="1:37" x14ac:dyDescent="0.15">
      <c r="A1444" s="1">
        <f t="shared" ca="1" si="663"/>
        <v>9324314</v>
      </c>
      <c r="B1444" s="1" t="str">
        <f t="shared" ca="1" si="664"/>
        <v>子弹风暴第3段</v>
      </c>
      <c r="C1444" t="s">
        <v>183</v>
      </c>
      <c r="D1444">
        <f t="shared" si="665"/>
        <v>3</v>
      </c>
      <c r="E1444" s="42">
        <f t="shared" ca="1" si="657"/>
        <v>30</v>
      </c>
      <c r="F1444" t="str">
        <f t="shared" ca="1" si="658"/>
        <v>第14级，共造成138.8%点伤害</v>
      </c>
      <c r="G1444">
        <f t="shared" ca="1" si="666"/>
        <v>3</v>
      </c>
      <c r="H1444">
        <f t="shared" si="667"/>
        <v>3</v>
      </c>
      <c r="I1444" s="44">
        <f t="shared" ca="1" si="668"/>
        <v>14</v>
      </c>
      <c r="J1444">
        <f t="shared" si="669"/>
        <v>2</v>
      </c>
      <c r="K1444" s="36">
        <f t="shared" ca="1" si="670"/>
        <v>138.83571428571432</v>
      </c>
      <c r="L1444" s="10">
        <f ca="1">AH1444*VLOOKUP(C1444,技能辅助查询表,技能配置辅助表!$T$1,FALSE)</f>
        <v>0</v>
      </c>
      <c r="M1444">
        <f t="shared" ca="1" si="656"/>
        <v>6880</v>
      </c>
      <c r="N1444" s="33">
        <f ca="1">CHOOSE(1,W1444*U1444,X1444*'[1]0、经济设定'!$C$18)</f>
        <v>4176</v>
      </c>
      <c r="O1444">
        <f t="shared" si="671"/>
        <v>4</v>
      </c>
      <c r="P1444">
        <f t="shared" si="672"/>
        <v>1</v>
      </c>
      <c r="Q1444">
        <f t="shared" si="673"/>
        <v>1</v>
      </c>
      <c r="R1444" s="2">
        <f t="shared" si="674"/>
        <v>10</v>
      </c>
      <c r="S1444" s="2">
        <f t="shared" si="675"/>
        <v>50</v>
      </c>
      <c r="T1444" s="2">
        <f t="shared" si="676"/>
        <v>121.78571428571431</v>
      </c>
      <c r="U1444" s="2">
        <f ca="1">VLOOKUP(E1444,金币生产率!$A$2:$B$120,2,0)</f>
        <v>522</v>
      </c>
      <c r="V1444" s="2">
        <f t="shared" si="677"/>
        <v>121.78571428571431</v>
      </c>
      <c r="W1444" s="45">
        <f t="shared" ca="1" si="661"/>
        <v>8</v>
      </c>
      <c r="X1444" s="48">
        <f t="shared" ca="1" si="662"/>
        <v>78</v>
      </c>
      <c r="Y1444">
        <f t="shared" si="678"/>
        <v>18</v>
      </c>
      <c r="Z1444">
        <f t="shared" ca="1" si="659"/>
        <v>0</v>
      </c>
      <c r="AA1444" t="str">
        <f t="shared" ca="1" si="679"/>
        <v>9324300.png</v>
      </c>
      <c r="AB1444">
        <f t="shared" si="680"/>
        <v>20</v>
      </c>
      <c r="AC1444">
        <f>VLOOKUP(C1444,技能辅助查询表,技能配置辅助表!$W$1,FALSE)</f>
        <v>65043892</v>
      </c>
      <c r="AD1444">
        <f t="shared" ca="1" si="660"/>
        <v>5.5345079737688589</v>
      </c>
      <c r="AE1444">
        <f>VLOOKUP(C1444,技能辅助查询表,技能配置辅助表!$U$1,FALSE)</f>
        <v>4</v>
      </c>
      <c r="AF1444">
        <f t="shared" ca="1" si="681"/>
        <v>9324314</v>
      </c>
      <c r="AG1444">
        <f t="shared" ca="1" si="682"/>
        <v>28.571428571428573</v>
      </c>
      <c r="AH1444">
        <f t="shared" ca="1" si="683"/>
        <v>71.25539050281769</v>
      </c>
      <c r="AI1444">
        <f ca="1">VLOOKUP(E1444,伤害参考系!$C$4:$E$104,3,FALSE)*$AN$12</f>
        <v>1576.1465593645489</v>
      </c>
      <c r="AJ1444">
        <f>VLOOKUP(C1444,技能辅助查询表,技能配置辅助表!$L$1,FALSE)</f>
        <v>1</v>
      </c>
      <c r="AK1444">
        <f>VLOOKUP(C1444,技能辅助查询表,技能配置辅助表!$AE$1,FALSE)</f>
        <v>66000650</v>
      </c>
    </row>
    <row r="1445" spans="1:37" x14ac:dyDescent="0.15">
      <c r="A1445" s="1">
        <f t="shared" ca="1" si="663"/>
        <v>9324315</v>
      </c>
      <c r="B1445" s="1" t="str">
        <f t="shared" ca="1" si="664"/>
        <v>子弹风暴第3段</v>
      </c>
      <c r="C1445" t="s">
        <v>183</v>
      </c>
      <c r="D1445">
        <f t="shared" si="665"/>
        <v>3</v>
      </c>
      <c r="E1445" s="42">
        <f t="shared" ca="1" si="657"/>
        <v>31</v>
      </c>
      <c r="F1445" t="str">
        <f t="shared" ca="1" si="658"/>
        <v>第15级，共造成140.1%点伤害</v>
      </c>
      <c r="G1445">
        <f t="shared" ca="1" si="666"/>
        <v>3</v>
      </c>
      <c r="H1445">
        <f t="shared" si="667"/>
        <v>3</v>
      </c>
      <c r="I1445" s="44">
        <f t="shared" ca="1" si="668"/>
        <v>15</v>
      </c>
      <c r="J1445">
        <f t="shared" si="669"/>
        <v>2</v>
      </c>
      <c r="K1445" s="36">
        <f t="shared" ca="1" si="670"/>
        <v>140.05357142857144</v>
      </c>
      <c r="L1445" s="10">
        <f ca="1">AH1445*VLOOKUP(C1445,技能辅助查询表,技能配置辅助表!$T$1,FALSE)</f>
        <v>0</v>
      </c>
      <c r="M1445">
        <f t="shared" ca="1" si="656"/>
        <v>6800</v>
      </c>
      <c r="N1445" s="33">
        <f ca="1">CHOOSE(1,W1445*U1445,X1445*'[1]0、经济设定'!$C$18)</f>
        <v>5067</v>
      </c>
      <c r="O1445">
        <f t="shared" si="671"/>
        <v>4</v>
      </c>
      <c r="P1445">
        <f t="shared" si="672"/>
        <v>1</v>
      </c>
      <c r="Q1445">
        <f t="shared" si="673"/>
        <v>1</v>
      </c>
      <c r="R1445" s="2">
        <f t="shared" si="674"/>
        <v>10</v>
      </c>
      <c r="S1445" s="2">
        <f t="shared" si="675"/>
        <v>50</v>
      </c>
      <c r="T1445" s="2">
        <f t="shared" si="676"/>
        <v>121.78571428571431</v>
      </c>
      <c r="U1445" s="2">
        <f ca="1">VLOOKUP(E1445,金币生产率!$A$2:$B$120,2,0)</f>
        <v>563</v>
      </c>
      <c r="V1445" s="2">
        <f t="shared" si="677"/>
        <v>121.78571428571431</v>
      </c>
      <c r="W1445" s="45">
        <f t="shared" ca="1" si="661"/>
        <v>9</v>
      </c>
      <c r="X1445" s="48">
        <f t="shared" ca="1" si="662"/>
        <v>87</v>
      </c>
      <c r="Y1445">
        <f t="shared" si="678"/>
        <v>18</v>
      </c>
      <c r="Z1445">
        <f t="shared" ca="1" si="659"/>
        <v>0</v>
      </c>
      <c r="AA1445" t="str">
        <f t="shared" ca="1" si="679"/>
        <v>9324300.png</v>
      </c>
      <c r="AB1445">
        <f t="shared" si="680"/>
        <v>20</v>
      </c>
      <c r="AC1445">
        <f>VLOOKUP(C1445,技能辅助查询表,技能配置辅助表!$W$1,FALSE)</f>
        <v>65043892</v>
      </c>
      <c r="AD1445">
        <f t="shared" ca="1" si="660"/>
        <v>6.4985574261350738</v>
      </c>
      <c r="AE1445">
        <f>VLOOKUP(C1445,技能辅助查询表,技能配置辅助表!$U$1,FALSE)</f>
        <v>4</v>
      </c>
      <c r="AF1445">
        <f t="shared" ca="1" si="681"/>
        <v>9324315</v>
      </c>
      <c r="AG1445">
        <f t="shared" ca="1" si="682"/>
        <v>30</v>
      </c>
      <c r="AH1445">
        <f t="shared" ca="1" si="683"/>
        <v>81.123320522417259</v>
      </c>
      <c r="AI1445">
        <f ca="1">VLOOKUP(E1445,伤害参考系!$C$4:$E$104,3,FALSE)*$AN$12</f>
        <v>1721.3320384615388</v>
      </c>
      <c r="AJ1445">
        <f>VLOOKUP(C1445,技能辅助查询表,技能配置辅助表!$L$1,FALSE)</f>
        <v>1</v>
      </c>
      <c r="AK1445">
        <f>VLOOKUP(C1445,技能辅助查询表,技能配置辅助表!$AE$1,FALSE)</f>
        <v>66000650</v>
      </c>
    </row>
    <row r="1446" spans="1:37" x14ac:dyDescent="0.15">
      <c r="A1446" s="1">
        <f t="shared" ca="1" si="663"/>
        <v>9324316</v>
      </c>
      <c r="B1446" s="1" t="str">
        <f t="shared" ca="1" si="664"/>
        <v>子弹风暴第3段</v>
      </c>
      <c r="C1446" t="s">
        <v>183</v>
      </c>
      <c r="D1446">
        <f t="shared" si="665"/>
        <v>3</v>
      </c>
      <c r="E1446" s="42">
        <f t="shared" ca="1" si="657"/>
        <v>32</v>
      </c>
      <c r="F1446" t="str">
        <f t="shared" ca="1" si="658"/>
        <v>第16级，共造成141.3%点伤害</v>
      </c>
      <c r="G1446">
        <f t="shared" ca="1" si="666"/>
        <v>3</v>
      </c>
      <c r="H1446">
        <f t="shared" si="667"/>
        <v>3</v>
      </c>
      <c r="I1446" s="44">
        <f t="shared" ca="1" si="668"/>
        <v>16</v>
      </c>
      <c r="J1446">
        <f t="shared" si="669"/>
        <v>2</v>
      </c>
      <c r="K1446" s="36">
        <f t="shared" ca="1" si="670"/>
        <v>141.2714285714286</v>
      </c>
      <c r="L1446" s="10">
        <f ca="1">AH1446*VLOOKUP(C1446,技能辅助查询表,技能配置辅助表!$T$1,FALSE)</f>
        <v>0</v>
      </c>
      <c r="M1446">
        <f t="shared" ca="1" si="656"/>
        <v>6720</v>
      </c>
      <c r="N1446" s="33">
        <f ca="1">CHOOSE(1,W1446*U1446,X1446*'[1]0、经济设定'!$C$18)</f>
        <v>6060</v>
      </c>
      <c r="O1446">
        <f t="shared" si="671"/>
        <v>4</v>
      </c>
      <c r="P1446">
        <f t="shared" si="672"/>
        <v>1</v>
      </c>
      <c r="Q1446">
        <f t="shared" si="673"/>
        <v>1</v>
      </c>
      <c r="R1446" s="2">
        <f t="shared" si="674"/>
        <v>10</v>
      </c>
      <c r="S1446" s="2">
        <f t="shared" si="675"/>
        <v>50</v>
      </c>
      <c r="T1446" s="2">
        <f t="shared" si="676"/>
        <v>121.78571428571431</v>
      </c>
      <c r="U1446" s="2">
        <f ca="1">VLOOKUP(E1446,金币生产率!$A$2:$B$120,2,0)</f>
        <v>606</v>
      </c>
      <c r="V1446" s="2">
        <f t="shared" si="677"/>
        <v>121.78571428571431</v>
      </c>
      <c r="W1446" s="45">
        <f t="shared" ca="1" si="661"/>
        <v>10</v>
      </c>
      <c r="X1446" s="48">
        <f t="shared" ca="1" si="662"/>
        <v>97</v>
      </c>
      <c r="Y1446">
        <f t="shared" si="678"/>
        <v>18</v>
      </c>
      <c r="Z1446">
        <f t="shared" ca="1" si="659"/>
        <v>0</v>
      </c>
      <c r="AA1446" t="str">
        <f t="shared" ca="1" si="679"/>
        <v>9324300.png</v>
      </c>
      <c r="AB1446">
        <f t="shared" si="680"/>
        <v>20</v>
      </c>
      <c r="AC1446">
        <f>VLOOKUP(C1446,技能辅助查询表,技能配置辅助表!$W$1,FALSE)</f>
        <v>65043892</v>
      </c>
      <c r="AD1446">
        <f t="shared" ca="1" si="660"/>
        <v>7.6234790402198316</v>
      </c>
      <c r="AE1446">
        <f>VLOOKUP(C1446,技能辅助查询表,技能配置辅助表!$U$1,FALSE)</f>
        <v>4</v>
      </c>
      <c r="AF1446">
        <f t="shared" ca="1" si="681"/>
        <v>9324316</v>
      </c>
      <c r="AG1446">
        <f t="shared" ca="1" si="682"/>
        <v>31.428571428571427</v>
      </c>
      <c r="AH1446">
        <f t="shared" ca="1" si="683"/>
        <v>92.357828455414989</v>
      </c>
      <c r="AI1446">
        <f ca="1">VLOOKUP(E1446,伤害参考系!$C$4:$E$104,3,FALSE)*$AN$12</f>
        <v>1873.3990785953181</v>
      </c>
      <c r="AJ1446">
        <f>VLOOKUP(C1446,技能辅助查询表,技能配置辅助表!$L$1,FALSE)</f>
        <v>1</v>
      </c>
      <c r="AK1446">
        <f>VLOOKUP(C1446,技能辅助查询表,技能配置辅助表!$AE$1,FALSE)</f>
        <v>66000650</v>
      </c>
    </row>
    <row r="1447" spans="1:37" x14ac:dyDescent="0.15">
      <c r="A1447" s="1">
        <f t="shared" ca="1" si="663"/>
        <v>9324317</v>
      </c>
      <c r="B1447" s="1" t="str">
        <f t="shared" ca="1" si="664"/>
        <v>子弹风暴第3段</v>
      </c>
      <c r="C1447" t="s">
        <v>183</v>
      </c>
      <c r="D1447">
        <f t="shared" si="665"/>
        <v>3</v>
      </c>
      <c r="E1447" s="42">
        <f t="shared" ca="1" si="657"/>
        <v>34</v>
      </c>
      <c r="F1447" t="str">
        <f t="shared" ca="1" si="658"/>
        <v>第17级，共造成142.5%点伤害</v>
      </c>
      <c r="G1447">
        <f t="shared" ca="1" si="666"/>
        <v>3</v>
      </c>
      <c r="H1447">
        <f t="shared" si="667"/>
        <v>3</v>
      </c>
      <c r="I1447" s="44">
        <f t="shared" ca="1" si="668"/>
        <v>17</v>
      </c>
      <c r="J1447">
        <f t="shared" si="669"/>
        <v>2</v>
      </c>
      <c r="K1447" s="36">
        <f t="shared" ca="1" si="670"/>
        <v>142.48928571428573</v>
      </c>
      <c r="L1447" s="10">
        <f ca="1">AH1447*VLOOKUP(C1447,技能辅助查询表,技能配置辅助表!$T$1,FALSE)</f>
        <v>0</v>
      </c>
      <c r="M1447">
        <f t="shared" ca="1" si="656"/>
        <v>6640</v>
      </c>
      <c r="N1447" s="33">
        <f ca="1">CHOOSE(1,W1447*U1447,X1447*'[1]0、经济设定'!$C$18)</f>
        <v>6960</v>
      </c>
      <c r="O1447">
        <f t="shared" si="671"/>
        <v>4</v>
      </c>
      <c r="P1447">
        <f t="shared" si="672"/>
        <v>1</v>
      </c>
      <c r="Q1447">
        <f t="shared" si="673"/>
        <v>1</v>
      </c>
      <c r="R1447" s="2">
        <f t="shared" si="674"/>
        <v>10</v>
      </c>
      <c r="S1447" s="2">
        <f t="shared" si="675"/>
        <v>50</v>
      </c>
      <c r="T1447" s="2">
        <f t="shared" si="676"/>
        <v>121.78571428571431</v>
      </c>
      <c r="U1447" s="2">
        <f ca="1">VLOOKUP(E1447,金币生产率!$A$2:$B$120,2,0)</f>
        <v>696</v>
      </c>
      <c r="V1447" s="2">
        <f t="shared" si="677"/>
        <v>121.78571428571431</v>
      </c>
      <c r="W1447" s="45">
        <f t="shared" ca="1" si="661"/>
        <v>10</v>
      </c>
      <c r="X1447" s="48">
        <f t="shared" ca="1" si="662"/>
        <v>107</v>
      </c>
      <c r="Y1447">
        <f t="shared" si="678"/>
        <v>18</v>
      </c>
      <c r="Z1447">
        <f t="shared" ca="1" si="659"/>
        <v>0</v>
      </c>
      <c r="AA1447" t="str">
        <f t="shared" ca="1" si="679"/>
        <v>9324300.png</v>
      </c>
      <c r="AB1447">
        <f t="shared" si="680"/>
        <v>20</v>
      </c>
      <c r="AC1447">
        <f>VLOOKUP(C1447,技能辅助查询表,技能配置辅助表!$W$1,FALSE)</f>
        <v>65043892</v>
      </c>
      <c r="AD1447">
        <f t="shared" ca="1" si="660"/>
        <v>8.9353410442055328</v>
      </c>
      <c r="AE1447">
        <f>VLOOKUP(C1447,技能辅助查询表,技能配置辅助表!$U$1,FALSE)</f>
        <v>4</v>
      </c>
      <c r="AF1447">
        <f t="shared" ca="1" si="681"/>
        <v>9324317</v>
      </c>
      <c r="AG1447">
        <f t="shared" ca="1" si="682"/>
        <v>32.857142857142861</v>
      </c>
      <c r="AH1447">
        <f t="shared" ca="1" si="683"/>
        <v>105.14816728492683</v>
      </c>
      <c r="AI1447">
        <f ca="1">VLOOKUP(E1447,伤害参考系!$C$4:$E$104,3,FALSE)*$AN$12</f>
        <v>2196.2761028428095</v>
      </c>
      <c r="AJ1447">
        <f>VLOOKUP(C1447,技能辅助查询表,技能配置辅助表!$L$1,FALSE)</f>
        <v>1</v>
      </c>
      <c r="AK1447">
        <f>VLOOKUP(C1447,技能辅助查询表,技能配置辅助表!$AE$1,FALSE)</f>
        <v>66000650</v>
      </c>
    </row>
    <row r="1448" spans="1:37" x14ac:dyDescent="0.15">
      <c r="A1448" s="1">
        <f t="shared" ca="1" si="663"/>
        <v>9324318</v>
      </c>
      <c r="B1448" s="1" t="str">
        <f t="shared" ca="1" si="664"/>
        <v>子弹风暴第3段</v>
      </c>
      <c r="C1448" t="s">
        <v>183</v>
      </c>
      <c r="D1448">
        <f t="shared" si="665"/>
        <v>3</v>
      </c>
      <c r="E1448" s="42">
        <f t="shared" ca="1" si="657"/>
        <v>35</v>
      </c>
      <c r="F1448" t="str">
        <f t="shared" ca="1" si="658"/>
        <v>第18级，共造成143.7%点伤害</v>
      </c>
      <c r="G1448">
        <f t="shared" ca="1" si="666"/>
        <v>3</v>
      </c>
      <c r="H1448">
        <f t="shared" si="667"/>
        <v>3</v>
      </c>
      <c r="I1448" s="44">
        <f t="shared" ca="1" si="668"/>
        <v>18</v>
      </c>
      <c r="J1448">
        <f t="shared" si="669"/>
        <v>2</v>
      </c>
      <c r="K1448" s="36">
        <f t="shared" ca="1" si="670"/>
        <v>143.70714285714288</v>
      </c>
      <c r="L1448" s="10">
        <f ca="1">AH1448*VLOOKUP(C1448,技能辅助查询表,技能配置辅助表!$T$1,FALSE)</f>
        <v>0</v>
      </c>
      <c r="M1448">
        <f t="shared" ca="1" si="656"/>
        <v>6560</v>
      </c>
      <c r="N1448" s="33">
        <f ca="1">CHOOSE(1,W1448*U1448,X1448*'[1]0、经济设定'!$C$18)</f>
        <v>8173</v>
      </c>
      <c r="O1448">
        <f t="shared" si="671"/>
        <v>4</v>
      </c>
      <c r="P1448">
        <f t="shared" si="672"/>
        <v>1</v>
      </c>
      <c r="Q1448">
        <f t="shared" si="673"/>
        <v>1</v>
      </c>
      <c r="R1448" s="2">
        <f t="shared" si="674"/>
        <v>10</v>
      </c>
      <c r="S1448" s="2">
        <f t="shared" si="675"/>
        <v>50</v>
      </c>
      <c r="T1448" s="2">
        <f t="shared" si="676"/>
        <v>121.78571428571431</v>
      </c>
      <c r="U1448" s="2">
        <f ca="1">VLOOKUP(E1448,金币生产率!$A$2:$B$120,2,0)</f>
        <v>743</v>
      </c>
      <c r="V1448" s="2">
        <f t="shared" si="677"/>
        <v>121.78571428571431</v>
      </c>
      <c r="W1448" s="45">
        <f t="shared" ca="1" si="661"/>
        <v>11</v>
      </c>
      <c r="X1448" s="48">
        <f t="shared" ca="1" si="662"/>
        <v>118</v>
      </c>
      <c r="Y1448">
        <f t="shared" si="678"/>
        <v>18</v>
      </c>
      <c r="Z1448">
        <f t="shared" ca="1" si="659"/>
        <v>5</v>
      </c>
      <c r="AA1448" t="str">
        <f t="shared" ca="1" si="679"/>
        <v>9324300.png</v>
      </c>
      <c r="AB1448">
        <f t="shared" si="680"/>
        <v>20</v>
      </c>
      <c r="AC1448">
        <f>VLOOKUP(C1448,技能辅助查询表,技能配置辅助表!$W$1,FALSE)</f>
        <v>65043892</v>
      </c>
      <c r="AD1448">
        <f t="shared" ca="1" si="660"/>
        <v>10.464346575334986</v>
      </c>
      <c r="AE1448">
        <f>VLOOKUP(C1448,技能辅助查询表,技能配置辅助表!$U$1,FALSE)</f>
        <v>4</v>
      </c>
      <c r="AF1448">
        <f t="shared" ca="1" si="681"/>
        <v>9324318</v>
      </c>
      <c r="AG1448">
        <f t="shared" ca="1" si="682"/>
        <v>34.285714285714285</v>
      </c>
      <c r="AH1448">
        <f t="shared" ca="1" si="683"/>
        <v>119.70979903145096</v>
      </c>
      <c r="AI1448">
        <f ca="1">VLOOKUP(E1448,伤害参考系!$C$4:$E$104,3,FALSE)*$AN$12</f>
        <v>2367.0860869565217</v>
      </c>
      <c r="AJ1448">
        <f>VLOOKUP(C1448,技能辅助查询表,技能配置辅助表!$L$1,FALSE)</f>
        <v>1</v>
      </c>
      <c r="AK1448">
        <f>VLOOKUP(C1448,技能辅助查询表,技能配置辅助表!$AE$1,FALSE)</f>
        <v>66000650</v>
      </c>
    </row>
    <row r="1449" spans="1:37" x14ac:dyDescent="0.15">
      <c r="A1449" s="1">
        <f t="shared" ca="1" si="663"/>
        <v>9324319</v>
      </c>
      <c r="B1449" s="1" t="str">
        <f t="shared" ca="1" si="664"/>
        <v>子弹风暴第3段</v>
      </c>
      <c r="C1449" t="s">
        <v>183</v>
      </c>
      <c r="D1449">
        <f t="shared" si="665"/>
        <v>3</v>
      </c>
      <c r="E1449" s="42">
        <f t="shared" ca="1" si="657"/>
        <v>37</v>
      </c>
      <c r="F1449" t="str">
        <f t="shared" ca="1" si="658"/>
        <v>第19级，共造成144.9%点伤害</v>
      </c>
      <c r="G1449">
        <f t="shared" ca="1" si="666"/>
        <v>3</v>
      </c>
      <c r="H1449">
        <f t="shared" si="667"/>
        <v>3</v>
      </c>
      <c r="I1449" s="44">
        <f t="shared" ca="1" si="668"/>
        <v>19</v>
      </c>
      <c r="J1449">
        <f t="shared" si="669"/>
        <v>2</v>
      </c>
      <c r="K1449" s="36">
        <f t="shared" ca="1" si="670"/>
        <v>144.92500000000001</v>
      </c>
      <c r="L1449" s="10">
        <f ca="1">AH1449*VLOOKUP(C1449,技能辅助查询表,技能配置辅助表!$T$1,FALSE)</f>
        <v>0</v>
      </c>
      <c r="M1449">
        <f t="shared" ca="1" si="656"/>
        <v>6480</v>
      </c>
      <c r="N1449" s="33">
        <f ca="1">CHOOSE(1,W1449*U1449,X1449*'[1]0、经济设定'!$C$18)</f>
        <v>10092</v>
      </c>
      <c r="O1449">
        <f t="shared" si="671"/>
        <v>4</v>
      </c>
      <c r="P1449">
        <f t="shared" si="672"/>
        <v>1</v>
      </c>
      <c r="Q1449">
        <f t="shared" si="673"/>
        <v>1</v>
      </c>
      <c r="R1449" s="2">
        <f t="shared" si="674"/>
        <v>10</v>
      </c>
      <c r="S1449" s="2">
        <f t="shared" si="675"/>
        <v>50</v>
      </c>
      <c r="T1449" s="2">
        <f t="shared" si="676"/>
        <v>121.78571428571431</v>
      </c>
      <c r="U1449" s="2">
        <f ca="1">VLOOKUP(E1449,金币生产率!$A$2:$B$120,2,0)</f>
        <v>841</v>
      </c>
      <c r="V1449" s="2">
        <f t="shared" si="677"/>
        <v>121.78571428571431</v>
      </c>
      <c r="W1449" s="45">
        <f t="shared" ca="1" si="661"/>
        <v>12</v>
      </c>
      <c r="X1449" s="48">
        <f t="shared" ca="1" si="662"/>
        <v>130</v>
      </c>
      <c r="Y1449">
        <f t="shared" si="678"/>
        <v>18</v>
      </c>
      <c r="Z1449">
        <f t="shared" ca="1" si="659"/>
        <v>5</v>
      </c>
      <c r="AA1449" t="str">
        <f t="shared" ca="1" si="679"/>
        <v>9324300.png</v>
      </c>
      <c r="AB1449">
        <f t="shared" si="680"/>
        <v>20</v>
      </c>
      <c r="AC1449">
        <f>VLOOKUP(C1449,技能辅助查询表,技能配置辅助表!$W$1,FALSE)</f>
        <v>65043892</v>
      </c>
      <c r="AD1449">
        <f t="shared" ca="1" si="660"/>
        <v>12.245478988586143</v>
      </c>
      <c r="AE1449">
        <f>VLOOKUP(C1449,技能辅助查询表,技能配置辅助表!$U$1,FALSE)</f>
        <v>4</v>
      </c>
      <c r="AF1449">
        <f t="shared" ca="1" si="681"/>
        <v>9324319</v>
      </c>
      <c r="AG1449">
        <f t="shared" ca="1" si="682"/>
        <v>35.714285714285715</v>
      </c>
      <c r="AH1449">
        <f t="shared" ca="1" si="683"/>
        <v>136.28802435822078</v>
      </c>
      <c r="AI1449">
        <f ca="1">VLOOKUP(E1449,伤害参考系!$C$4:$E$104,3,FALSE)*$AN$12</f>
        <v>2727.4489991638798</v>
      </c>
      <c r="AJ1449">
        <f>VLOOKUP(C1449,技能辅助查询表,技能配置辅助表!$L$1,FALSE)</f>
        <v>1</v>
      </c>
      <c r="AK1449">
        <f>VLOOKUP(C1449,技能辅助查询表,技能配置辅助表!$AE$1,FALSE)</f>
        <v>66000650</v>
      </c>
    </row>
    <row r="1450" spans="1:37" x14ac:dyDescent="0.15">
      <c r="A1450" s="1">
        <f t="shared" ca="1" si="663"/>
        <v>9324320</v>
      </c>
      <c r="B1450" s="1" t="str">
        <f t="shared" ca="1" si="664"/>
        <v>子弹风暴第3段</v>
      </c>
      <c r="C1450" t="s">
        <v>183</v>
      </c>
      <c r="D1450">
        <f t="shared" si="665"/>
        <v>3</v>
      </c>
      <c r="E1450" s="42">
        <f t="shared" ca="1" si="657"/>
        <v>38</v>
      </c>
      <c r="F1450" t="str">
        <f t="shared" ca="1" si="658"/>
        <v>第20级，共造成146.1%点伤害</v>
      </c>
      <c r="G1450">
        <f t="shared" ca="1" si="666"/>
        <v>3</v>
      </c>
      <c r="H1450">
        <f t="shared" si="667"/>
        <v>3</v>
      </c>
      <c r="I1450" s="44">
        <f t="shared" ca="1" si="668"/>
        <v>20</v>
      </c>
      <c r="J1450">
        <f t="shared" si="669"/>
        <v>2</v>
      </c>
      <c r="K1450" s="36">
        <f t="shared" ca="1" si="670"/>
        <v>146.14285714285717</v>
      </c>
      <c r="L1450" s="10">
        <f ca="1">AH1450*VLOOKUP(C1450,技能辅助查询表,技能配置辅助表!$T$1,FALSE)</f>
        <v>0</v>
      </c>
      <c r="M1450">
        <f t="shared" ca="1" si="656"/>
        <v>6400</v>
      </c>
      <c r="N1450" s="33">
        <f ca="1">CHOOSE(1,W1450*U1450,X1450*'[1]0、经济设定'!$C$18)</f>
        <v>11596</v>
      </c>
      <c r="O1450">
        <f t="shared" si="671"/>
        <v>4</v>
      </c>
      <c r="P1450">
        <f t="shared" si="672"/>
        <v>1</v>
      </c>
      <c r="Q1450">
        <f t="shared" si="673"/>
        <v>1</v>
      </c>
      <c r="R1450" s="2">
        <f t="shared" si="674"/>
        <v>10</v>
      </c>
      <c r="S1450" s="2">
        <f t="shared" si="675"/>
        <v>50</v>
      </c>
      <c r="T1450" s="2">
        <f t="shared" si="676"/>
        <v>121.78571428571431</v>
      </c>
      <c r="U1450" s="2">
        <f ca="1">VLOOKUP(E1450,金币生产率!$A$2:$B$120,2,0)</f>
        <v>892</v>
      </c>
      <c r="V1450" s="2">
        <f t="shared" si="677"/>
        <v>121.78571428571431</v>
      </c>
      <c r="W1450" s="45">
        <f t="shared" ca="1" si="661"/>
        <v>13</v>
      </c>
      <c r="X1450" s="48">
        <f t="shared" ca="1" si="662"/>
        <v>143</v>
      </c>
      <c r="Y1450">
        <f t="shared" si="678"/>
        <v>18</v>
      </c>
      <c r="Z1450">
        <f t="shared" ca="1" si="659"/>
        <v>6</v>
      </c>
      <c r="AA1450" t="str">
        <f t="shared" ca="1" si="679"/>
        <v>9324300.png</v>
      </c>
      <c r="AB1450">
        <f t="shared" si="680"/>
        <v>20</v>
      </c>
      <c r="AC1450">
        <f>VLOOKUP(C1450,技能辅助查询表,技能配置辅助表!$W$1,FALSE)</f>
        <v>65043892</v>
      </c>
      <c r="AD1450">
        <f t="shared" ca="1" si="660"/>
        <v>14.319246597070498</v>
      </c>
      <c r="AE1450">
        <f>VLOOKUP(C1450,技能辅助查询表,技能配置辅助表!$U$1,FALSE)</f>
        <v>4</v>
      </c>
      <c r="AF1450">
        <f t="shared" ca="1" si="681"/>
        <v>9324320</v>
      </c>
      <c r="AG1450">
        <f t="shared" ca="1" si="682"/>
        <v>37.142857142857139</v>
      </c>
      <c r="AH1450">
        <f t="shared" ca="1" si="683"/>
        <v>155.16211482893718</v>
      </c>
      <c r="AI1450">
        <f ca="1">VLOOKUP(E1450,伤害参考系!$C$4:$E$104,3,FALSE)*$AN$12</f>
        <v>2917.001927257525</v>
      </c>
      <c r="AJ1450">
        <f>VLOOKUP(C1450,技能辅助查询表,技能配置辅助表!$L$1,FALSE)</f>
        <v>1</v>
      </c>
      <c r="AK1450">
        <f>VLOOKUP(C1450,技能辅助查询表,技能配置辅助表!$AE$1,FALSE)</f>
        <v>66000650</v>
      </c>
    </row>
    <row r="1451" spans="1:37" x14ac:dyDescent="0.15">
      <c r="A1451" s="1">
        <f t="shared" ca="1" si="663"/>
        <v>9324321</v>
      </c>
      <c r="B1451" s="1" t="str">
        <f t="shared" ca="1" si="664"/>
        <v>子弹风暴第3段</v>
      </c>
      <c r="C1451" t="s">
        <v>183</v>
      </c>
      <c r="D1451">
        <f t="shared" si="665"/>
        <v>3</v>
      </c>
      <c r="E1451" s="42">
        <f t="shared" ca="1" si="657"/>
        <v>39</v>
      </c>
      <c r="F1451" t="str">
        <f t="shared" ca="1" si="658"/>
        <v>第21级，共造成147.4%点伤害</v>
      </c>
      <c r="G1451">
        <f t="shared" ca="1" si="666"/>
        <v>3</v>
      </c>
      <c r="H1451">
        <f t="shared" si="667"/>
        <v>3</v>
      </c>
      <c r="I1451" s="44">
        <f t="shared" ca="1" si="668"/>
        <v>21</v>
      </c>
      <c r="J1451">
        <f t="shared" si="669"/>
        <v>2</v>
      </c>
      <c r="K1451" s="36">
        <f t="shared" ca="1" si="670"/>
        <v>147.36071428571432</v>
      </c>
      <c r="L1451" s="10">
        <f ca="1">AH1451*VLOOKUP(C1451,技能辅助查询表,技能配置辅助表!$T$1,FALSE)</f>
        <v>0</v>
      </c>
      <c r="M1451">
        <f t="shared" ca="1" si="656"/>
        <v>6320</v>
      </c>
      <c r="N1451" s="33">
        <f ca="1">CHOOSE(1,W1451*U1451,X1451*'[1]0、经济设定'!$C$18)</f>
        <v>12272</v>
      </c>
      <c r="O1451">
        <f t="shared" si="671"/>
        <v>4</v>
      </c>
      <c r="P1451">
        <f t="shared" si="672"/>
        <v>1</v>
      </c>
      <c r="Q1451">
        <f t="shared" si="673"/>
        <v>1</v>
      </c>
      <c r="R1451" s="2">
        <f t="shared" si="674"/>
        <v>10</v>
      </c>
      <c r="S1451" s="2">
        <f t="shared" si="675"/>
        <v>50</v>
      </c>
      <c r="T1451" s="2">
        <f t="shared" si="676"/>
        <v>121.78571428571431</v>
      </c>
      <c r="U1451" s="2">
        <f ca="1">VLOOKUP(E1451,金币生产率!$A$2:$B$120,2,0)</f>
        <v>944</v>
      </c>
      <c r="V1451" s="2">
        <f t="shared" si="677"/>
        <v>121.78571428571431</v>
      </c>
      <c r="W1451" s="45">
        <f t="shared" ca="1" si="661"/>
        <v>13</v>
      </c>
      <c r="X1451" s="48">
        <f t="shared" ca="1" si="662"/>
        <v>156</v>
      </c>
      <c r="Y1451">
        <f t="shared" si="678"/>
        <v>18</v>
      </c>
      <c r="Z1451">
        <f t="shared" ca="1" si="659"/>
        <v>6</v>
      </c>
      <c r="AA1451" t="str">
        <f t="shared" ca="1" si="679"/>
        <v>9324300.png</v>
      </c>
      <c r="AB1451">
        <f t="shared" si="680"/>
        <v>20</v>
      </c>
      <c r="AC1451">
        <f>VLOOKUP(C1451,技能辅助查询表,技能配置辅助表!$W$1,FALSE)</f>
        <v>65043892</v>
      </c>
      <c r="AD1451">
        <f t="shared" ca="1" si="660"/>
        <v>16.732542008004138</v>
      </c>
      <c r="AE1451">
        <f>VLOOKUP(C1451,技能辅助查询表,技能配置辅助表!$U$1,FALSE)</f>
        <v>4</v>
      </c>
      <c r="AF1451">
        <f t="shared" ca="1" si="681"/>
        <v>9324321</v>
      </c>
      <c r="AG1451">
        <f t="shared" ca="1" si="682"/>
        <v>38.571428571428569</v>
      </c>
      <c r="AH1451">
        <f t="shared" ca="1" si="683"/>
        <v>176.65001742859343</v>
      </c>
      <c r="AI1451">
        <f ca="1">VLOOKUP(E1451,伤害参考系!$C$4:$E$104,3,FALSE)*$AN$12</f>
        <v>3112.8025033444819</v>
      </c>
      <c r="AJ1451">
        <f>VLOOKUP(C1451,技能辅助查询表,技能配置辅助表!$L$1,FALSE)</f>
        <v>1</v>
      </c>
      <c r="AK1451">
        <f>VLOOKUP(C1451,技能辅助查询表,技能配置辅助表!$AE$1,FALSE)</f>
        <v>66000650</v>
      </c>
    </row>
    <row r="1452" spans="1:37" x14ac:dyDescent="0.15">
      <c r="A1452" s="1">
        <f t="shared" ca="1" si="663"/>
        <v>9324322</v>
      </c>
      <c r="B1452" s="1" t="str">
        <f t="shared" ca="1" si="664"/>
        <v>子弹风暴第3段</v>
      </c>
      <c r="C1452" t="s">
        <v>183</v>
      </c>
      <c r="D1452">
        <f t="shared" si="665"/>
        <v>3</v>
      </c>
      <c r="E1452" s="42">
        <f t="shared" ca="1" si="657"/>
        <v>41</v>
      </c>
      <c r="F1452" t="str">
        <f t="shared" ca="1" si="658"/>
        <v>第22级，共造成148.6%点伤害</v>
      </c>
      <c r="G1452">
        <f t="shared" ca="1" si="666"/>
        <v>3</v>
      </c>
      <c r="H1452">
        <f t="shared" si="667"/>
        <v>3</v>
      </c>
      <c r="I1452" s="44">
        <f t="shared" ca="1" si="668"/>
        <v>22</v>
      </c>
      <c r="J1452">
        <f t="shared" si="669"/>
        <v>2</v>
      </c>
      <c r="K1452" s="36">
        <f t="shared" ca="1" si="670"/>
        <v>148.57857142857145</v>
      </c>
      <c r="L1452" s="10">
        <f ca="1">AH1452*VLOOKUP(C1452,技能辅助查询表,技能配置辅助表!$T$1,FALSE)</f>
        <v>0</v>
      </c>
      <c r="M1452">
        <f t="shared" ca="1" si="656"/>
        <v>6240</v>
      </c>
      <c r="N1452" s="33">
        <f ca="1">CHOOSE(1,W1452*U1452,X1452*'[1]0、经济设定'!$C$18)</f>
        <v>14742</v>
      </c>
      <c r="O1452">
        <f t="shared" si="671"/>
        <v>4</v>
      </c>
      <c r="P1452">
        <f t="shared" si="672"/>
        <v>1</v>
      </c>
      <c r="Q1452">
        <f t="shared" si="673"/>
        <v>1</v>
      </c>
      <c r="R1452" s="2">
        <f t="shared" si="674"/>
        <v>10</v>
      </c>
      <c r="S1452" s="2">
        <f t="shared" si="675"/>
        <v>50</v>
      </c>
      <c r="T1452" s="2">
        <f t="shared" si="676"/>
        <v>121.78571428571431</v>
      </c>
      <c r="U1452" s="2">
        <f ca="1">VLOOKUP(E1452,金币生产率!$A$2:$B$120,2,0)</f>
        <v>1053</v>
      </c>
      <c r="V1452" s="2">
        <f t="shared" si="677"/>
        <v>121.78571428571431</v>
      </c>
      <c r="W1452" s="45">
        <f t="shared" ca="1" si="661"/>
        <v>14</v>
      </c>
      <c r="X1452" s="48">
        <f t="shared" ca="1" si="662"/>
        <v>170</v>
      </c>
      <c r="Y1452">
        <f t="shared" si="678"/>
        <v>18</v>
      </c>
      <c r="Z1452">
        <f t="shared" ca="1" si="659"/>
        <v>6</v>
      </c>
      <c r="AA1452" t="str">
        <f t="shared" ca="1" si="679"/>
        <v>9324300.png</v>
      </c>
      <c r="AB1452">
        <f t="shared" si="680"/>
        <v>20</v>
      </c>
      <c r="AC1452">
        <f>VLOOKUP(C1452,技能辅助查询表,技能配置辅助表!$W$1,FALSE)</f>
        <v>65043892</v>
      </c>
      <c r="AD1452">
        <f t="shared" ca="1" si="660"/>
        <v>19.539633511126191</v>
      </c>
      <c r="AE1452">
        <f>VLOOKUP(C1452,技能辅助查询表,技能配置辅助表!$U$1,FALSE)</f>
        <v>4</v>
      </c>
      <c r="AF1452">
        <f t="shared" ca="1" si="681"/>
        <v>9324322</v>
      </c>
      <c r="AG1452">
        <f t="shared" ca="1" si="682"/>
        <v>40</v>
      </c>
      <c r="AH1452">
        <f t="shared" ca="1" si="683"/>
        <v>201.11371059826985</v>
      </c>
      <c r="AI1452">
        <f ca="1">VLOOKUP(E1452,伤害参考系!$C$4:$E$104,3,FALSE)*$AN$12</f>
        <v>3584.9561889632118</v>
      </c>
      <c r="AJ1452">
        <f>VLOOKUP(C1452,技能辅助查询表,技能配置辅助表!$L$1,FALSE)</f>
        <v>1</v>
      </c>
      <c r="AK1452">
        <f>VLOOKUP(C1452,技能辅助查询表,技能配置辅助表!$AE$1,FALSE)</f>
        <v>66000650</v>
      </c>
    </row>
    <row r="1453" spans="1:37" x14ac:dyDescent="0.15">
      <c r="A1453" s="1">
        <f t="shared" ca="1" si="663"/>
        <v>9324323</v>
      </c>
      <c r="B1453" s="1" t="str">
        <f t="shared" ca="1" si="664"/>
        <v>子弹风暴第3段</v>
      </c>
      <c r="C1453" t="s">
        <v>183</v>
      </c>
      <c r="D1453">
        <f t="shared" si="665"/>
        <v>3</v>
      </c>
      <c r="E1453" s="42">
        <f t="shared" ca="1" si="657"/>
        <v>42</v>
      </c>
      <c r="F1453" t="str">
        <f t="shared" ca="1" si="658"/>
        <v>第23级，共造成149.8%点伤害</v>
      </c>
      <c r="G1453">
        <f t="shared" ca="1" si="666"/>
        <v>3</v>
      </c>
      <c r="H1453">
        <f t="shared" si="667"/>
        <v>3</v>
      </c>
      <c r="I1453" s="44">
        <f t="shared" ca="1" si="668"/>
        <v>23</v>
      </c>
      <c r="J1453">
        <f t="shared" si="669"/>
        <v>2</v>
      </c>
      <c r="K1453" s="36">
        <f t="shared" ca="1" si="670"/>
        <v>149.79642857142861</v>
      </c>
      <c r="L1453" s="10">
        <f ca="1">AH1453*VLOOKUP(C1453,技能辅助查询表,技能配置辅助表!$T$1,FALSE)</f>
        <v>0</v>
      </c>
      <c r="M1453">
        <f t="shared" ca="1" si="656"/>
        <v>6160</v>
      </c>
      <c r="N1453" s="33">
        <f ca="1">CHOOSE(1,W1453*U1453,X1453*'[1]0、经济设定'!$C$18)</f>
        <v>16650</v>
      </c>
      <c r="O1453">
        <f t="shared" si="671"/>
        <v>4</v>
      </c>
      <c r="P1453">
        <f t="shared" si="672"/>
        <v>1</v>
      </c>
      <c r="Q1453">
        <f t="shared" si="673"/>
        <v>1</v>
      </c>
      <c r="R1453" s="2">
        <f t="shared" si="674"/>
        <v>10</v>
      </c>
      <c r="S1453" s="2">
        <f t="shared" si="675"/>
        <v>50</v>
      </c>
      <c r="T1453" s="2">
        <f t="shared" si="676"/>
        <v>121.78571428571431</v>
      </c>
      <c r="U1453" s="2">
        <f ca="1">VLOOKUP(E1453,金币生产率!$A$2:$B$120,2,0)</f>
        <v>1110</v>
      </c>
      <c r="V1453" s="2">
        <f t="shared" si="677"/>
        <v>121.78571428571431</v>
      </c>
      <c r="W1453" s="45">
        <f t="shared" ca="1" si="661"/>
        <v>15</v>
      </c>
      <c r="X1453" s="48">
        <f t="shared" ca="1" si="662"/>
        <v>185</v>
      </c>
      <c r="Y1453">
        <f t="shared" si="678"/>
        <v>18</v>
      </c>
      <c r="Z1453">
        <f t="shared" ca="1" si="659"/>
        <v>6</v>
      </c>
      <c r="AA1453" t="str">
        <f t="shared" ca="1" si="679"/>
        <v>9324300.png</v>
      </c>
      <c r="AB1453">
        <f t="shared" si="680"/>
        <v>20</v>
      </c>
      <c r="AC1453">
        <f>VLOOKUP(C1453,技能辅助查询表,技能配置辅助表!$W$1,FALSE)</f>
        <v>65043892</v>
      </c>
      <c r="AD1453">
        <f t="shared" ca="1" si="660"/>
        <v>22.80330861375025</v>
      </c>
      <c r="AE1453">
        <f>VLOOKUP(C1453,技能辅助查询表,技能配置辅助表!$U$1,FALSE)</f>
        <v>4</v>
      </c>
      <c r="AF1453">
        <f t="shared" ca="1" si="681"/>
        <v>9324323</v>
      </c>
      <c r="AG1453">
        <f t="shared" ca="1" si="682"/>
        <v>41.428571428571431</v>
      </c>
      <c r="AH1453">
        <f t="shared" ca="1" si="683"/>
        <v>228.96530200997151</v>
      </c>
      <c r="AI1453">
        <f ca="1">VLOOKUP(E1453,伤害参考系!$C$4:$E$104,3,FALSE)*$AN$12</f>
        <v>3833.528327759198</v>
      </c>
      <c r="AJ1453">
        <f>VLOOKUP(C1453,技能辅助查询表,技能配置辅助表!$L$1,FALSE)</f>
        <v>1</v>
      </c>
      <c r="AK1453">
        <f>VLOOKUP(C1453,技能辅助查询表,技能配置辅助表!$AE$1,FALSE)</f>
        <v>66000650</v>
      </c>
    </row>
    <row r="1454" spans="1:37" x14ac:dyDescent="0.15">
      <c r="A1454" s="1">
        <f t="shared" ca="1" si="663"/>
        <v>9324324</v>
      </c>
      <c r="B1454" s="1" t="str">
        <f t="shared" ca="1" si="664"/>
        <v>子弹风暴第3段</v>
      </c>
      <c r="C1454" t="s">
        <v>183</v>
      </c>
      <c r="D1454">
        <f t="shared" si="665"/>
        <v>3</v>
      </c>
      <c r="E1454" s="42">
        <f t="shared" ca="1" si="657"/>
        <v>44</v>
      </c>
      <c r="F1454" t="str">
        <f t="shared" ca="1" si="658"/>
        <v>第24级，共造成151%点伤害</v>
      </c>
      <c r="G1454">
        <f t="shared" ca="1" si="666"/>
        <v>3</v>
      </c>
      <c r="H1454">
        <f t="shared" si="667"/>
        <v>3</v>
      </c>
      <c r="I1454" s="44">
        <f t="shared" ca="1" si="668"/>
        <v>24</v>
      </c>
      <c r="J1454">
        <f t="shared" si="669"/>
        <v>2</v>
      </c>
      <c r="K1454" s="36">
        <f t="shared" ca="1" si="670"/>
        <v>151.01428571428573</v>
      </c>
      <c r="L1454" s="10">
        <f ca="1">AH1454*VLOOKUP(C1454,技能辅助查询表,技能配置辅助表!$T$1,FALSE)</f>
        <v>0</v>
      </c>
      <c r="M1454">
        <f t="shared" ca="1" si="656"/>
        <v>6080</v>
      </c>
      <c r="N1454" s="33">
        <f ca="1">CHOOSE(1,W1454*U1454,X1454*'[1]0、经济设定'!$C$18)</f>
        <v>19616</v>
      </c>
      <c r="O1454">
        <f t="shared" si="671"/>
        <v>4</v>
      </c>
      <c r="P1454">
        <f t="shared" si="672"/>
        <v>1</v>
      </c>
      <c r="Q1454">
        <f t="shared" si="673"/>
        <v>1</v>
      </c>
      <c r="R1454" s="2">
        <f t="shared" si="674"/>
        <v>10</v>
      </c>
      <c r="S1454" s="2">
        <f t="shared" si="675"/>
        <v>50</v>
      </c>
      <c r="T1454" s="2">
        <f t="shared" si="676"/>
        <v>121.78571428571431</v>
      </c>
      <c r="U1454" s="2">
        <f ca="1">VLOOKUP(E1454,金币生产率!$A$2:$B$120,2,0)</f>
        <v>1226</v>
      </c>
      <c r="V1454" s="2">
        <f t="shared" si="677"/>
        <v>121.78571428571431</v>
      </c>
      <c r="W1454" s="45">
        <f t="shared" ca="1" si="661"/>
        <v>16</v>
      </c>
      <c r="X1454" s="48">
        <f t="shared" ca="1" si="662"/>
        <v>201</v>
      </c>
      <c r="Y1454">
        <f t="shared" si="678"/>
        <v>18</v>
      </c>
      <c r="Z1454">
        <f t="shared" ca="1" si="659"/>
        <v>7</v>
      </c>
      <c r="AA1454" t="str">
        <f t="shared" ca="1" si="679"/>
        <v>9324300.png</v>
      </c>
      <c r="AB1454">
        <f t="shared" si="680"/>
        <v>20</v>
      </c>
      <c r="AC1454">
        <f>VLOOKUP(C1454,技能辅助查询表,技能配置辅助表!$W$1,FALSE)</f>
        <v>65043892</v>
      </c>
      <c r="AD1454">
        <f t="shared" ca="1" si="660"/>
        <v>26.596192849613338</v>
      </c>
      <c r="AE1454">
        <f>VLOOKUP(C1454,技能辅助查询表,技能配置辅助表!$U$1,FALSE)</f>
        <v>4</v>
      </c>
      <c r="AF1454">
        <f t="shared" ca="1" si="681"/>
        <v>9324324</v>
      </c>
      <c r="AG1454">
        <f t="shared" ca="1" si="682"/>
        <v>42.857142857142854</v>
      </c>
      <c r="AH1454">
        <f t="shared" ca="1" si="683"/>
        <v>260.67397080270689</v>
      </c>
      <c r="AI1454">
        <f ca="1">VLOOKUP(E1454,伤害参考系!$C$4:$E$104,3,FALSE)*$AN$12</f>
        <v>4355.6631973244148</v>
      </c>
      <c r="AJ1454">
        <f>VLOOKUP(C1454,技能辅助查询表,技能配置辅助表!$L$1,FALSE)</f>
        <v>1</v>
      </c>
      <c r="AK1454">
        <f>VLOOKUP(C1454,技能辅助查询表,技能配置辅助表!$AE$1,FALSE)</f>
        <v>66000650</v>
      </c>
    </row>
    <row r="1455" spans="1:37" x14ac:dyDescent="0.15">
      <c r="A1455" s="1">
        <f t="shared" ca="1" si="663"/>
        <v>9324325</v>
      </c>
      <c r="B1455" s="1" t="str">
        <f t="shared" ca="1" si="664"/>
        <v>子弹风暴第3段</v>
      </c>
      <c r="C1455" t="s">
        <v>183</v>
      </c>
      <c r="D1455">
        <f t="shared" si="665"/>
        <v>3</v>
      </c>
      <c r="E1455" s="42">
        <f t="shared" ca="1" si="657"/>
        <v>45</v>
      </c>
      <c r="F1455" t="str">
        <f t="shared" ca="1" si="658"/>
        <v>第25级，共造成152.2%点伤害</v>
      </c>
      <c r="G1455">
        <f t="shared" ca="1" si="666"/>
        <v>3</v>
      </c>
      <c r="H1455">
        <f t="shared" si="667"/>
        <v>3</v>
      </c>
      <c r="I1455" s="44">
        <f t="shared" ca="1" si="668"/>
        <v>25</v>
      </c>
      <c r="J1455">
        <f t="shared" si="669"/>
        <v>2</v>
      </c>
      <c r="K1455" s="36">
        <f t="shared" ca="1" si="670"/>
        <v>152.23214285714289</v>
      </c>
      <c r="L1455" s="10">
        <f ca="1">AH1455*VLOOKUP(C1455,技能辅助查询表,技能配置辅助表!$T$1,FALSE)</f>
        <v>0</v>
      </c>
      <c r="M1455">
        <f t="shared" ca="1" si="656"/>
        <v>6000</v>
      </c>
      <c r="N1455" s="33">
        <f ca="1">CHOOSE(1,W1455*U1455,X1455*'[1]0、经济设定'!$C$18)</f>
        <v>23166</v>
      </c>
      <c r="O1455">
        <f t="shared" si="671"/>
        <v>4</v>
      </c>
      <c r="P1455">
        <f t="shared" si="672"/>
        <v>1</v>
      </c>
      <c r="Q1455">
        <f t="shared" si="673"/>
        <v>1</v>
      </c>
      <c r="R1455" s="2">
        <f t="shared" si="674"/>
        <v>10</v>
      </c>
      <c r="S1455" s="2">
        <f t="shared" si="675"/>
        <v>50</v>
      </c>
      <c r="T1455" s="2">
        <f t="shared" si="676"/>
        <v>121.78571428571431</v>
      </c>
      <c r="U1455" s="2">
        <f ca="1">VLOOKUP(E1455,金币生产率!$A$2:$B$120,2,0)</f>
        <v>1287</v>
      </c>
      <c r="V1455" s="2">
        <f t="shared" si="677"/>
        <v>121.78571428571431</v>
      </c>
      <c r="W1455" s="45">
        <f t="shared" ca="1" si="661"/>
        <v>18</v>
      </c>
      <c r="X1455" s="48">
        <f t="shared" ca="1" si="662"/>
        <v>219</v>
      </c>
      <c r="Y1455">
        <f t="shared" si="678"/>
        <v>18</v>
      </c>
      <c r="Z1455">
        <f t="shared" ca="1" si="659"/>
        <v>8</v>
      </c>
      <c r="AA1455" t="str">
        <f t="shared" ca="1" si="679"/>
        <v>9324300.png</v>
      </c>
      <c r="AB1455">
        <f t="shared" si="680"/>
        <v>20</v>
      </c>
      <c r="AC1455">
        <f>VLOOKUP(C1455,技能辅助查询表,技能配置辅助表!$W$1,FALSE)</f>
        <v>65043892</v>
      </c>
      <c r="AD1455">
        <f t="shared" ca="1" si="660"/>
        <v>31.002270476342755</v>
      </c>
      <c r="AE1455">
        <f>VLOOKUP(C1455,技能辅助查询表,技能配置辅助表!$U$1,FALSE)</f>
        <v>4</v>
      </c>
      <c r="AF1455">
        <f t="shared" ca="1" si="681"/>
        <v>9324325</v>
      </c>
      <c r="AG1455">
        <f t="shared" ca="1" si="682"/>
        <v>44.285714285714285</v>
      </c>
      <c r="AH1455">
        <f t="shared" ca="1" si="683"/>
        <v>296.77387122652874</v>
      </c>
      <c r="AI1455">
        <f ca="1">VLOOKUP(E1455,伤害参考系!$C$4:$E$104,3,FALSE)*$AN$12</f>
        <v>4629.2259280936469</v>
      </c>
      <c r="AJ1455">
        <f>VLOOKUP(C1455,技能辅助查询表,技能配置辅助表!$L$1,FALSE)</f>
        <v>1</v>
      </c>
      <c r="AK1455">
        <f>VLOOKUP(C1455,技能辅助查询表,技能配置辅助表!$AE$1,FALSE)</f>
        <v>66000650</v>
      </c>
    </row>
    <row r="1456" spans="1:37" x14ac:dyDescent="0.15">
      <c r="A1456" s="1">
        <f t="shared" ca="1" si="663"/>
        <v>9324326</v>
      </c>
      <c r="B1456" s="1" t="str">
        <f t="shared" ca="1" si="664"/>
        <v>子弹风暴第3段</v>
      </c>
      <c r="C1456" t="s">
        <v>183</v>
      </c>
      <c r="D1456">
        <f t="shared" si="665"/>
        <v>3</v>
      </c>
      <c r="E1456" s="42">
        <f t="shared" ca="1" si="657"/>
        <v>46</v>
      </c>
      <c r="F1456" t="str">
        <f t="shared" ca="1" si="658"/>
        <v>第26级，共造成153.5%点伤害</v>
      </c>
      <c r="G1456">
        <f t="shared" ca="1" si="666"/>
        <v>3</v>
      </c>
      <c r="H1456">
        <f t="shared" si="667"/>
        <v>3</v>
      </c>
      <c r="I1456" s="44">
        <f t="shared" ca="1" si="668"/>
        <v>26</v>
      </c>
      <c r="J1456">
        <f t="shared" si="669"/>
        <v>2</v>
      </c>
      <c r="K1456" s="36">
        <f t="shared" ca="1" si="670"/>
        <v>153.45000000000002</v>
      </c>
      <c r="L1456" s="10">
        <f ca="1">AH1456*VLOOKUP(C1456,技能辅助查询表,技能配置辅助表!$T$1,FALSE)</f>
        <v>0</v>
      </c>
      <c r="M1456">
        <f t="shared" ca="1" si="656"/>
        <v>5920</v>
      </c>
      <c r="N1456" s="33">
        <f ca="1">CHOOSE(1,W1456*U1456,X1456*'[1]0、经济设定'!$C$18)</f>
        <v>25631</v>
      </c>
      <c r="O1456">
        <f t="shared" si="671"/>
        <v>4</v>
      </c>
      <c r="P1456">
        <f t="shared" si="672"/>
        <v>1</v>
      </c>
      <c r="Q1456">
        <f t="shared" si="673"/>
        <v>1</v>
      </c>
      <c r="R1456" s="2">
        <f t="shared" si="674"/>
        <v>10</v>
      </c>
      <c r="S1456" s="2">
        <f t="shared" si="675"/>
        <v>50</v>
      </c>
      <c r="T1456" s="2">
        <f t="shared" si="676"/>
        <v>121.78571428571431</v>
      </c>
      <c r="U1456" s="2">
        <f ca="1">VLOOKUP(E1456,金币生产率!$A$2:$B$120,2,0)</f>
        <v>1349</v>
      </c>
      <c r="V1456" s="2">
        <f t="shared" si="677"/>
        <v>121.78571428571431</v>
      </c>
      <c r="W1456" s="45">
        <f t="shared" ca="1" si="661"/>
        <v>19</v>
      </c>
      <c r="X1456" s="48">
        <f t="shared" ca="1" si="662"/>
        <v>238</v>
      </c>
      <c r="Y1456">
        <f t="shared" si="678"/>
        <v>18</v>
      </c>
      <c r="Z1456">
        <f t="shared" ca="1" si="659"/>
        <v>8</v>
      </c>
      <c r="AA1456" t="str">
        <f t="shared" ca="1" si="679"/>
        <v>9324300.png</v>
      </c>
      <c r="AB1456">
        <f t="shared" si="680"/>
        <v>20</v>
      </c>
      <c r="AC1456">
        <f>VLOOKUP(C1456,技能辅助查询表,技能配置辅助表!$W$1,FALSE)</f>
        <v>65043892</v>
      </c>
      <c r="AD1456">
        <f t="shared" ca="1" si="660"/>
        <v>36.118637686457632</v>
      </c>
      <c r="AE1456">
        <f>VLOOKUP(C1456,技能辅助查询表,技能配置辅助表!$U$1,FALSE)</f>
        <v>4</v>
      </c>
      <c r="AF1456">
        <f t="shared" ca="1" si="681"/>
        <v>9324326</v>
      </c>
      <c r="AG1456">
        <f t="shared" ca="1" si="682"/>
        <v>45.714285714285715</v>
      </c>
      <c r="AH1456">
        <f t="shared" ca="1" si="683"/>
        <v>337.87313083683472</v>
      </c>
      <c r="AI1456">
        <f ca="1">VLOOKUP(E1456,伤害参考系!$C$4:$E$104,3,FALSE)*$AN$12</f>
        <v>4911.1188561872923</v>
      </c>
      <c r="AJ1456">
        <f>VLOOKUP(C1456,技能辅助查询表,技能配置辅助表!$L$1,FALSE)</f>
        <v>1</v>
      </c>
      <c r="AK1456">
        <f>VLOOKUP(C1456,技能辅助查询表,技能配置辅助表!$AE$1,FALSE)</f>
        <v>66000650</v>
      </c>
    </row>
    <row r="1457" spans="1:37" x14ac:dyDescent="0.15">
      <c r="A1457" s="1">
        <f t="shared" ca="1" si="663"/>
        <v>9324327</v>
      </c>
      <c r="B1457" s="1" t="str">
        <f t="shared" ca="1" si="664"/>
        <v>子弹风暴第3段</v>
      </c>
      <c r="C1457" t="s">
        <v>183</v>
      </c>
      <c r="D1457">
        <f t="shared" si="665"/>
        <v>3</v>
      </c>
      <c r="E1457" s="42">
        <f t="shared" ca="1" si="657"/>
        <v>48</v>
      </c>
      <c r="F1457" t="str">
        <f t="shared" ca="1" si="658"/>
        <v>第27级，共造成154.7%点伤害</v>
      </c>
      <c r="G1457">
        <f t="shared" ca="1" si="666"/>
        <v>3</v>
      </c>
      <c r="H1457">
        <f t="shared" si="667"/>
        <v>3</v>
      </c>
      <c r="I1457" s="44">
        <f t="shared" ca="1" si="668"/>
        <v>27</v>
      </c>
      <c r="J1457">
        <f t="shared" si="669"/>
        <v>2</v>
      </c>
      <c r="K1457" s="36">
        <f t="shared" ca="1" si="670"/>
        <v>154.66785714285717</v>
      </c>
      <c r="L1457" s="10">
        <f ca="1">AH1457*VLOOKUP(C1457,技能辅助查询表,技能配置辅助表!$T$1,FALSE)</f>
        <v>0</v>
      </c>
      <c r="M1457">
        <f t="shared" ca="1" si="656"/>
        <v>5840</v>
      </c>
      <c r="N1457" s="33">
        <f ca="1">CHOOSE(1,W1457*U1457,X1457*'[1]0、经济设定'!$C$18)</f>
        <v>29540</v>
      </c>
      <c r="O1457">
        <f t="shared" si="671"/>
        <v>4</v>
      </c>
      <c r="P1457">
        <f t="shared" si="672"/>
        <v>1</v>
      </c>
      <c r="Q1457">
        <f t="shared" si="673"/>
        <v>1</v>
      </c>
      <c r="R1457" s="2">
        <f t="shared" si="674"/>
        <v>10</v>
      </c>
      <c r="S1457" s="2">
        <f t="shared" si="675"/>
        <v>50</v>
      </c>
      <c r="T1457" s="2">
        <f t="shared" si="676"/>
        <v>121.78571428571431</v>
      </c>
      <c r="U1457" s="2">
        <f ca="1">VLOOKUP(E1457,金币生产率!$A$2:$B$120,2,0)</f>
        <v>1477</v>
      </c>
      <c r="V1457" s="2">
        <f t="shared" si="677"/>
        <v>121.78571428571431</v>
      </c>
      <c r="W1457" s="45">
        <f t="shared" ca="1" si="661"/>
        <v>20</v>
      </c>
      <c r="X1457" s="48">
        <f t="shared" ca="1" si="662"/>
        <v>258</v>
      </c>
      <c r="Y1457">
        <f t="shared" si="678"/>
        <v>18</v>
      </c>
      <c r="Z1457">
        <f t="shared" ca="1" si="659"/>
        <v>8</v>
      </c>
      <c r="AA1457" t="str">
        <f t="shared" ca="1" si="679"/>
        <v>9324300.png</v>
      </c>
      <c r="AB1457">
        <f t="shared" si="680"/>
        <v>20</v>
      </c>
      <c r="AC1457">
        <f>VLOOKUP(C1457,技能辅助查询表,技能配置辅助表!$W$1,FALSE)</f>
        <v>65043892</v>
      </c>
      <c r="AD1457">
        <f t="shared" ca="1" si="660"/>
        <v>42.057523567177455</v>
      </c>
      <c r="AE1457">
        <f>VLOOKUP(C1457,技能辅助查询表,技能配置辅助表!$U$1,FALSE)</f>
        <v>4</v>
      </c>
      <c r="AF1457">
        <f t="shared" ca="1" si="681"/>
        <v>9324327</v>
      </c>
      <c r="AG1457">
        <f t="shared" ca="1" si="682"/>
        <v>47.142857142857146</v>
      </c>
      <c r="AH1457">
        <f t="shared" ca="1" si="683"/>
        <v>384.66409481967975</v>
      </c>
      <c r="AI1457">
        <f ca="1">VLOOKUP(E1457,伤害参考系!$C$4:$E$104,3,FALSE)*$AN$12</f>
        <v>5499.8953043478286</v>
      </c>
      <c r="AJ1457">
        <f>VLOOKUP(C1457,技能辅助查询表,技能配置辅助表!$L$1,FALSE)</f>
        <v>1</v>
      </c>
      <c r="AK1457">
        <f>VLOOKUP(C1457,技能辅助查询表,技能配置辅助表!$AE$1,FALSE)</f>
        <v>66000650</v>
      </c>
    </row>
    <row r="1458" spans="1:37" x14ac:dyDescent="0.15">
      <c r="A1458" s="1">
        <f t="shared" ca="1" si="663"/>
        <v>9324328</v>
      </c>
      <c r="B1458" s="1" t="str">
        <f t="shared" ca="1" si="664"/>
        <v>子弹风暴第3段</v>
      </c>
      <c r="C1458" t="s">
        <v>183</v>
      </c>
      <c r="D1458">
        <f t="shared" si="665"/>
        <v>3</v>
      </c>
      <c r="E1458" s="42">
        <f t="shared" ca="1" si="657"/>
        <v>49</v>
      </c>
      <c r="F1458" t="str">
        <f t="shared" ca="1" si="658"/>
        <v>第28级，共造成155.9%点伤害</v>
      </c>
      <c r="G1458">
        <f t="shared" ca="1" si="666"/>
        <v>3</v>
      </c>
      <c r="H1458">
        <f t="shared" si="667"/>
        <v>3</v>
      </c>
      <c r="I1458" s="44">
        <f t="shared" ca="1" si="668"/>
        <v>28</v>
      </c>
      <c r="J1458">
        <f t="shared" si="669"/>
        <v>2</v>
      </c>
      <c r="K1458" s="36">
        <f t="shared" ca="1" si="670"/>
        <v>155.8857142857143</v>
      </c>
      <c r="L1458" s="10">
        <f ca="1">AH1458*VLOOKUP(C1458,技能辅助查询表,技能配置辅助表!$T$1,FALSE)</f>
        <v>0</v>
      </c>
      <c r="M1458">
        <f t="shared" ca="1" si="656"/>
        <v>5760</v>
      </c>
      <c r="N1458" s="33">
        <f ca="1">CHOOSE(1,W1458*U1458,X1458*'[1]0、经济设定'!$C$18)</f>
        <v>32403</v>
      </c>
      <c r="O1458">
        <f t="shared" si="671"/>
        <v>4</v>
      </c>
      <c r="P1458">
        <f t="shared" si="672"/>
        <v>1</v>
      </c>
      <c r="Q1458">
        <f t="shared" si="673"/>
        <v>1</v>
      </c>
      <c r="R1458" s="2">
        <f t="shared" si="674"/>
        <v>10</v>
      </c>
      <c r="S1458" s="2">
        <f t="shared" si="675"/>
        <v>50</v>
      </c>
      <c r="T1458" s="2">
        <f t="shared" si="676"/>
        <v>121.78571428571431</v>
      </c>
      <c r="U1458" s="2">
        <f ca="1">VLOOKUP(E1458,金币生产率!$A$2:$B$120,2,0)</f>
        <v>1543</v>
      </c>
      <c r="V1458" s="2">
        <f t="shared" si="677"/>
        <v>121.78571428571431</v>
      </c>
      <c r="W1458" s="45">
        <f t="shared" ca="1" si="661"/>
        <v>21</v>
      </c>
      <c r="X1458" s="48">
        <f t="shared" ca="1" si="662"/>
        <v>279</v>
      </c>
      <c r="Y1458">
        <f t="shared" si="678"/>
        <v>18</v>
      </c>
      <c r="Z1458">
        <f t="shared" ca="1" si="659"/>
        <v>9</v>
      </c>
      <c r="AA1458" t="str">
        <f t="shared" ca="1" si="679"/>
        <v>9324300.png</v>
      </c>
      <c r="AB1458">
        <f t="shared" si="680"/>
        <v>20</v>
      </c>
      <c r="AC1458">
        <f>VLOOKUP(C1458,技能辅助查询表,技能配置辅助表!$W$1,FALSE)</f>
        <v>65043892</v>
      </c>
      <c r="AD1458">
        <f t="shared" ca="1" si="660"/>
        <v>48.948619344264714</v>
      </c>
      <c r="AE1458">
        <f>VLOOKUP(C1458,技能辅助查询表,技能配置辅助表!$U$1,FALSE)</f>
        <v>4</v>
      </c>
      <c r="AF1458">
        <f t="shared" ca="1" si="681"/>
        <v>9324328</v>
      </c>
      <c r="AG1458">
        <f t="shared" ca="1" si="682"/>
        <v>48.571428571428569</v>
      </c>
      <c r="AH1458">
        <f t="shared" ca="1" si="683"/>
        <v>437.93498902077317</v>
      </c>
      <c r="AI1458">
        <f ca="1">VLOOKUP(E1458,伤害参考系!$C$4:$E$104,3,FALSE)*$AN$12</f>
        <v>5806.7788244147177</v>
      </c>
      <c r="AJ1458">
        <f>VLOOKUP(C1458,技能辅助查询表,技能配置辅助表!$L$1,FALSE)</f>
        <v>1</v>
      </c>
      <c r="AK1458">
        <f>VLOOKUP(C1458,技能辅助查询表,技能配置辅助表!$AE$1,FALSE)</f>
        <v>66000650</v>
      </c>
    </row>
    <row r="1459" spans="1:37" x14ac:dyDescent="0.15">
      <c r="A1459" s="1">
        <f t="shared" ca="1" si="663"/>
        <v>9324329</v>
      </c>
      <c r="B1459" s="1" t="str">
        <f t="shared" ca="1" si="664"/>
        <v>子弹风暴第3段</v>
      </c>
      <c r="C1459" t="s">
        <v>183</v>
      </c>
      <c r="D1459">
        <f t="shared" si="665"/>
        <v>3</v>
      </c>
      <c r="E1459" s="42">
        <f t="shared" ca="1" si="657"/>
        <v>51</v>
      </c>
      <c r="F1459" t="str">
        <f t="shared" ca="1" si="658"/>
        <v>第29级，共造成157.1%点伤害</v>
      </c>
      <c r="G1459">
        <f t="shared" ca="1" si="666"/>
        <v>3</v>
      </c>
      <c r="H1459">
        <f t="shared" si="667"/>
        <v>3</v>
      </c>
      <c r="I1459" s="44">
        <f t="shared" ca="1" si="668"/>
        <v>29</v>
      </c>
      <c r="J1459">
        <f t="shared" si="669"/>
        <v>2</v>
      </c>
      <c r="K1459" s="36">
        <f t="shared" ca="1" si="670"/>
        <v>157.10357142857146</v>
      </c>
      <c r="L1459" s="10">
        <f ca="1">AH1459*VLOOKUP(C1459,技能辅助查询表,技能配置辅助表!$T$1,FALSE)</f>
        <v>0</v>
      </c>
      <c r="M1459">
        <f t="shared" ca="1" si="656"/>
        <v>5680</v>
      </c>
      <c r="N1459" s="33">
        <f ca="1">CHOOSE(1,W1459*U1459,X1459*'[1]0、经济设定'!$C$18)</f>
        <v>38617</v>
      </c>
      <c r="O1459">
        <f t="shared" si="671"/>
        <v>4</v>
      </c>
      <c r="P1459">
        <f t="shared" si="672"/>
        <v>1</v>
      </c>
      <c r="Q1459">
        <f t="shared" si="673"/>
        <v>1</v>
      </c>
      <c r="R1459" s="2">
        <f t="shared" si="674"/>
        <v>10</v>
      </c>
      <c r="S1459" s="2">
        <f t="shared" si="675"/>
        <v>50</v>
      </c>
      <c r="T1459" s="2">
        <f t="shared" si="676"/>
        <v>121.78571428571431</v>
      </c>
      <c r="U1459" s="2">
        <f ca="1">VLOOKUP(E1459,金币生产率!$A$2:$B$120,2,0)</f>
        <v>1679</v>
      </c>
      <c r="V1459" s="2">
        <f t="shared" si="677"/>
        <v>121.78571428571431</v>
      </c>
      <c r="W1459" s="45">
        <f t="shared" ca="1" si="661"/>
        <v>23</v>
      </c>
      <c r="X1459" s="48">
        <f t="shared" ca="1" si="662"/>
        <v>302</v>
      </c>
      <c r="Y1459">
        <f t="shared" si="678"/>
        <v>18</v>
      </c>
      <c r="Z1459">
        <f t="shared" ca="1" si="659"/>
        <v>10</v>
      </c>
      <c r="AA1459" t="str">
        <f t="shared" ca="1" si="679"/>
        <v>9324300.png</v>
      </c>
      <c r="AB1459">
        <f t="shared" si="680"/>
        <v>20</v>
      </c>
      <c r="AC1459">
        <f>VLOOKUP(C1459,技能辅助查询表,技能配置辅助表!$W$1,FALSE)</f>
        <v>65043892</v>
      </c>
      <c r="AD1459">
        <f t="shared" ca="1" si="660"/>
        <v>56.941762537274585</v>
      </c>
      <c r="AE1459">
        <f>VLOOKUP(C1459,技能辅助查询表,技能配置辅助表!$U$1,FALSE)</f>
        <v>4</v>
      </c>
      <c r="AF1459">
        <f t="shared" ca="1" si="681"/>
        <v>9324329</v>
      </c>
      <c r="AG1459">
        <f t="shared" ca="1" si="682"/>
        <v>50</v>
      </c>
      <c r="AH1459">
        <f t="shared" ca="1" si="683"/>
        <v>498.5831981498805</v>
      </c>
      <c r="AI1459">
        <f ca="1">VLOOKUP(E1459,伤害参考系!$C$4:$E$104,3,FALSE)*$AN$12</f>
        <v>6528.1715392976603</v>
      </c>
      <c r="AJ1459">
        <f>VLOOKUP(C1459,技能辅助查询表,技能配置辅助表!$L$1,FALSE)</f>
        <v>1</v>
      </c>
      <c r="AK1459">
        <f>VLOOKUP(C1459,技能辅助查询表,技能配置辅助表!$AE$1,FALSE)</f>
        <v>66000650</v>
      </c>
    </row>
    <row r="1460" spans="1:37" x14ac:dyDescent="0.15">
      <c r="A1460" s="1">
        <f t="shared" ca="1" si="663"/>
        <v>9324330</v>
      </c>
      <c r="B1460" s="1" t="str">
        <f t="shared" ca="1" si="664"/>
        <v>子弹风暴第3段</v>
      </c>
      <c r="C1460" t="s">
        <v>183</v>
      </c>
      <c r="D1460">
        <f t="shared" si="665"/>
        <v>3</v>
      </c>
      <c r="E1460" s="42">
        <f t="shared" ca="1" si="657"/>
        <v>52</v>
      </c>
      <c r="F1460" t="str">
        <f t="shared" ca="1" si="658"/>
        <v>第30级，共造成158.3%点伤害</v>
      </c>
      <c r="G1460">
        <f t="shared" ca="1" si="666"/>
        <v>3</v>
      </c>
      <c r="H1460">
        <f t="shared" si="667"/>
        <v>3</v>
      </c>
      <c r="I1460" s="44">
        <f t="shared" ca="1" si="668"/>
        <v>30</v>
      </c>
      <c r="J1460">
        <f t="shared" si="669"/>
        <v>2</v>
      </c>
      <c r="K1460" s="36">
        <f t="shared" ca="1" si="670"/>
        <v>158.32142857142861</v>
      </c>
      <c r="L1460" s="10">
        <f ca="1">AH1460*VLOOKUP(C1460,技能辅助查询表,技能配置辅助表!$T$1,FALSE)</f>
        <v>0</v>
      </c>
      <c r="M1460">
        <f t="shared" ca="1" si="656"/>
        <v>5600</v>
      </c>
      <c r="N1460" s="33">
        <f ca="1">CHOOSE(1,W1460*U1460,X1460*'[1]0、经济设定'!$C$18)</f>
        <v>43725</v>
      </c>
      <c r="O1460">
        <f t="shared" si="671"/>
        <v>4</v>
      </c>
      <c r="P1460">
        <f t="shared" si="672"/>
        <v>1</v>
      </c>
      <c r="Q1460">
        <f t="shared" si="673"/>
        <v>1</v>
      </c>
      <c r="R1460" s="2">
        <f t="shared" si="674"/>
        <v>10</v>
      </c>
      <c r="S1460" s="2">
        <f t="shared" si="675"/>
        <v>50</v>
      </c>
      <c r="T1460" s="2">
        <f t="shared" si="676"/>
        <v>121.78571428571431</v>
      </c>
      <c r="U1460" s="2">
        <f ca="1">VLOOKUP(E1460,金币生产率!$A$2:$B$120,2,0)</f>
        <v>1749</v>
      </c>
      <c r="V1460" s="2">
        <f t="shared" si="677"/>
        <v>121.78571428571431</v>
      </c>
      <c r="W1460" s="45">
        <f t="shared" ca="1" si="661"/>
        <v>25</v>
      </c>
      <c r="X1460" s="48">
        <f t="shared" ca="1" si="662"/>
        <v>327</v>
      </c>
      <c r="Y1460">
        <f t="shared" si="678"/>
        <v>18</v>
      </c>
      <c r="Z1460">
        <f t="shared" ca="1" si="659"/>
        <v>10</v>
      </c>
      <c r="AA1460" t="str">
        <f t="shared" ca="1" si="679"/>
        <v>9324300.png</v>
      </c>
      <c r="AB1460">
        <f t="shared" si="680"/>
        <v>20</v>
      </c>
      <c r="AC1460">
        <f>VLOOKUP(C1460,技能辅助查询表,技能配置辅助表!$W$1,FALSE)</f>
        <v>65043892</v>
      </c>
      <c r="AD1460">
        <f t="shared" ca="1" si="660"/>
        <v>66.210029655676749</v>
      </c>
      <c r="AE1460">
        <f>VLOOKUP(C1460,技能辅助查询表,技能配置辅助表!$U$1,FALSE)</f>
        <v>4</v>
      </c>
      <c r="AF1460">
        <f t="shared" ca="1" si="681"/>
        <v>9324330</v>
      </c>
      <c r="AG1460">
        <f t="shared" ca="1" si="682"/>
        <v>51.428571428571431</v>
      </c>
      <c r="AH1460">
        <f t="shared" ca="1" si="683"/>
        <v>567.63038284107404</v>
      </c>
      <c r="AI1460">
        <f ca="1">VLOOKUP(E1460,伤害参考系!$C$4:$E$104,3,FALSE)*$AN$12</f>
        <v>6904.487016722409</v>
      </c>
      <c r="AJ1460">
        <f>VLOOKUP(C1460,技能辅助查询表,技能配置辅助表!$L$1,FALSE)</f>
        <v>1</v>
      </c>
      <c r="AK1460">
        <f>VLOOKUP(C1460,技能辅助查询表,技能配置辅助表!$AE$1,FALSE)</f>
        <v>66000650</v>
      </c>
    </row>
    <row r="1461" spans="1:37" x14ac:dyDescent="0.15">
      <c r="A1461" s="1">
        <f t="shared" ca="1" si="663"/>
        <v>9324331</v>
      </c>
      <c r="B1461" s="1" t="str">
        <f t="shared" ca="1" si="664"/>
        <v>子弹风暴第3段</v>
      </c>
      <c r="C1461" t="s">
        <v>183</v>
      </c>
      <c r="D1461">
        <f t="shared" si="665"/>
        <v>3</v>
      </c>
      <c r="E1461" s="42">
        <f t="shared" ca="1" si="657"/>
        <v>53</v>
      </c>
      <c r="F1461" t="str">
        <f t="shared" ca="1" si="658"/>
        <v>第31级，共造成159.5%点伤害</v>
      </c>
      <c r="G1461">
        <f t="shared" ca="1" si="666"/>
        <v>3</v>
      </c>
      <c r="H1461">
        <f t="shared" si="667"/>
        <v>3</v>
      </c>
      <c r="I1461" s="44">
        <f t="shared" ca="1" si="668"/>
        <v>31</v>
      </c>
      <c r="J1461">
        <f t="shared" si="669"/>
        <v>2</v>
      </c>
      <c r="K1461" s="36">
        <f t="shared" ca="1" si="670"/>
        <v>159.53928571428574</v>
      </c>
      <c r="L1461" s="10">
        <f ca="1">AH1461*VLOOKUP(C1461,技能辅助查询表,技能配置辅助表!$T$1,FALSE)</f>
        <v>0</v>
      </c>
      <c r="M1461">
        <f t="shared" ca="1" si="656"/>
        <v>5520</v>
      </c>
      <c r="N1461" s="33">
        <f ca="1">CHOOSE(1,W1461*U1461,X1461*'[1]0、经济设定'!$C$18)</f>
        <v>47320</v>
      </c>
      <c r="O1461">
        <f t="shared" si="671"/>
        <v>4</v>
      </c>
      <c r="P1461">
        <f t="shared" si="672"/>
        <v>1</v>
      </c>
      <c r="Q1461">
        <f t="shared" si="673"/>
        <v>1</v>
      </c>
      <c r="R1461" s="2">
        <f t="shared" si="674"/>
        <v>10</v>
      </c>
      <c r="S1461" s="2">
        <f t="shared" si="675"/>
        <v>50</v>
      </c>
      <c r="T1461" s="2">
        <f t="shared" si="676"/>
        <v>121.78571428571431</v>
      </c>
      <c r="U1461" s="2">
        <f ca="1">VLOOKUP(E1461,金币生产率!$A$2:$B$120,2,0)</f>
        <v>1820</v>
      </c>
      <c r="V1461" s="2">
        <f t="shared" si="677"/>
        <v>121.78571428571431</v>
      </c>
      <c r="W1461" s="45">
        <f t="shared" ca="1" si="661"/>
        <v>26</v>
      </c>
      <c r="X1461" s="48">
        <f t="shared" ca="1" si="662"/>
        <v>353</v>
      </c>
      <c r="Y1461">
        <f t="shared" si="678"/>
        <v>18</v>
      </c>
      <c r="Z1461">
        <f t="shared" ca="1" si="659"/>
        <v>11</v>
      </c>
      <c r="AA1461" t="str">
        <f t="shared" ca="1" si="679"/>
        <v>9324300.png</v>
      </c>
      <c r="AB1461">
        <f t="shared" si="680"/>
        <v>20</v>
      </c>
      <c r="AC1461">
        <f>VLOOKUP(C1461,技能辅助查询表,技能配置辅助表!$W$1,FALSE)</f>
        <v>65043892</v>
      </c>
      <c r="AD1461">
        <f t="shared" ca="1" si="660"/>
        <v>76.953299112563514</v>
      </c>
      <c r="AE1461">
        <f>VLOOKUP(C1461,技能辅助查询表,技能配置辅助表!$U$1,FALSE)</f>
        <v>4</v>
      </c>
      <c r="AF1461">
        <f t="shared" ca="1" si="681"/>
        <v>9324331</v>
      </c>
      <c r="AG1461">
        <f t="shared" ca="1" si="682"/>
        <v>52.857142857142854</v>
      </c>
      <c r="AH1461">
        <f t="shared" ca="1" si="683"/>
        <v>646.23969022607446</v>
      </c>
      <c r="AI1461">
        <f ca="1">VLOOKUP(E1461,伤害参考系!$C$4:$E$104,3,FALSE)*$AN$12</f>
        <v>7291.2152408026777</v>
      </c>
      <c r="AJ1461">
        <f>VLOOKUP(C1461,技能辅助查询表,技能配置辅助表!$L$1,FALSE)</f>
        <v>1</v>
      </c>
      <c r="AK1461">
        <f>VLOOKUP(C1461,技能辅助查询表,技能配置辅助表!$AE$1,FALSE)</f>
        <v>66000650</v>
      </c>
    </row>
    <row r="1462" spans="1:37" x14ac:dyDescent="0.15">
      <c r="A1462" s="1">
        <f t="shared" ca="1" si="663"/>
        <v>9324332</v>
      </c>
      <c r="B1462" s="1" t="str">
        <f t="shared" ca="1" si="664"/>
        <v>子弹风暴第3段</v>
      </c>
      <c r="C1462" t="s">
        <v>183</v>
      </c>
      <c r="D1462">
        <f t="shared" si="665"/>
        <v>3</v>
      </c>
      <c r="E1462" s="42">
        <f t="shared" ca="1" si="657"/>
        <v>55</v>
      </c>
      <c r="F1462" t="str">
        <f t="shared" ca="1" si="658"/>
        <v>第32级，共造成160.8%点伤害</v>
      </c>
      <c r="G1462">
        <f t="shared" ca="1" si="666"/>
        <v>3</v>
      </c>
      <c r="H1462">
        <f t="shared" si="667"/>
        <v>3</v>
      </c>
      <c r="I1462" s="44">
        <f t="shared" ca="1" si="668"/>
        <v>32</v>
      </c>
      <c r="J1462">
        <f t="shared" si="669"/>
        <v>2</v>
      </c>
      <c r="K1462" s="36">
        <f t="shared" ca="1" si="670"/>
        <v>160.75714285714287</v>
      </c>
      <c r="L1462" s="10">
        <f ca="1">AH1462*VLOOKUP(C1462,技能辅助查询表,技能配置辅助表!$T$1,FALSE)</f>
        <v>0</v>
      </c>
      <c r="M1462">
        <f t="shared" ca="1" si="656"/>
        <v>5440</v>
      </c>
      <c r="N1462" s="33">
        <f ca="1">CHOOSE(1,W1462*U1462,X1462*'[1]0、经济设定'!$C$18)</f>
        <v>55076</v>
      </c>
      <c r="O1462">
        <f t="shared" si="671"/>
        <v>4</v>
      </c>
      <c r="P1462">
        <f t="shared" si="672"/>
        <v>1</v>
      </c>
      <c r="Q1462">
        <f t="shared" si="673"/>
        <v>1</v>
      </c>
      <c r="R1462" s="2">
        <f t="shared" si="674"/>
        <v>10</v>
      </c>
      <c r="S1462" s="2">
        <f t="shared" si="675"/>
        <v>50</v>
      </c>
      <c r="T1462" s="2">
        <f t="shared" si="676"/>
        <v>121.78571428571431</v>
      </c>
      <c r="U1462" s="2">
        <f ca="1">VLOOKUP(E1462,金币生产率!$A$2:$B$120,2,0)</f>
        <v>1967</v>
      </c>
      <c r="V1462" s="2">
        <f t="shared" si="677"/>
        <v>121.78571428571431</v>
      </c>
      <c r="W1462" s="45">
        <f t="shared" ca="1" si="661"/>
        <v>28</v>
      </c>
      <c r="X1462" s="48">
        <f t="shared" ca="1" si="662"/>
        <v>381</v>
      </c>
      <c r="Y1462">
        <f t="shared" si="678"/>
        <v>18</v>
      </c>
      <c r="Z1462">
        <f t="shared" ca="1" si="659"/>
        <v>12</v>
      </c>
      <c r="AA1462" t="str">
        <f t="shared" ca="1" si="679"/>
        <v>9324300.png</v>
      </c>
      <c r="AB1462">
        <f t="shared" si="680"/>
        <v>20</v>
      </c>
      <c r="AC1462">
        <f>VLOOKUP(C1462,技能辅助查询表,技能配置辅助表!$W$1,FALSE)</f>
        <v>65043892</v>
      </c>
      <c r="AD1462">
        <f t="shared" ca="1" si="660"/>
        <v>89.402355280237046</v>
      </c>
      <c r="AE1462">
        <f>VLOOKUP(C1462,技能辅助查询表,技能配置辅助表!$U$1,FALSE)</f>
        <v>4</v>
      </c>
      <c r="AF1462">
        <f t="shared" ca="1" si="681"/>
        <v>9324332</v>
      </c>
      <c r="AG1462">
        <f t="shared" ca="1" si="682"/>
        <v>54.285714285714285</v>
      </c>
      <c r="AH1462">
        <f t="shared" ca="1" si="683"/>
        <v>735.73534794457942</v>
      </c>
      <c r="AI1462">
        <f ca="1">VLOOKUP(E1462,伤害参考系!$C$4:$E$104,3,FALSE)*$AN$12</f>
        <v>8095.9099289297656</v>
      </c>
      <c r="AJ1462">
        <f>VLOOKUP(C1462,技能辅助查询表,技能配置辅助表!$L$1,FALSE)</f>
        <v>1</v>
      </c>
      <c r="AK1462">
        <f>VLOOKUP(C1462,技能辅助查询表,技能配置辅助表!$AE$1,FALSE)</f>
        <v>66000650</v>
      </c>
    </row>
    <row r="1463" spans="1:37" x14ac:dyDescent="0.15">
      <c r="A1463" s="1">
        <f t="shared" ca="1" si="663"/>
        <v>9324333</v>
      </c>
      <c r="B1463" s="1" t="str">
        <f t="shared" ca="1" si="664"/>
        <v>子弹风暴第3段</v>
      </c>
      <c r="C1463" t="s">
        <v>183</v>
      </c>
      <c r="D1463">
        <f t="shared" si="665"/>
        <v>3</v>
      </c>
      <c r="E1463" s="42">
        <f t="shared" ca="1" si="657"/>
        <v>56</v>
      </c>
      <c r="F1463" t="str">
        <f t="shared" ca="1" si="658"/>
        <v>第33级，共造成162%点伤害</v>
      </c>
      <c r="G1463">
        <f t="shared" ca="1" si="666"/>
        <v>3</v>
      </c>
      <c r="H1463">
        <f t="shared" si="667"/>
        <v>3</v>
      </c>
      <c r="I1463" s="44">
        <f t="shared" ca="1" si="668"/>
        <v>33</v>
      </c>
      <c r="J1463">
        <f t="shared" si="669"/>
        <v>2</v>
      </c>
      <c r="K1463" s="36">
        <f t="shared" ca="1" si="670"/>
        <v>161.97500000000002</v>
      </c>
      <c r="L1463" s="10">
        <f ca="1">AH1463*VLOOKUP(C1463,技能辅助查询表,技能配置辅助表!$T$1,FALSE)</f>
        <v>0</v>
      </c>
      <c r="M1463">
        <f t="shared" ca="1" si="656"/>
        <v>5360</v>
      </c>
      <c r="N1463" s="33">
        <f ca="1">CHOOSE(1,W1463*U1463,X1463*'[1]0、经济设定'!$C$18)</f>
        <v>61260</v>
      </c>
      <c r="O1463">
        <f t="shared" si="671"/>
        <v>4</v>
      </c>
      <c r="P1463">
        <f t="shared" si="672"/>
        <v>1</v>
      </c>
      <c r="Q1463">
        <f t="shared" si="673"/>
        <v>1</v>
      </c>
      <c r="R1463" s="2">
        <f t="shared" si="674"/>
        <v>10</v>
      </c>
      <c r="S1463" s="2">
        <f t="shared" si="675"/>
        <v>50</v>
      </c>
      <c r="T1463" s="2">
        <f t="shared" si="676"/>
        <v>121.78571428571431</v>
      </c>
      <c r="U1463" s="2">
        <f ca="1">VLOOKUP(E1463,金币生产率!$A$2:$B$120,2,0)</f>
        <v>2042</v>
      </c>
      <c r="V1463" s="2">
        <f t="shared" si="677"/>
        <v>121.78571428571431</v>
      </c>
      <c r="W1463" s="45">
        <f t="shared" ca="1" si="661"/>
        <v>30</v>
      </c>
      <c r="X1463" s="48">
        <f t="shared" ca="1" si="662"/>
        <v>411</v>
      </c>
      <c r="Y1463">
        <f t="shared" si="678"/>
        <v>18</v>
      </c>
      <c r="Z1463">
        <f t="shared" ca="1" si="659"/>
        <v>12</v>
      </c>
      <c r="AA1463" t="str">
        <f t="shared" ca="1" si="679"/>
        <v>9324300.png</v>
      </c>
      <c r="AB1463">
        <f t="shared" si="680"/>
        <v>20</v>
      </c>
      <c r="AC1463">
        <f>VLOOKUP(C1463,技能辅助查询表,技能配置辅助表!$W$1,FALSE)</f>
        <v>65043892</v>
      </c>
      <c r="AD1463">
        <f t="shared" ca="1" si="660"/>
        <v>103.82361523801437</v>
      </c>
      <c r="AE1463">
        <f>VLOOKUP(C1463,技能辅助查询表,技能配置辅助表!$U$1,FALSE)</f>
        <v>4</v>
      </c>
      <c r="AF1463">
        <f t="shared" ca="1" si="681"/>
        <v>9324333</v>
      </c>
      <c r="AG1463">
        <f t="shared" ca="1" si="682"/>
        <v>55.714285714285715</v>
      </c>
      <c r="AH1463">
        <f t="shared" ca="1" si="683"/>
        <v>837.62497166611001</v>
      </c>
      <c r="AI1463">
        <f ca="1">VLOOKUP(E1463,伤害参考系!$C$4:$E$104,3,FALSE)*$AN$12</f>
        <v>8513.8763929765901</v>
      </c>
      <c r="AJ1463">
        <f>VLOOKUP(C1463,技能辅助查询表,技能配置辅助表!$L$1,FALSE)</f>
        <v>1</v>
      </c>
      <c r="AK1463">
        <f>VLOOKUP(C1463,技能辅助查询表,技能配置辅助表!$AE$1,FALSE)</f>
        <v>66000650</v>
      </c>
    </row>
    <row r="1464" spans="1:37" x14ac:dyDescent="0.15">
      <c r="A1464" s="1">
        <f t="shared" ca="1" si="663"/>
        <v>9324334</v>
      </c>
      <c r="B1464" s="1" t="str">
        <f t="shared" ca="1" si="664"/>
        <v>子弹风暴第3段</v>
      </c>
      <c r="C1464" t="s">
        <v>183</v>
      </c>
      <c r="D1464">
        <f t="shared" si="665"/>
        <v>3</v>
      </c>
      <c r="E1464" s="42">
        <f t="shared" ca="1" si="657"/>
        <v>58</v>
      </c>
      <c r="F1464" t="str">
        <f t="shared" ca="1" si="658"/>
        <v>第34级，共造成163.2%点伤害</v>
      </c>
      <c r="G1464">
        <f t="shared" ca="1" si="666"/>
        <v>3</v>
      </c>
      <c r="H1464">
        <f t="shared" si="667"/>
        <v>3</v>
      </c>
      <c r="I1464" s="44">
        <f t="shared" ca="1" si="668"/>
        <v>34</v>
      </c>
      <c r="J1464">
        <f t="shared" si="669"/>
        <v>2</v>
      </c>
      <c r="K1464" s="36">
        <f t="shared" ca="1" si="670"/>
        <v>163.19285714285718</v>
      </c>
      <c r="L1464" s="10">
        <f ca="1">AH1464*VLOOKUP(C1464,技能辅助查询表,技能配置辅助表!$T$1,FALSE)</f>
        <v>0</v>
      </c>
      <c r="M1464">
        <f t="shared" ca="1" si="656"/>
        <v>5280</v>
      </c>
      <c r="N1464" s="33">
        <f ca="1">CHOOSE(1,W1464*U1464,X1464*'[1]0、经济设定'!$C$18)</f>
        <v>70336</v>
      </c>
      <c r="O1464">
        <f t="shared" si="671"/>
        <v>4</v>
      </c>
      <c r="P1464">
        <f t="shared" si="672"/>
        <v>1</v>
      </c>
      <c r="Q1464">
        <f t="shared" si="673"/>
        <v>1</v>
      </c>
      <c r="R1464" s="2">
        <f t="shared" si="674"/>
        <v>10</v>
      </c>
      <c r="S1464" s="2">
        <f t="shared" si="675"/>
        <v>50</v>
      </c>
      <c r="T1464" s="2">
        <f t="shared" si="676"/>
        <v>121.78571428571431</v>
      </c>
      <c r="U1464" s="2">
        <f ca="1">VLOOKUP(E1464,金币生产率!$A$2:$B$120,2,0)</f>
        <v>2198</v>
      </c>
      <c r="V1464" s="2">
        <f t="shared" si="677"/>
        <v>121.78571428571431</v>
      </c>
      <c r="W1464" s="45">
        <f t="shared" ca="1" si="661"/>
        <v>32</v>
      </c>
      <c r="X1464" s="48">
        <f t="shared" ca="1" si="662"/>
        <v>443</v>
      </c>
      <c r="Y1464">
        <f t="shared" si="678"/>
        <v>18</v>
      </c>
      <c r="Z1464">
        <f t="shared" ca="1" si="659"/>
        <v>13</v>
      </c>
      <c r="AA1464" t="str">
        <f t="shared" ca="1" si="679"/>
        <v>9324300.png</v>
      </c>
      <c r="AB1464">
        <f t="shared" si="680"/>
        <v>20</v>
      </c>
      <c r="AC1464">
        <f>VLOOKUP(C1464,技能辅助查询表,技能配置辅助表!$W$1,FALSE)</f>
        <v>65043892</v>
      </c>
      <c r="AD1464">
        <f t="shared" ca="1" si="660"/>
        <v>120.52457197153861</v>
      </c>
      <c r="AE1464">
        <f>VLOOKUP(C1464,技能辅助查询表,技能配置辅助表!$U$1,FALSE)</f>
        <v>4</v>
      </c>
      <c r="AF1464">
        <f t="shared" ca="1" si="681"/>
        <v>9324334</v>
      </c>
      <c r="AG1464">
        <f t="shared" ca="1" si="682"/>
        <v>57.142857142857146</v>
      </c>
      <c r="AH1464">
        <f t="shared" ca="1" si="683"/>
        <v>953.62496190886134</v>
      </c>
      <c r="AI1464">
        <f ca="1">VLOOKUP(E1464,伤害参考系!$C$4:$E$104,3,FALSE)*$AN$12</f>
        <v>9381.0475610367921</v>
      </c>
      <c r="AJ1464">
        <f>VLOOKUP(C1464,技能辅助查询表,技能配置辅助表!$L$1,FALSE)</f>
        <v>1</v>
      </c>
      <c r="AK1464">
        <f>VLOOKUP(C1464,技能辅助查询表,技能配置辅助表!$AE$1,FALSE)</f>
        <v>66000650</v>
      </c>
    </row>
    <row r="1465" spans="1:37" x14ac:dyDescent="0.15">
      <c r="A1465" s="1">
        <f t="shared" ca="1" si="663"/>
        <v>9324335</v>
      </c>
      <c r="B1465" s="1" t="str">
        <f t="shared" ca="1" si="664"/>
        <v>子弹风暴第3段</v>
      </c>
      <c r="C1465" t="s">
        <v>183</v>
      </c>
      <c r="D1465">
        <f t="shared" si="665"/>
        <v>3</v>
      </c>
      <c r="E1465" s="42">
        <f t="shared" ca="1" si="657"/>
        <v>59</v>
      </c>
      <c r="F1465" t="str">
        <f t="shared" ca="1" si="658"/>
        <v>第35级，共造成164.4%点伤害</v>
      </c>
      <c r="G1465">
        <f t="shared" ca="1" si="666"/>
        <v>3</v>
      </c>
      <c r="H1465">
        <f t="shared" si="667"/>
        <v>3</v>
      </c>
      <c r="I1465" s="44">
        <f t="shared" ca="1" si="668"/>
        <v>35</v>
      </c>
      <c r="J1465">
        <f t="shared" si="669"/>
        <v>2</v>
      </c>
      <c r="K1465" s="36">
        <f t="shared" ca="1" si="670"/>
        <v>164.41071428571431</v>
      </c>
      <c r="L1465" s="10">
        <f ca="1">AH1465*VLOOKUP(C1465,技能辅助查询表,技能配置辅助表!$T$1,FALSE)</f>
        <v>0</v>
      </c>
      <c r="M1465">
        <f t="shared" ca="1" si="656"/>
        <v>5200</v>
      </c>
      <c r="N1465" s="33">
        <f ca="1">CHOOSE(1,W1465*U1465,X1465*'[1]0、经济设定'!$C$18)</f>
        <v>77418</v>
      </c>
      <c r="O1465">
        <f t="shared" si="671"/>
        <v>4</v>
      </c>
      <c r="P1465">
        <f t="shared" si="672"/>
        <v>1</v>
      </c>
      <c r="Q1465">
        <f t="shared" si="673"/>
        <v>1</v>
      </c>
      <c r="R1465" s="2">
        <f t="shared" si="674"/>
        <v>10</v>
      </c>
      <c r="S1465" s="2">
        <f t="shared" si="675"/>
        <v>50</v>
      </c>
      <c r="T1465" s="2">
        <f t="shared" si="676"/>
        <v>121.78571428571431</v>
      </c>
      <c r="U1465" s="2">
        <f ca="1">VLOOKUP(E1465,金币生产率!$A$2:$B$120,2,0)</f>
        <v>2277</v>
      </c>
      <c r="V1465" s="2">
        <f t="shared" si="677"/>
        <v>121.78571428571431</v>
      </c>
      <c r="W1465" s="45">
        <f t="shared" ca="1" si="661"/>
        <v>34</v>
      </c>
      <c r="X1465" s="48">
        <f t="shared" ca="1" si="662"/>
        <v>477</v>
      </c>
      <c r="Y1465">
        <f t="shared" si="678"/>
        <v>18</v>
      </c>
      <c r="Z1465">
        <f t="shared" ca="1" si="659"/>
        <v>14</v>
      </c>
      <c r="AA1465" t="str">
        <f t="shared" ca="1" si="679"/>
        <v>9324300.png</v>
      </c>
      <c r="AB1465">
        <f t="shared" si="680"/>
        <v>20</v>
      </c>
      <c r="AC1465">
        <f>VLOOKUP(C1465,技能辅助查询表,技能配置辅助表!$W$1,FALSE)</f>
        <v>65043892</v>
      </c>
      <c r="AD1465">
        <f t="shared" ca="1" si="660"/>
        <v>139.86006180937153</v>
      </c>
      <c r="AE1465">
        <f>VLOOKUP(C1465,技能辅助查询表,技能配置辅助表!$U$1,FALSE)</f>
        <v>4</v>
      </c>
      <c r="AF1465">
        <f t="shared" ca="1" si="681"/>
        <v>9324335</v>
      </c>
      <c r="AG1465">
        <f t="shared" ca="1" si="682"/>
        <v>58.571428571428569</v>
      </c>
      <c r="AH1465">
        <f t="shared" ca="1" si="683"/>
        <v>1085.689417982368</v>
      </c>
      <c r="AI1465">
        <f ca="1">VLOOKUP(E1465,伤害参考系!$C$4:$E$104,3,FALSE)*$AN$12</f>
        <v>9830.2522650501687</v>
      </c>
      <c r="AJ1465">
        <f>VLOOKUP(C1465,技能辅助查询表,技能配置辅助表!$L$1,FALSE)</f>
        <v>1</v>
      </c>
      <c r="AK1465">
        <f>VLOOKUP(C1465,技能辅助查询表,技能配置辅助表!$AE$1,FALSE)</f>
        <v>66000650</v>
      </c>
    </row>
    <row r="1466" spans="1:37" x14ac:dyDescent="0.15">
      <c r="A1466" s="1">
        <f t="shared" ca="1" si="663"/>
        <v>9324336</v>
      </c>
      <c r="B1466" s="1" t="str">
        <f t="shared" ca="1" si="664"/>
        <v>子弹风暴第3段</v>
      </c>
      <c r="C1466" t="s">
        <v>183</v>
      </c>
      <c r="D1466">
        <f t="shared" si="665"/>
        <v>3</v>
      </c>
      <c r="E1466" s="42">
        <f t="shared" ca="1" si="657"/>
        <v>60</v>
      </c>
      <c r="F1466" t="str">
        <f t="shared" ca="1" si="658"/>
        <v>第36级，共造成165.6%点伤害</v>
      </c>
      <c r="G1466">
        <f t="shared" ca="1" si="666"/>
        <v>3</v>
      </c>
      <c r="H1466">
        <f t="shared" si="667"/>
        <v>3</v>
      </c>
      <c r="I1466" s="44">
        <f t="shared" ca="1" si="668"/>
        <v>36</v>
      </c>
      <c r="J1466">
        <f t="shared" si="669"/>
        <v>2</v>
      </c>
      <c r="K1466" s="36">
        <f t="shared" ca="1" si="670"/>
        <v>165.62857142857146</v>
      </c>
      <c r="L1466" s="10">
        <f ca="1">AH1466*VLOOKUP(C1466,技能辅助查询表,技能配置辅助表!$T$1,FALSE)</f>
        <v>0</v>
      </c>
      <c r="M1466">
        <f t="shared" ca="1" si="656"/>
        <v>5120</v>
      </c>
      <c r="N1466" s="33">
        <f ca="1">CHOOSE(1,W1466*U1466,X1466*'[1]0、经济设定'!$C$18)</f>
        <v>87246</v>
      </c>
      <c r="O1466">
        <f t="shared" si="671"/>
        <v>4</v>
      </c>
      <c r="P1466">
        <f t="shared" si="672"/>
        <v>1</v>
      </c>
      <c r="Q1466">
        <f t="shared" si="673"/>
        <v>1</v>
      </c>
      <c r="R1466" s="2">
        <f t="shared" si="674"/>
        <v>10</v>
      </c>
      <c r="S1466" s="2">
        <f t="shared" si="675"/>
        <v>50</v>
      </c>
      <c r="T1466" s="2">
        <f t="shared" si="676"/>
        <v>121.78571428571431</v>
      </c>
      <c r="U1466" s="2">
        <f ca="1">VLOOKUP(E1466,金币生产率!$A$2:$B$120,2,0)</f>
        <v>2358</v>
      </c>
      <c r="V1466" s="2">
        <f t="shared" si="677"/>
        <v>121.78571428571431</v>
      </c>
      <c r="W1466" s="45">
        <f t="shared" ca="1" si="661"/>
        <v>37</v>
      </c>
      <c r="X1466" s="48">
        <f t="shared" ca="1" si="662"/>
        <v>514</v>
      </c>
      <c r="Y1466">
        <f t="shared" si="678"/>
        <v>18</v>
      </c>
      <c r="Z1466">
        <f t="shared" ca="1" si="659"/>
        <v>15</v>
      </c>
      <c r="AA1466" t="str">
        <f t="shared" ca="1" si="679"/>
        <v>9324300.png</v>
      </c>
      <c r="AB1466">
        <f t="shared" si="680"/>
        <v>20</v>
      </c>
      <c r="AC1466">
        <f>VLOOKUP(C1466,技能辅助查询表,技能配置辅助表!$W$1,FALSE)</f>
        <v>65043892</v>
      </c>
      <c r="AD1466">
        <f t="shared" ca="1" si="660"/>
        <v>162.23947999592602</v>
      </c>
      <c r="AE1466">
        <f>VLOOKUP(C1466,技能辅助查询表,技能配置辅助表!$U$1,FALSE)</f>
        <v>4</v>
      </c>
      <c r="AF1466">
        <f t="shared" ca="1" si="681"/>
        <v>9324336</v>
      </c>
      <c r="AG1466">
        <f t="shared" ca="1" si="682"/>
        <v>60</v>
      </c>
      <c r="AH1466">
        <f t="shared" ca="1" si="683"/>
        <v>1236.0430561291703</v>
      </c>
      <c r="AI1466">
        <f ca="1">VLOOKUP(E1466,伤害参考系!$C$4:$E$104,3,FALSE)*$AN$12</f>
        <v>10340.558729096994</v>
      </c>
      <c r="AJ1466">
        <f>VLOOKUP(C1466,技能辅助查询表,技能配置辅助表!$L$1,FALSE)</f>
        <v>1</v>
      </c>
      <c r="AK1466">
        <f>VLOOKUP(C1466,技能辅助查询表,技能配置辅助表!$AE$1,FALSE)</f>
        <v>66000650</v>
      </c>
    </row>
    <row r="1467" spans="1:37" x14ac:dyDescent="0.15">
      <c r="A1467" s="1">
        <f t="shared" ca="1" si="663"/>
        <v>9324337</v>
      </c>
      <c r="B1467" s="1" t="str">
        <f t="shared" ca="1" si="664"/>
        <v>子弹风暴第3段</v>
      </c>
      <c r="C1467" t="s">
        <v>183</v>
      </c>
      <c r="D1467">
        <f t="shared" si="665"/>
        <v>3</v>
      </c>
      <c r="E1467" s="42">
        <f t="shared" ca="1" si="657"/>
        <v>62</v>
      </c>
      <c r="F1467" t="str">
        <f t="shared" ca="1" si="658"/>
        <v>第37级，共造成166.8%点伤害</v>
      </c>
      <c r="G1467">
        <f t="shared" ca="1" si="666"/>
        <v>3</v>
      </c>
      <c r="H1467">
        <f t="shared" si="667"/>
        <v>3</v>
      </c>
      <c r="I1467" s="44">
        <f t="shared" ca="1" si="668"/>
        <v>37</v>
      </c>
      <c r="J1467">
        <f t="shared" si="669"/>
        <v>2</v>
      </c>
      <c r="K1467" s="36">
        <f t="shared" ca="1" si="670"/>
        <v>166.84642857142859</v>
      </c>
      <c r="L1467" s="10">
        <f ca="1">AH1467*VLOOKUP(C1467,技能辅助查询表,技能配置辅助表!$T$1,FALSE)</f>
        <v>0</v>
      </c>
      <c r="M1467">
        <f t="shared" ca="1" si="656"/>
        <v>5040</v>
      </c>
      <c r="N1467" s="33">
        <f ca="1">CHOOSE(1,W1467*U1467,X1467*'[1]0、经济设定'!$C$18)</f>
        <v>98436</v>
      </c>
      <c r="O1467">
        <f t="shared" si="671"/>
        <v>4</v>
      </c>
      <c r="P1467">
        <f t="shared" si="672"/>
        <v>1</v>
      </c>
      <c r="Q1467">
        <f t="shared" si="673"/>
        <v>1</v>
      </c>
      <c r="R1467" s="2">
        <f t="shared" si="674"/>
        <v>10</v>
      </c>
      <c r="S1467" s="2">
        <f t="shared" si="675"/>
        <v>50</v>
      </c>
      <c r="T1467" s="2">
        <f t="shared" si="676"/>
        <v>121.78571428571431</v>
      </c>
      <c r="U1467" s="2">
        <f ca="1">VLOOKUP(E1467,金币生产率!$A$2:$B$120,2,0)</f>
        <v>2524</v>
      </c>
      <c r="V1467" s="2">
        <f t="shared" si="677"/>
        <v>121.78571428571431</v>
      </c>
      <c r="W1467" s="45">
        <f t="shared" ca="1" si="661"/>
        <v>39</v>
      </c>
      <c r="X1467" s="48">
        <f t="shared" ca="1" si="662"/>
        <v>553</v>
      </c>
      <c r="Y1467">
        <f t="shared" si="678"/>
        <v>18</v>
      </c>
      <c r="Z1467">
        <f t="shared" ca="1" si="659"/>
        <v>16</v>
      </c>
      <c r="AA1467" t="str">
        <f t="shared" ca="1" si="679"/>
        <v>9324300.png</v>
      </c>
      <c r="AB1467">
        <f t="shared" si="680"/>
        <v>20</v>
      </c>
      <c r="AC1467">
        <f>VLOOKUP(C1467,技能辅助查询表,技能配置辅助表!$W$1,FALSE)</f>
        <v>65043892</v>
      </c>
      <c r="AD1467">
        <f t="shared" ca="1" si="660"/>
        <v>188.13508680884775</v>
      </c>
      <c r="AE1467">
        <f>VLOOKUP(C1467,技能辅助查询表,技能配置辅助表!$U$1,FALSE)</f>
        <v>4</v>
      </c>
      <c r="AF1467">
        <f t="shared" ca="1" si="681"/>
        <v>9324337</v>
      </c>
      <c r="AG1467">
        <f t="shared" ca="1" si="682"/>
        <v>61.428571428571431</v>
      </c>
      <c r="AH1467">
        <f t="shared" ca="1" si="683"/>
        <v>1407.2186863941167</v>
      </c>
      <c r="AI1467">
        <f ca="1">VLOOKUP(E1467,伤害参考系!$C$4:$E$104,3,FALSE)*$AN$12</f>
        <v>11398.657545150505</v>
      </c>
      <c r="AJ1467">
        <f>VLOOKUP(C1467,技能辅助查询表,技能配置辅助表!$L$1,FALSE)</f>
        <v>1</v>
      </c>
      <c r="AK1467">
        <f>VLOOKUP(C1467,技能辅助查询表,技能配置辅助表!$AE$1,FALSE)</f>
        <v>66000650</v>
      </c>
    </row>
    <row r="1468" spans="1:37" x14ac:dyDescent="0.15">
      <c r="A1468" s="1">
        <f t="shared" ca="1" si="663"/>
        <v>9324338</v>
      </c>
      <c r="B1468" s="1" t="str">
        <f t="shared" ca="1" si="664"/>
        <v>子弹风暴第3段</v>
      </c>
      <c r="C1468" t="s">
        <v>183</v>
      </c>
      <c r="D1468">
        <f t="shared" si="665"/>
        <v>3</v>
      </c>
      <c r="E1468" s="42">
        <f t="shared" ca="1" si="657"/>
        <v>63</v>
      </c>
      <c r="F1468" t="str">
        <f t="shared" ca="1" si="658"/>
        <v>第38级，共造成168.1%点伤害</v>
      </c>
      <c r="G1468">
        <f t="shared" ca="1" si="666"/>
        <v>3</v>
      </c>
      <c r="H1468">
        <f t="shared" si="667"/>
        <v>3</v>
      </c>
      <c r="I1468" s="44">
        <f t="shared" ca="1" si="668"/>
        <v>38</v>
      </c>
      <c r="J1468">
        <f t="shared" si="669"/>
        <v>2</v>
      </c>
      <c r="K1468" s="36">
        <f t="shared" ca="1" si="670"/>
        <v>168.06428571428575</v>
      </c>
      <c r="L1468" s="10">
        <f ca="1">AH1468*VLOOKUP(C1468,技能辅助查询表,技能配置辅助表!$T$1,FALSE)</f>
        <v>0</v>
      </c>
      <c r="M1468">
        <f t="shared" ca="1" si="656"/>
        <v>4960</v>
      </c>
      <c r="N1468" s="33">
        <f ca="1">CHOOSE(1,W1468*U1468,X1468*'[1]0、经济设定'!$C$18)</f>
        <v>109578</v>
      </c>
      <c r="O1468">
        <f t="shared" si="671"/>
        <v>4</v>
      </c>
      <c r="P1468">
        <f t="shared" si="672"/>
        <v>1</v>
      </c>
      <c r="Q1468">
        <f t="shared" si="673"/>
        <v>1</v>
      </c>
      <c r="R1468" s="2">
        <f t="shared" si="674"/>
        <v>10</v>
      </c>
      <c r="S1468" s="2">
        <f t="shared" si="675"/>
        <v>50</v>
      </c>
      <c r="T1468" s="2">
        <f t="shared" si="676"/>
        <v>121.78571428571431</v>
      </c>
      <c r="U1468" s="2">
        <f ca="1">VLOOKUP(E1468,金币生产率!$A$2:$B$120,2,0)</f>
        <v>2609</v>
      </c>
      <c r="V1468" s="2">
        <f t="shared" si="677"/>
        <v>121.78571428571431</v>
      </c>
      <c r="W1468" s="45">
        <f t="shared" ca="1" si="661"/>
        <v>42</v>
      </c>
      <c r="X1468" s="48">
        <f t="shared" ca="1" si="662"/>
        <v>595</v>
      </c>
      <c r="Y1468">
        <f t="shared" si="678"/>
        <v>18</v>
      </c>
      <c r="Z1468">
        <f t="shared" ca="1" si="659"/>
        <v>17</v>
      </c>
      <c r="AA1468" t="str">
        <f t="shared" ca="1" si="679"/>
        <v>9324300.png</v>
      </c>
      <c r="AB1468">
        <f t="shared" si="680"/>
        <v>20</v>
      </c>
      <c r="AC1468">
        <f>VLOOKUP(C1468,技能辅助查询表,技能配置辅助表!$W$1,FALSE)</f>
        <v>65043892</v>
      </c>
      <c r="AD1468">
        <f t="shared" ca="1" si="660"/>
        <v>218.09156788832576</v>
      </c>
      <c r="AE1468">
        <f>VLOOKUP(C1468,技能辅助查询表,技能配置辅助表!$U$1,FALSE)</f>
        <v>4</v>
      </c>
      <c r="AF1468">
        <f t="shared" ca="1" si="681"/>
        <v>9324338</v>
      </c>
      <c r="AG1468">
        <f t="shared" ca="1" si="682"/>
        <v>62.857142857142854</v>
      </c>
      <c r="AH1468">
        <f t="shared" ca="1" si="683"/>
        <v>1602.0998795448415</v>
      </c>
      <c r="AI1468">
        <f ca="1">VLOOKUP(E1468,伤害参考系!$C$4:$E$104,3,FALSE)*$AN$12</f>
        <v>11946.449897157196</v>
      </c>
      <c r="AJ1468">
        <f>VLOOKUP(C1468,技能辅助查询表,技能配置辅助表!$L$1,FALSE)</f>
        <v>1</v>
      </c>
      <c r="AK1468">
        <f>VLOOKUP(C1468,技能辅助查询表,技能配置辅助表!$AE$1,FALSE)</f>
        <v>66000650</v>
      </c>
    </row>
    <row r="1469" spans="1:37" x14ac:dyDescent="0.15">
      <c r="A1469" s="1">
        <f t="shared" ca="1" si="663"/>
        <v>9324339</v>
      </c>
      <c r="B1469" s="1" t="str">
        <f t="shared" ca="1" si="664"/>
        <v>子弹风暴第3段</v>
      </c>
      <c r="C1469" t="s">
        <v>183</v>
      </c>
      <c r="D1469">
        <f t="shared" si="665"/>
        <v>3</v>
      </c>
      <c r="E1469" s="42">
        <f t="shared" ca="1" si="657"/>
        <v>65</v>
      </c>
      <c r="F1469" t="str">
        <f t="shared" ca="1" si="658"/>
        <v>第39级，共造成169.3%点伤害</v>
      </c>
      <c r="G1469">
        <f t="shared" ca="1" si="666"/>
        <v>3</v>
      </c>
      <c r="H1469">
        <f t="shared" si="667"/>
        <v>3</v>
      </c>
      <c r="I1469" s="44">
        <f t="shared" ca="1" si="668"/>
        <v>39</v>
      </c>
      <c r="J1469">
        <f t="shared" si="669"/>
        <v>2</v>
      </c>
      <c r="K1469" s="36">
        <f t="shared" ca="1" si="670"/>
        <v>169.28214285714287</v>
      </c>
      <c r="L1469" s="10">
        <f ca="1">AH1469*VLOOKUP(C1469,技能辅助查询表,技能配置辅助表!$T$1,FALSE)</f>
        <v>0</v>
      </c>
      <c r="M1469">
        <f t="shared" ca="1" si="656"/>
        <v>4880</v>
      </c>
      <c r="N1469" s="33">
        <f ca="1">CHOOSE(1,W1469*U1469,X1469*'[1]0、经济设定'!$C$18)</f>
        <v>125235</v>
      </c>
      <c r="O1469">
        <f t="shared" si="671"/>
        <v>4</v>
      </c>
      <c r="P1469">
        <f t="shared" si="672"/>
        <v>1</v>
      </c>
      <c r="Q1469">
        <f t="shared" si="673"/>
        <v>1</v>
      </c>
      <c r="R1469" s="2">
        <f t="shared" si="674"/>
        <v>10</v>
      </c>
      <c r="S1469" s="2">
        <f t="shared" si="675"/>
        <v>50</v>
      </c>
      <c r="T1469" s="2">
        <f t="shared" si="676"/>
        <v>121.78571428571431</v>
      </c>
      <c r="U1469" s="2">
        <f ca="1">VLOOKUP(E1469,金币生产率!$A$2:$B$120,2,0)</f>
        <v>2783</v>
      </c>
      <c r="V1469" s="2">
        <f t="shared" si="677"/>
        <v>121.78571428571431</v>
      </c>
      <c r="W1469" s="45">
        <f t="shared" ca="1" si="661"/>
        <v>45</v>
      </c>
      <c r="X1469" s="48">
        <f t="shared" ca="1" si="662"/>
        <v>640</v>
      </c>
      <c r="Y1469">
        <f t="shared" si="678"/>
        <v>18</v>
      </c>
      <c r="Z1469">
        <f t="shared" ca="1" si="659"/>
        <v>18</v>
      </c>
      <c r="AA1469" t="str">
        <f t="shared" ca="1" si="679"/>
        <v>9324300.png</v>
      </c>
      <c r="AB1469">
        <f t="shared" si="680"/>
        <v>20</v>
      </c>
      <c r="AC1469">
        <f>VLOOKUP(C1469,技能辅助查询表,技能配置辅助表!$W$1,FALSE)</f>
        <v>65043892</v>
      </c>
      <c r="AD1469">
        <f t="shared" ca="1" si="660"/>
        <v>252.73703686227108</v>
      </c>
      <c r="AE1469">
        <f>VLOOKUP(C1469,技能辅助查询表,技能配置辅助表!$U$1,FALSE)</f>
        <v>4</v>
      </c>
      <c r="AF1469">
        <f t="shared" ca="1" si="681"/>
        <v>9324339</v>
      </c>
      <c r="AG1469">
        <f t="shared" ca="1" si="682"/>
        <v>64.285714285714278</v>
      </c>
      <c r="AH1469">
        <f t="shared" ca="1" si="683"/>
        <v>1823.9695427969455</v>
      </c>
      <c r="AI1469">
        <f ca="1">VLOOKUP(E1469,伤害参考系!$C$4:$E$104,3,FALSE)*$AN$12</f>
        <v>13079.520489130437</v>
      </c>
      <c r="AJ1469">
        <f>VLOOKUP(C1469,技能辅助查询表,技能配置辅助表!$L$1,FALSE)</f>
        <v>1</v>
      </c>
      <c r="AK1469">
        <f>VLOOKUP(C1469,技能辅助查询表,技能配置辅助表!$AE$1,FALSE)</f>
        <v>66000650</v>
      </c>
    </row>
    <row r="1470" spans="1:37" x14ac:dyDescent="0.15">
      <c r="A1470" s="1">
        <f t="shared" ca="1" si="663"/>
        <v>9324340</v>
      </c>
      <c r="B1470" s="1" t="str">
        <f t="shared" ca="1" si="664"/>
        <v>子弹风暴第3段</v>
      </c>
      <c r="C1470" t="s">
        <v>183</v>
      </c>
      <c r="D1470">
        <f t="shared" si="665"/>
        <v>3</v>
      </c>
      <c r="E1470" s="42">
        <f t="shared" ca="1" si="657"/>
        <v>66</v>
      </c>
      <c r="F1470" t="str">
        <f t="shared" ca="1" si="658"/>
        <v>第40级，共造成170.5%点伤害</v>
      </c>
      <c r="G1470">
        <f t="shared" ca="1" si="666"/>
        <v>3</v>
      </c>
      <c r="H1470">
        <f t="shared" si="667"/>
        <v>3</v>
      </c>
      <c r="I1470" s="44">
        <f t="shared" ca="1" si="668"/>
        <v>40</v>
      </c>
      <c r="J1470">
        <f t="shared" si="669"/>
        <v>2</v>
      </c>
      <c r="K1470" s="36">
        <f t="shared" ca="1" si="670"/>
        <v>170.50000000000003</v>
      </c>
      <c r="L1470" s="10">
        <f ca="1">AH1470*VLOOKUP(C1470,技能辅助查询表,技能配置辅助表!$T$1,FALSE)</f>
        <v>0</v>
      </c>
      <c r="M1470">
        <f t="shared" ca="1" si="656"/>
        <v>4800</v>
      </c>
      <c r="N1470" s="33">
        <f ca="1">CHOOSE(1,W1470*U1470,X1470*'[1]0、经济设定'!$C$18)</f>
        <v>137856</v>
      </c>
      <c r="O1470">
        <f t="shared" si="671"/>
        <v>4</v>
      </c>
      <c r="P1470">
        <f t="shared" si="672"/>
        <v>1</v>
      </c>
      <c r="Q1470">
        <f t="shared" si="673"/>
        <v>1</v>
      </c>
      <c r="R1470" s="2">
        <f t="shared" si="674"/>
        <v>10</v>
      </c>
      <c r="S1470" s="2">
        <f t="shared" si="675"/>
        <v>50</v>
      </c>
      <c r="T1470" s="2">
        <f t="shared" si="676"/>
        <v>121.78571428571431</v>
      </c>
      <c r="U1470" s="2">
        <f ca="1">VLOOKUP(E1470,金币生产率!$A$2:$B$120,2,0)</f>
        <v>2872</v>
      </c>
      <c r="V1470" s="2">
        <f t="shared" si="677"/>
        <v>121.78571428571431</v>
      </c>
      <c r="W1470" s="45">
        <f t="shared" ca="1" si="661"/>
        <v>48</v>
      </c>
      <c r="X1470" s="48">
        <f t="shared" ca="1" si="662"/>
        <v>688</v>
      </c>
      <c r="Y1470">
        <f t="shared" si="678"/>
        <v>18</v>
      </c>
      <c r="Z1470">
        <f t="shared" ca="1" si="659"/>
        <v>20</v>
      </c>
      <c r="AA1470" t="str">
        <f t="shared" ca="1" si="679"/>
        <v>9324300.png</v>
      </c>
      <c r="AB1470">
        <f t="shared" si="680"/>
        <v>20</v>
      </c>
      <c r="AC1470">
        <f>VLOOKUP(C1470,技能辅助查询表,技能配置辅助表!$W$1,FALSE)</f>
        <v>65043892</v>
      </c>
      <c r="AD1470">
        <f t="shared" ca="1" si="660"/>
        <v>292.79569639156688</v>
      </c>
      <c r="AE1470">
        <f>VLOOKUP(C1470,技能辅助查询表,技能配置辅助表!$U$1,FALSE)</f>
        <v>4</v>
      </c>
      <c r="AF1470">
        <f t="shared" ca="1" si="681"/>
        <v>9324340</v>
      </c>
      <c r="AG1470">
        <f t="shared" ca="1" si="682"/>
        <v>65.714285714285722</v>
      </c>
      <c r="AH1470">
        <f t="shared" ca="1" si="683"/>
        <v>2076.5652226352254</v>
      </c>
      <c r="AI1470">
        <f ca="1">VLOOKUP(E1470,伤害参考系!$C$4:$E$104,3,FALSE)*$AN$12</f>
        <v>13664.798729096996</v>
      </c>
      <c r="AJ1470">
        <f>VLOOKUP(C1470,技能辅助查询表,技能配置辅助表!$L$1,FALSE)</f>
        <v>1</v>
      </c>
      <c r="AK1470">
        <f>VLOOKUP(C1470,技能辅助查询表,技能配置辅助表!$AE$1,FALSE)</f>
        <v>66000650</v>
      </c>
    </row>
    <row r="1471" spans="1:37" x14ac:dyDescent="0.15">
      <c r="A1471" s="1">
        <f t="shared" ca="1" si="663"/>
        <v>9324341</v>
      </c>
      <c r="B1471" s="1" t="str">
        <f t="shared" ca="1" si="664"/>
        <v>子弹风暴第3段</v>
      </c>
      <c r="C1471" t="s">
        <v>183</v>
      </c>
      <c r="D1471">
        <f t="shared" si="665"/>
        <v>3</v>
      </c>
      <c r="E1471" s="42">
        <f t="shared" ca="1" si="657"/>
        <v>67</v>
      </c>
      <c r="F1471" t="str">
        <f t="shared" ca="1" si="658"/>
        <v>第41级，共造成171.7%点伤害</v>
      </c>
      <c r="G1471">
        <f t="shared" ca="1" si="666"/>
        <v>3</v>
      </c>
      <c r="H1471">
        <f t="shared" si="667"/>
        <v>3</v>
      </c>
      <c r="I1471" s="44">
        <f t="shared" ca="1" si="668"/>
        <v>41</v>
      </c>
      <c r="J1471">
        <f t="shared" si="669"/>
        <v>2</v>
      </c>
      <c r="K1471" s="36">
        <f t="shared" ca="1" si="670"/>
        <v>171.71785714285716</v>
      </c>
      <c r="L1471" s="10">
        <f ca="1">AH1471*VLOOKUP(C1471,技能辅助查询表,技能配置辅助表!$T$1,FALSE)</f>
        <v>0</v>
      </c>
      <c r="M1471">
        <f t="shared" ca="1" si="656"/>
        <v>4720</v>
      </c>
      <c r="N1471" s="33">
        <f ca="1">CHOOSE(1,W1471*U1471,X1471*'[1]0、经济设定'!$C$18)</f>
        <v>151113</v>
      </c>
      <c r="O1471">
        <f t="shared" si="671"/>
        <v>4</v>
      </c>
      <c r="P1471">
        <f t="shared" si="672"/>
        <v>1</v>
      </c>
      <c r="Q1471">
        <f t="shared" si="673"/>
        <v>1</v>
      </c>
      <c r="R1471" s="2">
        <f t="shared" si="674"/>
        <v>10</v>
      </c>
      <c r="S1471" s="2">
        <f t="shared" si="675"/>
        <v>50</v>
      </c>
      <c r="T1471" s="2">
        <f t="shared" si="676"/>
        <v>121.78571428571431</v>
      </c>
      <c r="U1471" s="2">
        <f ca="1">VLOOKUP(E1471,金币生产率!$A$2:$B$120,2,0)</f>
        <v>2963</v>
      </c>
      <c r="V1471" s="2">
        <f t="shared" si="677"/>
        <v>121.78571428571431</v>
      </c>
      <c r="W1471" s="45">
        <f t="shared" ca="1" si="661"/>
        <v>51</v>
      </c>
      <c r="X1471" s="48">
        <f t="shared" ca="1" si="662"/>
        <v>739</v>
      </c>
      <c r="Y1471">
        <f t="shared" si="678"/>
        <v>18</v>
      </c>
      <c r="Z1471">
        <f t="shared" ca="1" si="659"/>
        <v>21</v>
      </c>
      <c r="AA1471" t="str">
        <f t="shared" ca="1" si="679"/>
        <v>9324300.png</v>
      </c>
      <c r="AB1471">
        <f t="shared" si="680"/>
        <v>20</v>
      </c>
      <c r="AC1471">
        <f>VLOOKUP(C1471,技能辅助查询表,技能配置辅助表!$W$1,FALSE)</f>
        <v>65043892</v>
      </c>
      <c r="AD1471">
        <f t="shared" ca="1" si="660"/>
        <v>339.10240595908118</v>
      </c>
      <c r="AE1471">
        <f>VLOOKUP(C1471,技能辅助查询表,技能配置辅助表!$U$1,FALSE)</f>
        <v>4</v>
      </c>
      <c r="AF1471">
        <f t="shared" ca="1" si="681"/>
        <v>9324341</v>
      </c>
      <c r="AG1471">
        <f t="shared" ca="1" si="682"/>
        <v>67.142857142857139</v>
      </c>
      <c r="AH1471">
        <f t="shared" ca="1" si="683"/>
        <v>2364.1420663448707</v>
      </c>
      <c r="AI1471">
        <f ca="1">VLOOKUP(E1471,伤害参考系!$C$4:$E$104,3,FALSE)*$AN$12</f>
        <v>14262.572265050176</v>
      </c>
      <c r="AJ1471">
        <f>VLOOKUP(C1471,技能辅助查询表,技能配置辅助表!$L$1,FALSE)</f>
        <v>1</v>
      </c>
      <c r="AK1471">
        <f>VLOOKUP(C1471,技能辅助查询表,技能配置辅助表!$AE$1,FALSE)</f>
        <v>66000650</v>
      </c>
    </row>
    <row r="1472" spans="1:37" x14ac:dyDescent="0.15">
      <c r="A1472" s="1">
        <f t="shared" ca="1" si="663"/>
        <v>9324342</v>
      </c>
      <c r="B1472" s="1" t="str">
        <f t="shared" ca="1" si="664"/>
        <v>子弹风暴第3段</v>
      </c>
      <c r="C1472" t="s">
        <v>183</v>
      </c>
      <c r="D1472">
        <f t="shared" si="665"/>
        <v>3</v>
      </c>
      <c r="E1472" s="42">
        <f t="shared" ca="1" si="657"/>
        <v>69</v>
      </c>
      <c r="F1472" t="str">
        <f t="shared" ca="1" si="658"/>
        <v>第42级，共造成172.9%点伤害</v>
      </c>
      <c r="G1472">
        <f t="shared" ca="1" si="666"/>
        <v>3</v>
      </c>
      <c r="H1472">
        <f t="shared" si="667"/>
        <v>3</v>
      </c>
      <c r="I1472" s="44">
        <f t="shared" ca="1" si="668"/>
        <v>42</v>
      </c>
      <c r="J1472">
        <f t="shared" si="669"/>
        <v>2</v>
      </c>
      <c r="K1472" s="36">
        <f t="shared" ca="1" si="670"/>
        <v>172.93571428571431</v>
      </c>
      <c r="L1472" s="10">
        <f ca="1">AH1472*VLOOKUP(C1472,技能辅助查询表,技能配置辅助表!$T$1,FALSE)</f>
        <v>0</v>
      </c>
      <c r="M1472">
        <f t="shared" ca="1" si="656"/>
        <v>4640</v>
      </c>
      <c r="N1472" s="33">
        <f ca="1">CHOOSE(1,W1472*U1472,X1472*'[1]0、经济设定'!$C$18)</f>
        <v>173085</v>
      </c>
      <c r="O1472">
        <f t="shared" si="671"/>
        <v>4</v>
      </c>
      <c r="P1472">
        <f t="shared" si="672"/>
        <v>1</v>
      </c>
      <c r="Q1472">
        <f t="shared" si="673"/>
        <v>1</v>
      </c>
      <c r="R1472" s="2">
        <f t="shared" si="674"/>
        <v>10</v>
      </c>
      <c r="S1472" s="2">
        <f t="shared" si="675"/>
        <v>50</v>
      </c>
      <c r="T1472" s="2">
        <f t="shared" si="676"/>
        <v>121.78571428571431</v>
      </c>
      <c r="U1472" s="2">
        <f ca="1">VLOOKUP(E1472,金币生产率!$A$2:$B$120,2,0)</f>
        <v>3147</v>
      </c>
      <c r="V1472" s="2">
        <f t="shared" si="677"/>
        <v>121.78571428571431</v>
      </c>
      <c r="W1472" s="45">
        <f t="shared" ca="1" si="661"/>
        <v>55</v>
      </c>
      <c r="X1472" s="48">
        <f t="shared" ca="1" si="662"/>
        <v>794</v>
      </c>
      <c r="Y1472">
        <f t="shared" si="678"/>
        <v>18</v>
      </c>
      <c r="Z1472">
        <f t="shared" ca="1" si="659"/>
        <v>22</v>
      </c>
      <c r="AA1472" t="str">
        <f t="shared" ca="1" si="679"/>
        <v>9324300.png</v>
      </c>
      <c r="AB1472">
        <f t="shared" si="680"/>
        <v>20</v>
      </c>
      <c r="AC1472">
        <f>VLOOKUP(C1472,技能辅助查询表,技能配置辅助表!$W$1,FALSE)</f>
        <v>65043892</v>
      </c>
      <c r="AD1472">
        <f t="shared" ca="1" si="660"/>
        <v>392.61944169908656</v>
      </c>
      <c r="AE1472">
        <f>VLOOKUP(C1472,技能辅助查询表,技能配置辅助表!$U$1,FALSE)</f>
        <v>4</v>
      </c>
      <c r="AF1472">
        <f t="shared" ca="1" si="681"/>
        <v>9324342</v>
      </c>
      <c r="AG1472">
        <f t="shared" ca="1" si="682"/>
        <v>68.571428571428569</v>
      </c>
      <c r="AH1472">
        <f t="shared" ca="1" si="683"/>
        <v>2691.5445028827789</v>
      </c>
      <c r="AI1472">
        <f ca="1">VLOOKUP(E1472,伤害参考系!$C$4:$E$104,3,FALSE)*$AN$12</f>
        <v>15495.605224916402</v>
      </c>
      <c r="AJ1472">
        <f>VLOOKUP(C1472,技能辅助查询表,技能配置辅助表!$L$1,FALSE)</f>
        <v>1</v>
      </c>
      <c r="AK1472">
        <f>VLOOKUP(C1472,技能辅助查询表,技能配置辅助表!$AE$1,FALSE)</f>
        <v>66000650</v>
      </c>
    </row>
    <row r="1473" spans="1:37" x14ac:dyDescent="0.15">
      <c r="A1473" s="1">
        <f t="shared" ca="1" si="663"/>
        <v>9324343</v>
      </c>
      <c r="B1473" s="1" t="str">
        <f t="shared" ca="1" si="664"/>
        <v>子弹风暴第3段</v>
      </c>
      <c r="C1473" t="s">
        <v>183</v>
      </c>
      <c r="D1473">
        <f t="shared" si="665"/>
        <v>3</v>
      </c>
      <c r="E1473" s="42">
        <f t="shared" ca="1" si="657"/>
        <v>70</v>
      </c>
      <c r="F1473" t="str">
        <f t="shared" ca="1" si="658"/>
        <v>第43级，共造成174.2%点伤害</v>
      </c>
      <c r="G1473">
        <f t="shared" ca="1" si="666"/>
        <v>3</v>
      </c>
      <c r="H1473">
        <f t="shared" si="667"/>
        <v>3</v>
      </c>
      <c r="I1473" s="44">
        <f t="shared" ca="1" si="668"/>
        <v>43</v>
      </c>
      <c r="J1473">
        <f t="shared" si="669"/>
        <v>2</v>
      </c>
      <c r="K1473" s="36">
        <f t="shared" ca="1" si="670"/>
        <v>174.15357142857147</v>
      </c>
      <c r="L1473" s="10">
        <f ca="1">AH1473*VLOOKUP(C1473,技能辅助查询表,技能配置辅助表!$T$1,FALSE)</f>
        <v>0</v>
      </c>
      <c r="M1473">
        <f t="shared" ca="1" si="656"/>
        <v>4560</v>
      </c>
      <c r="N1473" s="33">
        <f ca="1">CHOOSE(1,W1473*U1473,X1473*'[1]0、经济设定'!$C$18)</f>
        <v>191278</v>
      </c>
      <c r="O1473">
        <f t="shared" si="671"/>
        <v>4</v>
      </c>
      <c r="P1473">
        <f t="shared" si="672"/>
        <v>1</v>
      </c>
      <c r="Q1473">
        <f t="shared" si="673"/>
        <v>1</v>
      </c>
      <c r="R1473" s="2">
        <f t="shared" si="674"/>
        <v>10</v>
      </c>
      <c r="S1473" s="2">
        <f t="shared" si="675"/>
        <v>50</v>
      </c>
      <c r="T1473" s="2">
        <f t="shared" si="676"/>
        <v>121.78571428571431</v>
      </c>
      <c r="U1473" s="2">
        <f ca="1">VLOOKUP(E1473,金币生产率!$A$2:$B$120,2,0)</f>
        <v>3242</v>
      </c>
      <c r="V1473" s="2">
        <f t="shared" si="677"/>
        <v>121.78571428571431</v>
      </c>
      <c r="W1473" s="45">
        <f t="shared" ca="1" si="661"/>
        <v>59</v>
      </c>
      <c r="X1473" s="48">
        <f t="shared" ca="1" si="662"/>
        <v>853</v>
      </c>
      <c r="Y1473">
        <f t="shared" si="678"/>
        <v>18</v>
      </c>
      <c r="Z1473">
        <f t="shared" ca="1" si="659"/>
        <v>24</v>
      </c>
      <c r="AA1473" t="str">
        <f t="shared" ca="1" si="679"/>
        <v>9324300.png</v>
      </c>
      <c r="AB1473">
        <f t="shared" si="680"/>
        <v>20</v>
      </c>
      <c r="AC1473">
        <f>VLOOKUP(C1473,技能辅助查询表,技能配置辅助表!$W$1,FALSE)</f>
        <v>65043892</v>
      </c>
      <c r="AD1473">
        <f t="shared" ca="1" si="660"/>
        <v>454.45577601468966</v>
      </c>
      <c r="AE1473">
        <f>VLOOKUP(C1473,技能辅助查询表,技能配置辅助表!$U$1,FALSE)</f>
        <v>4</v>
      </c>
      <c r="AF1473">
        <f t="shared" ca="1" si="681"/>
        <v>9324343</v>
      </c>
      <c r="AG1473">
        <f t="shared" ca="1" si="682"/>
        <v>70</v>
      </c>
      <c r="AH1473">
        <f t="shared" ca="1" si="683"/>
        <v>3064.2878506023458</v>
      </c>
      <c r="AI1473">
        <f ca="1">VLOOKUP(E1473,伤害参考系!$C$4:$E$104,3,FALSE)*$AN$12</f>
        <v>16191.966408862889</v>
      </c>
      <c r="AJ1473">
        <f>VLOOKUP(C1473,技能辅助查询表,技能配置辅助表!$L$1,FALSE)</f>
        <v>1</v>
      </c>
      <c r="AK1473">
        <f>VLOOKUP(C1473,技能辅助查询表,技能配置辅助表!$AE$1,FALSE)</f>
        <v>66000650</v>
      </c>
    </row>
    <row r="1474" spans="1:37" x14ac:dyDescent="0.15">
      <c r="A1474" s="1">
        <f t="shared" ca="1" si="663"/>
        <v>9324344</v>
      </c>
      <c r="B1474" s="1" t="str">
        <f t="shared" ca="1" si="664"/>
        <v>子弹风暴第3段</v>
      </c>
      <c r="C1474" t="s">
        <v>183</v>
      </c>
      <c r="D1474">
        <f t="shared" si="665"/>
        <v>3</v>
      </c>
      <c r="E1474" s="42">
        <f t="shared" ca="1" si="657"/>
        <v>72</v>
      </c>
      <c r="F1474" t="str">
        <f t="shared" ca="1" si="658"/>
        <v>第44级，共造成175.4%点伤害</v>
      </c>
      <c r="G1474">
        <f t="shared" ca="1" si="666"/>
        <v>3</v>
      </c>
      <c r="H1474">
        <f t="shared" si="667"/>
        <v>3</v>
      </c>
      <c r="I1474" s="44">
        <f t="shared" ca="1" si="668"/>
        <v>44</v>
      </c>
      <c r="J1474">
        <f t="shared" si="669"/>
        <v>2</v>
      </c>
      <c r="K1474" s="36">
        <f t="shared" ca="1" si="670"/>
        <v>175.37142857142859</v>
      </c>
      <c r="L1474" s="10">
        <f ca="1">AH1474*VLOOKUP(C1474,技能辅助查询表,技能配置辅助表!$T$1,FALSE)</f>
        <v>0</v>
      </c>
      <c r="M1474">
        <f t="shared" ref="M1474:M1531" ca="1" si="684">IF(OR(I1474=0,I1474=1),VLOOKUP(C1474,技能辅助查询表,14,FALSE),VLOOKUP(C1474,技能辅助查询表,14,FALSE)-VLOOKUP(C1474,技能辅助查询表,14,FALSE)*0.5/S1474*I1474)</f>
        <v>4480</v>
      </c>
      <c r="N1474" s="33">
        <f ca="1">CHOOSE(1,W1474*U1474,X1474*'[1]0、经济设定'!$C$18)</f>
        <v>216405</v>
      </c>
      <c r="O1474">
        <f t="shared" si="671"/>
        <v>4</v>
      </c>
      <c r="P1474">
        <f t="shared" si="672"/>
        <v>1</v>
      </c>
      <c r="Q1474">
        <f t="shared" si="673"/>
        <v>1</v>
      </c>
      <c r="R1474" s="2">
        <f t="shared" si="674"/>
        <v>10</v>
      </c>
      <c r="S1474" s="2">
        <f t="shared" si="675"/>
        <v>50</v>
      </c>
      <c r="T1474" s="2">
        <f t="shared" si="676"/>
        <v>121.78571428571431</v>
      </c>
      <c r="U1474" s="2">
        <f ca="1">VLOOKUP(E1474,金币生产率!$A$2:$B$120,2,0)</f>
        <v>3435</v>
      </c>
      <c r="V1474" s="2">
        <f t="shared" si="677"/>
        <v>121.78571428571431</v>
      </c>
      <c r="W1474" s="45">
        <f t="shared" ca="1" si="661"/>
        <v>63</v>
      </c>
      <c r="X1474" s="48">
        <f t="shared" ca="1" si="662"/>
        <v>916</v>
      </c>
      <c r="Y1474">
        <f t="shared" si="678"/>
        <v>18</v>
      </c>
      <c r="Z1474">
        <f t="shared" ca="1" si="659"/>
        <v>26</v>
      </c>
      <c r="AA1474" t="str">
        <f t="shared" ca="1" si="679"/>
        <v>9324300.png</v>
      </c>
      <c r="AB1474">
        <f t="shared" si="680"/>
        <v>20</v>
      </c>
      <c r="AC1474">
        <f>VLOOKUP(C1474,技能辅助查询表,技能配置辅助表!$W$1,FALSE)</f>
        <v>65043892</v>
      </c>
      <c r="AD1474">
        <f t="shared" ca="1" si="660"/>
        <v>525.8892534680607</v>
      </c>
      <c r="AE1474">
        <f>VLOOKUP(C1474,技能辅助查询表,技能配置辅助表!$U$1,FALSE)</f>
        <v>4</v>
      </c>
      <c r="AF1474">
        <f t="shared" ca="1" si="681"/>
        <v>9324344</v>
      </c>
      <c r="AG1474">
        <f t="shared" ca="1" si="682"/>
        <v>71.428571428571431</v>
      </c>
      <c r="AH1474">
        <f t="shared" ca="1" si="683"/>
        <v>3488.6512265697725</v>
      </c>
      <c r="AI1474">
        <f ca="1">VLOOKUP(E1474,伤害参考系!$C$4:$E$104,3,FALSE)*$AN$12</f>
        <v>17628.422312709041</v>
      </c>
      <c r="AJ1474">
        <f>VLOOKUP(C1474,技能辅助查询表,技能配置辅助表!$L$1,FALSE)</f>
        <v>1</v>
      </c>
      <c r="AK1474">
        <f>VLOOKUP(C1474,技能辅助查询表,技能配置辅助表!$AE$1,FALSE)</f>
        <v>66000650</v>
      </c>
    </row>
    <row r="1475" spans="1:37" x14ac:dyDescent="0.15">
      <c r="A1475" s="1">
        <f t="shared" ca="1" si="663"/>
        <v>9324345</v>
      </c>
      <c r="B1475" s="1" t="str">
        <f t="shared" ca="1" si="664"/>
        <v>子弹风暴第3段</v>
      </c>
      <c r="C1475" t="s">
        <v>183</v>
      </c>
      <c r="D1475">
        <f t="shared" si="665"/>
        <v>3</v>
      </c>
      <c r="E1475" s="42">
        <f t="shared" ref="E1475:E1531" ca="1" si="685">IF(I1475=0,E1476,IF(AND(I1475=1,G1475&gt;1),OFFSET(E1475,(1-G1475)*51,0),IF(OR(I1475=1,AND(I1475=2,R1475=2)),R1475,IF(I1475=0,0,ROUND(I1475*(80-R1475)/S1475,0)+R1475))))</f>
        <v>73</v>
      </c>
      <c r="F1475" t="str">
        <f t="shared" ref="F1475:F1531" ca="1" si="686">"第"&amp;I1475&amp;"级，共造成"&amp;ROUND(AJ1475*K1475,1)&amp;"%点伤害"</f>
        <v>第45级，共造成176.6%点伤害</v>
      </c>
      <c r="G1475">
        <f t="shared" ca="1" si="666"/>
        <v>3</v>
      </c>
      <c r="H1475">
        <f t="shared" si="667"/>
        <v>3</v>
      </c>
      <c r="I1475" s="44">
        <f t="shared" ca="1" si="668"/>
        <v>45</v>
      </c>
      <c r="J1475">
        <f t="shared" si="669"/>
        <v>2</v>
      </c>
      <c r="K1475" s="36">
        <f t="shared" ca="1" si="670"/>
        <v>176.58928571428572</v>
      </c>
      <c r="L1475" s="10">
        <f ca="1">AH1475*VLOOKUP(C1475,技能辅助查询表,技能配置辅助表!$T$1,FALSE)</f>
        <v>0</v>
      </c>
      <c r="M1475">
        <f t="shared" ca="1" si="684"/>
        <v>4400</v>
      </c>
      <c r="N1475" s="33">
        <f ca="1">CHOOSE(1,W1475*U1475,X1475*'[1]0、经济设定'!$C$18)</f>
        <v>240312</v>
      </c>
      <c r="O1475">
        <f t="shared" si="671"/>
        <v>4</v>
      </c>
      <c r="P1475">
        <f t="shared" si="672"/>
        <v>1</v>
      </c>
      <c r="Q1475">
        <f t="shared" si="673"/>
        <v>1</v>
      </c>
      <c r="R1475" s="2">
        <f t="shared" si="674"/>
        <v>10</v>
      </c>
      <c r="S1475" s="2">
        <f t="shared" si="675"/>
        <v>50</v>
      </c>
      <c r="T1475" s="2">
        <f t="shared" si="676"/>
        <v>121.78571428571431</v>
      </c>
      <c r="U1475" s="2">
        <f ca="1">VLOOKUP(E1475,金币生产率!$A$2:$B$120,2,0)</f>
        <v>3534</v>
      </c>
      <c r="V1475" s="2">
        <f t="shared" si="677"/>
        <v>121.78571428571431</v>
      </c>
      <c r="W1475" s="45">
        <f t="shared" ca="1" si="661"/>
        <v>68</v>
      </c>
      <c r="X1475" s="48">
        <f t="shared" ca="1" si="662"/>
        <v>984</v>
      </c>
      <c r="Y1475">
        <f t="shared" si="678"/>
        <v>18</v>
      </c>
      <c r="Z1475">
        <f t="shared" ref="Z1475:Z1531" ca="1" si="687">IF(I1475&gt;=Y1475,ROUNDUP(W1475/$AN$15,0),0)</f>
        <v>28</v>
      </c>
      <c r="AA1475" t="str">
        <f t="shared" ca="1" si="679"/>
        <v>9324300.png</v>
      </c>
      <c r="AB1475">
        <f t="shared" si="680"/>
        <v>20</v>
      </c>
      <c r="AC1475">
        <f>VLOOKUP(C1475,技能辅助查询表,技能配置辅助表!$W$1,FALSE)</f>
        <v>65043892</v>
      </c>
      <c r="AD1475">
        <f t="shared" ref="AD1475:AD1531" ca="1" si="688">((AH1475*K1475/100+L1475)*AJ1475-AH1475)/5</f>
        <v>608.392095378622</v>
      </c>
      <c r="AE1475">
        <f>VLOOKUP(C1475,技能辅助查询表,技能配置辅助表!$U$1,FALSE)</f>
        <v>4</v>
      </c>
      <c r="AF1475">
        <f t="shared" ca="1" si="681"/>
        <v>9324345</v>
      </c>
      <c r="AG1475">
        <f t="shared" ca="1" si="682"/>
        <v>72.857142857142861</v>
      </c>
      <c r="AH1475">
        <f t="shared" ca="1" si="683"/>
        <v>3971.7833225930094</v>
      </c>
      <c r="AI1475">
        <f ca="1">VLOOKUP(E1475,伤害参考系!$C$4:$E$104,3,FALSE)*$AN$12</f>
        <v>18368.517032608706</v>
      </c>
      <c r="AJ1475">
        <f>VLOOKUP(C1475,技能辅助查询表,技能配置辅助表!$L$1,FALSE)</f>
        <v>1</v>
      </c>
      <c r="AK1475">
        <f>VLOOKUP(C1475,技能辅助查询表,技能配置辅助表!$AE$1,FALSE)</f>
        <v>66000650</v>
      </c>
    </row>
    <row r="1476" spans="1:37" x14ac:dyDescent="0.15">
      <c r="A1476" s="1">
        <f t="shared" ca="1" si="663"/>
        <v>9324346</v>
      </c>
      <c r="B1476" s="1" t="str">
        <f t="shared" ca="1" si="664"/>
        <v>子弹风暴第3段</v>
      </c>
      <c r="C1476" t="s">
        <v>183</v>
      </c>
      <c r="D1476">
        <f t="shared" si="665"/>
        <v>3</v>
      </c>
      <c r="E1476" s="42">
        <f t="shared" ca="1" si="685"/>
        <v>74</v>
      </c>
      <c r="F1476" t="str">
        <f t="shared" ca="1" si="686"/>
        <v>第46级，共造成177.8%点伤害</v>
      </c>
      <c r="G1476">
        <f t="shared" ca="1" si="666"/>
        <v>3</v>
      </c>
      <c r="H1476">
        <f t="shared" si="667"/>
        <v>3</v>
      </c>
      <c r="I1476" s="44">
        <f t="shared" ca="1" si="668"/>
        <v>46</v>
      </c>
      <c r="J1476">
        <f t="shared" si="669"/>
        <v>2</v>
      </c>
      <c r="K1476" s="36">
        <f t="shared" ca="1" si="670"/>
        <v>177.80714285714288</v>
      </c>
      <c r="L1476" s="10">
        <f ca="1">AH1476*VLOOKUP(C1476,技能辅助查询表,技能配置辅助表!$T$1,FALSE)</f>
        <v>0</v>
      </c>
      <c r="M1476">
        <f t="shared" ca="1" si="684"/>
        <v>4320</v>
      </c>
      <c r="N1476" s="33">
        <f ca="1">CHOOSE(1,W1476*U1476,X1476*'[1]0、经济设定'!$C$18)</f>
        <v>261648</v>
      </c>
      <c r="O1476">
        <f t="shared" si="671"/>
        <v>4</v>
      </c>
      <c r="P1476">
        <f t="shared" si="672"/>
        <v>1</v>
      </c>
      <c r="Q1476">
        <f t="shared" si="673"/>
        <v>1</v>
      </c>
      <c r="R1476" s="2">
        <f t="shared" si="674"/>
        <v>10</v>
      </c>
      <c r="S1476" s="2">
        <f t="shared" si="675"/>
        <v>50</v>
      </c>
      <c r="T1476" s="2">
        <f t="shared" si="676"/>
        <v>121.78571428571431</v>
      </c>
      <c r="U1476" s="2">
        <f ca="1">VLOOKUP(E1476,金币生产率!$A$2:$B$120,2,0)</f>
        <v>3634</v>
      </c>
      <c r="V1476" s="2">
        <f t="shared" si="677"/>
        <v>121.78571428571431</v>
      </c>
      <c r="W1476" s="45">
        <f t="shared" ref="W1476:W1531" ca="1" si="689">ROUND((IF(I1476=0,0,ROUND(OFFSET(AD1476,S1476-I1476+510*(1-D1476),0)*(1-$AN$13)/(1-$AN$13^S1476)*$AN$13^(I1476-1),0))+IF(I1476=0,0,ROUND(OFFSET(AD1476,S1476-I1476+510*(2-D1476),0)*(1-$AN$13)/(1-$AN$13^S1476)*$AN$13^(I1476-1),0))+IF(I1476=0,0,ROUND(OFFSET(AD1476,S1476-I1476+510*(3-D1476),0)*(1-$AN$13)/(1-$AN$13^S1476)*$AN$13^(I1476-1),0)))/3,0)</f>
        <v>72</v>
      </c>
      <c r="X1476" s="48">
        <f t="shared" ref="X1476:X1531" ca="1" si="690">IF(I1476=0,0,X1475+W1476)</f>
        <v>1056</v>
      </c>
      <c r="Y1476">
        <f t="shared" si="678"/>
        <v>18</v>
      </c>
      <c r="Z1476">
        <f t="shared" ca="1" si="687"/>
        <v>29</v>
      </c>
      <c r="AA1476" t="str">
        <f t="shared" ca="1" si="679"/>
        <v>9324300.png</v>
      </c>
      <c r="AB1476">
        <f t="shared" si="680"/>
        <v>20</v>
      </c>
      <c r="AC1476">
        <f>VLOOKUP(C1476,技能辅助查询表,技能配置辅助表!$W$1,FALSE)</f>
        <v>65043892</v>
      </c>
      <c r="AD1476">
        <f t="shared" ca="1" si="688"/>
        <v>703.6602297910074</v>
      </c>
      <c r="AE1476">
        <f>VLOOKUP(C1476,技能辅助查询表,技能配置辅助表!$U$1,FALSE)</f>
        <v>4</v>
      </c>
      <c r="AF1476">
        <f t="shared" ca="1" si="681"/>
        <v>9324346</v>
      </c>
      <c r="AG1476">
        <f t="shared" ca="1" si="682"/>
        <v>74.285714285714292</v>
      </c>
      <c r="AH1476">
        <f t="shared" ca="1" si="683"/>
        <v>4521.8228298329677</v>
      </c>
      <c r="AI1476">
        <f ca="1">VLOOKUP(E1476,伤害参考系!$C$4:$E$104,3,FALSE)*$AN$12</f>
        <v>19123.189597826095</v>
      </c>
      <c r="AJ1476">
        <f>VLOOKUP(C1476,技能辅助查询表,技能配置辅助表!$L$1,FALSE)</f>
        <v>1</v>
      </c>
      <c r="AK1476">
        <f>VLOOKUP(C1476,技能辅助查询表,技能配置辅助表!$AE$1,FALSE)</f>
        <v>66000650</v>
      </c>
    </row>
    <row r="1477" spans="1:37" x14ac:dyDescent="0.15">
      <c r="A1477" s="1">
        <f t="shared" ca="1" si="663"/>
        <v>9324347</v>
      </c>
      <c r="B1477" s="1" t="str">
        <f t="shared" ca="1" si="664"/>
        <v>子弹风暴第3段</v>
      </c>
      <c r="C1477" t="s">
        <v>183</v>
      </c>
      <c r="D1477">
        <f t="shared" si="665"/>
        <v>3</v>
      </c>
      <c r="E1477" s="42">
        <f t="shared" ca="1" si="685"/>
        <v>76</v>
      </c>
      <c r="F1477" t="str">
        <f t="shared" ca="1" si="686"/>
        <v>第47级，共造成179%点伤害</v>
      </c>
      <c r="G1477">
        <f t="shared" ca="1" si="666"/>
        <v>3</v>
      </c>
      <c r="H1477">
        <f t="shared" si="667"/>
        <v>3</v>
      </c>
      <c r="I1477" s="44">
        <f t="shared" ca="1" si="668"/>
        <v>47</v>
      </c>
      <c r="J1477">
        <f t="shared" si="669"/>
        <v>2</v>
      </c>
      <c r="K1477" s="36">
        <f t="shared" ca="1" si="670"/>
        <v>179.02500000000003</v>
      </c>
      <c r="L1477" s="10">
        <f ca="1">AH1477*VLOOKUP(C1477,技能辅助查询表,技能配置辅助表!$T$1,FALSE)</f>
        <v>0</v>
      </c>
      <c r="M1477">
        <f t="shared" ca="1" si="684"/>
        <v>4240</v>
      </c>
      <c r="N1477" s="33">
        <f ca="1">CHOOSE(1,W1477*U1477,X1477*'[1]0、经济设定'!$C$18)</f>
        <v>295526</v>
      </c>
      <c r="O1477">
        <f t="shared" si="671"/>
        <v>4</v>
      </c>
      <c r="P1477">
        <f t="shared" si="672"/>
        <v>1</v>
      </c>
      <c r="Q1477">
        <f t="shared" si="673"/>
        <v>1</v>
      </c>
      <c r="R1477" s="2">
        <f t="shared" si="674"/>
        <v>10</v>
      </c>
      <c r="S1477" s="2">
        <f t="shared" si="675"/>
        <v>50</v>
      </c>
      <c r="T1477" s="2">
        <f t="shared" si="676"/>
        <v>121.78571428571431</v>
      </c>
      <c r="U1477" s="2">
        <f ca="1">VLOOKUP(E1477,金币生产率!$A$2:$B$120,2,0)</f>
        <v>3838</v>
      </c>
      <c r="V1477" s="2">
        <f t="shared" si="677"/>
        <v>121.78571428571431</v>
      </c>
      <c r="W1477" s="45">
        <f t="shared" ca="1" si="689"/>
        <v>77</v>
      </c>
      <c r="X1477" s="48">
        <f t="shared" ca="1" si="690"/>
        <v>1133</v>
      </c>
      <c r="Y1477">
        <f t="shared" si="678"/>
        <v>18</v>
      </c>
      <c r="Z1477">
        <f t="shared" ca="1" si="687"/>
        <v>31</v>
      </c>
      <c r="AA1477" t="str">
        <f t="shared" ca="1" si="679"/>
        <v>9324300.png</v>
      </c>
      <c r="AB1477">
        <f t="shared" si="680"/>
        <v>20</v>
      </c>
      <c r="AC1477">
        <f>VLOOKUP(C1477,技能辅助查询表,技能配置辅助表!$W$1,FALSE)</f>
        <v>65043892</v>
      </c>
      <c r="AD1477">
        <f t="shared" ca="1" si="688"/>
        <v>813.64701719690163</v>
      </c>
      <c r="AE1477">
        <f>VLOOKUP(C1477,技能辅助查询表,技能配置辅助表!$U$1,FALSE)</f>
        <v>4</v>
      </c>
      <c r="AF1477">
        <f t="shared" ca="1" si="681"/>
        <v>9324347</v>
      </c>
      <c r="AG1477">
        <f t="shared" ca="1" si="682"/>
        <v>75.714285714285708</v>
      </c>
      <c r="AH1477">
        <f t="shared" ca="1" si="683"/>
        <v>5148.0355406320868</v>
      </c>
      <c r="AI1477">
        <f ca="1">VLOOKUP(E1477,伤害参考系!$C$4:$E$104,3,FALSE)*$AN$12</f>
        <v>20676.268264214057</v>
      </c>
      <c r="AJ1477">
        <f>VLOOKUP(C1477,技能辅助查询表,技能配置辅助表!$L$1,FALSE)</f>
        <v>1</v>
      </c>
      <c r="AK1477">
        <f>VLOOKUP(C1477,技能辅助查询表,技能配置辅助表!$AE$1,FALSE)</f>
        <v>66000650</v>
      </c>
    </row>
    <row r="1478" spans="1:37" x14ac:dyDescent="0.15">
      <c r="A1478" s="1">
        <f t="shared" ca="1" si="663"/>
        <v>9324348</v>
      </c>
      <c r="B1478" s="1" t="str">
        <f t="shared" ca="1" si="664"/>
        <v>子弹风暴第3段</v>
      </c>
      <c r="C1478" t="s">
        <v>183</v>
      </c>
      <c r="D1478">
        <f t="shared" si="665"/>
        <v>3</v>
      </c>
      <c r="E1478" s="42">
        <f t="shared" ca="1" si="685"/>
        <v>77</v>
      </c>
      <c r="F1478" t="str">
        <f t="shared" ca="1" si="686"/>
        <v>第48级，共造成180.2%点伤害</v>
      </c>
      <c r="G1478">
        <f t="shared" ca="1" si="666"/>
        <v>3</v>
      </c>
      <c r="H1478">
        <f t="shared" si="667"/>
        <v>3</v>
      </c>
      <c r="I1478" s="44">
        <f t="shared" ca="1" si="668"/>
        <v>48</v>
      </c>
      <c r="J1478">
        <f t="shared" si="669"/>
        <v>2</v>
      </c>
      <c r="K1478" s="36">
        <f t="shared" ca="1" si="670"/>
        <v>180.24285714285716</v>
      </c>
      <c r="L1478" s="10">
        <f ca="1">AH1478*VLOOKUP(C1478,技能辅助查询表,技能配置辅助表!$T$1,FALSE)</f>
        <v>0</v>
      </c>
      <c r="M1478">
        <f t="shared" ca="1" si="684"/>
        <v>4160</v>
      </c>
      <c r="N1478" s="33">
        <f ca="1">CHOOSE(1,W1478*U1478,X1478*'[1]0、经济设定'!$C$18)</f>
        <v>327186</v>
      </c>
      <c r="O1478">
        <f t="shared" si="671"/>
        <v>4</v>
      </c>
      <c r="P1478">
        <f t="shared" si="672"/>
        <v>1</v>
      </c>
      <c r="Q1478">
        <f t="shared" si="673"/>
        <v>1</v>
      </c>
      <c r="R1478" s="2">
        <f t="shared" si="674"/>
        <v>10</v>
      </c>
      <c r="S1478" s="2">
        <f t="shared" si="675"/>
        <v>50</v>
      </c>
      <c r="T1478" s="2">
        <f t="shared" si="676"/>
        <v>121.78571428571431</v>
      </c>
      <c r="U1478" s="2">
        <f ca="1">VLOOKUP(E1478,金币生产率!$A$2:$B$120,2,0)</f>
        <v>3942</v>
      </c>
      <c r="V1478" s="2">
        <f t="shared" si="677"/>
        <v>121.78571428571431</v>
      </c>
      <c r="W1478" s="45">
        <f t="shared" ca="1" si="689"/>
        <v>83</v>
      </c>
      <c r="X1478" s="48">
        <f t="shared" ca="1" si="690"/>
        <v>1216</v>
      </c>
      <c r="Y1478">
        <f t="shared" si="678"/>
        <v>18</v>
      </c>
      <c r="Z1478">
        <f t="shared" ca="1" si="687"/>
        <v>34</v>
      </c>
      <c r="AA1478" t="str">
        <f t="shared" ca="1" si="679"/>
        <v>9324300.png</v>
      </c>
      <c r="AB1478">
        <f t="shared" si="680"/>
        <v>20</v>
      </c>
      <c r="AC1478">
        <f>VLOOKUP(C1478,技能辅助查询表,技能配置辅助表!$W$1,FALSE)</f>
        <v>65043892</v>
      </c>
      <c r="AD1478">
        <f t="shared" ca="1" si="688"/>
        <v>940.60202701099297</v>
      </c>
      <c r="AE1478">
        <f>VLOOKUP(C1478,技能辅助查询表,技能配置辅助表!$U$1,FALSE)</f>
        <v>4</v>
      </c>
      <c r="AF1478">
        <f t="shared" ca="1" si="681"/>
        <v>9324348</v>
      </c>
      <c r="AG1478">
        <f t="shared" ca="1" si="682"/>
        <v>77.142857142857139</v>
      </c>
      <c r="AH1478">
        <f t="shared" ca="1" si="683"/>
        <v>5860.970437134547</v>
      </c>
      <c r="AI1478">
        <f ca="1">VLOOKUP(E1478,伤害参考系!$C$4:$E$104,3,FALSE)*$AN$12</f>
        <v>21474.674365384624</v>
      </c>
      <c r="AJ1478">
        <f>VLOOKUP(C1478,技能辅助查询表,技能配置辅助表!$L$1,FALSE)</f>
        <v>1</v>
      </c>
      <c r="AK1478">
        <f>VLOOKUP(C1478,技能辅助查询表,技能配置辅助表!$AE$1,FALSE)</f>
        <v>66000650</v>
      </c>
    </row>
    <row r="1479" spans="1:37" x14ac:dyDescent="0.15">
      <c r="A1479" s="1">
        <f t="shared" ca="1" si="663"/>
        <v>9324349</v>
      </c>
      <c r="B1479" s="1" t="str">
        <f t="shared" ca="1" si="664"/>
        <v>子弹风暴第3段</v>
      </c>
      <c r="C1479" t="s">
        <v>183</v>
      </c>
      <c r="D1479">
        <f t="shared" si="665"/>
        <v>3</v>
      </c>
      <c r="E1479" s="42">
        <f t="shared" ca="1" si="685"/>
        <v>79</v>
      </c>
      <c r="F1479" t="str">
        <f t="shared" ca="1" si="686"/>
        <v>第49级，共造成181.5%点伤害</v>
      </c>
      <c r="G1479">
        <f t="shared" ca="1" si="666"/>
        <v>3</v>
      </c>
      <c r="H1479">
        <f t="shared" si="667"/>
        <v>3</v>
      </c>
      <c r="I1479" s="44">
        <f t="shared" ca="1" si="668"/>
        <v>49</v>
      </c>
      <c r="J1479">
        <f t="shared" si="669"/>
        <v>2</v>
      </c>
      <c r="K1479" s="36">
        <f t="shared" ca="1" si="670"/>
        <v>181.46071428571432</v>
      </c>
      <c r="L1479" s="10">
        <f ca="1">AH1479*VLOOKUP(C1479,技能辅助查询表,技能配置辅助表!$T$1,FALSE)</f>
        <v>0</v>
      </c>
      <c r="M1479">
        <f t="shared" ca="1" si="684"/>
        <v>4080</v>
      </c>
      <c r="N1479" s="33">
        <f ca="1">CHOOSE(1,W1479*U1479,X1479*'[1]0、经济设定'!$C$18)</f>
        <v>369706</v>
      </c>
      <c r="O1479">
        <f t="shared" si="671"/>
        <v>4</v>
      </c>
      <c r="P1479">
        <f t="shared" si="672"/>
        <v>1</v>
      </c>
      <c r="Q1479">
        <f t="shared" si="673"/>
        <v>1</v>
      </c>
      <c r="R1479" s="2">
        <f t="shared" si="674"/>
        <v>10</v>
      </c>
      <c r="S1479" s="2">
        <f t="shared" si="675"/>
        <v>50</v>
      </c>
      <c r="T1479" s="2">
        <f t="shared" si="676"/>
        <v>121.78571428571431</v>
      </c>
      <c r="U1479" s="2">
        <f ca="1">VLOOKUP(E1479,金币生产率!$A$2:$B$120,2,0)</f>
        <v>4154</v>
      </c>
      <c r="V1479" s="2">
        <f t="shared" si="677"/>
        <v>121.78571428571431</v>
      </c>
      <c r="W1479" s="45">
        <f t="shared" ca="1" si="689"/>
        <v>89</v>
      </c>
      <c r="X1479" s="48">
        <f t="shared" ca="1" si="690"/>
        <v>1305</v>
      </c>
      <c r="Y1479">
        <f t="shared" si="678"/>
        <v>18</v>
      </c>
      <c r="Z1479">
        <f t="shared" ca="1" si="687"/>
        <v>36</v>
      </c>
      <c r="AA1479" t="str">
        <f t="shared" ca="1" si="679"/>
        <v>9324300.png</v>
      </c>
      <c r="AB1479">
        <f t="shared" si="680"/>
        <v>20</v>
      </c>
      <c r="AC1479">
        <f>VLOOKUP(C1479,技能辅助查询表,技能配置辅助表!$W$1,FALSE)</f>
        <v>65043892</v>
      </c>
      <c r="AD1479">
        <f t="shared" ca="1" si="688"/>
        <v>1087.1156169146486</v>
      </c>
      <c r="AE1479">
        <f>VLOOKUP(C1479,技能辅助查询表,技能配置辅助表!$U$1,FALSE)</f>
        <v>4</v>
      </c>
      <c r="AF1479">
        <f t="shared" ca="1" si="681"/>
        <v>9324349</v>
      </c>
      <c r="AG1479">
        <f t="shared" ca="1" si="682"/>
        <v>78.571428571428569</v>
      </c>
      <c r="AH1479">
        <f t="shared" ca="1" si="683"/>
        <v>6672.6373961177951</v>
      </c>
      <c r="AI1479">
        <f ca="1">VLOOKUP(E1479,伤害参考系!$C$4:$E$104,3,FALSE)*$AN$12</f>
        <v>23115.220103678937</v>
      </c>
      <c r="AJ1479">
        <f>VLOOKUP(C1479,技能辅助查询表,技能配置辅助表!$L$1,FALSE)</f>
        <v>1</v>
      </c>
      <c r="AK1479">
        <f>VLOOKUP(C1479,技能辅助查询表,技能配置辅助表!$AE$1,FALSE)</f>
        <v>66000650</v>
      </c>
    </row>
    <row r="1480" spans="1:37" x14ac:dyDescent="0.15">
      <c r="A1480" s="1">
        <f t="shared" ca="1" si="663"/>
        <v>9324350</v>
      </c>
      <c r="B1480" s="1" t="str">
        <f t="shared" ca="1" si="664"/>
        <v>子弹风暴第3段</v>
      </c>
      <c r="C1480" t="s">
        <v>183</v>
      </c>
      <c r="D1480">
        <f t="shared" si="665"/>
        <v>3</v>
      </c>
      <c r="E1480" s="42">
        <f t="shared" ca="1" si="685"/>
        <v>80</v>
      </c>
      <c r="F1480" t="str">
        <f t="shared" ca="1" si="686"/>
        <v>第50级，共造成182.7%点伤害</v>
      </c>
      <c r="G1480">
        <f t="shared" ca="1" si="666"/>
        <v>3</v>
      </c>
      <c r="H1480">
        <f t="shared" si="667"/>
        <v>3</v>
      </c>
      <c r="I1480" s="44">
        <f t="shared" ca="1" si="668"/>
        <v>50</v>
      </c>
      <c r="J1480">
        <f t="shared" si="669"/>
        <v>2</v>
      </c>
      <c r="K1480" s="36">
        <f t="shared" ca="1" si="670"/>
        <v>182.67857142857144</v>
      </c>
      <c r="L1480" s="10">
        <f ca="1">AH1480*VLOOKUP(C1480,技能辅助查询表,技能配置辅助表!$T$1,FALSE)</f>
        <v>0</v>
      </c>
      <c r="M1480">
        <f t="shared" ca="1" si="684"/>
        <v>4000</v>
      </c>
      <c r="N1480" s="33">
        <f ca="1">CHOOSE(1,W1480*U1480,X1480*'[1]0、经济设定'!$C$18)</f>
        <v>404890</v>
      </c>
      <c r="O1480">
        <f t="shared" si="671"/>
        <v>4</v>
      </c>
      <c r="P1480">
        <f t="shared" si="672"/>
        <v>1</v>
      </c>
      <c r="Q1480">
        <f t="shared" si="673"/>
        <v>1</v>
      </c>
      <c r="R1480" s="2">
        <f t="shared" si="674"/>
        <v>10</v>
      </c>
      <c r="S1480" s="2">
        <f t="shared" si="675"/>
        <v>50</v>
      </c>
      <c r="T1480" s="2">
        <f t="shared" si="676"/>
        <v>121.78571428571431</v>
      </c>
      <c r="U1480" s="2">
        <f ca="1">VLOOKUP(E1480,金币生产率!$A$2:$B$120,2,0)</f>
        <v>4262</v>
      </c>
      <c r="V1480" s="2">
        <f t="shared" si="677"/>
        <v>121.78571428571431</v>
      </c>
      <c r="W1480" s="45">
        <f t="shared" ca="1" si="689"/>
        <v>95</v>
      </c>
      <c r="X1480" s="48">
        <f t="shared" ca="1" si="690"/>
        <v>1400</v>
      </c>
      <c r="Y1480">
        <f t="shared" si="678"/>
        <v>18</v>
      </c>
      <c r="Z1480">
        <f t="shared" ca="1" si="687"/>
        <v>38</v>
      </c>
      <c r="AA1480" t="str">
        <f t="shared" ca="1" si="679"/>
        <v>9324300.png</v>
      </c>
      <c r="AB1480">
        <f t="shared" si="680"/>
        <v>20</v>
      </c>
      <c r="AC1480">
        <f>VLOOKUP(C1480,技能辅助查询表,技能配置辅助表!$W$1,FALSE)</f>
        <v>65043892</v>
      </c>
      <c r="AD1480">
        <f t="shared" ca="1" si="688"/>
        <v>1256.170178630181</v>
      </c>
      <c r="AE1480">
        <f>VLOOKUP(C1480,技能辅助查询表,技能配置辅助表!$U$1,FALSE)</f>
        <v>4</v>
      </c>
      <c r="AF1480">
        <f t="shared" ca="1" si="681"/>
        <v>9324350</v>
      </c>
      <c r="AG1480">
        <f t="shared" ca="1" si="682"/>
        <v>80</v>
      </c>
      <c r="AH1480">
        <f t="shared" ca="1" si="683"/>
        <v>7596.7095035950451</v>
      </c>
      <c r="AI1480">
        <f ca="1">VLOOKUP(E1480,伤害参考系!$C$4:$E$104,3,FALSE)*$AN$12</f>
        <v>24028.87424749164</v>
      </c>
      <c r="AJ1480">
        <f>VLOOKUP(C1480,技能辅助查询表,技能配置辅助表!$L$1,FALSE)</f>
        <v>1</v>
      </c>
      <c r="AK1480">
        <f>VLOOKUP(C1480,技能辅助查询表,技能配置辅助表!$AE$1,FALSE)</f>
        <v>66000650</v>
      </c>
    </row>
    <row r="1481" spans="1:37" x14ac:dyDescent="0.15">
      <c r="A1481" s="1">
        <f t="shared" ca="1" si="663"/>
        <v>1</v>
      </c>
      <c r="B1481" s="1" t="str">
        <f t="shared" ca="1" si="664"/>
        <v>子弹风暴</v>
      </c>
      <c r="C1481" t="s">
        <v>184</v>
      </c>
      <c r="D1481">
        <f t="shared" si="665"/>
        <v>3</v>
      </c>
      <c r="E1481" s="42">
        <f t="shared" ca="1" si="685"/>
        <v>6</v>
      </c>
      <c r="F1481" t="str">
        <f t="shared" ca="1" si="686"/>
        <v>第0级，共造成177.1%点伤害</v>
      </c>
      <c r="G1481">
        <f t="shared" ca="1" si="666"/>
        <v>0</v>
      </c>
      <c r="H1481">
        <f t="shared" si="667"/>
        <v>4</v>
      </c>
      <c r="I1481" s="44">
        <f t="shared" ca="1" si="668"/>
        <v>0</v>
      </c>
      <c r="J1481">
        <f t="shared" si="669"/>
        <v>2</v>
      </c>
      <c r="K1481" s="36">
        <f t="shared" ca="1" si="670"/>
        <v>25.30612244897959</v>
      </c>
      <c r="L1481" s="10">
        <f ca="1">AH1481*VLOOKUP(C1481,技能辅助查询表,技能配置辅助表!$T$1,FALSE)</f>
        <v>0</v>
      </c>
      <c r="M1481">
        <f t="shared" ca="1" si="684"/>
        <v>8000</v>
      </c>
      <c r="N1481" s="33">
        <f ca="1">CHOOSE(1,W1481*U1481,X1481*'[1]0、经济设定'!$C$18)</f>
        <v>0</v>
      </c>
      <c r="O1481">
        <f t="shared" si="671"/>
        <v>4</v>
      </c>
      <c r="P1481">
        <f t="shared" si="672"/>
        <v>1</v>
      </c>
      <c r="Q1481">
        <f t="shared" si="673"/>
        <v>7</v>
      </c>
      <c r="R1481" s="2">
        <f t="shared" si="674"/>
        <v>12</v>
      </c>
      <c r="S1481" s="2">
        <f t="shared" si="675"/>
        <v>50</v>
      </c>
      <c r="T1481" s="2">
        <f t="shared" si="676"/>
        <v>25.30612244897959</v>
      </c>
      <c r="U1481" s="2">
        <f ca="1">VLOOKUP(E1481,金币生产率!$A$2:$B$120,2,0)</f>
        <v>80</v>
      </c>
      <c r="V1481" s="2">
        <f t="shared" si="677"/>
        <v>177.14285714285714</v>
      </c>
      <c r="W1481" s="45">
        <f t="shared" ca="1" si="689"/>
        <v>0</v>
      </c>
      <c r="X1481" s="48">
        <f t="shared" ca="1" si="690"/>
        <v>0</v>
      </c>
      <c r="Y1481">
        <f t="shared" si="678"/>
        <v>18</v>
      </c>
      <c r="Z1481">
        <f t="shared" ca="1" si="687"/>
        <v>0</v>
      </c>
      <c r="AA1481" t="str">
        <f t="shared" ca="1" si="679"/>
        <v>9324400.png</v>
      </c>
      <c r="AB1481">
        <f t="shared" si="680"/>
        <v>3</v>
      </c>
      <c r="AC1481">
        <f>VLOOKUP(C1481,技能辅助查询表,技能配置辅助表!$W$1,FALSE)</f>
        <v>65043894</v>
      </c>
      <c r="AD1481">
        <f t="shared" ca="1" si="688"/>
        <v>1.7887577142857136</v>
      </c>
      <c r="AE1481">
        <f>VLOOKUP(C1481,技能辅助查询表,技能配置辅助表!$U$1,FALSE)</f>
        <v>4</v>
      </c>
      <c r="AF1481">
        <f t="shared" ca="1" si="681"/>
        <v>9324400</v>
      </c>
      <c r="AG1481">
        <f t="shared" ca="1" si="682"/>
        <v>0</v>
      </c>
      <c r="AH1481">
        <f t="shared" ca="1" si="683"/>
        <v>11.5938</v>
      </c>
      <c r="AI1481">
        <f ca="1">VLOOKUP(E1481,伤害参考系!$C$4:$E$104,3,FALSE)*$AN$12</f>
        <v>88.919999999999987</v>
      </c>
      <c r="AJ1481">
        <f>VLOOKUP(C1481,技能辅助查询表,技能配置辅助表!$L$1,FALSE)</f>
        <v>7</v>
      </c>
      <c r="AK1481">
        <f>VLOOKUP(C1481,技能辅助查询表,技能配置辅助表!$AE$1,FALSE)</f>
        <v>66000650</v>
      </c>
    </row>
    <row r="1482" spans="1:37" x14ac:dyDescent="0.15">
      <c r="A1482" s="1">
        <f t="shared" ca="1" si="663"/>
        <v>9324401</v>
      </c>
      <c r="B1482" s="1" t="str">
        <f t="shared" ca="1" si="664"/>
        <v>子弹风暴第4段</v>
      </c>
      <c r="C1482" t="s">
        <v>184</v>
      </c>
      <c r="D1482">
        <f t="shared" si="665"/>
        <v>3</v>
      </c>
      <c r="E1482" s="42">
        <f t="shared" ca="1" si="685"/>
        <v>6</v>
      </c>
      <c r="F1482" t="str">
        <f t="shared" ca="1" si="686"/>
        <v>第1级，共造成177.1%点伤害</v>
      </c>
      <c r="G1482">
        <f t="shared" ca="1" si="666"/>
        <v>4</v>
      </c>
      <c r="H1482">
        <f t="shared" si="667"/>
        <v>4</v>
      </c>
      <c r="I1482" s="44">
        <f t="shared" ca="1" si="668"/>
        <v>1</v>
      </c>
      <c r="J1482">
        <f t="shared" si="669"/>
        <v>2</v>
      </c>
      <c r="K1482" s="36">
        <f t="shared" ca="1" si="670"/>
        <v>25.30612244897959</v>
      </c>
      <c r="L1482" s="10">
        <f ca="1">AH1482*VLOOKUP(C1482,技能辅助查询表,技能配置辅助表!$T$1,FALSE)</f>
        <v>0</v>
      </c>
      <c r="M1482">
        <f t="shared" ca="1" si="684"/>
        <v>8000</v>
      </c>
      <c r="N1482" s="33">
        <f ca="1">CHOOSE(1,W1482*U1482,X1482*'[1]0、经济设定'!$C$18)</f>
        <v>480</v>
      </c>
      <c r="O1482">
        <f t="shared" si="671"/>
        <v>4</v>
      </c>
      <c r="P1482">
        <f t="shared" si="672"/>
        <v>1</v>
      </c>
      <c r="Q1482">
        <f t="shared" si="673"/>
        <v>7</v>
      </c>
      <c r="R1482" s="2">
        <f t="shared" si="674"/>
        <v>12</v>
      </c>
      <c r="S1482" s="2">
        <f t="shared" si="675"/>
        <v>50</v>
      </c>
      <c r="T1482" s="2">
        <f t="shared" si="676"/>
        <v>25.30612244897959</v>
      </c>
      <c r="U1482" s="2">
        <f ca="1">VLOOKUP(E1482,金币生产率!$A$2:$B$120,2,0)</f>
        <v>80</v>
      </c>
      <c r="V1482" s="2">
        <f t="shared" si="677"/>
        <v>177.14285714285714</v>
      </c>
      <c r="W1482" s="45">
        <f t="shared" ca="1" si="689"/>
        <v>6</v>
      </c>
      <c r="X1482" s="48">
        <f t="shared" ca="1" si="690"/>
        <v>6</v>
      </c>
      <c r="Y1482">
        <f t="shared" si="678"/>
        <v>18</v>
      </c>
      <c r="Z1482">
        <f t="shared" ca="1" si="687"/>
        <v>0</v>
      </c>
      <c r="AA1482" t="str">
        <f t="shared" ca="1" si="679"/>
        <v>9324400.png</v>
      </c>
      <c r="AB1482">
        <f t="shared" si="680"/>
        <v>3</v>
      </c>
      <c r="AC1482">
        <f>VLOOKUP(C1482,技能辅助查询表,技能配置辅助表!$W$1,FALSE)</f>
        <v>65043894</v>
      </c>
      <c r="AD1482">
        <f t="shared" ca="1" si="688"/>
        <v>2.0364770211624661</v>
      </c>
      <c r="AE1482">
        <f>VLOOKUP(C1482,技能辅助查询表,技能配置辅助表!$U$1,FALSE)</f>
        <v>4</v>
      </c>
      <c r="AF1482">
        <f t="shared" ca="1" si="681"/>
        <v>9324401</v>
      </c>
      <c r="AG1482">
        <f t="shared" ca="1" si="682"/>
        <v>12</v>
      </c>
      <c r="AH1482">
        <f t="shared" ca="1" si="683"/>
        <v>13.199388100127095</v>
      </c>
      <c r="AI1482">
        <f ca="1">VLOOKUP(E1482,伤害参考系!$C$4:$E$104,3,FALSE)*$AN$12</f>
        <v>88.919999999999987</v>
      </c>
      <c r="AJ1482">
        <f>VLOOKUP(C1482,技能辅助查询表,技能配置辅助表!$L$1,FALSE)</f>
        <v>7</v>
      </c>
      <c r="AK1482">
        <f>VLOOKUP(C1482,技能辅助查询表,技能配置辅助表!$AE$1,FALSE)</f>
        <v>66000650</v>
      </c>
    </row>
    <row r="1483" spans="1:37" x14ac:dyDescent="0.15">
      <c r="A1483" s="1">
        <f t="shared" ca="1" si="663"/>
        <v>9324402</v>
      </c>
      <c r="B1483" s="1" t="str">
        <f t="shared" ca="1" si="664"/>
        <v>子弹风暴第4段</v>
      </c>
      <c r="C1483" t="s">
        <v>184</v>
      </c>
      <c r="D1483">
        <f t="shared" si="665"/>
        <v>3</v>
      </c>
      <c r="E1483" s="42">
        <f t="shared" ca="1" si="685"/>
        <v>15</v>
      </c>
      <c r="F1483" t="str">
        <f t="shared" ca="1" si="686"/>
        <v>第2级，共造成180.7%点伤害</v>
      </c>
      <c r="G1483">
        <f t="shared" ca="1" si="666"/>
        <v>4</v>
      </c>
      <c r="H1483">
        <f t="shared" si="667"/>
        <v>4</v>
      </c>
      <c r="I1483" s="44">
        <f t="shared" ca="1" si="668"/>
        <v>2</v>
      </c>
      <c r="J1483">
        <f t="shared" si="669"/>
        <v>2</v>
      </c>
      <c r="K1483" s="36">
        <f t="shared" ca="1" si="670"/>
        <v>25.812244897959182</v>
      </c>
      <c r="L1483" s="10">
        <f ca="1">AH1483*VLOOKUP(C1483,技能辅助查询表,技能配置辅助表!$T$1,FALSE)</f>
        <v>0</v>
      </c>
      <c r="M1483">
        <f t="shared" ca="1" si="684"/>
        <v>7840</v>
      </c>
      <c r="N1483" s="33">
        <f ca="1">CHOOSE(1,W1483*U1483,X1483*'[1]0、经济设定'!$C$18)</f>
        <v>938</v>
      </c>
      <c r="O1483">
        <f t="shared" si="671"/>
        <v>4</v>
      </c>
      <c r="P1483">
        <f t="shared" si="672"/>
        <v>1</v>
      </c>
      <c r="Q1483">
        <f t="shared" si="673"/>
        <v>7</v>
      </c>
      <c r="R1483" s="2">
        <f t="shared" si="674"/>
        <v>12</v>
      </c>
      <c r="S1483" s="2">
        <f t="shared" si="675"/>
        <v>50</v>
      </c>
      <c r="T1483" s="2">
        <f t="shared" si="676"/>
        <v>25.30612244897959</v>
      </c>
      <c r="U1483" s="2">
        <f ca="1">VLOOKUP(E1483,金币生产率!$A$2:$B$120,2,0)</f>
        <v>134</v>
      </c>
      <c r="V1483" s="2">
        <f t="shared" si="677"/>
        <v>177.14285714285714</v>
      </c>
      <c r="W1483" s="45">
        <f t="shared" ca="1" si="689"/>
        <v>7</v>
      </c>
      <c r="X1483" s="48">
        <f t="shared" ca="1" si="690"/>
        <v>13</v>
      </c>
      <c r="Y1483">
        <f t="shared" si="678"/>
        <v>18</v>
      </c>
      <c r="Z1483">
        <f t="shared" ca="1" si="687"/>
        <v>0</v>
      </c>
      <c r="AA1483" t="str">
        <f t="shared" ca="1" si="679"/>
        <v>9324400.png</v>
      </c>
      <c r="AB1483">
        <f t="shared" si="680"/>
        <v>3</v>
      </c>
      <c r="AC1483">
        <f>VLOOKUP(C1483,技能辅助查询表,技能配置辅助表!$W$1,FALSE)</f>
        <v>65043894</v>
      </c>
      <c r="AD1483">
        <f t="shared" ca="1" si="688"/>
        <v>2.4249815380092405</v>
      </c>
      <c r="AE1483">
        <f>VLOOKUP(C1483,技能辅助查询表,技能配置辅助表!$U$1,FALSE)</f>
        <v>4</v>
      </c>
      <c r="AF1483">
        <f t="shared" ca="1" si="681"/>
        <v>9324402</v>
      </c>
      <c r="AG1483">
        <f t="shared" ca="1" si="682"/>
        <v>13.387755102040817</v>
      </c>
      <c r="AH1483">
        <f t="shared" ca="1" si="683"/>
        <v>15.027328935963775</v>
      </c>
      <c r="AI1483">
        <f ca="1">VLOOKUP(E1483,伤害参考系!$C$4:$E$104,3,FALSE)*$AN$12</f>
        <v>374.61277173913044</v>
      </c>
      <c r="AJ1483">
        <f>VLOOKUP(C1483,技能辅助查询表,技能配置辅助表!$L$1,FALSE)</f>
        <v>7</v>
      </c>
      <c r="AK1483">
        <f>VLOOKUP(C1483,技能辅助查询表,技能配置辅助表!$AE$1,FALSE)</f>
        <v>66000650</v>
      </c>
    </row>
    <row r="1484" spans="1:37" x14ac:dyDescent="0.15">
      <c r="A1484" s="1">
        <f t="shared" ca="1" si="663"/>
        <v>9324403</v>
      </c>
      <c r="B1484" s="1" t="str">
        <f t="shared" ca="1" si="664"/>
        <v>子弹风暴第4段</v>
      </c>
      <c r="C1484" t="s">
        <v>184</v>
      </c>
      <c r="D1484">
        <f t="shared" si="665"/>
        <v>3</v>
      </c>
      <c r="E1484" s="42">
        <f t="shared" ca="1" si="685"/>
        <v>16</v>
      </c>
      <c r="F1484" t="str">
        <f t="shared" ca="1" si="686"/>
        <v>第3级，共造成182.5%点伤害</v>
      </c>
      <c r="G1484">
        <f t="shared" ca="1" si="666"/>
        <v>4</v>
      </c>
      <c r="H1484">
        <f t="shared" si="667"/>
        <v>4</v>
      </c>
      <c r="I1484" s="44">
        <f t="shared" ca="1" si="668"/>
        <v>3</v>
      </c>
      <c r="J1484">
        <f t="shared" si="669"/>
        <v>2</v>
      </c>
      <c r="K1484" s="36">
        <f t="shared" ca="1" si="670"/>
        <v>26.065306122448977</v>
      </c>
      <c r="L1484" s="10">
        <f ca="1">AH1484*VLOOKUP(C1484,技能辅助查询表,技能配置辅助表!$T$1,FALSE)</f>
        <v>0</v>
      </c>
      <c r="M1484">
        <f t="shared" ca="1" si="684"/>
        <v>7760</v>
      </c>
      <c r="N1484" s="33">
        <f ca="1">CHOOSE(1,W1484*U1484,X1484*'[1]0、经济设定'!$C$18)</f>
        <v>980</v>
      </c>
      <c r="O1484">
        <f t="shared" si="671"/>
        <v>4</v>
      </c>
      <c r="P1484">
        <f t="shared" si="672"/>
        <v>1</v>
      </c>
      <c r="Q1484">
        <f t="shared" si="673"/>
        <v>7</v>
      </c>
      <c r="R1484" s="2">
        <f t="shared" si="674"/>
        <v>12</v>
      </c>
      <c r="S1484" s="2">
        <f t="shared" si="675"/>
        <v>50</v>
      </c>
      <c r="T1484" s="2">
        <f t="shared" si="676"/>
        <v>25.30612244897959</v>
      </c>
      <c r="U1484" s="2">
        <f ca="1">VLOOKUP(E1484,金币生产率!$A$2:$B$120,2,0)</f>
        <v>140</v>
      </c>
      <c r="V1484" s="2">
        <f t="shared" si="677"/>
        <v>177.14285714285714</v>
      </c>
      <c r="W1484" s="45">
        <f t="shared" ca="1" si="689"/>
        <v>7</v>
      </c>
      <c r="X1484" s="48">
        <f t="shared" ca="1" si="690"/>
        <v>20</v>
      </c>
      <c r="Y1484">
        <f t="shared" si="678"/>
        <v>18</v>
      </c>
      <c r="Z1484">
        <f t="shared" ca="1" si="687"/>
        <v>0</v>
      </c>
      <c r="AA1484" t="str">
        <f t="shared" ca="1" si="679"/>
        <v>9324400.png</v>
      </c>
      <c r="AB1484">
        <f t="shared" si="680"/>
        <v>3</v>
      </c>
      <c r="AC1484">
        <f>VLOOKUP(C1484,技能辅助查询表,技能配置辅助表!$W$1,FALSE)</f>
        <v>65043894</v>
      </c>
      <c r="AD1484">
        <f t="shared" ca="1" si="688"/>
        <v>2.8214221092282572</v>
      </c>
      <c r="AE1484">
        <f>VLOOKUP(C1484,技能辅助查询表,技能配置辅助表!$U$1,FALSE)</f>
        <v>4</v>
      </c>
      <c r="AF1484">
        <f t="shared" ca="1" si="681"/>
        <v>9324403</v>
      </c>
      <c r="AG1484">
        <f t="shared" ca="1" si="682"/>
        <v>14.775510204081632</v>
      </c>
      <c r="AH1484">
        <f t="shared" ca="1" si="683"/>
        <v>17.108415423248271</v>
      </c>
      <c r="AI1484">
        <f ca="1">VLOOKUP(E1484,伤害参考系!$C$4:$E$104,3,FALSE)*$AN$12</f>
        <v>421.35260869565224</v>
      </c>
      <c r="AJ1484">
        <f>VLOOKUP(C1484,技能辅助查询表,技能配置辅助表!$L$1,FALSE)</f>
        <v>7</v>
      </c>
      <c r="AK1484">
        <f>VLOOKUP(C1484,技能辅助查询表,技能配置辅助表!$AE$1,FALSE)</f>
        <v>66000650</v>
      </c>
    </row>
    <row r="1485" spans="1:37" x14ac:dyDescent="0.15">
      <c r="A1485" s="1">
        <f t="shared" ca="1" si="663"/>
        <v>9324404</v>
      </c>
      <c r="B1485" s="1" t="str">
        <f t="shared" ca="1" si="664"/>
        <v>子弹风暴第4段</v>
      </c>
      <c r="C1485" t="s">
        <v>184</v>
      </c>
      <c r="D1485">
        <f t="shared" si="665"/>
        <v>3</v>
      </c>
      <c r="E1485" s="42">
        <f t="shared" ca="1" si="685"/>
        <v>17</v>
      </c>
      <c r="F1485" t="str">
        <f t="shared" ca="1" si="686"/>
        <v>第4级，共造成184.2%点伤害</v>
      </c>
      <c r="G1485">
        <f t="shared" ca="1" si="666"/>
        <v>4</v>
      </c>
      <c r="H1485">
        <f t="shared" si="667"/>
        <v>4</v>
      </c>
      <c r="I1485" s="44">
        <f t="shared" ca="1" si="668"/>
        <v>4</v>
      </c>
      <c r="J1485">
        <f t="shared" si="669"/>
        <v>2</v>
      </c>
      <c r="K1485" s="36">
        <f t="shared" ca="1" si="670"/>
        <v>26.318367346938775</v>
      </c>
      <c r="L1485" s="10">
        <f ca="1">AH1485*VLOOKUP(C1485,技能辅助查询表,技能配置辅助表!$T$1,FALSE)</f>
        <v>0</v>
      </c>
      <c r="M1485">
        <f t="shared" ca="1" si="684"/>
        <v>7680</v>
      </c>
      <c r="N1485" s="33">
        <f ca="1">CHOOSE(1,W1485*U1485,X1485*'[1]0、经济设定'!$C$18)</f>
        <v>1168</v>
      </c>
      <c r="O1485">
        <f t="shared" si="671"/>
        <v>4</v>
      </c>
      <c r="P1485">
        <f t="shared" si="672"/>
        <v>1</v>
      </c>
      <c r="Q1485">
        <f t="shared" si="673"/>
        <v>7</v>
      </c>
      <c r="R1485" s="2">
        <f t="shared" si="674"/>
        <v>12</v>
      </c>
      <c r="S1485" s="2">
        <f t="shared" si="675"/>
        <v>50</v>
      </c>
      <c r="T1485" s="2">
        <f t="shared" si="676"/>
        <v>25.30612244897959</v>
      </c>
      <c r="U1485" s="2">
        <f ca="1">VLOOKUP(E1485,金币生产率!$A$2:$B$120,2,0)</f>
        <v>146</v>
      </c>
      <c r="V1485" s="2">
        <f t="shared" si="677"/>
        <v>177.14285714285714</v>
      </c>
      <c r="W1485" s="45">
        <f t="shared" ca="1" si="689"/>
        <v>8</v>
      </c>
      <c r="X1485" s="48">
        <f t="shared" ca="1" si="690"/>
        <v>28</v>
      </c>
      <c r="Y1485">
        <f t="shared" si="678"/>
        <v>18</v>
      </c>
      <c r="Z1485">
        <f t="shared" ca="1" si="687"/>
        <v>0</v>
      </c>
      <c r="AA1485" t="str">
        <f t="shared" ca="1" si="679"/>
        <v>9324400.png</v>
      </c>
      <c r="AB1485">
        <f t="shared" si="680"/>
        <v>3</v>
      </c>
      <c r="AC1485">
        <f>VLOOKUP(C1485,技能辅助查询表,技能配置辅助表!$W$1,FALSE)</f>
        <v>65043894</v>
      </c>
      <c r="AD1485">
        <f t="shared" ca="1" si="688"/>
        <v>3.2811585151254739</v>
      </c>
      <c r="AE1485">
        <f>VLOOKUP(C1485,技能辅助查询表,技能配置辅助表!$U$1,FALSE)</f>
        <v>4</v>
      </c>
      <c r="AF1485">
        <f t="shared" ca="1" si="681"/>
        <v>9324404</v>
      </c>
      <c r="AG1485">
        <f t="shared" ca="1" si="682"/>
        <v>16.163265306122447</v>
      </c>
      <c r="AH1485">
        <f t="shared" ca="1" si="683"/>
        <v>19.477704889652582</v>
      </c>
      <c r="AI1485">
        <f ca="1">VLOOKUP(E1485,伤害参考系!$C$4:$E$104,3,FALSE)*$AN$12</f>
        <v>470.53516304347824</v>
      </c>
      <c r="AJ1485">
        <f>VLOOKUP(C1485,技能辅助查询表,技能配置辅助表!$L$1,FALSE)</f>
        <v>7</v>
      </c>
      <c r="AK1485">
        <f>VLOOKUP(C1485,技能辅助查询表,技能配置辅助表!$AE$1,FALSE)</f>
        <v>66000650</v>
      </c>
    </row>
    <row r="1486" spans="1:37" x14ac:dyDescent="0.15">
      <c r="A1486" s="1">
        <f t="shared" ca="1" si="663"/>
        <v>9324405</v>
      </c>
      <c r="B1486" s="1" t="str">
        <f t="shared" ca="1" si="664"/>
        <v>子弹风暴第4段</v>
      </c>
      <c r="C1486" t="s">
        <v>184</v>
      </c>
      <c r="D1486">
        <f t="shared" si="665"/>
        <v>3</v>
      </c>
      <c r="E1486" s="42">
        <f t="shared" ca="1" si="685"/>
        <v>19</v>
      </c>
      <c r="F1486" t="str">
        <f t="shared" ca="1" si="686"/>
        <v>第5级，共造成186%点伤害</v>
      </c>
      <c r="G1486">
        <f t="shared" ca="1" si="666"/>
        <v>4</v>
      </c>
      <c r="H1486">
        <f t="shared" si="667"/>
        <v>4</v>
      </c>
      <c r="I1486" s="44">
        <f t="shared" ca="1" si="668"/>
        <v>5</v>
      </c>
      <c r="J1486">
        <f t="shared" si="669"/>
        <v>2</v>
      </c>
      <c r="K1486" s="36">
        <f t="shared" ca="1" si="670"/>
        <v>26.571428571428569</v>
      </c>
      <c r="L1486" s="10">
        <f ca="1">AH1486*VLOOKUP(C1486,技能辅助查询表,技能配置辅助表!$T$1,FALSE)</f>
        <v>0</v>
      </c>
      <c r="M1486">
        <f t="shared" ca="1" si="684"/>
        <v>7600</v>
      </c>
      <c r="N1486" s="33">
        <f ca="1">CHOOSE(1,W1486*U1486,X1486*'[1]0、经济设定'!$C$18)</f>
        <v>1264</v>
      </c>
      <c r="O1486">
        <f t="shared" si="671"/>
        <v>4</v>
      </c>
      <c r="P1486">
        <f t="shared" si="672"/>
        <v>1</v>
      </c>
      <c r="Q1486">
        <f t="shared" si="673"/>
        <v>7</v>
      </c>
      <c r="R1486" s="2">
        <f t="shared" si="674"/>
        <v>12</v>
      </c>
      <c r="S1486" s="2">
        <f t="shared" si="675"/>
        <v>50</v>
      </c>
      <c r="T1486" s="2">
        <f t="shared" si="676"/>
        <v>25.30612244897959</v>
      </c>
      <c r="U1486" s="2">
        <f ca="1">VLOOKUP(E1486,金币生产率!$A$2:$B$120,2,0)</f>
        <v>158</v>
      </c>
      <c r="V1486" s="2">
        <f t="shared" si="677"/>
        <v>177.14285714285714</v>
      </c>
      <c r="W1486" s="45">
        <f t="shared" ca="1" si="689"/>
        <v>8</v>
      </c>
      <c r="X1486" s="48">
        <f t="shared" ca="1" si="690"/>
        <v>36</v>
      </c>
      <c r="Y1486">
        <f t="shared" si="678"/>
        <v>18</v>
      </c>
      <c r="Z1486">
        <f t="shared" ca="1" si="687"/>
        <v>0</v>
      </c>
      <c r="AA1486" t="str">
        <f t="shared" ca="1" si="679"/>
        <v>9324400.png</v>
      </c>
      <c r="AB1486">
        <f t="shared" si="680"/>
        <v>3</v>
      </c>
      <c r="AC1486">
        <f>VLOOKUP(C1486,技能辅助查询表,技能配置辅助表!$W$1,FALSE)</f>
        <v>65043894</v>
      </c>
      <c r="AD1486">
        <f t="shared" ca="1" si="688"/>
        <v>3.8141188579915157</v>
      </c>
      <c r="AE1486">
        <f>VLOOKUP(C1486,技能辅助查询表,技能配置辅助表!$U$1,FALSE)</f>
        <v>4</v>
      </c>
      <c r="AF1486">
        <f t="shared" ca="1" si="681"/>
        <v>9324405</v>
      </c>
      <c r="AG1486">
        <f t="shared" ca="1" si="682"/>
        <v>17.551020408163264</v>
      </c>
      <c r="AH1486">
        <f t="shared" ca="1" si="683"/>
        <v>22.175109639485559</v>
      </c>
      <c r="AI1486">
        <f ca="1">VLOOKUP(E1486,伤害参考系!$C$4:$E$104,3,FALSE)*$AN$12</f>
        <v>576.22842391304346</v>
      </c>
      <c r="AJ1486">
        <f>VLOOKUP(C1486,技能辅助查询表,技能配置辅助表!$L$1,FALSE)</f>
        <v>7</v>
      </c>
      <c r="AK1486">
        <f>VLOOKUP(C1486,技能辅助查询表,技能配置辅助表!$AE$1,FALSE)</f>
        <v>66000650</v>
      </c>
    </row>
    <row r="1487" spans="1:37" x14ac:dyDescent="0.15">
      <c r="A1487" s="1">
        <f t="shared" ca="1" si="663"/>
        <v>9324406</v>
      </c>
      <c r="B1487" s="1" t="str">
        <f t="shared" ca="1" si="664"/>
        <v>子弹风暴第4段</v>
      </c>
      <c r="C1487" t="s">
        <v>184</v>
      </c>
      <c r="D1487">
        <f t="shared" si="665"/>
        <v>3</v>
      </c>
      <c r="E1487" s="42">
        <f t="shared" ca="1" si="685"/>
        <v>20</v>
      </c>
      <c r="F1487" t="str">
        <f t="shared" ca="1" si="686"/>
        <v>第6级，共造成187.8%点伤害</v>
      </c>
      <c r="G1487">
        <f t="shared" ca="1" si="666"/>
        <v>4</v>
      </c>
      <c r="H1487">
        <f t="shared" si="667"/>
        <v>4</v>
      </c>
      <c r="I1487" s="44">
        <f t="shared" ca="1" si="668"/>
        <v>6</v>
      </c>
      <c r="J1487">
        <f t="shared" si="669"/>
        <v>2</v>
      </c>
      <c r="K1487" s="36">
        <f t="shared" ca="1" si="670"/>
        <v>26.824489795918364</v>
      </c>
      <c r="L1487" s="10">
        <f ca="1">AH1487*VLOOKUP(C1487,技能辅助查询表,技能配置辅助表!$T$1,FALSE)</f>
        <v>0</v>
      </c>
      <c r="M1487">
        <f t="shared" ca="1" si="684"/>
        <v>7520</v>
      </c>
      <c r="N1487" s="33">
        <f ca="1">CHOOSE(1,W1487*U1487,X1487*'[1]0、经济设定'!$C$18)</f>
        <v>1638</v>
      </c>
      <c r="O1487">
        <f t="shared" si="671"/>
        <v>4</v>
      </c>
      <c r="P1487">
        <f t="shared" si="672"/>
        <v>1</v>
      </c>
      <c r="Q1487">
        <f t="shared" si="673"/>
        <v>7</v>
      </c>
      <c r="R1487" s="2">
        <f t="shared" si="674"/>
        <v>12</v>
      </c>
      <c r="S1487" s="2">
        <f t="shared" si="675"/>
        <v>50</v>
      </c>
      <c r="T1487" s="2">
        <f t="shared" si="676"/>
        <v>25.30612244897959</v>
      </c>
      <c r="U1487" s="2">
        <f ca="1">VLOOKUP(E1487,金币生产率!$A$2:$B$120,2,0)</f>
        <v>182</v>
      </c>
      <c r="V1487" s="2">
        <f t="shared" si="677"/>
        <v>177.14285714285714</v>
      </c>
      <c r="W1487" s="45">
        <f t="shared" ca="1" si="689"/>
        <v>9</v>
      </c>
      <c r="X1487" s="48">
        <f t="shared" ca="1" si="690"/>
        <v>45</v>
      </c>
      <c r="Y1487">
        <f t="shared" si="678"/>
        <v>18</v>
      </c>
      <c r="Z1487">
        <f t="shared" ca="1" si="687"/>
        <v>0</v>
      </c>
      <c r="AA1487" t="str">
        <f t="shared" ca="1" si="679"/>
        <v>9324400.png</v>
      </c>
      <c r="AB1487">
        <f t="shared" si="680"/>
        <v>3</v>
      </c>
      <c r="AC1487">
        <f>VLOOKUP(C1487,技能辅助查询表,技能配置辅助表!$W$1,FALSE)</f>
        <v>65043894</v>
      </c>
      <c r="AD1487">
        <f t="shared" ca="1" si="688"/>
        <v>4.4317671372162826</v>
      </c>
      <c r="AE1487">
        <f>VLOOKUP(C1487,技能辅助查询表,技能配置辅助表!$U$1,FALSE)</f>
        <v>4</v>
      </c>
      <c r="AF1487">
        <f t="shared" ca="1" si="681"/>
        <v>9324406</v>
      </c>
      <c r="AG1487">
        <f t="shared" ca="1" si="682"/>
        <v>18.938775510204081</v>
      </c>
      <c r="AH1487">
        <f t="shared" ca="1" si="683"/>
        <v>25.246069303803697</v>
      </c>
      <c r="AI1487">
        <f ca="1">VLOOKUP(E1487,伤害参考系!$C$4:$E$104,3,FALSE)*$AN$12</f>
        <v>632.73913043478262</v>
      </c>
      <c r="AJ1487">
        <f>VLOOKUP(C1487,技能辅助查询表,技能配置辅助表!$L$1,FALSE)</f>
        <v>7</v>
      </c>
      <c r="AK1487">
        <f>VLOOKUP(C1487,技能辅助查询表,技能配置辅助表!$AE$1,FALSE)</f>
        <v>66000650</v>
      </c>
    </row>
    <row r="1488" spans="1:37" x14ac:dyDescent="0.15">
      <c r="A1488" s="1">
        <f t="shared" ca="1" si="663"/>
        <v>9324407</v>
      </c>
      <c r="B1488" s="1" t="str">
        <f t="shared" ca="1" si="664"/>
        <v>子弹风暴第4段</v>
      </c>
      <c r="C1488" t="s">
        <v>184</v>
      </c>
      <c r="D1488">
        <f t="shared" si="665"/>
        <v>3</v>
      </c>
      <c r="E1488" s="42">
        <f t="shared" ca="1" si="685"/>
        <v>22</v>
      </c>
      <c r="F1488" t="str">
        <f t="shared" ca="1" si="686"/>
        <v>第7级，共造成189.5%点伤害</v>
      </c>
      <c r="G1488">
        <f t="shared" ca="1" si="666"/>
        <v>4</v>
      </c>
      <c r="H1488">
        <f t="shared" si="667"/>
        <v>4</v>
      </c>
      <c r="I1488" s="44">
        <f t="shared" ca="1" si="668"/>
        <v>7</v>
      </c>
      <c r="J1488">
        <f t="shared" si="669"/>
        <v>2</v>
      </c>
      <c r="K1488" s="36">
        <f t="shared" ca="1" si="670"/>
        <v>27.077551020408162</v>
      </c>
      <c r="L1488" s="10">
        <f ca="1">AH1488*VLOOKUP(C1488,技能辅助查询表,技能配置辅助表!$T$1,FALSE)</f>
        <v>0</v>
      </c>
      <c r="M1488">
        <f t="shared" ca="1" si="684"/>
        <v>7440</v>
      </c>
      <c r="N1488" s="33">
        <f ca="1">CHOOSE(1,W1488*U1488,X1488*'[1]0、经济设定'!$C$18)</f>
        <v>2151</v>
      </c>
      <c r="O1488">
        <f t="shared" si="671"/>
        <v>4</v>
      </c>
      <c r="P1488">
        <f t="shared" si="672"/>
        <v>1</v>
      </c>
      <c r="Q1488">
        <f t="shared" si="673"/>
        <v>7</v>
      </c>
      <c r="R1488" s="2">
        <f t="shared" si="674"/>
        <v>12</v>
      </c>
      <c r="S1488" s="2">
        <f t="shared" si="675"/>
        <v>50</v>
      </c>
      <c r="T1488" s="2">
        <f t="shared" si="676"/>
        <v>25.30612244897959</v>
      </c>
      <c r="U1488" s="2">
        <f ca="1">VLOOKUP(E1488,金币生产率!$A$2:$B$120,2,0)</f>
        <v>239</v>
      </c>
      <c r="V1488" s="2">
        <f t="shared" si="677"/>
        <v>177.14285714285714</v>
      </c>
      <c r="W1488" s="45">
        <f t="shared" ca="1" si="689"/>
        <v>9</v>
      </c>
      <c r="X1488" s="48">
        <f t="shared" ca="1" si="690"/>
        <v>54</v>
      </c>
      <c r="Y1488">
        <f t="shared" si="678"/>
        <v>18</v>
      </c>
      <c r="Z1488">
        <f t="shared" ca="1" si="687"/>
        <v>0</v>
      </c>
      <c r="AA1488" t="str">
        <f t="shared" ca="1" si="679"/>
        <v>9324400.png</v>
      </c>
      <c r="AB1488">
        <f t="shared" si="680"/>
        <v>3</v>
      </c>
      <c r="AC1488">
        <f>VLOOKUP(C1488,技能辅助查询表,技能配置辅助表!$W$1,FALSE)</f>
        <v>65043894</v>
      </c>
      <c r="AD1488">
        <f t="shared" ca="1" si="688"/>
        <v>5.1473382451925058</v>
      </c>
      <c r="AE1488">
        <f>VLOOKUP(C1488,技能辅助查询表,技能配置辅助表!$U$1,FALSE)</f>
        <v>4</v>
      </c>
      <c r="AF1488">
        <f t="shared" ca="1" si="681"/>
        <v>9324407</v>
      </c>
      <c r="AG1488">
        <f t="shared" ca="1" si="682"/>
        <v>20.326530612244898</v>
      </c>
      <c r="AH1488">
        <f t="shared" ca="1" si="683"/>
        <v>28.742316302127907</v>
      </c>
      <c r="AI1488">
        <f ca="1">VLOOKUP(E1488,伤害参考系!$C$4:$E$104,3,FALSE)*$AN$12</f>
        <v>753.08869565217401</v>
      </c>
      <c r="AJ1488">
        <f>VLOOKUP(C1488,技能辅助查询表,技能配置辅助表!$L$1,FALSE)</f>
        <v>7</v>
      </c>
      <c r="AK1488">
        <f>VLOOKUP(C1488,技能辅助查询表,技能配置辅助表!$AE$1,FALSE)</f>
        <v>66000650</v>
      </c>
    </row>
    <row r="1489" spans="1:37" x14ac:dyDescent="0.15">
      <c r="A1489" s="1">
        <f t="shared" ca="1" si="663"/>
        <v>9324408</v>
      </c>
      <c r="B1489" s="1" t="str">
        <f t="shared" ca="1" si="664"/>
        <v>子弹风暴第4段</v>
      </c>
      <c r="C1489" t="s">
        <v>184</v>
      </c>
      <c r="D1489">
        <f t="shared" si="665"/>
        <v>3</v>
      </c>
      <c r="E1489" s="42">
        <f t="shared" ca="1" si="685"/>
        <v>23</v>
      </c>
      <c r="F1489" t="str">
        <f t="shared" ca="1" si="686"/>
        <v>第8级，共造成191.3%点伤害</v>
      </c>
      <c r="G1489">
        <f t="shared" ca="1" si="666"/>
        <v>4</v>
      </c>
      <c r="H1489">
        <f t="shared" si="667"/>
        <v>4</v>
      </c>
      <c r="I1489" s="44">
        <f t="shared" ca="1" si="668"/>
        <v>8</v>
      </c>
      <c r="J1489">
        <f t="shared" si="669"/>
        <v>2</v>
      </c>
      <c r="K1489" s="36">
        <f t="shared" ca="1" si="670"/>
        <v>27.330612244897956</v>
      </c>
      <c r="L1489" s="10">
        <f ca="1">AH1489*VLOOKUP(C1489,技能辅助查询表,技能配置辅助表!$T$1,FALSE)</f>
        <v>0</v>
      </c>
      <c r="M1489">
        <f t="shared" ca="1" si="684"/>
        <v>7360</v>
      </c>
      <c r="N1489" s="33">
        <f ca="1">CHOOSE(1,W1489*U1489,X1489*'[1]0、经济设定'!$C$18)</f>
        <v>2700</v>
      </c>
      <c r="O1489">
        <f t="shared" si="671"/>
        <v>4</v>
      </c>
      <c r="P1489">
        <f t="shared" si="672"/>
        <v>1</v>
      </c>
      <c r="Q1489">
        <f t="shared" si="673"/>
        <v>7</v>
      </c>
      <c r="R1489" s="2">
        <f t="shared" si="674"/>
        <v>12</v>
      </c>
      <c r="S1489" s="2">
        <f t="shared" si="675"/>
        <v>50</v>
      </c>
      <c r="T1489" s="2">
        <f t="shared" si="676"/>
        <v>25.30612244897959</v>
      </c>
      <c r="U1489" s="2">
        <f ca="1">VLOOKUP(E1489,金币生产率!$A$2:$B$120,2,0)</f>
        <v>270</v>
      </c>
      <c r="V1489" s="2">
        <f t="shared" si="677"/>
        <v>177.14285714285714</v>
      </c>
      <c r="W1489" s="45">
        <f t="shared" ca="1" si="689"/>
        <v>10</v>
      </c>
      <c r="X1489" s="48">
        <f t="shared" ca="1" si="690"/>
        <v>64</v>
      </c>
      <c r="Y1489">
        <f t="shared" si="678"/>
        <v>18</v>
      </c>
      <c r="Z1489">
        <f t="shared" ca="1" si="687"/>
        <v>0</v>
      </c>
      <c r="AA1489" t="str">
        <f t="shared" ca="1" si="679"/>
        <v>9324400.png</v>
      </c>
      <c r="AB1489">
        <f t="shared" si="680"/>
        <v>3</v>
      </c>
      <c r="AC1489">
        <f>VLOOKUP(C1489,技能辅助查询表,技能配置辅助表!$W$1,FALSE)</f>
        <v>65043894</v>
      </c>
      <c r="AD1489">
        <f t="shared" ca="1" si="688"/>
        <v>5.9761085945335024</v>
      </c>
      <c r="AE1489">
        <f>VLOOKUP(C1489,技能辅助查询表,技能配置辅助表!$U$1,FALSE)</f>
        <v>4</v>
      </c>
      <c r="AF1489">
        <f t="shared" ca="1" si="681"/>
        <v>9324408</v>
      </c>
      <c r="AG1489">
        <f t="shared" ca="1" si="682"/>
        <v>21.714285714285715</v>
      </c>
      <c r="AH1489">
        <f t="shared" ca="1" si="683"/>
        <v>32.722747310493212</v>
      </c>
      <c r="AI1489">
        <f ca="1">VLOOKUP(E1489,伤害参考系!$C$4:$E$104,3,FALSE)*$AN$12</f>
        <v>832.15832357859551</v>
      </c>
      <c r="AJ1489">
        <f>VLOOKUP(C1489,技能辅助查询表,技能配置辅助表!$L$1,FALSE)</f>
        <v>7</v>
      </c>
      <c r="AK1489">
        <f>VLOOKUP(C1489,技能辅助查询表,技能配置辅助表!$AE$1,FALSE)</f>
        <v>66000650</v>
      </c>
    </row>
    <row r="1490" spans="1:37" x14ac:dyDescent="0.15">
      <c r="A1490" s="1">
        <f t="shared" ca="1" si="663"/>
        <v>9324409</v>
      </c>
      <c r="B1490" s="1" t="str">
        <f t="shared" ca="1" si="664"/>
        <v>子弹风暴第4段</v>
      </c>
      <c r="C1490" t="s">
        <v>184</v>
      </c>
      <c r="D1490">
        <f t="shared" si="665"/>
        <v>3</v>
      </c>
      <c r="E1490" s="42">
        <f t="shared" ca="1" si="685"/>
        <v>24</v>
      </c>
      <c r="F1490" t="str">
        <f t="shared" ca="1" si="686"/>
        <v>第9级，共造成193.1%点伤害</v>
      </c>
      <c r="G1490">
        <f t="shared" ca="1" si="666"/>
        <v>4</v>
      </c>
      <c r="H1490">
        <f t="shared" si="667"/>
        <v>4</v>
      </c>
      <c r="I1490" s="44">
        <f t="shared" ca="1" si="668"/>
        <v>9</v>
      </c>
      <c r="J1490">
        <f t="shared" si="669"/>
        <v>2</v>
      </c>
      <c r="K1490" s="36">
        <f t="shared" ca="1" si="670"/>
        <v>27.583673469387755</v>
      </c>
      <c r="L1490" s="10">
        <f ca="1">AH1490*VLOOKUP(C1490,技能辅助查询表,技能配置辅助表!$T$1,FALSE)</f>
        <v>0</v>
      </c>
      <c r="M1490">
        <f t="shared" ca="1" si="684"/>
        <v>7280</v>
      </c>
      <c r="N1490" s="33">
        <f ca="1">CHOOSE(1,W1490*U1490,X1490*'[1]0、经济设定'!$C$18)</f>
        <v>3322</v>
      </c>
      <c r="O1490">
        <f t="shared" si="671"/>
        <v>4</v>
      </c>
      <c r="P1490">
        <f t="shared" si="672"/>
        <v>1</v>
      </c>
      <c r="Q1490">
        <f t="shared" si="673"/>
        <v>7</v>
      </c>
      <c r="R1490" s="2">
        <f t="shared" si="674"/>
        <v>12</v>
      </c>
      <c r="S1490" s="2">
        <f t="shared" si="675"/>
        <v>50</v>
      </c>
      <c r="T1490" s="2">
        <f t="shared" si="676"/>
        <v>25.30612244897959</v>
      </c>
      <c r="U1490" s="2">
        <f ca="1">VLOOKUP(E1490,金币生产率!$A$2:$B$120,2,0)</f>
        <v>302</v>
      </c>
      <c r="V1490" s="2">
        <f t="shared" si="677"/>
        <v>177.14285714285714</v>
      </c>
      <c r="W1490" s="45">
        <f t="shared" ca="1" si="689"/>
        <v>11</v>
      </c>
      <c r="X1490" s="48">
        <f t="shared" ca="1" si="690"/>
        <v>75</v>
      </c>
      <c r="Y1490">
        <f t="shared" si="678"/>
        <v>18</v>
      </c>
      <c r="Z1490">
        <f t="shared" ca="1" si="687"/>
        <v>0</v>
      </c>
      <c r="AA1490" t="str">
        <f t="shared" ca="1" si="679"/>
        <v>9324400.png</v>
      </c>
      <c r="AB1490">
        <f t="shared" si="680"/>
        <v>3</v>
      </c>
      <c r="AC1490">
        <f>VLOOKUP(C1490,技能辅助查询表,技能配置辅助表!$W$1,FALSE)</f>
        <v>65043894</v>
      </c>
      <c r="AD1490">
        <f t="shared" ca="1" si="688"/>
        <v>6.9357077386474852</v>
      </c>
      <c r="AE1490">
        <f>VLOOKUP(C1490,技能辅助查询表,技能配置辅助表!$U$1,FALSE)</f>
        <v>4</v>
      </c>
      <c r="AF1490">
        <f t="shared" ca="1" si="681"/>
        <v>9324409</v>
      </c>
      <c r="AG1490">
        <f t="shared" ca="1" si="682"/>
        <v>23.102040816326529</v>
      </c>
      <c r="AH1490">
        <f t="shared" ca="1" si="683"/>
        <v>37.25441541630785</v>
      </c>
      <c r="AI1490">
        <f ca="1">VLOOKUP(E1490,伤害参考系!$C$4:$E$104,3,FALSE)*$AN$12</f>
        <v>914.59374581939801</v>
      </c>
      <c r="AJ1490">
        <f>VLOOKUP(C1490,技能辅助查询表,技能配置辅助表!$L$1,FALSE)</f>
        <v>7</v>
      </c>
      <c r="AK1490">
        <f>VLOOKUP(C1490,技能辅助查询表,技能配置辅助表!$AE$1,FALSE)</f>
        <v>66000650</v>
      </c>
    </row>
    <row r="1491" spans="1:37" x14ac:dyDescent="0.15">
      <c r="A1491" s="1">
        <f t="shared" ref="A1491:A1531" ca="1" si="691">IF(I1491=0,IF(H1491=1,VALUE("9"&amp;D1491&amp;J1491&amp;O1491&amp;G1491&amp;IF(I1491&gt;9,I1491,"0"&amp;I1491)),1),VALUE("9"&amp;D1491&amp;J1491&amp;O1491&amp;G1491&amp;IF(I1491&gt;9,I1491,"0"&amp;I1491)))</f>
        <v>9324410</v>
      </c>
      <c r="B1491" s="1" t="str">
        <f t="shared" ref="B1491:B1531" ca="1" si="692">IF(AND(G1491=0,AE1491=4),LEFT(C1491,LEN(C1491)-3),C1491)</f>
        <v>子弹风暴第4段</v>
      </c>
      <c r="C1491" t="s">
        <v>184</v>
      </c>
      <c r="D1491">
        <f t="shared" si="665"/>
        <v>3</v>
      </c>
      <c r="E1491" s="42">
        <f t="shared" ca="1" si="685"/>
        <v>26</v>
      </c>
      <c r="F1491" t="str">
        <f t="shared" ca="1" si="686"/>
        <v>第10级，共造成194.9%点伤害</v>
      </c>
      <c r="G1491">
        <f t="shared" ca="1" si="666"/>
        <v>4</v>
      </c>
      <c r="H1491">
        <f t="shared" si="667"/>
        <v>4</v>
      </c>
      <c r="I1491" s="44">
        <f t="shared" ca="1" si="668"/>
        <v>10</v>
      </c>
      <c r="J1491">
        <f t="shared" si="669"/>
        <v>2</v>
      </c>
      <c r="K1491" s="36">
        <f t="shared" ca="1" si="670"/>
        <v>27.836734693877549</v>
      </c>
      <c r="L1491" s="10">
        <f ca="1">AH1491*VLOOKUP(C1491,技能辅助查询表,技能配置辅助表!$T$1,FALSE)</f>
        <v>0</v>
      </c>
      <c r="M1491">
        <f t="shared" ca="1" si="684"/>
        <v>7200</v>
      </c>
      <c r="N1491" s="33">
        <f ca="1">CHOOSE(1,W1491*U1491,X1491*'[1]0、经济设定'!$C$18)</f>
        <v>4440</v>
      </c>
      <c r="O1491">
        <f t="shared" si="671"/>
        <v>4</v>
      </c>
      <c r="P1491">
        <f t="shared" si="672"/>
        <v>1</v>
      </c>
      <c r="Q1491">
        <f t="shared" si="673"/>
        <v>7</v>
      </c>
      <c r="R1491" s="2">
        <f t="shared" si="674"/>
        <v>12</v>
      </c>
      <c r="S1491" s="2">
        <f t="shared" si="675"/>
        <v>50</v>
      </c>
      <c r="T1491" s="2">
        <f t="shared" si="676"/>
        <v>25.30612244897959</v>
      </c>
      <c r="U1491" s="2">
        <f ca="1">VLOOKUP(E1491,金币生产率!$A$2:$B$120,2,0)</f>
        <v>370</v>
      </c>
      <c r="V1491" s="2">
        <f t="shared" si="677"/>
        <v>177.14285714285714</v>
      </c>
      <c r="W1491" s="45">
        <f t="shared" ca="1" si="689"/>
        <v>12</v>
      </c>
      <c r="X1491" s="48">
        <f t="shared" ca="1" si="690"/>
        <v>87</v>
      </c>
      <c r="Y1491">
        <f t="shared" si="678"/>
        <v>18</v>
      </c>
      <c r="Z1491">
        <f t="shared" ca="1" si="687"/>
        <v>0</v>
      </c>
      <c r="AA1491" t="str">
        <f t="shared" ca="1" si="679"/>
        <v>9324400.png</v>
      </c>
      <c r="AB1491">
        <f t="shared" si="680"/>
        <v>3</v>
      </c>
      <c r="AC1491">
        <f>VLOOKUP(C1491,技能辅助查询表,技能配置辅助表!$W$1,FALSE)</f>
        <v>65043894</v>
      </c>
      <c r="AD1491">
        <f t="shared" ca="1" si="688"/>
        <v>8.0464771494963649</v>
      </c>
      <c r="AE1491">
        <f>VLOOKUP(C1491,技能辅助查询表,技能配置辅助表!$U$1,FALSE)</f>
        <v>4</v>
      </c>
      <c r="AF1491">
        <f t="shared" ca="1" si="681"/>
        <v>9324410</v>
      </c>
      <c r="AG1491">
        <f t="shared" ca="1" si="682"/>
        <v>24.489795918367349</v>
      </c>
      <c r="AH1491">
        <f t="shared" ca="1" si="683"/>
        <v>42.413659673550121</v>
      </c>
      <c r="AI1491">
        <f ca="1">VLOOKUP(E1491,伤害参考系!$C$4:$E$104,3,FALSE)*$AN$12</f>
        <v>1103.3859732441474</v>
      </c>
      <c r="AJ1491">
        <f>VLOOKUP(C1491,技能辅助查询表,技能配置辅助表!$L$1,FALSE)</f>
        <v>7</v>
      </c>
      <c r="AK1491">
        <f>VLOOKUP(C1491,技能辅助查询表,技能配置辅助表!$AE$1,FALSE)</f>
        <v>66000650</v>
      </c>
    </row>
    <row r="1492" spans="1:37" x14ac:dyDescent="0.15">
      <c r="A1492" s="1">
        <f t="shared" ca="1" si="691"/>
        <v>9324411</v>
      </c>
      <c r="B1492" s="1" t="str">
        <f t="shared" ca="1" si="692"/>
        <v>子弹风暴第4段</v>
      </c>
      <c r="C1492" t="s">
        <v>184</v>
      </c>
      <c r="D1492">
        <f t="shared" si="665"/>
        <v>3</v>
      </c>
      <c r="E1492" s="42">
        <f t="shared" ca="1" si="685"/>
        <v>27</v>
      </c>
      <c r="F1492" t="str">
        <f t="shared" ca="1" si="686"/>
        <v>第11级，共造成196.6%点伤害</v>
      </c>
      <c r="G1492">
        <f t="shared" ca="1" si="666"/>
        <v>4</v>
      </c>
      <c r="H1492">
        <f t="shared" si="667"/>
        <v>4</v>
      </c>
      <c r="I1492" s="44">
        <f t="shared" ca="1" si="668"/>
        <v>11</v>
      </c>
      <c r="J1492">
        <f t="shared" si="669"/>
        <v>2</v>
      </c>
      <c r="K1492" s="36">
        <f t="shared" ca="1" si="670"/>
        <v>28.089795918367344</v>
      </c>
      <c r="L1492" s="10">
        <f ca="1">AH1492*VLOOKUP(C1492,技能辅助查询表,技能配置辅助表!$T$1,FALSE)</f>
        <v>0</v>
      </c>
      <c r="M1492">
        <f t="shared" ca="1" si="684"/>
        <v>7120</v>
      </c>
      <c r="N1492" s="33">
        <f ca="1">CHOOSE(1,W1492*U1492,X1492*'[1]0、经济设定'!$C$18)</f>
        <v>4872</v>
      </c>
      <c r="O1492">
        <f t="shared" si="671"/>
        <v>4</v>
      </c>
      <c r="P1492">
        <f t="shared" si="672"/>
        <v>1</v>
      </c>
      <c r="Q1492">
        <f t="shared" si="673"/>
        <v>7</v>
      </c>
      <c r="R1492" s="2">
        <f t="shared" si="674"/>
        <v>12</v>
      </c>
      <c r="S1492" s="2">
        <f t="shared" si="675"/>
        <v>50</v>
      </c>
      <c r="T1492" s="2">
        <f t="shared" si="676"/>
        <v>25.30612244897959</v>
      </c>
      <c r="U1492" s="2">
        <f ca="1">VLOOKUP(E1492,金币生产率!$A$2:$B$120,2,0)</f>
        <v>406</v>
      </c>
      <c r="V1492" s="2">
        <f t="shared" si="677"/>
        <v>177.14285714285714</v>
      </c>
      <c r="W1492" s="45">
        <f t="shared" ca="1" si="689"/>
        <v>12</v>
      </c>
      <c r="X1492" s="48">
        <f t="shared" ca="1" si="690"/>
        <v>99</v>
      </c>
      <c r="Y1492">
        <f t="shared" si="678"/>
        <v>18</v>
      </c>
      <c r="Z1492">
        <f t="shared" ca="1" si="687"/>
        <v>0</v>
      </c>
      <c r="AA1492" t="str">
        <f t="shared" ca="1" si="679"/>
        <v>9324400.png</v>
      </c>
      <c r="AB1492">
        <f t="shared" si="680"/>
        <v>3</v>
      </c>
      <c r="AC1492">
        <f>VLOOKUP(C1492,技能辅助查询表,技能配置辅助表!$W$1,FALSE)</f>
        <v>65043894</v>
      </c>
      <c r="AD1492">
        <f t="shared" ca="1" si="688"/>
        <v>9.3318832373896878</v>
      </c>
      <c r="AE1492">
        <f>VLOOKUP(C1492,技能辅助查询表,技能配置辅助表!$U$1,FALSE)</f>
        <v>4</v>
      </c>
      <c r="AF1492">
        <f t="shared" ca="1" si="681"/>
        <v>9324411</v>
      </c>
      <c r="AG1492">
        <f t="shared" ca="1" si="682"/>
        <v>25.877551020408163</v>
      </c>
      <c r="AH1492">
        <f t="shared" ca="1" si="683"/>
        <v>48.287391086433935</v>
      </c>
      <c r="AI1492">
        <f ca="1">VLOOKUP(E1492,伤害参考系!$C$4:$E$104,3,FALSE)*$AN$12</f>
        <v>1210.5107784280938</v>
      </c>
      <c r="AJ1492">
        <f>VLOOKUP(C1492,技能辅助查询表,技能配置辅助表!$L$1,FALSE)</f>
        <v>7</v>
      </c>
      <c r="AK1492">
        <f>VLOOKUP(C1492,技能辅助查询表,技能配置辅助表!$AE$1,FALSE)</f>
        <v>66000650</v>
      </c>
    </row>
    <row r="1493" spans="1:37" x14ac:dyDescent="0.15">
      <c r="A1493" s="1">
        <f t="shared" ca="1" si="691"/>
        <v>9324412</v>
      </c>
      <c r="B1493" s="1" t="str">
        <f t="shared" ca="1" si="692"/>
        <v>子弹风暴第4段</v>
      </c>
      <c r="C1493" t="s">
        <v>184</v>
      </c>
      <c r="D1493">
        <f t="shared" si="665"/>
        <v>3</v>
      </c>
      <c r="E1493" s="42">
        <f t="shared" ca="1" si="685"/>
        <v>28</v>
      </c>
      <c r="F1493" t="str">
        <f t="shared" ca="1" si="686"/>
        <v>第12级，共造成198.4%点伤害</v>
      </c>
      <c r="G1493">
        <f t="shared" ca="1" si="666"/>
        <v>4</v>
      </c>
      <c r="H1493">
        <f t="shared" si="667"/>
        <v>4</v>
      </c>
      <c r="I1493" s="44">
        <f t="shared" ca="1" si="668"/>
        <v>12</v>
      </c>
      <c r="J1493">
        <f t="shared" si="669"/>
        <v>2</v>
      </c>
      <c r="K1493" s="36">
        <f t="shared" ca="1" si="670"/>
        <v>28.342857142857142</v>
      </c>
      <c r="L1493" s="10">
        <f ca="1">AH1493*VLOOKUP(C1493,技能辅助查询表,技能配置辅助表!$T$1,FALSE)</f>
        <v>0</v>
      </c>
      <c r="M1493">
        <f t="shared" ca="1" si="684"/>
        <v>7040</v>
      </c>
      <c r="N1493" s="33">
        <f ca="1">CHOOSE(1,W1493*U1493,X1493*'[1]0、经济设定'!$C$18)</f>
        <v>5759</v>
      </c>
      <c r="O1493">
        <f t="shared" si="671"/>
        <v>4</v>
      </c>
      <c r="P1493">
        <f t="shared" si="672"/>
        <v>1</v>
      </c>
      <c r="Q1493">
        <f t="shared" si="673"/>
        <v>7</v>
      </c>
      <c r="R1493" s="2">
        <f t="shared" si="674"/>
        <v>12</v>
      </c>
      <c r="S1493" s="2">
        <f t="shared" si="675"/>
        <v>50</v>
      </c>
      <c r="T1493" s="2">
        <f t="shared" si="676"/>
        <v>25.30612244897959</v>
      </c>
      <c r="U1493" s="2">
        <f ca="1">VLOOKUP(E1493,金币生产率!$A$2:$B$120,2,0)</f>
        <v>443</v>
      </c>
      <c r="V1493" s="2">
        <f t="shared" si="677"/>
        <v>177.14285714285714</v>
      </c>
      <c r="W1493" s="45">
        <f t="shared" ca="1" si="689"/>
        <v>13</v>
      </c>
      <c r="X1493" s="48">
        <f t="shared" ca="1" si="690"/>
        <v>112</v>
      </c>
      <c r="Y1493">
        <f t="shared" si="678"/>
        <v>18</v>
      </c>
      <c r="Z1493">
        <f t="shared" ca="1" si="687"/>
        <v>0</v>
      </c>
      <c r="AA1493" t="str">
        <f t="shared" ca="1" si="679"/>
        <v>9324400.png</v>
      </c>
      <c r="AB1493">
        <f t="shared" si="680"/>
        <v>3</v>
      </c>
      <c r="AC1493">
        <f>VLOOKUP(C1493,技能辅助查询表,技能配置辅助表!$W$1,FALSE)</f>
        <v>65043894</v>
      </c>
      <c r="AD1493">
        <f t="shared" ca="1" si="688"/>
        <v>10.818992755572463</v>
      </c>
      <c r="AE1493">
        <f>VLOOKUP(C1493,技能辅助查询表,技能配置辅助表!$U$1,FALSE)</f>
        <v>4</v>
      </c>
      <c r="AF1493">
        <f t="shared" ca="1" si="681"/>
        <v>9324412</v>
      </c>
      <c r="AG1493">
        <f t="shared" ca="1" si="682"/>
        <v>27.26530612244898</v>
      </c>
      <c r="AH1493">
        <f t="shared" ca="1" si="683"/>
        <v>54.974556684819426</v>
      </c>
      <c r="AI1493">
        <f ca="1">VLOOKUP(E1493,伤害参考系!$C$4:$E$104,3,FALSE)*$AN$12</f>
        <v>1321.7693779264216</v>
      </c>
      <c r="AJ1493">
        <f>VLOOKUP(C1493,技能辅助查询表,技能配置辅助表!$L$1,FALSE)</f>
        <v>7</v>
      </c>
      <c r="AK1493">
        <f>VLOOKUP(C1493,技能辅助查询表,技能配置辅助表!$AE$1,FALSE)</f>
        <v>66000650</v>
      </c>
    </row>
    <row r="1494" spans="1:37" x14ac:dyDescent="0.15">
      <c r="A1494" s="1">
        <f t="shared" ca="1" si="691"/>
        <v>9324413</v>
      </c>
      <c r="B1494" s="1" t="str">
        <f t="shared" ca="1" si="692"/>
        <v>子弹风暴第4段</v>
      </c>
      <c r="C1494" t="s">
        <v>184</v>
      </c>
      <c r="D1494">
        <f t="shared" si="665"/>
        <v>3</v>
      </c>
      <c r="E1494" s="42">
        <f t="shared" ca="1" si="685"/>
        <v>30</v>
      </c>
      <c r="F1494" t="str">
        <f t="shared" ca="1" si="686"/>
        <v>第13级，共造成200.2%点伤害</v>
      </c>
      <c r="G1494">
        <f t="shared" ca="1" si="666"/>
        <v>4</v>
      </c>
      <c r="H1494">
        <f t="shared" si="667"/>
        <v>4</v>
      </c>
      <c r="I1494" s="44">
        <f t="shared" ca="1" si="668"/>
        <v>13</v>
      </c>
      <c r="J1494">
        <f t="shared" si="669"/>
        <v>2</v>
      </c>
      <c r="K1494" s="36">
        <f t="shared" ca="1" si="670"/>
        <v>28.595918367346936</v>
      </c>
      <c r="L1494" s="10">
        <f ca="1">AH1494*VLOOKUP(C1494,技能辅助查询表,技能配置辅助表!$T$1,FALSE)</f>
        <v>0</v>
      </c>
      <c r="M1494">
        <f t="shared" ca="1" si="684"/>
        <v>6960</v>
      </c>
      <c r="N1494" s="33">
        <f ca="1">CHOOSE(1,W1494*U1494,X1494*'[1]0、经济设定'!$C$18)</f>
        <v>7308</v>
      </c>
      <c r="O1494">
        <f t="shared" si="671"/>
        <v>4</v>
      </c>
      <c r="P1494">
        <f t="shared" si="672"/>
        <v>1</v>
      </c>
      <c r="Q1494">
        <f t="shared" si="673"/>
        <v>7</v>
      </c>
      <c r="R1494" s="2">
        <f t="shared" si="674"/>
        <v>12</v>
      </c>
      <c r="S1494" s="2">
        <f t="shared" si="675"/>
        <v>50</v>
      </c>
      <c r="T1494" s="2">
        <f t="shared" si="676"/>
        <v>25.30612244897959</v>
      </c>
      <c r="U1494" s="2">
        <f ca="1">VLOOKUP(E1494,金币生产率!$A$2:$B$120,2,0)</f>
        <v>522</v>
      </c>
      <c r="V1494" s="2">
        <f t="shared" si="677"/>
        <v>177.14285714285714</v>
      </c>
      <c r="W1494" s="45">
        <f t="shared" ca="1" si="689"/>
        <v>14</v>
      </c>
      <c r="X1494" s="48">
        <f t="shared" ca="1" si="690"/>
        <v>126</v>
      </c>
      <c r="Y1494">
        <f t="shared" si="678"/>
        <v>18</v>
      </c>
      <c r="Z1494">
        <f t="shared" ca="1" si="687"/>
        <v>0</v>
      </c>
      <c r="AA1494" t="str">
        <f t="shared" ca="1" si="679"/>
        <v>9324400.png</v>
      </c>
      <c r="AB1494">
        <f t="shared" si="680"/>
        <v>3</v>
      </c>
      <c r="AC1494">
        <f>VLOOKUP(C1494,技能辅助查询表,技能配置辅助表!$W$1,FALSE)</f>
        <v>65043894</v>
      </c>
      <c r="AD1494">
        <f t="shared" ca="1" si="688"/>
        <v>12.539019947408736</v>
      </c>
      <c r="AE1494">
        <f>VLOOKUP(C1494,技能辅助查询表,技能配置辅助表!$U$1,FALSE)</f>
        <v>4</v>
      </c>
      <c r="AF1494">
        <f t="shared" ca="1" si="681"/>
        <v>9324413</v>
      </c>
      <c r="AG1494">
        <f t="shared" ca="1" si="682"/>
        <v>28.653061224489797</v>
      </c>
      <c r="AH1494">
        <f t="shared" ca="1" si="683"/>
        <v>62.587806354721323</v>
      </c>
      <c r="AI1494">
        <f ca="1">VLOOKUP(E1494,伤害参考系!$C$4:$E$104,3,FALSE)*$AN$12</f>
        <v>1576.1465593645489</v>
      </c>
      <c r="AJ1494">
        <f>VLOOKUP(C1494,技能辅助查询表,技能配置辅助表!$L$1,FALSE)</f>
        <v>7</v>
      </c>
      <c r="AK1494">
        <f>VLOOKUP(C1494,技能辅助查询表,技能配置辅助表!$AE$1,FALSE)</f>
        <v>66000650</v>
      </c>
    </row>
    <row r="1495" spans="1:37" x14ac:dyDescent="0.15">
      <c r="A1495" s="1">
        <f t="shared" ca="1" si="691"/>
        <v>9324414</v>
      </c>
      <c r="B1495" s="1" t="str">
        <f t="shared" ca="1" si="692"/>
        <v>子弹风暴第4段</v>
      </c>
      <c r="C1495" t="s">
        <v>184</v>
      </c>
      <c r="D1495">
        <f t="shared" si="665"/>
        <v>3</v>
      </c>
      <c r="E1495" s="42">
        <f t="shared" ca="1" si="685"/>
        <v>31</v>
      </c>
      <c r="F1495" t="str">
        <f t="shared" ca="1" si="686"/>
        <v>第14级，共造成201.9%点伤害</v>
      </c>
      <c r="G1495">
        <f t="shared" ca="1" si="666"/>
        <v>4</v>
      </c>
      <c r="H1495">
        <f t="shared" si="667"/>
        <v>4</v>
      </c>
      <c r="I1495" s="44">
        <f t="shared" ca="1" si="668"/>
        <v>14</v>
      </c>
      <c r="J1495">
        <f t="shared" si="669"/>
        <v>2</v>
      </c>
      <c r="K1495" s="36">
        <f t="shared" ca="1" si="670"/>
        <v>28.848979591836731</v>
      </c>
      <c r="L1495" s="10">
        <f ca="1">AH1495*VLOOKUP(C1495,技能辅助查询表,技能配置辅助表!$T$1,FALSE)</f>
        <v>0</v>
      </c>
      <c r="M1495">
        <f t="shared" ca="1" si="684"/>
        <v>6880</v>
      </c>
      <c r="N1495" s="33">
        <f ca="1">CHOOSE(1,W1495*U1495,X1495*'[1]0、经济设定'!$C$18)</f>
        <v>8445</v>
      </c>
      <c r="O1495">
        <f t="shared" si="671"/>
        <v>4</v>
      </c>
      <c r="P1495">
        <f t="shared" si="672"/>
        <v>1</v>
      </c>
      <c r="Q1495">
        <f t="shared" si="673"/>
        <v>7</v>
      </c>
      <c r="R1495" s="2">
        <f t="shared" si="674"/>
        <v>12</v>
      </c>
      <c r="S1495" s="2">
        <f t="shared" si="675"/>
        <v>50</v>
      </c>
      <c r="T1495" s="2">
        <f t="shared" si="676"/>
        <v>25.30612244897959</v>
      </c>
      <c r="U1495" s="2">
        <f ca="1">VLOOKUP(E1495,金币生产率!$A$2:$B$120,2,0)</f>
        <v>563</v>
      </c>
      <c r="V1495" s="2">
        <f t="shared" si="677"/>
        <v>177.14285714285714</v>
      </c>
      <c r="W1495" s="45">
        <f t="shared" ca="1" si="689"/>
        <v>15</v>
      </c>
      <c r="X1495" s="48">
        <f t="shared" ca="1" si="690"/>
        <v>141</v>
      </c>
      <c r="Y1495">
        <f t="shared" si="678"/>
        <v>18</v>
      </c>
      <c r="Z1495">
        <f t="shared" ca="1" si="687"/>
        <v>0</v>
      </c>
      <c r="AA1495" t="str">
        <f t="shared" ca="1" si="679"/>
        <v>9324400.png</v>
      </c>
      <c r="AB1495">
        <f t="shared" si="680"/>
        <v>3</v>
      </c>
      <c r="AC1495">
        <f>VLOOKUP(C1495,技能辅助查询表,技能配置辅助表!$W$1,FALSE)</f>
        <v>65043894</v>
      </c>
      <c r="AD1495">
        <f t="shared" ca="1" si="688"/>
        <v>14.527956189374478</v>
      </c>
      <c r="AE1495">
        <f>VLOOKUP(C1495,技能辅助查询表,技能配置辅助表!$U$1,FALSE)</f>
        <v>4</v>
      </c>
      <c r="AF1495">
        <f t="shared" ca="1" si="681"/>
        <v>9324414</v>
      </c>
      <c r="AG1495">
        <f t="shared" ca="1" si="682"/>
        <v>30.040816326530614</v>
      </c>
      <c r="AH1495">
        <f t="shared" ca="1" si="683"/>
        <v>71.25539050281769</v>
      </c>
      <c r="AI1495">
        <f ca="1">VLOOKUP(E1495,伤害参考系!$C$4:$E$104,3,FALSE)*$AN$12</f>
        <v>1721.3320384615388</v>
      </c>
      <c r="AJ1495">
        <f>VLOOKUP(C1495,技能辅助查询表,技能配置辅助表!$L$1,FALSE)</f>
        <v>7</v>
      </c>
      <c r="AK1495">
        <f>VLOOKUP(C1495,技能辅助查询表,技能配置辅助表!$AE$1,FALSE)</f>
        <v>66000650</v>
      </c>
    </row>
    <row r="1496" spans="1:37" x14ac:dyDescent="0.15">
      <c r="A1496" s="1">
        <f t="shared" ca="1" si="691"/>
        <v>9324415</v>
      </c>
      <c r="B1496" s="1" t="str">
        <f t="shared" ca="1" si="692"/>
        <v>子弹风暴第4段</v>
      </c>
      <c r="C1496" t="s">
        <v>184</v>
      </c>
      <c r="D1496">
        <f t="shared" si="665"/>
        <v>3</v>
      </c>
      <c r="E1496" s="42">
        <f t="shared" ca="1" si="685"/>
        <v>32</v>
      </c>
      <c r="F1496" t="str">
        <f t="shared" ca="1" si="686"/>
        <v>第15级，共造成203.7%点伤害</v>
      </c>
      <c r="G1496">
        <f t="shared" ca="1" si="666"/>
        <v>4</v>
      </c>
      <c r="H1496">
        <f t="shared" si="667"/>
        <v>4</v>
      </c>
      <c r="I1496" s="44">
        <f t="shared" ca="1" si="668"/>
        <v>15</v>
      </c>
      <c r="J1496">
        <f t="shared" si="669"/>
        <v>2</v>
      </c>
      <c r="K1496" s="36">
        <f t="shared" ca="1" si="670"/>
        <v>29.102040816326529</v>
      </c>
      <c r="L1496" s="10">
        <f ca="1">AH1496*VLOOKUP(C1496,技能辅助查询表,技能配置辅助表!$T$1,FALSE)</f>
        <v>0</v>
      </c>
      <c r="M1496">
        <f t="shared" ca="1" si="684"/>
        <v>6800</v>
      </c>
      <c r="N1496" s="33">
        <f ca="1">CHOOSE(1,W1496*U1496,X1496*'[1]0、经济设定'!$C$18)</f>
        <v>9696</v>
      </c>
      <c r="O1496">
        <f t="shared" si="671"/>
        <v>4</v>
      </c>
      <c r="P1496">
        <f t="shared" si="672"/>
        <v>1</v>
      </c>
      <c r="Q1496">
        <f t="shared" si="673"/>
        <v>7</v>
      </c>
      <c r="R1496" s="2">
        <f t="shared" si="674"/>
        <v>12</v>
      </c>
      <c r="S1496" s="2">
        <f t="shared" si="675"/>
        <v>50</v>
      </c>
      <c r="T1496" s="2">
        <f t="shared" si="676"/>
        <v>25.30612244897959</v>
      </c>
      <c r="U1496" s="2">
        <f ca="1">VLOOKUP(E1496,金币生产率!$A$2:$B$120,2,0)</f>
        <v>606</v>
      </c>
      <c r="V1496" s="2">
        <f t="shared" si="677"/>
        <v>177.14285714285714</v>
      </c>
      <c r="W1496" s="45">
        <f t="shared" ca="1" si="689"/>
        <v>16</v>
      </c>
      <c r="X1496" s="48">
        <f t="shared" ca="1" si="690"/>
        <v>157</v>
      </c>
      <c r="Y1496">
        <f t="shared" si="678"/>
        <v>18</v>
      </c>
      <c r="Z1496">
        <f t="shared" ca="1" si="687"/>
        <v>0</v>
      </c>
      <c r="AA1496" t="str">
        <f t="shared" ca="1" si="679"/>
        <v>9324400.png</v>
      </c>
      <c r="AB1496">
        <f t="shared" si="680"/>
        <v>3</v>
      </c>
      <c r="AC1496">
        <f>VLOOKUP(C1496,技能辅助查询表,技能配置辅助表!$W$1,FALSE)</f>
        <v>65043894</v>
      </c>
      <c r="AD1496">
        <f t="shared" ca="1" si="688"/>
        <v>16.827294485507121</v>
      </c>
      <c r="AE1496">
        <f>VLOOKUP(C1496,技能辅助查询表,技能配置辅助表!$U$1,FALSE)</f>
        <v>4</v>
      </c>
      <c r="AF1496">
        <f t="shared" ca="1" si="681"/>
        <v>9324415</v>
      </c>
      <c r="AG1496">
        <f t="shared" ca="1" si="682"/>
        <v>31.428571428571427</v>
      </c>
      <c r="AH1496">
        <f t="shared" ca="1" si="683"/>
        <v>81.123320522417259</v>
      </c>
      <c r="AI1496">
        <f ca="1">VLOOKUP(E1496,伤害参考系!$C$4:$E$104,3,FALSE)*$AN$12</f>
        <v>1873.3990785953181</v>
      </c>
      <c r="AJ1496">
        <f>VLOOKUP(C1496,技能辅助查询表,技能配置辅助表!$L$1,FALSE)</f>
        <v>7</v>
      </c>
      <c r="AK1496">
        <f>VLOOKUP(C1496,技能辅助查询表,技能配置辅助表!$AE$1,FALSE)</f>
        <v>66000650</v>
      </c>
    </row>
    <row r="1497" spans="1:37" x14ac:dyDescent="0.15">
      <c r="A1497" s="1">
        <f t="shared" ca="1" si="691"/>
        <v>9324416</v>
      </c>
      <c r="B1497" s="1" t="str">
        <f t="shared" ca="1" si="692"/>
        <v>子弹风暴第4段</v>
      </c>
      <c r="C1497" t="s">
        <v>184</v>
      </c>
      <c r="D1497">
        <f t="shared" si="665"/>
        <v>3</v>
      </c>
      <c r="E1497" s="42">
        <f t="shared" ca="1" si="685"/>
        <v>34</v>
      </c>
      <c r="F1497" t="str">
        <f t="shared" ca="1" si="686"/>
        <v>第16级，共造成205.5%点伤害</v>
      </c>
      <c r="G1497">
        <f t="shared" ca="1" si="666"/>
        <v>4</v>
      </c>
      <c r="H1497">
        <f t="shared" si="667"/>
        <v>4</v>
      </c>
      <c r="I1497" s="44">
        <f t="shared" ca="1" si="668"/>
        <v>16</v>
      </c>
      <c r="J1497">
        <f t="shared" si="669"/>
        <v>2</v>
      </c>
      <c r="K1497" s="36">
        <f t="shared" ca="1" si="670"/>
        <v>29.355102040816323</v>
      </c>
      <c r="L1497" s="10">
        <f ca="1">AH1497*VLOOKUP(C1497,技能辅助查询表,技能配置辅助表!$T$1,FALSE)</f>
        <v>0</v>
      </c>
      <c r="M1497">
        <f t="shared" ca="1" si="684"/>
        <v>6720</v>
      </c>
      <c r="N1497" s="33">
        <f ca="1">CHOOSE(1,W1497*U1497,X1497*'[1]0、经济设定'!$C$18)</f>
        <v>11832</v>
      </c>
      <c r="O1497">
        <f t="shared" si="671"/>
        <v>4</v>
      </c>
      <c r="P1497">
        <f t="shared" si="672"/>
        <v>1</v>
      </c>
      <c r="Q1497">
        <f t="shared" si="673"/>
        <v>7</v>
      </c>
      <c r="R1497" s="2">
        <f t="shared" si="674"/>
        <v>12</v>
      </c>
      <c r="S1497" s="2">
        <f t="shared" si="675"/>
        <v>50</v>
      </c>
      <c r="T1497" s="2">
        <f t="shared" si="676"/>
        <v>25.30612244897959</v>
      </c>
      <c r="U1497" s="2">
        <f ca="1">VLOOKUP(E1497,金币生产率!$A$2:$B$120,2,0)</f>
        <v>696</v>
      </c>
      <c r="V1497" s="2">
        <f t="shared" si="677"/>
        <v>177.14285714285714</v>
      </c>
      <c r="W1497" s="45">
        <f t="shared" ca="1" si="689"/>
        <v>17</v>
      </c>
      <c r="X1497" s="48">
        <f t="shared" ca="1" si="690"/>
        <v>174</v>
      </c>
      <c r="Y1497">
        <f t="shared" si="678"/>
        <v>18</v>
      </c>
      <c r="Z1497">
        <f t="shared" ca="1" si="687"/>
        <v>0</v>
      </c>
      <c r="AA1497" t="str">
        <f t="shared" ca="1" si="679"/>
        <v>9324400.png</v>
      </c>
      <c r="AB1497">
        <f t="shared" si="680"/>
        <v>3</v>
      </c>
      <c r="AC1497">
        <f>VLOOKUP(C1497,技能辅助查询表,技能配置辅助表!$W$1,FALSE)</f>
        <v>65043894</v>
      </c>
      <c r="AD1497">
        <f t="shared" ca="1" si="688"/>
        <v>19.48486300899383</v>
      </c>
      <c r="AE1497">
        <f>VLOOKUP(C1497,技能辅助查询表,技能配置辅助表!$U$1,FALSE)</f>
        <v>4</v>
      </c>
      <c r="AF1497">
        <f t="shared" ca="1" si="681"/>
        <v>9324416</v>
      </c>
      <c r="AG1497">
        <f t="shared" ca="1" si="682"/>
        <v>32.816326530612244</v>
      </c>
      <c r="AH1497">
        <f t="shared" ca="1" si="683"/>
        <v>92.357828455414989</v>
      </c>
      <c r="AI1497">
        <f ca="1">VLOOKUP(E1497,伤害参考系!$C$4:$E$104,3,FALSE)*$AN$12</f>
        <v>2196.2761028428095</v>
      </c>
      <c r="AJ1497">
        <f>VLOOKUP(C1497,技能辅助查询表,技能配置辅助表!$L$1,FALSE)</f>
        <v>7</v>
      </c>
      <c r="AK1497">
        <f>VLOOKUP(C1497,技能辅助查询表,技能配置辅助表!$AE$1,FALSE)</f>
        <v>66000650</v>
      </c>
    </row>
    <row r="1498" spans="1:37" x14ac:dyDescent="0.15">
      <c r="A1498" s="1">
        <f t="shared" ca="1" si="691"/>
        <v>9324417</v>
      </c>
      <c r="B1498" s="1" t="str">
        <f t="shared" ca="1" si="692"/>
        <v>子弹风暴第4段</v>
      </c>
      <c r="C1498" t="s">
        <v>184</v>
      </c>
      <c r="D1498">
        <f t="shared" si="665"/>
        <v>3</v>
      </c>
      <c r="E1498" s="42">
        <f t="shared" ca="1" si="685"/>
        <v>35</v>
      </c>
      <c r="F1498" t="str">
        <f t="shared" ca="1" si="686"/>
        <v>第17级，共造成207.3%点伤害</v>
      </c>
      <c r="G1498">
        <f t="shared" ca="1" si="666"/>
        <v>4</v>
      </c>
      <c r="H1498">
        <f t="shared" si="667"/>
        <v>4</v>
      </c>
      <c r="I1498" s="44">
        <f t="shared" ca="1" si="668"/>
        <v>17</v>
      </c>
      <c r="J1498">
        <f t="shared" si="669"/>
        <v>2</v>
      </c>
      <c r="K1498" s="36">
        <f t="shared" ca="1" si="670"/>
        <v>29.608163265306121</v>
      </c>
      <c r="L1498" s="10">
        <f ca="1">AH1498*VLOOKUP(C1498,技能辅助查询表,技能配置辅助表!$T$1,FALSE)</f>
        <v>0</v>
      </c>
      <c r="M1498">
        <f t="shared" ca="1" si="684"/>
        <v>6640</v>
      </c>
      <c r="N1498" s="33">
        <f ca="1">CHOOSE(1,W1498*U1498,X1498*'[1]0、经济设定'!$C$18)</f>
        <v>14117</v>
      </c>
      <c r="O1498">
        <f t="shared" si="671"/>
        <v>4</v>
      </c>
      <c r="P1498">
        <f t="shared" si="672"/>
        <v>1</v>
      </c>
      <c r="Q1498">
        <f t="shared" si="673"/>
        <v>7</v>
      </c>
      <c r="R1498" s="2">
        <f t="shared" si="674"/>
        <v>12</v>
      </c>
      <c r="S1498" s="2">
        <f t="shared" si="675"/>
        <v>50</v>
      </c>
      <c r="T1498" s="2">
        <f t="shared" si="676"/>
        <v>25.30612244897959</v>
      </c>
      <c r="U1498" s="2">
        <f ca="1">VLOOKUP(E1498,金币生产率!$A$2:$B$120,2,0)</f>
        <v>743</v>
      </c>
      <c r="V1498" s="2">
        <f t="shared" si="677"/>
        <v>177.14285714285714</v>
      </c>
      <c r="W1498" s="45">
        <f t="shared" ca="1" si="689"/>
        <v>19</v>
      </c>
      <c r="X1498" s="48">
        <f t="shared" ca="1" si="690"/>
        <v>193</v>
      </c>
      <c r="Y1498">
        <f t="shared" si="678"/>
        <v>18</v>
      </c>
      <c r="Z1498">
        <f t="shared" ca="1" si="687"/>
        <v>0</v>
      </c>
      <c r="AA1498" t="str">
        <f t="shared" ca="1" si="679"/>
        <v>9324400.png</v>
      </c>
      <c r="AB1498">
        <f t="shared" si="680"/>
        <v>3</v>
      </c>
      <c r="AC1498">
        <f>VLOOKUP(C1498,技能辅助查询表,技能配置辅助表!$W$1,FALSE)</f>
        <v>65043894</v>
      </c>
      <c r="AD1498">
        <f t="shared" ca="1" si="688"/>
        <v>22.555783999292302</v>
      </c>
      <c r="AE1498">
        <f>VLOOKUP(C1498,技能辅助查询表,技能配置辅助表!$U$1,FALSE)</f>
        <v>4</v>
      </c>
      <c r="AF1498">
        <f t="shared" ca="1" si="681"/>
        <v>9324417</v>
      </c>
      <c r="AG1498">
        <f t="shared" ca="1" si="682"/>
        <v>34.204081632653057</v>
      </c>
      <c r="AH1498">
        <f t="shared" ca="1" si="683"/>
        <v>105.14816728492683</v>
      </c>
      <c r="AI1498">
        <f ca="1">VLOOKUP(E1498,伤害参考系!$C$4:$E$104,3,FALSE)*$AN$12</f>
        <v>2367.0860869565217</v>
      </c>
      <c r="AJ1498">
        <f>VLOOKUP(C1498,技能辅助查询表,技能配置辅助表!$L$1,FALSE)</f>
        <v>7</v>
      </c>
      <c r="AK1498">
        <f>VLOOKUP(C1498,技能辅助查询表,技能配置辅助表!$AE$1,FALSE)</f>
        <v>66000650</v>
      </c>
    </row>
    <row r="1499" spans="1:37" x14ac:dyDescent="0.15">
      <c r="A1499" s="1">
        <f t="shared" ca="1" si="691"/>
        <v>9324418</v>
      </c>
      <c r="B1499" s="1" t="str">
        <f t="shared" ca="1" si="692"/>
        <v>子弹风暴第4段</v>
      </c>
      <c r="C1499" t="s">
        <v>184</v>
      </c>
      <c r="D1499">
        <f t="shared" si="665"/>
        <v>3</v>
      </c>
      <c r="E1499" s="42">
        <f t="shared" ca="1" si="685"/>
        <v>36</v>
      </c>
      <c r="F1499" t="str">
        <f t="shared" ca="1" si="686"/>
        <v>第18级，共造成209%点伤害</v>
      </c>
      <c r="G1499">
        <f t="shared" ca="1" si="666"/>
        <v>4</v>
      </c>
      <c r="H1499">
        <f t="shared" si="667"/>
        <v>4</v>
      </c>
      <c r="I1499" s="44">
        <f t="shared" ca="1" si="668"/>
        <v>18</v>
      </c>
      <c r="J1499">
        <f t="shared" si="669"/>
        <v>2</v>
      </c>
      <c r="K1499" s="36">
        <f t="shared" ca="1" si="670"/>
        <v>29.861224489795916</v>
      </c>
      <c r="L1499" s="10">
        <f ca="1">AH1499*VLOOKUP(C1499,技能辅助查询表,技能配置辅助表!$T$1,FALSE)</f>
        <v>0</v>
      </c>
      <c r="M1499">
        <f t="shared" ca="1" si="684"/>
        <v>6560</v>
      </c>
      <c r="N1499" s="33">
        <f ca="1">CHOOSE(1,W1499*U1499,X1499*'[1]0、经济设定'!$C$18)</f>
        <v>15820</v>
      </c>
      <c r="O1499">
        <f t="shared" si="671"/>
        <v>4</v>
      </c>
      <c r="P1499">
        <f t="shared" si="672"/>
        <v>1</v>
      </c>
      <c r="Q1499">
        <f t="shared" si="673"/>
        <v>7</v>
      </c>
      <c r="R1499" s="2">
        <f t="shared" si="674"/>
        <v>12</v>
      </c>
      <c r="S1499" s="2">
        <f t="shared" si="675"/>
        <v>50</v>
      </c>
      <c r="T1499" s="2">
        <f t="shared" si="676"/>
        <v>25.30612244897959</v>
      </c>
      <c r="U1499" s="2">
        <f ca="1">VLOOKUP(E1499,金币生产率!$A$2:$B$120,2,0)</f>
        <v>791</v>
      </c>
      <c r="V1499" s="2">
        <f t="shared" si="677"/>
        <v>177.14285714285714</v>
      </c>
      <c r="W1499" s="45">
        <f t="shared" ca="1" si="689"/>
        <v>20</v>
      </c>
      <c r="X1499" s="48">
        <f t="shared" ca="1" si="690"/>
        <v>213</v>
      </c>
      <c r="Y1499">
        <f t="shared" si="678"/>
        <v>18</v>
      </c>
      <c r="Z1499">
        <f t="shared" ca="1" si="687"/>
        <v>8</v>
      </c>
      <c r="AA1499" t="str">
        <f t="shared" ca="1" si="679"/>
        <v>9324400.png</v>
      </c>
      <c r="AB1499">
        <f t="shared" si="680"/>
        <v>3</v>
      </c>
      <c r="AC1499">
        <f>VLOOKUP(C1499,技能辅助查询表,技能配置辅助表!$W$1,FALSE)</f>
        <v>65043894</v>
      </c>
      <c r="AD1499">
        <f t="shared" ca="1" si="688"/>
        <v>26.103576748800965</v>
      </c>
      <c r="AE1499">
        <f>VLOOKUP(C1499,技能辅助查询表,技能配置辅助表!$U$1,FALSE)</f>
        <v>4</v>
      </c>
      <c r="AF1499">
        <f t="shared" ca="1" si="681"/>
        <v>9324418</v>
      </c>
      <c r="AG1499">
        <f t="shared" ca="1" si="682"/>
        <v>35.591836734693878</v>
      </c>
      <c r="AH1499">
        <f t="shared" ca="1" si="683"/>
        <v>119.70979903145096</v>
      </c>
      <c r="AI1499">
        <f ca="1">VLOOKUP(E1499,伤害参考系!$C$4:$E$104,3,FALSE)*$AN$12</f>
        <v>2544.1437190635456</v>
      </c>
      <c r="AJ1499">
        <f>VLOOKUP(C1499,技能辅助查询表,技能配置辅助表!$L$1,FALSE)</f>
        <v>7</v>
      </c>
      <c r="AK1499">
        <f>VLOOKUP(C1499,技能辅助查询表,技能配置辅助表!$AE$1,FALSE)</f>
        <v>66000650</v>
      </c>
    </row>
    <row r="1500" spans="1:37" x14ac:dyDescent="0.15">
      <c r="A1500" s="1">
        <f t="shared" ca="1" si="691"/>
        <v>9324419</v>
      </c>
      <c r="B1500" s="1" t="str">
        <f t="shared" ca="1" si="692"/>
        <v>子弹风暴第4段</v>
      </c>
      <c r="C1500" t="s">
        <v>184</v>
      </c>
      <c r="D1500">
        <f t="shared" si="665"/>
        <v>3</v>
      </c>
      <c r="E1500" s="42">
        <f t="shared" ca="1" si="685"/>
        <v>38</v>
      </c>
      <c r="F1500" t="str">
        <f t="shared" ca="1" si="686"/>
        <v>第19级，共造成210.8%点伤害</v>
      </c>
      <c r="G1500">
        <f t="shared" ca="1" si="666"/>
        <v>4</v>
      </c>
      <c r="H1500">
        <f t="shared" si="667"/>
        <v>4</v>
      </c>
      <c r="I1500" s="44">
        <f t="shared" ca="1" si="668"/>
        <v>19</v>
      </c>
      <c r="J1500">
        <f t="shared" si="669"/>
        <v>2</v>
      </c>
      <c r="K1500" s="36">
        <f t="shared" ca="1" si="670"/>
        <v>30.114285714285714</v>
      </c>
      <c r="L1500" s="10">
        <f ca="1">AH1500*VLOOKUP(C1500,技能辅助查询表,技能配置辅助表!$T$1,FALSE)</f>
        <v>0</v>
      </c>
      <c r="M1500">
        <f t="shared" ca="1" si="684"/>
        <v>6480</v>
      </c>
      <c r="N1500" s="33">
        <f ca="1">CHOOSE(1,W1500*U1500,X1500*'[1]0、经济设定'!$C$18)</f>
        <v>18732</v>
      </c>
      <c r="O1500">
        <f t="shared" si="671"/>
        <v>4</v>
      </c>
      <c r="P1500">
        <f t="shared" si="672"/>
        <v>1</v>
      </c>
      <c r="Q1500">
        <f t="shared" si="673"/>
        <v>7</v>
      </c>
      <c r="R1500" s="2">
        <f t="shared" si="674"/>
        <v>12</v>
      </c>
      <c r="S1500" s="2">
        <f t="shared" si="675"/>
        <v>50</v>
      </c>
      <c r="T1500" s="2">
        <f t="shared" si="676"/>
        <v>25.30612244897959</v>
      </c>
      <c r="U1500" s="2">
        <f ca="1">VLOOKUP(E1500,金币生产率!$A$2:$B$120,2,0)</f>
        <v>892</v>
      </c>
      <c r="V1500" s="2">
        <f t="shared" si="677"/>
        <v>177.14285714285714</v>
      </c>
      <c r="W1500" s="45">
        <f t="shared" ca="1" si="689"/>
        <v>21</v>
      </c>
      <c r="X1500" s="48">
        <f t="shared" ca="1" si="690"/>
        <v>234</v>
      </c>
      <c r="Y1500">
        <f t="shared" si="678"/>
        <v>18</v>
      </c>
      <c r="Z1500">
        <f t="shared" ca="1" si="687"/>
        <v>9</v>
      </c>
      <c r="AA1500" t="str">
        <f t="shared" ca="1" si="679"/>
        <v>9324400.png</v>
      </c>
      <c r="AB1500">
        <f t="shared" si="680"/>
        <v>3</v>
      </c>
      <c r="AC1500">
        <f>VLOOKUP(C1500,技能辅助查询表,技能配置辅助表!$W$1,FALSE)</f>
        <v>65043894</v>
      </c>
      <c r="AD1500">
        <f t="shared" ca="1" si="688"/>
        <v>30.201426197781718</v>
      </c>
      <c r="AE1500">
        <f>VLOOKUP(C1500,技能辅助查询表,技能配置辅助表!$U$1,FALSE)</f>
        <v>4</v>
      </c>
      <c r="AF1500">
        <f t="shared" ca="1" si="681"/>
        <v>9324419</v>
      </c>
      <c r="AG1500">
        <f t="shared" ca="1" si="682"/>
        <v>36.979591836734699</v>
      </c>
      <c r="AH1500">
        <f t="shared" ca="1" si="683"/>
        <v>136.28802435822078</v>
      </c>
      <c r="AI1500">
        <f ca="1">VLOOKUP(E1500,伤害参考系!$C$4:$E$104,3,FALSE)*$AN$12</f>
        <v>2917.001927257525</v>
      </c>
      <c r="AJ1500">
        <f>VLOOKUP(C1500,技能辅助查询表,技能配置辅助表!$L$1,FALSE)</f>
        <v>7</v>
      </c>
      <c r="AK1500">
        <f>VLOOKUP(C1500,技能辅助查询表,技能配置辅助表!$AE$1,FALSE)</f>
        <v>66000650</v>
      </c>
    </row>
    <row r="1501" spans="1:37" x14ac:dyDescent="0.15">
      <c r="A1501" s="1">
        <f t="shared" ca="1" si="691"/>
        <v>9324420</v>
      </c>
      <c r="B1501" s="1" t="str">
        <f t="shared" ca="1" si="692"/>
        <v>子弹风暴第4段</v>
      </c>
      <c r="C1501" t="s">
        <v>184</v>
      </c>
      <c r="D1501">
        <f t="shared" si="665"/>
        <v>3</v>
      </c>
      <c r="E1501" s="42">
        <f t="shared" ca="1" si="685"/>
        <v>39</v>
      </c>
      <c r="F1501" t="str">
        <f t="shared" ca="1" si="686"/>
        <v>第20级，共造成212.6%点伤害</v>
      </c>
      <c r="G1501">
        <f t="shared" ca="1" si="666"/>
        <v>4</v>
      </c>
      <c r="H1501">
        <f t="shared" si="667"/>
        <v>4</v>
      </c>
      <c r="I1501" s="44">
        <f t="shared" ca="1" si="668"/>
        <v>20</v>
      </c>
      <c r="J1501">
        <f t="shared" si="669"/>
        <v>2</v>
      </c>
      <c r="K1501" s="36">
        <f t="shared" ca="1" si="670"/>
        <v>30.367346938775508</v>
      </c>
      <c r="L1501" s="10">
        <f ca="1">AH1501*VLOOKUP(C1501,技能辅助查询表,技能配置辅助表!$T$1,FALSE)</f>
        <v>0</v>
      </c>
      <c r="M1501">
        <f t="shared" ca="1" si="684"/>
        <v>6400</v>
      </c>
      <c r="N1501" s="33">
        <f ca="1">CHOOSE(1,W1501*U1501,X1501*'[1]0、经济设定'!$C$18)</f>
        <v>21712</v>
      </c>
      <c r="O1501">
        <f t="shared" si="671"/>
        <v>4</v>
      </c>
      <c r="P1501">
        <f t="shared" si="672"/>
        <v>1</v>
      </c>
      <c r="Q1501">
        <f t="shared" si="673"/>
        <v>7</v>
      </c>
      <c r="R1501" s="2">
        <f t="shared" si="674"/>
        <v>12</v>
      </c>
      <c r="S1501" s="2">
        <f t="shared" si="675"/>
        <v>50</v>
      </c>
      <c r="T1501" s="2">
        <f t="shared" si="676"/>
        <v>25.30612244897959</v>
      </c>
      <c r="U1501" s="2">
        <f ca="1">VLOOKUP(E1501,金币生产率!$A$2:$B$120,2,0)</f>
        <v>944</v>
      </c>
      <c r="V1501" s="2">
        <f t="shared" si="677"/>
        <v>177.14285714285714</v>
      </c>
      <c r="W1501" s="45">
        <f t="shared" ca="1" si="689"/>
        <v>23</v>
      </c>
      <c r="X1501" s="48">
        <f t="shared" ca="1" si="690"/>
        <v>257</v>
      </c>
      <c r="Y1501">
        <f t="shared" si="678"/>
        <v>18</v>
      </c>
      <c r="Z1501">
        <f t="shared" ca="1" si="687"/>
        <v>10</v>
      </c>
      <c r="AA1501" t="str">
        <f t="shared" ca="1" si="679"/>
        <v>9324400.png</v>
      </c>
      <c r="AB1501">
        <f t="shared" si="680"/>
        <v>3</v>
      </c>
      <c r="AC1501">
        <f>VLOOKUP(C1501,技能辅助查询表,技能配置辅助表!$W$1,FALSE)</f>
        <v>65043894</v>
      </c>
      <c r="AD1501">
        <f t="shared" ca="1" si="688"/>
        <v>34.933641852914995</v>
      </c>
      <c r="AE1501">
        <f>VLOOKUP(C1501,技能辅助查询表,技能配置辅助表!$U$1,FALSE)</f>
        <v>4</v>
      </c>
      <c r="AF1501">
        <f t="shared" ca="1" si="681"/>
        <v>9324420</v>
      </c>
      <c r="AG1501">
        <f t="shared" ca="1" si="682"/>
        <v>38.367346938775512</v>
      </c>
      <c r="AH1501">
        <f t="shared" ca="1" si="683"/>
        <v>155.16211482893718</v>
      </c>
      <c r="AI1501">
        <f ca="1">VLOOKUP(E1501,伤害参考系!$C$4:$E$104,3,FALSE)*$AN$12</f>
        <v>3112.8025033444819</v>
      </c>
      <c r="AJ1501">
        <f>VLOOKUP(C1501,技能辅助查询表,技能配置辅助表!$L$1,FALSE)</f>
        <v>7</v>
      </c>
      <c r="AK1501">
        <f>VLOOKUP(C1501,技能辅助查询表,技能配置辅助表!$AE$1,FALSE)</f>
        <v>66000650</v>
      </c>
    </row>
    <row r="1502" spans="1:37" x14ac:dyDescent="0.15">
      <c r="A1502" s="1">
        <f t="shared" ca="1" si="691"/>
        <v>9324421</v>
      </c>
      <c r="B1502" s="1" t="str">
        <f t="shared" ca="1" si="692"/>
        <v>子弹风暴第4段</v>
      </c>
      <c r="C1502" t="s">
        <v>184</v>
      </c>
      <c r="D1502">
        <f t="shared" si="665"/>
        <v>3</v>
      </c>
      <c r="E1502" s="42">
        <f t="shared" ca="1" si="685"/>
        <v>41</v>
      </c>
      <c r="F1502" t="str">
        <f t="shared" ca="1" si="686"/>
        <v>第21级，共造成214.3%点伤害</v>
      </c>
      <c r="G1502">
        <f t="shared" ca="1" si="666"/>
        <v>4</v>
      </c>
      <c r="H1502">
        <f t="shared" si="667"/>
        <v>4</v>
      </c>
      <c r="I1502" s="44">
        <f t="shared" ca="1" si="668"/>
        <v>21</v>
      </c>
      <c r="J1502">
        <f t="shared" si="669"/>
        <v>2</v>
      </c>
      <c r="K1502" s="36">
        <f t="shared" ca="1" si="670"/>
        <v>30.620408163265303</v>
      </c>
      <c r="L1502" s="10">
        <f ca="1">AH1502*VLOOKUP(C1502,技能辅助查询表,技能配置辅助表!$T$1,FALSE)</f>
        <v>0</v>
      </c>
      <c r="M1502">
        <f t="shared" ca="1" si="684"/>
        <v>6320</v>
      </c>
      <c r="N1502" s="33">
        <f ca="1">CHOOSE(1,W1502*U1502,X1502*'[1]0、经济设定'!$C$18)</f>
        <v>25272</v>
      </c>
      <c r="O1502">
        <f t="shared" si="671"/>
        <v>4</v>
      </c>
      <c r="P1502">
        <f t="shared" si="672"/>
        <v>1</v>
      </c>
      <c r="Q1502">
        <f t="shared" si="673"/>
        <v>7</v>
      </c>
      <c r="R1502" s="2">
        <f t="shared" si="674"/>
        <v>12</v>
      </c>
      <c r="S1502" s="2">
        <f t="shared" si="675"/>
        <v>50</v>
      </c>
      <c r="T1502" s="2">
        <f t="shared" si="676"/>
        <v>25.30612244897959</v>
      </c>
      <c r="U1502" s="2">
        <f ca="1">VLOOKUP(E1502,金币生产率!$A$2:$B$120,2,0)</f>
        <v>1053</v>
      </c>
      <c r="V1502" s="2">
        <f t="shared" si="677"/>
        <v>177.14285714285714</v>
      </c>
      <c r="W1502" s="45">
        <f t="shared" ca="1" si="689"/>
        <v>24</v>
      </c>
      <c r="X1502" s="48">
        <f t="shared" ca="1" si="690"/>
        <v>281</v>
      </c>
      <c r="Y1502">
        <f t="shared" si="678"/>
        <v>18</v>
      </c>
      <c r="Z1502">
        <f t="shared" ca="1" si="687"/>
        <v>10</v>
      </c>
      <c r="AA1502" t="str">
        <f t="shared" ca="1" si="679"/>
        <v>9324400.png</v>
      </c>
      <c r="AB1502">
        <f t="shared" si="680"/>
        <v>3</v>
      </c>
      <c r="AC1502">
        <f>VLOOKUP(C1502,技能辅助查询表,技能配置辅助表!$W$1,FALSE)</f>
        <v>65043894</v>
      </c>
      <c r="AD1502">
        <f t="shared" ca="1" si="688"/>
        <v>40.397335414241759</v>
      </c>
      <c r="AE1502">
        <f>VLOOKUP(C1502,技能辅助查询表,技能配置辅助表!$U$1,FALSE)</f>
        <v>4</v>
      </c>
      <c r="AF1502">
        <f t="shared" ca="1" si="681"/>
        <v>9324421</v>
      </c>
      <c r="AG1502">
        <f t="shared" ca="1" si="682"/>
        <v>39.755102040816325</v>
      </c>
      <c r="AH1502">
        <f t="shared" ca="1" si="683"/>
        <v>176.65001742859343</v>
      </c>
      <c r="AI1502">
        <f ca="1">VLOOKUP(E1502,伤害参考系!$C$4:$E$104,3,FALSE)*$AN$12</f>
        <v>3584.9561889632118</v>
      </c>
      <c r="AJ1502">
        <f>VLOOKUP(C1502,技能辅助查询表,技能配置辅助表!$L$1,FALSE)</f>
        <v>7</v>
      </c>
      <c r="AK1502">
        <f>VLOOKUP(C1502,技能辅助查询表,技能配置辅助表!$AE$1,FALSE)</f>
        <v>66000650</v>
      </c>
    </row>
    <row r="1503" spans="1:37" x14ac:dyDescent="0.15">
      <c r="A1503" s="1">
        <f t="shared" ca="1" si="691"/>
        <v>9324422</v>
      </c>
      <c r="B1503" s="1" t="str">
        <f t="shared" ca="1" si="692"/>
        <v>子弹风暴第4段</v>
      </c>
      <c r="C1503" t="s">
        <v>184</v>
      </c>
      <c r="D1503">
        <f t="shared" si="665"/>
        <v>3</v>
      </c>
      <c r="E1503" s="42">
        <f t="shared" ca="1" si="685"/>
        <v>42</v>
      </c>
      <c r="F1503" t="str">
        <f t="shared" ca="1" si="686"/>
        <v>第22级，共造成216.1%点伤害</v>
      </c>
      <c r="G1503">
        <f t="shared" ca="1" si="666"/>
        <v>4</v>
      </c>
      <c r="H1503">
        <f t="shared" si="667"/>
        <v>4</v>
      </c>
      <c r="I1503" s="44">
        <f t="shared" ca="1" si="668"/>
        <v>22</v>
      </c>
      <c r="J1503">
        <f t="shared" si="669"/>
        <v>2</v>
      </c>
      <c r="K1503" s="36">
        <f t="shared" ca="1" si="670"/>
        <v>30.873469387755101</v>
      </c>
      <c r="L1503" s="10">
        <f ca="1">AH1503*VLOOKUP(C1503,技能辅助查询表,技能配置辅助表!$T$1,FALSE)</f>
        <v>0</v>
      </c>
      <c r="M1503">
        <f t="shared" ca="1" si="684"/>
        <v>6240</v>
      </c>
      <c r="N1503" s="33">
        <f ca="1">CHOOSE(1,W1503*U1503,X1503*'[1]0、经济设定'!$C$18)</f>
        <v>28860</v>
      </c>
      <c r="O1503">
        <f t="shared" si="671"/>
        <v>4</v>
      </c>
      <c r="P1503">
        <f t="shared" si="672"/>
        <v>1</v>
      </c>
      <c r="Q1503">
        <f t="shared" si="673"/>
        <v>7</v>
      </c>
      <c r="R1503" s="2">
        <f t="shared" si="674"/>
        <v>12</v>
      </c>
      <c r="S1503" s="2">
        <f t="shared" si="675"/>
        <v>50</v>
      </c>
      <c r="T1503" s="2">
        <f t="shared" si="676"/>
        <v>25.30612244897959</v>
      </c>
      <c r="U1503" s="2">
        <f ca="1">VLOOKUP(E1503,金币生产率!$A$2:$B$120,2,0)</f>
        <v>1110</v>
      </c>
      <c r="V1503" s="2">
        <f t="shared" si="677"/>
        <v>177.14285714285714</v>
      </c>
      <c r="W1503" s="45">
        <f t="shared" ca="1" si="689"/>
        <v>26</v>
      </c>
      <c r="X1503" s="48">
        <f t="shared" ca="1" si="690"/>
        <v>307</v>
      </c>
      <c r="Y1503">
        <f t="shared" si="678"/>
        <v>18</v>
      </c>
      <c r="Z1503">
        <f t="shared" ca="1" si="687"/>
        <v>11</v>
      </c>
      <c r="AA1503" t="str">
        <f t="shared" ca="1" si="679"/>
        <v>9324400.png</v>
      </c>
      <c r="AB1503">
        <f t="shared" si="680"/>
        <v>3</v>
      </c>
      <c r="AC1503">
        <f>VLOOKUP(C1503,技能辅助查询表,技能配置辅助表!$W$1,FALSE)</f>
        <v>65043894</v>
      </c>
      <c r="AD1503">
        <f t="shared" ca="1" si="688"/>
        <v>46.704349706935353</v>
      </c>
      <c r="AE1503">
        <f>VLOOKUP(C1503,技能辅助查询表,技能配置辅助表!$U$1,FALSE)</f>
        <v>4</v>
      </c>
      <c r="AF1503">
        <f t="shared" ca="1" si="681"/>
        <v>9324422</v>
      </c>
      <c r="AG1503">
        <f t="shared" ca="1" si="682"/>
        <v>41.142857142857139</v>
      </c>
      <c r="AH1503">
        <f t="shared" ca="1" si="683"/>
        <v>201.11371059826985</v>
      </c>
      <c r="AI1503">
        <f ca="1">VLOOKUP(E1503,伤害参考系!$C$4:$E$104,3,FALSE)*$AN$12</f>
        <v>3833.528327759198</v>
      </c>
      <c r="AJ1503">
        <f>VLOOKUP(C1503,技能辅助查询表,技能配置辅助表!$L$1,FALSE)</f>
        <v>7</v>
      </c>
      <c r="AK1503">
        <f>VLOOKUP(C1503,技能辅助查询表,技能配置辅助表!$AE$1,FALSE)</f>
        <v>66000650</v>
      </c>
    </row>
    <row r="1504" spans="1:37" x14ac:dyDescent="0.15">
      <c r="A1504" s="1">
        <f t="shared" ca="1" si="691"/>
        <v>9324423</v>
      </c>
      <c r="B1504" s="1" t="str">
        <f t="shared" ca="1" si="692"/>
        <v>子弹风暴第4段</v>
      </c>
      <c r="C1504" t="s">
        <v>184</v>
      </c>
      <c r="D1504">
        <f t="shared" si="665"/>
        <v>3</v>
      </c>
      <c r="E1504" s="42">
        <f t="shared" ca="1" si="685"/>
        <v>43</v>
      </c>
      <c r="F1504" t="str">
        <f t="shared" ca="1" si="686"/>
        <v>第23级，共造成217.9%点伤害</v>
      </c>
      <c r="G1504">
        <f t="shared" ca="1" si="666"/>
        <v>4</v>
      </c>
      <c r="H1504">
        <f t="shared" si="667"/>
        <v>4</v>
      </c>
      <c r="I1504" s="44">
        <f t="shared" ca="1" si="668"/>
        <v>23</v>
      </c>
      <c r="J1504">
        <f t="shared" si="669"/>
        <v>2</v>
      </c>
      <c r="K1504" s="36">
        <f t="shared" ca="1" si="670"/>
        <v>31.126530612244895</v>
      </c>
      <c r="L1504" s="10">
        <f ca="1">AH1504*VLOOKUP(C1504,技能辅助查询表,技能配置辅助表!$T$1,FALSE)</f>
        <v>0</v>
      </c>
      <c r="M1504">
        <f t="shared" ca="1" si="684"/>
        <v>6160</v>
      </c>
      <c r="N1504" s="33">
        <f ca="1">CHOOSE(1,W1504*U1504,X1504*'[1]0、经济设定'!$C$18)</f>
        <v>32676</v>
      </c>
      <c r="O1504">
        <f t="shared" si="671"/>
        <v>4</v>
      </c>
      <c r="P1504">
        <f t="shared" si="672"/>
        <v>1</v>
      </c>
      <c r="Q1504">
        <f t="shared" si="673"/>
        <v>7</v>
      </c>
      <c r="R1504" s="2">
        <f t="shared" si="674"/>
        <v>12</v>
      </c>
      <c r="S1504" s="2">
        <f t="shared" si="675"/>
        <v>50</v>
      </c>
      <c r="T1504" s="2">
        <f t="shared" si="676"/>
        <v>25.30612244897959</v>
      </c>
      <c r="U1504" s="2">
        <f ca="1">VLOOKUP(E1504,金币生产率!$A$2:$B$120,2,0)</f>
        <v>1167</v>
      </c>
      <c r="V1504" s="2">
        <f t="shared" si="677"/>
        <v>177.14285714285714</v>
      </c>
      <c r="W1504" s="45">
        <f t="shared" ca="1" si="689"/>
        <v>28</v>
      </c>
      <c r="X1504" s="48">
        <f t="shared" ca="1" si="690"/>
        <v>335</v>
      </c>
      <c r="Y1504">
        <f t="shared" si="678"/>
        <v>18</v>
      </c>
      <c r="Z1504">
        <f t="shared" ca="1" si="687"/>
        <v>12</v>
      </c>
      <c r="AA1504" t="str">
        <f t="shared" ca="1" si="679"/>
        <v>9324400.png</v>
      </c>
      <c r="AB1504">
        <f t="shared" si="680"/>
        <v>3</v>
      </c>
      <c r="AC1504">
        <f>VLOOKUP(C1504,技能辅助查询表,技能配置辅助表!$W$1,FALSE)</f>
        <v>65043894</v>
      </c>
      <c r="AD1504">
        <f t="shared" ca="1" si="688"/>
        <v>53.983476348179579</v>
      </c>
      <c r="AE1504">
        <f>VLOOKUP(C1504,技能辅助查询表,技能配置辅助表!$U$1,FALSE)</f>
        <v>4</v>
      </c>
      <c r="AF1504">
        <f t="shared" ca="1" si="681"/>
        <v>9324423</v>
      </c>
      <c r="AG1504">
        <f t="shared" ca="1" si="682"/>
        <v>42.530612244897959</v>
      </c>
      <c r="AH1504">
        <f t="shared" ca="1" si="683"/>
        <v>228.96530200997151</v>
      </c>
      <c r="AI1504">
        <f ca="1">VLOOKUP(E1504,伤害参考系!$C$4:$E$104,3,FALSE)*$AN$12</f>
        <v>4090.4306638795993</v>
      </c>
      <c r="AJ1504">
        <f>VLOOKUP(C1504,技能辅助查询表,技能配置辅助表!$L$1,FALSE)</f>
        <v>7</v>
      </c>
      <c r="AK1504">
        <f>VLOOKUP(C1504,技能辅助查询表,技能配置辅助表!$AE$1,FALSE)</f>
        <v>66000650</v>
      </c>
    </row>
    <row r="1505" spans="1:37" x14ac:dyDescent="0.15">
      <c r="A1505" s="1">
        <f t="shared" ca="1" si="691"/>
        <v>9324424</v>
      </c>
      <c r="B1505" s="1" t="str">
        <f t="shared" ca="1" si="692"/>
        <v>子弹风暴第4段</v>
      </c>
      <c r="C1505" t="s">
        <v>184</v>
      </c>
      <c r="D1505">
        <f t="shared" si="665"/>
        <v>3</v>
      </c>
      <c r="E1505" s="42">
        <f t="shared" ca="1" si="685"/>
        <v>45</v>
      </c>
      <c r="F1505" t="str">
        <f t="shared" ca="1" si="686"/>
        <v>第24级，共造成219.7%点伤害</v>
      </c>
      <c r="G1505">
        <f t="shared" ca="1" si="666"/>
        <v>4</v>
      </c>
      <c r="H1505">
        <f t="shared" si="667"/>
        <v>4</v>
      </c>
      <c r="I1505" s="44">
        <f t="shared" ca="1" si="668"/>
        <v>24</v>
      </c>
      <c r="J1505">
        <f t="shared" si="669"/>
        <v>2</v>
      </c>
      <c r="K1505" s="36">
        <f t="shared" ca="1" si="670"/>
        <v>31.37959183673469</v>
      </c>
      <c r="L1505" s="10">
        <f ca="1">AH1505*VLOOKUP(C1505,技能辅助查询表,技能配置辅助表!$T$1,FALSE)</f>
        <v>0</v>
      </c>
      <c r="M1505">
        <f t="shared" ca="1" si="684"/>
        <v>6080</v>
      </c>
      <c r="N1505" s="33">
        <f ca="1">CHOOSE(1,W1505*U1505,X1505*'[1]0、经济设定'!$C$18)</f>
        <v>38610</v>
      </c>
      <c r="O1505">
        <f t="shared" si="671"/>
        <v>4</v>
      </c>
      <c r="P1505">
        <f t="shared" si="672"/>
        <v>1</v>
      </c>
      <c r="Q1505">
        <f t="shared" si="673"/>
        <v>7</v>
      </c>
      <c r="R1505" s="2">
        <f t="shared" si="674"/>
        <v>12</v>
      </c>
      <c r="S1505" s="2">
        <f t="shared" si="675"/>
        <v>50</v>
      </c>
      <c r="T1505" s="2">
        <f t="shared" si="676"/>
        <v>25.30612244897959</v>
      </c>
      <c r="U1505" s="2">
        <f ca="1">VLOOKUP(E1505,金币生产率!$A$2:$B$120,2,0)</f>
        <v>1287</v>
      </c>
      <c r="V1505" s="2">
        <f t="shared" si="677"/>
        <v>177.14285714285714</v>
      </c>
      <c r="W1505" s="45">
        <f t="shared" ca="1" si="689"/>
        <v>30</v>
      </c>
      <c r="X1505" s="48">
        <f t="shared" ca="1" si="690"/>
        <v>365</v>
      </c>
      <c r="Y1505">
        <f t="shared" si="678"/>
        <v>18</v>
      </c>
      <c r="Z1505">
        <f t="shared" ca="1" si="687"/>
        <v>12</v>
      </c>
      <c r="AA1505" t="str">
        <f t="shared" ca="1" si="679"/>
        <v>9324400.png</v>
      </c>
      <c r="AB1505">
        <f t="shared" si="680"/>
        <v>3</v>
      </c>
      <c r="AC1505">
        <f>VLOOKUP(C1505,技能辅助查询表,技能配置辅助表!$W$1,FALSE)</f>
        <v>65043894</v>
      </c>
      <c r="AD1505">
        <f t="shared" ca="1" si="688"/>
        <v>62.383005126956348</v>
      </c>
      <c r="AE1505">
        <f>VLOOKUP(C1505,技能辅助查询表,技能配置辅助表!$U$1,FALSE)</f>
        <v>4</v>
      </c>
      <c r="AF1505">
        <f t="shared" ca="1" si="681"/>
        <v>9324424</v>
      </c>
      <c r="AG1505">
        <f t="shared" ca="1" si="682"/>
        <v>43.91836734693878</v>
      </c>
      <c r="AH1505">
        <f t="shared" ca="1" si="683"/>
        <v>260.67397080270689</v>
      </c>
      <c r="AI1505">
        <f ca="1">VLOOKUP(E1505,伤害参考系!$C$4:$E$104,3,FALSE)*$AN$12</f>
        <v>4629.2259280936469</v>
      </c>
      <c r="AJ1505">
        <f>VLOOKUP(C1505,技能辅助查询表,技能配置辅助表!$L$1,FALSE)</f>
        <v>7</v>
      </c>
      <c r="AK1505">
        <f>VLOOKUP(C1505,技能辅助查询表,技能配置辅助表!$AE$1,FALSE)</f>
        <v>66000650</v>
      </c>
    </row>
    <row r="1506" spans="1:37" x14ac:dyDescent="0.15">
      <c r="A1506" s="1">
        <f t="shared" ca="1" si="691"/>
        <v>9324425</v>
      </c>
      <c r="B1506" s="1" t="str">
        <f t="shared" ca="1" si="692"/>
        <v>子弹风暴第4段</v>
      </c>
      <c r="C1506" t="s">
        <v>184</v>
      </c>
      <c r="D1506">
        <f t="shared" si="665"/>
        <v>3</v>
      </c>
      <c r="E1506" s="42">
        <f t="shared" ca="1" si="685"/>
        <v>46</v>
      </c>
      <c r="F1506" t="str">
        <f t="shared" ca="1" si="686"/>
        <v>第25级，共造成221.4%点伤害</v>
      </c>
      <c r="G1506">
        <f t="shared" ca="1" si="666"/>
        <v>4</v>
      </c>
      <c r="H1506">
        <f t="shared" si="667"/>
        <v>4</v>
      </c>
      <c r="I1506" s="44">
        <f t="shared" ca="1" si="668"/>
        <v>25</v>
      </c>
      <c r="J1506">
        <f t="shared" si="669"/>
        <v>2</v>
      </c>
      <c r="K1506" s="36">
        <f t="shared" ca="1" si="670"/>
        <v>31.632653061224488</v>
      </c>
      <c r="L1506" s="10">
        <f ca="1">AH1506*VLOOKUP(C1506,技能辅助查询表,技能配置辅助表!$T$1,FALSE)</f>
        <v>0</v>
      </c>
      <c r="M1506">
        <f t="shared" ca="1" si="684"/>
        <v>6000</v>
      </c>
      <c r="N1506" s="33">
        <f ca="1">CHOOSE(1,W1506*U1506,X1506*'[1]0、经济设定'!$C$18)</f>
        <v>43168</v>
      </c>
      <c r="O1506">
        <f t="shared" si="671"/>
        <v>4</v>
      </c>
      <c r="P1506">
        <f t="shared" si="672"/>
        <v>1</v>
      </c>
      <c r="Q1506">
        <f t="shared" si="673"/>
        <v>7</v>
      </c>
      <c r="R1506" s="2">
        <f t="shared" si="674"/>
        <v>12</v>
      </c>
      <c r="S1506" s="2">
        <f t="shared" si="675"/>
        <v>50</v>
      </c>
      <c r="T1506" s="2">
        <f t="shared" si="676"/>
        <v>25.30612244897959</v>
      </c>
      <c r="U1506" s="2">
        <f ca="1">VLOOKUP(E1506,金币生产率!$A$2:$B$120,2,0)</f>
        <v>1349</v>
      </c>
      <c r="V1506" s="2">
        <f t="shared" si="677"/>
        <v>177.14285714285714</v>
      </c>
      <c r="W1506" s="45">
        <f t="shared" ca="1" si="689"/>
        <v>32</v>
      </c>
      <c r="X1506" s="48">
        <f t="shared" ca="1" si="690"/>
        <v>397</v>
      </c>
      <c r="Y1506">
        <f t="shared" si="678"/>
        <v>18</v>
      </c>
      <c r="Z1506">
        <f t="shared" ca="1" si="687"/>
        <v>13</v>
      </c>
      <c r="AA1506" t="str">
        <f t="shared" ca="1" si="679"/>
        <v>9324400.png</v>
      </c>
      <c r="AB1506">
        <f t="shared" si="680"/>
        <v>3</v>
      </c>
      <c r="AC1506">
        <f>VLOOKUP(C1506,技能辅助查询表,技能配置辅助表!$W$1,FALSE)</f>
        <v>65043894</v>
      </c>
      <c r="AD1506">
        <f t="shared" ca="1" si="688"/>
        <v>72.073654440728404</v>
      </c>
      <c r="AE1506">
        <f>VLOOKUP(C1506,技能辅助查询表,技能配置辅助表!$U$1,FALSE)</f>
        <v>4</v>
      </c>
      <c r="AF1506">
        <f t="shared" ca="1" si="681"/>
        <v>9324425</v>
      </c>
      <c r="AG1506">
        <f t="shared" ca="1" si="682"/>
        <v>45.306122448979593</v>
      </c>
      <c r="AH1506">
        <f t="shared" ca="1" si="683"/>
        <v>296.77387122652874</v>
      </c>
      <c r="AI1506">
        <f ca="1">VLOOKUP(E1506,伤害参考系!$C$4:$E$104,3,FALSE)*$AN$12</f>
        <v>4911.1188561872923</v>
      </c>
      <c r="AJ1506">
        <f>VLOOKUP(C1506,技能辅助查询表,技能配置辅助表!$L$1,FALSE)</f>
        <v>7</v>
      </c>
      <c r="AK1506">
        <f>VLOOKUP(C1506,技能辅助查询表,技能配置辅助表!$AE$1,FALSE)</f>
        <v>66000650</v>
      </c>
    </row>
    <row r="1507" spans="1:37" x14ac:dyDescent="0.15">
      <c r="A1507" s="1">
        <f t="shared" ca="1" si="691"/>
        <v>9324426</v>
      </c>
      <c r="B1507" s="1" t="str">
        <f t="shared" ca="1" si="692"/>
        <v>子弹风暴第4段</v>
      </c>
      <c r="C1507" t="s">
        <v>184</v>
      </c>
      <c r="D1507">
        <f t="shared" ref="D1507:D1531" si="693">VLOOKUP(C1507,技能辅助查询表,3,FALSE)</f>
        <v>3</v>
      </c>
      <c r="E1507" s="42">
        <f t="shared" ca="1" si="685"/>
        <v>47</v>
      </c>
      <c r="F1507" t="str">
        <f t="shared" ca="1" si="686"/>
        <v>第26级，共造成223.2%点伤害</v>
      </c>
      <c r="G1507">
        <f t="shared" ref="G1507:G1531" ca="1" si="694">IF(I1507=0,0,H1507)</f>
        <v>4</v>
      </c>
      <c r="H1507">
        <f t="shared" ref="H1507:H1531" si="695">VLOOKUP(C1507,技能辅助查询表,2,FALSE)</f>
        <v>4</v>
      </c>
      <c r="I1507" s="44">
        <f t="shared" ref="I1507:I1531" ca="1" si="696">IF(OFFSET(C1507,-1,0)=C1507,I1506+1,0)</f>
        <v>26</v>
      </c>
      <c r="J1507">
        <f t="shared" ref="J1507:J1531" si="697">VLOOKUP(C1507,技能辅助查询表,4,FALSE)</f>
        <v>2</v>
      </c>
      <c r="K1507" s="36">
        <f t="shared" ref="K1507:K1531" ca="1" si="698">IF(OR(I1507=0,I1507=1),T1507,T1507+T1507*($AN$6-1)/S1507*I1507)</f>
        <v>31.885714285714283</v>
      </c>
      <c r="L1507" s="10">
        <f ca="1">AH1507*VLOOKUP(C1507,技能辅助查询表,技能配置辅助表!$T$1,FALSE)</f>
        <v>0</v>
      </c>
      <c r="M1507">
        <f t="shared" ca="1" si="684"/>
        <v>5920</v>
      </c>
      <c r="N1507" s="33">
        <f ca="1">CHOOSE(1,W1507*U1507,X1507*'[1]0、经济设定'!$C$18)</f>
        <v>48008</v>
      </c>
      <c r="O1507">
        <f t="shared" ref="O1507:O1531" si="699">VLOOKUP(C1507,技能辅助查询表,5,FALSE)</f>
        <v>4</v>
      </c>
      <c r="P1507">
        <f t="shared" ref="P1507:P1531" si="700">VLOOKUP(C1507,技能辅助查询表,6,FALSE)</f>
        <v>1</v>
      </c>
      <c r="Q1507">
        <f t="shared" ref="Q1507:Q1531" si="701">VLOOKUP(C1507,技能辅助查询表,7,FALSE)</f>
        <v>7</v>
      </c>
      <c r="R1507" s="2">
        <f t="shared" ref="R1507:R1531" si="702">VLOOKUP(C1507,技能辅助查询表,9,FALSE)</f>
        <v>12</v>
      </c>
      <c r="S1507" s="2">
        <f t="shared" ref="S1507:S1531" si="703">VLOOKUP(C1507,技能辅助查询表,8,FALSE)</f>
        <v>50</v>
      </c>
      <c r="T1507" s="2">
        <f t="shared" ref="T1507:T1531" si="704">VLOOKUP(C1507,技能辅助查询表,11,FALSE)</f>
        <v>25.30612244897959</v>
      </c>
      <c r="U1507" s="2">
        <f ca="1">VLOOKUP(E1507,金币生产率!$A$2:$B$120,2,0)</f>
        <v>1412</v>
      </c>
      <c r="V1507" s="2">
        <f t="shared" ref="V1507:V1531" si="705">VLOOKUP(C1507,技能辅助查询表,12,FALSE)</f>
        <v>177.14285714285714</v>
      </c>
      <c r="W1507" s="45">
        <f t="shared" ca="1" si="689"/>
        <v>34</v>
      </c>
      <c r="X1507" s="48">
        <f t="shared" ca="1" si="690"/>
        <v>431</v>
      </c>
      <c r="Y1507">
        <f t="shared" ref="Y1507:Y1531" si="706">VLOOKUP(C1507,技能辅助查询表,15,FALSE)</f>
        <v>18</v>
      </c>
      <c r="Z1507">
        <f t="shared" ca="1" si="687"/>
        <v>14</v>
      </c>
      <c r="AA1507" t="str">
        <f t="shared" ref="AA1507:AA1531" ca="1" si="707">AF1507-MOD(AF1507,100)&amp;".png"</f>
        <v>9324400.png</v>
      </c>
      <c r="AB1507">
        <f t="shared" ref="AB1507:AB1531" si="708">VLOOKUP(C1507,技能辅助查询表,17,FALSE)</f>
        <v>3</v>
      </c>
      <c r="AC1507">
        <f>VLOOKUP(C1507,技能辅助查询表,技能配置辅助表!$W$1,FALSE)</f>
        <v>65043894</v>
      </c>
      <c r="AD1507">
        <f t="shared" ca="1" si="688"/>
        <v>83.251939438196047</v>
      </c>
      <c r="AE1507">
        <f>VLOOKUP(C1507,技能辅助查询表,技能配置辅助表!$U$1,FALSE)</f>
        <v>4</v>
      </c>
      <c r="AF1507">
        <f t="shared" ref="AF1507:AF1531" ca="1" si="709">VALUE("9"&amp;D1507&amp;J1507&amp;O1507&amp;H1507&amp;IF(I1507&gt;9,I1507,"0"&amp;I1507))</f>
        <v>9324426</v>
      </c>
      <c r="AG1507">
        <f t="shared" ref="AG1507:AG1531" ca="1" si="710">IF(I1507=1,R1507,IF(I1507=0,0,(I1507-1)*(80-R1507)/(S1507-1)+R1507))</f>
        <v>46.693877551020407</v>
      </c>
      <c r="AH1507">
        <f t="shared" ref="AH1507:AH1531" ca="1" si="711">(19.323*EXP(I1507*0.1297))*$AN$12</f>
        <v>337.87313083683472</v>
      </c>
      <c r="AI1507">
        <f ca="1">VLOOKUP(E1507,伤害参考系!$C$4:$E$104,3,FALSE)*$AN$12</f>
        <v>5201.3419816053529</v>
      </c>
      <c r="AJ1507">
        <f>VLOOKUP(C1507,技能辅助查询表,技能配置辅助表!$L$1,FALSE)</f>
        <v>7</v>
      </c>
      <c r="AK1507">
        <f>VLOOKUP(C1507,技能辅助查询表,技能配置辅助表!$AE$1,FALSE)</f>
        <v>66000650</v>
      </c>
    </row>
    <row r="1508" spans="1:37" x14ac:dyDescent="0.15">
      <c r="A1508" s="1">
        <f t="shared" ca="1" si="691"/>
        <v>9324427</v>
      </c>
      <c r="B1508" s="1" t="str">
        <f t="shared" ca="1" si="692"/>
        <v>子弹风暴第4段</v>
      </c>
      <c r="C1508" t="s">
        <v>184</v>
      </c>
      <c r="D1508">
        <f t="shared" si="693"/>
        <v>3</v>
      </c>
      <c r="E1508" s="42">
        <f t="shared" ca="1" si="685"/>
        <v>49</v>
      </c>
      <c r="F1508" t="str">
        <f t="shared" ca="1" si="686"/>
        <v>第27级，共造成225%点伤害</v>
      </c>
      <c r="G1508">
        <f t="shared" ca="1" si="694"/>
        <v>4</v>
      </c>
      <c r="H1508">
        <f t="shared" si="695"/>
        <v>4</v>
      </c>
      <c r="I1508" s="44">
        <f t="shared" ca="1" si="696"/>
        <v>27</v>
      </c>
      <c r="J1508">
        <f t="shared" si="697"/>
        <v>2</v>
      </c>
      <c r="K1508" s="36">
        <f t="shared" ca="1" si="698"/>
        <v>32.138775510204077</v>
      </c>
      <c r="L1508" s="10">
        <f ca="1">AH1508*VLOOKUP(C1508,技能辅助查询表,技能配置辅助表!$T$1,FALSE)</f>
        <v>0</v>
      </c>
      <c r="M1508">
        <f t="shared" ca="1" si="684"/>
        <v>5840</v>
      </c>
      <c r="N1508" s="33">
        <f ca="1">CHOOSE(1,W1508*U1508,X1508*'[1]0、经济设定'!$C$18)</f>
        <v>55548</v>
      </c>
      <c r="O1508">
        <f t="shared" si="699"/>
        <v>4</v>
      </c>
      <c r="P1508">
        <f t="shared" si="700"/>
        <v>1</v>
      </c>
      <c r="Q1508">
        <f t="shared" si="701"/>
        <v>7</v>
      </c>
      <c r="R1508" s="2">
        <f t="shared" si="702"/>
        <v>12</v>
      </c>
      <c r="S1508" s="2">
        <f t="shared" si="703"/>
        <v>50</v>
      </c>
      <c r="T1508" s="2">
        <f t="shared" si="704"/>
        <v>25.30612244897959</v>
      </c>
      <c r="U1508" s="2">
        <f ca="1">VLOOKUP(E1508,金币生产率!$A$2:$B$120,2,0)</f>
        <v>1543</v>
      </c>
      <c r="V1508" s="2">
        <f t="shared" si="705"/>
        <v>177.14285714285714</v>
      </c>
      <c r="W1508" s="45">
        <f t="shared" ca="1" si="689"/>
        <v>36</v>
      </c>
      <c r="X1508" s="48">
        <f t="shared" ca="1" si="690"/>
        <v>467</v>
      </c>
      <c r="Y1508">
        <f t="shared" si="706"/>
        <v>18</v>
      </c>
      <c r="Z1508">
        <f t="shared" ca="1" si="687"/>
        <v>15</v>
      </c>
      <c r="AA1508" t="str">
        <f t="shared" ca="1" si="707"/>
        <v>9324400.png</v>
      </c>
      <c r="AB1508">
        <f t="shared" si="708"/>
        <v>3</v>
      </c>
      <c r="AC1508">
        <f>VLOOKUP(C1508,技能辅助查询表,技能配置辅助表!$W$1,FALSE)</f>
        <v>65043894</v>
      </c>
      <c r="AD1508">
        <f t="shared" ca="1" si="688"/>
        <v>96.144042899501656</v>
      </c>
      <c r="AE1508">
        <f>VLOOKUP(C1508,技能辅助查询表,技能配置辅助表!$U$1,FALSE)</f>
        <v>4</v>
      </c>
      <c r="AF1508">
        <f t="shared" ca="1" si="709"/>
        <v>9324427</v>
      </c>
      <c r="AG1508">
        <f t="shared" ca="1" si="710"/>
        <v>48.081632653061227</v>
      </c>
      <c r="AH1508">
        <f t="shared" ca="1" si="711"/>
        <v>384.66409481967975</v>
      </c>
      <c r="AI1508">
        <f ca="1">VLOOKUP(E1508,伤害参考系!$C$4:$E$104,3,FALSE)*$AN$12</f>
        <v>5806.7788244147177</v>
      </c>
      <c r="AJ1508">
        <f>VLOOKUP(C1508,技能辅助查询表,技能配置辅助表!$L$1,FALSE)</f>
        <v>7</v>
      </c>
      <c r="AK1508">
        <f>VLOOKUP(C1508,技能辅助查询表,技能配置辅助表!$AE$1,FALSE)</f>
        <v>66000650</v>
      </c>
    </row>
    <row r="1509" spans="1:37" x14ac:dyDescent="0.15">
      <c r="A1509" s="1">
        <f t="shared" ca="1" si="691"/>
        <v>9324428</v>
      </c>
      <c r="B1509" s="1" t="str">
        <f t="shared" ca="1" si="692"/>
        <v>子弹风暴第4段</v>
      </c>
      <c r="C1509" t="s">
        <v>184</v>
      </c>
      <c r="D1509">
        <f t="shared" si="693"/>
        <v>3</v>
      </c>
      <c r="E1509" s="42">
        <f t="shared" ca="1" si="685"/>
        <v>50</v>
      </c>
      <c r="F1509" t="str">
        <f t="shared" ca="1" si="686"/>
        <v>第28级，共造成226.7%点伤害</v>
      </c>
      <c r="G1509">
        <f t="shared" ca="1" si="694"/>
        <v>4</v>
      </c>
      <c r="H1509">
        <f t="shared" si="695"/>
        <v>4</v>
      </c>
      <c r="I1509" s="44">
        <f t="shared" ca="1" si="696"/>
        <v>28</v>
      </c>
      <c r="J1509">
        <f t="shared" si="697"/>
        <v>2</v>
      </c>
      <c r="K1509" s="36">
        <f t="shared" ca="1" si="698"/>
        <v>32.391836734693875</v>
      </c>
      <c r="L1509" s="10">
        <f ca="1">AH1509*VLOOKUP(C1509,技能辅助查询表,技能配置辅助表!$T$1,FALSE)</f>
        <v>0</v>
      </c>
      <c r="M1509">
        <f t="shared" ca="1" si="684"/>
        <v>5760</v>
      </c>
      <c r="N1509" s="33">
        <f ca="1">CHOOSE(1,W1509*U1509,X1509*'[1]0、经济设定'!$C$18)</f>
        <v>62790</v>
      </c>
      <c r="O1509">
        <f t="shared" si="699"/>
        <v>4</v>
      </c>
      <c r="P1509">
        <f t="shared" si="700"/>
        <v>1</v>
      </c>
      <c r="Q1509">
        <f t="shared" si="701"/>
        <v>7</v>
      </c>
      <c r="R1509" s="2">
        <f t="shared" si="702"/>
        <v>12</v>
      </c>
      <c r="S1509" s="2">
        <f t="shared" si="703"/>
        <v>50</v>
      </c>
      <c r="T1509" s="2">
        <f t="shared" si="704"/>
        <v>25.30612244897959</v>
      </c>
      <c r="U1509" s="2">
        <f ca="1">VLOOKUP(E1509,金币生产率!$A$2:$B$120,2,0)</f>
        <v>1610</v>
      </c>
      <c r="V1509" s="2">
        <f t="shared" si="705"/>
        <v>177.14285714285714</v>
      </c>
      <c r="W1509" s="45">
        <f t="shared" ca="1" si="689"/>
        <v>39</v>
      </c>
      <c r="X1509" s="48">
        <f t="shared" ca="1" si="690"/>
        <v>506</v>
      </c>
      <c r="Y1509">
        <f t="shared" si="706"/>
        <v>18</v>
      </c>
      <c r="Z1509">
        <f t="shared" ca="1" si="687"/>
        <v>16</v>
      </c>
      <c r="AA1509" t="str">
        <f t="shared" ca="1" si="707"/>
        <v>9324400.png</v>
      </c>
      <c r="AB1509">
        <f t="shared" si="708"/>
        <v>3</v>
      </c>
      <c r="AC1509">
        <f>VLOOKUP(C1509,技能辅助查询表,技能配置辅助表!$W$1,FALSE)</f>
        <v>65043894</v>
      </c>
      <c r="AD1509">
        <f t="shared" ca="1" si="688"/>
        <v>111.01026350263712</v>
      </c>
      <c r="AE1509">
        <f>VLOOKUP(C1509,技能辅助查询表,技能配置辅助表!$U$1,FALSE)</f>
        <v>4</v>
      </c>
      <c r="AF1509">
        <f t="shared" ca="1" si="709"/>
        <v>9324428</v>
      </c>
      <c r="AG1509">
        <f t="shared" ca="1" si="710"/>
        <v>49.469387755102041</v>
      </c>
      <c r="AH1509">
        <f t="shared" ca="1" si="711"/>
        <v>437.93498902077317</v>
      </c>
      <c r="AI1509">
        <f ca="1">VLOOKUP(E1509,伤害参考系!$C$4:$E$104,3,FALSE)*$AN$12</f>
        <v>6162.2688085284308</v>
      </c>
      <c r="AJ1509">
        <f>VLOOKUP(C1509,技能辅助查询表,技能配置辅助表!$L$1,FALSE)</f>
        <v>7</v>
      </c>
      <c r="AK1509">
        <f>VLOOKUP(C1509,技能辅助查询表,技能配置辅助表!$AE$1,FALSE)</f>
        <v>66000650</v>
      </c>
    </row>
    <row r="1510" spans="1:37" x14ac:dyDescent="0.15">
      <c r="A1510" s="1">
        <f t="shared" ca="1" si="691"/>
        <v>9324429</v>
      </c>
      <c r="B1510" s="1" t="str">
        <f t="shared" ca="1" si="692"/>
        <v>子弹风暴第4段</v>
      </c>
      <c r="C1510" t="s">
        <v>184</v>
      </c>
      <c r="D1510">
        <f t="shared" si="693"/>
        <v>3</v>
      </c>
      <c r="E1510" s="42">
        <f t="shared" ca="1" si="685"/>
        <v>51</v>
      </c>
      <c r="F1510" t="str">
        <f t="shared" ca="1" si="686"/>
        <v>第29级，共造成228.5%点伤害</v>
      </c>
      <c r="G1510">
        <f t="shared" ca="1" si="694"/>
        <v>4</v>
      </c>
      <c r="H1510">
        <f t="shared" si="695"/>
        <v>4</v>
      </c>
      <c r="I1510" s="44">
        <f t="shared" ca="1" si="696"/>
        <v>29</v>
      </c>
      <c r="J1510">
        <f t="shared" si="697"/>
        <v>2</v>
      </c>
      <c r="K1510" s="36">
        <f t="shared" ca="1" si="698"/>
        <v>32.644897959183673</v>
      </c>
      <c r="L1510" s="10">
        <f ca="1">AH1510*VLOOKUP(C1510,技能辅助查询表,技能配置辅助表!$T$1,FALSE)</f>
        <v>0</v>
      </c>
      <c r="M1510">
        <f t="shared" ca="1" si="684"/>
        <v>5680</v>
      </c>
      <c r="N1510" s="33">
        <f ca="1">CHOOSE(1,W1510*U1510,X1510*'[1]0、经济设定'!$C$18)</f>
        <v>70518</v>
      </c>
      <c r="O1510">
        <f t="shared" si="699"/>
        <v>4</v>
      </c>
      <c r="P1510">
        <f t="shared" si="700"/>
        <v>1</v>
      </c>
      <c r="Q1510">
        <f t="shared" si="701"/>
        <v>7</v>
      </c>
      <c r="R1510" s="2">
        <f t="shared" si="702"/>
        <v>12</v>
      </c>
      <c r="S1510" s="2">
        <f t="shared" si="703"/>
        <v>50</v>
      </c>
      <c r="T1510" s="2">
        <f t="shared" si="704"/>
        <v>25.30612244897959</v>
      </c>
      <c r="U1510" s="2">
        <f ca="1">VLOOKUP(E1510,金币生产率!$A$2:$B$120,2,0)</f>
        <v>1679</v>
      </c>
      <c r="V1510" s="2">
        <f t="shared" si="705"/>
        <v>177.14285714285714</v>
      </c>
      <c r="W1510" s="45">
        <f t="shared" ca="1" si="689"/>
        <v>42</v>
      </c>
      <c r="X1510" s="48">
        <f t="shared" ca="1" si="690"/>
        <v>548</v>
      </c>
      <c r="Y1510">
        <f t="shared" si="706"/>
        <v>18</v>
      </c>
      <c r="Z1510">
        <f t="shared" ca="1" si="687"/>
        <v>17</v>
      </c>
      <c r="AA1510" t="str">
        <f t="shared" ca="1" si="707"/>
        <v>9324400.png</v>
      </c>
      <c r="AB1510">
        <f t="shared" si="708"/>
        <v>3</v>
      </c>
      <c r="AC1510">
        <f>VLOOKUP(C1510,技能辅助查询表,技能配置辅助表!$W$1,FALSE)</f>
        <v>65043894</v>
      </c>
      <c r="AD1510">
        <f t="shared" ca="1" si="688"/>
        <v>128.15012715875213</v>
      </c>
      <c r="AE1510">
        <f>VLOOKUP(C1510,技能辅助查询表,技能配置辅助表!$U$1,FALSE)</f>
        <v>4</v>
      </c>
      <c r="AF1510">
        <f t="shared" ca="1" si="709"/>
        <v>9324429</v>
      </c>
      <c r="AG1510">
        <f t="shared" ca="1" si="710"/>
        <v>50.857142857142854</v>
      </c>
      <c r="AH1510">
        <f t="shared" ca="1" si="711"/>
        <v>498.5831981498805</v>
      </c>
      <c r="AI1510">
        <f ca="1">VLOOKUP(E1510,伤害参考系!$C$4:$E$104,3,FALSE)*$AN$12</f>
        <v>6528.1715392976603</v>
      </c>
      <c r="AJ1510">
        <f>VLOOKUP(C1510,技能辅助查询表,技能配置辅助表!$L$1,FALSE)</f>
        <v>7</v>
      </c>
      <c r="AK1510">
        <f>VLOOKUP(C1510,技能辅助查询表,技能配置辅助表!$AE$1,FALSE)</f>
        <v>66000650</v>
      </c>
    </row>
    <row r="1511" spans="1:37" x14ac:dyDescent="0.15">
      <c r="A1511" s="1">
        <f t="shared" ca="1" si="691"/>
        <v>9324430</v>
      </c>
      <c r="B1511" s="1" t="str">
        <f t="shared" ca="1" si="692"/>
        <v>子弹风暴第4段</v>
      </c>
      <c r="C1511" t="s">
        <v>184</v>
      </c>
      <c r="D1511">
        <f t="shared" si="693"/>
        <v>3</v>
      </c>
      <c r="E1511" s="42">
        <f t="shared" ca="1" si="685"/>
        <v>53</v>
      </c>
      <c r="F1511" t="str">
        <f t="shared" ca="1" si="686"/>
        <v>第30级，共造成230.3%点伤害</v>
      </c>
      <c r="G1511">
        <f t="shared" ca="1" si="694"/>
        <v>4</v>
      </c>
      <c r="H1511">
        <f t="shared" si="695"/>
        <v>4</v>
      </c>
      <c r="I1511" s="44">
        <f t="shared" ca="1" si="696"/>
        <v>30</v>
      </c>
      <c r="J1511">
        <f t="shared" si="697"/>
        <v>2</v>
      </c>
      <c r="K1511" s="36">
        <f t="shared" ca="1" si="698"/>
        <v>32.897959183673464</v>
      </c>
      <c r="L1511" s="10">
        <f ca="1">AH1511*VLOOKUP(C1511,技能辅助查询表,技能配置辅助表!$T$1,FALSE)</f>
        <v>0</v>
      </c>
      <c r="M1511">
        <f t="shared" ca="1" si="684"/>
        <v>5600</v>
      </c>
      <c r="N1511" s="33">
        <f ca="1">CHOOSE(1,W1511*U1511,X1511*'[1]0、经济设定'!$C$18)</f>
        <v>81900</v>
      </c>
      <c r="O1511">
        <f t="shared" si="699"/>
        <v>4</v>
      </c>
      <c r="P1511">
        <f t="shared" si="700"/>
        <v>1</v>
      </c>
      <c r="Q1511">
        <f t="shared" si="701"/>
        <v>7</v>
      </c>
      <c r="R1511" s="2">
        <f t="shared" si="702"/>
        <v>12</v>
      </c>
      <c r="S1511" s="2">
        <f t="shared" si="703"/>
        <v>50</v>
      </c>
      <c r="T1511" s="2">
        <f t="shared" si="704"/>
        <v>25.30612244897959</v>
      </c>
      <c r="U1511" s="2">
        <f ca="1">VLOOKUP(E1511,金币生产率!$A$2:$B$120,2,0)</f>
        <v>1820</v>
      </c>
      <c r="V1511" s="2">
        <f t="shared" si="705"/>
        <v>177.14285714285714</v>
      </c>
      <c r="W1511" s="45">
        <f t="shared" ca="1" si="689"/>
        <v>45</v>
      </c>
      <c r="X1511" s="48">
        <f t="shared" ca="1" si="690"/>
        <v>593</v>
      </c>
      <c r="Y1511">
        <f t="shared" si="706"/>
        <v>18</v>
      </c>
      <c r="Z1511">
        <f t="shared" ca="1" si="687"/>
        <v>18</v>
      </c>
      <c r="AA1511" t="str">
        <f t="shared" ca="1" si="707"/>
        <v>9324400.png</v>
      </c>
      <c r="AB1511">
        <f t="shared" si="708"/>
        <v>3</v>
      </c>
      <c r="AC1511">
        <f>VLOOKUP(C1511,技能辅助查询表,技能配置辅助表!$W$1,FALSE)</f>
        <v>65043894</v>
      </c>
      <c r="AD1511">
        <f t="shared" ca="1" si="688"/>
        <v>147.90825975744553</v>
      </c>
      <c r="AE1511">
        <f>VLOOKUP(C1511,技能辅助查询表,技能配置辅助表!$U$1,FALSE)</f>
        <v>4</v>
      </c>
      <c r="AF1511">
        <f t="shared" ca="1" si="709"/>
        <v>9324430</v>
      </c>
      <c r="AG1511">
        <f t="shared" ca="1" si="710"/>
        <v>52.244897959183675</v>
      </c>
      <c r="AH1511">
        <f t="shared" ca="1" si="711"/>
        <v>567.63038284107404</v>
      </c>
      <c r="AI1511">
        <f ca="1">VLOOKUP(E1511,伤害参考系!$C$4:$E$104,3,FALSE)*$AN$12</f>
        <v>7291.2152408026777</v>
      </c>
      <c r="AJ1511">
        <f>VLOOKUP(C1511,技能辅助查询表,技能配置辅助表!$L$1,FALSE)</f>
        <v>7</v>
      </c>
      <c r="AK1511">
        <f>VLOOKUP(C1511,技能辅助查询表,技能配置辅助表!$AE$1,FALSE)</f>
        <v>66000650</v>
      </c>
    </row>
    <row r="1512" spans="1:37" x14ac:dyDescent="0.15">
      <c r="A1512" s="1">
        <f t="shared" ca="1" si="691"/>
        <v>9324431</v>
      </c>
      <c r="B1512" s="1" t="str">
        <f t="shared" ca="1" si="692"/>
        <v>子弹风暴第4段</v>
      </c>
      <c r="C1512" t="s">
        <v>184</v>
      </c>
      <c r="D1512">
        <f t="shared" si="693"/>
        <v>3</v>
      </c>
      <c r="E1512" s="42">
        <f t="shared" ca="1" si="685"/>
        <v>54</v>
      </c>
      <c r="F1512" t="str">
        <f t="shared" ca="1" si="686"/>
        <v>第31级，共造成232.1%点伤害</v>
      </c>
      <c r="G1512">
        <f t="shared" ca="1" si="694"/>
        <v>4</v>
      </c>
      <c r="H1512">
        <f t="shared" si="695"/>
        <v>4</v>
      </c>
      <c r="I1512" s="44">
        <f t="shared" ca="1" si="696"/>
        <v>31</v>
      </c>
      <c r="J1512">
        <f t="shared" si="697"/>
        <v>2</v>
      </c>
      <c r="K1512" s="36">
        <f t="shared" ca="1" si="698"/>
        <v>33.151020408163262</v>
      </c>
      <c r="L1512" s="10">
        <f ca="1">AH1512*VLOOKUP(C1512,技能辅助查询表,技能配置辅助表!$T$1,FALSE)</f>
        <v>0</v>
      </c>
      <c r="M1512">
        <f t="shared" ca="1" si="684"/>
        <v>5520</v>
      </c>
      <c r="N1512" s="33">
        <f ca="1">CHOOSE(1,W1512*U1512,X1512*'[1]0、经济设定'!$C$18)</f>
        <v>90864</v>
      </c>
      <c r="O1512">
        <f t="shared" si="699"/>
        <v>4</v>
      </c>
      <c r="P1512">
        <f t="shared" si="700"/>
        <v>1</v>
      </c>
      <c r="Q1512">
        <f t="shared" si="701"/>
        <v>7</v>
      </c>
      <c r="R1512" s="2">
        <f t="shared" si="702"/>
        <v>12</v>
      </c>
      <c r="S1512" s="2">
        <f t="shared" si="703"/>
        <v>50</v>
      </c>
      <c r="T1512" s="2">
        <f t="shared" si="704"/>
        <v>25.30612244897959</v>
      </c>
      <c r="U1512" s="2">
        <f ca="1">VLOOKUP(E1512,金币生产率!$A$2:$B$120,2,0)</f>
        <v>1893</v>
      </c>
      <c r="V1512" s="2">
        <f t="shared" si="705"/>
        <v>177.14285714285714</v>
      </c>
      <c r="W1512" s="45">
        <f t="shared" ca="1" si="689"/>
        <v>48</v>
      </c>
      <c r="X1512" s="48">
        <f t="shared" ca="1" si="690"/>
        <v>641</v>
      </c>
      <c r="Y1512">
        <f t="shared" si="706"/>
        <v>18</v>
      </c>
      <c r="Z1512">
        <f t="shared" ca="1" si="687"/>
        <v>20</v>
      </c>
      <c r="AA1512" t="str">
        <f t="shared" ca="1" si="707"/>
        <v>9324400.png</v>
      </c>
      <c r="AB1512">
        <f t="shared" si="708"/>
        <v>3</v>
      </c>
      <c r="AC1512">
        <f>VLOOKUP(C1512,技能辅助查询表,技能配置辅助表!$W$1,FALSE)</f>
        <v>65043894</v>
      </c>
      <c r="AD1512">
        <f t="shared" ca="1" si="688"/>
        <v>170.68113418428089</v>
      </c>
      <c r="AE1512">
        <f>VLOOKUP(C1512,技能辅助查询表,技能配置辅助表!$U$1,FALSE)</f>
        <v>4</v>
      </c>
      <c r="AF1512">
        <f t="shared" ca="1" si="709"/>
        <v>9324431</v>
      </c>
      <c r="AG1512">
        <f t="shared" ca="1" si="710"/>
        <v>53.632653061224488</v>
      </c>
      <c r="AH1512">
        <f t="shared" ca="1" si="711"/>
        <v>646.23969022607446</v>
      </c>
      <c r="AI1512">
        <f ca="1">VLOOKUP(E1512,伤害参考系!$C$4:$E$104,3,FALSE)*$AN$12</f>
        <v>7688.356211538463</v>
      </c>
      <c r="AJ1512">
        <f>VLOOKUP(C1512,技能辅助查询表,技能配置辅助表!$L$1,FALSE)</f>
        <v>7</v>
      </c>
      <c r="AK1512">
        <f>VLOOKUP(C1512,技能辅助查询表,技能配置辅助表!$AE$1,FALSE)</f>
        <v>66000650</v>
      </c>
    </row>
    <row r="1513" spans="1:37" x14ac:dyDescent="0.15">
      <c r="A1513" s="1">
        <f t="shared" ca="1" si="691"/>
        <v>9324432</v>
      </c>
      <c r="B1513" s="1" t="str">
        <f t="shared" ca="1" si="692"/>
        <v>子弹风暴第4段</v>
      </c>
      <c r="C1513" t="s">
        <v>184</v>
      </c>
      <c r="D1513">
        <f t="shared" si="693"/>
        <v>3</v>
      </c>
      <c r="E1513" s="42">
        <f t="shared" ca="1" si="685"/>
        <v>56</v>
      </c>
      <c r="F1513" t="str">
        <f t="shared" ca="1" si="686"/>
        <v>第32级，共造成233.8%点伤害</v>
      </c>
      <c r="G1513">
        <f t="shared" ca="1" si="694"/>
        <v>4</v>
      </c>
      <c r="H1513">
        <f t="shared" si="695"/>
        <v>4</v>
      </c>
      <c r="I1513" s="44">
        <f t="shared" ca="1" si="696"/>
        <v>32</v>
      </c>
      <c r="J1513">
        <f t="shared" si="697"/>
        <v>2</v>
      </c>
      <c r="K1513" s="36">
        <f t="shared" ca="1" si="698"/>
        <v>33.40408163265306</v>
      </c>
      <c r="L1513" s="10">
        <f ca="1">AH1513*VLOOKUP(C1513,技能辅助查询表,技能配置辅助表!$T$1,FALSE)</f>
        <v>0</v>
      </c>
      <c r="M1513">
        <f t="shared" ca="1" si="684"/>
        <v>5440</v>
      </c>
      <c r="N1513" s="33">
        <f ca="1">CHOOSE(1,W1513*U1513,X1513*'[1]0、经济设定'!$C$18)</f>
        <v>104142</v>
      </c>
      <c r="O1513">
        <f t="shared" si="699"/>
        <v>4</v>
      </c>
      <c r="P1513">
        <f t="shared" si="700"/>
        <v>1</v>
      </c>
      <c r="Q1513">
        <f t="shared" si="701"/>
        <v>7</v>
      </c>
      <c r="R1513" s="2">
        <f t="shared" si="702"/>
        <v>12</v>
      </c>
      <c r="S1513" s="2">
        <f t="shared" si="703"/>
        <v>50</v>
      </c>
      <c r="T1513" s="2">
        <f t="shared" si="704"/>
        <v>25.30612244897959</v>
      </c>
      <c r="U1513" s="2">
        <f ca="1">VLOOKUP(E1513,金币生产率!$A$2:$B$120,2,0)</f>
        <v>2042</v>
      </c>
      <c r="V1513" s="2">
        <f t="shared" si="705"/>
        <v>177.14285714285714</v>
      </c>
      <c r="W1513" s="45">
        <f t="shared" ca="1" si="689"/>
        <v>51</v>
      </c>
      <c r="X1513" s="48">
        <f t="shared" ca="1" si="690"/>
        <v>692</v>
      </c>
      <c r="Y1513">
        <f t="shared" si="706"/>
        <v>18</v>
      </c>
      <c r="Z1513">
        <f t="shared" ca="1" si="687"/>
        <v>21</v>
      </c>
      <c r="AA1513" t="str">
        <f t="shared" ca="1" si="707"/>
        <v>9324400.png</v>
      </c>
      <c r="AB1513">
        <f t="shared" si="708"/>
        <v>3</v>
      </c>
      <c r="AC1513">
        <f>VLOOKUP(C1513,技能辅助查询表,技能配置辅助表!$W$1,FALSE)</f>
        <v>65043894</v>
      </c>
      <c r="AD1513">
        <f t="shared" ca="1" si="688"/>
        <v>196.92482112985195</v>
      </c>
      <c r="AE1513">
        <f>VLOOKUP(C1513,技能辅助查询表,技能配置辅助表!$U$1,FALSE)</f>
        <v>4</v>
      </c>
      <c r="AF1513">
        <f t="shared" ca="1" si="709"/>
        <v>9324432</v>
      </c>
      <c r="AG1513">
        <f t="shared" ca="1" si="710"/>
        <v>55.020408163265309</v>
      </c>
      <c r="AH1513">
        <f t="shared" ca="1" si="711"/>
        <v>735.73534794457942</v>
      </c>
      <c r="AI1513">
        <f ca="1">VLOOKUP(E1513,伤害参考系!$C$4:$E$104,3,FALSE)*$AN$12</f>
        <v>8513.8763929765901</v>
      </c>
      <c r="AJ1513">
        <f>VLOOKUP(C1513,技能辅助查询表,技能配置辅助表!$L$1,FALSE)</f>
        <v>7</v>
      </c>
      <c r="AK1513">
        <f>VLOOKUP(C1513,技能辅助查询表,技能配置辅助表!$AE$1,FALSE)</f>
        <v>66000650</v>
      </c>
    </row>
    <row r="1514" spans="1:37" x14ac:dyDescent="0.15">
      <c r="A1514" s="1">
        <f t="shared" ca="1" si="691"/>
        <v>9324433</v>
      </c>
      <c r="B1514" s="1" t="str">
        <f t="shared" ca="1" si="692"/>
        <v>子弹风暴第4段</v>
      </c>
      <c r="C1514" t="s">
        <v>184</v>
      </c>
      <c r="D1514">
        <f t="shared" si="693"/>
        <v>3</v>
      </c>
      <c r="E1514" s="42">
        <f t="shared" ca="1" si="685"/>
        <v>57</v>
      </c>
      <c r="F1514" t="str">
        <f t="shared" ca="1" si="686"/>
        <v>第33级，共造成235.6%点伤害</v>
      </c>
      <c r="G1514">
        <f t="shared" ca="1" si="694"/>
        <v>4</v>
      </c>
      <c r="H1514">
        <f t="shared" si="695"/>
        <v>4</v>
      </c>
      <c r="I1514" s="44">
        <f t="shared" ca="1" si="696"/>
        <v>33</v>
      </c>
      <c r="J1514">
        <f t="shared" si="697"/>
        <v>2</v>
      </c>
      <c r="K1514" s="36">
        <f t="shared" ca="1" si="698"/>
        <v>33.657142857142858</v>
      </c>
      <c r="L1514" s="10">
        <f ca="1">AH1514*VLOOKUP(C1514,技能辅助查询表,技能配置辅助表!$T$1,FALSE)</f>
        <v>0</v>
      </c>
      <c r="M1514">
        <f t="shared" ca="1" si="684"/>
        <v>5360</v>
      </c>
      <c r="N1514" s="33">
        <f ca="1">CHOOSE(1,W1514*U1514,X1514*'[1]0、经济设定'!$C$18)</f>
        <v>116545</v>
      </c>
      <c r="O1514">
        <f t="shared" si="699"/>
        <v>4</v>
      </c>
      <c r="P1514">
        <f t="shared" si="700"/>
        <v>1</v>
      </c>
      <c r="Q1514">
        <f t="shared" si="701"/>
        <v>7</v>
      </c>
      <c r="R1514" s="2">
        <f t="shared" si="702"/>
        <v>12</v>
      </c>
      <c r="S1514" s="2">
        <f t="shared" si="703"/>
        <v>50</v>
      </c>
      <c r="T1514" s="2">
        <f t="shared" si="704"/>
        <v>25.30612244897959</v>
      </c>
      <c r="U1514" s="2">
        <f ca="1">VLOOKUP(E1514,金币生产率!$A$2:$B$120,2,0)</f>
        <v>2119</v>
      </c>
      <c r="V1514" s="2">
        <f t="shared" si="705"/>
        <v>177.14285714285714</v>
      </c>
      <c r="W1514" s="45">
        <f t="shared" ca="1" si="689"/>
        <v>55</v>
      </c>
      <c r="X1514" s="48">
        <f t="shared" ca="1" si="690"/>
        <v>747</v>
      </c>
      <c r="Y1514">
        <f t="shared" si="706"/>
        <v>18</v>
      </c>
      <c r="Z1514">
        <f t="shared" ca="1" si="687"/>
        <v>22</v>
      </c>
      <c r="AA1514" t="str">
        <f t="shared" ca="1" si="707"/>
        <v>9324400.png</v>
      </c>
      <c r="AB1514">
        <f t="shared" si="708"/>
        <v>3</v>
      </c>
      <c r="AC1514">
        <f>VLOOKUP(C1514,技能辅助查询表,技能配置辅助表!$W$1,FALSE)</f>
        <v>65043894</v>
      </c>
      <c r="AD1514">
        <f t="shared" ca="1" si="688"/>
        <v>227.16389231584904</v>
      </c>
      <c r="AE1514">
        <f>VLOOKUP(C1514,技能辅助查询表,技能配置辅助表!$U$1,FALSE)</f>
        <v>4</v>
      </c>
      <c r="AF1514">
        <f t="shared" ca="1" si="709"/>
        <v>9324433</v>
      </c>
      <c r="AG1514">
        <f t="shared" ca="1" si="710"/>
        <v>56.408163265306122</v>
      </c>
      <c r="AH1514">
        <f t="shared" ca="1" si="711"/>
        <v>837.62497166611001</v>
      </c>
      <c r="AI1514">
        <f ca="1">VLOOKUP(E1514,伤害参考系!$C$4:$E$104,3,FALSE)*$AN$12</f>
        <v>8942.2556036789319</v>
      </c>
      <c r="AJ1514">
        <f>VLOOKUP(C1514,技能辅助查询表,技能配置辅助表!$L$1,FALSE)</f>
        <v>7</v>
      </c>
      <c r="AK1514">
        <f>VLOOKUP(C1514,技能辅助查询表,技能配置辅助表!$AE$1,FALSE)</f>
        <v>66000650</v>
      </c>
    </row>
    <row r="1515" spans="1:37" x14ac:dyDescent="0.15">
      <c r="A1515" s="1">
        <f t="shared" ca="1" si="691"/>
        <v>9324434</v>
      </c>
      <c r="B1515" s="1" t="str">
        <f t="shared" ca="1" si="692"/>
        <v>子弹风暴第4段</v>
      </c>
      <c r="C1515" t="s">
        <v>184</v>
      </c>
      <c r="D1515">
        <f t="shared" si="693"/>
        <v>3</v>
      </c>
      <c r="E1515" s="42">
        <f t="shared" ca="1" si="685"/>
        <v>58</v>
      </c>
      <c r="F1515" t="str">
        <f t="shared" ca="1" si="686"/>
        <v>第34级，共造成237.4%点伤害</v>
      </c>
      <c r="G1515">
        <f t="shared" ca="1" si="694"/>
        <v>4</v>
      </c>
      <c r="H1515">
        <f t="shared" si="695"/>
        <v>4</v>
      </c>
      <c r="I1515" s="44">
        <f t="shared" ca="1" si="696"/>
        <v>34</v>
      </c>
      <c r="J1515">
        <f t="shared" si="697"/>
        <v>2</v>
      </c>
      <c r="K1515" s="36">
        <f t="shared" ca="1" si="698"/>
        <v>33.910204081632649</v>
      </c>
      <c r="L1515" s="10">
        <f ca="1">AH1515*VLOOKUP(C1515,技能辅助查询表,技能配置辅助表!$T$1,FALSE)</f>
        <v>0</v>
      </c>
      <c r="M1515">
        <f t="shared" ca="1" si="684"/>
        <v>5280</v>
      </c>
      <c r="N1515" s="33">
        <f ca="1">CHOOSE(1,W1515*U1515,X1515*'[1]0、经济设定'!$C$18)</f>
        <v>129682</v>
      </c>
      <c r="O1515">
        <f t="shared" si="699"/>
        <v>4</v>
      </c>
      <c r="P1515">
        <f t="shared" si="700"/>
        <v>1</v>
      </c>
      <c r="Q1515">
        <f t="shared" si="701"/>
        <v>7</v>
      </c>
      <c r="R1515" s="2">
        <f t="shared" si="702"/>
        <v>12</v>
      </c>
      <c r="S1515" s="2">
        <f t="shared" si="703"/>
        <v>50</v>
      </c>
      <c r="T1515" s="2">
        <f t="shared" si="704"/>
        <v>25.30612244897959</v>
      </c>
      <c r="U1515" s="2">
        <f ca="1">VLOOKUP(E1515,金币生产率!$A$2:$B$120,2,0)</f>
        <v>2198</v>
      </c>
      <c r="V1515" s="2">
        <f t="shared" si="705"/>
        <v>177.14285714285714</v>
      </c>
      <c r="W1515" s="45">
        <f t="shared" ca="1" si="689"/>
        <v>59</v>
      </c>
      <c r="X1515" s="48">
        <f t="shared" ca="1" si="690"/>
        <v>806</v>
      </c>
      <c r="Y1515">
        <f t="shared" si="706"/>
        <v>18</v>
      </c>
      <c r="Z1515">
        <f t="shared" ca="1" si="687"/>
        <v>24</v>
      </c>
      <c r="AA1515" t="str">
        <f t="shared" ca="1" si="707"/>
        <v>9324400.png</v>
      </c>
      <c r="AB1515">
        <f t="shared" si="708"/>
        <v>3</v>
      </c>
      <c r="AC1515">
        <f>VLOOKUP(C1515,技能辅助查询表,技能配置辅助表!$W$1,FALSE)</f>
        <v>65043894</v>
      </c>
      <c r="AD1515">
        <f t="shared" ca="1" si="688"/>
        <v>262.00164667758884</v>
      </c>
      <c r="AE1515">
        <f>VLOOKUP(C1515,技能辅助查询表,技能配置辅助表!$U$1,FALSE)</f>
        <v>4</v>
      </c>
      <c r="AF1515">
        <f t="shared" ca="1" si="709"/>
        <v>9324434</v>
      </c>
      <c r="AG1515">
        <f t="shared" ca="1" si="710"/>
        <v>57.795918367346935</v>
      </c>
      <c r="AH1515">
        <f t="shared" ca="1" si="711"/>
        <v>953.62496190886134</v>
      </c>
      <c r="AI1515">
        <f ca="1">VLOOKUP(E1515,伤害参考系!$C$4:$E$104,3,FALSE)*$AN$12</f>
        <v>9381.0475610367921</v>
      </c>
      <c r="AJ1515">
        <f>VLOOKUP(C1515,技能辅助查询表,技能配置辅助表!$L$1,FALSE)</f>
        <v>7</v>
      </c>
      <c r="AK1515">
        <f>VLOOKUP(C1515,技能辅助查询表,技能配置辅助表!$AE$1,FALSE)</f>
        <v>66000650</v>
      </c>
    </row>
    <row r="1516" spans="1:37" x14ac:dyDescent="0.15">
      <c r="A1516" s="1">
        <f t="shared" ca="1" si="691"/>
        <v>9324435</v>
      </c>
      <c r="B1516" s="1" t="str">
        <f t="shared" ca="1" si="692"/>
        <v>子弹风暴第4段</v>
      </c>
      <c r="C1516" t="s">
        <v>184</v>
      </c>
      <c r="D1516">
        <f t="shared" si="693"/>
        <v>3</v>
      </c>
      <c r="E1516" s="42">
        <f t="shared" ca="1" si="685"/>
        <v>60</v>
      </c>
      <c r="F1516" t="str">
        <f t="shared" ca="1" si="686"/>
        <v>第35级，共造成239.1%点伤害</v>
      </c>
      <c r="G1516">
        <f t="shared" ca="1" si="694"/>
        <v>4</v>
      </c>
      <c r="H1516">
        <f t="shared" si="695"/>
        <v>4</v>
      </c>
      <c r="I1516" s="44">
        <f t="shared" ca="1" si="696"/>
        <v>35</v>
      </c>
      <c r="J1516">
        <f t="shared" si="697"/>
        <v>2</v>
      </c>
      <c r="K1516" s="36">
        <f t="shared" ca="1" si="698"/>
        <v>34.163265306122447</v>
      </c>
      <c r="L1516" s="10">
        <f ca="1">AH1516*VLOOKUP(C1516,技能辅助查询表,技能配置辅助表!$T$1,FALSE)</f>
        <v>0</v>
      </c>
      <c r="M1516">
        <f t="shared" ca="1" si="684"/>
        <v>5200</v>
      </c>
      <c r="N1516" s="33">
        <f ca="1">CHOOSE(1,W1516*U1516,X1516*'[1]0、经济设定'!$C$18)</f>
        <v>148554</v>
      </c>
      <c r="O1516">
        <f t="shared" si="699"/>
        <v>4</v>
      </c>
      <c r="P1516">
        <f t="shared" si="700"/>
        <v>1</v>
      </c>
      <c r="Q1516">
        <f t="shared" si="701"/>
        <v>7</v>
      </c>
      <c r="R1516" s="2">
        <f t="shared" si="702"/>
        <v>12</v>
      </c>
      <c r="S1516" s="2">
        <f t="shared" si="703"/>
        <v>50</v>
      </c>
      <c r="T1516" s="2">
        <f t="shared" si="704"/>
        <v>25.30612244897959</v>
      </c>
      <c r="U1516" s="2">
        <f ca="1">VLOOKUP(E1516,金币生产率!$A$2:$B$120,2,0)</f>
        <v>2358</v>
      </c>
      <c r="V1516" s="2">
        <f t="shared" si="705"/>
        <v>177.14285714285714</v>
      </c>
      <c r="W1516" s="45">
        <f t="shared" ca="1" si="689"/>
        <v>63</v>
      </c>
      <c r="X1516" s="48">
        <f t="shared" ca="1" si="690"/>
        <v>869</v>
      </c>
      <c r="Y1516">
        <f t="shared" si="706"/>
        <v>18</v>
      </c>
      <c r="Z1516">
        <f t="shared" ca="1" si="687"/>
        <v>26</v>
      </c>
      <c r="AA1516" t="str">
        <f t="shared" ca="1" si="707"/>
        <v>9324400.png</v>
      </c>
      <c r="AB1516">
        <f t="shared" si="708"/>
        <v>3</v>
      </c>
      <c r="AC1516">
        <f>VLOOKUP(C1516,技能辅助查询表,技能配置辅助表!$W$1,FALSE)</f>
        <v>65043894</v>
      </c>
      <c r="AD1516">
        <f t="shared" ca="1" si="688"/>
        <v>302.13185517566461</v>
      </c>
      <c r="AE1516">
        <f>VLOOKUP(C1516,技能辅助查询表,技能配置辅助表!$U$1,FALSE)</f>
        <v>4</v>
      </c>
      <c r="AF1516">
        <f t="shared" ca="1" si="709"/>
        <v>9324435</v>
      </c>
      <c r="AG1516">
        <f t="shared" ca="1" si="710"/>
        <v>59.183673469387756</v>
      </c>
      <c r="AH1516">
        <f t="shared" ca="1" si="711"/>
        <v>1085.689417982368</v>
      </c>
      <c r="AI1516">
        <f ca="1">VLOOKUP(E1516,伤害参考系!$C$4:$E$104,3,FALSE)*$AN$12</f>
        <v>10340.558729096994</v>
      </c>
      <c r="AJ1516">
        <f>VLOOKUP(C1516,技能辅助查询表,技能配置辅助表!$L$1,FALSE)</f>
        <v>7</v>
      </c>
      <c r="AK1516">
        <f>VLOOKUP(C1516,技能辅助查询表,技能配置辅助表!$AE$1,FALSE)</f>
        <v>66000650</v>
      </c>
    </row>
    <row r="1517" spans="1:37" x14ac:dyDescent="0.15">
      <c r="A1517" s="1">
        <f t="shared" ca="1" si="691"/>
        <v>9324436</v>
      </c>
      <c r="B1517" s="1" t="str">
        <f t="shared" ca="1" si="692"/>
        <v>子弹风暴第4段</v>
      </c>
      <c r="C1517" t="s">
        <v>184</v>
      </c>
      <c r="D1517">
        <f t="shared" si="693"/>
        <v>3</v>
      </c>
      <c r="E1517" s="42">
        <f t="shared" ca="1" si="685"/>
        <v>61</v>
      </c>
      <c r="F1517" t="str">
        <f t="shared" ca="1" si="686"/>
        <v>第36级，共造成240.9%点伤害</v>
      </c>
      <c r="G1517">
        <f t="shared" ca="1" si="694"/>
        <v>4</v>
      </c>
      <c r="H1517">
        <f t="shared" si="695"/>
        <v>4</v>
      </c>
      <c r="I1517" s="44">
        <f t="shared" ca="1" si="696"/>
        <v>36</v>
      </c>
      <c r="J1517">
        <f t="shared" si="697"/>
        <v>2</v>
      </c>
      <c r="K1517" s="36">
        <f t="shared" ca="1" si="698"/>
        <v>34.416326530612238</v>
      </c>
      <c r="L1517" s="10">
        <f ca="1">AH1517*VLOOKUP(C1517,技能辅助查询表,技能配置辅助表!$T$1,FALSE)</f>
        <v>0</v>
      </c>
      <c r="M1517">
        <f t="shared" ca="1" si="684"/>
        <v>5120</v>
      </c>
      <c r="N1517" s="33">
        <f ca="1">CHOOSE(1,W1517*U1517,X1517*'[1]0、经济设定'!$C$18)</f>
        <v>163480</v>
      </c>
      <c r="O1517">
        <f t="shared" si="699"/>
        <v>4</v>
      </c>
      <c r="P1517">
        <f t="shared" si="700"/>
        <v>1</v>
      </c>
      <c r="Q1517">
        <f t="shared" si="701"/>
        <v>7</v>
      </c>
      <c r="R1517" s="2">
        <f t="shared" si="702"/>
        <v>12</v>
      </c>
      <c r="S1517" s="2">
        <f t="shared" si="703"/>
        <v>50</v>
      </c>
      <c r="T1517" s="2">
        <f t="shared" si="704"/>
        <v>25.30612244897959</v>
      </c>
      <c r="U1517" s="2">
        <f ca="1">VLOOKUP(E1517,金币生产率!$A$2:$B$120,2,0)</f>
        <v>2440</v>
      </c>
      <c r="V1517" s="2">
        <f t="shared" si="705"/>
        <v>177.14285714285714</v>
      </c>
      <c r="W1517" s="45">
        <f t="shared" ca="1" si="689"/>
        <v>67</v>
      </c>
      <c r="X1517" s="48">
        <f t="shared" ca="1" si="690"/>
        <v>936</v>
      </c>
      <c r="Y1517">
        <f t="shared" si="706"/>
        <v>18</v>
      </c>
      <c r="Z1517">
        <f t="shared" ca="1" si="687"/>
        <v>27</v>
      </c>
      <c r="AA1517" t="str">
        <f t="shared" ca="1" si="707"/>
        <v>9324400.png</v>
      </c>
      <c r="AB1517">
        <f t="shared" si="708"/>
        <v>3</v>
      </c>
      <c r="AC1517">
        <f>VLOOKUP(C1517,技能辅助查询表,技能配置辅助表!$W$1,FALSE)</f>
        <v>65043894</v>
      </c>
      <c r="AD1517">
        <f t="shared" ca="1" si="688"/>
        <v>348.35224873308948</v>
      </c>
      <c r="AE1517">
        <f>VLOOKUP(C1517,技能辅助查询表,技能配置辅助表!$U$1,FALSE)</f>
        <v>4</v>
      </c>
      <c r="AF1517">
        <f t="shared" ca="1" si="709"/>
        <v>9324436</v>
      </c>
      <c r="AG1517">
        <f t="shared" ca="1" si="710"/>
        <v>60.571428571428569</v>
      </c>
      <c r="AH1517">
        <f t="shared" ca="1" si="711"/>
        <v>1236.0430561291703</v>
      </c>
      <c r="AI1517">
        <f ca="1">VLOOKUP(E1517,伤害参考系!$C$4:$E$104,3,FALSE)*$AN$12</f>
        <v>10863.360489130437</v>
      </c>
      <c r="AJ1517">
        <f>VLOOKUP(C1517,技能辅助查询表,技能配置辅助表!$L$1,FALSE)</f>
        <v>7</v>
      </c>
      <c r="AK1517">
        <f>VLOOKUP(C1517,技能辅助查询表,技能配置辅助表!$AE$1,FALSE)</f>
        <v>66000650</v>
      </c>
    </row>
    <row r="1518" spans="1:37" x14ac:dyDescent="0.15">
      <c r="A1518" s="1">
        <f t="shared" ca="1" si="691"/>
        <v>9324437</v>
      </c>
      <c r="B1518" s="1" t="str">
        <f t="shared" ca="1" si="692"/>
        <v>子弹风暴第4段</v>
      </c>
      <c r="C1518" t="s">
        <v>184</v>
      </c>
      <c r="D1518">
        <f t="shared" si="693"/>
        <v>3</v>
      </c>
      <c r="E1518" s="42">
        <f t="shared" ca="1" si="685"/>
        <v>62</v>
      </c>
      <c r="F1518" t="str">
        <f t="shared" ca="1" si="686"/>
        <v>第37级，共造成242.7%点伤害</v>
      </c>
      <c r="G1518">
        <f t="shared" ca="1" si="694"/>
        <v>4</v>
      </c>
      <c r="H1518">
        <f t="shared" si="695"/>
        <v>4</v>
      </c>
      <c r="I1518" s="44">
        <f t="shared" ca="1" si="696"/>
        <v>37</v>
      </c>
      <c r="J1518">
        <f t="shared" si="697"/>
        <v>2</v>
      </c>
      <c r="K1518" s="36">
        <f t="shared" ca="1" si="698"/>
        <v>34.669387755102036</v>
      </c>
      <c r="L1518" s="10">
        <f ca="1">AH1518*VLOOKUP(C1518,技能辅助查询表,技能配置辅助表!$T$1,FALSE)</f>
        <v>0</v>
      </c>
      <c r="M1518">
        <f t="shared" ca="1" si="684"/>
        <v>5040</v>
      </c>
      <c r="N1518" s="33">
        <f ca="1">CHOOSE(1,W1518*U1518,X1518*'[1]0、经济设定'!$C$18)</f>
        <v>181728</v>
      </c>
      <c r="O1518">
        <f t="shared" si="699"/>
        <v>4</v>
      </c>
      <c r="P1518">
        <f t="shared" si="700"/>
        <v>1</v>
      </c>
      <c r="Q1518">
        <f t="shared" si="701"/>
        <v>7</v>
      </c>
      <c r="R1518" s="2">
        <f t="shared" si="702"/>
        <v>12</v>
      </c>
      <c r="S1518" s="2">
        <f t="shared" si="703"/>
        <v>50</v>
      </c>
      <c r="T1518" s="2">
        <f t="shared" si="704"/>
        <v>25.30612244897959</v>
      </c>
      <c r="U1518" s="2">
        <f ca="1">VLOOKUP(E1518,金币生产率!$A$2:$B$120,2,0)</f>
        <v>2524</v>
      </c>
      <c r="V1518" s="2">
        <f t="shared" si="705"/>
        <v>177.14285714285714</v>
      </c>
      <c r="W1518" s="45">
        <f t="shared" ca="1" si="689"/>
        <v>72</v>
      </c>
      <c r="X1518" s="48">
        <f t="shared" ca="1" si="690"/>
        <v>1008</v>
      </c>
      <c r="Y1518">
        <f t="shared" si="706"/>
        <v>18</v>
      </c>
      <c r="Z1518">
        <f t="shared" ca="1" si="687"/>
        <v>29</v>
      </c>
      <c r="AA1518" t="str">
        <f t="shared" ca="1" si="707"/>
        <v>9324400.png</v>
      </c>
      <c r="AB1518">
        <f t="shared" si="708"/>
        <v>3</v>
      </c>
      <c r="AC1518">
        <f>VLOOKUP(C1518,技能辅助查询表,技能配置辅助表!$W$1,FALSE)</f>
        <v>65043894</v>
      </c>
      <c r="AD1518">
        <f t="shared" ca="1" si="688"/>
        <v>401.58000684869808</v>
      </c>
      <c r="AE1518">
        <f>VLOOKUP(C1518,技能辅助查询表,技能配置辅助表!$U$1,FALSE)</f>
        <v>4</v>
      </c>
      <c r="AF1518">
        <f t="shared" ca="1" si="709"/>
        <v>9324437</v>
      </c>
      <c r="AG1518">
        <f t="shared" ca="1" si="710"/>
        <v>61.95918367346939</v>
      </c>
      <c r="AH1518">
        <f t="shared" ca="1" si="711"/>
        <v>1407.2186863941167</v>
      </c>
      <c r="AI1518">
        <f ca="1">VLOOKUP(E1518,伤害参考系!$C$4:$E$104,3,FALSE)*$AN$12</f>
        <v>11398.657545150505</v>
      </c>
      <c r="AJ1518">
        <f>VLOOKUP(C1518,技能辅助查询表,技能配置辅助表!$L$1,FALSE)</f>
        <v>7</v>
      </c>
      <c r="AK1518">
        <f>VLOOKUP(C1518,技能辅助查询表,技能配置辅助表!$AE$1,FALSE)</f>
        <v>66000650</v>
      </c>
    </row>
    <row r="1519" spans="1:37" x14ac:dyDescent="0.15">
      <c r="A1519" s="1">
        <f t="shared" ca="1" si="691"/>
        <v>9324438</v>
      </c>
      <c r="B1519" s="1" t="str">
        <f t="shared" ca="1" si="692"/>
        <v>子弹风暴第4段</v>
      </c>
      <c r="C1519" t="s">
        <v>184</v>
      </c>
      <c r="D1519">
        <f t="shared" si="693"/>
        <v>3</v>
      </c>
      <c r="E1519" s="42">
        <f t="shared" ca="1" si="685"/>
        <v>64</v>
      </c>
      <c r="F1519" t="str">
        <f t="shared" ca="1" si="686"/>
        <v>第38级，共造成244.5%点伤害</v>
      </c>
      <c r="G1519">
        <f t="shared" ca="1" si="694"/>
        <v>4</v>
      </c>
      <c r="H1519">
        <f t="shared" si="695"/>
        <v>4</v>
      </c>
      <c r="I1519" s="44">
        <f t="shared" ca="1" si="696"/>
        <v>38</v>
      </c>
      <c r="J1519">
        <f t="shared" si="697"/>
        <v>2</v>
      </c>
      <c r="K1519" s="36">
        <f t="shared" ca="1" si="698"/>
        <v>34.922448979591834</v>
      </c>
      <c r="L1519" s="10">
        <f ca="1">AH1519*VLOOKUP(C1519,技能辅助查询表,技能配置辅助表!$T$1,FALSE)</f>
        <v>0</v>
      </c>
      <c r="M1519">
        <f t="shared" ca="1" si="684"/>
        <v>4960</v>
      </c>
      <c r="N1519" s="33">
        <f ca="1">CHOOSE(1,W1519*U1519,X1519*'[1]0、经济设定'!$C$18)</f>
        <v>207515</v>
      </c>
      <c r="O1519">
        <f t="shared" si="699"/>
        <v>4</v>
      </c>
      <c r="P1519">
        <f t="shared" si="700"/>
        <v>1</v>
      </c>
      <c r="Q1519">
        <f t="shared" si="701"/>
        <v>7</v>
      </c>
      <c r="R1519" s="2">
        <f t="shared" si="702"/>
        <v>12</v>
      </c>
      <c r="S1519" s="2">
        <f t="shared" si="703"/>
        <v>50</v>
      </c>
      <c r="T1519" s="2">
        <f t="shared" si="704"/>
        <v>25.30612244897959</v>
      </c>
      <c r="U1519" s="2">
        <f ca="1">VLOOKUP(E1519,金币生产率!$A$2:$B$120,2,0)</f>
        <v>2695</v>
      </c>
      <c r="V1519" s="2">
        <f t="shared" si="705"/>
        <v>177.14285714285714</v>
      </c>
      <c r="W1519" s="45">
        <f t="shared" ca="1" si="689"/>
        <v>77</v>
      </c>
      <c r="X1519" s="48">
        <f t="shared" ca="1" si="690"/>
        <v>1085</v>
      </c>
      <c r="Y1519">
        <f t="shared" si="706"/>
        <v>18</v>
      </c>
      <c r="Z1519">
        <f t="shared" ca="1" si="687"/>
        <v>31</v>
      </c>
      <c r="AA1519" t="str">
        <f t="shared" ca="1" si="707"/>
        <v>9324400.png</v>
      </c>
      <c r="AB1519">
        <f t="shared" si="708"/>
        <v>3</v>
      </c>
      <c r="AC1519">
        <f>VLOOKUP(C1519,技能辅助查询表,技能配置辅助表!$W$1,FALSE)</f>
        <v>65043894</v>
      </c>
      <c r="AD1519">
        <f t="shared" ca="1" si="688"/>
        <v>462.86954234164097</v>
      </c>
      <c r="AE1519">
        <f>VLOOKUP(C1519,技能辅助查询表,技能配置辅助表!$U$1,FALSE)</f>
        <v>4</v>
      </c>
      <c r="AF1519">
        <f t="shared" ca="1" si="709"/>
        <v>9324438</v>
      </c>
      <c r="AG1519">
        <f t="shared" ca="1" si="710"/>
        <v>63.346938775510203</v>
      </c>
      <c r="AH1519">
        <f t="shared" ca="1" si="711"/>
        <v>1602.0998795448415</v>
      </c>
      <c r="AI1519">
        <f ca="1">VLOOKUP(E1519,伤害参考系!$C$4:$E$104,3,FALSE)*$AN$12</f>
        <v>12506.737545150507</v>
      </c>
      <c r="AJ1519">
        <f>VLOOKUP(C1519,技能辅助查询表,技能配置辅助表!$L$1,FALSE)</f>
        <v>7</v>
      </c>
      <c r="AK1519">
        <f>VLOOKUP(C1519,技能辅助查询表,技能配置辅助表!$AE$1,FALSE)</f>
        <v>66000650</v>
      </c>
    </row>
    <row r="1520" spans="1:37" x14ac:dyDescent="0.15">
      <c r="A1520" s="1">
        <f t="shared" ca="1" si="691"/>
        <v>9324439</v>
      </c>
      <c r="B1520" s="1" t="str">
        <f t="shared" ca="1" si="692"/>
        <v>子弹风暴第4段</v>
      </c>
      <c r="C1520" t="s">
        <v>184</v>
      </c>
      <c r="D1520">
        <f t="shared" si="693"/>
        <v>3</v>
      </c>
      <c r="E1520" s="42">
        <f t="shared" ca="1" si="685"/>
        <v>65</v>
      </c>
      <c r="F1520" t="str">
        <f t="shared" ca="1" si="686"/>
        <v>第39级，共造成246.2%点伤害</v>
      </c>
      <c r="G1520">
        <f t="shared" ca="1" si="694"/>
        <v>4</v>
      </c>
      <c r="H1520">
        <f t="shared" si="695"/>
        <v>4</v>
      </c>
      <c r="I1520" s="44">
        <f t="shared" ca="1" si="696"/>
        <v>39</v>
      </c>
      <c r="J1520">
        <f t="shared" si="697"/>
        <v>2</v>
      </c>
      <c r="K1520" s="36">
        <f t="shared" ca="1" si="698"/>
        <v>35.175510204081633</v>
      </c>
      <c r="L1520" s="10">
        <f ca="1">AH1520*VLOOKUP(C1520,技能辅助查询表,技能配置辅助表!$T$1,FALSE)</f>
        <v>0</v>
      </c>
      <c r="M1520">
        <f t="shared" ca="1" si="684"/>
        <v>4880</v>
      </c>
      <c r="N1520" s="33">
        <f ca="1">CHOOSE(1,W1520*U1520,X1520*'[1]0、经济设定'!$C$18)</f>
        <v>228206</v>
      </c>
      <c r="O1520">
        <f t="shared" si="699"/>
        <v>4</v>
      </c>
      <c r="P1520">
        <f t="shared" si="700"/>
        <v>1</v>
      </c>
      <c r="Q1520">
        <f t="shared" si="701"/>
        <v>7</v>
      </c>
      <c r="R1520" s="2">
        <f t="shared" si="702"/>
        <v>12</v>
      </c>
      <c r="S1520" s="2">
        <f t="shared" si="703"/>
        <v>50</v>
      </c>
      <c r="T1520" s="2">
        <f t="shared" si="704"/>
        <v>25.30612244897959</v>
      </c>
      <c r="U1520" s="2">
        <f ca="1">VLOOKUP(E1520,金币生产率!$A$2:$B$120,2,0)</f>
        <v>2783</v>
      </c>
      <c r="V1520" s="2">
        <f t="shared" si="705"/>
        <v>177.14285714285714</v>
      </c>
      <c r="W1520" s="45">
        <f t="shared" ca="1" si="689"/>
        <v>82</v>
      </c>
      <c r="X1520" s="48">
        <f t="shared" ca="1" si="690"/>
        <v>1167</v>
      </c>
      <c r="Y1520">
        <f t="shared" si="706"/>
        <v>18</v>
      </c>
      <c r="Z1520">
        <f t="shared" ca="1" si="687"/>
        <v>33</v>
      </c>
      <c r="AA1520" t="str">
        <f t="shared" ca="1" si="707"/>
        <v>9324400.png</v>
      </c>
      <c r="AB1520">
        <f t="shared" si="708"/>
        <v>3</v>
      </c>
      <c r="AC1520">
        <f>VLOOKUP(C1520,技能辅助查询表,技能配置辅助表!$W$1,FALSE)</f>
        <v>65043894</v>
      </c>
      <c r="AD1520">
        <f t="shared" ca="1" si="688"/>
        <v>533.4329211448437</v>
      </c>
      <c r="AE1520">
        <f>VLOOKUP(C1520,技能辅助查询表,技能配置辅助表!$U$1,FALSE)</f>
        <v>4</v>
      </c>
      <c r="AF1520">
        <f t="shared" ca="1" si="709"/>
        <v>9324439</v>
      </c>
      <c r="AG1520">
        <f t="shared" ca="1" si="710"/>
        <v>64.734693877551024</v>
      </c>
      <c r="AH1520">
        <f t="shared" ca="1" si="711"/>
        <v>1823.9695427969455</v>
      </c>
      <c r="AI1520">
        <f ca="1">VLOOKUP(E1520,伤害参考系!$C$4:$E$104,3,FALSE)*$AN$12</f>
        <v>13079.520489130437</v>
      </c>
      <c r="AJ1520">
        <f>VLOOKUP(C1520,技能辅助查询表,技能配置辅助表!$L$1,FALSE)</f>
        <v>7</v>
      </c>
      <c r="AK1520">
        <f>VLOOKUP(C1520,技能辅助查询表,技能配置辅助表!$AE$1,FALSE)</f>
        <v>66000650</v>
      </c>
    </row>
    <row r="1521" spans="1:37" x14ac:dyDescent="0.15">
      <c r="A1521" s="1">
        <f t="shared" ca="1" si="691"/>
        <v>9324440</v>
      </c>
      <c r="B1521" s="1" t="str">
        <f t="shared" ca="1" si="692"/>
        <v>子弹风暴第4段</v>
      </c>
      <c r="C1521" t="s">
        <v>184</v>
      </c>
      <c r="D1521">
        <f t="shared" si="693"/>
        <v>3</v>
      </c>
      <c r="E1521" s="42">
        <f t="shared" ca="1" si="685"/>
        <v>66</v>
      </c>
      <c r="F1521" t="str">
        <f t="shared" ca="1" si="686"/>
        <v>第40级，共造成248%点伤害</v>
      </c>
      <c r="G1521">
        <f t="shared" ca="1" si="694"/>
        <v>4</v>
      </c>
      <c r="H1521">
        <f t="shared" si="695"/>
        <v>4</v>
      </c>
      <c r="I1521" s="44">
        <f t="shared" ca="1" si="696"/>
        <v>40</v>
      </c>
      <c r="J1521">
        <f t="shared" si="697"/>
        <v>2</v>
      </c>
      <c r="K1521" s="36">
        <f t="shared" ca="1" si="698"/>
        <v>35.428571428571423</v>
      </c>
      <c r="L1521" s="10">
        <f ca="1">AH1521*VLOOKUP(C1521,技能辅助查询表,技能配置辅助表!$T$1,FALSE)</f>
        <v>0</v>
      </c>
      <c r="M1521">
        <f t="shared" ca="1" si="684"/>
        <v>4800</v>
      </c>
      <c r="N1521" s="33">
        <f ca="1">CHOOSE(1,W1521*U1521,X1521*'[1]0、经济设定'!$C$18)</f>
        <v>252736</v>
      </c>
      <c r="O1521">
        <f t="shared" si="699"/>
        <v>4</v>
      </c>
      <c r="P1521">
        <f t="shared" si="700"/>
        <v>1</v>
      </c>
      <c r="Q1521">
        <f t="shared" si="701"/>
        <v>7</v>
      </c>
      <c r="R1521" s="2">
        <f t="shared" si="702"/>
        <v>12</v>
      </c>
      <c r="S1521" s="2">
        <f t="shared" si="703"/>
        <v>50</v>
      </c>
      <c r="T1521" s="2">
        <f t="shared" si="704"/>
        <v>25.30612244897959</v>
      </c>
      <c r="U1521" s="2">
        <f ca="1">VLOOKUP(E1521,金币生产率!$A$2:$B$120,2,0)</f>
        <v>2872</v>
      </c>
      <c r="V1521" s="2">
        <f t="shared" si="705"/>
        <v>177.14285714285714</v>
      </c>
      <c r="W1521" s="45">
        <f t="shared" ca="1" si="689"/>
        <v>88</v>
      </c>
      <c r="X1521" s="48">
        <f t="shared" ca="1" si="690"/>
        <v>1255</v>
      </c>
      <c r="Y1521">
        <f t="shared" si="706"/>
        <v>18</v>
      </c>
      <c r="Z1521">
        <f t="shared" ca="1" si="687"/>
        <v>36</v>
      </c>
      <c r="AA1521" t="str">
        <f t="shared" ca="1" si="707"/>
        <v>9324400.png</v>
      </c>
      <c r="AB1521">
        <f t="shared" si="708"/>
        <v>3</v>
      </c>
      <c r="AC1521">
        <f>VLOOKUP(C1521,技能辅助查询表,技能配置辅助表!$W$1,FALSE)</f>
        <v>65043894</v>
      </c>
      <c r="AD1521">
        <f t="shared" ca="1" si="688"/>
        <v>614.66330590002667</v>
      </c>
      <c r="AE1521">
        <f>VLOOKUP(C1521,技能辅助查询表,技能配置辅助表!$U$1,FALSE)</f>
        <v>4</v>
      </c>
      <c r="AF1521">
        <f t="shared" ca="1" si="709"/>
        <v>9324440</v>
      </c>
      <c r="AG1521">
        <f t="shared" ca="1" si="710"/>
        <v>66.122448979591837</v>
      </c>
      <c r="AH1521">
        <f t="shared" ca="1" si="711"/>
        <v>2076.5652226352254</v>
      </c>
      <c r="AI1521">
        <f ca="1">VLOOKUP(E1521,伤害参考系!$C$4:$E$104,3,FALSE)*$AN$12</f>
        <v>13664.798729096996</v>
      </c>
      <c r="AJ1521">
        <f>VLOOKUP(C1521,技能辅助查询表,技能配置辅助表!$L$1,FALSE)</f>
        <v>7</v>
      </c>
      <c r="AK1521">
        <f>VLOOKUP(C1521,技能辅助查询表,技能配置辅助表!$AE$1,FALSE)</f>
        <v>66000650</v>
      </c>
    </row>
    <row r="1522" spans="1:37" x14ac:dyDescent="0.15">
      <c r="A1522" s="1">
        <f t="shared" ca="1" si="691"/>
        <v>9324441</v>
      </c>
      <c r="B1522" s="1" t="str">
        <f t="shared" ca="1" si="692"/>
        <v>子弹风暴第4段</v>
      </c>
      <c r="C1522" t="s">
        <v>184</v>
      </c>
      <c r="D1522">
        <f t="shared" si="693"/>
        <v>3</v>
      </c>
      <c r="E1522" s="42">
        <f t="shared" ca="1" si="685"/>
        <v>68</v>
      </c>
      <c r="F1522" t="str">
        <f t="shared" ca="1" si="686"/>
        <v>第41级，共造成249.8%点伤害</v>
      </c>
      <c r="G1522">
        <f t="shared" ca="1" si="694"/>
        <v>4</v>
      </c>
      <c r="H1522">
        <f t="shared" si="695"/>
        <v>4</v>
      </c>
      <c r="I1522" s="44">
        <f t="shared" ca="1" si="696"/>
        <v>41</v>
      </c>
      <c r="J1522">
        <f t="shared" si="697"/>
        <v>2</v>
      </c>
      <c r="K1522" s="36">
        <f t="shared" ca="1" si="698"/>
        <v>35.681632653061222</v>
      </c>
      <c r="L1522" s="10">
        <f ca="1">AH1522*VLOOKUP(C1522,技能辅助查询表,技能配置辅助表!$T$1,FALSE)</f>
        <v>0</v>
      </c>
      <c r="M1522">
        <f t="shared" ca="1" si="684"/>
        <v>4720</v>
      </c>
      <c r="N1522" s="33">
        <f ca="1">CHOOSE(1,W1522*U1522,X1522*'[1]0、经济设定'!$C$18)</f>
        <v>287076</v>
      </c>
      <c r="O1522">
        <f t="shared" si="699"/>
        <v>4</v>
      </c>
      <c r="P1522">
        <f t="shared" si="700"/>
        <v>1</v>
      </c>
      <c r="Q1522">
        <f t="shared" si="701"/>
        <v>7</v>
      </c>
      <c r="R1522" s="2">
        <f t="shared" si="702"/>
        <v>12</v>
      </c>
      <c r="S1522" s="2">
        <f t="shared" si="703"/>
        <v>50</v>
      </c>
      <c r="T1522" s="2">
        <f t="shared" si="704"/>
        <v>25.30612244897959</v>
      </c>
      <c r="U1522" s="2">
        <f ca="1">VLOOKUP(E1522,金币生产率!$A$2:$B$120,2,0)</f>
        <v>3054</v>
      </c>
      <c r="V1522" s="2">
        <f t="shared" si="705"/>
        <v>177.14285714285714</v>
      </c>
      <c r="W1522" s="45">
        <f t="shared" ca="1" si="689"/>
        <v>94</v>
      </c>
      <c r="X1522" s="48">
        <f t="shared" ca="1" si="690"/>
        <v>1349</v>
      </c>
      <c r="Y1522">
        <f t="shared" si="706"/>
        <v>18</v>
      </c>
      <c r="Z1522">
        <f t="shared" ca="1" si="687"/>
        <v>38</v>
      </c>
      <c r="AA1522" t="str">
        <f t="shared" ca="1" si="707"/>
        <v>9324400.png</v>
      </c>
      <c r="AB1522">
        <f t="shared" si="708"/>
        <v>3</v>
      </c>
      <c r="AC1522">
        <f>VLOOKUP(C1522,技能辅助查询表,技能配置辅助表!$W$1,FALSE)</f>
        <v>65043894</v>
      </c>
      <c r="AD1522">
        <f t="shared" ca="1" si="688"/>
        <v>708.16186924456053</v>
      </c>
      <c r="AE1522">
        <f>VLOOKUP(C1522,技能辅助查询表,技能配置辅助表!$U$1,FALSE)</f>
        <v>4</v>
      </c>
      <c r="AF1522">
        <f t="shared" ca="1" si="709"/>
        <v>9324441</v>
      </c>
      <c r="AG1522">
        <f t="shared" ca="1" si="710"/>
        <v>67.510204081632651</v>
      </c>
      <c r="AH1522">
        <f t="shared" ca="1" si="711"/>
        <v>2364.1420663448707</v>
      </c>
      <c r="AI1522">
        <f ca="1">VLOOKUP(E1522,伤害参考系!$C$4:$E$104,3,FALSE)*$AN$12</f>
        <v>14872.841096989978</v>
      </c>
      <c r="AJ1522">
        <f>VLOOKUP(C1522,技能辅助查询表,技能配置辅助表!$L$1,FALSE)</f>
        <v>7</v>
      </c>
      <c r="AK1522">
        <f>VLOOKUP(C1522,技能辅助查询表,技能配置辅助表!$AE$1,FALSE)</f>
        <v>66000650</v>
      </c>
    </row>
    <row r="1523" spans="1:37" x14ac:dyDescent="0.15">
      <c r="A1523" s="1">
        <f t="shared" ca="1" si="691"/>
        <v>9324442</v>
      </c>
      <c r="B1523" s="1" t="str">
        <f t="shared" ca="1" si="692"/>
        <v>子弹风暴第4段</v>
      </c>
      <c r="C1523" t="s">
        <v>184</v>
      </c>
      <c r="D1523">
        <f t="shared" si="693"/>
        <v>3</v>
      </c>
      <c r="E1523" s="42">
        <f t="shared" ca="1" si="685"/>
        <v>69</v>
      </c>
      <c r="F1523" t="str">
        <f t="shared" ca="1" si="686"/>
        <v>第42级，共造成251.5%点伤害</v>
      </c>
      <c r="G1523">
        <f t="shared" ca="1" si="694"/>
        <v>4</v>
      </c>
      <c r="H1523">
        <f t="shared" si="695"/>
        <v>4</v>
      </c>
      <c r="I1523" s="44">
        <f t="shared" ca="1" si="696"/>
        <v>42</v>
      </c>
      <c r="J1523">
        <f t="shared" si="697"/>
        <v>2</v>
      </c>
      <c r="K1523" s="36">
        <f t="shared" ca="1" si="698"/>
        <v>35.93469387755102</v>
      </c>
      <c r="L1523" s="10">
        <f ca="1">AH1523*VLOOKUP(C1523,技能辅助查询表,技能配置辅助表!$T$1,FALSE)</f>
        <v>0</v>
      </c>
      <c r="M1523">
        <f t="shared" ca="1" si="684"/>
        <v>4640</v>
      </c>
      <c r="N1523" s="33">
        <f ca="1">CHOOSE(1,W1523*U1523,X1523*'[1]0、经济设定'!$C$18)</f>
        <v>314700</v>
      </c>
      <c r="O1523">
        <f t="shared" si="699"/>
        <v>4</v>
      </c>
      <c r="P1523">
        <f t="shared" si="700"/>
        <v>1</v>
      </c>
      <c r="Q1523">
        <f t="shared" si="701"/>
        <v>7</v>
      </c>
      <c r="R1523" s="2">
        <f t="shared" si="702"/>
        <v>12</v>
      </c>
      <c r="S1523" s="2">
        <f t="shared" si="703"/>
        <v>50</v>
      </c>
      <c r="T1523" s="2">
        <f t="shared" si="704"/>
        <v>25.30612244897959</v>
      </c>
      <c r="U1523" s="2">
        <f ca="1">VLOOKUP(E1523,金币生产率!$A$2:$B$120,2,0)</f>
        <v>3147</v>
      </c>
      <c r="V1523" s="2">
        <f t="shared" si="705"/>
        <v>177.14285714285714</v>
      </c>
      <c r="W1523" s="45">
        <f t="shared" ca="1" si="689"/>
        <v>100</v>
      </c>
      <c r="X1523" s="48">
        <f t="shared" ca="1" si="690"/>
        <v>1449</v>
      </c>
      <c r="Y1523">
        <f t="shared" si="706"/>
        <v>18</v>
      </c>
      <c r="Z1523">
        <f t="shared" ca="1" si="687"/>
        <v>40</v>
      </c>
      <c r="AA1523" t="str">
        <f t="shared" ca="1" si="707"/>
        <v>9324400.png</v>
      </c>
      <c r="AB1523">
        <f t="shared" si="708"/>
        <v>3</v>
      </c>
      <c r="AC1523">
        <f>VLOOKUP(C1523,技能辅助查询表,技能配置辅助表!$W$1,FALSE)</f>
        <v>65043894</v>
      </c>
      <c r="AD1523">
        <f t="shared" ca="1" si="688"/>
        <v>815.76868818801483</v>
      </c>
      <c r="AE1523">
        <f>VLOOKUP(C1523,技能辅助查询表,技能配置辅助表!$U$1,FALSE)</f>
        <v>4</v>
      </c>
      <c r="AF1523">
        <f t="shared" ca="1" si="709"/>
        <v>9324442</v>
      </c>
      <c r="AG1523">
        <f t="shared" ca="1" si="710"/>
        <v>68.897959183673464</v>
      </c>
      <c r="AH1523">
        <f t="shared" ca="1" si="711"/>
        <v>2691.5445028827789</v>
      </c>
      <c r="AI1523">
        <f ca="1">VLOOKUP(E1523,伤害参考系!$C$4:$E$104,3,FALSE)*$AN$12</f>
        <v>15495.605224916402</v>
      </c>
      <c r="AJ1523">
        <f>VLOOKUP(C1523,技能辅助查询表,技能配置辅助表!$L$1,FALSE)</f>
        <v>7</v>
      </c>
      <c r="AK1523">
        <f>VLOOKUP(C1523,技能辅助查询表,技能配置辅助表!$AE$1,FALSE)</f>
        <v>66000650</v>
      </c>
    </row>
    <row r="1524" spans="1:37" x14ac:dyDescent="0.15">
      <c r="A1524" s="1">
        <f t="shared" ca="1" si="691"/>
        <v>9324443</v>
      </c>
      <c r="B1524" s="1" t="str">
        <f t="shared" ca="1" si="692"/>
        <v>子弹风暴第4段</v>
      </c>
      <c r="C1524" t="s">
        <v>184</v>
      </c>
      <c r="D1524">
        <f t="shared" si="693"/>
        <v>3</v>
      </c>
      <c r="E1524" s="42">
        <f t="shared" ca="1" si="685"/>
        <v>70</v>
      </c>
      <c r="F1524" t="str">
        <f t="shared" ca="1" si="686"/>
        <v>第43级，共造成253.3%点伤害</v>
      </c>
      <c r="G1524">
        <f t="shared" ca="1" si="694"/>
        <v>4</v>
      </c>
      <c r="H1524">
        <f t="shared" si="695"/>
        <v>4</v>
      </c>
      <c r="I1524" s="44">
        <f t="shared" ca="1" si="696"/>
        <v>43</v>
      </c>
      <c r="J1524">
        <f t="shared" si="697"/>
        <v>2</v>
      </c>
      <c r="K1524" s="36">
        <f t="shared" ca="1" si="698"/>
        <v>36.187755102040811</v>
      </c>
      <c r="L1524" s="10">
        <f ca="1">AH1524*VLOOKUP(C1524,技能辅助查询表,技能配置辅助表!$T$1,FALSE)</f>
        <v>0</v>
      </c>
      <c r="M1524">
        <f t="shared" ca="1" si="684"/>
        <v>4560</v>
      </c>
      <c r="N1524" s="33">
        <f ca="1">CHOOSE(1,W1524*U1524,X1524*'[1]0、经济设定'!$C$18)</f>
        <v>346894</v>
      </c>
      <c r="O1524">
        <f t="shared" si="699"/>
        <v>4</v>
      </c>
      <c r="P1524">
        <f t="shared" si="700"/>
        <v>1</v>
      </c>
      <c r="Q1524">
        <f t="shared" si="701"/>
        <v>7</v>
      </c>
      <c r="R1524" s="2">
        <f t="shared" si="702"/>
        <v>12</v>
      </c>
      <c r="S1524" s="2">
        <f t="shared" si="703"/>
        <v>50</v>
      </c>
      <c r="T1524" s="2">
        <f t="shared" si="704"/>
        <v>25.30612244897959</v>
      </c>
      <c r="U1524" s="2">
        <f ca="1">VLOOKUP(E1524,金币生产率!$A$2:$B$120,2,0)</f>
        <v>3242</v>
      </c>
      <c r="V1524" s="2">
        <f t="shared" si="705"/>
        <v>177.14285714285714</v>
      </c>
      <c r="W1524" s="45">
        <f t="shared" ca="1" si="689"/>
        <v>107</v>
      </c>
      <c r="X1524" s="48">
        <f t="shared" ca="1" si="690"/>
        <v>1556</v>
      </c>
      <c r="Y1524">
        <f t="shared" si="706"/>
        <v>18</v>
      </c>
      <c r="Z1524">
        <f t="shared" ca="1" si="687"/>
        <v>43</v>
      </c>
      <c r="AA1524" t="str">
        <f t="shared" ca="1" si="707"/>
        <v>9324400.png</v>
      </c>
      <c r="AB1524">
        <f t="shared" si="708"/>
        <v>3</v>
      </c>
      <c r="AC1524">
        <f>VLOOKUP(C1524,技能辅助查询表,技能配置辅助表!$W$1,FALSE)</f>
        <v>65043894</v>
      </c>
      <c r="AD1524">
        <f t="shared" ca="1" si="688"/>
        <v>939.59820607612494</v>
      </c>
      <c r="AE1524">
        <f>VLOOKUP(C1524,技能辅助查询表,技能配置辅助表!$U$1,FALSE)</f>
        <v>4</v>
      </c>
      <c r="AF1524">
        <f t="shared" ca="1" si="709"/>
        <v>9324443</v>
      </c>
      <c r="AG1524">
        <f t="shared" ca="1" si="710"/>
        <v>70.285714285714278</v>
      </c>
      <c r="AH1524">
        <f t="shared" ca="1" si="711"/>
        <v>3064.2878506023458</v>
      </c>
      <c r="AI1524">
        <f ca="1">VLOOKUP(E1524,伤害参考系!$C$4:$E$104,3,FALSE)*$AN$12</f>
        <v>16191.966408862889</v>
      </c>
      <c r="AJ1524">
        <f>VLOOKUP(C1524,技能辅助查询表,技能配置辅助表!$L$1,FALSE)</f>
        <v>7</v>
      </c>
      <c r="AK1524">
        <f>VLOOKUP(C1524,技能辅助查询表,技能配置辅助表!$AE$1,FALSE)</f>
        <v>66000650</v>
      </c>
    </row>
    <row r="1525" spans="1:37" x14ac:dyDescent="0.15">
      <c r="A1525" s="1">
        <f t="shared" ca="1" si="691"/>
        <v>9324444</v>
      </c>
      <c r="B1525" s="1" t="str">
        <f t="shared" ca="1" si="692"/>
        <v>子弹风暴第4段</v>
      </c>
      <c r="C1525" t="s">
        <v>184</v>
      </c>
      <c r="D1525">
        <f t="shared" si="693"/>
        <v>3</v>
      </c>
      <c r="E1525" s="42">
        <f t="shared" ca="1" si="685"/>
        <v>72</v>
      </c>
      <c r="F1525" t="str">
        <f t="shared" ca="1" si="686"/>
        <v>第44级，共造成255.1%点伤害</v>
      </c>
      <c r="G1525">
        <f t="shared" ca="1" si="694"/>
        <v>4</v>
      </c>
      <c r="H1525">
        <f t="shared" si="695"/>
        <v>4</v>
      </c>
      <c r="I1525" s="44">
        <f t="shared" ca="1" si="696"/>
        <v>44</v>
      </c>
      <c r="J1525">
        <f t="shared" si="697"/>
        <v>2</v>
      </c>
      <c r="K1525" s="36">
        <f t="shared" ca="1" si="698"/>
        <v>36.440816326530609</v>
      </c>
      <c r="L1525" s="10">
        <f ca="1">AH1525*VLOOKUP(C1525,技能辅助查询表,技能配置辅助表!$T$1,FALSE)</f>
        <v>0</v>
      </c>
      <c r="M1525">
        <f t="shared" ca="1" si="684"/>
        <v>4480</v>
      </c>
      <c r="N1525" s="33">
        <f ca="1">CHOOSE(1,W1525*U1525,X1525*'[1]0、经济设定'!$C$18)</f>
        <v>395025</v>
      </c>
      <c r="O1525">
        <f t="shared" si="699"/>
        <v>4</v>
      </c>
      <c r="P1525">
        <f t="shared" si="700"/>
        <v>1</v>
      </c>
      <c r="Q1525">
        <f t="shared" si="701"/>
        <v>7</v>
      </c>
      <c r="R1525" s="2">
        <f t="shared" si="702"/>
        <v>12</v>
      </c>
      <c r="S1525" s="2">
        <f t="shared" si="703"/>
        <v>50</v>
      </c>
      <c r="T1525" s="2">
        <f t="shared" si="704"/>
        <v>25.30612244897959</v>
      </c>
      <c r="U1525" s="2">
        <f ca="1">VLOOKUP(E1525,金币生产率!$A$2:$B$120,2,0)</f>
        <v>3435</v>
      </c>
      <c r="V1525" s="2">
        <f t="shared" si="705"/>
        <v>177.14285714285714</v>
      </c>
      <c r="W1525" s="45">
        <f t="shared" ca="1" si="689"/>
        <v>115</v>
      </c>
      <c r="X1525" s="48">
        <f t="shared" ca="1" si="690"/>
        <v>1671</v>
      </c>
      <c r="Y1525">
        <f t="shared" si="706"/>
        <v>18</v>
      </c>
      <c r="Z1525">
        <f t="shared" ca="1" si="687"/>
        <v>46</v>
      </c>
      <c r="AA1525" t="str">
        <f t="shared" ca="1" si="707"/>
        <v>9324400.png</v>
      </c>
      <c r="AB1525">
        <f t="shared" si="708"/>
        <v>3</v>
      </c>
      <c r="AC1525">
        <f>VLOOKUP(C1525,技能辅助查询表,技能配置辅助表!$W$1,FALSE)</f>
        <v>65043894</v>
      </c>
      <c r="AD1525">
        <f t="shared" ca="1" si="688"/>
        <v>1082.0799347326124</v>
      </c>
      <c r="AE1525">
        <f>VLOOKUP(C1525,技能辅助查询表,技能配置辅助表!$U$1,FALSE)</f>
        <v>4</v>
      </c>
      <c r="AF1525">
        <f t="shared" ca="1" si="709"/>
        <v>9324444</v>
      </c>
      <c r="AG1525">
        <f t="shared" ca="1" si="710"/>
        <v>71.673469387755105</v>
      </c>
      <c r="AH1525">
        <f t="shared" ca="1" si="711"/>
        <v>3488.6512265697725</v>
      </c>
      <c r="AI1525">
        <f ca="1">VLOOKUP(E1525,伤害参考系!$C$4:$E$104,3,FALSE)*$AN$12</f>
        <v>17628.422312709041</v>
      </c>
      <c r="AJ1525">
        <f>VLOOKUP(C1525,技能辅助查询表,技能配置辅助表!$L$1,FALSE)</f>
        <v>7</v>
      </c>
      <c r="AK1525">
        <f>VLOOKUP(C1525,技能辅助查询表,技能配置辅助表!$AE$1,FALSE)</f>
        <v>66000650</v>
      </c>
    </row>
    <row r="1526" spans="1:37" x14ac:dyDescent="0.15">
      <c r="A1526" s="1">
        <f t="shared" ca="1" si="691"/>
        <v>9324445</v>
      </c>
      <c r="B1526" s="1" t="str">
        <f t="shared" ca="1" si="692"/>
        <v>子弹风暴第4段</v>
      </c>
      <c r="C1526" t="s">
        <v>184</v>
      </c>
      <c r="D1526">
        <f t="shared" si="693"/>
        <v>3</v>
      </c>
      <c r="E1526" s="42">
        <f t="shared" ca="1" si="685"/>
        <v>73</v>
      </c>
      <c r="F1526" t="str">
        <f t="shared" ca="1" si="686"/>
        <v>第45级，共造成256.9%点伤害</v>
      </c>
      <c r="G1526">
        <f t="shared" ca="1" si="694"/>
        <v>4</v>
      </c>
      <c r="H1526">
        <f t="shared" si="695"/>
        <v>4</v>
      </c>
      <c r="I1526" s="44">
        <f t="shared" ca="1" si="696"/>
        <v>45</v>
      </c>
      <c r="J1526">
        <f t="shared" si="697"/>
        <v>2</v>
      </c>
      <c r="K1526" s="36">
        <f t="shared" ca="1" si="698"/>
        <v>36.693877551020407</v>
      </c>
      <c r="L1526" s="10">
        <f ca="1">AH1526*VLOOKUP(C1526,技能辅助查询表,技能配置辅助表!$T$1,FALSE)</f>
        <v>0</v>
      </c>
      <c r="M1526">
        <f t="shared" ca="1" si="684"/>
        <v>4400</v>
      </c>
      <c r="N1526" s="33">
        <f ca="1">CHOOSE(1,W1526*U1526,X1526*'[1]0、经济设定'!$C$18)</f>
        <v>434682</v>
      </c>
      <c r="O1526">
        <f t="shared" si="699"/>
        <v>4</v>
      </c>
      <c r="P1526">
        <f t="shared" si="700"/>
        <v>1</v>
      </c>
      <c r="Q1526">
        <f t="shared" si="701"/>
        <v>7</v>
      </c>
      <c r="R1526" s="2">
        <f t="shared" si="702"/>
        <v>12</v>
      </c>
      <c r="S1526" s="2">
        <f t="shared" si="703"/>
        <v>50</v>
      </c>
      <c r="T1526" s="2">
        <f t="shared" si="704"/>
        <v>25.30612244897959</v>
      </c>
      <c r="U1526" s="2">
        <f ca="1">VLOOKUP(E1526,金币生产率!$A$2:$B$120,2,0)</f>
        <v>3534</v>
      </c>
      <c r="V1526" s="2">
        <f t="shared" si="705"/>
        <v>177.14285714285714</v>
      </c>
      <c r="W1526" s="45">
        <f t="shared" ca="1" si="689"/>
        <v>123</v>
      </c>
      <c r="X1526" s="48">
        <f t="shared" ca="1" si="690"/>
        <v>1794</v>
      </c>
      <c r="Y1526">
        <f t="shared" si="706"/>
        <v>18</v>
      </c>
      <c r="Z1526">
        <f t="shared" ca="1" si="687"/>
        <v>50</v>
      </c>
      <c r="AA1526" t="str">
        <f t="shared" ca="1" si="707"/>
        <v>9324400.png</v>
      </c>
      <c r="AB1526">
        <f t="shared" si="708"/>
        <v>3</v>
      </c>
      <c r="AC1526">
        <f>VLOOKUP(C1526,技能辅助查询表,技能配置辅助表!$W$1,FALSE)</f>
        <v>65043894</v>
      </c>
      <c r="AD1526">
        <f t="shared" ca="1" si="688"/>
        <v>1246.0051680591782</v>
      </c>
      <c r="AE1526">
        <f>VLOOKUP(C1526,技能辅助查询表,技能配置辅助表!$U$1,FALSE)</f>
        <v>4</v>
      </c>
      <c r="AF1526">
        <f t="shared" ca="1" si="709"/>
        <v>9324445</v>
      </c>
      <c r="AG1526">
        <f t="shared" ca="1" si="710"/>
        <v>73.061224489795919</v>
      </c>
      <c r="AH1526">
        <f t="shared" ca="1" si="711"/>
        <v>3971.7833225930094</v>
      </c>
      <c r="AI1526">
        <f ca="1">VLOOKUP(E1526,伤害参考系!$C$4:$E$104,3,FALSE)*$AN$12</f>
        <v>18368.517032608706</v>
      </c>
      <c r="AJ1526">
        <f>VLOOKUP(C1526,技能辅助查询表,技能配置辅助表!$L$1,FALSE)</f>
        <v>7</v>
      </c>
      <c r="AK1526">
        <f>VLOOKUP(C1526,技能辅助查询表,技能配置辅助表!$AE$1,FALSE)</f>
        <v>66000650</v>
      </c>
    </row>
    <row r="1527" spans="1:37" x14ac:dyDescent="0.15">
      <c r="A1527" s="1">
        <f t="shared" ca="1" si="691"/>
        <v>9324446</v>
      </c>
      <c r="B1527" s="1" t="str">
        <f t="shared" ca="1" si="692"/>
        <v>子弹风暴第4段</v>
      </c>
      <c r="C1527" t="s">
        <v>184</v>
      </c>
      <c r="D1527">
        <f t="shared" si="693"/>
        <v>3</v>
      </c>
      <c r="E1527" s="42">
        <f t="shared" ca="1" si="685"/>
        <v>75</v>
      </c>
      <c r="F1527" t="str">
        <f t="shared" ca="1" si="686"/>
        <v>第46级，共造成258.6%点伤害</v>
      </c>
      <c r="G1527">
        <f t="shared" ca="1" si="694"/>
        <v>4</v>
      </c>
      <c r="H1527">
        <f t="shared" si="695"/>
        <v>4</v>
      </c>
      <c r="I1527" s="44">
        <f t="shared" ca="1" si="696"/>
        <v>46</v>
      </c>
      <c r="J1527">
        <f t="shared" si="697"/>
        <v>2</v>
      </c>
      <c r="K1527" s="36">
        <f t="shared" ca="1" si="698"/>
        <v>36.946938775510205</v>
      </c>
      <c r="L1527" s="10">
        <f ca="1">AH1527*VLOOKUP(C1527,技能辅助查询表,技能配置辅助表!$T$1,FALSE)</f>
        <v>0</v>
      </c>
      <c r="M1527">
        <f t="shared" ca="1" si="684"/>
        <v>4320</v>
      </c>
      <c r="N1527" s="33">
        <f ca="1">CHOOSE(1,W1527*U1527,X1527*'[1]0、经济设定'!$C$18)</f>
        <v>493020</v>
      </c>
      <c r="O1527">
        <f t="shared" si="699"/>
        <v>4</v>
      </c>
      <c r="P1527">
        <f t="shared" si="700"/>
        <v>1</v>
      </c>
      <c r="Q1527">
        <f t="shared" si="701"/>
        <v>7</v>
      </c>
      <c r="R1527" s="2">
        <f t="shared" si="702"/>
        <v>12</v>
      </c>
      <c r="S1527" s="2">
        <f t="shared" si="703"/>
        <v>50</v>
      </c>
      <c r="T1527" s="2">
        <f t="shared" si="704"/>
        <v>25.30612244897959</v>
      </c>
      <c r="U1527" s="2">
        <f ca="1">VLOOKUP(E1527,金币生产率!$A$2:$B$120,2,0)</f>
        <v>3735</v>
      </c>
      <c r="V1527" s="2">
        <f t="shared" si="705"/>
        <v>177.14285714285714</v>
      </c>
      <c r="W1527" s="45">
        <f t="shared" ca="1" si="689"/>
        <v>132</v>
      </c>
      <c r="X1527" s="48">
        <f t="shared" ca="1" si="690"/>
        <v>1926</v>
      </c>
      <c r="Y1527">
        <f t="shared" si="706"/>
        <v>18</v>
      </c>
      <c r="Z1527">
        <f t="shared" ca="1" si="687"/>
        <v>53</v>
      </c>
      <c r="AA1527" t="str">
        <f t="shared" ca="1" si="707"/>
        <v>9324400.png</v>
      </c>
      <c r="AB1527">
        <f t="shared" si="708"/>
        <v>3</v>
      </c>
      <c r="AC1527">
        <f>VLOOKUP(C1527,技能辅助查询表,技能配置辅助表!$W$1,FALSE)</f>
        <v>65043894</v>
      </c>
      <c r="AD1527">
        <f t="shared" ca="1" si="688"/>
        <v>1434.5805914990074</v>
      </c>
      <c r="AE1527">
        <f>VLOOKUP(C1527,技能辅助查询表,技能配置辅助表!$U$1,FALSE)</f>
        <v>4</v>
      </c>
      <c r="AF1527">
        <f t="shared" ca="1" si="709"/>
        <v>9324446</v>
      </c>
      <c r="AG1527">
        <f t="shared" ca="1" si="710"/>
        <v>74.448979591836732</v>
      </c>
      <c r="AH1527">
        <f t="shared" ca="1" si="711"/>
        <v>4521.8228298329677</v>
      </c>
      <c r="AI1527">
        <f ca="1">VLOOKUP(E1527,伤害参考系!$C$4:$E$104,3,FALSE)*$AN$12</f>
        <v>19892.440008361213</v>
      </c>
      <c r="AJ1527">
        <f>VLOOKUP(C1527,技能辅助查询表,技能配置辅助表!$L$1,FALSE)</f>
        <v>7</v>
      </c>
      <c r="AK1527">
        <f>VLOOKUP(C1527,技能辅助查询表,技能配置辅助表!$AE$1,FALSE)</f>
        <v>66000650</v>
      </c>
    </row>
    <row r="1528" spans="1:37" x14ac:dyDescent="0.15">
      <c r="A1528" s="1">
        <f t="shared" ca="1" si="691"/>
        <v>9324447</v>
      </c>
      <c r="B1528" s="1" t="str">
        <f t="shared" ca="1" si="692"/>
        <v>子弹风暴第4段</v>
      </c>
      <c r="C1528" t="s">
        <v>184</v>
      </c>
      <c r="D1528">
        <f t="shared" si="693"/>
        <v>3</v>
      </c>
      <c r="E1528" s="42">
        <f t="shared" ca="1" si="685"/>
        <v>76</v>
      </c>
      <c r="F1528" t="str">
        <f t="shared" ca="1" si="686"/>
        <v>第47级，共造成260.4%点伤害</v>
      </c>
      <c r="G1528">
        <f t="shared" ca="1" si="694"/>
        <v>4</v>
      </c>
      <c r="H1528">
        <f t="shared" si="695"/>
        <v>4</v>
      </c>
      <c r="I1528" s="44">
        <f t="shared" ca="1" si="696"/>
        <v>47</v>
      </c>
      <c r="J1528">
        <f t="shared" si="697"/>
        <v>2</v>
      </c>
      <c r="K1528" s="36">
        <f t="shared" ca="1" si="698"/>
        <v>37.199999999999996</v>
      </c>
      <c r="L1528" s="10">
        <f ca="1">AH1528*VLOOKUP(C1528,技能辅助查询表,技能配置辅助表!$T$1,FALSE)</f>
        <v>0</v>
      </c>
      <c r="M1528">
        <f t="shared" ca="1" si="684"/>
        <v>4240</v>
      </c>
      <c r="N1528" s="33">
        <f ca="1">CHOOSE(1,W1528*U1528,X1528*'[1]0、经济设定'!$C$18)</f>
        <v>541158</v>
      </c>
      <c r="O1528">
        <f t="shared" si="699"/>
        <v>4</v>
      </c>
      <c r="P1528">
        <f t="shared" si="700"/>
        <v>1</v>
      </c>
      <c r="Q1528">
        <f t="shared" si="701"/>
        <v>7</v>
      </c>
      <c r="R1528" s="2">
        <f t="shared" si="702"/>
        <v>12</v>
      </c>
      <c r="S1528" s="2">
        <f t="shared" si="703"/>
        <v>50</v>
      </c>
      <c r="T1528" s="2">
        <f t="shared" si="704"/>
        <v>25.30612244897959</v>
      </c>
      <c r="U1528" s="2">
        <f ca="1">VLOOKUP(E1528,金币生产率!$A$2:$B$120,2,0)</f>
        <v>3838</v>
      </c>
      <c r="V1528" s="2">
        <f t="shared" si="705"/>
        <v>177.14285714285714</v>
      </c>
      <c r="W1528" s="45">
        <f t="shared" ca="1" si="689"/>
        <v>141</v>
      </c>
      <c r="X1528" s="48">
        <f t="shared" ca="1" si="690"/>
        <v>2067</v>
      </c>
      <c r="Y1528">
        <f t="shared" si="706"/>
        <v>18</v>
      </c>
      <c r="Z1528">
        <f t="shared" ca="1" si="687"/>
        <v>57</v>
      </c>
      <c r="AA1528" t="str">
        <f t="shared" ca="1" si="707"/>
        <v>9324400.png</v>
      </c>
      <c r="AB1528">
        <f t="shared" si="708"/>
        <v>3</v>
      </c>
      <c r="AC1528">
        <f>VLOOKUP(C1528,技能辅助查询表,技能配置辅助表!$W$1,FALSE)</f>
        <v>65043894</v>
      </c>
      <c r="AD1528">
        <f t="shared" ca="1" si="688"/>
        <v>1651.4898014347732</v>
      </c>
      <c r="AE1528">
        <f>VLOOKUP(C1528,技能辅助查询表,技能配置辅助表!$U$1,FALSE)</f>
        <v>4</v>
      </c>
      <c r="AF1528">
        <f t="shared" ca="1" si="709"/>
        <v>9324447</v>
      </c>
      <c r="AG1528">
        <f t="shared" ca="1" si="710"/>
        <v>75.83673469387756</v>
      </c>
      <c r="AH1528">
        <f t="shared" ca="1" si="711"/>
        <v>5148.0355406320868</v>
      </c>
      <c r="AI1528">
        <f ca="1">VLOOKUP(E1528,伤害参考系!$C$4:$E$104,3,FALSE)*$AN$12</f>
        <v>20676.268264214057</v>
      </c>
      <c r="AJ1528">
        <f>VLOOKUP(C1528,技能辅助查询表,技能配置辅助表!$L$1,FALSE)</f>
        <v>7</v>
      </c>
      <c r="AK1528">
        <f>VLOOKUP(C1528,技能辅助查询表,技能配置辅助表!$AE$1,FALSE)</f>
        <v>66000650</v>
      </c>
    </row>
    <row r="1529" spans="1:37" x14ac:dyDescent="0.15">
      <c r="A1529" s="1">
        <f t="shared" ca="1" si="691"/>
        <v>9324448</v>
      </c>
      <c r="B1529" s="1" t="str">
        <f t="shared" ca="1" si="692"/>
        <v>子弹风暴第4段</v>
      </c>
      <c r="C1529" t="s">
        <v>184</v>
      </c>
      <c r="D1529">
        <f t="shared" si="693"/>
        <v>3</v>
      </c>
      <c r="E1529" s="42">
        <f t="shared" ca="1" si="685"/>
        <v>77</v>
      </c>
      <c r="F1529" t="str">
        <f t="shared" ca="1" si="686"/>
        <v>第48级，共造成262.2%点伤害</v>
      </c>
      <c r="G1529">
        <f t="shared" ca="1" si="694"/>
        <v>4</v>
      </c>
      <c r="H1529">
        <f t="shared" si="695"/>
        <v>4</v>
      </c>
      <c r="I1529" s="44">
        <f t="shared" ca="1" si="696"/>
        <v>48</v>
      </c>
      <c r="J1529">
        <f t="shared" si="697"/>
        <v>2</v>
      </c>
      <c r="K1529" s="36">
        <f t="shared" ca="1" si="698"/>
        <v>37.453061224489794</v>
      </c>
      <c r="L1529" s="10">
        <f ca="1">AH1529*VLOOKUP(C1529,技能辅助查询表,技能配置辅助表!$T$1,FALSE)</f>
        <v>0</v>
      </c>
      <c r="M1529">
        <f t="shared" ca="1" si="684"/>
        <v>4160</v>
      </c>
      <c r="N1529" s="33">
        <f ca="1">CHOOSE(1,W1529*U1529,X1529*'[1]0、经济设定'!$C$18)</f>
        <v>595242</v>
      </c>
      <c r="O1529">
        <f t="shared" si="699"/>
        <v>4</v>
      </c>
      <c r="P1529">
        <f t="shared" si="700"/>
        <v>1</v>
      </c>
      <c r="Q1529">
        <f t="shared" si="701"/>
        <v>7</v>
      </c>
      <c r="R1529" s="2">
        <f t="shared" si="702"/>
        <v>12</v>
      </c>
      <c r="S1529" s="2">
        <f t="shared" si="703"/>
        <v>50</v>
      </c>
      <c r="T1529" s="2">
        <f t="shared" si="704"/>
        <v>25.30612244897959</v>
      </c>
      <c r="U1529" s="2">
        <f ca="1">VLOOKUP(E1529,金币生产率!$A$2:$B$120,2,0)</f>
        <v>3942</v>
      </c>
      <c r="V1529" s="2">
        <f t="shared" si="705"/>
        <v>177.14285714285714</v>
      </c>
      <c r="W1529" s="45">
        <f t="shared" ca="1" si="689"/>
        <v>151</v>
      </c>
      <c r="X1529" s="48">
        <f t="shared" ca="1" si="690"/>
        <v>2218</v>
      </c>
      <c r="Y1529">
        <f t="shared" si="706"/>
        <v>18</v>
      </c>
      <c r="Z1529">
        <f t="shared" ca="1" si="687"/>
        <v>61</v>
      </c>
      <c r="AA1529" t="str">
        <f t="shared" ca="1" si="707"/>
        <v>9324400.png</v>
      </c>
      <c r="AB1529">
        <f t="shared" si="708"/>
        <v>3</v>
      </c>
      <c r="AC1529">
        <f>VLOOKUP(C1529,技能辅助查询表,技能配置辅助表!$W$1,FALSE)</f>
        <v>65043894</v>
      </c>
      <c r="AD1529">
        <f t="shared" ca="1" si="688"/>
        <v>1900.9638972100395</v>
      </c>
      <c r="AE1529">
        <f>VLOOKUP(C1529,技能辅助查询表,技能配置辅助表!$U$1,FALSE)</f>
        <v>4</v>
      </c>
      <c r="AF1529">
        <f t="shared" ca="1" si="709"/>
        <v>9324448</v>
      </c>
      <c r="AG1529">
        <f t="shared" ca="1" si="710"/>
        <v>77.224489795918373</v>
      </c>
      <c r="AH1529">
        <f t="shared" ca="1" si="711"/>
        <v>5860.970437134547</v>
      </c>
      <c r="AI1529">
        <f ca="1">VLOOKUP(E1529,伤害参考系!$C$4:$E$104,3,FALSE)*$AN$12</f>
        <v>21474.674365384624</v>
      </c>
      <c r="AJ1529">
        <f>VLOOKUP(C1529,技能辅助查询表,技能配置辅助表!$L$1,FALSE)</f>
        <v>7</v>
      </c>
      <c r="AK1529">
        <f>VLOOKUP(C1529,技能辅助查询表,技能配置辅助表!$AE$1,FALSE)</f>
        <v>66000650</v>
      </c>
    </row>
    <row r="1530" spans="1:37" x14ac:dyDescent="0.15">
      <c r="A1530" s="1">
        <f t="shared" ca="1" si="691"/>
        <v>9324449</v>
      </c>
      <c r="B1530" s="1" t="str">
        <f t="shared" ca="1" si="692"/>
        <v>子弹风暴第4段</v>
      </c>
      <c r="C1530" t="s">
        <v>184</v>
      </c>
      <c r="D1530">
        <f t="shared" si="693"/>
        <v>3</v>
      </c>
      <c r="E1530" s="42">
        <f t="shared" ca="1" si="685"/>
        <v>79</v>
      </c>
      <c r="F1530" t="str">
        <f t="shared" ca="1" si="686"/>
        <v>第49级，共造成263.9%点伤害</v>
      </c>
      <c r="G1530">
        <f t="shared" ca="1" si="694"/>
        <v>4</v>
      </c>
      <c r="H1530">
        <f t="shared" si="695"/>
        <v>4</v>
      </c>
      <c r="I1530" s="44">
        <f t="shared" ca="1" si="696"/>
        <v>49</v>
      </c>
      <c r="J1530">
        <f t="shared" si="697"/>
        <v>2</v>
      </c>
      <c r="K1530" s="36">
        <f t="shared" ca="1" si="698"/>
        <v>37.706122448979585</v>
      </c>
      <c r="L1530" s="10">
        <f ca="1">AH1530*VLOOKUP(C1530,技能辅助查询表,技能配置辅助表!$T$1,FALSE)</f>
        <v>0</v>
      </c>
      <c r="M1530">
        <f t="shared" ca="1" si="684"/>
        <v>4080</v>
      </c>
      <c r="N1530" s="33">
        <f ca="1">CHOOSE(1,W1530*U1530,X1530*'[1]0、经济设定'!$C$18)</f>
        <v>668794</v>
      </c>
      <c r="O1530">
        <f t="shared" si="699"/>
        <v>4</v>
      </c>
      <c r="P1530">
        <f t="shared" si="700"/>
        <v>1</v>
      </c>
      <c r="Q1530">
        <f t="shared" si="701"/>
        <v>7</v>
      </c>
      <c r="R1530" s="2">
        <f t="shared" si="702"/>
        <v>12</v>
      </c>
      <c r="S1530" s="2">
        <f t="shared" si="703"/>
        <v>50</v>
      </c>
      <c r="T1530" s="2">
        <f t="shared" si="704"/>
        <v>25.30612244897959</v>
      </c>
      <c r="U1530" s="2">
        <f ca="1">VLOOKUP(E1530,金币生产率!$A$2:$B$120,2,0)</f>
        <v>4154</v>
      </c>
      <c r="V1530" s="2">
        <f t="shared" si="705"/>
        <v>177.14285714285714</v>
      </c>
      <c r="W1530" s="45">
        <f t="shared" ca="1" si="689"/>
        <v>161</v>
      </c>
      <c r="X1530" s="48">
        <f t="shared" ca="1" si="690"/>
        <v>2379</v>
      </c>
      <c r="Y1530">
        <f t="shared" si="706"/>
        <v>18</v>
      </c>
      <c r="Z1530">
        <f t="shared" ca="1" si="687"/>
        <v>65</v>
      </c>
      <c r="AA1530" t="str">
        <f t="shared" ca="1" si="707"/>
        <v>9324400.png</v>
      </c>
      <c r="AB1530">
        <f t="shared" si="708"/>
        <v>3</v>
      </c>
      <c r="AC1530">
        <f>VLOOKUP(C1530,技能辅助查询表,技能配置辅助表!$W$1,FALSE)</f>
        <v>65043894</v>
      </c>
      <c r="AD1530">
        <f t="shared" ca="1" si="688"/>
        <v>2187.8624787956505</v>
      </c>
      <c r="AE1530">
        <f>VLOOKUP(C1530,技能辅助查询表,技能配置辅助表!$U$1,FALSE)</f>
        <v>4</v>
      </c>
      <c r="AF1530">
        <f t="shared" ca="1" si="709"/>
        <v>9324449</v>
      </c>
      <c r="AG1530">
        <f t="shared" ca="1" si="710"/>
        <v>78.612244897959187</v>
      </c>
      <c r="AH1530">
        <f t="shared" ca="1" si="711"/>
        <v>6672.6373961177951</v>
      </c>
      <c r="AI1530">
        <f ca="1">VLOOKUP(E1530,伤害参考系!$C$4:$E$104,3,FALSE)*$AN$12</f>
        <v>23115.220103678937</v>
      </c>
      <c r="AJ1530">
        <f>VLOOKUP(C1530,技能辅助查询表,技能配置辅助表!$L$1,FALSE)</f>
        <v>7</v>
      </c>
      <c r="AK1530">
        <f>VLOOKUP(C1530,技能辅助查询表,技能配置辅助表!$AE$1,FALSE)</f>
        <v>66000650</v>
      </c>
    </row>
    <row r="1531" spans="1:37" x14ac:dyDescent="0.15">
      <c r="A1531" s="1">
        <f t="shared" ca="1" si="691"/>
        <v>9324450</v>
      </c>
      <c r="B1531" s="1" t="str">
        <f t="shared" ca="1" si="692"/>
        <v>子弹风暴第4段</v>
      </c>
      <c r="C1531" t="s">
        <v>184</v>
      </c>
      <c r="D1531">
        <f t="shared" si="693"/>
        <v>3</v>
      </c>
      <c r="E1531" s="42">
        <f t="shared" ca="1" si="685"/>
        <v>80</v>
      </c>
      <c r="F1531" t="str">
        <f t="shared" ca="1" si="686"/>
        <v>第50级，共造成265.7%点伤害</v>
      </c>
      <c r="G1531">
        <f t="shared" ca="1" si="694"/>
        <v>4</v>
      </c>
      <c r="H1531">
        <f t="shared" si="695"/>
        <v>4</v>
      </c>
      <c r="I1531" s="44">
        <f t="shared" ca="1" si="696"/>
        <v>50</v>
      </c>
      <c r="J1531">
        <f t="shared" si="697"/>
        <v>2</v>
      </c>
      <c r="K1531" s="36">
        <f t="shared" ca="1" si="698"/>
        <v>37.959183673469383</v>
      </c>
      <c r="L1531" s="10">
        <f ca="1">AH1531*VLOOKUP(C1531,技能辅助查询表,技能配置辅助表!$T$1,FALSE)</f>
        <v>0</v>
      </c>
      <c r="M1531">
        <f t="shared" ca="1" si="684"/>
        <v>4000</v>
      </c>
      <c r="N1531" s="33">
        <f ca="1">CHOOSE(1,W1531*U1531,X1531*'[1]0、经济设定'!$C$18)</f>
        <v>737326</v>
      </c>
      <c r="O1531">
        <f t="shared" si="699"/>
        <v>4</v>
      </c>
      <c r="P1531">
        <f t="shared" si="700"/>
        <v>1</v>
      </c>
      <c r="Q1531">
        <f t="shared" si="701"/>
        <v>7</v>
      </c>
      <c r="R1531" s="2">
        <f t="shared" si="702"/>
        <v>12</v>
      </c>
      <c r="S1531" s="2">
        <f t="shared" si="703"/>
        <v>50</v>
      </c>
      <c r="T1531" s="2">
        <f t="shared" si="704"/>
        <v>25.30612244897959</v>
      </c>
      <c r="U1531" s="2">
        <f ca="1">VLOOKUP(E1531,金币生产率!$A$2:$B$120,2,0)</f>
        <v>4262</v>
      </c>
      <c r="V1531" s="2">
        <f t="shared" si="705"/>
        <v>177.14285714285714</v>
      </c>
      <c r="W1531" s="45">
        <f t="shared" ca="1" si="689"/>
        <v>173</v>
      </c>
      <c r="X1531" s="48">
        <f t="shared" ca="1" si="690"/>
        <v>2552</v>
      </c>
      <c r="Y1531">
        <f t="shared" si="706"/>
        <v>18</v>
      </c>
      <c r="Z1531">
        <f t="shared" ca="1" si="687"/>
        <v>70</v>
      </c>
      <c r="AA1531" t="str">
        <f t="shared" ca="1" si="707"/>
        <v>9324400.png</v>
      </c>
      <c r="AB1531">
        <f t="shared" si="708"/>
        <v>3</v>
      </c>
      <c r="AC1531">
        <f>VLOOKUP(C1531,技能辅助查询表,技能配置辅助表!$W$1,FALSE)</f>
        <v>65043894</v>
      </c>
      <c r="AD1531">
        <f t="shared" ca="1" si="688"/>
        <v>2517.7665783343573</v>
      </c>
      <c r="AE1531">
        <f>VLOOKUP(C1531,技能辅助查询表,技能配置辅助表!$U$1,FALSE)</f>
        <v>4</v>
      </c>
      <c r="AF1531">
        <f t="shared" ca="1" si="709"/>
        <v>9324450</v>
      </c>
      <c r="AG1531">
        <f t="shared" ca="1" si="710"/>
        <v>80</v>
      </c>
      <c r="AH1531">
        <f t="shared" ca="1" si="711"/>
        <v>7596.7095035950451</v>
      </c>
      <c r="AI1531">
        <f ca="1">VLOOKUP(E1531,伤害参考系!$C$4:$E$104,3,FALSE)*$AN$12</f>
        <v>24028.87424749164</v>
      </c>
      <c r="AJ1531">
        <f>VLOOKUP(C1531,技能辅助查询表,技能配置辅助表!$L$1,FALSE)</f>
        <v>7</v>
      </c>
      <c r="AK1531">
        <f>VLOOKUP(C1531,技能辅助查询表,技能配置辅助表!$AE$1,FALSE)</f>
        <v>66000650</v>
      </c>
    </row>
    <row r="1532" spans="1:37" x14ac:dyDescent="0.15">
      <c r="A1532" s="1"/>
      <c r="B1532" s="1"/>
      <c r="K1532" s="36"/>
      <c r="L1532" s="10"/>
      <c r="N1532" s="33"/>
      <c r="R1532" s="2"/>
      <c r="S1532" s="2"/>
      <c r="T1532" s="2"/>
      <c r="U1532" s="2"/>
      <c r="V1532" s="2"/>
      <c r="W1532" s="45"/>
    </row>
    <row r="1533" spans="1:37" x14ac:dyDescent="0.15">
      <c r="A1533" s="1"/>
      <c r="B1533" s="1"/>
      <c r="K1533" s="36"/>
      <c r="L1533" s="10"/>
      <c r="N1533" s="33"/>
      <c r="R1533" s="2"/>
      <c r="S1533" s="2"/>
      <c r="T1533" s="2"/>
      <c r="U1533" s="2"/>
      <c r="V1533" s="2"/>
      <c r="W1533" s="45"/>
    </row>
    <row r="1534" spans="1:37" x14ac:dyDescent="0.15">
      <c r="A1534" s="1"/>
      <c r="B1534" s="1"/>
      <c r="K1534" s="36"/>
      <c r="L1534" s="10"/>
      <c r="N1534" s="33"/>
      <c r="R1534" s="2"/>
      <c r="S1534" s="2"/>
      <c r="T1534" s="2"/>
      <c r="U1534" s="2"/>
      <c r="V1534" s="2"/>
      <c r="W1534" s="45"/>
    </row>
    <row r="1535" spans="1:37" x14ac:dyDescent="0.15">
      <c r="A1535" s="1"/>
      <c r="B1535" s="1"/>
      <c r="K1535" s="36"/>
      <c r="L1535" s="10"/>
      <c r="N1535" s="33"/>
      <c r="R1535" s="2"/>
      <c r="S1535" s="2"/>
      <c r="T1535" s="2"/>
      <c r="U1535" s="2"/>
      <c r="V1535" s="2"/>
      <c r="W1535" s="45"/>
    </row>
    <row r="1536" spans="1:37" x14ac:dyDescent="0.15">
      <c r="A1536" s="1"/>
      <c r="B1536" s="1"/>
      <c r="K1536" s="36"/>
      <c r="L1536" s="10"/>
      <c r="N1536" s="33"/>
      <c r="R1536" s="2"/>
      <c r="S1536" s="2"/>
      <c r="T1536" s="2"/>
      <c r="U1536" s="2"/>
      <c r="V1536" s="2"/>
      <c r="W1536" s="45"/>
    </row>
    <row r="1537" spans="1:23" x14ac:dyDescent="0.15">
      <c r="A1537" s="1"/>
      <c r="B1537" s="1"/>
      <c r="K1537" s="36"/>
      <c r="L1537" s="10"/>
      <c r="N1537" s="33"/>
      <c r="R1537" s="2"/>
      <c r="S1537" s="2"/>
      <c r="T1537" s="2"/>
      <c r="U1537" s="2"/>
      <c r="V1537" s="2"/>
      <c r="W1537" s="45"/>
    </row>
    <row r="1538" spans="1:23" x14ac:dyDescent="0.15">
      <c r="A1538" s="1"/>
      <c r="B1538" s="1"/>
      <c r="K1538" s="36"/>
      <c r="L1538" s="10"/>
      <c r="N1538" s="33"/>
      <c r="R1538" s="2"/>
      <c r="S1538" s="2"/>
      <c r="T1538" s="2"/>
      <c r="U1538" s="2"/>
      <c r="V1538" s="2"/>
      <c r="W1538" s="45"/>
    </row>
    <row r="1539" spans="1:23" x14ac:dyDescent="0.15">
      <c r="A1539" s="1"/>
      <c r="B1539" s="1"/>
      <c r="K1539" s="36"/>
      <c r="L1539" s="10"/>
      <c r="N1539" s="33"/>
      <c r="R1539" s="2"/>
      <c r="S1539" s="2"/>
      <c r="T1539" s="2"/>
      <c r="U1539" s="2"/>
      <c r="V1539" s="2"/>
      <c r="W1539" s="45"/>
    </row>
    <row r="1540" spans="1:23" x14ac:dyDescent="0.15">
      <c r="A1540" s="1"/>
      <c r="B1540" s="1"/>
      <c r="K1540" s="36"/>
      <c r="L1540" s="10"/>
      <c r="N1540" s="33"/>
      <c r="R1540" s="2"/>
      <c r="S1540" s="2"/>
      <c r="T1540" s="2"/>
      <c r="U1540" s="2"/>
      <c r="V1540" s="2"/>
      <c r="W1540" s="45"/>
    </row>
    <row r="1541" spans="1:23" x14ac:dyDescent="0.15">
      <c r="A1541" s="1"/>
      <c r="B1541" s="1"/>
      <c r="K1541" s="36"/>
      <c r="L1541" s="10"/>
      <c r="N1541" s="33"/>
      <c r="R1541" s="2"/>
      <c r="S1541" s="2"/>
      <c r="T1541" s="2"/>
      <c r="U1541" s="2"/>
      <c r="V1541" s="2"/>
      <c r="W1541" s="45"/>
    </row>
    <row r="1542" spans="1:23" x14ac:dyDescent="0.15">
      <c r="A1542" s="1"/>
      <c r="B1542" s="1"/>
      <c r="K1542" s="36"/>
      <c r="L1542" s="10"/>
      <c r="N1542" s="33"/>
      <c r="R1542" s="2"/>
      <c r="S1542" s="2"/>
      <c r="T1542" s="2"/>
      <c r="U1542" s="2"/>
      <c r="V1542" s="2"/>
      <c r="W1542" s="45"/>
    </row>
    <row r="1543" spans="1:23" x14ac:dyDescent="0.15">
      <c r="A1543" s="1"/>
      <c r="B1543" s="1"/>
      <c r="K1543" s="36"/>
      <c r="L1543" s="10"/>
      <c r="N1543" s="33"/>
      <c r="R1543" s="2"/>
      <c r="S1543" s="2"/>
      <c r="T1543" s="2"/>
      <c r="U1543" s="2"/>
      <c r="V1543" s="2"/>
      <c r="W1543" s="45"/>
    </row>
    <row r="1544" spans="1:23" x14ac:dyDescent="0.15">
      <c r="A1544" s="1"/>
      <c r="B1544" s="1"/>
      <c r="K1544" s="36"/>
      <c r="L1544" s="10"/>
      <c r="N1544" s="33"/>
      <c r="R1544" s="2"/>
      <c r="S1544" s="2"/>
      <c r="T1544" s="2"/>
      <c r="U1544" s="2"/>
      <c r="V1544" s="2"/>
      <c r="W1544" s="45"/>
    </row>
    <row r="1545" spans="1:23" x14ac:dyDescent="0.15">
      <c r="A1545" s="1"/>
      <c r="B1545" s="1"/>
      <c r="K1545" s="36"/>
      <c r="L1545" s="10"/>
      <c r="N1545" s="33"/>
      <c r="R1545" s="2"/>
      <c r="S1545" s="2"/>
      <c r="T1545" s="2"/>
      <c r="U1545" s="2"/>
      <c r="V1545" s="2"/>
      <c r="W1545" s="45"/>
    </row>
    <row r="1546" spans="1:23" x14ac:dyDescent="0.15">
      <c r="A1546" s="1"/>
      <c r="B1546" s="1"/>
      <c r="K1546" s="36"/>
      <c r="L1546" s="10"/>
      <c r="N1546" s="33"/>
      <c r="R1546" s="2"/>
      <c r="S1546" s="2"/>
      <c r="T1546" s="2"/>
      <c r="U1546" s="2"/>
      <c r="V1546" s="2"/>
      <c r="W1546" s="45"/>
    </row>
    <row r="1547" spans="1:23" x14ac:dyDescent="0.15">
      <c r="A1547" s="1"/>
      <c r="B1547" s="1"/>
      <c r="K1547" s="36"/>
      <c r="L1547" s="10"/>
      <c r="N1547" s="33"/>
      <c r="R1547" s="2"/>
      <c r="S1547" s="2"/>
      <c r="T1547" s="2"/>
      <c r="U1547" s="2"/>
      <c r="V1547" s="2"/>
      <c r="W1547" s="45"/>
    </row>
    <row r="1548" spans="1:23" x14ac:dyDescent="0.15">
      <c r="A1548" s="1"/>
      <c r="B1548" s="1"/>
      <c r="K1548" s="36"/>
      <c r="L1548" s="10"/>
      <c r="N1548" s="33"/>
      <c r="R1548" s="2"/>
      <c r="S1548" s="2"/>
      <c r="T1548" s="2"/>
      <c r="U1548" s="2"/>
      <c r="V1548" s="2"/>
      <c r="W1548" s="45"/>
    </row>
    <row r="1549" spans="1:23" x14ac:dyDescent="0.15">
      <c r="A1549" s="1"/>
      <c r="B1549" s="1"/>
      <c r="K1549" s="36"/>
      <c r="L1549" s="10"/>
      <c r="N1549" s="33"/>
      <c r="R1549" s="2"/>
      <c r="S1549" s="2"/>
      <c r="T1549" s="2"/>
      <c r="U1549" s="2"/>
      <c r="V1549" s="2"/>
      <c r="W1549" s="45"/>
    </row>
    <row r="1550" spans="1:23" x14ac:dyDescent="0.15">
      <c r="A1550" s="1"/>
      <c r="B1550" s="1"/>
      <c r="K1550" s="36"/>
      <c r="L1550" s="10"/>
      <c r="N1550" s="33"/>
      <c r="R1550" s="2"/>
      <c r="S1550" s="2"/>
      <c r="T1550" s="2"/>
      <c r="U1550" s="2"/>
      <c r="V1550" s="2"/>
      <c r="W1550" s="45"/>
    </row>
    <row r="1551" spans="1:23" x14ac:dyDescent="0.15">
      <c r="A1551" s="1"/>
      <c r="B1551" s="1"/>
      <c r="K1551" s="36"/>
      <c r="L1551" s="10"/>
      <c r="N1551" s="33"/>
      <c r="R1551" s="2"/>
      <c r="S1551" s="2"/>
      <c r="T1551" s="2"/>
      <c r="U1551" s="2"/>
      <c r="V1551" s="2"/>
      <c r="W1551" s="45"/>
    </row>
    <row r="1552" spans="1:23" x14ac:dyDescent="0.15">
      <c r="A1552" s="1"/>
      <c r="B1552" s="1"/>
      <c r="K1552" s="36"/>
      <c r="L1552" s="10"/>
      <c r="N1552" s="33"/>
      <c r="R1552" s="2"/>
      <c r="S1552" s="2"/>
      <c r="T1552" s="2"/>
      <c r="U1552" s="2"/>
      <c r="V1552" s="2"/>
      <c r="W1552" s="45"/>
    </row>
    <row r="1553" spans="1:23" x14ac:dyDescent="0.15">
      <c r="A1553" s="1"/>
      <c r="B1553" s="1"/>
      <c r="K1553" s="36"/>
      <c r="L1553" s="10"/>
      <c r="N1553" s="33"/>
      <c r="R1553" s="2"/>
      <c r="S1553" s="2"/>
      <c r="T1553" s="2"/>
      <c r="U1553" s="2"/>
      <c r="V1553" s="2"/>
      <c r="W1553" s="45"/>
    </row>
    <row r="1554" spans="1:23" x14ac:dyDescent="0.15">
      <c r="A1554" s="1"/>
      <c r="B1554" s="1"/>
      <c r="K1554" s="36"/>
      <c r="L1554" s="10"/>
      <c r="N1554" s="33"/>
      <c r="R1554" s="2"/>
      <c r="S1554" s="2"/>
      <c r="T1554" s="2"/>
      <c r="U1554" s="2"/>
      <c r="V1554" s="2"/>
      <c r="W1554" s="45"/>
    </row>
    <row r="1555" spans="1:23" x14ac:dyDescent="0.15">
      <c r="A1555" s="1"/>
      <c r="B1555" s="1"/>
      <c r="K1555" s="36"/>
      <c r="L1555" s="10"/>
      <c r="N1555" s="33"/>
      <c r="R1555" s="2"/>
      <c r="S1555" s="2"/>
      <c r="T1555" s="2"/>
      <c r="U1555" s="2"/>
      <c r="V1555" s="2"/>
      <c r="W1555" s="45"/>
    </row>
    <row r="1556" spans="1:23" x14ac:dyDescent="0.15">
      <c r="A1556" s="1"/>
      <c r="B1556" s="1"/>
      <c r="K1556" s="36"/>
      <c r="L1556" s="10"/>
      <c r="N1556" s="33"/>
      <c r="R1556" s="2"/>
      <c r="S1556" s="2"/>
      <c r="T1556" s="2"/>
      <c r="U1556" s="2"/>
      <c r="V1556" s="2"/>
      <c r="W1556" s="45"/>
    </row>
    <row r="1557" spans="1:23" x14ac:dyDescent="0.15">
      <c r="A1557" s="1"/>
      <c r="B1557" s="1"/>
      <c r="K1557" s="36"/>
      <c r="L1557" s="10"/>
      <c r="N1557" s="33"/>
      <c r="R1557" s="2"/>
      <c r="S1557" s="2"/>
      <c r="T1557" s="2"/>
      <c r="U1557" s="2"/>
      <c r="V1557" s="2"/>
      <c r="W1557" s="45"/>
    </row>
    <row r="1558" spans="1:23" x14ac:dyDescent="0.15">
      <c r="A1558" s="1"/>
      <c r="B1558" s="1"/>
      <c r="K1558" s="36"/>
      <c r="L1558" s="10"/>
      <c r="N1558" s="33"/>
      <c r="R1558" s="2"/>
      <c r="S1558" s="2"/>
      <c r="T1558" s="2"/>
      <c r="U1558" s="2"/>
      <c r="V1558" s="2"/>
      <c r="W1558" s="45"/>
    </row>
    <row r="1559" spans="1:23" x14ac:dyDescent="0.15">
      <c r="A1559" s="1"/>
      <c r="B1559" s="1"/>
      <c r="K1559" s="36"/>
      <c r="L1559" s="10"/>
      <c r="N1559" s="33"/>
      <c r="R1559" s="2"/>
      <c r="S1559" s="2"/>
      <c r="T1559" s="2"/>
      <c r="U1559" s="2"/>
      <c r="V1559" s="2"/>
      <c r="W1559" s="45"/>
    </row>
    <row r="1560" spans="1:23" x14ac:dyDescent="0.15">
      <c r="A1560" s="1"/>
      <c r="B1560" s="1"/>
      <c r="K1560" s="36"/>
      <c r="L1560" s="10"/>
      <c r="N1560" s="33"/>
      <c r="R1560" s="2"/>
      <c r="S1560" s="2"/>
      <c r="T1560" s="2"/>
      <c r="U1560" s="2"/>
      <c r="V1560" s="2"/>
      <c r="W1560" s="45"/>
    </row>
    <row r="1561" spans="1:23" x14ac:dyDescent="0.15">
      <c r="A1561" s="1"/>
      <c r="B1561" s="1"/>
      <c r="K1561" s="36"/>
      <c r="L1561" s="10"/>
      <c r="N1561" s="33"/>
      <c r="R1561" s="2"/>
      <c r="S1561" s="2"/>
      <c r="T1561" s="2"/>
      <c r="U1561" s="2"/>
      <c r="V1561" s="2"/>
      <c r="W1561" s="45"/>
    </row>
    <row r="1562" spans="1:23" x14ac:dyDescent="0.15">
      <c r="A1562" s="1"/>
      <c r="B1562" s="1"/>
      <c r="K1562" s="36"/>
      <c r="L1562" s="10"/>
      <c r="N1562" s="33"/>
      <c r="R1562" s="2"/>
      <c r="S1562" s="2"/>
      <c r="T1562" s="2"/>
      <c r="U1562" s="2"/>
      <c r="V1562" s="2"/>
      <c r="W1562" s="45"/>
    </row>
    <row r="1563" spans="1:23" x14ac:dyDescent="0.15">
      <c r="A1563" s="1"/>
      <c r="B1563" s="1"/>
      <c r="K1563" s="36"/>
      <c r="L1563" s="10"/>
      <c r="N1563" s="33"/>
      <c r="R1563" s="2"/>
      <c r="S1563" s="2"/>
      <c r="T1563" s="2"/>
      <c r="U1563" s="2"/>
      <c r="V1563" s="2"/>
      <c r="W1563" s="45"/>
    </row>
    <row r="1564" spans="1:23" x14ac:dyDescent="0.15">
      <c r="A1564" s="1"/>
      <c r="B1564" s="1"/>
      <c r="K1564" s="36"/>
      <c r="L1564" s="10"/>
      <c r="N1564" s="33"/>
      <c r="R1564" s="2"/>
      <c r="S1564" s="2"/>
      <c r="T1564" s="2"/>
      <c r="U1564" s="2"/>
      <c r="V1564" s="2"/>
      <c r="W1564" s="45"/>
    </row>
    <row r="1565" spans="1:23" x14ac:dyDescent="0.15">
      <c r="A1565" s="1"/>
      <c r="B1565" s="1"/>
      <c r="K1565" s="36"/>
      <c r="L1565" s="10"/>
      <c r="N1565" s="33"/>
      <c r="R1565" s="2"/>
      <c r="S1565" s="2"/>
      <c r="T1565" s="2"/>
      <c r="U1565" s="2"/>
      <c r="V1565" s="2"/>
      <c r="W1565" s="45"/>
    </row>
    <row r="1566" spans="1:23" x14ac:dyDescent="0.15">
      <c r="A1566" s="1"/>
      <c r="B1566" s="1"/>
      <c r="K1566" s="36"/>
      <c r="L1566" s="10"/>
      <c r="N1566" s="33"/>
      <c r="R1566" s="2"/>
      <c r="S1566" s="2"/>
      <c r="T1566" s="2"/>
      <c r="U1566" s="2"/>
      <c r="V1566" s="2"/>
      <c r="W1566" s="45"/>
    </row>
    <row r="1567" spans="1:23" x14ac:dyDescent="0.15">
      <c r="A1567" s="1"/>
      <c r="B1567" s="1"/>
      <c r="K1567" s="36"/>
      <c r="L1567" s="10"/>
      <c r="N1567" s="33"/>
      <c r="R1567" s="2"/>
      <c r="S1567" s="2"/>
      <c r="T1567" s="2"/>
      <c r="U1567" s="2"/>
      <c r="V1567" s="2"/>
      <c r="W1567" s="45"/>
    </row>
    <row r="1568" spans="1:23" x14ac:dyDescent="0.15">
      <c r="A1568" s="1"/>
      <c r="B1568" s="1"/>
      <c r="K1568" s="36"/>
      <c r="L1568" s="10"/>
      <c r="N1568" s="33"/>
      <c r="R1568" s="2"/>
      <c r="S1568" s="2"/>
      <c r="T1568" s="2"/>
      <c r="U1568" s="2"/>
      <c r="V1568" s="2"/>
      <c r="W1568" s="45"/>
    </row>
    <row r="1569" spans="1:23" x14ac:dyDescent="0.15">
      <c r="A1569" s="1"/>
      <c r="B1569" s="1"/>
      <c r="K1569" s="36"/>
      <c r="L1569" s="10"/>
      <c r="N1569" s="33"/>
      <c r="R1569" s="2"/>
      <c r="S1569" s="2"/>
      <c r="T1569" s="2"/>
      <c r="U1569" s="2"/>
      <c r="V1569" s="2"/>
      <c r="W1569" s="45"/>
    </row>
    <row r="1570" spans="1:23" x14ac:dyDescent="0.15">
      <c r="A1570" s="1"/>
      <c r="B1570" s="1"/>
      <c r="K1570" s="36"/>
      <c r="L1570" s="10"/>
      <c r="N1570" s="33"/>
      <c r="R1570" s="2"/>
      <c r="S1570" s="2"/>
      <c r="T1570" s="2"/>
      <c r="U1570" s="2"/>
      <c r="V1570" s="2"/>
      <c r="W1570" s="45"/>
    </row>
    <row r="1571" spans="1:23" x14ac:dyDescent="0.15">
      <c r="A1571" s="1"/>
      <c r="B1571" s="1"/>
      <c r="K1571" s="36"/>
      <c r="L1571" s="10"/>
      <c r="N1571" s="33"/>
      <c r="R1571" s="2"/>
      <c r="S1571" s="2"/>
      <c r="T1571" s="2"/>
      <c r="U1571" s="2"/>
      <c r="V1571" s="2"/>
      <c r="W1571" s="45"/>
    </row>
    <row r="1572" spans="1:23" x14ac:dyDescent="0.15">
      <c r="A1572" s="1"/>
      <c r="B1572" s="1"/>
      <c r="K1572" s="36"/>
      <c r="L1572" s="10"/>
      <c r="N1572" s="33"/>
      <c r="R1572" s="2"/>
      <c r="S1572" s="2"/>
      <c r="T1572" s="2"/>
      <c r="U1572" s="2"/>
      <c r="V1572" s="2"/>
      <c r="W1572" s="45"/>
    </row>
    <row r="1573" spans="1:23" x14ac:dyDescent="0.15">
      <c r="A1573" s="1"/>
      <c r="B1573" s="1"/>
      <c r="K1573" s="36"/>
      <c r="L1573" s="10"/>
      <c r="N1573" s="33"/>
      <c r="R1573" s="2"/>
      <c r="S1573" s="2"/>
      <c r="T1573" s="2"/>
      <c r="U1573" s="2"/>
      <c r="V1573" s="2"/>
      <c r="W1573" s="45"/>
    </row>
    <row r="1574" spans="1:23" x14ac:dyDescent="0.15">
      <c r="A1574" s="1"/>
      <c r="B1574" s="1"/>
      <c r="K1574" s="36"/>
      <c r="L1574" s="10"/>
      <c r="N1574" s="33"/>
      <c r="R1574" s="2"/>
      <c r="S1574" s="2"/>
      <c r="T1574" s="2"/>
      <c r="U1574" s="2"/>
      <c r="V1574" s="2"/>
      <c r="W1574" s="45"/>
    </row>
    <row r="1575" spans="1:23" x14ac:dyDescent="0.15">
      <c r="A1575" s="1"/>
      <c r="B1575" s="1"/>
      <c r="K1575" s="36"/>
      <c r="L1575" s="10"/>
      <c r="N1575" s="33"/>
      <c r="R1575" s="2"/>
      <c r="S1575" s="2"/>
      <c r="T1575" s="2"/>
      <c r="U1575" s="2"/>
      <c r="V1575" s="2"/>
      <c r="W1575" s="45"/>
    </row>
    <row r="1576" spans="1:23" x14ac:dyDescent="0.15">
      <c r="A1576" s="1"/>
      <c r="B1576" s="1"/>
      <c r="K1576" s="36"/>
      <c r="L1576" s="10"/>
      <c r="N1576" s="33"/>
      <c r="R1576" s="2"/>
      <c r="S1576" s="2"/>
      <c r="T1576" s="2"/>
      <c r="U1576" s="2"/>
      <c r="V1576" s="2"/>
      <c r="W1576" s="45"/>
    </row>
    <row r="1577" spans="1:23" x14ac:dyDescent="0.15">
      <c r="A1577" s="1"/>
      <c r="B1577" s="1"/>
      <c r="K1577" s="36"/>
      <c r="L1577" s="10"/>
      <c r="N1577" s="33"/>
      <c r="R1577" s="2"/>
      <c r="S1577" s="2"/>
      <c r="T1577" s="2"/>
      <c r="U1577" s="2"/>
      <c r="V1577" s="2"/>
      <c r="W1577" s="45"/>
    </row>
    <row r="1578" spans="1:23" x14ac:dyDescent="0.15">
      <c r="A1578" s="1"/>
      <c r="B1578" s="1"/>
      <c r="K1578" s="36"/>
      <c r="L1578" s="10"/>
      <c r="N1578" s="33"/>
      <c r="R1578" s="2"/>
      <c r="S1578" s="2"/>
      <c r="T1578" s="2"/>
      <c r="U1578" s="2"/>
      <c r="V1578" s="2"/>
      <c r="W1578" s="45"/>
    </row>
    <row r="1579" spans="1:23" x14ac:dyDescent="0.15">
      <c r="A1579" s="1"/>
      <c r="B1579" s="1"/>
      <c r="K1579" s="36"/>
      <c r="L1579" s="10"/>
      <c r="N1579" s="33"/>
      <c r="R1579" s="2"/>
      <c r="S1579" s="2"/>
      <c r="T1579" s="2"/>
      <c r="U1579" s="2"/>
      <c r="V1579" s="2"/>
      <c r="W1579" s="45"/>
    </row>
    <row r="1580" spans="1:23" x14ac:dyDescent="0.15">
      <c r="A1580" s="1"/>
      <c r="B1580" s="1"/>
      <c r="K1580" s="36"/>
      <c r="L1580" s="10"/>
      <c r="N1580" s="33"/>
      <c r="R1580" s="2"/>
      <c r="S1580" s="2"/>
      <c r="T1580" s="2"/>
      <c r="U1580" s="2"/>
      <c r="V1580" s="2"/>
      <c r="W1580" s="45"/>
    </row>
    <row r="1581" spans="1:23" x14ac:dyDescent="0.15">
      <c r="A1581" s="1"/>
      <c r="B1581" s="1"/>
      <c r="K1581" s="36"/>
      <c r="L1581" s="10"/>
      <c r="N1581" s="33"/>
      <c r="R1581" s="2"/>
      <c r="S1581" s="2"/>
      <c r="T1581" s="2"/>
      <c r="U1581" s="2"/>
      <c r="V1581" s="2"/>
      <c r="W1581" s="45"/>
    </row>
    <row r="1582" spans="1:23" x14ac:dyDescent="0.15">
      <c r="A1582" s="1"/>
      <c r="B1582" s="1"/>
      <c r="K1582" s="36"/>
      <c r="L1582" s="10"/>
      <c r="N1582" s="33"/>
      <c r="R1582" s="2"/>
      <c r="S1582" s="2"/>
      <c r="T1582" s="2"/>
      <c r="U1582" s="2"/>
      <c r="V1582" s="2"/>
      <c r="W1582" s="45"/>
    </row>
    <row r="1583" spans="1:23" x14ac:dyDescent="0.15">
      <c r="A1583" s="1"/>
      <c r="B1583" s="1"/>
      <c r="K1583" s="36"/>
      <c r="L1583" s="10"/>
      <c r="N1583" s="33"/>
      <c r="R1583" s="2"/>
      <c r="S1583" s="2"/>
      <c r="T1583" s="2"/>
      <c r="U1583" s="2"/>
      <c r="V1583" s="2"/>
      <c r="W1583" s="45"/>
    </row>
    <row r="1584" spans="1:23" x14ac:dyDescent="0.15">
      <c r="A1584" s="1"/>
      <c r="B1584" s="1"/>
      <c r="K1584" s="36"/>
      <c r="L1584" s="10"/>
      <c r="N1584" s="33"/>
      <c r="R1584" s="2"/>
      <c r="S1584" s="2"/>
      <c r="T1584" s="2"/>
      <c r="U1584" s="2"/>
      <c r="V1584" s="2"/>
      <c r="W1584" s="45"/>
    </row>
    <row r="1585" spans="1:23" x14ac:dyDescent="0.15">
      <c r="A1585" s="1"/>
      <c r="B1585" s="1"/>
      <c r="K1585" s="36"/>
      <c r="L1585" s="10"/>
      <c r="N1585" s="33"/>
      <c r="R1585" s="2"/>
      <c r="S1585" s="2"/>
      <c r="T1585" s="2"/>
      <c r="U1585" s="2"/>
      <c r="V1585" s="2"/>
      <c r="W1585" s="45"/>
    </row>
    <row r="1586" spans="1:23" x14ac:dyDescent="0.15">
      <c r="A1586" s="1"/>
      <c r="B1586" s="1"/>
      <c r="K1586" s="36"/>
      <c r="L1586" s="10"/>
      <c r="N1586" s="33"/>
      <c r="R1586" s="2"/>
      <c r="S1586" s="2"/>
      <c r="T1586" s="2"/>
      <c r="U1586" s="2"/>
      <c r="V1586" s="2"/>
      <c r="W1586" s="45"/>
    </row>
    <row r="1587" spans="1:23" x14ac:dyDescent="0.15">
      <c r="A1587" s="1"/>
      <c r="B1587" s="1"/>
      <c r="K1587" s="36"/>
      <c r="L1587" s="10"/>
      <c r="N1587" s="33"/>
      <c r="R1587" s="2"/>
      <c r="S1587" s="2"/>
      <c r="T1587" s="2"/>
      <c r="U1587" s="2"/>
      <c r="V1587" s="2"/>
      <c r="W1587" s="45"/>
    </row>
    <row r="1588" spans="1:23" x14ac:dyDescent="0.15">
      <c r="A1588" s="1"/>
      <c r="B1588" s="1"/>
      <c r="K1588" s="36"/>
      <c r="L1588" s="10"/>
      <c r="N1588" s="33"/>
      <c r="R1588" s="2"/>
      <c r="S1588" s="2"/>
      <c r="T1588" s="2"/>
      <c r="U1588" s="2"/>
      <c r="V1588" s="2"/>
      <c r="W1588" s="45"/>
    </row>
    <row r="1589" spans="1:23" x14ac:dyDescent="0.15">
      <c r="A1589" s="1"/>
      <c r="B1589" s="1"/>
      <c r="K1589" s="36"/>
      <c r="L1589" s="10"/>
      <c r="N1589" s="33"/>
      <c r="R1589" s="2"/>
      <c r="S1589" s="2"/>
      <c r="T1589" s="2"/>
      <c r="U1589" s="2"/>
      <c r="V1589" s="2"/>
      <c r="W1589" s="45"/>
    </row>
    <row r="1590" spans="1:23" x14ac:dyDescent="0.15">
      <c r="A1590" s="1"/>
      <c r="B1590" s="1"/>
      <c r="K1590" s="36"/>
      <c r="L1590" s="10"/>
      <c r="N1590" s="33"/>
      <c r="R1590" s="2"/>
      <c r="S1590" s="2"/>
      <c r="T1590" s="2"/>
      <c r="U1590" s="2"/>
      <c r="V1590" s="2"/>
      <c r="W1590" s="45"/>
    </row>
    <row r="1591" spans="1:23" x14ac:dyDescent="0.15">
      <c r="A1591" s="1"/>
      <c r="B1591" s="1"/>
      <c r="K1591" s="36"/>
      <c r="L1591" s="10"/>
      <c r="N1591" s="33"/>
      <c r="R1591" s="2"/>
      <c r="S1591" s="2"/>
      <c r="T1591" s="2"/>
      <c r="U1591" s="2"/>
      <c r="V1591" s="2"/>
      <c r="W1591" s="45"/>
    </row>
    <row r="1592" spans="1:23" x14ac:dyDescent="0.15">
      <c r="A1592" s="1"/>
      <c r="B1592" s="1"/>
      <c r="K1592" s="36"/>
      <c r="L1592" s="10"/>
      <c r="N1592" s="33"/>
      <c r="R1592" s="2"/>
      <c r="S1592" s="2"/>
      <c r="T1592" s="2"/>
      <c r="U1592" s="2"/>
      <c r="V1592" s="2"/>
      <c r="W1592" s="45"/>
    </row>
    <row r="1593" spans="1:23" x14ac:dyDescent="0.15">
      <c r="A1593" s="1"/>
      <c r="B1593" s="1"/>
      <c r="K1593" s="36"/>
      <c r="L1593" s="10"/>
      <c r="N1593" s="33"/>
      <c r="R1593" s="2"/>
      <c r="S1593" s="2"/>
      <c r="T1593" s="2"/>
      <c r="U1593" s="2"/>
      <c r="V1593" s="2"/>
      <c r="W1593" s="45"/>
    </row>
    <row r="1594" spans="1:23" x14ac:dyDescent="0.15">
      <c r="A1594" s="1"/>
      <c r="B1594" s="1"/>
      <c r="K1594" s="36"/>
      <c r="L1594" s="10"/>
      <c r="N1594" s="33"/>
      <c r="R1594" s="2"/>
      <c r="S1594" s="2"/>
      <c r="T1594" s="2"/>
      <c r="U1594" s="2"/>
      <c r="V1594" s="2"/>
      <c r="W1594" s="45"/>
    </row>
    <row r="1595" spans="1:23" x14ac:dyDescent="0.15">
      <c r="A1595" s="1"/>
      <c r="B1595" s="1"/>
      <c r="K1595" s="36"/>
      <c r="L1595" s="10"/>
      <c r="N1595" s="33"/>
      <c r="R1595" s="2"/>
      <c r="S1595" s="2"/>
      <c r="T1595" s="2"/>
      <c r="U1595" s="2"/>
      <c r="V1595" s="2"/>
      <c r="W1595" s="45"/>
    </row>
    <row r="1596" spans="1:23" x14ac:dyDescent="0.15">
      <c r="A1596" s="1"/>
      <c r="B1596" s="1"/>
      <c r="K1596" s="36"/>
      <c r="L1596" s="10"/>
      <c r="N1596" s="33"/>
      <c r="R1596" s="2"/>
      <c r="S1596" s="2"/>
      <c r="T1596" s="2"/>
      <c r="U1596" s="2"/>
      <c r="V1596" s="2"/>
      <c r="W1596" s="45"/>
    </row>
    <row r="1597" spans="1:23" x14ac:dyDescent="0.15">
      <c r="A1597" s="1"/>
      <c r="B1597" s="1"/>
      <c r="K1597" s="36"/>
      <c r="L1597" s="10"/>
      <c r="N1597" s="33"/>
      <c r="R1597" s="2"/>
      <c r="S1597" s="2"/>
      <c r="T1597" s="2"/>
      <c r="U1597" s="2"/>
      <c r="V1597" s="2"/>
      <c r="W1597" s="45"/>
    </row>
    <row r="1598" spans="1:23" x14ac:dyDescent="0.15">
      <c r="A1598" s="1"/>
      <c r="B1598" s="1"/>
      <c r="K1598" s="36"/>
      <c r="L1598" s="10"/>
      <c r="N1598" s="33"/>
      <c r="R1598" s="2"/>
      <c r="S1598" s="2"/>
      <c r="T1598" s="2"/>
      <c r="U1598" s="2"/>
      <c r="V1598" s="2"/>
      <c r="W1598" s="45"/>
    </row>
    <row r="1599" spans="1:23" x14ac:dyDescent="0.15">
      <c r="A1599" s="1"/>
      <c r="B1599" s="1"/>
      <c r="K1599" s="36"/>
      <c r="L1599" s="10"/>
      <c r="N1599" s="33"/>
      <c r="R1599" s="2"/>
      <c r="S1599" s="2"/>
      <c r="T1599" s="2"/>
      <c r="U1599" s="2"/>
      <c r="V1599" s="2"/>
      <c r="W1599" s="45"/>
    </row>
    <row r="1600" spans="1:23" x14ac:dyDescent="0.15">
      <c r="A1600" s="1"/>
      <c r="B1600" s="1"/>
      <c r="K1600" s="36"/>
      <c r="L1600" s="10"/>
      <c r="N1600" s="33"/>
      <c r="R1600" s="2"/>
      <c r="S1600" s="2"/>
      <c r="T1600" s="2"/>
      <c r="U1600" s="2"/>
      <c r="V1600" s="2"/>
      <c r="W1600" s="45"/>
    </row>
    <row r="1601" spans="1:23" x14ac:dyDescent="0.15">
      <c r="A1601" s="1"/>
      <c r="B1601" s="1"/>
      <c r="K1601" s="36"/>
      <c r="L1601" s="10"/>
      <c r="N1601" s="33"/>
      <c r="R1601" s="2"/>
      <c r="S1601" s="2"/>
      <c r="T1601" s="2"/>
      <c r="U1601" s="2"/>
      <c r="V1601" s="2"/>
      <c r="W1601" s="45"/>
    </row>
    <row r="1602" spans="1:23" x14ac:dyDescent="0.15">
      <c r="A1602" s="1"/>
      <c r="B1602" s="1"/>
      <c r="K1602" s="36"/>
      <c r="L1602" s="10"/>
      <c r="N1602" s="33"/>
      <c r="R1602" s="2"/>
      <c r="S1602" s="2"/>
      <c r="T1602" s="2"/>
      <c r="U1602" s="2"/>
      <c r="V1602" s="2"/>
      <c r="W1602" s="45"/>
    </row>
    <row r="1603" spans="1:23" x14ac:dyDescent="0.15">
      <c r="A1603" s="1"/>
      <c r="B1603" s="1"/>
      <c r="K1603" s="36"/>
      <c r="L1603" s="10"/>
      <c r="N1603" s="33"/>
      <c r="R1603" s="2"/>
      <c r="S1603" s="2"/>
      <c r="T1603" s="2"/>
      <c r="U1603" s="2"/>
      <c r="V1603" s="2"/>
      <c r="W1603" s="45"/>
    </row>
    <row r="1604" spans="1:23" x14ac:dyDescent="0.15">
      <c r="A1604" s="1"/>
      <c r="B1604" s="1"/>
      <c r="K1604" s="36"/>
      <c r="L1604" s="10"/>
      <c r="N1604" s="33"/>
      <c r="R1604" s="2"/>
      <c r="S1604" s="2"/>
      <c r="T1604" s="2"/>
      <c r="U1604" s="2"/>
      <c r="V1604" s="2"/>
      <c r="W1604" s="45"/>
    </row>
    <row r="1605" spans="1:23" x14ac:dyDescent="0.15">
      <c r="A1605" s="1"/>
      <c r="B1605" s="1"/>
      <c r="K1605" s="36"/>
      <c r="L1605" s="10"/>
      <c r="N1605" s="33"/>
      <c r="R1605" s="2"/>
      <c r="S1605" s="2"/>
      <c r="T1605" s="2"/>
      <c r="U1605" s="2"/>
      <c r="V1605" s="2"/>
      <c r="W1605" s="45"/>
    </row>
    <row r="1606" spans="1:23" x14ac:dyDescent="0.15">
      <c r="A1606" s="1"/>
      <c r="B1606" s="1"/>
      <c r="K1606" s="36"/>
      <c r="L1606" s="10"/>
      <c r="N1606" s="33"/>
      <c r="R1606" s="2"/>
      <c r="S1606" s="2"/>
      <c r="T1606" s="2"/>
      <c r="U1606" s="2"/>
      <c r="V1606" s="2"/>
      <c r="W1606" s="45"/>
    </row>
    <row r="1607" spans="1:23" x14ac:dyDescent="0.15">
      <c r="A1607" s="1"/>
      <c r="B1607" s="1"/>
      <c r="K1607" s="36"/>
      <c r="L1607" s="10"/>
      <c r="N1607" s="33"/>
      <c r="R1607" s="2"/>
      <c r="S1607" s="2"/>
      <c r="T1607" s="2"/>
      <c r="U1607" s="2"/>
      <c r="V1607" s="2"/>
      <c r="W1607" s="45"/>
    </row>
    <row r="1608" spans="1:23" x14ac:dyDescent="0.15">
      <c r="A1608" s="1"/>
      <c r="B1608" s="1"/>
      <c r="K1608" s="36"/>
      <c r="L1608" s="10"/>
      <c r="N1608" s="33"/>
      <c r="R1608" s="2"/>
      <c r="S1608" s="2"/>
      <c r="T1608" s="2"/>
      <c r="U1608" s="2"/>
      <c r="V1608" s="2"/>
      <c r="W1608" s="45"/>
    </row>
    <row r="1609" spans="1:23" x14ac:dyDescent="0.15">
      <c r="A1609" s="1"/>
      <c r="B1609" s="1"/>
      <c r="K1609" s="36"/>
      <c r="L1609" s="10"/>
      <c r="N1609" s="33"/>
      <c r="R1609" s="2"/>
      <c r="S1609" s="2"/>
      <c r="T1609" s="2"/>
      <c r="U1609" s="2"/>
      <c r="V1609" s="2"/>
      <c r="W1609" s="45"/>
    </row>
    <row r="1610" spans="1:23" x14ac:dyDescent="0.15">
      <c r="A1610" s="1"/>
      <c r="B1610" s="1"/>
      <c r="K1610" s="36"/>
      <c r="L1610" s="10"/>
      <c r="N1610" s="33"/>
      <c r="R1610" s="2"/>
      <c r="S1610" s="2"/>
      <c r="T1610" s="2"/>
      <c r="U1610" s="2"/>
      <c r="V1610" s="2"/>
      <c r="W1610" s="45"/>
    </row>
    <row r="1611" spans="1:23" x14ac:dyDescent="0.15">
      <c r="A1611" s="1"/>
      <c r="B1611" s="1"/>
      <c r="K1611" s="36"/>
      <c r="L1611" s="10"/>
      <c r="N1611" s="33"/>
      <c r="R1611" s="2"/>
      <c r="S1611" s="2"/>
      <c r="T1611" s="2"/>
      <c r="U1611" s="2"/>
      <c r="V1611" s="2"/>
      <c r="W1611" s="45"/>
    </row>
    <row r="1612" spans="1:23" x14ac:dyDescent="0.15">
      <c r="A1612" s="1"/>
      <c r="B1612" s="1"/>
      <c r="K1612" s="36"/>
      <c r="L1612" s="10"/>
      <c r="N1612" s="33"/>
      <c r="R1612" s="2"/>
      <c r="S1612" s="2"/>
      <c r="T1612" s="2"/>
      <c r="U1612" s="2"/>
      <c r="V1612" s="2"/>
      <c r="W1612" s="45"/>
    </row>
    <row r="1613" spans="1:23" x14ac:dyDescent="0.15">
      <c r="A1613" s="1"/>
      <c r="B1613" s="1"/>
      <c r="K1613" s="36"/>
      <c r="L1613" s="10"/>
      <c r="N1613" s="33"/>
      <c r="R1613" s="2"/>
      <c r="S1613" s="2"/>
      <c r="T1613" s="2"/>
      <c r="U1613" s="2"/>
      <c r="V1613" s="2"/>
      <c r="W1613" s="45"/>
    </row>
    <row r="1614" spans="1:23" x14ac:dyDescent="0.15">
      <c r="A1614" s="1"/>
      <c r="B1614" s="1"/>
      <c r="K1614" s="36"/>
      <c r="L1614" s="10"/>
      <c r="N1614" s="33"/>
      <c r="R1614" s="2"/>
      <c r="S1614" s="2"/>
      <c r="T1614" s="2"/>
      <c r="U1614" s="2"/>
      <c r="V1614" s="2"/>
      <c r="W1614" s="45"/>
    </row>
    <row r="1615" spans="1:23" x14ac:dyDescent="0.15">
      <c r="A1615" s="1"/>
      <c r="B1615" s="1"/>
      <c r="K1615" s="36"/>
      <c r="L1615" s="10"/>
      <c r="N1615" s="33"/>
      <c r="R1615" s="2"/>
      <c r="S1615" s="2"/>
      <c r="T1615" s="2"/>
      <c r="U1615" s="2"/>
      <c r="V1615" s="2"/>
      <c r="W1615" s="45"/>
    </row>
    <row r="1616" spans="1:23" x14ac:dyDescent="0.15">
      <c r="A1616" s="1"/>
      <c r="B1616" s="1"/>
      <c r="K1616" s="36"/>
      <c r="L1616" s="10"/>
      <c r="N1616" s="33"/>
      <c r="R1616" s="2"/>
      <c r="S1616" s="2"/>
      <c r="T1616" s="2"/>
      <c r="U1616" s="2"/>
      <c r="V1616" s="2"/>
      <c r="W1616" s="45"/>
    </row>
    <row r="1617" spans="1:23" x14ac:dyDescent="0.15">
      <c r="A1617" s="1"/>
      <c r="B1617" s="1"/>
      <c r="K1617" s="36"/>
      <c r="L1617" s="10"/>
      <c r="N1617" s="33"/>
      <c r="R1617" s="2"/>
      <c r="S1617" s="2"/>
      <c r="T1617" s="2"/>
      <c r="U1617" s="2"/>
      <c r="V1617" s="2"/>
      <c r="W1617" s="45"/>
    </row>
    <row r="1618" spans="1:23" x14ac:dyDescent="0.15">
      <c r="A1618" s="1"/>
      <c r="B1618" s="1"/>
      <c r="K1618" s="36"/>
      <c r="L1618" s="10"/>
      <c r="N1618" s="33"/>
      <c r="R1618" s="2"/>
      <c r="S1618" s="2"/>
      <c r="T1618" s="2"/>
      <c r="U1618" s="2"/>
      <c r="V1618" s="2"/>
      <c r="W1618" s="45"/>
    </row>
    <row r="1619" spans="1:23" x14ac:dyDescent="0.15">
      <c r="A1619" s="1"/>
      <c r="B1619" s="1"/>
      <c r="K1619" s="36"/>
      <c r="L1619" s="10"/>
      <c r="N1619" s="33"/>
      <c r="R1619" s="2"/>
      <c r="S1619" s="2"/>
      <c r="T1619" s="2"/>
      <c r="U1619" s="2"/>
      <c r="V1619" s="2"/>
      <c r="W1619" s="45"/>
    </row>
    <row r="1620" spans="1:23" x14ac:dyDescent="0.15">
      <c r="A1620" s="1"/>
      <c r="B1620" s="1"/>
      <c r="K1620" s="36"/>
      <c r="L1620" s="10"/>
      <c r="N1620" s="33"/>
      <c r="R1620" s="2"/>
      <c r="S1620" s="2"/>
      <c r="T1620" s="2"/>
      <c r="U1620" s="2"/>
      <c r="V1620" s="2"/>
      <c r="W1620" s="45"/>
    </row>
    <row r="1621" spans="1:23" x14ac:dyDescent="0.15">
      <c r="A1621" s="1"/>
      <c r="B1621" s="1"/>
      <c r="K1621" s="36"/>
      <c r="L1621" s="10"/>
      <c r="N1621" s="33"/>
      <c r="R1621" s="2"/>
      <c r="S1621" s="2"/>
      <c r="T1621" s="2"/>
      <c r="U1621" s="2"/>
      <c r="V1621" s="2"/>
      <c r="W1621" s="45"/>
    </row>
    <row r="1622" spans="1:23" x14ac:dyDescent="0.15">
      <c r="A1622" s="1"/>
      <c r="B1622" s="1"/>
      <c r="K1622" s="36"/>
      <c r="L1622" s="10"/>
      <c r="N1622" s="33"/>
      <c r="R1622" s="2"/>
      <c r="S1622" s="2"/>
      <c r="T1622" s="2"/>
      <c r="U1622" s="2"/>
      <c r="V1622" s="2"/>
      <c r="W1622" s="45"/>
    </row>
    <row r="1623" spans="1:23" x14ac:dyDescent="0.15">
      <c r="A1623" s="1"/>
      <c r="B1623" s="1"/>
      <c r="K1623" s="36"/>
      <c r="L1623" s="10"/>
      <c r="N1623" s="33"/>
      <c r="R1623" s="2"/>
      <c r="S1623" s="2"/>
      <c r="T1623" s="2"/>
      <c r="U1623" s="2"/>
      <c r="V1623" s="2"/>
      <c r="W1623" s="45"/>
    </row>
    <row r="1624" spans="1:23" x14ac:dyDescent="0.15">
      <c r="A1624" s="1"/>
      <c r="B1624" s="1"/>
      <c r="K1624" s="36"/>
      <c r="L1624" s="10"/>
      <c r="N1624" s="33"/>
      <c r="R1624" s="2"/>
      <c r="S1624" s="2"/>
      <c r="T1624" s="2"/>
      <c r="U1624" s="2"/>
      <c r="V1624" s="2"/>
      <c r="W1624" s="45"/>
    </row>
    <row r="1625" spans="1:23" x14ac:dyDescent="0.15">
      <c r="A1625" s="1"/>
      <c r="B1625" s="1"/>
      <c r="K1625" s="36"/>
      <c r="L1625" s="10"/>
      <c r="N1625" s="33"/>
      <c r="R1625" s="2"/>
      <c r="S1625" s="2"/>
      <c r="T1625" s="2"/>
      <c r="U1625" s="2"/>
      <c r="V1625" s="2"/>
      <c r="W1625" s="45"/>
    </row>
    <row r="1626" spans="1:23" x14ac:dyDescent="0.15">
      <c r="A1626" s="1"/>
      <c r="B1626" s="1"/>
      <c r="K1626" s="36"/>
      <c r="L1626" s="10"/>
      <c r="N1626" s="33"/>
      <c r="R1626" s="2"/>
      <c r="S1626" s="2"/>
      <c r="T1626" s="2"/>
      <c r="U1626" s="2"/>
      <c r="V1626" s="2"/>
      <c r="W1626" s="45"/>
    </row>
    <row r="1627" spans="1:23" x14ac:dyDescent="0.15">
      <c r="A1627" s="1"/>
      <c r="B1627" s="1"/>
      <c r="K1627" s="36"/>
      <c r="L1627" s="10"/>
      <c r="N1627" s="33"/>
      <c r="R1627" s="2"/>
      <c r="S1627" s="2"/>
      <c r="T1627" s="2"/>
      <c r="U1627" s="2"/>
      <c r="V1627" s="2"/>
      <c r="W1627" s="45"/>
    </row>
    <row r="1628" spans="1:23" x14ac:dyDescent="0.15">
      <c r="A1628" s="1"/>
      <c r="B1628" s="1"/>
      <c r="K1628" s="36"/>
      <c r="L1628" s="10"/>
      <c r="N1628" s="33"/>
      <c r="R1628" s="2"/>
      <c r="S1628" s="2"/>
      <c r="T1628" s="2"/>
      <c r="U1628" s="2"/>
      <c r="V1628" s="2"/>
      <c r="W1628" s="45"/>
    </row>
    <row r="1629" spans="1:23" x14ac:dyDescent="0.15">
      <c r="A1629" s="1"/>
      <c r="B1629" s="1"/>
      <c r="K1629" s="36"/>
      <c r="L1629" s="10"/>
      <c r="N1629" s="33"/>
      <c r="R1629" s="2"/>
      <c r="S1629" s="2"/>
      <c r="T1629" s="2"/>
      <c r="U1629" s="2"/>
      <c r="V1629" s="2"/>
      <c r="W1629" s="45"/>
    </row>
    <row r="1630" spans="1:23" x14ac:dyDescent="0.15">
      <c r="A1630" s="1"/>
      <c r="B1630" s="1"/>
      <c r="K1630" s="36"/>
      <c r="L1630" s="10"/>
      <c r="N1630" s="33"/>
      <c r="R1630" s="2"/>
      <c r="S1630" s="2"/>
      <c r="T1630" s="2"/>
      <c r="U1630" s="2"/>
      <c r="V1630" s="2"/>
      <c r="W1630" s="45"/>
    </row>
    <row r="1631" spans="1:23" x14ac:dyDescent="0.15">
      <c r="A1631" s="1"/>
      <c r="B1631" s="1"/>
      <c r="K1631" s="36"/>
      <c r="L1631" s="10"/>
      <c r="N1631" s="33"/>
      <c r="R1631" s="2"/>
      <c r="S1631" s="2"/>
      <c r="T1631" s="2"/>
      <c r="U1631" s="2"/>
      <c r="V1631" s="2"/>
      <c r="W1631" s="45"/>
    </row>
    <row r="1632" spans="1:23" x14ac:dyDescent="0.15">
      <c r="A1632" s="1"/>
      <c r="B1632" s="1"/>
      <c r="K1632" s="36"/>
      <c r="L1632" s="10"/>
      <c r="N1632" s="33"/>
      <c r="R1632" s="2"/>
      <c r="S1632" s="2"/>
      <c r="T1632" s="2"/>
      <c r="U1632" s="2"/>
      <c r="V1632" s="2"/>
      <c r="W1632" s="45"/>
    </row>
    <row r="1633" spans="1:23" x14ac:dyDescent="0.15">
      <c r="A1633" s="1"/>
      <c r="B1633" s="1"/>
      <c r="K1633" s="36"/>
      <c r="L1633" s="10"/>
      <c r="N1633" s="33"/>
      <c r="R1633" s="2"/>
      <c r="S1633" s="2"/>
      <c r="T1633" s="2"/>
      <c r="U1633" s="2"/>
      <c r="V1633" s="2"/>
      <c r="W1633" s="45"/>
    </row>
    <row r="1634" spans="1:23" x14ac:dyDescent="0.15">
      <c r="A1634" s="1"/>
      <c r="B1634" s="1"/>
      <c r="K1634" s="36"/>
      <c r="L1634" s="10"/>
      <c r="N1634" s="33"/>
      <c r="R1634" s="2"/>
      <c r="S1634" s="2"/>
      <c r="T1634" s="2"/>
      <c r="U1634" s="2"/>
      <c r="V1634" s="2"/>
      <c r="W1634" s="45"/>
    </row>
    <row r="1635" spans="1:23" x14ac:dyDescent="0.15">
      <c r="A1635" s="1"/>
      <c r="B1635" s="1"/>
      <c r="K1635" s="36"/>
      <c r="L1635" s="10"/>
      <c r="N1635" s="33"/>
      <c r="R1635" s="2"/>
      <c r="S1635" s="2"/>
      <c r="T1635" s="2"/>
      <c r="U1635" s="2"/>
      <c r="V1635" s="2"/>
      <c r="W1635" s="45"/>
    </row>
    <row r="1636" spans="1:23" x14ac:dyDescent="0.15">
      <c r="A1636" s="1"/>
      <c r="B1636" s="1"/>
      <c r="K1636" s="36"/>
      <c r="L1636" s="10"/>
      <c r="N1636" s="33"/>
      <c r="R1636" s="2"/>
      <c r="S1636" s="2"/>
      <c r="T1636" s="2"/>
      <c r="U1636" s="2"/>
      <c r="V1636" s="2"/>
      <c r="W1636" s="45"/>
    </row>
    <row r="1637" spans="1:23" x14ac:dyDescent="0.15">
      <c r="A1637" s="1"/>
      <c r="B1637" s="1"/>
      <c r="K1637" s="36"/>
      <c r="L1637" s="10"/>
      <c r="N1637" s="33"/>
      <c r="R1637" s="2"/>
      <c r="S1637" s="2"/>
      <c r="T1637" s="2"/>
      <c r="U1637" s="2"/>
      <c r="V1637" s="2"/>
      <c r="W1637" s="45"/>
    </row>
    <row r="1638" spans="1:23" x14ac:dyDescent="0.15">
      <c r="A1638" s="1"/>
      <c r="B1638" s="1"/>
      <c r="K1638" s="36"/>
      <c r="L1638" s="10"/>
      <c r="N1638" s="33"/>
      <c r="R1638" s="2"/>
      <c r="S1638" s="2"/>
      <c r="T1638" s="2"/>
      <c r="U1638" s="2"/>
      <c r="V1638" s="2"/>
      <c r="W1638" s="45"/>
    </row>
    <row r="1639" spans="1:23" x14ac:dyDescent="0.15">
      <c r="A1639" s="1"/>
      <c r="B1639" s="1"/>
      <c r="K1639" s="36"/>
      <c r="L1639" s="10"/>
      <c r="N1639" s="33"/>
      <c r="R1639" s="2"/>
      <c r="S1639" s="2"/>
      <c r="T1639" s="2"/>
      <c r="U1639" s="2"/>
      <c r="V1639" s="2"/>
      <c r="W1639" s="45"/>
    </row>
    <row r="1640" spans="1:23" x14ac:dyDescent="0.15">
      <c r="A1640" s="1"/>
      <c r="B1640" s="1"/>
      <c r="K1640" s="36"/>
      <c r="L1640" s="10"/>
      <c r="N1640" s="33"/>
      <c r="R1640" s="2"/>
      <c r="S1640" s="2"/>
      <c r="T1640" s="2"/>
      <c r="U1640" s="2"/>
      <c r="V1640" s="2"/>
      <c r="W1640" s="45"/>
    </row>
    <row r="1641" spans="1:23" x14ac:dyDescent="0.15">
      <c r="A1641" s="1"/>
      <c r="B1641" s="1"/>
      <c r="K1641" s="36"/>
      <c r="L1641" s="10"/>
      <c r="N1641" s="33"/>
      <c r="R1641" s="2"/>
      <c r="S1641" s="2"/>
      <c r="T1641" s="2"/>
      <c r="U1641" s="2"/>
      <c r="V1641" s="2"/>
      <c r="W1641" s="45"/>
    </row>
    <row r="1642" spans="1:23" x14ac:dyDescent="0.15">
      <c r="A1642" s="1"/>
      <c r="B1642" s="1"/>
      <c r="K1642" s="36"/>
      <c r="L1642" s="10"/>
      <c r="N1642" s="33"/>
      <c r="R1642" s="2"/>
      <c r="S1642" s="2"/>
      <c r="T1642" s="2"/>
      <c r="U1642" s="2"/>
      <c r="V1642" s="2"/>
      <c r="W1642" s="45"/>
    </row>
    <row r="1643" spans="1:23" x14ac:dyDescent="0.15">
      <c r="A1643" s="1"/>
      <c r="B1643" s="1"/>
      <c r="K1643" s="36"/>
      <c r="L1643" s="10"/>
      <c r="N1643" s="33"/>
      <c r="R1643" s="2"/>
      <c r="S1643" s="2"/>
      <c r="T1643" s="2"/>
      <c r="U1643" s="2"/>
      <c r="V1643" s="2"/>
      <c r="W1643" s="45"/>
    </row>
    <row r="1644" spans="1:23" x14ac:dyDescent="0.15">
      <c r="A1644" s="1"/>
      <c r="B1644" s="1"/>
      <c r="K1644" s="36"/>
      <c r="L1644" s="10"/>
      <c r="N1644" s="33"/>
      <c r="R1644" s="2"/>
      <c r="S1644" s="2"/>
      <c r="T1644" s="2"/>
      <c r="U1644" s="2"/>
      <c r="V1644" s="2"/>
      <c r="W1644" s="45"/>
    </row>
    <row r="1645" spans="1:23" x14ac:dyDescent="0.15">
      <c r="A1645" s="1"/>
      <c r="B1645" s="1"/>
      <c r="K1645" s="36"/>
      <c r="L1645" s="10"/>
      <c r="N1645" s="33"/>
      <c r="R1645" s="2"/>
      <c r="S1645" s="2"/>
      <c r="T1645" s="2"/>
      <c r="U1645" s="2"/>
      <c r="V1645" s="2"/>
      <c r="W1645" s="45"/>
    </row>
    <row r="1646" spans="1:23" x14ac:dyDescent="0.15">
      <c r="A1646" s="1"/>
      <c r="B1646" s="1"/>
      <c r="K1646" s="36"/>
      <c r="L1646" s="10"/>
      <c r="N1646" s="33"/>
      <c r="R1646" s="2"/>
      <c r="S1646" s="2"/>
      <c r="T1646" s="2"/>
      <c r="U1646" s="2"/>
      <c r="V1646" s="2"/>
      <c r="W1646" s="45"/>
    </row>
    <row r="1647" spans="1:23" x14ac:dyDescent="0.15">
      <c r="A1647" s="1"/>
      <c r="B1647" s="1"/>
      <c r="K1647" s="36"/>
      <c r="L1647" s="10"/>
      <c r="N1647" s="33"/>
      <c r="R1647" s="2"/>
      <c r="S1647" s="2"/>
      <c r="T1647" s="2"/>
      <c r="U1647" s="2"/>
      <c r="V1647" s="2"/>
      <c r="W1647" s="45"/>
    </row>
    <row r="1648" spans="1:23" x14ac:dyDescent="0.15">
      <c r="A1648" s="1"/>
      <c r="B1648" s="1"/>
      <c r="K1648" s="36"/>
      <c r="L1648" s="10"/>
      <c r="N1648" s="33"/>
      <c r="R1648" s="2"/>
      <c r="S1648" s="2"/>
      <c r="T1648" s="2"/>
      <c r="U1648" s="2"/>
      <c r="V1648" s="2"/>
      <c r="W1648" s="45"/>
    </row>
    <row r="1649" spans="1:23" x14ac:dyDescent="0.15">
      <c r="A1649" s="1"/>
      <c r="B1649" s="1"/>
      <c r="K1649" s="36"/>
      <c r="L1649" s="10"/>
      <c r="N1649" s="33"/>
      <c r="R1649" s="2"/>
      <c r="S1649" s="2"/>
      <c r="T1649" s="2"/>
      <c r="U1649" s="2"/>
      <c r="V1649" s="2"/>
      <c r="W1649" s="45"/>
    </row>
    <row r="1650" spans="1:23" x14ac:dyDescent="0.15">
      <c r="A1650" s="1"/>
      <c r="B1650" s="1"/>
      <c r="K1650" s="36"/>
      <c r="L1650" s="10"/>
      <c r="N1650" s="33"/>
      <c r="R1650" s="2"/>
      <c r="S1650" s="2"/>
      <c r="T1650" s="2"/>
      <c r="U1650" s="2"/>
      <c r="V1650" s="2"/>
      <c r="W1650" s="45"/>
    </row>
    <row r="1651" spans="1:23" x14ac:dyDescent="0.15">
      <c r="A1651" s="1"/>
      <c r="B1651" s="1"/>
      <c r="K1651" s="36"/>
      <c r="L1651" s="10"/>
      <c r="N1651" s="33"/>
      <c r="R1651" s="2"/>
      <c r="S1651" s="2"/>
      <c r="T1651" s="2"/>
      <c r="U1651" s="2"/>
      <c r="V1651" s="2"/>
      <c r="W1651" s="45"/>
    </row>
    <row r="1652" spans="1:23" x14ac:dyDescent="0.15">
      <c r="A1652" s="1"/>
      <c r="B1652" s="1"/>
      <c r="K1652" s="36"/>
      <c r="L1652" s="10"/>
      <c r="N1652" s="33"/>
      <c r="R1652" s="2"/>
      <c r="S1652" s="2"/>
      <c r="T1652" s="2"/>
      <c r="U1652" s="2"/>
      <c r="V1652" s="2"/>
      <c r="W1652" s="45"/>
    </row>
    <row r="1653" spans="1:23" x14ac:dyDescent="0.15">
      <c r="A1653" s="1"/>
      <c r="B1653" s="1"/>
      <c r="K1653" s="36"/>
      <c r="L1653" s="10"/>
      <c r="N1653" s="33"/>
      <c r="R1653" s="2"/>
      <c r="S1653" s="2"/>
      <c r="T1653" s="2"/>
      <c r="U1653" s="2"/>
      <c r="V1653" s="2"/>
      <c r="W1653" s="45"/>
    </row>
    <row r="1654" spans="1:23" x14ac:dyDescent="0.15">
      <c r="A1654" s="1"/>
      <c r="B1654" s="1"/>
      <c r="K1654" s="36"/>
      <c r="L1654" s="10"/>
      <c r="N1654" s="33"/>
      <c r="R1654" s="2"/>
      <c r="S1654" s="2"/>
      <c r="T1654" s="2"/>
      <c r="U1654" s="2"/>
      <c r="V1654" s="2"/>
      <c r="W1654" s="45"/>
    </row>
    <row r="1655" spans="1:23" x14ac:dyDescent="0.15">
      <c r="A1655" s="1"/>
      <c r="B1655" s="1"/>
      <c r="K1655" s="36"/>
      <c r="L1655" s="10"/>
      <c r="N1655" s="33"/>
      <c r="R1655" s="2"/>
      <c r="S1655" s="2"/>
      <c r="T1655" s="2"/>
      <c r="U1655" s="2"/>
      <c r="V1655" s="2"/>
      <c r="W1655" s="45"/>
    </row>
    <row r="1656" spans="1:23" x14ac:dyDescent="0.15">
      <c r="A1656" s="1"/>
      <c r="B1656" s="1"/>
      <c r="K1656" s="36"/>
      <c r="L1656" s="10"/>
      <c r="N1656" s="33"/>
      <c r="R1656" s="2"/>
      <c r="S1656" s="2"/>
      <c r="T1656" s="2"/>
      <c r="U1656" s="2"/>
      <c r="V1656" s="2"/>
      <c r="W1656" s="45"/>
    </row>
    <row r="1657" spans="1:23" x14ac:dyDescent="0.15">
      <c r="A1657" s="1"/>
      <c r="B1657" s="1"/>
      <c r="K1657" s="36"/>
      <c r="L1657" s="10"/>
      <c r="N1657" s="33"/>
      <c r="R1657" s="2"/>
      <c r="S1657" s="2"/>
      <c r="T1657" s="2"/>
      <c r="U1657" s="2"/>
      <c r="V1657" s="2"/>
      <c r="W1657" s="45"/>
    </row>
    <row r="1658" spans="1:23" x14ac:dyDescent="0.15">
      <c r="A1658" s="1"/>
      <c r="B1658" s="1"/>
      <c r="K1658" s="36"/>
      <c r="L1658" s="10"/>
      <c r="N1658" s="33"/>
      <c r="R1658" s="2"/>
      <c r="S1658" s="2"/>
      <c r="T1658" s="2"/>
      <c r="U1658" s="2"/>
      <c r="V1658" s="2"/>
      <c r="W1658" s="45"/>
    </row>
    <row r="1659" spans="1:23" x14ac:dyDescent="0.15">
      <c r="A1659" s="1"/>
      <c r="B1659" s="1"/>
      <c r="K1659" s="36"/>
      <c r="L1659" s="10"/>
      <c r="N1659" s="33"/>
      <c r="R1659" s="2"/>
      <c r="S1659" s="2"/>
      <c r="T1659" s="2"/>
      <c r="U1659" s="2"/>
      <c r="V1659" s="2"/>
      <c r="W1659" s="45"/>
    </row>
    <row r="1660" spans="1:23" x14ac:dyDescent="0.15">
      <c r="A1660" s="1"/>
      <c r="B1660" s="1"/>
      <c r="K1660" s="36"/>
      <c r="L1660" s="10"/>
      <c r="N1660" s="33"/>
      <c r="R1660" s="2"/>
      <c r="S1660" s="2"/>
      <c r="T1660" s="2"/>
      <c r="U1660" s="2"/>
      <c r="V1660" s="2"/>
      <c r="W1660" s="45"/>
    </row>
    <row r="1661" spans="1:23" x14ac:dyDescent="0.15">
      <c r="A1661" s="1"/>
      <c r="B1661" s="1"/>
      <c r="K1661" s="36"/>
      <c r="L1661" s="10"/>
      <c r="N1661" s="33"/>
      <c r="R1661" s="2"/>
      <c r="S1661" s="2"/>
      <c r="T1661" s="2"/>
      <c r="U1661" s="2"/>
      <c r="V1661" s="2"/>
      <c r="W1661" s="45"/>
    </row>
    <row r="1662" spans="1:23" x14ac:dyDescent="0.15">
      <c r="A1662" s="1"/>
      <c r="B1662" s="1"/>
      <c r="K1662" s="36"/>
      <c r="L1662" s="10"/>
      <c r="N1662" s="33"/>
      <c r="R1662" s="2"/>
      <c r="S1662" s="2"/>
      <c r="T1662" s="2"/>
      <c r="U1662" s="2"/>
      <c r="V1662" s="2"/>
      <c r="W1662" s="45"/>
    </row>
    <row r="1663" spans="1:23" x14ac:dyDescent="0.15">
      <c r="A1663" s="1"/>
      <c r="B1663" s="1"/>
      <c r="K1663" s="36"/>
      <c r="L1663" s="10"/>
      <c r="N1663" s="33"/>
      <c r="R1663" s="2"/>
      <c r="S1663" s="2"/>
      <c r="T1663" s="2"/>
      <c r="U1663" s="2"/>
      <c r="V1663" s="2"/>
      <c r="W1663" s="45"/>
    </row>
    <row r="1664" spans="1:23" x14ac:dyDescent="0.15">
      <c r="A1664" s="1"/>
      <c r="B1664" s="1"/>
      <c r="K1664" s="36"/>
      <c r="L1664" s="10"/>
      <c r="N1664" s="33"/>
      <c r="R1664" s="2"/>
      <c r="S1664" s="2"/>
      <c r="T1664" s="2"/>
      <c r="U1664" s="2"/>
      <c r="V1664" s="2"/>
      <c r="W1664" s="45"/>
    </row>
    <row r="1665" spans="1:23" x14ac:dyDescent="0.15">
      <c r="A1665" s="1"/>
      <c r="B1665" s="1"/>
      <c r="K1665" s="36"/>
      <c r="L1665" s="10"/>
      <c r="N1665" s="33"/>
      <c r="R1665" s="2"/>
      <c r="S1665" s="2"/>
      <c r="T1665" s="2"/>
      <c r="U1665" s="2"/>
      <c r="V1665" s="2"/>
      <c r="W1665" s="45"/>
    </row>
    <row r="1666" spans="1:23" x14ac:dyDescent="0.15">
      <c r="A1666" s="1"/>
      <c r="B1666" s="1"/>
      <c r="K1666" s="36"/>
      <c r="L1666" s="10"/>
      <c r="N1666" s="33"/>
      <c r="R1666" s="2"/>
      <c r="S1666" s="2"/>
      <c r="T1666" s="2"/>
      <c r="U1666" s="2"/>
      <c r="V1666" s="2"/>
      <c r="W1666" s="45"/>
    </row>
    <row r="1667" spans="1:23" x14ac:dyDescent="0.15">
      <c r="A1667" s="1"/>
      <c r="B1667" s="1"/>
      <c r="K1667" s="36"/>
      <c r="L1667" s="10"/>
      <c r="N1667" s="33"/>
      <c r="R1667" s="2"/>
      <c r="S1667" s="2"/>
      <c r="T1667" s="2"/>
      <c r="U1667" s="2"/>
      <c r="V1667" s="2"/>
      <c r="W1667" s="45"/>
    </row>
    <row r="1668" spans="1:23" x14ac:dyDescent="0.15">
      <c r="A1668" s="1"/>
      <c r="B1668" s="1"/>
      <c r="K1668" s="36"/>
      <c r="L1668" s="10"/>
      <c r="N1668" s="33"/>
      <c r="R1668" s="2"/>
      <c r="S1668" s="2"/>
      <c r="T1668" s="2"/>
      <c r="U1668" s="2"/>
      <c r="V1668" s="2"/>
      <c r="W1668" s="45"/>
    </row>
    <row r="1669" spans="1:23" x14ac:dyDescent="0.15">
      <c r="A1669" s="1"/>
      <c r="B1669" s="1"/>
      <c r="K1669" s="36"/>
      <c r="L1669" s="10"/>
      <c r="N1669" s="33"/>
      <c r="R1669" s="2"/>
      <c r="S1669" s="2"/>
      <c r="T1669" s="2"/>
      <c r="U1669" s="2"/>
      <c r="V1669" s="2"/>
      <c r="W1669" s="45"/>
    </row>
    <row r="1670" spans="1:23" x14ac:dyDescent="0.15">
      <c r="A1670" s="1"/>
      <c r="B1670" s="1"/>
      <c r="K1670" s="36"/>
      <c r="L1670" s="10"/>
      <c r="N1670" s="33"/>
      <c r="R1670" s="2"/>
      <c r="S1670" s="2"/>
      <c r="T1670" s="2"/>
      <c r="U1670" s="2"/>
      <c r="V1670" s="2"/>
      <c r="W1670" s="45"/>
    </row>
    <row r="1671" spans="1:23" x14ac:dyDescent="0.15">
      <c r="A1671" s="1"/>
      <c r="B1671" s="1"/>
      <c r="K1671" s="36"/>
      <c r="L1671" s="10"/>
      <c r="N1671" s="33"/>
      <c r="R1671" s="2"/>
      <c r="S1671" s="2"/>
      <c r="T1671" s="2"/>
      <c r="U1671" s="2"/>
      <c r="V1671" s="2"/>
      <c r="W1671" s="45"/>
    </row>
    <row r="1672" spans="1:23" x14ac:dyDescent="0.15">
      <c r="A1672" s="1"/>
      <c r="B1672" s="1"/>
      <c r="K1672" s="36"/>
      <c r="L1672" s="10"/>
      <c r="N1672" s="33"/>
      <c r="R1672" s="2"/>
      <c r="S1672" s="2"/>
      <c r="T1672" s="2"/>
      <c r="U1672" s="2"/>
      <c r="V1672" s="2"/>
      <c r="W1672" s="45"/>
    </row>
    <row r="1673" spans="1:23" x14ac:dyDescent="0.15">
      <c r="A1673" s="1"/>
      <c r="B1673" s="1"/>
      <c r="K1673" s="36"/>
      <c r="L1673" s="10"/>
      <c r="N1673" s="33"/>
      <c r="R1673" s="2"/>
      <c r="S1673" s="2"/>
      <c r="T1673" s="2"/>
      <c r="U1673" s="2"/>
      <c r="V1673" s="2"/>
      <c r="W1673" s="45"/>
    </row>
    <row r="1674" spans="1:23" x14ac:dyDescent="0.15">
      <c r="A1674" s="1"/>
      <c r="B1674" s="1"/>
      <c r="K1674" s="36"/>
      <c r="L1674" s="10"/>
      <c r="N1674" s="33"/>
      <c r="R1674" s="2"/>
      <c r="S1674" s="2"/>
      <c r="T1674" s="2"/>
      <c r="U1674" s="2"/>
      <c r="V1674" s="2"/>
      <c r="W1674" s="45"/>
    </row>
    <row r="1675" spans="1:23" x14ac:dyDescent="0.15">
      <c r="A1675" s="1"/>
      <c r="B1675" s="1"/>
      <c r="K1675" s="36"/>
      <c r="L1675" s="10"/>
      <c r="N1675" s="33"/>
      <c r="R1675" s="2"/>
      <c r="S1675" s="2"/>
      <c r="T1675" s="2"/>
      <c r="U1675" s="2"/>
      <c r="V1675" s="2"/>
      <c r="W1675" s="45"/>
    </row>
    <row r="1676" spans="1:23" x14ac:dyDescent="0.15">
      <c r="A1676" s="1"/>
      <c r="B1676" s="1"/>
      <c r="K1676" s="36"/>
      <c r="L1676" s="10"/>
      <c r="N1676" s="33"/>
      <c r="R1676" s="2"/>
      <c r="S1676" s="2"/>
      <c r="T1676" s="2"/>
      <c r="U1676" s="2"/>
      <c r="V1676" s="2"/>
      <c r="W1676" s="45"/>
    </row>
    <row r="1677" spans="1:23" x14ac:dyDescent="0.15">
      <c r="A1677" s="1"/>
      <c r="B1677" s="1"/>
      <c r="K1677" s="36"/>
      <c r="L1677" s="10"/>
      <c r="N1677" s="33"/>
      <c r="R1677" s="2"/>
      <c r="S1677" s="2"/>
      <c r="T1677" s="2"/>
      <c r="U1677" s="2"/>
      <c r="V1677" s="2"/>
      <c r="W1677" s="45"/>
    </row>
    <row r="1678" spans="1:23" x14ac:dyDescent="0.15">
      <c r="A1678" s="1"/>
      <c r="B1678" s="1"/>
      <c r="K1678" s="36"/>
      <c r="L1678" s="10"/>
      <c r="N1678" s="33"/>
      <c r="R1678" s="2"/>
      <c r="S1678" s="2"/>
      <c r="T1678" s="2"/>
      <c r="U1678" s="2"/>
      <c r="V1678" s="2"/>
      <c r="W1678" s="45"/>
    </row>
    <row r="1679" spans="1:23" x14ac:dyDescent="0.15">
      <c r="A1679" s="1"/>
      <c r="B1679" s="1"/>
      <c r="K1679" s="36"/>
      <c r="L1679" s="10"/>
      <c r="N1679" s="33"/>
      <c r="R1679" s="2"/>
      <c r="S1679" s="2"/>
      <c r="T1679" s="2"/>
      <c r="U1679" s="2"/>
      <c r="V1679" s="2"/>
      <c r="W1679" s="45"/>
    </row>
    <row r="1680" spans="1:23" x14ac:dyDescent="0.15">
      <c r="A1680" s="1"/>
      <c r="B1680" s="1"/>
      <c r="K1680" s="36"/>
      <c r="L1680" s="10"/>
      <c r="N1680" s="33"/>
      <c r="R1680" s="2"/>
      <c r="S1680" s="2"/>
      <c r="T1680" s="2"/>
      <c r="U1680" s="2"/>
      <c r="V1680" s="2"/>
      <c r="W1680" s="45"/>
    </row>
    <row r="1681" spans="1:23" x14ac:dyDescent="0.15">
      <c r="A1681" s="1"/>
      <c r="B1681" s="1"/>
      <c r="K1681" s="36"/>
      <c r="L1681" s="10"/>
      <c r="N1681" s="33"/>
      <c r="R1681" s="2"/>
      <c r="S1681" s="2"/>
      <c r="T1681" s="2"/>
      <c r="U1681" s="2"/>
      <c r="V1681" s="2"/>
      <c r="W1681" s="45"/>
    </row>
    <row r="1682" spans="1:23" x14ac:dyDescent="0.15">
      <c r="A1682" s="1"/>
      <c r="B1682" s="1"/>
      <c r="K1682" s="36"/>
      <c r="L1682" s="10"/>
      <c r="N1682" s="33"/>
      <c r="R1682" s="2"/>
      <c r="S1682" s="2"/>
      <c r="T1682" s="2"/>
      <c r="U1682" s="2"/>
      <c r="V1682" s="2"/>
      <c r="W1682" s="45"/>
    </row>
    <row r="1683" spans="1:23" x14ac:dyDescent="0.15">
      <c r="A1683" s="1"/>
      <c r="B1683" s="1"/>
      <c r="K1683" s="36"/>
      <c r="L1683" s="10"/>
      <c r="N1683" s="33"/>
      <c r="R1683" s="2"/>
      <c r="S1683" s="2"/>
      <c r="T1683" s="2"/>
      <c r="U1683" s="2"/>
      <c r="V1683" s="2"/>
      <c r="W1683" s="45"/>
    </row>
    <row r="1684" spans="1:23" x14ac:dyDescent="0.15">
      <c r="A1684" s="1"/>
      <c r="B1684" s="1"/>
      <c r="K1684" s="36"/>
      <c r="L1684" s="10"/>
      <c r="N1684" s="33"/>
      <c r="R1684" s="2"/>
      <c r="S1684" s="2"/>
      <c r="T1684" s="2"/>
      <c r="U1684" s="2"/>
      <c r="V1684" s="2"/>
      <c r="W1684" s="45"/>
    </row>
    <row r="1685" spans="1:23" x14ac:dyDescent="0.15">
      <c r="A1685" s="1"/>
      <c r="B1685" s="1"/>
      <c r="K1685" s="36"/>
      <c r="L1685" s="10"/>
      <c r="N1685" s="33"/>
      <c r="R1685" s="2"/>
      <c r="S1685" s="2"/>
      <c r="T1685" s="2"/>
      <c r="U1685" s="2"/>
      <c r="V1685" s="2"/>
      <c r="W1685" s="45"/>
    </row>
    <row r="1686" spans="1:23" x14ac:dyDescent="0.15">
      <c r="A1686" s="1"/>
      <c r="B1686" s="1"/>
      <c r="K1686" s="36"/>
      <c r="L1686" s="10"/>
      <c r="N1686" s="33"/>
      <c r="R1686" s="2"/>
      <c r="S1686" s="2"/>
      <c r="T1686" s="2"/>
      <c r="U1686" s="2"/>
      <c r="V1686" s="2"/>
      <c r="W1686" s="45"/>
    </row>
    <row r="1687" spans="1:23" x14ac:dyDescent="0.15">
      <c r="A1687" s="1"/>
      <c r="B1687" s="1"/>
      <c r="K1687" s="36"/>
      <c r="L1687" s="10"/>
      <c r="N1687" s="33"/>
      <c r="R1687" s="2"/>
      <c r="S1687" s="2"/>
      <c r="T1687" s="2"/>
      <c r="U1687" s="2"/>
      <c r="V1687" s="2"/>
      <c r="W1687" s="45"/>
    </row>
    <row r="1688" spans="1:23" x14ac:dyDescent="0.15">
      <c r="A1688" s="1"/>
      <c r="B1688" s="1"/>
      <c r="K1688" s="36"/>
      <c r="L1688" s="10"/>
      <c r="N1688" s="33"/>
      <c r="R1688" s="2"/>
      <c r="S1688" s="2"/>
      <c r="T1688" s="2"/>
      <c r="U1688" s="2"/>
      <c r="V1688" s="2"/>
      <c r="W1688" s="45"/>
    </row>
    <row r="1689" spans="1:23" x14ac:dyDescent="0.15">
      <c r="A1689" s="1"/>
      <c r="B1689" s="1"/>
      <c r="K1689" s="36"/>
      <c r="L1689" s="10"/>
      <c r="N1689" s="33"/>
      <c r="R1689" s="2"/>
      <c r="S1689" s="2"/>
      <c r="T1689" s="2"/>
      <c r="U1689" s="2"/>
      <c r="V1689" s="2"/>
      <c r="W1689" s="45"/>
    </row>
    <row r="1690" spans="1:23" x14ac:dyDescent="0.15">
      <c r="A1690" s="1"/>
      <c r="B1690" s="1"/>
      <c r="K1690" s="36"/>
      <c r="L1690" s="10"/>
      <c r="N1690" s="33"/>
      <c r="R1690" s="2"/>
      <c r="S1690" s="2"/>
      <c r="T1690" s="2"/>
      <c r="U1690" s="2"/>
      <c r="V1690" s="2"/>
      <c r="W1690" s="45"/>
    </row>
    <row r="1691" spans="1:23" x14ac:dyDescent="0.15">
      <c r="A1691" s="1"/>
      <c r="B1691" s="1"/>
      <c r="K1691" s="36"/>
      <c r="L1691" s="10"/>
      <c r="N1691" s="33"/>
      <c r="R1691" s="2"/>
      <c r="S1691" s="2"/>
      <c r="T1691" s="2"/>
      <c r="U1691" s="2"/>
      <c r="V1691" s="2"/>
      <c r="W1691" s="45"/>
    </row>
    <row r="1692" spans="1:23" x14ac:dyDescent="0.15">
      <c r="A1692" s="1"/>
      <c r="B1692" s="1"/>
      <c r="K1692" s="36"/>
      <c r="L1692" s="10"/>
      <c r="N1692" s="33"/>
      <c r="R1692" s="2"/>
      <c r="S1692" s="2"/>
      <c r="T1692" s="2"/>
      <c r="U1692" s="2"/>
      <c r="V1692" s="2"/>
      <c r="W1692" s="45"/>
    </row>
    <row r="1693" spans="1:23" x14ac:dyDescent="0.15">
      <c r="A1693" s="1"/>
      <c r="B1693" s="1"/>
      <c r="K1693" s="36"/>
      <c r="L1693" s="10"/>
      <c r="N1693" s="33"/>
      <c r="R1693" s="2"/>
      <c r="S1693" s="2"/>
      <c r="T1693" s="2"/>
      <c r="U1693" s="2"/>
      <c r="V1693" s="2"/>
      <c r="W1693" s="45"/>
    </row>
    <row r="1694" spans="1:23" x14ac:dyDescent="0.15">
      <c r="A1694" s="1"/>
      <c r="B1694" s="1"/>
      <c r="K1694" s="36"/>
      <c r="L1694" s="10"/>
      <c r="N1694" s="33"/>
      <c r="R1694" s="2"/>
      <c r="S1694" s="2"/>
      <c r="T1694" s="2"/>
      <c r="U1694" s="2"/>
      <c r="V1694" s="2"/>
      <c r="W1694" s="45"/>
    </row>
    <row r="1695" spans="1:23" x14ac:dyDescent="0.15">
      <c r="A1695" s="1"/>
      <c r="B1695" s="1"/>
      <c r="K1695" s="36"/>
      <c r="L1695" s="10"/>
      <c r="N1695" s="33"/>
      <c r="R1695" s="2"/>
      <c r="S1695" s="2"/>
      <c r="T1695" s="2"/>
      <c r="U1695" s="2"/>
      <c r="V1695" s="2"/>
      <c r="W1695" s="45"/>
    </row>
    <row r="1696" spans="1:23" x14ac:dyDescent="0.15">
      <c r="A1696" s="1"/>
      <c r="B1696" s="1"/>
      <c r="K1696" s="36"/>
      <c r="L1696" s="10"/>
      <c r="N1696" s="33"/>
      <c r="R1696" s="2"/>
      <c r="S1696" s="2"/>
      <c r="T1696" s="2"/>
      <c r="U1696" s="2"/>
      <c r="V1696" s="2"/>
      <c r="W1696" s="45"/>
    </row>
    <row r="1697" spans="1:23" x14ac:dyDescent="0.15">
      <c r="A1697" s="1"/>
      <c r="B1697" s="1"/>
      <c r="K1697" s="36"/>
      <c r="L1697" s="10"/>
      <c r="N1697" s="33"/>
      <c r="R1697" s="2"/>
      <c r="S1697" s="2"/>
      <c r="T1697" s="2"/>
      <c r="U1697" s="2"/>
      <c r="V1697" s="2"/>
      <c r="W1697" s="45"/>
    </row>
    <row r="1698" spans="1:23" x14ac:dyDescent="0.15">
      <c r="A1698" s="1"/>
      <c r="B1698" s="1"/>
      <c r="K1698" s="36"/>
      <c r="L1698" s="10"/>
      <c r="N1698" s="33"/>
      <c r="R1698" s="2"/>
      <c r="S1698" s="2"/>
      <c r="T1698" s="2"/>
      <c r="U1698" s="2"/>
      <c r="V1698" s="2"/>
      <c r="W1698" s="45"/>
    </row>
    <row r="1699" spans="1:23" x14ac:dyDescent="0.15">
      <c r="A1699" s="1"/>
      <c r="B1699" s="1"/>
      <c r="K1699" s="36"/>
      <c r="L1699" s="10"/>
      <c r="N1699" s="33"/>
      <c r="R1699" s="2"/>
      <c r="S1699" s="2"/>
      <c r="T1699" s="2"/>
      <c r="U1699" s="2"/>
      <c r="V1699" s="2"/>
      <c r="W1699" s="45"/>
    </row>
    <row r="1700" spans="1:23" x14ac:dyDescent="0.15">
      <c r="A1700" s="1"/>
      <c r="B1700" s="1"/>
      <c r="K1700" s="36"/>
      <c r="L1700" s="10"/>
      <c r="N1700" s="33"/>
      <c r="R1700" s="2"/>
      <c r="S1700" s="2"/>
      <c r="T1700" s="2"/>
      <c r="U1700" s="2"/>
      <c r="V1700" s="2"/>
      <c r="W1700" s="45"/>
    </row>
    <row r="1701" spans="1:23" x14ac:dyDescent="0.15">
      <c r="A1701" s="1"/>
      <c r="B1701" s="1"/>
      <c r="K1701" s="36"/>
      <c r="L1701" s="10"/>
      <c r="N1701" s="33"/>
      <c r="R1701" s="2"/>
      <c r="S1701" s="2"/>
      <c r="T1701" s="2"/>
      <c r="U1701" s="2"/>
      <c r="V1701" s="2"/>
      <c r="W1701" s="45"/>
    </row>
    <row r="1702" spans="1:23" x14ac:dyDescent="0.15">
      <c r="A1702" s="1"/>
      <c r="B1702" s="1"/>
      <c r="K1702" s="36"/>
      <c r="L1702" s="10"/>
      <c r="N1702" s="33"/>
      <c r="R1702" s="2"/>
      <c r="S1702" s="2"/>
      <c r="T1702" s="2"/>
      <c r="U1702" s="2"/>
      <c r="V1702" s="2"/>
      <c r="W1702" s="45"/>
    </row>
    <row r="1703" spans="1:23" x14ac:dyDescent="0.15">
      <c r="A1703" s="1"/>
      <c r="B1703" s="1"/>
      <c r="K1703" s="36"/>
      <c r="L1703" s="10"/>
      <c r="N1703" s="33"/>
      <c r="R1703" s="2"/>
      <c r="S1703" s="2"/>
      <c r="T1703" s="2"/>
      <c r="U1703" s="2"/>
      <c r="V1703" s="2"/>
      <c r="W1703" s="45"/>
    </row>
    <row r="1704" spans="1:23" x14ac:dyDescent="0.15">
      <c r="A1704" s="1"/>
      <c r="B1704" s="1"/>
      <c r="K1704" s="36"/>
      <c r="L1704" s="10"/>
      <c r="N1704" s="33"/>
      <c r="R1704" s="2"/>
      <c r="S1704" s="2"/>
      <c r="T1704" s="2"/>
      <c r="U1704" s="2"/>
      <c r="V1704" s="2"/>
      <c r="W1704" s="45"/>
    </row>
    <row r="1705" spans="1:23" x14ac:dyDescent="0.15">
      <c r="A1705" s="1"/>
      <c r="B1705" s="1"/>
      <c r="K1705" s="36"/>
      <c r="L1705" s="10"/>
      <c r="N1705" s="33"/>
      <c r="R1705" s="2"/>
      <c r="S1705" s="2"/>
      <c r="T1705" s="2"/>
      <c r="U1705" s="2"/>
      <c r="V1705" s="2"/>
      <c r="W1705" s="45"/>
    </row>
    <row r="1706" spans="1:23" x14ac:dyDescent="0.15">
      <c r="A1706" s="1"/>
      <c r="B1706" s="1"/>
      <c r="K1706" s="36"/>
      <c r="L1706" s="10"/>
      <c r="N1706" s="33"/>
      <c r="R1706" s="2"/>
      <c r="S1706" s="2"/>
      <c r="T1706" s="2"/>
      <c r="U1706" s="2"/>
      <c r="V1706" s="2"/>
      <c r="W1706" s="45"/>
    </row>
    <row r="1707" spans="1:23" x14ac:dyDescent="0.15">
      <c r="A1707" s="1"/>
      <c r="B1707" s="1"/>
      <c r="K1707" s="36"/>
      <c r="L1707" s="10"/>
      <c r="N1707" s="33"/>
      <c r="R1707" s="2"/>
      <c r="S1707" s="2"/>
      <c r="T1707" s="2"/>
      <c r="U1707" s="2"/>
      <c r="V1707" s="2"/>
      <c r="W1707" s="45"/>
    </row>
    <row r="1708" spans="1:23" x14ac:dyDescent="0.15">
      <c r="A1708" s="1"/>
      <c r="B1708" s="1"/>
      <c r="K1708" s="36"/>
      <c r="L1708" s="10"/>
      <c r="N1708" s="33"/>
      <c r="R1708" s="2"/>
      <c r="S1708" s="2"/>
      <c r="T1708" s="2"/>
      <c r="U1708" s="2"/>
      <c r="V1708" s="2"/>
      <c r="W1708" s="45"/>
    </row>
    <row r="1709" spans="1:23" x14ac:dyDescent="0.15">
      <c r="A1709" s="1"/>
      <c r="B1709" s="1"/>
      <c r="K1709" s="36"/>
      <c r="L1709" s="10"/>
      <c r="N1709" s="33"/>
      <c r="R1709" s="2"/>
      <c r="S1709" s="2"/>
      <c r="T1709" s="2"/>
      <c r="U1709" s="2"/>
      <c r="V1709" s="2"/>
      <c r="W1709" s="45"/>
    </row>
    <row r="1710" spans="1:23" x14ac:dyDescent="0.15">
      <c r="A1710" s="1"/>
      <c r="B1710" s="1"/>
      <c r="K1710" s="36"/>
      <c r="L1710" s="10"/>
      <c r="N1710" s="33"/>
      <c r="R1710" s="2"/>
      <c r="S1710" s="2"/>
      <c r="T1710" s="2"/>
      <c r="U1710" s="2"/>
      <c r="V1710" s="2"/>
      <c r="W1710" s="45"/>
    </row>
    <row r="1711" spans="1:23" x14ac:dyDescent="0.15">
      <c r="A1711" s="1"/>
      <c r="B1711" s="1"/>
      <c r="K1711" s="36"/>
      <c r="L1711" s="10"/>
      <c r="N1711" s="33"/>
      <c r="R1711" s="2"/>
      <c r="S1711" s="2"/>
      <c r="T1711" s="2"/>
      <c r="U1711" s="2"/>
      <c r="V1711" s="2"/>
      <c r="W1711" s="45"/>
    </row>
    <row r="1712" spans="1:23" x14ac:dyDescent="0.15">
      <c r="A1712" s="1"/>
      <c r="B1712" s="1"/>
      <c r="K1712" s="36"/>
      <c r="L1712" s="10"/>
      <c r="N1712" s="33"/>
      <c r="R1712" s="2"/>
      <c r="S1712" s="2"/>
      <c r="T1712" s="2"/>
      <c r="U1712" s="2"/>
      <c r="V1712" s="2"/>
      <c r="W1712" s="45"/>
    </row>
    <row r="1713" spans="1:23" x14ac:dyDescent="0.15">
      <c r="A1713" s="1"/>
      <c r="B1713" s="1"/>
      <c r="K1713" s="36"/>
      <c r="L1713" s="10"/>
      <c r="N1713" s="33"/>
      <c r="R1713" s="2"/>
      <c r="S1713" s="2"/>
      <c r="T1713" s="2"/>
      <c r="U1713" s="2"/>
      <c r="V1713" s="2"/>
      <c r="W1713" s="45"/>
    </row>
    <row r="1714" spans="1:23" x14ac:dyDescent="0.15">
      <c r="A1714" s="1"/>
      <c r="B1714" s="1"/>
      <c r="K1714" s="36"/>
      <c r="L1714" s="10"/>
      <c r="N1714" s="33"/>
      <c r="R1714" s="2"/>
      <c r="S1714" s="2"/>
      <c r="T1714" s="2"/>
      <c r="U1714" s="2"/>
      <c r="V1714" s="2"/>
      <c r="W1714" s="45"/>
    </row>
    <row r="1715" spans="1:23" x14ac:dyDescent="0.15">
      <c r="A1715" s="1"/>
      <c r="B1715" s="1"/>
      <c r="K1715" s="36"/>
      <c r="L1715" s="10"/>
      <c r="N1715" s="33"/>
      <c r="R1715" s="2"/>
      <c r="S1715" s="2"/>
      <c r="T1715" s="2"/>
      <c r="U1715" s="2"/>
      <c r="V1715" s="2"/>
      <c r="W1715" s="45"/>
    </row>
    <row r="1716" spans="1:23" x14ac:dyDescent="0.15">
      <c r="A1716" s="1"/>
      <c r="B1716" s="1"/>
      <c r="K1716" s="36"/>
      <c r="L1716" s="10"/>
      <c r="N1716" s="33"/>
      <c r="R1716" s="2"/>
      <c r="S1716" s="2"/>
      <c r="T1716" s="2"/>
      <c r="U1716" s="2"/>
      <c r="V1716" s="2"/>
      <c r="W1716" s="45"/>
    </row>
    <row r="1717" spans="1:23" x14ac:dyDescent="0.15">
      <c r="A1717" s="1"/>
      <c r="B1717" s="1"/>
      <c r="K1717" s="36"/>
      <c r="L1717" s="10"/>
      <c r="N1717" s="33"/>
      <c r="R1717" s="2"/>
      <c r="S1717" s="2"/>
      <c r="T1717" s="2"/>
      <c r="U1717" s="2"/>
      <c r="V1717" s="2"/>
      <c r="W1717" s="45"/>
    </row>
    <row r="1718" spans="1:23" x14ac:dyDescent="0.15">
      <c r="A1718" s="1"/>
      <c r="B1718" s="1"/>
      <c r="K1718" s="36"/>
      <c r="L1718" s="10"/>
      <c r="N1718" s="33"/>
      <c r="R1718" s="2"/>
      <c r="S1718" s="2"/>
      <c r="T1718" s="2"/>
      <c r="U1718" s="2"/>
      <c r="V1718" s="2"/>
      <c r="W1718" s="45"/>
    </row>
    <row r="1719" spans="1:23" x14ac:dyDescent="0.15">
      <c r="A1719" s="1"/>
      <c r="B1719" s="1"/>
      <c r="K1719" s="36"/>
      <c r="L1719" s="10"/>
      <c r="N1719" s="33"/>
      <c r="R1719" s="2"/>
      <c r="S1719" s="2"/>
      <c r="T1719" s="2"/>
      <c r="U1719" s="2"/>
      <c r="V1719" s="2"/>
      <c r="W1719" s="45"/>
    </row>
    <row r="1720" spans="1:23" x14ac:dyDescent="0.15">
      <c r="A1720" s="1"/>
      <c r="B1720" s="1"/>
      <c r="K1720" s="36"/>
      <c r="L1720" s="10"/>
      <c r="N1720" s="33"/>
      <c r="R1720" s="2"/>
      <c r="S1720" s="2"/>
      <c r="T1720" s="2"/>
      <c r="U1720" s="2"/>
      <c r="V1720" s="2"/>
      <c r="W1720" s="45"/>
    </row>
    <row r="1721" spans="1:23" x14ac:dyDescent="0.15">
      <c r="A1721" s="1"/>
      <c r="B1721" s="1"/>
      <c r="K1721" s="36"/>
      <c r="L1721" s="10"/>
      <c r="N1721" s="33"/>
      <c r="R1721" s="2"/>
      <c r="S1721" s="2"/>
      <c r="T1721" s="2"/>
      <c r="U1721" s="2"/>
      <c r="V1721" s="2"/>
      <c r="W1721" s="45"/>
    </row>
    <row r="1722" spans="1:23" x14ac:dyDescent="0.15">
      <c r="A1722" s="1"/>
      <c r="B1722" s="1"/>
      <c r="K1722" s="36"/>
      <c r="L1722" s="10"/>
      <c r="N1722" s="33"/>
      <c r="R1722" s="2"/>
      <c r="S1722" s="2"/>
      <c r="T1722" s="2"/>
      <c r="U1722" s="2"/>
      <c r="V1722" s="2"/>
      <c r="W1722" s="45"/>
    </row>
    <row r="1723" spans="1:23" x14ac:dyDescent="0.15">
      <c r="A1723" s="1"/>
      <c r="B1723" s="1"/>
      <c r="K1723" s="36"/>
      <c r="L1723" s="10"/>
      <c r="N1723" s="33"/>
      <c r="R1723" s="2"/>
      <c r="S1723" s="2"/>
      <c r="T1723" s="2"/>
      <c r="U1723" s="2"/>
      <c r="V1723" s="2"/>
      <c r="W1723" s="45"/>
    </row>
    <row r="1724" spans="1:23" x14ac:dyDescent="0.15">
      <c r="A1724" s="1"/>
      <c r="B1724" s="1"/>
      <c r="K1724" s="36"/>
      <c r="L1724" s="10"/>
      <c r="N1724" s="33"/>
      <c r="R1724" s="2"/>
      <c r="S1724" s="2"/>
      <c r="T1724" s="2"/>
      <c r="U1724" s="2"/>
      <c r="V1724" s="2"/>
      <c r="W1724" s="45"/>
    </row>
    <row r="1725" spans="1:23" x14ac:dyDescent="0.15">
      <c r="A1725" s="1"/>
      <c r="B1725" s="1"/>
      <c r="K1725" s="36"/>
      <c r="L1725" s="10"/>
      <c r="N1725" s="33"/>
      <c r="R1725" s="2"/>
      <c r="S1725" s="2"/>
      <c r="T1725" s="2"/>
      <c r="U1725" s="2"/>
      <c r="V1725" s="2"/>
      <c r="W1725" s="45"/>
    </row>
    <row r="1726" spans="1:23" x14ac:dyDescent="0.15">
      <c r="A1726" s="1"/>
      <c r="B1726" s="1"/>
      <c r="K1726" s="36"/>
      <c r="L1726" s="10"/>
      <c r="N1726" s="33"/>
      <c r="R1726" s="2"/>
      <c r="S1726" s="2"/>
      <c r="T1726" s="2"/>
      <c r="U1726" s="2"/>
      <c r="V1726" s="2"/>
      <c r="W1726" s="45"/>
    </row>
    <row r="1727" spans="1:23" x14ac:dyDescent="0.15">
      <c r="A1727" s="1"/>
      <c r="B1727" s="1"/>
      <c r="K1727" s="36"/>
      <c r="L1727" s="10"/>
      <c r="N1727" s="33"/>
      <c r="R1727" s="2"/>
      <c r="S1727" s="2"/>
      <c r="T1727" s="2"/>
      <c r="U1727" s="2"/>
      <c r="V1727" s="2"/>
      <c r="W1727" s="45"/>
    </row>
    <row r="1728" spans="1:23" x14ac:dyDescent="0.15">
      <c r="A1728" s="1"/>
      <c r="B1728" s="1"/>
      <c r="K1728" s="36"/>
      <c r="L1728" s="10"/>
      <c r="N1728" s="33"/>
      <c r="R1728" s="2"/>
      <c r="S1728" s="2"/>
      <c r="T1728" s="2"/>
      <c r="U1728" s="2"/>
      <c r="V1728" s="2"/>
      <c r="W1728" s="45"/>
    </row>
    <row r="1729" spans="1:23" x14ac:dyDescent="0.15">
      <c r="A1729" s="1"/>
      <c r="B1729" s="1"/>
      <c r="K1729" s="36"/>
      <c r="L1729" s="10"/>
      <c r="N1729" s="33"/>
      <c r="R1729" s="2"/>
      <c r="S1729" s="2"/>
      <c r="T1729" s="2"/>
      <c r="U1729" s="2"/>
      <c r="V1729" s="2"/>
      <c r="W1729" s="45"/>
    </row>
    <row r="1730" spans="1:23" x14ac:dyDescent="0.15">
      <c r="A1730" s="1"/>
      <c r="B1730" s="1"/>
      <c r="K1730" s="36"/>
      <c r="L1730" s="10"/>
      <c r="N1730" s="33"/>
      <c r="R1730" s="2"/>
      <c r="S1730" s="2"/>
      <c r="T1730" s="2"/>
      <c r="U1730" s="2"/>
      <c r="V1730" s="2"/>
      <c r="W1730" s="45"/>
    </row>
    <row r="1731" spans="1:23" x14ac:dyDescent="0.15">
      <c r="A1731" s="1"/>
      <c r="B1731" s="1"/>
      <c r="K1731" s="36"/>
      <c r="L1731" s="10"/>
      <c r="N1731" s="33"/>
      <c r="R1731" s="2"/>
      <c r="S1731" s="2"/>
      <c r="T1731" s="2"/>
      <c r="U1731" s="2"/>
      <c r="V1731" s="2"/>
      <c r="W1731" s="45"/>
    </row>
    <row r="1732" spans="1:23" x14ac:dyDescent="0.15">
      <c r="A1732" s="1"/>
      <c r="B1732" s="1"/>
      <c r="K1732" s="36"/>
      <c r="L1732" s="10"/>
      <c r="N1732" s="33"/>
      <c r="R1732" s="2"/>
      <c r="S1732" s="2"/>
      <c r="T1732" s="2"/>
      <c r="U1732" s="2"/>
      <c r="V1732" s="2"/>
      <c r="W1732" s="45"/>
    </row>
    <row r="1733" spans="1:23" x14ac:dyDescent="0.15">
      <c r="A1733" s="1"/>
      <c r="B1733" s="1"/>
      <c r="K1733" s="36"/>
      <c r="L1733" s="10"/>
      <c r="N1733" s="33"/>
      <c r="R1733" s="2"/>
      <c r="S1733" s="2"/>
      <c r="T1733" s="2"/>
      <c r="U1733" s="2"/>
      <c r="V1733" s="2"/>
      <c r="W1733" s="45"/>
    </row>
    <row r="1734" spans="1:23" x14ac:dyDescent="0.15">
      <c r="A1734" s="1"/>
      <c r="B1734" s="1"/>
      <c r="K1734" s="36"/>
      <c r="L1734" s="10"/>
      <c r="N1734" s="33"/>
      <c r="R1734" s="2"/>
      <c r="S1734" s="2"/>
      <c r="T1734" s="2"/>
      <c r="U1734" s="2"/>
      <c r="V1734" s="2"/>
      <c r="W1734" s="45"/>
    </row>
    <row r="1735" spans="1:23" x14ac:dyDescent="0.15">
      <c r="A1735" s="1"/>
      <c r="B1735" s="1"/>
      <c r="K1735" s="36"/>
      <c r="L1735" s="10"/>
      <c r="N1735" s="33"/>
      <c r="R1735" s="2"/>
      <c r="S1735" s="2"/>
      <c r="T1735" s="2"/>
      <c r="U1735" s="2"/>
      <c r="V1735" s="2"/>
      <c r="W1735" s="45"/>
    </row>
    <row r="1736" spans="1:23" x14ac:dyDescent="0.15">
      <c r="A1736" s="1"/>
      <c r="B1736" s="1"/>
      <c r="K1736" s="36"/>
      <c r="L1736" s="10"/>
      <c r="N1736" s="33"/>
      <c r="R1736" s="2"/>
      <c r="S1736" s="2"/>
      <c r="T1736" s="2"/>
      <c r="U1736" s="2"/>
      <c r="V1736" s="2"/>
      <c r="W1736" s="45"/>
    </row>
    <row r="1737" spans="1:23" x14ac:dyDescent="0.15">
      <c r="A1737" s="1"/>
      <c r="B1737" s="1"/>
      <c r="K1737" s="36"/>
      <c r="L1737" s="10"/>
      <c r="N1737" s="33"/>
      <c r="R1737" s="2"/>
      <c r="S1737" s="2"/>
      <c r="T1737" s="2"/>
      <c r="U1737" s="2"/>
      <c r="V1737" s="2"/>
      <c r="W1737" s="45"/>
    </row>
    <row r="1738" spans="1:23" x14ac:dyDescent="0.15">
      <c r="A1738" s="1"/>
      <c r="B1738" s="1"/>
      <c r="K1738" s="36"/>
      <c r="L1738" s="10"/>
      <c r="N1738" s="33"/>
      <c r="R1738" s="2"/>
      <c r="S1738" s="2"/>
      <c r="T1738" s="2"/>
      <c r="U1738" s="2"/>
      <c r="V1738" s="2"/>
      <c r="W1738" s="45"/>
    </row>
    <row r="1739" spans="1:23" x14ac:dyDescent="0.15">
      <c r="A1739" s="1"/>
      <c r="B1739" s="1"/>
      <c r="K1739" s="36"/>
      <c r="L1739" s="10"/>
      <c r="N1739" s="33"/>
      <c r="R1739" s="2"/>
      <c r="S1739" s="2"/>
      <c r="T1739" s="2"/>
      <c r="U1739" s="2"/>
      <c r="V1739" s="2"/>
      <c r="W1739" s="45"/>
    </row>
    <row r="1740" spans="1:23" x14ac:dyDescent="0.15">
      <c r="A1740" s="1"/>
      <c r="B1740" s="1"/>
      <c r="K1740" s="36"/>
      <c r="L1740" s="10"/>
      <c r="N1740" s="33"/>
      <c r="R1740" s="2"/>
      <c r="S1740" s="2"/>
      <c r="T1740" s="2"/>
      <c r="U1740" s="2"/>
      <c r="V1740" s="2"/>
      <c r="W1740" s="45"/>
    </row>
    <row r="1741" spans="1:23" x14ac:dyDescent="0.15">
      <c r="A1741" s="1"/>
      <c r="B1741" s="1"/>
      <c r="K1741" s="36"/>
      <c r="L1741" s="10"/>
      <c r="N1741" s="33"/>
      <c r="R1741" s="2"/>
      <c r="S1741" s="2"/>
      <c r="T1741" s="2"/>
      <c r="U1741" s="2"/>
      <c r="V1741" s="2"/>
      <c r="W1741" s="45"/>
    </row>
    <row r="1742" spans="1:23" x14ac:dyDescent="0.15">
      <c r="A1742" s="1"/>
      <c r="B1742" s="1"/>
      <c r="K1742" s="36"/>
      <c r="L1742" s="10"/>
      <c r="N1742" s="33"/>
      <c r="R1742" s="2"/>
      <c r="S1742" s="2"/>
      <c r="T1742" s="2"/>
      <c r="U1742" s="2"/>
      <c r="V1742" s="2"/>
      <c r="W1742" s="45"/>
    </row>
    <row r="1743" spans="1:23" x14ac:dyDescent="0.15">
      <c r="A1743" s="1"/>
      <c r="B1743" s="1"/>
      <c r="K1743" s="36"/>
      <c r="L1743" s="10"/>
      <c r="N1743" s="33"/>
      <c r="R1743" s="2"/>
      <c r="S1743" s="2"/>
      <c r="T1743" s="2"/>
      <c r="U1743" s="2"/>
      <c r="V1743" s="2"/>
      <c r="W1743" s="45"/>
    </row>
    <row r="1744" spans="1:23" x14ac:dyDescent="0.15">
      <c r="A1744" s="1"/>
      <c r="B1744" s="1"/>
      <c r="K1744" s="36"/>
      <c r="L1744" s="10"/>
      <c r="N1744" s="33"/>
      <c r="R1744" s="2"/>
      <c r="S1744" s="2"/>
      <c r="T1744" s="2"/>
      <c r="U1744" s="2"/>
      <c r="V1744" s="2"/>
      <c r="W1744" s="45"/>
    </row>
    <row r="1745" spans="1:23" x14ac:dyDescent="0.15">
      <c r="A1745" s="1"/>
      <c r="B1745" s="1"/>
      <c r="K1745" s="36"/>
      <c r="L1745" s="10"/>
      <c r="N1745" s="33"/>
      <c r="R1745" s="2"/>
      <c r="S1745" s="2"/>
      <c r="T1745" s="2"/>
      <c r="U1745" s="2"/>
      <c r="V1745" s="2"/>
      <c r="W1745" s="45"/>
    </row>
    <row r="1746" spans="1:23" x14ac:dyDescent="0.15">
      <c r="A1746" s="1"/>
      <c r="B1746" s="1"/>
      <c r="K1746" s="36"/>
      <c r="L1746" s="10"/>
      <c r="N1746" s="33"/>
      <c r="R1746" s="2"/>
      <c r="S1746" s="2"/>
      <c r="T1746" s="2"/>
      <c r="U1746" s="2"/>
      <c r="V1746" s="2"/>
      <c r="W1746" s="45"/>
    </row>
    <row r="1747" spans="1:23" x14ac:dyDescent="0.15">
      <c r="A1747" s="1"/>
      <c r="B1747" s="1"/>
      <c r="K1747" s="36"/>
      <c r="L1747" s="10"/>
      <c r="N1747" s="33"/>
      <c r="R1747" s="2"/>
      <c r="S1747" s="2"/>
      <c r="T1747" s="2"/>
      <c r="U1747" s="2"/>
      <c r="V1747" s="2"/>
      <c r="W1747" s="45"/>
    </row>
    <row r="1748" spans="1:23" x14ac:dyDescent="0.15">
      <c r="A1748" s="1"/>
      <c r="B1748" s="1"/>
      <c r="K1748" s="36"/>
      <c r="L1748" s="10"/>
      <c r="N1748" s="33"/>
      <c r="R1748" s="2"/>
      <c r="S1748" s="2"/>
      <c r="T1748" s="2"/>
      <c r="U1748" s="2"/>
      <c r="V1748" s="2"/>
      <c r="W1748" s="45"/>
    </row>
    <row r="1749" spans="1:23" x14ac:dyDescent="0.15">
      <c r="A1749" s="1"/>
      <c r="B1749" s="1"/>
      <c r="K1749" s="36"/>
      <c r="L1749" s="10"/>
      <c r="N1749" s="33"/>
      <c r="R1749" s="2"/>
      <c r="S1749" s="2"/>
      <c r="T1749" s="2"/>
      <c r="U1749" s="2"/>
      <c r="V1749" s="2"/>
      <c r="W1749" s="45"/>
    </row>
    <row r="1750" spans="1:23" x14ac:dyDescent="0.15">
      <c r="A1750" s="1"/>
      <c r="B1750" s="1"/>
      <c r="K1750" s="36"/>
      <c r="L1750" s="10"/>
      <c r="N1750" s="33"/>
      <c r="R1750" s="2"/>
      <c r="S1750" s="2"/>
      <c r="T1750" s="2"/>
      <c r="U1750" s="2"/>
      <c r="V1750" s="2"/>
      <c r="W1750" s="45"/>
    </row>
    <row r="1751" spans="1:23" x14ac:dyDescent="0.15">
      <c r="A1751" s="1"/>
      <c r="B1751" s="1"/>
      <c r="K1751" s="36"/>
      <c r="L1751" s="10"/>
      <c r="N1751" s="33"/>
      <c r="R1751" s="2"/>
      <c r="S1751" s="2"/>
      <c r="T1751" s="2"/>
      <c r="U1751" s="2"/>
      <c r="V1751" s="2"/>
      <c r="W1751" s="45"/>
    </row>
    <row r="1752" spans="1:23" x14ac:dyDescent="0.15">
      <c r="A1752" s="1"/>
      <c r="B1752" s="1"/>
      <c r="K1752" s="36"/>
      <c r="L1752" s="10"/>
      <c r="N1752" s="33"/>
      <c r="R1752" s="2"/>
      <c r="S1752" s="2"/>
      <c r="T1752" s="2"/>
      <c r="U1752" s="2"/>
      <c r="V1752" s="2"/>
      <c r="W1752" s="45"/>
    </row>
    <row r="1753" spans="1:23" x14ac:dyDescent="0.15">
      <c r="A1753" s="1"/>
      <c r="B1753" s="1"/>
      <c r="K1753" s="36"/>
      <c r="L1753" s="10"/>
      <c r="N1753" s="33"/>
      <c r="R1753" s="2"/>
      <c r="S1753" s="2"/>
      <c r="T1753" s="2"/>
      <c r="U1753" s="2"/>
      <c r="V1753" s="2"/>
      <c r="W1753" s="45"/>
    </row>
    <row r="1754" spans="1:23" x14ac:dyDescent="0.15">
      <c r="A1754" s="1"/>
      <c r="B1754" s="1"/>
      <c r="K1754" s="36"/>
      <c r="L1754" s="10"/>
      <c r="N1754" s="33"/>
      <c r="R1754" s="2"/>
      <c r="S1754" s="2"/>
      <c r="T1754" s="2"/>
      <c r="U1754" s="2"/>
      <c r="V1754" s="2"/>
      <c r="W1754" s="45"/>
    </row>
    <row r="1755" spans="1:23" x14ac:dyDescent="0.15">
      <c r="A1755" s="1"/>
      <c r="B1755" s="1"/>
      <c r="K1755" s="36"/>
      <c r="L1755" s="10"/>
      <c r="N1755" s="33"/>
      <c r="R1755" s="2"/>
      <c r="S1755" s="2"/>
      <c r="T1755" s="2"/>
      <c r="U1755" s="2"/>
      <c r="V1755" s="2"/>
      <c r="W1755" s="45"/>
    </row>
    <row r="1756" spans="1:23" x14ac:dyDescent="0.15">
      <c r="A1756" s="1"/>
      <c r="B1756" s="1"/>
      <c r="K1756" s="36"/>
      <c r="L1756" s="10"/>
      <c r="N1756" s="33"/>
      <c r="R1756" s="2"/>
      <c r="S1756" s="2"/>
      <c r="T1756" s="2"/>
      <c r="U1756" s="2"/>
      <c r="V1756" s="2"/>
      <c r="W1756" s="45"/>
    </row>
    <row r="1757" spans="1:23" x14ac:dyDescent="0.15">
      <c r="A1757" s="1"/>
      <c r="B1757" s="1"/>
      <c r="K1757" s="36"/>
      <c r="L1757" s="10"/>
      <c r="N1757" s="33"/>
      <c r="R1757" s="2"/>
      <c r="S1757" s="2"/>
      <c r="T1757" s="2"/>
      <c r="U1757" s="2"/>
      <c r="V1757" s="2"/>
      <c r="W1757" s="45"/>
    </row>
    <row r="1758" spans="1:23" x14ac:dyDescent="0.15">
      <c r="A1758" s="1"/>
      <c r="B1758" s="1"/>
      <c r="K1758" s="36"/>
      <c r="L1758" s="10"/>
      <c r="N1758" s="33"/>
      <c r="R1758" s="2"/>
      <c r="S1758" s="2"/>
      <c r="T1758" s="2"/>
      <c r="U1758" s="2"/>
      <c r="V1758" s="2"/>
      <c r="W1758" s="45"/>
    </row>
    <row r="1759" spans="1:23" x14ac:dyDescent="0.15">
      <c r="A1759" s="1"/>
      <c r="B1759" s="1"/>
      <c r="K1759" s="36"/>
      <c r="L1759" s="10"/>
      <c r="N1759" s="33"/>
      <c r="R1759" s="2"/>
      <c r="S1759" s="2"/>
      <c r="T1759" s="2"/>
      <c r="U1759" s="2"/>
      <c r="V1759" s="2"/>
      <c r="W1759" s="45"/>
    </row>
    <row r="1760" spans="1:23" x14ac:dyDescent="0.15">
      <c r="A1760" s="1"/>
      <c r="B1760" s="1"/>
      <c r="K1760" s="36"/>
      <c r="L1760" s="10"/>
      <c r="N1760" s="33"/>
      <c r="R1760" s="2"/>
      <c r="S1760" s="2"/>
      <c r="T1760" s="2"/>
      <c r="U1760" s="2"/>
      <c r="V1760" s="2"/>
      <c r="W1760" s="45"/>
    </row>
    <row r="1761" spans="1:23" x14ac:dyDescent="0.15">
      <c r="A1761" s="1"/>
      <c r="B1761" s="1"/>
      <c r="K1761" s="36"/>
      <c r="L1761" s="10"/>
      <c r="N1761" s="33"/>
      <c r="R1761" s="2"/>
      <c r="S1761" s="2"/>
      <c r="T1761" s="2"/>
      <c r="U1761" s="2"/>
      <c r="V1761" s="2"/>
      <c r="W1761" s="45"/>
    </row>
    <row r="1762" spans="1:23" x14ac:dyDescent="0.15">
      <c r="A1762" s="1"/>
      <c r="B1762" s="1"/>
      <c r="K1762" s="36"/>
      <c r="L1762" s="10"/>
      <c r="N1762" s="33"/>
      <c r="R1762" s="2"/>
      <c r="S1762" s="2"/>
      <c r="T1762" s="2"/>
      <c r="U1762" s="2"/>
      <c r="V1762" s="2"/>
      <c r="W1762" s="45"/>
    </row>
    <row r="1763" spans="1:23" x14ac:dyDescent="0.15">
      <c r="A1763" s="1"/>
      <c r="B1763" s="1"/>
      <c r="K1763" s="36"/>
      <c r="L1763" s="10"/>
      <c r="N1763" s="33"/>
      <c r="R1763" s="2"/>
      <c r="S1763" s="2"/>
      <c r="T1763" s="2"/>
      <c r="U1763" s="2"/>
      <c r="V1763" s="2"/>
      <c r="W1763" s="45"/>
    </row>
    <row r="1764" spans="1:23" x14ac:dyDescent="0.15">
      <c r="A1764" s="1"/>
      <c r="B1764" s="1"/>
      <c r="K1764" s="36"/>
      <c r="L1764" s="10"/>
      <c r="N1764" s="33"/>
      <c r="R1764" s="2"/>
      <c r="S1764" s="2"/>
      <c r="T1764" s="2"/>
      <c r="U1764" s="2"/>
      <c r="V1764" s="2"/>
      <c r="W1764" s="45"/>
    </row>
    <row r="1765" spans="1:23" x14ac:dyDescent="0.15">
      <c r="A1765" s="1"/>
      <c r="B1765" s="1"/>
      <c r="K1765" s="36"/>
      <c r="L1765" s="10"/>
      <c r="N1765" s="33"/>
      <c r="R1765" s="2"/>
      <c r="S1765" s="2"/>
      <c r="T1765" s="2"/>
      <c r="U1765" s="2"/>
      <c r="V1765" s="2"/>
      <c r="W1765" s="45"/>
    </row>
    <row r="1766" spans="1:23" x14ac:dyDescent="0.15">
      <c r="A1766" s="1"/>
      <c r="B1766" s="1"/>
      <c r="K1766" s="36"/>
      <c r="L1766" s="10"/>
      <c r="N1766" s="33"/>
      <c r="R1766" s="2"/>
      <c r="S1766" s="2"/>
      <c r="T1766" s="2"/>
      <c r="U1766" s="2"/>
      <c r="V1766" s="2"/>
      <c r="W1766" s="45"/>
    </row>
    <row r="1767" spans="1:23" x14ac:dyDescent="0.15">
      <c r="A1767" s="1"/>
      <c r="B1767" s="1"/>
      <c r="K1767" s="36"/>
      <c r="L1767" s="10"/>
      <c r="N1767" s="33"/>
      <c r="R1767" s="2"/>
      <c r="S1767" s="2"/>
      <c r="T1767" s="2"/>
      <c r="U1767" s="2"/>
      <c r="V1767" s="2"/>
      <c r="W1767" s="45"/>
    </row>
    <row r="1768" spans="1:23" x14ac:dyDescent="0.15">
      <c r="A1768" s="1"/>
      <c r="B1768" s="1"/>
      <c r="K1768" s="36"/>
      <c r="L1768" s="10"/>
      <c r="N1768" s="33"/>
      <c r="R1768" s="2"/>
      <c r="S1768" s="2"/>
      <c r="T1768" s="2"/>
      <c r="U1768" s="2"/>
      <c r="V1768" s="2"/>
      <c r="W1768" s="45"/>
    </row>
    <row r="1769" spans="1:23" x14ac:dyDescent="0.15">
      <c r="A1769" s="1"/>
      <c r="B1769" s="1"/>
      <c r="K1769" s="36"/>
      <c r="L1769" s="10"/>
      <c r="N1769" s="33"/>
      <c r="R1769" s="2"/>
      <c r="S1769" s="2"/>
      <c r="T1769" s="2"/>
      <c r="U1769" s="2"/>
      <c r="V1769" s="2"/>
      <c r="W1769" s="45"/>
    </row>
    <row r="1770" spans="1:23" x14ac:dyDescent="0.15">
      <c r="A1770" s="1"/>
      <c r="B1770" s="1"/>
      <c r="K1770" s="36"/>
      <c r="L1770" s="10"/>
      <c r="N1770" s="33"/>
      <c r="R1770" s="2"/>
      <c r="S1770" s="2"/>
      <c r="T1770" s="2"/>
      <c r="U1770" s="2"/>
      <c r="V1770" s="2"/>
      <c r="W1770" s="45"/>
    </row>
    <row r="1771" spans="1:23" x14ac:dyDescent="0.15">
      <c r="A1771" s="1"/>
      <c r="B1771" s="1"/>
      <c r="K1771" s="36"/>
      <c r="L1771" s="10"/>
      <c r="N1771" s="33"/>
      <c r="R1771" s="2"/>
      <c r="S1771" s="2"/>
      <c r="T1771" s="2"/>
      <c r="U1771" s="2"/>
      <c r="V1771" s="2"/>
      <c r="W1771" s="45"/>
    </row>
    <row r="1772" spans="1:23" x14ac:dyDescent="0.15">
      <c r="A1772" s="1"/>
      <c r="B1772" s="1"/>
      <c r="K1772" s="36"/>
      <c r="L1772" s="10"/>
      <c r="N1772" s="33"/>
      <c r="R1772" s="2"/>
      <c r="S1772" s="2"/>
      <c r="T1772" s="2"/>
      <c r="U1772" s="2"/>
      <c r="V1772" s="2"/>
      <c r="W1772" s="45"/>
    </row>
    <row r="1773" spans="1:23" x14ac:dyDescent="0.15">
      <c r="A1773" s="1"/>
      <c r="B1773" s="1"/>
      <c r="K1773" s="36"/>
      <c r="L1773" s="10"/>
      <c r="N1773" s="33"/>
      <c r="R1773" s="2"/>
      <c r="S1773" s="2"/>
      <c r="T1773" s="2"/>
      <c r="U1773" s="2"/>
      <c r="V1773" s="2"/>
      <c r="W1773" s="45"/>
    </row>
    <row r="1774" spans="1:23" x14ac:dyDescent="0.15">
      <c r="A1774" s="1"/>
      <c r="B1774" s="1"/>
      <c r="K1774" s="36"/>
      <c r="L1774" s="10"/>
      <c r="N1774" s="33"/>
      <c r="R1774" s="2"/>
      <c r="S1774" s="2"/>
      <c r="T1774" s="2"/>
      <c r="U1774" s="2"/>
      <c r="V1774" s="2"/>
      <c r="W1774" s="45"/>
    </row>
    <row r="1775" spans="1:23" x14ac:dyDescent="0.15">
      <c r="A1775" s="1"/>
      <c r="B1775" s="1"/>
      <c r="K1775" s="36"/>
      <c r="L1775" s="10"/>
      <c r="N1775" s="33"/>
      <c r="R1775" s="2"/>
      <c r="S1775" s="2"/>
      <c r="T1775" s="2"/>
      <c r="U1775" s="2"/>
      <c r="V1775" s="2"/>
      <c r="W1775" s="45"/>
    </row>
    <row r="1776" spans="1:23" x14ac:dyDescent="0.15">
      <c r="A1776" s="1"/>
      <c r="B1776" s="1"/>
      <c r="K1776" s="36"/>
      <c r="L1776" s="10"/>
      <c r="N1776" s="33"/>
      <c r="R1776" s="2"/>
      <c r="S1776" s="2"/>
      <c r="T1776" s="2"/>
      <c r="U1776" s="2"/>
      <c r="V1776" s="2"/>
      <c r="W1776" s="45"/>
    </row>
    <row r="1777" spans="1:23" x14ac:dyDescent="0.15">
      <c r="A1777" s="1"/>
      <c r="B1777" s="1"/>
      <c r="K1777" s="36"/>
      <c r="L1777" s="10"/>
      <c r="N1777" s="33"/>
      <c r="R1777" s="2"/>
      <c r="S1777" s="2"/>
      <c r="T1777" s="2"/>
      <c r="U1777" s="2"/>
      <c r="V1777" s="2"/>
      <c r="W1777" s="45"/>
    </row>
    <row r="1778" spans="1:23" x14ac:dyDescent="0.15">
      <c r="A1778" s="1"/>
      <c r="B1778" s="1"/>
      <c r="K1778" s="36"/>
      <c r="L1778" s="10"/>
      <c r="N1778" s="33"/>
      <c r="R1778" s="2"/>
      <c r="S1778" s="2"/>
      <c r="T1778" s="2"/>
      <c r="U1778" s="2"/>
      <c r="V1778" s="2"/>
      <c r="W1778" s="45"/>
    </row>
    <row r="1779" spans="1:23" x14ac:dyDescent="0.15">
      <c r="A1779" s="1"/>
      <c r="B1779" s="1"/>
      <c r="K1779" s="36"/>
      <c r="L1779" s="10"/>
      <c r="N1779" s="33"/>
      <c r="R1779" s="2"/>
      <c r="S1779" s="2"/>
      <c r="T1779" s="2"/>
      <c r="U1779" s="2"/>
      <c r="V1779" s="2"/>
      <c r="W1779" s="45"/>
    </row>
    <row r="1780" spans="1:23" x14ac:dyDescent="0.15">
      <c r="A1780" s="1"/>
      <c r="B1780" s="1"/>
      <c r="K1780" s="36"/>
      <c r="L1780" s="10"/>
      <c r="N1780" s="33"/>
      <c r="R1780" s="2"/>
      <c r="S1780" s="2"/>
      <c r="T1780" s="2"/>
      <c r="U1780" s="2"/>
      <c r="V1780" s="2"/>
      <c r="W1780" s="45"/>
    </row>
    <row r="1781" spans="1:23" x14ac:dyDescent="0.15">
      <c r="A1781" s="1"/>
      <c r="B1781" s="1"/>
      <c r="K1781" s="36"/>
      <c r="L1781" s="10"/>
      <c r="N1781" s="33"/>
      <c r="R1781" s="2"/>
      <c r="S1781" s="2"/>
      <c r="T1781" s="2"/>
      <c r="U1781" s="2"/>
      <c r="V1781" s="2"/>
      <c r="W1781" s="45"/>
    </row>
    <row r="1782" spans="1:23" x14ac:dyDescent="0.15">
      <c r="A1782" s="1"/>
      <c r="B1782" s="1"/>
      <c r="K1782" s="36"/>
      <c r="L1782" s="10"/>
      <c r="N1782" s="33"/>
      <c r="R1782" s="2"/>
      <c r="S1782" s="2"/>
      <c r="T1782" s="2"/>
      <c r="U1782" s="2"/>
      <c r="V1782" s="2"/>
      <c r="W1782" s="45"/>
    </row>
    <row r="1783" spans="1:23" x14ac:dyDescent="0.15">
      <c r="A1783" s="1"/>
      <c r="B1783" s="1"/>
      <c r="K1783" s="36"/>
      <c r="L1783" s="10"/>
      <c r="N1783" s="33"/>
      <c r="R1783" s="2"/>
      <c r="S1783" s="2"/>
      <c r="T1783" s="2"/>
      <c r="U1783" s="2"/>
      <c r="V1783" s="2"/>
      <c r="W1783" s="45"/>
    </row>
    <row r="1784" spans="1:23" x14ac:dyDescent="0.15">
      <c r="A1784" s="1"/>
      <c r="B1784" s="1"/>
      <c r="K1784" s="36"/>
      <c r="L1784" s="10"/>
      <c r="N1784" s="33"/>
      <c r="R1784" s="2"/>
      <c r="S1784" s="2"/>
      <c r="T1784" s="2"/>
      <c r="U1784" s="2"/>
      <c r="V1784" s="2"/>
      <c r="W1784" s="45"/>
    </row>
    <row r="1785" spans="1:23" x14ac:dyDescent="0.15">
      <c r="A1785" s="1"/>
      <c r="B1785" s="1"/>
      <c r="K1785" s="36"/>
      <c r="L1785" s="10"/>
      <c r="N1785" s="33"/>
      <c r="R1785" s="2"/>
      <c r="S1785" s="2"/>
      <c r="T1785" s="2"/>
      <c r="U1785" s="2"/>
      <c r="V1785" s="2"/>
      <c r="W1785" s="45"/>
    </row>
    <row r="1786" spans="1:23" x14ac:dyDescent="0.15">
      <c r="A1786" s="1"/>
      <c r="B1786" s="1"/>
      <c r="K1786" s="36"/>
      <c r="L1786" s="10"/>
      <c r="N1786" s="33"/>
      <c r="R1786" s="2"/>
      <c r="S1786" s="2"/>
      <c r="T1786" s="2"/>
      <c r="U1786" s="2"/>
      <c r="V1786" s="2"/>
      <c r="W1786" s="45"/>
    </row>
    <row r="1787" spans="1:23" x14ac:dyDescent="0.15">
      <c r="A1787" s="1"/>
      <c r="B1787" s="1"/>
      <c r="K1787" s="36"/>
      <c r="L1787" s="10"/>
      <c r="N1787" s="33"/>
      <c r="R1787" s="2"/>
      <c r="S1787" s="2"/>
      <c r="T1787" s="2"/>
      <c r="U1787" s="2"/>
      <c r="V1787" s="2"/>
      <c r="W1787" s="45"/>
    </row>
    <row r="1788" spans="1:23" x14ac:dyDescent="0.15">
      <c r="A1788" s="1"/>
      <c r="B1788" s="1"/>
      <c r="K1788" s="36"/>
      <c r="L1788" s="10"/>
      <c r="N1788" s="33"/>
      <c r="R1788" s="2"/>
      <c r="S1788" s="2"/>
      <c r="T1788" s="2"/>
      <c r="U1788" s="2"/>
      <c r="V1788" s="2"/>
      <c r="W1788" s="45"/>
    </row>
    <row r="1789" spans="1:23" x14ac:dyDescent="0.15">
      <c r="A1789" s="1"/>
      <c r="B1789" s="1"/>
      <c r="K1789" s="36"/>
      <c r="L1789" s="10"/>
      <c r="N1789" s="33"/>
      <c r="R1789" s="2"/>
      <c r="S1789" s="2"/>
      <c r="T1789" s="2"/>
      <c r="U1789" s="2"/>
      <c r="V1789" s="2"/>
      <c r="W1789" s="45"/>
    </row>
    <row r="1790" spans="1:23" x14ac:dyDescent="0.15">
      <c r="A1790" s="1"/>
      <c r="B1790" s="1"/>
      <c r="K1790" s="36"/>
      <c r="L1790" s="10"/>
      <c r="N1790" s="33"/>
      <c r="R1790" s="2"/>
      <c r="S1790" s="2"/>
      <c r="T1790" s="2"/>
      <c r="U1790" s="2"/>
      <c r="V1790" s="2"/>
      <c r="W1790" s="45"/>
    </row>
    <row r="1791" spans="1:23" x14ac:dyDescent="0.15">
      <c r="A1791" s="1"/>
      <c r="B1791" s="1"/>
      <c r="K1791" s="36"/>
      <c r="L1791" s="10"/>
      <c r="N1791" s="33"/>
      <c r="R1791" s="2"/>
      <c r="S1791" s="2"/>
      <c r="T1791" s="2"/>
      <c r="U1791" s="2"/>
      <c r="V1791" s="2"/>
      <c r="W1791" s="45"/>
    </row>
    <row r="1792" spans="1:23" x14ac:dyDescent="0.15">
      <c r="A1792" s="1"/>
      <c r="B1792" s="1"/>
      <c r="K1792" s="36"/>
      <c r="L1792" s="10"/>
      <c r="N1792" s="33"/>
      <c r="R1792" s="2"/>
      <c r="S1792" s="2"/>
      <c r="T1792" s="2"/>
      <c r="U1792" s="2"/>
      <c r="V1792" s="2"/>
      <c r="W1792" s="45"/>
    </row>
    <row r="1793" spans="1:23" x14ac:dyDescent="0.15">
      <c r="A1793" s="1"/>
      <c r="B1793" s="1"/>
      <c r="K1793" s="36"/>
      <c r="L1793" s="10"/>
      <c r="N1793" s="33"/>
      <c r="R1793" s="2"/>
      <c r="S1793" s="2"/>
      <c r="T1793" s="2"/>
      <c r="U1793" s="2"/>
      <c r="V1793" s="2"/>
      <c r="W1793" s="45"/>
    </row>
    <row r="1794" spans="1:23" x14ac:dyDescent="0.15">
      <c r="A1794" s="1"/>
      <c r="B1794" s="1"/>
      <c r="K1794" s="36"/>
      <c r="L1794" s="10"/>
      <c r="N1794" s="33"/>
      <c r="R1794" s="2"/>
      <c r="S1794" s="2"/>
      <c r="T1794" s="2"/>
      <c r="U1794" s="2"/>
      <c r="V1794" s="2"/>
      <c r="W1794" s="45"/>
    </row>
    <row r="1795" spans="1:23" x14ac:dyDescent="0.15">
      <c r="A1795" s="1"/>
      <c r="B1795" s="1"/>
      <c r="K1795" s="36"/>
      <c r="L1795" s="10"/>
      <c r="N1795" s="33"/>
      <c r="R1795" s="2"/>
      <c r="S1795" s="2"/>
      <c r="T1795" s="2"/>
      <c r="U1795" s="2"/>
      <c r="V1795" s="2"/>
      <c r="W1795" s="45"/>
    </row>
    <row r="1796" spans="1:23" x14ac:dyDescent="0.15">
      <c r="A1796" s="1"/>
      <c r="B1796" s="1"/>
      <c r="K1796" s="36"/>
      <c r="L1796" s="10"/>
      <c r="N1796" s="33"/>
      <c r="R1796" s="2"/>
      <c r="S1796" s="2"/>
      <c r="T1796" s="2"/>
      <c r="U1796" s="2"/>
      <c r="V1796" s="2"/>
      <c r="W1796" s="45"/>
    </row>
    <row r="1797" spans="1:23" x14ac:dyDescent="0.15">
      <c r="A1797" s="1"/>
      <c r="B1797" s="1"/>
      <c r="K1797" s="36"/>
      <c r="L1797" s="10"/>
      <c r="N1797" s="33"/>
      <c r="R1797" s="2"/>
      <c r="S1797" s="2"/>
      <c r="T1797" s="2"/>
      <c r="U1797" s="2"/>
      <c r="V1797" s="2"/>
      <c r="W1797" s="45"/>
    </row>
    <row r="1798" spans="1:23" x14ac:dyDescent="0.15">
      <c r="A1798" s="1"/>
      <c r="B1798" s="1"/>
      <c r="K1798" s="36"/>
      <c r="L1798" s="10"/>
      <c r="N1798" s="33"/>
      <c r="R1798" s="2"/>
      <c r="S1798" s="2"/>
      <c r="T1798" s="2"/>
      <c r="U1798" s="2"/>
      <c r="V1798" s="2"/>
      <c r="W1798" s="45"/>
    </row>
    <row r="1799" spans="1:23" x14ac:dyDescent="0.15">
      <c r="A1799" s="1"/>
      <c r="B1799" s="1"/>
      <c r="K1799" s="36"/>
      <c r="L1799" s="10"/>
      <c r="N1799" s="33"/>
      <c r="R1799" s="2"/>
      <c r="S1799" s="2"/>
      <c r="T1799" s="2"/>
      <c r="U1799" s="2"/>
      <c r="V1799" s="2"/>
      <c r="W1799" s="45"/>
    </row>
    <row r="1800" spans="1:23" x14ac:dyDescent="0.15">
      <c r="A1800" s="1"/>
      <c r="B1800" s="1"/>
      <c r="K1800" s="36"/>
      <c r="L1800" s="10"/>
      <c r="N1800" s="33"/>
      <c r="R1800" s="2"/>
      <c r="S1800" s="2"/>
      <c r="T1800" s="2"/>
      <c r="U1800" s="2"/>
      <c r="V1800" s="2"/>
      <c r="W1800" s="45"/>
    </row>
    <row r="1801" spans="1:23" x14ac:dyDescent="0.15">
      <c r="A1801" s="1"/>
      <c r="B1801" s="1"/>
      <c r="K1801" s="36"/>
      <c r="L1801" s="10"/>
      <c r="N1801" s="33"/>
      <c r="R1801" s="2"/>
      <c r="S1801" s="2"/>
      <c r="T1801" s="2"/>
      <c r="U1801" s="2"/>
      <c r="V1801" s="2"/>
      <c r="W1801" s="45"/>
    </row>
    <row r="1802" spans="1:23" x14ac:dyDescent="0.15">
      <c r="A1802" s="1"/>
      <c r="B1802" s="1"/>
      <c r="K1802" s="36"/>
      <c r="L1802" s="10"/>
      <c r="N1802" s="33"/>
      <c r="R1802" s="2"/>
      <c r="S1802" s="2"/>
      <c r="T1802" s="2"/>
      <c r="U1802" s="2"/>
      <c r="V1802" s="2"/>
      <c r="W1802" s="45"/>
    </row>
    <row r="1803" spans="1:23" x14ac:dyDescent="0.15">
      <c r="A1803" s="1"/>
      <c r="B1803" s="1"/>
      <c r="K1803" s="36"/>
      <c r="L1803" s="10"/>
      <c r="N1803" s="33"/>
      <c r="R1803" s="2"/>
      <c r="S1803" s="2"/>
      <c r="T1803" s="2"/>
      <c r="U1803" s="2"/>
      <c r="V1803" s="2"/>
      <c r="W1803" s="45"/>
    </row>
    <row r="1804" spans="1:23" x14ac:dyDescent="0.15">
      <c r="A1804" s="1"/>
      <c r="B1804" s="1"/>
      <c r="K1804" s="36"/>
      <c r="L1804" s="10"/>
      <c r="N1804" s="33"/>
      <c r="R1804" s="2"/>
      <c r="S1804" s="2"/>
      <c r="T1804" s="2"/>
      <c r="U1804" s="2"/>
      <c r="V1804" s="2"/>
      <c r="W1804" s="45"/>
    </row>
    <row r="1805" spans="1:23" x14ac:dyDescent="0.15">
      <c r="A1805" s="1"/>
      <c r="B1805" s="1"/>
      <c r="K1805" s="36"/>
      <c r="L1805" s="10"/>
      <c r="N1805" s="33"/>
      <c r="R1805" s="2"/>
      <c r="S1805" s="2"/>
      <c r="T1805" s="2"/>
      <c r="U1805" s="2"/>
      <c r="V1805" s="2"/>
      <c r="W1805" s="45"/>
    </row>
    <row r="1806" spans="1:23" x14ac:dyDescent="0.15">
      <c r="A1806" s="1"/>
      <c r="B1806" s="1"/>
      <c r="K1806" s="36"/>
      <c r="L1806" s="10"/>
      <c r="N1806" s="33"/>
      <c r="R1806" s="2"/>
      <c r="S1806" s="2"/>
      <c r="T1806" s="2"/>
      <c r="U1806" s="2"/>
      <c r="V1806" s="2"/>
      <c r="W1806" s="45"/>
    </row>
    <row r="1807" spans="1:23" x14ac:dyDescent="0.15">
      <c r="A1807" s="1"/>
      <c r="B1807" s="1"/>
      <c r="K1807" s="36"/>
      <c r="L1807" s="10"/>
      <c r="N1807" s="33"/>
      <c r="R1807" s="2"/>
      <c r="S1807" s="2"/>
      <c r="T1807" s="2"/>
      <c r="U1807" s="2"/>
      <c r="V1807" s="2"/>
      <c r="W1807" s="45"/>
    </row>
    <row r="1808" spans="1:23" x14ac:dyDescent="0.15">
      <c r="A1808" s="1"/>
      <c r="B1808" s="1"/>
      <c r="K1808" s="36"/>
      <c r="L1808" s="10"/>
      <c r="N1808" s="33"/>
      <c r="R1808" s="2"/>
      <c r="S1808" s="2"/>
      <c r="T1808" s="2"/>
      <c r="U1808" s="2"/>
      <c r="V1808" s="2"/>
      <c r="W1808" s="45"/>
    </row>
    <row r="1809" spans="1:23" x14ac:dyDescent="0.15">
      <c r="A1809" s="1"/>
      <c r="B1809" s="1"/>
      <c r="K1809" s="36"/>
      <c r="L1809" s="10"/>
      <c r="N1809" s="33"/>
      <c r="R1809" s="2"/>
      <c r="S1809" s="2"/>
      <c r="T1809" s="2"/>
      <c r="U1809" s="2"/>
      <c r="V1809" s="2"/>
      <c r="W1809" s="45"/>
    </row>
    <row r="1810" spans="1:23" x14ac:dyDescent="0.15">
      <c r="A1810" s="1"/>
      <c r="B1810" s="1"/>
      <c r="K1810" s="36"/>
      <c r="L1810" s="10"/>
      <c r="N1810" s="33"/>
      <c r="R1810" s="2"/>
      <c r="S1810" s="2"/>
      <c r="T1810" s="2"/>
      <c r="U1810" s="2"/>
      <c r="V1810" s="2"/>
      <c r="W1810" s="45"/>
    </row>
    <row r="1811" spans="1:23" x14ac:dyDescent="0.15">
      <c r="A1811" s="1"/>
      <c r="B1811" s="1"/>
      <c r="K1811" s="36"/>
      <c r="L1811" s="10"/>
      <c r="N1811" s="33"/>
      <c r="R1811" s="2"/>
      <c r="S1811" s="2"/>
      <c r="T1811" s="2"/>
      <c r="U1811" s="2"/>
      <c r="V1811" s="2"/>
      <c r="W1811" s="45"/>
    </row>
    <row r="1812" spans="1:23" x14ac:dyDescent="0.15">
      <c r="A1812" s="1"/>
      <c r="B1812" s="1"/>
      <c r="K1812" s="36"/>
      <c r="L1812" s="10"/>
      <c r="N1812" s="33"/>
      <c r="R1812" s="2"/>
      <c r="S1812" s="2"/>
      <c r="T1812" s="2"/>
      <c r="U1812" s="2"/>
      <c r="V1812" s="2"/>
      <c r="W1812" s="45"/>
    </row>
    <row r="1813" spans="1:23" x14ac:dyDescent="0.15">
      <c r="A1813" s="1"/>
      <c r="B1813" s="1"/>
      <c r="K1813" s="36"/>
      <c r="L1813" s="10"/>
      <c r="N1813" s="33"/>
      <c r="R1813" s="2"/>
      <c r="S1813" s="2"/>
      <c r="T1813" s="2"/>
      <c r="U1813" s="2"/>
      <c r="V1813" s="2"/>
      <c r="W1813" s="45"/>
    </row>
    <row r="1814" spans="1:23" x14ac:dyDescent="0.15">
      <c r="A1814" s="1"/>
      <c r="B1814" s="1"/>
      <c r="K1814" s="36"/>
      <c r="L1814" s="10"/>
      <c r="N1814" s="33"/>
      <c r="R1814" s="2"/>
      <c r="S1814" s="2"/>
      <c r="T1814" s="2"/>
      <c r="U1814" s="2"/>
      <c r="V1814" s="2"/>
      <c r="W1814" s="45"/>
    </row>
    <row r="1815" spans="1:23" x14ac:dyDescent="0.15">
      <c r="A1815" s="1"/>
      <c r="B1815" s="1"/>
      <c r="K1815" s="36"/>
      <c r="L1815" s="10"/>
      <c r="N1815" s="33"/>
      <c r="R1815" s="2"/>
      <c r="S1815" s="2"/>
      <c r="T1815" s="2"/>
      <c r="U1815" s="2"/>
      <c r="V1815" s="2"/>
      <c r="W1815" s="45"/>
    </row>
    <row r="1816" spans="1:23" x14ac:dyDescent="0.15">
      <c r="A1816" s="1"/>
      <c r="B1816" s="1"/>
      <c r="K1816" s="36"/>
      <c r="L1816" s="10"/>
      <c r="N1816" s="33"/>
      <c r="R1816" s="2"/>
      <c r="S1816" s="2"/>
      <c r="T1816" s="2"/>
      <c r="U1816" s="2"/>
      <c r="V1816" s="2"/>
      <c r="W1816" s="45"/>
    </row>
    <row r="1817" spans="1:23" x14ac:dyDescent="0.15">
      <c r="A1817" s="1"/>
      <c r="B1817" s="1"/>
      <c r="K1817" s="36"/>
      <c r="L1817" s="10"/>
      <c r="N1817" s="33"/>
      <c r="R1817" s="2"/>
      <c r="S1817" s="2"/>
      <c r="T1817" s="2"/>
      <c r="U1817" s="2"/>
      <c r="V1817" s="2"/>
      <c r="W1817" s="45"/>
    </row>
    <row r="1818" spans="1:23" x14ac:dyDescent="0.15">
      <c r="A1818" s="1"/>
      <c r="B1818" s="1"/>
      <c r="K1818" s="36"/>
      <c r="L1818" s="10"/>
      <c r="N1818" s="33"/>
      <c r="R1818" s="2"/>
      <c r="S1818" s="2"/>
      <c r="T1818" s="2"/>
      <c r="U1818" s="2"/>
      <c r="V1818" s="2"/>
      <c r="W1818" s="45"/>
    </row>
    <row r="1819" spans="1:23" x14ac:dyDescent="0.15">
      <c r="A1819" s="1"/>
      <c r="B1819" s="1"/>
      <c r="K1819" s="36"/>
      <c r="L1819" s="10"/>
      <c r="N1819" s="33"/>
      <c r="R1819" s="2"/>
      <c r="S1819" s="2"/>
      <c r="T1819" s="2"/>
      <c r="U1819" s="2"/>
      <c r="V1819" s="2"/>
      <c r="W1819" s="45"/>
    </row>
    <row r="1820" spans="1:23" x14ac:dyDescent="0.15">
      <c r="A1820" s="1"/>
      <c r="B1820" s="1"/>
      <c r="K1820" s="36"/>
      <c r="L1820" s="10"/>
      <c r="N1820" s="33"/>
      <c r="R1820" s="2"/>
      <c r="S1820" s="2"/>
      <c r="T1820" s="2"/>
      <c r="U1820" s="2"/>
      <c r="V1820" s="2"/>
      <c r="W1820" s="45"/>
    </row>
    <row r="1821" spans="1:23" x14ac:dyDescent="0.15">
      <c r="A1821" s="1"/>
      <c r="B1821" s="1"/>
      <c r="K1821" s="36"/>
      <c r="L1821" s="10"/>
      <c r="N1821" s="33"/>
      <c r="R1821" s="2"/>
      <c r="S1821" s="2"/>
      <c r="T1821" s="2"/>
      <c r="U1821" s="2"/>
      <c r="V1821" s="2"/>
      <c r="W1821" s="45"/>
    </row>
    <row r="1822" spans="1:23" x14ac:dyDescent="0.15">
      <c r="A1822" s="1"/>
      <c r="B1822" s="1"/>
      <c r="K1822" s="36"/>
      <c r="L1822" s="10"/>
      <c r="N1822" s="33"/>
      <c r="R1822" s="2"/>
      <c r="S1822" s="2"/>
      <c r="T1822" s="2"/>
      <c r="U1822" s="2"/>
      <c r="V1822" s="2"/>
      <c r="W1822" s="45"/>
    </row>
    <row r="1823" spans="1:23" x14ac:dyDescent="0.15">
      <c r="A1823" s="1"/>
      <c r="B1823" s="1"/>
      <c r="K1823" s="36"/>
      <c r="L1823" s="10"/>
      <c r="N1823" s="33"/>
      <c r="R1823" s="2"/>
      <c r="S1823" s="2"/>
      <c r="T1823" s="2"/>
      <c r="U1823" s="2"/>
      <c r="V1823" s="2"/>
      <c r="W1823" s="45"/>
    </row>
    <row r="1824" spans="1:23" x14ac:dyDescent="0.15">
      <c r="A1824" s="1"/>
      <c r="B1824" s="1"/>
      <c r="K1824" s="36"/>
      <c r="L1824" s="10"/>
      <c r="N1824" s="33"/>
      <c r="R1824" s="2"/>
      <c r="S1824" s="2"/>
      <c r="T1824" s="2"/>
      <c r="U1824" s="2"/>
      <c r="V1824" s="2"/>
      <c r="W1824" s="45"/>
    </row>
    <row r="1825" spans="1:23" x14ac:dyDescent="0.15">
      <c r="A1825" s="1"/>
      <c r="B1825" s="1"/>
      <c r="K1825" s="36"/>
      <c r="L1825" s="10"/>
      <c r="N1825" s="33"/>
      <c r="R1825" s="2"/>
      <c r="S1825" s="2"/>
      <c r="T1825" s="2"/>
      <c r="U1825" s="2"/>
      <c r="V1825" s="2"/>
      <c r="W1825" s="45"/>
    </row>
    <row r="1826" spans="1:23" x14ac:dyDescent="0.15">
      <c r="A1826" s="1"/>
      <c r="B1826" s="1"/>
      <c r="K1826" s="36"/>
      <c r="L1826" s="10"/>
      <c r="N1826" s="33"/>
      <c r="R1826" s="2"/>
      <c r="S1826" s="2"/>
      <c r="T1826" s="2"/>
      <c r="U1826" s="2"/>
      <c r="V1826" s="2"/>
      <c r="W1826" s="45"/>
    </row>
    <row r="1827" spans="1:23" x14ac:dyDescent="0.15">
      <c r="A1827" s="1"/>
      <c r="B1827" s="1"/>
      <c r="K1827" s="36"/>
      <c r="L1827" s="10"/>
      <c r="N1827" s="33"/>
      <c r="R1827" s="2"/>
      <c r="S1827" s="2"/>
      <c r="T1827" s="2"/>
      <c r="U1827" s="2"/>
      <c r="V1827" s="2"/>
      <c r="W1827" s="45"/>
    </row>
    <row r="1828" spans="1:23" x14ac:dyDescent="0.15">
      <c r="A1828" s="1"/>
      <c r="B1828" s="1"/>
      <c r="K1828" s="36"/>
      <c r="L1828" s="10"/>
      <c r="N1828" s="33"/>
      <c r="R1828" s="2"/>
      <c r="S1828" s="2"/>
      <c r="T1828" s="2"/>
      <c r="U1828" s="2"/>
      <c r="V1828" s="2"/>
      <c r="W1828" s="45"/>
    </row>
    <row r="1829" spans="1:23" x14ac:dyDescent="0.15">
      <c r="A1829" s="1"/>
      <c r="B1829" s="1"/>
      <c r="K1829" s="36"/>
      <c r="L1829" s="10"/>
      <c r="N1829" s="33"/>
      <c r="R1829" s="2"/>
      <c r="S1829" s="2"/>
      <c r="T1829" s="2"/>
      <c r="U1829" s="2"/>
      <c r="V1829" s="2"/>
      <c r="W1829" s="45"/>
    </row>
    <row r="1830" spans="1:23" x14ac:dyDescent="0.15">
      <c r="A1830" s="1"/>
      <c r="B1830" s="1"/>
      <c r="K1830" s="36"/>
      <c r="L1830" s="10"/>
      <c r="N1830" s="33"/>
      <c r="R1830" s="2"/>
      <c r="S1830" s="2"/>
      <c r="T1830" s="2"/>
      <c r="U1830" s="2"/>
      <c r="V1830" s="2"/>
      <c r="W1830" s="45"/>
    </row>
    <row r="1831" spans="1:23" x14ac:dyDescent="0.15">
      <c r="A1831" s="1"/>
      <c r="B1831" s="1"/>
      <c r="K1831" s="36"/>
      <c r="L1831" s="10"/>
      <c r="N1831" s="33"/>
      <c r="R1831" s="2"/>
      <c r="S1831" s="2"/>
      <c r="T1831" s="2"/>
      <c r="U1831" s="2"/>
      <c r="V1831" s="2"/>
      <c r="W1831" s="45"/>
    </row>
    <row r="1832" spans="1:23" x14ac:dyDescent="0.15">
      <c r="A1832" s="1"/>
      <c r="B1832" s="1"/>
      <c r="K1832" s="36"/>
      <c r="L1832" s="10"/>
      <c r="N1832" s="33"/>
      <c r="R1832" s="2"/>
      <c r="S1832" s="2"/>
      <c r="T1832" s="2"/>
      <c r="U1832" s="2"/>
      <c r="V1832" s="2"/>
      <c r="W1832" s="45"/>
    </row>
    <row r="1833" spans="1:23" x14ac:dyDescent="0.15">
      <c r="A1833" s="1"/>
      <c r="B1833" s="1"/>
      <c r="K1833" s="36"/>
      <c r="L1833" s="10"/>
      <c r="N1833" s="33"/>
      <c r="R1833" s="2"/>
      <c r="S1833" s="2"/>
      <c r="T1833" s="2"/>
      <c r="U1833" s="2"/>
      <c r="V1833" s="2"/>
      <c r="W1833" s="45"/>
    </row>
    <row r="1834" spans="1:23" x14ac:dyDescent="0.15">
      <c r="A1834" s="1"/>
      <c r="B1834" s="1"/>
      <c r="K1834" s="36"/>
      <c r="L1834" s="10"/>
      <c r="N1834" s="33"/>
      <c r="R1834" s="2"/>
      <c r="S1834" s="2"/>
      <c r="T1834" s="2"/>
      <c r="U1834" s="2"/>
      <c r="V1834" s="2"/>
      <c r="W1834" s="45"/>
    </row>
    <row r="1835" spans="1:23" x14ac:dyDescent="0.15">
      <c r="A1835" s="1"/>
      <c r="B1835" s="1"/>
      <c r="K1835" s="36"/>
      <c r="L1835" s="10"/>
      <c r="N1835" s="33"/>
      <c r="R1835" s="2"/>
      <c r="S1835" s="2"/>
      <c r="T1835" s="2"/>
      <c r="U1835" s="2"/>
      <c r="V1835" s="2"/>
      <c r="W1835" s="45"/>
    </row>
    <row r="1836" spans="1:23" x14ac:dyDescent="0.15">
      <c r="A1836" s="1"/>
      <c r="B1836" s="1"/>
      <c r="K1836" s="36"/>
      <c r="L1836" s="10"/>
      <c r="N1836" s="33"/>
      <c r="R1836" s="2"/>
      <c r="S1836" s="2"/>
      <c r="T1836" s="2"/>
      <c r="U1836" s="2"/>
      <c r="V1836" s="2"/>
      <c r="W1836" s="45"/>
    </row>
    <row r="1837" spans="1:23" x14ac:dyDescent="0.15">
      <c r="A1837" s="1"/>
      <c r="B1837" s="1"/>
      <c r="K1837" s="36"/>
      <c r="L1837" s="10"/>
      <c r="N1837" s="33"/>
      <c r="R1837" s="2"/>
      <c r="S1837" s="2"/>
      <c r="T1837" s="2"/>
      <c r="U1837" s="2"/>
      <c r="V1837" s="2"/>
      <c r="W1837" s="45"/>
    </row>
    <row r="1838" spans="1:23" x14ac:dyDescent="0.15">
      <c r="A1838" s="1"/>
      <c r="B1838" s="1"/>
      <c r="K1838" s="36"/>
      <c r="L1838" s="10"/>
      <c r="N1838" s="33"/>
      <c r="R1838" s="2"/>
      <c r="S1838" s="2"/>
      <c r="T1838" s="2"/>
      <c r="U1838" s="2"/>
      <c r="V1838" s="2"/>
      <c r="W1838" s="45"/>
    </row>
    <row r="1839" spans="1:23" x14ac:dyDescent="0.15">
      <c r="A1839" s="1"/>
      <c r="B1839" s="1"/>
      <c r="K1839" s="36"/>
      <c r="L1839" s="10"/>
      <c r="N1839" s="33"/>
      <c r="R1839" s="2"/>
      <c r="S1839" s="2"/>
      <c r="T1839" s="2"/>
      <c r="U1839" s="2"/>
      <c r="V1839" s="2"/>
      <c r="W1839" s="45"/>
    </row>
    <row r="1840" spans="1:23" x14ac:dyDescent="0.15">
      <c r="A1840" s="1"/>
      <c r="B1840" s="1"/>
      <c r="K1840" s="36"/>
      <c r="L1840" s="10"/>
      <c r="N1840" s="33"/>
      <c r="R1840" s="2"/>
      <c r="S1840" s="2"/>
      <c r="T1840" s="2"/>
      <c r="U1840" s="2"/>
      <c r="V1840" s="2"/>
      <c r="W1840" s="45"/>
    </row>
    <row r="1841" spans="1:23" x14ac:dyDescent="0.15">
      <c r="A1841" s="1"/>
      <c r="B1841" s="1"/>
      <c r="K1841" s="36"/>
      <c r="L1841" s="10"/>
      <c r="N1841" s="33"/>
      <c r="R1841" s="2"/>
      <c r="S1841" s="2"/>
      <c r="T1841" s="2"/>
      <c r="U1841" s="2"/>
      <c r="V1841" s="2"/>
      <c r="W1841" s="45"/>
    </row>
    <row r="1842" spans="1:23" x14ac:dyDescent="0.15">
      <c r="A1842" s="1"/>
      <c r="B1842" s="1"/>
      <c r="K1842" s="36"/>
      <c r="L1842" s="10"/>
      <c r="N1842" s="33"/>
      <c r="R1842" s="2"/>
      <c r="S1842" s="2"/>
      <c r="T1842" s="2"/>
      <c r="U1842" s="2"/>
      <c r="V1842" s="2"/>
      <c r="W1842" s="45"/>
    </row>
    <row r="1843" spans="1:23" x14ac:dyDescent="0.15">
      <c r="A1843" s="1"/>
      <c r="B1843" s="1"/>
      <c r="K1843" s="36"/>
      <c r="L1843" s="10"/>
      <c r="N1843" s="33"/>
      <c r="R1843" s="2"/>
      <c r="S1843" s="2"/>
      <c r="T1843" s="2"/>
      <c r="U1843" s="2"/>
      <c r="V1843" s="2"/>
      <c r="W1843" s="45"/>
    </row>
    <row r="1844" spans="1:23" x14ac:dyDescent="0.15">
      <c r="A1844" s="1"/>
      <c r="B1844" s="1"/>
      <c r="K1844" s="36"/>
      <c r="L1844" s="10"/>
      <c r="N1844" s="33"/>
      <c r="R1844" s="2"/>
      <c r="S1844" s="2"/>
      <c r="T1844" s="2"/>
      <c r="U1844" s="2"/>
      <c r="V1844" s="2"/>
      <c r="W1844" s="45"/>
    </row>
    <row r="1845" spans="1:23" x14ac:dyDescent="0.15">
      <c r="A1845" s="1"/>
      <c r="B1845" s="1"/>
      <c r="K1845" s="36"/>
      <c r="L1845" s="10"/>
      <c r="N1845" s="33"/>
      <c r="R1845" s="2"/>
      <c r="S1845" s="2"/>
      <c r="T1845" s="2"/>
      <c r="U1845" s="2"/>
      <c r="V1845" s="2"/>
      <c r="W1845" s="45"/>
    </row>
    <row r="1846" spans="1:23" x14ac:dyDescent="0.15">
      <c r="A1846" s="1"/>
      <c r="B1846" s="1"/>
      <c r="K1846" s="36"/>
      <c r="L1846" s="10"/>
      <c r="N1846" s="33"/>
      <c r="R1846" s="2"/>
      <c r="S1846" s="2"/>
      <c r="T1846" s="2"/>
      <c r="U1846" s="2"/>
      <c r="V1846" s="2"/>
      <c r="W1846" s="45"/>
    </row>
    <row r="1847" spans="1:23" x14ac:dyDescent="0.15">
      <c r="A1847" s="1"/>
      <c r="B1847" s="1"/>
      <c r="K1847" s="36"/>
      <c r="L1847" s="10"/>
      <c r="N1847" s="33"/>
      <c r="R1847" s="2"/>
      <c r="S1847" s="2"/>
      <c r="T1847" s="2"/>
      <c r="U1847" s="2"/>
      <c r="V1847" s="2"/>
      <c r="W1847" s="45"/>
    </row>
    <row r="1848" spans="1:23" x14ac:dyDescent="0.15">
      <c r="A1848" s="1"/>
      <c r="B1848" s="1"/>
      <c r="K1848" s="36"/>
      <c r="L1848" s="10"/>
      <c r="N1848" s="33"/>
      <c r="R1848" s="2"/>
      <c r="S1848" s="2"/>
      <c r="T1848" s="2"/>
      <c r="U1848" s="2"/>
      <c r="V1848" s="2"/>
      <c r="W1848" s="45"/>
    </row>
    <row r="1849" spans="1:23" x14ac:dyDescent="0.15">
      <c r="A1849" s="1"/>
      <c r="B1849" s="1"/>
      <c r="K1849" s="36"/>
      <c r="L1849" s="10"/>
      <c r="N1849" s="33"/>
      <c r="R1849" s="2"/>
      <c r="S1849" s="2"/>
      <c r="T1849" s="2"/>
      <c r="U1849" s="2"/>
      <c r="V1849" s="2"/>
      <c r="W1849" s="45"/>
    </row>
    <row r="1850" spans="1:23" x14ac:dyDescent="0.15">
      <c r="A1850" s="1"/>
      <c r="B1850" s="1"/>
      <c r="K1850" s="36"/>
      <c r="L1850" s="10"/>
      <c r="N1850" s="33"/>
      <c r="R1850" s="2"/>
      <c r="S1850" s="2"/>
      <c r="T1850" s="2"/>
      <c r="U1850" s="2"/>
      <c r="V1850" s="2"/>
      <c r="W1850" s="45"/>
    </row>
    <row r="1851" spans="1:23" x14ac:dyDescent="0.15">
      <c r="A1851" s="1"/>
      <c r="B1851" s="1"/>
      <c r="K1851" s="36"/>
      <c r="L1851" s="10"/>
      <c r="N1851" s="33"/>
      <c r="R1851" s="2"/>
      <c r="S1851" s="2"/>
      <c r="T1851" s="2"/>
      <c r="U1851" s="2"/>
      <c r="V1851" s="2"/>
      <c r="W1851" s="45"/>
    </row>
    <row r="1852" spans="1:23" x14ac:dyDescent="0.15">
      <c r="A1852" s="1"/>
      <c r="B1852" s="1"/>
      <c r="K1852" s="36"/>
      <c r="L1852" s="10"/>
      <c r="N1852" s="33"/>
      <c r="R1852" s="2"/>
      <c r="S1852" s="2"/>
      <c r="T1852" s="2"/>
      <c r="U1852" s="2"/>
      <c r="V1852" s="2"/>
      <c r="W1852" s="45"/>
    </row>
    <row r="1853" spans="1:23" x14ac:dyDescent="0.15">
      <c r="A1853" s="1"/>
      <c r="B1853" s="1"/>
      <c r="K1853" s="36"/>
      <c r="L1853" s="10"/>
      <c r="N1853" s="33"/>
      <c r="R1853" s="2"/>
      <c r="S1853" s="2"/>
      <c r="T1853" s="2"/>
      <c r="U1853" s="2"/>
      <c r="V1853" s="2"/>
      <c r="W1853" s="45"/>
    </row>
    <row r="1854" spans="1:23" x14ac:dyDescent="0.15">
      <c r="A1854" s="1"/>
      <c r="B1854" s="1"/>
      <c r="K1854" s="36"/>
      <c r="L1854" s="10"/>
      <c r="N1854" s="33"/>
      <c r="R1854" s="2"/>
      <c r="S1854" s="2"/>
      <c r="T1854" s="2"/>
      <c r="U1854" s="2"/>
      <c r="V1854" s="2"/>
      <c r="W1854" s="45"/>
    </row>
    <row r="1855" spans="1:23" x14ac:dyDescent="0.15">
      <c r="A1855" s="1"/>
      <c r="B1855" s="1"/>
      <c r="K1855" s="36"/>
      <c r="L1855" s="10"/>
      <c r="N1855" s="33"/>
      <c r="R1855" s="2"/>
      <c r="S1855" s="2"/>
      <c r="T1855" s="2"/>
      <c r="U1855" s="2"/>
      <c r="V1855" s="2"/>
      <c r="W1855" s="45"/>
    </row>
    <row r="1856" spans="1:23" x14ac:dyDescent="0.15">
      <c r="A1856" s="1"/>
      <c r="B1856" s="1"/>
      <c r="K1856" s="36"/>
      <c r="L1856" s="10"/>
      <c r="N1856" s="33"/>
      <c r="R1856" s="2"/>
      <c r="S1856" s="2"/>
      <c r="T1856" s="2"/>
      <c r="U1856" s="2"/>
      <c r="V1856" s="2"/>
      <c r="W1856" s="45"/>
    </row>
    <row r="1857" spans="1:23" x14ac:dyDescent="0.15">
      <c r="A1857" s="1"/>
      <c r="B1857" s="1"/>
      <c r="K1857" s="36"/>
      <c r="L1857" s="10"/>
      <c r="N1857" s="33"/>
      <c r="R1857" s="2"/>
      <c r="S1857" s="2"/>
      <c r="T1857" s="2"/>
      <c r="U1857" s="2"/>
      <c r="V1857" s="2"/>
      <c r="W1857" s="45"/>
    </row>
    <row r="1858" spans="1:23" x14ac:dyDescent="0.15">
      <c r="A1858" s="1"/>
      <c r="B1858" s="1"/>
      <c r="K1858" s="36"/>
      <c r="L1858" s="10"/>
      <c r="N1858" s="33"/>
      <c r="R1858" s="2"/>
      <c r="S1858" s="2"/>
      <c r="T1858" s="2"/>
      <c r="U1858" s="2"/>
      <c r="V1858" s="2"/>
      <c r="W1858" s="45"/>
    </row>
    <row r="1859" spans="1:23" x14ac:dyDescent="0.15">
      <c r="A1859" s="1"/>
      <c r="B1859" s="1"/>
      <c r="K1859" s="36"/>
      <c r="L1859" s="10"/>
      <c r="N1859" s="33"/>
      <c r="R1859" s="2"/>
      <c r="S1859" s="2"/>
      <c r="T1859" s="2"/>
      <c r="U1859" s="2"/>
      <c r="V1859" s="2"/>
      <c r="W1859" s="45"/>
    </row>
    <row r="1860" spans="1:23" x14ac:dyDescent="0.15">
      <c r="A1860" s="1"/>
      <c r="B1860" s="1"/>
      <c r="K1860" s="36"/>
      <c r="L1860" s="10"/>
      <c r="N1860" s="33"/>
      <c r="R1860" s="2"/>
      <c r="S1860" s="2"/>
      <c r="T1860" s="2"/>
      <c r="U1860" s="2"/>
      <c r="V1860" s="2"/>
      <c r="W1860" s="45"/>
    </row>
    <row r="1861" spans="1:23" x14ac:dyDescent="0.15">
      <c r="A1861" s="1"/>
      <c r="B1861" s="1"/>
      <c r="K1861" s="36"/>
      <c r="L1861" s="10"/>
      <c r="N1861" s="33"/>
      <c r="R1861" s="2"/>
      <c r="S1861" s="2"/>
      <c r="T1861" s="2"/>
      <c r="U1861" s="2"/>
      <c r="V1861" s="2"/>
      <c r="W1861" s="45"/>
    </row>
    <row r="1862" spans="1:23" x14ac:dyDescent="0.15">
      <c r="A1862" s="1"/>
      <c r="B1862" s="1"/>
      <c r="K1862" s="36"/>
      <c r="L1862" s="10"/>
      <c r="N1862" s="33"/>
      <c r="R1862" s="2"/>
      <c r="S1862" s="2"/>
      <c r="T1862" s="2"/>
      <c r="U1862" s="2"/>
      <c r="V1862" s="2"/>
      <c r="W1862" s="45"/>
    </row>
    <row r="1863" spans="1:23" x14ac:dyDescent="0.15">
      <c r="A1863" s="1"/>
      <c r="B1863" s="1"/>
      <c r="K1863" s="36"/>
      <c r="L1863" s="10"/>
      <c r="N1863" s="33"/>
      <c r="R1863" s="2"/>
      <c r="S1863" s="2"/>
      <c r="T1863" s="2"/>
      <c r="U1863" s="2"/>
      <c r="V1863" s="2"/>
      <c r="W1863" s="45"/>
    </row>
    <row r="1864" spans="1:23" x14ac:dyDescent="0.15">
      <c r="A1864" s="1"/>
      <c r="B1864" s="1"/>
      <c r="K1864" s="36"/>
      <c r="L1864" s="10"/>
      <c r="N1864" s="33"/>
      <c r="R1864" s="2"/>
      <c r="S1864" s="2"/>
      <c r="T1864" s="2"/>
      <c r="U1864" s="2"/>
      <c r="V1864" s="2"/>
      <c r="W1864" s="45"/>
    </row>
    <row r="1865" spans="1:23" x14ac:dyDescent="0.15">
      <c r="A1865" s="1"/>
      <c r="B1865" s="1"/>
      <c r="K1865" s="36"/>
      <c r="L1865" s="10"/>
      <c r="N1865" s="33"/>
      <c r="R1865" s="2"/>
      <c r="S1865" s="2"/>
      <c r="T1865" s="2"/>
      <c r="U1865" s="2"/>
      <c r="V1865" s="2"/>
      <c r="W1865" s="45"/>
    </row>
    <row r="1866" spans="1:23" x14ac:dyDescent="0.15">
      <c r="A1866" s="1"/>
      <c r="B1866" s="1"/>
      <c r="K1866" s="36"/>
      <c r="L1866" s="10"/>
      <c r="N1866" s="33"/>
      <c r="R1866" s="2"/>
      <c r="S1866" s="2"/>
      <c r="T1866" s="2"/>
      <c r="U1866" s="2"/>
      <c r="V1866" s="2"/>
      <c r="W1866" s="45"/>
    </row>
    <row r="1867" spans="1:23" x14ac:dyDescent="0.15">
      <c r="A1867" s="1"/>
      <c r="B1867" s="1"/>
      <c r="K1867" s="36"/>
      <c r="L1867" s="10"/>
      <c r="N1867" s="33"/>
      <c r="R1867" s="2"/>
      <c r="S1867" s="2"/>
      <c r="T1867" s="2"/>
      <c r="U1867" s="2"/>
      <c r="V1867" s="2"/>
      <c r="W1867" s="45"/>
    </row>
    <row r="1868" spans="1:23" x14ac:dyDescent="0.15">
      <c r="A1868" s="1"/>
      <c r="B1868" s="1"/>
      <c r="K1868" s="36"/>
      <c r="L1868" s="10"/>
      <c r="N1868" s="33"/>
      <c r="R1868" s="2"/>
      <c r="S1868" s="2"/>
      <c r="T1868" s="2"/>
      <c r="U1868" s="2"/>
      <c r="V1868" s="2"/>
      <c r="W1868" s="45"/>
    </row>
    <row r="1869" spans="1:23" x14ac:dyDescent="0.15">
      <c r="A1869" s="1"/>
      <c r="B1869" s="1"/>
      <c r="K1869" s="36"/>
      <c r="L1869" s="10"/>
      <c r="N1869" s="33"/>
      <c r="R1869" s="2"/>
      <c r="S1869" s="2"/>
      <c r="T1869" s="2"/>
      <c r="U1869" s="2"/>
      <c r="V1869" s="2"/>
      <c r="W1869" s="45"/>
    </row>
    <row r="1870" spans="1:23" x14ac:dyDescent="0.15">
      <c r="A1870" s="1"/>
      <c r="B1870" s="1"/>
      <c r="K1870" s="36"/>
      <c r="L1870" s="10"/>
      <c r="N1870" s="33"/>
      <c r="R1870" s="2"/>
      <c r="S1870" s="2"/>
      <c r="T1870" s="2"/>
      <c r="U1870" s="2"/>
      <c r="V1870" s="2"/>
      <c r="W1870" s="45"/>
    </row>
    <row r="1871" spans="1:23" x14ac:dyDescent="0.15">
      <c r="A1871" s="1"/>
      <c r="B1871" s="1"/>
      <c r="K1871" s="36"/>
      <c r="L1871" s="10"/>
      <c r="N1871" s="33"/>
      <c r="R1871" s="2"/>
      <c r="S1871" s="2"/>
      <c r="T1871" s="2"/>
      <c r="U1871" s="2"/>
      <c r="V1871" s="2"/>
      <c r="W1871" s="45"/>
    </row>
    <row r="1872" spans="1:23" x14ac:dyDescent="0.15">
      <c r="A1872" s="1"/>
      <c r="B1872" s="1"/>
      <c r="K1872" s="36"/>
      <c r="L1872" s="10"/>
      <c r="N1872" s="33"/>
      <c r="R1872" s="2"/>
      <c r="S1872" s="2"/>
      <c r="T1872" s="2"/>
      <c r="U1872" s="2"/>
      <c r="V1872" s="2"/>
      <c r="W1872" s="45"/>
    </row>
    <row r="1873" spans="1:23" x14ac:dyDescent="0.15">
      <c r="A1873" s="1"/>
      <c r="B1873" s="1"/>
      <c r="K1873" s="36"/>
      <c r="L1873" s="10"/>
      <c r="N1873" s="33"/>
      <c r="R1873" s="2"/>
      <c r="S1873" s="2"/>
      <c r="T1873" s="2"/>
      <c r="U1873" s="2"/>
      <c r="V1873" s="2"/>
      <c r="W1873" s="45"/>
    </row>
    <row r="1874" spans="1:23" x14ac:dyDescent="0.15">
      <c r="A1874" s="1"/>
      <c r="B1874" s="1"/>
      <c r="K1874" s="36"/>
      <c r="L1874" s="10"/>
      <c r="N1874" s="33"/>
      <c r="R1874" s="2"/>
      <c r="S1874" s="2"/>
      <c r="T1874" s="2"/>
      <c r="U1874" s="2"/>
      <c r="V1874" s="2"/>
      <c r="W1874" s="45"/>
    </row>
    <row r="1875" spans="1:23" x14ac:dyDescent="0.15">
      <c r="A1875" s="1"/>
      <c r="B1875" s="1"/>
      <c r="K1875" s="36"/>
      <c r="L1875" s="10"/>
      <c r="N1875" s="33"/>
      <c r="R1875" s="2"/>
      <c r="S1875" s="2"/>
      <c r="T1875" s="2"/>
      <c r="U1875" s="2"/>
      <c r="V1875" s="2"/>
      <c r="W1875" s="45"/>
    </row>
    <row r="1876" spans="1:23" x14ac:dyDescent="0.15">
      <c r="A1876" s="1"/>
      <c r="B1876" s="1"/>
      <c r="K1876" s="36"/>
      <c r="L1876" s="10"/>
      <c r="N1876" s="33"/>
      <c r="R1876" s="2"/>
      <c r="S1876" s="2"/>
      <c r="T1876" s="2"/>
      <c r="U1876" s="2"/>
      <c r="V1876" s="2"/>
      <c r="W1876" s="45"/>
    </row>
    <row r="1877" spans="1:23" x14ac:dyDescent="0.15">
      <c r="A1877" s="1"/>
      <c r="B1877" s="1"/>
      <c r="K1877" s="36"/>
      <c r="L1877" s="10"/>
      <c r="N1877" s="33"/>
      <c r="R1877" s="2"/>
      <c r="S1877" s="2"/>
      <c r="T1877" s="2"/>
      <c r="U1877" s="2"/>
      <c r="V1877" s="2"/>
      <c r="W1877" s="45"/>
    </row>
    <row r="1878" spans="1:23" x14ac:dyDescent="0.15">
      <c r="A1878" s="1"/>
      <c r="B1878" s="1"/>
      <c r="K1878" s="36"/>
      <c r="L1878" s="10"/>
      <c r="N1878" s="33"/>
      <c r="R1878" s="2"/>
      <c r="S1878" s="2"/>
      <c r="T1878" s="2"/>
      <c r="U1878" s="2"/>
      <c r="V1878" s="2"/>
      <c r="W1878" s="45"/>
    </row>
    <row r="1879" spans="1:23" x14ac:dyDescent="0.15">
      <c r="A1879" s="1"/>
      <c r="B1879" s="1"/>
      <c r="K1879" s="36"/>
      <c r="L1879" s="10"/>
      <c r="N1879" s="33"/>
      <c r="R1879" s="2"/>
      <c r="S1879" s="2"/>
      <c r="T1879" s="2"/>
      <c r="U1879" s="2"/>
      <c r="V1879" s="2"/>
      <c r="W1879" s="45"/>
    </row>
    <row r="1880" spans="1:23" x14ac:dyDescent="0.15">
      <c r="A1880" s="1"/>
      <c r="B1880" s="1"/>
      <c r="K1880" s="36"/>
      <c r="L1880" s="10"/>
      <c r="N1880" s="33"/>
      <c r="R1880" s="2"/>
      <c r="S1880" s="2"/>
      <c r="T1880" s="2"/>
      <c r="U1880" s="2"/>
      <c r="V1880" s="2"/>
      <c r="W1880" s="45"/>
    </row>
    <row r="1881" spans="1:23" x14ac:dyDescent="0.15">
      <c r="A1881" s="1"/>
      <c r="B1881" s="1"/>
      <c r="K1881" s="36"/>
      <c r="L1881" s="10"/>
      <c r="N1881" s="33"/>
      <c r="R1881" s="2"/>
      <c r="S1881" s="2"/>
      <c r="T1881" s="2"/>
      <c r="U1881" s="2"/>
      <c r="V1881" s="2"/>
      <c r="W1881" s="45"/>
    </row>
    <row r="1882" spans="1:23" x14ac:dyDescent="0.15">
      <c r="A1882" s="1"/>
      <c r="B1882" s="1"/>
      <c r="K1882" s="36"/>
      <c r="L1882" s="10"/>
      <c r="N1882" s="33"/>
      <c r="R1882" s="2"/>
      <c r="S1882" s="2"/>
      <c r="T1882" s="2"/>
      <c r="U1882" s="2"/>
      <c r="V1882" s="2"/>
      <c r="W1882" s="45"/>
    </row>
    <row r="1883" spans="1:23" x14ac:dyDescent="0.15">
      <c r="A1883" s="1"/>
      <c r="B1883" s="1"/>
      <c r="K1883" s="36"/>
      <c r="L1883" s="10"/>
      <c r="N1883" s="33"/>
      <c r="R1883" s="2"/>
      <c r="S1883" s="2"/>
      <c r="T1883" s="2"/>
      <c r="U1883" s="2"/>
      <c r="V1883" s="2"/>
      <c r="W1883" s="45"/>
    </row>
    <row r="1884" spans="1:23" x14ac:dyDescent="0.15">
      <c r="A1884" s="1"/>
      <c r="B1884" s="1"/>
      <c r="K1884" s="36"/>
      <c r="L1884" s="10"/>
      <c r="N1884" s="33"/>
      <c r="R1884" s="2"/>
      <c r="S1884" s="2"/>
      <c r="T1884" s="2"/>
      <c r="U1884" s="2"/>
      <c r="V1884" s="2"/>
      <c r="W1884" s="45"/>
    </row>
    <row r="1885" spans="1:23" x14ac:dyDescent="0.15">
      <c r="A1885" s="1"/>
      <c r="B1885" s="1"/>
      <c r="K1885" s="36"/>
      <c r="L1885" s="10"/>
      <c r="N1885" s="33"/>
      <c r="R1885" s="2"/>
      <c r="S1885" s="2"/>
      <c r="T1885" s="2"/>
      <c r="U1885" s="2"/>
      <c r="V1885" s="2"/>
      <c r="W1885" s="45"/>
    </row>
    <row r="1886" spans="1:23" x14ac:dyDescent="0.15">
      <c r="A1886" s="1"/>
      <c r="B1886" s="1"/>
      <c r="K1886" s="36"/>
      <c r="L1886" s="10"/>
      <c r="N1886" s="33"/>
      <c r="R1886" s="2"/>
      <c r="S1886" s="2"/>
      <c r="T1886" s="2"/>
      <c r="U1886" s="2"/>
      <c r="V1886" s="2"/>
      <c r="W1886" s="45"/>
    </row>
    <row r="1887" spans="1:23" x14ac:dyDescent="0.15">
      <c r="A1887" s="1"/>
      <c r="B1887" s="1"/>
      <c r="K1887" s="36"/>
      <c r="L1887" s="10"/>
      <c r="N1887" s="33"/>
      <c r="R1887" s="2"/>
      <c r="S1887" s="2"/>
      <c r="T1887" s="2"/>
      <c r="U1887" s="2"/>
      <c r="V1887" s="2"/>
      <c r="W1887" s="45"/>
    </row>
    <row r="1888" spans="1:23" x14ac:dyDescent="0.15">
      <c r="A1888" s="1"/>
      <c r="B1888" s="1"/>
      <c r="K1888" s="36"/>
      <c r="L1888" s="10"/>
      <c r="N1888" s="33"/>
      <c r="R1888" s="2"/>
      <c r="S1888" s="2"/>
      <c r="T1888" s="2"/>
      <c r="U1888" s="2"/>
      <c r="V1888" s="2"/>
      <c r="W1888" s="45"/>
    </row>
    <row r="1889" spans="1:23" x14ac:dyDescent="0.15">
      <c r="A1889" s="1"/>
      <c r="B1889" s="1"/>
      <c r="K1889" s="36"/>
      <c r="L1889" s="10"/>
      <c r="N1889" s="33"/>
      <c r="R1889" s="2"/>
      <c r="S1889" s="2"/>
      <c r="T1889" s="2"/>
      <c r="U1889" s="2"/>
      <c r="V1889" s="2"/>
      <c r="W1889" s="45"/>
    </row>
    <row r="1890" spans="1:23" x14ac:dyDescent="0.15">
      <c r="A1890" s="1"/>
      <c r="B1890" s="1"/>
      <c r="K1890" s="36"/>
      <c r="L1890" s="10"/>
      <c r="N1890" s="33"/>
      <c r="R1890" s="2"/>
      <c r="S1890" s="2"/>
      <c r="T1890" s="2"/>
      <c r="U1890" s="2"/>
      <c r="V1890" s="2"/>
      <c r="W1890" s="45"/>
    </row>
    <row r="1891" spans="1:23" x14ac:dyDescent="0.15">
      <c r="A1891" s="1"/>
      <c r="B1891" s="1"/>
      <c r="K1891" s="36"/>
      <c r="L1891" s="10"/>
      <c r="N1891" s="33"/>
      <c r="R1891" s="2"/>
      <c r="S1891" s="2"/>
      <c r="T1891" s="2"/>
      <c r="U1891" s="2"/>
      <c r="V1891" s="2"/>
      <c r="W1891" s="45"/>
    </row>
    <row r="1892" spans="1:23" x14ac:dyDescent="0.15">
      <c r="A1892" s="1"/>
      <c r="B1892" s="1"/>
      <c r="K1892" s="36"/>
      <c r="L1892" s="10"/>
      <c r="N1892" s="33"/>
      <c r="R1892" s="2"/>
      <c r="S1892" s="2"/>
      <c r="T1892" s="2"/>
      <c r="U1892" s="2"/>
      <c r="V1892" s="2"/>
      <c r="W1892" s="45"/>
    </row>
    <row r="1893" spans="1:23" x14ac:dyDescent="0.15">
      <c r="A1893" s="1"/>
      <c r="B1893" s="1"/>
      <c r="K1893" s="36"/>
      <c r="L1893" s="10"/>
      <c r="N1893" s="33"/>
      <c r="R1893" s="2"/>
      <c r="S1893" s="2"/>
      <c r="T1893" s="2"/>
      <c r="U1893" s="2"/>
      <c r="V1893" s="2"/>
      <c r="W1893" s="45"/>
    </row>
    <row r="1894" spans="1:23" x14ac:dyDescent="0.15">
      <c r="A1894" s="1"/>
      <c r="B1894" s="1"/>
      <c r="K1894" s="36"/>
      <c r="L1894" s="10"/>
      <c r="N1894" s="33"/>
      <c r="R1894" s="2"/>
      <c r="S1894" s="2"/>
      <c r="T1894" s="2"/>
      <c r="U1894" s="2"/>
      <c r="V1894" s="2"/>
      <c r="W1894" s="45"/>
    </row>
    <row r="1895" spans="1:23" x14ac:dyDescent="0.15">
      <c r="A1895" s="1"/>
      <c r="B1895" s="1"/>
      <c r="K1895" s="36"/>
      <c r="L1895" s="10"/>
      <c r="N1895" s="33"/>
      <c r="R1895" s="2"/>
      <c r="S1895" s="2"/>
      <c r="T1895" s="2"/>
      <c r="U1895" s="2"/>
      <c r="V1895" s="2"/>
      <c r="W1895" s="45"/>
    </row>
    <row r="1896" spans="1:23" x14ac:dyDescent="0.15">
      <c r="A1896" s="1"/>
      <c r="B1896" s="1"/>
      <c r="K1896" s="36"/>
      <c r="L1896" s="10"/>
      <c r="N1896" s="33"/>
      <c r="R1896" s="2"/>
      <c r="S1896" s="2"/>
      <c r="T1896" s="2"/>
      <c r="U1896" s="2"/>
      <c r="V1896" s="2"/>
      <c r="W1896" s="45"/>
    </row>
    <row r="1897" spans="1:23" x14ac:dyDescent="0.15">
      <c r="A1897" s="1"/>
      <c r="B1897" s="1"/>
      <c r="K1897" s="36"/>
      <c r="L1897" s="10"/>
      <c r="N1897" s="33"/>
      <c r="R1897" s="2"/>
      <c r="S1897" s="2"/>
      <c r="T1897" s="2"/>
      <c r="U1897" s="2"/>
      <c r="V1897" s="2"/>
      <c r="W1897" s="45"/>
    </row>
    <row r="1898" spans="1:23" x14ac:dyDescent="0.15">
      <c r="A1898" s="1"/>
      <c r="B1898" s="1"/>
      <c r="K1898" s="36"/>
      <c r="L1898" s="10"/>
      <c r="N1898" s="33"/>
      <c r="R1898" s="2"/>
      <c r="S1898" s="2"/>
      <c r="T1898" s="2"/>
      <c r="U1898" s="2"/>
      <c r="V1898" s="2"/>
      <c r="W1898" s="45"/>
    </row>
    <row r="1899" spans="1:23" x14ac:dyDescent="0.15">
      <c r="A1899" s="1"/>
      <c r="B1899" s="1"/>
      <c r="K1899" s="36"/>
      <c r="L1899" s="10"/>
      <c r="N1899" s="33"/>
      <c r="R1899" s="2"/>
      <c r="S1899" s="2"/>
      <c r="T1899" s="2"/>
      <c r="U1899" s="2"/>
      <c r="V1899" s="2"/>
      <c r="W1899" s="45"/>
    </row>
    <row r="1900" spans="1:23" x14ac:dyDescent="0.15">
      <c r="A1900" s="1"/>
      <c r="B1900" s="1"/>
      <c r="K1900" s="36"/>
      <c r="L1900" s="10"/>
      <c r="N1900" s="33"/>
      <c r="R1900" s="2"/>
      <c r="S1900" s="2"/>
      <c r="T1900" s="2"/>
      <c r="U1900" s="2"/>
      <c r="V1900" s="2"/>
      <c r="W1900" s="45"/>
    </row>
    <row r="1901" spans="1:23" x14ac:dyDescent="0.15">
      <c r="A1901" s="1"/>
      <c r="B1901" s="1"/>
      <c r="K1901" s="36"/>
      <c r="L1901" s="10"/>
      <c r="N1901" s="33"/>
      <c r="R1901" s="2"/>
      <c r="S1901" s="2"/>
      <c r="T1901" s="2"/>
      <c r="U1901" s="2"/>
      <c r="V1901" s="2"/>
      <c r="W1901" s="45"/>
    </row>
    <row r="1902" spans="1:23" x14ac:dyDescent="0.15">
      <c r="A1902" s="1"/>
      <c r="B1902" s="1"/>
      <c r="K1902" s="36"/>
      <c r="L1902" s="10"/>
      <c r="N1902" s="33"/>
      <c r="R1902" s="2"/>
      <c r="S1902" s="2"/>
      <c r="T1902" s="2"/>
      <c r="U1902" s="2"/>
      <c r="V1902" s="2"/>
      <c r="W1902" s="45"/>
    </row>
    <row r="1903" spans="1:23" x14ac:dyDescent="0.15">
      <c r="A1903" s="1"/>
      <c r="B1903" s="1"/>
      <c r="K1903" s="36"/>
      <c r="L1903" s="10"/>
      <c r="N1903" s="33"/>
      <c r="R1903" s="2"/>
      <c r="S1903" s="2"/>
      <c r="T1903" s="2"/>
      <c r="U1903" s="2"/>
      <c r="V1903" s="2"/>
      <c r="W1903" s="45"/>
    </row>
    <row r="1904" spans="1:23" x14ac:dyDescent="0.15">
      <c r="A1904" s="1"/>
      <c r="B1904" s="1"/>
      <c r="K1904" s="36"/>
      <c r="L1904" s="10"/>
      <c r="N1904" s="33"/>
      <c r="R1904" s="2"/>
      <c r="S1904" s="2"/>
      <c r="T1904" s="2"/>
      <c r="U1904" s="2"/>
      <c r="V1904" s="2"/>
      <c r="W1904" s="45"/>
    </row>
    <row r="1905" spans="1:23" x14ac:dyDescent="0.15">
      <c r="A1905" s="1"/>
      <c r="B1905" s="1"/>
      <c r="K1905" s="36"/>
      <c r="L1905" s="10"/>
      <c r="N1905" s="33"/>
      <c r="R1905" s="2"/>
      <c r="S1905" s="2"/>
      <c r="T1905" s="2"/>
      <c r="U1905" s="2"/>
      <c r="V1905" s="2"/>
      <c r="W1905" s="45"/>
    </row>
    <row r="1906" spans="1:23" x14ac:dyDescent="0.15">
      <c r="A1906" s="1"/>
      <c r="B1906" s="1"/>
      <c r="K1906" s="36"/>
      <c r="L1906" s="10"/>
      <c r="N1906" s="33"/>
      <c r="R1906" s="2"/>
      <c r="S1906" s="2"/>
      <c r="T1906" s="2"/>
      <c r="U1906" s="2"/>
      <c r="V1906" s="2"/>
      <c r="W1906" s="45"/>
    </row>
    <row r="1907" spans="1:23" x14ac:dyDescent="0.15">
      <c r="A1907" s="1"/>
      <c r="B1907" s="1"/>
      <c r="K1907" s="36"/>
      <c r="L1907" s="10"/>
      <c r="N1907" s="33"/>
      <c r="R1907" s="2"/>
      <c r="S1907" s="2"/>
      <c r="T1907" s="2"/>
      <c r="U1907" s="2"/>
      <c r="V1907" s="2"/>
      <c r="W1907" s="45"/>
    </row>
    <row r="1908" spans="1:23" x14ac:dyDescent="0.15">
      <c r="A1908" s="1"/>
      <c r="B1908" s="1"/>
      <c r="K1908" s="36"/>
      <c r="L1908" s="10"/>
      <c r="N1908" s="33"/>
      <c r="R1908" s="2"/>
      <c r="S1908" s="2"/>
      <c r="T1908" s="2"/>
      <c r="U1908" s="2"/>
      <c r="V1908" s="2"/>
      <c r="W1908" s="45"/>
    </row>
    <row r="1909" spans="1:23" x14ac:dyDescent="0.15">
      <c r="A1909" s="1"/>
      <c r="B1909" s="1"/>
      <c r="K1909" s="36"/>
      <c r="L1909" s="10"/>
      <c r="N1909" s="33"/>
      <c r="R1909" s="2"/>
      <c r="S1909" s="2"/>
      <c r="T1909" s="2"/>
      <c r="U1909" s="2"/>
      <c r="V1909" s="2"/>
      <c r="W1909" s="45"/>
    </row>
    <row r="1910" spans="1:23" x14ac:dyDescent="0.15">
      <c r="A1910" s="1"/>
      <c r="B1910" s="1"/>
      <c r="K1910" s="36"/>
      <c r="L1910" s="10"/>
      <c r="N1910" s="33"/>
      <c r="R1910" s="2"/>
      <c r="S1910" s="2"/>
      <c r="T1910" s="2"/>
      <c r="U1910" s="2"/>
      <c r="V1910" s="2"/>
      <c r="W1910" s="45"/>
    </row>
    <row r="1911" spans="1:23" x14ac:dyDescent="0.15">
      <c r="A1911" s="1"/>
      <c r="B1911" s="1"/>
      <c r="K1911" s="36"/>
      <c r="L1911" s="10"/>
      <c r="N1911" s="33"/>
      <c r="R1911" s="2"/>
      <c r="S1911" s="2"/>
      <c r="T1911" s="2"/>
      <c r="U1911" s="2"/>
      <c r="V1911" s="2"/>
      <c r="W1911" s="45"/>
    </row>
    <row r="1912" spans="1:23" x14ac:dyDescent="0.15">
      <c r="A1912" s="1"/>
      <c r="B1912" s="1"/>
      <c r="K1912" s="36"/>
      <c r="L1912" s="10"/>
      <c r="N1912" s="33"/>
      <c r="R1912" s="2"/>
      <c r="S1912" s="2"/>
      <c r="T1912" s="2"/>
      <c r="U1912" s="2"/>
      <c r="V1912" s="2"/>
      <c r="W1912" s="45"/>
    </row>
    <row r="1913" spans="1:23" x14ac:dyDescent="0.15">
      <c r="A1913" s="1"/>
      <c r="B1913" s="1"/>
      <c r="K1913" s="36"/>
      <c r="L1913" s="10"/>
      <c r="N1913" s="33"/>
      <c r="R1913" s="2"/>
      <c r="S1913" s="2"/>
      <c r="T1913" s="2"/>
      <c r="U1913" s="2"/>
      <c r="V1913" s="2"/>
      <c r="W1913" s="45"/>
    </row>
    <row r="1914" spans="1:23" x14ac:dyDescent="0.15">
      <c r="A1914" s="1"/>
      <c r="B1914" s="1"/>
      <c r="K1914" s="36"/>
      <c r="L1914" s="10"/>
      <c r="N1914" s="33"/>
      <c r="R1914" s="2"/>
      <c r="S1914" s="2"/>
      <c r="T1914" s="2"/>
      <c r="U1914" s="2"/>
      <c r="V1914" s="2"/>
      <c r="W1914" s="45"/>
    </row>
    <row r="1915" spans="1:23" x14ac:dyDescent="0.15">
      <c r="A1915" s="1"/>
      <c r="B1915" s="1"/>
      <c r="K1915" s="36"/>
      <c r="L1915" s="10"/>
      <c r="N1915" s="33"/>
      <c r="R1915" s="2"/>
      <c r="S1915" s="2"/>
      <c r="T1915" s="2"/>
      <c r="U1915" s="2"/>
      <c r="V1915" s="2"/>
      <c r="W1915" s="45"/>
    </row>
    <row r="1916" spans="1:23" x14ac:dyDescent="0.15">
      <c r="A1916" s="1"/>
      <c r="B1916" s="1"/>
      <c r="K1916" s="36"/>
      <c r="L1916" s="10"/>
      <c r="N1916" s="33"/>
      <c r="R1916" s="2"/>
      <c r="S1916" s="2"/>
      <c r="T1916" s="2"/>
      <c r="U1916" s="2"/>
      <c r="V1916" s="2"/>
      <c r="W1916" s="45"/>
    </row>
    <row r="1917" spans="1:23" x14ac:dyDescent="0.15">
      <c r="A1917" s="1"/>
      <c r="B1917" s="1"/>
      <c r="K1917" s="36"/>
      <c r="L1917" s="10"/>
      <c r="N1917" s="33"/>
      <c r="R1917" s="2"/>
      <c r="S1917" s="2"/>
      <c r="T1917" s="2"/>
      <c r="U1917" s="2"/>
      <c r="V1917" s="2"/>
      <c r="W1917" s="45"/>
    </row>
    <row r="1918" spans="1:23" x14ac:dyDescent="0.15">
      <c r="A1918" s="1"/>
      <c r="B1918" s="1"/>
      <c r="K1918" s="36"/>
      <c r="L1918" s="10"/>
      <c r="N1918" s="33"/>
      <c r="R1918" s="2"/>
      <c r="S1918" s="2"/>
      <c r="T1918" s="2"/>
      <c r="U1918" s="2"/>
      <c r="V1918" s="2"/>
      <c r="W1918" s="45"/>
    </row>
    <row r="1919" spans="1:23" x14ac:dyDescent="0.15">
      <c r="A1919" s="1"/>
      <c r="B1919" s="1"/>
      <c r="K1919" s="36"/>
      <c r="L1919" s="10"/>
      <c r="N1919" s="33"/>
      <c r="R1919" s="2"/>
      <c r="S1919" s="2"/>
      <c r="T1919" s="2"/>
      <c r="U1919" s="2"/>
      <c r="V1919" s="2"/>
      <c r="W1919" s="45"/>
    </row>
    <row r="1920" spans="1:23" x14ac:dyDescent="0.15">
      <c r="A1920" s="1"/>
      <c r="B1920" s="1"/>
      <c r="K1920" s="36"/>
      <c r="L1920" s="10"/>
      <c r="N1920" s="33"/>
      <c r="R1920" s="2"/>
      <c r="S1920" s="2"/>
      <c r="T1920" s="2"/>
      <c r="U1920" s="2"/>
      <c r="V1920" s="2"/>
      <c r="W1920" s="45"/>
    </row>
    <row r="1921" spans="1:23" x14ac:dyDescent="0.15">
      <c r="A1921" s="1"/>
      <c r="B1921" s="1"/>
      <c r="K1921" s="36"/>
      <c r="L1921" s="10"/>
      <c r="N1921" s="33"/>
      <c r="R1921" s="2"/>
      <c r="S1921" s="2"/>
      <c r="T1921" s="2"/>
      <c r="U1921" s="2"/>
      <c r="V1921" s="2"/>
      <c r="W1921" s="45"/>
    </row>
    <row r="1922" spans="1:23" x14ac:dyDescent="0.15">
      <c r="A1922" s="1"/>
      <c r="B1922" s="1"/>
      <c r="K1922" s="36"/>
      <c r="L1922" s="10"/>
      <c r="N1922" s="33"/>
      <c r="R1922" s="2"/>
      <c r="S1922" s="2"/>
      <c r="T1922" s="2"/>
      <c r="U1922" s="2"/>
      <c r="V1922" s="2"/>
      <c r="W1922" s="45"/>
    </row>
    <row r="1923" spans="1:23" x14ac:dyDescent="0.15">
      <c r="A1923" s="1"/>
      <c r="B1923" s="1"/>
      <c r="K1923" s="36"/>
      <c r="L1923" s="10"/>
      <c r="N1923" s="33"/>
      <c r="R1923" s="2"/>
      <c r="S1923" s="2"/>
      <c r="T1923" s="2"/>
      <c r="U1923" s="2"/>
      <c r="V1923" s="2"/>
      <c r="W1923" s="45"/>
    </row>
    <row r="1924" spans="1:23" x14ac:dyDescent="0.15">
      <c r="A1924" s="1"/>
      <c r="B1924" s="1"/>
      <c r="K1924" s="36"/>
      <c r="L1924" s="10"/>
      <c r="N1924" s="33"/>
      <c r="R1924" s="2"/>
      <c r="S1924" s="2"/>
      <c r="T1924" s="2"/>
      <c r="U1924" s="2"/>
      <c r="V1924" s="2"/>
      <c r="W1924" s="45"/>
    </row>
    <row r="1925" spans="1:23" x14ac:dyDescent="0.15">
      <c r="A1925" s="1"/>
      <c r="B1925" s="1"/>
      <c r="K1925" s="36"/>
      <c r="L1925" s="10"/>
      <c r="N1925" s="33"/>
      <c r="R1925" s="2"/>
      <c r="S1925" s="2"/>
      <c r="T1925" s="2"/>
      <c r="U1925" s="2"/>
      <c r="V1925" s="2"/>
      <c r="W1925" s="45"/>
    </row>
    <row r="1926" spans="1:23" x14ac:dyDescent="0.15">
      <c r="A1926" s="1"/>
      <c r="B1926" s="1"/>
      <c r="K1926" s="36"/>
      <c r="L1926" s="10"/>
      <c r="N1926" s="33"/>
      <c r="R1926" s="2"/>
      <c r="S1926" s="2"/>
      <c r="T1926" s="2"/>
      <c r="U1926" s="2"/>
      <c r="V1926" s="2"/>
      <c r="W1926" s="45"/>
    </row>
    <row r="1927" spans="1:23" x14ac:dyDescent="0.15">
      <c r="A1927" s="1"/>
      <c r="B1927" s="1"/>
      <c r="K1927" s="36"/>
      <c r="L1927" s="10"/>
      <c r="N1927" s="33"/>
      <c r="R1927" s="2"/>
      <c r="S1927" s="2"/>
      <c r="T1927" s="2"/>
      <c r="U1927" s="2"/>
      <c r="V1927" s="2"/>
      <c r="W1927" s="45"/>
    </row>
    <row r="1928" spans="1:23" x14ac:dyDescent="0.15">
      <c r="A1928" s="1"/>
      <c r="B1928" s="1"/>
      <c r="K1928" s="36"/>
      <c r="L1928" s="10"/>
      <c r="N1928" s="33"/>
      <c r="R1928" s="2"/>
      <c r="S1928" s="2"/>
      <c r="T1928" s="2"/>
      <c r="U1928" s="2"/>
      <c r="V1928" s="2"/>
      <c r="W1928" s="45"/>
    </row>
    <row r="1929" spans="1:23" x14ac:dyDescent="0.15">
      <c r="A1929" s="1"/>
      <c r="B1929" s="1"/>
      <c r="K1929" s="36"/>
      <c r="L1929" s="10"/>
      <c r="N1929" s="33"/>
      <c r="R1929" s="2"/>
      <c r="S1929" s="2"/>
      <c r="T1929" s="2"/>
      <c r="U1929" s="2"/>
      <c r="V1929" s="2"/>
      <c r="W1929" s="45"/>
    </row>
    <row r="1930" spans="1:23" x14ac:dyDescent="0.15">
      <c r="A1930" s="1"/>
      <c r="B1930" s="1"/>
      <c r="K1930" s="36"/>
      <c r="L1930" s="10"/>
      <c r="N1930" s="33"/>
      <c r="R1930" s="2"/>
      <c r="S1930" s="2"/>
      <c r="T1930" s="2"/>
      <c r="U1930" s="2"/>
      <c r="V1930" s="2"/>
      <c r="W1930" s="45"/>
    </row>
    <row r="1931" spans="1:23" x14ac:dyDescent="0.15">
      <c r="A1931" s="1"/>
      <c r="B1931" s="1"/>
      <c r="K1931" s="36"/>
      <c r="L1931" s="10"/>
      <c r="N1931" s="33"/>
      <c r="R1931" s="2"/>
      <c r="S1931" s="2"/>
      <c r="T1931" s="2"/>
      <c r="U1931" s="2"/>
      <c r="V1931" s="2"/>
      <c r="W1931" s="45"/>
    </row>
    <row r="1932" spans="1:23" x14ac:dyDescent="0.15">
      <c r="A1932" s="1"/>
      <c r="B1932" s="1"/>
      <c r="K1932" s="36"/>
      <c r="L1932" s="10"/>
      <c r="N1932" s="33"/>
      <c r="R1932" s="2"/>
      <c r="S1932" s="2"/>
      <c r="T1932" s="2"/>
      <c r="U1932" s="2"/>
      <c r="V1932" s="2"/>
      <c r="W1932" s="45"/>
    </row>
    <row r="1933" spans="1:23" x14ac:dyDescent="0.15">
      <c r="A1933" s="1"/>
      <c r="B1933" s="1"/>
      <c r="K1933" s="36"/>
      <c r="L1933" s="10"/>
      <c r="N1933" s="33"/>
      <c r="R1933" s="2"/>
      <c r="S1933" s="2"/>
      <c r="T1933" s="2"/>
      <c r="U1933" s="2"/>
      <c r="V1933" s="2"/>
      <c r="W1933" s="45"/>
    </row>
    <row r="1934" spans="1:23" x14ac:dyDescent="0.15">
      <c r="A1934" s="1"/>
      <c r="B1934" s="1"/>
      <c r="K1934" s="36"/>
      <c r="L1934" s="10"/>
      <c r="N1934" s="33"/>
      <c r="R1934" s="2"/>
      <c r="S1934" s="2"/>
      <c r="T1934" s="2"/>
      <c r="U1934" s="2"/>
      <c r="V1934" s="2"/>
      <c r="W1934" s="45"/>
    </row>
    <row r="1935" spans="1:23" x14ac:dyDescent="0.15">
      <c r="A1935" s="1"/>
      <c r="B1935" s="1"/>
      <c r="K1935" s="36"/>
      <c r="L1935" s="10"/>
      <c r="N1935" s="33"/>
      <c r="R1935" s="2"/>
      <c r="S1935" s="2"/>
      <c r="T1935" s="2"/>
      <c r="U1935" s="2"/>
      <c r="V1935" s="2"/>
      <c r="W1935" s="45"/>
    </row>
    <row r="1936" spans="1:23" x14ac:dyDescent="0.15">
      <c r="A1936" s="1"/>
      <c r="B1936" s="1"/>
      <c r="K1936" s="36"/>
      <c r="L1936" s="10"/>
      <c r="N1936" s="33"/>
      <c r="R1936" s="2"/>
      <c r="S1936" s="2"/>
      <c r="T1936" s="2"/>
      <c r="U1936" s="2"/>
      <c r="V1936" s="2"/>
      <c r="W1936" s="45"/>
    </row>
    <row r="1937" spans="1:23" x14ac:dyDescent="0.15">
      <c r="A1937" s="1"/>
      <c r="B1937" s="1"/>
      <c r="K1937" s="36"/>
      <c r="L1937" s="10"/>
      <c r="N1937" s="33"/>
      <c r="R1937" s="2"/>
      <c r="S1937" s="2"/>
      <c r="T1937" s="2"/>
      <c r="U1937" s="2"/>
      <c r="V1937" s="2"/>
      <c r="W1937" s="45"/>
    </row>
    <row r="1938" spans="1:23" x14ac:dyDescent="0.15">
      <c r="A1938" s="1"/>
      <c r="B1938" s="1"/>
      <c r="K1938" s="36"/>
      <c r="L1938" s="10"/>
      <c r="N1938" s="33"/>
      <c r="R1938" s="2"/>
      <c r="S1938" s="2"/>
      <c r="T1938" s="2"/>
      <c r="U1938" s="2"/>
      <c r="V1938" s="2"/>
      <c r="W1938" s="45"/>
    </row>
    <row r="1939" spans="1:23" x14ac:dyDescent="0.15">
      <c r="A1939" s="1"/>
      <c r="B1939" s="1"/>
      <c r="K1939" s="36"/>
      <c r="L1939" s="10"/>
      <c r="N1939" s="33"/>
      <c r="R1939" s="2"/>
      <c r="S1939" s="2"/>
      <c r="T1939" s="2"/>
      <c r="U1939" s="2"/>
      <c r="V1939" s="2"/>
      <c r="W1939" s="45"/>
    </row>
    <row r="1940" spans="1:23" x14ac:dyDescent="0.15">
      <c r="A1940" s="1"/>
      <c r="B1940" s="1"/>
      <c r="K1940" s="36"/>
      <c r="L1940" s="10"/>
      <c r="N1940" s="33"/>
      <c r="R1940" s="2"/>
      <c r="S1940" s="2"/>
      <c r="T1940" s="2"/>
      <c r="U1940" s="2"/>
      <c r="V1940" s="2"/>
      <c r="W1940" s="45"/>
    </row>
    <row r="1941" spans="1:23" x14ac:dyDescent="0.15">
      <c r="A1941" s="1"/>
      <c r="B1941" s="1"/>
      <c r="K1941" s="36"/>
      <c r="L1941" s="10"/>
      <c r="N1941" s="33"/>
      <c r="R1941" s="2"/>
      <c r="S1941" s="2"/>
      <c r="T1941" s="2"/>
      <c r="U1941" s="2"/>
      <c r="V1941" s="2"/>
      <c r="W1941" s="45"/>
    </row>
    <row r="1942" spans="1:23" x14ac:dyDescent="0.15">
      <c r="A1942" s="1"/>
      <c r="B1942" s="1"/>
      <c r="K1942" s="36"/>
      <c r="L1942" s="10"/>
      <c r="N1942" s="33"/>
      <c r="R1942" s="2"/>
      <c r="S1942" s="2"/>
      <c r="T1942" s="2"/>
      <c r="U1942" s="2"/>
      <c r="V1942" s="2"/>
      <c r="W1942" s="45"/>
    </row>
    <row r="1943" spans="1:23" x14ac:dyDescent="0.15">
      <c r="A1943" s="1"/>
      <c r="B1943" s="1"/>
      <c r="K1943" s="36"/>
      <c r="L1943" s="10"/>
      <c r="N1943" s="33"/>
      <c r="R1943" s="2"/>
      <c r="S1943" s="2"/>
      <c r="T1943" s="2"/>
      <c r="U1943" s="2"/>
      <c r="V1943" s="2"/>
      <c r="W1943" s="45"/>
    </row>
    <row r="1944" spans="1:23" x14ac:dyDescent="0.15">
      <c r="A1944" s="1"/>
      <c r="B1944" s="1"/>
      <c r="K1944" s="36"/>
      <c r="L1944" s="10"/>
      <c r="N1944" s="33"/>
      <c r="R1944" s="2"/>
      <c r="S1944" s="2"/>
      <c r="T1944" s="2"/>
      <c r="U1944" s="2"/>
      <c r="V1944" s="2"/>
      <c r="W1944" s="45"/>
    </row>
    <row r="1945" spans="1:23" x14ac:dyDescent="0.15">
      <c r="A1945" s="1"/>
      <c r="B1945" s="1"/>
      <c r="K1945" s="36"/>
      <c r="L1945" s="10"/>
      <c r="N1945" s="33"/>
      <c r="R1945" s="2"/>
      <c r="S1945" s="2"/>
      <c r="T1945" s="2"/>
      <c r="U1945" s="2"/>
      <c r="V1945" s="2"/>
      <c r="W1945" s="45"/>
    </row>
    <row r="1946" spans="1:23" x14ac:dyDescent="0.15">
      <c r="A1946" s="1"/>
      <c r="B1946" s="1"/>
      <c r="K1946" s="36"/>
      <c r="L1946" s="10"/>
      <c r="N1946" s="33"/>
      <c r="R1946" s="2"/>
      <c r="S1946" s="2"/>
      <c r="T1946" s="2"/>
      <c r="U1946" s="2"/>
      <c r="V1946" s="2"/>
      <c r="W1946" s="45"/>
    </row>
    <row r="1947" spans="1:23" x14ac:dyDescent="0.15">
      <c r="A1947" s="1"/>
      <c r="B1947" s="1"/>
      <c r="K1947" s="36"/>
      <c r="L1947" s="10"/>
      <c r="N1947" s="33"/>
      <c r="R1947" s="2"/>
      <c r="S1947" s="2"/>
      <c r="T1947" s="2"/>
      <c r="U1947" s="2"/>
      <c r="V1947" s="2"/>
      <c r="W1947" s="45"/>
    </row>
    <row r="1948" spans="1:23" x14ac:dyDescent="0.15">
      <c r="A1948" s="1"/>
      <c r="B1948" s="1"/>
      <c r="K1948" s="36"/>
      <c r="L1948" s="10"/>
      <c r="N1948" s="33"/>
      <c r="R1948" s="2"/>
      <c r="S1948" s="2"/>
      <c r="T1948" s="2"/>
      <c r="U1948" s="2"/>
      <c r="V1948" s="2"/>
      <c r="W1948" s="45"/>
    </row>
    <row r="1949" spans="1:23" x14ac:dyDescent="0.15">
      <c r="A1949" s="1"/>
      <c r="B1949" s="1"/>
      <c r="K1949" s="36"/>
      <c r="L1949" s="10"/>
      <c r="N1949" s="33"/>
      <c r="R1949" s="2"/>
      <c r="S1949" s="2"/>
      <c r="T1949" s="2"/>
      <c r="U1949" s="2"/>
      <c r="V1949" s="2"/>
      <c r="W1949" s="45"/>
    </row>
    <row r="1950" spans="1:23" x14ac:dyDescent="0.15">
      <c r="A1950" s="1"/>
      <c r="B1950" s="1"/>
      <c r="K1950" s="36"/>
      <c r="L1950" s="10"/>
      <c r="N1950" s="33"/>
      <c r="R1950" s="2"/>
      <c r="S1950" s="2"/>
      <c r="T1950" s="2"/>
      <c r="U1950" s="2"/>
      <c r="V1950" s="2"/>
      <c r="W1950" s="45"/>
    </row>
    <row r="1951" spans="1:23" x14ac:dyDescent="0.15">
      <c r="A1951" s="1"/>
      <c r="B1951" s="1"/>
      <c r="K1951" s="36"/>
      <c r="L1951" s="10"/>
      <c r="N1951" s="33"/>
      <c r="R1951" s="2"/>
      <c r="S1951" s="2"/>
      <c r="T1951" s="2"/>
      <c r="U1951" s="2"/>
      <c r="V1951" s="2"/>
      <c r="W1951" s="45"/>
    </row>
    <row r="1952" spans="1:23" x14ac:dyDescent="0.15">
      <c r="A1952" s="1"/>
      <c r="B1952" s="1"/>
      <c r="K1952" s="36"/>
      <c r="L1952" s="10"/>
      <c r="N1952" s="33"/>
      <c r="R1952" s="2"/>
      <c r="S1952" s="2"/>
      <c r="T1952" s="2"/>
      <c r="U1952" s="2"/>
      <c r="V1952" s="2"/>
      <c r="W1952" s="45"/>
    </row>
    <row r="1953" spans="1:23" x14ac:dyDescent="0.15">
      <c r="A1953" s="1"/>
      <c r="B1953" s="1"/>
      <c r="K1953" s="36"/>
      <c r="L1953" s="10"/>
      <c r="N1953" s="33"/>
      <c r="R1953" s="2"/>
      <c r="S1953" s="2"/>
      <c r="T1953" s="2"/>
      <c r="U1953" s="2"/>
      <c r="V1953" s="2"/>
      <c r="W1953" s="45"/>
    </row>
    <row r="1954" spans="1:23" x14ac:dyDescent="0.15">
      <c r="A1954" s="1"/>
      <c r="B1954" s="1"/>
      <c r="K1954" s="36"/>
      <c r="L1954" s="10"/>
      <c r="N1954" s="33"/>
      <c r="R1954" s="2"/>
      <c r="S1954" s="2"/>
      <c r="T1954" s="2"/>
      <c r="U1954" s="2"/>
      <c r="V1954" s="2"/>
      <c r="W1954" s="45"/>
    </row>
    <row r="1955" spans="1:23" x14ac:dyDescent="0.15">
      <c r="A1955" s="1"/>
      <c r="B1955" s="1"/>
      <c r="K1955" s="36"/>
      <c r="L1955" s="10"/>
      <c r="N1955" s="33"/>
      <c r="R1955" s="2"/>
      <c r="S1955" s="2"/>
      <c r="T1955" s="2"/>
      <c r="U1955" s="2"/>
      <c r="V1955" s="2"/>
      <c r="W1955" s="45"/>
    </row>
    <row r="1956" spans="1:23" x14ac:dyDescent="0.15">
      <c r="A1956" s="1"/>
      <c r="B1956" s="1"/>
      <c r="K1956" s="36"/>
      <c r="L1956" s="10"/>
      <c r="N1956" s="33"/>
      <c r="R1956" s="2"/>
      <c r="S1956" s="2"/>
      <c r="T1956" s="2"/>
      <c r="U1956" s="2"/>
      <c r="V1956" s="2"/>
      <c r="W1956" s="45"/>
    </row>
    <row r="1957" spans="1:23" x14ac:dyDescent="0.15">
      <c r="A1957" s="1"/>
      <c r="B1957" s="1"/>
      <c r="K1957" s="36"/>
      <c r="L1957" s="10"/>
      <c r="N1957" s="33"/>
      <c r="R1957" s="2"/>
      <c r="S1957" s="2"/>
      <c r="T1957" s="2"/>
      <c r="U1957" s="2"/>
      <c r="V1957" s="2"/>
      <c r="W1957" s="45"/>
    </row>
    <row r="1958" spans="1:23" x14ac:dyDescent="0.15">
      <c r="A1958" s="1"/>
      <c r="B1958" s="1"/>
      <c r="K1958" s="36"/>
      <c r="L1958" s="10"/>
      <c r="N1958" s="33"/>
      <c r="R1958" s="2"/>
      <c r="S1958" s="2"/>
      <c r="T1958" s="2"/>
      <c r="U1958" s="2"/>
      <c r="V1958" s="2"/>
      <c r="W1958" s="45"/>
    </row>
    <row r="1959" spans="1:23" x14ac:dyDescent="0.15">
      <c r="A1959" s="1"/>
      <c r="B1959" s="1"/>
      <c r="K1959" s="36"/>
      <c r="L1959" s="10"/>
      <c r="N1959" s="33"/>
      <c r="R1959" s="2"/>
      <c r="S1959" s="2"/>
      <c r="T1959" s="2"/>
      <c r="U1959" s="2"/>
      <c r="V1959" s="2"/>
      <c r="W1959" s="45"/>
    </row>
    <row r="1960" spans="1:23" x14ac:dyDescent="0.15">
      <c r="A1960" s="1"/>
      <c r="B1960" s="1"/>
      <c r="K1960" s="36"/>
      <c r="L1960" s="10"/>
      <c r="N1960" s="33"/>
      <c r="R1960" s="2"/>
      <c r="S1960" s="2"/>
      <c r="T1960" s="2"/>
      <c r="U1960" s="2"/>
      <c r="V1960" s="2"/>
      <c r="W1960" s="45"/>
    </row>
    <row r="1961" spans="1:23" x14ac:dyDescent="0.15">
      <c r="A1961" s="1"/>
      <c r="B1961" s="1"/>
      <c r="K1961" s="36"/>
      <c r="L1961" s="10"/>
      <c r="N1961" s="33"/>
      <c r="R1961" s="2"/>
      <c r="S1961" s="2"/>
      <c r="T1961" s="2"/>
      <c r="U1961" s="2"/>
      <c r="V1961" s="2"/>
      <c r="W1961" s="45"/>
    </row>
    <row r="1962" spans="1:23" x14ac:dyDescent="0.15">
      <c r="A1962" s="1"/>
      <c r="B1962" s="1"/>
      <c r="K1962" s="36"/>
      <c r="L1962" s="10"/>
      <c r="N1962" s="33"/>
      <c r="R1962" s="2"/>
      <c r="S1962" s="2"/>
      <c r="T1962" s="2"/>
      <c r="U1962" s="2"/>
      <c r="V1962" s="2"/>
      <c r="W1962" s="45"/>
    </row>
    <row r="1963" spans="1:23" x14ac:dyDescent="0.15">
      <c r="A1963" s="1"/>
      <c r="B1963" s="1"/>
      <c r="K1963" s="36"/>
      <c r="L1963" s="10"/>
      <c r="N1963" s="33"/>
      <c r="R1963" s="2"/>
      <c r="S1963" s="2"/>
      <c r="T1963" s="2"/>
      <c r="U1963" s="2"/>
      <c r="V1963" s="2"/>
      <c r="W1963" s="45"/>
    </row>
    <row r="1964" spans="1:23" x14ac:dyDescent="0.15">
      <c r="A1964" s="1"/>
      <c r="B1964" s="1"/>
      <c r="K1964" s="36"/>
      <c r="L1964" s="10"/>
      <c r="N1964" s="33"/>
      <c r="R1964" s="2"/>
      <c r="S1964" s="2"/>
      <c r="T1964" s="2"/>
      <c r="U1964" s="2"/>
      <c r="V1964" s="2"/>
      <c r="W1964" s="45"/>
    </row>
    <row r="1965" spans="1:23" x14ac:dyDescent="0.15">
      <c r="A1965" s="1"/>
      <c r="B1965" s="1"/>
      <c r="K1965" s="36"/>
      <c r="L1965" s="10"/>
      <c r="N1965" s="33"/>
      <c r="R1965" s="2"/>
      <c r="S1965" s="2"/>
      <c r="T1965" s="2"/>
      <c r="U1965" s="2"/>
      <c r="V1965" s="2"/>
      <c r="W1965" s="45"/>
    </row>
    <row r="1966" spans="1:23" x14ac:dyDescent="0.15">
      <c r="A1966" s="1"/>
      <c r="B1966" s="1"/>
      <c r="K1966" s="36"/>
      <c r="L1966" s="10"/>
      <c r="N1966" s="33"/>
      <c r="R1966" s="2"/>
      <c r="S1966" s="2"/>
      <c r="T1966" s="2"/>
      <c r="U1966" s="2"/>
      <c r="V1966" s="2"/>
      <c r="W1966" s="45"/>
    </row>
    <row r="1967" spans="1:23" x14ac:dyDescent="0.15">
      <c r="A1967" s="1"/>
      <c r="B1967" s="1"/>
      <c r="K1967" s="36"/>
      <c r="L1967" s="10"/>
      <c r="N1967" s="33"/>
      <c r="R1967" s="2"/>
      <c r="S1967" s="2"/>
      <c r="T1967" s="2"/>
      <c r="U1967" s="2"/>
      <c r="V1967" s="2"/>
      <c r="W1967" s="45"/>
    </row>
    <row r="1968" spans="1:23" x14ac:dyDescent="0.15">
      <c r="A1968" s="1"/>
      <c r="B1968" s="1"/>
      <c r="K1968" s="36"/>
      <c r="L1968" s="10"/>
      <c r="N1968" s="33"/>
      <c r="R1968" s="2"/>
      <c r="S1968" s="2"/>
      <c r="T1968" s="2"/>
      <c r="U1968" s="2"/>
      <c r="V1968" s="2"/>
      <c r="W1968" s="45"/>
    </row>
    <row r="1969" spans="1:23" x14ac:dyDescent="0.15">
      <c r="A1969" s="1"/>
      <c r="B1969" s="1"/>
      <c r="K1969" s="36"/>
      <c r="L1969" s="10"/>
      <c r="N1969" s="33"/>
      <c r="R1969" s="2"/>
      <c r="S1969" s="2"/>
      <c r="T1969" s="2"/>
      <c r="U1969" s="2"/>
      <c r="V1969" s="2"/>
      <c r="W1969" s="45"/>
    </row>
    <row r="1970" spans="1:23" x14ac:dyDescent="0.15">
      <c r="A1970" s="1"/>
      <c r="B1970" s="1"/>
      <c r="K1970" s="36"/>
      <c r="L1970" s="10"/>
      <c r="N1970" s="33"/>
      <c r="R1970" s="2"/>
      <c r="S1970" s="2"/>
      <c r="T1970" s="2"/>
      <c r="U1970" s="2"/>
      <c r="V1970" s="2"/>
      <c r="W1970" s="45"/>
    </row>
    <row r="1971" spans="1:23" x14ac:dyDescent="0.15">
      <c r="A1971" s="1"/>
      <c r="B1971" s="1"/>
      <c r="K1971" s="36"/>
      <c r="L1971" s="10"/>
      <c r="N1971" s="33"/>
      <c r="R1971" s="2"/>
      <c r="S1971" s="2"/>
      <c r="T1971" s="2"/>
      <c r="U1971" s="2"/>
      <c r="V1971" s="2"/>
      <c r="W1971" s="45"/>
    </row>
    <row r="1972" spans="1:23" x14ac:dyDescent="0.15">
      <c r="A1972" s="1"/>
      <c r="B1972" s="1"/>
      <c r="K1972" s="36"/>
      <c r="L1972" s="10"/>
      <c r="N1972" s="33"/>
      <c r="R1972" s="2"/>
      <c r="S1972" s="2"/>
      <c r="T1972" s="2"/>
      <c r="U1972" s="2"/>
      <c r="V1972" s="2"/>
      <c r="W1972" s="45"/>
    </row>
    <row r="1973" spans="1:23" x14ac:dyDescent="0.15">
      <c r="A1973" s="1"/>
      <c r="B1973" s="1"/>
      <c r="K1973" s="36"/>
      <c r="L1973" s="10"/>
      <c r="N1973" s="33"/>
      <c r="R1973" s="2"/>
      <c r="S1973" s="2"/>
      <c r="T1973" s="2"/>
      <c r="U1973" s="2"/>
      <c r="V1973" s="2"/>
      <c r="W1973" s="45"/>
    </row>
    <row r="1974" spans="1:23" x14ac:dyDescent="0.15">
      <c r="A1974" s="1"/>
      <c r="B1974" s="1"/>
      <c r="K1974" s="36"/>
      <c r="L1974" s="10"/>
      <c r="N1974" s="33"/>
      <c r="R1974" s="2"/>
      <c r="S1974" s="2"/>
      <c r="T1974" s="2"/>
      <c r="U1974" s="2"/>
      <c r="V1974" s="2"/>
      <c r="W1974" s="45"/>
    </row>
    <row r="1975" spans="1:23" x14ac:dyDescent="0.15">
      <c r="A1975" s="1"/>
      <c r="B1975" s="1"/>
      <c r="K1975" s="36"/>
      <c r="L1975" s="10"/>
      <c r="N1975" s="33"/>
      <c r="R1975" s="2"/>
      <c r="S1975" s="2"/>
      <c r="T1975" s="2"/>
      <c r="U1975" s="2"/>
      <c r="V1975" s="2"/>
      <c r="W1975" s="45"/>
    </row>
    <row r="1976" spans="1:23" x14ac:dyDescent="0.15">
      <c r="A1976" s="1"/>
      <c r="B1976" s="1"/>
      <c r="K1976" s="36"/>
      <c r="L1976" s="10"/>
      <c r="N1976" s="33"/>
      <c r="R1976" s="2"/>
      <c r="S1976" s="2"/>
      <c r="T1976" s="2"/>
      <c r="U1976" s="2"/>
      <c r="V1976" s="2"/>
      <c r="W1976" s="45"/>
    </row>
    <row r="1977" spans="1:23" x14ac:dyDescent="0.15">
      <c r="A1977" s="1"/>
      <c r="B1977" s="1"/>
      <c r="K1977" s="36"/>
      <c r="L1977" s="10"/>
      <c r="N1977" s="33"/>
      <c r="R1977" s="2"/>
      <c r="S1977" s="2"/>
      <c r="T1977" s="2"/>
      <c r="U1977" s="2"/>
      <c r="V1977" s="2"/>
      <c r="W1977" s="45"/>
    </row>
    <row r="1978" spans="1:23" x14ac:dyDescent="0.15">
      <c r="A1978" s="1"/>
      <c r="B1978" s="1"/>
      <c r="K1978" s="36"/>
      <c r="L1978" s="10"/>
      <c r="N1978" s="33"/>
      <c r="R1978" s="2"/>
      <c r="S1978" s="2"/>
      <c r="T1978" s="2"/>
      <c r="U1978" s="2"/>
      <c r="V1978" s="2"/>
      <c r="W1978" s="45"/>
    </row>
    <row r="1979" spans="1:23" x14ac:dyDescent="0.15">
      <c r="A1979" s="1"/>
      <c r="B1979" s="1"/>
      <c r="K1979" s="36"/>
      <c r="L1979" s="10"/>
      <c r="N1979" s="33"/>
      <c r="R1979" s="2"/>
      <c r="S1979" s="2"/>
      <c r="T1979" s="2"/>
      <c r="U1979" s="2"/>
      <c r="V1979" s="2"/>
      <c r="W1979" s="45"/>
    </row>
    <row r="1980" spans="1:23" x14ac:dyDescent="0.15">
      <c r="A1980" s="1"/>
      <c r="B1980" s="1"/>
      <c r="K1980" s="36"/>
      <c r="L1980" s="10"/>
      <c r="N1980" s="33"/>
      <c r="R1980" s="2"/>
      <c r="S1980" s="2"/>
      <c r="T1980" s="2"/>
      <c r="U1980" s="2"/>
      <c r="V1980" s="2"/>
      <c r="W1980" s="45"/>
    </row>
    <row r="1981" spans="1:23" x14ac:dyDescent="0.15">
      <c r="A1981" s="1"/>
      <c r="B1981" s="1"/>
      <c r="K1981" s="36"/>
      <c r="L1981" s="10"/>
      <c r="N1981" s="33"/>
      <c r="R1981" s="2"/>
      <c r="S1981" s="2"/>
      <c r="T1981" s="2"/>
      <c r="U1981" s="2"/>
      <c r="V1981" s="2"/>
      <c r="W1981" s="45"/>
    </row>
    <row r="1982" spans="1:23" x14ac:dyDescent="0.15">
      <c r="A1982" s="1"/>
      <c r="B1982" s="1"/>
      <c r="K1982" s="36"/>
      <c r="L1982" s="10"/>
      <c r="N1982" s="33"/>
      <c r="R1982" s="2"/>
      <c r="S1982" s="2"/>
      <c r="T1982" s="2"/>
      <c r="U1982" s="2"/>
      <c r="V1982" s="2"/>
      <c r="W1982" s="45"/>
    </row>
    <row r="1983" spans="1:23" x14ac:dyDescent="0.15">
      <c r="A1983" s="1"/>
      <c r="B1983" s="1"/>
      <c r="K1983" s="36"/>
      <c r="L1983" s="10"/>
      <c r="N1983" s="33"/>
      <c r="R1983" s="2"/>
      <c r="S1983" s="2"/>
      <c r="T1983" s="2"/>
      <c r="U1983" s="2"/>
      <c r="V1983" s="2"/>
      <c r="W1983" s="45"/>
    </row>
    <row r="1984" spans="1:23" x14ac:dyDescent="0.15">
      <c r="A1984" s="1"/>
      <c r="B1984" s="1"/>
      <c r="K1984" s="36"/>
      <c r="L1984" s="10"/>
      <c r="N1984" s="33"/>
      <c r="R1984" s="2"/>
      <c r="S1984" s="2"/>
      <c r="T1984" s="2"/>
      <c r="U1984" s="2"/>
      <c r="V1984" s="2"/>
      <c r="W1984" s="45"/>
    </row>
    <row r="1985" spans="1:23" x14ac:dyDescent="0.15">
      <c r="A1985" s="1"/>
      <c r="B1985" s="1"/>
      <c r="K1985" s="36"/>
      <c r="L1985" s="10"/>
      <c r="N1985" s="33"/>
      <c r="R1985" s="2"/>
      <c r="S1985" s="2"/>
      <c r="T1985" s="2"/>
      <c r="U1985" s="2"/>
      <c r="V1985" s="2"/>
      <c r="W1985" s="45"/>
    </row>
    <row r="1986" spans="1:23" x14ac:dyDescent="0.15">
      <c r="A1986" s="1"/>
      <c r="B1986" s="1"/>
      <c r="K1986" s="36"/>
      <c r="L1986" s="10"/>
      <c r="N1986" s="33"/>
      <c r="R1986" s="2"/>
      <c r="S1986" s="2"/>
      <c r="T1986" s="2"/>
      <c r="U1986" s="2"/>
      <c r="V1986" s="2"/>
      <c r="W1986" s="45"/>
    </row>
    <row r="1987" spans="1:23" x14ac:dyDescent="0.15">
      <c r="A1987" s="1"/>
      <c r="B1987" s="1"/>
      <c r="K1987" s="36"/>
      <c r="L1987" s="10"/>
      <c r="N1987" s="33"/>
      <c r="R1987" s="2"/>
      <c r="S1987" s="2"/>
      <c r="T1987" s="2"/>
      <c r="U1987" s="2"/>
      <c r="V1987" s="2"/>
      <c r="W1987" s="45"/>
    </row>
    <row r="1988" spans="1:23" x14ac:dyDescent="0.15">
      <c r="A1988" s="1"/>
      <c r="B1988" s="1"/>
      <c r="K1988" s="36"/>
      <c r="L1988" s="10"/>
      <c r="N1988" s="33"/>
      <c r="R1988" s="2"/>
      <c r="S1988" s="2"/>
      <c r="T1988" s="2"/>
      <c r="U1988" s="2"/>
      <c r="V1988" s="2"/>
      <c r="W1988" s="45"/>
    </row>
    <row r="1989" spans="1:23" x14ac:dyDescent="0.15">
      <c r="A1989" s="1"/>
      <c r="B1989" s="1"/>
      <c r="K1989" s="36"/>
      <c r="L1989" s="10"/>
      <c r="N1989" s="33"/>
      <c r="R1989" s="2"/>
      <c r="S1989" s="2"/>
      <c r="T1989" s="2"/>
      <c r="U1989" s="2"/>
      <c r="V1989" s="2"/>
      <c r="W1989" s="45"/>
    </row>
    <row r="1990" spans="1:23" x14ac:dyDescent="0.15">
      <c r="A1990" s="1"/>
      <c r="B1990" s="1"/>
      <c r="K1990" s="36"/>
      <c r="L1990" s="10"/>
      <c r="N1990" s="33"/>
      <c r="R1990" s="2"/>
      <c r="S1990" s="2"/>
      <c r="T1990" s="2"/>
      <c r="U1990" s="2"/>
      <c r="V1990" s="2"/>
      <c r="W1990" s="45"/>
    </row>
    <row r="1991" spans="1:23" x14ac:dyDescent="0.15">
      <c r="A1991" s="1"/>
      <c r="B1991" s="1"/>
      <c r="K1991" s="36"/>
      <c r="L1991" s="10"/>
      <c r="N1991" s="33"/>
      <c r="R1991" s="2"/>
      <c r="S1991" s="2"/>
      <c r="T1991" s="2"/>
      <c r="U1991" s="2"/>
      <c r="V1991" s="2"/>
      <c r="W1991" s="45"/>
    </row>
    <row r="1992" spans="1:23" x14ac:dyDescent="0.15">
      <c r="A1992" s="1"/>
      <c r="B1992" s="1"/>
      <c r="K1992" s="36"/>
      <c r="L1992" s="10"/>
      <c r="N1992" s="33"/>
      <c r="R1992" s="2"/>
      <c r="S1992" s="2"/>
      <c r="T1992" s="2"/>
      <c r="U1992" s="2"/>
      <c r="V1992" s="2"/>
      <c r="W1992" s="45"/>
    </row>
    <row r="1993" spans="1:23" x14ac:dyDescent="0.15">
      <c r="A1993" s="1"/>
      <c r="B1993" s="1"/>
      <c r="K1993" s="36"/>
      <c r="L1993" s="10"/>
      <c r="N1993" s="33"/>
      <c r="R1993" s="2"/>
      <c r="S1993" s="2"/>
      <c r="T1993" s="2"/>
      <c r="U1993" s="2"/>
      <c r="V1993" s="2"/>
      <c r="W1993" s="45"/>
    </row>
    <row r="1994" spans="1:23" x14ac:dyDescent="0.15">
      <c r="A1994" s="1"/>
      <c r="B1994" s="1"/>
      <c r="K1994" s="36"/>
      <c r="L1994" s="10"/>
      <c r="N1994" s="33"/>
      <c r="R1994" s="2"/>
      <c r="S1994" s="2"/>
      <c r="T1994" s="2"/>
      <c r="U1994" s="2"/>
      <c r="V1994" s="2"/>
      <c r="W1994" s="45"/>
    </row>
    <row r="1995" spans="1:23" x14ac:dyDescent="0.15">
      <c r="A1995" s="1"/>
      <c r="B1995" s="1"/>
      <c r="K1995" s="36"/>
      <c r="L1995" s="10"/>
      <c r="N1995" s="33"/>
      <c r="R1995" s="2"/>
      <c r="S1995" s="2"/>
      <c r="T1995" s="2"/>
      <c r="U1995" s="2"/>
      <c r="V1995" s="2"/>
      <c r="W1995" s="45"/>
    </row>
    <row r="1996" spans="1:23" x14ac:dyDescent="0.15">
      <c r="A1996" s="1"/>
      <c r="B1996" s="1"/>
      <c r="K1996" s="36"/>
      <c r="L1996" s="10"/>
      <c r="N1996" s="33"/>
      <c r="R1996" s="2"/>
      <c r="S1996" s="2"/>
      <c r="T1996" s="2"/>
      <c r="U1996" s="2"/>
      <c r="V1996" s="2"/>
      <c r="W1996" s="45"/>
    </row>
    <row r="1997" spans="1:23" x14ac:dyDescent="0.15">
      <c r="A1997" s="1"/>
      <c r="B1997" s="1"/>
      <c r="K1997" s="36"/>
      <c r="L1997" s="10"/>
      <c r="N1997" s="33"/>
      <c r="R1997" s="2"/>
      <c r="S1997" s="2"/>
      <c r="T1997" s="2"/>
      <c r="U1997" s="2"/>
      <c r="V1997" s="2"/>
      <c r="W1997" s="45"/>
    </row>
    <row r="1998" spans="1:23" x14ac:dyDescent="0.15">
      <c r="A1998" s="1"/>
      <c r="B1998" s="1"/>
      <c r="K1998" s="36"/>
      <c r="L1998" s="10"/>
      <c r="N1998" s="33"/>
      <c r="R1998" s="2"/>
      <c r="S1998" s="2"/>
      <c r="T1998" s="2"/>
      <c r="U1998" s="2"/>
      <c r="V1998" s="2"/>
      <c r="W1998" s="45"/>
    </row>
    <row r="1999" spans="1:23" x14ac:dyDescent="0.15">
      <c r="A1999" s="1"/>
      <c r="B1999" s="1"/>
      <c r="K1999" s="36"/>
      <c r="L1999" s="10"/>
      <c r="N1999" s="33"/>
      <c r="R1999" s="2"/>
      <c r="S1999" s="2"/>
      <c r="T1999" s="2"/>
      <c r="U1999" s="2"/>
      <c r="V1999" s="2"/>
      <c r="W1999" s="45"/>
    </row>
    <row r="2000" spans="1:23" x14ac:dyDescent="0.15">
      <c r="A2000" s="1"/>
      <c r="B2000" s="1"/>
      <c r="K2000" s="36"/>
      <c r="L2000" s="10"/>
      <c r="N2000" s="33"/>
      <c r="R2000" s="2"/>
      <c r="S2000" s="2"/>
      <c r="T2000" s="2"/>
      <c r="U2000" s="2"/>
      <c r="V2000" s="2"/>
      <c r="W2000" s="45"/>
    </row>
    <row r="2001" spans="1:23" x14ac:dyDescent="0.15">
      <c r="A2001" s="1"/>
      <c r="B2001" s="1"/>
      <c r="K2001" s="36"/>
      <c r="L2001" s="10"/>
      <c r="N2001" s="33"/>
      <c r="R2001" s="2"/>
      <c r="S2001" s="2"/>
      <c r="T2001" s="2"/>
      <c r="U2001" s="2"/>
      <c r="V2001" s="2"/>
      <c r="W2001" s="45"/>
    </row>
    <row r="2002" spans="1:23" x14ac:dyDescent="0.15">
      <c r="A2002" s="1"/>
      <c r="B2002" s="1"/>
      <c r="K2002" s="36"/>
      <c r="L2002" s="10"/>
      <c r="N2002" s="33"/>
      <c r="R2002" s="2"/>
      <c r="S2002" s="2"/>
      <c r="T2002" s="2"/>
      <c r="U2002" s="2"/>
      <c r="V2002" s="2"/>
      <c r="W2002" s="45"/>
    </row>
    <row r="2003" spans="1:23" x14ac:dyDescent="0.15">
      <c r="A2003" s="1"/>
      <c r="B2003" s="1"/>
      <c r="K2003" s="36"/>
      <c r="L2003" s="10"/>
      <c r="N2003" s="33"/>
      <c r="R2003" s="2"/>
      <c r="S2003" s="2"/>
      <c r="T2003" s="2"/>
      <c r="U2003" s="2"/>
      <c r="V2003" s="2"/>
      <c r="W2003" s="45"/>
    </row>
    <row r="2004" spans="1:23" x14ac:dyDescent="0.15">
      <c r="A2004" s="1"/>
      <c r="B2004" s="1"/>
      <c r="K2004" s="36"/>
      <c r="L2004" s="10"/>
      <c r="N2004" s="33"/>
      <c r="R2004" s="2"/>
      <c r="S2004" s="2"/>
      <c r="T2004" s="2"/>
      <c r="U2004" s="2"/>
      <c r="V2004" s="2"/>
      <c r="W2004" s="45"/>
    </row>
    <row r="2005" spans="1:23" x14ac:dyDescent="0.15">
      <c r="A2005" s="1"/>
      <c r="B2005" s="1"/>
      <c r="K2005" s="36"/>
      <c r="L2005" s="10"/>
      <c r="N2005" s="33"/>
      <c r="R2005" s="2"/>
      <c r="S2005" s="2"/>
      <c r="T2005" s="2"/>
      <c r="U2005" s="2"/>
      <c r="V2005" s="2"/>
      <c r="W2005" s="45"/>
    </row>
    <row r="2006" spans="1:23" x14ac:dyDescent="0.15">
      <c r="A2006" s="1"/>
      <c r="B2006" s="1"/>
      <c r="K2006" s="36"/>
      <c r="L2006" s="10"/>
      <c r="N2006" s="33"/>
      <c r="R2006" s="2"/>
      <c r="S2006" s="2"/>
      <c r="T2006" s="2"/>
      <c r="U2006" s="2"/>
      <c r="V2006" s="2"/>
      <c r="W2006" s="45"/>
    </row>
    <row r="2007" spans="1:23" x14ac:dyDescent="0.15">
      <c r="A2007" s="1"/>
      <c r="B2007" s="1"/>
      <c r="K2007" s="36"/>
      <c r="L2007" s="10"/>
      <c r="N2007" s="33"/>
      <c r="R2007" s="2"/>
      <c r="S2007" s="2"/>
      <c r="T2007" s="2"/>
      <c r="U2007" s="2"/>
      <c r="V2007" s="2"/>
      <c r="W2007" s="45"/>
    </row>
    <row r="2008" spans="1:23" x14ac:dyDescent="0.15">
      <c r="A2008" s="1"/>
      <c r="B2008" s="1"/>
      <c r="K2008" s="36"/>
      <c r="L2008" s="10"/>
      <c r="N2008" s="33"/>
      <c r="R2008" s="2"/>
      <c r="S2008" s="2"/>
      <c r="T2008" s="2"/>
      <c r="U2008" s="2"/>
      <c r="V2008" s="2"/>
      <c r="W2008" s="45"/>
    </row>
    <row r="2009" spans="1:23" x14ac:dyDescent="0.15">
      <c r="A2009" s="1"/>
      <c r="B2009" s="1"/>
      <c r="K2009" s="36"/>
      <c r="L2009" s="10"/>
      <c r="N2009" s="33"/>
      <c r="R2009" s="2"/>
      <c r="S2009" s="2"/>
      <c r="T2009" s="2"/>
      <c r="U2009" s="2"/>
      <c r="V2009" s="2"/>
      <c r="W2009" s="45"/>
    </row>
    <row r="2010" spans="1:23" x14ac:dyDescent="0.15">
      <c r="A2010" s="1"/>
      <c r="B2010" s="1"/>
      <c r="K2010" s="36"/>
      <c r="L2010" s="10"/>
      <c r="N2010" s="33"/>
      <c r="R2010" s="2"/>
      <c r="S2010" s="2"/>
      <c r="T2010" s="2"/>
      <c r="U2010" s="2"/>
      <c r="V2010" s="2"/>
      <c r="W2010" s="45"/>
    </row>
    <row r="2011" spans="1:23" x14ac:dyDescent="0.15">
      <c r="A2011" s="1"/>
      <c r="B2011" s="1"/>
      <c r="K2011" s="36"/>
      <c r="L2011" s="10"/>
      <c r="N2011" s="33"/>
      <c r="R2011" s="2"/>
      <c r="S2011" s="2"/>
      <c r="T2011" s="2"/>
      <c r="U2011" s="2"/>
      <c r="V2011" s="2"/>
      <c r="W2011" s="45"/>
    </row>
    <row r="2012" spans="1:23" x14ac:dyDescent="0.15">
      <c r="A2012" s="1"/>
      <c r="B2012" s="1"/>
      <c r="K2012" s="36"/>
      <c r="L2012" s="10"/>
      <c r="N2012" s="33"/>
      <c r="R2012" s="2"/>
      <c r="S2012" s="2"/>
      <c r="T2012" s="2"/>
      <c r="U2012" s="2"/>
      <c r="V2012" s="2"/>
      <c r="W2012" s="45"/>
    </row>
    <row r="2013" spans="1:23" x14ac:dyDescent="0.15">
      <c r="A2013" s="1"/>
      <c r="B2013" s="1"/>
      <c r="K2013" s="36"/>
      <c r="L2013" s="10"/>
      <c r="N2013" s="33"/>
      <c r="R2013" s="2"/>
      <c r="S2013" s="2"/>
      <c r="T2013" s="2"/>
      <c r="U2013" s="2"/>
      <c r="V2013" s="2"/>
      <c r="W2013" s="45"/>
    </row>
    <row r="2014" spans="1:23" x14ac:dyDescent="0.15">
      <c r="A2014" s="1"/>
      <c r="B2014" s="1"/>
      <c r="K2014" s="36"/>
      <c r="L2014" s="10"/>
      <c r="N2014" s="33"/>
      <c r="R2014" s="2"/>
      <c r="S2014" s="2"/>
      <c r="T2014" s="2"/>
      <c r="U2014" s="2"/>
      <c r="V2014" s="2"/>
      <c r="W2014" s="45"/>
    </row>
    <row r="2015" spans="1:23" x14ac:dyDescent="0.15">
      <c r="A2015" s="1"/>
      <c r="B2015" s="1"/>
      <c r="K2015" s="36"/>
      <c r="L2015" s="10"/>
      <c r="N2015" s="33"/>
      <c r="R2015" s="2"/>
      <c r="S2015" s="2"/>
      <c r="T2015" s="2"/>
      <c r="U2015" s="2"/>
      <c r="V2015" s="2"/>
      <c r="W2015" s="45"/>
    </row>
    <row r="2016" spans="1:23" x14ac:dyDescent="0.15">
      <c r="A2016" s="1"/>
      <c r="B2016" s="1"/>
      <c r="K2016" s="36"/>
      <c r="L2016" s="10"/>
      <c r="N2016" s="33"/>
      <c r="R2016" s="2"/>
      <c r="S2016" s="2"/>
      <c r="T2016" s="2"/>
      <c r="U2016" s="2"/>
      <c r="V2016" s="2"/>
      <c r="W2016" s="45"/>
    </row>
    <row r="2017" spans="1:23" x14ac:dyDescent="0.15">
      <c r="A2017" s="1"/>
      <c r="B2017" s="1"/>
      <c r="K2017" s="36"/>
      <c r="L2017" s="10"/>
      <c r="N2017" s="33"/>
      <c r="R2017" s="2"/>
      <c r="S2017" s="2"/>
      <c r="T2017" s="2"/>
      <c r="U2017" s="2"/>
      <c r="V2017" s="2"/>
      <c r="W2017" s="45"/>
    </row>
    <row r="2018" spans="1:23" x14ac:dyDescent="0.15">
      <c r="A2018" s="1"/>
      <c r="B2018" s="1"/>
      <c r="K2018" s="36"/>
      <c r="L2018" s="10"/>
      <c r="N2018" s="33"/>
      <c r="R2018" s="2"/>
      <c r="S2018" s="2"/>
      <c r="T2018" s="2"/>
      <c r="U2018" s="2"/>
      <c r="V2018" s="2"/>
      <c r="W2018" s="45"/>
    </row>
    <row r="2019" spans="1:23" x14ac:dyDescent="0.15">
      <c r="A2019" s="1"/>
      <c r="B2019" s="1"/>
      <c r="K2019" s="36"/>
      <c r="L2019" s="10"/>
      <c r="N2019" s="33"/>
      <c r="R2019" s="2"/>
      <c r="S2019" s="2"/>
      <c r="T2019" s="2"/>
      <c r="U2019" s="2"/>
      <c r="V2019" s="2"/>
      <c r="W2019" s="45"/>
    </row>
    <row r="2020" spans="1:23" x14ac:dyDescent="0.15">
      <c r="A2020" s="1"/>
      <c r="B2020" s="1"/>
      <c r="K2020" s="36"/>
      <c r="L2020" s="10"/>
      <c r="N2020" s="33"/>
      <c r="R2020" s="2"/>
      <c r="S2020" s="2"/>
      <c r="T2020" s="2"/>
      <c r="U2020" s="2"/>
      <c r="V2020" s="2"/>
      <c r="W2020" s="45"/>
    </row>
    <row r="2021" spans="1:23" x14ac:dyDescent="0.15">
      <c r="A2021" s="1"/>
      <c r="B2021" s="1"/>
      <c r="K2021" s="36"/>
      <c r="L2021" s="10"/>
      <c r="N2021" s="33"/>
      <c r="R2021" s="2"/>
      <c r="S2021" s="2"/>
      <c r="T2021" s="2"/>
      <c r="U2021" s="2"/>
      <c r="V2021" s="2"/>
      <c r="W2021" s="45"/>
    </row>
    <row r="2022" spans="1:23" x14ac:dyDescent="0.15">
      <c r="A2022" s="1"/>
      <c r="B2022" s="1"/>
      <c r="K2022" s="36"/>
      <c r="L2022" s="10"/>
      <c r="N2022" s="33"/>
      <c r="R2022" s="2"/>
      <c r="S2022" s="2"/>
      <c r="T2022" s="2"/>
      <c r="U2022" s="2"/>
      <c r="V2022" s="2"/>
      <c r="W2022" s="45"/>
    </row>
    <row r="2023" spans="1:23" x14ac:dyDescent="0.15">
      <c r="A2023" s="1"/>
      <c r="B2023" s="1"/>
      <c r="K2023" s="36"/>
      <c r="L2023" s="10"/>
      <c r="N2023" s="33"/>
      <c r="R2023" s="2"/>
      <c r="S2023" s="2"/>
      <c r="T2023" s="2"/>
      <c r="U2023" s="2"/>
      <c r="V2023" s="2"/>
      <c r="W2023" s="45"/>
    </row>
    <row r="2024" spans="1:23" x14ac:dyDescent="0.15">
      <c r="A2024" s="1"/>
      <c r="B2024" s="1"/>
      <c r="K2024" s="36"/>
      <c r="L2024" s="10"/>
      <c r="N2024" s="33"/>
      <c r="R2024" s="2"/>
      <c r="S2024" s="2"/>
      <c r="T2024" s="2"/>
      <c r="U2024" s="2"/>
      <c r="V2024" s="2"/>
      <c r="W2024" s="45"/>
    </row>
    <row r="2025" spans="1:23" x14ac:dyDescent="0.15">
      <c r="A2025" s="1"/>
      <c r="B2025" s="1"/>
      <c r="K2025" s="36"/>
      <c r="L2025" s="10"/>
      <c r="N2025" s="33"/>
      <c r="R2025" s="2"/>
      <c r="S2025" s="2"/>
      <c r="T2025" s="2"/>
      <c r="U2025" s="2"/>
      <c r="V2025" s="2"/>
      <c r="W2025" s="45"/>
    </row>
    <row r="2026" spans="1:23" x14ac:dyDescent="0.15">
      <c r="A2026" s="1"/>
      <c r="B2026" s="1"/>
      <c r="K2026" s="36"/>
      <c r="L2026" s="10"/>
      <c r="N2026" s="33"/>
      <c r="R2026" s="2"/>
      <c r="S2026" s="2"/>
      <c r="T2026" s="2"/>
      <c r="U2026" s="2"/>
      <c r="V2026" s="2"/>
      <c r="W2026" s="45"/>
    </row>
    <row r="2027" spans="1:23" x14ac:dyDescent="0.15">
      <c r="A2027" s="1"/>
      <c r="B2027" s="1"/>
      <c r="K2027" s="36"/>
      <c r="L2027" s="10"/>
      <c r="N2027" s="33"/>
      <c r="R2027" s="2"/>
      <c r="S2027" s="2"/>
      <c r="T2027" s="2"/>
      <c r="U2027" s="2"/>
      <c r="V2027" s="2"/>
      <c r="W2027" s="45"/>
    </row>
    <row r="2028" spans="1:23" x14ac:dyDescent="0.15">
      <c r="A2028" s="1"/>
      <c r="B2028" s="1"/>
      <c r="K2028" s="36"/>
      <c r="L2028" s="10"/>
      <c r="N2028" s="33"/>
      <c r="R2028" s="2"/>
      <c r="S2028" s="2"/>
      <c r="T2028" s="2"/>
      <c r="U2028" s="2"/>
      <c r="V2028" s="2"/>
      <c r="W2028" s="45"/>
    </row>
    <row r="2029" spans="1:23" x14ac:dyDescent="0.15">
      <c r="A2029" s="1"/>
      <c r="B2029" s="1"/>
      <c r="K2029" s="36"/>
      <c r="L2029" s="10"/>
      <c r="N2029" s="33"/>
      <c r="R2029" s="2"/>
      <c r="S2029" s="2"/>
      <c r="T2029" s="2"/>
      <c r="U2029" s="2"/>
      <c r="V2029" s="2"/>
      <c r="W2029" s="45"/>
    </row>
    <row r="2030" spans="1:23" x14ac:dyDescent="0.15">
      <c r="A2030" s="1"/>
      <c r="B2030" s="1"/>
      <c r="K2030" s="36"/>
      <c r="L2030" s="10"/>
      <c r="N2030" s="33"/>
      <c r="R2030" s="2"/>
      <c r="S2030" s="2"/>
      <c r="T2030" s="2"/>
      <c r="U2030" s="2"/>
      <c r="V2030" s="2"/>
      <c r="W2030" s="45"/>
    </row>
    <row r="2031" spans="1:23" x14ac:dyDescent="0.15">
      <c r="A2031" s="1"/>
      <c r="B2031" s="1"/>
      <c r="K2031" s="36"/>
      <c r="L2031" s="10"/>
      <c r="N2031" s="33"/>
      <c r="R2031" s="2"/>
      <c r="S2031" s="2"/>
      <c r="T2031" s="2"/>
      <c r="U2031" s="2"/>
      <c r="V2031" s="2"/>
      <c r="W2031" s="45"/>
    </row>
    <row r="2032" spans="1:23" x14ac:dyDescent="0.15">
      <c r="A2032" s="1"/>
      <c r="B2032" s="1"/>
      <c r="K2032" s="36"/>
      <c r="L2032" s="10"/>
      <c r="N2032" s="33"/>
      <c r="R2032" s="2"/>
      <c r="S2032" s="2"/>
      <c r="T2032" s="2"/>
      <c r="U2032" s="2"/>
      <c r="V2032" s="2"/>
      <c r="W2032" s="45"/>
    </row>
    <row r="2033" spans="1:23" x14ac:dyDescent="0.15">
      <c r="A2033" s="1"/>
      <c r="B2033" s="1"/>
      <c r="K2033" s="36"/>
      <c r="L2033" s="10"/>
      <c r="N2033" s="33"/>
      <c r="R2033" s="2"/>
      <c r="S2033" s="2"/>
      <c r="T2033" s="2"/>
      <c r="U2033" s="2"/>
      <c r="V2033" s="2"/>
      <c r="W2033" s="45"/>
    </row>
    <row r="2034" spans="1:23" x14ac:dyDescent="0.15">
      <c r="A2034" s="1"/>
      <c r="B2034" s="1"/>
      <c r="K2034" s="36"/>
      <c r="L2034" s="10"/>
      <c r="N2034" s="33"/>
      <c r="R2034" s="2"/>
      <c r="S2034" s="2"/>
      <c r="T2034" s="2"/>
      <c r="U2034" s="2"/>
      <c r="V2034" s="2"/>
      <c r="W2034" s="45"/>
    </row>
    <row r="2035" spans="1:23" x14ac:dyDescent="0.15">
      <c r="A2035" s="1"/>
      <c r="B2035" s="1"/>
      <c r="K2035" s="36"/>
      <c r="L2035" s="10"/>
      <c r="N2035" s="33"/>
      <c r="R2035" s="2"/>
      <c r="S2035" s="2"/>
      <c r="T2035" s="2"/>
      <c r="U2035" s="2"/>
      <c r="V2035" s="2"/>
      <c r="W2035" s="45"/>
    </row>
    <row r="2036" spans="1:23" x14ac:dyDescent="0.15">
      <c r="A2036" s="1"/>
      <c r="B2036" s="1"/>
      <c r="K2036" s="36"/>
      <c r="L2036" s="10"/>
      <c r="N2036" s="33"/>
      <c r="R2036" s="2"/>
      <c r="S2036" s="2"/>
      <c r="T2036" s="2"/>
      <c r="U2036" s="2"/>
      <c r="V2036" s="2"/>
      <c r="W2036" s="45"/>
    </row>
    <row r="2037" spans="1:23" x14ac:dyDescent="0.15">
      <c r="A2037" s="1"/>
      <c r="B2037" s="1"/>
      <c r="K2037" s="36"/>
      <c r="L2037" s="10"/>
      <c r="N2037" s="33"/>
      <c r="R2037" s="2"/>
      <c r="S2037" s="2"/>
      <c r="T2037" s="2"/>
      <c r="U2037" s="2"/>
      <c r="V2037" s="2"/>
      <c r="W2037" s="45"/>
    </row>
    <row r="2038" spans="1:23" x14ac:dyDescent="0.15">
      <c r="A2038" s="1"/>
      <c r="B2038" s="1"/>
      <c r="K2038" s="36"/>
      <c r="L2038" s="10"/>
      <c r="N2038" s="33"/>
      <c r="R2038" s="2"/>
      <c r="S2038" s="2"/>
      <c r="T2038" s="2"/>
      <c r="U2038" s="2"/>
      <c r="V2038" s="2"/>
      <c r="W2038" s="45"/>
    </row>
    <row r="2039" spans="1:23" x14ac:dyDescent="0.15">
      <c r="A2039" s="1"/>
      <c r="B2039" s="1"/>
      <c r="K2039" s="36"/>
      <c r="L2039" s="10"/>
      <c r="N2039" s="33"/>
      <c r="R2039" s="2"/>
      <c r="S2039" s="2"/>
      <c r="T2039" s="2"/>
      <c r="U2039" s="2"/>
      <c r="V2039" s="2"/>
      <c r="W2039" s="45"/>
    </row>
    <row r="2040" spans="1:23" x14ac:dyDescent="0.15">
      <c r="A2040" s="1"/>
      <c r="B2040" s="1"/>
      <c r="K2040" s="36"/>
      <c r="L2040" s="10"/>
      <c r="N2040" s="33"/>
      <c r="R2040" s="2"/>
      <c r="S2040" s="2"/>
      <c r="T2040" s="2"/>
      <c r="U2040" s="2"/>
      <c r="V2040" s="2"/>
      <c r="W2040" s="45"/>
    </row>
    <row r="2041" spans="1:23" x14ac:dyDescent="0.15">
      <c r="A2041" s="1"/>
      <c r="B2041" s="1"/>
      <c r="K2041" s="36"/>
      <c r="L2041" s="10"/>
      <c r="N2041" s="33"/>
      <c r="R2041" s="2"/>
      <c r="S2041" s="2"/>
      <c r="T2041" s="2"/>
      <c r="U2041" s="2"/>
      <c r="V2041" s="2"/>
      <c r="W2041" s="45"/>
    </row>
    <row r="2042" spans="1:23" x14ac:dyDescent="0.15">
      <c r="A2042" s="1"/>
      <c r="B2042" s="1"/>
      <c r="K2042" s="36"/>
      <c r="L2042" s="10"/>
      <c r="N2042" s="33"/>
      <c r="R2042" s="2"/>
      <c r="S2042" s="2"/>
      <c r="T2042" s="2"/>
      <c r="U2042" s="2"/>
      <c r="V2042" s="2"/>
      <c r="W2042" s="45"/>
    </row>
    <row r="2043" spans="1:23" x14ac:dyDescent="0.15">
      <c r="A2043" s="1"/>
      <c r="B2043" s="1"/>
      <c r="K2043" s="36"/>
      <c r="L2043" s="10"/>
      <c r="N2043" s="33"/>
      <c r="R2043" s="2"/>
      <c r="S2043" s="2"/>
      <c r="T2043" s="2"/>
      <c r="U2043" s="2"/>
      <c r="V2043" s="2"/>
      <c r="W2043" s="45"/>
    </row>
    <row r="2044" spans="1:23" x14ac:dyDescent="0.15">
      <c r="A2044" s="1"/>
      <c r="B2044" s="1"/>
      <c r="K2044" s="36"/>
      <c r="L2044" s="10"/>
      <c r="N2044" s="33"/>
      <c r="R2044" s="2"/>
      <c r="S2044" s="2"/>
      <c r="T2044" s="2"/>
      <c r="U2044" s="2"/>
      <c r="V2044" s="2"/>
      <c r="W2044" s="45"/>
    </row>
    <row r="2045" spans="1:23" x14ac:dyDescent="0.15">
      <c r="A2045" s="1"/>
      <c r="B2045" s="1"/>
      <c r="K2045" s="36"/>
      <c r="L2045" s="10"/>
      <c r="N2045" s="33"/>
      <c r="R2045" s="2"/>
      <c r="S2045" s="2"/>
      <c r="T2045" s="2"/>
      <c r="U2045" s="2"/>
      <c r="V2045" s="2"/>
      <c r="W2045" s="45"/>
    </row>
    <row r="2046" spans="1:23" x14ac:dyDescent="0.15">
      <c r="A2046" s="1"/>
      <c r="B2046" s="1"/>
      <c r="K2046" s="36"/>
      <c r="L2046" s="10"/>
      <c r="N2046" s="33"/>
      <c r="R2046" s="2"/>
      <c r="S2046" s="2"/>
      <c r="T2046" s="2"/>
      <c r="U2046" s="2"/>
      <c r="V2046" s="2"/>
      <c r="W2046" s="45"/>
    </row>
    <row r="2047" spans="1:23" x14ac:dyDescent="0.15">
      <c r="A2047" s="1"/>
      <c r="B2047" s="1"/>
      <c r="K2047" s="36"/>
      <c r="L2047" s="10"/>
      <c r="N2047" s="33"/>
      <c r="R2047" s="2"/>
      <c r="S2047" s="2"/>
      <c r="T2047" s="2"/>
      <c r="U2047" s="2"/>
      <c r="V2047" s="2"/>
      <c r="W2047" s="45"/>
    </row>
    <row r="2048" spans="1:23" x14ac:dyDescent="0.15">
      <c r="A2048" s="1"/>
      <c r="B2048" s="1"/>
      <c r="K2048" s="36"/>
      <c r="L2048" s="10"/>
      <c r="N2048" s="33"/>
      <c r="R2048" s="2"/>
      <c r="S2048" s="2"/>
      <c r="T2048" s="2"/>
      <c r="U2048" s="2"/>
      <c r="V2048" s="2"/>
      <c r="W2048" s="45"/>
    </row>
    <row r="2049" spans="1:23" x14ac:dyDescent="0.15">
      <c r="A2049" s="1"/>
      <c r="B2049" s="1"/>
      <c r="K2049" s="36"/>
      <c r="L2049" s="10"/>
      <c r="N2049" s="33"/>
      <c r="R2049" s="2"/>
      <c r="S2049" s="2"/>
      <c r="T2049" s="2"/>
      <c r="U2049" s="2"/>
      <c r="V2049" s="2"/>
      <c r="W2049" s="45"/>
    </row>
    <row r="2050" spans="1:23" x14ac:dyDescent="0.15">
      <c r="A2050" s="1"/>
      <c r="B2050" s="1"/>
      <c r="K2050" s="36"/>
      <c r="L2050" s="10"/>
      <c r="N2050" s="33"/>
      <c r="R2050" s="2"/>
      <c r="S2050" s="2"/>
      <c r="T2050" s="2"/>
      <c r="U2050" s="2"/>
      <c r="V2050" s="2"/>
      <c r="W2050" s="45"/>
    </row>
    <row r="2051" spans="1:23" x14ac:dyDescent="0.15">
      <c r="A2051" s="1"/>
      <c r="B2051" s="1"/>
      <c r="K2051" s="36"/>
      <c r="L2051" s="10"/>
      <c r="N2051" s="33"/>
      <c r="R2051" s="2"/>
      <c r="S2051" s="2"/>
      <c r="T2051" s="2"/>
      <c r="U2051" s="2"/>
      <c r="V2051" s="2"/>
      <c r="W2051" s="45"/>
    </row>
    <row r="2052" spans="1:23" x14ac:dyDescent="0.15">
      <c r="A2052" s="1"/>
      <c r="B2052" s="1"/>
      <c r="K2052" s="36"/>
      <c r="L2052" s="10"/>
      <c r="N2052" s="33"/>
      <c r="R2052" s="2"/>
      <c r="S2052" s="2"/>
      <c r="T2052" s="2"/>
      <c r="U2052" s="2"/>
      <c r="V2052" s="2"/>
      <c r="W2052" s="45"/>
    </row>
    <row r="2053" spans="1:23" x14ac:dyDescent="0.15">
      <c r="A2053" s="1"/>
      <c r="B2053" s="1"/>
      <c r="K2053" s="36"/>
      <c r="L2053" s="10"/>
      <c r="N2053" s="33"/>
      <c r="R2053" s="2"/>
      <c r="S2053" s="2"/>
      <c r="T2053" s="2"/>
      <c r="U2053" s="2"/>
      <c r="V2053" s="2"/>
      <c r="W2053" s="45"/>
    </row>
    <row r="2054" spans="1:23" x14ac:dyDescent="0.15">
      <c r="A2054" s="1"/>
      <c r="B2054" s="1"/>
      <c r="K2054" s="36"/>
      <c r="L2054" s="10"/>
      <c r="N2054" s="33"/>
      <c r="R2054" s="2"/>
      <c r="S2054" s="2"/>
      <c r="T2054" s="2"/>
      <c r="U2054" s="2"/>
      <c r="V2054" s="2"/>
      <c r="W2054" s="45"/>
    </row>
    <row r="2055" spans="1:23" x14ac:dyDescent="0.15">
      <c r="A2055" s="1"/>
      <c r="B2055" s="1"/>
      <c r="K2055" s="36"/>
      <c r="L2055" s="10"/>
      <c r="N2055" s="33"/>
      <c r="R2055" s="2"/>
      <c r="S2055" s="2"/>
      <c r="T2055" s="2"/>
      <c r="U2055" s="2"/>
      <c r="V2055" s="2"/>
      <c r="W2055" s="45"/>
    </row>
    <row r="2056" spans="1:23" x14ac:dyDescent="0.15">
      <c r="A2056" s="1"/>
      <c r="B2056" s="1"/>
      <c r="K2056" s="36"/>
      <c r="L2056" s="10"/>
      <c r="N2056" s="33"/>
      <c r="R2056" s="2"/>
      <c r="S2056" s="2"/>
      <c r="T2056" s="2"/>
      <c r="U2056" s="2"/>
      <c r="V2056" s="2"/>
      <c r="W2056" s="45"/>
    </row>
    <row r="2057" spans="1:23" x14ac:dyDescent="0.15">
      <c r="A2057" s="1"/>
      <c r="B2057" s="1"/>
      <c r="K2057" s="36"/>
      <c r="L2057" s="10"/>
      <c r="N2057" s="33"/>
      <c r="R2057" s="2"/>
      <c r="S2057" s="2"/>
      <c r="T2057" s="2"/>
      <c r="U2057" s="2"/>
      <c r="V2057" s="2"/>
      <c r="W2057" s="45"/>
    </row>
    <row r="2058" spans="1:23" x14ac:dyDescent="0.15">
      <c r="A2058" s="1"/>
      <c r="B2058" s="1"/>
      <c r="K2058" s="36"/>
      <c r="L2058" s="10"/>
      <c r="N2058" s="33"/>
      <c r="R2058" s="2"/>
      <c r="S2058" s="2"/>
      <c r="T2058" s="2"/>
      <c r="U2058" s="2"/>
      <c r="V2058" s="2"/>
      <c r="W2058" s="45"/>
    </row>
    <row r="2059" spans="1:23" x14ac:dyDescent="0.15">
      <c r="A2059" s="1"/>
      <c r="B2059" s="1"/>
      <c r="K2059" s="36"/>
      <c r="L2059" s="10"/>
      <c r="N2059" s="33"/>
      <c r="R2059" s="2"/>
      <c r="S2059" s="2"/>
      <c r="T2059" s="2"/>
      <c r="U2059" s="2"/>
      <c r="V2059" s="2"/>
      <c r="W2059" s="45"/>
    </row>
    <row r="2060" spans="1:23" x14ac:dyDescent="0.15">
      <c r="A2060" s="1"/>
      <c r="B2060" s="1"/>
      <c r="K2060" s="36"/>
      <c r="L2060" s="10"/>
      <c r="N2060" s="33"/>
      <c r="R2060" s="2"/>
      <c r="S2060" s="2"/>
      <c r="T2060" s="2"/>
      <c r="U2060" s="2"/>
      <c r="V2060" s="2"/>
      <c r="W2060" s="45"/>
    </row>
    <row r="2061" spans="1:23" x14ac:dyDescent="0.15">
      <c r="A2061" s="1"/>
      <c r="B2061" s="1"/>
      <c r="K2061" s="36"/>
      <c r="L2061" s="10"/>
      <c r="N2061" s="33"/>
      <c r="R2061" s="2"/>
      <c r="S2061" s="2"/>
      <c r="T2061" s="2"/>
      <c r="U2061" s="2"/>
      <c r="V2061" s="2"/>
      <c r="W2061" s="45"/>
    </row>
    <row r="2062" spans="1:23" x14ac:dyDescent="0.15">
      <c r="A2062" s="1"/>
      <c r="B2062" s="1"/>
      <c r="K2062" s="36"/>
      <c r="L2062" s="10"/>
      <c r="N2062" s="33"/>
      <c r="R2062" s="2"/>
      <c r="S2062" s="2"/>
      <c r="T2062" s="2"/>
      <c r="U2062" s="2"/>
      <c r="V2062" s="2"/>
      <c r="W2062" s="45"/>
    </row>
    <row r="2063" spans="1:23" x14ac:dyDescent="0.15">
      <c r="A2063" s="1"/>
      <c r="B2063" s="1"/>
      <c r="K2063" s="36"/>
      <c r="L2063" s="10"/>
      <c r="N2063" s="33"/>
      <c r="R2063" s="2"/>
      <c r="S2063" s="2"/>
      <c r="T2063" s="2"/>
      <c r="U2063" s="2"/>
      <c r="V2063" s="2"/>
      <c r="W2063" s="45"/>
    </row>
    <row r="2064" spans="1:23" x14ac:dyDescent="0.15">
      <c r="A2064" s="1"/>
      <c r="B2064" s="1"/>
      <c r="K2064" s="36"/>
      <c r="L2064" s="10"/>
      <c r="N2064" s="33"/>
      <c r="R2064" s="2"/>
      <c r="S2064" s="2"/>
      <c r="T2064" s="2"/>
      <c r="U2064" s="2"/>
      <c r="V2064" s="2"/>
      <c r="W2064" s="45"/>
    </row>
    <row r="2065" spans="1:23" x14ac:dyDescent="0.15">
      <c r="A2065" s="1"/>
      <c r="B2065" s="1"/>
      <c r="K2065" s="36"/>
      <c r="L2065" s="10"/>
      <c r="N2065" s="33"/>
      <c r="R2065" s="2"/>
      <c r="S2065" s="2"/>
      <c r="T2065" s="2"/>
      <c r="U2065" s="2"/>
      <c r="V2065" s="2"/>
      <c r="W2065" s="45"/>
    </row>
    <row r="2066" spans="1:23" x14ac:dyDescent="0.15">
      <c r="A2066" s="1"/>
      <c r="B2066" s="1"/>
      <c r="K2066" s="36"/>
      <c r="L2066" s="10"/>
      <c r="N2066" s="33"/>
      <c r="R2066" s="2"/>
      <c r="S2066" s="2"/>
      <c r="T2066" s="2"/>
      <c r="U2066" s="2"/>
      <c r="V2066" s="2"/>
      <c r="W2066" s="45"/>
    </row>
    <row r="2067" spans="1:23" x14ac:dyDescent="0.15">
      <c r="A2067" s="1"/>
      <c r="B2067" s="1"/>
      <c r="K2067" s="36"/>
      <c r="L2067" s="10"/>
      <c r="N2067" s="33"/>
      <c r="R2067" s="2"/>
      <c r="S2067" s="2"/>
      <c r="T2067" s="2"/>
      <c r="U2067" s="2"/>
      <c r="V2067" s="2"/>
      <c r="W2067" s="45"/>
    </row>
    <row r="2068" spans="1:23" x14ac:dyDescent="0.15">
      <c r="A2068" s="1"/>
      <c r="B2068" s="1"/>
      <c r="K2068" s="36"/>
      <c r="L2068" s="10"/>
      <c r="N2068" s="33"/>
      <c r="R2068" s="2"/>
      <c r="S2068" s="2"/>
      <c r="T2068" s="2"/>
      <c r="U2068" s="2"/>
      <c r="V2068" s="2"/>
      <c r="W2068" s="45"/>
    </row>
    <row r="2069" spans="1:23" x14ac:dyDescent="0.15">
      <c r="A2069" s="1"/>
      <c r="B2069" s="1"/>
      <c r="K2069" s="36"/>
      <c r="L2069" s="10"/>
      <c r="N2069" s="33"/>
      <c r="R2069" s="2"/>
      <c r="S2069" s="2"/>
      <c r="T2069" s="2"/>
      <c r="U2069" s="2"/>
      <c r="V2069" s="2"/>
      <c r="W2069" s="45"/>
    </row>
    <row r="2070" spans="1:23" x14ac:dyDescent="0.15">
      <c r="A2070" s="1"/>
      <c r="B2070" s="1"/>
      <c r="K2070" s="36"/>
      <c r="L2070" s="10"/>
      <c r="N2070" s="33"/>
      <c r="R2070" s="2"/>
      <c r="S2070" s="2"/>
      <c r="T2070" s="2"/>
      <c r="U2070" s="2"/>
      <c r="V2070" s="2"/>
      <c r="W2070" s="45"/>
    </row>
    <row r="2071" spans="1:23" x14ac:dyDescent="0.15">
      <c r="A2071" s="1"/>
      <c r="B2071" s="1"/>
      <c r="K2071" s="36"/>
      <c r="L2071" s="10"/>
      <c r="N2071" s="33"/>
      <c r="R2071" s="2"/>
      <c r="S2071" s="2"/>
      <c r="T2071" s="2"/>
      <c r="U2071" s="2"/>
      <c r="V2071" s="2"/>
      <c r="W2071" s="45"/>
    </row>
    <row r="2072" spans="1:23" x14ac:dyDescent="0.15">
      <c r="A2072" s="1"/>
      <c r="B2072" s="1"/>
      <c r="K2072" s="36"/>
      <c r="L2072" s="10"/>
      <c r="N2072" s="33"/>
      <c r="R2072" s="2"/>
      <c r="S2072" s="2"/>
      <c r="T2072" s="2"/>
      <c r="U2072" s="2"/>
      <c r="V2072" s="2"/>
      <c r="W2072" s="45"/>
    </row>
    <row r="2073" spans="1:23" x14ac:dyDescent="0.15">
      <c r="A2073" s="1"/>
      <c r="B2073" s="1"/>
      <c r="K2073" s="36"/>
      <c r="L2073" s="10"/>
      <c r="N2073" s="33"/>
      <c r="R2073" s="2"/>
      <c r="S2073" s="2"/>
      <c r="T2073" s="2"/>
      <c r="U2073" s="2"/>
      <c r="V2073" s="2"/>
      <c r="W2073" s="45"/>
    </row>
    <row r="2074" spans="1:23" x14ac:dyDescent="0.15">
      <c r="A2074" s="1"/>
      <c r="B2074" s="1"/>
      <c r="K2074" s="36"/>
      <c r="L2074" s="10"/>
      <c r="N2074" s="33"/>
      <c r="R2074" s="2"/>
      <c r="S2074" s="2"/>
      <c r="T2074" s="2"/>
      <c r="U2074" s="2"/>
      <c r="V2074" s="2"/>
      <c r="W2074" s="45"/>
    </row>
    <row r="2075" spans="1:23" x14ac:dyDescent="0.15">
      <c r="A2075" s="1"/>
      <c r="B2075" s="1"/>
      <c r="K2075" s="36"/>
      <c r="L2075" s="10"/>
      <c r="N2075" s="33"/>
      <c r="R2075" s="2"/>
      <c r="S2075" s="2"/>
      <c r="T2075" s="2"/>
      <c r="U2075" s="2"/>
      <c r="V2075" s="2"/>
      <c r="W2075" s="45"/>
    </row>
    <row r="2076" spans="1:23" x14ac:dyDescent="0.15">
      <c r="A2076" s="1"/>
      <c r="B2076" s="1"/>
      <c r="K2076" s="36"/>
      <c r="L2076" s="10"/>
      <c r="N2076" s="33"/>
      <c r="R2076" s="2"/>
      <c r="S2076" s="2"/>
      <c r="T2076" s="2"/>
      <c r="U2076" s="2"/>
      <c r="V2076" s="2"/>
      <c r="W2076" s="45"/>
    </row>
    <row r="2077" spans="1:23" x14ac:dyDescent="0.15">
      <c r="A2077" s="1"/>
      <c r="B2077" s="1"/>
      <c r="K2077" s="36"/>
      <c r="L2077" s="10"/>
      <c r="N2077" s="33"/>
      <c r="R2077" s="2"/>
      <c r="S2077" s="2"/>
      <c r="T2077" s="2"/>
      <c r="U2077" s="2"/>
      <c r="V2077" s="2"/>
      <c r="W2077" s="45"/>
    </row>
    <row r="2078" spans="1:23" x14ac:dyDescent="0.15">
      <c r="A2078" s="1"/>
      <c r="B2078" s="1"/>
      <c r="K2078" s="36"/>
      <c r="L2078" s="10"/>
      <c r="N2078" s="33"/>
      <c r="R2078" s="2"/>
      <c r="S2078" s="2"/>
      <c r="T2078" s="2"/>
      <c r="U2078" s="2"/>
      <c r="V2078" s="2"/>
      <c r="W2078" s="45"/>
    </row>
    <row r="2079" spans="1:23" x14ac:dyDescent="0.15">
      <c r="A2079" s="1"/>
      <c r="B2079" s="1"/>
      <c r="K2079" s="36"/>
      <c r="L2079" s="10"/>
      <c r="N2079" s="33"/>
      <c r="R2079" s="2"/>
      <c r="S2079" s="2"/>
      <c r="T2079" s="2"/>
      <c r="U2079" s="2"/>
      <c r="V2079" s="2"/>
      <c r="W2079" s="45"/>
    </row>
    <row r="2080" spans="1:23" x14ac:dyDescent="0.15">
      <c r="A2080" s="1"/>
      <c r="B2080" s="1"/>
      <c r="K2080" s="36"/>
      <c r="L2080" s="10"/>
      <c r="N2080" s="33"/>
      <c r="R2080" s="2"/>
      <c r="S2080" s="2"/>
      <c r="T2080" s="2"/>
      <c r="U2080" s="2"/>
      <c r="V2080" s="2"/>
      <c r="W2080" s="45"/>
    </row>
    <row r="2081" spans="1:23" x14ac:dyDescent="0.15">
      <c r="A2081" s="1"/>
      <c r="B2081" s="1"/>
      <c r="K2081" s="36"/>
      <c r="L2081" s="10"/>
      <c r="N2081" s="33"/>
      <c r="R2081" s="2"/>
      <c r="S2081" s="2"/>
      <c r="T2081" s="2"/>
      <c r="U2081" s="2"/>
      <c r="V2081" s="2"/>
      <c r="W2081" s="45"/>
    </row>
    <row r="2082" spans="1:23" x14ac:dyDescent="0.15">
      <c r="A2082" s="1"/>
      <c r="B2082" s="1"/>
      <c r="K2082" s="36"/>
      <c r="L2082" s="10"/>
      <c r="N2082" s="33"/>
      <c r="R2082" s="2"/>
      <c r="S2082" s="2"/>
      <c r="T2082" s="2"/>
      <c r="U2082" s="2"/>
      <c r="V2082" s="2"/>
      <c r="W2082" s="45"/>
    </row>
    <row r="2083" spans="1:23" x14ac:dyDescent="0.15">
      <c r="A2083" s="1"/>
      <c r="B2083" s="1"/>
      <c r="K2083" s="36"/>
      <c r="L2083" s="10"/>
      <c r="N2083" s="33"/>
      <c r="R2083" s="2"/>
      <c r="S2083" s="2"/>
      <c r="T2083" s="2"/>
      <c r="U2083" s="2"/>
      <c r="V2083" s="2"/>
      <c r="W2083" s="45"/>
    </row>
    <row r="2084" spans="1:23" x14ac:dyDescent="0.15">
      <c r="A2084" s="1"/>
      <c r="B2084" s="1"/>
      <c r="K2084" s="36"/>
      <c r="L2084" s="10"/>
      <c r="N2084" s="33"/>
      <c r="R2084" s="2"/>
      <c r="S2084" s="2"/>
      <c r="T2084" s="2"/>
      <c r="U2084" s="2"/>
      <c r="V2084" s="2"/>
      <c r="W2084" s="45"/>
    </row>
    <row r="2085" spans="1:23" x14ac:dyDescent="0.15">
      <c r="A2085" s="1"/>
      <c r="B2085" s="1"/>
      <c r="K2085" s="36"/>
      <c r="L2085" s="10"/>
      <c r="N2085" s="33"/>
      <c r="R2085" s="2"/>
      <c r="S2085" s="2"/>
      <c r="T2085" s="2"/>
      <c r="U2085" s="2"/>
      <c r="V2085" s="2"/>
      <c r="W2085" s="45"/>
    </row>
    <row r="2086" spans="1:23" x14ac:dyDescent="0.15">
      <c r="A2086" s="1"/>
      <c r="B2086" s="1"/>
      <c r="K2086" s="36"/>
      <c r="L2086" s="10"/>
      <c r="N2086" s="33"/>
      <c r="R2086" s="2"/>
      <c r="S2086" s="2"/>
      <c r="T2086" s="2"/>
      <c r="U2086" s="2"/>
      <c r="V2086" s="2"/>
      <c r="W2086" s="45"/>
    </row>
    <row r="2087" spans="1:23" x14ac:dyDescent="0.15">
      <c r="A2087" s="1"/>
      <c r="B2087" s="1"/>
      <c r="K2087" s="36"/>
      <c r="L2087" s="10"/>
      <c r="N2087" s="33"/>
      <c r="R2087" s="2"/>
      <c r="S2087" s="2"/>
      <c r="T2087" s="2"/>
      <c r="U2087" s="2"/>
      <c r="V2087" s="2"/>
      <c r="W2087" s="45"/>
    </row>
    <row r="2088" spans="1:23" x14ac:dyDescent="0.15">
      <c r="A2088" s="1"/>
      <c r="B2088" s="1"/>
      <c r="K2088" s="36"/>
      <c r="L2088" s="10"/>
      <c r="N2088" s="33"/>
      <c r="R2088" s="2"/>
      <c r="S2088" s="2"/>
      <c r="T2088" s="2"/>
      <c r="U2088" s="2"/>
      <c r="V2088" s="2"/>
      <c r="W2088" s="45"/>
    </row>
    <row r="2089" spans="1:23" x14ac:dyDescent="0.15">
      <c r="A2089" s="1"/>
      <c r="B2089" s="1"/>
      <c r="K2089" s="36"/>
      <c r="L2089" s="10"/>
      <c r="N2089" s="33"/>
      <c r="R2089" s="2"/>
      <c r="S2089" s="2"/>
      <c r="T2089" s="2"/>
      <c r="U2089" s="2"/>
      <c r="V2089" s="2"/>
      <c r="W2089" s="45"/>
    </row>
    <row r="2090" spans="1:23" x14ac:dyDescent="0.15">
      <c r="A2090" s="1"/>
      <c r="B2090" s="1"/>
      <c r="K2090" s="36"/>
      <c r="L2090" s="10"/>
      <c r="N2090" s="33"/>
      <c r="R2090" s="2"/>
      <c r="S2090" s="2"/>
      <c r="T2090" s="2"/>
      <c r="U2090" s="2"/>
      <c r="V2090" s="2"/>
      <c r="W2090" s="45"/>
    </row>
    <row r="2091" spans="1:23" x14ac:dyDescent="0.15">
      <c r="A2091" s="1"/>
      <c r="B2091" s="1"/>
      <c r="K2091" s="36"/>
      <c r="L2091" s="10"/>
      <c r="N2091" s="33"/>
      <c r="R2091" s="2"/>
      <c r="S2091" s="2"/>
      <c r="T2091" s="2"/>
      <c r="U2091" s="2"/>
      <c r="V2091" s="2"/>
      <c r="W2091" s="45"/>
    </row>
    <row r="2092" spans="1:23" x14ac:dyDescent="0.15">
      <c r="A2092" s="1"/>
      <c r="B2092" s="1"/>
      <c r="K2092" s="36"/>
      <c r="L2092" s="10"/>
      <c r="N2092" s="33"/>
      <c r="R2092" s="2"/>
      <c r="S2092" s="2"/>
      <c r="T2092" s="2"/>
      <c r="U2092" s="2"/>
      <c r="V2092" s="2"/>
      <c r="W2092" s="45"/>
    </row>
    <row r="2093" spans="1:23" x14ac:dyDescent="0.15">
      <c r="A2093" s="1"/>
      <c r="B2093" s="1"/>
      <c r="K2093" s="36"/>
      <c r="L2093" s="10"/>
      <c r="N2093" s="33"/>
      <c r="R2093" s="2"/>
      <c r="S2093" s="2"/>
      <c r="T2093" s="2"/>
      <c r="U2093" s="2"/>
      <c r="V2093" s="2"/>
      <c r="W2093" s="45"/>
    </row>
    <row r="2094" spans="1:23" x14ac:dyDescent="0.15">
      <c r="A2094" s="1"/>
      <c r="B2094" s="1"/>
      <c r="K2094" s="36"/>
      <c r="L2094" s="10"/>
      <c r="N2094" s="33"/>
      <c r="R2094" s="2"/>
      <c r="S2094" s="2"/>
      <c r="T2094" s="2"/>
      <c r="U2094" s="2"/>
      <c r="V2094" s="2"/>
      <c r="W2094" s="45"/>
    </row>
    <row r="2095" spans="1:23" x14ac:dyDescent="0.15">
      <c r="A2095" s="1"/>
      <c r="B2095" s="1"/>
      <c r="K2095" s="36"/>
      <c r="L2095" s="10"/>
      <c r="N2095" s="33"/>
      <c r="R2095" s="2"/>
      <c r="S2095" s="2"/>
      <c r="T2095" s="2"/>
      <c r="U2095" s="2"/>
      <c r="V2095" s="2"/>
      <c r="W2095" s="45"/>
    </row>
    <row r="2096" spans="1:23" x14ac:dyDescent="0.15">
      <c r="A2096" s="1"/>
      <c r="B2096" s="1"/>
      <c r="K2096" s="36"/>
      <c r="L2096" s="10"/>
      <c r="N2096" s="33"/>
      <c r="R2096" s="2"/>
      <c r="S2096" s="2"/>
      <c r="T2096" s="2"/>
      <c r="U2096" s="2"/>
      <c r="V2096" s="2"/>
      <c r="W2096" s="45"/>
    </row>
    <row r="2097" spans="1:23" x14ac:dyDescent="0.15">
      <c r="A2097" s="1"/>
      <c r="B2097" s="1"/>
      <c r="K2097" s="36"/>
      <c r="L2097" s="10"/>
      <c r="N2097" s="33"/>
      <c r="R2097" s="2"/>
      <c r="S2097" s="2"/>
      <c r="T2097" s="2"/>
      <c r="U2097" s="2"/>
      <c r="V2097" s="2"/>
      <c r="W2097" s="45"/>
    </row>
    <row r="2098" spans="1:23" x14ac:dyDescent="0.15">
      <c r="A2098" s="1"/>
      <c r="B2098" s="1"/>
      <c r="K2098" s="36"/>
      <c r="L2098" s="10"/>
      <c r="N2098" s="33"/>
      <c r="R2098" s="2"/>
      <c r="S2098" s="2"/>
      <c r="T2098" s="2"/>
      <c r="U2098" s="2"/>
      <c r="V2098" s="2"/>
      <c r="W2098" s="45"/>
    </row>
    <row r="2099" spans="1:23" x14ac:dyDescent="0.15">
      <c r="A2099" s="1"/>
      <c r="B2099" s="1"/>
      <c r="K2099" s="36"/>
      <c r="L2099" s="10"/>
      <c r="N2099" s="33"/>
      <c r="R2099" s="2"/>
      <c r="S2099" s="2"/>
      <c r="T2099" s="2"/>
      <c r="U2099" s="2"/>
      <c r="V2099" s="2"/>
      <c r="W2099" s="45"/>
    </row>
    <row r="2100" spans="1:23" x14ac:dyDescent="0.15">
      <c r="A2100" s="1"/>
      <c r="B2100" s="1"/>
      <c r="K2100" s="36"/>
      <c r="L2100" s="10"/>
      <c r="N2100" s="33"/>
      <c r="R2100" s="2"/>
      <c r="S2100" s="2"/>
      <c r="T2100" s="2"/>
      <c r="U2100" s="2"/>
      <c r="V2100" s="2"/>
      <c r="W2100" s="45"/>
    </row>
    <row r="2101" spans="1:23" x14ac:dyDescent="0.15">
      <c r="A2101" s="1"/>
      <c r="B2101" s="1"/>
      <c r="K2101" s="36"/>
      <c r="L2101" s="10"/>
      <c r="N2101" s="33"/>
      <c r="R2101" s="2"/>
      <c r="S2101" s="2"/>
      <c r="T2101" s="2"/>
      <c r="U2101" s="2"/>
      <c r="V2101" s="2"/>
      <c r="W2101" s="45"/>
    </row>
    <row r="2102" spans="1:23" x14ac:dyDescent="0.15">
      <c r="A2102" s="1"/>
      <c r="B2102" s="1"/>
      <c r="K2102" s="36"/>
      <c r="L2102" s="10"/>
      <c r="N2102" s="33"/>
      <c r="R2102" s="2"/>
      <c r="S2102" s="2"/>
      <c r="T2102" s="2"/>
      <c r="U2102" s="2"/>
      <c r="V2102" s="2"/>
      <c r="W2102" s="45"/>
    </row>
    <row r="2103" spans="1:23" x14ac:dyDescent="0.15">
      <c r="A2103" s="1"/>
      <c r="B2103" s="1"/>
      <c r="K2103" s="36"/>
      <c r="L2103" s="10"/>
      <c r="N2103" s="33"/>
      <c r="R2103" s="2"/>
      <c r="S2103" s="2"/>
      <c r="T2103" s="2"/>
      <c r="U2103" s="2"/>
      <c r="V2103" s="2"/>
      <c r="W2103" s="45"/>
    </row>
    <row r="2104" spans="1:23" x14ac:dyDescent="0.15">
      <c r="A2104" s="1"/>
      <c r="B2104" s="1"/>
      <c r="K2104" s="36"/>
      <c r="L2104" s="10"/>
      <c r="N2104" s="33"/>
      <c r="R2104" s="2"/>
      <c r="S2104" s="2"/>
      <c r="T2104" s="2"/>
      <c r="U2104" s="2"/>
      <c r="V2104" s="2"/>
      <c r="W2104" s="45"/>
    </row>
    <row r="2105" spans="1:23" x14ac:dyDescent="0.15">
      <c r="A2105" s="1"/>
      <c r="B2105" s="1"/>
      <c r="K2105" s="36"/>
      <c r="L2105" s="10"/>
      <c r="N2105" s="33"/>
      <c r="R2105" s="2"/>
      <c r="S2105" s="2"/>
      <c r="T2105" s="2"/>
      <c r="U2105" s="2"/>
      <c r="V2105" s="2"/>
      <c r="W2105" s="45"/>
    </row>
    <row r="2106" spans="1:23" x14ac:dyDescent="0.15">
      <c r="A2106" s="1"/>
      <c r="B2106" s="1"/>
      <c r="K2106" s="36"/>
      <c r="L2106" s="10"/>
      <c r="N2106" s="33"/>
      <c r="R2106" s="2"/>
      <c r="S2106" s="2"/>
      <c r="T2106" s="2"/>
      <c r="U2106" s="2"/>
      <c r="V2106" s="2"/>
      <c r="W2106" s="45"/>
    </row>
    <row r="2107" spans="1:23" x14ac:dyDescent="0.15">
      <c r="A2107" s="1"/>
      <c r="B2107" s="1"/>
      <c r="K2107" s="36"/>
      <c r="L2107" s="10"/>
      <c r="N2107" s="33"/>
      <c r="R2107" s="2"/>
      <c r="S2107" s="2"/>
      <c r="T2107" s="2"/>
      <c r="U2107" s="2"/>
      <c r="V2107" s="2"/>
      <c r="W2107" s="45"/>
    </row>
    <row r="2108" spans="1:23" x14ac:dyDescent="0.15">
      <c r="A2108" s="1"/>
      <c r="B2108" s="1"/>
      <c r="K2108" s="36"/>
      <c r="L2108" s="10"/>
      <c r="N2108" s="33"/>
      <c r="R2108" s="2"/>
      <c r="S2108" s="2"/>
      <c r="T2108" s="2"/>
      <c r="U2108" s="2"/>
      <c r="V2108" s="2"/>
      <c r="W2108" s="45"/>
    </row>
    <row r="2109" spans="1:23" x14ac:dyDescent="0.15">
      <c r="A2109" s="1"/>
      <c r="B2109" s="1"/>
      <c r="K2109" s="36"/>
      <c r="L2109" s="10"/>
      <c r="N2109" s="33"/>
      <c r="R2109" s="2"/>
      <c r="S2109" s="2"/>
      <c r="T2109" s="2"/>
      <c r="U2109" s="2"/>
      <c r="V2109" s="2"/>
      <c r="W2109" s="45"/>
    </row>
    <row r="2110" spans="1:23" x14ac:dyDescent="0.15">
      <c r="A2110" s="1"/>
      <c r="B2110" s="1"/>
      <c r="K2110" s="36"/>
      <c r="L2110" s="10"/>
      <c r="N2110" s="33"/>
      <c r="R2110" s="2"/>
      <c r="S2110" s="2"/>
      <c r="T2110" s="2"/>
      <c r="U2110" s="2"/>
      <c r="V2110" s="2"/>
      <c r="W2110" s="45"/>
    </row>
    <row r="2111" spans="1:23" x14ac:dyDescent="0.15">
      <c r="A2111" s="1"/>
      <c r="B2111" s="1"/>
      <c r="K2111" s="36"/>
      <c r="L2111" s="10"/>
      <c r="N2111" s="33"/>
      <c r="R2111" s="2"/>
      <c r="S2111" s="2"/>
      <c r="T2111" s="2"/>
      <c r="U2111" s="2"/>
      <c r="V2111" s="2"/>
      <c r="W2111" s="45"/>
    </row>
    <row r="2112" spans="1:23" x14ac:dyDescent="0.15">
      <c r="A2112" s="1"/>
      <c r="B2112" s="1"/>
      <c r="K2112" s="36"/>
      <c r="L2112" s="10"/>
      <c r="N2112" s="33"/>
      <c r="R2112" s="2"/>
      <c r="S2112" s="2"/>
      <c r="T2112" s="2"/>
      <c r="U2112" s="2"/>
      <c r="V2112" s="2"/>
      <c r="W2112" s="45"/>
    </row>
    <row r="2113" spans="1:23" x14ac:dyDescent="0.15">
      <c r="A2113" s="1"/>
      <c r="B2113" s="1"/>
      <c r="K2113" s="36"/>
      <c r="L2113" s="10"/>
      <c r="N2113" s="33"/>
      <c r="R2113" s="2"/>
      <c r="S2113" s="2"/>
      <c r="T2113" s="2"/>
      <c r="U2113" s="2"/>
      <c r="V2113" s="2"/>
      <c r="W2113" s="45"/>
    </row>
    <row r="2114" spans="1:23" x14ac:dyDescent="0.15">
      <c r="A2114" s="1"/>
      <c r="B2114" s="1"/>
      <c r="K2114" s="36"/>
      <c r="L2114" s="10"/>
      <c r="N2114" s="33"/>
      <c r="R2114" s="2"/>
      <c r="S2114" s="2"/>
      <c r="T2114" s="2"/>
      <c r="U2114" s="2"/>
      <c r="V2114" s="2"/>
      <c r="W2114" s="45"/>
    </row>
    <row r="2115" spans="1:23" x14ac:dyDescent="0.15">
      <c r="A2115" s="1"/>
      <c r="B2115" s="1"/>
      <c r="K2115" s="36"/>
      <c r="L2115" s="10"/>
      <c r="N2115" s="33"/>
      <c r="R2115" s="2"/>
      <c r="S2115" s="2"/>
      <c r="T2115" s="2"/>
      <c r="U2115" s="2"/>
      <c r="V2115" s="2"/>
      <c r="W2115" s="45"/>
    </row>
    <row r="2116" spans="1:23" x14ac:dyDescent="0.15">
      <c r="A2116" s="1"/>
      <c r="B2116" s="1"/>
      <c r="K2116" s="36"/>
      <c r="L2116" s="10"/>
      <c r="N2116" s="33"/>
      <c r="R2116" s="2"/>
      <c r="S2116" s="2"/>
      <c r="T2116" s="2"/>
      <c r="U2116" s="2"/>
      <c r="V2116" s="2"/>
      <c r="W2116" s="45"/>
    </row>
    <row r="2117" spans="1:23" x14ac:dyDescent="0.15">
      <c r="A2117" s="1"/>
      <c r="B2117" s="1"/>
      <c r="K2117" s="36"/>
      <c r="L2117" s="10"/>
      <c r="N2117" s="33"/>
      <c r="R2117" s="2"/>
      <c r="S2117" s="2"/>
      <c r="T2117" s="2"/>
      <c r="U2117" s="2"/>
      <c r="V2117" s="2"/>
      <c r="W2117" s="45"/>
    </row>
    <row r="2118" spans="1:23" x14ac:dyDescent="0.15">
      <c r="A2118" s="1"/>
      <c r="B2118" s="1"/>
      <c r="K2118" s="36"/>
      <c r="L2118" s="10"/>
      <c r="N2118" s="33"/>
      <c r="R2118" s="2"/>
      <c r="S2118" s="2"/>
      <c r="T2118" s="2"/>
      <c r="U2118" s="2"/>
      <c r="V2118" s="2"/>
      <c r="W2118" s="45"/>
    </row>
    <row r="2119" spans="1:23" x14ac:dyDescent="0.15">
      <c r="A2119" s="1"/>
      <c r="B2119" s="1"/>
      <c r="K2119" s="36"/>
      <c r="L2119" s="10"/>
      <c r="N2119" s="33"/>
      <c r="R2119" s="2"/>
      <c r="S2119" s="2"/>
      <c r="T2119" s="2"/>
      <c r="U2119" s="2"/>
      <c r="V2119" s="2"/>
      <c r="W2119" s="45"/>
    </row>
    <row r="2120" spans="1:23" x14ac:dyDescent="0.15">
      <c r="A2120" s="1"/>
      <c r="B2120" s="1"/>
      <c r="K2120" s="36"/>
      <c r="L2120" s="10"/>
      <c r="N2120" s="33"/>
      <c r="R2120" s="2"/>
      <c r="S2120" s="2"/>
      <c r="T2120" s="2"/>
      <c r="U2120" s="2"/>
      <c r="V2120" s="2"/>
      <c r="W2120" s="45"/>
    </row>
    <row r="2121" spans="1:23" x14ac:dyDescent="0.15">
      <c r="A2121" s="1"/>
      <c r="B2121" s="1"/>
      <c r="K2121" s="36"/>
      <c r="L2121" s="10"/>
      <c r="N2121" s="33"/>
      <c r="R2121" s="2"/>
      <c r="S2121" s="2"/>
      <c r="T2121" s="2"/>
      <c r="U2121" s="2"/>
      <c r="V2121" s="2"/>
      <c r="W2121" s="45"/>
    </row>
    <row r="2122" spans="1:23" x14ac:dyDescent="0.15">
      <c r="A2122" s="1"/>
      <c r="B2122" s="1"/>
      <c r="K2122" s="36"/>
      <c r="L2122" s="10"/>
      <c r="N2122" s="33"/>
      <c r="R2122" s="2"/>
      <c r="S2122" s="2"/>
      <c r="T2122" s="2"/>
      <c r="U2122" s="2"/>
      <c r="V2122" s="2"/>
      <c r="W2122" s="45"/>
    </row>
    <row r="2123" spans="1:23" x14ac:dyDescent="0.15">
      <c r="A2123" s="1"/>
      <c r="B2123" s="1"/>
      <c r="K2123" s="36"/>
      <c r="L2123" s="10"/>
      <c r="N2123" s="33"/>
      <c r="R2123" s="2"/>
      <c r="S2123" s="2"/>
      <c r="T2123" s="2"/>
      <c r="U2123" s="2"/>
      <c r="V2123" s="2"/>
      <c r="W2123" s="45"/>
    </row>
    <row r="2124" spans="1:23" x14ac:dyDescent="0.15">
      <c r="A2124" s="1"/>
      <c r="B2124" s="1"/>
      <c r="K2124" s="36"/>
      <c r="L2124" s="10"/>
      <c r="N2124" s="33"/>
      <c r="R2124" s="2"/>
      <c r="S2124" s="2"/>
      <c r="T2124" s="2"/>
      <c r="U2124" s="2"/>
      <c r="V2124" s="2"/>
      <c r="W2124" s="45"/>
    </row>
    <row r="2125" spans="1:23" x14ac:dyDescent="0.15">
      <c r="A2125" s="1"/>
      <c r="B2125" s="1"/>
      <c r="K2125" s="36"/>
      <c r="L2125" s="10"/>
      <c r="N2125" s="33"/>
      <c r="R2125" s="2"/>
      <c r="S2125" s="2"/>
      <c r="T2125" s="2"/>
      <c r="U2125" s="2"/>
      <c r="V2125" s="2"/>
      <c r="W2125" s="45"/>
    </row>
    <row r="2126" spans="1:23" x14ac:dyDescent="0.15">
      <c r="A2126" s="1"/>
      <c r="B2126" s="1"/>
      <c r="K2126" s="36"/>
      <c r="L2126" s="10"/>
      <c r="N2126" s="33"/>
      <c r="R2126" s="2"/>
      <c r="S2126" s="2"/>
      <c r="T2126" s="2"/>
      <c r="U2126" s="2"/>
      <c r="V2126" s="2"/>
      <c r="W2126" s="45"/>
    </row>
    <row r="2127" spans="1:23" x14ac:dyDescent="0.15">
      <c r="A2127" s="1"/>
      <c r="B2127" s="1"/>
      <c r="K2127" s="36"/>
      <c r="L2127" s="10"/>
      <c r="N2127" s="33"/>
      <c r="R2127" s="2"/>
      <c r="S2127" s="2"/>
      <c r="T2127" s="2"/>
      <c r="U2127" s="2"/>
      <c r="V2127" s="2"/>
      <c r="W2127" s="45"/>
    </row>
    <row r="2128" spans="1:23" x14ac:dyDescent="0.15">
      <c r="A2128" s="1"/>
      <c r="B2128" s="1"/>
      <c r="K2128" s="36"/>
      <c r="L2128" s="10"/>
      <c r="N2128" s="33"/>
      <c r="R2128" s="2"/>
      <c r="S2128" s="2"/>
      <c r="T2128" s="2"/>
      <c r="U2128" s="2"/>
      <c r="V2128" s="2"/>
      <c r="W2128" s="45"/>
    </row>
    <row r="2129" spans="1:23" x14ac:dyDescent="0.15">
      <c r="A2129" s="1"/>
      <c r="B2129" s="1"/>
      <c r="K2129" s="36"/>
      <c r="L2129" s="10"/>
      <c r="N2129" s="33"/>
      <c r="R2129" s="2"/>
      <c r="S2129" s="2"/>
      <c r="T2129" s="2"/>
      <c r="U2129" s="2"/>
      <c r="V2129" s="2"/>
      <c r="W2129" s="45"/>
    </row>
    <row r="2130" spans="1:23" x14ac:dyDescent="0.15">
      <c r="A2130" s="1"/>
      <c r="B2130" s="1"/>
      <c r="K2130" s="36"/>
      <c r="L2130" s="10"/>
      <c r="N2130" s="33"/>
      <c r="R2130" s="2"/>
      <c r="S2130" s="2"/>
      <c r="T2130" s="2"/>
      <c r="U2130" s="2"/>
      <c r="V2130" s="2"/>
      <c r="W2130" s="45"/>
    </row>
    <row r="2131" spans="1:23" x14ac:dyDescent="0.15">
      <c r="A2131" s="1"/>
      <c r="B2131" s="1"/>
      <c r="K2131" s="36"/>
      <c r="L2131" s="10"/>
      <c r="N2131" s="33"/>
      <c r="R2131" s="2"/>
      <c r="S2131" s="2"/>
      <c r="T2131" s="2"/>
      <c r="U2131" s="2"/>
      <c r="V2131" s="2"/>
      <c r="W2131" s="45"/>
    </row>
    <row r="2132" spans="1:23" x14ac:dyDescent="0.15">
      <c r="A2132" s="1"/>
      <c r="B2132" s="1"/>
      <c r="K2132" s="36"/>
      <c r="L2132" s="10"/>
      <c r="N2132" s="33"/>
      <c r="R2132" s="2"/>
      <c r="S2132" s="2"/>
      <c r="T2132" s="2"/>
      <c r="U2132" s="2"/>
      <c r="V2132" s="2"/>
      <c r="W2132" s="45"/>
    </row>
    <row r="2133" spans="1:23" x14ac:dyDescent="0.15">
      <c r="A2133" s="1"/>
      <c r="B2133" s="1"/>
      <c r="K2133" s="36"/>
      <c r="L2133" s="10"/>
      <c r="N2133" s="33"/>
      <c r="R2133" s="2"/>
      <c r="S2133" s="2"/>
      <c r="T2133" s="2"/>
      <c r="U2133" s="2"/>
      <c r="V2133" s="2"/>
      <c r="W2133" s="45"/>
    </row>
    <row r="2134" spans="1:23" x14ac:dyDescent="0.15">
      <c r="A2134" s="1"/>
      <c r="B2134" s="1"/>
      <c r="K2134" s="36"/>
      <c r="L2134" s="10"/>
      <c r="N2134" s="33"/>
      <c r="R2134" s="2"/>
      <c r="S2134" s="2"/>
      <c r="T2134" s="2"/>
      <c r="U2134" s="2"/>
      <c r="V2134" s="2"/>
      <c r="W2134" s="45"/>
    </row>
    <row r="2135" spans="1:23" x14ac:dyDescent="0.15">
      <c r="A2135" s="1"/>
      <c r="B2135" s="1"/>
      <c r="K2135" s="36"/>
      <c r="L2135" s="10"/>
      <c r="N2135" s="33"/>
      <c r="R2135" s="2"/>
      <c r="S2135" s="2"/>
      <c r="T2135" s="2"/>
      <c r="U2135" s="2"/>
      <c r="V2135" s="2"/>
      <c r="W2135" s="45"/>
    </row>
    <row r="2136" spans="1:23" x14ac:dyDescent="0.15">
      <c r="A2136" s="1"/>
      <c r="B2136" s="1"/>
      <c r="K2136" s="36"/>
      <c r="L2136" s="10"/>
      <c r="N2136" s="33"/>
      <c r="R2136" s="2"/>
      <c r="S2136" s="2"/>
      <c r="T2136" s="2"/>
      <c r="U2136" s="2"/>
      <c r="V2136" s="2"/>
      <c r="W2136" s="45"/>
    </row>
    <row r="2137" spans="1:23" x14ac:dyDescent="0.15">
      <c r="A2137" s="1"/>
      <c r="B2137" s="1"/>
      <c r="K2137" s="36"/>
      <c r="L2137" s="10"/>
      <c r="N2137" s="33"/>
      <c r="R2137" s="2"/>
      <c r="S2137" s="2"/>
      <c r="T2137" s="2"/>
      <c r="U2137" s="2"/>
      <c r="V2137" s="2"/>
      <c r="W2137" s="45"/>
    </row>
    <row r="2138" spans="1:23" x14ac:dyDescent="0.15">
      <c r="A2138" s="1"/>
      <c r="B2138" s="1"/>
      <c r="K2138" s="36"/>
      <c r="L2138" s="10"/>
      <c r="N2138" s="33"/>
      <c r="R2138" s="2"/>
      <c r="S2138" s="2"/>
      <c r="T2138" s="2"/>
      <c r="U2138" s="2"/>
      <c r="V2138" s="2"/>
      <c r="W2138" s="45"/>
    </row>
    <row r="2139" spans="1:23" x14ac:dyDescent="0.15">
      <c r="A2139" s="1"/>
      <c r="B2139" s="1"/>
      <c r="K2139" s="36"/>
      <c r="L2139" s="10"/>
      <c r="N2139" s="33"/>
      <c r="R2139" s="2"/>
      <c r="S2139" s="2"/>
      <c r="T2139" s="2"/>
      <c r="U2139" s="2"/>
      <c r="V2139" s="2"/>
      <c r="W2139" s="45"/>
    </row>
    <row r="2140" spans="1:23" x14ac:dyDescent="0.15">
      <c r="A2140" s="1"/>
      <c r="B2140" s="1"/>
      <c r="K2140" s="36"/>
      <c r="L2140" s="10"/>
      <c r="N2140" s="33"/>
      <c r="R2140" s="2"/>
      <c r="S2140" s="2"/>
      <c r="T2140" s="2"/>
      <c r="U2140" s="2"/>
      <c r="V2140" s="2"/>
      <c r="W2140" s="45"/>
    </row>
    <row r="2141" spans="1:23" x14ac:dyDescent="0.15">
      <c r="A2141" s="1"/>
      <c r="B2141" s="1"/>
      <c r="K2141" s="36"/>
      <c r="L2141" s="10"/>
      <c r="N2141" s="33"/>
      <c r="R2141" s="2"/>
      <c r="S2141" s="2"/>
      <c r="T2141" s="2"/>
      <c r="U2141" s="2"/>
      <c r="V2141" s="2"/>
      <c r="W2141" s="45"/>
    </row>
    <row r="2142" spans="1:23" x14ac:dyDescent="0.15">
      <c r="A2142" s="1"/>
      <c r="B2142" s="1"/>
      <c r="K2142" s="36"/>
      <c r="L2142" s="10"/>
      <c r="N2142" s="33"/>
      <c r="R2142" s="2"/>
      <c r="S2142" s="2"/>
      <c r="T2142" s="2"/>
      <c r="U2142" s="2"/>
      <c r="V2142" s="2"/>
      <c r="W2142" s="45"/>
    </row>
    <row r="2143" spans="1:23" x14ac:dyDescent="0.15">
      <c r="A2143" s="1"/>
      <c r="B2143" s="1"/>
      <c r="K2143" s="36"/>
      <c r="L2143" s="10"/>
      <c r="N2143" s="33"/>
      <c r="R2143" s="2"/>
      <c r="S2143" s="2"/>
      <c r="T2143" s="2"/>
      <c r="U2143" s="2"/>
      <c r="V2143" s="2"/>
      <c r="W2143" s="45"/>
    </row>
    <row r="2144" spans="1:23" x14ac:dyDescent="0.15">
      <c r="A2144" s="1"/>
      <c r="B2144" s="1"/>
      <c r="K2144" s="36"/>
      <c r="L2144" s="10"/>
      <c r="N2144" s="33"/>
      <c r="R2144" s="2"/>
      <c r="S2144" s="2"/>
      <c r="T2144" s="2"/>
      <c r="U2144" s="2"/>
      <c r="V2144" s="2"/>
      <c r="W2144" s="45"/>
    </row>
    <row r="2145" spans="1:23" x14ac:dyDescent="0.15">
      <c r="A2145" s="1"/>
      <c r="B2145" s="1"/>
      <c r="K2145" s="36"/>
      <c r="L2145" s="10"/>
      <c r="N2145" s="33"/>
      <c r="R2145" s="2"/>
      <c r="S2145" s="2"/>
      <c r="T2145" s="2"/>
      <c r="U2145" s="2"/>
      <c r="V2145" s="2"/>
      <c r="W2145" s="45"/>
    </row>
    <row r="2146" spans="1:23" x14ac:dyDescent="0.15">
      <c r="A2146" s="1"/>
      <c r="B2146" s="1"/>
      <c r="K2146" s="36"/>
      <c r="L2146" s="10"/>
      <c r="N2146" s="33"/>
      <c r="R2146" s="2"/>
      <c r="S2146" s="2"/>
      <c r="T2146" s="2"/>
      <c r="U2146" s="2"/>
      <c r="V2146" s="2"/>
      <c r="W2146" s="45"/>
    </row>
    <row r="2147" spans="1:23" x14ac:dyDescent="0.15">
      <c r="A2147" s="1"/>
      <c r="B2147" s="1"/>
      <c r="K2147" s="36"/>
      <c r="L2147" s="10"/>
      <c r="N2147" s="33"/>
      <c r="R2147" s="2"/>
      <c r="S2147" s="2"/>
      <c r="T2147" s="2"/>
      <c r="U2147" s="2"/>
      <c r="V2147" s="2"/>
      <c r="W2147" s="45"/>
    </row>
    <row r="2148" spans="1:23" x14ac:dyDescent="0.15">
      <c r="A2148" s="1"/>
      <c r="B2148" s="1"/>
      <c r="K2148" s="36"/>
      <c r="L2148" s="10"/>
      <c r="N2148" s="33"/>
      <c r="R2148" s="2"/>
      <c r="S2148" s="2"/>
      <c r="T2148" s="2"/>
      <c r="U2148" s="2"/>
      <c r="V2148" s="2"/>
      <c r="W2148" s="45"/>
    </row>
    <row r="2149" spans="1:23" x14ac:dyDescent="0.15">
      <c r="A2149" s="1"/>
      <c r="B2149" s="1"/>
      <c r="K2149" s="36"/>
      <c r="L2149" s="10"/>
      <c r="N2149" s="33"/>
      <c r="R2149" s="2"/>
      <c r="S2149" s="2"/>
      <c r="T2149" s="2"/>
      <c r="U2149" s="2"/>
      <c r="V2149" s="2"/>
      <c r="W2149" s="45"/>
    </row>
    <row r="2150" spans="1:23" x14ac:dyDescent="0.15">
      <c r="A2150" s="1"/>
      <c r="B2150" s="1"/>
      <c r="K2150" s="36"/>
      <c r="L2150" s="10"/>
      <c r="N2150" s="33"/>
      <c r="R2150" s="2"/>
      <c r="S2150" s="2"/>
      <c r="T2150" s="2"/>
      <c r="U2150" s="2"/>
      <c r="V2150" s="2"/>
      <c r="W2150" s="45"/>
    </row>
    <row r="2151" spans="1:23" x14ac:dyDescent="0.15">
      <c r="A2151" s="1"/>
      <c r="B2151" s="1"/>
      <c r="K2151" s="36"/>
      <c r="L2151" s="10"/>
      <c r="N2151" s="33"/>
      <c r="R2151" s="2"/>
      <c r="S2151" s="2"/>
      <c r="T2151" s="2"/>
      <c r="U2151" s="2"/>
      <c r="V2151" s="2"/>
      <c r="W2151" s="45"/>
    </row>
    <row r="2152" spans="1:23" x14ac:dyDescent="0.15">
      <c r="A2152" s="1"/>
      <c r="B2152" s="1"/>
      <c r="K2152" s="36"/>
      <c r="L2152" s="10"/>
      <c r="N2152" s="33"/>
      <c r="R2152" s="2"/>
      <c r="S2152" s="2"/>
      <c r="T2152" s="2"/>
      <c r="U2152" s="2"/>
      <c r="V2152" s="2"/>
      <c r="W2152" s="45"/>
    </row>
    <row r="2153" spans="1:23" x14ac:dyDescent="0.15">
      <c r="A2153" s="1"/>
      <c r="B2153" s="1"/>
      <c r="K2153" s="36"/>
      <c r="L2153" s="10"/>
      <c r="N2153" s="33"/>
      <c r="R2153" s="2"/>
      <c r="S2153" s="2"/>
      <c r="T2153" s="2"/>
      <c r="U2153" s="2"/>
      <c r="V2153" s="2"/>
      <c r="W2153" s="45"/>
    </row>
    <row r="2154" spans="1:23" x14ac:dyDescent="0.15">
      <c r="A2154" s="1"/>
      <c r="B2154" s="1"/>
      <c r="K2154" s="36"/>
      <c r="L2154" s="10"/>
      <c r="N2154" s="33"/>
      <c r="R2154" s="2"/>
      <c r="S2154" s="2"/>
      <c r="T2154" s="2"/>
      <c r="U2154" s="2"/>
      <c r="V2154" s="2"/>
      <c r="W2154" s="45"/>
    </row>
    <row r="2155" spans="1:23" x14ac:dyDescent="0.15">
      <c r="A2155" s="1"/>
      <c r="B2155" s="1"/>
      <c r="K2155" s="36"/>
      <c r="L2155" s="10"/>
      <c r="N2155" s="33"/>
      <c r="R2155" s="2"/>
      <c r="S2155" s="2"/>
      <c r="T2155" s="2"/>
      <c r="U2155" s="2"/>
      <c r="V2155" s="2"/>
      <c r="W2155" s="45"/>
    </row>
    <row r="2156" spans="1:23" x14ac:dyDescent="0.15">
      <c r="A2156" s="1"/>
      <c r="B2156" s="1"/>
      <c r="K2156" s="36"/>
      <c r="L2156" s="10"/>
      <c r="N2156" s="33"/>
      <c r="R2156" s="2"/>
      <c r="S2156" s="2"/>
      <c r="T2156" s="2"/>
      <c r="U2156" s="2"/>
      <c r="V2156" s="2"/>
      <c r="W2156" s="45"/>
    </row>
    <row r="2157" spans="1:23" x14ac:dyDescent="0.15">
      <c r="A2157" s="1"/>
      <c r="B2157" s="1"/>
      <c r="K2157" s="36"/>
      <c r="L2157" s="10"/>
      <c r="N2157" s="33"/>
      <c r="R2157" s="2"/>
      <c r="S2157" s="2"/>
      <c r="T2157" s="2"/>
      <c r="U2157" s="2"/>
      <c r="V2157" s="2"/>
      <c r="W2157" s="45"/>
    </row>
    <row r="2158" spans="1:23" x14ac:dyDescent="0.15">
      <c r="A2158" s="1"/>
      <c r="B2158" s="1"/>
      <c r="K2158" s="36"/>
      <c r="L2158" s="10"/>
      <c r="N2158" s="33"/>
      <c r="R2158" s="2"/>
      <c r="S2158" s="2"/>
      <c r="T2158" s="2"/>
      <c r="U2158" s="2"/>
      <c r="V2158" s="2"/>
      <c r="W2158" s="45"/>
    </row>
    <row r="2159" spans="1:23" x14ac:dyDescent="0.15">
      <c r="A2159" s="1"/>
      <c r="B2159" s="1"/>
      <c r="K2159" s="36"/>
      <c r="L2159" s="10"/>
      <c r="N2159" s="33"/>
      <c r="R2159" s="2"/>
      <c r="S2159" s="2"/>
      <c r="T2159" s="2"/>
      <c r="U2159" s="2"/>
      <c r="V2159" s="2"/>
      <c r="W2159" s="45"/>
    </row>
    <row r="2160" spans="1:23" x14ac:dyDescent="0.15">
      <c r="A2160" s="1"/>
      <c r="B2160" s="1"/>
      <c r="K2160" s="36"/>
      <c r="L2160" s="10"/>
      <c r="N2160" s="33"/>
      <c r="R2160" s="2"/>
      <c r="S2160" s="2"/>
      <c r="T2160" s="2"/>
      <c r="U2160" s="2"/>
      <c r="V2160" s="2"/>
      <c r="W2160" s="45"/>
    </row>
    <row r="2161" spans="1:23" x14ac:dyDescent="0.15">
      <c r="A2161" s="1"/>
      <c r="B2161" s="1"/>
      <c r="K2161" s="36"/>
      <c r="L2161" s="10"/>
      <c r="N2161" s="33"/>
      <c r="R2161" s="2"/>
      <c r="S2161" s="2"/>
      <c r="T2161" s="2"/>
      <c r="U2161" s="2"/>
      <c r="V2161" s="2"/>
      <c r="W2161" s="45"/>
    </row>
    <row r="2162" spans="1:23" x14ac:dyDescent="0.15">
      <c r="A2162" s="1"/>
      <c r="B2162" s="1"/>
      <c r="K2162" s="36"/>
      <c r="L2162" s="10"/>
      <c r="N2162" s="33"/>
      <c r="R2162" s="2"/>
      <c r="S2162" s="2"/>
      <c r="T2162" s="2"/>
      <c r="U2162" s="2"/>
      <c r="V2162" s="2"/>
      <c r="W2162" s="45"/>
    </row>
    <row r="2163" spans="1:23" x14ac:dyDescent="0.15">
      <c r="A2163" s="1"/>
      <c r="B2163" s="1"/>
      <c r="K2163" s="36"/>
      <c r="L2163" s="10"/>
      <c r="N2163" s="33"/>
      <c r="R2163" s="2"/>
      <c r="S2163" s="2"/>
      <c r="T2163" s="2"/>
      <c r="U2163" s="2"/>
      <c r="V2163" s="2"/>
      <c r="W2163" s="45"/>
    </row>
    <row r="2164" spans="1:23" x14ac:dyDescent="0.15">
      <c r="A2164" s="1"/>
      <c r="B2164" s="1"/>
      <c r="K2164" s="36"/>
      <c r="L2164" s="10"/>
      <c r="N2164" s="33"/>
      <c r="R2164" s="2"/>
      <c r="S2164" s="2"/>
      <c r="T2164" s="2"/>
      <c r="U2164" s="2"/>
      <c r="V2164" s="2"/>
      <c r="W2164" s="45"/>
    </row>
    <row r="2165" spans="1:23" x14ac:dyDescent="0.15">
      <c r="A2165" s="1"/>
      <c r="B2165" s="1"/>
      <c r="K2165" s="36"/>
      <c r="L2165" s="10"/>
      <c r="N2165" s="33"/>
      <c r="R2165" s="2"/>
      <c r="S2165" s="2"/>
      <c r="T2165" s="2"/>
      <c r="U2165" s="2"/>
      <c r="V2165" s="2"/>
      <c r="W2165" s="45"/>
    </row>
    <row r="2166" spans="1:23" x14ac:dyDescent="0.15">
      <c r="A2166" s="1"/>
      <c r="B2166" s="1"/>
      <c r="K2166" s="36"/>
      <c r="L2166" s="10"/>
      <c r="N2166" s="33"/>
      <c r="R2166" s="2"/>
      <c r="S2166" s="2"/>
      <c r="T2166" s="2"/>
      <c r="U2166" s="2"/>
      <c r="V2166" s="2"/>
      <c r="W2166" s="45"/>
    </row>
    <row r="2167" spans="1:23" x14ac:dyDescent="0.15">
      <c r="A2167" s="1"/>
      <c r="B2167" s="1"/>
      <c r="K2167" s="36"/>
      <c r="L2167" s="10"/>
      <c r="N2167" s="33"/>
      <c r="R2167" s="2"/>
      <c r="S2167" s="2"/>
      <c r="T2167" s="2"/>
      <c r="U2167" s="2"/>
      <c r="V2167" s="2"/>
      <c r="W2167" s="45"/>
    </row>
    <row r="2168" spans="1:23" x14ac:dyDescent="0.15">
      <c r="A2168" s="1"/>
      <c r="B2168" s="1"/>
      <c r="K2168" s="36"/>
      <c r="L2168" s="10"/>
      <c r="N2168" s="33"/>
      <c r="R2168" s="2"/>
      <c r="S2168" s="2"/>
      <c r="T2168" s="2"/>
      <c r="U2168" s="2"/>
      <c r="V2168" s="2"/>
      <c r="W2168" s="45"/>
    </row>
    <row r="2169" spans="1:23" x14ac:dyDescent="0.15">
      <c r="A2169" s="1"/>
      <c r="B2169" s="1"/>
      <c r="K2169" s="36"/>
      <c r="L2169" s="10"/>
      <c r="N2169" s="33"/>
      <c r="R2169" s="2"/>
      <c r="S2169" s="2"/>
      <c r="T2169" s="2"/>
      <c r="U2169" s="2"/>
      <c r="V2169" s="2"/>
      <c r="W2169" s="45"/>
    </row>
    <row r="2170" spans="1:23" x14ac:dyDescent="0.15">
      <c r="A2170" s="1"/>
      <c r="B2170" s="1"/>
      <c r="K2170" s="36"/>
      <c r="L2170" s="10"/>
      <c r="N2170" s="33"/>
      <c r="R2170" s="2"/>
      <c r="S2170" s="2"/>
      <c r="T2170" s="2"/>
      <c r="U2170" s="2"/>
      <c r="V2170" s="2"/>
      <c r="W2170" s="45"/>
    </row>
    <row r="2171" spans="1:23" x14ac:dyDescent="0.15">
      <c r="A2171" s="1"/>
      <c r="B2171" s="1"/>
      <c r="K2171" s="36"/>
      <c r="L2171" s="10"/>
      <c r="N2171" s="33"/>
      <c r="R2171" s="2"/>
      <c r="S2171" s="2"/>
      <c r="T2171" s="2"/>
      <c r="U2171" s="2"/>
      <c r="V2171" s="2"/>
      <c r="W2171" s="45"/>
    </row>
    <row r="2172" spans="1:23" x14ac:dyDescent="0.15">
      <c r="A2172" s="1"/>
      <c r="B2172" s="1"/>
      <c r="K2172" s="36"/>
      <c r="L2172" s="10"/>
      <c r="N2172" s="33"/>
      <c r="R2172" s="2"/>
      <c r="S2172" s="2"/>
      <c r="T2172" s="2"/>
      <c r="U2172" s="2"/>
      <c r="V2172" s="2"/>
      <c r="W2172" s="45"/>
    </row>
    <row r="2173" spans="1:23" x14ac:dyDescent="0.15">
      <c r="A2173" s="1"/>
      <c r="B2173" s="1"/>
      <c r="K2173" s="36"/>
      <c r="L2173" s="10"/>
      <c r="N2173" s="33"/>
      <c r="R2173" s="2"/>
      <c r="S2173" s="2"/>
      <c r="T2173" s="2"/>
      <c r="U2173" s="2"/>
      <c r="V2173" s="2"/>
      <c r="W2173" s="45"/>
    </row>
    <row r="2174" spans="1:23" x14ac:dyDescent="0.15">
      <c r="A2174" s="1"/>
      <c r="B2174" s="1"/>
      <c r="K2174" s="36"/>
      <c r="L2174" s="10"/>
      <c r="N2174" s="33"/>
      <c r="R2174" s="2"/>
      <c r="S2174" s="2"/>
      <c r="T2174" s="2"/>
      <c r="U2174" s="2"/>
      <c r="V2174" s="2"/>
      <c r="W2174" s="45"/>
    </row>
    <row r="2175" spans="1:23" x14ac:dyDescent="0.15">
      <c r="A2175" s="1"/>
      <c r="B2175" s="1"/>
      <c r="K2175" s="36"/>
      <c r="L2175" s="10"/>
      <c r="N2175" s="33"/>
      <c r="R2175" s="2"/>
      <c r="S2175" s="2"/>
      <c r="T2175" s="2"/>
      <c r="U2175" s="2"/>
      <c r="V2175" s="2"/>
      <c r="W2175" s="45"/>
    </row>
    <row r="2176" spans="1:23" x14ac:dyDescent="0.15">
      <c r="A2176" s="1"/>
      <c r="B2176" s="1"/>
      <c r="K2176" s="36"/>
      <c r="L2176" s="10"/>
      <c r="N2176" s="33"/>
      <c r="R2176" s="2"/>
      <c r="S2176" s="2"/>
      <c r="T2176" s="2"/>
      <c r="U2176" s="2"/>
      <c r="V2176" s="2"/>
      <c r="W2176" s="45"/>
    </row>
    <row r="2177" spans="1:23" x14ac:dyDescent="0.15">
      <c r="A2177" s="1"/>
      <c r="B2177" s="1"/>
      <c r="K2177" s="36"/>
      <c r="L2177" s="10"/>
      <c r="N2177" s="33"/>
      <c r="R2177" s="2"/>
      <c r="S2177" s="2"/>
      <c r="T2177" s="2"/>
      <c r="U2177" s="2"/>
      <c r="V2177" s="2"/>
      <c r="W2177" s="45"/>
    </row>
    <row r="2178" spans="1:23" x14ac:dyDescent="0.15">
      <c r="A2178" s="1"/>
      <c r="B2178" s="1"/>
      <c r="K2178" s="36"/>
      <c r="L2178" s="10"/>
      <c r="N2178" s="33"/>
      <c r="R2178" s="2"/>
      <c r="S2178" s="2"/>
      <c r="T2178" s="2"/>
      <c r="U2178" s="2"/>
      <c r="V2178" s="2"/>
      <c r="W2178" s="45"/>
    </row>
    <row r="2179" spans="1:23" x14ac:dyDescent="0.15">
      <c r="A2179" s="1"/>
      <c r="B2179" s="1"/>
      <c r="K2179" s="36"/>
      <c r="L2179" s="10"/>
      <c r="N2179" s="33"/>
      <c r="R2179" s="2"/>
      <c r="S2179" s="2"/>
      <c r="T2179" s="2"/>
      <c r="U2179" s="2"/>
      <c r="V2179" s="2"/>
      <c r="W2179" s="45"/>
    </row>
    <row r="2180" spans="1:23" x14ac:dyDescent="0.15">
      <c r="A2180" s="1"/>
      <c r="B2180" s="1"/>
      <c r="K2180" s="36"/>
      <c r="L2180" s="10"/>
      <c r="N2180" s="33"/>
      <c r="R2180" s="2"/>
      <c r="S2180" s="2"/>
      <c r="T2180" s="2"/>
      <c r="U2180" s="2"/>
      <c r="V2180" s="2"/>
      <c r="W2180" s="45"/>
    </row>
    <row r="2181" spans="1:23" x14ac:dyDescent="0.15">
      <c r="A2181" s="1"/>
      <c r="B2181" s="1"/>
      <c r="K2181" s="36"/>
      <c r="L2181" s="10"/>
      <c r="N2181" s="33"/>
      <c r="R2181" s="2"/>
      <c r="S2181" s="2"/>
      <c r="T2181" s="2"/>
      <c r="U2181" s="2"/>
      <c r="V2181" s="2"/>
      <c r="W2181" s="45"/>
    </row>
    <row r="2182" spans="1:23" x14ac:dyDescent="0.15">
      <c r="A2182" s="1"/>
      <c r="B2182" s="1"/>
      <c r="K2182" s="36"/>
      <c r="L2182" s="10"/>
      <c r="N2182" s="33"/>
      <c r="R2182" s="2"/>
      <c r="S2182" s="2"/>
      <c r="T2182" s="2"/>
      <c r="U2182" s="2"/>
      <c r="V2182" s="2"/>
      <c r="W2182" s="45"/>
    </row>
    <row r="2183" spans="1:23" x14ac:dyDescent="0.15">
      <c r="A2183" s="1"/>
      <c r="B2183" s="1"/>
      <c r="K2183" s="36"/>
      <c r="L2183" s="10"/>
      <c r="N2183" s="33"/>
      <c r="R2183" s="2"/>
      <c r="S2183" s="2"/>
      <c r="T2183" s="2"/>
      <c r="U2183" s="2"/>
      <c r="V2183" s="2"/>
      <c r="W2183" s="45"/>
    </row>
    <row r="2184" spans="1:23" x14ac:dyDescent="0.15">
      <c r="A2184" s="1"/>
      <c r="B2184" s="1"/>
      <c r="K2184" s="36"/>
      <c r="L2184" s="10"/>
      <c r="N2184" s="33"/>
      <c r="R2184" s="2"/>
      <c r="S2184" s="2"/>
      <c r="T2184" s="2"/>
      <c r="U2184" s="2"/>
      <c r="V2184" s="2"/>
      <c r="W2184" s="45"/>
    </row>
    <row r="2185" spans="1:23" x14ac:dyDescent="0.15">
      <c r="A2185" s="1"/>
      <c r="B2185" s="1"/>
      <c r="K2185" s="36"/>
      <c r="L2185" s="10"/>
      <c r="N2185" s="33"/>
      <c r="R2185" s="2"/>
      <c r="S2185" s="2"/>
      <c r="T2185" s="2"/>
      <c r="U2185" s="2"/>
      <c r="V2185" s="2"/>
      <c r="W2185" s="45"/>
    </row>
    <row r="2186" spans="1:23" x14ac:dyDescent="0.15">
      <c r="A2186" s="1"/>
      <c r="B2186" s="1"/>
      <c r="K2186" s="36"/>
      <c r="L2186" s="10"/>
      <c r="N2186" s="33"/>
      <c r="R2186" s="2"/>
      <c r="S2186" s="2"/>
      <c r="T2186" s="2"/>
      <c r="U2186" s="2"/>
      <c r="V2186" s="2"/>
      <c r="W2186" s="45"/>
    </row>
    <row r="2187" spans="1:23" x14ac:dyDescent="0.15">
      <c r="A2187" s="1"/>
      <c r="B2187" s="1"/>
      <c r="K2187" s="36"/>
      <c r="L2187" s="10"/>
      <c r="N2187" s="33"/>
      <c r="R2187" s="2"/>
      <c r="S2187" s="2"/>
      <c r="T2187" s="2"/>
      <c r="U2187" s="2"/>
      <c r="V2187" s="2"/>
      <c r="W2187" s="45"/>
    </row>
    <row r="2188" spans="1:23" x14ac:dyDescent="0.15">
      <c r="A2188" s="1"/>
      <c r="B2188" s="1"/>
      <c r="K2188" s="36"/>
      <c r="L2188" s="10"/>
      <c r="N2188" s="33"/>
      <c r="R2188" s="2"/>
      <c r="S2188" s="2"/>
      <c r="T2188" s="2"/>
      <c r="U2188" s="2"/>
      <c r="V2188" s="2"/>
      <c r="W2188" s="45"/>
    </row>
  </sheetData>
  <autoFilter ref="A1:AN2188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25"/>
  <sheetViews>
    <sheetView workbookViewId="0">
      <selection activeCell="S25" sqref="S25"/>
    </sheetView>
  </sheetViews>
  <sheetFormatPr defaultRowHeight="13.5" x14ac:dyDescent="0.15"/>
  <cols>
    <col min="1" max="1" width="10.5" bestFit="1" customWidth="1"/>
    <col min="2" max="2" width="9" bestFit="1" customWidth="1"/>
    <col min="3" max="3" width="13" bestFit="1" customWidth="1"/>
    <col min="4" max="4" width="5.25" bestFit="1" customWidth="1"/>
    <col min="6" max="6" width="26" bestFit="1" customWidth="1"/>
    <col min="8" max="8" width="10" customWidth="1"/>
    <col min="9" max="9" width="5.25" bestFit="1" customWidth="1"/>
    <col min="10" max="10" width="13" bestFit="1" customWidth="1"/>
    <col min="12" max="12" width="9.5" bestFit="1" customWidth="1"/>
    <col min="13" max="14" width="9.5" customWidth="1"/>
    <col min="15" max="15" width="9.5" bestFit="1" customWidth="1"/>
    <col min="19" max="19" width="12.125" customWidth="1"/>
  </cols>
  <sheetData>
    <row r="1" spans="1:23" x14ac:dyDescent="0.15">
      <c r="A1" s="58" t="s">
        <v>109</v>
      </c>
      <c r="B1" s="58" t="s">
        <v>111</v>
      </c>
      <c r="C1" s="58" t="s">
        <v>113</v>
      </c>
      <c r="D1" s="54" t="s">
        <v>1</v>
      </c>
      <c r="E1" s="55" t="s">
        <v>115</v>
      </c>
      <c r="F1" s="54" t="s">
        <v>2</v>
      </c>
      <c r="G1" s="54" t="s">
        <v>6</v>
      </c>
      <c r="H1" s="56" t="s">
        <v>53</v>
      </c>
      <c r="I1" s="58" t="s">
        <v>125</v>
      </c>
      <c r="J1" s="58" t="s">
        <v>130</v>
      </c>
      <c r="K1" s="58" t="s">
        <v>132</v>
      </c>
      <c r="L1" s="58" t="s">
        <v>128</v>
      </c>
      <c r="M1" s="58" t="s">
        <v>129</v>
      </c>
      <c r="N1" s="61" t="s">
        <v>141</v>
      </c>
      <c r="O1" s="61" t="s">
        <v>149</v>
      </c>
      <c r="P1" s="60" t="s">
        <v>140</v>
      </c>
    </row>
    <row r="2" spans="1:23" x14ac:dyDescent="0.15">
      <c r="A2">
        <f ca="1">VLOOKUP(B2,技能CD配置辅助表!$C$3:$K$14,9,0)+I2</f>
        <v>19111100</v>
      </c>
      <c r="B2" t="str">
        <f>C2</f>
        <v>瞬狱·斩</v>
      </c>
      <c r="C2" t="s">
        <v>188</v>
      </c>
      <c r="D2">
        <f>VLOOKUP(C2,技能CD配置辅助表!$C$3:$E$14,3,0)</f>
        <v>1</v>
      </c>
      <c r="E2">
        <f>IF(I2=0,1,IF(I2&lt;3,VLOOKUP(C2,技能CD配置辅助表!$C$3:$I$14,7,0)+(I2-1)*2,VLOOKUP(C2,技能CD配置辅助表!$C$3:$I$14,7,0)+(I2-1)*3-1))</f>
        <v>1</v>
      </c>
      <c r="F2" t="str">
        <f>"第"&amp;I2&amp;"级，技能冷却时间"&amp;G2/1000&amp;"秒"</f>
        <v>第0级，技能冷却时间15秒</v>
      </c>
      <c r="G2">
        <f>VLOOKUP(C2,技能CD配置辅助表!$C$3:$J$14,8,0)-(VLOOKUP(C2,技能CD配置辅助表!$C$3:$J$14,8,0)-VLOOKUP(C2,技能CD配置辅助表!$C$2:$M$14,11,0))/(VLOOKUP(C2,技能CD配置辅助表!$C$3:$H$14,6,0)-1)*(I2-IF(I2=0,0,1))</f>
        <v>15000</v>
      </c>
      <c r="H2">
        <f>M2*'[1]0、经济设定'!$C$18*IF(E2&lt;J2,1,1)</f>
        <v>0</v>
      </c>
      <c r="I2">
        <f>IF(B2=B1,I1+1,0)</f>
        <v>0</v>
      </c>
      <c r="J2">
        <f>VLOOKUP(C2,技能CD配置辅助表!$C$3:$L$14,10,0)</f>
        <v>20</v>
      </c>
      <c r="K2">
        <f>IF(E2&lt;J2,0,ROUNDUP(L2/$T$4*R2,0))</f>
        <v>0</v>
      </c>
      <c r="L2" s="45">
        <f t="shared" ref="L2:L18" ca="1" si="0">ROUND((IF(I2&lt;2,0,ROUND(OFFSET(P2,N2-I2+108*(1-D2),0)*(1-$T$3)/(1-$T$3^(N2-1))*$T$3^(I2-2)*$T$2,0))+IF(I2&lt;2,0,ROUND(OFFSET(P2,N2-I2+108*(2-D2),0)*(1-$T$3)/(1-$T$3^(N2-1))*$T$3^(I2-2)*$T$2,0))+IF(I2&lt;2,0,ROUND(OFFSET(P2,N2-I2+108*(3-D2),0)*(1-$T$3)/(1-$T$3^(N2-1))*$T$3^(I2-2)*$T$2,0)))/3,0)</f>
        <v>0</v>
      </c>
      <c r="M2">
        <f>IF(I2=0,0,L2+M1)</f>
        <v>0</v>
      </c>
      <c r="N2">
        <f>VLOOKUP(C2,技能CD配置辅助表!$C$3:$H$14,6,0)</f>
        <v>26</v>
      </c>
      <c r="O2">
        <f>VLOOKUP(C2,技能CD配置辅助表!$C$3:$M$14,5,0)</f>
        <v>1</v>
      </c>
      <c r="P2">
        <f ca="1">IFERROR(VLOOKUP(A2+I2-10000003,D_技能表!A:AD,30,0)*(VLOOKUP(C2,技能CD配置辅助表!$C$3:$J$14,8,0)-G2)/VLOOKUP(C2,技能CD配置辅助表!$C$3:$J$14,8,0),0)*IF(VLOOKUP(C2,技能CD配置辅助表!$C$3:$F$14,4,0)=1,1,4)</f>
        <v>0</v>
      </c>
      <c r="R2">
        <v>0</v>
      </c>
      <c r="S2" t="s">
        <v>146</v>
      </c>
      <c r="T2">
        <f>1/D_技能表!AN12</f>
        <v>1.6666666666666667</v>
      </c>
      <c r="U2">
        <f>1/D_技能表!AN12</f>
        <v>1.6666666666666667</v>
      </c>
      <c r="W2">
        <f>IF(AA2=0,1,IF(AA2=1,1,IF(AA2&lt;4,VLOOKUP(U2,技能CD配置辅助表!$C$3:$I$14,7,0)+(AA2-1)*4,VLOOKUP(U2,技能CD配置辅助表!$C$3:$I$14,7,0)+(AA2-1)*3+3)))</f>
        <v>1</v>
      </c>
    </row>
    <row r="3" spans="1:23" x14ac:dyDescent="0.15">
      <c r="A3">
        <f ca="1">VLOOKUP(B3,技能CD配置辅助表!$C$3:$K$14,9,0)+I3</f>
        <v>19111101</v>
      </c>
      <c r="B3" t="str">
        <f t="shared" ref="B3:B66" si="1">C3</f>
        <v>瞬狱·斩</v>
      </c>
      <c r="C3" t="s">
        <v>188</v>
      </c>
      <c r="D3">
        <f>VLOOKUP(C3,技能CD配置辅助表!$C$3:$E$14,3,0)</f>
        <v>1</v>
      </c>
      <c r="E3">
        <f>IF(I3=0,1,IF(I3&lt;3,VLOOKUP(C3,技能CD配置辅助表!$C$3:$I$14,7,0)+(I3-1)*2,VLOOKUP(C3,技能CD配置辅助表!$C$3:$I$14,7,0)+(I3-1)*3-1))</f>
        <v>2</v>
      </c>
      <c r="F3" t="str">
        <f t="shared" ref="F3:F66" si="2">"第"&amp;I3&amp;"级，技能冷却时间"&amp;G3/1000&amp;"秒"</f>
        <v>第1级，技能冷却时间15秒</v>
      </c>
      <c r="G3">
        <f>VLOOKUP(C3,技能CD配置辅助表!$C$3:$J$14,8,0)-(VLOOKUP(C3,技能CD配置辅助表!$C$3:$J$14,8,0)-VLOOKUP(C3,技能CD配置辅助表!$C$2:$M$14,11,0))/(VLOOKUP(C3,技能CD配置辅助表!$C$3:$H$14,6,0)-1)*(I3-IF(I3=0,0,1))</f>
        <v>15000</v>
      </c>
      <c r="H3">
        <f ca="1">M3*'[1]0、经济设定'!$C$18*IF(E3&lt;J3,1,1)</f>
        <v>0</v>
      </c>
      <c r="I3">
        <f>IF(B3=B2,I2+1,0)</f>
        <v>1</v>
      </c>
      <c r="J3">
        <f>VLOOKUP(C3,技能CD配置辅助表!$C$3:$L$14,10,0)</f>
        <v>20</v>
      </c>
      <c r="K3">
        <f t="shared" ref="K3:K66" si="3">IF(E3&lt;J3,0,ROUNDUP(L3/$T$4*R3,0))</f>
        <v>0</v>
      </c>
      <c r="L3" s="45">
        <f t="shared" ca="1" si="0"/>
        <v>0</v>
      </c>
      <c r="M3">
        <f t="shared" ref="M3:M66" ca="1" si="4">IF(I3=0,0,L3+M2)</f>
        <v>0</v>
      </c>
      <c r="N3">
        <f>VLOOKUP(C3,技能CD配置辅助表!$C$3:$H$14,6,0)</f>
        <v>26</v>
      </c>
      <c r="O3">
        <f>VLOOKUP(C3,技能CD配置辅助表!$C$3:$M$14,5,0)</f>
        <v>1</v>
      </c>
      <c r="P3">
        <f ca="1">IFERROR(VLOOKUP(A3+I3-10000003,D_技能表!A:AD,30,0)*(VLOOKUP(C3,技能CD配置辅助表!$C$3:$J$14,8,0)-G3)/VLOOKUP(C3,技能CD配置辅助表!$C$3:$J$14,8,0),0)*IF(VLOOKUP(C3,技能CD配置辅助表!$C$3:$F$14,4,0)=1,1,4)</f>
        <v>0</v>
      </c>
      <c r="R3">
        <v>0</v>
      </c>
      <c r="S3" s="59" t="s">
        <v>139</v>
      </c>
      <c r="T3">
        <v>1.1599999999999999</v>
      </c>
    </row>
    <row r="4" spans="1:23" x14ac:dyDescent="0.15">
      <c r="A4">
        <f ca="1">VLOOKUP(B4,技能CD配置辅助表!$C$3:$K$14,9,0)+I4</f>
        <v>19111102</v>
      </c>
      <c r="B4" t="str">
        <f t="shared" si="1"/>
        <v>瞬狱·斩</v>
      </c>
      <c r="C4" t="s">
        <v>188</v>
      </c>
      <c r="D4">
        <f>VLOOKUP(C4,技能CD配置辅助表!$C$3:$E$14,3,0)</f>
        <v>1</v>
      </c>
      <c r="E4">
        <f>IF(I4=0,1,IF(I4&lt;3,VLOOKUP(C4,技能CD配置辅助表!$C$3:$I$14,7,0)+(I4-1)*2,VLOOKUP(C4,技能CD配置辅助表!$C$3:$I$14,7,0)+(I4-1)*3-1))</f>
        <v>4</v>
      </c>
      <c r="F4" t="str">
        <f t="shared" si="2"/>
        <v>第2级，技能冷却时间14.64秒</v>
      </c>
      <c r="G4">
        <f>VLOOKUP(C4,技能CD配置辅助表!$C$3:$J$14,8,0)-(VLOOKUP(C4,技能CD配置辅助表!$C$3:$J$14,8,0)-VLOOKUP(C4,技能CD配置辅助表!$C$2:$M$14,11,0))/(VLOOKUP(C4,技能CD配置辅助表!$C$3:$H$14,6,0)-1)*(I4-IF(I4=0,0,1))</f>
        <v>14640</v>
      </c>
      <c r="H4">
        <f ca="1">M4*'[1]0、经济设定'!$C$18*IF(E4&lt;J4,1,1)</f>
        <v>600</v>
      </c>
      <c r="I4">
        <f t="shared" ref="I4:I66" si="5">IF(B4=B3,I3+1,0)</f>
        <v>2</v>
      </c>
      <c r="J4">
        <f>VLOOKUP(C4,技能CD配置辅助表!$C$3:$L$14,10,0)</f>
        <v>20</v>
      </c>
      <c r="K4">
        <f t="shared" si="3"/>
        <v>0</v>
      </c>
      <c r="L4" s="45">
        <f t="shared" ca="1" si="0"/>
        <v>12</v>
      </c>
      <c r="M4">
        <f t="shared" ca="1" si="4"/>
        <v>12</v>
      </c>
      <c r="N4">
        <f>VLOOKUP(C4,技能CD配置辅助表!$C$3:$H$14,6,0)</f>
        <v>26</v>
      </c>
      <c r="O4">
        <f>VLOOKUP(C4,技能CD配置辅助表!$C$3:$M$14,5,0)</f>
        <v>1</v>
      </c>
      <c r="P4">
        <f ca="1">IFERROR(VLOOKUP(A4+I4-10000003,D_技能表!A:AD,30,0)*(VLOOKUP(C4,技能CD配置辅助表!$C$3:$J$14,8,0)-G4)/VLOOKUP(C4,技能CD配置辅助表!$C$3:$J$14,8,0),0)*IF(VLOOKUP(C4,技能CD配置辅助表!$C$3:$F$14,4,0)=1,1,4)</f>
        <v>7.2408071863554344E-2</v>
      </c>
      <c r="Q4">
        <f>IFERROR(K4/VLOOKUP(E4,升级时间!$A$2:$C$101,2,0),0)</f>
        <v>0</v>
      </c>
      <c r="R4">
        <v>0</v>
      </c>
      <c r="S4" s="62" t="s">
        <v>143</v>
      </c>
      <c r="T4">
        <v>0.7</v>
      </c>
    </row>
    <row r="5" spans="1:23" x14ac:dyDescent="0.15">
      <c r="A5">
        <f ca="1">VLOOKUP(B5,技能CD配置辅助表!$C$3:$K$14,9,0)+I5</f>
        <v>19111103</v>
      </c>
      <c r="B5" t="str">
        <f t="shared" si="1"/>
        <v>瞬狱·斩</v>
      </c>
      <c r="C5" t="s">
        <v>188</v>
      </c>
      <c r="D5">
        <f>VLOOKUP(C5,技能CD配置辅助表!$C$3:$E$14,3,0)</f>
        <v>1</v>
      </c>
      <c r="E5">
        <f>IF(I5=0,1,IF(I5&lt;3,VLOOKUP(C5,技能CD配置辅助表!$C$3:$I$14,7,0)+(I5-1)*2,VLOOKUP(C5,技能CD配置辅助表!$C$3:$I$14,7,0)+(I5-1)*3-1))</f>
        <v>7</v>
      </c>
      <c r="F5" t="str">
        <f t="shared" si="2"/>
        <v>第3级，技能冷却时间14.28秒</v>
      </c>
      <c r="G5">
        <f>VLOOKUP(C5,技能CD配置辅助表!$C$3:$J$14,8,0)-(VLOOKUP(C5,技能CD配置辅助表!$C$3:$J$14,8,0)-VLOOKUP(C5,技能CD配置辅助表!$C$2:$M$14,11,0))/(VLOOKUP(C5,技能CD配置辅助表!$C$3:$H$14,6,0)-1)*(I5-IF(I5=0,0,1))</f>
        <v>14280</v>
      </c>
      <c r="H5">
        <f ca="1">M5*'[1]0、经济设定'!$C$18*IF(E5&lt;J5,1,1)</f>
        <v>1300</v>
      </c>
      <c r="I5">
        <f t="shared" si="5"/>
        <v>3</v>
      </c>
      <c r="J5">
        <f>VLOOKUP(C5,技能CD配置辅助表!$C$3:$L$14,10,0)</f>
        <v>20</v>
      </c>
      <c r="K5">
        <f t="shared" si="3"/>
        <v>0</v>
      </c>
      <c r="L5" s="45">
        <f t="shared" ca="1" si="0"/>
        <v>14</v>
      </c>
      <c r="M5">
        <f t="shared" ca="1" si="4"/>
        <v>26</v>
      </c>
      <c r="N5">
        <f>VLOOKUP(C5,技能CD配置辅助表!$C$3:$H$14,6,0)</f>
        <v>26</v>
      </c>
      <c r="O5">
        <f>VLOOKUP(C5,技能CD配置辅助表!$C$3:$M$14,5,0)</f>
        <v>1</v>
      </c>
      <c r="P5">
        <f ca="1">IFERROR(VLOOKUP(A5+I5-10000003,D_技能表!A:AD,30,0)*(VLOOKUP(C5,技能CD配置辅助表!$C$3:$J$14,8,0)-G5)/VLOOKUP(C5,技能CD配置辅助表!$C$3:$J$14,8,0),0)*IF(VLOOKUP(C5,技能CD配置辅助表!$C$3:$F$14,4,0)=1,1,4)</f>
        <v>0.19826209416198565</v>
      </c>
      <c r="Q5">
        <f>IFERROR(K5/VLOOKUP(E5,升级时间!$A$2:$C$101,2,0),0)</f>
        <v>0</v>
      </c>
      <c r="R5">
        <v>0</v>
      </c>
      <c r="S5" s="62" t="s">
        <v>144</v>
      </c>
      <c r="T5">
        <f ca="1">SUMIF(D:D,1,K:K)</f>
        <v>30978</v>
      </c>
      <c r="U5">
        <f ca="1">T5/186</f>
        <v>166.54838709677421</v>
      </c>
    </row>
    <row r="6" spans="1:23" x14ac:dyDescent="0.15">
      <c r="A6">
        <f ca="1">VLOOKUP(B6,技能CD配置辅助表!$C$3:$K$14,9,0)+I6</f>
        <v>19111104</v>
      </c>
      <c r="B6" t="str">
        <f t="shared" si="1"/>
        <v>瞬狱·斩</v>
      </c>
      <c r="C6" t="s">
        <v>188</v>
      </c>
      <c r="D6">
        <f>VLOOKUP(C6,技能CD配置辅助表!$C$3:$E$14,3,0)</f>
        <v>1</v>
      </c>
      <c r="E6">
        <f>IF(I6=0,1,IF(I6&lt;3,VLOOKUP(C6,技能CD配置辅助表!$C$3:$I$14,7,0)+(I6-1)*2,VLOOKUP(C6,技能CD配置辅助表!$C$3:$I$14,7,0)+(I6-1)*3-1))</f>
        <v>10</v>
      </c>
      <c r="F6" t="str">
        <f t="shared" si="2"/>
        <v>第4级，技能冷却时间13.92秒</v>
      </c>
      <c r="G6">
        <f>VLOOKUP(C6,技能CD配置辅助表!$C$3:$J$14,8,0)-(VLOOKUP(C6,技能CD配置辅助表!$C$3:$J$14,8,0)-VLOOKUP(C6,技能CD配置辅助表!$C$2:$M$14,11,0))/(VLOOKUP(C6,技能CD配置辅助表!$C$3:$H$14,6,0)-1)*(I6-IF(I6=0,0,1))</f>
        <v>13920</v>
      </c>
      <c r="H6">
        <f ca="1">M6*'[1]0、经济设定'!$C$18*IF(E6&lt;J6,1,1)</f>
        <v>2100</v>
      </c>
      <c r="I6">
        <f t="shared" si="5"/>
        <v>4</v>
      </c>
      <c r="J6">
        <f>VLOOKUP(C6,技能CD配置辅助表!$C$3:$L$14,10,0)</f>
        <v>20</v>
      </c>
      <c r="K6">
        <f t="shared" si="3"/>
        <v>0</v>
      </c>
      <c r="L6" s="45">
        <f t="shared" ca="1" si="0"/>
        <v>16</v>
      </c>
      <c r="M6">
        <f t="shared" ca="1" si="4"/>
        <v>42</v>
      </c>
      <c r="N6">
        <f>VLOOKUP(C6,技能CD配置辅助表!$C$3:$H$14,6,0)</f>
        <v>26</v>
      </c>
      <c r="O6">
        <f>VLOOKUP(C6,技能CD配置辅助表!$C$3:$M$14,5,0)</f>
        <v>1</v>
      </c>
      <c r="P6">
        <f ca="1">IFERROR(VLOOKUP(A6+I6-10000003,D_技能表!A:AD,30,0)*(VLOOKUP(C6,技能CD配置辅助表!$C$3:$J$14,8,0)-G6)/VLOOKUP(C6,技能CD配置辅助表!$C$3:$J$14,8,0),0)*IF(VLOOKUP(C6,技能CD配置辅助表!$C$3:$F$14,4,0)=1,1,4)</f>
        <v>0.39915197351074</v>
      </c>
      <c r="Q6">
        <f>IFERROR(K6/VLOOKUP(E6,升级时间!$A$2:$C$101,2,0),0)</f>
        <v>0</v>
      </c>
      <c r="R6">
        <v>0</v>
      </c>
      <c r="S6" s="62" t="s">
        <v>144</v>
      </c>
      <c r="T6">
        <f ca="1">SUMIF(D:D,2,K:K)</f>
        <v>30978</v>
      </c>
    </row>
    <row r="7" spans="1:23" x14ac:dyDescent="0.15">
      <c r="A7">
        <f ca="1">VLOOKUP(B7,技能CD配置辅助表!$C$3:$K$14,9,0)+I7</f>
        <v>19111105</v>
      </c>
      <c r="B7" t="str">
        <f t="shared" si="1"/>
        <v>瞬狱·斩</v>
      </c>
      <c r="C7" t="s">
        <v>188</v>
      </c>
      <c r="D7">
        <f>VLOOKUP(C7,技能CD配置辅助表!$C$3:$E$14,3,0)</f>
        <v>1</v>
      </c>
      <c r="E7">
        <f>IF(I7=0,1,IF(I7&lt;3,VLOOKUP(C7,技能CD配置辅助表!$C$3:$I$14,7,0)+(I7-1)*2,VLOOKUP(C7,技能CD配置辅助表!$C$3:$I$14,7,0)+(I7-1)*3-1))</f>
        <v>13</v>
      </c>
      <c r="F7" t="str">
        <f t="shared" si="2"/>
        <v>第5级，技能冷却时间13.56秒</v>
      </c>
      <c r="G7">
        <f>VLOOKUP(C7,技能CD配置辅助表!$C$3:$J$14,8,0)-(VLOOKUP(C7,技能CD配置辅助表!$C$3:$J$14,8,0)-VLOOKUP(C7,技能CD配置辅助表!$C$2:$M$14,11,0))/(VLOOKUP(C7,技能CD配置辅助表!$C$3:$H$14,6,0)-1)*(I7-IF(I7=0,0,1))</f>
        <v>13560</v>
      </c>
      <c r="H7">
        <f ca="1">M7*'[1]0、经济设定'!$C$18*IF(E7&lt;J7,1,1)</f>
        <v>3000</v>
      </c>
      <c r="I7">
        <f t="shared" si="5"/>
        <v>5</v>
      </c>
      <c r="J7">
        <f>VLOOKUP(C7,技能CD配置辅助表!$C$3:$L$14,10,0)</f>
        <v>20</v>
      </c>
      <c r="K7">
        <f t="shared" si="3"/>
        <v>0</v>
      </c>
      <c r="L7" s="45">
        <f t="shared" ca="1" si="0"/>
        <v>18</v>
      </c>
      <c r="M7">
        <f t="shared" ca="1" si="4"/>
        <v>60</v>
      </c>
      <c r="N7">
        <f>VLOOKUP(C7,技能CD配置辅助表!$C$3:$H$14,6,0)</f>
        <v>26</v>
      </c>
      <c r="O7">
        <f>VLOOKUP(C7,技能CD配置辅助表!$C$3:$M$14,5,0)</f>
        <v>1</v>
      </c>
      <c r="P7">
        <f ca="1">IFERROR(VLOOKUP(A7+I7-10000003,D_技能表!A:AD,30,0)*(VLOOKUP(C7,技能CD配置辅助表!$C$3:$J$14,8,0)-G7)/VLOOKUP(C7,技能CD配置辅助表!$C$3:$J$14,8,0),0)*IF(VLOOKUP(C7,技能CD配置辅助表!$C$3:$F$14,4,0)=1,1,4)</f>
        <v>0.71346641152253509</v>
      </c>
      <c r="Q7">
        <f>IFERROR(K7/VLOOKUP(E7,升级时间!$A$2:$C$101,2,0),0)</f>
        <v>0</v>
      </c>
      <c r="R7">
        <v>0.1</v>
      </c>
      <c r="S7" s="62" t="s">
        <v>144</v>
      </c>
      <c r="T7">
        <f ca="1">SUMIF(D:D,3,K:K)</f>
        <v>30978</v>
      </c>
    </row>
    <row r="8" spans="1:23" x14ac:dyDescent="0.15">
      <c r="A8">
        <f ca="1">VLOOKUP(B8,技能CD配置辅助表!$C$3:$K$14,9,0)+I8</f>
        <v>19111106</v>
      </c>
      <c r="B8" t="str">
        <f t="shared" si="1"/>
        <v>瞬狱·斩</v>
      </c>
      <c r="C8" t="s">
        <v>188</v>
      </c>
      <c r="D8">
        <f>VLOOKUP(C8,技能CD配置辅助表!$C$3:$E$14,3,0)</f>
        <v>1</v>
      </c>
      <c r="E8">
        <f>IF(I8=0,1,IF(I8&lt;3,VLOOKUP(C8,技能CD配置辅助表!$C$3:$I$14,7,0)+(I8-1)*2,VLOOKUP(C8,技能CD配置辅助表!$C$3:$I$14,7,0)+(I8-1)*3-1))</f>
        <v>16</v>
      </c>
      <c r="F8" t="str">
        <f t="shared" si="2"/>
        <v>第6级，技能冷却时间13.2秒</v>
      </c>
      <c r="G8">
        <f>VLOOKUP(C8,技能CD配置辅助表!$C$3:$J$14,8,0)-(VLOOKUP(C8,技能CD配置辅助表!$C$3:$J$14,8,0)-VLOOKUP(C8,技能CD配置辅助表!$C$2:$M$14,11,0))/(VLOOKUP(C8,技能CD配置辅助表!$C$3:$H$14,6,0)-1)*(I8-IF(I8=0,0,1))</f>
        <v>13200</v>
      </c>
      <c r="H8">
        <f ca="1">M8*'[1]0、经济设定'!$C$18*IF(E8&lt;J8,1,1)</f>
        <v>4050</v>
      </c>
      <c r="I8">
        <f t="shared" si="5"/>
        <v>6</v>
      </c>
      <c r="J8">
        <f>VLOOKUP(C8,技能CD配置辅助表!$C$3:$L$14,10,0)</f>
        <v>20</v>
      </c>
      <c r="K8">
        <f t="shared" si="3"/>
        <v>0</v>
      </c>
      <c r="L8" s="45">
        <f t="shared" ca="1" si="0"/>
        <v>21</v>
      </c>
      <c r="M8">
        <f t="shared" ca="1" si="4"/>
        <v>81</v>
      </c>
      <c r="N8">
        <f>VLOOKUP(C8,技能CD配置辅助表!$C$3:$H$14,6,0)</f>
        <v>26</v>
      </c>
      <c r="O8">
        <f>VLOOKUP(C8,技能CD配置辅助表!$C$3:$M$14,5,0)</f>
        <v>1</v>
      </c>
      <c r="P8">
        <f ca="1">IFERROR(VLOOKUP(A8+I8-10000003,D_技能表!A:AD,30,0)*(VLOOKUP(C8,技能CD配置辅助表!$C$3:$J$14,8,0)-G8)/VLOOKUP(C8,技能CD配置辅助表!$C$3:$J$14,8,0),0)*IF(VLOOKUP(C8,技能CD配置辅助表!$C$3:$F$14,4,0)=1,1,4)</f>
        <v>1.1942701170599257</v>
      </c>
      <c r="Q8">
        <f>IFERROR(K8/VLOOKUP(E8,升级时间!$A$2:$C$101,2,0),0)</f>
        <v>0</v>
      </c>
      <c r="R8">
        <v>0.2</v>
      </c>
      <c r="S8" s="62" t="s">
        <v>196</v>
      </c>
      <c r="T8">
        <f ca="1">M28+M55+M82+M109</f>
        <v>16813</v>
      </c>
    </row>
    <row r="9" spans="1:23" x14ac:dyDescent="0.15">
      <c r="A9">
        <f ca="1">VLOOKUP(B9,技能CD配置辅助表!$C$3:$K$14,9,0)+I9</f>
        <v>19111107</v>
      </c>
      <c r="B9" t="str">
        <f t="shared" si="1"/>
        <v>瞬狱·斩</v>
      </c>
      <c r="C9" t="s">
        <v>188</v>
      </c>
      <c r="D9">
        <f>VLOOKUP(C9,技能CD配置辅助表!$C$3:$E$14,3,0)</f>
        <v>1</v>
      </c>
      <c r="E9">
        <f>IF(I9=0,1,IF(I9&lt;3,VLOOKUP(C9,技能CD配置辅助表!$C$3:$I$14,7,0)+(I9-1)*2,VLOOKUP(C9,技能CD配置辅助表!$C$3:$I$14,7,0)+(I9-1)*3-1))</f>
        <v>19</v>
      </c>
      <c r="F9" t="str">
        <f t="shared" si="2"/>
        <v>第7级，技能冷却时间12.84秒</v>
      </c>
      <c r="G9">
        <f>VLOOKUP(C9,技能CD配置辅助表!$C$3:$J$14,8,0)-(VLOOKUP(C9,技能CD配置辅助表!$C$3:$J$14,8,0)-VLOOKUP(C9,技能CD配置辅助表!$C$2:$M$14,11,0))/(VLOOKUP(C9,技能CD配置辅助表!$C$3:$H$14,6,0)-1)*(I9-IF(I9=0,0,1))</f>
        <v>12840</v>
      </c>
      <c r="H9">
        <f ca="1">M9*'[1]0、经济设定'!$C$18*IF(E9&lt;J9,1,1)</f>
        <v>5300</v>
      </c>
      <c r="I9">
        <f t="shared" si="5"/>
        <v>7</v>
      </c>
      <c r="J9">
        <f>VLOOKUP(C9,技能CD配置辅助表!$C$3:$L$14,10,0)</f>
        <v>20</v>
      </c>
      <c r="K9">
        <f t="shared" si="3"/>
        <v>0</v>
      </c>
      <c r="L9" s="45">
        <f t="shared" ca="1" si="0"/>
        <v>25</v>
      </c>
      <c r="M9">
        <f t="shared" ca="1" si="4"/>
        <v>106</v>
      </c>
      <c r="N9">
        <f>VLOOKUP(C9,技能CD配置辅助表!$C$3:$H$14,6,0)</f>
        <v>26</v>
      </c>
      <c r="O9">
        <f>VLOOKUP(C9,技能CD配置辅助表!$C$3:$M$14,5,0)</f>
        <v>1</v>
      </c>
      <c r="P9">
        <f ca="1">IFERROR(VLOOKUP(A9+I9-10000003,D_技能表!A:AD,30,0)*(VLOOKUP(C9,技能CD配置辅助表!$C$3:$J$14,8,0)-G9)/VLOOKUP(C9,技能CD配置辅助表!$C$3:$J$14,8,0),0)*IF(VLOOKUP(C9,技能CD配置辅助表!$C$3:$F$14,4,0)=1,1,4)</f>
        <v>1.9171473901059597</v>
      </c>
      <c r="Q9">
        <f>IFERROR(K9/VLOOKUP(E9,升级时间!$A$2:$C$101,2,0),0)</f>
        <v>0</v>
      </c>
      <c r="R9">
        <v>0.3</v>
      </c>
    </row>
    <row r="10" spans="1:23" x14ac:dyDescent="0.15">
      <c r="A10">
        <f ca="1">VLOOKUP(B10,技能CD配置辅助表!$C$3:$K$14,9,0)+I10</f>
        <v>19111108</v>
      </c>
      <c r="B10" t="str">
        <f t="shared" si="1"/>
        <v>瞬狱·斩</v>
      </c>
      <c r="C10" t="s">
        <v>188</v>
      </c>
      <c r="D10">
        <f>VLOOKUP(C10,技能CD配置辅助表!$C$3:$E$14,3,0)</f>
        <v>1</v>
      </c>
      <c r="E10">
        <f>IF(I10=0,1,IF(I10&lt;3,VLOOKUP(C10,技能CD配置辅助表!$C$3:$I$14,7,0)+(I10-1)*2,VLOOKUP(C10,技能CD配置辅助表!$C$3:$I$14,7,0)+(I10-1)*3-1))</f>
        <v>22</v>
      </c>
      <c r="F10" t="str">
        <f t="shared" si="2"/>
        <v>第8级，技能冷却时间12.48秒</v>
      </c>
      <c r="G10">
        <f>VLOOKUP(C10,技能CD配置辅助表!$C$3:$J$14,8,0)-(VLOOKUP(C10,技能CD配置辅助表!$C$3:$J$14,8,0)-VLOOKUP(C10,技能CD配置辅助表!$C$2:$M$14,11,0))/(VLOOKUP(C10,技能CD配置辅助表!$C$3:$H$14,6,0)-1)*(I10-IF(I10=0,0,1))</f>
        <v>12480</v>
      </c>
      <c r="H10">
        <f ca="1">M10*'[1]0、经济设定'!$C$18*IF(E10&lt;J10,1,1)</f>
        <v>6750</v>
      </c>
      <c r="I10">
        <f t="shared" si="5"/>
        <v>8</v>
      </c>
      <c r="J10">
        <f>VLOOKUP(C10,技能CD配置辅助表!$C$3:$L$14,10,0)</f>
        <v>20</v>
      </c>
      <c r="K10">
        <f t="shared" ca="1" si="3"/>
        <v>17</v>
      </c>
      <c r="L10" s="45">
        <f t="shared" ca="1" si="0"/>
        <v>29</v>
      </c>
      <c r="M10">
        <f t="shared" ca="1" si="4"/>
        <v>135</v>
      </c>
      <c r="N10">
        <f>VLOOKUP(C10,技能CD配置辅助表!$C$3:$H$14,6,0)</f>
        <v>26</v>
      </c>
      <c r="O10">
        <f>VLOOKUP(C10,技能CD配置辅助表!$C$3:$M$14,5,0)</f>
        <v>1</v>
      </c>
      <c r="P10">
        <f ca="1">IFERROR(VLOOKUP(A10+I10-10000003,D_技能表!A:AD,30,0)*(VLOOKUP(C10,技能CD配置辅助表!$C$3:$J$14,8,0)-G10)/VLOOKUP(C10,技能CD配置辅助表!$C$3:$J$14,8,0),0)*IF(VLOOKUP(C10,技能CD配置辅助表!$C$3:$F$14,4,0)=1,1,4)</f>
        <v>2.9891936315014895</v>
      </c>
      <c r="Q10">
        <f ca="1">IFERROR(K10/VLOOKUP(E10,升级时间!$A$2:$C$101,2,0),0)</f>
        <v>0</v>
      </c>
      <c r="R10">
        <v>0.4</v>
      </c>
    </row>
    <row r="11" spans="1:23" x14ac:dyDescent="0.15">
      <c r="A11">
        <f ca="1">VLOOKUP(B11,技能CD配置辅助表!$C$3:$K$14,9,0)+I11</f>
        <v>19111109</v>
      </c>
      <c r="B11" t="str">
        <f t="shared" si="1"/>
        <v>瞬狱·斩</v>
      </c>
      <c r="C11" t="s">
        <v>188</v>
      </c>
      <c r="D11">
        <f>VLOOKUP(C11,技能CD配置辅助表!$C$3:$E$14,3,0)</f>
        <v>1</v>
      </c>
      <c r="E11">
        <f>IF(I11=0,1,IF(I11&lt;3,VLOOKUP(C11,技能CD配置辅助表!$C$3:$I$14,7,0)+(I11-1)*2,VLOOKUP(C11,技能CD配置辅助表!$C$3:$I$14,7,0)+(I11-1)*3-1))</f>
        <v>25</v>
      </c>
      <c r="F11" t="str">
        <f t="shared" si="2"/>
        <v>第9级，技能冷却时间12.12秒</v>
      </c>
      <c r="G11">
        <f>VLOOKUP(C11,技能CD配置辅助表!$C$3:$J$14,8,0)-(VLOOKUP(C11,技能CD配置辅助表!$C$3:$J$14,8,0)-VLOOKUP(C11,技能CD配置辅助表!$C$2:$M$14,11,0))/(VLOOKUP(C11,技能CD配置辅助表!$C$3:$H$14,6,0)-1)*(I11-IF(I11=0,0,1))</f>
        <v>12120</v>
      </c>
      <c r="H11">
        <f ca="1">M11*'[1]0、经济设定'!$C$18*IF(E11&lt;J11,1,1)</f>
        <v>8450</v>
      </c>
      <c r="I11">
        <f t="shared" si="5"/>
        <v>9</v>
      </c>
      <c r="J11">
        <f>VLOOKUP(C11,技能CD配置辅助表!$C$3:$L$14,10,0)</f>
        <v>20</v>
      </c>
      <c r="K11">
        <f t="shared" ca="1" si="3"/>
        <v>25</v>
      </c>
      <c r="L11" s="45">
        <f t="shared" ca="1" si="0"/>
        <v>34</v>
      </c>
      <c r="M11">
        <f t="shared" ca="1" si="4"/>
        <v>169</v>
      </c>
      <c r="N11">
        <f>VLOOKUP(C11,技能CD配置辅助表!$C$3:$H$14,6,0)</f>
        <v>26</v>
      </c>
      <c r="O11">
        <f>VLOOKUP(C11,技能CD配置辅助表!$C$3:$M$14,5,0)</f>
        <v>1</v>
      </c>
      <c r="P11">
        <f ca="1">IFERROR(VLOOKUP(A11+I11-10000003,D_技能表!A:AD,30,0)*(VLOOKUP(C11,技能CD配置辅助表!$C$3:$J$14,8,0)-G11)/VLOOKUP(C11,技能CD配置辅助表!$C$3:$J$14,8,0),0)*IF(VLOOKUP(C11,技能CD配置辅助表!$C$3:$F$14,4,0)=1,1,4)</f>
        <v>4.5614484225176311</v>
      </c>
      <c r="Q11">
        <f ca="1">IFERROR(K11/VLOOKUP(E11,升级时间!$A$2:$C$101,2,0),0)</f>
        <v>0</v>
      </c>
      <c r="R11">
        <v>0.5</v>
      </c>
    </row>
    <row r="12" spans="1:23" x14ac:dyDescent="0.15">
      <c r="A12">
        <f ca="1">VLOOKUP(B12,技能CD配置辅助表!$C$3:$K$14,9,0)+I12</f>
        <v>19111110</v>
      </c>
      <c r="B12" t="str">
        <f t="shared" si="1"/>
        <v>瞬狱·斩</v>
      </c>
      <c r="C12" t="s">
        <v>188</v>
      </c>
      <c r="D12">
        <f>VLOOKUP(C12,技能CD配置辅助表!$C$3:$E$14,3,0)</f>
        <v>1</v>
      </c>
      <c r="E12">
        <f>IF(I12=0,1,IF(I12&lt;3,VLOOKUP(C12,技能CD配置辅助表!$C$3:$I$14,7,0)+(I12-1)*2,VLOOKUP(C12,技能CD配置辅助表!$C$3:$I$14,7,0)+(I12-1)*3-1))</f>
        <v>28</v>
      </c>
      <c r="F12" t="str">
        <f t="shared" si="2"/>
        <v>第10级，技能冷却时间11.76秒</v>
      </c>
      <c r="G12">
        <f>VLOOKUP(C12,技能CD配置辅助表!$C$3:$J$14,8,0)-(VLOOKUP(C12,技能CD配置辅助表!$C$3:$J$14,8,0)-VLOOKUP(C12,技能CD配置辅助表!$C$2:$M$14,11,0))/(VLOOKUP(C12,技能CD配置辅助表!$C$3:$H$14,6,0)-1)*(I12-IF(I12=0,0,1))</f>
        <v>11760</v>
      </c>
      <c r="H12">
        <f ca="1">M12*'[1]0、经济设定'!$C$18*IF(E12&lt;J12,1,1)</f>
        <v>10400</v>
      </c>
      <c r="I12">
        <f t="shared" si="5"/>
        <v>10</v>
      </c>
      <c r="J12">
        <f>VLOOKUP(C12,技能CD配置辅助表!$C$3:$L$14,10,0)</f>
        <v>20</v>
      </c>
      <c r="K12">
        <f t="shared" ca="1" si="3"/>
        <v>34</v>
      </c>
      <c r="L12" s="45">
        <f t="shared" ca="1" si="0"/>
        <v>39</v>
      </c>
      <c r="M12">
        <f t="shared" ca="1" si="4"/>
        <v>208</v>
      </c>
      <c r="N12">
        <f>VLOOKUP(C12,技能CD配置辅助表!$C$3:$H$14,6,0)</f>
        <v>26</v>
      </c>
      <c r="O12">
        <f>VLOOKUP(C12,技能CD配置辅助表!$C$3:$M$14,5,0)</f>
        <v>1</v>
      </c>
      <c r="P12">
        <f ca="1">IFERROR(VLOOKUP(A12+I12-10000003,D_技能表!A:AD,30,0)*(VLOOKUP(C12,技能CD配置辅助表!$C$3:$J$14,8,0)-G12)/VLOOKUP(C12,技能CD配置辅助表!$C$3:$J$14,8,0),0)*IF(VLOOKUP(C12,技能CD配置辅助表!$C$3:$F$14,4,0)=1,1,4)</f>
        <v>6.8460469602540339</v>
      </c>
      <c r="Q12">
        <f ca="1">IFERROR(K12/VLOOKUP(E12,升级时间!$A$2:$C$101,2,0),0)</f>
        <v>323.91411642467961</v>
      </c>
      <c r="R12">
        <v>0.6</v>
      </c>
    </row>
    <row r="13" spans="1:23" x14ac:dyDescent="0.15">
      <c r="A13">
        <f ca="1">VLOOKUP(B13,技能CD配置辅助表!$C$3:$K$14,9,0)+I13</f>
        <v>19111111</v>
      </c>
      <c r="B13" t="str">
        <f t="shared" si="1"/>
        <v>瞬狱·斩</v>
      </c>
      <c r="C13" t="s">
        <v>188</v>
      </c>
      <c r="D13">
        <f>VLOOKUP(C13,技能CD配置辅助表!$C$3:$E$14,3,0)</f>
        <v>1</v>
      </c>
      <c r="E13">
        <f>IF(I13=0,1,IF(I13&lt;3,VLOOKUP(C13,技能CD配置辅助表!$C$3:$I$14,7,0)+(I13-1)*2,VLOOKUP(C13,技能CD配置辅助表!$C$3:$I$14,7,0)+(I13-1)*3-1))</f>
        <v>31</v>
      </c>
      <c r="F13" t="str">
        <f t="shared" si="2"/>
        <v>第11级，技能冷却时间11.4秒</v>
      </c>
      <c r="G13">
        <f>VLOOKUP(C13,技能CD配置辅助表!$C$3:$J$14,8,0)-(VLOOKUP(C13,技能CD配置辅助表!$C$3:$J$14,8,0)-VLOOKUP(C13,技能CD配置辅助表!$C$2:$M$14,11,0))/(VLOOKUP(C13,技能CD配置辅助表!$C$3:$H$14,6,0)-1)*(I13-IF(I13=0,0,1))</f>
        <v>11400</v>
      </c>
      <c r="H13">
        <f ca="1">M13*'[1]0、经济设定'!$C$18*IF(E13&lt;J13,1,1)</f>
        <v>12700</v>
      </c>
      <c r="I13">
        <f t="shared" si="5"/>
        <v>11</v>
      </c>
      <c r="J13">
        <f>VLOOKUP(C13,技能CD配置辅助表!$C$3:$L$14,10,0)</f>
        <v>20</v>
      </c>
      <c r="K13">
        <f t="shared" ca="1" si="3"/>
        <v>46</v>
      </c>
      <c r="L13" s="45">
        <f t="shared" ca="1" si="0"/>
        <v>46</v>
      </c>
      <c r="M13">
        <f t="shared" ca="1" si="4"/>
        <v>254</v>
      </c>
      <c r="N13">
        <f>VLOOKUP(C13,技能CD配置辅助表!$C$3:$H$14,6,0)</f>
        <v>26</v>
      </c>
      <c r="O13">
        <f>VLOOKUP(C13,技能CD配置辅助表!$C$3:$M$14,5,0)</f>
        <v>1</v>
      </c>
      <c r="P13">
        <f ca="1">IFERROR(VLOOKUP(A13+I13-10000003,D_技能表!A:AD,30,0)*(VLOOKUP(C13,技能CD配置辅助表!$C$3:$J$14,8,0)-G13)/VLOOKUP(C13,技能CD配置辅助表!$C$3:$J$14,8,0),0)*IF(VLOOKUP(C13,技能CD配置辅助表!$C$3:$F$14,4,0)=1,1,4)</f>
        <v>10.139829012251624</v>
      </c>
      <c r="Q13">
        <f ca="1">IFERROR(K13/VLOOKUP(E13,升级时间!$A$2:$C$101,2,0),0)</f>
        <v>130.67619279525366</v>
      </c>
      <c r="R13">
        <v>0.7</v>
      </c>
    </row>
    <row r="14" spans="1:23" x14ac:dyDescent="0.15">
      <c r="A14">
        <f ca="1">VLOOKUP(B14,技能CD配置辅助表!$C$3:$K$14,9,0)+I14</f>
        <v>19111112</v>
      </c>
      <c r="B14" t="str">
        <f t="shared" si="1"/>
        <v>瞬狱·斩</v>
      </c>
      <c r="C14" t="s">
        <v>188</v>
      </c>
      <c r="D14">
        <f>VLOOKUP(C14,技能CD配置辅助表!$C$3:$E$14,3,0)</f>
        <v>1</v>
      </c>
      <c r="E14">
        <f>IF(I14=0,1,IF(I14&lt;3,VLOOKUP(C14,技能CD配置辅助表!$C$3:$I$14,7,0)+(I14-1)*2,VLOOKUP(C14,技能CD配置辅助表!$C$3:$I$14,7,0)+(I14-1)*3-1))</f>
        <v>34</v>
      </c>
      <c r="F14" t="str">
        <f t="shared" si="2"/>
        <v>第12级，技能冷却时间11.04秒</v>
      </c>
      <c r="G14">
        <f>VLOOKUP(C14,技能CD配置辅助表!$C$3:$J$14,8,0)-(VLOOKUP(C14,技能CD配置辅助表!$C$3:$J$14,8,0)-VLOOKUP(C14,技能CD配置辅助表!$C$2:$M$14,11,0))/(VLOOKUP(C14,技能CD配置辅助表!$C$3:$H$14,6,0)-1)*(I14-IF(I14=0,0,1))</f>
        <v>11040</v>
      </c>
      <c r="H14">
        <f ca="1">M14*'[1]0、经济设定'!$C$18*IF(E14&lt;J14,1,1)</f>
        <v>15350</v>
      </c>
      <c r="I14">
        <f t="shared" si="5"/>
        <v>12</v>
      </c>
      <c r="J14">
        <f>VLOOKUP(C14,技能CD配置辅助表!$C$3:$L$14,10,0)</f>
        <v>20</v>
      </c>
      <c r="K14">
        <f t="shared" ca="1" si="3"/>
        <v>61</v>
      </c>
      <c r="L14" s="45">
        <f t="shared" ca="1" si="0"/>
        <v>53</v>
      </c>
      <c r="M14">
        <f t="shared" ca="1" si="4"/>
        <v>307</v>
      </c>
      <c r="N14">
        <f>VLOOKUP(C14,技能CD配置辅助表!$C$3:$H$14,6,0)</f>
        <v>26</v>
      </c>
      <c r="O14">
        <f>VLOOKUP(C14,技能CD配置辅助表!$C$3:$M$14,5,0)</f>
        <v>1</v>
      </c>
      <c r="P14">
        <f ca="1">IFERROR(VLOOKUP(A14+I14-10000003,D_技能表!A:AD,30,0)*(VLOOKUP(C14,技能CD配置辅助表!$C$3:$J$14,8,0)-G14)/VLOOKUP(C14,技能CD配置辅助表!$C$3:$J$14,8,0),0)*IF(VLOOKUP(C14,技能CD配置辅助表!$C$3:$F$14,4,0)=1,1,4)</f>
        <v>14.856771180080218</v>
      </c>
      <c r="Q14">
        <f ca="1">IFERROR(K14/VLOOKUP(E14,升级时间!$A$2:$C$101,2,0),0)</f>
        <v>103.78310335588152</v>
      </c>
      <c r="R14">
        <v>0.8</v>
      </c>
    </row>
    <row r="15" spans="1:23" x14ac:dyDescent="0.15">
      <c r="A15">
        <f ca="1">VLOOKUP(B15,技能CD配置辅助表!$C$3:$K$14,9,0)+I15</f>
        <v>19111113</v>
      </c>
      <c r="B15" t="str">
        <f t="shared" si="1"/>
        <v>瞬狱·斩</v>
      </c>
      <c r="C15" t="s">
        <v>188</v>
      </c>
      <c r="D15">
        <f>VLOOKUP(C15,技能CD配置辅助表!$C$3:$E$14,3,0)</f>
        <v>1</v>
      </c>
      <c r="E15">
        <f>IF(I15=0,1,IF(I15&lt;3,VLOOKUP(C15,技能CD配置辅助表!$C$3:$I$14,7,0)+(I15-1)*2,VLOOKUP(C15,技能CD配置辅助表!$C$3:$I$14,7,0)+(I15-1)*3-1))</f>
        <v>37</v>
      </c>
      <c r="F15" t="str">
        <f t="shared" si="2"/>
        <v>第13级，技能冷却时间10.68秒</v>
      </c>
      <c r="G15">
        <f>VLOOKUP(C15,技能CD配置辅助表!$C$3:$J$14,8,0)-(VLOOKUP(C15,技能CD配置辅助表!$C$3:$J$14,8,0)-VLOOKUP(C15,技能CD配置辅助表!$C$2:$M$14,11,0))/(VLOOKUP(C15,技能CD配置辅助表!$C$3:$H$14,6,0)-1)*(I15-IF(I15=0,0,1))</f>
        <v>10680</v>
      </c>
      <c r="H15">
        <f ca="1">M15*'[1]0、经济设定'!$C$18*IF(E15&lt;J15,1,1)</f>
        <v>18400</v>
      </c>
      <c r="I15">
        <f t="shared" si="5"/>
        <v>13</v>
      </c>
      <c r="J15">
        <f>VLOOKUP(C15,技能CD配置辅助表!$C$3:$L$14,10,0)</f>
        <v>20</v>
      </c>
      <c r="K15">
        <f t="shared" ca="1" si="3"/>
        <v>79</v>
      </c>
      <c r="L15" s="45">
        <f t="shared" ca="1" si="0"/>
        <v>61</v>
      </c>
      <c r="M15">
        <f t="shared" ca="1" si="4"/>
        <v>368</v>
      </c>
      <c r="N15">
        <f>VLOOKUP(C15,技能CD配置辅助表!$C$3:$H$14,6,0)</f>
        <v>26</v>
      </c>
      <c r="O15">
        <f>VLOOKUP(C15,技能CD配置辅助表!$C$3:$M$14,5,0)</f>
        <v>1</v>
      </c>
      <c r="P15">
        <f ca="1">IFERROR(VLOOKUP(A15+I15-10000003,D_技能表!A:AD,30,0)*(VLOOKUP(C15,技能CD配置辅助表!$C$3:$J$14,8,0)-G15)/VLOOKUP(C15,技能CD配置辅助表!$C$3:$J$14,8,0),0)*IF(VLOOKUP(C15,技能CD配置辅助表!$C$3:$F$14,4,0)=1,1,4)</f>
        <v>21.572456568802334</v>
      </c>
      <c r="Q15">
        <f ca="1">IFERROR(K15/VLOOKUP(E15,升级时间!$A$2:$C$101,2,0),0)</f>
        <v>133.19214670612064</v>
      </c>
      <c r="R15">
        <v>0.9</v>
      </c>
    </row>
    <row r="16" spans="1:23" x14ac:dyDescent="0.15">
      <c r="A16">
        <f ca="1">VLOOKUP(B16,技能CD配置辅助表!$C$3:$K$14,9,0)+I16</f>
        <v>19111114</v>
      </c>
      <c r="B16" t="str">
        <f t="shared" si="1"/>
        <v>瞬狱·斩</v>
      </c>
      <c r="C16" t="s">
        <v>188</v>
      </c>
      <c r="D16">
        <f>VLOOKUP(C16,技能CD配置辅助表!$C$3:$E$14,3,0)</f>
        <v>1</v>
      </c>
      <c r="E16">
        <f>IF(I16=0,1,IF(I16&lt;3,VLOOKUP(C16,技能CD配置辅助表!$C$3:$I$14,7,0)+(I16-1)*2,VLOOKUP(C16,技能CD配置辅助表!$C$3:$I$14,7,0)+(I16-1)*3-1))</f>
        <v>40</v>
      </c>
      <c r="F16" t="str">
        <f t="shared" si="2"/>
        <v>第14级，技能冷却时间10.32秒</v>
      </c>
      <c r="G16">
        <f>VLOOKUP(C16,技能CD配置辅助表!$C$3:$J$14,8,0)-(VLOOKUP(C16,技能CD配置辅助表!$C$3:$J$14,8,0)-VLOOKUP(C16,技能CD配置辅助表!$C$2:$M$14,11,0))/(VLOOKUP(C16,技能CD配置辅助表!$C$3:$H$14,6,0)-1)*(I16-IF(I16=0,0,1))</f>
        <v>10320</v>
      </c>
      <c r="H16">
        <f ca="1">M16*'[1]0、经济设定'!$C$18*IF(E16&lt;J16,1,1)</f>
        <v>21950</v>
      </c>
      <c r="I16">
        <f t="shared" si="5"/>
        <v>14</v>
      </c>
      <c r="J16">
        <f>VLOOKUP(C16,技能CD配置辅助表!$C$3:$L$14,10,0)</f>
        <v>20</v>
      </c>
      <c r="K16">
        <f t="shared" ca="1" si="3"/>
        <v>102</v>
      </c>
      <c r="L16" s="45">
        <f t="shared" ca="1" si="0"/>
        <v>71</v>
      </c>
      <c r="M16">
        <f t="shared" ca="1" si="4"/>
        <v>439</v>
      </c>
      <c r="N16">
        <f>VLOOKUP(C16,技能CD配置辅助表!$C$3:$H$14,6,0)</f>
        <v>26</v>
      </c>
      <c r="O16">
        <f>VLOOKUP(C16,技能CD配置辅助表!$C$3:$M$14,5,0)</f>
        <v>1</v>
      </c>
      <c r="P16">
        <f ca="1">IFERROR(VLOOKUP(A16+I16-10000003,D_技能表!A:AD,30,0)*(VLOOKUP(C16,技能CD配置辅助表!$C$3:$J$14,8,0)-G16)/VLOOKUP(C16,技能CD配置辅助表!$C$3:$J$14,8,0),0)*IF(VLOOKUP(C16,技能CD配置辅助表!$C$3:$F$14,4,0)=1,1,4)</f>
        <v>31.084943197612979</v>
      </c>
      <c r="Q16">
        <f ca="1">IFERROR(K16/VLOOKUP(E16,升级时间!$A$2:$C$101,2,0),0)</f>
        <v>106.18286241946588</v>
      </c>
      <c r="R16">
        <v>1</v>
      </c>
    </row>
    <row r="17" spans="1:18" x14ac:dyDescent="0.15">
      <c r="A17">
        <f ca="1">VLOOKUP(B17,技能CD配置辅助表!$C$3:$K$14,9,0)+I17</f>
        <v>19111115</v>
      </c>
      <c r="B17" t="str">
        <f t="shared" si="1"/>
        <v>瞬狱·斩</v>
      </c>
      <c r="C17" t="s">
        <v>188</v>
      </c>
      <c r="D17">
        <f>VLOOKUP(C17,技能CD配置辅助表!$C$3:$E$14,3,0)</f>
        <v>1</v>
      </c>
      <c r="E17">
        <f>IF(I17=0,1,IF(I17&lt;3,VLOOKUP(C17,技能CD配置辅助表!$C$3:$I$14,7,0)+(I17-1)*2,VLOOKUP(C17,技能CD配置辅助表!$C$3:$I$14,7,0)+(I17-1)*3-1))</f>
        <v>43</v>
      </c>
      <c r="F17" t="str">
        <f t="shared" si="2"/>
        <v>第15级，技能冷却时间9.96秒</v>
      </c>
      <c r="G17">
        <f>VLOOKUP(C17,技能CD配置辅助表!$C$3:$J$14,8,0)-(VLOOKUP(C17,技能CD配置辅助表!$C$3:$J$14,8,0)-VLOOKUP(C17,技能CD配置辅助表!$C$2:$M$14,11,0))/(VLOOKUP(C17,技能CD配置辅助表!$C$3:$H$14,6,0)-1)*(I17-IF(I17=0,0,1))</f>
        <v>9960</v>
      </c>
      <c r="H17">
        <f ca="1">M17*'[1]0、经济设定'!$C$18*IF(E17&lt;J17,1,1)</f>
        <v>26050</v>
      </c>
      <c r="I17">
        <f t="shared" si="5"/>
        <v>15</v>
      </c>
      <c r="J17">
        <f>VLOOKUP(C17,技能CD配置辅助表!$C$3:$L$14,10,0)</f>
        <v>20</v>
      </c>
      <c r="K17">
        <f t="shared" ca="1" si="3"/>
        <v>123</v>
      </c>
      <c r="L17" s="45">
        <f t="shared" ca="1" si="0"/>
        <v>82</v>
      </c>
      <c r="M17">
        <f t="shared" ca="1" si="4"/>
        <v>521</v>
      </c>
      <c r="N17">
        <f>VLOOKUP(C17,技能CD配置辅助表!$C$3:$H$14,6,0)</f>
        <v>26</v>
      </c>
      <c r="O17">
        <f>VLOOKUP(C17,技能CD配置辅助表!$C$3:$M$14,5,0)</f>
        <v>1</v>
      </c>
      <c r="P17">
        <f ca="1">IFERROR(VLOOKUP(A17+I17-10000003,D_技能表!A:AD,30,0)*(VLOOKUP(C17,技能CD配置辅助表!$C$3:$J$14,8,0)-G17)/VLOOKUP(C17,技能CD配置辅助表!$C$3:$J$14,8,0),0)*IF(VLOOKUP(C17,技能CD配置辅助表!$C$3:$F$14,4,0)=1,1,4)</f>
        <v>44.497942488740549</v>
      </c>
      <c r="Q17">
        <f ca="1">IFERROR(K17/VLOOKUP(E17,升级时间!$A$2:$C$101,2,0),0)</f>
        <v>90.639368105541848</v>
      </c>
      <c r="R17">
        <v>1.05</v>
      </c>
    </row>
    <row r="18" spans="1:18" x14ac:dyDescent="0.15">
      <c r="A18">
        <f ca="1">VLOOKUP(B18,技能CD配置辅助表!$C$3:$K$14,9,0)+I18</f>
        <v>19111116</v>
      </c>
      <c r="B18" t="str">
        <f t="shared" si="1"/>
        <v>瞬狱·斩</v>
      </c>
      <c r="C18" t="s">
        <v>188</v>
      </c>
      <c r="D18">
        <f>VLOOKUP(C18,技能CD配置辅助表!$C$3:$E$14,3,0)</f>
        <v>1</v>
      </c>
      <c r="E18">
        <f>IF(I18=0,1,IF(I18&lt;3,VLOOKUP(C18,技能CD配置辅助表!$C$3:$I$14,7,0)+(I18-1)*2,VLOOKUP(C18,技能CD配置辅助表!$C$3:$I$14,7,0)+(I18-1)*3-1))</f>
        <v>46</v>
      </c>
      <c r="F18" t="str">
        <f t="shared" si="2"/>
        <v>第16级，技能冷却时间9.6秒</v>
      </c>
      <c r="G18">
        <f>VLOOKUP(C18,技能CD配置辅助表!$C$3:$J$14,8,0)-(VLOOKUP(C18,技能CD配置辅助表!$C$3:$J$14,8,0)-VLOOKUP(C18,技能CD配置辅助表!$C$2:$M$14,11,0))/(VLOOKUP(C18,技能CD配置辅助表!$C$3:$H$14,6,0)-1)*(I18-IF(I18=0,0,1))</f>
        <v>9600</v>
      </c>
      <c r="H18">
        <f ca="1">M18*'[1]0、经济设定'!$C$18*IF(E18&lt;J18,1,1)</f>
        <v>30800</v>
      </c>
      <c r="I18">
        <f t="shared" si="5"/>
        <v>16</v>
      </c>
      <c r="J18">
        <f>VLOOKUP(C18,技能CD配置辅助表!$C$3:$L$14,10,0)</f>
        <v>20</v>
      </c>
      <c r="K18">
        <f t="shared" ca="1" si="3"/>
        <v>150</v>
      </c>
      <c r="L18" s="45">
        <f t="shared" ca="1" si="0"/>
        <v>95</v>
      </c>
      <c r="M18">
        <f t="shared" ca="1" si="4"/>
        <v>616</v>
      </c>
      <c r="N18">
        <f>VLOOKUP(C18,技能CD配置辅助表!$C$3:$H$14,6,0)</f>
        <v>26</v>
      </c>
      <c r="O18">
        <f>VLOOKUP(C18,技能CD配置辅助表!$C$3:$M$14,5,0)</f>
        <v>1</v>
      </c>
      <c r="P18">
        <f ca="1">IFERROR(VLOOKUP(A18+I18-10000003,D_技能表!A:AD,30,0)*(VLOOKUP(C18,技能CD配置辅助表!$C$3:$J$14,8,0)-G18)/VLOOKUP(C18,技能CD配置辅助表!$C$3:$J$14,8,0),0)*IF(VLOOKUP(C18,技能CD配置辅助表!$C$3:$F$14,4,0)=1,1,4)</f>
        <v>63.334311399267669</v>
      </c>
      <c r="Q18">
        <f ca="1">IFERROR(K18/VLOOKUP(E18,升级时间!$A$2:$C$101,2,0),0)</f>
        <v>103.55096331643071</v>
      </c>
      <c r="R18">
        <v>1.1000000000000001</v>
      </c>
    </row>
    <row r="19" spans="1:18" x14ac:dyDescent="0.15">
      <c r="A19">
        <f ca="1">VLOOKUP(B19,技能CD配置辅助表!$C$3:$K$14,9,0)+I19</f>
        <v>19111117</v>
      </c>
      <c r="B19" t="str">
        <f t="shared" si="1"/>
        <v>瞬狱·斩</v>
      </c>
      <c r="C19" t="s">
        <v>188</v>
      </c>
      <c r="D19">
        <f>VLOOKUP(C19,技能CD配置辅助表!$C$3:$E$14,3,0)</f>
        <v>1</v>
      </c>
      <c r="E19">
        <f>IF(I19=0,1,IF(I19&lt;3,VLOOKUP(C19,技能CD配置辅助表!$C$3:$I$14,7,0)+(I19-1)*2,VLOOKUP(C19,技能CD配置辅助表!$C$3:$I$14,7,0)+(I19-1)*3-1))</f>
        <v>49</v>
      </c>
      <c r="F19" t="str">
        <f t="shared" si="2"/>
        <v>第17级，技能冷却时间9.24秒</v>
      </c>
      <c r="G19">
        <f>VLOOKUP(C19,技能CD配置辅助表!$C$3:$J$14,8,0)-(VLOOKUP(C19,技能CD配置辅助表!$C$3:$J$14,8,0)-VLOOKUP(C19,技能CD配置辅助表!$C$2:$M$14,11,0))/(VLOOKUP(C19,技能CD配置辅助表!$C$3:$H$14,6,0)-1)*(I19-IF(I19=0,0,1))</f>
        <v>9240</v>
      </c>
      <c r="H19">
        <f ca="1">M19*'[1]0、经济设定'!$C$18*IF(E19&lt;J19,1,1)</f>
        <v>36350</v>
      </c>
      <c r="I19">
        <f t="shared" si="5"/>
        <v>17</v>
      </c>
      <c r="J19">
        <f>VLOOKUP(C19,技能CD配置辅助表!$C$3:$L$14,10,0)</f>
        <v>20</v>
      </c>
      <c r="K19">
        <f t="shared" ca="1" si="3"/>
        <v>183</v>
      </c>
      <c r="L19" s="45">
        <f t="shared" ref="L19:L27" ca="1" si="6">ROUND((IF(I19&lt;2,0,ROUND(OFFSET(P19,N19-I19+108*(1-D19),0)*(1-$T$3)/(1-$T$3^(N19-1))*$T$3^(I19-2)*$T$2,0))+IF(I19&lt;2,0,ROUND(OFFSET(P19,N19-I19+108*(2-D19),0)*(1-$T$3)/(1-$T$3^(N19-1))*$T$3^(I19-2)*$T$2,0))+IF(I19&lt;2,0,ROUND(OFFSET(P19,N19-I19+108*(3-D19),0)*(1-$T$3)/(1-$T$3^(N19-1))*$T$3^(I19-2)*$T$2,0)))/3,0)</f>
        <v>111</v>
      </c>
      <c r="M19">
        <f t="shared" ca="1" si="4"/>
        <v>727</v>
      </c>
      <c r="N19">
        <f>VLOOKUP(C19,技能CD配置辅助表!$C$3:$H$14,6,0)</f>
        <v>26</v>
      </c>
      <c r="O19">
        <f>VLOOKUP(C19,技能CD配置辅助表!$C$3:$M$14,5,0)</f>
        <v>1</v>
      </c>
      <c r="P19">
        <f ca="1">IFERROR(VLOOKUP(A19+I19-10000003,D_技能表!A:AD,30,0)*(VLOOKUP(C19,技能CD配置辅助表!$C$3:$J$14,8,0)-G19)/VLOOKUP(C19,技能CD配置辅助表!$C$3:$J$14,8,0),0)*IF(VLOOKUP(C19,技能CD配置辅助表!$C$3:$F$14,4,0)=1,1,4)</f>
        <v>89.690683406919405</v>
      </c>
      <c r="Q19">
        <f ca="1">IFERROR(K19/VLOOKUP(E19,升级时间!$A$2:$C$101,2,0),0)</f>
        <v>88.41609006232099</v>
      </c>
      <c r="R19">
        <v>1.1499999999999999</v>
      </c>
    </row>
    <row r="20" spans="1:18" x14ac:dyDescent="0.15">
      <c r="A20">
        <f ca="1">VLOOKUP(B20,技能CD配置辅助表!$C$3:$K$14,9,0)+I20</f>
        <v>19111118</v>
      </c>
      <c r="B20" t="str">
        <f t="shared" si="1"/>
        <v>瞬狱·斩</v>
      </c>
      <c r="C20" t="s">
        <v>188</v>
      </c>
      <c r="D20">
        <f>VLOOKUP(C20,技能CD配置辅助表!$C$3:$E$14,3,0)</f>
        <v>1</v>
      </c>
      <c r="E20">
        <f>IF(I20=0,1,IF(I20&lt;3,VLOOKUP(C20,技能CD配置辅助表!$C$3:$I$14,7,0)+(I20-1)*2,VLOOKUP(C20,技能CD配置辅助表!$C$3:$I$14,7,0)+(I20-1)*3-1))</f>
        <v>52</v>
      </c>
      <c r="F20" t="str">
        <f t="shared" si="2"/>
        <v>第18级，技能冷却时间8.88秒</v>
      </c>
      <c r="G20">
        <f>VLOOKUP(C20,技能CD配置辅助表!$C$3:$J$14,8,0)-(VLOOKUP(C20,技能CD配置辅助表!$C$3:$J$14,8,0)-VLOOKUP(C20,技能CD配置辅助表!$C$2:$M$14,11,0))/(VLOOKUP(C20,技能CD配置辅助表!$C$3:$H$14,6,0)-1)*(I20-IF(I20=0,0,1))</f>
        <v>8880</v>
      </c>
      <c r="H20">
        <f ca="1">M20*'[1]0、经济设定'!$C$18*IF(E20&lt;J20,1,1)</f>
        <v>42750</v>
      </c>
      <c r="I20">
        <f t="shared" si="5"/>
        <v>18</v>
      </c>
      <c r="J20">
        <f>VLOOKUP(C20,技能CD配置辅助表!$C$3:$L$14,10,0)</f>
        <v>20</v>
      </c>
      <c r="K20">
        <f t="shared" ca="1" si="3"/>
        <v>220</v>
      </c>
      <c r="L20" s="45">
        <f t="shared" ca="1" si="6"/>
        <v>128</v>
      </c>
      <c r="M20">
        <f t="shared" ca="1" si="4"/>
        <v>855</v>
      </c>
      <c r="N20">
        <f>VLOOKUP(C20,技能CD配置辅助表!$C$3:$H$14,6,0)</f>
        <v>26</v>
      </c>
      <c r="O20">
        <f>VLOOKUP(C20,技能CD配置辅助表!$C$3:$M$14,5,0)</f>
        <v>1</v>
      </c>
      <c r="P20">
        <f ca="1">IFERROR(VLOOKUP(A20+I20-10000003,D_技能表!A:AD,30,0)*(VLOOKUP(C20,技能CD配置辅助表!$C$3:$J$14,8,0)-G20)/VLOOKUP(C20,技能CD配置辅助表!$C$3:$J$14,8,0),0)*IF(VLOOKUP(C20,技能CD配置辅助表!$C$3:$F$14,4,0)=1,1,4)</f>
        <v>126.44786572271597</v>
      </c>
      <c r="Q20">
        <f ca="1">IFERROR(K20/VLOOKUP(E20,升级时间!$A$2:$C$101,2,0),0)</f>
        <v>102.59297362167284</v>
      </c>
      <c r="R20">
        <v>1.2</v>
      </c>
    </row>
    <row r="21" spans="1:18" x14ac:dyDescent="0.15">
      <c r="A21">
        <f ca="1">VLOOKUP(B21,技能CD配置辅助表!$C$3:$K$14,9,0)+I21</f>
        <v>19111119</v>
      </c>
      <c r="B21" t="str">
        <f t="shared" si="1"/>
        <v>瞬狱·斩</v>
      </c>
      <c r="C21" t="s">
        <v>188</v>
      </c>
      <c r="D21">
        <f>VLOOKUP(C21,技能CD配置辅助表!$C$3:$E$14,3,0)</f>
        <v>1</v>
      </c>
      <c r="E21">
        <f>IF(I21=0,1,IF(I21&lt;3,VLOOKUP(C21,技能CD配置辅助表!$C$3:$I$14,7,0)+(I21-1)*2,VLOOKUP(C21,技能CD配置辅助表!$C$3:$I$14,7,0)+(I21-1)*3-1))</f>
        <v>55</v>
      </c>
      <c r="F21" t="str">
        <f t="shared" si="2"/>
        <v>第19级，技能冷却时间8.52秒</v>
      </c>
      <c r="G21">
        <f>VLOOKUP(C21,技能CD配置辅助表!$C$3:$J$14,8,0)-(VLOOKUP(C21,技能CD配置辅助表!$C$3:$J$14,8,0)-VLOOKUP(C21,技能CD配置辅助表!$C$2:$M$14,11,0))/(VLOOKUP(C21,技能CD配置辅助表!$C$3:$H$14,6,0)-1)*(I21-IF(I21=0,0,1))</f>
        <v>8520</v>
      </c>
      <c r="H21">
        <f ca="1">M21*'[1]0、经济设定'!$C$18*IF(E21&lt;J21,1,1)</f>
        <v>50200</v>
      </c>
      <c r="I21">
        <f t="shared" si="5"/>
        <v>19</v>
      </c>
      <c r="J21">
        <f>VLOOKUP(C21,技能CD配置辅助表!$C$3:$L$14,10,0)</f>
        <v>20</v>
      </c>
      <c r="K21">
        <f t="shared" ca="1" si="3"/>
        <v>267</v>
      </c>
      <c r="L21" s="45">
        <f t="shared" ca="1" si="6"/>
        <v>149</v>
      </c>
      <c r="M21">
        <f t="shared" ca="1" si="4"/>
        <v>1004</v>
      </c>
      <c r="N21">
        <f>VLOOKUP(C21,技能CD配置辅助表!$C$3:$H$14,6,0)</f>
        <v>26</v>
      </c>
      <c r="O21">
        <f>VLOOKUP(C21,技能CD配置辅助表!$C$3:$M$14,5,0)</f>
        <v>1</v>
      </c>
      <c r="P21">
        <f ca="1">IFERROR(VLOOKUP(A21+I21-10000003,D_技能表!A:AD,30,0)*(VLOOKUP(C21,技能CD配置辅助表!$C$3:$J$14,8,0)-G21)/VLOOKUP(C21,技能CD配置辅助表!$C$3:$J$14,8,0),0)*IF(VLOOKUP(C21,技能CD配置辅助表!$C$3:$F$14,4,0)=1,1,4)</f>
        <v>177.55674938660209</v>
      </c>
      <c r="Q21">
        <f ca="1">IFERROR(K21/VLOOKUP(E21,升级时间!$A$2:$C$101,2,0),0)</f>
        <v>85.002206235030869</v>
      </c>
      <c r="R21">
        <v>1.25</v>
      </c>
    </row>
    <row r="22" spans="1:18" x14ac:dyDescent="0.15">
      <c r="A22">
        <f ca="1">VLOOKUP(B22,技能CD配置辅助表!$C$3:$K$14,9,0)+I22</f>
        <v>19111120</v>
      </c>
      <c r="B22" t="str">
        <f t="shared" si="1"/>
        <v>瞬狱·斩</v>
      </c>
      <c r="C22" t="s">
        <v>188</v>
      </c>
      <c r="D22">
        <f>VLOOKUP(C22,技能CD配置辅助表!$C$3:$E$14,3,0)</f>
        <v>1</v>
      </c>
      <c r="E22">
        <f>IF(I22=0,1,IF(I22&lt;3,VLOOKUP(C22,技能CD配置辅助表!$C$3:$I$14,7,0)+(I22-1)*2,VLOOKUP(C22,技能CD配置辅助表!$C$3:$I$14,7,0)+(I22-1)*3-1))</f>
        <v>58</v>
      </c>
      <c r="F22" t="str">
        <f t="shared" si="2"/>
        <v>第20级，技能冷却时间8.16秒</v>
      </c>
      <c r="G22">
        <f>VLOOKUP(C22,技能CD配置辅助表!$C$3:$J$14,8,0)-(VLOOKUP(C22,技能CD配置辅助表!$C$3:$J$14,8,0)-VLOOKUP(C22,技能CD配置辅助表!$C$2:$M$14,11,0))/(VLOOKUP(C22,技能CD配置辅助表!$C$3:$H$14,6,0)-1)*(I22-IF(I22=0,0,1))</f>
        <v>8160</v>
      </c>
      <c r="H22">
        <f ca="1">M22*'[1]0、经济设定'!$C$18*IF(E22&lt;J22,1,1)</f>
        <v>58850</v>
      </c>
      <c r="I22">
        <f t="shared" si="5"/>
        <v>20</v>
      </c>
      <c r="J22">
        <f>VLOOKUP(C22,技能CD配置辅助表!$C$3:$L$14,10,0)</f>
        <v>20</v>
      </c>
      <c r="K22">
        <f t="shared" ca="1" si="3"/>
        <v>322</v>
      </c>
      <c r="L22" s="45">
        <f t="shared" ca="1" si="6"/>
        <v>173</v>
      </c>
      <c r="M22">
        <f t="shared" ca="1" si="4"/>
        <v>1177</v>
      </c>
      <c r="N22">
        <f>VLOOKUP(C22,技能CD配置辅助表!$C$3:$H$14,6,0)</f>
        <v>26</v>
      </c>
      <c r="O22">
        <f>VLOOKUP(C22,技能CD配置辅助表!$C$3:$M$14,5,0)</f>
        <v>1</v>
      </c>
      <c r="P22">
        <f ca="1">IFERROR(VLOOKUP(A22+I22-10000003,D_技能表!A:AD,30,0)*(VLOOKUP(C22,技能CD配置辅助表!$C$3:$J$14,8,0)-G22)/VLOOKUP(C22,技能CD配置辅助表!$C$3:$J$14,8,0),0)*IF(VLOOKUP(C22,技能CD配置辅助表!$C$3:$F$14,4,0)=1,1,4)</f>
        <v>248.42636627119907</v>
      </c>
      <c r="Q22">
        <f ca="1">IFERROR(K22/VLOOKUP(E22,升级时间!$A$2:$C$101,2,0),0)</f>
        <v>84.989593198817033</v>
      </c>
      <c r="R22">
        <v>1.3</v>
      </c>
    </row>
    <row r="23" spans="1:18" x14ac:dyDescent="0.15">
      <c r="A23">
        <f ca="1">VLOOKUP(B23,技能CD配置辅助表!$C$3:$K$14,9,0)+I23</f>
        <v>19111121</v>
      </c>
      <c r="B23" t="str">
        <f t="shared" si="1"/>
        <v>瞬狱·斩</v>
      </c>
      <c r="C23" t="s">
        <v>188</v>
      </c>
      <c r="D23">
        <f>VLOOKUP(C23,技能CD配置辅助表!$C$3:$E$14,3,0)</f>
        <v>1</v>
      </c>
      <c r="E23">
        <f>IF(I23=0,1,IF(I23&lt;3,VLOOKUP(C23,技能CD配置辅助表!$C$3:$I$14,7,0)+(I23-1)*2,VLOOKUP(C23,技能CD配置辅助表!$C$3:$I$14,7,0)+(I23-1)*3-1))</f>
        <v>61</v>
      </c>
      <c r="F23" t="str">
        <f t="shared" si="2"/>
        <v>第21级，技能冷却时间7.8秒</v>
      </c>
      <c r="G23">
        <f>VLOOKUP(C23,技能CD配置辅助表!$C$3:$J$14,8,0)-(VLOOKUP(C23,技能CD配置辅助表!$C$3:$J$14,8,0)-VLOOKUP(C23,技能CD配置辅助表!$C$2:$M$14,11,0))/(VLOOKUP(C23,技能CD配置辅助表!$C$3:$H$14,6,0)-1)*(I23-IF(I23=0,0,1))</f>
        <v>7800</v>
      </c>
      <c r="H23">
        <f ca="1">M23*'[1]0、经济设定'!$C$18*IF(E23&lt;J23,1,1)</f>
        <v>68900</v>
      </c>
      <c r="I23">
        <f t="shared" si="5"/>
        <v>21</v>
      </c>
      <c r="J23">
        <f>VLOOKUP(C23,技能CD配置辅助表!$C$3:$L$14,10,0)</f>
        <v>20</v>
      </c>
      <c r="K23">
        <f t="shared" ca="1" si="3"/>
        <v>388</v>
      </c>
      <c r="L23" s="45">
        <f t="shared" ca="1" si="6"/>
        <v>201</v>
      </c>
      <c r="M23">
        <f t="shared" ca="1" si="4"/>
        <v>1378</v>
      </c>
      <c r="N23">
        <f>VLOOKUP(C23,技能CD配置辅助表!$C$3:$H$14,6,0)</f>
        <v>26</v>
      </c>
      <c r="O23">
        <f>VLOOKUP(C23,技能CD配置辅助表!$C$3:$M$14,5,0)</f>
        <v>1</v>
      </c>
      <c r="P23">
        <f ca="1">IFERROR(VLOOKUP(A23+I23-10000003,D_技能表!A:AD,30,0)*(VLOOKUP(C23,技能CD配置辅助表!$C$3:$J$14,8,0)-G23)/VLOOKUP(C23,技能CD配置辅助表!$C$3:$J$14,8,0),0)*IF(VLOOKUP(C23,技能CD配置辅助表!$C$3:$F$14,4,0)=1,1,4)</f>
        <v>346.44998630040266</v>
      </c>
      <c r="Q23">
        <f ca="1">IFERROR(K23/VLOOKUP(E23,升级时间!$A$2:$C$101,2,0),0)</f>
        <v>93.168530511105018</v>
      </c>
      <c r="R23">
        <v>1.35</v>
      </c>
    </row>
    <row r="24" spans="1:18" x14ac:dyDescent="0.15">
      <c r="A24">
        <f ca="1">VLOOKUP(B24,技能CD配置辅助表!$C$3:$K$14,9,0)+I24</f>
        <v>19111122</v>
      </c>
      <c r="B24" t="str">
        <f t="shared" si="1"/>
        <v>瞬狱·斩</v>
      </c>
      <c r="C24" t="s">
        <v>188</v>
      </c>
      <c r="D24">
        <f>VLOOKUP(C24,技能CD配置辅助表!$C$3:$E$14,3,0)</f>
        <v>1</v>
      </c>
      <c r="E24">
        <f>IF(I24=0,1,IF(I24&lt;3,VLOOKUP(C24,技能CD配置辅助表!$C$3:$I$14,7,0)+(I24-1)*2,VLOOKUP(C24,技能CD配置辅助表!$C$3:$I$14,7,0)+(I24-1)*3-1))</f>
        <v>64</v>
      </c>
      <c r="F24" t="str">
        <f t="shared" si="2"/>
        <v>第22级，技能冷却时间7.44秒</v>
      </c>
      <c r="G24">
        <f>VLOOKUP(C24,技能CD配置辅助表!$C$3:$J$14,8,0)-(VLOOKUP(C24,技能CD配置辅助表!$C$3:$J$14,8,0)-VLOOKUP(C24,技能CD配置辅助表!$C$2:$M$14,11,0))/(VLOOKUP(C24,技能CD配置辅助表!$C$3:$H$14,6,0)-1)*(I24-IF(I24=0,0,1))</f>
        <v>7440</v>
      </c>
      <c r="H24">
        <f ca="1">M24*'[1]0、经济设定'!$C$18*IF(E24&lt;J24,1,1)</f>
        <v>80550</v>
      </c>
      <c r="I24">
        <f t="shared" si="5"/>
        <v>22</v>
      </c>
      <c r="J24">
        <f>VLOOKUP(C24,技能CD配置辅助表!$C$3:$L$14,10,0)</f>
        <v>20</v>
      </c>
      <c r="K24">
        <f t="shared" ca="1" si="3"/>
        <v>466</v>
      </c>
      <c r="L24" s="45">
        <f t="shared" ca="1" si="6"/>
        <v>233</v>
      </c>
      <c r="M24">
        <f t="shared" ca="1" si="4"/>
        <v>1611</v>
      </c>
      <c r="N24">
        <f>VLOOKUP(C24,技能CD配置辅助表!$C$3:$H$14,6,0)</f>
        <v>26</v>
      </c>
      <c r="O24">
        <f>VLOOKUP(C24,技能CD配置辅助表!$C$3:$M$14,5,0)</f>
        <v>1</v>
      </c>
      <c r="P24">
        <f ca="1">IFERROR(VLOOKUP(A24+I24-10000003,D_技能表!A:AD,30,0)*(VLOOKUP(C24,技能CD配置辅助表!$C$3:$J$14,8,0)-G24)/VLOOKUP(C24,技能CD配置辅助表!$C$3:$J$14,8,0),0)*IF(VLOOKUP(C24,技能CD配置辅助表!$C$3:$F$14,4,0)=1,1,4)</f>
        <v>481.71758743843088</v>
      </c>
      <c r="Q24">
        <f ca="1">IFERROR(K24/VLOOKUP(E24,升级时间!$A$2:$C$101,2,0),0)</f>
        <v>85.887638748815576</v>
      </c>
      <c r="R24">
        <v>1.4</v>
      </c>
    </row>
    <row r="25" spans="1:18" x14ac:dyDescent="0.15">
      <c r="A25">
        <f ca="1">VLOOKUP(B25,技能CD配置辅助表!$C$3:$K$14,9,0)+I25</f>
        <v>19111123</v>
      </c>
      <c r="B25" t="str">
        <f t="shared" si="1"/>
        <v>瞬狱·斩</v>
      </c>
      <c r="C25" t="s">
        <v>188</v>
      </c>
      <c r="D25">
        <f>VLOOKUP(C25,技能CD配置辅助表!$C$3:$E$14,3,0)</f>
        <v>1</v>
      </c>
      <c r="E25">
        <f>IF(I25=0,1,IF(I25&lt;3,VLOOKUP(C25,技能CD配置辅助表!$C$3:$I$14,7,0)+(I25-1)*2,VLOOKUP(C25,技能CD配置辅助表!$C$3:$I$14,7,0)+(I25-1)*3-1))</f>
        <v>67</v>
      </c>
      <c r="F25" t="str">
        <f t="shared" si="2"/>
        <v>第23级，技能冷却时间7.08秒</v>
      </c>
      <c r="G25">
        <f>VLOOKUP(C25,技能CD配置辅助表!$C$3:$J$14,8,0)-(VLOOKUP(C25,技能CD配置辅助表!$C$3:$J$14,8,0)-VLOOKUP(C25,技能CD配置辅助表!$C$2:$M$14,11,0))/(VLOOKUP(C25,技能CD配置辅助表!$C$3:$H$14,6,0)-1)*(I25-IF(I25=0,0,1))</f>
        <v>7080</v>
      </c>
      <c r="H25">
        <f ca="1">M25*'[1]0、经济设定'!$C$18*IF(E25&lt;J25,1,1)</f>
        <v>94050</v>
      </c>
      <c r="I25">
        <f t="shared" si="5"/>
        <v>23</v>
      </c>
      <c r="J25">
        <f>VLOOKUP(C25,技能CD配置辅助表!$C$3:$L$14,10,0)</f>
        <v>20</v>
      </c>
      <c r="K25">
        <f t="shared" ca="1" si="3"/>
        <v>560</v>
      </c>
      <c r="L25" s="45">
        <f t="shared" ca="1" si="6"/>
        <v>270</v>
      </c>
      <c r="M25">
        <f t="shared" ca="1" si="4"/>
        <v>1881</v>
      </c>
      <c r="N25">
        <f>VLOOKUP(C25,技能CD配置辅助表!$C$3:$H$14,6,0)</f>
        <v>26</v>
      </c>
      <c r="O25">
        <f>VLOOKUP(C25,技能CD配置辅助表!$C$3:$M$14,5,0)</f>
        <v>1</v>
      </c>
      <c r="P25">
        <f ca="1">IFERROR(VLOOKUP(A25+I25-10000003,D_技能表!A:AD,30,0)*(VLOOKUP(C25,技能CD配置辅助表!$C$3:$J$14,8,0)-G25)/VLOOKUP(C25,技能CD配置辅助表!$C$3:$J$14,8,0),0)*IF(VLOOKUP(C25,技能CD配置辅助表!$C$3:$F$14,4,0)=1,1,4)</f>
        <v>667.97973099873286</v>
      </c>
      <c r="Q25">
        <f ca="1">IFERROR(K25/VLOOKUP(E25,升级时间!$A$2:$C$101,2,0),0)</f>
        <v>87.865635838515104</v>
      </c>
      <c r="R25">
        <v>1.45</v>
      </c>
    </row>
    <row r="26" spans="1:18" x14ac:dyDescent="0.15">
      <c r="A26">
        <f ca="1">VLOOKUP(B26,技能CD配置辅助表!$C$3:$K$14,9,0)+I26</f>
        <v>19111124</v>
      </c>
      <c r="B26" t="str">
        <f t="shared" si="1"/>
        <v>瞬狱·斩</v>
      </c>
      <c r="C26" t="s">
        <v>188</v>
      </c>
      <c r="D26">
        <f>VLOOKUP(C26,技能CD配置辅助表!$C$3:$E$14,3,0)</f>
        <v>1</v>
      </c>
      <c r="E26">
        <f>IF(I26=0,1,IF(I26&lt;3,VLOOKUP(C26,技能CD配置辅助表!$C$3:$I$14,7,0)+(I26-1)*2,VLOOKUP(C26,技能CD配置辅助表!$C$3:$I$14,7,0)+(I26-1)*3-1))</f>
        <v>70</v>
      </c>
      <c r="F26" t="str">
        <f t="shared" si="2"/>
        <v>第24级，技能冷却时间6.72秒</v>
      </c>
      <c r="G26">
        <f>VLOOKUP(C26,技能CD配置辅助表!$C$3:$J$14,8,0)-(VLOOKUP(C26,技能CD配置辅助表!$C$3:$J$14,8,0)-VLOOKUP(C26,技能CD配置辅助表!$C$2:$M$14,11,0))/(VLOOKUP(C26,技能CD配置辅助表!$C$3:$H$14,6,0)-1)*(I26-IF(I26=0,0,1))</f>
        <v>6720</v>
      </c>
      <c r="H26">
        <f ca="1">M26*'[1]0、经济设定'!$C$18*IF(E26&lt;J26,1,1)</f>
        <v>109700</v>
      </c>
      <c r="I26">
        <f t="shared" si="5"/>
        <v>24</v>
      </c>
      <c r="J26">
        <f>VLOOKUP(C26,技能CD配置辅助表!$C$3:$L$14,10,0)</f>
        <v>20</v>
      </c>
      <c r="K26">
        <f t="shared" ca="1" si="3"/>
        <v>671</v>
      </c>
      <c r="L26" s="45">
        <f t="shared" ca="1" si="6"/>
        <v>313</v>
      </c>
      <c r="M26">
        <f t="shared" ca="1" si="4"/>
        <v>2194</v>
      </c>
      <c r="N26">
        <f>VLOOKUP(C26,技能CD配置辅助表!$C$3:$H$14,6,0)</f>
        <v>26</v>
      </c>
      <c r="O26">
        <f>VLOOKUP(C26,技能CD配置辅助表!$C$3:$M$14,5,0)</f>
        <v>1</v>
      </c>
      <c r="P26">
        <f ca="1">IFERROR(VLOOKUP(A26+I26-10000003,D_技能表!A:AD,30,0)*(VLOOKUP(C26,技能CD配置辅助表!$C$3:$J$14,8,0)-G26)/VLOOKUP(C26,技能CD配置辅助表!$C$3:$J$14,8,0),0)*IF(VLOOKUP(C26,技能CD配置辅助表!$C$3:$F$14,4,0)=1,1,4)</f>
        <v>923.95028035863663</v>
      </c>
      <c r="Q26">
        <f ca="1">IFERROR(K26/VLOOKUP(E26,升级时间!$A$2:$C$101,2,0),0)</f>
        <v>96.823275771014252</v>
      </c>
      <c r="R26">
        <v>1.5</v>
      </c>
    </row>
    <row r="27" spans="1:18" x14ac:dyDescent="0.15">
      <c r="A27">
        <f ca="1">VLOOKUP(B27,技能CD配置辅助表!$C$3:$K$14,9,0)+I27</f>
        <v>19111125</v>
      </c>
      <c r="B27" t="str">
        <f t="shared" si="1"/>
        <v>瞬狱·斩</v>
      </c>
      <c r="C27" t="s">
        <v>188</v>
      </c>
      <c r="D27">
        <f>VLOOKUP(C27,技能CD配置辅助表!$C$3:$E$14,3,0)</f>
        <v>1</v>
      </c>
      <c r="E27">
        <f>IF(I27=0,1,IF(I27&lt;3,VLOOKUP(C27,技能CD配置辅助表!$C$3:$I$14,7,0)+(I27-1)*2,VLOOKUP(C27,技能CD配置辅助表!$C$3:$I$14,7,0)+(I27-1)*3-1))</f>
        <v>73</v>
      </c>
      <c r="F27" t="str">
        <f t="shared" si="2"/>
        <v>第25级，技能冷却时间6.36秒</v>
      </c>
      <c r="G27">
        <f>VLOOKUP(C27,技能CD配置辅助表!$C$3:$J$14,8,0)-(VLOOKUP(C27,技能CD配置辅助表!$C$3:$J$14,8,0)-VLOOKUP(C27,技能CD配置辅助表!$C$2:$M$14,11,0))/(VLOOKUP(C27,技能CD配置辅助表!$C$3:$H$14,6,0)-1)*(I27-IF(I27=0,0,1))</f>
        <v>6360</v>
      </c>
      <c r="H27">
        <f ca="1">M27*'[1]0、经济设定'!$C$18*IF(E27&lt;J27,1,1)</f>
        <v>127850</v>
      </c>
      <c r="I27">
        <f t="shared" si="5"/>
        <v>25</v>
      </c>
      <c r="J27">
        <f>VLOOKUP(C27,技能CD配置辅助表!$C$3:$L$14,10,0)</f>
        <v>20</v>
      </c>
      <c r="K27">
        <f t="shared" ca="1" si="3"/>
        <v>804</v>
      </c>
      <c r="L27" s="45">
        <f t="shared" ca="1" si="6"/>
        <v>363</v>
      </c>
      <c r="M27">
        <f t="shared" ca="1" si="4"/>
        <v>2557</v>
      </c>
      <c r="N27">
        <f>VLOOKUP(C27,技能CD配置辅助表!$C$3:$H$14,6,0)</f>
        <v>26</v>
      </c>
      <c r="O27">
        <f>VLOOKUP(C27,技能CD配置辅助表!$C$3:$M$14,5,0)</f>
        <v>1</v>
      </c>
      <c r="P27">
        <f ca="1">IFERROR(VLOOKUP(A27+I27-10000003,D_技能表!A:AD,30,0)*(VLOOKUP(C27,技能CD配置辅助表!$C$3:$J$14,8,0)-G27)/VLOOKUP(C27,技能CD配置辅助表!$C$3:$J$14,8,0),0)*IF(VLOOKUP(C27,技能CD配置辅助表!$C$3:$F$14,4,0)=1,1,4)</f>
        <v>1275.065442703755</v>
      </c>
      <c r="Q27">
        <f ca="1">IFERROR(K27/VLOOKUP(E27,升级时间!$A$2:$C$101,2,0),0)</f>
        <v>92.845671619764971</v>
      </c>
      <c r="R27">
        <v>1.55</v>
      </c>
    </row>
    <row r="28" spans="1:18" x14ac:dyDescent="0.15">
      <c r="A28">
        <f ca="1">VLOOKUP(B28,技能CD配置辅助表!$C$3:$K$14,9,0)+I28</f>
        <v>19111126</v>
      </c>
      <c r="B28" t="str">
        <f t="shared" si="1"/>
        <v>瞬狱·斩</v>
      </c>
      <c r="C28" t="s">
        <v>188</v>
      </c>
      <c r="D28">
        <f>VLOOKUP(C28,技能CD配置辅助表!$C$3:$E$14,3,0)</f>
        <v>1</v>
      </c>
      <c r="E28">
        <f>IF(I28=0,1,IF(I28&lt;3,VLOOKUP(C28,技能CD配置辅助表!$C$3:$I$14,7,0)+(I28-1)*2,VLOOKUP(C28,技能CD配置辅助表!$C$3:$I$14,7,0)+(I28-1)*3-1))</f>
        <v>76</v>
      </c>
      <c r="F28" t="str">
        <f t="shared" si="2"/>
        <v>第26级，技能冷却时间6秒</v>
      </c>
      <c r="G28">
        <f>VLOOKUP(C28,技能CD配置辅助表!$C$3:$J$14,8,0)-(VLOOKUP(C28,技能CD配置辅助表!$C$3:$J$14,8,0)-VLOOKUP(C28,技能CD配置辅助表!$C$2:$M$14,11,0))/(VLOOKUP(C28,技能CD配置辅助表!$C$3:$H$14,6,0)-1)*(I28-IF(I28=0,0,1))</f>
        <v>6000</v>
      </c>
      <c r="H28">
        <f ca="1">M28*'[1]0、经济设定'!$C$18*IF(E28&lt;J28,1,1)</f>
        <v>148900</v>
      </c>
      <c r="I28">
        <f t="shared" si="5"/>
        <v>26</v>
      </c>
      <c r="J28">
        <f>VLOOKUP(C28,技能CD配置辅助表!$C$3:$L$14,10,0)</f>
        <v>20</v>
      </c>
      <c r="K28">
        <f t="shared" ca="1" si="3"/>
        <v>963</v>
      </c>
      <c r="L28" s="45">
        <f ca="1">ROUND((IF(I28&lt;2,0,ROUND(OFFSET(P28,N28-I28+108*(1-D28),0)*(1-$T$3)/(1-$T$3^(N28-1))*$T$3^(I28-2)*$T$2,0))+IF(I28&lt;2,0,ROUND(OFFSET(P28,N28-I28+108*(2-D28),0)*(1-$T$3)/(1-$T$3^(N28-1))*$T$3^(I28-2)*$T$2,0))+IF(I28&lt;2,0,ROUND(OFFSET(P28,N28-I28+108*(3-D28),0)*(1-$T$3)/(1-$T$3^(N28-1))*$T$3^(I28-2)*$T$2,0)))/3,0)</f>
        <v>421</v>
      </c>
      <c r="M28">
        <f t="shared" ca="1" si="4"/>
        <v>2978</v>
      </c>
      <c r="N28">
        <f>VLOOKUP(C28,技能CD配置辅助表!$C$3:$H$14,6,0)</f>
        <v>26</v>
      </c>
      <c r="O28">
        <f>VLOOKUP(C28,技能CD配置辅助表!$C$3:$M$14,5,0)</f>
        <v>1</v>
      </c>
      <c r="P28">
        <f ca="1">IFERROR(VLOOKUP(A28+I28-10000003,D_技能表!A:AD,30,0)*(VLOOKUP(C28,技能CD配置辅助表!$C$3:$J$14,8,0)-G28)/VLOOKUP(C28,技能CD配置辅助表!$C$3:$J$14,8,0),0)*IF(VLOOKUP(C28,技能CD配置辅助表!$C$3:$F$14,4,0)=1,1,4)</f>
        <v>1755.8568690927102</v>
      </c>
      <c r="Q28">
        <f ca="1">IFERROR(K28/VLOOKUP(E28,升级时间!$A$2:$C$101,2,0),0)</f>
        <v>89.259407749469361</v>
      </c>
      <c r="R28">
        <v>1.6</v>
      </c>
    </row>
    <row r="29" spans="1:18" x14ac:dyDescent="0.15">
      <c r="A29">
        <f ca="1">VLOOKUP(B29,技能CD配置辅助表!$C$3:$K$14,9,0)+I29</f>
        <v>19122100</v>
      </c>
      <c r="B29" t="str">
        <f t="shared" si="1"/>
        <v>影袭·斩</v>
      </c>
      <c r="C29" t="s">
        <v>189</v>
      </c>
      <c r="D29">
        <f>VLOOKUP(C29,技能CD配置辅助表!$C$3:$E$14,3,0)</f>
        <v>1</v>
      </c>
      <c r="E29">
        <f>IF(I29=0,1,IF(I29&lt;3,VLOOKUP(C29,技能CD配置辅助表!$C$3:$I$14,7,0)+(I29-1)*2,VLOOKUP(C29,技能CD配置辅助表!$C$3:$I$14,7,0)+(I29-1)*3-1))</f>
        <v>1</v>
      </c>
      <c r="F29" t="str">
        <f t="shared" si="2"/>
        <v>第0级，技能冷却时间15秒</v>
      </c>
      <c r="G29">
        <f>VLOOKUP(C29,技能CD配置辅助表!$C$3:$J$14,8,0)-(VLOOKUP(C29,技能CD配置辅助表!$C$3:$J$14,8,0)-VLOOKUP(C29,技能CD配置辅助表!$C$2:$M$14,11,0))/(VLOOKUP(C29,技能CD配置辅助表!$C$3:$H$14,6,0)-1)*(I29-IF(I29=0,0,1))</f>
        <v>15000</v>
      </c>
      <c r="H29">
        <f>M29*'[1]0、经济设定'!$C$18*IF(E29&lt;J29,1,1)</f>
        <v>0</v>
      </c>
      <c r="I29">
        <f t="shared" si="5"/>
        <v>0</v>
      </c>
      <c r="J29">
        <f>VLOOKUP(C29,技能CD配置辅助表!$C$3:$L$14,10,0)</f>
        <v>20</v>
      </c>
      <c r="K29">
        <f t="shared" si="3"/>
        <v>0</v>
      </c>
      <c r="L29" s="45">
        <f t="shared" ref="L29:L92" ca="1" si="7">ROUND((IF(I29&lt;2,0,ROUND(OFFSET(P29,N29-I29+108*(1-D29),0)*(1-$T$3)/(1-$T$3^(N29-1))*$T$3^(I29-2)*$T$2,0))+IF(I29&lt;2,0,ROUND(OFFSET(P29,N29-I29+108*(2-D29),0)*(1-$T$3)/(1-$T$3^(N29-1))*$T$3^(I29-2)*$T$2,0))+IF(I29&lt;2,0,ROUND(OFFSET(P29,N29-I29+108*(3-D29),0)*(1-$T$3)/(1-$T$3^(N29-1))*$T$3^(I29-2)*$T$2,0)))/3,0)</f>
        <v>0</v>
      </c>
      <c r="M29">
        <f t="shared" si="4"/>
        <v>0</v>
      </c>
      <c r="N29">
        <f>VLOOKUP(C29,技能CD配置辅助表!$C$3:$H$14,6,0)</f>
        <v>26</v>
      </c>
      <c r="O29">
        <f>VLOOKUP(C29,技能CD配置辅助表!$C$3:$M$14,5,0)</f>
        <v>2</v>
      </c>
      <c r="P29">
        <f ca="1">IFERROR(VLOOKUP(A29+I29-10000003,D_技能表!A:AD,30,0)*(VLOOKUP(C29,技能CD配置辅助表!$C$3:$J$14,8,0)-G29)/VLOOKUP(C29,技能CD配置辅助表!$C$3:$J$14,8,0),0)*IF(VLOOKUP(C29,技能CD配置辅助表!$C$3:$F$14,4,0)=1,1,4)</f>
        <v>0</v>
      </c>
      <c r="Q29">
        <f>IFERROR(K29/VLOOKUP(E29,升级时间!$A$2:$C$101,2,0),0)</f>
        <v>0</v>
      </c>
      <c r="R29">
        <f>R2</f>
        <v>0</v>
      </c>
    </row>
    <row r="30" spans="1:18" x14ac:dyDescent="0.15">
      <c r="A30">
        <f ca="1">VLOOKUP(B30,技能CD配置辅助表!$C$3:$K$14,9,0)+I30</f>
        <v>19122101</v>
      </c>
      <c r="B30" t="str">
        <f t="shared" si="1"/>
        <v>影袭·斩</v>
      </c>
      <c r="C30" t="s">
        <v>189</v>
      </c>
      <c r="D30">
        <f>VLOOKUP(C30,技能CD配置辅助表!$C$3:$E$14,3,0)</f>
        <v>1</v>
      </c>
      <c r="E30">
        <f>IF(I30=0,1,IF(I30&lt;3,VLOOKUP(C30,技能CD配置辅助表!$C$3:$I$14,7,0)+(I30-1)*2,VLOOKUP(C30,技能CD配置辅助表!$C$3:$I$14,7,0)+(I30-1)*3-1))</f>
        <v>4</v>
      </c>
      <c r="F30" t="str">
        <f t="shared" si="2"/>
        <v>第1级，技能冷却时间15秒</v>
      </c>
      <c r="G30">
        <f>VLOOKUP(C30,技能CD配置辅助表!$C$3:$J$14,8,0)-(VLOOKUP(C30,技能CD配置辅助表!$C$3:$J$14,8,0)-VLOOKUP(C30,技能CD配置辅助表!$C$2:$M$14,11,0))/(VLOOKUP(C30,技能CD配置辅助表!$C$3:$H$14,6,0)-1)*(I30-IF(I30=0,0,1))</f>
        <v>15000</v>
      </c>
      <c r="H30">
        <f ca="1">M30*'[1]0、经济设定'!$C$18*IF(E30&lt;J30,1,1)</f>
        <v>0</v>
      </c>
      <c r="I30">
        <f t="shared" si="5"/>
        <v>1</v>
      </c>
      <c r="J30">
        <f>VLOOKUP(C30,技能CD配置辅助表!$C$3:$L$14,10,0)</f>
        <v>20</v>
      </c>
      <c r="K30">
        <f t="shared" si="3"/>
        <v>0</v>
      </c>
      <c r="L30" s="45">
        <f t="shared" ca="1" si="7"/>
        <v>0</v>
      </c>
      <c r="M30">
        <f t="shared" ca="1" si="4"/>
        <v>0</v>
      </c>
      <c r="N30">
        <f>VLOOKUP(C30,技能CD配置辅助表!$C$3:$H$14,6,0)</f>
        <v>26</v>
      </c>
      <c r="O30">
        <f>VLOOKUP(C30,技能CD配置辅助表!$C$3:$M$14,5,0)</f>
        <v>2</v>
      </c>
      <c r="P30">
        <f ca="1">IFERROR(VLOOKUP(A30+I30-10000003,D_技能表!A:AD,30,0)*(VLOOKUP(C30,技能CD配置辅助表!$C$3:$J$14,8,0)-G30)/VLOOKUP(C30,技能CD配置辅助表!$C$3:$J$14,8,0),0)*IF(VLOOKUP(C30,技能CD配置辅助表!$C$3:$F$14,4,0)=1,1,4)</f>
        <v>0</v>
      </c>
      <c r="Q30">
        <f>IFERROR(K30/VLOOKUP(E30,升级时间!$A$2:$C$101,2,0),0)</f>
        <v>0</v>
      </c>
      <c r="R30">
        <f t="shared" ref="R30:R93" si="8">R3</f>
        <v>0</v>
      </c>
    </row>
    <row r="31" spans="1:18" x14ac:dyDescent="0.15">
      <c r="A31">
        <f ca="1">VLOOKUP(B31,技能CD配置辅助表!$C$3:$K$14,9,0)+I31</f>
        <v>19122102</v>
      </c>
      <c r="B31" t="str">
        <f t="shared" si="1"/>
        <v>影袭·斩</v>
      </c>
      <c r="C31" t="s">
        <v>189</v>
      </c>
      <c r="D31">
        <f>VLOOKUP(C31,技能CD配置辅助表!$C$3:$E$14,3,0)</f>
        <v>1</v>
      </c>
      <c r="E31">
        <f>IF(I31=0,1,IF(I31&lt;3,VLOOKUP(C31,技能CD配置辅助表!$C$3:$I$14,7,0)+(I31-1)*2,VLOOKUP(C31,技能CD配置辅助表!$C$3:$I$14,7,0)+(I31-1)*3-1))</f>
        <v>6</v>
      </c>
      <c r="F31" t="str">
        <f t="shared" si="2"/>
        <v>第2级，技能冷却时间14.6秒</v>
      </c>
      <c r="G31">
        <f>VLOOKUP(C31,技能CD配置辅助表!$C$3:$J$14,8,0)-(VLOOKUP(C31,技能CD配置辅助表!$C$3:$J$14,8,0)-VLOOKUP(C31,技能CD配置辅助表!$C$2:$M$14,11,0))/(VLOOKUP(C31,技能CD配置辅助表!$C$3:$H$14,6,0)-1)*(I31-IF(I31=0,0,1))</f>
        <v>14600</v>
      </c>
      <c r="H31">
        <f ca="1">M31*'[1]0、经济设定'!$C$18*IF(E31&lt;J31,1,1)</f>
        <v>1150</v>
      </c>
      <c r="I31">
        <f t="shared" si="5"/>
        <v>2</v>
      </c>
      <c r="J31">
        <f>VLOOKUP(C31,技能CD配置辅助表!$C$3:$L$14,10,0)</f>
        <v>20</v>
      </c>
      <c r="K31">
        <f t="shared" si="3"/>
        <v>0</v>
      </c>
      <c r="L31" s="45">
        <f t="shared" ca="1" si="7"/>
        <v>23</v>
      </c>
      <c r="M31">
        <f t="shared" ca="1" si="4"/>
        <v>23</v>
      </c>
      <c r="N31">
        <f>VLOOKUP(C31,技能CD配置辅助表!$C$3:$H$14,6,0)</f>
        <v>26</v>
      </c>
      <c r="O31">
        <f>VLOOKUP(C31,技能CD配置辅助表!$C$3:$M$14,5,0)</f>
        <v>2</v>
      </c>
      <c r="P31">
        <f ca="1">IFERROR(VLOOKUP(A31+I31-10000003,D_技能表!A:AD,30,0)*(VLOOKUP(C31,技能CD配置辅助表!$C$3:$J$14,8,0)-G31)/VLOOKUP(C31,技能CD配置辅助表!$C$3:$J$14,8,0),0)*IF(VLOOKUP(C31,技能CD配置辅助表!$C$3:$F$14,4,0)=1,1,4)</f>
        <v>5.3635608787818048E-2</v>
      </c>
      <c r="Q31">
        <f>IFERROR(K31/VLOOKUP(E31,升级时间!$A$2:$C$101,2,0),0)</f>
        <v>0</v>
      </c>
      <c r="R31">
        <f t="shared" si="8"/>
        <v>0</v>
      </c>
    </row>
    <row r="32" spans="1:18" x14ac:dyDescent="0.15">
      <c r="A32">
        <f ca="1">VLOOKUP(B32,技能CD配置辅助表!$C$3:$K$14,9,0)+I32</f>
        <v>19122103</v>
      </c>
      <c r="B32" t="str">
        <f t="shared" si="1"/>
        <v>影袭·斩</v>
      </c>
      <c r="C32" t="s">
        <v>189</v>
      </c>
      <c r="D32">
        <f>VLOOKUP(C32,技能CD配置辅助表!$C$3:$E$14,3,0)</f>
        <v>1</v>
      </c>
      <c r="E32">
        <f>IF(I32=0,1,IF(I32&lt;3,VLOOKUP(C32,技能CD配置辅助表!$C$3:$I$14,7,0)+(I32-1)*2,VLOOKUP(C32,技能CD配置辅助表!$C$3:$I$14,7,0)+(I32-1)*3-1))</f>
        <v>9</v>
      </c>
      <c r="F32" t="str">
        <f t="shared" si="2"/>
        <v>第3级，技能冷却时间14.2秒</v>
      </c>
      <c r="G32">
        <f>VLOOKUP(C32,技能CD配置辅助表!$C$3:$J$14,8,0)-(VLOOKUP(C32,技能CD配置辅助表!$C$3:$J$14,8,0)-VLOOKUP(C32,技能CD配置辅助表!$C$2:$M$14,11,0))/(VLOOKUP(C32,技能CD配置辅助表!$C$3:$H$14,6,0)-1)*(I32-IF(I32=0,0,1))</f>
        <v>14200</v>
      </c>
      <c r="H32">
        <f ca="1">M32*'[1]0、经济设定'!$C$18*IF(E32&lt;J32,1,1)</f>
        <v>2450</v>
      </c>
      <c r="I32">
        <f t="shared" si="5"/>
        <v>3</v>
      </c>
      <c r="J32">
        <f>VLOOKUP(C32,技能CD配置辅助表!$C$3:$L$14,10,0)</f>
        <v>20</v>
      </c>
      <c r="K32">
        <f t="shared" si="3"/>
        <v>0</v>
      </c>
      <c r="L32" s="45">
        <f t="shared" ca="1" si="7"/>
        <v>26</v>
      </c>
      <c r="M32">
        <f t="shared" ca="1" si="4"/>
        <v>49</v>
      </c>
      <c r="N32">
        <f>VLOOKUP(C32,技能CD配置辅助表!$C$3:$H$14,6,0)</f>
        <v>26</v>
      </c>
      <c r="O32">
        <f>VLOOKUP(C32,技能CD配置辅助表!$C$3:$M$14,5,0)</f>
        <v>2</v>
      </c>
      <c r="P32">
        <f ca="1">IFERROR(VLOOKUP(A32+I32-10000003,D_技能表!A:AD,30,0)*(VLOOKUP(C32,技能CD配置辅助表!$C$3:$J$14,8,0)-G32)/VLOOKUP(C32,技能CD配置辅助表!$C$3:$J$14,8,0),0)*IF(VLOOKUP(C32,技能CD配置辅助表!$C$3:$F$14,4,0)=1,1,4)</f>
        <v>0.16510978694182449</v>
      </c>
      <c r="Q32">
        <f>IFERROR(K32/VLOOKUP(E32,升级时间!$A$2:$C$101,2,0),0)</f>
        <v>0</v>
      </c>
      <c r="R32">
        <f t="shared" si="8"/>
        <v>0</v>
      </c>
    </row>
    <row r="33" spans="1:18" x14ac:dyDescent="0.15">
      <c r="A33">
        <f ca="1">VLOOKUP(B33,技能CD配置辅助表!$C$3:$K$14,9,0)+I33</f>
        <v>19122104</v>
      </c>
      <c r="B33" t="str">
        <f t="shared" si="1"/>
        <v>影袭·斩</v>
      </c>
      <c r="C33" t="s">
        <v>189</v>
      </c>
      <c r="D33">
        <f>VLOOKUP(C33,技能CD配置辅助表!$C$3:$E$14,3,0)</f>
        <v>1</v>
      </c>
      <c r="E33">
        <f>IF(I33=0,1,IF(I33&lt;3,VLOOKUP(C33,技能CD配置辅助表!$C$3:$I$14,7,0)+(I33-1)*2,VLOOKUP(C33,技能CD配置辅助表!$C$3:$I$14,7,0)+(I33-1)*3-1))</f>
        <v>12</v>
      </c>
      <c r="F33" t="str">
        <f t="shared" si="2"/>
        <v>第4级，技能冷却时间13.8秒</v>
      </c>
      <c r="G33">
        <f>VLOOKUP(C33,技能CD配置辅助表!$C$3:$J$14,8,0)-(VLOOKUP(C33,技能CD配置辅助表!$C$3:$J$14,8,0)-VLOOKUP(C33,技能CD配置辅助表!$C$2:$M$14,11,0))/(VLOOKUP(C33,技能CD配置辅助表!$C$3:$H$14,6,0)-1)*(I33-IF(I33=0,0,1))</f>
        <v>13800</v>
      </c>
      <c r="H33">
        <f ca="1">M33*'[1]0、经济设定'!$C$18*IF(E33&lt;J33,1,1)</f>
        <v>4000</v>
      </c>
      <c r="I33">
        <f t="shared" si="5"/>
        <v>4</v>
      </c>
      <c r="J33">
        <f>VLOOKUP(C33,技能CD配置辅助表!$C$3:$L$14,10,0)</f>
        <v>20</v>
      </c>
      <c r="K33">
        <f t="shared" si="3"/>
        <v>0</v>
      </c>
      <c r="L33" s="45">
        <f t="shared" ca="1" si="7"/>
        <v>31</v>
      </c>
      <c r="M33">
        <f t="shared" ca="1" si="4"/>
        <v>80</v>
      </c>
      <c r="N33">
        <f>VLOOKUP(C33,技能CD配置辅助表!$C$3:$H$14,6,0)</f>
        <v>26</v>
      </c>
      <c r="O33">
        <f>VLOOKUP(C33,技能CD配置辅助表!$C$3:$M$14,5,0)</f>
        <v>2</v>
      </c>
      <c r="P33">
        <f ca="1">IFERROR(VLOOKUP(A33+I33-10000003,D_技能表!A:AD,30,0)*(VLOOKUP(C33,技能CD配置辅助表!$C$3:$J$14,8,0)-G33)/VLOOKUP(C33,技能CD配置辅助表!$C$3:$J$14,8,0),0)*IF(VLOOKUP(C33,技能CD配置辅助表!$C$3:$F$14,4,0)=1,1,4)</f>
        <v>0.35480175423176907</v>
      </c>
      <c r="Q33">
        <f>IFERROR(K33/VLOOKUP(E33,升级时间!$A$2:$C$101,2,0),0)</f>
        <v>0</v>
      </c>
      <c r="R33">
        <f t="shared" si="8"/>
        <v>0</v>
      </c>
    </row>
    <row r="34" spans="1:18" x14ac:dyDescent="0.15">
      <c r="A34">
        <f ca="1">VLOOKUP(B34,技能CD配置辅助表!$C$3:$K$14,9,0)+I34</f>
        <v>19122105</v>
      </c>
      <c r="B34" t="str">
        <f t="shared" si="1"/>
        <v>影袭·斩</v>
      </c>
      <c r="C34" t="s">
        <v>189</v>
      </c>
      <c r="D34">
        <f>VLOOKUP(C34,技能CD配置辅助表!$C$3:$E$14,3,0)</f>
        <v>1</v>
      </c>
      <c r="E34">
        <f>IF(I34=0,1,IF(I34&lt;3,VLOOKUP(C34,技能CD配置辅助表!$C$3:$I$14,7,0)+(I34-1)*2,VLOOKUP(C34,技能CD配置辅助表!$C$3:$I$14,7,0)+(I34-1)*3-1))</f>
        <v>15</v>
      </c>
      <c r="F34" t="str">
        <f t="shared" si="2"/>
        <v>第5级，技能冷却时间13.4秒</v>
      </c>
      <c r="G34">
        <f>VLOOKUP(C34,技能CD配置辅助表!$C$3:$J$14,8,0)-(VLOOKUP(C34,技能CD配置辅助表!$C$3:$J$14,8,0)-VLOOKUP(C34,技能CD配置辅助表!$C$2:$M$14,11,0))/(VLOOKUP(C34,技能CD配置辅助表!$C$3:$H$14,6,0)-1)*(I34-IF(I34=0,0,1))</f>
        <v>13400</v>
      </c>
      <c r="H34">
        <f ca="1">M34*'[1]0、经济设定'!$C$18*IF(E34&lt;J34,1,1)</f>
        <v>5800</v>
      </c>
      <c r="I34">
        <f t="shared" si="5"/>
        <v>5</v>
      </c>
      <c r="J34">
        <f>VLOOKUP(C34,技能CD配置辅助表!$C$3:$L$14,10,0)</f>
        <v>20</v>
      </c>
      <c r="K34">
        <f t="shared" si="3"/>
        <v>0</v>
      </c>
      <c r="L34" s="45">
        <f t="shared" ca="1" si="7"/>
        <v>36</v>
      </c>
      <c r="M34">
        <f t="shared" ca="1" si="4"/>
        <v>116</v>
      </c>
      <c r="N34">
        <f>VLOOKUP(C34,技能CD配置辅助表!$C$3:$H$14,6,0)</f>
        <v>26</v>
      </c>
      <c r="O34">
        <f>VLOOKUP(C34,技能CD配置辅助表!$C$3:$M$14,5,0)</f>
        <v>2</v>
      </c>
      <c r="P34">
        <f ca="1">IFERROR(VLOOKUP(A34+I34-10000003,D_技能表!A:AD,30,0)*(VLOOKUP(C34,技能CD配置辅助表!$C$3:$J$14,8,0)-G34)/VLOOKUP(C34,技能CD配置辅助表!$C$3:$J$14,8,0),0)*IF(VLOOKUP(C34,技能CD配置辅助表!$C$3:$F$14,4,0)=1,1,4)</f>
        <v>0.67156650153543318</v>
      </c>
      <c r="Q34">
        <f>IFERROR(K34/VLOOKUP(E34,升级时间!$A$2:$C$101,2,0),0)</f>
        <v>0</v>
      </c>
      <c r="R34">
        <f t="shared" si="8"/>
        <v>0.1</v>
      </c>
    </row>
    <row r="35" spans="1:18" x14ac:dyDescent="0.15">
      <c r="A35">
        <f ca="1">VLOOKUP(B35,技能CD配置辅助表!$C$3:$K$14,9,0)+I35</f>
        <v>19122106</v>
      </c>
      <c r="B35" t="str">
        <f t="shared" si="1"/>
        <v>影袭·斩</v>
      </c>
      <c r="C35" t="s">
        <v>189</v>
      </c>
      <c r="D35">
        <f>VLOOKUP(C35,技能CD配置辅助表!$C$3:$E$14,3,0)</f>
        <v>1</v>
      </c>
      <c r="E35">
        <f>IF(I35=0,1,IF(I35&lt;3,VLOOKUP(C35,技能CD配置辅助表!$C$3:$I$14,7,0)+(I35-1)*2,VLOOKUP(C35,技能CD配置辅助表!$C$3:$I$14,7,0)+(I35-1)*3-1))</f>
        <v>18</v>
      </c>
      <c r="F35" t="str">
        <f t="shared" si="2"/>
        <v>第6级，技能冷却时间13秒</v>
      </c>
      <c r="G35">
        <f>VLOOKUP(C35,技能CD配置辅助表!$C$3:$J$14,8,0)-(VLOOKUP(C35,技能CD配置辅助表!$C$3:$J$14,8,0)-VLOOKUP(C35,技能CD配置辅助表!$C$2:$M$14,11,0))/(VLOOKUP(C35,技能CD配置辅助表!$C$3:$H$14,6,0)-1)*(I35-IF(I35=0,0,1))</f>
        <v>13000</v>
      </c>
      <c r="H35">
        <f ca="1">M35*'[1]0、经济设定'!$C$18*IF(E35&lt;J35,1,1)</f>
        <v>7850</v>
      </c>
      <c r="I35">
        <f t="shared" si="5"/>
        <v>6</v>
      </c>
      <c r="J35">
        <f>VLOOKUP(C35,技能CD配置辅助表!$C$3:$L$14,10,0)</f>
        <v>20</v>
      </c>
      <c r="K35">
        <f t="shared" si="3"/>
        <v>0</v>
      </c>
      <c r="L35" s="45">
        <f t="shared" ca="1" si="7"/>
        <v>41</v>
      </c>
      <c r="M35">
        <f t="shared" ca="1" si="4"/>
        <v>157</v>
      </c>
      <c r="N35">
        <f>VLOOKUP(C35,技能CD配置辅助表!$C$3:$H$14,6,0)</f>
        <v>26</v>
      </c>
      <c r="O35">
        <f>VLOOKUP(C35,技能CD配置辅助表!$C$3:$M$14,5,0)</f>
        <v>2</v>
      </c>
      <c r="P35">
        <f ca="1">IFERROR(VLOOKUP(A35+I35-10000003,D_技能表!A:AD,30,0)*(VLOOKUP(C35,技能CD配置辅助表!$C$3:$J$14,8,0)-G35)/VLOOKUP(C35,技能CD配置辅助表!$C$3:$J$14,8,0),0)*IF(VLOOKUP(C35,技能CD配置辅助表!$C$3:$F$14,4,0)=1,1,4)</f>
        <v>1.182679854485964</v>
      </c>
      <c r="Q35">
        <f>IFERROR(K35/VLOOKUP(E35,升级时间!$A$2:$C$101,2,0),0)</f>
        <v>0</v>
      </c>
      <c r="R35">
        <f t="shared" si="8"/>
        <v>0.2</v>
      </c>
    </row>
    <row r="36" spans="1:18" x14ac:dyDescent="0.15">
      <c r="A36">
        <f ca="1">VLOOKUP(B36,技能CD配置辅助表!$C$3:$K$14,9,0)+I36</f>
        <v>19122107</v>
      </c>
      <c r="B36" t="str">
        <f t="shared" si="1"/>
        <v>影袭·斩</v>
      </c>
      <c r="C36" t="s">
        <v>189</v>
      </c>
      <c r="D36">
        <f>VLOOKUP(C36,技能CD配置辅助表!$C$3:$E$14,3,0)</f>
        <v>1</v>
      </c>
      <c r="E36">
        <f>IF(I36=0,1,IF(I36&lt;3,VLOOKUP(C36,技能CD配置辅助表!$C$3:$I$14,7,0)+(I36-1)*2,VLOOKUP(C36,技能CD配置辅助表!$C$3:$I$14,7,0)+(I36-1)*3-1))</f>
        <v>21</v>
      </c>
      <c r="F36" t="str">
        <f t="shared" si="2"/>
        <v>第7级，技能冷却时间12.6秒</v>
      </c>
      <c r="G36">
        <f>VLOOKUP(C36,技能CD配置辅助表!$C$3:$J$14,8,0)-(VLOOKUP(C36,技能CD配置辅助表!$C$3:$J$14,8,0)-VLOOKUP(C36,技能CD配置辅助表!$C$2:$M$14,11,0))/(VLOOKUP(C36,技能CD配置辅助表!$C$3:$H$14,6,0)-1)*(I36-IF(I36=0,0,1))</f>
        <v>12600</v>
      </c>
      <c r="H36">
        <f ca="1">M36*'[1]0、经济设定'!$C$18*IF(E36&lt;J36,1,1)</f>
        <v>10250</v>
      </c>
      <c r="I36">
        <f t="shared" si="5"/>
        <v>7</v>
      </c>
      <c r="J36">
        <f>VLOOKUP(C36,技能CD配置辅助表!$C$3:$L$14,10,0)</f>
        <v>20</v>
      </c>
      <c r="K36">
        <f ca="1">IF(E36&lt;J36,0,ROUNDUP(L36/$T$4*R36,0))</f>
        <v>21</v>
      </c>
      <c r="L36" s="45">
        <f t="shared" ca="1" si="7"/>
        <v>48</v>
      </c>
      <c r="M36">
        <f t="shared" ca="1" si="4"/>
        <v>205</v>
      </c>
      <c r="N36">
        <f>VLOOKUP(C36,技能CD配置辅助表!$C$3:$H$14,6,0)</f>
        <v>26</v>
      </c>
      <c r="O36">
        <f>VLOOKUP(C36,技能CD配置辅助表!$C$3:$M$14,5,0)</f>
        <v>2</v>
      </c>
      <c r="P36">
        <f ca="1">IFERROR(VLOOKUP(A36+I36-10000003,D_技能表!A:AD,30,0)*(VLOOKUP(C36,技能CD配置辅助表!$C$3:$J$14,8,0)-G36)/VLOOKUP(C36,技能CD配置辅助表!$C$3:$J$14,8,0),0)*IF(VLOOKUP(C36,技能CD配置辅助表!$C$3:$F$14,4,0)=1,1,4)</f>
        <v>1.9866812332704249</v>
      </c>
      <c r="Q36">
        <f ca="1">IFERROR(K36/VLOOKUP(E36,升级时间!$A$2:$C$101,2,0),0)</f>
        <v>0</v>
      </c>
      <c r="R36">
        <f t="shared" si="8"/>
        <v>0.3</v>
      </c>
    </row>
    <row r="37" spans="1:18" x14ac:dyDescent="0.15">
      <c r="A37">
        <f ca="1">VLOOKUP(B37,技能CD配置辅助表!$C$3:$K$14,9,0)+I37</f>
        <v>19122108</v>
      </c>
      <c r="B37" t="str">
        <f t="shared" si="1"/>
        <v>影袭·斩</v>
      </c>
      <c r="C37" t="s">
        <v>189</v>
      </c>
      <c r="D37">
        <f>VLOOKUP(C37,技能CD配置辅助表!$C$3:$E$14,3,0)</f>
        <v>1</v>
      </c>
      <c r="E37">
        <f>IF(I37=0,1,IF(I37&lt;3,VLOOKUP(C37,技能CD配置辅助表!$C$3:$I$14,7,0)+(I37-1)*2,VLOOKUP(C37,技能CD配置辅助表!$C$3:$I$14,7,0)+(I37-1)*3-1))</f>
        <v>24</v>
      </c>
      <c r="F37" t="str">
        <f t="shared" si="2"/>
        <v>第8级，技能冷却时间12.2秒</v>
      </c>
      <c r="G37">
        <f>VLOOKUP(C37,技能CD配置辅助表!$C$3:$J$14,8,0)-(VLOOKUP(C37,技能CD配置辅助表!$C$3:$J$14,8,0)-VLOOKUP(C37,技能CD配置辅助表!$C$2:$M$14,11,0))/(VLOOKUP(C37,技能CD配置辅助表!$C$3:$H$14,6,0)-1)*(I37-IF(I37=0,0,1))</f>
        <v>12200</v>
      </c>
      <c r="H37">
        <f ca="1">M37*'[1]0、经济设定'!$C$18*IF(E37&lt;J37,1,1)</f>
        <v>13050</v>
      </c>
      <c r="I37">
        <f t="shared" si="5"/>
        <v>8</v>
      </c>
      <c r="J37">
        <f>VLOOKUP(C37,技能CD配置辅助表!$C$3:$L$14,10,0)</f>
        <v>20</v>
      </c>
      <c r="K37">
        <f t="shared" ca="1" si="3"/>
        <v>32</v>
      </c>
      <c r="L37" s="45">
        <f t="shared" ca="1" si="7"/>
        <v>56</v>
      </c>
      <c r="M37">
        <f t="shared" ca="1" si="4"/>
        <v>261</v>
      </c>
      <c r="N37">
        <f>VLOOKUP(C37,技能CD配置辅助表!$C$3:$H$14,6,0)</f>
        <v>26</v>
      </c>
      <c r="O37">
        <f>VLOOKUP(C37,技能CD配置辅助表!$C$3:$M$14,5,0)</f>
        <v>2</v>
      </c>
      <c r="P37">
        <f ca="1">IFERROR(VLOOKUP(A37+I37-10000003,D_技能表!A:AD,30,0)*(VLOOKUP(C37,技能CD配置辅助表!$C$3:$J$14,8,0)-G37)/VLOOKUP(C37,技能CD配置辅助表!$C$3:$J$14,8,0),0)*IF(VLOOKUP(C37,技能CD配置辅助表!$C$3:$F$14,4,0)=1,1,4)</f>
        <v>3.2267491276211877</v>
      </c>
      <c r="Q37">
        <f ca="1">IFERROR(K37/VLOOKUP(E37,升级时间!$A$2:$C$101,2,0),0)</f>
        <v>0</v>
      </c>
      <c r="R37">
        <f t="shared" si="8"/>
        <v>0.4</v>
      </c>
    </row>
    <row r="38" spans="1:18" x14ac:dyDescent="0.15">
      <c r="A38">
        <f ca="1">VLOOKUP(B38,技能CD配置辅助表!$C$3:$K$14,9,0)+I38</f>
        <v>19122109</v>
      </c>
      <c r="B38" t="str">
        <f t="shared" si="1"/>
        <v>影袭·斩</v>
      </c>
      <c r="C38" t="s">
        <v>189</v>
      </c>
      <c r="D38">
        <f>VLOOKUP(C38,技能CD配置辅助表!$C$3:$E$14,3,0)</f>
        <v>1</v>
      </c>
      <c r="E38">
        <f>IF(I38=0,1,IF(I38&lt;3,VLOOKUP(C38,技能CD配置辅助表!$C$3:$I$14,7,0)+(I38-1)*2,VLOOKUP(C38,技能CD配置辅助表!$C$3:$I$14,7,0)+(I38-1)*3-1))</f>
        <v>27</v>
      </c>
      <c r="F38" t="str">
        <f t="shared" si="2"/>
        <v>第9级，技能冷却时间11.8秒</v>
      </c>
      <c r="G38">
        <f>VLOOKUP(C38,技能CD配置辅助表!$C$3:$J$14,8,0)-(VLOOKUP(C38,技能CD配置辅助表!$C$3:$J$14,8,0)-VLOOKUP(C38,技能CD配置辅助表!$C$2:$M$14,11,0))/(VLOOKUP(C38,技能CD配置辅助表!$C$3:$H$14,6,0)-1)*(I38-IF(I38=0,0,1))</f>
        <v>11800</v>
      </c>
      <c r="H38">
        <f ca="1">M38*'[1]0、经济设定'!$C$18*IF(E38&lt;J38,1,1)</f>
        <v>16300</v>
      </c>
      <c r="I38">
        <f t="shared" si="5"/>
        <v>9</v>
      </c>
      <c r="J38">
        <f>VLOOKUP(C38,技能CD配置辅助表!$C$3:$L$14,10,0)</f>
        <v>20</v>
      </c>
      <c r="K38">
        <f t="shared" ca="1" si="3"/>
        <v>47</v>
      </c>
      <c r="L38" s="45">
        <f t="shared" ca="1" si="7"/>
        <v>65</v>
      </c>
      <c r="M38">
        <f t="shared" ca="1" si="4"/>
        <v>326</v>
      </c>
      <c r="N38">
        <f>VLOOKUP(C38,技能CD配置辅助表!$C$3:$H$14,6,0)</f>
        <v>26</v>
      </c>
      <c r="O38">
        <f>VLOOKUP(C38,技能CD配置辅助表!$C$3:$M$14,5,0)</f>
        <v>2</v>
      </c>
      <c r="P38">
        <f ca="1">IFERROR(VLOOKUP(A38+I38-10000003,D_技能表!A:AD,30,0)*(VLOOKUP(C38,技能CD配置辅助表!$C$3:$J$14,8,0)-G38)/VLOOKUP(C38,技能CD配置辅助表!$C$3:$J$14,8,0),0)*IF(VLOOKUP(C38,技能CD配置辅助表!$C$3:$F$14,4,0)=1,1,4)</f>
        <v>5.1094815211579627</v>
      </c>
      <c r="Q38">
        <f ca="1">IFERROR(K38/VLOOKUP(E38,升级时间!$A$2:$C$101,2,0),0)</f>
        <v>210.49840020411432</v>
      </c>
      <c r="R38">
        <f t="shared" si="8"/>
        <v>0.5</v>
      </c>
    </row>
    <row r="39" spans="1:18" x14ac:dyDescent="0.15">
      <c r="A39">
        <f ca="1">VLOOKUP(B39,技能CD配置辅助表!$C$3:$K$14,9,0)+I39</f>
        <v>19122110</v>
      </c>
      <c r="B39" t="str">
        <f t="shared" si="1"/>
        <v>影袭·斩</v>
      </c>
      <c r="C39" t="s">
        <v>189</v>
      </c>
      <c r="D39">
        <f>VLOOKUP(C39,技能CD配置辅助表!$C$3:$E$14,3,0)</f>
        <v>1</v>
      </c>
      <c r="E39">
        <f>IF(I39=0,1,IF(I39&lt;3,VLOOKUP(C39,技能CD配置辅助表!$C$3:$I$14,7,0)+(I39-1)*2,VLOOKUP(C39,技能CD配置辅助表!$C$3:$I$14,7,0)+(I39-1)*3-1))</f>
        <v>30</v>
      </c>
      <c r="F39" t="str">
        <f t="shared" si="2"/>
        <v>第10级，技能冷却时间11.4秒</v>
      </c>
      <c r="G39">
        <f>VLOOKUP(C39,技能CD配置辅助表!$C$3:$J$14,8,0)-(VLOOKUP(C39,技能CD配置辅助表!$C$3:$J$14,8,0)-VLOOKUP(C39,技能CD配置辅助表!$C$2:$M$14,11,0))/(VLOOKUP(C39,技能CD配置辅助表!$C$3:$H$14,6,0)-1)*(I39-IF(I39=0,0,1))</f>
        <v>11400</v>
      </c>
      <c r="H39">
        <f ca="1">M39*'[1]0、经济设定'!$C$18*IF(E39&lt;J39,1,1)</f>
        <v>20050</v>
      </c>
      <c r="I39">
        <f t="shared" si="5"/>
        <v>10</v>
      </c>
      <c r="J39">
        <f>VLOOKUP(C39,技能CD配置辅助表!$C$3:$L$14,10,0)</f>
        <v>20</v>
      </c>
      <c r="K39">
        <f t="shared" ca="1" si="3"/>
        <v>65</v>
      </c>
      <c r="L39" s="45">
        <f t="shared" ca="1" si="7"/>
        <v>75</v>
      </c>
      <c r="M39">
        <f t="shared" ca="1" si="4"/>
        <v>401</v>
      </c>
      <c r="N39">
        <f>VLOOKUP(C39,技能CD配置辅助表!$C$3:$H$14,6,0)</f>
        <v>26</v>
      </c>
      <c r="O39">
        <f>VLOOKUP(C39,技能CD配置辅助表!$C$3:$M$14,5,0)</f>
        <v>2</v>
      </c>
      <c r="P39">
        <f ca="1">IFERROR(VLOOKUP(A39+I39-10000003,D_技能表!A:AD,30,0)*(VLOOKUP(C39,技能CD配置辅助表!$C$3:$J$14,8,0)-G39)/VLOOKUP(C39,技能CD配置辅助表!$C$3:$J$14,8,0),0)*IF(VLOOKUP(C39,技能CD配置辅助表!$C$3:$F$14,4,0)=1,1,4)</f>
        <v>7.9311760466344792</v>
      </c>
      <c r="Q39">
        <f ca="1">IFERROR(K39/VLOOKUP(E39,升级时间!$A$2:$C$101,2,0),0)</f>
        <v>263.09500455321103</v>
      </c>
      <c r="R39">
        <f t="shared" si="8"/>
        <v>0.6</v>
      </c>
    </row>
    <row r="40" spans="1:18" x14ac:dyDescent="0.15">
      <c r="A40">
        <f ca="1">VLOOKUP(B40,技能CD配置辅助表!$C$3:$K$14,9,0)+I40</f>
        <v>19122111</v>
      </c>
      <c r="B40" t="str">
        <f t="shared" si="1"/>
        <v>影袭·斩</v>
      </c>
      <c r="C40" t="s">
        <v>189</v>
      </c>
      <c r="D40">
        <f>VLOOKUP(C40,技能CD配置辅助表!$C$3:$E$14,3,0)</f>
        <v>1</v>
      </c>
      <c r="E40">
        <f>IF(I40=0,1,IF(I40&lt;3,VLOOKUP(C40,技能CD配置辅助表!$C$3:$I$14,7,0)+(I40-1)*2,VLOOKUP(C40,技能CD配置辅助表!$C$3:$I$14,7,0)+(I40-1)*3-1))</f>
        <v>33</v>
      </c>
      <c r="F40" t="str">
        <f t="shared" si="2"/>
        <v>第11级，技能冷却时间11秒</v>
      </c>
      <c r="G40">
        <f>VLOOKUP(C40,技能CD配置辅助表!$C$3:$J$14,8,0)-(VLOOKUP(C40,技能CD配置辅助表!$C$3:$J$14,8,0)-VLOOKUP(C40,技能CD配置辅助表!$C$2:$M$14,11,0))/(VLOOKUP(C40,技能CD配置辅助表!$C$3:$H$14,6,0)-1)*(I40-IF(I40=0,0,1))</f>
        <v>11000</v>
      </c>
      <c r="H40">
        <f ca="1">M40*'[1]0、经济设定'!$C$18*IF(E40&lt;J40,1,1)</f>
        <v>24400</v>
      </c>
      <c r="I40">
        <f t="shared" si="5"/>
        <v>11</v>
      </c>
      <c r="J40">
        <f>VLOOKUP(C40,技能CD配置辅助表!$C$3:$L$14,10,0)</f>
        <v>20</v>
      </c>
      <c r="K40">
        <f t="shared" ca="1" si="3"/>
        <v>87</v>
      </c>
      <c r="L40" s="45">
        <f t="shared" ca="1" si="7"/>
        <v>87</v>
      </c>
      <c r="M40">
        <f t="shared" ca="1" si="4"/>
        <v>488</v>
      </c>
      <c r="N40">
        <f>VLOOKUP(C40,技能CD配置辅助表!$C$3:$H$14,6,0)</f>
        <v>26</v>
      </c>
      <c r="O40">
        <f>VLOOKUP(C40,技能CD配置辅助表!$C$3:$M$14,5,0)</f>
        <v>2</v>
      </c>
      <c r="P40">
        <f ca="1">IFERROR(VLOOKUP(A40+I40-10000003,D_技能表!A:AD,30,0)*(VLOOKUP(C40,技能CD配置辅助表!$C$3:$J$14,8,0)-G40)/VLOOKUP(C40,技能CD配置辅助表!$C$3:$J$14,8,0),0)*IF(VLOOKUP(C40,技能CD配置辅助表!$C$3:$F$14,4,0)=1,1,4)</f>
        <v>12.114491054064072</v>
      </c>
      <c r="Q40">
        <f ca="1">IFERROR(K40/VLOOKUP(E40,升级时间!$A$2:$C$101,2,0),0)</f>
        <v>211.690387291088</v>
      </c>
      <c r="R40">
        <f t="shared" si="8"/>
        <v>0.7</v>
      </c>
    </row>
    <row r="41" spans="1:18" x14ac:dyDescent="0.15">
      <c r="A41">
        <f ca="1">VLOOKUP(B41,技能CD配置辅助表!$C$3:$K$14,9,0)+I41</f>
        <v>19122112</v>
      </c>
      <c r="B41" t="str">
        <f t="shared" si="1"/>
        <v>影袭·斩</v>
      </c>
      <c r="C41" t="s">
        <v>189</v>
      </c>
      <c r="D41">
        <f>VLOOKUP(C41,技能CD配置辅助表!$C$3:$E$14,3,0)</f>
        <v>1</v>
      </c>
      <c r="E41">
        <f>IF(I41=0,1,IF(I41&lt;3,VLOOKUP(C41,技能CD配置辅助表!$C$3:$I$14,7,0)+(I41-1)*2,VLOOKUP(C41,技能CD配置辅助表!$C$3:$I$14,7,0)+(I41-1)*3-1))</f>
        <v>36</v>
      </c>
      <c r="F41" t="str">
        <f t="shared" si="2"/>
        <v>第12级，技能冷却时间10.6秒</v>
      </c>
      <c r="G41">
        <f>VLOOKUP(C41,技能CD配置辅助表!$C$3:$J$14,8,0)-(VLOOKUP(C41,技能CD配置辅助表!$C$3:$J$14,8,0)-VLOOKUP(C41,技能CD配置辅助表!$C$2:$M$14,11,0))/(VLOOKUP(C41,技能CD配置辅助表!$C$3:$H$14,6,0)-1)*(I41-IF(I41=0,0,1))</f>
        <v>10600</v>
      </c>
      <c r="H41">
        <f ca="1">M41*'[1]0、经济设定'!$C$18*IF(E41&lt;J41,1,1)</f>
        <v>29450</v>
      </c>
      <c r="I41">
        <f t="shared" si="5"/>
        <v>12</v>
      </c>
      <c r="J41">
        <f>VLOOKUP(C41,技能CD配置辅助表!$C$3:$L$14,10,0)</f>
        <v>20</v>
      </c>
      <c r="K41">
        <f t="shared" ca="1" si="3"/>
        <v>116</v>
      </c>
      <c r="L41" s="45">
        <f t="shared" ca="1" si="7"/>
        <v>101</v>
      </c>
      <c r="M41">
        <f t="shared" ca="1" si="4"/>
        <v>589</v>
      </c>
      <c r="N41">
        <f>VLOOKUP(C41,技能CD配置辅助表!$C$3:$H$14,6,0)</f>
        <v>26</v>
      </c>
      <c r="O41">
        <f>VLOOKUP(C41,技能CD配置辅助表!$C$3:$M$14,5,0)</f>
        <v>2</v>
      </c>
      <c r="P41">
        <f ca="1">IFERROR(VLOOKUP(A41+I41-10000003,D_技能表!A:AD,30,0)*(VLOOKUP(C41,技能CD配置辅助表!$C$3:$J$14,8,0)-G41)/VLOOKUP(C41,技能CD配置辅助表!$C$3:$J$14,8,0),0)*IF(VLOOKUP(C41,技能CD配置辅助表!$C$3:$F$14,4,0)=1,1,4)</f>
        <v>18.259443071349203</v>
      </c>
      <c r="Q41">
        <f ca="1">IFERROR(K41/VLOOKUP(E41,升级时间!$A$2:$C$101,2,0),0)</f>
        <v>167.41671051240138</v>
      </c>
      <c r="R41">
        <f t="shared" si="8"/>
        <v>0.8</v>
      </c>
    </row>
    <row r="42" spans="1:18" x14ac:dyDescent="0.15">
      <c r="A42">
        <f ca="1">VLOOKUP(B42,技能CD配置辅助表!$C$3:$K$14,9,0)+I42</f>
        <v>19122113</v>
      </c>
      <c r="B42" t="str">
        <f t="shared" si="1"/>
        <v>影袭·斩</v>
      </c>
      <c r="C42" t="s">
        <v>189</v>
      </c>
      <c r="D42">
        <f>VLOOKUP(C42,技能CD配置辅助表!$C$3:$E$14,3,0)</f>
        <v>1</v>
      </c>
      <c r="E42">
        <f>IF(I42=0,1,IF(I42&lt;3,VLOOKUP(C42,技能CD配置辅助表!$C$3:$I$14,7,0)+(I42-1)*2,VLOOKUP(C42,技能CD配置辅助表!$C$3:$I$14,7,0)+(I42-1)*3-1))</f>
        <v>39</v>
      </c>
      <c r="F42" t="str">
        <f t="shared" si="2"/>
        <v>第13级，技能冷却时间10.2秒</v>
      </c>
      <c r="G42">
        <f>VLOOKUP(C42,技能CD配置辅助表!$C$3:$J$14,8,0)-(VLOOKUP(C42,技能CD配置辅助表!$C$3:$J$14,8,0)-VLOOKUP(C42,技能CD配置辅助表!$C$2:$M$14,11,0))/(VLOOKUP(C42,技能CD配置辅助表!$C$3:$H$14,6,0)-1)*(I42-IF(I42=0,0,1))</f>
        <v>10200</v>
      </c>
      <c r="H42">
        <f ca="1">M42*'[1]0、经济设定'!$C$18*IF(E42&lt;J42,1,1)</f>
        <v>35300</v>
      </c>
      <c r="I42">
        <f t="shared" si="5"/>
        <v>13</v>
      </c>
      <c r="J42">
        <f>VLOOKUP(C42,技能CD配置辅助表!$C$3:$L$14,10,0)</f>
        <v>20</v>
      </c>
      <c r="K42">
        <f t="shared" ca="1" si="3"/>
        <v>151</v>
      </c>
      <c r="L42" s="45">
        <f t="shared" ca="1" si="7"/>
        <v>117</v>
      </c>
      <c r="M42">
        <f t="shared" ca="1" si="4"/>
        <v>706</v>
      </c>
      <c r="N42">
        <f>VLOOKUP(C42,技能CD配置辅助表!$C$3:$H$14,6,0)</f>
        <v>26</v>
      </c>
      <c r="O42">
        <f>VLOOKUP(C42,技能CD配置辅助表!$C$3:$M$14,5,0)</f>
        <v>2</v>
      </c>
      <c r="P42">
        <f ca="1">IFERROR(VLOOKUP(A42+I42-10000003,D_技能表!A:AD,30,0)*(VLOOKUP(C42,技能CD配置辅助表!$C$3:$J$14,8,0)-G42)/VLOOKUP(C42,技能CD配置辅助表!$C$3:$J$14,8,0),0)*IF(VLOOKUP(C42,技能CD配置辅助表!$C$3:$F$14,4,0)=1,1,4)</f>
        <v>27.214161610328045</v>
      </c>
      <c r="Q42">
        <f ca="1">IFERROR(K42/VLOOKUP(E42,升级时间!$A$2:$C$101,2,0),0)</f>
        <v>187.41551297493777</v>
      </c>
      <c r="R42">
        <f t="shared" si="8"/>
        <v>0.9</v>
      </c>
    </row>
    <row r="43" spans="1:18" x14ac:dyDescent="0.15">
      <c r="A43">
        <f ca="1">VLOOKUP(B43,技能CD配置辅助表!$C$3:$K$14,9,0)+I43</f>
        <v>19122114</v>
      </c>
      <c r="B43" t="str">
        <f t="shared" si="1"/>
        <v>影袭·斩</v>
      </c>
      <c r="C43" t="s">
        <v>189</v>
      </c>
      <c r="D43">
        <f>VLOOKUP(C43,技能CD配置辅助表!$C$3:$E$14,3,0)</f>
        <v>1</v>
      </c>
      <c r="E43">
        <f>IF(I43=0,1,IF(I43&lt;3,VLOOKUP(C43,技能CD配置辅助表!$C$3:$I$14,7,0)+(I43-1)*2,VLOOKUP(C43,技能CD配置辅助表!$C$3:$I$14,7,0)+(I43-1)*3-1))</f>
        <v>42</v>
      </c>
      <c r="F43" t="str">
        <f t="shared" si="2"/>
        <v>第14级，技能冷却时间9.8秒</v>
      </c>
      <c r="G43">
        <f>VLOOKUP(C43,技能CD配置辅助表!$C$3:$J$14,8,0)-(VLOOKUP(C43,技能CD配置辅助表!$C$3:$J$14,8,0)-VLOOKUP(C43,技能CD配置辅助表!$C$2:$M$14,11,0))/(VLOOKUP(C43,技能CD配置辅助表!$C$3:$H$14,6,0)-1)*(I43-IF(I43=0,0,1))</f>
        <v>9800</v>
      </c>
      <c r="H43">
        <f ca="1">M43*'[1]0、经济设定'!$C$18*IF(E43&lt;J43,1,1)</f>
        <v>42100</v>
      </c>
      <c r="I43">
        <f t="shared" si="5"/>
        <v>14</v>
      </c>
      <c r="J43">
        <f>VLOOKUP(C43,技能CD配置辅助表!$C$3:$L$14,10,0)</f>
        <v>20</v>
      </c>
      <c r="K43">
        <f t="shared" ca="1" si="3"/>
        <v>195</v>
      </c>
      <c r="L43" s="45">
        <f t="shared" ca="1" si="7"/>
        <v>136</v>
      </c>
      <c r="M43">
        <f t="shared" ca="1" si="4"/>
        <v>842</v>
      </c>
      <c r="N43">
        <f>VLOOKUP(C43,技能CD配置辅助表!$C$3:$H$14,6,0)</f>
        <v>26</v>
      </c>
      <c r="O43">
        <f>VLOOKUP(C43,技能CD配置辅助表!$C$3:$M$14,5,0)</f>
        <v>2</v>
      </c>
      <c r="P43">
        <f ca="1">IFERROR(VLOOKUP(A43+I43-10000003,D_技能表!A:AD,30,0)*(VLOOKUP(C43,技能CD配置辅助表!$C$3:$J$14,8,0)-G43)/VLOOKUP(C43,技能CD配置辅助表!$C$3:$J$14,8,0),0)*IF(VLOOKUP(C43,技能CD配置辅助表!$C$3:$F$14,4,0)=1,1,4)</f>
        <v>40.172818632060917</v>
      </c>
      <c r="Q43">
        <f ca="1">IFERROR(K43/VLOOKUP(E43,升级时间!$A$2:$C$101,2,0),0)</f>
        <v>180.50655133513015</v>
      </c>
      <c r="R43">
        <f t="shared" si="8"/>
        <v>1</v>
      </c>
    </row>
    <row r="44" spans="1:18" x14ac:dyDescent="0.15">
      <c r="A44">
        <f ca="1">VLOOKUP(B44,技能CD配置辅助表!$C$3:$K$14,9,0)+I44</f>
        <v>19122115</v>
      </c>
      <c r="B44" t="str">
        <f t="shared" si="1"/>
        <v>影袭·斩</v>
      </c>
      <c r="C44" t="s">
        <v>189</v>
      </c>
      <c r="D44">
        <f>VLOOKUP(C44,技能CD配置辅助表!$C$3:$E$14,3,0)</f>
        <v>1</v>
      </c>
      <c r="E44">
        <f>IF(I44=0,1,IF(I44&lt;3,VLOOKUP(C44,技能CD配置辅助表!$C$3:$I$14,7,0)+(I44-1)*2,VLOOKUP(C44,技能CD配置辅助表!$C$3:$I$14,7,0)+(I44-1)*3-1))</f>
        <v>45</v>
      </c>
      <c r="F44" t="str">
        <f t="shared" si="2"/>
        <v>第15级，技能冷却时间9.4秒</v>
      </c>
      <c r="G44">
        <f>VLOOKUP(C44,技能CD配置辅助表!$C$3:$J$14,8,0)-(VLOOKUP(C44,技能CD配置辅助表!$C$3:$J$14,8,0)-VLOOKUP(C44,技能CD配置辅助表!$C$2:$M$14,11,0))/(VLOOKUP(C44,技能CD配置辅助表!$C$3:$H$14,6,0)-1)*(I44-IF(I44=0,0,1))</f>
        <v>9400</v>
      </c>
      <c r="H44">
        <f ca="1">M44*'[1]0、经济设定'!$C$18*IF(E44&lt;J44,1,1)</f>
        <v>50000</v>
      </c>
      <c r="I44">
        <f t="shared" si="5"/>
        <v>15</v>
      </c>
      <c r="J44">
        <f>VLOOKUP(C44,技能CD配置辅助表!$C$3:$L$14,10,0)</f>
        <v>20</v>
      </c>
      <c r="K44">
        <f t="shared" ca="1" si="3"/>
        <v>237</v>
      </c>
      <c r="L44" s="45">
        <f t="shared" ca="1" si="7"/>
        <v>158</v>
      </c>
      <c r="M44">
        <f t="shared" ca="1" si="4"/>
        <v>1000</v>
      </c>
      <c r="N44">
        <f>VLOOKUP(C44,技能CD配置辅助表!$C$3:$H$14,6,0)</f>
        <v>26</v>
      </c>
      <c r="O44">
        <f>VLOOKUP(C44,技能CD配置辅助表!$C$3:$M$14,5,0)</f>
        <v>2</v>
      </c>
      <c r="P44">
        <f ca="1">IFERROR(VLOOKUP(A44+I44-10000003,D_技能表!A:AD,30,0)*(VLOOKUP(C44,技能CD配置辅助表!$C$3:$J$14,8,0)-G44)/VLOOKUP(C44,技能CD配置辅助表!$C$3:$J$14,8,0),0)*IF(VLOOKUP(C44,技能CD配置辅助表!$C$3:$F$14,4,0)=1,1,4)</f>
        <v>58.810866052431031</v>
      </c>
      <c r="Q44">
        <f ca="1">IFERROR(K44/VLOOKUP(E44,升级时间!$A$2:$C$101,2,0),0)</f>
        <v>147.31719856855491</v>
      </c>
      <c r="R44">
        <f t="shared" si="8"/>
        <v>1.05</v>
      </c>
    </row>
    <row r="45" spans="1:18" x14ac:dyDescent="0.15">
      <c r="A45">
        <f ca="1">VLOOKUP(B45,技能CD配置辅助表!$C$3:$K$14,9,0)+I45</f>
        <v>19122116</v>
      </c>
      <c r="B45" t="str">
        <f t="shared" si="1"/>
        <v>影袭·斩</v>
      </c>
      <c r="C45" t="s">
        <v>189</v>
      </c>
      <c r="D45">
        <f>VLOOKUP(C45,技能CD配置辅助表!$C$3:$E$14,3,0)</f>
        <v>1</v>
      </c>
      <c r="E45">
        <f>IF(I45=0,1,IF(I45&lt;3,VLOOKUP(C45,技能CD配置辅助表!$C$3:$I$14,7,0)+(I45-1)*2,VLOOKUP(C45,技能CD配置辅助表!$C$3:$I$14,7,0)+(I45-1)*3-1))</f>
        <v>48</v>
      </c>
      <c r="F45" t="str">
        <f t="shared" si="2"/>
        <v>第16级，技能冷却时间9秒</v>
      </c>
      <c r="G45">
        <f>VLOOKUP(C45,技能CD配置辅助表!$C$3:$J$14,8,0)-(VLOOKUP(C45,技能CD配置辅助表!$C$3:$J$14,8,0)-VLOOKUP(C45,技能CD配置辅助表!$C$2:$M$14,11,0))/(VLOOKUP(C45,技能CD配置辅助表!$C$3:$H$14,6,0)-1)*(I45-IF(I45=0,0,1))</f>
        <v>9000</v>
      </c>
      <c r="H45">
        <f ca="1">M45*'[1]0、经济设定'!$C$18*IF(E45&lt;J45,1,1)</f>
        <v>59150</v>
      </c>
      <c r="I45">
        <f t="shared" si="5"/>
        <v>16</v>
      </c>
      <c r="J45">
        <f>VLOOKUP(C45,技能CD配置辅助表!$C$3:$L$14,10,0)</f>
        <v>20</v>
      </c>
      <c r="K45">
        <f t="shared" ca="1" si="3"/>
        <v>288</v>
      </c>
      <c r="L45" s="45">
        <f t="shared" ca="1" si="7"/>
        <v>183</v>
      </c>
      <c r="M45">
        <f t="shared" ca="1" si="4"/>
        <v>1183</v>
      </c>
      <c r="N45">
        <f>VLOOKUP(C45,技能CD配置辅助表!$C$3:$H$14,6,0)</f>
        <v>26</v>
      </c>
      <c r="O45">
        <f>VLOOKUP(C45,技能CD配置辅助表!$C$3:$M$14,5,0)</f>
        <v>2</v>
      </c>
      <c r="P45">
        <f ca="1">IFERROR(VLOOKUP(A45+I45-10000003,D_技能表!A:AD,30,0)*(VLOOKUP(C45,技能CD配置辅助表!$C$3:$J$14,8,0)-G45)/VLOOKUP(C45,技能CD配置辅助表!$C$3:$J$14,8,0),0)*IF(VLOOKUP(C45,技能CD配置辅助表!$C$3:$F$14,4,0)=1,1,4)</f>
        <v>85.471405397122382</v>
      </c>
      <c r="Q45">
        <f ca="1">IFERROR(K45/VLOOKUP(E45,升级时间!$A$2:$C$101,2,0),0)</f>
        <v>159.39209589300998</v>
      </c>
      <c r="R45">
        <f t="shared" si="8"/>
        <v>1.1000000000000001</v>
      </c>
    </row>
    <row r="46" spans="1:18" x14ac:dyDescent="0.15">
      <c r="A46">
        <f ca="1">VLOOKUP(B46,技能CD配置辅助表!$C$3:$K$14,9,0)+I46</f>
        <v>19122117</v>
      </c>
      <c r="B46" t="str">
        <f t="shared" si="1"/>
        <v>影袭·斩</v>
      </c>
      <c r="C46" t="s">
        <v>189</v>
      </c>
      <c r="D46">
        <f>VLOOKUP(C46,技能CD配置辅助表!$C$3:$E$14,3,0)</f>
        <v>1</v>
      </c>
      <c r="E46">
        <f>IF(I46=0,1,IF(I46&lt;3,VLOOKUP(C46,技能CD配置辅助表!$C$3:$I$14,7,0)+(I46-1)*2,VLOOKUP(C46,技能CD配置辅助表!$C$3:$I$14,7,0)+(I46-1)*3-1))</f>
        <v>51</v>
      </c>
      <c r="F46" t="str">
        <f t="shared" si="2"/>
        <v>第17级，技能冷却时间8.6秒</v>
      </c>
      <c r="G46">
        <f>VLOOKUP(C46,技能CD配置辅助表!$C$3:$J$14,8,0)-(VLOOKUP(C46,技能CD配置辅助表!$C$3:$J$14,8,0)-VLOOKUP(C46,技能CD配置辅助表!$C$2:$M$14,11,0))/(VLOOKUP(C46,技能CD配置辅助表!$C$3:$H$14,6,0)-1)*(I46-IF(I46=0,0,1))</f>
        <v>8600</v>
      </c>
      <c r="H46">
        <f ca="1">M46*'[1]0、经济设定'!$C$18*IF(E46&lt;J46,1,1)</f>
        <v>69800</v>
      </c>
      <c r="I46">
        <f t="shared" si="5"/>
        <v>17</v>
      </c>
      <c r="J46">
        <f>VLOOKUP(C46,技能CD配置辅助表!$C$3:$L$14,10,0)</f>
        <v>20</v>
      </c>
      <c r="K46">
        <f t="shared" ca="1" si="3"/>
        <v>350</v>
      </c>
      <c r="L46" s="45">
        <f t="shared" ca="1" si="7"/>
        <v>213</v>
      </c>
      <c r="M46">
        <f t="shared" ca="1" si="4"/>
        <v>1396</v>
      </c>
      <c r="N46">
        <f>VLOOKUP(C46,技能CD配置辅助表!$C$3:$H$14,6,0)</f>
        <v>26</v>
      </c>
      <c r="O46">
        <f>VLOOKUP(C46,技能CD配置辅助表!$C$3:$M$14,5,0)</f>
        <v>2</v>
      </c>
      <c r="P46">
        <f ca="1">IFERROR(VLOOKUP(A46+I46-10000003,D_技能表!A:AD,30,0)*(VLOOKUP(C46,技能CD配置辅助表!$C$3:$J$14,8,0)-G46)/VLOOKUP(C46,技能CD配置辅助表!$C$3:$J$14,8,0),0)*IF(VLOOKUP(C46,技能CD配置辅助表!$C$3:$F$14,4,0)=1,1,4)</f>
        <v>123.42152306031953</v>
      </c>
      <c r="Q46">
        <f ca="1">IFERROR(K46/VLOOKUP(E46,升级时间!$A$2:$C$101,2,0),0)</f>
        <v>156.52984368305073</v>
      </c>
      <c r="R46">
        <f t="shared" si="8"/>
        <v>1.1499999999999999</v>
      </c>
    </row>
    <row r="47" spans="1:18" x14ac:dyDescent="0.15">
      <c r="A47">
        <f ca="1">VLOOKUP(B47,技能CD配置辅助表!$C$3:$K$14,9,0)+I47</f>
        <v>19122118</v>
      </c>
      <c r="B47" t="str">
        <f t="shared" si="1"/>
        <v>影袭·斩</v>
      </c>
      <c r="C47" t="s">
        <v>189</v>
      </c>
      <c r="D47">
        <f>VLOOKUP(C47,技能CD配置辅助表!$C$3:$E$14,3,0)</f>
        <v>1</v>
      </c>
      <c r="E47">
        <f>IF(I47=0,1,IF(I47&lt;3,VLOOKUP(C47,技能CD配置辅助表!$C$3:$I$14,7,0)+(I47-1)*2,VLOOKUP(C47,技能CD配置辅助表!$C$3:$I$14,7,0)+(I47-1)*3-1))</f>
        <v>54</v>
      </c>
      <c r="F47" t="str">
        <f t="shared" si="2"/>
        <v>第18级，技能冷却时间8.2秒</v>
      </c>
      <c r="G47">
        <f>VLOOKUP(C47,技能CD配置辅助表!$C$3:$J$14,8,0)-(VLOOKUP(C47,技能CD配置辅助表!$C$3:$J$14,8,0)-VLOOKUP(C47,技能CD配置辅助表!$C$2:$M$14,11,0))/(VLOOKUP(C47,技能CD配置辅助表!$C$3:$H$14,6,0)-1)*(I47-IF(I47=0,0,1))</f>
        <v>8200</v>
      </c>
      <c r="H47">
        <f ca="1">M47*'[1]0、经济设定'!$C$18*IF(E47&lt;J47,1,1)</f>
        <v>82150</v>
      </c>
      <c r="I47">
        <f t="shared" si="5"/>
        <v>18</v>
      </c>
      <c r="J47">
        <f>VLOOKUP(C47,技能CD配置辅助表!$C$3:$L$14,10,0)</f>
        <v>20</v>
      </c>
      <c r="K47">
        <f t="shared" ca="1" si="3"/>
        <v>424</v>
      </c>
      <c r="L47" s="45">
        <f t="shared" ca="1" si="7"/>
        <v>247</v>
      </c>
      <c r="M47">
        <f t="shared" ca="1" si="4"/>
        <v>1643</v>
      </c>
      <c r="N47">
        <f>VLOOKUP(C47,技能CD配置辅助表!$C$3:$H$14,6,0)</f>
        <v>26</v>
      </c>
      <c r="O47">
        <f>VLOOKUP(C47,技能CD配置辅助表!$C$3:$M$14,5,0)</f>
        <v>2</v>
      </c>
      <c r="P47">
        <f ca="1">IFERROR(VLOOKUP(A47+I47-10000003,D_技能表!A:AD,30,0)*(VLOOKUP(C47,技能CD配置辅助表!$C$3:$J$14,8,0)-G47)/VLOOKUP(C47,技能CD配置辅助表!$C$3:$J$14,8,0),0)*IF(VLOOKUP(C47,技能CD配置辅助表!$C$3:$F$14,4,0)=1,1,4)</f>
        <v>177.2042162280305</v>
      </c>
      <c r="Q47">
        <f ca="1">IFERROR(K47/VLOOKUP(E47,升级时间!$A$2:$C$101,2,0),0)</f>
        <v>144.3829175962118</v>
      </c>
      <c r="R47">
        <f t="shared" si="8"/>
        <v>1.2</v>
      </c>
    </row>
    <row r="48" spans="1:18" x14ac:dyDescent="0.15">
      <c r="A48">
        <f ca="1">VLOOKUP(B48,技能CD配置辅助表!$C$3:$K$14,9,0)+I48</f>
        <v>19122119</v>
      </c>
      <c r="B48" t="str">
        <f t="shared" si="1"/>
        <v>影袭·斩</v>
      </c>
      <c r="C48" t="s">
        <v>189</v>
      </c>
      <c r="D48">
        <f>VLOOKUP(C48,技能CD配置辅助表!$C$3:$E$14,3,0)</f>
        <v>1</v>
      </c>
      <c r="E48">
        <f>IF(I48=0,1,IF(I48&lt;3,VLOOKUP(C48,技能CD配置辅助表!$C$3:$I$14,7,0)+(I48-1)*2,VLOOKUP(C48,技能CD配置辅助表!$C$3:$I$14,7,0)+(I48-1)*3-1))</f>
        <v>57</v>
      </c>
      <c r="F48" t="str">
        <f t="shared" si="2"/>
        <v>第19级，技能冷却时间7.8秒</v>
      </c>
      <c r="G48">
        <f>VLOOKUP(C48,技能CD配置辅助表!$C$3:$J$14,8,0)-(VLOOKUP(C48,技能CD配置辅助表!$C$3:$J$14,8,0)-VLOOKUP(C48,技能CD配置辅助表!$C$2:$M$14,11,0))/(VLOOKUP(C48,技能CD配置辅助表!$C$3:$H$14,6,0)-1)*(I48-IF(I48=0,0,1))</f>
        <v>7800</v>
      </c>
      <c r="H48">
        <f ca="1">M48*'[1]0、经济设定'!$C$18*IF(E48&lt;J48,1,1)</f>
        <v>96450</v>
      </c>
      <c r="I48">
        <f t="shared" si="5"/>
        <v>19</v>
      </c>
      <c r="J48">
        <f>VLOOKUP(C48,技能CD配置辅助表!$C$3:$L$14,10,0)</f>
        <v>20</v>
      </c>
      <c r="K48">
        <f t="shared" ca="1" si="3"/>
        <v>511</v>
      </c>
      <c r="L48" s="45">
        <f t="shared" ca="1" si="7"/>
        <v>286</v>
      </c>
      <c r="M48">
        <f t="shared" ca="1" si="4"/>
        <v>1929</v>
      </c>
      <c r="N48">
        <f>VLOOKUP(C48,技能CD配置辅助表!$C$3:$H$14,6,0)</f>
        <v>26</v>
      </c>
      <c r="O48">
        <f>VLOOKUP(C48,技能CD配置辅助表!$C$3:$M$14,5,0)</f>
        <v>2</v>
      </c>
      <c r="P48">
        <f ca="1">IFERROR(VLOOKUP(A48+I48-10000003,D_技能表!A:AD,30,0)*(VLOOKUP(C48,技能CD配置辅助表!$C$3:$J$14,8,0)-G48)/VLOOKUP(C48,技能CD配置辅助表!$C$3:$J$14,8,0),0)*IF(VLOOKUP(C48,技能CD配置辅助表!$C$3:$F$14,4,0)=1,1,4)</f>
        <v>253.12073287817492</v>
      </c>
      <c r="Q48">
        <f ca="1">IFERROR(K48/VLOOKUP(E48,升级时间!$A$2:$C$101,2,0),0)</f>
        <v>143.74076448958562</v>
      </c>
      <c r="R48">
        <f t="shared" si="8"/>
        <v>1.25</v>
      </c>
    </row>
    <row r="49" spans="1:18" x14ac:dyDescent="0.15">
      <c r="A49">
        <f ca="1">VLOOKUP(B49,技能CD配置辅助表!$C$3:$K$14,9,0)+I49</f>
        <v>19122120</v>
      </c>
      <c r="B49" t="str">
        <f t="shared" si="1"/>
        <v>影袭·斩</v>
      </c>
      <c r="C49" t="s">
        <v>189</v>
      </c>
      <c r="D49">
        <f>VLOOKUP(C49,技能CD配置辅助表!$C$3:$E$14,3,0)</f>
        <v>1</v>
      </c>
      <c r="E49">
        <f>IF(I49=0,1,IF(I49&lt;3,VLOOKUP(C49,技能CD配置辅助表!$C$3:$I$14,7,0)+(I49-1)*2,VLOOKUP(C49,技能CD配置辅助表!$C$3:$I$14,7,0)+(I49-1)*3-1))</f>
        <v>60</v>
      </c>
      <c r="F49" t="str">
        <f t="shared" si="2"/>
        <v>第20级，技能冷却时间7.4秒</v>
      </c>
      <c r="G49">
        <f>VLOOKUP(C49,技能CD配置辅助表!$C$3:$J$14,8,0)-(VLOOKUP(C49,技能CD配置辅助表!$C$3:$J$14,8,0)-VLOOKUP(C49,技能CD配置辅助表!$C$2:$M$14,11,0))/(VLOOKUP(C49,技能CD配置辅助表!$C$3:$H$14,6,0)-1)*(I49-IF(I49=0,0,1))</f>
        <v>7400</v>
      </c>
      <c r="H49">
        <f ca="1">M49*'[1]0、经济设定'!$C$18*IF(E49&lt;J49,1,1)</f>
        <v>113050</v>
      </c>
      <c r="I49">
        <f t="shared" si="5"/>
        <v>20</v>
      </c>
      <c r="J49">
        <f>VLOOKUP(C49,技能CD配置辅助表!$C$3:$L$14,10,0)</f>
        <v>20</v>
      </c>
      <c r="K49">
        <f t="shared" ca="1" si="3"/>
        <v>617</v>
      </c>
      <c r="L49" s="45">
        <f t="shared" ca="1" si="7"/>
        <v>332</v>
      </c>
      <c r="M49">
        <f t="shared" ca="1" si="4"/>
        <v>2261</v>
      </c>
      <c r="N49">
        <f>VLOOKUP(C49,技能CD配置辅助表!$C$3:$H$14,6,0)</f>
        <v>26</v>
      </c>
      <c r="O49">
        <f>VLOOKUP(C49,技能CD配置辅助表!$C$3:$M$14,5,0)</f>
        <v>2</v>
      </c>
      <c r="P49">
        <f ca="1">IFERROR(VLOOKUP(A49+I49-10000003,D_技能表!A:AD,30,0)*(VLOOKUP(C49,技能CD配置辅助表!$C$3:$J$14,8,0)-G49)/VLOOKUP(C49,技能CD配置辅助表!$C$3:$J$14,8,0),0)*IF(VLOOKUP(C49,技能CD配置辅助表!$C$3:$F$14,4,0)=1,1,4)</f>
        <v>359.8905948441589</v>
      </c>
      <c r="Q49">
        <f ca="1">IFERROR(K49/VLOOKUP(E49,升级时间!$A$2:$C$101,2,0),0)</f>
        <v>144.48083305920235</v>
      </c>
      <c r="R49">
        <f t="shared" si="8"/>
        <v>1.3</v>
      </c>
    </row>
    <row r="50" spans="1:18" x14ac:dyDescent="0.15">
      <c r="A50">
        <f ca="1">VLOOKUP(B50,技能CD配置辅助表!$C$3:$K$14,9,0)+I50</f>
        <v>19122121</v>
      </c>
      <c r="B50" t="str">
        <f t="shared" si="1"/>
        <v>影袭·斩</v>
      </c>
      <c r="C50" t="s">
        <v>189</v>
      </c>
      <c r="D50">
        <f>VLOOKUP(C50,技能CD配置辅助表!$C$3:$E$14,3,0)</f>
        <v>1</v>
      </c>
      <c r="E50">
        <f>IF(I50=0,1,IF(I50&lt;3,VLOOKUP(C50,技能CD配置辅助表!$C$3:$I$14,7,0)+(I50-1)*2,VLOOKUP(C50,技能CD配置辅助表!$C$3:$I$14,7,0)+(I50-1)*3-1))</f>
        <v>63</v>
      </c>
      <c r="F50" t="str">
        <f t="shared" si="2"/>
        <v>第21级，技能冷却时间7秒</v>
      </c>
      <c r="G50">
        <f>VLOOKUP(C50,技能CD配置辅助表!$C$3:$J$14,8,0)-(VLOOKUP(C50,技能CD配置辅助表!$C$3:$J$14,8,0)-VLOOKUP(C50,技能CD配置辅助表!$C$2:$M$14,11,0))/(VLOOKUP(C50,技能CD配置辅助表!$C$3:$H$14,6,0)-1)*(I50-IF(I50=0,0,1))</f>
        <v>7000</v>
      </c>
      <c r="H50">
        <f ca="1">M50*'[1]0、经济设定'!$C$18*IF(E50&lt;J50,1,1)</f>
        <v>132300</v>
      </c>
      <c r="I50">
        <f t="shared" si="5"/>
        <v>21</v>
      </c>
      <c r="J50">
        <f>VLOOKUP(C50,技能CD配置辅助表!$C$3:$L$14,10,0)</f>
        <v>20</v>
      </c>
      <c r="K50">
        <f t="shared" ca="1" si="3"/>
        <v>743</v>
      </c>
      <c r="L50" s="45">
        <f t="shared" ca="1" si="7"/>
        <v>385</v>
      </c>
      <c r="M50">
        <f t="shared" ca="1" si="4"/>
        <v>2646</v>
      </c>
      <c r="N50">
        <f>VLOOKUP(C50,技能CD配置辅助表!$C$3:$H$14,6,0)</f>
        <v>26</v>
      </c>
      <c r="O50">
        <f>VLOOKUP(C50,技能CD配置辅助表!$C$3:$M$14,5,0)</f>
        <v>2</v>
      </c>
      <c r="P50">
        <f ca="1">IFERROR(VLOOKUP(A50+I50-10000003,D_技能表!A:AD,30,0)*(VLOOKUP(C50,技能CD配置辅助表!$C$3:$J$14,8,0)-G50)/VLOOKUP(C50,技能CD配置辅助表!$C$3:$J$14,8,0),0)*IF(VLOOKUP(C50,技能CD配置辅助表!$C$3:$F$14,4,0)=1,1,4)</f>
        <v>509.55339608295628</v>
      </c>
      <c r="Q50">
        <f ca="1">IFERROR(K50/VLOOKUP(E50,升级时间!$A$2:$C$101,2,0),0)</f>
        <v>145.06971556180588</v>
      </c>
      <c r="R50">
        <f t="shared" si="8"/>
        <v>1.35</v>
      </c>
    </row>
    <row r="51" spans="1:18" x14ac:dyDescent="0.15">
      <c r="A51">
        <f ca="1">VLOOKUP(B51,技能CD配置辅助表!$C$3:$K$14,9,0)+I51</f>
        <v>19122122</v>
      </c>
      <c r="B51" t="str">
        <f t="shared" si="1"/>
        <v>影袭·斩</v>
      </c>
      <c r="C51" t="s">
        <v>189</v>
      </c>
      <c r="D51">
        <f>VLOOKUP(C51,技能CD配置辅助表!$C$3:$E$14,3,0)</f>
        <v>1</v>
      </c>
      <c r="E51">
        <f>IF(I51=0,1,IF(I51&lt;3,VLOOKUP(C51,技能CD配置辅助表!$C$3:$I$14,7,0)+(I51-1)*2,VLOOKUP(C51,技能CD配置辅助表!$C$3:$I$14,7,0)+(I51-1)*3-1))</f>
        <v>66</v>
      </c>
      <c r="F51" t="str">
        <f t="shared" si="2"/>
        <v>第22级，技能冷却时间6.6秒</v>
      </c>
      <c r="G51">
        <f>VLOOKUP(C51,技能CD配置辅助表!$C$3:$J$14,8,0)-(VLOOKUP(C51,技能CD配置辅助表!$C$3:$J$14,8,0)-VLOOKUP(C51,技能CD配置辅助表!$C$2:$M$14,11,0))/(VLOOKUP(C51,技能CD配置辅助表!$C$3:$H$14,6,0)-1)*(I51-IF(I51=0,0,1))</f>
        <v>6600</v>
      </c>
      <c r="H51">
        <f ca="1">M51*'[1]0、经济设定'!$C$18*IF(E51&lt;J51,1,1)</f>
        <v>154600</v>
      </c>
      <c r="I51">
        <f t="shared" si="5"/>
        <v>22</v>
      </c>
      <c r="J51">
        <f>VLOOKUP(C51,技能CD配置辅助表!$C$3:$L$14,10,0)</f>
        <v>20</v>
      </c>
      <c r="K51">
        <f t="shared" ca="1" si="3"/>
        <v>892</v>
      </c>
      <c r="L51" s="45">
        <f t="shared" ca="1" si="7"/>
        <v>446</v>
      </c>
      <c r="M51">
        <f t="shared" ca="1" si="4"/>
        <v>3092</v>
      </c>
      <c r="N51">
        <f>VLOOKUP(C51,技能CD配置辅助表!$C$3:$H$14,6,0)</f>
        <v>26</v>
      </c>
      <c r="O51">
        <f>VLOOKUP(C51,技能CD配置辅助表!$C$3:$M$14,5,0)</f>
        <v>2</v>
      </c>
      <c r="P51">
        <f ca="1">IFERROR(VLOOKUP(A51+I51-10000003,D_技能表!A:AD,30,0)*(VLOOKUP(C51,技能CD配置辅助表!$C$3:$J$14,8,0)-G51)/VLOOKUP(C51,技能CD配置辅助表!$C$3:$J$14,8,0),0)*IF(VLOOKUP(C51,技能CD配置辅助表!$C$3:$F$14,4,0)=1,1,4)</f>
        <v>718.69918816884058</v>
      </c>
      <c r="Q51">
        <f ca="1">IFERROR(K51/VLOOKUP(E51,升级时间!$A$2:$C$101,2,0),0)</f>
        <v>147.81369474792791</v>
      </c>
      <c r="R51">
        <f t="shared" si="8"/>
        <v>1.4</v>
      </c>
    </row>
    <row r="52" spans="1:18" x14ac:dyDescent="0.15">
      <c r="A52">
        <f ca="1">VLOOKUP(B52,技能CD配置辅助表!$C$3:$K$14,9,0)+I52</f>
        <v>19122123</v>
      </c>
      <c r="B52" t="str">
        <f t="shared" si="1"/>
        <v>影袭·斩</v>
      </c>
      <c r="C52" t="s">
        <v>189</v>
      </c>
      <c r="D52">
        <f>VLOOKUP(C52,技能CD配置辅助表!$C$3:$E$14,3,0)</f>
        <v>1</v>
      </c>
      <c r="E52">
        <f>IF(I52=0,1,IF(I52&lt;3,VLOOKUP(C52,技能CD配置辅助表!$C$3:$I$14,7,0)+(I52-1)*2,VLOOKUP(C52,技能CD配置辅助表!$C$3:$I$14,7,0)+(I52-1)*3-1))</f>
        <v>69</v>
      </c>
      <c r="F52" t="str">
        <f t="shared" si="2"/>
        <v>第23级，技能冷却时间6.2秒</v>
      </c>
      <c r="G52">
        <f>VLOOKUP(C52,技能CD配置辅助表!$C$3:$J$14,8,0)-(VLOOKUP(C52,技能CD配置辅助表!$C$3:$J$14,8,0)-VLOOKUP(C52,技能CD配置辅助表!$C$2:$M$14,11,0))/(VLOOKUP(C52,技能CD配置辅助表!$C$3:$H$14,6,0)-1)*(I52-IF(I52=0,0,1))</f>
        <v>6200</v>
      </c>
      <c r="H52">
        <f ca="1">M52*'[1]0、经济设定'!$C$18*IF(E52&lt;J52,1,1)</f>
        <v>180500</v>
      </c>
      <c r="I52">
        <f t="shared" si="5"/>
        <v>23</v>
      </c>
      <c r="J52">
        <f>VLOOKUP(C52,技能CD配置辅助表!$C$3:$L$14,10,0)</f>
        <v>20</v>
      </c>
      <c r="K52">
        <f t="shared" ca="1" si="3"/>
        <v>1073</v>
      </c>
      <c r="L52" s="45">
        <f t="shared" ca="1" si="7"/>
        <v>518</v>
      </c>
      <c r="M52">
        <f t="shared" ca="1" si="4"/>
        <v>3610</v>
      </c>
      <c r="N52">
        <f>VLOOKUP(C52,技能CD配置辅助表!$C$3:$H$14,6,0)</f>
        <v>26</v>
      </c>
      <c r="O52">
        <f>VLOOKUP(C52,技能CD配置辅助表!$C$3:$M$14,5,0)</f>
        <v>2</v>
      </c>
      <c r="P52">
        <f ca="1">IFERROR(VLOOKUP(A52+I52-10000003,D_技能表!A:AD,30,0)*(VLOOKUP(C52,技能CD配置辅助表!$C$3:$J$14,8,0)-G52)/VLOOKUP(C52,技能CD配置辅助表!$C$3:$J$14,8,0),0)*IF(VLOOKUP(C52,技能CD配置辅助表!$C$3:$F$14,4,0)=1,1,4)</f>
        <v>1010.1449219255479</v>
      </c>
      <c r="Q52">
        <f ca="1">IFERROR(K52/VLOOKUP(E52,升级时间!$A$2:$C$101,2,0),0)</f>
        <v>151.17426278313647</v>
      </c>
      <c r="R52">
        <f t="shared" si="8"/>
        <v>1.45</v>
      </c>
    </row>
    <row r="53" spans="1:18" x14ac:dyDescent="0.15">
      <c r="A53">
        <f ca="1">VLOOKUP(B53,技能CD配置辅助表!$C$3:$K$14,9,0)+I53</f>
        <v>19122124</v>
      </c>
      <c r="B53" t="str">
        <f t="shared" si="1"/>
        <v>影袭·斩</v>
      </c>
      <c r="C53" t="s">
        <v>189</v>
      </c>
      <c r="D53">
        <f>VLOOKUP(C53,技能CD配置辅助表!$C$3:$E$14,3,0)</f>
        <v>1</v>
      </c>
      <c r="E53">
        <f>IF(I53=0,1,IF(I53&lt;3,VLOOKUP(C53,技能CD配置辅助表!$C$3:$I$14,7,0)+(I53-1)*2,VLOOKUP(C53,技能CD配置辅助表!$C$3:$I$14,7,0)+(I53-1)*3-1))</f>
        <v>72</v>
      </c>
      <c r="F53" t="str">
        <f t="shared" si="2"/>
        <v>第24级，技能冷却时间5.8秒</v>
      </c>
      <c r="G53">
        <f>VLOOKUP(C53,技能CD配置辅助表!$C$3:$J$14,8,0)-(VLOOKUP(C53,技能CD配置辅助表!$C$3:$J$14,8,0)-VLOOKUP(C53,技能CD配置辅助表!$C$2:$M$14,11,0))/(VLOOKUP(C53,技能CD配置辅助表!$C$3:$H$14,6,0)-1)*(I53-IF(I53=0,0,1))</f>
        <v>5800</v>
      </c>
      <c r="H53">
        <f ca="1">M53*'[1]0、经济设定'!$C$18*IF(E53&lt;J53,1,1)</f>
        <v>210500</v>
      </c>
      <c r="I53">
        <f t="shared" si="5"/>
        <v>24</v>
      </c>
      <c r="J53">
        <f>VLOOKUP(C53,技能CD配置辅助表!$C$3:$L$14,10,0)</f>
        <v>20</v>
      </c>
      <c r="K53">
        <f t="shared" ca="1" si="3"/>
        <v>1286</v>
      </c>
      <c r="L53" s="45">
        <f t="shared" ca="1" si="7"/>
        <v>600</v>
      </c>
      <c r="M53">
        <f t="shared" ca="1" si="4"/>
        <v>4210</v>
      </c>
      <c r="N53">
        <f>VLOOKUP(C53,技能CD配置辅助表!$C$3:$H$14,6,0)</f>
        <v>26</v>
      </c>
      <c r="O53">
        <f>VLOOKUP(C53,技能CD配置辅助表!$C$3:$M$14,5,0)</f>
        <v>2</v>
      </c>
      <c r="P53">
        <f ca="1">IFERROR(VLOOKUP(A53+I53-10000003,D_技能表!A:AD,30,0)*(VLOOKUP(C53,技能CD配置辅助表!$C$3:$J$14,8,0)-G53)/VLOOKUP(C53,技能CD配置辅助表!$C$3:$J$14,8,0),0)*IF(VLOOKUP(C53,技能CD配置辅助表!$C$3:$F$14,4,0)=1,1,4)</f>
        <v>1415.2157464375853</v>
      </c>
      <c r="Q53">
        <f ca="1">IFERROR(K53/VLOOKUP(E53,升级时间!$A$2:$C$101,2,0),0)</f>
        <v>155.96157871196678</v>
      </c>
      <c r="R53">
        <f t="shared" si="8"/>
        <v>1.5</v>
      </c>
    </row>
    <row r="54" spans="1:18" x14ac:dyDescent="0.15">
      <c r="A54">
        <f ca="1">VLOOKUP(B54,技能CD配置辅助表!$C$3:$K$14,9,0)+I54</f>
        <v>19122125</v>
      </c>
      <c r="B54" t="str">
        <f t="shared" si="1"/>
        <v>影袭·斩</v>
      </c>
      <c r="C54" t="s">
        <v>189</v>
      </c>
      <c r="D54">
        <f>VLOOKUP(C54,技能CD配置辅助表!$C$3:$E$14,3,0)</f>
        <v>1</v>
      </c>
      <c r="E54">
        <f>IF(I54=0,1,IF(I54&lt;3,VLOOKUP(C54,技能CD配置辅助表!$C$3:$I$14,7,0)+(I54-1)*2,VLOOKUP(C54,技能CD配置辅助表!$C$3:$I$14,7,0)+(I54-1)*3-1))</f>
        <v>75</v>
      </c>
      <c r="F54" t="str">
        <f t="shared" si="2"/>
        <v>第25级，技能冷却时间5.4秒</v>
      </c>
      <c r="G54">
        <f>VLOOKUP(C54,技能CD配置辅助表!$C$3:$J$14,8,0)-(VLOOKUP(C54,技能CD配置辅助表!$C$3:$J$14,8,0)-VLOOKUP(C54,技能CD配置辅助表!$C$2:$M$14,11,0))/(VLOOKUP(C54,技能CD配置辅助表!$C$3:$H$14,6,0)-1)*(I54-IF(I54=0,0,1))</f>
        <v>5400</v>
      </c>
      <c r="H54">
        <f ca="1">M54*'[1]0、经济设定'!$C$18*IF(E54&lt;J54,1,1)</f>
        <v>245350</v>
      </c>
      <c r="I54">
        <f t="shared" si="5"/>
        <v>25</v>
      </c>
      <c r="J54">
        <f>VLOOKUP(C54,技能CD配置辅助表!$C$3:$L$14,10,0)</f>
        <v>20</v>
      </c>
      <c r="K54">
        <f t="shared" ca="1" si="3"/>
        <v>1544</v>
      </c>
      <c r="L54" s="45">
        <f t="shared" ca="1" si="7"/>
        <v>697</v>
      </c>
      <c r="M54">
        <f t="shared" ca="1" si="4"/>
        <v>4907</v>
      </c>
      <c r="N54">
        <f>VLOOKUP(C54,技能CD配置辅助表!$C$3:$H$14,6,0)</f>
        <v>26</v>
      </c>
      <c r="O54">
        <f>VLOOKUP(C54,技能CD配置辅助表!$C$3:$M$14,5,0)</f>
        <v>2</v>
      </c>
      <c r="P54">
        <f ca="1">IFERROR(VLOOKUP(A54+I54-10000003,D_技能表!A:AD,30,0)*(VLOOKUP(C54,技能CD配置辅助表!$C$3:$J$14,8,0)-G54)/VLOOKUP(C54,技能CD配置辅助表!$C$3:$J$14,8,0),0)*IF(VLOOKUP(C54,技能CD配置辅助表!$C$3:$F$14,4,0)=1,1,4)</f>
        <v>1976.8456476027211</v>
      </c>
      <c r="Q54">
        <f ca="1">IFERROR(K54/VLOOKUP(E54,升级时间!$A$2:$C$101,2,0),0)</f>
        <v>150.20352017755798</v>
      </c>
      <c r="R54">
        <f t="shared" si="8"/>
        <v>1.55</v>
      </c>
    </row>
    <row r="55" spans="1:18" x14ac:dyDescent="0.15">
      <c r="A55">
        <f ca="1">VLOOKUP(B55,技能CD配置辅助表!$C$3:$K$14,9,0)+I55</f>
        <v>19122126</v>
      </c>
      <c r="B55" t="str">
        <f t="shared" si="1"/>
        <v>影袭·斩</v>
      </c>
      <c r="C55" t="s">
        <v>189</v>
      </c>
      <c r="D55">
        <f>VLOOKUP(C55,技能CD配置辅助表!$C$3:$E$14,3,0)</f>
        <v>1</v>
      </c>
      <c r="E55">
        <f>IF(I55=0,1,IF(I55&lt;3,VLOOKUP(C55,技能CD配置辅助表!$C$3:$I$14,7,0)+(I55-1)*2,VLOOKUP(C55,技能CD配置辅助表!$C$3:$I$14,7,0)+(I55-1)*3-1))</f>
        <v>78</v>
      </c>
      <c r="F55" t="str">
        <f t="shared" si="2"/>
        <v>第26级，技能冷却时间5秒</v>
      </c>
      <c r="G55">
        <f>VLOOKUP(C55,技能CD配置辅助表!$C$3:$J$14,8,0)-(VLOOKUP(C55,技能CD配置辅助表!$C$3:$J$14,8,0)-VLOOKUP(C55,技能CD配置辅助表!$C$2:$M$14,11,0))/(VLOOKUP(C55,技能CD配置辅助表!$C$3:$H$14,6,0)-1)*(I55-IF(I55=0,0,1))</f>
        <v>5000</v>
      </c>
      <c r="H55">
        <f ca="1">M55*'[1]0、经济设定'!$C$18*IF(E55&lt;J55,1,1)</f>
        <v>285750</v>
      </c>
      <c r="I55">
        <f t="shared" si="5"/>
        <v>26</v>
      </c>
      <c r="J55">
        <f>VLOOKUP(C55,技能CD配置辅助表!$C$3:$L$14,10,0)</f>
        <v>20</v>
      </c>
      <c r="K55">
        <f t="shared" ca="1" si="3"/>
        <v>1847</v>
      </c>
      <c r="L55" s="45">
        <f t="shared" ca="1" si="7"/>
        <v>808</v>
      </c>
      <c r="M55">
        <f t="shared" ca="1" si="4"/>
        <v>5715</v>
      </c>
      <c r="N55">
        <f>VLOOKUP(C55,技能CD配置辅助表!$C$3:$H$14,6,0)</f>
        <v>26</v>
      </c>
      <c r="O55">
        <f>VLOOKUP(C55,技能CD配置辅助表!$C$3:$M$14,5,0)</f>
        <v>2</v>
      </c>
      <c r="P55">
        <f ca="1">IFERROR(VLOOKUP(A55+I55-10000003,D_技能表!A:AD,30,0)*(VLOOKUP(C55,技能CD配置辅助表!$C$3:$J$14,8,0)-G55)/VLOOKUP(C55,技能CD配置辅助表!$C$3:$J$14,8,0),0)*IF(VLOOKUP(C55,技能CD配置辅助表!$C$3:$F$14,4,0)=1,1,4)</f>
        <v>2753.7868618898847</v>
      </c>
      <c r="Q55">
        <f ca="1">IFERROR(K55/VLOOKUP(E55,升级时间!$A$2:$C$101,2,0),0)</f>
        <v>155.6506397403771</v>
      </c>
      <c r="R55">
        <f t="shared" si="8"/>
        <v>1.6</v>
      </c>
    </row>
    <row r="56" spans="1:18" x14ac:dyDescent="0.15">
      <c r="A56">
        <f ca="1">VLOOKUP(B56,技能CD配置辅助表!$C$3:$K$14,9,0)+I56</f>
        <v>19113100</v>
      </c>
      <c r="B56" t="str">
        <f t="shared" si="1"/>
        <v>光刃·斩</v>
      </c>
      <c r="C56" t="s">
        <v>87</v>
      </c>
      <c r="D56">
        <f>VLOOKUP(C56,技能CD配置辅助表!$C$3:$E$14,3,0)</f>
        <v>1</v>
      </c>
      <c r="E56">
        <f>IF(I56=0,1,IF(I56&lt;3,VLOOKUP(C56,技能CD配置辅助表!$C$3:$I$14,7,0)+(I56-1)*2,VLOOKUP(C56,技能CD配置辅助表!$C$3:$I$14,7,0)+(I56-1)*3-1))</f>
        <v>1</v>
      </c>
      <c r="F56" t="str">
        <f t="shared" si="2"/>
        <v>第0级，技能冷却时间13秒</v>
      </c>
      <c r="G56">
        <f>VLOOKUP(C56,技能CD配置辅助表!$C$3:$J$14,8,0)-(VLOOKUP(C56,技能CD配置辅助表!$C$3:$J$14,8,0)-VLOOKUP(C56,技能CD配置辅助表!$C$2:$M$14,11,0))/(VLOOKUP(C56,技能CD配置辅助表!$C$3:$H$14,6,0)-1)*(I56-IF(I56=0,0,1))</f>
        <v>13000</v>
      </c>
      <c r="H56">
        <f>M56*'[1]0、经济设定'!$C$18*IF(E56&lt;J56,1,1)</f>
        <v>0</v>
      </c>
      <c r="I56">
        <f t="shared" si="5"/>
        <v>0</v>
      </c>
      <c r="J56">
        <f>VLOOKUP(C56,技能CD配置辅助表!$C$3:$L$14,10,0)</f>
        <v>20</v>
      </c>
      <c r="K56">
        <f t="shared" si="3"/>
        <v>0</v>
      </c>
      <c r="L56" s="45">
        <f t="shared" ca="1" si="7"/>
        <v>0</v>
      </c>
      <c r="M56">
        <f t="shared" si="4"/>
        <v>0</v>
      </c>
      <c r="N56">
        <f>VLOOKUP(C56,技能CD配置辅助表!$C$3:$H$14,6,0)</f>
        <v>26</v>
      </c>
      <c r="O56">
        <f>VLOOKUP(C56,技能CD配置辅助表!$C$3:$M$14,5,0)</f>
        <v>3</v>
      </c>
      <c r="P56">
        <f ca="1">IFERROR(VLOOKUP(A56+I56-10000003,D_技能表!A:AD,30,0)*(VLOOKUP(C56,技能CD配置辅助表!$C$3:$J$14,8,0)-G56)/VLOOKUP(C56,技能CD配置辅助表!$C$3:$J$14,8,0),0)*IF(VLOOKUP(C56,技能CD配置辅助表!$C$3:$F$14,4,0)=1,1,4)</f>
        <v>0</v>
      </c>
      <c r="R56">
        <f t="shared" si="8"/>
        <v>0</v>
      </c>
    </row>
    <row r="57" spans="1:18" x14ac:dyDescent="0.15">
      <c r="A57">
        <f ca="1">VLOOKUP(B57,技能CD配置辅助表!$C$3:$K$14,9,0)+I57</f>
        <v>19113101</v>
      </c>
      <c r="B57" t="str">
        <f t="shared" si="1"/>
        <v>光刃·斩</v>
      </c>
      <c r="C57" t="s">
        <v>87</v>
      </c>
      <c r="D57">
        <f>VLOOKUP(C57,技能CD配置辅助表!$C$3:$E$14,3,0)</f>
        <v>1</v>
      </c>
      <c r="E57">
        <f>IF(I57=0,1,IF(I57&lt;3,VLOOKUP(C57,技能CD配置辅助表!$C$3:$I$14,7,0)+(I57-1)*2,VLOOKUP(C57,技能CD配置辅助表!$C$3:$I$14,7,0)+(I57-1)*3-1))</f>
        <v>5</v>
      </c>
      <c r="F57" t="str">
        <f t="shared" si="2"/>
        <v>第1级，技能冷却时间13秒</v>
      </c>
      <c r="G57">
        <f>VLOOKUP(C57,技能CD配置辅助表!$C$3:$J$14,8,0)-(VLOOKUP(C57,技能CD配置辅助表!$C$3:$J$14,8,0)-VLOOKUP(C57,技能CD配置辅助表!$C$2:$M$14,11,0))/(VLOOKUP(C57,技能CD配置辅助表!$C$3:$H$14,6,0)-1)*(I57-IF(I57=0,0,1))</f>
        <v>13000</v>
      </c>
      <c r="H57">
        <f ca="1">M57*'[1]0、经济设定'!$C$18*IF(E57&lt;J57,1,1)</f>
        <v>0</v>
      </c>
      <c r="I57">
        <f t="shared" si="5"/>
        <v>1</v>
      </c>
      <c r="J57">
        <f>VLOOKUP(C57,技能CD配置辅助表!$C$3:$L$14,10,0)</f>
        <v>20</v>
      </c>
      <c r="K57">
        <f t="shared" si="3"/>
        <v>0</v>
      </c>
      <c r="L57" s="45">
        <f t="shared" ca="1" si="7"/>
        <v>0</v>
      </c>
      <c r="M57">
        <f t="shared" ca="1" si="4"/>
        <v>0</v>
      </c>
      <c r="N57">
        <f>VLOOKUP(C57,技能CD配置辅助表!$C$3:$H$14,6,0)</f>
        <v>26</v>
      </c>
      <c r="O57">
        <f>VLOOKUP(C57,技能CD配置辅助表!$C$3:$M$14,5,0)</f>
        <v>3</v>
      </c>
      <c r="P57">
        <f ca="1">IFERROR(VLOOKUP(A57+I57-10000003,D_技能表!A:AD,30,0)*(VLOOKUP(C57,技能CD配置辅助表!$C$3:$J$14,8,0)-G57)/VLOOKUP(C57,技能CD配置辅助表!$C$3:$J$14,8,0),0)*IF(VLOOKUP(C57,技能CD配置辅助表!$C$3:$F$14,4,0)=1,1,4)</f>
        <v>0</v>
      </c>
      <c r="R57">
        <f t="shared" si="8"/>
        <v>0</v>
      </c>
    </row>
    <row r="58" spans="1:18" x14ac:dyDescent="0.15">
      <c r="A58">
        <f ca="1">VLOOKUP(B58,技能CD配置辅助表!$C$3:$K$14,9,0)+I58</f>
        <v>19113102</v>
      </c>
      <c r="B58" t="str">
        <f t="shared" si="1"/>
        <v>光刃·斩</v>
      </c>
      <c r="C58" t="s">
        <v>87</v>
      </c>
      <c r="D58">
        <f>VLOOKUP(C58,技能CD配置辅助表!$C$3:$E$14,3,0)</f>
        <v>1</v>
      </c>
      <c r="E58">
        <f>IF(I58=0,1,IF(I58&lt;3,VLOOKUP(C58,技能CD配置辅助表!$C$3:$I$14,7,0)+(I58-1)*2,VLOOKUP(C58,技能CD配置辅助表!$C$3:$I$14,7,0)+(I58-1)*3-1))</f>
        <v>7</v>
      </c>
      <c r="F58" t="str">
        <f t="shared" si="2"/>
        <v>第2级，技能冷却时间12.72秒</v>
      </c>
      <c r="G58">
        <f>VLOOKUP(C58,技能CD配置辅助表!$C$3:$J$14,8,0)-(VLOOKUP(C58,技能CD配置辅助表!$C$3:$J$14,8,0)-VLOOKUP(C58,技能CD配置辅助表!$C$2:$M$14,11,0))/(VLOOKUP(C58,技能CD配置辅助表!$C$3:$H$14,6,0)-1)*(I58-IF(I58=0,0,1))</f>
        <v>12720</v>
      </c>
      <c r="H58">
        <f ca="1">M58*'[1]0、经济设定'!$C$18*IF(E58&lt;J58,1,1)</f>
        <v>500</v>
      </c>
      <c r="I58">
        <f t="shared" si="5"/>
        <v>2</v>
      </c>
      <c r="J58">
        <f>VLOOKUP(C58,技能CD配置辅助表!$C$3:$L$14,10,0)</f>
        <v>20</v>
      </c>
      <c r="K58">
        <f t="shared" si="3"/>
        <v>0</v>
      </c>
      <c r="L58" s="45">
        <f t="shared" ca="1" si="7"/>
        <v>10</v>
      </c>
      <c r="M58">
        <f t="shared" ca="1" si="4"/>
        <v>10</v>
      </c>
      <c r="N58">
        <f>VLOOKUP(C58,技能CD配置辅助表!$C$3:$H$14,6,0)</f>
        <v>26</v>
      </c>
      <c r="O58">
        <f>VLOOKUP(C58,技能CD配置辅助表!$C$3:$M$14,5,0)</f>
        <v>3</v>
      </c>
      <c r="P58">
        <f ca="1">IFERROR(VLOOKUP(A58+I58-10000003,D_技能表!A:AD,30,0)*(VLOOKUP(C58,技能CD配置辅助表!$C$3:$J$14,8,0)-G58)/VLOOKUP(C58,技能CD配置辅助表!$C$3:$J$14,8,0),0)*IF(VLOOKUP(C58,技能CD配置辅助表!$C$3:$F$14,4,0)=1,1,4)</f>
        <v>6.4981602954471848E-2</v>
      </c>
      <c r="R58">
        <f t="shared" si="8"/>
        <v>0</v>
      </c>
    </row>
    <row r="59" spans="1:18" x14ac:dyDescent="0.15">
      <c r="A59">
        <f ca="1">VLOOKUP(B59,技能CD配置辅助表!$C$3:$K$14,9,0)+I59</f>
        <v>19113103</v>
      </c>
      <c r="B59" t="str">
        <f t="shared" si="1"/>
        <v>光刃·斩</v>
      </c>
      <c r="C59" t="s">
        <v>87</v>
      </c>
      <c r="D59">
        <f>VLOOKUP(C59,技能CD配置辅助表!$C$3:$E$14,3,0)</f>
        <v>1</v>
      </c>
      <c r="E59">
        <f>IF(I59=0,1,IF(I59&lt;3,VLOOKUP(C59,技能CD配置辅助表!$C$3:$I$14,7,0)+(I59-1)*2,VLOOKUP(C59,技能CD配置辅助表!$C$3:$I$14,7,0)+(I59-1)*3-1))</f>
        <v>10</v>
      </c>
      <c r="F59" t="str">
        <f t="shared" si="2"/>
        <v>第3级，技能冷却时间12.44秒</v>
      </c>
      <c r="G59">
        <f>VLOOKUP(C59,技能CD配置辅助表!$C$3:$J$14,8,0)-(VLOOKUP(C59,技能CD配置辅助表!$C$3:$J$14,8,0)-VLOOKUP(C59,技能CD配置辅助表!$C$2:$M$14,11,0))/(VLOOKUP(C59,技能CD配置辅助表!$C$3:$H$14,6,0)-1)*(I59-IF(I59=0,0,1))</f>
        <v>12440</v>
      </c>
      <c r="H59">
        <f ca="1">M59*'[1]0、经济设定'!$C$18*IF(E59&lt;J59,1,1)</f>
        <v>1100</v>
      </c>
      <c r="I59">
        <f t="shared" si="5"/>
        <v>3</v>
      </c>
      <c r="J59">
        <f>VLOOKUP(C59,技能CD配置辅助表!$C$3:$L$14,10,0)</f>
        <v>20</v>
      </c>
      <c r="K59">
        <f t="shared" si="3"/>
        <v>0</v>
      </c>
      <c r="L59" s="45">
        <f t="shared" ca="1" si="7"/>
        <v>12</v>
      </c>
      <c r="M59">
        <f t="shared" ca="1" si="4"/>
        <v>22</v>
      </c>
      <c r="N59">
        <f>VLOOKUP(C59,技能CD配置辅助表!$C$3:$H$14,6,0)</f>
        <v>26</v>
      </c>
      <c r="O59">
        <f>VLOOKUP(C59,技能CD配置辅助表!$C$3:$M$14,5,0)</f>
        <v>3</v>
      </c>
      <c r="P59">
        <f ca="1">IFERROR(VLOOKUP(A59+I59-10000003,D_技能表!A:AD,30,0)*(VLOOKUP(C59,技能CD配置辅助表!$C$3:$J$14,8,0)-G59)/VLOOKUP(C59,技能CD配置辅助表!$C$3:$J$14,8,0),0)*IF(VLOOKUP(C59,技能CD配置辅助表!$C$3:$F$14,4,0)=1,1,4)</f>
        <v>0.177927520401782</v>
      </c>
      <c r="R59">
        <f t="shared" si="8"/>
        <v>0</v>
      </c>
    </row>
    <row r="60" spans="1:18" x14ac:dyDescent="0.15">
      <c r="A60">
        <f ca="1">VLOOKUP(B60,技能CD配置辅助表!$C$3:$K$14,9,0)+I60</f>
        <v>19113104</v>
      </c>
      <c r="B60" t="str">
        <f t="shared" si="1"/>
        <v>光刃·斩</v>
      </c>
      <c r="C60" t="s">
        <v>87</v>
      </c>
      <c r="D60">
        <f>VLOOKUP(C60,技能CD配置辅助表!$C$3:$E$14,3,0)</f>
        <v>1</v>
      </c>
      <c r="E60">
        <f>IF(I60=0,1,IF(I60&lt;3,VLOOKUP(C60,技能CD配置辅助表!$C$3:$I$14,7,0)+(I60-1)*2,VLOOKUP(C60,技能CD配置辅助表!$C$3:$I$14,7,0)+(I60-1)*3-1))</f>
        <v>13</v>
      </c>
      <c r="F60" t="str">
        <f t="shared" si="2"/>
        <v>第4级，技能冷却时间12.16秒</v>
      </c>
      <c r="G60">
        <f>VLOOKUP(C60,技能CD配置辅助表!$C$3:$J$14,8,0)-(VLOOKUP(C60,技能CD配置辅助表!$C$3:$J$14,8,0)-VLOOKUP(C60,技能CD配置辅助表!$C$2:$M$14,11,0))/(VLOOKUP(C60,技能CD配置辅助表!$C$3:$H$14,6,0)-1)*(I60-IF(I60=0,0,1))</f>
        <v>12160</v>
      </c>
      <c r="H60">
        <f ca="1">M60*'[1]0、经济设定'!$C$18*IF(E60&lt;J60,1,1)</f>
        <v>1800</v>
      </c>
      <c r="I60">
        <f t="shared" si="5"/>
        <v>4</v>
      </c>
      <c r="J60">
        <f>VLOOKUP(C60,技能CD配置辅助表!$C$3:$L$14,10,0)</f>
        <v>20</v>
      </c>
      <c r="K60">
        <f t="shared" si="3"/>
        <v>0</v>
      </c>
      <c r="L60" s="45">
        <f t="shared" ca="1" si="7"/>
        <v>14</v>
      </c>
      <c r="M60">
        <f t="shared" ca="1" si="4"/>
        <v>36</v>
      </c>
      <c r="N60">
        <f>VLOOKUP(C60,技能CD配置辅助表!$C$3:$H$14,6,0)</f>
        <v>26</v>
      </c>
      <c r="O60">
        <f>VLOOKUP(C60,技能CD配置辅助表!$C$3:$M$14,5,0)</f>
        <v>3</v>
      </c>
      <c r="P60">
        <f ca="1">IFERROR(VLOOKUP(A60+I60-10000003,D_技能表!A:AD,30,0)*(VLOOKUP(C60,技能CD配置辅助表!$C$3:$J$14,8,0)-G60)/VLOOKUP(C60,技能CD配置辅助表!$C$3:$J$14,8,0),0)*IF(VLOOKUP(C60,技能CD配置辅助表!$C$3:$F$14,4,0)=1,1,4)</f>
        <v>0.35821330956092051</v>
      </c>
      <c r="R60">
        <f t="shared" si="8"/>
        <v>0</v>
      </c>
    </row>
    <row r="61" spans="1:18" x14ac:dyDescent="0.15">
      <c r="A61">
        <f ca="1">VLOOKUP(B61,技能CD配置辅助表!$C$3:$K$14,9,0)+I61</f>
        <v>19113105</v>
      </c>
      <c r="B61" t="str">
        <f t="shared" si="1"/>
        <v>光刃·斩</v>
      </c>
      <c r="C61" t="s">
        <v>87</v>
      </c>
      <c r="D61">
        <f>VLOOKUP(C61,技能CD配置辅助表!$C$3:$E$14,3,0)</f>
        <v>1</v>
      </c>
      <c r="E61">
        <f>IF(I61=0,1,IF(I61&lt;3,VLOOKUP(C61,技能CD配置辅助表!$C$3:$I$14,7,0)+(I61-1)*2,VLOOKUP(C61,技能CD配置辅助表!$C$3:$I$14,7,0)+(I61-1)*3-1))</f>
        <v>16</v>
      </c>
      <c r="F61" t="str">
        <f t="shared" si="2"/>
        <v>第5级，技能冷却时间11.88秒</v>
      </c>
      <c r="G61">
        <f>VLOOKUP(C61,技能CD配置辅助表!$C$3:$J$14,8,0)-(VLOOKUP(C61,技能CD配置辅助表!$C$3:$J$14,8,0)-VLOOKUP(C61,技能CD配置辅助表!$C$2:$M$14,11,0))/(VLOOKUP(C61,技能CD配置辅助表!$C$3:$H$14,6,0)-1)*(I61-IF(I61=0,0,1))</f>
        <v>11880</v>
      </c>
      <c r="H61">
        <f ca="1">M61*'[1]0、经济设定'!$C$18*IF(E61&lt;J61,1,1)</f>
        <v>2600</v>
      </c>
      <c r="I61">
        <f t="shared" si="5"/>
        <v>5</v>
      </c>
      <c r="J61">
        <f>VLOOKUP(C61,技能CD配置辅助表!$C$3:$L$14,10,0)</f>
        <v>20</v>
      </c>
      <c r="K61">
        <f t="shared" si="3"/>
        <v>0</v>
      </c>
      <c r="L61" s="45">
        <f t="shared" ca="1" si="7"/>
        <v>16</v>
      </c>
      <c r="M61">
        <f t="shared" ca="1" si="4"/>
        <v>52</v>
      </c>
      <c r="N61">
        <f>VLOOKUP(C61,技能CD配置辅助表!$C$3:$H$14,6,0)</f>
        <v>26</v>
      </c>
      <c r="O61">
        <f>VLOOKUP(C61,技能CD配置辅助表!$C$3:$M$14,5,0)</f>
        <v>3</v>
      </c>
      <c r="P61">
        <f ca="1">IFERROR(VLOOKUP(A61+I61-10000003,D_技能表!A:AD,30,0)*(VLOOKUP(C61,技能CD配置辅助表!$C$3:$J$14,8,0)-G61)/VLOOKUP(C61,技能CD配置辅助表!$C$3:$J$14,8,0),0)*IF(VLOOKUP(C61,技能CD配置辅助表!$C$3:$F$14,4,0)=1,1,4)</f>
        <v>0.64029036931509586</v>
      </c>
      <c r="R61">
        <f t="shared" si="8"/>
        <v>0.1</v>
      </c>
    </row>
    <row r="62" spans="1:18" x14ac:dyDescent="0.15">
      <c r="A62">
        <f ca="1">VLOOKUP(B62,技能CD配置辅助表!$C$3:$K$14,9,0)+I62</f>
        <v>19113106</v>
      </c>
      <c r="B62" t="str">
        <f t="shared" si="1"/>
        <v>光刃·斩</v>
      </c>
      <c r="C62" t="s">
        <v>87</v>
      </c>
      <c r="D62">
        <f>VLOOKUP(C62,技能CD配置辅助表!$C$3:$E$14,3,0)</f>
        <v>1</v>
      </c>
      <c r="E62">
        <f>IF(I62=0,1,IF(I62&lt;3,VLOOKUP(C62,技能CD配置辅助表!$C$3:$I$14,7,0)+(I62-1)*2,VLOOKUP(C62,技能CD配置辅助表!$C$3:$I$14,7,0)+(I62-1)*3-1))</f>
        <v>19</v>
      </c>
      <c r="F62" t="str">
        <f t="shared" si="2"/>
        <v>第6级，技能冷却时间11.6秒</v>
      </c>
      <c r="G62">
        <f>VLOOKUP(C62,技能CD配置辅助表!$C$3:$J$14,8,0)-(VLOOKUP(C62,技能CD配置辅助表!$C$3:$J$14,8,0)-VLOOKUP(C62,技能CD配置辅助表!$C$2:$M$14,11,0))/(VLOOKUP(C62,技能CD配置辅助表!$C$3:$H$14,6,0)-1)*(I62-IF(I62=0,0,1))</f>
        <v>11600</v>
      </c>
      <c r="H62">
        <f ca="1">M62*'[1]0、经济设定'!$C$18*IF(E62&lt;J62,1,1)</f>
        <v>3500</v>
      </c>
      <c r="I62">
        <f t="shared" si="5"/>
        <v>6</v>
      </c>
      <c r="J62">
        <f>VLOOKUP(C62,技能CD配置辅助表!$C$3:$L$14,10,0)</f>
        <v>20</v>
      </c>
      <c r="K62">
        <f t="shared" si="3"/>
        <v>0</v>
      </c>
      <c r="L62" s="45">
        <f t="shared" ca="1" si="7"/>
        <v>18</v>
      </c>
      <c r="M62">
        <f t="shared" ca="1" si="4"/>
        <v>70</v>
      </c>
      <c r="N62">
        <f>VLOOKUP(C62,技能CD配置辅助表!$C$3:$H$14,6,0)</f>
        <v>26</v>
      </c>
      <c r="O62">
        <f>VLOOKUP(C62,技能CD配置辅助表!$C$3:$M$14,5,0)</f>
        <v>3</v>
      </c>
      <c r="P62">
        <f ca="1">IFERROR(VLOOKUP(A62+I62-10000003,D_技能表!A:AD,30,0)*(VLOOKUP(C62,技能CD配置辅助表!$C$3:$J$14,8,0)-G62)/VLOOKUP(C62,技能CD配置辅助表!$C$3:$J$14,8,0),0)*IF(VLOOKUP(C62,技能CD配置辅助表!$C$3:$F$14,4,0)=1,1,4)</f>
        <v>1.0717808742845489</v>
      </c>
      <c r="R62">
        <f t="shared" si="8"/>
        <v>0.2</v>
      </c>
    </row>
    <row r="63" spans="1:18" x14ac:dyDescent="0.15">
      <c r="A63">
        <f ca="1">VLOOKUP(B63,技能CD配置辅助表!$C$3:$K$14,9,0)+I63</f>
        <v>19113107</v>
      </c>
      <c r="B63" t="str">
        <f t="shared" si="1"/>
        <v>光刃·斩</v>
      </c>
      <c r="C63" t="s">
        <v>87</v>
      </c>
      <c r="D63">
        <f>VLOOKUP(C63,技能CD配置辅助表!$C$3:$E$14,3,0)</f>
        <v>1</v>
      </c>
      <c r="E63">
        <f>IF(I63=0,1,IF(I63&lt;3,VLOOKUP(C63,技能CD配置辅助表!$C$3:$I$14,7,0)+(I63-1)*2,VLOOKUP(C63,技能CD配置辅助表!$C$3:$I$14,7,0)+(I63-1)*3-1))</f>
        <v>22</v>
      </c>
      <c r="F63" t="str">
        <f t="shared" si="2"/>
        <v>第7级，技能冷却时间11.32秒</v>
      </c>
      <c r="G63">
        <f>VLOOKUP(C63,技能CD配置辅助表!$C$3:$J$14,8,0)-(VLOOKUP(C63,技能CD配置辅助表!$C$3:$J$14,8,0)-VLOOKUP(C63,技能CD配置辅助表!$C$2:$M$14,11,0))/(VLOOKUP(C63,技能CD配置辅助表!$C$3:$H$14,6,0)-1)*(I63-IF(I63=0,0,1))</f>
        <v>11320</v>
      </c>
      <c r="H63">
        <f ca="1">M63*'[1]0、经济设定'!$C$18*IF(E63&lt;J63,1,1)</f>
        <v>4550</v>
      </c>
      <c r="I63">
        <f t="shared" si="5"/>
        <v>7</v>
      </c>
      <c r="J63">
        <f>VLOOKUP(C63,技能CD配置辅助表!$C$3:$L$14,10,0)</f>
        <v>20</v>
      </c>
      <c r="K63">
        <f t="shared" ca="1" si="3"/>
        <v>9</v>
      </c>
      <c r="L63" s="45">
        <f t="shared" ca="1" si="7"/>
        <v>21</v>
      </c>
      <c r="M63">
        <f t="shared" ca="1" si="4"/>
        <v>91</v>
      </c>
      <c r="N63">
        <f>VLOOKUP(C63,技能CD配置辅助表!$C$3:$H$14,6,0)</f>
        <v>26</v>
      </c>
      <c r="O63">
        <f>VLOOKUP(C63,技能CD配置辅助表!$C$3:$M$14,5,0)</f>
        <v>3</v>
      </c>
      <c r="P63">
        <f ca="1">IFERROR(VLOOKUP(A63+I63-10000003,D_技能表!A:AD,30,0)*(VLOOKUP(C63,技能CD配置辅助表!$C$3:$J$14,8,0)-G63)/VLOOKUP(C63,技能CD配置辅助表!$C$3:$J$14,8,0),0)*IF(VLOOKUP(C63,技能CD配置辅助表!$C$3:$F$14,4,0)=1,1,4)</f>
        <v>1.7205168885566311</v>
      </c>
      <c r="R63">
        <f t="shared" si="8"/>
        <v>0.3</v>
      </c>
    </row>
    <row r="64" spans="1:18" x14ac:dyDescent="0.15">
      <c r="A64">
        <f ca="1">VLOOKUP(B64,技能CD配置辅助表!$C$3:$K$14,9,0)+I64</f>
        <v>19113108</v>
      </c>
      <c r="B64" t="str">
        <f t="shared" si="1"/>
        <v>光刃·斩</v>
      </c>
      <c r="C64" t="s">
        <v>87</v>
      </c>
      <c r="D64">
        <f>VLOOKUP(C64,技能CD配置辅助表!$C$3:$E$14,3,0)</f>
        <v>1</v>
      </c>
      <c r="E64">
        <f>IF(I64=0,1,IF(I64&lt;3,VLOOKUP(C64,技能CD配置辅助表!$C$3:$I$14,7,0)+(I64-1)*2,VLOOKUP(C64,技能CD配置辅助表!$C$3:$I$14,7,0)+(I64-1)*3-1))</f>
        <v>25</v>
      </c>
      <c r="F64" t="str">
        <f t="shared" si="2"/>
        <v>第8级，技能冷却时间11.04秒</v>
      </c>
      <c r="G64">
        <f>VLOOKUP(C64,技能CD配置辅助表!$C$3:$J$14,8,0)-(VLOOKUP(C64,技能CD配置辅助表!$C$3:$J$14,8,0)-VLOOKUP(C64,技能CD配置辅助表!$C$2:$M$14,11,0))/(VLOOKUP(C64,技能CD配置辅助表!$C$3:$H$14,6,0)-1)*(I64-IF(I64=0,0,1))</f>
        <v>11040</v>
      </c>
      <c r="H64">
        <f ca="1">M64*'[1]0、经济设定'!$C$18*IF(E64&lt;J64,1,1)</f>
        <v>5800</v>
      </c>
      <c r="I64">
        <f t="shared" si="5"/>
        <v>8</v>
      </c>
      <c r="J64">
        <f>VLOOKUP(C64,技能CD配置辅助表!$C$3:$L$14,10,0)</f>
        <v>20</v>
      </c>
      <c r="K64">
        <f t="shared" ca="1" si="3"/>
        <v>15</v>
      </c>
      <c r="L64" s="45">
        <f t="shared" ca="1" si="7"/>
        <v>25</v>
      </c>
      <c r="M64">
        <f t="shared" ca="1" si="4"/>
        <v>116</v>
      </c>
      <c r="N64">
        <f>VLOOKUP(C64,技能CD配置辅助表!$C$3:$H$14,6,0)</f>
        <v>26</v>
      </c>
      <c r="O64">
        <f>VLOOKUP(C64,技能CD配置辅助表!$C$3:$M$14,5,0)</f>
        <v>3</v>
      </c>
      <c r="P64">
        <f ca="1">IFERROR(VLOOKUP(A64+I64-10000003,D_技能表!A:AD,30,0)*(VLOOKUP(C64,技能CD配置辅助表!$C$3:$J$14,8,0)-G64)/VLOOKUP(C64,技能CD配置辅助表!$C$3:$J$14,8,0),0)*IF(VLOOKUP(C64,技能CD配置辅助表!$C$3:$F$14,4,0)=1,1,4)</f>
        <v>2.6826096692962085</v>
      </c>
      <c r="R64">
        <f t="shared" si="8"/>
        <v>0.4</v>
      </c>
    </row>
    <row r="65" spans="1:18" x14ac:dyDescent="0.15">
      <c r="A65">
        <f ca="1">VLOOKUP(B65,技能CD配置辅助表!$C$3:$K$14,9,0)+I65</f>
        <v>19113109</v>
      </c>
      <c r="B65" t="str">
        <f t="shared" si="1"/>
        <v>光刃·斩</v>
      </c>
      <c r="C65" t="s">
        <v>87</v>
      </c>
      <c r="D65">
        <f>VLOOKUP(C65,技能CD配置辅助表!$C$3:$E$14,3,0)</f>
        <v>1</v>
      </c>
      <c r="E65">
        <f>IF(I65=0,1,IF(I65&lt;3,VLOOKUP(C65,技能CD配置辅助表!$C$3:$I$14,7,0)+(I65-1)*2,VLOOKUP(C65,技能CD配置辅助表!$C$3:$I$14,7,0)+(I65-1)*3-1))</f>
        <v>28</v>
      </c>
      <c r="F65" t="str">
        <f t="shared" si="2"/>
        <v>第9级，技能冷却时间10.76秒</v>
      </c>
      <c r="G65">
        <f>VLOOKUP(C65,技能CD配置辅助表!$C$3:$J$14,8,0)-(VLOOKUP(C65,技能CD配置辅助表!$C$3:$J$14,8,0)-VLOOKUP(C65,技能CD配置辅助表!$C$2:$M$14,11,0))/(VLOOKUP(C65,技能CD配置辅助表!$C$3:$H$14,6,0)-1)*(I65-IF(I65=0,0,1))</f>
        <v>10760</v>
      </c>
      <c r="H65">
        <f ca="1">M65*'[1]0、经济设定'!$C$18*IF(E65&lt;J65,1,1)</f>
        <v>7250</v>
      </c>
      <c r="I65">
        <f t="shared" si="5"/>
        <v>9</v>
      </c>
      <c r="J65">
        <f>VLOOKUP(C65,技能CD配置辅助表!$C$3:$L$14,10,0)</f>
        <v>20</v>
      </c>
      <c r="K65">
        <f t="shared" ca="1" si="3"/>
        <v>21</v>
      </c>
      <c r="L65" s="45">
        <f t="shared" ca="1" si="7"/>
        <v>29</v>
      </c>
      <c r="M65">
        <f t="shared" ca="1" si="4"/>
        <v>145</v>
      </c>
      <c r="N65">
        <f>VLOOKUP(C65,技能CD配置辅助表!$C$3:$H$14,6,0)</f>
        <v>26</v>
      </c>
      <c r="O65">
        <f>VLOOKUP(C65,技能CD配置辅助表!$C$3:$M$14,5,0)</f>
        <v>3</v>
      </c>
      <c r="P65">
        <f ca="1">IFERROR(VLOOKUP(A65+I65-10000003,D_技能表!A:AD,30,0)*(VLOOKUP(C65,技能CD配置辅助表!$C$3:$J$14,8,0)-G65)/VLOOKUP(C65,技能CD配置辅助表!$C$3:$J$14,8,0),0)*IF(VLOOKUP(C65,技能CD配置辅助表!$C$3:$F$14,4,0)=1,1,4)</f>
        <v>4.0936075586696692</v>
      </c>
      <c r="R65">
        <f t="shared" si="8"/>
        <v>0.5</v>
      </c>
    </row>
    <row r="66" spans="1:18" x14ac:dyDescent="0.15">
      <c r="A66">
        <f ca="1">VLOOKUP(B66,技能CD配置辅助表!$C$3:$K$14,9,0)+I66</f>
        <v>19113110</v>
      </c>
      <c r="B66" t="str">
        <f t="shared" si="1"/>
        <v>光刃·斩</v>
      </c>
      <c r="C66" t="s">
        <v>87</v>
      </c>
      <c r="D66">
        <f>VLOOKUP(C66,技能CD配置辅助表!$C$3:$E$14,3,0)</f>
        <v>1</v>
      </c>
      <c r="E66">
        <f>IF(I66=0,1,IF(I66&lt;3,VLOOKUP(C66,技能CD配置辅助表!$C$3:$I$14,7,0)+(I66-1)*2,VLOOKUP(C66,技能CD配置辅助表!$C$3:$I$14,7,0)+(I66-1)*3-1))</f>
        <v>31</v>
      </c>
      <c r="F66" t="str">
        <f t="shared" si="2"/>
        <v>第10级，技能冷却时间10.48秒</v>
      </c>
      <c r="G66">
        <f>VLOOKUP(C66,技能CD配置辅助表!$C$3:$J$14,8,0)-(VLOOKUP(C66,技能CD配置辅助表!$C$3:$J$14,8,0)-VLOOKUP(C66,技能CD配置辅助表!$C$2:$M$14,11,0))/(VLOOKUP(C66,技能CD配置辅助表!$C$3:$H$14,6,0)-1)*(I66-IF(I66=0,0,1))</f>
        <v>10480</v>
      </c>
      <c r="H66">
        <f ca="1">M66*'[1]0、经济设定'!$C$18*IF(E66&lt;J66,1,1)</f>
        <v>8950</v>
      </c>
      <c r="I66">
        <f t="shared" si="5"/>
        <v>10</v>
      </c>
      <c r="J66">
        <f>VLOOKUP(C66,技能CD配置辅助表!$C$3:$L$14,10,0)</f>
        <v>20</v>
      </c>
      <c r="K66">
        <f t="shared" ca="1" si="3"/>
        <v>30</v>
      </c>
      <c r="L66" s="45">
        <f t="shared" ca="1" si="7"/>
        <v>34</v>
      </c>
      <c r="M66">
        <f t="shared" ca="1" si="4"/>
        <v>179</v>
      </c>
      <c r="N66">
        <f>VLOOKUP(C66,技能CD配置辅助表!$C$3:$H$14,6,0)</f>
        <v>26</v>
      </c>
      <c r="O66">
        <f>VLOOKUP(C66,技能CD配置辅助表!$C$3:$M$14,5,0)</f>
        <v>3</v>
      </c>
      <c r="P66">
        <f ca="1">IFERROR(VLOOKUP(A66+I66-10000003,D_技能表!A:AD,30,0)*(VLOOKUP(C66,技能CD配置辅助表!$C$3:$J$14,8,0)-G66)/VLOOKUP(C66,技能CD配置辅助表!$C$3:$J$14,8,0),0)*IF(VLOOKUP(C66,技能CD配置辅助表!$C$3:$F$14,4,0)=1,1,4)</f>
        <v>6.1438882976638789</v>
      </c>
      <c r="R66">
        <f t="shared" si="8"/>
        <v>0.6</v>
      </c>
    </row>
    <row r="67" spans="1:18" x14ac:dyDescent="0.15">
      <c r="A67">
        <f ca="1">VLOOKUP(B67,技能CD配置辅助表!$C$3:$K$14,9,0)+I67</f>
        <v>19113111</v>
      </c>
      <c r="B67" t="str">
        <f t="shared" ref="B67:B130" si="9">C67</f>
        <v>光刃·斩</v>
      </c>
      <c r="C67" t="s">
        <v>87</v>
      </c>
      <c r="D67">
        <f>VLOOKUP(C67,技能CD配置辅助表!$C$3:$E$14,3,0)</f>
        <v>1</v>
      </c>
      <c r="E67">
        <f>IF(I67=0,1,IF(I67&lt;3,VLOOKUP(C67,技能CD配置辅助表!$C$3:$I$14,7,0)+(I67-1)*2,VLOOKUP(C67,技能CD配置辅助表!$C$3:$I$14,7,0)+(I67-1)*3-1))</f>
        <v>34</v>
      </c>
      <c r="F67" t="str">
        <f t="shared" ref="F67:F130" si="10">"第"&amp;I67&amp;"级，技能冷却时间"&amp;G67/1000&amp;"秒"</f>
        <v>第11级，技能冷却时间10.2秒</v>
      </c>
      <c r="G67">
        <f>VLOOKUP(C67,技能CD配置辅助表!$C$3:$J$14,8,0)-(VLOOKUP(C67,技能CD配置辅助表!$C$3:$J$14,8,0)-VLOOKUP(C67,技能CD配置辅助表!$C$2:$M$14,11,0))/(VLOOKUP(C67,技能CD配置辅助表!$C$3:$H$14,6,0)-1)*(I67-IF(I67=0,0,1))</f>
        <v>10200</v>
      </c>
      <c r="H67">
        <f ca="1">M67*'[1]0、经济设定'!$C$18*IF(E67&lt;J67,1,1)</f>
        <v>10900</v>
      </c>
      <c r="I67">
        <f t="shared" ref="I67:I130" si="11">IF(B67=B66,I66+1,0)</f>
        <v>11</v>
      </c>
      <c r="J67">
        <f>VLOOKUP(C67,技能CD配置辅助表!$C$3:$L$14,10,0)</f>
        <v>20</v>
      </c>
      <c r="K67">
        <f t="shared" ref="K67:K130" ca="1" si="12">IF(E67&lt;J67,0,ROUNDUP(L67/$T$4*R67,0))</f>
        <v>39</v>
      </c>
      <c r="L67" s="45">
        <f t="shared" ca="1" si="7"/>
        <v>39</v>
      </c>
      <c r="M67">
        <f t="shared" ref="M67:M130" ca="1" si="13">IF(I67=0,0,L67+M66)</f>
        <v>218</v>
      </c>
      <c r="N67">
        <f>VLOOKUP(C67,技能CD配置辅助表!$C$3:$H$14,6,0)</f>
        <v>26</v>
      </c>
      <c r="O67">
        <f>VLOOKUP(C67,技能CD配置辅助表!$C$3:$M$14,5,0)</f>
        <v>3</v>
      </c>
      <c r="P67">
        <f ca="1">IFERROR(VLOOKUP(A67+I67-10000003,D_技能表!A:AD,30,0)*(VLOOKUP(C67,技能CD配置辅助表!$C$3:$J$14,8,0)-G67)/VLOOKUP(C67,技能CD配置辅助表!$C$3:$J$14,8,0),0)*IF(VLOOKUP(C67,技能CD配置辅助表!$C$3:$F$14,4,0)=1,1,4)</f>
        <v>9.0998465494565846</v>
      </c>
      <c r="R67">
        <f t="shared" si="8"/>
        <v>0.7</v>
      </c>
    </row>
    <row r="68" spans="1:18" x14ac:dyDescent="0.15">
      <c r="A68">
        <f ca="1">VLOOKUP(B68,技能CD配置辅助表!$C$3:$K$14,9,0)+I68</f>
        <v>19113112</v>
      </c>
      <c r="B68" t="str">
        <f t="shared" si="9"/>
        <v>光刃·斩</v>
      </c>
      <c r="C68" t="s">
        <v>87</v>
      </c>
      <c r="D68">
        <f>VLOOKUP(C68,技能CD配置辅助表!$C$3:$E$14,3,0)</f>
        <v>1</v>
      </c>
      <c r="E68">
        <f>IF(I68=0,1,IF(I68&lt;3,VLOOKUP(C68,技能CD配置辅助表!$C$3:$I$14,7,0)+(I68-1)*2,VLOOKUP(C68,技能CD配置辅助表!$C$3:$I$14,7,0)+(I68-1)*3-1))</f>
        <v>37</v>
      </c>
      <c r="F68" t="str">
        <f t="shared" si="10"/>
        <v>第12级，技能冷却时间9.92秒</v>
      </c>
      <c r="G68">
        <f>VLOOKUP(C68,技能CD配置辅助表!$C$3:$J$14,8,0)-(VLOOKUP(C68,技能CD配置辅助表!$C$3:$J$14,8,0)-VLOOKUP(C68,技能CD配置辅助表!$C$2:$M$14,11,0))/(VLOOKUP(C68,技能CD配置辅助表!$C$3:$H$14,6,0)-1)*(I68-IF(I68=0,0,1))</f>
        <v>9920</v>
      </c>
      <c r="H68">
        <f ca="1">M68*'[1]0、经济设定'!$C$18*IF(E68&lt;J68,1,1)</f>
        <v>13150</v>
      </c>
      <c r="I68">
        <f t="shared" si="11"/>
        <v>12</v>
      </c>
      <c r="J68">
        <f>VLOOKUP(C68,技能CD配置辅助表!$C$3:$L$14,10,0)</f>
        <v>20</v>
      </c>
      <c r="K68">
        <f t="shared" ca="1" si="12"/>
        <v>52</v>
      </c>
      <c r="L68" s="45">
        <f t="shared" ca="1" si="7"/>
        <v>45</v>
      </c>
      <c r="M68">
        <f t="shared" ca="1" si="13"/>
        <v>263</v>
      </c>
      <c r="N68">
        <f>VLOOKUP(C68,技能CD配置辅助表!$C$3:$H$14,6,0)</f>
        <v>26</v>
      </c>
      <c r="O68">
        <f>VLOOKUP(C68,技能CD配置辅助表!$C$3:$M$14,5,0)</f>
        <v>3</v>
      </c>
      <c r="P68">
        <f ca="1">IFERROR(VLOOKUP(A68+I68-10000003,D_技能表!A:AD,30,0)*(VLOOKUP(C68,技能CD配置辅助表!$C$3:$J$14,8,0)-G68)/VLOOKUP(C68,技能CD配置辅助表!$C$3:$J$14,8,0),0)*IF(VLOOKUP(C68,技能CD配置辅助表!$C$3:$F$14,4,0)=1,1,4)</f>
        <v>13.332999776995067</v>
      </c>
      <c r="R68">
        <f t="shared" si="8"/>
        <v>0.8</v>
      </c>
    </row>
    <row r="69" spans="1:18" x14ac:dyDescent="0.15">
      <c r="A69">
        <f ca="1">VLOOKUP(B69,技能CD配置辅助表!$C$3:$K$14,9,0)+I69</f>
        <v>19113113</v>
      </c>
      <c r="B69" t="str">
        <f t="shared" si="9"/>
        <v>光刃·斩</v>
      </c>
      <c r="C69" t="s">
        <v>87</v>
      </c>
      <c r="D69">
        <f>VLOOKUP(C69,技能CD配置辅助表!$C$3:$E$14,3,0)</f>
        <v>1</v>
      </c>
      <c r="E69">
        <f>IF(I69=0,1,IF(I69&lt;3,VLOOKUP(C69,技能CD配置辅助表!$C$3:$I$14,7,0)+(I69-1)*2,VLOOKUP(C69,技能CD配置辅助表!$C$3:$I$14,7,0)+(I69-1)*3-1))</f>
        <v>40</v>
      </c>
      <c r="F69" t="str">
        <f t="shared" si="10"/>
        <v>第13级，技能冷却时间9.64秒</v>
      </c>
      <c r="G69">
        <f>VLOOKUP(C69,技能CD配置辅助表!$C$3:$J$14,8,0)-(VLOOKUP(C69,技能CD配置辅助表!$C$3:$J$14,8,0)-VLOOKUP(C69,技能CD配置辅助表!$C$2:$M$14,11,0))/(VLOOKUP(C69,技能CD配置辅助表!$C$3:$H$14,6,0)-1)*(I69-IF(I69=0,0,1))</f>
        <v>9640</v>
      </c>
      <c r="H69">
        <f ca="1">M69*'[1]0、经济设定'!$C$18*IF(E69&lt;J69,1,1)</f>
        <v>15750</v>
      </c>
      <c r="I69">
        <f t="shared" si="11"/>
        <v>13</v>
      </c>
      <c r="J69">
        <f>VLOOKUP(C69,技能CD配置辅助表!$C$3:$L$14,10,0)</f>
        <v>20</v>
      </c>
      <c r="K69">
        <f t="shared" ca="1" si="12"/>
        <v>67</v>
      </c>
      <c r="L69" s="45">
        <f t="shared" ca="1" si="7"/>
        <v>52</v>
      </c>
      <c r="M69">
        <f t="shared" ca="1" si="13"/>
        <v>315</v>
      </c>
      <c r="N69">
        <f>VLOOKUP(C69,技能CD配置辅助表!$C$3:$H$14,6,0)</f>
        <v>26</v>
      </c>
      <c r="O69">
        <f>VLOOKUP(C69,技能CD配置辅助表!$C$3:$M$14,5,0)</f>
        <v>3</v>
      </c>
      <c r="P69">
        <f ca="1">IFERROR(VLOOKUP(A69+I69-10000003,D_技能表!A:AD,30,0)*(VLOOKUP(C69,技能CD配置辅助表!$C$3:$J$14,8,0)-G69)/VLOOKUP(C69,技能CD配置辅助表!$C$3:$J$14,8,0),0)*IF(VLOOKUP(C69,技能CD配置辅助表!$C$3:$F$14,4,0)=1,1,4)</f>
        <v>19.359896920720054</v>
      </c>
      <c r="R69">
        <f t="shared" si="8"/>
        <v>0.9</v>
      </c>
    </row>
    <row r="70" spans="1:18" x14ac:dyDescent="0.15">
      <c r="A70">
        <f ca="1">VLOOKUP(B70,技能CD配置辅助表!$C$3:$K$14,9,0)+I70</f>
        <v>19113114</v>
      </c>
      <c r="B70" t="str">
        <f t="shared" si="9"/>
        <v>光刃·斩</v>
      </c>
      <c r="C70" t="s">
        <v>87</v>
      </c>
      <c r="D70">
        <f>VLOOKUP(C70,技能CD配置辅助表!$C$3:$E$14,3,0)</f>
        <v>1</v>
      </c>
      <c r="E70">
        <f>IF(I70=0,1,IF(I70&lt;3,VLOOKUP(C70,技能CD配置辅助表!$C$3:$I$14,7,0)+(I70-1)*2,VLOOKUP(C70,技能CD配置辅助表!$C$3:$I$14,7,0)+(I70-1)*3-1))</f>
        <v>43</v>
      </c>
      <c r="F70" t="str">
        <f t="shared" si="10"/>
        <v>第14级，技能冷却时间9.36秒</v>
      </c>
      <c r="G70">
        <f>VLOOKUP(C70,技能CD配置辅助表!$C$3:$J$14,8,0)-(VLOOKUP(C70,技能CD配置辅助表!$C$3:$J$14,8,0)-VLOOKUP(C70,技能CD配置辅助表!$C$2:$M$14,11,0))/(VLOOKUP(C70,技能CD配置辅助表!$C$3:$H$14,6,0)-1)*(I70-IF(I70=0,0,1))</f>
        <v>9360</v>
      </c>
      <c r="H70">
        <f ca="1">M70*'[1]0、经济设定'!$C$18*IF(E70&lt;J70,1,1)</f>
        <v>18800</v>
      </c>
      <c r="I70">
        <f t="shared" si="11"/>
        <v>14</v>
      </c>
      <c r="J70">
        <f>VLOOKUP(C70,技能CD配置辅助表!$C$3:$L$14,10,0)</f>
        <v>20</v>
      </c>
      <c r="K70">
        <f t="shared" ca="1" si="12"/>
        <v>88</v>
      </c>
      <c r="L70" s="45">
        <f t="shared" ca="1" si="7"/>
        <v>61</v>
      </c>
      <c r="M70">
        <f t="shared" ca="1" si="13"/>
        <v>376</v>
      </c>
      <c r="N70">
        <f>VLOOKUP(C70,技能CD配置辅助表!$C$3:$H$14,6,0)</f>
        <v>26</v>
      </c>
      <c r="O70">
        <f>VLOOKUP(C70,技能CD配置辅助表!$C$3:$M$14,5,0)</f>
        <v>3</v>
      </c>
      <c r="P70">
        <f ca="1">IFERROR(VLOOKUP(A70+I70-10000003,D_技能表!A:AD,30,0)*(VLOOKUP(C70,技能CD配置辅助表!$C$3:$J$14,8,0)-G70)/VLOOKUP(C70,技能CD配置辅助表!$C$3:$J$14,8,0),0)*IF(VLOOKUP(C70,技能CD配置辅助表!$C$3:$F$14,4,0)=1,1,4)</f>
        <v>27.896743895293703</v>
      </c>
      <c r="R70">
        <f t="shared" si="8"/>
        <v>1</v>
      </c>
    </row>
    <row r="71" spans="1:18" x14ac:dyDescent="0.15">
      <c r="A71">
        <f ca="1">VLOOKUP(B71,技能CD配置辅助表!$C$3:$K$14,9,0)+I71</f>
        <v>19113115</v>
      </c>
      <c r="B71" t="str">
        <f t="shared" si="9"/>
        <v>光刃·斩</v>
      </c>
      <c r="C71" t="s">
        <v>87</v>
      </c>
      <c r="D71">
        <f>VLOOKUP(C71,技能CD配置辅助表!$C$3:$E$14,3,0)</f>
        <v>1</v>
      </c>
      <c r="E71">
        <f>IF(I71=0,1,IF(I71&lt;3,VLOOKUP(C71,技能CD配置辅助表!$C$3:$I$14,7,0)+(I71-1)*2,VLOOKUP(C71,技能CD配置辅助表!$C$3:$I$14,7,0)+(I71-1)*3-1))</f>
        <v>46</v>
      </c>
      <c r="F71" t="str">
        <f t="shared" si="10"/>
        <v>第15级，技能冷却时间9.08秒</v>
      </c>
      <c r="G71">
        <f>VLOOKUP(C71,技能CD配置辅助表!$C$3:$J$14,8,0)-(VLOOKUP(C71,技能CD配置辅助表!$C$3:$J$14,8,0)-VLOOKUP(C71,技能CD配置辅助表!$C$2:$M$14,11,0))/(VLOOKUP(C71,技能CD配置辅助表!$C$3:$H$14,6,0)-1)*(I71-IF(I71=0,0,1))</f>
        <v>9080</v>
      </c>
      <c r="H71">
        <f ca="1">M71*'[1]0、经济设定'!$C$18*IF(E71&lt;J71,1,1)</f>
        <v>22300</v>
      </c>
      <c r="I71">
        <f t="shared" si="11"/>
        <v>15</v>
      </c>
      <c r="J71">
        <f>VLOOKUP(C71,技能CD配置辅助表!$C$3:$L$14,10,0)</f>
        <v>20</v>
      </c>
      <c r="K71">
        <f t="shared" ca="1" si="12"/>
        <v>105</v>
      </c>
      <c r="L71" s="45">
        <f t="shared" ca="1" si="7"/>
        <v>70</v>
      </c>
      <c r="M71">
        <f t="shared" ca="1" si="13"/>
        <v>446</v>
      </c>
      <c r="N71">
        <f>VLOOKUP(C71,技能CD配置辅助表!$C$3:$H$14,6,0)</f>
        <v>26</v>
      </c>
      <c r="O71">
        <f>VLOOKUP(C71,技能CD配置辅助表!$C$3:$M$14,5,0)</f>
        <v>3</v>
      </c>
      <c r="P71">
        <f ca="1">IFERROR(VLOOKUP(A71+I71-10000003,D_技能表!A:AD,30,0)*(VLOOKUP(C71,技能CD配置辅助表!$C$3:$J$14,8,0)-G71)/VLOOKUP(C71,技能CD配置辅助表!$C$3:$J$14,8,0),0)*IF(VLOOKUP(C71,技能CD配置辅助表!$C$3:$F$14,4,0)=1,1,4)</f>
        <v>39.934050951433825</v>
      </c>
      <c r="R71">
        <f t="shared" si="8"/>
        <v>1.05</v>
      </c>
    </row>
    <row r="72" spans="1:18" x14ac:dyDescent="0.15">
      <c r="A72">
        <f ca="1">VLOOKUP(B72,技能CD配置辅助表!$C$3:$K$14,9,0)+I72</f>
        <v>19113116</v>
      </c>
      <c r="B72" t="str">
        <f t="shared" si="9"/>
        <v>光刃·斩</v>
      </c>
      <c r="C72" t="s">
        <v>87</v>
      </c>
      <c r="D72">
        <f>VLOOKUP(C72,技能CD配置辅助表!$C$3:$E$14,3,0)</f>
        <v>1</v>
      </c>
      <c r="E72">
        <f>IF(I72=0,1,IF(I72&lt;3,VLOOKUP(C72,技能CD配置辅助表!$C$3:$I$14,7,0)+(I72-1)*2,VLOOKUP(C72,技能CD配置辅助表!$C$3:$I$14,7,0)+(I72-1)*3-1))</f>
        <v>49</v>
      </c>
      <c r="F72" t="str">
        <f t="shared" si="10"/>
        <v>第16级，技能冷却时间8.8秒</v>
      </c>
      <c r="G72">
        <f>VLOOKUP(C72,技能CD配置辅助表!$C$3:$J$14,8,0)-(VLOOKUP(C72,技能CD配置辅助表!$C$3:$J$14,8,0)-VLOOKUP(C72,技能CD配置辅助表!$C$2:$M$14,11,0))/(VLOOKUP(C72,技能CD配置辅助表!$C$3:$H$14,6,0)-1)*(I72-IF(I72=0,0,1))</f>
        <v>8800</v>
      </c>
      <c r="H72">
        <f ca="1">M72*'[1]0、经济设定'!$C$18*IF(E72&lt;J72,1,1)</f>
        <v>26400</v>
      </c>
      <c r="I72">
        <f t="shared" si="11"/>
        <v>16</v>
      </c>
      <c r="J72">
        <f>VLOOKUP(C72,技能CD配置辅助表!$C$3:$L$14,10,0)</f>
        <v>20</v>
      </c>
      <c r="K72">
        <f t="shared" ca="1" si="12"/>
        <v>129</v>
      </c>
      <c r="L72" s="45">
        <f t="shared" ca="1" si="7"/>
        <v>82</v>
      </c>
      <c r="M72">
        <f t="shared" ca="1" si="13"/>
        <v>528</v>
      </c>
      <c r="N72">
        <f>VLOOKUP(C72,技能CD配置辅助表!$C$3:$H$14,6,0)</f>
        <v>26</v>
      </c>
      <c r="O72">
        <f>VLOOKUP(C72,技能CD配置辅助表!$C$3:$M$14,5,0)</f>
        <v>3</v>
      </c>
      <c r="P72">
        <f ca="1">IFERROR(VLOOKUP(A72+I72-10000003,D_技能表!A:AD,30,0)*(VLOOKUP(C72,技能CD配置辅助表!$C$3:$J$14,8,0)-G72)/VLOOKUP(C72,技能CD配置辅助表!$C$3:$J$14,8,0),0)*IF(VLOOKUP(C72,技能CD配置辅助表!$C$3:$F$14,4,0)=1,1,4)</f>
        <v>56.838484589086391</v>
      </c>
      <c r="R72">
        <f t="shared" si="8"/>
        <v>1.1000000000000001</v>
      </c>
    </row>
    <row r="73" spans="1:18" x14ac:dyDescent="0.15">
      <c r="A73">
        <f ca="1">VLOOKUP(B73,技能CD配置辅助表!$C$3:$K$14,9,0)+I73</f>
        <v>19113117</v>
      </c>
      <c r="B73" t="str">
        <f t="shared" si="9"/>
        <v>光刃·斩</v>
      </c>
      <c r="C73" t="s">
        <v>87</v>
      </c>
      <c r="D73">
        <f>VLOOKUP(C73,技能CD配置辅助表!$C$3:$E$14,3,0)</f>
        <v>1</v>
      </c>
      <c r="E73">
        <f>IF(I73=0,1,IF(I73&lt;3,VLOOKUP(C73,技能CD配置辅助表!$C$3:$I$14,7,0)+(I73-1)*2,VLOOKUP(C73,技能CD配置辅助表!$C$3:$I$14,7,0)+(I73-1)*3-1))</f>
        <v>52</v>
      </c>
      <c r="F73" t="str">
        <f t="shared" si="10"/>
        <v>第17级，技能冷却时间8.52秒</v>
      </c>
      <c r="G73">
        <f>VLOOKUP(C73,技能CD配置辅助表!$C$3:$J$14,8,0)-(VLOOKUP(C73,技能CD配置辅助表!$C$3:$J$14,8,0)-VLOOKUP(C73,技能CD配置辅助表!$C$2:$M$14,11,0))/(VLOOKUP(C73,技能CD配置辅助表!$C$3:$H$14,6,0)-1)*(I73-IF(I73=0,0,1))</f>
        <v>8520</v>
      </c>
      <c r="H73">
        <f ca="1">M73*'[1]0、经济设定'!$C$18*IF(E73&lt;J73,1,1)</f>
        <v>31150</v>
      </c>
      <c r="I73">
        <f t="shared" si="11"/>
        <v>17</v>
      </c>
      <c r="J73">
        <f>VLOOKUP(C73,技能CD配置辅助表!$C$3:$L$14,10,0)</f>
        <v>20</v>
      </c>
      <c r="K73">
        <f t="shared" ca="1" si="12"/>
        <v>157</v>
      </c>
      <c r="L73" s="45">
        <f t="shared" ca="1" si="7"/>
        <v>95</v>
      </c>
      <c r="M73">
        <f t="shared" ca="1" si="13"/>
        <v>623</v>
      </c>
      <c r="N73">
        <f>VLOOKUP(C73,技能CD配置辅助表!$C$3:$H$14,6,0)</f>
        <v>26</v>
      </c>
      <c r="O73">
        <f>VLOOKUP(C73,技能CD配置辅助表!$C$3:$M$14,5,0)</f>
        <v>3</v>
      </c>
      <c r="P73">
        <f ca="1">IFERROR(VLOOKUP(A73+I73-10000003,D_技能表!A:AD,30,0)*(VLOOKUP(C73,技能CD配置辅助表!$C$3:$J$14,8,0)-G73)/VLOOKUP(C73,技能CD配置辅助表!$C$3:$J$14,8,0),0)*IF(VLOOKUP(C73,技能CD配置辅助表!$C$3:$F$14,4,0)=1,1,4)</f>
        <v>80.491638954927666</v>
      </c>
      <c r="R73">
        <f t="shared" si="8"/>
        <v>1.1499999999999999</v>
      </c>
    </row>
    <row r="74" spans="1:18" x14ac:dyDescent="0.15">
      <c r="A74">
        <f ca="1">VLOOKUP(B74,技能CD配置辅助表!$C$3:$K$14,9,0)+I74</f>
        <v>19113118</v>
      </c>
      <c r="B74" t="str">
        <f t="shared" si="9"/>
        <v>光刃·斩</v>
      </c>
      <c r="C74" t="s">
        <v>87</v>
      </c>
      <c r="D74">
        <f>VLOOKUP(C74,技能CD配置辅助表!$C$3:$E$14,3,0)</f>
        <v>1</v>
      </c>
      <c r="E74">
        <f>IF(I74=0,1,IF(I74&lt;3,VLOOKUP(C74,技能CD配置辅助表!$C$3:$I$14,7,0)+(I74-1)*2,VLOOKUP(C74,技能CD配置辅助表!$C$3:$I$14,7,0)+(I74-1)*3-1))</f>
        <v>55</v>
      </c>
      <c r="F74" t="str">
        <f t="shared" si="10"/>
        <v>第18级，技能冷却时间8.24秒</v>
      </c>
      <c r="G74">
        <f>VLOOKUP(C74,技能CD配置辅助表!$C$3:$J$14,8,0)-(VLOOKUP(C74,技能CD配置辅助表!$C$3:$J$14,8,0)-VLOOKUP(C74,技能CD配置辅助表!$C$2:$M$14,11,0))/(VLOOKUP(C74,技能CD配置辅助表!$C$3:$H$14,6,0)-1)*(I74-IF(I74=0,0,1))</f>
        <v>8240</v>
      </c>
      <c r="H74">
        <f ca="1">M74*'[1]0、经济设定'!$C$18*IF(E74&lt;J74,1,1)</f>
        <v>36650</v>
      </c>
      <c r="I74">
        <f t="shared" si="11"/>
        <v>18</v>
      </c>
      <c r="J74">
        <f>VLOOKUP(C74,技能CD配置辅助表!$C$3:$L$14,10,0)</f>
        <v>20</v>
      </c>
      <c r="K74">
        <f t="shared" ca="1" si="12"/>
        <v>189</v>
      </c>
      <c r="L74" s="45">
        <f t="shared" ca="1" si="7"/>
        <v>110</v>
      </c>
      <c r="M74">
        <f t="shared" ca="1" si="13"/>
        <v>733</v>
      </c>
      <c r="N74">
        <f>VLOOKUP(C74,技能CD配置辅助表!$C$3:$H$14,6,0)</f>
        <v>26</v>
      </c>
      <c r="O74">
        <f>VLOOKUP(C74,技能CD配置辅助表!$C$3:$M$14,5,0)</f>
        <v>3</v>
      </c>
      <c r="P74">
        <f ca="1">IFERROR(VLOOKUP(A74+I74-10000003,D_技能表!A:AD,30,0)*(VLOOKUP(C74,技能CD配置辅助表!$C$3:$J$14,8,0)-G74)/VLOOKUP(C74,技能CD配置辅助表!$C$3:$J$14,8,0),0)*IF(VLOOKUP(C74,技能CD配置辅助表!$C$3:$F$14,4,0)=1,1,4)</f>
        <v>113.47885385371947</v>
      </c>
      <c r="R74">
        <f t="shared" si="8"/>
        <v>1.2</v>
      </c>
    </row>
    <row r="75" spans="1:18" x14ac:dyDescent="0.15">
      <c r="A75">
        <f ca="1">VLOOKUP(B75,技能CD配置辅助表!$C$3:$K$14,9,0)+I75</f>
        <v>19113119</v>
      </c>
      <c r="B75" t="str">
        <f t="shared" si="9"/>
        <v>光刃·斩</v>
      </c>
      <c r="C75" t="s">
        <v>87</v>
      </c>
      <c r="D75">
        <f>VLOOKUP(C75,技能CD配置辅助表!$C$3:$E$14,3,0)</f>
        <v>1</v>
      </c>
      <c r="E75">
        <f>IF(I75=0,1,IF(I75&lt;3,VLOOKUP(C75,技能CD配置辅助表!$C$3:$I$14,7,0)+(I75-1)*2,VLOOKUP(C75,技能CD配置辅助表!$C$3:$I$14,7,0)+(I75-1)*3-1))</f>
        <v>58</v>
      </c>
      <c r="F75" t="str">
        <f t="shared" si="10"/>
        <v>第19级，技能冷却时间7.96秒</v>
      </c>
      <c r="G75">
        <f>VLOOKUP(C75,技能CD配置辅助表!$C$3:$J$14,8,0)-(VLOOKUP(C75,技能CD配置辅助表!$C$3:$J$14,8,0)-VLOOKUP(C75,技能CD配置辅助表!$C$2:$M$14,11,0))/(VLOOKUP(C75,技能CD配置辅助表!$C$3:$H$14,6,0)-1)*(I75-IF(I75=0,0,1))</f>
        <v>7960</v>
      </c>
      <c r="H75">
        <f ca="1">M75*'[1]0、经济设定'!$C$18*IF(E75&lt;J75,1,1)</f>
        <v>43000</v>
      </c>
      <c r="I75">
        <f t="shared" si="11"/>
        <v>19</v>
      </c>
      <c r="J75">
        <f>VLOOKUP(C75,技能CD配置辅助表!$C$3:$L$14,10,0)</f>
        <v>20</v>
      </c>
      <c r="K75">
        <f t="shared" ca="1" si="12"/>
        <v>227</v>
      </c>
      <c r="L75" s="45">
        <f t="shared" ca="1" si="7"/>
        <v>127</v>
      </c>
      <c r="M75">
        <f t="shared" ca="1" si="13"/>
        <v>860</v>
      </c>
      <c r="N75">
        <f>VLOOKUP(C75,技能CD配置辅助表!$C$3:$H$14,6,0)</f>
        <v>26</v>
      </c>
      <c r="O75">
        <f>VLOOKUP(C75,技能CD配置辅助表!$C$3:$M$14,5,0)</f>
        <v>3</v>
      </c>
      <c r="P75">
        <f ca="1">IFERROR(VLOOKUP(A75+I75-10000003,D_技能表!A:AD,30,0)*(VLOOKUP(C75,技能CD配置辅助表!$C$3:$J$14,8,0)-G75)/VLOOKUP(C75,技能CD配置辅助表!$C$3:$J$14,8,0),0)*IF(VLOOKUP(C75,技能CD配置辅助表!$C$3:$F$14,4,0)=1,1,4)</f>
        <v>159.34580073156604</v>
      </c>
      <c r="R75">
        <f t="shared" si="8"/>
        <v>1.25</v>
      </c>
    </row>
    <row r="76" spans="1:18" x14ac:dyDescent="0.15">
      <c r="A76">
        <f ca="1">VLOOKUP(B76,技能CD配置辅助表!$C$3:$K$14,9,0)+I76</f>
        <v>19113120</v>
      </c>
      <c r="B76" t="str">
        <f t="shared" si="9"/>
        <v>光刃·斩</v>
      </c>
      <c r="C76" t="s">
        <v>87</v>
      </c>
      <c r="D76">
        <f>VLOOKUP(C76,技能CD配置辅助表!$C$3:$E$14,3,0)</f>
        <v>1</v>
      </c>
      <c r="E76">
        <f>IF(I76=0,1,IF(I76&lt;3,VLOOKUP(C76,技能CD配置辅助表!$C$3:$I$14,7,0)+(I76-1)*2,VLOOKUP(C76,技能CD配置辅助表!$C$3:$I$14,7,0)+(I76-1)*3-1))</f>
        <v>61</v>
      </c>
      <c r="F76" t="str">
        <f t="shared" si="10"/>
        <v>第20级，技能冷却时间7.68秒</v>
      </c>
      <c r="G76">
        <f>VLOOKUP(C76,技能CD配置辅助表!$C$3:$J$14,8,0)-(VLOOKUP(C76,技能CD配置辅助表!$C$3:$J$14,8,0)-VLOOKUP(C76,技能CD配置辅助表!$C$2:$M$14,11,0))/(VLOOKUP(C76,技能CD配置辅助表!$C$3:$H$14,6,0)-1)*(I76-IF(I76=0,0,1))</f>
        <v>7680</v>
      </c>
      <c r="H76">
        <f ca="1">M76*'[1]0、经济设定'!$C$18*IF(E76&lt;J76,1,1)</f>
        <v>50350</v>
      </c>
      <c r="I76">
        <f t="shared" si="11"/>
        <v>20</v>
      </c>
      <c r="J76">
        <f>VLOOKUP(C76,技能CD配置辅助表!$C$3:$L$14,10,0)</f>
        <v>20</v>
      </c>
      <c r="K76">
        <f t="shared" ca="1" si="12"/>
        <v>273</v>
      </c>
      <c r="L76" s="45">
        <f t="shared" ca="1" si="7"/>
        <v>147</v>
      </c>
      <c r="M76">
        <f t="shared" ca="1" si="13"/>
        <v>1007</v>
      </c>
      <c r="N76">
        <f>VLOOKUP(C76,技能CD配置辅助表!$C$3:$H$14,6,0)</f>
        <v>26</v>
      </c>
      <c r="O76">
        <f>VLOOKUP(C76,技能CD配置辅助表!$C$3:$M$14,5,0)</f>
        <v>3</v>
      </c>
      <c r="P76">
        <f ca="1">IFERROR(VLOOKUP(A76+I76-10000003,D_技能表!A:AD,30,0)*(VLOOKUP(C76,技能CD配置辅助表!$C$3:$J$14,8,0)-G76)/VLOOKUP(C76,技能CD配置辅助表!$C$3:$J$14,8,0),0)*IF(VLOOKUP(C76,技能CD配置辅助表!$C$3:$F$14,4,0)=1,1,4)</f>
        <v>222.94673896133247</v>
      </c>
      <c r="R76">
        <f t="shared" si="8"/>
        <v>1.3</v>
      </c>
    </row>
    <row r="77" spans="1:18" x14ac:dyDescent="0.15">
      <c r="A77">
        <f ca="1">VLOOKUP(B77,技能CD配置辅助表!$C$3:$K$14,9,0)+I77</f>
        <v>19113121</v>
      </c>
      <c r="B77" t="str">
        <f t="shared" si="9"/>
        <v>光刃·斩</v>
      </c>
      <c r="C77" t="s">
        <v>87</v>
      </c>
      <c r="D77">
        <f>VLOOKUP(C77,技能CD配置辅助表!$C$3:$E$14,3,0)</f>
        <v>1</v>
      </c>
      <c r="E77">
        <f>IF(I77=0,1,IF(I77&lt;3,VLOOKUP(C77,技能CD配置辅助表!$C$3:$I$14,7,0)+(I77-1)*2,VLOOKUP(C77,技能CD配置辅助表!$C$3:$I$14,7,0)+(I77-1)*3-1))</f>
        <v>64</v>
      </c>
      <c r="F77" t="str">
        <f t="shared" si="10"/>
        <v>第21级，技能冷却时间7.4秒</v>
      </c>
      <c r="G77">
        <f>VLOOKUP(C77,技能CD配置辅助表!$C$3:$J$14,8,0)-(VLOOKUP(C77,技能CD配置辅助表!$C$3:$J$14,8,0)-VLOOKUP(C77,技能CD配置辅助表!$C$2:$M$14,11,0))/(VLOOKUP(C77,技能CD配置辅助表!$C$3:$H$14,6,0)-1)*(I77-IF(I77=0,0,1))</f>
        <v>7400</v>
      </c>
      <c r="H77">
        <f ca="1">M77*'[1]0、经济设定'!$C$18*IF(E77&lt;J77,1,1)</f>
        <v>58900</v>
      </c>
      <c r="I77">
        <f t="shared" si="11"/>
        <v>21</v>
      </c>
      <c r="J77">
        <f>VLOOKUP(C77,技能CD配置辅助表!$C$3:$L$14,10,0)</f>
        <v>20</v>
      </c>
      <c r="K77">
        <f t="shared" ca="1" si="12"/>
        <v>330</v>
      </c>
      <c r="L77" s="45">
        <f t="shared" ca="1" si="7"/>
        <v>171</v>
      </c>
      <c r="M77">
        <f t="shared" ca="1" si="13"/>
        <v>1178</v>
      </c>
      <c r="N77">
        <f>VLOOKUP(C77,技能CD配置辅助表!$C$3:$H$14,6,0)</f>
        <v>26</v>
      </c>
      <c r="O77">
        <f>VLOOKUP(C77,技能CD配置辅助表!$C$3:$M$14,5,0)</f>
        <v>3</v>
      </c>
      <c r="P77">
        <f ca="1">IFERROR(VLOOKUP(A77+I77-10000003,D_技能表!A:AD,30,0)*(VLOOKUP(C77,技能CD配置辅助表!$C$3:$J$14,8,0)-G77)/VLOOKUP(C77,技能CD配置辅助表!$C$3:$J$14,8,0),0)*IF(VLOOKUP(C77,技能CD配置辅助表!$C$3:$F$14,4,0)=1,1,4)</f>
        <v>310.9166543721563</v>
      </c>
      <c r="R77">
        <f t="shared" si="8"/>
        <v>1.35</v>
      </c>
    </row>
    <row r="78" spans="1:18" x14ac:dyDescent="0.15">
      <c r="A78">
        <f ca="1">VLOOKUP(B78,技能CD配置辅助表!$C$3:$K$14,9,0)+I78</f>
        <v>19113122</v>
      </c>
      <c r="B78" t="str">
        <f t="shared" si="9"/>
        <v>光刃·斩</v>
      </c>
      <c r="C78" t="s">
        <v>87</v>
      </c>
      <c r="D78">
        <f>VLOOKUP(C78,技能CD配置辅助表!$C$3:$E$14,3,0)</f>
        <v>1</v>
      </c>
      <c r="E78">
        <f>IF(I78=0,1,IF(I78&lt;3,VLOOKUP(C78,技能CD配置辅助表!$C$3:$I$14,7,0)+(I78-1)*2,VLOOKUP(C78,技能CD配置辅助表!$C$3:$I$14,7,0)+(I78-1)*3-1))</f>
        <v>67</v>
      </c>
      <c r="F78" t="str">
        <f t="shared" si="10"/>
        <v>第22级，技能冷却时间7.12秒</v>
      </c>
      <c r="G78">
        <f>VLOOKUP(C78,技能CD配置辅助表!$C$3:$J$14,8,0)-(VLOOKUP(C78,技能CD配置辅助表!$C$3:$J$14,8,0)-VLOOKUP(C78,技能CD配置辅助表!$C$2:$M$14,11,0))/(VLOOKUP(C78,技能CD配置辅助表!$C$3:$H$14,6,0)-1)*(I78-IF(I78=0,0,1))</f>
        <v>7120</v>
      </c>
      <c r="H78">
        <f ca="1">M78*'[1]0、经济设定'!$C$18*IF(E78&lt;J78,1,1)</f>
        <v>68800</v>
      </c>
      <c r="I78">
        <f t="shared" si="11"/>
        <v>22</v>
      </c>
      <c r="J78">
        <f>VLOOKUP(C78,技能CD配置辅助表!$C$3:$L$14,10,0)</f>
        <v>20</v>
      </c>
      <c r="K78">
        <f t="shared" ca="1" si="12"/>
        <v>396</v>
      </c>
      <c r="L78" s="45">
        <f t="shared" ca="1" si="7"/>
        <v>198</v>
      </c>
      <c r="M78">
        <f t="shared" ca="1" si="13"/>
        <v>1376</v>
      </c>
      <c r="N78">
        <f>VLOOKUP(C78,技能CD配置辅助表!$C$3:$H$14,6,0)</f>
        <v>26</v>
      </c>
      <c r="O78">
        <f>VLOOKUP(C78,技能CD配置辅助表!$C$3:$M$14,5,0)</f>
        <v>3</v>
      </c>
      <c r="P78">
        <f ca="1">IFERROR(VLOOKUP(A78+I78-10000003,D_技能表!A:AD,30,0)*(VLOOKUP(C78,技能CD配置辅助表!$C$3:$J$14,8,0)-G78)/VLOOKUP(C78,技能CD配置辅助表!$C$3:$J$14,8,0),0)*IF(VLOOKUP(C78,技能CD配置辅助表!$C$3:$F$14,4,0)=1,1,4)</f>
        <v>432.31065539346372</v>
      </c>
      <c r="R78">
        <f t="shared" si="8"/>
        <v>1.4</v>
      </c>
    </row>
    <row r="79" spans="1:18" x14ac:dyDescent="0.15">
      <c r="A79">
        <f ca="1">VLOOKUP(B79,技能CD配置辅助表!$C$3:$K$14,9,0)+I79</f>
        <v>19113123</v>
      </c>
      <c r="B79" t="str">
        <f t="shared" si="9"/>
        <v>光刃·斩</v>
      </c>
      <c r="C79" t="s">
        <v>87</v>
      </c>
      <c r="D79">
        <f>VLOOKUP(C79,技能CD配置辅助表!$C$3:$E$14,3,0)</f>
        <v>1</v>
      </c>
      <c r="E79">
        <f>IF(I79=0,1,IF(I79&lt;3,VLOOKUP(C79,技能CD配置辅助表!$C$3:$I$14,7,0)+(I79-1)*2,VLOOKUP(C79,技能CD配置辅助表!$C$3:$I$14,7,0)+(I79-1)*3-1))</f>
        <v>70</v>
      </c>
      <c r="F79" t="str">
        <f t="shared" si="10"/>
        <v>第23级，技能冷却时间6.84秒</v>
      </c>
      <c r="G79">
        <f>VLOOKUP(C79,技能CD配置辅助表!$C$3:$J$14,8,0)-(VLOOKUP(C79,技能CD配置辅助表!$C$3:$J$14,8,0)-VLOOKUP(C79,技能CD配置辅助表!$C$2:$M$14,11,0))/(VLOOKUP(C79,技能CD配置辅助表!$C$3:$H$14,6,0)-1)*(I79-IF(I79=0,0,1))</f>
        <v>6840</v>
      </c>
      <c r="H79">
        <f ca="1">M79*'[1]0、经济设定'!$C$18*IF(E79&lt;J79,1,1)</f>
        <v>80300</v>
      </c>
      <c r="I79">
        <f t="shared" si="11"/>
        <v>23</v>
      </c>
      <c r="J79">
        <f>VLOOKUP(C79,技能CD配置辅助表!$C$3:$L$14,10,0)</f>
        <v>20</v>
      </c>
      <c r="K79">
        <f t="shared" ca="1" si="12"/>
        <v>477</v>
      </c>
      <c r="L79" s="45">
        <f t="shared" ca="1" si="7"/>
        <v>230</v>
      </c>
      <c r="M79">
        <f t="shared" ca="1" si="13"/>
        <v>1606</v>
      </c>
      <c r="N79">
        <f>VLOOKUP(C79,技能CD配置辅助表!$C$3:$H$14,6,0)</f>
        <v>26</v>
      </c>
      <c r="O79">
        <f>VLOOKUP(C79,技能CD配置辅助表!$C$3:$M$14,5,0)</f>
        <v>3</v>
      </c>
      <c r="P79">
        <f ca="1">IFERROR(VLOOKUP(A79+I79-10000003,D_技能表!A:AD,30,0)*(VLOOKUP(C79,技能CD配置辅助表!$C$3:$J$14,8,0)-G79)/VLOOKUP(C79,技能CD配置辅助表!$C$3:$J$14,8,0),0)*IF(VLOOKUP(C79,技能CD配置辅助表!$C$3:$F$14,4,0)=1,1,4)</f>
        <v>599.46898935783724</v>
      </c>
      <c r="R79">
        <f t="shared" si="8"/>
        <v>1.45</v>
      </c>
    </row>
    <row r="80" spans="1:18" x14ac:dyDescent="0.15">
      <c r="A80">
        <f ca="1">VLOOKUP(B80,技能CD配置辅助表!$C$3:$K$14,9,0)+I80</f>
        <v>19113124</v>
      </c>
      <c r="B80" t="str">
        <f t="shared" si="9"/>
        <v>光刃·斩</v>
      </c>
      <c r="C80" t="s">
        <v>87</v>
      </c>
      <c r="D80">
        <f>VLOOKUP(C80,技能CD配置辅助表!$C$3:$E$14,3,0)</f>
        <v>1</v>
      </c>
      <c r="E80">
        <f>IF(I80=0,1,IF(I80&lt;3,VLOOKUP(C80,技能CD配置辅助表!$C$3:$I$14,7,0)+(I80-1)*2,VLOOKUP(C80,技能CD配置辅助表!$C$3:$I$14,7,0)+(I80-1)*3-1))</f>
        <v>73</v>
      </c>
      <c r="F80" t="str">
        <f t="shared" si="10"/>
        <v>第24级，技能冷却时间6.56秒</v>
      </c>
      <c r="G80">
        <f>VLOOKUP(C80,技能CD配置辅助表!$C$3:$J$14,8,0)-(VLOOKUP(C80,技能CD配置辅助表!$C$3:$J$14,8,0)-VLOOKUP(C80,技能CD配置辅助表!$C$2:$M$14,11,0))/(VLOOKUP(C80,技能CD配置辅助表!$C$3:$H$14,6,0)-1)*(I80-IF(I80=0,0,1))</f>
        <v>6560</v>
      </c>
      <c r="H80">
        <f ca="1">M80*'[1]0、经济设定'!$C$18*IF(E80&lt;J80,1,1)</f>
        <v>93650</v>
      </c>
      <c r="I80">
        <f t="shared" si="11"/>
        <v>24</v>
      </c>
      <c r="J80">
        <f>VLOOKUP(C80,技能CD配置辅助表!$C$3:$L$14,10,0)</f>
        <v>20</v>
      </c>
      <c r="K80">
        <f t="shared" ca="1" si="12"/>
        <v>573</v>
      </c>
      <c r="L80" s="45">
        <f t="shared" ca="1" si="7"/>
        <v>267</v>
      </c>
      <c r="M80">
        <f t="shared" ca="1" si="13"/>
        <v>1873</v>
      </c>
      <c r="N80">
        <f>VLOOKUP(C80,技能CD配置辅助表!$C$3:$H$14,6,0)</f>
        <v>26</v>
      </c>
      <c r="O80">
        <f>VLOOKUP(C80,技能CD配置辅助表!$C$3:$M$14,5,0)</f>
        <v>3</v>
      </c>
      <c r="P80">
        <f ca="1">IFERROR(VLOOKUP(A80+I80-10000003,D_技能表!A:AD,30,0)*(VLOOKUP(C80,技能CD配置辅助表!$C$3:$J$14,8,0)-G80)/VLOOKUP(C80,技能CD配置辅助表!$C$3:$J$14,8,0),0)*IF(VLOOKUP(C80,技能CD配置辅助表!$C$3:$F$14,4,0)=1,1,4)</f>
        <v>829.18614903980222</v>
      </c>
      <c r="R80">
        <f t="shared" si="8"/>
        <v>1.5</v>
      </c>
    </row>
    <row r="81" spans="1:18" x14ac:dyDescent="0.15">
      <c r="A81">
        <f ca="1">VLOOKUP(B81,技能CD配置辅助表!$C$3:$K$14,9,0)+I81</f>
        <v>19113125</v>
      </c>
      <c r="B81" t="str">
        <f t="shared" si="9"/>
        <v>光刃·斩</v>
      </c>
      <c r="C81" t="s">
        <v>87</v>
      </c>
      <c r="D81">
        <f>VLOOKUP(C81,技能CD配置辅助表!$C$3:$E$14,3,0)</f>
        <v>1</v>
      </c>
      <c r="E81">
        <f>IF(I81=0,1,IF(I81&lt;3,VLOOKUP(C81,技能CD配置辅助表!$C$3:$I$14,7,0)+(I81-1)*2,VLOOKUP(C81,技能CD配置辅助表!$C$3:$I$14,7,0)+(I81-1)*3-1))</f>
        <v>76</v>
      </c>
      <c r="F81" t="str">
        <f t="shared" si="10"/>
        <v>第25级，技能冷却时间6.28秒</v>
      </c>
      <c r="G81">
        <f>VLOOKUP(C81,技能CD配置辅助表!$C$3:$J$14,8,0)-(VLOOKUP(C81,技能CD配置辅助表!$C$3:$J$14,8,0)-VLOOKUP(C81,技能CD配置辅助表!$C$2:$M$14,11,0))/(VLOOKUP(C81,技能CD配置辅助表!$C$3:$H$14,6,0)-1)*(I81-IF(I81=0,0,1))</f>
        <v>6280</v>
      </c>
      <c r="H81">
        <f ca="1">M81*'[1]0、经济设定'!$C$18*IF(E81&lt;J81,1,1)</f>
        <v>109150</v>
      </c>
      <c r="I81">
        <f t="shared" si="11"/>
        <v>25</v>
      </c>
      <c r="J81">
        <f>VLOOKUP(C81,技能CD配置辅助表!$C$3:$L$14,10,0)</f>
        <v>20</v>
      </c>
      <c r="K81">
        <f t="shared" ca="1" si="12"/>
        <v>687</v>
      </c>
      <c r="L81" s="45">
        <f t="shared" ca="1" si="7"/>
        <v>310</v>
      </c>
      <c r="M81">
        <f t="shared" ca="1" si="13"/>
        <v>2183</v>
      </c>
      <c r="N81">
        <f>VLOOKUP(C81,技能CD配置辅助表!$C$3:$H$14,6,0)</f>
        <v>26</v>
      </c>
      <c r="O81">
        <f>VLOOKUP(C81,技能CD配置辅助表!$C$3:$M$14,5,0)</f>
        <v>3</v>
      </c>
      <c r="P81">
        <f ca="1">IFERROR(VLOOKUP(A81+I81-10000003,D_技能表!A:AD,30,0)*(VLOOKUP(C81,技能CD配置辅助表!$C$3:$J$14,8,0)-G81)/VLOOKUP(C81,技能CD配置辅助表!$C$3:$J$14,8,0),0)*IF(VLOOKUP(C81,技能CD配置辅助表!$C$3:$F$14,4,0)=1,1,4)</f>
        <v>1144.2894998623444</v>
      </c>
      <c r="R81">
        <f t="shared" si="8"/>
        <v>1.55</v>
      </c>
    </row>
    <row r="82" spans="1:18" x14ac:dyDescent="0.15">
      <c r="A82">
        <f ca="1">VLOOKUP(B82,技能CD配置辅助表!$C$3:$K$14,9,0)+I82</f>
        <v>19113126</v>
      </c>
      <c r="B82" t="str">
        <f t="shared" si="9"/>
        <v>光刃·斩</v>
      </c>
      <c r="C82" t="s">
        <v>87</v>
      </c>
      <c r="D82">
        <f>VLOOKUP(C82,技能CD配置辅助表!$C$3:$E$14,3,0)</f>
        <v>1</v>
      </c>
      <c r="E82">
        <f>IF(I82=0,1,IF(I82&lt;3,VLOOKUP(C82,技能CD配置辅助表!$C$3:$I$14,7,0)+(I82-1)*2,VLOOKUP(C82,技能CD配置辅助表!$C$3:$I$14,7,0)+(I82-1)*3-1))</f>
        <v>79</v>
      </c>
      <c r="F82" t="str">
        <f t="shared" si="10"/>
        <v>第26级，技能冷却时间6秒</v>
      </c>
      <c r="G82">
        <f>VLOOKUP(C82,技能CD配置辅助表!$C$3:$J$14,8,0)-(VLOOKUP(C82,技能CD配置辅助表!$C$3:$J$14,8,0)-VLOOKUP(C82,技能CD配置辅助表!$C$2:$M$14,11,0))/(VLOOKUP(C82,技能CD配置辅助表!$C$3:$H$14,6,0)-1)*(I82-IF(I82=0,0,1))</f>
        <v>6000</v>
      </c>
      <c r="H82">
        <f ca="1">M82*'[1]0、经济设定'!$C$18*IF(E82&lt;J82,1,1)</f>
        <v>127100</v>
      </c>
      <c r="I82">
        <f t="shared" si="11"/>
        <v>26</v>
      </c>
      <c r="J82">
        <f>VLOOKUP(C82,技能CD配置辅助表!$C$3:$L$14,10,0)</f>
        <v>20</v>
      </c>
      <c r="K82">
        <f t="shared" ca="1" si="12"/>
        <v>821</v>
      </c>
      <c r="L82" s="45">
        <f t="shared" ca="1" si="7"/>
        <v>359</v>
      </c>
      <c r="M82">
        <f t="shared" ca="1" si="13"/>
        <v>2542</v>
      </c>
      <c r="N82">
        <f>VLOOKUP(C82,技能CD配置辅助表!$C$3:$H$14,6,0)</f>
        <v>26</v>
      </c>
      <c r="O82">
        <f>VLOOKUP(C82,技能CD配置辅助表!$C$3:$M$14,5,0)</f>
        <v>3</v>
      </c>
      <c r="P82">
        <f ca="1">IFERROR(VLOOKUP(A82+I82-10000003,D_技能表!A:AD,30,0)*(VLOOKUP(C82,技能CD配置辅助表!$C$3:$J$14,8,0)-G82)/VLOOKUP(C82,技能CD配置辅助表!$C$3:$J$14,8,0),0)*IF(VLOOKUP(C82,技能CD配置辅助表!$C$3:$F$14,4,0)=1,1,4)</f>
        <v>1575.7689850832026</v>
      </c>
      <c r="R82">
        <f t="shared" si="8"/>
        <v>1.6</v>
      </c>
    </row>
    <row r="83" spans="1:18" x14ac:dyDescent="0.15">
      <c r="A83">
        <f ca="1">VLOOKUP(B83,技能CD配置辅助表!$C$3:$K$14,9,0)+I83</f>
        <v>19124100</v>
      </c>
      <c r="B83" t="str">
        <f t="shared" si="9"/>
        <v>裂空·斩</v>
      </c>
      <c r="C83" t="s">
        <v>190</v>
      </c>
      <c r="D83">
        <f>VLOOKUP(C83,技能CD配置辅助表!$C$3:$E$14,3,0)</f>
        <v>1</v>
      </c>
      <c r="E83">
        <f>IF(I83=0,1,IF(I83&lt;3,VLOOKUP(C83,技能CD配置辅助表!$C$3:$I$14,7,0)+(I83-1)*2,VLOOKUP(C83,技能CD配置辅助表!$C$3:$I$14,7,0)+(I83-1)*3-1))</f>
        <v>1</v>
      </c>
      <c r="F83" t="str">
        <f t="shared" si="10"/>
        <v>第0级，技能冷却时间13秒</v>
      </c>
      <c r="G83">
        <f>VLOOKUP(C83,技能CD配置辅助表!$C$3:$J$14,8,0)-(VLOOKUP(C83,技能CD配置辅助表!$C$3:$J$14,8,0)-VLOOKUP(C83,技能CD配置辅助表!$C$2:$M$14,11,0))/(VLOOKUP(C83,技能CD配置辅助表!$C$3:$H$14,6,0)-1)*(I83-IF(I83=0,0,1))</f>
        <v>13000</v>
      </c>
      <c r="H83">
        <f>M83*'[1]0、经济设定'!$C$18*IF(E83&lt;J83,1,1)</f>
        <v>0</v>
      </c>
      <c r="I83">
        <f t="shared" si="11"/>
        <v>0</v>
      </c>
      <c r="J83">
        <f>VLOOKUP(C83,技能CD配置辅助表!$C$3:$L$14,10,0)</f>
        <v>20</v>
      </c>
      <c r="K83">
        <f t="shared" si="12"/>
        <v>0</v>
      </c>
      <c r="L83" s="45">
        <f t="shared" ca="1" si="7"/>
        <v>0</v>
      </c>
      <c r="M83">
        <f t="shared" si="13"/>
        <v>0</v>
      </c>
      <c r="N83">
        <f>VLOOKUP(C83,技能CD配置辅助表!$C$3:$H$14,6,0)</f>
        <v>26</v>
      </c>
      <c r="O83">
        <f>VLOOKUP(C83,技能CD配置辅助表!$C$3:$M$14,5,0)</f>
        <v>4</v>
      </c>
      <c r="P83">
        <f ca="1">IFERROR(VLOOKUP(A83+I83-10000003,D_技能表!A:AD,30,0)*(VLOOKUP(C83,技能CD配置辅助表!$C$3:$J$14,8,0)-G83)/VLOOKUP(C83,技能CD配置辅助表!$C$3:$J$14,8,0),0)*IF(VLOOKUP(C83,技能CD配置辅助表!$C$3:$F$14,4,0)=1,1,4)</f>
        <v>0</v>
      </c>
      <c r="R83">
        <f t="shared" si="8"/>
        <v>0</v>
      </c>
    </row>
    <row r="84" spans="1:18" x14ac:dyDescent="0.15">
      <c r="A84">
        <f ca="1">VLOOKUP(B84,技能CD配置辅助表!$C$3:$K$14,9,0)+I84</f>
        <v>19124101</v>
      </c>
      <c r="B84" t="str">
        <f t="shared" si="9"/>
        <v>裂空·斩</v>
      </c>
      <c r="C84" t="s">
        <v>190</v>
      </c>
      <c r="D84">
        <f>VLOOKUP(C84,技能CD配置辅助表!$C$3:$E$14,3,0)</f>
        <v>1</v>
      </c>
      <c r="E84">
        <f>IF(I84=0,1,IF(I84&lt;3,VLOOKUP(C84,技能CD配置辅助表!$C$3:$I$14,7,0)+(I84-1)*2,VLOOKUP(C84,技能CD配置辅助表!$C$3:$I$14,7,0)+(I84-1)*3-1))</f>
        <v>6</v>
      </c>
      <c r="F84" t="str">
        <f t="shared" si="10"/>
        <v>第1级，技能冷却时间13秒</v>
      </c>
      <c r="G84">
        <f>VLOOKUP(C84,技能CD配置辅助表!$C$3:$J$14,8,0)-(VLOOKUP(C84,技能CD配置辅助表!$C$3:$J$14,8,0)-VLOOKUP(C84,技能CD配置辅助表!$C$2:$M$14,11,0))/(VLOOKUP(C84,技能CD配置辅助表!$C$3:$H$14,6,0)-1)*(I84-IF(I84=0,0,1))</f>
        <v>13000</v>
      </c>
      <c r="H84">
        <f ca="1">M84*'[1]0、经济设定'!$C$18*IF(E84&lt;J84,1,1)</f>
        <v>0</v>
      </c>
      <c r="I84">
        <f t="shared" si="11"/>
        <v>1</v>
      </c>
      <c r="J84">
        <f>VLOOKUP(C84,技能CD配置辅助表!$C$3:$L$14,10,0)</f>
        <v>20</v>
      </c>
      <c r="K84">
        <f t="shared" si="12"/>
        <v>0</v>
      </c>
      <c r="L84" s="45">
        <f t="shared" ca="1" si="7"/>
        <v>0</v>
      </c>
      <c r="M84">
        <f t="shared" ca="1" si="13"/>
        <v>0</v>
      </c>
      <c r="N84">
        <f>VLOOKUP(C84,技能CD配置辅助表!$C$3:$H$14,6,0)</f>
        <v>26</v>
      </c>
      <c r="O84">
        <f>VLOOKUP(C84,技能CD配置辅助表!$C$3:$M$14,5,0)</f>
        <v>4</v>
      </c>
      <c r="P84">
        <f ca="1">IFERROR(VLOOKUP(A84+I84-10000003,D_技能表!A:AD,30,0)*(VLOOKUP(C84,技能CD配置辅助表!$C$3:$J$14,8,0)-G84)/VLOOKUP(C84,技能CD配置辅助表!$C$3:$J$14,8,0),0)*IF(VLOOKUP(C84,技能CD配置辅助表!$C$3:$F$14,4,0)=1,1,4)</f>
        <v>0</v>
      </c>
      <c r="R84">
        <f t="shared" si="8"/>
        <v>0</v>
      </c>
    </row>
    <row r="85" spans="1:18" x14ac:dyDescent="0.15">
      <c r="A85">
        <f ca="1">VLOOKUP(B85,技能CD配置辅助表!$C$3:$K$14,9,0)+I85</f>
        <v>19124102</v>
      </c>
      <c r="B85" t="str">
        <f t="shared" si="9"/>
        <v>裂空·斩</v>
      </c>
      <c r="C85" t="s">
        <v>190</v>
      </c>
      <c r="D85">
        <f>VLOOKUP(C85,技能CD配置辅助表!$C$3:$E$14,3,0)</f>
        <v>1</v>
      </c>
      <c r="E85">
        <f>IF(I85=0,1,IF(I85&lt;3,VLOOKUP(C85,技能CD配置辅助表!$C$3:$I$14,7,0)+(I85-1)*2,VLOOKUP(C85,技能CD配置辅助表!$C$3:$I$14,7,0)+(I85-1)*3-1))</f>
        <v>8</v>
      </c>
      <c r="F85" t="str">
        <f t="shared" si="10"/>
        <v>第2级，技能冷却时间12.68秒</v>
      </c>
      <c r="G85">
        <f>VLOOKUP(C85,技能CD配置辅助表!$C$3:$J$14,8,0)-(VLOOKUP(C85,技能CD配置辅助表!$C$3:$J$14,8,0)-VLOOKUP(C85,技能CD配置辅助表!$C$2:$M$14,11,0))/(VLOOKUP(C85,技能CD配置辅助表!$C$3:$H$14,6,0)-1)*(I85-IF(I85=0,0,1))</f>
        <v>12680</v>
      </c>
      <c r="H85">
        <f ca="1">M85*'[1]0、经济设定'!$C$18*IF(E85&lt;J85,1,1)</f>
        <v>1100</v>
      </c>
      <c r="I85">
        <f t="shared" si="11"/>
        <v>2</v>
      </c>
      <c r="J85">
        <f>VLOOKUP(C85,技能CD配置辅助表!$C$3:$L$14,10,0)</f>
        <v>20</v>
      </c>
      <c r="K85">
        <f t="shared" si="12"/>
        <v>0</v>
      </c>
      <c r="L85" s="45">
        <f t="shared" ca="1" si="7"/>
        <v>22</v>
      </c>
      <c r="M85">
        <f t="shared" ca="1" si="13"/>
        <v>22</v>
      </c>
      <c r="N85">
        <f>VLOOKUP(C85,技能CD配置辅助表!$C$3:$H$14,6,0)</f>
        <v>26</v>
      </c>
      <c r="O85">
        <f>VLOOKUP(C85,技能CD配置辅助表!$C$3:$M$14,5,0)</f>
        <v>4</v>
      </c>
      <c r="P85">
        <f ca="1">IFERROR(VLOOKUP(A85+I85-10000003,D_技能表!A:AD,30,0)*(VLOOKUP(C85,技能CD配置辅助表!$C$3:$J$14,8,0)-G85)/VLOOKUP(C85,技能CD配置辅助表!$C$3:$J$14,8,0),0)*IF(VLOOKUP(C85,技能CD配置辅助表!$C$3:$F$14,4,0)=1,1,4)</f>
        <v>4.9509792727216652E-2</v>
      </c>
      <c r="R85">
        <f t="shared" si="8"/>
        <v>0</v>
      </c>
    </row>
    <row r="86" spans="1:18" x14ac:dyDescent="0.15">
      <c r="A86">
        <f ca="1">VLOOKUP(B86,技能CD配置辅助表!$C$3:$K$14,9,0)+I86</f>
        <v>19124103</v>
      </c>
      <c r="B86" t="str">
        <f t="shared" si="9"/>
        <v>裂空·斩</v>
      </c>
      <c r="C86" t="s">
        <v>190</v>
      </c>
      <c r="D86">
        <f>VLOOKUP(C86,技能CD配置辅助表!$C$3:$E$14,3,0)</f>
        <v>1</v>
      </c>
      <c r="E86">
        <f>IF(I86=0,1,IF(I86&lt;3,VLOOKUP(C86,技能CD配置辅助表!$C$3:$I$14,7,0)+(I86-1)*2,VLOOKUP(C86,技能CD配置辅助表!$C$3:$I$14,7,0)+(I86-1)*3-1))</f>
        <v>11</v>
      </c>
      <c r="F86" t="str">
        <f t="shared" si="10"/>
        <v>第3级，技能冷却时间12.36秒</v>
      </c>
      <c r="G86">
        <f>VLOOKUP(C86,技能CD配置辅助表!$C$3:$J$14,8,0)-(VLOOKUP(C86,技能CD配置辅助表!$C$3:$J$14,8,0)-VLOOKUP(C86,技能CD配置辅助表!$C$2:$M$14,11,0))/(VLOOKUP(C86,技能CD配置辅助表!$C$3:$H$14,6,0)-1)*(I86-IF(I86=0,0,1))</f>
        <v>12360</v>
      </c>
      <c r="H86">
        <f ca="1">M86*'[1]0、经济设定'!$C$18*IF(E86&lt;J86,1,1)</f>
        <v>2400</v>
      </c>
      <c r="I86">
        <f t="shared" si="11"/>
        <v>3</v>
      </c>
      <c r="J86">
        <f>VLOOKUP(C86,技能CD配置辅助表!$C$3:$L$14,10,0)</f>
        <v>20</v>
      </c>
      <c r="K86">
        <f t="shared" si="12"/>
        <v>0</v>
      </c>
      <c r="L86" s="45">
        <f t="shared" ca="1" si="7"/>
        <v>26</v>
      </c>
      <c r="M86">
        <f t="shared" ca="1" si="13"/>
        <v>48</v>
      </c>
      <c r="N86">
        <f>VLOOKUP(C86,技能CD配置辅助表!$C$3:$H$14,6,0)</f>
        <v>26</v>
      </c>
      <c r="O86">
        <f>VLOOKUP(C86,技能CD配置辅助表!$C$3:$M$14,5,0)</f>
        <v>4</v>
      </c>
      <c r="P86">
        <f ca="1">IFERROR(VLOOKUP(A86+I86-10000003,D_技能表!A:AD,30,0)*(VLOOKUP(C86,技能CD配置辅助表!$C$3:$J$14,8,0)-G86)/VLOOKUP(C86,技能CD配置辅助表!$C$3:$J$14,8,0),0)*IF(VLOOKUP(C86,技能CD配置辅助表!$C$3:$F$14,4,0)=1,1,4)</f>
        <v>0.1524090341001457</v>
      </c>
      <c r="R86">
        <f t="shared" si="8"/>
        <v>0</v>
      </c>
    </row>
    <row r="87" spans="1:18" x14ac:dyDescent="0.15">
      <c r="A87">
        <f ca="1">VLOOKUP(B87,技能CD配置辅助表!$C$3:$K$14,9,0)+I87</f>
        <v>19124104</v>
      </c>
      <c r="B87" t="str">
        <f t="shared" si="9"/>
        <v>裂空·斩</v>
      </c>
      <c r="C87" t="s">
        <v>190</v>
      </c>
      <c r="D87">
        <f>VLOOKUP(C87,技能CD配置辅助表!$C$3:$E$14,3,0)</f>
        <v>1</v>
      </c>
      <c r="E87">
        <f>IF(I87=0,1,IF(I87&lt;3,VLOOKUP(C87,技能CD配置辅助表!$C$3:$I$14,7,0)+(I87-1)*2,VLOOKUP(C87,技能CD配置辅助表!$C$3:$I$14,7,0)+(I87-1)*3-1))</f>
        <v>14</v>
      </c>
      <c r="F87" t="str">
        <f t="shared" si="10"/>
        <v>第4级，技能冷却时间12.04秒</v>
      </c>
      <c r="G87">
        <f>VLOOKUP(C87,技能CD配置辅助表!$C$3:$J$14,8,0)-(VLOOKUP(C87,技能CD配置辅助表!$C$3:$J$14,8,0)-VLOOKUP(C87,技能CD配置辅助表!$C$2:$M$14,11,0))/(VLOOKUP(C87,技能CD配置辅助表!$C$3:$H$14,6,0)-1)*(I87-IF(I87=0,0,1))</f>
        <v>12040</v>
      </c>
      <c r="H87">
        <f ca="1">M87*'[1]0、经济设定'!$C$18*IF(E87&lt;J87,1,1)</f>
        <v>3900</v>
      </c>
      <c r="I87">
        <f t="shared" si="11"/>
        <v>4</v>
      </c>
      <c r="J87">
        <f>VLOOKUP(C87,技能CD配置辅助表!$C$3:$L$14,10,0)</f>
        <v>20</v>
      </c>
      <c r="K87">
        <f t="shared" si="12"/>
        <v>0</v>
      </c>
      <c r="L87" s="45">
        <f t="shared" ca="1" si="7"/>
        <v>30</v>
      </c>
      <c r="M87">
        <f t="shared" ca="1" si="13"/>
        <v>78</v>
      </c>
      <c r="N87">
        <f>VLOOKUP(C87,技能CD配置辅助表!$C$3:$H$14,6,0)</f>
        <v>26</v>
      </c>
      <c r="O87">
        <f>VLOOKUP(C87,技能CD配置辅助表!$C$3:$M$14,5,0)</f>
        <v>4</v>
      </c>
      <c r="P87">
        <f ca="1">IFERROR(VLOOKUP(A87+I87-10000003,D_技能表!A:AD,30,0)*(VLOOKUP(C87,技能CD配置辅助表!$C$3:$J$14,8,0)-G87)/VLOOKUP(C87,技能CD配置辅助表!$C$3:$J$14,8,0),0)*IF(VLOOKUP(C87,技能CD配置辅助表!$C$3:$F$14,4,0)=1,1,4)</f>
        <v>0.32750931159855612</v>
      </c>
      <c r="R87">
        <f t="shared" si="8"/>
        <v>0</v>
      </c>
    </row>
    <row r="88" spans="1:18" x14ac:dyDescent="0.15">
      <c r="A88">
        <f ca="1">VLOOKUP(B88,技能CD配置辅助表!$C$3:$K$14,9,0)+I88</f>
        <v>19124105</v>
      </c>
      <c r="B88" t="str">
        <f t="shared" si="9"/>
        <v>裂空·斩</v>
      </c>
      <c r="C88" t="s">
        <v>190</v>
      </c>
      <c r="D88">
        <f>VLOOKUP(C88,技能CD配置辅助表!$C$3:$E$14,3,0)</f>
        <v>1</v>
      </c>
      <c r="E88">
        <f>IF(I88=0,1,IF(I88&lt;3,VLOOKUP(C88,技能CD配置辅助表!$C$3:$I$14,7,0)+(I88-1)*2,VLOOKUP(C88,技能CD配置辅助表!$C$3:$I$14,7,0)+(I88-1)*3-1))</f>
        <v>17</v>
      </c>
      <c r="F88" t="str">
        <f t="shared" si="10"/>
        <v>第5级，技能冷却时间11.72秒</v>
      </c>
      <c r="G88">
        <f>VLOOKUP(C88,技能CD配置辅助表!$C$3:$J$14,8,0)-(VLOOKUP(C88,技能CD配置辅助表!$C$3:$J$14,8,0)-VLOOKUP(C88,技能CD配置辅助表!$C$2:$M$14,11,0))/(VLOOKUP(C88,技能CD配置辅助表!$C$3:$H$14,6,0)-1)*(I88-IF(I88=0,0,1))</f>
        <v>11720</v>
      </c>
      <c r="H88">
        <f ca="1">M88*'[1]0、经济设定'!$C$18*IF(E88&lt;J88,1,1)</f>
        <v>5650</v>
      </c>
      <c r="I88">
        <f t="shared" si="11"/>
        <v>5</v>
      </c>
      <c r="J88">
        <f>VLOOKUP(C88,技能CD配置辅助表!$C$3:$L$14,10,0)</f>
        <v>20</v>
      </c>
      <c r="K88">
        <f t="shared" si="12"/>
        <v>0</v>
      </c>
      <c r="L88" s="45">
        <f t="shared" ca="1" si="7"/>
        <v>35</v>
      </c>
      <c r="M88">
        <f t="shared" ca="1" si="13"/>
        <v>113</v>
      </c>
      <c r="N88">
        <f>VLOOKUP(C88,技能CD配置辅助表!$C$3:$H$14,6,0)</f>
        <v>26</v>
      </c>
      <c r="O88">
        <f>VLOOKUP(C88,技能CD配置辅助表!$C$3:$M$14,5,0)</f>
        <v>4</v>
      </c>
      <c r="P88">
        <f ca="1">IFERROR(VLOOKUP(A88+I88-10000003,D_技能表!A:AD,30,0)*(VLOOKUP(C88,技能CD配置辅助表!$C$3:$J$14,8,0)-G88)/VLOOKUP(C88,技能CD配置辅助表!$C$3:$J$14,8,0),0)*IF(VLOOKUP(C88,技能CD配置辅助表!$C$3:$F$14,4,0)=1,1,4)</f>
        <v>0.61990753987886138</v>
      </c>
      <c r="R88">
        <f t="shared" si="8"/>
        <v>0.1</v>
      </c>
    </row>
    <row r="89" spans="1:18" x14ac:dyDescent="0.15">
      <c r="A89">
        <f ca="1">VLOOKUP(B89,技能CD配置辅助表!$C$3:$K$14,9,0)+I89</f>
        <v>19124106</v>
      </c>
      <c r="B89" t="str">
        <f t="shared" si="9"/>
        <v>裂空·斩</v>
      </c>
      <c r="C89" t="s">
        <v>190</v>
      </c>
      <c r="D89">
        <f>VLOOKUP(C89,技能CD配置辅助表!$C$3:$E$14,3,0)</f>
        <v>1</v>
      </c>
      <c r="E89">
        <f>IF(I89=0,1,IF(I89&lt;3,VLOOKUP(C89,技能CD配置辅助表!$C$3:$I$14,7,0)+(I89-1)*2,VLOOKUP(C89,技能CD配置辅助表!$C$3:$I$14,7,0)+(I89-1)*3-1))</f>
        <v>20</v>
      </c>
      <c r="F89" t="str">
        <f t="shared" si="10"/>
        <v>第6级，技能冷却时间11.4秒</v>
      </c>
      <c r="G89">
        <f>VLOOKUP(C89,技能CD配置辅助表!$C$3:$J$14,8,0)-(VLOOKUP(C89,技能CD配置辅助表!$C$3:$J$14,8,0)-VLOOKUP(C89,技能CD配置辅助表!$C$2:$M$14,11,0))/(VLOOKUP(C89,技能CD配置辅助表!$C$3:$H$14,6,0)-1)*(I89-IF(I89=0,0,1))</f>
        <v>11400</v>
      </c>
      <c r="H89">
        <f ca="1">M89*'[1]0、经济设定'!$C$18*IF(E89&lt;J89,1,1)</f>
        <v>7700</v>
      </c>
      <c r="I89">
        <f t="shared" si="11"/>
        <v>6</v>
      </c>
      <c r="J89">
        <f>VLOOKUP(C89,技能CD配置辅助表!$C$3:$L$14,10,0)</f>
        <v>20</v>
      </c>
      <c r="K89">
        <f t="shared" ca="1" si="12"/>
        <v>12</v>
      </c>
      <c r="L89" s="45">
        <f t="shared" ca="1" si="7"/>
        <v>41</v>
      </c>
      <c r="M89">
        <f t="shared" ca="1" si="13"/>
        <v>154</v>
      </c>
      <c r="N89">
        <f>VLOOKUP(C89,技能CD配置辅助表!$C$3:$H$14,6,0)</f>
        <v>26</v>
      </c>
      <c r="O89">
        <f>VLOOKUP(C89,技能CD配置辅助表!$C$3:$M$14,5,0)</f>
        <v>4</v>
      </c>
      <c r="P89">
        <f ca="1">IFERROR(VLOOKUP(A89+I89-10000003,D_技能表!A:AD,30,0)*(VLOOKUP(C89,技能CD配置辅助表!$C$3:$J$14,8,0)-G89)/VLOOKUP(C89,技能CD配置辅助表!$C$3:$J$14,8,0),0)*IF(VLOOKUP(C89,技能CD配置辅助表!$C$3:$F$14,4,0)=1,1,4)</f>
        <v>1.0917044810639667</v>
      </c>
      <c r="R89">
        <f t="shared" si="8"/>
        <v>0.2</v>
      </c>
    </row>
    <row r="90" spans="1:18" x14ac:dyDescent="0.15">
      <c r="A90">
        <f ca="1">VLOOKUP(B90,技能CD配置辅助表!$C$3:$K$14,9,0)+I90</f>
        <v>19124107</v>
      </c>
      <c r="B90" t="str">
        <f t="shared" si="9"/>
        <v>裂空·斩</v>
      </c>
      <c r="C90" t="s">
        <v>190</v>
      </c>
      <c r="D90">
        <f>VLOOKUP(C90,技能CD配置辅助表!$C$3:$E$14,3,0)</f>
        <v>1</v>
      </c>
      <c r="E90">
        <f>IF(I90=0,1,IF(I90&lt;3,VLOOKUP(C90,技能CD配置辅助表!$C$3:$I$14,7,0)+(I90-1)*2,VLOOKUP(C90,技能CD配置辅助表!$C$3:$I$14,7,0)+(I90-1)*3-1))</f>
        <v>23</v>
      </c>
      <c r="F90" t="str">
        <f t="shared" si="10"/>
        <v>第7级，技能冷却时间11.08秒</v>
      </c>
      <c r="G90">
        <f>VLOOKUP(C90,技能CD配置辅助表!$C$3:$J$14,8,0)-(VLOOKUP(C90,技能CD配置辅助表!$C$3:$J$14,8,0)-VLOOKUP(C90,技能CD配置辅助表!$C$2:$M$14,11,0))/(VLOOKUP(C90,技能CD配置辅助表!$C$3:$H$14,6,0)-1)*(I90-IF(I90=0,0,1))</f>
        <v>11080</v>
      </c>
      <c r="H90">
        <f ca="1">M90*'[1]0、经济设定'!$C$18*IF(E90&lt;J90,1,1)</f>
        <v>10050</v>
      </c>
      <c r="I90">
        <f t="shared" si="11"/>
        <v>7</v>
      </c>
      <c r="J90">
        <f>VLOOKUP(C90,技能CD配置辅助表!$C$3:$L$14,10,0)</f>
        <v>20</v>
      </c>
      <c r="K90">
        <f t="shared" ca="1" si="12"/>
        <v>21</v>
      </c>
      <c r="L90" s="45">
        <f t="shared" ca="1" si="7"/>
        <v>47</v>
      </c>
      <c r="M90">
        <f t="shared" ca="1" si="13"/>
        <v>201</v>
      </c>
      <c r="N90">
        <f>VLOOKUP(C90,技能CD配置辅助表!$C$3:$H$14,6,0)</f>
        <v>26</v>
      </c>
      <c r="O90">
        <f>VLOOKUP(C90,技能CD配置辅助表!$C$3:$M$14,5,0)</f>
        <v>4</v>
      </c>
      <c r="P90">
        <f ca="1">IFERROR(VLOOKUP(A90+I90-10000003,D_技能表!A:AD,30,0)*(VLOOKUP(C90,技能CD配置辅助表!$C$3:$J$14,8,0)-G90)/VLOOKUP(C90,技能CD配置辅助表!$C$3:$J$14,8,0),0)*IF(VLOOKUP(C90,技能CD配置辅助表!$C$3:$F$14,4,0)=1,1,4)</f>
        <v>1.8338595999419307</v>
      </c>
      <c r="R90">
        <f t="shared" si="8"/>
        <v>0.3</v>
      </c>
    </row>
    <row r="91" spans="1:18" x14ac:dyDescent="0.15">
      <c r="A91">
        <f ca="1">VLOOKUP(B91,技能CD配置辅助表!$C$3:$K$14,9,0)+I91</f>
        <v>19124108</v>
      </c>
      <c r="B91" t="str">
        <f t="shared" si="9"/>
        <v>裂空·斩</v>
      </c>
      <c r="C91" t="s">
        <v>190</v>
      </c>
      <c r="D91">
        <f>VLOOKUP(C91,技能CD配置辅助表!$C$3:$E$14,3,0)</f>
        <v>1</v>
      </c>
      <c r="E91">
        <f>IF(I91=0,1,IF(I91&lt;3,VLOOKUP(C91,技能CD配置辅助表!$C$3:$I$14,7,0)+(I91-1)*2,VLOOKUP(C91,技能CD配置辅助表!$C$3:$I$14,7,0)+(I91-1)*3-1))</f>
        <v>26</v>
      </c>
      <c r="F91" t="str">
        <f t="shared" si="10"/>
        <v>第8级，技能冷却时间10.76秒</v>
      </c>
      <c r="G91">
        <f>VLOOKUP(C91,技能CD配置辅助表!$C$3:$J$14,8,0)-(VLOOKUP(C91,技能CD配置辅助表!$C$3:$J$14,8,0)-VLOOKUP(C91,技能CD配置辅助表!$C$2:$M$14,11,0))/(VLOOKUP(C91,技能CD配置辅助表!$C$3:$H$14,6,0)-1)*(I91-IF(I91=0,0,1))</f>
        <v>10760</v>
      </c>
      <c r="H91">
        <f ca="1">M91*'[1]0、经济设定'!$C$18*IF(E91&lt;J91,1,1)</f>
        <v>12750</v>
      </c>
      <c r="I91">
        <f t="shared" si="11"/>
        <v>8</v>
      </c>
      <c r="J91">
        <f>VLOOKUP(C91,技能CD配置辅助表!$C$3:$L$14,10,0)</f>
        <v>20</v>
      </c>
      <c r="K91">
        <f t="shared" ca="1" si="12"/>
        <v>31</v>
      </c>
      <c r="L91" s="45">
        <f t="shared" ca="1" si="7"/>
        <v>54</v>
      </c>
      <c r="M91">
        <f t="shared" ca="1" si="13"/>
        <v>255</v>
      </c>
      <c r="N91">
        <f>VLOOKUP(C91,技能CD配置辅助表!$C$3:$H$14,6,0)</f>
        <v>26</v>
      </c>
      <c r="O91">
        <f>VLOOKUP(C91,技能CD配置辅助表!$C$3:$M$14,5,0)</f>
        <v>4</v>
      </c>
      <c r="P91">
        <f ca="1">IFERROR(VLOOKUP(A91+I91-10000003,D_技能表!A:AD,30,0)*(VLOOKUP(C91,技能CD配置辅助表!$C$3:$J$14,8,0)-G91)/VLOOKUP(C91,技能CD配置辅助表!$C$3:$J$14,8,0),0)*IF(VLOOKUP(C91,技能CD配置辅助表!$C$3:$F$14,4,0)=1,1,4)</f>
        <v>2.9785376562657118</v>
      </c>
      <c r="R91">
        <f t="shared" si="8"/>
        <v>0.4</v>
      </c>
    </row>
    <row r="92" spans="1:18" x14ac:dyDescent="0.15">
      <c r="A92">
        <f ca="1">VLOOKUP(B92,技能CD配置辅助表!$C$3:$K$14,9,0)+I92</f>
        <v>19124109</v>
      </c>
      <c r="B92" t="str">
        <f t="shared" si="9"/>
        <v>裂空·斩</v>
      </c>
      <c r="C92" t="s">
        <v>190</v>
      </c>
      <c r="D92">
        <f>VLOOKUP(C92,技能CD配置辅助表!$C$3:$E$14,3,0)</f>
        <v>1</v>
      </c>
      <c r="E92">
        <f>IF(I92=0,1,IF(I92&lt;3,VLOOKUP(C92,技能CD配置辅助表!$C$3:$I$14,7,0)+(I92-1)*2,VLOOKUP(C92,技能CD配置辅助表!$C$3:$I$14,7,0)+(I92-1)*3-1))</f>
        <v>29</v>
      </c>
      <c r="F92" t="str">
        <f t="shared" si="10"/>
        <v>第9级，技能冷却时间10.44秒</v>
      </c>
      <c r="G92">
        <f>VLOOKUP(C92,技能CD配置辅助表!$C$3:$J$14,8,0)-(VLOOKUP(C92,技能CD配置辅助表!$C$3:$J$14,8,0)-VLOOKUP(C92,技能CD配置辅助表!$C$2:$M$14,11,0))/(VLOOKUP(C92,技能CD配置辅助表!$C$3:$H$14,6,0)-1)*(I92-IF(I92=0,0,1))</f>
        <v>10440</v>
      </c>
      <c r="H92">
        <f ca="1">M92*'[1]0、经济设定'!$C$18*IF(E92&lt;J92,1,1)</f>
        <v>15900</v>
      </c>
      <c r="I92">
        <f t="shared" si="11"/>
        <v>9</v>
      </c>
      <c r="J92">
        <f>VLOOKUP(C92,技能CD配置辅助表!$C$3:$L$14,10,0)</f>
        <v>20</v>
      </c>
      <c r="K92">
        <f t="shared" ca="1" si="12"/>
        <v>45</v>
      </c>
      <c r="L92" s="45">
        <f t="shared" ca="1" si="7"/>
        <v>63</v>
      </c>
      <c r="M92">
        <f t="shared" ca="1" si="13"/>
        <v>318</v>
      </c>
      <c r="N92">
        <f>VLOOKUP(C92,技能CD配置辅助表!$C$3:$H$14,6,0)</f>
        <v>26</v>
      </c>
      <c r="O92">
        <f>VLOOKUP(C92,技能CD配置辅助表!$C$3:$M$14,5,0)</f>
        <v>4</v>
      </c>
      <c r="P92">
        <f ca="1">IFERROR(VLOOKUP(A92+I92-10000003,D_技能表!A:AD,30,0)*(VLOOKUP(C92,技能CD配置辅助表!$C$3:$J$14,8,0)-G92)/VLOOKUP(C92,技能CD配置辅助表!$C$3:$J$14,8,0),0)*IF(VLOOKUP(C92,技能CD配置辅助表!$C$3:$F$14,4,0)=1,1,4)</f>
        <v>4.7164444810688888</v>
      </c>
      <c r="R92">
        <f t="shared" si="8"/>
        <v>0.5</v>
      </c>
    </row>
    <row r="93" spans="1:18" x14ac:dyDescent="0.15">
      <c r="A93">
        <f ca="1">VLOOKUP(B93,技能CD配置辅助表!$C$3:$K$14,9,0)+I93</f>
        <v>19124110</v>
      </c>
      <c r="B93" t="str">
        <f t="shared" si="9"/>
        <v>裂空·斩</v>
      </c>
      <c r="C93" t="s">
        <v>190</v>
      </c>
      <c r="D93">
        <f>VLOOKUP(C93,技能CD配置辅助表!$C$3:$E$14,3,0)</f>
        <v>1</v>
      </c>
      <c r="E93">
        <f>IF(I93=0,1,IF(I93&lt;3,VLOOKUP(C93,技能CD配置辅助表!$C$3:$I$14,7,0)+(I93-1)*2,VLOOKUP(C93,技能CD配置辅助表!$C$3:$I$14,7,0)+(I93-1)*3-1))</f>
        <v>32</v>
      </c>
      <c r="F93" t="str">
        <f t="shared" si="10"/>
        <v>第10级，技能冷却时间10.12秒</v>
      </c>
      <c r="G93">
        <f>VLOOKUP(C93,技能CD配置辅助表!$C$3:$J$14,8,0)-(VLOOKUP(C93,技能CD配置辅助表!$C$3:$J$14,8,0)-VLOOKUP(C93,技能CD配置辅助表!$C$2:$M$14,11,0))/(VLOOKUP(C93,技能CD配置辅助表!$C$3:$H$14,6,0)-1)*(I93-IF(I93=0,0,1))</f>
        <v>10120</v>
      </c>
      <c r="H93">
        <f ca="1">M93*'[1]0、经济设定'!$C$18*IF(E93&lt;J93,1,1)</f>
        <v>19550</v>
      </c>
      <c r="I93">
        <f t="shared" si="11"/>
        <v>10</v>
      </c>
      <c r="J93">
        <f>VLOOKUP(C93,技能CD配置辅助表!$C$3:$L$14,10,0)</f>
        <v>20</v>
      </c>
      <c r="K93">
        <f t="shared" ca="1" si="12"/>
        <v>63</v>
      </c>
      <c r="L93" s="45">
        <f t="shared" ref="L93:L156" ca="1" si="14">ROUND((IF(I93&lt;2,0,ROUND(OFFSET(P93,N93-I93+108*(1-D93),0)*(1-$T$3)/(1-$T$3^(N93-1))*$T$3^(I93-2)*$T$2,0))+IF(I93&lt;2,0,ROUND(OFFSET(P93,N93-I93+108*(2-D93),0)*(1-$T$3)/(1-$T$3^(N93-1))*$T$3^(I93-2)*$T$2,0))+IF(I93&lt;2,0,ROUND(OFFSET(P93,N93-I93+108*(3-D93),0)*(1-$T$3)/(1-$T$3^(N93-1))*$T$3^(I93-2)*$T$2,0)))/3,0)</f>
        <v>73</v>
      </c>
      <c r="M93">
        <f t="shared" ca="1" si="13"/>
        <v>391</v>
      </c>
      <c r="N93">
        <f>VLOOKUP(C93,技能CD配置辅助表!$C$3:$H$14,6,0)</f>
        <v>26</v>
      </c>
      <c r="O93">
        <f>VLOOKUP(C93,技能CD配置辅助表!$C$3:$M$14,5,0)</f>
        <v>4</v>
      </c>
      <c r="P93">
        <f ca="1">IFERROR(VLOOKUP(A93+I93-10000003,D_技能表!A:AD,30,0)*(VLOOKUP(C93,技能CD配置辅助表!$C$3:$J$14,8,0)-G93)/VLOOKUP(C93,技能CD配置辅助表!$C$3:$J$14,8,0),0)*IF(VLOOKUP(C93,技能CD配置辅助表!$C$3:$F$14,4,0)=1,1,4)</f>
        <v>7.3210855815087497</v>
      </c>
      <c r="R93">
        <f t="shared" si="8"/>
        <v>0.6</v>
      </c>
    </row>
    <row r="94" spans="1:18" x14ac:dyDescent="0.15">
      <c r="A94">
        <f ca="1">VLOOKUP(B94,技能CD配置辅助表!$C$3:$K$14,9,0)+I94</f>
        <v>19124111</v>
      </c>
      <c r="B94" t="str">
        <f t="shared" si="9"/>
        <v>裂空·斩</v>
      </c>
      <c r="C94" t="s">
        <v>190</v>
      </c>
      <c r="D94">
        <f>VLOOKUP(C94,技能CD配置辅助表!$C$3:$E$14,3,0)</f>
        <v>1</v>
      </c>
      <c r="E94">
        <f>IF(I94=0,1,IF(I94&lt;3,VLOOKUP(C94,技能CD配置辅助表!$C$3:$I$14,7,0)+(I94-1)*2,VLOOKUP(C94,技能CD配置辅助表!$C$3:$I$14,7,0)+(I94-1)*3-1))</f>
        <v>35</v>
      </c>
      <c r="F94" t="str">
        <f t="shared" si="10"/>
        <v>第11级，技能冷却时间9.8秒</v>
      </c>
      <c r="G94">
        <f>VLOOKUP(C94,技能CD配置辅助表!$C$3:$J$14,8,0)-(VLOOKUP(C94,技能CD配置辅助表!$C$3:$J$14,8,0)-VLOOKUP(C94,技能CD配置辅助表!$C$2:$M$14,11,0))/(VLOOKUP(C94,技能CD配置辅助表!$C$3:$H$14,6,0)-1)*(I94-IF(I94=0,0,1))</f>
        <v>9800</v>
      </c>
      <c r="H94">
        <f ca="1">M94*'[1]0、经济设定'!$C$18*IF(E94&lt;J94,1,1)</f>
        <v>23800</v>
      </c>
      <c r="I94">
        <f t="shared" si="11"/>
        <v>11</v>
      </c>
      <c r="J94">
        <f>VLOOKUP(C94,技能CD配置辅助表!$C$3:$L$14,10,0)</f>
        <v>20</v>
      </c>
      <c r="K94">
        <f t="shared" ca="1" si="12"/>
        <v>85</v>
      </c>
      <c r="L94" s="45">
        <f t="shared" ca="1" si="14"/>
        <v>85</v>
      </c>
      <c r="M94">
        <f t="shared" ca="1" si="13"/>
        <v>476</v>
      </c>
      <c r="N94">
        <f>VLOOKUP(C94,技能CD配置辅助表!$C$3:$H$14,6,0)</f>
        <v>26</v>
      </c>
      <c r="O94">
        <f>VLOOKUP(C94,技能CD配置辅助表!$C$3:$M$14,5,0)</f>
        <v>4</v>
      </c>
      <c r="P94">
        <f ca="1">IFERROR(VLOOKUP(A94+I94-10000003,D_技能表!A:AD,30,0)*(VLOOKUP(C94,技能CD配置辅助表!$C$3:$J$14,8,0)-G94)/VLOOKUP(C94,技能CD配置辅助表!$C$3:$J$14,8,0),0)*IF(VLOOKUP(C94,技能CD配置辅助表!$C$3:$F$14,4,0)=1,1,4)</f>
        <v>11.182607126828374</v>
      </c>
      <c r="R94">
        <f t="shared" ref="R94:R157" si="15">R67</f>
        <v>0.7</v>
      </c>
    </row>
    <row r="95" spans="1:18" x14ac:dyDescent="0.15">
      <c r="A95">
        <f ca="1">VLOOKUP(B95,技能CD配置辅助表!$C$3:$K$14,9,0)+I95</f>
        <v>19124112</v>
      </c>
      <c r="B95" t="str">
        <f t="shared" si="9"/>
        <v>裂空·斩</v>
      </c>
      <c r="C95" t="s">
        <v>190</v>
      </c>
      <c r="D95">
        <f>VLOOKUP(C95,技能CD配置辅助表!$C$3:$E$14,3,0)</f>
        <v>1</v>
      </c>
      <c r="E95">
        <f>IF(I95=0,1,IF(I95&lt;3,VLOOKUP(C95,技能CD配置辅助表!$C$3:$I$14,7,0)+(I95-1)*2,VLOOKUP(C95,技能CD配置辅助表!$C$3:$I$14,7,0)+(I95-1)*3-1))</f>
        <v>38</v>
      </c>
      <c r="F95" t="str">
        <f t="shared" si="10"/>
        <v>第12级，技能冷却时间9.48秒</v>
      </c>
      <c r="G95">
        <f>VLOOKUP(C95,技能CD配置辅助表!$C$3:$J$14,8,0)-(VLOOKUP(C95,技能CD配置辅助表!$C$3:$J$14,8,0)-VLOOKUP(C95,技能CD配置辅助表!$C$2:$M$14,11,0))/(VLOOKUP(C95,技能CD配置辅助表!$C$3:$H$14,6,0)-1)*(I95-IF(I95=0,0,1))</f>
        <v>9480</v>
      </c>
      <c r="H95">
        <f ca="1">M95*'[1]0、经济设定'!$C$18*IF(E95&lt;J95,1,1)</f>
        <v>28750</v>
      </c>
      <c r="I95">
        <f t="shared" si="11"/>
        <v>12</v>
      </c>
      <c r="J95">
        <f>VLOOKUP(C95,技能CD配置辅助表!$C$3:$L$14,10,0)</f>
        <v>20</v>
      </c>
      <c r="K95">
        <f t="shared" ca="1" si="12"/>
        <v>114</v>
      </c>
      <c r="L95" s="45">
        <f t="shared" ca="1" si="14"/>
        <v>99</v>
      </c>
      <c r="M95">
        <f t="shared" ca="1" si="13"/>
        <v>575</v>
      </c>
      <c r="N95">
        <f>VLOOKUP(C95,技能CD配置辅助表!$C$3:$H$14,6,0)</f>
        <v>26</v>
      </c>
      <c r="O95">
        <f>VLOOKUP(C95,技能CD配置辅助表!$C$3:$M$14,5,0)</f>
        <v>4</v>
      </c>
      <c r="P95">
        <f ca="1">IFERROR(VLOOKUP(A95+I95-10000003,D_技能表!A:AD,30,0)*(VLOOKUP(C95,技能CD配置辅助表!$C$3:$J$14,8,0)-G95)/VLOOKUP(C95,技能CD配置辅助表!$C$3:$J$14,8,0),0)*IF(VLOOKUP(C95,技能CD配置辅助表!$C$3:$F$14,4,0)=1,1,4)</f>
        <v>16.854870527399264</v>
      </c>
      <c r="R95">
        <f t="shared" si="15"/>
        <v>0.8</v>
      </c>
    </row>
    <row r="96" spans="1:18" x14ac:dyDescent="0.15">
      <c r="A96">
        <f ca="1">VLOOKUP(B96,技能CD配置辅助表!$C$3:$K$14,9,0)+I96</f>
        <v>19124113</v>
      </c>
      <c r="B96" t="str">
        <f t="shared" si="9"/>
        <v>裂空·斩</v>
      </c>
      <c r="C96" t="s">
        <v>190</v>
      </c>
      <c r="D96">
        <f>VLOOKUP(C96,技能CD配置辅助表!$C$3:$E$14,3,0)</f>
        <v>1</v>
      </c>
      <c r="E96">
        <f>IF(I96=0,1,IF(I96&lt;3,VLOOKUP(C96,技能CD配置辅助表!$C$3:$I$14,7,0)+(I96-1)*2,VLOOKUP(C96,技能CD配置辅助表!$C$3:$I$14,7,0)+(I96-1)*3-1))</f>
        <v>41</v>
      </c>
      <c r="F96" t="str">
        <f t="shared" si="10"/>
        <v>第13级，技能冷却时间9.16秒</v>
      </c>
      <c r="G96">
        <f>VLOOKUP(C96,技能CD配置辅助表!$C$3:$J$14,8,0)-(VLOOKUP(C96,技能CD配置辅助表!$C$3:$J$14,8,0)-VLOOKUP(C96,技能CD配置辅助表!$C$2:$M$14,11,0))/(VLOOKUP(C96,技能CD配置辅助表!$C$3:$H$14,6,0)-1)*(I96-IF(I96=0,0,1))</f>
        <v>9160</v>
      </c>
      <c r="H96">
        <f ca="1">M96*'[1]0、经济设定'!$C$18*IF(E96&lt;J96,1,1)</f>
        <v>34500</v>
      </c>
      <c r="I96">
        <f t="shared" si="11"/>
        <v>13</v>
      </c>
      <c r="J96">
        <f>VLOOKUP(C96,技能CD配置辅助表!$C$3:$L$14,10,0)</f>
        <v>20</v>
      </c>
      <c r="K96">
        <f t="shared" ca="1" si="12"/>
        <v>148</v>
      </c>
      <c r="L96" s="45">
        <f t="shared" ca="1" si="14"/>
        <v>115</v>
      </c>
      <c r="M96">
        <f t="shared" ca="1" si="13"/>
        <v>690</v>
      </c>
      <c r="N96">
        <f>VLOOKUP(C96,技能CD配置辅助表!$C$3:$H$14,6,0)</f>
        <v>26</v>
      </c>
      <c r="O96">
        <f>VLOOKUP(C96,技能CD配置辅助表!$C$3:$M$14,5,0)</f>
        <v>4</v>
      </c>
      <c r="P96">
        <f ca="1">IFERROR(VLOOKUP(A96+I96-10000003,D_技能表!A:AD,30,0)*(VLOOKUP(C96,技能CD配置辅助表!$C$3:$J$14,8,0)-G96)/VLOOKUP(C96,技能CD配置辅助表!$C$3:$J$14,8,0),0)*IF(VLOOKUP(C96,技能CD配置辅助表!$C$3:$F$14,4,0)=1,1,4)</f>
        <v>25.120764563379737</v>
      </c>
      <c r="R96">
        <f t="shared" si="15"/>
        <v>0.9</v>
      </c>
    </row>
    <row r="97" spans="1:18" x14ac:dyDescent="0.15">
      <c r="A97">
        <f ca="1">VLOOKUP(B97,技能CD配置辅助表!$C$3:$K$14,9,0)+I97</f>
        <v>19124114</v>
      </c>
      <c r="B97" t="str">
        <f t="shared" si="9"/>
        <v>裂空·斩</v>
      </c>
      <c r="C97" t="s">
        <v>190</v>
      </c>
      <c r="D97">
        <f>VLOOKUP(C97,技能CD配置辅助表!$C$3:$E$14,3,0)</f>
        <v>1</v>
      </c>
      <c r="E97">
        <f>IF(I97=0,1,IF(I97&lt;3,VLOOKUP(C97,技能CD配置辅助表!$C$3:$I$14,7,0)+(I97-1)*2,VLOOKUP(C97,技能CD配置辅助表!$C$3:$I$14,7,0)+(I97-1)*3-1))</f>
        <v>44</v>
      </c>
      <c r="F97" t="str">
        <f t="shared" si="10"/>
        <v>第14级，技能冷却时间8.84秒</v>
      </c>
      <c r="G97">
        <f>VLOOKUP(C97,技能CD配置辅助表!$C$3:$J$14,8,0)-(VLOOKUP(C97,技能CD配置辅助表!$C$3:$J$14,8,0)-VLOOKUP(C97,技能CD配置辅助表!$C$2:$M$14,11,0))/(VLOOKUP(C97,技能CD配置辅助表!$C$3:$H$14,6,0)-1)*(I97-IF(I97=0,0,1))</f>
        <v>8840</v>
      </c>
      <c r="H97">
        <f ca="1">M97*'[1]0、经济设定'!$C$18*IF(E97&lt;J97,1,1)</f>
        <v>41150</v>
      </c>
      <c r="I97">
        <f t="shared" si="11"/>
        <v>14</v>
      </c>
      <c r="J97">
        <f>VLOOKUP(C97,技能CD配置辅助表!$C$3:$L$14,10,0)</f>
        <v>20</v>
      </c>
      <c r="K97">
        <f t="shared" ca="1" si="12"/>
        <v>190</v>
      </c>
      <c r="L97" s="45">
        <f t="shared" ca="1" si="14"/>
        <v>133</v>
      </c>
      <c r="M97">
        <f t="shared" ca="1" si="13"/>
        <v>823</v>
      </c>
      <c r="N97">
        <f>VLOOKUP(C97,技能CD配置辅助表!$C$3:$H$14,6,0)</f>
        <v>26</v>
      </c>
      <c r="O97">
        <f>VLOOKUP(C97,技能CD配置辅助表!$C$3:$M$14,5,0)</f>
        <v>4</v>
      </c>
      <c r="P97">
        <f ca="1">IFERROR(VLOOKUP(A97+I97-10000003,D_技能表!A:AD,30,0)*(VLOOKUP(C97,技能CD配置辅助表!$C$3:$J$14,8,0)-G97)/VLOOKUP(C97,技能CD配置辅助表!$C$3:$J$14,8,0),0)*IF(VLOOKUP(C97,技能CD配置辅助表!$C$3:$F$14,4,0)=1,1,4)</f>
        <v>37.082601814210079</v>
      </c>
      <c r="R97">
        <f t="shared" si="15"/>
        <v>1</v>
      </c>
    </row>
    <row r="98" spans="1:18" x14ac:dyDescent="0.15">
      <c r="A98">
        <f ca="1">VLOOKUP(B98,技能CD配置辅助表!$C$3:$K$14,9,0)+I98</f>
        <v>19124115</v>
      </c>
      <c r="B98" t="str">
        <f t="shared" si="9"/>
        <v>裂空·斩</v>
      </c>
      <c r="C98" t="s">
        <v>190</v>
      </c>
      <c r="D98">
        <f>VLOOKUP(C98,技能CD配置辅助表!$C$3:$E$14,3,0)</f>
        <v>1</v>
      </c>
      <c r="E98">
        <f>IF(I98=0,1,IF(I98&lt;3,VLOOKUP(C98,技能CD配置辅助表!$C$3:$I$14,7,0)+(I98-1)*2,VLOOKUP(C98,技能CD配置辅助表!$C$3:$I$14,7,0)+(I98-1)*3-1))</f>
        <v>47</v>
      </c>
      <c r="F98" t="str">
        <f t="shared" si="10"/>
        <v>第15级，技能冷却时间8.52秒</v>
      </c>
      <c r="G98">
        <f>VLOOKUP(C98,技能CD配置辅助表!$C$3:$J$14,8,0)-(VLOOKUP(C98,技能CD配置辅助表!$C$3:$J$14,8,0)-VLOOKUP(C98,技能CD配置辅助表!$C$2:$M$14,11,0))/(VLOOKUP(C98,技能CD配置辅助表!$C$3:$H$14,6,0)-1)*(I98-IF(I98=0,0,1))</f>
        <v>8520</v>
      </c>
      <c r="H98">
        <f ca="1">M98*'[1]0、经济设定'!$C$18*IF(E98&lt;J98,1,1)</f>
        <v>48850</v>
      </c>
      <c r="I98">
        <f t="shared" si="11"/>
        <v>15</v>
      </c>
      <c r="J98">
        <f>VLOOKUP(C98,技能CD配置辅助表!$C$3:$L$14,10,0)</f>
        <v>20</v>
      </c>
      <c r="K98">
        <f t="shared" ca="1" si="12"/>
        <v>231</v>
      </c>
      <c r="L98" s="45">
        <f t="shared" ca="1" si="14"/>
        <v>154</v>
      </c>
      <c r="M98">
        <f t="shared" ca="1" si="13"/>
        <v>977</v>
      </c>
      <c r="N98">
        <f>VLOOKUP(C98,技能CD配置辅助表!$C$3:$H$14,6,0)</f>
        <v>26</v>
      </c>
      <c r="O98">
        <f>VLOOKUP(C98,技能CD配置辅助表!$C$3:$M$14,5,0)</f>
        <v>4</v>
      </c>
      <c r="P98">
        <f ca="1">IFERROR(VLOOKUP(A98+I98-10000003,D_技能表!A:AD,30,0)*(VLOOKUP(C98,技能CD配置辅助表!$C$3:$J$14,8,0)-G98)/VLOOKUP(C98,技能CD配置辅助表!$C$3:$J$14,8,0),0)*IF(VLOOKUP(C98,技能CD配置辅助表!$C$3:$F$14,4,0)=1,1,4)</f>
        <v>54.286953279167108</v>
      </c>
      <c r="R98">
        <f t="shared" si="15"/>
        <v>1.05</v>
      </c>
    </row>
    <row r="99" spans="1:18" x14ac:dyDescent="0.15">
      <c r="A99">
        <f ca="1">VLOOKUP(B99,技能CD配置辅助表!$C$3:$K$14,9,0)+I99</f>
        <v>19124116</v>
      </c>
      <c r="B99" t="str">
        <f t="shared" si="9"/>
        <v>裂空·斩</v>
      </c>
      <c r="C99" t="s">
        <v>190</v>
      </c>
      <c r="D99">
        <f>VLOOKUP(C99,技能CD配置辅助表!$C$3:$E$14,3,0)</f>
        <v>1</v>
      </c>
      <c r="E99">
        <f>IF(I99=0,1,IF(I99&lt;3,VLOOKUP(C99,技能CD配置辅助表!$C$3:$I$14,7,0)+(I99-1)*2,VLOOKUP(C99,技能CD配置辅助表!$C$3:$I$14,7,0)+(I99-1)*3-1))</f>
        <v>50</v>
      </c>
      <c r="F99" t="str">
        <f t="shared" si="10"/>
        <v>第16级，技能冷却时间8.2秒</v>
      </c>
      <c r="G99">
        <f>VLOOKUP(C99,技能CD配置辅助表!$C$3:$J$14,8,0)-(VLOOKUP(C99,技能CD配置辅助表!$C$3:$J$14,8,0)-VLOOKUP(C99,技能CD配置辅助表!$C$2:$M$14,11,0))/(VLOOKUP(C99,技能CD配置辅助表!$C$3:$H$14,6,0)-1)*(I99-IF(I99=0,0,1))</f>
        <v>8200</v>
      </c>
      <c r="H99">
        <f ca="1">M99*'[1]0、经济设定'!$C$18*IF(E99&lt;J99,1,1)</f>
        <v>57800</v>
      </c>
      <c r="I99">
        <f t="shared" si="11"/>
        <v>16</v>
      </c>
      <c r="J99">
        <f>VLOOKUP(C99,技能CD配置辅助表!$C$3:$L$14,10,0)</f>
        <v>20</v>
      </c>
      <c r="K99">
        <f t="shared" ca="1" si="12"/>
        <v>282</v>
      </c>
      <c r="L99" s="45">
        <f t="shared" ca="1" si="14"/>
        <v>179</v>
      </c>
      <c r="M99">
        <f t="shared" ca="1" si="13"/>
        <v>1156</v>
      </c>
      <c r="N99">
        <f>VLOOKUP(C99,技能CD配置辅助表!$C$3:$H$14,6,0)</f>
        <v>26</v>
      </c>
      <c r="O99">
        <f>VLOOKUP(C99,技能CD配置辅助表!$C$3:$M$14,5,0)</f>
        <v>4</v>
      </c>
      <c r="P99">
        <f ca="1">IFERROR(VLOOKUP(A99+I99-10000003,D_技能表!A:AD,30,0)*(VLOOKUP(C99,技能CD配置辅助表!$C$3:$J$14,8,0)-G99)/VLOOKUP(C99,技能CD配置辅助表!$C$3:$J$14,8,0),0)*IF(VLOOKUP(C99,技能CD配置辅助表!$C$3:$F$14,4,0)=1,1,4)</f>
        <v>78.896681905036047</v>
      </c>
      <c r="R99">
        <f t="shared" si="15"/>
        <v>1.1000000000000001</v>
      </c>
    </row>
    <row r="100" spans="1:18" x14ac:dyDescent="0.15">
      <c r="A100">
        <f ca="1">VLOOKUP(B100,技能CD配置辅助表!$C$3:$K$14,9,0)+I100</f>
        <v>19124117</v>
      </c>
      <c r="B100" t="str">
        <f t="shared" si="9"/>
        <v>裂空·斩</v>
      </c>
      <c r="C100" t="s">
        <v>190</v>
      </c>
      <c r="D100">
        <f>VLOOKUP(C100,技能CD配置辅助表!$C$3:$E$14,3,0)</f>
        <v>1</v>
      </c>
      <c r="E100">
        <f>IF(I100=0,1,IF(I100&lt;3,VLOOKUP(C100,技能CD配置辅助表!$C$3:$I$14,7,0)+(I100-1)*2,VLOOKUP(C100,技能CD配置辅助表!$C$3:$I$14,7,0)+(I100-1)*3-1))</f>
        <v>53</v>
      </c>
      <c r="F100" t="str">
        <f t="shared" si="10"/>
        <v>第17级，技能冷却时间7.88秒</v>
      </c>
      <c r="G100">
        <f>VLOOKUP(C100,技能CD配置辅助表!$C$3:$J$14,8,0)-(VLOOKUP(C100,技能CD配置辅助表!$C$3:$J$14,8,0)-VLOOKUP(C100,技能CD配置辅助表!$C$2:$M$14,11,0))/(VLOOKUP(C100,技能CD配置辅助表!$C$3:$H$14,6,0)-1)*(I100-IF(I100=0,0,1))</f>
        <v>7880</v>
      </c>
      <c r="H100">
        <f ca="1">M100*'[1]0、经济设定'!$C$18*IF(E100&lt;J100,1,1)</f>
        <v>68200</v>
      </c>
      <c r="I100">
        <f t="shared" si="11"/>
        <v>17</v>
      </c>
      <c r="J100">
        <f>VLOOKUP(C100,技能CD配置辅助表!$C$3:$L$14,10,0)</f>
        <v>20</v>
      </c>
      <c r="K100">
        <f t="shared" ca="1" si="12"/>
        <v>342</v>
      </c>
      <c r="L100" s="45">
        <f t="shared" ca="1" si="14"/>
        <v>208</v>
      </c>
      <c r="M100">
        <f t="shared" ca="1" si="13"/>
        <v>1364</v>
      </c>
      <c r="N100">
        <f>VLOOKUP(C100,技能CD配置辅助表!$C$3:$H$14,6,0)</f>
        <v>26</v>
      </c>
      <c r="O100">
        <f>VLOOKUP(C100,技能CD配置辅助表!$C$3:$M$14,5,0)</f>
        <v>4</v>
      </c>
      <c r="P100">
        <f ca="1">IFERROR(VLOOKUP(A100+I100-10000003,D_技能表!A:AD,30,0)*(VLOOKUP(C100,技能CD配置辅助表!$C$3:$J$14,8,0)-G100)/VLOOKUP(C100,技能CD配置辅助表!$C$3:$J$14,8,0),0)*IF(VLOOKUP(C100,技能CD配置辅助表!$C$3:$F$14,4,0)=1,1,4)</f>
        <v>113.92755974798725</v>
      </c>
      <c r="R100">
        <f t="shared" si="15"/>
        <v>1.1499999999999999</v>
      </c>
    </row>
    <row r="101" spans="1:18" x14ac:dyDescent="0.15">
      <c r="A101">
        <f ca="1">VLOOKUP(B101,技能CD配置辅助表!$C$3:$K$14,9,0)+I101</f>
        <v>19124118</v>
      </c>
      <c r="B101" t="str">
        <f t="shared" si="9"/>
        <v>裂空·斩</v>
      </c>
      <c r="C101" t="s">
        <v>190</v>
      </c>
      <c r="D101">
        <f>VLOOKUP(C101,技能CD配置辅助表!$C$3:$E$14,3,0)</f>
        <v>1</v>
      </c>
      <c r="E101">
        <f>IF(I101=0,1,IF(I101&lt;3,VLOOKUP(C101,技能CD配置辅助表!$C$3:$I$14,7,0)+(I101-1)*2,VLOOKUP(C101,技能CD配置辅助表!$C$3:$I$14,7,0)+(I101-1)*3-1))</f>
        <v>56</v>
      </c>
      <c r="F101" t="str">
        <f t="shared" si="10"/>
        <v>第18级，技能冷却时间7.56秒</v>
      </c>
      <c r="G101">
        <f>VLOOKUP(C101,技能CD配置辅助表!$C$3:$J$14,8,0)-(VLOOKUP(C101,技能CD配置辅助表!$C$3:$J$14,8,0)-VLOOKUP(C101,技能CD配置辅助表!$C$2:$M$14,11,0))/(VLOOKUP(C101,技能CD配置辅助表!$C$3:$H$14,6,0)-1)*(I101-IF(I101=0,0,1))</f>
        <v>7560</v>
      </c>
      <c r="H101">
        <f ca="1">M101*'[1]0、经济设定'!$C$18*IF(E101&lt;J101,1,1)</f>
        <v>80250</v>
      </c>
      <c r="I101">
        <f t="shared" si="11"/>
        <v>18</v>
      </c>
      <c r="J101">
        <f>VLOOKUP(C101,技能CD配置辅助表!$C$3:$L$14,10,0)</f>
        <v>20</v>
      </c>
      <c r="K101">
        <f t="shared" ca="1" si="12"/>
        <v>414</v>
      </c>
      <c r="L101" s="45">
        <f t="shared" ca="1" si="14"/>
        <v>241</v>
      </c>
      <c r="M101">
        <f t="shared" ca="1" si="13"/>
        <v>1605</v>
      </c>
      <c r="N101">
        <f>VLOOKUP(C101,技能CD配置辅助表!$C$3:$H$14,6,0)</f>
        <v>26</v>
      </c>
      <c r="O101">
        <f>VLOOKUP(C101,技能CD配置辅助表!$C$3:$M$14,5,0)</f>
        <v>4</v>
      </c>
      <c r="P101">
        <f ca="1">IFERROR(VLOOKUP(A101+I101-10000003,D_技能表!A:AD,30,0)*(VLOOKUP(C101,技能CD配置辅助表!$C$3:$J$14,8,0)-G101)/VLOOKUP(C101,技能CD配置辅助表!$C$3:$J$14,8,0),0)*IF(VLOOKUP(C101,技能CD配置辅助表!$C$3:$F$14,4,0)=1,1,4)</f>
        <v>163.57312267202815</v>
      </c>
      <c r="R101">
        <f t="shared" si="15"/>
        <v>1.2</v>
      </c>
    </row>
    <row r="102" spans="1:18" x14ac:dyDescent="0.15">
      <c r="A102">
        <f ca="1">VLOOKUP(B102,技能CD配置辅助表!$C$3:$K$14,9,0)+I102</f>
        <v>19124119</v>
      </c>
      <c r="B102" t="str">
        <f t="shared" si="9"/>
        <v>裂空·斩</v>
      </c>
      <c r="C102" t="s">
        <v>190</v>
      </c>
      <c r="D102">
        <f>VLOOKUP(C102,技能CD配置辅助表!$C$3:$E$14,3,0)</f>
        <v>1</v>
      </c>
      <c r="E102">
        <f>IF(I102=0,1,IF(I102&lt;3,VLOOKUP(C102,技能CD配置辅助表!$C$3:$I$14,7,0)+(I102-1)*2,VLOOKUP(C102,技能CD配置辅助表!$C$3:$I$14,7,0)+(I102-1)*3-1))</f>
        <v>59</v>
      </c>
      <c r="F102" t="str">
        <f t="shared" si="10"/>
        <v>第19级，技能冷却时间7.24秒</v>
      </c>
      <c r="G102">
        <f>VLOOKUP(C102,技能CD配置辅助表!$C$3:$J$14,8,0)-(VLOOKUP(C102,技能CD配置辅助表!$C$3:$J$14,8,0)-VLOOKUP(C102,技能CD配置辅助表!$C$2:$M$14,11,0))/(VLOOKUP(C102,技能CD配置辅助表!$C$3:$H$14,6,0)-1)*(I102-IF(I102=0,0,1))</f>
        <v>7240</v>
      </c>
      <c r="H102">
        <f ca="1">M102*'[1]0、经济设定'!$C$18*IF(E102&lt;J102,1,1)</f>
        <v>94200</v>
      </c>
      <c r="I102">
        <f t="shared" si="11"/>
        <v>19</v>
      </c>
      <c r="J102">
        <f>VLOOKUP(C102,技能CD配置辅助表!$C$3:$L$14,10,0)</f>
        <v>20</v>
      </c>
      <c r="K102">
        <f t="shared" ca="1" si="12"/>
        <v>499</v>
      </c>
      <c r="L102" s="45">
        <f t="shared" ca="1" si="14"/>
        <v>279</v>
      </c>
      <c r="M102">
        <f t="shared" ca="1" si="13"/>
        <v>1884</v>
      </c>
      <c r="N102">
        <f>VLOOKUP(C102,技能CD配置辅助表!$C$3:$H$14,6,0)</f>
        <v>26</v>
      </c>
      <c r="O102">
        <f>VLOOKUP(C102,技能CD配置辅助表!$C$3:$M$14,5,0)</f>
        <v>4</v>
      </c>
      <c r="P102">
        <f ca="1">IFERROR(VLOOKUP(A102+I102-10000003,D_技能表!A:AD,30,0)*(VLOOKUP(C102,技能CD配置辅助表!$C$3:$J$14,8,0)-G102)/VLOOKUP(C102,技能CD配置辅助表!$C$3:$J$14,8,0),0)*IF(VLOOKUP(C102,技能CD配置辅助表!$C$3:$F$14,4,0)=1,1,4)</f>
        <v>233.64990727216144</v>
      </c>
      <c r="R102">
        <f t="shared" si="15"/>
        <v>1.25</v>
      </c>
    </row>
    <row r="103" spans="1:18" x14ac:dyDescent="0.15">
      <c r="A103">
        <f ca="1">VLOOKUP(B103,技能CD配置辅助表!$C$3:$K$14,9,0)+I103</f>
        <v>19124120</v>
      </c>
      <c r="B103" t="str">
        <f t="shared" si="9"/>
        <v>裂空·斩</v>
      </c>
      <c r="C103" t="s">
        <v>190</v>
      </c>
      <c r="D103">
        <f>VLOOKUP(C103,技能CD配置辅助表!$C$3:$E$14,3,0)</f>
        <v>1</v>
      </c>
      <c r="E103">
        <f>IF(I103=0,1,IF(I103&lt;3,VLOOKUP(C103,技能CD配置辅助表!$C$3:$I$14,7,0)+(I103-1)*2,VLOOKUP(C103,技能CD配置辅助表!$C$3:$I$14,7,0)+(I103-1)*3-1))</f>
        <v>62</v>
      </c>
      <c r="F103" t="str">
        <f t="shared" si="10"/>
        <v>第20级，技能冷却时间6.92秒</v>
      </c>
      <c r="G103">
        <f>VLOOKUP(C103,技能CD配置辅助表!$C$3:$J$14,8,0)-(VLOOKUP(C103,技能CD配置辅助表!$C$3:$J$14,8,0)-VLOOKUP(C103,技能CD配置辅助表!$C$2:$M$14,11,0))/(VLOOKUP(C103,技能CD配置辅助表!$C$3:$H$14,6,0)-1)*(I103-IF(I103=0,0,1))</f>
        <v>6920</v>
      </c>
      <c r="H103">
        <f ca="1">M103*'[1]0、经济设定'!$C$18*IF(E103&lt;J103,1,1)</f>
        <v>110400</v>
      </c>
      <c r="I103">
        <f t="shared" si="11"/>
        <v>20</v>
      </c>
      <c r="J103">
        <f>VLOOKUP(C103,技能CD配置辅助表!$C$3:$L$14,10,0)</f>
        <v>20</v>
      </c>
      <c r="K103">
        <f t="shared" ca="1" si="12"/>
        <v>602</v>
      </c>
      <c r="L103" s="45">
        <f t="shared" ca="1" si="14"/>
        <v>324</v>
      </c>
      <c r="M103">
        <f t="shared" ca="1" si="13"/>
        <v>2208</v>
      </c>
      <c r="N103">
        <f>VLOOKUP(C103,技能CD配置辅助表!$C$3:$H$14,6,0)</f>
        <v>26</v>
      </c>
      <c r="O103">
        <f>VLOOKUP(C103,技能CD配置辅助表!$C$3:$M$14,5,0)</f>
        <v>4</v>
      </c>
      <c r="P103">
        <f ca="1">IFERROR(VLOOKUP(A103+I103-10000003,D_技能表!A:AD,30,0)*(VLOOKUP(C103,技能CD配置辅助表!$C$3:$J$14,8,0)-G103)/VLOOKUP(C103,技能CD配置辅助表!$C$3:$J$14,8,0),0)*IF(VLOOKUP(C103,技能CD配置辅助表!$C$3:$F$14,4,0)=1,1,4)</f>
        <v>332.20670293306983</v>
      </c>
      <c r="R103">
        <f t="shared" si="15"/>
        <v>1.3</v>
      </c>
    </row>
    <row r="104" spans="1:18" x14ac:dyDescent="0.15">
      <c r="A104">
        <f ca="1">VLOOKUP(B104,技能CD配置辅助表!$C$3:$K$14,9,0)+I104</f>
        <v>19124121</v>
      </c>
      <c r="B104" t="str">
        <f t="shared" si="9"/>
        <v>裂空·斩</v>
      </c>
      <c r="C104" t="s">
        <v>190</v>
      </c>
      <c r="D104">
        <f>VLOOKUP(C104,技能CD配置辅助表!$C$3:$E$14,3,0)</f>
        <v>1</v>
      </c>
      <c r="E104">
        <f>IF(I104=0,1,IF(I104&lt;3,VLOOKUP(C104,技能CD配置辅助表!$C$3:$I$14,7,0)+(I104-1)*2,VLOOKUP(C104,技能CD配置辅助表!$C$3:$I$14,7,0)+(I104-1)*3-1))</f>
        <v>65</v>
      </c>
      <c r="F104" t="str">
        <f t="shared" si="10"/>
        <v>第21级，技能冷却时间6.6秒</v>
      </c>
      <c r="G104">
        <f>VLOOKUP(C104,技能CD配置辅助表!$C$3:$J$14,8,0)-(VLOOKUP(C104,技能CD配置辅助表!$C$3:$J$14,8,0)-VLOOKUP(C104,技能CD配置辅助表!$C$2:$M$14,11,0))/(VLOOKUP(C104,技能CD配置辅助表!$C$3:$H$14,6,0)-1)*(I104-IF(I104=0,0,1))</f>
        <v>6600</v>
      </c>
      <c r="H104">
        <f ca="1">M104*'[1]0、经济设定'!$C$18*IF(E104&lt;J104,1,1)</f>
        <v>129150</v>
      </c>
      <c r="I104">
        <f t="shared" si="11"/>
        <v>21</v>
      </c>
      <c r="J104">
        <f>VLOOKUP(C104,技能CD配置辅助表!$C$3:$L$14,10,0)</f>
        <v>20</v>
      </c>
      <c r="K104">
        <f t="shared" ca="1" si="12"/>
        <v>724</v>
      </c>
      <c r="L104" s="45">
        <f t="shared" ca="1" si="14"/>
        <v>375</v>
      </c>
      <c r="M104">
        <f t="shared" ca="1" si="13"/>
        <v>2583</v>
      </c>
      <c r="N104">
        <f>VLOOKUP(C104,技能CD配置辅助表!$C$3:$H$14,6,0)</f>
        <v>26</v>
      </c>
      <c r="O104">
        <f>VLOOKUP(C104,技能CD配置辅助表!$C$3:$M$14,5,0)</f>
        <v>4</v>
      </c>
      <c r="P104">
        <f ca="1">IFERROR(VLOOKUP(A104+I104-10000003,D_技能表!A:AD,30,0)*(VLOOKUP(C104,技能CD配置辅助表!$C$3:$J$14,8,0)-G104)/VLOOKUP(C104,技能CD配置辅助表!$C$3:$J$14,8,0),0)*IF(VLOOKUP(C104,技能CD配置辅助表!$C$3:$F$14,4,0)=1,1,4)</f>
        <v>470.35698099965191</v>
      </c>
      <c r="R104">
        <f t="shared" si="15"/>
        <v>1.35</v>
      </c>
    </row>
    <row r="105" spans="1:18" x14ac:dyDescent="0.15">
      <c r="A105">
        <f ca="1">VLOOKUP(B105,技能CD配置辅助表!$C$3:$K$14,9,0)+I105</f>
        <v>19124122</v>
      </c>
      <c r="B105" t="str">
        <f t="shared" si="9"/>
        <v>裂空·斩</v>
      </c>
      <c r="C105" t="s">
        <v>190</v>
      </c>
      <c r="D105">
        <f>VLOOKUP(C105,技能CD配置辅助表!$C$3:$E$14,3,0)</f>
        <v>1</v>
      </c>
      <c r="E105">
        <f>IF(I105=0,1,IF(I105&lt;3,VLOOKUP(C105,技能CD配置辅助表!$C$3:$I$14,7,0)+(I105-1)*2,VLOOKUP(C105,技能CD配置辅助表!$C$3:$I$14,7,0)+(I105-1)*3-1))</f>
        <v>68</v>
      </c>
      <c r="F105" t="str">
        <f t="shared" si="10"/>
        <v>第22级，技能冷却时间6.28秒</v>
      </c>
      <c r="G105">
        <f>VLOOKUP(C105,技能CD配置辅助表!$C$3:$J$14,8,0)-(VLOOKUP(C105,技能CD配置辅助表!$C$3:$J$14,8,0)-VLOOKUP(C105,技能CD配置辅助表!$C$2:$M$14,11,0))/(VLOOKUP(C105,技能CD配置辅助表!$C$3:$H$14,6,0)-1)*(I105-IF(I105=0,0,1))</f>
        <v>6280</v>
      </c>
      <c r="H105">
        <f ca="1">M105*'[1]0、经济设定'!$C$18*IF(E105&lt;J105,1,1)</f>
        <v>150900</v>
      </c>
      <c r="I105">
        <f t="shared" si="11"/>
        <v>22</v>
      </c>
      <c r="J105">
        <f>VLOOKUP(C105,技能CD配置辅助表!$C$3:$L$14,10,0)</f>
        <v>20</v>
      </c>
      <c r="K105">
        <f t="shared" ca="1" si="12"/>
        <v>870</v>
      </c>
      <c r="L105" s="45">
        <f t="shared" ca="1" si="14"/>
        <v>435</v>
      </c>
      <c r="M105">
        <f t="shared" ca="1" si="13"/>
        <v>3018</v>
      </c>
      <c r="N105">
        <f>VLOOKUP(C105,技能CD配置辅助表!$C$3:$H$14,6,0)</f>
        <v>26</v>
      </c>
      <c r="O105">
        <f>VLOOKUP(C105,技能CD配置辅助表!$C$3:$M$14,5,0)</f>
        <v>4</v>
      </c>
      <c r="P105">
        <f ca="1">IFERROR(VLOOKUP(A105+I105-10000003,D_技能表!A:AD,30,0)*(VLOOKUP(C105,技能CD配置辅助表!$C$3:$J$14,8,0)-G105)/VLOOKUP(C105,技能CD配置辅助表!$C$3:$J$14,8,0),0)*IF(VLOOKUP(C105,技能CD配置辅助表!$C$3:$F$14,4,0)=1,1,4)</f>
        <v>663.41463523277594</v>
      </c>
      <c r="R105">
        <f t="shared" si="15"/>
        <v>1.4</v>
      </c>
    </row>
    <row r="106" spans="1:18" x14ac:dyDescent="0.15">
      <c r="A106">
        <f ca="1">VLOOKUP(B106,技能CD配置辅助表!$C$3:$K$14,9,0)+I106</f>
        <v>19124123</v>
      </c>
      <c r="B106" t="str">
        <f t="shared" si="9"/>
        <v>裂空·斩</v>
      </c>
      <c r="C106" t="s">
        <v>190</v>
      </c>
      <c r="D106">
        <f>VLOOKUP(C106,技能CD配置辅助表!$C$3:$E$14,3,0)</f>
        <v>1</v>
      </c>
      <c r="E106">
        <f>IF(I106=0,1,IF(I106&lt;3,VLOOKUP(C106,技能CD配置辅助表!$C$3:$I$14,7,0)+(I106-1)*2,VLOOKUP(C106,技能CD配置辅助表!$C$3:$I$14,7,0)+(I106-1)*3-1))</f>
        <v>71</v>
      </c>
      <c r="F106" t="str">
        <f t="shared" si="10"/>
        <v>第23级，技能冷却时间5.96秒</v>
      </c>
      <c r="G106">
        <f>VLOOKUP(C106,技能CD配置辅助表!$C$3:$J$14,8,0)-(VLOOKUP(C106,技能CD配置辅助表!$C$3:$J$14,8,0)-VLOOKUP(C106,技能CD配置辅助表!$C$2:$M$14,11,0))/(VLOOKUP(C106,技能CD配置辅助表!$C$3:$H$14,6,0)-1)*(I106-IF(I106=0,0,1))</f>
        <v>5960</v>
      </c>
      <c r="H106">
        <f ca="1">M106*'[1]0、经济设定'!$C$18*IF(E106&lt;J106,1,1)</f>
        <v>176150</v>
      </c>
      <c r="I106">
        <f t="shared" si="11"/>
        <v>23</v>
      </c>
      <c r="J106">
        <f>VLOOKUP(C106,技能CD配置辅助表!$C$3:$L$14,10,0)</f>
        <v>20</v>
      </c>
      <c r="K106">
        <f t="shared" ca="1" si="12"/>
        <v>1047</v>
      </c>
      <c r="L106" s="45">
        <f t="shared" ca="1" si="14"/>
        <v>505</v>
      </c>
      <c r="M106">
        <f t="shared" ca="1" si="13"/>
        <v>3523</v>
      </c>
      <c r="N106">
        <f>VLOOKUP(C106,技能CD配置辅助表!$C$3:$H$14,6,0)</f>
        <v>26</v>
      </c>
      <c r="O106">
        <f>VLOOKUP(C106,技能CD配置辅助表!$C$3:$M$14,5,0)</f>
        <v>4</v>
      </c>
      <c r="P106">
        <f ca="1">IFERROR(VLOOKUP(A106+I106-10000003,D_技能表!A:AD,30,0)*(VLOOKUP(C106,技能CD配置辅助表!$C$3:$J$14,8,0)-G106)/VLOOKUP(C106,技能CD配置辅助表!$C$3:$J$14,8,0),0)*IF(VLOOKUP(C106,技能CD配置辅助表!$C$3:$F$14,4,0)=1,1,4)</f>
        <v>932.44146639281348</v>
      </c>
      <c r="R106">
        <f t="shared" si="15"/>
        <v>1.45</v>
      </c>
    </row>
    <row r="107" spans="1:18" x14ac:dyDescent="0.15">
      <c r="A107">
        <f ca="1">VLOOKUP(B107,技能CD配置辅助表!$C$3:$K$14,9,0)+I107</f>
        <v>19124124</v>
      </c>
      <c r="B107" t="str">
        <f t="shared" si="9"/>
        <v>裂空·斩</v>
      </c>
      <c r="C107" t="s">
        <v>190</v>
      </c>
      <c r="D107">
        <f>VLOOKUP(C107,技能CD配置辅助表!$C$3:$E$14,3,0)</f>
        <v>1</v>
      </c>
      <c r="E107">
        <f>IF(I107=0,1,IF(I107&lt;3,VLOOKUP(C107,技能CD配置辅助表!$C$3:$I$14,7,0)+(I107-1)*2,VLOOKUP(C107,技能CD配置辅助表!$C$3:$I$14,7,0)+(I107-1)*3-1))</f>
        <v>74</v>
      </c>
      <c r="F107" t="str">
        <f t="shared" si="10"/>
        <v>第24级，技能冷却时间5.64秒</v>
      </c>
      <c r="G107">
        <f>VLOOKUP(C107,技能CD配置辅助表!$C$3:$J$14,8,0)-(VLOOKUP(C107,技能CD配置辅助表!$C$3:$J$14,8,0)-VLOOKUP(C107,技能CD配置辅助表!$C$2:$M$14,11,0))/(VLOOKUP(C107,技能CD配置辅助表!$C$3:$H$14,6,0)-1)*(I107-IF(I107=0,0,1))</f>
        <v>5640</v>
      </c>
      <c r="H107">
        <f ca="1">M107*'[1]0、经济设定'!$C$18*IF(E107&lt;J107,1,1)</f>
        <v>205450</v>
      </c>
      <c r="I107">
        <f t="shared" si="11"/>
        <v>24</v>
      </c>
      <c r="J107">
        <f>VLOOKUP(C107,技能CD配置辅助表!$C$3:$L$14,10,0)</f>
        <v>20</v>
      </c>
      <c r="K107">
        <f t="shared" ca="1" si="12"/>
        <v>1256</v>
      </c>
      <c r="L107" s="45">
        <f t="shared" ca="1" si="14"/>
        <v>586</v>
      </c>
      <c r="M107">
        <f t="shared" ca="1" si="13"/>
        <v>4109</v>
      </c>
      <c r="N107">
        <f>VLOOKUP(C107,技能CD配置辅助表!$C$3:$H$14,6,0)</f>
        <v>26</v>
      </c>
      <c r="O107">
        <f>VLOOKUP(C107,技能CD配置辅助表!$C$3:$M$14,5,0)</f>
        <v>4</v>
      </c>
      <c r="P107">
        <f ca="1">IFERROR(VLOOKUP(A107+I107-10000003,D_技能表!A:AD,30,0)*(VLOOKUP(C107,技能CD配置辅助表!$C$3:$J$14,8,0)-G107)/VLOOKUP(C107,技能CD配置辅助表!$C$3:$J$14,8,0),0)*IF(VLOOKUP(C107,技能CD配置辅助表!$C$3:$F$14,4,0)=1,1,4)</f>
        <v>1306.3529967116172</v>
      </c>
      <c r="R107">
        <f t="shared" si="15"/>
        <v>1.5</v>
      </c>
    </row>
    <row r="108" spans="1:18" x14ac:dyDescent="0.15">
      <c r="A108">
        <f ca="1">VLOOKUP(B108,技能CD配置辅助表!$C$3:$K$14,9,0)+I108</f>
        <v>19124125</v>
      </c>
      <c r="B108" t="str">
        <f t="shared" si="9"/>
        <v>裂空·斩</v>
      </c>
      <c r="C108" t="s">
        <v>190</v>
      </c>
      <c r="D108">
        <f>VLOOKUP(C108,技能CD配置辅助表!$C$3:$E$14,3,0)</f>
        <v>1</v>
      </c>
      <c r="E108">
        <f>IF(I108=0,1,IF(I108&lt;3,VLOOKUP(C108,技能CD配置辅助表!$C$3:$I$14,7,0)+(I108-1)*2,VLOOKUP(C108,技能CD配置辅助表!$C$3:$I$14,7,0)+(I108-1)*3-1))</f>
        <v>77</v>
      </c>
      <c r="F108" t="str">
        <f t="shared" si="10"/>
        <v>第25级，技能冷却时间5.32秒</v>
      </c>
      <c r="G108">
        <f>VLOOKUP(C108,技能CD配置辅助表!$C$3:$J$14,8,0)-(VLOOKUP(C108,技能CD配置辅助表!$C$3:$J$14,8,0)-VLOOKUP(C108,技能CD配置辅助表!$C$2:$M$14,11,0))/(VLOOKUP(C108,技能CD配置辅助表!$C$3:$H$14,6,0)-1)*(I108-IF(I108=0,0,1))</f>
        <v>5320</v>
      </c>
      <c r="H108">
        <f ca="1">M108*'[1]0、经济设定'!$C$18*IF(E108&lt;J108,1,1)</f>
        <v>239450</v>
      </c>
      <c r="I108">
        <f t="shared" si="11"/>
        <v>25</v>
      </c>
      <c r="J108">
        <f>VLOOKUP(C108,技能CD配置辅助表!$C$3:$L$14,10,0)</f>
        <v>20</v>
      </c>
      <c r="K108">
        <f t="shared" ca="1" si="12"/>
        <v>1506</v>
      </c>
      <c r="L108" s="45">
        <f t="shared" ca="1" si="14"/>
        <v>680</v>
      </c>
      <c r="M108">
        <f t="shared" ca="1" si="13"/>
        <v>4789</v>
      </c>
      <c r="N108">
        <f>VLOOKUP(C108,技能CD配置辅助表!$C$3:$H$14,6,0)</f>
        <v>26</v>
      </c>
      <c r="O108">
        <f>VLOOKUP(C108,技能CD配置辅助表!$C$3:$M$14,5,0)</f>
        <v>4</v>
      </c>
      <c r="P108">
        <f ca="1">IFERROR(VLOOKUP(A108+I108-10000003,D_技能表!A:AD,30,0)*(VLOOKUP(C108,技能CD配置辅助表!$C$3:$J$14,8,0)-G108)/VLOOKUP(C108,技能CD配置辅助表!$C$3:$J$14,8,0),0)*IF(VLOOKUP(C108,技能CD配置辅助表!$C$3:$F$14,4,0)=1,1,4)</f>
        <v>1824.7805977871271</v>
      </c>
      <c r="R108">
        <f t="shared" si="15"/>
        <v>1.55</v>
      </c>
    </row>
    <row r="109" spans="1:18" x14ac:dyDescent="0.15">
      <c r="A109">
        <f ca="1">VLOOKUP(B109,技能CD配置辅助表!$C$3:$K$14,9,0)+I109</f>
        <v>19124126</v>
      </c>
      <c r="B109" t="str">
        <f t="shared" si="9"/>
        <v>裂空·斩</v>
      </c>
      <c r="C109" t="s">
        <v>190</v>
      </c>
      <c r="D109">
        <f>VLOOKUP(C109,技能CD配置辅助表!$C$3:$E$14,3,0)</f>
        <v>1</v>
      </c>
      <c r="E109">
        <f>IF(I109=0,1,IF(I109&lt;3,VLOOKUP(C109,技能CD配置辅助表!$C$3:$I$14,7,0)+(I109-1)*2,VLOOKUP(C109,技能CD配置辅助表!$C$3:$I$14,7,0)+(I109-1)*3-1))</f>
        <v>80</v>
      </c>
      <c r="F109" t="str">
        <f t="shared" si="10"/>
        <v>第26级，技能冷却时间5秒</v>
      </c>
      <c r="G109">
        <f>VLOOKUP(C109,技能CD配置辅助表!$C$3:$J$14,8,0)-(VLOOKUP(C109,技能CD配置辅助表!$C$3:$J$14,8,0)-VLOOKUP(C109,技能CD配置辅助表!$C$2:$M$14,11,0))/(VLOOKUP(C109,技能CD配置辅助表!$C$3:$H$14,6,0)-1)*(I109-IF(I109=0,0,1))</f>
        <v>5000</v>
      </c>
      <c r="H109">
        <f ca="1">M109*'[1]0、经济设定'!$C$18*IF(E109&lt;J109,1,1)</f>
        <v>278900</v>
      </c>
      <c r="I109">
        <f t="shared" si="11"/>
        <v>26</v>
      </c>
      <c r="J109">
        <f>VLOOKUP(C109,技能CD配置辅助表!$C$3:$L$14,10,0)</f>
        <v>20</v>
      </c>
      <c r="K109">
        <f t="shared" ca="1" si="12"/>
        <v>1804</v>
      </c>
      <c r="L109" s="45">
        <f t="shared" ca="1" si="14"/>
        <v>789</v>
      </c>
      <c r="M109">
        <f t="shared" ca="1" si="13"/>
        <v>5578</v>
      </c>
      <c r="N109">
        <f>VLOOKUP(C109,技能CD配置辅助表!$C$3:$H$14,6,0)</f>
        <v>26</v>
      </c>
      <c r="O109">
        <f>VLOOKUP(C109,技能CD配置辅助表!$C$3:$M$14,5,0)</f>
        <v>4</v>
      </c>
      <c r="P109">
        <f ca="1">IFERROR(VLOOKUP(A109+I109-10000003,D_技能表!A:AD,30,0)*(VLOOKUP(C109,技能CD配置辅助表!$C$3:$J$14,8,0)-G109)/VLOOKUP(C109,技能CD配置辅助表!$C$3:$J$14,8,0),0)*IF(VLOOKUP(C109,技能CD配置辅助表!$C$3:$F$14,4,0)=1,1,4)</f>
        <v>2541.9571032829704</v>
      </c>
      <c r="R109">
        <f t="shared" si="15"/>
        <v>1.6</v>
      </c>
    </row>
    <row r="110" spans="1:18" x14ac:dyDescent="0.15">
      <c r="A110">
        <f ca="1">VLOOKUP(B110,技能CD配置辅助表!$C$3:$K$14,9,0)+I110</f>
        <v>19211100</v>
      </c>
      <c r="B110" t="str">
        <f t="shared" si="9"/>
        <v>虎啸</v>
      </c>
      <c r="C110" t="s">
        <v>160</v>
      </c>
      <c r="D110">
        <f>VLOOKUP(C110,技能CD配置辅助表!$C$3:$E$14,3,0)</f>
        <v>2</v>
      </c>
      <c r="E110">
        <f>IF(I110=0,1,IF(I110&lt;3,VLOOKUP(C110,技能CD配置辅助表!$C$3:$I$14,7,0)+(I110-1)*2,VLOOKUP(C110,技能CD配置辅助表!$C$3:$I$14,7,0)+(I110-1)*3-1))</f>
        <v>1</v>
      </c>
      <c r="F110" t="str">
        <f t="shared" si="10"/>
        <v>第0级，技能冷却时间15秒</v>
      </c>
      <c r="G110">
        <f>VLOOKUP(C110,技能CD配置辅助表!$C$3:$J$14,8,0)-(VLOOKUP(C110,技能CD配置辅助表!$C$3:$J$14,8,0)-VLOOKUP(C110,技能CD配置辅助表!$C$2:$M$14,11,0))/(VLOOKUP(C110,技能CD配置辅助表!$C$3:$H$14,6,0)-1)*(I110-IF(I110=0,0,1))</f>
        <v>15000</v>
      </c>
      <c r="H110">
        <f>M110*'[1]0、经济设定'!$C$18*IF(E110&lt;J110,1,1)</f>
        <v>0</v>
      </c>
      <c r="I110">
        <f t="shared" si="11"/>
        <v>0</v>
      </c>
      <c r="J110">
        <f>VLOOKUP(C110,技能CD配置辅助表!$C$3:$L$14,10,0)</f>
        <v>20</v>
      </c>
      <c r="K110">
        <f t="shared" si="12"/>
        <v>0</v>
      </c>
      <c r="L110" s="45">
        <f t="shared" ca="1" si="14"/>
        <v>0</v>
      </c>
      <c r="M110">
        <f t="shared" si="13"/>
        <v>0</v>
      </c>
      <c r="N110">
        <f>VLOOKUP(C110,技能CD配置辅助表!$C$3:$H$14,6,0)</f>
        <v>26</v>
      </c>
      <c r="O110">
        <f>VLOOKUP(C110,技能CD配置辅助表!$C$3:$M$14,5,0)</f>
        <v>1</v>
      </c>
      <c r="P110">
        <f ca="1">IFERROR(VLOOKUP(A110+I110-10000003,D_技能表!A:AD,30,0)*(VLOOKUP(C110,技能CD配置辅助表!$C$3:$J$14,8,0)-G110)/VLOOKUP(C110,技能CD配置辅助表!$C$3:$J$14,8,0),0)*IF(VLOOKUP(C110,技能CD配置辅助表!$C$3:$F$14,4,0)=1,1,4)</f>
        <v>0</v>
      </c>
      <c r="R110">
        <f t="shared" si="15"/>
        <v>0</v>
      </c>
    </row>
    <row r="111" spans="1:18" x14ac:dyDescent="0.15">
      <c r="A111">
        <f ca="1">VLOOKUP(B111,技能CD配置辅助表!$C$3:$K$14,9,0)+I111</f>
        <v>19211101</v>
      </c>
      <c r="B111" t="str">
        <f t="shared" si="9"/>
        <v>虎啸</v>
      </c>
      <c r="C111" t="s">
        <v>160</v>
      </c>
      <c r="D111">
        <f>VLOOKUP(C111,技能CD配置辅助表!$C$3:$E$14,3,0)</f>
        <v>2</v>
      </c>
      <c r="E111">
        <f>IF(I111=0,1,IF(I111&lt;3,VLOOKUP(C111,技能CD配置辅助表!$C$3:$I$14,7,0)+(I111-1)*2,VLOOKUP(C111,技能CD配置辅助表!$C$3:$I$14,7,0)+(I111-1)*3-1))</f>
        <v>2</v>
      </c>
      <c r="F111" t="str">
        <f t="shared" si="10"/>
        <v>第1级，技能冷却时间15秒</v>
      </c>
      <c r="G111">
        <f>VLOOKUP(C111,技能CD配置辅助表!$C$3:$J$14,8,0)-(VLOOKUP(C111,技能CD配置辅助表!$C$3:$J$14,8,0)-VLOOKUP(C111,技能CD配置辅助表!$C$2:$M$14,11,0))/(VLOOKUP(C111,技能CD配置辅助表!$C$3:$H$14,6,0)-1)*(I111-IF(I111=0,0,1))</f>
        <v>15000</v>
      </c>
      <c r="H111">
        <f ca="1">M111*'[1]0、经济设定'!$C$18*IF(E111&lt;J111,1,1)</f>
        <v>0</v>
      </c>
      <c r="I111">
        <f t="shared" si="11"/>
        <v>1</v>
      </c>
      <c r="J111">
        <f>VLOOKUP(C111,技能CD配置辅助表!$C$3:$L$14,10,0)</f>
        <v>20</v>
      </c>
      <c r="K111">
        <f t="shared" si="12"/>
        <v>0</v>
      </c>
      <c r="L111" s="45">
        <f t="shared" ca="1" si="14"/>
        <v>0</v>
      </c>
      <c r="M111">
        <f t="shared" ca="1" si="13"/>
        <v>0</v>
      </c>
      <c r="N111">
        <f>VLOOKUP(C111,技能CD配置辅助表!$C$3:$H$14,6,0)</f>
        <v>26</v>
      </c>
      <c r="O111">
        <f>VLOOKUP(C111,技能CD配置辅助表!$C$3:$M$14,5,0)</f>
        <v>1</v>
      </c>
      <c r="P111">
        <f ca="1">IFERROR(VLOOKUP(A111+I111-10000003,D_技能表!A:AD,30,0)*(VLOOKUP(C111,技能CD配置辅助表!$C$3:$J$14,8,0)-G111)/VLOOKUP(C111,技能CD配置辅助表!$C$3:$J$14,8,0),0)*IF(VLOOKUP(C111,技能CD配置辅助表!$C$3:$F$14,4,0)=1,1,4)</f>
        <v>0</v>
      </c>
      <c r="R111">
        <f t="shared" si="15"/>
        <v>0</v>
      </c>
    </row>
    <row r="112" spans="1:18" x14ac:dyDescent="0.15">
      <c r="A112">
        <f ca="1">VLOOKUP(B112,技能CD配置辅助表!$C$3:$K$14,9,0)+I112</f>
        <v>19211102</v>
      </c>
      <c r="B112" t="str">
        <f t="shared" si="9"/>
        <v>虎啸</v>
      </c>
      <c r="C112" t="s">
        <v>160</v>
      </c>
      <c r="D112">
        <f>VLOOKUP(C112,技能CD配置辅助表!$C$3:$E$14,3,0)</f>
        <v>2</v>
      </c>
      <c r="E112">
        <f>IF(I112=0,1,IF(I112&lt;3,VLOOKUP(C112,技能CD配置辅助表!$C$3:$I$14,7,0)+(I112-1)*2,VLOOKUP(C112,技能CD配置辅助表!$C$3:$I$14,7,0)+(I112-1)*3-1))</f>
        <v>4</v>
      </c>
      <c r="F112" t="str">
        <f t="shared" si="10"/>
        <v>第2级，技能冷却时间14.64秒</v>
      </c>
      <c r="G112">
        <f>VLOOKUP(C112,技能CD配置辅助表!$C$3:$J$14,8,0)-(VLOOKUP(C112,技能CD配置辅助表!$C$3:$J$14,8,0)-VLOOKUP(C112,技能CD配置辅助表!$C$2:$M$14,11,0))/(VLOOKUP(C112,技能CD配置辅助表!$C$3:$H$14,6,0)-1)*(I112-IF(I112=0,0,1))</f>
        <v>14640</v>
      </c>
      <c r="H112">
        <f ca="1">M112*'[1]0、经济设定'!$C$18*IF(E112&lt;J112,1,1)</f>
        <v>600</v>
      </c>
      <c r="I112">
        <f t="shared" si="11"/>
        <v>2</v>
      </c>
      <c r="J112">
        <f>VLOOKUP(C112,技能CD配置辅助表!$C$3:$L$14,10,0)</f>
        <v>20</v>
      </c>
      <c r="K112">
        <f t="shared" si="12"/>
        <v>0</v>
      </c>
      <c r="L112" s="45">
        <f t="shared" ca="1" si="14"/>
        <v>12</v>
      </c>
      <c r="M112">
        <f t="shared" ca="1" si="13"/>
        <v>12</v>
      </c>
      <c r="N112">
        <f>VLOOKUP(C112,技能CD配置辅助表!$C$3:$H$14,6,0)</f>
        <v>26</v>
      </c>
      <c r="O112">
        <f>VLOOKUP(C112,技能CD配置辅助表!$C$3:$M$14,5,0)</f>
        <v>1</v>
      </c>
      <c r="P112">
        <f ca="1">IFERROR(VLOOKUP(A112+I112-10000003,D_技能表!A:AD,30,0)*(VLOOKUP(C112,技能CD配置辅助表!$C$3:$J$14,8,0)-G112)/VLOOKUP(C112,技能CD配置辅助表!$C$3:$J$14,8,0),0)*IF(VLOOKUP(C112,技能CD配置辅助表!$C$3:$F$14,4,0)=1,1,4)</f>
        <v>7.2998355058094211E-2</v>
      </c>
      <c r="R112">
        <f t="shared" si="15"/>
        <v>0</v>
      </c>
    </row>
    <row r="113" spans="1:18" x14ac:dyDescent="0.15">
      <c r="A113">
        <f ca="1">VLOOKUP(B113,技能CD配置辅助表!$C$3:$K$14,9,0)+I113</f>
        <v>19211103</v>
      </c>
      <c r="B113" t="str">
        <f t="shared" si="9"/>
        <v>虎啸</v>
      </c>
      <c r="C113" t="s">
        <v>160</v>
      </c>
      <c r="D113">
        <f>VLOOKUP(C113,技能CD配置辅助表!$C$3:$E$14,3,0)</f>
        <v>2</v>
      </c>
      <c r="E113">
        <f>IF(I113=0,1,IF(I113&lt;3,VLOOKUP(C113,技能CD配置辅助表!$C$3:$I$14,7,0)+(I113-1)*2,VLOOKUP(C113,技能CD配置辅助表!$C$3:$I$14,7,0)+(I113-1)*3-1))</f>
        <v>7</v>
      </c>
      <c r="F113" t="str">
        <f t="shared" si="10"/>
        <v>第3级，技能冷却时间14.28秒</v>
      </c>
      <c r="G113">
        <f>VLOOKUP(C113,技能CD配置辅助表!$C$3:$J$14,8,0)-(VLOOKUP(C113,技能CD配置辅助表!$C$3:$J$14,8,0)-VLOOKUP(C113,技能CD配置辅助表!$C$2:$M$14,11,0))/(VLOOKUP(C113,技能CD配置辅助表!$C$3:$H$14,6,0)-1)*(I113-IF(I113=0,0,1))</f>
        <v>14280</v>
      </c>
      <c r="H113">
        <f ca="1">M113*'[1]0、经济设定'!$C$18*IF(E113&lt;J113,1,1)</f>
        <v>1300</v>
      </c>
      <c r="I113">
        <f t="shared" si="11"/>
        <v>3</v>
      </c>
      <c r="J113">
        <f>VLOOKUP(C113,技能CD配置辅助表!$C$3:$L$14,10,0)</f>
        <v>20</v>
      </c>
      <c r="K113">
        <f t="shared" si="12"/>
        <v>0</v>
      </c>
      <c r="L113" s="45">
        <f t="shared" ca="1" si="14"/>
        <v>14</v>
      </c>
      <c r="M113">
        <f t="shared" ca="1" si="13"/>
        <v>26</v>
      </c>
      <c r="N113">
        <f>VLOOKUP(C113,技能CD配置辅助表!$C$3:$H$14,6,0)</f>
        <v>26</v>
      </c>
      <c r="O113">
        <f>VLOOKUP(C113,技能CD配置辅助表!$C$3:$M$14,5,0)</f>
        <v>1</v>
      </c>
      <c r="P113">
        <f ca="1">IFERROR(VLOOKUP(A113+I113-10000003,D_技能表!A:AD,30,0)*(VLOOKUP(C113,技能CD配置辅助表!$C$3:$J$14,8,0)-G113)/VLOOKUP(C113,技能CD配置辅助表!$C$3:$J$14,8,0),0)*IF(VLOOKUP(C113,技能CD配置辅助表!$C$3:$F$14,4,0)=1,1,4)</f>
        <v>0.19983819364992123</v>
      </c>
      <c r="R113">
        <f t="shared" si="15"/>
        <v>0</v>
      </c>
    </row>
    <row r="114" spans="1:18" x14ac:dyDescent="0.15">
      <c r="A114">
        <f ca="1">VLOOKUP(B114,技能CD配置辅助表!$C$3:$K$14,9,0)+I114</f>
        <v>19211104</v>
      </c>
      <c r="B114" t="str">
        <f t="shared" si="9"/>
        <v>虎啸</v>
      </c>
      <c r="C114" t="s">
        <v>160</v>
      </c>
      <c r="D114">
        <f>VLOOKUP(C114,技能CD配置辅助表!$C$3:$E$14,3,0)</f>
        <v>2</v>
      </c>
      <c r="E114">
        <f>IF(I114=0,1,IF(I114&lt;3,VLOOKUP(C114,技能CD配置辅助表!$C$3:$I$14,7,0)+(I114-1)*2,VLOOKUP(C114,技能CD配置辅助表!$C$3:$I$14,7,0)+(I114-1)*3-1))</f>
        <v>10</v>
      </c>
      <c r="F114" t="str">
        <f t="shared" si="10"/>
        <v>第4级，技能冷却时间13.92秒</v>
      </c>
      <c r="G114">
        <f>VLOOKUP(C114,技能CD配置辅助表!$C$3:$J$14,8,0)-(VLOOKUP(C114,技能CD配置辅助表!$C$3:$J$14,8,0)-VLOOKUP(C114,技能CD配置辅助表!$C$2:$M$14,11,0))/(VLOOKUP(C114,技能CD配置辅助表!$C$3:$H$14,6,0)-1)*(I114-IF(I114=0,0,1))</f>
        <v>13920</v>
      </c>
      <c r="H114">
        <f ca="1">M114*'[1]0、经济设定'!$C$18*IF(E114&lt;J114,1,1)</f>
        <v>2100</v>
      </c>
      <c r="I114">
        <f t="shared" si="11"/>
        <v>4</v>
      </c>
      <c r="J114">
        <f>VLOOKUP(C114,技能CD配置辅助表!$C$3:$L$14,10,0)</f>
        <v>20</v>
      </c>
      <c r="K114">
        <f t="shared" si="12"/>
        <v>0</v>
      </c>
      <c r="L114" s="45">
        <f t="shared" ca="1" si="14"/>
        <v>16</v>
      </c>
      <c r="M114">
        <f t="shared" ca="1" si="13"/>
        <v>42</v>
      </c>
      <c r="N114">
        <f>VLOOKUP(C114,技能CD配置辅助表!$C$3:$H$14,6,0)</f>
        <v>26</v>
      </c>
      <c r="O114">
        <f>VLOOKUP(C114,技能CD配置辅助表!$C$3:$M$14,5,0)</f>
        <v>1</v>
      </c>
      <c r="P114">
        <f ca="1">IFERROR(VLOOKUP(A114+I114-10000003,D_技能表!A:AD,30,0)*(VLOOKUP(C114,技能CD配置辅助表!$C$3:$J$14,8,0)-G114)/VLOOKUP(C114,技能CD配置辅助表!$C$3:$J$14,8,0),0)*IF(VLOOKUP(C114,技能CD配置辅助表!$C$3:$F$14,4,0)=1,1,4)</f>
        <v>0.4022757715643025</v>
      </c>
      <c r="R114">
        <f t="shared" si="15"/>
        <v>0</v>
      </c>
    </row>
    <row r="115" spans="1:18" x14ac:dyDescent="0.15">
      <c r="A115">
        <f ca="1">VLOOKUP(B115,技能CD配置辅助表!$C$3:$K$14,9,0)+I115</f>
        <v>19211105</v>
      </c>
      <c r="B115" t="str">
        <f t="shared" si="9"/>
        <v>虎啸</v>
      </c>
      <c r="C115" t="s">
        <v>160</v>
      </c>
      <c r="D115">
        <f>VLOOKUP(C115,技能CD配置辅助表!$C$3:$E$14,3,0)</f>
        <v>2</v>
      </c>
      <c r="E115">
        <f>IF(I115=0,1,IF(I115&lt;3,VLOOKUP(C115,技能CD配置辅助表!$C$3:$I$14,7,0)+(I115-1)*2,VLOOKUP(C115,技能CD配置辅助表!$C$3:$I$14,7,0)+(I115-1)*3-1))</f>
        <v>13</v>
      </c>
      <c r="F115" t="str">
        <f t="shared" si="10"/>
        <v>第5级，技能冷却时间13.56秒</v>
      </c>
      <c r="G115">
        <f>VLOOKUP(C115,技能CD配置辅助表!$C$3:$J$14,8,0)-(VLOOKUP(C115,技能CD配置辅助表!$C$3:$J$14,8,0)-VLOOKUP(C115,技能CD配置辅助表!$C$2:$M$14,11,0))/(VLOOKUP(C115,技能CD配置辅助表!$C$3:$H$14,6,0)-1)*(I115-IF(I115=0,0,1))</f>
        <v>13560</v>
      </c>
      <c r="H115">
        <f ca="1">M115*'[1]0、经济设定'!$C$18*IF(E115&lt;J115,1,1)</f>
        <v>3000</v>
      </c>
      <c r="I115">
        <f t="shared" si="11"/>
        <v>5</v>
      </c>
      <c r="J115">
        <f>VLOOKUP(C115,技能CD配置辅助表!$C$3:$L$14,10,0)</f>
        <v>20</v>
      </c>
      <c r="K115">
        <f t="shared" si="12"/>
        <v>0</v>
      </c>
      <c r="L115" s="45">
        <f t="shared" ca="1" si="14"/>
        <v>18</v>
      </c>
      <c r="M115">
        <f t="shared" ca="1" si="13"/>
        <v>60</v>
      </c>
      <c r="N115">
        <f>VLOOKUP(C115,技能CD配置辅助表!$C$3:$H$14,6,0)</f>
        <v>26</v>
      </c>
      <c r="O115">
        <f>VLOOKUP(C115,技能CD配置辅助表!$C$3:$M$14,5,0)</f>
        <v>1</v>
      </c>
      <c r="P115">
        <f ca="1">IFERROR(VLOOKUP(A115+I115-10000003,D_技能表!A:AD,30,0)*(VLOOKUP(C115,技能CD配置辅助表!$C$3:$J$14,8,0)-G115)/VLOOKUP(C115,技能CD配置辅助表!$C$3:$J$14,8,0),0)*IF(VLOOKUP(C115,技能CD配置辅助表!$C$3:$F$14,4,0)=1,1,4)</f>
        <v>0.71896779797698462</v>
      </c>
      <c r="R115">
        <f t="shared" si="15"/>
        <v>0.1</v>
      </c>
    </row>
    <row r="116" spans="1:18" x14ac:dyDescent="0.15">
      <c r="A116">
        <f ca="1">VLOOKUP(B116,技能CD配置辅助表!$C$3:$K$14,9,0)+I116</f>
        <v>19211106</v>
      </c>
      <c r="B116" t="str">
        <f t="shared" si="9"/>
        <v>虎啸</v>
      </c>
      <c r="C116" t="s">
        <v>160</v>
      </c>
      <c r="D116">
        <f>VLOOKUP(C116,技能CD配置辅助表!$C$3:$E$14,3,0)</f>
        <v>2</v>
      </c>
      <c r="E116">
        <f>IF(I116=0,1,IF(I116&lt;3,VLOOKUP(C116,技能CD配置辅助表!$C$3:$I$14,7,0)+(I116-1)*2,VLOOKUP(C116,技能CD配置辅助表!$C$3:$I$14,7,0)+(I116-1)*3-1))</f>
        <v>16</v>
      </c>
      <c r="F116" t="str">
        <f t="shared" si="10"/>
        <v>第6级，技能冷却时间13.2秒</v>
      </c>
      <c r="G116">
        <f>VLOOKUP(C116,技能CD配置辅助表!$C$3:$J$14,8,0)-(VLOOKUP(C116,技能CD配置辅助表!$C$3:$J$14,8,0)-VLOOKUP(C116,技能CD配置辅助表!$C$2:$M$14,11,0))/(VLOOKUP(C116,技能CD配置辅助表!$C$3:$H$14,6,0)-1)*(I116-IF(I116=0,0,1))</f>
        <v>13200</v>
      </c>
      <c r="H116">
        <f ca="1">M116*'[1]0、经济设定'!$C$18*IF(E116&lt;J116,1,1)</f>
        <v>4050</v>
      </c>
      <c r="I116">
        <f t="shared" si="11"/>
        <v>6</v>
      </c>
      <c r="J116">
        <f>VLOOKUP(C116,技能CD配置辅助表!$C$3:$L$14,10,0)</f>
        <v>20</v>
      </c>
      <c r="K116">
        <f t="shared" si="12"/>
        <v>0</v>
      </c>
      <c r="L116" s="45">
        <f t="shared" ca="1" si="14"/>
        <v>21</v>
      </c>
      <c r="M116">
        <f t="shared" ca="1" si="13"/>
        <v>81</v>
      </c>
      <c r="N116">
        <f>VLOOKUP(C116,技能CD配置辅助表!$C$3:$H$14,6,0)</f>
        <v>26</v>
      </c>
      <c r="O116">
        <f>VLOOKUP(C116,技能CD配置辅助表!$C$3:$M$14,5,0)</f>
        <v>1</v>
      </c>
      <c r="P116">
        <f ca="1">IFERROR(VLOOKUP(A116+I116-10000003,D_技能表!A:AD,30,0)*(VLOOKUP(C116,技能CD配置辅助表!$C$3:$J$14,8,0)-G116)/VLOOKUP(C116,技能CD配置辅助表!$C$3:$J$14,8,0),0)*IF(VLOOKUP(C116,技能CD配置辅助表!$C$3:$F$14,4,0)=1,1,4)</f>
        <v>1.2033500130905843</v>
      </c>
      <c r="R116">
        <f t="shared" si="15"/>
        <v>0.2</v>
      </c>
    </row>
    <row r="117" spans="1:18" x14ac:dyDescent="0.15">
      <c r="A117">
        <f ca="1">VLOOKUP(B117,技能CD配置辅助表!$C$3:$K$14,9,0)+I117</f>
        <v>19211107</v>
      </c>
      <c r="B117" t="str">
        <f t="shared" si="9"/>
        <v>虎啸</v>
      </c>
      <c r="C117" t="s">
        <v>160</v>
      </c>
      <c r="D117">
        <f>VLOOKUP(C117,技能CD配置辅助表!$C$3:$E$14,3,0)</f>
        <v>2</v>
      </c>
      <c r="E117">
        <f>IF(I117=0,1,IF(I117&lt;3,VLOOKUP(C117,技能CD配置辅助表!$C$3:$I$14,7,0)+(I117-1)*2,VLOOKUP(C117,技能CD配置辅助表!$C$3:$I$14,7,0)+(I117-1)*3-1))</f>
        <v>19</v>
      </c>
      <c r="F117" t="str">
        <f t="shared" si="10"/>
        <v>第7级，技能冷却时间12.84秒</v>
      </c>
      <c r="G117">
        <f>VLOOKUP(C117,技能CD配置辅助表!$C$3:$J$14,8,0)-(VLOOKUP(C117,技能CD配置辅助表!$C$3:$J$14,8,0)-VLOOKUP(C117,技能CD配置辅助表!$C$2:$M$14,11,0))/(VLOOKUP(C117,技能CD配置辅助表!$C$3:$H$14,6,0)-1)*(I117-IF(I117=0,0,1))</f>
        <v>12840</v>
      </c>
      <c r="H117">
        <f ca="1">M117*'[1]0、经济设定'!$C$18*IF(E117&lt;J117,1,1)</f>
        <v>5300</v>
      </c>
      <c r="I117">
        <f t="shared" si="11"/>
        <v>7</v>
      </c>
      <c r="J117">
        <f>VLOOKUP(C117,技能CD配置辅助表!$C$3:$L$14,10,0)</f>
        <v>20</v>
      </c>
      <c r="K117">
        <f t="shared" si="12"/>
        <v>0</v>
      </c>
      <c r="L117" s="45">
        <f t="shared" ca="1" si="14"/>
        <v>25</v>
      </c>
      <c r="M117">
        <f t="shared" ca="1" si="13"/>
        <v>106</v>
      </c>
      <c r="N117">
        <f>VLOOKUP(C117,技能CD配置辅助表!$C$3:$H$14,6,0)</f>
        <v>26</v>
      </c>
      <c r="O117">
        <f>VLOOKUP(C117,技能CD配置辅助表!$C$3:$M$14,5,0)</f>
        <v>1</v>
      </c>
      <c r="P117">
        <f ca="1">IFERROR(VLOOKUP(A117+I117-10000003,D_技能表!A:AD,30,0)*(VLOOKUP(C117,技能CD配置辅助表!$C$3:$J$14,8,0)-G117)/VLOOKUP(C117,技能CD配置辅助表!$C$3:$J$14,8,0),0)*IF(VLOOKUP(C117,技能CD配置辅助表!$C$3:$F$14,4,0)=1,1,4)</f>
        <v>1.9315292346859392</v>
      </c>
      <c r="R117">
        <f t="shared" si="15"/>
        <v>0.3</v>
      </c>
    </row>
    <row r="118" spans="1:18" x14ac:dyDescent="0.15">
      <c r="A118">
        <f ca="1">VLOOKUP(B118,技能CD配置辅助表!$C$3:$K$14,9,0)+I118</f>
        <v>19211108</v>
      </c>
      <c r="B118" t="str">
        <f t="shared" si="9"/>
        <v>虎啸</v>
      </c>
      <c r="C118" t="s">
        <v>160</v>
      </c>
      <c r="D118">
        <f>VLOOKUP(C118,技能CD配置辅助表!$C$3:$E$14,3,0)</f>
        <v>2</v>
      </c>
      <c r="E118">
        <f>IF(I118=0,1,IF(I118&lt;3,VLOOKUP(C118,技能CD配置辅助表!$C$3:$I$14,7,0)+(I118-1)*2,VLOOKUP(C118,技能CD配置辅助表!$C$3:$I$14,7,0)+(I118-1)*3-1))</f>
        <v>22</v>
      </c>
      <c r="F118" t="str">
        <f t="shared" si="10"/>
        <v>第8级，技能冷却时间12.48秒</v>
      </c>
      <c r="G118">
        <f>VLOOKUP(C118,技能CD配置辅助表!$C$3:$J$14,8,0)-(VLOOKUP(C118,技能CD配置辅助表!$C$3:$J$14,8,0)-VLOOKUP(C118,技能CD配置辅助表!$C$2:$M$14,11,0))/(VLOOKUP(C118,技能CD配置辅助表!$C$3:$H$14,6,0)-1)*(I118-IF(I118=0,0,1))</f>
        <v>12480</v>
      </c>
      <c r="H118">
        <f ca="1">M118*'[1]0、经济设定'!$C$18*IF(E118&lt;J118,1,1)</f>
        <v>6750</v>
      </c>
      <c r="I118">
        <f t="shared" si="11"/>
        <v>8</v>
      </c>
      <c r="J118">
        <f>VLOOKUP(C118,技能CD配置辅助表!$C$3:$L$14,10,0)</f>
        <v>20</v>
      </c>
      <c r="K118">
        <f t="shared" ca="1" si="12"/>
        <v>17</v>
      </c>
      <c r="L118" s="45">
        <f t="shared" ca="1" si="14"/>
        <v>29</v>
      </c>
      <c r="M118">
        <f t="shared" ca="1" si="13"/>
        <v>135</v>
      </c>
      <c r="N118">
        <f>VLOOKUP(C118,技能CD配置辅助表!$C$3:$H$14,6,0)</f>
        <v>26</v>
      </c>
      <c r="O118">
        <f>VLOOKUP(C118,技能CD配置辅助表!$C$3:$M$14,5,0)</f>
        <v>1</v>
      </c>
      <c r="P118">
        <f ca="1">IFERROR(VLOOKUP(A118+I118-10000003,D_技能表!A:AD,30,0)*(VLOOKUP(C118,技能CD配置辅助表!$C$3:$J$14,8,0)-G118)/VLOOKUP(C118,技能CD配置辅助表!$C$3:$J$14,8,0),0)*IF(VLOOKUP(C118,技能CD配置辅助表!$C$3:$F$14,4,0)=1,1,4)</f>
        <v>3.0113333876972308</v>
      </c>
      <c r="R118">
        <f t="shared" si="15"/>
        <v>0.4</v>
      </c>
    </row>
    <row r="119" spans="1:18" x14ac:dyDescent="0.15">
      <c r="A119">
        <f ca="1">VLOOKUP(B119,技能CD配置辅助表!$C$3:$K$14,9,0)+I119</f>
        <v>19211109</v>
      </c>
      <c r="B119" t="str">
        <f t="shared" si="9"/>
        <v>虎啸</v>
      </c>
      <c r="C119" t="s">
        <v>160</v>
      </c>
      <c r="D119">
        <f>VLOOKUP(C119,技能CD配置辅助表!$C$3:$E$14,3,0)</f>
        <v>2</v>
      </c>
      <c r="E119">
        <f>IF(I119=0,1,IF(I119&lt;3,VLOOKUP(C119,技能CD配置辅助表!$C$3:$I$14,7,0)+(I119-1)*2,VLOOKUP(C119,技能CD配置辅助表!$C$3:$I$14,7,0)+(I119-1)*3-1))</f>
        <v>25</v>
      </c>
      <c r="F119" t="str">
        <f t="shared" si="10"/>
        <v>第9级，技能冷却时间12.12秒</v>
      </c>
      <c r="G119">
        <f>VLOOKUP(C119,技能CD配置辅助表!$C$3:$J$14,8,0)-(VLOOKUP(C119,技能CD配置辅助表!$C$3:$J$14,8,0)-VLOOKUP(C119,技能CD配置辅助表!$C$2:$M$14,11,0))/(VLOOKUP(C119,技能CD配置辅助表!$C$3:$H$14,6,0)-1)*(I119-IF(I119=0,0,1))</f>
        <v>12120</v>
      </c>
      <c r="H119">
        <f ca="1">M119*'[1]0、经济设定'!$C$18*IF(E119&lt;J119,1,1)</f>
        <v>8450</v>
      </c>
      <c r="I119">
        <f t="shared" si="11"/>
        <v>9</v>
      </c>
      <c r="J119">
        <f>VLOOKUP(C119,技能CD配置辅助表!$C$3:$L$14,10,0)</f>
        <v>20</v>
      </c>
      <c r="K119">
        <f t="shared" ca="1" si="12"/>
        <v>25</v>
      </c>
      <c r="L119" s="45">
        <f t="shared" ca="1" si="14"/>
        <v>34</v>
      </c>
      <c r="M119">
        <f t="shared" ca="1" si="13"/>
        <v>169</v>
      </c>
      <c r="N119">
        <f>VLOOKUP(C119,技能CD配置辅助表!$C$3:$H$14,6,0)</f>
        <v>26</v>
      </c>
      <c r="O119">
        <f>VLOOKUP(C119,技能CD配置辅助表!$C$3:$M$14,5,0)</f>
        <v>1</v>
      </c>
      <c r="P119">
        <f ca="1">IFERROR(VLOOKUP(A119+I119-10000003,D_技能表!A:AD,30,0)*(VLOOKUP(C119,技能CD配置辅助表!$C$3:$J$14,8,0)-G119)/VLOOKUP(C119,技能CD配置辅助表!$C$3:$J$14,8,0),0)*IF(VLOOKUP(C119,技能CD配置辅助表!$C$3:$F$14,4,0)=1,1,4)</f>
        <v>4.5948248743897144</v>
      </c>
      <c r="R119">
        <f t="shared" si="15"/>
        <v>0.5</v>
      </c>
    </row>
    <row r="120" spans="1:18" x14ac:dyDescent="0.15">
      <c r="A120">
        <f ca="1">VLOOKUP(B120,技能CD配置辅助表!$C$3:$K$14,9,0)+I120</f>
        <v>19211110</v>
      </c>
      <c r="B120" t="str">
        <f t="shared" si="9"/>
        <v>虎啸</v>
      </c>
      <c r="C120" t="s">
        <v>160</v>
      </c>
      <c r="D120">
        <f>VLOOKUP(C120,技能CD配置辅助表!$C$3:$E$14,3,0)</f>
        <v>2</v>
      </c>
      <c r="E120">
        <f>IF(I120=0,1,IF(I120&lt;3,VLOOKUP(C120,技能CD配置辅助表!$C$3:$I$14,7,0)+(I120-1)*2,VLOOKUP(C120,技能CD配置辅助表!$C$3:$I$14,7,0)+(I120-1)*3-1))</f>
        <v>28</v>
      </c>
      <c r="F120" t="str">
        <f t="shared" si="10"/>
        <v>第10级，技能冷却时间11.76秒</v>
      </c>
      <c r="G120">
        <f>VLOOKUP(C120,技能CD配置辅助表!$C$3:$J$14,8,0)-(VLOOKUP(C120,技能CD配置辅助表!$C$3:$J$14,8,0)-VLOOKUP(C120,技能CD配置辅助表!$C$2:$M$14,11,0))/(VLOOKUP(C120,技能CD配置辅助表!$C$3:$H$14,6,0)-1)*(I120-IF(I120=0,0,1))</f>
        <v>11760</v>
      </c>
      <c r="H120">
        <f ca="1">M120*'[1]0、经济设定'!$C$18*IF(E120&lt;J120,1,1)</f>
        <v>10400</v>
      </c>
      <c r="I120">
        <f t="shared" si="11"/>
        <v>10</v>
      </c>
      <c r="J120">
        <f>VLOOKUP(C120,技能CD配置辅助表!$C$3:$L$14,10,0)</f>
        <v>20</v>
      </c>
      <c r="K120">
        <f t="shared" ca="1" si="12"/>
        <v>34</v>
      </c>
      <c r="L120" s="45">
        <f t="shared" ca="1" si="14"/>
        <v>39</v>
      </c>
      <c r="M120">
        <f t="shared" ca="1" si="13"/>
        <v>208</v>
      </c>
      <c r="N120">
        <f>VLOOKUP(C120,技能CD配置辅助表!$C$3:$H$14,6,0)</f>
        <v>26</v>
      </c>
      <c r="O120">
        <f>VLOOKUP(C120,技能CD配置辅助表!$C$3:$M$14,5,0)</f>
        <v>1</v>
      </c>
      <c r="P120">
        <f ca="1">IFERROR(VLOOKUP(A120+I120-10000003,D_技能表!A:AD,30,0)*(VLOOKUP(C120,技能CD配置辅助表!$C$3:$J$14,8,0)-G120)/VLOOKUP(C120,技能CD配置辅助表!$C$3:$J$14,8,0),0)*IF(VLOOKUP(C120,技能CD配置辅助表!$C$3:$F$14,4,0)=1,1,4)</f>
        <v>6.8955619506321355</v>
      </c>
      <c r="R120">
        <f t="shared" si="15"/>
        <v>0.6</v>
      </c>
    </row>
    <row r="121" spans="1:18" x14ac:dyDescent="0.15">
      <c r="A121">
        <f ca="1">VLOOKUP(B121,技能CD配置辅助表!$C$3:$K$14,9,0)+I121</f>
        <v>19211111</v>
      </c>
      <c r="B121" t="str">
        <f t="shared" si="9"/>
        <v>虎啸</v>
      </c>
      <c r="C121" t="s">
        <v>160</v>
      </c>
      <c r="D121">
        <f>VLOOKUP(C121,技能CD配置辅助表!$C$3:$E$14,3,0)</f>
        <v>2</v>
      </c>
      <c r="E121">
        <f>IF(I121=0,1,IF(I121&lt;3,VLOOKUP(C121,技能CD配置辅助表!$C$3:$I$14,7,0)+(I121-1)*2,VLOOKUP(C121,技能CD配置辅助表!$C$3:$I$14,7,0)+(I121-1)*3-1))</f>
        <v>31</v>
      </c>
      <c r="F121" t="str">
        <f t="shared" si="10"/>
        <v>第11级，技能冷却时间11.4秒</v>
      </c>
      <c r="G121">
        <f>VLOOKUP(C121,技能CD配置辅助表!$C$3:$J$14,8,0)-(VLOOKUP(C121,技能CD配置辅助表!$C$3:$J$14,8,0)-VLOOKUP(C121,技能CD配置辅助表!$C$2:$M$14,11,0))/(VLOOKUP(C121,技能CD配置辅助表!$C$3:$H$14,6,0)-1)*(I121-IF(I121=0,0,1))</f>
        <v>11400</v>
      </c>
      <c r="H121">
        <f ca="1">M121*'[1]0、经济设定'!$C$18*IF(E121&lt;J121,1,1)</f>
        <v>12700</v>
      </c>
      <c r="I121">
        <f t="shared" si="11"/>
        <v>11</v>
      </c>
      <c r="J121">
        <f>VLOOKUP(C121,技能CD配置辅助表!$C$3:$L$14,10,0)</f>
        <v>20</v>
      </c>
      <c r="K121">
        <f t="shared" ca="1" si="12"/>
        <v>46</v>
      </c>
      <c r="L121" s="45">
        <f t="shared" ca="1" si="14"/>
        <v>46</v>
      </c>
      <c r="M121">
        <f t="shared" ca="1" si="13"/>
        <v>254</v>
      </c>
      <c r="N121">
        <f>VLOOKUP(C121,技能CD配置辅助表!$C$3:$H$14,6,0)</f>
        <v>26</v>
      </c>
      <c r="O121">
        <f>VLOOKUP(C121,技能CD配置辅助表!$C$3:$M$14,5,0)</f>
        <v>1</v>
      </c>
      <c r="P121">
        <f ca="1">IFERROR(VLOOKUP(A121+I121-10000003,D_技能表!A:AD,30,0)*(VLOOKUP(C121,技能CD配置辅助表!$C$3:$J$14,8,0)-G121)/VLOOKUP(C121,技能CD配置辅助表!$C$3:$J$14,8,0),0)*IF(VLOOKUP(C121,技能CD配置辅助表!$C$3:$F$14,4,0)=1,1,4)</f>
        <v>10.212357943475304</v>
      </c>
      <c r="R121">
        <f t="shared" si="15"/>
        <v>0.7</v>
      </c>
    </row>
    <row r="122" spans="1:18" x14ac:dyDescent="0.15">
      <c r="A122">
        <f ca="1">VLOOKUP(B122,技能CD配置辅助表!$C$3:$K$14,9,0)+I122</f>
        <v>19211112</v>
      </c>
      <c r="B122" t="str">
        <f t="shared" si="9"/>
        <v>虎啸</v>
      </c>
      <c r="C122" t="s">
        <v>160</v>
      </c>
      <c r="D122">
        <f>VLOOKUP(C122,技能CD配置辅助表!$C$3:$E$14,3,0)</f>
        <v>2</v>
      </c>
      <c r="E122">
        <f>IF(I122=0,1,IF(I122&lt;3,VLOOKUP(C122,技能CD配置辅助表!$C$3:$I$14,7,0)+(I122-1)*2,VLOOKUP(C122,技能CD配置辅助表!$C$3:$I$14,7,0)+(I122-1)*3-1))</f>
        <v>34</v>
      </c>
      <c r="F122" t="str">
        <f t="shared" si="10"/>
        <v>第12级，技能冷却时间11.04秒</v>
      </c>
      <c r="G122">
        <f>VLOOKUP(C122,技能CD配置辅助表!$C$3:$J$14,8,0)-(VLOOKUP(C122,技能CD配置辅助表!$C$3:$J$14,8,0)-VLOOKUP(C122,技能CD配置辅助表!$C$2:$M$14,11,0))/(VLOOKUP(C122,技能CD配置辅助表!$C$3:$H$14,6,0)-1)*(I122-IF(I122=0,0,1))</f>
        <v>11040</v>
      </c>
      <c r="H122">
        <f ca="1">M122*'[1]0、经济设定'!$C$18*IF(E122&lt;J122,1,1)</f>
        <v>15350</v>
      </c>
      <c r="I122">
        <f t="shared" si="11"/>
        <v>12</v>
      </c>
      <c r="J122">
        <f>VLOOKUP(C122,技能CD配置辅助表!$C$3:$L$14,10,0)</f>
        <v>20</v>
      </c>
      <c r="K122">
        <f t="shared" ca="1" si="12"/>
        <v>61</v>
      </c>
      <c r="L122" s="45">
        <f t="shared" ca="1" si="14"/>
        <v>53</v>
      </c>
      <c r="M122">
        <f t="shared" ca="1" si="13"/>
        <v>307</v>
      </c>
      <c r="N122">
        <f>VLOOKUP(C122,技能CD配置辅助表!$C$3:$H$14,6,0)</f>
        <v>26</v>
      </c>
      <c r="O122">
        <f>VLOOKUP(C122,技能CD配置辅助表!$C$3:$M$14,5,0)</f>
        <v>1</v>
      </c>
      <c r="P122">
        <f ca="1">IFERROR(VLOOKUP(A122+I122-10000003,D_技能表!A:AD,30,0)*(VLOOKUP(C122,技能CD配置辅助表!$C$3:$J$14,8,0)-G122)/VLOOKUP(C122,技能CD配置辅助表!$C$3:$J$14,8,0),0)*IF(VLOOKUP(C122,技能CD配置辅助表!$C$3:$F$14,4,0)=1,1,4)</f>
        <v>14.961918537038089</v>
      </c>
      <c r="R122">
        <f t="shared" si="15"/>
        <v>0.8</v>
      </c>
    </row>
    <row r="123" spans="1:18" x14ac:dyDescent="0.15">
      <c r="A123">
        <f ca="1">VLOOKUP(B123,技能CD配置辅助表!$C$3:$K$14,9,0)+I123</f>
        <v>19211113</v>
      </c>
      <c r="B123" t="str">
        <f t="shared" si="9"/>
        <v>虎啸</v>
      </c>
      <c r="C123" t="s">
        <v>160</v>
      </c>
      <c r="D123">
        <f>VLOOKUP(C123,技能CD配置辅助表!$C$3:$E$14,3,0)</f>
        <v>2</v>
      </c>
      <c r="E123">
        <f>IF(I123=0,1,IF(I123&lt;3,VLOOKUP(C123,技能CD配置辅助表!$C$3:$I$14,7,0)+(I123-1)*2,VLOOKUP(C123,技能CD配置辅助表!$C$3:$I$14,7,0)+(I123-1)*3-1))</f>
        <v>37</v>
      </c>
      <c r="F123" t="str">
        <f t="shared" si="10"/>
        <v>第13级，技能冷却时间10.68秒</v>
      </c>
      <c r="G123">
        <f>VLOOKUP(C123,技能CD配置辅助表!$C$3:$J$14,8,0)-(VLOOKUP(C123,技能CD配置辅助表!$C$3:$J$14,8,0)-VLOOKUP(C123,技能CD配置辅助表!$C$2:$M$14,11,0))/(VLOOKUP(C123,技能CD配置辅助表!$C$3:$H$14,6,0)-1)*(I123-IF(I123=0,0,1))</f>
        <v>10680</v>
      </c>
      <c r="H123">
        <f ca="1">M123*'[1]0、经济设定'!$C$18*IF(E123&lt;J123,1,1)</f>
        <v>18400</v>
      </c>
      <c r="I123">
        <f t="shared" si="11"/>
        <v>13</v>
      </c>
      <c r="J123">
        <f>VLOOKUP(C123,技能CD配置辅助表!$C$3:$L$14,10,0)</f>
        <v>20</v>
      </c>
      <c r="K123">
        <f t="shared" ca="1" si="12"/>
        <v>79</v>
      </c>
      <c r="L123" s="45">
        <f t="shared" ca="1" si="14"/>
        <v>61</v>
      </c>
      <c r="M123">
        <f t="shared" ca="1" si="13"/>
        <v>368</v>
      </c>
      <c r="N123">
        <f>VLOOKUP(C123,技能CD配置辅助表!$C$3:$H$14,6,0)</f>
        <v>26</v>
      </c>
      <c r="O123">
        <f>VLOOKUP(C123,技能CD配置辅助表!$C$3:$M$14,5,0)</f>
        <v>1</v>
      </c>
      <c r="P123">
        <f ca="1">IFERROR(VLOOKUP(A123+I123-10000003,D_技能表!A:AD,30,0)*(VLOOKUP(C123,技能CD配置辅助表!$C$3:$J$14,8,0)-G123)/VLOOKUP(C123,技能CD配置辅助表!$C$3:$J$14,8,0),0)*IF(VLOOKUP(C123,技能CD配置辅助表!$C$3:$F$14,4,0)=1,1,4)</f>
        <v>21.723590733865727</v>
      </c>
      <c r="R123">
        <f t="shared" si="15"/>
        <v>0.9</v>
      </c>
    </row>
    <row r="124" spans="1:18" x14ac:dyDescent="0.15">
      <c r="A124">
        <f ca="1">VLOOKUP(B124,技能CD配置辅助表!$C$3:$K$14,9,0)+I124</f>
        <v>19211114</v>
      </c>
      <c r="B124" t="str">
        <f t="shared" si="9"/>
        <v>虎啸</v>
      </c>
      <c r="C124" t="s">
        <v>160</v>
      </c>
      <c r="D124">
        <f>VLOOKUP(C124,技能CD配置辅助表!$C$3:$E$14,3,0)</f>
        <v>2</v>
      </c>
      <c r="E124">
        <f>IF(I124=0,1,IF(I124&lt;3,VLOOKUP(C124,技能CD配置辅助表!$C$3:$I$14,7,0)+(I124-1)*2,VLOOKUP(C124,技能CD配置辅助表!$C$3:$I$14,7,0)+(I124-1)*3-1))</f>
        <v>40</v>
      </c>
      <c r="F124" t="str">
        <f t="shared" si="10"/>
        <v>第14级，技能冷却时间10.32秒</v>
      </c>
      <c r="G124">
        <f>VLOOKUP(C124,技能CD配置辅助表!$C$3:$J$14,8,0)-(VLOOKUP(C124,技能CD配置辅助表!$C$3:$J$14,8,0)-VLOOKUP(C124,技能CD配置辅助表!$C$2:$M$14,11,0))/(VLOOKUP(C124,技能CD配置辅助表!$C$3:$H$14,6,0)-1)*(I124-IF(I124=0,0,1))</f>
        <v>10320</v>
      </c>
      <c r="H124">
        <f ca="1">M124*'[1]0、经济设定'!$C$18*IF(E124&lt;J124,1,1)</f>
        <v>21950</v>
      </c>
      <c r="I124">
        <f t="shared" si="11"/>
        <v>14</v>
      </c>
      <c r="J124">
        <f>VLOOKUP(C124,技能CD配置辅助表!$C$3:$L$14,10,0)</f>
        <v>20</v>
      </c>
      <c r="K124">
        <f t="shared" ca="1" si="12"/>
        <v>102</v>
      </c>
      <c r="L124" s="45">
        <f t="shared" ca="1" si="14"/>
        <v>71</v>
      </c>
      <c r="M124">
        <f t="shared" ca="1" si="13"/>
        <v>439</v>
      </c>
      <c r="N124">
        <f>VLOOKUP(C124,技能CD配置辅助表!$C$3:$H$14,6,0)</f>
        <v>26</v>
      </c>
      <c r="O124">
        <f>VLOOKUP(C124,技能CD配置辅助表!$C$3:$M$14,5,0)</f>
        <v>1</v>
      </c>
      <c r="P124">
        <f ca="1">IFERROR(VLOOKUP(A124+I124-10000003,D_技能表!A:AD,30,0)*(VLOOKUP(C124,技能CD配置辅助表!$C$3:$J$14,8,0)-G124)/VLOOKUP(C124,技能CD配置辅助表!$C$3:$J$14,8,0),0)*IF(VLOOKUP(C124,技能CD配置辅助表!$C$3:$F$14,4,0)=1,1,4)</f>
        <v>31.300611166144069</v>
      </c>
      <c r="R124">
        <f t="shared" si="15"/>
        <v>1</v>
      </c>
    </row>
    <row r="125" spans="1:18" x14ac:dyDescent="0.15">
      <c r="A125">
        <f ca="1">VLOOKUP(B125,技能CD配置辅助表!$C$3:$K$14,9,0)+I125</f>
        <v>19211115</v>
      </c>
      <c r="B125" t="str">
        <f t="shared" si="9"/>
        <v>虎啸</v>
      </c>
      <c r="C125" t="s">
        <v>160</v>
      </c>
      <c r="D125">
        <f>VLOOKUP(C125,技能CD配置辅助表!$C$3:$E$14,3,0)</f>
        <v>2</v>
      </c>
      <c r="E125">
        <f>IF(I125=0,1,IF(I125&lt;3,VLOOKUP(C125,技能CD配置辅助表!$C$3:$I$14,7,0)+(I125-1)*2,VLOOKUP(C125,技能CD配置辅助表!$C$3:$I$14,7,0)+(I125-1)*3-1))</f>
        <v>43</v>
      </c>
      <c r="F125" t="str">
        <f t="shared" si="10"/>
        <v>第15级，技能冷却时间9.96秒</v>
      </c>
      <c r="G125">
        <f>VLOOKUP(C125,技能CD配置辅助表!$C$3:$J$14,8,0)-(VLOOKUP(C125,技能CD配置辅助表!$C$3:$J$14,8,0)-VLOOKUP(C125,技能CD配置辅助表!$C$2:$M$14,11,0))/(VLOOKUP(C125,技能CD配置辅助表!$C$3:$H$14,6,0)-1)*(I125-IF(I125=0,0,1))</f>
        <v>9960</v>
      </c>
      <c r="H125">
        <f ca="1">M125*'[1]0、经济设定'!$C$18*IF(E125&lt;J125,1,1)</f>
        <v>26050</v>
      </c>
      <c r="I125">
        <f t="shared" si="11"/>
        <v>15</v>
      </c>
      <c r="J125">
        <f>VLOOKUP(C125,技能CD配置辅助表!$C$3:$L$14,10,0)</f>
        <v>20</v>
      </c>
      <c r="K125">
        <f t="shared" ca="1" si="12"/>
        <v>123</v>
      </c>
      <c r="L125" s="45">
        <f t="shared" ca="1" si="14"/>
        <v>82</v>
      </c>
      <c r="M125">
        <f t="shared" ca="1" si="13"/>
        <v>521</v>
      </c>
      <c r="N125">
        <f>VLOOKUP(C125,技能CD配置辅助表!$C$3:$H$14,6,0)</f>
        <v>26</v>
      </c>
      <c r="O125">
        <f>VLOOKUP(C125,技能CD配置辅助表!$C$3:$M$14,5,0)</f>
        <v>1</v>
      </c>
      <c r="P125">
        <f ca="1">IFERROR(VLOOKUP(A125+I125-10000003,D_技能表!A:AD,30,0)*(VLOOKUP(C125,技能CD配置辅助表!$C$3:$J$14,8,0)-G125)/VLOOKUP(C125,技能CD配置辅助表!$C$3:$J$14,8,0),0)*IF(VLOOKUP(C125,技能CD配置辅助表!$C$3:$F$14,4,0)=1,1,4)</f>
        <v>44.803800617699778</v>
      </c>
      <c r="R125">
        <f t="shared" si="15"/>
        <v>1.05</v>
      </c>
    </row>
    <row r="126" spans="1:18" x14ac:dyDescent="0.15">
      <c r="A126">
        <f ca="1">VLOOKUP(B126,技能CD配置辅助表!$C$3:$K$14,9,0)+I126</f>
        <v>19211116</v>
      </c>
      <c r="B126" t="str">
        <f t="shared" si="9"/>
        <v>虎啸</v>
      </c>
      <c r="C126" t="s">
        <v>160</v>
      </c>
      <c r="D126">
        <f>VLOOKUP(C126,技能CD配置辅助表!$C$3:$E$14,3,0)</f>
        <v>2</v>
      </c>
      <c r="E126">
        <f>IF(I126=0,1,IF(I126&lt;3,VLOOKUP(C126,技能CD配置辅助表!$C$3:$I$14,7,0)+(I126-1)*2,VLOOKUP(C126,技能CD配置辅助表!$C$3:$I$14,7,0)+(I126-1)*3-1))</f>
        <v>46</v>
      </c>
      <c r="F126" t="str">
        <f t="shared" si="10"/>
        <v>第16级，技能冷却时间9.6秒</v>
      </c>
      <c r="G126">
        <f>VLOOKUP(C126,技能CD配置辅助表!$C$3:$J$14,8,0)-(VLOOKUP(C126,技能CD配置辅助表!$C$3:$J$14,8,0)-VLOOKUP(C126,技能CD配置辅助表!$C$2:$M$14,11,0))/(VLOOKUP(C126,技能CD配置辅助表!$C$3:$H$14,6,0)-1)*(I126-IF(I126=0,0,1))</f>
        <v>9600</v>
      </c>
      <c r="H126">
        <f ca="1">M126*'[1]0、经济设定'!$C$18*IF(E126&lt;J126,1,1)</f>
        <v>30800</v>
      </c>
      <c r="I126">
        <f t="shared" si="11"/>
        <v>16</v>
      </c>
      <c r="J126">
        <f>VLOOKUP(C126,技能CD配置辅助表!$C$3:$L$14,10,0)</f>
        <v>20</v>
      </c>
      <c r="K126">
        <f t="shared" ca="1" si="12"/>
        <v>150</v>
      </c>
      <c r="L126" s="45">
        <f t="shared" ca="1" si="14"/>
        <v>95</v>
      </c>
      <c r="M126">
        <f t="shared" ca="1" si="13"/>
        <v>616</v>
      </c>
      <c r="N126">
        <f>VLOOKUP(C126,技能CD配置辅助表!$C$3:$H$14,6,0)</f>
        <v>26</v>
      </c>
      <c r="O126">
        <f>VLOOKUP(C126,技能CD配置辅助表!$C$3:$M$14,5,0)</f>
        <v>1</v>
      </c>
      <c r="P126">
        <f ca="1">IFERROR(VLOOKUP(A126+I126-10000003,D_技能表!A:AD,30,0)*(VLOOKUP(C126,技能CD配置辅助表!$C$3:$J$14,8,0)-G126)/VLOOKUP(C126,技能CD配置辅助表!$C$3:$J$14,8,0),0)*IF(VLOOKUP(C126,技能CD配置辅助表!$C$3:$F$14,4,0)=1,1,4)</f>
        <v>63.765756189120133</v>
      </c>
      <c r="R126">
        <f t="shared" si="15"/>
        <v>1.1000000000000001</v>
      </c>
    </row>
    <row r="127" spans="1:18" x14ac:dyDescent="0.15">
      <c r="A127">
        <f ca="1">VLOOKUP(B127,技能CD配置辅助表!$C$3:$K$14,9,0)+I127</f>
        <v>19211117</v>
      </c>
      <c r="B127" t="str">
        <f t="shared" si="9"/>
        <v>虎啸</v>
      </c>
      <c r="C127" t="s">
        <v>160</v>
      </c>
      <c r="D127">
        <f>VLOOKUP(C127,技能CD配置辅助表!$C$3:$E$14,3,0)</f>
        <v>2</v>
      </c>
      <c r="E127">
        <f>IF(I127=0,1,IF(I127&lt;3,VLOOKUP(C127,技能CD配置辅助表!$C$3:$I$14,7,0)+(I127-1)*2,VLOOKUP(C127,技能CD配置辅助表!$C$3:$I$14,7,0)+(I127-1)*3-1))</f>
        <v>49</v>
      </c>
      <c r="F127" t="str">
        <f t="shared" si="10"/>
        <v>第17级，技能冷却时间9.24秒</v>
      </c>
      <c r="G127">
        <f>VLOOKUP(C127,技能CD配置辅助表!$C$3:$J$14,8,0)-(VLOOKUP(C127,技能CD配置辅助表!$C$3:$J$14,8,0)-VLOOKUP(C127,技能CD配置辅助表!$C$2:$M$14,11,0))/(VLOOKUP(C127,技能CD配置辅助表!$C$3:$H$14,6,0)-1)*(I127-IF(I127=0,0,1))</f>
        <v>9240</v>
      </c>
      <c r="H127">
        <f ca="1">M127*'[1]0、经济设定'!$C$18*IF(E127&lt;J127,1,1)</f>
        <v>36350</v>
      </c>
      <c r="I127">
        <f t="shared" si="11"/>
        <v>17</v>
      </c>
      <c r="J127">
        <f>VLOOKUP(C127,技能CD配置辅助表!$C$3:$L$14,10,0)</f>
        <v>20</v>
      </c>
      <c r="K127">
        <f t="shared" ca="1" si="12"/>
        <v>183</v>
      </c>
      <c r="L127" s="45">
        <f t="shared" ca="1" si="14"/>
        <v>111</v>
      </c>
      <c r="M127">
        <f t="shared" ca="1" si="13"/>
        <v>727</v>
      </c>
      <c r="N127">
        <f>VLOOKUP(C127,技能CD配置辅助表!$C$3:$H$14,6,0)</f>
        <v>26</v>
      </c>
      <c r="O127">
        <f>VLOOKUP(C127,技能CD配置辅助表!$C$3:$M$14,5,0)</f>
        <v>1</v>
      </c>
      <c r="P127">
        <f ca="1">IFERROR(VLOOKUP(A127+I127-10000003,D_技能表!A:AD,30,0)*(VLOOKUP(C127,技能CD配置辅助表!$C$3:$J$14,8,0)-G127)/VLOOKUP(C127,技能CD配置辅助表!$C$3:$J$14,8,0),0)*IF(VLOOKUP(C127,技能CD配置辅助表!$C$3:$F$14,4,0)=1,1,4)</f>
        <v>90.296430761772811</v>
      </c>
      <c r="R127">
        <f t="shared" si="15"/>
        <v>1.1499999999999999</v>
      </c>
    </row>
    <row r="128" spans="1:18" x14ac:dyDescent="0.15">
      <c r="A128">
        <f ca="1">VLOOKUP(B128,技能CD配置辅助表!$C$3:$K$14,9,0)+I128</f>
        <v>19211118</v>
      </c>
      <c r="B128" t="str">
        <f t="shared" si="9"/>
        <v>虎啸</v>
      </c>
      <c r="C128" t="s">
        <v>160</v>
      </c>
      <c r="D128">
        <f>VLOOKUP(C128,技能CD配置辅助表!$C$3:$E$14,3,0)</f>
        <v>2</v>
      </c>
      <c r="E128">
        <f>IF(I128=0,1,IF(I128&lt;3,VLOOKUP(C128,技能CD配置辅助表!$C$3:$I$14,7,0)+(I128-1)*2,VLOOKUP(C128,技能CD配置辅助表!$C$3:$I$14,7,0)+(I128-1)*3-1))</f>
        <v>52</v>
      </c>
      <c r="F128" t="str">
        <f t="shared" si="10"/>
        <v>第18级，技能冷却时间8.88秒</v>
      </c>
      <c r="G128">
        <f>VLOOKUP(C128,技能CD配置辅助表!$C$3:$J$14,8,0)-(VLOOKUP(C128,技能CD配置辅助表!$C$3:$J$14,8,0)-VLOOKUP(C128,技能CD配置辅助表!$C$2:$M$14,11,0))/(VLOOKUP(C128,技能CD配置辅助表!$C$3:$H$14,6,0)-1)*(I128-IF(I128=0,0,1))</f>
        <v>8880</v>
      </c>
      <c r="H128">
        <f ca="1">M128*'[1]0、经济设定'!$C$18*IF(E128&lt;J128,1,1)</f>
        <v>42750</v>
      </c>
      <c r="I128">
        <f t="shared" si="11"/>
        <v>18</v>
      </c>
      <c r="J128">
        <f>VLOOKUP(C128,技能CD配置辅助表!$C$3:$L$14,10,0)</f>
        <v>20</v>
      </c>
      <c r="K128">
        <f t="shared" ca="1" si="12"/>
        <v>220</v>
      </c>
      <c r="L128" s="45">
        <f t="shared" ca="1" si="14"/>
        <v>128</v>
      </c>
      <c r="M128">
        <f t="shared" ca="1" si="13"/>
        <v>855</v>
      </c>
      <c r="N128">
        <f>VLOOKUP(C128,技能CD配置辅助表!$C$3:$H$14,6,0)</f>
        <v>26</v>
      </c>
      <c r="O128">
        <f>VLOOKUP(C128,技能CD配置辅助表!$C$3:$M$14,5,0)</f>
        <v>1</v>
      </c>
      <c r="P128">
        <f ca="1">IFERROR(VLOOKUP(A128+I128-10000003,D_技能表!A:AD,30,0)*(VLOOKUP(C128,技能CD配置辅助表!$C$3:$J$14,8,0)-G128)/VLOOKUP(C128,技能CD配置辅助表!$C$3:$J$14,8,0),0)*IF(VLOOKUP(C128,技能CD配置辅助表!$C$3:$F$14,4,0)=1,1,4)</f>
        <v>127.29481382450153</v>
      </c>
      <c r="R128">
        <f t="shared" si="15"/>
        <v>1.2</v>
      </c>
    </row>
    <row r="129" spans="1:18" x14ac:dyDescent="0.15">
      <c r="A129">
        <f ca="1">VLOOKUP(B129,技能CD配置辅助表!$C$3:$K$14,9,0)+I129</f>
        <v>19211119</v>
      </c>
      <c r="B129" t="str">
        <f t="shared" si="9"/>
        <v>虎啸</v>
      </c>
      <c r="C129" t="s">
        <v>160</v>
      </c>
      <c r="D129">
        <f>VLOOKUP(C129,技能CD配置辅助表!$C$3:$E$14,3,0)</f>
        <v>2</v>
      </c>
      <c r="E129">
        <f>IF(I129=0,1,IF(I129&lt;3,VLOOKUP(C129,技能CD配置辅助表!$C$3:$I$14,7,0)+(I129-1)*2,VLOOKUP(C129,技能CD配置辅助表!$C$3:$I$14,7,0)+(I129-1)*3-1))</f>
        <v>55</v>
      </c>
      <c r="F129" t="str">
        <f t="shared" si="10"/>
        <v>第19级，技能冷却时间8.52秒</v>
      </c>
      <c r="G129">
        <f>VLOOKUP(C129,技能CD配置辅助表!$C$3:$J$14,8,0)-(VLOOKUP(C129,技能CD配置辅助表!$C$3:$J$14,8,0)-VLOOKUP(C129,技能CD配置辅助表!$C$2:$M$14,11,0))/(VLOOKUP(C129,技能CD配置辅助表!$C$3:$H$14,6,0)-1)*(I129-IF(I129=0,0,1))</f>
        <v>8520</v>
      </c>
      <c r="H129">
        <f ca="1">M129*'[1]0、经济设定'!$C$18*IF(E129&lt;J129,1,1)</f>
        <v>50200</v>
      </c>
      <c r="I129">
        <f t="shared" si="11"/>
        <v>19</v>
      </c>
      <c r="J129">
        <f>VLOOKUP(C129,技能CD配置辅助表!$C$3:$L$14,10,0)</f>
        <v>20</v>
      </c>
      <c r="K129">
        <f t="shared" ca="1" si="12"/>
        <v>267</v>
      </c>
      <c r="L129" s="45">
        <f t="shared" ca="1" si="14"/>
        <v>149</v>
      </c>
      <c r="M129">
        <f t="shared" ca="1" si="13"/>
        <v>1004</v>
      </c>
      <c r="N129">
        <f>VLOOKUP(C129,技能CD配置辅助表!$C$3:$H$14,6,0)</f>
        <v>26</v>
      </c>
      <c r="O129">
        <f>VLOOKUP(C129,技能CD配置辅助表!$C$3:$M$14,5,0)</f>
        <v>1</v>
      </c>
      <c r="P129">
        <f ca="1">IFERROR(VLOOKUP(A129+I129-10000003,D_技能表!A:AD,30,0)*(VLOOKUP(C129,技能CD配置辅助表!$C$3:$J$14,8,0)-G129)/VLOOKUP(C129,技能CD配置辅助表!$C$3:$J$14,8,0),0)*IF(VLOOKUP(C129,技能CD配置辅助表!$C$3:$F$14,4,0)=1,1,4)</f>
        <v>178.73657684355996</v>
      </c>
      <c r="R129">
        <f t="shared" si="15"/>
        <v>1.25</v>
      </c>
    </row>
    <row r="130" spans="1:18" x14ac:dyDescent="0.15">
      <c r="A130">
        <f ca="1">VLOOKUP(B130,技能CD配置辅助表!$C$3:$K$14,9,0)+I130</f>
        <v>19211120</v>
      </c>
      <c r="B130" t="str">
        <f t="shared" si="9"/>
        <v>虎啸</v>
      </c>
      <c r="C130" t="s">
        <v>160</v>
      </c>
      <c r="D130">
        <f>VLOOKUP(C130,技能CD配置辅助表!$C$3:$E$14,3,0)</f>
        <v>2</v>
      </c>
      <c r="E130">
        <f>IF(I130=0,1,IF(I130&lt;3,VLOOKUP(C130,技能CD配置辅助表!$C$3:$I$14,7,0)+(I130-1)*2,VLOOKUP(C130,技能CD配置辅助表!$C$3:$I$14,7,0)+(I130-1)*3-1))</f>
        <v>58</v>
      </c>
      <c r="F130" t="str">
        <f t="shared" si="10"/>
        <v>第20级，技能冷却时间8.16秒</v>
      </c>
      <c r="G130">
        <f>VLOOKUP(C130,技能CD配置辅助表!$C$3:$J$14,8,0)-(VLOOKUP(C130,技能CD配置辅助表!$C$3:$J$14,8,0)-VLOOKUP(C130,技能CD配置辅助表!$C$2:$M$14,11,0))/(VLOOKUP(C130,技能CD配置辅助表!$C$3:$H$14,6,0)-1)*(I130-IF(I130=0,0,1))</f>
        <v>8160</v>
      </c>
      <c r="H130">
        <f ca="1">M130*'[1]0、经济设定'!$C$18*IF(E130&lt;J130,1,1)</f>
        <v>58850</v>
      </c>
      <c r="I130">
        <f t="shared" si="11"/>
        <v>20</v>
      </c>
      <c r="J130">
        <f>VLOOKUP(C130,技能CD配置辅助表!$C$3:$L$14,10,0)</f>
        <v>20</v>
      </c>
      <c r="K130">
        <f t="shared" ca="1" si="12"/>
        <v>322</v>
      </c>
      <c r="L130" s="45">
        <f t="shared" ca="1" si="14"/>
        <v>173</v>
      </c>
      <c r="M130">
        <f t="shared" ca="1" si="13"/>
        <v>1177</v>
      </c>
      <c r="N130">
        <f>VLOOKUP(C130,技能CD配置辅助表!$C$3:$H$14,6,0)</f>
        <v>26</v>
      </c>
      <c r="O130">
        <f>VLOOKUP(C130,技能CD配置辅助表!$C$3:$M$14,5,0)</f>
        <v>1</v>
      </c>
      <c r="P130">
        <f ca="1">IFERROR(VLOOKUP(A130+I130-10000003,D_技能表!A:AD,30,0)*(VLOOKUP(C130,技能CD配置辅助表!$C$3:$J$14,8,0)-G130)/VLOOKUP(C130,技能CD配置辅助表!$C$3:$J$14,8,0),0)*IF(VLOOKUP(C130,技能CD配置辅助表!$C$3:$F$14,4,0)=1,1,4)</f>
        <v>250.06447370802675</v>
      </c>
      <c r="R130">
        <f t="shared" si="15"/>
        <v>1.3</v>
      </c>
    </row>
    <row r="131" spans="1:18" x14ac:dyDescent="0.15">
      <c r="A131">
        <f ca="1">VLOOKUP(B131,技能CD配置辅助表!$C$3:$K$14,9,0)+I131</f>
        <v>19211121</v>
      </c>
      <c r="B131" t="str">
        <f t="shared" ref="B131:B194" si="16">C131</f>
        <v>虎啸</v>
      </c>
      <c r="C131" t="s">
        <v>160</v>
      </c>
      <c r="D131">
        <f>VLOOKUP(C131,技能CD配置辅助表!$C$3:$E$14,3,0)</f>
        <v>2</v>
      </c>
      <c r="E131">
        <f>IF(I131=0,1,IF(I131&lt;3,VLOOKUP(C131,技能CD配置辅助表!$C$3:$I$14,7,0)+(I131-1)*2,VLOOKUP(C131,技能CD配置辅助表!$C$3:$I$14,7,0)+(I131-1)*3-1))</f>
        <v>61</v>
      </c>
      <c r="F131" t="str">
        <f t="shared" ref="F131:F194" si="17">"第"&amp;I131&amp;"级，技能冷却时间"&amp;G131/1000&amp;"秒"</f>
        <v>第21级，技能冷却时间7.8秒</v>
      </c>
      <c r="G131">
        <f>VLOOKUP(C131,技能CD配置辅助表!$C$3:$J$14,8,0)-(VLOOKUP(C131,技能CD配置辅助表!$C$3:$J$14,8,0)-VLOOKUP(C131,技能CD配置辅助表!$C$2:$M$14,11,0))/(VLOOKUP(C131,技能CD配置辅助表!$C$3:$H$14,6,0)-1)*(I131-IF(I131=0,0,1))</f>
        <v>7800</v>
      </c>
      <c r="H131">
        <f ca="1">M131*'[1]0、经济设定'!$C$18*IF(E131&lt;J131,1,1)</f>
        <v>68900</v>
      </c>
      <c r="I131">
        <f t="shared" ref="I131:I194" si="18">IF(B131=B130,I130+1,0)</f>
        <v>21</v>
      </c>
      <c r="J131">
        <f>VLOOKUP(C131,技能CD配置辅助表!$C$3:$L$14,10,0)</f>
        <v>20</v>
      </c>
      <c r="K131">
        <f t="shared" ref="K131:K194" ca="1" si="19">IF(E131&lt;J131,0,ROUNDUP(L131/$T$4*R131,0))</f>
        <v>388</v>
      </c>
      <c r="L131" s="45">
        <f t="shared" ca="1" si="14"/>
        <v>201</v>
      </c>
      <c r="M131">
        <f t="shared" ref="M131:M194" ca="1" si="20">IF(I131=0,0,L131+M130)</f>
        <v>1378</v>
      </c>
      <c r="N131">
        <f>VLOOKUP(C131,技能CD配置辅助表!$C$3:$H$14,6,0)</f>
        <v>26</v>
      </c>
      <c r="O131">
        <f>VLOOKUP(C131,技能CD配置辅助表!$C$3:$M$14,5,0)</f>
        <v>1</v>
      </c>
      <c r="P131">
        <f ca="1">IFERROR(VLOOKUP(A131+I131-10000003,D_技能表!A:AD,30,0)*(VLOOKUP(C131,技能CD配置辅助表!$C$3:$J$14,8,0)-G131)/VLOOKUP(C131,技能CD配置辅助表!$C$3:$J$14,8,0),0)*IF(VLOOKUP(C131,技能CD配置辅助表!$C$3:$F$14,4,0)=1,1,4)</f>
        <v>348.717599615224</v>
      </c>
      <c r="R131">
        <f t="shared" si="15"/>
        <v>1.35</v>
      </c>
    </row>
    <row r="132" spans="1:18" x14ac:dyDescent="0.15">
      <c r="A132">
        <f ca="1">VLOOKUP(B132,技能CD配置辅助表!$C$3:$K$14,9,0)+I132</f>
        <v>19211122</v>
      </c>
      <c r="B132" t="str">
        <f t="shared" si="16"/>
        <v>虎啸</v>
      </c>
      <c r="C132" t="s">
        <v>160</v>
      </c>
      <c r="D132">
        <f>VLOOKUP(C132,技能CD配置辅助表!$C$3:$E$14,3,0)</f>
        <v>2</v>
      </c>
      <c r="E132">
        <f>IF(I132=0,1,IF(I132&lt;3,VLOOKUP(C132,技能CD配置辅助表!$C$3:$I$14,7,0)+(I132-1)*2,VLOOKUP(C132,技能CD配置辅助表!$C$3:$I$14,7,0)+(I132-1)*3-1))</f>
        <v>64</v>
      </c>
      <c r="F132" t="str">
        <f t="shared" si="17"/>
        <v>第22级，技能冷却时间7.44秒</v>
      </c>
      <c r="G132">
        <f>VLOOKUP(C132,技能CD配置辅助表!$C$3:$J$14,8,0)-(VLOOKUP(C132,技能CD配置辅助表!$C$3:$J$14,8,0)-VLOOKUP(C132,技能CD配置辅助表!$C$2:$M$14,11,0))/(VLOOKUP(C132,技能CD配置辅助表!$C$3:$H$14,6,0)-1)*(I132-IF(I132=0,0,1))</f>
        <v>7440</v>
      </c>
      <c r="H132">
        <f ca="1">M132*'[1]0、经济设定'!$C$18*IF(E132&lt;J132,1,1)</f>
        <v>80550</v>
      </c>
      <c r="I132">
        <f t="shared" si="18"/>
        <v>22</v>
      </c>
      <c r="J132">
        <f>VLOOKUP(C132,技能CD配置辅助表!$C$3:$L$14,10,0)</f>
        <v>20</v>
      </c>
      <c r="K132">
        <f t="shared" ca="1" si="19"/>
        <v>466</v>
      </c>
      <c r="L132" s="45">
        <f t="shared" ca="1" si="14"/>
        <v>233</v>
      </c>
      <c r="M132">
        <f t="shared" ca="1" si="20"/>
        <v>1611</v>
      </c>
      <c r="N132">
        <f>VLOOKUP(C132,技能CD配置辅助表!$C$3:$H$14,6,0)</f>
        <v>26</v>
      </c>
      <c r="O132">
        <f>VLOOKUP(C132,技能CD配置辅助表!$C$3:$M$14,5,0)</f>
        <v>1</v>
      </c>
      <c r="P132">
        <f ca="1">IFERROR(VLOOKUP(A132+I132-10000003,D_技能表!A:AD,30,0)*(VLOOKUP(C132,技能CD配置辅助表!$C$3:$J$14,8,0)-G132)/VLOOKUP(C132,技能CD配置辅助表!$C$3:$J$14,8,0),0)*IF(VLOOKUP(C132,技能CD配置辅助表!$C$3:$F$14,4,0)=1,1,4)</f>
        <v>484.84812268941357</v>
      </c>
      <c r="R132">
        <f t="shared" si="15"/>
        <v>1.4</v>
      </c>
    </row>
    <row r="133" spans="1:18" x14ac:dyDescent="0.15">
      <c r="A133">
        <f ca="1">VLOOKUP(B133,技能CD配置辅助表!$C$3:$K$14,9,0)+I133</f>
        <v>19211123</v>
      </c>
      <c r="B133" t="str">
        <f t="shared" si="16"/>
        <v>虎啸</v>
      </c>
      <c r="C133" t="s">
        <v>160</v>
      </c>
      <c r="D133">
        <f>VLOOKUP(C133,技能CD配置辅助表!$C$3:$E$14,3,0)</f>
        <v>2</v>
      </c>
      <c r="E133">
        <f>IF(I133=0,1,IF(I133&lt;3,VLOOKUP(C133,技能CD配置辅助表!$C$3:$I$14,7,0)+(I133-1)*2,VLOOKUP(C133,技能CD配置辅助表!$C$3:$I$14,7,0)+(I133-1)*3-1))</f>
        <v>67</v>
      </c>
      <c r="F133" t="str">
        <f t="shared" si="17"/>
        <v>第23级，技能冷却时间7.08秒</v>
      </c>
      <c r="G133">
        <f>VLOOKUP(C133,技能CD配置辅助表!$C$3:$J$14,8,0)-(VLOOKUP(C133,技能CD配置辅助表!$C$3:$J$14,8,0)-VLOOKUP(C133,技能CD配置辅助表!$C$2:$M$14,11,0))/(VLOOKUP(C133,技能CD配置辅助表!$C$3:$H$14,6,0)-1)*(I133-IF(I133=0,0,1))</f>
        <v>7080</v>
      </c>
      <c r="H133">
        <f ca="1">M133*'[1]0、经济设定'!$C$18*IF(E133&lt;J133,1,1)</f>
        <v>94050</v>
      </c>
      <c r="I133">
        <f t="shared" si="18"/>
        <v>23</v>
      </c>
      <c r="J133">
        <f>VLOOKUP(C133,技能CD配置辅助表!$C$3:$L$14,10,0)</f>
        <v>20</v>
      </c>
      <c r="K133">
        <f t="shared" ca="1" si="19"/>
        <v>560</v>
      </c>
      <c r="L133" s="45">
        <f t="shared" ca="1" si="14"/>
        <v>270</v>
      </c>
      <c r="M133">
        <f t="shared" ca="1" si="20"/>
        <v>1881</v>
      </c>
      <c r="N133">
        <f>VLOOKUP(C133,技能CD配置辅助表!$C$3:$H$14,6,0)</f>
        <v>26</v>
      </c>
      <c r="O133">
        <f>VLOOKUP(C133,技能CD配置辅助表!$C$3:$M$14,5,0)</f>
        <v>1</v>
      </c>
      <c r="P133">
        <f ca="1">IFERROR(VLOOKUP(A133+I133-10000003,D_技能表!A:AD,30,0)*(VLOOKUP(C133,技能CD配置辅助表!$C$3:$J$14,8,0)-G133)/VLOOKUP(C133,技能CD配置辅助表!$C$3:$J$14,8,0),0)*IF(VLOOKUP(C133,技能CD配置辅助表!$C$3:$F$14,4,0)=1,1,4)</f>
        <v>672.29089851187382</v>
      </c>
      <c r="R133">
        <f t="shared" si="15"/>
        <v>1.45</v>
      </c>
    </row>
    <row r="134" spans="1:18" x14ac:dyDescent="0.15">
      <c r="A134">
        <f ca="1">VLOOKUP(B134,技能CD配置辅助表!$C$3:$K$14,9,0)+I134</f>
        <v>19211124</v>
      </c>
      <c r="B134" t="str">
        <f t="shared" si="16"/>
        <v>虎啸</v>
      </c>
      <c r="C134" t="s">
        <v>160</v>
      </c>
      <c r="D134">
        <f>VLOOKUP(C134,技能CD配置辅助表!$C$3:$E$14,3,0)</f>
        <v>2</v>
      </c>
      <c r="E134">
        <f>IF(I134=0,1,IF(I134&lt;3,VLOOKUP(C134,技能CD配置辅助表!$C$3:$I$14,7,0)+(I134-1)*2,VLOOKUP(C134,技能CD配置辅助表!$C$3:$I$14,7,0)+(I134-1)*3-1))</f>
        <v>70</v>
      </c>
      <c r="F134" t="str">
        <f t="shared" si="17"/>
        <v>第24级，技能冷却时间6.72秒</v>
      </c>
      <c r="G134">
        <f>VLOOKUP(C134,技能CD配置辅助表!$C$3:$J$14,8,0)-(VLOOKUP(C134,技能CD配置辅助表!$C$3:$J$14,8,0)-VLOOKUP(C134,技能CD配置辅助表!$C$2:$M$14,11,0))/(VLOOKUP(C134,技能CD配置辅助表!$C$3:$H$14,6,0)-1)*(I134-IF(I134=0,0,1))</f>
        <v>6720</v>
      </c>
      <c r="H134">
        <f ca="1">M134*'[1]0、经济设定'!$C$18*IF(E134&lt;J134,1,1)</f>
        <v>109700</v>
      </c>
      <c r="I134">
        <f t="shared" si="18"/>
        <v>24</v>
      </c>
      <c r="J134">
        <f>VLOOKUP(C134,技能CD配置辅助表!$C$3:$L$14,10,0)</f>
        <v>20</v>
      </c>
      <c r="K134">
        <f t="shared" ca="1" si="19"/>
        <v>671</v>
      </c>
      <c r="L134" s="45">
        <f t="shared" ca="1" si="14"/>
        <v>313</v>
      </c>
      <c r="M134">
        <f t="shared" ca="1" si="20"/>
        <v>2194</v>
      </c>
      <c r="N134">
        <f>VLOOKUP(C134,技能CD配置辅助表!$C$3:$H$14,6,0)</f>
        <v>26</v>
      </c>
      <c r="O134">
        <f>VLOOKUP(C134,技能CD配置辅助表!$C$3:$M$14,5,0)</f>
        <v>1</v>
      </c>
      <c r="P134">
        <f ca="1">IFERROR(VLOOKUP(A134+I134-10000003,D_技能表!A:AD,30,0)*(VLOOKUP(C134,技能CD配置辅助表!$C$3:$J$14,8,0)-G134)/VLOOKUP(C134,技能CD配置辅助表!$C$3:$J$14,8,0),0)*IF(VLOOKUP(C134,技能CD配置辅助表!$C$3:$F$14,4,0)=1,1,4)</f>
        <v>929.87391148547556</v>
      </c>
      <c r="R134">
        <f t="shared" si="15"/>
        <v>1.5</v>
      </c>
    </row>
    <row r="135" spans="1:18" x14ac:dyDescent="0.15">
      <c r="A135">
        <f ca="1">VLOOKUP(B135,技能CD配置辅助表!$C$3:$K$14,9,0)+I135</f>
        <v>19211125</v>
      </c>
      <c r="B135" t="str">
        <f t="shared" si="16"/>
        <v>虎啸</v>
      </c>
      <c r="C135" t="s">
        <v>160</v>
      </c>
      <c r="D135">
        <f>VLOOKUP(C135,技能CD配置辅助表!$C$3:$E$14,3,0)</f>
        <v>2</v>
      </c>
      <c r="E135">
        <f>IF(I135=0,1,IF(I135&lt;3,VLOOKUP(C135,技能CD配置辅助表!$C$3:$I$14,7,0)+(I135-1)*2,VLOOKUP(C135,技能CD配置辅助表!$C$3:$I$14,7,0)+(I135-1)*3-1))</f>
        <v>73</v>
      </c>
      <c r="F135" t="str">
        <f t="shared" si="17"/>
        <v>第25级，技能冷却时间6.36秒</v>
      </c>
      <c r="G135">
        <f>VLOOKUP(C135,技能CD配置辅助表!$C$3:$J$14,8,0)-(VLOOKUP(C135,技能CD配置辅助表!$C$3:$J$14,8,0)-VLOOKUP(C135,技能CD配置辅助表!$C$2:$M$14,11,0))/(VLOOKUP(C135,技能CD配置辅助表!$C$3:$H$14,6,0)-1)*(I135-IF(I135=0,0,1))</f>
        <v>6360</v>
      </c>
      <c r="H135">
        <f ca="1">M135*'[1]0、经济设定'!$C$18*IF(E135&lt;J135,1,1)</f>
        <v>127850</v>
      </c>
      <c r="I135">
        <f t="shared" si="18"/>
        <v>25</v>
      </c>
      <c r="J135">
        <f>VLOOKUP(C135,技能CD配置辅助表!$C$3:$L$14,10,0)</f>
        <v>20</v>
      </c>
      <c r="K135">
        <f t="shared" ca="1" si="19"/>
        <v>804</v>
      </c>
      <c r="L135" s="45">
        <f t="shared" ca="1" si="14"/>
        <v>363</v>
      </c>
      <c r="M135">
        <f t="shared" ca="1" si="20"/>
        <v>2557</v>
      </c>
      <c r="N135">
        <f>VLOOKUP(C135,技能CD配置辅助表!$C$3:$H$14,6,0)</f>
        <v>26</v>
      </c>
      <c r="O135">
        <f>VLOOKUP(C135,技能CD配置辅助表!$C$3:$M$14,5,0)</f>
        <v>1</v>
      </c>
      <c r="P135">
        <f ca="1">IFERROR(VLOOKUP(A135+I135-10000003,D_技能表!A:AD,30,0)*(VLOOKUP(C135,技能CD配置辅助表!$C$3:$J$14,8,0)-G135)/VLOOKUP(C135,技能CD配置辅助表!$C$3:$J$14,8,0),0)*IF(VLOOKUP(C135,技能CD配置辅助表!$C$3:$F$14,4,0)=1,1,4)</f>
        <v>1283.1876998210796</v>
      </c>
      <c r="R135">
        <f t="shared" si="15"/>
        <v>1.55</v>
      </c>
    </row>
    <row r="136" spans="1:18" x14ac:dyDescent="0.15">
      <c r="A136">
        <f ca="1">VLOOKUP(B136,技能CD配置辅助表!$C$3:$K$14,9,0)+I136</f>
        <v>19211126</v>
      </c>
      <c r="B136" t="str">
        <f t="shared" si="16"/>
        <v>虎啸</v>
      </c>
      <c r="C136" t="s">
        <v>160</v>
      </c>
      <c r="D136">
        <f>VLOOKUP(C136,技能CD配置辅助表!$C$3:$E$14,3,0)</f>
        <v>2</v>
      </c>
      <c r="E136">
        <f>IF(I136=0,1,IF(I136&lt;3,VLOOKUP(C136,技能CD配置辅助表!$C$3:$I$14,7,0)+(I136-1)*2,VLOOKUP(C136,技能CD配置辅助表!$C$3:$I$14,7,0)+(I136-1)*3-1))</f>
        <v>76</v>
      </c>
      <c r="F136" t="str">
        <f t="shared" si="17"/>
        <v>第26级，技能冷却时间6秒</v>
      </c>
      <c r="G136">
        <f>VLOOKUP(C136,技能CD配置辅助表!$C$3:$J$14,8,0)-(VLOOKUP(C136,技能CD配置辅助表!$C$3:$J$14,8,0)-VLOOKUP(C136,技能CD配置辅助表!$C$2:$M$14,11,0))/(VLOOKUP(C136,技能CD配置辅助表!$C$3:$H$14,6,0)-1)*(I136-IF(I136=0,0,1))</f>
        <v>6000</v>
      </c>
      <c r="H136">
        <f ca="1">M136*'[1]0、经济设定'!$C$18*IF(E136&lt;J136,1,1)</f>
        <v>148900</v>
      </c>
      <c r="I136">
        <f t="shared" si="18"/>
        <v>26</v>
      </c>
      <c r="J136">
        <f>VLOOKUP(C136,技能CD配置辅助表!$C$3:$L$14,10,0)</f>
        <v>20</v>
      </c>
      <c r="K136">
        <f t="shared" ca="1" si="19"/>
        <v>963</v>
      </c>
      <c r="L136" s="45">
        <f t="shared" ca="1" si="14"/>
        <v>421</v>
      </c>
      <c r="M136">
        <f t="shared" ca="1" si="20"/>
        <v>2978</v>
      </c>
      <c r="N136">
        <f>VLOOKUP(C136,技能CD配置辅助表!$C$3:$H$14,6,0)</f>
        <v>26</v>
      </c>
      <c r="O136">
        <f>VLOOKUP(C136,技能CD配置辅助表!$C$3:$M$14,5,0)</f>
        <v>1</v>
      </c>
      <c r="P136">
        <f ca="1">IFERROR(VLOOKUP(A136+I136-10000003,D_技能表!A:AD,30,0)*(VLOOKUP(C136,技能CD配置辅助表!$C$3:$J$14,8,0)-G136)/VLOOKUP(C136,技能CD配置辅助表!$C$3:$J$14,8,0),0)*IF(VLOOKUP(C136,技能CD配置辅助表!$C$3:$F$14,4,0)=1,1,4)</f>
        <v>1766.9724054258713</v>
      </c>
      <c r="R136">
        <f t="shared" si="15"/>
        <v>1.6</v>
      </c>
    </row>
    <row r="137" spans="1:18" x14ac:dyDescent="0.15">
      <c r="A137">
        <f ca="1">VLOOKUP(B137,技能CD配置辅助表!$C$3:$K$14,9,0)+I137</f>
        <v>19222100</v>
      </c>
      <c r="B137" t="str">
        <f t="shared" si="16"/>
        <v>龙拳</v>
      </c>
      <c r="C137" t="s">
        <v>191</v>
      </c>
      <c r="D137">
        <f>VLOOKUP(C137,技能CD配置辅助表!$C$3:$E$14,3,0)</f>
        <v>2</v>
      </c>
      <c r="E137">
        <f>IF(I137=0,1,IF(I137&lt;3,VLOOKUP(C137,技能CD配置辅助表!$C$3:$I$14,7,0)+(I137-1)*2,VLOOKUP(C137,技能CD配置辅助表!$C$3:$I$14,7,0)+(I137-1)*3-1))</f>
        <v>1</v>
      </c>
      <c r="F137" t="str">
        <f t="shared" si="17"/>
        <v>第0级，技能冷却时间15秒</v>
      </c>
      <c r="G137">
        <f>VLOOKUP(C137,技能CD配置辅助表!$C$3:$J$14,8,0)-(VLOOKUP(C137,技能CD配置辅助表!$C$3:$J$14,8,0)-VLOOKUP(C137,技能CD配置辅助表!$C$2:$M$14,11,0))/(VLOOKUP(C137,技能CD配置辅助表!$C$3:$H$14,6,0)-1)*(I137-IF(I137=0,0,1))</f>
        <v>15000</v>
      </c>
      <c r="H137">
        <f>M137*'[1]0、经济设定'!$C$18*IF(E137&lt;J137,1,1)</f>
        <v>0</v>
      </c>
      <c r="I137">
        <f t="shared" si="18"/>
        <v>0</v>
      </c>
      <c r="J137">
        <f>VLOOKUP(C137,技能CD配置辅助表!$C$3:$L$14,10,0)</f>
        <v>20</v>
      </c>
      <c r="K137">
        <f t="shared" si="19"/>
        <v>0</v>
      </c>
      <c r="L137" s="45">
        <f t="shared" ca="1" si="14"/>
        <v>0</v>
      </c>
      <c r="M137">
        <f t="shared" si="20"/>
        <v>0</v>
      </c>
      <c r="N137">
        <f>VLOOKUP(C137,技能CD配置辅助表!$C$3:$H$14,6,0)</f>
        <v>26</v>
      </c>
      <c r="O137">
        <f>VLOOKUP(C137,技能CD配置辅助表!$C$3:$M$14,5,0)</f>
        <v>2</v>
      </c>
      <c r="P137">
        <f ca="1">IFERROR(VLOOKUP(A137+I137-10000003,D_技能表!A:AD,30,0)*(VLOOKUP(C137,技能CD配置辅助表!$C$3:$J$14,8,0)-G137)/VLOOKUP(C137,技能CD配置辅助表!$C$3:$J$14,8,0),0)*IF(VLOOKUP(C137,技能CD配置辅助表!$C$3:$F$14,4,0)=1,1,4)</f>
        <v>0</v>
      </c>
      <c r="R137">
        <f t="shared" si="15"/>
        <v>0</v>
      </c>
    </row>
    <row r="138" spans="1:18" x14ac:dyDescent="0.15">
      <c r="A138">
        <f ca="1">VLOOKUP(B138,技能CD配置辅助表!$C$3:$K$14,9,0)+I138</f>
        <v>19222101</v>
      </c>
      <c r="B138" t="str">
        <f t="shared" si="16"/>
        <v>龙拳</v>
      </c>
      <c r="C138" t="s">
        <v>191</v>
      </c>
      <c r="D138">
        <f>VLOOKUP(C138,技能CD配置辅助表!$C$3:$E$14,3,0)</f>
        <v>2</v>
      </c>
      <c r="E138">
        <f>IF(I138=0,1,IF(I138&lt;3,VLOOKUP(C138,技能CD配置辅助表!$C$3:$I$14,7,0)+(I138-1)*2,VLOOKUP(C138,技能CD配置辅助表!$C$3:$I$14,7,0)+(I138-1)*3-1))</f>
        <v>4</v>
      </c>
      <c r="F138" t="str">
        <f t="shared" si="17"/>
        <v>第1级，技能冷却时间15秒</v>
      </c>
      <c r="G138">
        <f>VLOOKUP(C138,技能CD配置辅助表!$C$3:$J$14,8,0)-(VLOOKUP(C138,技能CD配置辅助表!$C$3:$J$14,8,0)-VLOOKUP(C138,技能CD配置辅助表!$C$2:$M$14,11,0))/(VLOOKUP(C138,技能CD配置辅助表!$C$3:$H$14,6,0)-1)*(I138-IF(I138=0,0,1))</f>
        <v>15000</v>
      </c>
      <c r="H138">
        <f ca="1">M138*'[1]0、经济设定'!$C$18*IF(E138&lt;J138,1,1)</f>
        <v>0</v>
      </c>
      <c r="I138">
        <f t="shared" si="18"/>
        <v>1</v>
      </c>
      <c r="J138">
        <f>VLOOKUP(C138,技能CD配置辅助表!$C$3:$L$14,10,0)</f>
        <v>20</v>
      </c>
      <c r="K138">
        <f t="shared" si="19"/>
        <v>0</v>
      </c>
      <c r="L138" s="45">
        <f t="shared" ca="1" si="14"/>
        <v>0</v>
      </c>
      <c r="M138">
        <f t="shared" ca="1" si="20"/>
        <v>0</v>
      </c>
      <c r="N138">
        <f>VLOOKUP(C138,技能CD配置辅助表!$C$3:$H$14,6,0)</f>
        <v>26</v>
      </c>
      <c r="O138">
        <f>VLOOKUP(C138,技能CD配置辅助表!$C$3:$M$14,5,0)</f>
        <v>2</v>
      </c>
      <c r="P138">
        <f ca="1">IFERROR(VLOOKUP(A138+I138-10000003,D_技能表!A:AD,30,0)*(VLOOKUP(C138,技能CD配置辅助表!$C$3:$J$14,8,0)-G138)/VLOOKUP(C138,技能CD配置辅助表!$C$3:$J$14,8,0),0)*IF(VLOOKUP(C138,技能CD配置辅助表!$C$3:$F$14,4,0)=1,1,4)</f>
        <v>0</v>
      </c>
      <c r="R138">
        <f t="shared" si="15"/>
        <v>0</v>
      </c>
    </row>
    <row r="139" spans="1:18" x14ac:dyDescent="0.15">
      <c r="A139">
        <f ca="1">VLOOKUP(B139,技能CD配置辅助表!$C$3:$K$14,9,0)+I139</f>
        <v>19222102</v>
      </c>
      <c r="B139" t="str">
        <f t="shared" si="16"/>
        <v>龙拳</v>
      </c>
      <c r="C139" t="s">
        <v>191</v>
      </c>
      <c r="D139">
        <f>VLOOKUP(C139,技能CD配置辅助表!$C$3:$E$14,3,0)</f>
        <v>2</v>
      </c>
      <c r="E139">
        <f>IF(I139=0,1,IF(I139&lt;3,VLOOKUP(C139,技能CD配置辅助表!$C$3:$I$14,7,0)+(I139-1)*2,VLOOKUP(C139,技能CD配置辅助表!$C$3:$I$14,7,0)+(I139-1)*3-1))</f>
        <v>6</v>
      </c>
      <c r="F139" t="str">
        <f t="shared" si="17"/>
        <v>第2级，技能冷却时间14.6秒</v>
      </c>
      <c r="G139">
        <f>VLOOKUP(C139,技能CD配置辅助表!$C$3:$J$14,8,0)-(VLOOKUP(C139,技能CD配置辅助表!$C$3:$J$14,8,0)-VLOOKUP(C139,技能CD配置辅助表!$C$2:$M$14,11,0))/(VLOOKUP(C139,技能CD配置辅助表!$C$3:$H$14,6,0)-1)*(I139-IF(I139=0,0,1))</f>
        <v>14600</v>
      </c>
      <c r="H139">
        <f ca="1">M139*'[1]0、经济设定'!$C$18*IF(E139&lt;J139,1,1)</f>
        <v>1150</v>
      </c>
      <c r="I139">
        <f t="shared" si="18"/>
        <v>2</v>
      </c>
      <c r="J139">
        <f>VLOOKUP(C139,技能CD配置辅助表!$C$3:$L$14,10,0)</f>
        <v>20</v>
      </c>
      <c r="K139">
        <f t="shared" si="19"/>
        <v>0</v>
      </c>
      <c r="L139" s="45">
        <f t="shared" ca="1" si="14"/>
        <v>23</v>
      </c>
      <c r="M139">
        <f t="shared" ca="1" si="20"/>
        <v>23</v>
      </c>
      <c r="N139">
        <f>VLOOKUP(C139,技能CD配置辅助表!$C$3:$H$14,6,0)</f>
        <v>26</v>
      </c>
      <c r="O139">
        <f>VLOOKUP(C139,技能CD配置辅助表!$C$3:$M$14,5,0)</f>
        <v>2</v>
      </c>
      <c r="P139">
        <f ca="1">IFERROR(VLOOKUP(A139+I139-10000003,D_技能表!A:AD,30,0)*(VLOOKUP(C139,技能CD配置辅助表!$C$3:$J$14,8,0)-G139)/VLOOKUP(C139,技能CD配置辅助表!$C$3:$J$14,8,0),0)*IF(VLOOKUP(C139,技能CD配置辅助表!$C$3:$F$14,4,0)=1,1,4)</f>
        <v>0.1224291070156716</v>
      </c>
      <c r="R139">
        <f t="shared" si="15"/>
        <v>0</v>
      </c>
    </row>
    <row r="140" spans="1:18" x14ac:dyDescent="0.15">
      <c r="A140">
        <f ca="1">VLOOKUP(B140,技能CD配置辅助表!$C$3:$K$14,9,0)+I140</f>
        <v>19222103</v>
      </c>
      <c r="B140" t="str">
        <f t="shared" si="16"/>
        <v>龙拳</v>
      </c>
      <c r="C140" t="s">
        <v>191</v>
      </c>
      <c r="D140">
        <f>VLOOKUP(C140,技能CD配置辅助表!$C$3:$E$14,3,0)</f>
        <v>2</v>
      </c>
      <c r="E140">
        <f>IF(I140=0,1,IF(I140&lt;3,VLOOKUP(C140,技能CD配置辅助表!$C$3:$I$14,7,0)+(I140-1)*2,VLOOKUP(C140,技能CD配置辅助表!$C$3:$I$14,7,0)+(I140-1)*3-1))</f>
        <v>9</v>
      </c>
      <c r="F140" t="str">
        <f t="shared" si="17"/>
        <v>第3级，技能冷却时间14.2秒</v>
      </c>
      <c r="G140">
        <f>VLOOKUP(C140,技能CD配置辅助表!$C$3:$J$14,8,0)-(VLOOKUP(C140,技能CD配置辅助表!$C$3:$J$14,8,0)-VLOOKUP(C140,技能CD配置辅助表!$C$2:$M$14,11,0))/(VLOOKUP(C140,技能CD配置辅助表!$C$3:$H$14,6,0)-1)*(I140-IF(I140=0,0,1))</f>
        <v>14200</v>
      </c>
      <c r="H140">
        <f ca="1">M140*'[1]0、经济设定'!$C$18*IF(E140&lt;J140,1,1)</f>
        <v>2450</v>
      </c>
      <c r="I140">
        <f t="shared" si="18"/>
        <v>3</v>
      </c>
      <c r="J140">
        <f>VLOOKUP(C140,技能CD配置辅助表!$C$3:$L$14,10,0)</f>
        <v>20</v>
      </c>
      <c r="K140">
        <f t="shared" si="19"/>
        <v>0</v>
      </c>
      <c r="L140" s="45">
        <f t="shared" ca="1" si="14"/>
        <v>26</v>
      </c>
      <c r="M140">
        <f t="shared" ca="1" si="20"/>
        <v>49</v>
      </c>
      <c r="N140">
        <f>VLOOKUP(C140,技能CD配置辅助表!$C$3:$H$14,6,0)</f>
        <v>26</v>
      </c>
      <c r="O140">
        <f>VLOOKUP(C140,技能CD配置辅助表!$C$3:$M$14,5,0)</f>
        <v>2</v>
      </c>
      <c r="P140">
        <f ca="1">IFERROR(VLOOKUP(A140+I140-10000003,D_技能表!A:AD,30,0)*(VLOOKUP(C140,技能CD配置辅助表!$C$3:$J$14,8,0)-G140)/VLOOKUP(C140,技能CD配置辅助表!$C$3:$J$14,8,0),0)*IF(VLOOKUP(C140,技能CD配置辅助表!$C$3:$F$14,4,0)=1,1,4)</f>
        <v>0.34879348035060603</v>
      </c>
      <c r="R140">
        <f t="shared" si="15"/>
        <v>0</v>
      </c>
    </row>
    <row r="141" spans="1:18" x14ac:dyDescent="0.15">
      <c r="A141">
        <f ca="1">VLOOKUP(B141,技能CD配置辅助表!$C$3:$K$14,9,0)+I141</f>
        <v>19222104</v>
      </c>
      <c r="B141" t="str">
        <f t="shared" si="16"/>
        <v>龙拳</v>
      </c>
      <c r="C141" t="s">
        <v>191</v>
      </c>
      <c r="D141">
        <f>VLOOKUP(C141,技能CD配置辅助表!$C$3:$E$14,3,0)</f>
        <v>2</v>
      </c>
      <c r="E141">
        <f>IF(I141=0,1,IF(I141&lt;3,VLOOKUP(C141,技能CD配置辅助表!$C$3:$I$14,7,0)+(I141-1)*2,VLOOKUP(C141,技能CD配置辅助表!$C$3:$I$14,7,0)+(I141-1)*3-1))</f>
        <v>12</v>
      </c>
      <c r="F141" t="str">
        <f t="shared" si="17"/>
        <v>第4级，技能冷却时间13.8秒</v>
      </c>
      <c r="G141">
        <f>VLOOKUP(C141,技能CD配置辅助表!$C$3:$J$14,8,0)-(VLOOKUP(C141,技能CD配置辅助表!$C$3:$J$14,8,0)-VLOOKUP(C141,技能CD配置辅助表!$C$2:$M$14,11,0))/(VLOOKUP(C141,技能CD配置辅助表!$C$3:$H$14,6,0)-1)*(I141-IF(I141=0,0,1))</f>
        <v>13800</v>
      </c>
      <c r="H141">
        <f ca="1">M141*'[1]0、经济设定'!$C$18*IF(E141&lt;J141,1,1)</f>
        <v>4000</v>
      </c>
      <c r="I141">
        <f t="shared" si="18"/>
        <v>4</v>
      </c>
      <c r="J141">
        <f>VLOOKUP(C141,技能CD配置辅助表!$C$3:$L$14,10,0)</f>
        <v>20</v>
      </c>
      <c r="K141">
        <f t="shared" si="19"/>
        <v>0</v>
      </c>
      <c r="L141" s="45">
        <f t="shared" ca="1" si="14"/>
        <v>31</v>
      </c>
      <c r="M141">
        <f t="shared" ca="1" si="20"/>
        <v>80</v>
      </c>
      <c r="N141">
        <f>VLOOKUP(C141,技能CD配置辅助表!$C$3:$H$14,6,0)</f>
        <v>26</v>
      </c>
      <c r="O141">
        <f>VLOOKUP(C141,技能CD配置辅助表!$C$3:$M$14,5,0)</f>
        <v>2</v>
      </c>
      <c r="P141">
        <f ca="1">IFERROR(VLOOKUP(A141+I141-10000003,D_技能表!A:AD,30,0)*(VLOOKUP(C141,技能CD配置辅助表!$C$3:$J$14,8,0)-G141)/VLOOKUP(C141,技能CD配置辅助表!$C$3:$J$14,8,0),0)*IF(VLOOKUP(C141,技能CD配置辅助表!$C$3:$F$14,4,0)=1,1,4)</f>
        <v>0.71885920640001844</v>
      </c>
      <c r="R141">
        <f t="shared" si="15"/>
        <v>0</v>
      </c>
    </row>
    <row r="142" spans="1:18" x14ac:dyDescent="0.15">
      <c r="A142">
        <f ca="1">VLOOKUP(B142,技能CD配置辅助表!$C$3:$K$14,9,0)+I142</f>
        <v>19222105</v>
      </c>
      <c r="B142" t="str">
        <f t="shared" si="16"/>
        <v>龙拳</v>
      </c>
      <c r="C142" t="s">
        <v>191</v>
      </c>
      <c r="D142">
        <f>VLOOKUP(C142,技能CD配置辅助表!$C$3:$E$14,3,0)</f>
        <v>2</v>
      </c>
      <c r="E142">
        <f>IF(I142=0,1,IF(I142&lt;3,VLOOKUP(C142,技能CD配置辅助表!$C$3:$I$14,7,0)+(I142-1)*2,VLOOKUP(C142,技能CD配置辅助表!$C$3:$I$14,7,0)+(I142-1)*3-1))</f>
        <v>15</v>
      </c>
      <c r="F142" t="str">
        <f t="shared" si="17"/>
        <v>第5级，技能冷却时间13.4秒</v>
      </c>
      <c r="G142">
        <f>VLOOKUP(C142,技能CD配置辅助表!$C$3:$J$14,8,0)-(VLOOKUP(C142,技能CD配置辅助表!$C$3:$J$14,8,0)-VLOOKUP(C142,技能CD配置辅助表!$C$2:$M$14,11,0))/(VLOOKUP(C142,技能CD配置辅助表!$C$3:$H$14,6,0)-1)*(I142-IF(I142=0,0,1))</f>
        <v>13400</v>
      </c>
      <c r="H142">
        <f ca="1">M142*'[1]0、经济设定'!$C$18*IF(E142&lt;J142,1,1)</f>
        <v>5800</v>
      </c>
      <c r="I142">
        <f t="shared" si="18"/>
        <v>5</v>
      </c>
      <c r="J142">
        <f>VLOOKUP(C142,技能CD配置辅助表!$C$3:$L$14,10,0)</f>
        <v>20</v>
      </c>
      <c r="K142">
        <f t="shared" si="19"/>
        <v>0</v>
      </c>
      <c r="L142" s="45">
        <f t="shared" ca="1" si="14"/>
        <v>36</v>
      </c>
      <c r="M142">
        <f t="shared" ca="1" si="20"/>
        <v>116</v>
      </c>
      <c r="N142">
        <f>VLOOKUP(C142,技能CD配置辅助表!$C$3:$H$14,6,0)</f>
        <v>26</v>
      </c>
      <c r="O142">
        <f>VLOOKUP(C142,技能CD配置辅助表!$C$3:$M$14,5,0)</f>
        <v>2</v>
      </c>
      <c r="P142">
        <f ca="1">IFERROR(VLOOKUP(A142+I142-10000003,D_技能表!A:AD,30,0)*(VLOOKUP(C142,技能CD配置辅助表!$C$3:$J$14,8,0)-G142)/VLOOKUP(C142,技能CD配置辅助表!$C$3:$J$14,8,0),0)*IF(VLOOKUP(C142,技能CD配置辅助表!$C$3:$F$14,4,0)=1,1,4)</f>
        <v>1.3127157377083158</v>
      </c>
      <c r="R142">
        <f t="shared" si="15"/>
        <v>0.1</v>
      </c>
    </row>
    <row r="143" spans="1:18" x14ac:dyDescent="0.15">
      <c r="A143">
        <f ca="1">VLOOKUP(B143,技能CD配置辅助表!$C$3:$K$14,9,0)+I143</f>
        <v>19222106</v>
      </c>
      <c r="B143" t="str">
        <f t="shared" si="16"/>
        <v>龙拳</v>
      </c>
      <c r="C143" t="s">
        <v>191</v>
      </c>
      <c r="D143">
        <f>VLOOKUP(C143,技能CD配置辅助表!$C$3:$E$14,3,0)</f>
        <v>2</v>
      </c>
      <c r="E143">
        <f>IF(I143=0,1,IF(I143&lt;3,VLOOKUP(C143,技能CD配置辅助表!$C$3:$I$14,7,0)+(I143-1)*2,VLOOKUP(C143,技能CD配置辅助表!$C$3:$I$14,7,0)+(I143-1)*3-1))</f>
        <v>18</v>
      </c>
      <c r="F143" t="str">
        <f t="shared" si="17"/>
        <v>第6级，技能冷却时间13秒</v>
      </c>
      <c r="G143">
        <f>VLOOKUP(C143,技能CD配置辅助表!$C$3:$J$14,8,0)-(VLOOKUP(C143,技能CD配置辅助表!$C$3:$J$14,8,0)-VLOOKUP(C143,技能CD配置辅助表!$C$2:$M$14,11,0))/(VLOOKUP(C143,技能CD配置辅助表!$C$3:$H$14,6,0)-1)*(I143-IF(I143=0,0,1))</f>
        <v>13000</v>
      </c>
      <c r="H143">
        <f ca="1">M143*'[1]0、经济设定'!$C$18*IF(E143&lt;J143,1,1)</f>
        <v>7850</v>
      </c>
      <c r="I143">
        <f t="shared" si="18"/>
        <v>6</v>
      </c>
      <c r="J143">
        <f>VLOOKUP(C143,技能CD配置辅助表!$C$3:$L$14,10,0)</f>
        <v>20</v>
      </c>
      <c r="K143">
        <f t="shared" si="19"/>
        <v>0</v>
      </c>
      <c r="L143" s="45">
        <f t="shared" ca="1" si="14"/>
        <v>41</v>
      </c>
      <c r="M143">
        <f t="shared" ca="1" si="20"/>
        <v>157</v>
      </c>
      <c r="N143">
        <f>VLOOKUP(C143,技能CD配置辅助表!$C$3:$H$14,6,0)</f>
        <v>26</v>
      </c>
      <c r="O143">
        <f>VLOOKUP(C143,技能CD配置辅助表!$C$3:$M$14,5,0)</f>
        <v>2</v>
      </c>
      <c r="P143">
        <f ca="1">IFERROR(VLOOKUP(A143+I143-10000003,D_技能表!A:AD,30,0)*(VLOOKUP(C143,技能CD配置辅助表!$C$3:$J$14,8,0)-G143)/VLOOKUP(C143,技能CD配置辅助表!$C$3:$J$14,8,0),0)*IF(VLOOKUP(C143,技能CD配置辅助表!$C$3:$F$14,4,0)=1,1,4)</f>
        <v>2.240880083244118</v>
      </c>
      <c r="R143">
        <f t="shared" si="15"/>
        <v>0.2</v>
      </c>
    </row>
    <row r="144" spans="1:18" x14ac:dyDescent="0.15">
      <c r="A144">
        <f ca="1">VLOOKUP(B144,技能CD配置辅助表!$C$3:$K$14,9,0)+I144</f>
        <v>19222107</v>
      </c>
      <c r="B144" t="str">
        <f t="shared" si="16"/>
        <v>龙拳</v>
      </c>
      <c r="C144" t="s">
        <v>191</v>
      </c>
      <c r="D144">
        <f>VLOOKUP(C144,技能CD配置辅助表!$C$3:$E$14,3,0)</f>
        <v>2</v>
      </c>
      <c r="E144">
        <f>IF(I144=0,1,IF(I144&lt;3,VLOOKUP(C144,技能CD配置辅助表!$C$3:$I$14,7,0)+(I144-1)*2,VLOOKUP(C144,技能CD配置辅助表!$C$3:$I$14,7,0)+(I144-1)*3-1))</f>
        <v>21</v>
      </c>
      <c r="F144" t="str">
        <f t="shared" si="17"/>
        <v>第7级，技能冷却时间12.6秒</v>
      </c>
      <c r="G144">
        <f>VLOOKUP(C144,技能CD配置辅助表!$C$3:$J$14,8,0)-(VLOOKUP(C144,技能CD配置辅助表!$C$3:$J$14,8,0)-VLOOKUP(C144,技能CD配置辅助表!$C$2:$M$14,11,0))/(VLOOKUP(C144,技能CD配置辅助表!$C$3:$H$14,6,0)-1)*(I144-IF(I144=0,0,1))</f>
        <v>12600</v>
      </c>
      <c r="H144">
        <f ca="1">M144*'[1]0、经济设定'!$C$18*IF(E144&lt;J144,1,1)</f>
        <v>10250</v>
      </c>
      <c r="I144">
        <f t="shared" si="18"/>
        <v>7</v>
      </c>
      <c r="J144">
        <f>VLOOKUP(C144,技能CD配置辅助表!$C$3:$L$14,10,0)</f>
        <v>20</v>
      </c>
      <c r="K144">
        <f t="shared" ca="1" si="19"/>
        <v>21</v>
      </c>
      <c r="L144" s="45">
        <f t="shared" ca="1" si="14"/>
        <v>48</v>
      </c>
      <c r="M144">
        <f t="shared" ca="1" si="20"/>
        <v>205</v>
      </c>
      <c r="N144">
        <f>VLOOKUP(C144,技能CD配置辅助表!$C$3:$H$14,6,0)</f>
        <v>26</v>
      </c>
      <c r="O144">
        <f>VLOOKUP(C144,技能CD配置辅助表!$C$3:$M$14,5,0)</f>
        <v>2</v>
      </c>
      <c r="P144">
        <f ca="1">IFERROR(VLOOKUP(A144+I144-10000003,D_技能表!A:AD,30,0)*(VLOOKUP(C144,技能CD配置辅助表!$C$3:$J$14,8,0)-G144)/VLOOKUP(C144,技能CD配置辅助表!$C$3:$J$14,8,0),0)*IF(VLOOKUP(C144,技能CD配置辅助表!$C$3:$F$14,4,0)=1,1,4)</f>
        <v>3.6627875645667873</v>
      </c>
      <c r="R144">
        <f t="shared" si="15"/>
        <v>0.3</v>
      </c>
    </row>
    <row r="145" spans="1:18" x14ac:dyDescent="0.15">
      <c r="A145">
        <f ca="1">VLOOKUP(B145,技能CD配置辅助表!$C$3:$K$14,9,0)+I145</f>
        <v>19222108</v>
      </c>
      <c r="B145" t="str">
        <f t="shared" si="16"/>
        <v>龙拳</v>
      </c>
      <c r="C145" t="s">
        <v>191</v>
      </c>
      <c r="D145">
        <f>VLOOKUP(C145,技能CD配置辅助表!$C$3:$E$14,3,0)</f>
        <v>2</v>
      </c>
      <c r="E145">
        <f>IF(I145=0,1,IF(I145&lt;3,VLOOKUP(C145,技能CD配置辅助表!$C$3:$I$14,7,0)+(I145-1)*2,VLOOKUP(C145,技能CD配置辅助表!$C$3:$I$14,7,0)+(I145-1)*3-1))</f>
        <v>24</v>
      </c>
      <c r="F145" t="str">
        <f t="shared" si="17"/>
        <v>第8级，技能冷却时间12.2秒</v>
      </c>
      <c r="G145">
        <f>VLOOKUP(C145,技能CD配置辅助表!$C$3:$J$14,8,0)-(VLOOKUP(C145,技能CD配置辅助表!$C$3:$J$14,8,0)-VLOOKUP(C145,技能CD配置辅助表!$C$2:$M$14,11,0))/(VLOOKUP(C145,技能CD配置辅助表!$C$3:$H$14,6,0)-1)*(I145-IF(I145=0,0,1))</f>
        <v>12200</v>
      </c>
      <c r="H145">
        <f ca="1">M145*'[1]0、经济设定'!$C$18*IF(E145&lt;J145,1,1)</f>
        <v>13050</v>
      </c>
      <c r="I145">
        <f t="shared" si="18"/>
        <v>8</v>
      </c>
      <c r="J145">
        <f>VLOOKUP(C145,技能CD配置辅助表!$C$3:$L$14,10,0)</f>
        <v>20</v>
      </c>
      <c r="K145">
        <f t="shared" ca="1" si="19"/>
        <v>32</v>
      </c>
      <c r="L145" s="45">
        <f t="shared" ca="1" si="14"/>
        <v>56</v>
      </c>
      <c r="M145">
        <f t="shared" ca="1" si="20"/>
        <v>261</v>
      </c>
      <c r="N145">
        <f>VLOOKUP(C145,技能CD配置辅助表!$C$3:$H$14,6,0)</f>
        <v>26</v>
      </c>
      <c r="O145">
        <f>VLOOKUP(C145,技能CD配置辅助表!$C$3:$M$14,5,0)</f>
        <v>2</v>
      </c>
      <c r="P145">
        <f ca="1">IFERROR(VLOOKUP(A145+I145-10000003,D_技能表!A:AD,30,0)*(VLOOKUP(C145,技能CD配置辅助表!$C$3:$J$14,8,0)-G145)/VLOOKUP(C145,技能CD配置辅助表!$C$3:$J$14,8,0),0)*IF(VLOOKUP(C145,技能CD配置辅助表!$C$3:$F$14,4,0)=1,1,4)</f>
        <v>5.8069873805567749</v>
      </c>
      <c r="R145">
        <f t="shared" si="15"/>
        <v>0.4</v>
      </c>
    </row>
    <row r="146" spans="1:18" x14ac:dyDescent="0.15">
      <c r="A146">
        <f ca="1">VLOOKUP(B146,技能CD配置辅助表!$C$3:$K$14,9,0)+I146</f>
        <v>19222109</v>
      </c>
      <c r="B146" t="str">
        <f t="shared" si="16"/>
        <v>龙拳</v>
      </c>
      <c r="C146" t="s">
        <v>191</v>
      </c>
      <c r="D146">
        <f>VLOOKUP(C146,技能CD配置辅助表!$C$3:$E$14,3,0)</f>
        <v>2</v>
      </c>
      <c r="E146">
        <f>IF(I146=0,1,IF(I146&lt;3,VLOOKUP(C146,技能CD配置辅助表!$C$3:$I$14,7,0)+(I146-1)*2,VLOOKUP(C146,技能CD配置辅助表!$C$3:$I$14,7,0)+(I146-1)*3-1))</f>
        <v>27</v>
      </c>
      <c r="F146" t="str">
        <f t="shared" si="17"/>
        <v>第9级，技能冷却时间11.8秒</v>
      </c>
      <c r="G146">
        <f>VLOOKUP(C146,技能CD配置辅助表!$C$3:$J$14,8,0)-(VLOOKUP(C146,技能CD配置辅助表!$C$3:$J$14,8,0)-VLOOKUP(C146,技能CD配置辅助表!$C$2:$M$14,11,0))/(VLOOKUP(C146,技能CD配置辅助表!$C$3:$H$14,6,0)-1)*(I146-IF(I146=0,0,1))</f>
        <v>11800</v>
      </c>
      <c r="H146">
        <f ca="1">M146*'[1]0、经济设定'!$C$18*IF(E146&lt;J146,1,1)</f>
        <v>16300</v>
      </c>
      <c r="I146">
        <f t="shared" si="18"/>
        <v>9</v>
      </c>
      <c r="J146">
        <f>VLOOKUP(C146,技能CD配置辅助表!$C$3:$L$14,10,0)</f>
        <v>20</v>
      </c>
      <c r="K146">
        <f t="shared" ca="1" si="19"/>
        <v>47</v>
      </c>
      <c r="L146" s="45">
        <f t="shared" ca="1" si="14"/>
        <v>65</v>
      </c>
      <c r="M146">
        <f t="shared" ca="1" si="20"/>
        <v>326</v>
      </c>
      <c r="N146">
        <f>VLOOKUP(C146,技能CD配置辅助表!$C$3:$H$14,6,0)</f>
        <v>26</v>
      </c>
      <c r="O146">
        <f>VLOOKUP(C146,技能CD配置辅助表!$C$3:$M$14,5,0)</f>
        <v>2</v>
      </c>
      <c r="P146">
        <f ca="1">IFERROR(VLOOKUP(A146+I146-10000003,D_技能表!A:AD,30,0)*(VLOOKUP(C146,技能CD配置辅助表!$C$3:$J$14,8,0)-G146)/VLOOKUP(C146,技能CD配置辅助表!$C$3:$J$14,8,0),0)*IF(VLOOKUP(C146,技能CD配置辅助表!$C$3:$F$14,4,0)=1,1,4)</f>
        <v>8.9992803566201562</v>
      </c>
      <c r="R146">
        <f t="shared" si="15"/>
        <v>0.5</v>
      </c>
    </row>
    <row r="147" spans="1:18" x14ac:dyDescent="0.15">
      <c r="A147">
        <f ca="1">VLOOKUP(B147,技能CD配置辅助表!$C$3:$K$14,9,0)+I147</f>
        <v>19222110</v>
      </c>
      <c r="B147" t="str">
        <f t="shared" si="16"/>
        <v>龙拳</v>
      </c>
      <c r="C147" t="s">
        <v>191</v>
      </c>
      <c r="D147">
        <f>VLOOKUP(C147,技能CD配置辅助表!$C$3:$E$14,3,0)</f>
        <v>2</v>
      </c>
      <c r="E147">
        <f>IF(I147=0,1,IF(I147&lt;3,VLOOKUP(C147,技能CD配置辅助表!$C$3:$I$14,7,0)+(I147-1)*2,VLOOKUP(C147,技能CD配置辅助表!$C$3:$I$14,7,0)+(I147-1)*3-1))</f>
        <v>30</v>
      </c>
      <c r="F147" t="str">
        <f t="shared" si="17"/>
        <v>第10级，技能冷却时间11.4秒</v>
      </c>
      <c r="G147">
        <f>VLOOKUP(C147,技能CD配置辅助表!$C$3:$J$14,8,0)-(VLOOKUP(C147,技能CD配置辅助表!$C$3:$J$14,8,0)-VLOOKUP(C147,技能CD配置辅助表!$C$2:$M$14,11,0))/(VLOOKUP(C147,技能CD配置辅助表!$C$3:$H$14,6,0)-1)*(I147-IF(I147=0,0,1))</f>
        <v>11400</v>
      </c>
      <c r="H147">
        <f ca="1">M147*'[1]0、经济设定'!$C$18*IF(E147&lt;J147,1,1)</f>
        <v>20050</v>
      </c>
      <c r="I147">
        <f t="shared" si="18"/>
        <v>10</v>
      </c>
      <c r="J147">
        <f>VLOOKUP(C147,技能CD配置辅助表!$C$3:$L$14,10,0)</f>
        <v>20</v>
      </c>
      <c r="K147">
        <f t="shared" ca="1" si="19"/>
        <v>65</v>
      </c>
      <c r="L147" s="45">
        <f t="shared" ca="1" si="14"/>
        <v>75</v>
      </c>
      <c r="M147">
        <f t="shared" ca="1" si="20"/>
        <v>401</v>
      </c>
      <c r="N147">
        <f>VLOOKUP(C147,技能CD配置辅助表!$C$3:$H$14,6,0)</f>
        <v>26</v>
      </c>
      <c r="O147">
        <f>VLOOKUP(C147,技能CD配置辅助表!$C$3:$M$14,5,0)</f>
        <v>2</v>
      </c>
      <c r="P147">
        <f ca="1">IFERROR(VLOOKUP(A147+I147-10000003,D_技能表!A:AD,30,0)*(VLOOKUP(C147,技能CD配置辅助表!$C$3:$J$14,8,0)-G147)/VLOOKUP(C147,技能CD配置辅助表!$C$3:$J$14,8,0),0)*IF(VLOOKUP(C147,技能CD配置辅助表!$C$3:$F$14,4,0)=1,1,4)</f>
        <v>13.701811962304342</v>
      </c>
      <c r="R147">
        <f t="shared" si="15"/>
        <v>0.6</v>
      </c>
    </row>
    <row r="148" spans="1:18" x14ac:dyDescent="0.15">
      <c r="A148">
        <f ca="1">VLOOKUP(B148,技能CD配置辅助表!$C$3:$K$14,9,0)+I148</f>
        <v>19222111</v>
      </c>
      <c r="B148" t="str">
        <f t="shared" si="16"/>
        <v>龙拳</v>
      </c>
      <c r="C148" t="s">
        <v>191</v>
      </c>
      <c r="D148">
        <f>VLOOKUP(C148,技能CD配置辅助表!$C$3:$E$14,3,0)</f>
        <v>2</v>
      </c>
      <c r="E148">
        <f>IF(I148=0,1,IF(I148&lt;3,VLOOKUP(C148,技能CD配置辅助表!$C$3:$I$14,7,0)+(I148-1)*2,VLOOKUP(C148,技能CD配置辅助表!$C$3:$I$14,7,0)+(I148-1)*3-1))</f>
        <v>33</v>
      </c>
      <c r="F148" t="str">
        <f t="shared" si="17"/>
        <v>第11级，技能冷却时间11秒</v>
      </c>
      <c r="G148">
        <f>VLOOKUP(C148,技能CD配置辅助表!$C$3:$J$14,8,0)-(VLOOKUP(C148,技能CD配置辅助表!$C$3:$J$14,8,0)-VLOOKUP(C148,技能CD配置辅助表!$C$2:$M$14,11,0))/(VLOOKUP(C148,技能CD配置辅助表!$C$3:$H$14,6,0)-1)*(I148-IF(I148=0,0,1))</f>
        <v>11000</v>
      </c>
      <c r="H148">
        <f ca="1">M148*'[1]0、经济设定'!$C$18*IF(E148&lt;J148,1,1)</f>
        <v>24400</v>
      </c>
      <c r="I148">
        <f t="shared" si="18"/>
        <v>11</v>
      </c>
      <c r="J148">
        <f>VLOOKUP(C148,技能CD配置辅助表!$C$3:$L$14,10,0)</f>
        <v>20</v>
      </c>
      <c r="K148">
        <f t="shared" ca="1" si="19"/>
        <v>87</v>
      </c>
      <c r="L148" s="45">
        <f t="shared" ca="1" si="14"/>
        <v>87</v>
      </c>
      <c r="M148">
        <f t="shared" ca="1" si="20"/>
        <v>488</v>
      </c>
      <c r="N148">
        <f>VLOOKUP(C148,技能CD配置辅助表!$C$3:$H$14,6,0)</f>
        <v>26</v>
      </c>
      <c r="O148">
        <f>VLOOKUP(C148,技能CD配置辅助表!$C$3:$M$14,5,0)</f>
        <v>2</v>
      </c>
      <c r="P148">
        <f ca="1">IFERROR(VLOOKUP(A148+I148-10000003,D_技能表!A:AD,30,0)*(VLOOKUP(C148,技能CD配置辅助表!$C$3:$J$14,8,0)-G148)/VLOOKUP(C148,技能CD配置辅助表!$C$3:$J$14,8,0),0)*IF(VLOOKUP(C148,技能CD配置辅助表!$C$3:$F$14,4,0)=1,1,4)</f>
        <v>20.567245507786691</v>
      </c>
      <c r="R148">
        <f t="shared" si="15"/>
        <v>0.7</v>
      </c>
    </row>
    <row r="149" spans="1:18" x14ac:dyDescent="0.15">
      <c r="A149">
        <f ca="1">VLOOKUP(B149,技能CD配置辅助表!$C$3:$K$14,9,0)+I149</f>
        <v>19222112</v>
      </c>
      <c r="B149" t="str">
        <f t="shared" si="16"/>
        <v>龙拳</v>
      </c>
      <c r="C149" t="s">
        <v>191</v>
      </c>
      <c r="D149">
        <f>VLOOKUP(C149,技能CD配置辅助表!$C$3:$E$14,3,0)</f>
        <v>2</v>
      </c>
      <c r="E149">
        <f>IF(I149=0,1,IF(I149&lt;3,VLOOKUP(C149,技能CD配置辅助表!$C$3:$I$14,7,0)+(I149-1)*2,VLOOKUP(C149,技能CD配置辅助表!$C$3:$I$14,7,0)+(I149-1)*3-1))</f>
        <v>36</v>
      </c>
      <c r="F149" t="str">
        <f t="shared" si="17"/>
        <v>第12级，技能冷却时间10.6秒</v>
      </c>
      <c r="G149">
        <f>VLOOKUP(C149,技能CD配置辅助表!$C$3:$J$14,8,0)-(VLOOKUP(C149,技能CD配置辅助表!$C$3:$J$14,8,0)-VLOOKUP(C149,技能CD配置辅助表!$C$2:$M$14,11,0))/(VLOOKUP(C149,技能CD配置辅助表!$C$3:$H$14,6,0)-1)*(I149-IF(I149=0,0,1))</f>
        <v>10600</v>
      </c>
      <c r="H149">
        <f ca="1">M149*'[1]0、经济设定'!$C$18*IF(E149&lt;J149,1,1)</f>
        <v>29450</v>
      </c>
      <c r="I149">
        <f t="shared" si="18"/>
        <v>12</v>
      </c>
      <c r="J149">
        <f>VLOOKUP(C149,技能CD配置辅助表!$C$3:$L$14,10,0)</f>
        <v>20</v>
      </c>
      <c r="K149">
        <f t="shared" ca="1" si="19"/>
        <v>116</v>
      </c>
      <c r="L149" s="45">
        <f t="shared" ca="1" si="14"/>
        <v>101</v>
      </c>
      <c r="M149">
        <f t="shared" ca="1" si="20"/>
        <v>589</v>
      </c>
      <c r="N149">
        <f>VLOOKUP(C149,技能CD配置辅助表!$C$3:$H$14,6,0)</f>
        <v>26</v>
      </c>
      <c r="O149">
        <f>VLOOKUP(C149,技能CD配置辅助表!$C$3:$M$14,5,0)</f>
        <v>2</v>
      </c>
      <c r="P149">
        <f ca="1">IFERROR(VLOOKUP(A149+I149-10000003,D_技能表!A:AD,30,0)*(VLOOKUP(C149,技能CD配置辅助表!$C$3:$J$14,8,0)-G149)/VLOOKUP(C149,技能CD配置辅助表!$C$3:$J$14,8,0),0)*IF(VLOOKUP(C149,技能CD配置辅助表!$C$3:$F$14,4,0)=1,1,4)</f>
        <v>30.513653561253982</v>
      </c>
      <c r="R149">
        <f t="shared" si="15"/>
        <v>0.8</v>
      </c>
    </row>
    <row r="150" spans="1:18" x14ac:dyDescent="0.15">
      <c r="A150">
        <f ca="1">VLOOKUP(B150,技能CD配置辅助表!$C$3:$K$14,9,0)+I150</f>
        <v>19222113</v>
      </c>
      <c r="B150" t="str">
        <f t="shared" si="16"/>
        <v>龙拳</v>
      </c>
      <c r="C150" t="s">
        <v>191</v>
      </c>
      <c r="D150">
        <f>VLOOKUP(C150,技能CD配置辅助表!$C$3:$E$14,3,0)</f>
        <v>2</v>
      </c>
      <c r="E150">
        <f>IF(I150=0,1,IF(I150&lt;3,VLOOKUP(C150,技能CD配置辅助表!$C$3:$I$14,7,0)+(I150-1)*2,VLOOKUP(C150,技能CD配置辅助表!$C$3:$I$14,7,0)+(I150-1)*3-1))</f>
        <v>39</v>
      </c>
      <c r="F150" t="str">
        <f t="shared" si="17"/>
        <v>第13级，技能冷却时间10.2秒</v>
      </c>
      <c r="G150">
        <f>VLOOKUP(C150,技能CD配置辅助表!$C$3:$J$14,8,0)-(VLOOKUP(C150,技能CD配置辅助表!$C$3:$J$14,8,0)-VLOOKUP(C150,技能CD配置辅助表!$C$2:$M$14,11,0))/(VLOOKUP(C150,技能CD配置辅助表!$C$3:$H$14,6,0)-1)*(I150-IF(I150=0,0,1))</f>
        <v>10200</v>
      </c>
      <c r="H150">
        <f ca="1">M150*'[1]0、经济设定'!$C$18*IF(E150&lt;J150,1,1)</f>
        <v>35300</v>
      </c>
      <c r="I150">
        <f t="shared" si="18"/>
        <v>13</v>
      </c>
      <c r="J150">
        <f>VLOOKUP(C150,技能CD配置辅助表!$C$3:$L$14,10,0)</f>
        <v>20</v>
      </c>
      <c r="K150">
        <f t="shared" ca="1" si="19"/>
        <v>151</v>
      </c>
      <c r="L150" s="45">
        <f t="shared" ca="1" si="14"/>
        <v>117</v>
      </c>
      <c r="M150">
        <f t="shared" ca="1" si="20"/>
        <v>706</v>
      </c>
      <c r="N150">
        <f>VLOOKUP(C150,技能CD配置辅助表!$C$3:$H$14,6,0)</f>
        <v>26</v>
      </c>
      <c r="O150">
        <f>VLOOKUP(C150,技能CD配置辅助表!$C$3:$M$14,5,0)</f>
        <v>2</v>
      </c>
      <c r="P150">
        <f ca="1">IFERROR(VLOOKUP(A150+I150-10000003,D_技能表!A:AD,30,0)*(VLOOKUP(C150,技能CD配置辅助表!$C$3:$J$14,8,0)-G150)/VLOOKUP(C150,技能CD配置辅助表!$C$3:$J$14,8,0),0)*IF(VLOOKUP(C150,技能CD配置辅助表!$C$3:$F$14,4,0)=1,1,4)</f>
        <v>44.827822328825313</v>
      </c>
      <c r="R150">
        <f t="shared" si="15"/>
        <v>0.9</v>
      </c>
    </row>
    <row r="151" spans="1:18" x14ac:dyDescent="0.15">
      <c r="A151">
        <f ca="1">VLOOKUP(B151,技能CD配置辅助表!$C$3:$K$14,9,0)+I151</f>
        <v>19222114</v>
      </c>
      <c r="B151" t="str">
        <f t="shared" si="16"/>
        <v>龙拳</v>
      </c>
      <c r="C151" t="s">
        <v>191</v>
      </c>
      <c r="D151">
        <f>VLOOKUP(C151,技能CD配置辅助表!$C$3:$E$14,3,0)</f>
        <v>2</v>
      </c>
      <c r="E151">
        <f>IF(I151=0,1,IF(I151&lt;3,VLOOKUP(C151,技能CD配置辅助表!$C$3:$I$14,7,0)+(I151-1)*2,VLOOKUP(C151,技能CD配置辅助表!$C$3:$I$14,7,0)+(I151-1)*3-1))</f>
        <v>42</v>
      </c>
      <c r="F151" t="str">
        <f t="shared" si="17"/>
        <v>第14级，技能冷却时间9.8秒</v>
      </c>
      <c r="G151">
        <f>VLOOKUP(C151,技能CD配置辅助表!$C$3:$J$14,8,0)-(VLOOKUP(C151,技能CD配置辅助表!$C$3:$J$14,8,0)-VLOOKUP(C151,技能CD配置辅助表!$C$2:$M$14,11,0))/(VLOOKUP(C151,技能CD配置辅助表!$C$3:$H$14,6,0)-1)*(I151-IF(I151=0,0,1))</f>
        <v>9800</v>
      </c>
      <c r="H151">
        <f ca="1">M151*'[1]0、经济设定'!$C$18*IF(E151&lt;J151,1,1)</f>
        <v>42100</v>
      </c>
      <c r="I151">
        <f t="shared" si="18"/>
        <v>14</v>
      </c>
      <c r="J151">
        <f>VLOOKUP(C151,技能CD配置辅助表!$C$3:$L$14,10,0)</f>
        <v>20</v>
      </c>
      <c r="K151">
        <f t="shared" ca="1" si="19"/>
        <v>195</v>
      </c>
      <c r="L151" s="45">
        <f t="shared" ca="1" si="14"/>
        <v>136</v>
      </c>
      <c r="M151">
        <f t="shared" ca="1" si="20"/>
        <v>842</v>
      </c>
      <c r="N151">
        <f>VLOOKUP(C151,技能CD配置辅助表!$C$3:$H$14,6,0)</f>
        <v>26</v>
      </c>
      <c r="O151">
        <f>VLOOKUP(C151,技能CD配置辅助表!$C$3:$M$14,5,0)</f>
        <v>2</v>
      </c>
      <c r="P151">
        <f ca="1">IFERROR(VLOOKUP(A151+I151-10000003,D_技能表!A:AD,30,0)*(VLOOKUP(C151,技能CD配置辅助表!$C$3:$J$14,8,0)-G151)/VLOOKUP(C151,技能CD配置辅助表!$C$3:$J$14,8,0),0)*IF(VLOOKUP(C151,技能CD配置辅助表!$C$3:$F$14,4,0)=1,1,4)</f>
        <v>65.307455952226249</v>
      </c>
      <c r="R151">
        <f t="shared" si="15"/>
        <v>1</v>
      </c>
    </row>
    <row r="152" spans="1:18" x14ac:dyDescent="0.15">
      <c r="A152">
        <f ca="1">VLOOKUP(B152,技能CD配置辅助表!$C$3:$K$14,9,0)+I152</f>
        <v>19222115</v>
      </c>
      <c r="B152" t="str">
        <f t="shared" si="16"/>
        <v>龙拳</v>
      </c>
      <c r="C152" t="s">
        <v>191</v>
      </c>
      <c r="D152">
        <f>VLOOKUP(C152,技能CD配置辅助表!$C$3:$E$14,3,0)</f>
        <v>2</v>
      </c>
      <c r="E152">
        <f>IF(I152=0,1,IF(I152&lt;3,VLOOKUP(C152,技能CD配置辅助表!$C$3:$I$14,7,0)+(I152-1)*2,VLOOKUP(C152,技能CD配置辅助表!$C$3:$I$14,7,0)+(I152-1)*3-1))</f>
        <v>45</v>
      </c>
      <c r="F152" t="str">
        <f t="shared" si="17"/>
        <v>第15级，技能冷却时间9.4秒</v>
      </c>
      <c r="G152">
        <f>VLOOKUP(C152,技能CD配置辅助表!$C$3:$J$14,8,0)-(VLOOKUP(C152,技能CD配置辅助表!$C$3:$J$14,8,0)-VLOOKUP(C152,技能CD配置辅助表!$C$2:$M$14,11,0))/(VLOOKUP(C152,技能CD配置辅助表!$C$3:$H$14,6,0)-1)*(I152-IF(I152=0,0,1))</f>
        <v>9400</v>
      </c>
      <c r="H152">
        <f ca="1">M152*'[1]0、经济设定'!$C$18*IF(E152&lt;J152,1,1)</f>
        <v>50000</v>
      </c>
      <c r="I152">
        <f t="shared" si="18"/>
        <v>15</v>
      </c>
      <c r="J152">
        <f>VLOOKUP(C152,技能CD配置辅助表!$C$3:$L$14,10,0)</f>
        <v>20</v>
      </c>
      <c r="K152">
        <f t="shared" ca="1" si="19"/>
        <v>237</v>
      </c>
      <c r="L152" s="45">
        <f t="shared" ca="1" si="14"/>
        <v>158</v>
      </c>
      <c r="M152">
        <f t="shared" ca="1" si="20"/>
        <v>1000</v>
      </c>
      <c r="N152">
        <f>VLOOKUP(C152,技能CD配置辅助表!$C$3:$H$14,6,0)</f>
        <v>26</v>
      </c>
      <c r="O152">
        <f>VLOOKUP(C152,技能CD配置辅助表!$C$3:$M$14,5,0)</f>
        <v>2</v>
      </c>
      <c r="P152">
        <f ca="1">IFERROR(VLOOKUP(A152+I152-10000003,D_技能表!A:AD,30,0)*(VLOOKUP(C152,技能CD配置辅助表!$C$3:$J$14,8,0)-G152)/VLOOKUP(C152,技能CD配置辅助表!$C$3:$J$14,8,0),0)*IF(VLOOKUP(C152,技能CD配置辅助表!$C$3:$F$14,4,0)=1,1,4)</f>
        <v>94.456554168173454</v>
      </c>
      <c r="R152">
        <f t="shared" si="15"/>
        <v>1.05</v>
      </c>
    </row>
    <row r="153" spans="1:18" x14ac:dyDescent="0.15">
      <c r="A153">
        <f ca="1">VLOOKUP(B153,技能CD配置辅助表!$C$3:$K$14,9,0)+I153</f>
        <v>19222116</v>
      </c>
      <c r="B153" t="str">
        <f t="shared" si="16"/>
        <v>龙拳</v>
      </c>
      <c r="C153" t="s">
        <v>191</v>
      </c>
      <c r="D153">
        <f>VLOOKUP(C153,技能CD配置辅助表!$C$3:$E$14,3,0)</f>
        <v>2</v>
      </c>
      <c r="E153">
        <f>IF(I153=0,1,IF(I153&lt;3,VLOOKUP(C153,技能CD配置辅助表!$C$3:$I$14,7,0)+(I153-1)*2,VLOOKUP(C153,技能CD配置辅助表!$C$3:$I$14,7,0)+(I153-1)*3-1))</f>
        <v>48</v>
      </c>
      <c r="F153" t="str">
        <f t="shared" si="17"/>
        <v>第16级，技能冷却时间9秒</v>
      </c>
      <c r="G153">
        <f>VLOOKUP(C153,技能CD配置辅助表!$C$3:$J$14,8,0)-(VLOOKUP(C153,技能CD配置辅助表!$C$3:$J$14,8,0)-VLOOKUP(C153,技能CD配置辅助表!$C$2:$M$14,11,0))/(VLOOKUP(C153,技能CD配置辅助表!$C$3:$H$14,6,0)-1)*(I153-IF(I153=0,0,1))</f>
        <v>9000</v>
      </c>
      <c r="H153">
        <f ca="1">M153*'[1]0、经济设定'!$C$18*IF(E153&lt;J153,1,1)</f>
        <v>59150</v>
      </c>
      <c r="I153">
        <f t="shared" si="18"/>
        <v>16</v>
      </c>
      <c r="J153">
        <f>VLOOKUP(C153,技能CD配置辅助表!$C$3:$L$14,10,0)</f>
        <v>20</v>
      </c>
      <c r="K153">
        <f t="shared" ca="1" si="19"/>
        <v>288</v>
      </c>
      <c r="L153" s="45">
        <f t="shared" ca="1" si="14"/>
        <v>183</v>
      </c>
      <c r="M153">
        <f t="shared" ca="1" si="20"/>
        <v>1183</v>
      </c>
      <c r="N153">
        <f>VLOOKUP(C153,技能CD配置辅助表!$C$3:$H$14,6,0)</f>
        <v>26</v>
      </c>
      <c r="O153">
        <f>VLOOKUP(C153,技能CD配置辅助表!$C$3:$M$14,5,0)</f>
        <v>2</v>
      </c>
      <c r="P153">
        <f ca="1">IFERROR(VLOOKUP(A153+I153-10000003,D_技能表!A:AD,30,0)*(VLOOKUP(C153,技能CD配置辅助表!$C$3:$J$14,8,0)-G153)/VLOOKUP(C153,技能CD配置辅助表!$C$3:$J$14,8,0),0)*IF(VLOOKUP(C153,技能CD配置辅助表!$C$3:$F$14,4,0)=1,1,4)</f>
        <v>135.7533660910353</v>
      </c>
      <c r="R153">
        <f t="shared" si="15"/>
        <v>1.1000000000000001</v>
      </c>
    </row>
    <row r="154" spans="1:18" x14ac:dyDescent="0.15">
      <c r="A154">
        <f ca="1">VLOOKUP(B154,技能CD配置辅助表!$C$3:$K$14,9,0)+I154</f>
        <v>19222117</v>
      </c>
      <c r="B154" t="str">
        <f t="shared" si="16"/>
        <v>龙拳</v>
      </c>
      <c r="C154" t="s">
        <v>191</v>
      </c>
      <c r="D154">
        <f>VLOOKUP(C154,技能CD配置辅助表!$C$3:$E$14,3,0)</f>
        <v>2</v>
      </c>
      <c r="E154">
        <f>IF(I154=0,1,IF(I154&lt;3,VLOOKUP(C154,技能CD配置辅助表!$C$3:$I$14,7,0)+(I154-1)*2,VLOOKUP(C154,技能CD配置辅助表!$C$3:$I$14,7,0)+(I154-1)*3-1))</f>
        <v>51</v>
      </c>
      <c r="F154" t="str">
        <f t="shared" si="17"/>
        <v>第17级，技能冷却时间8.6秒</v>
      </c>
      <c r="G154">
        <f>VLOOKUP(C154,技能CD配置辅助表!$C$3:$J$14,8,0)-(VLOOKUP(C154,技能CD配置辅助表!$C$3:$J$14,8,0)-VLOOKUP(C154,技能CD配置辅助表!$C$2:$M$14,11,0))/(VLOOKUP(C154,技能CD配置辅助表!$C$3:$H$14,6,0)-1)*(I154-IF(I154=0,0,1))</f>
        <v>8600</v>
      </c>
      <c r="H154">
        <f ca="1">M154*'[1]0、经济设定'!$C$18*IF(E154&lt;J154,1,1)</f>
        <v>69800</v>
      </c>
      <c r="I154">
        <f t="shared" si="18"/>
        <v>17</v>
      </c>
      <c r="J154">
        <f>VLOOKUP(C154,技能CD配置辅助表!$C$3:$L$14,10,0)</f>
        <v>20</v>
      </c>
      <c r="K154">
        <f t="shared" ca="1" si="19"/>
        <v>350</v>
      </c>
      <c r="L154" s="45">
        <f t="shared" ca="1" si="14"/>
        <v>213</v>
      </c>
      <c r="M154">
        <f t="shared" ca="1" si="20"/>
        <v>1396</v>
      </c>
      <c r="N154">
        <f>VLOOKUP(C154,技能CD配置辅助表!$C$3:$H$14,6,0)</f>
        <v>26</v>
      </c>
      <c r="O154">
        <f>VLOOKUP(C154,技能CD配置辅助表!$C$3:$M$14,5,0)</f>
        <v>2</v>
      </c>
      <c r="P154">
        <f ca="1">IFERROR(VLOOKUP(A154+I154-10000003,D_技能表!A:AD,30,0)*(VLOOKUP(C154,技能CD配置辅助表!$C$3:$J$14,8,0)-G154)/VLOOKUP(C154,技能CD配置辅助表!$C$3:$J$14,8,0),0)*IF(VLOOKUP(C154,技能CD配置辅助表!$C$3:$F$14,4,0)=1,1,4)</f>
        <v>194.01726416916014</v>
      </c>
      <c r="R154">
        <f t="shared" si="15"/>
        <v>1.1499999999999999</v>
      </c>
    </row>
    <row r="155" spans="1:18" x14ac:dyDescent="0.15">
      <c r="A155">
        <f ca="1">VLOOKUP(B155,技能CD配置辅助表!$C$3:$K$14,9,0)+I155</f>
        <v>19222118</v>
      </c>
      <c r="B155" t="str">
        <f t="shared" si="16"/>
        <v>龙拳</v>
      </c>
      <c r="C155" t="s">
        <v>191</v>
      </c>
      <c r="D155">
        <f>VLOOKUP(C155,技能CD配置辅助表!$C$3:$E$14,3,0)</f>
        <v>2</v>
      </c>
      <c r="E155">
        <f>IF(I155=0,1,IF(I155&lt;3,VLOOKUP(C155,技能CD配置辅助表!$C$3:$I$14,7,0)+(I155-1)*2,VLOOKUP(C155,技能CD配置辅助表!$C$3:$I$14,7,0)+(I155-1)*3-1))</f>
        <v>54</v>
      </c>
      <c r="F155" t="str">
        <f t="shared" si="17"/>
        <v>第18级，技能冷却时间8.2秒</v>
      </c>
      <c r="G155">
        <f>VLOOKUP(C155,技能CD配置辅助表!$C$3:$J$14,8,0)-(VLOOKUP(C155,技能CD配置辅助表!$C$3:$J$14,8,0)-VLOOKUP(C155,技能CD配置辅助表!$C$2:$M$14,11,0))/(VLOOKUP(C155,技能CD配置辅助表!$C$3:$H$14,6,0)-1)*(I155-IF(I155=0,0,1))</f>
        <v>8200</v>
      </c>
      <c r="H155">
        <f ca="1">M155*'[1]0、经济设定'!$C$18*IF(E155&lt;J155,1,1)</f>
        <v>82150</v>
      </c>
      <c r="I155">
        <f t="shared" si="18"/>
        <v>18</v>
      </c>
      <c r="J155">
        <f>VLOOKUP(C155,技能CD配置辅助表!$C$3:$L$14,10,0)</f>
        <v>20</v>
      </c>
      <c r="K155">
        <f t="shared" ca="1" si="19"/>
        <v>424</v>
      </c>
      <c r="L155" s="45">
        <f t="shared" ca="1" si="14"/>
        <v>247</v>
      </c>
      <c r="M155">
        <f t="shared" ca="1" si="20"/>
        <v>1643</v>
      </c>
      <c r="N155">
        <f>VLOOKUP(C155,技能CD配置辅助表!$C$3:$H$14,6,0)</f>
        <v>26</v>
      </c>
      <c r="O155">
        <f>VLOOKUP(C155,技能CD配置辅助表!$C$3:$M$14,5,0)</f>
        <v>2</v>
      </c>
      <c r="P155">
        <f ca="1">IFERROR(VLOOKUP(A155+I155-10000003,D_技能表!A:AD,30,0)*(VLOOKUP(C155,技能CD配置辅助表!$C$3:$J$14,8,0)-G155)/VLOOKUP(C155,技能CD配置辅助表!$C$3:$J$14,8,0),0)*IF(VLOOKUP(C155,技能CD配置辅助表!$C$3:$F$14,4,0)=1,1,4)</f>
        <v>275.91026660896068</v>
      </c>
      <c r="R155">
        <f t="shared" si="15"/>
        <v>1.2</v>
      </c>
    </row>
    <row r="156" spans="1:18" x14ac:dyDescent="0.15">
      <c r="A156">
        <f ca="1">VLOOKUP(B156,技能CD配置辅助表!$C$3:$K$14,9,0)+I156</f>
        <v>19222119</v>
      </c>
      <c r="B156" t="str">
        <f t="shared" si="16"/>
        <v>龙拳</v>
      </c>
      <c r="C156" t="s">
        <v>191</v>
      </c>
      <c r="D156">
        <f>VLOOKUP(C156,技能CD配置辅助表!$C$3:$E$14,3,0)</f>
        <v>2</v>
      </c>
      <c r="E156">
        <f>IF(I156=0,1,IF(I156&lt;3,VLOOKUP(C156,技能CD配置辅助表!$C$3:$I$14,7,0)+(I156-1)*2,VLOOKUP(C156,技能CD配置辅助表!$C$3:$I$14,7,0)+(I156-1)*3-1))</f>
        <v>57</v>
      </c>
      <c r="F156" t="str">
        <f t="shared" si="17"/>
        <v>第19级，技能冷却时间7.8秒</v>
      </c>
      <c r="G156">
        <f>VLOOKUP(C156,技能CD配置辅助表!$C$3:$J$14,8,0)-(VLOOKUP(C156,技能CD配置辅助表!$C$3:$J$14,8,0)-VLOOKUP(C156,技能CD配置辅助表!$C$2:$M$14,11,0))/(VLOOKUP(C156,技能CD配置辅助表!$C$3:$H$14,6,0)-1)*(I156-IF(I156=0,0,1))</f>
        <v>7800</v>
      </c>
      <c r="H156">
        <f ca="1">M156*'[1]0、经济设定'!$C$18*IF(E156&lt;J156,1,1)</f>
        <v>96450</v>
      </c>
      <c r="I156">
        <f t="shared" si="18"/>
        <v>19</v>
      </c>
      <c r="J156">
        <f>VLOOKUP(C156,技能CD配置辅助表!$C$3:$L$14,10,0)</f>
        <v>20</v>
      </c>
      <c r="K156">
        <f t="shared" ca="1" si="19"/>
        <v>511</v>
      </c>
      <c r="L156" s="45">
        <f t="shared" ca="1" si="14"/>
        <v>286</v>
      </c>
      <c r="M156">
        <f t="shared" ca="1" si="20"/>
        <v>1929</v>
      </c>
      <c r="N156">
        <f>VLOOKUP(C156,技能CD配置辅助表!$C$3:$H$14,6,0)</f>
        <v>26</v>
      </c>
      <c r="O156">
        <f>VLOOKUP(C156,技能CD配置辅助表!$C$3:$M$14,5,0)</f>
        <v>2</v>
      </c>
      <c r="P156">
        <f ca="1">IFERROR(VLOOKUP(A156+I156-10000003,D_技能表!A:AD,30,0)*(VLOOKUP(C156,技能CD配置辅助表!$C$3:$J$14,8,0)-G156)/VLOOKUP(C156,技能CD配置辅助表!$C$3:$J$14,8,0),0)*IF(VLOOKUP(C156,技能CD配置辅助表!$C$3:$F$14,4,0)=1,1,4)</f>
        <v>390.62161181250821</v>
      </c>
      <c r="R156">
        <f t="shared" si="15"/>
        <v>1.25</v>
      </c>
    </row>
    <row r="157" spans="1:18" x14ac:dyDescent="0.15">
      <c r="A157">
        <f ca="1">VLOOKUP(B157,技能CD配置辅助表!$C$3:$K$14,9,0)+I157</f>
        <v>19222120</v>
      </c>
      <c r="B157" t="str">
        <f t="shared" si="16"/>
        <v>龙拳</v>
      </c>
      <c r="C157" t="s">
        <v>191</v>
      </c>
      <c r="D157">
        <f>VLOOKUP(C157,技能CD配置辅助表!$C$3:$E$14,3,0)</f>
        <v>2</v>
      </c>
      <c r="E157">
        <f>IF(I157=0,1,IF(I157&lt;3,VLOOKUP(C157,技能CD配置辅助表!$C$3:$I$14,7,0)+(I157-1)*2,VLOOKUP(C157,技能CD配置辅助表!$C$3:$I$14,7,0)+(I157-1)*3-1))</f>
        <v>60</v>
      </c>
      <c r="F157" t="str">
        <f t="shared" si="17"/>
        <v>第20级，技能冷却时间7.4秒</v>
      </c>
      <c r="G157">
        <f>VLOOKUP(C157,技能CD配置辅助表!$C$3:$J$14,8,0)-(VLOOKUP(C157,技能CD配置辅助表!$C$3:$J$14,8,0)-VLOOKUP(C157,技能CD配置辅助表!$C$2:$M$14,11,0))/(VLOOKUP(C157,技能CD配置辅助表!$C$3:$H$14,6,0)-1)*(I157-IF(I157=0,0,1))</f>
        <v>7400</v>
      </c>
      <c r="H157">
        <f ca="1">M157*'[1]0、经济设定'!$C$18*IF(E157&lt;J157,1,1)</f>
        <v>113050</v>
      </c>
      <c r="I157">
        <f t="shared" si="18"/>
        <v>20</v>
      </c>
      <c r="J157">
        <f>VLOOKUP(C157,技能CD配置辅助表!$C$3:$L$14,10,0)</f>
        <v>20</v>
      </c>
      <c r="K157">
        <f t="shared" ca="1" si="19"/>
        <v>617</v>
      </c>
      <c r="L157" s="45">
        <f t="shared" ref="L157:L220" ca="1" si="21">ROUND((IF(I157&lt;2,0,ROUND(OFFSET(P157,N157-I157+108*(1-D157),0)*(1-$T$3)/(1-$T$3^(N157-1))*$T$3^(I157-2)*$T$2,0))+IF(I157&lt;2,0,ROUND(OFFSET(P157,N157-I157+108*(2-D157),0)*(1-$T$3)/(1-$T$3^(N157-1))*$T$3^(I157-2)*$T$2,0))+IF(I157&lt;2,0,ROUND(OFFSET(P157,N157-I157+108*(3-D157),0)*(1-$T$3)/(1-$T$3^(N157-1))*$T$3^(I157-2)*$T$2,0)))/3,0)</f>
        <v>332</v>
      </c>
      <c r="M157">
        <f t="shared" ca="1" si="20"/>
        <v>2261</v>
      </c>
      <c r="N157">
        <f>VLOOKUP(C157,技能CD配置辅助表!$C$3:$H$14,6,0)</f>
        <v>26</v>
      </c>
      <c r="O157">
        <f>VLOOKUP(C157,技能CD配置辅助表!$C$3:$M$14,5,0)</f>
        <v>2</v>
      </c>
      <c r="P157">
        <f ca="1">IFERROR(VLOOKUP(A157+I157-10000003,D_技能表!A:AD,30,0)*(VLOOKUP(C157,技能CD配置辅助表!$C$3:$J$14,8,0)-G157)/VLOOKUP(C157,技能CD配置辅助表!$C$3:$J$14,8,0),0)*IF(VLOOKUP(C157,技能CD配置辅助表!$C$3:$F$14,4,0)=1,1,4)</f>
        <v>550.80089365468132</v>
      </c>
      <c r="R157">
        <f t="shared" si="15"/>
        <v>1.3</v>
      </c>
    </row>
    <row r="158" spans="1:18" x14ac:dyDescent="0.15">
      <c r="A158">
        <f ca="1">VLOOKUP(B158,技能CD配置辅助表!$C$3:$K$14,9,0)+I158</f>
        <v>19222121</v>
      </c>
      <c r="B158" t="str">
        <f t="shared" si="16"/>
        <v>龙拳</v>
      </c>
      <c r="C158" t="s">
        <v>191</v>
      </c>
      <c r="D158">
        <f>VLOOKUP(C158,技能CD配置辅助表!$C$3:$E$14,3,0)</f>
        <v>2</v>
      </c>
      <c r="E158">
        <f>IF(I158=0,1,IF(I158&lt;3,VLOOKUP(C158,技能CD配置辅助表!$C$3:$I$14,7,0)+(I158-1)*2,VLOOKUP(C158,技能CD配置辅助表!$C$3:$I$14,7,0)+(I158-1)*3-1))</f>
        <v>63</v>
      </c>
      <c r="F158" t="str">
        <f t="shared" si="17"/>
        <v>第21级，技能冷却时间7秒</v>
      </c>
      <c r="G158">
        <f>VLOOKUP(C158,技能CD配置辅助表!$C$3:$J$14,8,0)-(VLOOKUP(C158,技能CD配置辅助表!$C$3:$J$14,8,0)-VLOOKUP(C158,技能CD配置辅助表!$C$2:$M$14,11,0))/(VLOOKUP(C158,技能CD配置辅助表!$C$3:$H$14,6,0)-1)*(I158-IF(I158=0,0,1))</f>
        <v>7000</v>
      </c>
      <c r="H158">
        <f ca="1">M158*'[1]0、经济设定'!$C$18*IF(E158&lt;J158,1,1)</f>
        <v>132300</v>
      </c>
      <c r="I158">
        <f t="shared" si="18"/>
        <v>21</v>
      </c>
      <c r="J158">
        <f>VLOOKUP(C158,技能CD配置辅助表!$C$3:$L$14,10,0)</f>
        <v>20</v>
      </c>
      <c r="K158">
        <f t="shared" ca="1" si="19"/>
        <v>743</v>
      </c>
      <c r="L158" s="45">
        <f t="shared" ca="1" si="21"/>
        <v>385</v>
      </c>
      <c r="M158">
        <f t="shared" ca="1" si="20"/>
        <v>2646</v>
      </c>
      <c r="N158">
        <f>VLOOKUP(C158,技能CD配置辅助表!$C$3:$H$14,6,0)</f>
        <v>26</v>
      </c>
      <c r="O158">
        <f>VLOOKUP(C158,技能CD配置辅助表!$C$3:$M$14,5,0)</f>
        <v>2</v>
      </c>
      <c r="P158">
        <f ca="1">IFERROR(VLOOKUP(A158+I158-10000003,D_技能表!A:AD,30,0)*(VLOOKUP(C158,技能CD配置辅助表!$C$3:$J$14,8,0)-G158)/VLOOKUP(C158,技能CD配置辅助表!$C$3:$J$14,8,0),0)*IF(VLOOKUP(C158,技能CD配置辅助表!$C$3:$F$14,4,0)=1,1,4)</f>
        <v>773.82833055102412</v>
      </c>
      <c r="R158">
        <f t="shared" ref="R158:R221" si="22">R131</f>
        <v>1.35</v>
      </c>
    </row>
    <row r="159" spans="1:18" x14ac:dyDescent="0.15">
      <c r="A159">
        <f ca="1">VLOOKUP(B159,技能CD配置辅助表!$C$3:$K$14,9,0)+I159</f>
        <v>19222122</v>
      </c>
      <c r="B159" t="str">
        <f t="shared" si="16"/>
        <v>龙拳</v>
      </c>
      <c r="C159" t="s">
        <v>191</v>
      </c>
      <c r="D159">
        <f>VLOOKUP(C159,技能CD配置辅助表!$C$3:$E$14,3,0)</f>
        <v>2</v>
      </c>
      <c r="E159">
        <f>IF(I159=0,1,IF(I159&lt;3,VLOOKUP(C159,技能CD配置辅助表!$C$3:$I$14,7,0)+(I159-1)*2,VLOOKUP(C159,技能CD配置辅助表!$C$3:$I$14,7,0)+(I159-1)*3-1))</f>
        <v>66</v>
      </c>
      <c r="F159" t="str">
        <f t="shared" si="17"/>
        <v>第22级，技能冷却时间6.6秒</v>
      </c>
      <c r="G159">
        <f>VLOOKUP(C159,技能CD配置辅助表!$C$3:$J$14,8,0)-(VLOOKUP(C159,技能CD配置辅助表!$C$3:$J$14,8,0)-VLOOKUP(C159,技能CD配置辅助表!$C$2:$M$14,11,0))/(VLOOKUP(C159,技能CD配置辅助表!$C$3:$H$14,6,0)-1)*(I159-IF(I159=0,0,1))</f>
        <v>6600</v>
      </c>
      <c r="H159">
        <f ca="1">M159*'[1]0、经济设定'!$C$18*IF(E159&lt;J159,1,1)</f>
        <v>154600</v>
      </c>
      <c r="I159">
        <f t="shared" si="18"/>
        <v>22</v>
      </c>
      <c r="J159">
        <f>VLOOKUP(C159,技能CD配置辅助表!$C$3:$L$14,10,0)</f>
        <v>20</v>
      </c>
      <c r="K159">
        <f t="shared" ca="1" si="19"/>
        <v>892</v>
      </c>
      <c r="L159" s="45">
        <f t="shared" ca="1" si="21"/>
        <v>446</v>
      </c>
      <c r="M159">
        <f t="shared" ca="1" si="20"/>
        <v>3092</v>
      </c>
      <c r="N159">
        <f>VLOOKUP(C159,技能CD配置辅助表!$C$3:$H$14,6,0)</f>
        <v>26</v>
      </c>
      <c r="O159">
        <f>VLOOKUP(C159,技能CD配置辅助表!$C$3:$M$14,5,0)</f>
        <v>2</v>
      </c>
      <c r="P159">
        <f ca="1">IFERROR(VLOOKUP(A159+I159-10000003,D_技能表!A:AD,30,0)*(VLOOKUP(C159,技能CD配置辅助表!$C$3:$J$14,8,0)-G159)/VLOOKUP(C159,技能CD配置辅助表!$C$3:$J$14,8,0),0)*IF(VLOOKUP(C159,技能CD配置辅助表!$C$3:$F$14,4,0)=1,1,4)</f>
        <v>1083.5418149500201</v>
      </c>
      <c r="R159">
        <f t="shared" si="22"/>
        <v>1.4</v>
      </c>
    </row>
    <row r="160" spans="1:18" x14ac:dyDescent="0.15">
      <c r="A160">
        <f ca="1">VLOOKUP(B160,技能CD配置辅助表!$C$3:$K$14,9,0)+I160</f>
        <v>19222123</v>
      </c>
      <c r="B160" t="str">
        <f t="shared" si="16"/>
        <v>龙拳</v>
      </c>
      <c r="C160" t="s">
        <v>191</v>
      </c>
      <c r="D160">
        <f>VLOOKUP(C160,技能CD配置辅助表!$C$3:$E$14,3,0)</f>
        <v>2</v>
      </c>
      <c r="E160">
        <f>IF(I160=0,1,IF(I160&lt;3,VLOOKUP(C160,技能CD配置辅助表!$C$3:$I$14,7,0)+(I160-1)*2,VLOOKUP(C160,技能CD配置辅助表!$C$3:$I$14,7,0)+(I160-1)*3-1))</f>
        <v>69</v>
      </c>
      <c r="F160" t="str">
        <f t="shared" si="17"/>
        <v>第23级，技能冷却时间6.2秒</v>
      </c>
      <c r="G160">
        <f>VLOOKUP(C160,技能CD配置辅助表!$C$3:$J$14,8,0)-(VLOOKUP(C160,技能CD配置辅助表!$C$3:$J$14,8,0)-VLOOKUP(C160,技能CD配置辅助表!$C$2:$M$14,11,0))/(VLOOKUP(C160,技能CD配置辅助表!$C$3:$H$14,6,0)-1)*(I160-IF(I160=0,0,1))</f>
        <v>6200</v>
      </c>
      <c r="H160">
        <f ca="1">M160*'[1]0、经济设定'!$C$18*IF(E160&lt;J160,1,1)</f>
        <v>180500</v>
      </c>
      <c r="I160">
        <f t="shared" si="18"/>
        <v>23</v>
      </c>
      <c r="J160">
        <f>VLOOKUP(C160,技能CD配置辅助表!$C$3:$L$14,10,0)</f>
        <v>20</v>
      </c>
      <c r="K160">
        <f t="shared" ca="1" si="19"/>
        <v>1073</v>
      </c>
      <c r="L160" s="45">
        <f t="shared" ca="1" si="21"/>
        <v>518</v>
      </c>
      <c r="M160">
        <f t="shared" ca="1" si="20"/>
        <v>3610</v>
      </c>
      <c r="N160">
        <f>VLOOKUP(C160,技能CD配置辅助表!$C$3:$H$14,6,0)</f>
        <v>26</v>
      </c>
      <c r="O160">
        <f>VLOOKUP(C160,技能CD配置辅助表!$C$3:$M$14,5,0)</f>
        <v>2</v>
      </c>
      <c r="P160">
        <f ca="1">IFERROR(VLOOKUP(A160+I160-10000003,D_技能表!A:AD,30,0)*(VLOOKUP(C160,技能CD配置辅助表!$C$3:$J$14,8,0)-G160)/VLOOKUP(C160,技能CD配置辅助表!$C$3:$J$14,8,0),0)*IF(VLOOKUP(C160,技能CD配置辅助表!$C$3:$F$14,4,0)=1,1,4)</f>
        <v>1512.582222222429</v>
      </c>
      <c r="R160">
        <f t="shared" si="22"/>
        <v>1.45</v>
      </c>
    </row>
    <row r="161" spans="1:18" x14ac:dyDescent="0.15">
      <c r="A161">
        <f ca="1">VLOOKUP(B161,技能CD配置辅助表!$C$3:$K$14,9,0)+I161</f>
        <v>19222124</v>
      </c>
      <c r="B161" t="str">
        <f t="shared" si="16"/>
        <v>龙拳</v>
      </c>
      <c r="C161" t="s">
        <v>191</v>
      </c>
      <c r="D161">
        <f>VLOOKUP(C161,技能CD配置辅助表!$C$3:$E$14,3,0)</f>
        <v>2</v>
      </c>
      <c r="E161">
        <f>IF(I161=0,1,IF(I161&lt;3,VLOOKUP(C161,技能CD配置辅助表!$C$3:$I$14,7,0)+(I161-1)*2,VLOOKUP(C161,技能CD配置辅助表!$C$3:$I$14,7,0)+(I161-1)*3-1))</f>
        <v>72</v>
      </c>
      <c r="F161" t="str">
        <f t="shared" si="17"/>
        <v>第24级，技能冷却时间5.8秒</v>
      </c>
      <c r="G161">
        <f>VLOOKUP(C161,技能CD配置辅助表!$C$3:$J$14,8,0)-(VLOOKUP(C161,技能CD配置辅助表!$C$3:$J$14,8,0)-VLOOKUP(C161,技能CD配置辅助表!$C$2:$M$14,11,0))/(VLOOKUP(C161,技能CD配置辅助表!$C$3:$H$14,6,0)-1)*(I161-IF(I161=0,0,1))</f>
        <v>5800</v>
      </c>
      <c r="H161">
        <f ca="1">M161*'[1]0、经济设定'!$C$18*IF(E161&lt;J161,1,1)</f>
        <v>210500</v>
      </c>
      <c r="I161">
        <f t="shared" si="18"/>
        <v>24</v>
      </c>
      <c r="J161">
        <f>VLOOKUP(C161,技能CD配置辅助表!$C$3:$L$14,10,0)</f>
        <v>20</v>
      </c>
      <c r="K161">
        <f t="shared" ca="1" si="19"/>
        <v>1286</v>
      </c>
      <c r="L161" s="45">
        <f t="shared" ca="1" si="21"/>
        <v>600</v>
      </c>
      <c r="M161">
        <f t="shared" ca="1" si="20"/>
        <v>4210</v>
      </c>
      <c r="N161">
        <f>VLOOKUP(C161,技能CD配置辅助表!$C$3:$H$14,6,0)</f>
        <v>26</v>
      </c>
      <c r="O161">
        <f>VLOOKUP(C161,技能CD配置辅助表!$C$3:$M$14,5,0)</f>
        <v>2</v>
      </c>
      <c r="P161">
        <f ca="1">IFERROR(VLOOKUP(A161+I161-10000003,D_技能表!A:AD,30,0)*(VLOOKUP(C161,技能CD配置辅助表!$C$3:$J$14,8,0)-G161)/VLOOKUP(C161,技能CD配置辅助表!$C$3:$J$14,8,0),0)*IF(VLOOKUP(C161,技能CD配置辅助表!$C$3:$F$14,4,0)=1,1,4)</f>
        <v>2105.5747320839737</v>
      </c>
      <c r="R161">
        <f t="shared" si="22"/>
        <v>1.5</v>
      </c>
    </row>
    <row r="162" spans="1:18" x14ac:dyDescent="0.15">
      <c r="A162">
        <f ca="1">VLOOKUP(B162,技能CD配置辅助表!$C$3:$K$14,9,0)+I162</f>
        <v>19222125</v>
      </c>
      <c r="B162" t="str">
        <f t="shared" si="16"/>
        <v>龙拳</v>
      </c>
      <c r="C162" t="s">
        <v>191</v>
      </c>
      <c r="D162">
        <f>VLOOKUP(C162,技能CD配置辅助表!$C$3:$E$14,3,0)</f>
        <v>2</v>
      </c>
      <c r="E162">
        <f>IF(I162=0,1,IF(I162&lt;3,VLOOKUP(C162,技能CD配置辅助表!$C$3:$I$14,7,0)+(I162-1)*2,VLOOKUP(C162,技能CD配置辅助表!$C$3:$I$14,7,0)+(I162-1)*3-1))</f>
        <v>75</v>
      </c>
      <c r="F162" t="str">
        <f t="shared" si="17"/>
        <v>第25级，技能冷却时间5.4秒</v>
      </c>
      <c r="G162">
        <f>VLOOKUP(C162,技能CD配置辅助表!$C$3:$J$14,8,0)-(VLOOKUP(C162,技能CD配置辅助表!$C$3:$J$14,8,0)-VLOOKUP(C162,技能CD配置辅助表!$C$2:$M$14,11,0))/(VLOOKUP(C162,技能CD配置辅助表!$C$3:$H$14,6,0)-1)*(I162-IF(I162=0,0,1))</f>
        <v>5400</v>
      </c>
      <c r="H162">
        <f ca="1">M162*'[1]0、经济设定'!$C$18*IF(E162&lt;J162,1,1)</f>
        <v>245350</v>
      </c>
      <c r="I162">
        <f t="shared" si="18"/>
        <v>25</v>
      </c>
      <c r="J162">
        <f>VLOOKUP(C162,技能CD配置辅助表!$C$3:$L$14,10,0)</f>
        <v>20</v>
      </c>
      <c r="K162">
        <f t="shared" ca="1" si="19"/>
        <v>1544</v>
      </c>
      <c r="L162" s="45">
        <f t="shared" ca="1" si="21"/>
        <v>697</v>
      </c>
      <c r="M162">
        <f t="shared" ca="1" si="20"/>
        <v>4907</v>
      </c>
      <c r="N162">
        <f>VLOOKUP(C162,技能CD配置辅助表!$C$3:$H$14,6,0)</f>
        <v>26</v>
      </c>
      <c r="O162">
        <f>VLOOKUP(C162,技能CD配置辅助表!$C$3:$M$14,5,0)</f>
        <v>2</v>
      </c>
      <c r="P162">
        <f ca="1">IFERROR(VLOOKUP(A162+I162-10000003,D_技能表!A:AD,30,0)*(VLOOKUP(C162,技能CD配置辅助表!$C$3:$J$14,8,0)-G162)/VLOOKUP(C162,技能CD配置辅助表!$C$3:$J$14,8,0),0)*IF(VLOOKUP(C162,技能CD配置辅助表!$C$3:$F$14,4,0)=1,1,4)</f>
        <v>2923.4395634982861</v>
      </c>
      <c r="R162">
        <f t="shared" si="22"/>
        <v>1.55</v>
      </c>
    </row>
    <row r="163" spans="1:18" x14ac:dyDescent="0.15">
      <c r="A163">
        <f ca="1">VLOOKUP(B163,技能CD配置辅助表!$C$3:$K$14,9,0)+I163</f>
        <v>19222126</v>
      </c>
      <c r="B163" t="str">
        <f t="shared" si="16"/>
        <v>龙拳</v>
      </c>
      <c r="C163" t="s">
        <v>191</v>
      </c>
      <c r="D163">
        <f>VLOOKUP(C163,技能CD配置辅助表!$C$3:$E$14,3,0)</f>
        <v>2</v>
      </c>
      <c r="E163">
        <f>IF(I163=0,1,IF(I163&lt;3,VLOOKUP(C163,技能CD配置辅助表!$C$3:$I$14,7,0)+(I163-1)*2,VLOOKUP(C163,技能CD配置辅助表!$C$3:$I$14,7,0)+(I163-1)*3-1))</f>
        <v>78</v>
      </c>
      <c r="F163" t="str">
        <f t="shared" si="17"/>
        <v>第26级，技能冷却时间5秒</v>
      </c>
      <c r="G163">
        <f>VLOOKUP(C163,技能CD配置辅助表!$C$3:$J$14,8,0)-(VLOOKUP(C163,技能CD配置辅助表!$C$3:$J$14,8,0)-VLOOKUP(C163,技能CD配置辅助表!$C$2:$M$14,11,0))/(VLOOKUP(C163,技能CD配置辅助表!$C$3:$H$14,6,0)-1)*(I163-IF(I163=0,0,1))</f>
        <v>5000</v>
      </c>
      <c r="H163">
        <f ca="1">M163*'[1]0、经济设定'!$C$18*IF(E163&lt;J163,1,1)</f>
        <v>285750</v>
      </c>
      <c r="I163">
        <f t="shared" si="18"/>
        <v>26</v>
      </c>
      <c r="J163">
        <f>VLOOKUP(C163,技能CD配置辅助表!$C$3:$L$14,10,0)</f>
        <v>20</v>
      </c>
      <c r="K163">
        <f t="shared" ca="1" si="19"/>
        <v>1847</v>
      </c>
      <c r="L163" s="45">
        <f t="shared" ca="1" si="21"/>
        <v>808</v>
      </c>
      <c r="M163">
        <f t="shared" ca="1" si="20"/>
        <v>5715</v>
      </c>
      <c r="N163">
        <f>VLOOKUP(C163,技能CD配置辅助表!$C$3:$H$14,6,0)</f>
        <v>26</v>
      </c>
      <c r="O163">
        <f>VLOOKUP(C163,技能CD配置辅助表!$C$3:$M$14,5,0)</f>
        <v>2</v>
      </c>
      <c r="P163">
        <f ca="1">IFERROR(VLOOKUP(A163+I163-10000003,D_技能表!A:AD,30,0)*(VLOOKUP(C163,技能CD配置辅助表!$C$3:$J$14,8,0)-G163)/VLOOKUP(C163,技能CD配置辅助表!$C$3:$J$14,8,0),0)*IF(VLOOKUP(C163,技能CD配置辅助表!$C$3:$F$14,4,0)=1,1,4)</f>
        <v>4049.2271456557155</v>
      </c>
      <c r="R163">
        <f t="shared" si="22"/>
        <v>1.6</v>
      </c>
    </row>
    <row r="164" spans="1:18" x14ac:dyDescent="0.15">
      <c r="A164">
        <f ca="1">VLOOKUP(B164,技能CD配置辅助表!$C$3:$K$14,9,0)+I164</f>
        <v>19213100</v>
      </c>
      <c r="B164" t="str">
        <f t="shared" si="16"/>
        <v>裂地诀</v>
      </c>
      <c r="C164" t="s">
        <v>185</v>
      </c>
      <c r="D164">
        <f>VLOOKUP(C164,技能CD配置辅助表!$C$3:$E$14,3,0)</f>
        <v>2</v>
      </c>
      <c r="E164">
        <f>IF(I164=0,1,IF(I164&lt;3,VLOOKUP(C164,技能CD配置辅助表!$C$3:$I$14,7,0)+(I164-1)*2,VLOOKUP(C164,技能CD配置辅助表!$C$3:$I$14,7,0)+(I164-1)*3-1))</f>
        <v>1</v>
      </c>
      <c r="F164" t="str">
        <f t="shared" si="17"/>
        <v>第0级，技能冷却时间13秒</v>
      </c>
      <c r="G164">
        <f>VLOOKUP(C164,技能CD配置辅助表!$C$3:$J$14,8,0)-(VLOOKUP(C164,技能CD配置辅助表!$C$3:$J$14,8,0)-VLOOKUP(C164,技能CD配置辅助表!$C$2:$M$14,11,0))/(VLOOKUP(C164,技能CD配置辅助表!$C$3:$H$14,6,0)-1)*(I164-IF(I164=0,0,1))</f>
        <v>13000</v>
      </c>
      <c r="H164">
        <f>M164*'[1]0、经济设定'!$C$18*IF(E164&lt;J164,1,1)</f>
        <v>0</v>
      </c>
      <c r="I164">
        <f t="shared" si="18"/>
        <v>0</v>
      </c>
      <c r="J164">
        <f>VLOOKUP(C164,技能CD配置辅助表!$C$3:$L$14,10,0)</f>
        <v>20</v>
      </c>
      <c r="K164">
        <f t="shared" si="19"/>
        <v>0</v>
      </c>
      <c r="L164" s="45">
        <f t="shared" ca="1" si="21"/>
        <v>0</v>
      </c>
      <c r="M164">
        <f t="shared" si="20"/>
        <v>0</v>
      </c>
      <c r="N164">
        <f>VLOOKUP(C164,技能CD配置辅助表!$C$3:$H$14,6,0)</f>
        <v>26</v>
      </c>
      <c r="O164">
        <f>VLOOKUP(C164,技能CD配置辅助表!$C$3:$M$14,5,0)</f>
        <v>3</v>
      </c>
      <c r="P164">
        <f ca="1">IFERROR(VLOOKUP(A164+I164-10000003,D_技能表!A:AD,30,0)*(VLOOKUP(C164,技能CD配置辅助表!$C$3:$J$14,8,0)-G164)/VLOOKUP(C164,技能CD配置辅助表!$C$3:$J$14,8,0),0)*IF(VLOOKUP(C164,技能CD配置辅助表!$C$3:$F$14,4,0)=1,1,4)</f>
        <v>0</v>
      </c>
      <c r="R164">
        <f t="shared" si="22"/>
        <v>0</v>
      </c>
    </row>
    <row r="165" spans="1:18" x14ac:dyDescent="0.15">
      <c r="A165">
        <f ca="1">VLOOKUP(B165,技能CD配置辅助表!$C$3:$K$14,9,0)+I165</f>
        <v>19213101</v>
      </c>
      <c r="B165" t="str">
        <f t="shared" si="16"/>
        <v>裂地诀</v>
      </c>
      <c r="C165" t="s">
        <v>185</v>
      </c>
      <c r="D165">
        <f>VLOOKUP(C165,技能CD配置辅助表!$C$3:$E$14,3,0)</f>
        <v>2</v>
      </c>
      <c r="E165">
        <f>IF(I165=0,1,IF(I165&lt;3,VLOOKUP(C165,技能CD配置辅助表!$C$3:$I$14,7,0)+(I165-1)*2,VLOOKUP(C165,技能CD配置辅助表!$C$3:$I$14,7,0)+(I165-1)*3-1))</f>
        <v>5</v>
      </c>
      <c r="F165" t="str">
        <f t="shared" si="17"/>
        <v>第1级，技能冷却时间13秒</v>
      </c>
      <c r="G165">
        <f>VLOOKUP(C165,技能CD配置辅助表!$C$3:$J$14,8,0)-(VLOOKUP(C165,技能CD配置辅助表!$C$3:$J$14,8,0)-VLOOKUP(C165,技能CD配置辅助表!$C$2:$M$14,11,0))/(VLOOKUP(C165,技能CD配置辅助表!$C$3:$H$14,6,0)-1)*(I165-IF(I165=0,0,1))</f>
        <v>13000</v>
      </c>
      <c r="H165">
        <f ca="1">M165*'[1]0、经济设定'!$C$18*IF(E165&lt;J165,1,1)</f>
        <v>0</v>
      </c>
      <c r="I165">
        <f t="shared" si="18"/>
        <v>1</v>
      </c>
      <c r="J165">
        <f>VLOOKUP(C165,技能CD配置辅助表!$C$3:$L$14,10,0)</f>
        <v>20</v>
      </c>
      <c r="K165">
        <f t="shared" si="19"/>
        <v>0</v>
      </c>
      <c r="L165" s="45">
        <f t="shared" ca="1" si="21"/>
        <v>0</v>
      </c>
      <c r="M165">
        <f t="shared" ca="1" si="20"/>
        <v>0</v>
      </c>
      <c r="N165">
        <f>VLOOKUP(C165,技能CD配置辅助表!$C$3:$H$14,6,0)</f>
        <v>26</v>
      </c>
      <c r="O165">
        <f>VLOOKUP(C165,技能CD配置辅助表!$C$3:$M$14,5,0)</f>
        <v>3</v>
      </c>
      <c r="P165">
        <f ca="1">IFERROR(VLOOKUP(A165+I165-10000003,D_技能表!A:AD,30,0)*(VLOOKUP(C165,技能CD配置辅助表!$C$3:$J$14,8,0)-G165)/VLOOKUP(C165,技能CD配置辅助表!$C$3:$J$14,8,0),0)*IF(VLOOKUP(C165,技能CD配置辅助表!$C$3:$F$14,4,0)=1,1,4)</f>
        <v>0</v>
      </c>
      <c r="R165">
        <f t="shared" si="22"/>
        <v>0</v>
      </c>
    </row>
    <row r="166" spans="1:18" x14ac:dyDescent="0.15">
      <c r="A166">
        <f ca="1">VLOOKUP(B166,技能CD配置辅助表!$C$3:$K$14,9,0)+I166</f>
        <v>19213102</v>
      </c>
      <c r="B166" t="str">
        <f t="shared" si="16"/>
        <v>裂地诀</v>
      </c>
      <c r="C166" t="s">
        <v>185</v>
      </c>
      <c r="D166">
        <f>VLOOKUP(C166,技能CD配置辅助表!$C$3:$E$14,3,0)</f>
        <v>2</v>
      </c>
      <c r="E166">
        <f>IF(I166=0,1,IF(I166&lt;3,VLOOKUP(C166,技能CD配置辅助表!$C$3:$I$14,7,0)+(I166-1)*2,VLOOKUP(C166,技能CD配置辅助表!$C$3:$I$14,7,0)+(I166-1)*3-1))</f>
        <v>7</v>
      </c>
      <c r="F166" t="str">
        <f t="shared" si="17"/>
        <v>第2级，技能冷却时间12.72秒</v>
      </c>
      <c r="G166">
        <f>VLOOKUP(C166,技能CD配置辅助表!$C$3:$J$14,8,0)-(VLOOKUP(C166,技能CD配置辅助表!$C$3:$J$14,8,0)-VLOOKUP(C166,技能CD配置辅助表!$C$2:$M$14,11,0))/(VLOOKUP(C166,技能CD配置辅助表!$C$3:$H$14,6,0)-1)*(I166-IF(I166=0,0,1))</f>
        <v>12720</v>
      </c>
      <c r="H166">
        <f ca="1">M166*'[1]0、经济设定'!$C$18*IF(E166&lt;J166,1,1)</f>
        <v>500</v>
      </c>
      <c r="I166">
        <f t="shared" si="18"/>
        <v>2</v>
      </c>
      <c r="J166">
        <f>VLOOKUP(C166,技能CD配置辅助表!$C$3:$L$14,10,0)</f>
        <v>20</v>
      </c>
      <c r="K166">
        <f t="shared" si="19"/>
        <v>0</v>
      </c>
      <c r="L166" s="45">
        <f t="shared" ca="1" si="21"/>
        <v>10</v>
      </c>
      <c r="M166">
        <f t="shared" ca="1" si="20"/>
        <v>10</v>
      </c>
      <c r="N166">
        <f>VLOOKUP(C166,技能CD配置辅助表!$C$3:$H$14,6,0)</f>
        <v>26</v>
      </c>
      <c r="O166">
        <f>VLOOKUP(C166,技能CD配置辅助表!$C$3:$M$14,5,0)</f>
        <v>3</v>
      </c>
      <c r="P166">
        <f ca="1">IFERROR(VLOOKUP(A166+I166-10000003,D_技能表!A:AD,30,0)*(VLOOKUP(C166,技能CD配置辅助表!$C$3:$J$14,8,0)-G166)/VLOOKUP(C166,技能CD配置辅助表!$C$3:$J$14,8,0),0)*IF(VLOOKUP(C166,技能CD配置辅助表!$C$3:$F$14,4,0)=1,1,4)</f>
        <v>6.5511344282905046E-2</v>
      </c>
      <c r="R166">
        <f t="shared" si="22"/>
        <v>0</v>
      </c>
    </row>
    <row r="167" spans="1:18" x14ac:dyDescent="0.15">
      <c r="A167">
        <f ca="1">VLOOKUP(B167,技能CD配置辅助表!$C$3:$K$14,9,0)+I167</f>
        <v>19213103</v>
      </c>
      <c r="B167" t="str">
        <f t="shared" si="16"/>
        <v>裂地诀</v>
      </c>
      <c r="C167" t="s">
        <v>185</v>
      </c>
      <c r="D167">
        <f>VLOOKUP(C167,技能CD配置辅助表!$C$3:$E$14,3,0)</f>
        <v>2</v>
      </c>
      <c r="E167">
        <f>IF(I167=0,1,IF(I167&lt;3,VLOOKUP(C167,技能CD配置辅助表!$C$3:$I$14,7,0)+(I167-1)*2,VLOOKUP(C167,技能CD配置辅助表!$C$3:$I$14,7,0)+(I167-1)*3-1))</f>
        <v>10</v>
      </c>
      <c r="F167" t="str">
        <f t="shared" si="17"/>
        <v>第3级，技能冷却时间12.44秒</v>
      </c>
      <c r="G167">
        <f>VLOOKUP(C167,技能CD配置辅助表!$C$3:$J$14,8,0)-(VLOOKUP(C167,技能CD配置辅助表!$C$3:$J$14,8,0)-VLOOKUP(C167,技能CD配置辅助表!$C$2:$M$14,11,0))/(VLOOKUP(C167,技能CD配置辅助表!$C$3:$H$14,6,0)-1)*(I167-IF(I167=0,0,1))</f>
        <v>12440</v>
      </c>
      <c r="H167">
        <f ca="1">M167*'[1]0、经济设定'!$C$18*IF(E167&lt;J167,1,1)</f>
        <v>1100</v>
      </c>
      <c r="I167">
        <f t="shared" si="18"/>
        <v>3</v>
      </c>
      <c r="J167">
        <f>VLOOKUP(C167,技能CD配置辅助表!$C$3:$L$14,10,0)</f>
        <v>20</v>
      </c>
      <c r="K167">
        <f t="shared" si="19"/>
        <v>0</v>
      </c>
      <c r="L167" s="45">
        <f t="shared" ca="1" si="21"/>
        <v>12</v>
      </c>
      <c r="M167">
        <f t="shared" ca="1" si="20"/>
        <v>22</v>
      </c>
      <c r="N167">
        <f>VLOOKUP(C167,技能CD配置辅助表!$C$3:$H$14,6,0)</f>
        <v>26</v>
      </c>
      <c r="O167">
        <f>VLOOKUP(C167,技能CD配置辅助表!$C$3:$M$14,5,0)</f>
        <v>3</v>
      </c>
      <c r="P167">
        <f ca="1">IFERROR(VLOOKUP(A167+I167-10000003,D_技能表!A:AD,30,0)*(VLOOKUP(C167,技能CD配置辅助表!$C$3:$J$14,8,0)-G167)/VLOOKUP(C167,技能CD配置辅助表!$C$3:$J$14,8,0),0)*IF(VLOOKUP(C167,技能CD配置辅助表!$C$3:$F$14,4,0)=1,1,4)</f>
        <v>0.17934196866018573</v>
      </c>
      <c r="R167">
        <f t="shared" si="22"/>
        <v>0</v>
      </c>
    </row>
    <row r="168" spans="1:18" x14ac:dyDescent="0.15">
      <c r="A168">
        <f ca="1">VLOOKUP(B168,技能CD配置辅助表!$C$3:$K$14,9,0)+I168</f>
        <v>19213104</v>
      </c>
      <c r="B168" t="str">
        <f t="shared" si="16"/>
        <v>裂地诀</v>
      </c>
      <c r="C168" t="s">
        <v>185</v>
      </c>
      <c r="D168">
        <f>VLOOKUP(C168,技能CD配置辅助表!$C$3:$E$14,3,0)</f>
        <v>2</v>
      </c>
      <c r="E168">
        <f>IF(I168=0,1,IF(I168&lt;3,VLOOKUP(C168,技能CD配置辅助表!$C$3:$I$14,7,0)+(I168-1)*2,VLOOKUP(C168,技能CD配置辅助表!$C$3:$I$14,7,0)+(I168-1)*3-1))</f>
        <v>13</v>
      </c>
      <c r="F168" t="str">
        <f t="shared" si="17"/>
        <v>第4级，技能冷却时间12.16秒</v>
      </c>
      <c r="G168">
        <f>VLOOKUP(C168,技能CD配置辅助表!$C$3:$J$14,8,0)-(VLOOKUP(C168,技能CD配置辅助表!$C$3:$J$14,8,0)-VLOOKUP(C168,技能CD配置辅助表!$C$2:$M$14,11,0))/(VLOOKUP(C168,技能CD配置辅助表!$C$3:$H$14,6,0)-1)*(I168-IF(I168=0,0,1))</f>
        <v>12160</v>
      </c>
      <c r="H168">
        <f ca="1">M168*'[1]0、经济设定'!$C$18*IF(E168&lt;J168,1,1)</f>
        <v>1800</v>
      </c>
      <c r="I168">
        <f t="shared" si="18"/>
        <v>4</v>
      </c>
      <c r="J168">
        <f>VLOOKUP(C168,技能CD配置辅助表!$C$3:$L$14,10,0)</f>
        <v>20</v>
      </c>
      <c r="K168">
        <f t="shared" si="19"/>
        <v>0</v>
      </c>
      <c r="L168" s="45">
        <f t="shared" ca="1" si="21"/>
        <v>14</v>
      </c>
      <c r="M168">
        <f t="shared" ca="1" si="20"/>
        <v>36</v>
      </c>
      <c r="N168">
        <f>VLOOKUP(C168,技能CD配置辅助表!$C$3:$H$14,6,0)</f>
        <v>26</v>
      </c>
      <c r="O168">
        <f>VLOOKUP(C168,技能CD配置辅助表!$C$3:$M$14,5,0)</f>
        <v>3</v>
      </c>
      <c r="P168">
        <f ca="1">IFERROR(VLOOKUP(A168+I168-10000003,D_技能表!A:AD,30,0)*(VLOOKUP(C168,技能CD配置辅助表!$C$3:$J$14,8,0)-G168)/VLOOKUP(C168,技能CD配置辅助表!$C$3:$J$14,8,0),0)*IF(VLOOKUP(C168,技能CD配置辅助表!$C$3:$F$14,4,0)=1,1,4)</f>
        <v>0.36101671807052788</v>
      </c>
      <c r="R168">
        <f t="shared" si="22"/>
        <v>0</v>
      </c>
    </row>
    <row r="169" spans="1:18" x14ac:dyDescent="0.15">
      <c r="A169">
        <f ca="1">VLOOKUP(B169,技能CD配置辅助表!$C$3:$K$14,9,0)+I169</f>
        <v>19213105</v>
      </c>
      <c r="B169" t="str">
        <f t="shared" si="16"/>
        <v>裂地诀</v>
      </c>
      <c r="C169" t="s">
        <v>185</v>
      </c>
      <c r="D169">
        <f>VLOOKUP(C169,技能CD配置辅助表!$C$3:$E$14,3,0)</f>
        <v>2</v>
      </c>
      <c r="E169">
        <f>IF(I169=0,1,IF(I169&lt;3,VLOOKUP(C169,技能CD配置辅助表!$C$3:$I$14,7,0)+(I169-1)*2,VLOOKUP(C169,技能CD配置辅助表!$C$3:$I$14,7,0)+(I169-1)*3-1))</f>
        <v>16</v>
      </c>
      <c r="F169" t="str">
        <f t="shared" si="17"/>
        <v>第5级，技能冷却时间11.88秒</v>
      </c>
      <c r="G169">
        <f>VLOOKUP(C169,技能CD配置辅助表!$C$3:$J$14,8,0)-(VLOOKUP(C169,技能CD配置辅助表!$C$3:$J$14,8,0)-VLOOKUP(C169,技能CD配置辅助表!$C$2:$M$14,11,0))/(VLOOKUP(C169,技能CD配置辅助表!$C$3:$H$14,6,0)-1)*(I169-IF(I169=0,0,1))</f>
        <v>11880</v>
      </c>
      <c r="H169">
        <f ca="1">M169*'[1]0、经济设定'!$C$18*IF(E169&lt;J169,1,1)</f>
        <v>2600</v>
      </c>
      <c r="I169">
        <f t="shared" si="18"/>
        <v>5</v>
      </c>
      <c r="J169">
        <f>VLOOKUP(C169,技能CD配置辅助表!$C$3:$L$14,10,0)</f>
        <v>20</v>
      </c>
      <c r="K169">
        <f t="shared" si="19"/>
        <v>0</v>
      </c>
      <c r="L169" s="45">
        <f t="shared" ca="1" si="21"/>
        <v>16</v>
      </c>
      <c r="M169">
        <f t="shared" ca="1" si="20"/>
        <v>52</v>
      </c>
      <c r="N169">
        <f>VLOOKUP(C169,技能CD配置辅助表!$C$3:$H$14,6,0)</f>
        <v>26</v>
      </c>
      <c r="O169">
        <f>VLOOKUP(C169,技能CD配置辅助表!$C$3:$M$14,5,0)</f>
        <v>3</v>
      </c>
      <c r="P169">
        <f ca="1">IFERROR(VLOOKUP(A169+I169-10000003,D_技能表!A:AD,30,0)*(VLOOKUP(C169,技能CD配置辅助表!$C$3:$J$14,8,0)-G169)/VLOOKUP(C169,技能CD配置辅助表!$C$3:$J$14,8,0),0)*IF(VLOOKUP(C169,技能CD配置辅助表!$C$3:$F$14,4,0)=1,1,4)</f>
        <v>0.64522751100498621</v>
      </c>
      <c r="R169">
        <f t="shared" si="22"/>
        <v>0.1</v>
      </c>
    </row>
    <row r="170" spans="1:18" x14ac:dyDescent="0.15">
      <c r="A170">
        <f ca="1">VLOOKUP(B170,技能CD配置辅助表!$C$3:$K$14,9,0)+I170</f>
        <v>19213106</v>
      </c>
      <c r="B170" t="str">
        <f t="shared" si="16"/>
        <v>裂地诀</v>
      </c>
      <c r="C170" t="s">
        <v>185</v>
      </c>
      <c r="D170">
        <f>VLOOKUP(C170,技能CD配置辅助表!$C$3:$E$14,3,0)</f>
        <v>2</v>
      </c>
      <c r="E170">
        <f>IF(I170=0,1,IF(I170&lt;3,VLOOKUP(C170,技能CD配置辅助表!$C$3:$I$14,7,0)+(I170-1)*2,VLOOKUP(C170,技能CD配置辅助表!$C$3:$I$14,7,0)+(I170-1)*3-1))</f>
        <v>19</v>
      </c>
      <c r="F170" t="str">
        <f t="shared" si="17"/>
        <v>第6级，技能冷却时间11.6秒</v>
      </c>
      <c r="G170">
        <f>VLOOKUP(C170,技能CD配置辅助表!$C$3:$J$14,8,0)-(VLOOKUP(C170,技能CD配置辅助表!$C$3:$J$14,8,0)-VLOOKUP(C170,技能CD配置辅助表!$C$2:$M$14,11,0))/(VLOOKUP(C170,技能CD配置辅助表!$C$3:$H$14,6,0)-1)*(I170-IF(I170=0,0,1))</f>
        <v>11600</v>
      </c>
      <c r="H170">
        <f ca="1">M170*'[1]0、经济设定'!$C$18*IF(E170&lt;J170,1,1)</f>
        <v>3500</v>
      </c>
      <c r="I170">
        <f t="shared" si="18"/>
        <v>6</v>
      </c>
      <c r="J170">
        <f>VLOOKUP(C170,技能CD配置辅助表!$C$3:$L$14,10,0)</f>
        <v>20</v>
      </c>
      <c r="K170">
        <f t="shared" si="19"/>
        <v>0</v>
      </c>
      <c r="L170" s="45">
        <f t="shared" ca="1" si="21"/>
        <v>18</v>
      </c>
      <c r="M170">
        <f t="shared" ca="1" si="20"/>
        <v>70</v>
      </c>
      <c r="N170">
        <f>VLOOKUP(C170,技能CD配置辅助表!$C$3:$H$14,6,0)</f>
        <v>26</v>
      </c>
      <c r="O170">
        <f>VLOOKUP(C170,技能CD配置辅助表!$C$3:$M$14,5,0)</f>
        <v>3</v>
      </c>
      <c r="P170">
        <f ca="1">IFERROR(VLOOKUP(A170+I170-10000003,D_技能表!A:AD,30,0)*(VLOOKUP(C170,技能CD配置辅助表!$C$3:$J$14,8,0)-G170)/VLOOKUP(C170,技能CD配置辅助表!$C$3:$J$14,8,0),0)*IF(VLOOKUP(C170,技能CD配置辅助表!$C$3:$F$14,4,0)=1,1,4)</f>
        <v>1.0799294989274475</v>
      </c>
      <c r="R170">
        <f t="shared" si="22"/>
        <v>0.2</v>
      </c>
    </row>
    <row r="171" spans="1:18" x14ac:dyDescent="0.15">
      <c r="A171">
        <f ca="1">VLOOKUP(B171,技能CD配置辅助表!$C$3:$K$14,9,0)+I171</f>
        <v>19213107</v>
      </c>
      <c r="B171" t="str">
        <f t="shared" si="16"/>
        <v>裂地诀</v>
      </c>
      <c r="C171" t="s">
        <v>185</v>
      </c>
      <c r="D171">
        <f>VLOOKUP(C171,技能CD配置辅助表!$C$3:$E$14,3,0)</f>
        <v>2</v>
      </c>
      <c r="E171">
        <f>IF(I171=0,1,IF(I171&lt;3,VLOOKUP(C171,技能CD配置辅助表!$C$3:$I$14,7,0)+(I171-1)*2,VLOOKUP(C171,技能CD配置辅助表!$C$3:$I$14,7,0)+(I171-1)*3-1))</f>
        <v>22</v>
      </c>
      <c r="F171" t="str">
        <f t="shared" si="17"/>
        <v>第7级，技能冷却时间11.32秒</v>
      </c>
      <c r="G171">
        <f>VLOOKUP(C171,技能CD配置辅助表!$C$3:$J$14,8,0)-(VLOOKUP(C171,技能CD配置辅助表!$C$3:$J$14,8,0)-VLOOKUP(C171,技能CD配置辅助表!$C$2:$M$14,11,0))/(VLOOKUP(C171,技能CD配置辅助表!$C$3:$H$14,6,0)-1)*(I171-IF(I171=0,0,1))</f>
        <v>11320</v>
      </c>
      <c r="H171">
        <f ca="1">M171*'[1]0、经济设定'!$C$18*IF(E171&lt;J171,1,1)</f>
        <v>4550</v>
      </c>
      <c r="I171">
        <f t="shared" si="18"/>
        <v>7</v>
      </c>
      <c r="J171">
        <f>VLOOKUP(C171,技能CD配置辅助表!$C$3:$L$14,10,0)</f>
        <v>20</v>
      </c>
      <c r="K171">
        <f t="shared" ca="1" si="19"/>
        <v>9</v>
      </c>
      <c r="L171" s="45">
        <f t="shared" ca="1" si="21"/>
        <v>21</v>
      </c>
      <c r="M171">
        <f t="shared" ca="1" si="20"/>
        <v>91</v>
      </c>
      <c r="N171">
        <f>VLOOKUP(C171,技能CD配置辅助表!$C$3:$H$14,6,0)</f>
        <v>26</v>
      </c>
      <c r="O171">
        <f>VLOOKUP(C171,技能CD配置辅助表!$C$3:$M$14,5,0)</f>
        <v>3</v>
      </c>
      <c r="P171">
        <f ca="1">IFERROR(VLOOKUP(A171+I171-10000003,D_技能表!A:AD,30,0)*(VLOOKUP(C171,技能CD配置辅助表!$C$3:$J$14,8,0)-G171)/VLOOKUP(C171,技能CD配置辅助表!$C$3:$J$14,8,0),0)*IF(VLOOKUP(C171,技能CD配置辅助表!$C$3:$F$14,4,0)=1,1,4)</f>
        <v>1.7334236721540479</v>
      </c>
      <c r="R171">
        <f t="shared" si="22"/>
        <v>0.3</v>
      </c>
    </row>
    <row r="172" spans="1:18" x14ac:dyDescent="0.15">
      <c r="A172">
        <f ca="1">VLOOKUP(B172,技能CD配置辅助表!$C$3:$K$14,9,0)+I172</f>
        <v>19213108</v>
      </c>
      <c r="B172" t="str">
        <f t="shared" si="16"/>
        <v>裂地诀</v>
      </c>
      <c r="C172" t="s">
        <v>185</v>
      </c>
      <c r="D172">
        <f>VLOOKUP(C172,技能CD配置辅助表!$C$3:$E$14,3,0)</f>
        <v>2</v>
      </c>
      <c r="E172">
        <f>IF(I172=0,1,IF(I172&lt;3,VLOOKUP(C172,技能CD配置辅助表!$C$3:$I$14,7,0)+(I172-1)*2,VLOOKUP(C172,技能CD配置辅助表!$C$3:$I$14,7,0)+(I172-1)*3-1))</f>
        <v>25</v>
      </c>
      <c r="F172" t="str">
        <f t="shared" si="17"/>
        <v>第8级，技能冷却时间11.04秒</v>
      </c>
      <c r="G172">
        <f>VLOOKUP(C172,技能CD配置辅助表!$C$3:$J$14,8,0)-(VLOOKUP(C172,技能CD配置辅助表!$C$3:$J$14,8,0)-VLOOKUP(C172,技能CD配置辅助表!$C$2:$M$14,11,0))/(VLOOKUP(C172,技能CD配置辅助表!$C$3:$H$14,6,0)-1)*(I172-IF(I172=0,0,1))</f>
        <v>11040</v>
      </c>
      <c r="H172">
        <f ca="1">M172*'[1]0、经济设定'!$C$18*IF(E172&lt;J172,1,1)</f>
        <v>5800</v>
      </c>
      <c r="I172">
        <f t="shared" si="18"/>
        <v>8</v>
      </c>
      <c r="J172">
        <f>VLOOKUP(C172,技能CD配置辅助表!$C$3:$L$14,10,0)</f>
        <v>20</v>
      </c>
      <c r="K172">
        <f t="shared" ca="1" si="19"/>
        <v>15</v>
      </c>
      <c r="L172" s="45">
        <f t="shared" ca="1" si="21"/>
        <v>25</v>
      </c>
      <c r="M172">
        <f t="shared" ca="1" si="20"/>
        <v>116</v>
      </c>
      <c r="N172">
        <f>VLOOKUP(C172,技能CD配置辅助表!$C$3:$H$14,6,0)</f>
        <v>26</v>
      </c>
      <c r="O172">
        <f>VLOOKUP(C172,技能CD配置辅助表!$C$3:$M$14,5,0)</f>
        <v>3</v>
      </c>
      <c r="P172">
        <f ca="1">IFERROR(VLOOKUP(A172+I172-10000003,D_技能表!A:AD,30,0)*(VLOOKUP(C172,技能CD配置辅助表!$C$3:$J$14,8,0)-G172)/VLOOKUP(C172,技能CD配置辅助表!$C$3:$J$14,8,0),0)*IF(VLOOKUP(C172,技能CD配置辅助表!$C$3:$F$14,4,0)=1,1,4)</f>
        <v>2.7024786812667463</v>
      </c>
      <c r="R172">
        <f t="shared" si="22"/>
        <v>0.4</v>
      </c>
    </row>
    <row r="173" spans="1:18" x14ac:dyDescent="0.15">
      <c r="A173">
        <f ca="1">VLOOKUP(B173,技能CD配置辅助表!$C$3:$K$14,9,0)+I173</f>
        <v>19213109</v>
      </c>
      <c r="B173" t="str">
        <f t="shared" si="16"/>
        <v>裂地诀</v>
      </c>
      <c r="C173" t="s">
        <v>185</v>
      </c>
      <c r="D173">
        <f>VLOOKUP(C173,技能CD配置辅助表!$C$3:$E$14,3,0)</f>
        <v>2</v>
      </c>
      <c r="E173">
        <f>IF(I173=0,1,IF(I173&lt;3,VLOOKUP(C173,技能CD配置辅助表!$C$3:$I$14,7,0)+(I173-1)*2,VLOOKUP(C173,技能CD配置辅助表!$C$3:$I$14,7,0)+(I173-1)*3-1))</f>
        <v>28</v>
      </c>
      <c r="F173" t="str">
        <f t="shared" si="17"/>
        <v>第9级，技能冷却时间10.76秒</v>
      </c>
      <c r="G173">
        <f>VLOOKUP(C173,技能CD配置辅助表!$C$3:$J$14,8,0)-(VLOOKUP(C173,技能CD配置辅助表!$C$3:$J$14,8,0)-VLOOKUP(C173,技能CD配置辅助表!$C$2:$M$14,11,0))/(VLOOKUP(C173,技能CD配置辅助表!$C$3:$H$14,6,0)-1)*(I173-IF(I173=0,0,1))</f>
        <v>10760</v>
      </c>
      <c r="H173">
        <f ca="1">M173*'[1]0、经济设定'!$C$18*IF(E173&lt;J173,1,1)</f>
        <v>7250</v>
      </c>
      <c r="I173">
        <f t="shared" si="18"/>
        <v>9</v>
      </c>
      <c r="J173">
        <f>VLOOKUP(C173,技能CD配置辅助表!$C$3:$L$14,10,0)</f>
        <v>20</v>
      </c>
      <c r="K173">
        <f t="shared" ca="1" si="19"/>
        <v>21</v>
      </c>
      <c r="L173" s="45">
        <f t="shared" ca="1" si="21"/>
        <v>29</v>
      </c>
      <c r="M173">
        <f t="shared" ca="1" si="20"/>
        <v>145</v>
      </c>
      <c r="N173">
        <f>VLOOKUP(C173,技能CD配置辅助表!$C$3:$H$14,6,0)</f>
        <v>26</v>
      </c>
      <c r="O173">
        <f>VLOOKUP(C173,技能CD配置辅助表!$C$3:$M$14,5,0)</f>
        <v>3</v>
      </c>
      <c r="P173">
        <f ca="1">IFERROR(VLOOKUP(A173+I173-10000003,D_技能表!A:AD,30,0)*(VLOOKUP(C173,技能CD配置辅助表!$C$3:$J$14,8,0)-G173)/VLOOKUP(C173,技能CD配置辅助表!$C$3:$J$14,8,0),0)*IF(VLOOKUP(C173,技能CD配置辅助表!$C$3:$F$14,4,0)=1,1,4)</f>
        <v>4.1235607847087188</v>
      </c>
      <c r="R173">
        <f t="shared" si="22"/>
        <v>0.5</v>
      </c>
    </row>
    <row r="174" spans="1:18" x14ac:dyDescent="0.15">
      <c r="A174">
        <f ca="1">VLOOKUP(B174,技能CD配置辅助表!$C$3:$K$14,9,0)+I174</f>
        <v>19213110</v>
      </c>
      <c r="B174" t="str">
        <f t="shared" si="16"/>
        <v>裂地诀</v>
      </c>
      <c r="C174" t="s">
        <v>185</v>
      </c>
      <c r="D174">
        <f>VLOOKUP(C174,技能CD配置辅助表!$C$3:$E$14,3,0)</f>
        <v>2</v>
      </c>
      <c r="E174">
        <f>IF(I174=0,1,IF(I174&lt;3,VLOOKUP(C174,技能CD配置辅助表!$C$3:$I$14,7,0)+(I174-1)*2,VLOOKUP(C174,技能CD配置辅助表!$C$3:$I$14,7,0)+(I174-1)*3-1))</f>
        <v>31</v>
      </c>
      <c r="F174" t="str">
        <f t="shared" si="17"/>
        <v>第10级，技能冷却时间10.48秒</v>
      </c>
      <c r="G174">
        <f>VLOOKUP(C174,技能CD配置辅助表!$C$3:$J$14,8,0)-(VLOOKUP(C174,技能CD配置辅助表!$C$3:$J$14,8,0)-VLOOKUP(C174,技能CD配置辅助表!$C$2:$M$14,11,0))/(VLOOKUP(C174,技能CD配置辅助表!$C$3:$H$14,6,0)-1)*(I174-IF(I174=0,0,1))</f>
        <v>10480</v>
      </c>
      <c r="H174">
        <f ca="1">M174*'[1]0、经济设定'!$C$18*IF(E174&lt;J174,1,1)</f>
        <v>8950</v>
      </c>
      <c r="I174">
        <f t="shared" si="18"/>
        <v>10</v>
      </c>
      <c r="J174">
        <f>VLOOKUP(C174,技能CD配置辅助表!$C$3:$L$14,10,0)</f>
        <v>20</v>
      </c>
      <c r="K174">
        <f t="shared" ca="1" si="19"/>
        <v>30</v>
      </c>
      <c r="L174" s="45">
        <f t="shared" ca="1" si="21"/>
        <v>34</v>
      </c>
      <c r="M174">
        <f t="shared" ca="1" si="20"/>
        <v>179</v>
      </c>
      <c r="N174">
        <f>VLOOKUP(C174,技能CD配置辅助表!$C$3:$H$14,6,0)</f>
        <v>26</v>
      </c>
      <c r="O174">
        <f>VLOOKUP(C174,技能CD配置辅助表!$C$3:$M$14,5,0)</f>
        <v>3</v>
      </c>
      <c r="P174">
        <f ca="1">IFERROR(VLOOKUP(A174+I174-10000003,D_技能表!A:AD,30,0)*(VLOOKUP(C174,技能CD配置辅助表!$C$3:$J$14,8,0)-G174)/VLOOKUP(C174,技能CD配置辅助表!$C$3:$J$14,8,0),0)*IF(VLOOKUP(C174,技能CD配置辅助表!$C$3:$F$14,4,0)=1,1,4)</f>
        <v>6.1883248274903782</v>
      </c>
      <c r="R174">
        <f t="shared" si="22"/>
        <v>0.6</v>
      </c>
    </row>
    <row r="175" spans="1:18" x14ac:dyDescent="0.15">
      <c r="A175">
        <f ca="1">VLOOKUP(B175,技能CD配置辅助表!$C$3:$K$14,9,0)+I175</f>
        <v>19213111</v>
      </c>
      <c r="B175" t="str">
        <f t="shared" si="16"/>
        <v>裂地诀</v>
      </c>
      <c r="C175" t="s">
        <v>185</v>
      </c>
      <c r="D175">
        <f>VLOOKUP(C175,技能CD配置辅助表!$C$3:$E$14,3,0)</f>
        <v>2</v>
      </c>
      <c r="E175">
        <f>IF(I175=0,1,IF(I175&lt;3,VLOOKUP(C175,技能CD配置辅助表!$C$3:$I$14,7,0)+(I175-1)*2,VLOOKUP(C175,技能CD配置辅助表!$C$3:$I$14,7,0)+(I175-1)*3-1))</f>
        <v>34</v>
      </c>
      <c r="F175" t="str">
        <f t="shared" si="17"/>
        <v>第11级，技能冷却时间10.2秒</v>
      </c>
      <c r="G175">
        <f>VLOOKUP(C175,技能CD配置辅助表!$C$3:$J$14,8,0)-(VLOOKUP(C175,技能CD配置辅助表!$C$3:$J$14,8,0)-VLOOKUP(C175,技能CD配置辅助表!$C$2:$M$14,11,0))/(VLOOKUP(C175,技能CD配置辅助表!$C$3:$H$14,6,0)-1)*(I175-IF(I175=0,0,1))</f>
        <v>10200</v>
      </c>
      <c r="H175">
        <f ca="1">M175*'[1]0、经济设定'!$C$18*IF(E175&lt;J175,1,1)</f>
        <v>10900</v>
      </c>
      <c r="I175">
        <f t="shared" si="18"/>
        <v>11</v>
      </c>
      <c r="J175">
        <f>VLOOKUP(C175,技能CD配置辅助表!$C$3:$L$14,10,0)</f>
        <v>20</v>
      </c>
      <c r="K175">
        <f t="shared" ca="1" si="19"/>
        <v>39</v>
      </c>
      <c r="L175" s="45">
        <f t="shared" ca="1" si="21"/>
        <v>39</v>
      </c>
      <c r="M175">
        <f t="shared" ca="1" si="20"/>
        <v>218</v>
      </c>
      <c r="N175">
        <f>VLOOKUP(C175,技能CD配置辅助表!$C$3:$H$14,6,0)</f>
        <v>26</v>
      </c>
      <c r="O175">
        <f>VLOOKUP(C175,技能CD配置辅助表!$C$3:$M$14,5,0)</f>
        <v>3</v>
      </c>
      <c r="P175">
        <f ca="1">IFERROR(VLOOKUP(A175+I175-10000003,D_技能表!A:AD,30,0)*(VLOOKUP(C175,技能CD配置辅助表!$C$3:$J$14,8,0)-G175)/VLOOKUP(C175,技能CD配置辅助表!$C$3:$J$14,8,0),0)*IF(VLOOKUP(C175,技能CD配置辅助表!$C$3:$F$14,4,0)=1,1,4)</f>
        <v>9.1649366159393768</v>
      </c>
      <c r="R175">
        <f t="shared" si="22"/>
        <v>0.7</v>
      </c>
    </row>
    <row r="176" spans="1:18" x14ac:dyDescent="0.15">
      <c r="A176">
        <f ca="1">VLOOKUP(B176,技能CD配置辅助表!$C$3:$K$14,9,0)+I176</f>
        <v>19213112</v>
      </c>
      <c r="B176" t="str">
        <f t="shared" si="16"/>
        <v>裂地诀</v>
      </c>
      <c r="C176" t="s">
        <v>185</v>
      </c>
      <c r="D176">
        <f>VLOOKUP(C176,技能CD配置辅助表!$C$3:$E$14,3,0)</f>
        <v>2</v>
      </c>
      <c r="E176">
        <f>IF(I176=0,1,IF(I176&lt;3,VLOOKUP(C176,技能CD配置辅助表!$C$3:$I$14,7,0)+(I176-1)*2,VLOOKUP(C176,技能CD配置辅助表!$C$3:$I$14,7,0)+(I176-1)*3-1))</f>
        <v>37</v>
      </c>
      <c r="F176" t="str">
        <f t="shared" si="17"/>
        <v>第12级，技能冷却时间9.92秒</v>
      </c>
      <c r="G176">
        <f>VLOOKUP(C176,技能CD配置辅助表!$C$3:$J$14,8,0)-(VLOOKUP(C176,技能CD配置辅助表!$C$3:$J$14,8,0)-VLOOKUP(C176,技能CD配置辅助表!$C$2:$M$14,11,0))/(VLOOKUP(C176,技能CD配置辅助表!$C$3:$H$14,6,0)-1)*(I176-IF(I176=0,0,1))</f>
        <v>9920</v>
      </c>
      <c r="H176">
        <f ca="1">M176*'[1]0、经济设定'!$C$18*IF(E176&lt;J176,1,1)</f>
        <v>13150</v>
      </c>
      <c r="I176">
        <f t="shared" si="18"/>
        <v>12</v>
      </c>
      <c r="J176">
        <f>VLOOKUP(C176,技能CD配置辅助表!$C$3:$L$14,10,0)</f>
        <v>20</v>
      </c>
      <c r="K176">
        <f t="shared" ca="1" si="19"/>
        <v>52</v>
      </c>
      <c r="L176" s="45">
        <f t="shared" ca="1" si="21"/>
        <v>45</v>
      </c>
      <c r="M176">
        <f t="shared" ca="1" si="20"/>
        <v>263</v>
      </c>
      <c r="N176">
        <f>VLOOKUP(C176,技能CD配置辅助表!$C$3:$H$14,6,0)</f>
        <v>26</v>
      </c>
      <c r="O176">
        <f>VLOOKUP(C176,技能CD配置辅助表!$C$3:$M$14,5,0)</f>
        <v>3</v>
      </c>
      <c r="P176">
        <f ca="1">IFERROR(VLOOKUP(A176+I176-10000003,D_技能表!A:AD,30,0)*(VLOOKUP(C176,技能CD配置辅助表!$C$3:$J$14,8,0)-G176)/VLOOKUP(C176,技能CD配置辅助表!$C$3:$J$14,8,0),0)*IF(VLOOKUP(C176,技能CD配置辅助表!$C$3:$F$14,4,0)=1,1,4)</f>
        <v>13.427362789649568</v>
      </c>
      <c r="R176">
        <f t="shared" si="22"/>
        <v>0.8</v>
      </c>
    </row>
    <row r="177" spans="1:18" x14ac:dyDescent="0.15">
      <c r="A177">
        <f ca="1">VLOOKUP(B177,技能CD配置辅助表!$C$3:$K$14,9,0)+I177</f>
        <v>19213113</v>
      </c>
      <c r="B177" t="str">
        <f t="shared" si="16"/>
        <v>裂地诀</v>
      </c>
      <c r="C177" t="s">
        <v>185</v>
      </c>
      <c r="D177">
        <f>VLOOKUP(C177,技能CD配置辅助表!$C$3:$E$14,3,0)</f>
        <v>2</v>
      </c>
      <c r="E177">
        <f>IF(I177=0,1,IF(I177&lt;3,VLOOKUP(C177,技能CD配置辅助表!$C$3:$I$14,7,0)+(I177-1)*2,VLOOKUP(C177,技能CD配置辅助表!$C$3:$I$14,7,0)+(I177-1)*3-1))</f>
        <v>40</v>
      </c>
      <c r="F177" t="str">
        <f t="shared" si="17"/>
        <v>第13级，技能冷却时间9.64秒</v>
      </c>
      <c r="G177">
        <f>VLOOKUP(C177,技能CD配置辅助表!$C$3:$J$14,8,0)-(VLOOKUP(C177,技能CD配置辅助表!$C$3:$J$14,8,0)-VLOOKUP(C177,技能CD配置辅助表!$C$2:$M$14,11,0))/(VLOOKUP(C177,技能CD配置辅助表!$C$3:$H$14,6,0)-1)*(I177-IF(I177=0,0,1))</f>
        <v>9640</v>
      </c>
      <c r="H177">
        <f ca="1">M177*'[1]0、经济设定'!$C$18*IF(E177&lt;J177,1,1)</f>
        <v>15750</v>
      </c>
      <c r="I177">
        <f t="shared" si="18"/>
        <v>13</v>
      </c>
      <c r="J177">
        <f>VLOOKUP(C177,技能CD配置辅助表!$C$3:$L$14,10,0)</f>
        <v>20</v>
      </c>
      <c r="K177">
        <f t="shared" ca="1" si="19"/>
        <v>67</v>
      </c>
      <c r="L177" s="45">
        <f t="shared" ca="1" si="21"/>
        <v>52</v>
      </c>
      <c r="M177">
        <f t="shared" ca="1" si="20"/>
        <v>315</v>
      </c>
      <c r="N177">
        <f>VLOOKUP(C177,技能CD配置辅助表!$C$3:$H$14,6,0)</f>
        <v>26</v>
      </c>
      <c r="O177">
        <f>VLOOKUP(C177,技能CD配置辅助表!$C$3:$M$14,5,0)</f>
        <v>3</v>
      </c>
      <c r="P177">
        <f ca="1">IFERROR(VLOOKUP(A177+I177-10000003,D_技能表!A:AD,30,0)*(VLOOKUP(C177,技能CD配置辅助表!$C$3:$J$14,8,0)-G177)/VLOOKUP(C177,技能CD配置辅助表!$C$3:$J$14,8,0),0)*IF(VLOOKUP(C177,技能CD配置辅助表!$C$3:$F$14,4,0)=1,1,4)</f>
        <v>19.495530145776932</v>
      </c>
      <c r="R177">
        <f t="shared" si="22"/>
        <v>0.9</v>
      </c>
    </row>
    <row r="178" spans="1:18" x14ac:dyDescent="0.15">
      <c r="A178">
        <f ca="1">VLOOKUP(B178,技能CD配置辅助表!$C$3:$K$14,9,0)+I178</f>
        <v>19213114</v>
      </c>
      <c r="B178" t="str">
        <f t="shared" si="16"/>
        <v>裂地诀</v>
      </c>
      <c r="C178" t="s">
        <v>185</v>
      </c>
      <c r="D178">
        <f>VLOOKUP(C178,技能CD配置辅助表!$C$3:$E$14,3,0)</f>
        <v>2</v>
      </c>
      <c r="E178">
        <f>IF(I178=0,1,IF(I178&lt;3,VLOOKUP(C178,技能CD配置辅助表!$C$3:$I$14,7,0)+(I178-1)*2,VLOOKUP(C178,技能CD配置辅助表!$C$3:$I$14,7,0)+(I178-1)*3-1))</f>
        <v>43</v>
      </c>
      <c r="F178" t="str">
        <f t="shared" si="17"/>
        <v>第14级，技能冷却时间9.36秒</v>
      </c>
      <c r="G178">
        <f>VLOOKUP(C178,技能CD配置辅助表!$C$3:$J$14,8,0)-(VLOOKUP(C178,技能CD配置辅助表!$C$3:$J$14,8,0)-VLOOKUP(C178,技能CD配置辅助表!$C$2:$M$14,11,0))/(VLOOKUP(C178,技能CD配置辅助表!$C$3:$H$14,6,0)-1)*(I178-IF(I178=0,0,1))</f>
        <v>9360</v>
      </c>
      <c r="H178">
        <f ca="1">M178*'[1]0、经济设定'!$C$18*IF(E178&lt;J178,1,1)</f>
        <v>18800</v>
      </c>
      <c r="I178">
        <f t="shared" si="18"/>
        <v>14</v>
      </c>
      <c r="J178">
        <f>VLOOKUP(C178,技能CD配置辅助表!$C$3:$L$14,10,0)</f>
        <v>20</v>
      </c>
      <c r="K178">
        <f t="shared" ca="1" si="19"/>
        <v>88</v>
      </c>
      <c r="L178" s="45">
        <f t="shared" ca="1" si="21"/>
        <v>61</v>
      </c>
      <c r="M178">
        <f t="shared" ca="1" si="20"/>
        <v>376</v>
      </c>
      <c r="N178">
        <f>VLOOKUP(C178,技能CD配置辅助表!$C$3:$H$14,6,0)</f>
        <v>26</v>
      </c>
      <c r="O178">
        <f>VLOOKUP(C178,技能CD配置辅助表!$C$3:$M$14,5,0)</f>
        <v>3</v>
      </c>
      <c r="P178">
        <f ca="1">IFERROR(VLOOKUP(A178+I178-10000003,D_技能表!A:AD,30,0)*(VLOOKUP(C178,技能CD配置辅助表!$C$3:$J$14,8,0)-G178)/VLOOKUP(C178,技能CD配置辅助表!$C$3:$J$14,8,0),0)*IF(VLOOKUP(C178,技能CD配置辅助表!$C$3:$F$14,4,0)=1,1,4)</f>
        <v>28.090292072180574</v>
      </c>
      <c r="R178">
        <f t="shared" si="22"/>
        <v>1</v>
      </c>
    </row>
    <row r="179" spans="1:18" x14ac:dyDescent="0.15">
      <c r="A179">
        <f ca="1">VLOOKUP(B179,技能CD配置辅助表!$C$3:$K$14,9,0)+I179</f>
        <v>19213115</v>
      </c>
      <c r="B179" t="str">
        <f t="shared" si="16"/>
        <v>裂地诀</v>
      </c>
      <c r="C179" t="s">
        <v>185</v>
      </c>
      <c r="D179">
        <f>VLOOKUP(C179,技能CD配置辅助表!$C$3:$E$14,3,0)</f>
        <v>2</v>
      </c>
      <c r="E179">
        <f>IF(I179=0,1,IF(I179&lt;3,VLOOKUP(C179,技能CD配置辅助表!$C$3:$I$14,7,0)+(I179-1)*2,VLOOKUP(C179,技能CD配置辅助表!$C$3:$I$14,7,0)+(I179-1)*3-1))</f>
        <v>46</v>
      </c>
      <c r="F179" t="str">
        <f t="shared" si="17"/>
        <v>第15级，技能冷却时间9.08秒</v>
      </c>
      <c r="G179">
        <f>VLOOKUP(C179,技能CD配置辅助表!$C$3:$J$14,8,0)-(VLOOKUP(C179,技能CD配置辅助表!$C$3:$J$14,8,0)-VLOOKUP(C179,技能CD配置辅助表!$C$2:$M$14,11,0))/(VLOOKUP(C179,技能CD配置辅助表!$C$3:$H$14,6,0)-1)*(I179-IF(I179=0,0,1))</f>
        <v>9080</v>
      </c>
      <c r="H179">
        <f ca="1">M179*'[1]0、经济设定'!$C$18*IF(E179&lt;J179,1,1)</f>
        <v>22300</v>
      </c>
      <c r="I179">
        <f t="shared" si="18"/>
        <v>15</v>
      </c>
      <c r="J179">
        <f>VLOOKUP(C179,技能CD配置辅助表!$C$3:$L$14,10,0)</f>
        <v>20</v>
      </c>
      <c r="K179">
        <f t="shared" ca="1" si="19"/>
        <v>105</v>
      </c>
      <c r="L179" s="45">
        <f t="shared" ca="1" si="21"/>
        <v>70</v>
      </c>
      <c r="M179">
        <f t="shared" ca="1" si="20"/>
        <v>446</v>
      </c>
      <c r="N179">
        <f>VLOOKUP(C179,技能CD配置辅助表!$C$3:$H$14,6,0)</f>
        <v>26</v>
      </c>
      <c r="O179">
        <f>VLOOKUP(C179,技能CD配置辅助表!$C$3:$M$14,5,0)</f>
        <v>3</v>
      </c>
      <c r="P179">
        <f ca="1">IFERROR(VLOOKUP(A179+I179-10000003,D_技能表!A:AD,30,0)*(VLOOKUP(C179,技能CD配置辅助表!$C$3:$J$14,8,0)-G179)/VLOOKUP(C179,技能CD配置辅助表!$C$3:$J$14,8,0),0)*IF(VLOOKUP(C179,技能CD配置辅助表!$C$3:$F$14,4,0)=1,1,4)</f>
        <v>40.208539015884412</v>
      </c>
      <c r="R179">
        <f t="shared" si="22"/>
        <v>1.05</v>
      </c>
    </row>
    <row r="180" spans="1:18" x14ac:dyDescent="0.15">
      <c r="A180">
        <f ca="1">VLOOKUP(B180,技能CD配置辅助表!$C$3:$K$14,9,0)+I180</f>
        <v>19213116</v>
      </c>
      <c r="B180" t="str">
        <f t="shared" si="16"/>
        <v>裂地诀</v>
      </c>
      <c r="C180" t="s">
        <v>185</v>
      </c>
      <c r="D180">
        <f>VLOOKUP(C180,技能CD配置辅助表!$C$3:$E$14,3,0)</f>
        <v>2</v>
      </c>
      <c r="E180">
        <f>IF(I180=0,1,IF(I180&lt;3,VLOOKUP(C180,技能CD配置辅助表!$C$3:$I$14,7,0)+(I180-1)*2,VLOOKUP(C180,技能CD配置辅助表!$C$3:$I$14,7,0)+(I180-1)*3-1))</f>
        <v>49</v>
      </c>
      <c r="F180" t="str">
        <f t="shared" si="17"/>
        <v>第16级，技能冷却时间8.8秒</v>
      </c>
      <c r="G180">
        <f>VLOOKUP(C180,技能CD配置辅助表!$C$3:$J$14,8,0)-(VLOOKUP(C180,技能CD配置辅助表!$C$3:$J$14,8,0)-VLOOKUP(C180,技能CD配置辅助表!$C$2:$M$14,11,0))/(VLOOKUP(C180,技能CD配置辅助表!$C$3:$H$14,6,0)-1)*(I180-IF(I180=0,0,1))</f>
        <v>8800</v>
      </c>
      <c r="H180">
        <f ca="1">M180*'[1]0、经济设定'!$C$18*IF(E180&lt;J180,1,1)</f>
        <v>26400</v>
      </c>
      <c r="I180">
        <f t="shared" si="18"/>
        <v>16</v>
      </c>
      <c r="J180">
        <f>VLOOKUP(C180,技能CD配置辅助表!$C$3:$L$14,10,0)</f>
        <v>20</v>
      </c>
      <c r="K180">
        <f t="shared" ca="1" si="19"/>
        <v>129</v>
      </c>
      <c r="L180" s="45">
        <f t="shared" ca="1" si="21"/>
        <v>82</v>
      </c>
      <c r="M180">
        <f t="shared" ca="1" si="20"/>
        <v>528</v>
      </c>
      <c r="N180">
        <f>VLOOKUP(C180,技能CD配置辅助表!$C$3:$H$14,6,0)</f>
        <v>26</v>
      </c>
      <c r="O180">
        <f>VLOOKUP(C180,技能CD配置辅助表!$C$3:$M$14,5,0)</f>
        <v>3</v>
      </c>
      <c r="P180">
        <f ca="1">IFERROR(VLOOKUP(A180+I180-10000003,D_技能表!A:AD,30,0)*(VLOOKUP(C180,技能CD配置辅助表!$C$3:$J$14,8,0)-G180)/VLOOKUP(C180,技能CD配置辅助表!$C$3:$J$14,8,0),0)*IF(VLOOKUP(C180,技能CD配置辅助表!$C$3:$F$14,4,0)=1,1,4)</f>
        <v>57.225678631261651</v>
      </c>
      <c r="R180">
        <f t="shared" si="22"/>
        <v>1.1000000000000001</v>
      </c>
    </row>
    <row r="181" spans="1:18" x14ac:dyDescent="0.15">
      <c r="A181">
        <f ca="1">VLOOKUP(B181,技能CD配置辅助表!$C$3:$K$14,9,0)+I181</f>
        <v>19213117</v>
      </c>
      <c r="B181" t="str">
        <f t="shared" si="16"/>
        <v>裂地诀</v>
      </c>
      <c r="C181" t="s">
        <v>185</v>
      </c>
      <c r="D181">
        <f>VLOOKUP(C181,技能CD配置辅助表!$C$3:$E$14,3,0)</f>
        <v>2</v>
      </c>
      <c r="E181">
        <f>IF(I181=0,1,IF(I181&lt;3,VLOOKUP(C181,技能CD配置辅助表!$C$3:$I$14,7,0)+(I181-1)*2,VLOOKUP(C181,技能CD配置辅助表!$C$3:$I$14,7,0)+(I181-1)*3-1))</f>
        <v>52</v>
      </c>
      <c r="F181" t="str">
        <f t="shared" si="17"/>
        <v>第17级，技能冷却时间8.52秒</v>
      </c>
      <c r="G181">
        <f>VLOOKUP(C181,技能CD配置辅助表!$C$3:$J$14,8,0)-(VLOOKUP(C181,技能CD配置辅助表!$C$3:$J$14,8,0)-VLOOKUP(C181,技能CD配置辅助表!$C$2:$M$14,11,0))/(VLOOKUP(C181,技能CD配置辅助表!$C$3:$H$14,6,0)-1)*(I181-IF(I181=0,0,1))</f>
        <v>8520</v>
      </c>
      <c r="H181">
        <f ca="1">M181*'[1]0、经济设定'!$C$18*IF(E181&lt;J181,1,1)</f>
        <v>31150</v>
      </c>
      <c r="I181">
        <f t="shared" si="18"/>
        <v>17</v>
      </c>
      <c r="J181">
        <f>VLOOKUP(C181,技能CD配置辅助表!$C$3:$L$14,10,0)</f>
        <v>20</v>
      </c>
      <c r="K181">
        <f t="shared" ca="1" si="19"/>
        <v>157</v>
      </c>
      <c r="L181" s="45">
        <f t="shared" ca="1" si="21"/>
        <v>95</v>
      </c>
      <c r="M181">
        <f t="shared" ca="1" si="20"/>
        <v>623</v>
      </c>
      <c r="N181">
        <f>VLOOKUP(C181,技能CD配置辅助表!$C$3:$H$14,6,0)</f>
        <v>26</v>
      </c>
      <c r="O181">
        <f>VLOOKUP(C181,技能CD配置辅助表!$C$3:$M$14,5,0)</f>
        <v>3</v>
      </c>
      <c r="P181">
        <f ca="1">IFERROR(VLOOKUP(A181+I181-10000003,D_技能表!A:AD,30,0)*(VLOOKUP(C181,技能CD配置辅助表!$C$3:$J$14,8,0)-G181)/VLOOKUP(C181,技能CD配置辅助表!$C$3:$J$14,8,0),0)*IF(VLOOKUP(C181,技能CD配置辅助表!$C$3:$F$14,4,0)=1,1,4)</f>
        <v>81.035258375949965</v>
      </c>
      <c r="R181">
        <f t="shared" si="22"/>
        <v>1.1499999999999999</v>
      </c>
    </row>
    <row r="182" spans="1:18" x14ac:dyDescent="0.15">
      <c r="A182">
        <f ca="1">VLOOKUP(B182,技能CD配置辅助表!$C$3:$K$14,9,0)+I182</f>
        <v>19213118</v>
      </c>
      <c r="B182" t="str">
        <f t="shared" si="16"/>
        <v>裂地诀</v>
      </c>
      <c r="C182" t="s">
        <v>185</v>
      </c>
      <c r="D182">
        <f>VLOOKUP(C182,技能CD配置辅助表!$C$3:$E$14,3,0)</f>
        <v>2</v>
      </c>
      <c r="E182">
        <f>IF(I182=0,1,IF(I182&lt;3,VLOOKUP(C182,技能CD配置辅助表!$C$3:$I$14,7,0)+(I182-1)*2,VLOOKUP(C182,技能CD配置辅助表!$C$3:$I$14,7,0)+(I182-1)*3-1))</f>
        <v>55</v>
      </c>
      <c r="F182" t="str">
        <f t="shared" si="17"/>
        <v>第18级，技能冷却时间8.24秒</v>
      </c>
      <c r="G182">
        <f>VLOOKUP(C182,技能CD配置辅助表!$C$3:$J$14,8,0)-(VLOOKUP(C182,技能CD配置辅助表!$C$3:$J$14,8,0)-VLOOKUP(C182,技能CD配置辅助表!$C$2:$M$14,11,0))/(VLOOKUP(C182,技能CD配置辅助表!$C$3:$H$14,6,0)-1)*(I182-IF(I182=0,0,1))</f>
        <v>8240</v>
      </c>
      <c r="H182">
        <f ca="1">M182*'[1]0、经济设定'!$C$18*IF(E182&lt;J182,1,1)</f>
        <v>36650</v>
      </c>
      <c r="I182">
        <f t="shared" si="18"/>
        <v>18</v>
      </c>
      <c r="J182">
        <f>VLOOKUP(C182,技能CD配置辅助表!$C$3:$L$14,10,0)</f>
        <v>20</v>
      </c>
      <c r="K182">
        <f t="shared" ca="1" si="19"/>
        <v>189</v>
      </c>
      <c r="L182" s="45">
        <f t="shared" ca="1" si="21"/>
        <v>110</v>
      </c>
      <c r="M182">
        <f t="shared" ca="1" si="20"/>
        <v>733</v>
      </c>
      <c r="N182">
        <f>VLOOKUP(C182,技能CD配置辅助表!$C$3:$H$14,6,0)</f>
        <v>26</v>
      </c>
      <c r="O182">
        <f>VLOOKUP(C182,技能CD配置辅助表!$C$3:$M$14,5,0)</f>
        <v>3</v>
      </c>
      <c r="P182">
        <f ca="1">IFERROR(VLOOKUP(A182+I182-10000003,D_技能表!A:AD,30,0)*(VLOOKUP(C182,技能CD配置辅助表!$C$3:$J$14,8,0)-G182)/VLOOKUP(C182,技能CD配置辅助表!$C$3:$J$14,8,0),0)*IF(VLOOKUP(C182,技能CD配置辅助表!$C$3:$F$14,4,0)=1,1,4)</f>
        <v>114.23893548352702</v>
      </c>
      <c r="R182">
        <f t="shared" si="22"/>
        <v>1.2</v>
      </c>
    </row>
    <row r="183" spans="1:18" x14ac:dyDescent="0.15">
      <c r="A183">
        <f ca="1">VLOOKUP(B183,技能CD配置辅助表!$C$3:$K$14,9,0)+I183</f>
        <v>19213119</v>
      </c>
      <c r="B183" t="str">
        <f t="shared" si="16"/>
        <v>裂地诀</v>
      </c>
      <c r="C183" t="s">
        <v>185</v>
      </c>
      <c r="D183">
        <f>VLOOKUP(C183,技能CD配置辅助表!$C$3:$E$14,3,0)</f>
        <v>2</v>
      </c>
      <c r="E183">
        <f>IF(I183=0,1,IF(I183&lt;3,VLOOKUP(C183,技能CD配置辅助表!$C$3:$I$14,7,0)+(I183-1)*2,VLOOKUP(C183,技能CD配置辅助表!$C$3:$I$14,7,0)+(I183-1)*3-1))</f>
        <v>58</v>
      </c>
      <c r="F183" t="str">
        <f t="shared" si="17"/>
        <v>第19级，技能冷却时间7.96秒</v>
      </c>
      <c r="G183">
        <f>VLOOKUP(C183,技能CD配置辅助表!$C$3:$J$14,8,0)-(VLOOKUP(C183,技能CD配置辅助表!$C$3:$J$14,8,0)-VLOOKUP(C183,技能CD配置辅助表!$C$2:$M$14,11,0))/(VLOOKUP(C183,技能CD配置辅助表!$C$3:$H$14,6,0)-1)*(I183-IF(I183=0,0,1))</f>
        <v>7960</v>
      </c>
      <c r="H183">
        <f ca="1">M183*'[1]0、经济设定'!$C$18*IF(E183&lt;J183,1,1)</f>
        <v>43000</v>
      </c>
      <c r="I183">
        <f t="shared" si="18"/>
        <v>19</v>
      </c>
      <c r="J183">
        <f>VLOOKUP(C183,技能CD配置辅助表!$C$3:$L$14,10,0)</f>
        <v>20</v>
      </c>
      <c r="K183">
        <f t="shared" ca="1" si="19"/>
        <v>227</v>
      </c>
      <c r="L183" s="45">
        <f t="shared" ca="1" si="21"/>
        <v>127</v>
      </c>
      <c r="M183">
        <f t="shared" ca="1" si="20"/>
        <v>860</v>
      </c>
      <c r="N183">
        <f>VLOOKUP(C183,技能CD配置辅助表!$C$3:$H$14,6,0)</f>
        <v>26</v>
      </c>
      <c r="O183">
        <f>VLOOKUP(C183,技能CD配置辅助表!$C$3:$M$14,5,0)</f>
        <v>3</v>
      </c>
      <c r="P183">
        <f ca="1">IFERROR(VLOOKUP(A183+I183-10000003,D_技能表!A:AD,30,0)*(VLOOKUP(C183,技能CD配置辅助表!$C$3:$J$14,8,0)-G183)/VLOOKUP(C183,技能CD配置辅助表!$C$3:$J$14,8,0),0)*IF(VLOOKUP(C183,技能CD配置辅助表!$C$3:$F$14,4,0)=1,1,4)</f>
        <v>160.40462024422047</v>
      </c>
      <c r="R183">
        <f t="shared" si="22"/>
        <v>1.25</v>
      </c>
    </row>
    <row r="184" spans="1:18" x14ac:dyDescent="0.15">
      <c r="A184">
        <f ca="1">VLOOKUP(B184,技能CD配置辅助表!$C$3:$K$14,9,0)+I184</f>
        <v>19213120</v>
      </c>
      <c r="B184" t="str">
        <f t="shared" si="16"/>
        <v>裂地诀</v>
      </c>
      <c r="C184" t="s">
        <v>185</v>
      </c>
      <c r="D184">
        <f>VLOOKUP(C184,技能CD配置辅助表!$C$3:$E$14,3,0)</f>
        <v>2</v>
      </c>
      <c r="E184">
        <f>IF(I184=0,1,IF(I184&lt;3,VLOOKUP(C184,技能CD配置辅助表!$C$3:$I$14,7,0)+(I184-1)*2,VLOOKUP(C184,技能CD配置辅助表!$C$3:$I$14,7,0)+(I184-1)*3-1))</f>
        <v>61</v>
      </c>
      <c r="F184" t="str">
        <f t="shared" si="17"/>
        <v>第20级，技能冷却时间7.68秒</v>
      </c>
      <c r="G184">
        <f>VLOOKUP(C184,技能CD配置辅助表!$C$3:$J$14,8,0)-(VLOOKUP(C184,技能CD配置辅助表!$C$3:$J$14,8,0)-VLOOKUP(C184,技能CD配置辅助表!$C$2:$M$14,11,0))/(VLOOKUP(C184,技能CD配置辅助表!$C$3:$H$14,6,0)-1)*(I184-IF(I184=0,0,1))</f>
        <v>7680</v>
      </c>
      <c r="H184">
        <f ca="1">M184*'[1]0、经济设定'!$C$18*IF(E184&lt;J184,1,1)</f>
        <v>50350</v>
      </c>
      <c r="I184">
        <f t="shared" si="18"/>
        <v>20</v>
      </c>
      <c r="J184">
        <f>VLOOKUP(C184,技能CD配置辅助表!$C$3:$L$14,10,0)</f>
        <v>20</v>
      </c>
      <c r="K184">
        <f t="shared" ca="1" si="19"/>
        <v>273</v>
      </c>
      <c r="L184" s="45">
        <f t="shared" ca="1" si="21"/>
        <v>147</v>
      </c>
      <c r="M184">
        <f t="shared" ca="1" si="20"/>
        <v>1007</v>
      </c>
      <c r="N184">
        <f>VLOOKUP(C184,技能CD配置辅助表!$C$3:$H$14,6,0)</f>
        <v>26</v>
      </c>
      <c r="O184">
        <f>VLOOKUP(C184,技能CD配置辅助表!$C$3:$M$14,5,0)</f>
        <v>3</v>
      </c>
      <c r="P184">
        <f ca="1">IFERROR(VLOOKUP(A184+I184-10000003,D_技能表!A:AD,30,0)*(VLOOKUP(C184,技能CD配置辅助表!$C$3:$J$14,8,0)-G184)/VLOOKUP(C184,技能CD配置辅助表!$C$3:$J$14,8,0),0)*IF(VLOOKUP(C184,技能CD配置辅助表!$C$3:$F$14,4,0)=1,1,4)</f>
        <v>224.41683537899834</v>
      </c>
      <c r="R184">
        <f t="shared" si="22"/>
        <v>1.3</v>
      </c>
    </row>
    <row r="185" spans="1:18" x14ac:dyDescent="0.15">
      <c r="A185">
        <f ca="1">VLOOKUP(B185,技能CD配置辅助表!$C$3:$K$14,9,0)+I185</f>
        <v>19213121</v>
      </c>
      <c r="B185" t="str">
        <f t="shared" si="16"/>
        <v>裂地诀</v>
      </c>
      <c r="C185" t="s">
        <v>185</v>
      </c>
      <c r="D185">
        <f>VLOOKUP(C185,技能CD配置辅助表!$C$3:$E$14,3,0)</f>
        <v>2</v>
      </c>
      <c r="E185">
        <f>IF(I185=0,1,IF(I185&lt;3,VLOOKUP(C185,技能CD配置辅助表!$C$3:$I$14,7,0)+(I185-1)*2,VLOOKUP(C185,技能CD配置辅助表!$C$3:$I$14,7,0)+(I185-1)*3-1))</f>
        <v>64</v>
      </c>
      <c r="F185" t="str">
        <f t="shared" si="17"/>
        <v>第21级，技能冷却时间7.4秒</v>
      </c>
      <c r="G185">
        <f>VLOOKUP(C185,技能CD配置辅助表!$C$3:$J$14,8,0)-(VLOOKUP(C185,技能CD配置辅助表!$C$3:$J$14,8,0)-VLOOKUP(C185,技能CD配置辅助表!$C$2:$M$14,11,0))/(VLOOKUP(C185,技能CD配置辅助表!$C$3:$H$14,6,0)-1)*(I185-IF(I185=0,0,1))</f>
        <v>7400</v>
      </c>
      <c r="H185">
        <f ca="1">M185*'[1]0、经济设定'!$C$18*IF(E185&lt;J185,1,1)</f>
        <v>58900</v>
      </c>
      <c r="I185">
        <f t="shared" si="18"/>
        <v>21</v>
      </c>
      <c r="J185">
        <f>VLOOKUP(C185,技能CD配置辅助表!$C$3:$L$14,10,0)</f>
        <v>20</v>
      </c>
      <c r="K185">
        <f t="shared" ca="1" si="19"/>
        <v>330</v>
      </c>
      <c r="L185" s="45">
        <f t="shared" ca="1" si="21"/>
        <v>171</v>
      </c>
      <c r="M185">
        <f t="shared" ca="1" si="20"/>
        <v>1178</v>
      </c>
      <c r="N185">
        <f>VLOOKUP(C185,技能CD配置辅助表!$C$3:$H$14,6,0)</f>
        <v>26</v>
      </c>
      <c r="O185">
        <f>VLOOKUP(C185,技能CD配置辅助表!$C$3:$M$14,5,0)</f>
        <v>3</v>
      </c>
      <c r="P185">
        <f ca="1">IFERROR(VLOOKUP(A185+I185-10000003,D_技能表!A:AD,30,0)*(VLOOKUP(C185,技能CD配置辅助表!$C$3:$J$14,8,0)-G185)/VLOOKUP(C185,技能CD配置辅助表!$C$3:$J$14,8,0),0)*IF(VLOOKUP(C185,技能CD配置辅助表!$C$3:$F$14,4,0)=1,1,4)</f>
        <v>312.95169196238055</v>
      </c>
      <c r="R185">
        <f t="shared" si="22"/>
        <v>1.35</v>
      </c>
    </row>
    <row r="186" spans="1:18" x14ac:dyDescent="0.15">
      <c r="A186">
        <f ca="1">VLOOKUP(B186,技能CD配置辅助表!$C$3:$K$14,9,0)+I186</f>
        <v>19213122</v>
      </c>
      <c r="B186" t="str">
        <f t="shared" si="16"/>
        <v>裂地诀</v>
      </c>
      <c r="C186" t="s">
        <v>185</v>
      </c>
      <c r="D186">
        <f>VLOOKUP(C186,技能CD配置辅助表!$C$3:$E$14,3,0)</f>
        <v>2</v>
      </c>
      <c r="E186">
        <f>IF(I186=0,1,IF(I186&lt;3,VLOOKUP(C186,技能CD配置辅助表!$C$3:$I$14,7,0)+(I186-1)*2,VLOOKUP(C186,技能CD配置辅助表!$C$3:$I$14,7,0)+(I186-1)*3-1))</f>
        <v>67</v>
      </c>
      <c r="F186" t="str">
        <f t="shared" si="17"/>
        <v>第22级，技能冷却时间7.12秒</v>
      </c>
      <c r="G186">
        <f>VLOOKUP(C186,技能CD配置辅助表!$C$3:$J$14,8,0)-(VLOOKUP(C186,技能CD配置辅助表!$C$3:$J$14,8,0)-VLOOKUP(C186,技能CD配置辅助表!$C$2:$M$14,11,0))/(VLOOKUP(C186,技能CD配置辅助表!$C$3:$H$14,6,0)-1)*(I186-IF(I186=0,0,1))</f>
        <v>7120</v>
      </c>
      <c r="H186">
        <f ca="1">M186*'[1]0、经济设定'!$C$18*IF(E186&lt;J186,1,1)</f>
        <v>68800</v>
      </c>
      <c r="I186">
        <f t="shared" si="18"/>
        <v>22</v>
      </c>
      <c r="J186">
        <f>VLOOKUP(C186,技能CD配置辅助表!$C$3:$L$14,10,0)</f>
        <v>20</v>
      </c>
      <c r="K186">
        <f t="shared" ca="1" si="19"/>
        <v>396</v>
      </c>
      <c r="L186" s="45">
        <f t="shared" ca="1" si="21"/>
        <v>198</v>
      </c>
      <c r="M186">
        <f t="shared" ca="1" si="20"/>
        <v>1376</v>
      </c>
      <c r="N186">
        <f>VLOOKUP(C186,技能CD配置辅助表!$C$3:$H$14,6,0)</f>
        <v>26</v>
      </c>
      <c r="O186">
        <f>VLOOKUP(C186,技能CD配置辅助表!$C$3:$M$14,5,0)</f>
        <v>3</v>
      </c>
      <c r="P186">
        <f ca="1">IFERROR(VLOOKUP(A186+I186-10000003,D_技能表!A:AD,30,0)*(VLOOKUP(C186,技能CD配置辅助表!$C$3:$J$14,8,0)-G186)/VLOOKUP(C186,技能CD配置辅助表!$C$3:$J$14,8,0),0)*IF(VLOOKUP(C186,技能CD配置辅助表!$C$3:$F$14,4,0)=1,1,4)</f>
        <v>435.12011010588395</v>
      </c>
      <c r="R186">
        <f t="shared" si="22"/>
        <v>1.4</v>
      </c>
    </row>
    <row r="187" spans="1:18" x14ac:dyDescent="0.15">
      <c r="A187">
        <f ca="1">VLOOKUP(B187,技能CD配置辅助表!$C$3:$K$14,9,0)+I187</f>
        <v>19213123</v>
      </c>
      <c r="B187" t="str">
        <f t="shared" si="16"/>
        <v>裂地诀</v>
      </c>
      <c r="C187" t="s">
        <v>185</v>
      </c>
      <c r="D187">
        <f>VLOOKUP(C187,技能CD配置辅助表!$C$3:$E$14,3,0)</f>
        <v>2</v>
      </c>
      <c r="E187">
        <f>IF(I187=0,1,IF(I187&lt;3,VLOOKUP(C187,技能CD配置辅助表!$C$3:$I$14,7,0)+(I187-1)*2,VLOOKUP(C187,技能CD配置辅助表!$C$3:$I$14,7,0)+(I187-1)*3-1))</f>
        <v>70</v>
      </c>
      <c r="F187" t="str">
        <f t="shared" si="17"/>
        <v>第23级，技能冷却时间6.84秒</v>
      </c>
      <c r="G187">
        <f>VLOOKUP(C187,技能CD配置辅助表!$C$3:$J$14,8,0)-(VLOOKUP(C187,技能CD配置辅助表!$C$3:$J$14,8,0)-VLOOKUP(C187,技能CD配置辅助表!$C$2:$M$14,11,0))/(VLOOKUP(C187,技能CD配置辅助表!$C$3:$H$14,6,0)-1)*(I187-IF(I187=0,0,1))</f>
        <v>6840</v>
      </c>
      <c r="H187">
        <f ca="1">M187*'[1]0、经济设定'!$C$18*IF(E187&lt;J187,1,1)</f>
        <v>80300</v>
      </c>
      <c r="I187">
        <f t="shared" si="18"/>
        <v>23</v>
      </c>
      <c r="J187">
        <f>VLOOKUP(C187,技能CD配置辅助表!$C$3:$L$14,10,0)</f>
        <v>20</v>
      </c>
      <c r="K187">
        <f t="shared" ca="1" si="19"/>
        <v>477</v>
      </c>
      <c r="L187" s="45">
        <f t="shared" ca="1" si="21"/>
        <v>230</v>
      </c>
      <c r="M187">
        <f t="shared" ca="1" si="20"/>
        <v>1606</v>
      </c>
      <c r="N187">
        <f>VLOOKUP(C187,技能CD配置辅助表!$C$3:$H$14,6,0)</f>
        <v>26</v>
      </c>
      <c r="O187">
        <f>VLOOKUP(C187,技能CD配置辅助表!$C$3:$M$14,5,0)</f>
        <v>3</v>
      </c>
      <c r="P187">
        <f ca="1">IFERROR(VLOOKUP(A187+I187-10000003,D_技能表!A:AD,30,0)*(VLOOKUP(C187,技能CD配置辅助表!$C$3:$J$14,8,0)-G187)/VLOOKUP(C187,技能CD配置辅助表!$C$3:$J$14,8,0),0)*IF(VLOOKUP(C187,技能CD配置辅助表!$C$3:$F$14,4,0)=1,1,4)</f>
        <v>603.33798584398926</v>
      </c>
      <c r="R187">
        <f t="shared" si="22"/>
        <v>1.45</v>
      </c>
    </row>
    <row r="188" spans="1:18" x14ac:dyDescent="0.15">
      <c r="A188">
        <f ca="1">VLOOKUP(B188,技能CD配置辅助表!$C$3:$K$14,9,0)+I188</f>
        <v>19213124</v>
      </c>
      <c r="B188" t="str">
        <f t="shared" si="16"/>
        <v>裂地诀</v>
      </c>
      <c r="C188" t="s">
        <v>185</v>
      </c>
      <c r="D188">
        <f>VLOOKUP(C188,技能CD配置辅助表!$C$3:$E$14,3,0)</f>
        <v>2</v>
      </c>
      <c r="E188">
        <f>IF(I188=0,1,IF(I188&lt;3,VLOOKUP(C188,技能CD配置辅助表!$C$3:$I$14,7,0)+(I188-1)*2,VLOOKUP(C188,技能CD配置辅助表!$C$3:$I$14,7,0)+(I188-1)*3-1))</f>
        <v>73</v>
      </c>
      <c r="F188" t="str">
        <f t="shared" si="17"/>
        <v>第24级，技能冷却时间6.56秒</v>
      </c>
      <c r="G188">
        <f>VLOOKUP(C188,技能CD配置辅助表!$C$3:$J$14,8,0)-(VLOOKUP(C188,技能CD配置辅助表!$C$3:$J$14,8,0)-VLOOKUP(C188,技能CD配置辅助表!$C$2:$M$14,11,0))/(VLOOKUP(C188,技能CD配置辅助表!$C$3:$H$14,6,0)-1)*(I188-IF(I188=0,0,1))</f>
        <v>6560</v>
      </c>
      <c r="H188">
        <f ca="1">M188*'[1]0、经济设定'!$C$18*IF(E188&lt;J188,1,1)</f>
        <v>93650</v>
      </c>
      <c r="I188">
        <f t="shared" si="18"/>
        <v>24</v>
      </c>
      <c r="J188">
        <f>VLOOKUP(C188,技能CD配置辅助表!$C$3:$L$14,10,0)</f>
        <v>20</v>
      </c>
      <c r="K188">
        <f t="shared" ca="1" si="19"/>
        <v>573</v>
      </c>
      <c r="L188" s="45">
        <f t="shared" ca="1" si="21"/>
        <v>267</v>
      </c>
      <c r="M188">
        <f t="shared" ca="1" si="20"/>
        <v>1873</v>
      </c>
      <c r="N188">
        <f>VLOOKUP(C188,技能CD配置辅助表!$C$3:$H$14,6,0)</f>
        <v>26</v>
      </c>
      <c r="O188">
        <f>VLOOKUP(C188,技能CD配置辅助表!$C$3:$M$14,5,0)</f>
        <v>3</v>
      </c>
      <c r="P188">
        <f ca="1">IFERROR(VLOOKUP(A188+I188-10000003,D_技能表!A:AD,30,0)*(VLOOKUP(C188,技能CD配置辅助表!$C$3:$J$14,8,0)-G188)/VLOOKUP(C188,技能CD配置辅助表!$C$3:$J$14,8,0),0)*IF(VLOOKUP(C188,技能CD配置辅助表!$C$3:$F$14,4,0)=1,1,4)</f>
        <v>834.50222825619596</v>
      </c>
      <c r="R188">
        <f t="shared" si="22"/>
        <v>1.5</v>
      </c>
    </row>
    <row r="189" spans="1:18" x14ac:dyDescent="0.15">
      <c r="A189">
        <f ca="1">VLOOKUP(B189,技能CD配置辅助表!$C$3:$K$14,9,0)+I189</f>
        <v>19213125</v>
      </c>
      <c r="B189" t="str">
        <f t="shared" si="16"/>
        <v>裂地诀</v>
      </c>
      <c r="C189" t="s">
        <v>185</v>
      </c>
      <c r="D189">
        <f>VLOOKUP(C189,技能CD配置辅助表!$C$3:$E$14,3,0)</f>
        <v>2</v>
      </c>
      <c r="E189">
        <f>IF(I189=0,1,IF(I189&lt;3,VLOOKUP(C189,技能CD配置辅助表!$C$3:$I$14,7,0)+(I189-1)*2,VLOOKUP(C189,技能CD配置辅助表!$C$3:$I$14,7,0)+(I189-1)*3-1))</f>
        <v>76</v>
      </c>
      <c r="F189" t="str">
        <f t="shared" si="17"/>
        <v>第25级，技能冷却时间6.28秒</v>
      </c>
      <c r="G189">
        <f>VLOOKUP(C189,技能CD配置辅助表!$C$3:$J$14,8,0)-(VLOOKUP(C189,技能CD配置辅助表!$C$3:$J$14,8,0)-VLOOKUP(C189,技能CD配置辅助表!$C$2:$M$14,11,0))/(VLOOKUP(C189,技能CD配置辅助表!$C$3:$H$14,6,0)-1)*(I189-IF(I189=0,0,1))</f>
        <v>6280</v>
      </c>
      <c r="H189">
        <f ca="1">M189*'[1]0、经济设定'!$C$18*IF(E189&lt;J189,1,1)</f>
        <v>109150</v>
      </c>
      <c r="I189">
        <f t="shared" si="18"/>
        <v>25</v>
      </c>
      <c r="J189">
        <f>VLOOKUP(C189,技能CD配置辅助表!$C$3:$L$14,10,0)</f>
        <v>20</v>
      </c>
      <c r="K189">
        <f t="shared" ca="1" si="19"/>
        <v>687</v>
      </c>
      <c r="L189" s="45">
        <f t="shared" ca="1" si="21"/>
        <v>310</v>
      </c>
      <c r="M189">
        <f t="shared" ca="1" si="20"/>
        <v>2183</v>
      </c>
      <c r="N189">
        <f>VLOOKUP(C189,技能CD配置辅助表!$C$3:$H$14,6,0)</f>
        <v>26</v>
      </c>
      <c r="O189">
        <f>VLOOKUP(C189,技能CD配置辅助表!$C$3:$M$14,5,0)</f>
        <v>3</v>
      </c>
      <c r="P189">
        <f ca="1">IFERROR(VLOOKUP(A189+I189-10000003,D_技能表!A:AD,30,0)*(VLOOKUP(C189,技能CD配置辅助表!$C$3:$J$14,8,0)-G189)/VLOOKUP(C189,技能CD配置辅助表!$C$3:$J$14,8,0),0)*IF(VLOOKUP(C189,技能CD配置辅助表!$C$3:$F$14,4,0)=1,1,4)</f>
        <v>1151.5787049676355</v>
      </c>
      <c r="R189">
        <f t="shared" si="22"/>
        <v>1.55</v>
      </c>
    </row>
    <row r="190" spans="1:18" x14ac:dyDescent="0.15">
      <c r="A190">
        <f ca="1">VLOOKUP(B190,技能CD配置辅助表!$C$3:$K$14,9,0)+I190</f>
        <v>19213126</v>
      </c>
      <c r="B190" t="str">
        <f t="shared" si="16"/>
        <v>裂地诀</v>
      </c>
      <c r="C190" t="s">
        <v>185</v>
      </c>
      <c r="D190">
        <f>VLOOKUP(C190,技能CD配置辅助表!$C$3:$E$14,3,0)</f>
        <v>2</v>
      </c>
      <c r="E190">
        <f>IF(I190=0,1,IF(I190&lt;3,VLOOKUP(C190,技能CD配置辅助表!$C$3:$I$14,7,0)+(I190-1)*2,VLOOKUP(C190,技能CD配置辅助表!$C$3:$I$14,7,0)+(I190-1)*3-1))</f>
        <v>79</v>
      </c>
      <c r="F190" t="str">
        <f t="shared" si="17"/>
        <v>第26级，技能冷却时间6秒</v>
      </c>
      <c r="G190">
        <f>VLOOKUP(C190,技能CD配置辅助表!$C$3:$J$14,8,0)-(VLOOKUP(C190,技能CD配置辅助表!$C$3:$J$14,8,0)-VLOOKUP(C190,技能CD配置辅助表!$C$2:$M$14,11,0))/(VLOOKUP(C190,技能CD配置辅助表!$C$3:$H$14,6,0)-1)*(I190-IF(I190=0,0,1))</f>
        <v>6000</v>
      </c>
      <c r="H190">
        <f ca="1">M190*'[1]0、经济设定'!$C$18*IF(E190&lt;J190,1,1)</f>
        <v>127100</v>
      </c>
      <c r="I190">
        <f t="shared" si="18"/>
        <v>26</v>
      </c>
      <c r="J190">
        <f>VLOOKUP(C190,技能CD配置辅助表!$C$3:$L$14,10,0)</f>
        <v>20</v>
      </c>
      <c r="K190">
        <f t="shared" ca="1" si="19"/>
        <v>821</v>
      </c>
      <c r="L190" s="45">
        <f t="shared" ca="1" si="21"/>
        <v>359</v>
      </c>
      <c r="M190">
        <f t="shared" ca="1" si="20"/>
        <v>2542</v>
      </c>
      <c r="N190">
        <f>VLOOKUP(C190,技能CD配置辅助表!$C$3:$H$14,6,0)</f>
        <v>26</v>
      </c>
      <c r="O190">
        <f>VLOOKUP(C190,技能CD配置辅助表!$C$3:$M$14,5,0)</f>
        <v>3</v>
      </c>
      <c r="P190">
        <f ca="1">IFERROR(VLOOKUP(A190+I190-10000003,D_技能表!A:AD,30,0)*(VLOOKUP(C190,技能CD配置辅助表!$C$3:$J$14,8,0)-G190)/VLOOKUP(C190,技能CD配置辅助表!$C$3:$J$14,8,0),0)*IF(VLOOKUP(C190,技能CD配置辅助表!$C$3:$F$14,4,0)=1,1,4)</f>
        <v>1585.7444664078334</v>
      </c>
      <c r="R190">
        <f t="shared" si="22"/>
        <v>1.6</v>
      </c>
    </row>
    <row r="191" spans="1:18" x14ac:dyDescent="0.15">
      <c r="A191">
        <f ca="1">VLOOKUP(B191,技能CD配置辅助表!$C$3:$K$14,9,0)+I191</f>
        <v>19224100</v>
      </c>
      <c r="B191" t="str">
        <f t="shared" si="16"/>
        <v>幻影脚</v>
      </c>
      <c r="C191" t="s">
        <v>186</v>
      </c>
      <c r="D191">
        <f>VLOOKUP(C191,技能CD配置辅助表!$C$3:$E$14,3,0)</f>
        <v>2</v>
      </c>
      <c r="E191">
        <f>IF(I191=0,1,IF(I191&lt;3,VLOOKUP(C191,技能CD配置辅助表!$C$3:$I$14,7,0)+(I191-1)*2,VLOOKUP(C191,技能CD配置辅助表!$C$3:$I$14,7,0)+(I191-1)*3-1))</f>
        <v>1</v>
      </c>
      <c r="F191" t="str">
        <f t="shared" si="17"/>
        <v>第0级，技能冷却时间13秒</v>
      </c>
      <c r="G191">
        <f>VLOOKUP(C191,技能CD配置辅助表!$C$3:$J$14,8,0)-(VLOOKUP(C191,技能CD配置辅助表!$C$3:$J$14,8,0)-VLOOKUP(C191,技能CD配置辅助表!$C$2:$M$14,11,0))/(VLOOKUP(C191,技能CD配置辅助表!$C$3:$H$14,6,0)-1)*(I191-IF(I191=0,0,1))</f>
        <v>13000</v>
      </c>
      <c r="H191">
        <f>M191*'[1]0、经济设定'!$C$18*IF(E191&lt;J191,1,1)</f>
        <v>0</v>
      </c>
      <c r="I191">
        <f t="shared" si="18"/>
        <v>0</v>
      </c>
      <c r="J191">
        <f>VLOOKUP(C191,技能CD配置辅助表!$C$3:$L$14,10,0)</f>
        <v>20</v>
      </c>
      <c r="K191">
        <f t="shared" si="19"/>
        <v>0</v>
      </c>
      <c r="L191" s="45">
        <f t="shared" ca="1" si="21"/>
        <v>0</v>
      </c>
      <c r="M191">
        <f t="shared" si="20"/>
        <v>0</v>
      </c>
      <c r="N191">
        <f>VLOOKUP(C191,技能CD配置辅助表!$C$3:$H$14,6,0)</f>
        <v>26</v>
      </c>
      <c r="O191">
        <f>VLOOKUP(C191,技能CD配置辅助表!$C$3:$M$14,5,0)</f>
        <v>4</v>
      </c>
      <c r="P191">
        <f ca="1">IFERROR(VLOOKUP(A191+I191-10000003,D_技能表!A:AD,30,0)*(VLOOKUP(C191,技能CD配置辅助表!$C$3:$J$14,8,0)-G191)/VLOOKUP(C191,技能CD配置辅助表!$C$3:$J$14,8,0),0)*IF(VLOOKUP(C191,技能CD配置辅助表!$C$3:$F$14,4,0)=1,1,4)</f>
        <v>0</v>
      </c>
      <c r="R191">
        <f t="shared" si="22"/>
        <v>0</v>
      </c>
    </row>
    <row r="192" spans="1:18" x14ac:dyDescent="0.15">
      <c r="A192">
        <f ca="1">VLOOKUP(B192,技能CD配置辅助表!$C$3:$K$14,9,0)+I192</f>
        <v>19224101</v>
      </c>
      <c r="B192" t="str">
        <f t="shared" si="16"/>
        <v>幻影脚</v>
      </c>
      <c r="C192" t="s">
        <v>186</v>
      </c>
      <c r="D192">
        <f>VLOOKUP(C192,技能CD配置辅助表!$C$3:$E$14,3,0)</f>
        <v>2</v>
      </c>
      <c r="E192">
        <f>IF(I192=0,1,IF(I192&lt;3,VLOOKUP(C192,技能CD配置辅助表!$C$3:$I$14,7,0)+(I192-1)*2,VLOOKUP(C192,技能CD配置辅助表!$C$3:$I$14,7,0)+(I192-1)*3-1))</f>
        <v>6</v>
      </c>
      <c r="F192" t="str">
        <f t="shared" si="17"/>
        <v>第1级，技能冷却时间13秒</v>
      </c>
      <c r="G192">
        <f>VLOOKUP(C192,技能CD配置辅助表!$C$3:$J$14,8,0)-(VLOOKUP(C192,技能CD配置辅助表!$C$3:$J$14,8,0)-VLOOKUP(C192,技能CD配置辅助表!$C$2:$M$14,11,0))/(VLOOKUP(C192,技能CD配置辅助表!$C$3:$H$14,6,0)-1)*(I192-IF(I192=0,0,1))</f>
        <v>13000</v>
      </c>
      <c r="H192">
        <f ca="1">M192*'[1]0、经济设定'!$C$18*IF(E192&lt;J192,1,1)</f>
        <v>0</v>
      </c>
      <c r="I192">
        <f t="shared" si="18"/>
        <v>1</v>
      </c>
      <c r="J192">
        <f>VLOOKUP(C192,技能CD配置辅助表!$C$3:$L$14,10,0)</f>
        <v>20</v>
      </c>
      <c r="K192">
        <f t="shared" si="19"/>
        <v>0</v>
      </c>
      <c r="L192" s="45">
        <f t="shared" ca="1" si="21"/>
        <v>0</v>
      </c>
      <c r="M192">
        <f t="shared" ca="1" si="20"/>
        <v>0</v>
      </c>
      <c r="N192">
        <f>VLOOKUP(C192,技能CD配置辅助表!$C$3:$H$14,6,0)</f>
        <v>26</v>
      </c>
      <c r="O192">
        <f>VLOOKUP(C192,技能CD配置辅助表!$C$3:$M$14,5,0)</f>
        <v>4</v>
      </c>
      <c r="P192">
        <f ca="1">IFERROR(VLOOKUP(A192+I192-10000003,D_技能表!A:AD,30,0)*(VLOOKUP(C192,技能CD配置辅助表!$C$3:$J$14,8,0)-G192)/VLOOKUP(C192,技能CD配置辅助表!$C$3:$J$14,8,0),0)*IF(VLOOKUP(C192,技能CD配置辅助表!$C$3:$F$14,4,0)=1,1,4)</f>
        <v>0</v>
      </c>
      <c r="R192">
        <f t="shared" si="22"/>
        <v>0</v>
      </c>
    </row>
    <row r="193" spans="1:18" x14ac:dyDescent="0.15">
      <c r="A193">
        <f ca="1">VLOOKUP(B193,技能CD配置辅助表!$C$3:$K$14,9,0)+I193</f>
        <v>19224102</v>
      </c>
      <c r="B193" t="str">
        <f t="shared" si="16"/>
        <v>幻影脚</v>
      </c>
      <c r="C193" t="s">
        <v>186</v>
      </c>
      <c r="D193">
        <f>VLOOKUP(C193,技能CD配置辅助表!$C$3:$E$14,3,0)</f>
        <v>2</v>
      </c>
      <c r="E193">
        <f>IF(I193=0,1,IF(I193&lt;3,VLOOKUP(C193,技能CD配置辅助表!$C$3:$I$14,7,0)+(I193-1)*2,VLOOKUP(C193,技能CD配置辅助表!$C$3:$I$14,7,0)+(I193-1)*3-1))</f>
        <v>8</v>
      </c>
      <c r="F193" t="str">
        <f t="shared" si="17"/>
        <v>第2级，技能冷却时间12.68秒</v>
      </c>
      <c r="G193">
        <f>VLOOKUP(C193,技能CD配置辅助表!$C$3:$J$14,8,0)-(VLOOKUP(C193,技能CD配置辅助表!$C$3:$J$14,8,0)-VLOOKUP(C193,技能CD配置辅助表!$C$2:$M$14,11,0))/(VLOOKUP(C193,技能CD配置辅助表!$C$3:$H$14,6,0)-1)*(I193-IF(I193=0,0,1))</f>
        <v>12680</v>
      </c>
      <c r="H193">
        <f ca="1">M193*'[1]0、经济设定'!$C$18*IF(E193&lt;J193,1,1)</f>
        <v>1100</v>
      </c>
      <c r="I193">
        <f t="shared" si="18"/>
        <v>2</v>
      </c>
      <c r="J193">
        <f>VLOOKUP(C193,技能CD配置辅助表!$C$3:$L$14,10,0)</f>
        <v>20</v>
      </c>
      <c r="K193">
        <f t="shared" si="19"/>
        <v>0</v>
      </c>
      <c r="L193" s="45">
        <f t="shared" ca="1" si="21"/>
        <v>22</v>
      </c>
      <c r="M193">
        <f t="shared" ca="1" si="20"/>
        <v>22</v>
      </c>
      <c r="N193">
        <f>VLOOKUP(C193,技能CD配置辅助表!$C$3:$H$14,6,0)</f>
        <v>26</v>
      </c>
      <c r="O193">
        <f>VLOOKUP(C193,技能CD配置辅助表!$C$3:$M$14,5,0)</f>
        <v>4</v>
      </c>
      <c r="P193">
        <f ca="1">IFERROR(VLOOKUP(A193+I193-10000003,D_技能表!A:AD,30,0)*(VLOOKUP(C193,技能CD配置辅助表!$C$3:$J$14,8,0)-G193)/VLOOKUP(C193,技能CD配置辅助表!$C$3:$J$14,8,0),0)*IF(VLOOKUP(C193,技能CD配置辅助表!$C$3:$F$14,4,0)=1,1,4)</f>
        <v>0.11301148339908146</v>
      </c>
      <c r="R193">
        <f t="shared" si="22"/>
        <v>0</v>
      </c>
    </row>
    <row r="194" spans="1:18" x14ac:dyDescent="0.15">
      <c r="A194">
        <f ca="1">VLOOKUP(B194,技能CD配置辅助表!$C$3:$K$14,9,0)+I194</f>
        <v>19224103</v>
      </c>
      <c r="B194" t="str">
        <f t="shared" si="16"/>
        <v>幻影脚</v>
      </c>
      <c r="C194" t="s">
        <v>186</v>
      </c>
      <c r="D194">
        <f>VLOOKUP(C194,技能CD配置辅助表!$C$3:$E$14,3,0)</f>
        <v>2</v>
      </c>
      <c r="E194">
        <f>IF(I194=0,1,IF(I194&lt;3,VLOOKUP(C194,技能CD配置辅助表!$C$3:$I$14,7,0)+(I194-1)*2,VLOOKUP(C194,技能CD配置辅助表!$C$3:$I$14,7,0)+(I194-1)*3-1))</f>
        <v>11</v>
      </c>
      <c r="F194" t="str">
        <f t="shared" si="17"/>
        <v>第3级，技能冷却时间12.36秒</v>
      </c>
      <c r="G194">
        <f>VLOOKUP(C194,技能CD配置辅助表!$C$3:$J$14,8,0)-(VLOOKUP(C194,技能CD配置辅助表!$C$3:$J$14,8,0)-VLOOKUP(C194,技能CD配置辅助表!$C$2:$M$14,11,0))/(VLOOKUP(C194,技能CD配置辅助表!$C$3:$H$14,6,0)-1)*(I194-IF(I194=0,0,1))</f>
        <v>12360</v>
      </c>
      <c r="H194">
        <f ca="1">M194*'[1]0、经济设定'!$C$18*IF(E194&lt;J194,1,1)</f>
        <v>2400</v>
      </c>
      <c r="I194">
        <f t="shared" si="18"/>
        <v>3</v>
      </c>
      <c r="J194">
        <f>VLOOKUP(C194,技能CD配置辅助表!$C$3:$L$14,10,0)</f>
        <v>20</v>
      </c>
      <c r="K194">
        <f t="shared" si="19"/>
        <v>0</v>
      </c>
      <c r="L194" s="45">
        <f t="shared" ca="1" si="21"/>
        <v>26</v>
      </c>
      <c r="M194">
        <f t="shared" ca="1" si="20"/>
        <v>48</v>
      </c>
      <c r="N194">
        <f>VLOOKUP(C194,技能CD配置辅助表!$C$3:$H$14,6,0)</f>
        <v>26</v>
      </c>
      <c r="O194">
        <f>VLOOKUP(C194,技能CD配置辅助表!$C$3:$M$14,5,0)</f>
        <v>4</v>
      </c>
      <c r="P194">
        <f ca="1">IFERROR(VLOOKUP(A194+I194-10000003,D_技能表!A:AD,30,0)*(VLOOKUP(C194,技能CD配置辅助表!$C$3:$J$14,8,0)-G194)/VLOOKUP(C194,技能CD配置辅助表!$C$3:$J$14,8,0),0)*IF(VLOOKUP(C194,技能CD配置辅助表!$C$3:$F$14,4,0)=1,1,4)</f>
        <v>0.32196321263132871</v>
      </c>
      <c r="R194">
        <f t="shared" si="22"/>
        <v>0</v>
      </c>
    </row>
    <row r="195" spans="1:18" x14ac:dyDescent="0.15">
      <c r="A195">
        <f ca="1">VLOOKUP(B195,技能CD配置辅助表!$C$3:$K$14,9,0)+I195</f>
        <v>19224104</v>
      </c>
      <c r="B195" t="str">
        <f t="shared" ref="B195:B258" si="23">C195</f>
        <v>幻影脚</v>
      </c>
      <c r="C195" t="s">
        <v>186</v>
      </c>
      <c r="D195">
        <f>VLOOKUP(C195,技能CD配置辅助表!$C$3:$E$14,3,0)</f>
        <v>2</v>
      </c>
      <c r="E195">
        <f>IF(I195=0,1,IF(I195&lt;3,VLOOKUP(C195,技能CD配置辅助表!$C$3:$I$14,7,0)+(I195-1)*2,VLOOKUP(C195,技能CD配置辅助表!$C$3:$I$14,7,0)+(I195-1)*3-1))</f>
        <v>14</v>
      </c>
      <c r="F195" t="str">
        <f t="shared" ref="F195:F258" si="24">"第"&amp;I195&amp;"级，技能冷却时间"&amp;G195/1000&amp;"秒"</f>
        <v>第4级，技能冷却时间12.04秒</v>
      </c>
      <c r="G195">
        <f>VLOOKUP(C195,技能CD配置辅助表!$C$3:$J$14,8,0)-(VLOOKUP(C195,技能CD配置辅助表!$C$3:$J$14,8,0)-VLOOKUP(C195,技能CD配置辅助表!$C$2:$M$14,11,0))/(VLOOKUP(C195,技能CD配置辅助表!$C$3:$H$14,6,0)-1)*(I195-IF(I195=0,0,1))</f>
        <v>12040</v>
      </c>
      <c r="H195">
        <f ca="1">M195*'[1]0、经济设定'!$C$18*IF(E195&lt;J195,1,1)</f>
        <v>3900</v>
      </c>
      <c r="I195">
        <f t="shared" ref="I195:I258" si="25">IF(B195=B194,I194+1,0)</f>
        <v>4</v>
      </c>
      <c r="J195">
        <f>VLOOKUP(C195,技能CD配置辅助表!$C$3:$L$14,10,0)</f>
        <v>20</v>
      </c>
      <c r="K195">
        <f t="shared" ref="K195:K258" si="26">IF(E195&lt;J195,0,ROUNDUP(L195/$T$4*R195,0))</f>
        <v>0</v>
      </c>
      <c r="L195" s="45">
        <f t="shared" ca="1" si="21"/>
        <v>30</v>
      </c>
      <c r="M195">
        <f t="shared" ref="M195:M258" ca="1" si="27">IF(I195=0,0,L195+M194)</f>
        <v>78</v>
      </c>
      <c r="N195">
        <f>VLOOKUP(C195,技能CD配置辅助表!$C$3:$H$14,6,0)</f>
        <v>26</v>
      </c>
      <c r="O195">
        <f>VLOOKUP(C195,技能CD配置辅助表!$C$3:$M$14,5,0)</f>
        <v>4</v>
      </c>
      <c r="P195">
        <f ca="1">IFERROR(VLOOKUP(A195+I195-10000003,D_技能表!A:AD,30,0)*(VLOOKUP(C195,技能CD配置辅助表!$C$3:$J$14,8,0)-G195)/VLOOKUP(C195,技能CD配置辅助表!$C$3:$J$14,8,0),0)*IF(VLOOKUP(C195,技能CD配置辅助表!$C$3:$F$14,4,0)=1,1,4)</f>
        <v>0.66356234436924777</v>
      </c>
      <c r="R195">
        <f t="shared" si="22"/>
        <v>0</v>
      </c>
    </row>
    <row r="196" spans="1:18" x14ac:dyDescent="0.15">
      <c r="A196">
        <f ca="1">VLOOKUP(B196,技能CD配置辅助表!$C$3:$K$14,9,0)+I196</f>
        <v>19224105</v>
      </c>
      <c r="B196" t="str">
        <f t="shared" si="23"/>
        <v>幻影脚</v>
      </c>
      <c r="C196" t="s">
        <v>186</v>
      </c>
      <c r="D196">
        <f>VLOOKUP(C196,技能CD配置辅助表!$C$3:$E$14,3,0)</f>
        <v>2</v>
      </c>
      <c r="E196">
        <f>IF(I196=0,1,IF(I196&lt;3,VLOOKUP(C196,技能CD配置辅助表!$C$3:$I$14,7,0)+(I196-1)*2,VLOOKUP(C196,技能CD配置辅助表!$C$3:$I$14,7,0)+(I196-1)*3-1))</f>
        <v>17</v>
      </c>
      <c r="F196" t="str">
        <f t="shared" si="24"/>
        <v>第5级，技能冷却时间11.72秒</v>
      </c>
      <c r="G196">
        <f>VLOOKUP(C196,技能CD配置辅助表!$C$3:$J$14,8,0)-(VLOOKUP(C196,技能CD配置辅助表!$C$3:$J$14,8,0)-VLOOKUP(C196,技能CD配置辅助表!$C$2:$M$14,11,0))/(VLOOKUP(C196,技能CD配置辅助表!$C$3:$H$14,6,0)-1)*(I196-IF(I196=0,0,1))</f>
        <v>11720</v>
      </c>
      <c r="H196">
        <f ca="1">M196*'[1]0、经济设定'!$C$18*IF(E196&lt;J196,1,1)</f>
        <v>5650</v>
      </c>
      <c r="I196">
        <f t="shared" si="25"/>
        <v>5</v>
      </c>
      <c r="J196">
        <f>VLOOKUP(C196,技能CD配置辅助表!$C$3:$L$14,10,0)</f>
        <v>20</v>
      </c>
      <c r="K196">
        <f t="shared" si="26"/>
        <v>0</v>
      </c>
      <c r="L196" s="45">
        <f t="shared" ca="1" si="21"/>
        <v>35</v>
      </c>
      <c r="M196">
        <f t="shared" ca="1" si="27"/>
        <v>113</v>
      </c>
      <c r="N196">
        <f>VLOOKUP(C196,技能CD配置辅助表!$C$3:$H$14,6,0)</f>
        <v>26</v>
      </c>
      <c r="O196">
        <f>VLOOKUP(C196,技能CD配置辅助表!$C$3:$M$14,5,0)</f>
        <v>4</v>
      </c>
      <c r="P196">
        <f ca="1">IFERROR(VLOOKUP(A196+I196-10000003,D_技能表!A:AD,30,0)*(VLOOKUP(C196,技能CD配置辅助表!$C$3:$J$14,8,0)-G196)/VLOOKUP(C196,技能CD配置辅助表!$C$3:$J$14,8,0),0)*IF(VLOOKUP(C196,技能CD配置辅助表!$C$3:$F$14,4,0)=1,1,4)</f>
        <v>1.2117376040384453</v>
      </c>
      <c r="R196">
        <f t="shared" si="22"/>
        <v>0.1</v>
      </c>
    </row>
    <row r="197" spans="1:18" x14ac:dyDescent="0.15">
      <c r="A197">
        <f ca="1">VLOOKUP(B197,技能CD配置辅助表!$C$3:$K$14,9,0)+I197</f>
        <v>19224106</v>
      </c>
      <c r="B197" t="str">
        <f t="shared" si="23"/>
        <v>幻影脚</v>
      </c>
      <c r="C197" t="s">
        <v>186</v>
      </c>
      <c r="D197">
        <f>VLOOKUP(C197,技能CD配置辅助表!$C$3:$E$14,3,0)</f>
        <v>2</v>
      </c>
      <c r="E197">
        <f>IF(I197=0,1,IF(I197&lt;3,VLOOKUP(C197,技能CD配置辅助表!$C$3:$I$14,7,0)+(I197-1)*2,VLOOKUP(C197,技能CD配置辅助表!$C$3:$I$14,7,0)+(I197-1)*3-1))</f>
        <v>20</v>
      </c>
      <c r="F197" t="str">
        <f t="shared" si="24"/>
        <v>第6级，技能冷却时间11.4秒</v>
      </c>
      <c r="G197">
        <f>VLOOKUP(C197,技能CD配置辅助表!$C$3:$J$14,8,0)-(VLOOKUP(C197,技能CD配置辅助表!$C$3:$J$14,8,0)-VLOOKUP(C197,技能CD配置辅助表!$C$2:$M$14,11,0))/(VLOOKUP(C197,技能CD配置辅助表!$C$3:$H$14,6,0)-1)*(I197-IF(I197=0,0,1))</f>
        <v>11400</v>
      </c>
      <c r="H197">
        <f ca="1">M197*'[1]0、经济设定'!$C$18*IF(E197&lt;J197,1,1)</f>
        <v>7700</v>
      </c>
      <c r="I197">
        <f t="shared" si="25"/>
        <v>6</v>
      </c>
      <c r="J197">
        <f>VLOOKUP(C197,技能CD配置辅助表!$C$3:$L$14,10,0)</f>
        <v>20</v>
      </c>
      <c r="K197">
        <f t="shared" ca="1" si="26"/>
        <v>12</v>
      </c>
      <c r="L197" s="45">
        <f t="shared" ca="1" si="21"/>
        <v>41</v>
      </c>
      <c r="M197">
        <f t="shared" ca="1" si="27"/>
        <v>154</v>
      </c>
      <c r="N197">
        <f>VLOOKUP(C197,技能CD配置辅助表!$C$3:$H$14,6,0)</f>
        <v>26</v>
      </c>
      <c r="O197">
        <f>VLOOKUP(C197,技能CD配置辅助表!$C$3:$M$14,5,0)</f>
        <v>4</v>
      </c>
      <c r="P197">
        <f ca="1">IFERROR(VLOOKUP(A197+I197-10000003,D_技能表!A:AD,30,0)*(VLOOKUP(C197,技能CD配置辅助表!$C$3:$J$14,8,0)-G197)/VLOOKUP(C197,技能CD配置辅助表!$C$3:$J$14,8,0),0)*IF(VLOOKUP(C197,技能CD配置辅助表!$C$3:$F$14,4,0)=1,1,4)</f>
        <v>2.0685046922253396</v>
      </c>
      <c r="R197">
        <f t="shared" si="22"/>
        <v>0.2</v>
      </c>
    </row>
    <row r="198" spans="1:18" x14ac:dyDescent="0.15">
      <c r="A198">
        <f ca="1">VLOOKUP(B198,技能CD配置辅助表!$C$3:$K$14,9,0)+I198</f>
        <v>19224107</v>
      </c>
      <c r="B198" t="str">
        <f t="shared" si="23"/>
        <v>幻影脚</v>
      </c>
      <c r="C198" t="s">
        <v>186</v>
      </c>
      <c r="D198">
        <f>VLOOKUP(C198,技能CD配置辅助表!$C$3:$E$14,3,0)</f>
        <v>2</v>
      </c>
      <c r="E198">
        <f>IF(I198=0,1,IF(I198&lt;3,VLOOKUP(C198,技能CD配置辅助表!$C$3:$I$14,7,0)+(I198-1)*2,VLOOKUP(C198,技能CD配置辅助表!$C$3:$I$14,7,0)+(I198-1)*3-1))</f>
        <v>23</v>
      </c>
      <c r="F198" t="str">
        <f t="shared" si="24"/>
        <v>第7级，技能冷却时间11.08秒</v>
      </c>
      <c r="G198">
        <f>VLOOKUP(C198,技能CD配置辅助表!$C$3:$J$14,8,0)-(VLOOKUP(C198,技能CD配置辅助表!$C$3:$J$14,8,0)-VLOOKUP(C198,技能CD配置辅助表!$C$2:$M$14,11,0))/(VLOOKUP(C198,技能CD配置辅助表!$C$3:$H$14,6,0)-1)*(I198-IF(I198=0,0,1))</f>
        <v>11080</v>
      </c>
      <c r="H198">
        <f ca="1">M198*'[1]0、经济设定'!$C$18*IF(E198&lt;J198,1,1)</f>
        <v>10050</v>
      </c>
      <c r="I198">
        <f t="shared" si="25"/>
        <v>7</v>
      </c>
      <c r="J198">
        <f>VLOOKUP(C198,技能CD配置辅助表!$C$3:$L$14,10,0)</f>
        <v>20</v>
      </c>
      <c r="K198">
        <f t="shared" ca="1" si="26"/>
        <v>21</v>
      </c>
      <c r="L198" s="45">
        <f t="shared" ca="1" si="21"/>
        <v>47</v>
      </c>
      <c r="M198">
        <f t="shared" ca="1" si="27"/>
        <v>201</v>
      </c>
      <c r="N198">
        <f>VLOOKUP(C198,技能CD配置辅助表!$C$3:$H$14,6,0)</f>
        <v>26</v>
      </c>
      <c r="O198">
        <f>VLOOKUP(C198,技能CD配置辅助表!$C$3:$M$14,5,0)</f>
        <v>4</v>
      </c>
      <c r="P198">
        <f ca="1">IFERROR(VLOOKUP(A198+I198-10000003,D_技能表!A:AD,30,0)*(VLOOKUP(C198,技能CD配置辅助表!$C$3:$J$14,8,0)-G198)/VLOOKUP(C198,技能CD配置辅助表!$C$3:$J$14,8,0),0)*IF(VLOOKUP(C198,技能CD配置辅助表!$C$3:$F$14,4,0)=1,1,4)</f>
        <v>3.3810346749847264</v>
      </c>
      <c r="R198">
        <f t="shared" si="22"/>
        <v>0.3</v>
      </c>
    </row>
    <row r="199" spans="1:18" x14ac:dyDescent="0.15">
      <c r="A199">
        <f ca="1">VLOOKUP(B199,技能CD配置辅助表!$C$3:$K$14,9,0)+I199</f>
        <v>19224108</v>
      </c>
      <c r="B199" t="str">
        <f t="shared" si="23"/>
        <v>幻影脚</v>
      </c>
      <c r="C199" t="s">
        <v>186</v>
      </c>
      <c r="D199">
        <f>VLOOKUP(C199,技能CD配置辅助表!$C$3:$E$14,3,0)</f>
        <v>2</v>
      </c>
      <c r="E199">
        <f>IF(I199=0,1,IF(I199&lt;3,VLOOKUP(C199,技能CD配置辅助表!$C$3:$I$14,7,0)+(I199-1)*2,VLOOKUP(C199,技能CD配置辅助表!$C$3:$I$14,7,0)+(I199-1)*3-1))</f>
        <v>26</v>
      </c>
      <c r="F199" t="str">
        <f t="shared" si="24"/>
        <v>第8级，技能冷却时间10.76秒</v>
      </c>
      <c r="G199">
        <f>VLOOKUP(C199,技能CD配置辅助表!$C$3:$J$14,8,0)-(VLOOKUP(C199,技能CD配置辅助表!$C$3:$J$14,8,0)-VLOOKUP(C199,技能CD配置辅助表!$C$2:$M$14,11,0))/(VLOOKUP(C199,技能CD配置辅助表!$C$3:$H$14,6,0)-1)*(I199-IF(I199=0,0,1))</f>
        <v>10760</v>
      </c>
      <c r="H199">
        <f ca="1">M199*'[1]0、经济设定'!$C$18*IF(E199&lt;J199,1,1)</f>
        <v>12750</v>
      </c>
      <c r="I199">
        <f t="shared" si="25"/>
        <v>8</v>
      </c>
      <c r="J199">
        <f>VLOOKUP(C199,技能CD配置辅助表!$C$3:$L$14,10,0)</f>
        <v>20</v>
      </c>
      <c r="K199">
        <f t="shared" ca="1" si="26"/>
        <v>31</v>
      </c>
      <c r="L199" s="45">
        <f t="shared" ca="1" si="21"/>
        <v>54</v>
      </c>
      <c r="M199">
        <f t="shared" ca="1" si="27"/>
        <v>255</v>
      </c>
      <c r="N199">
        <f>VLOOKUP(C199,技能CD配置辅助表!$C$3:$H$14,6,0)</f>
        <v>26</v>
      </c>
      <c r="O199">
        <f>VLOOKUP(C199,技能CD配置辅助表!$C$3:$M$14,5,0)</f>
        <v>4</v>
      </c>
      <c r="P199">
        <f ca="1">IFERROR(VLOOKUP(A199+I199-10000003,D_技能表!A:AD,30,0)*(VLOOKUP(C199,技能CD配置辅助表!$C$3:$J$14,8,0)-G199)/VLOOKUP(C199,技能CD配置辅助表!$C$3:$J$14,8,0),0)*IF(VLOOKUP(C199,技能CD配置辅助表!$C$3:$F$14,4,0)=1,1,4)</f>
        <v>5.3602960435908686</v>
      </c>
      <c r="R199">
        <f t="shared" si="22"/>
        <v>0.4</v>
      </c>
    </row>
    <row r="200" spans="1:18" x14ac:dyDescent="0.15">
      <c r="A200">
        <f ca="1">VLOOKUP(B200,技能CD配置辅助表!$C$3:$K$14,9,0)+I200</f>
        <v>19224109</v>
      </c>
      <c r="B200" t="str">
        <f t="shared" si="23"/>
        <v>幻影脚</v>
      </c>
      <c r="C200" t="s">
        <v>186</v>
      </c>
      <c r="D200">
        <f>VLOOKUP(C200,技能CD配置辅助表!$C$3:$E$14,3,0)</f>
        <v>2</v>
      </c>
      <c r="E200">
        <f>IF(I200=0,1,IF(I200&lt;3,VLOOKUP(C200,技能CD配置辅助表!$C$3:$I$14,7,0)+(I200-1)*2,VLOOKUP(C200,技能CD配置辅助表!$C$3:$I$14,7,0)+(I200-1)*3-1))</f>
        <v>29</v>
      </c>
      <c r="F200" t="str">
        <f t="shared" si="24"/>
        <v>第9级，技能冷却时间10.44秒</v>
      </c>
      <c r="G200">
        <f>VLOOKUP(C200,技能CD配置辅助表!$C$3:$J$14,8,0)-(VLOOKUP(C200,技能CD配置辅助表!$C$3:$J$14,8,0)-VLOOKUP(C200,技能CD配置辅助表!$C$2:$M$14,11,0))/(VLOOKUP(C200,技能CD配置辅助表!$C$3:$H$14,6,0)-1)*(I200-IF(I200=0,0,1))</f>
        <v>10440</v>
      </c>
      <c r="H200">
        <f ca="1">M200*'[1]0、经济设定'!$C$18*IF(E200&lt;J200,1,1)</f>
        <v>15900</v>
      </c>
      <c r="I200">
        <f t="shared" si="25"/>
        <v>9</v>
      </c>
      <c r="J200">
        <f>VLOOKUP(C200,技能CD配置辅助表!$C$3:$L$14,10,0)</f>
        <v>20</v>
      </c>
      <c r="K200">
        <f t="shared" ca="1" si="26"/>
        <v>45</v>
      </c>
      <c r="L200" s="45">
        <f t="shared" ca="1" si="21"/>
        <v>63</v>
      </c>
      <c r="M200">
        <f t="shared" ca="1" si="27"/>
        <v>318</v>
      </c>
      <c r="N200">
        <f>VLOOKUP(C200,技能CD配置辅助表!$C$3:$H$14,6,0)</f>
        <v>26</v>
      </c>
      <c r="O200">
        <f>VLOOKUP(C200,技能CD配置辅助表!$C$3:$M$14,5,0)</f>
        <v>4</v>
      </c>
      <c r="P200">
        <f ca="1">IFERROR(VLOOKUP(A200+I200-10000003,D_技能表!A:AD,30,0)*(VLOOKUP(C200,技能CD配置辅助表!$C$3:$J$14,8,0)-G200)/VLOOKUP(C200,技能CD配置辅助表!$C$3:$J$14,8,0),0)*IF(VLOOKUP(C200,技能CD配置辅助表!$C$3:$F$14,4,0)=1,1,4)</f>
        <v>8.3070280214955297</v>
      </c>
      <c r="R200">
        <f t="shared" si="22"/>
        <v>0.5</v>
      </c>
    </row>
    <row r="201" spans="1:18" x14ac:dyDescent="0.15">
      <c r="A201">
        <f ca="1">VLOOKUP(B201,技能CD配置辅助表!$C$3:$K$14,9,0)+I201</f>
        <v>19224110</v>
      </c>
      <c r="B201" t="str">
        <f t="shared" si="23"/>
        <v>幻影脚</v>
      </c>
      <c r="C201" t="s">
        <v>186</v>
      </c>
      <c r="D201">
        <f>VLOOKUP(C201,技能CD配置辅助表!$C$3:$E$14,3,0)</f>
        <v>2</v>
      </c>
      <c r="E201">
        <f>IF(I201=0,1,IF(I201&lt;3,VLOOKUP(C201,技能CD配置辅助表!$C$3:$I$14,7,0)+(I201-1)*2,VLOOKUP(C201,技能CD配置辅助表!$C$3:$I$14,7,0)+(I201-1)*3-1))</f>
        <v>32</v>
      </c>
      <c r="F201" t="str">
        <f t="shared" si="24"/>
        <v>第10级，技能冷却时间10.12秒</v>
      </c>
      <c r="G201">
        <f>VLOOKUP(C201,技能CD配置辅助表!$C$3:$J$14,8,0)-(VLOOKUP(C201,技能CD配置辅助表!$C$3:$J$14,8,0)-VLOOKUP(C201,技能CD配置辅助表!$C$2:$M$14,11,0))/(VLOOKUP(C201,技能CD配置辅助表!$C$3:$H$14,6,0)-1)*(I201-IF(I201=0,0,1))</f>
        <v>10120</v>
      </c>
      <c r="H201">
        <f ca="1">M201*'[1]0、经济设定'!$C$18*IF(E201&lt;J201,1,1)</f>
        <v>19550</v>
      </c>
      <c r="I201">
        <f t="shared" si="25"/>
        <v>10</v>
      </c>
      <c r="J201">
        <f>VLOOKUP(C201,技能CD配置辅助表!$C$3:$L$14,10,0)</f>
        <v>20</v>
      </c>
      <c r="K201">
        <f t="shared" ca="1" si="26"/>
        <v>63</v>
      </c>
      <c r="L201" s="45">
        <f t="shared" ca="1" si="21"/>
        <v>73</v>
      </c>
      <c r="M201">
        <f t="shared" ca="1" si="27"/>
        <v>391</v>
      </c>
      <c r="N201">
        <f>VLOOKUP(C201,技能CD配置辅助表!$C$3:$H$14,6,0)</f>
        <v>26</v>
      </c>
      <c r="O201">
        <f>VLOOKUP(C201,技能CD配置辅助表!$C$3:$M$14,5,0)</f>
        <v>4</v>
      </c>
      <c r="P201">
        <f ca="1">IFERROR(VLOOKUP(A201+I201-10000003,D_技能表!A:AD,30,0)*(VLOOKUP(C201,技能CD配置辅助表!$C$3:$J$14,8,0)-G201)/VLOOKUP(C201,技能CD配置辅助表!$C$3:$J$14,8,0),0)*IF(VLOOKUP(C201,技能CD配置辅助表!$C$3:$F$14,4,0)=1,1,4)</f>
        <v>12.647826426742471</v>
      </c>
      <c r="R201">
        <f t="shared" si="22"/>
        <v>0.6</v>
      </c>
    </row>
    <row r="202" spans="1:18" x14ac:dyDescent="0.15">
      <c r="A202">
        <f ca="1">VLOOKUP(B202,技能CD配置辅助表!$C$3:$K$14,9,0)+I202</f>
        <v>19224111</v>
      </c>
      <c r="B202" t="str">
        <f t="shared" si="23"/>
        <v>幻影脚</v>
      </c>
      <c r="C202" t="s">
        <v>186</v>
      </c>
      <c r="D202">
        <f>VLOOKUP(C202,技能CD配置辅助表!$C$3:$E$14,3,0)</f>
        <v>2</v>
      </c>
      <c r="E202">
        <f>IF(I202=0,1,IF(I202&lt;3,VLOOKUP(C202,技能CD配置辅助表!$C$3:$I$14,7,0)+(I202-1)*2,VLOOKUP(C202,技能CD配置辅助表!$C$3:$I$14,7,0)+(I202-1)*3-1))</f>
        <v>35</v>
      </c>
      <c r="F202" t="str">
        <f t="shared" si="24"/>
        <v>第11级，技能冷却时间9.8秒</v>
      </c>
      <c r="G202">
        <f>VLOOKUP(C202,技能CD配置辅助表!$C$3:$J$14,8,0)-(VLOOKUP(C202,技能CD配置辅助表!$C$3:$J$14,8,0)-VLOOKUP(C202,技能CD配置辅助表!$C$2:$M$14,11,0))/(VLOOKUP(C202,技能CD配置辅助表!$C$3:$H$14,6,0)-1)*(I202-IF(I202=0,0,1))</f>
        <v>9800</v>
      </c>
      <c r="H202">
        <f ca="1">M202*'[1]0、经济设定'!$C$18*IF(E202&lt;J202,1,1)</f>
        <v>23800</v>
      </c>
      <c r="I202">
        <f t="shared" si="25"/>
        <v>11</v>
      </c>
      <c r="J202">
        <f>VLOOKUP(C202,技能CD配置辅助表!$C$3:$L$14,10,0)</f>
        <v>20</v>
      </c>
      <c r="K202">
        <f t="shared" ca="1" si="26"/>
        <v>85</v>
      </c>
      <c r="L202" s="45">
        <f t="shared" ca="1" si="21"/>
        <v>85</v>
      </c>
      <c r="M202">
        <f t="shared" ca="1" si="27"/>
        <v>476</v>
      </c>
      <c r="N202">
        <f>VLOOKUP(C202,技能CD配置辅助表!$C$3:$H$14,6,0)</f>
        <v>26</v>
      </c>
      <c r="O202">
        <f>VLOOKUP(C202,技能CD配置辅助表!$C$3:$M$14,5,0)</f>
        <v>4</v>
      </c>
      <c r="P202">
        <f ca="1">IFERROR(VLOOKUP(A202+I202-10000003,D_技能表!A:AD,30,0)*(VLOOKUP(C202,技能CD配置辅助表!$C$3:$J$14,8,0)-G202)/VLOOKUP(C202,技能CD配置辅助表!$C$3:$J$14,8,0),0)*IF(VLOOKUP(C202,技能CD配置辅助表!$C$3:$F$14,4,0)=1,1,4)</f>
        <v>18.985149699495405</v>
      </c>
      <c r="R202">
        <f t="shared" si="22"/>
        <v>0.7</v>
      </c>
    </row>
    <row r="203" spans="1:18" x14ac:dyDescent="0.15">
      <c r="A203">
        <f ca="1">VLOOKUP(B203,技能CD配置辅助表!$C$3:$K$14,9,0)+I203</f>
        <v>19224112</v>
      </c>
      <c r="B203" t="str">
        <f t="shared" si="23"/>
        <v>幻影脚</v>
      </c>
      <c r="C203" t="s">
        <v>186</v>
      </c>
      <c r="D203">
        <f>VLOOKUP(C203,技能CD配置辅助表!$C$3:$E$14,3,0)</f>
        <v>2</v>
      </c>
      <c r="E203">
        <f>IF(I203=0,1,IF(I203&lt;3,VLOOKUP(C203,技能CD配置辅助表!$C$3:$I$14,7,0)+(I203-1)*2,VLOOKUP(C203,技能CD配置辅助表!$C$3:$I$14,7,0)+(I203-1)*3-1))</f>
        <v>38</v>
      </c>
      <c r="F203" t="str">
        <f t="shared" si="24"/>
        <v>第12级，技能冷却时间9.48秒</v>
      </c>
      <c r="G203">
        <f>VLOOKUP(C203,技能CD配置辅助表!$C$3:$J$14,8,0)-(VLOOKUP(C203,技能CD配置辅助表!$C$3:$J$14,8,0)-VLOOKUP(C203,技能CD配置辅助表!$C$2:$M$14,11,0))/(VLOOKUP(C203,技能CD配置辅助表!$C$3:$H$14,6,0)-1)*(I203-IF(I203=0,0,1))</f>
        <v>9480</v>
      </c>
      <c r="H203">
        <f ca="1">M203*'[1]0、经济设定'!$C$18*IF(E203&lt;J203,1,1)</f>
        <v>28750</v>
      </c>
      <c r="I203">
        <f t="shared" si="25"/>
        <v>12</v>
      </c>
      <c r="J203">
        <f>VLOOKUP(C203,技能CD配置辅助表!$C$3:$L$14,10,0)</f>
        <v>20</v>
      </c>
      <c r="K203">
        <f t="shared" ca="1" si="26"/>
        <v>114</v>
      </c>
      <c r="L203" s="45">
        <f t="shared" ca="1" si="21"/>
        <v>99</v>
      </c>
      <c r="M203">
        <f t="shared" ca="1" si="27"/>
        <v>575</v>
      </c>
      <c r="N203">
        <f>VLOOKUP(C203,技能CD配置辅助表!$C$3:$H$14,6,0)</f>
        <v>26</v>
      </c>
      <c r="O203">
        <f>VLOOKUP(C203,技能CD配置辅助表!$C$3:$M$14,5,0)</f>
        <v>4</v>
      </c>
      <c r="P203">
        <f ca="1">IFERROR(VLOOKUP(A203+I203-10000003,D_技能表!A:AD,30,0)*(VLOOKUP(C203,技能CD配置辅助表!$C$3:$J$14,8,0)-G203)/VLOOKUP(C203,技能CD配置辅助表!$C$3:$J$14,8,0),0)*IF(VLOOKUP(C203,技能CD配置辅助表!$C$3:$F$14,4,0)=1,1,4)</f>
        <v>28.166449441157518</v>
      </c>
      <c r="R203">
        <f t="shared" si="22"/>
        <v>0.8</v>
      </c>
    </row>
    <row r="204" spans="1:18" x14ac:dyDescent="0.15">
      <c r="A204">
        <f ca="1">VLOOKUP(B204,技能CD配置辅助表!$C$3:$K$14,9,0)+I204</f>
        <v>19224113</v>
      </c>
      <c r="B204" t="str">
        <f t="shared" si="23"/>
        <v>幻影脚</v>
      </c>
      <c r="C204" t="s">
        <v>186</v>
      </c>
      <c r="D204">
        <f>VLOOKUP(C204,技能CD配置辅助表!$C$3:$E$14,3,0)</f>
        <v>2</v>
      </c>
      <c r="E204">
        <f>IF(I204=0,1,IF(I204&lt;3,VLOOKUP(C204,技能CD配置辅助表!$C$3:$I$14,7,0)+(I204-1)*2,VLOOKUP(C204,技能CD配置辅助表!$C$3:$I$14,7,0)+(I204-1)*3-1))</f>
        <v>41</v>
      </c>
      <c r="F204" t="str">
        <f t="shared" si="24"/>
        <v>第13级，技能冷却时间9.16秒</v>
      </c>
      <c r="G204">
        <f>VLOOKUP(C204,技能CD配置辅助表!$C$3:$J$14,8,0)-(VLOOKUP(C204,技能CD配置辅助表!$C$3:$J$14,8,0)-VLOOKUP(C204,技能CD配置辅助表!$C$2:$M$14,11,0))/(VLOOKUP(C204,技能CD配置辅助表!$C$3:$H$14,6,0)-1)*(I204-IF(I204=0,0,1))</f>
        <v>9160</v>
      </c>
      <c r="H204">
        <f ca="1">M204*'[1]0、经济设定'!$C$18*IF(E204&lt;J204,1,1)</f>
        <v>34500</v>
      </c>
      <c r="I204">
        <f t="shared" si="25"/>
        <v>13</v>
      </c>
      <c r="J204">
        <f>VLOOKUP(C204,技能CD配置辅助表!$C$3:$L$14,10,0)</f>
        <v>20</v>
      </c>
      <c r="K204">
        <f t="shared" ca="1" si="26"/>
        <v>148</v>
      </c>
      <c r="L204" s="45">
        <f t="shared" ca="1" si="21"/>
        <v>115</v>
      </c>
      <c r="M204">
        <f t="shared" ca="1" si="27"/>
        <v>690</v>
      </c>
      <c r="N204">
        <f>VLOOKUP(C204,技能CD配置辅助表!$C$3:$H$14,6,0)</f>
        <v>26</v>
      </c>
      <c r="O204">
        <f>VLOOKUP(C204,技能CD配置辅助表!$C$3:$M$14,5,0)</f>
        <v>4</v>
      </c>
      <c r="P204">
        <f ca="1">IFERROR(VLOOKUP(A204+I204-10000003,D_技能表!A:AD,30,0)*(VLOOKUP(C204,技能CD配置辅助表!$C$3:$J$14,8,0)-G204)/VLOOKUP(C204,技能CD配置辅助表!$C$3:$J$14,8,0),0)*IF(VLOOKUP(C204,技能CD配置辅助表!$C$3:$F$14,4,0)=1,1,4)</f>
        <v>41.37952830353106</v>
      </c>
      <c r="R204">
        <f t="shared" si="22"/>
        <v>0.9</v>
      </c>
    </row>
    <row r="205" spans="1:18" x14ac:dyDescent="0.15">
      <c r="A205">
        <f ca="1">VLOOKUP(B205,技能CD配置辅助表!$C$3:$K$14,9,0)+I205</f>
        <v>19224114</v>
      </c>
      <c r="B205" t="str">
        <f t="shared" si="23"/>
        <v>幻影脚</v>
      </c>
      <c r="C205" t="s">
        <v>186</v>
      </c>
      <c r="D205">
        <f>VLOOKUP(C205,技能CD配置辅助表!$C$3:$E$14,3,0)</f>
        <v>2</v>
      </c>
      <c r="E205">
        <f>IF(I205=0,1,IF(I205&lt;3,VLOOKUP(C205,技能CD配置辅助表!$C$3:$I$14,7,0)+(I205-1)*2,VLOOKUP(C205,技能CD配置辅助表!$C$3:$I$14,7,0)+(I205-1)*3-1))</f>
        <v>44</v>
      </c>
      <c r="F205" t="str">
        <f t="shared" si="24"/>
        <v>第14级，技能冷却时间8.84秒</v>
      </c>
      <c r="G205">
        <f>VLOOKUP(C205,技能CD配置辅助表!$C$3:$J$14,8,0)-(VLOOKUP(C205,技能CD配置辅助表!$C$3:$J$14,8,0)-VLOOKUP(C205,技能CD配置辅助表!$C$2:$M$14,11,0))/(VLOOKUP(C205,技能CD配置辅助表!$C$3:$H$14,6,0)-1)*(I205-IF(I205=0,0,1))</f>
        <v>8840</v>
      </c>
      <c r="H205">
        <f ca="1">M205*'[1]0、经济设定'!$C$18*IF(E205&lt;J205,1,1)</f>
        <v>41150</v>
      </c>
      <c r="I205">
        <f t="shared" si="25"/>
        <v>14</v>
      </c>
      <c r="J205">
        <f>VLOOKUP(C205,技能CD配置辅助表!$C$3:$L$14,10,0)</f>
        <v>20</v>
      </c>
      <c r="K205">
        <f t="shared" ca="1" si="26"/>
        <v>190</v>
      </c>
      <c r="L205" s="45">
        <f t="shared" ca="1" si="21"/>
        <v>133</v>
      </c>
      <c r="M205">
        <f t="shared" ca="1" si="27"/>
        <v>823</v>
      </c>
      <c r="N205">
        <f>VLOOKUP(C205,技能CD配置辅助表!$C$3:$H$14,6,0)</f>
        <v>26</v>
      </c>
      <c r="O205">
        <f>VLOOKUP(C205,技能CD配置辅助表!$C$3:$M$14,5,0)</f>
        <v>4</v>
      </c>
      <c r="P205">
        <f ca="1">IFERROR(VLOOKUP(A205+I205-10000003,D_技能表!A:AD,30,0)*(VLOOKUP(C205,技能CD配置辅助表!$C$3:$J$14,8,0)-G205)/VLOOKUP(C205,技能CD配置辅助表!$C$3:$J$14,8,0),0)*IF(VLOOKUP(C205,技能CD配置辅助表!$C$3:$F$14,4,0)=1,1,4)</f>
        <v>60.283805494362696</v>
      </c>
      <c r="R205">
        <f t="shared" si="22"/>
        <v>1</v>
      </c>
    </row>
    <row r="206" spans="1:18" x14ac:dyDescent="0.15">
      <c r="A206">
        <f ca="1">VLOOKUP(B206,技能CD配置辅助表!$C$3:$K$14,9,0)+I206</f>
        <v>19224115</v>
      </c>
      <c r="B206" t="str">
        <f t="shared" si="23"/>
        <v>幻影脚</v>
      </c>
      <c r="C206" t="s">
        <v>186</v>
      </c>
      <c r="D206">
        <f>VLOOKUP(C206,技能CD配置辅助表!$C$3:$E$14,3,0)</f>
        <v>2</v>
      </c>
      <c r="E206">
        <f>IF(I206=0,1,IF(I206&lt;3,VLOOKUP(C206,技能CD配置辅助表!$C$3:$I$14,7,0)+(I206-1)*2,VLOOKUP(C206,技能CD配置辅助表!$C$3:$I$14,7,0)+(I206-1)*3-1))</f>
        <v>47</v>
      </c>
      <c r="F206" t="str">
        <f t="shared" si="24"/>
        <v>第15级，技能冷却时间8.52秒</v>
      </c>
      <c r="G206">
        <f>VLOOKUP(C206,技能CD配置辅助表!$C$3:$J$14,8,0)-(VLOOKUP(C206,技能CD配置辅助表!$C$3:$J$14,8,0)-VLOOKUP(C206,技能CD配置辅助表!$C$2:$M$14,11,0))/(VLOOKUP(C206,技能CD配置辅助表!$C$3:$H$14,6,0)-1)*(I206-IF(I206=0,0,1))</f>
        <v>8520</v>
      </c>
      <c r="H206">
        <f ca="1">M206*'[1]0、经济设定'!$C$18*IF(E206&lt;J206,1,1)</f>
        <v>48850</v>
      </c>
      <c r="I206">
        <f t="shared" si="25"/>
        <v>15</v>
      </c>
      <c r="J206">
        <f>VLOOKUP(C206,技能CD配置辅助表!$C$3:$L$14,10,0)</f>
        <v>20</v>
      </c>
      <c r="K206">
        <f t="shared" ca="1" si="26"/>
        <v>231</v>
      </c>
      <c r="L206" s="45">
        <f t="shared" ca="1" si="21"/>
        <v>154</v>
      </c>
      <c r="M206">
        <f t="shared" ca="1" si="27"/>
        <v>977</v>
      </c>
      <c r="N206">
        <f>VLOOKUP(C206,技能CD配置辅助表!$C$3:$H$14,6,0)</f>
        <v>26</v>
      </c>
      <c r="O206">
        <f>VLOOKUP(C206,技能CD配置辅助表!$C$3:$M$14,5,0)</f>
        <v>4</v>
      </c>
      <c r="P206">
        <f ca="1">IFERROR(VLOOKUP(A206+I206-10000003,D_技能表!A:AD,30,0)*(VLOOKUP(C206,技能CD配置辅助表!$C$3:$J$14,8,0)-G206)/VLOOKUP(C206,技能CD配置辅助表!$C$3:$J$14,8,0),0)*IF(VLOOKUP(C206,技能CD配置辅助表!$C$3:$F$14,4,0)=1,1,4)</f>
        <v>87.190665386006259</v>
      </c>
      <c r="R206">
        <f t="shared" si="22"/>
        <v>1.05</v>
      </c>
    </row>
    <row r="207" spans="1:18" x14ac:dyDescent="0.15">
      <c r="A207">
        <f ca="1">VLOOKUP(B207,技能CD配置辅助表!$C$3:$K$14,9,0)+I207</f>
        <v>19224116</v>
      </c>
      <c r="B207" t="str">
        <f t="shared" si="23"/>
        <v>幻影脚</v>
      </c>
      <c r="C207" t="s">
        <v>186</v>
      </c>
      <c r="D207">
        <f>VLOOKUP(C207,技能CD配置辅助表!$C$3:$E$14,3,0)</f>
        <v>2</v>
      </c>
      <c r="E207">
        <f>IF(I207=0,1,IF(I207&lt;3,VLOOKUP(C207,技能CD配置辅助表!$C$3:$I$14,7,0)+(I207-1)*2,VLOOKUP(C207,技能CD配置辅助表!$C$3:$I$14,7,0)+(I207-1)*3-1))</f>
        <v>50</v>
      </c>
      <c r="F207" t="str">
        <f t="shared" si="24"/>
        <v>第16级，技能冷却时间8.2秒</v>
      </c>
      <c r="G207">
        <f>VLOOKUP(C207,技能CD配置辅助表!$C$3:$J$14,8,0)-(VLOOKUP(C207,技能CD配置辅助表!$C$3:$J$14,8,0)-VLOOKUP(C207,技能CD配置辅助表!$C$2:$M$14,11,0))/(VLOOKUP(C207,技能CD配置辅助表!$C$3:$H$14,6,0)-1)*(I207-IF(I207=0,0,1))</f>
        <v>8200</v>
      </c>
      <c r="H207">
        <f ca="1">M207*'[1]0、经济设定'!$C$18*IF(E207&lt;J207,1,1)</f>
        <v>57800</v>
      </c>
      <c r="I207">
        <f t="shared" si="25"/>
        <v>16</v>
      </c>
      <c r="J207">
        <f>VLOOKUP(C207,技能CD配置辅助表!$C$3:$L$14,10,0)</f>
        <v>20</v>
      </c>
      <c r="K207">
        <f t="shared" ca="1" si="26"/>
        <v>282</v>
      </c>
      <c r="L207" s="45">
        <f t="shared" ca="1" si="21"/>
        <v>179</v>
      </c>
      <c r="M207">
        <f t="shared" ca="1" si="27"/>
        <v>1156</v>
      </c>
      <c r="N207">
        <f>VLOOKUP(C207,技能CD配置辅助表!$C$3:$H$14,6,0)</f>
        <v>26</v>
      </c>
      <c r="O207">
        <f>VLOOKUP(C207,技能CD配置辅助表!$C$3:$M$14,5,0)</f>
        <v>4</v>
      </c>
      <c r="P207">
        <f ca="1">IFERROR(VLOOKUP(A207+I207-10000003,D_技能表!A:AD,30,0)*(VLOOKUP(C207,技能CD配置辅助表!$C$3:$J$14,8,0)-G207)/VLOOKUP(C207,技能CD配置辅助表!$C$3:$J$14,8,0),0)*IF(VLOOKUP(C207,技能CD配置辅助表!$C$3:$F$14,4,0)=1,1,4)</f>
        <v>125.31079946864796</v>
      </c>
      <c r="R207">
        <f t="shared" si="22"/>
        <v>1.1000000000000001</v>
      </c>
    </row>
    <row r="208" spans="1:18" x14ac:dyDescent="0.15">
      <c r="A208">
        <f ca="1">VLOOKUP(B208,技能CD配置辅助表!$C$3:$K$14,9,0)+I208</f>
        <v>19224117</v>
      </c>
      <c r="B208" t="str">
        <f t="shared" si="23"/>
        <v>幻影脚</v>
      </c>
      <c r="C208" t="s">
        <v>186</v>
      </c>
      <c r="D208">
        <f>VLOOKUP(C208,技能CD配置辅助表!$C$3:$E$14,3,0)</f>
        <v>2</v>
      </c>
      <c r="E208">
        <f>IF(I208=0,1,IF(I208&lt;3,VLOOKUP(C208,技能CD配置辅助表!$C$3:$I$14,7,0)+(I208-1)*2,VLOOKUP(C208,技能CD配置辅助表!$C$3:$I$14,7,0)+(I208-1)*3-1))</f>
        <v>53</v>
      </c>
      <c r="F208" t="str">
        <f t="shared" si="24"/>
        <v>第17级，技能冷却时间7.88秒</v>
      </c>
      <c r="G208">
        <f>VLOOKUP(C208,技能CD配置辅助表!$C$3:$J$14,8,0)-(VLOOKUP(C208,技能CD配置辅助表!$C$3:$J$14,8,0)-VLOOKUP(C208,技能CD配置辅助表!$C$2:$M$14,11,0))/(VLOOKUP(C208,技能CD配置辅助表!$C$3:$H$14,6,0)-1)*(I208-IF(I208=0,0,1))</f>
        <v>7880</v>
      </c>
      <c r="H208">
        <f ca="1">M208*'[1]0、经济设定'!$C$18*IF(E208&lt;J208,1,1)</f>
        <v>68200</v>
      </c>
      <c r="I208">
        <f t="shared" si="25"/>
        <v>17</v>
      </c>
      <c r="J208">
        <f>VLOOKUP(C208,技能CD配置辅助表!$C$3:$L$14,10,0)</f>
        <v>20</v>
      </c>
      <c r="K208">
        <f t="shared" ca="1" si="26"/>
        <v>342</v>
      </c>
      <c r="L208" s="45">
        <f t="shared" ca="1" si="21"/>
        <v>208</v>
      </c>
      <c r="M208">
        <f t="shared" ca="1" si="27"/>
        <v>1364</v>
      </c>
      <c r="N208">
        <f>VLOOKUP(C208,技能CD配置辅助表!$C$3:$H$14,6,0)</f>
        <v>26</v>
      </c>
      <c r="O208">
        <f>VLOOKUP(C208,技能CD配置辅助表!$C$3:$M$14,5,0)</f>
        <v>4</v>
      </c>
      <c r="P208">
        <f ca="1">IFERROR(VLOOKUP(A208+I208-10000003,D_技能表!A:AD,30,0)*(VLOOKUP(C208,技能CD配置辅助表!$C$3:$J$14,8,0)-G208)/VLOOKUP(C208,技能CD配置辅助表!$C$3:$J$14,8,0),0)*IF(VLOOKUP(C208,技能CD配置辅助表!$C$3:$F$14,4,0)=1,1,4)</f>
        <v>179.09285923307093</v>
      </c>
      <c r="R208">
        <f t="shared" si="22"/>
        <v>1.1499999999999999</v>
      </c>
    </row>
    <row r="209" spans="1:18" x14ac:dyDescent="0.15">
      <c r="A209">
        <f ca="1">VLOOKUP(B209,技能CD配置辅助表!$C$3:$K$14,9,0)+I209</f>
        <v>19224118</v>
      </c>
      <c r="B209" t="str">
        <f t="shared" si="23"/>
        <v>幻影脚</v>
      </c>
      <c r="C209" t="s">
        <v>186</v>
      </c>
      <c r="D209">
        <f>VLOOKUP(C209,技能CD配置辅助表!$C$3:$E$14,3,0)</f>
        <v>2</v>
      </c>
      <c r="E209">
        <f>IF(I209=0,1,IF(I209&lt;3,VLOOKUP(C209,技能CD配置辅助表!$C$3:$I$14,7,0)+(I209-1)*2,VLOOKUP(C209,技能CD配置辅助表!$C$3:$I$14,7,0)+(I209-1)*3-1))</f>
        <v>56</v>
      </c>
      <c r="F209" t="str">
        <f t="shared" si="24"/>
        <v>第18级，技能冷却时间7.56秒</v>
      </c>
      <c r="G209">
        <f>VLOOKUP(C209,技能CD配置辅助表!$C$3:$J$14,8,0)-(VLOOKUP(C209,技能CD配置辅助表!$C$3:$J$14,8,0)-VLOOKUP(C209,技能CD配置辅助表!$C$2:$M$14,11,0))/(VLOOKUP(C209,技能CD配置辅助表!$C$3:$H$14,6,0)-1)*(I209-IF(I209=0,0,1))</f>
        <v>7560</v>
      </c>
      <c r="H209">
        <f ca="1">M209*'[1]0、经济设定'!$C$18*IF(E209&lt;J209,1,1)</f>
        <v>80250</v>
      </c>
      <c r="I209">
        <f t="shared" si="25"/>
        <v>18</v>
      </c>
      <c r="J209">
        <f>VLOOKUP(C209,技能CD配置辅助表!$C$3:$L$14,10,0)</f>
        <v>20</v>
      </c>
      <c r="K209">
        <f t="shared" ca="1" si="26"/>
        <v>414</v>
      </c>
      <c r="L209" s="45">
        <f t="shared" ca="1" si="21"/>
        <v>241</v>
      </c>
      <c r="M209">
        <f t="shared" ca="1" si="27"/>
        <v>1605</v>
      </c>
      <c r="N209">
        <f>VLOOKUP(C209,技能CD配置辅助表!$C$3:$H$14,6,0)</f>
        <v>26</v>
      </c>
      <c r="O209">
        <f>VLOOKUP(C209,技能CD配置辅助表!$C$3:$M$14,5,0)</f>
        <v>4</v>
      </c>
      <c r="P209">
        <f ca="1">IFERROR(VLOOKUP(A209+I209-10000003,D_技能表!A:AD,30,0)*(VLOOKUP(C209,技能CD配置辅助表!$C$3:$J$14,8,0)-G209)/VLOOKUP(C209,技能CD配置辅助表!$C$3:$J$14,8,0),0)*IF(VLOOKUP(C209,技能CD配置辅助表!$C$3:$F$14,4,0)=1,1,4)</f>
        <v>254.68639994673291</v>
      </c>
      <c r="R209">
        <f t="shared" si="22"/>
        <v>1.2</v>
      </c>
    </row>
    <row r="210" spans="1:18" x14ac:dyDescent="0.15">
      <c r="A210">
        <f ca="1">VLOOKUP(B210,技能CD配置辅助表!$C$3:$K$14,9,0)+I210</f>
        <v>19224119</v>
      </c>
      <c r="B210" t="str">
        <f t="shared" si="23"/>
        <v>幻影脚</v>
      </c>
      <c r="C210" t="s">
        <v>186</v>
      </c>
      <c r="D210">
        <f>VLOOKUP(C210,技能CD配置辅助表!$C$3:$E$14,3,0)</f>
        <v>2</v>
      </c>
      <c r="E210">
        <f>IF(I210=0,1,IF(I210&lt;3,VLOOKUP(C210,技能CD配置辅助表!$C$3:$I$14,7,0)+(I210-1)*2,VLOOKUP(C210,技能CD配置辅助表!$C$3:$I$14,7,0)+(I210-1)*3-1))</f>
        <v>59</v>
      </c>
      <c r="F210" t="str">
        <f t="shared" si="24"/>
        <v>第19级，技能冷却时间7.24秒</v>
      </c>
      <c r="G210">
        <f>VLOOKUP(C210,技能CD配置辅助表!$C$3:$J$14,8,0)-(VLOOKUP(C210,技能CD配置辅助表!$C$3:$J$14,8,0)-VLOOKUP(C210,技能CD配置辅助表!$C$2:$M$14,11,0))/(VLOOKUP(C210,技能CD配置辅助表!$C$3:$H$14,6,0)-1)*(I210-IF(I210=0,0,1))</f>
        <v>7240</v>
      </c>
      <c r="H210">
        <f ca="1">M210*'[1]0、经济设定'!$C$18*IF(E210&lt;J210,1,1)</f>
        <v>94200</v>
      </c>
      <c r="I210">
        <f t="shared" si="25"/>
        <v>19</v>
      </c>
      <c r="J210">
        <f>VLOOKUP(C210,技能CD配置辅助表!$C$3:$L$14,10,0)</f>
        <v>20</v>
      </c>
      <c r="K210">
        <f t="shared" ca="1" si="26"/>
        <v>499</v>
      </c>
      <c r="L210" s="45">
        <f t="shared" ca="1" si="21"/>
        <v>279</v>
      </c>
      <c r="M210">
        <f t="shared" ca="1" si="27"/>
        <v>1884</v>
      </c>
      <c r="N210">
        <f>VLOOKUP(C210,技能CD配置辅助表!$C$3:$H$14,6,0)</f>
        <v>26</v>
      </c>
      <c r="O210">
        <f>VLOOKUP(C210,技能CD配置辅助表!$C$3:$M$14,5,0)</f>
        <v>4</v>
      </c>
      <c r="P210">
        <f ca="1">IFERROR(VLOOKUP(A210+I210-10000003,D_技能表!A:AD,30,0)*(VLOOKUP(C210,技能CD配置辅助表!$C$3:$J$14,8,0)-G210)/VLOOKUP(C210,技能CD配置辅助表!$C$3:$J$14,8,0),0)*IF(VLOOKUP(C210,技能CD配置辅助表!$C$3:$F$14,4,0)=1,1,4)</f>
        <v>360.57379551923833</v>
      </c>
      <c r="R210">
        <f t="shared" si="22"/>
        <v>1.25</v>
      </c>
    </row>
    <row r="211" spans="1:18" x14ac:dyDescent="0.15">
      <c r="A211">
        <f ca="1">VLOOKUP(B211,技能CD配置辅助表!$C$3:$K$14,9,0)+I211</f>
        <v>19224120</v>
      </c>
      <c r="B211" t="str">
        <f t="shared" si="23"/>
        <v>幻影脚</v>
      </c>
      <c r="C211" t="s">
        <v>186</v>
      </c>
      <c r="D211">
        <f>VLOOKUP(C211,技能CD配置辅助表!$C$3:$E$14,3,0)</f>
        <v>2</v>
      </c>
      <c r="E211">
        <f>IF(I211=0,1,IF(I211&lt;3,VLOOKUP(C211,技能CD配置辅助表!$C$3:$I$14,7,0)+(I211-1)*2,VLOOKUP(C211,技能CD配置辅助表!$C$3:$I$14,7,0)+(I211-1)*3-1))</f>
        <v>62</v>
      </c>
      <c r="F211" t="str">
        <f t="shared" si="24"/>
        <v>第20级，技能冷却时间6.92秒</v>
      </c>
      <c r="G211">
        <f>VLOOKUP(C211,技能CD配置辅助表!$C$3:$J$14,8,0)-(VLOOKUP(C211,技能CD配置辅助表!$C$3:$J$14,8,0)-VLOOKUP(C211,技能CD配置辅助表!$C$2:$M$14,11,0))/(VLOOKUP(C211,技能CD配置辅助表!$C$3:$H$14,6,0)-1)*(I211-IF(I211=0,0,1))</f>
        <v>6920</v>
      </c>
      <c r="H211">
        <f ca="1">M211*'[1]0、经济设定'!$C$18*IF(E211&lt;J211,1,1)</f>
        <v>110400</v>
      </c>
      <c r="I211">
        <f t="shared" si="25"/>
        <v>20</v>
      </c>
      <c r="J211">
        <f>VLOOKUP(C211,技能CD配置辅助表!$C$3:$L$14,10,0)</f>
        <v>20</v>
      </c>
      <c r="K211">
        <f t="shared" ca="1" si="26"/>
        <v>602</v>
      </c>
      <c r="L211" s="45">
        <f t="shared" ca="1" si="21"/>
        <v>324</v>
      </c>
      <c r="M211">
        <f t="shared" ca="1" si="27"/>
        <v>2208</v>
      </c>
      <c r="N211">
        <f>VLOOKUP(C211,技能CD配置辅助表!$C$3:$H$14,6,0)</f>
        <v>26</v>
      </c>
      <c r="O211">
        <f>VLOOKUP(C211,技能CD配置辅助表!$C$3:$M$14,5,0)</f>
        <v>4</v>
      </c>
      <c r="P211">
        <f ca="1">IFERROR(VLOOKUP(A211+I211-10000003,D_技能表!A:AD,30,0)*(VLOOKUP(C211,技能CD配置辅助表!$C$3:$J$14,8,0)-G211)/VLOOKUP(C211,技能CD配置辅助表!$C$3:$J$14,8,0),0)*IF(VLOOKUP(C211,技能CD配置辅助表!$C$3:$F$14,4,0)=1,1,4)</f>
        <v>508.43159414278279</v>
      </c>
      <c r="R211">
        <f t="shared" si="22"/>
        <v>1.3</v>
      </c>
    </row>
    <row r="212" spans="1:18" x14ac:dyDescent="0.15">
      <c r="A212">
        <f ca="1">VLOOKUP(B212,技能CD配置辅助表!$C$3:$K$14,9,0)+I212</f>
        <v>19224121</v>
      </c>
      <c r="B212" t="str">
        <f t="shared" si="23"/>
        <v>幻影脚</v>
      </c>
      <c r="C212" t="s">
        <v>186</v>
      </c>
      <c r="D212">
        <f>VLOOKUP(C212,技能CD配置辅助表!$C$3:$E$14,3,0)</f>
        <v>2</v>
      </c>
      <c r="E212">
        <f>IF(I212=0,1,IF(I212&lt;3,VLOOKUP(C212,技能CD配置辅助表!$C$3:$I$14,7,0)+(I212-1)*2,VLOOKUP(C212,技能CD配置辅助表!$C$3:$I$14,7,0)+(I212-1)*3-1))</f>
        <v>65</v>
      </c>
      <c r="F212" t="str">
        <f t="shared" si="24"/>
        <v>第21级，技能冷却时间6.6秒</v>
      </c>
      <c r="G212">
        <f>VLOOKUP(C212,技能CD配置辅助表!$C$3:$J$14,8,0)-(VLOOKUP(C212,技能CD配置辅助表!$C$3:$J$14,8,0)-VLOOKUP(C212,技能CD配置辅助表!$C$2:$M$14,11,0))/(VLOOKUP(C212,技能CD配置辅助表!$C$3:$H$14,6,0)-1)*(I212-IF(I212=0,0,1))</f>
        <v>6600</v>
      </c>
      <c r="H212">
        <f ca="1">M212*'[1]0、经济设定'!$C$18*IF(E212&lt;J212,1,1)</f>
        <v>129150</v>
      </c>
      <c r="I212">
        <f t="shared" si="25"/>
        <v>21</v>
      </c>
      <c r="J212">
        <f>VLOOKUP(C212,技能CD配置辅助表!$C$3:$L$14,10,0)</f>
        <v>20</v>
      </c>
      <c r="K212">
        <f t="shared" ca="1" si="26"/>
        <v>724</v>
      </c>
      <c r="L212" s="45">
        <f t="shared" ca="1" si="21"/>
        <v>375</v>
      </c>
      <c r="M212">
        <f t="shared" ca="1" si="27"/>
        <v>2583</v>
      </c>
      <c r="N212">
        <f>VLOOKUP(C212,技能CD配置辅助表!$C$3:$H$14,6,0)</f>
        <v>26</v>
      </c>
      <c r="O212">
        <f>VLOOKUP(C212,技能CD配置辅助表!$C$3:$M$14,5,0)</f>
        <v>4</v>
      </c>
      <c r="P212">
        <f ca="1">IFERROR(VLOOKUP(A212+I212-10000003,D_技能表!A:AD,30,0)*(VLOOKUP(C212,技能CD配置辅助表!$C$3:$J$14,8,0)-G212)/VLOOKUP(C212,技能CD配置辅助表!$C$3:$J$14,8,0),0)*IF(VLOOKUP(C212,技能CD配置辅助表!$C$3:$F$14,4,0)=1,1,4)</f>
        <v>714.30307435479153</v>
      </c>
      <c r="R212">
        <f t="shared" si="22"/>
        <v>1.35</v>
      </c>
    </row>
    <row r="213" spans="1:18" x14ac:dyDescent="0.15">
      <c r="A213">
        <f ca="1">VLOOKUP(B213,技能CD配置辅助表!$C$3:$K$14,9,0)+I213</f>
        <v>19224122</v>
      </c>
      <c r="B213" t="str">
        <f t="shared" si="23"/>
        <v>幻影脚</v>
      </c>
      <c r="C213" t="s">
        <v>186</v>
      </c>
      <c r="D213">
        <f>VLOOKUP(C213,技能CD配置辅助表!$C$3:$E$14,3,0)</f>
        <v>2</v>
      </c>
      <c r="E213">
        <f>IF(I213=0,1,IF(I213&lt;3,VLOOKUP(C213,技能CD配置辅助表!$C$3:$I$14,7,0)+(I213-1)*2,VLOOKUP(C213,技能CD配置辅助表!$C$3:$I$14,7,0)+(I213-1)*3-1))</f>
        <v>68</v>
      </c>
      <c r="F213" t="str">
        <f t="shared" si="24"/>
        <v>第22级，技能冷却时间6.28秒</v>
      </c>
      <c r="G213">
        <f>VLOOKUP(C213,技能CD配置辅助表!$C$3:$J$14,8,0)-(VLOOKUP(C213,技能CD配置辅助表!$C$3:$J$14,8,0)-VLOOKUP(C213,技能CD配置辅助表!$C$2:$M$14,11,0))/(VLOOKUP(C213,技能CD配置辅助表!$C$3:$H$14,6,0)-1)*(I213-IF(I213=0,0,1))</f>
        <v>6280</v>
      </c>
      <c r="H213">
        <f ca="1">M213*'[1]0、经济设定'!$C$18*IF(E213&lt;J213,1,1)</f>
        <v>150900</v>
      </c>
      <c r="I213">
        <f t="shared" si="25"/>
        <v>22</v>
      </c>
      <c r="J213">
        <f>VLOOKUP(C213,技能CD配置辅助表!$C$3:$L$14,10,0)</f>
        <v>20</v>
      </c>
      <c r="K213">
        <f t="shared" ca="1" si="26"/>
        <v>870</v>
      </c>
      <c r="L213" s="45">
        <f t="shared" ca="1" si="21"/>
        <v>435</v>
      </c>
      <c r="M213">
        <f t="shared" ca="1" si="27"/>
        <v>3018</v>
      </c>
      <c r="N213">
        <f>VLOOKUP(C213,技能CD配置辅助表!$C$3:$H$14,6,0)</f>
        <v>26</v>
      </c>
      <c r="O213">
        <f>VLOOKUP(C213,技能CD配置辅助表!$C$3:$M$14,5,0)</f>
        <v>4</v>
      </c>
      <c r="P213">
        <f ca="1">IFERROR(VLOOKUP(A213+I213-10000003,D_技能表!A:AD,30,0)*(VLOOKUP(C213,技能CD配置辅助表!$C$3:$J$14,8,0)-G213)/VLOOKUP(C213,技能CD配置辅助表!$C$3:$J$14,8,0),0)*IF(VLOOKUP(C213,技能CD配置辅助表!$C$3:$F$14,4,0)=1,1,4)</f>
        <v>1000.1924445692495</v>
      </c>
      <c r="R213">
        <f t="shared" si="22"/>
        <v>1.4</v>
      </c>
    </row>
    <row r="214" spans="1:18" x14ac:dyDescent="0.15">
      <c r="A214">
        <f ca="1">VLOOKUP(B214,技能CD配置辅助表!$C$3:$K$14,9,0)+I214</f>
        <v>19224123</v>
      </c>
      <c r="B214" t="str">
        <f t="shared" si="23"/>
        <v>幻影脚</v>
      </c>
      <c r="C214" t="s">
        <v>186</v>
      </c>
      <c r="D214">
        <f>VLOOKUP(C214,技能CD配置辅助表!$C$3:$E$14,3,0)</f>
        <v>2</v>
      </c>
      <c r="E214">
        <f>IF(I214=0,1,IF(I214&lt;3,VLOOKUP(C214,技能CD配置辅助表!$C$3:$I$14,7,0)+(I214-1)*2,VLOOKUP(C214,技能CD配置辅助表!$C$3:$I$14,7,0)+(I214-1)*3-1))</f>
        <v>71</v>
      </c>
      <c r="F214" t="str">
        <f t="shared" si="24"/>
        <v>第23级，技能冷却时间5.96秒</v>
      </c>
      <c r="G214">
        <f>VLOOKUP(C214,技能CD配置辅助表!$C$3:$J$14,8,0)-(VLOOKUP(C214,技能CD配置辅助表!$C$3:$J$14,8,0)-VLOOKUP(C214,技能CD配置辅助表!$C$2:$M$14,11,0))/(VLOOKUP(C214,技能CD配置辅助表!$C$3:$H$14,6,0)-1)*(I214-IF(I214=0,0,1))</f>
        <v>5960</v>
      </c>
      <c r="H214">
        <f ca="1">M214*'[1]0、经济设定'!$C$18*IF(E214&lt;J214,1,1)</f>
        <v>176150</v>
      </c>
      <c r="I214">
        <f t="shared" si="25"/>
        <v>23</v>
      </c>
      <c r="J214">
        <f>VLOOKUP(C214,技能CD配置辅助表!$C$3:$L$14,10,0)</f>
        <v>20</v>
      </c>
      <c r="K214">
        <f t="shared" ca="1" si="26"/>
        <v>1047</v>
      </c>
      <c r="L214" s="45">
        <f t="shared" ca="1" si="21"/>
        <v>505</v>
      </c>
      <c r="M214">
        <f t="shared" ca="1" si="27"/>
        <v>3523</v>
      </c>
      <c r="N214">
        <f>VLOOKUP(C214,技能CD配置辅助表!$C$3:$H$14,6,0)</f>
        <v>26</v>
      </c>
      <c r="O214">
        <f>VLOOKUP(C214,技能CD配置辅助表!$C$3:$M$14,5,0)</f>
        <v>4</v>
      </c>
      <c r="P214">
        <f ca="1">IFERROR(VLOOKUP(A214+I214-10000003,D_技能表!A:AD,30,0)*(VLOOKUP(C214,技能CD配置辅助表!$C$3:$J$14,8,0)-G214)/VLOOKUP(C214,技能CD配置辅助表!$C$3:$J$14,8,0),0)*IF(VLOOKUP(C214,技能CD配置辅助表!$C$3:$F$14,4,0)=1,1,4)</f>
        <v>1396.2297435899345</v>
      </c>
      <c r="R214">
        <f t="shared" si="22"/>
        <v>1.45</v>
      </c>
    </row>
    <row r="215" spans="1:18" x14ac:dyDescent="0.15">
      <c r="A215">
        <f ca="1">VLOOKUP(B215,技能CD配置辅助表!$C$3:$K$14,9,0)+I215</f>
        <v>19224124</v>
      </c>
      <c r="B215" t="str">
        <f t="shared" si="23"/>
        <v>幻影脚</v>
      </c>
      <c r="C215" t="s">
        <v>186</v>
      </c>
      <c r="D215">
        <f>VLOOKUP(C215,技能CD配置辅助表!$C$3:$E$14,3,0)</f>
        <v>2</v>
      </c>
      <c r="E215">
        <f>IF(I215=0,1,IF(I215&lt;3,VLOOKUP(C215,技能CD配置辅助表!$C$3:$I$14,7,0)+(I215-1)*2,VLOOKUP(C215,技能CD配置辅助表!$C$3:$I$14,7,0)+(I215-1)*3-1))</f>
        <v>74</v>
      </c>
      <c r="F215" t="str">
        <f t="shared" si="24"/>
        <v>第24级，技能冷却时间5.64秒</v>
      </c>
      <c r="G215">
        <f>VLOOKUP(C215,技能CD配置辅助表!$C$3:$J$14,8,0)-(VLOOKUP(C215,技能CD配置辅助表!$C$3:$J$14,8,0)-VLOOKUP(C215,技能CD配置辅助表!$C$2:$M$14,11,0))/(VLOOKUP(C215,技能CD配置辅助表!$C$3:$H$14,6,0)-1)*(I215-IF(I215=0,0,1))</f>
        <v>5640</v>
      </c>
      <c r="H215">
        <f ca="1">M215*'[1]0、经济设定'!$C$18*IF(E215&lt;J215,1,1)</f>
        <v>205450</v>
      </c>
      <c r="I215">
        <f t="shared" si="25"/>
        <v>24</v>
      </c>
      <c r="J215">
        <f>VLOOKUP(C215,技能CD配置辅助表!$C$3:$L$14,10,0)</f>
        <v>20</v>
      </c>
      <c r="K215">
        <f t="shared" ca="1" si="26"/>
        <v>1256</v>
      </c>
      <c r="L215" s="45">
        <f t="shared" ca="1" si="21"/>
        <v>586</v>
      </c>
      <c r="M215">
        <f t="shared" ca="1" si="27"/>
        <v>4109</v>
      </c>
      <c r="N215">
        <f>VLOOKUP(C215,技能CD配置辅助表!$C$3:$H$14,6,0)</f>
        <v>26</v>
      </c>
      <c r="O215">
        <f>VLOOKUP(C215,技能CD配置辅助表!$C$3:$M$14,5,0)</f>
        <v>4</v>
      </c>
      <c r="P215">
        <f ca="1">IFERROR(VLOOKUP(A215+I215-10000003,D_技能表!A:AD,30,0)*(VLOOKUP(C215,技能CD配置辅助表!$C$3:$J$14,8,0)-G215)/VLOOKUP(C215,技能CD配置辅助表!$C$3:$J$14,8,0),0)*IF(VLOOKUP(C215,技能CD配置辅助表!$C$3:$F$14,4,0)=1,1,4)</f>
        <v>1943.6074450005908</v>
      </c>
      <c r="R215">
        <f t="shared" si="22"/>
        <v>1.5</v>
      </c>
    </row>
    <row r="216" spans="1:18" x14ac:dyDescent="0.15">
      <c r="A216">
        <f ca="1">VLOOKUP(B216,技能CD配置辅助表!$C$3:$K$14,9,0)+I216</f>
        <v>19224125</v>
      </c>
      <c r="B216" t="str">
        <f t="shared" si="23"/>
        <v>幻影脚</v>
      </c>
      <c r="C216" t="s">
        <v>186</v>
      </c>
      <c r="D216">
        <f>VLOOKUP(C216,技能CD配置辅助表!$C$3:$E$14,3,0)</f>
        <v>2</v>
      </c>
      <c r="E216">
        <f>IF(I216=0,1,IF(I216&lt;3,VLOOKUP(C216,技能CD配置辅助表!$C$3:$I$14,7,0)+(I216-1)*2,VLOOKUP(C216,技能CD配置辅助表!$C$3:$I$14,7,0)+(I216-1)*3-1))</f>
        <v>77</v>
      </c>
      <c r="F216" t="str">
        <f t="shared" si="24"/>
        <v>第25级，技能冷却时间5.32秒</v>
      </c>
      <c r="G216">
        <f>VLOOKUP(C216,技能CD配置辅助表!$C$3:$J$14,8,0)-(VLOOKUP(C216,技能CD配置辅助表!$C$3:$J$14,8,0)-VLOOKUP(C216,技能CD配置辅助表!$C$2:$M$14,11,0))/(VLOOKUP(C216,技能CD配置辅助表!$C$3:$H$14,6,0)-1)*(I216-IF(I216=0,0,1))</f>
        <v>5320</v>
      </c>
      <c r="H216">
        <f ca="1">M216*'[1]0、经济设定'!$C$18*IF(E216&lt;J216,1,1)</f>
        <v>239450</v>
      </c>
      <c r="I216">
        <f t="shared" si="25"/>
        <v>25</v>
      </c>
      <c r="J216">
        <f>VLOOKUP(C216,技能CD配置辅助表!$C$3:$L$14,10,0)</f>
        <v>20</v>
      </c>
      <c r="K216">
        <f t="shared" ca="1" si="26"/>
        <v>1506</v>
      </c>
      <c r="L216" s="45">
        <f t="shared" ca="1" si="21"/>
        <v>680</v>
      </c>
      <c r="M216">
        <f t="shared" ca="1" si="27"/>
        <v>4789</v>
      </c>
      <c r="N216">
        <f>VLOOKUP(C216,技能CD配置辅助表!$C$3:$H$14,6,0)</f>
        <v>26</v>
      </c>
      <c r="O216">
        <f>VLOOKUP(C216,技能CD配置辅助表!$C$3:$M$14,5,0)</f>
        <v>4</v>
      </c>
      <c r="P216">
        <f ca="1">IFERROR(VLOOKUP(A216+I216-10000003,D_技能表!A:AD,30,0)*(VLOOKUP(C216,技能CD配置辅助表!$C$3:$J$14,8,0)-G216)/VLOOKUP(C216,技能CD配置辅助表!$C$3:$J$14,8,0),0)*IF(VLOOKUP(C216,技能CD配置辅助表!$C$3:$F$14,4,0)=1,1,4)</f>
        <v>2698.5595970753407</v>
      </c>
      <c r="R216">
        <f t="shared" si="22"/>
        <v>1.55</v>
      </c>
    </row>
    <row r="217" spans="1:18" x14ac:dyDescent="0.15">
      <c r="A217">
        <f ca="1">VLOOKUP(B217,技能CD配置辅助表!$C$3:$K$14,9,0)+I217</f>
        <v>19224126</v>
      </c>
      <c r="B217" t="str">
        <f t="shared" si="23"/>
        <v>幻影脚</v>
      </c>
      <c r="C217" t="s">
        <v>186</v>
      </c>
      <c r="D217">
        <f>VLOOKUP(C217,技能CD配置辅助表!$C$3:$E$14,3,0)</f>
        <v>2</v>
      </c>
      <c r="E217">
        <f>IF(I217=0,1,IF(I217&lt;3,VLOOKUP(C217,技能CD配置辅助表!$C$3:$I$14,7,0)+(I217-1)*2,VLOOKUP(C217,技能CD配置辅助表!$C$3:$I$14,7,0)+(I217-1)*3-1))</f>
        <v>80</v>
      </c>
      <c r="F217" t="str">
        <f t="shared" si="24"/>
        <v>第26级，技能冷却时间5秒</v>
      </c>
      <c r="G217">
        <f>VLOOKUP(C217,技能CD配置辅助表!$C$3:$J$14,8,0)-(VLOOKUP(C217,技能CD配置辅助表!$C$3:$J$14,8,0)-VLOOKUP(C217,技能CD配置辅助表!$C$2:$M$14,11,0))/(VLOOKUP(C217,技能CD配置辅助表!$C$3:$H$14,6,0)-1)*(I217-IF(I217=0,0,1))</f>
        <v>5000</v>
      </c>
      <c r="H217">
        <f ca="1">M217*'[1]0、经济设定'!$C$18*IF(E217&lt;J217,1,1)</f>
        <v>278900</v>
      </c>
      <c r="I217">
        <f t="shared" si="25"/>
        <v>26</v>
      </c>
      <c r="J217">
        <f>VLOOKUP(C217,技能CD配置辅助表!$C$3:$L$14,10,0)</f>
        <v>20</v>
      </c>
      <c r="K217">
        <f t="shared" ca="1" si="26"/>
        <v>1804</v>
      </c>
      <c r="L217" s="45">
        <f t="shared" ca="1" si="21"/>
        <v>789</v>
      </c>
      <c r="M217">
        <f t="shared" ca="1" si="27"/>
        <v>5578</v>
      </c>
      <c r="N217">
        <f>VLOOKUP(C217,技能CD配置辅助表!$C$3:$H$14,6,0)</f>
        <v>26</v>
      </c>
      <c r="O217">
        <f>VLOOKUP(C217,技能CD配置辅助表!$C$3:$M$14,5,0)</f>
        <v>4</v>
      </c>
      <c r="P217">
        <f ca="1">IFERROR(VLOOKUP(A217+I217-10000003,D_技能表!A:AD,30,0)*(VLOOKUP(C217,技能CD配置辅助表!$C$3:$J$14,8,0)-G217)/VLOOKUP(C217,技能CD配置辅助表!$C$3:$J$14,8,0),0)*IF(VLOOKUP(C217,技能CD配置辅助表!$C$3:$F$14,4,0)=1,1,4)</f>
        <v>3737.7481344514295</v>
      </c>
      <c r="R217">
        <f t="shared" si="22"/>
        <v>1.6</v>
      </c>
    </row>
    <row r="218" spans="1:18" x14ac:dyDescent="0.15">
      <c r="A218">
        <f ca="1">VLOOKUP(B218,技能CD配置辅助表!$C$3:$K$14,9,0)+I218</f>
        <v>19311100</v>
      </c>
      <c r="B218" t="str">
        <f t="shared" si="23"/>
        <v>激光轰击</v>
      </c>
      <c r="C218" t="s">
        <v>124</v>
      </c>
      <c r="D218">
        <f>VLOOKUP(C218,技能CD配置辅助表!$C$3:$E$14,3,0)</f>
        <v>3</v>
      </c>
      <c r="E218">
        <f>IF(I218=0,1,IF(I218&lt;3,VLOOKUP(C218,技能CD配置辅助表!$C$3:$I$14,7,0)+(I218-1)*2,VLOOKUP(C218,技能CD配置辅助表!$C$3:$I$14,7,0)+(I218-1)*3-1))</f>
        <v>1</v>
      </c>
      <c r="F218" t="str">
        <f t="shared" si="24"/>
        <v>第0级，技能冷却时间15秒</v>
      </c>
      <c r="G218">
        <f>VLOOKUP(C218,技能CD配置辅助表!$C$3:$J$14,8,0)-(VLOOKUP(C218,技能CD配置辅助表!$C$3:$J$14,8,0)-VLOOKUP(C218,技能CD配置辅助表!$C$2:$M$14,11,0))/(VLOOKUP(C218,技能CD配置辅助表!$C$3:$H$14,6,0)-1)*(I218-IF(I218=0,0,1))</f>
        <v>15000</v>
      </c>
      <c r="H218">
        <f>M218*'[1]0、经济设定'!$C$18*IF(E218&lt;J218,1,1)</f>
        <v>0</v>
      </c>
      <c r="I218">
        <f t="shared" si="25"/>
        <v>0</v>
      </c>
      <c r="J218">
        <f>VLOOKUP(C218,技能CD配置辅助表!$C$3:$L$14,10,0)</f>
        <v>20</v>
      </c>
      <c r="K218">
        <f t="shared" si="26"/>
        <v>0</v>
      </c>
      <c r="L218" s="45">
        <f t="shared" ca="1" si="21"/>
        <v>0</v>
      </c>
      <c r="M218">
        <f t="shared" si="27"/>
        <v>0</v>
      </c>
      <c r="N218">
        <f>VLOOKUP(C218,技能CD配置辅助表!$C$3:$H$14,6,0)</f>
        <v>26</v>
      </c>
      <c r="O218">
        <f>VLOOKUP(C218,技能CD配置辅助表!$C$3:$M$14,5,0)</f>
        <v>1</v>
      </c>
      <c r="P218">
        <f ca="1">IFERROR(VLOOKUP(A218+I218-10000003,D_技能表!A:AD,30,0)*(VLOOKUP(C218,技能CD配置辅助表!$C$3:$J$14,8,0)-G218)/VLOOKUP(C218,技能CD配置辅助表!$C$3:$J$14,8,0),0)*IF(VLOOKUP(C218,技能CD配置辅助表!$C$3:$F$14,4,0)=1,1,4)</f>
        <v>0</v>
      </c>
      <c r="R218">
        <f t="shared" si="22"/>
        <v>0</v>
      </c>
    </row>
    <row r="219" spans="1:18" x14ac:dyDescent="0.15">
      <c r="A219">
        <f ca="1">VLOOKUP(B219,技能CD配置辅助表!$C$3:$K$14,9,0)+I219</f>
        <v>19311101</v>
      </c>
      <c r="B219" t="str">
        <f t="shared" si="23"/>
        <v>激光轰击</v>
      </c>
      <c r="C219" t="s">
        <v>124</v>
      </c>
      <c r="D219">
        <f>VLOOKUP(C219,技能CD配置辅助表!$C$3:$E$14,3,0)</f>
        <v>3</v>
      </c>
      <c r="E219">
        <f>IF(I219=0,1,IF(I219&lt;3,VLOOKUP(C219,技能CD配置辅助表!$C$3:$I$14,7,0)+(I219-1)*2,VLOOKUP(C219,技能CD配置辅助表!$C$3:$I$14,7,0)+(I219-1)*3-1))</f>
        <v>2</v>
      </c>
      <c r="F219" t="str">
        <f t="shared" si="24"/>
        <v>第1级，技能冷却时间15秒</v>
      </c>
      <c r="G219">
        <f>VLOOKUP(C219,技能CD配置辅助表!$C$3:$J$14,8,0)-(VLOOKUP(C219,技能CD配置辅助表!$C$3:$J$14,8,0)-VLOOKUP(C219,技能CD配置辅助表!$C$2:$M$14,11,0))/(VLOOKUP(C219,技能CD配置辅助表!$C$3:$H$14,6,0)-1)*(I219-IF(I219=0,0,1))</f>
        <v>15000</v>
      </c>
      <c r="H219">
        <f ca="1">M219*'[1]0、经济设定'!$C$18*IF(E219&lt;J219,1,1)</f>
        <v>0</v>
      </c>
      <c r="I219">
        <f t="shared" si="25"/>
        <v>1</v>
      </c>
      <c r="J219">
        <f>VLOOKUP(C219,技能CD配置辅助表!$C$3:$L$14,10,0)</f>
        <v>20</v>
      </c>
      <c r="K219">
        <f t="shared" si="26"/>
        <v>0</v>
      </c>
      <c r="L219" s="45">
        <f t="shared" ca="1" si="21"/>
        <v>0</v>
      </c>
      <c r="M219">
        <f t="shared" ca="1" si="27"/>
        <v>0</v>
      </c>
      <c r="N219">
        <f>VLOOKUP(C219,技能CD配置辅助表!$C$3:$H$14,6,0)</f>
        <v>26</v>
      </c>
      <c r="O219">
        <f>VLOOKUP(C219,技能CD配置辅助表!$C$3:$M$14,5,0)</f>
        <v>1</v>
      </c>
      <c r="P219">
        <f ca="1">IFERROR(VLOOKUP(A219+I219-10000003,D_技能表!A:AD,30,0)*(VLOOKUP(C219,技能CD配置辅助表!$C$3:$J$14,8,0)-G219)/VLOOKUP(C219,技能CD配置辅助表!$C$3:$J$14,8,0),0)*IF(VLOOKUP(C219,技能CD配置辅助表!$C$3:$F$14,4,0)=1,1,4)</f>
        <v>0</v>
      </c>
      <c r="R219">
        <f t="shared" si="22"/>
        <v>0</v>
      </c>
    </row>
    <row r="220" spans="1:18" x14ac:dyDescent="0.15">
      <c r="A220">
        <f ca="1">VLOOKUP(B220,技能CD配置辅助表!$C$3:$K$14,9,0)+I220</f>
        <v>19311102</v>
      </c>
      <c r="B220" t="str">
        <f t="shared" si="23"/>
        <v>激光轰击</v>
      </c>
      <c r="C220" t="s">
        <v>124</v>
      </c>
      <c r="D220">
        <f>VLOOKUP(C220,技能CD配置辅助表!$C$3:$E$14,3,0)</f>
        <v>3</v>
      </c>
      <c r="E220">
        <f>IF(I220=0,1,IF(I220&lt;3,VLOOKUP(C220,技能CD配置辅助表!$C$3:$I$14,7,0)+(I220-1)*2,VLOOKUP(C220,技能CD配置辅助表!$C$3:$I$14,7,0)+(I220-1)*3-1))</f>
        <v>4</v>
      </c>
      <c r="F220" t="str">
        <f t="shared" si="24"/>
        <v>第2级，技能冷却时间14.64秒</v>
      </c>
      <c r="G220">
        <f>VLOOKUP(C220,技能CD配置辅助表!$C$3:$J$14,8,0)-(VLOOKUP(C220,技能CD配置辅助表!$C$3:$J$14,8,0)-VLOOKUP(C220,技能CD配置辅助表!$C$2:$M$14,11,0))/(VLOOKUP(C220,技能CD配置辅助表!$C$3:$H$14,6,0)-1)*(I220-IF(I220=0,0,1))</f>
        <v>14640</v>
      </c>
      <c r="H220">
        <f ca="1">M220*'[1]0、经济设定'!$C$18*IF(E220&lt;J220,1,1)</f>
        <v>600</v>
      </c>
      <c r="I220">
        <f t="shared" si="25"/>
        <v>2</v>
      </c>
      <c r="J220">
        <f>VLOOKUP(C220,技能CD配置辅助表!$C$3:$L$14,10,0)</f>
        <v>20</v>
      </c>
      <c r="K220">
        <f t="shared" si="26"/>
        <v>0</v>
      </c>
      <c r="L220" s="45">
        <f t="shared" ca="1" si="21"/>
        <v>12</v>
      </c>
      <c r="M220">
        <f t="shared" ca="1" si="27"/>
        <v>12</v>
      </c>
      <c r="N220">
        <f>VLOOKUP(C220,技能CD配置辅助表!$C$3:$H$14,6,0)</f>
        <v>26</v>
      </c>
      <c r="O220">
        <f>VLOOKUP(C220,技能CD配置辅助表!$C$3:$M$14,5,0)</f>
        <v>1</v>
      </c>
      <c r="P220">
        <f ca="1">IFERROR(VLOOKUP(A220+I220-10000003,D_技能表!A:AD,30,0)*(VLOOKUP(C220,技能CD配置辅助表!$C$3:$J$14,8,0)-G220)/VLOOKUP(C220,技能CD配置辅助表!$C$3:$J$14,8,0),0)*IF(VLOOKUP(C220,技能CD配置辅助表!$C$3:$F$14,4,0)=1,1,4)</f>
        <v>7.6933576355026498E-2</v>
      </c>
      <c r="R220">
        <f t="shared" si="22"/>
        <v>0</v>
      </c>
    </row>
    <row r="221" spans="1:18" x14ac:dyDescent="0.15">
      <c r="A221">
        <f ca="1">VLOOKUP(B221,技能CD配置辅助表!$C$3:$K$14,9,0)+I221</f>
        <v>19311103</v>
      </c>
      <c r="B221" t="str">
        <f t="shared" si="23"/>
        <v>激光轰击</v>
      </c>
      <c r="C221" t="s">
        <v>124</v>
      </c>
      <c r="D221">
        <f>VLOOKUP(C221,技能CD配置辅助表!$C$3:$E$14,3,0)</f>
        <v>3</v>
      </c>
      <c r="E221">
        <f>IF(I221=0,1,IF(I221&lt;3,VLOOKUP(C221,技能CD配置辅助表!$C$3:$I$14,7,0)+(I221-1)*2,VLOOKUP(C221,技能CD配置辅助表!$C$3:$I$14,7,0)+(I221-1)*3-1))</f>
        <v>7</v>
      </c>
      <c r="F221" t="str">
        <f t="shared" si="24"/>
        <v>第3级，技能冷却时间14.28秒</v>
      </c>
      <c r="G221">
        <f>VLOOKUP(C221,技能CD配置辅助表!$C$3:$J$14,8,0)-(VLOOKUP(C221,技能CD配置辅助表!$C$3:$J$14,8,0)-VLOOKUP(C221,技能CD配置辅助表!$C$2:$M$14,11,0))/(VLOOKUP(C221,技能CD配置辅助表!$C$3:$H$14,6,0)-1)*(I221-IF(I221=0,0,1))</f>
        <v>14280</v>
      </c>
      <c r="H221">
        <f ca="1">M221*'[1]0、经济设定'!$C$18*IF(E221&lt;J221,1,1)</f>
        <v>1300</v>
      </c>
      <c r="I221">
        <f t="shared" si="25"/>
        <v>3</v>
      </c>
      <c r="J221">
        <f>VLOOKUP(C221,技能CD配置辅助表!$C$3:$L$14,10,0)</f>
        <v>20</v>
      </c>
      <c r="K221">
        <f t="shared" si="26"/>
        <v>0</v>
      </c>
      <c r="L221" s="45">
        <f t="shared" ref="L221:L284" ca="1" si="28">ROUND((IF(I221&lt;2,0,ROUND(OFFSET(P221,N221-I221+108*(1-D221),0)*(1-$T$3)/(1-$T$3^(N221-1))*$T$3^(I221-2)*$T$2,0))+IF(I221&lt;2,0,ROUND(OFFSET(P221,N221-I221+108*(2-D221),0)*(1-$T$3)/(1-$T$3^(N221-1))*$T$3^(I221-2)*$T$2,0))+IF(I221&lt;2,0,ROUND(OFFSET(P221,N221-I221+108*(3-D221),0)*(1-$T$3)/(1-$T$3^(N221-1))*$T$3^(I221-2)*$T$2,0)))/3,0)</f>
        <v>14</v>
      </c>
      <c r="M221">
        <f t="shared" ca="1" si="27"/>
        <v>26</v>
      </c>
      <c r="N221">
        <f>VLOOKUP(C221,技能CD配置辅助表!$C$3:$H$14,6,0)</f>
        <v>26</v>
      </c>
      <c r="O221">
        <f>VLOOKUP(C221,技能CD配置辅助表!$C$3:$M$14,5,0)</f>
        <v>1</v>
      </c>
      <c r="P221">
        <f ca="1">IFERROR(VLOOKUP(A221+I221-10000003,D_技能表!A:AD,30,0)*(VLOOKUP(C221,技能CD配置辅助表!$C$3:$J$14,8,0)-G221)/VLOOKUP(C221,技能CD配置辅助表!$C$3:$J$14,8,0),0)*IF(VLOOKUP(C221,技能CD配置辅助表!$C$3:$F$14,4,0)=1,1,4)</f>
        <v>0.21034552356949129</v>
      </c>
      <c r="R221">
        <f t="shared" si="22"/>
        <v>0</v>
      </c>
    </row>
    <row r="222" spans="1:18" x14ac:dyDescent="0.15">
      <c r="A222">
        <f ca="1">VLOOKUP(B222,技能CD配置辅助表!$C$3:$K$14,9,0)+I222</f>
        <v>19311104</v>
      </c>
      <c r="B222" t="str">
        <f t="shared" si="23"/>
        <v>激光轰击</v>
      </c>
      <c r="C222" t="s">
        <v>124</v>
      </c>
      <c r="D222">
        <f>VLOOKUP(C222,技能CD配置辅助表!$C$3:$E$14,3,0)</f>
        <v>3</v>
      </c>
      <c r="E222">
        <f>IF(I222=0,1,IF(I222&lt;3,VLOOKUP(C222,技能CD配置辅助表!$C$3:$I$14,7,0)+(I222-1)*2,VLOOKUP(C222,技能CD配置辅助表!$C$3:$I$14,7,0)+(I222-1)*3-1))</f>
        <v>10</v>
      </c>
      <c r="F222" t="str">
        <f t="shared" si="24"/>
        <v>第4级，技能冷却时间13.92秒</v>
      </c>
      <c r="G222">
        <f>VLOOKUP(C222,技能CD配置辅助表!$C$3:$J$14,8,0)-(VLOOKUP(C222,技能CD配置辅助表!$C$3:$J$14,8,0)-VLOOKUP(C222,技能CD配置辅助表!$C$2:$M$14,11,0))/(VLOOKUP(C222,技能CD配置辅助表!$C$3:$H$14,6,0)-1)*(I222-IF(I222=0,0,1))</f>
        <v>13920</v>
      </c>
      <c r="H222">
        <f ca="1">M222*'[1]0、经济设定'!$C$18*IF(E222&lt;J222,1,1)</f>
        <v>2100</v>
      </c>
      <c r="I222">
        <f t="shared" si="25"/>
        <v>4</v>
      </c>
      <c r="J222">
        <f>VLOOKUP(C222,技能CD配置辅助表!$C$3:$L$14,10,0)</f>
        <v>20</v>
      </c>
      <c r="K222">
        <f t="shared" si="26"/>
        <v>0</v>
      </c>
      <c r="L222" s="45">
        <f t="shared" ca="1" si="28"/>
        <v>16</v>
      </c>
      <c r="M222">
        <f t="shared" ca="1" si="27"/>
        <v>42</v>
      </c>
      <c r="N222">
        <f>VLOOKUP(C222,技能CD配置辅助表!$C$3:$H$14,6,0)</f>
        <v>26</v>
      </c>
      <c r="O222">
        <f>VLOOKUP(C222,技能CD配置辅助表!$C$3:$M$14,5,0)</f>
        <v>1</v>
      </c>
      <c r="P222">
        <f ca="1">IFERROR(VLOOKUP(A222+I222-10000003,D_技能表!A:AD,30,0)*(VLOOKUP(C222,技能CD配置辅助表!$C$3:$J$14,8,0)-G222)/VLOOKUP(C222,技能CD配置辅助表!$C$3:$J$14,8,0),0)*IF(VLOOKUP(C222,技能CD配置辅助表!$C$3:$F$14,4,0)=1,1,4)</f>
        <v>0.4231010919213844</v>
      </c>
      <c r="R222">
        <f t="shared" ref="R222:R285" si="29">R195</f>
        <v>0</v>
      </c>
    </row>
    <row r="223" spans="1:18" x14ac:dyDescent="0.15">
      <c r="A223">
        <f ca="1">VLOOKUP(B223,技能CD配置辅助表!$C$3:$K$14,9,0)+I223</f>
        <v>19311105</v>
      </c>
      <c r="B223" t="str">
        <f t="shared" si="23"/>
        <v>激光轰击</v>
      </c>
      <c r="C223" t="s">
        <v>124</v>
      </c>
      <c r="D223">
        <f>VLOOKUP(C223,技能CD配置辅助表!$C$3:$E$14,3,0)</f>
        <v>3</v>
      </c>
      <c r="E223">
        <f>IF(I223=0,1,IF(I223&lt;3,VLOOKUP(C223,技能CD配置辅助表!$C$3:$I$14,7,0)+(I223-1)*2,VLOOKUP(C223,技能CD配置辅助表!$C$3:$I$14,7,0)+(I223-1)*3-1))</f>
        <v>13</v>
      </c>
      <c r="F223" t="str">
        <f t="shared" si="24"/>
        <v>第5级，技能冷却时间13.56秒</v>
      </c>
      <c r="G223">
        <f>VLOOKUP(C223,技能CD配置辅助表!$C$3:$J$14,8,0)-(VLOOKUP(C223,技能CD配置辅助表!$C$3:$J$14,8,0)-VLOOKUP(C223,技能CD配置辅助表!$C$2:$M$14,11,0))/(VLOOKUP(C223,技能CD配置辅助表!$C$3:$H$14,6,0)-1)*(I223-IF(I223=0,0,1))</f>
        <v>13560</v>
      </c>
      <c r="H223">
        <f ca="1">M223*'[1]0、经济设定'!$C$18*IF(E223&lt;J223,1,1)</f>
        <v>3000</v>
      </c>
      <c r="I223">
        <f t="shared" si="25"/>
        <v>5</v>
      </c>
      <c r="J223">
        <f>VLOOKUP(C223,技能CD配置辅助表!$C$3:$L$14,10,0)</f>
        <v>20</v>
      </c>
      <c r="K223">
        <f t="shared" si="26"/>
        <v>0</v>
      </c>
      <c r="L223" s="45">
        <f t="shared" ca="1" si="28"/>
        <v>18</v>
      </c>
      <c r="M223">
        <f t="shared" ca="1" si="27"/>
        <v>60</v>
      </c>
      <c r="N223">
        <f>VLOOKUP(C223,技能CD配置辅助表!$C$3:$H$14,6,0)</f>
        <v>26</v>
      </c>
      <c r="O223">
        <f>VLOOKUP(C223,技能CD配置辅助表!$C$3:$M$14,5,0)</f>
        <v>1</v>
      </c>
      <c r="P223">
        <f ca="1">IFERROR(VLOOKUP(A223+I223-10000003,D_技能表!A:AD,30,0)*(VLOOKUP(C223,技能CD配置辅助表!$C$3:$J$14,8,0)-G223)/VLOOKUP(C223,技能CD配置辅助表!$C$3:$J$14,8,0),0)*IF(VLOOKUP(C223,技能CD配置辅助表!$C$3:$F$14,4,0)=1,1,4)</f>
        <v>0.75564370767331479</v>
      </c>
      <c r="R223">
        <f t="shared" si="29"/>
        <v>0.1</v>
      </c>
    </row>
    <row r="224" spans="1:18" x14ac:dyDescent="0.15">
      <c r="A224">
        <f ca="1">VLOOKUP(B224,技能CD配置辅助表!$C$3:$K$14,9,0)+I224</f>
        <v>19311106</v>
      </c>
      <c r="B224" t="str">
        <f t="shared" si="23"/>
        <v>激光轰击</v>
      </c>
      <c r="C224" t="s">
        <v>124</v>
      </c>
      <c r="D224">
        <f>VLOOKUP(C224,技能CD配置辅助表!$C$3:$E$14,3,0)</f>
        <v>3</v>
      </c>
      <c r="E224">
        <f>IF(I224=0,1,IF(I224&lt;3,VLOOKUP(C224,技能CD配置辅助表!$C$3:$I$14,7,0)+(I224-1)*2,VLOOKUP(C224,技能CD配置辅助表!$C$3:$I$14,7,0)+(I224-1)*3-1))</f>
        <v>16</v>
      </c>
      <c r="F224" t="str">
        <f t="shared" si="24"/>
        <v>第6级，技能冷却时间13.2秒</v>
      </c>
      <c r="G224">
        <f>VLOOKUP(C224,技能CD配置辅助表!$C$3:$J$14,8,0)-(VLOOKUP(C224,技能CD配置辅助表!$C$3:$J$14,8,0)-VLOOKUP(C224,技能CD配置辅助表!$C$2:$M$14,11,0))/(VLOOKUP(C224,技能CD配置辅助表!$C$3:$H$14,6,0)-1)*(I224-IF(I224=0,0,1))</f>
        <v>13200</v>
      </c>
      <c r="H224">
        <f ca="1">M224*'[1]0、经济设定'!$C$18*IF(E224&lt;J224,1,1)</f>
        <v>4050</v>
      </c>
      <c r="I224">
        <f t="shared" si="25"/>
        <v>6</v>
      </c>
      <c r="J224">
        <f>VLOOKUP(C224,技能CD配置辅助表!$C$3:$L$14,10,0)</f>
        <v>20</v>
      </c>
      <c r="K224">
        <f t="shared" si="26"/>
        <v>0</v>
      </c>
      <c r="L224" s="45">
        <f t="shared" ca="1" si="28"/>
        <v>21</v>
      </c>
      <c r="M224">
        <f t="shared" ca="1" si="27"/>
        <v>81</v>
      </c>
      <c r="N224">
        <f>VLOOKUP(C224,技能CD配置辅助表!$C$3:$H$14,6,0)</f>
        <v>26</v>
      </c>
      <c r="O224">
        <f>VLOOKUP(C224,技能CD配置辅助表!$C$3:$M$14,5,0)</f>
        <v>1</v>
      </c>
      <c r="P224">
        <f ca="1">IFERROR(VLOOKUP(A224+I224-10000003,D_技能表!A:AD,30,0)*(VLOOKUP(C224,技能CD配置辅助表!$C$3:$J$14,8,0)-G224)/VLOOKUP(C224,技能CD配置辅助表!$C$3:$J$14,8,0),0)*IF(VLOOKUP(C224,技能CD配置辅助表!$C$3:$F$14,4,0)=1,1,4)</f>
        <v>1.2638826532949696</v>
      </c>
      <c r="R224">
        <f t="shared" si="29"/>
        <v>0.2</v>
      </c>
    </row>
    <row r="225" spans="1:18" x14ac:dyDescent="0.15">
      <c r="A225">
        <f ca="1">VLOOKUP(B225,技能CD配置辅助表!$C$3:$K$14,9,0)+I225</f>
        <v>19311107</v>
      </c>
      <c r="B225" t="str">
        <f t="shared" si="23"/>
        <v>激光轰击</v>
      </c>
      <c r="C225" t="s">
        <v>124</v>
      </c>
      <c r="D225">
        <f>VLOOKUP(C225,技能CD配置辅助表!$C$3:$E$14,3,0)</f>
        <v>3</v>
      </c>
      <c r="E225">
        <f>IF(I225=0,1,IF(I225&lt;3,VLOOKUP(C225,技能CD配置辅助表!$C$3:$I$14,7,0)+(I225-1)*2,VLOOKUP(C225,技能CD配置辅助表!$C$3:$I$14,7,0)+(I225-1)*3-1))</f>
        <v>19</v>
      </c>
      <c r="F225" t="str">
        <f t="shared" si="24"/>
        <v>第7级，技能冷却时间12.84秒</v>
      </c>
      <c r="G225">
        <f>VLOOKUP(C225,技能CD配置辅助表!$C$3:$J$14,8,0)-(VLOOKUP(C225,技能CD配置辅助表!$C$3:$J$14,8,0)-VLOOKUP(C225,技能CD配置辅助表!$C$2:$M$14,11,0))/(VLOOKUP(C225,技能CD配置辅助表!$C$3:$H$14,6,0)-1)*(I225-IF(I225=0,0,1))</f>
        <v>12840</v>
      </c>
      <c r="H225">
        <f ca="1">M225*'[1]0、经济设定'!$C$18*IF(E225&lt;J225,1,1)</f>
        <v>5300</v>
      </c>
      <c r="I225">
        <f t="shared" si="25"/>
        <v>7</v>
      </c>
      <c r="J225">
        <f>VLOOKUP(C225,技能CD配置辅助表!$C$3:$L$14,10,0)</f>
        <v>20</v>
      </c>
      <c r="K225">
        <f t="shared" si="26"/>
        <v>0</v>
      </c>
      <c r="L225" s="45">
        <f t="shared" ca="1" si="28"/>
        <v>25</v>
      </c>
      <c r="M225">
        <f t="shared" ca="1" si="27"/>
        <v>106</v>
      </c>
      <c r="N225">
        <f>VLOOKUP(C225,技能CD配置辅助表!$C$3:$H$14,6,0)</f>
        <v>26</v>
      </c>
      <c r="O225">
        <f>VLOOKUP(C225,技能CD配置辅助表!$C$3:$M$14,5,0)</f>
        <v>1</v>
      </c>
      <c r="P225">
        <f ca="1">IFERROR(VLOOKUP(A225+I225-10000003,D_技能表!A:AD,30,0)*(VLOOKUP(C225,技能CD配置辅助表!$C$3:$J$14,8,0)-G225)/VLOOKUP(C225,技能CD配置辅助表!$C$3:$J$14,8,0),0)*IF(VLOOKUP(C225,技能CD配置辅助表!$C$3:$F$14,4,0)=1,1,4)</f>
        <v>2.027408198552469</v>
      </c>
      <c r="R225">
        <f t="shared" si="29"/>
        <v>0.3</v>
      </c>
    </row>
    <row r="226" spans="1:18" x14ac:dyDescent="0.15">
      <c r="A226">
        <f ca="1">VLOOKUP(B226,技能CD配置辅助表!$C$3:$K$14,9,0)+I226</f>
        <v>19311108</v>
      </c>
      <c r="B226" t="str">
        <f t="shared" si="23"/>
        <v>激光轰击</v>
      </c>
      <c r="C226" t="s">
        <v>124</v>
      </c>
      <c r="D226">
        <f>VLOOKUP(C226,技能CD配置辅助表!$C$3:$E$14,3,0)</f>
        <v>3</v>
      </c>
      <c r="E226">
        <f>IF(I226=0,1,IF(I226&lt;3,VLOOKUP(C226,技能CD配置辅助表!$C$3:$I$14,7,0)+(I226-1)*2,VLOOKUP(C226,技能CD配置辅助表!$C$3:$I$14,7,0)+(I226-1)*3-1))</f>
        <v>22</v>
      </c>
      <c r="F226" t="str">
        <f t="shared" si="24"/>
        <v>第8级，技能冷却时间12.48秒</v>
      </c>
      <c r="G226">
        <f>VLOOKUP(C226,技能CD配置辅助表!$C$3:$J$14,8,0)-(VLOOKUP(C226,技能CD配置辅助表!$C$3:$J$14,8,0)-VLOOKUP(C226,技能CD配置辅助表!$C$2:$M$14,11,0))/(VLOOKUP(C226,技能CD配置辅助表!$C$3:$H$14,6,0)-1)*(I226-IF(I226=0,0,1))</f>
        <v>12480</v>
      </c>
      <c r="H226">
        <f ca="1">M226*'[1]0、经济设定'!$C$18*IF(E226&lt;J226,1,1)</f>
        <v>6750</v>
      </c>
      <c r="I226">
        <f t="shared" si="25"/>
        <v>8</v>
      </c>
      <c r="J226">
        <f>VLOOKUP(C226,技能CD配置辅助表!$C$3:$L$14,10,0)</f>
        <v>20</v>
      </c>
      <c r="K226">
        <f t="shared" ca="1" si="26"/>
        <v>17</v>
      </c>
      <c r="L226" s="45">
        <f t="shared" ca="1" si="28"/>
        <v>29</v>
      </c>
      <c r="M226">
        <f t="shared" ca="1" si="27"/>
        <v>135</v>
      </c>
      <c r="N226">
        <f>VLOOKUP(C226,技能CD配置辅助表!$C$3:$H$14,6,0)</f>
        <v>26</v>
      </c>
      <c r="O226">
        <f>VLOOKUP(C226,技能CD配置辅助表!$C$3:$M$14,5,0)</f>
        <v>1</v>
      </c>
      <c r="P226">
        <f ca="1">IFERROR(VLOOKUP(A226+I226-10000003,D_技能表!A:AD,30,0)*(VLOOKUP(C226,技能CD配置辅助表!$C$3:$J$14,8,0)-G226)/VLOOKUP(C226,技能CD配置辅助表!$C$3:$J$14,8,0),0)*IF(VLOOKUP(C226,技能CD配置辅助表!$C$3:$F$14,4,0)=1,1,4)</f>
        <v>3.1589317623354951</v>
      </c>
      <c r="R226">
        <f t="shared" si="29"/>
        <v>0.4</v>
      </c>
    </row>
    <row r="227" spans="1:18" x14ac:dyDescent="0.15">
      <c r="A227">
        <f ca="1">VLOOKUP(B227,技能CD配置辅助表!$C$3:$K$14,9,0)+I227</f>
        <v>19311109</v>
      </c>
      <c r="B227" t="str">
        <f t="shared" si="23"/>
        <v>激光轰击</v>
      </c>
      <c r="C227" t="s">
        <v>124</v>
      </c>
      <c r="D227">
        <f>VLOOKUP(C227,技能CD配置辅助表!$C$3:$E$14,3,0)</f>
        <v>3</v>
      </c>
      <c r="E227">
        <f>IF(I227=0,1,IF(I227&lt;3,VLOOKUP(C227,技能CD配置辅助表!$C$3:$I$14,7,0)+(I227-1)*2,VLOOKUP(C227,技能CD配置辅助表!$C$3:$I$14,7,0)+(I227-1)*3-1))</f>
        <v>25</v>
      </c>
      <c r="F227" t="str">
        <f t="shared" si="24"/>
        <v>第9级，技能冷却时间12.12秒</v>
      </c>
      <c r="G227">
        <f>VLOOKUP(C227,技能CD配置辅助表!$C$3:$J$14,8,0)-(VLOOKUP(C227,技能CD配置辅助表!$C$3:$J$14,8,0)-VLOOKUP(C227,技能CD配置辅助表!$C$2:$M$14,11,0))/(VLOOKUP(C227,技能CD配置辅助表!$C$3:$H$14,6,0)-1)*(I227-IF(I227=0,0,1))</f>
        <v>12120</v>
      </c>
      <c r="H227">
        <f ca="1">M227*'[1]0、经济设定'!$C$18*IF(E227&lt;J227,1,1)</f>
        <v>8450</v>
      </c>
      <c r="I227">
        <f t="shared" si="25"/>
        <v>9</v>
      </c>
      <c r="J227">
        <f>VLOOKUP(C227,技能CD配置辅助表!$C$3:$L$14,10,0)</f>
        <v>20</v>
      </c>
      <c r="K227">
        <f t="shared" ca="1" si="26"/>
        <v>25</v>
      </c>
      <c r="L227" s="45">
        <f t="shared" ca="1" si="28"/>
        <v>34</v>
      </c>
      <c r="M227">
        <f t="shared" ca="1" si="27"/>
        <v>169</v>
      </c>
      <c r="N227">
        <f>VLOOKUP(C227,技能CD配置辅助表!$C$3:$H$14,6,0)</f>
        <v>26</v>
      </c>
      <c r="O227">
        <f>VLOOKUP(C227,技能CD配置辅助表!$C$3:$M$14,5,0)</f>
        <v>1</v>
      </c>
      <c r="P227">
        <f ca="1">IFERROR(VLOOKUP(A227+I227-10000003,D_技能表!A:AD,30,0)*(VLOOKUP(C227,技能CD配置辅助表!$C$3:$J$14,8,0)-G227)/VLOOKUP(C227,技能CD配置辅助表!$C$3:$J$14,8,0),0)*IF(VLOOKUP(C227,技能CD配置辅助表!$C$3:$F$14,4,0)=1,1,4)</f>
        <v>4.8173345535369156</v>
      </c>
      <c r="R227">
        <f t="shared" si="29"/>
        <v>0.5</v>
      </c>
    </row>
    <row r="228" spans="1:18" x14ac:dyDescent="0.15">
      <c r="A228">
        <f ca="1">VLOOKUP(B228,技能CD配置辅助表!$C$3:$K$14,9,0)+I228</f>
        <v>19311110</v>
      </c>
      <c r="B228" t="str">
        <f t="shared" si="23"/>
        <v>激光轰击</v>
      </c>
      <c r="C228" t="s">
        <v>124</v>
      </c>
      <c r="D228">
        <f>VLOOKUP(C228,技能CD配置辅助表!$C$3:$E$14,3,0)</f>
        <v>3</v>
      </c>
      <c r="E228">
        <f>IF(I228=0,1,IF(I228&lt;3,VLOOKUP(C228,技能CD配置辅助表!$C$3:$I$14,7,0)+(I228-1)*2,VLOOKUP(C228,技能CD配置辅助表!$C$3:$I$14,7,0)+(I228-1)*3-1))</f>
        <v>28</v>
      </c>
      <c r="F228" t="str">
        <f t="shared" si="24"/>
        <v>第10级，技能冷却时间11.76秒</v>
      </c>
      <c r="G228">
        <f>VLOOKUP(C228,技能CD配置辅助表!$C$3:$J$14,8,0)-(VLOOKUP(C228,技能CD配置辅助表!$C$3:$J$14,8,0)-VLOOKUP(C228,技能CD配置辅助表!$C$2:$M$14,11,0))/(VLOOKUP(C228,技能CD配置辅助表!$C$3:$H$14,6,0)-1)*(I228-IF(I228=0,0,1))</f>
        <v>11760</v>
      </c>
      <c r="H228">
        <f ca="1">M228*'[1]0、经济设定'!$C$18*IF(E228&lt;J228,1,1)</f>
        <v>10400</v>
      </c>
      <c r="I228">
        <f t="shared" si="25"/>
        <v>10</v>
      </c>
      <c r="J228">
        <f>VLOOKUP(C228,技能CD配置辅助表!$C$3:$L$14,10,0)</f>
        <v>20</v>
      </c>
      <c r="K228">
        <f t="shared" ca="1" si="26"/>
        <v>34</v>
      </c>
      <c r="L228" s="45">
        <f t="shared" ca="1" si="28"/>
        <v>39</v>
      </c>
      <c r="M228">
        <f t="shared" ca="1" si="27"/>
        <v>208</v>
      </c>
      <c r="N228">
        <f>VLOOKUP(C228,技能CD配置辅助表!$C$3:$H$14,6,0)</f>
        <v>26</v>
      </c>
      <c r="O228">
        <f>VLOOKUP(C228,技能CD配置辅助表!$C$3:$M$14,5,0)</f>
        <v>1</v>
      </c>
      <c r="P228">
        <f ca="1">IFERROR(VLOOKUP(A228+I228-10000003,D_技能表!A:AD,30,0)*(VLOOKUP(C228,技能CD配置辅助表!$C$3:$J$14,8,0)-G228)/VLOOKUP(C228,技能CD配置辅助表!$C$3:$J$14,8,0),0)*IF(VLOOKUP(C228,技能CD配置辅助表!$C$3:$F$14,4,0)=1,1,4)</f>
        <v>7.2256618864861295</v>
      </c>
      <c r="R228">
        <f t="shared" si="29"/>
        <v>0.6</v>
      </c>
    </row>
    <row r="229" spans="1:18" x14ac:dyDescent="0.15">
      <c r="A229">
        <f ca="1">VLOOKUP(B229,技能CD配置辅助表!$C$3:$K$14,9,0)+I229</f>
        <v>19311111</v>
      </c>
      <c r="B229" t="str">
        <f t="shared" si="23"/>
        <v>激光轰击</v>
      </c>
      <c r="C229" t="s">
        <v>124</v>
      </c>
      <c r="D229">
        <f>VLOOKUP(C229,技能CD配置辅助表!$C$3:$E$14,3,0)</f>
        <v>3</v>
      </c>
      <c r="E229">
        <f>IF(I229=0,1,IF(I229&lt;3,VLOOKUP(C229,技能CD配置辅助表!$C$3:$I$14,7,0)+(I229-1)*2,VLOOKUP(C229,技能CD配置辅助表!$C$3:$I$14,7,0)+(I229-1)*3-1))</f>
        <v>31</v>
      </c>
      <c r="F229" t="str">
        <f t="shared" si="24"/>
        <v>第11级，技能冷却时间11.4秒</v>
      </c>
      <c r="G229">
        <f>VLOOKUP(C229,技能CD配置辅助表!$C$3:$J$14,8,0)-(VLOOKUP(C229,技能CD配置辅助表!$C$3:$J$14,8,0)-VLOOKUP(C229,技能CD配置辅助表!$C$2:$M$14,11,0))/(VLOOKUP(C229,技能CD配置辅助表!$C$3:$H$14,6,0)-1)*(I229-IF(I229=0,0,1))</f>
        <v>11400</v>
      </c>
      <c r="H229">
        <f ca="1">M229*'[1]0、经济设定'!$C$18*IF(E229&lt;J229,1,1)</f>
        <v>12700</v>
      </c>
      <c r="I229">
        <f t="shared" si="25"/>
        <v>11</v>
      </c>
      <c r="J229">
        <f>VLOOKUP(C229,技能CD配置辅助表!$C$3:$L$14,10,0)</f>
        <v>20</v>
      </c>
      <c r="K229">
        <f t="shared" ca="1" si="26"/>
        <v>46</v>
      </c>
      <c r="L229" s="45">
        <f t="shared" ca="1" si="28"/>
        <v>46</v>
      </c>
      <c r="M229">
        <f t="shared" ca="1" si="27"/>
        <v>254</v>
      </c>
      <c r="N229">
        <f>VLOOKUP(C229,技能CD配置辅助表!$C$3:$H$14,6,0)</f>
        <v>26</v>
      </c>
      <c r="O229">
        <f>VLOOKUP(C229,技能CD配置辅助表!$C$3:$M$14,5,0)</f>
        <v>1</v>
      </c>
      <c r="P229">
        <f ca="1">IFERROR(VLOOKUP(A229+I229-10000003,D_技能表!A:AD,30,0)*(VLOOKUP(C229,技能CD配置辅助表!$C$3:$J$14,8,0)-G229)/VLOOKUP(C229,技能CD配置辅助表!$C$3:$J$14,8,0),0)*IF(VLOOKUP(C229,技能CD配置辅助表!$C$3:$F$14,4,0)=1,1,4)</f>
        <v>10.695884151633168</v>
      </c>
      <c r="R229">
        <f t="shared" si="29"/>
        <v>0.7</v>
      </c>
    </row>
    <row r="230" spans="1:18" x14ac:dyDescent="0.15">
      <c r="A230">
        <f ca="1">VLOOKUP(B230,技能CD配置辅助表!$C$3:$K$14,9,0)+I230</f>
        <v>19311112</v>
      </c>
      <c r="B230" t="str">
        <f t="shared" si="23"/>
        <v>激光轰击</v>
      </c>
      <c r="C230" t="s">
        <v>124</v>
      </c>
      <c r="D230">
        <f>VLOOKUP(C230,技能CD配置辅助表!$C$3:$E$14,3,0)</f>
        <v>3</v>
      </c>
      <c r="E230">
        <f>IF(I230=0,1,IF(I230&lt;3,VLOOKUP(C230,技能CD配置辅助表!$C$3:$I$14,7,0)+(I230-1)*2,VLOOKUP(C230,技能CD配置辅助表!$C$3:$I$14,7,0)+(I230-1)*3-1))</f>
        <v>34</v>
      </c>
      <c r="F230" t="str">
        <f t="shared" si="24"/>
        <v>第12级，技能冷却时间11.04秒</v>
      </c>
      <c r="G230">
        <f>VLOOKUP(C230,技能CD配置辅助表!$C$3:$J$14,8,0)-(VLOOKUP(C230,技能CD配置辅助表!$C$3:$J$14,8,0)-VLOOKUP(C230,技能CD配置辅助表!$C$2:$M$14,11,0))/(VLOOKUP(C230,技能CD配置辅助表!$C$3:$H$14,6,0)-1)*(I230-IF(I230=0,0,1))</f>
        <v>11040</v>
      </c>
      <c r="H230">
        <f ca="1">M230*'[1]0、经济设定'!$C$18*IF(E230&lt;J230,1,1)</f>
        <v>15350</v>
      </c>
      <c r="I230">
        <f t="shared" si="25"/>
        <v>12</v>
      </c>
      <c r="J230">
        <f>VLOOKUP(C230,技能CD配置辅助表!$C$3:$L$14,10,0)</f>
        <v>20</v>
      </c>
      <c r="K230">
        <f t="shared" ca="1" si="26"/>
        <v>61</v>
      </c>
      <c r="L230" s="45">
        <f t="shared" ca="1" si="28"/>
        <v>53</v>
      </c>
      <c r="M230">
        <f t="shared" ca="1" si="27"/>
        <v>307</v>
      </c>
      <c r="N230">
        <f>VLOOKUP(C230,技能CD配置辅助表!$C$3:$H$14,6,0)</f>
        <v>26</v>
      </c>
      <c r="O230">
        <f>VLOOKUP(C230,技能CD配置辅助表!$C$3:$M$14,5,0)</f>
        <v>1</v>
      </c>
      <c r="P230">
        <f ca="1">IFERROR(VLOOKUP(A230+I230-10000003,D_技能表!A:AD,30,0)*(VLOOKUP(C230,技能CD配置辅助表!$C$3:$J$14,8,0)-G230)/VLOOKUP(C230,技能CD配置辅助表!$C$3:$J$14,8,0),0)*IF(VLOOKUP(C230,技能CD配置辅助表!$C$3:$F$14,4,0)=1,1,4)</f>
        <v>15.662900916757218</v>
      </c>
      <c r="R230">
        <f t="shared" si="29"/>
        <v>0.8</v>
      </c>
    </row>
    <row r="231" spans="1:18" x14ac:dyDescent="0.15">
      <c r="A231">
        <f ca="1">VLOOKUP(B231,技能CD配置辅助表!$C$3:$K$14,9,0)+I231</f>
        <v>19311113</v>
      </c>
      <c r="B231" t="str">
        <f t="shared" si="23"/>
        <v>激光轰击</v>
      </c>
      <c r="C231" t="s">
        <v>124</v>
      </c>
      <c r="D231">
        <f>VLOOKUP(C231,技能CD配置辅助表!$C$3:$E$14,3,0)</f>
        <v>3</v>
      </c>
      <c r="E231">
        <f>IF(I231=0,1,IF(I231&lt;3,VLOOKUP(C231,技能CD配置辅助表!$C$3:$I$14,7,0)+(I231-1)*2,VLOOKUP(C231,技能CD配置辅助表!$C$3:$I$14,7,0)+(I231-1)*3-1))</f>
        <v>37</v>
      </c>
      <c r="F231" t="str">
        <f t="shared" si="24"/>
        <v>第13级，技能冷却时间10.68秒</v>
      </c>
      <c r="G231">
        <f>VLOOKUP(C231,技能CD配置辅助表!$C$3:$J$14,8,0)-(VLOOKUP(C231,技能CD配置辅助表!$C$3:$J$14,8,0)-VLOOKUP(C231,技能CD配置辅助表!$C$2:$M$14,11,0))/(VLOOKUP(C231,技能CD配置辅助表!$C$3:$H$14,6,0)-1)*(I231-IF(I231=0,0,1))</f>
        <v>10680</v>
      </c>
      <c r="H231">
        <f ca="1">M231*'[1]0、经济设定'!$C$18*IF(E231&lt;J231,1,1)</f>
        <v>18400</v>
      </c>
      <c r="I231">
        <f t="shared" si="25"/>
        <v>13</v>
      </c>
      <c r="J231">
        <f>VLOOKUP(C231,技能CD配置辅助表!$C$3:$L$14,10,0)</f>
        <v>20</v>
      </c>
      <c r="K231">
        <f t="shared" ca="1" si="26"/>
        <v>79</v>
      </c>
      <c r="L231" s="45">
        <f t="shared" ca="1" si="28"/>
        <v>61</v>
      </c>
      <c r="M231">
        <f t="shared" ca="1" si="27"/>
        <v>368</v>
      </c>
      <c r="N231">
        <f>VLOOKUP(C231,技能CD配置辅助表!$C$3:$H$14,6,0)</f>
        <v>26</v>
      </c>
      <c r="O231">
        <f>VLOOKUP(C231,技能CD配置辅助表!$C$3:$M$14,5,0)</f>
        <v>1</v>
      </c>
      <c r="P231">
        <f ca="1">IFERROR(VLOOKUP(A231+I231-10000003,D_技能表!A:AD,30,0)*(VLOOKUP(C231,技能CD配置辅助表!$C$3:$J$14,8,0)-G231)/VLOOKUP(C231,技能CD配置辅助表!$C$3:$J$14,8,0),0)*IF(VLOOKUP(C231,技能CD配置辅助表!$C$3:$F$14,4,0)=1,1,4)</f>
        <v>22.731151834288244</v>
      </c>
      <c r="R231">
        <f t="shared" si="29"/>
        <v>0.9</v>
      </c>
    </row>
    <row r="232" spans="1:18" x14ac:dyDescent="0.15">
      <c r="A232">
        <f ca="1">VLOOKUP(B232,技能CD配置辅助表!$C$3:$K$14,9,0)+I232</f>
        <v>19311114</v>
      </c>
      <c r="B232" t="str">
        <f t="shared" si="23"/>
        <v>激光轰击</v>
      </c>
      <c r="C232" t="s">
        <v>124</v>
      </c>
      <c r="D232">
        <f>VLOOKUP(C232,技能CD配置辅助表!$C$3:$E$14,3,0)</f>
        <v>3</v>
      </c>
      <c r="E232">
        <f>IF(I232=0,1,IF(I232&lt;3,VLOOKUP(C232,技能CD配置辅助表!$C$3:$I$14,7,0)+(I232-1)*2,VLOOKUP(C232,技能CD配置辅助表!$C$3:$I$14,7,0)+(I232-1)*3-1))</f>
        <v>40</v>
      </c>
      <c r="F232" t="str">
        <f t="shared" si="24"/>
        <v>第14级，技能冷却时间10.32秒</v>
      </c>
      <c r="G232">
        <f>VLOOKUP(C232,技能CD配置辅助表!$C$3:$J$14,8,0)-(VLOOKUP(C232,技能CD配置辅助表!$C$3:$J$14,8,0)-VLOOKUP(C232,技能CD配置辅助表!$C$2:$M$14,11,0))/(VLOOKUP(C232,技能CD配置辅助表!$C$3:$H$14,6,0)-1)*(I232-IF(I232=0,0,1))</f>
        <v>10320</v>
      </c>
      <c r="H232">
        <f ca="1">M232*'[1]0、经济设定'!$C$18*IF(E232&lt;J232,1,1)</f>
        <v>21950</v>
      </c>
      <c r="I232">
        <f t="shared" si="25"/>
        <v>14</v>
      </c>
      <c r="J232">
        <f>VLOOKUP(C232,技能CD配置辅助表!$C$3:$L$14,10,0)</f>
        <v>20</v>
      </c>
      <c r="K232">
        <f t="shared" ca="1" si="26"/>
        <v>102</v>
      </c>
      <c r="L232" s="45">
        <f t="shared" ca="1" si="28"/>
        <v>71</v>
      </c>
      <c r="M232">
        <f t="shared" ca="1" si="27"/>
        <v>439</v>
      </c>
      <c r="N232">
        <f>VLOOKUP(C232,技能CD配置辅助表!$C$3:$H$14,6,0)</f>
        <v>26</v>
      </c>
      <c r="O232">
        <f>VLOOKUP(C232,技能CD配置辅助表!$C$3:$M$14,5,0)</f>
        <v>1</v>
      </c>
      <c r="P232">
        <f ca="1">IFERROR(VLOOKUP(A232+I232-10000003,D_技能表!A:AD,30,0)*(VLOOKUP(C232,技能CD配置辅助表!$C$3:$J$14,8,0)-G232)/VLOOKUP(C232,技能CD配置辅助表!$C$3:$J$14,8,0),0)*IF(VLOOKUP(C232,技能CD配置辅助表!$C$3:$F$14,4,0)=1,1,4)</f>
        <v>32.738397623017924</v>
      </c>
      <c r="R232">
        <f t="shared" si="29"/>
        <v>1</v>
      </c>
    </row>
    <row r="233" spans="1:18" x14ac:dyDescent="0.15">
      <c r="A233">
        <f ca="1">VLOOKUP(B233,技能CD配置辅助表!$C$3:$K$14,9,0)+I233</f>
        <v>19311115</v>
      </c>
      <c r="B233" t="str">
        <f t="shared" si="23"/>
        <v>激光轰击</v>
      </c>
      <c r="C233" t="s">
        <v>124</v>
      </c>
      <c r="D233">
        <f>VLOOKUP(C233,技能CD配置辅助表!$C$3:$E$14,3,0)</f>
        <v>3</v>
      </c>
      <c r="E233">
        <f>IF(I233=0,1,IF(I233&lt;3,VLOOKUP(C233,技能CD配置辅助表!$C$3:$I$14,7,0)+(I233-1)*2,VLOOKUP(C233,技能CD配置辅助表!$C$3:$I$14,7,0)+(I233-1)*3-1))</f>
        <v>43</v>
      </c>
      <c r="F233" t="str">
        <f t="shared" si="24"/>
        <v>第15级，技能冷却时间9.96秒</v>
      </c>
      <c r="G233">
        <f>VLOOKUP(C233,技能CD配置辅助表!$C$3:$J$14,8,0)-(VLOOKUP(C233,技能CD配置辅助表!$C$3:$J$14,8,0)-VLOOKUP(C233,技能CD配置辅助表!$C$2:$M$14,11,0))/(VLOOKUP(C233,技能CD配置辅助表!$C$3:$H$14,6,0)-1)*(I233-IF(I233=0,0,1))</f>
        <v>9960</v>
      </c>
      <c r="H233">
        <f ca="1">M233*'[1]0、经济设定'!$C$18*IF(E233&lt;J233,1,1)</f>
        <v>26050</v>
      </c>
      <c r="I233">
        <f t="shared" si="25"/>
        <v>15</v>
      </c>
      <c r="J233">
        <f>VLOOKUP(C233,技能CD配置辅助表!$C$3:$L$14,10,0)</f>
        <v>20</v>
      </c>
      <c r="K233">
        <f t="shared" ca="1" si="26"/>
        <v>123</v>
      </c>
      <c r="L233" s="45">
        <f t="shared" ca="1" si="28"/>
        <v>82</v>
      </c>
      <c r="M233">
        <f t="shared" ca="1" si="27"/>
        <v>521</v>
      </c>
      <c r="N233">
        <f>VLOOKUP(C233,技能CD配置辅助表!$C$3:$H$14,6,0)</f>
        <v>26</v>
      </c>
      <c r="O233">
        <f>VLOOKUP(C233,技能CD配置辅助表!$C$3:$M$14,5,0)</f>
        <v>1</v>
      </c>
      <c r="P233">
        <f ca="1">IFERROR(VLOOKUP(A233+I233-10000003,D_技能表!A:AD,30,0)*(VLOOKUP(C233,技能CD配置辅助表!$C$3:$J$14,8,0)-G233)/VLOOKUP(C233,技能CD配置辅助表!$C$3:$J$14,8,0),0)*IF(VLOOKUP(C233,技能CD配置辅助表!$C$3:$F$14,4,0)=1,1,4)</f>
        <v>46.842854810761303</v>
      </c>
      <c r="R233">
        <f t="shared" si="29"/>
        <v>1.05</v>
      </c>
    </row>
    <row r="234" spans="1:18" x14ac:dyDescent="0.15">
      <c r="A234">
        <f ca="1">VLOOKUP(B234,技能CD配置辅助表!$C$3:$K$14,9,0)+I234</f>
        <v>19311116</v>
      </c>
      <c r="B234" t="str">
        <f t="shared" si="23"/>
        <v>激光轰击</v>
      </c>
      <c r="C234" t="s">
        <v>124</v>
      </c>
      <c r="D234">
        <f>VLOOKUP(C234,技能CD配置辅助表!$C$3:$E$14,3,0)</f>
        <v>3</v>
      </c>
      <c r="E234">
        <f>IF(I234=0,1,IF(I234&lt;3,VLOOKUP(C234,技能CD配置辅助表!$C$3:$I$14,7,0)+(I234-1)*2,VLOOKUP(C234,技能CD配置辅助表!$C$3:$I$14,7,0)+(I234-1)*3-1))</f>
        <v>46</v>
      </c>
      <c r="F234" t="str">
        <f t="shared" si="24"/>
        <v>第16级，技能冷却时间9.6秒</v>
      </c>
      <c r="G234">
        <f>VLOOKUP(C234,技能CD配置辅助表!$C$3:$J$14,8,0)-(VLOOKUP(C234,技能CD配置辅助表!$C$3:$J$14,8,0)-VLOOKUP(C234,技能CD配置辅助表!$C$2:$M$14,11,0))/(VLOOKUP(C234,技能CD配置辅助表!$C$3:$H$14,6,0)-1)*(I234-IF(I234=0,0,1))</f>
        <v>9600</v>
      </c>
      <c r="H234">
        <f ca="1">M234*'[1]0、经济设定'!$C$18*IF(E234&lt;J234,1,1)</f>
        <v>30800</v>
      </c>
      <c r="I234">
        <f t="shared" si="25"/>
        <v>16</v>
      </c>
      <c r="J234">
        <f>VLOOKUP(C234,技能CD配置辅助表!$C$3:$L$14,10,0)</f>
        <v>20</v>
      </c>
      <c r="K234">
        <f t="shared" ca="1" si="26"/>
        <v>150</v>
      </c>
      <c r="L234" s="45">
        <f t="shared" ca="1" si="28"/>
        <v>95</v>
      </c>
      <c r="M234">
        <f t="shared" ca="1" si="27"/>
        <v>616</v>
      </c>
      <c r="N234">
        <f>VLOOKUP(C234,技能CD配置辅助表!$C$3:$H$14,6,0)</f>
        <v>26</v>
      </c>
      <c r="O234">
        <f>VLOOKUP(C234,技能CD配置辅助表!$C$3:$M$14,5,0)</f>
        <v>1</v>
      </c>
      <c r="P234">
        <f ca="1">IFERROR(VLOOKUP(A234+I234-10000003,D_技能表!A:AD,30,0)*(VLOOKUP(C234,技能CD配置辅助表!$C$3:$J$14,8,0)-G234)/VLOOKUP(C234,技能CD配置辅助表!$C$3:$J$14,8,0),0)*IF(VLOOKUP(C234,技能CD配置辅助表!$C$3:$F$14,4,0)=1,1,4)</f>
        <v>66.642054788136321</v>
      </c>
      <c r="R234">
        <f t="shared" si="29"/>
        <v>1.1000000000000001</v>
      </c>
    </row>
    <row r="235" spans="1:18" x14ac:dyDescent="0.15">
      <c r="A235">
        <f ca="1">VLOOKUP(B235,技能CD配置辅助表!$C$3:$K$14,9,0)+I235</f>
        <v>19311117</v>
      </c>
      <c r="B235" t="str">
        <f t="shared" si="23"/>
        <v>激光轰击</v>
      </c>
      <c r="C235" t="s">
        <v>124</v>
      </c>
      <c r="D235">
        <f>VLOOKUP(C235,技能CD配置辅助表!$C$3:$E$14,3,0)</f>
        <v>3</v>
      </c>
      <c r="E235">
        <f>IF(I235=0,1,IF(I235&lt;3,VLOOKUP(C235,技能CD配置辅助表!$C$3:$I$14,7,0)+(I235-1)*2,VLOOKUP(C235,技能CD配置辅助表!$C$3:$I$14,7,0)+(I235-1)*3-1))</f>
        <v>49</v>
      </c>
      <c r="F235" t="str">
        <f t="shared" si="24"/>
        <v>第17级，技能冷却时间9.24秒</v>
      </c>
      <c r="G235">
        <f>VLOOKUP(C235,技能CD配置辅助表!$C$3:$J$14,8,0)-(VLOOKUP(C235,技能CD配置辅助表!$C$3:$J$14,8,0)-VLOOKUP(C235,技能CD配置辅助表!$C$2:$M$14,11,0))/(VLOOKUP(C235,技能CD配置辅助表!$C$3:$H$14,6,0)-1)*(I235-IF(I235=0,0,1))</f>
        <v>9240</v>
      </c>
      <c r="H235">
        <f ca="1">M235*'[1]0、经济设定'!$C$18*IF(E235&lt;J235,1,1)</f>
        <v>36350</v>
      </c>
      <c r="I235">
        <f t="shared" si="25"/>
        <v>17</v>
      </c>
      <c r="J235">
        <f>VLOOKUP(C235,技能CD配置辅助表!$C$3:$L$14,10,0)</f>
        <v>20</v>
      </c>
      <c r="K235">
        <f t="shared" ca="1" si="26"/>
        <v>183</v>
      </c>
      <c r="L235" s="45">
        <f t="shared" ca="1" si="28"/>
        <v>111</v>
      </c>
      <c r="M235">
        <f t="shared" ca="1" si="27"/>
        <v>727</v>
      </c>
      <c r="N235">
        <f>VLOOKUP(C235,技能CD配置辅助表!$C$3:$H$14,6,0)</f>
        <v>26</v>
      </c>
      <c r="O235">
        <f>VLOOKUP(C235,技能CD配置辅助表!$C$3:$M$14,5,0)</f>
        <v>1</v>
      </c>
      <c r="P235">
        <f ca="1">IFERROR(VLOOKUP(A235+I235-10000003,D_技能表!A:AD,30,0)*(VLOOKUP(C235,技能CD配置辅助表!$C$3:$J$14,8,0)-G235)/VLOOKUP(C235,技能CD配置辅助表!$C$3:$J$14,8,0),0)*IF(VLOOKUP(C235,技能CD配置辅助表!$C$3:$F$14,4,0)=1,1,4)</f>
        <v>94.334746460795458</v>
      </c>
      <c r="R235">
        <f t="shared" si="29"/>
        <v>1.1499999999999999</v>
      </c>
    </row>
    <row r="236" spans="1:18" x14ac:dyDescent="0.15">
      <c r="A236">
        <f ca="1">VLOOKUP(B236,技能CD配置辅助表!$C$3:$K$14,9,0)+I236</f>
        <v>19311118</v>
      </c>
      <c r="B236" t="str">
        <f t="shared" si="23"/>
        <v>激光轰击</v>
      </c>
      <c r="C236" t="s">
        <v>124</v>
      </c>
      <c r="D236">
        <f>VLOOKUP(C236,技能CD配置辅助表!$C$3:$E$14,3,0)</f>
        <v>3</v>
      </c>
      <c r="E236">
        <f>IF(I236=0,1,IF(I236&lt;3,VLOOKUP(C236,技能CD配置辅助表!$C$3:$I$14,7,0)+(I236-1)*2,VLOOKUP(C236,技能CD配置辅助表!$C$3:$I$14,7,0)+(I236-1)*3-1))</f>
        <v>52</v>
      </c>
      <c r="F236" t="str">
        <f t="shared" si="24"/>
        <v>第18级，技能冷却时间8.88秒</v>
      </c>
      <c r="G236">
        <f>VLOOKUP(C236,技能CD配置辅助表!$C$3:$J$14,8,0)-(VLOOKUP(C236,技能CD配置辅助表!$C$3:$J$14,8,0)-VLOOKUP(C236,技能CD配置辅助表!$C$2:$M$14,11,0))/(VLOOKUP(C236,技能CD配置辅助表!$C$3:$H$14,6,0)-1)*(I236-IF(I236=0,0,1))</f>
        <v>8880</v>
      </c>
      <c r="H236">
        <f ca="1">M236*'[1]0、经济设定'!$C$18*IF(E236&lt;J236,1,1)</f>
        <v>42750</v>
      </c>
      <c r="I236">
        <f t="shared" si="25"/>
        <v>18</v>
      </c>
      <c r="J236">
        <f>VLOOKUP(C236,技能CD配置辅助表!$C$3:$L$14,10,0)</f>
        <v>20</v>
      </c>
      <c r="K236">
        <f t="shared" ca="1" si="26"/>
        <v>220</v>
      </c>
      <c r="L236" s="45">
        <f t="shared" ca="1" si="28"/>
        <v>128</v>
      </c>
      <c r="M236">
        <f t="shared" ca="1" si="27"/>
        <v>855</v>
      </c>
      <c r="N236">
        <f>VLOOKUP(C236,技能CD配置辅助表!$C$3:$H$14,6,0)</f>
        <v>26</v>
      </c>
      <c r="O236">
        <f>VLOOKUP(C236,技能CD配置辅助表!$C$3:$M$14,5,0)</f>
        <v>1</v>
      </c>
      <c r="P236">
        <f ca="1">IFERROR(VLOOKUP(A236+I236-10000003,D_技能表!A:AD,30,0)*(VLOOKUP(C236,技能CD配置辅助表!$C$3:$J$14,8,0)-G236)/VLOOKUP(C236,技能CD配置辅助表!$C$3:$J$14,8,0),0)*IF(VLOOKUP(C236,技能CD配置辅助表!$C$3:$F$14,4,0)=1,1,4)</f>
        <v>132.94113450307165</v>
      </c>
      <c r="R236">
        <f t="shared" si="29"/>
        <v>1.2</v>
      </c>
    </row>
    <row r="237" spans="1:18" x14ac:dyDescent="0.15">
      <c r="A237">
        <f ca="1">VLOOKUP(B237,技能CD配置辅助表!$C$3:$K$14,9,0)+I237</f>
        <v>19311119</v>
      </c>
      <c r="B237" t="str">
        <f t="shared" si="23"/>
        <v>激光轰击</v>
      </c>
      <c r="C237" t="s">
        <v>124</v>
      </c>
      <c r="D237">
        <f>VLOOKUP(C237,技能CD配置辅助表!$C$3:$E$14,3,0)</f>
        <v>3</v>
      </c>
      <c r="E237">
        <f>IF(I237=0,1,IF(I237&lt;3,VLOOKUP(C237,技能CD配置辅助表!$C$3:$I$14,7,0)+(I237-1)*2,VLOOKUP(C237,技能CD配置辅助表!$C$3:$I$14,7,0)+(I237-1)*3-1))</f>
        <v>55</v>
      </c>
      <c r="F237" t="str">
        <f t="shared" si="24"/>
        <v>第19级，技能冷却时间8.52秒</v>
      </c>
      <c r="G237">
        <f>VLOOKUP(C237,技能CD配置辅助表!$C$3:$J$14,8,0)-(VLOOKUP(C237,技能CD配置辅助表!$C$3:$J$14,8,0)-VLOOKUP(C237,技能CD配置辅助表!$C$2:$M$14,11,0))/(VLOOKUP(C237,技能CD配置辅助表!$C$3:$H$14,6,0)-1)*(I237-IF(I237=0,0,1))</f>
        <v>8520</v>
      </c>
      <c r="H237">
        <f ca="1">M237*'[1]0、经济设定'!$C$18*IF(E237&lt;J237,1,1)</f>
        <v>50200</v>
      </c>
      <c r="I237">
        <f t="shared" si="25"/>
        <v>19</v>
      </c>
      <c r="J237">
        <f>VLOOKUP(C237,技能CD配置辅助表!$C$3:$L$14,10,0)</f>
        <v>20</v>
      </c>
      <c r="K237">
        <f t="shared" ca="1" si="26"/>
        <v>267</v>
      </c>
      <c r="L237" s="45">
        <f t="shared" ca="1" si="28"/>
        <v>149</v>
      </c>
      <c r="M237">
        <f t="shared" ca="1" si="27"/>
        <v>1004</v>
      </c>
      <c r="N237">
        <f>VLOOKUP(C237,技能CD配置辅助表!$C$3:$H$14,6,0)</f>
        <v>26</v>
      </c>
      <c r="O237">
        <f>VLOOKUP(C237,技能CD配置辅助表!$C$3:$M$14,5,0)</f>
        <v>1</v>
      </c>
      <c r="P237">
        <f ca="1">IFERROR(VLOOKUP(A237+I237-10000003,D_技能表!A:AD,30,0)*(VLOOKUP(C237,技能CD配置辅助表!$C$3:$J$14,8,0)-G237)/VLOOKUP(C237,技能CD配置辅助表!$C$3:$J$14,8,0),0)*IF(VLOOKUP(C237,技能CD配置辅助表!$C$3:$F$14,4,0)=1,1,4)</f>
        <v>186.6020932232781</v>
      </c>
      <c r="R237">
        <f t="shared" si="29"/>
        <v>1.25</v>
      </c>
    </row>
    <row r="238" spans="1:18" x14ac:dyDescent="0.15">
      <c r="A238">
        <f ca="1">VLOOKUP(B238,技能CD配置辅助表!$C$3:$K$14,9,0)+I238</f>
        <v>19311120</v>
      </c>
      <c r="B238" t="str">
        <f t="shared" si="23"/>
        <v>激光轰击</v>
      </c>
      <c r="C238" t="s">
        <v>124</v>
      </c>
      <c r="D238">
        <f>VLOOKUP(C238,技能CD配置辅助表!$C$3:$E$14,3,0)</f>
        <v>3</v>
      </c>
      <c r="E238">
        <f>IF(I238=0,1,IF(I238&lt;3,VLOOKUP(C238,技能CD配置辅助表!$C$3:$I$14,7,0)+(I238-1)*2,VLOOKUP(C238,技能CD配置辅助表!$C$3:$I$14,7,0)+(I238-1)*3-1))</f>
        <v>58</v>
      </c>
      <c r="F238" t="str">
        <f t="shared" si="24"/>
        <v>第20级，技能冷却时间8.16秒</v>
      </c>
      <c r="G238">
        <f>VLOOKUP(C238,技能CD配置辅助表!$C$3:$J$14,8,0)-(VLOOKUP(C238,技能CD配置辅助表!$C$3:$J$14,8,0)-VLOOKUP(C238,技能CD配置辅助表!$C$2:$M$14,11,0))/(VLOOKUP(C238,技能CD配置辅助表!$C$3:$H$14,6,0)-1)*(I238-IF(I238=0,0,1))</f>
        <v>8160</v>
      </c>
      <c r="H238">
        <f ca="1">M238*'[1]0、经济设定'!$C$18*IF(E238&lt;J238,1,1)</f>
        <v>58850</v>
      </c>
      <c r="I238">
        <f t="shared" si="25"/>
        <v>20</v>
      </c>
      <c r="J238">
        <f>VLOOKUP(C238,技能CD配置辅助表!$C$3:$L$14,10,0)</f>
        <v>20</v>
      </c>
      <c r="K238">
        <f t="shared" ca="1" si="26"/>
        <v>322</v>
      </c>
      <c r="L238" s="45">
        <f t="shared" ca="1" si="28"/>
        <v>173</v>
      </c>
      <c r="M238">
        <f t="shared" ca="1" si="27"/>
        <v>1177</v>
      </c>
      <c r="N238">
        <f>VLOOKUP(C238,技能CD配置辅助表!$C$3:$H$14,6,0)</f>
        <v>26</v>
      </c>
      <c r="O238">
        <f>VLOOKUP(C238,技能CD配置辅助表!$C$3:$M$14,5,0)</f>
        <v>1</v>
      </c>
      <c r="P238">
        <f ca="1">IFERROR(VLOOKUP(A238+I238-10000003,D_技能表!A:AD,30,0)*(VLOOKUP(C238,技能CD配置辅助表!$C$3:$J$14,8,0)-G238)/VLOOKUP(C238,技能CD配置辅助表!$C$3:$J$14,8,0),0)*IF(VLOOKUP(C238,技能CD配置辅助表!$C$3:$F$14,4,0)=1,1,4)</f>
        <v>260.98518995354385</v>
      </c>
      <c r="R238">
        <f t="shared" si="29"/>
        <v>1.3</v>
      </c>
    </row>
    <row r="239" spans="1:18" x14ac:dyDescent="0.15">
      <c r="A239">
        <f ca="1">VLOOKUP(B239,技能CD配置辅助表!$C$3:$K$14,9,0)+I239</f>
        <v>19311121</v>
      </c>
      <c r="B239" t="str">
        <f t="shared" si="23"/>
        <v>激光轰击</v>
      </c>
      <c r="C239" t="s">
        <v>124</v>
      </c>
      <c r="D239">
        <f>VLOOKUP(C239,技能CD配置辅助表!$C$3:$E$14,3,0)</f>
        <v>3</v>
      </c>
      <c r="E239">
        <f>IF(I239=0,1,IF(I239&lt;3,VLOOKUP(C239,技能CD配置辅助表!$C$3:$I$14,7,0)+(I239-1)*2,VLOOKUP(C239,技能CD配置辅助表!$C$3:$I$14,7,0)+(I239-1)*3-1))</f>
        <v>61</v>
      </c>
      <c r="F239" t="str">
        <f t="shared" si="24"/>
        <v>第21级，技能冷却时间7.8秒</v>
      </c>
      <c r="G239">
        <f>VLOOKUP(C239,技能CD配置辅助表!$C$3:$J$14,8,0)-(VLOOKUP(C239,技能CD配置辅助表!$C$3:$J$14,8,0)-VLOOKUP(C239,技能CD配置辅助表!$C$2:$M$14,11,0))/(VLOOKUP(C239,技能CD配置辅助表!$C$3:$H$14,6,0)-1)*(I239-IF(I239=0,0,1))</f>
        <v>7800</v>
      </c>
      <c r="H239">
        <f ca="1">M239*'[1]0、经济设定'!$C$18*IF(E239&lt;J239,1,1)</f>
        <v>68900</v>
      </c>
      <c r="I239">
        <f t="shared" si="25"/>
        <v>21</v>
      </c>
      <c r="J239">
        <f>VLOOKUP(C239,技能CD配置辅助表!$C$3:$L$14,10,0)</f>
        <v>20</v>
      </c>
      <c r="K239">
        <f t="shared" ca="1" si="26"/>
        <v>388</v>
      </c>
      <c r="L239" s="45">
        <f t="shared" ca="1" si="28"/>
        <v>201</v>
      </c>
      <c r="M239">
        <f t="shared" ca="1" si="27"/>
        <v>1378</v>
      </c>
      <c r="N239">
        <f>VLOOKUP(C239,技能CD配置辅助表!$C$3:$H$14,6,0)</f>
        <v>26</v>
      </c>
      <c r="O239">
        <f>VLOOKUP(C239,技能CD配置辅助表!$C$3:$M$14,5,0)</f>
        <v>1</v>
      </c>
      <c r="P239">
        <f ca="1">IFERROR(VLOOKUP(A239+I239-10000003,D_技能表!A:AD,30,0)*(VLOOKUP(C239,技能CD配置辅助表!$C$3:$J$14,8,0)-G239)/VLOOKUP(C239,技能CD配置辅助表!$C$3:$J$14,8,0),0)*IF(VLOOKUP(C239,技能CD配置辅助表!$C$3:$F$14,4,0)=1,1,4)</f>
        <v>363.83502171403296</v>
      </c>
      <c r="R239">
        <f t="shared" si="29"/>
        <v>1.35</v>
      </c>
    </row>
    <row r="240" spans="1:18" x14ac:dyDescent="0.15">
      <c r="A240">
        <f ca="1">VLOOKUP(B240,技能CD配置辅助表!$C$3:$K$14,9,0)+I240</f>
        <v>19311122</v>
      </c>
      <c r="B240" t="str">
        <f t="shared" si="23"/>
        <v>激光轰击</v>
      </c>
      <c r="C240" t="s">
        <v>124</v>
      </c>
      <c r="D240">
        <f>VLOOKUP(C240,技能CD配置辅助表!$C$3:$E$14,3,0)</f>
        <v>3</v>
      </c>
      <c r="E240">
        <f>IF(I240=0,1,IF(I240&lt;3,VLOOKUP(C240,技能CD配置辅助表!$C$3:$I$14,7,0)+(I240-1)*2,VLOOKUP(C240,技能CD配置辅助表!$C$3:$I$14,7,0)+(I240-1)*3-1))</f>
        <v>64</v>
      </c>
      <c r="F240" t="str">
        <f t="shared" si="24"/>
        <v>第22级，技能冷却时间7.44秒</v>
      </c>
      <c r="G240">
        <f>VLOOKUP(C240,技能CD配置辅助表!$C$3:$J$14,8,0)-(VLOOKUP(C240,技能CD配置辅助表!$C$3:$J$14,8,0)-VLOOKUP(C240,技能CD配置辅助表!$C$2:$M$14,11,0))/(VLOOKUP(C240,技能CD配置辅助表!$C$3:$H$14,6,0)-1)*(I240-IF(I240=0,0,1))</f>
        <v>7440</v>
      </c>
      <c r="H240">
        <f ca="1">M240*'[1]0、经济设定'!$C$18*IF(E240&lt;J240,1,1)</f>
        <v>80550</v>
      </c>
      <c r="I240">
        <f t="shared" si="25"/>
        <v>22</v>
      </c>
      <c r="J240">
        <f>VLOOKUP(C240,技能CD配置辅助表!$C$3:$L$14,10,0)</f>
        <v>20</v>
      </c>
      <c r="K240">
        <f t="shared" ca="1" si="26"/>
        <v>466</v>
      </c>
      <c r="L240" s="45">
        <f t="shared" ca="1" si="28"/>
        <v>233</v>
      </c>
      <c r="M240">
        <f t="shared" ca="1" si="27"/>
        <v>1611</v>
      </c>
      <c r="N240">
        <f>VLOOKUP(C240,技能CD配置辅助表!$C$3:$H$14,6,0)</f>
        <v>26</v>
      </c>
      <c r="O240">
        <f>VLOOKUP(C240,技能CD配置辅助表!$C$3:$M$14,5,0)</f>
        <v>1</v>
      </c>
      <c r="P240">
        <f ca="1">IFERROR(VLOOKUP(A240+I240-10000003,D_技能表!A:AD,30,0)*(VLOOKUP(C240,技能CD配置辅助表!$C$3:$J$14,8,0)-G240)/VLOOKUP(C240,技能CD配置辅助表!$C$3:$J$14,8,0),0)*IF(VLOOKUP(C240,技能CD配置辅助表!$C$3:$F$14,4,0)=1,1,4)</f>
        <v>505.71835769596413</v>
      </c>
      <c r="R240">
        <f t="shared" si="29"/>
        <v>1.4</v>
      </c>
    </row>
    <row r="241" spans="1:18" x14ac:dyDescent="0.15">
      <c r="A241">
        <f ca="1">VLOOKUP(B241,技能CD配置辅助表!$C$3:$K$14,9,0)+I241</f>
        <v>19311123</v>
      </c>
      <c r="B241" t="str">
        <f t="shared" si="23"/>
        <v>激光轰击</v>
      </c>
      <c r="C241" t="s">
        <v>124</v>
      </c>
      <c r="D241">
        <f>VLOOKUP(C241,技能CD配置辅助表!$C$3:$E$14,3,0)</f>
        <v>3</v>
      </c>
      <c r="E241">
        <f>IF(I241=0,1,IF(I241&lt;3,VLOOKUP(C241,技能CD配置辅助表!$C$3:$I$14,7,0)+(I241-1)*2,VLOOKUP(C241,技能CD配置辅助表!$C$3:$I$14,7,0)+(I241-1)*3-1))</f>
        <v>67</v>
      </c>
      <c r="F241" t="str">
        <f t="shared" si="24"/>
        <v>第23级，技能冷却时间7.08秒</v>
      </c>
      <c r="G241">
        <f>VLOOKUP(C241,技能CD配置辅助表!$C$3:$J$14,8,0)-(VLOOKUP(C241,技能CD配置辅助表!$C$3:$J$14,8,0)-VLOOKUP(C241,技能CD配置辅助表!$C$2:$M$14,11,0))/(VLOOKUP(C241,技能CD配置辅助表!$C$3:$H$14,6,0)-1)*(I241-IF(I241=0,0,1))</f>
        <v>7080</v>
      </c>
      <c r="H241">
        <f ca="1">M241*'[1]0、经济设定'!$C$18*IF(E241&lt;J241,1,1)</f>
        <v>94050</v>
      </c>
      <c r="I241">
        <f t="shared" si="25"/>
        <v>23</v>
      </c>
      <c r="J241">
        <f>VLOOKUP(C241,技能CD配置辅助表!$C$3:$L$14,10,0)</f>
        <v>20</v>
      </c>
      <c r="K241">
        <f t="shared" ca="1" si="26"/>
        <v>560</v>
      </c>
      <c r="L241" s="45">
        <f t="shared" ca="1" si="28"/>
        <v>270</v>
      </c>
      <c r="M241">
        <f t="shared" ca="1" si="27"/>
        <v>1881</v>
      </c>
      <c r="N241">
        <f>VLOOKUP(C241,技能CD配置辅助表!$C$3:$H$14,6,0)</f>
        <v>26</v>
      </c>
      <c r="O241">
        <f>VLOOKUP(C241,技能CD配置辅助表!$C$3:$M$14,5,0)</f>
        <v>1</v>
      </c>
      <c r="P241">
        <f ca="1">IFERROR(VLOOKUP(A241+I241-10000003,D_技能表!A:AD,30,0)*(VLOOKUP(C241,技能CD配置辅助表!$C$3:$J$14,8,0)-G241)/VLOOKUP(C241,技能CD配置辅助表!$C$3:$J$14,8,0),0)*IF(VLOOKUP(C241,技能CD配置辅助表!$C$3:$F$14,4,0)=1,1,4)</f>
        <v>701.03201526614453</v>
      </c>
      <c r="R241">
        <f t="shared" si="29"/>
        <v>1.45</v>
      </c>
    </row>
    <row r="242" spans="1:18" x14ac:dyDescent="0.15">
      <c r="A242">
        <f ca="1">VLOOKUP(B242,技能CD配置辅助表!$C$3:$K$14,9,0)+I242</f>
        <v>19311124</v>
      </c>
      <c r="B242" t="str">
        <f t="shared" si="23"/>
        <v>激光轰击</v>
      </c>
      <c r="C242" t="s">
        <v>124</v>
      </c>
      <c r="D242">
        <f>VLOOKUP(C242,技能CD配置辅助表!$C$3:$E$14,3,0)</f>
        <v>3</v>
      </c>
      <c r="E242">
        <f>IF(I242=0,1,IF(I242&lt;3,VLOOKUP(C242,技能CD配置辅助表!$C$3:$I$14,7,0)+(I242-1)*2,VLOOKUP(C242,技能CD配置辅助表!$C$3:$I$14,7,0)+(I242-1)*3-1))</f>
        <v>70</v>
      </c>
      <c r="F242" t="str">
        <f t="shared" si="24"/>
        <v>第24级，技能冷却时间6.72秒</v>
      </c>
      <c r="G242">
        <f>VLOOKUP(C242,技能CD配置辅助表!$C$3:$J$14,8,0)-(VLOOKUP(C242,技能CD配置辅助表!$C$3:$J$14,8,0)-VLOOKUP(C242,技能CD配置辅助表!$C$2:$M$14,11,0))/(VLOOKUP(C242,技能CD配置辅助表!$C$3:$H$14,6,0)-1)*(I242-IF(I242=0,0,1))</f>
        <v>6720</v>
      </c>
      <c r="H242">
        <f ca="1">M242*'[1]0、经济设定'!$C$18*IF(E242&lt;J242,1,1)</f>
        <v>109700</v>
      </c>
      <c r="I242">
        <f t="shared" si="25"/>
        <v>24</v>
      </c>
      <c r="J242">
        <f>VLOOKUP(C242,技能CD配置辅助表!$C$3:$L$14,10,0)</f>
        <v>20</v>
      </c>
      <c r="K242">
        <f t="shared" ca="1" si="26"/>
        <v>671</v>
      </c>
      <c r="L242" s="45">
        <f t="shared" ca="1" si="28"/>
        <v>313</v>
      </c>
      <c r="M242">
        <f t="shared" ca="1" si="27"/>
        <v>2194</v>
      </c>
      <c r="N242">
        <f>VLOOKUP(C242,技能CD配置辅助表!$C$3:$H$14,6,0)</f>
        <v>26</v>
      </c>
      <c r="O242">
        <f>VLOOKUP(C242,技能CD配置辅助表!$C$3:$M$14,5,0)</f>
        <v>1</v>
      </c>
      <c r="P242">
        <f ca="1">IFERROR(VLOOKUP(A242+I242-10000003,D_技能表!A:AD,30,0)*(VLOOKUP(C242,技能CD配置辅助表!$C$3:$J$14,8,0)-G242)/VLOOKUP(C242,技能CD配置辅助表!$C$3:$J$14,8,0),0)*IF(VLOOKUP(C242,技能CD配置辅助表!$C$3:$F$14,4,0)=1,1,4)</f>
        <v>969.36478566440007</v>
      </c>
      <c r="R242">
        <f t="shared" si="29"/>
        <v>1.5</v>
      </c>
    </row>
    <row r="243" spans="1:18" x14ac:dyDescent="0.15">
      <c r="A243">
        <f ca="1">VLOOKUP(B243,技能CD配置辅助表!$C$3:$K$14,9,0)+I243</f>
        <v>19311125</v>
      </c>
      <c r="B243" t="str">
        <f t="shared" si="23"/>
        <v>激光轰击</v>
      </c>
      <c r="C243" t="s">
        <v>124</v>
      </c>
      <c r="D243">
        <f>VLOOKUP(C243,技能CD配置辅助表!$C$3:$E$14,3,0)</f>
        <v>3</v>
      </c>
      <c r="E243">
        <f>IF(I243=0,1,IF(I243&lt;3,VLOOKUP(C243,技能CD配置辅助表!$C$3:$I$14,7,0)+(I243-1)*2,VLOOKUP(C243,技能CD配置辅助表!$C$3:$I$14,7,0)+(I243-1)*3-1))</f>
        <v>73</v>
      </c>
      <c r="F243" t="str">
        <f t="shared" si="24"/>
        <v>第25级，技能冷却时间6.36秒</v>
      </c>
      <c r="G243">
        <f>VLOOKUP(C243,技能CD配置辅助表!$C$3:$J$14,8,0)-(VLOOKUP(C243,技能CD配置辅助表!$C$3:$J$14,8,0)-VLOOKUP(C243,技能CD配置辅助表!$C$2:$M$14,11,0))/(VLOOKUP(C243,技能CD配置辅助表!$C$3:$H$14,6,0)-1)*(I243-IF(I243=0,0,1))</f>
        <v>6360</v>
      </c>
      <c r="H243">
        <f ca="1">M243*'[1]0、经济设定'!$C$18*IF(E243&lt;J243,1,1)</f>
        <v>127850</v>
      </c>
      <c r="I243">
        <f t="shared" si="25"/>
        <v>25</v>
      </c>
      <c r="J243">
        <f>VLOOKUP(C243,技能CD配置辅助表!$C$3:$L$14,10,0)</f>
        <v>20</v>
      </c>
      <c r="K243">
        <f t="shared" ca="1" si="26"/>
        <v>804</v>
      </c>
      <c r="L243" s="45">
        <f t="shared" ca="1" si="28"/>
        <v>363</v>
      </c>
      <c r="M243">
        <f t="shared" ca="1" si="27"/>
        <v>2557</v>
      </c>
      <c r="N243">
        <f>VLOOKUP(C243,技能CD配置辅助表!$C$3:$H$14,6,0)</f>
        <v>26</v>
      </c>
      <c r="O243">
        <f>VLOOKUP(C243,技能CD配置辅助表!$C$3:$M$14,5,0)</f>
        <v>1</v>
      </c>
      <c r="P243">
        <f ca="1">IFERROR(VLOOKUP(A243+I243-10000003,D_技能表!A:AD,30,0)*(VLOOKUP(C243,技能CD配置辅助表!$C$3:$J$14,8,0)-G243)/VLOOKUP(C243,技能CD配置辅助表!$C$3:$J$14,8,0),0)*IF(VLOOKUP(C243,技能CD配置辅助表!$C$3:$F$14,4,0)=1,1,4)</f>
        <v>1337.3360806032413</v>
      </c>
      <c r="R243">
        <f t="shared" si="29"/>
        <v>1.55</v>
      </c>
    </row>
    <row r="244" spans="1:18" x14ac:dyDescent="0.15">
      <c r="A244">
        <f ca="1">VLOOKUP(B244,技能CD配置辅助表!$C$3:$K$14,9,0)+I244</f>
        <v>19311126</v>
      </c>
      <c r="B244" t="str">
        <f t="shared" si="23"/>
        <v>激光轰击</v>
      </c>
      <c r="C244" t="s">
        <v>124</v>
      </c>
      <c r="D244">
        <f>VLOOKUP(C244,技能CD配置辅助表!$C$3:$E$14,3,0)</f>
        <v>3</v>
      </c>
      <c r="E244">
        <f>IF(I244=0,1,IF(I244&lt;3,VLOOKUP(C244,技能CD配置辅助表!$C$3:$I$14,7,0)+(I244-1)*2,VLOOKUP(C244,技能CD配置辅助表!$C$3:$I$14,7,0)+(I244-1)*3-1))</f>
        <v>76</v>
      </c>
      <c r="F244" t="str">
        <f t="shared" si="24"/>
        <v>第26级，技能冷却时间6秒</v>
      </c>
      <c r="G244">
        <f>VLOOKUP(C244,技能CD配置辅助表!$C$3:$J$14,8,0)-(VLOOKUP(C244,技能CD配置辅助表!$C$3:$J$14,8,0)-VLOOKUP(C244,技能CD配置辅助表!$C$2:$M$14,11,0))/(VLOOKUP(C244,技能CD配置辅助表!$C$3:$H$14,6,0)-1)*(I244-IF(I244=0,0,1))</f>
        <v>6000</v>
      </c>
      <c r="H244">
        <f ca="1">M244*'[1]0、经济设定'!$C$18*IF(E244&lt;J244,1,1)</f>
        <v>148900</v>
      </c>
      <c r="I244">
        <f t="shared" si="25"/>
        <v>26</v>
      </c>
      <c r="J244">
        <f>VLOOKUP(C244,技能CD配置辅助表!$C$3:$L$14,10,0)</f>
        <v>20</v>
      </c>
      <c r="K244">
        <f t="shared" ca="1" si="26"/>
        <v>963</v>
      </c>
      <c r="L244" s="45">
        <f t="shared" ca="1" si="28"/>
        <v>421</v>
      </c>
      <c r="M244">
        <f t="shared" ca="1" si="27"/>
        <v>2978</v>
      </c>
      <c r="N244">
        <f>VLOOKUP(C244,技能CD配置辅助表!$C$3:$H$14,6,0)</f>
        <v>26</v>
      </c>
      <c r="O244">
        <f>VLOOKUP(C244,技能CD配置辅助表!$C$3:$M$14,5,0)</f>
        <v>1</v>
      </c>
      <c r="P244">
        <f ca="1">IFERROR(VLOOKUP(A244+I244-10000003,D_技能表!A:AD,30,0)*(VLOOKUP(C244,技能CD配置辅助表!$C$3:$J$14,8,0)-G244)/VLOOKUP(C244,技能CD配置辅助表!$C$3:$J$14,8,0),0)*IF(VLOOKUP(C244,技能CD配置辅助表!$C$3:$F$14,4,0)=1,1,4)</f>
        <v>1841.0759809802723</v>
      </c>
      <c r="R244">
        <f t="shared" si="29"/>
        <v>1.6</v>
      </c>
    </row>
    <row r="245" spans="1:18" x14ac:dyDescent="0.15">
      <c r="A245">
        <f ca="1">VLOOKUP(B245,技能CD配置辅助表!$C$3:$K$14,9,0)+I245</f>
        <v>19322100</v>
      </c>
      <c r="B245" t="str">
        <f t="shared" si="23"/>
        <v>玫瑰之舞</v>
      </c>
      <c r="C245" t="s">
        <v>187</v>
      </c>
      <c r="D245">
        <f>VLOOKUP(C245,技能CD配置辅助表!$C$3:$E$14,3,0)</f>
        <v>3</v>
      </c>
      <c r="E245">
        <f>IF(I245=0,1,IF(I245&lt;3,VLOOKUP(C245,技能CD配置辅助表!$C$3:$I$14,7,0)+(I245-1)*2,VLOOKUP(C245,技能CD配置辅助表!$C$3:$I$14,7,0)+(I245-1)*3-1))</f>
        <v>1</v>
      </c>
      <c r="F245" t="str">
        <f t="shared" si="24"/>
        <v>第0级，技能冷却时间15秒</v>
      </c>
      <c r="G245">
        <f>VLOOKUP(C245,技能CD配置辅助表!$C$3:$J$14,8,0)-(VLOOKUP(C245,技能CD配置辅助表!$C$3:$J$14,8,0)-VLOOKUP(C245,技能CD配置辅助表!$C$2:$M$14,11,0))/(VLOOKUP(C245,技能CD配置辅助表!$C$3:$H$14,6,0)-1)*(I245-IF(I245=0,0,1))</f>
        <v>15000</v>
      </c>
      <c r="H245">
        <f>M245*'[1]0、经济设定'!$C$18*IF(E245&lt;J245,1,1)</f>
        <v>0</v>
      </c>
      <c r="I245">
        <f t="shared" si="25"/>
        <v>0</v>
      </c>
      <c r="J245">
        <f>VLOOKUP(C245,技能CD配置辅助表!$C$3:$L$14,10,0)</f>
        <v>20</v>
      </c>
      <c r="K245">
        <f t="shared" si="26"/>
        <v>0</v>
      </c>
      <c r="L245" s="45">
        <f t="shared" ca="1" si="28"/>
        <v>0</v>
      </c>
      <c r="M245">
        <f t="shared" si="27"/>
        <v>0</v>
      </c>
      <c r="N245">
        <f>VLOOKUP(C245,技能CD配置辅助表!$C$3:$H$14,6,0)</f>
        <v>26</v>
      </c>
      <c r="O245">
        <f>VLOOKUP(C245,技能CD配置辅助表!$C$3:$M$14,5,0)</f>
        <v>2</v>
      </c>
      <c r="P245">
        <f ca="1">IFERROR(VLOOKUP(A245+I245-10000003,D_技能表!A:AD,30,0)*(VLOOKUP(C245,技能CD配置辅助表!$C$3:$J$14,8,0)-G245)/VLOOKUP(C245,技能CD配置辅助表!$C$3:$J$14,8,0),0)*IF(VLOOKUP(C245,技能CD配置辅助表!$C$3:$F$14,4,0)=1,1,4)</f>
        <v>0</v>
      </c>
      <c r="R245">
        <f t="shared" si="29"/>
        <v>0</v>
      </c>
    </row>
    <row r="246" spans="1:18" x14ac:dyDescent="0.15">
      <c r="A246">
        <f ca="1">VLOOKUP(B246,技能CD配置辅助表!$C$3:$K$14,9,0)+I246</f>
        <v>19322101</v>
      </c>
      <c r="B246" t="str">
        <f t="shared" si="23"/>
        <v>玫瑰之舞</v>
      </c>
      <c r="C246" t="s">
        <v>187</v>
      </c>
      <c r="D246">
        <f>VLOOKUP(C246,技能CD配置辅助表!$C$3:$E$14,3,0)</f>
        <v>3</v>
      </c>
      <c r="E246">
        <f>IF(I246=0,1,IF(I246&lt;3,VLOOKUP(C246,技能CD配置辅助表!$C$3:$I$14,7,0)+(I246-1)*2,VLOOKUP(C246,技能CD配置辅助表!$C$3:$I$14,7,0)+(I246-1)*3-1))</f>
        <v>4</v>
      </c>
      <c r="F246" t="str">
        <f t="shared" si="24"/>
        <v>第1级，技能冷却时间15秒</v>
      </c>
      <c r="G246">
        <f>VLOOKUP(C246,技能CD配置辅助表!$C$3:$J$14,8,0)-(VLOOKUP(C246,技能CD配置辅助表!$C$3:$J$14,8,0)-VLOOKUP(C246,技能CD配置辅助表!$C$2:$M$14,11,0))/(VLOOKUP(C246,技能CD配置辅助表!$C$3:$H$14,6,0)-1)*(I246-IF(I246=0,0,1))</f>
        <v>15000</v>
      </c>
      <c r="H246">
        <f ca="1">M246*'[1]0、经济设定'!$C$18*IF(E246&lt;J246,1,1)</f>
        <v>0</v>
      </c>
      <c r="I246">
        <f t="shared" si="25"/>
        <v>1</v>
      </c>
      <c r="J246">
        <f>VLOOKUP(C246,技能CD配置辅助表!$C$3:$L$14,10,0)</f>
        <v>20</v>
      </c>
      <c r="K246">
        <f t="shared" si="26"/>
        <v>0</v>
      </c>
      <c r="L246" s="45">
        <f t="shared" ca="1" si="28"/>
        <v>0</v>
      </c>
      <c r="M246">
        <f t="shared" ca="1" si="27"/>
        <v>0</v>
      </c>
      <c r="N246">
        <f>VLOOKUP(C246,技能CD配置辅助表!$C$3:$H$14,6,0)</f>
        <v>26</v>
      </c>
      <c r="O246">
        <f>VLOOKUP(C246,技能CD配置辅助表!$C$3:$M$14,5,0)</f>
        <v>2</v>
      </c>
      <c r="P246">
        <f ca="1">IFERROR(VLOOKUP(A246+I246-10000003,D_技能表!A:AD,30,0)*(VLOOKUP(C246,技能CD配置辅助表!$C$3:$J$14,8,0)-G246)/VLOOKUP(C246,技能CD配置辅助表!$C$3:$J$14,8,0),0)*IF(VLOOKUP(C246,技能CD配置辅助表!$C$3:$F$14,4,0)=1,1,4)</f>
        <v>0</v>
      </c>
      <c r="R246">
        <f t="shared" si="29"/>
        <v>0</v>
      </c>
    </row>
    <row r="247" spans="1:18" x14ac:dyDescent="0.15">
      <c r="A247">
        <f ca="1">VLOOKUP(B247,技能CD配置辅助表!$C$3:$K$14,9,0)+I247</f>
        <v>19322102</v>
      </c>
      <c r="B247" t="str">
        <f t="shared" si="23"/>
        <v>玫瑰之舞</v>
      </c>
      <c r="C247" t="s">
        <v>187</v>
      </c>
      <c r="D247">
        <f>VLOOKUP(C247,技能CD配置辅助表!$C$3:$E$14,3,0)</f>
        <v>3</v>
      </c>
      <c r="E247">
        <f>IF(I247=0,1,IF(I247&lt;3,VLOOKUP(C247,技能CD配置辅助表!$C$3:$I$14,7,0)+(I247-1)*2,VLOOKUP(C247,技能CD配置辅助表!$C$3:$I$14,7,0)+(I247-1)*3-1))</f>
        <v>6</v>
      </c>
      <c r="F247" t="str">
        <f t="shared" si="24"/>
        <v>第2级，技能冷却时间14.6秒</v>
      </c>
      <c r="G247">
        <f>VLOOKUP(C247,技能CD配置辅助表!$C$3:$J$14,8,0)-(VLOOKUP(C247,技能CD配置辅助表!$C$3:$J$14,8,0)-VLOOKUP(C247,技能CD配置辅助表!$C$2:$M$14,11,0))/(VLOOKUP(C247,技能CD配置辅助表!$C$3:$H$14,6,0)-1)*(I247-IF(I247=0,0,1))</f>
        <v>14600</v>
      </c>
      <c r="H247">
        <f ca="1">M247*'[1]0、经济设定'!$C$18*IF(E247&lt;J247,1,1)</f>
        <v>1150</v>
      </c>
      <c r="I247">
        <f t="shared" si="25"/>
        <v>2</v>
      </c>
      <c r="J247">
        <f>VLOOKUP(C247,技能CD配置辅助表!$C$3:$L$14,10,0)</f>
        <v>20</v>
      </c>
      <c r="K247">
        <f t="shared" si="26"/>
        <v>0</v>
      </c>
      <c r="L247" s="45">
        <f t="shared" ca="1" si="28"/>
        <v>23</v>
      </c>
      <c r="M247">
        <f t="shared" ca="1" si="27"/>
        <v>23</v>
      </c>
      <c r="N247">
        <f>VLOOKUP(C247,技能CD配置辅助表!$C$3:$H$14,6,0)</f>
        <v>26</v>
      </c>
      <c r="O247">
        <f>VLOOKUP(C247,技能CD配置辅助表!$C$3:$M$14,5,0)</f>
        <v>2</v>
      </c>
      <c r="P247">
        <f ca="1">IFERROR(VLOOKUP(A247+I247-10000003,D_技能表!A:AD,30,0)*(VLOOKUP(C247,技能CD配置辅助表!$C$3:$J$14,8,0)-G247)/VLOOKUP(C247,技能CD配置辅助表!$C$3:$J$14,8,0),0)*IF(VLOOKUP(C247,技能CD配置辅助表!$C$3:$F$14,4,0)=1,1,4)</f>
        <v>9.2521425158986106E-2</v>
      </c>
      <c r="R247">
        <f t="shared" si="29"/>
        <v>0</v>
      </c>
    </row>
    <row r="248" spans="1:18" x14ac:dyDescent="0.15">
      <c r="A248">
        <f ca="1">VLOOKUP(B248,技能CD配置辅助表!$C$3:$K$14,9,0)+I248</f>
        <v>19322103</v>
      </c>
      <c r="B248" t="str">
        <f t="shared" si="23"/>
        <v>玫瑰之舞</v>
      </c>
      <c r="C248" t="s">
        <v>187</v>
      </c>
      <c r="D248">
        <f>VLOOKUP(C248,技能CD配置辅助表!$C$3:$E$14,3,0)</f>
        <v>3</v>
      </c>
      <c r="E248">
        <f>IF(I248=0,1,IF(I248&lt;3,VLOOKUP(C248,技能CD配置辅助表!$C$3:$I$14,7,0)+(I248-1)*2,VLOOKUP(C248,技能CD配置辅助表!$C$3:$I$14,7,0)+(I248-1)*3-1))</f>
        <v>9</v>
      </c>
      <c r="F248" t="str">
        <f t="shared" si="24"/>
        <v>第3级，技能冷却时间14.2秒</v>
      </c>
      <c r="G248">
        <f>VLOOKUP(C248,技能CD配置辅助表!$C$3:$J$14,8,0)-(VLOOKUP(C248,技能CD配置辅助表!$C$3:$J$14,8,0)-VLOOKUP(C248,技能CD配置辅助表!$C$2:$M$14,11,0))/(VLOOKUP(C248,技能CD配置辅助表!$C$3:$H$14,6,0)-1)*(I248-IF(I248=0,0,1))</f>
        <v>14200</v>
      </c>
      <c r="H248">
        <f ca="1">M248*'[1]0、经济设定'!$C$18*IF(E248&lt;J248,1,1)</f>
        <v>2450</v>
      </c>
      <c r="I248">
        <f t="shared" si="25"/>
        <v>3</v>
      </c>
      <c r="J248">
        <f>VLOOKUP(C248,技能CD配置辅助表!$C$3:$L$14,10,0)</f>
        <v>20</v>
      </c>
      <c r="K248">
        <f t="shared" si="26"/>
        <v>0</v>
      </c>
      <c r="L248" s="45">
        <f t="shared" ca="1" si="28"/>
        <v>26</v>
      </c>
      <c r="M248">
        <f t="shared" ca="1" si="27"/>
        <v>49</v>
      </c>
      <c r="N248">
        <f>VLOOKUP(C248,技能CD配置辅助表!$C$3:$H$14,6,0)</f>
        <v>26</v>
      </c>
      <c r="O248">
        <f>VLOOKUP(C248,技能CD配置辅助表!$C$3:$M$14,5,0)</f>
        <v>2</v>
      </c>
      <c r="P248">
        <f ca="1">IFERROR(VLOOKUP(A248+I248-10000003,D_技能表!A:AD,30,0)*(VLOOKUP(C248,技能CD配置辅助表!$C$3:$J$14,8,0)-G248)/VLOOKUP(C248,技能CD配置辅助表!$C$3:$J$14,8,0),0)*IF(VLOOKUP(C248,技能CD配置辅助表!$C$3:$F$14,4,0)=1,1,4)</f>
        <v>0.26893777296187316</v>
      </c>
      <c r="R248">
        <f t="shared" si="29"/>
        <v>0</v>
      </c>
    </row>
    <row r="249" spans="1:18" x14ac:dyDescent="0.15">
      <c r="A249">
        <f ca="1">VLOOKUP(B249,技能CD配置辅助表!$C$3:$K$14,9,0)+I249</f>
        <v>19322104</v>
      </c>
      <c r="B249" t="str">
        <f t="shared" si="23"/>
        <v>玫瑰之舞</v>
      </c>
      <c r="C249" t="s">
        <v>187</v>
      </c>
      <c r="D249">
        <f>VLOOKUP(C249,技能CD配置辅助表!$C$3:$E$14,3,0)</f>
        <v>3</v>
      </c>
      <c r="E249">
        <f>IF(I249=0,1,IF(I249&lt;3,VLOOKUP(C249,技能CD配置辅助表!$C$3:$I$14,7,0)+(I249-1)*2,VLOOKUP(C249,技能CD配置辅助表!$C$3:$I$14,7,0)+(I249-1)*3-1))</f>
        <v>12</v>
      </c>
      <c r="F249" t="str">
        <f t="shared" si="24"/>
        <v>第4级，技能冷却时间13.8秒</v>
      </c>
      <c r="G249">
        <f>VLOOKUP(C249,技能CD配置辅助表!$C$3:$J$14,8,0)-(VLOOKUP(C249,技能CD配置辅助表!$C$3:$J$14,8,0)-VLOOKUP(C249,技能CD配置辅助表!$C$2:$M$14,11,0))/(VLOOKUP(C249,技能CD配置辅助表!$C$3:$H$14,6,0)-1)*(I249-IF(I249=0,0,1))</f>
        <v>13800</v>
      </c>
      <c r="H249">
        <f ca="1">M249*'[1]0、经济设定'!$C$18*IF(E249&lt;J249,1,1)</f>
        <v>4000</v>
      </c>
      <c r="I249">
        <f t="shared" si="25"/>
        <v>4</v>
      </c>
      <c r="J249">
        <f>VLOOKUP(C249,技能CD配置辅助表!$C$3:$L$14,10,0)</f>
        <v>20</v>
      </c>
      <c r="K249">
        <f t="shared" si="26"/>
        <v>0</v>
      </c>
      <c r="L249" s="45">
        <f t="shared" ca="1" si="28"/>
        <v>31</v>
      </c>
      <c r="M249">
        <f t="shared" ca="1" si="27"/>
        <v>80</v>
      </c>
      <c r="N249">
        <f>VLOOKUP(C249,技能CD配置辅助表!$C$3:$H$14,6,0)</f>
        <v>26</v>
      </c>
      <c r="O249">
        <f>VLOOKUP(C249,技能CD配置辅助表!$C$3:$M$14,5,0)</f>
        <v>2</v>
      </c>
      <c r="P249">
        <f ca="1">IFERROR(VLOOKUP(A249+I249-10000003,D_技能表!A:AD,30,0)*(VLOOKUP(C249,技能CD配置辅助表!$C$3:$J$14,8,0)-G249)/VLOOKUP(C249,技能CD配置辅助表!$C$3:$J$14,8,0),0)*IF(VLOOKUP(C249,技能CD配置辅助表!$C$3:$F$14,4,0)=1,1,4)</f>
        <v>0.56058677168619497</v>
      </c>
      <c r="R249">
        <f t="shared" si="29"/>
        <v>0</v>
      </c>
    </row>
    <row r="250" spans="1:18" x14ac:dyDescent="0.15">
      <c r="A250">
        <f ca="1">VLOOKUP(B250,技能CD配置辅助表!$C$3:$K$14,9,0)+I250</f>
        <v>19322105</v>
      </c>
      <c r="B250" t="str">
        <f t="shared" si="23"/>
        <v>玫瑰之舞</v>
      </c>
      <c r="C250" t="s">
        <v>187</v>
      </c>
      <c r="D250">
        <f>VLOOKUP(C250,技能CD配置辅助表!$C$3:$E$14,3,0)</f>
        <v>3</v>
      </c>
      <c r="E250">
        <f>IF(I250=0,1,IF(I250&lt;3,VLOOKUP(C250,技能CD配置辅助表!$C$3:$I$14,7,0)+(I250-1)*2,VLOOKUP(C250,技能CD配置辅助表!$C$3:$I$14,7,0)+(I250-1)*3-1))</f>
        <v>15</v>
      </c>
      <c r="F250" t="str">
        <f t="shared" si="24"/>
        <v>第5级，技能冷却时间13.4秒</v>
      </c>
      <c r="G250">
        <f>VLOOKUP(C250,技能CD配置辅助表!$C$3:$J$14,8,0)-(VLOOKUP(C250,技能CD配置辅助表!$C$3:$J$14,8,0)-VLOOKUP(C250,技能CD配置辅助表!$C$2:$M$14,11,0))/(VLOOKUP(C250,技能CD配置辅助表!$C$3:$H$14,6,0)-1)*(I250-IF(I250=0,0,1))</f>
        <v>13400</v>
      </c>
      <c r="H250">
        <f ca="1">M250*'[1]0、经济设定'!$C$18*IF(E250&lt;J250,1,1)</f>
        <v>5800</v>
      </c>
      <c r="I250">
        <f t="shared" si="25"/>
        <v>5</v>
      </c>
      <c r="J250">
        <f>VLOOKUP(C250,技能CD配置辅助表!$C$3:$L$14,10,0)</f>
        <v>20</v>
      </c>
      <c r="K250">
        <f t="shared" si="26"/>
        <v>0</v>
      </c>
      <c r="L250" s="45">
        <f t="shared" ca="1" si="28"/>
        <v>36</v>
      </c>
      <c r="M250">
        <f t="shared" ca="1" si="27"/>
        <v>116</v>
      </c>
      <c r="N250">
        <f>VLOOKUP(C250,技能CD配置辅助表!$C$3:$H$14,6,0)</f>
        <v>26</v>
      </c>
      <c r="O250">
        <f>VLOOKUP(C250,技能CD配置辅助表!$C$3:$M$14,5,0)</f>
        <v>2</v>
      </c>
      <c r="P250">
        <f ca="1">IFERROR(VLOOKUP(A250+I250-10000003,D_技能表!A:AD,30,0)*(VLOOKUP(C250,技能CD配置辅助表!$C$3:$J$14,8,0)-G250)/VLOOKUP(C250,技能CD配置辅助表!$C$3:$J$14,8,0),0)*IF(VLOOKUP(C250,技能CD配置辅助表!$C$3:$F$14,4,0)=1,1,4)</f>
        <v>1.0339788240162073</v>
      </c>
      <c r="R250">
        <f t="shared" si="29"/>
        <v>0.1</v>
      </c>
    </row>
    <row r="251" spans="1:18" x14ac:dyDescent="0.15">
      <c r="A251">
        <f ca="1">VLOOKUP(B251,技能CD配置辅助表!$C$3:$K$14,9,0)+I251</f>
        <v>19322106</v>
      </c>
      <c r="B251" t="str">
        <f t="shared" si="23"/>
        <v>玫瑰之舞</v>
      </c>
      <c r="C251" t="s">
        <v>187</v>
      </c>
      <c r="D251">
        <f>VLOOKUP(C251,技能CD配置辅助表!$C$3:$E$14,3,0)</f>
        <v>3</v>
      </c>
      <c r="E251">
        <f>IF(I251=0,1,IF(I251&lt;3,VLOOKUP(C251,技能CD配置辅助表!$C$3:$I$14,7,0)+(I251-1)*2,VLOOKUP(C251,技能CD配置辅助表!$C$3:$I$14,7,0)+(I251-1)*3-1))</f>
        <v>18</v>
      </c>
      <c r="F251" t="str">
        <f t="shared" si="24"/>
        <v>第6级，技能冷却时间13秒</v>
      </c>
      <c r="G251">
        <f>VLOOKUP(C251,技能CD配置辅助表!$C$3:$J$14,8,0)-(VLOOKUP(C251,技能CD配置辅助表!$C$3:$J$14,8,0)-VLOOKUP(C251,技能CD配置辅助表!$C$2:$M$14,11,0))/(VLOOKUP(C251,技能CD配置辅助表!$C$3:$H$14,6,0)-1)*(I251-IF(I251=0,0,1))</f>
        <v>13000</v>
      </c>
      <c r="H251">
        <f ca="1">M251*'[1]0、经济设定'!$C$18*IF(E251&lt;J251,1,1)</f>
        <v>7850</v>
      </c>
      <c r="I251">
        <f t="shared" si="25"/>
        <v>6</v>
      </c>
      <c r="J251">
        <f>VLOOKUP(C251,技能CD配置辅助表!$C$3:$L$14,10,0)</f>
        <v>20</v>
      </c>
      <c r="K251">
        <f t="shared" si="26"/>
        <v>0</v>
      </c>
      <c r="L251" s="45">
        <f t="shared" ca="1" si="28"/>
        <v>41</v>
      </c>
      <c r="M251">
        <f t="shared" ca="1" si="27"/>
        <v>157</v>
      </c>
      <c r="N251">
        <f>VLOOKUP(C251,技能CD配置辅助表!$C$3:$H$14,6,0)</f>
        <v>26</v>
      </c>
      <c r="O251">
        <f>VLOOKUP(C251,技能CD配置辅助表!$C$3:$M$14,5,0)</f>
        <v>2</v>
      </c>
      <c r="P251">
        <f ca="1">IFERROR(VLOOKUP(A251+I251-10000003,D_技能表!A:AD,30,0)*(VLOOKUP(C251,技能CD配置辅助表!$C$3:$J$14,8,0)-G251)/VLOOKUP(C251,技能CD配置辅助表!$C$3:$J$14,8,0),0)*IF(VLOOKUP(C251,技能CD配置辅助表!$C$3:$F$14,4,0)=1,1,4)</f>
        <v>1.7808320176907841</v>
      </c>
      <c r="R251">
        <f t="shared" si="29"/>
        <v>0.2</v>
      </c>
    </row>
    <row r="252" spans="1:18" x14ac:dyDescent="0.15">
      <c r="A252">
        <f ca="1">VLOOKUP(B252,技能CD配置辅助表!$C$3:$K$14,9,0)+I252</f>
        <v>19322107</v>
      </c>
      <c r="B252" t="str">
        <f t="shared" si="23"/>
        <v>玫瑰之舞</v>
      </c>
      <c r="C252" t="s">
        <v>187</v>
      </c>
      <c r="D252">
        <f>VLOOKUP(C252,技能CD配置辅助表!$C$3:$E$14,3,0)</f>
        <v>3</v>
      </c>
      <c r="E252">
        <f>IF(I252=0,1,IF(I252&lt;3,VLOOKUP(C252,技能CD配置辅助表!$C$3:$I$14,7,0)+(I252-1)*2,VLOOKUP(C252,技能CD配置辅助表!$C$3:$I$14,7,0)+(I252-1)*3-1))</f>
        <v>21</v>
      </c>
      <c r="F252" t="str">
        <f t="shared" si="24"/>
        <v>第7级，技能冷却时间12.6秒</v>
      </c>
      <c r="G252">
        <f>VLOOKUP(C252,技能CD配置辅助表!$C$3:$J$14,8,0)-(VLOOKUP(C252,技能CD配置辅助表!$C$3:$J$14,8,0)-VLOOKUP(C252,技能CD配置辅助表!$C$2:$M$14,11,0))/(VLOOKUP(C252,技能CD配置辅助表!$C$3:$H$14,6,0)-1)*(I252-IF(I252=0,0,1))</f>
        <v>12600</v>
      </c>
      <c r="H252">
        <f ca="1">M252*'[1]0、经济设定'!$C$18*IF(E252&lt;J252,1,1)</f>
        <v>10250</v>
      </c>
      <c r="I252">
        <f t="shared" si="25"/>
        <v>7</v>
      </c>
      <c r="J252">
        <f>VLOOKUP(C252,技能CD配置辅助表!$C$3:$L$14,10,0)</f>
        <v>20</v>
      </c>
      <c r="K252">
        <f t="shared" ca="1" si="26"/>
        <v>21</v>
      </c>
      <c r="L252" s="45">
        <f t="shared" ca="1" si="28"/>
        <v>48</v>
      </c>
      <c r="M252">
        <f t="shared" ca="1" si="27"/>
        <v>205</v>
      </c>
      <c r="N252">
        <f>VLOOKUP(C252,技能CD配置辅助表!$C$3:$H$14,6,0)</f>
        <v>26</v>
      </c>
      <c r="O252">
        <f>VLOOKUP(C252,技能CD配置辅助表!$C$3:$M$14,5,0)</f>
        <v>2</v>
      </c>
      <c r="P252">
        <f ca="1">IFERROR(VLOOKUP(A252+I252-10000003,D_技能表!A:AD,30,0)*(VLOOKUP(C252,技能CD配置辅助表!$C$3:$J$14,8,0)-G252)/VLOOKUP(C252,技能CD配置辅助表!$C$3:$J$14,8,0),0)*IF(VLOOKUP(C252,技能CD配置辅助表!$C$3:$F$14,4,0)=1,1,4)</f>
        <v>2.9341074391811666</v>
      </c>
      <c r="R252">
        <f t="shared" si="29"/>
        <v>0.3</v>
      </c>
    </row>
    <row r="253" spans="1:18" x14ac:dyDescent="0.15">
      <c r="A253">
        <f ca="1">VLOOKUP(B253,技能CD配置辅助表!$C$3:$K$14,9,0)+I253</f>
        <v>19322108</v>
      </c>
      <c r="B253" t="str">
        <f t="shared" si="23"/>
        <v>玫瑰之舞</v>
      </c>
      <c r="C253" t="s">
        <v>187</v>
      </c>
      <c r="D253">
        <f>VLOOKUP(C253,技能CD配置辅助表!$C$3:$E$14,3,0)</f>
        <v>3</v>
      </c>
      <c r="E253">
        <f>IF(I253=0,1,IF(I253&lt;3,VLOOKUP(C253,技能CD配置辅助表!$C$3:$I$14,7,0)+(I253-1)*2,VLOOKUP(C253,技能CD配置辅助表!$C$3:$I$14,7,0)+(I253-1)*3-1))</f>
        <v>24</v>
      </c>
      <c r="F253" t="str">
        <f t="shared" si="24"/>
        <v>第8级，技能冷却时间12.2秒</v>
      </c>
      <c r="G253">
        <f>VLOOKUP(C253,技能CD配置辅助表!$C$3:$J$14,8,0)-(VLOOKUP(C253,技能CD配置辅助表!$C$3:$J$14,8,0)-VLOOKUP(C253,技能CD配置辅助表!$C$2:$M$14,11,0))/(VLOOKUP(C253,技能CD配置辅助表!$C$3:$H$14,6,0)-1)*(I253-IF(I253=0,0,1))</f>
        <v>12200</v>
      </c>
      <c r="H253">
        <f ca="1">M253*'[1]0、经济设定'!$C$18*IF(E253&lt;J253,1,1)</f>
        <v>13050</v>
      </c>
      <c r="I253">
        <f t="shared" si="25"/>
        <v>8</v>
      </c>
      <c r="J253">
        <f>VLOOKUP(C253,技能CD配置辅助表!$C$3:$L$14,10,0)</f>
        <v>20</v>
      </c>
      <c r="K253">
        <f t="shared" ca="1" si="26"/>
        <v>32</v>
      </c>
      <c r="L253" s="45">
        <f t="shared" ca="1" si="28"/>
        <v>56</v>
      </c>
      <c r="M253">
        <f t="shared" ca="1" si="27"/>
        <v>261</v>
      </c>
      <c r="N253">
        <f>VLOOKUP(C253,技能CD配置辅助表!$C$3:$H$14,6,0)</f>
        <v>26</v>
      </c>
      <c r="O253">
        <f>VLOOKUP(C253,技能CD配置辅助表!$C$3:$M$14,5,0)</f>
        <v>2</v>
      </c>
      <c r="P253">
        <f ca="1">IFERROR(VLOOKUP(A253+I253-10000003,D_技能表!A:AD,30,0)*(VLOOKUP(C253,技能CD配置辅助表!$C$3:$J$14,8,0)-G253)/VLOOKUP(C253,技能CD配置辅助表!$C$3:$J$14,8,0),0)*IF(VLOOKUP(C253,技能CD配置辅助表!$C$3:$F$14,4,0)=1,1,4)</f>
        <v>4.6852397333059654</v>
      </c>
      <c r="R253">
        <f t="shared" si="29"/>
        <v>0.4</v>
      </c>
    </row>
    <row r="254" spans="1:18" x14ac:dyDescent="0.15">
      <c r="A254">
        <f ca="1">VLOOKUP(B254,技能CD配置辅助表!$C$3:$K$14,9,0)+I254</f>
        <v>19322109</v>
      </c>
      <c r="B254" t="str">
        <f t="shared" si="23"/>
        <v>玫瑰之舞</v>
      </c>
      <c r="C254" t="s">
        <v>187</v>
      </c>
      <c r="D254">
        <f>VLOOKUP(C254,技能CD配置辅助表!$C$3:$E$14,3,0)</f>
        <v>3</v>
      </c>
      <c r="E254">
        <f>IF(I254=0,1,IF(I254&lt;3,VLOOKUP(C254,技能CD配置辅助表!$C$3:$I$14,7,0)+(I254-1)*2,VLOOKUP(C254,技能CD配置辅助表!$C$3:$I$14,7,0)+(I254-1)*3-1))</f>
        <v>27</v>
      </c>
      <c r="F254" t="str">
        <f t="shared" si="24"/>
        <v>第9级，技能冷却时间11.8秒</v>
      </c>
      <c r="G254">
        <f>VLOOKUP(C254,技能CD配置辅助表!$C$3:$J$14,8,0)-(VLOOKUP(C254,技能CD配置辅助表!$C$3:$J$14,8,0)-VLOOKUP(C254,技能CD配置辅助表!$C$2:$M$14,11,0))/(VLOOKUP(C254,技能CD配置辅助表!$C$3:$H$14,6,0)-1)*(I254-IF(I254=0,0,1))</f>
        <v>11800</v>
      </c>
      <c r="H254">
        <f ca="1">M254*'[1]0、经济设定'!$C$18*IF(E254&lt;J254,1,1)</f>
        <v>16300</v>
      </c>
      <c r="I254">
        <f t="shared" si="25"/>
        <v>9</v>
      </c>
      <c r="J254">
        <f>VLOOKUP(C254,技能CD配置辅助表!$C$3:$L$14,10,0)</f>
        <v>20</v>
      </c>
      <c r="K254">
        <f t="shared" ca="1" si="26"/>
        <v>47</v>
      </c>
      <c r="L254" s="45">
        <f t="shared" ca="1" si="28"/>
        <v>65</v>
      </c>
      <c r="M254">
        <f t="shared" ca="1" si="27"/>
        <v>326</v>
      </c>
      <c r="N254">
        <f>VLOOKUP(C254,技能CD配置辅助表!$C$3:$H$14,6,0)</f>
        <v>26</v>
      </c>
      <c r="O254">
        <f>VLOOKUP(C254,技能CD配置辅助表!$C$3:$M$14,5,0)</f>
        <v>2</v>
      </c>
      <c r="P254">
        <f ca="1">IFERROR(VLOOKUP(A254+I254-10000003,D_技能表!A:AD,30,0)*(VLOOKUP(C254,技能CD配置辅助表!$C$3:$J$14,8,0)-G254)/VLOOKUP(C254,技能CD配置辅助表!$C$3:$J$14,8,0),0)*IF(VLOOKUP(C254,技能CD配置辅助表!$C$3:$F$14,4,0)=1,1,4)</f>
        <v>7.308206795101424</v>
      </c>
      <c r="R254">
        <f t="shared" si="29"/>
        <v>0.5</v>
      </c>
    </row>
    <row r="255" spans="1:18" x14ac:dyDescent="0.15">
      <c r="A255">
        <f ca="1">VLOOKUP(B255,技能CD配置辅助表!$C$3:$K$14,9,0)+I255</f>
        <v>19322110</v>
      </c>
      <c r="B255" t="str">
        <f t="shared" si="23"/>
        <v>玫瑰之舞</v>
      </c>
      <c r="C255" t="s">
        <v>187</v>
      </c>
      <c r="D255">
        <f>VLOOKUP(C255,技能CD配置辅助表!$C$3:$E$14,3,0)</f>
        <v>3</v>
      </c>
      <c r="E255">
        <f>IF(I255=0,1,IF(I255&lt;3,VLOOKUP(C255,技能CD配置辅助表!$C$3:$I$14,7,0)+(I255-1)*2,VLOOKUP(C255,技能CD配置辅助表!$C$3:$I$14,7,0)+(I255-1)*3-1))</f>
        <v>30</v>
      </c>
      <c r="F255" t="str">
        <f t="shared" si="24"/>
        <v>第10级，技能冷却时间11.4秒</v>
      </c>
      <c r="G255">
        <f>VLOOKUP(C255,技能CD配置辅助表!$C$3:$J$14,8,0)-(VLOOKUP(C255,技能CD配置辅助表!$C$3:$J$14,8,0)-VLOOKUP(C255,技能CD配置辅助表!$C$2:$M$14,11,0))/(VLOOKUP(C255,技能CD配置辅助表!$C$3:$H$14,6,0)-1)*(I255-IF(I255=0,0,1))</f>
        <v>11400</v>
      </c>
      <c r="H255">
        <f ca="1">M255*'[1]0、经济设定'!$C$18*IF(E255&lt;J255,1,1)</f>
        <v>20050</v>
      </c>
      <c r="I255">
        <f t="shared" si="25"/>
        <v>10</v>
      </c>
      <c r="J255">
        <f>VLOOKUP(C255,技能CD配置辅助表!$C$3:$L$14,10,0)</f>
        <v>20</v>
      </c>
      <c r="K255">
        <f t="shared" ca="1" si="26"/>
        <v>65</v>
      </c>
      <c r="L255" s="45">
        <f t="shared" ca="1" si="28"/>
        <v>75</v>
      </c>
      <c r="M255">
        <f t="shared" ca="1" si="27"/>
        <v>401</v>
      </c>
      <c r="N255">
        <f>VLOOKUP(C255,技能CD配置辅助表!$C$3:$H$14,6,0)</f>
        <v>26</v>
      </c>
      <c r="O255">
        <f>VLOOKUP(C255,技能CD配置辅助表!$C$3:$M$14,5,0)</f>
        <v>2</v>
      </c>
      <c r="P255">
        <f ca="1">IFERROR(VLOOKUP(A255+I255-10000003,D_技能表!A:AD,30,0)*(VLOOKUP(C255,技能CD配置辅助表!$C$3:$J$14,8,0)-G255)/VLOOKUP(C255,技能CD配置辅助表!$C$3:$J$14,8,0),0)*IF(VLOOKUP(C255,技能CD配置辅助表!$C$3:$F$14,4,0)=1,1,4)</f>
        <v>11.193052449813974</v>
      </c>
      <c r="R255">
        <f t="shared" si="29"/>
        <v>0.6</v>
      </c>
    </row>
    <row r="256" spans="1:18" x14ac:dyDescent="0.15">
      <c r="A256">
        <f ca="1">VLOOKUP(B256,技能CD配置辅助表!$C$3:$K$14,9,0)+I256</f>
        <v>19322111</v>
      </c>
      <c r="B256" t="str">
        <f t="shared" si="23"/>
        <v>玫瑰之舞</v>
      </c>
      <c r="C256" t="s">
        <v>187</v>
      </c>
      <c r="D256">
        <f>VLOOKUP(C256,技能CD配置辅助表!$C$3:$E$14,3,0)</f>
        <v>3</v>
      </c>
      <c r="E256">
        <f>IF(I256=0,1,IF(I256&lt;3,VLOOKUP(C256,技能CD配置辅助表!$C$3:$I$14,7,0)+(I256-1)*2,VLOOKUP(C256,技能CD配置辅助表!$C$3:$I$14,7,0)+(I256-1)*3-1))</f>
        <v>33</v>
      </c>
      <c r="F256" t="str">
        <f t="shared" si="24"/>
        <v>第11级，技能冷却时间11秒</v>
      </c>
      <c r="G256">
        <f>VLOOKUP(C256,技能CD配置辅助表!$C$3:$J$14,8,0)-(VLOOKUP(C256,技能CD配置辅助表!$C$3:$J$14,8,0)-VLOOKUP(C256,技能CD配置辅助表!$C$2:$M$14,11,0))/(VLOOKUP(C256,技能CD配置辅助表!$C$3:$H$14,6,0)-1)*(I256-IF(I256=0,0,1))</f>
        <v>11000</v>
      </c>
      <c r="H256">
        <f ca="1">M256*'[1]0、经济设定'!$C$18*IF(E256&lt;J256,1,1)</f>
        <v>24400</v>
      </c>
      <c r="I256">
        <f t="shared" si="25"/>
        <v>11</v>
      </c>
      <c r="J256">
        <f>VLOOKUP(C256,技能CD配置辅助表!$C$3:$L$14,10,0)</f>
        <v>20</v>
      </c>
      <c r="K256">
        <f t="shared" ca="1" si="26"/>
        <v>87</v>
      </c>
      <c r="L256" s="45">
        <f t="shared" ca="1" si="28"/>
        <v>87</v>
      </c>
      <c r="M256">
        <f t="shared" ca="1" si="27"/>
        <v>488</v>
      </c>
      <c r="N256">
        <f>VLOOKUP(C256,技能CD配置辅助表!$C$3:$H$14,6,0)</f>
        <v>26</v>
      </c>
      <c r="O256">
        <f>VLOOKUP(C256,技能CD配置辅助表!$C$3:$M$14,5,0)</f>
        <v>2</v>
      </c>
      <c r="P256">
        <f ca="1">IFERROR(VLOOKUP(A256+I256-10000003,D_技能表!A:AD,30,0)*(VLOOKUP(C256,技能CD配置辅助表!$C$3:$J$14,8,0)-G256)/VLOOKUP(C256,技能CD配置辅助表!$C$3:$J$14,8,0),0)*IF(VLOOKUP(C256,技能CD配置辅助表!$C$3:$F$14,4,0)=1,1,4)</f>
        <v>16.892446325786931</v>
      </c>
      <c r="R256">
        <f t="shared" si="29"/>
        <v>0.7</v>
      </c>
    </row>
    <row r="257" spans="1:18" x14ac:dyDescent="0.15">
      <c r="A257">
        <f ca="1">VLOOKUP(B257,技能CD配置辅助表!$C$3:$K$14,9,0)+I257</f>
        <v>19322112</v>
      </c>
      <c r="B257" t="str">
        <f t="shared" si="23"/>
        <v>玫瑰之舞</v>
      </c>
      <c r="C257" t="s">
        <v>187</v>
      </c>
      <c r="D257">
        <f>VLOOKUP(C257,技能CD配置辅助表!$C$3:$E$14,3,0)</f>
        <v>3</v>
      </c>
      <c r="E257">
        <f>IF(I257=0,1,IF(I257&lt;3,VLOOKUP(C257,技能CD配置辅助表!$C$3:$I$14,7,0)+(I257-1)*2,VLOOKUP(C257,技能CD配置辅助表!$C$3:$I$14,7,0)+(I257-1)*3-1))</f>
        <v>36</v>
      </c>
      <c r="F257" t="str">
        <f t="shared" si="24"/>
        <v>第12级，技能冷却时间10.6秒</v>
      </c>
      <c r="G257">
        <f>VLOOKUP(C257,技能CD配置辅助表!$C$3:$J$14,8,0)-(VLOOKUP(C257,技能CD配置辅助表!$C$3:$J$14,8,0)-VLOOKUP(C257,技能CD配置辅助表!$C$2:$M$14,11,0))/(VLOOKUP(C257,技能CD配置辅助表!$C$3:$H$14,6,0)-1)*(I257-IF(I257=0,0,1))</f>
        <v>10600</v>
      </c>
      <c r="H257">
        <f ca="1">M257*'[1]0、经济设定'!$C$18*IF(E257&lt;J257,1,1)</f>
        <v>29450</v>
      </c>
      <c r="I257">
        <f t="shared" si="25"/>
        <v>12</v>
      </c>
      <c r="J257">
        <f>VLOOKUP(C257,技能CD配置辅助表!$C$3:$L$14,10,0)</f>
        <v>20</v>
      </c>
      <c r="K257">
        <f t="shared" ca="1" si="26"/>
        <v>116</v>
      </c>
      <c r="L257" s="45">
        <f t="shared" ca="1" si="28"/>
        <v>101</v>
      </c>
      <c r="M257">
        <f t="shared" ca="1" si="27"/>
        <v>589</v>
      </c>
      <c r="N257">
        <f>VLOOKUP(C257,技能CD配置辅助表!$C$3:$H$14,6,0)</f>
        <v>26</v>
      </c>
      <c r="O257">
        <f>VLOOKUP(C257,技能CD配置辅助表!$C$3:$M$14,5,0)</f>
        <v>2</v>
      </c>
      <c r="P257">
        <f ca="1">IFERROR(VLOOKUP(A257+I257-10000003,D_技能表!A:AD,30,0)*(VLOOKUP(C257,技能CD配置辅助表!$C$3:$J$14,8,0)-G257)/VLOOKUP(C257,技能CD配置辅助表!$C$3:$J$14,8,0),0)*IF(VLOOKUP(C257,技能CD配置辅助表!$C$3:$F$14,4,0)=1,1,4)</f>
        <v>25.186187475388618</v>
      </c>
      <c r="R257">
        <f t="shared" si="29"/>
        <v>0.8</v>
      </c>
    </row>
    <row r="258" spans="1:18" x14ac:dyDescent="0.15">
      <c r="A258">
        <f ca="1">VLOOKUP(B258,技能CD配置辅助表!$C$3:$K$14,9,0)+I258</f>
        <v>19322113</v>
      </c>
      <c r="B258" t="str">
        <f t="shared" si="23"/>
        <v>玫瑰之舞</v>
      </c>
      <c r="C258" t="s">
        <v>187</v>
      </c>
      <c r="D258">
        <f>VLOOKUP(C258,技能CD配置辅助表!$C$3:$E$14,3,0)</f>
        <v>3</v>
      </c>
      <c r="E258">
        <f>IF(I258=0,1,IF(I258&lt;3,VLOOKUP(C258,技能CD配置辅助表!$C$3:$I$14,7,0)+(I258-1)*2,VLOOKUP(C258,技能CD配置辅助表!$C$3:$I$14,7,0)+(I258-1)*3-1))</f>
        <v>39</v>
      </c>
      <c r="F258" t="str">
        <f t="shared" si="24"/>
        <v>第13级，技能冷却时间10.2秒</v>
      </c>
      <c r="G258">
        <f>VLOOKUP(C258,技能CD配置辅助表!$C$3:$J$14,8,0)-(VLOOKUP(C258,技能CD配置辅助表!$C$3:$J$14,8,0)-VLOOKUP(C258,技能CD配置辅助表!$C$2:$M$14,11,0))/(VLOOKUP(C258,技能CD配置辅助表!$C$3:$H$14,6,0)-1)*(I258-IF(I258=0,0,1))</f>
        <v>10200</v>
      </c>
      <c r="H258">
        <f ca="1">M258*'[1]0、经济设定'!$C$18*IF(E258&lt;J258,1,1)</f>
        <v>35300</v>
      </c>
      <c r="I258">
        <f t="shared" si="25"/>
        <v>13</v>
      </c>
      <c r="J258">
        <f>VLOOKUP(C258,技能CD配置辅助表!$C$3:$L$14,10,0)</f>
        <v>20</v>
      </c>
      <c r="K258">
        <f t="shared" ca="1" si="26"/>
        <v>151</v>
      </c>
      <c r="L258" s="45">
        <f t="shared" ca="1" si="28"/>
        <v>117</v>
      </c>
      <c r="M258">
        <f t="shared" ca="1" si="27"/>
        <v>706</v>
      </c>
      <c r="N258">
        <f>VLOOKUP(C258,技能CD配置辅助表!$C$3:$H$14,6,0)</f>
        <v>26</v>
      </c>
      <c r="O258">
        <f>VLOOKUP(C258,技能CD配置辅助表!$C$3:$M$14,5,0)</f>
        <v>2</v>
      </c>
      <c r="P258">
        <f ca="1">IFERROR(VLOOKUP(A258+I258-10000003,D_技能表!A:AD,30,0)*(VLOOKUP(C258,技能CD配置辅助表!$C$3:$J$14,8,0)-G258)/VLOOKUP(C258,技能CD配置辅助表!$C$3:$J$14,8,0),0)*IF(VLOOKUP(C258,技能CD配置辅助表!$C$3:$F$14,4,0)=1,1,4)</f>
        <v>37.170357965614222</v>
      </c>
      <c r="R258">
        <f t="shared" si="29"/>
        <v>0.9</v>
      </c>
    </row>
    <row r="259" spans="1:18" x14ac:dyDescent="0.15">
      <c r="A259">
        <f ca="1">VLOOKUP(B259,技能CD配置辅助表!$C$3:$K$14,9,0)+I259</f>
        <v>19322114</v>
      </c>
      <c r="B259" t="str">
        <f t="shared" ref="B259:B322" si="30">C259</f>
        <v>玫瑰之舞</v>
      </c>
      <c r="C259" t="s">
        <v>187</v>
      </c>
      <c r="D259">
        <f>VLOOKUP(C259,技能CD配置辅助表!$C$3:$E$14,3,0)</f>
        <v>3</v>
      </c>
      <c r="E259">
        <f>IF(I259=0,1,IF(I259&lt;3,VLOOKUP(C259,技能CD配置辅助表!$C$3:$I$14,7,0)+(I259-1)*2,VLOOKUP(C259,技能CD配置辅助表!$C$3:$I$14,7,0)+(I259-1)*3-1))</f>
        <v>42</v>
      </c>
      <c r="F259" t="str">
        <f t="shared" ref="F259:F313" si="31">"第"&amp;I259&amp;"级，技能冷却时间"&amp;G259/1000&amp;"秒"</f>
        <v>第14级，技能冷却时间9.8秒</v>
      </c>
      <c r="G259">
        <f>VLOOKUP(C259,技能CD配置辅助表!$C$3:$J$14,8,0)-(VLOOKUP(C259,技能CD配置辅助表!$C$3:$J$14,8,0)-VLOOKUP(C259,技能CD配置辅助表!$C$2:$M$14,11,0))/(VLOOKUP(C259,技能CD配置辅助表!$C$3:$H$14,6,0)-1)*(I259-IF(I259=0,0,1))</f>
        <v>9800</v>
      </c>
      <c r="H259">
        <f ca="1">M259*'[1]0、经济设定'!$C$18*IF(E259&lt;J259,1,1)</f>
        <v>42100</v>
      </c>
      <c r="I259">
        <f t="shared" ref="I259:I313" si="32">IF(B259=B258,I258+1,0)</f>
        <v>14</v>
      </c>
      <c r="J259">
        <f>VLOOKUP(C259,技能CD配置辅助表!$C$3:$L$14,10,0)</f>
        <v>20</v>
      </c>
      <c r="K259">
        <f t="shared" ref="K259:K322" ca="1" si="33">IF(E259&lt;J259,0,ROUNDUP(L259/$T$4*R259,0))</f>
        <v>195</v>
      </c>
      <c r="L259" s="45">
        <f t="shared" ca="1" si="28"/>
        <v>136</v>
      </c>
      <c r="M259">
        <f t="shared" ref="M259:M313" ca="1" si="34">IF(I259=0,0,L259+M258)</f>
        <v>842</v>
      </c>
      <c r="N259">
        <f>VLOOKUP(C259,技能CD配置辅助表!$C$3:$H$14,6,0)</f>
        <v>26</v>
      </c>
      <c r="O259">
        <f>VLOOKUP(C259,技能CD配置辅助表!$C$3:$M$14,5,0)</f>
        <v>2</v>
      </c>
      <c r="P259">
        <f ca="1">IFERROR(VLOOKUP(A259+I259-10000003,D_技能表!A:AD,30,0)*(VLOOKUP(C259,技能CD配置辅助表!$C$3:$J$14,8,0)-G259)/VLOOKUP(C259,技能CD配置辅助表!$C$3:$J$14,8,0),0)*IF(VLOOKUP(C259,技能CD配置辅助表!$C$3:$F$14,4,0)=1,1,4)</f>
        <v>54.3802788799849</v>
      </c>
      <c r="R259">
        <f t="shared" si="29"/>
        <v>1</v>
      </c>
    </row>
    <row r="260" spans="1:18" x14ac:dyDescent="0.15">
      <c r="A260">
        <f ca="1">VLOOKUP(B260,技能CD配置辅助表!$C$3:$K$14,9,0)+I260</f>
        <v>19322115</v>
      </c>
      <c r="B260" t="str">
        <f t="shared" si="30"/>
        <v>玫瑰之舞</v>
      </c>
      <c r="C260" t="s">
        <v>187</v>
      </c>
      <c r="D260">
        <f>VLOOKUP(C260,技能CD配置辅助表!$C$3:$E$14,3,0)</f>
        <v>3</v>
      </c>
      <c r="E260">
        <f>IF(I260=0,1,IF(I260&lt;3,VLOOKUP(C260,技能CD配置辅助表!$C$3:$I$14,7,0)+(I260-1)*2,VLOOKUP(C260,技能CD配置辅助表!$C$3:$I$14,7,0)+(I260-1)*3-1))</f>
        <v>45</v>
      </c>
      <c r="F260" t="str">
        <f t="shared" si="31"/>
        <v>第15级，技能冷却时间9.4秒</v>
      </c>
      <c r="G260">
        <f>VLOOKUP(C260,技能CD配置辅助表!$C$3:$J$14,8,0)-(VLOOKUP(C260,技能CD配置辅助表!$C$3:$J$14,8,0)-VLOOKUP(C260,技能CD配置辅助表!$C$2:$M$14,11,0))/(VLOOKUP(C260,技能CD配置辅助表!$C$3:$H$14,6,0)-1)*(I260-IF(I260=0,0,1))</f>
        <v>9400</v>
      </c>
      <c r="H260">
        <f ca="1">M260*'[1]0、经济设定'!$C$18*IF(E260&lt;J260,1,1)</f>
        <v>50000</v>
      </c>
      <c r="I260">
        <f t="shared" si="32"/>
        <v>15</v>
      </c>
      <c r="J260">
        <f>VLOOKUP(C260,技能CD配置辅助表!$C$3:$L$14,10,0)</f>
        <v>20</v>
      </c>
      <c r="K260">
        <f t="shared" ca="1" si="33"/>
        <v>237</v>
      </c>
      <c r="L260" s="45">
        <f t="shared" ca="1" si="28"/>
        <v>158</v>
      </c>
      <c r="M260">
        <f t="shared" ca="1" si="34"/>
        <v>1000</v>
      </c>
      <c r="N260">
        <f>VLOOKUP(C260,技能CD配置辅助表!$C$3:$H$14,6,0)</f>
        <v>26</v>
      </c>
      <c r="O260">
        <f>VLOOKUP(C260,技能CD配置辅助表!$C$3:$M$14,5,0)</f>
        <v>2</v>
      </c>
      <c r="P260">
        <f ca="1">IFERROR(VLOOKUP(A260+I260-10000003,D_技能表!A:AD,30,0)*(VLOOKUP(C260,技能CD配置辅助表!$C$3:$J$14,8,0)-G260)/VLOOKUP(C260,技能CD配置辅助表!$C$3:$J$14,8,0),0)*IF(VLOOKUP(C260,技能CD配置辅助表!$C$3:$F$14,4,0)=1,1,4)</f>
        <v>78.959742300905788</v>
      </c>
      <c r="R260">
        <f t="shared" si="29"/>
        <v>1.05</v>
      </c>
    </row>
    <row r="261" spans="1:18" x14ac:dyDescent="0.15">
      <c r="A261">
        <f ca="1">VLOOKUP(B261,技能CD配置辅助表!$C$3:$K$14,9,0)+I261</f>
        <v>19322116</v>
      </c>
      <c r="B261" t="str">
        <f t="shared" si="30"/>
        <v>玫瑰之舞</v>
      </c>
      <c r="C261" t="s">
        <v>187</v>
      </c>
      <c r="D261">
        <f>VLOOKUP(C261,技能CD配置辅助表!$C$3:$E$14,3,0)</f>
        <v>3</v>
      </c>
      <c r="E261">
        <f>IF(I261=0,1,IF(I261&lt;3,VLOOKUP(C261,技能CD配置辅助表!$C$3:$I$14,7,0)+(I261-1)*2,VLOOKUP(C261,技能CD配置辅助表!$C$3:$I$14,7,0)+(I261-1)*3-1))</f>
        <v>48</v>
      </c>
      <c r="F261" t="str">
        <f t="shared" si="31"/>
        <v>第16级，技能冷却时间9秒</v>
      </c>
      <c r="G261">
        <f>VLOOKUP(C261,技能CD配置辅助表!$C$3:$J$14,8,0)-(VLOOKUP(C261,技能CD配置辅助表!$C$3:$J$14,8,0)-VLOOKUP(C261,技能CD配置辅助表!$C$2:$M$14,11,0))/(VLOOKUP(C261,技能CD配置辅助表!$C$3:$H$14,6,0)-1)*(I261-IF(I261=0,0,1))</f>
        <v>9000</v>
      </c>
      <c r="H261">
        <f ca="1">M261*'[1]0、经济设定'!$C$18*IF(E261&lt;J261,1,1)</f>
        <v>59150</v>
      </c>
      <c r="I261">
        <f t="shared" si="32"/>
        <v>16</v>
      </c>
      <c r="J261">
        <f>VLOOKUP(C261,技能CD配置辅助表!$C$3:$L$14,10,0)</f>
        <v>20</v>
      </c>
      <c r="K261">
        <f t="shared" ca="1" si="33"/>
        <v>288</v>
      </c>
      <c r="L261" s="45">
        <f t="shared" ca="1" si="28"/>
        <v>183</v>
      </c>
      <c r="M261">
        <f t="shared" ca="1" si="34"/>
        <v>1183</v>
      </c>
      <c r="N261">
        <f>VLOOKUP(C261,技能CD配置辅助表!$C$3:$H$14,6,0)</f>
        <v>26</v>
      </c>
      <c r="O261">
        <f>VLOOKUP(C261,技能CD配置辅助表!$C$3:$M$14,5,0)</f>
        <v>2</v>
      </c>
      <c r="P261">
        <f ca="1">IFERROR(VLOOKUP(A261+I261-10000003,D_技能表!A:AD,30,0)*(VLOOKUP(C261,技能CD配置辅助表!$C$3:$J$14,8,0)-G261)/VLOOKUP(C261,技能CD配置辅助表!$C$3:$J$14,8,0),0)*IF(VLOOKUP(C261,技能CD配置辅助表!$C$3:$F$14,4,0)=1,1,4)</f>
        <v>113.89349673851216</v>
      </c>
      <c r="R261">
        <f t="shared" si="29"/>
        <v>1.1000000000000001</v>
      </c>
    </row>
    <row r="262" spans="1:18" x14ac:dyDescent="0.15">
      <c r="A262">
        <f ca="1">VLOOKUP(B262,技能CD配置辅助表!$C$3:$K$14,9,0)+I262</f>
        <v>19322117</v>
      </c>
      <c r="B262" t="str">
        <f t="shared" si="30"/>
        <v>玫瑰之舞</v>
      </c>
      <c r="C262" t="s">
        <v>187</v>
      </c>
      <c r="D262">
        <f>VLOOKUP(C262,技能CD配置辅助表!$C$3:$E$14,3,0)</f>
        <v>3</v>
      </c>
      <c r="E262">
        <f>IF(I262=0,1,IF(I262&lt;3,VLOOKUP(C262,技能CD配置辅助表!$C$3:$I$14,7,0)+(I262-1)*2,VLOOKUP(C262,技能CD配置辅助表!$C$3:$I$14,7,0)+(I262-1)*3-1))</f>
        <v>51</v>
      </c>
      <c r="F262" t="str">
        <f t="shared" si="31"/>
        <v>第17级，技能冷却时间8.6秒</v>
      </c>
      <c r="G262">
        <f>VLOOKUP(C262,技能CD配置辅助表!$C$3:$J$14,8,0)-(VLOOKUP(C262,技能CD配置辅助表!$C$3:$J$14,8,0)-VLOOKUP(C262,技能CD配置辅助表!$C$2:$M$14,11,0))/(VLOOKUP(C262,技能CD配置辅助表!$C$3:$H$14,6,0)-1)*(I262-IF(I262=0,0,1))</f>
        <v>8600</v>
      </c>
      <c r="H262">
        <f ca="1">M262*'[1]0、经济设定'!$C$18*IF(E262&lt;J262,1,1)</f>
        <v>69800</v>
      </c>
      <c r="I262">
        <f t="shared" si="32"/>
        <v>17</v>
      </c>
      <c r="J262">
        <f>VLOOKUP(C262,技能CD配置辅助表!$C$3:$L$14,10,0)</f>
        <v>20</v>
      </c>
      <c r="K262">
        <f t="shared" ca="1" si="33"/>
        <v>350</v>
      </c>
      <c r="L262" s="45">
        <f t="shared" ca="1" si="28"/>
        <v>213</v>
      </c>
      <c r="M262">
        <f t="shared" ca="1" si="34"/>
        <v>1396</v>
      </c>
      <c r="N262">
        <f>VLOOKUP(C262,技能CD配置辅助表!$C$3:$H$14,6,0)</f>
        <v>26</v>
      </c>
      <c r="O262">
        <f>VLOOKUP(C262,技能CD配置辅助表!$C$3:$M$14,5,0)</f>
        <v>2</v>
      </c>
      <c r="P262">
        <f ca="1">IFERROR(VLOOKUP(A262+I262-10000003,D_技能表!A:AD,30,0)*(VLOOKUP(C262,技能CD配置辅助表!$C$3:$J$14,8,0)-G262)/VLOOKUP(C262,技能CD配置辅助表!$C$3:$J$14,8,0),0)*IF(VLOOKUP(C262,技能CD配置辅助表!$C$3:$F$14,4,0)=1,1,4)</f>
        <v>163.32606485658783</v>
      </c>
      <c r="R262">
        <f t="shared" si="29"/>
        <v>1.1499999999999999</v>
      </c>
    </row>
    <row r="263" spans="1:18" x14ac:dyDescent="0.15">
      <c r="A263">
        <f ca="1">VLOOKUP(B263,技能CD配置辅助表!$C$3:$K$14,9,0)+I263</f>
        <v>19322118</v>
      </c>
      <c r="B263" t="str">
        <f t="shared" si="30"/>
        <v>玫瑰之舞</v>
      </c>
      <c r="C263" t="s">
        <v>187</v>
      </c>
      <c r="D263">
        <f>VLOOKUP(C263,技能CD配置辅助表!$C$3:$E$14,3,0)</f>
        <v>3</v>
      </c>
      <c r="E263">
        <f>IF(I263=0,1,IF(I263&lt;3,VLOOKUP(C263,技能CD配置辅助表!$C$3:$I$14,7,0)+(I263-1)*2,VLOOKUP(C263,技能CD配置辅助表!$C$3:$I$14,7,0)+(I263-1)*3-1))</f>
        <v>54</v>
      </c>
      <c r="F263" t="str">
        <f t="shared" si="31"/>
        <v>第18级，技能冷却时间8.2秒</v>
      </c>
      <c r="G263">
        <f>VLOOKUP(C263,技能CD配置辅助表!$C$3:$J$14,8,0)-(VLOOKUP(C263,技能CD配置辅助表!$C$3:$J$14,8,0)-VLOOKUP(C263,技能CD配置辅助表!$C$2:$M$14,11,0))/(VLOOKUP(C263,技能CD配置辅助表!$C$3:$H$14,6,0)-1)*(I263-IF(I263=0,0,1))</f>
        <v>8200</v>
      </c>
      <c r="H263">
        <f ca="1">M263*'[1]0、经济设定'!$C$18*IF(E263&lt;J263,1,1)</f>
        <v>82150</v>
      </c>
      <c r="I263">
        <f t="shared" si="32"/>
        <v>18</v>
      </c>
      <c r="J263">
        <f>VLOOKUP(C263,技能CD配置辅助表!$C$3:$L$14,10,0)</f>
        <v>20</v>
      </c>
      <c r="K263">
        <f t="shared" ca="1" si="33"/>
        <v>424</v>
      </c>
      <c r="L263" s="45">
        <f t="shared" ca="1" si="28"/>
        <v>247</v>
      </c>
      <c r="M263">
        <f t="shared" ca="1" si="34"/>
        <v>1643</v>
      </c>
      <c r="N263">
        <f>VLOOKUP(C263,技能CD配置辅助表!$C$3:$H$14,6,0)</f>
        <v>26</v>
      </c>
      <c r="O263">
        <f>VLOOKUP(C263,技能CD配置辅助表!$C$3:$M$14,5,0)</f>
        <v>2</v>
      </c>
      <c r="P263">
        <f ca="1">IFERROR(VLOOKUP(A263+I263-10000003,D_技能表!A:AD,30,0)*(VLOOKUP(C263,技能CD配置辅助表!$C$3:$J$14,8,0)-G263)/VLOOKUP(C263,技能CD配置辅助表!$C$3:$J$14,8,0),0)*IF(VLOOKUP(C263,技能CD配置辅助表!$C$3:$F$14,4,0)=1,1,4)</f>
        <v>232.99822945182734</v>
      </c>
      <c r="R263">
        <f t="shared" si="29"/>
        <v>1.2</v>
      </c>
    </row>
    <row r="264" spans="1:18" x14ac:dyDescent="0.15">
      <c r="A264">
        <f ca="1">VLOOKUP(B264,技能CD配置辅助表!$C$3:$K$14,9,0)+I264</f>
        <v>19322119</v>
      </c>
      <c r="B264" t="str">
        <f t="shared" si="30"/>
        <v>玫瑰之舞</v>
      </c>
      <c r="C264" t="s">
        <v>187</v>
      </c>
      <c r="D264">
        <f>VLOOKUP(C264,技能CD配置辅助表!$C$3:$E$14,3,0)</f>
        <v>3</v>
      </c>
      <c r="E264">
        <f>IF(I264=0,1,IF(I264&lt;3,VLOOKUP(C264,技能CD配置辅助表!$C$3:$I$14,7,0)+(I264-1)*2,VLOOKUP(C264,技能CD配置辅助表!$C$3:$I$14,7,0)+(I264-1)*3-1))</f>
        <v>57</v>
      </c>
      <c r="F264" t="str">
        <f t="shared" si="31"/>
        <v>第19级，技能冷却时间7.8秒</v>
      </c>
      <c r="G264">
        <f>VLOOKUP(C264,技能CD配置辅助表!$C$3:$J$14,8,0)-(VLOOKUP(C264,技能CD配置辅助表!$C$3:$J$14,8,0)-VLOOKUP(C264,技能CD配置辅助表!$C$2:$M$14,11,0))/(VLOOKUP(C264,技能CD配置辅助表!$C$3:$H$14,6,0)-1)*(I264-IF(I264=0,0,1))</f>
        <v>7800</v>
      </c>
      <c r="H264">
        <f ca="1">M264*'[1]0、经济设定'!$C$18*IF(E264&lt;J264,1,1)</f>
        <v>96450</v>
      </c>
      <c r="I264">
        <f t="shared" si="32"/>
        <v>19</v>
      </c>
      <c r="J264">
        <f>VLOOKUP(C264,技能CD配置辅助表!$C$3:$L$14,10,0)</f>
        <v>20</v>
      </c>
      <c r="K264">
        <f t="shared" ca="1" si="33"/>
        <v>511</v>
      </c>
      <c r="L264" s="45">
        <f t="shared" ca="1" si="28"/>
        <v>286</v>
      </c>
      <c r="M264">
        <f t="shared" ca="1" si="34"/>
        <v>1929</v>
      </c>
      <c r="N264">
        <f>VLOOKUP(C264,技能CD配置辅助表!$C$3:$H$14,6,0)</f>
        <v>26</v>
      </c>
      <c r="O264">
        <f>VLOOKUP(C264,技能CD配置辅助表!$C$3:$M$14,5,0)</f>
        <v>2</v>
      </c>
      <c r="P264">
        <f ca="1">IFERROR(VLOOKUP(A264+I264-10000003,D_技能表!A:AD,30,0)*(VLOOKUP(C264,技能CD配置辅助表!$C$3:$J$14,8,0)-G264)/VLOOKUP(C264,技能CD配置辅助表!$C$3:$J$14,8,0),0)*IF(VLOOKUP(C264,技能CD配置辅助表!$C$3:$F$14,4,0)=1,1,4)</f>
        <v>330.84368732664996</v>
      </c>
      <c r="R264">
        <f t="shared" si="29"/>
        <v>1.25</v>
      </c>
    </row>
    <row r="265" spans="1:18" x14ac:dyDescent="0.15">
      <c r="A265">
        <f ca="1">VLOOKUP(B265,技能CD配置辅助表!$C$3:$K$14,9,0)+I265</f>
        <v>19322120</v>
      </c>
      <c r="B265" t="str">
        <f t="shared" si="30"/>
        <v>玫瑰之舞</v>
      </c>
      <c r="C265" t="s">
        <v>187</v>
      </c>
      <c r="D265">
        <f>VLOOKUP(C265,技能CD配置辅助表!$C$3:$E$14,3,0)</f>
        <v>3</v>
      </c>
      <c r="E265">
        <f>IF(I265=0,1,IF(I265&lt;3,VLOOKUP(C265,技能CD配置辅助表!$C$3:$I$14,7,0)+(I265-1)*2,VLOOKUP(C265,技能CD配置辅助表!$C$3:$I$14,7,0)+(I265-1)*3-1))</f>
        <v>60</v>
      </c>
      <c r="F265" t="str">
        <f t="shared" si="31"/>
        <v>第20级，技能冷却时间7.4秒</v>
      </c>
      <c r="G265">
        <f>VLOOKUP(C265,技能CD配置辅助表!$C$3:$J$14,8,0)-(VLOOKUP(C265,技能CD配置辅助表!$C$3:$J$14,8,0)-VLOOKUP(C265,技能CD配置辅助表!$C$2:$M$14,11,0))/(VLOOKUP(C265,技能CD配置辅助表!$C$3:$H$14,6,0)-1)*(I265-IF(I265=0,0,1))</f>
        <v>7400</v>
      </c>
      <c r="H265">
        <f ca="1">M265*'[1]0、经济设定'!$C$18*IF(E265&lt;J265,1,1)</f>
        <v>113050</v>
      </c>
      <c r="I265">
        <f t="shared" si="32"/>
        <v>20</v>
      </c>
      <c r="J265">
        <f>VLOOKUP(C265,技能CD配置辅助表!$C$3:$L$14,10,0)</f>
        <v>20</v>
      </c>
      <c r="K265">
        <f t="shared" ca="1" si="33"/>
        <v>617</v>
      </c>
      <c r="L265" s="45">
        <f t="shared" ca="1" si="28"/>
        <v>332</v>
      </c>
      <c r="M265">
        <f t="shared" ca="1" si="34"/>
        <v>2261</v>
      </c>
      <c r="N265">
        <f>VLOOKUP(C265,技能CD配置辅助表!$C$3:$H$14,6,0)</f>
        <v>26</v>
      </c>
      <c r="O265">
        <f>VLOOKUP(C265,技能CD配置辅助表!$C$3:$M$14,5,0)</f>
        <v>2</v>
      </c>
      <c r="P265">
        <f ca="1">IFERROR(VLOOKUP(A265+I265-10000003,D_技能表!A:AD,30,0)*(VLOOKUP(C265,技能CD配置辅助表!$C$3:$J$14,8,0)-G265)/VLOOKUP(C265,技能CD配置辅助表!$C$3:$J$14,8,0),0)*IF(VLOOKUP(C265,技能CD配置辅助表!$C$3:$F$14,4,0)=1,1,4)</f>
        <v>467.80345018875096</v>
      </c>
      <c r="R265">
        <f t="shared" si="29"/>
        <v>1.3</v>
      </c>
    </row>
    <row r="266" spans="1:18" x14ac:dyDescent="0.15">
      <c r="A266">
        <f ca="1">VLOOKUP(B266,技能CD配置辅助表!$C$3:$K$14,9,0)+I266</f>
        <v>19322121</v>
      </c>
      <c r="B266" t="str">
        <f t="shared" si="30"/>
        <v>玫瑰之舞</v>
      </c>
      <c r="C266" t="s">
        <v>187</v>
      </c>
      <c r="D266">
        <f>VLOOKUP(C266,技能CD配置辅助表!$C$3:$E$14,3,0)</f>
        <v>3</v>
      </c>
      <c r="E266">
        <f>IF(I266=0,1,IF(I266&lt;3,VLOOKUP(C266,技能CD配置辅助表!$C$3:$I$14,7,0)+(I266-1)*2,VLOOKUP(C266,技能CD配置辅助表!$C$3:$I$14,7,0)+(I266-1)*3-1))</f>
        <v>63</v>
      </c>
      <c r="F266" t="str">
        <f t="shared" si="31"/>
        <v>第21级，技能冷却时间7秒</v>
      </c>
      <c r="G266">
        <f>VLOOKUP(C266,技能CD配置辅助表!$C$3:$J$14,8,0)-(VLOOKUP(C266,技能CD配置辅助表!$C$3:$J$14,8,0)-VLOOKUP(C266,技能CD配置辅助表!$C$2:$M$14,11,0))/(VLOOKUP(C266,技能CD配置辅助表!$C$3:$H$14,6,0)-1)*(I266-IF(I266=0,0,1))</f>
        <v>7000</v>
      </c>
      <c r="H266">
        <f ca="1">M266*'[1]0、经济设定'!$C$18*IF(E266&lt;J266,1,1)</f>
        <v>132300</v>
      </c>
      <c r="I266">
        <f t="shared" si="32"/>
        <v>21</v>
      </c>
      <c r="J266">
        <f>VLOOKUP(C266,技能CD配置辅助表!$C$3:$L$14,10,0)</f>
        <v>20</v>
      </c>
      <c r="K266">
        <f t="shared" ca="1" si="33"/>
        <v>743</v>
      </c>
      <c r="L266" s="45">
        <f t="shared" ca="1" si="28"/>
        <v>385</v>
      </c>
      <c r="M266">
        <f t="shared" ca="1" si="34"/>
        <v>2646</v>
      </c>
      <c r="N266">
        <f>VLOOKUP(C266,技能CD配置辅助表!$C$3:$H$14,6,0)</f>
        <v>26</v>
      </c>
      <c r="O266">
        <f>VLOOKUP(C266,技能CD配置辅助表!$C$3:$M$14,5,0)</f>
        <v>2</v>
      </c>
      <c r="P266">
        <f ca="1">IFERROR(VLOOKUP(A266+I266-10000003,D_技能表!A:AD,30,0)*(VLOOKUP(C266,技能CD配置辅助表!$C$3:$J$14,8,0)-G266)/VLOOKUP(C266,技能CD配置辅助表!$C$3:$J$14,8,0),0)*IF(VLOOKUP(C266,技能CD配置辅助表!$C$3:$F$14,4,0)=1,1,4)</f>
        <v>658.93592260007608</v>
      </c>
      <c r="R266">
        <f t="shared" si="29"/>
        <v>1.35</v>
      </c>
    </row>
    <row r="267" spans="1:18" x14ac:dyDescent="0.15">
      <c r="A267">
        <f ca="1">VLOOKUP(B267,技能CD配置辅助表!$C$3:$K$14,9,0)+I267</f>
        <v>19322122</v>
      </c>
      <c r="B267" t="str">
        <f t="shared" si="30"/>
        <v>玫瑰之舞</v>
      </c>
      <c r="C267" t="s">
        <v>187</v>
      </c>
      <c r="D267">
        <f>VLOOKUP(C267,技能CD配置辅助表!$C$3:$E$14,3,0)</f>
        <v>3</v>
      </c>
      <c r="E267">
        <f>IF(I267=0,1,IF(I267&lt;3,VLOOKUP(C267,技能CD配置辅助表!$C$3:$I$14,7,0)+(I267-1)*2,VLOOKUP(C267,技能CD配置辅助表!$C$3:$I$14,7,0)+(I267-1)*3-1))</f>
        <v>66</v>
      </c>
      <c r="F267" t="str">
        <f t="shared" si="31"/>
        <v>第22级，技能冷却时间6.6秒</v>
      </c>
      <c r="G267">
        <f>VLOOKUP(C267,技能CD配置辅助表!$C$3:$J$14,8,0)-(VLOOKUP(C267,技能CD配置辅助表!$C$3:$J$14,8,0)-VLOOKUP(C267,技能CD配置辅助表!$C$2:$M$14,11,0))/(VLOOKUP(C267,技能CD配置辅助表!$C$3:$H$14,6,0)-1)*(I267-IF(I267=0,0,1))</f>
        <v>6600</v>
      </c>
      <c r="H267">
        <f ca="1">M267*'[1]0、经济设定'!$C$18*IF(E267&lt;J267,1,1)</f>
        <v>154600</v>
      </c>
      <c r="I267">
        <f t="shared" si="32"/>
        <v>22</v>
      </c>
      <c r="J267">
        <f>VLOOKUP(C267,技能CD配置辅助表!$C$3:$L$14,10,0)</f>
        <v>20</v>
      </c>
      <c r="K267">
        <f t="shared" ca="1" si="33"/>
        <v>892</v>
      </c>
      <c r="L267" s="45">
        <f t="shared" ca="1" si="28"/>
        <v>446</v>
      </c>
      <c r="M267">
        <f t="shared" ca="1" si="34"/>
        <v>3092</v>
      </c>
      <c r="N267">
        <f>VLOOKUP(C267,技能CD配置辅助表!$C$3:$H$14,6,0)</f>
        <v>26</v>
      </c>
      <c r="O267">
        <f>VLOOKUP(C267,技能CD配置辅助表!$C$3:$M$14,5,0)</f>
        <v>2</v>
      </c>
      <c r="P267">
        <f ca="1">IFERROR(VLOOKUP(A267+I267-10000003,D_技能表!A:AD,30,0)*(VLOOKUP(C267,技能CD配置辅助表!$C$3:$J$14,8,0)-G267)/VLOOKUP(C267,技能CD配置辅助表!$C$3:$J$14,8,0),0)*IF(VLOOKUP(C267,技能CD配置辅助表!$C$3:$F$14,4,0)=1,1,4)</f>
        <v>924.92802890023631</v>
      </c>
      <c r="R267">
        <f t="shared" si="29"/>
        <v>1.4</v>
      </c>
    </row>
    <row r="268" spans="1:18" x14ac:dyDescent="0.15">
      <c r="A268">
        <f ca="1">VLOOKUP(B268,技能CD配置辅助表!$C$3:$K$14,9,0)+I268</f>
        <v>19322123</v>
      </c>
      <c r="B268" t="str">
        <f t="shared" si="30"/>
        <v>玫瑰之舞</v>
      </c>
      <c r="C268" t="s">
        <v>187</v>
      </c>
      <c r="D268">
        <f>VLOOKUP(C268,技能CD配置辅助表!$C$3:$E$14,3,0)</f>
        <v>3</v>
      </c>
      <c r="E268">
        <f>IF(I268=0,1,IF(I268&lt;3,VLOOKUP(C268,技能CD配置辅助表!$C$3:$I$14,7,0)+(I268-1)*2,VLOOKUP(C268,技能CD配置辅助表!$C$3:$I$14,7,0)+(I268-1)*3-1))</f>
        <v>69</v>
      </c>
      <c r="F268" t="str">
        <f t="shared" si="31"/>
        <v>第23级，技能冷却时间6.2秒</v>
      </c>
      <c r="G268">
        <f>VLOOKUP(C268,技能CD配置辅助表!$C$3:$J$14,8,0)-(VLOOKUP(C268,技能CD配置辅助表!$C$3:$J$14,8,0)-VLOOKUP(C268,技能CD配置辅助表!$C$2:$M$14,11,0))/(VLOOKUP(C268,技能CD配置辅助表!$C$3:$H$14,6,0)-1)*(I268-IF(I268=0,0,1))</f>
        <v>6200</v>
      </c>
      <c r="H268">
        <f ca="1">M268*'[1]0、经济设定'!$C$18*IF(E268&lt;J268,1,1)</f>
        <v>180500</v>
      </c>
      <c r="I268">
        <f t="shared" si="32"/>
        <v>23</v>
      </c>
      <c r="J268">
        <f>VLOOKUP(C268,技能CD配置辅助表!$C$3:$L$14,10,0)</f>
        <v>20</v>
      </c>
      <c r="K268">
        <f t="shared" ca="1" si="33"/>
        <v>1073</v>
      </c>
      <c r="L268" s="45">
        <f t="shared" ca="1" si="28"/>
        <v>518</v>
      </c>
      <c r="M268">
        <f t="shared" ca="1" si="34"/>
        <v>3610</v>
      </c>
      <c r="N268">
        <f>VLOOKUP(C268,技能CD配置辅助表!$C$3:$H$14,6,0)</f>
        <v>26</v>
      </c>
      <c r="O268">
        <f>VLOOKUP(C268,技能CD配置辅助表!$C$3:$M$14,5,0)</f>
        <v>2</v>
      </c>
      <c r="P268">
        <f ca="1">IFERROR(VLOOKUP(A268+I268-10000003,D_技能表!A:AD,30,0)*(VLOOKUP(C268,技能CD配置辅助表!$C$3:$J$14,8,0)-G268)/VLOOKUP(C268,技能CD配置辅助表!$C$3:$J$14,8,0),0)*IF(VLOOKUP(C268,技能CD配置辅助表!$C$3:$F$14,4,0)=1,1,4)</f>
        <v>1294.1497348899718</v>
      </c>
      <c r="R268">
        <f t="shared" si="29"/>
        <v>1.45</v>
      </c>
    </row>
    <row r="269" spans="1:18" x14ac:dyDescent="0.15">
      <c r="A269">
        <f ca="1">VLOOKUP(B269,技能CD配置辅助表!$C$3:$K$14,9,0)+I269</f>
        <v>19322124</v>
      </c>
      <c r="B269" t="str">
        <f t="shared" si="30"/>
        <v>玫瑰之舞</v>
      </c>
      <c r="C269" t="s">
        <v>187</v>
      </c>
      <c r="D269">
        <f>VLOOKUP(C269,技能CD配置辅助表!$C$3:$E$14,3,0)</f>
        <v>3</v>
      </c>
      <c r="E269">
        <f>IF(I269=0,1,IF(I269&lt;3,VLOOKUP(C269,技能CD配置辅助表!$C$3:$I$14,7,0)+(I269-1)*2,VLOOKUP(C269,技能CD配置辅助表!$C$3:$I$14,7,0)+(I269-1)*3-1))</f>
        <v>72</v>
      </c>
      <c r="F269" t="str">
        <f t="shared" si="31"/>
        <v>第24级，技能冷却时间5.8秒</v>
      </c>
      <c r="G269">
        <f>VLOOKUP(C269,技能CD配置辅助表!$C$3:$J$14,8,0)-(VLOOKUP(C269,技能CD配置辅助表!$C$3:$J$14,8,0)-VLOOKUP(C269,技能CD配置辅助表!$C$2:$M$14,11,0))/(VLOOKUP(C269,技能CD配置辅助表!$C$3:$H$14,6,0)-1)*(I269-IF(I269=0,0,1))</f>
        <v>5800</v>
      </c>
      <c r="H269">
        <f ca="1">M269*'[1]0、经济设定'!$C$18*IF(E269&lt;J269,1,1)</f>
        <v>210500</v>
      </c>
      <c r="I269">
        <f t="shared" si="32"/>
        <v>24</v>
      </c>
      <c r="J269">
        <f>VLOOKUP(C269,技能CD配置辅助表!$C$3:$L$14,10,0)</f>
        <v>20</v>
      </c>
      <c r="K269">
        <f t="shared" ca="1" si="33"/>
        <v>1286</v>
      </c>
      <c r="L269" s="45">
        <f t="shared" ca="1" si="28"/>
        <v>600</v>
      </c>
      <c r="M269">
        <f t="shared" ca="1" si="34"/>
        <v>4210</v>
      </c>
      <c r="N269">
        <f>VLOOKUP(C269,技能CD配置辅助表!$C$3:$H$14,6,0)</f>
        <v>26</v>
      </c>
      <c r="O269">
        <f>VLOOKUP(C269,技能CD配置辅助表!$C$3:$M$14,5,0)</f>
        <v>2</v>
      </c>
      <c r="P269">
        <f ca="1">IFERROR(VLOOKUP(A269+I269-10000003,D_技能表!A:AD,30,0)*(VLOOKUP(C269,技能CD配置辅助表!$C$3:$J$14,8,0)-G269)/VLOOKUP(C269,技能CD配置辅助表!$C$3:$J$14,8,0),0)*IF(VLOOKUP(C269,技能CD配置辅助表!$C$3:$F$14,4,0)=1,1,4)</f>
        <v>1805.4440883241457</v>
      </c>
      <c r="R269">
        <f t="shared" si="29"/>
        <v>1.5</v>
      </c>
    </row>
    <row r="270" spans="1:18" x14ac:dyDescent="0.15">
      <c r="A270">
        <f ca="1">VLOOKUP(B270,技能CD配置辅助表!$C$3:$K$14,9,0)+I270</f>
        <v>19322125</v>
      </c>
      <c r="B270" t="str">
        <f t="shared" si="30"/>
        <v>玫瑰之舞</v>
      </c>
      <c r="C270" t="s">
        <v>187</v>
      </c>
      <c r="D270">
        <f>VLOOKUP(C270,技能CD配置辅助表!$C$3:$E$14,3,0)</f>
        <v>3</v>
      </c>
      <c r="E270">
        <f>IF(I270=0,1,IF(I270&lt;3,VLOOKUP(C270,技能CD配置辅助表!$C$3:$I$14,7,0)+(I270-1)*2,VLOOKUP(C270,技能CD配置辅助表!$C$3:$I$14,7,0)+(I270-1)*3-1))</f>
        <v>75</v>
      </c>
      <c r="F270" t="str">
        <f t="shared" si="31"/>
        <v>第25级，技能冷却时间5.4秒</v>
      </c>
      <c r="G270">
        <f>VLOOKUP(C270,技能CD配置辅助表!$C$3:$J$14,8,0)-(VLOOKUP(C270,技能CD配置辅助表!$C$3:$J$14,8,0)-VLOOKUP(C270,技能CD配置辅助表!$C$2:$M$14,11,0))/(VLOOKUP(C270,技能CD配置辅助表!$C$3:$H$14,6,0)-1)*(I270-IF(I270=0,0,1))</f>
        <v>5400</v>
      </c>
      <c r="H270">
        <f ca="1">M270*'[1]0、经济设定'!$C$18*IF(E270&lt;J270,1,1)</f>
        <v>245350</v>
      </c>
      <c r="I270">
        <f t="shared" si="32"/>
        <v>25</v>
      </c>
      <c r="J270">
        <f>VLOOKUP(C270,技能CD配置辅助表!$C$3:$L$14,10,0)</f>
        <v>20</v>
      </c>
      <c r="K270">
        <f t="shared" ca="1" si="33"/>
        <v>1544</v>
      </c>
      <c r="L270" s="45">
        <f t="shared" ca="1" si="28"/>
        <v>697</v>
      </c>
      <c r="M270">
        <f t="shared" ca="1" si="34"/>
        <v>4907</v>
      </c>
      <c r="N270">
        <f>VLOOKUP(C270,技能CD配置辅助表!$C$3:$H$14,6,0)</f>
        <v>26</v>
      </c>
      <c r="O270">
        <f>VLOOKUP(C270,技能CD配置辅助表!$C$3:$M$14,5,0)</f>
        <v>2</v>
      </c>
      <c r="P270">
        <f ca="1">IFERROR(VLOOKUP(A270+I270-10000003,D_技能表!A:AD,30,0)*(VLOOKUP(C270,技能CD配置辅助表!$C$3:$J$14,8,0)-G270)/VLOOKUP(C270,技能CD配置辅助表!$C$3:$J$14,8,0),0)*IF(VLOOKUP(C270,技能CD配置辅助表!$C$3:$F$14,4,0)=1,1,4)</f>
        <v>2511.9118695538587</v>
      </c>
      <c r="R270">
        <f t="shared" si="29"/>
        <v>1.55</v>
      </c>
    </row>
    <row r="271" spans="1:18" x14ac:dyDescent="0.15">
      <c r="A271">
        <f ca="1">VLOOKUP(B271,技能CD配置辅助表!$C$3:$K$14,9,0)+I271</f>
        <v>19322126</v>
      </c>
      <c r="B271" t="str">
        <f t="shared" si="30"/>
        <v>玫瑰之舞</v>
      </c>
      <c r="C271" t="s">
        <v>187</v>
      </c>
      <c r="D271">
        <f>VLOOKUP(C271,技能CD配置辅助表!$C$3:$E$14,3,0)</f>
        <v>3</v>
      </c>
      <c r="E271">
        <f>IF(I271=0,1,IF(I271&lt;3,VLOOKUP(C271,技能CD配置辅助表!$C$3:$I$14,7,0)+(I271-1)*2,VLOOKUP(C271,技能CD配置辅助表!$C$3:$I$14,7,0)+(I271-1)*3-1))</f>
        <v>78</v>
      </c>
      <c r="F271" t="str">
        <f t="shared" si="31"/>
        <v>第26级，技能冷却时间5秒</v>
      </c>
      <c r="G271">
        <f>VLOOKUP(C271,技能CD配置辅助表!$C$3:$J$14,8,0)-(VLOOKUP(C271,技能CD配置辅助表!$C$3:$J$14,8,0)-VLOOKUP(C271,技能CD配置辅助表!$C$2:$M$14,11,0))/(VLOOKUP(C271,技能CD配置辅助表!$C$3:$H$14,6,0)-1)*(I271-IF(I271=0,0,1))</f>
        <v>5000</v>
      </c>
      <c r="H271">
        <f ca="1">M271*'[1]0、经济设定'!$C$18*IF(E271&lt;J271,1,1)</f>
        <v>285750</v>
      </c>
      <c r="I271">
        <f t="shared" si="32"/>
        <v>26</v>
      </c>
      <c r="J271">
        <f>VLOOKUP(C271,技能CD配置辅助表!$C$3:$L$14,10,0)</f>
        <v>20</v>
      </c>
      <c r="K271">
        <f t="shared" ca="1" si="33"/>
        <v>1847</v>
      </c>
      <c r="L271" s="45">
        <f t="shared" ca="1" si="28"/>
        <v>808</v>
      </c>
      <c r="M271">
        <f t="shared" ca="1" si="34"/>
        <v>5715</v>
      </c>
      <c r="N271">
        <f>VLOOKUP(C271,技能CD配置辅助表!$C$3:$H$14,6,0)</f>
        <v>26</v>
      </c>
      <c r="O271">
        <f>VLOOKUP(C271,技能CD配置辅助表!$C$3:$M$14,5,0)</f>
        <v>2</v>
      </c>
      <c r="P271">
        <f ca="1">IFERROR(VLOOKUP(A271+I271-10000003,D_技能表!A:AD,30,0)*(VLOOKUP(C271,技能CD配置辅助表!$C$3:$J$14,8,0)-G271)/VLOOKUP(C271,技能CD配置辅助表!$C$3:$J$14,8,0),0)*IF(VLOOKUP(C271,技能CD配置辅助表!$C$3:$F$14,4,0)=1,1,4)</f>
        <v>3486.0399714422638</v>
      </c>
      <c r="R271">
        <f t="shared" si="29"/>
        <v>1.6</v>
      </c>
    </row>
    <row r="272" spans="1:18" x14ac:dyDescent="0.15">
      <c r="A272">
        <f ca="1">VLOOKUP(B272,技能CD配置辅助表!$C$3:$K$14,9,0)+I272</f>
        <v>19313100</v>
      </c>
      <c r="B272" t="str">
        <f t="shared" si="30"/>
        <v>聚能手雷</v>
      </c>
      <c r="C272" t="s">
        <v>178</v>
      </c>
      <c r="D272">
        <f>VLOOKUP(C272,技能CD配置辅助表!$C$3:$E$14,3,0)</f>
        <v>3</v>
      </c>
      <c r="E272">
        <f>IF(I272=0,1,IF(I272&lt;3,VLOOKUP(C272,技能CD配置辅助表!$C$3:$I$14,7,0)+(I272-1)*2,VLOOKUP(C272,技能CD配置辅助表!$C$3:$I$14,7,0)+(I272-1)*3-1))</f>
        <v>1</v>
      </c>
      <c r="F272" t="str">
        <f t="shared" si="31"/>
        <v>第0级，技能冷却时间13秒</v>
      </c>
      <c r="G272">
        <f>VLOOKUP(C272,技能CD配置辅助表!$C$3:$J$14,8,0)-(VLOOKUP(C272,技能CD配置辅助表!$C$3:$J$14,8,0)-VLOOKUP(C272,技能CD配置辅助表!$C$2:$M$14,11,0))/(VLOOKUP(C272,技能CD配置辅助表!$C$3:$H$14,6,0)-1)*(I272-IF(I272=0,0,1))</f>
        <v>13000</v>
      </c>
      <c r="H272">
        <f>M272*'[1]0、经济设定'!$C$18*IF(E272&lt;J272,1,1)</f>
        <v>0</v>
      </c>
      <c r="I272">
        <f t="shared" si="32"/>
        <v>0</v>
      </c>
      <c r="J272">
        <f>VLOOKUP(C272,技能CD配置辅助表!$C$3:$L$14,10,0)</f>
        <v>20</v>
      </c>
      <c r="K272">
        <f t="shared" si="33"/>
        <v>0</v>
      </c>
      <c r="L272" s="45">
        <f t="shared" ca="1" si="28"/>
        <v>0</v>
      </c>
      <c r="M272">
        <f t="shared" si="34"/>
        <v>0</v>
      </c>
      <c r="N272">
        <f>VLOOKUP(C272,技能CD配置辅助表!$C$3:$H$14,6,0)</f>
        <v>26</v>
      </c>
      <c r="O272">
        <f>VLOOKUP(C272,技能CD配置辅助表!$C$3:$M$14,5,0)</f>
        <v>3</v>
      </c>
      <c r="P272">
        <f ca="1">IFERROR(VLOOKUP(A272+I272-10000003,D_技能表!A:AD,30,0)*(VLOOKUP(C272,技能CD配置辅助表!$C$3:$J$14,8,0)-G272)/VLOOKUP(C272,技能CD配置辅助表!$C$3:$J$14,8,0),0)*IF(VLOOKUP(C272,技能CD配置辅助表!$C$3:$F$14,4,0)=1,1,4)</f>
        <v>0</v>
      </c>
      <c r="R272">
        <f t="shared" si="29"/>
        <v>0</v>
      </c>
    </row>
    <row r="273" spans="1:18" x14ac:dyDescent="0.15">
      <c r="A273">
        <f ca="1">VLOOKUP(B273,技能CD配置辅助表!$C$3:$K$14,9,0)+I273</f>
        <v>19313101</v>
      </c>
      <c r="B273" t="str">
        <f t="shared" si="30"/>
        <v>聚能手雷</v>
      </c>
      <c r="C273" t="s">
        <v>178</v>
      </c>
      <c r="D273">
        <f>VLOOKUP(C273,技能CD配置辅助表!$C$3:$E$14,3,0)</f>
        <v>3</v>
      </c>
      <c r="E273">
        <f>IF(I273=0,1,IF(I273&lt;3,VLOOKUP(C273,技能CD配置辅助表!$C$3:$I$14,7,0)+(I273-1)*2,VLOOKUP(C273,技能CD配置辅助表!$C$3:$I$14,7,0)+(I273-1)*3-1))</f>
        <v>5</v>
      </c>
      <c r="F273" t="str">
        <f t="shared" si="31"/>
        <v>第1级，技能冷却时间13秒</v>
      </c>
      <c r="G273">
        <f>VLOOKUP(C273,技能CD配置辅助表!$C$3:$J$14,8,0)-(VLOOKUP(C273,技能CD配置辅助表!$C$3:$J$14,8,0)-VLOOKUP(C273,技能CD配置辅助表!$C$2:$M$14,11,0))/(VLOOKUP(C273,技能CD配置辅助表!$C$3:$H$14,6,0)-1)*(I273-IF(I273=0,0,1))</f>
        <v>13000</v>
      </c>
      <c r="H273">
        <f ca="1">M273*'[1]0、经济设定'!$C$18*IF(E273&lt;J273,1,1)</f>
        <v>0</v>
      </c>
      <c r="I273">
        <f t="shared" si="32"/>
        <v>1</v>
      </c>
      <c r="J273">
        <f>VLOOKUP(C273,技能CD配置辅助表!$C$3:$L$14,10,0)</f>
        <v>20</v>
      </c>
      <c r="K273">
        <f t="shared" si="33"/>
        <v>0</v>
      </c>
      <c r="L273" s="45">
        <f t="shared" ca="1" si="28"/>
        <v>0</v>
      </c>
      <c r="M273">
        <f t="shared" ca="1" si="34"/>
        <v>0</v>
      </c>
      <c r="N273">
        <f>VLOOKUP(C273,技能CD配置辅助表!$C$3:$H$14,6,0)</f>
        <v>26</v>
      </c>
      <c r="O273">
        <f>VLOOKUP(C273,技能CD配置辅助表!$C$3:$M$14,5,0)</f>
        <v>3</v>
      </c>
      <c r="P273">
        <f ca="1">IFERROR(VLOOKUP(A273+I273-10000003,D_技能表!A:AD,30,0)*(VLOOKUP(C273,技能CD配置辅助表!$C$3:$J$14,8,0)-G273)/VLOOKUP(C273,技能CD配置辅助表!$C$3:$J$14,8,0),0)*IF(VLOOKUP(C273,技能CD配置辅助表!$C$3:$F$14,4,0)=1,1,4)</f>
        <v>0</v>
      </c>
      <c r="R273">
        <f t="shared" si="29"/>
        <v>0</v>
      </c>
    </row>
    <row r="274" spans="1:18" x14ac:dyDescent="0.15">
      <c r="A274">
        <f ca="1">VLOOKUP(B274,技能CD配置辅助表!$C$3:$K$14,9,0)+I274</f>
        <v>19313102</v>
      </c>
      <c r="B274" t="str">
        <f t="shared" si="30"/>
        <v>聚能手雷</v>
      </c>
      <c r="C274" t="s">
        <v>178</v>
      </c>
      <c r="D274">
        <f>VLOOKUP(C274,技能CD配置辅助表!$C$3:$E$14,3,0)</f>
        <v>3</v>
      </c>
      <c r="E274">
        <f>IF(I274=0,1,IF(I274&lt;3,VLOOKUP(C274,技能CD配置辅助表!$C$3:$I$14,7,0)+(I274-1)*2,VLOOKUP(C274,技能CD配置辅助表!$C$3:$I$14,7,0)+(I274-1)*3-1))</f>
        <v>7</v>
      </c>
      <c r="F274" t="str">
        <f t="shared" si="31"/>
        <v>第2级，技能冷却时间12.72秒</v>
      </c>
      <c r="G274">
        <f>VLOOKUP(C274,技能CD配置辅助表!$C$3:$J$14,8,0)-(VLOOKUP(C274,技能CD配置辅助表!$C$3:$J$14,8,0)-VLOOKUP(C274,技能CD配置辅助表!$C$2:$M$14,11,0))/(VLOOKUP(C274,技能CD配置辅助表!$C$3:$H$14,6,0)-1)*(I274-IF(I274=0,0,1))</f>
        <v>12720</v>
      </c>
      <c r="H274">
        <f ca="1">M274*'[1]0、经济设定'!$C$18*IF(E274&lt;J274,1,1)</f>
        <v>500</v>
      </c>
      <c r="I274">
        <f t="shared" si="32"/>
        <v>2</v>
      </c>
      <c r="J274">
        <f>VLOOKUP(C274,技能CD配置辅助表!$C$3:$L$14,10,0)</f>
        <v>20</v>
      </c>
      <c r="K274">
        <f t="shared" si="33"/>
        <v>0</v>
      </c>
      <c r="L274" s="45">
        <f t="shared" ca="1" si="28"/>
        <v>10</v>
      </c>
      <c r="M274">
        <f t="shared" ca="1" si="34"/>
        <v>10</v>
      </c>
      <c r="N274">
        <f>VLOOKUP(C274,技能CD配置辅助表!$C$3:$H$14,6,0)</f>
        <v>26</v>
      </c>
      <c r="O274">
        <f>VLOOKUP(C274,技能CD配置辅助表!$C$3:$M$14,5,0)</f>
        <v>3</v>
      </c>
      <c r="P274">
        <f ca="1">IFERROR(VLOOKUP(A274+I274-10000003,D_技能表!A:AD,30,0)*(VLOOKUP(C274,技能CD配置辅助表!$C$3:$J$14,8,0)-G274)/VLOOKUP(C274,技能CD配置辅助表!$C$3:$J$14,8,0),0)*IF(VLOOKUP(C274,技能CD配置辅助表!$C$3:$F$14,4,0)=1,1,4)</f>
        <v>5.6452767566697426E-2</v>
      </c>
      <c r="R274">
        <f t="shared" si="29"/>
        <v>0</v>
      </c>
    </row>
    <row r="275" spans="1:18" x14ac:dyDescent="0.15">
      <c r="A275">
        <f ca="1">VLOOKUP(B275,技能CD配置辅助表!$C$3:$K$14,9,0)+I275</f>
        <v>19313103</v>
      </c>
      <c r="B275" t="str">
        <f t="shared" si="30"/>
        <v>聚能手雷</v>
      </c>
      <c r="C275" t="s">
        <v>178</v>
      </c>
      <c r="D275">
        <f>VLOOKUP(C275,技能CD配置辅助表!$C$3:$E$14,3,0)</f>
        <v>3</v>
      </c>
      <c r="E275">
        <f>IF(I275=0,1,IF(I275&lt;3,VLOOKUP(C275,技能CD配置辅助表!$C$3:$I$14,7,0)+(I275-1)*2,VLOOKUP(C275,技能CD配置辅助表!$C$3:$I$14,7,0)+(I275-1)*3-1))</f>
        <v>10</v>
      </c>
      <c r="F275" t="str">
        <f t="shared" si="31"/>
        <v>第3级，技能冷却时间12.44秒</v>
      </c>
      <c r="G275">
        <f>VLOOKUP(C275,技能CD配置辅助表!$C$3:$J$14,8,0)-(VLOOKUP(C275,技能CD配置辅助表!$C$3:$J$14,8,0)-VLOOKUP(C275,技能CD配置辅助表!$C$2:$M$14,11,0))/(VLOOKUP(C275,技能CD配置辅助表!$C$3:$H$14,6,0)-1)*(I275-IF(I275=0,0,1))</f>
        <v>12440</v>
      </c>
      <c r="H275">
        <f ca="1">M275*'[1]0、经济设定'!$C$18*IF(E275&lt;J275,1,1)</f>
        <v>1100</v>
      </c>
      <c r="I275">
        <f t="shared" si="32"/>
        <v>3</v>
      </c>
      <c r="J275">
        <f>VLOOKUP(C275,技能CD配置辅助表!$C$3:$L$14,10,0)</f>
        <v>20</v>
      </c>
      <c r="K275">
        <f t="shared" si="33"/>
        <v>0</v>
      </c>
      <c r="L275" s="45">
        <f t="shared" ca="1" si="28"/>
        <v>12</v>
      </c>
      <c r="M275">
        <f t="shared" ca="1" si="34"/>
        <v>22</v>
      </c>
      <c r="N275">
        <f>VLOOKUP(C275,技能CD配置辅助表!$C$3:$H$14,6,0)</f>
        <v>26</v>
      </c>
      <c r="O275">
        <f>VLOOKUP(C275,技能CD配置辅助表!$C$3:$M$14,5,0)</f>
        <v>3</v>
      </c>
      <c r="P275">
        <f ca="1">IFERROR(VLOOKUP(A275+I275-10000003,D_技能表!A:AD,30,0)*(VLOOKUP(C275,技能CD配置辅助表!$C$3:$J$14,8,0)-G275)/VLOOKUP(C275,技能CD配置辅助表!$C$3:$J$14,8,0),0)*IF(VLOOKUP(C275,技能CD配置辅助表!$C$3:$F$14,4,0)=1,1,4)</f>
        <v>0.15515490344148292</v>
      </c>
      <c r="R275">
        <f t="shared" si="29"/>
        <v>0</v>
      </c>
    </row>
    <row r="276" spans="1:18" x14ac:dyDescent="0.15">
      <c r="A276">
        <f ca="1">VLOOKUP(B276,技能CD配置辅助表!$C$3:$K$14,9,0)+I276</f>
        <v>19313104</v>
      </c>
      <c r="B276" t="str">
        <f t="shared" si="30"/>
        <v>聚能手雷</v>
      </c>
      <c r="C276" t="s">
        <v>178</v>
      </c>
      <c r="D276">
        <f>VLOOKUP(C276,技能CD配置辅助表!$C$3:$E$14,3,0)</f>
        <v>3</v>
      </c>
      <c r="E276">
        <f>IF(I276=0,1,IF(I276&lt;3,VLOOKUP(C276,技能CD配置辅助表!$C$3:$I$14,7,0)+(I276-1)*2,VLOOKUP(C276,技能CD配置辅助表!$C$3:$I$14,7,0)+(I276-1)*3-1))</f>
        <v>13</v>
      </c>
      <c r="F276" t="str">
        <f t="shared" si="31"/>
        <v>第4级，技能冷却时间12.16秒</v>
      </c>
      <c r="G276">
        <f>VLOOKUP(C276,技能CD配置辅助表!$C$3:$J$14,8,0)-(VLOOKUP(C276,技能CD配置辅助表!$C$3:$J$14,8,0)-VLOOKUP(C276,技能CD配置辅助表!$C$2:$M$14,11,0))/(VLOOKUP(C276,技能CD配置辅助表!$C$3:$H$14,6,0)-1)*(I276-IF(I276=0,0,1))</f>
        <v>12160</v>
      </c>
      <c r="H276">
        <f ca="1">M276*'[1]0、经济设定'!$C$18*IF(E276&lt;J276,1,1)</f>
        <v>1800</v>
      </c>
      <c r="I276">
        <f t="shared" si="32"/>
        <v>4</v>
      </c>
      <c r="J276">
        <f>VLOOKUP(C276,技能CD配置辅助表!$C$3:$L$14,10,0)</f>
        <v>20</v>
      </c>
      <c r="K276">
        <f t="shared" si="33"/>
        <v>0</v>
      </c>
      <c r="L276" s="45">
        <f t="shared" ca="1" si="28"/>
        <v>14</v>
      </c>
      <c r="M276">
        <f t="shared" ca="1" si="34"/>
        <v>36</v>
      </c>
      <c r="N276">
        <f>VLOOKUP(C276,技能CD配置辅助表!$C$3:$H$14,6,0)</f>
        <v>26</v>
      </c>
      <c r="O276">
        <f>VLOOKUP(C276,技能CD配置辅助表!$C$3:$M$14,5,0)</f>
        <v>3</v>
      </c>
      <c r="P276">
        <f ca="1">IFERROR(VLOOKUP(A276+I276-10000003,D_技能表!A:AD,30,0)*(VLOOKUP(C276,技能CD配置辅助表!$C$3:$J$14,8,0)-G276)/VLOOKUP(C276,技能CD配置辅助表!$C$3:$J$14,8,0),0)*IF(VLOOKUP(C276,技能CD配置辅助表!$C$3:$F$14,4,0)=1,1,4)</f>
        <v>0.31307843255624468</v>
      </c>
      <c r="R276">
        <f t="shared" si="29"/>
        <v>0</v>
      </c>
    </row>
    <row r="277" spans="1:18" x14ac:dyDescent="0.15">
      <c r="A277">
        <f ca="1">VLOOKUP(B277,技能CD配置辅助表!$C$3:$K$14,9,0)+I277</f>
        <v>19313105</v>
      </c>
      <c r="B277" t="str">
        <f t="shared" si="30"/>
        <v>聚能手雷</v>
      </c>
      <c r="C277" t="s">
        <v>178</v>
      </c>
      <c r="D277">
        <f>VLOOKUP(C277,技能CD配置辅助表!$C$3:$E$14,3,0)</f>
        <v>3</v>
      </c>
      <c r="E277">
        <f>IF(I277=0,1,IF(I277&lt;3,VLOOKUP(C277,技能CD配置辅助表!$C$3:$I$14,7,0)+(I277-1)*2,VLOOKUP(C277,技能CD配置辅助表!$C$3:$I$14,7,0)+(I277-1)*3-1))</f>
        <v>16</v>
      </c>
      <c r="F277" t="str">
        <f t="shared" si="31"/>
        <v>第5级，技能冷却时间11.88秒</v>
      </c>
      <c r="G277">
        <f>VLOOKUP(C277,技能CD配置辅助表!$C$3:$J$14,8,0)-(VLOOKUP(C277,技能CD配置辅助表!$C$3:$J$14,8,0)-VLOOKUP(C277,技能CD配置辅助表!$C$2:$M$14,11,0))/(VLOOKUP(C277,技能CD配置辅助表!$C$3:$H$14,6,0)-1)*(I277-IF(I277=0,0,1))</f>
        <v>11880</v>
      </c>
      <c r="H277">
        <f ca="1">M277*'[1]0、经济设定'!$C$18*IF(E277&lt;J277,1,1)</f>
        <v>2600</v>
      </c>
      <c r="I277">
        <f t="shared" si="32"/>
        <v>5</v>
      </c>
      <c r="J277">
        <f>VLOOKUP(C277,技能CD配置辅助表!$C$3:$L$14,10,0)</f>
        <v>20</v>
      </c>
      <c r="K277">
        <f t="shared" si="33"/>
        <v>0</v>
      </c>
      <c r="L277" s="45">
        <f t="shared" ca="1" si="28"/>
        <v>16</v>
      </c>
      <c r="M277">
        <f t="shared" ca="1" si="34"/>
        <v>52</v>
      </c>
      <c r="N277">
        <f>VLOOKUP(C277,技能CD配置辅助表!$C$3:$H$14,6,0)</f>
        <v>26</v>
      </c>
      <c r="O277">
        <f>VLOOKUP(C277,技能CD配置辅助表!$C$3:$M$14,5,0)</f>
        <v>3</v>
      </c>
      <c r="P277">
        <f ca="1">IFERROR(VLOOKUP(A277+I277-10000003,D_技能表!A:AD,30,0)*(VLOOKUP(C277,技能CD配置辅助表!$C$3:$J$14,8,0)-G277)/VLOOKUP(C277,技能CD配置辅助表!$C$3:$J$14,8,0),0)*IF(VLOOKUP(C277,技能CD配置辅助表!$C$3:$F$14,4,0)=1,1,4)</f>
        <v>0.56080238810785699</v>
      </c>
      <c r="R277">
        <f t="shared" si="29"/>
        <v>0.1</v>
      </c>
    </row>
    <row r="278" spans="1:18" x14ac:dyDescent="0.15">
      <c r="A278">
        <f ca="1">VLOOKUP(B278,技能CD配置辅助表!$C$3:$K$14,9,0)+I278</f>
        <v>19313106</v>
      </c>
      <c r="B278" t="str">
        <f t="shared" si="30"/>
        <v>聚能手雷</v>
      </c>
      <c r="C278" t="s">
        <v>178</v>
      </c>
      <c r="D278">
        <f>VLOOKUP(C278,技能CD配置辅助表!$C$3:$E$14,3,0)</f>
        <v>3</v>
      </c>
      <c r="E278">
        <f>IF(I278=0,1,IF(I278&lt;3,VLOOKUP(C278,技能CD配置辅助表!$C$3:$I$14,7,0)+(I278-1)*2,VLOOKUP(C278,技能CD配置辅助表!$C$3:$I$14,7,0)+(I278-1)*3-1))</f>
        <v>19</v>
      </c>
      <c r="F278" t="str">
        <f t="shared" si="31"/>
        <v>第6级，技能冷却时间11.6秒</v>
      </c>
      <c r="G278">
        <f>VLOOKUP(C278,技能CD配置辅助表!$C$3:$J$14,8,0)-(VLOOKUP(C278,技能CD配置辅助表!$C$3:$J$14,8,0)-VLOOKUP(C278,技能CD配置辅助表!$C$2:$M$14,11,0))/(VLOOKUP(C278,技能CD配置辅助表!$C$3:$H$14,6,0)-1)*(I278-IF(I278=0,0,1))</f>
        <v>11600</v>
      </c>
      <c r="H278">
        <f ca="1">M278*'[1]0、经济设定'!$C$18*IF(E278&lt;J278,1,1)</f>
        <v>3500</v>
      </c>
      <c r="I278">
        <f t="shared" si="32"/>
        <v>6</v>
      </c>
      <c r="J278">
        <f>VLOOKUP(C278,技能CD配置辅助表!$C$3:$L$14,10,0)</f>
        <v>20</v>
      </c>
      <c r="K278">
        <f t="shared" si="33"/>
        <v>0</v>
      </c>
      <c r="L278" s="45">
        <f t="shared" ca="1" si="28"/>
        <v>18</v>
      </c>
      <c r="M278">
        <f t="shared" ca="1" si="34"/>
        <v>70</v>
      </c>
      <c r="N278">
        <f>VLOOKUP(C278,技能CD配置辅助表!$C$3:$H$14,6,0)</f>
        <v>26</v>
      </c>
      <c r="O278">
        <f>VLOOKUP(C278,技能CD配置辅助表!$C$3:$M$14,5,0)</f>
        <v>3</v>
      </c>
      <c r="P278">
        <f ca="1">IFERROR(VLOOKUP(A278+I278-10000003,D_技能表!A:AD,30,0)*(VLOOKUP(C278,技能CD配置辅助表!$C$3:$J$14,8,0)-G278)/VLOOKUP(C278,技能CD配置辅助表!$C$3:$J$14,8,0),0)*IF(VLOOKUP(C278,技能CD配置辅助表!$C$3:$F$14,4,0)=1,1,4)</f>
        <v>0.94058801753388965</v>
      </c>
      <c r="R278">
        <f t="shared" si="29"/>
        <v>0.2</v>
      </c>
    </row>
    <row r="279" spans="1:18" x14ac:dyDescent="0.15">
      <c r="A279">
        <f ca="1">VLOOKUP(B279,技能CD配置辅助表!$C$3:$K$14,9,0)+I279</f>
        <v>19313107</v>
      </c>
      <c r="B279" t="str">
        <f t="shared" si="30"/>
        <v>聚能手雷</v>
      </c>
      <c r="C279" t="s">
        <v>178</v>
      </c>
      <c r="D279">
        <f>VLOOKUP(C279,技能CD配置辅助表!$C$3:$E$14,3,0)</f>
        <v>3</v>
      </c>
      <c r="E279">
        <f>IF(I279=0,1,IF(I279&lt;3,VLOOKUP(C279,技能CD配置辅助表!$C$3:$I$14,7,0)+(I279-1)*2,VLOOKUP(C279,技能CD配置辅助表!$C$3:$I$14,7,0)+(I279-1)*3-1))</f>
        <v>22</v>
      </c>
      <c r="F279" t="str">
        <f t="shared" si="31"/>
        <v>第7级，技能冷却时间11.32秒</v>
      </c>
      <c r="G279">
        <f>VLOOKUP(C279,技能CD配置辅助表!$C$3:$J$14,8,0)-(VLOOKUP(C279,技能CD配置辅助表!$C$3:$J$14,8,0)-VLOOKUP(C279,技能CD配置辅助表!$C$2:$M$14,11,0))/(VLOOKUP(C279,技能CD配置辅助表!$C$3:$H$14,6,0)-1)*(I279-IF(I279=0,0,1))</f>
        <v>11320</v>
      </c>
      <c r="H279">
        <f ca="1">M279*'[1]0、经济设定'!$C$18*IF(E279&lt;J279,1,1)</f>
        <v>4550</v>
      </c>
      <c r="I279">
        <f t="shared" si="32"/>
        <v>7</v>
      </c>
      <c r="J279">
        <f>VLOOKUP(C279,技能CD配置辅助表!$C$3:$L$14,10,0)</f>
        <v>20</v>
      </c>
      <c r="K279">
        <f t="shared" ca="1" si="33"/>
        <v>9</v>
      </c>
      <c r="L279" s="45">
        <f t="shared" ca="1" si="28"/>
        <v>21</v>
      </c>
      <c r="M279">
        <f t="shared" ca="1" si="34"/>
        <v>91</v>
      </c>
      <c r="N279">
        <f>VLOOKUP(C279,技能CD配置辅助表!$C$3:$H$14,6,0)</f>
        <v>26</v>
      </c>
      <c r="O279">
        <f>VLOOKUP(C279,技能CD配置辅助表!$C$3:$M$14,5,0)</f>
        <v>3</v>
      </c>
      <c r="P279">
        <f ca="1">IFERROR(VLOOKUP(A279+I279-10000003,D_技能表!A:AD,30,0)*(VLOOKUP(C279,技能CD配置辅助表!$C$3:$J$14,8,0)-G279)/VLOOKUP(C279,技能CD配置辅助表!$C$3:$J$14,8,0),0)*IF(VLOOKUP(C279,技能CD配置辅助表!$C$3:$F$14,4,0)=1,1,4)</f>
        <v>1.5127176726382103</v>
      </c>
      <c r="R279">
        <f t="shared" si="29"/>
        <v>0.3</v>
      </c>
    </row>
    <row r="280" spans="1:18" x14ac:dyDescent="0.15">
      <c r="A280">
        <f ca="1">VLOOKUP(B280,技能CD配置辅助表!$C$3:$K$14,9,0)+I280</f>
        <v>19313108</v>
      </c>
      <c r="B280" t="str">
        <f t="shared" si="30"/>
        <v>聚能手雷</v>
      </c>
      <c r="C280" t="s">
        <v>178</v>
      </c>
      <c r="D280">
        <f>VLOOKUP(C280,技能CD配置辅助表!$C$3:$E$14,3,0)</f>
        <v>3</v>
      </c>
      <c r="E280">
        <f>IF(I280=0,1,IF(I280&lt;3,VLOOKUP(C280,技能CD配置辅助表!$C$3:$I$14,7,0)+(I280-1)*2,VLOOKUP(C280,技能CD配置辅助表!$C$3:$I$14,7,0)+(I280-1)*3-1))</f>
        <v>25</v>
      </c>
      <c r="F280" t="str">
        <f t="shared" si="31"/>
        <v>第8级，技能冷却时间11.04秒</v>
      </c>
      <c r="G280">
        <f>VLOOKUP(C280,技能CD配置辅助表!$C$3:$J$14,8,0)-(VLOOKUP(C280,技能CD配置辅助表!$C$3:$J$14,8,0)-VLOOKUP(C280,技能CD配置辅助表!$C$2:$M$14,11,0))/(VLOOKUP(C280,技能CD配置辅助表!$C$3:$H$14,6,0)-1)*(I280-IF(I280=0,0,1))</f>
        <v>11040</v>
      </c>
      <c r="H280">
        <f ca="1">M280*'[1]0、经济设定'!$C$18*IF(E280&lt;J280,1,1)</f>
        <v>5800</v>
      </c>
      <c r="I280">
        <f t="shared" si="32"/>
        <v>8</v>
      </c>
      <c r="J280">
        <f>VLOOKUP(C280,技能CD配置辅助表!$C$3:$L$14,10,0)</f>
        <v>20</v>
      </c>
      <c r="K280">
        <f t="shared" ca="1" si="33"/>
        <v>15</v>
      </c>
      <c r="L280" s="45">
        <f t="shared" ca="1" si="28"/>
        <v>25</v>
      </c>
      <c r="M280">
        <f t="shared" ca="1" si="34"/>
        <v>116</v>
      </c>
      <c r="N280">
        <f>VLOOKUP(C280,技能CD配置辅助表!$C$3:$H$14,6,0)</f>
        <v>26</v>
      </c>
      <c r="O280">
        <f>VLOOKUP(C280,技能CD配置辅助表!$C$3:$M$14,5,0)</f>
        <v>3</v>
      </c>
      <c r="P280">
        <f ca="1">IFERROR(VLOOKUP(A280+I280-10000003,D_技能表!A:AD,30,0)*(VLOOKUP(C280,技能CD配置辅助表!$C$3:$J$14,8,0)-G280)/VLOOKUP(C280,技能CD配置辅助表!$C$3:$J$14,8,0),0)*IF(VLOOKUP(C280,技能CD配置辅助表!$C$3:$F$14,4,0)=1,1,4)</f>
        <v>2.3627185765705856</v>
      </c>
      <c r="R280">
        <f t="shared" si="29"/>
        <v>0.4</v>
      </c>
    </row>
    <row r="281" spans="1:18" x14ac:dyDescent="0.15">
      <c r="A281">
        <f ca="1">VLOOKUP(B281,技能CD配置辅助表!$C$3:$K$14,9,0)+I281</f>
        <v>19313109</v>
      </c>
      <c r="B281" t="str">
        <f t="shared" si="30"/>
        <v>聚能手雷</v>
      </c>
      <c r="C281" t="s">
        <v>178</v>
      </c>
      <c r="D281">
        <f>VLOOKUP(C281,技能CD配置辅助表!$C$3:$E$14,3,0)</f>
        <v>3</v>
      </c>
      <c r="E281">
        <f>IF(I281=0,1,IF(I281&lt;3,VLOOKUP(C281,技能CD配置辅助表!$C$3:$I$14,7,0)+(I281-1)*2,VLOOKUP(C281,技能CD配置辅助表!$C$3:$I$14,7,0)+(I281-1)*3-1))</f>
        <v>28</v>
      </c>
      <c r="F281" t="str">
        <f t="shared" si="31"/>
        <v>第9级，技能冷却时间10.76秒</v>
      </c>
      <c r="G281">
        <f>VLOOKUP(C281,技能CD配置辅助表!$C$3:$J$14,8,0)-(VLOOKUP(C281,技能CD配置辅助表!$C$3:$J$14,8,0)-VLOOKUP(C281,技能CD配置辅助表!$C$2:$M$14,11,0))/(VLOOKUP(C281,技能CD配置辅助表!$C$3:$H$14,6,0)-1)*(I281-IF(I281=0,0,1))</f>
        <v>10760</v>
      </c>
      <c r="H281">
        <f ca="1">M281*'[1]0、经济设定'!$C$18*IF(E281&lt;J281,1,1)</f>
        <v>7250</v>
      </c>
      <c r="I281">
        <f t="shared" si="32"/>
        <v>9</v>
      </c>
      <c r="J281">
        <f>VLOOKUP(C281,技能CD配置辅助表!$C$3:$L$14,10,0)</f>
        <v>20</v>
      </c>
      <c r="K281">
        <f t="shared" ca="1" si="33"/>
        <v>21</v>
      </c>
      <c r="L281" s="45">
        <f t="shared" ca="1" si="28"/>
        <v>29</v>
      </c>
      <c r="M281">
        <f t="shared" ca="1" si="34"/>
        <v>145</v>
      </c>
      <c r="N281">
        <f>VLOOKUP(C281,技能CD配置辅助表!$C$3:$H$14,6,0)</f>
        <v>26</v>
      </c>
      <c r="O281">
        <f>VLOOKUP(C281,技能CD配置辅助表!$C$3:$M$14,5,0)</f>
        <v>3</v>
      </c>
      <c r="P281">
        <f ca="1">IFERROR(VLOOKUP(A281+I281-10000003,D_技能表!A:AD,30,0)*(VLOOKUP(C281,技能CD配置辅助表!$C$3:$J$14,8,0)-G281)/VLOOKUP(C281,技能CD配置辅助表!$C$3:$J$14,8,0),0)*IF(VLOOKUP(C281,技能CD配置辅助表!$C$3:$F$14,4,0)=1,1,4)</f>
        <v>3.6113606194410255</v>
      </c>
      <c r="R281">
        <f t="shared" si="29"/>
        <v>0.5</v>
      </c>
    </row>
    <row r="282" spans="1:18" x14ac:dyDescent="0.15">
      <c r="A282">
        <f ca="1">VLOOKUP(B282,技能CD配置辅助表!$C$3:$K$14,9,0)+I282</f>
        <v>19313110</v>
      </c>
      <c r="B282" t="str">
        <f t="shared" si="30"/>
        <v>聚能手雷</v>
      </c>
      <c r="C282" t="s">
        <v>178</v>
      </c>
      <c r="D282">
        <f>VLOOKUP(C282,技能CD配置辅助表!$C$3:$E$14,3,0)</f>
        <v>3</v>
      </c>
      <c r="E282">
        <f>IF(I282=0,1,IF(I282&lt;3,VLOOKUP(C282,技能CD配置辅助表!$C$3:$I$14,7,0)+(I282-1)*2,VLOOKUP(C282,技能CD配置辅助表!$C$3:$I$14,7,0)+(I282-1)*3-1))</f>
        <v>31</v>
      </c>
      <c r="F282" t="str">
        <f t="shared" si="31"/>
        <v>第10级，技能冷却时间10.48秒</v>
      </c>
      <c r="G282">
        <f>VLOOKUP(C282,技能CD配置辅助表!$C$3:$J$14,8,0)-(VLOOKUP(C282,技能CD配置辅助表!$C$3:$J$14,8,0)-VLOOKUP(C282,技能CD配置辅助表!$C$2:$M$14,11,0))/(VLOOKUP(C282,技能CD配置辅助表!$C$3:$H$14,6,0)-1)*(I282-IF(I282=0,0,1))</f>
        <v>10480</v>
      </c>
      <c r="H282">
        <f ca="1">M282*'[1]0、经济设定'!$C$18*IF(E282&lt;J282,1,1)</f>
        <v>8950</v>
      </c>
      <c r="I282">
        <f t="shared" si="32"/>
        <v>10</v>
      </c>
      <c r="J282">
        <f>VLOOKUP(C282,技能CD配置辅助表!$C$3:$L$14,10,0)</f>
        <v>20</v>
      </c>
      <c r="K282">
        <f t="shared" ca="1" si="33"/>
        <v>30</v>
      </c>
      <c r="L282" s="45">
        <f t="shared" ca="1" si="28"/>
        <v>34</v>
      </c>
      <c r="M282">
        <f t="shared" ca="1" si="34"/>
        <v>179</v>
      </c>
      <c r="N282">
        <f>VLOOKUP(C282,技能CD配置辅助表!$C$3:$H$14,6,0)</f>
        <v>26</v>
      </c>
      <c r="O282">
        <f>VLOOKUP(C282,技能CD配置辅助表!$C$3:$M$14,5,0)</f>
        <v>3</v>
      </c>
      <c r="P282">
        <f ca="1">IFERROR(VLOOKUP(A282+I282-10000003,D_技能表!A:AD,30,0)*(VLOOKUP(C282,技能CD配置辅助表!$C$3:$J$14,8,0)-G282)/VLOOKUP(C282,技能CD配置辅助表!$C$3:$J$14,8,0),0)*IF(VLOOKUP(C282,技能CD配置辅助表!$C$3:$F$14,4,0)=1,1,4)</f>
        <v>5.428460167457235</v>
      </c>
      <c r="R282">
        <f t="shared" si="29"/>
        <v>0.6</v>
      </c>
    </row>
    <row r="283" spans="1:18" x14ac:dyDescent="0.15">
      <c r="A283">
        <f ca="1">VLOOKUP(B283,技能CD配置辅助表!$C$3:$K$14,9,0)+I283</f>
        <v>19313111</v>
      </c>
      <c r="B283" t="str">
        <f t="shared" si="30"/>
        <v>聚能手雷</v>
      </c>
      <c r="C283" t="s">
        <v>178</v>
      </c>
      <c r="D283">
        <f>VLOOKUP(C283,技能CD配置辅助表!$C$3:$E$14,3,0)</f>
        <v>3</v>
      </c>
      <c r="E283">
        <f>IF(I283=0,1,IF(I283&lt;3,VLOOKUP(C283,技能CD配置辅助表!$C$3:$I$14,7,0)+(I283-1)*2,VLOOKUP(C283,技能CD配置辅助表!$C$3:$I$14,7,0)+(I283-1)*3-1))</f>
        <v>34</v>
      </c>
      <c r="F283" t="str">
        <f t="shared" si="31"/>
        <v>第11级，技能冷却时间10.2秒</v>
      </c>
      <c r="G283">
        <f>VLOOKUP(C283,技能CD配置辅助表!$C$3:$J$14,8,0)-(VLOOKUP(C283,技能CD配置辅助表!$C$3:$J$14,8,0)-VLOOKUP(C283,技能CD配置辅助表!$C$2:$M$14,11,0))/(VLOOKUP(C283,技能CD配置辅助表!$C$3:$H$14,6,0)-1)*(I283-IF(I283=0,0,1))</f>
        <v>10200</v>
      </c>
      <c r="H283">
        <f ca="1">M283*'[1]0、经济设定'!$C$18*IF(E283&lt;J283,1,1)</f>
        <v>10900</v>
      </c>
      <c r="I283">
        <f t="shared" si="32"/>
        <v>11</v>
      </c>
      <c r="J283">
        <f>VLOOKUP(C283,技能CD配置辅助表!$C$3:$L$14,10,0)</f>
        <v>20</v>
      </c>
      <c r="K283">
        <f t="shared" ca="1" si="33"/>
        <v>39</v>
      </c>
      <c r="L283" s="45">
        <f t="shared" ca="1" si="28"/>
        <v>39</v>
      </c>
      <c r="M283">
        <f t="shared" ca="1" si="34"/>
        <v>218</v>
      </c>
      <c r="N283">
        <f>VLOOKUP(C283,技能CD配置辅助表!$C$3:$H$14,6,0)</f>
        <v>26</v>
      </c>
      <c r="O283">
        <f>VLOOKUP(C283,技能CD配置辅助表!$C$3:$M$14,5,0)</f>
        <v>3</v>
      </c>
      <c r="P283">
        <f ca="1">IFERROR(VLOOKUP(A283+I283-10000003,D_技能表!A:AD,30,0)*(VLOOKUP(C283,技能CD配置辅助表!$C$3:$J$14,8,0)-G283)/VLOOKUP(C283,技能CD配置辅助表!$C$3:$J$14,8,0),0)*IF(VLOOKUP(C283,技能CD配置辅助表!$C$3:$F$14,4,0)=1,1,4)</f>
        <v>8.051896479083684</v>
      </c>
      <c r="R283">
        <f t="shared" si="29"/>
        <v>0.7</v>
      </c>
    </row>
    <row r="284" spans="1:18" x14ac:dyDescent="0.15">
      <c r="A284">
        <f ca="1">VLOOKUP(B284,技能CD配置辅助表!$C$3:$K$14,9,0)+I284</f>
        <v>19313112</v>
      </c>
      <c r="B284" t="str">
        <f t="shared" si="30"/>
        <v>聚能手雷</v>
      </c>
      <c r="C284" t="s">
        <v>178</v>
      </c>
      <c r="D284">
        <f>VLOOKUP(C284,技能CD配置辅助表!$C$3:$E$14,3,0)</f>
        <v>3</v>
      </c>
      <c r="E284">
        <f>IF(I284=0,1,IF(I284&lt;3,VLOOKUP(C284,技能CD配置辅助表!$C$3:$I$14,7,0)+(I284-1)*2,VLOOKUP(C284,技能CD配置辅助表!$C$3:$I$14,7,0)+(I284-1)*3-1))</f>
        <v>37</v>
      </c>
      <c r="F284" t="str">
        <f t="shared" si="31"/>
        <v>第12级，技能冷却时间9.92秒</v>
      </c>
      <c r="G284">
        <f>VLOOKUP(C284,技能CD配置辅助表!$C$3:$J$14,8,0)-(VLOOKUP(C284,技能CD配置辅助表!$C$3:$J$14,8,0)-VLOOKUP(C284,技能CD配置辅助表!$C$2:$M$14,11,0))/(VLOOKUP(C284,技能CD配置辅助表!$C$3:$H$14,6,0)-1)*(I284-IF(I284=0,0,1))</f>
        <v>9920</v>
      </c>
      <c r="H284">
        <f ca="1">M284*'[1]0、经济设定'!$C$18*IF(E284&lt;J284,1,1)</f>
        <v>13150</v>
      </c>
      <c r="I284">
        <f t="shared" si="32"/>
        <v>12</v>
      </c>
      <c r="J284">
        <f>VLOOKUP(C284,技能CD配置辅助表!$C$3:$L$14,10,0)</f>
        <v>20</v>
      </c>
      <c r="K284">
        <f t="shared" ca="1" si="33"/>
        <v>52</v>
      </c>
      <c r="L284" s="45">
        <f t="shared" ca="1" si="28"/>
        <v>45</v>
      </c>
      <c r="M284">
        <f t="shared" ca="1" si="34"/>
        <v>263</v>
      </c>
      <c r="N284">
        <f>VLOOKUP(C284,技能CD配置辅助表!$C$3:$H$14,6,0)</f>
        <v>26</v>
      </c>
      <c r="O284">
        <f>VLOOKUP(C284,技能CD配置辅助表!$C$3:$M$14,5,0)</f>
        <v>3</v>
      </c>
      <c r="P284">
        <f ca="1">IFERROR(VLOOKUP(A284+I284-10000003,D_技能表!A:AD,30,0)*(VLOOKUP(C284,技能CD配置辅助表!$C$3:$J$14,8,0)-G284)/VLOOKUP(C284,技能CD配置辅助表!$C$3:$J$14,8,0),0)*IF(VLOOKUP(C284,技能CD配置辅助表!$C$3:$F$14,4,0)=1,1,4)</f>
        <v>11.813755273257646</v>
      </c>
      <c r="R284">
        <f t="shared" si="29"/>
        <v>0.8</v>
      </c>
    </row>
    <row r="285" spans="1:18" x14ac:dyDescent="0.15">
      <c r="A285">
        <f ca="1">VLOOKUP(B285,技能CD配置辅助表!$C$3:$K$14,9,0)+I285</f>
        <v>19313113</v>
      </c>
      <c r="B285" t="str">
        <f t="shared" si="30"/>
        <v>聚能手雷</v>
      </c>
      <c r="C285" t="s">
        <v>178</v>
      </c>
      <c r="D285">
        <f>VLOOKUP(C285,技能CD配置辅助表!$C$3:$E$14,3,0)</f>
        <v>3</v>
      </c>
      <c r="E285">
        <f>IF(I285=0,1,IF(I285&lt;3,VLOOKUP(C285,技能CD配置辅助表!$C$3:$I$14,7,0)+(I285-1)*2,VLOOKUP(C285,技能CD配置辅助表!$C$3:$I$14,7,0)+(I285-1)*3-1))</f>
        <v>40</v>
      </c>
      <c r="F285" t="str">
        <f t="shared" si="31"/>
        <v>第13级，技能冷却时间9.64秒</v>
      </c>
      <c r="G285">
        <f>VLOOKUP(C285,技能CD配置辅助表!$C$3:$J$14,8,0)-(VLOOKUP(C285,技能CD配置辅助表!$C$3:$J$14,8,0)-VLOOKUP(C285,技能CD配置辅助表!$C$2:$M$14,11,0))/(VLOOKUP(C285,技能CD配置辅助表!$C$3:$H$14,6,0)-1)*(I285-IF(I285=0,0,1))</f>
        <v>9640</v>
      </c>
      <c r="H285">
        <f ca="1">M285*'[1]0、经济设定'!$C$18*IF(E285&lt;J285,1,1)</f>
        <v>15750</v>
      </c>
      <c r="I285">
        <f t="shared" si="32"/>
        <v>13</v>
      </c>
      <c r="J285">
        <f>VLOOKUP(C285,技能CD配置辅助表!$C$3:$L$14,10,0)</f>
        <v>20</v>
      </c>
      <c r="K285">
        <f t="shared" ca="1" si="33"/>
        <v>67</v>
      </c>
      <c r="L285" s="45">
        <f t="shared" ref="L285:L325" ca="1" si="35">ROUND((IF(I285&lt;2,0,ROUND(OFFSET(P285,N285-I285+108*(1-D285),0)*(1-$T$3)/(1-$T$3^(N285-1))*$T$3^(I285-2)*$T$2,0))+IF(I285&lt;2,0,ROUND(OFFSET(P285,N285-I285+108*(2-D285),0)*(1-$T$3)/(1-$T$3^(N285-1))*$T$3^(I285-2)*$T$2,0))+IF(I285&lt;2,0,ROUND(OFFSET(P285,N285-I285+108*(3-D285),0)*(1-$T$3)/(1-$T$3^(N285-1))*$T$3^(I285-2)*$T$2,0)))/3,0)</f>
        <v>52</v>
      </c>
      <c r="M285">
        <f t="shared" ca="1" si="34"/>
        <v>315</v>
      </c>
      <c r="N285">
        <f>VLOOKUP(C285,技能CD配置辅助表!$C$3:$H$14,6,0)</f>
        <v>26</v>
      </c>
      <c r="O285">
        <f>VLOOKUP(C285,技能CD配置辅助表!$C$3:$M$14,5,0)</f>
        <v>3</v>
      </c>
      <c r="P285">
        <f ca="1">IFERROR(VLOOKUP(A285+I285-10000003,D_技能表!A:AD,30,0)*(VLOOKUP(C285,技能CD配置辅助表!$C$3:$J$14,8,0)-G285)/VLOOKUP(C285,技能CD配置辅助表!$C$3:$J$14,8,0),0)*IF(VLOOKUP(C285,技能CD配置辅助表!$C$3:$F$14,4,0)=1,1,4)</f>
        <v>17.176201997304332</v>
      </c>
      <c r="R285">
        <f t="shared" si="29"/>
        <v>0.9</v>
      </c>
    </row>
    <row r="286" spans="1:18" x14ac:dyDescent="0.15">
      <c r="A286">
        <f ca="1">VLOOKUP(B286,技能CD配置辅助表!$C$3:$K$14,9,0)+I286</f>
        <v>19313114</v>
      </c>
      <c r="B286" t="str">
        <f t="shared" si="30"/>
        <v>聚能手雷</v>
      </c>
      <c r="C286" t="s">
        <v>178</v>
      </c>
      <c r="D286">
        <f>VLOOKUP(C286,技能CD配置辅助表!$C$3:$E$14,3,0)</f>
        <v>3</v>
      </c>
      <c r="E286">
        <f>IF(I286=0,1,IF(I286&lt;3,VLOOKUP(C286,技能CD配置辅助表!$C$3:$I$14,7,0)+(I286-1)*2,VLOOKUP(C286,技能CD配置辅助表!$C$3:$I$14,7,0)+(I286-1)*3-1))</f>
        <v>43</v>
      </c>
      <c r="F286" t="str">
        <f t="shared" si="31"/>
        <v>第14级，技能冷却时间9.36秒</v>
      </c>
      <c r="G286">
        <f>VLOOKUP(C286,技能CD配置辅助表!$C$3:$J$14,8,0)-(VLOOKUP(C286,技能CD配置辅助表!$C$3:$J$14,8,0)-VLOOKUP(C286,技能CD配置辅助表!$C$2:$M$14,11,0))/(VLOOKUP(C286,技能CD配置辅助表!$C$3:$H$14,6,0)-1)*(I286-IF(I286=0,0,1))</f>
        <v>9360</v>
      </c>
      <c r="H286">
        <f ca="1">M286*'[1]0、经济设定'!$C$18*IF(E286&lt;J286,1,1)</f>
        <v>18800</v>
      </c>
      <c r="I286">
        <f t="shared" si="32"/>
        <v>14</v>
      </c>
      <c r="J286">
        <f>VLOOKUP(C286,技能CD配置辅助表!$C$3:$L$14,10,0)</f>
        <v>20</v>
      </c>
      <c r="K286">
        <f t="shared" ca="1" si="33"/>
        <v>88</v>
      </c>
      <c r="L286" s="45">
        <f t="shared" ca="1" si="35"/>
        <v>61</v>
      </c>
      <c r="M286">
        <f t="shared" ca="1" si="34"/>
        <v>376</v>
      </c>
      <c r="N286">
        <f>VLOOKUP(C286,技能CD配置辅助表!$C$3:$H$14,6,0)</f>
        <v>26</v>
      </c>
      <c r="O286">
        <f>VLOOKUP(C286,技能CD配置辅助表!$C$3:$M$14,5,0)</f>
        <v>3</v>
      </c>
      <c r="P286">
        <f ca="1">IFERROR(VLOOKUP(A286+I286-10000003,D_技能表!A:AD,30,0)*(VLOOKUP(C286,技能CD配置辅助表!$C$3:$J$14,8,0)-G286)/VLOOKUP(C286,技能CD配置辅助表!$C$3:$J$14,8,0),0)*IF(VLOOKUP(C286,技能CD配置辅助表!$C$3:$F$14,4,0)=1,1,4)</f>
        <v>24.780618247415145</v>
      </c>
      <c r="R286">
        <f t="shared" ref="R286:R325" si="36">R259</f>
        <v>1</v>
      </c>
    </row>
    <row r="287" spans="1:18" x14ac:dyDescent="0.15">
      <c r="A287">
        <f ca="1">VLOOKUP(B287,技能CD配置辅助表!$C$3:$K$14,9,0)+I287</f>
        <v>19313115</v>
      </c>
      <c r="B287" t="str">
        <f t="shared" si="30"/>
        <v>聚能手雷</v>
      </c>
      <c r="C287" t="s">
        <v>178</v>
      </c>
      <c r="D287">
        <f>VLOOKUP(C287,技能CD配置辅助表!$C$3:$E$14,3,0)</f>
        <v>3</v>
      </c>
      <c r="E287">
        <f>IF(I287=0,1,IF(I287&lt;3,VLOOKUP(C287,技能CD配置辅助表!$C$3:$I$14,7,0)+(I287-1)*2,VLOOKUP(C287,技能CD配置辅助表!$C$3:$I$14,7,0)+(I287-1)*3-1))</f>
        <v>46</v>
      </c>
      <c r="F287" t="str">
        <f t="shared" si="31"/>
        <v>第15级，技能冷却时间9.08秒</v>
      </c>
      <c r="G287">
        <f>VLOOKUP(C287,技能CD配置辅助表!$C$3:$J$14,8,0)-(VLOOKUP(C287,技能CD配置辅助表!$C$3:$J$14,8,0)-VLOOKUP(C287,技能CD配置辅助表!$C$2:$M$14,11,0))/(VLOOKUP(C287,技能CD配置辅助表!$C$3:$H$14,6,0)-1)*(I287-IF(I287=0,0,1))</f>
        <v>9080</v>
      </c>
      <c r="H287">
        <f ca="1">M287*'[1]0、经济设定'!$C$18*IF(E287&lt;J287,1,1)</f>
        <v>22300</v>
      </c>
      <c r="I287">
        <f t="shared" si="32"/>
        <v>15</v>
      </c>
      <c r="J287">
        <f>VLOOKUP(C287,技能CD配置辅助表!$C$3:$L$14,10,0)</f>
        <v>20</v>
      </c>
      <c r="K287">
        <f t="shared" ca="1" si="33"/>
        <v>105</v>
      </c>
      <c r="L287" s="45">
        <f t="shared" ca="1" si="35"/>
        <v>70</v>
      </c>
      <c r="M287">
        <f t="shared" ca="1" si="34"/>
        <v>446</v>
      </c>
      <c r="N287">
        <f>VLOOKUP(C287,技能CD配置辅助表!$C$3:$H$14,6,0)</f>
        <v>26</v>
      </c>
      <c r="O287">
        <f>VLOOKUP(C287,技能CD配置辅助表!$C$3:$M$14,5,0)</f>
        <v>3</v>
      </c>
      <c r="P287">
        <f ca="1">IFERROR(VLOOKUP(A287+I287-10000003,D_技能表!A:AD,30,0)*(VLOOKUP(C287,技能CD配置辅助表!$C$3:$J$14,8,0)-G287)/VLOOKUP(C287,技能CD配置辅助表!$C$3:$J$14,8,0),0)*IF(VLOOKUP(C287,技能CD配置辅助表!$C$3:$F$14,4,0)=1,1,4)</f>
        <v>35.514793113779298</v>
      </c>
      <c r="R287">
        <f t="shared" si="36"/>
        <v>1.05</v>
      </c>
    </row>
    <row r="288" spans="1:18" x14ac:dyDescent="0.15">
      <c r="A288">
        <f ca="1">VLOOKUP(B288,技能CD配置辅助表!$C$3:$K$14,9,0)+I288</f>
        <v>19313116</v>
      </c>
      <c r="B288" t="str">
        <f t="shared" si="30"/>
        <v>聚能手雷</v>
      </c>
      <c r="C288" t="s">
        <v>178</v>
      </c>
      <c r="D288">
        <f>VLOOKUP(C288,技能CD配置辅助表!$C$3:$E$14,3,0)</f>
        <v>3</v>
      </c>
      <c r="E288">
        <f>IF(I288=0,1,IF(I288&lt;3,VLOOKUP(C288,技能CD配置辅助表!$C$3:$I$14,7,0)+(I288-1)*2,VLOOKUP(C288,技能CD配置辅助表!$C$3:$I$14,7,0)+(I288-1)*3-1))</f>
        <v>49</v>
      </c>
      <c r="F288" t="str">
        <f t="shared" si="31"/>
        <v>第16级，技能冷却时间8.8秒</v>
      </c>
      <c r="G288">
        <f>VLOOKUP(C288,技能CD配置辅助表!$C$3:$J$14,8,0)-(VLOOKUP(C288,技能CD配置辅助表!$C$3:$J$14,8,0)-VLOOKUP(C288,技能CD配置辅助表!$C$2:$M$14,11,0))/(VLOOKUP(C288,技能CD配置辅助表!$C$3:$H$14,6,0)-1)*(I288-IF(I288=0,0,1))</f>
        <v>8800</v>
      </c>
      <c r="H288">
        <f ca="1">M288*'[1]0、经济设定'!$C$18*IF(E288&lt;J288,1,1)</f>
        <v>26400</v>
      </c>
      <c r="I288">
        <f t="shared" si="32"/>
        <v>16</v>
      </c>
      <c r="J288">
        <f>VLOOKUP(C288,技能CD配置辅助表!$C$3:$L$14,10,0)</f>
        <v>20</v>
      </c>
      <c r="K288">
        <f t="shared" ca="1" si="33"/>
        <v>129</v>
      </c>
      <c r="L288" s="45">
        <f t="shared" ca="1" si="35"/>
        <v>82</v>
      </c>
      <c r="M288">
        <f t="shared" ca="1" si="34"/>
        <v>528</v>
      </c>
      <c r="N288">
        <f>VLOOKUP(C288,技能CD配置辅助表!$C$3:$H$14,6,0)</f>
        <v>26</v>
      </c>
      <c r="O288">
        <f>VLOOKUP(C288,技能CD配置辅助表!$C$3:$M$14,5,0)</f>
        <v>3</v>
      </c>
      <c r="P288">
        <f ca="1">IFERROR(VLOOKUP(A288+I288-10000003,D_技能表!A:AD,30,0)*(VLOOKUP(C288,技能CD配置辅助表!$C$3:$J$14,8,0)-G288)/VLOOKUP(C288,技能CD配置辅助表!$C$3:$J$14,8,0),0)*IF(VLOOKUP(C288,技能CD配置辅助表!$C$3:$F$14,4,0)=1,1,4)</f>
        <v>50.604660510064718</v>
      </c>
      <c r="R288">
        <f t="shared" si="36"/>
        <v>1.1000000000000001</v>
      </c>
    </row>
    <row r="289" spans="1:18" x14ac:dyDescent="0.15">
      <c r="A289">
        <f ca="1">VLOOKUP(B289,技能CD配置辅助表!$C$3:$K$14,9,0)+I289</f>
        <v>19313117</v>
      </c>
      <c r="B289" t="str">
        <f t="shared" si="30"/>
        <v>聚能手雷</v>
      </c>
      <c r="C289" t="s">
        <v>178</v>
      </c>
      <c r="D289">
        <f>VLOOKUP(C289,技能CD配置辅助表!$C$3:$E$14,3,0)</f>
        <v>3</v>
      </c>
      <c r="E289">
        <f>IF(I289=0,1,IF(I289&lt;3,VLOOKUP(C289,技能CD配置辅助表!$C$3:$I$14,7,0)+(I289-1)*2,VLOOKUP(C289,技能CD配置辅助表!$C$3:$I$14,7,0)+(I289-1)*3-1))</f>
        <v>52</v>
      </c>
      <c r="F289" t="str">
        <f t="shared" si="31"/>
        <v>第17级，技能冷却时间8.52秒</v>
      </c>
      <c r="G289">
        <f>VLOOKUP(C289,技能CD配置辅助表!$C$3:$J$14,8,0)-(VLOOKUP(C289,技能CD配置辅助表!$C$3:$J$14,8,0)-VLOOKUP(C289,技能CD配置辅助表!$C$2:$M$14,11,0))/(VLOOKUP(C289,技能CD配置辅助表!$C$3:$H$14,6,0)-1)*(I289-IF(I289=0,0,1))</f>
        <v>8520</v>
      </c>
      <c r="H289">
        <f ca="1">M289*'[1]0、经济设定'!$C$18*IF(E289&lt;J289,1,1)</f>
        <v>31150</v>
      </c>
      <c r="I289">
        <f t="shared" si="32"/>
        <v>17</v>
      </c>
      <c r="J289">
        <f>VLOOKUP(C289,技能CD配置辅助表!$C$3:$L$14,10,0)</f>
        <v>20</v>
      </c>
      <c r="K289">
        <f t="shared" ca="1" si="33"/>
        <v>157</v>
      </c>
      <c r="L289" s="45">
        <f t="shared" ca="1" si="35"/>
        <v>95</v>
      </c>
      <c r="M289">
        <f t="shared" ca="1" si="34"/>
        <v>623</v>
      </c>
      <c r="N289">
        <f>VLOOKUP(C289,技能CD配置辅助表!$C$3:$H$14,6,0)</f>
        <v>26</v>
      </c>
      <c r="O289">
        <f>VLOOKUP(C289,技能CD配置辅助表!$C$3:$M$14,5,0)</f>
        <v>3</v>
      </c>
      <c r="P289">
        <f ca="1">IFERROR(VLOOKUP(A289+I289-10000003,D_技能表!A:AD,30,0)*(VLOOKUP(C289,技能CD配置辅助表!$C$3:$J$14,8,0)-G289)/VLOOKUP(C289,技能CD配置辅助表!$C$3:$J$14,8,0),0)*IF(VLOOKUP(C289,技能CD配置辅助表!$C$3:$F$14,4,0)=1,1,4)</f>
        <v>71.739366276468942</v>
      </c>
      <c r="R289">
        <f t="shared" si="36"/>
        <v>1.1499999999999999</v>
      </c>
    </row>
    <row r="290" spans="1:18" x14ac:dyDescent="0.15">
      <c r="A290">
        <f ca="1">VLOOKUP(B290,技能CD配置辅助表!$C$3:$K$14,9,0)+I290</f>
        <v>19313118</v>
      </c>
      <c r="B290" t="str">
        <f t="shared" si="30"/>
        <v>聚能手雷</v>
      </c>
      <c r="C290" t="s">
        <v>178</v>
      </c>
      <c r="D290">
        <f>VLOOKUP(C290,技能CD配置辅助表!$C$3:$E$14,3,0)</f>
        <v>3</v>
      </c>
      <c r="E290">
        <f>IF(I290=0,1,IF(I290&lt;3,VLOOKUP(C290,技能CD配置辅助表!$C$3:$I$14,7,0)+(I290-1)*2,VLOOKUP(C290,技能CD配置辅助表!$C$3:$I$14,7,0)+(I290-1)*3-1))</f>
        <v>55</v>
      </c>
      <c r="F290" t="str">
        <f t="shared" si="31"/>
        <v>第18级，技能冷却时间8.24秒</v>
      </c>
      <c r="G290">
        <f>VLOOKUP(C290,技能CD配置辅助表!$C$3:$J$14,8,0)-(VLOOKUP(C290,技能CD配置辅助表!$C$3:$J$14,8,0)-VLOOKUP(C290,技能CD配置辅助表!$C$2:$M$14,11,0))/(VLOOKUP(C290,技能CD配置辅助表!$C$3:$H$14,6,0)-1)*(I290-IF(I290=0,0,1))</f>
        <v>8240</v>
      </c>
      <c r="H290">
        <f ca="1">M290*'[1]0、经济设定'!$C$18*IF(E290&lt;J290,1,1)</f>
        <v>36650</v>
      </c>
      <c r="I290">
        <f t="shared" si="32"/>
        <v>18</v>
      </c>
      <c r="J290">
        <f>VLOOKUP(C290,技能CD配置辅助表!$C$3:$L$14,10,0)</f>
        <v>20</v>
      </c>
      <c r="K290">
        <f t="shared" ca="1" si="33"/>
        <v>189</v>
      </c>
      <c r="L290" s="45">
        <f t="shared" ca="1" si="35"/>
        <v>110</v>
      </c>
      <c r="M290">
        <f t="shared" ca="1" si="34"/>
        <v>733</v>
      </c>
      <c r="N290">
        <f>VLOOKUP(C290,技能CD配置辅助表!$C$3:$H$14,6,0)</f>
        <v>26</v>
      </c>
      <c r="O290">
        <f>VLOOKUP(C290,技能CD配置辅助表!$C$3:$M$14,5,0)</f>
        <v>3</v>
      </c>
      <c r="P290">
        <f ca="1">IFERROR(VLOOKUP(A290+I290-10000003,D_技能表!A:AD,30,0)*(VLOOKUP(C290,技能CD配置辅助表!$C$3:$J$14,8,0)-G290)/VLOOKUP(C290,技能CD配置辅助表!$C$3:$J$14,8,0),0)*IF(VLOOKUP(C290,技能CD配置辅助表!$C$3:$F$14,4,0)=1,1,4)</f>
        <v>101.24153961381836</v>
      </c>
      <c r="R290">
        <f t="shared" si="36"/>
        <v>1.2</v>
      </c>
    </row>
    <row r="291" spans="1:18" x14ac:dyDescent="0.15">
      <c r="A291">
        <f ca="1">VLOOKUP(B291,技能CD配置辅助表!$C$3:$K$14,9,0)+I291</f>
        <v>19313119</v>
      </c>
      <c r="B291" t="str">
        <f t="shared" si="30"/>
        <v>聚能手雷</v>
      </c>
      <c r="C291" t="s">
        <v>178</v>
      </c>
      <c r="D291">
        <f>VLOOKUP(C291,技能CD配置辅助表!$C$3:$E$14,3,0)</f>
        <v>3</v>
      </c>
      <c r="E291">
        <f>IF(I291=0,1,IF(I291&lt;3,VLOOKUP(C291,技能CD配置辅助表!$C$3:$I$14,7,0)+(I291-1)*2,VLOOKUP(C291,技能CD配置辅助表!$C$3:$I$14,7,0)+(I291-1)*3-1))</f>
        <v>58</v>
      </c>
      <c r="F291" t="str">
        <f t="shared" si="31"/>
        <v>第19级，技能冷却时间7.96秒</v>
      </c>
      <c r="G291">
        <f>VLOOKUP(C291,技能CD配置辅助表!$C$3:$J$14,8,0)-(VLOOKUP(C291,技能CD配置辅助表!$C$3:$J$14,8,0)-VLOOKUP(C291,技能CD配置辅助表!$C$2:$M$14,11,0))/(VLOOKUP(C291,技能CD配置辅助表!$C$3:$H$14,6,0)-1)*(I291-IF(I291=0,0,1))</f>
        <v>7960</v>
      </c>
      <c r="H291">
        <f ca="1">M291*'[1]0、经济设定'!$C$18*IF(E291&lt;J291,1,1)</f>
        <v>43000</v>
      </c>
      <c r="I291">
        <f t="shared" si="32"/>
        <v>19</v>
      </c>
      <c r="J291">
        <f>VLOOKUP(C291,技能CD配置辅助表!$C$3:$L$14,10,0)</f>
        <v>20</v>
      </c>
      <c r="K291">
        <f t="shared" ca="1" si="33"/>
        <v>227</v>
      </c>
      <c r="L291" s="45">
        <f t="shared" ca="1" si="35"/>
        <v>127</v>
      </c>
      <c r="M291">
        <f t="shared" ca="1" si="34"/>
        <v>860</v>
      </c>
      <c r="N291">
        <f>VLOOKUP(C291,技能CD配置辅助表!$C$3:$H$14,6,0)</f>
        <v>26</v>
      </c>
      <c r="O291">
        <f>VLOOKUP(C291,技能CD配置辅助表!$C$3:$M$14,5,0)</f>
        <v>3</v>
      </c>
      <c r="P291">
        <f ca="1">IFERROR(VLOOKUP(A291+I291-10000003,D_技能表!A:AD,30,0)*(VLOOKUP(C291,技能CD配置辅助表!$C$3:$J$14,8,0)-G291)/VLOOKUP(C291,技能CD配置辅助表!$C$3:$J$14,8,0),0)*IF(VLOOKUP(C291,技能CD配置辅助表!$C$3:$F$14,4,0)=1,1,4)</f>
        <v>142.29880657783056</v>
      </c>
      <c r="R291">
        <f t="shared" si="36"/>
        <v>1.25</v>
      </c>
    </row>
    <row r="292" spans="1:18" x14ac:dyDescent="0.15">
      <c r="A292">
        <f ca="1">VLOOKUP(B292,技能CD配置辅助表!$C$3:$K$14,9,0)+I292</f>
        <v>19313120</v>
      </c>
      <c r="B292" t="str">
        <f t="shared" si="30"/>
        <v>聚能手雷</v>
      </c>
      <c r="C292" t="s">
        <v>178</v>
      </c>
      <c r="D292">
        <f>VLOOKUP(C292,技能CD配置辅助表!$C$3:$E$14,3,0)</f>
        <v>3</v>
      </c>
      <c r="E292">
        <f>IF(I292=0,1,IF(I292&lt;3,VLOOKUP(C292,技能CD配置辅助表!$C$3:$I$14,7,0)+(I292-1)*2,VLOOKUP(C292,技能CD配置辅助表!$C$3:$I$14,7,0)+(I292-1)*3-1))</f>
        <v>61</v>
      </c>
      <c r="F292" t="str">
        <f t="shared" si="31"/>
        <v>第20级，技能冷却时间7.68秒</v>
      </c>
      <c r="G292">
        <f>VLOOKUP(C292,技能CD配置辅助表!$C$3:$J$14,8,0)-(VLOOKUP(C292,技能CD配置辅助表!$C$3:$J$14,8,0)-VLOOKUP(C292,技能CD配置辅助表!$C$2:$M$14,11,0))/(VLOOKUP(C292,技能CD配置辅助表!$C$3:$H$14,6,0)-1)*(I292-IF(I292=0,0,1))</f>
        <v>7680</v>
      </c>
      <c r="H292">
        <f ca="1">M292*'[1]0、经济设定'!$C$18*IF(E292&lt;J292,1,1)</f>
        <v>50350</v>
      </c>
      <c r="I292">
        <f t="shared" si="32"/>
        <v>20</v>
      </c>
      <c r="J292">
        <f>VLOOKUP(C292,技能CD配置辅助表!$C$3:$L$14,10,0)</f>
        <v>20</v>
      </c>
      <c r="K292">
        <f t="shared" ca="1" si="33"/>
        <v>273</v>
      </c>
      <c r="L292" s="45">
        <f t="shared" ca="1" si="35"/>
        <v>147</v>
      </c>
      <c r="M292">
        <f t="shared" ca="1" si="34"/>
        <v>1007</v>
      </c>
      <c r="N292">
        <f>VLOOKUP(C292,技能CD配置辅助表!$C$3:$H$14,6,0)</f>
        <v>26</v>
      </c>
      <c r="O292">
        <f>VLOOKUP(C292,技能CD配置辅助表!$C$3:$M$14,5,0)</f>
        <v>3</v>
      </c>
      <c r="P292">
        <f ca="1">IFERROR(VLOOKUP(A292+I292-10000003,D_技能表!A:AD,30,0)*(VLOOKUP(C292,技能CD配置辅助表!$C$3:$J$14,8,0)-G292)/VLOOKUP(C292,技能CD配置辅助表!$C$3:$J$14,8,0),0)*IF(VLOOKUP(C292,技能CD配置辅助表!$C$3:$F$14,4,0)=1,1,4)</f>
        <v>199.27818663691355</v>
      </c>
      <c r="R292">
        <f t="shared" si="36"/>
        <v>1.3</v>
      </c>
    </row>
    <row r="293" spans="1:18" x14ac:dyDescent="0.15">
      <c r="A293">
        <f ca="1">VLOOKUP(B293,技能CD配置辅助表!$C$3:$K$14,9,0)+I293</f>
        <v>19313121</v>
      </c>
      <c r="B293" t="str">
        <f t="shared" si="30"/>
        <v>聚能手雷</v>
      </c>
      <c r="C293" t="s">
        <v>178</v>
      </c>
      <c r="D293">
        <f>VLOOKUP(C293,技能CD配置辅助表!$C$3:$E$14,3,0)</f>
        <v>3</v>
      </c>
      <c r="E293">
        <f>IF(I293=0,1,IF(I293&lt;3,VLOOKUP(C293,技能CD配置辅助表!$C$3:$I$14,7,0)+(I293-1)*2,VLOOKUP(C293,技能CD配置辅助表!$C$3:$I$14,7,0)+(I293-1)*3-1))</f>
        <v>64</v>
      </c>
      <c r="F293" t="str">
        <f t="shared" si="31"/>
        <v>第21级，技能冷却时间7.4秒</v>
      </c>
      <c r="G293">
        <f>VLOOKUP(C293,技能CD配置辅助表!$C$3:$J$14,8,0)-(VLOOKUP(C293,技能CD配置辅助表!$C$3:$J$14,8,0)-VLOOKUP(C293,技能CD配置辅助表!$C$2:$M$14,11,0))/(VLOOKUP(C293,技能CD配置辅助表!$C$3:$H$14,6,0)-1)*(I293-IF(I293=0,0,1))</f>
        <v>7400</v>
      </c>
      <c r="H293">
        <f ca="1">M293*'[1]0、经济设定'!$C$18*IF(E293&lt;J293,1,1)</f>
        <v>58900</v>
      </c>
      <c r="I293">
        <f t="shared" si="32"/>
        <v>21</v>
      </c>
      <c r="J293">
        <f>VLOOKUP(C293,技能CD配置辅助表!$C$3:$L$14,10,0)</f>
        <v>20</v>
      </c>
      <c r="K293">
        <f t="shared" ca="1" si="33"/>
        <v>330</v>
      </c>
      <c r="L293" s="45">
        <f t="shared" ca="1" si="35"/>
        <v>171</v>
      </c>
      <c r="M293">
        <f t="shared" ca="1" si="34"/>
        <v>1178</v>
      </c>
      <c r="N293">
        <f>VLOOKUP(C293,技能CD配置辅助表!$C$3:$H$14,6,0)</f>
        <v>26</v>
      </c>
      <c r="O293">
        <f>VLOOKUP(C293,技能CD配置辅助表!$C$3:$M$14,5,0)</f>
        <v>3</v>
      </c>
      <c r="P293">
        <f ca="1">IFERROR(VLOOKUP(A293+I293-10000003,D_技能表!A:AD,30,0)*(VLOOKUP(C293,技能CD配置辅助表!$C$3:$J$14,8,0)-G293)/VLOOKUP(C293,技能CD配置辅助表!$C$3:$J$14,8,0),0)*IF(VLOOKUP(C293,技能CD配置辅助表!$C$3:$F$14,4,0)=1,1,4)</f>
        <v>278.1525491695453</v>
      </c>
      <c r="R293">
        <f t="shared" si="36"/>
        <v>1.35</v>
      </c>
    </row>
    <row r="294" spans="1:18" x14ac:dyDescent="0.15">
      <c r="A294">
        <f ca="1">VLOOKUP(B294,技能CD配置辅助表!$C$3:$K$14,9,0)+I294</f>
        <v>19313122</v>
      </c>
      <c r="B294" t="str">
        <f t="shared" si="30"/>
        <v>聚能手雷</v>
      </c>
      <c r="C294" t="s">
        <v>178</v>
      </c>
      <c r="D294">
        <f>VLOOKUP(C294,技能CD配置辅助表!$C$3:$E$14,3,0)</f>
        <v>3</v>
      </c>
      <c r="E294">
        <f>IF(I294=0,1,IF(I294&lt;3,VLOOKUP(C294,技能CD配置辅助表!$C$3:$I$14,7,0)+(I294-1)*2,VLOOKUP(C294,技能CD配置辅助表!$C$3:$I$14,7,0)+(I294-1)*3-1))</f>
        <v>67</v>
      </c>
      <c r="F294" t="str">
        <f t="shared" si="31"/>
        <v>第22级，技能冷却时间7.12秒</v>
      </c>
      <c r="G294">
        <f>VLOOKUP(C294,技能CD配置辅助表!$C$3:$J$14,8,0)-(VLOOKUP(C294,技能CD配置辅助表!$C$3:$J$14,8,0)-VLOOKUP(C294,技能CD配置辅助表!$C$2:$M$14,11,0))/(VLOOKUP(C294,技能CD配置辅助表!$C$3:$H$14,6,0)-1)*(I294-IF(I294=0,0,1))</f>
        <v>7120</v>
      </c>
      <c r="H294">
        <f ca="1">M294*'[1]0、经济设定'!$C$18*IF(E294&lt;J294,1,1)</f>
        <v>68800</v>
      </c>
      <c r="I294">
        <f t="shared" si="32"/>
        <v>22</v>
      </c>
      <c r="J294">
        <f>VLOOKUP(C294,技能CD配置辅助表!$C$3:$L$14,10,0)</f>
        <v>20</v>
      </c>
      <c r="K294">
        <f t="shared" ca="1" si="33"/>
        <v>396</v>
      </c>
      <c r="L294" s="45">
        <f t="shared" ca="1" si="35"/>
        <v>198</v>
      </c>
      <c r="M294">
        <f t="shared" ca="1" si="34"/>
        <v>1376</v>
      </c>
      <c r="N294">
        <f>VLOOKUP(C294,技能CD配置辅助表!$C$3:$H$14,6,0)</f>
        <v>26</v>
      </c>
      <c r="O294">
        <f>VLOOKUP(C294,技能CD配置辅助表!$C$3:$M$14,5,0)</f>
        <v>3</v>
      </c>
      <c r="P294">
        <f ca="1">IFERROR(VLOOKUP(A294+I294-10000003,D_技能表!A:AD,30,0)*(VLOOKUP(C294,技能CD配置辅助表!$C$3:$J$14,8,0)-G294)/VLOOKUP(C294,技能CD配置辅助表!$C$3:$J$14,8,0),0)*IF(VLOOKUP(C294,技能CD配置辅助表!$C$3:$F$14,4,0)=1,1,4)</f>
        <v>387.07843452349721</v>
      </c>
      <c r="R294">
        <f t="shared" si="36"/>
        <v>1.4</v>
      </c>
    </row>
    <row r="295" spans="1:18" x14ac:dyDescent="0.15">
      <c r="A295">
        <f ca="1">VLOOKUP(B295,技能CD配置辅助表!$C$3:$K$14,9,0)+I295</f>
        <v>19313123</v>
      </c>
      <c r="B295" t="str">
        <f t="shared" si="30"/>
        <v>聚能手雷</v>
      </c>
      <c r="C295" t="s">
        <v>178</v>
      </c>
      <c r="D295">
        <f>VLOOKUP(C295,技能CD配置辅助表!$C$3:$E$14,3,0)</f>
        <v>3</v>
      </c>
      <c r="E295">
        <f>IF(I295=0,1,IF(I295&lt;3,VLOOKUP(C295,技能CD配置辅助表!$C$3:$I$14,7,0)+(I295-1)*2,VLOOKUP(C295,技能CD配置辅助表!$C$3:$I$14,7,0)+(I295-1)*3-1))</f>
        <v>70</v>
      </c>
      <c r="F295" t="str">
        <f t="shared" si="31"/>
        <v>第23级，技能冷却时间6.84秒</v>
      </c>
      <c r="G295">
        <f>VLOOKUP(C295,技能CD配置辅助表!$C$3:$J$14,8,0)-(VLOOKUP(C295,技能CD配置辅助表!$C$3:$J$14,8,0)-VLOOKUP(C295,技能CD配置辅助表!$C$2:$M$14,11,0))/(VLOOKUP(C295,技能CD配置辅助表!$C$3:$H$14,6,0)-1)*(I295-IF(I295=0,0,1))</f>
        <v>6840</v>
      </c>
      <c r="H295">
        <f ca="1">M295*'[1]0、经济设定'!$C$18*IF(E295&lt;J295,1,1)</f>
        <v>80300</v>
      </c>
      <c r="I295">
        <f t="shared" si="32"/>
        <v>23</v>
      </c>
      <c r="J295">
        <f>VLOOKUP(C295,技能CD配置辅助表!$C$3:$L$14,10,0)</f>
        <v>20</v>
      </c>
      <c r="K295">
        <f t="shared" ca="1" si="33"/>
        <v>477</v>
      </c>
      <c r="L295" s="45">
        <f t="shared" ca="1" si="35"/>
        <v>230</v>
      </c>
      <c r="M295">
        <f t="shared" ca="1" si="34"/>
        <v>1606</v>
      </c>
      <c r="N295">
        <f>VLOOKUP(C295,技能CD配置辅助表!$C$3:$H$14,6,0)</f>
        <v>26</v>
      </c>
      <c r="O295">
        <f>VLOOKUP(C295,技能CD配置辅助表!$C$3:$M$14,5,0)</f>
        <v>3</v>
      </c>
      <c r="P295">
        <f ca="1">IFERROR(VLOOKUP(A295+I295-10000003,D_技能表!A:AD,30,0)*(VLOOKUP(C295,技能CD配置辅助表!$C$3:$J$14,8,0)-G295)/VLOOKUP(C295,技能CD配置辅助表!$C$3:$J$14,8,0),0)*IF(VLOOKUP(C295,技能CD配置辅助表!$C$3:$F$14,4,0)=1,1,4)</f>
        <v>537.17814593079265</v>
      </c>
      <c r="R295">
        <f t="shared" si="36"/>
        <v>1.45</v>
      </c>
    </row>
    <row r="296" spans="1:18" x14ac:dyDescent="0.15">
      <c r="A296">
        <f ca="1">VLOOKUP(B296,技能CD配置辅助表!$C$3:$K$14,9,0)+I296</f>
        <v>19313124</v>
      </c>
      <c r="B296" t="str">
        <f t="shared" si="30"/>
        <v>聚能手雷</v>
      </c>
      <c r="C296" t="s">
        <v>178</v>
      </c>
      <c r="D296">
        <f>VLOOKUP(C296,技能CD配置辅助表!$C$3:$E$14,3,0)</f>
        <v>3</v>
      </c>
      <c r="E296">
        <f>IF(I296=0,1,IF(I296&lt;3,VLOOKUP(C296,技能CD配置辅助表!$C$3:$I$14,7,0)+(I296-1)*2,VLOOKUP(C296,技能CD配置辅助表!$C$3:$I$14,7,0)+(I296-1)*3-1))</f>
        <v>73</v>
      </c>
      <c r="F296" t="str">
        <f t="shared" si="31"/>
        <v>第24级，技能冷却时间6.56秒</v>
      </c>
      <c r="G296">
        <f>VLOOKUP(C296,技能CD配置辅助表!$C$3:$J$14,8,0)-(VLOOKUP(C296,技能CD配置辅助表!$C$3:$J$14,8,0)-VLOOKUP(C296,技能CD配置辅助表!$C$2:$M$14,11,0))/(VLOOKUP(C296,技能CD配置辅助表!$C$3:$H$14,6,0)-1)*(I296-IF(I296=0,0,1))</f>
        <v>6560</v>
      </c>
      <c r="H296">
        <f ca="1">M296*'[1]0、经济设定'!$C$18*IF(E296&lt;J296,1,1)</f>
        <v>93650</v>
      </c>
      <c r="I296">
        <f t="shared" si="32"/>
        <v>24</v>
      </c>
      <c r="J296">
        <f>VLOOKUP(C296,技能CD配置辅助表!$C$3:$L$14,10,0)</f>
        <v>20</v>
      </c>
      <c r="K296">
        <f t="shared" ca="1" si="33"/>
        <v>573</v>
      </c>
      <c r="L296" s="45">
        <f t="shared" ca="1" si="35"/>
        <v>267</v>
      </c>
      <c r="M296">
        <f t="shared" ca="1" si="34"/>
        <v>1873</v>
      </c>
      <c r="N296">
        <f>VLOOKUP(C296,技能CD配置辅助表!$C$3:$H$14,6,0)</f>
        <v>26</v>
      </c>
      <c r="O296">
        <f>VLOOKUP(C296,技能CD配置辅助表!$C$3:$M$14,5,0)</f>
        <v>3</v>
      </c>
      <c r="P296">
        <f ca="1">IFERROR(VLOOKUP(A296+I296-10000003,D_技能表!A:AD,30,0)*(VLOOKUP(C296,技能CD配置辅助表!$C$3:$J$14,8,0)-G296)/VLOOKUP(C296,技能CD配置辅助表!$C$3:$J$14,8,0),0)*IF(VLOOKUP(C296,技能CD配置辅助表!$C$3:$F$14,4,0)=1,1,4)</f>
        <v>743.59727365586332</v>
      </c>
      <c r="R296">
        <f t="shared" si="36"/>
        <v>1.5</v>
      </c>
    </row>
    <row r="297" spans="1:18" x14ac:dyDescent="0.15">
      <c r="A297">
        <f ca="1">VLOOKUP(B297,技能CD配置辅助表!$C$3:$K$14,9,0)+I297</f>
        <v>19313125</v>
      </c>
      <c r="B297" t="str">
        <f t="shared" si="30"/>
        <v>聚能手雷</v>
      </c>
      <c r="C297" t="s">
        <v>178</v>
      </c>
      <c r="D297">
        <f>VLOOKUP(C297,技能CD配置辅助表!$C$3:$E$14,3,0)</f>
        <v>3</v>
      </c>
      <c r="E297">
        <f>IF(I297=0,1,IF(I297&lt;3,VLOOKUP(C297,技能CD配置辅助表!$C$3:$I$14,7,0)+(I297-1)*2,VLOOKUP(C297,技能CD配置辅助表!$C$3:$I$14,7,0)+(I297-1)*3-1))</f>
        <v>76</v>
      </c>
      <c r="F297" t="str">
        <f t="shared" si="31"/>
        <v>第25级，技能冷却时间6.28秒</v>
      </c>
      <c r="G297">
        <f>VLOOKUP(C297,技能CD配置辅助表!$C$3:$J$14,8,0)-(VLOOKUP(C297,技能CD配置辅助表!$C$3:$J$14,8,0)-VLOOKUP(C297,技能CD配置辅助表!$C$2:$M$14,11,0))/(VLOOKUP(C297,技能CD配置辅助表!$C$3:$H$14,6,0)-1)*(I297-IF(I297=0,0,1))</f>
        <v>6280</v>
      </c>
      <c r="H297">
        <f ca="1">M297*'[1]0、经济设定'!$C$18*IF(E297&lt;J297,1,1)</f>
        <v>109150</v>
      </c>
      <c r="I297">
        <f t="shared" si="32"/>
        <v>25</v>
      </c>
      <c r="J297">
        <f>VLOOKUP(C297,技能CD配置辅助表!$C$3:$L$14,10,0)</f>
        <v>20</v>
      </c>
      <c r="K297">
        <f t="shared" ca="1" si="33"/>
        <v>687</v>
      </c>
      <c r="L297" s="45">
        <f t="shared" ca="1" si="35"/>
        <v>310</v>
      </c>
      <c r="M297">
        <f t="shared" ca="1" si="34"/>
        <v>2183</v>
      </c>
      <c r="N297">
        <f>VLOOKUP(C297,技能CD配置辅助表!$C$3:$H$14,6,0)</f>
        <v>26</v>
      </c>
      <c r="O297">
        <f>VLOOKUP(C297,技能CD配置辅助表!$C$3:$M$14,5,0)</f>
        <v>3</v>
      </c>
      <c r="P297">
        <f ca="1">IFERROR(VLOOKUP(A297+I297-10000003,D_技能表!A:AD,30,0)*(VLOOKUP(C297,技能CD配置辅助表!$C$3:$J$14,8,0)-G297)/VLOOKUP(C297,技能CD配置辅助表!$C$3:$J$14,8,0),0)*IF(VLOOKUP(C297,技能CD配置辅助表!$C$3:$F$14,4,0)=1,1,4)</f>
        <v>1026.9332976671599</v>
      </c>
      <c r="R297">
        <f t="shared" si="36"/>
        <v>1.55</v>
      </c>
    </row>
    <row r="298" spans="1:18" x14ac:dyDescent="0.15">
      <c r="A298">
        <f ca="1">VLOOKUP(B298,技能CD配置辅助表!$C$3:$K$14,9,0)+I298</f>
        <v>19313126</v>
      </c>
      <c r="B298" t="str">
        <f t="shared" si="30"/>
        <v>聚能手雷</v>
      </c>
      <c r="C298" t="s">
        <v>178</v>
      </c>
      <c r="D298">
        <f>VLOOKUP(C298,技能CD配置辅助表!$C$3:$E$14,3,0)</f>
        <v>3</v>
      </c>
      <c r="E298">
        <f>IF(I298=0,1,IF(I298&lt;3,VLOOKUP(C298,技能CD配置辅助表!$C$3:$I$14,7,0)+(I298-1)*2,VLOOKUP(C298,技能CD配置辅助表!$C$3:$I$14,7,0)+(I298-1)*3-1))</f>
        <v>79</v>
      </c>
      <c r="F298" t="str">
        <f t="shared" si="31"/>
        <v>第26级，技能冷却时间6秒</v>
      </c>
      <c r="G298">
        <f>VLOOKUP(C298,技能CD配置辅助表!$C$3:$J$14,8,0)-(VLOOKUP(C298,技能CD配置辅助表!$C$3:$J$14,8,0)-VLOOKUP(C298,技能CD配置辅助表!$C$2:$M$14,11,0))/(VLOOKUP(C298,技能CD配置辅助表!$C$3:$H$14,6,0)-1)*(I298-IF(I298=0,0,1))</f>
        <v>6000</v>
      </c>
      <c r="H298">
        <f ca="1">M298*'[1]0、经济设定'!$C$18*IF(E298&lt;J298,1,1)</f>
        <v>127100</v>
      </c>
      <c r="I298">
        <f t="shared" si="32"/>
        <v>26</v>
      </c>
      <c r="J298">
        <f>VLOOKUP(C298,技能CD配置辅助表!$C$3:$L$14,10,0)</f>
        <v>20</v>
      </c>
      <c r="K298">
        <f t="shared" ca="1" si="33"/>
        <v>821</v>
      </c>
      <c r="L298" s="45">
        <f t="shared" ca="1" si="35"/>
        <v>359</v>
      </c>
      <c r="M298">
        <f t="shared" ca="1" si="34"/>
        <v>2542</v>
      </c>
      <c r="N298">
        <f>VLOOKUP(C298,技能CD配置辅助表!$C$3:$H$14,6,0)</f>
        <v>26</v>
      </c>
      <c r="O298">
        <f>VLOOKUP(C298,技能CD配置辅助表!$C$3:$M$14,5,0)</f>
        <v>3</v>
      </c>
      <c r="P298">
        <f ca="1">IFERROR(VLOOKUP(A298+I298-10000003,D_技能表!A:AD,30,0)*(VLOOKUP(C298,技能CD配置辅助表!$C$3:$J$14,8,0)-G298)/VLOOKUP(C298,技能CD配置辅助表!$C$3:$J$14,8,0),0)*IF(VLOOKUP(C298,技能CD配置辅助表!$C$3:$F$14,4,0)=1,1,4)</f>
        <v>1415.1637357566437</v>
      </c>
      <c r="R298">
        <f t="shared" si="36"/>
        <v>1.6</v>
      </c>
    </row>
    <row r="299" spans="1:18" x14ac:dyDescent="0.15">
      <c r="A299">
        <f ca="1">VLOOKUP(B299,技能CD配置辅助表!$C$3:$K$14,9,0)+I299</f>
        <v>19324100</v>
      </c>
      <c r="B299" t="str">
        <f t="shared" si="30"/>
        <v>子弹风暴</v>
      </c>
      <c r="C299" t="s">
        <v>192</v>
      </c>
      <c r="D299">
        <f>VLOOKUP(C299,技能CD配置辅助表!$C$3:$E$14,3,0)</f>
        <v>3</v>
      </c>
      <c r="E299">
        <f>IF(I299=0,1,IF(I299&lt;3,VLOOKUP(C299,技能CD配置辅助表!$C$3:$I$14,7,0)+(I299-1)*2,VLOOKUP(C299,技能CD配置辅助表!$C$3:$I$14,7,0)+(I299-1)*3-1))</f>
        <v>1</v>
      </c>
      <c r="F299" t="str">
        <f t="shared" si="31"/>
        <v>第0级，技能冷却时间13秒</v>
      </c>
      <c r="G299">
        <f>VLOOKUP(C299,技能CD配置辅助表!$C$3:$J$14,8,0)-(VLOOKUP(C299,技能CD配置辅助表!$C$3:$J$14,8,0)-VLOOKUP(C299,技能CD配置辅助表!$C$2:$M$14,11,0))/(VLOOKUP(C299,技能CD配置辅助表!$C$3:$H$14,6,0)-1)*(I299-IF(I299=0,0,1))</f>
        <v>13000</v>
      </c>
      <c r="H299">
        <f>M299*'[1]0、经济设定'!$C$18*IF(E299&lt;J299,1,1)</f>
        <v>0</v>
      </c>
      <c r="I299">
        <f t="shared" si="32"/>
        <v>0</v>
      </c>
      <c r="J299">
        <f>VLOOKUP(C299,技能CD配置辅助表!$C$3:$L$14,10,0)</f>
        <v>20</v>
      </c>
      <c r="K299">
        <f t="shared" si="33"/>
        <v>0</v>
      </c>
      <c r="L299" s="45">
        <f t="shared" ca="1" si="35"/>
        <v>0</v>
      </c>
      <c r="M299">
        <f t="shared" si="34"/>
        <v>0</v>
      </c>
      <c r="N299">
        <f>VLOOKUP(C299,技能CD配置辅助表!$C$3:$H$14,6,0)</f>
        <v>26</v>
      </c>
      <c r="O299">
        <f>VLOOKUP(C299,技能CD配置辅助表!$C$3:$M$14,5,0)</f>
        <v>4</v>
      </c>
      <c r="P299">
        <f ca="1">IFERROR(VLOOKUP(A299+I299-10000003,D_技能表!A:AD,30,0)*(VLOOKUP(C299,技能CD配置辅助表!$C$3:$J$14,8,0)-G299)/VLOOKUP(C299,技能CD配置辅助表!$C$3:$J$14,8,0),0)*IF(VLOOKUP(C299,技能CD配置辅助表!$C$3:$F$14,4,0)=1,1,4)</f>
        <v>0</v>
      </c>
      <c r="R299">
        <f t="shared" si="36"/>
        <v>0</v>
      </c>
    </row>
    <row r="300" spans="1:18" x14ac:dyDescent="0.15">
      <c r="A300">
        <f ca="1">VLOOKUP(B300,技能CD配置辅助表!$C$3:$K$14,9,0)+I300</f>
        <v>19324101</v>
      </c>
      <c r="B300" t="str">
        <f t="shared" si="30"/>
        <v>子弹风暴</v>
      </c>
      <c r="C300" t="s">
        <v>192</v>
      </c>
      <c r="D300">
        <f>VLOOKUP(C300,技能CD配置辅助表!$C$3:$E$14,3,0)</f>
        <v>3</v>
      </c>
      <c r="E300">
        <f>IF(I300=0,1,IF(I300&lt;3,VLOOKUP(C300,技能CD配置辅助表!$C$3:$I$14,7,0)+(I300-1)*2,VLOOKUP(C300,技能CD配置辅助表!$C$3:$I$14,7,0)+(I300-1)*3-1))</f>
        <v>6</v>
      </c>
      <c r="F300" t="str">
        <f t="shared" si="31"/>
        <v>第1级，技能冷却时间13秒</v>
      </c>
      <c r="G300">
        <f>VLOOKUP(C300,技能CD配置辅助表!$C$3:$J$14,8,0)-(VLOOKUP(C300,技能CD配置辅助表!$C$3:$J$14,8,0)-VLOOKUP(C300,技能CD配置辅助表!$C$2:$M$14,11,0))/(VLOOKUP(C300,技能CD配置辅助表!$C$3:$H$14,6,0)-1)*(I300-IF(I300=0,0,1))</f>
        <v>13000</v>
      </c>
      <c r="H300">
        <f ca="1">M300*'[1]0、经济设定'!$C$18*IF(E300&lt;J300,1,1)</f>
        <v>0</v>
      </c>
      <c r="I300">
        <f t="shared" si="32"/>
        <v>1</v>
      </c>
      <c r="J300">
        <f>VLOOKUP(C300,技能CD配置辅助表!$C$3:$L$14,10,0)</f>
        <v>20</v>
      </c>
      <c r="K300">
        <f t="shared" si="33"/>
        <v>0</v>
      </c>
      <c r="L300" s="45">
        <f t="shared" ca="1" si="35"/>
        <v>0</v>
      </c>
      <c r="M300">
        <f t="shared" ca="1" si="34"/>
        <v>0</v>
      </c>
      <c r="N300">
        <f>VLOOKUP(C300,技能CD配置辅助表!$C$3:$H$14,6,0)</f>
        <v>26</v>
      </c>
      <c r="O300">
        <f>VLOOKUP(C300,技能CD配置辅助表!$C$3:$M$14,5,0)</f>
        <v>4</v>
      </c>
      <c r="P300">
        <f ca="1">IFERROR(VLOOKUP(A300+I300-10000003,D_技能表!A:AD,30,0)*(VLOOKUP(C300,技能CD配置辅助表!$C$3:$J$14,8,0)-G300)/VLOOKUP(C300,技能CD配置辅助表!$C$3:$J$14,8,0),0)*IF(VLOOKUP(C300,技能CD配置辅助表!$C$3:$F$14,4,0)=1,1,4)</f>
        <v>0</v>
      </c>
      <c r="R300">
        <f t="shared" si="36"/>
        <v>0</v>
      </c>
    </row>
    <row r="301" spans="1:18" x14ac:dyDescent="0.15">
      <c r="A301">
        <f ca="1">VLOOKUP(B301,技能CD配置辅助表!$C$3:$K$14,9,0)+I301</f>
        <v>19324102</v>
      </c>
      <c r="B301" t="str">
        <f t="shared" si="30"/>
        <v>子弹风暴</v>
      </c>
      <c r="C301" t="s">
        <v>192</v>
      </c>
      <c r="D301">
        <f>VLOOKUP(C301,技能CD配置辅助表!$C$3:$E$14,3,0)</f>
        <v>3</v>
      </c>
      <c r="E301">
        <f>IF(I301=0,1,IF(I301&lt;3,VLOOKUP(C301,技能CD配置辅助表!$C$3:$I$14,7,0)+(I301-1)*2,VLOOKUP(C301,技能CD配置辅助表!$C$3:$I$14,7,0)+(I301-1)*3-1))</f>
        <v>8</v>
      </c>
      <c r="F301" t="str">
        <f t="shared" si="31"/>
        <v>第2级，技能冷却时间12.68秒</v>
      </c>
      <c r="G301">
        <f>VLOOKUP(C301,技能CD配置辅助表!$C$3:$J$14,8,0)-(VLOOKUP(C301,技能CD配置辅助表!$C$3:$J$14,8,0)-VLOOKUP(C301,技能CD配置辅助表!$C$2:$M$14,11,0))/(VLOOKUP(C301,技能CD配置辅助表!$C$3:$H$14,6,0)-1)*(I301-IF(I301=0,0,1))</f>
        <v>12680</v>
      </c>
      <c r="H301">
        <f ca="1">M301*'[1]0、经济设定'!$C$18*IF(E301&lt;J301,1,1)</f>
        <v>1100</v>
      </c>
      <c r="I301">
        <f t="shared" si="32"/>
        <v>2</v>
      </c>
      <c r="J301">
        <f>VLOOKUP(C301,技能CD配置辅助表!$C$3:$L$14,10,0)</f>
        <v>20</v>
      </c>
      <c r="K301">
        <f t="shared" si="33"/>
        <v>0</v>
      </c>
      <c r="L301" s="45">
        <f t="shared" ca="1" si="35"/>
        <v>22</v>
      </c>
      <c r="M301">
        <f t="shared" ca="1" si="34"/>
        <v>22</v>
      </c>
      <c r="N301">
        <f>VLOOKUP(C301,技能CD配置辅助表!$C$3:$H$14,6,0)</f>
        <v>26</v>
      </c>
      <c r="O301">
        <f>VLOOKUP(C301,技能CD配置辅助表!$C$3:$M$14,5,0)</f>
        <v>4</v>
      </c>
      <c r="P301">
        <f ca="1">IFERROR(VLOOKUP(A301+I301-10000003,D_技能表!A:AD,30,0)*(VLOOKUP(C301,技能CD配置辅助表!$C$3:$J$14,8,0)-G301)/VLOOKUP(C301,技能CD配置辅助表!$C$3:$J$14,8,0),0)*IF(VLOOKUP(C301,技能CD配置辅助表!$C$3:$F$14,4,0)=1,1,4)</f>
        <v>0.11418195947714342</v>
      </c>
      <c r="R301">
        <f t="shared" si="36"/>
        <v>0</v>
      </c>
    </row>
    <row r="302" spans="1:18" x14ac:dyDescent="0.15">
      <c r="A302">
        <f ca="1">VLOOKUP(B302,技能CD配置辅助表!$C$3:$K$14,9,0)+I302</f>
        <v>19324103</v>
      </c>
      <c r="B302" t="str">
        <f t="shared" si="30"/>
        <v>子弹风暴</v>
      </c>
      <c r="C302" t="s">
        <v>192</v>
      </c>
      <c r="D302">
        <f>VLOOKUP(C302,技能CD配置辅助表!$C$3:$E$14,3,0)</f>
        <v>3</v>
      </c>
      <c r="E302">
        <f>IF(I302=0,1,IF(I302&lt;3,VLOOKUP(C302,技能CD配置辅助表!$C$3:$I$14,7,0)+(I302-1)*2,VLOOKUP(C302,技能CD配置辅助表!$C$3:$I$14,7,0)+(I302-1)*3-1))</f>
        <v>11</v>
      </c>
      <c r="F302" t="str">
        <f t="shared" si="31"/>
        <v>第3级，技能冷却时间12.36秒</v>
      </c>
      <c r="G302">
        <f>VLOOKUP(C302,技能CD配置辅助表!$C$3:$J$14,8,0)-(VLOOKUP(C302,技能CD配置辅助表!$C$3:$J$14,8,0)-VLOOKUP(C302,技能CD配置辅助表!$C$2:$M$14,11,0))/(VLOOKUP(C302,技能CD配置辅助表!$C$3:$H$14,6,0)-1)*(I302-IF(I302=0,0,1))</f>
        <v>12360</v>
      </c>
      <c r="H302">
        <f ca="1">M302*'[1]0、经济设定'!$C$18*IF(E302&lt;J302,1,1)</f>
        <v>2400</v>
      </c>
      <c r="I302">
        <f t="shared" si="32"/>
        <v>3</v>
      </c>
      <c r="J302">
        <f>VLOOKUP(C302,技能CD配置辅助表!$C$3:$L$14,10,0)</f>
        <v>20</v>
      </c>
      <c r="K302">
        <f t="shared" si="33"/>
        <v>0</v>
      </c>
      <c r="L302" s="45">
        <f t="shared" ca="1" si="35"/>
        <v>26</v>
      </c>
      <c r="M302">
        <f t="shared" ca="1" si="34"/>
        <v>48</v>
      </c>
      <c r="N302">
        <f>VLOOKUP(C302,技能CD配置辅助表!$C$3:$H$14,6,0)</f>
        <v>26</v>
      </c>
      <c r="O302">
        <f>VLOOKUP(C302,技能CD配置辅助表!$C$3:$M$14,5,0)</f>
        <v>4</v>
      </c>
      <c r="P302">
        <f ca="1">IFERROR(VLOOKUP(A302+I302-10000003,D_技能表!A:AD,30,0)*(VLOOKUP(C302,技能CD配置辅助表!$C$3:$J$14,8,0)-G302)/VLOOKUP(C302,技能CD配置辅助表!$C$3:$J$14,8,0),0)*IF(VLOOKUP(C302,技能CD配置辅助表!$C$3:$F$14,4,0)=1,1,4)</f>
        <v>0.32508846973561106</v>
      </c>
      <c r="R302">
        <f t="shared" si="36"/>
        <v>0</v>
      </c>
    </row>
    <row r="303" spans="1:18" x14ac:dyDescent="0.15">
      <c r="A303">
        <f ca="1">VLOOKUP(B303,技能CD配置辅助表!$C$3:$K$14,9,0)+I303</f>
        <v>19324104</v>
      </c>
      <c r="B303" t="str">
        <f t="shared" si="30"/>
        <v>子弹风暴</v>
      </c>
      <c r="C303" t="s">
        <v>192</v>
      </c>
      <c r="D303">
        <f>VLOOKUP(C303,技能CD配置辅助表!$C$3:$E$14,3,0)</f>
        <v>3</v>
      </c>
      <c r="E303">
        <f>IF(I303=0,1,IF(I303&lt;3,VLOOKUP(C303,技能CD配置辅助表!$C$3:$I$14,7,0)+(I303-1)*2,VLOOKUP(C303,技能CD配置辅助表!$C$3:$I$14,7,0)+(I303-1)*3-1))</f>
        <v>14</v>
      </c>
      <c r="F303" t="str">
        <f t="shared" si="31"/>
        <v>第4级，技能冷却时间12.04秒</v>
      </c>
      <c r="G303">
        <f>VLOOKUP(C303,技能CD配置辅助表!$C$3:$J$14,8,0)-(VLOOKUP(C303,技能CD配置辅助表!$C$3:$J$14,8,0)-VLOOKUP(C303,技能CD配置辅助表!$C$2:$M$14,11,0))/(VLOOKUP(C303,技能CD配置辅助表!$C$3:$H$14,6,0)-1)*(I303-IF(I303=0,0,1))</f>
        <v>12040</v>
      </c>
      <c r="H303">
        <f ca="1">M303*'[1]0、经济设定'!$C$18*IF(E303&lt;J303,1,1)</f>
        <v>3900</v>
      </c>
      <c r="I303">
        <f t="shared" si="32"/>
        <v>4</v>
      </c>
      <c r="J303">
        <f>VLOOKUP(C303,技能CD配置辅助表!$C$3:$L$14,10,0)</f>
        <v>20</v>
      </c>
      <c r="K303">
        <f t="shared" si="33"/>
        <v>0</v>
      </c>
      <c r="L303" s="45">
        <f t="shared" ca="1" si="35"/>
        <v>30</v>
      </c>
      <c r="M303">
        <f t="shared" ca="1" si="34"/>
        <v>78</v>
      </c>
      <c r="N303">
        <f>VLOOKUP(C303,技能CD配置辅助表!$C$3:$H$14,6,0)</f>
        <v>26</v>
      </c>
      <c r="O303">
        <f>VLOOKUP(C303,技能CD配置辅助表!$C$3:$M$14,5,0)</f>
        <v>4</v>
      </c>
      <c r="P303">
        <f ca="1">IFERROR(VLOOKUP(A303+I303-10000003,D_技能表!A:AD,30,0)*(VLOOKUP(C303,技能CD配置辅助表!$C$3:$J$14,8,0)-G303)/VLOOKUP(C303,技能CD配置辅助表!$C$3:$J$14,8,0),0)*IF(VLOOKUP(C303,技能CD配置辅助表!$C$3:$F$14,4,0)=1,1,4)</f>
        <v>0.66975654221904668</v>
      </c>
      <c r="R303">
        <f t="shared" si="36"/>
        <v>0</v>
      </c>
    </row>
    <row r="304" spans="1:18" x14ac:dyDescent="0.15">
      <c r="A304">
        <f ca="1">VLOOKUP(B304,技能CD配置辅助表!$C$3:$K$14,9,0)+I304</f>
        <v>19324105</v>
      </c>
      <c r="B304" t="str">
        <f t="shared" si="30"/>
        <v>子弹风暴</v>
      </c>
      <c r="C304" t="s">
        <v>192</v>
      </c>
      <c r="D304">
        <f>VLOOKUP(C304,技能CD配置辅助表!$C$3:$E$14,3,0)</f>
        <v>3</v>
      </c>
      <c r="E304">
        <f>IF(I304=0,1,IF(I304&lt;3,VLOOKUP(C304,技能CD配置辅助表!$C$3:$I$14,7,0)+(I304-1)*2,VLOOKUP(C304,技能CD配置辅助表!$C$3:$I$14,7,0)+(I304-1)*3-1))</f>
        <v>17</v>
      </c>
      <c r="F304" t="str">
        <f t="shared" si="31"/>
        <v>第5级，技能冷却时间11.72秒</v>
      </c>
      <c r="G304">
        <f>VLOOKUP(C304,技能CD配置辅助表!$C$3:$J$14,8,0)-(VLOOKUP(C304,技能CD配置辅助表!$C$3:$J$14,8,0)-VLOOKUP(C304,技能CD配置辅助表!$C$2:$M$14,11,0))/(VLOOKUP(C304,技能CD配置辅助表!$C$3:$H$14,6,0)-1)*(I304-IF(I304=0,0,1))</f>
        <v>11720</v>
      </c>
      <c r="H304">
        <f ca="1">M304*'[1]0、经济设定'!$C$18*IF(E304&lt;J304,1,1)</f>
        <v>5650</v>
      </c>
      <c r="I304">
        <f t="shared" si="32"/>
        <v>5</v>
      </c>
      <c r="J304">
        <f>VLOOKUP(C304,技能CD配置辅助表!$C$3:$L$14,10,0)</f>
        <v>20</v>
      </c>
      <c r="K304">
        <f t="shared" si="33"/>
        <v>0</v>
      </c>
      <c r="L304" s="45">
        <f t="shared" ca="1" si="35"/>
        <v>35</v>
      </c>
      <c r="M304">
        <f t="shared" ca="1" si="34"/>
        <v>113</v>
      </c>
      <c r="N304">
        <f>VLOOKUP(C304,技能CD配置辅助表!$C$3:$H$14,6,0)</f>
        <v>26</v>
      </c>
      <c r="O304">
        <f>VLOOKUP(C304,技能CD配置辅助表!$C$3:$M$14,5,0)</f>
        <v>4</v>
      </c>
      <c r="P304">
        <f ca="1">IFERROR(VLOOKUP(A304+I304-10000003,D_技能表!A:AD,30,0)*(VLOOKUP(C304,技能CD配置辅助表!$C$3:$J$14,8,0)-G304)/VLOOKUP(C304,技能CD配置辅助表!$C$3:$J$14,8,0),0)*IF(VLOOKUP(C304,技能CD配置辅助表!$C$3:$F$14,4,0)=1,1,4)</f>
        <v>1.2226463361532518</v>
      </c>
      <c r="R304">
        <f t="shared" si="36"/>
        <v>0.1</v>
      </c>
    </row>
    <row r="305" spans="1:18" x14ac:dyDescent="0.15">
      <c r="A305">
        <f ca="1">VLOOKUP(B305,技能CD配置辅助表!$C$3:$K$14,9,0)+I305</f>
        <v>19324106</v>
      </c>
      <c r="B305" t="str">
        <f t="shared" si="30"/>
        <v>子弹风暴</v>
      </c>
      <c r="C305" t="s">
        <v>192</v>
      </c>
      <c r="D305">
        <f>VLOOKUP(C305,技能CD配置辅助表!$C$3:$E$14,3,0)</f>
        <v>3</v>
      </c>
      <c r="E305">
        <f>IF(I305=0,1,IF(I305&lt;3,VLOOKUP(C305,技能CD配置辅助表!$C$3:$I$14,7,0)+(I305-1)*2,VLOOKUP(C305,技能CD配置辅助表!$C$3:$I$14,7,0)+(I305-1)*3-1))</f>
        <v>20</v>
      </c>
      <c r="F305" t="str">
        <f t="shared" si="31"/>
        <v>第6级，技能冷却时间11.4秒</v>
      </c>
      <c r="G305">
        <f>VLOOKUP(C305,技能CD配置辅助表!$C$3:$J$14,8,0)-(VLOOKUP(C305,技能CD配置辅助表!$C$3:$J$14,8,0)-VLOOKUP(C305,技能CD配置辅助表!$C$2:$M$14,11,0))/(VLOOKUP(C305,技能CD配置辅助表!$C$3:$H$14,6,0)-1)*(I305-IF(I305=0,0,1))</f>
        <v>11400</v>
      </c>
      <c r="H305">
        <f ca="1">M305*'[1]0、经济设定'!$C$18*IF(E305&lt;J305,1,1)</f>
        <v>7700</v>
      </c>
      <c r="I305">
        <f t="shared" si="32"/>
        <v>6</v>
      </c>
      <c r="J305">
        <f>VLOOKUP(C305,技能CD配置辅助表!$C$3:$L$14,10,0)</f>
        <v>20</v>
      </c>
      <c r="K305">
        <f t="shared" ca="1" si="33"/>
        <v>12</v>
      </c>
      <c r="L305" s="45">
        <f t="shared" ca="1" si="35"/>
        <v>41</v>
      </c>
      <c r="M305">
        <f t="shared" ca="1" si="34"/>
        <v>154</v>
      </c>
      <c r="N305">
        <f>VLOOKUP(C305,技能CD配置辅助表!$C$3:$H$14,6,0)</f>
        <v>26</v>
      </c>
      <c r="O305">
        <f>VLOOKUP(C305,技能CD配置辅助表!$C$3:$M$14,5,0)</f>
        <v>4</v>
      </c>
      <c r="P305">
        <f ca="1">IFERROR(VLOOKUP(A305+I305-10000003,D_技能表!A:AD,30,0)*(VLOOKUP(C305,技能CD配置辅助表!$C$3:$J$14,8,0)-G305)/VLOOKUP(C305,技能CD配置辅助表!$C$3:$J$14,8,0),0)*IF(VLOOKUP(C305,技能CD配置辅助表!$C$3:$F$14,4,0)=1,1,4)</f>
        <v>2.0865092723886942</v>
      </c>
      <c r="R305">
        <f t="shared" si="36"/>
        <v>0.2</v>
      </c>
    </row>
    <row r="306" spans="1:18" x14ac:dyDescent="0.15">
      <c r="A306">
        <f ca="1">VLOOKUP(B306,技能CD配置辅助表!$C$3:$K$14,9,0)+I306</f>
        <v>19324107</v>
      </c>
      <c r="B306" t="str">
        <f t="shared" si="30"/>
        <v>子弹风暴</v>
      </c>
      <c r="C306" t="s">
        <v>192</v>
      </c>
      <c r="D306">
        <f>VLOOKUP(C306,技能CD配置辅助表!$C$3:$E$14,3,0)</f>
        <v>3</v>
      </c>
      <c r="E306">
        <f>IF(I306=0,1,IF(I306&lt;3,VLOOKUP(C306,技能CD配置辅助表!$C$3:$I$14,7,0)+(I306-1)*2,VLOOKUP(C306,技能CD配置辅助表!$C$3:$I$14,7,0)+(I306-1)*3-1))</f>
        <v>23</v>
      </c>
      <c r="F306" t="str">
        <f t="shared" si="31"/>
        <v>第7级，技能冷却时间11.08秒</v>
      </c>
      <c r="G306">
        <f>VLOOKUP(C306,技能CD配置辅助表!$C$3:$J$14,8,0)-(VLOOKUP(C306,技能CD配置辅助表!$C$3:$J$14,8,0)-VLOOKUP(C306,技能CD配置辅助表!$C$2:$M$14,11,0))/(VLOOKUP(C306,技能CD配置辅助表!$C$3:$H$14,6,0)-1)*(I306-IF(I306=0,0,1))</f>
        <v>11080</v>
      </c>
      <c r="H306">
        <f ca="1">M306*'[1]0、经济设定'!$C$18*IF(E306&lt;J306,1,1)</f>
        <v>10050</v>
      </c>
      <c r="I306">
        <f t="shared" si="32"/>
        <v>7</v>
      </c>
      <c r="J306">
        <f>VLOOKUP(C306,技能CD配置辅助表!$C$3:$L$14,10,0)</f>
        <v>20</v>
      </c>
      <c r="K306">
        <f t="shared" ca="1" si="33"/>
        <v>21</v>
      </c>
      <c r="L306" s="45">
        <f t="shared" ca="1" si="35"/>
        <v>47</v>
      </c>
      <c r="M306">
        <f t="shared" ca="1" si="34"/>
        <v>201</v>
      </c>
      <c r="N306">
        <f>VLOOKUP(C306,技能CD配置辅助表!$C$3:$H$14,6,0)</f>
        <v>26</v>
      </c>
      <c r="O306">
        <f>VLOOKUP(C306,技能CD配置辅助表!$C$3:$M$14,5,0)</f>
        <v>4</v>
      </c>
      <c r="P306">
        <f ca="1">IFERROR(VLOOKUP(A306+I306-10000003,D_技能表!A:AD,30,0)*(VLOOKUP(C306,技能CD配置辅助表!$C$3:$J$14,8,0)-G306)/VLOOKUP(C306,技能CD配置辅助表!$C$3:$J$14,8,0),0)*IF(VLOOKUP(C306,技能CD配置辅助表!$C$3:$F$14,4,0)=1,1,4)</f>
        <v>3.4095525206475901</v>
      </c>
      <c r="R306">
        <f t="shared" si="36"/>
        <v>0.3</v>
      </c>
    </row>
    <row r="307" spans="1:18" x14ac:dyDescent="0.15">
      <c r="A307">
        <f ca="1">VLOOKUP(B307,技能CD配置辅助表!$C$3:$K$14,9,0)+I307</f>
        <v>19324108</v>
      </c>
      <c r="B307" t="str">
        <f t="shared" si="30"/>
        <v>子弹风暴</v>
      </c>
      <c r="C307" t="s">
        <v>192</v>
      </c>
      <c r="D307">
        <f>VLOOKUP(C307,技能CD配置辅助表!$C$3:$E$14,3,0)</f>
        <v>3</v>
      </c>
      <c r="E307">
        <f>IF(I307=0,1,IF(I307&lt;3,VLOOKUP(C307,技能CD配置辅助表!$C$3:$I$14,7,0)+(I307-1)*2,VLOOKUP(C307,技能CD配置辅助表!$C$3:$I$14,7,0)+(I307-1)*3-1))</f>
        <v>26</v>
      </c>
      <c r="F307" t="str">
        <f t="shared" si="31"/>
        <v>第8级，技能冷却时间10.76秒</v>
      </c>
      <c r="G307">
        <f>VLOOKUP(C307,技能CD配置辅助表!$C$3:$J$14,8,0)-(VLOOKUP(C307,技能CD配置辅助表!$C$3:$J$14,8,0)-VLOOKUP(C307,技能CD配置辅助表!$C$2:$M$14,11,0))/(VLOOKUP(C307,技能CD配置辅助表!$C$3:$H$14,6,0)-1)*(I307-IF(I307=0,0,1))</f>
        <v>10760</v>
      </c>
      <c r="H307">
        <f ca="1">M307*'[1]0、经济设定'!$C$18*IF(E307&lt;J307,1,1)</f>
        <v>12750</v>
      </c>
      <c r="I307">
        <f t="shared" si="32"/>
        <v>8</v>
      </c>
      <c r="J307">
        <f>VLOOKUP(C307,技能CD配置辅助表!$C$3:$L$14,10,0)</f>
        <v>20</v>
      </c>
      <c r="K307">
        <f t="shared" ca="1" si="33"/>
        <v>31</v>
      </c>
      <c r="L307" s="45">
        <f t="shared" ca="1" si="35"/>
        <v>54</v>
      </c>
      <c r="M307">
        <f t="shared" ca="1" si="34"/>
        <v>255</v>
      </c>
      <c r="N307">
        <f>VLOOKUP(C307,技能CD配置辅助表!$C$3:$H$14,6,0)</f>
        <v>26</v>
      </c>
      <c r="O307">
        <f>VLOOKUP(C307,技能CD配置辅助表!$C$3:$M$14,5,0)</f>
        <v>4</v>
      </c>
      <c r="P307">
        <f ca="1">IFERROR(VLOOKUP(A307+I307-10000003,D_技能表!A:AD,30,0)*(VLOOKUP(C307,技能CD配置辅助表!$C$3:$J$14,8,0)-G307)/VLOOKUP(C307,技能CD配置辅助表!$C$3:$J$14,8,0),0)*IF(VLOOKUP(C307,技能CD配置辅助表!$C$3:$F$14,4,0)=1,1,4)</f>
        <v>5.4041970986114816</v>
      </c>
      <c r="R307">
        <f t="shared" si="36"/>
        <v>0.4</v>
      </c>
    </row>
    <row r="308" spans="1:18" x14ac:dyDescent="0.15">
      <c r="A308">
        <f ca="1">VLOOKUP(B308,技能CD配置辅助表!$C$3:$K$14,9,0)+I308</f>
        <v>19324109</v>
      </c>
      <c r="B308" t="str">
        <f t="shared" si="30"/>
        <v>子弹风暴</v>
      </c>
      <c r="C308" t="s">
        <v>192</v>
      </c>
      <c r="D308">
        <f>VLOOKUP(C308,技能CD配置辅助表!$C$3:$E$14,3,0)</f>
        <v>3</v>
      </c>
      <c r="E308">
        <f>IF(I308=0,1,IF(I308&lt;3,VLOOKUP(C308,技能CD配置辅助表!$C$3:$I$14,7,0)+(I308-1)*2,VLOOKUP(C308,技能CD配置辅助表!$C$3:$I$14,7,0)+(I308-1)*3-1))</f>
        <v>29</v>
      </c>
      <c r="F308" t="str">
        <f t="shared" si="31"/>
        <v>第9级，技能冷却时间10.44秒</v>
      </c>
      <c r="G308">
        <f>VLOOKUP(C308,技能CD配置辅助表!$C$3:$J$14,8,0)-(VLOOKUP(C308,技能CD配置辅助表!$C$3:$J$14,8,0)-VLOOKUP(C308,技能CD配置辅助表!$C$2:$M$14,11,0))/(VLOOKUP(C308,技能CD配置辅助表!$C$3:$H$14,6,0)-1)*(I308-IF(I308=0,0,1))</f>
        <v>10440</v>
      </c>
      <c r="H308">
        <f ca="1">M308*'[1]0、经济设定'!$C$18*IF(E308&lt;J308,1,1)</f>
        <v>15900</v>
      </c>
      <c r="I308">
        <f t="shared" si="32"/>
        <v>9</v>
      </c>
      <c r="J308">
        <f>VLOOKUP(C308,技能CD配置辅助表!$C$3:$L$14,10,0)</f>
        <v>20</v>
      </c>
      <c r="K308">
        <f t="shared" ca="1" si="33"/>
        <v>45</v>
      </c>
      <c r="L308" s="45">
        <f t="shared" ca="1" si="35"/>
        <v>63</v>
      </c>
      <c r="M308">
        <f t="shared" ca="1" si="34"/>
        <v>318</v>
      </c>
      <c r="N308">
        <f>VLOOKUP(C308,技能CD配置辅助表!$C$3:$H$14,6,0)</f>
        <v>26</v>
      </c>
      <c r="O308">
        <f>VLOOKUP(C308,技能CD配置辅助表!$C$3:$M$14,5,0)</f>
        <v>4</v>
      </c>
      <c r="P308">
        <f ca="1">IFERROR(VLOOKUP(A308+I308-10000003,D_技能表!A:AD,30,0)*(VLOOKUP(C308,技能CD配置辅助表!$C$3:$J$14,8,0)-G308)/VLOOKUP(C308,技能CD配置辅助表!$C$3:$J$14,8,0),0)*IF(VLOOKUP(C308,技能CD配置辅助表!$C$3:$F$14,4,0)=1,1,4)</f>
        <v>8.3732103876008495</v>
      </c>
      <c r="R308">
        <f t="shared" si="36"/>
        <v>0.5</v>
      </c>
    </row>
    <row r="309" spans="1:18" x14ac:dyDescent="0.15">
      <c r="A309">
        <f ca="1">VLOOKUP(B309,技能CD配置辅助表!$C$3:$K$14,9,0)+I309</f>
        <v>19324110</v>
      </c>
      <c r="B309" t="str">
        <f t="shared" si="30"/>
        <v>子弹风暴</v>
      </c>
      <c r="C309" t="s">
        <v>192</v>
      </c>
      <c r="D309">
        <f>VLOOKUP(C309,技能CD配置辅助表!$C$3:$E$14,3,0)</f>
        <v>3</v>
      </c>
      <c r="E309">
        <f>IF(I309=0,1,IF(I309&lt;3,VLOOKUP(C309,技能CD配置辅助表!$C$3:$I$14,7,0)+(I309-1)*2,VLOOKUP(C309,技能CD配置辅助表!$C$3:$I$14,7,0)+(I309-1)*3-1))</f>
        <v>32</v>
      </c>
      <c r="F309" t="str">
        <f t="shared" si="31"/>
        <v>第10级，技能冷却时间10.12秒</v>
      </c>
      <c r="G309">
        <f>VLOOKUP(C309,技能CD配置辅助表!$C$3:$J$14,8,0)-(VLOOKUP(C309,技能CD配置辅助表!$C$3:$J$14,8,0)-VLOOKUP(C309,技能CD配置辅助表!$C$2:$M$14,11,0))/(VLOOKUP(C309,技能CD配置辅助表!$C$3:$H$14,6,0)-1)*(I309-IF(I309=0,0,1))</f>
        <v>10120</v>
      </c>
      <c r="H309">
        <f ca="1">M309*'[1]0、经济设定'!$C$18*IF(E309&lt;J309,1,1)</f>
        <v>19550</v>
      </c>
      <c r="I309">
        <f t="shared" si="32"/>
        <v>10</v>
      </c>
      <c r="J309">
        <f>VLOOKUP(C309,技能CD配置辅助表!$C$3:$L$14,10,0)</f>
        <v>20</v>
      </c>
      <c r="K309">
        <f t="shared" ca="1" si="33"/>
        <v>63</v>
      </c>
      <c r="L309" s="45">
        <f t="shared" ca="1" si="35"/>
        <v>73</v>
      </c>
      <c r="M309">
        <f t="shared" ca="1" si="34"/>
        <v>391</v>
      </c>
      <c r="N309">
        <f>VLOOKUP(C309,技能CD配置辅助表!$C$3:$H$14,6,0)</f>
        <v>26</v>
      </c>
      <c r="O309">
        <f>VLOOKUP(C309,技能CD配置辅助表!$C$3:$M$14,5,0)</f>
        <v>4</v>
      </c>
      <c r="P309">
        <f ca="1">IFERROR(VLOOKUP(A309+I309-10000003,D_技能表!A:AD,30,0)*(VLOOKUP(C309,技能CD配置辅助表!$C$3:$J$14,8,0)-G309)/VLOOKUP(C309,技能CD配置辅助表!$C$3:$J$14,8,0),0)*IF(VLOOKUP(C309,技能CD配置辅助表!$C$3:$F$14,4,0)=1,1,4)</f>
        <v>12.746009997406738</v>
      </c>
      <c r="R309">
        <f t="shared" si="36"/>
        <v>0.6</v>
      </c>
    </row>
    <row r="310" spans="1:18" x14ac:dyDescent="0.15">
      <c r="A310">
        <f ca="1">VLOOKUP(B310,技能CD配置辅助表!$C$3:$K$14,9,0)+I310</f>
        <v>19324111</v>
      </c>
      <c r="B310" t="str">
        <f t="shared" si="30"/>
        <v>子弹风暴</v>
      </c>
      <c r="C310" t="s">
        <v>192</v>
      </c>
      <c r="D310">
        <f>VLOOKUP(C310,技能CD配置辅助表!$C$3:$E$14,3,0)</f>
        <v>3</v>
      </c>
      <c r="E310">
        <f>IF(I310=0,1,IF(I310&lt;3,VLOOKUP(C310,技能CD配置辅助表!$C$3:$I$14,7,0)+(I310-1)*2,VLOOKUP(C310,技能CD配置辅助表!$C$3:$I$14,7,0)+(I310-1)*3-1))</f>
        <v>35</v>
      </c>
      <c r="F310" t="str">
        <f t="shared" si="31"/>
        <v>第11级，技能冷却时间9.8秒</v>
      </c>
      <c r="G310">
        <f>VLOOKUP(C310,技能CD配置辅助表!$C$3:$J$14,8,0)-(VLOOKUP(C310,技能CD配置辅助表!$C$3:$J$14,8,0)-VLOOKUP(C310,技能CD配置辅助表!$C$2:$M$14,11,0))/(VLOOKUP(C310,技能CD配置辅助表!$C$3:$H$14,6,0)-1)*(I310-IF(I310=0,0,1))</f>
        <v>9800</v>
      </c>
      <c r="H310">
        <f ca="1">M310*'[1]0、经济设定'!$C$18*IF(E310&lt;J310,1,1)</f>
        <v>23800</v>
      </c>
      <c r="I310">
        <f t="shared" si="32"/>
        <v>11</v>
      </c>
      <c r="J310">
        <f>VLOOKUP(C310,技能CD配置辅助表!$C$3:$L$14,10,0)</f>
        <v>20</v>
      </c>
      <c r="K310">
        <f t="shared" ca="1" si="33"/>
        <v>85</v>
      </c>
      <c r="L310" s="45">
        <f t="shared" ca="1" si="35"/>
        <v>85</v>
      </c>
      <c r="M310">
        <f t="shared" ca="1" si="34"/>
        <v>476</v>
      </c>
      <c r="N310">
        <f>VLOOKUP(C310,技能CD配置辅助表!$C$3:$H$14,6,0)</f>
        <v>26</v>
      </c>
      <c r="O310">
        <f>VLOOKUP(C310,技能CD配置辅助表!$C$3:$M$14,5,0)</f>
        <v>4</v>
      </c>
      <c r="P310">
        <f ca="1">IFERROR(VLOOKUP(A310+I310-10000003,D_技能表!A:AD,30,0)*(VLOOKUP(C310,技能CD配置辅助表!$C$3:$J$14,8,0)-G310)/VLOOKUP(C310,技能CD配置辅助表!$C$3:$J$14,8,0),0)*IF(VLOOKUP(C310,技能CD配置辅助表!$C$3:$F$14,4,0)=1,1,4)</f>
        <v>19.128967751152615</v>
      </c>
      <c r="R310">
        <f t="shared" si="36"/>
        <v>0.7</v>
      </c>
    </row>
    <row r="311" spans="1:18" x14ac:dyDescent="0.15">
      <c r="A311">
        <f ca="1">VLOOKUP(B311,技能CD配置辅助表!$C$3:$K$14,9,0)+I311</f>
        <v>19324112</v>
      </c>
      <c r="B311" t="str">
        <f t="shared" si="30"/>
        <v>子弹风暴</v>
      </c>
      <c r="C311" t="s">
        <v>192</v>
      </c>
      <c r="D311">
        <f>VLOOKUP(C311,技能CD配置辅助表!$C$3:$E$14,3,0)</f>
        <v>3</v>
      </c>
      <c r="E311">
        <f>IF(I311=0,1,IF(I311&lt;3,VLOOKUP(C311,技能CD配置辅助表!$C$3:$I$14,7,0)+(I311-1)*2,VLOOKUP(C311,技能CD配置辅助表!$C$3:$I$14,7,0)+(I311-1)*3-1))</f>
        <v>38</v>
      </c>
      <c r="F311" t="str">
        <f t="shared" si="31"/>
        <v>第12级，技能冷却时间9.48秒</v>
      </c>
      <c r="G311">
        <f>VLOOKUP(C311,技能CD配置辅助表!$C$3:$J$14,8,0)-(VLOOKUP(C311,技能CD配置辅助表!$C$3:$J$14,8,0)-VLOOKUP(C311,技能CD配置辅助表!$C$2:$M$14,11,0))/(VLOOKUP(C311,技能CD配置辅助表!$C$3:$H$14,6,0)-1)*(I311-IF(I311=0,0,1))</f>
        <v>9480</v>
      </c>
      <c r="H311">
        <f ca="1">M311*'[1]0、经济设定'!$C$18*IF(E311&lt;J311,1,1)</f>
        <v>28750</v>
      </c>
      <c r="I311">
        <f t="shared" si="32"/>
        <v>12</v>
      </c>
      <c r="J311">
        <f>VLOOKUP(C311,技能CD配置辅助表!$C$3:$L$14,10,0)</f>
        <v>20</v>
      </c>
      <c r="K311">
        <f t="shared" ca="1" si="33"/>
        <v>114</v>
      </c>
      <c r="L311" s="45">
        <f t="shared" ca="1" si="35"/>
        <v>99</v>
      </c>
      <c r="M311">
        <f t="shared" ca="1" si="34"/>
        <v>575</v>
      </c>
      <c r="N311">
        <f>VLOOKUP(C311,技能CD配置辅助表!$C$3:$H$14,6,0)</f>
        <v>26</v>
      </c>
      <c r="O311">
        <f>VLOOKUP(C311,技能CD配置辅助表!$C$3:$M$14,5,0)</f>
        <v>4</v>
      </c>
      <c r="P311">
        <f ca="1">IFERROR(VLOOKUP(A311+I311-10000003,D_技能表!A:AD,30,0)*(VLOOKUP(C311,技能CD配置辅助表!$C$3:$J$14,8,0)-G311)/VLOOKUP(C311,技能CD配置辅助表!$C$3:$J$14,8,0),0)*IF(VLOOKUP(C311,技能CD配置辅助表!$C$3:$F$14,4,0)=1,1,4)</f>
        <v>28.374946764356039</v>
      </c>
      <c r="R311">
        <f t="shared" si="36"/>
        <v>0.8</v>
      </c>
    </row>
    <row r="312" spans="1:18" x14ac:dyDescent="0.15">
      <c r="A312">
        <f ca="1">VLOOKUP(B312,技能CD配置辅助表!$C$3:$K$14,9,0)+I312</f>
        <v>19324113</v>
      </c>
      <c r="B312" t="str">
        <f t="shared" si="30"/>
        <v>子弹风暴</v>
      </c>
      <c r="C312" t="s">
        <v>192</v>
      </c>
      <c r="D312">
        <f>VLOOKUP(C312,技能CD配置辅助表!$C$3:$E$14,3,0)</f>
        <v>3</v>
      </c>
      <c r="E312">
        <f>IF(I312=0,1,IF(I312&lt;3,VLOOKUP(C312,技能CD配置辅助表!$C$3:$I$14,7,0)+(I312-1)*2,VLOOKUP(C312,技能CD配置辅助表!$C$3:$I$14,7,0)+(I312-1)*3-1))</f>
        <v>41</v>
      </c>
      <c r="F312" t="str">
        <f t="shared" si="31"/>
        <v>第13级，技能冷却时间9.16秒</v>
      </c>
      <c r="G312">
        <f>VLOOKUP(C312,技能CD配置辅助表!$C$3:$J$14,8,0)-(VLOOKUP(C312,技能CD配置辅助表!$C$3:$J$14,8,0)-VLOOKUP(C312,技能CD配置辅助表!$C$2:$M$14,11,0))/(VLOOKUP(C312,技能CD配置辅助表!$C$3:$H$14,6,0)-1)*(I312-IF(I312=0,0,1))</f>
        <v>9160</v>
      </c>
      <c r="H312">
        <f ca="1">M312*'[1]0、经济设定'!$C$18*IF(E312&lt;J312,1,1)</f>
        <v>34500</v>
      </c>
      <c r="I312">
        <f t="shared" si="32"/>
        <v>13</v>
      </c>
      <c r="J312">
        <f>VLOOKUP(C312,技能CD配置辅助表!$C$3:$L$14,10,0)</f>
        <v>20</v>
      </c>
      <c r="K312">
        <f t="shared" ca="1" si="33"/>
        <v>148</v>
      </c>
      <c r="L312" s="45">
        <f t="shared" ca="1" si="35"/>
        <v>115</v>
      </c>
      <c r="M312">
        <f t="shared" ca="1" si="34"/>
        <v>690</v>
      </c>
      <c r="N312">
        <f>VLOOKUP(C312,技能CD配置辅助表!$C$3:$H$14,6,0)</f>
        <v>26</v>
      </c>
      <c r="O312">
        <f>VLOOKUP(C312,技能CD配置辅助表!$C$3:$M$14,5,0)</f>
        <v>4</v>
      </c>
      <c r="P312">
        <f ca="1">IFERROR(VLOOKUP(A312+I312-10000003,D_技能表!A:AD,30,0)*(VLOOKUP(C312,技能CD配置辅助表!$C$3:$J$14,8,0)-G312)/VLOOKUP(C312,技能CD配置辅助表!$C$3:$J$14,8,0),0)*IF(VLOOKUP(C312,技能CD配置辅助表!$C$3:$F$14,4,0)=1,1,4)</f>
        <v>41.679213143656717</v>
      </c>
      <c r="R312">
        <f t="shared" si="36"/>
        <v>0.9</v>
      </c>
    </row>
    <row r="313" spans="1:18" x14ac:dyDescent="0.15">
      <c r="A313">
        <f ca="1">VLOOKUP(B313,技能CD配置辅助表!$C$3:$K$14,9,0)+I313</f>
        <v>19324114</v>
      </c>
      <c r="B313" t="str">
        <f t="shared" si="30"/>
        <v>子弹风暴</v>
      </c>
      <c r="C313" t="s">
        <v>192</v>
      </c>
      <c r="D313">
        <f>VLOOKUP(C313,技能CD配置辅助表!$C$3:$E$14,3,0)</f>
        <v>3</v>
      </c>
      <c r="E313">
        <f>IF(I313=0,1,IF(I313&lt;3,VLOOKUP(C313,技能CD配置辅助表!$C$3:$I$14,7,0)+(I313-1)*2,VLOOKUP(C313,技能CD配置辅助表!$C$3:$I$14,7,0)+(I313-1)*3-1))</f>
        <v>44</v>
      </c>
      <c r="F313" t="str">
        <f t="shared" si="31"/>
        <v>第14级，技能冷却时间8.84秒</v>
      </c>
      <c r="G313">
        <f>VLOOKUP(C313,技能CD配置辅助表!$C$3:$J$14,8,0)-(VLOOKUP(C313,技能CD配置辅助表!$C$3:$J$14,8,0)-VLOOKUP(C313,技能CD配置辅助表!$C$2:$M$14,11,0))/(VLOOKUP(C313,技能CD配置辅助表!$C$3:$H$14,6,0)-1)*(I313-IF(I313=0,0,1))</f>
        <v>8840</v>
      </c>
      <c r="H313">
        <f ca="1">M313*'[1]0、经济设定'!$C$18*IF(E313&lt;J313,1,1)</f>
        <v>41150</v>
      </c>
      <c r="I313">
        <f t="shared" si="32"/>
        <v>14</v>
      </c>
      <c r="J313">
        <f>VLOOKUP(C313,技能CD配置辅助表!$C$3:$L$14,10,0)</f>
        <v>20</v>
      </c>
      <c r="K313">
        <f t="shared" ca="1" si="33"/>
        <v>190</v>
      </c>
      <c r="L313" s="45">
        <f t="shared" ca="1" si="35"/>
        <v>133</v>
      </c>
      <c r="M313">
        <f t="shared" ca="1" si="34"/>
        <v>823</v>
      </c>
      <c r="N313">
        <f>VLOOKUP(C313,技能CD配置辅助表!$C$3:$H$14,6,0)</f>
        <v>26</v>
      </c>
      <c r="O313">
        <f>VLOOKUP(C313,技能CD配置辅助表!$C$3:$M$14,5,0)</f>
        <v>4</v>
      </c>
      <c r="P313">
        <f ca="1">IFERROR(VLOOKUP(A313+I313-10000003,D_技能表!A:AD,30,0)*(VLOOKUP(C313,技能CD配置辅助表!$C$3:$J$14,8,0)-G313)/VLOOKUP(C313,技能CD配置辅助表!$C$3:$J$14,8,0),0)*IF(VLOOKUP(C313,技能CD配置辅助表!$C$3:$F$14,4,0)=1,1,4)</f>
        <v>60.711454799484173</v>
      </c>
      <c r="R313">
        <f t="shared" si="36"/>
        <v>1</v>
      </c>
    </row>
    <row r="314" spans="1:18" x14ac:dyDescent="0.15">
      <c r="A314">
        <f ca="1">VLOOKUP(B314,技能CD配置辅助表!$C$3:$K$14,9,0)+I314</f>
        <v>19324115</v>
      </c>
      <c r="B314" t="str">
        <f t="shared" si="30"/>
        <v>子弹风暴</v>
      </c>
      <c r="C314" t="s">
        <v>192</v>
      </c>
      <c r="D314">
        <f>VLOOKUP(C314,技能CD配置辅助表!$C$3:$E$14,3,0)</f>
        <v>3</v>
      </c>
      <c r="E314">
        <f>IF(I314=0,1,IF(I314&lt;3,VLOOKUP(C314,技能CD配置辅助表!$C$3:$I$14,7,0)+(I314-1)*2,VLOOKUP(C314,技能CD配置辅助表!$C$3:$I$14,7,0)+(I314-1)*3-1))</f>
        <v>47</v>
      </c>
      <c r="F314" t="str">
        <f t="shared" ref="F314:F325" si="37">"第"&amp;I314&amp;"级，技能冷却时间"&amp;G314/1000&amp;"秒"</f>
        <v>第15级，技能冷却时间8.52秒</v>
      </c>
      <c r="G314">
        <f>VLOOKUP(C314,技能CD配置辅助表!$C$3:$J$14,8,0)-(VLOOKUP(C314,技能CD配置辅助表!$C$3:$J$14,8,0)-VLOOKUP(C314,技能CD配置辅助表!$C$2:$M$14,11,0))/(VLOOKUP(C314,技能CD配置辅助表!$C$3:$H$14,6,0)-1)*(I314-IF(I314=0,0,1))</f>
        <v>8520</v>
      </c>
      <c r="H314">
        <f ca="1">M314*'[1]0、经济设定'!$C$18*IF(E314&lt;J314,1,1)</f>
        <v>48850</v>
      </c>
      <c r="I314">
        <f t="shared" ref="I314:I325" si="38">IF(B314=B313,I313+1,0)</f>
        <v>15</v>
      </c>
      <c r="J314">
        <f>VLOOKUP(C314,技能CD配置辅助表!$C$3:$L$14,10,0)</f>
        <v>20</v>
      </c>
      <c r="K314">
        <f t="shared" ca="1" si="33"/>
        <v>231</v>
      </c>
      <c r="L314" s="45">
        <f t="shared" ca="1" si="35"/>
        <v>154</v>
      </c>
      <c r="M314">
        <f t="shared" ref="M314:M325" ca="1" si="39">IF(I314=0,0,L314+M313)</f>
        <v>977</v>
      </c>
      <c r="N314">
        <f>VLOOKUP(C314,技能CD配置辅助表!$C$3:$H$14,6,0)</f>
        <v>26</v>
      </c>
      <c r="O314">
        <f>VLOOKUP(C314,技能CD配置辅助表!$C$3:$M$14,5,0)</f>
        <v>4</v>
      </c>
      <c r="P314">
        <f ca="1">IFERROR(VLOOKUP(A314+I314-10000003,D_技能表!A:AD,30,0)*(VLOOKUP(C314,技能CD配置辅助表!$C$3:$J$14,8,0)-G314)/VLOOKUP(C314,技能CD配置辅助表!$C$3:$J$14,8,0),0)*IF(VLOOKUP(C314,技能CD配置辅助表!$C$3:$F$14,4,0)=1,1,4)</f>
        <v>87.797153299839948</v>
      </c>
      <c r="R314">
        <f t="shared" si="36"/>
        <v>1.05</v>
      </c>
    </row>
    <row r="315" spans="1:18" x14ac:dyDescent="0.15">
      <c r="A315">
        <f ca="1">VLOOKUP(B315,技能CD配置辅助表!$C$3:$K$14,9,0)+I315</f>
        <v>19324116</v>
      </c>
      <c r="B315" t="str">
        <f t="shared" si="30"/>
        <v>子弹风暴</v>
      </c>
      <c r="C315" t="s">
        <v>192</v>
      </c>
      <c r="D315">
        <f>VLOOKUP(C315,技能CD配置辅助表!$C$3:$E$14,3,0)</f>
        <v>3</v>
      </c>
      <c r="E315">
        <f>IF(I315=0,1,IF(I315&lt;3,VLOOKUP(C315,技能CD配置辅助表!$C$3:$I$14,7,0)+(I315-1)*2,VLOOKUP(C315,技能CD配置辅助表!$C$3:$I$14,7,0)+(I315-1)*3-1))</f>
        <v>50</v>
      </c>
      <c r="F315" t="str">
        <f t="shared" si="37"/>
        <v>第16级，技能冷却时间8.2秒</v>
      </c>
      <c r="G315">
        <f>VLOOKUP(C315,技能CD配置辅助表!$C$3:$J$14,8,0)-(VLOOKUP(C315,技能CD配置辅助表!$C$3:$J$14,8,0)-VLOOKUP(C315,技能CD配置辅助表!$C$2:$M$14,11,0))/(VLOOKUP(C315,技能CD配置辅助表!$C$3:$H$14,6,0)-1)*(I315-IF(I315=0,0,1))</f>
        <v>8200</v>
      </c>
      <c r="H315">
        <f ca="1">M315*'[1]0、经济设定'!$C$18*IF(E315&lt;J315,1,1)</f>
        <v>57800</v>
      </c>
      <c r="I315">
        <f t="shared" si="38"/>
        <v>16</v>
      </c>
      <c r="J315">
        <f>VLOOKUP(C315,技能CD配置辅助表!$C$3:$L$14,10,0)</f>
        <v>20</v>
      </c>
      <c r="K315">
        <f t="shared" ca="1" si="33"/>
        <v>282</v>
      </c>
      <c r="L315" s="45">
        <f t="shared" ca="1" si="35"/>
        <v>179</v>
      </c>
      <c r="M315">
        <f t="shared" ca="1" si="39"/>
        <v>1156</v>
      </c>
      <c r="N315">
        <f>VLOOKUP(C315,技能CD配置辅助表!$C$3:$H$14,6,0)</f>
        <v>26</v>
      </c>
      <c r="O315">
        <f>VLOOKUP(C315,技能CD配置辅助表!$C$3:$M$14,5,0)</f>
        <v>4</v>
      </c>
      <c r="P315">
        <f ca="1">IFERROR(VLOOKUP(A315+I315-10000003,D_技能表!A:AD,30,0)*(VLOOKUP(C315,技能CD配置辅助表!$C$3:$J$14,8,0)-G315)/VLOOKUP(C315,技能CD配置辅助表!$C$3:$J$14,8,0),0)*IF(VLOOKUP(C315,技能CD配置辅助表!$C$3:$F$14,4,0)=1,1,4)</f>
        <v>126.16631392373995</v>
      </c>
      <c r="R315">
        <f t="shared" si="36"/>
        <v>1.1000000000000001</v>
      </c>
    </row>
    <row r="316" spans="1:18" x14ac:dyDescent="0.15">
      <c r="A316">
        <f ca="1">VLOOKUP(B316,技能CD配置辅助表!$C$3:$K$14,9,0)+I316</f>
        <v>19324117</v>
      </c>
      <c r="B316" t="str">
        <f t="shared" si="30"/>
        <v>子弹风暴</v>
      </c>
      <c r="C316" t="s">
        <v>192</v>
      </c>
      <c r="D316">
        <f>VLOOKUP(C316,技能CD配置辅助表!$C$3:$E$14,3,0)</f>
        <v>3</v>
      </c>
      <c r="E316">
        <f>IF(I316=0,1,IF(I316&lt;3,VLOOKUP(C316,技能CD配置辅助表!$C$3:$I$14,7,0)+(I316-1)*2,VLOOKUP(C316,技能CD配置辅助表!$C$3:$I$14,7,0)+(I316-1)*3-1))</f>
        <v>53</v>
      </c>
      <c r="F316" t="str">
        <f t="shared" si="37"/>
        <v>第17级，技能冷却时间7.88秒</v>
      </c>
      <c r="G316">
        <f>VLOOKUP(C316,技能CD配置辅助表!$C$3:$J$14,8,0)-(VLOOKUP(C316,技能CD配置辅助表!$C$3:$J$14,8,0)-VLOOKUP(C316,技能CD配置辅助表!$C$2:$M$14,11,0))/(VLOOKUP(C316,技能CD配置辅助表!$C$3:$H$14,6,0)-1)*(I316-IF(I316=0,0,1))</f>
        <v>7880</v>
      </c>
      <c r="H316">
        <f ca="1">M316*'[1]0、经济设定'!$C$18*IF(E316&lt;J316,1,1)</f>
        <v>68200</v>
      </c>
      <c r="I316">
        <f t="shared" si="38"/>
        <v>17</v>
      </c>
      <c r="J316">
        <f>VLOOKUP(C316,技能CD配置辅助表!$C$3:$L$14,10,0)</f>
        <v>20</v>
      </c>
      <c r="K316">
        <f t="shared" ca="1" si="33"/>
        <v>342</v>
      </c>
      <c r="L316" s="45">
        <f t="shared" ca="1" si="35"/>
        <v>208</v>
      </c>
      <c r="M316">
        <f t="shared" ca="1" si="39"/>
        <v>1364</v>
      </c>
      <c r="N316">
        <f>VLOOKUP(C316,技能CD配置辅助表!$C$3:$H$14,6,0)</f>
        <v>26</v>
      </c>
      <c r="O316">
        <f>VLOOKUP(C316,技能CD配置辅助表!$C$3:$M$14,5,0)</f>
        <v>4</v>
      </c>
      <c r="P316">
        <f ca="1">IFERROR(VLOOKUP(A316+I316-10000003,D_技能表!A:AD,30,0)*(VLOOKUP(C316,技能CD配置辅助表!$C$3:$J$14,8,0)-G316)/VLOOKUP(C316,技能CD配置辅助表!$C$3:$J$14,8,0),0)*IF(VLOOKUP(C316,技能CD配置辅助表!$C$3:$F$14,4,0)=1,1,4)</f>
        <v>180.29399928713917</v>
      </c>
      <c r="R316">
        <f t="shared" si="36"/>
        <v>1.1499999999999999</v>
      </c>
    </row>
    <row r="317" spans="1:18" x14ac:dyDescent="0.15">
      <c r="A317">
        <f ca="1">VLOOKUP(B317,技能CD配置辅助表!$C$3:$K$14,9,0)+I317</f>
        <v>19324118</v>
      </c>
      <c r="B317" t="str">
        <f t="shared" si="30"/>
        <v>子弹风暴</v>
      </c>
      <c r="C317" t="s">
        <v>192</v>
      </c>
      <c r="D317">
        <f>VLOOKUP(C317,技能CD配置辅助表!$C$3:$E$14,3,0)</f>
        <v>3</v>
      </c>
      <c r="E317">
        <f>IF(I317=0,1,IF(I317&lt;3,VLOOKUP(C317,技能CD配置辅助表!$C$3:$I$14,7,0)+(I317-1)*2,VLOOKUP(C317,技能CD配置辅助表!$C$3:$I$14,7,0)+(I317-1)*3-1))</f>
        <v>56</v>
      </c>
      <c r="F317" t="str">
        <f t="shared" si="37"/>
        <v>第18级，技能冷却时间7.56秒</v>
      </c>
      <c r="G317">
        <f>VLOOKUP(C317,技能CD配置辅助表!$C$3:$J$14,8,0)-(VLOOKUP(C317,技能CD配置辅助表!$C$3:$J$14,8,0)-VLOOKUP(C317,技能CD配置辅助表!$C$2:$M$14,11,0))/(VLOOKUP(C317,技能CD配置辅助表!$C$3:$H$14,6,0)-1)*(I317-IF(I317=0,0,1))</f>
        <v>7560</v>
      </c>
      <c r="H317">
        <f ca="1">M317*'[1]0、经济设定'!$C$18*IF(E317&lt;J317,1,1)</f>
        <v>80250</v>
      </c>
      <c r="I317">
        <f t="shared" si="38"/>
        <v>18</v>
      </c>
      <c r="J317">
        <f>VLOOKUP(C317,技能CD配置辅助表!$C$3:$L$14,10,0)</f>
        <v>20</v>
      </c>
      <c r="K317">
        <f t="shared" ca="1" si="33"/>
        <v>414</v>
      </c>
      <c r="L317" s="45">
        <f t="shared" ca="1" si="35"/>
        <v>241</v>
      </c>
      <c r="M317">
        <f t="shared" ca="1" si="39"/>
        <v>1605</v>
      </c>
      <c r="N317">
        <f>VLOOKUP(C317,技能CD配置辅助表!$C$3:$H$14,6,0)</f>
        <v>26</v>
      </c>
      <c r="O317">
        <f>VLOOKUP(C317,技能CD配置辅助表!$C$3:$M$14,5,0)</f>
        <v>4</v>
      </c>
      <c r="P317">
        <f ca="1">IFERROR(VLOOKUP(A317+I317-10000003,D_技能表!A:AD,30,0)*(VLOOKUP(C317,技能CD配置辅助表!$C$3:$J$14,8,0)-G317)/VLOOKUP(C317,技能CD配置辅助表!$C$3:$J$14,8,0),0)*IF(VLOOKUP(C317,技能CD配置辅助表!$C$3:$F$14,4,0)=1,1,4)</f>
        <v>256.36581840497422</v>
      </c>
      <c r="R317">
        <f t="shared" si="36"/>
        <v>1.2</v>
      </c>
    </row>
    <row r="318" spans="1:18" x14ac:dyDescent="0.15">
      <c r="A318">
        <f ca="1">VLOOKUP(B318,技能CD配置辅助表!$C$3:$K$14,9,0)+I318</f>
        <v>19324119</v>
      </c>
      <c r="B318" t="str">
        <f t="shared" si="30"/>
        <v>子弹风暴</v>
      </c>
      <c r="C318" t="s">
        <v>192</v>
      </c>
      <c r="D318">
        <f>VLOOKUP(C318,技能CD配置辅助表!$C$3:$E$14,3,0)</f>
        <v>3</v>
      </c>
      <c r="E318">
        <f>IF(I318=0,1,IF(I318&lt;3,VLOOKUP(C318,技能CD配置辅助表!$C$3:$I$14,7,0)+(I318-1)*2,VLOOKUP(C318,技能CD配置辅助表!$C$3:$I$14,7,0)+(I318-1)*3-1))</f>
        <v>59</v>
      </c>
      <c r="F318" t="str">
        <f t="shared" si="37"/>
        <v>第19级，技能冷却时间7.24秒</v>
      </c>
      <c r="G318">
        <f>VLOOKUP(C318,技能CD配置辅助表!$C$3:$J$14,8,0)-(VLOOKUP(C318,技能CD配置辅助表!$C$3:$J$14,8,0)-VLOOKUP(C318,技能CD配置辅助表!$C$2:$M$14,11,0))/(VLOOKUP(C318,技能CD配置辅助表!$C$3:$H$14,6,0)-1)*(I318-IF(I318=0,0,1))</f>
        <v>7240</v>
      </c>
      <c r="H318">
        <f ca="1">M318*'[1]0、经济设定'!$C$18*IF(E318&lt;J318,1,1)</f>
        <v>94200</v>
      </c>
      <c r="I318">
        <f t="shared" si="38"/>
        <v>19</v>
      </c>
      <c r="J318">
        <f>VLOOKUP(C318,技能CD配置辅助表!$C$3:$L$14,10,0)</f>
        <v>20</v>
      </c>
      <c r="K318">
        <f t="shared" ca="1" si="33"/>
        <v>499</v>
      </c>
      <c r="L318" s="45">
        <f t="shared" ca="1" si="35"/>
        <v>279</v>
      </c>
      <c r="M318">
        <f t="shared" ca="1" si="39"/>
        <v>1884</v>
      </c>
      <c r="N318">
        <f>VLOOKUP(C318,技能CD配置辅助表!$C$3:$H$14,6,0)</f>
        <v>26</v>
      </c>
      <c r="O318">
        <f>VLOOKUP(C318,技能CD配置辅助表!$C$3:$M$14,5,0)</f>
        <v>4</v>
      </c>
      <c r="P318">
        <f ca="1">IFERROR(VLOOKUP(A318+I318-10000003,D_技能表!A:AD,30,0)*(VLOOKUP(C318,技能CD配置辅助表!$C$3:$J$14,8,0)-G318)/VLOOKUP(C318,技能CD配置辅助表!$C$3:$J$14,8,0),0)*IF(VLOOKUP(C318,技能CD配置辅助表!$C$3:$F$14,4,0)=1,1,4)</f>
        <v>362.9132824424367</v>
      </c>
      <c r="R318">
        <f t="shared" si="36"/>
        <v>1.25</v>
      </c>
    </row>
    <row r="319" spans="1:18" x14ac:dyDescent="0.15">
      <c r="A319">
        <f ca="1">VLOOKUP(B319,技能CD配置辅助表!$C$3:$K$14,9,0)+I319</f>
        <v>19324120</v>
      </c>
      <c r="B319" t="str">
        <f t="shared" si="30"/>
        <v>子弹风暴</v>
      </c>
      <c r="C319" t="s">
        <v>192</v>
      </c>
      <c r="D319">
        <f>VLOOKUP(C319,技能CD配置辅助表!$C$3:$E$14,3,0)</f>
        <v>3</v>
      </c>
      <c r="E319">
        <f>IF(I319=0,1,IF(I319&lt;3,VLOOKUP(C319,技能CD配置辅助表!$C$3:$I$14,7,0)+(I319-1)*2,VLOOKUP(C319,技能CD配置辅助表!$C$3:$I$14,7,0)+(I319-1)*3-1))</f>
        <v>62</v>
      </c>
      <c r="F319" t="str">
        <f t="shared" si="37"/>
        <v>第20级，技能冷却时间6.92秒</v>
      </c>
      <c r="G319">
        <f>VLOOKUP(C319,技能CD配置辅助表!$C$3:$J$14,8,0)-(VLOOKUP(C319,技能CD配置辅助表!$C$3:$J$14,8,0)-VLOOKUP(C319,技能CD配置辅助表!$C$2:$M$14,11,0))/(VLOOKUP(C319,技能CD配置辅助表!$C$3:$H$14,6,0)-1)*(I319-IF(I319=0,0,1))</f>
        <v>6920</v>
      </c>
      <c r="H319">
        <f ca="1">M319*'[1]0、经济设定'!$C$18*IF(E319&lt;J319,1,1)</f>
        <v>110400</v>
      </c>
      <c r="I319">
        <f t="shared" si="38"/>
        <v>20</v>
      </c>
      <c r="J319">
        <f>VLOOKUP(C319,技能CD配置辅助表!$C$3:$L$14,10,0)</f>
        <v>20</v>
      </c>
      <c r="K319">
        <f t="shared" ca="1" si="33"/>
        <v>602</v>
      </c>
      <c r="L319" s="45">
        <f t="shared" ca="1" si="35"/>
        <v>324</v>
      </c>
      <c r="M319">
        <f t="shared" ca="1" si="39"/>
        <v>2208</v>
      </c>
      <c r="N319">
        <f>VLOOKUP(C319,技能CD配置辅助表!$C$3:$H$14,6,0)</f>
        <v>26</v>
      </c>
      <c r="O319">
        <f>VLOOKUP(C319,技能CD配置辅助表!$C$3:$M$14,5,0)</f>
        <v>4</v>
      </c>
      <c r="P319">
        <f ca="1">IFERROR(VLOOKUP(A319+I319-10000003,D_技能表!A:AD,30,0)*(VLOOKUP(C319,技能CD配置辅助表!$C$3:$J$14,8,0)-G319)/VLOOKUP(C319,技能CD配置辅助表!$C$3:$J$14,8,0),0)*IF(VLOOKUP(C319,技能CD配置辅助表!$C$3:$F$14,4,0)=1,1,4)</f>
        <v>511.67980717991071</v>
      </c>
      <c r="R319">
        <f t="shared" si="36"/>
        <v>1.3</v>
      </c>
    </row>
    <row r="320" spans="1:18" x14ac:dyDescent="0.15">
      <c r="A320">
        <f ca="1">VLOOKUP(B320,技能CD配置辅助表!$C$3:$K$14,9,0)+I320</f>
        <v>19324121</v>
      </c>
      <c r="B320" t="str">
        <f t="shared" si="30"/>
        <v>子弹风暴</v>
      </c>
      <c r="C320" t="s">
        <v>192</v>
      </c>
      <c r="D320">
        <f>VLOOKUP(C320,技能CD配置辅助表!$C$3:$E$14,3,0)</f>
        <v>3</v>
      </c>
      <c r="E320">
        <f>IF(I320=0,1,IF(I320&lt;3,VLOOKUP(C320,技能CD配置辅助表!$C$3:$I$14,7,0)+(I320-1)*2,VLOOKUP(C320,技能CD配置辅助表!$C$3:$I$14,7,0)+(I320-1)*3-1))</f>
        <v>65</v>
      </c>
      <c r="F320" t="str">
        <f t="shared" si="37"/>
        <v>第21级，技能冷却时间6.6秒</v>
      </c>
      <c r="G320">
        <f>VLOOKUP(C320,技能CD配置辅助表!$C$3:$J$14,8,0)-(VLOOKUP(C320,技能CD配置辅助表!$C$3:$J$14,8,0)-VLOOKUP(C320,技能CD配置辅助表!$C$2:$M$14,11,0))/(VLOOKUP(C320,技能CD配置辅助表!$C$3:$H$14,6,0)-1)*(I320-IF(I320=0,0,1))</f>
        <v>6600</v>
      </c>
      <c r="H320">
        <f ca="1">M320*'[1]0、经济设定'!$C$18*IF(E320&lt;J320,1,1)</f>
        <v>129150</v>
      </c>
      <c r="I320">
        <f t="shared" si="38"/>
        <v>21</v>
      </c>
      <c r="J320">
        <f>VLOOKUP(C320,技能CD配置辅助表!$C$3:$L$14,10,0)</f>
        <v>20</v>
      </c>
      <c r="K320">
        <f t="shared" ca="1" si="33"/>
        <v>724</v>
      </c>
      <c r="L320" s="45">
        <f t="shared" ca="1" si="35"/>
        <v>375</v>
      </c>
      <c r="M320">
        <f t="shared" ca="1" si="39"/>
        <v>2583</v>
      </c>
      <c r="N320">
        <f>VLOOKUP(C320,技能CD配置辅助表!$C$3:$H$14,6,0)</f>
        <v>26</v>
      </c>
      <c r="O320">
        <f>VLOOKUP(C320,技能CD配置辅助表!$C$3:$M$14,5,0)</f>
        <v>4</v>
      </c>
      <c r="P320">
        <f ca="1">IFERROR(VLOOKUP(A320+I320-10000003,D_技能表!A:AD,30,0)*(VLOOKUP(C320,技能CD配置辅助表!$C$3:$J$14,8,0)-G320)/VLOOKUP(C320,技能CD配置辅助表!$C$3:$J$14,8,0),0)*IF(VLOOKUP(C320,技能CD配置辅助表!$C$3:$F$14,4,0)=1,1,4)</f>
        <v>718.79953836366792</v>
      </c>
      <c r="R320">
        <f t="shared" si="36"/>
        <v>1.35</v>
      </c>
    </row>
    <row r="321" spans="1:18" x14ac:dyDescent="0.15">
      <c r="A321">
        <f ca="1">VLOOKUP(B321,技能CD配置辅助表!$C$3:$K$14,9,0)+I321</f>
        <v>19324122</v>
      </c>
      <c r="B321" t="str">
        <f t="shared" si="30"/>
        <v>子弹风暴</v>
      </c>
      <c r="C321" t="s">
        <v>192</v>
      </c>
      <c r="D321">
        <f>VLOOKUP(C321,技能CD配置辅助表!$C$3:$E$14,3,0)</f>
        <v>3</v>
      </c>
      <c r="E321">
        <f>IF(I321=0,1,IF(I321&lt;3,VLOOKUP(C321,技能CD配置辅助表!$C$3:$I$14,7,0)+(I321-1)*2,VLOOKUP(C321,技能CD配置辅助表!$C$3:$I$14,7,0)+(I321-1)*3-1))</f>
        <v>68</v>
      </c>
      <c r="F321" t="str">
        <f t="shared" si="37"/>
        <v>第22级，技能冷却时间6.28秒</v>
      </c>
      <c r="G321">
        <f>VLOOKUP(C321,技能CD配置辅助表!$C$3:$J$14,8,0)-(VLOOKUP(C321,技能CD配置辅助表!$C$3:$J$14,8,0)-VLOOKUP(C321,技能CD配置辅助表!$C$2:$M$14,11,0))/(VLOOKUP(C321,技能CD配置辅助表!$C$3:$H$14,6,0)-1)*(I321-IF(I321=0,0,1))</f>
        <v>6280</v>
      </c>
      <c r="H321">
        <f ca="1">M321*'[1]0、经济设定'!$C$18*IF(E321&lt;J321,1,1)</f>
        <v>150900</v>
      </c>
      <c r="I321">
        <f t="shared" si="38"/>
        <v>22</v>
      </c>
      <c r="J321">
        <f>VLOOKUP(C321,技能CD配置辅助表!$C$3:$L$14,10,0)</f>
        <v>20</v>
      </c>
      <c r="K321">
        <f t="shared" ca="1" si="33"/>
        <v>870</v>
      </c>
      <c r="L321" s="45">
        <f t="shared" ca="1" si="35"/>
        <v>435</v>
      </c>
      <c r="M321">
        <f t="shared" ca="1" si="39"/>
        <v>3018</v>
      </c>
      <c r="N321">
        <f>VLOOKUP(C321,技能CD配置辅助表!$C$3:$H$14,6,0)</f>
        <v>26</v>
      </c>
      <c r="O321">
        <f>VLOOKUP(C321,技能CD配置辅助表!$C$3:$M$14,5,0)</f>
        <v>4</v>
      </c>
      <c r="P321">
        <f ca="1">IFERROR(VLOOKUP(A321+I321-10000003,D_技能表!A:AD,30,0)*(VLOOKUP(C321,技能CD配置辅助表!$C$3:$J$14,8,0)-G321)/VLOOKUP(C321,技能CD配置辅助表!$C$3:$J$14,8,0),0)*IF(VLOOKUP(C321,技能CD配置辅助表!$C$3:$F$14,4,0)=1,1,4)</f>
        <v>1006.4000016481211</v>
      </c>
      <c r="R321">
        <f t="shared" si="36"/>
        <v>1.4</v>
      </c>
    </row>
    <row r="322" spans="1:18" x14ac:dyDescent="0.15">
      <c r="A322">
        <f ca="1">VLOOKUP(B322,技能CD配置辅助表!$C$3:$K$14,9,0)+I322</f>
        <v>19324123</v>
      </c>
      <c r="B322" t="str">
        <f t="shared" si="30"/>
        <v>子弹风暴</v>
      </c>
      <c r="C322" t="s">
        <v>192</v>
      </c>
      <c r="D322">
        <f>VLOOKUP(C322,技能CD配置辅助表!$C$3:$E$14,3,0)</f>
        <v>3</v>
      </c>
      <c r="E322">
        <f>IF(I322=0,1,IF(I322&lt;3,VLOOKUP(C322,技能CD配置辅助表!$C$3:$I$14,7,0)+(I322-1)*2,VLOOKUP(C322,技能CD配置辅助表!$C$3:$I$14,7,0)+(I322-1)*3-1))</f>
        <v>71</v>
      </c>
      <c r="F322" t="str">
        <f t="shared" si="37"/>
        <v>第23级，技能冷却时间5.96秒</v>
      </c>
      <c r="G322">
        <f>VLOOKUP(C322,技能CD配置辅助表!$C$3:$J$14,8,0)-(VLOOKUP(C322,技能CD配置辅助表!$C$3:$J$14,8,0)-VLOOKUP(C322,技能CD配置辅助表!$C$2:$M$14,11,0))/(VLOOKUP(C322,技能CD配置辅助表!$C$3:$H$14,6,0)-1)*(I322-IF(I322=0,0,1))</f>
        <v>5960</v>
      </c>
      <c r="H322">
        <f ca="1">M322*'[1]0、经济设定'!$C$18*IF(E322&lt;J322,1,1)</f>
        <v>176150</v>
      </c>
      <c r="I322">
        <f t="shared" si="38"/>
        <v>23</v>
      </c>
      <c r="J322">
        <f>VLOOKUP(C322,技能CD配置辅助表!$C$3:$L$14,10,0)</f>
        <v>20</v>
      </c>
      <c r="K322">
        <f t="shared" ca="1" si="33"/>
        <v>1047</v>
      </c>
      <c r="L322" s="45">
        <f t="shared" ca="1" si="35"/>
        <v>505</v>
      </c>
      <c r="M322">
        <f t="shared" ca="1" si="39"/>
        <v>3523</v>
      </c>
      <c r="N322">
        <f>VLOOKUP(C322,技能CD配置辅助表!$C$3:$H$14,6,0)</f>
        <v>26</v>
      </c>
      <c r="O322">
        <f>VLOOKUP(C322,技能CD配置辅助表!$C$3:$M$14,5,0)</f>
        <v>4</v>
      </c>
      <c r="P322">
        <f ca="1">IFERROR(VLOOKUP(A322+I322-10000003,D_技能表!A:AD,30,0)*(VLOOKUP(C322,技能CD配置辅助表!$C$3:$J$14,8,0)-G322)/VLOOKUP(C322,技能CD配置辅助表!$C$3:$J$14,8,0),0)*IF(VLOOKUP(C322,技能CD配置辅助表!$C$3:$F$14,4,0)=1,1,4)</f>
        <v>1404.7783834450511</v>
      </c>
      <c r="R322">
        <f t="shared" si="36"/>
        <v>1.45</v>
      </c>
    </row>
    <row r="323" spans="1:18" x14ac:dyDescent="0.15">
      <c r="A323">
        <f ca="1">VLOOKUP(B323,技能CD配置辅助表!$C$3:$K$14,9,0)+I323</f>
        <v>19324124</v>
      </c>
      <c r="B323" t="str">
        <f t="shared" ref="B323:B325" si="40">C323</f>
        <v>子弹风暴</v>
      </c>
      <c r="C323" t="s">
        <v>192</v>
      </c>
      <c r="D323">
        <f>VLOOKUP(C323,技能CD配置辅助表!$C$3:$E$14,3,0)</f>
        <v>3</v>
      </c>
      <c r="E323">
        <f>IF(I323=0,1,IF(I323&lt;3,VLOOKUP(C323,技能CD配置辅助表!$C$3:$I$14,7,0)+(I323-1)*2,VLOOKUP(C323,技能CD配置辅助表!$C$3:$I$14,7,0)+(I323-1)*3-1))</f>
        <v>74</v>
      </c>
      <c r="F323" t="str">
        <f t="shared" si="37"/>
        <v>第24级，技能冷却时间5.64秒</v>
      </c>
      <c r="G323">
        <f>VLOOKUP(C323,技能CD配置辅助表!$C$3:$J$14,8,0)-(VLOOKUP(C323,技能CD配置辅助表!$C$3:$J$14,8,0)-VLOOKUP(C323,技能CD配置辅助表!$C$2:$M$14,11,0))/(VLOOKUP(C323,技能CD配置辅助表!$C$3:$H$14,6,0)-1)*(I323-IF(I323=0,0,1))</f>
        <v>5640</v>
      </c>
      <c r="H323">
        <f ca="1">M323*'[1]0、经济设定'!$C$18*IF(E323&lt;J323,1,1)</f>
        <v>205450</v>
      </c>
      <c r="I323">
        <f t="shared" si="38"/>
        <v>24</v>
      </c>
      <c r="J323">
        <f>VLOOKUP(C323,技能CD配置辅助表!$C$3:$L$14,10,0)</f>
        <v>20</v>
      </c>
      <c r="K323">
        <f t="shared" ref="K323:K325" ca="1" si="41">IF(E323&lt;J323,0,ROUNDUP(L323/$T$4*R323,0))</f>
        <v>1256</v>
      </c>
      <c r="L323" s="45">
        <f t="shared" ca="1" si="35"/>
        <v>586</v>
      </c>
      <c r="M323">
        <f t="shared" ca="1" si="39"/>
        <v>4109</v>
      </c>
      <c r="N323">
        <f>VLOOKUP(C323,技能CD配置辅助表!$C$3:$H$14,6,0)</f>
        <v>26</v>
      </c>
      <c r="O323">
        <f>VLOOKUP(C323,技能CD配置辅助表!$C$3:$M$14,5,0)</f>
        <v>4</v>
      </c>
      <c r="P323">
        <f ca="1">IFERROR(VLOOKUP(A323+I323-10000003,D_技能表!A:AD,30,0)*(VLOOKUP(C323,技能CD配置辅助表!$C$3:$J$14,8,0)-G323)/VLOOKUP(C323,技能CD配置辅助表!$C$3:$J$14,8,0),0)*IF(VLOOKUP(C323,技能CD配置辅助表!$C$3:$F$14,4,0)=1,1,4)</f>
        <v>1955.3534486025274</v>
      </c>
      <c r="R323">
        <f t="shared" si="36"/>
        <v>1.5</v>
      </c>
    </row>
    <row r="324" spans="1:18" x14ac:dyDescent="0.15">
      <c r="A324">
        <f ca="1">VLOOKUP(B324,技能CD配置辅助表!$C$3:$K$14,9,0)+I324</f>
        <v>19324125</v>
      </c>
      <c r="B324" t="str">
        <f t="shared" si="40"/>
        <v>子弹风暴</v>
      </c>
      <c r="C324" t="s">
        <v>192</v>
      </c>
      <c r="D324">
        <f>VLOOKUP(C324,技能CD配置辅助表!$C$3:$E$14,3,0)</f>
        <v>3</v>
      </c>
      <c r="E324">
        <f>IF(I324=0,1,IF(I324&lt;3,VLOOKUP(C324,技能CD配置辅助表!$C$3:$I$14,7,0)+(I324-1)*2,VLOOKUP(C324,技能CD配置辅助表!$C$3:$I$14,7,0)+(I324-1)*3-1))</f>
        <v>77</v>
      </c>
      <c r="F324" t="str">
        <f t="shared" si="37"/>
        <v>第25级，技能冷却时间5.32秒</v>
      </c>
      <c r="G324">
        <f>VLOOKUP(C324,技能CD配置辅助表!$C$3:$J$14,8,0)-(VLOOKUP(C324,技能CD配置辅助表!$C$3:$J$14,8,0)-VLOOKUP(C324,技能CD配置辅助表!$C$2:$M$14,11,0))/(VLOOKUP(C324,技能CD配置辅助表!$C$3:$H$14,6,0)-1)*(I324-IF(I324=0,0,1))</f>
        <v>5320</v>
      </c>
      <c r="H324">
        <f ca="1">M324*'[1]0、经济设定'!$C$18*IF(E324&lt;J324,1,1)</f>
        <v>239450</v>
      </c>
      <c r="I324">
        <f t="shared" si="38"/>
        <v>25</v>
      </c>
      <c r="J324">
        <f>VLOOKUP(C324,技能CD配置辅助表!$C$3:$L$14,10,0)</f>
        <v>20</v>
      </c>
      <c r="K324">
        <f t="shared" ca="1" si="41"/>
        <v>1506</v>
      </c>
      <c r="L324" s="45">
        <f t="shared" ca="1" si="35"/>
        <v>680</v>
      </c>
      <c r="M324">
        <f t="shared" ca="1" si="39"/>
        <v>4789</v>
      </c>
      <c r="N324">
        <f>VLOOKUP(C324,技能CD配置辅助表!$C$3:$H$14,6,0)</f>
        <v>26</v>
      </c>
      <c r="O324">
        <f>VLOOKUP(C324,技能CD配置辅助表!$C$3:$M$14,5,0)</f>
        <v>4</v>
      </c>
      <c r="P324">
        <f ca="1">IFERROR(VLOOKUP(A324+I324-10000003,D_技能表!A:AD,30,0)*(VLOOKUP(C324,技能CD配置辅助表!$C$3:$J$14,8,0)-G324)/VLOOKUP(C324,技能CD配置辅助表!$C$3:$J$14,8,0),0)*IF(VLOOKUP(C324,技能CD配置辅助表!$C$3:$F$14,4,0)=1,1,4)</f>
        <v>2714.6652693079823</v>
      </c>
      <c r="R324">
        <f t="shared" si="36"/>
        <v>1.55</v>
      </c>
    </row>
    <row r="325" spans="1:18" x14ac:dyDescent="0.15">
      <c r="A325">
        <f ca="1">VLOOKUP(B325,技能CD配置辅助表!$C$3:$K$14,9,0)+I325</f>
        <v>19324126</v>
      </c>
      <c r="B325" t="str">
        <f t="shared" si="40"/>
        <v>子弹风暴</v>
      </c>
      <c r="C325" t="s">
        <v>192</v>
      </c>
      <c r="D325">
        <f>VLOOKUP(C325,技能CD配置辅助表!$C$3:$E$14,3,0)</f>
        <v>3</v>
      </c>
      <c r="E325">
        <f>IF(I325=0,1,IF(I325&lt;3,VLOOKUP(C325,技能CD配置辅助表!$C$3:$I$14,7,0)+(I325-1)*2,VLOOKUP(C325,技能CD配置辅助表!$C$3:$I$14,7,0)+(I325-1)*3-1))</f>
        <v>80</v>
      </c>
      <c r="F325" t="str">
        <f t="shared" si="37"/>
        <v>第26级，技能冷却时间5秒</v>
      </c>
      <c r="G325">
        <f>VLOOKUP(C325,技能CD配置辅助表!$C$3:$J$14,8,0)-(VLOOKUP(C325,技能CD配置辅助表!$C$3:$J$14,8,0)-VLOOKUP(C325,技能CD配置辅助表!$C$2:$M$14,11,0))/(VLOOKUP(C325,技能CD配置辅助表!$C$3:$H$14,6,0)-1)*(I325-IF(I325=0,0,1))</f>
        <v>5000</v>
      </c>
      <c r="H325">
        <f ca="1">M325*'[1]0、经济设定'!$C$18*IF(E325&lt;J325,1,1)</f>
        <v>278900</v>
      </c>
      <c r="I325">
        <f t="shared" si="38"/>
        <v>26</v>
      </c>
      <c r="J325">
        <f>VLOOKUP(C325,技能CD配置辅助表!$C$3:$L$14,10,0)</f>
        <v>20</v>
      </c>
      <c r="K325">
        <f t="shared" ca="1" si="41"/>
        <v>1804</v>
      </c>
      <c r="L325" s="45">
        <f t="shared" ca="1" si="35"/>
        <v>789</v>
      </c>
      <c r="M325">
        <f t="shared" ca="1" si="39"/>
        <v>5578</v>
      </c>
      <c r="N325">
        <f>VLOOKUP(C325,技能CD配置辅助表!$C$3:$H$14,6,0)</f>
        <v>26</v>
      </c>
      <c r="O325">
        <f>VLOOKUP(C325,技能CD配置辅助表!$C$3:$M$14,5,0)</f>
        <v>4</v>
      </c>
      <c r="P325">
        <f ca="1">IFERROR(VLOOKUP(A325+I325-10000003,D_技能表!A:AD,30,0)*(VLOOKUP(C325,技能CD配置辅助表!$C$3:$J$14,8,0)-G325)/VLOOKUP(C325,技能CD配置辅助表!$C$3:$J$14,8,0),0)*IF(VLOOKUP(C325,技能CD配置辅助表!$C$3:$F$14,4,0)=1,1,4)</f>
        <v>3759.7891979496603</v>
      </c>
      <c r="R325">
        <f t="shared" si="36"/>
        <v>1.6</v>
      </c>
    </row>
  </sheetData>
  <phoneticPr fontId="1" type="noConversion"/>
  <conditionalFormatting sqref="L2:L2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{388E2809-BEAB-4FA9-95E3-EC8F1D7A88A5}</x14:id>
        </ext>
      </extLst>
    </cfRule>
  </conditionalFormatting>
  <conditionalFormatting sqref="M2:M2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{0AC87755-95B0-4E1B-A7F5-C600523E18FB}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8E2809-BEAB-4FA9-95E3-EC8F1D7A88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L2:L28</xm:sqref>
        </x14:conditionalFormatting>
        <x14:conditionalFormatting xmlns:xm="http://schemas.microsoft.com/office/excel/2006/main">
          <x14:cfRule type="dataBar" id="{0AC87755-95B0-4E1B-A7F5-C600523E18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M2:M28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1"/>
  <sheetViews>
    <sheetView workbookViewId="0">
      <selection activeCell="E27" sqref="E27"/>
    </sheetView>
  </sheetViews>
  <sheetFormatPr defaultRowHeight="13.5" x14ac:dyDescent="0.15"/>
  <sheetData>
    <row r="1" spans="1:3" x14ac:dyDescent="0.15">
      <c r="A1" t="s">
        <v>43</v>
      </c>
      <c r="B1" t="s">
        <v>202</v>
      </c>
      <c r="C1" t="s">
        <v>201</v>
      </c>
    </row>
    <row r="2" spans="1:3" x14ac:dyDescent="0.15">
      <c r="A2">
        <v>1</v>
      </c>
      <c r="B2">
        <v>50</v>
      </c>
      <c r="C2">
        <f>[1]金币生产率曲线!$M2</f>
        <v>50</v>
      </c>
    </row>
    <row r="3" spans="1:3" x14ac:dyDescent="0.15">
      <c r="A3">
        <v>2</v>
      </c>
      <c r="B3">
        <v>56</v>
      </c>
      <c r="C3">
        <f>[1]金币生产率曲线!$M3</f>
        <v>56</v>
      </c>
    </row>
    <row r="4" spans="1:3" x14ac:dyDescent="0.15">
      <c r="A4">
        <v>3</v>
      </c>
      <c r="B4">
        <v>62</v>
      </c>
      <c r="C4">
        <f>[1]金币生产率曲线!$M4</f>
        <v>62</v>
      </c>
    </row>
    <row r="5" spans="1:3" x14ac:dyDescent="0.15">
      <c r="A5">
        <v>4</v>
      </c>
      <c r="B5">
        <v>68</v>
      </c>
      <c r="C5">
        <f>[1]金币生产率曲线!$M5</f>
        <v>68</v>
      </c>
    </row>
    <row r="6" spans="1:3" x14ac:dyDescent="0.15">
      <c r="A6">
        <v>5</v>
      </c>
      <c r="B6">
        <v>74</v>
      </c>
      <c r="C6">
        <f>[1]金币生产率曲线!$M6</f>
        <v>74</v>
      </c>
    </row>
    <row r="7" spans="1:3" x14ac:dyDescent="0.15">
      <c r="A7">
        <v>6</v>
      </c>
      <c r="B7">
        <v>80</v>
      </c>
      <c r="C7">
        <f>[1]金币生产率曲线!$M7</f>
        <v>80</v>
      </c>
    </row>
    <row r="8" spans="1:3" x14ac:dyDescent="0.15">
      <c r="A8">
        <v>7</v>
      </c>
      <c r="B8">
        <v>86</v>
      </c>
      <c r="C8">
        <f>[1]金币生产率曲线!$M8</f>
        <v>86</v>
      </c>
    </row>
    <row r="9" spans="1:3" x14ac:dyDescent="0.15">
      <c r="A9">
        <v>8</v>
      </c>
      <c r="B9">
        <v>92</v>
      </c>
      <c r="C9">
        <f>[1]金币生产率曲线!$M9</f>
        <v>92</v>
      </c>
    </row>
    <row r="10" spans="1:3" x14ac:dyDescent="0.15">
      <c r="A10">
        <v>9</v>
      </c>
      <c r="B10">
        <v>98</v>
      </c>
      <c r="C10">
        <f>[1]金币生产率曲线!$M10</f>
        <v>98</v>
      </c>
    </row>
    <row r="11" spans="1:3" x14ac:dyDescent="0.15">
      <c r="A11">
        <v>10</v>
      </c>
      <c r="B11">
        <v>104</v>
      </c>
      <c r="C11">
        <f>[1]金币生产率曲线!$M11</f>
        <v>104</v>
      </c>
    </row>
    <row r="12" spans="1:3" x14ac:dyDescent="0.15">
      <c r="A12">
        <v>11</v>
      </c>
      <c r="B12">
        <v>110</v>
      </c>
      <c r="C12">
        <f>[1]金币生产率曲线!$M12</f>
        <v>110</v>
      </c>
    </row>
    <row r="13" spans="1:3" x14ac:dyDescent="0.15">
      <c r="A13">
        <v>12</v>
      </c>
      <c r="B13">
        <v>116</v>
      </c>
      <c r="C13">
        <f>[1]金币生产率曲线!$M13</f>
        <v>116</v>
      </c>
    </row>
    <row r="14" spans="1:3" x14ac:dyDescent="0.15">
      <c r="A14">
        <v>13</v>
      </c>
      <c r="B14">
        <v>122</v>
      </c>
      <c r="C14">
        <f>[1]金币生产率曲线!$M14</f>
        <v>122</v>
      </c>
    </row>
    <row r="15" spans="1:3" x14ac:dyDescent="0.15">
      <c r="A15">
        <v>14</v>
      </c>
      <c r="B15">
        <v>128</v>
      </c>
      <c r="C15">
        <f>[1]金币生产率曲线!$M15</f>
        <v>128</v>
      </c>
    </row>
    <row r="16" spans="1:3" x14ac:dyDescent="0.15">
      <c r="A16">
        <v>15</v>
      </c>
      <c r="B16">
        <v>134</v>
      </c>
      <c r="C16">
        <f>[1]金币生产率曲线!$M16</f>
        <v>134</v>
      </c>
    </row>
    <row r="17" spans="1:3" x14ac:dyDescent="0.15">
      <c r="A17">
        <v>16</v>
      </c>
      <c r="B17">
        <v>140</v>
      </c>
      <c r="C17">
        <f>[1]金币生产率曲线!$M17</f>
        <v>140</v>
      </c>
    </row>
    <row r="18" spans="1:3" x14ac:dyDescent="0.15">
      <c r="A18">
        <v>17</v>
      </c>
      <c r="B18">
        <v>146</v>
      </c>
      <c r="C18">
        <f>[1]金币生产率曲线!$M18</f>
        <v>146</v>
      </c>
    </row>
    <row r="19" spans="1:3" x14ac:dyDescent="0.15">
      <c r="A19">
        <v>18</v>
      </c>
      <c r="B19">
        <v>152</v>
      </c>
      <c r="C19">
        <f>[1]金币生产率曲线!$M19</f>
        <v>152</v>
      </c>
    </row>
    <row r="20" spans="1:3" x14ac:dyDescent="0.15">
      <c r="A20">
        <v>19</v>
      </c>
      <c r="B20">
        <v>158</v>
      </c>
      <c r="C20">
        <f>[1]金币生产率曲线!$M20</f>
        <v>158</v>
      </c>
    </row>
    <row r="21" spans="1:3" x14ac:dyDescent="0.15">
      <c r="A21">
        <v>20</v>
      </c>
      <c r="B21">
        <v>182</v>
      </c>
      <c r="C21">
        <f>[1]金币生产率曲线!$M21</f>
        <v>182</v>
      </c>
    </row>
    <row r="22" spans="1:3" x14ac:dyDescent="0.15">
      <c r="A22">
        <v>21</v>
      </c>
      <c r="B22">
        <v>210</v>
      </c>
      <c r="C22">
        <f>[1]金币生产率曲线!$M22</f>
        <v>210</v>
      </c>
    </row>
    <row r="23" spans="1:3" x14ac:dyDescent="0.15">
      <c r="A23">
        <v>22</v>
      </c>
      <c r="B23">
        <v>239</v>
      </c>
      <c r="C23">
        <f>[1]金币生产率曲线!$M23</f>
        <v>239</v>
      </c>
    </row>
    <row r="24" spans="1:3" x14ac:dyDescent="0.15">
      <c r="A24">
        <v>23</v>
      </c>
      <c r="B24">
        <v>270</v>
      </c>
      <c r="C24">
        <f>[1]金币生产率曲线!$M24</f>
        <v>270</v>
      </c>
    </row>
    <row r="25" spans="1:3" x14ac:dyDescent="0.15">
      <c r="A25">
        <v>24</v>
      </c>
      <c r="B25">
        <v>302</v>
      </c>
      <c r="C25">
        <f>[1]金币生产率曲线!$M25</f>
        <v>302</v>
      </c>
    </row>
    <row r="26" spans="1:3" x14ac:dyDescent="0.15">
      <c r="A26">
        <v>25</v>
      </c>
      <c r="B26">
        <v>335</v>
      </c>
      <c r="C26">
        <f>[1]金币生产率曲线!$M26</f>
        <v>335</v>
      </c>
    </row>
    <row r="27" spans="1:3" x14ac:dyDescent="0.15">
      <c r="A27">
        <v>26</v>
      </c>
      <c r="B27">
        <v>370</v>
      </c>
      <c r="C27">
        <f>[1]金币生产率曲线!$M27</f>
        <v>370</v>
      </c>
    </row>
    <row r="28" spans="1:3" x14ac:dyDescent="0.15">
      <c r="A28">
        <v>27</v>
      </c>
      <c r="B28">
        <v>406</v>
      </c>
      <c r="C28">
        <f>[1]金币生产率曲线!$M28</f>
        <v>406</v>
      </c>
    </row>
    <row r="29" spans="1:3" x14ac:dyDescent="0.15">
      <c r="A29">
        <v>28</v>
      </c>
      <c r="B29">
        <v>443</v>
      </c>
      <c r="C29">
        <f>[1]金币生产率曲线!$M29</f>
        <v>443</v>
      </c>
    </row>
    <row r="30" spans="1:3" x14ac:dyDescent="0.15">
      <c r="A30">
        <v>29</v>
      </c>
      <c r="B30">
        <v>482</v>
      </c>
      <c r="C30">
        <f>[1]金币生产率曲线!$M30</f>
        <v>482</v>
      </c>
    </row>
    <row r="31" spans="1:3" x14ac:dyDescent="0.15">
      <c r="A31">
        <v>30</v>
      </c>
      <c r="B31">
        <v>522</v>
      </c>
      <c r="C31">
        <f>[1]金币生产率曲线!$M31</f>
        <v>522</v>
      </c>
    </row>
    <row r="32" spans="1:3" x14ac:dyDescent="0.15">
      <c r="A32">
        <v>31</v>
      </c>
      <c r="B32">
        <v>563</v>
      </c>
      <c r="C32">
        <f>[1]金币生产率曲线!$M32</f>
        <v>563</v>
      </c>
    </row>
    <row r="33" spans="1:3" x14ac:dyDescent="0.15">
      <c r="A33">
        <v>32</v>
      </c>
      <c r="B33">
        <v>606</v>
      </c>
      <c r="C33">
        <f>[1]金币生产率曲线!$M33</f>
        <v>606</v>
      </c>
    </row>
    <row r="34" spans="1:3" x14ac:dyDescent="0.15">
      <c r="A34">
        <v>33</v>
      </c>
      <c r="B34">
        <v>651</v>
      </c>
      <c r="C34">
        <f>[1]金币生产率曲线!$M34</f>
        <v>651</v>
      </c>
    </row>
    <row r="35" spans="1:3" x14ac:dyDescent="0.15">
      <c r="A35">
        <v>34</v>
      </c>
      <c r="B35">
        <v>696</v>
      </c>
      <c r="C35">
        <f>[1]金币生产率曲线!$M35</f>
        <v>696</v>
      </c>
    </row>
    <row r="36" spans="1:3" x14ac:dyDescent="0.15">
      <c r="A36">
        <v>35</v>
      </c>
      <c r="B36">
        <v>743</v>
      </c>
      <c r="C36">
        <f>[1]金币生产率曲线!$M36</f>
        <v>743</v>
      </c>
    </row>
    <row r="37" spans="1:3" x14ac:dyDescent="0.15">
      <c r="A37">
        <v>36</v>
      </c>
      <c r="B37">
        <v>791</v>
      </c>
      <c r="C37">
        <f>[1]金币生产率曲线!$M37</f>
        <v>791</v>
      </c>
    </row>
    <row r="38" spans="1:3" x14ac:dyDescent="0.15">
      <c r="A38">
        <v>37</v>
      </c>
      <c r="B38">
        <v>841</v>
      </c>
      <c r="C38">
        <f>[1]金币生产率曲线!$M38</f>
        <v>841</v>
      </c>
    </row>
    <row r="39" spans="1:3" x14ac:dyDescent="0.15">
      <c r="A39">
        <v>38</v>
      </c>
      <c r="B39">
        <v>892</v>
      </c>
      <c r="C39">
        <f>[1]金币生产率曲线!$M39</f>
        <v>892</v>
      </c>
    </row>
    <row r="40" spans="1:3" x14ac:dyDescent="0.15">
      <c r="A40">
        <v>39</v>
      </c>
      <c r="B40">
        <v>944</v>
      </c>
      <c r="C40">
        <f>[1]金币生产率曲线!$M40</f>
        <v>944</v>
      </c>
    </row>
    <row r="41" spans="1:3" x14ac:dyDescent="0.15">
      <c r="A41">
        <v>40</v>
      </c>
      <c r="B41">
        <v>998</v>
      </c>
      <c r="C41">
        <f>[1]金币生产率曲线!$M41</f>
        <v>998</v>
      </c>
    </row>
    <row r="42" spans="1:3" x14ac:dyDescent="0.15">
      <c r="A42">
        <v>41</v>
      </c>
      <c r="B42">
        <v>1053</v>
      </c>
      <c r="C42">
        <f>[1]金币生产率曲线!$M42</f>
        <v>1053</v>
      </c>
    </row>
    <row r="43" spans="1:3" x14ac:dyDescent="0.15">
      <c r="A43">
        <v>42</v>
      </c>
      <c r="B43">
        <v>1110</v>
      </c>
      <c r="C43">
        <f>[1]金币生产率曲线!$M43</f>
        <v>1110</v>
      </c>
    </row>
    <row r="44" spans="1:3" x14ac:dyDescent="0.15">
      <c r="A44">
        <v>43</v>
      </c>
      <c r="B44">
        <v>1167</v>
      </c>
      <c r="C44">
        <f>[1]金币生产率曲线!$M44</f>
        <v>1167</v>
      </c>
    </row>
    <row r="45" spans="1:3" x14ac:dyDescent="0.15">
      <c r="A45">
        <v>44</v>
      </c>
      <c r="B45">
        <v>1226</v>
      </c>
      <c r="C45">
        <f>[1]金币生产率曲线!$M45</f>
        <v>1226</v>
      </c>
    </row>
    <row r="46" spans="1:3" x14ac:dyDescent="0.15">
      <c r="A46">
        <v>45</v>
      </c>
      <c r="B46">
        <v>1287</v>
      </c>
      <c r="C46">
        <f>[1]金币生产率曲线!$M46</f>
        <v>1287</v>
      </c>
    </row>
    <row r="47" spans="1:3" x14ac:dyDescent="0.15">
      <c r="A47">
        <v>46</v>
      </c>
      <c r="B47">
        <v>1349</v>
      </c>
      <c r="C47">
        <f>[1]金币生产率曲线!$M47</f>
        <v>1349</v>
      </c>
    </row>
    <row r="48" spans="1:3" x14ac:dyDescent="0.15">
      <c r="A48">
        <v>47</v>
      </c>
      <c r="B48">
        <v>1412</v>
      </c>
      <c r="C48">
        <f>[1]金币生产率曲线!$M48</f>
        <v>1412</v>
      </c>
    </row>
    <row r="49" spans="1:3" x14ac:dyDescent="0.15">
      <c r="A49">
        <v>48</v>
      </c>
      <c r="B49">
        <v>1477</v>
      </c>
      <c r="C49">
        <f>[1]金币生产率曲线!$M49</f>
        <v>1477</v>
      </c>
    </row>
    <row r="50" spans="1:3" x14ac:dyDescent="0.15">
      <c r="A50">
        <v>49</v>
      </c>
      <c r="B50">
        <v>1543</v>
      </c>
      <c r="C50">
        <f>[1]金币生产率曲线!$M50</f>
        <v>1543</v>
      </c>
    </row>
    <row r="51" spans="1:3" x14ac:dyDescent="0.15">
      <c r="A51">
        <v>50</v>
      </c>
      <c r="B51">
        <v>1610</v>
      </c>
      <c r="C51">
        <f>[1]金币生产率曲线!$M51</f>
        <v>1610</v>
      </c>
    </row>
    <row r="52" spans="1:3" x14ac:dyDescent="0.15">
      <c r="A52">
        <v>51</v>
      </c>
      <c r="B52">
        <v>1679</v>
      </c>
      <c r="C52">
        <f>[1]金币生产率曲线!$M52</f>
        <v>1679</v>
      </c>
    </row>
    <row r="53" spans="1:3" x14ac:dyDescent="0.15">
      <c r="A53">
        <v>52</v>
      </c>
      <c r="B53">
        <v>1749</v>
      </c>
      <c r="C53">
        <f>[1]金币生产率曲线!$M53</f>
        <v>1749</v>
      </c>
    </row>
    <row r="54" spans="1:3" x14ac:dyDescent="0.15">
      <c r="A54">
        <v>53</v>
      </c>
      <c r="B54">
        <v>1820</v>
      </c>
      <c r="C54">
        <f>[1]金币生产率曲线!$M54</f>
        <v>1820</v>
      </c>
    </row>
    <row r="55" spans="1:3" x14ac:dyDescent="0.15">
      <c r="A55">
        <v>54</v>
      </c>
      <c r="B55">
        <v>1893</v>
      </c>
      <c r="C55">
        <f>[1]金币生产率曲线!$M55</f>
        <v>1893</v>
      </c>
    </row>
    <row r="56" spans="1:3" x14ac:dyDescent="0.15">
      <c r="A56">
        <v>55</v>
      </c>
      <c r="B56">
        <v>1967</v>
      </c>
      <c r="C56">
        <f>[1]金币生产率曲线!$M56</f>
        <v>1967</v>
      </c>
    </row>
    <row r="57" spans="1:3" x14ac:dyDescent="0.15">
      <c r="A57">
        <v>56</v>
      </c>
      <c r="B57">
        <v>2042</v>
      </c>
      <c r="C57">
        <f>[1]金币生产率曲线!$M57</f>
        <v>2042</v>
      </c>
    </row>
    <row r="58" spans="1:3" x14ac:dyDescent="0.15">
      <c r="A58">
        <v>57</v>
      </c>
      <c r="B58">
        <v>2119</v>
      </c>
      <c r="C58">
        <f>[1]金币生产率曲线!$M58</f>
        <v>2119</v>
      </c>
    </row>
    <row r="59" spans="1:3" x14ac:dyDescent="0.15">
      <c r="A59">
        <v>58</v>
      </c>
      <c r="B59">
        <v>2198</v>
      </c>
      <c r="C59">
        <f>[1]金币生产率曲线!$M59</f>
        <v>2198</v>
      </c>
    </row>
    <row r="60" spans="1:3" x14ac:dyDescent="0.15">
      <c r="A60">
        <v>59</v>
      </c>
      <c r="B60">
        <v>2277</v>
      </c>
      <c r="C60">
        <f>[1]金币生产率曲线!$M60</f>
        <v>2277</v>
      </c>
    </row>
    <row r="61" spans="1:3" x14ac:dyDescent="0.15">
      <c r="A61">
        <v>60</v>
      </c>
      <c r="B61">
        <v>2358</v>
      </c>
      <c r="C61">
        <f>[1]金币生产率曲线!$M61</f>
        <v>2358</v>
      </c>
    </row>
    <row r="62" spans="1:3" x14ac:dyDescent="0.15">
      <c r="A62">
        <v>61</v>
      </c>
      <c r="B62">
        <v>2440</v>
      </c>
      <c r="C62">
        <f>[1]金币生产率曲线!$M62</f>
        <v>2440</v>
      </c>
    </row>
    <row r="63" spans="1:3" x14ac:dyDescent="0.15">
      <c r="A63">
        <v>62</v>
      </c>
      <c r="B63">
        <v>2524</v>
      </c>
      <c r="C63">
        <f>[1]金币生产率曲线!$M63</f>
        <v>2524</v>
      </c>
    </row>
    <row r="64" spans="1:3" x14ac:dyDescent="0.15">
      <c r="A64">
        <v>63</v>
      </c>
      <c r="B64">
        <v>2609</v>
      </c>
      <c r="C64">
        <f>[1]金币生产率曲线!$M64</f>
        <v>2609</v>
      </c>
    </row>
    <row r="65" spans="1:3" x14ac:dyDescent="0.15">
      <c r="A65">
        <v>64</v>
      </c>
      <c r="B65">
        <v>2695</v>
      </c>
      <c r="C65">
        <f>[1]金币生产率曲线!$M65</f>
        <v>2695</v>
      </c>
    </row>
    <row r="66" spans="1:3" x14ac:dyDescent="0.15">
      <c r="A66">
        <v>65</v>
      </c>
      <c r="B66">
        <v>2783</v>
      </c>
      <c r="C66">
        <f>[1]金币生产率曲线!$M66</f>
        <v>2783</v>
      </c>
    </row>
    <row r="67" spans="1:3" x14ac:dyDescent="0.15">
      <c r="A67">
        <v>66</v>
      </c>
      <c r="B67">
        <v>2872</v>
      </c>
      <c r="C67">
        <f>[1]金币生产率曲线!$M67</f>
        <v>2872</v>
      </c>
    </row>
    <row r="68" spans="1:3" x14ac:dyDescent="0.15">
      <c r="A68">
        <v>67</v>
      </c>
      <c r="B68">
        <v>2963</v>
      </c>
      <c r="C68">
        <f>[1]金币生产率曲线!$M68</f>
        <v>2963</v>
      </c>
    </row>
    <row r="69" spans="1:3" x14ac:dyDescent="0.15">
      <c r="A69">
        <v>68</v>
      </c>
      <c r="B69">
        <v>3054</v>
      </c>
      <c r="C69">
        <f>[1]金币生产率曲线!$M69</f>
        <v>3054</v>
      </c>
    </row>
    <row r="70" spans="1:3" x14ac:dyDescent="0.15">
      <c r="A70">
        <v>69</v>
      </c>
      <c r="B70">
        <v>3147</v>
      </c>
      <c r="C70">
        <f>[1]金币生产率曲线!$M70</f>
        <v>3147</v>
      </c>
    </row>
    <row r="71" spans="1:3" x14ac:dyDescent="0.15">
      <c r="A71">
        <v>70</v>
      </c>
      <c r="B71">
        <v>3242</v>
      </c>
      <c r="C71">
        <f>[1]金币生产率曲线!$M71</f>
        <v>3242</v>
      </c>
    </row>
    <row r="72" spans="1:3" x14ac:dyDescent="0.15">
      <c r="A72">
        <v>71</v>
      </c>
      <c r="B72">
        <v>3338</v>
      </c>
      <c r="C72">
        <f>[1]金币生产率曲线!$M72</f>
        <v>3338</v>
      </c>
    </row>
    <row r="73" spans="1:3" x14ac:dyDescent="0.15">
      <c r="A73">
        <v>72</v>
      </c>
      <c r="B73">
        <v>3435</v>
      </c>
      <c r="C73">
        <f>[1]金币生产率曲线!$M73</f>
        <v>3435</v>
      </c>
    </row>
    <row r="74" spans="1:3" x14ac:dyDescent="0.15">
      <c r="A74">
        <v>73</v>
      </c>
      <c r="B74">
        <v>3534</v>
      </c>
      <c r="C74">
        <f>[1]金币生产率曲线!$M74</f>
        <v>3534</v>
      </c>
    </row>
    <row r="75" spans="1:3" x14ac:dyDescent="0.15">
      <c r="A75">
        <v>74</v>
      </c>
      <c r="B75">
        <v>3634</v>
      </c>
      <c r="C75">
        <f>[1]金币生产率曲线!$M75</f>
        <v>3634</v>
      </c>
    </row>
    <row r="76" spans="1:3" x14ac:dyDescent="0.15">
      <c r="A76">
        <v>75</v>
      </c>
      <c r="B76">
        <v>3735</v>
      </c>
      <c r="C76">
        <f>[1]金币生产率曲线!$M76</f>
        <v>3735</v>
      </c>
    </row>
    <row r="77" spans="1:3" x14ac:dyDescent="0.15">
      <c r="A77">
        <v>76</v>
      </c>
      <c r="B77">
        <v>3838</v>
      </c>
      <c r="C77">
        <f>[1]金币生产率曲线!$M77</f>
        <v>3838</v>
      </c>
    </row>
    <row r="78" spans="1:3" x14ac:dyDescent="0.15">
      <c r="A78">
        <v>77</v>
      </c>
      <c r="B78">
        <v>3942</v>
      </c>
      <c r="C78">
        <f>[1]金币生产率曲线!$M78</f>
        <v>3942</v>
      </c>
    </row>
    <row r="79" spans="1:3" x14ac:dyDescent="0.15">
      <c r="A79">
        <v>78</v>
      </c>
      <c r="B79">
        <v>4047</v>
      </c>
      <c r="C79">
        <f>[1]金币生产率曲线!$M79</f>
        <v>4047</v>
      </c>
    </row>
    <row r="80" spans="1:3" x14ac:dyDescent="0.15">
      <c r="A80">
        <v>79</v>
      </c>
      <c r="B80">
        <v>4154</v>
      </c>
      <c r="C80">
        <f>[1]金币生产率曲线!$M80</f>
        <v>4154</v>
      </c>
    </row>
    <row r="81" spans="1:3" x14ac:dyDescent="0.15">
      <c r="A81">
        <v>80</v>
      </c>
      <c r="B81">
        <v>4262</v>
      </c>
      <c r="C81">
        <f>[1]金币生产率曲线!$M81</f>
        <v>4262</v>
      </c>
    </row>
    <row r="82" spans="1:3" x14ac:dyDescent="0.15">
      <c r="A82">
        <v>81</v>
      </c>
      <c r="B82">
        <v>4371</v>
      </c>
      <c r="C82">
        <f>[1]金币生产率曲线!$M82</f>
        <v>4371</v>
      </c>
    </row>
    <row r="83" spans="1:3" x14ac:dyDescent="0.15">
      <c r="A83">
        <v>82</v>
      </c>
      <c r="B83">
        <v>4482</v>
      </c>
      <c r="C83">
        <f>[1]金币生产率曲线!$M83</f>
        <v>4482</v>
      </c>
    </row>
    <row r="84" spans="1:3" x14ac:dyDescent="0.15">
      <c r="A84">
        <v>83</v>
      </c>
      <c r="B84">
        <v>4595</v>
      </c>
      <c r="C84">
        <f>[1]金币生产率曲线!$M84</f>
        <v>4595</v>
      </c>
    </row>
    <row r="85" spans="1:3" x14ac:dyDescent="0.15">
      <c r="A85">
        <v>84</v>
      </c>
      <c r="B85">
        <v>4708</v>
      </c>
      <c r="C85">
        <f>[1]金币生产率曲线!$M85</f>
        <v>4708</v>
      </c>
    </row>
    <row r="86" spans="1:3" x14ac:dyDescent="0.15">
      <c r="A86">
        <v>85</v>
      </c>
      <c r="B86">
        <v>4823</v>
      </c>
      <c r="C86">
        <f>[1]金币生产率曲线!$M86</f>
        <v>4823</v>
      </c>
    </row>
    <row r="87" spans="1:3" x14ac:dyDescent="0.15">
      <c r="A87">
        <v>86</v>
      </c>
      <c r="B87">
        <v>4939</v>
      </c>
      <c r="C87">
        <f>[1]金币生产率曲线!$M87</f>
        <v>4939</v>
      </c>
    </row>
    <row r="88" spans="1:3" x14ac:dyDescent="0.15">
      <c r="A88">
        <v>87</v>
      </c>
      <c r="B88">
        <v>5057</v>
      </c>
      <c r="C88">
        <f>[1]金币生产率曲线!$M88</f>
        <v>5057</v>
      </c>
    </row>
    <row r="89" spans="1:3" x14ac:dyDescent="0.15">
      <c r="A89">
        <v>88</v>
      </c>
      <c r="B89">
        <v>5176</v>
      </c>
      <c r="C89">
        <f>[1]金币生产率曲线!$M89</f>
        <v>5176</v>
      </c>
    </row>
    <row r="90" spans="1:3" x14ac:dyDescent="0.15">
      <c r="A90">
        <v>89</v>
      </c>
      <c r="B90">
        <v>5296</v>
      </c>
      <c r="C90">
        <f>[1]金币生产率曲线!$M90</f>
        <v>5296</v>
      </c>
    </row>
    <row r="91" spans="1:3" x14ac:dyDescent="0.15">
      <c r="A91">
        <v>90</v>
      </c>
      <c r="B91">
        <v>5418</v>
      </c>
      <c r="C91">
        <f>[1]金币生产率曲线!$M91</f>
        <v>5418</v>
      </c>
    </row>
    <row r="92" spans="1:3" x14ac:dyDescent="0.15">
      <c r="A92">
        <v>91</v>
      </c>
      <c r="B92">
        <v>5541</v>
      </c>
      <c r="C92">
        <f>[1]金币生产率曲线!$M92</f>
        <v>5541</v>
      </c>
    </row>
    <row r="93" spans="1:3" x14ac:dyDescent="0.15">
      <c r="A93">
        <v>92</v>
      </c>
      <c r="B93">
        <v>5666</v>
      </c>
      <c r="C93">
        <f>[1]金币生产率曲线!$M93</f>
        <v>5666</v>
      </c>
    </row>
    <row r="94" spans="1:3" x14ac:dyDescent="0.15">
      <c r="A94">
        <v>93</v>
      </c>
      <c r="B94">
        <v>5791</v>
      </c>
      <c r="C94">
        <f>[1]金币生产率曲线!$M94</f>
        <v>5791</v>
      </c>
    </row>
    <row r="95" spans="1:3" x14ac:dyDescent="0.15">
      <c r="A95">
        <v>94</v>
      </c>
      <c r="B95">
        <v>5918</v>
      </c>
      <c r="C95">
        <f>[1]金币生产率曲线!$M95</f>
        <v>5918</v>
      </c>
    </row>
    <row r="96" spans="1:3" x14ac:dyDescent="0.15">
      <c r="A96">
        <v>95</v>
      </c>
      <c r="B96">
        <v>6047</v>
      </c>
      <c r="C96">
        <f>[1]金币生产率曲线!$M96</f>
        <v>6047</v>
      </c>
    </row>
    <row r="97" spans="1:3" x14ac:dyDescent="0.15">
      <c r="A97">
        <v>96</v>
      </c>
      <c r="B97">
        <v>6177</v>
      </c>
      <c r="C97">
        <f>[1]金币生产率曲线!$M97</f>
        <v>6177</v>
      </c>
    </row>
    <row r="98" spans="1:3" x14ac:dyDescent="0.15">
      <c r="A98">
        <v>97</v>
      </c>
      <c r="B98">
        <v>6308</v>
      </c>
      <c r="C98">
        <f>[1]金币生产率曲线!$M98</f>
        <v>6308</v>
      </c>
    </row>
    <row r="99" spans="1:3" x14ac:dyDescent="0.15">
      <c r="A99">
        <v>98</v>
      </c>
      <c r="B99">
        <v>6441</v>
      </c>
      <c r="C99">
        <f>[1]金币生产率曲线!$M99</f>
        <v>6441</v>
      </c>
    </row>
    <row r="100" spans="1:3" x14ac:dyDescent="0.15">
      <c r="A100">
        <v>99</v>
      </c>
      <c r="B100">
        <v>6575</v>
      </c>
      <c r="C100">
        <f>[1]金币生产率曲线!$M100</f>
        <v>6575</v>
      </c>
    </row>
    <row r="101" spans="1:3" x14ac:dyDescent="0.15">
      <c r="A101">
        <v>100</v>
      </c>
      <c r="B101">
        <v>6710</v>
      </c>
      <c r="C101">
        <f>[1]金币生产率曲线!$M101</f>
        <v>6710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BL106"/>
  <sheetViews>
    <sheetView workbookViewId="0">
      <selection activeCell="A14" sqref="A14"/>
    </sheetView>
  </sheetViews>
  <sheetFormatPr defaultRowHeight="13.5" x14ac:dyDescent="0.15"/>
  <cols>
    <col min="1" max="1" width="11" bestFit="1" customWidth="1"/>
    <col min="2" max="2" width="12.75" bestFit="1" customWidth="1"/>
    <col min="3" max="3" width="9.5" bestFit="1" customWidth="1"/>
    <col min="4" max="4" width="18.375" bestFit="1" customWidth="1"/>
    <col min="5" max="5" width="7.5" bestFit="1" customWidth="1"/>
    <col min="6" max="6" width="9.5" customWidth="1"/>
    <col min="7" max="8" width="5.5" bestFit="1" customWidth="1"/>
    <col min="9" max="9" width="7.5" bestFit="1" customWidth="1"/>
    <col min="10" max="10" width="7.5" customWidth="1"/>
    <col min="11" max="12" width="5.5" bestFit="1" customWidth="1"/>
    <col min="13" max="13" width="7.5" bestFit="1" customWidth="1"/>
    <col min="14" max="14" width="7.5" customWidth="1"/>
    <col min="15" max="16" width="5.5" bestFit="1" customWidth="1"/>
    <col min="17" max="17" width="7.5" bestFit="1" customWidth="1"/>
    <col min="18" max="18" width="7.5" customWidth="1"/>
    <col min="19" max="20" width="5.5" bestFit="1" customWidth="1"/>
    <col min="21" max="21" width="7.5" bestFit="1" customWidth="1"/>
    <col min="22" max="22" width="7.5" customWidth="1"/>
    <col min="23" max="24" width="5.5" bestFit="1" customWidth="1"/>
    <col min="25" max="25" width="7.5" bestFit="1" customWidth="1"/>
    <col min="26" max="26" width="7.5" customWidth="1"/>
    <col min="27" max="28" width="5.5" bestFit="1" customWidth="1"/>
    <col min="29" max="29" width="7.5" bestFit="1" customWidth="1"/>
    <col min="30" max="30" width="7.5" customWidth="1"/>
    <col min="31" max="32" width="5.5" bestFit="1" customWidth="1"/>
    <col min="33" max="33" width="7.5" bestFit="1" customWidth="1"/>
    <col min="34" max="34" width="7.5" customWidth="1"/>
    <col min="35" max="36" width="5.5" bestFit="1" customWidth="1"/>
    <col min="37" max="37" width="7.5" bestFit="1" customWidth="1"/>
    <col min="38" max="38" width="7.5" customWidth="1"/>
    <col min="39" max="40" width="5.5" bestFit="1" customWidth="1"/>
    <col min="41" max="41" width="7.5" bestFit="1" customWidth="1"/>
    <col min="42" max="42" width="7.5" customWidth="1"/>
    <col min="43" max="43" width="5.5" bestFit="1" customWidth="1"/>
    <col min="44" max="44" width="9.5" bestFit="1" customWidth="1"/>
    <col min="47" max="47" width="12.5" customWidth="1"/>
  </cols>
  <sheetData>
    <row r="3" spans="1:64" x14ac:dyDescent="0.15">
      <c r="D3" t="s">
        <v>127</v>
      </c>
    </row>
    <row r="4" spans="1:64" ht="14.25" thickBot="1" x14ac:dyDescent="0.2">
      <c r="C4" t="s">
        <v>133</v>
      </c>
      <c r="AV4" t="s">
        <v>134</v>
      </c>
    </row>
    <row r="5" spans="1:64" x14ac:dyDescent="0.15">
      <c r="D5" s="64" t="str">
        <f>技能配置辅助表!C3</f>
        <v>瞬狱·斩</v>
      </c>
      <c r="E5" s="65"/>
      <c r="F5" s="66"/>
      <c r="G5" s="67"/>
      <c r="H5" s="64" t="str">
        <f>技能配置辅助表!C4</f>
        <v>影袭·斩第1段</v>
      </c>
      <c r="I5" s="65"/>
      <c r="J5" s="66"/>
      <c r="K5" s="67"/>
      <c r="L5" s="64" t="str">
        <f>技能配置辅助表!C5</f>
        <v>影袭·斩第2段</v>
      </c>
      <c r="M5" s="65"/>
      <c r="N5" s="66"/>
      <c r="O5" s="67"/>
      <c r="P5" s="64" t="str">
        <f>技能配置辅助表!C6</f>
        <v>影袭·斩第3段</v>
      </c>
      <c r="Q5" s="65"/>
      <c r="R5" s="66"/>
      <c r="S5" s="67"/>
      <c r="T5" s="64" t="str">
        <f>技能配置辅助表!C7</f>
        <v>影袭·斩第4段</v>
      </c>
      <c r="U5" s="65"/>
      <c r="V5" s="66"/>
      <c r="W5" s="67"/>
      <c r="X5" s="64" t="str">
        <f>技能配置辅助表!C8</f>
        <v>光刃·斩</v>
      </c>
      <c r="Y5" s="65"/>
      <c r="Z5" s="66"/>
      <c r="AA5" s="67"/>
      <c r="AB5" s="64" t="str">
        <f>技能配置辅助表!C9</f>
        <v>裂空·斩第1段</v>
      </c>
      <c r="AC5" s="65"/>
      <c r="AD5" s="66"/>
      <c r="AE5" s="67"/>
      <c r="AF5" s="64" t="str">
        <f>技能配置辅助表!C10</f>
        <v>裂空·斩第2段</v>
      </c>
      <c r="AG5" s="65"/>
      <c r="AH5" s="66"/>
      <c r="AI5" s="67"/>
      <c r="AJ5" s="64" t="str">
        <f>技能配置辅助表!C11</f>
        <v>裂空·斩第3段</v>
      </c>
      <c r="AK5" s="65"/>
      <c r="AL5" s="66"/>
      <c r="AM5" s="67"/>
      <c r="AN5" s="64" t="str">
        <f>技能配置辅助表!C12</f>
        <v>裂空·斩第4段</v>
      </c>
      <c r="AO5" s="65"/>
      <c r="AP5" s="66"/>
      <c r="AQ5" s="67"/>
      <c r="AR5" s="14" t="s">
        <v>74</v>
      </c>
      <c r="AS5" t="s">
        <v>81</v>
      </c>
      <c r="AT5" t="s">
        <v>200</v>
      </c>
      <c r="AW5" s="63" t="s">
        <v>108</v>
      </c>
      <c r="AX5" s="63"/>
      <c r="AY5" s="63"/>
      <c r="AZ5" s="63"/>
      <c r="BA5" s="63" t="s">
        <v>122</v>
      </c>
      <c r="BB5" s="63"/>
      <c r="BC5" s="63"/>
      <c r="BD5" s="63"/>
      <c r="BE5" s="63" t="s">
        <v>123</v>
      </c>
      <c r="BF5" s="63"/>
      <c r="BG5" s="63"/>
      <c r="BH5" s="63"/>
      <c r="BI5" s="63" t="s">
        <v>126</v>
      </c>
      <c r="BJ5" s="63"/>
      <c r="BK5" s="63"/>
      <c r="BL5" s="63"/>
    </row>
    <row r="6" spans="1:64" x14ac:dyDescent="0.15">
      <c r="A6" t="s">
        <v>137</v>
      </c>
      <c r="B6" s="34" t="s">
        <v>135</v>
      </c>
      <c r="C6" t="s">
        <v>47</v>
      </c>
      <c r="D6" s="11" t="s">
        <v>43</v>
      </c>
      <c r="E6" s="12" t="s">
        <v>44</v>
      </c>
      <c r="F6" s="53" t="s">
        <v>80</v>
      </c>
      <c r="G6" s="13" t="s">
        <v>73</v>
      </c>
      <c r="H6" s="11" t="s">
        <v>43</v>
      </c>
      <c r="I6" s="12" t="s">
        <v>44</v>
      </c>
      <c r="J6" s="53" t="s">
        <v>80</v>
      </c>
      <c r="K6" s="13" t="s">
        <v>73</v>
      </c>
      <c r="L6" s="11" t="s">
        <v>45</v>
      </c>
      <c r="M6" s="12" t="s">
        <v>46</v>
      </c>
      <c r="N6" s="53" t="s">
        <v>80</v>
      </c>
      <c r="O6" s="13" t="s">
        <v>73</v>
      </c>
      <c r="P6" s="11" t="s">
        <v>45</v>
      </c>
      <c r="Q6" s="12" t="s">
        <v>46</v>
      </c>
      <c r="R6" s="53" t="s">
        <v>80</v>
      </c>
      <c r="S6" s="13" t="s">
        <v>73</v>
      </c>
      <c r="T6" s="11" t="s">
        <v>45</v>
      </c>
      <c r="U6" s="12" t="s">
        <v>46</v>
      </c>
      <c r="V6" s="53" t="s">
        <v>80</v>
      </c>
      <c r="W6" s="13" t="s">
        <v>73</v>
      </c>
      <c r="X6" s="11" t="s">
        <v>45</v>
      </c>
      <c r="Y6" s="12" t="s">
        <v>46</v>
      </c>
      <c r="Z6" s="53" t="s">
        <v>80</v>
      </c>
      <c r="AA6" s="13" t="s">
        <v>73</v>
      </c>
      <c r="AB6" s="11" t="s">
        <v>45</v>
      </c>
      <c r="AC6" s="12" t="s">
        <v>46</v>
      </c>
      <c r="AD6" s="53" t="s">
        <v>80</v>
      </c>
      <c r="AE6" s="13" t="s">
        <v>73</v>
      </c>
      <c r="AF6" s="11" t="s">
        <v>45</v>
      </c>
      <c r="AG6" s="12" t="s">
        <v>46</v>
      </c>
      <c r="AH6" s="53" t="s">
        <v>80</v>
      </c>
      <c r="AI6" s="13" t="s">
        <v>73</v>
      </c>
      <c r="AJ6" s="11" t="s">
        <v>45</v>
      </c>
      <c r="AK6" s="12" t="s">
        <v>46</v>
      </c>
      <c r="AL6" s="53" t="s">
        <v>80</v>
      </c>
      <c r="AM6" s="13" t="s">
        <v>73</v>
      </c>
      <c r="AN6" s="11" t="s">
        <v>45</v>
      </c>
      <c r="AO6" s="12" t="s">
        <v>46</v>
      </c>
      <c r="AP6" s="53" t="s">
        <v>80</v>
      </c>
      <c r="AQ6" s="13" t="s">
        <v>73</v>
      </c>
      <c r="AR6" s="11"/>
      <c r="AU6" t="s">
        <v>136</v>
      </c>
      <c r="AV6" t="s">
        <v>40</v>
      </c>
      <c r="AW6" s="11" t="s">
        <v>43</v>
      </c>
      <c r="AX6" s="12" t="s">
        <v>46</v>
      </c>
      <c r="AY6" s="53" t="s">
        <v>80</v>
      </c>
      <c r="AZ6" s="13" t="s">
        <v>73</v>
      </c>
      <c r="BA6" s="11" t="s">
        <v>43</v>
      </c>
      <c r="BB6" s="12" t="s">
        <v>46</v>
      </c>
      <c r="BC6" s="53" t="s">
        <v>80</v>
      </c>
      <c r="BD6" s="13" t="s">
        <v>73</v>
      </c>
      <c r="BE6" s="11" t="s">
        <v>43</v>
      </c>
      <c r="BF6" s="12" t="s">
        <v>46</v>
      </c>
      <c r="BG6" s="53" t="s">
        <v>80</v>
      </c>
      <c r="BH6" s="13" t="s">
        <v>73</v>
      </c>
      <c r="BI6" s="11" t="s">
        <v>43</v>
      </c>
      <c r="BJ6" s="12" t="s">
        <v>46</v>
      </c>
      <c r="BK6" s="53" t="s">
        <v>80</v>
      </c>
      <c r="BL6" s="13" t="s">
        <v>73</v>
      </c>
    </row>
    <row r="7" spans="1:64" x14ac:dyDescent="0.15">
      <c r="A7">
        <f>B7+AU7</f>
        <v>0</v>
      </c>
      <c r="B7" s="34"/>
      <c r="C7">
        <v>1</v>
      </c>
      <c r="D7">
        <f t="array" aca="1" ref="D7" ca="1">IFERROR(VLOOKUP($D$5&amp;$C7,CHOOSE({1,2},D_技能表!$C$2:$C$1210&amp;D_技能表!$E$2:$E$1210,D_技能表!$I$2:$I$1210),2,FALSE),0)</f>
        <v>0</v>
      </c>
      <c r="E7">
        <f t="array" aca="1" ref="E7" ca="1">IFERROR(VLOOKUP($D$5&amp;$C7,CHOOSE({1,2},D_技能表!$C$2:$C$1210&amp;D_技能表!$E$2:$E$1210,D_技能表!$N$2:$N$1210),2,FALSE),0)</f>
        <v>0</v>
      </c>
      <c r="F7">
        <f t="array" aca="1" ref="F7" ca="1">IFERROR(VLOOKUP($D$5&amp;$C7,CHOOSE({1,2},D_技能表!$C$2:$C$1210&amp;D_技能表!$E$2:$E$1210,D_技能表!$W$2:$W$1210),2,FALSE),0)</f>
        <v>0</v>
      </c>
      <c r="G7">
        <f t="array" aca="1" ref="G7" ca="1">IFERROR(VLOOKUP($D$5&amp;$C7,CHOOSE({1,2},D_技能表!$C$2:$C$1210&amp;D_技能表!$E$2:$E$1210,D_技能表!$Z$2:$Z$1210),2,FALSE),0)</f>
        <v>0</v>
      </c>
      <c r="H7">
        <f t="array" aca="1" ref="H7" ca="1">IFERROR(VLOOKUP($H$5&amp;$C7,CHOOSE({1,2},D_技能表!$C$2:$C$1210&amp;D_技能表!$E$2:$E$1210,D_技能表!$I$2:$I$1210),2,FALSE),0)</f>
        <v>0</v>
      </c>
      <c r="I7">
        <f t="array" aca="1" ref="I7" ca="1">IFERROR(VLOOKUP($H$5&amp;$C7,CHOOSE({1,2},D_技能表!$C$2:$C$1210&amp;D_技能表!$E$2:$E$1210,D_技能表!$N$2:$N$1210),2,FALSE),0)</f>
        <v>0</v>
      </c>
      <c r="J7">
        <f t="array" aca="1" ref="J7" ca="1">IFERROR(VLOOKUP($H$5&amp;$C7,CHOOSE({1,2},D_技能表!$C$2:$C$1210&amp;D_技能表!$E$2:$E$1210,D_技能表!$W$2:$W$1210),2,FALSE),0)</f>
        <v>0</v>
      </c>
      <c r="K7">
        <f t="array" aca="1" ref="K7" ca="1">IFERROR(VLOOKUP($H$5&amp;$C7,CHOOSE({1,2},D_技能表!$C$2:$C$1210&amp;D_技能表!$E$2:$E$1210,D_技能表!$Z$2:$Z$1210),2,FALSE),0)</f>
        <v>0</v>
      </c>
      <c r="L7">
        <f t="array" aca="1" ref="L7" ca="1">IFERROR(VLOOKUP($L$5&amp;$C7,CHOOSE({1,2},D_技能表!$C$2:$C$1210&amp;D_技能表!$E$2:$E$1210,D_技能表!$I$2:$I$1210),2,FALSE),0)</f>
        <v>0</v>
      </c>
      <c r="M7">
        <f t="array" aca="1" ref="M7" ca="1">IFERROR(VLOOKUP($L$5&amp;$C7,CHOOSE({1,2},D_技能表!$C$2:$C$1210&amp;D_技能表!$E$2:$E$1210,D_技能表!$N$2:$N$1210),2,FALSE),0)</f>
        <v>0</v>
      </c>
      <c r="N7">
        <f t="array" aca="1" ref="N7" ca="1">IFERROR(VLOOKUP($L$5&amp;$C7,CHOOSE({1,2},D_技能表!$C$2:$C$1210&amp;D_技能表!$E$2:$E$1210,D_技能表!$W$2:$W$1210),2,FALSE),0)</f>
        <v>0</v>
      </c>
      <c r="O7">
        <f t="array" aca="1" ref="O7" ca="1">IFERROR(VLOOKUP($L$5&amp;$C7,CHOOSE({1,2},D_技能表!$C$2:$C$1210&amp;D_技能表!$E$2:$E$1210,D_技能表!$Z$2:$Z$1210),2,FALSE),0)</f>
        <v>0</v>
      </c>
      <c r="P7">
        <f t="array" aca="1" ref="P7" ca="1">IFERROR(VLOOKUP($P$5&amp;$C7,CHOOSE({1,2},D_技能表!$C$2:$C$1210&amp;D_技能表!$E$2:$E$1210,D_技能表!$I$2:$I$1210),2,FALSE),0)</f>
        <v>0</v>
      </c>
      <c r="Q7">
        <f t="array" aca="1" ref="Q7" ca="1">IFERROR(VLOOKUP($P$5&amp;$C7,CHOOSE({1,2},D_技能表!$C$2:$C$1210&amp;D_技能表!$E$2:$E$1210,D_技能表!$N$2:$N$1210),2,FALSE),0)</f>
        <v>0</v>
      </c>
      <c r="R7">
        <f t="array" aca="1" ref="R7" ca="1">IFERROR(VLOOKUP($P$5&amp;$C7,CHOOSE({1,2},D_技能表!$C$2:$C$1210&amp;D_技能表!$E$2:$E$1210,D_技能表!$W$2:$W$1210),2,FALSE),0)</f>
        <v>0</v>
      </c>
      <c r="S7">
        <f t="array" aca="1" ref="S7" ca="1">IFERROR(VLOOKUP($P$5&amp;$C7,CHOOSE({1,2},D_技能表!$C$2:$C$1210&amp;D_技能表!$E$2:$E$1210,D_技能表!$Z$2:$Z$1210),2,FALSE),0)</f>
        <v>0</v>
      </c>
      <c r="T7">
        <f t="array" aca="1" ref="T7" ca="1">IFERROR(VLOOKUP($T$5&amp;$C7,CHOOSE({1,2},D_技能表!$C$2:$C$1210&amp;D_技能表!$E$2:$E$1210,D_技能表!$I$2:$I$1210),2,FALSE),0)</f>
        <v>0</v>
      </c>
      <c r="U7">
        <f t="array" aca="1" ref="U7" ca="1">IFERROR(VLOOKUP($T$5&amp;$C7,CHOOSE({1,2},D_技能表!$C$2:$C$1210&amp;D_技能表!$E$2:$E$1210,D_技能表!$N$2:$N$1210),2,FALSE),0)</f>
        <v>0</v>
      </c>
      <c r="V7">
        <f t="array" aca="1" ref="V7" ca="1">IFERROR(VLOOKUP($T$5&amp;$C7,CHOOSE({1,2},D_技能表!$C$2:$C$1210&amp;D_技能表!$E$2:$E$1210,D_技能表!$W$2:$W$1210),2,FALSE),0)</f>
        <v>0</v>
      </c>
      <c r="W7">
        <f t="array" aca="1" ref="W7" ca="1">IFERROR(VLOOKUP($T$5&amp;$C7,CHOOSE({1,2},D_技能表!$C$2:$C$1210&amp;D_技能表!$E$2:$E$1210,D_技能表!$Z$2:$Z$1210),2,FALSE),0)</f>
        <v>0</v>
      </c>
      <c r="X7">
        <f t="array" aca="1" ref="X7" ca="1">IFERROR(VLOOKUP($X$5&amp;$C7,CHOOSE({1,2},D_技能表!$C$2:$C$1210&amp;D_技能表!$E$2:$E$1210,D_技能表!$I$2:$I$1210),2,FALSE),0)</f>
        <v>0</v>
      </c>
      <c r="Y7">
        <f t="array" aca="1" ref="Y7" ca="1">IFERROR(VLOOKUP($X$5&amp;$C7,CHOOSE({1,2},D_技能表!$C$2:$C$1210&amp;D_技能表!$E$2:$E$1210,D_技能表!$N$2:$N$1210),2,FALSE),0)</f>
        <v>0</v>
      </c>
      <c r="Z7">
        <f t="array" aca="1" ref="Z7" ca="1">IFERROR(VLOOKUP($X$5&amp;$C7,CHOOSE({1,2},D_技能表!$C$2:$C$1210&amp;D_技能表!$E$2:$E$1210,D_技能表!$W$2:$W$1210),2,FALSE),0)</f>
        <v>0</v>
      </c>
      <c r="AA7">
        <f t="array" aca="1" ref="AA7" ca="1">IFERROR(VLOOKUP($X$5&amp;$C7,CHOOSE({1,2},D_技能表!$C$2:$C$1210&amp;D_技能表!$E$2:$E$1210,D_技能表!$Z$2:$Z$1210),2,FALSE),0)</f>
        <v>0</v>
      </c>
      <c r="AB7">
        <f t="array" aca="1" ref="AB7" ca="1">IFERROR(VLOOKUP($AB$5&amp;$C7,CHOOSE({1,2},D_技能表!$C$2:$C$1210&amp;D_技能表!$E$2:$E$1210,D_技能表!$I$2:$I$1210),2,FALSE),0)</f>
        <v>0</v>
      </c>
      <c r="AC7">
        <f t="array" aca="1" ref="AC7" ca="1">IFERROR(VLOOKUP($AB$5&amp;$C7,CHOOSE({1,2},D_技能表!$C$2:$C$1210&amp;D_技能表!$E$2:$E$1210,D_技能表!$N$2:$N$1210),2,FALSE),0)</f>
        <v>0</v>
      </c>
      <c r="AD7">
        <f t="array" aca="1" ref="AD7" ca="1">IFERROR(VLOOKUP($AB$5&amp;$C7,CHOOSE({1,2},D_技能表!$C$2:$C$1210&amp;D_技能表!$E$2:$E$1210,D_技能表!$W$2:$W$1210),2,FALSE),0)</f>
        <v>0</v>
      </c>
      <c r="AE7">
        <f t="array" aca="1" ref="AE7" ca="1">IFERROR(VLOOKUP($AB$5&amp;$C7,CHOOSE({1,2},D_技能表!$C$2:$C$1210&amp;D_技能表!$E$2:$E$1210,D_技能表!$Z$2:$Z$1210),2,FALSE),0)</f>
        <v>0</v>
      </c>
      <c r="AF7">
        <f t="array" aca="1" ref="AF7" ca="1">IFERROR(VLOOKUP($AF$5&amp;$C7,CHOOSE({1,2},D_技能表!$C$2:$C$1210&amp;D_技能表!$E$2:$E$1210,D_技能表!$I$2:$I$1210),2,FALSE),0)</f>
        <v>0</v>
      </c>
      <c r="AG7">
        <f t="array" aca="1" ref="AG7" ca="1">IFERROR(VLOOKUP($AF$5&amp;$C7,CHOOSE({1,2},D_技能表!$C$2:$C$1210&amp;D_技能表!$E$2:$E$1210,D_技能表!$N$2:$N$1210),2,FALSE),0)</f>
        <v>0</v>
      </c>
      <c r="AH7">
        <f t="array" aca="1" ref="AH7" ca="1">IFERROR(VLOOKUP($AF$5&amp;$C7,CHOOSE({1,2},D_技能表!$C$2:$C$1210&amp;D_技能表!$E$2:$E$1210,D_技能表!$W$2:$W$1210),2,FALSE),0)</f>
        <v>0</v>
      </c>
      <c r="AI7">
        <f t="array" aca="1" ref="AI7" ca="1">IFERROR(VLOOKUP($AF$5&amp;$C7,CHOOSE({1,2},D_技能表!$C$2:$C$1210&amp;D_技能表!$E$2:$E$1210,D_技能表!$Z$2:$Z$1210),2,FALSE),0)</f>
        <v>0</v>
      </c>
      <c r="AJ7">
        <f ca="1">IFERROR(VLOOKUP($AJ$5&amp;$C7,CHOOSE({1,2},D_技能表!$C$2:$C$1210&amp;D_技能表!$E$2:$E$1210,D_技能表!$I$2:$I$1210),2,FALSE),0)</f>
        <v>0</v>
      </c>
      <c r="AK7">
        <f t="array" aca="1" ref="AK7" ca="1">IFERROR(VLOOKUP($AJ$5&amp;$C7,CHOOSE({1,2},D_技能表!$C$2:$C$1210&amp;D_技能表!$E$2:$E$1210,D_技能表!$N$2:$N$1210),2,FALSE),0)</f>
        <v>0</v>
      </c>
      <c r="AL7">
        <f t="array" aca="1" ref="AL7" ca="1">IFERROR(VLOOKUP($AJ$5&amp;$C7,CHOOSE({1,2},D_技能表!$C$2:$C$1210&amp;D_技能表!$E$2:$E$1210,D_技能表!$W$2:$W$1210),2,FALSE),0)</f>
        <v>0</v>
      </c>
      <c r="AM7">
        <f t="array" aca="1" ref="AM7" ca="1">IFERROR(VLOOKUP($AJ$5&amp;$C7,CHOOSE({1,2},D_技能表!$C$2:$C$1210&amp;D_技能表!$E$2:$E$1210,D_技能表!$Z$2:$Z$1210),2,FALSE),0)</f>
        <v>0</v>
      </c>
      <c r="AN7">
        <f t="array" aca="1" ref="AN7" ca="1">IFERROR(VLOOKUP($AN$5&amp;$C7,CHOOSE({1,2},D_技能表!$C$2:$C$1210&amp;D_技能表!$E$2:$E$1210,D_技能表!$I$2:$I$1210),2,FALSE),0)</f>
        <v>0</v>
      </c>
      <c r="AO7">
        <f ca="1">IFERROR(VLOOKUP($AN$5&amp;$C7,CHOOSE({1,2},D_技能表!$C$2:$C$1210&amp;D_技能表!$E$2:$E$1210,D_技能表!$N$2:$N$1210),2,FALSE),0)</f>
        <v>0</v>
      </c>
      <c r="AP7">
        <f t="array" aca="1" ref="AP7" ca="1">IFERROR(VLOOKUP($AN$5&amp;$C7,CHOOSE({1,2},D_技能表!$C$2:$C$1210&amp;D_技能表!$E$2:$E$1210,D_技能表!$W$2:$W$1210),2,FALSE),0)</f>
        <v>0</v>
      </c>
      <c r="AQ7">
        <f t="array" aca="1" ref="AQ7" ca="1">IFERROR(VLOOKUP($AN$5&amp;$C7,CHOOSE({1,2},D_技能表!$C$2:$C$1210&amp;D_技能表!$E$2:$E$1210,D_技能表!$Z$2:$Z$1210),2,FALSE),0)</f>
        <v>0</v>
      </c>
      <c r="AR7" s="11">
        <f ca="1">SUM($G$7:G8,$K$7:K8,$O$7:O8,$S$7:S8,$W$7:W8,$AA$7:AA8,$AE$7:AE8,$AI$7:AI8,$AM$7:AM8,$AQ$7:AQ8)</f>
        <v>0</v>
      </c>
      <c r="AS7">
        <f ca="1">SUM($F$7:F8,$J$7:J8,$N$7:N8,$R$7:R8,$V$7:V8,$Z$7:Z8,$AD$7:AD8,$AH$7:AH8,$AL$7:AL8,$AP$7:AP8)</f>
        <v>0</v>
      </c>
      <c r="AT7">
        <f ca="1">F7+J7+N7+R7+V7+Z7+AD7+AH7+AL7+AP7</f>
        <v>0</v>
      </c>
      <c r="AV7">
        <v>1</v>
      </c>
      <c r="AW7">
        <f t="array" ref="AW7">IFERROR(VLOOKUP(AW$5&amp;$AV7,CHOOSE({1,2},D_技能表CD!$C$2:$C$313&amp;D_技能表CD!$E$2:$E$313,D_技能表CD!$I$2:$I$313),2,FALSE),0)</f>
        <v>0</v>
      </c>
      <c r="AX7">
        <f t="array" ref="AX7">IFERROR(VLOOKUP(AW$5&amp;$AV7,CHOOSE({1,2},D_技能表CD!$C$2:$C$313&amp;D_技能表CD!$E$2:$E$313,D_技能表CD!$H$2:$H$313),2,FALSE),0)</f>
        <v>0</v>
      </c>
      <c r="AY7">
        <f t="array" aca="1" ref="AY7" ca="1">IFERROR(VLOOKUP(AW$5&amp;$AV7,CHOOSE({1,2},D_技能表CD!$C$2:$C$313&amp;D_技能表CD!$E$2:$E$313,D_技能表CD!$L$2:$L$313),2,FALSE),0)</f>
        <v>0</v>
      </c>
      <c r="AZ7">
        <f t="array" ref="AZ7">IFERROR(VLOOKUP(AW$5&amp;$AV7,CHOOSE({1,2},D_技能表CD!$C$2:$C$313&amp;D_技能表CD!$E$2:$E$313,D_技能表CD!$K$2:$K$313),2,FALSE),0)</f>
        <v>0</v>
      </c>
      <c r="BA7">
        <f t="array" ref="BA7">IFERROR(VLOOKUP(BA$5&amp;$AV7,CHOOSE({1,2},D_技能表CD!$C$2:$C$313&amp;D_技能表CD!$E$2:$E$313,D_技能表CD!$I$2:$I$313),2,FALSE),0)</f>
        <v>0</v>
      </c>
      <c r="BB7">
        <f t="array" aca="1" ref="BB7" ca="1">IFERROR(VLOOKUP(BA$5&amp;$AV7,CHOOSE({1,2},D_技能表CD!$C$2:$C$313&amp;D_技能表CD!$E$2:$E$313,D_技能表CD!$H$2:$H$313),2,FALSE),0)</f>
        <v>0</v>
      </c>
      <c r="BC7">
        <f t="array" aca="1" ref="BC7" ca="1">IFERROR(VLOOKUP(BA$5&amp;$AV7,CHOOSE({1,2},D_技能表CD!$C$2:$C$313&amp;D_技能表CD!$E$2:$E$313,D_技能表CD!$L$2:$L$313),2,FALSE),0)</f>
        <v>0</v>
      </c>
      <c r="BD7">
        <f t="array" aca="1" ref="BD7" ca="1">IFERROR(VLOOKUP(BA$5&amp;$AV7,CHOOSE({1,2},D_技能表CD!$C$2:$C$313&amp;D_技能表CD!$E$2:$E$313,D_技能表CD!$K$2:$K$313),2,FALSE),0)</f>
        <v>0</v>
      </c>
      <c r="BE7">
        <f t="array" ref="BE7">IFERROR(VLOOKUP(BE$5&amp;$AV7,CHOOSE({1,2},D_技能表CD!$C$2:$C$313&amp;D_技能表CD!$E$2:$E$313,D_技能表CD!$I$2:$I$313),2,FALSE),0)</f>
        <v>0</v>
      </c>
      <c r="BF7">
        <f t="array" aca="1" ref="BF7" ca="1">IFERROR(VLOOKUP(BE$5&amp;$AV7,CHOOSE({1,2},D_技能表CD!$C$2:$C$313&amp;D_技能表CD!$E$2:$E$313,D_技能表CD!$H$2:$H$313),2,FALSE),0)</f>
        <v>0</v>
      </c>
      <c r="BG7">
        <f t="array" aca="1" ref="BG7" ca="1">IFERROR(VLOOKUP(BE$5&amp;$AV7,CHOOSE({1,2},D_技能表CD!$C$2:$C$313&amp;D_技能表CD!$E$2:$E$313,D_技能表CD!$L$2:$L$313),2,FALSE),0)</f>
        <v>0</v>
      </c>
      <c r="BH7">
        <f t="array" aca="1" ref="BH7" ca="1">IFERROR(VLOOKUP(BE$5&amp;$AV7,CHOOSE({1,2},D_技能表CD!$C$2:$C$313&amp;D_技能表CD!$E$2:$E$313,D_技能表CD!$K$2:$K$313),2,FALSE),0)</f>
        <v>0</v>
      </c>
      <c r="BI7">
        <f t="array" ref="BI7">IFERROR(VLOOKUP(BI$5&amp;$AV7,CHOOSE({1,2},D_技能表CD!$C$2:$C$313&amp;D_技能表CD!$E$2:$E$313,D_技能表CD!$I$2:$I$313),2,FALSE),0)</f>
        <v>0</v>
      </c>
      <c r="BJ7">
        <f t="array" aca="1" ref="BJ7" ca="1">IFERROR(VLOOKUP(BI$5&amp;$AV7,CHOOSE({1,2},D_技能表CD!$C$2:$C$313&amp;D_技能表CD!$E$2:$E$313,D_技能表CD!$H$2:$H$313),2,FALSE),0)</f>
        <v>0</v>
      </c>
      <c r="BK7">
        <f t="array" aca="1" ref="BK7" ca="1">IFERROR(VLOOKUP(BI$5&amp;$AV7,CHOOSE({1,2},D_技能表CD!$C$2:$C$313&amp;D_技能表CD!$E$2:$E$313,D_技能表CD!$L$2:$L$313),2,FALSE),0)</f>
        <v>0</v>
      </c>
      <c r="BL7">
        <f t="array" aca="1" ref="BL7" ca="1">IFERROR(VLOOKUP(BI$5&amp;$AV7,CHOOSE({1,2},D_技能表CD!$C$2:$C$313&amp;D_技能表CD!$E$2:$E$313,D_技能表CD!$K$2:$K$313),2,FALSE),0)</f>
        <v>0</v>
      </c>
    </row>
    <row r="8" spans="1:64" x14ac:dyDescent="0.15">
      <c r="A8">
        <f t="shared" ref="A8:A71" ca="1" si="0">B8+AU8</f>
        <v>0</v>
      </c>
      <c r="B8" s="33">
        <f ca="1">SUM($E$7:E8,$I$7:I8,$M$7:M8,$Q$7:Q8,$U$7:U8,$Y$7:Y8,$AC$7:AC8,$AG$7:AG8,$AK$7:AK8,$AO$7:AO8)</f>
        <v>0</v>
      </c>
      <c r="C8">
        <v>2</v>
      </c>
      <c r="D8">
        <f t="array" aca="1" ref="D8" ca="1">IFERROR(VLOOKUP($D$5&amp;C8,CHOOSE({1,2},D_技能表!$C$2:$C$1210&amp;D_技能表!$E$2:$E$1210,D_技能表!$I$2:$I$1210),2,FALSE),0)</f>
        <v>0</v>
      </c>
      <c r="E8">
        <f t="array" aca="1" ref="E8" ca="1">IFERROR(VLOOKUP($D$5&amp;$C8,CHOOSE({1,2},D_技能表!$C$2:$C$1210&amp;D_技能表!$E$2:$E$1210,D_技能表!$N$2:$N$1210),2,FALSE),0)</f>
        <v>0</v>
      </c>
      <c r="F8">
        <f t="array" aca="1" ref="F8" ca="1">IFERROR(VLOOKUP($D$5&amp;$C8,CHOOSE({1,2},D_技能表!$C$2:$C$1210&amp;D_技能表!$E$2:$E$1210,D_技能表!$W$2:$W$1210),2,FALSE),0)</f>
        <v>0</v>
      </c>
      <c r="G8">
        <f t="array" aca="1" ref="G8" ca="1">IFERROR(VLOOKUP($D$5&amp;$C8,CHOOSE({1,2},D_技能表!$C$2:$C$1210&amp;D_技能表!$E$2:$E$1210,D_技能表!$Z$2:$Z$1210),2,FALSE),0)</f>
        <v>0</v>
      </c>
      <c r="H8">
        <f t="array" aca="1" ref="H8" ca="1">IFERROR(VLOOKUP($H$5&amp;$C8,CHOOSE({1,2},D_技能表!$C$2:$C$1210&amp;D_技能表!$E$2:$E$1210,D_技能表!$I$2:$I$1210),2,FALSE),0)</f>
        <v>0</v>
      </c>
      <c r="I8">
        <f t="array" aca="1" ref="I8" ca="1">IFERROR(VLOOKUP($H$5&amp;$C8,CHOOSE({1,2},D_技能表!$C$2:$C$1210&amp;D_技能表!$E$2:$E$1210,D_技能表!$N$2:$N$1210),2,FALSE),0)</f>
        <v>0</v>
      </c>
      <c r="J8">
        <f t="array" aca="1" ref="J8" ca="1">IFERROR(VLOOKUP($H$5&amp;$C8,CHOOSE({1,2},D_技能表!$C$2:$C$1210&amp;D_技能表!$E$2:$E$1210,D_技能表!$W$2:$W$1210),2,FALSE),0)</f>
        <v>0</v>
      </c>
      <c r="K8">
        <f t="array" aca="1" ref="K8" ca="1">IFERROR(VLOOKUP($H$5&amp;$C8,CHOOSE({1,2},D_技能表!$C$2:$C$1210&amp;D_技能表!$E$2:$E$1210,D_技能表!$Z$2:$Z$1210),2,FALSE),0)</f>
        <v>0</v>
      </c>
      <c r="L8">
        <f t="array" aca="1" ref="L8" ca="1">IFERROR(VLOOKUP($L$5&amp;$C8,CHOOSE({1,2},D_技能表!$C$2:$C$1210&amp;D_技能表!$E$2:$E$1210,D_技能表!$I$2:$I$1210),2,FALSE),0)</f>
        <v>0</v>
      </c>
      <c r="M8">
        <f t="array" aca="1" ref="M8" ca="1">IFERROR(VLOOKUP($L$5&amp;$C8,CHOOSE({1,2},D_技能表!$C$2:$C$1210&amp;D_技能表!$E$2:$E$1210,D_技能表!$N$2:$N$1210),2,FALSE),0)</f>
        <v>0</v>
      </c>
      <c r="N8">
        <f t="array" aca="1" ref="N8" ca="1">IFERROR(VLOOKUP($L$5&amp;$C8,CHOOSE({1,2},D_技能表!$C$2:$C$1210&amp;D_技能表!$E$2:$E$1210,D_技能表!$W$2:$W$1210),2,FALSE),0)</f>
        <v>0</v>
      </c>
      <c r="O8">
        <f t="array" aca="1" ref="O8" ca="1">IFERROR(VLOOKUP($L$5&amp;$C8,CHOOSE({1,2},D_技能表!$C$2:$C$1210&amp;D_技能表!$E$2:$E$1210,D_技能表!$Z$2:$Z$1210),2,FALSE),0)</f>
        <v>0</v>
      </c>
      <c r="P8">
        <f t="array" aca="1" ref="P8" ca="1">IFERROR(VLOOKUP($P$5&amp;$C8,CHOOSE({1,2},D_技能表!$C$2:$C$1210&amp;D_技能表!$E$2:$E$1210,D_技能表!$I$2:$I$1210),2,FALSE),0)</f>
        <v>0</v>
      </c>
      <c r="Q8">
        <f t="array" aca="1" ref="Q8" ca="1">IFERROR(VLOOKUP($P$5&amp;$C8,CHOOSE({1,2},D_技能表!$C$2:$C$1210&amp;D_技能表!$E$2:$E$1210,D_技能表!$N$2:$N$1210),2,FALSE),0)</f>
        <v>0</v>
      </c>
      <c r="R8">
        <f t="array" aca="1" ref="R8" ca="1">IFERROR(VLOOKUP($P$5&amp;$C8,CHOOSE({1,2},D_技能表!$C$2:$C$1210&amp;D_技能表!$E$2:$E$1210,D_技能表!$W$2:$W$1210),2,FALSE),0)</f>
        <v>0</v>
      </c>
      <c r="S8">
        <f t="array" aca="1" ref="S8" ca="1">IFERROR(VLOOKUP($P$5&amp;$C8,CHOOSE({1,2},D_技能表!$C$2:$C$1210&amp;D_技能表!$E$2:$E$1210,D_技能表!$Z$2:$Z$1210),2,FALSE),0)</f>
        <v>0</v>
      </c>
      <c r="T8">
        <f t="array" aca="1" ref="T8" ca="1">IFERROR(VLOOKUP($T$5&amp;$C8,CHOOSE({1,2},D_技能表!$C$2:$C$1210&amp;D_技能表!$E$2:$E$1210,D_技能表!$I$2:$I$1210),2,FALSE),0)</f>
        <v>0</v>
      </c>
      <c r="U8">
        <f t="array" aca="1" ref="U8" ca="1">IFERROR(VLOOKUP($T$5&amp;$C8,CHOOSE({1,2},D_技能表!$C$2:$C$1210&amp;D_技能表!$E$2:$E$1210,D_技能表!$N$2:$N$1210),2,FALSE),0)</f>
        <v>0</v>
      </c>
      <c r="V8">
        <f t="array" aca="1" ref="V8" ca="1">IFERROR(VLOOKUP($T$5&amp;$C8,CHOOSE({1,2},D_技能表!$C$2:$C$1210&amp;D_技能表!$E$2:$E$1210,D_技能表!$W$2:$W$1210),2,FALSE),0)</f>
        <v>0</v>
      </c>
      <c r="W8">
        <f t="array" aca="1" ref="W8" ca="1">IFERROR(VLOOKUP($T$5&amp;$C8,CHOOSE({1,2},D_技能表!$C$2:$C$1210&amp;D_技能表!$E$2:$E$1210,D_技能表!$Z$2:$Z$1210),2,FALSE),0)</f>
        <v>0</v>
      </c>
      <c r="X8">
        <f t="array" aca="1" ref="X8" ca="1">IFERROR(VLOOKUP($X$5&amp;$C8,CHOOSE({1,2},D_技能表!$C$2:$C$1210&amp;D_技能表!$E$2:$E$1210,D_技能表!$I$2:$I$1210),2,FALSE),0)</f>
        <v>0</v>
      </c>
      <c r="Y8">
        <f t="array" aca="1" ref="Y8" ca="1">IFERROR(VLOOKUP($X$5&amp;$C8,CHOOSE({1,2},D_技能表!$C$2:$C$1210&amp;D_技能表!$E$2:$E$1210,D_技能表!$N$2:$N$1210),2,FALSE),0)</f>
        <v>0</v>
      </c>
      <c r="Z8">
        <f t="array" aca="1" ref="Z8" ca="1">IFERROR(VLOOKUP($X$5&amp;$C8,CHOOSE({1,2},D_技能表!$C$2:$C$1210&amp;D_技能表!$E$2:$E$1210,D_技能表!$W$2:$W$1210),2,FALSE),0)</f>
        <v>0</v>
      </c>
      <c r="AA8">
        <f t="array" aca="1" ref="AA8" ca="1">IFERROR(VLOOKUP($X$5&amp;$C8,CHOOSE({1,2},D_技能表!$C$2:$C$1210&amp;D_技能表!$E$2:$E$1210,D_技能表!$Z$2:$Z$1210),2,FALSE),0)</f>
        <v>0</v>
      </c>
      <c r="AB8">
        <f t="array" aca="1" ref="AB8" ca="1">IFERROR(VLOOKUP($AB$5&amp;$C8,CHOOSE({1,2},D_技能表!$C$2:$C$1210&amp;D_技能表!$E$2:$E$1210,D_技能表!$I$2:$I$1210),2,FALSE),0)</f>
        <v>0</v>
      </c>
      <c r="AC8">
        <f t="array" aca="1" ref="AC8" ca="1">IFERROR(VLOOKUP($AB$5&amp;$C8,CHOOSE({1,2},D_技能表!$C$2:$C$1210&amp;D_技能表!$E$2:$E$1210,D_技能表!$N$2:$N$1210),2,FALSE),0)</f>
        <v>0</v>
      </c>
      <c r="AD8">
        <f t="array" aca="1" ref="AD8" ca="1">IFERROR(VLOOKUP($AB$5&amp;$C8,CHOOSE({1,2},D_技能表!$C$2:$C$1210&amp;D_技能表!$E$2:$E$1210,D_技能表!$W$2:$W$1210),2,FALSE),0)</f>
        <v>0</v>
      </c>
      <c r="AE8">
        <f t="array" aca="1" ref="AE8" ca="1">IFERROR(VLOOKUP($AB$5&amp;$C8,CHOOSE({1,2},D_技能表!$C$2:$C$1210&amp;D_技能表!$E$2:$E$1210,D_技能表!$Z$2:$Z$1210),2,FALSE),0)</f>
        <v>0</v>
      </c>
      <c r="AF8">
        <f t="array" aca="1" ref="AF8" ca="1">IFERROR(VLOOKUP($AF$5&amp;$C8,CHOOSE({1,2},D_技能表!$C$2:$C$1210&amp;D_技能表!$E$2:$E$1210,D_技能表!$I$2:$I$1210),2,FALSE),0)</f>
        <v>0</v>
      </c>
      <c r="AG8">
        <f t="array" aca="1" ref="AG8" ca="1">IFERROR(VLOOKUP($AF$5&amp;$C8,CHOOSE({1,2},D_技能表!$C$2:$C$1210&amp;D_技能表!$E$2:$E$1210,D_技能表!$N$2:$N$1210),2,FALSE),0)</f>
        <v>0</v>
      </c>
      <c r="AH8">
        <f t="array" aca="1" ref="AH8" ca="1">IFERROR(VLOOKUP($AF$5&amp;$C8,CHOOSE({1,2},D_技能表!$C$2:$C$1210&amp;D_技能表!$E$2:$E$1210,D_技能表!$W$2:$W$1210),2,FALSE),0)</f>
        <v>0</v>
      </c>
      <c r="AI8">
        <f t="array" aca="1" ref="AI8" ca="1">IFERROR(VLOOKUP($AF$5&amp;$C8,CHOOSE({1,2},D_技能表!$C$2:$C$1210&amp;D_技能表!$E$2:$E$1210,D_技能表!$Z$2:$Z$1210),2,FALSE),0)</f>
        <v>0</v>
      </c>
      <c r="AJ8">
        <f t="array" aca="1" ref="AJ8" ca="1">IFERROR(VLOOKUP($AJ$5&amp;$C8,CHOOSE({1,2},D_技能表!$C$2:$C$1210&amp;D_技能表!$E$2:$E$1210,D_技能表!$I$2:$I$1210),2,FALSE),0)</f>
        <v>0</v>
      </c>
      <c r="AK8">
        <f t="array" aca="1" ref="AK8" ca="1">IFERROR(VLOOKUP($AJ$5&amp;$C8,CHOOSE({1,2},D_技能表!$C$2:$C$1210&amp;D_技能表!$E$2:$E$1210,D_技能表!$N$2:$N$1210),2,FALSE),0)</f>
        <v>0</v>
      </c>
      <c r="AL8">
        <f t="array" aca="1" ref="AL8" ca="1">IFERROR(VLOOKUP($AJ$5&amp;$C8,CHOOSE({1,2},D_技能表!$C$2:$C$1210&amp;D_技能表!$E$2:$E$1210,D_技能表!$W$2:$W$1210),2,FALSE),0)</f>
        <v>0</v>
      </c>
      <c r="AM8">
        <f t="array" aca="1" ref="AM8" ca="1">IFERROR(VLOOKUP($AJ$5&amp;$C8,CHOOSE({1,2},D_技能表!$C$2:$C$1210&amp;D_技能表!$E$2:$E$1210,D_技能表!$Z$2:$Z$1210),2,FALSE),0)</f>
        <v>0</v>
      </c>
      <c r="AN8">
        <f t="array" aca="1" ref="AN8" ca="1">IFERROR(VLOOKUP($AN$5&amp;$C8,CHOOSE({1,2},D_技能表!$C$2:$C$1210&amp;D_技能表!$E$2:$E$1210,D_技能表!$I$2:$I$1210),2,FALSE),0)</f>
        <v>0</v>
      </c>
      <c r="AO8">
        <f t="array" aca="1" ref="AO8" ca="1">IFERROR(VLOOKUP($AN$5&amp;$C8,CHOOSE({1,2},D_技能表!$C$2:$C$1210&amp;D_技能表!$E$2:$E$1210,D_技能表!$N$2:$N$1210),2,FALSE),0)</f>
        <v>0</v>
      </c>
      <c r="AP8">
        <f t="array" aca="1" ref="AP8" ca="1">IFERROR(VLOOKUP($AN$5&amp;$C8,CHOOSE({1,2},D_技能表!$C$2:$C$1210&amp;D_技能表!$E$2:$E$1210,D_技能表!$W$2:$W$1210),2,FALSE),0)</f>
        <v>0</v>
      </c>
      <c r="AQ8">
        <f t="array" aca="1" ref="AQ8" ca="1">IFERROR(VLOOKUP($AN$5&amp;$C8,CHOOSE({1,2},D_技能表!$C$2:$C$1210&amp;D_技能表!$E$2:$E$1210,D_技能表!$Z$2:$Z$1210),2,FALSE),0)</f>
        <v>0</v>
      </c>
      <c r="AR8" s="11">
        <f ca="1">SUM($G$7:G9,$K$7:K9,$O$7:O9,$S$7:S9,$W$7:W9,$AA$7:AA9,$AE$7:AE9,$AI$7:AI9,$AM$7:AM9,$AQ$7:AQ9)</f>
        <v>0</v>
      </c>
      <c r="AS8">
        <f ca="1">SUM($F$7:F9,$J$7:J9,$N$7:N9,$R$7:R9,$V$7:V9,$Z$7:Z9,$AD$7:AD9,$AH$7:AH9,$AL$7:AL9,$AP$7:AP9)</f>
        <v>0</v>
      </c>
      <c r="AT8">
        <f t="shared" ref="AT8:AT71" ca="1" si="1">F8+J8+N8+R8+V8+Z8+AD8+AH8+AL8+AP8</f>
        <v>0</v>
      </c>
      <c r="AU8" s="33">
        <f ca="1">SUM($AX$7:AX8,$BB$7:BB8,$BF$7:BF8,$BJ$7:BJ8)</f>
        <v>0</v>
      </c>
      <c r="AV8">
        <v>2</v>
      </c>
      <c r="AW8">
        <f t="array" ref="AW8">IFERROR(VLOOKUP(AW$5&amp;$AV8,CHOOSE({1,2},D_技能表CD!$C$2:$C$313&amp;D_技能表CD!$E$2:$E$313,D_技能表CD!$I$2:$I$313),2,FALSE),0)</f>
        <v>1</v>
      </c>
      <c r="AX8">
        <f t="array" aca="1" ref="AX8" ca="1">IFERROR(VLOOKUP(AW$5&amp;$AV8,CHOOSE({1,2},D_技能表CD!$C$2:$C$313&amp;D_技能表CD!$E$2:$E$313,D_技能表CD!$H$2:$H$313),2,FALSE),0)</f>
        <v>0</v>
      </c>
      <c r="AY8">
        <f t="array" aca="1" ref="AY8" ca="1">IFERROR(VLOOKUP(AW$5&amp;$AV8,CHOOSE({1,2},D_技能表CD!$C$2:$C$313&amp;D_技能表CD!$E$2:$E$313,D_技能表CD!$L$2:$L$313),2,FALSE),0)</f>
        <v>0</v>
      </c>
      <c r="AZ8">
        <f t="array" ref="AZ8">IFERROR(VLOOKUP(AW$5&amp;$AV8,CHOOSE({1,2},D_技能表CD!$C$2:$C$313&amp;D_技能表CD!$E$2:$E$313,D_技能表CD!$K$2:$K$313),2,FALSE),0)</f>
        <v>0</v>
      </c>
      <c r="BA8">
        <f t="array" ref="BA8">IFERROR(VLOOKUP(BA$5&amp;$AV8,CHOOSE({1,2},D_技能表CD!$C$2:$C$313&amp;D_技能表CD!$E$2:$E$313,D_技能表CD!$I$2:$I$313),2,FALSE),0)</f>
        <v>0</v>
      </c>
      <c r="BB8">
        <f t="array" aca="1" ref="BB8" ca="1">IFERROR(VLOOKUP(BA$5&amp;$AV8,CHOOSE({1,2},D_技能表CD!$C$2:$C$313&amp;D_技能表CD!$E$2:$E$313,D_技能表CD!$H$2:$H$313),2,FALSE),0)</f>
        <v>0</v>
      </c>
      <c r="BC8">
        <f t="array" aca="1" ref="BC8" ca="1">IFERROR(VLOOKUP(BA$5&amp;$AV8,CHOOSE({1,2},D_技能表CD!$C$2:$C$313&amp;D_技能表CD!$E$2:$E$313,D_技能表CD!$L$2:$L$313),2,FALSE),0)</f>
        <v>0</v>
      </c>
      <c r="BD8">
        <f t="array" aca="1" ref="BD8" ca="1">IFERROR(VLOOKUP(BA$5&amp;$AV8,CHOOSE({1,2},D_技能表CD!$C$2:$C$313&amp;D_技能表CD!$E$2:$E$313,D_技能表CD!$K$2:$K$313),2,FALSE),0)</f>
        <v>0</v>
      </c>
      <c r="BE8">
        <f t="array" ref="BE8">IFERROR(VLOOKUP(BE$5&amp;$AV8,CHOOSE({1,2},D_技能表CD!$C$2:$C$313&amp;D_技能表CD!$E$2:$E$313,D_技能表CD!$I$2:$I$313),2,FALSE),0)</f>
        <v>0</v>
      </c>
      <c r="BF8">
        <f t="array" aca="1" ref="BF8" ca="1">IFERROR(VLOOKUP(BE$5&amp;$AV8,CHOOSE({1,2},D_技能表CD!$C$2:$C$313&amp;D_技能表CD!$E$2:$E$313,D_技能表CD!$H$2:$H$313),2,FALSE),0)</f>
        <v>0</v>
      </c>
      <c r="BG8">
        <f t="array" aca="1" ref="BG8" ca="1">IFERROR(VLOOKUP(BE$5&amp;$AV8,CHOOSE({1,2},D_技能表CD!$C$2:$C$313&amp;D_技能表CD!$E$2:$E$313,D_技能表CD!$L$2:$L$313),2,FALSE),0)</f>
        <v>0</v>
      </c>
      <c r="BH8">
        <f t="array" aca="1" ref="BH8" ca="1">IFERROR(VLOOKUP(BE$5&amp;$AV8,CHOOSE({1,2},D_技能表CD!$C$2:$C$313&amp;D_技能表CD!$E$2:$E$313,D_技能表CD!$K$2:$K$313),2,FALSE),0)</f>
        <v>0</v>
      </c>
      <c r="BI8">
        <f t="array" ref="BI8">IFERROR(VLOOKUP(BI$5&amp;$AV8,CHOOSE({1,2},D_技能表CD!$C$2:$C$313&amp;D_技能表CD!$E$2:$E$313,D_技能表CD!$I$2:$I$313),2,FALSE),0)</f>
        <v>0</v>
      </c>
      <c r="BJ8">
        <f t="array" aca="1" ref="BJ8" ca="1">IFERROR(VLOOKUP(BI$5&amp;$AV8,CHOOSE({1,2},D_技能表CD!$C$2:$C$313&amp;D_技能表CD!$E$2:$E$313,D_技能表CD!$H$2:$H$313),2,FALSE),0)</f>
        <v>0</v>
      </c>
      <c r="BK8">
        <f t="array" aca="1" ref="BK8" ca="1">IFERROR(VLOOKUP(BI$5&amp;$AV8,CHOOSE({1,2},D_技能表CD!$C$2:$C$313&amp;D_技能表CD!$E$2:$E$313,D_技能表CD!$L$2:$L$313),2,FALSE),0)</f>
        <v>0</v>
      </c>
      <c r="BL8">
        <f t="array" aca="1" ref="BL8" ca="1">IFERROR(VLOOKUP(BI$5&amp;$AV8,CHOOSE({1,2},D_技能表CD!$C$2:$C$313&amp;D_技能表CD!$E$2:$E$313,D_技能表CD!$K$2:$K$313),2,FALSE),0)</f>
        <v>0</v>
      </c>
    </row>
    <row r="9" spans="1:64" x14ac:dyDescent="0.15">
      <c r="A9">
        <f t="shared" ca="1" si="0"/>
        <v>0</v>
      </c>
      <c r="B9" s="33">
        <f ca="1">SUM($E$7:E9,$I$7:I9,$M$7:M9,$Q$7:Q9,$U$7:U9,$Y$7:Y9,$AC$7:AC9,$AG$7:AG9,$AK$7:AK9,$AO$7:AO9)</f>
        <v>0</v>
      </c>
      <c r="C9">
        <v>3</v>
      </c>
      <c r="D9">
        <f t="array" aca="1" ref="D9" ca="1">IFERROR(VLOOKUP($D$5&amp;C9,CHOOSE({1,2},D_技能表!$C$2:$C$1210&amp;D_技能表!$E$2:$E$1210,D_技能表!$I$2:$I$1210),2,FALSE),0)</f>
        <v>0</v>
      </c>
      <c r="E9">
        <f t="array" aca="1" ref="E9" ca="1">IFERROR(VLOOKUP($D$5&amp;$C9,CHOOSE({1,2},D_技能表!$C$2:$C$1210&amp;D_技能表!$E$2:$E$1210,D_技能表!$N$2:$N$1210),2,FALSE),0)</f>
        <v>0</v>
      </c>
      <c r="F9">
        <f t="array" aca="1" ref="F9" ca="1">IFERROR(VLOOKUP($D$5&amp;$C9,CHOOSE({1,2},D_技能表!$C$2:$C$1210&amp;D_技能表!$E$2:$E$1210,D_技能表!$W$2:$W$1210),2,FALSE),0)</f>
        <v>0</v>
      </c>
      <c r="G9">
        <f t="array" aca="1" ref="G9" ca="1">IFERROR(VLOOKUP($D$5&amp;$C9,CHOOSE({1,2},D_技能表!$C$2:$C$1210&amp;D_技能表!$E$2:$E$1210,D_技能表!$Z$2:$Z$1210),2,FALSE),0)</f>
        <v>0</v>
      </c>
      <c r="H9">
        <f t="array" aca="1" ref="H9" ca="1">IFERROR(VLOOKUP($H$5&amp;$C9,CHOOSE({1,2},D_技能表!$C$2:$C$1210&amp;D_技能表!$E$2:$E$1210,D_技能表!$I$2:$I$1210),2,FALSE),0)</f>
        <v>0</v>
      </c>
      <c r="I9">
        <f t="array" aca="1" ref="I9" ca="1">IFERROR(VLOOKUP($H$5&amp;$C9,CHOOSE({1,2},D_技能表!$C$2:$C$1210&amp;D_技能表!$E$2:$E$1210,D_技能表!$N$2:$N$1210),2,FALSE),0)</f>
        <v>0</v>
      </c>
      <c r="J9">
        <f t="array" aca="1" ref="J9" ca="1">IFERROR(VLOOKUP($H$5&amp;$C9,CHOOSE({1,2},D_技能表!$C$2:$C$1210&amp;D_技能表!$E$2:$E$1210,D_技能表!$W$2:$W$1210),2,FALSE),0)</f>
        <v>0</v>
      </c>
      <c r="K9">
        <f t="array" aca="1" ref="K9" ca="1">IFERROR(VLOOKUP($H$5&amp;$C9,CHOOSE({1,2},D_技能表!$C$2:$C$1210&amp;D_技能表!$E$2:$E$1210,D_技能表!$Z$2:$Z$1210),2,FALSE),0)</f>
        <v>0</v>
      </c>
      <c r="L9">
        <f t="array" aca="1" ref="L9" ca="1">IFERROR(VLOOKUP($L$5&amp;$C9,CHOOSE({1,2},D_技能表!$C$2:$C$1210&amp;D_技能表!$E$2:$E$1210,D_技能表!$I$2:$I$1210),2,FALSE),0)</f>
        <v>0</v>
      </c>
      <c r="M9">
        <f t="array" aca="1" ref="M9" ca="1">IFERROR(VLOOKUP($L$5&amp;$C9,CHOOSE({1,2},D_技能表!$C$2:$C$1210&amp;D_技能表!$E$2:$E$1210,D_技能表!$N$2:$N$1210),2,FALSE),0)</f>
        <v>0</v>
      </c>
      <c r="N9">
        <f t="array" aca="1" ref="N9" ca="1">IFERROR(VLOOKUP($L$5&amp;$C9,CHOOSE({1,2},D_技能表!$C$2:$C$1210&amp;D_技能表!$E$2:$E$1210,D_技能表!$W$2:$W$1210),2,FALSE),0)</f>
        <v>0</v>
      </c>
      <c r="O9">
        <f t="array" aca="1" ref="O9" ca="1">IFERROR(VLOOKUP($L$5&amp;$C9,CHOOSE({1,2},D_技能表!$C$2:$C$1210&amp;D_技能表!$E$2:$E$1210,D_技能表!$Z$2:$Z$1210),2,FALSE),0)</f>
        <v>0</v>
      </c>
      <c r="P9">
        <f t="array" aca="1" ref="P9" ca="1">IFERROR(VLOOKUP($P$5&amp;$C9,CHOOSE({1,2},D_技能表!$C$2:$C$1210&amp;D_技能表!$E$2:$E$1210,D_技能表!$I$2:$I$1210),2,FALSE),0)</f>
        <v>0</v>
      </c>
      <c r="Q9">
        <f t="array" aca="1" ref="Q9" ca="1">IFERROR(VLOOKUP($P$5&amp;$C9,CHOOSE({1,2},D_技能表!$C$2:$C$1210&amp;D_技能表!$E$2:$E$1210,D_技能表!$N$2:$N$1210),2,FALSE),0)</f>
        <v>0</v>
      </c>
      <c r="R9">
        <f t="array" aca="1" ref="R9" ca="1">IFERROR(VLOOKUP($P$5&amp;$C9,CHOOSE({1,2},D_技能表!$C$2:$C$1210&amp;D_技能表!$E$2:$E$1210,D_技能表!$W$2:$W$1210),2,FALSE),0)</f>
        <v>0</v>
      </c>
      <c r="S9">
        <f t="array" aca="1" ref="S9" ca="1">IFERROR(VLOOKUP($P$5&amp;$C9,CHOOSE({1,2},D_技能表!$C$2:$C$1210&amp;D_技能表!$E$2:$E$1210,D_技能表!$Z$2:$Z$1210),2,FALSE),0)</f>
        <v>0</v>
      </c>
      <c r="T9">
        <f t="array" aca="1" ref="T9" ca="1">IFERROR(VLOOKUP($T$5&amp;$C9,CHOOSE({1,2},D_技能表!$C$2:$C$1210&amp;D_技能表!$E$2:$E$1210,D_技能表!$I$2:$I$1210),2,FALSE),0)</f>
        <v>0</v>
      </c>
      <c r="U9">
        <f t="array" aca="1" ref="U9" ca="1">IFERROR(VLOOKUP($T$5&amp;$C9,CHOOSE({1,2},D_技能表!$C$2:$C$1210&amp;D_技能表!$E$2:$E$1210,D_技能表!$N$2:$N$1210),2,FALSE),0)</f>
        <v>0</v>
      </c>
      <c r="V9">
        <f t="array" aca="1" ref="V9" ca="1">IFERROR(VLOOKUP($T$5&amp;$C9,CHOOSE({1,2},D_技能表!$C$2:$C$1210&amp;D_技能表!$E$2:$E$1210,D_技能表!$W$2:$W$1210),2,FALSE),0)</f>
        <v>0</v>
      </c>
      <c r="W9">
        <f t="array" aca="1" ref="W9" ca="1">IFERROR(VLOOKUP($T$5&amp;$C9,CHOOSE({1,2},D_技能表!$C$2:$C$1210&amp;D_技能表!$E$2:$E$1210,D_技能表!$Z$2:$Z$1210),2,FALSE),0)</f>
        <v>0</v>
      </c>
      <c r="X9">
        <f t="array" aca="1" ref="X9" ca="1">IFERROR(VLOOKUP($X$5&amp;$C9,CHOOSE({1,2},D_技能表!$C$2:$C$1210&amp;D_技能表!$E$2:$E$1210,D_技能表!$I$2:$I$1210),2,FALSE),0)</f>
        <v>0</v>
      </c>
      <c r="Y9">
        <f t="array" aca="1" ref="Y9" ca="1">IFERROR(VLOOKUP($X$5&amp;$C9,CHOOSE({1,2},D_技能表!$C$2:$C$1210&amp;D_技能表!$E$2:$E$1210,D_技能表!$N$2:$N$1210),2,FALSE),0)</f>
        <v>0</v>
      </c>
      <c r="Z9">
        <f t="array" aca="1" ref="Z9" ca="1">IFERROR(VLOOKUP($X$5&amp;$C9,CHOOSE({1,2},D_技能表!$C$2:$C$1210&amp;D_技能表!$E$2:$E$1210,D_技能表!$W$2:$W$1210),2,FALSE),0)</f>
        <v>0</v>
      </c>
      <c r="AA9">
        <f t="array" aca="1" ref="AA9" ca="1">IFERROR(VLOOKUP($X$5&amp;$C9,CHOOSE({1,2},D_技能表!$C$2:$C$1210&amp;D_技能表!$E$2:$E$1210,D_技能表!$Z$2:$Z$1210),2,FALSE),0)</f>
        <v>0</v>
      </c>
      <c r="AB9">
        <f t="array" aca="1" ref="AB9" ca="1">IFERROR(VLOOKUP($AB$5&amp;$C9,CHOOSE({1,2},D_技能表!$C$2:$C$1210&amp;D_技能表!$E$2:$E$1210,D_技能表!$I$2:$I$1210),2,FALSE),0)</f>
        <v>0</v>
      </c>
      <c r="AC9">
        <f t="array" aca="1" ref="AC9" ca="1">IFERROR(VLOOKUP($AB$5&amp;$C9,CHOOSE({1,2},D_技能表!$C$2:$C$1210&amp;D_技能表!$E$2:$E$1210,D_技能表!$N$2:$N$1210),2,FALSE),0)</f>
        <v>0</v>
      </c>
      <c r="AD9">
        <f t="array" aca="1" ref="AD9" ca="1">IFERROR(VLOOKUP($AB$5&amp;$C9,CHOOSE({1,2},D_技能表!$C$2:$C$1210&amp;D_技能表!$E$2:$E$1210,D_技能表!$W$2:$W$1210),2,FALSE),0)</f>
        <v>0</v>
      </c>
      <c r="AE9">
        <f t="array" aca="1" ref="AE9" ca="1">IFERROR(VLOOKUP($AB$5&amp;$C9,CHOOSE({1,2},D_技能表!$C$2:$C$1210&amp;D_技能表!$E$2:$E$1210,D_技能表!$Z$2:$Z$1210),2,FALSE),0)</f>
        <v>0</v>
      </c>
      <c r="AF9">
        <f t="array" aca="1" ref="AF9" ca="1">IFERROR(VLOOKUP($AF$5&amp;$C9,CHOOSE({1,2},D_技能表!$C$2:$C$1210&amp;D_技能表!$E$2:$E$1210,D_技能表!$I$2:$I$1210),2,FALSE),0)</f>
        <v>0</v>
      </c>
      <c r="AG9">
        <f t="array" aca="1" ref="AG9" ca="1">IFERROR(VLOOKUP($AF$5&amp;$C9,CHOOSE({1,2},D_技能表!$C$2:$C$1210&amp;D_技能表!$E$2:$E$1210,D_技能表!$N$2:$N$1210),2,FALSE),0)</f>
        <v>0</v>
      </c>
      <c r="AH9">
        <f t="array" aca="1" ref="AH9" ca="1">IFERROR(VLOOKUP($AF$5&amp;$C9,CHOOSE({1,2},D_技能表!$C$2:$C$1210&amp;D_技能表!$E$2:$E$1210,D_技能表!$W$2:$W$1210),2,FALSE),0)</f>
        <v>0</v>
      </c>
      <c r="AI9">
        <f t="array" aca="1" ref="AI9" ca="1">IFERROR(VLOOKUP($AF$5&amp;$C9,CHOOSE({1,2},D_技能表!$C$2:$C$1210&amp;D_技能表!$E$2:$E$1210,D_技能表!$Z$2:$Z$1210),2,FALSE),0)</f>
        <v>0</v>
      </c>
      <c r="AJ9">
        <f t="array" aca="1" ref="AJ9" ca="1">IFERROR(VLOOKUP($AJ$5&amp;$C9,CHOOSE({1,2},D_技能表!$C$2:$C$1210&amp;D_技能表!$E$2:$E$1210,D_技能表!$I$2:$I$1210),2,FALSE),0)</f>
        <v>0</v>
      </c>
      <c r="AK9">
        <f t="array" aca="1" ref="AK9" ca="1">IFERROR(VLOOKUP($AJ$5&amp;$C9,CHOOSE({1,2},D_技能表!$C$2:$C$1210&amp;D_技能表!$E$2:$E$1210,D_技能表!$N$2:$N$1210),2,FALSE),0)</f>
        <v>0</v>
      </c>
      <c r="AL9">
        <f t="array" aca="1" ref="AL9" ca="1">IFERROR(VLOOKUP($AJ$5&amp;$C9,CHOOSE({1,2},D_技能表!$C$2:$C$1210&amp;D_技能表!$E$2:$E$1210,D_技能表!$W$2:$W$1210),2,FALSE),0)</f>
        <v>0</v>
      </c>
      <c r="AM9">
        <f t="array" aca="1" ref="AM9" ca="1">IFERROR(VLOOKUP($AJ$5&amp;$C9,CHOOSE({1,2},D_技能表!$C$2:$C$1210&amp;D_技能表!$E$2:$E$1210,D_技能表!$Z$2:$Z$1210),2,FALSE),0)</f>
        <v>0</v>
      </c>
      <c r="AN9">
        <f t="array" aca="1" ref="AN9" ca="1">IFERROR(VLOOKUP($AN$5&amp;$C9,CHOOSE({1,2},D_技能表!$C$2:$C$1210&amp;D_技能表!$E$2:$E$1210,D_技能表!$I$2:$I$1210),2,FALSE),0)</f>
        <v>0</v>
      </c>
      <c r="AO9">
        <f t="array" aca="1" ref="AO9" ca="1">IFERROR(VLOOKUP($AN$5&amp;$C9,CHOOSE({1,2},D_技能表!$C$2:$C$1210&amp;D_技能表!$E$2:$E$1210,D_技能表!$N$2:$N$1210),2,FALSE),0)</f>
        <v>0</v>
      </c>
      <c r="AP9">
        <f t="array" aca="1" ref="AP9" ca="1">IFERROR(VLOOKUP($AN$5&amp;$C9,CHOOSE({1,2},D_技能表!$C$2:$C$1210&amp;D_技能表!$E$2:$E$1210,D_技能表!$W$2:$W$1210),2,FALSE),0)</f>
        <v>0</v>
      </c>
      <c r="AQ9">
        <f t="array" aca="1" ref="AQ9" ca="1">IFERROR(VLOOKUP($AN$5&amp;$C9,CHOOSE({1,2},D_技能表!$C$2:$C$1210&amp;D_技能表!$E$2:$E$1210,D_技能表!$Z$2:$Z$1210),2,FALSE),0)</f>
        <v>0</v>
      </c>
      <c r="AR9" s="11">
        <f ca="1">SUM($G$7:G10,$K$7:K10,$O$7:O10,$S$7:S10,$W$7:W10,$AA$7:AA10,$AE$7:AE10,$AI$7:AI10,$AM$7:AM10,$AQ$7:AQ10)</f>
        <v>0</v>
      </c>
      <c r="AS9">
        <f ca="1">SUM($F$7:F10,$J$7:J10,$N$7:N10,$R$7:R10,$V$7:V10,$Z$7:Z10,$AD$7:AD10,$AH$7:AH10,$AL$7:AL10,$AP$7:AP10)</f>
        <v>0</v>
      </c>
      <c r="AT9">
        <f t="shared" ca="1" si="1"/>
        <v>0</v>
      </c>
      <c r="AU9" s="33">
        <f ca="1">SUM($AX$7:AX9,$BB$7:BB9,$BF$7:BF9,$BJ$7:BJ9)</f>
        <v>0</v>
      </c>
      <c r="AV9">
        <v>3</v>
      </c>
      <c r="AW9">
        <f t="array" ref="AW9">IFERROR(VLOOKUP(AW$5&amp;$AV9,CHOOSE({1,2},D_技能表CD!$C$2:$C$313&amp;D_技能表CD!$E$2:$E$313,D_技能表CD!$I$2:$I$313),2,FALSE),0)</f>
        <v>0</v>
      </c>
      <c r="AX9">
        <f t="array" aca="1" ref="AX9" ca="1">IFERROR(VLOOKUP(AW$5&amp;$AV9,CHOOSE({1,2},D_技能表CD!$C$2:$C$313&amp;D_技能表CD!$E$2:$E$313,D_技能表CD!$H$2:$H$313),2,FALSE),0)</f>
        <v>0</v>
      </c>
      <c r="AY9">
        <f t="array" aca="1" ref="AY9" ca="1">IFERROR(VLOOKUP(AW$5&amp;$AV9,CHOOSE({1,2},D_技能表CD!$C$2:$C$313&amp;D_技能表CD!$E$2:$E$313,D_技能表CD!$L$2:$L$313),2,FALSE),0)</f>
        <v>0</v>
      </c>
      <c r="AZ9">
        <f t="array" aca="1" ref="AZ9" ca="1">IFERROR(VLOOKUP(AW$5&amp;$AV9,CHOOSE({1,2},D_技能表CD!$C$2:$C$313&amp;D_技能表CD!$E$2:$E$313,D_技能表CD!$K$2:$K$313),2,FALSE),0)</f>
        <v>0</v>
      </c>
      <c r="BA9">
        <f t="array" ref="BA9">IFERROR(VLOOKUP(BA$5&amp;$AV9,CHOOSE({1,2},D_技能表CD!$C$2:$C$313&amp;D_技能表CD!$E$2:$E$313,D_技能表CD!$I$2:$I$313),2,FALSE),0)</f>
        <v>0</v>
      </c>
      <c r="BB9">
        <f t="array" aca="1" ref="BB9" ca="1">IFERROR(VLOOKUP(BA$5&amp;$AV9,CHOOSE({1,2},D_技能表CD!$C$2:$C$313&amp;D_技能表CD!$E$2:$E$313,D_技能表CD!$H$2:$H$313),2,FALSE),0)</f>
        <v>0</v>
      </c>
      <c r="BC9">
        <f t="array" aca="1" ref="BC9" ca="1">IFERROR(VLOOKUP(BA$5&amp;$AV9,CHOOSE({1,2},D_技能表CD!$C$2:$C$313&amp;D_技能表CD!$E$2:$E$313,D_技能表CD!$L$2:$L$313),2,FALSE),0)</f>
        <v>0</v>
      </c>
      <c r="BD9">
        <f t="array" aca="1" ref="BD9" ca="1">IFERROR(VLOOKUP(BA$5&amp;$AV9,CHOOSE({1,2},D_技能表CD!$C$2:$C$313&amp;D_技能表CD!$E$2:$E$313,D_技能表CD!$K$2:$K$313),2,FALSE),0)</f>
        <v>0</v>
      </c>
      <c r="BE9">
        <f t="array" ref="BE9">IFERROR(VLOOKUP(BE$5&amp;$AV9,CHOOSE({1,2},D_技能表CD!$C$2:$C$313&amp;D_技能表CD!$E$2:$E$313,D_技能表CD!$I$2:$I$313),2,FALSE),0)</f>
        <v>0</v>
      </c>
      <c r="BF9">
        <f t="array" aca="1" ref="BF9" ca="1">IFERROR(VLOOKUP(BE$5&amp;$AV9,CHOOSE({1,2},D_技能表CD!$C$2:$C$313&amp;D_技能表CD!$E$2:$E$313,D_技能表CD!$H$2:$H$313),2,FALSE),0)</f>
        <v>0</v>
      </c>
      <c r="BG9">
        <f t="array" aca="1" ref="BG9" ca="1">IFERROR(VLOOKUP(BE$5&amp;$AV9,CHOOSE({1,2},D_技能表CD!$C$2:$C$313&amp;D_技能表CD!$E$2:$E$313,D_技能表CD!$L$2:$L$313),2,FALSE),0)</f>
        <v>0</v>
      </c>
      <c r="BH9">
        <f t="array" aca="1" ref="BH9" ca="1">IFERROR(VLOOKUP(BE$5&amp;$AV9,CHOOSE({1,2},D_技能表CD!$C$2:$C$313&amp;D_技能表CD!$E$2:$E$313,D_技能表CD!$K$2:$K$313),2,FALSE),0)</f>
        <v>0</v>
      </c>
      <c r="BI9">
        <f t="array" ref="BI9">IFERROR(VLOOKUP(BI$5&amp;$AV9,CHOOSE({1,2},D_技能表CD!$C$2:$C$313&amp;D_技能表CD!$E$2:$E$313,D_技能表CD!$I$2:$I$313),2,FALSE),0)</f>
        <v>0</v>
      </c>
      <c r="BJ9">
        <f t="array" aca="1" ref="BJ9" ca="1">IFERROR(VLOOKUP(BI$5&amp;$AV9,CHOOSE({1,2},D_技能表CD!$C$2:$C$313&amp;D_技能表CD!$E$2:$E$313,D_技能表CD!$H$2:$H$313),2,FALSE),0)</f>
        <v>0</v>
      </c>
      <c r="BK9">
        <f t="array" aca="1" ref="BK9" ca="1">IFERROR(VLOOKUP(BI$5&amp;$AV9,CHOOSE({1,2},D_技能表CD!$C$2:$C$313&amp;D_技能表CD!$E$2:$E$313,D_技能表CD!$L$2:$L$313),2,FALSE),0)</f>
        <v>0</v>
      </c>
      <c r="BL9">
        <f t="array" aca="1" ref="BL9" ca="1">IFERROR(VLOOKUP(BI$5&amp;$AV9,CHOOSE({1,2},D_技能表CD!$C$2:$C$313&amp;D_技能表CD!$E$2:$E$313,D_技能表CD!$K$2:$K$313),2,FALSE),0)</f>
        <v>0</v>
      </c>
    </row>
    <row r="10" spans="1:64" x14ac:dyDescent="0.15">
      <c r="A10">
        <f t="shared" ca="1" si="0"/>
        <v>600</v>
      </c>
      <c r="B10" s="33">
        <f ca="1">SUM($E$7:E10,$I$7:I10,$M$7:M10,$Q$7:Q10,$U$7:U10,$Y$7:Y10,$AC$7:AC10,$AG$7:AG10,$AK$7:AK10,$AO$7:AO10)</f>
        <v>0</v>
      </c>
      <c r="C10">
        <v>4</v>
      </c>
      <c r="D10">
        <f t="array" aca="1" ref="D10" ca="1">IFERROR(VLOOKUP($D$5&amp;C10,CHOOSE({1,2},D_技能表!$C$2:$C$1210&amp;D_技能表!$E$2:$E$1210,D_技能表!$I$2:$I$1210),2,FALSE),0)</f>
        <v>0</v>
      </c>
      <c r="E10">
        <f t="array" aca="1" ref="E10" ca="1">IFERROR(VLOOKUP($D$5&amp;$C10,CHOOSE({1,2},D_技能表!$C$2:$C$1210&amp;D_技能表!$E$2:$E$1210,D_技能表!$N$2:$N$1210),2,FALSE),0)</f>
        <v>0</v>
      </c>
      <c r="F10">
        <f t="array" aca="1" ref="F10" ca="1">IFERROR(VLOOKUP($D$5&amp;$C10,CHOOSE({1,2},D_技能表!$C$2:$C$1210&amp;D_技能表!$E$2:$E$1210,D_技能表!$W$2:$W$1210),2,FALSE),0)</f>
        <v>0</v>
      </c>
      <c r="G10">
        <f t="array" aca="1" ref="G10" ca="1">IFERROR(VLOOKUP($D$5&amp;$C10,CHOOSE({1,2},D_技能表!$C$2:$C$1210&amp;D_技能表!$E$2:$E$1210,D_技能表!$Z$2:$Z$1210),2,FALSE),0)</f>
        <v>0</v>
      </c>
      <c r="H10">
        <f t="array" aca="1" ref="H10" ca="1">IFERROR(VLOOKUP($H$5&amp;$C10,CHOOSE({1,2},D_技能表!$C$2:$C$1210&amp;D_技能表!$E$2:$E$1210,D_技能表!$I$2:$I$1210),2,FALSE),0)</f>
        <v>0</v>
      </c>
      <c r="I10">
        <f t="array" aca="1" ref="I10" ca="1">IFERROR(VLOOKUP($H$5&amp;$C10,CHOOSE({1,2},D_技能表!$C$2:$C$1210&amp;D_技能表!$E$2:$E$1210,D_技能表!$N$2:$N$1210),2,FALSE),0)</f>
        <v>0</v>
      </c>
      <c r="J10">
        <f t="array" aca="1" ref="J10" ca="1">IFERROR(VLOOKUP($H$5&amp;$C10,CHOOSE({1,2},D_技能表!$C$2:$C$1210&amp;D_技能表!$E$2:$E$1210,D_技能表!$W$2:$W$1210),2,FALSE),0)</f>
        <v>0</v>
      </c>
      <c r="K10">
        <f t="array" aca="1" ref="K10" ca="1">IFERROR(VLOOKUP($H$5&amp;$C10,CHOOSE({1,2},D_技能表!$C$2:$C$1210&amp;D_技能表!$E$2:$E$1210,D_技能表!$Z$2:$Z$1210),2,FALSE),0)</f>
        <v>0</v>
      </c>
      <c r="L10">
        <f t="array" aca="1" ref="L10" ca="1">IFERROR(VLOOKUP($L$5&amp;$C10,CHOOSE({1,2},D_技能表!$C$2:$C$1210&amp;D_技能表!$E$2:$E$1210,D_技能表!$I$2:$I$1210),2,FALSE),0)</f>
        <v>0</v>
      </c>
      <c r="M10">
        <f t="array" aca="1" ref="M10" ca="1">IFERROR(VLOOKUP($L$5&amp;$C10,CHOOSE({1,2},D_技能表!$C$2:$C$1210&amp;D_技能表!$E$2:$E$1210,D_技能表!$N$2:$N$1210),2,FALSE),0)</f>
        <v>0</v>
      </c>
      <c r="N10">
        <f t="array" aca="1" ref="N10" ca="1">IFERROR(VLOOKUP($L$5&amp;$C10,CHOOSE({1,2},D_技能表!$C$2:$C$1210&amp;D_技能表!$E$2:$E$1210,D_技能表!$W$2:$W$1210),2,FALSE),0)</f>
        <v>0</v>
      </c>
      <c r="O10">
        <f t="array" aca="1" ref="O10" ca="1">IFERROR(VLOOKUP($L$5&amp;$C10,CHOOSE({1,2},D_技能表!$C$2:$C$1210&amp;D_技能表!$E$2:$E$1210,D_技能表!$Z$2:$Z$1210),2,FALSE),0)</f>
        <v>0</v>
      </c>
      <c r="P10">
        <f t="array" aca="1" ref="P10" ca="1">IFERROR(VLOOKUP($P$5&amp;$C10,CHOOSE({1,2},D_技能表!$C$2:$C$1210&amp;D_技能表!$E$2:$E$1210,D_技能表!$I$2:$I$1210),2,FALSE),0)</f>
        <v>0</v>
      </c>
      <c r="Q10">
        <f t="array" aca="1" ref="Q10" ca="1">IFERROR(VLOOKUP($P$5&amp;$C10,CHOOSE({1,2},D_技能表!$C$2:$C$1210&amp;D_技能表!$E$2:$E$1210,D_技能表!$N$2:$N$1210),2,FALSE),0)</f>
        <v>0</v>
      </c>
      <c r="R10">
        <f t="array" aca="1" ref="R10" ca="1">IFERROR(VLOOKUP($P$5&amp;$C10,CHOOSE({1,2},D_技能表!$C$2:$C$1210&amp;D_技能表!$E$2:$E$1210,D_技能表!$W$2:$W$1210),2,FALSE),0)</f>
        <v>0</v>
      </c>
      <c r="S10">
        <f t="array" aca="1" ref="S10" ca="1">IFERROR(VLOOKUP($P$5&amp;$C10,CHOOSE({1,2},D_技能表!$C$2:$C$1210&amp;D_技能表!$E$2:$E$1210,D_技能表!$Z$2:$Z$1210),2,FALSE),0)</f>
        <v>0</v>
      </c>
      <c r="T10">
        <f t="array" aca="1" ref="T10" ca="1">IFERROR(VLOOKUP($T$5&amp;$C10,CHOOSE({1,2},D_技能表!$C$2:$C$1210&amp;D_技能表!$E$2:$E$1210,D_技能表!$I$2:$I$1210),2,FALSE),0)</f>
        <v>0</v>
      </c>
      <c r="U10">
        <f t="array" aca="1" ref="U10" ca="1">IFERROR(VLOOKUP($T$5&amp;$C10,CHOOSE({1,2},D_技能表!$C$2:$C$1210&amp;D_技能表!$E$2:$E$1210,D_技能表!$N$2:$N$1210),2,FALSE),0)</f>
        <v>0</v>
      </c>
      <c r="V10">
        <f t="array" aca="1" ref="V10" ca="1">IFERROR(VLOOKUP($T$5&amp;$C10,CHOOSE({1,2},D_技能表!$C$2:$C$1210&amp;D_技能表!$E$2:$E$1210,D_技能表!$W$2:$W$1210),2,FALSE),0)</f>
        <v>0</v>
      </c>
      <c r="W10">
        <f t="array" aca="1" ref="W10" ca="1">IFERROR(VLOOKUP($T$5&amp;$C10,CHOOSE({1,2},D_技能表!$C$2:$C$1210&amp;D_技能表!$E$2:$E$1210,D_技能表!$Z$2:$Z$1210),2,FALSE),0)</f>
        <v>0</v>
      </c>
      <c r="X10">
        <f t="array" aca="1" ref="X10" ca="1">IFERROR(VLOOKUP($X$5&amp;$C10,CHOOSE({1,2},D_技能表!$C$2:$C$1210&amp;D_技能表!$E$2:$E$1210,D_技能表!$I$2:$I$1210),2,FALSE),0)</f>
        <v>0</v>
      </c>
      <c r="Y10">
        <f t="array" aca="1" ref="Y10" ca="1">IFERROR(VLOOKUP($X$5&amp;$C10,CHOOSE({1,2},D_技能表!$C$2:$C$1210&amp;D_技能表!$E$2:$E$1210,D_技能表!$N$2:$N$1210),2,FALSE),0)</f>
        <v>0</v>
      </c>
      <c r="Z10">
        <f t="array" aca="1" ref="Z10" ca="1">IFERROR(VLOOKUP($X$5&amp;$C10,CHOOSE({1,2},D_技能表!$C$2:$C$1210&amp;D_技能表!$E$2:$E$1210,D_技能表!$W$2:$W$1210),2,FALSE),0)</f>
        <v>0</v>
      </c>
      <c r="AA10">
        <f t="array" aca="1" ref="AA10" ca="1">IFERROR(VLOOKUP($X$5&amp;$C10,CHOOSE({1,2},D_技能表!$C$2:$C$1210&amp;D_技能表!$E$2:$E$1210,D_技能表!$Z$2:$Z$1210),2,FALSE),0)</f>
        <v>0</v>
      </c>
      <c r="AB10">
        <f t="array" aca="1" ref="AB10" ca="1">IFERROR(VLOOKUP($AB$5&amp;$C10,CHOOSE({1,2},D_技能表!$C$2:$C$1210&amp;D_技能表!$E$2:$E$1210,D_技能表!$I$2:$I$1210),2,FALSE),0)</f>
        <v>0</v>
      </c>
      <c r="AC10">
        <f t="array" aca="1" ref="AC10" ca="1">IFERROR(VLOOKUP($AB$5&amp;$C10,CHOOSE({1,2},D_技能表!$C$2:$C$1210&amp;D_技能表!$E$2:$E$1210,D_技能表!$N$2:$N$1210),2,FALSE),0)</f>
        <v>0</v>
      </c>
      <c r="AD10">
        <f t="array" aca="1" ref="AD10" ca="1">IFERROR(VLOOKUP($AB$5&amp;$C10,CHOOSE({1,2},D_技能表!$C$2:$C$1210&amp;D_技能表!$E$2:$E$1210,D_技能表!$W$2:$W$1210),2,FALSE),0)</f>
        <v>0</v>
      </c>
      <c r="AE10">
        <f t="array" aca="1" ref="AE10" ca="1">IFERROR(VLOOKUP($AB$5&amp;$C10,CHOOSE({1,2},D_技能表!$C$2:$C$1210&amp;D_技能表!$E$2:$E$1210,D_技能表!$Z$2:$Z$1210),2,FALSE),0)</f>
        <v>0</v>
      </c>
      <c r="AF10">
        <f t="array" aca="1" ref="AF10" ca="1">IFERROR(VLOOKUP($AF$5&amp;$C10,CHOOSE({1,2},D_技能表!$C$2:$C$1210&amp;D_技能表!$E$2:$E$1210,D_技能表!$I$2:$I$1210),2,FALSE),0)</f>
        <v>0</v>
      </c>
      <c r="AG10">
        <f t="array" aca="1" ref="AG10" ca="1">IFERROR(VLOOKUP($AF$5&amp;$C10,CHOOSE({1,2},D_技能表!$C$2:$C$1210&amp;D_技能表!$E$2:$E$1210,D_技能表!$N$2:$N$1210),2,FALSE),0)</f>
        <v>0</v>
      </c>
      <c r="AH10">
        <f t="array" aca="1" ref="AH10" ca="1">IFERROR(VLOOKUP($AF$5&amp;$C10,CHOOSE({1,2},D_技能表!$C$2:$C$1210&amp;D_技能表!$E$2:$E$1210,D_技能表!$W$2:$W$1210),2,FALSE),0)</f>
        <v>0</v>
      </c>
      <c r="AI10">
        <f t="array" aca="1" ref="AI10" ca="1">IFERROR(VLOOKUP($AF$5&amp;$C10,CHOOSE({1,2},D_技能表!$C$2:$C$1210&amp;D_技能表!$E$2:$E$1210,D_技能表!$Z$2:$Z$1210),2,FALSE),0)</f>
        <v>0</v>
      </c>
      <c r="AJ10">
        <f t="array" aca="1" ref="AJ10" ca="1">IFERROR(VLOOKUP($AJ$5&amp;$C10,CHOOSE({1,2},D_技能表!$C$2:$C$1210&amp;D_技能表!$E$2:$E$1210,D_技能表!$I$2:$I$1210),2,FALSE),0)</f>
        <v>0</v>
      </c>
      <c r="AK10">
        <f t="array" aca="1" ref="AK10" ca="1">IFERROR(VLOOKUP($AJ$5&amp;$C10,CHOOSE({1,2},D_技能表!$C$2:$C$1210&amp;D_技能表!$E$2:$E$1210,D_技能表!$N$2:$N$1210),2,FALSE),0)</f>
        <v>0</v>
      </c>
      <c r="AL10">
        <f t="array" aca="1" ref="AL10" ca="1">IFERROR(VLOOKUP($AJ$5&amp;$C10,CHOOSE({1,2},D_技能表!$C$2:$C$1210&amp;D_技能表!$E$2:$E$1210,D_技能表!$W$2:$W$1210),2,FALSE),0)</f>
        <v>0</v>
      </c>
      <c r="AM10">
        <f t="array" aca="1" ref="AM10" ca="1">IFERROR(VLOOKUP($AJ$5&amp;$C10,CHOOSE({1,2},D_技能表!$C$2:$C$1210&amp;D_技能表!$E$2:$E$1210,D_技能表!$Z$2:$Z$1210),2,FALSE),0)</f>
        <v>0</v>
      </c>
      <c r="AN10">
        <f t="array" aca="1" ref="AN10" ca="1">IFERROR(VLOOKUP($AN$5&amp;$C10,CHOOSE({1,2},D_技能表!$C$2:$C$1210&amp;D_技能表!$E$2:$E$1210,D_技能表!$I$2:$I$1210),2,FALSE),0)</f>
        <v>0</v>
      </c>
      <c r="AO10">
        <f t="array" aca="1" ref="AO10" ca="1">IFERROR(VLOOKUP($AN$5&amp;$C10,CHOOSE({1,2},D_技能表!$C$2:$C$1210&amp;D_技能表!$E$2:$E$1210,D_技能表!$N$2:$N$1210),2,FALSE),0)</f>
        <v>0</v>
      </c>
      <c r="AP10">
        <f t="array" aca="1" ref="AP10" ca="1">IFERROR(VLOOKUP($AN$5&amp;$C10,CHOOSE({1,2},D_技能表!$C$2:$C$1210&amp;D_技能表!$E$2:$E$1210,D_技能表!$W$2:$W$1210),2,FALSE),0)</f>
        <v>0</v>
      </c>
      <c r="AQ10">
        <f t="array" aca="1" ref="AQ10" ca="1">IFERROR(VLOOKUP($AN$5&amp;$C10,CHOOSE({1,2},D_技能表!$C$2:$C$1210&amp;D_技能表!$E$2:$E$1210,D_技能表!$Z$2:$Z$1210),2,FALSE),0)</f>
        <v>0</v>
      </c>
      <c r="AR10" s="11">
        <f ca="1">SUM($G$7:G11,$K$7:K11,$O$7:O11,$S$7:S11,$W$7:W11,$AA$7:AA11,$AE$7:AE11,$AI$7:AI11,$AM$7:AM11,$AQ$7:AQ11)</f>
        <v>0</v>
      </c>
      <c r="AS10">
        <f ca="1">SUM($F$7:F11,$J$7:J11,$N$7:N11,$R$7:R11,$V$7:V11,$Z$7:Z11,$AD$7:AD11,$AH$7:AH11,$AL$7:AL11,$AP$7:AP11)</f>
        <v>0</v>
      </c>
      <c r="AT10">
        <f t="shared" ca="1" si="1"/>
        <v>0</v>
      </c>
      <c r="AU10" s="33">
        <f ca="1">SUM($AX$7:AX10,$BB$7:BB10,$BF$7:BF10,$BJ$7:BJ10)</f>
        <v>600</v>
      </c>
      <c r="AV10">
        <v>4</v>
      </c>
      <c r="AW10">
        <f t="array" ref="AW10">IFERROR(VLOOKUP(AW$5&amp;$AV10,CHOOSE({1,2},D_技能表CD!$C$2:$C$313&amp;D_技能表CD!$E$2:$E$313,D_技能表CD!$I$2:$I$313),2,FALSE),0)</f>
        <v>2</v>
      </c>
      <c r="AX10">
        <f t="array" aca="1" ref="AX10" ca="1">IFERROR(VLOOKUP(AW$5&amp;$AV10,CHOOSE({1,2},D_技能表CD!$C$2:$C$313&amp;D_技能表CD!$E$2:$E$313,D_技能表CD!$H$2:$H$313),2,FALSE),0)</f>
        <v>600</v>
      </c>
      <c r="AY10">
        <f t="array" aca="1" ref="AY10" ca="1">IFERROR(VLOOKUP(AW$5&amp;$AV10,CHOOSE({1,2},D_技能表CD!$C$2:$C$313&amp;D_技能表CD!$E$2:$E$313,D_技能表CD!$L$2:$L$313),2,FALSE),0)</f>
        <v>12</v>
      </c>
      <c r="AZ10">
        <f t="array" ref="AZ10">IFERROR(VLOOKUP(AW$5&amp;$AV10,CHOOSE({1,2},D_技能表CD!$C$2:$C$313&amp;D_技能表CD!$E$2:$E$313,D_技能表CD!$K$2:$K$313),2,FALSE),0)</f>
        <v>0</v>
      </c>
      <c r="BA10">
        <f t="array" ref="BA10">IFERROR(VLOOKUP(BA$5&amp;$AV10,CHOOSE({1,2},D_技能表CD!$C$2:$C$313&amp;D_技能表CD!$E$2:$E$313,D_技能表CD!$I$2:$I$313),2,FALSE),0)</f>
        <v>1</v>
      </c>
      <c r="BB10">
        <f t="array" aca="1" ref="BB10" ca="1">IFERROR(VLOOKUP(BA$5&amp;$AV10,CHOOSE({1,2},D_技能表CD!$C$2:$C$313&amp;D_技能表CD!$E$2:$E$313,D_技能表CD!$H$2:$H$313),2,FALSE),0)</f>
        <v>0</v>
      </c>
      <c r="BC10">
        <f t="array" aca="1" ref="BC10" ca="1">IFERROR(VLOOKUP(BA$5&amp;$AV10,CHOOSE({1,2},D_技能表CD!$C$2:$C$313&amp;D_技能表CD!$E$2:$E$313,D_技能表CD!$L$2:$L$313),2,FALSE),0)</f>
        <v>0</v>
      </c>
      <c r="BD10">
        <f t="array" aca="1" ref="BD10" ca="1">IFERROR(VLOOKUP(BA$5&amp;$AV10,CHOOSE({1,2},D_技能表CD!$C$2:$C$313&amp;D_技能表CD!$E$2:$E$313,D_技能表CD!$K$2:$K$313),2,FALSE),0)</f>
        <v>0</v>
      </c>
      <c r="BE10">
        <f t="array" ref="BE10">IFERROR(VLOOKUP(BE$5&amp;$AV10,CHOOSE({1,2},D_技能表CD!$C$2:$C$313&amp;D_技能表CD!$E$2:$E$313,D_技能表CD!$I$2:$I$313),2,FALSE),0)</f>
        <v>0</v>
      </c>
      <c r="BF10">
        <f t="array" aca="1" ref="BF10" ca="1">IFERROR(VLOOKUP(BE$5&amp;$AV10,CHOOSE({1,2},D_技能表CD!$C$2:$C$313&amp;D_技能表CD!$E$2:$E$313,D_技能表CD!$H$2:$H$313),2,FALSE),0)</f>
        <v>0</v>
      </c>
      <c r="BG10">
        <f t="array" aca="1" ref="BG10" ca="1">IFERROR(VLOOKUP(BE$5&amp;$AV10,CHOOSE({1,2},D_技能表CD!$C$2:$C$313&amp;D_技能表CD!$E$2:$E$313,D_技能表CD!$L$2:$L$313),2,FALSE),0)</f>
        <v>0</v>
      </c>
      <c r="BH10">
        <f t="array" aca="1" ref="BH10" ca="1">IFERROR(VLOOKUP(BE$5&amp;$AV10,CHOOSE({1,2},D_技能表CD!$C$2:$C$313&amp;D_技能表CD!$E$2:$E$313,D_技能表CD!$K$2:$K$313),2,FALSE),0)</f>
        <v>0</v>
      </c>
      <c r="BI10">
        <f t="array" ref="BI10">IFERROR(VLOOKUP(BI$5&amp;$AV10,CHOOSE({1,2},D_技能表CD!$C$2:$C$313&amp;D_技能表CD!$E$2:$E$313,D_技能表CD!$I$2:$I$313),2,FALSE),0)</f>
        <v>0</v>
      </c>
      <c r="BJ10">
        <f t="array" aca="1" ref="BJ10" ca="1">IFERROR(VLOOKUP(BI$5&amp;$AV10,CHOOSE({1,2},D_技能表CD!$C$2:$C$313&amp;D_技能表CD!$E$2:$E$313,D_技能表CD!$H$2:$H$313),2,FALSE),0)</f>
        <v>0</v>
      </c>
      <c r="BK10">
        <f t="array" aca="1" ref="BK10" ca="1">IFERROR(VLOOKUP(BI$5&amp;$AV10,CHOOSE({1,2},D_技能表CD!$C$2:$C$313&amp;D_技能表CD!$E$2:$E$313,D_技能表CD!$L$2:$L$313),2,FALSE),0)</f>
        <v>0</v>
      </c>
      <c r="BL10">
        <f t="array" aca="1" ref="BL10" ca="1">IFERROR(VLOOKUP(BI$5&amp;$AV10,CHOOSE({1,2},D_技能表CD!$C$2:$C$313&amp;D_技能表CD!$E$2:$E$313,D_技能表CD!$K$2:$K$313),2,FALSE),0)</f>
        <v>0</v>
      </c>
    </row>
    <row r="11" spans="1:64" x14ac:dyDescent="0.15">
      <c r="A11">
        <f t="shared" ca="1" si="0"/>
        <v>600</v>
      </c>
      <c r="B11" s="33">
        <f ca="1">SUM($E$7:E11,$I$7:I11,$M$7:M11,$Q$7:Q11,$U$7:U11,$Y$7:Y11,$AC$7:AC11,$AG$7:AG11,$AK$7:AK11,$AO$7:AO11)</f>
        <v>0</v>
      </c>
      <c r="C11">
        <v>5</v>
      </c>
      <c r="D11">
        <f t="array" aca="1" ref="D11" ca="1">IFERROR(VLOOKUP($D$5&amp;C11,CHOOSE({1,2},D_技能表!$C$2:$C$1210&amp;D_技能表!$E$2:$E$1210,D_技能表!$I$2:$I$1210),2,FALSE),0)</f>
        <v>0</v>
      </c>
      <c r="E11">
        <f t="array" aca="1" ref="E11" ca="1">IFERROR(VLOOKUP($D$5&amp;$C11,CHOOSE({1,2},D_技能表!$C$2:$C$1210&amp;D_技能表!$E$2:$E$1210,D_技能表!$N$2:$N$1210),2,FALSE),0)</f>
        <v>0</v>
      </c>
      <c r="F11">
        <f t="array" aca="1" ref="F11" ca="1">IFERROR(VLOOKUP($D$5&amp;$C11,CHOOSE({1,2},D_技能表!$C$2:$C$1210&amp;D_技能表!$E$2:$E$1210,D_技能表!$W$2:$W$1210),2,FALSE),0)</f>
        <v>0</v>
      </c>
      <c r="G11">
        <f t="array" aca="1" ref="G11" ca="1">IFERROR(VLOOKUP($D$5&amp;$C11,CHOOSE({1,2},D_技能表!$C$2:$C$1210&amp;D_技能表!$E$2:$E$1210,D_技能表!$Z$2:$Z$1210),2,FALSE),0)</f>
        <v>0</v>
      </c>
      <c r="H11">
        <f t="array" aca="1" ref="H11" ca="1">IFERROR(VLOOKUP($H$5&amp;$C11,CHOOSE({1,2},D_技能表!$C$2:$C$1210&amp;D_技能表!$E$2:$E$1210,D_技能表!$I$2:$I$1210),2,FALSE),0)</f>
        <v>0</v>
      </c>
      <c r="I11">
        <f t="array" aca="1" ref="I11" ca="1">IFERROR(VLOOKUP($H$5&amp;$C11,CHOOSE({1,2},D_技能表!$C$2:$C$1210&amp;D_技能表!$E$2:$E$1210,D_技能表!$N$2:$N$1210),2,FALSE),0)</f>
        <v>0</v>
      </c>
      <c r="J11">
        <f t="array" aca="1" ref="J11" ca="1">IFERROR(VLOOKUP($H$5&amp;$C11,CHOOSE({1,2},D_技能表!$C$2:$C$1210&amp;D_技能表!$E$2:$E$1210,D_技能表!$W$2:$W$1210),2,FALSE),0)</f>
        <v>0</v>
      </c>
      <c r="K11">
        <f t="array" aca="1" ref="K11" ca="1">IFERROR(VLOOKUP($H$5&amp;$C11,CHOOSE({1,2},D_技能表!$C$2:$C$1210&amp;D_技能表!$E$2:$E$1210,D_技能表!$Z$2:$Z$1210),2,FALSE),0)</f>
        <v>0</v>
      </c>
      <c r="L11">
        <f t="array" aca="1" ref="L11" ca="1">IFERROR(VLOOKUP($L$5&amp;$C11,CHOOSE({1,2},D_技能表!$C$2:$C$1210&amp;D_技能表!$E$2:$E$1210,D_技能表!$I$2:$I$1210),2,FALSE),0)</f>
        <v>0</v>
      </c>
      <c r="M11">
        <f t="array" aca="1" ref="M11" ca="1">IFERROR(VLOOKUP($L$5&amp;$C11,CHOOSE({1,2},D_技能表!$C$2:$C$1210&amp;D_技能表!$E$2:$E$1210,D_技能表!$N$2:$N$1210),2,FALSE),0)</f>
        <v>0</v>
      </c>
      <c r="N11">
        <f t="array" aca="1" ref="N11" ca="1">IFERROR(VLOOKUP($L$5&amp;$C11,CHOOSE({1,2},D_技能表!$C$2:$C$1210&amp;D_技能表!$E$2:$E$1210,D_技能表!$W$2:$W$1210),2,FALSE),0)</f>
        <v>0</v>
      </c>
      <c r="O11">
        <f t="array" aca="1" ref="O11" ca="1">IFERROR(VLOOKUP($L$5&amp;$C11,CHOOSE({1,2},D_技能表!$C$2:$C$1210&amp;D_技能表!$E$2:$E$1210,D_技能表!$Z$2:$Z$1210),2,FALSE),0)</f>
        <v>0</v>
      </c>
      <c r="P11">
        <f t="array" aca="1" ref="P11" ca="1">IFERROR(VLOOKUP($P$5&amp;$C11,CHOOSE({1,2},D_技能表!$C$2:$C$1210&amp;D_技能表!$E$2:$E$1210,D_技能表!$I$2:$I$1210),2,FALSE),0)</f>
        <v>0</v>
      </c>
      <c r="Q11">
        <f t="array" aca="1" ref="Q11" ca="1">IFERROR(VLOOKUP($P$5&amp;$C11,CHOOSE({1,2},D_技能表!$C$2:$C$1210&amp;D_技能表!$E$2:$E$1210,D_技能表!$N$2:$N$1210),2,FALSE),0)</f>
        <v>0</v>
      </c>
      <c r="R11">
        <f t="array" aca="1" ref="R11" ca="1">IFERROR(VLOOKUP($P$5&amp;$C11,CHOOSE({1,2},D_技能表!$C$2:$C$1210&amp;D_技能表!$E$2:$E$1210,D_技能表!$W$2:$W$1210),2,FALSE),0)</f>
        <v>0</v>
      </c>
      <c r="S11">
        <f t="array" aca="1" ref="S11" ca="1">IFERROR(VLOOKUP($P$5&amp;$C11,CHOOSE({1,2},D_技能表!$C$2:$C$1210&amp;D_技能表!$E$2:$E$1210,D_技能表!$Z$2:$Z$1210),2,FALSE),0)</f>
        <v>0</v>
      </c>
      <c r="T11">
        <f t="array" aca="1" ref="T11" ca="1">IFERROR(VLOOKUP($T$5&amp;$C11,CHOOSE({1,2},D_技能表!$C$2:$C$1210&amp;D_技能表!$E$2:$E$1210,D_技能表!$I$2:$I$1210),2,FALSE),0)</f>
        <v>0</v>
      </c>
      <c r="U11">
        <f t="array" aca="1" ref="U11" ca="1">IFERROR(VLOOKUP($T$5&amp;$C11,CHOOSE({1,2},D_技能表!$C$2:$C$1210&amp;D_技能表!$E$2:$E$1210,D_技能表!$N$2:$N$1210),2,FALSE),0)</f>
        <v>0</v>
      </c>
      <c r="V11">
        <f t="array" aca="1" ref="V11" ca="1">IFERROR(VLOOKUP($T$5&amp;$C11,CHOOSE({1,2},D_技能表!$C$2:$C$1210&amp;D_技能表!$E$2:$E$1210,D_技能表!$W$2:$W$1210),2,FALSE),0)</f>
        <v>0</v>
      </c>
      <c r="W11">
        <f t="array" aca="1" ref="W11" ca="1">IFERROR(VLOOKUP($T$5&amp;$C11,CHOOSE({1,2},D_技能表!$C$2:$C$1210&amp;D_技能表!$E$2:$E$1210,D_技能表!$Z$2:$Z$1210),2,FALSE),0)</f>
        <v>0</v>
      </c>
      <c r="X11">
        <f t="array" aca="1" ref="X11" ca="1">IFERROR(VLOOKUP($X$5&amp;$C11,CHOOSE({1,2},D_技能表!$C$2:$C$1210&amp;D_技能表!$E$2:$E$1210,D_技能表!$I$2:$I$1210),2,FALSE),0)</f>
        <v>0</v>
      </c>
      <c r="Y11">
        <f t="array" aca="1" ref="Y11" ca="1">IFERROR(VLOOKUP($X$5&amp;$C11,CHOOSE({1,2},D_技能表!$C$2:$C$1210&amp;D_技能表!$E$2:$E$1210,D_技能表!$N$2:$N$1210),2,FALSE),0)</f>
        <v>0</v>
      </c>
      <c r="Z11">
        <f t="array" aca="1" ref="Z11" ca="1">IFERROR(VLOOKUP($X$5&amp;$C11,CHOOSE({1,2},D_技能表!$C$2:$C$1210&amp;D_技能表!$E$2:$E$1210,D_技能表!$W$2:$W$1210),2,FALSE),0)</f>
        <v>0</v>
      </c>
      <c r="AA11">
        <f t="array" aca="1" ref="AA11" ca="1">IFERROR(VLOOKUP($X$5&amp;$C11,CHOOSE({1,2},D_技能表!$C$2:$C$1210&amp;D_技能表!$E$2:$E$1210,D_技能表!$Z$2:$Z$1210),2,FALSE),0)</f>
        <v>0</v>
      </c>
      <c r="AB11">
        <f t="array" aca="1" ref="AB11" ca="1">IFERROR(VLOOKUP($AB$5&amp;$C11,CHOOSE({1,2},D_技能表!$C$2:$C$1210&amp;D_技能表!$E$2:$E$1210,D_技能表!$I$2:$I$1210),2,FALSE),0)</f>
        <v>0</v>
      </c>
      <c r="AC11">
        <f t="array" aca="1" ref="AC11" ca="1">IFERROR(VLOOKUP($AB$5&amp;$C11,CHOOSE({1,2},D_技能表!$C$2:$C$1210&amp;D_技能表!$E$2:$E$1210,D_技能表!$N$2:$N$1210),2,FALSE),0)</f>
        <v>0</v>
      </c>
      <c r="AD11">
        <f t="array" aca="1" ref="AD11" ca="1">IFERROR(VLOOKUP($AB$5&amp;$C11,CHOOSE({1,2},D_技能表!$C$2:$C$1210&amp;D_技能表!$E$2:$E$1210,D_技能表!$W$2:$W$1210),2,FALSE),0)</f>
        <v>0</v>
      </c>
      <c r="AE11">
        <f t="array" aca="1" ref="AE11" ca="1">IFERROR(VLOOKUP($AB$5&amp;$C11,CHOOSE({1,2},D_技能表!$C$2:$C$1210&amp;D_技能表!$E$2:$E$1210,D_技能表!$Z$2:$Z$1210),2,FALSE),0)</f>
        <v>0</v>
      </c>
      <c r="AF11">
        <f t="array" aca="1" ref="AF11" ca="1">IFERROR(VLOOKUP($AF$5&amp;$C11,CHOOSE({1,2},D_技能表!$C$2:$C$1210&amp;D_技能表!$E$2:$E$1210,D_技能表!$I$2:$I$1210),2,FALSE),0)</f>
        <v>0</v>
      </c>
      <c r="AG11">
        <f t="array" aca="1" ref="AG11" ca="1">IFERROR(VLOOKUP($AF$5&amp;$C11,CHOOSE({1,2},D_技能表!$C$2:$C$1210&amp;D_技能表!$E$2:$E$1210,D_技能表!$N$2:$N$1210),2,FALSE),0)</f>
        <v>0</v>
      </c>
      <c r="AH11">
        <f t="array" aca="1" ref="AH11" ca="1">IFERROR(VLOOKUP($AF$5&amp;$C11,CHOOSE({1,2},D_技能表!$C$2:$C$1210&amp;D_技能表!$E$2:$E$1210,D_技能表!$W$2:$W$1210),2,FALSE),0)</f>
        <v>0</v>
      </c>
      <c r="AI11">
        <f t="array" aca="1" ref="AI11" ca="1">IFERROR(VLOOKUP($AF$5&amp;$C11,CHOOSE({1,2},D_技能表!$C$2:$C$1210&amp;D_技能表!$E$2:$E$1210,D_技能表!$Z$2:$Z$1210),2,FALSE),0)</f>
        <v>0</v>
      </c>
      <c r="AJ11">
        <f t="array" aca="1" ref="AJ11" ca="1">IFERROR(VLOOKUP($AJ$5&amp;$C11,CHOOSE({1,2},D_技能表!$C$2:$C$1210&amp;D_技能表!$E$2:$E$1210,D_技能表!$I$2:$I$1210),2,FALSE),0)</f>
        <v>0</v>
      </c>
      <c r="AK11">
        <f t="array" aca="1" ref="AK11" ca="1">IFERROR(VLOOKUP($AJ$5&amp;$C11,CHOOSE({1,2},D_技能表!$C$2:$C$1210&amp;D_技能表!$E$2:$E$1210,D_技能表!$N$2:$N$1210),2,FALSE),0)</f>
        <v>0</v>
      </c>
      <c r="AL11">
        <f t="array" aca="1" ref="AL11" ca="1">IFERROR(VLOOKUP($AJ$5&amp;$C11,CHOOSE({1,2},D_技能表!$C$2:$C$1210&amp;D_技能表!$E$2:$E$1210,D_技能表!$W$2:$W$1210),2,FALSE),0)</f>
        <v>0</v>
      </c>
      <c r="AM11">
        <f t="array" aca="1" ref="AM11" ca="1">IFERROR(VLOOKUP($AJ$5&amp;$C11,CHOOSE({1,2},D_技能表!$C$2:$C$1210&amp;D_技能表!$E$2:$E$1210,D_技能表!$Z$2:$Z$1210),2,FALSE),0)</f>
        <v>0</v>
      </c>
      <c r="AN11">
        <f t="array" aca="1" ref="AN11" ca="1">IFERROR(VLOOKUP($AN$5&amp;$C11,CHOOSE({1,2},D_技能表!$C$2:$C$1210&amp;D_技能表!$E$2:$E$1210,D_技能表!$I$2:$I$1210),2,FALSE),0)</f>
        <v>0</v>
      </c>
      <c r="AO11">
        <f t="array" aca="1" ref="AO11" ca="1">IFERROR(VLOOKUP($AN$5&amp;$C11,CHOOSE({1,2},D_技能表!$C$2:$C$1210&amp;D_技能表!$E$2:$E$1210,D_技能表!$N$2:$N$1210),2,FALSE),0)</f>
        <v>0</v>
      </c>
      <c r="AP11">
        <f t="array" aca="1" ref="AP11" ca="1">IFERROR(VLOOKUP($AN$5&amp;$C11,CHOOSE({1,2},D_技能表!$C$2:$C$1210&amp;D_技能表!$E$2:$E$1210,D_技能表!$W$2:$W$1210),2,FALSE),0)</f>
        <v>0</v>
      </c>
      <c r="AQ11">
        <f t="array" aca="1" ref="AQ11" ca="1">IFERROR(VLOOKUP($AN$5&amp;$C11,CHOOSE({1,2},D_技能表!$C$2:$C$1210&amp;D_技能表!$E$2:$E$1210,D_技能表!$Z$2:$Z$1210),2,FALSE),0)</f>
        <v>0</v>
      </c>
      <c r="AR11" s="11">
        <f ca="1">SUM($G$7:G12,$K$7:K12,$O$7:O12,$S$7:S12,$W$7:W12,$AA$7:AA12,$AE$7:AE12,$AI$7:AI12,$AM$7:AM12,$AQ$7:AQ12)</f>
        <v>0</v>
      </c>
      <c r="AS11">
        <f ca="1">SUM($F$7:F12,$J$7:J12,$N$7:N12,$R$7:R12,$V$7:V12,$Z$7:Z12,$AD$7:AD12,$AH$7:AH12,$AL$7:AL12,$AP$7:AP12)</f>
        <v>0</v>
      </c>
      <c r="AT11">
        <f t="shared" ca="1" si="1"/>
        <v>0</v>
      </c>
      <c r="AU11" s="33">
        <f ca="1">SUM($AX$7:AX11,$BB$7:BB11,$BF$7:BF11,$BJ$7:BJ11)</f>
        <v>600</v>
      </c>
      <c r="AV11">
        <v>5</v>
      </c>
      <c r="AW11">
        <f t="array" ref="AW11">IFERROR(VLOOKUP(AW$5&amp;$AV11,CHOOSE({1,2},D_技能表CD!$C$2:$C$313&amp;D_技能表CD!$E$2:$E$313,D_技能表CD!$I$2:$I$313),2,FALSE),0)</f>
        <v>0</v>
      </c>
      <c r="AX11">
        <f t="array" aca="1" ref="AX11" ca="1">IFERROR(VLOOKUP(AW$5&amp;$AV11,CHOOSE({1,2},D_技能表CD!$C$2:$C$313&amp;D_技能表CD!$E$2:$E$313,D_技能表CD!$H$2:$H$313),2,FALSE),0)</f>
        <v>0</v>
      </c>
      <c r="AY11">
        <f t="array" aca="1" ref="AY11" ca="1">IFERROR(VLOOKUP(AW$5&amp;$AV11,CHOOSE({1,2},D_技能表CD!$C$2:$C$313&amp;D_技能表CD!$E$2:$E$313,D_技能表CD!$L$2:$L$313),2,FALSE),0)</f>
        <v>0</v>
      </c>
      <c r="AZ11">
        <f t="array" aca="1" ref="AZ11" ca="1">IFERROR(VLOOKUP(AW$5&amp;$AV11,CHOOSE({1,2},D_技能表CD!$C$2:$C$313&amp;D_技能表CD!$E$2:$E$313,D_技能表CD!$K$2:$K$313),2,FALSE),0)</f>
        <v>0</v>
      </c>
      <c r="BA11">
        <f t="array" ref="BA11">IFERROR(VLOOKUP(BA$5&amp;$AV11,CHOOSE({1,2},D_技能表CD!$C$2:$C$313&amp;D_技能表CD!$E$2:$E$313,D_技能表CD!$I$2:$I$313),2,FALSE),0)</f>
        <v>0</v>
      </c>
      <c r="BB11">
        <f t="array" aca="1" ref="BB11" ca="1">IFERROR(VLOOKUP(BA$5&amp;$AV11,CHOOSE({1,2},D_技能表CD!$C$2:$C$313&amp;D_技能表CD!$E$2:$E$313,D_技能表CD!$H$2:$H$313),2,FALSE),0)</f>
        <v>0</v>
      </c>
      <c r="BC11">
        <f t="array" aca="1" ref="BC11" ca="1">IFERROR(VLOOKUP(BA$5&amp;$AV11,CHOOSE({1,2},D_技能表CD!$C$2:$C$313&amp;D_技能表CD!$E$2:$E$313,D_技能表CD!$L$2:$L$313),2,FALSE),0)</f>
        <v>0</v>
      </c>
      <c r="BD11">
        <f t="array" aca="1" ref="BD11" ca="1">IFERROR(VLOOKUP(BA$5&amp;$AV11,CHOOSE({1,2},D_技能表CD!$C$2:$C$313&amp;D_技能表CD!$E$2:$E$313,D_技能表CD!$K$2:$K$313),2,FALSE),0)</f>
        <v>0</v>
      </c>
      <c r="BE11">
        <f t="array" ref="BE11">IFERROR(VLOOKUP(BE$5&amp;$AV11,CHOOSE({1,2},D_技能表CD!$C$2:$C$313&amp;D_技能表CD!$E$2:$E$313,D_技能表CD!$I$2:$I$313),2,FALSE),0)</f>
        <v>1</v>
      </c>
      <c r="BF11">
        <f t="array" aca="1" ref="BF11" ca="1">IFERROR(VLOOKUP(BE$5&amp;$AV11,CHOOSE({1,2},D_技能表CD!$C$2:$C$313&amp;D_技能表CD!$E$2:$E$313,D_技能表CD!$H$2:$H$313),2,FALSE),0)</f>
        <v>0</v>
      </c>
      <c r="BG11">
        <f t="array" aca="1" ref="BG11" ca="1">IFERROR(VLOOKUP(BE$5&amp;$AV11,CHOOSE({1,2},D_技能表CD!$C$2:$C$313&amp;D_技能表CD!$E$2:$E$313,D_技能表CD!$L$2:$L$313),2,FALSE),0)</f>
        <v>0</v>
      </c>
      <c r="BH11">
        <f t="array" aca="1" ref="BH11" ca="1">IFERROR(VLOOKUP(BE$5&amp;$AV11,CHOOSE({1,2},D_技能表CD!$C$2:$C$313&amp;D_技能表CD!$E$2:$E$313,D_技能表CD!$K$2:$K$313),2,FALSE),0)</f>
        <v>0</v>
      </c>
      <c r="BI11">
        <f t="array" ref="BI11">IFERROR(VLOOKUP(BI$5&amp;$AV11,CHOOSE({1,2},D_技能表CD!$C$2:$C$313&amp;D_技能表CD!$E$2:$E$313,D_技能表CD!$I$2:$I$313),2,FALSE),0)</f>
        <v>0</v>
      </c>
      <c r="BJ11">
        <f t="array" aca="1" ref="BJ11" ca="1">IFERROR(VLOOKUP(BI$5&amp;$AV11,CHOOSE({1,2},D_技能表CD!$C$2:$C$313&amp;D_技能表CD!$E$2:$E$313,D_技能表CD!$H$2:$H$313),2,FALSE),0)</f>
        <v>0</v>
      </c>
      <c r="BK11">
        <f t="array" aca="1" ref="BK11" ca="1">IFERROR(VLOOKUP(BI$5&amp;$AV11,CHOOSE({1,2},D_技能表CD!$C$2:$C$313&amp;D_技能表CD!$E$2:$E$313,D_技能表CD!$L$2:$L$313),2,FALSE),0)</f>
        <v>0</v>
      </c>
      <c r="BL11">
        <f t="array" aca="1" ref="BL11" ca="1">IFERROR(VLOOKUP(BI$5&amp;$AV11,CHOOSE({1,2},D_技能表CD!$C$2:$C$313&amp;D_技能表CD!$E$2:$E$313,D_技能表CD!$K$2:$K$313),2,FALSE),0)</f>
        <v>0</v>
      </c>
    </row>
    <row r="12" spans="1:64" x14ac:dyDescent="0.15">
      <c r="A12">
        <f t="shared" ca="1" si="0"/>
        <v>1750</v>
      </c>
      <c r="B12" s="33">
        <f ca="1">SUM($E$7:E12,$I$7:I12,$M$7:M12,$Q$7:Q12,$U$7:U12,$Y$7:Y12,$AC$7:AC12,$AG$7:AG12,$AK$7:AK12,$AO$7:AO12)</f>
        <v>0</v>
      </c>
      <c r="C12">
        <v>6</v>
      </c>
      <c r="D12">
        <f t="array" aca="1" ref="D12" ca="1">IFERROR(VLOOKUP($D$5&amp;C12,CHOOSE({1,2},D_技能表!$C$2:$C$1210&amp;D_技能表!$E$2:$E$1210,D_技能表!$I$2:$I$1210),2,FALSE),0)</f>
        <v>0</v>
      </c>
      <c r="E12">
        <f t="array" aca="1" ref="E12" ca="1">IFERROR(VLOOKUP($D$5&amp;$C12,CHOOSE({1,2},D_技能表!$C$2:$C$1210&amp;D_技能表!$E$2:$E$1210,D_技能表!$N$2:$N$1210),2,FALSE),0)</f>
        <v>0</v>
      </c>
      <c r="F12">
        <f t="array" aca="1" ref="F12" ca="1">IFERROR(VLOOKUP($D$5&amp;$C12,CHOOSE({1,2},D_技能表!$C$2:$C$1210&amp;D_技能表!$E$2:$E$1210,D_技能表!$W$2:$W$1210),2,FALSE),0)</f>
        <v>0</v>
      </c>
      <c r="G12">
        <f t="array" aca="1" ref="G12" ca="1">IFERROR(VLOOKUP($D$5&amp;$C12,CHOOSE({1,2},D_技能表!$C$2:$C$1210&amp;D_技能表!$E$2:$E$1210,D_技能表!$Z$2:$Z$1210),2,FALSE),0)</f>
        <v>0</v>
      </c>
      <c r="H12">
        <f t="array" aca="1" ref="H12" ca="1">IFERROR(VLOOKUP($H$5&amp;$C12,CHOOSE({1,2},D_技能表!$C$2:$C$1210&amp;D_技能表!$E$2:$E$1210,D_技能表!$I$2:$I$1210),2,FALSE),0)</f>
        <v>0</v>
      </c>
      <c r="I12">
        <f t="array" aca="1" ref="I12" ca="1">IFERROR(VLOOKUP($H$5&amp;$C12,CHOOSE({1,2},D_技能表!$C$2:$C$1210&amp;D_技能表!$E$2:$E$1210,D_技能表!$N$2:$N$1210),2,FALSE),0)</f>
        <v>0</v>
      </c>
      <c r="J12">
        <f t="array" aca="1" ref="J12" ca="1">IFERROR(VLOOKUP($H$5&amp;$C12,CHOOSE({1,2},D_技能表!$C$2:$C$1210&amp;D_技能表!$E$2:$E$1210,D_技能表!$W$2:$W$1210),2,FALSE),0)</f>
        <v>0</v>
      </c>
      <c r="K12">
        <f t="array" aca="1" ref="K12" ca="1">IFERROR(VLOOKUP($H$5&amp;$C12,CHOOSE({1,2},D_技能表!$C$2:$C$1210&amp;D_技能表!$E$2:$E$1210,D_技能表!$Z$2:$Z$1210),2,FALSE),0)</f>
        <v>0</v>
      </c>
      <c r="L12">
        <f t="array" aca="1" ref="L12" ca="1">IFERROR(VLOOKUP($L$5&amp;$C12,CHOOSE({1,2},D_技能表!$C$2:$C$1210&amp;D_技能表!$E$2:$E$1210,D_技能表!$I$2:$I$1210),2,FALSE),0)</f>
        <v>0</v>
      </c>
      <c r="M12">
        <f t="array" aca="1" ref="M12" ca="1">IFERROR(VLOOKUP($L$5&amp;$C12,CHOOSE({1,2},D_技能表!$C$2:$C$1210&amp;D_技能表!$E$2:$E$1210,D_技能表!$N$2:$N$1210),2,FALSE),0)</f>
        <v>0</v>
      </c>
      <c r="N12">
        <f t="array" aca="1" ref="N12" ca="1">IFERROR(VLOOKUP($L$5&amp;$C12,CHOOSE({1,2},D_技能表!$C$2:$C$1210&amp;D_技能表!$E$2:$E$1210,D_技能表!$W$2:$W$1210),2,FALSE),0)</f>
        <v>0</v>
      </c>
      <c r="O12">
        <f t="array" aca="1" ref="O12" ca="1">IFERROR(VLOOKUP($L$5&amp;$C12,CHOOSE({1,2},D_技能表!$C$2:$C$1210&amp;D_技能表!$E$2:$E$1210,D_技能表!$Z$2:$Z$1210),2,FALSE),0)</f>
        <v>0</v>
      </c>
      <c r="P12">
        <f t="array" aca="1" ref="P12" ca="1">IFERROR(VLOOKUP($P$5&amp;$C12,CHOOSE({1,2},D_技能表!$C$2:$C$1210&amp;D_技能表!$E$2:$E$1210,D_技能表!$I$2:$I$1210),2,FALSE),0)</f>
        <v>0</v>
      </c>
      <c r="Q12">
        <f t="array" aca="1" ref="Q12" ca="1">IFERROR(VLOOKUP($P$5&amp;$C12,CHOOSE({1,2},D_技能表!$C$2:$C$1210&amp;D_技能表!$E$2:$E$1210,D_技能表!$N$2:$N$1210),2,FALSE),0)</f>
        <v>0</v>
      </c>
      <c r="R12">
        <f t="array" aca="1" ref="R12" ca="1">IFERROR(VLOOKUP($P$5&amp;$C12,CHOOSE({1,2},D_技能表!$C$2:$C$1210&amp;D_技能表!$E$2:$E$1210,D_技能表!$W$2:$W$1210),2,FALSE),0)</f>
        <v>0</v>
      </c>
      <c r="S12">
        <f t="array" aca="1" ref="S12" ca="1">IFERROR(VLOOKUP($P$5&amp;$C12,CHOOSE({1,2},D_技能表!$C$2:$C$1210&amp;D_技能表!$E$2:$E$1210,D_技能表!$Z$2:$Z$1210),2,FALSE),0)</f>
        <v>0</v>
      </c>
      <c r="T12">
        <f t="array" aca="1" ref="T12" ca="1">IFERROR(VLOOKUP($T$5&amp;$C12,CHOOSE({1,2},D_技能表!$C$2:$C$1210&amp;D_技能表!$E$2:$E$1210,D_技能表!$I$2:$I$1210),2,FALSE),0)</f>
        <v>0</v>
      </c>
      <c r="U12">
        <f t="array" aca="1" ref="U12" ca="1">IFERROR(VLOOKUP($T$5&amp;$C12,CHOOSE({1,2},D_技能表!$C$2:$C$1210&amp;D_技能表!$E$2:$E$1210,D_技能表!$N$2:$N$1210),2,FALSE),0)</f>
        <v>0</v>
      </c>
      <c r="V12">
        <f t="array" aca="1" ref="V12" ca="1">IFERROR(VLOOKUP($T$5&amp;$C12,CHOOSE({1,2},D_技能表!$C$2:$C$1210&amp;D_技能表!$E$2:$E$1210,D_技能表!$W$2:$W$1210),2,FALSE),0)</f>
        <v>0</v>
      </c>
      <c r="W12">
        <f t="array" aca="1" ref="W12" ca="1">IFERROR(VLOOKUP($T$5&amp;$C12,CHOOSE({1,2},D_技能表!$C$2:$C$1210&amp;D_技能表!$E$2:$E$1210,D_技能表!$Z$2:$Z$1210),2,FALSE),0)</f>
        <v>0</v>
      </c>
      <c r="X12">
        <f t="array" aca="1" ref="X12" ca="1">IFERROR(VLOOKUP($X$5&amp;$C12,CHOOSE({1,2},D_技能表!$C$2:$C$1210&amp;D_技能表!$E$2:$E$1210,D_技能表!$I$2:$I$1210),2,FALSE),0)</f>
        <v>0</v>
      </c>
      <c r="Y12">
        <f t="array" aca="1" ref="Y12" ca="1">IFERROR(VLOOKUP($X$5&amp;$C12,CHOOSE({1,2},D_技能表!$C$2:$C$1210&amp;D_技能表!$E$2:$E$1210,D_技能表!$N$2:$N$1210),2,FALSE),0)</f>
        <v>0</v>
      </c>
      <c r="Z12">
        <f t="array" aca="1" ref="Z12" ca="1">IFERROR(VLOOKUP($X$5&amp;$C12,CHOOSE({1,2},D_技能表!$C$2:$C$1210&amp;D_技能表!$E$2:$E$1210,D_技能表!$W$2:$W$1210),2,FALSE),0)</f>
        <v>0</v>
      </c>
      <c r="AA12">
        <f t="array" aca="1" ref="AA12" ca="1">IFERROR(VLOOKUP($X$5&amp;$C12,CHOOSE({1,2},D_技能表!$C$2:$C$1210&amp;D_技能表!$E$2:$E$1210,D_技能表!$Z$2:$Z$1210),2,FALSE),0)</f>
        <v>0</v>
      </c>
      <c r="AB12">
        <f t="array" aca="1" ref="AB12" ca="1">IFERROR(VLOOKUP($AB$5&amp;$C12,CHOOSE({1,2},D_技能表!$C$2:$C$1210&amp;D_技能表!$E$2:$E$1210,D_技能表!$I$2:$I$1210),2,FALSE),0)</f>
        <v>0</v>
      </c>
      <c r="AC12">
        <f t="array" aca="1" ref="AC12" ca="1">IFERROR(VLOOKUP($AB$5&amp;$C12,CHOOSE({1,2},D_技能表!$C$2:$C$1210&amp;D_技能表!$E$2:$E$1210,D_技能表!$N$2:$N$1210),2,FALSE),0)</f>
        <v>0</v>
      </c>
      <c r="AD12">
        <f t="array" aca="1" ref="AD12" ca="1">IFERROR(VLOOKUP($AB$5&amp;$C12,CHOOSE({1,2},D_技能表!$C$2:$C$1210&amp;D_技能表!$E$2:$E$1210,D_技能表!$W$2:$W$1210),2,FALSE),0)</f>
        <v>0</v>
      </c>
      <c r="AE12">
        <f t="array" aca="1" ref="AE12" ca="1">IFERROR(VLOOKUP($AB$5&amp;$C12,CHOOSE({1,2},D_技能表!$C$2:$C$1210&amp;D_技能表!$E$2:$E$1210,D_技能表!$Z$2:$Z$1210),2,FALSE),0)</f>
        <v>0</v>
      </c>
      <c r="AF12">
        <f t="array" aca="1" ref="AF12" ca="1">IFERROR(VLOOKUP($AF$5&amp;$C12,CHOOSE({1,2},D_技能表!$C$2:$C$1210&amp;D_技能表!$E$2:$E$1210,D_技能表!$I$2:$I$1210),2,FALSE),0)</f>
        <v>0</v>
      </c>
      <c r="AG12">
        <f t="array" aca="1" ref="AG12" ca="1">IFERROR(VLOOKUP($AF$5&amp;$C12,CHOOSE({1,2},D_技能表!$C$2:$C$1210&amp;D_技能表!$E$2:$E$1210,D_技能表!$N$2:$N$1210),2,FALSE),0)</f>
        <v>0</v>
      </c>
      <c r="AH12">
        <f t="array" aca="1" ref="AH12" ca="1">IFERROR(VLOOKUP($AF$5&amp;$C12,CHOOSE({1,2},D_技能表!$C$2:$C$1210&amp;D_技能表!$E$2:$E$1210,D_技能表!$W$2:$W$1210),2,FALSE),0)</f>
        <v>0</v>
      </c>
      <c r="AI12">
        <f t="array" aca="1" ref="AI12" ca="1">IFERROR(VLOOKUP($AF$5&amp;$C12,CHOOSE({1,2},D_技能表!$C$2:$C$1210&amp;D_技能表!$E$2:$E$1210,D_技能表!$Z$2:$Z$1210),2,FALSE),0)</f>
        <v>0</v>
      </c>
      <c r="AJ12">
        <f t="array" aca="1" ref="AJ12" ca="1">IFERROR(VLOOKUP($AJ$5&amp;$C12,CHOOSE({1,2},D_技能表!$C$2:$C$1210&amp;D_技能表!$E$2:$E$1210,D_技能表!$I$2:$I$1210),2,FALSE),0)</f>
        <v>0</v>
      </c>
      <c r="AK12">
        <f t="array" aca="1" ref="AK12" ca="1">IFERROR(VLOOKUP($AJ$5&amp;$C12,CHOOSE({1,2},D_技能表!$C$2:$C$1210&amp;D_技能表!$E$2:$E$1210,D_技能表!$N$2:$N$1210),2,FALSE),0)</f>
        <v>0</v>
      </c>
      <c r="AL12">
        <f t="array" aca="1" ref="AL12" ca="1">IFERROR(VLOOKUP($AJ$5&amp;$C12,CHOOSE({1,2},D_技能表!$C$2:$C$1210&amp;D_技能表!$E$2:$E$1210,D_技能表!$W$2:$W$1210),2,FALSE),0)</f>
        <v>0</v>
      </c>
      <c r="AM12">
        <f t="array" aca="1" ref="AM12" ca="1">IFERROR(VLOOKUP($AJ$5&amp;$C12,CHOOSE({1,2},D_技能表!$C$2:$C$1210&amp;D_技能表!$E$2:$E$1210,D_技能表!$Z$2:$Z$1210),2,FALSE),0)</f>
        <v>0</v>
      </c>
      <c r="AN12">
        <f t="array" aca="1" ref="AN12" ca="1">IFERROR(VLOOKUP($AN$5&amp;$C12,CHOOSE({1,2},D_技能表!$C$2:$C$1210&amp;D_技能表!$E$2:$E$1210,D_技能表!$I$2:$I$1210),2,FALSE),0)</f>
        <v>0</v>
      </c>
      <c r="AO12">
        <f t="array" aca="1" ref="AO12" ca="1">IFERROR(VLOOKUP($AN$5&amp;$C12,CHOOSE({1,2},D_技能表!$C$2:$C$1210&amp;D_技能表!$E$2:$E$1210,D_技能表!$N$2:$N$1210),2,FALSE),0)</f>
        <v>0</v>
      </c>
      <c r="AP12">
        <f t="array" aca="1" ref="AP12" ca="1">IFERROR(VLOOKUP($AN$5&amp;$C12,CHOOSE({1,2},D_技能表!$C$2:$C$1210&amp;D_技能表!$E$2:$E$1210,D_技能表!$W$2:$W$1210),2,FALSE),0)</f>
        <v>0</v>
      </c>
      <c r="AQ12">
        <f t="array" aca="1" ref="AQ12" ca="1">IFERROR(VLOOKUP($AN$5&amp;$C12,CHOOSE({1,2},D_技能表!$C$2:$C$1210&amp;D_技能表!$E$2:$E$1210,D_技能表!$Z$2:$Z$1210),2,FALSE),0)</f>
        <v>0</v>
      </c>
      <c r="AR12" s="11">
        <f ca="1">SUM($G$7:G13,$K$7:K13,$O$7:O13,$S$7:S13,$W$7:W13,$AA$7:AA13,$AE$7:AE13,$AI$7:AI13,$AM$7:AM13,$AQ$7:AQ13)</f>
        <v>0</v>
      </c>
      <c r="AS12">
        <f ca="1">SUM($F$7:F13,$J$7:J13,$N$7:N13,$R$7:R13,$V$7:V13,$Z$7:Z13,$AD$7:AD13,$AH$7:AH13,$AL$7:AL13,$AP$7:AP13)</f>
        <v>18</v>
      </c>
      <c r="AT12">
        <f t="shared" ca="1" si="1"/>
        <v>0</v>
      </c>
      <c r="AU12" s="33">
        <f ca="1">SUM($AX$7:AX12,$BB$7:BB12,$BF$7:BF12,$BJ$7:BJ12)</f>
        <v>1750</v>
      </c>
      <c r="AV12">
        <v>6</v>
      </c>
      <c r="AW12">
        <f t="array" ref="AW12">IFERROR(VLOOKUP(AW$5&amp;$AV12,CHOOSE({1,2},D_技能表CD!$C$2:$C$313&amp;D_技能表CD!$E$2:$E$313,D_技能表CD!$I$2:$I$313),2,FALSE),0)</f>
        <v>0</v>
      </c>
      <c r="AX12">
        <f t="array" aca="1" ref="AX12" ca="1">IFERROR(VLOOKUP(AW$5&amp;$AV12,CHOOSE({1,2},D_技能表CD!$C$2:$C$313&amp;D_技能表CD!$E$2:$E$313,D_技能表CD!$H$2:$H$313),2,FALSE),0)</f>
        <v>0</v>
      </c>
      <c r="AY12">
        <f t="array" aca="1" ref="AY12" ca="1">IFERROR(VLOOKUP(AW$5&amp;$AV12,CHOOSE({1,2},D_技能表CD!$C$2:$C$313&amp;D_技能表CD!$E$2:$E$313,D_技能表CD!$L$2:$L$313),2,FALSE),0)</f>
        <v>0</v>
      </c>
      <c r="AZ12">
        <f t="array" aca="1" ref="AZ12" ca="1">IFERROR(VLOOKUP(AW$5&amp;$AV12,CHOOSE({1,2},D_技能表CD!$C$2:$C$313&amp;D_技能表CD!$E$2:$E$313,D_技能表CD!$K$2:$K$313),2,FALSE),0)</f>
        <v>0</v>
      </c>
      <c r="BA12">
        <f t="array" ref="BA12">IFERROR(VLOOKUP(BA$5&amp;$AV12,CHOOSE({1,2},D_技能表CD!$C$2:$C$313&amp;D_技能表CD!$E$2:$E$313,D_技能表CD!$I$2:$I$313),2,FALSE),0)</f>
        <v>2</v>
      </c>
      <c r="BB12">
        <f t="array" aca="1" ref="BB12" ca="1">IFERROR(VLOOKUP(BA$5&amp;$AV12,CHOOSE({1,2},D_技能表CD!$C$2:$C$313&amp;D_技能表CD!$E$2:$E$313,D_技能表CD!$H$2:$H$313),2,FALSE),0)</f>
        <v>1150</v>
      </c>
      <c r="BC12">
        <f t="array" aca="1" ref="BC12" ca="1">IFERROR(VLOOKUP(BA$5&amp;$AV12,CHOOSE({1,2},D_技能表CD!$C$2:$C$313&amp;D_技能表CD!$E$2:$E$313,D_技能表CD!$L$2:$L$313),2,FALSE),0)</f>
        <v>23</v>
      </c>
      <c r="BD12">
        <f t="array" aca="1" ref="BD12" ca="1">IFERROR(VLOOKUP(BA$5&amp;$AV12,CHOOSE({1,2},D_技能表CD!$C$2:$C$313&amp;D_技能表CD!$E$2:$E$313,D_技能表CD!$K$2:$K$313),2,FALSE),0)</f>
        <v>0</v>
      </c>
      <c r="BE12">
        <f t="array" ref="BE12">IFERROR(VLOOKUP(BE$5&amp;$AV12,CHOOSE({1,2},D_技能表CD!$C$2:$C$313&amp;D_技能表CD!$E$2:$E$313,D_技能表CD!$I$2:$I$313),2,FALSE),0)</f>
        <v>0</v>
      </c>
      <c r="BF12">
        <f t="array" aca="1" ref="BF12" ca="1">IFERROR(VLOOKUP(BE$5&amp;$AV12,CHOOSE({1,2},D_技能表CD!$C$2:$C$313&amp;D_技能表CD!$E$2:$E$313,D_技能表CD!$H$2:$H$313),2,FALSE),0)</f>
        <v>0</v>
      </c>
      <c r="BG12">
        <f t="array" aca="1" ref="BG12" ca="1">IFERROR(VLOOKUP(BE$5&amp;$AV12,CHOOSE({1,2},D_技能表CD!$C$2:$C$313&amp;D_技能表CD!$E$2:$E$313,D_技能表CD!$L$2:$L$313),2,FALSE),0)</f>
        <v>0</v>
      </c>
      <c r="BH12">
        <f t="array" aca="1" ref="BH12" ca="1">IFERROR(VLOOKUP(BE$5&amp;$AV12,CHOOSE({1,2},D_技能表CD!$C$2:$C$313&amp;D_技能表CD!$E$2:$E$313,D_技能表CD!$K$2:$K$313),2,FALSE),0)</f>
        <v>0</v>
      </c>
      <c r="BI12">
        <f t="array" ref="BI12">IFERROR(VLOOKUP(BI$5&amp;$AV12,CHOOSE({1,2},D_技能表CD!$C$2:$C$313&amp;D_技能表CD!$E$2:$E$313,D_技能表CD!$I$2:$I$313),2,FALSE),0)</f>
        <v>1</v>
      </c>
      <c r="BJ12">
        <f t="array" aca="1" ref="BJ12" ca="1">IFERROR(VLOOKUP(BI$5&amp;$AV12,CHOOSE({1,2},D_技能表CD!$C$2:$C$313&amp;D_技能表CD!$E$2:$E$313,D_技能表CD!$H$2:$H$313),2,FALSE),0)</f>
        <v>0</v>
      </c>
      <c r="BK12">
        <f t="array" aca="1" ref="BK12" ca="1">IFERROR(VLOOKUP(BI$5&amp;$AV12,CHOOSE({1,2},D_技能表CD!$C$2:$C$313&amp;D_技能表CD!$E$2:$E$313,D_技能表CD!$L$2:$L$313),2,FALSE),0)</f>
        <v>0</v>
      </c>
      <c r="BL12">
        <f t="array" aca="1" ref="BL12" ca="1">IFERROR(VLOOKUP(BI$5&amp;$AV12,CHOOSE({1,2},D_技能表CD!$C$2:$C$313&amp;D_技能表CD!$E$2:$E$313,D_技能表CD!$K$2:$K$313),2,FALSE),0)</f>
        <v>0</v>
      </c>
    </row>
    <row r="13" spans="1:64" x14ac:dyDescent="0.15">
      <c r="A13">
        <f t="shared" ca="1" si="0"/>
        <v>5098</v>
      </c>
      <c r="B13" s="33">
        <f ca="1">SUM($E$7:E13,$I$7:I13,$M$7:M13,$Q$7:Q13,$U$7:U13,$Y$7:Y13,$AC$7:AC13,$AG$7:AG13,$AK$7:AK13,$AO$7:AO13)</f>
        <v>1548</v>
      </c>
      <c r="C13">
        <v>7</v>
      </c>
      <c r="D13">
        <f t="array" aca="1" ref="D13" ca="1">IFERROR(VLOOKUP($D$5&amp;C13,CHOOSE({1,2},D_技能表!$C$2:$C$1210&amp;D_技能表!$E$2:$E$1210,D_技能表!$I$2:$I$1210),2,FALSE),0)</f>
        <v>3</v>
      </c>
      <c r="E13">
        <f t="array" aca="1" ref="E13" ca="1">IFERROR(VLOOKUP($D$5&amp;$C13,CHOOSE({1,2},D_技能表!$C$2:$C$1210&amp;D_技能表!$E$2:$E$1210,D_技能表!$N$2:$N$1210),2,FALSE),0)</f>
        <v>860</v>
      </c>
      <c r="F13">
        <f t="array" aca="1" ref="F13" ca="1">IFERROR(VLOOKUP($D$5&amp;$C13,CHOOSE({1,2},D_技能表!$C$2:$C$1210&amp;D_技能表!$E$2:$E$1210,D_技能表!$W$2:$W$1210),2,FALSE),0)</f>
        <v>10</v>
      </c>
      <c r="G13">
        <f t="array" aca="1" ref="G13" ca="1">IFERROR(VLOOKUP($D$5&amp;$C13,CHOOSE({1,2},D_技能表!$C$2:$C$1210&amp;D_技能表!$E$2:$E$1210,D_技能表!$Z$2:$Z$1210),2,FALSE),0)</f>
        <v>0</v>
      </c>
      <c r="H13">
        <f t="array" aca="1" ref="H13" ca="1">IFERROR(VLOOKUP($H$5&amp;$C13,CHOOSE({1,2},D_技能表!$C$2:$C$1210&amp;D_技能表!$E$2:$E$1210,D_技能表!$I$2:$I$1210),2,FALSE),0)</f>
        <v>2</v>
      </c>
      <c r="I13">
        <f t="array" aca="1" ref="I13" ca="1">IFERROR(VLOOKUP($H$5&amp;$C13,CHOOSE({1,2},D_技能表!$C$2:$C$1210&amp;D_技能表!$E$2:$E$1210,D_技能表!$N$2:$N$1210),2,FALSE),0)</f>
        <v>344</v>
      </c>
      <c r="J13">
        <f t="array" aca="1" ref="J13" ca="1">IFERROR(VLOOKUP($H$5&amp;$C13,CHOOSE({1,2},D_技能表!$C$2:$C$1210&amp;D_技能表!$E$2:$E$1210,D_技能表!$W$2:$W$1210),2,FALSE),0)</f>
        <v>4</v>
      </c>
      <c r="K13">
        <f t="array" aca="1" ref="K13" ca="1">IFERROR(VLOOKUP($H$5&amp;$C13,CHOOSE({1,2},D_技能表!$C$2:$C$1210&amp;D_技能表!$E$2:$E$1210,D_技能表!$Z$2:$Z$1210),2,FALSE),0)</f>
        <v>0</v>
      </c>
      <c r="L13">
        <f t="array" aca="1" ref="L13" ca="1">IFERROR(VLOOKUP($L$5&amp;$C13,CHOOSE({1,2},D_技能表!$C$2:$C$1210&amp;D_技能表!$E$2:$E$1210,D_技能表!$I$2:$I$1210),2,FALSE),0)</f>
        <v>2</v>
      </c>
      <c r="M13">
        <f t="array" aca="1" ref="M13" ca="1">IFERROR(VLOOKUP($L$5&amp;$C13,CHOOSE({1,2},D_技能表!$C$2:$C$1210&amp;D_技能表!$E$2:$E$1210,D_技能表!$N$2:$N$1210),2,FALSE),0)</f>
        <v>344</v>
      </c>
      <c r="N13">
        <f t="array" aca="1" ref="N13" ca="1">IFERROR(VLOOKUP($L$5&amp;$C13,CHOOSE({1,2},D_技能表!$C$2:$C$1210&amp;D_技能表!$E$2:$E$1210,D_技能表!$W$2:$W$1210),2,FALSE),0)</f>
        <v>4</v>
      </c>
      <c r="O13">
        <f t="array" aca="1" ref="O13" ca="1">IFERROR(VLOOKUP($L$5&amp;$C13,CHOOSE({1,2},D_技能表!$C$2:$C$1210&amp;D_技能表!$E$2:$E$1210,D_技能表!$Z$2:$Z$1210),2,FALSE),0)</f>
        <v>0</v>
      </c>
      <c r="P13">
        <f t="array" aca="1" ref="P13" ca="1">IFERROR(VLOOKUP($P$5&amp;$C13,CHOOSE({1,2},D_技能表!$C$2:$C$1210&amp;D_技能表!$E$2:$E$1210,D_技能表!$I$2:$I$1210),2,FALSE),0)</f>
        <v>0</v>
      </c>
      <c r="Q13">
        <f t="array" aca="1" ref="Q13" ca="1">IFERROR(VLOOKUP($P$5&amp;$C13,CHOOSE({1,2},D_技能表!$C$2:$C$1210&amp;D_技能表!$E$2:$E$1210,D_技能表!$N$2:$N$1210),2,FALSE),0)</f>
        <v>0</v>
      </c>
      <c r="R13">
        <f t="array" aca="1" ref="R13" ca="1">IFERROR(VLOOKUP($P$5&amp;$C13,CHOOSE({1,2},D_技能表!$C$2:$C$1210&amp;D_技能表!$E$2:$E$1210,D_技能表!$W$2:$W$1210),2,FALSE),0)</f>
        <v>0</v>
      </c>
      <c r="S13">
        <f t="array" aca="1" ref="S13" ca="1">IFERROR(VLOOKUP($P$5&amp;$C13,CHOOSE({1,2},D_技能表!$C$2:$C$1210&amp;D_技能表!$E$2:$E$1210,D_技能表!$Z$2:$Z$1210),2,FALSE),0)</f>
        <v>0</v>
      </c>
      <c r="T13">
        <f t="array" aca="1" ref="T13" ca="1">IFERROR(VLOOKUP($T$5&amp;$C13,CHOOSE({1,2},D_技能表!$C$2:$C$1210&amp;D_技能表!$E$2:$E$1210,D_技能表!$I$2:$I$1210),2,FALSE),0)</f>
        <v>0</v>
      </c>
      <c r="U13">
        <f t="array" aca="1" ref="U13" ca="1">IFERROR(VLOOKUP($T$5&amp;$C13,CHOOSE({1,2},D_技能表!$C$2:$C$1210&amp;D_技能表!$E$2:$E$1210,D_技能表!$N$2:$N$1210),2,FALSE),0)</f>
        <v>0</v>
      </c>
      <c r="V13">
        <f t="array" aca="1" ref="V13" ca="1">IFERROR(VLOOKUP($T$5&amp;$C13,CHOOSE({1,2},D_技能表!$C$2:$C$1210&amp;D_技能表!$E$2:$E$1210,D_技能表!$W$2:$W$1210),2,FALSE),0)</f>
        <v>0</v>
      </c>
      <c r="W13">
        <f t="array" aca="1" ref="W13" ca="1">IFERROR(VLOOKUP($T$5&amp;$C13,CHOOSE({1,2},D_技能表!$C$2:$C$1210&amp;D_技能表!$E$2:$E$1210,D_技能表!$Z$2:$Z$1210),2,FALSE),0)</f>
        <v>0</v>
      </c>
      <c r="X13">
        <f t="array" aca="1" ref="X13" ca="1">IFERROR(VLOOKUP($X$5&amp;$C13,CHOOSE({1,2},D_技能表!$C$2:$C$1210&amp;D_技能表!$E$2:$E$1210,D_技能表!$I$2:$I$1210),2,FALSE),0)</f>
        <v>0</v>
      </c>
      <c r="Y13">
        <f t="array" aca="1" ref="Y13" ca="1">IFERROR(VLOOKUP($X$5&amp;$C13,CHOOSE({1,2},D_技能表!$C$2:$C$1210&amp;D_技能表!$E$2:$E$1210,D_技能表!$N$2:$N$1210),2,FALSE),0)</f>
        <v>0</v>
      </c>
      <c r="Z13">
        <f t="array" aca="1" ref="Z13" ca="1">IFERROR(VLOOKUP($X$5&amp;$C13,CHOOSE({1,2},D_技能表!$C$2:$C$1210&amp;D_技能表!$E$2:$E$1210,D_技能表!$W$2:$W$1210),2,FALSE),0)</f>
        <v>0</v>
      </c>
      <c r="AA13">
        <f t="array" aca="1" ref="AA13" ca="1">IFERROR(VLOOKUP($X$5&amp;$C13,CHOOSE({1,2},D_技能表!$C$2:$C$1210&amp;D_技能表!$E$2:$E$1210,D_技能表!$Z$2:$Z$1210),2,FALSE),0)</f>
        <v>0</v>
      </c>
      <c r="AB13">
        <f t="array" aca="1" ref="AB13" ca="1">IFERROR(VLOOKUP($AB$5&amp;$C13,CHOOSE({1,2},D_技能表!$C$2:$C$1210&amp;D_技能表!$E$2:$E$1210,D_技能表!$I$2:$I$1210),2,FALSE),0)</f>
        <v>0</v>
      </c>
      <c r="AC13">
        <f t="array" aca="1" ref="AC13" ca="1">IFERROR(VLOOKUP($AB$5&amp;$C13,CHOOSE({1,2},D_技能表!$C$2:$C$1210&amp;D_技能表!$E$2:$E$1210,D_技能表!$N$2:$N$1210),2,FALSE),0)</f>
        <v>0</v>
      </c>
      <c r="AD13">
        <f t="array" aca="1" ref="AD13" ca="1">IFERROR(VLOOKUP($AB$5&amp;$C13,CHOOSE({1,2},D_技能表!$C$2:$C$1210&amp;D_技能表!$E$2:$E$1210,D_技能表!$W$2:$W$1210),2,FALSE),0)</f>
        <v>0</v>
      </c>
      <c r="AE13">
        <f t="array" aca="1" ref="AE13" ca="1">IFERROR(VLOOKUP($AB$5&amp;$C13,CHOOSE({1,2},D_技能表!$C$2:$C$1210&amp;D_技能表!$E$2:$E$1210,D_技能表!$Z$2:$Z$1210),2,FALSE),0)</f>
        <v>0</v>
      </c>
      <c r="AF13">
        <f t="array" aca="1" ref="AF13" ca="1">IFERROR(VLOOKUP($AF$5&amp;$C13,CHOOSE({1,2},D_技能表!$C$2:$C$1210&amp;D_技能表!$E$2:$E$1210,D_技能表!$I$2:$I$1210),2,FALSE),0)</f>
        <v>0</v>
      </c>
      <c r="AG13">
        <f t="array" aca="1" ref="AG13" ca="1">IFERROR(VLOOKUP($AF$5&amp;$C13,CHOOSE({1,2},D_技能表!$C$2:$C$1210&amp;D_技能表!$E$2:$E$1210,D_技能表!$N$2:$N$1210),2,FALSE),0)</f>
        <v>0</v>
      </c>
      <c r="AH13">
        <f t="array" aca="1" ref="AH13" ca="1">IFERROR(VLOOKUP($AF$5&amp;$C13,CHOOSE({1,2},D_技能表!$C$2:$C$1210&amp;D_技能表!$E$2:$E$1210,D_技能表!$W$2:$W$1210),2,FALSE),0)</f>
        <v>0</v>
      </c>
      <c r="AI13">
        <f t="array" aca="1" ref="AI13" ca="1">IFERROR(VLOOKUP($AF$5&amp;$C13,CHOOSE({1,2},D_技能表!$C$2:$C$1210&amp;D_技能表!$E$2:$E$1210,D_技能表!$Z$2:$Z$1210),2,FALSE),0)</f>
        <v>0</v>
      </c>
      <c r="AJ13">
        <f t="array" aca="1" ref="AJ13" ca="1">IFERROR(VLOOKUP($AJ$5&amp;$C13,CHOOSE({1,2},D_技能表!$C$2:$C$1210&amp;D_技能表!$E$2:$E$1210,D_技能表!$I$2:$I$1210),2,FALSE),0)</f>
        <v>0</v>
      </c>
      <c r="AK13">
        <f t="array" aca="1" ref="AK13" ca="1">IFERROR(VLOOKUP($AJ$5&amp;$C13,CHOOSE({1,2},D_技能表!$C$2:$C$1210&amp;D_技能表!$E$2:$E$1210,D_技能表!$N$2:$N$1210),2,FALSE),0)</f>
        <v>0</v>
      </c>
      <c r="AL13">
        <f t="array" aca="1" ref="AL13" ca="1">IFERROR(VLOOKUP($AJ$5&amp;$C13,CHOOSE({1,2},D_技能表!$C$2:$C$1210&amp;D_技能表!$E$2:$E$1210,D_技能表!$W$2:$W$1210),2,FALSE),0)</f>
        <v>0</v>
      </c>
      <c r="AM13">
        <f t="array" aca="1" ref="AM13" ca="1">IFERROR(VLOOKUP($AJ$5&amp;$C13,CHOOSE({1,2},D_技能表!$C$2:$C$1210&amp;D_技能表!$E$2:$E$1210,D_技能表!$Z$2:$Z$1210),2,FALSE),0)</f>
        <v>0</v>
      </c>
      <c r="AN13">
        <f t="array" aca="1" ref="AN13" ca="1">IFERROR(VLOOKUP($AN$5&amp;$C13,CHOOSE({1,2},D_技能表!$C$2:$C$1210&amp;D_技能表!$E$2:$E$1210,D_技能表!$I$2:$I$1210),2,FALSE),0)</f>
        <v>0</v>
      </c>
      <c r="AO13">
        <f t="array" aca="1" ref="AO13" ca="1">IFERROR(VLOOKUP($AN$5&amp;$C13,CHOOSE({1,2},D_技能表!$C$2:$C$1210&amp;D_技能表!$E$2:$E$1210,D_技能表!$N$2:$N$1210),2,FALSE),0)</f>
        <v>0</v>
      </c>
      <c r="AP13">
        <f t="array" aca="1" ref="AP13" ca="1">IFERROR(VLOOKUP($AN$5&amp;$C13,CHOOSE({1,2},D_技能表!$C$2:$C$1210&amp;D_技能表!$E$2:$E$1210,D_技能表!$W$2:$W$1210),2,FALSE),0)</f>
        <v>0</v>
      </c>
      <c r="AQ13">
        <f t="array" aca="1" ref="AQ13" ca="1">IFERROR(VLOOKUP($AN$5&amp;$C13,CHOOSE({1,2},D_技能表!$C$2:$C$1210&amp;D_技能表!$E$2:$E$1210,D_技能表!$Z$2:$Z$1210),2,FALSE),0)</f>
        <v>0</v>
      </c>
      <c r="AR13" s="11">
        <f ca="1">SUM($G$7:G14,$K$7:K14,$O$7:O14,$S$7:S14,$W$7:W14,$AA$7:AA14,$AE$7:AE14,$AI$7:AI14,$AM$7:AM14,$AQ$7:AQ14)</f>
        <v>0</v>
      </c>
      <c r="AS13">
        <f ca="1">SUM($F$7:F14,$J$7:J14,$N$7:N14,$R$7:R14,$V$7:V14,$Z$7:Z14,$AD$7:AD14,$AH$7:AH14,$AL$7:AL14,$AP$7:AP14)</f>
        <v>37</v>
      </c>
      <c r="AT13">
        <f t="shared" ca="1" si="1"/>
        <v>18</v>
      </c>
      <c r="AU13" s="33">
        <f ca="1">SUM($AX$7:AX13,$BB$7:BB13,$BF$7:BF13,$BJ$7:BJ13)</f>
        <v>3550</v>
      </c>
      <c r="AV13">
        <v>7</v>
      </c>
      <c r="AW13">
        <f t="array" ref="AW13">IFERROR(VLOOKUP(AW$5&amp;$AV13,CHOOSE({1,2},D_技能表CD!$C$2:$C$313&amp;D_技能表CD!$E$2:$E$313,D_技能表CD!$I$2:$I$313),2,FALSE),0)</f>
        <v>3</v>
      </c>
      <c r="AX13">
        <f t="array" aca="1" ref="AX13" ca="1">IFERROR(VLOOKUP(AW$5&amp;$AV13,CHOOSE({1,2},D_技能表CD!$C$2:$C$313&amp;D_技能表CD!$E$2:$E$313,D_技能表CD!$H$2:$H$313),2,FALSE),0)</f>
        <v>1300</v>
      </c>
      <c r="AY13">
        <f t="array" aca="1" ref="AY13" ca="1">IFERROR(VLOOKUP(AW$5&amp;$AV13,CHOOSE({1,2},D_技能表CD!$C$2:$C$313&amp;D_技能表CD!$E$2:$E$313,D_技能表CD!$L$2:$L$313),2,FALSE),0)</f>
        <v>14</v>
      </c>
      <c r="AZ13">
        <f t="array" ref="AZ13">IFERROR(VLOOKUP(AW$5&amp;$AV13,CHOOSE({1,2},D_技能表CD!$C$2:$C$313&amp;D_技能表CD!$E$2:$E$313,D_技能表CD!$K$2:$K$313),2,FALSE),0)</f>
        <v>0</v>
      </c>
      <c r="BA13">
        <f t="array" ref="BA13">IFERROR(VLOOKUP(BA$5&amp;$AV13,CHOOSE({1,2},D_技能表CD!$C$2:$C$313&amp;D_技能表CD!$E$2:$E$313,D_技能表CD!$I$2:$I$313),2,FALSE),0)</f>
        <v>0</v>
      </c>
      <c r="BB13">
        <f t="array" aca="1" ref="BB13" ca="1">IFERROR(VLOOKUP(BA$5&amp;$AV13,CHOOSE({1,2},D_技能表CD!$C$2:$C$313&amp;D_技能表CD!$E$2:$E$313,D_技能表CD!$H$2:$H$313),2,FALSE),0)</f>
        <v>0</v>
      </c>
      <c r="BC13">
        <f t="array" aca="1" ref="BC13" ca="1">IFERROR(VLOOKUP(BA$5&amp;$AV13,CHOOSE({1,2},D_技能表CD!$C$2:$C$313&amp;D_技能表CD!$E$2:$E$313,D_技能表CD!$L$2:$L$313),2,FALSE),0)</f>
        <v>0</v>
      </c>
      <c r="BD13">
        <f t="array" aca="1" ref="BD13" ca="1">IFERROR(VLOOKUP(BA$5&amp;$AV13,CHOOSE({1,2},D_技能表CD!$C$2:$C$313&amp;D_技能表CD!$E$2:$E$313,D_技能表CD!$K$2:$K$313),2,FALSE),0)</f>
        <v>0</v>
      </c>
      <c r="BE13">
        <f t="array" ref="BE13">IFERROR(VLOOKUP(BE$5&amp;$AV13,CHOOSE({1,2},D_技能表CD!$C$2:$C$313&amp;D_技能表CD!$E$2:$E$313,D_技能表CD!$I$2:$I$313),2,FALSE),0)</f>
        <v>2</v>
      </c>
      <c r="BF13">
        <f t="array" aca="1" ref="BF13" ca="1">IFERROR(VLOOKUP(BE$5&amp;$AV13,CHOOSE({1,2},D_技能表CD!$C$2:$C$313&amp;D_技能表CD!$E$2:$E$313,D_技能表CD!$H$2:$H$313),2,FALSE),0)</f>
        <v>500</v>
      </c>
      <c r="BG13">
        <f t="array" aca="1" ref="BG13" ca="1">IFERROR(VLOOKUP(BE$5&amp;$AV13,CHOOSE({1,2},D_技能表CD!$C$2:$C$313&amp;D_技能表CD!$E$2:$E$313,D_技能表CD!$L$2:$L$313),2,FALSE),0)</f>
        <v>10</v>
      </c>
      <c r="BH13">
        <f t="array" aca="1" ref="BH13" ca="1">IFERROR(VLOOKUP(BE$5&amp;$AV13,CHOOSE({1,2},D_技能表CD!$C$2:$C$313&amp;D_技能表CD!$E$2:$E$313,D_技能表CD!$K$2:$K$313),2,FALSE),0)</f>
        <v>0</v>
      </c>
      <c r="BI13">
        <f t="array" ref="BI13">IFERROR(VLOOKUP(BI$5&amp;$AV13,CHOOSE({1,2},D_技能表CD!$C$2:$C$313&amp;D_技能表CD!$E$2:$E$313,D_技能表CD!$I$2:$I$313),2,FALSE),0)</f>
        <v>0</v>
      </c>
      <c r="BJ13">
        <f t="array" aca="1" ref="BJ13" ca="1">IFERROR(VLOOKUP(BI$5&amp;$AV13,CHOOSE({1,2},D_技能表CD!$C$2:$C$313&amp;D_技能表CD!$E$2:$E$313,D_技能表CD!$H$2:$H$313),2,FALSE),0)</f>
        <v>0</v>
      </c>
      <c r="BK13">
        <f t="array" aca="1" ref="BK13" ca="1">IFERROR(VLOOKUP(BI$5&amp;$AV13,CHOOSE({1,2},D_技能表CD!$C$2:$C$313&amp;D_技能表CD!$E$2:$E$313,D_技能表CD!$L$2:$L$313),2,FALSE),0)</f>
        <v>0</v>
      </c>
      <c r="BL13">
        <f t="array" aca="1" ref="BL13" ca="1">IFERROR(VLOOKUP(BI$5&amp;$AV13,CHOOSE({1,2},D_技能表CD!$C$2:$C$313&amp;D_技能表CD!$E$2:$E$313,D_技能表CD!$K$2:$K$313),2,FALSE),0)</f>
        <v>0</v>
      </c>
    </row>
    <row r="14" spans="1:64" x14ac:dyDescent="0.15">
      <c r="A14">
        <f t="shared" ca="1" si="0"/>
        <v>7946</v>
      </c>
      <c r="B14" s="33">
        <f ca="1">SUM($E$7:E14,$I$7:I14,$M$7:M14,$Q$7:Q14,$U$7:U14,$Y$7:Y14,$AC$7:AC14,$AG$7:AG14,$AK$7:AK14,$AO$7:AO14)</f>
        <v>3296</v>
      </c>
      <c r="C14">
        <v>8</v>
      </c>
      <c r="D14">
        <f t="array" aca="1" ref="D14" ca="1">IFERROR(VLOOKUP($D$5&amp;C14,CHOOSE({1,2},D_技能表!$C$2:$C$1210&amp;D_技能表!$E$2:$E$1210,D_技能表!$I$2:$I$1210),2,FALSE),0)</f>
        <v>4</v>
      </c>
      <c r="E14">
        <f t="array" aca="1" ref="E14" ca="1">IFERROR(VLOOKUP($D$5&amp;$C14,CHOOSE({1,2},D_技能表!$C$2:$C$1210&amp;D_技能表!$E$2:$E$1210,D_技能表!$N$2:$N$1210),2,FALSE),0)</f>
        <v>920</v>
      </c>
      <c r="F14">
        <f t="array" aca="1" ref="F14" ca="1">IFERROR(VLOOKUP($D$5&amp;$C14,CHOOSE({1,2},D_技能表!$C$2:$C$1210&amp;D_技能表!$E$2:$E$1210,D_技能表!$W$2:$W$1210),2,FALSE),0)</f>
        <v>10</v>
      </c>
      <c r="G14">
        <f t="array" aca="1" ref="G14" ca="1">IFERROR(VLOOKUP($D$5&amp;$C14,CHOOSE({1,2},D_技能表!$C$2:$C$1210&amp;D_技能表!$E$2:$E$1210,D_技能表!$Z$2:$Z$1210),2,FALSE),0)</f>
        <v>0</v>
      </c>
      <c r="H14">
        <f t="array" aca="1" ref="H14" ca="1">IFERROR(VLOOKUP($H$5&amp;$C14,CHOOSE({1,2},D_技能表!$C$2:$C$1210&amp;D_技能表!$E$2:$E$1210,D_技能表!$I$2:$I$1210),2,FALSE),0)</f>
        <v>0</v>
      </c>
      <c r="I14">
        <f t="array" aca="1" ref="I14" ca="1">IFERROR(VLOOKUP($H$5&amp;$C14,CHOOSE({1,2},D_技能表!$C$2:$C$1210&amp;D_技能表!$E$2:$E$1210,D_技能表!$N$2:$N$1210),2,FALSE),0)</f>
        <v>0</v>
      </c>
      <c r="J14">
        <f t="array" aca="1" ref="J14" ca="1">IFERROR(VLOOKUP($H$5&amp;$C14,CHOOSE({1,2},D_技能表!$C$2:$C$1210&amp;D_技能表!$E$2:$E$1210,D_技能表!$W$2:$W$1210),2,FALSE),0)</f>
        <v>0</v>
      </c>
      <c r="K14">
        <f t="array" aca="1" ref="K14" ca="1">IFERROR(VLOOKUP($H$5&amp;$C14,CHOOSE({1,2},D_技能表!$C$2:$C$1210&amp;D_技能表!$E$2:$E$1210,D_技能表!$Z$2:$Z$1210),2,FALSE),0)</f>
        <v>0</v>
      </c>
      <c r="L14">
        <f t="array" aca="1" ref="L14" ca="1">IFERROR(VLOOKUP($L$5&amp;$C14,CHOOSE({1,2},D_技能表!$C$2:$C$1210&amp;D_技能表!$E$2:$E$1210,D_技能表!$I$2:$I$1210),2,FALSE),0)</f>
        <v>0</v>
      </c>
      <c r="M14">
        <f t="array" aca="1" ref="M14" ca="1">IFERROR(VLOOKUP($L$5&amp;$C14,CHOOSE({1,2},D_技能表!$C$2:$C$1210&amp;D_技能表!$E$2:$E$1210,D_技能表!$N$2:$N$1210),2,FALSE),0)</f>
        <v>0</v>
      </c>
      <c r="N14">
        <f t="array" aca="1" ref="N14" ca="1">IFERROR(VLOOKUP($L$5&amp;$C14,CHOOSE({1,2},D_技能表!$C$2:$C$1210&amp;D_技能表!$E$2:$E$1210,D_技能表!$W$2:$W$1210),2,FALSE),0)</f>
        <v>0</v>
      </c>
      <c r="O14">
        <f t="array" aca="1" ref="O14" ca="1">IFERROR(VLOOKUP($L$5&amp;$C14,CHOOSE({1,2},D_技能表!$C$2:$C$1210&amp;D_技能表!$E$2:$E$1210,D_技能表!$Z$2:$Z$1210),2,FALSE),0)</f>
        <v>0</v>
      </c>
      <c r="P14">
        <f t="array" aca="1" ref="P14" ca="1">IFERROR(VLOOKUP($P$5&amp;$C14,CHOOSE({1,2},D_技能表!$C$2:$C$1210&amp;D_技能表!$E$2:$E$1210,D_技能表!$I$2:$I$1210),2,FALSE),0)</f>
        <v>0</v>
      </c>
      <c r="Q14">
        <f t="array" aca="1" ref="Q14" ca="1">IFERROR(VLOOKUP($P$5&amp;$C14,CHOOSE({1,2},D_技能表!$C$2:$C$1210&amp;D_技能表!$E$2:$E$1210,D_技能表!$N$2:$N$1210),2,FALSE),0)</f>
        <v>0</v>
      </c>
      <c r="R14">
        <f t="array" aca="1" ref="R14" ca="1">IFERROR(VLOOKUP($P$5&amp;$C14,CHOOSE({1,2},D_技能表!$C$2:$C$1210&amp;D_技能表!$E$2:$E$1210,D_技能表!$W$2:$W$1210),2,FALSE),0)</f>
        <v>0</v>
      </c>
      <c r="S14">
        <f t="array" aca="1" ref="S14" ca="1">IFERROR(VLOOKUP($P$5&amp;$C14,CHOOSE({1,2},D_技能表!$C$2:$C$1210&amp;D_技能表!$E$2:$E$1210,D_技能表!$Z$2:$Z$1210),2,FALSE),0)</f>
        <v>0</v>
      </c>
      <c r="T14">
        <f t="array" aca="1" ref="T14" ca="1">IFERROR(VLOOKUP($T$5&amp;$C14,CHOOSE({1,2},D_技能表!$C$2:$C$1210&amp;D_技能表!$E$2:$E$1210,D_技能表!$I$2:$I$1210),2,FALSE),0)</f>
        <v>0</v>
      </c>
      <c r="U14">
        <f t="array" aca="1" ref="U14" ca="1">IFERROR(VLOOKUP($T$5&amp;$C14,CHOOSE({1,2},D_技能表!$C$2:$C$1210&amp;D_技能表!$E$2:$E$1210,D_技能表!$N$2:$N$1210),2,FALSE),0)</f>
        <v>0</v>
      </c>
      <c r="V14">
        <f t="array" aca="1" ref="V14" ca="1">IFERROR(VLOOKUP($T$5&amp;$C14,CHOOSE({1,2},D_技能表!$C$2:$C$1210&amp;D_技能表!$E$2:$E$1210,D_技能表!$W$2:$W$1210),2,FALSE),0)</f>
        <v>0</v>
      </c>
      <c r="W14">
        <f t="array" aca="1" ref="W14" ca="1">IFERROR(VLOOKUP($T$5&amp;$C14,CHOOSE({1,2},D_技能表!$C$2:$C$1210&amp;D_技能表!$E$2:$E$1210,D_技能表!$Z$2:$Z$1210),2,FALSE),0)</f>
        <v>0</v>
      </c>
      <c r="X14">
        <f t="array" aca="1" ref="X14" ca="1">IFERROR(VLOOKUP($X$5&amp;$C14,CHOOSE({1,2},D_技能表!$C$2:$C$1210&amp;D_技能表!$E$2:$E$1210,D_技能表!$I$2:$I$1210),2,FALSE),0)</f>
        <v>2</v>
      </c>
      <c r="Y14">
        <f t="array" aca="1" ref="Y14" ca="1">IFERROR(VLOOKUP($X$5&amp;$C14,CHOOSE({1,2},D_技能表!$C$2:$C$1210&amp;D_技能表!$E$2:$E$1210,D_技能表!$N$2:$N$1210),2,FALSE),0)</f>
        <v>828</v>
      </c>
      <c r="Z14">
        <f t="array" aca="1" ref="Z14" ca="1">IFERROR(VLOOKUP($X$5&amp;$C14,CHOOSE({1,2},D_技能表!$C$2:$C$1210&amp;D_技能表!$E$2:$E$1210,D_技能表!$W$2:$W$1210),2,FALSE),0)</f>
        <v>9</v>
      </c>
      <c r="AA14">
        <f t="array" aca="1" ref="AA14" ca="1">IFERROR(VLOOKUP($X$5&amp;$C14,CHOOSE({1,2},D_技能表!$C$2:$C$1210&amp;D_技能表!$E$2:$E$1210,D_技能表!$Z$2:$Z$1210),2,FALSE),0)</f>
        <v>0</v>
      </c>
      <c r="AB14">
        <f t="array" aca="1" ref="AB14" ca="1">IFERROR(VLOOKUP($AB$5&amp;$C14,CHOOSE({1,2},D_技能表!$C$2:$C$1210&amp;D_技能表!$E$2:$E$1210,D_技能表!$I$2:$I$1210),2,FALSE),0)</f>
        <v>0</v>
      </c>
      <c r="AC14">
        <f t="array" aca="1" ref="AC14" ca="1">IFERROR(VLOOKUP($AB$5&amp;$C14,CHOOSE({1,2},D_技能表!$C$2:$C$1210&amp;D_技能表!$E$2:$E$1210,D_技能表!$N$2:$N$1210),2,FALSE),0)</f>
        <v>0</v>
      </c>
      <c r="AD14">
        <f t="array" aca="1" ref="AD14" ca="1">IFERROR(VLOOKUP($AB$5&amp;$C14,CHOOSE({1,2},D_技能表!$C$2:$C$1210&amp;D_技能表!$E$2:$E$1210,D_技能表!$W$2:$W$1210),2,FALSE),0)</f>
        <v>0</v>
      </c>
      <c r="AE14">
        <f t="array" aca="1" ref="AE14" ca="1">IFERROR(VLOOKUP($AB$5&amp;$C14,CHOOSE({1,2},D_技能表!$C$2:$C$1210&amp;D_技能表!$E$2:$E$1210,D_技能表!$Z$2:$Z$1210),2,FALSE),0)</f>
        <v>0</v>
      </c>
      <c r="AF14">
        <f t="array" aca="1" ref="AF14" ca="1">IFERROR(VLOOKUP($AF$5&amp;$C14,CHOOSE({1,2},D_技能表!$C$2:$C$1210&amp;D_技能表!$E$2:$E$1210,D_技能表!$I$2:$I$1210),2,FALSE),0)</f>
        <v>0</v>
      </c>
      <c r="AG14">
        <f t="array" aca="1" ref="AG14" ca="1">IFERROR(VLOOKUP($AF$5&amp;$C14,CHOOSE({1,2},D_技能表!$C$2:$C$1210&amp;D_技能表!$E$2:$E$1210,D_技能表!$N$2:$N$1210),2,FALSE),0)</f>
        <v>0</v>
      </c>
      <c r="AH14">
        <f t="array" aca="1" ref="AH14" ca="1">IFERROR(VLOOKUP($AF$5&amp;$C14,CHOOSE({1,2},D_技能表!$C$2:$C$1210&amp;D_技能表!$E$2:$E$1210,D_技能表!$W$2:$W$1210),2,FALSE),0)</f>
        <v>0</v>
      </c>
      <c r="AI14">
        <f t="array" aca="1" ref="AI14" ca="1">IFERROR(VLOOKUP($AF$5&amp;$C14,CHOOSE({1,2},D_技能表!$C$2:$C$1210&amp;D_技能表!$E$2:$E$1210,D_技能表!$Z$2:$Z$1210),2,FALSE),0)</f>
        <v>0</v>
      </c>
      <c r="AJ14">
        <f t="array" aca="1" ref="AJ14" ca="1">IFERROR(VLOOKUP($AJ$5&amp;$C14,CHOOSE({1,2},D_技能表!$C$2:$C$1210&amp;D_技能表!$E$2:$E$1210,D_技能表!$I$2:$I$1210),2,FALSE),0)</f>
        <v>0</v>
      </c>
      <c r="AK14">
        <f t="array" aca="1" ref="AK14" ca="1">IFERROR(VLOOKUP($AJ$5&amp;$C14,CHOOSE({1,2},D_技能表!$C$2:$C$1210&amp;D_技能表!$E$2:$E$1210,D_技能表!$N$2:$N$1210),2,FALSE),0)</f>
        <v>0</v>
      </c>
      <c r="AL14">
        <f t="array" aca="1" ref="AL14" ca="1">IFERROR(VLOOKUP($AJ$5&amp;$C14,CHOOSE({1,2},D_技能表!$C$2:$C$1210&amp;D_技能表!$E$2:$E$1210,D_技能表!$W$2:$W$1210),2,FALSE),0)</f>
        <v>0</v>
      </c>
      <c r="AM14">
        <f t="array" aca="1" ref="AM14" ca="1">IFERROR(VLOOKUP($AJ$5&amp;$C14,CHOOSE({1,2},D_技能表!$C$2:$C$1210&amp;D_技能表!$E$2:$E$1210,D_技能表!$Z$2:$Z$1210),2,FALSE),0)</f>
        <v>0</v>
      </c>
      <c r="AN14">
        <f t="array" aca="1" ref="AN14" ca="1">IFERROR(VLOOKUP($AN$5&amp;$C14,CHOOSE({1,2},D_技能表!$C$2:$C$1210&amp;D_技能表!$E$2:$E$1210,D_技能表!$I$2:$I$1210),2,FALSE),0)</f>
        <v>0</v>
      </c>
      <c r="AO14">
        <f t="array" aca="1" ref="AO14" ca="1">IFERROR(VLOOKUP($AN$5&amp;$C14,CHOOSE({1,2},D_技能表!$C$2:$C$1210&amp;D_技能表!$E$2:$E$1210,D_技能表!$N$2:$N$1210),2,FALSE),0)</f>
        <v>0</v>
      </c>
      <c r="AP14">
        <f t="array" aca="1" ref="AP14" ca="1">IFERROR(VLOOKUP($AN$5&amp;$C14,CHOOSE({1,2},D_技能表!$C$2:$C$1210&amp;D_技能表!$E$2:$E$1210,D_技能表!$W$2:$W$1210),2,FALSE),0)</f>
        <v>0</v>
      </c>
      <c r="AQ14">
        <f t="array" aca="1" ref="AQ14" ca="1">IFERROR(VLOOKUP($AN$5&amp;$C14,CHOOSE({1,2},D_技能表!$C$2:$C$1210&amp;D_技能表!$E$2:$E$1210,D_技能表!$Z$2:$Z$1210),2,FALSE),0)</f>
        <v>0</v>
      </c>
      <c r="AR14" s="11">
        <f ca="1">SUM($G$7:G15,$K$7:K15,$O$7:O15,$S$7:S15,$W$7:W15,$AA$7:AA15,$AE$7:AE15,$AI$7:AI15,$AM$7:AM15,$AQ$7:AQ15)</f>
        <v>0</v>
      </c>
      <c r="AS14">
        <f ca="1">SUM($F$7:F15,$J$7:J15,$N$7:N15,$R$7:R15,$V$7:V15,$Z$7:Z15,$AD$7:AD15,$AH$7:AH15,$AL$7:AL15,$AP$7:AP15)</f>
        <v>49</v>
      </c>
      <c r="AT14">
        <f t="shared" ca="1" si="1"/>
        <v>19</v>
      </c>
      <c r="AU14" s="33">
        <f ca="1">SUM($AX$7:AX14,$BB$7:BB14,$BF$7:BF14,$BJ$7:BJ14)</f>
        <v>4650</v>
      </c>
      <c r="AV14">
        <v>8</v>
      </c>
      <c r="AW14">
        <f t="array" ref="AW14">IFERROR(VLOOKUP(AW$5&amp;$AV14,CHOOSE({1,2},D_技能表CD!$C$2:$C$313&amp;D_技能表CD!$E$2:$E$313,D_技能表CD!$I$2:$I$313),2,FALSE),0)</f>
        <v>0</v>
      </c>
      <c r="AX14">
        <f t="array" aca="1" ref="AX14" ca="1">IFERROR(VLOOKUP(AW$5&amp;$AV14,CHOOSE({1,2},D_技能表CD!$C$2:$C$313&amp;D_技能表CD!$E$2:$E$313,D_技能表CD!$H$2:$H$313),2,FALSE),0)</f>
        <v>0</v>
      </c>
      <c r="AY14">
        <f t="array" aca="1" ref="AY14" ca="1">IFERROR(VLOOKUP(AW$5&amp;$AV14,CHOOSE({1,2},D_技能表CD!$C$2:$C$313&amp;D_技能表CD!$E$2:$E$313,D_技能表CD!$L$2:$L$313),2,FALSE),0)</f>
        <v>0</v>
      </c>
      <c r="AZ14">
        <f t="array" aca="1" ref="AZ14" ca="1">IFERROR(VLOOKUP(AW$5&amp;$AV14,CHOOSE({1,2},D_技能表CD!$C$2:$C$313&amp;D_技能表CD!$E$2:$E$313,D_技能表CD!$K$2:$K$313),2,FALSE),0)</f>
        <v>0</v>
      </c>
      <c r="BA14">
        <f t="array" ref="BA14">IFERROR(VLOOKUP(BA$5&amp;$AV14,CHOOSE({1,2},D_技能表CD!$C$2:$C$313&amp;D_技能表CD!$E$2:$E$313,D_技能表CD!$I$2:$I$313),2,FALSE),0)</f>
        <v>0</v>
      </c>
      <c r="BB14">
        <f t="array" aca="1" ref="BB14" ca="1">IFERROR(VLOOKUP(BA$5&amp;$AV14,CHOOSE({1,2},D_技能表CD!$C$2:$C$313&amp;D_技能表CD!$E$2:$E$313,D_技能表CD!$H$2:$H$313),2,FALSE),0)</f>
        <v>0</v>
      </c>
      <c r="BC14">
        <f t="array" aca="1" ref="BC14" ca="1">IFERROR(VLOOKUP(BA$5&amp;$AV14,CHOOSE({1,2},D_技能表CD!$C$2:$C$313&amp;D_技能表CD!$E$2:$E$313,D_技能表CD!$L$2:$L$313),2,FALSE),0)</f>
        <v>0</v>
      </c>
      <c r="BD14">
        <f t="array" aca="1" ref="BD14" ca="1">IFERROR(VLOOKUP(BA$5&amp;$AV14,CHOOSE({1,2},D_技能表CD!$C$2:$C$313&amp;D_技能表CD!$E$2:$E$313,D_技能表CD!$K$2:$K$313),2,FALSE),0)</f>
        <v>0</v>
      </c>
      <c r="BE14">
        <f t="array" ref="BE14">IFERROR(VLOOKUP(BE$5&amp;$AV14,CHOOSE({1,2},D_技能表CD!$C$2:$C$313&amp;D_技能表CD!$E$2:$E$313,D_技能表CD!$I$2:$I$313),2,FALSE),0)</f>
        <v>0</v>
      </c>
      <c r="BF14">
        <f t="array" aca="1" ref="BF14" ca="1">IFERROR(VLOOKUP(BE$5&amp;$AV14,CHOOSE({1,2},D_技能表CD!$C$2:$C$313&amp;D_技能表CD!$E$2:$E$313,D_技能表CD!$H$2:$H$313),2,FALSE),0)</f>
        <v>0</v>
      </c>
      <c r="BG14">
        <f t="array" aca="1" ref="BG14" ca="1">IFERROR(VLOOKUP(BE$5&amp;$AV14,CHOOSE({1,2},D_技能表CD!$C$2:$C$313&amp;D_技能表CD!$E$2:$E$313,D_技能表CD!$L$2:$L$313),2,FALSE),0)</f>
        <v>0</v>
      </c>
      <c r="BH14">
        <f t="array" aca="1" ref="BH14" ca="1">IFERROR(VLOOKUP(BE$5&amp;$AV14,CHOOSE({1,2},D_技能表CD!$C$2:$C$313&amp;D_技能表CD!$E$2:$E$313,D_技能表CD!$K$2:$K$313),2,FALSE),0)</f>
        <v>0</v>
      </c>
      <c r="BI14">
        <f t="array" ref="BI14">IFERROR(VLOOKUP(BI$5&amp;$AV14,CHOOSE({1,2},D_技能表CD!$C$2:$C$313&amp;D_技能表CD!$E$2:$E$313,D_技能表CD!$I$2:$I$313),2,FALSE),0)</f>
        <v>2</v>
      </c>
      <c r="BJ14">
        <f t="array" aca="1" ref="BJ14" ca="1">IFERROR(VLOOKUP(BI$5&amp;$AV14,CHOOSE({1,2},D_技能表CD!$C$2:$C$313&amp;D_技能表CD!$E$2:$E$313,D_技能表CD!$H$2:$H$313),2,FALSE),0)</f>
        <v>1100</v>
      </c>
      <c r="BK14">
        <f t="array" aca="1" ref="BK14" ca="1">IFERROR(VLOOKUP(BI$5&amp;$AV14,CHOOSE({1,2},D_技能表CD!$C$2:$C$313&amp;D_技能表CD!$E$2:$E$313,D_技能表CD!$L$2:$L$313),2,FALSE),0)</f>
        <v>22</v>
      </c>
      <c r="BL14">
        <f t="array" aca="1" ref="BL14" ca="1">IFERROR(VLOOKUP(BI$5&amp;$AV14,CHOOSE({1,2},D_技能表CD!$C$2:$C$313&amp;D_技能表CD!$E$2:$E$313,D_技能表CD!$K$2:$K$313),2,FALSE),0)</f>
        <v>0</v>
      </c>
    </row>
    <row r="15" spans="1:64" x14ac:dyDescent="0.15">
      <c r="A15">
        <f t="shared" ca="1" si="0"/>
        <v>11572</v>
      </c>
      <c r="B15" s="33">
        <f ca="1">SUM($E$7:E15,$I$7:I15,$M$7:M15,$Q$7:Q15,$U$7:U15,$Y$7:Y15,$AC$7:AC15,$AG$7:AG15,$AK$7:AK15,$AO$7:AO15)</f>
        <v>4472</v>
      </c>
      <c r="C15">
        <v>9</v>
      </c>
      <c r="D15">
        <f t="array" aca="1" ref="D15" ca="1">IFERROR(VLOOKUP($D$5&amp;C15,CHOOSE({1,2},D_技能表!$C$2:$C$1210&amp;D_技能表!$E$2:$E$1210,D_技能表!$I$2:$I$1210),2,FALSE),0)</f>
        <v>0</v>
      </c>
      <c r="E15">
        <f t="array" aca="1" ref="E15" ca="1">IFERROR(VLOOKUP($D$5&amp;$C15,CHOOSE({1,2},D_技能表!$C$2:$C$1210&amp;D_技能表!$E$2:$E$1210,D_技能表!$N$2:$N$1210),2,FALSE),0)</f>
        <v>0</v>
      </c>
      <c r="F15">
        <f t="array" aca="1" ref="F15" ca="1">IFERROR(VLOOKUP($D$5&amp;$C15,CHOOSE({1,2},D_技能表!$C$2:$C$1210&amp;D_技能表!$E$2:$E$1210,D_技能表!$W$2:$W$1210),2,FALSE),0)</f>
        <v>0</v>
      </c>
      <c r="G15">
        <f t="array" aca="1" ref="G15" ca="1">IFERROR(VLOOKUP($D$5&amp;$C15,CHOOSE({1,2},D_技能表!$C$2:$C$1210&amp;D_技能表!$E$2:$E$1210,D_技能表!$Z$2:$Z$1210),2,FALSE),0)</f>
        <v>0</v>
      </c>
      <c r="H15">
        <f t="array" aca="1" ref="H15" ca="1">IFERROR(VLOOKUP($H$5&amp;$C15,CHOOSE({1,2},D_技能表!$C$2:$C$1210&amp;D_技能表!$E$2:$E$1210,D_技能表!$I$2:$I$1210),2,FALSE),0)</f>
        <v>3</v>
      </c>
      <c r="I15">
        <f t="array" aca="1" ref="I15" ca="1">IFERROR(VLOOKUP($H$5&amp;$C15,CHOOSE({1,2},D_技能表!$C$2:$C$1210&amp;D_技能表!$E$2:$E$1210,D_技能表!$N$2:$N$1210),2,FALSE),0)</f>
        <v>392</v>
      </c>
      <c r="J15">
        <f t="array" aca="1" ref="J15" ca="1">IFERROR(VLOOKUP($H$5&amp;$C15,CHOOSE({1,2},D_技能表!$C$2:$C$1210&amp;D_技能表!$E$2:$E$1210,D_技能表!$W$2:$W$1210),2,FALSE),0)</f>
        <v>4</v>
      </c>
      <c r="K15">
        <f t="array" aca="1" ref="K15" ca="1">IFERROR(VLOOKUP($H$5&amp;$C15,CHOOSE({1,2},D_技能表!$C$2:$C$1210&amp;D_技能表!$E$2:$E$1210,D_技能表!$Z$2:$Z$1210),2,FALSE),0)</f>
        <v>0</v>
      </c>
      <c r="L15">
        <f t="array" aca="1" ref="L15" ca="1">IFERROR(VLOOKUP($L$5&amp;$C15,CHOOSE({1,2},D_技能表!$C$2:$C$1210&amp;D_技能表!$E$2:$E$1210,D_技能表!$I$2:$I$1210),2,FALSE),0)</f>
        <v>3</v>
      </c>
      <c r="M15">
        <f t="array" aca="1" ref="M15" ca="1">IFERROR(VLOOKUP($L$5&amp;$C15,CHOOSE({1,2},D_技能表!$C$2:$C$1210&amp;D_技能表!$E$2:$E$1210,D_技能表!$N$2:$N$1210),2,FALSE),0)</f>
        <v>392</v>
      </c>
      <c r="N15">
        <f t="array" aca="1" ref="N15" ca="1">IFERROR(VLOOKUP($L$5&amp;$C15,CHOOSE({1,2},D_技能表!$C$2:$C$1210&amp;D_技能表!$E$2:$E$1210,D_技能表!$W$2:$W$1210),2,FALSE),0)</f>
        <v>4</v>
      </c>
      <c r="O15">
        <f t="array" aca="1" ref="O15" ca="1">IFERROR(VLOOKUP($L$5&amp;$C15,CHOOSE({1,2},D_技能表!$C$2:$C$1210&amp;D_技能表!$E$2:$E$1210,D_技能表!$Z$2:$Z$1210),2,FALSE),0)</f>
        <v>0</v>
      </c>
      <c r="P15">
        <f t="array" aca="1" ref="P15" ca="1">IFERROR(VLOOKUP($P$5&amp;$C15,CHOOSE({1,2},D_技能表!$C$2:$C$1210&amp;D_技能表!$E$2:$E$1210,D_技能表!$I$2:$I$1210),2,FALSE),0)</f>
        <v>0</v>
      </c>
      <c r="Q15">
        <f t="array" aca="1" ref="Q15" ca="1">IFERROR(VLOOKUP($P$5&amp;$C15,CHOOSE({1,2},D_技能表!$C$2:$C$1210&amp;D_技能表!$E$2:$E$1210,D_技能表!$N$2:$N$1210),2,FALSE),0)</f>
        <v>0</v>
      </c>
      <c r="R15">
        <f t="array" aca="1" ref="R15" ca="1">IFERROR(VLOOKUP($P$5&amp;$C15,CHOOSE({1,2},D_技能表!$C$2:$C$1210&amp;D_技能表!$E$2:$E$1210,D_技能表!$W$2:$W$1210),2,FALSE),0)</f>
        <v>0</v>
      </c>
      <c r="S15">
        <f t="array" aca="1" ref="S15" ca="1">IFERROR(VLOOKUP($P$5&amp;$C15,CHOOSE({1,2},D_技能表!$C$2:$C$1210&amp;D_技能表!$E$2:$E$1210,D_技能表!$Z$2:$Z$1210),2,FALSE),0)</f>
        <v>0</v>
      </c>
      <c r="T15">
        <f t="array" aca="1" ref="T15" ca="1">IFERROR(VLOOKUP($T$5&amp;$C15,CHOOSE({1,2},D_技能表!$C$2:$C$1210&amp;D_技能表!$E$2:$E$1210,D_技能表!$I$2:$I$1210),2,FALSE),0)</f>
        <v>0</v>
      </c>
      <c r="U15">
        <f t="array" aca="1" ref="U15" ca="1">IFERROR(VLOOKUP($T$5&amp;$C15,CHOOSE({1,2},D_技能表!$C$2:$C$1210&amp;D_技能表!$E$2:$E$1210,D_技能表!$N$2:$N$1210),2,FALSE),0)</f>
        <v>0</v>
      </c>
      <c r="V15">
        <f t="array" aca="1" ref="V15" ca="1">IFERROR(VLOOKUP($T$5&amp;$C15,CHOOSE({1,2},D_技能表!$C$2:$C$1210&amp;D_技能表!$E$2:$E$1210,D_技能表!$W$2:$W$1210),2,FALSE),0)</f>
        <v>0</v>
      </c>
      <c r="W15">
        <f t="array" aca="1" ref="W15" ca="1">IFERROR(VLOOKUP($T$5&amp;$C15,CHOOSE({1,2},D_技能表!$C$2:$C$1210&amp;D_技能表!$E$2:$E$1210,D_技能表!$Z$2:$Z$1210),2,FALSE),0)</f>
        <v>0</v>
      </c>
      <c r="X15">
        <f t="array" aca="1" ref="X15" ca="1">IFERROR(VLOOKUP($X$5&amp;$C15,CHOOSE({1,2},D_技能表!$C$2:$C$1210&amp;D_技能表!$E$2:$E$1210,D_技能表!$I$2:$I$1210),2,FALSE),0)</f>
        <v>0</v>
      </c>
      <c r="Y15">
        <f t="array" aca="1" ref="Y15" ca="1">IFERROR(VLOOKUP($X$5&amp;$C15,CHOOSE({1,2},D_技能表!$C$2:$C$1210&amp;D_技能表!$E$2:$E$1210,D_技能表!$N$2:$N$1210),2,FALSE),0)</f>
        <v>0</v>
      </c>
      <c r="Z15">
        <f t="array" aca="1" ref="Z15" ca="1">IFERROR(VLOOKUP($X$5&amp;$C15,CHOOSE({1,2},D_技能表!$C$2:$C$1210&amp;D_技能表!$E$2:$E$1210,D_技能表!$W$2:$W$1210),2,FALSE),0)</f>
        <v>0</v>
      </c>
      <c r="AA15">
        <f t="array" aca="1" ref="AA15" ca="1">IFERROR(VLOOKUP($X$5&amp;$C15,CHOOSE({1,2},D_技能表!$C$2:$C$1210&amp;D_技能表!$E$2:$E$1210,D_技能表!$Z$2:$Z$1210),2,FALSE),0)</f>
        <v>0</v>
      </c>
      <c r="AB15">
        <f t="array" aca="1" ref="AB15" ca="1">IFERROR(VLOOKUP($AB$5&amp;$C15,CHOOSE({1,2},D_技能表!$C$2:$C$1210&amp;D_技能表!$E$2:$E$1210,D_技能表!$I$2:$I$1210),2,FALSE),0)</f>
        <v>2</v>
      </c>
      <c r="AC15">
        <f t="array" aca="1" ref="AC15" ca="1">IFERROR(VLOOKUP($AB$5&amp;$C15,CHOOSE({1,2},D_技能表!$C$2:$C$1210&amp;D_技能表!$E$2:$E$1210,D_技能表!$N$2:$N$1210),2,FALSE),0)</f>
        <v>392</v>
      </c>
      <c r="AD15">
        <f t="array" aca="1" ref="AD15" ca="1">IFERROR(VLOOKUP($AB$5&amp;$C15,CHOOSE({1,2},D_技能表!$C$2:$C$1210&amp;D_技能表!$E$2:$E$1210,D_技能表!$W$2:$W$1210),2,FALSE),0)</f>
        <v>4</v>
      </c>
      <c r="AE15">
        <f t="array" aca="1" ref="AE15" ca="1">IFERROR(VLOOKUP($AB$5&amp;$C15,CHOOSE({1,2},D_技能表!$C$2:$C$1210&amp;D_技能表!$E$2:$E$1210,D_技能表!$Z$2:$Z$1210),2,FALSE),0)</f>
        <v>0</v>
      </c>
      <c r="AF15">
        <f t="array" aca="1" ref="AF15" ca="1">IFERROR(VLOOKUP($AF$5&amp;$C15,CHOOSE({1,2},D_技能表!$C$2:$C$1210&amp;D_技能表!$E$2:$E$1210,D_技能表!$I$2:$I$1210),2,FALSE),0)</f>
        <v>0</v>
      </c>
      <c r="AG15">
        <f t="array" aca="1" ref="AG15" ca="1">IFERROR(VLOOKUP($AF$5&amp;$C15,CHOOSE({1,2},D_技能表!$C$2:$C$1210&amp;D_技能表!$E$2:$E$1210,D_技能表!$N$2:$N$1210),2,FALSE),0)</f>
        <v>0</v>
      </c>
      <c r="AH15">
        <f t="array" aca="1" ref="AH15" ca="1">IFERROR(VLOOKUP($AF$5&amp;$C15,CHOOSE({1,2},D_技能表!$C$2:$C$1210&amp;D_技能表!$E$2:$E$1210,D_技能表!$W$2:$W$1210),2,FALSE),0)</f>
        <v>0</v>
      </c>
      <c r="AI15">
        <f t="array" aca="1" ref="AI15" ca="1">IFERROR(VLOOKUP($AF$5&amp;$C15,CHOOSE({1,2},D_技能表!$C$2:$C$1210&amp;D_技能表!$E$2:$E$1210,D_技能表!$Z$2:$Z$1210),2,FALSE),0)</f>
        <v>0</v>
      </c>
      <c r="AJ15">
        <f t="array" aca="1" ref="AJ15" ca="1">IFERROR(VLOOKUP($AJ$5&amp;$C15,CHOOSE({1,2},D_技能表!$C$2:$C$1210&amp;D_技能表!$E$2:$E$1210,D_技能表!$I$2:$I$1210),2,FALSE),0)</f>
        <v>0</v>
      </c>
      <c r="AK15">
        <f t="array" aca="1" ref="AK15" ca="1">IFERROR(VLOOKUP($AJ$5&amp;$C15,CHOOSE({1,2},D_技能表!$C$2:$C$1210&amp;D_技能表!$E$2:$E$1210,D_技能表!$N$2:$N$1210),2,FALSE),0)</f>
        <v>0</v>
      </c>
      <c r="AL15">
        <f t="array" aca="1" ref="AL15" ca="1">IFERROR(VLOOKUP($AJ$5&amp;$C15,CHOOSE({1,2},D_技能表!$C$2:$C$1210&amp;D_技能表!$E$2:$E$1210,D_技能表!$W$2:$W$1210),2,FALSE),0)</f>
        <v>0</v>
      </c>
      <c r="AM15">
        <f t="array" aca="1" ref="AM15" ca="1">IFERROR(VLOOKUP($AJ$5&amp;$C15,CHOOSE({1,2},D_技能表!$C$2:$C$1210&amp;D_技能表!$E$2:$E$1210,D_技能表!$Z$2:$Z$1210),2,FALSE),0)</f>
        <v>0</v>
      </c>
      <c r="AN15">
        <f t="array" aca="1" ref="AN15" ca="1">IFERROR(VLOOKUP($AN$5&amp;$C15,CHOOSE({1,2},D_技能表!$C$2:$C$1210&amp;D_技能表!$E$2:$E$1210,D_技能表!$I$2:$I$1210),2,FALSE),0)</f>
        <v>0</v>
      </c>
      <c r="AO15">
        <f t="array" aca="1" ref="AO15" ca="1">IFERROR(VLOOKUP($AN$5&amp;$C15,CHOOSE({1,2},D_技能表!$C$2:$C$1210&amp;D_技能表!$E$2:$E$1210,D_技能表!$N$2:$N$1210),2,FALSE),0)</f>
        <v>0</v>
      </c>
      <c r="AP15">
        <f t="array" aca="1" ref="AP15" ca="1">IFERROR(VLOOKUP($AN$5&amp;$C15,CHOOSE({1,2},D_技能表!$C$2:$C$1210&amp;D_技能表!$E$2:$E$1210,D_技能表!$W$2:$W$1210),2,FALSE),0)</f>
        <v>0</v>
      </c>
      <c r="AQ15">
        <f t="array" aca="1" ref="AQ15" ca="1">IFERROR(VLOOKUP($AN$5&amp;$C15,CHOOSE({1,2},D_技能表!$C$2:$C$1210&amp;D_技能表!$E$2:$E$1210,D_技能表!$Z$2:$Z$1210),2,FALSE),0)</f>
        <v>0</v>
      </c>
      <c r="AR15" s="11">
        <f ca="1">SUM($G$7:G16,$K$7:K16,$O$7:O16,$S$7:S16,$W$7:W16,$AA$7:AA16,$AE$7:AE16,$AI$7:AI16,$AM$7:AM16,$AQ$7:AQ16)</f>
        <v>0</v>
      </c>
      <c r="AS15">
        <f ca="1">SUM($F$7:F16,$J$7:J16,$N$7:N16,$R$7:R16,$V$7:V16,$Z$7:Z16,$AD$7:AD16,$AH$7:AH16,$AL$7:AL16,$AP$7:AP16)</f>
        <v>87</v>
      </c>
      <c r="AT15">
        <f t="shared" ca="1" si="1"/>
        <v>12</v>
      </c>
      <c r="AU15" s="33">
        <f ca="1">SUM($AX$7:AX15,$BB$7:BB15,$BF$7:BF15,$BJ$7:BJ15)</f>
        <v>7100</v>
      </c>
      <c r="AV15">
        <v>9</v>
      </c>
      <c r="AW15">
        <f t="array" ref="AW15">IFERROR(VLOOKUP(AW$5&amp;$AV15,CHOOSE({1,2},D_技能表CD!$C$2:$C$313&amp;D_技能表CD!$E$2:$E$313,D_技能表CD!$I$2:$I$313),2,FALSE),0)</f>
        <v>0</v>
      </c>
      <c r="AX15">
        <f t="array" aca="1" ref="AX15" ca="1">IFERROR(VLOOKUP(AW$5&amp;$AV15,CHOOSE({1,2},D_技能表CD!$C$2:$C$313&amp;D_技能表CD!$E$2:$E$313,D_技能表CD!$H$2:$H$313),2,FALSE),0)</f>
        <v>0</v>
      </c>
      <c r="AY15">
        <f t="array" aca="1" ref="AY15" ca="1">IFERROR(VLOOKUP(AW$5&amp;$AV15,CHOOSE({1,2},D_技能表CD!$C$2:$C$313&amp;D_技能表CD!$E$2:$E$313,D_技能表CD!$L$2:$L$313),2,FALSE),0)</f>
        <v>0</v>
      </c>
      <c r="AZ15">
        <f t="array" aca="1" ref="AZ15" ca="1">IFERROR(VLOOKUP(AW$5&amp;$AV15,CHOOSE({1,2},D_技能表CD!$C$2:$C$313&amp;D_技能表CD!$E$2:$E$313,D_技能表CD!$K$2:$K$313),2,FALSE),0)</f>
        <v>0</v>
      </c>
      <c r="BA15">
        <f t="array" ref="BA15">IFERROR(VLOOKUP(BA$5&amp;$AV15,CHOOSE({1,2},D_技能表CD!$C$2:$C$313&amp;D_技能表CD!$E$2:$E$313,D_技能表CD!$I$2:$I$313),2,FALSE),0)</f>
        <v>3</v>
      </c>
      <c r="BB15">
        <f t="array" aca="1" ref="BB15" ca="1">IFERROR(VLOOKUP(BA$5&amp;$AV15,CHOOSE({1,2},D_技能表CD!$C$2:$C$313&amp;D_技能表CD!$E$2:$E$313,D_技能表CD!$H$2:$H$313),2,FALSE),0)</f>
        <v>2450</v>
      </c>
      <c r="BC15">
        <f t="array" aca="1" ref="BC15" ca="1">IFERROR(VLOOKUP(BA$5&amp;$AV15,CHOOSE({1,2},D_技能表CD!$C$2:$C$313&amp;D_技能表CD!$E$2:$E$313,D_技能表CD!$L$2:$L$313),2,FALSE),0)</f>
        <v>26</v>
      </c>
      <c r="BD15">
        <f t="array" aca="1" ref="BD15" ca="1">IFERROR(VLOOKUP(BA$5&amp;$AV15,CHOOSE({1,2},D_技能表CD!$C$2:$C$313&amp;D_技能表CD!$E$2:$E$313,D_技能表CD!$K$2:$K$313),2,FALSE),0)</f>
        <v>0</v>
      </c>
      <c r="BE15">
        <f t="array" ref="BE15">IFERROR(VLOOKUP(BE$5&amp;$AV15,CHOOSE({1,2},D_技能表CD!$C$2:$C$313&amp;D_技能表CD!$E$2:$E$313,D_技能表CD!$I$2:$I$313),2,FALSE),0)</f>
        <v>0</v>
      </c>
      <c r="BF15">
        <f t="array" aca="1" ref="BF15" ca="1">IFERROR(VLOOKUP(BE$5&amp;$AV15,CHOOSE({1,2},D_技能表CD!$C$2:$C$313&amp;D_技能表CD!$E$2:$E$313,D_技能表CD!$H$2:$H$313),2,FALSE),0)</f>
        <v>0</v>
      </c>
      <c r="BG15">
        <f t="array" aca="1" ref="BG15" ca="1">IFERROR(VLOOKUP(BE$5&amp;$AV15,CHOOSE({1,2},D_技能表CD!$C$2:$C$313&amp;D_技能表CD!$E$2:$E$313,D_技能表CD!$L$2:$L$313),2,FALSE),0)</f>
        <v>0</v>
      </c>
      <c r="BH15">
        <f t="array" aca="1" ref="BH15" ca="1">IFERROR(VLOOKUP(BE$5&amp;$AV15,CHOOSE({1,2},D_技能表CD!$C$2:$C$313&amp;D_技能表CD!$E$2:$E$313,D_技能表CD!$K$2:$K$313),2,FALSE),0)</f>
        <v>0</v>
      </c>
      <c r="BI15">
        <f t="array" ref="BI15">IFERROR(VLOOKUP(BI$5&amp;$AV15,CHOOSE({1,2},D_技能表CD!$C$2:$C$313&amp;D_技能表CD!$E$2:$E$313,D_技能表CD!$I$2:$I$313),2,FALSE),0)</f>
        <v>0</v>
      </c>
      <c r="BJ15">
        <f t="array" aca="1" ref="BJ15" ca="1">IFERROR(VLOOKUP(BI$5&amp;$AV15,CHOOSE({1,2},D_技能表CD!$C$2:$C$313&amp;D_技能表CD!$E$2:$E$313,D_技能表CD!$H$2:$H$313),2,FALSE),0)</f>
        <v>0</v>
      </c>
      <c r="BK15">
        <f t="array" aca="1" ref="BK15" ca="1">IFERROR(VLOOKUP(BI$5&amp;$AV15,CHOOSE({1,2},D_技能表CD!$C$2:$C$313&amp;D_技能表CD!$E$2:$E$313,D_技能表CD!$L$2:$L$313),2,FALSE),0)</f>
        <v>0</v>
      </c>
      <c r="BL15">
        <f t="array" aca="1" ref="BL15" ca="1">IFERROR(VLOOKUP(BI$5&amp;$AV15,CHOOSE({1,2},D_技能表CD!$C$2:$C$313&amp;D_技能表CD!$E$2:$E$313,D_技能表CD!$K$2:$K$313),2,FALSE),0)</f>
        <v>0</v>
      </c>
    </row>
    <row r="16" spans="1:64" x14ac:dyDescent="0.15">
      <c r="A16">
        <f t="shared" ca="1" si="0"/>
        <v>18724</v>
      </c>
      <c r="B16" s="33">
        <f ca="1">SUM($E$7:E16,$I$7:I16,$M$7:M16,$Q$7:Q16,$U$7:U16,$Y$7:Y16,$AC$7:AC16,$AG$7:AG16,$AK$7:AK16,$AO$7:AO16)</f>
        <v>8424</v>
      </c>
      <c r="C16">
        <v>10</v>
      </c>
      <c r="D16">
        <f t="array" aca="1" ref="D16" ca="1">IFERROR(VLOOKUP($D$5&amp;C16,CHOOSE({1,2},D_技能表!$C$2:$C$1210&amp;D_技能表!$E$2:$E$1210,D_技能表!$I$2:$I$1210),2,FALSE),0)</f>
        <v>5</v>
      </c>
      <c r="E16">
        <f t="array" aca="1" ref="E16" ca="1">IFERROR(VLOOKUP($D$5&amp;$C16,CHOOSE({1,2},D_技能表!$C$2:$C$1210&amp;D_技能表!$E$2:$E$1210,D_技能表!$N$2:$N$1210),2,FALSE),0)</f>
        <v>1144</v>
      </c>
      <c r="F16">
        <f t="array" aca="1" ref="F16" ca="1">IFERROR(VLOOKUP($D$5&amp;$C16,CHOOSE({1,2},D_技能表!$C$2:$C$1210&amp;D_技能表!$E$2:$E$1210,D_技能表!$W$2:$W$1210),2,FALSE),0)</f>
        <v>11</v>
      </c>
      <c r="G16">
        <f t="array" aca="1" ref="G16" ca="1">IFERROR(VLOOKUP($D$5&amp;$C16,CHOOSE({1,2},D_技能表!$C$2:$C$1210&amp;D_技能表!$E$2:$E$1210,D_技能表!$Z$2:$Z$1210),2,FALSE),0)</f>
        <v>0</v>
      </c>
      <c r="H16">
        <f t="array" aca="1" ref="H16" ca="1">IFERROR(VLOOKUP($H$5&amp;$C16,CHOOSE({1,2},D_技能表!$C$2:$C$1210&amp;D_技能表!$E$2:$E$1210,D_技能表!$I$2:$I$1210),2,FALSE),0)</f>
        <v>4</v>
      </c>
      <c r="I16">
        <f t="array" aca="1" ref="I16" ca="1">IFERROR(VLOOKUP($H$5&amp;$C16,CHOOSE({1,2},D_技能表!$C$2:$C$1210&amp;D_技能表!$E$2:$E$1210,D_技能表!$N$2:$N$1210),2,FALSE),0)</f>
        <v>520</v>
      </c>
      <c r="J16">
        <f t="array" aca="1" ref="J16" ca="1">IFERROR(VLOOKUP($H$5&amp;$C16,CHOOSE({1,2},D_技能表!$C$2:$C$1210&amp;D_技能表!$E$2:$E$1210,D_技能表!$W$2:$W$1210),2,FALSE),0)</f>
        <v>5</v>
      </c>
      <c r="K16">
        <f t="array" aca="1" ref="K16" ca="1">IFERROR(VLOOKUP($H$5&amp;$C16,CHOOSE({1,2},D_技能表!$C$2:$C$1210&amp;D_技能表!$E$2:$E$1210,D_技能表!$Z$2:$Z$1210),2,FALSE),0)</f>
        <v>0</v>
      </c>
      <c r="L16">
        <f t="array" aca="1" ref="L16" ca="1">IFERROR(VLOOKUP($L$5&amp;$C16,CHOOSE({1,2},D_技能表!$C$2:$C$1210&amp;D_技能表!$E$2:$E$1210,D_技能表!$I$2:$I$1210),2,FALSE),0)</f>
        <v>4</v>
      </c>
      <c r="M16">
        <f t="array" aca="1" ref="M16" ca="1">IFERROR(VLOOKUP($L$5&amp;$C16,CHOOSE({1,2},D_技能表!$C$2:$C$1210&amp;D_技能表!$E$2:$E$1210,D_技能表!$N$2:$N$1210),2,FALSE),0)</f>
        <v>520</v>
      </c>
      <c r="N16">
        <f t="array" aca="1" ref="N16" ca="1">IFERROR(VLOOKUP($L$5&amp;$C16,CHOOSE({1,2},D_技能表!$C$2:$C$1210&amp;D_技能表!$E$2:$E$1210,D_技能表!$W$2:$W$1210),2,FALSE),0)</f>
        <v>5</v>
      </c>
      <c r="O16">
        <f t="array" aca="1" ref="O16" ca="1">IFERROR(VLOOKUP($L$5&amp;$C16,CHOOSE({1,2},D_技能表!$C$2:$C$1210&amp;D_技能表!$E$2:$E$1210,D_技能表!$Z$2:$Z$1210),2,FALSE),0)</f>
        <v>0</v>
      </c>
      <c r="P16">
        <f t="array" aca="1" ref="P16" ca="1">IFERROR(VLOOKUP($P$5&amp;$C16,CHOOSE({1,2},D_技能表!$C$2:$C$1210&amp;D_技能表!$E$2:$E$1210,D_技能表!$I$2:$I$1210),2,FALSE),0)</f>
        <v>2</v>
      </c>
      <c r="Q16">
        <f t="array" aca="1" ref="Q16" ca="1">IFERROR(VLOOKUP($P$5&amp;$C16,CHOOSE({1,2},D_技能表!$C$2:$C$1210&amp;D_技能表!$E$2:$E$1210,D_技能表!$N$2:$N$1210),2,FALSE),0)</f>
        <v>416</v>
      </c>
      <c r="R16">
        <f t="array" aca="1" ref="R16" ca="1">IFERROR(VLOOKUP($P$5&amp;$C16,CHOOSE({1,2},D_技能表!$C$2:$C$1210&amp;D_技能表!$E$2:$E$1210,D_技能表!$W$2:$W$1210),2,FALSE),0)</f>
        <v>4</v>
      </c>
      <c r="S16">
        <f t="array" aca="1" ref="S16" ca="1">IFERROR(VLOOKUP($P$5&amp;$C16,CHOOSE({1,2},D_技能表!$C$2:$C$1210&amp;D_技能表!$E$2:$E$1210,D_技能表!$Z$2:$Z$1210),2,FALSE),0)</f>
        <v>0</v>
      </c>
      <c r="T16">
        <f t="array" aca="1" ref="T16" ca="1">IFERROR(VLOOKUP($T$5&amp;$C16,CHOOSE({1,2},D_技能表!$C$2:$C$1210&amp;D_技能表!$E$2:$E$1210,D_技能表!$I$2:$I$1210),2,FALSE),0)</f>
        <v>0</v>
      </c>
      <c r="U16">
        <f t="array" aca="1" ref="U16" ca="1">IFERROR(VLOOKUP($T$5&amp;$C16,CHOOSE({1,2},D_技能表!$C$2:$C$1210&amp;D_技能表!$E$2:$E$1210,D_技能表!$N$2:$N$1210),2,FALSE),0)</f>
        <v>0</v>
      </c>
      <c r="V16">
        <f t="array" aca="1" ref="V16" ca="1">IFERROR(VLOOKUP($T$5&amp;$C16,CHOOSE({1,2},D_技能表!$C$2:$C$1210&amp;D_技能表!$E$2:$E$1210,D_技能表!$W$2:$W$1210),2,FALSE),0)</f>
        <v>0</v>
      </c>
      <c r="W16">
        <f t="array" aca="1" ref="W16" ca="1">IFERROR(VLOOKUP($T$5&amp;$C16,CHOOSE({1,2},D_技能表!$C$2:$C$1210&amp;D_技能表!$E$2:$E$1210,D_技能表!$Z$2:$Z$1210),2,FALSE),0)</f>
        <v>0</v>
      </c>
      <c r="X16">
        <f t="array" aca="1" ref="X16" ca="1">IFERROR(VLOOKUP($X$5&amp;$C16,CHOOSE({1,2},D_技能表!$C$2:$C$1210&amp;D_技能表!$E$2:$E$1210,D_技能表!$I$2:$I$1210),2,FALSE),0)</f>
        <v>3</v>
      </c>
      <c r="Y16">
        <f t="array" aca="1" ref="Y16" ca="1">IFERROR(VLOOKUP($X$5&amp;$C16,CHOOSE({1,2},D_技能表!$C$2:$C$1210&amp;D_技能表!$E$2:$E$1210,D_技能表!$N$2:$N$1210),2,FALSE),0)</f>
        <v>936</v>
      </c>
      <c r="Z16">
        <f t="array" aca="1" ref="Z16" ca="1">IFERROR(VLOOKUP($X$5&amp;$C16,CHOOSE({1,2},D_技能表!$C$2:$C$1210&amp;D_技能表!$E$2:$E$1210,D_技能表!$W$2:$W$1210),2,FALSE),0)</f>
        <v>9</v>
      </c>
      <c r="AA16">
        <f t="array" aca="1" ref="AA16" ca="1">IFERROR(VLOOKUP($X$5&amp;$C16,CHOOSE({1,2},D_技能表!$C$2:$C$1210&amp;D_技能表!$E$2:$E$1210,D_技能表!$Z$2:$Z$1210),2,FALSE),0)</f>
        <v>0</v>
      </c>
      <c r="AB16">
        <f t="array" aca="1" ref="AB16" ca="1">IFERROR(VLOOKUP($AB$5&amp;$C16,CHOOSE({1,2},D_技能表!$C$2:$C$1210&amp;D_技能表!$E$2:$E$1210,D_技能表!$I$2:$I$1210),2,FALSE),0)</f>
        <v>3</v>
      </c>
      <c r="AC16">
        <f t="array" aca="1" ref="AC16" ca="1">IFERROR(VLOOKUP($AB$5&amp;$C16,CHOOSE({1,2},D_技能表!$C$2:$C$1210&amp;D_技能表!$E$2:$E$1210,D_技能表!$N$2:$N$1210),2,FALSE),0)</f>
        <v>416</v>
      </c>
      <c r="AD16">
        <f t="array" aca="1" ref="AD16" ca="1">IFERROR(VLOOKUP($AB$5&amp;$C16,CHOOSE({1,2},D_技能表!$C$2:$C$1210&amp;D_技能表!$E$2:$E$1210,D_技能表!$W$2:$W$1210),2,FALSE),0)</f>
        <v>4</v>
      </c>
      <c r="AE16">
        <f t="array" aca="1" ref="AE16" ca="1">IFERROR(VLOOKUP($AB$5&amp;$C16,CHOOSE({1,2},D_技能表!$C$2:$C$1210&amp;D_技能表!$E$2:$E$1210,D_技能表!$Z$2:$Z$1210),2,FALSE),0)</f>
        <v>0</v>
      </c>
      <c r="AF16">
        <f t="array" aca="1" ref="AF16" ca="1">IFERROR(VLOOKUP($AF$5&amp;$C16,CHOOSE({1,2},D_技能表!$C$2:$C$1210&amp;D_技能表!$E$2:$E$1210,D_技能表!$I$2:$I$1210),2,FALSE),0)</f>
        <v>0</v>
      </c>
      <c r="AG16">
        <f t="array" aca="1" ref="AG16" ca="1">IFERROR(VLOOKUP($AF$5&amp;$C16,CHOOSE({1,2},D_技能表!$C$2:$C$1210&amp;D_技能表!$E$2:$E$1210,D_技能表!$N$2:$N$1210),2,FALSE),0)</f>
        <v>0</v>
      </c>
      <c r="AH16">
        <f t="array" aca="1" ref="AH16" ca="1">IFERROR(VLOOKUP($AF$5&amp;$C16,CHOOSE({1,2},D_技能表!$C$2:$C$1210&amp;D_技能表!$E$2:$E$1210,D_技能表!$W$2:$W$1210),2,FALSE),0)</f>
        <v>0</v>
      </c>
      <c r="AI16">
        <f t="array" aca="1" ref="AI16" ca="1">IFERROR(VLOOKUP($AF$5&amp;$C16,CHOOSE({1,2},D_技能表!$C$2:$C$1210&amp;D_技能表!$E$2:$E$1210,D_技能表!$Z$2:$Z$1210),2,FALSE),0)</f>
        <v>0</v>
      </c>
      <c r="AJ16">
        <f t="array" aca="1" ref="AJ16" ca="1">IFERROR(VLOOKUP($AJ$5&amp;$C16,CHOOSE({1,2},D_技能表!$C$2:$C$1210&amp;D_技能表!$E$2:$E$1210,D_技能表!$I$2:$I$1210),2,FALSE),0)</f>
        <v>0</v>
      </c>
      <c r="AK16">
        <f t="array" aca="1" ref="AK16" ca="1">IFERROR(VLOOKUP($AJ$5&amp;$C16,CHOOSE({1,2},D_技能表!$C$2:$C$1210&amp;D_技能表!$E$2:$E$1210,D_技能表!$N$2:$N$1210),2,FALSE),0)</f>
        <v>0</v>
      </c>
      <c r="AL16">
        <f t="array" aca="1" ref="AL16" ca="1">IFERROR(VLOOKUP($AJ$5&amp;$C16,CHOOSE({1,2},D_技能表!$C$2:$C$1210&amp;D_技能表!$E$2:$E$1210,D_技能表!$W$2:$W$1210),2,FALSE),0)</f>
        <v>0</v>
      </c>
      <c r="AM16">
        <f t="array" aca="1" ref="AM16" ca="1">IFERROR(VLOOKUP($AJ$5&amp;$C16,CHOOSE({1,2},D_技能表!$C$2:$C$1210&amp;D_技能表!$E$2:$E$1210,D_技能表!$Z$2:$Z$1210),2,FALSE),0)</f>
        <v>0</v>
      </c>
      <c r="AN16">
        <f t="array" aca="1" ref="AN16" ca="1">IFERROR(VLOOKUP($AN$5&amp;$C16,CHOOSE({1,2},D_技能表!$C$2:$C$1210&amp;D_技能表!$E$2:$E$1210,D_技能表!$I$2:$I$1210),2,FALSE),0)</f>
        <v>0</v>
      </c>
      <c r="AO16">
        <f t="array" aca="1" ref="AO16" ca="1">IFERROR(VLOOKUP($AN$5&amp;$C16,CHOOSE({1,2},D_技能表!$C$2:$C$1210&amp;D_技能表!$E$2:$E$1210,D_技能表!$N$2:$N$1210),2,FALSE),0)</f>
        <v>0</v>
      </c>
      <c r="AP16">
        <f t="array" aca="1" ref="AP16" ca="1">IFERROR(VLOOKUP($AN$5&amp;$C16,CHOOSE({1,2},D_技能表!$C$2:$C$1210&amp;D_技能表!$E$2:$E$1210,D_技能表!$W$2:$W$1210),2,FALSE),0)</f>
        <v>0</v>
      </c>
      <c r="AQ16">
        <f t="array" aca="1" ref="AQ16" ca="1">IFERROR(VLOOKUP($AN$5&amp;$C16,CHOOSE({1,2},D_技能表!$C$2:$C$1210&amp;D_技能表!$E$2:$E$1210,D_技能表!$Z$2:$Z$1210),2,FALSE),0)</f>
        <v>0</v>
      </c>
      <c r="AR16" s="11">
        <f ca="1">SUM($G$7:G17,$K$7:K17,$O$7:O17,$S$7:S17,$W$7:W17,$AA$7:AA17,$AE$7:AE17,$AI$7:AI17,$AM$7:AM17,$AQ$7:AQ17)</f>
        <v>0</v>
      </c>
      <c r="AS16">
        <f ca="1">SUM($F$7:F17,$J$7:J17,$N$7:N17,$R$7:R17,$V$7:V17,$Z$7:Z17,$AD$7:AD17,$AH$7:AH17,$AL$7:AL17,$AP$7:AP17)</f>
        <v>117</v>
      </c>
      <c r="AT16">
        <f t="shared" ca="1" si="1"/>
        <v>38</v>
      </c>
      <c r="AU16" s="33">
        <f ca="1">SUM($AX$7:AX16,$BB$7:BB16,$BF$7:BF16,$BJ$7:BJ16)</f>
        <v>10300</v>
      </c>
      <c r="AV16">
        <v>10</v>
      </c>
      <c r="AW16">
        <f t="array" ref="AW16">IFERROR(VLOOKUP(AW$5&amp;$AV16,CHOOSE({1,2},D_技能表CD!$C$2:$C$313&amp;D_技能表CD!$E$2:$E$313,D_技能表CD!$I$2:$I$313),2,FALSE),0)</f>
        <v>4</v>
      </c>
      <c r="AX16">
        <f t="array" aca="1" ref="AX16" ca="1">IFERROR(VLOOKUP(AW$5&amp;$AV16,CHOOSE({1,2},D_技能表CD!$C$2:$C$313&amp;D_技能表CD!$E$2:$E$313,D_技能表CD!$H$2:$H$313),2,FALSE),0)</f>
        <v>2100</v>
      </c>
      <c r="AY16">
        <f t="array" aca="1" ref="AY16" ca="1">IFERROR(VLOOKUP(AW$5&amp;$AV16,CHOOSE({1,2},D_技能表CD!$C$2:$C$313&amp;D_技能表CD!$E$2:$E$313,D_技能表CD!$L$2:$L$313),2,FALSE),0)</f>
        <v>16</v>
      </c>
      <c r="AZ16">
        <f t="array" ref="AZ16">IFERROR(VLOOKUP(AW$5&amp;$AV16,CHOOSE({1,2},D_技能表CD!$C$2:$C$313&amp;D_技能表CD!$E$2:$E$313,D_技能表CD!$K$2:$K$313),2,FALSE),0)</f>
        <v>0</v>
      </c>
      <c r="BA16">
        <f t="array" ref="BA16">IFERROR(VLOOKUP(BA$5&amp;$AV16,CHOOSE({1,2},D_技能表CD!$C$2:$C$313&amp;D_技能表CD!$E$2:$E$313,D_技能表CD!$I$2:$I$313),2,FALSE),0)</f>
        <v>0</v>
      </c>
      <c r="BB16">
        <f t="array" aca="1" ref="BB16" ca="1">IFERROR(VLOOKUP(BA$5&amp;$AV16,CHOOSE({1,2},D_技能表CD!$C$2:$C$313&amp;D_技能表CD!$E$2:$E$313,D_技能表CD!$H$2:$H$313),2,FALSE),0)</f>
        <v>0</v>
      </c>
      <c r="BC16">
        <f t="array" aca="1" ref="BC16" ca="1">IFERROR(VLOOKUP(BA$5&amp;$AV16,CHOOSE({1,2},D_技能表CD!$C$2:$C$313&amp;D_技能表CD!$E$2:$E$313,D_技能表CD!$L$2:$L$313),2,FALSE),0)</f>
        <v>0</v>
      </c>
      <c r="BD16">
        <f t="array" aca="1" ref="BD16" ca="1">IFERROR(VLOOKUP(BA$5&amp;$AV16,CHOOSE({1,2},D_技能表CD!$C$2:$C$313&amp;D_技能表CD!$E$2:$E$313,D_技能表CD!$K$2:$K$313),2,FALSE),0)</f>
        <v>0</v>
      </c>
      <c r="BE16">
        <f t="array" ref="BE16">IFERROR(VLOOKUP(BE$5&amp;$AV16,CHOOSE({1,2},D_技能表CD!$C$2:$C$313&amp;D_技能表CD!$E$2:$E$313,D_技能表CD!$I$2:$I$313),2,FALSE),0)</f>
        <v>3</v>
      </c>
      <c r="BF16">
        <f t="array" aca="1" ref="BF16" ca="1">IFERROR(VLOOKUP(BE$5&amp;$AV16,CHOOSE({1,2},D_技能表CD!$C$2:$C$313&amp;D_技能表CD!$E$2:$E$313,D_技能表CD!$H$2:$H$313),2,FALSE),0)</f>
        <v>1100</v>
      </c>
      <c r="BG16">
        <f t="array" aca="1" ref="BG16" ca="1">IFERROR(VLOOKUP(BE$5&amp;$AV16,CHOOSE({1,2},D_技能表CD!$C$2:$C$313&amp;D_技能表CD!$E$2:$E$313,D_技能表CD!$L$2:$L$313),2,FALSE),0)</f>
        <v>12</v>
      </c>
      <c r="BH16">
        <f t="array" aca="1" ref="BH16" ca="1">IFERROR(VLOOKUP(BE$5&amp;$AV16,CHOOSE({1,2},D_技能表CD!$C$2:$C$313&amp;D_技能表CD!$E$2:$E$313,D_技能表CD!$K$2:$K$313),2,FALSE),0)</f>
        <v>0</v>
      </c>
      <c r="BI16">
        <f t="array" ref="BI16">IFERROR(VLOOKUP(BI$5&amp;$AV16,CHOOSE({1,2},D_技能表CD!$C$2:$C$313&amp;D_技能表CD!$E$2:$E$313,D_技能表CD!$I$2:$I$313),2,FALSE),0)</f>
        <v>0</v>
      </c>
      <c r="BJ16">
        <f t="array" aca="1" ref="BJ16" ca="1">IFERROR(VLOOKUP(BI$5&amp;$AV16,CHOOSE({1,2},D_技能表CD!$C$2:$C$313&amp;D_技能表CD!$E$2:$E$313,D_技能表CD!$H$2:$H$313),2,FALSE),0)</f>
        <v>0</v>
      </c>
      <c r="BK16">
        <f t="array" aca="1" ref="BK16" ca="1">IFERROR(VLOOKUP(BI$5&amp;$AV16,CHOOSE({1,2},D_技能表CD!$C$2:$C$313&amp;D_技能表CD!$E$2:$E$313,D_技能表CD!$L$2:$L$313),2,FALSE),0)</f>
        <v>0</v>
      </c>
      <c r="BL16">
        <f t="array" aca="1" ref="BL16" ca="1">IFERROR(VLOOKUP(BI$5&amp;$AV16,CHOOSE({1,2},D_技能表CD!$C$2:$C$313&amp;D_技能表CD!$E$2:$E$313,D_技能表CD!$K$2:$K$313),2,FALSE),0)</f>
        <v>0</v>
      </c>
    </row>
    <row r="17" spans="1:64" x14ac:dyDescent="0.15">
      <c r="A17">
        <f t="shared" ca="1" si="0"/>
        <v>24424</v>
      </c>
      <c r="B17" s="33">
        <f ca="1">SUM($E$7:E17,$I$7:I17,$M$7:M17,$Q$7:Q17,$U$7:U17,$Y$7:Y17,$AC$7:AC17,$AG$7:AG17,$AK$7:AK17,$AO$7:AO17)</f>
        <v>11724</v>
      </c>
      <c r="C17">
        <v>11</v>
      </c>
      <c r="D17">
        <f t="array" aca="1" ref="D17" ca="1">IFERROR(VLOOKUP($D$5&amp;C17,CHOOSE({1,2},D_技能表!$C$2:$C$1210&amp;D_技能表!$E$2:$E$1210,D_技能表!$I$2:$I$1210),2,FALSE),0)</f>
        <v>6</v>
      </c>
      <c r="E17">
        <f t="array" aca="1" ref="E17" ca="1">IFERROR(VLOOKUP($D$5&amp;$C17,CHOOSE({1,2},D_技能表!$C$2:$C$1210&amp;D_技能表!$E$2:$E$1210,D_技能表!$N$2:$N$1210),2,FALSE),0)</f>
        <v>1320</v>
      </c>
      <c r="F17">
        <f t="array" aca="1" ref="F17" ca="1">IFERROR(VLOOKUP($D$5&amp;$C17,CHOOSE({1,2},D_技能表!$C$2:$C$1210&amp;D_技能表!$E$2:$E$1210,D_技能表!$W$2:$W$1210),2,FALSE),0)</f>
        <v>12</v>
      </c>
      <c r="G17">
        <f t="array" aca="1" ref="G17" ca="1">IFERROR(VLOOKUP($D$5&amp;$C17,CHOOSE({1,2},D_技能表!$C$2:$C$1210&amp;D_技能表!$E$2:$E$1210,D_技能表!$Z$2:$Z$1210),2,FALSE),0)</f>
        <v>0</v>
      </c>
      <c r="H17">
        <f t="array" aca="1" ref="H17" ca="1">IFERROR(VLOOKUP($H$5&amp;$C17,CHOOSE({1,2},D_技能表!$C$2:$C$1210&amp;D_技能表!$E$2:$E$1210,D_技能表!$I$2:$I$1210),2,FALSE),0)</f>
        <v>0</v>
      </c>
      <c r="I17">
        <f t="array" aca="1" ref="I17" ca="1">IFERROR(VLOOKUP($H$5&amp;$C17,CHOOSE({1,2},D_技能表!$C$2:$C$1210&amp;D_技能表!$E$2:$E$1210,D_技能表!$N$2:$N$1210),2,FALSE),0)</f>
        <v>0</v>
      </c>
      <c r="J17">
        <f t="array" aca="1" ref="J17" ca="1">IFERROR(VLOOKUP($H$5&amp;$C17,CHOOSE({1,2},D_技能表!$C$2:$C$1210&amp;D_技能表!$E$2:$E$1210,D_技能表!$W$2:$W$1210),2,FALSE),0)</f>
        <v>0</v>
      </c>
      <c r="K17">
        <f t="array" aca="1" ref="K17" ca="1">IFERROR(VLOOKUP($H$5&amp;$C17,CHOOSE({1,2},D_技能表!$C$2:$C$1210&amp;D_技能表!$E$2:$E$1210,D_技能表!$Z$2:$Z$1210),2,FALSE),0)</f>
        <v>0</v>
      </c>
      <c r="L17">
        <f t="array" aca="1" ref="L17" ca="1">IFERROR(VLOOKUP($L$5&amp;$C17,CHOOSE({1,2},D_技能表!$C$2:$C$1210&amp;D_技能表!$E$2:$E$1210,D_技能表!$I$2:$I$1210),2,FALSE),0)</f>
        <v>0</v>
      </c>
      <c r="M17">
        <f t="array" aca="1" ref="M17" ca="1">IFERROR(VLOOKUP($L$5&amp;$C17,CHOOSE({1,2},D_技能表!$C$2:$C$1210&amp;D_技能表!$E$2:$E$1210,D_技能表!$N$2:$N$1210),2,FALSE),0)</f>
        <v>0</v>
      </c>
      <c r="N17">
        <f t="array" aca="1" ref="N17" ca="1">IFERROR(VLOOKUP($L$5&amp;$C17,CHOOSE({1,2},D_技能表!$C$2:$C$1210&amp;D_技能表!$E$2:$E$1210,D_技能表!$W$2:$W$1210),2,FALSE),0)</f>
        <v>0</v>
      </c>
      <c r="O17">
        <f t="array" aca="1" ref="O17" ca="1">IFERROR(VLOOKUP($L$5&amp;$C17,CHOOSE({1,2},D_技能表!$C$2:$C$1210&amp;D_技能表!$E$2:$E$1210,D_技能表!$Z$2:$Z$1210),2,FALSE),0)</f>
        <v>0</v>
      </c>
      <c r="P17">
        <f t="array" aca="1" ref="P17" ca="1">IFERROR(VLOOKUP($P$5&amp;$C17,CHOOSE({1,2},D_技能表!$C$2:$C$1210&amp;D_技能表!$E$2:$E$1210,D_技能表!$I$2:$I$1210),2,FALSE),0)</f>
        <v>3</v>
      </c>
      <c r="Q17">
        <f t="array" aca="1" ref="Q17" ca="1">IFERROR(VLOOKUP($P$5&amp;$C17,CHOOSE({1,2},D_技能表!$C$2:$C$1210&amp;D_技能表!$E$2:$E$1210,D_技能表!$N$2:$N$1210),2,FALSE),0)</f>
        <v>440</v>
      </c>
      <c r="R17">
        <f t="array" aca="1" ref="R17" ca="1">IFERROR(VLOOKUP($P$5&amp;$C17,CHOOSE({1,2},D_技能表!$C$2:$C$1210&amp;D_技能表!$E$2:$E$1210,D_技能表!$W$2:$W$1210),2,FALSE),0)</f>
        <v>4</v>
      </c>
      <c r="S17">
        <f t="array" aca="1" ref="S17" ca="1">IFERROR(VLOOKUP($P$5&amp;$C17,CHOOSE({1,2},D_技能表!$C$2:$C$1210&amp;D_技能表!$E$2:$E$1210,D_技能表!$Z$2:$Z$1210),2,FALSE),0)</f>
        <v>0</v>
      </c>
      <c r="T17">
        <f t="array" aca="1" ref="T17" ca="1">IFERROR(VLOOKUP($T$5&amp;$C17,CHOOSE({1,2},D_技能表!$C$2:$C$1210&amp;D_技能表!$E$2:$E$1210,D_技能表!$I$2:$I$1210),2,FALSE),0)</f>
        <v>0</v>
      </c>
      <c r="U17">
        <f t="array" aca="1" ref="U17" ca="1">IFERROR(VLOOKUP($T$5&amp;$C17,CHOOSE({1,2},D_技能表!$C$2:$C$1210&amp;D_技能表!$E$2:$E$1210,D_技能表!$N$2:$N$1210),2,FALSE),0)</f>
        <v>0</v>
      </c>
      <c r="V17">
        <f t="array" aca="1" ref="V17" ca="1">IFERROR(VLOOKUP($T$5&amp;$C17,CHOOSE({1,2},D_技能表!$C$2:$C$1210&amp;D_技能表!$E$2:$E$1210,D_技能表!$W$2:$W$1210),2,FALSE),0)</f>
        <v>0</v>
      </c>
      <c r="W17">
        <f t="array" aca="1" ref="W17" ca="1">IFERROR(VLOOKUP($T$5&amp;$C17,CHOOSE({1,2},D_技能表!$C$2:$C$1210&amp;D_技能表!$E$2:$E$1210,D_技能表!$Z$2:$Z$1210),2,FALSE),0)</f>
        <v>0</v>
      </c>
      <c r="X17">
        <f t="array" aca="1" ref="X17" ca="1">IFERROR(VLOOKUP($X$5&amp;$C17,CHOOSE({1,2},D_技能表!$C$2:$C$1210&amp;D_技能表!$E$2:$E$1210,D_技能表!$I$2:$I$1210),2,FALSE),0)</f>
        <v>4</v>
      </c>
      <c r="Y17">
        <f t="array" aca="1" ref="Y17" ca="1">IFERROR(VLOOKUP($X$5&amp;$C17,CHOOSE({1,2},D_技能表!$C$2:$C$1210&amp;D_技能表!$E$2:$E$1210,D_技能表!$N$2:$N$1210),2,FALSE),0)</f>
        <v>1100</v>
      </c>
      <c r="Z17">
        <f t="array" aca="1" ref="Z17" ca="1">IFERROR(VLOOKUP($X$5&amp;$C17,CHOOSE({1,2},D_技能表!$C$2:$C$1210&amp;D_技能表!$E$2:$E$1210,D_技能表!$W$2:$W$1210),2,FALSE),0)</f>
        <v>10</v>
      </c>
      <c r="AA17">
        <f t="array" aca="1" ref="AA17" ca="1">IFERROR(VLOOKUP($X$5&amp;$C17,CHOOSE({1,2},D_技能表!$C$2:$C$1210&amp;D_技能表!$E$2:$E$1210,D_技能表!$Z$2:$Z$1210),2,FALSE),0)</f>
        <v>0</v>
      </c>
      <c r="AB17">
        <f t="array" aca="1" ref="AB17" ca="1">IFERROR(VLOOKUP($AB$5&amp;$C17,CHOOSE({1,2},D_技能表!$C$2:$C$1210&amp;D_技能表!$E$2:$E$1210,D_技能表!$I$2:$I$1210),2,FALSE),0)</f>
        <v>0</v>
      </c>
      <c r="AC17">
        <f t="array" aca="1" ref="AC17" ca="1">IFERROR(VLOOKUP($AB$5&amp;$C17,CHOOSE({1,2},D_技能表!$C$2:$C$1210&amp;D_技能表!$E$2:$E$1210,D_技能表!$N$2:$N$1210),2,FALSE),0)</f>
        <v>0</v>
      </c>
      <c r="AD17">
        <f t="array" aca="1" ref="AD17" ca="1">IFERROR(VLOOKUP($AB$5&amp;$C17,CHOOSE({1,2},D_技能表!$C$2:$C$1210&amp;D_技能表!$E$2:$E$1210,D_技能表!$W$2:$W$1210),2,FALSE),0)</f>
        <v>0</v>
      </c>
      <c r="AE17">
        <f t="array" aca="1" ref="AE17" ca="1">IFERROR(VLOOKUP($AB$5&amp;$C17,CHOOSE({1,2},D_技能表!$C$2:$C$1210&amp;D_技能表!$E$2:$E$1210,D_技能表!$Z$2:$Z$1210),2,FALSE),0)</f>
        <v>0</v>
      </c>
      <c r="AF17">
        <f t="array" aca="1" ref="AF17" ca="1">IFERROR(VLOOKUP($AF$5&amp;$C17,CHOOSE({1,2},D_技能表!$C$2:$C$1210&amp;D_技能表!$E$2:$E$1210,D_技能表!$I$2:$I$1210),2,FALSE),0)</f>
        <v>2</v>
      </c>
      <c r="AG17">
        <f t="array" aca="1" ref="AG17" ca="1">IFERROR(VLOOKUP($AF$5&amp;$C17,CHOOSE({1,2},D_技能表!$C$2:$C$1210&amp;D_技能表!$E$2:$E$1210,D_技能表!$N$2:$N$1210),2,FALSE),0)</f>
        <v>440</v>
      </c>
      <c r="AH17">
        <f t="array" aca="1" ref="AH17" ca="1">IFERROR(VLOOKUP($AF$5&amp;$C17,CHOOSE({1,2},D_技能表!$C$2:$C$1210&amp;D_技能表!$E$2:$E$1210,D_技能表!$W$2:$W$1210),2,FALSE),0)</f>
        <v>4</v>
      </c>
      <c r="AI17">
        <f t="array" aca="1" ref="AI17" ca="1">IFERROR(VLOOKUP($AF$5&amp;$C17,CHOOSE({1,2},D_技能表!$C$2:$C$1210&amp;D_技能表!$E$2:$E$1210,D_技能表!$Z$2:$Z$1210),2,FALSE),0)</f>
        <v>0</v>
      </c>
      <c r="AJ17">
        <f t="array" aca="1" ref="AJ17" ca="1">IFERROR(VLOOKUP($AJ$5&amp;$C17,CHOOSE({1,2},D_技能表!$C$2:$C$1210&amp;D_技能表!$E$2:$E$1210,D_技能表!$I$2:$I$1210),2,FALSE),0)</f>
        <v>0</v>
      </c>
      <c r="AK17">
        <f t="array" aca="1" ref="AK17" ca="1">IFERROR(VLOOKUP($AJ$5&amp;$C17,CHOOSE({1,2},D_技能表!$C$2:$C$1210&amp;D_技能表!$E$2:$E$1210,D_技能表!$N$2:$N$1210),2,FALSE),0)</f>
        <v>0</v>
      </c>
      <c r="AL17">
        <f t="array" aca="1" ref="AL17" ca="1">IFERROR(VLOOKUP($AJ$5&amp;$C17,CHOOSE({1,2},D_技能表!$C$2:$C$1210&amp;D_技能表!$E$2:$E$1210,D_技能表!$W$2:$W$1210),2,FALSE),0)</f>
        <v>0</v>
      </c>
      <c r="AM17">
        <f t="array" aca="1" ref="AM17" ca="1">IFERROR(VLOOKUP($AJ$5&amp;$C17,CHOOSE({1,2},D_技能表!$C$2:$C$1210&amp;D_技能表!$E$2:$E$1210,D_技能表!$Z$2:$Z$1210),2,FALSE),0)</f>
        <v>0</v>
      </c>
      <c r="AN17">
        <f t="array" aca="1" ref="AN17" ca="1">IFERROR(VLOOKUP($AN$5&amp;$C17,CHOOSE({1,2},D_技能表!$C$2:$C$1210&amp;D_技能表!$E$2:$E$1210,D_技能表!$I$2:$I$1210),2,FALSE),0)</f>
        <v>0</v>
      </c>
      <c r="AO17">
        <f t="array" aca="1" ref="AO17" ca="1">IFERROR(VLOOKUP($AN$5&amp;$C17,CHOOSE({1,2},D_技能表!$C$2:$C$1210&amp;D_技能表!$E$2:$E$1210,D_技能表!$N$2:$N$1210),2,FALSE),0)</f>
        <v>0</v>
      </c>
      <c r="AP17">
        <f t="array" aca="1" ref="AP17" ca="1">IFERROR(VLOOKUP($AN$5&amp;$C17,CHOOSE({1,2},D_技能表!$C$2:$C$1210&amp;D_技能表!$E$2:$E$1210,D_技能表!$W$2:$W$1210),2,FALSE),0)</f>
        <v>0</v>
      </c>
      <c r="AQ17">
        <f t="array" aca="1" ref="AQ17" ca="1">IFERROR(VLOOKUP($AN$5&amp;$C17,CHOOSE({1,2},D_技能表!$C$2:$C$1210&amp;D_技能表!$E$2:$E$1210,D_技能表!$Z$2:$Z$1210),2,FALSE),0)</f>
        <v>0</v>
      </c>
      <c r="AR17" s="11">
        <f ca="1">SUM($G$7:G18,$K$7:K18,$O$7:O18,$S$7:S18,$W$7:W18,$AA$7:AA18,$AE$7:AE18,$AI$7:AI18,$AM$7:AM18,$AQ$7:AQ18)</f>
        <v>0</v>
      </c>
      <c r="AS17">
        <f ca="1">SUM($F$7:F18,$J$7:J18,$N$7:N18,$R$7:R18,$V$7:V18,$Z$7:Z18,$AD$7:AD18,$AH$7:AH18,$AL$7:AL18,$AP$7:AP18)</f>
        <v>143</v>
      </c>
      <c r="AT17">
        <f t="shared" ca="1" si="1"/>
        <v>30</v>
      </c>
      <c r="AU17" s="33">
        <f ca="1">SUM($AX$7:AX17,$BB$7:BB17,$BF$7:BF17,$BJ$7:BJ17)</f>
        <v>12700</v>
      </c>
      <c r="AV17">
        <v>11</v>
      </c>
      <c r="AW17">
        <f t="array" ref="AW17">IFERROR(VLOOKUP(AW$5&amp;$AV17,CHOOSE({1,2},D_技能表CD!$C$2:$C$313&amp;D_技能表CD!$E$2:$E$313,D_技能表CD!$I$2:$I$313),2,FALSE),0)</f>
        <v>0</v>
      </c>
      <c r="AX17">
        <f t="array" aca="1" ref="AX17" ca="1">IFERROR(VLOOKUP(AW$5&amp;$AV17,CHOOSE({1,2},D_技能表CD!$C$2:$C$313&amp;D_技能表CD!$E$2:$E$313,D_技能表CD!$H$2:$H$313),2,FALSE),0)</f>
        <v>0</v>
      </c>
      <c r="AY17">
        <f t="array" aca="1" ref="AY17" ca="1">IFERROR(VLOOKUP(AW$5&amp;$AV17,CHOOSE({1,2},D_技能表CD!$C$2:$C$313&amp;D_技能表CD!$E$2:$E$313,D_技能表CD!$L$2:$L$313),2,FALSE),0)</f>
        <v>0</v>
      </c>
      <c r="AZ17">
        <f t="array" aca="1" ref="AZ17" ca="1">IFERROR(VLOOKUP(AW$5&amp;$AV17,CHOOSE({1,2},D_技能表CD!$C$2:$C$313&amp;D_技能表CD!$E$2:$E$313,D_技能表CD!$K$2:$K$313),2,FALSE),0)</f>
        <v>0</v>
      </c>
      <c r="BA17">
        <f t="array" ref="BA17">IFERROR(VLOOKUP(BA$5&amp;$AV17,CHOOSE({1,2},D_技能表CD!$C$2:$C$313&amp;D_技能表CD!$E$2:$E$313,D_技能表CD!$I$2:$I$313),2,FALSE),0)</f>
        <v>0</v>
      </c>
      <c r="BB17">
        <f t="array" aca="1" ref="BB17" ca="1">IFERROR(VLOOKUP(BA$5&amp;$AV17,CHOOSE({1,2},D_技能表CD!$C$2:$C$313&amp;D_技能表CD!$E$2:$E$313,D_技能表CD!$H$2:$H$313),2,FALSE),0)</f>
        <v>0</v>
      </c>
      <c r="BC17">
        <f t="array" aca="1" ref="BC17" ca="1">IFERROR(VLOOKUP(BA$5&amp;$AV17,CHOOSE({1,2},D_技能表CD!$C$2:$C$313&amp;D_技能表CD!$E$2:$E$313,D_技能表CD!$L$2:$L$313),2,FALSE),0)</f>
        <v>0</v>
      </c>
      <c r="BD17">
        <f t="array" aca="1" ref="BD17" ca="1">IFERROR(VLOOKUP(BA$5&amp;$AV17,CHOOSE({1,2},D_技能表CD!$C$2:$C$313&amp;D_技能表CD!$E$2:$E$313,D_技能表CD!$K$2:$K$313),2,FALSE),0)</f>
        <v>0</v>
      </c>
      <c r="BE17">
        <f t="array" ref="BE17">IFERROR(VLOOKUP(BE$5&amp;$AV17,CHOOSE({1,2},D_技能表CD!$C$2:$C$313&amp;D_技能表CD!$E$2:$E$313,D_技能表CD!$I$2:$I$313),2,FALSE),0)</f>
        <v>0</v>
      </c>
      <c r="BF17">
        <f t="array" aca="1" ref="BF17" ca="1">IFERROR(VLOOKUP(BE$5&amp;$AV17,CHOOSE({1,2},D_技能表CD!$C$2:$C$313&amp;D_技能表CD!$E$2:$E$313,D_技能表CD!$H$2:$H$313),2,FALSE),0)</f>
        <v>0</v>
      </c>
      <c r="BG17">
        <f t="array" aca="1" ref="BG17" ca="1">IFERROR(VLOOKUP(BE$5&amp;$AV17,CHOOSE({1,2},D_技能表CD!$C$2:$C$313&amp;D_技能表CD!$E$2:$E$313,D_技能表CD!$L$2:$L$313),2,FALSE),0)</f>
        <v>0</v>
      </c>
      <c r="BH17">
        <f t="array" aca="1" ref="BH17" ca="1">IFERROR(VLOOKUP(BE$5&amp;$AV17,CHOOSE({1,2},D_技能表CD!$C$2:$C$313&amp;D_技能表CD!$E$2:$E$313,D_技能表CD!$K$2:$K$313),2,FALSE),0)</f>
        <v>0</v>
      </c>
      <c r="BI17">
        <f t="array" ref="BI17">IFERROR(VLOOKUP(BI$5&amp;$AV17,CHOOSE({1,2},D_技能表CD!$C$2:$C$313&amp;D_技能表CD!$E$2:$E$313,D_技能表CD!$I$2:$I$313),2,FALSE),0)</f>
        <v>3</v>
      </c>
      <c r="BJ17">
        <f t="array" aca="1" ref="BJ17" ca="1">IFERROR(VLOOKUP(BI$5&amp;$AV17,CHOOSE({1,2},D_技能表CD!$C$2:$C$313&amp;D_技能表CD!$E$2:$E$313,D_技能表CD!$H$2:$H$313),2,FALSE),0)</f>
        <v>2400</v>
      </c>
      <c r="BK17">
        <f t="array" aca="1" ref="BK17" ca="1">IFERROR(VLOOKUP(BI$5&amp;$AV17,CHOOSE({1,2},D_技能表CD!$C$2:$C$313&amp;D_技能表CD!$E$2:$E$313,D_技能表CD!$L$2:$L$313),2,FALSE),0)</f>
        <v>26</v>
      </c>
      <c r="BL17">
        <f t="array" aca="1" ref="BL17" ca="1">IFERROR(VLOOKUP(BI$5&amp;$AV17,CHOOSE({1,2},D_技能表CD!$C$2:$C$313&amp;D_技能表CD!$E$2:$E$313,D_技能表CD!$K$2:$K$313),2,FALSE),0)</f>
        <v>0</v>
      </c>
    </row>
    <row r="18" spans="1:64" x14ac:dyDescent="0.15">
      <c r="A18">
        <f t="shared" ca="1" si="0"/>
        <v>31440</v>
      </c>
      <c r="B18" s="33">
        <f ca="1">SUM($E$7:E18,$I$7:I18,$M$7:M18,$Q$7:Q18,$U$7:U18,$Y$7:Y18,$AC$7:AC18,$AG$7:AG18,$AK$7:AK18,$AO$7:AO18)</f>
        <v>14740</v>
      </c>
      <c r="C18">
        <v>12</v>
      </c>
      <c r="D18">
        <f t="array" aca="1" ref="D18" ca="1">IFERROR(VLOOKUP($D$5&amp;C18,CHOOSE({1,2},D_技能表!$C$2:$C$1210&amp;D_技能表!$E$2:$E$1210,D_技能表!$I$2:$I$1210),2,FALSE),0)</f>
        <v>0</v>
      </c>
      <c r="E18">
        <f t="array" aca="1" ref="E18" ca="1">IFERROR(VLOOKUP($D$5&amp;$C18,CHOOSE({1,2},D_技能表!$C$2:$C$1210&amp;D_技能表!$E$2:$E$1210,D_技能表!$N$2:$N$1210),2,FALSE),0)</f>
        <v>0</v>
      </c>
      <c r="F18">
        <f t="array" aca="1" ref="F18" ca="1">IFERROR(VLOOKUP($D$5&amp;$C18,CHOOSE({1,2},D_技能表!$C$2:$C$1210&amp;D_技能表!$E$2:$E$1210,D_技能表!$W$2:$W$1210),2,FALSE),0)</f>
        <v>0</v>
      </c>
      <c r="G18">
        <f t="array" aca="1" ref="G18" ca="1">IFERROR(VLOOKUP($D$5&amp;$C18,CHOOSE({1,2},D_技能表!$C$2:$C$1210&amp;D_技能表!$E$2:$E$1210,D_技能表!$Z$2:$Z$1210),2,FALSE),0)</f>
        <v>0</v>
      </c>
      <c r="H18">
        <f t="array" aca="1" ref="H18" ca="1">IFERROR(VLOOKUP($H$5&amp;$C18,CHOOSE({1,2},D_技能表!$C$2:$C$1210&amp;D_技能表!$E$2:$E$1210,D_技能表!$I$2:$I$1210),2,FALSE),0)</f>
        <v>5</v>
      </c>
      <c r="I18">
        <f t="array" aca="1" ref="I18" ca="1">IFERROR(VLOOKUP($H$5&amp;$C18,CHOOSE({1,2},D_技能表!$C$2:$C$1210&amp;D_技能表!$E$2:$E$1210,D_技能表!$N$2:$N$1210),2,FALSE),0)</f>
        <v>580</v>
      </c>
      <c r="J18">
        <f t="array" aca="1" ref="J18" ca="1">IFERROR(VLOOKUP($H$5&amp;$C18,CHOOSE({1,2},D_技能表!$C$2:$C$1210&amp;D_技能表!$E$2:$E$1210,D_技能表!$W$2:$W$1210),2,FALSE),0)</f>
        <v>5</v>
      </c>
      <c r="K18">
        <f t="array" aca="1" ref="K18" ca="1">IFERROR(VLOOKUP($H$5&amp;$C18,CHOOSE({1,2},D_技能表!$C$2:$C$1210&amp;D_技能表!$E$2:$E$1210,D_技能表!$Z$2:$Z$1210),2,FALSE),0)</f>
        <v>0</v>
      </c>
      <c r="L18">
        <f t="array" aca="1" ref="L18" ca="1">IFERROR(VLOOKUP($L$5&amp;$C18,CHOOSE({1,2},D_技能表!$C$2:$C$1210&amp;D_技能表!$E$2:$E$1210,D_技能表!$I$2:$I$1210),2,FALSE),0)</f>
        <v>5</v>
      </c>
      <c r="M18">
        <f t="array" aca="1" ref="M18" ca="1">IFERROR(VLOOKUP($L$5&amp;$C18,CHOOSE({1,2},D_技能表!$C$2:$C$1210&amp;D_技能表!$E$2:$E$1210,D_技能表!$N$2:$N$1210),2,FALSE),0)</f>
        <v>580</v>
      </c>
      <c r="N18">
        <f t="array" aca="1" ref="N18" ca="1">IFERROR(VLOOKUP($L$5&amp;$C18,CHOOSE({1,2},D_技能表!$C$2:$C$1210&amp;D_技能表!$E$2:$E$1210,D_技能表!$W$2:$W$1210),2,FALSE),0)</f>
        <v>5</v>
      </c>
      <c r="O18">
        <f t="array" aca="1" ref="O18" ca="1">IFERROR(VLOOKUP($L$5&amp;$C18,CHOOSE({1,2},D_技能表!$C$2:$C$1210&amp;D_技能表!$E$2:$E$1210,D_技能表!$Z$2:$Z$1210),2,FALSE),0)</f>
        <v>0</v>
      </c>
      <c r="P18">
        <f t="array" aca="1" ref="P18" ca="1">IFERROR(VLOOKUP($P$5&amp;$C18,CHOOSE({1,2},D_技能表!$C$2:$C$1210&amp;D_技能表!$E$2:$E$1210,D_技能表!$I$2:$I$1210),2,FALSE),0)</f>
        <v>0</v>
      </c>
      <c r="Q18">
        <f t="array" aca="1" ref="Q18" ca="1">IFERROR(VLOOKUP($P$5&amp;$C18,CHOOSE({1,2},D_技能表!$C$2:$C$1210&amp;D_技能表!$E$2:$E$1210,D_技能表!$N$2:$N$1210),2,FALSE),0)</f>
        <v>0</v>
      </c>
      <c r="R18">
        <f t="array" aca="1" ref="R18" ca="1">IFERROR(VLOOKUP($P$5&amp;$C18,CHOOSE({1,2},D_技能表!$C$2:$C$1210&amp;D_技能表!$E$2:$E$1210,D_技能表!$W$2:$W$1210),2,FALSE),0)</f>
        <v>0</v>
      </c>
      <c r="S18">
        <f t="array" aca="1" ref="S18" ca="1">IFERROR(VLOOKUP($P$5&amp;$C18,CHOOSE({1,2},D_技能表!$C$2:$C$1210&amp;D_技能表!$E$2:$E$1210,D_技能表!$Z$2:$Z$1210),2,FALSE),0)</f>
        <v>0</v>
      </c>
      <c r="T18">
        <f t="array" aca="1" ref="T18" ca="1">IFERROR(VLOOKUP($T$5&amp;$C18,CHOOSE({1,2},D_技能表!$C$2:$C$1210&amp;D_技能表!$E$2:$E$1210,D_技能表!$I$2:$I$1210),2,FALSE),0)</f>
        <v>2</v>
      </c>
      <c r="U18">
        <f t="array" aca="1" ref="U18" ca="1">IFERROR(VLOOKUP($T$5&amp;$C18,CHOOSE({1,2},D_技能表!$C$2:$C$1210&amp;D_技能表!$E$2:$E$1210,D_技能表!$N$2:$N$1210),2,FALSE),0)</f>
        <v>812</v>
      </c>
      <c r="V18">
        <f t="array" aca="1" ref="V18" ca="1">IFERROR(VLOOKUP($T$5&amp;$C18,CHOOSE({1,2},D_技能表!$C$2:$C$1210&amp;D_技能表!$E$2:$E$1210,D_技能表!$W$2:$W$1210),2,FALSE),0)</f>
        <v>7</v>
      </c>
      <c r="W18">
        <f t="array" aca="1" ref="W18" ca="1">IFERROR(VLOOKUP($T$5&amp;$C18,CHOOSE({1,2},D_技能表!$C$2:$C$1210&amp;D_技能表!$E$2:$E$1210,D_技能表!$Z$2:$Z$1210),2,FALSE),0)</f>
        <v>0</v>
      </c>
      <c r="X18">
        <f t="array" aca="1" ref="X18" ca="1">IFERROR(VLOOKUP($X$5&amp;$C18,CHOOSE({1,2},D_技能表!$C$2:$C$1210&amp;D_技能表!$E$2:$E$1210,D_技能表!$I$2:$I$1210),2,FALSE),0)</f>
        <v>0</v>
      </c>
      <c r="Y18">
        <f t="array" aca="1" ref="Y18" ca="1">IFERROR(VLOOKUP($X$5&amp;$C18,CHOOSE({1,2},D_技能表!$C$2:$C$1210&amp;D_技能表!$E$2:$E$1210,D_技能表!$N$2:$N$1210),2,FALSE),0)</f>
        <v>0</v>
      </c>
      <c r="Z18">
        <f t="array" aca="1" ref="Z18" ca="1">IFERROR(VLOOKUP($X$5&amp;$C18,CHOOSE({1,2},D_技能表!$C$2:$C$1210&amp;D_技能表!$E$2:$E$1210,D_技能表!$W$2:$W$1210),2,FALSE),0)</f>
        <v>0</v>
      </c>
      <c r="AA18">
        <f t="array" aca="1" ref="AA18" ca="1">IFERROR(VLOOKUP($X$5&amp;$C18,CHOOSE({1,2},D_技能表!$C$2:$C$1210&amp;D_技能表!$E$2:$E$1210,D_技能表!$Z$2:$Z$1210),2,FALSE),0)</f>
        <v>0</v>
      </c>
      <c r="AB18">
        <f t="array" aca="1" ref="AB18" ca="1">IFERROR(VLOOKUP($AB$5&amp;$C18,CHOOSE({1,2},D_技能表!$C$2:$C$1210&amp;D_技能表!$E$2:$E$1210,D_技能表!$I$2:$I$1210),2,FALSE),0)</f>
        <v>4</v>
      </c>
      <c r="AC18">
        <f t="array" aca="1" ref="AC18" ca="1">IFERROR(VLOOKUP($AB$5&amp;$C18,CHOOSE({1,2},D_技能表!$C$2:$C$1210&amp;D_技能表!$E$2:$E$1210,D_技能表!$N$2:$N$1210),2,FALSE),0)</f>
        <v>580</v>
      </c>
      <c r="AD18">
        <f t="array" aca="1" ref="AD18" ca="1">IFERROR(VLOOKUP($AB$5&amp;$C18,CHOOSE({1,2},D_技能表!$C$2:$C$1210&amp;D_技能表!$E$2:$E$1210,D_技能表!$W$2:$W$1210),2,FALSE),0)</f>
        <v>5</v>
      </c>
      <c r="AE18">
        <f t="array" aca="1" ref="AE18" ca="1">IFERROR(VLOOKUP($AB$5&amp;$C18,CHOOSE({1,2},D_技能表!$C$2:$C$1210&amp;D_技能表!$E$2:$E$1210,D_技能表!$Z$2:$Z$1210),2,FALSE),0)</f>
        <v>0</v>
      </c>
      <c r="AF18">
        <f t="array" aca="1" ref="AF18" ca="1">IFERROR(VLOOKUP($AF$5&amp;$C18,CHOOSE({1,2},D_技能表!$C$2:$C$1210&amp;D_技能表!$E$2:$E$1210,D_技能表!$I$2:$I$1210),2,FALSE),0)</f>
        <v>3</v>
      </c>
      <c r="AG18">
        <f t="array" aca="1" ref="AG18" ca="1">IFERROR(VLOOKUP($AF$5&amp;$C18,CHOOSE({1,2},D_技能表!$C$2:$C$1210&amp;D_技能表!$E$2:$E$1210,D_技能表!$N$2:$N$1210),2,FALSE),0)</f>
        <v>464</v>
      </c>
      <c r="AH18">
        <f t="array" aca="1" ref="AH18" ca="1">IFERROR(VLOOKUP($AF$5&amp;$C18,CHOOSE({1,2},D_技能表!$C$2:$C$1210&amp;D_技能表!$E$2:$E$1210,D_技能表!$W$2:$W$1210),2,FALSE),0)</f>
        <v>4</v>
      </c>
      <c r="AI18">
        <f t="array" aca="1" ref="AI18" ca="1">IFERROR(VLOOKUP($AF$5&amp;$C18,CHOOSE({1,2},D_技能表!$C$2:$C$1210&amp;D_技能表!$E$2:$E$1210,D_技能表!$Z$2:$Z$1210),2,FALSE),0)</f>
        <v>0</v>
      </c>
      <c r="AJ18">
        <f t="array" aca="1" ref="AJ18" ca="1">IFERROR(VLOOKUP($AJ$5&amp;$C18,CHOOSE({1,2},D_技能表!$C$2:$C$1210&amp;D_技能表!$E$2:$E$1210,D_技能表!$I$2:$I$1210),2,FALSE),0)</f>
        <v>0</v>
      </c>
      <c r="AK18">
        <f t="array" aca="1" ref="AK18" ca="1">IFERROR(VLOOKUP($AJ$5&amp;$C18,CHOOSE({1,2},D_技能表!$C$2:$C$1210&amp;D_技能表!$E$2:$E$1210,D_技能表!$N$2:$N$1210),2,FALSE),0)</f>
        <v>0</v>
      </c>
      <c r="AL18">
        <f t="array" aca="1" ref="AL18" ca="1">IFERROR(VLOOKUP($AJ$5&amp;$C18,CHOOSE({1,2},D_技能表!$C$2:$C$1210&amp;D_技能表!$E$2:$E$1210,D_技能表!$W$2:$W$1210),2,FALSE),0)</f>
        <v>0</v>
      </c>
      <c r="AM18">
        <f t="array" aca="1" ref="AM18" ca="1">IFERROR(VLOOKUP($AJ$5&amp;$C18,CHOOSE({1,2},D_技能表!$C$2:$C$1210&amp;D_技能表!$E$2:$E$1210,D_技能表!$Z$2:$Z$1210),2,FALSE),0)</f>
        <v>0</v>
      </c>
      <c r="AN18">
        <f t="array" aca="1" ref="AN18" ca="1">IFERROR(VLOOKUP($AN$5&amp;$C18,CHOOSE({1,2},D_技能表!$C$2:$C$1210&amp;D_技能表!$E$2:$E$1210,D_技能表!$I$2:$I$1210),2,FALSE),0)</f>
        <v>0</v>
      </c>
      <c r="AO18">
        <f t="array" aca="1" ref="AO18" ca="1">IFERROR(VLOOKUP($AN$5&amp;$C18,CHOOSE({1,2},D_技能表!$C$2:$C$1210&amp;D_技能表!$E$2:$E$1210,D_技能表!$N$2:$N$1210),2,FALSE),0)</f>
        <v>0</v>
      </c>
      <c r="AP18">
        <f t="array" aca="1" ref="AP18" ca="1">IFERROR(VLOOKUP($AN$5&amp;$C18,CHOOSE({1,2},D_技能表!$C$2:$C$1210&amp;D_技能表!$E$2:$E$1210,D_技能表!$W$2:$W$1210),2,FALSE),0)</f>
        <v>0</v>
      </c>
      <c r="AQ18">
        <f t="array" aca="1" ref="AQ18" ca="1">IFERROR(VLOOKUP($AN$5&amp;$C18,CHOOSE({1,2},D_技能表!$C$2:$C$1210&amp;D_技能表!$E$2:$E$1210,D_技能表!$Z$2:$Z$1210),2,FALSE),0)</f>
        <v>0</v>
      </c>
      <c r="AR18" s="11">
        <f ca="1">SUM($G$7:G19,$K$7:K19,$O$7:O19,$S$7:S19,$W$7:W19,$AA$7:AA19,$AE$7:AE19,$AI$7:AI19,$AM$7:AM19,$AQ$7:AQ19)</f>
        <v>0</v>
      </c>
      <c r="AS18">
        <f ca="1">SUM($F$7:F19,$J$7:J19,$N$7:N19,$R$7:R19,$V$7:V19,$Z$7:Z19,$AD$7:AD19,$AH$7:AH19,$AL$7:AL19,$AP$7:AP19)</f>
        <v>197</v>
      </c>
      <c r="AT18">
        <f t="shared" ca="1" si="1"/>
        <v>26</v>
      </c>
      <c r="AU18" s="33">
        <f ca="1">SUM($AX$7:AX18,$BB$7:BB18,$BF$7:BF18,$BJ$7:BJ18)</f>
        <v>16700</v>
      </c>
      <c r="AV18">
        <v>12</v>
      </c>
      <c r="AW18">
        <f t="array" ref="AW18">IFERROR(VLOOKUP(AW$5&amp;$AV18,CHOOSE({1,2},D_技能表CD!$C$2:$C$313&amp;D_技能表CD!$E$2:$E$313,D_技能表CD!$I$2:$I$313),2,FALSE),0)</f>
        <v>0</v>
      </c>
      <c r="AX18">
        <f t="array" aca="1" ref="AX18" ca="1">IFERROR(VLOOKUP(AW$5&amp;$AV18,CHOOSE({1,2},D_技能表CD!$C$2:$C$313&amp;D_技能表CD!$E$2:$E$313,D_技能表CD!$H$2:$H$313),2,FALSE),0)</f>
        <v>0</v>
      </c>
      <c r="AY18">
        <f t="array" aca="1" ref="AY18" ca="1">IFERROR(VLOOKUP(AW$5&amp;$AV18,CHOOSE({1,2},D_技能表CD!$C$2:$C$313&amp;D_技能表CD!$E$2:$E$313,D_技能表CD!$L$2:$L$313),2,FALSE),0)</f>
        <v>0</v>
      </c>
      <c r="AZ18">
        <f t="array" aca="1" ref="AZ18" ca="1">IFERROR(VLOOKUP(AW$5&amp;$AV18,CHOOSE({1,2},D_技能表CD!$C$2:$C$313&amp;D_技能表CD!$E$2:$E$313,D_技能表CD!$K$2:$K$313),2,FALSE),0)</f>
        <v>0</v>
      </c>
      <c r="BA18">
        <f t="array" ref="BA18">IFERROR(VLOOKUP(BA$5&amp;$AV18,CHOOSE({1,2},D_技能表CD!$C$2:$C$313&amp;D_技能表CD!$E$2:$E$313,D_技能表CD!$I$2:$I$313),2,FALSE),0)</f>
        <v>4</v>
      </c>
      <c r="BB18">
        <f t="array" aca="1" ref="BB18" ca="1">IFERROR(VLOOKUP(BA$5&amp;$AV18,CHOOSE({1,2},D_技能表CD!$C$2:$C$313&amp;D_技能表CD!$E$2:$E$313,D_技能表CD!$H$2:$H$313),2,FALSE),0)</f>
        <v>4000</v>
      </c>
      <c r="BC18">
        <f t="array" aca="1" ref="BC18" ca="1">IFERROR(VLOOKUP(BA$5&amp;$AV18,CHOOSE({1,2},D_技能表CD!$C$2:$C$313&amp;D_技能表CD!$E$2:$E$313,D_技能表CD!$L$2:$L$313),2,FALSE),0)</f>
        <v>31</v>
      </c>
      <c r="BD18">
        <f t="array" aca="1" ref="BD18" ca="1">IFERROR(VLOOKUP(BA$5&amp;$AV18,CHOOSE({1,2},D_技能表CD!$C$2:$C$313&amp;D_技能表CD!$E$2:$E$313,D_技能表CD!$K$2:$K$313),2,FALSE),0)</f>
        <v>0</v>
      </c>
      <c r="BE18">
        <f t="array" ref="BE18">IFERROR(VLOOKUP(BE$5&amp;$AV18,CHOOSE({1,2},D_技能表CD!$C$2:$C$313&amp;D_技能表CD!$E$2:$E$313,D_技能表CD!$I$2:$I$313),2,FALSE),0)</f>
        <v>0</v>
      </c>
      <c r="BF18">
        <f t="array" aca="1" ref="BF18" ca="1">IFERROR(VLOOKUP(BE$5&amp;$AV18,CHOOSE({1,2},D_技能表CD!$C$2:$C$313&amp;D_技能表CD!$E$2:$E$313,D_技能表CD!$H$2:$H$313),2,FALSE),0)</f>
        <v>0</v>
      </c>
      <c r="BG18">
        <f t="array" aca="1" ref="BG18" ca="1">IFERROR(VLOOKUP(BE$5&amp;$AV18,CHOOSE({1,2},D_技能表CD!$C$2:$C$313&amp;D_技能表CD!$E$2:$E$313,D_技能表CD!$L$2:$L$313),2,FALSE),0)</f>
        <v>0</v>
      </c>
      <c r="BH18">
        <f t="array" aca="1" ref="BH18" ca="1">IFERROR(VLOOKUP(BE$5&amp;$AV18,CHOOSE({1,2},D_技能表CD!$C$2:$C$313&amp;D_技能表CD!$E$2:$E$313,D_技能表CD!$K$2:$K$313),2,FALSE),0)</f>
        <v>0</v>
      </c>
      <c r="BI18">
        <f t="array" ref="BI18">IFERROR(VLOOKUP(BI$5&amp;$AV18,CHOOSE({1,2},D_技能表CD!$C$2:$C$313&amp;D_技能表CD!$E$2:$E$313,D_技能表CD!$I$2:$I$313),2,FALSE),0)</f>
        <v>0</v>
      </c>
      <c r="BJ18">
        <f t="array" aca="1" ref="BJ18" ca="1">IFERROR(VLOOKUP(BI$5&amp;$AV18,CHOOSE({1,2},D_技能表CD!$C$2:$C$313&amp;D_技能表CD!$E$2:$E$313,D_技能表CD!$H$2:$H$313),2,FALSE),0)</f>
        <v>0</v>
      </c>
      <c r="BK18">
        <f t="array" aca="1" ref="BK18" ca="1">IFERROR(VLOOKUP(BI$5&amp;$AV18,CHOOSE({1,2},D_技能表CD!$C$2:$C$313&amp;D_技能表CD!$E$2:$E$313,D_技能表CD!$L$2:$L$313),2,FALSE),0)</f>
        <v>0</v>
      </c>
      <c r="BL18">
        <f t="array" aca="1" ref="BL18" ca="1">IFERROR(VLOOKUP(BI$5&amp;$AV18,CHOOSE({1,2},D_技能表CD!$C$2:$C$313&amp;D_技能表CD!$E$2:$E$313,D_技能表CD!$K$2:$K$313),2,FALSE),0)</f>
        <v>0</v>
      </c>
    </row>
    <row r="19" spans="1:64" x14ac:dyDescent="0.15">
      <c r="A19">
        <f t="shared" ca="1" si="0"/>
        <v>42828</v>
      </c>
      <c r="B19" s="33">
        <f ca="1">SUM($E$7:E19,$I$7:I19,$M$7:M19,$Q$7:Q19,$U$7:U19,$Y$7:Y19,$AC$7:AC19,$AG$7:AG19,$AK$7:AK19,$AO$7:AO19)</f>
        <v>21328</v>
      </c>
      <c r="C19">
        <v>13</v>
      </c>
      <c r="D19">
        <f t="array" aca="1" ref="D19" ca="1">IFERROR(VLOOKUP($D$5&amp;C19,CHOOSE({1,2},D_技能表!$C$2:$C$1210&amp;D_技能表!$E$2:$E$1210,D_技能表!$I$2:$I$1210),2,FALSE),0)</f>
        <v>7</v>
      </c>
      <c r="E19">
        <f t="array" aca="1" ref="E19" ca="1">IFERROR(VLOOKUP($D$5&amp;$C19,CHOOSE({1,2},D_技能表!$C$2:$C$1210&amp;D_技能表!$E$2:$E$1210,D_技能表!$N$2:$N$1210),2,FALSE),0)</f>
        <v>1464</v>
      </c>
      <c r="F19">
        <f t="array" aca="1" ref="F19" ca="1">IFERROR(VLOOKUP($D$5&amp;$C19,CHOOSE({1,2},D_技能表!$C$2:$C$1210&amp;D_技能表!$E$2:$E$1210,D_技能表!$W$2:$W$1210),2,FALSE),0)</f>
        <v>12</v>
      </c>
      <c r="G19">
        <f t="array" aca="1" ref="G19" ca="1">IFERROR(VLOOKUP($D$5&amp;$C19,CHOOSE({1,2},D_技能表!$C$2:$C$1210&amp;D_技能表!$E$2:$E$1210,D_技能表!$Z$2:$Z$1210),2,FALSE),0)</f>
        <v>0</v>
      </c>
      <c r="H19">
        <f t="array" aca="1" ref="H19" ca="1">IFERROR(VLOOKUP($H$5&amp;$C19,CHOOSE({1,2},D_技能表!$C$2:$C$1210&amp;D_技能表!$E$2:$E$1210,D_技能表!$I$2:$I$1210),2,FALSE),0)</f>
        <v>6</v>
      </c>
      <c r="I19">
        <f t="array" aca="1" ref="I19" ca="1">IFERROR(VLOOKUP($H$5&amp;$C19,CHOOSE({1,2},D_技能表!$C$2:$C$1210&amp;D_技能表!$E$2:$E$1210,D_技能表!$N$2:$N$1210),2,FALSE),0)</f>
        <v>610</v>
      </c>
      <c r="J19">
        <f t="array" aca="1" ref="J19" ca="1">IFERROR(VLOOKUP($H$5&amp;$C19,CHOOSE({1,2},D_技能表!$C$2:$C$1210&amp;D_技能表!$E$2:$E$1210,D_技能表!$W$2:$W$1210),2,FALSE),0)</f>
        <v>5</v>
      </c>
      <c r="K19">
        <f t="array" aca="1" ref="K19" ca="1">IFERROR(VLOOKUP($H$5&amp;$C19,CHOOSE({1,2},D_技能表!$C$2:$C$1210&amp;D_技能表!$E$2:$E$1210,D_技能表!$Z$2:$Z$1210),2,FALSE),0)</f>
        <v>0</v>
      </c>
      <c r="L19">
        <f t="array" aca="1" ref="L19" ca="1">IFERROR(VLOOKUP($L$5&amp;$C19,CHOOSE({1,2},D_技能表!$C$2:$C$1210&amp;D_技能表!$E$2:$E$1210,D_技能表!$I$2:$I$1210),2,FALSE),0)</f>
        <v>6</v>
      </c>
      <c r="M19">
        <f t="array" aca="1" ref="M19" ca="1">IFERROR(VLOOKUP($L$5&amp;$C19,CHOOSE({1,2},D_技能表!$C$2:$C$1210&amp;D_技能表!$E$2:$E$1210,D_技能表!$N$2:$N$1210),2,FALSE),0)</f>
        <v>610</v>
      </c>
      <c r="N19">
        <f t="array" aca="1" ref="N19" ca="1">IFERROR(VLOOKUP($L$5&amp;$C19,CHOOSE({1,2},D_技能表!$C$2:$C$1210&amp;D_技能表!$E$2:$E$1210,D_技能表!$W$2:$W$1210),2,FALSE),0)</f>
        <v>5</v>
      </c>
      <c r="O19">
        <f t="array" aca="1" ref="O19" ca="1">IFERROR(VLOOKUP($L$5&amp;$C19,CHOOSE({1,2},D_技能表!$C$2:$C$1210&amp;D_技能表!$E$2:$E$1210,D_技能表!$Z$2:$Z$1210),2,FALSE),0)</f>
        <v>0</v>
      </c>
      <c r="P19">
        <f t="array" aca="1" ref="P19" ca="1">IFERROR(VLOOKUP($P$5&amp;$C19,CHOOSE({1,2},D_技能表!$C$2:$C$1210&amp;D_技能表!$E$2:$E$1210,D_技能表!$I$2:$I$1210),2,FALSE),0)</f>
        <v>4</v>
      </c>
      <c r="Q19">
        <f t="array" aca="1" ref="Q19" ca="1">IFERROR(VLOOKUP($P$5&amp;$C19,CHOOSE({1,2},D_技能表!$C$2:$C$1210&amp;D_技能表!$E$2:$E$1210,D_技能表!$N$2:$N$1210),2,FALSE),0)</f>
        <v>610</v>
      </c>
      <c r="R19">
        <f t="array" aca="1" ref="R19" ca="1">IFERROR(VLOOKUP($P$5&amp;$C19,CHOOSE({1,2},D_技能表!$C$2:$C$1210&amp;D_技能表!$E$2:$E$1210,D_技能表!$W$2:$W$1210),2,FALSE),0)</f>
        <v>5</v>
      </c>
      <c r="S19">
        <f t="array" aca="1" ref="S19" ca="1">IFERROR(VLOOKUP($P$5&amp;$C19,CHOOSE({1,2},D_技能表!$C$2:$C$1210&amp;D_技能表!$E$2:$E$1210,D_技能表!$Z$2:$Z$1210),2,FALSE),0)</f>
        <v>0</v>
      </c>
      <c r="T19">
        <f t="array" aca="1" ref="T19" ca="1">IFERROR(VLOOKUP($T$5&amp;$C19,CHOOSE({1,2},D_技能表!$C$2:$C$1210&amp;D_技能表!$E$2:$E$1210,D_技能表!$I$2:$I$1210),2,FALSE),0)</f>
        <v>3</v>
      </c>
      <c r="U19">
        <f t="array" aca="1" ref="U19" ca="1">IFERROR(VLOOKUP($T$5&amp;$C19,CHOOSE({1,2},D_技能表!$C$2:$C$1210&amp;D_技能表!$E$2:$E$1210,D_技能表!$N$2:$N$1210),2,FALSE),0)</f>
        <v>854</v>
      </c>
      <c r="V19">
        <f t="array" aca="1" ref="V19" ca="1">IFERROR(VLOOKUP($T$5&amp;$C19,CHOOSE({1,2},D_技能表!$C$2:$C$1210&amp;D_技能表!$E$2:$E$1210,D_技能表!$W$2:$W$1210),2,FALSE),0)</f>
        <v>7</v>
      </c>
      <c r="W19">
        <f t="array" aca="1" ref="W19" ca="1">IFERROR(VLOOKUP($T$5&amp;$C19,CHOOSE({1,2},D_技能表!$C$2:$C$1210&amp;D_技能表!$E$2:$E$1210,D_技能表!$Z$2:$Z$1210),2,FALSE),0)</f>
        <v>0</v>
      </c>
      <c r="X19">
        <f t="array" aca="1" ref="X19" ca="1">IFERROR(VLOOKUP($X$5&amp;$C19,CHOOSE({1,2},D_技能表!$C$2:$C$1210&amp;D_技能表!$E$2:$E$1210,D_技能表!$I$2:$I$1210),2,FALSE),0)</f>
        <v>5</v>
      </c>
      <c r="Y19">
        <f t="array" aca="1" ref="Y19" ca="1">IFERROR(VLOOKUP($X$5&amp;$C19,CHOOSE({1,2},D_技能表!$C$2:$C$1210&amp;D_技能表!$E$2:$E$1210,D_技能表!$N$2:$N$1210),2,FALSE),0)</f>
        <v>1342</v>
      </c>
      <c r="Z19">
        <f t="array" aca="1" ref="Z19" ca="1">IFERROR(VLOOKUP($X$5&amp;$C19,CHOOSE({1,2},D_技能表!$C$2:$C$1210&amp;D_技能表!$E$2:$E$1210,D_技能表!$W$2:$W$1210),2,FALSE),0)</f>
        <v>11</v>
      </c>
      <c r="AA19">
        <f t="array" aca="1" ref="AA19" ca="1">IFERROR(VLOOKUP($X$5&amp;$C19,CHOOSE({1,2},D_技能表!$C$2:$C$1210&amp;D_技能表!$E$2:$E$1210,D_技能表!$Z$2:$Z$1210),2,FALSE),0)</f>
        <v>0</v>
      </c>
      <c r="AB19">
        <f t="array" aca="1" ref="AB19" ca="1">IFERROR(VLOOKUP($AB$5&amp;$C19,CHOOSE({1,2},D_技能表!$C$2:$C$1210&amp;D_技能表!$E$2:$E$1210,D_技能表!$I$2:$I$1210),2,FALSE),0)</f>
        <v>5</v>
      </c>
      <c r="AC19">
        <f t="array" aca="1" ref="AC19" ca="1">IFERROR(VLOOKUP($AB$5&amp;$C19,CHOOSE({1,2},D_技能表!$C$2:$C$1210&amp;D_技能表!$E$2:$E$1210,D_技能表!$N$2:$N$1210),2,FALSE),0)</f>
        <v>610</v>
      </c>
      <c r="AD19">
        <f t="array" aca="1" ref="AD19" ca="1">IFERROR(VLOOKUP($AB$5&amp;$C19,CHOOSE({1,2},D_技能表!$C$2:$C$1210&amp;D_技能表!$E$2:$E$1210,D_技能表!$W$2:$W$1210),2,FALSE),0)</f>
        <v>5</v>
      </c>
      <c r="AE19">
        <f t="array" aca="1" ref="AE19" ca="1">IFERROR(VLOOKUP($AB$5&amp;$C19,CHOOSE({1,2},D_技能表!$C$2:$C$1210&amp;D_技能表!$E$2:$E$1210,D_技能表!$Z$2:$Z$1210),2,FALSE),0)</f>
        <v>0</v>
      </c>
      <c r="AF19">
        <f t="array" aca="1" ref="AF19" ca="1">IFERROR(VLOOKUP($AF$5&amp;$C19,CHOOSE({1,2},D_技能表!$C$2:$C$1210&amp;D_技能表!$E$2:$E$1210,D_技能表!$I$2:$I$1210),2,FALSE),0)</f>
        <v>0</v>
      </c>
      <c r="AG19">
        <f t="array" aca="1" ref="AG19" ca="1">IFERROR(VLOOKUP($AF$5&amp;$C19,CHOOSE({1,2},D_技能表!$C$2:$C$1210&amp;D_技能表!$E$2:$E$1210,D_技能表!$N$2:$N$1210),2,FALSE),0)</f>
        <v>0</v>
      </c>
      <c r="AH19">
        <f t="array" aca="1" ref="AH19" ca="1">IFERROR(VLOOKUP($AF$5&amp;$C19,CHOOSE({1,2},D_技能表!$C$2:$C$1210&amp;D_技能表!$E$2:$E$1210,D_技能表!$W$2:$W$1210),2,FALSE),0)</f>
        <v>0</v>
      </c>
      <c r="AI19">
        <f t="array" aca="1" ref="AI19" ca="1">IFERROR(VLOOKUP($AF$5&amp;$C19,CHOOSE({1,2},D_技能表!$C$2:$C$1210&amp;D_技能表!$E$2:$E$1210,D_技能表!$Z$2:$Z$1210),2,FALSE),0)</f>
        <v>0</v>
      </c>
      <c r="AJ19">
        <f t="array" aca="1" ref="AJ19" ca="1">IFERROR(VLOOKUP($AJ$5&amp;$C19,CHOOSE({1,2},D_技能表!$C$2:$C$1210&amp;D_技能表!$E$2:$E$1210,D_技能表!$I$2:$I$1210),2,FALSE),0)</f>
        <v>2</v>
      </c>
      <c r="AK19">
        <f t="array" aca="1" ref="AK19" ca="1">IFERROR(VLOOKUP($AJ$5&amp;$C19,CHOOSE({1,2},D_技能表!$C$2:$C$1210&amp;D_技能表!$E$2:$E$1210,D_技能表!$N$2:$N$1210),2,FALSE),0)</f>
        <v>488</v>
      </c>
      <c r="AL19">
        <f t="array" aca="1" ref="AL19" ca="1">IFERROR(VLOOKUP($AJ$5&amp;$C19,CHOOSE({1,2},D_技能表!$C$2:$C$1210&amp;D_技能表!$E$2:$E$1210,D_技能表!$W$2:$W$1210),2,FALSE),0)</f>
        <v>4</v>
      </c>
      <c r="AM19">
        <f t="array" aca="1" ref="AM19" ca="1">IFERROR(VLOOKUP($AJ$5&amp;$C19,CHOOSE({1,2},D_技能表!$C$2:$C$1210&amp;D_技能表!$E$2:$E$1210,D_技能表!$Z$2:$Z$1210),2,FALSE),0)</f>
        <v>0</v>
      </c>
      <c r="AN19">
        <f t="array" aca="1" ref="AN19" ca="1">IFERROR(VLOOKUP($AN$5&amp;$C19,CHOOSE({1,2},D_技能表!$C$2:$C$1210&amp;D_技能表!$E$2:$E$1210,D_技能表!$I$2:$I$1210),2,FALSE),0)</f>
        <v>0</v>
      </c>
      <c r="AO19">
        <f t="array" aca="1" ref="AO19" ca="1">IFERROR(VLOOKUP($AN$5&amp;$C19,CHOOSE({1,2},D_技能表!$C$2:$C$1210&amp;D_技能表!$E$2:$E$1210,D_技能表!$N$2:$N$1210),2,FALSE),0)</f>
        <v>0</v>
      </c>
      <c r="AP19">
        <f t="array" aca="1" ref="AP19" ca="1">IFERROR(VLOOKUP($AN$5&amp;$C19,CHOOSE({1,2},D_技能表!$C$2:$C$1210&amp;D_技能表!$E$2:$E$1210,D_技能表!$W$2:$W$1210),2,FALSE),0)</f>
        <v>0</v>
      </c>
      <c r="AQ19">
        <f t="array" aca="1" ref="AQ19" ca="1">IFERROR(VLOOKUP($AN$5&amp;$C19,CHOOSE({1,2},D_技能表!$C$2:$C$1210&amp;D_技能表!$E$2:$E$1210,D_技能表!$Z$2:$Z$1210),2,FALSE),0)</f>
        <v>0</v>
      </c>
      <c r="AR19" s="11">
        <f ca="1">SUM($G$7:G20,$K$7:K20,$O$7:O20,$S$7:S20,$W$7:W20,$AA$7:AA20,$AE$7:AE20,$AI$7:AI20,$AM$7:AM20,$AQ$7:AQ20)</f>
        <v>0</v>
      </c>
      <c r="AS19">
        <f ca="1">SUM($F$7:F20,$J$7:J20,$N$7:N20,$R$7:R20,$V$7:V20,$Z$7:Z20,$AD$7:AD20,$AH$7:AH20,$AL$7:AL20,$AP$7:AP20)</f>
        <v>234</v>
      </c>
      <c r="AT19">
        <f t="shared" ca="1" si="1"/>
        <v>54</v>
      </c>
      <c r="AU19" s="33">
        <f ca="1">SUM($AX$7:AX19,$BB$7:BB19,$BF$7:BF19,$BJ$7:BJ19)</f>
        <v>21500</v>
      </c>
      <c r="AV19">
        <v>13</v>
      </c>
      <c r="AW19">
        <f t="array" ref="AW19">IFERROR(VLOOKUP(AW$5&amp;$AV19,CHOOSE({1,2},D_技能表CD!$C$2:$C$313&amp;D_技能表CD!$E$2:$E$313,D_技能表CD!$I$2:$I$313),2,FALSE),0)</f>
        <v>5</v>
      </c>
      <c r="AX19">
        <f t="array" aca="1" ref="AX19" ca="1">IFERROR(VLOOKUP(AW$5&amp;$AV19,CHOOSE({1,2},D_技能表CD!$C$2:$C$313&amp;D_技能表CD!$E$2:$E$313,D_技能表CD!$H$2:$H$313),2,FALSE),0)</f>
        <v>3000</v>
      </c>
      <c r="AY19">
        <f t="array" aca="1" ref="AY19" ca="1">IFERROR(VLOOKUP(AW$5&amp;$AV19,CHOOSE({1,2},D_技能表CD!$C$2:$C$313&amp;D_技能表CD!$E$2:$E$313,D_技能表CD!$L$2:$L$313),2,FALSE),0)</f>
        <v>18</v>
      </c>
      <c r="AZ19">
        <f t="array" ref="AZ19">IFERROR(VLOOKUP(AW$5&amp;$AV19,CHOOSE({1,2},D_技能表CD!$C$2:$C$313&amp;D_技能表CD!$E$2:$E$313,D_技能表CD!$K$2:$K$313),2,FALSE),0)</f>
        <v>0</v>
      </c>
      <c r="BA19">
        <f t="array" ref="BA19">IFERROR(VLOOKUP(BA$5&amp;$AV19,CHOOSE({1,2},D_技能表CD!$C$2:$C$313&amp;D_技能表CD!$E$2:$E$313,D_技能表CD!$I$2:$I$313),2,FALSE),0)</f>
        <v>0</v>
      </c>
      <c r="BB19">
        <f t="array" aca="1" ref="BB19" ca="1">IFERROR(VLOOKUP(BA$5&amp;$AV19,CHOOSE({1,2},D_技能表CD!$C$2:$C$313&amp;D_技能表CD!$E$2:$E$313,D_技能表CD!$H$2:$H$313),2,FALSE),0)</f>
        <v>0</v>
      </c>
      <c r="BC19">
        <f t="array" aca="1" ref="BC19" ca="1">IFERROR(VLOOKUP(BA$5&amp;$AV19,CHOOSE({1,2},D_技能表CD!$C$2:$C$313&amp;D_技能表CD!$E$2:$E$313,D_技能表CD!$L$2:$L$313),2,FALSE),0)</f>
        <v>0</v>
      </c>
      <c r="BD19">
        <f t="array" aca="1" ref="BD19" ca="1">IFERROR(VLOOKUP(BA$5&amp;$AV19,CHOOSE({1,2},D_技能表CD!$C$2:$C$313&amp;D_技能表CD!$E$2:$E$313,D_技能表CD!$K$2:$K$313),2,FALSE),0)</f>
        <v>0</v>
      </c>
      <c r="BE19">
        <f t="array" ref="BE19">IFERROR(VLOOKUP(BE$5&amp;$AV19,CHOOSE({1,2},D_技能表CD!$C$2:$C$313&amp;D_技能表CD!$E$2:$E$313,D_技能表CD!$I$2:$I$313),2,FALSE),0)</f>
        <v>4</v>
      </c>
      <c r="BF19">
        <f t="array" aca="1" ref="BF19" ca="1">IFERROR(VLOOKUP(BE$5&amp;$AV19,CHOOSE({1,2},D_技能表CD!$C$2:$C$313&amp;D_技能表CD!$E$2:$E$313,D_技能表CD!$H$2:$H$313),2,FALSE),0)</f>
        <v>1800</v>
      </c>
      <c r="BG19">
        <f t="array" aca="1" ref="BG19" ca="1">IFERROR(VLOOKUP(BE$5&amp;$AV19,CHOOSE({1,2},D_技能表CD!$C$2:$C$313&amp;D_技能表CD!$E$2:$E$313,D_技能表CD!$L$2:$L$313),2,FALSE),0)</f>
        <v>14</v>
      </c>
      <c r="BH19">
        <f t="array" aca="1" ref="BH19" ca="1">IFERROR(VLOOKUP(BE$5&amp;$AV19,CHOOSE({1,2},D_技能表CD!$C$2:$C$313&amp;D_技能表CD!$E$2:$E$313,D_技能表CD!$K$2:$K$313),2,FALSE),0)</f>
        <v>0</v>
      </c>
      <c r="BI19">
        <f t="array" ref="BI19">IFERROR(VLOOKUP(BI$5&amp;$AV19,CHOOSE({1,2},D_技能表CD!$C$2:$C$313&amp;D_技能表CD!$E$2:$E$313,D_技能表CD!$I$2:$I$313),2,FALSE),0)</f>
        <v>0</v>
      </c>
      <c r="BJ19">
        <f t="array" aca="1" ref="BJ19" ca="1">IFERROR(VLOOKUP(BI$5&amp;$AV19,CHOOSE({1,2},D_技能表CD!$C$2:$C$313&amp;D_技能表CD!$E$2:$E$313,D_技能表CD!$H$2:$H$313),2,FALSE),0)</f>
        <v>0</v>
      </c>
      <c r="BK19">
        <f t="array" aca="1" ref="BK19" ca="1">IFERROR(VLOOKUP(BI$5&amp;$AV19,CHOOSE({1,2},D_技能表CD!$C$2:$C$313&amp;D_技能表CD!$E$2:$E$313,D_技能表CD!$L$2:$L$313),2,FALSE),0)</f>
        <v>0</v>
      </c>
      <c r="BL19">
        <f t="array" aca="1" ref="BL19" ca="1">IFERROR(VLOOKUP(BI$5&amp;$AV19,CHOOSE({1,2},D_技能表CD!$C$2:$C$313&amp;D_技能表CD!$E$2:$E$313,D_技能表CD!$K$2:$K$313),2,FALSE),0)</f>
        <v>0</v>
      </c>
    </row>
    <row r="20" spans="1:64" x14ac:dyDescent="0.15">
      <c r="A20">
        <f t="shared" ca="1" si="0"/>
        <v>51464</v>
      </c>
      <c r="B20" s="33">
        <f ca="1">SUM($E$7:E20,$I$7:I20,$M$7:M20,$Q$7:Q20,$U$7:U20,$Y$7:Y20,$AC$7:AC20,$AG$7:AG20,$AK$7:AK20,$AO$7:AO20)</f>
        <v>26064</v>
      </c>
      <c r="C20">
        <v>14</v>
      </c>
      <c r="D20">
        <f t="array" aca="1" ref="D20" ca="1">IFERROR(VLOOKUP($D$5&amp;C20,CHOOSE({1,2},D_技能表!$C$2:$C$1210&amp;D_技能表!$E$2:$E$1210,D_技能表!$I$2:$I$1210),2,FALSE),0)</f>
        <v>8</v>
      </c>
      <c r="E20">
        <f t="array" aca="1" ref="E20" ca="1">IFERROR(VLOOKUP($D$5&amp;$C20,CHOOSE({1,2},D_技能表!$C$2:$C$1210&amp;D_技能表!$E$2:$E$1210,D_技能表!$N$2:$N$1210),2,FALSE),0)</f>
        <v>1664</v>
      </c>
      <c r="F20">
        <f t="array" aca="1" ref="F20" ca="1">IFERROR(VLOOKUP($D$5&amp;$C20,CHOOSE({1,2},D_技能表!$C$2:$C$1210&amp;D_技能表!$E$2:$E$1210,D_技能表!$W$2:$W$1210),2,FALSE),0)</f>
        <v>13</v>
      </c>
      <c r="G20">
        <f t="array" aca="1" ref="G20" ca="1">IFERROR(VLOOKUP($D$5&amp;$C20,CHOOSE({1,2},D_技能表!$C$2:$C$1210&amp;D_技能表!$E$2:$E$1210,D_技能表!$Z$2:$Z$1210),2,FALSE),0)</f>
        <v>0</v>
      </c>
      <c r="H20">
        <f t="array" aca="1" ref="H20" ca="1">IFERROR(VLOOKUP($H$5&amp;$C20,CHOOSE({1,2},D_技能表!$C$2:$C$1210&amp;D_技能表!$E$2:$E$1210,D_技能表!$I$2:$I$1210),2,FALSE),0)</f>
        <v>0</v>
      </c>
      <c r="I20">
        <f t="array" aca="1" ref="I20" ca="1">IFERROR(VLOOKUP($H$5&amp;$C20,CHOOSE({1,2},D_技能表!$C$2:$C$1210&amp;D_技能表!$E$2:$E$1210,D_技能表!$N$2:$N$1210),2,FALSE),0)</f>
        <v>0</v>
      </c>
      <c r="J20">
        <f t="array" aca="1" ref="J20" ca="1">IFERROR(VLOOKUP($H$5&amp;$C20,CHOOSE({1,2},D_技能表!$C$2:$C$1210&amp;D_技能表!$E$2:$E$1210,D_技能表!$W$2:$W$1210),2,FALSE),0)</f>
        <v>0</v>
      </c>
      <c r="K20">
        <f t="array" aca="1" ref="K20" ca="1">IFERROR(VLOOKUP($H$5&amp;$C20,CHOOSE({1,2},D_技能表!$C$2:$C$1210&amp;D_技能表!$E$2:$E$1210,D_技能表!$Z$2:$Z$1210),2,FALSE),0)</f>
        <v>0</v>
      </c>
      <c r="L20">
        <f t="array" aca="1" ref="L20" ca="1">IFERROR(VLOOKUP($L$5&amp;$C20,CHOOSE({1,2},D_技能表!$C$2:$C$1210&amp;D_技能表!$E$2:$E$1210,D_技能表!$I$2:$I$1210),2,FALSE),0)</f>
        <v>0</v>
      </c>
      <c r="M20">
        <f t="array" aca="1" ref="M20" ca="1">IFERROR(VLOOKUP($L$5&amp;$C20,CHOOSE({1,2},D_技能表!$C$2:$C$1210&amp;D_技能表!$E$2:$E$1210,D_技能表!$N$2:$N$1210),2,FALSE),0)</f>
        <v>0</v>
      </c>
      <c r="N20">
        <f t="array" aca="1" ref="N20" ca="1">IFERROR(VLOOKUP($L$5&amp;$C20,CHOOSE({1,2},D_技能表!$C$2:$C$1210&amp;D_技能表!$E$2:$E$1210,D_技能表!$W$2:$W$1210),2,FALSE),0)</f>
        <v>0</v>
      </c>
      <c r="O20">
        <f t="array" aca="1" ref="O20" ca="1">IFERROR(VLOOKUP($L$5&amp;$C20,CHOOSE({1,2},D_技能表!$C$2:$C$1210&amp;D_技能表!$E$2:$E$1210,D_技能表!$Z$2:$Z$1210),2,FALSE),0)</f>
        <v>0</v>
      </c>
      <c r="P20">
        <f t="array" aca="1" ref="P20" ca="1">IFERROR(VLOOKUP($P$5&amp;$C20,CHOOSE({1,2},D_技能表!$C$2:$C$1210&amp;D_技能表!$E$2:$E$1210,D_技能表!$I$2:$I$1210),2,FALSE),0)</f>
        <v>5</v>
      </c>
      <c r="Q20">
        <f t="array" aca="1" ref="Q20" ca="1">IFERROR(VLOOKUP($P$5&amp;$C20,CHOOSE({1,2},D_技能表!$C$2:$C$1210&amp;D_技能表!$E$2:$E$1210,D_技能表!$N$2:$N$1210),2,FALSE),0)</f>
        <v>640</v>
      </c>
      <c r="R20">
        <f t="array" aca="1" ref="R20" ca="1">IFERROR(VLOOKUP($P$5&amp;$C20,CHOOSE({1,2},D_技能表!$C$2:$C$1210&amp;D_技能表!$E$2:$E$1210,D_技能表!$W$2:$W$1210),2,FALSE),0)</f>
        <v>5</v>
      </c>
      <c r="S20">
        <f t="array" aca="1" ref="S20" ca="1">IFERROR(VLOOKUP($P$5&amp;$C20,CHOOSE({1,2},D_技能表!$C$2:$C$1210&amp;D_技能表!$E$2:$E$1210,D_技能表!$Z$2:$Z$1210),2,FALSE),0)</f>
        <v>0</v>
      </c>
      <c r="T20">
        <f t="array" aca="1" ref="T20" ca="1">IFERROR(VLOOKUP($T$5&amp;$C20,CHOOSE({1,2},D_技能表!$C$2:$C$1210&amp;D_技能表!$E$2:$E$1210,D_技能表!$I$2:$I$1210),2,FALSE),0)</f>
        <v>0</v>
      </c>
      <c r="U20">
        <f t="array" aca="1" ref="U20" ca="1">IFERROR(VLOOKUP($T$5&amp;$C20,CHOOSE({1,2},D_技能表!$C$2:$C$1210&amp;D_技能表!$E$2:$E$1210,D_技能表!$N$2:$N$1210),2,FALSE),0)</f>
        <v>0</v>
      </c>
      <c r="V20">
        <f t="array" aca="1" ref="V20" ca="1">IFERROR(VLOOKUP($T$5&amp;$C20,CHOOSE({1,2},D_技能表!$C$2:$C$1210&amp;D_技能表!$E$2:$E$1210,D_技能表!$W$2:$W$1210),2,FALSE),0)</f>
        <v>0</v>
      </c>
      <c r="W20">
        <f t="array" aca="1" ref="W20" ca="1">IFERROR(VLOOKUP($T$5&amp;$C20,CHOOSE({1,2},D_技能表!$C$2:$C$1210&amp;D_技能表!$E$2:$E$1210,D_技能表!$Z$2:$Z$1210),2,FALSE),0)</f>
        <v>0</v>
      </c>
      <c r="X20">
        <f t="array" aca="1" ref="X20" ca="1">IFERROR(VLOOKUP($X$5&amp;$C20,CHOOSE({1,2},D_技能表!$C$2:$C$1210&amp;D_技能表!$E$2:$E$1210,D_技能表!$I$2:$I$1210),2,FALSE),0)</f>
        <v>6</v>
      </c>
      <c r="Y20">
        <f t="array" aca="1" ref="Y20" ca="1">IFERROR(VLOOKUP($X$5&amp;$C20,CHOOSE({1,2},D_技能表!$C$2:$C$1210&amp;D_技能表!$E$2:$E$1210,D_技能表!$N$2:$N$1210),2,FALSE),0)</f>
        <v>1408</v>
      </c>
      <c r="Z20">
        <f t="array" aca="1" ref="Z20" ca="1">IFERROR(VLOOKUP($X$5&amp;$C20,CHOOSE({1,2},D_技能表!$C$2:$C$1210&amp;D_技能表!$E$2:$E$1210,D_技能表!$W$2:$W$1210),2,FALSE),0)</f>
        <v>11</v>
      </c>
      <c r="AA20">
        <f t="array" aca="1" ref="AA20" ca="1">IFERROR(VLOOKUP($X$5&amp;$C20,CHOOSE({1,2},D_技能表!$C$2:$C$1210&amp;D_技能表!$E$2:$E$1210,D_技能表!$Z$2:$Z$1210),2,FALSE),0)</f>
        <v>0</v>
      </c>
      <c r="AB20">
        <f t="array" aca="1" ref="AB20" ca="1">IFERROR(VLOOKUP($AB$5&amp;$C20,CHOOSE({1,2},D_技能表!$C$2:$C$1210&amp;D_技能表!$E$2:$E$1210,D_技能表!$I$2:$I$1210),2,FALSE),0)</f>
        <v>0</v>
      </c>
      <c r="AC20">
        <f t="array" aca="1" ref="AC20" ca="1">IFERROR(VLOOKUP($AB$5&amp;$C20,CHOOSE({1,2},D_技能表!$C$2:$C$1210&amp;D_技能表!$E$2:$E$1210,D_技能表!$N$2:$N$1210),2,FALSE),0)</f>
        <v>0</v>
      </c>
      <c r="AD20">
        <f t="array" aca="1" ref="AD20" ca="1">IFERROR(VLOOKUP($AB$5&amp;$C20,CHOOSE({1,2},D_技能表!$C$2:$C$1210&amp;D_技能表!$E$2:$E$1210,D_技能表!$W$2:$W$1210),2,FALSE),0)</f>
        <v>0</v>
      </c>
      <c r="AE20">
        <f t="array" aca="1" ref="AE20" ca="1">IFERROR(VLOOKUP($AB$5&amp;$C20,CHOOSE({1,2},D_技能表!$C$2:$C$1210&amp;D_技能表!$E$2:$E$1210,D_技能表!$Z$2:$Z$1210),2,FALSE),0)</f>
        <v>0</v>
      </c>
      <c r="AF20">
        <f t="array" aca="1" ref="AF20" ca="1">IFERROR(VLOOKUP($AF$5&amp;$C20,CHOOSE({1,2},D_技能表!$C$2:$C$1210&amp;D_技能表!$E$2:$E$1210,D_技能表!$I$2:$I$1210),2,FALSE),0)</f>
        <v>4</v>
      </c>
      <c r="AG20">
        <f t="array" aca="1" ref="AG20" ca="1">IFERROR(VLOOKUP($AF$5&amp;$C20,CHOOSE({1,2},D_技能表!$C$2:$C$1210&amp;D_技能表!$E$2:$E$1210,D_技能表!$N$2:$N$1210),2,FALSE),0)</f>
        <v>512</v>
      </c>
      <c r="AH20">
        <f t="array" aca="1" ref="AH20" ca="1">IFERROR(VLOOKUP($AF$5&amp;$C20,CHOOSE({1,2},D_技能表!$C$2:$C$1210&amp;D_技能表!$E$2:$E$1210,D_技能表!$W$2:$W$1210),2,FALSE),0)</f>
        <v>4</v>
      </c>
      <c r="AI20">
        <f t="array" aca="1" ref="AI20" ca="1">IFERROR(VLOOKUP($AF$5&amp;$C20,CHOOSE({1,2},D_技能表!$C$2:$C$1210&amp;D_技能表!$E$2:$E$1210,D_技能表!$Z$2:$Z$1210),2,FALSE),0)</f>
        <v>0</v>
      </c>
      <c r="AJ20">
        <f t="array" aca="1" ref="AJ20" ca="1">IFERROR(VLOOKUP($AJ$5&amp;$C20,CHOOSE({1,2},D_技能表!$C$2:$C$1210&amp;D_技能表!$E$2:$E$1210,D_技能表!$I$2:$I$1210),2,FALSE),0)</f>
        <v>3</v>
      </c>
      <c r="AK20">
        <f t="array" aca="1" ref="AK20" ca="1">IFERROR(VLOOKUP($AJ$5&amp;$C20,CHOOSE({1,2},D_技能表!$C$2:$C$1210&amp;D_技能表!$E$2:$E$1210,D_技能表!$N$2:$N$1210),2,FALSE),0)</f>
        <v>512</v>
      </c>
      <c r="AL20">
        <f t="array" aca="1" ref="AL20" ca="1">IFERROR(VLOOKUP($AJ$5&amp;$C20,CHOOSE({1,2},D_技能表!$C$2:$C$1210&amp;D_技能表!$E$2:$E$1210,D_技能表!$W$2:$W$1210),2,FALSE),0)</f>
        <v>4</v>
      </c>
      <c r="AM20">
        <f t="array" aca="1" ref="AM20" ca="1">IFERROR(VLOOKUP($AJ$5&amp;$C20,CHOOSE({1,2},D_技能表!$C$2:$C$1210&amp;D_技能表!$E$2:$E$1210,D_技能表!$Z$2:$Z$1210),2,FALSE),0)</f>
        <v>0</v>
      </c>
      <c r="AN20">
        <f t="array" aca="1" ref="AN20" ca="1">IFERROR(VLOOKUP($AN$5&amp;$C20,CHOOSE({1,2},D_技能表!$C$2:$C$1210&amp;D_技能表!$E$2:$E$1210,D_技能表!$I$2:$I$1210),2,FALSE),0)</f>
        <v>0</v>
      </c>
      <c r="AO20">
        <f t="array" aca="1" ref="AO20" ca="1">IFERROR(VLOOKUP($AN$5&amp;$C20,CHOOSE({1,2},D_技能表!$C$2:$C$1210&amp;D_技能表!$E$2:$E$1210,D_技能表!$N$2:$N$1210),2,FALSE),0)</f>
        <v>0</v>
      </c>
      <c r="AP20">
        <f t="array" aca="1" ref="AP20" ca="1">IFERROR(VLOOKUP($AN$5&amp;$C20,CHOOSE({1,2},D_技能表!$C$2:$C$1210&amp;D_技能表!$E$2:$E$1210,D_技能表!$W$2:$W$1210),2,FALSE),0)</f>
        <v>0</v>
      </c>
      <c r="AQ20">
        <f t="array" aca="1" ref="AQ20" ca="1">IFERROR(VLOOKUP($AN$5&amp;$C20,CHOOSE({1,2},D_技能表!$C$2:$C$1210&amp;D_技能表!$E$2:$E$1210,D_技能表!$Z$2:$Z$1210),2,FALSE),0)</f>
        <v>0</v>
      </c>
      <c r="AR20" s="11">
        <f ca="1">SUM($G$7:G21,$K$7:K21,$O$7:O21,$S$7:S21,$W$7:W21,$AA$7:AA21,$AE$7:AE21,$AI$7:AI21,$AM$7:AM21,$AQ$7:AQ21)</f>
        <v>0</v>
      </c>
      <c r="AS20">
        <f ca="1">SUM($F$7:F21,$J$7:J21,$N$7:N21,$R$7:R21,$V$7:V21,$Z$7:Z21,$AD$7:AD21,$AH$7:AH21,$AL$7:AL21,$AP$7:AP21)</f>
        <v>269</v>
      </c>
      <c r="AT20">
        <f t="shared" ca="1" si="1"/>
        <v>37</v>
      </c>
      <c r="AU20" s="33">
        <f ca="1">SUM($AX$7:AX20,$BB$7:BB20,$BF$7:BF20,$BJ$7:BJ20)</f>
        <v>25400</v>
      </c>
      <c r="AV20">
        <v>14</v>
      </c>
      <c r="AW20">
        <f t="array" ref="AW20">IFERROR(VLOOKUP(AW$5&amp;$AV20,CHOOSE({1,2},D_技能表CD!$C$2:$C$313&amp;D_技能表CD!$E$2:$E$313,D_技能表CD!$I$2:$I$313),2,FALSE),0)</f>
        <v>0</v>
      </c>
      <c r="AX20">
        <f t="array" aca="1" ref="AX20" ca="1">IFERROR(VLOOKUP(AW$5&amp;$AV20,CHOOSE({1,2},D_技能表CD!$C$2:$C$313&amp;D_技能表CD!$E$2:$E$313,D_技能表CD!$H$2:$H$313),2,FALSE),0)</f>
        <v>0</v>
      </c>
      <c r="AY20">
        <f t="array" aca="1" ref="AY20" ca="1">IFERROR(VLOOKUP(AW$5&amp;$AV20,CHOOSE({1,2},D_技能表CD!$C$2:$C$313&amp;D_技能表CD!$E$2:$E$313,D_技能表CD!$L$2:$L$313),2,FALSE),0)</f>
        <v>0</v>
      </c>
      <c r="AZ20">
        <f t="array" aca="1" ref="AZ20" ca="1">IFERROR(VLOOKUP(AW$5&amp;$AV20,CHOOSE({1,2},D_技能表CD!$C$2:$C$313&amp;D_技能表CD!$E$2:$E$313,D_技能表CD!$K$2:$K$313),2,FALSE),0)</f>
        <v>0</v>
      </c>
      <c r="BA20">
        <f t="array" ref="BA20">IFERROR(VLOOKUP(BA$5&amp;$AV20,CHOOSE({1,2},D_技能表CD!$C$2:$C$313&amp;D_技能表CD!$E$2:$E$313,D_技能表CD!$I$2:$I$313),2,FALSE),0)</f>
        <v>0</v>
      </c>
      <c r="BB20">
        <f t="array" aca="1" ref="BB20" ca="1">IFERROR(VLOOKUP(BA$5&amp;$AV20,CHOOSE({1,2},D_技能表CD!$C$2:$C$313&amp;D_技能表CD!$E$2:$E$313,D_技能表CD!$H$2:$H$313),2,FALSE),0)</f>
        <v>0</v>
      </c>
      <c r="BC20">
        <f t="array" aca="1" ref="BC20" ca="1">IFERROR(VLOOKUP(BA$5&amp;$AV20,CHOOSE({1,2},D_技能表CD!$C$2:$C$313&amp;D_技能表CD!$E$2:$E$313,D_技能表CD!$L$2:$L$313),2,FALSE),0)</f>
        <v>0</v>
      </c>
      <c r="BD20">
        <f t="array" aca="1" ref="BD20" ca="1">IFERROR(VLOOKUP(BA$5&amp;$AV20,CHOOSE({1,2},D_技能表CD!$C$2:$C$313&amp;D_技能表CD!$E$2:$E$313,D_技能表CD!$K$2:$K$313),2,FALSE),0)</f>
        <v>0</v>
      </c>
      <c r="BE20">
        <f t="array" ref="BE20">IFERROR(VLOOKUP(BE$5&amp;$AV20,CHOOSE({1,2},D_技能表CD!$C$2:$C$313&amp;D_技能表CD!$E$2:$E$313,D_技能表CD!$I$2:$I$313),2,FALSE),0)</f>
        <v>0</v>
      </c>
      <c r="BF20">
        <f t="array" aca="1" ref="BF20" ca="1">IFERROR(VLOOKUP(BE$5&amp;$AV20,CHOOSE({1,2},D_技能表CD!$C$2:$C$313&amp;D_技能表CD!$E$2:$E$313,D_技能表CD!$H$2:$H$313),2,FALSE),0)</f>
        <v>0</v>
      </c>
      <c r="BG20">
        <f t="array" aca="1" ref="BG20" ca="1">IFERROR(VLOOKUP(BE$5&amp;$AV20,CHOOSE({1,2},D_技能表CD!$C$2:$C$313&amp;D_技能表CD!$E$2:$E$313,D_技能表CD!$L$2:$L$313),2,FALSE),0)</f>
        <v>0</v>
      </c>
      <c r="BH20">
        <f t="array" aca="1" ref="BH20" ca="1">IFERROR(VLOOKUP(BE$5&amp;$AV20,CHOOSE({1,2},D_技能表CD!$C$2:$C$313&amp;D_技能表CD!$E$2:$E$313,D_技能表CD!$K$2:$K$313),2,FALSE),0)</f>
        <v>0</v>
      </c>
      <c r="BI20">
        <f t="array" ref="BI20">IFERROR(VLOOKUP(BI$5&amp;$AV20,CHOOSE({1,2},D_技能表CD!$C$2:$C$313&amp;D_技能表CD!$E$2:$E$313,D_技能表CD!$I$2:$I$313),2,FALSE),0)</f>
        <v>4</v>
      </c>
      <c r="BJ20">
        <f t="array" aca="1" ref="BJ20" ca="1">IFERROR(VLOOKUP(BI$5&amp;$AV20,CHOOSE({1,2},D_技能表CD!$C$2:$C$313&amp;D_技能表CD!$E$2:$E$313,D_技能表CD!$H$2:$H$313),2,FALSE),0)</f>
        <v>3900</v>
      </c>
      <c r="BK20">
        <f t="array" aca="1" ref="BK20" ca="1">IFERROR(VLOOKUP(BI$5&amp;$AV20,CHOOSE({1,2},D_技能表CD!$C$2:$C$313&amp;D_技能表CD!$E$2:$E$313,D_技能表CD!$L$2:$L$313),2,FALSE),0)</f>
        <v>30</v>
      </c>
      <c r="BL20">
        <f t="array" aca="1" ref="BL20" ca="1">IFERROR(VLOOKUP(BI$5&amp;$AV20,CHOOSE({1,2},D_技能表CD!$C$2:$C$313&amp;D_技能表CD!$E$2:$E$313,D_技能表CD!$K$2:$K$313),2,FALSE),0)</f>
        <v>0</v>
      </c>
    </row>
    <row r="21" spans="1:64" x14ac:dyDescent="0.15">
      <c r="A21">
        <f t="shared" ca="1" si="0"/>
        <v>61954</v>
      </c>
      <c r="B21" s="33">
        <f ca="1">SUM($E$7:E21,$I$7:I21,$M$7:M21,$Q$7:Q21,$U$7:U21,$Y$7:Y21,$AC$7:AC21,$AG$7:AG21,$AK$7:AK21,$AO$7:AO21)</f>
        <v>30754</v>
      </c>
      <c r="C21">
        <v>15</v>
      </c>
      <c r="D21">
        <f t="array" aca="1" ref="D21" ca="1">IFERROR(VLOOKUP($D$5&amp;C21,CHOOSE({1,2},D_技能表!$C$2:$C$1210&amp;D_技能表!$E$2:$E$1210,D_技能表!$I$2:$I$1210),2,FALSE),0)</f>
        <v>0</v>
      </c>
      <c r="E21">
        <f t="array" aca="1" ref="E21" ca="1">IFERROR(VLOOKUP($D$5&amp;$C21,CHOOSE({1,2},D_技能表!$C$2:$C$1210&amp;D_技能表!$E$2:$E$1210,D_技能表!$N$2:$N$1210),2,FALSE),0)</f>
        <v>0</v>
      </c>
      <c r="F21">
        <f t="array" aca="1" ref="F21" ca="1">IFERROR(VLOOKUP($D$5&amp;$C21,CHOOSE({1,2},D_技能表!$C$2:$C$1210&amp;D_技能表!$E$2:$E$1210,D_技能表!$W$2:$W$1210),2,FALSE),0)</f>
        <v>0</v>
      </c>
      <c r="G21">
        <f t="array" aca="1" ref="G21" ca="1">IFERROR(VLOOKUP($D$5&amp;$C21,CHOOSE({1,2},D_技能表!$C$2:$C$1210&amp;D_技能表!$E$2:$E$1210,D_技能表!$Z$2:$Z$1210),2,FALSE),0)</f>
        <v>0</v>
      </c>
      <c r="H21">
        <f t="array" aca="1" ref="H21" ca="1">IFERROR(VLOOKUP($H$5&amp;$C21,CHOOSE({1,2},D_技能表!$C$2:$C$1210&amp;D_技能表!$E$2:$E$1210,D_技能表!$I$2:$I$1210),2,FALSE),0)</f>
        <v>7</v>
      </c>
      <c r="I21">
        <f t="array" aca="1" ref="I21" ca="1">IFERROR(VLOOKUP($H$5&amp;$C21,CHOOSE({1,2},D_技能表!$C$2:$C$1210&amp;D_技能表!$E$2:$E$1210,D_技能表!$N$2:$N$1210),2,FALSE),0)</f>
        <v>670</v>
      </c>
      <c r="J21">
        <f t="array" aca="1" ref="J21" ca="1">IFERROR(VLOOKUP($H$5&amp;$C21,CHOOSE({1,2},D_技能表!$C$2:$C$1210&amp;D_技能表!$E$2:$E$1210,D_技能表!$W$2:$W$1210),2,FALSE),0)</f>
        <v>5</v>
      </c>
      <c r="K21">
        <f t="array" aca="1" ref="K21" ca="1">IFERROR(VLOOKUP($H$5&amp;$C21,CHOOSE({1,2},D_技能表!$C$2:$C$1210&amp;D_技能表!$E$2:$E$1210,D_技能表!$Z$2:$Z$1210),2,FALSE),0)</f>
        <v>0</v>
      </c>
      <c r="L21">
        <f t="array" aca="1" ref="L21" ca="1">IFERROR(VLOOKUP($L$5&amp;$C21,CHOOSE({1,2},D_技能表!$C$2:$C$1210&amp;D_技能表!$E$2:$E$1210,D_技能表!$I$2:$I$1210),2,FALSE),0)</f>
        <v>7</v>
      </c>
      <c r="M21">
        <f t="array" aca="1" ref="M21" ca="1">IFERROR(VLOOKUP($L$5&amp;$C21,CHOOSE({1,2},D_技能表!$C$2:$C$1210&amp;D_技能表!$E$2:$E$1210,D_技能表!$N$2:$N$1210),2,FALSE),0)</f>
        <v>670</v>
      </c>
      <c r="N21">
        <f t="array" aca="1" ref="N21" ca="1">IFERROR(VLOOKUP($L$5&amp;$C21,CHOOSE({1,2},D_技能表!$C$2:$C$1210&amp;D_技能表!$E$2:$E$1210,D_技能表!$W$2:$W$1210),2,FALSE),0)</f>
        <v>5</v>
      </c>
      <c r="O21">
        <f t="array" aca="1" ref="O21" ca="1">IFERROR(VLOOKUP($L$5&amp;$C21,CHOOSE({1,2},D_技能表!$C$2:$C$1210&amp;D_技能表!$E$2:$E$1210,D_技能表!$Z$2:$Z$1210),2,FALSE),0)</f>
        <v>0</v>
      </c>
      <c r="P21">
        <f t="array" aca="1" ref="P21" ca="1">IFERROR(VLOOKUP($P$5&amp;$C21,CHOOSE({1,2},D_技能表!$C$2:$C$1210&amp;D_技能表!$E$2:$E$1210,D_技能表!$I$2:$I$1210),2,FALSE),0)</f>
        <v>0</v>
      </c>
      <c r="Q21">
        <f t="array" aca="1" ref="Q21" ca="1">IFERROR(VLOOKUP($P$5&amp;$C21,CHOOSE({1,2},D_技能表!$C$2:$C$1210&amp;D_技能表!$E$2:$E$1210,D_技能表!$N$2:$N$1210),2,FALSE),0)</f>
        <v>0</v>
      </c>
      <c r="R21">
        <f t="array" aca="1" ref="R21" ca="1">IFERROR(VLOOKUP($P$5&amp;$C21,CHOOSE({1,2},D_技能表!$C$2:$C$1210&amp;D_技能表!$E$2:$E$1210,D_技能表!$W$2:$W$1210),2,FALSE),0)</f>
        <v>0</v>
      </c>
      <c r="S21">
        <f t="array" aca="1" ref="S21" ca="1">IFERROR(VLOOKUP($P$5&amp;$C21,CHOOSE({1,2},D_技能表!$C$2:$C$1210&amp;D_技能表!$E$2:$E$1210,D_技能表!$Z$2:$Z$1210),2,FALSE),0)</f>
        <v>0</v>
      </c>
      <c r="T21">
        <f t="array" aca="1" ref="T21" ca="1">IFERROR(VLOOKUP($T$5&amp;$C21,CHOOSE({1,2},D_技能表!$C$2:$C$1210&amp;D_技能表!$E$2:$E$1210,D_技能表!$I$2:$I$1210),2,FALSE),0)</f>
        <v>4</v>
      </c>
      <c r="U21">
        <f t="array" aca="1" ref="U21" ca="1">IFERROR(VLOOKUP($T$5&amp;$C21,CHOOSE({1,2},D_技能表!$C$2:$C$1210&amp;D_技能表!$E$2:$E$1210,D_技能表!$N$2:$N$1210),2,FALSE),0)</f>
        <v>1072</v>
      </c>
      <c r="V21">
        <f t="array" aca="1" ref="V21" ca="1">IFERROR(VLOOKUP($T$5&amp;$C21,CHOOSE({1,2},D_技能表!$C$2:$C$1210&amp;D_技能表!$E$2:$E$1210,D_技能表!$W$2:$W$1210),2,FALSE),0)</f>
        <v>8</v>
      </c>
      <c r="W21">
        <f t="array" aca="1" ref="W21" ca="1">IFERROR(VLOOKUP($T$5&amp;$C21,CHOOSE({1,2},D_技能表!$C$2:$C$1210&amp;D_技能表!$E$2:$E$1210,D_技能表!$Z$2:$Z$1210),2,FALSE),0)</f>
        <v>0</v>
      </c>
      <c r="X21">
        <f t="array" aca="1" ref="X21" ca="1">IFERROR(VLOOKUP($X$5&amp;$C21,CHOOSE({1,2},D_技能表!$C$2:$C$1210&amp;D_技能表!$E$2:$E$1210,D_技能表!$I$2:$I$1210),2,FALSE),0)</f>
        <v>0</v>
      </c>
      <c r="Y21">
        <f t="array" aca="1" ref="Y21" ca="1">IFERROR(VLOOKUP($X$5&amp;$C21,CHOOSE({1,2},D_技能表!$C$2:$C$1210&amp;D_技能表!$E$2:$E$1210,D_技能表!$N$2:$N$1210),2,FALSE),0)</f>
        <v>0</v>
      </c>
      <c r="Z21">
        <f t="array" aca="1" ref="Z21" ca="1">IFERROR(VLOOKUP($X$5&amp;$C21,CHOOSE({1,2},D_技能表!$C$2:$C$1210&amp;D_技能表!$E$2:$E$1210,D_技能表!$W$2:$W$1210),2,FALSE),0)</f>
        <v>0</v>
      </c>
      <c r="AA21">
        <f t="array" aca="1" ref="AA21" ca="1">IFERROR(VLOOKUP($X$5&amp;$C21,CHOOSE({1,2},D_技能表!$C$2:$C$1210&amp;D_技能表!$E$2:$E$1210,D_技能表!$Z$2:$Z$1210),2,FALSE),0)</f>
        <v>0</v>
      </c>
      <c r="AB21">
        <f t="array" aca="1" ref="AB21" ca="1">IFERROR(VLOOKUP($AB$5&amp;$C21,CHOOSE({1,2},D_技能表!$C$2:$C$1210&amp;D_技能表!$E$2:$E$1210,D_技能表!$I$2:$I$1210),2,FALSE),0)</f>
        <v>6</v>
      </c>
      <c r="AC21">
        <f t="array" aca="1" ref="AC21" ca="1">IFERROR(VLOOKUP($AB$5&amp;$C21,CHOOSE({1,2},D_技能表!$C$2:$C$1210&amp;D_技能表!$E$2:$E$1210,D_技能表!$N$2:$N$1210),2,FALSE),0)</f>
        <v>670</v>
      </c>
      <c r="AD21">
        <f t="array" aca="1" ref="AD21" ca="1">IFERROR(VLOOKUP($AB$5&amp;$C21,CHOOSE({1,2},D_技能表!$C$2:$C$1210&amp;D_技能表!$E$2:$E$1210,D_技能表!$W$2:$W$1210),2,FALSE),0)</f>
        <v>5</v>
      </c>
      <c r="AE21">
        <f t="array" aca="1" ref="AE21" ca="1">IFERROR(VLOOKUP($AB$5&amp;$C21,CHOOSE({1,2},D_技能表!$C$2:$C$1210&amp;D_技能表!$E$2:$E$1210,D_技能表!$Z$2:$Z$1210),2,FALSE),0)</f>
        <v>0</v>
      </c>
      <c r="AF21">
        <f t="array" aca="1" ref="AF21" ca="1">IFERROR(VLOOKUP($AF$5&amp;$C21,CHOOSE({1,2},D_技能表!$C$2:$C$1210&amp;D_技能表!$E$2:$E$1210,D_技能表!$I$2:$I$1210),2,FALSE),0)</f>
        <v>5</v>
      </c>
      <c r="AG21">
        <f t="array" aca="1" ref="AG21" ca="1">IFERROR(VLOOKUP($AF$5&amp;$C21,CHOOSE({1,2},D_技能表!$C$2:$C$1210&amp;D_技能表!$E$2:$E$1210,D_技能表!$N$2:$N$1210),2,FALSE),0)</f>
        <v>670</v>
      </c>
      <c r="AH21">
        <f t="array" aca="1" ref="AH21" ca="1">IFERROR(VLOOKUP($AF$5&amp;$C21,CHOOSE({1,2},D_技能表!$C$2:$C$1210&amp;D_技能表!$E$2:$E$1210,D_技能表!$W$2:$W$1210),2,FALSE),0)</f>
        <v>5</v>
      </c>
      <c r="AI21">
        <f t="array" aca="1" ref="AI21" ca="1">IFERROR(VLOOKUP($AF$5&amp;$C21,CHOOSE({1,2},D_技能表!$C$2:$C$1210&amp;D_技能表!$E$2:$E$1210,D_技能表!$Z$2:$Z$1210),2,FALSE),0)</f>
        <v>0</v>
      </c>
      <c r="AJ21">
        <f t="array" aca="1" ref="AJ21" ca="1">IFERROR(VLOOKUP($AJ$5&amp;$C21,CHOOSE({1,2},D_技能表!$C$2:$C$1210&amp;D_技能表!$E$2:$E$1210,D_技能表!$I$2:$I$1210),2,FALSE),0)</f>
        <v>0</v>
      </c>
      <c r="AK21">
        <f t="array" aca="1" ref="AK21" ca="1">IFERROR(VLOOKUP($AJ$5&amp;$C21,CHOOSE({1,2},D_技能表!$C$2:$C$1210&amp;D_技能表!$E$2:$E$1210,D_技能表!$N$2:$N$1210),2,FALSE),0)</f>
        <v>0</v>
      </c>
      <c r="AL21">
        <f t="array" aca="1" ref="AL21" ca="1">IFERROR(VLOOKUP($AJ$5&amp;$C21,CHOOSE({1,2},D_技能表!$C$2:$C$1210&amp;D_技能表!$E$2:$E$1210,D_技能表!$W$2:$W$1210),2,FALSE),0)</f>
        <v>0</v>
      </c>
      <c r="AM21">
        <f t="array" aca="1" ref="AM21" ca="1">IFERROR(VLOOKUP($AJ$5&amp;$C21,CHOOSE({1,2},D_技能表!$C$2:$C$1210&amp;D_技能表!$E$2:$E$1210,D_技能表!$Z$2:$Z$1210),2,FALSE),0)</f>
        <v>0</v>
      </c>
      <c r="AN21">
        <f t="array" aca="1" ref="AN21" ca="1">IFERROR(VLOOKUP($AN$5&amp;$C21,CHOOSE({1,2},D_技能表!$C$2:$C$1210&amp;D_技能表!$E$2:$E$1210,D_技能表!$I$2:$I$1210),2,FALSE),0)</f>
        <v>2</v>
      </c>
      <c r="AO21">
        <f t="array" aca="1" ref="AO21" ca="1">IFERROR(VLOOKUP($AN$5&amp;$C21,CHOOSE({1,2},D_技能表!$C$2:$C$1210&amp;D_技能表!$E$2:$E$1210,D_技能表!$N$2:$N$1210),2,FALSE),0)</f>
        <v>938</v>
      </c>
      <c r="AP21">
        <f t="array" aca="1" ref="AP21" ca="1">IFERROR(VLOOKUP($AN$5&amp;$C21,CHOOSE({1,2},D_技能表!$C$2:$C$1210&amp;D_技能表!$E$2:$E$1210,D_技能表!$W$2:$W$1210),2,FALSE),0)</f>
        <v>7</v>
      </c>
      <c r="AQ21">
        <f t="array" aca="1" ref="AQ21" ca="1">IFERROR(VLOOKUP($AN$5&amp;$C21,CHOOSE({1,2},D_技能表!$C$2:$C$1210&amp;D_技能表!$E$2:$E$1210,D_技能表!$Z$2:$Z$1210),2,FALSE),0)</f>
        <v>0</v>
      </c>
      <c r="AR21" s="11">
        <f ca="1">SUM($G$7:G22,$K$7:K22,$O$7:O22,$S$7:S22,$W$7:W22,$AA$7:AA22,$AE$7:AE22,$AI$7:AI22,$AM$7:AM22,$AQ$7:AQ22)</f>
        <v>0</v>
      </c>
      <c r="AS21">
        <f ca="1">SUM($F$7:F22,$J$7:J22,$N$7:N22,$R$7:R22,$V$7:V22,$Z$7:Z22,$AD$7:AD22,$AH$7:AH22,$AL$7:AL22,$AP$7:AP22)</f>
        <v>337</v>
      </c>
      <c r="AT21">
        <f t="shared" ca="1" si="1"/>
        <v>35</v>
      </c>
      <c r="AU21" s="33">
        <f ca="1">SUM($AX$7:AX21,$BB$7:BB21,$BF$7:BF21,$BJ$7:BJ21)</f>
        <v>31200</v>
      </c>
      <c r="AV21">
        <v>15</v>
      </c>
      <c r="AW21">
        <f t="array" ref="AW21">IFERROR(VLOOKUP(AW$5&amp;$AV21,CHOOSE({1,2},D_技能表CD!$C$2:$C$313&amp;D_技能表CD!$E$2:$E$313,D_技能表CD!$I$2:$I$313),2,FALSE),0)</f>
        <v>0</v>
      </c>
      <c r="AX21">
        <f t="array" aca="1" ref="AX21" ca="1">IFERROR(VLOOKUP(AW$5&amp;$AV21,CHOOSE({1,2},D_技能表CD!$C$2:$C$313&amp;D_技能表CD!$E$2:$E$313,D_技能表CD!$H$2:$H$313),2,FALSE),0)</f>
        <v>0</v>
      </c>
      <c r="AY21">
        <f t="array" aca="1" ref="AY21" ca="1">IFERROR(VLOOKUP(AW$5&amp;$AV21,CHOOSE({1,2},D_技能表CD!$C$2:$C$313&amp;D_技能表CD!$E$2:$E$313,D_技能表CD!$L$2:$L$313),2,FALSE),0)</f>
        <v>0</v>
      </c>
      <c r="AZ21">
        <f t="array" aca="1" ref="AZ21" ca="1">IFERROR(VLOOKUP(AW$5&amp;$AV21,CHOOSE({1,2},D_技能表CD!$C$2:$C$313&amp;D_技能表CD!$E$2:$E$313,D_技能表CD!$K$2:$K$313),2,FALSE),0)</f>
        <v>0</v>
      </c>
      <c r="BA21">
        <f t="array" ref="BA21">IFERROR(VLOOKUP(BA$5&amp;$AV21,CHOOSE({1,2},D_技能表CD!$C$2:$C$313&amp;D_技能表CD!$E$2:$E$313,D_技能表CD!$I$2:$I$313),2,FALSE),0)</f>
        <v>5</v>
      </c>
      <c r="BB21">
        <f t="array" aca="1" ref="BB21" ca="1">IFERROR(VLOOKUP(BA$5&amp;$AV21,CHOOSE({1,2},D_技能表CD!$C$2:$C$313&amp;D_技能表CD!$E$2:$E$313,D_技能表CD!$H$2:$H$313),2,FALSE),0)</f>
        <v>5800</v>
      </c>
      <c r="BC21">
        <f t="array" aca="1" ref="BC21" ca="1">IFERROR(VLOOKUP(BA$5&amp;$AV21,CHOOSE({1,2},D_技能表CD!$C$2:$C$313&amp;D_技能表CD!$E$2:$E$313,D_技能表CD!$L$2:$L$313),2,FALSE),0)</f>
        <v>36</v>
      </c>
      <c r="BD21">
        <f t="array" aca="1" ref="BD21" ca="1">IFERROR(VLOOKUP(BA$5&amp;$AV21,CHOOSE({1,2},D_技能表CD!$C$2:$C$313&amp;D_技能表CD!$E$2:$E$313,D_技能表CD!$K$2:$K$313),2,FALSE),0)</f>
        <v>0</v>
      </c>
      <c r="BE21">
        <f t="array" ref="BE21">IFERROR(VLOOKUP(BE$5&amp;$AV21,CHOOSE({1,2},D_技能表CD!$C$2:$C$313&amp;D_技能表CD!$E$2:$E$313,D_技能表CD!$I$2:$I$313),2,FALSE),0)</f>
        <v>0</v>
      </c>
      <c r="BF21">
        <f t="array" aca="1" ref="BF21" ca="1">IFERROR(VLOOKUP(BE$5&amp;$AV21,CHOOSE({1,2},D_技能表CD!$C$2:$C$313&amp;D_技能表CD!$E$2:$E$313,D_技能表CD!$H$2:$H$313),2,FALSE),0)</f>
        <v>0</v>
      </c>
      <c r="BG21">
        <f t="array" aca="1" ref="BG21" ca="1">IFERROR(VLOOKUP(BE$5&amp;$AV21,CHOOSE({1,2},D_技能表CD!$C$2:$C$313&amp;D_技能表CD!$E$2:$E$313,D_技能表CD!$L$2:$L$313),2,FALSE),0)</f>
        <v>0</v>
      </c>
      <c r="BH21">
        <f t="array" aca="1" ref="BH21" ca="1">IFERROR(VLOOKUP(BE$5&amp;$AV21,CHOOSE({1,2},D_技能表CD!$C$2:$C$313&amp;D_技能表CD!$E$2:$E$313,D_技能表CD!$K$2:$K$313),2,FALSE),0)</f>
        <v>0</v>
      </c>
      <c r="BI21">
        <f t="array" ref="BI21">IFERROR(VLOOKUP(BI$5&amp;$AV21,CHOOSE({1,2},D_技能表CD!$C$2:$C$313&amp;D_技能表CD!$E$2:$E$313,D_技能表CD!$I$2:$I$313),2,FALSE),0)</f>
        <v>0</v>
      </c>
      <c r="BJ21">
        <f t="array" aca="1" ref="BJ21" ca="1">IFERROR(VLOOKUP(BI$5&amp;$AV21,CHOOSE({1,2},D_技能表CD!$C$2:$C$313&amp;D_技能表CD!$E$2:$E$313,D_技能表CD!$H$2:$H$313),2,FALSE),0)</f>
        <v>0</v>
      </c>
      <c r="BK21">
        <f t="array" aca="1" ref="BK21" ca="1">IFERROR(VLOOKUP(BI$5&amp;$AV21,CHOOSE({1,2},D_技能表CD!$C$2:$C$313&amp;D_技能表CD!$E$2:$E$313,D_技能表CD!$L$2:$L$313),2,FALSE),0)</f>
        <v>0</v>
      </c>
      <c r="BL21">
        <f t="array" aca="1" ref="BL21" ca="1">IFERROR(VLOOKUP(BI$5&amp;$AV21,CHOOSE({1,2},D_技能表CD!$C$2:$C$313&amp;D_技能表CD!$E$2:$E$313,D_技能表CD!$K$2:$K$313),2,FALSE),0)</f>
        <v>0</v>
      </c>
    </row>
    <row r="22" spans="1:64" x14ac:dyDescent="0.15">
      <c r="A22">
        <f t="shared" ca="1" si="0"/>
        <v>78124</v>
      </c>
      <c r="B22" s="33">
        <f ca="1">SUM($E$7:E22,$I$7:I22,$M$7:M22,$Q$7:Q22,$U$7:U22,$Y$7:Y22,$AC$7:AC22,$AG$7:AG22,$AK$7:AK22,$AO$7:AO22)</f>
        <v>40274</v>
      </c>
      <c r="C22">
        <v>16</v>
      </c>
      <c r="D22">
        <f t="array" aca="1" ref="D22" ca="1">IFERROR(VLOOKUP($D$5&amp;C22,CHOOSE({1,2},D_技能表!$C$2:$C$1210&amp;D_技能表!$E$2:$E$1210,D_技能表!$I$2:$I$1210),2,FALSE),0)</f>
        <v>9</v>
      </c>
      <c r="E22">
        <f t="array" aca="1" ref="E22" ca="1">IFERROR(VLOOKUP($D$5&amp;$C22,CHOOSE({1,2},D_技能表!$C$2:$C$1210&amp;D_技能表!$E$2:$E$1210,D_技能表!$N$2:$N$1210),2,FALSE),0)</f>
        <v>1960</v>
      </c>
      <c r="F22">
        <f t="array" aca="1" ref="F22" ca="1">IFERROR(VLOOKUP($D$5&amp;$C22,CHOOSE({1,2},D_技能表!$C$2:$C$1210&amp;D_技能表!$E$2:$E$1210,D_技能表!$W$2:$W$1210),2,FALSE),0)</f>
        <v>14</v>
      </c>
      <c r="G22">
        <f t="array" aca="1" ref="G22" ca="1">IFERROR(VLOOKUP($D$5&amp;$C22,CHOOSE({1,2},D_技能表!$C$2:$C$1210&amp;D_技能表!$E$2:$E$1210,D_技能表!$Z$2:$Z$1210),2,FALSE),0)</f>
        <v>0</v>
      </c>
      <c r="H22">
        <f t="array" aca="1" ref="H22" ca="1">IFERROR(VLOOKUP($H$5&amp;$C22,CHOOSE({1,2},D_技能表!$C$2:$C$1210&amp;D_技能表!$E$2:$E$1210,D_技能表!$I$2:$I$1210),2,FALSE),0)</f>
        <v>8</v>
      </c>
      <c r="I22">
        <f t="array" aca="1" ref="I22" ca="1">IFERROR(VLOOKUP($H$5&amp;$C22,CHOOSE({1,2},D_技能表!$C$2:$C$1210&amp;D_技能表!$E$2:$E$1210,D_技能表!$N$2:$N$1210),2,FALSE),0)</f>
        <v>840</v>
      </c>
      <c r="J22">
        <f t="array" aca="1" ref="J22" ca="1">IFERROR(VLOOKUP($H$5&amp;$C22,CHOOSE({1,2},D_技能表!$C$2:$C$1210&amp;D_技能表!$E$2:$E$1210,D_技能表!$W$2:$W$1210),2,FALSE),0)</f>
        <v>6</v>
      </c>
      <c r="K22">
        <f t="array" aca="1" ref="K22" ca="1">IFERROR(VLOOKUP($H$5&amp;$C22,CHOOSE({1,2},D_技能表!$C$2:$C$1210&amp;D_技能表!$E$2:$E$1210,D_技能表!$Z$2:$Z$1210),2,FALSE),0)</f>
        <v>0</v>
      </c>
      <c r="L22">
        <f t="array" aca="1" ref="L22" ca="1">IFERROR(VLOOKUP($L$5&amp;$C22,CHOOSE({1,2},D_技能表!$C$2:$C$1210&amp;D_技能表!$E$2:$E$1210,D_技能表!$I$2:$I$1210),2,FALSE),0)</f>
        <v>8</v>
      </c>
      <c r="M22">
        <f t="array" aca="1" ref="M22" ca="1">IFERROR(VLOOKUP($L$5&amp;$C22,CHOOSE({1,2},D_技能表!$C$2:$C$1210&amp;D_技能表!$E$2:$E$1210,D_技能表!$N$2:$N$1210),2,FALSE),0)</f>
        <v>840</v>
      </c>
      <c r="N22">
        <f t="array" aca="1" ref="N22" ca="1">IFERROR(VLOOKUP($L$5&amp;$C22,CHOOSE({1,2},D_技能表!$C$2:$C$1210&amp;D_技能表!$E$2:$E$1210,D_技能表!$W$2:$W$1210),2,FALSE),0)</f>
        <v>6</v>
      </c>
      <c r="O22">
        <f t="array" aca="1" ref="O22" ca="1">IFERROR(VLOOKUP($L$5&amp;$C22,CHOOSE({1,2},D_技能表!$C$2:$C$1210&amp;D_技能表!$E$2:$E$1210,D_技能表!$Z$2:$Z$1210),2,FALSE),0)</f>
        <v>0</v>
      </c>
      <c r="P22">
        <f t="array" aca="1" ref="P22" ca="1">IFERROR(VLOOKUP($P$5&amp;$C22,CHOOSE({1,2},D_技能表!$C$2:$C$1210&amp;D_技能表!$E$2:$E$1210,D_技能表!$I$2:$I$1210),2,FALSE),0)</f>
        <v>6</v>
      </c>
      <c r="Q22">
        <f t="array" aca="1" ref="Q22" ca="1">IFERROR(VLOOKUP($P$5&amp;$C22,CHOOSE({1,2},D_技能表!$C$2:$C$1210&amp;D_技能表!$E$2:$E$1210,D_技能表!$N$2:$N$1210),2,FALSE),0)</f>
        <v>700</v>
      </c>
      <c r="R22">
        <f t="array" aca="1" ref="R22" ca="1">IFERROR(VLOOKUP($P$5&amp;$C22,CHOOSE({1,2},D_技能表!$C$2:$C$1210&amp;D_技能表!$E$2:$E$1210,D_技能表!$W$2:$W$1210),2,FALSE),0)</f>
        <v>5</v>
      </c>
      <c r="S22">
        <f t="array" aca="1" ref="S22" ca="1">IFERROR(VLOOKUP($P$5&amp;$C22,CHOOSE({1,2},D_技能表!$C$2:$C$1210&amp;D_技能表!$E$2:$E$1210,D_技能表!$Z$2:$Z$1210),2,FALSE),0)</f>
        <v>0</v>
      </c>
      <c r="T22">
        <f t="array" aca="1" ref="T22" ca="1">IFERROR(VLOOKUP($T$5&amp;$C22,CHOOSE({1,2},D_技能表!$C$2:$C$1210&amp;D_技能表!$E$2:$E$1210,D_技能表!$I$2:$I$1210),2,FALSE),0)</f>
        <v>5</v>
      </c>
      <c r="U22">
        <f t="array" aca="1" ref="U22" ca="1">IFERROR(VLOOKUP($T$5&amp;$C22,CHOOSE({1,2},D_技能表!$C$2:$C$1210&amp;D_技能表!$E$2:$E$1210,D_技能表!$N$2:$N$1210),2,FALSE),0)</f>
        <v>1120</v>
      </c>
      <c r="V22">
        <f t="array" aca="1" ref="V22" ca="1">IFERROR(VLOOKUP($T$5&amp;$C22,CHOOSE({1,2},D_技能表!$C$2:$C$1210&amp;D_技能表!$E$2:$E$1210,D_技能表!$W$2:$W$1210),2,FALSE),0)</f>
        <v>8</v>
      </c>
      <c r="W22">
        <f t="array" aca="1" ref="W22" ca="1">IFERROR(VLOOKUP($T$5&amp;$C22,CHOOSE({1,2},D_技能表!$C$2:$C$1210&amp;D_技能表!$E$2:$E$1210,D_技能表!$Z$2:$Z$1210),2,FALSE),0)</f>
        <v>0</v>
      </c>
      <c r="X22">
        <f t="array" aca="1" ref="X22" ca="1">IFERROR(VLOOKUP($X$5&amp;$C22,CHOOSE({1,2},D_技能表!$C$2:$C$1210&amp;D_技能表!$E$2:$E$1210,D_技能表!$I$2:$I$1210),2,FALSE),0)</f>
        <v>7</v>
      </c>
      <c r="Y22">
        <f t="array" aca="1" ref="Y22" ca="1">IFERROR(VLOOKUP($X$5&amp;$C22,CHOOSE({1,2},D_技能表!$C$2:$C$1210&amp;D_技能表!$E$2:$E$1210,D_技能表!$N$2:$N$1210),2,FALSE),0)</f>
        <v>1680</v>
      </c>
      <c r="Z22">
        <f t="array" aca="1" ref="Z22" ca="1">IFERROR(VLOOKUP($X$5&amp;$C22,CHOOSE({1,2},D_技能表!$C$2:$C$1210&amp;D_技能表!$E$2:$E$1210,D_技能表!$W$2:$W$1210),2,FALSE),0)</f>
        <v>12</v>
      </c>
      <c r="AA22">
        <f t="array" aca="1" ref="AA22" ca="1">IFERROR(VLOOKUP($X$5&amp;$C22,CHOOSE({1,2},D_技能表!$C$2:$C$1210&amp;D_技能表!$E$2:$E$1210,D_技能表!$Z$2:$Z$1210),2,FALSE),0)</f>
        <v>0</v>
      </c>
      <c r="AB22">
        <f t="array" aca="1" ref="AB22" ca="1">IFERROR(VLOOKUP($AB$5&amp;$C22,CHOOSE({1,2},D_技能表!$C$2:$C$1210&amp;D_技能表!$E$2:$E$1210,D_技能表!$I$2:$I$1210),2,FALSE),0)</f>
        <v>7</v>
      </c>
      <c r="AC22">
        <f t="array" aca="1" ref="AC22" ca="1">IFERROR(VLOOKUP($AB$5&amp;$C22,CHOOSE({1,2},D_技能表!$C$2:$C$1210&amp;D_技能表!$E$2:$E$1210,D_技能表!$N$2:$N$1210),2,FALSE),0)</f>
        <v>840</v>
      </c>
      <c r="AD22">
        <f t="array" aca="1" ref="AD22" ca="1">IFERROR(VLOOKUP($AB$5&amp;$C22,CHOOSE({1,2},D_技能表!$C$2:$C$1210&amp;D_技能表!$E$2:$E$1210,D_技能表!$W$2:$W$1210),2,FALSE),0)</f>
        <v>6</v>
      </c>
      <c r="AE22">
        <f t="array" aca="1" ref="AE22" ca="1">IFERROR(VLOOKUP($AB$5&amp;$C22,CHOOSE({1,2},D_技能表!$C$2:$C$1210&amp;D_技能表!$E$2:$E$1210,D_技能表!$Z$2:$Z$1210),2,FALSE),0)</f>
        <v>0</v>
      </c>
      <c r="AF22">
        <f t="array" aca="1" ref="AF22" ca="1">IFERROR(VLOOKUP($AF$5&amp;$C22,CHOOSE({1,2},D_技能表!$C$2:$C$1210&amp;D_技能表!$E$2:$E$1210,D_技能表!$I$2:$I$1210),2,FALSE),0)</f>
        <v>0</v>
      </c>
      <c r="AG22">
        <f t="array" aca="1" ref="AG22" ca="1">IFERROR(VLOOKUP($AF$5&amp;$C22,CHOOSE({1,2},D_技能表!$C$2:$C$1210&amp;D_技能表!$E$2:$E$1210,D_技能表!$N$2:$N$1210),2,FALSE),0)</f>
        <v>0</v>
      </c>
      <c r="AH22">
        <f t="array" aca="1" ref="AH22" ca="1">IFERROR(VLOOKUP($AF$5&amp;$C22,CHOOSE({1,2},D_技能表!$C$2:$C$1210&amp;D_技能表!$E$2:$E$1210,D_技能表!$W$2:$W$1210),2,FALSE),0)</f>
        <v>0</v>
      </c>
      <c r="AI22">
        <f t="array" aca="1" ref="AI22" ca="1">IFERROR(VLOOKUP($AF$5&amp;$C22,CHOOSE({1,2},D_技能表!$C$2:$C$1210&amp;D_技能表!$E$2:$E$1210,D_技能表!$Z$2:$Z$1210),2,FALSE),0)</f>
        <v>0</v>
      </c>
      <c r="AJ22">
        <f t="array" aca="1" ref="AJ22" ca="1">IFERROR(VLOOKUP($AJ$5&amp;$C22,CHOOSE({1,2},D_技能表!$C$2:$C$1210&amp;D_技能表!$E$2:$E$1210,D_技能表!$I$2:$I$1210),2,FALSE),0)</f>
        <v>4</v>
      </c>
      <c r="AK22">
        <f t="array" aca="1" ref="AK22" ca="1">IFERROR(VLOOKUP($AJ$5&amp;$C22,CHOOSE({1,2},D_技能表!$C$2:$C$1210&amp;D_技能表!$E$2:$E$1210,D_技能表!$N$2:$N$1210),2,FALSE),0)</f>
        <v>560</v>
      </c>
      <c r="AL22">
        <f t="array" aca="1" ref="AL22" ca="1">IFERROR(VLOOKUP($AJ$5&amp;$C22,CHOOSE({1,2},D_技能表!$C$2:$C$1210&amp;D_技能表!$E$2:$E$1210,D_技能表!$W$2:$W$1210),2,FALSE),0)</f>
        <v>4</v>
      </c>
      <c r="AM22">
        <f t="array" aca="1" ref="AM22" ca="1">IFERROR(VLOOKUP($AJ$5&amp;$C22,CHOOSE({1,2},D_技能表!$C$2:$C$1210&amp;D_技能表!$E$2:$E$1210,D_技能表!$Z$2:$Z$1210),2,FALSE),0)</f>
        <v>0</v>
      </c>
      <c r="AN22">
        <f t="array" aca="1" ref="AN22" ca="1">IFERROR(VLOOKUP($AN$5&amp;$C22,CHOOSE({1,2},D_技能表!$C$2:$C$1210&amp;D_技能表!$E$2:$E$1210,D_技能表!$I$2:$I$1210),2,FALSE),0)</f>
        <v>3</v>
      </c>
      <c r="AO22">
        <f t="array" aca="1" ref="AO22" ca="1">IFERROR(VLOOKUP($AN$5&amp;$C22,CHOOSE({1,2},D_技能表!$C$2:$C$1210&amp;D_技能表!$E$2:$E$1210,D_技能表!$N$2:$N$1210),2,FALSE),0)</f>
        <v>980</v>
      </c>
      <c r="AP22">
        <f t="array" aca="1" ref="AP22" ca="1">IFERROR(VLOOKUP($AN$5&amp;$C22,CHOOSE({1,2},D_技能表!$C$2:$C$1210&amp;D_技能表!$E$2:$E$1210,D_技能表!$W$2:$W$1210),2,FALSE),0)</f>
        <v>7</v>
      </c>
      <c r="AQ22">
        <f t="array" aca="1" ref="AQ22" ca="1">IFERROR(VLOOKUP($AN$5&amp;$C22,CHOOSE({1,2},D_技能表!$C$2:$C$1210&amp;D_技能表!$E$2:$E$1210,D_技能表!$Z$2:$Z$1210),2,FALSE),0)</f>
        <v>0</v>
      </c>
      <c r="AR22" s="11">
        <f ca="1">SUM($G$7:G23,$K$7:K23,$O$7:O23,$S$7:S23,$W$7:W23,$AA$7:AA23,$AE$7:AE23,$AI$7:AI23,$AM$7:AM23,$AQ$7:AQ23)</f>
        <v>0</v>
      </c>
      <c r="AS22">
        <f ca="1">SUM($F$7:F23,$J$7:J23,$N$7:N23,$R$7:R23,$V$7:V23,$Z$7:Z23,$AD$7:AD23,$AH$7:AH23,$AL$7:AL23,$AP$7:AP23)</f>
        <v>373</v>
      </c>
      <c r="AT22">
        <f t="shared" ca="1" si="1"/>
        <v>68</v>
      </c>
      <c r="AU22" s="33">
        <f ca="1">SUM($AX$7:AX22,$BB$7:BB22,$BF$7:BF22,$BJ$7:BJ22)</f>
        <v>37850</v>
      </c>
      <c r="AV22">
        <v>16</v>
      </c>
      <c r="AW22">
        <f t="array" ref="AW22">IFERROR(VLOOKUP(AW$5&amp;$AV22,CHOOSE({1,2},D_技能表CD!$C$2:$C$313&amp;D_技能表CD!$E$2:$E$313,D_技能表CD!$I$2:$I$313),2,FALSE),0)</f>
        <v>6</v>
      </c>
      <c r="AX22">
        <f t="array" aca="1" ref="AX22" ca="1">IFERROR(VLOOKUP(AW$5&amp;$AV22,CHOOSE({1,2},D_技能表CD!$C$2:$C$313&amp;D_技能表CD!$E$2:$E$313,D_技能表CD!$H$2:$H$313),2,FALSE),0)</f>
        <v>4050</v>
      </c>
      <c r="AY22">
        <f t="array" aca="1" ref="AY22" ca="1">IFERROR(VLOOKUP(AW$5&amp;$AV22,CHOOSE({1,2},D_技能表CD!$C$2:$C$313&amp;D_技能表CD!$E$2:$E$313,D_技能表CD!$L$2:$L$313),2,FALSE),0)</f>
        <v>21</v>
      </c>
      <c r="AZ22">
        <f t="array" ref="AZ22">IFERROR(VLOOKUP(AW$5&amp;$AV22,CHOOSE({1,2},D_技能表CD!$C$2:$C$313&amp;D_技能表CD!$E$2:$E$313,D_技能表CD!$K$2:$K$313),2,FALSE),0)</f>
        <v>0</v>
      </c>
      <c r="BA22">
        <f t="array" ref="BA22">IFERROR(VLOOKUP(BA$5&amp;$AV22,CHOOSE({1,2},D_技能表CD!$C$2:$C$313&amp;D_技能表CD!$E$2:$E$313,D_技能表CD!$I$2:$I$313),2,FALSE),0)</f>
        <v>0</v>
      </c>
      <c r="BB22">
        <f t="array" aca="1" ref="BB22" ca="1">IFERROR(VLOOKUP(BA$5&amp;$AV22,CHOOSE({1,2},D_技能表CD!$C$2:$C$313&amp;D_技能表CD!$E$2:$E$313,D_技能表CD!$H$2:$H$313),2,FALSE),0)</f>
        <v>0</v>
      </c>
      <c r="BC22">
        <f t="array" aca="1" ref="BC22" ca="1">IFERROR(VLOOKUP(BA$5&amp;$AV22,CHOOSE({1,2},D_技能表CD!$C$2:$C$313&amp;D_技能表CD!$E$2:$E$313,D_技能表CD!$L$2:$L$313),2,FALSE),0)</f>
        <v>0</v>
      </c>
      <c r="BD22">
        <f t="array" aca="1" ref="BD22" ca="1">IFERROR(VLOOKUP(BA$5&amp;$AV22,CHOOSE({1,2},D_技能表CD!$C$2:$C$313&amp;D_技能表CD!$E$2:$E$313,D_技能表CD!$K$2:$K$313),2,FALSE),0)</f>
        <v>0</v>
      </c>
      <c r="BE22">
        <f t="array" ref="BE22">IFERROR(VLOOKUP(BE$5&amp;$AV22,CHOOSE({1,2},D_技能表CD!$C$2:$C$313&amp;D_技能表CD!$E$2:$E$313,D_技能表CD!$I$2:$I$313),2,FALSE),0)</f>
        <v>5</v>
      </c>
      <c r="BF22">
        <f t="array" aca="1" ref="BF22" ca="1">IFERROR(VLOOKUP(BE$5&amp;$AV22,CHOOSE({1,2},D_技能表CD!$C$2:$C$313&amp;D_技能表CD!$E$2:$E$313,D_技能表CD!$H$2:$H$313),2,FALSE),0)</f>
        <v>2600</v>
      </c>
      <c r="BG22">
        <f t="array" aca="1" ref="BG22" ca="1">IFERROR(VLOOKUP(BE$5&amp;$AV22,CHOOSE({1,2},D_技能表CD!$C$2:$C$313&amp;D_技能表CD!$E$2:$E$313,D_技能表CD!$L$2:$L$313),2,FALSE),0)</f>
        <v>16</v>
      </c>
      <c r="BH22">
        <f t="array" aca="1" ref="BH22" ca="1">IFERROR(VLOOKUP(BE$5&amp;$AV22,CHOOSE({1,2},D_技能表CD!$C$2:$C$313&amp;D_技能表CD!$E$2:$E$313,D_技能表CD!$K$2:$K$313),2,FALSE),0)</f>
        <v>0</v>
      </c>
      <c r="BI22">
        <f t="array" ref="BI22">IFERROR(VLOOKUP(BI$5&amp;$AV22,CHOOSE({1,2},D_技能表CD!$C$2:$C$313&amp;D_技能表CD!$E$2:$E$313,D_技能表CD!$I$2:$I$313),2,FALSE),0)</f>
        <v>0</v>
      </c>
      <c r="BJ22">
        <f t="array" aca="1" ref="BJ22" ca="1">IFERROR(VLOOKUP(BI$5&amp;$AV22,CHOOSE({1,2},D_技能表CD!$C$2:$C$313&amp;D_技能表CD!$E$2:$E$313,D_技能表CD!$H$2:$H$313),2,FALSE),0)</f>
        <v>0</v>
      </c>
      <c r="BK22">
        <f t="array" aca="1" ref="BK22" ca="1">IFERROR(VLOOKUP(BI$5&amp;$AV22,CHOOSE({1,2},D_技能表CD!$C$2:$C$313&amp;D_技能表CD!$E$2:$E$313,D_技能表CD!$L$2:$L$313),2,FALSE),0)</f>
        <v>0</v>
      </c>
      <c r="BL22">
        <f t="array" aca="1" ref="BL22" ca="1">IFERROR(VLOOKUP(BI$5&amp;$AV22,CHOOSE({1,2},D_技能表CD!$C$2:$C$313&amp;D_技能表CD!$E$2:$E$313,D_技能表CD!$K$2:$K$313),2,FALSE),0)</f>
        <v>0</v>
      </c>
    </row>
    <row r="23" spans="1:64" x14ac:dyDescent="0.15">
      <c r="A23">
        <f t="shared" ca="1" si="0"/>
        <v>89030</v>
      </c>
      <c r="B23" s="33">
        <f ca="1">SUM($E$7:E23,$I$7:I23,$M$7:M23,$Q$7:Q23,$U$7:U23,$Y$7:Y23,$AC$7:AC23,$AG$7:AG23,$AK$7:AK23,$AO$7:AO23)</f>
        <v>45530</v>
      </c>
      <c r="C23">
        <v>17</v>
      </c>
      <c r="D23">
        <f t="array" aca="1" ref="D23" ca="1">IFERROR(VLOOKUP($D$5&amp;C23,CHOOSE({1,2},D_技能表!$C$2:$C$1210&amp;D_技能表!$E$2:$E$1210,D_技能表!$I$2:$I$1210),2,FALSE),0)</f>
        <v>0</v>
      </c>
      <c r="E23">
        <f t="array" aca="1" ref="E23" ca="1">IFERROR(VLOOKUP($D$5&amp;$C23,CHOOSE({1,2},D_技能表!$C$2:$C$1210&amp;D_技能表!$E$2:$E$1210,D_技能表!$N$2:$N$1210),2,FALSE),0)</f>
        <v>0</v>
      </c>
      <c r="F23">
        <f t="array" aca="1" ref="F23" ca="1">IFERROR(VLOOKUP($D$5&amp;$C23,CHOOSE({1,2},D_技能表!$C$2:$C$1210&amp;D_技能表!$E$2:$E$1210,D_技能表!$W$2:$W$1210),2,FALSE),0)</f>
        <v>0</v>
      </c>
      <c r="G23">
        <f t="array" aca="1" ref="G23" ca="1">IFERROR(VLOOKUP($D$5&amp;$C23,CHOOSE({1,2},D_技能表!$C$2:$C$1210&amp;D_技能表!$E$2:$E$1210,D_技能表!$Z$2:$Z$1210),2,FALSE),0)</f>
        <v>0</v>
      </c>
      <c r="H23">
        <f t="array" aca="1" ref="H23" ca="1">IFERROR(VLOOKUP($H$5&amp;$C23,CHOOSE({1,2},D_技能表!$C$2:$C$1210&amp;D_技能表!$E$2:$E$1210,D_技能表!$I$2:$I$1210),2,FALSE),0)</f>
        <v>0</v>
      </c>
      <c r="I23">
        <f t="array" aca="1" ref="I23" ca="1">IFERROR(VLOOKUP($H$5&amp;$C23,CHOOSE({1,2},D_技能表!$C$2:$C$1210&amp;D_技能表!$E$2:$E$1210,D_技能表!$N$2:$N$1210),2,FALSE),0)</f>
        <v>0</v>
      </c>
      <c r="J23">
        <f t="array" aca="1" ref="J23" ca="1">IFERROR(VLOOKUP($H$5&amp;$C23,CHOOSE({1,2},D_技能表!$C$2:$C$1210&amp;D_技能表!$E$2:$E$1210,D_技能表!$W$2:$W$1210),2,FALSE),0)</f>
        <v>0</v>
      </c>
      <c r="K23">
        <f t="array" aca="1" ref="K23" ca="1">IFERROR(VLOOKUP($H$5&amp;$C23,CHOOSE({1,2},D_技能表!$C$2:$C$1210&amp;D_技能表!$E$2:$E$1210,D_技能表!$Z$2:$Z$1210),2,FALSE),0)</f>
        <v>0</v>
      </c>
      <c r="L23">
        <f t="array" aca="1" ref="L23" ca="1">IFERROR(VLOOKUP($L$5&amp;$C23,CHOOSE({1,2},D_技能表!$C$2:$C$1210&amp;D_技能表!$E$2:$E$1210,D_技能表!$I$2:$I$1210),2,FALSE),0)</f>
        <v>0</v>
      </c>
      <c r="M23">
        <f t="array" aca="1" ref="M23" ca="1">IFERROR(VLOOKUP($L$5&amp;$C23,CHOOSE({1,2},D_技能表!$C$2:$C$1210&amp;D_技能表!$E$2:$E$1210,D_技能表!$N$2:$N$1210),2,FALSE),0)</f>
        <v>0</v>
      </c>
      <c r="N23">
        <f t="array" aca="1" ref="N23" ca="1">IFERROR(VLOOKUP($L$5&amp;$C23,CHOOSE({1,2},D_技能表!$C$2:$C$1210&amp;D_技能表!$E$2:$E$1210,D_技能表!$W$2:$W$1210),2,FALSE),0)</f>
        <v>0</v>
      </c>
      <c r="O23">
        <f t="array" aca="1" ref="O23" ca="1">IFERROR(VLOOKUP($L$5&amp;$C23,CHOOSE({1,2},D_技能表!$C$2:$C$1210&amp;D_技能表!$E$2:$E$1210,D_技能表!$Z$2:$Z$1210),2,FALSE),0)</f>
        <v>0</v>
      </c>
      <c r="P23">
        <f t="array" aca="1" ref="P23" ca="1">IFERROR(VLOOKUP($P$5&amp;$C23,CHOOSE({1,2},D_技能表!$C$2:$C$1210&amp;D_技能表!$E$2:$E$1210,D_技能表!$I$2:$I$1210),2,FALSE),0)</f>
        <v>7</v>
      </c>
      <c r="Q23">
        <f t="array" aca="1" ref="Q23" ca="1">IFERROR(VLOOKUP($P$5&amp;$C23,CHOOSE({1,2},D_技能表!$C$2:$C$1210&amp;D_技能表!$E$2:$E$1210,D_技能表!$N$2:$N$1210),2,FALSE),0)</f>
        <v>730</v>
      </c>
      <c r="R23">
        <f t="array" aca="1" ref="R23" ca="1">IFERROR(VLOOKUP($P$5&amp;$C23,CHOOSE({1,2},D_技能表!$C$2:$C$1210&amp;D_技能表!$E$2:$E$1210,D_技能表!$W$2:$W$1210),2,FALSE),0)</f>
        <v>5</v>
      </c>
      <c r="S23">
        <f t="array" aca="1" ref="S23" ca="1">IFERROR(VLOOKUP($P$5&amp;$C23,CHOOSE({1,2},D_技能表!$C$2:$C$1210&amp;D_技能表!$E$2:$E$1210,D_技能表!$Z$2:$Z$1210),2,FALSE),0)</f>
        <v>0</v>
      </c>
      <c r="T23">
        <f t="array" aca="1" ref="T23" ca="1">IFERROR(VLOOKUP($T$5&amp;$C23,CHOOSE({1,2},D_技能表!$C$2:$C$1210&amp;D_技能表!$E$2:$E$1210,D_技能表!$I$2:$I$1210),2,FALSE),0)</f>
        <v>0</v>
      </c>
      <c r="U23">
        <f t="array" aca="1" ref="U23" ca="1">IFERROR(VLOOKUP($T$5&amp;$C23,CHOOSE({1,2},D_技能表!$C$2:$C$1210&amp;D_技能表!$E$2:$E$1210,D_技能表!$N$2:$N$1210),2,FALSE),0)</f>
        <v>0</v>
      </c>
      <c r="V23">
        <f t="array" aca="1" ref="V23" ca="1">IFERROR(VLOOKUP($T$5&amp;$C23,CHOOSE({1,2},D_技能表!$C$2:$C$1210&amp;D_技能表!$E$2:$E$1210,D_技能表!$W$2:$W$1210),2,FALSE),0)</f>
        <v>0</v>
      </c>
      <c r="W23">
        <f t="array" aca="1" ref="W23" ca="1">IFERROR(VLOOKUP($T$5&amp;$C23,CHOOSE({1,2},D_技能表!$C$2:$C$1210&amp;D_技能表!$E$2:$E$1210,D_技能表!$Z$2:$Z$1210),2,FALSE),0)</f>
        <v>0</v>
      </c>
      <c r="X23">
        <f t="array" aca="1" ref="X23" ca="1">IFERROR(VLOOKUP($X$5&amp;$C23,CHOOSE({1,2},D_技能表!$C$2:$C$1210&amp;D_技能表!$E$2:$E$1210,D_技能表!$I$2:$I$1210),2,FALSE),0)</f>
        <v>8</v>
      </c>
      <c r="Y23">
        <f t="array" aca="1" ref="Y23" ca="1">IFERROR(VLOOKUP($X$5&amp;$C23,CHOOSE({1,2},D_技能表!$C$2:$C$1210&amp;D_技能表!$E$2:$E$1210,D_技能表!$N$2:$N$1210),2,FALSE),0)</f>
        <v>1898</v>
      </c>
      <c r="Z23">
        <f t="array" aca="1" ref="Z23" ca="1">IFERROR(VLOOKUP($X$5&amp;$C23,CHOOSE({1,2},D_技能表!$C$2:$C$1210&amp;D_技能表!$E$2:$E$1210,D_技能表!$W$2:$W$1210),2,FALSE),0)</f>
        <v>13</v>
      </c>
      <c r="AA23">
        <f t="array" aca="1" ref="AA23" ca="1">IFERROR(VLOOKUP($X$5&amp;$C23,CHOOSE({1,2},D_技能表!$C$2:$C$1210&amp;D_技能表!$E$2:$E$1210,D_技能表!$Z$2:$Z$1210),2,FALSE),0)</f>
        <v>0</v>
      </c>
      <c r="AB23">
        <f t="array" aca="1" ref="AB23" ca="1">IFERROR(VLOOKUP($AB$5&amp;$C23,CHOOSE({1,2},D_技能表!$C$2:$C$1210&amp;D_技能表!$E$2:$E$1210,D_技能表!$I$2:$I$1210),2,FALSE),0)</f>
        <v>0</v>
      </c>
      <c r="AC23">
        <f t="array" aca="1" ref="AC23" ca="1">IFERROR(VLOOKUP($AB$5&amp;$C23,CHOOSE({1,2},D_技能表!$C$2:$C$1210&amp;D_技能表!$E$2:$E$1210,D_技能表!$N$2:$N$1210),2,FALSE),0)</f>
        <v>0</v>
      </c>
      <c r="AD23">
        <f t="array" aca="1" ref="AD23" ca="1">IFERROR(VLOOKUP($AB$5&amp;$C23,CHOOSE({1,2},D_技能表!$C$2:$C$1210&amp;D_技能表!$E$2:$E$1210,D_技能表!$W$2:$W$1210),2,FALSE),0)</f>
        <v>0</v>
      </c>
      <c r="AE23">
        <f t="array" aca="1" ref="AE23" ca="1">IFERROR(VLOOKUP($AB$5&amp;$C23,CHOOSE({1,2},D_技能表!$C$2:$C$1210&amp;D_技能表!$E$2:$E$1210,D_技能表!$Z$2:$Z$1210),2,FALSE),0)</f>
        <v>0</v>
      </c>
      <c r="AF23">
        <f t="array" aca="1" ref="AF23" ca="1">IFERROR(VLOOKUP($AF$5&amp;$C23,CHOOSE({1,2},D_技能表!$C$2:$C$1210&amp;D_技能表!$E$2:$E$1210,D_技能表!$I$2:$I$1210),2,FALSE),0)</f>
        <v>6</v>
      </c>
      <c r="AG23">
        <f t="array" aca="1" ref="AG23" ca="1">IFERROR(VLOOKUP($AF$5&amp;$C23,CHOOSE({1,2},D_技能表!$C$2:$C$1210&amp;D_技能表!$E$2:$E$1210,D_技能表!$N$2:$N$1210),2,FALSE),0)</f>
        <v>730</v>
      </c>
      <c r="AH23">
        <f t="array" aca="1" ref="AH23" ca="1">IFERROR(VLOOKUP($AF$5&amp;$C23,CHOOSE({1,2},D_技能表!$C$2:$C$1210&amp;D_技能表!$E$2:$E$1210,D_技能表!$W$2:$W$1210),2,FALSE),0)</f>
        <v>5</v>
      </c>
      <c r="AI23">
        <f t="array" aca="1" ref="AI23" ca="1">IFERROR(VLOOKUP($AF$5&amp;$C23,CHOOSE({1,2},D_技能表!$C$2:$C$1210&amp;D_技能表!$E$2:$E$1210,D_技能表!$Z$2:$Z$1210),2,FALSE),0)</f>
        <v>0</v>
      </c>
      <c r="AJ23">
        <f t="array" aca="1" ref="AJ23" ca="1">IFERROR(VLOOKUP($AJ$5&amp;$C23,CHOOSE({1,2},D_技能表!$C$2:$C$1210&amp;D_技能表!$E$2:$E$1210,D_技能表!$I$2:$I$1210),2,FALSE),0)</f>
        <v>5</v>
      </c>
      <c r="AK23">
        <f t="array" aca="1" ref="AK23" ca="1">IFERROR(VLOOKUP($AJ$5&amp;$C23,CHOOSE({1,2},D_技能表!$C$2:$C$1210&amp;D_技能表!$E$2:$E$1210,D_技能表!$N$2:$N$1210),2,FALSE),0)</f>
        <v>730</v>
      </c>
      <c r="AL23">
        <f t="array" aca="1" ref="AL23" ca="1">IFERROR(VLOOKUP($AJ$5&amp;$C23,CHOOSE({1,2},D_技能表!$C$2:$C$1210&amp;D_技能表!$E$2:$E$1210,D_技能表!$W$2:$W$1210),2,FALSE),0)</f>
        <v>5</v>
      </c>
      <c r="AM23">
        <f t="array" aca="1" ref="AM23" ca="1">IFERROR(VLOOKUP($AJ$5&amp;$C23,CHOOSE({1,2},D_技能表!$C$2:$C$1210&amp;D_技能表!$E$2:$E$1210,D_技能表!$Z$2:$Z$1210),2,FALSE),0)</f>
        <v>0</v>
      </c>
      <c r="AN23">
        <f t="array" aca="1" ref="AN23" ca="1">IFERROR(VLOOKUP($AN$5&amp;$C23,CHOOSE({1,2},D_技能表!$C$2:$C$1210&amp;D_技能表!$E$2:$E$1210,D_技能表!$I$2:$I$1210),2,FALSE),0)</f>
        <v>4</v>
      </c>
      <c r="AO23">
        <f t="array" aca="1" ref="AO23" ca="1">IFERROR(VLOOKUP($AN$5&amp;$C23,CHOOSE({1,2},D_技能表!$C$2:$C$1210&amp;D_技能表!$E$2:$E$1210,D_技能表!$N$2:$N$1210),2,FALSE),0)</f>
        <v>1168</v>
      </c>
      <c r="AP23">
        <f t="array" aca="1" ref="AP23" ca="1">IFERROR(VLOOKUP($AN$5&amp;$C23,CHOOSE({1,2},D_技能表!$C$2:$C$1210&amp;D_技能表!$E$2:$E$1210,D_技能表!$W$2:$W$1210),2,FALSE),0)</f>
        <v>8</v>
      </c>
      <c r="AQ23">
        <f t="array" aca="1" ref="AQ23" ca="1">IFERROR(VLOOKUP($AN$5&amp;$C23,CHOOSE({1,2},D_技能表!$C$2:$C$1210&amp;D_技能表!$E$2:$E$1210,D_技能表!$Z$2:$Z$1210),2,FALSE),0)</f>
        <v>0</v>
      </c>
      <c r="AR23" s="11">
        <f ca="1">SUM($G$7:G24,$K$7:K24,$O$7:O24,$S$7:S24,$W$7:W24,$AA$7:AA24,$AE$7:AE24,$AI$7:AI24,$AM$7:AM24,$AQ$7:AQ24)</f>
        <v>0</v>
      </c>
      <c r="AS23">
        <f ca="1">SUM($F$7:F24,$J$7:J24,$N$7:N24,$R$7:R24,$V$7:V24,$Z$7:Z24,$AD$7:AD24,$AH$7:AH24,$AL$7:AL24,$AP$7:AP24)</f>
        <v>425</v>
      </c>
      <c r="AT23">
        <f t="shared" ca="1" si="1"/>
        <v>36</v>
      </c>
      <c r="AU23" s="33">
        <f ca="1">SUM($AX$7:AX23,$BB$7:BB23,$BF$7:BF23,$BJ$7:BJ23)</f>
        <v>43500</v>
      </c>
      <c r="AV23">
        <v>17</v>
      </c>
      <c r="AW23">
        <f t="array" ref="AW23">IFERROR(VLOOKUP(AW$5&amp;$AV23,CHOOSE({1,2},D_技能表CD!$C$2:$C$313&amp;D_技能表CD!$E$2:$E$313,D_技能表CD!$I$2:$I$313),2,FALSE),0)</f>
        <v>0</v>
      </c>
      <c r="AX23">
        <f t="array" aca="1" ref="AX23" ca="1">IFERROR(VLOOKUP(AW$5&amp;$AV23,CHOOSE({1,2},D_技能表CD!$C$2:$C$313&amp;D_技能表CD!$E$2:$E$313,D_技能表CD!$H$2:$H$313),2,FALSE),0)</f>
        <v>0</v>
      </c>
      <c r="AY23">
        <f t="array" aca="1" ref="AY23" ca="1">IFERROR(VLOOKUP(AW$5&amp;$AV23,CHOOSE({1,2},D_技能表CD!$C$2:$C$313&amp;D_技能表CD!$E$2:$E$313,D_技能表CD!$L$2:$L$313),2,FALSE),0)</f>
        <v>0</v>
      </c>
      <c r="AZ23">
        <f t="array" aca="1" ref="AZ23" ca="1">IFERROR(VLOOKUP(AW$5&amp;$AV23,CHOOSE({1,2},D_技能表CD!$C$2:$C$313&amp;D_技能表CD!$E$2:$E$313,D_技能表CD!$K$2:$K$313),2,FALSE),0)</f>
        <v>0</v>
      </c>
      <c r="BA23">
        <f t="array" ref="BA23">IFERROR(VLOOKUP(BA$5&amp;$AV23,CHOOSE({1,2},D_技能表CD!$C$2:$C$313&amp;D_技能表CD!$E$2:$E$313,D_技能表CD!$I$2:$I$313),2,FALSE),0)</f>
        <v>0</v>
      </c>
      <c r="BB23">
        <f t="array" aca="1" ref="BB23" ca="1">IFERROR(VLOOKUP(BA$5&amp;$AV23,CHOOSE({1,2},D_技能表CD!$C$2:$C$313&amp;D_技能表CD!$E$2:$E$313,D_技能表CD!$H$2:$H$313),2,FALSE),0)</f>
        <v>0</v>
      </c>
      <c r="BC23">
        <f t="array" aca="1" ref="BC23" ca="1">IFERROR(VLOOKUP(BA$5&amp;$AV23,CHOOSE({1,2},D_技能表CD!$C$2:$C$313&amp;D_技能表CD!$E$2:$E$313,D_技能表CD!$L$2:$L$313),2,FALSE),0)</f>
        <v>0</v>
      </c>
      <c r="BD23">
        <f t="array" aca="1" ref="BD23" ca="1">IFERROR(VLOOKUP(BA$5&amp;$AV23,CHOOSE({1,2},D_技能表CD!$C$2:$C$313&amp;D_技能表CD!$E$2:$E$313,D_技能表CD!$K$2:$K$313),2,FALSE),0)</f>
        <v>0</v>
      </c>
      <c r="BE23">
        <f t="array" ref="BE23">IFERROR(VLOOKUP(BE$5&amp;$AV23,CHOOSE({1,2},D_技能表CD!$C$2:$C$313&amp;D_技能表CD!$E$2:$E$313,D_技能表CD!$I$2:$I$313),2,FALSE),0)</f>
        <v>0</v>
      </c>
      <c r="BF23">
        <f t="array" aca="1" ref="BF23" ca="1">IFERROR(VLOOKUP(BE$5&amp;$AV23,CHOOSE({1,2},D_技能表CD!$C$2:$C$313&amp;D_技能表CD!$E$2:$E$313,D_技能表CD!$H$2:$H$313),2,FALSE),0)</f>
        <v>0</v>
      </c>
      <c r="BG23">
        <f t="array" aca="1" ref="BG23" ca="1">IFERROR(VLOOKUP(BE$5&amp;$AV23,CHOOSE({1,2},D_技能表CD!$C$2:$C$313&amp;D_技能表CD!$E$2:$E$313,D_技能表CD!$L$2:$L$313),2,FALSE),0)</f>
        <v>0</v>
      </c>
      <c r="BH23">
        <f t="array" aca="1" ref="BH23" ca="1">IFERROR(VLOOKUP(BE$5&amp;$AV23,CHOOSE({1,2},D_技能表CD!$C$2:$C$313&amp;D_技能表CD!$E$2:$E$313,D_技能表CD!$K$2:$K$313),2,FALSE),0)</f>
        <v>0</v>
      </c>
      <c r="BI23">
        <f t="array" ref="BI23">IFERROR(VLOOKUP(BI$5&amp;$AV23,CHOOSE({1,2},D_技能表CD!$C$2:$C$313&amp;D_技能表CD!$E$2:$E$313,D_技能表CD!$I$2:$I$313),2,FALSE),0)</f>
        <v>5</v>
      </c>
      <c r="BJ23">
        <f t="array" aca="1" ref="BJ23" ca="1">IFERROR(VLOOKUP(BI$5&amp;$AV23,CHOOSE({1,2},D_技能表CD!$C$2:$C$313&amp;D_技能表CD!$E$2:$E$313,D_技能表CD!$H$2:$H$313),2,FALSE),0)</f>
        <v>5650</v>
      </c>
      <c r="BK23">
        <f t="array" aca="1" ref="BK23" ca="1">IFERROR(VLOOKUP(BI$5&amp;$AV23,CHOOSE({1,2},D_技能表CD!$C$2:$C$313&amp;D_技能表CD!$E$2:$E$313,D_技能表CD!$L$2:$L$313),2,FALSE),0)</f>
        <v>35</v>
      </c>
      <c r="BL23">
        <f t="array" aca="1" ref="BL23" ca="1">IFERROR(VLOOKUP(BI$5&amp;$AV23,CHOOSE({1,2},D_技能表CD!$C$2:$C$313&amp;D_技能表CD!$E$2:$E$313,D_技能表CD!$K$2:$K$313),2,FALSE),0)</f>
        <v>0</v>
      </c>
    </row>
    <row r="24" spans="1:64" x14ac:dyDescent="0.15">
      <c r="A24">
        <f t="shared" ca="1" si="0"/>
        <v>104784</v>
      </c>
      <c r="B24" s="33">
        <f ca="1">SUM($E$7:E24,$I$7:I24,$M$7:M24,$Q$7:Q24,$U$7:U24,$Y$7:Y24,$AC$7:AC24,$AG$7:AG24,$AK$7:AK24,$AO$7:AO24)</f>
        <v>53434</v>
      </c>
      <c r="C24">
        <v>18</v>
      </c>
      <c r="D24">
        <f t="array" aca="1" ref="D24" ca="1">IFERROR(VLOOKUP($D$5&amp;C24,CHOOSE({1,2},D_技能表!$C$2:$C$1210&amp;D_技能表!$E$2:$E$1210,D_技能表!$I$2:$I$1210),2,FALSE),0)</f>
        <v>10</v>
      </c>
      <c r="E24">
        <f t="array" aca="1" ref="E24" ca="1">IFERROR(VLOOKUP($D$5&amp;$C24,CHOOSE({1,2},D_技能表!$C$2:$C$1210&amp;D_技能表!$E$2:$E$1210,D_技能表!$N$2:$N$1210),2,FALSE),0)</f>
        <v>2280</v>
      </c>
      <c r="F24">
        <f t="array" aca="1" ref="F24" ca="1">IFERROR(VLOOKUP($D$5&amp;$C24,CHOOSE({1,2},D_技能表!$C$2:$C$1210&amp;D_技能表!$E$2:$E$1210,D_技能表!$W$2:$W$1210),2,FALSE),0)</f>
        <v>15</v>
      </c>
      <c r="G24">
        <f t="array" aca="1" ref="G24" ca="1">IFERROR(VLOOKUP($D$5&amp;$C24,CHOOSE({1,2},D_技能表!$C$2:$C$1210&amp;D_技能表!$E$2:$E$1210,D_技能表!$Z$2:$Z$1210),2,FALSE),0)</f>
        <v>0</v>
      </c>
      <c r="H24">
        <f t="array" aca="1" ref="H24" ca="1">IFERROR(VLOOKUP($H$5&amp;$C24,CHOOSE({1,2},D_技能表!$C$2:$C$1210&amp;D_技能表!$E$2:$E$1210,D_技能表!$I$2:$I$1210),2,FALSE),0)</f>
        <v>9</v>
      </c>
      <c r="I24">
        <f t="array" aca="1" ref="I24" ca="1">IFERROR(VLOOKUP($H$5&amp;$C24,CHOOSE({1,2},D_技能表!$C$2:$C$1210&amp;D_技能表!$E$2:$E$1210,D_技能表!$N$2:$N$1210),2,FALSE),0)</f>
        <v>912</v>
      </c>
      <c r="J24">
        <f t="array" aca="1" ref="J24" ca="1">IFERROR(VLOOKUP($H$5&amp;$C24,CHOOSE({1,2},D_技能表!$C$2:$C$1210&amp;D_技能表!$E$2:$E$1210,D_技能表!$W$2:$W$1210),2,FALSE),0)</f>
        <v>6</v>
      </c>
      <c r="K24">
        <f t="array" aca="1" ref="K24" ca="1">IFERROR(VLOOKUP($H$5&amp;$C24,CHOOSE({1,2},D_技能表!$C$2:$C$1210&amp;D_技能表!$E$2:$E$1210,D_技能表!$Z$2:$Z$1210),2,FALSE),0)</f>
        <v>0</v>
      </c>
      <c r="L24">
        <f t="array" aca="1" ref="L24" ca="1">IFERROR(VLOOKUP($L$5&amp;$C24,CHOOSE({1,2},D_技能表!$C$2:$C$1210&amp;D_技能表!$E$2:$E$1210,D_技能表!$I$2:$I$1210),2,FALSE),0)</f>
        <v>9</v>
      </c>
      <c r="M24">
        <f t="array" aca="1" ref="M24" ca="1">IFERROR(VLOOKUP($L$5&amp;$C24,CHOOSE({1,2},D_技能表!$C$2:$C$1210&amp;D_技能表!$E$2:$E$1210,D_技能表!$N$2:$N$1210),2,FALSE),0)</f>
        <v>912</v>
      </c>
      <c r="N24">
        <f t="array" aca="1" ref="N24" ca="1">IFERROR(VLOOKUP($L$5&amp;$C24,CHOOSE({1,2},D_技能表!$C$2:$C$1210&amp;D_技能表!$E$2:$E$1210,D_技能表!$W$2:$W$1210),2,FALSE),0)</f>
        <v>6</v>
      </c>
      <c r="O24">
        <f t="array" aca="1" ref="O24" ca="1">IFERROR(VLOOKUP($L$5&amp;$C24,CHOOSE({1,2},D_技能表!$C$2:$C$1210&amp;D_技能表!$E$2:$E$1210,D_技能表!$Z$2:$Z$1210),2,FALSE),0)</f>
        <v>0</v>
      </c>
      <c r="P24">
        <f t="array" aca="1" ref="P24" ca="1">IFERROR(VLOOKUP($P$5&amp;$C24,CHOOSE({1,2},D_技能表!$C$2:$C$1210&amp;D_技能表!$E$2:$E$1210,D_技能表!$I$2:$I$1210),2,FALSE),0)</f>
        <v>0</v>
      </c>
      <c r="Q24">
        <f t="array" aca="1" ref="Q24" ca="1">IFERROR(VLOOKUP($P$5&amp;$C24,CHOOSE({1,2},D_技能表!$C$2:$C$1210&amp;D_技能表!$E$2:$E$1210,D_技能表!$N$2:$N$1210),2,FALSE),0)</f>
        <v>0</v>
      </c>
      <c r="R24">
        <f t="array" aca="1" ref="R24" ca="1">IFERROR(VLOOKUP($P$5&amp;$C24,CHOOSE({1,2},D_技能表!$C$2:$C$1210&amp;D_技能表!$E$2:$E$1210,D_技能表!$W$2:$W$1210),2,FALSE),0)</f>
        <v>0</v>
      </c>
      <c r="S24">
        <f t="array" aca="1" ref="S24" ca="1">IFERROR(VLOOKUP($P$5&amp;$C24,CHOOSE({1,2},D_技能表!$C$2:$C$1210&amp;D_技能表!$E$2:$E$1210,D_技能表!$Z$2:$Z$1210),2,FALSE),0)</f>
        <v>0</v>
      </c>
      <c r="T24">
        <f t="array" aca="1" ref="T24" ca="1">IFERROR(VLOOKUP($T$5&amp;$C24,CHOOSE({1,2},D_技能表!$C$2:$C$1210&amp;D_技能表!$E$2:$E$1210,D_技能表!$I$2:$I$1210),2,FALSE),0)</f>
        <v>6</v>
      </c>
      <c r="U24">
        <f t="array" aca="1" ref="U24" ca="1">IFERROR(VLOOKUP($T$5&amp;$C24,CHOOSE({1,2},D_技能表!$C$2:$C$1210&amp;D_技能表!$E$2:$E$1210,D_技能表!$N$2:$N$1210),2,FALSE),0)</f>
        <v>1368</v>
      </c>
      <c r="V24">
        <f t="array" aca="1" ref="V24" ca="1">IFERROR(VLOOKUP($T$5&amp;$C24,CHOOSE({1,2},D_技能表!$C$2:$C$1210&amp;D_技能表!$E$2:$E$1210,D_技能表!$W$2:$W$1210),2,FALSE),0)</f>
        <v>9</v>
      </c>
      <c r="W24">
        <f t="array" aca="1" ref="W24" ca="1">IFERROR(VLOOKUP($T$5&amp;$C24,CHOOSE({1,2},D_技能表!$C$2:$C$1210&amp;D_技能表!$E$2:$E$1210,D_技能表!$Z$2:$Z$1210),2,FALSE),0)</f>
        <v>0</v>
      </c>
      <c r="X24">
        <f t="array" aca="1" ref="X24" ca="1">IFERROR(VLOOKUP($X$5&amp;$C24,CHOOSE({1,2},D_技能表!$C$2:$C$1210&amp;D_技能表!$E$2:$E$1210,D_技能表!$I$2:$I$1210),2,FALSE),0)</f>
        <v>0</v>
      </c>
      <c r="Y24">
        <f t="array" aca="1" ref="Y24" ca="1">IFERROR(VLOOKUP($X$5&amp;$C24,CHOOSE({1,2},D_技能表!$C$2:$C$1210&amp;D_技能表!$E$2:$E$1210,D_技能表!$N$2:$N$1210),2,FALSE),0)</f>
        <v>0</v>
      </c>
      <c r="Z24">
        <f t="array" aca="1" ref="Z24" ca="1">IFERROR(VLOOKUP($X$5&amp;$C24,CHOOSE({1,2},D_技能表!$C$2:$C$1210&amp;D_技能表!$E$2:$E$1210,D_技能表!$W$2:$W$1210),2,FALSE),0)</f>
        <v>0</v>
      </c>
      <c r="AA24">
        <f t="array" aca="1" ref="AA24" ca="1">IFERROR(VLOOKUP($X$5&amp;$C24,CHOOSE({1,2},D_技能表!$C$2:$C$1210&amp;D_技能表!$E$2:$E$1210,D_技能表!$Z$2:$Z$1210),2,FALSE),0)</f>
        <v>0</v>
      </c>
      <c r="AB24">
        <f t="array" aca="1" ref="AB24" ca="1">IFERROR(VLOOKUP($AB$5&amp;$C24,CHOOSE({1,2},D_技能表!$C$2:$C$1210&amp;D_技能表!$E$2:$E$1210,D_技能表!$I$2:$I$1210),2,FALSE),0)</f>
        <v>8</v>
      </c>
      <c r="AC24">
        <f t="array" aca="1" ref="AC24" ca="1">IFERROR(VLOOKUP($AB$5&amp;$C24,CHOOSE({1,2},D_技能表!$C$2:$C$1210&amp;D_技能表!$E$2:$E$1210,D_技能表!$N$2:$N$1210),2,FALSE),0)</f>
        <v>912</v>
      </c>
      <c r="AD24">
        <f t="array" aca="1" ref="AD24" ca="1">IFERROR(VLOOKUP($AB$5&amp;$C24,CHOOSE({1,2},D_技能表!$C$2:$C$1210&amp;D_技能表!$E$2:$E$1210,D_技能表!$W$2:$W$1210),2,FALSE),0)</f>
        <v>6</v>
      </c>
      <c r="AE24">
        <f t="array" aca="1" ref="AE24" ca="1">IFERROR(VLOOKUP($AB$5&amp;$C24,CHOOSE({1,2},D_技能表!$C$2:$C$1210&amp;D_技能表!$E$2:$E$1210,D_技能表!$Z$2:$Z$1210),2,FALSE),0)</f>
        <v>0</v>
      </c>
      <c r="AF24">
        <f t="array" aca="1" ref="AF24" ca="1">IFERROR(VLOOKUP($AF$5&amp;$C24,CHOOSE({1,2},D_技能表!$C$2:$C$1210&amp;D_技能表!$E$2:$E$1210,D_技能表!$I$2:$I$1210),2,FALSE),0)</f>
        <v>7</v>
      </c>
      <c r="AG24">
        <f t="array" aca="1" ref="AG24" ca="1">IFERROR(VLOOKUP($AF$5&amp;$C24,CHOOSE({1,2},D_技能表!$C$2:$C$1210&amp;D_技能表!$E$2:$E$1210,D_技能表!$N$2:$N$1210),2,FALSE),0)</f>
        <v>760</v>
      </c>
      <c r="AH24">
        <f t="array" aca="1" ref="AH24" ca="1">IFERROR(VLOOKUP($AF$5&amp;$C24,CHOOSE({1,2},D_技能表!$C$2:$C$1210&amp;D_技能表!$E$2:$E$1210,D_技能表!$W$2:$W$1210),2,FALSE),0)</f>
        <v>5</v>
      </c>
      <c r="AI24">
        <f t="array" aca="1" ref="AI24" ca="1">IFERROR(VLOOKUP($AF$5&amp;$C24,CHOOSE({1,2},D_技能表!$C$2:$C$1210&amp;D_技能表!$E$2:$E$1210,D_技能表!$Z$2:$Z$1210),2,FALSE),0)</f>
        <v>0</v>
      </c>
      <c r="AJ24">
        <f t="array" aca="1" ref="AJ24" ca="1">IFERROR(VLOOKUP($AJ$5&amp;$C24,CHOOSE({1,2},D_技能表!$C$2:$C$1210&amp;D_技能表!$E$2:$E$1210,D_技能表!$I$2:$I$1210),2,FALSE),0)</f>
        <v>6</v>
      </c>
      <c r="AK24">
        <f t="array" aca="1" ref="AK24" ca="1">IFERROR(VLOOKUP($AJ$5&amp;$C24,CHOOSE({1,2},D_技能表!$C$2:$C$1210&amp;D_技能表!$E$2:$E$1210,D_技能表!$N$2:$N$1210),2,FALSE),0)</f>
        <v>760</v>
      </c>
      <c r="AL24">
        <f t="array" aca="1" ref="AL24" ca="1">IFERROR(VLOOKUP($AJ$5&amp;$C24,CHOOSE({1,2},D_技能表!$C$2:$C$1210&amp;D_技能表!$E$2:$E$1210,D_技能表!$W$2:$W$1210),2,FALSE),0)</f>
        <v>5</v>
      </c>
      <c r="AM24">
        <f t="array" aca="1" ref="AM24" ca="1">IFERROR(VLOOKUP($AJ$5&amp;$C24,CHOOSE({1,2},D_技能表!$C$2:$C$1210&amp;D_技能表!$E$2:$E$1210,D_技能表!$Z$2:$Z$1210),2,FALSE),0)</f>
        <v>0</v>
      </c>
      <c r="AN24">
        <f t="array" aca="1" ref="AN24" ca="1">IFERROR(VLOOKUP($AN$5&amp;$C24,CHOOSE({1,2},D_技能表!$C$2:$C$1210&amp;D_技能表!$E$2:$E$1210,D_技能表!$I$2:$I$1210),2,FALSE),0)</f>
        <v>0</v>
      </c>
      <c r="AO24">
        <f t="array" aca="1" ref="AO24" ca="1">IFERROR(VLOOKUP($AN$5&amp;$C24,CHOOSE({1,2},D_技能表!$C$2:$C$1210&amp;D_技能表!$E$2:$E$1210,D_技能表!$N$2:$N$1210),2,FALSE),0)</f>
        <v>0</v>
      </c>
      <c r="AP24">
        <f t="array" aca="1" ref="AP24" ca="1">IFERROR(VLOOKUP($AN$5&amp;$C24,CHOOSE({1,2},D_技能表!$C$2:$C$1210&amp;D_技能表!$E$2:$E$1210,D_技能表!$W$2:$W$1210),2,FALSE),0)</f>
        <v>0</v>
      </c>
      <c r="AQ24">
        <f t="array" aca="1" ref="AQ24" ca="1">IFERROR(VLOOKUP($AN$5&amp;$C24,CHOOSE({1,2},D_技能表!$C$2:$C$1210&amp;D_技能表!$E$2:$E$1210,D_技能表!$Z$2:$Z$1210),2,FALSE),0)</f>
        <v>0</v>
      </c>
      <c r="AR24" s="11">
        <f ca="1">SUM($G$7:G25,$K$7:K25,$O$7:O25,$S$7:S25,$W$7:W25,$AA$7:AA25,$AE$7:AE25,$AI$7:AI25,$AM$7:AM25,$AQ$7:AQ25)</f>
        <v>0</v>
      </c>
      <c r="AS24">
        <f ca="1">SUM($F$7:F25,$J$7:J25,$N$7:N25,$R$7:R25,$V$7:V25,$Z$7:Z25,$AD$7:AD25,$AH$7:AH25,$AL$7:AL25,$AP$7:AP25)</f>
        <v>498</v>
      </c>
      <c r="AT24">
        <f t="shared" ca="1" si="1"/>
        <v>52</v>
      </c>
      <c r="AU24" s="33">
        <f ca="1">SUM($AX$7:AX24,$BB$7:BB24,$BF$7:BF24,$BJ$7:BJ24)</f>
        <v>51350</v>
      </c>
      <c r="AV24">
        <v>18</v>
      </c>
      <c r="AW24">
        <f t="array" ref="AW24">IFERROR(VLOOKUP(AW$5&amp;$AV24,CHOOSE({1,2},D_技能表CD!$C$2:$C$313&amp;D_技能表CD!$E$2:$E$313,D_技能表CD!$I$2:$I$313),2,FALSE),0)</f>
        <v>0</v>
      </c>
      <c r="AX24">
        <f t="array" aca="1" ref="AX24" ca="1">IFERROR(VLOOKUP(AW$5&amp;$AV24,CHOOSE({1,2},D_技能表CD!$C$2:$C$313&amp;D_技能表CD!$E$2:$E$313,D_技能表CD!$H$2:$H$313),2,FALSE),0)</f>
        <v>0</v>
      </c>
      <c r="AY24">
        <f t="array" aca="1" ref="AY24" ca="1">IFERROR(VLOOKUP(AW$5&amp;$AV24,CHOOSE({1,2},D_技能表CD!$C$2:$C$313&amp;D_技能表CD!$E$2:$E$313,D_技能表CD!$L$2:$L$313),2,FALSE),0)</f>
        <v>0</v>
      </c>
      <c r="AZ24">
        <f t="array" aca="1" ref="AZ24" ca="1">IFERROR(VLOOKUP(AW$5&amp;$AV24,CHOOSE({1,2},D_技能表CD!$C$2:$C$313&amp;D_技能表CD!$E$2:$E$313,D_技能表CD!$K$2:$K$313),2,FALSE),0)</f>
        <v>0</v>
      </c>
      <c r="BA24">
        <f t="array" ref="BA24">IFERROR(VLOOKUP(BA$5&amp;$AV24,CHOOSE({1,2},D_技能表CD!$C$2:$C$313&amp;D_技能表CD!$E$2:$E$313,D_技能表CD!$I$2:$I$313),2,FALSE),0)</f>
        <v>6</v>
      </c>
      <c r="BB24">
        <f t="array" aca="1" ref="BB24" ca="1">IFERROR(VLOOKUP(BA$5&amp;$AV24,CHOOSE({1,2},D_技能表CD!$C$2:$C$313&amp;D_技能表CD!$E$2:$E$313,D_技能表CD!$H$2:$H$313),2,FALSE),0)</f>
        <v>7850</v>
      </c>
      <c r="BC24">
        <f t="array" aca="1" ref="BC24" ca="1">IFERROR(VLOOKUP(BA$5&amp;$AV24,CHOOSE({1,2},D_技能表CD!$C$2:$C$313&amp;D_技能表CD!$E$2:$E$313,D_技能表CD!$L$2:$L$313),2,FALSE),0)</f>
        <v>41</v>
      </c>
      <c r="BD24">
        <f t="array" aca="1" ref="BD24" ca="1">IFERROR(VLOOKUP(BA$5&amp;$AV24,CHOOSE({1,2},D_技能表CD!$C$2:$C$313&amp;D_技能表CD!$E$2:$E$313,D_技能表CD!$K$2:$K$313),2,FALSE),0)</f>
        <v>0</v>
      </c>
      <c r="BE24">
        <f t="array" ref="BE24">IFERROR(VLOOKUP(BE$5&amp;$AV24,CHOOSE({1,2},D_技能表CD!$C$2:$C$313&amp;D_技能表CD!$E$2:$E$313,D_技能表CD!$I$2:$I$313),2,FALSE),0)</f>
        <v>0</v>
      </c>
      <c r="BF24">
        <f t="array" aca="1" ref="BF24" ca="1">IFERROR(VLOOKUP(BE$5&amp;$AV24,CHOOSE({1,2},D_技能表CD!$C$2:$C$313&amp;D_技能表CD!$E$2:$E$313,D_技能表CD!$H$2:$H$313),2,FALSE),0)</f>
        <v>0</v>
      </c>
      <c r="BG24">
        <f t="array" aca="1" ref="BG24" ca="1">IFERROR(VLOOKUP(BE$5&amp;$AV24,CHOOSE({1,2},D_技能表CD!$C$2:$C$313&amp;D_技能表CD!$E$2:$E$313,D_技能表CD!$L$2:$L$313),2,FALSE),0)</f>
        <v>0</v>
      </c>
      <c r="BH24">
        <f t="array" aca="1" ref="BH24" ca="1">IFERROR(VLOOKUP(BE$5&amp;$AV24,CHOOSE({1,2},D_技能表CD!$C$2:$C$313&amp;D_技能表CD!$E$2:$E$313,D_技能表CD!$K$2:$K$313),2,FALSE),0)</f>
        <v>0</v>
      </c>
      <c r="BI24">
        <f t="array" ref="BI24">IFERROR(VLOOKUP(BI$5&amp;$AV24,CHOOSE({1,2},D_技能表CD!$C$2:$C$313&amp;D_技能表CD!$E$2:$E$313,D_技能表CD!$I$2:$I$313),2,FALSE),0)</f>
        <v>0</v>
      </c>
      <c r="BJ24">
        <f t="array" aca="1" ref="BJ24" ca="1">IFERROR(VLOOKUP(BI$5&amp;$AV24,CHOOSE({1,2},D_技能表CD!$C$2:$C$313&amp;D_技能表CD!$E$2:$E$313,D_技能表CD!$H$2:$H$313),2,FALSE),0)</f>
        <v>0</v>
      </c>
      <c r="BK24">
        <f t="array" aca="1" ref="BK24" ca="1">IFERROR(VLOOKUP(BI$5&amp;$AV24,CHOOSE({1,2},D_技能表CD!$C$2:$C$313&amp;D_技能表CD!$E$2:$E$313,D_技能表CD!$L$2:$L$313),2,FALSE),0)</f>
        <v>0</v>
      </c>
      <c r="BL24">
        <f t="array" aca="1" ref="BL24" ca="1">IFERROR(VLOOKUP(BI$5&amp;$AV24,CHOOSE({1,2},D_技能表CD!$C$2:$C$313&amp;D_技能表CD!$E$2:$E$313,D_技能表CD!$K$2:$K$313),2,FALSE),0)</f>
        <v>0</v>
      </c>
    </row>
    <row r="25" spans="1:64" x14ac:dyDescent="0.15">
      <c r="A25">
        <f t="shared" ca="1" si="0"/>
        <v>125118</v>
      </c>
      <c r="B25" s="33">
        <f ca="1">SUM($E$7:E25,$I$7:I25,$M$7:M25,$Q$7:Q25,$U$7:U25,$Y$7:Y25,$AC$7:AC25,$AG$7:AG25,$AK$7:AK25,$AO$7:AO25)</f>
        <v>64968</v>
      </c>
      <c r="C25">
        <v>19</v>
      </c>
      <c r="D25">
        <f t="array" aca="1" ref="D25" ca="1">IFERROR(VLOOKUP($D$5&amp;C25,CHOOSE({1,2},D_技能表!$C$2:$C$1210&amp;D_技能表!$E$2:$E$1210,D_技能表!$I$2:$I$1210),2,FALSE),0)</f>
        <v>11</v>
      </c>
      <c r="E25">
        <f t="array" aca="1" ref="E25" ca="1">IFERROR(VLOOKUP($D$5&amp;$C25,CHOOSE({1,2},D_技能表!$C$2:$C$1210&amp;D_技能表!$E$2:$E$1210,D_技能表!$N$2:$N$1210),2,FALSE),0)</f>
        <v>2528</v>
      </c>
      <c r="F25">
        <f t="array" aca="1" ref="F25" ca="1">IFERROR(VLOOKUP($D$5&amp;$C25,CHOOSE({1,2},D_技能表!$C$2:$C$1210&amp;D_技能表!$E$2:$E$1210,D_技能表!$W$2:$W$1210),2,FALSE),0)</f>
        <v>16</v>
      </c>
      <c r="G25">
        <f t="array" aca="1" ref="G25" ca="1">IFERROR(VLOOKUP($D$5&amp;$C25,CHOOSE({1,2},D_技能表!$C$2:$C$1210&amp;D_技能表!$E$2:$E$1210,D_技能表!$Z$2:$Z$1210),2,FALSE),0)</f>
        <v>0</v>
      </c>
      <c r="H25">
        <f t="array" aca="1" ref="H25" ca="1">IFERROR(VLOOKUP($H$5&amp;$C25,CHOOSE({1,2},D_技能表!$C$2:$C$1210&amp;D_技能表!$E$2:$E$1210,D_技能表!$I$2:$I$1210),2,FALSE),0)</f>
        <v>10</v>
      </c>
      <c r="I25">
        <f t="array" aca="1" ref="I25" ca="1">IFERROR(VLOOKUP($H$5&amp;$C25,CHOOSE({1,2},D_技能表!$C$2:$C$1210&amp;D_技能表!$E$2:$E$1210,D_技能表!$N$2:$N$1210),2,FALSE),0)</f>
        <v>1106</v>
      </c>
      <c r="J25">
        <f t="array" aca="1" ref="J25" ca="1">IFERROR(VLOOKUP($H$5&amp;$C25,CHOOSE({1,2},D_技能表!$C$2:$C$1210&amp;D_技能表!$E$2:$E$1210,D_技能表!$W$2:$W$1210),2,FALSE),0)</f>
        <v>7</v>
      </c>
      <c r="K25">
        <f t="array" aca="1" ref="K25" ca="1">IFERROR(VLOOKUP($H$5&amp;$C25,CHOOSE({1,2},D_技能表!$C$2:$C$1210&amp;D_技能表!$E$2:$E$1210,D_技能表!$Z$2:$Z$1210),2,FALSE),0)</f>
        <v>0</v>
      </c>
      <c r="L25">
        <f t="array" aca="1" ref="L25" ca="1">IFERROR(VLOOKUP($L$5&amp;$C25,CHOOSE({1,2},D_技能表!$C$2:$C$1210&amp;D_技能表!$E$2:$E$1210,D_技能表!$I$2:$I$1210),2,FALSE),0)</f>
        <v>10</v>
      </c>
      <c r="M25">
        <f t="array" aca="1" ref="M25" ca="1">IFERROR(VLOOKUP($L$5&amp;$C25,CHOOSE({1,2},D_技能表!$C$2:$C$1210&amp;D_技能表!$E$2:$E$1210,D_技能表!$N$2:$N$1210),2,FALSE),0)</f>
        <v>1106</v>
      </c>
      <c r="N25">
        <f t="array" aca="1" ref="N25" ca="1">IFERROR(VLOOKUP($L$5&amp;$C25,CHOOSE({1,2},D_技能表!$C$2:$C$1210&amp;D_技能表!$E$2:$E$1210,D_技能表!$W$2:$W$1210),2,FALSE),0)</f>
        <v>7</v>
      </c>
      <c r="O25">
        <f t="array" aca="1" ref="O25" ca="1">IFERROR(VLOOKUP($L$5&amp;$C25,CHOOSE({1,2},D_技能表!$C$2:$C$1210&amp;D_技能表!$E$2:$E$1210,D_技能表!$Z$2:$Z$1210),2,FALSE),0)</f>
        <v>0</v>
      </c>
      <c r="P25">
        <f t="array" aca="1" ref="P25" ca="1">IFERROR(VLOOKUP($P$5&amp;$C25,CHOOSE({1,2},D_技能表!$C$2:$C$1210&amp;D_技能表!$E$2:$E$1210,D_技能表!$I$2:$I$1210),2,FALSE),0)</f>
        <v>8</v>
      </c>
      <c r="Q25">
        <f t="array" aca="1" ref="Q25" ca="1">IFERROR(VLOOKUP($P$5&amp;$C25,CHOOSE({1,2},D_技能表!$C$2:$C$1210&amp;D_技能表!$E$2:$E$1210,D_技能表!$N$2:$N$1210),2,FALSE),0)</f>
        <v>948</v>
      </c>
      <c r="R25">
        <f t="array" aca="1" ref="R25" ca="1">IFERROR(VLOOKUP($P$5&amp;$C25,CHOOSE({1,2},D_技能表!$C$2:$C$1210&amp;D_技能表!$E$2:$E$1210,D_技能表!$W$2:$W$1210),2,FALSE),0)</f>
        <v>6</v>
      </c>
      <c r="S25">
        <f t="array" aca="1" ref="S25" ca="1">IFERROR(VLOOKUP($P$5&amp;$C25,CHOOSE({1,2},D_技能表!$C$2:$C$1210&amp;D_技能表!$E$2:$E$1210,D_技能表!$Z$2:$Z$1210),2,FALSE),0)</f>
        <v>0</v>
      </c>
      <c r="T25">
        <f t="array" aca="1" ref="T25" ca="1">IFERROR(VLOOKUP($T$5&amp;$C25,CHOOSE({1,2},D_技能表!$C$2:$C$1210&amp;D_技能表!$E$2:$E$1210,D_技能表!$I$2:$I$1210),2,FALSE),0)</f>
        <v>7</v>
      </c>
      <c r="U25">
        <f t="array" aca="1" ref="U25" ca="1">IFERROR(VLOOKUP($T$5&amp;$C25,CHOOSE({1,2},D_技能表!$C$2:$C$1210&amp;D_技能表!$E$2:$E$1210,D_技能表!$N$2:$N$1210),2,FALSE),0)</f>
        <v>1422</v>
      </c>
      <c r="V25">
        <f t="array" aca="1" ref="V25" ca="1">IFERROR(VLOOKUP($T$5&amp;$C25,CHOOSE({1,2},D_技能表!$C$2:$C$1210&amp;D_技能表!$E$2:$E$1210,D_技能表!$W$2:$W$1210),2,FALSE),0)</f>
        <v>9</v>
      </c>
      <c r="W25">
        <f t="array" aca="1" ref="W25" ca="1">IFERROR(VLOOKUP($T$5&amp;$C25,CHOOSE({1,2},D_技能表!$C$2:$C$1210&amp;D_技能表!$E$2:$E$1210,D_技能表!$Z$2:$Z$1210),2,FALSE),0)</f>
        <v>0</v>
      </c>
      <c r="X25">
        <f t="array" aca="1" ref="X25" ca="1">IFERROR(VLOOKUP($X$5&amp;$C25,CHOOSE({1,2},D_技能表!$C$2:$C$1210&amp;D_技能表!$E$2:$E$1210,D_技能表!$I$2:$I$1210),2,FALSE),0)</f>
        <v>9</v>
      </c>
      <c r="Y25">
        <f t="array" aca="1" ref="Y25" ca="1">IFERROR(VLOOKUP($X$5&amp;$C25,CHOOSE({1,2},D_技能表!$C$2:$C$1210&amp;D_技能表!$E$2:$E$1210,D_技能表!$N$2:$N$1210),2,FALSE),0)</f>
        <v>2212</v>
      </c>
      <c r="Z25">
        <f t="array" aca="1" ref="Z25" ca="1">IFERROR(VLOOKUP($X$5&amp;$C25,CHOOSE({1,2},D_技能表!$C$2:$C$1210&amp;D_技能表!$E$2:$E$1210,D_技能表!$W$2:$W$1210),2,FALSE),0)</f>
        <v>14</v>
      </c>
      <c r="AA25">
        <f t="array" aca="1" ref="AA25" ca="1">IFERROR(VLOOKUP($X$5&amp;$C25,CHOOSE({1,2},D_技能表!$C$2:$C$1210&amp;D_技能表!$E$2:$E$1210,D_技能表!$Z$2:$Z$1210),2,FALSE),0)</f>
        <v>0</v>
      </c>
      <c r="AB25">
        <f t="array" aca="1" ref="AB25" ca="1">IFERROR(VLOOKUP($AB$5&amp;$C25,CHOOSE({1,2},D_技能表!$C$2:$C$1210&amp;D_技能表!$E$2:$E$1210,D_技能表!$I$2:$I$1210),2,FALSE),0)</f>
        <v>9</v>
      </c>
      <c r="AC25">
        <f t="array" aca="1" ref="AC25" ca="1">IFERROR(VLOOKUP($AB$5&amp;$C25,CHOOSE({1,2},D_技能表!$C$2:$C$1210&amp;D_技能表!$E$2:$E$1210,D_技能表!$N$2:$N$1210),2,FALSE),0)</f>
        <v>948</v>
      </c>
      <c r="AD25">
        <f t="array" aca="1" ref="AD25" ca="1">IFERROR(VLOOKUP($AB$5&amp;$C25,CHOOSE({1,2},D_技能表!$C$2:$C$1210&amp;D_技能表!$E$2:$E$1210,D_技能表!$W$2:$W$1210),2,FALSE),0)</f>
        <v>6</v>
      </c>
      <c r="AE25">
        <f t="array" aca="1" ref="AE25" ca="1">IFERROR(VLOOKUP($AB$5&amp;$C25,CHOOSE({1,2},D_技能表!$C$2:$C$1210&amp;D_技能表!$E$2:$E$1210,D_技能表!$Z$2:$Z$1210),2,FALSE),0)</f>
        <v>0</v>
      </c>
      <c r="AF25">
        <f t="array" aca="1" ref="AF25" ca="1">IFERROR(VLOOKUP($AF$5&amp;$C25,CHOOSE({1,2},D_技能表!$C$2:$C$1210&amp;D_技能表!$E$2:$E$1210,D_技能表!$I$2:$I$1210),2,FALSE),0)</f>
        <v>0</v>
      </c>
      <c r="AG25">
        <f t="array" aca="1" ref="AG25" ca="1">IFERROR(VLOOKUP($AF$5&amp;$C25,CHOOSE({1,2},D_技能表!$C$2:$C$1210&amp;D_技能表!$E$2:$E$1210,D_技能表!$N$2:$N$1210),2,FALSE),0)</f>
        <v>0</v>
      </c>
      <c r="AH25">
        <f t="array" aca="1" ref="AH25" ca="1">IFERROR(VLOOKUP($AF$5&amp;$C25,CHOOSE({1,2},D_技能表!$C$2:$C$1210&amp;D_技能表!$E$2:$E$1210,D_技能表!$W$2:$W$1210),2,FALSE),0)</f>
        <v>0</v>
      </c>
      <c r="AI25">
        <f t="array" aca="1" ref="AI25" ca="1">IFERROR(VLOOKUP($AF$5&amp;$C25,CHOOSE({1,2},D_技能表!$C$2:$C$1210&amp;D_技能表!$E$2:$E$1210,D_技能表!$Z$2:$Z$1210),2,FALSE),0)</f>
        <v>0</v>
      </c>
      <c r="AJ25">
        <f t="array" aca="1" ref="AJ25" ca="1">IFERROR(VLOOKUP($AJ$5&amp;$C25,CHOOSE({1,2},D_技能表!$C$2:$C$1210&amp;D_技能表!$E$2:$E$1210,D_技能表!$I$2:$I$1210),2,FALSE),0)</f>
        <v>0</v>
      </c>
      <c r="AK25">
        <f t="array" aca="1" ref="AK25" ca="1">IFERROR(VLOOKUP($AJ$5&amp;$C25,CHOOSE({1,2},D_技能表!$C$2:$C$1210&amp;D_技能表!$E$2:$E$1210,D_技能表!$N$2:$N$1210),2,FALSE),0)</f>
        <v>0</v>
      </c>
      <c r="AL25">
        <f t="array" aca="1" ref="AL25" ca="1">IFERROR(VLOOKUP($AJ$5&amp;$C25,CHOOSE({1,2},D_技能表!$C$2:$C$1210&amp;D_技能表!$E$2:$E$1210,D_技能表!$W$2:$W$1210),2,FALSE),0)</f>
        <v>0</v>
      </c>
      <c r="AM25">
        <f t="array" aca="1" ref="AM25" ca="1">IFERROR(VLOOKUP($AJ$5&amp;$C25,CHOOSE({1,2},D_技能表!$C$2:$C$1210&amp;D_技能表!$E$2:$E$1210,D_技能表!$Z$2:$Z$1210),2,FALSE),0)</f>
        <v>0</v>
      </c>
      <c r="AN25">
        <f t="array" aca="1" ref="AN25" ca="1">IFERROR(VLOOKUP($AN$5&amp;$C25,CHOOSE({1,2},D_技能表!$C$2:$C$1210&amp;D_技能表!$E$2:$E$1210,D_技能表!$I$2:$I$1210),2,FALSE),0)</f>
        <v>5</v>
      </c>
      <c r="AO25">
        <f t="array" aca="1" ref="AO25" ca="1">IFERROR(VLOOKUP($AN$5&amp;$C25,CHOOSE({1,2},D_技能表!$C$2:$C$1210&amp;D_技能表!$E$2:$E$1210,D_技能表!$N$2:$N$1210),2,FALSE),0)</f>
        <v>1264</v>
      </c>
      <c r="AP25">
        <f t="array" aca="1" ref="AP25" ca="1">IFERROR(VLOOKUP($AN$5&amp;$C25,CHOOSE({1,2},D_技能表!$C$2:$C$1210&amp;D_技能表!$E$2:$E$1210,D_技能表!$W$2:$W$1210),2,FALSE),0)</f>
        <v>8</v>
      </c>
      <c r="AQ25">
        <f t="array" aca="1" ref="AQ25" ca="1">IFERROR(VLOOKUP($AN$5&amp;$C25,CHOOSE({1,2},D_技能表!$C$2:$C$1210&amp;D_技能表!$E$2:$E$1210,D_技能表!$Z$2:$Z$1210),2,FALSE),0)</f>
        <v>0</v>
      </c>
      <c r="AR25" s="11">
        <f ca="1">SUM($G$7:G26,$K$7:K26,$O$7:O26,$S$7:S26,$W$7:W26,$AA$7:AA26,$AE$7:AE26,$AI$7:AI26,$AM$7:AM26,$AQ$7:AQ26)</f>
        <v>0</v>
      </c>
      <c r="AS25">
        <f ca="1">SUM($F$7:F26,$J$7:J26,$N$7:N26,$R$7:R26,$V$7:V26,$Z$7:Z26,$AD$7:AD26,$AH$7:AH26,$AL$7:AL26,$AP$7:AP26)</f>
        <v>549</v>
      </c>
      <c r="AT25">
        <f t="shared" ca="1" si="1"/>
        <v>73</v>
      </c>
      <c r="AU25" s="33">
        <f ca="1">SUM($AX$7:AX25,$BB$7:BB25,$BF$7:BF25,$BJ$7:BJ25)</f>
        <v>60150</v>
      </c>
      <c r="AV25">
        <v>19</v>
      </c>
      <c r="AW25">
        <f t="array" ref="AW25">IFERROR(VLOOKUP(AW$5&amp;$AV25,CHOOSE({1,2},D_技能表CD!$C$2:$C$313&amp;D_技能表CD!$E$2:$E$313,D_技能表CD!$I$2:$I$313),2,FALSE),0)</f>
        <v>7</v>
      </c>
      <c r="AX25">
        <f t="array" aca="1" ref="AX25" ca="1">IFERROR(VLOOKUP(AW$5&amp;$AV25,CHOOSE({1,2},D_技能表CD!$C$2:$C$313&amp;D_技能表CD!$E$2:$E$313,D_技能表CD!$H$2:$H$313),2,FALSE),0)</f>
        <v>5300</v>
      </c>
      <c r="AY25">
        <f t="array" aca="1" ref="AY25" ca="1">IFERROR(VLOOKUP(AW$5&amp;$AV25,CHOOSE({1,2},D_技能表CD!$C$2:$C$313&amp;D_技能表CD!$E$2:$E$313,D_技能表CD!$L$2:$L$313),2,FALSE),0)</f>
        <v>25</v>
      </c>
      <c r="AZ25">
        <f t="array" ref="AZ25">IFERROR(VLOOKUP(AW$5&amp;$AV25,CHOOSE({1,2},D_技能表CD!$C$2:$C$313&amp;D_技能表CD!$E$2:$E$313,D_技能表CD!$K$2:$K$313),2,FALSE),0)</f>
        <v>0</v>
      </c>
      <c r="BA25">
        <f t="array" ref="BA25">IFERROR(VLOOKUP(BA$5&amp;$AV25,CHOOSE({1,2},D_技能表CD!$C$2:$C$313&amp;D_技能表CD!$E$2:$E$313,D_技能表CD!$I$2:$I$313),2,FALSE),0)</f>
        <v>0</v>
      </c>
      <c r="BB25">
        <f t="array" aca="1" ref="BB25" ca="1">IFERROR(VLOOKUP(BA$5&amp;$AV25,CHOOSE({1,2},D_技能表CD!$C$2:$C$313&amp;D_技能表CD!$E$2:$E$313,D_技能表CD!$H$2:$H$313),2,FALSE),0)</f>
        <v>0</v>
      </c>
      <c r="BC25">
        <f t="array" aca="1" ref="BC25" ca="1">IFERROR(VLOOKUP(BA$5&amp;$AV25,CHOOSE({1,2},D_技能表CD!$C$2:$C$313&amp;D_技能表CD!$E$2:$E$313,D_技能表CD!$L$2:$L$313),2,FALSE),0)</f>
        <v>0</v>
      </c>
      <c r="BD25">
        <f t="array" aca="1" ref="BD25" ca="1">IFERROR(VLOOKUP(BA$5&amp;$AV25,CHOOSE({1,2},D_技能表CD!$C$2:$C$313&amp;D_技能表CD!$E$2:$E$313,D_技能表CD!$K$2:$K$313),2,FALSE),0)</f>
        <v>0</v>
      </c>
      <c r="BE25">
        <f t="array" ref="BE25">IFERROR(VLOOKUP(BE$5&amp;$AV25,CHOOSE({1,2},D_技能表CD!$C$2:$C$313&amp;D_技能表CD!$E$2:$E$313,D_技能表CD!$I$2:$I$313),2,FALSE),0)</f>
        <v>6</v>
      </c>
      <c r="BF25">
        <f t="array" aca="1" ref="BF25" ca="1">IFERROR(VLOOKUP(BE$5&amp;$AV25,CHOOSE({1,2},D_技能表CD!$C$2:$C$313&amp;D_技能表CD!$E$2:$E$313,D_技能表CD!$H$2:$H$313),2,FALSE),0)</f>
        <v>3500</v>
      </c>
      <c r="BG25">
        <f t="array" aca="1" ref="BG25" ca="1">IFERROR(VLOOKUP(BE$5&amp;$AV25,CHOOSE({1,2},D_技能表CD!$C$2:$C$313&amp;D_技能表CD!$E$2:$E$313,D_技能表CD!$L$2:$L$313),2,FALSE),0)</f>
        <v>18</v>
      </c>
      <c r="BH25">
        <f t="array" aca="1" ref="BH25" ca="1">IFERROR(VLOOKUP(BE$5&amp;$AV25,CHOOSE({1,2},D_技能表CD!$C$2:$C$313&amp;D_技能表CD!$E$2:$E$313,D_技能表CD!$K$2:$K$313),2,FALSE),0)</f>
        <v>0</v>
      </c>
      <c r="BI25">
        <f t="array" ref="BI25">IFERROR(VLOOKUP(BI$5&amp;$AV25,CHOOSE({1,2},D_技能表CD!$C$2:$C$313&amp;D_技能表CD!$E$2:$E$313,D_技能表CD!$I$2:$I$313),2,FALSE),0)</f>
        <v>0</v>
      </c>
      <c r="BJ25">
        <f t="array" aca="1" ref="BJ25" ca="1">IFERROR(VLOOKUP(BI$5&amp;$AV25,CHOOSE({1,2},D_技能表CD!$C$2:$C$313&amp;D_技能表CD!$E$2:$E$313,D_技能表CD!$H$2:$H$313),2,FALSE),0)</f>
        <v>0</v>
      </c>
      <c r="BK25">
        <f t="array" aca="1" ref="BK25" ca="1">IFERROR(VLOOKUP(BI$5&amp;$AV25,CHOOSE({1,2},D_技能表CD!$C$2:$C$313&amp;D_技能表CD!$E$2:$E$313,D_技能表CD!$L$2:$L$313),2,FALSE),0)</f>
        <v>0</v>
      </c>
      <c r="BL25">
        <f t="array" aca="1" ref="BL25" ca="1">IFERROR(VLOOKUP(BI$5&amp;$AV25,CHOOSE({1,2},D_技能表CD!$C$2:$C$313&amp;D_技能表CD!$E$2:$E$313,D_技能表CD!$K$2:$K$313),2,FALSE),0)</f>
        <v>0</v>
      </c>
    </row>
    <row r="26" spans="1:64" x14ac:dyDescent="0.15">
      <c r="A26">
        <f t="shared" ca="1" si="0"/>
        <v>142100</v>
      </c>
      <c r="B26" s="33">
        <f ca="1">SUM($E$7:E26,$I$7:I26,$M$7:M26,$Q$7:Q26,$U$7:U26,$Y$7:Y26,$AC$7:AC26,$AG$7:AG26,$AK$7:AK26,$AO$7:AO26)</f>
        <v>74250</v>
      </c>
      <c r="C26">
        <v>20</v>
      </c>
      <c r="D26">
        <f t="array" aca="1" ref="D26" ca="1">IFERROR(VLOOKUP($D$5&amp;C26,CHOOSE({1,2},D_技能表!$C$2:$C$1210&amp;D_技能表!$E$2:$E$1210,D_技能表!$I$2:$I$1210),2,FALSE),0)</f>
        <v>0</v>
      </c>
      <c r="E26">
        <f t="array" aca="1" ref="E26" ca="1">IFERROR(VLOOKUP($D$5&amp;$C26,CHOOSE({1,2},D_技能表!$C$2:$C$1210&amp;D_技能表!$E$2:$E$1210,D_技能表!$N$2:$N$1210),2,FALSE),0)</f>
        <v>0</v>
      </c>
      <c r="F26">
        <f t="array" aca="1" ref="F26" ca="1">IFERROR(VLOOKUP($D$5&amp;$C26,CHOOSE({1,2},D_技能表!$C$2:$C$1210&amp;D_技能表!$E$2:$E$1210,D_技能表!$W$2:$W$1210),2,FALSE),0)</f>
        <v>0</v>
      </c>
      <c r="G26">
        <f t="array" aca="1" ref="G26" ca="1">IFERROR(VLOOKUP($D$5&amp;$C26,CHOOSE({1,2},D_技能表!$C$2:$C$1210&amp;D_技能表!$E$2:$E$1210,D_技能表!$Z$2:$Z$1210),2,FALSE),0)</f>
        <v>0</v>
      </c>
      <c r="H26">
        <f t="array" aca="1" ref="H26" ca="1">IFERROR(VLOOKUP($H$5&amp;$C26,CHOOSE({1,2},D_技能表!$C$2:$C$1210&amp;D_技能表!$E$2:$E$1210,D_技能表!$I$2:$I$1210),2,FALSE),0)</f>
        <v>0</v>
      </c>
      <c r="I26">
        <f t="array" aca="1" ref="I26" ca="1">IFERROR(VLOOKUP($H$5&amp;$C26,CHOOSE({1,2},D_技能表!$C$2:$C$1210&amp;D_技能表!$E$2:$E$1210,D_技能表!$N$2:$N$1210),2,FALSE),0)</f>
        <v>0</v>
      </c>
      <c r="J26">
        <f t="array" aca="1" ref="J26" ca="1">IFERROR(VLOOKUP($H$5&amp;$C26,CHOOSE({1,2},D_技能表!$C$2:$C$1210&amp;D_技能表!$E$2:$E$1210,D_技能表!$W$2:$W$1210),2,FALSE),0)</f>
        <v>0</v>
      </c>
      <c r="K26">
        <f t="array" aca="1" ref="K26" ca="1">IFERROR(VLOOKUP($H$5&amp;$C26,CHOOSE({1,2},D_技能表!$C$2:$C$1210&amp;D_技能表!$E$2:$E$1210,D_技能表!$Z$2:$Z$1210),2,FALSE),0)</f>
        <v>0</v>
      </c>
      <c r="L26">
        <f t="array" aca="1" ref="L26" ca="1">IFERROR(VLOOKUP($L$5&amp;$C26,CHOOSE({1,2},D_技能表!$C$2:$C$1210&amp;D_技能表!$E$2:$E$1210,D_技能表!$I$2:$I$1210),2,FALSE),0)</f>
        <v>0</v>
      </c>
      <c r="M26">
        <f t="array" aca="1" ref="M26" ca="1">IFERROR(VLOOKUP($L$5&amp;$C26,CHOOSE({1,2},D_技能表!$C$2:$C$1210&amp;D_技能表!$E$2:$E$1210,D_技能表!$N$2:$N$1210),2,FALSE),0)</f>
        <v>0</v>
      </c>
      <c r="N26">
        <f t="array" aca="1" ref="N26" ca="1">IFERROR(VLOOKUP($L$5&amp;$C26,CHOOSE({1,2},D_技能表!$C$2:$C$1210&amp;D_技能表!$E$2:$E$1210,D_技能表!$W$2:$W$1210),2,FALSE),0)</f>
        <v>0</v>
      </c>
      <c r="O26">
        <f t="array" aca="1" ref="O26" ca="1">IFERROR(VLOOKUP($L$5&amp;$C26,CHOOSE({1,2},D_技能表!$C$2:$C$1210&amp;D_技能表!$E$2:$E$1210,D_技能表!$Z$2:$Z$1210),2,FALSE),0)</f>
        <v>0</v>
      </c>
      <c r="P26">
        <f t="array" aca="1" ref="P26" ca="1">IFERROR(VLOOKUP($P$5&amp;$C26,CHOOSE({1,2},D_技能表!$C$2:$C$1210&amp;D_技能表!$E$2:$E$1210,D_技能表!$I$2:$I$1210),2,FALSE),0)</f>
        <v>9</v>
      </c>
      <c r="Q26">
        <f t="array" aca="1" ref="Q26" ca="1">IFERROR(VLOOKUP($P$5&amp;$C26,CHOOSE({1,2},D_技能表!$C$2:$C$1210&amp;D_技能表!$E$2:$E$1210,D_技能表!$N$2:$N$1210),2,FALSE),0)</f>
        <v>1092</v>
      </c>
      <c r="R26">
        <f t="array" aca="1" ref="R26" ca="1">IFERROR(VLOOKUP($P$5&amp;$C26,CHOOSE({1,2},D_技能表!$C$2:$C$1210&amp;D_技能表!$E$2:$E$1210,D_技能表!$W$2:$W$1210),2,FALSE),0)</f>
        <v>6</v>
      </c>
      <c r="S26">
        <f t="array" aca="1" ref="S26" ca="1">IFERROR(VLOOKUP($P$5&amp;$C26,CHOOSE({1,2},D_技能表!$C$2:$C$1210&amp;D_技能表!$E$2:$E$1210,D_技能表!$Z$2:$Z$1210),2,FALSE),0)</f>
        <v>0</v>
      </c>
      <c r="T26">
        <f t="array" aca="1" ref="T26" ca="1">IFERROR(VLOOKUP($T$5&amp;$C26,CHOOSE({1,2},D_技能表!$C$2:$C$1210&amp;D_技能表!$E$2:$E$1210,D_技能表!$I$2:$I$1210),2,FALSE),0)</f>
        <v>8</v>
      </c>
      <c r="U26">
        <f t="array" aca="1" ref="U26" ca="1">IFERROR(VLOOKUP($T$5&amp;$C26,CHOOSE({1,2},D_技能表!$C$2:$C$1210&amp;D_技能表!$E$2:$E$1210,D_技能表!$N$2:$N$1210),2,FALSE),0)</f>
        <v>1820</v>
      </c>
      <c r="V26">
        <f t="array" aca="1" ref="V26" ca="1">IFERROR(VLOOKUP($T$5&amp;$C26,CHOOSE({1,2},D_技能表!$C$2:$C$1210&amp;D_技能表!$E$2:$E$1210,D_技能表!$W$2:$W$1210),2,FALSE),0)</f>
        <v>10</v>
      </c>
      <c r="W26">
        <f t="array" aca="1" ref="W26" ca="1">IFERROR(VLOOKUP($T$5&amp;$C26,CHOOSE({1,2},D_技能表!$C$2:$C$1210&amp;D_技能表!$E$2:$E$1210,D_技能表!$Z$2:$Z$1210),2,FALSE),0)</f>
        <v>0</v>
      </c>
      <c r="X26">
        <f t="array" aca="1" ref="X26" ca="1">IFERROR(VLOOKUP($X$5&amp;$C26,CHOOSE({1,2},D_技能表!$C$2:$C$1210&amp;D_技能表!$E$2:$E$1210,D_技能表!$I$2:$I$1210),2,FALSE),0)</f>
        <v>10</v>
      </c>
      <c r="Y26">
        <f t="array" aca="1" ref="Y26" ca="1">IFERROR(VLOOKUP($X$5&amp;$C26,CHOOSE({1,2},D_技能表!$C$2:$C$1210&amp;D_技能表!$E$2:$E$1210,D_技能表!$N$2:$N$1210),2,FALSE),0)</f>
        <v>2730</v>
      </c>
      <c r="Z26">
        <f t="array" aca="1" ref="Z26" ca="1">IFERROR(VLOOKUP($X$5&amp;$C26,CHOOSE({1,2},D_技能表!$C$2:$C$1210&amp;D_技能表!$E$2:$E$1210,D_技能表!$W$2:$W$1210),2,FALSE),0)</f>
        <v>15</v>
      </c>
      <c r="AA26">
        <f t="array" aca="1" ref="AA26" ca="1">IFERROR(VLOOKUP($X$5&amp;$C26,CHOOSE({1,2},D_技能表!$C$2:$C$1210&amp;D_技能表!$E$2:$E$1210,D_技能表!$Z$2:$Z$1210),2,FALSE),0)</f>
        <v>0</v>
      </c>
      <c r="AB26">
        <f t="array" aca="1" ref="AB26" ca="1">IFERROR(VLOOKUP($AB$5&amp;$C26,CHOOSE({1,2},D_技能表!$C$2:$C$1210&amp;D_技能表!$E$2:$E$1210,D_技能表!$I$2:$I$1210),2,FALSE),0)</f>
        <v>0</v>
      </c>
      <c r="AC26">
        <f t="array" aca="1" ref="AC26" ca="1">IFERROR(VLOOKUP($AB$5&amp;$C26,CHOOSE({1,2},D_技能表!$C$2:$C$1210&amp;D_技能表!$E$2:$E$1210,D_技能表!$N$2:$N$1210),2,FALSE),0)</f>
        <v>0</v>
      </c>
      <c r="AD26">
        <f t="array" aca="1" ref="AD26" ca="1">IFERROR(VLOOKUP($AB$5&amp;$C26,CHOOSE({1,2},D_技能表!$C$2:$C$1210&amp;D_技能表!$E$2:$E$1210,D_技能表!$W$2:$W$1210),2,FALSE),0)</f>
        <v>0</v>
      </c>
      <c r="AE26">
        <f t="array" aca="1" ref="AE26" ca="1">IFERROR(VLOOKUP($AB$5&amp;$C26,CHOOSE({1,2},D_技能表!$C$2:$C$1210&amp;D_技能表!$E$2:$E$1210,D_技能表!$Z$2:$Z$1210),2,FALSE),0)</f>
        <v>0</v>
      </c>
      <c r="AF26">
        <f t="array" aca="1" ref="AF26" ca="1">IFERROR(VLOOKUP($AF$5&amp;$C26,CHOOSE({1,2},D_技能表!$C$2:$C$1210&amp;D_技能表!$E$2:$E$1210,D_技能表!$I$2:$I$1210),2,FALSE),0)</f>
        <v>8</v>
      </c>
      <c r="AG26">
        <f t="array" aca="1" ref="AG26" ca="1">IFERROR(VLOOKUP($AF$5&amp;$C26,CHOOSE({1,2},D_技能表!$C$2:$C$1210&amp;D_技能表!$E$2:$E$1210,D_技能表!$N$2:$N$1210),2,FALSE),0)</f>
        <v>1092</v>
      </c>
      <c r="AH26">
        <f t="array" aca="1" ref="AH26" ca="1">IFERROR(VLOOKUP($AF$5&amp;$C26,CHOOSE({1,2},D_技能表!$C$2:$C$1210&amp;D_技能表!$E$2:$E$1210,D_技能表!$W$2:$W$1210),2,FALSE),0)</f>
        <v>6</v>
      </c>
      <c r="AI26">
        <f t="array" aca="1" ref="AI26" ca="1">IFERROR(VLOOKUP($AF$5&amp;$C26,CHOOSE({1,2},D_技能表!$C$2:$C$1210&amp;D_技能表!$E$2:$E$1210,D_技能表!$Z$2:$Z$1210),2,FALSE),0)</f>
        <v>0</v>
      </c>
      <c r="AJ26">
        <f t="array" aca="1" ref="AJ26" ca="1">IFERROR(VLOOKUP($AJ$5&amp;$C26,CHOOSE({1,2},D_技能表!$C$2:$C$1210&amp;D_技能表!$E$2:$E$1210,D_技能表!$I$2:$I$1210),2,FALSE),0)</f>
        <v>7</v>
      </c>
      <c r="AK26">
        <f t="array" aca="1" ref="AK26" ca="1">IFERROR(VLOOKUP($AJ$5&amp;$C26,CHOOSE({1,2},D_技能表!$C$2:$C$1210&amp;D_技能表!$E$2:$E$1210,D_技能表!$N$2:$N$1210),2,FALSE),0)</f>
        <v>910</v>
      </c>
      <c r="AL26">
        <f t="array" aca="1" ref="AL26" ca="1">IFERROR(VLOOKUP($AJ$5&amp;$C26,CHOOSE({1,2},D_技能表!$C$2:$C$1210&amp;D_技能表!$E$2:$E$1210,D_技能表!$W$2:$W$1210),2,FALSE),0)</f>
        <v>5</v>
      </c>
      <c r="AM26">
        <f t="array" aca="1" ref="AM26" ca="1">IFERROR(VLOOKUP($AJ$5&amp;$C26,CHOOSE({1,2},D_技能表!$C$2:$C$1210&amp;D_技能表!$E$2:$E$1210,D_技能表!$Z$2:$Z$1210),2,FALSE),0)</f>
        <v>0</v>
      </c>
      <c r="AN26">
        <f t="array" aca="1" ref="AN26" ca="1">IFERROR(VLOOKUP($AN$5&amp;$C26,CHOOSE({1,2},D_技能表!$C$2:$C$1210&amp;D_技能表!$E$2:$E$1210,D_技能表!$I$2:$I$1210),2,FALSE),0)</f>
        <v>6</v>
      </c>
      <c r="AO26">
        <f t="array" aca="1" ref="AO26" ca="1">IFERROR(VLOOKUP($AN$5&amp;$C26,CHOOSE({1,2},D_技能表!$C$2:$C$1210&amp;D_技能表!$E$2:$E$1210,D_技能表!$N$2:$N$1210),2,FALSE),0)</f>
        <v>1638</v>
      </c>
      <c r="AP26">
        <f t="array" aca="1" ref="AP26" ca="1">IFERROR(VLOOKUP($AN$5&amp;$C26,CHOOSE({1,2},D_技能表!$C$2:$C$1210&amp;D_技能表!$E$2:$E$1210,D_技能表!$W$2:$W$1210),2,FALSE),0)</f>
        <v>9</v>
      </c>
      <c r="AQ26">
        <f t="array" aca="1" ref="AQ26" ca="1">IFERROR(VLOOKUP($AN$5&amp;$C26,CHOOSE({1,2},D_技能表!$C$2:$C$1210&amp;D_技能表!$E$2:$E$1210,D_技能表!$Z$2:$Z$1210),2,FALSE),0)</f>
        <v>0</v>
      </c>
      <c r="AR26" s="11">
        <f ca="1">SUM($G$7:G27,$K$7:K27,$O$7:O27,$S$7:S27,$W$7:W27,$AA$7:AA27,$AE$7:AE27,$AI$7:AI27,$AM$7:AM27,$AQ$7:AQ27)</f>
        <v>0</v>
      </c>
      <c r="AS26">
        <f ca="1">SUM($F$7:F27,$J$7:J27,$N$7:N27,$R$7:R27,$V$7:V27,$Z$7:Z27,$AD$7:AD27,$AH$7:AH27,$AL$7:AL27,$AP$7:AP27)</f>
        <v>600</v>
      </c>
      <c r="AT26">
        <f t="shared" ca="1" si="1"/>
        <v>51</v>
      </c>
      <c r="AU26" s="33">
        <f ca="1">SUM($AX$7:AX26,$BB$7:BB26,$BF$7:BF26,$BJ$7:BJ26)</f>
        <v>67850</v>
      </c>
      <c r="AV26">
        <v>20</v>
      </c>
      <c r="AW26">
        <f t="array" ref="AW26">IFERROR(VLOOKUP(AW$5&amp;$AV26,CHOOSE({1,2},D_技能表CD!$C$2:$C$313&amp;D_技能表CD!$E$2:$E$313,D_技能表CD!$I$2:$I$313),2,FALSE),0)</f>
        <v>0</v>
      </c>
      <c r="AX26">
        <f t="array" aca="1" ref="AX26" ca="1">IFERROR(VLOOKUP(AW$5&amp;$AV26,CHOOSE({1,2},D_技能表CD!$C$2:$C$313&amp;D_技能表CD!$E$2:$E$313,D_技能表CD!$H$2:$H$313),2,FALSE),0)</f>
        <v>0</v>
      </c>
      <c r="AY26">
        <f t="array" aca="1" ref="AY26" ca="1">IFERROR(VLOOKUP(AW$5&amp;$AV26,CHOOSE({1,2},D_技能表CD!$C$2:$C$313&amp;D_技能表CD!$E$2:$E$313,D_技能表CD!$L$2:$L$313),2,FALSE),0)</f>
        <v>0</v>
      </c>
      <c r="AZ26">
        <f t="array" aca="1" ref="AZ26" ca="1">IFERROR(VLOOKUP(AW$5&amp;$AV26,CHOOSE({1,2},D_技能表CD!$C$2:$C$313&amp;D_技能表CD!$E$2:$E$313,D_技能表CD!$K$2:$K$313),2,FALSE),0)</f>
        <v>0</v>
      </c>
      <c r="BA26">
        <f t="array" ref="BA26">IFERROR(VLOOKUP(BA$5&amp;$AV26,CHOOSE({1,2},D_技能表CD!$C$2:$C$313&amp;D_技能表CD!$E$2:$E$313,D_技能表CD!$I$2:$I$313),2,FALSE),0)</f>
        <v>0</v>
      </c>
      <c r="BB26">
        <f t="array" aca="1" ref="BB26" ca="1">IFERROR(VLOOKUP(BA$5&amp;$AV26,CHOOSE({1,2},D_技能表CD!$C$2:$C$313&amp;D_技能表CD!$E$2:$E$313,D_技能表CD!$H$2:$H$313),2,FALSE),0)</f>
        <v>0</v>
      </c>
      <c r="BC26">
        <f t="array" aca="1" ref="BC26" ca="1">IFERROR(VLOOKUP(BA$5&amp;$AV26,CHOOSE({1,2},D_技能表CD!$C$2:$C$313&amp;D_技能表CD!$E$2:$E$313,D_技能表CD!$L$2:$L$313),2,FALSE),0)</f>
        <v>0</v>
      </c>
      <c r="BD26">
        <f t="array" aca="1" ref="BD26" ca="1">IFERROR(VLOOKUP(BA$5&amp;$AV26,CHOOSE({1,2},D_技能表CD!$C$2:$C$313&amp;D_技能表CD!$E$2:$E$313,D_技能表CD!$K$2:$K$313),2,FALSE),0)</f>
        <v>0</v>
      </c>
      <c r="BE26">
        <f t="array" ref="BE26">IFERROR(VLOOKUP(BE$5&amp;$AV26,CHOOSE({1,2},D_技能表CD!$C$2:$C$313&amp;D_技能表CD!$E$2:$E$313,D_技能表CD!$I$2:$I$313),2,FALSE),0)</f>
        <v>0</v>
      </c>
      <c r="BF26">
        <f t="array" aca="1" ref="BF26" ca="1">IFERROR(VLOOKUP(BE$5&amp;$AV26,CHOOSE({1,2},D_技能表CD!$C$2:$C$313&amp;D_技能表CD!$E$2:$E$313,D_技能表CD!$H$2:$H$313),2,FALSE),0)</f>
        <v>0</v>
      </c>
      <c r="BG26">
        <f t="array" aca="1" ref="BG26" ca="1">IFERROR(VLOOKUP(BE$5&amp;$AV26,CHOOSE({1,2},D_技能表CD!$C$2:$C$313&amp;D_技能表CD!$E$2:$E$313,D_技能表CD!$L$2:$L$313),2,FALSE),0)</f>
        <v>0</v>
      </c>
      <c r="BH26">
        <f t="array" aca="1" ref="BH26" ca="1">IFERROR(VLOOKUP(BE$5&amp;$AV26,CHOOSE({1,2},D_技能表CD!$C$2:$C$313&amp;D_技能表CD!$E$2:$E$313,D_技能表CD!$K$2:$K$313),2,FALSE),0)</f>
        <v>0</v>
      </c>
      <c r="BI26">
        <f t="array" ref="BI26">IFERROR(VLOOKUP(BI$5&amp;$AV26,CHOOSE({1,2},D_技能表CD!$C$2:$C$313&amp;D_技能表CD!$E$2:$E$313,D_技能表CD!$I$2:$I$313),2,FALSE),0)</f>
        <v>6</v>
      </c>
      <c r="BJ26">
        <f t="array" aca="1" ref="BJ26" ca="1">IFERROR(VLOOKUP(BI$5&amp;$AV26,CHOOSE({1,2},D_技能表CD!$C$2:$C$313&amp;D_技能表CD!$E$2:$E$313,D_技能表CD!$H$2:$H$313),2,FALSE),0)</f>
        <v>7700</v>
      </c>
      <c r="BK26">
        <f t="array" aca="1" ref="BK26" ca="1">IFERROR(VLOOKUP(BI$5&amp;$AV26,CHOOSE({1,2},D_技能表CD!$C$2:$C$313&amp;D_技能表CD!$E$2:$E$313,D_技能表CD!$L$2:$L$313),2,FALSE),0)</f>
        <v>41</v>
      </c>
      <c r="BL26">
        <f t="array" aca="1" ref="BL26" ca="1">IFERROR(VLOOKUP(BI$5&amp;$AV26,CHOOSE({1,2},D_技能表CD!$C$2:$C$313&amp;D_技能表CD!$E$2:$E$313,D_技能表CD!$K$2:$K$313),2,FALSE),0)</f>
        <v>12</v>
      </c>
    </row>
    <row r="27" spans="1:64" x14ac:dyDescent="0.15">
      <c r="A27">
        <f t="shared" ca="1" si="0"/>
        <v>163060</v>
      </c>
      <c r="B27" s="33">
        <f ca="1">SUM($E$7:E27,$I$7:I27,$M$7:M27,$Q$7:Q27,$U$7:U27,$Y$7:Y27,$AC$7:AC27,$AG$7:AG27,$AK$7:AK27,$AO$7:AO27)</f>
        <v>84960</v>
      </c>
      <c r="C27">
        <v>21</v>
      </c>
      <c r="D27">
        <f t="array" aca="1" ref="D27" ca="1">IFERROR(VLOOKUP($D$5&amp;C27,CHOOSE({1,2},D_技能表!$C$2:$C$1210&amp;D_技能表!$E$2:$E$1210,D_技能表!$I$2:$I$1210),2,FALSE),0)</f>
        <v>12</v>
      </c>
      <c r="E27">
        <f t="array" aca="1" ref="E27" ca="1">IFERROR(VLOOKUP($D$5&amp;$C27,CHOOSE({1,2},D_技能表!$C$2:$C$1210&amp;D_技能表!$E$2:$E$1210,D_技能表!$N$2:$N$1210),2,FALSE),0)</f>
        <v>3780</v>
      </c>
      <c r="F27">
        <f t="array" aca="1" ref="F27" ca="1">IFERROR(VLOOKUP($D$5&amp;$C27,CHOOSE({1,2},D_技能表!$C$2:$C$1210&amp;D_技能表!$E$2:$E$1210,D_技能表!$W$2:$W$1210),2,FALSE),0)</f>
        <v>18</v>
      </c>
      <c r="G27">
        <f t="array" aca="1" ref="G27" ca="1">IFERROR(VLOOKUP($D$5&amp;$C27,CHOOSE({1,2},D_技能表!$C$2:$C$1210&amp;D_技能表!$E$2:$E$1210,D_技能表!$Z$2:$Z$1210),2,FALSE),0)</f>
        <v>0</v>
      </c>
      <c r="H27">
        <f t="array" aca="1" ref="H27" ca="1">IFERROR(VLOOKUP($H$5&amp;$C27,CHOOSE({1,2},D_技能表!$C$2:$C$1210&amp;D_技能表!$E$2:$E$1210,D_技能表!$I$2:$I$1210),2,FALSE),0)</f>
        <v>11</v>
      </c>
      <c r="I27">
        <f t="array" aca="1" ref="I27" ca="1">IFERROR(VLOOKUP($H$5&amp;$C27,CHOOSE({1,2},D_技能表!$C$2:$C$1210&amp;D_技能表!$E$2:$E$1210,D_技能表!$N$2:$N$1210),2,FALSE),0)</f>
        <v>1470</v>
      </c>
      <c r="J27">
        <f t="array" aca="1" ref="J27" ca="1">IFERROR(VLOOKUP($H$5&amp;$C27,CHOOSE({1,2},D_技能表!$C$2:$C$1210&amp;D_技能表!$E$2:$E$1210,D_技能表!$W$2:$W$1210),2,FALSE),0)</f>
        <v>7</v>
      </c>
      <c r="K27">
        <f t="array" aca="1" ref="K27" ca="1">IFERROR(VLOOKUP($H$5&amp;$C27,CHOOSE({1,2},D_技能表!$C$2:$C$1210&amp;D_技能表!$E$2:$E$1210,D_技能表!$Z$2:$Z$1210),2,FALSE),0)</f>
        <v>0</v>
      </c>
      <c r="L27">
        <f t="array" aca="1" ref="L27" ca="1">IFERROR(VLOOKUP($L$5&amp;$C27,CHOOSE({1,2},D_技能表!$C$2:$C$1210&amp;D_技能表!$E$2:$E$1210,D_技能表!$I$2:$I$1210),2,FALSE),0)</f>
        <v>11</v>
      </c>
      <c r="M27">
        <f t="array" aca="1" ref="M27" ca="1">IFERROR(VLOOKUP($L$5&amp;$C27,CHOOSE({1,2},D_技能表!$C$2:$C$1210&amp;D_技能表!$E$2:$E$1210,D_技能表!$N$2:$N$1210),2,FALSE),0)</f>
        <v>1470</v>
      </c>
      <c r="N27">
        <f t="array" aca="1" ref="N27" ca="1">IFERROR(VLOOKUP($L$5&amp;$C27,CHOOSE({1,2},D_技能表!$C$2:$C$1210&amp;D_技能表!$E$2:$E$1210,D_技能表!$W$2:$W$1210),2,FALSE),0)</f>
        <v>7</v>
      </c>
      <c r="O27">
        <f t="array" aca="1" ref="O27" ca="1">IFERROR(VLOOKUP($L$5&amp;$C27,CHOOSE({1,2},D_技能表!$C$2:$C$1210&amp;D_技能表!$E$2:$E$1210,D_技能表!$Z$2:$Z$1210),2,FALSE),0)</f>
        <v>0</v>
      </c>
      <c r="P27">
        <f t="array" aca="1" ref="P27" ca="1">IFERROR(VLOOKUP($P$5&amp;$C27,CHOOSE({1,2},D_技能表!$C$2:$C$1210&amp;D_技能表!$E$2:$E$1210,D_技能表!$I$2:$I$1210),2,FALSE),0)</f>
        <v>0</v>
      </c>
      <c r="Q27">
        <f t="array" aca="1" ref="Q27" ca="1">IFERROR(VLOOKUP($P$5&amp;$C27,CHOOSE({1,2},D_技能表!$C$2:$C$1210&amp;D_技能表!$E$2:$E$1210,D_技能表!$N$2:$N$1210),2,FALSE),0)</f>
        <v>0</v>
      </c>
      <c r="R27">
        <f t="array" aca="1" ref="R27" ca="1">IFERROR(VLOOKUP($P$5&amp;$C27,CHOOSE({1,2},D_技能表!$C$2:$C$1210&amp;D_技能表!$E$2:$E$1210,D_技能表!$W$2:$W$1210),2,FALSE),0)</f>
        <v>0</v>
      </c>
      <c r="S27">
        <f t="array" aca="1" ref="S27" ca="1">IFERROR(VLOOKUP($P$5&amp;$C27,CHOOSE({1,2},D_技能表!$C$2:$C$1210&amp;D_技能表!$E$2:$E$1210,D_技能表!$Z$2:$Z$1210),2,FALSE),0)</f>
        <v>0</v>
      </c>
      <c r="T27">
        <f t="array" aca="1" ref="T27" ca="1">IFERROR(VLOOKUP($T$5&amp;$C27,CHOOSE({1,2},D_技能表!$C$2:$C$1210&amp;D_技能表!$E$2:$E$1210,D_技能表!$I$2:$I$1210),2,FALSE),0)</f>
        <v>0</v>
      </c>
      <c r="U27">
        <f t="array" aca="1" ref="U27" ca="1">IFERROR(VLOOKUP($T$5&amp;$C27,CHOOSE({1,2},D_技能表!$C$2:$C$1210&amp;D_技能表!$E$2:$E$1210,D_技能表!$N$2:$N$1210),2,FALSE),0)</f>
        <v>0</v>
      </c>
      <c r="V27">
        <f t="array" aca="1" ref="V27" ca="1">IFERROR(VLOOKUP($T$5&amp;$C27,CHOOSE({1,2},D_技能表!$C$2:$C$1210&amp;D_技能表!$E$2:$E$1210,D_技能表!$W$2:$W$1210),2,FALSE),0)</f>
        <v>0</v>
      </c>
      <c r="W27">
        <f t="array" aca="1" ref="W27" ca="1">IFERROR(VLOOKUP($T$5&amp;$C27,CHOOSE({1,2},D_技能表!$C$2:$C$1210&amp;D_技能表!$E$2:$E$1210,D_技能表!$Z$2:$Z$1210),2,FALSE),0)</f>
        <v>0</v>
      </c>
      <c r="X27">
        <f t="array" aca="1" ref="X27" ca="1">IFERROR(VLOOKUP($X$5&amp;$C27,CHOOSE({1,2},D_技能表!$C$2:$C$1210&amp;D_技能表!$E$2:$E$1210,D_技能表!$I$2:$I$1210),2,FALSE),0)</f>
        <v>0</v>
      </c>
      <c r="Y27">
        <f t="array" aca="1" ref="Y27" ca="1">IFERROR(VLOOKUP($X$5&amp;$C27,CHOOSE({1,2},D_技能表!$C$2:$C$1210&amp;D_技能表!$E$2:$E$1210,D_技能表!$N$2:$N$1210),2,FALSE),0)</f>
        <v>0</v>
      </c>
      <c r="Z27">
        <f t="array" aca="1" ref="Z27" ca="1">IFERROR(VLOOKUP($X$5&amp;$C27,CHOOSE({1,2},D_技能表!$C$2:$C$1210&amp;D_技能表!$E$2:$E$1210,D_技能表!$W$2:$W$1210),2,FALSE),0)</f>
        <v>0</v>
      </c>
      <c r="AA27">
        <f t="array" aca="1" ref="AA27" ca="1">IFERROR(VLOOKUP($X$5&amp;$C27,CHOOSE({1,2},D_技能表!$C$2:$C$1210&amp;D_技能表!$E$2:$E$1210,D_技能表!$Z$2:$Z$1210),2,FALSE),0)</f>
        <v>0</v>
      </c>
      <c r="AB27">
        <f t="array" aca="1" ref="AB27" ca="1">IFERROR(VLOOKUP($AB$5&amp;$C27,CHOOSE({1,2},D_技能表!$C$2:$C$1210&amp;D_技能表!$E$2:$E$1210,D_技能表!$I$2:$I$1210),2,FALSE),0)</f>
        <v>10</v>
      </c>
      <c r="AC27">
        <f t="array" aca="1" ref="AC27" ca="1">IFERROR(VLOOKUP($AB$5&amp;$C27,CHOOSE({1,2},D_技能表!$C$2:$C$1210&amp;D_技能表!$E$2:$E$1210,D_技能表!$N$2:$N$1210),2,FALSE),0)</f>
        <v>1470</v>
      </c>
      <c r="AD27">
        <f t="array" aca="1" ref="AD27" ca="1">IFERROR(VLOOKUP($AB$5&amp;$C27,CHOOSE({1,2},D_技能表!$C$2:$C$1210&amp;D_技能表!$E$2:$E$1210,D_技能表!$W$2:$W$1210),2,FALSE),0)</f>
        <v>7</v>
      </c>
      <c r="AE27">
        <f t="array" aca="1" ref="AE27" ca="1">IFERROR(VLOOKUP($AB$5&amp;$C27,CHOOSE({1,2},D_技能表!$C$2:$C$1210&amp;D_技能表!$E$2:$E$1210,D_技能表!$Z$2:$Z$1210),2,FALSE),0)</f>
        <v>0</v>
      </c>
      <c r="AF27">
        <f t="array" aca="1" ref="AF27" ca="1">IFERROR(VLOOKUP($AF$5&amp;$C27,CHOOSE({1,2},D_技能表!$C$2:$C$1210&amp;D_技能表!$E$2:$E$1210,D_技能表!$I$2:$I$1210),2,FALSE),0)</f>
        <v>9</v>
      </c>
      <c r="AG27">
        <f t="array" aca="1" ref="AG27" ca="1">IFERROR(VLOOKUP($AF$5&amp;$C27,CHOOSE({1,2},D_技能表!$C$2:$C$1210&amp;D_技能表!$E$2:$E$1210,D_技能表!$N$2:$N$1210),2,FALSE),0)</f>
        <v>1260</v>
      </c>
      <c r="AH27">
        <f t="array" aca="1" ref="AH27" ca="1">IFERROR(VLOOKUP($AF$5&amp;$C27,CHOOSE({1,2},D_技能表!$C$2:$C$1210&amp;D_技能表!$E$2:$E$1210,D_技能表!$W$2:$W$1210),2,FALSE),0)</f>
        <v>6</v>
      </c>
      <c r="AI27">
        <f t="array" aca="1" ref="AI27" ca="1">IFERROR(VLOOKUP($AF$5&amp;$C27,CHOOSE({1,2},D_技能表!$C$2:$C$1210&amp;D_技能表!$E$2:$E$1210,D_技能表!$Z$2:$Z$1210),2,FALSE),0)</f>
        <v>0</v>
      </c>
      <c r="AJ27">
        <f t="array" aca="1" ref="AJ27" ca="1">IFERROR(VLOOKUP($AJ$5&amp;$C27,CHOOSE({1,2},D_技能表!$C$2:$C$1210&amp;D_技能表!$E$2:$E$1210,D_技能表!$I$2:$I$1210),2,FALSE),0)</f>
        <v>8</v>
      </c>
      <c r="AK27">
        <f t="array" aca="1" ref="AK27" ca="1">IFERROR(VLOOKUP($AJ$5&amp;$C27,CHOOSE({1,2},D_技能表!$C$2:$C$1210&amp;D_技能表!$E$2:$E$1210,D_技能表!$N$2:$N$1210),2,FALSE),0)</f>
        <v>1260</v>
      </c>
      <c r="AL27">
        <f t="array" aca="1" ref="AL27" ca="1">IFERROR(VLOOKUP($AJ$5&amp;$C27,CHOOSE({1,2},D_技能表!$C$2:$C$1210&amp;D_技能表!$E$2:$E$1210,D_技能表!$W$2:$W$1210),2,FALSE),0)</f>
        <v>6</v>
      </c>
      <c r="AM27">
        <f t="array" aca="1" ref="AM27" ca="1">IFERROR(VLOOKUP($AJ$5&amp;$C27,CHOOSE({1,2},D_技能表!$C$2:$C$1210&amp;D_技能表!$E$2:$E$1210,D_技能表!$Z$2:$Z$1210),2,FALSE),0)</f>
        <v>0</v>
      </c>
      <c r="AN27">
        <f t="array" aca="1" ref="AN27" ca="1">IFERROR(VLOOKUP($AN$5&amp;$C27,CHOOSE({1,2},D_技能表!$C$2:$C$1210&amp;D_技能表!$E$2:$E$1210,D_技能表!$I$2:$I$1210),2,FALSE),0)</f>
        <v>0</v>
      </c>
      <c r="AO27">
        <f t="array" aca="1" ref="AO27" ca="1">IFERROR(VLOOKUP($AN$5&amp;$C27,CHOOSE({1,2},D_技能表!$C$2:$C$1210&amp;D_技能表!$E$2:$E$1210,D_技能表!$N$2:$N$1210),2,FALSE),0)</f>
        <v>0</v>
      </c>
      <c r="AP27">
        <f t="array" aca="1" ref="AP27" ca="1">IFERROR(VLOOKUP($AN$5&amp;$C27,CHOOSE({1,2},D_技能表!$C$2:$C$1210&amp;D_技能表!$E$2:$E$1210,D_技能表!$W$2:$W$1210),2,FALSE),0)</f>
        <v>0</v>
      </c>
      <c r="AQ27">
        <f t="array" aca="1" ref="AQ27" ca="1">IFERROR(VLOOKUP($AN$5&amp;$C27,CHOOSE({1,2},D_技能表!$C$2:$C$1210&amp;D_技能表!$E$2:$E$1210,D_技能表!$Z$2:$Z$1210),2,FALSE),0)</f>
        <v>0</v>
      </c>
      <c r="AR27" s="11">
        <f ca="1">SUM($G$7:G28,$K$7:K28,$O$7:O28,$S$7:S28,$W$7:W28,$AA$7:AA28,$AE$7:AE28,$AI$7:AI28,$AM$7:AM28,$AQ$7:AQ28)</f>
        <v>0</v>
      </c>
      <c r="AS27">
        <f ca="1">SUM($F$7:F28,$J$7:J28,$N$7:N28,$R$7:R28,$V$7:V28,$Z$7:Z28,$AD$7:AD28,$AH$7:AH28,$AL$7:AL28,$AP$7:AP28)</f>
        <v>692</v>
      </c>
      <c r="AT27">
        <f t="shared" ca="1" si="1"/>
        <v>51</v>
      </c>
      <c r="AU27" s="33">
        <f ca="1">SUM($AX$7:AX27,$BB$7:BB27,$BF$7:BF27,$BJ$7:BJ27)</f>
        <v>78100</v>
      </c>
      <c r="AV27">
        <v>21</v>
      </c>
      <c r="AW27">
        <f t="array" ref="AW27">IFERROR(VLOOKUP(AW$5&amp;$AV27,CHOOSE({1,2},D_技能表CD!$C$2:$C$313&amp;D_技能表CD!$E$2:$E$313,D_技能表CD!$I$2:$I$313),2,FALSE),0)</f>
        <v>0</v>
      </c>
      <c r="AX27">
        <f t="array" aca="1" ref="AX27" ca="1">IFERROR(VLOOKUP(AW$5&amp;$AV27,CHOOSE({1,2},D_技能表CD!$C$2:$C$313&amp;D_技能表CD!$E$2:$E$313,D_技能表CD!$H$2:$H$313),2,FALSE),0)</f>
        <v>0</v>
      </c>
      <c r="AY27">
        <f t="array" aca="1" ref="AY27" ca="1">IFERROR(VLOOKUP(AW$5&amp;$AV27,CHOOSE({1,2},D_技能表CD!$C$2:$C$313&amp;D_技能表CD!$E$2:$E$313,D_技能表CD!$L$2:$L$313),2,FALSE),0)</f>
        <v>0</v>
      </c>
      <c r="AZ27">
        <f t="array" aca="1" ref="AZ27" ca="1">IFERROR(VLOOKUP(AW$5&amp;$AV27,CHOOSE({1,2},D_技能表CD!$C$2:$C$313&amp;D_技能表CD!$E$2:$E$313,D_技能表CD!$K$2:$K$313),2,FALSE),0)</f>
        <v>0</v>
      </c>
      <c r="BA27">
        <f t="array" ref="BA27">IFERROR(VLOOKUP(BA$5&amp;$AV27,CHOOSE({1,2},D_技能表CD!$C$2:$C$313&amp;D_技能表CD!$E$2:$E$313,D_技能表CD!$I$2:$I$313),2,FALSE),0)</f>
        <v>7</v>
      </c>
      <c r="BB27">
        <f t="array" aca="1" ref="BB27" ca="1">IFERROR(VLOOKUP(BA$5&amp;$AV27,CHOOSE({1,2},D_技能表CD!$C$2:$C$313&amp;D_技能表CD!$E$2:$E$313,D_技能表CD!$H$2:$H$313),2,FALSE),0)</f>
        <v>10250</v>
      </c>
      <c r="BC27">
        <f t="array" aca="1" ref="BC27" ca="1">IFERROR(VLOOKUP(BA$5&amp;$AV27,CHOOSE({1,2},D_技能表CD!$C$2:$C$313&amp;D_技能表CD!$E$2:$E$313,D_技能表CD!$L$2:$L$313),2,FALSE),0)</f>
        <v>48</v>
      </c>
      <c r="BD27">
        <f t="array" aca="1" ref="BD27" ca="1">IFERROR(VLOOKUP(BA$5&amp;$AV27,CHOOSE({1,2},D_技能表CD!$C$2:$C$313&amp;D_技能表CD!$E$2:$E$313,D_技能表CD!$K$2:$K$313),2,FALSE),0)</f>
        <v>21</v>
      </c>
      <c r="BE27">
        <f t="array" ref="BE27">IFERROR(VLOOKUP(BE$5&amp;$AV27,CHOOSE({1,2},D_技能表CD!$C$2:$C$313&amp;D_技能表CD!$E$2:$E$313,D_技能表CD!$I$2:$I$313),2,FALSE),0)</f>
        <v>0</v>
      </c>
      <c r="BF27">
        <f t="array" aca="1" ref="BF27" ca="1">IFERROR(VLOOKUP(BE$5&amp;$AV27,CHOOSE({1,2},D_技能表CD!$C$2:$C$313&amp;D_技能表CD!$E$2:$E$313,D_技能表CD!$H$2:$H$313),2,FALSE),0)</f>
        <v>0</v>
      </c>
      <c r="BG27">
        <f t="array" aca="1" ref="BG27" ca="1">IFERROR(VLOOKUP(BE$5&amp;$AV27,CHOOSE({1,2},D_技能表CD!$C$2:$C$313&amp;D_技能表CD!$E$2:$E$313,D_技能表CD!$L$2:$L$313),2,FALSE),0)</f>
        <v>0</v>
      </c>
      <c r="BH27">
        <f t="array" aca="1" ref="BH27" ca="1">IFERROR(VLOOKUP(BE$5&amp;$AV27,CHOOSE({1,2},D_技能表CD!$C$2:$C$313&amp;D_技能表CD!$E$2:$E$313,D_技能表CD!$K$2:$K$313),2,FALSE),0)</f>
        <v>0</v>
      </c>
      <c r="BI27">
        <f t="array" ref="BI27">IFERROR(VLOOKUP(BI$5&amp;$AV27,CHOOSE({1,2},D_技能表CD!$C$2:$C$313&amp;D_技能表CD!$E$2:$E$313,D_技能表CD!$I$2:$I$313),2,FALSE),0)</f>
        <v>0</v>
      </c>
      <c r="BJ27">
        <f t="array" aca="1" ref="BJ27" ca="1">IFERROR(VLOOKUP(BI$5&amp;$AV27,CHOOSE({1,2},D_技能表CD!$C$2:$C$313&amp;D_技能表CD!$E$2:$E$313,D_技能表CD!$H$2:$H$313),2,FALSE),0)</f>
        <v>0</v>
      </c>
      <c r="BK27">
        <f t="array" aca="1" ref="BK27" ca="1">IFERROR(VLOOKUP(BI$5&amp;$AV27,CHOOSE({1,2},D_技能表CD!$C$2:$C$313&amp;D_技能表CD!$E$2:$E$313,D_技能表CD!$L$2:$L$313),2,FALSE),0)</f>
        <v>0</v>
      </c>
      <c r="BL27">
        <f t="array" aca="1" ref="BL27" ca="1">IFERROR(VLOOKUP(BI$5&amp;$AV27,CHOOSE({1,2},D_技能表CD!$C$2:$C$313&amp;D_技能表CD!$E$2:$E$313,D_技能表CD!$K$2:$K$313),2,FALSE),0)</f>
        <v>0</v>
      </c>
    </row>
    <row r="28" spans="1:64" x14ac:dyDescent="0.15">
      <c r="A28">
        <f t="shared" ca="1" si="0"/>
        <v>196348</v>
      </c>
      <c r="B28" s="33">
        <f ca="1">SUM($E$7:E28,$I$7:I28,$M$7:M28,$Q$7:Q28,$U$7:U28,$Y$7:Y28,$AC$7:AC28,$AG$7:AG28,$AK$7:AK28,$AO$7:AO28)</f>
        <v>106948</v>
      </c>
      <c r="C28">
        <v>22</v>
      </c>
      <c r="D28">
        <f t="array" aca="1" ref="D28" ca="1">IFERROR(VLOOKUP($D$5&amp;C28,CHOOSE({1,2},D_技能表!$C$2:$C$1210&amp;D_技能表!$E$2:$E$1210,D_技能表!$I$2:$I$1210),2,FALSE),0)</f>
        <v>13</v>
      </c>
      <c r="E28">
        <f t="array" aca="1" ref="E28" ca="1">IFERROR(VLOOKUP($D$5&amp;$C28,CHOOSE({1,2},D_技能表!$C$2:$C$1210&amp;D_技能表!$E$2:$E$1210,D_技能表!$N$2:$N$1210),2,FALSE),0)</f>
        <v>4541</v>
      </c>
      <c r="F28">
        <f t="array" aca="1" ref="F28" ca="1">IFERROR(VLOOKUP($D$5&amp;$C28,CHOOSE({1,2},D_技能表!$C$2:$C$1210&amp;D_技能表!$E$2:$E$1210,D_技能表!$W$2:$W$1210),2,FALSE),0)</f>
        <v>19</v>
      </c>
      <c r="G28">
        <f t="array" aca="1" ref="G28" ca="1">IFERROR(VLOOKUP($D$5&amp;$C28,CHOOSE({1,2},D_技能表!$C$2:$C$1210&amp;D_技能表!$E$2:$E$1210,D_技能表!$Z$2:$Z$1210),2,FALSE),0)</f>
        <v>0</v>
      </c>
      <c r="H28">
        <f t="array" aca="1" ref="H28" ca="1">IFERROR(VLOOKUP($H$5&amp;$C28,CHOOSE({1,2},D_技能表!$C$2:$C$1210&amp;D_技能表!$E$2:$E$1210,D_技能表!$I$2:$I$1210),2,FALSE),0)</f>
        <v>12</v>
      </c>
      <c r="I28">
        <f t="array" aca="1" ref="I28" ca="1">IFERROR(VLOOKUP($H$5&amp;$C28,CHOOSE({1,2},D_技能表!$C$2:$C$1210&amp;D_技能表!$E$2:$E$1210,D_技能表!$N$2:$N$1210),2,FALSE),0)</f>
        <v>1912</v>
      </c>
      <c r="J28">
        <f t="array" aca="1" ref="J28" ca="1">IFERROR(VLOOKUP($H$5&amp;$C28,CHOOSE({1,2},D_技能表!$C$2:$C$1210&amp;D_技能表!$E$2:$E$1210,D_技能表!$W$2:$W$1210),2,FALSE),0)</f>
        <v>8</v>
      </c>
      <c r="K28">
        <f t="array" aca="1" ref="K28" ca="1">IFERROR(VLOOKUP($H$5&amp;$C28,CHOOSE({1,2},D_技能表!$C$2:$C$1210&amp;D_技能表!$E$2:$E$1210,D_技能表!$Z$2:$Z$1210),2,FALSE),0)</f>
        <v>0</v>
      </c>
      <c r="L28">
        <f t="array" aca="1" ref="L28" ca="1">IFERROR(VLOOKUP($L$5&amp;$C28,CHOOSE({1,2},D_技能表!$C$2:$C$1210&amp;D_技能表!$E$2:$E$1210,D_技能表!$I$2:$I$1210),2,FALSE),0)</f>
        <v>12</v>
      </c>
      <c r="M28">
        <f t="array" aca="1" ref="M28" ca="1">IFERROR(VLOOKUP($L$5&amp;$C28,CHOOSE({1,2},D_技能表!$C$2:$C$1210&amp;D_技能表!$E$2:$E$1210,D_技能表!$N$2:$N$1210),2,FALSE),0)</f>
        <v>1912</v>
      </c>
      <c r="N28">
        <f t="array" aca="1" ref="N28" ca="1">IFERROR(VLOOKUP($L$5&amp;$C28,CHOOSE({1,2},D_技能表!$C$2:$C$1210&amp;D_技能表!$E$2:$E$1210,D_技能表!$W$2:$W$1210),2,FALSE),0)</f>
        <v>8</v>
      </c>
      <c r="O28">
        <f t="array" aca="1" ref="O28" ca="1">IFERROR(VLOOKUP($L$5&amp;$C28,CHOOSE({1,2},D_技能表!$C$2:$C$1210&amp;D_技能表!$E$2:$E$1210,D_技能表!$Z$2:$Z$1210),2,FALSE),0)</f>
        <v>0</v>
      </c>
      <c r="P28">
        <f t="array" aca="1" ref="P28" ca="1">IFERROR(VLOOKUP($P$5&amp;$C28,CHOOSE({1,2},D_技能表!$C$2:$C$1210&amp;D_技能表!$E$2:$E$1210,D_技能表!$I$2:$I$1210),2,FALSE),0)</f>
        <v>10</v>
      </c>
      <c r="Q28">
        <f t="array" aca="1" ref="Q28" ca="1">IFERROR(VLOOKUP($P$5&amp;$C28,CHOOSE({1,2},D_技能表!$C$2:$C$1210&amp;D_技能表!$E$2:$E$1210,D_技能表!$N$2:$N$1210),2,FALSE),0)</f>
        <v>1673</v>
      </c>
      <c r="R28">
        <f t="array" aca="1" ref="R28" ca="1">IFERROR(VLOOKUP($P$5&amp;$C28,CHOOSE({1,2},D_技能表!$C$2:$C$1210&amp;D_技能表!$E$2:$E$1210,D_技能表!$W$2:$W$1210),2,FALSE),0)</f>
        <v>7</v>
      </c>
      <c r="S28">
        <f t="array" aca="1" ref="S28" ca="1">IFERROR(VLOOKUP($P$5&amp;$C28,CHOOSE({1,2},D_技能表!$C$2:$C$1210&amp;D_技能表!$E$2:$E$1210,D_技能表!$Z$2:$Z$1210),2,FALSE),0)</f>
        <v>0</v>
      </c>
      <c r="T28">
        <f t="array" aca="1" ref="T28" ca="1">IFERROR(VLOOKUP($T$5&amp;$C28,CHOOSE({1,2},D_技能表!$C$2:$C$1210&amp;D_技能表!$E$2:$E$1210,D_技能表!$I$2:$I$1210),2,FALSE),0)</f>
        <v>9</v>
      </c>
      <c r="U28">
        <f t="array" aca="1" ref="U28" ca="1">IFERROR(VLOOKUP($T$5&amp;$C28,CHOOSE({1,2},D_技能表!$C$2:$C$1210&amp;D_技能表!$E$2:$E$1210,D_技能表!$N$2:$N$1210),2,FALSE),0)</f>
        <v>2629</v>
      </c>
      <c r="V28">
        <f t="array" aca="1" ref="V28" ca="1">IFERROR(VLOOKUP($T$5&amp;$C28,CHOOSE({1,2},D_技能表!$C$2:$C$1210&amp;D_技能表!$E$2:$E$1210,D_技能表!$W$2:$W$1210),2,FALSE),0)</f>
        <v>11</v>
      </c>
      <c r="W28">
        <f t="array" aca="1" ref="W28" ca="1">IFERROR(VLOOKUP($T$5&amp;$C28,CHOOSE({1,2},D_技能表!$C$2:$C$1210&amp;D_技能表!$E$2:$E$1210,D_技能表!$Z$2:$Z$1210),2,FALSE),0)</f>
        <v>0</v>
      </c>
      <c r="X28">
        <f t="array" aca="1" ref="X28" ca="1">IFERROR(VLOOKUP($X$5&amp;$C28,CHOOSE({1,2},D_技能表!$C$2:$C$1210&amp;D_技能表!$E$2:$E$1210,D_技能表!$I$2:$I$1210),2,FALSE),0)</f>
        <v>11</v>
      </c>
      <c r="Y28">
        <f t="array" aca="1" ref="Y28" ca="1">IFERROR(VLOOKUP($X$5&amp;$C28,CHOOSE({1,2},D_技能表!$C$2:$C$1210&amp;D_技能表!$E$2:$E$1210,D_技能表!$N$2:$N$1210),2,FALSE),0)</f>
        <v>3824</v>
      </c>
      <c r="Z28">
        <f t="array" aca="1" ref="Z28" ca="1">IFERROR(VLOOKUP($X$5&amp;$C28,CHOOSE({1,2},D_技能表!$C$2:$C$1210&amp;D_技能表!$E$2:$E$1210,D_技能表!$W$2:$W$1210),2,FALSE),0)</f>
        <v>16</v>
      </c>
      <c r="AA28">
        <f t="array" aca="1" ref="AA28" ca="1">IFERROR(VLOOKUP($X$5&amp;$C28,CHOOSE({1,2},D_技能表!$C$2:$C$1210&amp;D_技能表!$E$2:$E$1210,D_技能表!$Z$2:$Z$1210),2,FALSE),0)</f>
        <v>0</v>
      </c>
      <c r="AB28">
        <f t="array" aca="1" ref="AB28" ca="1">IFERROR(VLOOKUP($AB$5&amp;$C28,CHOOSE({1,2},D_技能表!$C$2:$C$1210&amp;D_技能表!$E$2:$E$1210,D_技能表!$I$2:$I$1210),2,FALSE),0)</f>
        <v>11</v>
      </c>
      <c r="AC28">
        <f t="array" aca="1" ref="AC28" ca="1">IFERROR(VLOOKUP($AB$5&amp;$C28,CHOOSE({1,2},D_技能表!$C$2:$C$1210&amp;D_技能表!$E$2:$E$1210,D_技能表!$N$2:$N$1210),2,FALSE),0)</f>
        <v>1912</v>
      </c>
      <c r="AD28">
        <f t="array" aca="1" ref="AD28" ca="1">IFERROR(VLOOKUP($AB$5&amp;$C28,CHOOSE({1,2},D_技能表!$C$2:$C$1210&amp;D_技能表!$E$2:$E$1210,D_技能表!$W$2:$W$1210),2,FALSE),0)</f>
        <v>8</v>
      </c>
      <c r="AE28">
        <f t="array" aca="1" ref="AE28" ca="1">IFERROR(VLOOKUP($AB$5&amp;$C28,CHOOSE({1,2},D_技能表!$C$2:$C$1210&amp;D_技能表!$E$2:$E$1210,D_技能表!$Z$2:$Z$1210),2,FALSE),0)</f>
        <v>0</v>
      </c>
      <c r="AF28">
        <f t="array" aca="1" ref="AF28" ca="1">IFERROR(VLOOKUP($AF$5&amp;$C28,CHOOSE({1,2},D_技能表!$C$2:$C$1210&amp;D_技能表!$E$2:$E$1210,D_技能表!$I$2:$I$1210),2,FALSE),0)</f>
        <v>10</v>
      </c>
      <c r="AG28">
        <f t="array" aca="1" ref="AG28" ca="1">IFERROR(VLOOKUP($AF$5&amp;$C28,CHOOSE({1,2},D_技能表!$C$2:$C$1210&amp;D_技能表!$E$2:$E$1210,D_技能表!$N$2:$N$1210),2,FALSE),0)</f>
        <v>1434</v>
      </c>
      <c r="AH28">
        <f t="array" aca="1" ref="AH28" ca="1">IFERROR(VLOOKUP($AF$5&amp;$C28,CHOOSE({1,2},D_技能表!$C$2:$C$1210&amp;D_技能表!$E$2:$E$1210,D_技能表!$W$2:$W$1210),2,FALSE),0)</f>
        <v>6</v>
      </c>
      <c r="AI28">
        <f t="array" aca="1" ref="AI28" ca="1">IFERROR(VLOOKUP($AF$5&amp;$C28,CHOOSE({1,2},D_技能表!$C$2:$C$1210&amp;D_技能表!$E$2:$E$1210,D_技能表!$Z$2:$Z$1210),2,FALSE),0)</f>
        <v>0</v>
      </c>
      <c r="AJ28">
        <f t="array" aca="1" ref="AJ28" ca="1">IFERROR(VLOOKUP($AJ$5&amp;$C28,CHOOSE({1,2},D_技能表!$C$2:$C$1210&amp;D_技能表!$E$2:$E$1210,D_技能表!$I$2:$I$1210),2,FALSE),0)</f>
        <v>0</v>
      </c>
      <c r="AK28">
        <f t="array" aca="1" ref="AK28" ca="1">IFERROR(VLOOKUP($AJ$5&amp;$C28,CHOOSE({1,2},D_技能表!$C$2:$C$1210&amp;D_技能表!$E$2:$E$1210,D_技能表!$N$2:$N$1210),2,FALSE),0)</f>
        <v>0</v>
      </c>
      <c r="AL28">
        <f t="array" aca="1" ref="AL28" ca="1">IFERROR(VLOOKUP($AJ$5&amp;$C28,CHOOSE({1,2},D_技能表!$C$2:$C$1210&amp;D_技能表!$E$2:$E$1210,D_技能表!$W$2:$W$1210),2,FALSE),0)</f>
        <v>0</v>
      </c>
      <c r="AM28">
        <f t="array" aca="1" ref="AM28" ca="1">IFERROR(VLOOKUP($AJ$5&amp;$C28,CHOOSE({1,2},D_技能表!$C$2:$C$1210&amp;D_技能表!$E$2:$E$1210,D_技能表!$Z$2:$Z$1210),2,FALSE),0)</f>
        <v>0</v>
      </c>
      <c r="AN28">
        <f t="array" aca="1" ref="AN28" ca="1">IFERROR(VLOOKUP($AN$5&amp;$C28,CHOOSE({1,2},D_技能表!$C$2:$C$1210&amp;D_技能表!$E$2:$E$1210,D_技能表!$I$2:$I$1210),2,FALSE),0)</f>
        <v>7</v>
      </c>
      <c r="AO28">
        <f t="array" aca="1" ref="AO28" ca="1">IFERROR(VLOOKUP($AN$5&amp;$C28,CHOOSE({1,2},D_技能表!$C$2:$C$1210&amp;D_技能表!$E$2:$E$1210,D_技能表!$N$2:$N$1210),2,FALSE),0)</f>
        <v>2151</v>
      </c>
      <c r="AP28">
        <f t="array" aca="1" ref="AP28" ca="1">IFERROR(VLOOKUP($AN$5&amp;$C28,CHOOSE({1,2},D_技能表!$C$2:$C$1210&amp;D_技能表!$E$2:$E$1210,D_技能表!$W$2:$W$1210),2,FALSE),0)</f>
        <v>9</v>
      </c>
      <c r="AQ28">
        <f t="array" aca="1" ref="AQ28" ca="1">IFERROR(VLOOKUP($AN$5&amp;$C28,CHOOSE({1,2},D_技能表!$C$2:$C$1210&amp;D_技能表!$E$2:$E$1210,D_技能表!$Z$2:$Z$1210),2,FALSE),0)</f>
        <v>0</v>
      </c>
      <c r="AR28" s="11">
        <f ca="1">SUM($G$7:G29,$K$7:K29,$O$7:O29,$S$7:S29,$W$7:W29,$AA$7:AA29,$AE$7:AE29,$AI$7:AI29,$AM$7:AM29,$AQ$7:AQ29)</f>
        <v>0</v>
      </c>
      <c r="AS28">
        <f ca="1">SUM($F$7:F29,$J$7:J29,$N$7:N29,$R$7:R29,$V$7:V29,$Z$7:Z29,$AD$7:AD29,$AH$7:AH29,$AL$7:AL29,$AP$7:AP29)</f>
        <v>743</v>
      </c>
      <c r="AT28">
        <f t="shared" ca="1" si="1"/>
        <v>92</v>
      </c>
      <c r="AU28" s="33">
        <f ca="1">SUM($AX$7:AX28,$BB$7:BB28,$BF$7:BF28,$BJ$7:BJ28)</f>
        <v>89400</v>
      </c>
      <c r="AV28">
        <v>22</v>
      </c>
      <c r="AW28">
        <f t="array" ref="AW28">IFERROR(VLOOKUP(AW$5&amp;$AV28,CHOOSE({1,2},D_技能表CD!$C$2:$C$313&amp;D_技能表CD!$E$2:$E$313,D_技能表CD!$I$2:$I$313),2,FALSE),0)</f>
        <v>8</v>
      </c>
      <c r="AX28">
        <f t="array" aca="1" ref="AX28" ca="1">IFERROR(VLOOKUP(AW$5&amp;$AV28,CHOOSE({1,2},D_技能表CD!$C$2:$C$313&amp;D_技能表CD!$E$2:$E$313,D_技能表CD!$H$2:$H$313),2,FALSE),0)</f>
        <v>6750</v>
      </c>
      <c r="AY28">
        <f t="array" aca="1" ref="AY28" ca="1">IFERROR(VLOOKUP(AW$5&amp;$AV28,CHOOSE({1,2},D_技能表CD!$C$2:$C$313&amp;D_技能表CD!$E$2:$E$313,D_技能表CD!$L$2:$L$313),2,FALSE),0)</f>
        <v>29</v>
      </c>
      <c r="AZ28">
        <f t="array" aca="1" ref="AZ28" ca="1">IFERROR(VLOOKUP(AW$5&amp;$AV28,CHOOSE({1,2},D_技能表CD!$C$2:$C$313&amp;D_技能表CD!$E$2:$E$313,D_技能表CD!$K$2:$K$313),2,FALSE),0)</f>
        <v>17</v>
      </c>
      <c r="BA28">
        <f t="array" ref="BA28">IFERROR(VLOOKUP(BA$5&amp;$AV28,CHOOSE({1,2},D_技能表CD!$C$2:$C$313&amp;D_技能表CD!$E$2:$E$313,D_技能表CD!$I$2:$I$313),2,FALSE),0)</f>
        <v>0</v>
      </c>
      <c r="BB28">
        <f t="array" aca="1" ref="BB28" ca="1">IFERROR(VLOOKUP(BA$5&amp;$AV28,CHOOSE({1,2},D_技能表CD!$C$2:$C$313&amp;D_技能表CD!$E$2:$E$313,D_技能表CD!$H$2:$H$313),2,FALSE),0)</f>
        <v>0</v>
      </c>
      <c r="BC28">
        <f t="array" aca="1" ref="BC28" ca="1">IFERROR(VLOOKUP(BA$5&amp;$AV28,CHOOSE({1,2},D_技能表CD!$C$2:$C$313&amp;D_技能表CD!$E$2:$E$313,D_技能表CD!$L$2:$L$313),2,FALSE),0)</f>
        <v>0</v>
      </c>
      <c r="BD28">
        <f t="array" aca="1" ref="BD28" ca="1">IFERROR(VLOOKUP(BA$5&amp;$AV28,CHOOSE({1,2},D_技能表CD!$C$2:$C$313&amp;D_技能表CD!$E$2:$E$313,D_技能表CD!$K$2:$K$313),2,FALSE),0)</f>
        <v>0</v>
      </c>
      <c r="BE28">
        <f t="array" ref="BE28">IFERROR(VLOOKUP(BE$5&amp;$AV28,CHOOSE({1,2},D_技能表CD!$C$2:$C$313&amp;D_技能表CD!$E$2:$E$313,D_技能表CD!$I$2:$I$313),2,FALSE),0)</f>
        <v>7</v>
      </c>
      <c r="BF28">
        <f t="array" aca="1" ref="BF28" ca="1">IFERROR(VLOOKUP(BE$5&amp;$AV28,CHOOSE({1,2},D_技能表CD!$C$2:$C$313&amp;D_技能表CD!$E$2:$E$313,D_技能表CD!$H$2:$H$313),2,FALSE),0)</f>
        <v>4550</v>
      </c>
      <c r="BG28">
        <f t="array" aca="1" ref="BG28" ca="1">IFERROR(VLOOKUP(BE$5&amp;$AV28,CHOOSE({1,2},D_技能表CD!$C$2:$C$313&amp;D_技能表CD!$E$2:$E$313,D_技能表CD!$L$2:$L$313),2,FALSE),0)</f>
        <v>21</v>
      </c>
      <c r="BH28">
        <f t="array" aca="1" ref="BH28" ca="1">IFERROR(VLOOKUP(BE$5&amp;$AV28,CHOOSE({1,2},D_技能表CD!$C$2:$C$313&amp;D_技能表CD!$E$2:$E$313,D_技能表CD!$K$2:$K$313),2,FALSE),0)</f>
        <v>9</v>
      </c>
      <c r="BI28">
        <f t="array" ref="BI28">IFERROR(VLOOKUP(BI$5&amp;$AV28,CHOOSE({1,2},D_技能表CD!$C$2:$C$313&amp;D_技能表CD!$E$2:$E$313,D_技能表CD!$I$2:$I$313),2,FALSE),0)</f>
        <v>0</v>
      </c>
      <c r="BJ28">
        <f t="array" aca="1" ref="BJ28" ca="1">IFERROR(VLOOKUP(BI$5&amp;$AV28,CHOOSE({1,2},D_技能表CD!$C$2:$C$313&amp;D_技能表CD!$E$2:$E$313,D_技能表CD!$H$2:$H$313),2,FALSE),0)</f>
        <v>0</v>
      </c>
      <c r="BK28">
        <f t="array" aca="1" ref="BK28" ca="1">IFERROR(VLOOKUP(BI$5&amp;$AV28,CHOOSE({1,2},D_技能表CD!$C$2:$C$313&amp;D_技能表CD!$E$2:$E$313,D_技能表CD!$L$2:$L$313),2,FALSE),0)</f>
        <v>0</v>
      </c>
      <c r="BL28">
        <f t="array" aca="1" ref="BL28" ca="1">IFERROR(VLOOKUP(BI$5&amp;$AV28,CHOOSE({1,2},D_技能表CD!$C$2:$C$313&amp;D_技能表CD!$E$2:$E$313,D_技能表CD!$K$2:$K$313),2,FALSE),0)</f>
        <v>0</v>
      </c>
    </row>
    <row r="29" spans="1:64" x14ac:dyDescent="0.15">
      <c r="A29">
        <f t="shared" ca="1" si="0"/>
        <v>220168</v>
      </c>
      <c r="B29" s="33">
        <f ca="1">SUM($E$7:E29,$I$7:I29,$M$7:M29,$Q$7:Q29,$U$7:U29,$Y$7:Y29,$AC$7:AC29,$AG$7:AG29,$AK$7:AK29,$AO$7:AO29)</f>
        <v>120718</v>
      </c>
      <c r="C29">
        <v>23</v>
      </c>
      <c r="D29">
        <f t="array" aca="1" ref="D29" ca="1">IFERROR(VLOOKUP($D$5&amp;C29,CHOOSE({1,2},D_技能表!$C$2:$C$1210&amp;D_技能表!$E$2:$E$1210,D_技能表!$I$2:$I$1210),2,FALSE),0)</f>
        <v>0</v>
      </c>
      <c r="E29">
        <f t="array" aca="1" ref="E29" ca="1">IFERROR(VLOOKUP($D$5&amp;$C29,CHOOSE({1,2},D_技能表!$C$2:$C$1210&amp;D_技能表!$E$2:$E$1210,D_技能表!$N$2:$N$1210),2,FALSE),0)</f>
        <v>0</v>
      </c>
      <c r="F29">
        <f t="array" aca="1" ref="F29" ca="1">IFERROR(VLOOKUP($D$5&amp;$C29,CHOOSE({1,2},D_技能表!$C$2:$C$1210&amp;D_技能表!$E$2:$E$1210,D_技能表!$W$2:$W$1210),2,FALSE),0)</f>
        <v>0</v>
      </c>
      <c r="G29">
        <f t="array" aca="1" ref="G29" ca="1">IFERROR(VLOOKUP($D$5&amp;$C29,CHOOSE({1,2},D_技能表!$C$2:$C$1210&amp;D_技能表!$E$2:$E$1210,D_技能表!$Z$2:$Z$1210),2,FALSE),0)</f>
        <v>0</v>
      </c>
      <c r="H29">
        <f t="array" aca="1" ref="H29" ca="1">IFERROR(VLOOKUP($H$5&amp;$C29,CHOOSE({1,2},D_技能表!$C$2:$C$1210&amp;D_技能表!$E$2:$E$1210,D_技能表!$I$2:$I$1210),2,FALSE),0)</f>
        <v>0</v>
      </c>
      <c r="I29">
        <f t="array" aca="1" ref="I29" ca="1">IFERROR(VLOOKUP($H$5&amp;$C29,CHOOSE({1,2},D_技能表!$C$2:$C$1210&amp;D_技能表!$E$2:$E$1210,D_技能表!$N$2:$N$1210),2,FALSE),0)</f>
        <v>0</v>
      </c>
      <c r="J29">
        <f t="array" aca="1" ref="J29" ca="1">IFERROR(VLOOKUP($H$5&amp;$C29,CHOOSE({1,2},D_技能表!$C$2:$C$1210&amp;D_技能表!$E$2:$E$1210,D_技能表!$W$2:$W$1210),2,FALSE),0)</f>
        <v>0</v>
      </c>
      <c r="K29">
        <f t="array" aca="1" ref="K29" ca="1">IFERROR(VLOOKUP($H$5&amp;$C29,CHOOSE({1,2},D_技能表!$C$2:$C$1210&amp;D_技能表!$E$2:$E$1210,D_技能表!$Z$2:$Z$1210),2,FALSE),0)</f>
        <v>0</v>
      </c>
      <c r="L29">
        <f t="array" aca="1" ref="L29" ca="1">IFERROR(VLOOKUP($L$5&amp;$C29,CHOOSE({1,2},D_技能表!$C$2:$C$1210&amp;D_技能表!$E$2:$E$1210,D_技能表!$I$2:$I$1210),2,FALSE),0)</f>
        <v>0</v>
      </c>
      <c r="M29">
        <f t="array" aca="1" ref="M29" ca="1">IFERROR(VLOOKUP($L$5&amp;$C29,CHOOSE({1,2},D_技能表!$C$2:$C$1210&amp;D_技能表!$E$2:$E$1210,D_技能表!$N$2:$N$1210),2,FALSE),0)</f>
        <v>0</v>
      </c>
      <c r="N29">
        <f t="array" aca="1" ref="N29" ca="1">IFERROR(VLOOKUP($L$5&amp;$C29,CHOOSE({1,2},D_技能表!$C$2:$C$1210&amp;D_技能表!$E$2:$E$1210,D_技能表!$W$2:$W$1210),2,FALSE),0)</f>
        <v>0</v>
      </c>
      <c r="O29">
        <f t="array" aca="1" ref="O29" ca="1">IFERROR(VLOOKUP($L$5&amp;$C29,CHOOSE({1,2},D_技能表!$C$2:$C$1210&amp;D_技能表!$E$2:$E$1210,D_技能表!$Z$2:$Z$1210),2,FALSE),0)</f>
        <v>0</v>
      </c>
      <c r="P29">
        <f t="array" aca="1" ref="P29" ca="1">IFERROR(VLOOKUP($P$5&amp;$C29,CHOOSE({1,2},D_技能表!$C$2:$C$1210&amp;D_技能表!$E$2:$E$1210,D_技能表!$I$2:$I$1210),2,FALSE),0)</f>
        <v>11</v>
      </c>
      <c r="Q29">
        <f t="array" aca="1" ref="Q29" ca="1">IFERROR(VLOOKUP($P$5&amp;$C29,CHOOSE({1,2},D_技能表!$C$2:$C$1210&amp;D_技能表!$E$2:$E$1210,D_技能表!$N$2:$N$1210),2,FALSE),0)</f>
        <v>1890</v>
      </c>
      <c r="R29">
        <f t="array" aca="1" ref="R29" ca="1">IFERROR(VLOOKUP($P$5&amp;$C29,CHOOSE({1,2},D_技能表!$C$2:$C$1210&amp;D_技能表!$E$2:$E$1210,D_技能表!$W$2:$W$1210),2,FALSE),0)</f>
        <v>7</v>
      </c>
      <c r="S29">
        <f t="array" aca="1" ref="S29" ca="1">IFERROR(VLOOKUP($P$5&amp;$C29,CHOOSE({1,2},D_技能表!$C$2:$C$1210&amp;D_技能表!$E$2:$E$1210,D_技能表!$Z$2:$Z$1210),2,FALSE),0)</f>
        <v>0</v>
      </c>
      <c r="T29">
        <f t="array" aca="1" ref="T29" ca="1">IFERROR(VLOOKUP($T$5&amp;$C29,CHOOSE({1,2},D_技能表!$C$2:$C$1210&amp;D_技能表!$E$2:$E$1210,D_技能表!$I$2:$I$1210),2,FALSE),0)</f>
        <v>10</v>
      </c>
      <c r="U29">
        <f t="array" aca="1" ref="U29" ca="1">IFERROR(VLOOKUP($T$5&amp;$C29,CHOOSE({1,2},D_技能表!$C$2:$C$1210&amp;D_技能表!$E$2:$E$1210,D_技能表!$N$2:$N$1210),2,FALSE),0)</f>
        <v>2970</v>
      </c>
      <c r="V29">
        <f t="array" aca="1" ref="V29" ca="1">IFERROR(VLOOKUP($T$5&amp;$C29,CHOOSE({1,2},D_技能表!$C$2:$C$1210&amp;D_技能表!$E$2:$E$1210,D_技能表!$W$2:$W$1210),2,FALSE),0)</f>
        <v>11</v>
      </c>
      <c r="W29">
        <f t="array" aca="1" ref="W29" ca="1">IFERROR(VLOOKUP($T$5&amp;$C29,CHOOSE({1,2},D_技能表!$C$2:$C$1210&amp;D_技能表!$E$2:$E$1210,D_技能表!$Z$2:$Z$1210),2,FALSE),0)</f>
        <v>0</v>
      </c>
      <c r="X29">
        <f t="array" aca="1" ref="X29" ca="1">IFERROR(VLOOKUP($X$5&amp;$C29,CHOOSE({1,2},D_技能表!$C$2:$C$1210&amp;D_技能表!$E$2:$E$1210,D_技能表!$I$2:$I$1210),2,FALSE),0)</f>
        <v>12</v>
      </c>
      <c r="Y29">
        <f t="array" aca="1" ref="Y29" ca="1">IFERROR(VLOOKUP($X$5&amp;$C29,CHOOSE({1,2},D_技能表!$C$2:$C$1210&amp;D_技能表!$E$2:$E$1210,D_技能表!$N$2:$N$1210),2,FALSE),0)</f>
        <v>4590</v>
      </c>
      <c r="Z29">
        <f t="array" aca="1" ref="Z29" ca="1">IFERROR(VLOOKUP($X$5&amp;$C29,CHOOSE({1,2},D_技能表!$C$2:$C$1210&amp;D_技能表!$E$2:$E$1210,D_技能表!$W$2:$W$1210),2,FALSE),0)</f>
        <v>17</v>
      </c>
      <c r="AA29">
        <f t="array" aca="1" ref="AA29" ca="1">IFERROR(VLOOKUP($X$5&amp;$C29,CHOOSE({1,2},D_技能表!$C$2:$C$1210&amp;D_技能表!$E$2:$E$1210,D_技能表!$Z$2:$Z$1210),2,FALSE),0)</f>
        <v>0</v>
      </c>
      <c r="AB29">
        <f t="array" aca="1" ref="AB29" ca="1">IFERROR(VLOOKUP($AB$5&amp;$C29,CHOOSE({1,2},D_技能表!$C$2:$C$1210&amp;D_技能表!$E$2:$E$1210,D_技能表!$I$2:$I$1210),2,FALSE),0)</f>
        <v>0</v>
      </c>
      <c r="AC29">
        <f t="array" aca="1" ref="AC29" ca="1">IFERROR(VLOOKUP($AB$5&amp;$C29,CHOOSE({1,2},D_技能表!$C$2:$C$1210&amp;D_技能表!$E$2:$E$1210,D_技能表!$N$2:$N$1210),2,FALSE),0)</f>
        <v>0</v>
      </c>
      <c r="AD29">
        <f t="array" aca="1" ref="AD29" ca="1">IFERROR(VLOOKUP($AB$5&amp;$C29,CHOOSE({1,2},D_技能表!$C$2:$C$1210&amp;D_技能表!$E$2:$E$1210,D_技能表!$W$2:$W$1210),2,FALSE),0)</f>
        <v>0</v>
      </c>
      <c r="AE29">
        <f t="array" aca="1" ref="AE29" ca="1">IFERROR(VLOOKUP($AB$5&amp;$C29,CHOOSE({1,2},D_技能表!$C$2:$C$1210&amp;D_技能表!$E$2:$E$1210,D_技能表!$Z$2:$Z$1210),2,FALSE),0)</f>
        <v>0</v>
      </c>
      <c r="AF29">
        <f t="array" aca="1" ref="AF29" ca="1">IFERROR(VLOOKUP($AF$5&amp;$C29,CHOOSE({1,2},D_技能表!$C$2:$C$1210&amp;D_技能表!$E$2:$E$1210,D_技能表!$I$2:$I$1210),2,FALSE),0)</f>
        <v>0</v>
      </c>
      <c r="AG29">
        <f t="array" aca="1" ref="AG29" ca="1">IFERROR(VLOOKUP($AF$5&amp;$C29,CHOOSE({1,2},D_技能表!$C$2:$C$1210&amp;D_技能表!$E$2:$E$1210,D_技能表!$N$2:$N$1210),2,FALSE),0)</f>
        <v>0</v>
      </c>
      <c r="AH29">
        <f t="array" aca="1" ref="AH29" ca="1">IFERROR(VLOOKUP($AF$5&amp;$C29,CHOOSE({1,2},D_技能表!$C$2:$C$1210&amp;D_技能表!$E$2:$E$1210,D_技能表!$W$2:$W$1210),2,FALSE),0)</f>
        <v>0</v>
      </c>
      <c r="AI29">
        <f t="array" aca="1" ref="AI29" ca="1">IFERROR(VLOOKUP($AF$5&amp;$C29,CHOOSE({1,2},D_技能表!$C$2:$C$1210&amp;D_技能表!$E$2:$E$1210,D_技能表!$Z$2:$Z$1210),2,FALSE),0)</f>
        <v>0</v>
      </c>
      <c r="AJ29">
        <f t="array" aca="1" ref="AJ29" ca="1">IFERROR(VLOOKUP($AJ$5&amp;$C29,CHOOSE({1,2},D_技能表!$C$2:$C$1210&amp;D_技能表!$E$2:$E$1210,D_技能表!$I$2:$I$1210),2,FALSE),0)</f>
        <v>9</v>
      </c>
      <c r="AK29">
        <f t="array" aca="1" ref="AK29" ca="1">IFERROR(VLOOKUP($AJ$5&amp;$C29,CHOOSE({1,2},D_技能表!$C$2:$C$1210&amp;D_技能表!$E$2:$E$1210,D_技能表!$N$2:$N$1210),2,FALSE),0)</f>
        <v>1620</v>
      </c>
      <c r="AL29">
        <f t="array" aca="1" ref="AL29" ca="1">IFERROR(VLOOKUP($AJ$5&amp;$C29,CHOOSE({1,2},D_技能表!$C$2:$C$1210&amp;D_技能表!$E$2:$E$1210,D_技能表!$W$2:$W$1210),2,FALSE),0)</f>
        <v>6</v>
      </c>
      <c r="AM29">
        <f t="array" aca="1" ref="AM29" ca="1">IFERROR(VLOOKUP($AJ$5&amp;$C29,CHOOSE({1,2},D_技能表!$C$2:$C$1210&amp;D_技能表!$E$2:$E$1210,D_技能表!$Z$2:$Z$1210),2,FALSE),0)</f>
        <v>0</v>
      </c>
      <c r="AN29">
        <f t="array" aca="1" ref="AN29" ca="1">IFERROR(VLOOKUP($AN$5&amp;$C29,CHOOSE({1,2},D_技能表!$C$2:$C$1210&amp;D_技能表!$E$2:$E$1210,D_技能表!$I$2:$I$1210),2,FALSE),0)</f>
        <v>8</v>
      </c>
      <c r="AO29">
        <f t="array" aca="1" ref="AO29" ca="1">IFERROR(VLOOKUP($AN$5&amp;$C29,CHOOSE({1,2},D_技能表!$C$2:$C$1210&amp;D_技能表!$E$2:$E$1210,D_技能表!$N$2:$N$1210),2,FALSE),0)</f>
        <v>2700</v>
      </c>
      <c r="AP29">
        <f t="array" aca="1" ref="AP29" ca="1">IFERROR(VLOOKUP($AN$5&amp;$C29,CHOOSE({1,2},D_技能表!$C$2:$C$1210&amp;D_技能表!$E$2:$E$1210,D_技能表!$W$2:$W$1210),2,FALSE),0)</f>
        <v>10</v>
      </c>
      <c r="AQ29">
        <f t="array" aca="1" ref="AQ29" ca="1">IFERROR(VLOOKUP($AN$5&amp;$C29,CHOOSE({1,2},D_技能表!$C$2:$C$1210&amp;D_技能表!$E$2:$E$1210,D_技能表!$Z$2:$Z$1210),2,FALSE),0)</f>
        <v>0</v>
      </c>
      <c r="AR29" s="11">
        <f ca="1">SUM($G$7:G30,$K$7:K30,$O$7:O30,$S$7:S30,$W$7:W30,$AA$7:AA30,$AE$7:AE30,$AI$7:AI30,$AM$7:AM30,$AQ$7:AQ30)</f>
        <v>0</v>
      </c>
      <c r="AS29">
        <f ca="1">SUM($F$7:F30,$J$7:J30,$N$7:N30,$R$7:R30,$V$7:V30,$Z$7:Z30,$AD$7:AD30,$AH$7:AH30,$AL$7:AL30,$AP$7:AP30)</f>
        <v>811</v>
      </c>
      <c r="AT29">
        <f t="shared" ca="1" si="1"/>
        <v>51</v>
      </c>
      <c r="AU29" s="33">
        <f ca="1">SUM($AX$7:AX29,$BB$7:BB29,$BF$7:BF29,$BJ$7:BJ29)</f>
        <v>99450</v>
      </c>
      <c r="AV29">
        <v>23</v>
      </c>
      <c r="AW29">
        <f t="array" ref="AW29">IFERROR(VLOOKUP(AW$5&amp;$AV29,CHOOSE({1,2},D_技能表CD!$C$2:$C$313&amp;D_技能表CD!$E$2:$E$313,D_技能表CD!$I$2:$I$313),2,FALSE),0)</f>
        <v>0</v>
      </c>
      <c r="AX29">
        <f t="array" aca="1" ref="AX29" ca="1">IFERROR(VLOOKUP(AW$5&amp;$AV29,CHOOSE({1,2},D_技能表CD!$C$2:$C$313&amp;D_技能表CD!$E$2:$E$313,D_技能表CD!$H$2:$H$313),2,FALSE),0)</f>
        <v>0</v>
      </c>
      <c r="AY29">
        <f t="array" aca="1" ref="AY29" ca="1">IFERROR(VLOOKUP(AW$5&amp;$AV29,CHOOSE({1,2},D_技能表CD!$C$2:$C$313&amp;D_技能表CD!$E$2:$E$313,D_技能表CD!$L$2:$L$313),2,FALSE),0)</f>
        <v>0</v>
      </c>
      <c r="AZ29">
        <f t="array" aca="1" ref="AZ29" ca="1">IFERROR(VLOOKUP(AW$5&amp;$AV29,CHOOSE({1,2},D_技能表CD!$C$2:$C$313&amp;D_技能表CD!$E$2:$E$313,D_技能表CD!$K$2:$K$313),2,FALSE),0)</f>
        <v>0</v>
      </c>
      <c r="BA29">
        <f t="array" ref="BA29">IFERROR(VLOOKUP(BA$5&amp;$AV29,CHOOSE({1,2},D_技能表CD!$C$2:$C$313&amp;D_技能表CD!$E$2:$E$313,D_技能表CD!$I$2:$I$313),2,FALSE),0)</f>
        <v>0</v>
      </c>
      <c r="BB29">
        <f t="array" aca="1" ref="BB29" ca="1">IFERROR(VLOOKUP(BA$5&amp;$AV29,CHOOSE({1,2},D_技能表CD!$C$2:$C$313&amp;D_技能表CD!$E$2:$E$313,D_技能表CD!$H$2:$H$313),2,FALSE),0)</f>
        <v>0</v>
      </c>
      <c r="BC29">
        <f t="array" aca="1" ref="BC29" ca="1">IFERROR(VLOOKUP(BA$5&amp;$AV29,CHOOSE({1,2},D_技能表CD!$C$2:$C$313&amp;D_技能表CD!$E$2:$E$313,D_技能表CD!$L$2:$L$313),2,FALSE),0)</f>
        <v>0</v>
      </c>
      <c r="BD29">
        <f t="array" aca="1" ref="BD29" ca="1">IFERROR(VLOOKUP(BA$5&amp;$AV29,CHOOSE({1,2},D_技能表CD!$C$2:$C$313&amp;D_技能表CD!$E$2:$E$313,D_技能表CD!$K$2:$K$313),2,FALSE),0)</f>
        <v>0</v>
      </c>
      <c r="BE29">
        <f t="array" ref="BE29">IFERROR(VLOOKUP(BE$5&amp;$AV29,CHOOSE({1,2},D_技能表CD!$C$2:$C$313&amp;D_技能表CD!$E$2:$E$313,D_技能表CD!$I$2:$I$313),2,FALSE),0)</f>
        <v>0</v>
      </c>
      <c r="BF29">
        <f t="array" aca="1" ref="BF29" ca="1">IFERROR(VLOOKUP(BE$5&amp;$AV29,CHOOSE({1,2},D_技能表CD!$C$2:$C$313&amp;D_技能表CD!$E$2:$E$313,D_技能表CD!$H$2:$H$313),2,FALSE),0)</f>
        <v>0</v>
      </c>
      <c r="BG29">
        <f t="array" aca="1" ref="BG29" ca="1">IFERROR(VLOOKUP(BE$5&amp;$AV29,CHOOSE({1,2},D_技能表CD!$C$2:$C$313&amp;D_技能表CD!$E$2:$E$313,D_技能表CD!$L$2:$L$313),2,FALSE),0)</f>
        <v>0</v>
      </c>
      <c r="BH29">
        <f t="array" aca="1" ref="BH29" ca="1">IFERROR(VLOOKUP(BE$5&amp;$AV29,CHOOSE({1,2},D_技能表CD!$C$2:$C$313&amp;D_技能表CD!$E$2:$E$313,D_技能表CD!$K$2:$K$313),2,FALSE),0)</f>
        <v>0</v>
      </c>
      <c r="BI29">
        <f t="array" ref="BI29">IFERROR(VLOOKUP(BI$5&amp;$AV29,CHOOSE({1,2},D_技能表CD!$C$2:$C$313&amp;D_技能表CD!$E$2:$E$313,D_技能表CD!$I$2:$I$313),2,FALSE),0)</f>
        <v>7</v>
      </c>
      <c r="BJ29">
        <f t="array" aca="1" ref="BJ29" ca="1">IFERROR(VLOOKUP(BI$5&amp;$AV29,CHOOSE({1,2},D_技能表CD!$C$2:$C$313&amp;D_技能表CD!$E$2:$E$313,D_技能表CD!$H$2:$H$313),2,FALSE),0)</f>
        <v>10050</v>
      </c>
      <c r="BK29">
        <f t="array" aca="1" ref="BK29" ca="1">IFERROR(VLOOKUP(BI$5&amp;$AV29,CHOOSE({1,2},D_技能表CD!$C$2:$C$313&amp;D_技能表CD!$E$2:$E$313,D_技能表CD!$L$2:$L$313),2,FALSE),0)</f>
        <v>47</v>
      </c>
      <c r="BL29">
        <f t="array" aca="1" ref="BL29" ca="1">IFERROR(VLOOKUP(BI$5&amp;$AV29,CHOOSE({1,2},D_技能表CD!$C$2:$C$313&amp;D_技能表CD!$E$2:$E$313,D_技能表CD!$K$2:$K$313),2,FALSE),0)</f>
        <v>21</v>
      </c>
    </row>
    <row r="30" spans="1:64" x14ac:dyDescent="0.15">
      <c r="A30">
        <f t="shared" ca="1" si="0"/>
        <v>253754</v>
      </c>
      <c r="B30" s="33">
        <f ca="1">SUM($E$7:E30,$I$7:I30,$M$7:M30,$Q$7:Q30,$U$7:U30,$Y$7:Y30,$AC$7:AC30,$AG$7:AG30,$AK$7:AK30,$AO$7:AO30)</f>
        <v>141254</v>
      </c>
      <c r="C30">
        <v>24</v>
      </c>
      <c r="D30">
        <f t="array" aca="1" ref="D30" ca="1">IFERROR(VLOOKUP($D$5&amp;C30,CHOOSE({1,2},D_技能表!$C$2:$C$1210&amp;D_技能表!$E$2:$E$1210,D_技能表!$I$2:$I$1210),2,FALSE),0)</f>
        <v>14</v>
      </c>
      <c r="E30">
        <f t="array" aca="1" ref="E30" ca="1">IFERROR(VLOOKUP($D$5&amp;$C30,CHOOSE({1,2},D_技能表!$C$2:$C$1210&amp;D_技能表!$E$2:$E$1210,D_技能表!$N$2:$N$1210),2,FALSE),0)</f>
        <v>6040</v>
      </c>
      <c r="F30">
        <f t="array" aca="1" ref="F30" ca="1">IFERROR(VLOOKUP($D$5&amp;$C30,CHOOSE({1,2},D_技能表!$C$2:$C$1210&amp;D_技能表!$E$2:$E$1210,D_技能表!$W$2:$W$1210),2,FALSE),0)</f>
        <v>20</v>
      </c>
      <c r="G30">
        <f t="array" aca="1" ref="G30" ca="1">IFERROR(VLOOKUP($D$5&amp;$C30,CHOOSE({1,2},D_技能表!$C$2:$C$1210&amp;D_技能表!$E$2:$E$1210,D_技能表!$Z$2:$Z$1210),2,FALSE),0)</f>
        <v>0</v>
      </c>
      <c r="H30">
        <f t="array" aca="1" ref="H30" ca="1">IFERROR(VLOOKUP($H$5&amp;$C30,CHOOSE({1,2},D_技能表!$C$2:$C$1210&amp;D_技能表!$E$2:$E$1210,D_技能表!$I$2:$I$1210),2,FALSE),0)</f>
        <v>13</v>
      </c>
      <c r="I30">
        <f t="array" aca="1" ref="I30" ca="1">IFERROR(VLOOKUP($H$5&amp;$C30,CHOOSE({1,2},D_技能表!$C$2:$C$1210&amp;D_技能表!$E$2:$E$1210,D_技能表!$N$2:$N$1210),2,FALSE),0)</f>
        <v>2416</v>
      </c>
      <c r="J30">
        <f t="array" aca="1" ref="J30" ca="1">IFERROR(VLOOKUP($H$5&amp;$C30,CHOOSE({1,2},D_技能表!$C$2:$C$1210&amp;D_技能表!$E$2:$E$1210,D_技能表!$W$2:$W$1210),2,FALSE),0)</f>
        <v>8</v>
      </c>
      <c r="K30">
        <f t="array" aca="1" ref="K30" ca="1">IFERROR(VLOOKUP($H$5&amp;$C30,CHOOSE({1,2},D_技能表!$C$2:$C$1210&amp;D_技能表!$E$2:$E$1210,D_技能表!$Z$2:$Z$1210),2,FALSE),0)</f>
        <v>0</v>
      </c>
      <c r="L30">
        <f t="array" aca="1" ref="L30" ca="1">IFERROR(VLOOKUP($L$5&amp;$C30,CHOOSE({1,2},D_技能表!$C$2:$C$1210&amp;D_技能表!$E$2:$E$1210,D_技能表!$I$2:$I$1210),2,FALSE),0)</f>
        <v>13</v>
      </c>
      <c r="M30">
        <f t="array" aca="1" ref="M30" ca="1">IFERROR(VLOOKUP($L$5&amp;$C30,CHOOSE({1,2},D_技能表!$C$2:$C$1210&amp;D_技能表!$E$2:$E$1210,D_技能表!$N$2:$N$1210),2,FALSE),0)</f>
        <v>2416</v>
      </c>
      <c r="N30">
        <f t="array" aca="1" ref="N30" ca="1">IFERROR(VLOOKUP($L$5&amp;$C30,CHOOSE({1,2},D_技能表!$C$2:$C$1210&amp;D_技能表!$E$2:$E$1210,D_技能表!$W$2:$W$1210),2,FALSE),0)</f>
        <v>8</v>
      </c>
      <c r="O30">
        <f t="array" aca="1" ref="O30" ca="1">IFERROR(VLOOKUP($L$5&amp;$C30,CHOOSE({1,2},D_技能表!$C$2:$C$1210&amp;D_技能表!$E$2:$E$1210,D_技能表!$Z$2:$Z$1210),2,FALSE),0)</f>
        <v>0</v>
      </c>
      <c r="P30">
        <f t="array" aca="1" ref="P30" ca="1">IFERROR(VLOOKUP($P$5&amp;$C30,CHOOSE({1,2},D_技能表!$C$2:$C$1210&amp;D_技能表!$E$2:$E$1210,D_技能表!$I$2:$I$1210),2,FALSE),0)</f>
        <v>0</v>
      </c>
      <c r="Q30">
        <f t="array" aca="1" ref="Q30" ca="1">IFERROR(VLOOKUP($P$5&amp;$C30,CHOOSE({1,2},D_技能表!$C$2:$C$1210&amp;D_技能表!$E$2:$E$1210,D_技能表!$N$2:$N$1210),2,FALSE),0)</f>
        <v>0</v>
      </c>
      <c r="R30">
        <f t="array" aca="1" ref="R30" ca="1">IFERROR(VLOOKUP($P$5&amp;$C30,CHOOSE({1,2},D_技能表!$C$2:$C$1210&amp;D_技能表!$E$2:$E$1210,D_技能表!$W$2:$W$1210),2,FALSE),0)</f>
        <v>0</v>
      </c>
      <c r="S30">
        <f t="array" aca="1" ref="S30" ca="1">IFERROR(VLOOKUP($P$5&amp;$C30,CHOOSE({1,2},D_技能表!$C$2:$C$1210&amp;D_技能表!$E$2:$E$1210,D_技能表!$Z$2:$Z$1210),2,FALSE),0)</f>
        <v>0</v>
      </c>
      <c r="T30">
        <f t="array" aca="1" ref="T30" ca="1">IFERROR(VLOOKUP($T$5&amp;$C30,CHOOSE({1,2},D_技能表!$C$2:$C$1210&amp;D_技能表!$E$2:$E$1210,D_技能表!$I$2:$I$1210),2,FALSE),0)</f>
        <v>0</v>
      </c>
      <c r="U30">
        <f t="array" aca="1" ref="U30" ca="1">IFERROR(VLOOKUP($T$5&amp;$C30,CHOOSE({1,2},D_技能表!$C$2:$C$1210&amp;D_技能表!$E$2:$E$1210,D_技能表!$N$2:$N$1210),2,FALSE),0)</f>
        <v>0</v>
      </c>
      <c r="V30">
        <f t="array" aca="1" ref="V30" ca="1">IFERROR(VLOOKUP($T$5&amp;$C30,CHOOSE({1,2},D_技能表!$C$2:$C$1210&amp;D_技能表!$E$2:$E$1210,D_技能表!$W$2:$W$1210),2,FALSE),0)</f>
        <v>0</v>
      </c>
      <c r="W30">
        <f t="array" aca="1" ref="W30" ca="1">IFERROR(VLOOKUP($T$5&amp;$C30,CHOOSE({1,2},D_技能表!$C$2:$C$1210&amp;D_技能表!$E$2:$E$1210,D_技能表!$Z$2:$Z$1210),2,FALSE),0)</f>
        <v>0</v>
      </c>
      <c r="X30">
        <f t="array" aca="1" ref="X30" ca="1">IFERROR(VLOOKUP($X$5&amp;$C30,CHOOSE({1,2},D_技能表!$C$2:$C$1210&amp;D_技能表!$E$2:$E$1210,D_技能表!$I$2:$I$1210),2,FALSE),0)</f>
        <v>0</v>
      </c>
      <c r="Y30">
        <f t="array" aca="1" ref="Y30" ca="1">IFERROR(VLOOKUP($X$5&amp;$C30,CHOOSE({1,2},D_技能表!$C$2:$C$1210&amp;D_技能表!$E$2:$E$1210,D_技能表!$N$2:$N$1210),2,FALSE),0)</f>
        <v>0</v>
      </c>
      <c r="Z30">
        <f t="array" aca="1" ref="Z30" ca="1">IFERROR(VLOOKUP($X$5&amp;$C30,CHOOSE({1,2},D_技能表!$C$2:$C$1210&amp;D_技能表!$E$2:$E$1210,D_技能表!$W$2:$W$1210),2,FALSE),0)</f>
        <v>0</v>
      </c>
      <c r="AA30">
        <f t="array" aca="1" ref="AA30" ca="1">IFERROR(VLOOKUP($X$5&amp;$C30,CHOOSE({1,2},D_技能表!$C$2:$C$1210&amp;D_技能表!$E$2:$E$1210,D_技能表!$Z$2:$Z$1210),2,FALSE),0)</f>
        <v>0</v>
      </c>
      <c r="AB30">
        <f t="array" aca="1" ref="AB30" ca="1">IFERROR(VLOOKUP($AB$5&amp;$C30,CHOOSE({1,2},D_技能表!$C$2:$C$1210&amp;D_技能表!$E$2:$E$1210,D_技能表!$I$2:$I$1210),2,FALSE),0)</f>
        <v>12</v>
      </c>
      <c r="AC30">
        <f t="array" aca="1" ref="AC30" ca="1">IFERROR(VLOOKUP($AB$5&amp;$C30,CHOOSE({1,2},D_技能表!$C$2:$C$1210&amp;D_技能表!$E$2:$E$1210,D_技能表!$N$2:$N$1210),2,FALSE),0)</f>
        <v>2416</v>
      </c>
      <c r="AD30">
        <f t="array" aca="1" ref="AD30" ca="1">IFERROR(VLOOKUP($AB$5&amp;$C30,CHOOSE({1,2},D_技能表!$C$2:$C$1210&amp;D_技能表!$E$2:$E$1210,D_技能表!$W$2:$W$1210),2,FALSE),0)</f>
        <v>8</v>
      </c>
      <c r="AE30">
        <f t="array" aca="1" ref="AE30" ca="1">IFERROR(VLOOKUP($AB$5&amp;$C30,CHOOSE({1,2},D_技能表!$C$2:$C$1210&amp;D_技能表!$E$2:$E$1210,D_技能表!$Z$2:$Z$1210),2,FALSE),0)</f>
        <v>0</v>
      </c>
      <c r="AF30">
        <f t="array" aca="1" ref="AF30" ca="1">IFERROR(VLOOKUP($AF$5&amp;$C30,CHOOSE({1,2},D_技能表!$C$2:$C$1210&amp;D_技能表!$E$2:$E$1210,D_技能表!$I$2:$I$1210),2,FALSE),0)</f>
        <v>11</v>
      </c>
      <c r="AG30">
        <f t="array" aca="1" ref="AG30" ca="1">IFERROR(VLOOKUP($AF$5&amp;$C30,CHOOSE({1,2},D_技能表!$C$2:$C$1210&amp;D_技能表!$E$2:$E$1210,D_技能表!$N$2:$N$1210),2,FALSE),0)</f>
        <v>2114</v>
      </c>
      <c r="AH30">
        <f t="array" aca="1" ref="AH30" ca="1">IFERROR(VLOOKUP($AF$5&amp;$C30,CHOOSE({1,2},D_技能表!$C$2:$C$1210&amp;D_技能表!$E$2:$E$1210,D_技能表!$W$2:$W$1210),2,FALSE),0)</f>
        <v>7</v>
      </c>
      <c r="AI30">
        <f t="array" aca="1" ref="AI30" ca="1">IFERROR(VLOOKUP($AF$5&amp;$C30,CHOOSE({1,2},D_技能表!$C$2:$C$1210&amp;D_技能表!$E$2:$E$1210,D_技能表!$Z$2:$Z$1210),2,FALSE),0)</f>
        <v>0</v>
      </c>
      <c r="AJ30">
        <f t="array" aca="1" ref="AJ30" ca="1">IFERROR(VLOOKUP($AJ$5&amp;$C30,CHOOSE({1,2},D_技能表!$C$2:$C$1210&amp;D_技能表!$E$2:$E$1210,D_技能表!$I$2:$I$1210),2,FALSE),0)</f>
        <v>10</v>
      </c>
      <c r="AK30">
        <f t="array" aca="1" ref="AK30" ca="1">IFERROR(VLOOKUP($AJ$5&amp;$C30,CHOOSE({1,2},D_技能表!$C$2:$C$1210&amp;D_技能表!$E$2:$E$1210,D_技能表!$N$2:$N$1210),2,FALSE),0)</f>
        <v>1812</v>
      </c>
      <c r="AL30">
        <f t="array" aca="1" ref="AL30" ca="1">IFERROR(VLOOKUP($AJ$5&amp;$C30,CHOOSE({1,2},D_技能表!$C$2:$C$1210&amp;D_技能表!$E$2:$E$1210,D_技能表!$W$2:$W$1210),2,FALSE),0)</f>
        <v>6</v>
      </c>
      <c r="AM30">
        <f t="array" aca="1" ref="AM30" ca="1">IFERROR(VLOOKUP($AJ$5&amp;$C30,CHOOSE({1,2},D_技能表!$C$2:$C$1210&amp;D_技能表!$E$2:$E$1210,D_技能表!$Z$2:$Z$1210),2,FALSE),0)</f>
        <v>0</v>
      </c>
      <c r="AN30">
        <f t="array" aca="1" ref="AN30" ca="1">IFERROR(VLOOKUP($AN$5&amp;$C30,CHOOSE({1,2},D_技能表!$C$2:$C$1210&amp;D_技能表!$E$2:$E$1210,D_技能表!$I$2:$I$1210),2,FALSE),0)</f>
        <v>9</v>
      </c>
      <c r="AO30">
        <f t="array" aca="1" ref="AO30" ca="1">IFERROR(VLOOKUP($AN$5&amp;$C30,CHOOSE({1,2},D_技能表!$C$2:$C$1210&amp;D_技能表!$E$2:$E$1210,D_技能表!$N$2:$N$1210),2,FALSE),0)</f>
        <v>3322</v>
      </c>
      <c r="AP30">
        <f t="array" aca="1" ref="AP30" ca="1">IFERROR(VLOOKUP($AN$5&amp;$C30,CHOOSE({1,2},D_技能表!$C$2:$C$1210&amp;D_技能表!$E$2:$E$1210,D_技能表!$W$2:$W$1210),2,FALSE),0)</f>
        <v>11</v>
      </c>
      <c r="AQ30">
        <f t="array" aca="1" ref="AQ30" ca="1">IFERROR(VLOOKUP($AN$5&amp;$C30,CHOOSE({1,2},D_技能表!$C$2:$C$1210&amp;D_技能表!$E$2:$E$1210,D_技能表!$Z$2:$Z$1210),2,FALSE),0)</f>
        <v>0</v>
      </c>
      <c r="AR30" s="11">
        <f ca="1">SUM($G$7:G31,$K$7:K31,$O$7:O31,$S$7:S31,$W$7:W31,$AA$7:AA31,$AE$7:AE31,$AI$7:AI31,$AM$7:AM31,$AQ$7:AQ31)</f>
        <v>0</v>
      </c>
      <c r="AS30">
        <f ca="1">SUM($F$7:F31,$J$7:J31,$N$7:N31,$R$7:R31,$V$7:V31,$Z$7:Z31,$AD$7:AD31,$AH$7:AH31,$AL$7:AL31,$AP$7:AP31)</f>
        <v>911</v>
      </c>
      <c r="AT30">
        <f t="shared" ca="1" si="1"/>
        <v>68</v>
      </c>
      <c r="AU30" s="33">
        <f ca="1">SUM($AX$7:AX30,$BB$7:BB30,$BF$7:BF30,$BJ$7:BJ30)</f>
        <v>112500</v>
      </c>
      <c r="AV30">
        <v>24</v>
      </c>
      <c r="AW30">
        <f t="array" ref="AW30">IFERROR(VLOOKUP(AW$5&amp;$AV30,CHOOSE({1,2},D_技能表CD!$C$2:$C$313&amp;D_技能表CD!$E$2:$E$313,D_技能表CD!$I$2:$I$313),2,FALSE),0)</f>
        <v>0</v>
      </c>
      <c r="AX30">
        <f t="array" aca="1" ref="AX30" ca="1">IFERROR(VLOOKUP(AW$5&amp;$AV30,CHOOSE({1,2},D_技能表CD!$C$2:$C$313&amp;D_技能表CD!$E$2:$E$313,D_技能表CD!$H$2:$H$313),2,FALSE),0)</f>
        <v>0</v>
      </c>
      <c r="AY30">
        <f t="array" aca="1" ref="AY30" ca="1">IFERROR(VLOOKUP(AW$5&amp;$AV30,CHOOSE({1,2},D_技能表CD!$C$2:$C$313&amp;D_技能表CD!$E$2:$E$313,D_技能表CD!$L$2:$L$313),2,FALSE),0)</f>
        <v>0</v>
      </c>
      <c r="AZ30">
        <f t="array" aca="1" ref="AZ30" ca="1">IFERROR(VLOOKUP(AW$5&amp;$AV30,CHOOSE({1,2},D_技能表CD!$C$2:$C$313&amp;D_技能表CD!$E$2:$E$313,D_技能表CD!$K$2:$K$313),2,FALSE),0)</f>
        <v>0</v>
      </c>
      <c r="BA30">
        <f t="array" ref="BA30">IFERROR(VLOOKUP(BA$5&amp;$AV30,CHOOSE({1,2},D_技能表CD!$C$2:$C$313&amp;D_技能表CD!$E$2:$E$313,D_技能表CD!$I$2:$I$313),2,FALSE),0)</f>
        <v>8</v>
      </c>
      <c r="BB30">
        <f t="array" aca="1" ref="BB30" ca="1">IFERROR(VLOOKUP(BA$5&amp;$AV30,CHOOSE({1,2},D_技能表CD!$C$2:$C$313&amp;D_技能表CD!$E$2:$E$313,D_技能表CD!$H$2:$H$313),2,FALSE),0)</f>
        <v>13050</v>
      </c>
      <c r="BC30">
        <f t="array" aca="1" ref="BC30" ca="1">IFERROR(VLOOKUP(BA$5&amp;$AV30,CHOOSE({1,2},D_技能表CD!$C$2:$C$313&amp;D_技能表CD!$E$2:$E$313,D_技能表CD!$L$2:$L$313),2,FALSE),0)</f>
        <v>56</v>
      </c>
      <c r="BD30">
        <f t="array" aca="1" ref="BD30" ca="1">IFERROR(VLOOKUP(BA$5&amp;$AV30,CHOOSE({1,2},D_技能表CD!$C$2:$C$313&amp;D_技能表CD!$E$2:$E$313,D_技能表CD!$K$2:$K$313),2,FALSE),0)</f>
        <v>32</v>
      </c>
      <c r="BE30">
        <f t="array" ref="BE30">IFERROR(VLOOKUP(BE$5&amp;$AV30,CHOOSE({1,2},D_技能表CD!$C$2:$C$313&amp;D_技能表CD!$E$2:$E$313,D_技能表CD!$I$2:$I$313),2,FALSE),0)</f>
        <v>0</v>
      </c>
      <c r="BF30">
        <f t="array" aca="1" ref="BF30" ca="1">IFERROR(VLOOKUP(BE$5&amp;$AV30,CHOOSE({1,2},D_技能表CD!$C$2:$C$313&amp;D_技能表CD!$E$2:$E$313,D_技能表CD!$H$2:$H$313),2,FALSE),0)</f>
        <v>0</v>
      </c>
      <c r="BG30">
        <f t="array" aca="1" ref="BG30" ca="1">IFERROR(VLOOKUP(BE$5&amp;$AV30,CHOOSE({1,2},D_技能表CD!$C$2:$C$313&amp;D_技能表CD!$E$2:$E$313,D_技能表CD!$L$2:$L$313),2,FALSE),0)</f>
        <v>0</v>
      </c>
      <c r="BH30">
        <f t="array" aca="1" ref="BH30" ca="1">IFERROR(VLOOKUP(BE$5&amp;$AV30,CHOOSE({1,2},D_技能表CD!$C$2:$C$313&amp;D_技能表CD!$E$2:$E$313,D_技能表CD!$K$2:$K$313),2,FALSE),0)</f>
        <v>0</v>
      </c>
      <c r="BI30">
        <f t="array" ref="BI30">IFERROR(VLOOKUP(BI$5&amp;$AV30,CHOOSE({1,2},D_技能表CD!$C$2:$C$313&amp;D_技能表CD!$E$2:$E$313,D_技能表CD!$I$2:$I$313),2,FALSE),0)</f>
        <v>0</v>
      </c>
      <c r="BJ30">
        <f t="array" aca="1" ref="BJ30" ca="1">IFERROR(VLOOKUP(BI$5&amp;$AV30,CHOOSE({1,2},D_技能表CD!$C$2:$C$313&amp;D_技能表CD!$E$2:$E$313,D_技能表CD!$H$2:$H$313),2,FALSE),0)</f>
        <v>0</v>
      </c>
      <c r="BK30">
        <f t="array" aca="1" ref="BK30" ca="1">IFERROR(VLOOKUP(BI$5&amp;$AV30,CHOOSE({1,2},D_技能表CD!$C$2:$C$313&amp;D_技能表CD!$E$2:$E$313,D_技能表CD!$L$2:$L$313),2,FALSE),0)</f>
        <v>0</v>
      </c>
      <c r="BL30">
        <f t="array" aca="1" ref="BL30" ca="1">IFERROR(VLOOKUP(BI$5&amp;$AV30,CHOOSE({1,2},D_技能表CD!$C$2:$C$313&amp;D_技能表CD!$E$2:$E$313,D_技能表CD!$K$2:$K$313),2,FALSE),0)</f>
        <v>0</v>
      </c>
    </row>
    <row r="31" spans="1:64" x14ac:dyDescent="0.15">
      <c r="A31">
        <f t="shared" ca="1" si="0"/>
        <v>301504</v>
      </c>
      <c r="B31" s="33">
        <f ca="1">SUM($E$7:E31,$I$7:I31,$M$7:M31,$Q$7:Q31,$U$7:U31,$Y$7:Y31,$AC$7:AC31,$AG$7:AG31,$AK$7:AK31,$AO$7:AO31)</f>
        <v>174754</v>
      </c>
      <c r="C31">
        <v>25</v>
      </c>
      <c r="D31">
        <f t="array" aca="1" ref="D31" ca="1">IFERROR(VLOOKUP($D$5&amp;C31,CHOOSE({1,2},D_技能表!$C$2:$C$1210&amp;D_技能表!$E$2:$E$1210,D_技能表!$I$2:$I$1210),2,FALSE),0)</f>
        <v>15</v>
      </c>
      <c r="E31">
        <f t="array" aca="1" ref="E31" ca="1">IFERROR(VLOOKUP($D$5&amp;$C31,CHOOSE({1,2},D_技能表!$C$2:$C$1210&amp;D_技能表!$E$2:$E$1210,D_技能表!$N$2:$N$1210),2,FALSE),0)</f>
        <v>7035</v>
      </c>
      <c r="F31">
        <f t="array" aca="1" ref="F31" ca="1">IFERROR(VLOOKUP($D$5&amp;$C31,CHOOSE({1,2},D_技能表!$C$2:$C$1210&amp;D_技能表!$E$2:$E$1210,D_技能表!$W$2:$W$1210),2,FALSE),0)</f>
        <v>21</v>
      </c>
      <c r="G31">
        <f t="array" aca="1" ref="G31" ca="1">IFERROR(VLOOKUP($D$5&amp;$C31,CHOOSE({1,2},D_技能表!$C$2:$C$1210&amp;D_技能表!$E$2:$E$1210,D_技能表!$Z$2:$Z$1210),2,FALSE),0)</f>
        <v>0</v>
      </c>
      <c r="H31">
        <f t="array" aca="1" ref="H31" ca="1">IFERROR(VLOOKUP($H$5&amp;$C31,CHOOSE({1,2},D_技能表!$C$2:$C$1210&amp;D_技能表!$E$2:$E$1210,D_技能表!$I$2:$I$1210),2,FALSE),0)</f>
        <v>14</v>
      </c>
      <c r="I31">
        <f t="array" aca="1" ref="I31" ca="1">IFERROR(VLOOKUP($H$5&amp;$C31,CHOOSE({1,2},D_技能表!$C$2:$C$1210&amp;D_技能表!$E$2:$E$1210,D_技能表!$N$2:$N$1210),2,FALSE),0)</f>
        <v>3015</v>
      </c>
      <c r="J31">
        <f t="array" aca="1" ref="J31" ca="1">IFERROR(VLOOKUP($H$5&amp;$C31,CHOOSE({1,2},D_技能表!$C$2:$C$1210&amp;D_技能表!$E$2:$E$1210,D_技能表!$W$2:$W$1210),2,FALSE),0)</f>
        <v>9</v>
      </c>
      <c r="K31">
        <f t="array" aca="1" ref="K31" ca="1">IFERROR(VLOOKUP($H$5&amp;$C31,CHOOSE({1,2},D_技能表!$C$2:$C$1210&amp;D_技能表!$E$2:$E$1210,D_技能表!$Z$2:$Z$1210),2,FALSE),0)</f>
        <v>0</v>
      </c>
      <c r="L31">
        <f t="array" aca="1" ref="L31" ca="1">IFERROR(VLOOKUP($L$5&amp;$C31,CHOOSE({1,2},D_技能表!$C$2:$C$1210&amp;D_技能表!$E$2:$E$1210,D_技能表!$I$2:$I$1210),2,FALSE),0)</f>
        <v>14</v>
      </c>
      <c r="M31">
        <f t="array" aca="1" ref="M31" ca="1">IFERROR(VLOOKUP($L$5&amp;$C31,CHOOSE({1,2},D_技能表!$C$2:$C$1210&amp;D_技能表!$E$2:$E$1210,D_技能表!$N$2:$N$1210),2,FALSE),0)</f>
        <v>3015</v>
      </c>
      <c r="N31">
        <f t="array" aca="1" ref="N31" ca="1">IFERROR(VLOOKUP($L$5&amp;$C31,CHOOSE({1,2},D_技能表!$C$2:$C$1210&amp;D_技能表!$E$2:$E$1210,D_技能表!$W$2:$W$1210),2,FALSE),0)</f>
        <v>9</v>
      </c>
      <c r="O31">
        <f t="array" aca="1" ref="O31" ca="1">IFERROR(VLOOKUP($L$5&amp;$C31,CHOOSE({1,2},D_技能表!$C$2:$C$1210&amp;D_技能表!$E$2:$E$1210,D_技能表!$Z$2:$Z$1210),2,FALSE),0)</f>
        <v>0</v>
      </c>
      <c r="P31">
        <f t="array" aca="1" ref="P31" ca="1">IFERROR(VLOOKUP($P$5&amp;$C31,CHOOSE({1,2},D_技能表!$C$2:$C$1210&amp;D_技能表!$E$2:$E$1210,D_技能表!$I$2:$I$1210),2,FALSE),0)</f>
        <v>12</v>
      </c>
      <c r="Q31">
        <f t="array" aca="1" ref="Q31" ca="1">IFERROR(VLOOKUP($P$5&amp;$C31,CHOOSE({1,2},D_技能表!$C$2:$C$1210&amp;D_技能表!$E$2:$E$1210,D_技能表!$N$2:$N$1210),2,FALSE),0)</f>
        <v>2680</v>
      </c>
      <c r="R31">
        <f t="array" aca="1" ref="R31" ca="1">IFERROR(VLOOKUP($P$5&amp;$C31,CHOOSE({1,2},D_技能表!$C$2:$C$1210&amp;D_技能表!$E$2:$E$1210,D_技能表!$W$2:$W$1210),2,FALSE),0)</f>
        <v>8</v>
      </c>
      <c r="S31">
        <f t="array" aca="1" ref="S31" ca="1">IFERROR(VLOOKUP($P$5&amp;$C31,CHOOSE({1,2},D_技能表!$C$2:$C$1210&amp;D_技能表!$E$2:$E$1210,D_技能表!$Z$2:$Z$1210),2,FALSE),0)</f>
        <v>0</v>
      </c>
      <c r="T31">
        <f t="array" aca="1" ref="T31" ca="1">IFERROR(VLOOKUP($T$5&amp;$C31,CHOOSE({1,2},D_技能表!$C$2:$C$1210&amp;D_技能表!$E$2:$E$1210,D_技能表!$I$2:$I$1210),2,FALSE),0)</f>
        <v>11</v>
      </c>
      <c r="U31">
        <f t="array" aca="1" ref="U31" ca="1">IFERROR(VLOOKUP($T$5&amp;$C31,CHOOSE({1,2},D_技能表!$C$2:$C$1210&amp;D_技能表!$E$2:$E$1210,D_技能表!$N$2:$N$1210),2,FALSE),0)</f>
        <v>4020</v>
      </c>
      <c r="V31">
        <f t="array" aca="1" ref="V31" ca="1">IFERROR(VLOOKUP($T$5&amp;$C31,CHOOSE({1,2},D_技能表!$C$2:$C$1210&amp;D_技能表!$E$2:$E$1210,D_技能表!$W$2:$W$1210),2,FALSE),0)</f>
        <v>12</v>
      </c>
      <c r="W31">
        <f t="array" aca="1" ref="W31" ca="1">IFERROR(VLOOKUP($T$5&amp;$C31,CHOOSE({1,2},D_技能表!$C$2:$C$1210&amp;D_技能表!$E$2:$E$1210,D_技能表!$Z$2:$Z$1210),2,FALSE),0)</f>
        <v>0</v>
      </c>
      <c r="X31">
        <f t="array" aca="1" ref="X31" ca="1">IFERROR(VLOOKUP($X$5&amp;$C31,CHOOSE({1,2},D_技能表!$C$2:$C$1210&amp;D_技能表!$E$2:$E$1210,D_技能表!$I$2:$I$1210),2,FALSE),0)</f>
        <v>13</v>
      </c>
      <c r="Y31">
        <f t="array" aca="1" ref="Y31" ca="1">IFERROR(VLOOKUP($X$5&amp;$C31,CHOOSE({1,2},D_技能表!$C$2:$C$1210&amp;D_技能表!$E$2:$E$1210,D_技能表!$N$2:$N$1210),2,FALSE),0)</f>
        <v>6030</v>
      </c>
      <c r="Z31">
        <f t="array" aca="1" ref="Z31" ca="1">IFERROR(VLOOKUP($X$5&amp;$C31,CHOOSE({1,2},D_技能表!$C$2:$C$1210&amp;D_技能表!$E$2:$E$1210,D_技能表!$W$2:$W$1210),2,FALSE),0)</f>
        <v>18</v>
      </c>
      <c r="AA31">
        <f t="array" aca="1" ref="AA31" ca="1">IFERROR(VLOOKUP($X$5&amp;$C31,CHOOSE({1,2},D_技能表!$C$2:$C$1210&amp;D_技能表!$E$2:$E$1210,D_技能表!$Z$2:$Z$1210),2,FALSE),0)</f>
        <v>0</v>
      </c>
      <c r="AB31">
        <f t="array" aca="1" ref="AB31" ca="1">IFERROR(VLOOKUP($AB$5&amp;$C31,CHOOSE({1,2},D_技能表!$C$2:$C$1210&amp;D_技能表!$E$2:$E$1210,D_技能表!$I$2:$I$1210),2,FALSE),0)</f>
        <v>13</v>
      </c>
      <c r="AC31">
        <f t="array" aca="1" ref="AC31" ca="1">IFERROR(VLOOKUP($AB$5&amp;$C31,CHOOSE({1,2},D_技能表!$C$2:$C$1210&amp;D_技能表!$E$2:$E$1210,D_技能表!$N$2:$N$1210),2,FALSE),0)</f>
        <v>3015</v>
      </c>
      <c r="AD31">
        <f t="array" aca="1" ref="AD31" ca="1">IFERROR(VLOOKUP($AB$5&amp;$C31,CHOOSE({1,2},D_技能表!$C$2:$C$1210&amp;D_技能表!$E$2:$E$1210,D_技能表!$W$2:$W$1210),2,FALSE),0)</f>
        <v>9</v>
      </c>
      <c r="AE31">
        <f t="array" aca="1" ref="AE31" ca="1">IFERROR(VLOOKUP($AB$5&amp;$C31,CHOOSE({1,2},D_技能表!$C$2:$C$1210&amp;D_技能表!$E$2:$E$1210,D_技能表!$Z$2:$Z$1210),2,FALSE),0)</f>
        <v>0</v>
      </c>
      <c r="AF31">
        <f t="array" aca="1" ref="AF31" ca="1">IFERROR(VLOOKUP($AF$5&amp;$C31,CHOOSE({1,2},D_技能表!$C$2:$C$1210&amp;D_技能表!$E$2:$E$1210,D_技能表!$I$2:$I$1210),2,FALSE),0)</f>
        <v>12</v>
      </c>
      <c r="AG31">
        <f t="array" aca="1" ref="AG31" ca="1">IFERROR(VLOOKUP($AF$5&amp;$C31,CHOOSE({1,2},D_技能表!$C$2:$C$1210&amp;D_技能表!$E$2:$E$1210,D_技能表!$N$2:$N$1210),2,FALSE),0)</f>
        <v>2345</v>
      </c>
      <c r="AH31">
        <f t="array" aca="1" ref="AH31" ca="1">IFERROR(VLOOKUP($AF$5&amp;$C31,CHOOSE({1,2},D_技能表!$C$2:$C$1210&amp;D_技能表!$E$2:$E$1210,D_技能表!$W$2:$W$1210),2,FALSE),0)</f>
        <v>7</v>
      </c>
      <c r="AI31">
        <f t="array" aca="1" ref="AI31" ca="1">IFERROR(VLOOKUP($AF$5&amp;$C31,CHOOSE({1,2},D_技能表!$C$2:$C$1210&amp;D_技能表!$E$2:$E$1210,D_技能表!$Z$2:$Z$1210),2,FALSE),0)</f>
        <v>0</v>
      </c>
      <c r="AJ31">
        <f t="array" aca="1" ref="AJ31" ca="1">IFERROR(VLOOKUP($AJ$5&amp;$C31,CHOOSE({1,2},D_技能表!$C$2:$C$1210&amp;D_技能表!$E$2:$E$1210,D_技能表!$I$2:$I$1210),2,FALSE),0)</f>
        <v>11</v>
      </c>
      <c r="AK31">
        <f t="array" aca="1" ref="AK31" ca="1">IFERROR(VLOOKUP($AJ$5&amp;$C31,CHOOSE({1,2},D_技能表!$C$2:$C$1210&amp;D_技能表!$E$2:$E$1210,D_技能表!$N$2:$N$1210),2,FALSE),0)</f>
        <v>2345</v>
      </c>
      <c r="AL31">
        <f t="array" aca="1" ref="AL31" ca="1">IFERROR(VLOOKUP($AJ$5&amp;$C31,CHOOSE({1,2},D_技能表!$C$2:$C$1210&amp;D_技能表!$E$2:$E$1210,D_技能表!$W$2:$W$1210),2,FALSE),0)</f>
        <v>7</v>
      </c>
      <c r="AM31">
        <f t="array" aca="1" ref="AM31" ca="1">IFERROR(VLOOKUP($AJ$5&amp;$C31,CHOOSE({1,2},D_技能表!$C$2:$C$1210&amp;D_技能表!$E$2:$E$1210,D_技能表!$Z$2:$Z$1210),2,FALSE),0)</f>
        <v>0</v>
      </c>
      <c r="AN31">
        <f t="array" aca="1" ref="AN31" ca="1">IFERROR(VLOOKUP($AN$5&amp;$C31,CHOOSE({1,2},D_技能表!$C$2:$C$1210&amp;D_技能表!$E$2:$E$1210,D_技能表!$I$2:$I$1210),2,FALSE),0)</f>
        <v>0</v>
      </c>
      <c r="AO31">
        <f t="array" aca="1" ref="AO31" ca="1">IFERROR(VLOOKUP($AN$5&amp;$C31,CHOOSE({1,2},D_技能表!$C$2:$C$1210&amp;D_技能表!$E$2:$E$1210,D_技能表!$N$2:$N$1210),2,FALSE),0)</f>
        <v>0</v>
      </c>
      <c r="AP31">
        <f t="array" aca="1" ref="AP31" ca="1">IFERROR(VLOOKUP($AN$5&amp;$C31,CHOOSE({1,2},D_技能表!$C$2:$C$1210&amp;D_技能表!$E$2:$E$1210,D_技能表!$W$2:$W$1210),2,FALSE),0)</f>
        <v>0</v>
      </c>
      <c r="AQ31">
        <f t="array" aca="1" ref="AQ31" ca="1">IFERROR(VLOOKUP($AN$5&amp;$C31,CHOOSE({1,2},D_技能表!$C$2:$C$1210&amp;D_技能表!$E$2:$E$1210,D_技能表!$Z$2:$Z$1210),2,FALSE),0)</f>
        <v>0</v>
      </c>
      <c r="AR31" s="11">
        <f ca="1">SUM($G$7:G32,$K$7:K32,$O$7:O32,$S$7:S32,$W$7:W32,$AA$7:AA32,$AE$7:AE32,$AI$7:AI32,$AM$7:AM32,$AQ$7:AQ32)</f>
        <v>0</v>
      </c>
      <c r="AS31">
        <f ca="1">SUM($F$7:F32,$J$7:J32,$N$7:N32,$R$7:R32,$V$7:V32,$Z$7:Z32,$AD$7:AD32,$AH$7:AH32,$AL$7:AL32,$AP$7:AP32)</f>
        <v>963</v>
      </c>
      <c r="AT31">
        <f t="shared" ca="1" si="1"/>
        <v>100</v>
      </c>
      <c r="AU31" s="33">
        <f ca="1">SUM($AX$7:AX31,$BB$7:BB31,$BF$7:BF31,$BJ$7:BJ31)</f>
        <v>126750</v>
      </c>
      <c r="AV31">
        <v>25</v>
      </c>
      <c r="AW31">
        <f t="array" ref="AW31">IFERROR(VLOOKUP(AW$5&amp;$AV31,CHOOSE({1,2},D_技能表CD!$C$2:$C$313&amp;D_技能表CD!$E$2:$E$313,D_技能表CD!$I$2:$I$313),2,FALSE),0)</f>
        <v>9</v>
      </c>
      <c r="AX31">
        <f t="array" aca="1" ref="AX31" ca="1">IFERROR(VLOOKUP(AW$5&amp;$AV31,CHOOSE({1,2},D_技能表CD!$C$2:$C$313&amp;D_技能表CD!$E$2:$E$313,D_技能表CD!$H$2:$H$313),2,FALSE),0)</f>
        <v>8450</v>
      </c>
      <c r="AY31">
        <f t="array" aca="1" ref="AY31" ca="1">IFERROR(VLOOKUP(AW$5&amp;$AV31,CHOOSE({1,2},D_技能表CD!$C$2:$C$313&amp;D_技能表CD!$E$2:$E$313,D_技能表CD!$L$2:$L$313),2,FALSE),0)</f>
        <v>34</v>
      </c>
      <c r="AZ31">
        <f t="array" aca="1" ref="AZ31" ca="1">IFERROR(VLOOKUP(AW$5&amp;$AV31,CHOOSE({1,2},D_技能表CD!$C$2:$C$313&amp;D_技能表CD!$E$2:$E$313,D_技能表CD!$K$2:$K$313),2,FALSE),0)</f>
        <v>25</v>
      </c>
      <c r="BA31">
        <f t="array" ref="BA31">IFERROR(VLOOKUP(BA$5&amp;$AV31,CHOOSE({1,2},D_技能表CD!$C$2:$C$313&amp;D_技能表CD!$E$2:$E$313,D_技能表CD!$I$2:$I$313),2,FALSE),0)</f>
        <v>0</v>
      </c>
      <c r="BB31">
        <f t="array" aca="1" ref="BB31" ca="1">IFERROR(VLOOKUP(BA$5&amp;$AV31,CHOOSE({1,2},D_技能表CD!$C$2:$C$313&amp;D_技能表CD!$E$2:$E$313,D_技能表CD!$H$2:$H$313),2,FALSE),0)</f>
        <v>0</v>
      </c>
      <c r="BC31">
        <f t="array" aca="1" ref="BC31" ca="1">IFERROR(VLOOKUP(BA$5&amp;$AV31,CHOOSE({1,2},D_技能表CD!$C$2:$C$313&amp;D_技能表CD!$E$2:$E$313,D_技能表CD!$L$2:$L$313),2,FALSE),0)</f>
        <v>0</v>
      </c>
      <c r="BD31">
        <f t="array" aca="1" ref="BD31" ca="1">IFERROR(VLOOKUP(BA$5&amp;$AV31,CHOOSE({1,2},D_技能表CD!$C$2:$C$313&amp;D_技能表CD!$E$2:$E$313,D_技能表CD!$K$2:$K$313),2,FALSE),0)</f>
        <v>0</v>
      </c>
      <c r="BE31">
        <f t="array" ref="BE31">IFERROR(VLOOKUP(BE$5&amp;$AV31,CHOOSE({1,2},D_技能表CD!$C$2:$C$313&amp;D_技能表CD!$E$2:$E$313,D_技能表CD!$I$2:$I$313),2,FALSE),0)</f>
        <v>8</v>
      </c>
      <c r="BF31">
        <f t="array" aca="1" ref="BF31" ca="1">IFERROR(VLOOKUP(BE$5&amp;$AV31,CHOOSE({1,2},D_技能表CD!$C$2:$C$313&amp;D_技能表CD!$E$2:$E$313,D_技能表CD!$H$2:$H$313),2,FALSE),0)</f>
        <v>5800</v>
      </c>
      <c r="BG31">
        <f t="array" aca="1" ref="BG31" ca="1">IFERROR(VLOOKUP(BE$5&amp;$AV31,CHOOSE({1,2},D_技能表CD!$C$2:$C$313&amp;D_技能表CD!$E$2:$E$313,D_技能表CD!$L$2:$L$313),2,FALSE),0)</f>
        <v>25</v>
      </c>
      <c r="BH31">
        <f t="array" aca="1" ref="BH31" ca="1">IFERROR(VLOOKUP(BE$5&amp;$AV31,CHOOSE({1,2},D_技能表CD!$C$2:$C$313&amp;D_技能表CD!$E$2:$E$313,D_技能表CD!$K$2:$K$313),2,FALSE),0)</f>
        <v>15</v>
      </c>
      <c r="BI31">
        <f t="array" ref="BI31">IFERROR(VLOOKUP(BI$5&amp;$AV31,CHOOSE({1,2},D_技能表CD!$C$2:$C$313&amp;D_技能表CD!$E$2:$E$313,D_技能表CD!$I$2:$I$313),2,FALSE),0)</f>
        <v>0</v>
      </c>
      <c r="BJ31">
        <f t="array" aca="1" ref="BJ31" ca="1">IFERROR(VLOOKUP(BI$5&amp;$AV31,CHOOSE({1,2},D_技能表CD!$C$2:$C$313&amp;D_技能表CD!$E$2:$E$313,D_技能表CD!$H$2:$H$313),2,FALSE),0)</f>
        <v>0</v>
      </c>
      <c r="BK31">
        <f t="array" aca="1" ref="BK31" ca="1">IFERROR(VLOOKUP(BI$5&amp;$AV31,CHOOSE({1,2},D_技能表CD!$C$2:$C$313&amp;D_技能表CD!$E$2:$E$313,D_技能表CD!$L$2:$L$313),2,FALSE),0)</f>
        <v>0</v>
      </c>
      <c r="BL31">
        <f t="array" aca="1" ref="BL31" ca="1">IFERROR(VLOOKUP(BI$5&amp;$AV31,CHOOSE({1,2},D_技能表CD!$C$2:$C$313&amp;D_技能表CD!$E$2:$E$313,D_技能表CD!$K$2:$K$313),2,FALSE),0)</f>
        <v>0</v>
      </c>
    </row>
    <row r="32" spans="1:64" x14ac:dyDescent="0.15">
      <c r="A32">
        <f t="shared" ca="1" si="0"/>
        <v>333494</v>
      </c>
      <c r="B32" s="33">
        <f ca="1">SUM($E$7:E32,$I$7:I32,$M$7:M32,$Q$7:Q32,$U$7:U32,$Y$7:Y32,$AC$7:AC32,$AG$7:AG32,$AK$7:AK32,$AO$7:AO32)</f>
        <v>193994</v>
      </c>
      <c r="C32">
        <v>26</v>
      </c>
      <c r="D32">
        <f t="array" aca="1" ref="D32" ca="1">IFERROR(VLOOKUP($D$5&amp;C32,CHOOSE({1,2},D_技能表!$C$2:$C$1210&amp;D_技能表!$E$2:$E$1210,D_技能表!$I$2:$I$1210),2,FALSE),0)</f>
        <v>0</v>
      </c>
      <c r="E32">
        <f t="array" aca="1" ref="E32" ca="1">IFERROR(VLOOKUP($D$5&amp;$C32,CHOOSE({1,2},D_技能表!$C$2:$C$1210&amp;D_技能表!$E$2:$E$1210,D_技能表!$N$2:$N$1210),2,FALSE),0)</f>
        <v>0</v>
      </c>
      <c r="F32">
        <f t="array" aca="1" ref="F32" ca="1">IFERROR(VLOOKUP($D$5&amp;$C32,CHOOSE({1,2},D_技能表!$C$2:$C$1210&amp;D_技能表!$E$2:$E$1210,D_技能表!$W$2:$W$1210),2,FALSE),0)</f>
        <v>0</v>
      </c>
      <c r="G32">
        <f t="array" aca="1" ref="G32" ca="1">IFERROR(VLOOKUP($D$5&amp;$C32,CHOOSE({1,2},D_技能表!$C$2:$C$1210&amp;D_技能表!$E$2:$E$1210,D_技能表!$Z$2:$Z$1210),2,FALSE),0)</f>
        <v>0</v>
      </c>
      <c r="H32">
        <f t="array" aca="1" ref="H32" ca="1">IFERROR(VLOOKUP($H$5&amp;$C32,CHOOSE({1,2},D_技能表!$C$2:$C$1210&amp;D_技能表!$E$2:$E$1210,D_技能表!$I$2:$I$1210),2,FALSE),0)</f>
        <v>0</v>
      </c>
      <c r="I32">
        <f t="array" aca="1" ref="I32" ca="1">IFERROR(VLOOKUP($H$5&amp;$C32,CHOOSE({1,2},D_技能表!$C$2:$C$1210&amp;D_技能表!$E$2:$E$1210,D_技能表!$N$2:$N$1210),2,FALSE),0)</f>
        <v>0</v>
      </c>
      <c r="J32">
        <f t="array" aca="1" ref="J32" ca="1">IFERROR(VLOOKUP($H$5&amp;$C32,CHOOSE({1,2},D_技能表!$C$2:$C$1210&amp;D_技能表!$E$2:$E$1210,D_技能表!$W$2:$W$1210),2,FALSE),0)</f>
        <v>0</v>
      </c>
      <c r="K32">
        <f t="array" aca="1" ref="K32" ca="1">IFERROR(VLOOKUP($H$5&amp;$C32,CHOOSE({1,2},D_技能表!$C$2:$C$1210&amp;D_技能表!$E$2:$E$1210,D_技能表!$Z$2:$Z$1210),2,FALSE),0)</f>
        <v>0</v>
      </c>
      <c r="L32">
        <f t="array" aca="1" ref="L32" ca="1">IFERROR(VLOOKUP($L$5&amp;$C32,CHOOSE({1,2},D_技能表!$C$2:$C$1210&amp;D_技能表!$E$2:$E$1210,D_技能表!$I$2:$I$1210),2,FALSE),0)</f>
        <v>0</v>
      </c>
      <c r="M32">
        <f t="array" aca="1" ref="M32" ca="1">IFERROR(VLOOKUP($L$5&amp;$C32,CHOOSE({1,2},D_技能表!$C$2:$C$1210&amp;D_技能表!$E$2:$E$1210,D_技能表!$N$2:$N$1210),2,FALSE),0)</f>
        <v>0</v>
      </c>
      <c r="N32">
        <f t="array" aca="1" ref="N32" ca="1">IFERROR(VLOOKUP($L$5&amp;$C32,CHOOSE({1,2},D_技能表!$C$2:$C$1210&amp;D_技能表!$E$2:$E$1210,D_技能表!$W$2:$W$1210),2,FALSE),0)</f>
        <v>0</v>
      </c>
      <c r="O32">
        <f t="array" aca="1" ref="O32" ca="1">IFERROR(VLOOKUP($L$5&amp;$C32,CHOOSE({1,2},D_技能表!$C$2:$C$1210&amp;D_技能表!$E$2:$E$1210,D_技能表!$Z$2:$Z$1210),2,FALSE),0)</f>
        <v>0</v>
      </c>
      <c r="P32">
        <f t="array" aca="1" ref="P32" ca="1">IFERROR(VLOOKUP($P$5&amp;$C32,CHOOSE({1,2},D_技能表!$C$2:$C$1210&amp;D_技能表!$E$2:$E$1210,D_技能表!$I$2:$I$1210),2,FALSE),0)</f>
        <v>13</v>
      </c>
      <c r="Q32">
        <f t="array" aca="1" ref="Q32" ca="1">IFERROR(VLOOKUP($P$5&amp;$C32,CHOOSE({1,2},D_技能表!$C$2:$C$1210&amp;D_技能表!$E$2:$E$1210,D_技能表!$N$2:$N$1210),2,FALSE),0)</f>
        <v>2960</v>
      </c>
      <c r="R32">
        <f t="array" aca="1" ref="R32" ca="1">IFERROR(VLOOKUP($P$5&amp;$C32,CHOOSE({1,2},D_技能表!$C$2:$C$1210&amp;D_技能表!$E$2:$E$1210,D_技能表!$W$2:$W$1210),2,FALSE),0)</f>
        <v>8</v>
      </c>
      <c r="S32">
        <f t="array" aca="1" ref="S32" ca="1">IFERROR(VLOOKUP($P$5&amp;$C32,CHOOSE({1,2},D_技能表!$C$2:$C$1210&amp;D_技能表!$E$2:$E$1210,D_技能表!$Z$2:$Z$1210),2,FALSE),0)</f>
        <v>0</v>
      </c>
      <c r="T32">
        <f t="array" aca="1" ref="T32" ca="1">IFERROR(VLOOKUP($T$5&amp;$C32,CHOOSE({1,2},D_技能表!$C$2:$C$1210&amp;D_技能表!$E$2:$E$1210,D_技能表!$I$2:$I$1210),2,FALSE),0)</f>
        <v>12</v>
      </c>
      <c r="U32">
        <f t="array" aca="1" ref="U32" ca="1">IFERROR(VLOOKUP($T$5&amp;$C32,CHOOSE({1,2},D_技能表!$C$2:$C$1210&amp;D_技能表!$E$2:$E$1210,D_技能表!$N$2:$N$1210),2,FALSE),0)</f>
        <v>4810</v>
      </c>
      <c r="V32">
        <f t="array" aca="1" ref="V32" ca="1">IFERROR(VLOOKUP($T$5&amp;$C32,CHOOSE({1,2},D_技能表!$C$2:$C$1210&amp;D_技能表!$E$2:$E$1210,D_技能表!$W$2:$W$1210),2,FALSE),0)</f>
        <v>13</v>
      </c>
      <c r="W32">
        <f t="array" aca="1" ref="W32" ca="1">IFERROR(VLOOKUP($T$5&amp;$C32,CHOOSE({1,2},D_技能表!$C$2:$C$1210&amp;D_技能表!$E$2:$E$1210,D_技能表!$Z$2:$Z$1210),2,FALSE),0)</f>
        <v>0</v>
      </c>
      <c r="X32">
        <f t="array" aca="1" ref="X32" ca="1">IFERROR(VLOOKUP($X$5&amp;$C32,CHOOSE({1,2},D_技能表!$C$2:$C$1210&amp;D_技能表!$E$2:$E$1210,D_技能表!$I$2:$I$1210),2,FALSE),0)</f>
        <v>14</v>
      </c>
      <c r="Y32">
        <f t="array" aca="1" ref="Y32" ca="1">IFERROR(VLOOKUP($X$5&amp;$C32,CHOOSE({1,2},D_技能表!$C$2:$C$1210&amp;D_技能表!$E$2:$E$1210,D_技能表!$N$2:$N$1210),2,FALSE),0)</f>
        <v>7030</v>
      </c>
      <c r="Z32">
        <f t="array" aca="1" ref="Z32" ca="1">IFERROR(VLOOKUP($X$5&amp;$C32,CHOOSE({1,2},D_技能表!$C$2:$C$1210&amp;D_技能表!$E$2:$E$1210,D_技能表!$W$2:$W$1210),2,FALSE),0)</f>
        <v>19</v>
      </c>
      <c r="AA32">
        <f t="array" aca="1" ref="AA32" ca="1">IFERROR(VLOOKUP($X$5&amp;$C32,CHOOSE({1,2},D_技能表!$C$2:$C$1210&amp;D_技能表!$E$2:$E$1210,D_技能表!$Z$2:$Z$1210),2,FALSE),0)</f>
        <v>0</v>
      </c>
      <c r="AB32">
        <f t="array" aca="1" ref="AB32" ca="1">IFERROR(VLOOKUP($AB$5&amp;$C32,CHOOSE({1,2},D_技能表!$C$2:$C$1210&amp;D_技能表!$E$2:$E$1210,D_技能表!$I$2:$I$1210),2,FALSE),0)</f>
        <v>0</v>
      </c>
      <c r="AC32">
        <f t="array" aca="1" ref="AC32" ca="1">IFERROR(VLOOKUP($AB$5&amp;$C32,CHOOSE({1,2},D_技能表!$C$2:$C$1210&amp;D_技能表!$E$2:$E$1210,D_技能表!$N$2:$N$1210),2,FALSE),0)</f>
        <v>0</v>
      </c>
      <c r="AD32">
        <f t="array" aca="1" ref="AD32" ca="1">IFERROR(VLOOKUP($AB$5&amp;$C32,CHOOSE({1,2},D_技能表!$C$2:$C$1210&amp;D_技能表!$E$2:$E$1210,D_技能表!$W$2:$W$1210),2,FALSE),0)</f>
        <v>0</v>
      </c>
      <c r="AE32">
        <f t="array" aca="1" ref="AE32" ca="1">IFERROR(VLOOKUP($AB$5&amp;$C32,CHOOSE({1,2},D_技能表!$C$2:$C$1210&amp;D_技能表!$E$2:$E$1210,D_技能表!$Z$2:$Z$1210),2,FALSE),0)</f>
        <v>0</v>
      </c>
      <c r="AF32">
        <f t="array" aca="1" ref="AF32" ca="1">IFERROR(VLOOKUP($AF$5&amp;$C32,CHOOSE({1,2},D_技能表!$C$2:$C$1210&amp;D_技能表!$E$2:$E$1210,D_技能表!$I$2:$I$1210),2,FALSE),0)</f>
        <v>0</v>
      </c>
      <c r="AG32">
        <f t="array" aca="1" ref="AG32" ca="1">IFERROR(VLOOKUP($AF$5&amp;$C32,CHOOSE({1,2},D_技能表!$C$2:$C$1210&amp;D_技能表!$E$2:$E$1210,D_技能表!$N$2:$N$1210),2,FALSE),0)</f>
        <v>0</v>
      </c>
      <c r="AH32">
        <f t="array" aca="1" ref="AH32" ca="1">IFERROR(VLOOKUP($AF$5&amp;$C32,CHOOSE({1,2},D_技能表!$C$2:$C$1210&amp;D_技能表!$E$2:$E$1210,D_技能表!$W$2:$W$1210),2,FALSE),0)</f>
        <v>0</v>
      </c>
      <c r="AI32">
        <f t="array" aca="1" ref="AI32" ca="1">IFERROR(VLOOKUP($AF$5&amp;$C32,CHOOSE({1,2},D_技能表!$C$2:$C$1210&amp;D_技能表!$E$2:$E$1210,D_技能表!$Z$2:$Z$1210),2,FALSE),0)</f>
        <v>0</v>
      </c>
      <c r="AJ32">
        <f t="array" aca="1" ref="AJ32" ca="1">IFERROR(VLOOKUP($AJ$5&amp;$C32,CHOOSE({1,2},D_技能表!$C$2:$C$1210&amp;D_技能表!$E$2:$E$1210,D_技能表!$I$2:$I$1210),2,FALSE),0)</f>
        <v>0</v>
      </c>
      <c r="AK32">
        <f t="array" aca="1" ref="AK32" ca="1">IFERROR(VLOOKUP($AJ$5&amp;$C32,CHOOSE({1,2},D_技能表!$C$2:$C$1210&amp;D_技能表!$E$2:$E$1210,D_技能表!$N$2:$N$1210),2,FALSE),0)</f>
        <v>0</v>
      </c>
      <c r="AL32">
        <f t="array" aca="1" ref="AL32" ca="1">IFERROR(VLOOKUP($AJ$5&amp;$C32,CHOOSE({1,2},D_技能表!$C$2:$C$1210&amp;D_技能表!$E$2:$E$1210,D_技能表!$W$2:$W$1210),2,FALSE),0)</f>
        <v>0</v>
      </c>
      <c r="AM32">
        <f t="array" aca="1" ref="AM32" ca="1">IFERROR(VLOOKUP($AJ$5&amp;$C32,CHOOSE({1,2},D_技能表!$C$2:$C$1210&amp;D_技能表!$E$2:$E$1210,D_技能表!$Z$2:$Z$1210),2,FALSE),0)</f>
        <v>0</v>
      </c>
      <c r="AN32">
        <f t="array" aca="1" ref="AN32" ca="1">IFERROR(VLOOKUP($AN$5&amp;$C32,CHOOSE({1,2},D_技能表!$C$2:$C$1210&amp;D_技能表!$E$2:$E$1210,D_技能表!$I$2:$I$1210),2,FALSE),0)</f>
        <v>10</v>
      </c>
      <c r="AO32">
        <f t="array" aca="1" ref="AO32" ca="1">IFERROR(VLOOKUP($AN$5&amp;$C32,CHOOSE({1,2},D_技能表!$C$2:$C$1210&amp;D_技能表!$E$2:$E$1210,D_技能表!$N$2:$N$1210),2,FALSE),0)</f>
        <v>4440</v>
      </c>
      <c r="AP32">
        <f t="array" aca="1" ref="AP32" ca="1">IFERROR(VLOOKUP($AN$5&amp;$C32,CHOOSE({1,2},D_技能表!$C$2:$C$1210&amp;D_技能表!$E$2:$E$1210,D_技能表!$W$2:$W$1210),2,FALSE),0)</f>
        <v>12</v>
      </c>
      <c r="AQ32">
        <f t="array" aca="1" ref="AQ32" ca="1">IFERROR(VLOOKUP($AN$5&amp;$C32,CHOOSE({1,2},D_技能表!$C$2:$C$1210&amp;D_技能表!$E$2:$E$1210,D_技能表!$Z$2:$Z$1210),2,FALSE),0)</f>
        <v>0</v>
      </c>
      <c r="AR32" s="11">
        <f ca="1">SUM($G$7:G33,$K$7:K33,$O$7:O33,$S$7:S33,$W$7:W33,$AA$7:AA33,$AE$7:AE33,$AI$7:AI33,$AM$7:AM33,$AQ$7:AQ33)</f>
        <v>0</v>
      </c>
      <c r="AS32">
        <f ca="1">SUM($F$7:F33,$J$7:J33,$N$7:N33,$R$7:R33,$V$7:V33,$Z$7:Z33,$AD$7:AD33,$AH$7:AH33,$AL$7:AL33,$AP$7:AP33)</f>
        <v>1065</v>
      </c>
      <c r="AT32">
        <f t="shared" ca="1" si="1"/>
        <v>52</v>
      </c>
      <c r="AU32" s="33">
        <f ca="1">SUM($AX$7:AX32,$BB$7:BB32,$BF$7:BF32,$BJ$7:BJ32)</f>
        <v>139500</v>
      </c>
      <c r="AV32">
        <v>26</v>
      </c>
      <c r="AW32">
        <f t="array" ref="AW32">IFERROR(VLOOKUP(AW$5&amp;$AV32,CHOOSE({1,2},D_技能表CD!$C$2:$C$313&amp;D_技能表CD!$E$2:$E$313,D_技能表CD!$I$2:$I$313),2,FALSE),0)</f>
        <v>0</v>
      </c>
      <c r="AX32">
        <f t="array" aca="1" ref="AX32" ca="1">IFERROR(VLOOKUP(AW$5&amp;$AV32,CHOOSE({1,2},D_技能表CD!$C$2:$C$313&amp;D_技能表CD!$E$2:$E$313,D_技能表CD!$H$2:$H$313),2,FALSE),0)</f>
        <v>0</v>
      </c>
      <c r="AY32">
        <f t="array" aca="1" ref="AY32" ca="1">IFERROR(VLOOKUP(AW$5&amp;$AV32,CHOOSE({1,2},D_技能表CD!$C$2:$C$313&amp;D_技能表CD!$E$2:$E$313,D_技能表CD!$L$2:$L$313),2,FALSE),0)</f>
        <v>0</v>
      </c>
      <c r="AZ32">
        <f t="array" aca="1" ref="AZ32" ca="1">IFERROR(VLOOKUP(AW$5&amp;$AV32,CHOOSE({1,2},D_技能表CD!$C$2:$C$313&amp;D_技能表CD!$E$2:$E$313,D_技能表CD!$K$2:$K$313),2,FALSE),0)</f>
        <v>0</v>
      </c>
      <c r="BA32">
        <f t="array" ref="BA32">IFERROR(VLOOKUP(BA$5&amp;$AV32,CHOOSE({1,2},D_技能表CD!$C$2:$C$313&amp;D_技能表CD!$E$2:$E$313,D_技能表CD!$I$2:$I$313),2,FALSE),0)</f>
        <v>0</v>
      </c>
      <c r="BB32">
        <f t="array" aca="1" ref="BB32" ca="1">IFERROR(VLOOKUP(BA$5&amp;$AV32,CHOOSE({1,2},D_技能表CD!$C$2:$C$313&amp;D_技能表CD!$E$2:$E$313,D_技能表CD!$H$2:$H$313),2,FALSE),0)</f>
        <v>0</v>
      </c>
      <c r="BC32">
        <f t="array" aca="1" ref="BC32" ca="1">IFERROR(VLOOKUP(BA$5&amp;$AV32,CHOOSE({1,2},D_技能表CD!$C$2:$C$313&amp;D_技能表CD!$E$2:$E$313,D_技能表CD!$L$2:$L$313),2,FALSE),0)</f>
        <v>0</v>
      </c>
      <c r="BD32">
        <f t="array" aca="1" ref="BD32" ca="1">IFERROR(VLOOKUP(BA$5&amp;$AV32,CHOOSE({1,2},D_技能表CD!$C$2:$C$313&amp;D_技能表CD!$E$2:$E$313,D_技能表CD!$K$2:$K$313),2,FALSE),0)</f>
        <v>0</v>
      </c>
      <c r="BE32">
        <f t="array" ref="BE32">IFERROR(VLOOKUP(BE$5&amp;$AV32,CHOOSE({1,2},D_技能表CD!$C$2:$C$313&amp;D_技能表CD!$E$2:$E$313,D_技能表CD!$I$2:$I$313),2,FALSE),0)</f>
        <v>0</v>
      </c>
      <c r="BF32">
        <f t="array" aca="1" ref="BF32" ca="1">IFERROR(VLOOKUP(BE$5&amp;$AV32,CHOOSE({1,2},D_技能表CD!$C$2:$C$313&amp;D_技能表CD!$E$2:$E$313,D_技能表CD!$H$2:$H$313),2,FALSE),0)</f>
        <v>0</v>
      </c>
      <c r="BG32">
        <f t="array" aca="1" ref="BG32" ca="1">IFERROR(VLOOKUP(BE$5&amp;$AV32,CHOOSE({1,2},D_技能表CD!$C$2:$C$313&amp;D_技能表CD!$E$2:$E$313,D_技能表CD!$L$2:$L$313),2,FALSE),0)</f>
        <v>0</v>
      </c>
      <c r="BH32">
        <f t="array" aca="1" ref="BH32" ca="1">IFERROR(VLOOKUP(BE$5&amp;$AV32,CHOOSE({1,2},D_技能表CD!$C$2:$C$313&amp;D_技能表CD!$E$2:$E$313,D_技能表CD!$K$2:$K$313),2,FALSE),0)</f>
        <v>0</v>
      </c>
      <c r="BI32">
        <f t="array" ref="BI32">IFERROR(VLOOKUP(BI$5&amp;$AV32,CHOOSE({1,2},D_技能表CD!$C$2:$C$313&amp;D_技能表CD!$E$2:$E$313,D_技能表CD!$I$2:$I$313),2,FALSE),0)</f>
        <v>8</v>
      </c>
      <c r="BJ32">
        <f t="array" aca="1" ref="BJ32" ca="1">IFERROR(VLOOKUP(BI$5&amp;$AV32,CHOOSE({1,2},D_技能表CD!$C$2:$C$313&amp;D_技能表CD!$E$2:$E$313,D_技能表CD!$H$2:$H$313),2,FALSE),0)</f>
        <v>12750</v>
      </c>
      <c r="BK32">
        <f t="array" aca="1" ref="BK32" ca="1">IFERROR(VLOOKUP(BI$5&amp;$AV32,CHOOSE({1,2},D_技能表CD!$C$2:$C$313&amp;D_技能表CD!$E$2:$E$313,D_技能表CD!$L$2:$L$313),2,FALSE),0)</f>
        <v>54</v>
      </c>
      <c r="BL32">
        <f t="array" aca="1" ref="BL32" ca="1">IFERROR(VLOOKUP(BI$5&amp;$AV32,CHOOSE({1,2},D_技能表CD!$C$2:$C$313&amp;D_技能表CD!$E$2:$E$313,D_技能表CD!$K$2:$K$313),2,FALSE),0)</f>
        <v>31</v>
      </c>
    </row>
    <row r="33" spans="1:64" x14ac:dyDescent="0.15">
      <c r="A33">
        <f t="shared" ca="1" si="0"/>
        <v>391206</v>
      </c>
      <c r="B33" s="33">
        <f ca="1">SUM($E$7:E33,$I$7:I33,$M$7:M33,$Q$7:Q33,$U$7:U33,$Y$7:Y33,$AC$7:AC33,$AG$7:AG33,$AK$7:AK33,$AO$7:AO33)</f>
        <v>235406</v>
      </c>
      <c r="C33">
        <v>27</v>
      </c>
      <c r="D33">
        <f t="array" aca="1" ref="D33" ca="1">IFERROR(VLOOKUP($D$5&amp;C33,CHOOSE({1,2},D_技能表!$C$2:$C$1210&amp;D_技能表!$E$2:$E$1210,D_技能表!$I$2:$I$1210),2,FALSE),0)</f>
        <v>16</v>
      </c>
      <c r="E33">
        <f t="array" aca="1" ref="E33" ca="1">IFERROR(VLOOKUP($D$5&amp;$C33,CHOOSE({1,2},D_技能表!$C$2:$C$1210&amp;D_技能表!$E$2:$E$1210,D_技能表!$N$2:$N$1210),2,FALSE),0)</f>
        <v>9338</v>
      </c>
      <c r="F33">
        <f t="array" aca="1" ref="F33" ca="1">IFERROR(VLOOKUP($D$5&amp;$C33,CHOOSE({1,2},D_技能表!$C$2:$C$1210&amp;D_技能表!$E$2:$E$1210,D_技能表!$W$2:$W$1210),2,FALSE),0)</f>
        <v>23</v>
      </c>
      <c r="G33">
        <f t="array" aca="1" ref="G33" ca="1">IFERROR(VLOOKUP($D$5&amp;$C33,CHOOSE({1,2},D_技能表!$C$2:$C$1210&amp;D_技能表!$E$2:$E$1210,D_技能表!$Z$2:$Z$1210),2,FALSE),0)</f>
        <v>0</v>
      </c>
      <c r="H33">
        <f t="array" aca="1" ref="H33" ca="1">IFERROR(VLOOKUP($H$5&amp;$C33,CHOOSE({1,2},D_技能表!$C$2:$C$1210&amp;D_技能表!$E$2:$E$1210,D_技能表!$I$2:$I$1210),2,FALSE),0)</f>
        <v>15</v>
      </c>
      <c r="I33">
        <f t="array" aca="1" ref="I33" ca="1">IFERROR(VLOOKUP($H$5&amp;$C33,CHOOSE({1,2},D_技能表!$C$2:$C$1210&amp;D_技能表!$E$2:$E$1210,D_技能表!$N$2:$N$1210),2,FALSE),0)</f>
        <v>4060</v>
      </c>
      <c r="J33">
        <f t="array" aca="1" ref="J33" ca="1">IFERROR(VLOOKUP($H$5&amp;$C33,CHOOSE({1,2},D_技能表!$C$2:$C$1210&amp;D_技能表!$E$2:$E$1210,D_技能表!$W$2:$W$1210),2,FALSE),0)</f>
        <v>10</v>
      </c>
      <c r="K33">
        <f t="array" aca="1" ref="K33" ca="1">IFERROR(VLOOKUP($H$5&amp;$C33,CHOOSE({1,2},D_技能表!$C$2:$C$1210&amp;D_技能表!$E$2:$E$1210,D_技能表!$Z$2:$Z$1210),2,FALSE),0)</f>
        <v>0</v>
      </c>
      <c r="L33">
        <f t="array" aca="1" ref="L33" ca="1">IFERROR(VLOOKUP($L$5&amp;$C33,CHOOSE({1,2},D_技能表!$C$2:$C$1210&amp;D_技能表!$E$2:$E$1210,D_技能表!$I$2:$I$1210),2,FALSE),0)</f>
        <v>15</v>
      </c>
      <c r="M33">
        <f t="array" aca="1" ref="M33" ca="1">IFERROR(VLOOKUP($L$5&amp;$C33,CHOOSE({1,2},D_技能表!$C$2:$C$1210&amp;D_技能表!$E$2:$E$1210,D_技能表!$N$2:$N$1210),2,FALSE),0)</f>
        <v>4060</v>
      </c>
      <c r="N33">
        <f t="array" aca="1" ref="N33" ca="1">IFERROR(VLOOKUP($L$5&amp;$C33,CHOOSE({1,2},D_技能表!$C$2:$C$1210&amp;D_技能表!$E$2:$E$1210,D_技能表!$W$2:$W$1210),2,FALSE),0)</f>
        <v>10</v>
      </c>
      <c r="O33">
        <f t="array" aca="1" ref="O33" ca="1">IFERROR(VLOOKUP($L$5&amp;$C33,CHOOSE({1,2},D_技能表!$C$2:$C$1210&amp;D_技能表!$E$2:$E$1210,D_技能表!$Z$2:$Z$1210),2,FALSE),0)</f>
        <v>0</v>
      </c>
      <c r="P33">
        <f t="array" aca="1" ref="P33" ca="1">IFERROR(VLOOKUP($P$5&amp;$C33,CHOOSE({1,2},D_技能表!$C$2:$C$1210&amp;D_技能表!$E$2:$E$1210,D_技能表!$I$2:$I$1210),2,FALSE),0)</f>
        <v>14</v>
      </c>
      <c r="Q33">
        <f t="array" aca="1" ref="Q33" ca="1">IFERROR(VLOOKUP($P$5&amp;$C33,CHOOSE({1,2},D_技能表!$C$2:$C$1210&amp;D_技能表!$E$2:$E$1210,D_技能表!$N$2:$N$1210),2,FALSE),0)</f>
        <v>3654</v>
      </c>
      <c r="R33">
        <f t="array" aca="1" ref="R33" ca="1">IFERROR(VLOOKUP($P$5&amp;$C33,CHOOSE({1,2},D_技能表!$C$2:$C$1210&amp;D_技能表!$E$2:$E$1210,D_技能表!$W$2:$W$1210),2,FALSE),0)</f>
        <v>9</v>
      </c>
      <c r="S33">
        <f t="array" aca="1" ref="S33" ca="1">IFERROR(VLOOKUP($P$5&amp;$C33,CHOOSE({1,2},D_技能表!$C$2:$C$1210&amp;D_技能表!$E$2:$E$1210,D_技能表!$Z$2:$Z$1210),2,FALSE),0)</f>
        <v>0</v>
      </c>
      <c r="T33">
        <f t="array" aca="1" ref="T33" ca="1">IFERROR(VLOOKUP($T$5&amp;$C33,CHOOSE({1,2},D_技能表!$C$2:$C$1210&amp;D_技能表!$E$2:$E$1210,D_技能表!$I$2:$I$1210),2,FALSE),0)</f>
        <v>13</v>
      </c>
      <c r="U33">
        <f t="array" aca="1" ref="U33" ca="1">IFERROR(VLOOKUP($T$5&amp;$C33,CHOOSE({1,2},D_技能表!$C$2:$C$1210&amp;D_技能表!$E$2:$E$1210,D_技能表!$N$2:$N$1210),2,FALSE),0)</f>
        <v>5684</v>
      </c>
      <c r="V33">
        <f t="array" aca="1" ref="V33" ca="1">IFERROR(VLOOKUP($T$5&amp;$C33,CHOOSE({1,2},D_技能表!$C$2:$C$1210&amp;D_技能表!$E$2:$E$1210,D_技能表!$W$2:$W$1210),2,FALSE),0)</f>
        <v>14</v>
      </c>
      <c r="W33">
        <f t="array" aca="1" ref="W33" ca="1">IFERROR(VLOOKUP($T$5&amp;$C33,CHOOSE({1,2},D_技能表!$C$2:$C$1210&amp;D_技能表!$E$2:$E$1210,D_技能表!$Z$2:$Z$1210),2,FALSE),0)</f>
        <v>0</v>
      </c>
      <c r="X33">
        <f t="array" aca="1" ref="X33" ca="1">IFERROR(VLOOKUP($X$5&amp;$C33,CHOOSE({1,2},D_技能表!$C$2:$C$1210&amp;D_技能表!$E$2:$E$1210,D_技能表!$I$2:$I$1210),2,FALSE),0)</f>
        <v>0</v>
      </c>
      <c r="Y33">
        <f t="array" aca="1" ref="Y33" ca="1">IFERROR(VLOOKUP($X$5&amp;$C33,CHOOSE({1,2},D_技能表!$C$2:$C$1210&amp;D_技能表!$E$2:$E$1210,D_技能表!$N$2:$N$1210),2,FALSE),0)</f>
        <v>0</v>
      </c>
      <c r="Z33">
        <f t="array" aca="1" ref="Z33" ca="1">IFERROR(VLOOKUP($X$5&amp;$C33,CHOOSE({1,2},D_技能表!$C$2:$C$1210&amp;D_技能表!$E$2:$E$1210,D_技能表!$W$2:$W$1210),2,FALSE),0)</f>
        <v>0</v>
      </c>
      <c r="AA33">
        <f t="array" aca="1" ref="AA33" ca="1">IFERROR(VLOOKUP($X$5&amp;$C33,CHOOSE({1,2},D_技能表!$C$2:$C$1210&amp;D_技能表!$E$2:$E$1210,D_技能表!$Z$2:$Z$1210),2,FALSE),0)</f>
        <v>0</v>
      </c>
      <c r="AB33">
        <f t="array" aca="1" ref="AB33" ca="1">IFERROR(VLOOKUP($AB$5&amp;$C33,CHOOSE({1,2},D_技能表!$C$2:$C$1210&amp;D_技能表!$E$2:$E$1210,D_技能表!$I$2:$I$1210),2,FALSE),0)</f>
        <v>14</v>
      </c>
      <c r="AC33">
        <f t="array" aca="1" ref="AC33" ca="1">IFERROR(VLOOKUP($AB$5&amp;$C33,CHOOSE({1,2},D_技能表!$C$2:$C$1210&amp;D_技能表!$E$2:$E$1210,D_技能表!$N$2:$N$1210),2,FALSE),0)</f>
        <v>3654</v>
      </c>
      <c r="AD33">
        <f t="array" aca="1" ref="AD33" ca="1">IFERROR(VLOOKUP($AB$5&amp;$C33,CHOOSE({1,2},D_技能表!$C$2:$C$1210&amp;D_技能表!$E$2:$E$1210,D_技能表!$W$2:$W$1210),2,FALSE),0)</f>
        <v>9</v>
      </c>
      <c r="AE33">
        <f t="array" aca="1" ref="AE33" ca="1">IFERROR(VLOOKUP($AB$5&amp;$C33,CHOOSE({1,2},D_技能表!$C$2:$C$1210&amp;D_技能表!$E$2:$E$1210,D_技能表!$Z$2:$Z$1210),2,FALSE),0)</f>
        <v>0</v>
      </c>
      <c r="AF33">
        <f t="array" aca="1" ref="AF33" ca="1">IFERROR(VLOOKUP($AF$5&amp;$C33,CHOOSE({1,2},D_技能表!$C$2:$C$1210&amp;D_技能表!$E$2:$E$1210,D_技能表!$I$2:$I$1210),2,FALSE),0)</f>
        <v>13</v>
      </c>
      <c r="AG33">
        <f t="array" aca="1" ref="AG33" ca="1">IFERROR(VLOOKUP($AF$5&amp;$C33,CHOOSE({1,2},D_技能表!$C$2:$C$1210&amp;D_技能表!$E$2:$E$1210,D_技能表!$N$2:$N$1210),2,FALSE),0)</f>
        <v>3248</v>
      </c>
      <c r="AH33">
        <f t="array" aca="1" ref="AH33" ca="1">IFERROR(VLOOKUP($AF$5&amp;$C33,CHOOSE({1,2},D_技能表!$C$2:$C$1210&amp;D_技能表!$E$2:$E$1210,D_技能表!$W$2:$W$1210),2,FALSE),0)</f>
        <v>8</v>
      </c>
      <c r="AI33">
        <f t="array" aca="1" ref="AI33" ca="1">IFERROR(VLOOKUP($AF$5&amp;$C33,CHOOSE({1,2},D_技能表!$C$2:$C$1210&amp;D_技能表!$E$2:$E$1210,D_技能表!$Z$2:$Z$1210),2,FALSE),0)</f>
        <v>0</v>
      </c>
      <c r="AJ33">
        <f t="array" aca="1" ref="AJ33" ca="1">IFERROR(VLOOKUP($AJ$5&amp;$C33,CHOOSE({1,2},D_技能表!$C$2:$C$1210&amp;D_技能表!$E$2:$E$1210,D_技能表!$I$2:$I$1210),2,FALSE),0)</f>
        <v>12</v>
      </c>
      <c r="AK33">
        <f t="array" aca="1" ref="AK33" ca="1">IFERROR(VLOOKUP($AJ$5&amp;$C33,CHOOSE({1,2},D_技能表!$C$2:$C$1210&amp;D_技能表!$E$2:$E$1210,D_技能表!$N$2:$N$1210),2,FALSE),0)</f>
        <v>2842</v>
      </c>
      <c r="AL33">
        <f t="array" aca="1" ref="AL33" ca="1">IFERROR(VLOOKUP($AJ$5&amp;$C33,CHOOSE({1,2},D_技能表!$C$2:$C$1210&amp;D_技能表!$E$2:$E$1210,D_技能表!$W$2:$W$1210),2,FALSE),0)</f>
        <v>7</v>
      </c>
      <c r="AM33">
        <f t="array" aca="1" ref="AM33" ca="1">IFERROR(VLOOKUP($AJ$5&amp;$C33,CHOOSE({1,2},D_技能表!$C$2:$C$1210&amp;D_技能表!$E$2:$E$1210,D_技能表!$Z$2:$Z$1210),2,FALSE),0)</f>
        <v>0</v>
      </c>
      <c r="AN33">
        <f t="array" aca="1" ref="AN33" ca="1">IFERROR(VLOOKUP($AN$5&amp;$C33,CHOOSE({1,2},D_技能表!$C$2:$C$1210&amp;D_技能表!$E$2:$E$1210,D_技能表!$I$2:$I$1210),2,FALSE),0)</f>
        <v>11</v>
      </c>
      <c r="AO33">
        <f t="array" aca="1" ref="AO33" ca="1">IFERROR(VLOOKUP($AN$5&amp;$C33,CHOOSE({1,2},D_技能表!$C$2:$C$1210&amp;D_技能表!$E$2:$E$1210,D_技能表!$N$2:$N$1210),2,FALSE),0)</f>
        <v>4872</v>
      </c>
      <c r="AP33">
        <f t="array" aca="1" ref="AP33" ca="1">IFERROR(VLOOKUP($AN$5&amp;$C33,CHOOSE({1,2},D_技能表!$C$2:$C$1210&amp;D_技能表!$E$2:$E$1210,D_技能表!$W$2:$W$1210),2,FALSE),0)</f>
        <v>12</v>
      </c>
      <c r="AQ33">
        <f t="array" aca="1" ref="AQ33" ca="1">IFERROR(VLOOKUP($AN$5&amp;$C33,CHOOSE({1,2},D_技能表!$C$2:$C$1210&amp;D_技能表!$E$2:$E$1210,D_技能表!$Z$2:$Z$1210),2,FALSE),0)</f>
        <v>0</v>
      </c>
      <c r="AR33" s="11">
        <f ca="1">SUM($G$7:G34,$K$7:K34,$O$7:O34,$S$7:S34,$W$7:W34,$AA$7:AA34,$AE$7:AE34,$AI$7:AI34,$AM$7:AM34,$AQ$7:AQ34)</f>
        <v>0</v>
      </c>
      <c r="AS33">
        <f ca="1">SUM($F$7:F34,$J$7:J34,$N$7:N34,$R$7:R34,$V$7:V34,$Z$7:Z34,$AD$7:AD34,$AH$7:AH34,$AL$7:AL34,$AP$7:AP34)</f>
        <v>1144</v>
      </c>
      <c r="AT33">
        <f t="shared" ca="1" si="1"/>
        <v>102</v>
      </c>
      <c r="AU33" s="33">
        <f ca="1">SUM($AX$7:AX33,$BB$7:BB33,$BF$7:BF33,$BJ$7:BJ33)</f>
        <v>155800</v>
      </c>
      <c r="AV33">
        <v>27</v>
      </c>
      <c r="AW33">
        <f t="array" ref="AW33">IFERROR(VLOOKUP(AW$5&amp;$AV33,CHOOSE({1,2},D_技能表CD!$C$2:$C$313&amp;D_技能表CD!$E$2:$E$313,D_技能表CD!$I$2:$I$313),2,FALSE),0)</f>
        <v>0</v>
      </c>
      <c r="AX33">
        <f t="array" aca="1" ref="AX33" ca="1">IFERROR(VLOOKUP(AW$5&amp;$AV33,CHOOSE({1,2},D_技能表CD!$C$2:$C$313&amp;D_技能表CD!$E$2:$E$313,D_技能表CD!$H$2:$H$313),2,FALSE),0)</f>
        <v>0</v>
      </c>
      <c r="AY33">
        <f t="array" aca="1" ref="AY33" ca="1">IFERROR(VLOOKUP(AW$5&amp;$AV33,CHOOSE({1,2},D_技能表CD!$C$2:$C$313&amp;D_技能表CD!$E$2:$E$313,D_技能表CD!$L$2:$L$313),2,FALSE),0)</f>
        <v>0</v>
      </c>
      <c r="AZ33">
        <f t="array" aca="1" ref="AZ33" ca="1">IFERROR(VLOOKUP(AW$5&amp;$AV33,CHOOSE({1,2},D_技能表CD!$C$2:$C$313&amp;D_技能表CD!$E$2:$E$313,D_技能表CD!$K$2:$K$313),2,FALSE),0)</f>
        <v>0</v>
      </c>
      <c r="BA33">
        <f t="array" ref="BA33">IFERROR(VLOOKUP(BA$5&amp;$AV33,CHOOSE({1,2},D_技能表CD!$C$2:$C$313&amp;D_技能表CD!$E$2:$E$313,D_技能表CD!$I$2:$I$313),2,FALSE),0)</f>
        <v>9</v>
      </c>
      <c r="BB33">
        <f t="array" aca="1" ref="BB33" ca="1">IFERROR(VLOOKUP(BA$5&amp;$AV33,CHOOSE({1,2},D_技能表CD!$C$2:$C$313&amp;D_技能表CD!$E$2:$E$313,D_技能表CD!$H$2:$H$313),2,FALSE),0)</f>
        <v>16300</v>
      </c>
      <c r="BC33">
        <f t="array" aca="1" ref="BC33" ca="1">IFERROR(VLOOKUP(BA$5&amp;$AV33,CHOOSE({1,2},D_技能表CD!$C$2:$C$313&amp;D_技能表CD!$E$2:$E$313,D_技能表CD!$L$2:$L$313),2,FALSE),0)</f>
        <v>65</v>
      </c>
      <c r="BD33">
        <f t="array" aca="1" ref="BD33" ca="1">IFERROR(VLOOKUP(BA$5&amp;$AV33,CHOOSE({1,2},D_技能表CD!$C$2:$C$313&amp;D_技能表CD!$E$2:$E$313,D_技能表CD!$K$2:$K$313),2,FALSE),0)</f>
        <v>47</v>
      </c>
      <c r="BE33">
        <f t="array" ref="BE33">IFERROR(VLOOKUP(BE$5&amp;$AV33,CHOOSE({1,2},D_技能表CD!$C$2:$C$313&amp;D_技能表CD!$E$2:$E$313,D_技能表CD!$I$2:$I$313),2,FALSE),0)</f>
        <v>0</v>
      </c>
      <c r="BF33">
        <f t="array" aca="1" ref="BF33" ca="1">IFERROR(VLOOKUP(BE$5&amp;$AV33,CHOOSE({1,2},D_技能表CD!$C$2:$C$313&amp;D_技能表CD!$E$2:$E$313,D_技能表CD!$H$2:$H$313),2,FALSE),0)</f>
        <v>0</v>
      </c>
      <c r="BG33">
        <f t="array" aca="1" ref="BG33" ca="1">IFERROR(VLOOKUP(BE$5&amp;$AV33,CHOOSE({1,2},D_技能表CD!$C$2:$C$313&amp;D_技能表CD!$E$2:$E$313,D_技能表CD!$L$2:$L$313),2,FALSE),0)</f>
        <v>0</v>
      </c>
      <c r="BH33">
        <f t="array" aca="1" ref="BH33" ca="1">IFERROR(VLOOKUP(BE$5&amp;$AV33,CHOOSE({1,2},D_技能表CD!$C$2:$C$313&amp;D_技能表CD!$E$2:$E$313,D_技能表CD!$K$2:$K$313),2,FALSE),0)</f>
        <v>0</v>
      </c>
      <c r="BI33">
        <f t="array" ref="BI33">IFERROR(VLOOKUP(BI$5&amp;$AV33,CHOOSE({1,2},D_技能表CD!$C$2:$C$313&amp;D_技能表CD!$E$2:$E$313,D_技能表CD!$I$2:$I$313),2,FALSE),0)</f>
        <v>0</v>
      </c>
      <c r="BJ33">
        <f t="array" aca="1" ref="BJ33" ca="1">IFERROR(VLOOKUP(BI$5&amp;$AV33,CHOOSE({1,2},D_技能表CD!$C$2:$C$313&amp;D_技能表CD!$E$2:$E$313,D_技能表CD!$H$2:$H$313),2,FALSE),0)</f>
        <v>0</v>
      </c>
      <c r="BK33">
        <f t="array" aca="1" ref="BK33" ca="1">IFERROR(VLOOKUP(BI$5&amp;$AV33,CHOOSE({1,2},D_技能表CD!$C$2:$C$313&amp;D_技能表CD!$E$2:$E$313,D_技能表CD!$L$2:$L$313),2,FALSE),0)</f>
        <v>0</v>
      </c>
      <c r="BL33">
        <f t="array" aca="1" ref="BL33" ca="1">IFERROR(VLOOKUP(BI$5&amp;$AV33,CHOOSE({1,2},D_技能表CD!$C$2:$C$313&amp;D_技能表CD!$E$2:$E$313,D_技能表CD!$K$2:$K$313),2,FALSE),0)</f>
        <v>0</v>
      </c>
    </row>
    <row r="34" spans="1:64" x14ac:dyDescent="0.15">
      <c r="A34">
        <f t="shared" ca="1" si="0"/>
        <v>443853</v>
      </c>
      <c r="B34" s="33">
        <f ca="1">SUM($E$7:E34,$I$7:I34,$M$7:M34,$Q$7:Q34,$U$7:U34,$Y$7:Y34,$AC$7:AC34,$AG$7:AG34,$AK$7:AK34,$AO$7:AO34)</f>
        <v>270403</v>
      </c>
      <c r="C34">
        <v>28</v>
      </c>
      <c r="D34">
        <f t="array" aca="1" ref="D34" ca="1">IFERROR(VLOOKUP($D$5&amp;C34,CHOOSE({1,2},D_技能表!$C$2:$C$1210&amp;D_技能表!$E$2:$E$1210,D_技能表!$I$2:$I$1210),2,FALSE),0)</f>
        <v>0</v>
      </c>
      <c r="E34">
        <f t="array" aca="1" ref="E34" ca="1">IFERROR(VLOOKUP($D$5&amp;$C34,CHOOSE({1,2},D_技能表!$C$2:$C$1210&amp;D_技能表!$E$2:$E$1210,D_技能表!$N$2:$N$1210),2,FALSE),0)</f>
        <v>0</v>
      </c>
      <c r="F34">
        <f t="array" aca="1" ref="F34" ca="1">IFERROR(VLOOKUP($D$5&amp;$C34,CHOOSE({1,2},D_技能表!$C$2:$C$1210&amp;D_技能表!$E$2:$E$1210,D_技能表!$W$2:$W$1210),2,FALSE),0)</f>
        <v>0</v>
      </c>
      <c r="G34">
        <f t="array" aca="1" ref="G34" ca="1">IFERROR(VLOOKUP($D$5&amp;$C34,CHOOSE({1,2},D_技能表!$C$2:$C$1210&amp;D_技能表!$E$2:$E$1210,D_技能表!$Z$2:$Z$1210),2,FALSE),0)</f>
        <v>0</v>
      </c>
      <c r="H34">
        <f t="array" aca="1" ref="H34" ca="1">IFERROR(VLOOKUP($H$5&amp;$C34,CHOOSE({1,2},D_技能表!$C$2:$C$1210&amp;D_技能表!$E$2:$E$1210,D_技能表!$I$2:$I$1210),2,FALSE),0)</f>
        <v>16</v>
      </c>
      <c r="I34">
        <f t="array" aca="1" ref="I34" ca="1">IFERROR(VLOOKUP($H$5&amp;$C34,CHOOSE({1,2},D_技能表!$C$2:$C$1210&amp;D_技能表!$E$2:$E$1210,D_技能表!$N$2:$N$1210),2,FALSE),0)</f>
        <v>4430</v>
      </c>
      <c r="J34">
        <f t="array" aca="1" ref="J34" ca="1">IFERROR(VLOOKUP($H$5&amp;$C34,CHOOSE({1,2},D_技能表!$C$2:$C$1210&amp;D_技能表!$E$2:$E$1210,D_技能表!$W$2:$W$1210),2,FALSE),0)</f>
        <v>10</v>
      </c>
      <c r="K34">
        <f t="array" aca="1" ref="K34" ca="1">IFERROR(VLOOKUP($H$5&amp;$C34,CHOOSE({1,2},D_技能表!$C$2:$C$1210&amp;D_技能表!$E$2:$E$1210,D_技能表!$Z$2:$Z$1210),2,FALSE),0)</f>
        <v>0</v>
      </c>
      <c r="L34">
        <f t="array" aca="1" ref="L34" ca="1">IFERROR(VLOOKUP($L$5&amp;$C34,CHOOSE({1,2},D_技能表!$C$2:$C$1210&amp;D_技能表!$E$2:$E$1210,D_技能表!$I$2:$I$1210),2,FALSE),0)</f>
        <v>16</v>
      </c>
      <c r="M34">
        <f t="array" aca="1" ref="M34" ca="1">IFERROR(VLOOKUP($L$5&amp;$C34,CHOOSE({1,2},D_技能表!$C$2:$C$1210&amp;D_技能表!$E$2:$E$1210,D_技能表!$N$2:$N$1210),2,FALSE),0)</f>
        <v>4430</v>
      </c>
      <c r="N34">
        <f t="array" aca="1" ref="N34" ca="1">IFERROR(VLOOKUP($L$5&amp;$C34,CHOOSE({1,2},D_技能表!$C$2:$C$1210&amp;D_技能表!$E$2:$E$1210,D_技能表!$W$2:$W$1210),2,FALSE),0)</f>
        <v>10</v>
      </c>
      <c r="O34">
        <f t="array" aca="1" ref="O34" ca="1">IFERROR(VLOOKUP($L$5&amp;$C34,CHOOSE({1,2},D_技能表!$C$2:$C$1210&amp;D_技能表!$E$2:$E$1210,D_技能表!$Z$2:$Z$1210),2,FALSE),0)</f>
        <v>0</v>
      </c>
      <c r="P34">
        <f t="array" aca="1" ref="P34" ca="1">IFERROR(VLOOKUP($P$5&amp;$C34,CHOOSE({1,2},D_技能表!$C$2:$C$1210&amp;D_技能表!$E$2:$E$1210,D_技能表!$I$2:$I$1210),2,FALSE),0)</f>
        <v>0</v>
      </c>
      <c r="Q34">
        <f t="array" aca="1" ref="Q34" ca="1">IFERROR(VLOOKUP($P$5&amp;$C34,CHOOSE({1,2},D_技能表!$C$2:$C$1210&amp;D_技能表!$E$2:$E$1210,D_技能表!$N$2:$N$1210),2,FALSE),0)</f>
        <v>0</v>
      </c>
      <c r="R34">
        <f t="array" aca="1" ref="R34" ca="1">IFERROR(VLOOKUP($P$5&amp;$C34,CHOOSE({1,2},D_技能表!$C$2:$C$1210&amp;D_技能表!$E$2:$E$1210,D_技能表!$W$2:$W$1210),2,FALSE),0)</f>
        <v>0</v>
      </c>
      <c r="S34">
        <f t="array" aca="1" ref="S34" ca="1">IFERROR(VLOOKUP($P$5&amp;$C34,CHOOSE({1,2},D_技能表!$C$2:$C$1210&amp;D_技能表!$E$2:$E$1210,D_技能表!$Z$2:$Z$1210),2,FALSE),0)</f>
        <v>0</v>
      </c>
      <c r="T34">
        <f t="array" aca="1" ref="T34" ca="1">IFERROR(VLOOKUP($T$5&amp;$C34,CHOOSE({1,2},D_技能表!$C$2:$C$1210&amp;D_技能表!$E$2:$E$1210,D_技能表!$I$2:$I$1210),2,FALSE),0)</f>
        <v>0</v>
      </c>
      <c r="U34">
        <f t="array" aca="1" ref="U34" ca="1">IFERROR(VLOOKUP($T$5&amp;$C34,CHOOSE({1,2},D_技能表!$C$2:$C$1210&amp;D_技能表!$E$2:$E$1210,D_技能表!$N$2:$N$1210),2,FALSE),0)</f>
        <v>0</v>
      </c>
      <c r="V34">
        <f t="array" aca="1" ref="V34" ca="1">IFERROR(VLOOKUP($T$5&amp;$C34,CHOOSE({1,2},D_技能表!$C$2:$C$1210&amp;D_技能表!$E$2:$E$1210,D_技能表!$W$2:$W$1210),2,FALSE),0)</f>
        <v>0</v>
      </c>
      <c r="W34">
        <f t="array" aca="1" ref="W34" ca="1">IFERROR(VLOOKUP($T$5&amp;$C34,CHOOSE({1,2},D_技能表!$C$2:$C$1210&amp;D_技能表!$E$2:$E$1210,D_技能表!$Z$2:$Z$1210),2,FALSE),0)</f>
        <v>0</v>
      </c>
      <c r="X34">
        <f t="array" aca="1" ref="X34" ca="1">IFERROR(VLOOKUP($X$5&amp;$C34,CHOOSE({1,2},D_技能表!$C$2:$C$1210&amp;D_技能表!$E$2:$E$1210,D_技能表!$I$2:$I$1210),2,FALSE),0)</f>
        <v>15</v>
      </c>
      <c r="Y34">
        <f t="array" aca="1" ref="Y34" ca="1">IFERROR(VLOOKUP($X$5&amp;$C34,CHOOSE({1,2},D_技能表!$C$2:$C$1210&amp;D_技能表!$E$2:$E$1210,D_技能表!$N$2:$N$1210),2,FALSE),0)</f>
        <v>8860</v>
      </c>
      <c r="Z34">
        <f t="array" aca="1" ref="Z34" ca="1">IFERROR(VLOOKUP($X$5&amp;$C34,CHOOSE({1,2},D_技能表!$C$2:$C$1210&amp;D_技能表!$E$2:$E$1210,D_技能表!$W$2:$W$1210),2,FALSE),0)</f>
        <v>20</v>
      </c>
      <c r="AA34">
        <f t="array" aca="1" ref="AA34" ca="1">IFERROR(VLOOKUP($X$5&amp;$C34,CHOOSE({1,2},D_技能表!$C$2:$C$1210&amp;D_技能表!$E$2:$E$1210,D_技能表!$Z$2:$Z$1210),2,FALSE),0)</f>
        <v>0</v>
      </c>
      <c r="AB34">
        <f t="array" aca="1" ref="AB34" ca="1">IFERROR(VLOOKUP($AB$5&amp;$C34,CHOOSE({1,2},D_技能表!$C$2:$C$1210&amp;D_技能表!$E$2:$E$1210,D_技能表!$I$2:$I$1210),2,FALSE),0)</f>
        <v>15</v>
      </c>
      <c r="AC34">
        <f t="array" aca="1" ref="AC34" ca="1">IFERROR(VLOOKUP($AB$5&amp;$C34,CHOOSE({1,2},D_技能表!$C$2:$C$1210&amp;D_技能表!$E$2:$E$1210,D_技能表!$N$2:$N$1210),2,FALSE),0)</f>
        <v>4430</v>
      </c>
      <c r="AD34">
        <f t="array" aca="1" ref="AD34" ca="1">IFERROR(VLOOKUP($AB$5&amp;$C34,CHOOSE({1,2},D_技能表!$C$2:$C$1210&amp;D_技能表!$E$2:$E$1210,D_技能表!$W$2:$W$1210),2,FALSE),0)</f>
        <v>10</v>
      </c>
      <c r="AE34">
        <f t="array" aca="1" ref="AE34" ca="1">IFERROR(VLOOKUP($AB$5&amp;$C34,CHOOSE({1,2},D_技能表!$C$2:$C$1210&amp;D_技能表!$E$2:$E$1210,D_技能表!$Z$2:$Z$1210),2,FALSE),0)</f>
        <v>0</v>
      </c>
      <c r="AF34">
        <f t="array" aca="1" ref="AF34" ca="1">IFERROR(VLOOKUP($AF$5&amp;$C34,CHOOSE({1,2},D_技能表!$C$2:$C$1210&amp;D_技能表!$E$2:$E$1210,D_技能表!$I$2:$I$1210),2,FALSE),0)</f>
        <v>14</v>
      </c>
      <c r="AG34">
        <f t="array" aca="1" ref="AG34" ca="1">IFERROR(VLOOKUP($AF$5&amp;$C34,CHOOSE({1,2},D_技能表!$C$2:$C$1210&amp;D_技能表!$E$2:$E$1210,D_技能表!$N$2:$N$1210),2,FALSE),0)</f>
        <v>3544</v>
      </c>
      <c r="AH34">
        <f t="array" aca="1" ref="AH34" ca="1">IFERROR(VLOOKUP($AF$5&amp;$C34,CHOOSE({1,2},D_技能表!$C$2:$C$1210&amp;D_技能表!$E$2:$E$1210,D_技能表!$W$2:$W$1210),2,FALSE),0)</f>
        <v>8</v>
      </c>
      <c r="AI34">
        <f t="array" aca="1" ref="AI34" ca="1">IFERROR(VLOOKUP($AF$5&amp;$C34,CHOOSE({1,2},D_技能表!$C$2:$C$1210&amp;D_技能表!$E$2:$E$1210,D_技能表!$Z$2:$Z$1210),2,FALSE),0)</f>
        <v>0</v>
      </c>
      <c r="AJ34">
        <f t="array" aca="1" ref="AJ34" ca="1">IFERROR(VLOOKUP($AJ$5&amp;$C34,CHOOSE({1,2},D_技能表!$C$2:$C$1210&amp;D_技能表!$E$2:$E$1210,D_技能表!$I$2:$I$1210),2,FALSE),0)</f>
        <v>13</v>
      </c>
      <c r="AK34">
        <f t="array" aca="1" ref="AK34" ca="1">IFERROR(VLOOKUP($AJ$5&amp;$C34,CHOOSE({1,2},D_技能表!$C$2:$C$1210&amp;D_技能表!$E$2:$E$1210,D_技能表!$N$2:$N$1210),2,FALSE),0)</f>
        <v>3544</v>
      </c>
      <c r="AL34">
        <f t="array" aca="1" ref="AL34" ca="1">IFERROR(VLOOKUP($AJ$5&amp;$C34,CHOOSE({1,2},D_技能表!$C$2:$C$1210&amp;D_技能表!$E$2:$E$1210,D_技能表!$W$2:$W$1210),2,FALSE),0)</f>
        <v>8</v>
      </c>
      <c r="AM34">
        <f t="array" aca="1" ref="AM34" ca="1">IFERROR(VLOOKUP($AJ$5&amp;$C34,CHOOSE({1,2},D_技能表!$C$2:$C$1210&amp;D_技能表!$E$2:$E$1210,D_技能表!$Z$2:$Z$1210),2,FALSE),0)</f>
        <v>0</v>
      </c>
      <c r="AN34">
        <f t="array" aca="1" ref="AN34" ca="1">IFERROR(VLOOKUP($AN$5&amp;$C34,CHOOSE({1,2},D_技能表!$C$2:$C$1210&amp;D_技能表!$E$2:$E$1210,D_技能表!$I$2:$I$1210),2,FALSE),0)</f>
        <v>12</v>
      </c>
      <c r="AO34">
        <f t="array" aca="1" ref="AO34" ca="1">IFERROR(VLOOKUP($AN$5&amp;$C34,CHOOSE({1,2},D_技能表!$C$2:$C$1210&amp;D_技能表!$E$2:$E$1210,D_技能表!$N$2:$N$1210),2,FALSE),0)</f>
        <v>5759</v>
      </c>
      <c r="AP34">
        <f t="array" aca="1" ref="AP34" ca="1">IFERROR(VLOOKUP($AN$5&amp;$C34,CHOOSE({1,2},D_技能表!$C$2:$C$1210&amp;D_技能表!$E$2:$E$1210,D_技能表!$W$2:$W$1210),2,FALSE),0)</f>
        <v>13</v>
      </c>
      <c r="AQ34">
        <f t="array" aca="1" ref="AQ34" ca="1">IFERROR(VLOOKUP($AN$5&amp;$C34,CHOOSE({1,2},D_技能表!$C$2:$C$1210&amp;D_技能表!$E$2:$E$1210,D_技能表!$Z$2:$Z$1210),2,FALSE),0)</f>
        <v>0</v>
      </c>
      <c r="AR34" s="11">
        <f ca="1">SUM($G$7:G35,$K$7:K35,$O$7:O35,$S$7:S35,$W$7:W35,$AA$7:AA35,$AE$7:AE35,$AI$7:AI35,$AM$7:AM35,$AQ$7:AQ35)</f>
        <v>0</v>
      </c>
      <c r="AS34">
        <f ca="1">SUM($F$7:F35,$J$7:J35,$N$7:N35,$R$7:R35,$V$7:V35,$Z$7:Z35,$AD$7:AD35,$AH$7:AH35,$AL$7:AL35,$AP$7:AP35)</f>
        <v>1215</v>
      </c>
      <c r="AT34">
        <f t="shared" ca="1" si="1"/>
        <v>79</v>
      </c>
      <c r="AU34" s="33">
        <f ca="1">SUM($AX$7:AX34,$BB$7:BB34,$BF$7:BF34,$BJ$7:BJ34)</f>
        <v>173450</v>
      </c>
      <c r="AV34">
        <v>28</v>
      </c>
      <c r="AW34">
        <f t="array" ref="AW34">IFERROR(VLOOKUP(AW$5&amp;$AV34,CHOOSE({1,2},D_技能表CD!$C$2:$C$313&amp;D_技能表CD!$E$2:$E$313,D_技能表CD!$I$2:$I$313),2,FALSE),0)</f>
        <v>10</v>
      </c>
      <c r="AX34">
        <f t="array" aca="1" ref="AX34" ca="1">IFERROR(VLOOKUP(AW$5&amp;$AV34,CHOOSE({1,2},D_技能表CD!$C$2:$C$313&amp;D_技能表CD!$E$2:$E$313,D_技能表CD!$H$2:$H$313),2,FALSE),0)</f>
        <v>10400</v>
      </c>
      <c r="AY34">
        <f t="array" aca="1" ref="AY34" ca="1">IFERROR(VLOOKUP(AW$5&amp;$AV34,CHOOSE({1,2},D_技能表CD!$C$2:$C$313&amp;D_技能表CD!$E$2:$E$313,D_技能表CD!$L$2:$L$313),2,FALSE),0)</f>
        <v>39</v>
      </c>
      <c r="AZ34">
        <f t="array" aca="1" ref="AZ34" ca="1">IFERROR(VLOOKUP(AW$5&amp;$AV34,CHOOSE({1,2},D_技能表CD!$C$2:$C$313&amp;D_技能表CD!$E$2:$E$313,D_技能表CD!$K$2:$K$313),2,FALSE),0)</f>
        <v>34</v>
      </c>
      <c r="BA34">
        <f t="array" ref="BA34">IFERROR(VLOOKUP(BA$5&amp;$AV34,CHOOSE({1,2},D_技能表CD!$C$2:$C$313&amp;D_技能表CD!$E$2:$E$313,D_技能表CD!$I$2:$I$313),2,FALSE),0)</f>
        <v>0</v>
      </c>
      <c r="BB34">
        <f t="array" aca="1" ref="BB34" ca="1">IFERROR(VLOOKUP(BA$5&amp;$AV34,CHOOSE({1,2},D_技能表CD!$C$2:$C$313&amp;D_技能表CD!$E$2:$E$313,D_技能表CD!$H$2:$H$313),2,FALSE),0)</f>
        <v>0</v>
      </c>
      <c r="BC34">
        <f t="array" aca="1" ref="BC34" ca="1">IFERROR(VLOOKUP(BA$5&amp;$AV34,CHOOSE({1,2},D_技能表CD!$C$2:$C$313&amp;D_技能表CD!$E$2:$E$313,D_技能表CD!$L$2:$L$313),2,FALSE),0)</f>
        <v>0</v>
      </c>
      <c r="BD34">
        <f t="array" aca="1" ref="BD34" ca="1">IFERROR(VLOOKUP(BA$5&amp;$AV34,CHOOSE({1,2},D_技能表CD!$C$2:$C$313&amp;D_技能表CD!$E$2:$E$313,D_技能表CD!$K$2:$K$313),2,FALSE),0)</f>
        <v>0</v>
      </c>
      <c r="BE34">
        <f t="array" ref="BE34">IFERROR(VLOOKUP(BE$5&amp;$AV34,CHOOSE({1,2},D_技能表CD!$C$2:$C$313&amp;D_技能表CD!$E$2:$E$313,D_技能表CD!$I$2:$I$313),2,FALSE),0)</f>
        <v>9</v>
      </c>
      <c r="BF34">
        <f t="array" aca="1" ref="BF34" ca="1">IFERROR(VLOOKUP(BE$5&amp;$AV34,CHOOSE({1,2},D_技能表CD!$C$2:$C$313&amp;D_技能表CD!$E$2:$E$313,D_技能表CD!$H$2:$H$313),2,FALSE),0)</f>
        <v>7250</v>
      </c>
      <c r="BG34">
        <f t="array" aca="1" ref="BG34" ca="1">IFERROR(VLOOKUP(BE$5&amp;$AV34,CHOOSE({1,2},D_技能表CD!$C$2:$C$313&amp;D_技能表CD!$E$2:$E$313,D_技能表CD!$L$2:$L$313),2,FALSE),0)</f>
        <v>29</v>
      </c>
      <c r="BH34">
        <f t="array" aca="1" ref="BH34" ca="1">IFERROR(VLOOKUP(BE$5&amp;$AV34,CHOOSE({1,2},D_技能表CD!$C$2:$C$313&amp;D_技能表CD!$E$2:$E$313,D_技能表CD!$K$2:$K$313),2,FALSE),0)</f>
        <v>21</v>
      </c>
      <c r="BI34">
        <f t="array" ref="BI34">IFERROR(VLOOKUP(BI$5&amp;$AV34,CHOOSE({1,2},D_技能表CD!$C$2:$C$313&amp;D_技能表CD!$E$2:$E$313,D_技能表CD!$I$2:$I$313),2,FALSE),0)</f>
        <v>0</v>
      </c>
      <c r="BJ34">
        <f t="array" aca="1" ref="BJ34" ca="1">IFERROR(VLOOKUP(BI$5&amp;$AV34,CHOOSE({1,2},D_技能表CD!$C$2:$C$313&amp;D_技能表CD!$E$2:$E$313,D_技能表CD!$H$2:$H$313),2,FALSE),0)</f>
        <v>0</v>
      </c>
      <c r="BK34">
        <f t="array" aca="1" ref="BK34" ca="1">IFERROR(VLOOKUP(BI$5&amp;$AV34,CHOOSE({1,2},D_技能表CD!$C$2:$C$313&amp;D_技能表CD!$E$2:$E$313,D_技能表CD!$L$2:$L$313),2,FALSE),0)</f>
        <v>0</v>
      </c>
      <c r="BL34">
        <f t="array" aca="1" ref="BL34" ca="1">IFERROR(VLOOKUP(BI$5&amp;$AV34,CHOOSE({1,2},D_技能表CD!$C$2:$C$313&amp;D_技能表CD!$E$2:$E$313,D_技能表CD!$K$2:$K$313),2,FALSE),0)</f>
        <v>0</v>
      </c>
    </row>
    <row r="35" spans="1:64" x14ac:dyDescent="0.15">
      <c r="A35">
        <f t="shared" ca="1" si="0"/>
        <v>493975</v>
      </c>
      <c r="B35" s="33">
        <f ca="1">SUM($E$7:E35,$I$7:I35,$M$7:M35,$Q$7:Q35,$U$7:U35,$Y$7:Y35,$AC$7:AC35,$AG$7:AG35,$AK$7:AK35,$AO$7:AO35)</f>
        <v>304625</v>
      </c>
      <c r="C35">
        <v>29</v>
      </c>
      <c r="D35">
        <f t="array" aca="1" ref="D35" ca="1">IFERROR(VLOOKUP($D$5&amp;C35,CHOOSE({1,2},D_技能表!$C$2:$C$1210&amp;D_技能表!$E$2:$E$1210,D_技能表!$I$2:$I$1210),2,FALSE),0)</f>
        <v>17</v>
      </c>
      <c r="E35">
        <f t="array" aca="1" ref="E35" ca="1">IFERROR(VLOOKUP($D$5&amp;$C35,CHOOSE({1,2},D_技能表!$C$2:$C$1210&amp;D_技能表!$E$2:$E$1210,D_技能表!$N$2:$N$1210),2,FALSE),0)</f>
        <v>12050</v>
      </c>
      <c r="F35">
        <f t="array" aca="1" ref="F35" ca="1">IFERROR(VLOOKUP($D$5&amp;$C35,CHOOSE({1,2},D_技能表!$C$2:$C$1210&amp;D_技能表!$E$2:$E$1210,D_技能表!$W$2:$W$1210),2,FALSE),0)</f>
        <v>25</v>
      </c>
      <c r="G35">
        <f t="array" aca="1" ref="G35" ca="1">IFERROR(VLOOKUP($D$5&amp;$C35,CHOOSE({1,2},D_技能表!$C$2:$C$1210&amp;D_技能表!$E$2:$E$1210,D_技能表!$Z$2:$Z$1210),2,FALSE),0)</f>
        <v>0</v>
      </c>
      <c r="H35">
        <f t="array" aca="1" ref="H35" ca="1">IFERROR(VLOOKUP($H$5&amp;$C35,CHOOSE({1,2},D_技能表!$C$2:$C$1210&amp;D_技能表!$E$2:$E$1210,D_技能表!$I$2:$I$1210),2,FALSE),0)</f>
        <v>0</v>
      </c>
      <c r="I35">
        <f t="array" aca="1" ref="I35" ca="1">IFERROR(VLOOKUP($H$5&amp;$C35,CHOOSE({1,2},D_技能表!$C$2:$C$1210&amp;D_技能表!$E$2:$E$1210,D_技能表!$N$2:$N$1210),2,FALSE),0)</f>
        <v>0</v>
      </c>
      <c r="J35">
        <f t="array" aca="1" ref="J35" ca="1">IFERROR(VLOOKUP($H$5&amp;$C35,CHOOSE({1,2},D_技能表!$C$2:$C$1210&amp;D_技能表!$E$2:$E$1210,D_技能表!$W$2:$W$1210),2,FALSE),0)</f>
        <v>0</v>
      </c>
      <c r="K35">
        <f t="array" aca="1" ref="K35" ca="1">IFERROR(VLOOKUP($H$5&amp;$C35,CHOOSE({1,2},D_技能表!$C$2:$C$1210&amp;D_技能表!$E$2:$E$1210,D_技能表!$Z$2:$Z$1210),2,FALSE),0)</f>
        <v>0</v>
      </c>
      <c r="L35">
        <f t="array" aca="1" ref="L35" ca="1">IFERROR(VLOOKUP($L$5&amp;$C35,CHOOSE({1,2},D_技能表!$C$2:$C$1210&amp;D_技能表!$E$2:$E$1210,D_技能表!$I$2:$I$1210),2,FALSE),0)</f>
        <v>0</v>
      </c>
      <c r="M35">
        <f t="array" aca="1" ref="M35" ca="1">IFERROR(VLOOKUP($L$5&amp;$C35,CHOOSE({1,2},D_技能表!$C$2:$C$1210&amp;D_技能表!$E$2:$E$1210,D_技能表!$N$2:$N$1210),2,FALSE),0)</f>
        <v>0</v>
      </c>
      <c r="N35">
        <f t="array" aca="1" ref="N35" ca="1">IFERROR(VLOOKUP($L$5&amp;$C35,CHOOSE({1,2},D_技能表!$C$2:$C$1210&amp;D_技能表!$E$2:$E$1210,D_技能表!$W$2:$W$1210),2,FALSE),0)</f>
        <v>0</v>
      </c>
      <c r="O35">
        <f t="array" aca="1" ref="O35" ca="1">IFERROR(VLOOKUP($L$5&amp;$C35,CHOOSE({1,2},D_技能表!$C$2:$C$1210&amp;D_技能表!$E$2:$E$1210,D_技能表!$Z$2:$Z$1210),2,FALSE),0)</f>
        <v>0</v>
      </c>
      <c r="P35">
        <f t="array" aca="1" ref="P35" ca="1">IFERROR(VLOOKUP($P$5&amp;$C35,CHOOSE({1,2},D_技能表!$C$2:$C$1210&amp;D_技能表!$E$2:$E$1210,D_技能表!$I$2:$I$1210),2,FALSE),0)</f>
        <v>15</v>
      </c>
      <c r="Q35">
        <f t="array" aca="1" ref="Q35" ca="1">IFERROR(VLOOKUP($P$5&amp;$C35,CHOOSE({1,2},D_技能表!$C$2:$C$1210&amp;D_技能表!$E$2:$E$1210,D_技能表!$N$2:$N$1210),2,FALSE),0)</f>
        <v>4820</v>
      </c>
      <c r="R35">
        <f t="array" aca="1" ref="R35" ca="1">IFERROR(VLOOKUP($P$5&amp;$C35,CHOOSE({1,2},D_技能表!$C$2:$C$1210&amp;D_技能表!$E$2:$E$1210,D_技能表!$W$2:$W$1210),2,FALSE),0)</f>
        <v>10</v>
      </c>
      <c r="S35">
        <f t="array" aca="1" ref="S35" ca="1">IFERROR(VLOOKUP($P$5&amp;$C35,CHOOSE({1,2},D_技能表!$C$2:$C$1210&amp;D_技能表!$E$2:$E$1210,D_技能表!$Z$2:$Z$1210),2,FALSE),0)</f>
        <v>0</v>
      </c>
      <c r="T35">
        <f t="array" aca="1" ref="T35" ca="1">IFERROR(VLOOKUP($T$5&amp;$C35,CHOOSE({1,2},D_技能表!$C$2:$C$1210&amp;D_技能表!$E$2:$E$1210,D_技能表!$I$2:$I$1210),2,FALSE),0)</f>
        <v>14</v>
      </c>
      <c r="U35">
        <f t="array" aca="1" ref="U35" ca="1">IFERROR(VLOOKUP($T$5&amp;$C35,CHOOSE({1,2},D_技能表!$C$2:$C$1210&amp;D_技能表!$E$2:$E$1210,D_技能表!$N$2:$N$1210),2,FALSE),0)</f>
        <v>6748</v>
      </c>
      <c r="V35">
        <f t="array" aca="1" ref="V35" ca="1">IFERROR(VLOOKUP($T$5&amp;$C35,CHOOSE({1,2},D_技能表!$C$2:$C$1210&amp;D_技能表!$E$2:$E$1210,D_技能表!$W$2:$W$1210),2,FALSE),0)</f>
        <v>14</v>
      </c>
      <c r="W35">
        <f t="array" aca="1" ref="W35" ca="1">IFERROR(VLOOKUP($T$5&amp;$C35,CHOOSE({1,2},D_技能表!$C$2:$C$1210&amp;D_技能表!$E$2:$E$1210,D_技能表!$Z$2:$Z$1210),2,FALSE),0)</f>
        <v>0</v>
      </c>
      <c r="X35">
        <f t="array" aca="1" ref="X35" ca="1">IFERROR(VLOOKUP($X$5&amp;$C35,CHOOSE({1,2},D_技能表!$C$2:$C$1210&amp;D_技能表!$E$2:$E$1210,D_技能表!$I$2:$I$1210),2,FALSE),0)</f>
        <v>16</v>
      </c>
      <c r="Y35">
        <f t="array" aca="1" ref="Y35" ca="1">IFERROR(VLOOKUP($X$5&amp;$C35,CHOOSE({1,2},D_技能表!$C$2:$C$1210&amp;D_技能表!$E$2:$E$1210,D_技能表!$N$2:$N$1210),2,FALSE),0)</f>
        <v>10604</v>
      </c>
      <c r="Z35">
        <f t="array" aca="1" ref="Z35" ca="1">IFERROR(VLOOKUP($X$5&amp;$C35,CHOOSE({1,2},D_技能表!$C$2:$C$1210&amp;D_技能表!$E$2:$E$1210,D_技能表!$W$2:$W$1210),2,FALSE),0)</f>
        <v>22</v>
      </c>
      <c r="AA35">
        <f t="array" aca="1" ref="AA35" ca="1">IFERROR(VLOOKUP($X$5&amp;$C35,CHOOSE({1,2},D_技能表!$C$2:$C$1210&amp;D_技能表!$E$2:$E$1210,D_技能表!$Z$2:$Z$1210),2,FALSE),0)</f>
        <v>0</v>
      </c>
      <c r="AB35">
        <f t="array" aca="1" ref="AB35" ca="1">IFERROR(VLOOKUP($AB$5&amp;$C35,CHOOSE({1,2},D_技能表!$C$2:$C$1210&amp;D_技能表!$E$2:$E$1210,D_技能表!$I$2:$I$1210),2,FALSE),0)</f>
        <v>0</v>
      </c>
      <c r="AC35">
        <f t="array" aca="1" ref="AC35" ca="1">IFERROR(VLOOKUP($AB$5&amp;$C35,CHOOSE({1,2},D_技能表!$C$2:$C$1210&amp;D_技能表!$E$2:$E$1210,D_技能表!$N$2:$N$1210),2,FALSE),0)</f>
        <v>0</v>
      </c>
      <c r="AD35">
        <f t="array" aca="1" ref="AD35" ca="1">IFERROR(VLOOKUP($AB$5&amp;$C35,CHOOSE({1,2},D_技能表!$C$2:$C$1210&amp;D_技能表!$E$2:$E$1210,D_技能表!$W$2:$W$1210),2,FALSE),0)</f>
        <v>0</v>
      </c>
      <c r="AE35">
        <f t="array" aca="1" ref="AE35" ca="1">IFERROR(VLOOKUP($AB$5&amp;$C35,CHOOSE({1,2},D_技能表!$C$2:$C$1210&amp;D_技能表!$E$2:$E$1210,D_技能表!$Z$2:$Z$1210),2,FALSE),0)</f>
        <v>0</v>
      </c>
      <c r="AF35">
        <f t="array" aca="1" ref="AF35" ca="1">IFERROR(VLOOKUP($AF$5&amp;$C35,CHOOSE({1,2},D_技能表!$C$2:$C$1210&amp;D_技能表!$E$2:$E$1210,D_技能表!$I$2:$I$1210),2,FALSE),0)</f>
        <v>0</v>
      </c>
      <c r="AG35">
        <f t="array" aca="1" ref="AG35" ca="1">IFERROR(VLOOKUP($AF$5&amp;$C35,CHOOSE({1,2},D_技能表!$C$2:$C$1210&amp;D_技能表!$E$2:$E$1210,D_技能表!$N$2:$N$1210),2,FALSE),0)</f>
        <v>0</v>
      </c>
      <c r="AH35">
        <f t="array" aca="1" ref="AH35" ca="1">IFERROR(VLOOKUP($AF$5&amp;$C35,CHOOSE({1,2},D_技能表!$C$2:$C$1210&amp;D_技能表!$E$2:$E$1210,D_技能表!$W$2:$W$1210),2,FALSE),0)</f>
        <v>0</v>
      </c>
      <c r="AI35">
        <f t="array" aca="1" ref="AI35" ca="1">IFERROR(VLOOKUP($AF$5&amp;$C35,CHOOSE({1,2},D_技能表!$C$2:$C$1210&amp;D_技能表!$E$2:$E$1210,D_技能表!$Z$2:$Z$1210),2,FALSE),0)</f>
        <v>0</v>
      </c>
      <c r="AJ35">
        <f t="array" aca="1" ref="AJ35" ca="1">IFERROR(VLOOKUP($AJ$5&amp;$C35,CHOOSE({1,2},D_技能表!$C$2:$C$1210&amp;D_技能表!$E$2:$E$1210,D_技能表!$I$2:$I$1210),2,FALSE),0)</f>
        <v>0</v>
      </c>
      <c r="AK35">
        <f t="array" aca="1" ref="AK35" ca="1">IFERROR(VLOOKUP($AJ$5&amp;$C35,CHOOSE({1,2},D_技能表!$C$2:$C$1210&amp;D_技能表!$E$2:$E$1210,D_技能表!$N$2:$N$1210),2,FALSE),0)</f>
        <v>0</v>
      </c>
      <c r="AL35">
        <f t="array" aca="1" ref="AL35" ca="1">IFERROR(VLOOKUP($AJ$5&amp;$C35,CHOOSE({1,2},D_技能表!$C$2:$C$1210&amp;D_技能表!$E$2:$E$1210,D_技能表!$W$2:$W$1210),2,FALSE),0)</f>
        <v>0</v>
      </c>
      <c r="AM35">
        <f t="array" aca="1" ref="AM35" ca="1">IFERROR(VLOOKUP($AJ$5&amp;$C35,CHOOSE({1,2},D_技能表!$C$2:$C$1210&amp;D_技能表!$E$2:$E$1210,D_技能表!$Z$2:$Z$1210),2,FALSE),0)</f>
        <v>0</v>
      </c>
      <c r="AN35">
        <f t="array" aca="1" ref="AN35" ca="1">IFERROR(VLOOKUP($AN$5&amp;$C35,CHOOSE({1,2},D_技能表!$C$2:$C$1210&amp;D_技能表!$E$2:$E$1210,D_技能表!$I$2:$I$1210),2,FALSE),0)</f>
        <v>0</v>
      </c>
      <c r="AO35">
        <f t="array" aca="1" ref="AO35" ca="1">IFERROR(VLOOKUP($AN$5&amp;$C35,CHOOSE({1,2},D_技能表!$C$2:$C$1210&amp;D_技能表!$E$2:$E$1210,D_技能表!$N$2:$N$1210),2,FALSE),0)</f>
        <v>0</v>
      </c>
      <c r="AP35">
        <f t="array" aca="1" ref="AP35" ca="1">IFERROR(VLOOKUP($AN$5&amp;$C35,CHOOSE({1,2},D_技能表!$C$2:$C$1210&amp;D_技能表!$E$2:$E$1210,D_技能表!$W$2:$W$1210),2,FALSE),0)</f>
        <v>0</v>
      </c>
      <c r="AQ35">
        <f t="array" aca="1" ref="AQ35" ca="1">IFERROR(VLOOKUP($AN$5&amp;$C35,CHOOSE({1,2},D_技能表!$C$2:$C$1210&amp;D_技能表!$E$2:$E$1210,D_技能表!$Z$2:$Z$1210),2,FALSE),0)</f>
        <v>0</v>
      </c>
      <c r="AR35" s="11">
        <f ca="1">SUM($G$7:G36,$K$7:K36,$O$7:O36,$S$7:S36,$W$7:W36,$AA$7:AA36,$AE$7:AE36,$AI$7:AI36,$AM$7:AM36,$AQ$7:AQ36)</f>
        <v>11</v>
      </c>
      <c r="AS35">
        <f ca="1">SUM($F$7:F36,$J$7:J36,$N$7:N36,$R$7:R36,$V$7:V36,$Z$7:Z36,$AD$7:AD36,$AH$7:AH36,$AL$7:AL36,$AP$7:AP36)</f>
        <v>1330</v>
      </c>
      <c r="AT35">
        <f t="shared" ca="1" si="1"/>
        <v>71</v>
      </c>
      <c r="AU35" s="33">
        <f ca="1">SUM($AX$7:AX35,$BB$7:BB35,$BF$7:BF35,$BJ$7:BJ35)</f>
        <v>189350</v>
      </c>
      <c r="AV35">
        <v>29</v>
      </c>
      <c r="AW35">
        <f t="array" ref="AW35">IFERROR(VLOOKUP(AW$5&amp;$AV35,CHOOSE({1,2},D_技能表CD!$C$2:$C$313&amp;D_技能表CD!$E$2:$E$313,D_技能表CD!$I$2:$I$313),2,FALSE),0)</f>
        <v>0</v>
      </c>
      <c r="AX35">
        <f t="array" aca="1" ref="AX35" ca="1">IFERROR(VLOOKUP(AW$5&amp;$AV35,CHOOSE({1,2},D_技能表CD!$C$2:$C$313&amp;D_技能表CD!$E$2:$E$313,D_技能表CD!$H$2:$H$313),2,FALSE),0)</f>
        <v>0</v>
      </c>
      <c r="AY35">
        <f t="array" aca="1" ref="AY35" ca="1">IFERROR(VLOOKUP(AW$5&amp;$AV35,CHOOSE({1,2},D_技能表CD!$C$2:$C$313&amp;D_技能表CD!$E$2:$E$313,D_技能表CD!$L$2:$L$313),2,FALSE),0)</f>
        <v>0</v>
      </c>
      <c r="AZ35">
        <f t="array" aca="1" ref="AZ35" ca="1">IFERROR(VLOOKUP(AW$5&amp;$AV35,CHOOSE({1,2},D_技能表CD!$C$2:$C$313&amp;D_技能表CD!$E$2:$E$313,D_技能表CD!$K$2:$K$313),2,FALSE),0)</f>
        <v>0</v>
      </c>
      <c r="BA35">
        <f t="array" ref="BA35">IFERROR(VLOOKUP(BA$5&amp;$AV35,CHOOSE({1,2},D_技能表CD!$C$2:$C$313&amp;D_技能表CD!$E$2:$E$313,D_技能表CD!$I$2:$I$313),2,FALSE),0)</f>
        <v>0</v>
      </c>
      <c r="BB35">
        <f t="array" aca="1" ref="BB35" ca="1">IFERROR(VLOOKUP(BA$5&amp;$AV35,CHOOSE({1,2},D_技能表CD!$C$2:$C$313&amp;D_技能表CD!$E$2:$E$313,D_技能表CD!$H$2:$H$313),2,FALSE),0)</f>
        <v>0</v>
      </c>
      <c r="BC35">
        <f t="array" aca="1" ref="BC35" ca="1">IFERROR(VLOOKUP(BA$5&amp;$AV35,CHOOSE({1,2},D_技能表CD!$C$2:$C$313&amp;D_技能表CD!$E$2:$E$313,D_技能表CD!$L$2:$L$313),2,FALSE),0)</f>
        <v>0</v>
      </c>
      <c r="BD35">
        <f t="array" aca="1" ref="BD35" ca="1">IFERROR(VLOOKUP(BA$5&amp;$AV35,CHOOSE({1,2},D_技能表CD!$C$2:$C$313&amp;D_技能表CD!$E$2:$E$313,D_技能表CD!$K$2:$K$313),2,FALSE),0)</f>
        <v>0</v>
      </c>
      <c r="BE35">
        <f t="array" ref="BE35">IFERROR(VLOOKUP(BE$5&amp;$AV35,CHOOSE({1,2},D_技能表CD!$C$2:$C$313&amp;D_技能表CD!$E$2:$E$313,D_技能表CD!$I$2:$I$313),2,FALSE),0)</f>
        <v>0</v>
      </c>
      <c r="BF35">
        <f t="array" aca="1" ref="BF35" ca="1">IFERROR(VLOOKUP(BE$5&amp;$AV35,CHOOSE({1,2},D_技能表CD!$C$2:$C$313&amp;D_技能表CD!$E$2:$E$313,D_技能表CD!$H$2:$H$313),2,FALSE),0)</f>
        <v>0</v>
      </c>
      <c r="BG35">
        <f t="array" aca="1" ref="BG35" ca="1">IFERROR(VLOOKUP(BE$5&amp;$AV35,CHOOSE({1,2},D_技能表CD!$C$2:$C$313&amp;D_技能表CD!$E$2:$E$313,D_技能表CD!$L$2:$L$313),2,FALSE),0)</f>
        <v>0</v>
      </c>
      <c r="BH35">
        <f t="array" aca="1" ref="BH35" ca="1">IFERROR(VLOOKUP(BE$5&amp;$AV35,CHOOSE({1,2},D_技能表CD!$C$2:$C$313&amp;D_技能表CD!$E$2:$E$313,D_技能表CD!$K$2:$K$313),2,FALSE),0)</f>
        <v>0</v>
      </c>
      <c r="BI35">
        <f t="array" ref="BI35">IFERROR(VLOOKUP(BI$5&amp;$AV35,CHOOSE({1,2},D_技能表CD!$C$2:$C$313&amp;D_技能表CD!$E$2:$E$313,D_技能表CD!$I$2:$I$313),2,FALSE),0)</f>
        <v>9</v>
      </c>
      <c r="BJ35">
        <f t="array" aca="1" ref="BJ35" ca="1">IFERROR(VLOOKUP(BI$5&amp;$AV35,CHOOSE({1,2},D_技能表CD!$C$2:$C$313&amp;D_技能表CD!$E$2:$E$313,D_技能表CD!$H$2:$H$313),2,FALSE),0)</f>
        <v>15900</v>
      </c>
      <c r="BK35">
        <f t="array" aca="1" ref="BK35" ca="1">IFERROR(VLOOKUP(BI$5&amp;$AV35,CHOOSE({1,2},D_技能表CD!$C$2:$C$313&amp;D_技能表CD!$E$2:$E$313,D_技能表CD!$L$2:$L$313),2,FALSE),0)</f>
        <v>63</v>
      </c>
      <c r="BL35">
        <f t="array" aca="1" ref="BL35" ca="1">IFERROR(VLOOKUP(BI$5&amp;$AV35,CHOOSE({1,2},D_技能表CD!$C$2:$C$313&amp;D_技能表CD!$E$2:$E$313,D_技能表CD!$K$2:$K$313),2,FALSE),0)</f>
        <v>45</v>
      </c>
    </row>
    <row r="36" spans="1:64" x14ac:dyDescent="0.15">
      <c r="A36">
        <f t="shared" ca="1" si="0"/>
        <v>574055</v>
      </c>
      <c r="B36" s="33">
        <f ca="1">SUM($E$7:E36,$I$7:I36,$M$7:M36,$Q$7:Q36,$U$7:U36,$Y$7:Y36,$AC$7:AC36,$AG$7:AG36,$AK$7:AK36,$AO$7:AO36)</f>
        <v>364655</v>
      </c>
      <c r="C36">
        <v>30</v>
      </c>
      <c r="D36">
        <f t="array" aca="1" ref="D36" ca="1">IFERROR(VLOOKUP($D$5&amp;C36,CHOOSE({1,2},D_技能表!$C$2:$C$1210&amp;D_技能表!$E$2:$E$1210,D_技能表!$I$2:$I$1210),2,FALSE),0)</f>
        <v>18</v>
      </c>
      <c r="E36">
        <f t="array" aca="1" ref="E36" ca="1">IFERROR(VLOOKUP($D$5&amp;$C36,CHOOSE({1,2},D_技能表!$C$2:$C$1210&amp;D_技能表!$E$2:$E$1210,D_技能表!$N$2:$N$1210),2,FALSE),0)</f>
        <v>13572</v>
      </c>
      <c r="F36">
        <f t="array" aca="1" ref="F36" ca="1">IFERROR(VLOOKUP($D$5&amp;$C36,CHOOSE({1,2},D_技能表!$C$2:$C$1210&amp;D_技能表!$E$2:$E$1210,D_技能表!$W$2:$W$1210),2,FALSE),0)</f>
        <v>26</v>
      </c>
      <c r="G36">
        <f t="array" aca="1" ref="G36" ca="1">IFERROR(VLOOKUP($D$5&amp;$C36,CHOOSE({1,2},D_技能表!$C$2:$C$1210&amp;D_技能表!$E$2:$E$1210,D_技能表!$Z$2:$Z$1210),2,FALSE),0)</f>
        <v>11</v>
      </c>
      <c r="H36">
        <f t="array" aca="1" ref="H36" ca="1">IFERROR(VLOOKUP($H$5&amp;$C36,CHOOSE({1,2},D_技能表!$C$2:$C$1210&amp;D_技能表!$E$2:$E$1210,D_技能表!$I$2:$I$1210),2,FALSE),0)</f>
        <v>17</v>
      </c>
      <c r="I36">
        <f t="array" aca="1" ref="I36" ca="1">IFERROR(VLOOKUP($H$5&amp;$C36,CHOOSE({1,2},D_技能表!$C$2:$C$1210&amp;D_技能表!$E$2:$E$1210,D_技能表!$N$2:$N$1210),2,FALSE),0)</f>
        <v>5742</v>
      </c>
      <c r="J36">
        <f t="array" aca="1" ref="J36" ca="1">IFERROR(VLOOKUP($H$5&amp;$C36,CHOOSE({1,2},D_技能表!$C$2:$C$1210&amp;D_技能表!$E$2:$E$1210,D_技能表!$W$2:$W$1210),2,FALSE),0)</f>
        <v>11</v>
      </c>
      <c r="K36">
        <f t="array" aca="1" ref="K36" ca="1">IFERROR(VLOOKUP($H$5&amp;$C36,CHOOSE({1,2},D_技能表!$C$2:$C$1210&amp;D_技能表!$E$2:$E$1210,D_技能表!$Z$2:$Z$1210),2,FALSE),0)</f>
        <v>0</v>
      </c>
      <c r="L36">
        <f t="array" aca="1" ref="L36" ca="1">IFERROR(VLOOKUP($L$5&amp;$C36,CHOOSE({1,2},D_技能表!$C$2:$C$1210&amp;D_技能表!$E$2:$E$1210,D_技能表!$I$2:$I$1210),2,FALSE),0)</f>
        <v>17</v>
      </c>
      <c r="M36">
        <f t="array" aca="1" ref="M36" ca="1">IFERROR(VLOOKUP($L$5&amp;$C36,CHOOSE({1,2},D_技能表!$C$2:$C$1210&amp;D_技能表!$E$2:$E$1210,D_技能表!$N$2:$N$1210),2,FALSE),0)</f>
        <v>5742</v>
      </c>
      <c r="N36">
        <f t="array" aca="1" ref="N36" ca="1">IFERROR(VLOOKUP($L$5&amp;$C36,CHOOSE({1,2},D_技能表!$C$2:$C$1210&amp;D_技能表!$E$2:$E$1210,D_技能表!$W$2:$W$1210),2,FALSE),0)</f>
        <v>11</v>
      </c>
      <c r="O36">
        <f t="array" aca="1" ref="O36" ca="1">IFERROR(VLOOKUP($L$5&amp;$C36,CHOOSE({1,2},D_技能表!$C$2:$C$1210&amp;D_技能表!$E$2:$E$1210,D_技能表!$Z$2:$Z$1210),2,FALSE),0)</f>
        <v>0</v>
      </c>
      <c r="P36">
        <f t="array" aca="1" ref="P36" ca="1">IFERROR(VLOOKUP($P$5&amp;$C36,CHOOSE({1,2},D_技能表!$C$2:$C$1210&amp;D_技能表!$E$2:$E$1210,D_技能表!$I$2:$I$1210),2,FALSE),0)</f>
        <v>16</v>
      </c>
      <c r="Q36">
        <f t="array" aca="1" ref="Q36" ca="1">IFERROR(VLOOKUP($P$5&amp;$C36,CHOOSE({1,2},D_技能表!$C$2:$C$1210&amp;D_技能表!$E$2:$E$1210,D_技能表!$N$2:$N$1210),2,FALSE),0)</f>
        <v>5220</v>
      </c>
      <c r="R36">
        <f t="array" aca="1" ref="R36" ca="1">IFERROR(VLOOKUP($P$5&amp;$C36,CHOOSE({1,2},D_技能表!$C$2:$C$1210&amp;D_技能表!$E$2:$E$1210,D_技能表!$W$2:$W$1210),2,FALSE),0)</f>
        <v>10</v>
      </c>
      <c r="S36">
        <f t="array" aca="1" ref="S36" ca="1">IFERROR(VLOOKUP($P$5&amp;$C36,CHOOSE({1,2},D_技能表!$C$2:$C$1210&amp;D_技能表!$E$2:$E$1210,D_技能表!$Z$2:$Z$1210),2,FALSE),0)</f>
        <v>0</v>
      </c>
      <c r="T36">
        <f t="array" aca="1" ref="T36" ca="1">IFERROR(VLOOKUP($T$5&amp;$C36,CHOOSE({1,2},D_技能表!$C$2:$C$1210&amp;D_技能表!$E$2:$E$1210,D_技能表!$I$2:$I$1210),2,FALSE),0)</f>
        <v>15</v>
      </c>
      <c r="U36">
        <f t="array" aca="1" ref="U36" ca="1">IFERROR(VLOOKUP($T$5&amp;$C36,CHOOSE({1,2},D_技能表!$C$2:$C$1210&amp;D_技能表!$E$2:$E$1210,D_技能表!$N$2:$N$1210),2,FALSE),0)</f>
        <v>7830</v>
      </c>
      <c r="V36">
        <f t="array" aca="1" ref="V36" ca="1">IFERROR(VLOOKUP($T$5&amp;$C36,CHOOSE({1,2},D_技能表!$C$2:$C$1210&amp;D_技能表!$E$2:$E$1210,D_技能表!$W$2:$W$1210),2,FALSE),0)</f>
        <v>15</v>
      </c>
      <c r="W36">
        <f t="array" aca="1" ref="W36" ca="1">IFERROR(VLOOKUP($T$5&amp;$C36,CHOOSE({1,2},D_技能表!$C$2:$C$1210&amp;D_技能表!$E$2:$E$1210,D_技能表!$Z$2:$Z$1210),2,FALSE),0)</f>
        <v>0</v>
      </c>
      <c r="X36">
        <f t="array" aca="1" ref="X36" ca="1">IFERROR(VLOOKUP($X$5&amp;$C36,CHOOSE({1,2},D_技能表!$C$2:$C$1210&amp;D_技能表!$E$2:$E$1210,D_技能表!$I$2:$I$1210),2,FALSE),0)</f>
        <v>0</v>
      </c>
      <c r="Y36">
        <f t="array" aca="1" ref="Y36" ca="1">IFERROR(VLOOKUP($X$5&amp;$C36,CHOOSE({1,2},D_技能表!$C$2:$C$1210&amp;D_技能表!$E$2:$E$1210,D_技能表!$N$2:$N$1210),2,FALSE),0)</f>
        <v>0</v>
      </c>
      <c r="Z36">
        <f t="array" aca="1" ref="Z36" ca="1">IFERROR(VLOOKUP($X$5&amp;$C36,CHOOSE({1,2},D_技能表!$C$2:$C$1210&amp;D_技能表!$E$2:$E$1210,D_技能表!$W$2:$W$1210),2,FALSE),0)</f>
        <v>0</v>
      </c>
      <c r="AA36">
        <f t="array" aca="1" ref="AA36" ca="1">IFERROR(VLOOKUP($X$5&amp;$C36,CHOOSE({1,2},D_技能表!$C$2:$C$1210&amp;D_技能表!$E$2:$E$1210,D_技能表!$Z$2:$Z$1210),2,FALSE),0)</f>
        <v>0</v>
      </c>
      <c r="AB36">
        <f t="array" aca="1" ref="AB36" ca="1">IFERROR(VLOOKUP($AB$5&amp;$C36,CHOOSE({1,2},D_技能表!$C$2:$C$1210&amp;D_技能表!$E$2:$E$1210,D_技能表!$I$2:$I$1210),2,FALSE),0)</f>
        <v>16</v>
      </c>
      <c r="AC36">
        <f t="array" aca="1" ref="AC36" ca="1">IFERROR(VLOOKUP($AB$5&amp;$C36,CHOOSE({1,2},D_技能表!$C$2:$C$1210&amp;D_技能表!$E$2:$E$1210,D_技能表!$N$2:$N$1210),2,FALSE),0)</f>
        <v>5742</v>
      </c>
      <c r="AD36">
        <f t="array" aca="1" ref="AD36" ca="1">IFERROR(VLOOKUP($AB$5&amp;$C36,CHOOSE({1,2},D_技能表!$C$2:$C$1210&amp;D_技能表!$E$2:$E$1210,D_技能表!$W$2:$W$1210),2,FALSE),0)</f>
        <v>11</v>
      </c>
      <c r="AE36">
        <f t="array" aca="1" ref="AE36" ca="1">IFERROR(VLOOKUP($AB$5&amp;$C36,CHOOSE({1,2},D_技能表!$C$2:$C$1210&amp;D_技能表!$E$2:$E$1210,D_技能表!$Z$2:$Z$1210),2,FALSE),0)</f>
        <v>0</v>
      </c>
      <c r="AF36">
        <f t="array" aca="1" ref="AF36" ca="1">IFERROR(VLOOKUP($AF$5&amp;$C36,CHOOSE({1,2},D_技能表!$C$2:$C$1210&amp;D_技能表!$E$2:$E$1210,D_技能表!$I$2:$I$1210),2,FALSE),0)</f>
        <v>15</v>
      </c>
      <c r="AG36">
        <f t="array" aca="1" ref="AG36" ca="1">IFERROR(VLOOKUP($AF$5&amp;$C36,CHOOSE({1,2},D_技能表!$C$2:$C$1210&amp;D_技能表!$E$2:$E$1210,D_技能表!$N$2:$N$1210),2,FALSE),0)</f>
        <v>4698</v>
      </c>
      <c r="AH36">
        <f t="array" aca="1" ref="AH36" ca="1">IFERROR(VLOOKUP($AF$5&amp;$C36,CHOOSE({1,2},D_技能表!$C$2:$C$1210&amp;D_技能表!$E$2:$E$1210,D_技能表!$W$2:$W$1210),2,FALSE),0)</f>
        <v>9</v>
      </c>
      <c r="AI36">
        <f t="array" aca="1" ref="AI36" ca="1">IFERROR(VLOOKUP($AF$5&amp;$C36,CHOOSE({1,2},D_技能表!$C$2:$C$1210&amp;D_技能表!$E$2:$E$1210,D_技能表!$Z$2:$Z$1210),2,FALSE),0)</f>
        <v>0</v>
      </c>
      <c r="AJ36">
        <f t="array" aca="1" ref="AJ36" ca="1">IFERROR(VLOOKUP($AJ$5&amp;$C36,CHOOSE({1,2},D_技能表!$C$2:$C$1210&amp;D_技能表!$E$2:$E$1210,D_技能表!$I$2:$I$1210),2,FALSE),0)</f>
        <v>14</v>
      </c>
      <c r="AK36">
        <f t="array" aca="1" ref="AK36" ca="1">IFERROR(VLOOKUP($AJ$5&amp;$C36,CHOOSE({1,2},D_技能表!$C$2:$C$1210&amp;D_技能表!$E$2:$E$1210,D_技能表!$N$2:$N$1210),2,FALSE),0)</f>
        <v>4176</v>
      </c>
      <c r="AL36">
        <f t="array" aca="1" ref="AL36" ca="1">IFERROR(VLOOKUP($AJ$5&amp;$C36,CHOOSE({1,2},D_技能表!$C$2:$C$1210&amp;D_技能表!$E$2:$E$1210,D_技能表!$W$2:$W$1210),2,FALSE),0)</f>
        <v>8</v>
      </c>
      <c r="AM36">
        <f t="array" aca="1" ref="AM36" ca="1">IFERROR(VLOOKUP($AJ$5&amp;$C36,CHOOSE({1,2},D_技能表!$C$2:$C$1210&amp;D_技能表!$E$2:$E$1210,D_技能表!$Z$2:$Z$1210),2,FALSE),0)</f>
        <v>0</v>
      </c>
      <c r="AN36">
        <f t="array" aca="1" ref="AN36" ca="1">IFERROR(VLOOKUP($AN$5&amp;$C36,CHOOSE({1,2},D_技能表!$C$2:$C$1210&amp;D_技能表!$E$2:$E$1210,D_技能表!$I$2:$I$1210),2,FALSE),0)</f>
        <v>13</v>
      </c>
      <c r="AO36">
        <f t="array" aca="1" ref="AO36" ca="1">IFERROR(VLOOKUP($AN$5&amp;$C36,CHOOSE({1,2},D_技能表!$C$2:$C$1210&amp;D_技能表!$E$2:$E$1210,D_技能表!$N$2:$N$1210),2,FALSE),0)</f>
        <v>7308</v>
      </c>
      <c r="AP36">
        <f t="array" aca="1" ref="AP36" ca="1">IFERROR(VLOOKUP($AN$5&amp;$C36,CHOOSE({1,2},D_技能表!$C$2:$C$1210&amp;D_技能表!$E$2:$E$1210,D_技能表!$W$2:$W$1210),2,FALSE),0)</f>
        <v>14</v>
      </c>
      <c r="AQ36">
        <f t="array" aca="1" ref="AQ36" ca="1">IFERROR(VLOOKUP($AN$5&amp;$C36,CHOOSE({1,2},D_技能表!$C$2:$C$1210&amp;D_技能表!$E$2:$E$1210,D_技能表!$Z$2:$Z$1210),2,FALSE),0)</f>
        <v>0</v>
      </c>
      <c r="AR36" s="11">
        <f ca="1">SUM($G$7:G37,$K$7:K37,$O$7:O37,$S$7:S37,$W$7:W37,$AA$7:AA37,$AE$7:AE37,$AI$7:AI37,$AM$7:AM37,$AQ$7:AQ37)</f>
        <v>21</v>
      </c>
      <c r="AS36">
        <f ca="1">SUM($F$7:F37,$J$7:J37,$N$7:N37,$R$7:R37,$V$7:V37,$Z$7:Z37,$AD$7:AD37,$AH$7:AH37,$AL$7:AL37,$AP$7:AP37)</f>
        <v>1424</v>
      </c>
      <c r="AT36">
        <f t="shared" ca="1" si="1"/>
        <v>115</v>
      </c>
      <c r="AU36" s="33">
        <f ca="1">SUM($AX$7:AX36,$BB$7:BB36,$BF$7:BF36,$BJ$7:BJ36)</f>
        <v>209400</v>
      </c>
      <c r="AV36">
        <v>30</v>
      </c>
      <c r="AW36">
        <f t="array" ref="AW36">IFERROR(VLOOKUP(AW$5&amp;$AV36,CHOOSE({1,2},D_技能表CD!$C$2:$C$313&amp;D_技能表CD!$E$2:$E$313,D_技能表CD!$I$2:$I$313),2,FALSE),0)</f>
        <v>0</v>
      </c>
      <c r="AX36">
        <f t="array" aca="1" ref="AX36" ca="1">IFERROR(VLOOKUP(AW$5&amp;$AV36,CHOOSE({1,2},D_技能表CD!$C$2:$C$313&amp;D_技能表CD!$E$2:$E$313,D_技能表CD!$H$2:$H$313),2,FALSE),0)</f>
        <v>0</v>
      </c>
      <c r="AY36">
        <f t="array" aca="1" ref="AY36" ca="1">IFERROR(VLOOKUP(AW$5&amp;$AV36,CHOOSE({1,2},D_技能表CD!$C$2:$C$313&amp;D_技能表CD!$E$2:$E$313,D_技能表CD!$L$2:$L$313),2,FALSE),0)</f>
        <v>0</v>
      </c>
      <c r="AZ36">
        <f t="array" aca="1" ref="AZ36" ca="1">IFERROR(VLOOKUP(AW$5&amp;$AV36,CHOOSE({1,2},D_技能表CD!$C$2:$C$313&amp;D_技能表CD!$E$2:$E$313,D_技能表CD!$K$2:$K$313),2,FALSE),0)</f>
        <v>0</v>
      </c>
      <c r="BA36">
        <f t="array" ref="BA36">IFERROR(VLOOKUP(BA$5&amp;$AV36,CHOOSE({1,2},D_技能表CD!$C$2:$C$313&amp;D_技能表CD!$E$2:$E$313,D_技能表CD!$I$2:$I$313),2,FALSE),0)</f>
        <v>10</v>
      </c>
      <c r="BB36">
        <f t="array" aca="1" ref="BB36" ca="1">IFERROR(VLOOKUP(BA$5&amp;$AV36,CHOOSE({1,2},D_技能表CD!$C$2:$C$313&amp;D_技能表CD!$E$2:$E$313,D_技能表CD!$H$2:$H$313),2,FALSE),0)</f>
        <v>20050</v>
      </c>
      <c r="BC36">
        <f t="array" aca="1" ref="BC36" ca="1">IFERROR(VLOOKUP(BA$5&amp;$AV36,CHOOSE({1,2},D_技能表CD!$C$2:$C$313&amp;D_技能表CD!$E$2:$E$313,D_技能表CD!$L$2:$L$313),2,FALSE),0)</f>
        <v>75</v>
      </c>
      <c r="BD36">
        <f t="array" aca="1" ref="BD36" ca="1">IFERROR(VLOOKUP(BA$5&amp;$AV36,CHOOSE({1,2},D_技能表CD!$C$2:$C$313&amp;D_技能表CD!$E$2:$E$313,D_技能表CD!$K$2:$K$313),2,FALSE),0)</f>
        <v>65</v>
      </c>
      <c r="BE36">
        <f t="array" ref="BE36">IFERROR(VLOOKUP(BE$5&amp;$AV36,CHOOSE({1,2},D_技能表CD!$C$2:$C$313&amp;D_技能表CD!$E$2:$E$313,D_技能表CD!$I$2:$I$313),2,FALSE),0)</f>
        <v>0</v>
      </c>
      <c r="BF36">
        <f t="array" aca="1" ref="BF36" ca="1">IFERROR(VLOOKUP(BE$5&amp;$AV36,CHOOSE({1,2},D_技能表CD!$C$2:$C$313&amp;D_技能表CD!$E$2:$E$313,D_技能表CD!$H$2:$H$313),2,FALSE),0)</f>
        <v>0</v>
      </c>
      <c r="BG36">
        <f t="array" aca="1" ref="BG36" ca="1">IFERROR(VLOOKUP(BE$5&amp;$AV36,CHOOSE({1,2},D_技能表CD!$C$2:$C$313&amp;D_技能表CD!$E$2:$E$313,D_技能表CD!$L$2:$L$313),2,FALSE),0)</f>
        <v>0</v>
      </c>
      <c r="BH36">
        <f t="array" aca="1" ref="BH36" ca="1">IFERROR(VLOOKUP(BE$5&amp;$AV36,CHOOSE({1,2},D_技能表CD!$C$2:$C$313&amp;D_技能表CD!$E$2:$E$313,D_技能表CD!$K$2:$K$313),2,FALSE),0)</f>
        <v>0</v>
      </c>
      <c r="BI36">
        <f t="array" ref="BI36">IFERROR(VLOOKUP(BI$5&amp;$AV36,CHOOSE({1,2},D_技能表CD!$C$2:$C$313&amp;D_技能表CD!$E$2:$E$313,D_技能表CD!$I$2:$I$313),2,FALSE),0)</f>
        <v>0</v>
      </c>
      <c r="BJ36">
        <f t="array" aca="1" ref="BJ36" ca="1">IFERROR(VLOOKUP(BI$5&amp;$AV36,CHOOSE({1,2},D_技能表CD!$C$2:$C$313&amp;D_技能表CD!$E$2:$E$313,D_技能表CD!$H$2:$H$313),2,FALSE),0)</f>
        <v>0</v>
      </c>
      <c r="BK36">
        <f t="array" aca="1" ref="BK36" ca="1">IFERROR(VLOOKUP(BI$5&amp;$AV36,CHOOSE({1,2},D_技能表CD!$C$2:$C$313&amp;D_技能表CD!$E$2:$E$313,D_技能表CD!$L$2:$L$313),2,FALSE),0)</f>
        <v>0</v>
      </c>
      <c r="BL36">
        <f t="array" aca="1" ref="BL36" ca="1">IFERROR(VLOOKUP(BI$5&amp;$AV36,CHOOSE({1,2},D_技能表CD!$C$2:$C$313&amp;D_技能表CD!$E$2:$E$313,D_技能表CD!$K$2:$K$313),2,FALSE),0)</f>
        <v>0</v>
      </c>
    </row>
    <row r="37" spans="1:64" x14ac:dyDescent="0.15">
      <c r="A37">
        <f t="shared" ca="1" si="0"/>
        <v>648627</v>
      </c>
      <c r="B37" s="33">
        <f ca="1">SUM($E$7:E37,$I$7:I37,$M$7:M37,$Q$7:Q37,$U$7:U37,$Y$7:Y37,$AC$7:AC37,$AG$7:AG37,$AK$7:AK37,$AO$7:AO37)</f>
        <v>417577</v>
      </c>
      <c r="C37">
        <v>31</v>
      </c>
      <c r="D37">
        <f t="array" aca="1" ref="D37" ca="1">IFERROR(VLOOKUP($D$5&amp;C37,CHOOSE({1,2},D_技能表!$C$2:$C$1210&amp;D_技能表!$E$2:$E$1210,D_技能表!$I$2:$I$1210),2,FALSE),0)</f>
        <v>0</v>
      </c>
      <c r="E37">
        <f t="array" aca="1" ref="E37" ca="1">IFERROR(VLOOKUP($D$5&amp;$C37,CHOOSE({1,2},D_技能表!$C$2:$C$1210&amp;D_技能表!$E$2:$E$1210,D_技能表!$N$2:$N$1210),2,FALSE),0)</f>
        <v>0</v>
      </c>
      <c r="F37">
        <f t="array" aca="1" ref="F37" ca="1">IFERROR(VLOOKUP($D$5&amp;$C37,CHOOSE({1,2},D_技能表!$C$2:$C$1210&amp;D_技能表!$E$2:$E$1210,D_技能表!$W$2:$W$1210),2,FALSE),0)</f>
        <v>0</v>
      </c>
      <c r="G37">
        <f t="array" aca="1" ref="G37" ca="1">IFERROR(VLOOKUP($D$5&amp;$C37,CHOOSE({1,2},D_技能表!$C$2:$C$1210&amp;D_技能表!$E$2:$E$1210,D_技能表!$Z$2:$Z$1210),2,FALSE),0)</f>
        <v>0</v>
      </c>
      <c r="H37">
        <f t="array" aca="1" ref="H37" ca="1">IFERROR(VLOOKUP($H$5&amp;$C37,CHOOSE({1,2},D_技能表!$C$2:$C$1210&amp;D_技能表!$E$2:$E$1210,D_技能表!$I$2:$I$1210),2,FALSE),0)</f>
        <v>18</v>
      </c>
      <c r="I37">
        <f t="array" aca="1" ref="I37" ca="1">IFERROR(VLOOKUP($H$5&amp;$C37,CHOOSE({1,2},D_技能表!$C$2:$C$1210&amp;D_技能表!$E$2:$E$1210,D_技能表!$N$2:$N$1210),2,FALSE),0)</f>
        <v>6756</v>
      </c>
      <c r="J37">
        <f t="array" aca="1" ref="J37" ca="1">IFERROR(VLOOKUP($H$5&amp;$C37,CHOOSE({1,2},D_技能表!$C$2:$C$1210&amp;D_技能表!$E$2:$E$1210,D_技能表!$W$2:$W$1210),2,FALSE),0)</f>
        <v>12</v>
      </c>
      <c r="K37">
        <f t="array" aca="1" ref="K37" ca="1">IFERROR(VLOOKUP($H$5&amp;$C37,CHOOSE({1,2},D_技能表!$C$2:$C$1210&amp;D_技能表!$E$2:$E$1210,D_技能表!$Z$2:$Z$1210),2,FALSE),0)</f>
        <v>5</v>
      </c>
      <c r="L37">
        <f t="array" aca="1" ref="L37" ca="1">IFERROR(VLOOKUP($L$5&amp;$C37,CHOOSE({1,2},D_技能表!$C$2:$C$1210&amp;D_技能表!$E$2:$E$1210,D_技能表!$I$2:$I$1210),2,FALSE),0)</f>
        <v>18</v>
      </c>
      <c r="M37">
        <f t="array" aca="1" ref="M37" ca="1">IFERROR(VLOOKUP($L$5&amp;$C37,CHOOSE({1,2},D_技能表!$C$2:$C$1210&amp;D_技能表!$E$2:$E$1210,D_技能表!$N$2:$N$1210),2,FALSE),0)</f>
        <v>6756</v>
      </c>
      <c r="N37">
        <f t="array" aca="1" ref="N37" ca="1">IFERROR(VLOOKUP($L$5&amp;$C37,CHOOSE({1,2},D_技能表!$C$2:$C$1210&amp;D_技能表!$E$2:$E$1210,D_技能表!$W$2:$W$1210),2,FALSE),0)</f>
        <v>12</v>
      </c>
      <c r="O37">
        <f t="array" aca="1" ref="O37" ca="1">IFERROR(VLOOKUP($L$5&amp;$C37,CHOOSE({1,2},D_技能表!$C$2:$C$1210&amp;D_技能表!$E$2:$E$1210,D_技能表!$Z$2:$Z$1210),2,FALSE),0)</f>
        <v>5</v>
      </c>
      <c r="P37">
        <f t="array" aca="1" ref="P37" ca="1">IFERROR(VLOOKUP($P$5&amp;$C37,CHOOSE({1,2},D_技能表!$C$2:$C$1210&amp;D_技能表!$E$2:$E$1210,D_技能表!$I$2:$I$1210),2,FALSE),0)</f>
        <v>0</v>
      </c>
      <c r="Q37">
        <f t="array" aca="1" ref="Q37" ca="1">IFERROR(VLOOKUP($P$5&amp;$C37,CHOOSE({1,2},D_技能表!$C$2:$C$1210&amp;D_技能表!$E$2:$E$1210,D_技能表!$N$2:$N$1210),2,FALSE),0)</f>
        <v>0</v>
      </c>
      <c r="R37">
        <f t="array" aca="1" ref="R37" ca="1">IFERROR(VLOOKUP($P$5&amp;$C37,CHOOSE({1,2},D_技能表!$C$2:$C$1210&amp;D_技能表!$E$2:$E$1210,D_技能表!$W$2:$W$1210),2,FALSE),0)</f>
        <v>0</v>
      </c>
      <c r="S37">
        <f t="array" aca="1" ref="S37" ca="1">IFERROR(VLOOKUP($P$5&amp;$C37,CHOOSE({1,2},D_技能表!$C$2:$C$1210&amp;D_技能表!$E$2:$E$1210,D_技能表!$Z$2:$Z$1210),2,FALSE),0)</f>
        <v>0</v>
      </c>
      <c r="T37">
        <f t="array" aca="1" ref="T37" ca="1">IFERROR(VLOOKUP($T$5&amp;$C37,CHOOSE({1,2},D_技能表!$C$2:$C$1210&amp;D_技能表!$E$2:$E$1210,D_技能表!$I$2:$I$1210),2,FALSE),0)</f>
        <v>0</v>
      </c>
      <c r="U37">
        <f t="array" aca="1" ref="U37" ca="1">IFERROR(VLOOKUP($T$5&amp;$C37,CHOOSE({1,2},D_技能表!$C$2:$C$1210&amp;D_技能表!$E$2:$E$1210,D_技能表!$N$2:$N$1210),2,FALSE),0)</f>
        <v>0</v>
      </c>
      <c r="V37">
        <f t="array" aca="1" ref="V37" ca="1">IFERROR(VLOOKUP($T$5&amp;$C37,CHOOSE({1,2},D_技能表!$C$2:$C$1210&amp;D_技能表!$E$2:$E$1210,D_技能表!$W$2:$W$1210),2,FALSE),0)</f>
        <v>0</v>
      </c>
      <c r="W37">
        <f t="array" aca="1" ref="W37" ca="1">IFERROR(VLOOKUP($T$5&amp;$C37,CHOOSE({1,2},D_技能表!$C$2:$C$1210&amp;D_技能表!$E$2:$E$1210,D_技能表!$Z$2:$Z$1210),2,FALSE),0)</f>
        <v>0</v>
      </c>
      <c r="X37">
        <f t="array" aca="1" ref="X37" ca="1">IFERROR(VLOOKUP($X$5&amp;$C37,CHOOSE({1,2},D_技能表!$C$2:$C$1210&amp;D_技能表!$E$2:$E$1210,D_技能表!$I$2:$I$1210),2,FALSE),0)</f>
        <v>17</v>
      </c>
      <c r="Y37">
        <f t="array" aca="1" ref="Y37" ca="1">IFERROR(VLOOKUP($X$5&amp;$C37,CHOOSE({1,2},D_技能表!$C$2:$C$1210&amp;D_技能表!$E$2:$E$1210,D_技能表!$N$2:$N$1210),2,FALSE),0)</f>
        <v>13512</v>
      </c>
      <c r="Z37">
        <f t="array" aca="1" ref="Z37" ca="1">IFERROR(VLOOKUP($X$5&amp;$C37,CHOOSE({1,2},D_技能表!$C$2:$C$1210&amp;D_技能表!$E$2:$E$1210,D_技能表!$W$2:$W$1210),2,FALSE),0)</f>
        <v>24</v>
      </c>
      <c r="AA37">
        <f t="array" aca="1" ref="AA37" ca="1">IFERROR(VLOOKUP($X$5&amp;$C37,CHOOSE({1,2},D_技能表!$C$2:$C$1210&amp;D_技能表!$E$2:$E$1210,D_技能表!$Z$2:$Z$1210),2,FALSE),0)</f>
        <v>0</v>
      </c>
      <c r="AB37">
        <f t="array" aca="1" ref="AB37" ca="1">IFERROR(VLOOKUP($AB$5&amp;$C37,CHOOSE({1,2},D_技能表!$C$2:$C$1210&amp;D_技能表!$E$2:$E$1210,D_技能表!$I$2:$I$1210),2,FALSE),0)</f>
        <v>17</v>
      </c>
      <c r="AC37">
        <f t="array" aca="1" ref="AC37" ca="1">IFERROR(VLOOKUP($AB$5&amp;$C37,CHOOSE({1,2},D_技能表!$C$2:$C$1210&amp;D_技能表!$E$2:$E$1210,D_技能表!$N$2:$N$1210),2,FALSE),0)</f>
        <v>6756</v>
      </c>
      <c r="AD37">
        <f t="array" aca="1" ref="AD37" ca="1">IFERROR(VLOOKUP($AB$5&amp;$C37,CHOOSE({1,2},D_技能表!$C$2:$C$1210&amp;D_技能表!$E$2:$E$1210,D_技能表!$W$2:$W$1210),2,FALSE),0)</f>
        <v>12</v>
      </c>
      <c r="AE37">
        <f t="array" aca="1" ref="AE37" ca="1">IFERROR(VLOOKUP($AB$5&amp;$C37,CHOOSE({1,2},D_技能表!$C$2:$C$1210&amp;D_技能表!$E$2:$E$1210,D_技能表!$Z$2:$Z$1210),2,FALSE),0)</f>
        <v>0</v>
      </c>
      <c r="AF37">
        <f t="array" aca="1" ref="AF37" ca="1">IFERROR(VLOOKUP($AF$5&amp;$C37,CHOOSE({1,2},D_技能表!$C$2:$C$1210&amp;D_技能表!$E$2:$E$1210,D_技能表!$I$2:$I$1210),2,FALSE),0)</f>
        <v>16</v>
      </c>
      <c r="AG37">
        <f t="array" aca="1" ref="AG37" ca="1">IFERROR(VLOOKUP($AF$5&amp;$C37,CHOOSE({1,2},D_技能表!$C$2:$C$1210&amp;D_技能表!$E$2:$E$1210,D_技能表!$N$2:$N$1210),2,FALSE),0)</f>
        <v>5630</v>
      </c>
      <c r="AH37">
        <f t="array" aca="1" ref="AH37" ca="1">IFERROR(VLOOKUP($AF$5&amp;$C37,CHOOSE({1,2},D_技能表!$C$2:$C$1210&amp;D_技能表!$E$2:$E$1210,D_技能表!$W$2:$W$1210),2,FALSE),0)</f>
        <v>10</v>
      </c>
      <c r="AI37">
        <f t="array" aca="1" ref="AI37" ca="1">IFERROR(VLOOKUP($AF$5&amp;$C37,CHOOSE({1,2},D_技能表!$C$2:$C$1210&amp;D_技能表!$E$2:$E$1210,D_技能表!$Z$2:$Z$1210),2,FALSE),0)</f>
        <v>0</v>
      </c>
      <c r="AJ37">
        <f t="array" aca="1" ref="AJ37" ca="1">IFERROR(VLOOKUP($AJ$5&amp;$C37,CHOOSE({1,2},D_技能表!$C$2:$C$1210&amp;D_技能表!$E$2:$E$1210,D_技能表!$I$2:$I$1210),2,FALSE),0)</f>
        <v>15</v>
      </c>
      <c r="AK37">
        <f t="array" aca="1" ref="AK37" ca="1">IFERROR(VLOOKUP($AJ$5&amp;$C37,CHOOSE({1,2},D_技能表!$C$2:$C$1210&amp;D_技能表!$E$2:$E$1210,D_技能表!$N$2:$N$1210),2,FALSE),0)</f>
        <v>5067</v>
      </c>
      <c r="AL37">
        <f t="array" aca="1" ref="AL37" ca="1">IFERROR(VLOOKUP($AJ$5&amp;$C37,CHOOSE({1,2},D_技能表!$C$2:$C$1210&amp;D_技能表!$E$2:$E$1210,D_技能表!$W$2:$W$1210),2,FALSE),0)</f>
        <v>9</v>
      </c>
      <c r="AM37">
        <f t="array" aca="1" ref="AM37" ca="1">IFERROR(VLOOKUP($AJ$5&amp;$C37,CHOOSE({1,2},D_技能表!$C$2:$C$1210&amp;D_技能表!$E$2:$E$1210,D_技能表!$Z$2:$Z$1210),2,FALSE),0)</f>
        <v>0</v>
      </c>
      <c r="AN37">
        <f t="array" aca="1" ref="AN37" ca="1">IFERROR(VLOOKUP($AN$5&amp;$C37,CHOOSE({1,2},D_技能表!$C$2:$C$1210&amp;D_技能表!$E$2:$E$1210,D_技能表!$I$2:$I$1210),2,FALSE),0)</f>
        <v>14</v>
      </c>
      <c r="AO37">
        <f t="array" aca="1" ref="AO37" ca="1">IFERROR(VLOOKUP($AN$5&amp;$C37,CHOOSE({1,2},D_技能表!$C$2:$C$1210&amp;D_技能表!$E$2:$E$1210,D_技能表!$N$2:$N$1210),2,FALSE),0)</f>
        <v>8445</v>
      </c>
      <c r="AP37">
        <f t="array" aca="1" ref="AP37" ca="1">IFERROR(VLOOKUP($AN$5&amp;$C37,CHOOSE({1,2},D_技能表!$C$2:$C$1210&amp;D_技能表!$E$2:$E$1210,D_技能表!$W$2:$W$1210),2,FALSE),0)</f>
        <v>15</v>
      </c>
      <c r="AQ37">
        <f t="array" aca="1" ref="AQ37" ca="1">IFERROR(VLOOKUP($AN$5&amp;$C37,CHOOSE({1,2},D_技能表!$C$2:$C$1210&amp;D_技能表!$E$2:$E$1210,D_技能表!$Z$2:$Z$1210),2,FALSE),0)</f>
        <v>0</v>
      </c>
      <c r="AR37" s="11">
        <f ca="1">SUM($G$7:G38,$K$7:K38,$O$7:O38,$S$7:S38,$W$7:W38,$AA$7:AA38,$AE$7:AE38,$AI$7:AI38,$AM$7:AM38,$AQ$7:AQ38)</f>
        <v>43</v>
      </c>
      <c r="AS37">
        <f ca="1">SUM($F$7:F38,$J$7:J38,$N$7:N38,$R$7:R38,$V$7:V38,$Z$7:Z38,$AD$7:AD38,$AH$7:AH38,$AL$7:AL38,$AP$7:AP38)</f>
        <v>1540</v>
      </c>
      <c r="AT37">
        <f t="shared" ca="1" si="1"/>
        <v>94</v>
      </c>
      <c r="AU37" s="33">
        <f ca="1">SUM($AX$7:AX37,$BB$7:BB37,$BF$7:BF37,$BJ$7:BJ37)</f>
        <v>231050</v>
      </c>
      <c r="AV37">
        <v>31</v>
      </c>
      <c r="AW37">
        <f t="array" ref="AW37">IFERROR(VLOOKUP(AW$5&amp;$AV37,CHOOSE({1,2},D_技能表CD!$C$2:$C$313&amp;D_技能表CD!$E$2:$E$313,D_技能表CD!$I$2:$I$313),2,FALSE),0)</f>
        <v>11</v>
      </c>
      <c r="AX37">
        <f t="array" aca="1" ref="AX37" ca="1">IFERROR(VLOOKUP(AW$5&amp;$AV37,CHOOSE({1,2},D_技能表CD!$C$2:$C$313&amp;D_技能表CD!$E$2:$E$313,D_技能表CD!$H$2:$H$313),2,FALSE),0)</f>
        <v>12700</v>
      </c>
      <c r="AY37">
        <f t="array" aca="1" ref="AY37" ca="1">IFERROR(VLOOKUP(AW$5&amp;$AV37,CHOOSE({1,2},D_技能表CD!$C$2:$C$313&amp;D_技能表CD!$E$2:$E$313,D_技能表CD!$L$2:$L$313),2,FALSE),0)</f>
        <v>46</v>
      </c>
      <c r="AZ37">
        <f t="array" aca="1" ref="AZ37" ca="1">IFERROR(VLOOKUP(AW$5&amp;$AV37,CHOOSE({1,2},D_技能表CD!$C$2:$C$313&amp;D_技能表CD!$E$2:$E$313,D_技能表CD!$K$2:$K$313),2,FALSE),0)</f>
        <v>46</v>
      </c>
      <c r="BA37">
        <f t="array" ref="BA37">IFERROR(VLOOKUP(BA$5&amp;$AV37,CHOOSE({1,2},D_技能表CD!$C$2:$C$313&amp;D_技能表CD!$E$2:$E$313,D_技能表CD!$I$2:$I$313),2,FALSE),0)</f>
        <v>0</v>
      </c>
      <c r="BB37">
        <f t="array" aca="1" ref="BB37" ca="1">IFERROR(VLOOKUP(BA$5&amp;$AV37,CHOOSE({1,2},D_技能表CD!$C$2:$C$313&amp;D_技能表CD!$E$2:$E$313,D_技能表CD!$H$2:$H$313),2,FALSE),0)</f>
        <v>0</v>
      </c>
      <c r="BC37">
        <f t="array" aca="1" ref="BC37" ca="1">IFERROR(VLOOKUP(BA$5&amp;$AV37,CHOOSE({1,2},D_技能表CD!$C$2:$C$313&amp;D_技能表CD!$E$2:$E$313,D_技能表CD!$L$2:$L$313),2,FALSE),0)</f>
        <v>0</v>
      </c>
      <c r="BD37">
        <f t="array" aca="1" ref="BD37" ca="1">IFERROR(VLOOKUP(BA$5&amp;$AV37,CHOOSE({1,2},D_技能表CD!$C$2:$C$313&amp;D_技能表CD!$E$2:$E$313,D_技能表CD!$K$2:$K$313),2,FALSE),0)</f>
        <v>0</v>
      </c>
      <c r="BE37">
        <f t="array" ref="BE37">IFERROR(VLOOKUP(BE$5&amp;$AV37,CHOOSE({1,2},D_技能表CD!$C$2:$C$313&amp;D_技能表CD!$E$2:$E$313,D_技能表CD!$I$2:$I$313),2,FALSE),0)</f>
        <v>10</v>
      </c>
      <c r="BF37">
        <f t="array" aca="1" ref="BF37" ca="1">IFERROR(VLOOKUP(BE$5&amp;$AV37,CHOOSE({1,2},D_技能表CD!$C$2:$C$313&amp;D_技能表CD!$E$2:$E$313,D_技能表CD!$H$2:$H$313),2,FALSE),0)</f>
        <v>8950</v>
      </c>
      <c r="BG37">
        <f t="array" aca="1" ref="BG37" ca="1">IFERROR(VLOOKUP(BE$5&amp;$AV37,CHOOSE({1,2},D_技能表CD!$C$2:$C$313&amp;D_技能表CD!$E$2:$E$313,D_技能表CD!$L$2:$L$313),2,FALSE),0)</f>
        <v>34</v>
      </c>
      <c r="BH37">
        <f t="array" aca="1" ref="BH37" ca="1">IFERROR(VLOOKUP(BE$5&amp;$AV37,CHOOSE({1,2},D_技能表CD!$C$2:$C$313&amp;D_技能表CD!$E$2:$E$313,D_技能表CD!$K$2:$K$313),2,FALSE),0)</f>
        <v>30</v>
      </c>
      <c r="BI37">
        <f t="array" ref="BI37">IFERROR(VLOOKUP(BI$5&amp;$AV37,CHOOSE({1,2},D_技能表CD!$C$2:$C$313&amp;D_技能表CD!$E$2:$E$313,D_技能表CD!$I$2:$I$313),2,FALSE),0)</f>
        <v>0</v>
      </c>
      <c r="BJ37">
        <f t="array" aca="1" ref="BJ37" ca="1">IFERROR(VLOOKUP(BI$5&amp;$AV37,CHOOSE({1,2},D_技能表CD!$C$2:$C$313&amp;D_技能表CD!$E$2:$E$313,D_技能表CD!$H$2:$H$313),2,FALSE),0)</f>
        <v>0</v>
      </c>
      <c r="BK37">
        <f t="array" aca="1" ref="BK37" ca="1">IFERROR(VLOOKUP(BI$5&amp;$AV37,CHOOSE({1,2},D_技能表CD!$C$2:$C$313&amp;D_技能表CD!$E$2:$E$313,D_技能表CD!$L$2:$L$313),2,FALSE),0)</f>
        <v>0</v>
      </c>
      <c r="BL37">
        <f t="array" aca="1" ref="BL37" ca="1">IFERROR(VLOOKUP(BI$5&amp;$AV37,CHOOSE({1,2},D_技能表CD!$C$2:$C$313&amp;D_技能表CD!$E$2:$E$313,D_技能表CD!$K$2:$K$313),2,FALSE),0)</f>
        <v>0</v>
      </c>
    </row>
    <row r="38" spans="1:64" x14ac:dyDescent="0.15">
      <c r="A38">
        <f t="shared" ca="1" si="0"/>
        <v>738473</v>
      </c>
      <c r="B38" s="33">
        <f ca="1">SUM($E$7:E38,$I$7:I38,$M$7:M38,$Q$7:Q38,$U$7:U38,$Y$7:Y38,$AC$7:AC38,$AG$7:AG38,$AK$7:AK38,$AO$7:AO38)</f>
        <v>487873</v>
      </c>
      <c r="C38">
        <v>32</v>
      </c>
      <c r="D38">
        <f t="array" aca="1" ref="D38" ca="1">IFERROR(VLOOKUP($D$5&amp;C38,CHOOSE({1,2},D_技能表!$C$2:$C$1210&amp;D_技能表!$E$2:$E$1210,D_技能表!$I$2:$I$1210),2,FALSE),0)</f>
        <v>19</v>
      </c>
      <c r="E38">
        <f t="array" aca="1" ref="E38" ca="1">IFERROR(VLOOKUP($D$5&amp;$C38,CHOOSE({1,2},D_技能表!$C$2:$C$1210&amp;D_技能表!$E$2:$E$1210,D_技能表!$N$2:$N$1210),2,FALSE),0)</f>
        <v>16968</v>
      </c>
      <c r="F38">
        <f t="array" aca="1" ref="F38" ca="1">IFERROR(VLOOKUP($D$5&amp;$C38,CHOOSE({1,2},D_技能表!$C$2:$C$1210&amp;D_技能表!$E$2:$E$1210,D_技能表!$W$2:$W$1210),2,FALSE),0)</f>
        <v>28</v>
      </c>
      <c r="G38">
        <f t="array" aca="1" ref="G38" ca="1">IFERROR(VLOOKUP($D$5&amp;$C38,CHOOSE({1,2},D_技能表!$C$2:$C$1210&amp;D_技能表!$E$2:$E$1210,D_技能表!$Z$2:$Z$1210),2,FALSE),0)</f>
        <v>12</v>
      </c>
      <c r="H38">
        <f t="array" aca="1" ref="H38" ca="1">IFERROR(VLOOKUP($H$5&amp;$C38,CHOOSE({1,2},D_技能表!$C$2:$C$1210&amp;D_技能表!$E$2:$E$1210,D_技能表!$I$2:$I$1210),2,FALSE),0)</f>
        <v>0</v>
      </c>
      <c r="I38">
        <f t="array" aca="1" ref="I38" ca="1">IFERROR(VLOOKUP($H$5&amp;$C38,CHOOSE({1,2},D_技能表!$C$2:$C$1210&amp;D_技能表!$E$2:$E$1210,D_技能表!$N$2:$N$1210),2,FALSE),0)</f>
        <v>0</v>
      </c>
      <c r="J38">
        <f t="array" aca="1" ref="J38" ca="1">IFERROR(VLOOKUP($H$5&amp;$C38,CHOOSE({1,2},D_技能表!$C$2:$C$1210&amp;D_技能表!$E$2:$E$1210,D_技能表!$W$2:$W$1210),2,FALSE),0)</f>
        <v>0</v>
      </c>
      <c r="K38">
        <f t="array" aca="1" ref="K38" ca="1">IFERROR(VLOOKUP($H$5&amp;$C38,CHOOSE({1,2},D_技能表!$C$2:$C$1210&amp;D_技能表!$E$2:$E$1210,D_技能表!$Z$2:$Z$1210),2,FALSE),0)</f>
        <v>0</v>
      </c>
      <c r="L38">
        <f t="array" aca="1" ref="L38" ca="1">IFERROR(VLOOKUP($L$5&amp;$C38,CHOOSE({1,2},D_技能表!$C$2:$C$1210&amp;D_技能表!$E$2:$E$1210,D_技能表!$I$2:$I$1210),2,FALSE),0)</f>
        <v>0</v>
      </c>
      <c r="M38">
        <f t="array" aca="1" ref="M38" ca="1">IFERROR(VLOOKUP($L$5&amp;$C38,CHOOSE({1,2},D_技能表!$C$2:$C$1210&amp;D_技能表!$E$2:$E$1210,D_技能表!$N$2:$N$1210),2,FALSE),0)</f>
        <v>0</v>
      </c>
      <c r="N38">
        <f t="array" aca="1" ref="N38" ca="1">IFERROR(VLOOKUP($L$5&amp;$C38,CHOOSE({1,2},D_技能表!$C$2:$C$1210&amp;D_技能表!$E$2:$E$1210,D_技能表!$W$2:$W$1210),2,FALSE),0)</f>
        <v>0</v>
      </c>
      <c r="O38">
        <f t="array" aca="1" ref="O38" ca="1">IFERROR(VLOOKUP($L$5&amp;$C38,CHOOSE({1,2},D_技能表!$C$2:$C$1210&amp;D_技能表!$E$2:$E$1210,D_技能表!$Z$2:$Z$1210),2,FALSE),0)</f>
        <v>0</v>
      </c>
      <c r="P38">
        <f t="array" aca="1" ref="P38" ca="1">IFERROR(VLOOKUP($P$5&amp;$C38,CHOOSE({1,2},D_技能表!$C$2:$C$1210&amp;D_技能表!$E$2:$E$1210,D_技能表!$I$2:$I$1210),2,FALSE),0)</f>
        <v>17</v>
      </c>
      <c r="Q38">
        <f t="array" aca="1" ref="Q38" ca="1">IFERROR(VLOOKUP($P$5&amp;$C38,CHOOSE({1,2},D_技能表!$C$2:$C$1210&amp;D_技能表!$E$2:$E$1210,D_技能表!$N$2:$N$1210),2,FALSE),0)</f>
        <v>6666</v>
      </c>
      <c r="R38">
        <f t="array" aca="1" ref="R38" ca="1">IFERROR(VLOOKUP($P$5&amp;$C38,CHOOSE({1,2},D_技能表!$C$2:$C$1210&amp;D_技能表!$E$2:$E$1210,D_技能表!$W$2:$W$1210),2,FALSE),0)</f>
        <v>11</v>
      </c>
      <c r="S38">
        <f t="array" aca="1" ref="S38" ca="1">IFERROR(VLOOKUP($P$5&amp;$C38,CHOOSE({1,2},D_技能表!$C$2:$C$1210&amp;D_技能表!$E$2:$E$1210,D_技能表!$Z$2:$Z$1210),2,FALSE),0)</f>
        <v>0</v>
      </c>
      <c r="T38">
        <f t="array" aca="1" ref="T38" ca="1">IFERROR(VLOOKUP($T$5&amp;$C38,CHOOSE({1,2},D_技能表!$C$2:$C$1210&amp;D_技能表!$E$2:$E$1210,D_技能表!$I$2:$I$1210),2,FALSE),0)</f>
        <v>16</v>
      </c>
      <c r="U38">
        <f t="array" aca="1" ref="U38" ca="1">IFERROR(VLOOKUP($T$5&amp;$C38,CHOOSE({1,2},D_技能表!$C$2:$C$1210&amp;D_技能表!$E$2:$E$1210,D_技能表!$N$2:$N$1210),2,FALSE),0)</f>
        <v>9696</v>
      </c>
      <c r="V38">
        <f t="array" aca="1" ref="V38" ca="1">IFERROR(VLOOKUP($T$5&amp;$C38,CHOOSE({1,2},D_技能表!$C$2:$C$1210&amp;D_技能表!$E$2:$E$1210,D_技能表!$W$2:$W$1210),2,FALSE),0)</f>
        <v>16</v>
      </c>
      <c r="W38">
        <f t="array" aca="1" ref="W38" ca="1">IFERROR(VLOOKUP($T$5&amp;$C38,CHOOSE({1,2},D_技能表!$C$2:$C$1210&amp;D_技能表!$E$2:$E$1210,D_技能表!$Z$2:$Z$1210),2,FALSE),0)</f>
        <v>0</v>
      </c>
      <c r="X38">
        <f t="array" aca="1" ref="X38" ca="1">IFERROR(VLOOKUP($X$5&amp;$C38,CHOOSE({1,2},D_技能表!$C$2:$C$1210&amp;D_技能表!$E$2:$E$1210,D_技能表!$I$2:$I$1210),2,FALSE),0)</f>
        <v>18</v>
      </c>
      <c r="Y38">
        <f t="array" aca="1" ref="Y38" ca="1">IFERROR(VLOOKUP($X$5&amp;$C38,CHOOSE({1,2},D_技能表!$C$2:$C$1210&amp;D_技能表!$E$2:$E$1210,D_技能表!$N$2:$N$1210),2,FALSE),0)</f>
        <v>15150</v>
      </c>
      <c r="Z38">
        <f t="array" aca="1" ref="Z38" ca="1">IFERROR(VLOOKUP($X$5&amp;$C38,CHOOSE({1,2},D_技能表!$C$2:$C$1210&amp;D_技能表!$E$2:$E$1210,D_技能表!$W$2:$W$1210),2,FALSE),0)</f>
        <v>25</v>
      </c>
      <c r="AA38">
        <f t="array" aca="1" ref="AA38" ca="1">IFERROR(VLOOKUP($X$5&amp;$C38,CHOOSE({1,2},D_技能表!$C$2:$C$1210&amp;D_技能表!$E$2:$E$1210,D_技能表!$Z$2:$Z$1210),2,FALSE),0)</f>
        <v>10</v>
      </c>
      <c r="AB38">
        <f t="array" aca="1" ref="AB38" ca="1">IFERROR(VLOOKUP($AB$5&amp;$C38,CHOOSE({1,2},D_技能表!$C$2:$C$1210&amp;D_技能表!$E$2:$E$1210,D_技能表!$I$2:$I$1210),2,FALSE),0)</f>
        <v>0</v>
      </c>
      <c r="AC38">
        <f t="array" aca="1" ref="AC38" ca="1">IFERROR(VLOOKUP($AB$5&amp;$C38,CHOOSE({1,2},D_技能表!$C$2:$C$1210&amp;D_技能表!$E$2:$E$1210,D_技能表!$N$2:$N$1210),2,FALSE),0)</f>
        <v>0</v>
      </c>
      <c r="AD38">
        <f t="array" aca="1" ref="AD38" ca="1">IFERROR(VLOOKUP($AB$5&amp;$C38,CHOOSE({1,2},D_技能表!$C$2:$C$1210&amp;D_技能表!$E$2:$E$1210,D_技能表!$W$2:$W$1210),2,FALSE),0)</f>
        <v>0</v>
      </c>
      <c r="AE38">
        <f t="array" aca="1" ref="AE38" ca="1">IFERROR(VLOOKUP($AB$5&amp;$C38,CHOOSE({1,2},D_技能表!$C$2:$C$1210&amp;D_技能表!$E$2:$E$1210,D_技能表!$Z$2:$Z$1210),2,FALSE),0)</f>
        <v>0</v>
      </c>
      <c r="AF38">
        <f t="array" aca="1" ref="AF38" ca="1">IFERROR(VLOOKUP($AF$5&amp;$C38,CHOOSE({1,2},D_技能表!$C$2:$C$1210&amp;D_技能表!$E$2:$E$1210,D_技能表!$I$2:$I$1210),2,FALSE),0)</f>
        <v>17</v>
      </c>
      <c r="AG38">
        <f t="array" aca="1" ref="AG38" ca="1">IFERROR(VLOOKUP($AF$5&amp;$C38,CHOOSE({1,2},D_技能表!$C$2:$C$1210&amp;D_技能表!$E$2:$E$1210,D_技能表!$N$2:$N$1210),2,FALSE),0)</f>
        <v>6060</v>
      </c>
      <c r="AH38">
        <f t="array" aca="1" ref="AH38" ca="1">IFERROR(VLOOKUP($AF$5&amp;$C38,CHOOSE({1,2},D_技能表!$C$2:$C$1210&amp;D_技能表!$E$2:$E$1210,D_技能表!$W$2:$W$1210),2,FALSE),0)</f>
        <v>10</v>
      </c>
      <c r="AI38">
        <f t="array" aca="1" ref="AI38" ca="1">IFERROR(VLOOKUP($AF$5&amp;$C38,CHOOSE({1,2},D_技能表!$C$2:$C$1210&amp;D_技能表!$E$2:$E$1210,D_技能表!$Z$2:$Z$1210),2,FALSE),0)</f>
        <v>0</v>
      </c>
      <c r="AJ38">
        <f t="array" aca="1" ref="AJ38" ca="1">IFERROR(VLOOKUP($AJ$5&amp;$C38,CHOOSE({1,2},D_技能表!$C$2:$C$1210&amp;D_技能表!$E$2:$E$1210,D_技能表!$I$2:$I$1210),2,FALSE),0)</f>
        <v>16</v>
      </c>
      <c r="AK38">
        <f t="array" aca="1" ref="AK38" ca="1">IFERROR(VLOOKUP($AJ$5&amp;$C38,CHOOSE({1,2},D_技能表!$C$2:$C$1210&amp;D_技能表!$E$2:$E$1210,D_技能表!$N$2:$N$1210),2,FALSE),0)</f>
        <v>6060</v>
      </c>
      <c r="AL38">
        <f t="array" aca="1" ref="AL38" ca="1">IFERROR(VLOOKUP($AJ$5&amp;$C38,CHOOSE({1,2},D_技能表!$C$2:$C$1210&amp;D_技能表!$E$2:$E$1210,D_技能表!$W$2:$W$1210),2,FALSE),0)</f>
        <v>10</v>
      </c>
      <c r="AM38">
        <f t="array" aca="1" ref="AM38" ca="1">IFERROR(VLOOKUP($AJ$5&amp;$C38,CHOOSE({1,2},D_技能表!$C$2:$C$1210&amp;D_技能表!$E$2:$E$1210,D_技能表!$Z$2:$Z$1210),2,FALSE),0)</f>
        <v>0</v>
      </c>
      <c r="AN38">
        <f t="array" aca="1" ref="AN38" ca="1">IFERROR(VLOOKUP($AN$5&amp;$C38,CHOOSE({1,2},D_技能表!$C$2:$C$1210&amp;D_技能表!$E$2:$E$1210,D_技能表!$I$2:$I$1210),2,FALSE),0)</f>
        <v>15</v>
      </c>
      <c r="AO38">
        <f t="array" aca="1" ref="AO38" ca="1">IFERROR(VLOOKUP($AN$5&amp;$C38,CHOOSE({1,2},D_技能表!$C$2:$C$1210&amp;D_技能表!$E$2:$E$1210,D_技能表!$N$2:$N$1210),2,FALSE),0)</f>
        <v>9696</v>
      </c>
      <c r="AP38">
        <f t="array" aca="1" ref="AP38" ca="1">IFERROR(VLOOKUP($AN$5&amp;$C38,CHOOSE({1,2},D_技能表!$C$2:$C$1210&amp;D_技能表!$E$2:$E$1210,D_技能表!$W$2:$W$1210),2,FALSE),0)</f>
        <v>16</v>
      </c>
      <c r="AQ38">
        <f t="array" aca="1" ref="AQ38" ca="1">IFERROR(VLOOKUP($AN$5&amp;$C38,CHOOSE({1,2},D_技能表!$C$2:$C$1210&amp;D_技能表!$E$2:$E$1210,D_技能表!$Z$2:$Z$1210),2,FALSE),0)</f>
        <v>0</v>
      </c>
      <c r="AR38" s="11">
        <f ca="1">SUM($G$7:G39,$K$7:K39,$O$7:O39,$S$7:S39,$W$7:W39,$AA$7:AA39,$AE$7:AE39,$AI$7:AI39,$AM$7:AM39,$AQ$7:AQ39)</f>
        <v>77</v>
      </c>
      <c r="AS38">
        <f ca="1">SUM($F$7:F39,$J$7:J39,$N$7:N39,$R$7:R39,$V$7:V39,$Z$7:Z39,$AD$7:AD39,$AH$7:AH39,$AL$7:AL39,$AP$7:AP39)</f>
        <v>1638</v>
      </c>
      <c r="AT38">
        <f t="shared" ca="1" si="1"/>
        <v>116</v>
      </c>
      <c r="AU38" s="33">
        <f ca="1">SUM($AX$7:AX38,$BB$7:BB38,$BF$7:BF38,$BJ$7:BJ38)</f>
        <v>250600</v>
      </c>
      <c r="AV38">
        <v>32</v>
      </c>
      <c r="AW38">
        <f t="array" ref="AW38">IFERROR(VLOOKUP(AW$5&amp;$AV38,CHOOSE({1,2},D_技能表CD!$C$2:$C$313&amp;D_技能表CD!$E$2:$E$313,D_技能表CD!$I$2:$I$313),2,FALSE),0)</f>
        <v>0</v>
      </c>
      <c r="AX38">
        <f t="array" aca="1" ref="AX38" ca="1">IFERROR(VLOOKUP(AW$5&amp;$AV38,CHOOSE({1,2},D_技能表CD!$C$2:$C$313&amp;D_技能表CD!$E$2:$E$313,D_技能表CD!$H$2:$H$313),2,FALSE),0)</f>
        <v>0</v>
      </c>
      <c r="AY38">
        <f t="array" aca="1" ref="AY38" ca="1">IFERROR(VLOOKUP(AW$5&amp;$AV38,CHOOSE({1,2},D_技能表CD!$C$2:$C$313&amp;D_技能表CD!$E$2:$E$313,D_技能表CD!$L$2:$L$313),2,FALSE),0)</f>
        <v>0</v>
      </c>
      <c r="AZ38">
        <f t="array" aca="1" ref="AZ38" ca="1">IFERROR(VLOOKUP(AW$5&amp;$AV38,CHOOSE({1,2},D_技能表CD!$C$2:$C$313&amp;D_技能表CD!$E$2:$E$313,D_技能表CD!$K$2:$K$313),2,FALSE),0)</f>
        <v>0</v>
      </c>
      <c r="BA38">
        <f t="array" ref="BA38">IFERROR(VLOOKUP(BA$5&amp;$AV38,CHOOSE({1,2},D_技能表CD!$C$2:$C$313&amp;D_技能表CD!$E$2:$E$313,D_技能表CD!$I$2:$I$313),2,FALSE),0)</f>
        <v>0</v>
      </c>
      <c r="BB38">
        <f t="array" aca="1" ref="BB38" ca="1">IFERROR(VLOOKUP(BA$5&amp;$AV38,CHOOSE({1,2},D_技能表CD!$C$2:$C$313&amp;D_技能表CD!$E$2:$E$313,D_技能表CD!$H$2:$H$313),2,FALSE),0)</f>
        <v>0</v>
      </c>
      <c r="BC38">
        <f t="array" aca="1" ref="BC38" ca="1">IFERROR(VLOOKUP(BA$5&amp;$AV38,CHOOSE({1,2},D_技能表CD!$C$2:$C$313&amp;D_技能表CD!$E$2:$E$313,D_技能表CD!$L$2:$L$313),2,FALSE),0)</f>
        <v>0</v>
      </c>
      <c r="BD38">
        <f t="array" aca="1" ref="BD38" ca="1">IFERROR(VLOOKUP(BA$5&amp;$AV38,CHOOSE({1,2},D_技能表CD!$C$2:$C$313&amp;D_技能表CD!$E$2:$E$313,D_技能表CD!$K$2:$K$313),2,FALSE),0)</f>
        <v>0</v>
      </c>
      <c r="BE38">
        <f t="array" ref="BE38">IFERROR(VLOOKUP(BE$5&amp;$AV38,CHOOSE({1,2},D_技能表CD!$C$2:$C$313&amp;D_技能表CD!$E$2:$E$313,D_技能表CD!$I$2:$I$313),2,FALSE),0)</f>
        <v>0</v>
      </c>
      <c r="BF38">
        <f t="array" aca="1" ref="BF38" ca="1">IFERROR(VLOOKUP(BE$5&amp;$AV38,CHOOSE({1,2},D_技能表CD!$C$2:$C$313&amp;D_技能表CD!$E$2:$E$313,D_技能表CD!$H$2:$H$313),2,FALSE),0)</f>
        <v>0</v>
      </c>
      <c r="BG38">
        <f t="array" aca="1" ref="BG38" ca="1">IFERROR(VLOOKUP(BE$5&amp;$AV38,CHOOSE({1,2},D_技能表CD!$C$2:$C$313&amp;D_技能表CD!$E$2:$E$313,D_技能表CD!$L$2:$L$313),2,FALSE),0)</f>
        <v>0</v>
      </c>
      <c r="BH38">
        <f t="array" aca="1" ref="BH38" ca="1">IFERROR(VLOOKUP(BE$5&amp;$AV38,CHOOSE({1,2},D_技能表CD!$C$2:$C$313&amp;D_技能表CD!$E$2:$E$313,D_技能表CD!$K$2:$K$313),2,FALSE),0)</f>
        <v>0</v>
      </c>
      <c r="BI38">
        <f t="array" ref="BI38">IFERROR(VLOOKUP(BI$5&amp;$AV38,CHOOSE({1,2},D_技能表CD!$C$2:$C$313&amp;D_技能表CD!$E$2:$E$313,D_技能表CD!$I$2:$I$313),2,FALSE),0)</f>
        <v>10</v>
      </c>
      <c r="BJ38">
        <f t="array" aca="1" ref="BJ38" ca="1">IFERROR(VLOOKUP(BI$5&amp;$AV38,CHOOSE({1,2},D_技能表CD!$C$2:$C$313&amp;D_技能表CD!$E$2:$E$313,D_技能表CD!$H$2:$H$313),2,FALSE),0)</f>
        <v>19550</v>
      </c>
      <c r="BK38">
        <f t="array" aca="1" ref="BK38" ca="1">IFERROR(VLOOKUP(BI$5&amp;$AV38,CHOOSE({1,2},D_技能表CD!$C$2:$C$313&amp;D_技能表CD!$E$2:$E$313,D_技能表CD!$L$2:$L$313),2,FALSE),0)</f>
        <v>73</v>
      </c>
      <c r="BL38">
        <f t="array" aca="1" ref="BL38" ca="1">IFERROR(VLOOKUP(BI$5&amp;$AV38,CHOOSE({1,2},D_技能表CD!$C$2:$C$313&amp;D_技能表CD!$E$2:$E$313,D_技能表CD!$K$2:$K$313),2,FALSE),0)</f>
        <v>63</v>
      </c>
    </row>
    <row r="39" spans="1:64" x14ac:dyDescent="0.15">
      <c r="A39">
        <f t="shared" ca="1" si="0"/>
        <v>826671</v>
      </c>
      <c r="B39" s="33">
        <f ca="1">SUM($E$7:E39,$I$7:I39,$M$7:M39,$Q$7:Q39,$U$7:U39,$Y$7:Y39,$AC$7:AC39,$AG$7:AG39,$AK$7:AK39,$AO$7:AO39)</f>
        <v>551671</v>
      </c>
      <c r="C39">
        <v>33</v>
      </c>
      <c r="D39">
        <f t="array" aca="1" ref="D39" ca="1">IFERROR(VLOOKUP($D$5&amp;C39,CHOOSE({1,2},D_技能表!$C$2:$C$1210&amp;D_技能表!$E$2:$E$1210,D_技能表!$I$2:$I$1210),2,FALSE),0)</f>
        <v>20</v>
      </c>
      <c r="E39">
        <f t="array" aca="1" ref="E39" ca="1">IFERROR(VLOOKUP($D$5&amp;$C39,CHOOSE({1,2},D_技能表!$C$2:$C$1210&amp;D_技能表!$E$2:$E$1210,D_技能表!$N$2:$N$1210),2,FALSE),0)</f>
        <v>19530</v>
      </c>
      <c r="F39">
        <f t="array" aca="1" ref="F39" ca="1">IFERROR(VLOOKUP($D$5&amp;$C39,CHOOSE({1,2},D_技能表!$C$2:$C$1210&amp;D_技能表!$E$2:$E$1210,D_技能表!$W$2:$W$1210),2,FALSE),0)</f>
        <v>30</v>
      </c>
      <c r="G39">
        <f t="array" aca="1" ref="G39" ca="1">IFERROR(VLOOKUP($D$5&amp;$C39,CHOOSE({1,2},D_技能表!$C$2:$C$1210&amp;D_技能表!$E$2:$E$1210,D_技能表!$Z$2:$Z$1210),2,FALSE),0)</f>
        <v>12</v>
      </c>
      <c r="H39">
        <f t="array" aca="1" ref="H39" ca="1">IFERROR(VLOOKUP($H$5&amp;$C39,CHOOSE({1,2},D_技能表!$C$2:$C$1210&amp;D_技能表!$E$2:$E$1210,D_技能表!$I$2:$I$1210),2,FALSE),0)</f>
        <v>19</v>
      </c>
      <c r="I39">
        <f t="array" aca="1" ref="I39" ca="1">IFERROR(VLOOKUP($H$5&amp;$C39,CHOOSE({1,2},D_技能表!$C$2:$C$1210&amp;D_技能表!$E$2:$E$1210,D_技能表!$N$2:$N$1210),2,FALSE),0)</f>
        <v>8463</v>
      </c>
      <c r="J39">
        <f t="array" aca="1" ref="J39" ca="1">IFERROR(VLOOKUP($H$5&amp;$C39,CHOOSE({1,2},D_技能表!$C$2:$C$1210&amp;D_技能表!$E$2:$E$1210,D_技能表!$W$2:$W$1210),2,FALSE),0)</f>
        <v>13</v>
      </c>
      <c r="K39">
        <f t="array" aca="1" ref="K39" ca="1">IFERROR(VLOOKUP($H$5&amp;$C39,CHOOSE({1,2},D_技能表!$C$2:$C$1210&amp;D_技能表!$E$2:$E$1210,D_技能表!$Z$2:$Z$1210),2,FALSE),0)</f>
        <v>6</v>
      </c>
      <c r="L39">
        <f t="array" aca="1" ref="L39" ca="1">IFERROR(VLOOKUP($L$5&amp;$C39,CHOOSE({1,2},D_技能表!$C$2:$C$1210&amp;D_技能表!$E$2:$E$1210,D_技能表!$I$2:$I$1210),2,FALSE),0)</f>
        <v>19</v>
      </c>
      <c r="M39">
        <f t="array" aca="1" ref="M39" ca="1">IFERROR(VLOOKUP($L$5&amp;$C39,CHOOSE({1,2},D_技能表!$C$2:$C$1210&amp;D_技能表!$E$2:$E$1210,D_技能表!$N$2:$N$1210),2,FALSE),0)</f>
        <v>8463</v>
      </c>
      <c r="N39">
        <f t="array" aca="1" ref="N39" ca="1">IFERROR(VLOOKUP($L$5&amp;$C39,CHOOSE({1,2},D_技能表!$C$2:$C$1210&amp;D_技能表!$E$2:$E$1210,D_技能表!$W$2:$W$1210),2,FALSE),0)</f>
        <v>13</v>
      </c>
      <c r="O39">
        <f t="array" aca="1" ref="O39" ca="1">IFERROR(VLOOKUP($L$5&amp;$C39,CHOOSE({1,2},D_技能表!$C$2:$C$1210&amp;D_技能表!$E$2:$E$1210,D_技能表!$Z$2:$Z$1210),2,FALSE),0)</f>
        <v>6</v>
      </c>
      <c r="P39">
        <f t="array" aca="1" ref="P39" ca="1">IFERROR(VLOOKUP($P$5&amp;$C39,CHOOSE({1,2},D_技能表!$C$2:$C$1210&amp;D_技能表!$E$2:$E$1210,D_技能表!$I$2:$I$1210),2,FALSE),0)</f>
        <v>18</v>
      </c>
      <c r="Q39">
        <f t="array" aca="1" ref="Q39" ca="1">IFERROR(VLOOKUP($P$5&amp;$C39,CHOOSE({1,2},D_技能表!$C$2:$C$1210&amp;D_技能表!$E$2:$E$1210,D_技能表!$N$2:$N$1210),2,FALSE),0)</f>
        <v>7812</v>
      </c>
      <c r="R39">
        <f t="array" aca="1" ref="R39" ca="1">IFERROR(VLOOKUP($P$5&amp;$C39,CHOOSE({1,2},D_技能表!$C$2:$C$1210&amp;D_技能表!$E$2:$E$1210,D_技能表!$W$2:$W$1210),2,FALSE),0)</f>
        <v>12</v>
      </c>
      <c r="S39">
        <f t="array" aca="1" ref="S39" ca="1">IFERROR(VLOOKUP($P$5&amp;$C39,CHOOSE({1,2},D_技能表!$C$2:$C$1210&amp;D_技能表!$E$2:$E$1210,D_技能表!$Z$2:$Z$1210),2,FALSE),0)</f>
        <v>5</v>
      </c>
      <c r="T39">
        <f t="array" aca="1" ref="T39" ca="1">IFERROR(VLOOKUP($T$5&amp;$C39,CHOOSE({1,2},D_技能表!$C$2:$C$1210&amp;D_技能表!$E$2:$E$1210,D_技能表!$I$2:$I$1210),2,FALSE),0)</f>
        <v>17</v>
      </c>
      <c r="U39">
        <f t="array" aca="1" ref="U39" ca="1">IFERROR(VLOOKUP($T$5&amp;$C39,CHOOSE({1,2},D_技能表!$C$2:$C$1210&amp;D_技能表!$E$2:$E$1210,D_技能表!$N$2:$N$1210),2,FALSE),0)</f>
        <v>11718</v>
      </c>
      <c r="V39">
        <f t="array" aca="1" ref="V39" ca="1">IFERROR(VLOOKUP($T$5&amp;$C39,CHOOSE({1,2},D_技能表!$C$2:$C$1210&amp;D_技能表!$E$2:$E$1210,D_技能表!$W$2:$W$1210),2,FALSE),0)</f>
        <v>18</v>
      </c>
      <c r="W39">
        <f t="array" aca="1" ref="W39" ca="1">IFERROR(VLOOKUP($T$5&amp;$C39,CHOOSE({1,2},D_技能表!$C$2:$C$1210&amp;D_技能表!$E$2:$E$1210,D_技能表!$Z$2:$Z$1210),2,FALSE),0)</f>
        <v>0</v>
      </c>
      <c r="X39">
        <f t="array" aca="1" ref="X39" ca="1">IFERROR(VLOOKUP($X$5&amp;$C39,CHOOSE({1,2},D_技能表!$C$2:$C$1210&amp;D_技能表!$E$2:$E$1210,D_技能表!$I$2:$I$1210),2,FALSE),0)</f>
        <v>0</v>
      </c>
      <c r="Y39">
        <f t="array" aca="1" ref="Y39" ca="1">IFERROR(VLOOKUP($X$5&amp;$C39,CHOOSE({1,2},D_技能表!$C$2:$C$1210&amp;D_技能表!$E$2:$E$1210,D_技能表!$N$2:$N$1210),2,FALSE),0)</f>
        <v>0</v>
      </c>
      <c r="Z39">
        <f t="array" aca="1" ref="Z39" ca="1">IFERROR(VLOOKUP($X$5&amp;$C39,CHOOSE({1,2},D_技能表!$C$2:$C$1210&amp;D_技能表!$E$2:$E$1210,D_技能表!$W$2:$W$1210),2,FALSE),0)</f>
        <v>0</v>
      </c>
      <c r="AA39">
        <f t="array" aca="1" ref="AA39" ca="1">IFERROR(VLOOKUP($X$5&amp;$C39,CHOOSE({1,2},D_技能表!$C$2:$C$1210&amp;D_技能表!$E$2:$E$1210,D_技能表!$Z$2:$Z$1210),2,FALSE),0)</f>
        <v>0</v>
      </c>
      <c r="AB39">
        <f t="array" aca="1" ref="AB39" ca="1">IFERROR(VLOOKUP($AB$5&amp;$C39,CHOOSE({1,2},D_技能表!$C$2:$C$1210&amp;D_技能表!$E$2:$E$1210,D_技能表!$I$2:$I$1210),2,FALSE),0)</f>
        <v>18</v>
      </c>
      <c r="AC39">
        <f t="array" aca="1" ref="AC39" ca="1">IFERROR(VLOOKUP($AB$5&amp;$C39,CHOOSE({1,2},D_技能表!$C$2:$C$1210&amp;D_技能表!$E$2:$E$1210,D_技能表!$N$2:$N$1210),2,FALSE),0)</f>
        <v>7812</v>
      </c>
      <c r="AD39">
        <f t="array" aca="1" ref="AD39" ca="1">IFERROR(VLOOKUP($AB$5&amp;$C39,CHOOSE({1,2},D_技能表!$C$2:$C$1210&amp;D_技能表!$E$2:$E$1210,D_技能表!$W$2:$W$1210),2,FALSE),0)</f>
        <v>12</v>
      </c>
      <c r="AE39">
        <f t="array" aca="1" ref="AE39" ca="1">IFERROR(VLOOKUP($AB$5&amp;$C39,CHOOSE({1,2},D_技能表!$C$2:$C$1210&amp;D_技能表!$E$2:$E$1210,D_技能表!$Z$2:$Z$1210),2,FALSE),0)</f>
        <v>5</v>
      </c>
      <c r="AF39">
        <f t="array" aca="1" ref="AF39" ca="1">IFERROR(VLOOKUP($AF$5&amp;$C39,CHOOSE({1,2},D_技能表!$C$2:$C$1210&amp;D_技能表!$E$2:$E$1210,D_技能表!$I$2:$I$1210),2,FALSE),0)</f>
        <v>0</v>
      </c>
      <c r="AG39">
        <f t="array" aca="1" ref="AG39" ca="1">IFERROR(VLOOKUP($AF$5&amp;$C39,CHOOSE({1,2},D_技能表!$C$2:$C$1210&amp;D_技能表!$E$2:$E$1210,D_技能表!$N$2:$N$1210),2,FALSE),0)</f>
        <v>0</v>
      </c>
      <c r="AH39">
        <f t="array" aca="1" ref="AH39" ca="1">IFERROR(VLOOKUP($AF$5&amp;$C39,CHOOSE({1,2},D_技能表!$C$2:$C$1210&amp;D_技能表!$E$2:$E$1210,D_技能表!$W$2:$W$1210),2,FALSE),0)</f>
        <v>0</v>
      </c>
      <c r="AI39">
        <f t="array" aca="1" ref="AI39" ca="1">IFERROR(VLOOKUP($AF$5&amp;$C39,CHOOSE({1,2},D_技能表!$C$2:$C$1210&amp;D_技能表!$E$2:$E$1210,D_技能表!$Z$2:$Z$1210),2,FALSE),0)</f>
        <v>0</v>
      </c>
      <c r="AJ39">
        <f t="array" aca="1" ref="AJ39" ca="1">IFERROR(VLOOKUP($AJ$5&amp;$C39,CHOOSE({1,2},D_技能表!$C$2:$C$1210&amp;D_技能表!$E$2:$E$1210,D_技能表!$I$2:$I$1210),2,FALSE),0)</f>
        <v>0</v>
      </c>
      <c r="AK39">
        <f t="array" aca="1" ref="AK39" ca="1">IFERROR(VLOOKUP($AJ$5&amp;$C39,CHOOSE({1,2},D_技能表!$C$2:$C$1210&amp;D_技能表!$E$2:$E$1210,D_技能表!$N$2:$N$1210),2,FALSE),0)</f>
        <v>0</v>
      </c>
      <c r="AL39">
        <f t="array" aca="1" ref="AL39" ca="1">IFERROR(VLOOKUP($AJ$5&amp;$C39,CHOOSE({1,2},D_技能表!$C$2:$C$1210&amp;D_技能表!$E$2:$E$1210,D_技能表!$W$2:$W$1210),2,FALSE),0)</f>
        <v>0</v>
      </c>
      <c r="AM39">
        <f t="array" aca="1" ref="AM39" ca="1">IFERROR(VLOOKUP($AJ$5&amp;$C39,CHOOSE({1,2},D_技能表!$C$2:$C$1210&amp;D_技能表!$E$2:$E$1210,D_技能表!$Z$2:$Z$1210),2,FALSE),0)</f>
        <v>0</v>
      </c>
      <c r="AN39">
        <f t="array" aca="1" ref="AN39" ca="1">IFERROR(VLOOKUP($AN$5&amp;$C39,CHOOSE({1,2},D_技能表!$C$2:$C$1210&amp;D_技能表!$E$2:$E$1210,D_技能表!$I$2:$I$1210),2,FALSE),0)</f>
        <v>0</v>
      </c>
      <c r="AO39">
        <f t="array" aca="1" ref="AO39" ca="1">IFERROR(VLOOKUP($AN$5&amp;$C39,CHOOSE({1,2},D_技能表!$C$2:$C$1210&amp;D_技能表!$E$2:$E$1210,D_技能表!$N$2:$N$1210),2,FALSE),0)</f>
        <v>0</v>
      </c>
      <c r="AP39">
        <f t="array" aca="1" ref="AP39" ca="1">IFERROR(VLOOKUP($AN$5&amp;$C39,CHOOSE({1,2},D_技能表!$C$2:$C$1210&amp;D_技能表!$E$2:$E$1210,D_技能表!$W$2:$W$1210),2,FALSE),0)</f>
        <v>0</v>
      </c>
      <c r="AQ39">
        <f t="array" aca="1" ref="AQ39" ca="1">IFERROR(VLOOKUP($AN$5&amp;$C39,CHOOSE({1,2},D_技能表!$C$2:$C$1210&amp;D_技能表!$E$2:$E$1210,D_技能表!$Z$2:$Z$1210),2,FALSE),0)</f>
        <v>0</v>
      </c>
      <c r="AR39" s="11">
        <f ca="1">SUM($G$7:G40,$K$7:K40,$O$7:O40,$S$7:S40,$W$7:W40,$AA$7:AA40,$AE$7:AE40,$AI$7:AI40,$AM$7:AM40,$AQ$7:AQ40)</f>
        <v>111</v>
      </c>
      <c r="AS39">
        <f ca="1">SUM($F$7:F40,$J$7:J40,$N$7:N40,$R$7:R40,$V$7:V40,$Z$7:Z40,$AD$7:AD40,$AH$7:AH40,$AL$7:AL40,$AP$7:AP40)</f>
        <v>1742</v>
      </c>
      <c r="AT39">
        <f t="shared" ca="1" si="1"/>
        <v>98</v>
      </c>
      <c r="AU39" s="33">
        <f ca="1">SUM($AX$7:AX39,$BB$7:BB39,$BF$7:BF39,$BJ$7:BJ39)</f>
        <v>275000</v>
      </c>
      <c r="AV39">
        <v>33</v>
      </c>
      <c r="AW39">
        <f t="array" ref="AW39">IFERROR(VLOOKUP(AW$5&amp;$AV39,CHOOSE({1,2},D_技能表CD!$C$2:$C$313&amp;D_技能表CD!$E$2:$E$313,D_技能表CD!$I$2:$I$313),2,FALSE),0)</f>
        <v>0</v>
      </c>
      <c r="AX39">
        <f t="array" aca="1" ref="AX39" ca="1">IFERROR(VLOOKUP(AW$5&amp;$AV39,CHOOSE({1,2},D_技能表CD!$C$2:$C$313&amp;D_技能表CD!$E$2:$E$313,D_技能表CD!$H$2:$H$313),2,FALSE),0)</f>
        <v>0</v>
      </c>
      <c r="AY39">
        <f t="array" aca="1" ref="AY39" ca="1">IFERROR(VLOOKUP(AW$5&amp;$AV39,CHOOSE({1,2},D_技能表CD!$C$2:$C$313&amp;D_技能表CD!$E$2:$E$313,D_技能表CD!$L$2:$L$313),2,FALSE),0)</f>
        <v>0</v>
      </c>
      <c r="AZ39">
        <f t="array" aca="1" ref="AZ39" ca="1">IFERROR(VLOOKUP(AW$5&amp;$AV39,CHOOSE({1,2},D_技能表CD!$C$2:$C$313&amp;D_技能表CD!$E$2:$E$313,D_技能表CD!$K$2:$K$313),2,FALSE),0)</f>
        <v>0</v>
      </c>
      <c r="BA39">
        <f t="array" ref="BA39">IFERROR(VLOOKUP(BA$5&amp;$AV39,CHOOSE({1,2},D_技能表CD!$C$2:$C$313&amp;D_技能表CD!$E$2:$E$313,D_技能表CD!$I$2:$I$313),2,FALSE),0)</f>
        <v>11</v>
      </c>
      <c r="BB39">
        <f t="array" aca="1" ref="BB39" ca="1">IFERROR(VLOOKUP(BA$5&amp;$AV39,CHOOSE({1,2},D_技能表CD!$C$2:$C$313&amp;D_技能表CD!$E$2:$E$313,D_技能表CD!$H$2:$H$313),2,FALSE),0)</f>
        <v>24400</v>
      </c>
      <c r="BC39">
        <f t="array" aca="1" ref="BC39" ca="1">IFERROR(VLOOKUP(BA$5&amp;$AV39,CHOOSE({1,2},D_技能表CD!$C$2:$C$313&amp;D_技能表CD!$E$2:$E$313,D_技能表CD!$L$2:$L$313),2,FALSE),0)</f>
        <v>87</v>
      </c>
      <c r="BD39">
        <f t="array" aca="1" ref="BD39" ca="1">IFERROR(VLOOKUP(BA$5&amp;$AV39,CHOOSE({1,2},D_技能表CD!$C$2:$C$313&amp;D_技能表CD!$E$2:$E$313,D_技能表CD!$K$2:$K$313),2,FALSE),0)</f>
        <v>87</v>
      </c>
      <c r="BE39">
        <f t="array" ref="BE39">IFERROR(VLOOKUP(BE$5&amp;$AV39,CHOOSE({1,2},D_技能表CD!$C$2:$C$313&amp;D_技能表CD!$E$2:$E$313,D_技能表CD!$I$2:$I$313),2,FALSE),0)</f>
        <v>0</v>
      </c>
      <c r="BF39">
        <f t="array" aca="1" ref="BF39" ca="1">IFERROR(VLOOKUP(BE$5&amp;$AV39,CHOOSE({1,2},D_技能表CD!$C$2:$C$313&amp;D_技能表CD!$E$2:$E$313,D_技能表CD!$H$2:$H$313),2,FALSE),0)</f>
        <v>0</v>
      </c>
      <c r="BG39">
        <f t="array" aca="1" ref="BG39" ca="1">IFERROR(VLOOKUP(BE$5&amp;$AV39,CHOOSE({1,2},D_技能表CD!$C$2:$C$313&amp;D_技能表CD!$E$2:$E$313,D_技能表CD!$L$2:$L$313),2,FALSE),0)</f>
        <v>0</v>
      </c>
      <c r="BH39">
        <f t="array" aca="1" ref="BH39" ca="1">IFERROR(VLOOKUP(BE$5&amp;$AV39,CHOOSE({1,2},D_技能表CD!$C$2:$C$313&amp;D_技能表CD!$E$2:$E$313,D_技能表CD!$K$2:$K$313),2,FALSE),0)</f>
        <v>0</v>
      </c>
      <c r="BI39">
        <f t="array" ref="BI39">IFERROR(VLOOKUP(BI$5&amp;$AV39,CHOOSE({1,2},D_技能表CD!$C$2:$C$313&amp;D_技能表CD!$E$2:$E$313,D_技能表CD!$I$2:$I$313),2,FALSE),0)</f>
        <v>0</v>
      </c>
      <c r="BJ39">
        <f t="array" aca="1" ref="BJ39" ca="1">IFERROR(VLOOKUP(BI$5&amp;$AV39,CHOOSE({1,2},D_技能表CD!$C$2:$C$313&amp;D_技能表CD!$E$2:$E$313,D_技能表CD!$H$2:$H$313),2,FALSE),0)</f>
        <v>0</v>
      </c>
      <c r="BK39">
        <f t="array" aca="1" ref="BK39" ca="1">IFERROR(VLOOKUP(BI$5&amp;$AV39,CHOOSE({1,2},D_技能表CD!$C$2:$C$313&amp;D_技能表CD!$E$2:$E$313,D_技能表CD!$L$2:$L$313),2,FALSE),0)</f>
        <v>0</v>
      </c>
      <c r="BL39">
        <f t="array" aca="1" ref="BL39" ca="1">IFERROR(VLOOKUP(BI$5&amp;$AV39,CHOOSE({1,2},D_技能表CD!$C$2:$C$313&amp;D_技能表CD!$E$2:$E$313,D_技能表CD!$K$2:$K$313),2,FALSE),0)</f>
        <v>0</v>
      </c>
    </row>
    <row r="40" spans="1:64" x14ac:dyDescent="0.15">
      <c r="A40">
        <f t="shared" ca="1" si="0"/>
        <v>925305</v>
      </c>
      <c r="B40" s="33">
        <f ca="1">SUM($E$7:E40,$I$7:I40,$M$7:M40,$Q$7:Q40,$U$7:U40,$Y$7:Y40,$AC$7:AC40,$AG$7:AG40,$AK$7:AK40,$AO$7:AO40)</f>
        <v>624055</v>
      </c>
      <c r="C40">
        <v>34</v>
      </c>
      <c r="D40">
        <f t="array" aca="1" ref="D40" ca="1">IFERROR(VLOOKUP($D$5&amp;C40,CHOOSE({1,2},D_技能表!$C$2:$C$1210&amp;D_技能表!$E$2:$E$1210,D_技能表!$I$2:$I$1210),2,FALSE),0)</f>
        <v>0</v>
      </c>
      <c r="E40">
        <f t="array" aca="1" ref="E40" ca="1">IFERROR(VLOOKUP($D$5&amp;$C40,CHOOSE({1,2},D_技能表!$C$2:$C$1210&amp;D_技能表!$E$2:$E$1210,D_技能表!$N$2:$N$1210),2,FALSE),0)</f>
        <v>0</v>
      </c>
      <c r="F40">
        <f t="array" aca="1" ref="F40" ca="1">IFERROR(VLOOKUP($D$5&amp;$C40,CHOOSE({1,2},D_技能表!$C$2:$C$1210&amp;D_技能表!$E$2:$E$1210,D_技能表!$W$2:$W$1210),2,FALSE),0)</f>
        <v>0</v>
      </c>
      <c r="G40">
        <f t="array" aca="1" ref="G40" ca="1">IFERROR(VLOOKUP($D$5&amp;$C40,CHOOSE({1,2},D_技能表!$C$2:$C$1210&amp;D_技能表!$E$2:$E$1210,D_技能表!$Z$2:$Z$1210),2,FALSE),0)</f>
        <v>0</v>
      </c>
      <c r="H40">
        <f t="array" aca="1" ref="H40" ca="1">IFERROR(VLOOKUP($H$5&amp;$C40,CHOOSE({1,2},D_技能表!$C$2:$C$1210&amp;D_技能表!$E$2:$E$1210,D_技能表!$I$2:$I$1210),2,FALSE),0)</f>
        <v>20</v>
      </c>
      <c r="I40">
        <f t="array" aca="1" ref="I40" ca="1">IFERROR(VLOOKUP($H$5&amp;$C40,CHOOSE({1,2},D_技能表!$C$2:$C$1210&amp;D_技能表!$E$2:$E$1210,D_技能表!$N$2:$N$1210),2,FALSE),0)</f>
        <v>9048</v>
      </c>
      <c r="J40">
        <f t="array" aca="1" ref="J40" ca="1">IFERROR(VLOOKUP($H$5&amp;$C40,CHOOSE({1,2},D_技能表!$C$2:$C$1210&amp;D_技能表!$E$2:$E$1210,D_技能表!$W$2:$W$1210),2,FALSE),0)</f>
        <v>13</v>
      </c>
      <c r="K40">
        <f t="array" aca="1" ref="K40" ca="1">IFERROR(VLOOKUP($H$5&amp;$C40,CHOOSE({1,2},D_技能表!$C$2:$C$1210&amp;D_技能表!$E$2:$E$1210,D_技能表!$Z$2:$Z$1210),2,FALSE),0)</f>
        <v>6</v>
      </c>
      <c r="L40">
        <f t="array" aca="1" ref="L40" ca="1">IFERROR(VLOOKUP($L$5&amp;$C40,CHOOSE({1,2},D_技能表!$C$2:$C$1210&amp;D_技能表!$E$2:$E$1210,D_技能表!$I$2:$I$1210),2,FALSE),0)</f>
        <v>20</v>
      </c>
      <c r="M40">
        <f t="array" aca="1" ref="M40" ca="1">IFERROR(VLOOKUP($L$5&amp;$C40,CHOOSE({1,2},D_技能表!$C$2:$C$1210&amp;D_技能表!$E$2:$E$1210,D_技能表!$N$2:$N$1210),2,FALSE),0)</f>
        <v>9048</v>
      </c>
      <c r="N40">
        <f t="array" aca="1" ref="N40" ca="1">IFERROR(VLOOKUP($L$5&amp;$C40,CHOOSE({1,2},D_技能表!$C$2:$C$1210&amp;D_技能表!$E$2:$E$1210,D_技能表!$W$2:$W$1210),2,FALSE),0)</f>
        <v>13</v>
      </c>
      <c r="O40">
        <f t="array" aca="1" ref="O40" ca="1">IFERROR(VLOOKUP($L$5&amp;$C40,CHOOSE({1,2},D_技能表!$C$2:$C$1210&amp;D_技能表!$E$2:$E$1210,D_技能表!$Z$2:$Z$1210),2,FALSE),0)</f>
        <v>6</v>
      </c>
      <c r="P40">
        <f t="array" aca="1" ref="P40" ca="1">IFERROR(VLOOKUP($P$5&amp;$C40,CHOOSE({1,2},D_技能表!$C$2:$C$1210&amp;D_技能表!$E$2:$E$1210,D_技能表!$I$2:$I$1210),2,FALSE),0)</f>
        <v>0</v>
      </c>
      <c r="Q40">
        <f t="array" aca="1" ref="Q40" ca="1">IFERROR(VLOOKUP($P$5&amp;$C40,CHOOSE({1,2},D_技能表!$C$2:$C$1210&amp;D_技能表!$E$2:$E$1210,D_技能表!$N$2:$N$1210),2,FALSE),0)</f>
        <v>0</v>
      </c>
      <c r="R40">
        <f t="array" aca="1" ref="R40" ca="1">IFERROR(VLOOKUP($P$5&amp;$C40,CHOOSE({1,2},D_技能表!$C$2:$C$1210&amp;D_技能表!$E$2:$E$1210,D_技能表!$W$2:$W$1210),2,FALSE),0)</f>
        <v>0</v>
      </c>
      <c r="S40">
        <f t="array" aca="1" ref="S40" ca="1">IFERROR(VLOOKUP($P$5&amp;$C40,CHOOSE({1,2},D_技能表!$C$2:$C$1210&amp;D_技能表!$E$2:$E$1210,D_技能表!$Z$2:$Z$1210),2,FALSE),0)</f>
        <v>0</v>
      </c>
      <c r="T40">
        <f t="array" aca="1" ref="T40" ca="1">IFERROR(VLOOKUP($T$5&amp;$C40,CHOOSE({1,2},D_技能表!$C$2:$C$1210&amp;D_技能表!$E$2:$E$1210,D_技能表!$I$2:$I$1210),2,FALSE),0)</f>
        <v>0</v>
      </c>
      <c r="U40">
        <f t="array" aca="1" ref="U40" ca="1">IFERROR(VLOOKUP($T$5&amp;$C40,CHOOSE({1,2},D_技能表!$C$2:$C$1210&amp;D_技能表!$E$2:$E$1210,D_技能表!$N$2:$N$1210),2,FALSE),0)</f>
        <v>0</v>
      </c>
      <c r="V40">
        <f t="array" aca="1" ref="V40" ca="1">IFERROR(VLOOKUP($T$5&amp;$C40,CHOOSE({1,2},D_技能表!$C$2:$C$1210&amp;D_技能表!$E$2:$E$1210,D_技能表!$W$2:$W$1210),2,FALSE),0)</f>
        <v>0</v>
      </c>
      <c r="W40">
        <f t="array" aca="1" ref="W40" ca="1">IFERROR(VLOOKUP($T$5&amp;$C40,CHOOSE({1,2},D_技能表!$C$2:$C$1210&amp;D_技能表!$E$2:$E$1210,D_技能表!$Z$2:$Z$1210),2,FALSE),0)</f>
        <v>0</v>
      </c>
      <c r="X40">
        <f t="array" aca="1" ref="X40" ca="1">IFERROR(VLOOKUP($X$5&amp;$C40,CHOOSE({1,2},D_技能表!$C$2:$C$1210&amp;D_技能表!$E$2:$E$1210,D_技能表!$I$2:$I$1210),2,FALSE),0)</f>
        <v>19</v>
      </c>
      <c r="Y40">
        <f t="array" aca="1" ref="Y40" ca="1">IFERROR(VLOOKUP($X$5&amp;$C40,CHOOSE({1,2},D_技能表!$C$2:$C$1210&amp;D_技能表!$E$2:$E$1210,D_技能表!$N$2:$N$1210),2,FALSE),0)</f>
        <v>18792</v>
      </c>
      <c r="Z40">
        <f t="array" aca="1" ref="Z40" ca="1">IFERROR(VLOOKUP($X$5&amp;$C40,CHOOSE({1,2},D_技能表!$C$2:$C$1210&amp;D_技能表!$E$2:$E$1210,D_技能表!$W$2:$W$1210),2,FALSE),0)</f>
        <v>27</v>
      </c>
      <c r="AA40">
        <f t="array" aca="1" ref="AA40" ca="1">IFERROR(VLOOKUP($X$5&amp;$C40,CHOOSE({1,2},D_技能表!$C$2:$C$1210&amp;D_技能表!$E$2:$E$1210,D_技能表!$Z$2:$Z$1210),2,FALSE),0)</f>
        <v>11</v>
      </c>
      <c r="AB40">
        <f t="array" aca="1" ref="AB40" ca="1">IFERROR(VLOOKUP($AB$5&amp;$C40,CHOOSE({1,2},D_技能表!$C$2:$C$1210&amp;D_技能表!$E$2:$E$1210,D_技能表!$I$2:$I$1210),2,FALSE),0)</f>
        <v>19</v>
      </c>
      <c r="AC40">
        <f t="array" aca="1" ref="AC40" ca="1">IFERROR(VLOOKUP($AB$5&amp;$C40,CHOOSE({1,2},D_技能表!$C$2:$C$1210&amp;D_技能表!$E$2:$E$1210,D_技能表!$N$2:$N$1210),2,FALSE),0)</f>
        <v>9048</v>
      </c>
      <c r="AD40">
        <f t="array" aca="1" ref="AD40" ca="1">IFERROR(VLOOKUP($AB$5&amp;$C40,CHOOSE({1,2},D_技能表!$C$2:$C$1210&amp;D_技能表!$E$2:$E$1210,D_技能表!$W$2:$W$1210),2,FALSE),0)</f>
        <v>13</v>
      </c>
      <c r="AE40">
        <f t="array" aca="1" ref="AE40" ca="1">IFERROR(VLOOKUP($AB$5&amp;$C40,CHOOSE({1,2},D_技能表!$C$2:$C$1210&amp;D_技能表!$E$2:$E$1210,D_技能表!$Z$2:$Z$1210),2,FALSE),0)</f>
        <v>6</v>
      </c>
      <c r="AF40">
        <f t="array" aca="1" ref="AF40" ca="1">IFERROR(VLOOKUP($AF$5&amp;$C40,CHOOSE({1,2},D_技能表!$C$2:$C$1210&amp;D_技能表!$E$2:$E$1210,D_技能表!$I$2:$I$1210),2,FALSE),0)</f>
        <v>18</v>
      </c>
      <c r="AG40">
        <f t="array" aca="1" ref="AG40" ca="1">IFERROR(VLOOKUP($AF$5&amp;$C40,CHOOSE({1,2},D_技能表!$C$2:$C$1210&amp;D_技能表!$E$2:$E$1210,D_技能表!$N$2:$N$1210),2,FALSE),0)</f>
        <v>7656</v>
      </c>
      <c r="AH40">
        <f t="array" aca="1" ref="AH40" ca="1">IFERROR(VLOOKUP($AF$5&amp;$C40,CHOOSE({1,2},D_技能表!$C$2:$C$1210&amp;D_技能表!$E$2:$E$1210,D_技能表!$W$2:$W$1210),2,FALSE),0)</f>
        <v>11</v>
      </c>
      <c r="AI40">
        <f t="array" aca="1" ref="AI40" ca="1">IFERROR(VLOOKUP($AF$5&amp;$C40,CHOOSE({1,2},D_技能表!$C$2:$C$1210&amp;D_技能表!$E$2:$E$1210,D_技能表!$Z$2:$Z$1210),2,FALSE),0)</f>
        <v>5</v>
      </c>
      <c r="AJ40">
        <f t="array" aca="1" ref="AJ40" ca="1">IFERROR(VLOOKUP($AJ$5&amp;$C40,CHOOSE({1,2},D_技能表!$C$2:$C$1210&amp;D_技能表!$E$2:$E$1210,D_技能表!$I$2:$I$1210),2,FALSE),0)</f>
        <v>17</v>
      </c>
      <c r="AK40">
        <f t="array" aca="1" ref="AK40" ca="1">IFERROR(VLOOKUP($AJ$5&amp;$C40,CHOOSE({1,2},D_技能表!$C$2:$C$1210&amp;D_技能表!$E$2:$E$1210,D_技能表!$N$2:$N$1210),2,FALSE),0)</f>
        <v>6960</v>
      </c>
      <c r="AL40">
        <f t="array" aca="1" ref="AL40" ca="1">IFERROR(VLOOKUP($AJ$5&amp;$C40,CHOOSE({1,2},D_技能表!$C$2:$C$1210&amp;D_技能表!$E$2:$E$1210,D_技能表!$W$2:$W$1210),2,FALSE),0)</f>
        <v>10</v>
      </c>
      <c r="AM40">
        <f t="array" aca="1" ref="AM40" ca="1">IFERROR(VLOOKUP($AJ$5&amp;$C40,CHOOSE({1,2},D_技能表!$C$2:$C$1210&amp;D_技能表!$E$2:$E$1210,D_技能表!$Z$2:$Z$1210),2,FALSE),0)</f>
        <v>0</v>
      </c>
      <c r="AN40">
        <f t="array" aca="1" ref="AN40" ca="1">IFERROR(VLOOKUP($AN$5&amp;$C40,CHOOSE({1,2},D_技能表!$C$2:$C$1210&amp;D_技能表!$E$2:$E$1210,D_技能表!$I$2:$I$1210),2,FALSE),0)</f>
        <v>16</v>
      </c>
      <c r="AO40">
        <f t="array" aca="1" ref="AO40" ca="1">IFERROR(VLOOKUP($AN$5&amp;$C40,CHOOSE({1,2},D_技能表!$C$2:$C$1210&amp;D_技能表!$E$2:$E$1210,D_技能表!$N$2:$N$1210),2,FALSE),0)</f>
        <v>11832</v>
      </c>
      <c r="AP40">
        <f t="array" aca="1" ref="AP40" ca="1">IFERROR(VLOOKUP($AN$5&amp;$C40,CHOOSE({1,2},D_技能表!$C$2:$C$1210&amp;D_技能表!$E$2:$E$1210,D_技能表!$W$2:$W$1210),2,FALSE),0)</f>
        <v>17</v>
      </c>
      <c r="AQ40">
        <f t="array" aca="1" ref="AQ40" ca="1">IFERROR(VLOOKUP($AN$5&amp;$C40,CHOOSE({1,2},D_技能表!$C$2:$C$1210&amp;D_技能表!$E$2:$E$1210,D_技能表!$Z$2:$Z$1210),2,FALSE),0)</f>
        <v>0</v>
      </c>
      <c r="AR40" s="11">
        <f ca="1">SUM($G$7:G41,$K$7:K41,$O$7:O41,$S$7:S41,$W$7:W41,$AA$7:AA41,$AE$7:AE41,$AI$7:AI41,$AM$7:AM41,$AQ$7:AQ41)</f>
        <v>161</v>
      </c>
      <c r="AS40">
        <f ca="1">SUM($F$7:F41,$J$7:J41,$N$7:N41,$R$7:R41,$V$7:V41,$Z$7:Z41,$AD$7:AD41,$AH$7:AH41,$AL$7:AL41,$AP$7:AP41)</f>
        <v>1878</v>
      </c>
      <c r="AT40">
        <f t="shared" ca="1" si="1"/>
        <v>104</v>
      </c>
      <c r="AU40" s="33">
        <f ca="1">SUM($AX$7:AX40,$BB$7:BB40,$BF$7:BF40,$BJ$7:BJ40)</f>
        <v>301250</v>
      </c>
      <c r="AV40">
        <v>34</v>
      </c>
      <c r="AW40">
        <f t="array" ref="AW40">IFERROR(VLOOKUP(AW$5&amp;$AV40,CHOOSE({1,2},D_技能表CD!$C$2:$C$313&amp;D_技能表CD!$E$2:$E$313,D_技能表CD!$I$2:$I$313),2,FALSE),0)</f>
        <v>12</v>
      </c>
      <c r="AX40">
        <f t="array" aca="1" ref="AX40" ca="1">IFERROR(VLOOKUP(AW$5&amp;$AV40,CHOOSE({1,2},D_技能表CD!$C$2:$C$313&amp;D_技能表CD!$E$2:$E$313,D_技能表CD!$H$2:$H$313),2,FALSE),0)</f>
        <v>15350</v>
      </c>
      <c r="AY40">
        <f t="array" aca="1" ref="AY40" ca="1">IFERROR(VLOOKUP(AW$5&amp;$AV40,CHOOSE({1,2},D_技能表CD!$C$2:$C$313&amp;D_技能表CD!$E$2:$E$313,D_技能表CD!$L$2:$L$313),2,FALSE),0)</f>
        <v>53</v>
      </c>
      <c r="AZ40">
        <f t="array" aca="1" ref="AZ40" ca="1">IFERROR(VLOOKUP(AW$5&amp;$AV40,CHOOSE({1,2},D_技能表CD!$C$2:$C$313&amp;D_技能表CD!$E$2:$E$313,D_技能表CD!$K$2:$K$313),2,FALSE),0)</f>
        <v>61</v>
      </c>
      <c r="BA40">
        <f t="array" ref="BA40">IFERROR(VLOOKUP(BA$5&amp;$AV40,CHOOSE({1,2},D_技能表CD!$C$2:$C$313&amp;D_技能表CD!$E$2:$E$313,D_技能表CD!$I$2:$I$313),2,FALSE),0)</f>
        <v>0</v>
      </c>
      <c r="BB40">
        <f t="array" aca="1" ref="BB40" ca="1">IFERROR(VLOOKUP(BA$5&amp;$AV40,CHOOSE({1,2},D_技能表CD!$C$2:$C$313&amp;D_技能表CD!$E$2:$E$313,D_技能表CD!$H$2:$H$313),2,FALSE),0)</f>
        <v>0</v>
      </c>
      <c r="BC40">
        <f t="array" aca="1" ref="BC40" ca="1">IFERROR(VLOOKUP(BA$5&amp;$AV40,CHOOSE({1,2},D_技能表CD!$C$2:$C$313&amp;D_技能表CD!$E$2:$E$313,D_技能表CD!$L$2:$L$313),2,FALSE),0)</f>
        <v>0</v>
      </c>
      <c r="BD40">
        <f t="array" aca="1" ref="BD40" ca="1">IFERROR(VLOOKUP(BA$5&amp;$AV40,CHOOSE({1,2},D_技能表CD!$C$2:$C$313&amp;D_技能表CD!$E$2:$E$313,D_技能表CD!$K$2:$K$313),2,FALSE),0)</f>
        <v>0</v>
      </c>
      <c r="BE40">
        <f t="array" ref="BE40">IFERROR(VLOOKUP(BE$5&amp;$AV40,CHOOSE({1,2},D_技能表CD!$C$2:$C$313&amp;D_技能表CD!$E$2:$E$313,D_技能表CD!$I$2:$I$313),2,FALSE),0)</f>
        <v>11</v>
      </c>
      <c r="BF40">
        <f t="array" aca="1" ref="BF40" ca="1">IFERROR(VLOOKUP(BE$5&amp;$AV40,CHOOSE({1,2},D_技能表CD!$C$2:$C$313&amp;D_技能表CD!$E$2:$E$313,D_技能表CD!$H$2:$H$313),2,FALSE),0)</f>
        <v>10900</v>
      </c>
      <c r="BG40">
        <f t="array" aca="1" ref="BG40" ca="1">IFERROR(VLOOKUP(BE$5&amp;$AV40,CHOOSE({1,2},D_技能表CD!$C$2:$C$313&amp;D_技能表CD!$E$2:$E$313,D_技能表CD!$L$2:$L$313),2,FALSE),0)</f>
        <v>39</v>
      </c>
      <c r="BH40">
        <f t="array" aca="1" ref="BH40" ca="1">IFERROR(VLOOKUP(BE$5&amp;$AV40,CHOOSE({1,2},D_技能表CD!$C$2:$C$313&amp;D_技能表CD!$E$2:$E$313,D_技能表CD!$K$2:$K$313),2,FALSE),0)</f>
        <v>39</v>
      </c>
      <c r="BI40">
        <f t="array" ref="BI40">IFERROR(VLOOKUP(BI$5&amp;$AV40,CHOOSE({1,2},D_技能表CD!$C$2:$C$313&amp;D_技能表CD!$E$2:$E$313,D_技能表CD!$I$2:$I$313),2,FALSE),0)</f>
        <v>0</v>
      </c>
      <c r="BJ40">
        <f t="array" aca="1" ref="BJ40" ca="1">IFERROR(VLOOKUP(BI$5&amp;$AV40,CHOOSE({1,2},D_技能表CD!$C$2:$C$313&amp;D_技能表CD!$E$2:$E$313,D_技能表CD!$H$2:$H$313),2,FALSE),0)</f>
        <v>0</v>
      </c>
      <c r="BK40">
        <f t="array" aca="1" ref="BK40" ca="1">IFERROR(VLOOKUP(BI$5&amp;$AV40,CHOOSE({1,2},D_技能表CD!$C$2:$C$313&amp;D_技能表CD!$E$2:$E$313,D_技能表CD!$L$2:$L$313),2,FALSE),0)</f>
        <v>0</v>
      </c>
      <c r="BL40">
        <f t="array" aca="1" ref="BL40" ca="1">IFERROR(VLOOKUP(BI$5&amp;$AV40,CHOOSE({1,2},D_技能表CD!$C$2:$C$313&amp;D_技能表CD!$E$2:$E$313,D_技能表CD!$K$2:$K$313),2,FALSE),0)</f>
        <v>0</v>
      </c>
    </row>
    <row r="41" spans="1:64" x14ac:dyDescent="0.15">
      <c r="A41">
        <f t="shared" ca="1" si="0"/>
        <v>1050153</v>
      </c>
      <c r="B41" s="33">
        <f ca="1">SUM($E$7:E41,$I$7:I41,$M$7:M41,$Q$7:Q41,$U$7:U41,$Y$7:Y41,$AC$7:AC41,$AG$7:AG41,$AK$7:AK41,$AO$7:AO41)</f>
        <v>725103</v>
      </c>
      <c r="C41">
        <v>35</v>
      </c>
      <c r="D41">
        <f t="array" aca="1" ref="D41" ca="1">IFERROR(VLOOKUP($D$5&amp;C41,CHOOSE({1,2},D_技能表!$C$2:$C$1210&amp;D_技能表!$E$2:$E$1210,D_技能表!$I$2:$I$1210),2,FALSE),0)</f>
        <v>21</v>
      </c>
      <c r="E41">
        <f t="array" aca="1" ref="E41" ca="1">IFERROR(VLOOKUP($D$5&amp;$C41,CHOOSE({1,2},D_技能表!$C$2:$C$1210&amp;D_技能表!$E$2:$E$1210,D_技能表!$N$2:$N$1210),2,FALSE),0)</f>
        <v>24519</v>
      </c>
      <c r="F41">
        <f t="array" aca="1" ref="F41" ca="1">IFERROR(VLOOKUP($D$5&amp;$C41,CHOOSE({1,2},D_技能表!$C$2:$C$1210&amp;D_技能表!$E$2:$E$1210,D_技能表!$W$2:$W$1210),2,FALSE),0)</f>
        <v>33</v>
      </c>
      <c r="G41">
        <f t="array" aca="1" ref="G41" ca="1">IFERROR(VLOOKUP($D$5&amp;$C41,CHOOSE({1,2},D_技能表!$C$2:$C$1210&amp;D_技能表!$E$2:$E$1210,D_技能表!$Z$2:$Z$1210),2,FALSE),0)</f>
        <v>14</v>
      </c>
      <c r="H41">
        <f t="array" aca="1" ref="H41" ca="1">IFERROR(VLOOKUP($H$5&amp;$C41,CHOOSE({1,2},D_技能表!$C$2:$C$1210&amp;D_技能表!$E$2:$E$1210,D_技能表!$I$2:$I$1210),2,FALSE),0)</f>
        <v>0</v>
      </c>
      <c r="I41">
        <f t="array" aca="1" ref="I41" ca="1">IFERROR(VLOOKUP($H$5&amp;$C41,CHOOSE({1,2},D_技能表!$C$2:$C$1210&amp;D_技能表!$E$2:$E$1210,D_技能表!$N$2:$N$1210),2,FALSE),0)</f>
        <v>0</v>
      </c>
      <c r="J41">
        <f t="array" aca="1" ref="J41" ca="1">IFERROR(VLOOKUP($H$5&amp;$C41,CHOOSE({1,2},D_技能表!$C$2:$C$1210&amp;D_技能表!$E$2:$E$1210,D_技能表!$W$2:$W$1210),2,FALSE),0)</f>
        <v>0</v>
      </c>
      <c r="K41">
        <f t="array" aca="1" ref="K41" ca="1">IFERROR(VLOOKUP($H$5&amp;$C41,CHOOSE({1,2},D_技能表!$C$2:$C$1210&amp;D_技能表!$E$2:$E$1210,D_技能表!$Z$2:$Z$1210),2,FALSE),0)</f>
        <v>0</v>
      </c>
      <c r="L41">
        <f t="array" aca="1" ref="L41" ca="1">IFERROR(VLOOKUP($L$5&amp;$C41,CHOOSE({1,2},D_技能表!$C$2:$C$1210&amp;D_技能表!$E$2:$E$1210,D_技能表!$I$2:$I$1210),2,FALSE),0)</f>
        <v>0</v>
      </c>
      <c r="M41">
        <f t="array" aca="1" ref="M41" ca="1">IFERROR(VLOOKUP($L$5&amp;$C41,CHOOSE({1,2},D_技能表!$C$2:$C$1210&amp;D_技能表!$E$2:$E$1210,D_技能表!$N$2:$N$1210),2,FALSE),0)</f>
        <v>0</v>
      </c>
      <c r="N41">
        <f t="array" aca="1" ref="N41" ca="1">IFERROR(VLOOKUP($L$5&amp;$C41,CHOOSE({1,2},D_技能表!$C$2:$C$1210&amp;D_技能表!$E$2:$E$1210,D_技能表!$W$2:$W$1210),2,FALSE),0)</f>
        <v>0</v>
      </c>
      <c r="O41">
        <f t="array" aca="1" ref="O41" ca="1">IFERROR(VLOOKUP($L$5&amp;$C41,CHOOSE({1,2},D_技能表!$C$2:$C$1210&amp;D_技能表!$E$2:$E$1210,D_技能表!$Z$2:$Z$1210),2,FALSE),0)</f>
        <v>0</v>
      </c>
      <c r="P41">
        <f t="array" aca="1" ref="P41" ca="1">IFERROR(VLOOKUP($P$5&amp;$C41,CHOOSE({1,2},D_技能表!$C$2:$C$1210&amp;D_技能表!$E$2:$E$1210,D_技能表!$I$2:$I$1210),2,FALSE),0)</f>
        <v>19</v>
      </c>
      <c r="Q41">
        <f t="array" aca="1" ref="Q41" ca="1">IFERROR(VLOOKUP($P$5&amp;$C41,CHOOSE({1,2},D_技能表!$C$2:$C$1210&amp;D_技能表!$E$2:$E$1210,D_技能表!$N$2:$N$1210),2,FALSE),0)</f>
        <v>9659</v>
      </c>
      <c r="R41">
        <f t="array" aca="1" ref="R41" ca="1">IFERROR(VLOOKUP($P$5&amp;$C41,CHOOSE({1,2},D_技能表!$C$2:$C$1210&amp;D_技能表!$E$2:$E$1210,D_技能表!$W$2:$W$1210),2,FALSE),0)</f>
        <v>13</v>
      </c>
      <c r="S41">
        <f t="array" aca="1" ref="S41" ca="1">IFERROR(VLOOKUP($P$5&amp;$C41,CHOOSE({1,2},D_技能表!$C$2:$C$1210&amp;D_技能表!$E$2:$E$1210,D_技能表!$Z$2:$Z$1210),2,FALSE),0)</f>
        <v>6</v>
      </c>
      <c r="T41">
        <f t="array" aca="1" ref="T41" ca="1">IFERROR(VLOOKUP($T$5&amp;$C41,CHOOSE({1,2},D_技能表!$C$2:$C$1210&amp;D_技能表!$E$2:$E$1210,D_技能表!$I$2:$I$1210),2,FALSE),0)</f>
        <v>18</v>
      </c>
      <c r="U41">
        <f t="array" aca="1" ref="U41" ca="1">IFERROR(VLOOKUP($T$5&amp;$C41,CHOOSE({1,2},D_技能表!$C$2:$C$1210&amp;D_技能表!$E$2:$E$1210,D_技能表!$N$2:$N$1210),2,FALSE),0)</f>
        <v>14117</v>
      </c>
      <c r="V41">
        <f t="array" aca="1" ref="V41" ca="1">IFERROR(VLOOKUP($T$5&amp;$C41,CHOOSE({1,2},D_技能表!$C$2:$C$1210&amp;D_技能表!$E$2:$E$1210,D_技能表!$W$2:$W$1210),2,FALSE),0)</f>
        <v>19</v>
      </c>
      <c r="W41">
        <f t="array" aca="1" ref="W41" ca="1">IFERROR(VLOOKUP($T$5&amp;$C41,CHOOSE({1,2},D_技能表!$C$2:$C$1210&amp;D_技能表!$E$2:$E$1210,D_技能表!$Z$2:$Z$1210),2,FALSE),0)</f>
        <v>8</v>
      </c>
      <c r="X41">
        <f t="array" aca="1" ref="X41" ca="1">IFERROR(VLOOKUP($X$5&amp;$C41,CHOOSE({1,2},D_技能表!$C$2:$C$1210&amp;D_技能表!$E$2:$E$1210,D_技能表!$I$2:$I$1210),2,FALSE),0)</f>
        <v>20</v>
      </c>
      <c r="Y41">
        <f t="array" aca="1" ref="Y41" ca="1">IFERROR(VLOOKUP($X$5&amp;$C41,CHOOSE({1,2},D_技能表!$C$2:$C$1210&amp;D_技能表!$E$2:$E$1210,D_技能表!$N$2:$N$1210),2,FALSE),0)</f>
        <v>21547</v>
      </c>
      <c r="Z41">
        <f t="array" aca="1" ref="Z41" ca="1">IFERROR(VLOOKUP($X$5&amp;$C41,CHOOSE({1,2},D_技能表!$C$2:$C$1210&amp;D_技能表!$E$2:$E$1210,D_技能表!$W$2:$W$1210),2,FALSE),0)</f>
        <v>29</v>
      </c>
      <c r="AA41">
        <f t="array" aca="1" ref="AA41" ca="1">IFERROR(VLOOKUP($X$5&amp;$C41,CHOOSE({1,2},D_技能表!$C$2:$C$1210&amp;D_技能表!$E$2:$E$1210,D_技能表!$Z$2:$Z$1210),2,FALSE),0)</f>
        <v>12</v>
      </c>
      <c r="AB41">
        <f t="array" aca="1" ref="AB41" ca="1">IFERROR(VLOOKUP($AB$5&amp;$C41,CHOOSE({1,2},D_技能表!$C$2:$C$1210&amp;D_技能表!$E$2:$E$1210,D_技能表!$I$2:$I$1210),2,FALSE),0)</f>
        <v>0</v>
      </c>
      <c r="AC41">
        <f t="array" aca="1" ref="AC41" ca="1">IFERROR(VLOOKUP($AB$5&amp;$C41,CHOOSE({1,2},D_技能表!$C$2:$C$1210&amp;D_技能表!$E$2:$E$1210,D_技能表!$N$2:$N$1210),2,FALSE),0)</f>
        <v>0</v>
      </c>
      <c r="AD41">
        <f t="array" aca="1" ref="AD41" ca="1">IFERROR(VLOOKUP($AB$5&amp;$C41,CHOOSE({1,2},D_技能表!$C$2:$C$1210&amp;D_技能表!$E$2:$E$1210,D_技能表!$W$2:$W$1210),2,FALSE),0)</f>
        <v>0</v>
      </c>
      <c r="AE41">
        <f t="array" aca="1" ref="AE41" ca="1">IFERROR(VLOOKUP($AB$5&amp;$C41,CHOOSE({1,2},D_技能表!$C$2:$C$1210&amp;D_技能表!$E$2:$E$1210,D_技能表!$Z$2:$Z$1210),2,FALSE),0)</f>
        <v>0</v>
      </c>
      <c r="AF41">
        <f t="array" aca="1" ref="AF41" ca="1">IFERROR(VLOOKUP($AF$5&amp;$C41,CHOOSE({1,2},D_技能表!$C$2:$C$1210&amp;D_技能表!$E$2:$E$1210,D_技能表!$I$2:$I$1210),2,FALSE),0)</f>
        <v>19</v>
      </c>
      <c r="AG41">
        <f t="array" aca="1" ref="AG41" ca="1">IFERROR(VLOOKUP($AF$5&amp;$C41,CHOOSE({1,2},D_技能表!$C$2:$C$1210&amp;D_技能表!$E$2:$E$1210,D_技能表!$N$2:$N$1210),2,FALSE),0)</f>
        <v>8916</v>
      </c>
      <c r="AH41">
        <f t="array" aca="1" ref="AH41" ca="1">IFERROR(VLOOKUP($AF$5&amp;$C41,CHOOSE({1,2},D_技能表!$C$2:$C$1210&amp;D_技能表!$E$2:$E$1210,D_技能表!$W$2:$W$1210),2,FALSE),0)</f>
        <v>12</v>
      </c>
      <c r="AI41">
        <f t="array" aca="1" ref="AI41" ca="1">IFERROR(VLOOKUP($AF$5&amp;$C41,CHOOSE({1,2},D_技能表!$C$2:$C$1210&amp;D_技能表!$E$2:$E$1210,D_技能表!$Z$2:$Z$1210),2,FALSE),0)</f>
        <v>5</v>
      </c>
      <c r="AJ41">
        <f t="array" aca="1" ref="AJ41" ca="1">IFERROR(VLOOKUP($AJ$5&amp;$C41,CHOOSE({1,2},D_技能表!$C$2:$C$1210&amp;D_技能表!$E$2:$E$1210,D_技能表!$I$2:$I$1210),2,FALSE),0)</f>
        <v>18</v>
      </c>
      <c r="AK41">
        <f t="array" aca="1" ref="AK41" ca="1">IFERROR(VLOOKUP($AJ$5&amp;$C41,CHOOSE({1,2},D_技能表!$C$2:$C$1210&amp;D_技能表!$E$2:$E$1210,D_技能表!$N$2:$N$1210),2,FALSE),0)</f>
        <v>8173</v>
      </c>
      <c r="AL41">
        <f t="array" aca="1" ref="AL41" ca="1">IFERROR(VLOOKUP($AJ$5&amp;$C41,CHOOSE({1,2},D_技能表!$C$2:$C$1210&amp;D_技能表!$E$2:$E$1210,D_技能表!$W$2:$W$1210),2,FALSE),0)</f>
        <v>11</v>
      </c>
      <c r="AM41">
        <f t="array" aca="1" ref="AM41" ca="1">IFERROR(VLOOKUP($AJ$5&amp;$C41,CHOOSE({1,2},D_技能表!$C$2:$C$1210&amp;D_技能表!$E$2:$E$1210,D_技能表!$Z$2:$Z$1210),2,FALSE),0)</f>
        <v>5</v>
      </c>
      <c r="AN41">
        <f t="array" aca="1" ref="AN41" ca="1">IFERROR(VLOOKUP($AN$5&amp;$C41,CHOOSE({1,2},D_技能表!$C$2:$C$1210&amp;D_技能表!$E$2:$E$1210,D_技能表!$I$2:$I$1210),2,FALSE),0)</f>
        <v>17</v>
      </c>
      <c r="AO41">
        <f t="array" aca="1" ref="AO41" ca="1">IFERROR(VLOOKUP($AN$5&amp;$C41,CHOOSE({1,2},D_技能表!$C$2:$C$1210&amp;D_技能表!$E$2:$E$1210,D_技能表!$N$2:$N$1210),2,FALSE),0)</f>
        <v>14117</v>
      </c>
      <c r="AP41">
        <f t="array" aca="1" ref="AP41" ca="1">IFERROR(VLOOKUP($AN$5&amp;$C41,CHOOSE({1,2},D_技能表!$C$2:$C$1210&amp;D_技能表!$E$2:$E$1210,D_技能表!$W$2:$W$1210),2,FALSE),0)</f>
        <v>19</v>
      </c>
      <c r="AQ41">
        <f t="array" aca="1" ref="AQ41" ca="1">IFERROR(VLOOKUP($AN$5&amp;$C41,CHOOSE({1,2},D_技能表!$C$2:$C$1210&amp;D_技能表!$E$2:$E$1210,D_技能表!$Z$2:$Z$1210),2,FALSE),0)</f>
        <v>0</v>
      </c>
      <c r="AR41" s="11">
        <f ca="1">SUM($G$7:G42,$K$7:K42,$O$7:O42,$S$7:S42,$W$7:W42,$AA$7:AA42,$AE$7:AE42,$AI$7:AI42,$AM$7:AM42,$AQ$7:AQ42)</f>
        <v>215</v>
      </c>
      <c r="AS41">
        <f ca="1">SUM($F$7:F42,$J$7:J42,$N$7:N42,$R$7:R42,$V$7:V42,$Z$7:Z42,$AD$7:AD42,$AH$7:AH42,$AL$7:AL42,$AP$7:AP42)</f>
        <v>2008</v>
      </c>
      <c r="AT41">
        <f t="shared" ca="1" si="1"/>
        <v>136</v>
      </c>
      <c r="AU41" s="33">
        <f ca="1">SUM($AX$7:AX41,$BB$7:BB41,$BF$7:BF41,$BJ$7:BJ41)</f>
        <v>325050</v>
      </c>
      <c r="AV41">
        <v>35</v>
      </c>
      <c r="AW41">
        <f t="array" ref="AW41">IFERROR(VLOOKUP(AW$5&amp;$AV41,CHOOSE({1,2},D_技能表CD!$C$2:$C$313&amp;D_技能表CD!$E$2:$E$313,D_技能表CD!$I$2:$I$313),2,FALSE),0)</f>
        <v>0</v>
      </c>
      <c r="AX41">
        <f t="array" aca="1" ref="AX41" ca="1">IFERROR(VLOOKUP(AW$5&amp;$AV41,CHOOSE({1,2},D_技能表CD!$C$2:$C$313&amp;D_技能表CD!$E$2:$E$313,D_技能表CD!$H$2:$H$313),2,FALSE),0)</f>
        <v>0</v>
      </c>
      <c r="AY41">
        <f t="array" aca="1" ref="AY41" ca="1">IFERROR(VLOOKUP(AW$5&amp;$AV41,CHOOSE({1,2},D_技能表CD!$C$2:$C$313&amp;D_技能表CD!$E$2:$E$313,D_技能表CD!$L$2:$L$313),2,FALSE),0)</f>
        <v>0</v>
      </c>
      <c r="AZ41">
        <f t="array" aca="1" ref="AZ41" ca="1">IFERROR(VLOOKUP(AW$5&amp;$AV41,CHOOSE({1,2},D_技能表CD!$C$2:$C$313&amp;D_技能表CD!$E$2:$E$313,D_技能表CD!$K$2:$K$313),2,FALSE),0)</f>
        <v>0</v>
      </c>
      <c r="BA41">
        <f t="array" ref="BA41">IFERROR(VLOOKUP(BA$5&amp;$AV41,CHOOSE({1,2},D_技能表CD!$C$2:$C$313&amp;D_技能表CD!$E$2:$E$313,D_技能表CD!$I$2:$I$313),2,FALSE),0)</f>
        <v>0</v>
      </c>
      <c r="BB41">
        <f t="array" aca="1" ref="BB41" ca="1">IFERROR(VLOOKUP(BA$5&amp;$AV41,CHOOSE({1,2},D_技能表CD!$C$2:$C$313&amp;D_技能表CD!$E$2:$E$313,D_技能表CD!$H$2:$H$313),2,FALSE),0)</f>
        <v>0</v>
      </c>
      <c r="BC41">
        <f t="array" aca="1" ref="BC41" ca="1">IFERROR(VLOOKUP(BA$5&amp;$AV41,CHOOSE({1,2},D_技能表CD!$C$2:$C$313&amp;D_技能表CD!$E$2:$E$313,D_技能表CD!$L$2:$L$313),2,FALSE),0)</f>
        <v>0</v>
      </c>
      <c r="BD41">
        <f t="array" aca="1" ref="BD41" ca="1">IFERROR(VLOOKUP(BA$5&amp;$AV41,CHOOSE({1,2},D_技能表CD!$C$2:$C$313&amp;D_技能表CD!$E$2:$E$313,D_技能表CD!$K$2:$K$313),2,FALSE),0)</f>
        <v>0</v>
      </c>
      <c r="BE41">
        <f t="array" ref="BE41">IFERROR(VLOOKUP(BE$5&amp;$AV41,CHOOSE({1,2},D_技能表CD!$C$2:$C$313&amp;D_技能表CD!$E$2:$E$313,D_技能表CD!$I$2:$I$313),2,FALSE),0)</f>
        <v>0</v>
      </c>
      <c r="BF41">
        <f t="array" aca="1" ref="BF41" ca="1">IFERROR(VLOOKUP(BE$5&amp;$AV41,CHOOSE({1,2},D_技能表CD!$C$2:$C$313&amp;D_技能表CD!$E$2:$E$313,D_技能表CD!$H$2:$H$313),2,FALSE),0)</f>
        <v>0</v>
      </c>
      <c r="BG41">
        <f t="array" aca="1" ref="BG41" ca="1">IFERROR(VLOOKUP(BE$5&amp;$AV41,CHOOSE({1,2},D_技能表CD!$C$2:$C$313&amp;D_技能表CD!$E$2:$E$313,D_技能表CD!$L$2:$L$313),2,FALSE),0)</f>
        <v>0</v>
      </c>
      <c r="BH41">
        <f t="array" aca="1" ref="BH41" ca="1">IFERROR(VLOOKUP(BE$5&amp;$AV41,CHOOSE({1,2},D_技能表CD!$C$2:$C$313&amp;D_技能表CD!$E$2:$E$313,D_技能表CD!$K$2:$K$313),2,FALSE),0)</f>
        <v>0</v>
      </c>
      <c r="BI41">
        <f t="array" ref="BI41">IFERROR(VLOOKUP(BI$5&amp;$AV41,CHOOSE({1,2},D_技能表CD!$C$2:$C$313&amp;D_技能表CD!$E$2:$E$313,D_技能表CD!$I$2:$I$313),2,FALSE),0)</f>
        <v>11</v>
      </c>
      <c r="BJ41">
        <f t="array" aca="1" ref="BJ41" ca="1">IFERROR(VLOOKUP(BI$5&amp;$AV41,CHOOSE({1,2},D_技能表CD!$C$2:$C$313&amp;D_技能表CD!$E$2:$E$313,D_技能表CD!$H$2:$H$313),2,FALSE),0)</f>
        <v>23800</v>
      </c>
      <c r="BK41">
        <f t="array" aca="1" ref="BK41" ca="1">IFERROR(VLOOKUP(BI$5&amp;$AV41,CHOOSE({1,2},D_技能表CD!$C$2:$C$313&amp;D_技能表CD!$E$2:$E$313,D_技能表CD!$L$2:$L$313),2,FALSE),0)</f>
        <v>85</v>
      </c>
      <c r="BL41">
        <f t="array" aca="1" ref="BL41" ca="1">IFERROR(VLOOKUP(BI$5&amp;$AV41,CHOOSE({1,2},D_技能表CD!$C$2:$C$313&amp;D_技能表CD!$E$2:$E$313,D_技能表CD!$K$2:$K$313),2,FALSE),0)</f>
        <v>85</v>
      </c>
    </row>
    <row r="42" spans="1:64" x14ac:dyDescent="0.15">
      <c r="A42">
        <f t="shared" ca="1" si="0"/>
        <v>1182433</v>
      </c>
      <c r="B42" s="33">
        <f ca="1">SUM($E$7:E42,$I$7:I42,$M$7:M42,$Q$7:Q42,$U$7:U42,$Y$7:Y42,$AC$7:AC42,$AG$7:AG42,$AK$7:AK42,$AO$7:AO42)</f>
        <v>827933</v>
      </c>
      <c r="C42">
        <v>36</v>
      </c>
      <c r="D42">
        <f t="array" aca="1" ref="D42" ca="1">IFERROR(VLOOKUP($D$5&amp;C42,CHOOSE({1,2},D_技能表!$C$2:$C$1210&amp;D_技能表!$E$2:$E$1210,D_技能表!$I$2:$I$1210),2,FALSE),0)</f>
        <v>22</v>
      </c>
      <c r="E42">
        <f t="array" aca="1" ref="E42" ca="1">IFERROR(VLOOKUP($D$5&amp;$C42,CHOOSE({1,2},D_技能表!$C$2:$C$1210&amp;D_技能表!$E$2:$E$1210,D_技能表!$N$2:$N$1210),2,FALSE),0)</f>
        <v>27685</v>
      </c>
      <c r="F42">
        <f t="array" aca="1" ref="F42" ca="1">IFERROR(VLOOKUP($D$5&amp;$C42,CHOOSE({1,2},D_技能表!$C$2:$C$1210&amp;D_技能表!$E$2:$E$1210,D_技能表!$W$2:$W$1210),2,FALSE),0)</f>
        <v>35</v>
      </c>
      <c r="G42">
        <f t="array" aca="1" ref="G42" ca="1">IFERROR(VLOOKUP($D$5&amp;$C42,CHOOSE({1,2},D_技能表!$C$2:$C$1210&amp;D_技能表!$E$2:$E$1210,D_技能表!$Z$2:$Z$1210),2,FALSE),0)</f>
        <v>14</v>
      </c>
      <c r="H42">
        <f t="array" aca="1" ref="H42" ca="1">IFERROR(VLOOKUP($H$5&amp;$C42,CHOOSE({1,2},D_技能表!$C$2:$C$1210&amp;D_技能表!$E$2:$E$1210,D_技能表!$I$2:$I$1210),2,FALSE),0)</f>
        <v>21</v>
      </c>
      <c r="I42">
        <f t="array" aca="1" ref="I42" ca="1">IFERROR(VLOOKUP($H$5&amp;$C42,CHOOSE({1,2},D_技能表!$C$2:$C$1210&amp;D_技能表!$E$2:$E$1210,D_技能表!$N$2:$N$1210),2,FALSE),0)</f>
        <v>11074</v>
      </c>
      <c r="J42">
        <f t="array" aca="1" ref="J42" ca="1">IFERROR(VLOOKUP($H$5&amp;$C42,CHOOSE({1,2},D_技能表!$C$2:$C$1210&amp;D_技能表!$E$2:$E$1210,D_技能表!$W$2:$W$1210),2,FALSE),0)</f>
        <v>14</v>
      </c>
      <c r="K42">
        <f t="array" aca="1" ref="K42" ca="1">IFERROR(VLOOKUP($H$5&amp;$C42,CHOOSE({1,2},D_技能表!$C$2:$C$1210&amp;D_技能表!$E$2:$E$1210,D_技能表!$Z$2:$Z$1210),2,FALSE),0)</f>
        <v>6</v>
      </c>
      <c r="L42">
        <f t="array" aca="1" ref="L42" ca="1">IFERROR(VLOOKUP($L$5&amp;$C42,CHOOSE({1,2},D_技能表!$C$2:$C$1210&amp;D_技能表!$E$2:$E$1210,D_技能表!$I$2:$I$1210),2,FALSE),0)</f>
        <v>21</v>
      </c>
      <c r="M42">
        <f t="array" aca="1" ref="M42" ca="1">IFERROR(VLOOKUP($L$5&amp;$C42,CHOOSE({1,2},D_技能表!$C$2:$C$1210&amp;D_技能表!$E$2:$E$1210,D_技能表!$N$2:$N$1210),2,FALSE),0)</f>
        <v>11074</v>
      </c>
      <c r="N42">
        <f t="array" aca="1" ref="N42" ca="1">IFERROR(VLOOKUP($L$5&amp;$C42,CHOOSE({1,2},D_技能表!$C$2:$C$1210&amp;D_技能表!$E$2:$E$1210,D_技能表!$W$2:$W$1210),2,FALSE),0)</f>
        <v>14</v>
      </c>
      <c r="O42">
        <f t="array" aca="1" ref="O42" ca="1">IFERROR(VLOOKUP($L$5&amp;$C42,CHOOSE({1,2},D_技能表!$C$2:$C$1210&amp;D_技能表!$E$2:$E$1210,D_技能表!$Z$2:$Z$1210),2,FALSE),0)</f>
        <v>6</v>
      </c>
      <c r="P42">
        <f t="array" aca="1" ref="P42" ca="1">IFERROR(VLOOKUP($P$5&amp;$C42,CHOOSE({1,2},D_技能表!$C$2:$C$1210&amp;D_技能表!$E$2:$E$1210,D_技能表!$I$2:$I$1210),2,FALSE),0)</f>
        <v>20</v>
      </c>
      <c r="Q42">
        <f t="array" aca="1" ref="Q42" ca="1">IFERROR(VLOOKUP($P$5&amp;$C42,CHOOSE({1,2},D_技能表!$C$2:$C$1210&amp;D_技能表!$E$2:$E$1210,D_技能表!$N$2:$N$1210),2,FALSE),0)</f>
        <v>10283</v>
      </c>
      <c r="R42">
        <f t="array" aca="1" ref="R42" ca="1">IFERROR(VLOOKUP($P$5&amp;$C42,CHOOSE({1,2},D_技能表!$C$2:$C$1210&amp;D_技能表!$E$2:$E$1210,D_技能表!$W$2:$W$1210),2,FALSE),0)</f>
        <v>13</v>
      </c>
      <c r="S42">
        <f t="array" aca="1" ref="S42" ca="1">IFERROR(VLOOKUP($P$5&amp;$C42,CHOOSE({1,2},D_技能表!$C$2:$C$1210&amp;D_技能表!$E$2:$E$1210,D_技能表!$Z$2:$Z$1210),2,FALSE),0)</f>
        <v>6</v>
      </c>
      <c r="T42">
        <f t="array" aca="1" ref="T42" ca="1">IFERROR(VLOOKUP($T$5&amp;$C42,CHOOSE({1,2},D_技能表!$C$2:$C$1210&amp;D_技能表!$E$2:$E$1210,D_技能表!$I$2:$I$1210),2,FALSE),0)</f>
        <v>19</v>
      </c>
      <c r="U42">
        <f t="array" aca="1" ref="U42" ca="1">IFERROR(VLOOKUP($T$5&amp;$C42,CHOOSE({1,2},D_技能表!$C$2:$C$1210&amp;D_技能表!$E$2:$E$1210,D_技能表!$N$2:$N$1210),2,FALSE),0)</f>
        <v>15820</v>
      </c>
      <c r="V42">
        <f t="array" aca="1" ref="V42" ca="1">IFERROR(VLOOKUP($T$5&amp;$C42,CHOOSE({1,2},D_技能表!$C$2:$C$1210&amp;D_技能表!$E$2:$E$1210,D_技能表!$W$2:$W$1210),2,FALSE),0)</f>
        <v>20</v>
      </c>
      <c r="W42">
        <f t="array" aca="1" ref="W42" ca="1">IFERROR(VLOOKUP($T$5&amp;$C42,CHOOSE({1,2},D_技能表!$C$2:$C$1210&amp;D_技能表!$E$2:$E$1210,D_技能表!$Z$2:$Z$1210),2,FALSE),0)</f>
        <v>8</v>
      </c>
      <c r="X42">
        <f t="array" aca="1" ref="X42" ca="1">IFERROR(VLOOKUP($X$5&amp;$C42,CHOOSE({1,2},D_技能表!$C$2:$C$1210&amp;D_技能表!$E$2:$E$1210,D_技能表!$I$2:$I$1210),2,FALSE),0)</f>
        <v>0</v>
      </c>
      <c r="Y42">
        <f t="array" aca="1" ref="Y42" ca="1">IFERROR(VLOOKUP($X$5&amp;$C42,CHOOSE({1,2},D_技能表!$C$2:$C$1210&amp;D_技能表!$E$2:$E$1210,D_技能表!$N$2:$N$1210),2,FALSE),0)</f>
        <v>0</v>
      </c>
      <c r="Z42">
        <f t="array" aca="1" ref="Z42" ca="1">IFERROR(VLOOKUP($X$5&amp;$C42,CHOOSE({1,2},D_技能表!$C$2:$C$1210&amp;D_技能表!$E$2:$E$1210,D_技能表!$W$2:$W$1210),2,FALSE),0)</f>
        <v>0</v>
      </c>
      <c r="AA42">
        <f t="array" aca="1" ref="AA42" ca="1">IFERROR(VLOOKUP($X$5&amp;$C42,CHOOSE({1,2},D_技能表!$C$2:$C$1210&amp;D_技能表!$E$2:$E$1210,D_技能表!$Z$2:$Z$1210),2,FALSE),0)</f>
        <v>0</v>
      </c>
      <c r="AB42">
        <f t="array" aca="1" ref="AB42" ca="1">IFERROR(VLOOKUP($AB$5&amp;$C42,CHOOSE({1,2},D_技能表!$C$2:$C$1210&amp;D_技能表!$E$2:$E$1210,D_技能表!$I$2:$I$1210),2,FALSE),0)</f>
        <v>20</v>
      </c>
      <c r="AC42">
        <f t="array" aca="1" ref="AC42" ca="1">IFERROR(VLOOKUP($AB$5&amp;$C42,CHOOSE({1,2},D_技能表!$C$2:$C$1210&amp;D_技能表!$E$2:$E$1210,D_技能表!$N$2:$N$1210),2,FALSE),0)</f>
        <v>11074</v>
      </c>
      <c r="AD42">
        <f t="array" aca="1" ref="AD42" ca="1">IFERROR(VLOOKUP($AB$5&amp;$C42,CHOOSE({1,2},D_技能表!$C$2:$C$1210&amp;D_技能表!$E$2:$E$1210,D_技能表!$W$2:$W$1210),2,FALSE),0)</f>
        <v>14</v>
      </c>
      <c r="AE42">
        <f t="array" aca="1" ref="AE42" ca="1">IFERROR(VLOOKUP($AB$5&amp;$C42,CHOOSE({1,2},D_技能表!$C$2:$C$1210&amp;D_技能表!$E$2:$E$1210,D_技能表!$Z$2:$Z$1210),2,FALSE),0)</f>
        <v>6</v>
      </c>
      <c r="AF42">
        <f t="array" aca="1" ref="AF42" ca="1">IFERROR(VLOOKUP($AF$5&amp;$C42,CHOOSE({1,2},D_技能表!$C$2:$C$1210&amp;D_技能表!$E$2:$E$1210,D_技能表!$I$2:$I$1210),2,FALSE),0)</f>
        <v>0</v>
      </c>
      <c r="AG42">
        <f t="array" aca="1" ref="AG42" ca="1">IFERROR(VLOOKUP($AF$5&amp;$C42,CHOOSE({1,2},D_技能表!$C$2:$C$1210&amp;D_技能表!$E$2:$E$1210,D_技能表!$N$2:$N$1210),2,FALSE),0)</f>
        <v>0</v>
      </c>
      <c r="AH42">
        <f t="array" aca="1" ref="AH42" ca="1">IFERROR(VLOOKUP($AF$5&amp;$C42,CHOOSE({1,2},D_技能表!$C$2:$C$1210&amp;D_技能表!$E$2:$E$1210,D_技能表!$W$2:$W$1210),2,FALSE),0)</f>
        <v>0</v>
      </c>
      <c r="AI42">
        <f t="array" aca="1" ref="AI42" ca="1">IFERROR(VLOOKUP($AF$5&amp;$C42,CHOOSE({1,2},D_技能表!$C$2:$C$1210&amp;D_技能表!$E$2:$E$1210,D_技能表!$Z$2:$Z$1210),2,FALSE),0)</f>
        <v>0</v>
      </c>
      <c r="AJ42">
        <f t="array" aca="1" ref="AJ42" ca="1">IFERROR(VLOOKUP($AJ$5&amp;$C42,CHOOSE({1,2},D_技能表!$C$2:$C$1210&amp;D_技能表!$E$2:$E$1210,D_技能表!$I$2:$I$1210),2,FALSE),0)</f>
        <v>0</v>
      </c>
      <c r="AK42">
        <f t="array" aca="1" ref="AK42" ca="1">IFERROR(VLOOKUP($AJ$5&amp;$C42,CHOOSE({1,2},D_技能表!$C$2:$C$1210&amp;D_技能表!$E$2:$E$1210,D_技能表!$N$2:$N$1210),2,FALSE),0)</f>
        <v>0</v>
      </c>
      <c r="AL42">
        <f t="array" aca="1" ref="AL42" ca="1">IFERROR(VLOOKUP($AJ$5&amp;$C42,CHOOSE({1,2},D_技能表!$C$2:$C$1210&amp;D_技能表!$E$2:$E$1210,D_技能表!$W$2:$W$1210),2,FALSE),0)</f>
        <v>0</v>
      </c>
      <c r="AM42">
        <f t="array" aca="1" ref="AM42" ca="1">IFERROR(VLOOKUP($AJ$5&amp;$C42,CHOOSE({1,2},D_技能表!$C$2:$C$1210&amp;D_技能表!$E$2:$E$1210,D_技能表!$Z$2:$Z$1210),2,FALSE),0)</f>
        <v>0</v>
      </c>
      <c r="AN42">
        <f t="array" aca="1" ref="AN42" ca="1">IFERROR(VLOOKUP($AN$5&amp;$C42,CHOOSE({1,2},D_技能表!$C$2:$C$1210&amp;D_技能表!$E$2:$E$1210,D_技能表!$I$2:$I$1210),2,FALSE),0)</f>
        <v>18</v>
      </c>
      <c r="AO42">
        <f t="array" aca="1" ref="AO42" ca="1">IFERROR(VLOOKUP($AN$5&amp;$C42,CHOOSE({1,2},D_技能表!$C$2:$C$1210&amp;D_技能表!$E$2:$E$1210,D_技能表!$N$2:$N$1210),2,FALSE),0)</f>
        <v>15820</v>
      </c>
      <c r="AP42">
        <f t="array" aca="1" ref="AP42" ca="1">IFERROR(VLOOKUP($AN$5&amp;$C42,CHOOSE({1,2},D_技能表!$C$2:$C$1210&amp;D_技能表!$E$2:$E$1210,D_技能表!$W$2:$W$1210),2,FALSE),0)</f>
        <v>20</v>
      </c>
      <c r="AQ42">
        <f t="array" aca="1" ref="AQ42" ca="1">IFERROR(VLOOKUP($AN$5&amp;$C42,CHOOSE({1,2},D_技能表!$C$2:$C$1210&amp;D_技能表!$E$2:$E$1210,D_技能表!$Z$2:$Z$1210),2,FALSE),0)</f>
        <v>8</v>
      </c>
      <c r="AR42" s="11">
        <f ca="1">SUM($G$7:G43,$K$7:K43,$O$7:O43,$S$7:S43,$W$7:W43,$AA$7:AA43,$AE$7:AE43,$AI$7:AI43,$AM$7:AM43,$AQ$7:AQ43)</f>
        <v>266</v>
      </c>
      <c r="AS42">
        <f ca="1">SUM($F$7:F43,$J$7:J43,$N$7:N43,$R$7:R43,$V$7:V43,$Z$7:Z43,$AD$7:AD43,$AH$7:AH43,$AL$7:AL43,$AP$7:AP43)</f>
        <v>2131</v>
      </c>
      <c r="AT42">
        <f t="shared" ca="1" si="1"/>
        <v>130</v>
      </c>
      <c r="AU42" s="33">
        <f ca="1">SUM($AX$7:AX42,$BB$7:BB42,$BF$7:BF42,$BJ$7:BJ42)</f>
        <v>354500</v>
      </c>
      <c r="AV42">
        <v>36</v>
      </c>
      <c r="AW42">
        <f t="array" ref="AW42">IFERROR(VLOOKUP(AW$5&amp;$AV42,CHOOSE({1,2},D_技能表CD!$C$2:$C$313&amp;D_技能表CD!$E$2:$E$313,D_技能表CD!$I$2:$I$313),2,FALSE),0)</f>
        <v>0</v>
      </c>
      <c r="AX42">
        <f t="array" aca="1" ref="AX42" ca="1">IFERROR(VLOOKUP(AW$5&amp;$AV42,CHOOSE({1,2},D_技能表CD!$C$2:$C$313&amp;D_技能表CD!$E$2:$E$313,D_技能表CD!$H$2:$H$313),2,FALSE),0)</f>
        <v>0</v>
      </c>
      <c r="AY42">
        <f t="array" aca="1" ref="AY42" ca="1">IFERROR(VLOOKUP(AW$5&amp;$AV42,CHOOSE({1,2},D_技能表CD!$C$2:$C$313&amp;D_技能表CD!$E$2:$E$313,D_技能表CD!$L$2:$L$313),2,FALSE),0)</f>
        <v>0</v>
      </c>
      <c r="AZ42">
        <f t="array" aca="1" ref="AZ42" ca="1">IFERROR(VLOOKUP(AW$5&amp;$AV42,CHOOSE({1,2},D_技能表CD!$C$2:$C$313&amp;D_技能表CD!$E$2:$E$313,D_技能表CD!$K$2:$K$313),2,FALSE),0)</f>
        <v>0</v>
      </c>
      <c r="BA42">
        <f t="array" ref="BA42">IFERROR(VLOOKUP(BA$5&amp;$AV42,CHOOSE({1,2},D_技能表CD!$C$2:$C$313&amp;D_技能表CD!$E$2:$E$313,D_技能表CD!$I$2:$I$313),2,FALSE),0)</f>
        <v>12</v>
      </c>
      <c r="BB42">
        <f t="array" aca="1" ref="BB42" ca="1">IFERROR(VLOOKUP(BA$5&amp;$AV42,CHOOSE({1,2},D_技能表CD!$C$2:$C$313&amp;D_技能表CD!$E$2:$E$313,D_技能表CD!$H$2:$H$313),2,FALSE),0)</f>
        <v>29450</v>
      </c>
      <c r="BC42">
        <f t="array" aca="1" ref="BC42" ca="1">IFERROR(VLOOKUP(BA$5&amp;$AV42,CHOOSE({1,2},D_技能表CD!$C$2:$C$313&amp;D_技能表CD!$E$2:$E$313,D_技能表CD!$L$2:$L$313),2,FALSE),0)</f>
        <v>101</v>
      </c>
      <c r="BD42">
        <f t="array" aca="1" ref="BD42" ca="1">IFERROR(VLOOKUP(BA$5&amp;$AV42,CHOOSE({1,2},D_技能表CD!$C$2:$C$313&amp;D_技能表CD!$E$2:$E$313,D_技能表CD!$K$2:$K$313),2,FALSE),0)</f>
        <v>116</v>
      </c>
      <c r="BE42">
        <f t="array" ref="BE42">IFERROR(VLOOKUP(BE$5&amp;$AV42,CHOOSE({1,2},D_技能表CD!$C$2:$C$313&amp;D_技能表CD!$E$2:$E$313,D_技能表CD!$I$2:$I$313),2,FALSE),0)</f>
        <v>0</v>
      </c>
      <c r="BF42">
        <f t="array" aca="1" ref="BF42" ca="1">IFERROR(VLOOKUP(BE$5&amp;$AV42,CHOOSE({1,2},D_技能表CD!$C$2:$C$313&amp;D_技能表CD!$E$2:$E$313,D_技能表CD!$H$2:$H$313),2,FALSE),0)</f>
        <v>0</v>
      </c>
      <c r="BG42">
        <f t="array" aca="1" ref="BG42" ca="1">IFERROR(VLOOKUP(BE$5&amp;$AV42,CHOOSE({1,2},D_技能表CD!$C$2:$C$313&amp;D_技能表CD!$E$2:$E$313,D_技能表CD!$L$2:$L$313),2,FALSE),0)</f>
        <v>0</v>
      </c>
      <c r="BH42">
        <f t="array" aca="1" ref="BH42" ca="1">IFERROR(VLOOKUP(BE$5&amp;$AV42,CHOOSE({1,2},D_技能表CD!$C$2:$C$313&amp;D_技能表CD!$E$2:$E$313,D_技能表CD!$K$2:$K$313),2,FALSE),0)</f>
        <v>0</v>
      </c>
      <c r="BI42">
        <f t="array" ref="BI42">IFERROR(VLOOKUP(BI$5&amp;$AV42,CHOOSE({1,2},D_技能表CD!$C$2:$C$313&amp;D_技能表CD!$E$2:$E$313,D_技能表CD!$I$2:$I$313),2,FALSE),0)</f>
        <v>0</v>
      </c>
      <c r="BJ42">
        <f t="array" aca="1" ref="BJ42" ca="1">IFERROR(VLOOKUP(BI$5&amp;$AV42,CHOOSE({1,2},D_技能表CD!$C$2:$C$313&amp;D_技能表CD!$E$2:$E$313,D_技能表CD!$H$2:$H$313),2,FALSE),0)</f>
        <v>0</v>
      </c>
      <c r="BK42">
        <f t="array" aca="1" ref="BK42" ca="1">IFERROR(VLOOKUP(BI$5&amp;$AV42,CHOOSE({1,2},D_技能表CD!$C$2:$C$313&amp;D_技能表CD!$E$2:$E$313,D_技能表CD!$L$2:$L$313),2,FALSE),0)</f>
        <v>0</v>
      </c>
      <c r="BL42">
        <f t="array" aca="1" ref="BL42" ca="1">IFERROR(VLOOKUP(BI$5&amp;$AV42,CHOOSE({1,2},D_技能表CD!$C$2:$C$313&amp;D_技能表CD!$E$2:$E$313,D_技能表CD!$K$2:$K$313),2,FALSE),0)</f>
        <v>0</v>
      </c>
    </row>
    <row r="43" spans="1:64" x14ac:dyDescent="0.15">
      <c r="A43">
        <f t="shared" ca="1" si="0"/>
        <v>1317426</v>
      </c>
      <c r="B43" s="33">
        <f ca="1">SUM($E$7:E43,$I$7:I43,$M$7:M43,$Q$7:Q43,$U$7:U43,$Y$7:Y43,$AC$7:AC43,$AG$7:AG43,$AK$7:AK43,$AO$7:AO43)</f>
        <v>931376</v>
      </c>
      <c r="C43">
        <v>37</v>
      </c>
      <c r="D43">
        <f t="array" aca="1" ref="D43" ca="1">IFERROR(VLOOKUP($D$5&amp;C43,CHOOSE({1,2},D_技能表!$C$2:$C$1210&amp;D_技能表!$E$2:$E$1210,D_技能表!$I$2:$I$1210),2,FALSE),0)</f>
        <v>0</v>
      </c>
      <c r="E43">
        <f t="array" aca="1" ref="E43" ca="1">IFERROR(VLOOKUP($D$5&amp;$C43,CHOOSE({1,2},D_技能表!$C$2:$C$1210&amp;D_技能表!$E$2:$E$1210,D_技能表!$N$2:$N$1210),2,FALSE),0)</f>
        <v>0</v>
      </c>
      <c r="F43">
        <f t="array" aca="1" ref="F43" ca="1">IFERROR(VLOOKUP($D$5&amp;$C43,CHOOSE({1,2},D_技能表!$C$2:$C$1210&amp;D_技能表!$E$2:$E$1210,D_技能表!$W$2:$W$1210),2,FALSE),0)</f>
        <v>0</v>
      </c>
      <c r="G43">
        <f t="array" aca="1" ref="G43" ca="1">IFERROR(VLOOKUP($D$5&amp;$C43,CHOOSE({1,2},D_技能表!$C$2:$C$1210&amp;D_技能表!$E$2:$E$1210,D_技能表!$Z$2:$Z$1210),2,FALSE),0)</f>
        <v>0</v>
      </c>
      <c r="H43">
        <f t="array" aca="1" ref="H43" ca="1">IFERROR(VLOOKUP($H$5&amp;$C43,CHOOSE({1,2},D_技能表!$C$2:$C$1210&amp;D_技能表!$E$2:$E$1210,D_技能表!$I$2:$I$1210),2,FALSE),0)</f>
        <v>22</v>
      </c>
      <c r="I43">
        <f t="array" aca="1" ref="I43" ca="1">IFERROR(VLOOKUP($H$5&amp;$C43,CHOOSE({1,2},D_技能表!$C$2:$C$1210&amp;D_技能表!$E$2:$E$1210,D_技能表!$N$2:$N$1210),2,FALSE),0)</f>
        <v>12615</v>
      </c>
      <c r="J43">
        <f t="array" aca="1" ref="J43" ca="1">IFERROR(VLOOKUP($H$5&amp;$C43,CHOOSE({1,2},D_技能表!$C$2:$C$1210&amp;D_技能表!$E$2:$E$1210,D_技能表!$W$2:$W$1210),2,FALSE),0)</f>
        <v>15</v>
      </c>
      <c r="K43">
        <f t="array" aca="1" ref="K43" ca="1">IFERROR(VLOOKUP($H$5&amp;$C43,CHOOSE({1,2},D_技能表!$C$2:$C$1210&amp;D_技能表!$E$2:$E$1210,D_技能表!$Z$2:$Z$1210),2,FALSE),0)</f>
        <v>6</v>
      </c>
      <c r="L43">
        <f t="array" aca="1" ref="L43" ca="1">IFERROR(VLOOKUP($L$5&amp;$C43,CHOOSE({1,2},D_技能表!$C$2:$C$1210&amp;D_技能表!$E$2:$E$1210,D_技能表!$I$2:$I$1210),2,FALSE),0)</f>
        <v>22</v>
      </c>
      <c r="M43">
        <f t="array" aca="1" ref="M43" ca="1">IFERROR(VLOOKUP($L$5&amp;$C43,CHOOSE({1,2},D_技能表!$C$2:$C$1210&amp;D_技能表!$E$2:$E$1210,D_技能表!$N$2:$N$1210),2,FALSE),0)</f>
        <v>12615</v>
      </c>
      <c r="N43">
        <f t="array" aca="1" ref="N43" ca="1">IFERROR(VLOOKUP($L$5&amp;$C43,CHOOSE({1,2},D_技能表!$C$2:$C$1210&amp;D_技能表!$E$2:$E$1210,D_技能表!$W$2:$W$1210),2,FALSE),0)</f>
        <v>15</v>
      </c>
      <c r="O43">
        <f t="array" aca="1" ref="O43" ca="1">IFERROR(VLOOKUP($L$5&amp;$C43,CHOOSE({1,2},D_技能表!$C$2:$C$1210&amp;D_技能表!$E$2:$E$1210,D_技能表!$Z$2:$Z$1210),2,FALSE),0)</f>
        <v>6</v>
      </c>
      <c r="P43">
        <f t="array" aca="1" ref="P43" ca="1">IFERROR(VLOOKUP($P$5&amp;$C43,CHOOSE({1,2},D_技能表!$C$2:$C$1210&amp;D_技能表!$E$2:$E$1210,D_技能表!$I$2:$I$1210),2,FALSE),0)</f>
        <v>0</v>
      </c>
      <c r="Q43">
        <f t="array" aca="1" ref="Q43" ca="1">IFERROR(VLOOKUP($P$5&amp;$C43,CHOOSE({1,2},D_技能表!$C$2:$C$1210&amp;D_技能表!$E$2:$E$1210,D_技能表!$N$2:$N$1210),2,FALSE),0)</f>
        <v>0</v>
      </c>
      <c r="R43">
        <f t="array" aca="1" ref="R43" ca="1">IFERROR(VLOOKUP($P$5&amp;$C43,CHOOSE({1,2},D_技能表!$C$2:$C$1210&amp;D_技能表!$E$2:$E$1210,D_技能表!$W$2:$W$1210),2,FALSE),0)</f>
        <v>0</v>
      </c>
      <c r="S43">
        <f t="array" aca="1" ref="S43" ca="1">IFERROR(VLOOKUP($P$5&amp;$C43,CHOOSE({1,2},D_技能表!$C$2:$C$1210&amp;D_技能表!$E$2:$E$1210,D_技能表!$Z$2:$Z$1210),2,FALSE),0)</f>
        <v>0</v>
      </c>
      <c r="T43">
        <f t="array" aca="1" ref="T43" ca="1">IFERROR(VLOOKUP($T$5&amp;$C43,CHOOSE({1,2},D_技能表!$C$2:$C$1210&amp;D_技能表!$E$2:$E$1210,D_技能表!$I$2:$I$1210),2,FALSE),0)</f>
        <v>20</v>
      </c>
      <c r="U43">
        <f t="array" aca="1" ref="U43" ca="1">IFERROR(VLOOKUP($T$5&amp;$C43,CHOOSE({1,2},D_技能表!$C$2:$C$1210&amp;D_技能表!$E$2:$E$1210,D_技能表!$N$2:$N$1210),2,FALSE),0)</f>
        <v>18502</v>
      </c>
      <c r="V43">
        <f t="array" aca="1" ref="V43" ca="1">IFERROR(VLOOKUP($T$5&amp;$C43,CHOOSE({1,2},D_技能表!$C$2:$C$1210&amp;D_技能表!$E$2:$E$1210,D_技能表!$W$2:$W$1210),2,FALSE),0)</f>
        <v>22</v>
      </c>
      <c r="W43">
        <f t="array" aca="1" ref="W43" ca="1">IFERROR(VLOOKUP($T$5&amp;$C43,CHOOSE({1,2},D_技能表!$C$2:$C$1210&amp;D_技能表!$E$2:$E$1210,D_技能表!$Z$2:$Z$1210),2,FALSE),0)</f>
        <v>9</v>
      </c>
      <c r="X43">
        <f t="array" aca="1" ref="X43" ca="1">IFERROR(VLOOKUP($X$5&amp;$C43,CHOOSE({1,2},D_技能表!$C$2:$C$1210&amp;D_技能表!$E$2:$E$1210,D_技能表!$I$2:$I$1210),2,FALSE),0)</f>
        <v>21</v>
      </c>
      <c r="Y43">
        <f t="array" aca="1" ref="Y43" ca="1">IFERROR(VLOOKUP($X$5&amp;$C43,CHOOSE({1,2},D_技能表!$C$2:$C$1210&amp;D_技能表!$E$2:$E$1210,D_技能表!$N$2:$N$1210),2,FALSE),0)</f>
        <v>26071</v>
      </c>
      <c r="Z43">
        <f t="array" aca="1" ref="Z43" ca="1">IFERROR(VLOOKUP($X$5&amp;$C43,CHOOSE({1,2},D_技能表!$C$2:$C$1210&amp;D_技能表!$E$2:$E$1210,D_技能表!$W$2:$W$1210),2,FALSE),0)</f>
        <v>31</v>
      </c>
      <c r="AA43">
        <f t="array" aca="1" ref="AA43" ca="1">IFERROR(VLOOKUP($X$5&amp;$C43,CHOOSE({1,2},D_技能表!$C$2:$C$1210&amp;D_技能表!$E$2:$E$1210,D_技能表!$Z$2:$Z$1210),2,FALSE),0)</f>
        <v>13</v>
      </c>
      <c r="AB43">
        <f t="array" aca="1" ref="AB43" ca="1">IFERROR(VLOOKUP($AB$5&amp;$C43,CHOOSE({1,2},D_技能表!$C$2:$C$1210&amp;D_技能表!$E$2:$E$1210,D_技能表!$I$2:$I$1210),2,FALSE),0)</f>
        <v>21</v>
      </c>
      <c r="AC43">
        <f t="array" aca="1" ref="AC43" ca="1">IFERROR(VLOOKUP($AB$5&amp;$C43,CHOOSE({1,2},D_技能表!$C$2:$C$1210&amp;D_技能表!$E$2:$E$1210,D_技能表!$N$2:$N$1210),2,FALSE),0)</f>
        <v>12615</v>
      </c>
      <c r="AD43">
        <f t="array" aca="1" ref="AD43" ca="1">IFERROR(VLOOKUP($AB$5&amp;$C43,CHOOSE({1,2},D_技能表!$C$2:$C$1210&amp;D_技能表!$E$2:$E$1210,D_技能表!$W$2:$W$1210),2,FALSE),0)</f>
        <v>15</v>
      </c>
      <c r="AE43">
        <f t="array" aca="1" ref="AE43" ca="1">IFERROR(VLOOKUP($AB$5&amp;$C43,CHOOSE({1,2},D_技能表!$C$2:$C$1210&amp;D_技能表!$E$2:$E$1210,D_技能表!$Z$2:$Z$1210),2,FALSE),0)</f>
        <v>6</v>
      </c>
      <c r="AF43">
        <f t="array" aca="1" ref="AF43" ca="1">IFERROR(VLOOKUP($AF$5&amp;$C43,CHOOSE({1,2},D_技能表!$C$2:$C$1210&amp;D_技能表!$E$2:$E$1210,D_技能表!$I$2:$I$1210),2,FALSE),0)</f>
        <v>20</v>
      </c>
      <c r="AG43">
        <f t="array" aca="1" ref="AG43" ca="1">IFERROR(VLOOKUP($AF$5&amp;$C43,CHOOSE({1,2},D_技能表!$C$2:$C$1210&amp;D_技能表!$E$2:$E$1210,D_技能表!$N$2:$N$1210),2,FALSE),0)</f>
        <v>10933</v>
      </c>
      <c r="AH43">
        <f t="array" aca="1" ref="AH43" ca="1">IFERROR(VLOOKUP($AF$5&amp;$C43,CHOOSE({1,2},D_技能表!$C$2:$C$1210&amp;D_技能表!$E$2:$E$1210,D_技能表!$W$2:$W$1210),2,FALSE),0)</f>
        <v>13</v>
      </c>
      <c r="AI43">
        <f t="array" aca="1" ref="AI43" ca="1">IFERROR(VLOOKUP($AF$5&amp;$C43,CHOOSE({1,2},D_技能表!$C$2:$C$1210&amp;D_技能表!$E$2:$E$1210,D_技能表!$Z$2:$Z$1210),2,FALSE),0)</f>
        <v>6</v>
      </c>
      <c r="AJ43">
        <f t="array" aca="1" ref="AJ43" ca="1">IFERROR(VLOOKUP($AJ$5&amp;$C43,CHOOSE({1,2},D_技能表!$C$2:$C$1210&amp;D_技能表!$E$2:$E$1210,D_技能表!$I$2:$I$1210),2,FALSE),0)</f>
        <v>19</v>
      </c>
      <c r="AK43">
        <f t="array" aca="1" ref="AK43" ca="1">IFERROR(VLOOKUP($AJ$5&amp;$C43,CHOOSE({1,2},D_技能表!$C$2:$C$1210&amp;D_技能表!$E$2:$E$1210,D_技能表!$N$2:$N$1210),2,FALSE),0)</f>
        <v>10092</v>
      </c>
      <c r="AL43">
        <f t="array" aca="1" ref="AL43" ca="1">IFERROR(VLOOKUP($AJ$5&amp;$C43,CHOOSE({1,2},D_技能表!$C$2:$C$1210&amp;D_技能表!$E$2:$E$1210,D_技能表!$W$2:$W$1210),2,FALSE),0)</f>
        <v>12</v>
      </c>
      <c r="AM43">
        <f t="array" aca="1" ref="AM43" ca="1">IFERROR(VLOOKUP($AJ$5&amp;$C43,CHOOSE({1,2},D_技能表!$C$2:$C$1210&amp;D_技能表!$E$2:$E$1210,D_技能表!$Z$2:$Z$1210),2,FALSE),0)</f>
        <v>5</v>
      </c>
      <c r="AN43">
        <f t="array" aca="1" ref="AN43" ca="1">IFERROR(VLOOKUP($AN$5&amp;$C43,CHOOSE({1,2},D_技能表!$C$2:$C$1210&amp;D_技能表!$E$2:$E$1210,D_技能表!$I$2:$I$1210),2,FALSE),0)</f>
        <v>0</v>
      </c>
      <c r="AO43">
        <f t="array" aca="1" ref="AO43" ca="1">IFERROR(VLOOKUP($AN$5&amp;$C43,CHOOSE({1,2},D_技能表!$C$2:$C$1210&amp;D_技能表!$E$2:$E$1210,D_技能表!$N$2:$N$1210),2,FALSE),0)</f>
        <v>0</v>
      </c>
      <c r="AP43">
        <f t="array" aca="1" ref="AP43" ca="1">IFERROR(VLOOKUP($AN$5&amp;$C43,CHOOSE({1,2},D_技能表!$C$2:$C$1210&amp;D_技能表!$E$2:$E$1210,D_技能表!$W$2:$W$1210),2,FALSE),0)</f>
        <v>0</v>
      </c>
      <c r="AQ43">
        <f t="array" aca="1" ref="AQ43" ca="1">IFERROR(VLOOKUP($AN$5&amp;$C43,CHOOSE({1,2},D_技能表!$C$2:$C$1210&amp;D_技能表!$E$2:$E$1210,D_技能表!$Z$2:$Z$1210),2,FALSE),0)</f>
        <v>0</v>
      </c>
      <c r="AR43" s="11">
        <f ca="1">SUM($G$7:G44,$K$7:K44,$O$7:O44,$S$7:S44,$W$7:W44,$AA$7:AA44,$AE$7:AE44,$AI$7:AI44,$AM$7:AM44,$AQ$7:AQ44)</f>
        <v>322</v>
      </c>
      <c r="AS43">
        <f ca="1">SUM($F$7:F44,$J$7:J44,$N$7:N44,$R$7:R44,$V$7:V44,$Z$7:Z44,$AD$7:AD44,$AH$7:AH44,$AL$7:AL44,$AP$7:AP44)</f>
        <v>2262</v>
      </c>
      <c r="AT43">
        <f t="shared" ca="1" si="1"/>
        <v>123</v>
      </c>
      <c r="AU43" s="33">
        <f ca="1">SUM($AX$7:AX43,$BB$7:BB43,$BF$7:BF43,$BJ$7:BJ43)</f>
        <v>386050</v>
      </c>
      <c r="AV43">
        <v>37</v>
      </c>
      <c r="AW43">
        <f t="array" ref="AW43">IFERROR(VLOOKUP(AW$5&amp;$AV43,CHOOSE({1,2},D_技能表CD!$C$2:$C$313&amp;D_技能表CD!$E$2:$E$313,D_技能表CD!$I$2:$I$313),2,FALSE),0)</f>
        <v>13</v>
      </c>
      <c r="AX43">
        <f t="array" aca="1" ref="AX43" ca="1">IFERROR(VLOOKUP(AW$5&amp;$AV43,CHOOSE({1,2},D_技能表CD!$C$2:$C$313&amp;D_技能表CD!$E$2:$E$313,D_技能表CD!$H$2:$H$313),2,FALSE),0)</f>
        <v>18400</v>
      </c>
      <c r="AY43">
        <f t="array" aca="1" ref="AY43" ca="1">IFERROR(VLOOKUP(AW$5&amp;$AV43,CHOOSE({1,2},D_技能表CD!$C$2:$C$313&amp;D_技能表CD!$E$2:$E$313,D_技能表CD!$L$2:$L$313),2,FALSE),0)</f>
        <v>61</v>
      </c>
      <c r="AZ43">
        <f t="array" aca="1" ref="AZ43" ca="1">IFERROR(VLOOKUP(AW$5&amp;$AV43,CHOOSE({1,2},D_技能表CD!$C$2:$C$313&amp;D_技能表CD!$E$2:$E$313,D_技能表CD!$K$2:$K$313),2,FALSE),0)</f>
        <v>79</v>
      </c>
      <c r="BA43">
        <f t="array" ref="BA43">IFERROR(VLOOKUP(BA$5&amp;$AV43,CHOOSE({1,2},D_技能表CD!$C$2:$C$313&amp;D_技能表CD!$E$2:$E$313,D_技能表CD!$I$2:$I$313),2,FALSE),0)</f>
        <v>0</v>
      </c>
      <c r="BB43">
        <f t="array" aca="1" ref="BB43" ca="1">IFERROR(VLOOKUP(BA$5&amp;$AV43,CHOOSE({1,2},D_技能表CD!$C$2:$C$313&amp;D_技能表CD!$E$2:$E$313,D_技能表CD!$H$2:$H$313),2,FALSE),0)</f>
        <v>0</v>
      </c>
      <c r="BC43">
        <f t="array" aca="1" ref="BC43" ca="1">IFERROR(VLOOKUP(BA$5&amp;$AV43,CHOOSE({1,2},D_技能表CD!$C$2:$C$313&amp;D_技能表CD!$E$2:$E$313,D_技能表CD!$L$2:$L$313),2,FALSE),0)</f>
        <v>0</v>
      </c>
      <c r="BD43">
        <f t="array" aca="1" ref="BD43" ca="1">IFERROR(VLOOKUP(BA$5&amp;$AV43,CHOOSE({1,2},D_技能表CD!$C$2:$C$313&amp;D_技能表CD!$E$2:$E$313,D_技能表CD!$K$2:$K$313),2,FALSE),0)</f>
        <v>0</v>
      </c>
      <c r="BE43">
        <f t="array" ref="BE43">IFERROR(VLOOKUP(BE$5&amp;$AV43,CHOOSE({1,2},D_技能表CD!$C$2:$C$313&amp;D_技能表CD!$E$2:$E$313,D_技能表CD!$I$2:$I$313),2,FALSE),0)</f>
        <v>12</v>
      </c>
      <c r="BF43">
        <f t="array" aca="1" ref="BF43" ca="1">IFERROR(VLOOKUP(BE$5&amp;$AV43,CHOOSE({1,2},D_技能表CD!$C$2:$C$313&amp;D_技能表CD!$E$2:$E$313,D_技能表CD!$H$2:$H$313),2,FALSE),0)</f>
        <v>13150</v>
      </c>
      <c r="BG43">
        <f t="array" aca="1" ref="BG43" ca="1">IFERROR(VLOOKUP(BE$5&amp;$AV43,CHOOSE({1,2},D_技能表CD!$C$2:$C$313&amp;D_技能表CD!$E$2:$E$313,D_技能表CD!$L$2:$L$313),2,FALSE),0)</f>
        <v>45</v>
      </c>
      <c r="BH43">
        <f t="array" aca="1" ref="BH43" ca="1">IFERROR(VLOOKUP(BE$5&amp;$AV43,CHOOSE({1,2},D_技能表CD!$C$2:$C$313&amp;D_技能表CD!$E$2:$E$313,D_技能表CD!$K$2:$K$313),2,FALSE),0)</f>
        <v>52</v>
      </c>
      <c r="BI43">
        <f t="array" ref="BI43">IFERROR(VLOOKUP(BI$5&amp;$AV43,CHOOSE({1,2},D_技能表CD!$C$2:$C$313&amp;D_技能表CD!$E$2:$E$313,D_技能表CD!$I$2:$I$313),2,FALSE),0)</f>
        <v>0</v>
      </c>
      <c r="BJ43">
        <f t="array" aca="1" ref="BJ43" ca="1">IFERROR(VLOOKUP(BI$5&amp;$AV43,CHOOSE({1,2},D_技能表CD!$C$2:$C$313&amp;D_技能表CD!$E$2:$E$313,D_技能表CD!$H$2:$H$313),2,FALSE),0)</f>
        <v>0</v>
      </c>
      <c r="BK43">
        <f t="array" aca="1" ref="BK43" ca="1">IFERROR(VLOOKUP(BI$5&amp;$AV43,CHOOSE({1,2},D_技能表CD!$C$2:$C$313&amp;D_技能表CD!$E$2:$E$313,D_技能表CD!$L$2:$L$313),2,FALSE),0)</f>
        <v>0</v>
      </c>
      <c r="BL43">
        <f t="array" aca="1" ref="BL43" ca="1">IFERROR(VLOOKUP(BI$5&amp;$AV43,CHOOSE({1,2},D_技能表CD!$C$2:$C$313&amp;D_技能表CD!$E$2:$E$313,D_技能表CD!$K$2:$K$313),2,FALSE),0)</f>
        <v>0</v>
      </c>
    </row>
    <row r="44" spans="1:64" x14ac:dyDescent="0.15">
      <c r="A44">
        <f t="shared" ca="1" si="0"/>
        <v>1463028</v>
      </c>
      <c r="B44" s="33">
        <f ca="1">SUM($E$7:E44,$I$7:I44,$M$7:M44,$Q$7:Q44,$U$7:U44,$Y$7:Y44,$AC$7:AC44,$AG$7:AG44,$AK$7:AK44,$AO$7:AO44)</f>
        <v>1048228</v>
      </c>
      <c r="C44">
        <v>38</v>
      </c>
      <c r="D44">
        <f t="array" aca="1" ref="D44" ca="1">IFERROR(VLOOKUP($D$5&amp;C44,CHOOSE({1,2},D_技能表!$C$2:$C$1210&amp;D_技能表!$E$2:$E$1210,D_技能表!$I$2:$I$1210),2,FALSE),0)</f>
        <v>23</v>
      </c>
      <c r="E44">
        <f t="array" aca="1" ref="E44" ca="1">IFERROR(VLOOKUP($D$5&amp;$C44,CHOOSE({1,2},D_技能表!$C$2:$C$1210&amp;D_技能表!$E$2:$E$1210,D_技能表!$N$2:$N$1210),2,FALSE),0)</f>
        <v>33004</v>
      </c>
      <c r="F44">
        <f t="array" aca="1" ref="F44" ca="1">IFERROR(VLOOKUP($D$5&amp;$C44,CHOOSE({1,2},D_技能表!$C$2:$C$1210&amp;D_技能表!$E$2:$E$1210,D_技能表!$W$2:$W$1210),2,FALSE),0)</f>
        <v>37</v>
      </c>
      <c r="G44">
        <f t="array" aca="1" ref="G44" ca="1">IFERROR(VLOOKUP($D$5&amp;$C44,CHOOSE({1,2},D_技能表!$C$2:$C$1210&amp;D_技能表!$E$2:$E$1210,D_技能表!$Z$2:$Z$1210),2,FALSE),0)</f>
        <v>15</v>
      </c>
      <c r="H44">
        <f t="array" aca="1" ref="H44" ca="1">IFERROR(VLOOKUP($H$5&amp;$C44,CHOOSE({1,2},D_技能表!$C$2:$C$1210&amp;D_技能表!$E$2:$E$1210,D_技能表!$I$2:$I$1210),2,FALSE),0)</f>
        <v>0</v>
      </c>
      <c r="I44">
        <f t="array" aca="1" ref="I44" ca="1">IFERROR(VLOOKUP($H$5&amp;$C44,CHOOSE({1,2},D_技能表!$C$2:$C$1210&amp;D_技能表!$E$2:$E$1210,D_技能表!$N$2:$N$1210),2,FALSE),0)</f>
        <v>0</v>
      </c>
      <c r="J44">
        <f t="array" aca="1" ref="J44" ca="1">IFERROR(VLOOKUP($H$5&amp;$C44,CHOOSE({1,2},D_技能表!$C$2:$C$1210&amp;D_技能表!$E$2:$E$1210,D_技能表!$W$2:$W$1210),2,FALSE),0)</f>
        <v>0</v>
      </c>
      <c r="K44">
        <f t="array" aca="1" ref="K44" ca="1">IFERROR(VLOOKUP($H$5&amp;$C44,CHOOSE({1,2},D_技能表!$C$2:$C$1210&amp;D_技能表!$E$2:$E$1210,D_技能表!$Z$2:$Z$1210),2,FALSE),0)</f>
        <v>0</v>
      </c>
      <c r="L44">
        <f t="array" aca="1" ref="L44" ca="1">IFERROR(VLOOKUP($L$5&amp;$C44,CHOOSE({1,2},D_技能表!$C$2:$C$1210&amp;D_技能表!$E$2:$E$1210,D_技能表!$I$2:$I$1210),2,FALSE),0)</f>
        <v>0</v>
      </c>
      <c r="M44">
        <f t="array" aca="1" ref="M44" ca="1">IFERROR(VLOOKUP($L$5&amp;$C44,CHOOSE({1,2},D_技能表!$C$2:$C$1210&amp;D_技能表!$E$2:$E$1210,D_技能表!$N$2:$N$1210),2,FALSE),0)</f>
        <v>0</v>
      </c>
      <c r="N44">
        <f t="array" aca="1" ref="N44" ca="1">IFERROR(VLOOKUP($L$5&amp;$C44,CHOOSE({1,2},D_技能表!$C$2:$C$1210&amp;D_技能表!$E$2:$E$1210,D_技能表!$W$2:$W$1210),2,FALSE),0)</f>
        <v>0</v>
      </c>
      <c r="O44">
        <f t="array" aca="1" ref="O44" ca="1">IFERROR(VLOOKUP($L$5&amp;$C44,CHOOSE({1,2},D_技能表!$C$2:$C$1210&amp;D_技能表!$E$2:$E$1210,D_技能表!$Z$2:$Z$1210),2,FALSE),0)</f>
        <v>0</v>
      </c>
      <c r="P44">
        <f t="array" aca="1" ref="P44" ca="1">IFERROR(VLOOKUP($P$5&amp;$C44,CHOOSE({1,2},D_技能表!$C$2:$C$1210&amp;D_技能表!$E$2:$E$1210,D_技能表!$I$2:$I$1210),2,FALSE),0)</f>
        <v>21</v>
      </c>
      <c r="Q44">
        <f t="array" aca="1" ref="Q44" ca="1">IFERROR(VLOOKUP($P$5&amp;$C44,CHOOSE({1,2},D_技能表!$C$2:$C$1210&amp;D_技能表!$E$2:$E$1210,D_技能表!$N$2:$N$1210),2,FALSE),0)</f>
        <v>12488</v>
      </c>
      <c r="R44">
        <f t="array" aca="1" ref="R44" ca="1">IFERROR(VLOOKUP($P$5&amp;$C44,CHOOSE({1,2},D_技能表!$C$2:$C$1210&amp;D_技能表!$E$2:$E$1210,D_技能表!$W$2:$W$1210),2,FALSE),0)</f>
        <v>14</v>
      </c>
      <c r="S44">
        <f t="array" aca="1" ref="S44" ca="1">IFERROR(VLOOKUP($P$5&amp;$C44,CHOOSE({1,2},D_技能表!$C$2:$C$1210&amp;D_技能表!$E$2:$E$1210,D_技能表!$Z$2:$Z$1210),2,FALSE),0)</f>
        <v>6</v>
      </c>
      <c r="T44">
        <f t="array" aca="1" ref="T44" ca="1">IFERROR(VLOOKUP($T$5&amp;$C44,CHOOSE({1,2},D_技能表!$C$2:$C$1210&amp;D_技能表!$E$2:$E$1210,D_技能表!$I$2:$I$1210),2,FALSE),0)</f>
        <v>0</v>
      </c>
      <c r="U44">
        <f t="array" aca="1" ref="U44" ca="1">IFERROR(VLOOKUP($T$5&amp;$C44,CHOOSE({1,2},D_技能表!$C$2:$C$1210&amp;D_技能表!$E$2:$E$1210,D_技能表!$N$2:$N$1210),2,FALSE),0)</f>
        <v>0</v>
      </c>
      <c r="V44">
        <f t="array" aca="1" ref="V44" ca="1">IFERROR(VLOOKUP($T$5&amp;$C44,CHOOSE({1,2},D_技能表!$C$2:$C$1210&amp;D_技能表!$E$2:$E$1210,D_技能表!$W$2:$W$1210),2,FALSE),0)</f>
        <v>0</v>
      </c>
      <c r="W44">
        <f t="array" aca="1" ref="W44" ca="1">IFERROR(VLOOKUP($T$5&amp;$C44,CHOOSE({1,2},D_技能表!$C$2:$C$1210&amp;D_技能表!$E$2:$E$1210,D_技能表!$Z$2:$Z$1210),2,FALSE),0)</f>
        <v>0</v>
      </c>
      <c r="X44">
        <f t="array" aca="1" ref="X44" ca="1">IFERROR(VLOOKUP($X$5&amp;$C44,CHOOSE({1,2},D_技能表!$C$2:$C$1210&amp;D_技能表!$E$2:$E$1210,D_技能表!$I$2:$I$1210),2,FALSE),0)</f>
        <v>22</v>
      </c>
      <c r="Y44">
        <f t="array" aca="1" ref="Y44" ca="1">IFERROR(VLOOKUP($X$5&amp;$C44,CHOOSE({1,2},D_技能表!$C$2:$C$1210&amp;D_技能表!$E$2:$E$1210,D_技能表!$N$2:$N$1210),2,FALSE),0)</f>
        <v>29436</v>
      </c>
      <c r="Z44">
        <f t="array" aca="1" ref="Z44" ca="1">IFERROR(VLOOKUP($X$5&amp;$C44,CHOOSE({1,2},D_技能表!$C$2:$C$1210&amp;D_技能表!$E$2:$E$1210,D_技能表!$W$2:$W$1210),2,FALSE),0)</f>
        <v>33</v>
      </c>
      <c r="AA44">
        <f t="array" aca="1" ref="AA44" ca="1">IFERROR(VLOOKUP($X$5&amp;$C44,CHOOSE({1,2},D_技能表!$C$2:$C$1210&amp;D_技能表!$E$2:$E$1210,D_技能表!$Z$2:$Z$1210),2,FALSE),0)</f>
        <v>14</v>
      </c>
      <c r="AB44">
        <f t="array" aca="1" ref="AB44" ca="1">IFERROR(VLOOKUP($AB$5&amp;$C44,CHOOSE({1,2},D_技能表!$C$2:$C$1210&amp;D_技能表!$E$2:$E$1210,D_技能表!$I$2:$I$1210),2,FALSE),0)</f>
        <v>0</v>
      </c>
      <c r="AC44">
        <f t="array" aca="1" ref="AC44" ca="1">IFERROR(VLOOKUP($AB$5&amp;$C44,CHOOSE({1,2},D_技能表!$C$2:$C$1210&amp;D_技能表!$E$2:$E$1210,D_技能表!$N$2:$N$1210),2,FALSE),0)</f>
        <v>0</v>
      </c>
      <c r="AD44">
        <f t="array" aca="1" ref="AD44" ca="1">IFERROR(VLOOKUP($AB$5&amp;$C44,CHOOSE({1,2},D_技能表!$C$2:$C$1210&amp;D_技能表!$E$2:$E$1210,D_技能表!$W$2:$W$1210),2,FALSE),0)</f>
        <v>0</v>
      </c>
      <c r="AE44">
        <f t="array" aca="1" ref="AE44" ca="1">IFERROR(VLOOKUP($AB$5&amp;$C44,CHOOSE({1,2},D_技能表!$C$2:$C$1210&amp;D_技能表!$E$2:$E$1210,D_技能表!$Z$2:$Z$1210),2,FALSE),0)</f>
        <v>0</v>
      </c>
      <c r="AF44">
        <f t="array" aca="1" ref="AF44" ca="1">IFERROR(VLOOKUP($AF$5&amp;$C44,CHOOSE({1,2},D_技能表!$C$2:$C$1210&amp;D_技能表!$E$2:$E$1210,D_技能表!$I$2:$I$1210),2,FALSE),0)</f>
        <v>21</v>
      </c>
      <c r="AG44">
        <f t="array" aca="1" ref="AG44" ca="1">IFERROR(VLOOKUP($AF$5&amp;$C44,CHOOSE({1,2},D_技能表!$C$2:$C$1210&amp;D_技能表!$E$2:$E$1210,D_技能表!$N$2:$N$1210),2,FALSE),0)</f>
        <v>11596</v>
      </c>
      <c r="AH44">
        <f t="array" aca="1" ref="AH44" ca="1">IFERROR(VLOOKUP($AF$5&amp;$C44,CHOOSE({1,2},D_技能表!$C$2:$C$1210&amp;D_技能表!$E$2:$E$1210,D_技能表!$W$2:$W$1210),2,FALSE),0)</f>
        <v>13</v>
      </c>
      <c r="AI44">
        <f t="array" aca="1" ref="AI44" ca="1">IFERROR(VLOOKUP($AF$5&amp;$C44,CHOOSE({1,2},D_技能表!$C$2:$C$1210&amp;D_技能表!$E$2:$E$1210,D_技能表!$Z$2:$Z$1210),2,FALSE),0)</f>
        <v>6</v>
      </c>
      <c r="AJ44">
        <f t="array" aca="1" ref="AJ44" ca="1">IFERROR(VLOOKUP($AJ$5&amp;$C44,CHOOSE({1,2},D_技能表!$C$2:$C$1210&amp;D_技能表!$E$2:$E$1210,D_技能表!$I$2:$I$1210),2,FALSE),0)</f>
        <v>20</v>
      </c>
      <c r="AK44">
        <f t="array" aca="1" ref="AK44" ca="1">IFERROR(VLOOKUP($AJ$5&amp;$C44,CHOOSE({1,2},D_技能表!$C$2:$C$1210&amp;D_技能表!$E$2:$E$1210,D_技能表!$N$2:$N$1210),2,FALSE),0)</f>
        <v>11596</v>
      </c>
      <c r="AL44">
        <f t="array" aca="1" ref="AL44" ca="1">IFERROR(VLOOKUP($AJ$5&amp;$C44,CHOOSE({1,2},D_技能表!$C$2:$C$1210&amp;D_技能表!$E$2:$E$1210,D_技能表!$W$2:$W$1210),2,FALSE),0)</f>
        <v>13</v>
      </c>
      <c r="AM44">
        <f t="array" aca="1" ref="AM44" ca="1">IFERROR(VLOOKUP($AJ$5&amp;$C44,CHOOSE({1,2},D_技能表!$C$2:$C$1210&amp;D_技能表!$E$2:$E$1210,D_技能表!$Z$2:$Z$1210),2,FALSE),0)</f>
        <v>6</v>
      </c>
      <c r="AN44">
        <f t="array" aca="1" ref="AN44" ca="1">IFERROR(VLOOKUP($AN$5&amp;$C44,CHOOSE({1,2},D_技能表!$C$2:$C$1210&amp;D_技能表!$E$2:$E$1210,D_技能表!$I$2:$I$1210),2,FALSE),0)</f>
        <v>19</v>
      </c>
      <c r="AO44">
        <f t="array" aca="1" ref="AO44" ca="1">IFERROR(VLOOKUP($AN$5&amp;$C44,CHOOSE({1,2},D_技能表!$C$2:$C$1210&amp;D_技能表!$E$2:$E$1210,D_技能表!$N$2:$N$1210),2,FALSE),0)</f>
        <v>18732</v>
      </c>
      <c r="AP44">
        <f t="array" aca="1" ref="AP44" ca="1">IFERROR(VLOOKUP($AN$5&amp;$C44,CHOOSE({1,2},D_技能表!$C$2:$C$1210&amp;D_技能表!$E$2:$E$1210,D_技能表!$W$2:$W$1210),2,FALSE),0)</f>
        <v>21</v>
      </c>
      <c r="AQ44">
        <f t="array" aca="1" ref="AQ44" ca="1">IFERROR(VLOOKUP($AN$5&amp;$C44,CHOOSE({1,2},D_技能表!$C$2:$C$1210&amp;D_技能表!$E$2:$E$1210,D_技能表!$Z$2:$Z$1210),2,FALSE),0)</f>
        <v>9</v>
      </c>
      <c r="AR44" s="11">
        <f ca="1">SUM($G$7:G45,$K$7:K45,$O$7:O45,$S$7:S45,$W$7:W45,$AA$7:AA45,$AE$7:AE45,$AI$7:AI45,$AM$7:AM45,$AQ$7:AQ45)</f>
        <v>391</v>
      </c>
      <c r="AS44">
        <f ca="1">SUM($F$7:F45,$J$7:J45,$N$7:N45,$R$7:R45,$V$7:V45,$Z$7:Z45,$AD$7:AD45,$AH$7:AH45,$AL$7:AL45,$AP$7:AP45)</f>
        <v>2424</v>
      </c>
      <c r="AT44">
        <f t="shared" ca="1" si="1"/>
        <v>131</v>
      </c>
      <c r="AU44" s="33">
        <f ca="1">SUM($AX$7:AX44,$BB$7:BB44,$BF$7:BF44,$BJ$7:BJ44)</f>
        <v>414800</v>
      </c>
      <c r="AV44">
        <v>38</v>
      </c>
      <c r="AW44">
        <f t="array" ref="AW44">IFERROR(VLOOKUP(AW$5&amp;$AV44,CHOOSE({1,2},D_技能表CD!$C$2:$C$313&amp;D_技能表CD!$E$2:$E$313,D_技能表CD!$I$2:$I$313),2,FALSE),0)</f>
        <v>0</v>
      </c>
      <c r="AX44">
        <f t="array" aca="1" ref="AX44" ca="1">IFERROR(VLOOKUP(AW$5&amp;$AV44,CHOOSE({1,2},D_技能表CD!$C$2:$C$313&amp;D_技能表CD!$E$2:$E$313,D_技能表CD!$H$2:$H$313),2,FALSE),0)</f>
        <v>0</v>
      </c>
      <c r="AY44">
        <f t="array" aca="1" ref="AY44" ca="1">IFERROR(VLOOKUP(AW$5&amp;$AV44,CHOOSE({1,2},D_技能表CD!$C$2:$C$313&amp;D_技能表CD!$E$2:$E$313,D_技能表CD!$L$2:$L$313),2,FALSE),0)</f>
        <v>0</v>
      </c>
      <c r="AZ44">
        <f t="array" aca="1" ref="AZ44" ca="1">IFERROR(VLOOKUP(AW$5&amp;$AV44,CHOOSE({1,2},D_技能表CD!$C$2:$C$313&amp;D_技能表CD!$E$2:$E$313,D_技能表CD!$K$2:$K$313),2,FALSE),0)</f>
        <v>0</v>
      </c>
      <c r="BA44">
        <f t="array" ref="BA44">IFERROR(VLOOKUP(BA$5&amp;$AV44,CHOOSE({1,2},D_技能表CD!$C$2:$C$313&amp;D_技能表CD!$E$2:$E$313,D_技能表CD!$I$2:$I$313),2,FALSE),0)</f>
        <v>0</v>
      </c>
      <c r="BB44">
        <f t="array" aca="1" ref="BB44" ca="1">IFERROR(VLOOKUP(BA$5&amp;$AV44,CHOOSE({1,2},D_技能表CD!$C$2:$C$313&amp;D_技能表CD!$E$2:$E$313,D_技能表CD!$H$2:$H$313),2,FALSE),0)</f>
        <v>0</v>
      </c>
      <c r="BC44">
        <f t="array" aca="1" ref="BC44" ca="1">IFERROR(VLOOKUP(BA$5&amp;$AV44,CHOOSE({1,2},D_技能表CD!$C$2:$C$313&amp;D_技能表CD!$E$2:$E$313,D_技能表CD!$L$2:$L$313),2,FALSE),0)</f>
        <v>0</v>
      </c>
      <c r="BD44">
        <f t="array" aca="1" ref="BD44" ca="1">IFERROR(VLOOKUP(BA$5&amp;$AV44,CHOOSE({1,2},D_技能表CD!$C$2:$C$313&amp;D_技能表CD!$E$2:$E$313,D_技能表CD!$K$2:$K$313),2,FALSE),0)</f>
        <v>0</v>
      </c>
      <c r="BE44">
        <f t="array" ref="BE44">IFERROR(VLOOKUP(BE$5&amp;$AV44,CHOOSE({1,2},D_技能表CD!$C$2:$C$313&amp;D_技能表CD!$E$2:$E$313,D_技能表CD!$I$2:$I$313),2,FALSE),0)</f>
        <v>0</v>
      </c>
      <c r="BF44">
        <f t="array" aca="1" ref="BF44" ca="1">IFERROR(VLOOKUP(BE$5&amp;$AV44,CHOOSE({1,2},D_技能表CD!$C$2:$C$313&amp;D_技能表CD!$E$2:$E$313,D_技能表CD!$H$2:$H$313),2,FALSE),0)</f>
        <v>0</v>
      </c>
      <c r="BG44">
        <f t="array" aca="1" ref="BG44" ca="1">IFERROR(VLOOKUP(BE$5&amp;$AV44,CHOOSE({1,2},D_技能表CD!$C$2:$C$313&amp;D_技能表CD!$E$2:$E$313,D_技能表CD!$L$2:$L$313),2,FALSE),0)</f>
        <v>0</v>
      </c>
      <c r="BH44">
        <f t="array" aca="1" ref="BH44" ca="1">IFERROR(VLOOKUP(BE$5&amp;$AV44,CHOOSE({1,2},D_技能表CD!$C$2:$C$313&amp;D_技能表CD!$E$2:$E$313,D_技能表CD!$K$2:$K$313),2,FALSE),0)</f>
        <v>0</v>
      </c>
      <c r="BI44">
        <f t="array" ref="BI44">IFERROR(VLOOKUP(BI$5&amp;$AV44,CHOOSE({1,2},D_技能表CD!$C$2:$C$313&amp;D_技能表CD!$E$2:$E$313,D_技能表CD!$I$2:$I$313),2,FALSE),0)</f>
        <v>12</v>
      </c>
      <c r="BJ44">
        <f t="array" aca="1" ref="BJ44" ca="1">IFERROR(VLOOKUP(BI$5&amp;$AV44,CHOOSE({1,2},D_技能表CD!$C$2:$C$313&amp;D_技能表CD!$E$2:$E$313,D_技能表CD!$H$2:$H$313),2,FALSE),0)</f>
        <v>28750</v>
      </c>
      <c r="BK44">
        <f t="array" aca="1" ref="BK44" ca="1">IFERROR(VLOOKUP(BI$5&amp;$AV44,CHOOSE({1,2},D_技能表CD!$C$2:$C$313&amp;D_技能表CD!$E$2:$E$313,D_技能表CD!$L$2:$L$313),2,FALSE),0)</f>
        <v>99</v>
      </c>
      <c r="BL44">
        <f t="array" aca="1" ref="BL44" ca="1">IFERROR(VLOOKUP(BI$5&amp;$AV44,CHOOSE({1,2},D_技能表CD!$C$2:$C$313&amp;D_技能表CD!$E$2:$E$313,D_技能表CD!$K$2:$K$313),2,FALSE),0)</f>
        <v>114</v>
      </c>
    </row>
    <row r="45" spans="1:64" x14ac:dyDescent="0.15">
      <c r="A45">
        <f t="shared" ca="1" si="0"/>
        <v>1651256</v>
      </c>
      <c r="B45" s="33">
        <f ca="1">SUM($E$7:E45,$I$7:I45,$M$7:M45,$Q$7:Q45,$U$7:U45,$Y$7:Y45,$AC$7:AC45,$AG$7:AG45,$AK$7:AK45,$AO$7:AO45)</f>
        <v>1201156</v>
      </c>
      <c r="C45">
        <v>39</v>
      </c>
      <c r="D45">
        <f t="array" aca="1" ref="D45" ca="1">IFERROR(VLOOKUP($D$5&amp;C45,CHOOSE({1,2},D_技能表!$C$2:$C$1210&amp;D_技能表!$E$2:$E$1210,D_技能表!$I$2:$I$1210),2,FALSE),0)</f>
        <v>24</v>
      </c>
      <c r="E45">
        <f t="array" aca="1" ref="E45" ca="1">IFERROR(VLOOKUP($D$5&amp;$C45,CHOOSE({1,2},D_技能表!$C$2:$C$1210&amp;D_技能表!$E$2:$E$1210,D_技能表!$N$2:$N$1210),2,FALSE),0)</f>
        <v>37760</v>
      </c>
      <c r="F45">
        <f t="array" aca="1" ref="F45" ca="1">IFERROR(VLOOKUP($D$5&amp;$C45,CHOOSE({1,2},D_技能表!$C$2:$C$1210&amp;D_技能表!$E$2:$E$1210,D_技能表!$W$2:$W$1210),2,FALSE),0)</f>
        <v>40</v>
      </c>
      <c r="G45">
        <f t="array" aca="1" ref="G45" ca="1">IFERROR(VLOOKUP($D$5&amp;$C45,CHOOSE({1,2},D_技能表!$C$2:$C$1210&amp;D_技能表!$E$2:$E$1210,D_技能表!$Z$2:$Z$1210),2,FALSE),0)</f>
        <v>16</v>
      </c>
      <c r="H45">
        <f t="array" aca="1" ref="H45" ca="1">IFERROR(VLOOKUP($H$5&amp;$C45,CHOOSE({1,2},D_技能表!$C$2:$C$1210&amp;D_技能表!$E$2:$E$1210,D_技能表!$I$2:$I$1210),2,FALSE),0)</f>
        <v>23</v>
      </c>
      <c r="I45">
        <f t="array" aca="1" ref="I45" ca="1">IFERROR(VLOOKUP($H$5&amp;$C45,CHOOSE({1,2},D_技能表!$C$2:$C$1210&amp;D_技能表!$E$2:$E$1210,D_技能表!$N$2:$N$1210),2,FALSE),0)</f>
        <v>15104</v>
      </c>
      <c r="J45">
        <f t="array" aca="1" ref="J45" ca="1">IFERROR(VLOOKUP($H$5&amp;$C45,CHOOSE({1,2},D_技能表!$C$2:$C$1210&amp;D_技能表!$E$2:$E$1210,D_技能表!$W$2:$W$1210),2,FALSE),0)</f>
        <v>16</v>
      </c>
      <c r="K45">
        <f t="array" aca="1" ref="K45" ca="1">IFERROR(VLOOKUP($H$5&amp;$C45,CHOOSE({1,2},D_技能表!$C$2:$C$1210&amp;D_技能表!$E$2:$E$1210,D_技能表!$Z$2:$Z$1210),2,FALSE),0)</f>
        <v>7</v>
      </c>
      <c r="L45">
        <f t="array" aca="1" ref="L45" ca="1">IFERROR(VLOOKUP($L$5&amp;$C45,CHOOSE({1,2},D_技能表!$C$2:$C$1210&amp;D_技能表!$E$2:$E$1210,D_技能表!$I$2:$I$1210),2,FALSE),0)</f>
        <v>23</v>
      </c>
      <c r="M45">
        <f t="array" aca="1" ref="M45" ca="1">IFERROR(VLOOKUP($L$5&amp;$C45,CHOOSE({1,2},D_技能表!$C$2:$C$1210&amp;D_技能表!$E$2:$E$1210,D_技能表!$N$2:$N$1210),2,FALSE),0)</f>
        <v>15104</v>
      </c>
      <c r="N45">
        <f t="array" aca="1" ref="N45" ca="1">IFERROR(VLOOKUP($L$5&amp;$C45,CHOOSE({1,2},D_技能表!$C$2:$C$1210&amp;D_技能表!$E$2:$E$1210,D_技能表!$W$2:$W$1210),2,FALSE),0)</f>
        <v>16</v>
      </c>
      <c r="O45">
        <f t="array" aca="1" ref="O45" ca="1">IFERROR(VLOOKUP($L$5&amp;$C45,CHOOSE({1,2},D_技能表!$C$2:$C$1210&amp;D_技能表!$E$2:$E$1210,D_技能表!$Z$2:$Z$1210),2,FALSE),0)</f>
        <v>7</v>
      </c>
      <c r="P45">
        <f t="array" aca="1" ref="P45" ca="1">IFERROR(VLOOKUP($P$5&amp;$C45,CHOOSE({1,2},D_技能表!$C$2:$C$1210&amp;D_技能表!$E$2:$E$1210,D_技能表!$I$2:$I$1210),2,FALSE),0)</f>
        <v>22</v>
      </c>
      <c r="Q45">
        <f t="array" aca="1" ref="Q45" ca="1">IFERROR(VLOOKUP($P$5&amp;$C45,CHOOSE({1,2},D_技能表!$C$2:$C$1210&amp;D_技能表!$E$2:$E$1210,D_技能表!$N$2:$N$1210),2,FALSE),0)</f>
        <v>14160</v>
      </c>
      <c r="R45">
        <f t="array" aca="1" ref="R45" ca="1">IFERROR(VLOOKUP($P$5&amp;$C45,CHOOSE({1,2},D_技能表!$C$2:$C$1210&amp;D_技能表!$E$2:$E$1210,D_技能表!$W$2:$W$1210),2,FALSE),0)</f>
        <v>15</v>
      </c>
      <c r="S45">
        <f t="array" aca="1" ref="S45" ca="1">IFERROR(VLOOKUP($P$5&amp;$C45,CHOOSE({1,2},D_技能表!$C$2:$C$1210&amp;D_技能表!$E$2:$E$1210,D_技能表!$Z$2:$Z$1210),2,FALSE),0)</f>
        <v>6</v>
      </c>
      <c r="T45">
        <f t="array" aca="1" ref="T45" ca="1">IFERROR(VLOOKUP($T$5&amp;$C45,CHOOSE({1,2},D_技能表!$C$2:$C$1210&amp;D_技能表!$E$2:$E$1210,D_技能表!$I$2:$I$1210),2,FALSE),0)</f>
        <v>21</v>
      </c>
      <c r="U45">
        <f t="array" aca="1" ref="U45" ca="1">IFERROR(VLOOKUP($T$5&amp;$C45,CHOOSE({1,2},D_技能表!$C$2:$C$1210&amp;D_技能表!$E$2:$E$1210,D_技能表!$N$2:$N$1210),2,FALSE),0)</f>
        <v>21712</v>
      </c>
      <c r="V45">
        <f t="array" aca="1" ref="V45" ca="1">IFERROR(VLOOKUP($T$5&amp;$C45,CHOOSE({1,2},D_技能表!$C$2:$C$1210&amp;D_技能表!$E$2:$E$1210,D_技能表!$W$2:$W$1210),2,FALSE),0)</f>
        <v>23</v>
      </c>
      <c r="W45">
        <f t="array" aca="1" ref="W45" ca="1">IFERROR(VLOOKUP($T$5&amp;$C45,CHOOSE({1,2},D_技能表!$C$2:$C$1210&amp;D_技能表!$E$2:$E$1210,D_技能表!$Z$2:$Z$1210),2,FALSE),0)</f>
        <v>10</v>
      </c>
      <c r="X45">
        <f t="array" aca="1" ref="X45" ca="1">IFERROR(VLOOKUP($X$5&amp;$C45,CHOOSE({1,2},D_技能表!$C$2:$C$1210&amp;D_技能表!$E$2:$E$1210,D_技能表!$I$2:$I$1210),2,FALSE),0)</f>
        <v>0</v>
      </c>
      <c r="Y45">
        <f t="array" aca="1" ref="Y45" ca="1">IFERROR(VLOOKUP($X$5&amp;$C45,CHOOSE({1,2},D_技能表!$C$2:$C$1210&amp;D_技能表!$E$2:$E$1210,D_技能表!$N$2:$N$1210),2,FALSE),0)</f>
        <v>0</v>
      </c>
      <c r="Z45">
        <f t="array" aca="1" ref="Z45" ca="1">IFERROR(VLOOKUP($X$5&amp;$C45,CHOOSE({1,2},D_技能表!$C$2:$C$1210&amp;D_技能表!$E$2:$E$1210,D_技能表!$W$2:$W$1210),2,FALSE),0)</f>
        <v>0</v>
      </c>
      <c r="AA45">
        <f t="array" aca="1" ref="AA45" ca="1">IFERROR(VLOOKUP($X$5&amp;$C45,CHOOSE({1,2},D_技能表!$C$2:$C$1210&amp;D_技能表!$E$2:$E$1210,D_技能表!$Z$2:$Z$1210),2,FALSE),0)</f>
        <v>0</v>
      </c>
      <c r="AB45">
        <f t="array" aca="1" ref="AB45" ca="1">IFERROR(VLOOKUP($AB$5&amp;$C45,CHOOSE({1,2},D_技能表!$C$2:$C$1210&amp;D_技能表!$E$2:$E$1210,D_技能表!$I$2:$I$1210),2,FALSE),0)</f>
        <v>22</v>
      </c>
      <c r="AC45">
        <f t="array" aca="1" ref="AC45" ca="1">IFERROR(VLOOKUP($AB$5&amp;$C45,CHOOSE({1,2},D_技能表!$C$2:$C$1210&amp;D_技能表!$E$2:$E$1210,D_技能表!$N$2:$N$1210),2,FALSE),0)</f>
        <v>15104</v>
      </c>
      <c r="AD45">
        <f t="array" aca="1" ref="AD45" ca="1">IFERROR(VLOOKUP($AB$5&amp;$C45,CHOOSE({1,2},D_技能表!$C$2:$C$1210&amp;D_技能表!$E$2:$E$1210,D_技能表!$W$2:$W$1210),2,FALSE),0)</f>
        <v>16</v>
      </c>
      <c r="AE45">
        <f t="array" aca="1" ref="AE45" ca="1">IFERROR(VLOOKUP($AB$5&amp;$C45,CHOOSE({1,2},D_技能表!$C$2:$C$1210&amp;D_技能表!$E$2:$E$1210,D_技能表!$Z$2:$Z$1210),2,FALSE),0)</f>
        <v>7</v>
      </c>
      <c r="AF45">
        <f t="array" aca="1" ref="AF45" ca="1">IFERROR(VLOOKUP($AF$5&amp;$C45,CHOOSE({1,2},D_技能表!$C$2:$C$1210&amp;D_技能表!$E$2:$E$1210,D_技能表!$I$2:$I$1210),2,FALSE),0)</f>
        <v>0</v>
      </c>
      <c r="AG45">
        <f t="array" aca="1" ref="AG45" ca="1">IFERROR(VLOOKUP($AF$5&amp;$C45,CHOOSE({1,2},D_技能表!$C$2:$C$1210&amp;D_技能表!$E$2:$E$1210,D_技能表!$N$2:$N$1210),2,FALSE),0)</f>
        <v>0</v>
      </c>
      <c r="AH45">
        <f t="array" aca="1" ref="AH45" ca="1">IFERROR(VLOOKUP($AF$5&amp;$C45,CHOOSE({1,2},D_技能表!$C$2:$C$1210&amp;D_技能表!$E$2:$E$1210,D_技能表!$W$2:$W$1210),2,FALSE),0)</f>
        <v>0</v>
      </c>
      <c r="AI45">
        <f t="array" aca="1" ref="AI45" ca="1">IFERROR(VLOOKUP($AF$5&amp;$C45,CHOOSE({1,2},D_技能表!$C$2:$C$1210&amp;D_技能表!$E$2:$E$1210,D_技能表!$Z$2:$Z$1210),2,FALSE),0)</f>
        <v>0</v>
      </c>
      <c r="AJ45">
        <f t="array" aca="1" ref="AJ45" ca="1">IFERROR(VLOOKUP($AJ$5&amp;$C45,CHOOSE({1,2},D_技能表!$C$2:$C$1210&amp;D_技能表!$E$2:$E$1210,D_技能表!$I$2:$I$1210),2,FALSE),0)</f>
        <v>21</v>
      </c>
      <c r="AK45">
        <f t="array" aca="1" ref="AK45" ca="1">IFERROR(VLOOKUP($AJ$5&amp;$C45,CHOOSE({1,2},D_技能表!$C$2:$C$1210&amp;D_技能表!$E$2:$E$1210,D_技能表!$N$2:$N$1210),2,FALSE),0)</f>
        <v>12272</v>
      </c>
      <c r="AL45">
        <f t="array" aca="1" ref="AL45" ca="1">IFERROR(VLOOKUP($AJ$5&amp;$C45,CHOOSE({1,2},D_技能表!$C$2:$C$1210&amp;D_技能表!$E$2:$E$1210,D_技能表!$W$2:$W$1210),2,FALSE),0)</f>
        <v>13</v>
      </c>
      <c r="AM45">
        <f t="array" aca="1" ref="AM45" ca="1">IFERROR(VLOOKUP($AJ$5&amp;$C45,CHOOSE({1,2},D_技能表!$C$2:$C$1210&amp;D_技能表!$E$2:$E$1210,D_技能表!$Z$2:$Z$1210),2,FALSE),0)</f>
        <v>6</v>
      </c>
      <c r="AN45">
        <f t="array" aca="1" ref="AN45" ca="1">IFERROR(VLOOKUP($AN$5&amp;$C45,CHOOSE({1,2},D_技能表!$C$2:$C$1210&amp;D_技能表!$E$2:$E$1210,D_技能表!$I$2:$I$1210),2,FALSE),0)</f>
        <v>20</v>
      </c>
      <c r="AO45">
        <f t="array" aca="1" ref="AO45" ca="1">IFERROR(VLOOKUP($AN$5&amp;$C45,CHOOSE({1,2},D_技能表!$C$2:$C$1210&amp;D_技能表!$E$2:$E$1210,D_技能表!$N$2:$N$1210),2,FALSE),0)</f>
        <v>21712</v>
      </c>
      <c r="AP45">
        <f t="array" aca="1" ref="AP45" ca="1">IFERROR(VLOOKUP($AN$5&amp;$C45,CHOOSE({1,2},D_技能表!$C$2:$C$1210&amp;D_技能表!$E$2:$E$1210,D_技能表!$W$2:$W$1210),2,FALSE),0)</f>
        <v>23</v>
      </c>
      <c r="AQ45">
        <f t="array" aca="1" ref="AQ45" ca="1">IFERROR(VLOOKUP($AN$5&amp;$C45,CHOOSE({1,2},D_技能表!$C$2:$C$1210&amp;D_技能表!$E$2:$E$1210,D_技能表!$Z$2:$Z$1210),2,FALSE),0)</f>
        <v>10</v>
      </c>
      <c r="AR45" s="11">
        <f ca="1">SUM($G$7:G46,$K$7:K46,$O$7:O46,$S$7:S46,$W$7:W46,$AA$7:AA46,$AE$7:AE46,$AI$7:AI46,$AM$7:AM46,$AQ$7:AQ46)</f>
        <v>443</v>
      </c>
      <c r="AS45">
        <f ca="1">SUM($F$7:F46,$J$7:J46,$N$7:N46,$R$7:R46,$V$7:V46,$Z$7:Z46,$AD$7:AD46,$AH$7:AH46,$AL$7:AL46,$AP$7:AP46)</f>
        <v>2550</v>
      </c>
      <c r="AT45">
        <f t="shared" ca="1" si="1"/>
        <v>162</v>
      </c>
      <c r="AU45" s="33">
        <f ca="1">SUM($AX$7:AX45,$BB$7:BB45,$BF$7:BF45,$BJ$7:BJ45)</f>
        <v>450100</v>
      </c>
      <c r="AV45">
        <v>39</v>
      </c>
      <c r="AW45">
        <f t="array" ref="AW45">IFERROR(VLOOKUP(AW$5&amp;$AV45,CHOOSE({1,2},D_技能表CD!$C$2:$C$313&amp;D_技能表CD!$E$2:$E$313,D_技能表CD!$I$2:$I$313),2,FALSE),0)</f>
        <v>0</v>
      </c>
      <c r="AX45">
        <f t="array" aca="1" ref="AX45" ca="1">IFERROR(VLOOKUP(AW$5&amp;$AV45,CHOOSE({1,2},D_技能表CD!$C$2:$C$313&amp;D_技能表CD!$E$2:$E$313,D_技能表CD!$H$2:$H$313),2,FALSE),0)</f>
        <v>0</v>
      </c>
      <c r="AY45">
        <f t="array" aca="1" ref="AY45" ca="1">IFERROR(VLOOKUP(AW$5&amp;$AV45,CHOOSE({1,2},D_技能表CD!$C$2:$C$313&amp;D_技能表CD!$E$2:$E$313,D_技能表CD!$L$2:$L$313),2,FALSE),0)</f>
        <v>0</v>
      </c>
      <c r="AZ45">
        <f t="array" aca="1" ref="AZ45" ca="1">IFERROR(VLOOKUP(AW$5&amp;$AV45,CHOOSE({1,2},D_技能表CD!$C$2:$C$313&amp;D_技能表CD!$E$2:$E$313,D_技能表CD!$K$2:$K$313),2,FALSE),0)</f>
        <v>0</v>
      </c>
      <c r="BA45">
        <f t="array" ref="BA45">IFERROR(VLOOKUP(BA$5&amp;$AV45,CHOOSE({1,2},D_技能表CD!$C$2:$C$313&amp;D_技能表CD!$E$2:$E$313,D_技能表CD!$I$2:$I$313),2,FALSE),0)</f>
        <v>13</v>
      </c>
      <c r="BB45">
        <f t="array" aca="1" ref="BB45" ca="1">IFERROR(VLOOKUP(BA$5&amp;$AV45,CHOOSE({1,2},D_技能表CD!$C$2:$C$313&amp;D_技能表CD!$E$2:$E$313,D_技能表CD!$H$2:$H$313),2,FALSE),0)</f>
        <v>35300</v>
      </c>
      <c r="BC45">
        <f t="array" aca="1" ref="BC45" ca="1">IFERROR(VLOOKUP(BA$5&amp;$AV45,CHOOSE({1,2},D_技能表CD!$C$2:$C$313&amp;D_技能表CD!$E$2:$E$313,D_技能表CD!$L$2:$L$313),2,FALSE),0)</f>
        <v>117</v>
      </c>
      <c r="BD45">
        <f t="array" aca="1" ref="BD45" ca="1">IFERROR(VLOOKUP(BA$5&amp;$AV45,CHOOSE({1,2},D_技能表CD!$C$2:$C$313&amp;D_技能表CD!$E$2:$E$313,D_技能表CD!$K$2:$K$313),2,FALSE),0)</f>
        <v>151</v>
      </c>
      <c r="BE45">
        <f t="array" ref="BE45">IFERROR(VLOOKUP(BE$5&amp;$AV45,CHOOSE({1,2},D_技能表CD!$C$2:$C$313&amp;D_技能表CD!$E$2:$E$313,D_技能表CD!$I$2:$I$313),2,FALSE),0)</f>
        <v>0</v>
      </c>
      <c r="BF45">
        <f t="array" aca="1" ref="BF45" ca="1">IFERROR(VLOOKUP(BE$5&amp;$AV45,CHOOSE({1,2},D_技能表CD!$C$2:$C$313&amp;D_技能表CD!$E$2:$E$313,D_技能表CD!$H$2:$H$313),2,FALSE),0)</f>
        <v>0</v>
      </c>
      <c r="BG45">
        <f t="array" aca="1" ref="BG45" ca="1">IFERROR(VLOOKUP(BE$5&amp;$AV45,CHOOSE({1,2},D_技能表CD!$C$2:$C$313&amp;D_技能表CD!$E$2:$E$313,D_技能表CD!$L$2:$L$313),2,FALSE),0)</f>
        <v>0</v>
      </c>
      <c r="BH45">
        <f t="array" aca="1" ref="BH45" ca="1">IFERROR(VLOOKUP(BE$5&amp;$AV45,CHOOSE({1,2},D_技能表CD!$C$2:$C$313&amp;D_技能表CD!$E$2:$E$313,D_技能表CD!$K$2:$K$313),2,FALSE),0)</f>
        <v>0</v>
      </c>
      <c r="BI45">
        <f t="array" ref="BI45">IFERROR(VLOOKUP(BI$5&amp;$AV45,CHOOSE({1,2},D_技能表CD!$C$2:$C$313&amp;D_技能表CD!$E$2:$E$313,D_技能表CD!$I$2:$I$313),2,FALSE),0)</f>
        <v>0</v>
      </c>
      <c r="BJ45">
        <f t="array" aca="1" ref="BJ45" ca="1">IFERROR(VLOOKUP(BI$5&amp;$AV45,CHOOSE({1,2},D_技能表CD!$C$2:$C$313&amp;D_技能表CD!$E$2:$E$313,D_技能表CD!$H$2:$H$313),2,FALSE),0)</f>
        <v>0</v>
      </c>
      <c r="BK45">
        <f t="array" aca="1" ref="BK45" ca="1">IFERROR(VLOOKUP(BI$5&amp;$AV45,CHOOSE({1,2},D_技能表CD!$C$2:$C$313&amp;D_技能表CD!$E$2:$E$313,D_技能表CD!$L$2:$L$313),2,FALSE),0)</f>
        <v>0</v>
      </c>
      <c r="BL45">
        <f t="array" aca="1" ref="BL45" ca="1">IFERROR(VLOOKUP(BI$5&amp;$AV45,CHOOSE({1,2},D_技能表CD!$C$2:$C$313&amp;D_技能表CD!$E$2:$E$313,D_技能表CD!$K$2:$K$313),2,FALSE),0)</f>
        <v>0</v>
      </c>
    </row>
    <row r="46" spans="1:64" x14ac:dyDescent="0.15">
      <c r="A46">
        <f t="shared" ca="1" si="0"/>
        <v>1814704</v>
      </c>
      <c r="B46" s="33">
        <f ca="1">SUM($E$7:E46,$I$7:I46,$M$7:M46,$Q$7:Q46,$U$7:U46,$Y$7:Y46,$AC$7:AC46,$AG$7:AG46,$AK$7:AK46,$AO$7:AO46)</f>
        <v>1326904</v>
      </c>
      <c r="C46">
        <v>40</v>
      </c>
      <c r="D46">
        <f t="array" aca="1" ref="D46" ca="1">IFERROR(VLOOKUP($D$5&amp;C46,CHOOSE({1,2},D_技能表!$C$2:$C$1210&amp;D_技能表!$E$2:$E$1210,D_技能表!$I$2:$I$1210),2,FALSE),0)</f>
        <v>0</v>
      </c>
      <c r="E46">
        <f t="array" aca="1" ref="E46" ca="1">IFERROR(VLOOKUP($D$5&amp;$C46,CHOOSE({1,2},D_技能表!$C$2:$C$1210&amp;D_技能表!$E$2:$E$1210,D_技能表!$N$2:$N$1210),2,FALSE),0)</f>
        <v>0</v>
      </c>
      <c r="F46">
        <f t="array" aca="1" ref="F46" ca="1">IFERROR(VLOOKUP($D$5&amp;$C46,CHOOSE({1,2},D_技能表!$C$2:$C$1210&amp;D_技能表!$E$2:$E$1210,D_技能表!$W$2:$W$1210),2,FALSE),0)</f>
        <v>0</v>
      </c>
      <c r="G46">
        <f t="array" aca="1" ref="G46" ca="1">IFERROR(VLOOKUP($D$5&amp;$C46,CHOOSE({1,2},D_技能表!$C$2:$C$1210&amp;D_技能表!$E$2:$E$1210,D_技能表!$Z$2:$Z$1210),2,FALSE),0)</f>
        <v>0</v>
      </c>
      <c r="H46">
        <f t="array" aca="1" ref="H46" ca="1">IFERROR(VLOOKUP($H$5&amp;$C46,CHOOSE({1,2},D_技能表!$C$2:$C$1210&amp;D_技能表!$E$2:$E$1210,D_技能表!$I$2:$I$1210),2,FALSE),0)</f>
        <v>24</v>
      </c>
      <c r="I46">
        <f t="array" aca="1" ref="I46" ca="1">IFERROR(VLOOKUP($H$5&amp;$C46,CHOOSE({1,2},D_技能表!$C$2:$C$1210&amp;D_技能表!$E$2:$E$1210,D_技能表!$N$2:$N$1210),2,FALSE),0)</f>
        <v>16966</v>
      </c>
      <c r="J46">
        <f t="array" aca="1" ref="J46" ca="1">IFERROR(VLOOKUP($H$5&amp;$C46,CHOOSE({1,2},D_技能表!$C$2:$C$1210&amp;D_技能表!$E$2:$E$1210,D_技能表!$W$2:$W$1210),2,FALSE),0)</f>
        <v>17</v>
      </c>
      <c r="K46">
        <f t="array" aca="1" ref="K46" ca="1">IFERROR(VLOOKUP($H$5&amp;$C46,CHOOSE({1,2},D_技能表!$C$2:$C$1210&amp;D_技能表!$E$2:$E$1210,D_技能表!$Z$2:$Z$1210),2,FALSE),0)</f>
        <v>7</v>
      </c>
      <c r="L46">
        <f t="array" aca="1" ref="L46" ca="1">IFERROR(VLOOKUP($L$5&amp;$C46,CHOOSE({1,2},D_技能表!$C$2:$C$1210&amp;D_技能表!$E$2:$E$1210,D_技能表!$I$2:$I$1210),2,FALSE),0)</f>
        <v>24</v>
      </c>
      <c r="M46">
        <f t="array" aca="1" ref="M46" ca="1">IFERROR(VLOOKUP($L$5&amp;$C46,CHOOSE({1,2},D_技能表!$C$2:$C$1210&amp;D_技能表!$E$2:$E$1210,D_技能表!$N$2:$N$1210),2,FALSE),0)</f>
        <v>16966</v>
      </c>
      <c r="N46">
        <f t="array" aca="1" ref="N46" ca="1">IFERROR(VLOOKUP($L$5&amp;$C46,CHOOSE({1,2},D_技能表!$C$2:$C$1210&amp;D_技能表!$E$2:$E$1210,D_技能表!$W$2:$W$1210),2,FALSE),0)</f>
        <v>17</v>
      </c>
      <c r="O46">
        <f t="array" aca="1" ref="O46" ca="1">IFERROR(VLOOKUP($L$5&amp;$C46,CHOOSE({1,2},D_技能表!$C$2:$C$1210&amp;D_技能表!$E$2:$E$1210,D_技能表!$Z$2:$Z$1210),2,FALSE),0)</f>
        <v>7</v>
      </c>
      <c r="P46">
        <f t="array" aca="1" ref="P46" ca="1">IFERROR(VLOOKUP($P$5&amp;$C46,CHOOSE({1,2},D_技能表!$C$2:$C$1210&amp;D_技能表!$E$2:$E$1210,D_技能表!$I$2:$I$1210),2,FALSE),0)</f>
        <v>0</v>
      </c>
      <c r="Q46">
        <f t="array" aca="1" ref="Q46" ca="1">IFERROR(VLOOKUP($P$5&amp;$C46,CHOOSE({1,2},D_技能表!$C$2:$C$1210&amp;D_技能表!$E$2:$E$1210,D_技能表!$N$2:$N$1210),2,FALSE),0)</f>
        <v>0</v>
      </c>
      <c r="R46">
        <f t="array" aca="1" ref="R46" ca="1">IFERROR(VLOOKUP($P$5&amp;$C46,CHOOSE({1,2},D_技能表!$C$2:$C$1210&amp;D_技能表!$E$2:$E$1210,D_技能表!$W$2:$W$1210),2,FALSE),0)</f>
        <v>0</v>
      </c>
      <c r="S46">
        <f t="array" aca="1" ref="S46" ca="1">IFERROR(VLOOKUP($P$5&amp;$C46,CHOOSE({1,2},D_技能表!$C$2:$C$1210&amp;D_技能表!$E$2:$E$1210,D_技能表!$Z$2:$Z$1210),2,FALSE),0)</f>
        <v>0</v>
      </c>
      <c r="T46">
        <f t="array" aca="1" ref="T46" ca="1">IFERROR(VLOOKUP($T$5&amp;$C46,CHOOSE({1,2},D_技能表!$C$2:$C$1210&amp;D_技能表!$E$2:$E$1210,D_技能表!$I$2:$I$1210),2,FALSE),0)</f>
        <v>22</v>
      </c>
      <c r="U46">
        <f t="array" aca="1" ref="U46" ca="1">IFERROR(VLOOKUP($T$5&amp;$C46,CHOOSE({1,2},D_技能表!$C$2:$C$1210&amp;D_技能表!$E$2:$E$1210,D_技能表!$N$2:$N$1210),2,FALSE),0)</f>
        <v>24950</v>
      </c>
      <c r="V46">
        <f t="array" aca="1" ref="V46" ca="1">IFERROR(VLOOKUP($T$5&amp;$C46,CHOOSE({1,2},D_技能表!$C$2:$C$1210&amp;D_技能表!$E$2:$E$1210,D_技能表!$W$2:$W$1210),2,FALSE),0)</f>
        <v>25</v>
      </c>
      <c r="W46">
        <f t="array" aca="1" ref="W46" ca="1">IFERROR(VLOOKUP($T$5&amp;$C46,CHOOSE({1,2},D_技能表!$C$2:$C$1210&amp;D_技能表!$E$2:$E$1210,D_技能表!$Z$2:$Z$1210),2,FALSE),0)</f>
        <v>10</v>
      </c>
      <c r="X46">
        <f t="array" aca="1" ref="X46" ca="1">IFERROR(VLOOKUP($X$5&amp;$C46,CHOOSE({1,2},D_技能表!$C$2:$C$1210&amp;D_技能表!$E$2:$E$1210,D_技能表!$I$2:$I$1210),2,FALSE),0)</f>
        <v>23</v>
      </c>
      <c r="Y46">
        <f t="array" aca="1" ref="Y46" ca="1">IFERROR(VLOOKUP($X$5&amp;$C46,CHOOSE({1,2},D_技能表!$C$2:$C$1210&amp;D_技能表!$E$2:$E$1210,D_技能表!$N$2:$N$1210),2,FALSE),0)</f>
        <v>35928</v>
      </c>
      <c r="Z46">
        <f t="array" aca="1" ref="Z46" ca="1">IFERROR(VLOOKUP($X$5&amp;$C46,CHOOSE({1,2},D_技能表!$C$2:$C$1210&amp;D_技能表!$E$2:$E$1210,D_技能表!$W$2:$W$1210),2,FALSE),0)</f>
        <v>36</v>
      </c>
      <c r="AA46">
        <f t="array" aca="1" ref="AA46" ca="1">IFERROR(VLOOKUP($X$5&amp;$C46,CHOOSE({1,2},D_技能表!$C$2:$C$1210&amp;D_技能表!$E$2:$E$1210,D_技能表!$Z$2:$Z$1210),2,FALSE),0)</f>
        <v>15</v>
      </c>
      <c r="AB46">
        <f t="array" aca="1" ref="AB46" ca="1">IFERROR(VLOOKUP($AB$5&amp;$C46,CHOOSE({1,2},D_技能表!$C$2:$C$1210&amp;D_技能表!$E$2:$E$1210,D_技能表!$I$2:$I$1210),2,FALSE),0)</f>
        <v>23</v>
      </c>
      <c r="AC46">
        <f t="array" aca="1" ref="AC46" ca="1">IFERROR(VLOOKUP($AB$5&amp;$C46,CHOOSE({1,2},D_技能表!$C$2:$C$1210&amp;D_技能表!$E$2:$E$1210,D_技能表!$N$2:$N$1210),2,FALSE),0)</f>
        <v>16966</v>
      </c>
      <c r="AD46">
        <f t="array" aca="1" ref="AD46" ca="1">IFERROR(VLOOKUP($AB$5&amp;$C46,CHOOSE({1,2},D_技能表!$C$2:$C$1210&amp;D_技能表!$E$2:$E$1210,D_技能表!$W$2:$W$1210),2,FALSE),0)</f>
        <v>17</v>
      </c>
      <c r="AE46">
        <f t="array" aca="1" ref="AE46" ca="1">IFERROR(VLOOKUP($AB$5&amp;$C46,CHOOSE({1,2},D_技能表!$C$2:$C$1210&amp;D_技能表!$E$2:$E$1210,D_技能表!$Z$2:$Z$1210),2,FALSE),0)</f>
        <v>7</v>
      </c>
      <c r="AF46">
        <f t="array" aca="1" ref="AF46" ca="1">IFERROR(VLOOKUP($AF$5&amp;$C46,CHOOSE({1,2},D_技能表!$C$2:$C$1210&amp;D_技能表!$E$2:$E$1210,D_技能表!$I$2:$I$1210),2,FALSE),0)</f>
        <v>22</v>
      </c>
      <c r="AG46">
        <f t="array" aca="1" ref="AG46" ca="1">IFERROR(VLOOKUP($AF$5&amp;$C46,CHOOSE({1,2},D_技能表!$C$2:$C$1210&amp;D_技能表!$E$2:$E$1210,D_技能表!$N$2:$N$1210),2,FALSE),0)</f>
        <v>13972</v>
      </c>
      <c r="AH46">
        <f t="array" aca="1" ref="AH46" ca="1">IFERROR(VLOOKUP($AF$5&amp;$C46,CHOOSE({1,2},D_技能表!$C$2:$C$1210&amp;D_技能表!$E$2:$E$1210,D_技能表!$W$2:$W$1210),2,FALSE),0)</f>
        <v>14</v>
      </c>
      <c r="AI46">
        <f t="array" aca="1" ref="AI46" ca="1">IFERROR(VLOOKUP($AF$5&amp;$C46,CHOOSE({1,2},D_技能表!$C$2:$C$1210&amp;D_技能表!$E$2:$E$1210,D_技能表!$Z$2:$Z$1210),2,FALSE),0)</f>
        <v>6</v>
      </c>
      <c r="AJ46">
        <f t="array" aca="1" ref="AJ46" ca="1">IFERROR(VLOOKUP($AJ$5&amp;$C46,CHOOSE({1,2},D_技能表!$C$2:$C$1210&amp;D_技能表!$E$2:$E$1210,D_技能表!$I$2:$I$1210),2,FALSE),0)</f>
        <v>0</v>
      </c>
      <c r="AK46">
        <f t="array" aca="1" ref="AK46" ca="1">IFERROR(VLOOKUP($AJ$5&amp;$C46,CHOOSE({1,2},D_技能表!$C$2:$C$1210&amp;D_技能表!$E$2:$E$1210,D_技能表!$N$2:$N$1210),2,FALSE),0)</f>
        <v>0</v>
      </c>
      <c r="AL46">
        <f t="array" aca="1" ref="AL46" ca="1">IFERROR(VLOOKUP($AJ$5&amp;$C46,CHOOSE({1,2},D_技能表!$C$2:$C$1210&amp;D_技能表!$E$2:$E$1210,D_技能表!$W$2:$W$1210),2,FALSE),0)</f>
        <v>0</v>
      </c>
      <c r="AM46">
        <f t="array" aca="1" ref="AM46" ca="1">IFERROR(VLOOKUP($AJ$5&amp;$C46,CHOOSE({1,2},D_技能表!$C$2:$C$1210&amp;D_技能表!$E$2:$E$1210,D_技能表!$Z$2:$Z$1210),2,FALSE),0)</f>
        <v>0</v>
      </c>
      <c r="AN46">
        <f t="array" aca="1" ref="AN46" ca="1">IFERROR(VLOOKUP($AN$5&amp;$C46,CHOOSE({1,2},D_技能表!$C$2:$C$1210&amp;D_技能表!$E$2:$E$1210,D_技能表!$I$2:$I$1210),2,FALSE),0)</f>
        <v>0</v>
      </c>
      <c r="AO46">
        <f t="array" aca="1" ref="AO46" ca="1">IFERROR(VLOOKUP($AN$5&amp;$C46,CHOOSE({1,2},D_技能表!$C$2:$C$1210&amp;D_技能表!$E$2:$E$1210,D_技能表!$N$2:$N$1210),2,FALSE),0)</f>
        <v>0</v>
      </c>
      <c r="AP46">
        <f t="array" aca="1" ref="AP46" ca="1">IFERROR(VLOOKUP($AN$5&amp;$C46,CHOOSE({1,2},D_技能表!$C$2:$C$1210&amp;D_技能表!$E$2:$E$1210,D_技能表!$W$2:$W$1210),2,FALSE),0)</f>
        <v>0</v>
      </c>
      <c r="AQ46">
        <f t="array" aca="1" ref="AQ46" ca="1">IFERROR(VLOOKUP($AN$5&amp;$C46,CHOOSE({1,2},D_技能表!$C$2:$C$1210&amp;D_技能表!$E$2:$E$1210,D_技能表!$Z$2:$Z$1210),2,FALSE),0)</f>
        <v>0</v>
      </c>
      <c r="AR46" s="11">
        <f ca="1">SUM($G$7:G47,$K$7:K47,$O$7:O47,$S$7:S47,$W$7:W47,$AA$7:AA47,$AE$7:AE47,$AI$7:AI47,$AM$7:AM47,$AQ$7:AQ47)</f>
        <v>506</v>
      </c>
      <c r="AS46">
        <f ca="1">SUM($F$7:F47,$J$7:J47,$N$7:N47,$R$7:R47,$V$7:V47,$Z$7:Z47,$AD$7:AD47,$AH$7:AH47,$AL$7:AL47,$AP$7:AP47)</f>
        <v>2700</v>
      </c>
      <c r="AT46">
        <f t="shared" ca="1" si="1"/>
        <v>126</v>
      </c>
      <c r="AU46" s="33">
        <f ca="1">SUM($AX$7:AX46,$BB$7:BB46,$BF$7:BF46,$BJ$7:BJ46)</f>
        <v>487800</v>
      </c>
      <c r="AV46">
        <v>40</v>
      </c>
      <c r="AW46">
        <f t="array" ref="AW46">IFERROR(VLOOKUP(AW$5&amp;$AV46,CHOOSE({1,2},D_技能表CD!$C$2:$C$313&amp;D_技能表CD!$E$2:$E$313,D_技能表CD!$I$2:$I$313),2,FALSE),0)</f>
        <v>14</v>
      </c>
      <c r="AX46">
        <f t="array" aca="1" ref="AX46" ca="1">IFERROR(VLOOKUP(AW$5&amp;$AV46,CHOOSE({1,2},D_技能表CD!$C$2:$C$313&amp;D_技能表CD!$E$2:$E$313,D_技能表CD!$H$2:$H$313),2,FALSE),0)</f>
        <v>21950</v>
      </c>
      <c r="AY46">
        <f t="array" aca="1" ref="AY46" ca="1">IFERROR(VLOOKUP(AW$5&amp;$AV46,CHOOSE({1,2},D_技能表CD!$C$2:$C$313&amp;D_技能表CD!$E$2:$E$313,D_技能表CD!$L$2:$L$313),2,FALSE),0)</f>
        <v>71</v>
      </c>
      <c r="AZ46">
        <f t="array" aca="1" ref="AZ46" ca="1">IFERROR(VLOOKUP(AW$5&amp;$AV46,CHOOSE({1,2},D_技能表CD!$C$2:$C$313&amp;D_技能表CD!$E$2:$E$313,D_技能表CD!$K$2:$K$313),2,FALSE),0)</f>
        <v>102</v>
      </c>
      <c r="BA46">
        <f t="array" ref="BA46">IFERROR(VLOOKUP(BA$5&amp;$AV46,CHOOSE({1,2},D_技能表CD!$C$2:$C$313&amp;D_技能表CD!$E$2:$E$313,D_技能表CD!$I$2:$I$313),2,FALSE),0)</f>
        <v>0</v>
      </c>
      <c r="BB46">
        <f t="array" aca="1" ref="BB46" ca="1">IFERROR(VLOOKUP(BA$5&amp;$AV46,CHOOSE({1,2},D_技能表CD!$C$2:$C$313&amp;D_技能表CD!$E$2:$E$313,D_技能表CD!$H$2:$H$313),2,FALSE),0)</f>
        <v>0</v>
      </c>
      <c r="BC46">
        <f t="array" aca="1" ref="BC46" ca="1">IFERROR(VLOOKUP(BA$5&amp;$AV46,CHOOSE({1,2},D_技能表CD!$C$2:$C$313&amp;D_技能表CD!$E$2:$E$313,D_技能表CD!$L$2:$L$313),2,FALSE),0)</f>
        <v>0</v>
      </c>
      <c r="BD46">
        <f t="array" aca="1" ref="BD46" ca="1">IFERROR(VLOOKUP(BA$5&amp;$AV46,CHOOSE({1,2},D_技能表CD!$C$2:$C$313&amp;D_技能表CD!$E$2:$E$313,D_技能表CD!$K$2:$K$313),2,FALSE),0)</f>
        <v>0</v>
      </c>
      <c r="BE46">
        <f t="array" ref="BE46">IFERROR(VLOOKUP(BE$5&amp;$AV46,CHOOSE({1,2},D_技能表CD!$C$2:$C$313&amp;D_技能表CD!$E$2:$E$313,D_技能表CD!$I$2:$I$313),2,FALSE),0)</f>
        <v>13</v>
      </c>
      <c r="BF46">
        <f t="array" aca="1" ref="BF46" ca="1">IFERROR(VLOOKUP(BE$5&amp;$AV46,CHOOSE({1,2},D_技能表CD!$C$2:$C$313&amp;D_技能表CD!$E$2:$E$313,D_技能表CD!$H$2:$H$313),2,FALSE),0)</f>
        <v>15750</v>
      </c>
      <c r="BG46">
        <f t="array" aca="1" ref="BG46" ca="1">IFERROR(VLOOKUP(BE$5&amp;$AV46,CHOOSE({1,2},D_技能表CD!$C$2:$C$313&amp;D_技能表CD!$E$2:$E$313,D_技能表CD!$L$2:$L$313),2,FALSE),0)</f>
        <v>52</v>
      </c>
      <c r="BH46">
        <f t="array" aca="1" ref="BH46" ca="1">IFERROR(VLOOKUP(BE$5&amp;$AV46,CHOOSE({1,2},D_技能表CD!$C$2:$C$313&amp;D_技能表CD!$E$2:$E$313,D_技能表CD!$K$2:$K$313),2,FALSE),0)</f>
        <v>67</v>
      </c>
      <c r="BI46">
        <f t="array" ref="BI46">IFERROR(VLOOKUP(BI$5&amp;$AV46,CHOOSE({1,2},D_技能表CD!$C$2:$C$313&amp;D_技能表CD!$E$2:$E$313,D_技能表CD!$I$2:$I$313),2,FALSE),0)</f>
        <v>0</v>
      </c>
      <c r="BJ46">
        <f t="array" aca="1" ref="BJ46" ca="1">IFERROR(VLOOKUP(BI$5&amp;$AV46,CHOOSE({1,2},D_技能表CD!$C$2:$C$313&amp;D_技能表CD!$E$2:$E$313,D_技能表CD!$H$2:$H$313),2,FALSE),0)</f>
        <v>0</v>
      </c>
      <c r="BK46">
        <f t="array" aca="1" ref="BK46" ca="1">IFERROR(VLOOKUP(BI$5&amp;$AV46,CHOOSE({1,2},D_技能表CD!$C$2:$C$313&amp;D_技能表CD!$E$2:$E$313,D_技能表CD!$L$2:$L$313),2,FALSE),0)</f>
        <v>0</v>
      </c>
      <c r="BL46">
        <f t="array" aca="1" ref="BL46" ca="1">IFERROR(VLOOKUP(BI$5&amp;$AV46,CHOOSE({1,2},D_技能表CD!$C$2:$C$313&amp;D_技能表CD!$E$2:$E$313,D_技能表CD!$K$2:$K$313),2,FALSE),0)</f>
        <v>0</v>
      </c>
    </row>
    <row r="47" spans="1:64" x14ac:dyDescent="0.15">
      <c r="A47">
        <f t="shared" ca="1" si="0"/>
        <v>2007154</v>
      </c>
      <c r="B47" s="33">
        <f ca="1">SUM($E$7:E47,$I$7:I47,$M$7:M47,$Q$7:Q47,$U$7:U47,$Y$7:Y47,$AC$7:AC47,$AG$7:AG47,$AK$7:AK47,$AO$7:AO47)</f>
        <v>1484854</v>
      </c>
      <c r="C47">
        <v>41</v>
      </c>
      <c r="D47">
        <f t="array" aca="1" ref="D47" ca="1">IFERROR(VLOOKUP($D$5&amp;C47,CHOOSE({1,2},D_技能表!$C$2:$C$1210&amp;D_技能表!$E$2:$E$1210,D_技能表!$I$2:$I$1210),2,FALSE),0)</f>
        <v>25</v>
      </c>
      <c r="E47">
        <f t="array" aca="1" ref="E47" ca="1">IFERROR(VLOOKUP($D$5&amp;$C47,CHOOSE({1,2},D_技能表!$C$2:$C$1210&amp;D_技能表!$E$2:$E$1210,D_技能表!$N$2:$N$1210),2,FALSE),0)</f>
        <v>45279</v>
      </c>
      <c r="F47">
        <f t="array" aca="1" ref="F47" ca="1">IFERROR(VLOOKUP($D$5&amp;$C47,CHOOSE({1,2},D_技能表!$C$2:$C$1210&amp;D_技能表!$E$2:$E$1210,D_技能表!$W$2:$W$1210),2,FALSE),0)</f>
        <v>43</v>
      </c>
      <c r="G47">
        <f t="array" aca="1" ref="G47" ca="1">IFERROR(VLOOKUP($D$5&amp;$C47,CHOOSE({1,2},D_技能表!$C$2:$C$1210&amp;D_技能表!$E$2:$E$1210,D_技能表!$Z$2:$Z$1210),2,FALSE),0)</f>
        <v>18</v>
      </c>
      <c r="H47">
        <f t="array" aca="1" ref="H47" ca="1">IFERROR(VLOOKUP($H$5&amp;$C47,CHOOSE({1,2},D_技能表!$C$2:$C$1210&amp;D_技能表!$E$2:$E$1210,D_技能表!$I$2:$I$1210),2,FALSE),0)</f>
        <v>0</v>
      </c>
      <c r="I47">
        <f t="array" aca="1" ref="I47" ca="1">IFERROR(VLOOKUP($H$5&amp;$C47,CHOOSE({1,2},D_技能表!$C$2:$C$1210&amp;D_技能表!$E$2:$E$1210,D_技能表!$N$2:$N$1210),2,FALSE),0)</f>
        <v>0</v>
      </c>
      <c r="J47">
        <f t="array" aca="1" ref="J47" ca="1">IFERROR(VLOOKUP($H$5&amp;$C47,CHOOSE({1,2},D_技能表!$C$2:$C$1210&amp;D_技能表!$E$2:$E$1210,D_技能表!$W$2:$W$1210),2,FALSE),0)</f>
        <v>0</v>
      </c>
      <c r="K47">
        <f t="array" aca="1" ref="K47" ca="1">IFERROR(VLOOKUP($H$5&amp;$C47,CHOOSE({1,2},D_技能表!$C$2:$C$1210&amp;D_技能表!$E$2:$E$1210,D_技能表!$Z$2:$Z$1210),2,FALSE),0)</f>
        <v>0</v>
      </c>
      <c r="L47">
        <f t="array" aca="1" ref="L47" ca="1">IFERROR(VLOOKUP($L$5&amp;$C47,CHOOSE({1,2},D_技能表!$C$2:$C$1210&amp;D_技能表!$E$2:$E$1210,D_技能表!$I$2:$I$1210),2,FALSE),0)</f>
        <v>0</v>
      </c>
      <c r="M47">
        <f t="array" aca="1" ref="M47" ca="1">IFERROR(VLOOKUP($L$5&amp;$C47,CHOOSE({1,2},D_技能表!$C$2:$C$1210&amp;D_技能表!$E$2:$E$1210,D_技能表!$N$2:$N$1210),2,FALSE),0)</f>
        <v>0</v>
      </c>
      <c r="N47">
        <f t="array" aca="1" ref="N47" ca="1">IFERROR(VLOOKUP($L$5&amp;$C47,CHOOSE({1,2},D_技能表!$C$2:$C$1210&amp;D_技能表!$E$2:$E$1210,D_技能表!$W$2:$W$1210),2,FALSE),0)</f>
        <v>0</v>
      </c>
      <c r="O47">
        <f t="array" aca="1" ref="O47" ca="1">IFERROR(VLOOKUP($L$5&amp;$C47,CHOOSE({1,2},D_技能表!$C$2:$C$1210&amp;D_技能表!$E$2:$E$1210,D_技能表!$Z$2:$Z$1210),2,FALSE),0)</f>
        <v>0</v>
      </c>
      <c r="P47">
        <f t="array" aca="1" ref="P47" ca="1">IFERROR(VLOOKUP($P$5&amp;$C47,CHOOSE({1,2},D_技能表!$C$2:$C$1210&amp;D_技能表!$E$2:$E$1210,D_技能表!$I$2:$I$1210),2,FALSE),0)</f>
        <v>23</v>
      </c>
      <c r="Q47">
        <f t="array" aca="1" ref="Q47" ca="1">IFERROR(VLOOKUP($P$5&amp;$C47,CHOOSE({1,2},D_技能表!$C$2:$C$1210&amp;D_技能表!$E$2:$E$1210,D_技能表!$N$2:$N$1210),2,FALSE),0)</f>
        <v>16848</v>
      </c>
      <c r="R47">
        <f t="array" aca="1" ref="R47" ca="1">IFERROR(VLOOKUP($P$5&amp;$C47,CHOOSE({1,2},D_技能表!$C$2:$C$1210&amp;D_技能表!$E$2:$E$1210,D_技能表!$W$2:$W$1210),2,FALSE),0)</f>
        <v>16</v>
      </c>
      <c r="S47">
        <f t="array" aca="1" ref="S47" ca="1">IFERROR(VLOOKUP($P$5&amp;$C47,CHOOSE({1,2},D_技能表!$C$2:$C$1210&amp;D_技能表!$E$2:$E$1210,D_技能表!$Z$2:$Z$1210),2,FALSE),0)</f>
        <v>7</v>
      </c>
      <c r="T47">
        <f t="array" aca="1" ref="T47" ca="1">IFERROR(VLOOKUP($T$5&amp;$C47,CHOOSE({1,2},D_技能表!$C$2:$C$1210&amp;D_技能表!$E$2:$E$1210,D_技能表!$I$2:$I$1210),2,FALSE),0)</f>
        <v>0</v>
      </c>
      <c r="U47">
        <f t="array" aca="1" ref="U47" ca="1">IFERROR(VLOOKUP($T$5&amp;$C47,CHOOSE({1,2},D_技能表!$C$2:$C$1210&amp;D_技能表!$E$2:$E$1210,D_技能表!$N$2:$N$1210),2,FALSE),0)</f>
        <v>0</v>
      </c>
      <c r="V47">
        <f t="array" aca="1" ref="V47" ca="1">IFERROR(VLOOKUP($T$5&amp;$C47,CHOOSE({1,2},D_技能表!$C$2:$C$1210&amp;D_技能表!$E$2:$E$1210,D_技能表!$W$2:$W$1210),2,FALSE),0)</f>
        <v>0</v>
      </c>
      <c r="W47">
        <f t="array" aca="1" ref="W47" ca="1">IFERROR(VLOOKUP($T$5&amp;$C47,CHOOSE({1,2},D_技能表!$C$2:$C$1210&amp;D_技能表!$E$2:$E$1210,D_技能表!$Z$2:$Z$1210),2,FALSE),0)</f>
        <v>0</v>
      </c>
      <c r="X47">
        <f t="array" aca="1" ref="X47" ca="1">IFERROR(VLOOKUP($X$5&amp;$C47,CHOOSE({1,2},D_技能表!$C$2:$C$1210&amp;D_技能表!$E$2:$E$1210,D_技能表!$I$2:$I$1210),2,FALSE),0)</f>
        <v>24</v>
      </c>
      <c r="Y47">
        <f t="array" aca="1" ref="Y47" ca="1">IFERROR(VLOOKUP($X$5&amp;$C47,CHOOSE({1,2},D_技能表!$C$2:$C$1210&amp;D_技能表!$E$2:$E$1210,D_技能表!$N$2:$N$1210),2,FALSE),0)</f>
        <v>40014</v>
      </c>
      <c r="Z47">
        <f t="array" aca="1" ref="Z47" ca="1">IFERROR(VLOOKUP($X$5&amp;$C47,CHOOSE({1,2},D_技能表!$C$2:$C$1210&amp;D_技能表!$E$2:$E$1210,D_技能表!$W$2:$W$1210),2,FALSE),0)</f>
        <v>38</v>
      </c>
      <c r="AA47">
        <f t="array" aca="1" ref="AA47" ca="1">IFERROR(VLOOKUP($X$5&amp;$C47,CHOOSE({1,2},D_技能表!$C$2:$C$1210&amp;D_技能表!$E$2:$E$1210,D_技能表!$Z$2:$Z$1210),2,FALSE),0)</f>
        <v>16</v>
      </c>
      <c r="AB47">
        <f t="array" aca="1" ref="AB47" ca="1">IFERROR(VLOOKUP($AB$5&amp;$C47,CHOOSE({1,2},D_技能表!$C$2:$C$1210&amp;D_技能表!$E$2:$E$1210,D_技能表!$I$2:$I$1210),2,FALSE),0)</f>
        <v>0</v>
      </c>
      <c r="AC47">
        <f t="array" aca="1" ref="AC47" ca="1">IFERROR(VLOOKUP($AB$5&amp;$C47,CHOOSE({1,2},D_技能表!$C$2:$C$1210&amp;D_技能表!$E$2:$E$1210,D_技能表!$N$2:$N$1210),2,FALSE),0)</f>
        <v>0</v>
      </c>
      <c r="AD47">
        <f t="array" aca="1" ref="AD47" ca="1">IFERROR(VLOOKUP($AB$5&amp;$C47,CHOOSE({1,2},D_技能表!$C$2:$C$1210&amp;D_技能表!$E$2:$E$1210,D_技能表!$W$2:$W$1210),2,FALSE),0)</f>
        <v>0</v>
      </c>
      <c r="AE47">
        <f t="array" aca="1" ref="AE47" ca="1">IFERROR(VLOOKUP($AB$5&amp;$C47,CHOOSE({1,2},D_技能表!$C$2:$C$1210&amp;D_技能表!$E$2:$E$1210,D_技能表!$Z$2:$Z$1210),2,FALSE),0)</f>
        <v>0</v>
      </c>
      <c r="AF47">
        <f t="array" aca="1" ref="AF47" ca="1">IFERROR(VLOOKUP($AF$5&amp;$C47,CHOOSE({1,2},D_技能表!$C$2:$C$1210&amp;D_技能表!$E$2:$E$1210,D_技能表!$I$2:$I$1210),2,FALSE),0)</f>
        <v>23</v>
      </c>
      <c r="AG47">
        <f t="array" aca="1" ref="AG47" ca="1">IFERROR(VLOOKUP($AF$5&amp;$C47,CHOOSE({1,2},D_技能表!$C$2:$C$1210&amp;D_技能表!$E$2:$E$1210,D_技能表!$N$2:$N$1210),2,FALSE),0)</f>
        <v>15795</v>
      </c>
      <c r="AH47">
        <f t="array" aca="1" ref="AH47" ca="1">IFERROR(VLOOKUP($AF$5&amp;$C47,CHOOSE({1,2},D_技能表!$C$2:$C$1210&amp;D_技能表!$E$2:$E$1210,D_技能表!$W$2:$W$1210),2,FALSE),0)</f>
        <v>15</v>
      </c>
      <c r="AI47">
        <f t="array" aca="1" ref="AI47" ca="1">IFERROR(VLOOKUP($AF$5&amp;$C47,CHOOSE({1,2},D_技能表!$C$2:$C$1210&amp;D_技能表!$E$2:$E$1210,D_技能表!$Z$2:$Z$1210),2,FALSE),0)</f>
        <v>6</v>
      </c>
      <c r="AJ47">
        <f t="array" aca="1" ref="AJ47" ca="1">IFERROR(VLOOKUP($AJ$5&amp;$C47,CHOOSE({1,2},D_技能表!$C$2:$C$1210&amp;D_技能表!$E$2:$E$1210,D_技能表!$I$2:$I$1210),2,FALSE),0)</f>
        <v>22</v>
      </c>
      <c r="AK47">
        <f t="array" aca="1" ref="AK47" ca="1">IFERROR(VLOOKUP($AJ$5&amp;$C47,CHOOSE({1,2},D_技能表!$C$2:$C$1210&amp;D_技能表!$E$2:$E$1210,D_技能表!$N$2:$N$1210),2,FALSE),0)</f>
        <v>14742</v>
      </c>
      <c r="AL47">
        <f t="array" aca="1" ref="AL47" ca="1">IFERROR(VLOOKUP($AJ$5&amp;$C47,CHOOSE({1,2},D_技能表!$C$2:$C$1210&amp;D_技能表!$E$2:$E$1210,D_技能表!$W$2:$W$1210),2,FALSE),0)</f>
        <v>14</v>
      </c>
      <c r="AM47">
        <f t="array" aca="1" ref="AM47" ca="1">IFERROR(VLOOKUP($AJ$5&amp;$C47,CHOOSE({1,2},D_技能表!$C$2:$C$1210&amp;D_技能表!$E$2:$E$1210,D_技能表!$Z$2:$Z$1210),2,FALSE),0)</f>
        <v>6</v>
      </c>
      <c r="AN47">
        <f t="array" aca="1" ref="AN47" ca="1">IFERROR(VLOOKUP($AN$5&amp;$C47,CHOOSE({1,2},D_技能表!$C$2:$C$1210&amp;D_技能表!$E$2:$E$1210,D_技能表!$I$2:$I$1210),2,FALSE),0)</f>
        <v>21</v>
      </c>
      <c r="AO47">
        <f t="array" aca="1" ref="AO47" ca="1">IFERROR(VLOOKUP($AN$5&amp;$C47,CHOOSE({1,2},D_技能表!$C$2:$C$1210&amp;D_技能表!$E$2:$E$1210,D_技能表!$N$2:$N$1210),2,FALSE),0)</f>
        <v>25272</v>
      </c>
      <c r="AP47">
        <f t="array" aca="1" ref="AP47" ca="1">IFERROR(VLOOKUP($AN$5&amp;$C47,CHOOSE({1,2},D_技能表!$C$2:$C$1210&amp;D_技能表!$E$2:$E$1210,D_技能表!$W$2:$W$1210),2,FALSE),0)</f>
        <v>24</v>
      </c>
      <c r="AQ47">
        <f t="array" aca="1" ref="AQ47" ca="1">IFERROR(VLOOKUP($AN$5&amp;$C47,CHOOSE({1,2},D_技能表!$C$2:$C$1210&amp;D_技能表!$E$2:$E$1210,D_技能表!$Z$2:$Z$1210),2,FALSE),0)</f>
        <v>10</v>
      </c>
      <c r="AR47" s="11">
        <f ca="1">SUM($G$7:G48,$K$7:K48,$O$7:O48,$S$7:S48,$W$7:W48,$AA$7:AA48,$AE$7:AE48,$AI$7:AI48,$AM$7:AM48,$AQ$7:AQ48)</f>
        <v>565</v>
      </c>
      <c r="AS47">
        <f ca="1">SUM($F$7:F48,$J$7:J48,$N$7:N48,$R$7:R48,$V$7:V48,$Z$7:Z48,$AD$7:AD48,$AH$7:AH48,$AL$7:AL48,$AP$7:AP48)</f>
        <v>2841</v>
      </c>
      <c r="AT47">
        <f t="shared" ca="1" si="1"/>
        <v>150</v>
      </c>
      <c r="AU47" s="33">
        <f ca="1">SUM($AX$7:AX47,$BB$7:BB47,$BF$7:BF47,$BJ$7:BJ47)</f>
        <v>522300</v>
      </c>
      <c r="AV47">
        <v>41</v>
      </c>
      <c r="AW47">
        <f t="array" ref="AW47">IFERROR(VLOOKUP(AW$5&amp;$AV47,CHOOSE({1,2},D_技能表CD!$C$2:$C$313&amp;D_技能表CD!$E$2:$E$313,D_技能表CD!$I$2:$I$313),2,FALSE),0)</f>
        <v>0</v>
      </c>
      <c r="AX47">
        <f t="array" aca="1" ref="AX47" ca="1">IFERROR(VLOOKUP(AW$5&amp;$AV47,CHOOSE({1,2},D_技能表CD!$C$2:$C$313&amp;D_技能表CD!$E$2:$E$313,D_技能表CD!$H$2:$H$313),2,FALSE),0)</f>
        <v>0</v>
      </c>
      <c r="AY47">
        <f t="array" aca="1" ref="AY47" ca="1">IFERROR(VLOOKUP(AW$5&amp;$AV47,CHOOSE({1,2},D_技能表CD!$C$2:$C$313&amp;D_技能表CD!$E$2:$E$313,D_技能表CD!$L$2:$L$313),2,FALSE),0)</f>
        <v>0</v>
      </c>
      <c r="AZ47">
        <f t="array" aca="1" ref="AZ47" ca="1">IFERROR(VLOOKUP(AW$5&amp;$AV47,CHOOSE({1,2},D_技能表CD!$C$2:$C$313&amp;D_技能表CD!$E$2:$E$313,D_技能表CD!$K$2:$K$313),2,FALSE),0)</f>
        <v>0</v>
      </c>
      <c r="BA47">
        <f t="array" ref="BA47">IFERROR(VLOOKUP(BA$5&amp;$AV47,CHOOSE({1,2},D_技能表CD!$C$2:$C$313&amp;D_技能表CD!$E$2:$E$313,D_技能表CD!$I$2:$I$313),2,FALSE),0)</f>
        <v>0</v>
      </c>
      <c r="BB47">
        <f t="array" aca="1" ref="BB47" ca="1">IFERROR(VLOOKUP(BA$5&amp;$AV47,CHOOSE({1,2},D_技能表CD!$C$2:$C$313&amp;D_技能表CD!$E$2:$E$313,D_技能表CD!$H$2:$H$313),2,FALSE),0)</f>
        <v>0</v>
      </c>
      <c r="BC47">
        <f t="array" aca="1" ref="BC47" ca="1">IFERROR(VLOOKUP(BA$5&amp;$AV47,CHOOSE({1,2},D_技能表CD!$C$2:$C$313&amp;D_技能表CD!$E$2:$E$313,D_技能表CD!$L$2:$L$313),2,FALSE),0)</f>
        <v>0</v>
      </c>
      <c r="BD47">
        <f t="array" aca="1" ref="BD47" ca="1">IFERROR(VLOOKUP(BA$5&amp;$AV47,CHOOSE({1,2},D_技能表CD!$C$2:$C$313&amp;D_技能表CD!$E$2:$E$313,D_技能表CD!$K$2:$K$313),2,FALSE),0)</f>
        <v>0</v>
      </c>
      <c r="BE47">
        <f t="array" ref="BE47">IFERROR(VLOOKUP(BE$5&amp;$AV47,CHOOSE({1,2},D_技能表CD!$C$2:$C$313&amp;D_技能表CD!$E$2:$E$313,D_技能表CD!$I$2:$I$313),2,FALSE),0)</f>
        <v>0</v>
      </c>
      <c r="BF47">
        <f t="array" aca="1" ref="BF47" ca="1">IFERROR(VLOOKUP(BE$5&amp;$AV47,CHOOSE({1,2},D_技能表CD!$C$2:$C$313&amp;D_技能表CD!$E$2:$E$313,D_技能表CD!$H$2:$H$313),2,FALSE),0)</f>
        <v>0</v>
      </c>
      <c r="BG47">
        <f t="array" aca="1" ref="BG47" ca="1">IFERROR(VLOOKUP(BE$5&amp;$AV47,CHOOSE({1,2},D_技能表CD!$C$2:$C$313&amp;D_技能表CD!$E$2:$E$313,D_技能表CD!$L$2:$L$313),2,FALSE),0)</f>
        <v>0</v>
      </c>
      <c r="BH47">
        <f t="array" aca="1" ref="BH47" ca="1">IFERROR(VLOOKUP(BE$5&amp;$AV47,CHOOSE({1,2},D_技能表CD!$C$2:$C$313&amp;D_技能表CD!$E$2:$E$313,D_技能表CD!$K$2:$K$313),2,FALSE),0)</f>
        <v>0</v>
      </c>
      <c r="BI47">
        <f t="array" ref="BI47">IFERROR(VLOOKUP(BI$5&amp;$AV47,CHOOSE({1,2},D_技能表CD!$C$2:$C$313&amp;D_技能表CD!$E$2:$E$313,D_技能表CD!$I$2:$I$313),2,FALSE),0)</f>
        <v>13</v>
      </c>
      <c r="BJ47">
        <f t="array" aca="1" ref="BJ47" ca="1">IFERROR(VLOOKUP(BI$5&amp;$AV47,CHOOSE({1,2},D_技能表CD!$C$2:$C$313&amp;D_技能表CD!$E$2:$E$313,D_技能表CD!$H$2:$H$313),2,FALSE),0)</f>
        <v>34500</v>
      </c>
      <c r="BK47">
        <f t="array" aca="1" ref="BK47" ca="1">IFERROR(VLOOKUP(BI$5&amp;$AV47,CHOOSE({1,2},D_技能表CD!$C$2:$C$313&amp;D_技能表CD!$E$2:$E$313,D_技能表CD!$L$2:$L$313),2,FALSE),0)</f>
        <v>115</v>
      </c>
      <c r="BL47">
        <f t="array" aca="1" ref="BL47" ca="1">IFERROR(VLOOKUP(BI$5&amp;$AV47,CHOOSE({1,2},D_技能表CD!$C$2:$C$313&amp;D_技能表CD!$E$2:$E$313,D_技能表CD!$K$2:$K$313),2,FALSE),0)</f>
        <v>148</v>
      </c>
    </row>
    <row r="48" spans="1:64" x14ac:dyDescent="0.15">
      <c r="A48">
        <f t="shared" ca="1" si="0"/>
        <v>2205764</v>
      </c>
      <c r="B48" s="33">
        <f ca="1">SUM($E$7:E48,$I$7:I48,$M$7:M48,$Q$7:Q48,$U$7:U48,$Y$7:Y48,$AC$7:AC48,$AG$7:AG48,$AK$7:AK48,$AO$7:AO48)</f>
        <v>1641364</v>
      </c>
      <c r="C48">
        <v>42</v>
      </c>
      <c r="D48">
        <f t="array" aca="1" ref="D48" ca="1">IFERROR(VLOOKUP($D$5&amp;C48,CHOOSE({1,2},D_技能表!$C$2:$C$1210&amp;D_技能表!$E$2:$E$1210,D_技能表!$I$2:$I$1210),2,FALSE),0)</f>
        <v>0</v>
      </c>
      <c r="E48">
        <f t="array" aca="1" ref="E48" ca="1">IFERROR(VLOOKUP($D$5&amp;$C48,CHOOSE({1,2},D_技能表!$C$2:$C$1210&amp;D_技能表!$E$2:$E$1210,D_技能表!$N$2:$N$1210),2,FALSE),0)</f>
        <v>0</v>
      </c>
      <c r="F48">
        <f t="array" aca="1" ref="F48" ca="1">IFERROR(VLOOKUP($D$5&amp;$C48,CHOOSE({1,2},D_技能表!$C$2:$C$1210&amp;D_技能表!$E$2:$E$1210,D_技能表!$W$2:$W$1210),2,FALSE),0)</f>
        <v>0</v>
      </c>
      <c r="G48">
        <f t="array" aca="1" ref="G48" ca="1">IFERROR(VLOOKUP($D$5&amp;$C48,CHOOSE({1,2},D_技能表!$C$2:$C$1210&amp;D_技能表!$E$2:$E$1210,D_技能表!$Z$2:$Z$1210),2,FALSE),0)</f>
        <v>0</v>
      </c>
      <c r="H48">
        <f t="array" aca="1" ref="H48" ca="1">IFERROR(VLOOKUP($H$5&amp;$C48,CHOOSE({1,2},D_技能表!$C$2:$C$1210&amp;D_技能表!$E$2:$E$1210,D_技能表!$I$2:$I$1210),2,FALSE),0)</f>
        <v>25</v>
      </c>
      <c r="I48">
        <f t="array" aca="1" ref="I48" ca="1">IFERROR(VLOOKUP($H$5&amp;$C48,CHOOSE({1,2},D_技能表!$C$2:$C$1210&amp;D_技能表!$E$2:$E$1210,D_技能表!$N$2:$N$1210),2,FALSE),0)</f>
        <v>21090</v>
      </c>
      <c r="J48">
        <f t="array" aca="1" ref="J48" ca="1">IFERROR(VLOOKUP($H$5&amp;$C48,CHOOSE({1,2},D_技能表!$C$2:$C$1210&amp;D_技能表!$E$2:$E$1210,D_技能表!$W$2:$W$1210),2,FALSE),0)</f>
        <v>19</v>
      </c>
      <c r="K48">
        <f t="array" aca="1" ref="K48" ca="1">IFERROR(VLOOKUP($H$5&amp;$C48,CHOOSE({1,2},D_技能表!$C$2:$C$1210&amp;D_技能表!$E$2:$E$1210,D_技能表!$Z$2:$Z$1210),2,FALSE),0)</f>
        <v>8</v>
      </c>
      <c r="L48">
        <f t="array" aca="1" ref="L48" ca="1">IFERROR(VLOOKUP($L$5&amp;$C48,CHOOSE({1,2},D_技能表!$C$2:$C$1210&amp;D_技能表!$E$2:$E$1210,D_技能表!$I$2:$I$1210),2,FALSE),0)</f>
        <v>25</v>
      </c>
      <c r="M48">
        <f t="array" aca="1" ref="M48" ca="1">IFERROR(VLOOKUP($L$5&amp;$C48,CHOOSE({1,2},D_技能表!$C$2:$C$1210&amp;D_技能表!$E$2:$E$1210,D_技能表!$N$2:$N$1210),2,FALSE),0)</f>
        <v>21090</v>
      </c>
      <c r="N48">
        <f t="array" aca="1" ref="N48" ca="1">IFERROR(VLOOKUP($L$5&amp;$C48,CHOOSE({1,2},D_技能表!$C$2:$C$1210&amp;D_技能表!$E$2:$E$1210,D_技能表!$W$2:$W$1210),2,FALSE),0)</f>
        <v>19</v>
      </c>
      <c r="O48">
        <f t="array" aca="1" ref="O48" ca="1">IFERROR(VLOOKUP($L$5&amp;$C48,CHOOSE({1,2},D_技能表!$C$2:$C$1210&amp;D_技能表!$E$2:$E$1210,D_技能表!$Z$2:$Z$1210),2,FALSE),0)</f>
        <v>8</v>
      </c>
      <c r="P48">
        <f t="array" aca="1" ref="P48" ca="1">IFERROR(VLOOKUP($P$5&amp;$C48,CHOOSE({1,2},D_技能表!$C$2:$C$1210&amp;D_技能表!$E$2:$E$1210,D_技能表!$I$2:$I$1210),2,FALSE),0)</f>
        <v>24</v>
      </c>
      <c r="Q48">
        <f t="array" aca="1" ref="Q48" ca="1">IFERROR(VLOOKUP($P$5&amp;$C48,CHOOSE({1,2},D_技能表!$C$2:$C$1210&amp;D_技能表!$E$2:$E$1210,D_技能表!$N$2:$N$1210),2,FALSE),0)</f>
        <v>18870</v>
      </c>
      <c r="R48">
        <f t="array" aca="1" ref="R48" ca="1">IFERROR(VLOOKUP($P$5&amp;$C48,CHOOSE({1,2},D_技能表!$C$2:$C$1210&amp;D_技能表!$E$2:$E$1210,D_技能表!$W$2:$W$1210),2,FALSE),0)</f>
        <v>17</v>
      </c>
      <c r="S48">
        <f t="array" aca="1" ref="S48" ca="1">IFERROR(VLOOKUP($P$5&amp;$C48,CHOOSE({1,2},D_技能表!$C$2:$C$1210&amp;D_技能表!$E$2:$E$1210,D_技能表!$Z$2:$Z$1210),2,FALSE),0)</f>
        <v>7</v>
      </c>
      <c r="T48">
        <f t="array" aca="1" ref="T48" ca="1">IFERROR(VLOOKUP($T$5&amp;$C48,CHOOSE({1,2},D_技能表!$C$2:$C$1210&amp;D_技能表!$E$2:$E$1210,D_技能表!$I$2:$I$1210),2,FALSE),0)</f>
        <v>23</v>
      </c>
      <c r="U48">
        <f t="array" aca="1" ref="U48" ca="1">IFERROR(VLOOKUP($T$5&amp;$C48,CHOOSE({1,2},D_技能表!$C$2:$C$1210&amp;D_技能表!$E$2:$E$1210,D_技能表!$N$2:$N$1210),2,FALSE),0)</f>
        <v>29970</v>
      </c>
      <c r="V48">
        <f t="array" aca="1" ref="V48" ca="1">IFERROR(VLOOKUP($T$5&amp;$C48,CHOOSE({1,2},D_技能表!$C$2:$C$1210&amp;D_技能表!$E$2:$E$1210,D_技能表!$W$2:$W$1210),2,FALSE),0)</f>
        <v>27</v>
      </c>
      <c r="W48">
        <f t="array" aca="1" ref="W48" ca="1">IFERROR(VLOOKUP($T$5&amp;$C48,CHOOSE({1,2},D_技能表!$C$2:$C$1210&amp;D_技能表!$E$2:$E$1210,D_技能表!$Z$2:$Z$1210),2,FALSE),0)</f>
        <v>11</v>
      </c>
      <c r="X48">
        <f t="array" aca="1" ref="X48" ca="1">IFERROR(VLOOKUP($X$5&amp;$C48,CHOOSE({1,2},D_技能表!$C$2:$C$1210&amp;D_技能表!$E$2:$E$1210,D_技能表!$I$2:$I$1210),2,FALSE),0)</f>
        <v>0</v>
      </c>
      <c r="Y48">
        <f t="array" aca="1" ref="Y48" ca="1">IFERROR(VLOOKUP($X$5&amp;$C48,CHOOSE({1,2},D_技能表!$C$2:$C$1210&amp;D_技能表!$E$2:$E$1210,D_技能表!$N$2:$N$1210),2,FALSE),0)</f>
        <v>0</v>
      </c>
      <c r="Z48">
        <f t="array" aca="1" ref="Z48" ca="1">IFERROR(VLOOKUP($X$5&amp;$C48,CHOOSE({1,2},D_技能表!$C$2:$C$1210&amp;D_技能表!$E$2:$E$1210,D_技能表!$W$2:$W$1210),2,FALSE),0)</f>
        <v>0</v>
      </c>
      <c r="AA48">
        <f t="array" aca="1" ref="AA48" ca="1">IFERROR(VLOOKUP($X$5&amp;$C48,CHOOSE({1,2},D_技能表!$C$2:$C$1210&amp;D_技能表!$E$2:$E$1210,D_技能表!$Z$2:$Z$1210),2,FALSE),0)</f>
        <v>0</v>
      </c>
      <c r="AB48">
        <f t="array" aca="1" ref="AB48" ca="1">IFERROR(VLOOKUP($AB$5&amp;$C48,CHOOSE({1,2},D_技能表!$C$2:$C$1210&amp;D_技能表!$E$2:$E$1210,D_技能表!$I$2:$I$1210),2,FALSE),0)</f>
        <v>24</v>
      </c>
      <c r="AC48">
        <f t="array" aca="1" ref="AC48" ca="1">IFERROR(VLOOKUP($AB$5&amp;$C48,CHOOSE({1,2},D_技能表!$C$2:$C$1210&amp;D_技能表!$E$2:$E$1210,D_技能表!$N$2:$N$1210),2,FALSE),0)</f>
        <v>19980</v>
      </c>
      <c r="AD48">
        <f t="array" aca="1" ref="AD48" ca="1">IFERROR(VLOOKUP($AB$5&amp;$C48,CHOOSE({1,2},D_技能表!$C$2:$C$1210&amp;D_技能表!$E$2:$E$1210,D_技能表!$W$2:$W$1210),2,FALSE),0)</f>
        <v>18</v>
      </c>
      <c r="AE48">
        <f t="array" aca="1" ref="AE48" ca="1">IFERROR(VLOOKUP($AB$5&amp;$C48,CHOOSE({1,2},D_技能表!$C$2:$C$1210&amp;D_技能表!$E$2:$E$1210,D_技能表!$Z$2:$Z$1210),2,FALSE),0)</f>
        <v>8</v>
      </c>
      <c r="AF48">
        <f t="array" aca="1" ref="AF48" ca="1">IFERROR(VLOOKUP($AF$5&amp;$C48,CHOOSE({1,2},D_技能表!$C$2:$C$1210&amp;D_技能表!$E$2:$E$1210,D_技能表!$I$2:$I$1210),2,FALSE),0)</f>
        <v>0</v>
      </c>
      <c r="AG48">
        <f t="array" aca="1" ref="AG48" ca="1">IFERROR(VLOOKUP($AF$5&amp;$C48,CHOOSE({1,2},D_技能表!$C$2:$C$1210&amp;D_技能表!$E$2:$E$1210,D_技能表!$N$2:$N$1210),2,FALSE),0)</f>
        <v>0</v>
      </c>
      <c r="AH48">
        <f t="array" aca="1" ref="AH48" ca="1">IFERROR(VLOOKUP($AF$5&amp;$C48,CHOOSE({1,2},D_技能表!$C$2:$C$1210&amp;D_技能表!$E$2:$E$1210,D_技能表!$W$2:$W$1210),2,FALSE),0)</f>
        <v>0</v>
      </c>
      <c r="AI48">
        <f t="array" aca="1" ref="AI48" ca="1">IFERROR(VLOOKUP($AF$5&amp;$C48,CHOOSE({1,2},D_技能表!$C$2:$C$1210&amp;D_技能表!$E$2:$E$1210,D_技能表!$Z$2:$Z$1210),2,FALSE),0)</f>
        <v>0</v>
      </c>
      <c r="AJ48">
        <f t="array" aca="1" ref="AJ48" ca="1">IFERROR(VLOOKUP($AJ$5&amp;$C48,CHOOSE({1,2},D_技能表!$C$2:$C$1210&amp;D_技能表!$E$2:$E$1210,D_技能表!$I$2:$I$1210),2,FALSE),0)</f>
        <v>23</v>
      </c>
      <c r="AK48">
        <f t="array" aca="1" ref="AK48" ca="1">IFERROR(VLOOKUP($AJ$5&amp;$C48,CHOOSE({1,2},D_技能表!$C$2:$C$1210&amp;D_技能表!$E$2:$E$1210,D_技能表!$N$2:$N$1210),2,FALSE),0)</f>
        <v>16650</v>
      </c>
      <c r="AL48">
        <f t="array" aca="1" ref="AL48" ca="1">IFERROR(VLOOKUP($AJ$5&amp;$C48,CHOOSE({1,2},D_技能表!$C$2:$C$1210&amp;D_技能表!$E$2:$E$1210,D_技能表!$W$2:$W$1210),2,FALSE),0)</f>
        <v>15</v>
      </c>
      <c r="AM48">
        <f t="array" aca="1" ref="AM48" ca="1">IFERROR(VLOOKUP($AJ$5&amp;$C48,CHOOSE({1,2},D_技能表!$C$2:$C$1210&amp;D_技能表!$E$2:$E$1210,D_技能表!$Z$2:$Z$1210),2,FALSE),0)</f>
        <v>6</v>
      </c>
      <c r="AN48">
        <f t="array" aca="1" ref="AN48" ca="1">IFERROR(VLOOKUP($AN$5&amp;$C48,CHOOSE({1,2},D_技能表!$C$2:$C$1210&amp;D_技能表!$E$2:$E$1210,D_技能表!$I$2:$I$1210),2,FALSE),0)</f>
        <v>22</v>
      </c>
      <c r="AO48">
        <f t="array" aca="1" ref="AO48" ca="1">IFERROR(VLOOKUP($AN$5&amp;$C48,CHOOSE({1,2},D_技能表!$C$2:$C$1210&amp;D_技能表!$E$2:$E$1210,D_技能表!$N$2:$N$1210),2,FALSE),0)</f>
        <v>28860</v>
      </c>
      <c r="AP48">
        <f t="array" aca="1" ref="AP48" ca="1">IFERROR(VLOOKUP($AN$5&amp;$C48,CHOOSE({1,2},D_技能表!$C$2:$C$1210&amp;D_技能表!$E$2:$E$1210,D_技能表!$W$2:$W$1210),2,FALSE),0)</f>
        <v>26</v>
      </c>
      <c r="AQ48">
        <f t="array" aca="1" ref="AQ48" ca="1">IFERROR(VLOOKUP($AN$5&amp;$C48,CHOOSE({1,2},D_技能表!$C$2:$C$1210&amp;D_技能表!$E$2:$E$1210,D_技能表!$Z$2:$Z$1210),2,FALSE),0)</f>
        <v>11</v>
      </c>
      <c r="AR48" s="11">
        <f ca="1">SUM($G$7:G49,$K$7:K49,$O$7:O49,$S$7:S49,$W$7:W49,$AA$7:AA49,$AE$7:AE49,$AI$7:AI49,$AM$7:AM49,$AQ$7:AQ49)</f>
        <v>640</v>
      </c>
      <c r="AS48">
        <f ca="1">SUM($F$7:F49,$J$7:J49,$N$7:N49,$R$7:R49,$V$7:V49,$Z$7:Z49,$AD$7:AD49,$AH$7:AH49,$AL$7:AL49,$AP$7:AP49)</f>
        <v>3021</v>
      </c>
      <c r="AT48">
        <f t="shared" ca="1" si="1"/>
        <v>141</v>
      </c>
      <c r="AU48" s="33">
        <f ca="1">SUM($AX$7:AX48,$BB$7:BB48,$BF$7:BF48,$BJ$7:BJ48)</f>
        <v>564400</v>
      </c>
      <c r="AV48">
        <v>42</v>
      </c>
      <c r="AW48">
        <f t="array" ref="AW48">IFERROR(VLOOKUP(AW$5&amp;$AV48,CHOOSE({1,2},D_技能表CD!$C$2:$C$313&amp;D_技能表CD!$E$2:$E$313,D_技能表CD!$I$2:$I$313),2,FALSE),0)</f>
        <v>0</v>
      </c>
      <c r="AX48">
        <f t="array" aca="1" ref="AX48" ca="1">IFERROR(VLOOKUP(AW$5&amp;$AV48,CHOOSE({1,2},D_技能表CD!$C$2:$C$313&amp;D_技能表CD!$E$2:$E$313,D_技能表CD!$H$2:$H$313),2,FALSE),0)</f>
        <v>0</v>
      </c>
      <c r="AY48">
        <f t="array" aca="1" ref="AY48" ca="1">IFERROR(VLOOKUP(AW$5&amp;$AV48,CHOOSE({1,2},D_技能表CD!$C$2:$C$313&amp;D_技能表CD!$E$2:$E$313,D_技能表CD!$L$2:$L$313),2,FALSE),0)</f>
        <v>0</v>
      </c>
      <c r="AZ48">
        <f t="array" aca="1" ref="AZ48" ca="1">IFERROR(VLOOKUP(AW$5&amp;$AV48,CHOOSE({1,2},D_技能表CD!$C$2:$C$313&amp;D_技能表CD!$E$2:$E$313,D_技能表CD!$K$2:$K$313),2,FALSE),0)</f>
        <v>0</v>
      </c>
      <c r="BA48">
        <f t="array" ref="BA48">IFERROR(VLOOKUP(BA$5&amp;$AV48,CHOOSE({1,2},D_技能表CD!$C$2:$C$313&amp;D_技能表CD!$E$2:$E$313,D_技能表CD!$I$2:$I$313),2,FALSE),0)</f>
        <v>14</v>
      </c>
      <c r="BB48">
        <f t="array" aca="1" ref="BB48" ca="1">IFERROR(VLOOKUP(BA$5&amp;$AV48,CHOOSE({1,2},D_技能表CD!$C$2:$C$313&amp;D_技能表CD!$E$2:$E$313,D_技能表CD!$H$2:$H$313),2,FALSE),0)</f>
        <v>42100</v>
      </c>
      <c r="BC48">
        <f t="array" aca="1" ref="BC48" ca="1">IFERROR(VLOOKUP(BA$5&amp;$AV48,CHOOSE({1,2},D_技能表CD!$C$2:$C$313&amp;D_技能表CD!$E$2:$E$313,D_技能表CD!$L$2:$L$313),2,FALSE),0)</f>
        <v>136</v>
      </c>
      <c r="BD48">
        <f t="array" aca="1" ref="BD48" ca="1">IFERROR(VLOOKUP(BA$5&amp;$AV48,CHOOSE({1,2},D_技能表CD!$C$2:$C$313&amp;D_技能表CD!$E$2:$E$313,D_技能表CD!$K$2:$K$313),2,FALSE),0)</f>
        <v>195</v>
      </c>
      <c r="BE48">
        <f t="array" ref="BE48">IFERROR(VLOOKUP(BE$5&amp;$AV48,CHOOSE({1,2},D_技能表CD!$C$2:$C$313&amp;D_技能表CD!$E$2:$E$313,D_技能表CD!$I$2:$I$313),2,FALSE),0)</f>
        <v>0</v>
      </c>
      <c r="BF48">
        <f t="array" aca="1" ref="BF48" ca="1">IFERROR(VLOOKUP(BE$5&amp;$AV48,CHOOSE({1,2},D_技能表CD!$C$2:$C$313&amp;D_技能表CD!$E$2:$E$313,D_技能表CD!$H$2:$H$313),2,FALSE),0)</f>
        <v>0</v>
      </c>
      <c r="BG48">
        <f t="array" aca="1" ref="BG48" ca="1">IFERROR(VLOOKUP(BE$5&amp;$AV48,CHOOSE({1,2},D_技能表CD!$C$2:$C$313&amp;D_技能表CD!$E$2:$E$313,D_技能表CD!$L$2:$L$313),2,FALSE),0)</f>
        <v>0</v>
      </c>
      <c r="BH48">
        <f t="array" aca="1" ref="BH48" ca="1">IFERROR(VLOOKUP(BE$5&amp;$AV48,CHOOSE({1,2},D_技能表CD!$C$2:$C$313&amp;D_技能表CD!$E$2:$E$313,D_技能表CD!$K$2:$K$313),2,FALSE),0)</f>
        <v>0</v>
      </c>
      <c r="BI48">
        <f t="array" ref="BI48">IFERROR(VLOOKUP(BI$5&amp;$AV48,CHOOSE({1,2},D_技能表CD!$C$2:$C$313&amp;D_技能表CD!$E$2:$E$313,D_技能表CD!$I$2:$I$313),2,FALSE),0)</f>
        <v>0</v>
      </c>
      <c r="BJ48">
        <f t="array" aca="1" ref="BJ48" ca="1">IFERROR(VLOOKUP(BI$5&amp;$AV48,CHOOSE({1,2},D_技能表CD!$C$2:$C$313&amp;D_技能表CD!$E$2:$E$313,D_技能表CD!$H$2:$H$313),2,FALSE),0)</f>
        <v>0</v>
      </c>
      <c r="BK48">
        <f t="array" aca="1" ref="BK48" ca="1">IFERROR(VLOOKUP(BI$5&amp;$AV48,CHOOSE({1,2},D_技能表CD!$C$2:$C$313&amp;D_技能表CD!$E$2:$E$313,D_技能表CD!$L$2:$L$313),2,FALSE),0)</f>
        <v>0</v>
      </c>
      <c r="BL48">
        <f t="array" aca="1" ref="BL48" ca="1">IFERROR(VLOOKUP(BI$5&amp;$AV48,CHOOSE({1,2},D_技能表CD!$C$2:$C$313&amp;D_技能表CD!$E$2:$E$313,D_技能表CD!$K$2:$K$313),2,FALSE),0)</f>
        <v>0</v>
      </c>
    </row>
    <row r="49" spans="1:64" x14ac:dyDescent="0.15">
      <c r="A49">
        <f t="shared" ca="1" si="0"/>
        <v>2460674</v>
      </c>
      <c r="B49" s="33">
        <f ca="1">SUM($E$7:E49,$I$7:I49,$M$7:M49,$Q$7:Q49,$U$7:U49,$Y$7:Y49,$AC$7:AC49,$AG$7:AG49,$AK$7:AK49,$AO$7:AO49)</f>
        <v>1851424</v>
      </c>
      <c r="C49">
        <v>43</v>
      </c>
      <c r="D49">
        <f t="array" aca="1" ref="D49" ca="1">IFERROR(VLOOKUP($D$5&amp;C49,CHOOSE({1,2},D_技能表!$C$2:$C$1210&amp;D_技能表!$E$2:$E$1210,D_技能表!$I$2:$I$1210),2,FALSE),0)</f>
        <v>26</v>
      </c>
      <c r="E49">
        <f t="array" aca="1" ref="E49" ca="1">IFERROR(VLOOKUP($D$5&amp;$C49,CHOOSE({1,2},D_技能表!$C$2:$C$1210&amp;D_技能表!$E$2:$E$1210,D_技能表!$N$2:$N$1210),2,FALSE),0)</f>
        <v>53682</v>
      </c>
      <c r="F49">
        <f t="array" aca="1" ref="F49" ca="1">IFERROR(VLOOKUP($D$5&amp;$C49,CHOOSE({1,2},D_技能表!$C$2:$C$1210&amp;D_技能表!$E$2:$E$1210,D_技能表!$W$2:$W$1210),2,FALSE),0)</f>
        <v>46</v>
      </c>
      <c r="G49">
        <f t="array" aca="1" ref="G49" ca="1">IFERROR(VLOOKUP($D$5&amp;$C49,CHOOSE({1,2},D_技能表!$C$2:$C$1210&amp;D_技能表!$E$2:$E$1210,D_技能表!$Z$2:$Z$1210),2,FALSE),0)</f>
        <v>19</v>
      </c>
      <c r="H49">
        <f t="array" aca="1" ref="H49" ca="1">IFERROR(VLOOKUP($H$5&amp;$C49,CHOOSE({1,2},D_技能表!$C$2:$C$1210&amp;D_技能表!$E$2:$E$1210,D_技能表!$I$2:$I$1210),2,FALSE),0)</f>
        <v>0</v>
      </c>
      <c r="I49">
        <f t="array" aca="1" ref="I49" ca="1">IFERROR(VLOOKUP($H$5&amp;$C49,CHOOSE({1,2},D_技能表!$C$2:$C$1210&amp;D_技能表!$E$2:$E$1210,D_技能表!$N$2:$N$1210),2,FALSE),0)</f>
        <v>0</v>
      </c>
      <c r="J49">
        <f t="array" aca="1" ref="J49" ca="1">IFERROR(VLOOKUP($H$5&amp;$C49,CHOOSE({1,2},D_技能表!$C$2:$C$1210&amp;D_技能表!$E$2:$E$1210,D_技能表!$W$2:$W$1210),2,FALSE),0)</f>
        <v>0</v>
      </c>
      <c r="K49">
        <f t="array" aca="1" ref="K49" ca="1">IFERROR(VLOOKUP($H$5&amp;$C49,CHOOSE({1,2},D_技能表!$C$2:$C$1210&amp;D_技能表!$E$2:$E$1210,D_技能表!$Z$2:$Z$1210),2,FALSE),0)</f>
        <v>0</v>
      </c>
      <c r="L49">
        <f t="array" aca="1" ref="L49" ca="1">IFERROR(VLOOKUP($L$5&amp;$C49,CHOOSE({1,2},D_技能表!$C$2:$C$1210&amp;D_技能表!$E$2:$E$1210,D_技能表!$I$2:$I$1210),2,FALSE),0)</f>
        <v>0</v>
      </c>
      <c r="M49">
        <f t="array" aca="1" ref="M49" ca="1">IFERROR(VLOOKUP($L$5&amp;$C49,CHOOSE({1,2},D_技能表!$C$2:$C$1210&amp;D_技能表!$E$2:$E$1210,D_技能表!$N$2:$N$1210),2,FALSE),0)</f>
        <v>0</v>
      </c>
      <c r="N49">
        <f t="array" aca="1" ref="N49" ca="1">IFERROR(VLOOKUP($L$5&amp;$C49,CHOOSE({1,2},D_技能表!$C$2:$C$1210&amp;D_技能表!$E$2:$E$1210,D_技能表!$W$2:$W$1210),2,FALSE),0)</f>
        <v>0</v>
      </c>
      <c r="O49">
        <f t="array" aca="1" ref="O49" ca="1">IFERROR(VLOOKUP($L$5&amp;$C49,CHOOSE({1,2},D_技能表!$C$2:$C$1210&amp;D_技能表!$E$2:$E$1210,D_技能表!$Z$2:$Z$1210),2,FALSE),0)</f>
        <v>0</v>
      </c>
      <c r="P49">
        <f t="array" aca="1" ref="P49" ca="1">IFERROR(VLOOKUP($P$5&amp;$C49,CHOOSE({1,2},D_技能表!$C$2:$C$1210&amp;D_技能表!$E$2:$E$1210,D_技能表!$I$2:$I$1210),2,FALSE),0)</f>
        <v>0</v>
      </c>
      <c r="Q49">
        <f t="array" aca="1" ref="Q49" ca="1">IFERROR(VLOOKUP($P$5&amp;$C49,CHOOSE({1,2},D_技能表!$C$2:$C$1210&amp;D_技能表!$E$2:$E$1210,D_技能表!$N$2:$N$1210),2,FALSE),0)</f>
        <v>0</v>
      </c>
      <c r="R49">
        <f t="array" aca="1" ref="R49" ca="1">IFERROR(VLOOKUP($P$5&amp;$C49,CHOOSE({1,2},D_技能表!$C$2:$C$1210&amp;D_技能表!$E$2:$E$1210,D_技能表!$W$2:$W$1210),2,FALSE),0)</f>
        <v>0</v>
      </c>
      <c r="S49">
        <f t="array" aca="1" ref="S49" ca="1">IFERROR(VLOOKUP($P$5&amp;$C49,CHOOSE({1,2},D_技能表!$C$2:$C$1210&amp;D_技能表!$E$2:$E$1210,D_技能表!$Z$2:$Z$1210),2,FALSE),0)</f>
        <v>0</v>
      </c>
      <c r="T49">
        <f t="array" aca="1" ref="T49" ca="1">IFERROR(VLOOKUP($T$5&amp;$C49,CHOOSE({1,2},D_技能表!$C$2:$C$1210&amp;D_技能表!$E$2:$E$1210,D_技能表!$I$2:$I$1210),2,FALSE),0)</f>
        <v>24</v>
      </c>
      <c r="U49">
        <f t="array" aca="1" ref="U49" ca="1">IFERROR(VLOOKUP($T$5&amp;$C49,CHOOSE({1,2},D_技能表!$C$2:$C$1210&amp;D_技能表!$E$2:$E$1210,D_技能表!$N$2:$N$1210),2,FALSE),0)</f>
        <v>33843</v>
      </c>
      <c r="V49">
        <f t="array" aca="1" ref="V49" ca="1">IFERROR(VLOOKUP($T$5&amp;$C49,CHOOSE({1,2},D_技能表!$C$2:$C$1210&amp;D_技能表!$E$2:$E$1210,D_技能表!$W$2:$W$1210),2,FALSE),0)</f>
        <v>29</v>
      </c>
      <c r="W49">
        <f t="array" aca="1" ref="W49" ca="1">IFERROR(VLOOKUP($T$5&amp;$C49,CHOOSE({1,2},D_技能表!$C$2:$C$1210&amp;D_技能表!$E$2:$E$1210,D_技能表!$Z$2:$Z$1210),2,FALSE),0)</f>
        <v>12</v>
      </c>
      <c r="X49">
        <f t="array" aca="1" ref="X49" ca="1">IFERROR(VLOOKUP($X$5&amp;$C49,CHOOSE({1,2},D_技能表!$C$2:$C$1210&amp;D_技能表!$E$2:$E$1210,D_技能表!$I$2:$I$1210),2,FALSE),0)</f>
        <v>25</v>
      </c>
      <c r="Y49">
        <f t="array" aca="1" ref="Y49" ca="1">IFERROR(VLOOKUP($X$5&amp;$C49,CHOOSE({1,2},D_技能表!$C$2:$C$1210&amp;D_技能表!$E$2:$E$1210,D_技能表!$N$2:$N$1210),2,FALSE),0)</f>
        <v>47847</v>
      </c>
      <c r="Z49">
        <f t="array" aca="1" ref="Z49" ca="1">IFERROR(VLOOKUP($X$5&amp;$C49,CHOOSE({1,2},D_技能表!$C$2:$C$1210&amp;D_技能表!$E$2:$E$1210,D_技能表!$W$2:$W$1210),2,FALSE),0)</f>
        <v>41</v>
      </c>
      <c r="AA49">
        <f t="array" aca="1" ref="AA49" ca="1">IFERROR(VLOOKUP($X$5&amp;$C49,CHOOSE({1,2},D_技能表!$C$2:$C$1210&amp;D_技能表!$E$2:$E$1210,D_技能表!$Z$2:$Z$1210),2,FALSE),0)</f>
        <v>17</v>
      </c>
      <c r="AB49">
        <f t="array" aca="1" ref="AB49" ca="1">IFERROR(VLOOKUP($AB$5&amp;$C49,CHOOSE({1,2},D_技能表!$C$2:$C$1210&amp;D_技能表!$E$2:$E$1210,D_技能表!$I$2:$I$1210),2,FALSE),0)</f>
        <v>25</v>
      </c>
      <c r="AC49">
        <f t="array" aca="1" ref="AC49" ca="1">IFERROR(VLOOKUP($AB$5&amp;$C49,CHOOSE({1,2},D_技能表!$C$2:$C$1210&amp;D_技能表!$E$2:$E$1210,D_技能表!$N$2:$N$1210),2,FALSE),0)</f>
        <v>23340</v>
      </c>
      <c r="AD49">
        <f t="array" aca="1" ref="AD49" ca="1">IFERROR(VLOOKUP($AB$5&amp;$C49,CHOOSE({1,2},D_技能表!$C$2:$C$1210&amp;D_技能表!$E$2:$E$1210,D_技能表!$W$2:$W$1210),2,FALSE),0)</f>
        <v>20</v>
      </c>
      <c r="AE49">
        <f t="array" aca="1" ref="AE49" ca="1">IFERROR(VLOOKUP($AB$5&amp;$C49,CHOOSE({1,2},D_技能表!$C$2:$C$1210&amp;D_技能表!$E$2:$E$1210,D_技能表!$Z$2:$Z$1210),2,FALSE),0)</f>
        <v>8</v>
      </c>
      <c r="AF49">
        <f t="array" aca="1" ref="AF49" ca="1">IFERROR(VLOOKUP($AF$5&amp;$C49,CHOOSE({1,2},D_技能表!$C$2:$C$1210&amp;D_技能表!$E$2:$E$1210,D_技能表!$I$2:$I$1210),2,FALSE),0)</f>
        <v>24</v>
      </c>
      <c r="AG49">
        <f t="array" aca="1" ref="AG49" ca="1">IFERROR(VLOOKUP($AF$5&amp;$C49,CHOOSE({1,2},D_技能表!$C$2:$C$1210&amp;D_技能表!$E$2:$E$1210,D_技能表!$N$2:$N$1210),2,FALSE),0)</f>
        <v>18672</v>
      </c>
      <c r="AH49">
        <f t="array" aca="1" ref="AH49" ca="1">IFERROR(VLOOKUP($AF$5&amp;$C49,CHOOSE({1,2},D_技能表!$C$2:$C$1210&amp;D_技能表!$E$2:$E$1210,D_技能表!$W$2:$W$1210),2,FALSE),0)</f>
        <v>16</v>
      </c>
      <c r="AI49">
        <f t="array" aca="1" ref="AI49" ca="1">IFERROR(VLOOKUP($AF$5&amp;$C49,CHOOSE({1,2},D_技能表!$C$2:$C$1210&amp;D_技能表!$E$2:$E$1210,D_技能表!$Z$2:$Z$1210),2,FALSE),0)</f>
        <v>7</v>
      </c>
      <c r="AJ49">
        <f t="array" aca="1" ref="AJ49" ca="1">IFERROR(VLOOKUP($AJ$5&amp;$C49,CHOOSE({1,2},D_技能表!$C$2:$C$1210&amp;D_技能表!$E$2:$E$1210,D_技能表!$I$2:$I$1210),2,FALSE),0)</f>
        <v>0</v>
      </c>
      <c r="AK49">
        <f t="array" aca="1" ref="AK49" ca="1">IFERROR(VLOOKUP($AJ$5&amp;$C49,CHOOSE({1,2},D_技能表!$C$2:$C$1210&amp;D_技能表!$E$2:$E$1210,D_技能表!$N$2:$N$1210),2,FALSE),0)</f>
        <v>0</v>
      </c>
      <c r="AL49">
        <f t="array" aca="1" ref="AL49" ca="1">IFERROR(VLOOKUP($AJ$5&amp;$C49,CHOOSE({1,2},D_技能表!$C$2:$C$1210&amp;D_技能表!$E$2:$E$1210,D_技能表!$W$2:$W$1210),2,FALSE),0)</f>
        <v>0</v>
      </c>
      <c r="AM49">
        <f t="array" aca="1" ref="AM49" ca="1">IFERROR(VLOOKUP($AJ$5&amp;$C49,CHOOSE({1,2},D_技能表!$C$2:$C$1210&amp;D_技能表!$E$2:$E$1210,D_技能表!$Z$2:$Z$1210),2,FALSE),0)</f>
        <v>0</v>
      </c>
      <c r="AN49">
        <f t="array" aca="1" ref="AN49" ca="1">IFERROR(VLOOKUP($AN$5&amp;$C49,CHOOSE({1,2},D_技能表!$C$2:$C$1210&amp;D_技能表!$E$2:$E$1210,D_技能表!$I$2:$I$1210),2,FALSE),0)</f>
        <v>23</v>
      </c>
      <c r="AO49">
        <f t="array" aca="1" ref="AO49" ca="1">IFERROR(VLOOKUP($AN$5&amp;$C49,CHOOSE({1,2},D_技能表!$C$2:$C$1210&amp;D_技能表!$E$2:$E$1210,D_技能表!$N$2:$N$1210),2,FALSE),0)</f>
        <v>32676</v>
      </c>
      <c r="AP49">
        <f t="array" aca="1" ref="AP49" ca="1">IFERROR(VLOOKUP($AN$5&amp;$C49,CHOOSE({1,2},D_技能表!$C$2:$C$1210&amp;D_技能表!$E$2:$E$1210,D_技能表!$W$2:$W$1210),2,FALSE),0)</f>
        <v>28</v>
      </c>
      <c r="AQ49">
        <f t="array" aca="1" ref="AQ49" ca="1">IFERROR(VLOOKUP($AN$5&amp;$C49,CHOOSE({1,2},D_技能表!$C$2:$C$1210&amp;D_技能表!$E$2:$E$1210,D_技能表!$Z$2:$Z$1210),2,FALSE),0)</f>
        <v>12</v>
      </c>
      <c r="AR49" s="11">
        <f ca="1">SUM($G$7:G50,$K$7:K50,$O$7:O50,$S$7:S50,$W$7:W50,$AA$7:AA50,$AE$7:AE50,$AI$7:AI50,$AM$7:AM50,$AQ$7:AQ50)</f>
        <v>726</v>
      </c>
      <c r="AS49">
        <f ca="1">SUM($F$7:F50,$J$7:J50,$N$7:N50,$R$7:R50,$V$7:V50,$Z$7:Z50,$AD$7:AD50,$AH$7:AH50,$AL$7:AL50,$AP$7:AP50)</f>
        <v>3227</v>
      </c>
      <c r="AT49">
        <f t="shared" ca="1" si="1"/>
        <v>180</v>
      </c>
      <c r="AU49" s="33">
        <f ca="1">SUM($AX$7:AX49,$BB$7:BB49,$BF$7:BF49,$BJ$7:BJ49)</f>
        <v>609250</v>
      </c>
      <c r="AV49">
        <v>43</v>
      </c>
      <c r="AW49">
        <f t="array" ref="AW49">IFERROR(VLOOKUP(AW$5&amp;$AV49,CHOOSE({1,2},D_技能表CD!$C$2:$C$313&amp;D_技能表CD!$E$2:$E$313,D_技能表CD!$I$2:$I$313),2,FALSE),0)</f>
        <v>15</v>
      </c>
      <c r="AX49">
        <f t="array" aca="1" ref="AX49" ca="1">IFERROR(VLOOKUP(AW$5&amp;$AV49,CHOOSE({1,2},D_技能表CD!$C$2:$C$313&amp;D_技能表CD!$E$2:$E$313,D_技能表CD!$H$2:$H$313),2,FALSE),0)</f>
        <v>26050</v>
      </c>
      <c r="AY49">
        <f t="array" aca="1" ref="AY49" ca="1">IFERROR(VLOOKUP(AW$5&amp;$AV49,CHOOSE({1,2},D_技能表CD!$C$2:$C$313&amp;D_技能表CD!$E$2:$E$313,D_技能表CD!$L$2:$L$313),2,FALSE),0)</f>
        <v>82</v>
      </c>
      <c r="AZ49">
        <f t="array" aca="1" ref="AZ49" ca="1">IFERROR(VLOOKUP(AW$5&amp;$AV49,CHOOSE({1,2},D_技能表CD!$C$2:$C$313&amp;D_技能表CD!$E$2:$E$313,D_技能表CD!$K$2:$K$313),2,FALSE),0)</f>
        <v>123</v>
      </c>
      <c r="BA49">
        <f t="array" ref="BA49">IFERROR(VLOOKUP(BA$5&amp;$AV49,CHOOSE({1,2},D_技能表CD!$C$2:$C$313&amp;D_技能表CD!$E$2:$E$313,D_技能表CD!$I$2:$I$313),2,FALSE),0)</f>
        <v>0</v>
      </c>
      <c r="BB49">
        <f t="array" aca="1" ref="BB49" ca="1">IFERROR(VLOOKUP(BA$5&amp;$AV49,CHOOSE({1,2},D_技能表CD!$C$2:$C$313&amp;D_技能表CD!$E$2:$E$313,D_技能表CD!$H$2:$H$313),2,FALSE),0)</f>
        <v>0</v>
      </c>
      <c r="BC49">
        <f t="array" aca="1" ref="BC49" ca="1">IFERROR(VLOOKUP(BA$5&amp;$AV49,CHOOSE({1,2},D_技能表CD!$C$2:$C$313&amp;D_技能表CD!$E$2:$E$313,D_技能表CD!$L$2:$L$313),2,FALSE),0)</f>
        <v>0</v>
      </c>
      <c r="BD49">
        <f t="array" aca="1" ref="BD49" ca="1">IFERROR(VLOOKUP(BA$5&amp;$AV49,CHOOSE({1,2},D_技能表CD!$C$2:$C$313&amp;D_技能表CD!$E$2:$E$313,D_技能表CD!$K$2:$K$313),2,FALSE),0)</f>
        <v>0</v>
      </c>
      <c r="BE49">
        <f t="array" ref="BE49">IFERROR(VLOOKUP(BE$5&amp;$AV49,CHOOSE({1,2},D_技能表CD!$C$2:$C$313&amp;D_技能表CD!$E$2:$E$313,D_技能表CD!$I$2:$I$313),2,FALSE),0)</f>
        <v>14</v>
      </c>
      <c r="BF49">
        <f t="array" aca="1" ref="BF49" ca="1">IFERROR(VLOOKUP(BE$5&amp;$AV49,CHOOSE({1,2},D_技能表CD!$C$2:$C$313&amp;D_技能表CD!$E$2:$E$313,D_技能表CD!$H$2:$H$313),2,FALSE),0)</f>
        <v>18800</v>
      </c>
      <c r="BG49">
        <f t="array" aca="1" ref="BG49" ca="1">IFERROR(VLOOKUP(BE$5&amp;$AV49,CHOOSE({1,2},D_技能表CD!$C$2:$C$313&amp;D_技能表CD!$E$2:$E$313,D_技能表CD!$L$2:$L$313),2,FALSE),0)</f>
        <v>61</v>
      </c>
      <c r="BH49">
        <f t="array" aca="1" ref="BH49" ca="1">IFERROR(VLOOKUP(BE$5&amp;$AV49,CHOOSE({1,2},D_技能表CD!$C$2:$C$313&amp;D_技能表CD!$E$2:$E$313,D_技能表CD!$K$2:$K$313),2,FALSE),0)</f>
        <v>88</v>
      </c>
      <c r="BI49">
        <f t="array" ref="BI49">IFERROR(VLOOKUP(BI$5&amp;$AV49,CHOOSE({1,2},D_技能表CD!$C$2:$C$313&amp;D_技能表CD!$E$2:$E$313,D_技能表CD!$I$2:$I$313),2,FALSE),0)</f>
        <v>0</v>
      </c>
      <c r="BJ49">
        <f t="array" aca="1" ref="BJ49" ca="1">IFERROR(VLOOKUP(BI$5&amp;$AV49,CHOOSE({1,2},D_技能表CD!$C$2:$C$313&amp;D_技能表CD!$E$2:$E$313,D_技能表CD!$H$2:$H$313),2,FALSE),0)</f>
        <v>0</v>
      </c>
      <c r="BK49">
        <f t="array" aca="1" ref="BK49" ca="1">IFERROR(VLOOKUP(BI$5&amp;$AV49,CHOOSE({1,2},D_技能表CD!$C$2:$C$313&amp;D_技能表CD!$E$2:$E$313,D_技能表CD!$L$2:$L$313),2,FALSE),0)</f>
        <v>0</v>
      </c>
      <c r="BL49">
        <f t="array" aca="1" ref="BL49" ca="1">IFERROR(VLOOKUP(BI$5&amp;$AV49,CHOOSE({1,2},D_技能表CD!$C$2:$C$313&amp;D_技能表CD!$E$2:$E$313,D_技能表CD!$K$2:$K$313),2,FALSE),0)</f>
        <v>0</v>
      </c>
    </row>
    <row r="50" spans="1:64" x14ac:dyDescent="0.15">
      <c r="A50">
        <f t="shared" ca="1" si="0"/>
        <v>2754380</v>
      </c>
      <c r="B50" s="33">
        <f ca="1">SUM($E$7:E50,$I$7:I50,$M$7:M50,$Q$7:Q50,$U$7:U50,$Y$7:Y50,$AC$7:AC50,$AG$7:AG50,$AK$7:AK50,$AO$7:AO50)</f>
        <v>2103980</v>
      </c>
      <c r="C50">
        <v>44</v>
      </c>
      <c r="D50">
        <f t="array" aca="1" ref="D50" ca="1">IFERROR(VLOOKUP($D$5&amp;C50,CHOOSE({1,2},D_技能表!$C$2:$C$1210&amp;D_技能表!$E$2:$E$1210,D_技能表!$I$2:$I$1210),2,FALSE),0)</f>
        <v>27</v>
      </c>
      <c r="E50">
        <f t="array" aca="1" ref="E50" ca="1">IFERROR(VLOOKUP($D$5&amp;$C50,CHOOSE({1,2},D_技能表!$C$2:$C$1210&amp;D_技能表!$E$2:$E$1210,D_技能表!$N$2:$N$1210),2,FALSE),0)</f>
        <v>60074</v>
      </c>
      <c r="F50">
        <f t="array" aca="1" ref="F50" ca="1">IFERROR(VLOOKUP($D$5&amp;$C50,CHOOSE({1,2},D_技能表!$C$2:$C$1210&amp;D_技能表!$E$2:$E$1210,D_技能表!$W$2:$W$1210),2,FALSE),0)</f>
        <v>49</v>
      </c>
      <c r="G50">
        <f t="array" aca="1" ref="G50" ca="1">IFERROR(VLOOKUP($D$5&amp;$C50,CHOOSE({1,2},D_技能表!$C$2:$C$1210&amp;D_技能表!$E$2:$E$1210,D_技能表!$Z$2:$Z$1210),2,FALSE),0)</f>
        <v>20</v>
      </c>
      <c r="H50">
        <f t="array" aca="1" ref="H50" ca="1">IFERROR(VLOOKUP($H$5&amp;$C50,CHOOSE({1,2},D_技能表!$C$2:$C$1210&amp;D_技能表!$E$2:$E$1210,D_技能表!$I$2:$I$1210),2,FALSE),0)</f>
        <v>26</v>
      </c>
      <c r="I50">
        <f t="array" aca="1" ref="I50" ca="1">IFERROR(VLOOKUP($H$5&amp;$C50,CHOOSE({1,2},D_技能表!$C$2:$C$1210&amp;D_技能表!$E$2:$E$1210,D_技能表!$N$2:$N$1210),2,FALSE),0)</f>
        <v>24520</v>
      </c>
      <c r="J50">
        <f t="array" aca="1" ref="J50" ca="1">IFERROR(VLOOKUP($H$5&amp;$C50,CHOOSE({1,2},D_技能表!$C$2:$C$1210&amp;D_技能表!$E$2:$E$1210,D_技能表!$W$2:$W$1210),2,FALSE),0)</f>
        <v>20</v>
      </c>
      <c r="K50">
        <f t="array" aca="1" ref="K50" ca="1">IFERROR(VLOOKUP($H$5&amp;$C50,CHOOSE({1,2},D_技能表!$C$2:$C$1210&amp;D_技能表!$E$2:$E$1210,D_技能表!$Z$2:$Z$1210),2,FALSE),0)</f>
        <v>8</v>
      </c>
      <c r="L50">
        <f t="array" aca="1" ref="L50" ca="1">IFERROR(VLOOKUP($L$5&amp;$C50,CHOOSE({1,2},D_技能表!$C$2:$C$1210&amp;D_技能表!$E$2:$E$1210,D_技能表!$I$2:$I$1210),2,FALSE),0)</f>
        <v>26</v>
      </c>
      <c r="M50">
        <f t="array" aca="1" ref="M50" ca="1">IFERROR(VLOOKUP($L$5&amp;$C50,CHOOSE({1,2},D_技能表!$C$2:$C$1210&amp;D_技能表!$E$2:$E$1210,D_技能表!$N$2:$N$1210),2,FALSE),0)</f>
        <v>24520</v>
      </c>
      <c r="N50">
        <f t="array" aca="1" ref="N50" ca="1">IFERROR(VLOOKUP($L$5&amp;$C50,CHOOSE({1,2},D_技能表!$C$2:$C$1210&amp;D_技能表!$E$2:$E$1210,D_技能表!$W$2:$W$1210),2,FALSE),0)</f>
        <v>20</v>
      </c>
      <c r="O50">
        <f t="array" aca="1" ref="O50" ca="1">IFERROR(VLOOKUP($L$5&amp;$C50,CHOOSE({1,2},D_技能表!$C$2:$C$1210&amp;D_技能表!$E$2:$E$1210,D_技能表!$Z$2:$Z$1210),2,FALSE),0)</f>
        <v>8</v>
      </c>
      <c r="P50">
        <f t="array" aca="1" ref="P50" ca="1">IFERROR(VLOOKUP($P$5&amp;$C50,CHOOSE({1,2},D_技能表!$C$2:$C$1210&amp;D_技能表!$E$2:$E$1210,D_技能表!$I$2:$I$1210),2,FALSE),0)</f>
        <v>25</v>
      </c>
      <c r="Q50">
        <f t="array" aca="1" ref="Q50" ca="1">IFERROR(VLOOKUP($P$5&amp;$C50,CHOOSE({1,2},D_技能表!$C$2:$C$1210&amp;D_技能表!$E$2:$E$1210,D_技能表!$N$2:$N$1210),2,FALSE),0)</f>
        <v>23294</v>
      </c>
      <c r="R50">
        <f t="array" aca="1" ref="R50" ca="1">IFERROR(VLOOKUP($P$5&amp;$C50,CHOOSE({1,2},D_技能表!$C$2:$C$1210&amp;D_技能表!$E$2:$E$1210,D_技能表!$W$2:$W$1210),2,FALSE),0)</f>
        <v>19</v>
      </c>
      <c r="S50">
        <f t="array" aca="1" ref="S50" ca="1">IFERROR(VLOOKUP($P$5&amp;$C50,CHOOSE({1,2},D_技能表!$C$2:$C$1210&amp;D_技能表!$E$2:$E$1210,D_技能表!$Z$2:$Z$1210),2,FALSE),0)</f>
        <v>8</v>
      </c>
      <c r="T50">
        <f t="array" aca="1" ref="T50" ca="1">IFERROR(VLOOKUP($T$5&amp;$C50,CHOOSE({1,2},D_技能表!$C$2:$C$1210&amp;D_技能表!$E$2:$E$1210,D_技能表!$I$2:$I$1210),2,FALSE),0)</f>
        <v>0</v>
      </c>
      <c r="U50">
        <f t="array" aca="1" ref="U50" ca="1">IFERROR(VLOOKUP($T$5&amp;$C50,CHOOSE({1,2},D_技能表!$C$2:$C$1210&amp;D_技能表!$E$2:$E$1210,D_技能表!$N$2:$N$1210),2,FALSE),0)</f>
        <v>0</v>
      </c>
      <c r="V50">
        <f t="array" aca="1" ref="V50" ca="1">IFERROR(VLOOKUP($T$5&amp;$C50,CHOOSE({1,2},D_技能表!$C$2:$C$1210&amp;D_技能表!$E$2:$E$1210,D_技能表!$W$2:$W$1210),2,FALSE),0)</f>
        <v>0</v>
      </c>
      <c r="W50">
        <f t="array" aca="1" ref="W50" ca="1">IFERROR(VLOOKUP($T$5&amp;$C50,CHOOSE({1,2},D_技能表!$C$2:$C$1210&amp;D_技能表!$E$2:$E$1210,D_技能表!$Z$2:$Z$1210),2,FALSE),0)</f>
        <v>0</v>
      </c>
      <c r="X50">
        <f t="array" aca="1" ref="X50" ca="1">IFERROR(VLOOKUP($X$5&amp;$C50,CHOOSE({1,2},D_技能表!$C$2:$C$1210&amp;D_技能表!$E$2:$E$1210,D_技能表!$I$2:$I$1210),2,FALSE),0)</f>
        <v>26</v>
      </c>
      <c r="Y50">
        <f t="array" aca="1" ref="Y50" ca="1">IFERROR(VLOOKUP($X$5&amp;$C50,CHOOSE({1,2},D_技能表!$C$2:$C$1210&amp;D_技能表!$E$2:$E$1210,D_技能表!$N$2:$N$1210),2,FALSE),0)</f>
        <v>52718</v>
      </c>
      <c r="Z50">
        <f t="array" aca="1" ref="Z50" ca="1">IFERROR(VLOOKUP($X$5&amp;$C50,CHOOSE({1,2},D_技能表!$C$2:$C$1210&amp;D_技能表!$E$2:$E$1210,D_技能表!$W$2:$W$1210),2,FALSE),0)</f>
        <v>43</v>
      </c>
      <c r="AA50">
        <f t="array" aca="1" ref="AA50" ca="1">IFERROR(VLOOKUP($X$5&amp;$C50,CHOOSE({1,2},D_技能表!$C$2:$C$1210&amp;D_技能表!$E$2:$E$1210,D_技能表!$Z$2:$Z$1210),2,FALSE),0)</f>
        <v>18</v>
      </c>
      <c r="AB50">
        <f t="array" aca="1" ref="AB50" ca="1">IFERROR(VLOOKUP($AB$5&amp;$C50,CHOOSE({1,2},D_技能表!$C$2:$C$1210&amp;D_技能表!$E$2:$E$1210,D_技能表!$I$2:$I$1210),2,FALSE),0)</f>
        <v>26</v>
      </c>
      <c r="AC50">
        <f t="array" aca="1" ref="AC50" ca="1">IFERROR(VLOOKUP($AB$5&amp;$C50,CHOOSE({1,2},D_技能表!$C$2:$C$1210&amp;D_技能表!$E$2:$E$1210,D_技能表!$N$2:$N$1210),2,FALSE),0)</f>
        <v>25746</v>
      </c>
      <c r="AD50">
        <f t="array" aca="1" ref="AD50" ca="1">IFERROR(VLOOKUP($AB$5&amp;$C50,CHOOSE({1,2},D_技能表!$C$2:$C$1210&amp;D_技能表!$E$2:$E$1210,D_技能表!$W$2:$W$1210),2,FALSE),0)</f>
        <v>21</v>
      </c>
      <c r="AE50">
        <f t="array" aca="1" ref="AE50" ca="1">IFERROR(VLOOKUP($AB$5&amp;$C50,CHOOSE({1,2},D_技能表!$C$2:$C$1210&amp;D_技能表!$E$2:$E$1210,D_技能表!$Z$2:$Z$1210),2,FALSE),0)</f>
        <v>9</v>
      </c>
      <c r="AF50">
        <f t="array" aca="1" ref="AF50" ca="1">IFERROR(VLOOKUP($AF$5&amp;$C50,CHOOSE({1,2},D_技能表!$C$2:$C$1210&amp;D_技能表!$E$2:$E$1210,D_技能表!$I$2:$I$1210),2,FALSE),0)</f>
        <v>25</v>
      </c>
      <c r="AG50">
        <f t="array" aca="1" ref="AG50" ca="1">IFERROR(VLOOKUP($AF$5&amp;$C50,CHOOSE({1,2},D_技能表!$C$2:$C$1210&amp;D_技能表!$E$2:$E$1210,D_技能表!$N$2:$N$1210),2,FALSE),0)</f>
        <v>22068</v>
      </c>
      <c r="AH50">
        <f t="array" aca="1" ref="AH50" ca="1">IFERROR(VLOOKUP($AF$5&amp;$C50,CHOOSE({1,2},D_技能表!$C$2:$C$1210&amp;D_技能表!$E$2:$E$1210,D_技能表!$W$2:$W$1210),2,FALSE),0)</f>
        <v>18</v>
      </c>
      <c r="AI50">
        <f t="array" aca="1" ref="AI50" ca="1">IFERROR(VLOOKUP($AF$5&amp;$C50,CHOOSE({1,2},D_技能表!$C$2:$C$1210&amp;D_技能表!$E$2:$E$1210,D_技能表!$Z$2:$Z$1210),2,FALSE),0)</f>
        <v>8</v>
      </c>
      <c r="AJ50">
        <f t="array" aca="1" ref="AJ50" ca="1">IFERROR(VLOOKUP($AJ$5&amp;$C50,CHOOSE({1,2},D_技能表!$C$2:$C$1210&amp;D_技能表!$E$2:$E$1210,D_技能表!$I$2:$I$1210),2,FALSE),0)</f>
        <v>24</v>
      </c>
      <c r="AK50">
        <f t="array" aca="1" ref="AK50" ca="1">IFERROR(VLOOKUP($AJ$5&amp;$C50,CHOOSE({1,2},D_技能表!$C$2:$C$1210&amp;D_技能表!$E$2:$E$1210,D_技能表!$N$2:$N$1210),2,FALSE),0)</f>
        <v>19616</v>
      </c>
      <c r="AL50">
        <f t="array" aca="1" ref="AL50" ca="1">IFERROR(VLOOKUP($AJ$5&amp;$C50,CHOOSE({1,2},D_技能表!$C$2:$C$1210&amp;D_技能表!$E$2:$E$1210,D_技能表!$W$2:$W$1210),2,FALSE),0)</f>
        <v>16</v>
      </c>
      <c r="AM50">
        <f t="array" aca="1" ref="AM50" ca="1">IFERROR(VLOOKUP($AJ$5&amp;$C50,CHOOSE({1,2},D_技能表!$C$2:$C$1210&amp;D_技能表!$E$2:$E$1210,D_技能表!$Z$2:$Z$1210),2,FALSE),0)</f>
        <v>7</v>
      </c>
      <c r="AN50">
        <f t="array" aca="1" ref="AN50" ca="1">IFERROR(VLOOKUP($AN$5&amp;$C50,CHOOSE({1,2},D_技能表!$C$2:$C$1210&amp;D_技能表!$E$2:$E$1210,D_技能表!$I$2:$I$1210),2,FALSE),0)</f>
        <v>0</v>
      </c>
      <c r="AO50">
        <f t="array" aca="1" ref="AO50" ca="1">IFERROR(VLOOKUP($AN$5&amp;$C50,CHOOSE({1,2},D_技能表!$C$2:$C$1210&amp;D_技能表!$E$2:$E$1210,D_技能表!$N$2:$N$1210),2,FALSE),0)</f>
        <v>0</v>
      </c>
      <c r="AP50">
        <f t="array" aca="1" ref="AP50" ca="1">IFERROR(VLOOKUP($AN$5&amp;$C50,CHOOSE({1,2},D_技能表!$C$2:$C$1210&amp;D_技能表!$E$2:$E$1210,D_技能表!$W$2:$W$1210),2,FALSE),0)</f>
        <v>0</v>
      </c>
      <c r="AQ50">
        <f t="array" aca="1" ref="AQ50" ca="1">IFERROR(VLOOKUP($AN$5&amp;$C50,CHOOSE({1,2},D_技能表!$C$2:$C$1210&amp;D_技能表!$E$2:$E$1210,D_技能表!$Z$2:$Z$1210),2,FALSE),0)</f>
        <v>0</v>
      </c>
      <c r="AR50" s="11">
        <f ca="1">SUM($G$7:G51,$K$7:K51,$O$7:O51,$S$7:S51,$W$7:W51,$AA$7:AA51,$AE$7:AE51,$AI$7:AI51,$AM$7:AM51,$AQ$7:AQ51)</f>
        <v>793</v>
      </c>
      <c r="AS50">
        <f ca="1">SUM($F$7:F51,$J$7:J51,$N$7:N51,$R$7:R51,$V$7:V51,$Z$7:Z51,$AD$7:AD51,$AH$7:AH51,$AL$7:AL51,$AP$7:AP51)</f>
        <v>3387</v>
      </c>
      <c r="AT50">
        <f t="shared" ca="1" si="1"/>
        <v>206</v>
      </c>
      <c r="AU50" s="33">
        <f ca="1">SUM($AX$7:AX50,$BB$7:BB50,$BF$7:BF50,$BJ$7:BJ50)</f>
        <v>650400</v>
      </c>
      <c r="AV50">
        <v>44</v>
      </c>
      <c r="AW50">
        <f t="array" ref="AW50">IFERROR(VLOOKUP(AW$5&amp;$AV50,CHOOSE({1,2},D_技能表CD!$C$2:$C$313&amp;D_技能表CD!$E$2:$E$313,D_技能表CD!$I$2:$I$313),2,FALSE),0)</f>
        <v>0</v>
      </c>
      <c r="AX50">
        <f t="array" aca="1" ref="AX50" ca="1">IFERROR(VLOOKUP(AW$5&amp;$AV50,CHOOSE({1,2},D_技能表CD!$C$2:$C$313&amp;D_技能表CD!$E$2:$E$313,D_技能表CD!$H$2:$H$313),2,FALSE),0)</f>
        <v>0</v>
      </c>
      <c r="AY50">
        <f t="array" aca="1" ref="AY50" ca="1">IFERROR(VLOOKUP(AW$5&amp;$AV50,CHOOSE({1,2},D_技能表CD!$C$2:$C$313&amp;D_技能表CD!$E$2:$E$313,D_技能表CD!$L$2:$L$313),2,FALSE),0)</f>
        <v>0</v>
      </c>
      <c r="AZ50">
        <f t="array" aca="1" ref="AZ50" ca="1">IFERROR(VLOOKUP(AW$5&amp;$AV50,CHOOSE({1,2},D_技能表CD!$C$2:$C$313&amp;D_技能表CD!$E$2:$E$313,D_技能表CD!$K$2:$K$313),2,FALSE),0)</f>
        <v>0</v>
      </c>
      <c r="BA50">
        <f t="array" ref="BA50">IFERROR(VLOOKUP(BA$5&amp;$AV50,CHOOSE({1,2},D_技能表CD!$C$2:$C$313&amp;D_技能表CD!$E$2:$E$313,D_技能表CD!$I$2:$I$313),2,FALSE),0)</f>
        <v>0</v>
      </c>
      <c r="BB50">
        <f t="array" aca="1" ref="BB50" ca="1">IFERROR(VLOOKUP(BA$5&amp;$AV50,CHOOSE({1,2},D_技能表CD!$C$2:$C$313&amp;D_技能表CD!$E$2:$E$313,D_技能表CD!$H$2:$H$313),2,FALSE),0)</f>
        <v>0</v>
      </c>
      <c r="BC50">
        <f t="array" aca="1" ref="BC50" ca="1">IFERROR(VLOOKUP(BA$5&amp;$AV50,CHOOSE({1,2},D_技能表CD!$C$2:$C$313&amp;D_技能表CD!$E$2:$E$313,D_技能表CD!$L$2:$L$313),2,FALSE),0)</f>
        <v>0</v>
      </c>
      <c r="BD50">
        <f t="array" aca="1" ref="BD50" ca="1">IFERROR(VLOOKUP(BA$5&amp;$AV50,CHOOSE({1,2},D_技能表CD!$C$2:$C$313&amp;D_技能表CD!$E$2:$E$313,D_技能表CD!$K$2:$K$313),2,FALSE),0)</f>
        <v>0</v>
      </c>
      <c r="BE50">
        <f t="array" ref="BE50">IFERROR(VLOOKUP(BE$5&amp;$AV50,CHOOSE({1,2},D_技能表CD!$C$2:$C$313&amp;D_技能表CD!$E$2:$E$313,D_技能表CD!$I$2:$I$313),2,FALSE),0)</f>
        <v>0</v>
      </c>
      <c r="BF50">
        <f t="array" aca="1" ref="BF50" ca="1">IFERROR(VLOOKUP(BE$5&amp;$AV50,CHOOSE({1,2},D_技能表CD!$C$2:$C$313&amp;D_技能表CD!$E$2:$E$313,D_技能表CD!$H$2:$H$313),2,FALSE),0)</f>
        <v>0</v>
      </c>
      <c r="BG50">
        <f t="array" aca="1" ref="BG50" ca="1">IFERROR(VLOOKUP(BE$5&amp;$AV50,CHOOSE({1,2},D_技能表CD!$C$2:$C$313&amp;D_技能表CD!$E$2:$E$313,D_技能表CD!$L$2:$L$313),2,FALSE),0)</f>
        <v>0</v>
      </c>
      <c r="BH50">
        <f t="array" aca="1" ref="BH50" ca="1">IFERROR(VLOOKUP(BE$5&amp;$AV50,CHOOSE({1,2},D_技能表CD!$C$2:$C$313&amp;D_技能表CD!$E$2:$E$313,D_技能表CD!$K$2:$K$313),2,FALSE),0)</f>
        <v>0</v>
      </c>
      <c r="BI50">
        <f t="array" ref="BI50">IFERROR(VLOOKUP(BI$5&amp;$AV50,CHOOSE({1,2},D_技能表CD!$C$2:$C$313&amp;D_技能表CD!$E$2:$E$313,D_技能表CD!$I$2:$I$313),2,FALSE),0)</f>
        <v>14</v>
      </c>
      <c r="BJ50">
        <f t="array" aca="1" ref="BJ50" ca="1">IFERROR(VLOOKUP(BI$5&amp;$AV50,CHOOSE({1,2},D_技能表CD!$C$2:$C$313&amp;D_技能表CD!$E$2:$E$313,D_技能表CD!$H$2:$H$313),2,FALSE),0)</f>
        <v>41150</v>
      </c>
      <c r="BK50">
        <f t="array" aca="1" ref="BK50" ca="1">IFERROR(VLOOKUP(BI$5&amp;$AV50,CHOOSE({1,2},D_技能表CD!$C$2:$C$313&amp;D_技能表CD!$E$2:$E$313,D_技能表CD!$L$2:$L$313),2,FALSE),0)</f>
        <v>133</v>
      </c>
      <c r="BL50">
        <f t="array" aca="1" ref="BL50" ca="1">IFERROR(VLOOKUP(BI$5&amp;$AV50,CHOOSE({1,2},D_技能表CD!$C$2:$C$313&amp;D_技能表CD!$E$2:$E$313,D_技能表CD!$K$2:$K$313),2,FALSE),0)</f>
        <v>190</v>
      </c>
    </row>
    <row r="51" spans="1:64" x14ac:dyDescent="0.15">
      <c r="A51">
        <f t="shared" ca="1" si="0"/>
        <v>3010300</v>
      </c>
      <c r="B51" s="33">
        <f ca="1">SUM($E$7:E51,$I$7:I51,$M$7:M51,$Q$7:Q51,$U$7:U51,$Y$7:Y51,$AC$7:AC51,$AG$7:AG51,$AK$7:AK51,$AO$7:AO51)</f>
        <v>2309900</v>
      </c>
      <c r="C51">
        <v>45</v>
      </c>
      <c r="D51">
        <f t="array" aca="1" ref="D51" ca="1">IFERROR(VLOOKUP($D$5&amp;C51,CHOOSE({1,2},D_技能表!$C$2:$C$1210&amp;D_技能表!$E$2:$E$1210,D_技能表!$I$2:$I$1210),2,FALSE),0)</f>
        <v>0</v>
      </c>
      <c r="E51">
        <f t="array" aca="1" ref="E51" ca="1">IFERROR(VLOOKUP($D$5&amp;$C51,CHOOSE({1,2},D_技能表!$C$2:$C$1210&amp;D_技能表!$E$2:$E$1210,D_技能表!$N$2:$N$1210),2,FALSE),0)</f>
        <v>0</v>
      </c>
      <c r="F51">
        <f t="array" aca="1" ref="F51" ca="1">IFERROR(VLOOKUP($D$5&amp;$C51,CHOOSE({1,2},D_技能表!$C$2:$C$1210&amp;D_技能表!$E$2:$E$1210,D_技能表!$W$2:$W$1210),2,FALSE),0)</f>
        <v>0</v>
      </c>
      <c r="G51">
        <f t="array" aca="1" ref="G51" ca="1">IFERROR(VLOOKUP($D$5&amp;$C51,CHOOSE({1,2},D_技能表!$C$2:$C$1210&amp;D_技能表!$E$2:$E$1210,D_技能表!$Z$2:$Z$1210),2,FALSE),0)</f>
        <v>0</v>
      </c>
      <c r="H51">
        <f t="array" aca="1" ref="H51" ca="1">IFERROR(VLOOKUP($H$5&amp;$C51,CHOOSE({1,2},D_技能表!$C$2:$C$1210&amp;D_技能表!$E$2:$E$1210,D_技能表!$I$2:$I$1210),2,FALSE),0)</f>
        <v>27</v>
      </c>
      <c r="I51">
        <f t="array" aca="1" ref="I51" ca="1">IFERROR(VLOOKUP($H$5&amp;$C51,CHOOSE({1,2},D_技能表!$C$2:$C$1210&amp;D_技能表!$E$2:$E$1210,D_技能表!$N$2:$N$1210),2,FALSE),0)</f>
        <v>27027</v>
      </c>
      <c r="J51">
        <f t="array" aca="1" ref="J51" ca="1">IFERROR(VLOOKUP($H$5&amp;$C51,CHOOSE({1,2},D_技能表!$C$2:$C$1210&amp;D_技能表!$E$2:$E$1210,D_技能表!$W$2:$W$1210),2,FALSE),0)</f>
        <v>21</v>
      </c>
      <c r="K51">
        <f t="array" aca="1" ref="K51" ca="1">IFERROR(VLOOKUP($H$5&amp;$C51,CHOOSE({1,2},D_技能表!$C$2:$C$1210&amp;D_技能表!$E$2:$E$1210,D_技能表!$Z$2:$Z$1210),2,FALSE),0)</f>
        <v>9</v>
      </c>
      <c r="L51">
        <f t="array" aca="1" ref="L51" ca="1">IFERROR(VLOOKUP($L$5&amp;$C51,CHOOSE({1,2},D_技能表!$C$2:$C$1210&amp;D_技能表!$E$2:$E$1210,D_技能表!$I$2:$I$1210),2,FALSE),0)</f>
        <v>27</v>
      </c>
      <c r="M51">
        <f t="array" aca="1" ref="M51" ca="1">IFERROR(VLOOKUP($L$5&amp;$C51,CHOOSE({1,2},D_技能表!$C$2:$C$1210&amp;D_技能表!$E$2:$E$1210,D_技能表!$N$2:$N$1210),2,FALSE),0)</f>
        <v>27027</v>
      </c>
      <c r="N51">
        <f t="array" aca="1" ref="N51" ca="1">IFERROR(VLOOKUP($L$5&amp;$C51,CHOOSE({1,2},D_技能表!$C$2:$C$1210&amp;D_技能表!$E$2:$E$1210,D_技能表!$W$2:$W$1210),2,FALSE),0)</f>
        <v>21</v>
      </c>
      <c r="O51">
        <f t="array" aca="1" ref="O51" ca="1">IFERROR(VLOOKUP($L$5&amp;$C51,CHOOSE({1,2},D_技能表!$C$2:$C$1210&amp;D_技能表!$E$2:$E$1210,D_技能表!$Z$2:$Z$1210),2,FALSE),0)</f>
        <v>9</v>
      </c>
      <c r="P51">
        <f t="array" aca="1" ref="P51" ca="1">IFERROR(VLOOKUP($P$5&amp;$C51,CHOOSE({1,2},D_技能表!$C$2:$C$1210&amp;D_技能表!$E$2:$E$1210,D_技能表!$I$2:$I$1210),2,FALSE),0)</f>
        <v>26</v>
      </c>
      <c r="Q51">
        <f t="array" aca="1" ref="Q51" ca="1">IFERROR(VLOOKUP($P$5&amp;$C51,CHOOSE({1,2},D_技能表!$C$2:$C$1210&amp;D_技能表!$E$2:$E$1210,D_技能表!$N$2:$N$1210),2,FALSE),0)</f>
        <v>25740</v>
      </c>
      <c r="R51">
        <f t="array" aca="1" ref="R51" ca="1">IFERROR(VLOOKUP($P$5&amp;$C51,CHOOSE({1,2},D_技能表!$C$2:$C$1210&amp;D_技能表!$E$2:$E$1210,D_技能表!$W$2:$W$1210),2,FALSE),0)</f>
        <v>20</v>
      </c>
      <c r="S51">
        <f t="array" aca="1" ref="S51" ca="1">IFERROR(VLOOKUP($P$5&amp;$C51,CHOOSE({1,2},D_技能表!$C$2:$C$1210&amp;D_技能表!$E$2:$E$1210,D_技能表!$Z$2:$Z$1210),2,FALSE),0)</f>
        <v>8</v>
      </c>
      <c r="T51">
        <f t="array" aca="1" ref="T51" ca="1">IFERROR(VLOOKUP($T$5&amp;$C51,CHOOSE({1,2},D_技能表!$C$2:$C$1210&amp;D_技能表!$E$2:$E$1210,D_技能表!$I$2:$I$1210),2,FALSE),0)</f>
        <v>25</v>
      </c>
      <c r="U51">
        <f t="array" aca="1" ref="U51" ca="1">IFERROR(VLOOKUP($T$5&amp;$C51,CHOOSE({1,2},D_技能表!$C$2:$C$1210&amp;D_技能表!$E$2:$E$1210,D_技能表!$N$2:$N$1210),2,FALSE),0)</f>
        <v>39897</v>
      </c>
      <c r="V51">
        <f t="array" aca="1" ref="V51" ca="1">IFERROR(VLOOKUP($T$5&amp;$C51,CHOOSE({1,2},D_技能表!$C$2:$C$1210&amp;D_技能表!$E$2:$E$1210,D_技能表!$W$2:$W$1210),2,FALSE),0)</f>
        <v>31</v>
      </c>
      <c r="W51">
        <f t="array" aca="1" ref="W51" ca="1">IFERROR(VLOOKUP($T$5&amp;$C51,CHOOSE({1,2},D_技能表!$C$2:$C$1210&amp;D_技能表!$E$2:$E$1210,D_技能表!$Z$2:$Z$1210),2,FALSE),0)</f>
        <v>13</v>
      </c>
      <c r="X51">
        <f t="array" aca="1" ref="X51" ca="1">IFERROR(VLOOKUP($X$5&amp;$C51,CHOOSE({1,2},D_技能表!$C$2:$C$1210&amp;D_技能表!$E$2:$E$1210,D_技能表!$I$2:$I$1210),2,FALSE),0)</f>
        <v>0</v>
      </c>
      <c r="Y51">
        <f t="array" aca="1" ref="Y51" ca="1">IFERROR(VLOOKUP($X$5&amp;$C51,CHOOSE({1,2},D_技能表!$C$2:$C$1210&amp;D_技能表!$E$2:$E$1210,D_技能表!$N$2:$N$1210),2,FALSE),0)</f>
        <v>0</v>
      </c>
      <c r="Z51">
        <f t="array" aca="1" ref="Z51" ca="1">IFERROR(VLOOKUP($X$5&amp;$C51,CHOOSE({1,2},D_技能表!$C$2:$C$1210&amp;D_技能表!$E$2:$E$1210,D_技能表!$W$2:$W$1210),2,FALSE),0)</f>
        <v>0</v>
      </c>
      <c r="AA51">
        <f t="array" aca="1" ref="AA51" ca="1">IFERROR(VLOOKUP($X$5&amp;$C51,CHOOSE({1,2},D_技能表!$C$2:$C$1210&amp;D_技能表!$E$2:$E$1210,D_技能表!$Z$2:$Z$1210),2,FALSE),0)</f>
        <v>0</v>
      </c>
      <c r="AB51">
        <f t="array" aca="1" ref="AB51" ca="1">IFERROR(VLOOKUP($AB$5&amp;$C51,CHOOSE({1,2},D_技能表!$C$2:$C$1210&amp;D_技能表!$E$2:$E$1210,D_技能表!$I$2:$I$1210),2,FALSE),0)</f>
        <v>0</v>
      </c>
      <c r="AC51">
        <f t="array" aca="1" ref="AC51" ca="1">IFERROR(VLOOKUP($AB$5&amp;$C51,CHOOSE({1,2},D_技能表!$C$2:$C$1210&amp;D_技能表!$E$2:$E$1210,D_技能表!$N$2:$N$1210),2,FALSE),0)</f>
        <v>0</v>
      </c>
      <c r="AD51">
        <f t="array" aca="1" ref="AD51" ca="1">IFERROR(VLOOKUP($AB$5&amp;$C51,CHOOSE({1,2},D_技能表!$C$2:$C$1210&amp;D_技能表!$E$2:$E$1210,D_技能表!$W$2:$W$1210),2,FALSE),0)</f>
        <v>0</v>
      </c>
      <c r="AE51">
        <f t="array" aca="1" ref="AE51" ca="1">IFERROR(VLOOKUP($AB$5&amp;$C51,CHOOSE({1,2},D_技能表!$C$2:$C$1210&amp;D_技能表!$E$2:$E$1210,D_技能表!$Z$2:$Z$1210),2,FALSE),0)</f>
        <v>0</v>
      </c>
      <c r="AF51">
        <f t="array" aca="1" ref="AF51" ca="1">IFERROR(VLOOKUP($AF$5&amp;$C51,CHOOSE({1,2},D_技能表!$C$2:$C$1210&amp;D_技能表!$E$2:$E$1210,D_技能表!$I$2:$I$1210),2,FALSE),0)</f>
        <v>26</v>
      </c>
      <c r="AG51">
        <f t="array" aca="1" ref="AG51" ca="1">IFERROR(VLOOKUP($AF$5&amp;$C51,CHOOSE({1,2},D_技能表!$C$2:$C$1210&amp;D_技能表!$E$2:$E$1210,D_技能表!$N$2:$N$1210),2,FALSE),0)</f>
        <v>24453</v>
      </c>
      <c r="AH51">
        <f t="array" aca="1" ref="AH51" ca="1">IFERROR(VLOOKUP($AF$5&amp;$C51,CHOOSE({1,2},D_技能表!$C$2:$C$1210&amp;D_技能表!$E$2:$E$1210,D_技能表!$W$2:$W$1210),2,FALSE),0)</f>
        <v>19</v>
      </c>
      <c r="AI51">
        <f t="array" aca="1" ref="AI51" ca="1">IFERROR(VLOOKUP($AF$5&amp;$C51,CHOOSE({1,2},D_技能表!$C$2:$C$1210&amp;D_技能表!$E$2:$E$1210,D_技能表!$Z$2:$Z$1210),2,FALSE),0)</f>
        <v>8</v>
      </c>
      <c r="AJ51">
        <f t="array" aca="1" ref="AJ51" ca="1">IFERROR(VLOOKUP($AJ$5&amp;$C51,CHOOSE({1,2},D_技能表!$C$2:$C$1210&amp;D_技能表!$E$2:$E$1210,D_技能表!$I$2:$I$1210),2,FALSE),0)</f>
        <v>25</v>
      </c>
      <c r="AK51">
        <f t="array" aca="1" ref="AK51" ca="1">IFERROR(VLOOKUP($AJ$5&amp;$C51,CHOOSE({1,2},D_技能表!$C$2:$C$1210&amp;D_技能表!$E$2:$E$1210,D_技能表!$N$2:$N$1210),2,FALSE),0)</f>
        <v>23166</v>
      </c>
      <c r="AL51">
        <f t="array" aca="1" ref="AL51" ca="1">IFERROR(VLOOKUP($AJ$5&amp;$C51,CHOOSE({1,2},D_技能表!$C$2:$C$1210&amp;D_技能表!$E$2:$E$1210,D_技能表!$W$2:$W$1210),2,FALSE),0)</f>
        <v>18</v>
      </c>
      <c r="AM51">
        <f t="array" aca="1" ref="AM51" ca="1">IFERROR(VLOOKUP($AJ$5&amp;$C51,CHOOSE({1,2},D_技能表!$C$2:$C$1210&amp;D_技能表!$E$2:$E$1210,D_技能表!$Z$2:$Z$1210),2,FALSE),0)</f>
        <v>8</v>
      </c>
      <c r="AN51">
        <f t="array" aca="1" ref="AN51" ca="1">IFERROR(VLOOKUP($AN$5&amp;$C51,CHOOSE({1,2},D_技能表!$C$2:$C$1210&amp;D_技能表!$E$2:$E$1210,D_技能表!$I$2:$I$1210),2,FALSE),0)</f>
        <v>24</v>
      </c>
      <c r="AO51">
        <f t="array" aca="1" ref="AO51" ca="1">IFERROR(VLOOKUP($AN$5&amp;$C51,CHOOSE({1,2},D_技能表!$C$2:$C$1210&amp;D_技能表!$E$2:$E$1210,D_技能表!$N$2:$N$1210),2,FALSE),0)</f>
        <v>38610</v>
      </c>
      <c r="AP51">
        <f t="array" aca="1" ref="AP51" ca="1">IFERROR(VLOOKUP($AN$5&amp;$C51,CHOOSE({1,2},D_技能表!$C$2:$C$1210&amp;D_技能表!$E$2:$E$1210,D_技能表!$W$2:$W$1210),2,FALSE),0)</f>
        <v>30</v>
      </c>
      <c r="AQ51">
        <f t="array" aca="1" ref="AQ51" ca="1">IFERROR(VLOOKUP($AN$5&amp;$C51,CHOOSE({1,2},D_技能表!$C$2:$C$1210&amp;D_技能表!$E$2:$E$1210,D_技能表!$Z$2:$Z$1210),2,FALSE),0)</f>
        <v>12</v>
      </c>
      <c r="AR51" s="11">
        <f ca="1">SUM($G$7:G52,$K$7:K52,$O$7:O52,$S$7:S52,$W$7:W52,$AA$7:AA52,$AE$7:AE52,$AI$7:AI52,$AM$7:AM52,$AQ$7:AQ52)</f>
        <v>886</v>
      </c>
      <c r="AS51">
        <f ca="1">SUM($F$7:F52,$J$7:J52,$N$7:N52,$R$7:R52,$V$7:V52,$Z$7:Z52,$AD$7:AD52,$AH$7:AH52,$AL$7:AL52,$AP$7:AP52)</f>
        <v>3612</v>
      </c>
      <c r="AT51">
        <f t="shared" ca="1" si="1"/>
        <v>160</v>
      </c>
      <c r="AU51" s="33">
        <f ca="1">SUM($AX$7:AX51,$BB$7:BB51,$BF$7:BF51,$BJ$7:BJ51)</f>
        <v>700400</v>
      </c>
      <c r="AV51">
        <v>45</v>
      </c>
      <c r="AW51">
        <f t="array" ref="AW51">IFERROR(VLOOKUP(AW$5&amp;$AV51,CHOOSE({1,2},D_技能表CD!$C$2:$C$313&amp;D_技能表CD!$E$2:$E$313,D_技能表CD!$I$2:$I$313),2,FALSE),0)</f>
        <v>0</v>
      </c>
      <c r="AX51">
        <f t="array" aca="1" ref="AX51" ca="1">IFERROR(VLOOKUP(AW$5&amp;$AV51,CHOOSE({1,2},D_技能表CD!$C$2:$C$313&amp;D_技能表CD!$E$2:$E$313,D_技能表CD!$H$2:$H$313),2,FALSE),0)</f>
        <v>0</v>
      </c>
      <c r="AY51">
        <f t="array" aca="1" ref="AY51" ca="1">IFERROR(VLOOKUP(AW$5&amp;$AV51,CHOOSE({1,2},D_技能表CD!$C$2:$C$313&amp;D_技能表CD!$E$2:$E$313,D_技能表CD!$L$2:$L$313),2,FALSE),0)</f>
        <v>0</v>
      </c>
      <c r="AZ51">
        <f t="array" aca="1" ref="AZ51" ca="1">IFERROR(VLOOKUP(AW$5&amp;$AV51,CHOOSE({1,2},D_技能表CD!$C$2:$C$313&amp;D_技能表CD!$E$2:$E$313,D_技能表CD!$K$2:$K$313),2,FALSE),0)</f>
        <v>0</v>
      </c>
      <c r="BA51">
        <f t="array" ref="BA51">IFERROR(VLOOKUP(BA$5&amp;$AV51,CHOOSE({1,2},D_技能表CD!$C$2:$C$313&amp;D_技能表CD!$E$2:$E$313,D_技能表CD!$I$2:$I$313),2,FALSE),0)</f>
        <v>15</v>
      </c>
      <c r="BB51">
        <f t="array" aca="1" ref="BB51" ca="1">IFERROR(VLOOKUP(BA$5&amp;$AV51,CHOOSE({1,2},D_技能表CD!$C$2:$C$313&amp;D_技能表CD!$E$2:$E$313,D_技能表CD!$H$2:$H$313),2,FALSE),0)</f>
        <v>50000</v>
      </c>
      <c r="BC51">
        <f t="array" aca="1" ref="BC51" ca="1">IFERROR(VLOOKUP(BA$5&amp;$AV51,CHOOSE({1,2},D_技能表CD!$C$2:$C$313&amp;D_技能表CD!$E$2:$E$313,D_技能表CD!$L$2:$L$313),2,FALSE),0)</f>
        <v>158</v>
      </c>
      <c r="BD51">
        <f t="array" aca="1" ref="BD51" ca="1">IFERROR(VLOOKUP(BA$5&amp;$AV51,CHOOSE({1,2},D_技能表CD!$C$2:$C$313&amp;D_技能表CD!$E$2:$E$313,D_技能表CD!$K$2:$K$313),2,FALSE),0)</f>
        <v>237</v>
      </c>
      <c r="BE51">
        <f t="array" ref="BE51">IFERROR(VLOOKUP(BE$5&amp;$AV51,CHOOSE({1,2},D_技能表CD!$C$2:$C$313&amp;D_技能表CD!$E$2:$E$313,D_技能表CD!$I$2:$I$313),2,FALSE),0)</f>
        <v>0</v>
      </c>
      <c r="BF51">
        <f t="array" aca="1" ref="BF51" ca="1">IFERROR(VLOOKUP(BE$5&amp;$AV51,CHOOSE({1,2},D_技能表CD!$C$2:$C$313&amp;D_技能表CD!$E$2:$E$313,D_技能表CD!$H$2:$H$313),2,FALSE),0)</f>
        <v>0</v>
      </c>
      <c r="BG51">
        <f t="array" aca="1" ref="BG51" ca="1">IFERROR(VLOOKUP(BE$5&amp;$AV51,CHOOSE({1,2},D_技能表CD!$C$2:$C$313&amp;D_技能表CD!$E$2:$E$313,D_技能表CD!$L$2:$L$313),2,FALSE),0)</f>
        <v>0</v>
      </c>
      <c r="BH51">
        <f t="array" aca="1" ref="BH51" ca="1">IFERROR(VLOOKUP(BE$5&amp;$AV51,CHOOSE({1,2},D_技能表CD!$C$2:$C$313&amp;D_技能表CD!$E$2:$E$313,D_技能表CD!$K$2:$K$313),2,FALSE),0)</f>
        <v>0</v>
      </c>
      <c r="BI51">
        <f t="array" ref="BI51">IFERROR(VLOOKUP(BI$5&amp;$AV51,CHOOSE({1,2},D_技能表CD!$C$2:$C$313&amp;D_技能表CD!$E$2:$E$313,D_技能表CD!$I$2:$I$313),2,FALSE),0)</f>
        <v>0</v>
      </c>
      <c r="BJ51">
        <f t="array" aca="1" ref="BJ51" ca="1">IFERROR(VLOOKUP(BI$5&amp;$AV51,CHOOSE({1,2},D_技能表CD!$C$2:$C$313&amp;D_技能表CD!$E$2:$E$313,D_技能表CD!$H$2:$H$313),2,FALSE),0)</f>
        <v>0</v>
      </c>
      <c r="BK51">
        <f t="array" aca="1" ref="BK51" ca="1">IFERROR(VLOOKUP(BI$5&amp;$AV51,CHOOSE({1,2},D_技能表CD!$C$2:$C$313&amp;D_技能表CD!$E$2:$E$313,D_技能表CD!$L$2:$L$313),2,FALSE),0)</f>
        <v>0</v>
      </c>
      <c r="BL51">
        <f t="array" aca="1" ref="BL51" ca="1">IFERROR(VLOOKUP(BI$5&amp;$AV51,CHOOSE({1,2},D_技能表CD!$C$2:$C$313&amp;D_技能表CD!$E$2:$E$313,D_技能表CD!$K$2:$K$313),2,FALSE),0)</f>
        <v>0</v>
      </c>
    </row>
    <row r="52" spans="1:64" x14ac:dyDescent="0.15">
      <c r="A52">
        <f t="shared" ca="1" si="0"/>
        <v>3366925</v>
      </c>
      <c r="B52" s="33">
        <f ca="1">SUM($E$7:E52,$I$7:I52,$M$7:M52,$Q$7:Q52,$U$7:U52,$Y$7:Y52,$AC$7:AC52,$AG$7:AG52,$AK$7:AK52,$AO$7:AO52)</f>
        <v>2613425</v>
      </c>
      <c r="C52">
        <v>46</v>
      </c>
      <c r="D52">
        <f t="array" aca="1" ref="D52" ca="1">IFERROR(VLOOKUP($D$5&amp;C52,CHOOSE({1,2},D_技能表!$C$2:$C$1210&amp;D_技能表!$E$2:$E$1210,D_技能表!$I$2:$I$1210),2,FALSE),0)</f>
        <v>28</v>
      </c>
      <c r="E52">
        <f t="array" aca="1" ref="E52" ca="1">IFERROR(VLOOKUP($D$5&amp;$C52,CHOOSE({1,2},D_技能表!$C$2:$C$1210&amp;D_技能表!$E$2:$E$1210,D_技能表!$N$2:$N$1210),2,FALSE),0)</f>
        <v>70148</v>
      </c>
      <c r="F52">
        <f t="array" aca="1" ref="F52" ca="1">IFERROR(VLOOKUP($D$5&amp;$C52,CHOOSE({1,2},D_技能表!$C$2:$C$1210&amp;D_技能表!$E$2:$E$1210,D_技能表!$W$2:$W$1210),2,FALSE),0)</f>
        <v>52</v>
      </c>
      <c r="G52">
        <f t="array" aca="1" ref="G52" ca="1">IFERROR(VLOOKUP($D$5&amp;$C52,CHOOSE({1,2},D_技能表!$C$2:$C$1210&amp;D_技能表!$E$2:$E$1210,D_技能表!$Z$2:$Z$1210),2,FALSE),0)</f>
        <v>21</v>
      </c>
      <c r="H52">
        <f t="array" aca="1" ref="H52" ca="1">IFERROR(VLOOKUP($H$5&amp;$C52,CHOOSE({1,2},D_技能表!$C$2:$C$1210&amp;D_技能表!$E$2:$E$1210,D_技能表!$I$2:$I$1210),2,FALSE),0)</f>
        <v>0</v>
      </c>
      <c r="I52">
        <f t="array" aca="1" ref="I52" ca="1">IFERROR(VLOOKUP($H$5&amp;$C52,CHOOSE({1,2},D_技能表!$C$2:$C$1210&amp;D_技能表!$E$2:$E$1210,D_技能表!$N$2:$N$1210),2,FALSE),0)</f>
        <v>0</v>
      </c>
      <c r="J52">
        <f t="array" aca="1" ref="J52" ca="1">IFERROR(VLOOKUP($H$5&amp;$C52,CHOOSE({1,2},D_技能表!$C$2:$C$1210&amp;D_技能表!$E$2:$E$1210,D_技能表!$W$2:$W$1210),2,FALSE),0)</f>
        <v>0</v>
      </c>
      <c r="K52">
        <f t="array" aca="1" ref="K52" ca="1">IFERROR(VLOOKUP($H$5&amp;$C52,CHOOSE({1,2},D_技能表!$C$2:$C$1210&amp;D_技能表!$E$2:$E$1210,D_技能表!$Z$2:$Z$1210),2,FALSE),0)</f>
        <v>0</v>
      </c>
      <c r="L52">
        <f t="array" aca="1" ref="L52" ca="1">IFERROR(VLOOKUP($L$5&amp;$C52,CHOOSE({1,2},D_技能表!$C$2:$C$1210&amp;D_技能表!$E$2:$E$1210,D_技能表!$I$2:$I$1210),2,FALSE),0)</f>
        <v>0</v>
      </c>
      <c r="M52">
        <f t="array" aca="1" ref="M52" ca="1">IFERROR(VLOOKUP($L$5&amp;$C52,CHOOSE({1,2},D_技能表!$C$2:$C$1210&amp;D_技能表!$E$2:$E$1210,D_技能表!$N$2:$N$1210),2,FALSE),0)</f>
        <v>0</v>
      </c>
      <c r="N52">
        <f t="array" aca="1" ref="N52" ca="1">IFERROR(VLOOKUP($L$5&amp;$C52,CHOOSE({1,2},D_技能表!$C$2:$C$1210&amp;D_技能表!$E$2:$E$1210,D_技能表!$W$2:$W$1210),2,FALSE),0)</f>
        <v>0</v>
      </c>
      <c r="O52">
        <f t="array" aca="1" ref="O52" ca="1">IFERROR(VLOOKUP($L$5&amp;$C52,CHOOSE({1,2},D_技能表!$C$2:$C$1210&amp;D_技能表!$E$2:$E$1210,D_技能表!$Z$2:$Z$1210),2,FALSE),0)</f>
        <v>0</v>
      </c>
      <c r="P52">
        <f t="array" aca="1" ref="P52" ca="1">IFERROR(VLOOKUP($P$5&amp;$C52,CHOOSE({1,2},D_技能表!$C$2:$C$1210&amp;D_技能表!$E$2:$E$1210,D_技能表!$I$2:$I$1210),2,FALSE),0)</f>
        <v>27</v>
      </c>
      <c r="Q52">
        <f t="array" aca="1" ref="Q52" ca="1">IFERROR(VLOOKUP($P$5&amp;$C52,CHOOSE({1,2},D_技能表!$C$2:$C$1210&amp;D_技能表!$E$2:$E$1210,D_技能表!$N$2:$N$1210),2,FALSE),0)</f>
        <v>28329</v>
      </c>
      <c r="R52">
        <f t="array" aca="1" ref="R52" ca="1">IFERROR(VLOOKUP($P$5&amp;$C52,CHOOSE({1,2},D_技能表!$C$2:$C$1210&amp;D_技能表!$E$2:$E$1210,D_技能表!$W$2:$W$1210),2,FALSE),0)</f>
        <v>21</v>
      </c>
      <c r="S52">
        <f t="array" aca="1" ref="S52" ca="1">IFERROR(VLOOKUP($P$5&amp;$C52,CHOOSE({1,2},D_技能表!$C$2:$C$1210&amp;D_技能表!$E$2:$E$1210,D_技能表!$Z$2:$Z$1210),2,FALSE),0)</f>
        <v>9</v>
      </c>
      <c r="T52">
        <f t="array" aca="1" ref="T52" ca="1">IFERROR(VLOOKUP($T$5&amp;$C52,CHOOSE({1,2},D_技能表!$C$2:$C$1210&amp;D_技能表!$E$2:$E$1210,D_技能表!$I$2:$I$1210),2,FALSE),0)</f>
        <v>26</v>
      </c>
      <c r="U52">
        <f t="array" aca="1" ref="U52" ca="1">IFERROR(VLOOKUP($T$5&amp;$C52,CHOOSE({1,2},D_技能表!$C$2:$C$1210&amp;D_技能表!$E$2:$E$1210,D_技能表!$N$2:$N$1210),2,FALSE),0)</f>
        <v>44517</v>
      </c>
      <c r="V52">
        <f t="array" aca="1" ref="V52" ca="1">IFERROR(VLOOKUP($T$5&amp;$C52,CHOOSE({1,2},D_技能表!$C$2:$C$1210&amp;D_技能表!$E$2:$E$1210,D_技能表!$W$2:$W$1210),2,FALSE),0)</f>
        <v>33</v>
      </c>
      <c r="W52">
        <f t="array" aca="1" ref="W52" ca="1">IFERROR(VLOOKUP($T$5&amp;$C52,CHOOSE({1,2},D_技能表!$C$2:$C$1210&amp;D_技能表!$E$2:$E$1210,D_技能表!$Z$2:$Z$1210),2,FALSE),0)</f>
        <v>14</v>
      </c>
      <c r="X52">
        <f t="array" aca="1" ref="X52" ca="1">IFERROR(VLOOKUP($X$5&amp;$C52,CHOOSE({1,2},D_技能表!$C$2:$C$1210&amp;D_技能表!$E$2:$E$1210,D_技能表!$I$2:$I$1210),2,FALSE),0)</f>
        <v>27</v>
      </c>
      <c r="Y52">
        <f t="array" aca="1" ref="Y52" ca="1">IFERROR(VLOOKUP($X$5&amp;$C52,CHOOSE({1,2},D_技能表!$C$2:$C$1210&amp;D_技能表!$E$2:$E$1210,D_技能表!$N$2:$N$1210),2,FALSE),0)</f>
        <v>62054</v>
      </c>
      <c r="Z52">
        <f t="array" aca="1" ref="Z52" ca="1">IFERROR(VLOOKUP($X$5&amp;$C52,CHOOSE({1,2},D_技能表!$C$2:$C$1210&amp;D_技能表!$E$2:$E$1210,D_技能表!$W$2:$W$1210),2,FALSE),0)</f>
        <v>46</v>
      </c>
      <c r="AA52">
        <f t="array" aca="1" ref="AA52" ca="1">IFERROR(VLOOKUP($X$5&amp;$C52,CHOOSE({1,2},D_技能表!$C$2:$C$1210&amp;D_技能表!$E$2:$E$1210,D_技能表!$Z$2:$Z$1210),2,FALSE),0)</f>
        <v>19</v>
      </c>
      <c r="AB52">
        <f t="array" aca="1" ref="AB52" ca="1">IFERROR(VLOOKUP($AB$5&amp;$C52,CHOOSE({1,2},D_技能表!$C$2:$C$1210&amp;D_技能表!$E$2:$E$1210,D_技能表!$I$2:$I$1210),2,FALSE),0)</f>
        <v>27</v>
      </c>
      <c r="AC52">
        <f t="array" aca="1" ref="AC52" ca="1">IFERROR(VLOOKUP($AB$5&amp;$C52,CHOOSE({1,2},D_技能表!$C$2:$C$1210&amp;D_技能表!$E$2:$E$1210,D_技能表!$N$2:$N$1210),2,FALSE),0)</f>
        <v>29678</v>
      </c>
      <c r="AD52">
        <f t="array" aca="1" ref="AD52" ca="1">IFERROR(VLOOKUP($AB$5&amp;$C52,CHOOSE({1,2},D_技能表!$C$2:$C$1210&amp;D_技能表!$E$2:$E$1210,D_技能表!$W$2:$W$1210),2,FALSE),0)</f>
        <v>22</v>
      </c>
      <c r="AE52">
        <f t="array" aca="1" ref="AE52" ca="1">IFERROR(VLOOKUP($AB$5&amp;$C52,CHOOSE({1,2},D_技能表!$C$2:$C$1210&amp;D_技能表!$E$2:$E$1210,D_技能表!$Z$2:$Z$1210),2,FALSE),0)</f>
        <v>9</v>
      </c>
      <c r="AF52">
        <f t="array" aca="1" ref="AF52" ca="1">IFERROR(VLOOKUP($AF$5&amp;$C52,CHOOSE({1,2},D_技能表!$C$2:$C$1210&amp;D_技能表!$E$2:$E$1210,D_技能表!$I$2:$I$1210),2,FALSE),0)</f>
        <v>0</v>
      </c>
      <c r="AG52">
        <f t="array" aca="1" ref="AG52" ca="1">IFERROR(VLOOKUP($AF$5&amp;$C52,CHOOSE({1,2},D_技能表!$C$2:$C$1210&amp;D_技能表!$E$2:$E$1210,D_技能表!$N$2:$N$1210),2,FALSE),0)</f>
        <v>0</v>
      </c>
      <c r="AH52">
        <f t="array" aca="1" ref="AH52" ca="1">IFERROR(VLOOKUP($AF$5&amp;$C52,CHOOSE({1,2},D_技能表!$C$2:$C$1210&amp;D_技能表!$E$2:$E$1210,D_技能表!$W$2:$W$1210),2,FALSE),0)</f>
        <v>0</v>
      </c>
      <c r="AI52">
        <f t="array" aca="1" ref="AI52" ca="1">IFERROR(VLOOKUP($AF$5&amp;$C52,CHOOSE({1,2},D_技能表!$C$2:$C$1210&amp;D_技能表!$E$2:$E$1210,D_技能表!$Z$2:$Z$1210),2,FALSE),0)</f>
        <v>0</v>
      </c>
      <c r="AJ52">
        <f t="array" aca="1" ref="AJ52" ca="1">IFERROR(VLOOKUP($AJ$5&amp;$C52,CHOOSE({1,2},D_技能表!$C$2:$C$1210&amp;D_技能表!$E$2:$E$1210,D_技能表!$I$2:$I$1210),2,FALSE),0)</f>
        <v>26</v>
      </c>
      <c r="AK52">
        <f t="array" aca="1" ref="AK52" ca="1">IFERROR(VLOOKUP($AJ$5&amp;$C52,CHOOSE({1,2},D_技能表!$C$2:$C$1210&amp;D_技能表!$E$2:$E$1210,D_技能表!$N$2:$N$1210),2,FALSE),0)</f>
        <v>25631</v>
      </c>
      <c r="AL52">
        <f t="array" aca="1" ref="AL52" ca="1">IFERROR(VLOOKUP($AJ$5&amp;$C52,CHOOSE({1,2},D_技能表!$C$2:$C$1210&amp;D_技能表!$E$2:$E$1210,D_技能表!$W$2:$W$1210),2,FALSE),0)</f>
        <v>19</v>
      </c>
      <c r="AM52">
        <f t="array" aca="1" ref="AM52" ca="1">IFERROR(VLOOKUP($AJ$5&amp;$C52,CHOOSE({1,2},D_技能表!$C$2:$C$1210&amp;D_技能表!$E$2:$E$1210,D_技能表!$Z$2:$Z$1210),2,FALSE),0)</f>
        <v>8</v>
      </c>
      <c r="AN52">
        <f t="array" aca="1" ref="AN52" ca="1">IFERROR(VLOOKUP($AN$5&amp;$C52,CHOOSE({1,2},D_技能表!$C$2:$C$1210&amp;D_技能表!$E$2:$E$1210,D_技能表!$I$2:$I$1210),2,FALSE),0)</f>
        <v>25</v>
      </c>
      <c r="AO52">
        <f t="array" aca="1" ref="AO52" ca="1">IFERROR(VLOOKUP($AN$5&amp;$C52,CHOOSE({1,2},D_技能表!$C$2:$C$1210&amp;D_技能表!$E$2:$E$1210,D_技能表!$N$2:$N$1210),2,FALSE),0)</f>
        <v>43168</v>
      </c>
      <c r="AP52">
        <f t="array" aca="1" ref="AP52" ca="1">IFERROR(VLOOKUP($AN$5&amp;$C52,CHOOSE({1,2},D_技能表!$C$2:$C$1210&amp;D_技能表!$E$2:$E$1210,D_技能表!$W$2:$W$1210),2,FALSE),0)</f>
        <v>32</v>
      </c>
      <c r="AQ52">
        <f t="array" aca="1" ref="AQ52" ca="1">IFERROR(VLOOKUP($AN$5&amp;$C52,CHOOSE({1,2},D_技能表!$C$2:$C$1210&amp;D_技能表!$E$2:$E$1210,D_技能表!$Z$2:$Z$1210),2,FALSE),0)</f>
        <v>13</v>
      </c>
      <c r="AR52" s="11">
        <f ca="1">SUM($G$7:G53,$K$7:K53,$O$7:O53,$S$7:S53,$W$7:W53,$AA$7:AA53,$AE$7:AE53,$AI$7:AI53,$AM$7:AM53,$AQ$7:AQ53)</f>
        <v>995</v>
      </c>
      <c r="AS52">
        <f ca="1">SUM($F$7:F53,$J$7:J53,$N$7:N53,$R$7:R53,$V$7:V53,$Z$7:Z53,$AD$7:AD53,$AH$7:AH53,$AL$7:AL53,$AP$7:AP53)</f>
        <v>3877</v>
      </c>
      <c r="AT52">
        <f t="shared" ca="1" si="1"/>
        <v>225</v>
      </c>
      <c r="AU52" s="33">
        <f ca="1">SUM($AX$7:AX52,$BB$7:BB52,$BF$7:BF52,$BJ$7:BJ52)</f>
        <v>753500</v>
      </c>
      <c r="AV52">
        <v>46</v>
      </c>
      <c r="AW52">
        <f t="array" ref="AW52">IFERROR(VLOOKUP(AW$5&amp;$AV52,CHOOSE({1,2},D_技能表CD!$C$2:$C$313&amp;D_技能表CD!$E$2:$E$313,D_技能表CD!$I$2:$I$313),2,FALSE),0)</f>
        <v>16</v>
      </c>
      <c r="AX52">
        <f t="array" aca="1" ref="AX52" ca="1">IFERROR(VLOOKUP(AW$5&amp;$AV52,CHOOSE({1,2},D_技能表CD!$C$2:$C$313&amp;D_技能表CD!$E$2:$E$313,D_技能表CD!$H$2:$H$313),2,FALSE),0)</f>
        <v>30800</v>
      </c>
      <c r="AY52">
        <f t="array" aca="1" ref="AY52" ca="1">IFERROR(VLOOKUP(AW$5&amp;$AV52,CHOOSE({1,2},D_技能表CD!$C$2:$C$313&amp;D_技能表CD!$E$2:$E$313,D_技能表CD!$L$2:$L$313),2,FALSE),0)</f>
        <v>95</v>
      </c>
      <c r="AZ52">
        <f t="array" aca="1" ref="AZ52" ca="1">IFERROR(VLOOKUP(AW$5&amp;$AV52,CHOOSE({1,2},D_技能表CD!$C$2:$C$313&amp;D_技能表CD!$E$2:$E$313,D_技能表CD!$K$2:$K$313),2,FALSE),0)</f>
        <v>150</v>
      </c>
      <c r="BA52">
        <f t="array" ref="BA52">IFERROR(VLOOKUP(BA$5&amp;$AV52,CHOOSE({1,2},D_技能表CD!$C$2:$C$313&amp;D_技能表CD!$E$2:$E$313,D_技能表CD!$I$2:$I$313),2,FALSE),0)</f>
        <v>0</v>
      </c>
      <c r="BB52">
        <f t="array" aca="1" ref="BB52" ca="1">IFERROR(VLOOKUP(BA$5&amp;$AV52,CHOOSE({1,2},D_技能表CD!$C$2:$C$313&amp;D_技能表CD!$E$2:$E$313,D_技能表CD!$H$2:$H$313),2,FALSE),0)</f>
        <v>0</v>
      </c>
      <c r="BC52">
        <f t="array" aca="1" ref="BC52" ca="1">IFERROR(VLOOKUP(BA$5&amp;$AV52,CHOOSE({1,2},D_技能表CD!$C$2:$C$313&amp;D_技能表CD!$E$2:$E$313,D_技能表CD!$L$2:$L$313),2,FALSE),0)</f>
        <v>0</v>
      </c>
      <c r="BD52">
        <f t="array" aca="1" ref="BD52" ca="1">IFERROR(VLOOKUP(BA$5&amp;$AV52,CHOOSE({1,2},D_技能表CD!$C$2:$C$313&amp;D_技能表CD!$E$2:$E$313,D_技能表CD!$K$2:$K$313),2,FALSE),0)</f>
        <v>0</v>
      </c>
      <c r="BE52">
        <f t="array" ref="BE52">IFERROR(VLOOKUP(BE$5&amp;$AV52,CHOOSE({1,2},D_技能表CD!$C$2:$C$313&amp;D_技能表CD!$E$2:$E$313,D_技能表CD!$I$2:$I$313),2,FALSE),0)</f>
        <v>15</v>
      </c>
      <c r="BF52">
        <f t="array" aca="1" ref="BF52" ca="1">IFERROR(VLOOKUP(BE$5&amp;$AV52,CHOOSE({1,2},D_技能表CD!$C$2:$C$313&amp;D_技能表CD!$E$2:$E$313,D_技能表CD!$H$2:$H$313),2,FALSE),0)</f>
        <v>22300</v>
      </c>
      <c r="BG52">
        <f t="array" aca="1" ref="BG52" ca="1">IFERROR(VLOOKUP(BE$5&amp;$AV52,CHOOSE({1,2},D_技能表CD!$C$2:$C$313&amp;D_技能表CD!$E$2:$E$313,D_技能表CD!$L$2:$L$313),2,FALSE),0)</f>
        <v>70</v>
      </c>
      <c r="BH52">
        <f t="array" aca="1" ref="BH52" ca="1">IFERROR(VLOOKUP(BE$5&amp;$AV52,CHOOSE({1,2},D_技能表CD!$C$2:$C$313&amp;D_技能表CD!$E$2:$E$313,D_技能表CD!$K$2:$K$313),2,FALSE),0)</f>
        <v>105</v>
      </c>
      <c r="BI52">
        <f t="array" ref="BI52">IFERROR(VLOOKUP(BI$5&amp;$AV52,CHOOSE({1,2},D_技能表CD!$C$2:$C$313&amp;D_技能表CD!$E$2:$E$313,D_技能表CD!$I$2:$I$313),2,FALSE),0)</f>
        <v>0</v>
      </c>
      <c r="BJ52">
        <f t="array" aca="1" ref="BJ52" ca="1">IFERROR(VLOOKUP(BI$5&amp;$AV52,CHOOSE({1,2},D_技能表CD!$C$2:$C$313&amp;D_技能表CD!$E$2:$E$313,D_技能表CD!$H$2:$H$313),2,FALSE),0)</f>
        <v>0</v>
      </c>
      <c r="BK52">
        <f t="array" aca="1" ref="BK52" ca="1">IFERROR(VLOOKUP(BI$5&amp;$AV52,CHOOSE({1,2},D_技能表CD!$C$2:$C$313&amp;D_技能表CD!$E$2:$E$313,D_技能表CD!$L$2:$L$313),2,FALSE),0)</f>
        <v>0</v>
      </c>
      <c r="BL52">
        <f t="array" aca="1" ref="BL52" ca="1">IFERROR(VLOOKUP(BI$5&amp;$AV52,CHOOSE({1,2},D_技能表CD!$C$2:$C$313&amp;D_技能表CD!$E$2:$E$313,D_技能表CD!$K$2:$K$313),2,FALSE),0)</f>
        <v>0</v>
      </c>
    </row>
    <row r="53" spans="1:64" x14ac:dyDescent="0.15">
      <c r="A53">
        <f t="shared" ca="1" si="0"/>
        <v>3789955</v>
      </c>
      <c r="B53" s="33">
        <f ca="1">SUM($E$7:E53,$I$7:I53,$M$7:M53,$Q$7:Q53,$U$7:U53,$Y$7:Y53,$AC$7:AC53,$AG$7:AG53,$AK$7:AK53,$AO$7:AO53)</f>
        <v>2987605</v>
      </c>
      <c r="C53">
        <v>47</v>
      </c>
      <c r="D53">
        <f t="array" aca="1" ref="D53" ca="1">IFERROR(VLOOKUP($D$5&amp;C53,CHOOSE({1,2},D_技能表!$C$2:$C$1210&amp;D_技能表!$E$2:$E$1210,D_技能表!$I$2:$I$1210),2,FALSE),0)</f>
        <v>29</v>
      </c>
      <c r="E53">
        <f t="array" aca="1" ref="E53" ca="1">IFERROR(VLOOKUP($D$5&amp;$C53,CHOOSE({1,2},D_技能表!$C$2:$C$1210&amp;D_技能表!$E$2:$E$1210,D_技能表!$N$2:$N$1210),2,FALSE),0)</f>
        <v>79072</v>
      </c>
      <c r="F53">
        <f t="array" aca="1" ref="F53" ca="1">IFERROR(VLOOKUP($D$5&amp;$C53,CHOOSE({1,2},D_技能表!$C$2:$C$1210&amp;D_技能表!$E$2:$E$1210,D_技能表!$W$2:$W$1210),2,FALSE),0)</f>
        <v>56</v>
      </c>
      <c r="G53">
        <f t="array" aca="1" ref="G53" ca="1">IFERROR(VLOOKUP($D$5&amp;$C53,CHOOSE({1,2},D_技能表!$C$2:$C$1210&amp;D_技能表!$E$2:$E$1210,D_技能表!$Z$2:$Z$1210),2,FALSE),0)</f>
        <v>23</v>
      </c>
      <c r="H53">
        <f t="array" aca="1" ref="H53" ca="1">IFERROR(VLOOKUP($H$5&amp;$C53,CHOOSE({1,2},D_技能表!$C$2:$C$1210&amp;D_技能表!$E$2:$E$1210,D_技能表!$I$2:$I$1210),2,FALSE),0)</f>
        <v>28</v>
      </c>
      <c r="I53">
        <f t="array" aca="1" ref="I53" ca="1">IFERROR(VLOOKUP($H$5&amp;$C53,CHOOSE({1,2},D_技能表!$C$2:$C$1210&amp;D_技能表!$E$2:$E$1210,D_技能表!$N$2:$N$1210),2,FALSE),0)</f>
        <v>32476</v>
      </c>
      <c r="J53">
        <f t="array" aca="1" ref="J53" ca="1">IFERROR(VLOOKUP($H$5&amp;$C53,CHOOSE({1,2},D_技能表!$C$2:$C$1210&amp;D_技能表!$E$2:$E$1210,D_技能表!$W$2:$W$1210),2,FALSE),0)</f>
        <v>23</v>
      </c>
      <c r="K53">
        <f t="array" aca="1" ref="K53" ca="1">IFERROR(VLOOKUP($H$5&amp;$C53,CHOOSE({1,2},D_技能表!$C$2:$C$1210&amp;D_技能表!$E$2:$E$1210,D_技能表!$Z$2:$Z$1210),2,FALSE),0)</f>
        <v>10</v>
      </c>
      <c r="L53">
        <f t="array" aca="1" ref="L53" ca="1">IFERROR(VLOOKUP($L$5&amp;$C53,CHOOSE({1,2},D_技能表!$C$2:$C$1210&amp;D_技能表!$E$2:$E$1210,D_技能表!$I$2:$I$1210),2,FALSE),0)</f>
        <v>28</v>
      </c>
      <c r="M53">
        <f t="array" aca="1" ref="M53" ca="1">IFERROR(VLOOKUP($L$5&amp;$C53,CHOOSE({1,2},D_技能表!$C$2:$C$1210&amp;D_技能表!$E$2:$E$1210,D_技能表!$N$2:$N$1210),2,FALSE),0)</f>
        <v>32476</v>
      </c>
      <c r="N53">
        <f t="array" aca="1" ref="N53" ca="1">IFERROR(VLOOKUP($L$5&amp;$C53,CHOOSE({1,2},D_技能表!$C$2:$C$1210&amp;D_技能表!$E$2:$E$1210,D_技能表!$W$2:$W$1210),2,FALSE),0)</f>
        <v>23</v>
      </c>
      <c r="O53">
        <f t="array" aca="1" ref="O53" ca="1">IFERROR(VLOOKUP($L$5&amp;$C53,CHOOSE({1,2},D_技能表!$C$2:$C$1210&amp;D_技能表!$E$2:$E$1210,D_技能表!$Z$2:$Z$1210),2,FALSE),0)</f>
        <v>10</v>
      </c>
      <c r="P53">
        <f t="array" aca="1" ref="P53" ca="1">IFERROR(VLOOKUP($P$5&amp;$C53,CHOOSE({1,2},D_技能表!$C$2:$C$1210&amp;D_技能表!$E$2:$E$1210,D_技能表!$I$2:$I$1210),2,FALSE),0)</f>
        <v>0</v>
      </c>
      <c r="Q53">
        <f t="array" aca="1" ref="Q53" ca="1">IFERROR(VLOOKUP($P$5&amp;$C53,CHOOSE({1,2},D_技能表!$C$2:$C$1210&amp;D_技能表!$E$2:$E$1210,D_技能表!$N$2:$N$1210),2,FALSE),0)</f>
        <v>0</v>
      </c>
      <c r="R53">
        <f t="array" aca="1" ref="R53" ca="1">IFERROR(VLOOKUP($P$5&amp;$C53,CHOOSE({1,2},D_技能表!$C$2:$C$1210&amp;D_技能表!$E$2:$E$1210,D_技能表!$W$2:$W$1210),2,FALSE),0)</f>
        <v>0</v>
      </c>
      <c r="S53">
        <f t="array" aca="1" ref="S53" ca="1">IFERROR(VLOOKUP($P$5&amp;$C53,CHOOSE({1,2},D_技能表!$C$2:$C$1210&amp;D_技能表!$E$2:$E$1210,D_技能表!$Z$2:$Z$1210),2,FALSE),0)</f>
        <v>0</v>
      </c>
      <c r="T53">
        <f t="array" aca="1" ref="T53" ca="1">IFERROR(VLOOKUP($T$5&amp;$C53,CHOOSE({1,2},D_技能表!$C$2:$C$1210&amp;D_技能表!$E$2:$E$1210,D_技能表!$I$2:$I$1210),2,FALSE),0)</f>
        <v>27</v>
      </c>
      <c r="U53">
        <f t="array" aca="1" ref="U53" ca="1">IFERROR(VLOOKUP($T$5&amp;$C53,CHOOSE({1,2},D_技能表!$C$2:$C$1210&amp;D_技能表!$E$2:$E$1210,D_技能表!$N$2:$N$1210),2,FALSE),0)</f>
        <v>49420</v>
      </c>
      <c r="V53">
        <f t="array" aca="1" ref="V53" ca="1">IFERROR(VLOOKUP($T$5&amp;$C53,CHOOSE({1,2},D_技能表!$C$2:$C$1210&amp;D_技能表!$E$2:$E$1210,D_技能表!$W$2:$W$1210),2,FALSE),0)</f>
        <v>35</v>
      </c>
      <c r="W53">
        <f t="array" aca="1" ref="W53" ca="1">IFERROR(VLOOKUP($T$5&amp;$C53,CHOOSE({1,2},D_技能表!$C$2:$C$1210&amp;D_技能表!$E$2:$E$1210,D_技能表!$Z$2:$Z$1210),2,FALSE),0)</f>
        <v>14</v>
      </c>
      <c r="X53">
        <f t="array" aca="1" ref="X53" ca="1">IFERROR(VLOOKUP($X$5&amp;$C53,CHOOSE({1,2},D_技能表!$C$2:$C$1210&amp;D_技能表!$E$2:$E$1210,D_技能表!$I$2:$I$1210),2,FALSE),0)</f>
        <v>28</v>
      </c>
      <c r="Y53">
        <f t="array" aca="1" ref="Y53" ca="1">IFERROR(VLOOKUP($X$5&amp;$C53,CHOOSE({1,2},D_技能表!$C$2:$C$1210&amp;D_技能表!$E$2:$E$1210,D_技能表!$N$2:$N$1210),2,FALSE),0)</f>
        <v>70600</v>
      </c>
      <c r="Z53">
        <f t="array" aca="1" ref="Z53" ca="1">IFERROR(VLOOKUP($X$5&amp;$C53,CHOOSE({1,2},D_技能表!$C$2:$C$1210&amp;D_技能表!$E$2:$E$1210,D_技能表!$W$2:$W$1210),2,FALSE),0)</f>
        <v>50</v>
      </c>
      <c r="AA53">
        <f t="array" aca="1" ref="AA53" ca="1">IFERROR(VLOOKUP($X$5&amp;$C53,CHOOSE({1,2},D_技能表!$C$2:$C$1210&amp;D_技能表!$E$2:$E$1210,D_技能表!$Z$2:$Z$1210),2,FALSE),0)</f>
        <v>20</v>
      </c>
      <c r="AB53">
        <f t="array" aca="1" ref="AB53" ca="1">IFERROR(VLOOKUP($AB$5&amp;$C53,CHOOSE({1,2},D_技能表!$C$2:$C$1210&amp;D_技能表!$E$2:$E$1210,D_技能表!$I$2:$I$1210),2,FALSE),0)</f>
        <v>28</v>
      </c>
      <c r="AC53">
        <f t="array" aca="1" ref="AC53" ca="1">IFERROR(VLOOKUP($AB$5&amp;$C53,CHOOSE({1,2},D_技能表!$C$2:$C$1210&amp;D_技能表!$E$2:$E$1210,D_技能表!$N$2:$N$1210),2,FALSE),0)</f>
        <v>33888</v>
      </c>
      <c r="AD53">
        <f t="array" aca="1" ref="AD53" ca="1">IFERROR(VLOOKUP($AB$5&amp;$C53,CHOOSE({1,2},D_技能表!$C$2:$C$1210&amp;D_技能表!$E$2:$E$1210,D_技能表!$W$2:$W$1210),2,FALSE),0)</f>
        <v>24</v>
      </c>
      <c r="AE53">
        <f t="array" aca="1" ref="AE53" ca="1">IFERROR(VLOOKUP($AB$5&amp;$C53,CHOOSE({1,2},D_技能表!$C$2:$C$1210&amp;D_技能表!$E$2:$E$1210,D_技能表!$Z$2:$Z$1210),2,FALSE),0)</f>
        <v>10</v>
      </c>
      <c r="AF53">
        <f t="array" aca="1" ref="AF53" ca="1">IFERROR(VLOOKUP($AF$5&amp;$C53,CHOOSE({1,2},D_技能表!$C$2:$C$1210&amp;D_技能表!$E$2:$E$1210,D_技能表!$I$2:$I$1210),2,FALSE),0)</f>
        <v>27</v>
      </c>
      <c r="AG53">
        <f t="array" aca="1" ref="AG53" ca="1">IFERROR(VLOOKUP($AF$5&amp;$C53,CHOOSE({1,2},D_技能表!$C$2:$C$1210&amp;D_技能表!$E$2:$E$1210,D_技能表!$N$2:$N$1210),2,FALSE),0)</f>
        <v>28240</v>
      </c>
      <c r="AH53">
        <f t="array" aca="1" ref="AH53" ca="1">IFERROR(VLOOKUP($AF$5&amp;$C53,CHOOSE({1,2},D_技能表!$C$2:$C$1210&amp;D_技能表!$E$2:$E$1210,D_技能表!$W$2:$W$1210),2,FALSE),0)</f>
        <v>20</v>
      </c>
      <c r="AI53">
        <f t="array" aca="1" ref="AI53" ca="1">IFERROR(VLOOKUP($AF$5&amp;$C53,CHOOSE({1,2},D_技能表!$C$2:$C$1210&amp;D_技能表!$E$2:$E$1210,D_技能表!$Z$2:$Z$1210),2,FALSE),0)</f>
        <v>8</v>
      </c>
      <c r="AJ53">
        <f t="array" aca="1" ref="AJ53" ca="1">IFERROR(VLOOKUP($AJ$5&amp;$C53,CHOOSE({1,2},D_技能表!$C$2:$C$1210&amp;D_技能表!$E$2:$E$1210,D_技能表!$I$2:$I$1210),2,FALSE),0)</f>
        <v>0</v>
      </c>
      <c r="AK53">
        <f t="array" aca="1" ref="AK53" ca="1">IFERROR(VLOOKUP($AJ$5&amp;$C53,CHOOSE({1,2},D_技能表!$C$2:$C$1210&amp;D_技能表!$E$2:$E$1210,D_技能表!$N$2:$N$1210),2,FALSE),0)</f>
        <v>0</v>
      </c>
      <c r="AL53">
        <f t="array" aca="1" ref="AL53" ca="1">IFERROR(VLOOKUP($AJ$5&amp;$C53,CHOOSE({1,2},D_技能表!$C$2:$C$1210&amp;D_技能表!$E$2:$E$1210,D_技能表!$W$2:$W$1210),2,FALSE),0)</f>
        <v>0</v>
      </c>
      <c r="AM53">
        <f t="array" aca="1" ref="AM53" ca="1">IFERROR(VLOOKUP($AJ$5&amp;$C53,CHOOSE({1,2},D_技能表!$C$2:$C$1210&amp;D_技能表!$E$2:$E$1210,D_技能表!$Z$2:$Z$1210),2,FALSE),0)</f>
        <v>0</v>
      </c>
      <c r="AN53">
        <f t="array" aca="1" ref="AN53" ca="1">IFERROR(VLOOKUP($AN$5&amp;$C53,CHOOSE({1,2},D_技能表!$C$2:$C$1210&amp;D_技能表!$E$2:$E$1210,D_技能表!$I$2:$I$1210),2,FALSE),0)</f>
        <v>26</v>
      </c>
      <c r="AO53">
        <f t="array" aca="1" ref="AO53" ca="1">IFERROR(VLOOKUP($AN$5&amp;$C53,CHOOSE({1,2},D_技能表!$C$2:$C$1210&amp;D_技能表!$E$2:$E$1210,D_技能表!$N$2:$N$1210),2,FALSE),0)</f>
        <v>48008</v>
      </c>
      <c r="AP53">
        <f t="array" aca="1" ref="AP53" ca="1">IFERROR(VLOOKUP($AN$5&amp;$C53,CHOOSE({1,2},D_技能表!$C$2:$C$1210&amp;D_技能表!$E$2:$E$1210,D_技能表!$W$2:$W$1210),2,FALSE),0)</f>
        <v>34</v>
      </c>
      <c r="AQ53">
        <f t="array" aca="1" ref="AQ53" ca="1">IFERROR(VLOOKUP($AN$5&amp;$C53,CHOOSE({1,2},D_技能表!$C$2:$C$1210&amp;D_技能表!$E$2:$E$1210,D_技能表!$Z$2:$Z$1210),2,FALSE),0)</f>
        <v>14</v>
      </c>
      <c r="AR53" s="11">
        <f ca="1">SUM($G$7:G54,$K$7:K54,$O$7:O54,$S$7:S54,$W$7:W54,$AA$7:AA54,$AE$7:AE54,$AI$7:AI54,$AM$7:AM54,$AQ$7:AQ54)</f>
        <v>1042</v>
      </c>
      <c r="AS53">
        <f ca="1">SUM($F$7:F54,$J$7:J54,$N$7:N54,$R$7:R54,$V$7:V54,$Z$7:Z54,$AD$7:AD54,$AH$7:AH54,$AL$7:AL54,$AP$7:AP54)</f>
        <v>3991</v>
      </c>
      <c r="AT53">
        <f t="shared" ca="1" si="1"/>
        <v>265</v>
      </c>
      <c r="AU53" s="33">
        <f ca="1">SUM($AX$7:AX53,$BB$7:BB53,$BF$7:BF53,$BJ$7:BJ53)</f>
        <v>802350</v>
      </c>
      <c r="AV53">
        <v>47</v>
      </c>
      <c r="AW53">
        <f t="array" ref="AW53">IFERROR(VLOOKUP(AW$5&amp;$AV53,CHOOSE({1,2},D_技能表CD!$C$2:$C$313&amp;D_技能表CD!$E$2:$E$313,D_技能表CD!$I$2:$I$313),2,FALSE),0)</f>
        <v>0</v>
      </c>
      <c r="AX53">
        <f t="array" aca="1" ref="AX53" ca="1">IFERROR(VLOOKUP(AW$5&amp;$AV53,CHOOSE({1,2},D_技能表CD!$C$2:$C$313&amp;D_技能表CD!$E$2:$E$313,D_技能表CD!$H$2:$H$313),2,FALSE),0)</f>
        <v>0</v>
      </c>
      <c r="AY53">
        <f t="array" aca="1" ref="AY53" ca="1">IFERROR(VLOOKUP(AW$5&amp;$AV53,CHOOSE({1,2},D_技能表CD!$C$2:$C$313&amp;D_技能表CD!$E$2:$E$313,D_技能表CD!$L$2:$L$313),2,FALSE),0)</f>
        <v>0</v>
      </c>
      <c r="AZ53">
        <f t="array" aca="1" ref="AZ53" ca="1">IFERROR(VLOOKUP(AW$5&amp;$AV53,CHOOSE({1,2},D_技能表CD!$C$2:$C$313&amp;D_技能表CD!$E$2:$E$313,D_技能表CD!$K$2:$K$313),2,FALSE),0)</f>
        <v>0</v>
      </c>
      <c r="BA53">
        <f t="array" ref="BA53">IFERROR(VLOOKUP(BA$5&amp;$AV53,CHOOSE({1,2},D_技能表CD!$C$2:$C$313&amp;D_技能表CD!$E$2:$E$313,D_技能表CD!$I$2:$I$313),2,FALSE),0)</f>
        <v>0</v>
      </c>
      <c r="BB53">
        <f t="array" aca="1" ref="BB53" ca="1">IFERROR(VLOOKUP(BA$5&amp;$AV53,CHOOSE({1,2},D_技能表CD!$C$2:$C$313&amp;D_技能表CD!$E$2:$E$313,D_技能表CD!$H$2:$H$313),2,FALSE),0)</f>
        <v>0</v>
      </c>
      <c r="BC53">
        <f t="array" aca="1" ref="BC53" ca="1">IFERROR(VLOOKUP(BA$5&amp;$AV53,CHOOSE({1,2},D_技能表CD!$C$2:$C$313&amp;D_技能表CD!$E$2:$E$313,D_技能表CD!$L$2:$L$313),2,FALSE),0)</f>
        <v>0</v>
      </c>
      <c r="BD53">
        <f t="array" aca="1" ref="BD53" ca="1">IFERROR(VLOOKUP(BA$5&amp;$AV53,CHOOSE({1,2},D_技能表CD!$C$2:$C$313&amp;D_技能表CD!$E$2:$E$313,D_技能表CD!$K$2:$K$313),2,FALSE),0)</f>
        <v>0</v>
      </c>
      <c r="BE53">
        <f t="array" ref="BE53">IFERROR(VLOOKUP(BE$5&amp;$AV53,CHOOSE({1,2},D_技能表CD!$C$2:$C$313&amp;D_技能表CD!$E$2:$E$313,D_技能表CD!$I$2:$I$313),2,FALSE),0)</f>
        <v>0</v>
      </c>
      <c r="BF53">
        <f t="array" aca="1" ref="BF53" ca="1">IFERROR(VLOOKUP(BE$5&amp;$AV53,CHOOSE({1,2},D_技能表CD!$C$2:$C$313&amp;D_技能表CD!$E$2:$E$313,D_技能表CD!$H$2:$H$313),2,FALSE),0)</f>
        <v>0</v>
      </c>
      <c r="BG53">
        <f t="array" aca="1" ref="BG53" ca="1">IFERROR(VLOOKUP(BE$5&amp;$AV53,CHOOSE({1,2},D_技能表CD!$C$2:$C$313&amp;D_技能表CD!$E$2:$E$313,D_技能表CD!$L$2:$L$313),2,FALSE),0)</f>
        <v>0</v>
      </c>
      <c r="BH53">
        <f t="array" aca="1" ref="BH53" ca="1">IFERROR(VLOOKUP(BE$5&amp;$AV53,CHOOSE({1,2},D_技能表CD!$C$2:$C$313&amp;D_技能表CD!$E$2:$E$313,D_技能表CD!$K$2:$K$313),2,FALSE),0)</f>
        <v>0</v>
      </c>
      <c r="BI53">
        <f t="array" ref="BI53">IFERROR(VLOOKUP(BI$5&amp;$AV53,CHOOSE({1,2},D_技能表CD!$C$2:$C$313&amp;D_技能表CD!$E$2:$E$313,D_技能表CD!$I$2:$I$313),2,FALSE),0)</f>
        <v>15</v>
      </c>
      <c r="BJ53">
        <f t="array" aca="1" ref="BJ53" ca="1">IFERROR(VLOOKUP(BI$5&amp;$AV53,CHOOSE({1,2},D_技能表CD!$C$2:$C$313&amp;D_技能表CD!$E$2:$E$313,D_技能表CD!$H$2:$H$313),2,FALSE),0)</f>
        <v>48850</v>
      </c>
      <c r="BK53">
        <f t="array" aca="1" ref="BK53" ca="1">IFERROR(VLOOKUP(BI$5&amp;$AV53,CHOOSE({1,2},D_技能表CD!$C$2:$C$313&amp;D_技能表CD!$E$2:$E$313,D_技能表CD!$L$2:$L$313),2,FALSE),0)</f>
        <v>154</v>
      </c>
      <c r="BL53">
        <f t="array" aca="1" ref="BL53" ca="1">IFERROR(VLOOKUP(BI$5&amp;$AV53,CHOOSE({1,2},D_技能表CD!$C$2:$C$313&amp;D_技能表CD!$E$2:$E$313,D_技能表CD!$K$2:$K$313),2,FALSE),0)</f>
        <v>231</v>
      </c>
    </row>
    <row r="54" spans="1:64" x14ac:dyDescent="0.15">
      <c r="A54">
        <f t="shared" ca="1" si="0"/>
        <v>4017483</v>
      </c>
      <c r="B54" s="33">
        <f ca="1">SUM($E$7:E54,$I$7:I54,$M$7:M54,$Q$7:Q54,$U$7:U54,$Y$7:Y54,$AC$7:AC54,$AG$7:AG54,$AK$7:AK54,$AO$7:AO54)</f>
        <v>3155983</v>
      </c>
      <c r="C54">
        <v>48</v>
      </c>
      <c r="D54">
        <f t="array" aca="1" ref="D54" ca="1">IFERROR(VLOOKUP($D$5&amp;C54,CHOOSE({1,2},D_技能表!$C$2:$C$1210&amp;D_技能表!$E$2:$E$1210,D_技能表!$I$2:$I$1210),2,FALSE),0)</f>
        <v>0</v>
      </c>
      <c r="E54">
        <f t="array" aca="1" ref="E54" ca="1">IFERROR(VLOOKUP($D$5&amp;$C54,CHOOSE({1,2},D_技能表!$C$2:$C$1210&amp;D_技能表!$E$2:$E$1210,D_技能表!$N$2:$N$1210),2,FALSE),0)</f>
        <v>0</v>
      </c>
      <c r="F54">
        <f t="array" aca="1" ref="F54" ca="1">IFERROR(VLOOKUP($D$5&amp;$C54,CHOOSE({1,2},D_技能表!$C$2:$C$1210&amp;D_技能表!$E$2:$E$1210,D_技能表!$W$2:$W$1210),2,FALSE),0)</f>
        <v>0</v>
      </c>
      <c r="G54">
        <f t="array" aca="1" ref="G54" ca="1">IFERROR(VLOOKUP($D$5&amp;$C54,CHOOSE({1,2},D_技能表!$C$2:$C$1210&amp;D_技能表!$E$2:$E$1210,D_技能表!$Z$2:$Z$1210),2,FALSE),0)</f>
        <v>0</v>
      </c>
      <c r="H54">
        <f t="array" aca="1" ref="H54" ca="1">IFERROR(VLOOKUP($H$5&amp;$C54,CHOOSE({1,2},D_技能表!$C$2:$C$1210&amp;D_技能表!$E$2:$E$1210,D_技能表!$I$2:$I$1210),2,FALSE),0)</f>
        <v>29</v>
      </c>
      <c r="I54">
        <f t="array" aca="1" ref="I54" ca="1">IFERROR(VLOOKUP($H$5&amp;$C54,CHOOSE({1,2},D_技能表!$C$2:$C$1210&amp;D_技能表!$E$2:$E$1210,D_技能表!$N$2:$N$1210),2,FALSE),0)</f>
        <v>36925</v>
      </c>
      <c r="J54">
        <f t="array" aca="1" ref="J54" ca="1">IFERROR(VLOOKUP($H$5&amp;$C54,CHOOSE({1,2},D_技能表!$C$2:$C$1210&amp;D_技能表!$E$2:$E$1210,D_技能表!$W$2:$W$1210),2,FALSE),0)</f>
        <v>25</v>
      </c>
      <c r="K54">
        <f t="array" aca="1" ref="K54" ca="1">IFERROR(VLOOKUP($H$5&amp;$C54,CHOOSE({1,2},D_技能表!$C$2:$C$1210&amp;D_技能表!$E$2:$E$1210,D_技能表!$Z$2:$Z$1210),2,FALSE),0)</f>
        <v>10</v>
      </c>
      <c r="L54">
        <f t="array" aca="1" ref="L54" ca="1">IFERROR(VLOOKUP($L$5&amp;$C54,CHOOSE({1,2},D_技能表!$C$2:$C$1210&amp;D_技能表!$E$2:$E$1210,D_技能表!$I$2:$I$1210),2,FALSE),0)</f>
        <v>29</v>
      </c>
      <c r="M54">
        <f t="array" aca="1" ref="M54" ca="1">IFERROR(VLOOKUP($L$5&amp;$C54,CHOOSE({1,2},D_技能表!$C$2:$C$1210&amp;D_技能表!$E$2:$E$1210,D_技能表!$N$2:$N$1210),2,FALSE),0)</f>
        <v>36925</v>
      </c>
      <c r="N54">
        <f t="array" aca="1" ref="N54" ca="1">IFERROR(VLOOKUP($L$5&amp;$C54,CHOOSE({1,2},D_技能表!$C$2:$C$1210&amp;D_技能表!$E$2:$E$1210,D_技能表!$W$2:$W$1210),2,FALSE),0)</f>
        <v>25</v>
      </c>
      <c r="O54">
        <f t="array" aca="1" ref="O54" ca="1">IFERROR(VLOOKUP($L$5&amp;$C54,CHOOSE({1,2},D_技能表!$C$2:$C$1210&amp;D_技能表!$E$2:$E$1210,D_技能表!$Z$2:$Z$1210),2,FALSE),0)</f>
        <v>10</v>
      </c>
      <c r="P54">
        <f t="array" aca="1" ref="P54" ca="1">IFERROR(VLOOKUP($P$5&amp;$C54,CHOOSE({1,2},D_技能表!$C$2:$C$1210&amp;D_技能表!$E$2:$E$1210,D_技能表!$I$2:$I$1210),2,FALSE),0)</f>
        <v>28</v>
      </c>
      <c r="Q54">
        <f t="array" aca="1" ref="Q54" ca="1">IFERROR(VLOOKUP($P$5&amp;$C54,CHOOSE({1,2},D_技能表!$C$2:$C$1210&amp;D_技能表!$E$2:$E$1210,D_技能表!$N$2:$N$1210),2,FALSE),0)</f>
        <v>33971</v>
      </c>
      <c r="R54">
        <f t="array" aca="1" ref="R54" ca="1">IFERROR(VLOOKUP($P$5&amp;$C54,CHOOSE({1,2},D_技能表!$C$2:$C$1210&amp;D_技能表!$E$2:$E$1210,D_技能表!$W$2:$W$1210),2,FALSE),0)</f>
        <v>23</v>
      </c>
      <c r="S54">
        <f t="array" aca="1" ref="S54" ca="1">IFERROR(VLOOKUP($P$5&amp;$C54,CHOOSE({1,2},D_技能表!$C$2:$C$1210&amp;D_技能表!$E$2:$E$1210,D_技能表!$Z$2:$Z$1210),2,FALSE),0)</f>
        <v>10</v>
      </c>
      <c r="T54">
        <f t="array" aca="1" ref="T54" ca="1">IFERROR(VLOOKUP($T$5&amp;$C54,CHOOSE({1,2},D_技能表!$C$2:$C$1210&amp;D_技能表!$E$2:$E$1210,D_技能表!$I$2:$I$1210),2,FALSE),0)</f>
        <v>0</v>
      </c>
      <c r="U54">
        <f t="array" aca="1" ref="U54" ca="1">IFERROR(VLOOKUP($T$5&amp;$C54,CHOOSE({1,2},D_技能表!$C$2:$C$1210&amp;D_技能表!$E$2:$E$1210,D_技能表!$N$2:$N$1210),2,FALSE),0)</f>
        <v>0</v>
      </c>
      <c r="V54">
        <f t="array" aca="1" ref="V54" ca="1">IFERROR(VLOOKUP($T$5&amp;$C54,CHOOSE({1,2},D_技能表!$C$2:$C$1210&amp;D_技能表!$E$2:$E$1210,D_技能表!$W$2:$W$1210),2,FALSE),0)</f>
        <v>0</v>
      </c>
      <c r="W54">
        <f t="array" aca="1" ref="W54" ca="1">IFERROR(VLOOKUP($T$5&amp;$C54,CHOOSE({1,2},D_技能表!$C$2:$C$1210&amp;D_技能表!$E$2:$E$1210,D_技能表!$Z$2:$Z$1210),2,FALSE),0)</f>
        <v>0</v>
      </c>
      <c r="X54">
        <f t="array" aca="1" ref="X54" ca="1">IFERROR(VLOOKUP($X$5&amp;$C54,CHOOSE({1,2},D_技能表!$C$2:$C$1210&amp;D_技能表!$E$2:$E$1210,D_技能表!$I$2:$I$1210),2,FALSE),0)</f>
        <v>0</v>
      </c>
      <c r="Y54">
        <f t="array" aca="1" ref="Y54" ca="1">IFERROR(VLOOKUP($X$5&amp;$C54,CHOOSE({1,2},D_技能表!$C$2:$C$1210&amp;D_技能表!$E$2:$E$1210,D_技能表!$N$2:$N$1210),2,FALSE),0)</f>
        <v>0</v>
      </c>
      <c r="Z54">
        <f t="array" aca="1" ref="Z54" ca="1">IFERROR(VLOOKUP($X$5&amp;$C54,CHOOSE({1,2},D_技能表!$C$2:$C$1210&amp;D_技能表!$E$2:$E$1210,D_技能表!$W$2:$W$1210),2,FALSE),0)</f>
        <v>0</v>
      </c>
      <c r="AA54">
        <f t="array" aca="1" ref="AA54" ca="1">IFERROR(VLOOKUP($X$5&amp;$C54,CHOOSE({1,2},D_技能表!$C$2:$C$1210&amp;D_技能表!$E$2:$E$1210,D_技能表!$Z$2:$Z$1210),2,FALSE),0)</f>
        <v>0</v>
      </c>
      <c r="AB54">
        <f t="array" aca="1" ref="AB54" ca="1">IFERROR(VLOOKUP($AB$5&amp;$C54,CHOOSE({1,2},D_技能表!$C$2:$C$1210&amp;D_技能表!$E$2:$E$1210,D_技能表!$I$2:$I$1210),2,FALSE),0)</f>
        <v>0</v>
      </c>
      <c r="AC54">
        <f t="array" aca="1" ref="AC54" ca="1">IFERROR(VLOOKUP($AB$5&amp;$C54,CHOOSE({1,2},D_技能表!$C$2:$C$1210&amp;D_技能表!$E$2:$E$1210,D_技能表!$N$2:$N$1210),2,FALSE),0)</f>
        <v>0</v>
      </c>
      <c r="AD54">
        <f t="array" aca="1" ref="AD54" ca="1">IFERROR(VLOOKUP($AB$5&amp;$C54,CHOOSE({1,2},D_技能表!$C$2:$C$1210&amp;D_技能表!$E$2:$E$1210,D_技能表!$W$2:$W$1210),2,FALSE),0)</f>
        <v>0</v>
      </c>
      <c r="AE54">
        <f t="array" aca="1" ref="AE54" ca="1">IFERROR(VLOOKUP($AB$5&amp;$C54,CHOOSE({1,2},D_技能表!$C$2:$C$1210&amp;D_技能表!$E$2:$E$1210,D_技能表!$Z$2:$Z$1210),2,FALSE),0)</f>
        <v>0</v>
      </c>
      <c r="AF54">
        <f t="array" aca="1" ref="AF54" ca="1">IFERROR(VLOOKUP($AF$5&amp;$C54,CHOOSE({1,2},D_技能表!$C$2:$C$1210&amp;D_技能表!$E$2:$E$1210,D_技能表!$I$2:$I$1210),2,FALSE),0)</f>
        <v>28</v>
      </c>
      <c r="AG54">
        <f t="array" aca="1" ref="AG54" ca="1">IFERROR(VLOOKUP($AF$5&amp;$C54,CHOOSE({1,2},D_技能表!$C$2:$C$1210&amp;D_技能表!$E$2:$E$1210,D_技能表!$N$2:$N$1210),2,FALSE),0)</f>
        <v>31017</v>
      </c>
      <c r="AH54">
        <f t="array" aca="1" ref="AH54" ca="1">IFERROR(VLOOKUP($AF$5&amp;$C54,CHOOSE({1,2},D_技能表!$C$2:$C$1210&amp;D_技能表!$E$2:$E$1210,D_技能表!$W$2:$W$1210),2,FALSE),0)</f>
        <v>21</v>
      </c>
      <c r="AI54">
        <f t="array" aca="1" ref="AI54" ca="1">IFERROR(VLOOKUP($AF$5&amp;$C54,CHOOSE({1,2},D_技能表!$C$2:$C$1210&amp;D_技能表!$E$2:$E$1210,D_技能表!$Z$2:$Z$1210),2,FALSE),0)</f>
        <v>9</v>
      </c>
      <c r="AJ54">
        <f t="array" aca="1" ref="AJ54" ca="1">IFERROR(VLOOKUP($AJ$5&amp;$C54,CHOOSE({1,2},D_技能表!$C$2:$C$1210&amp;D_技能表!$E$2:$E$1210,D_技能表!$I$2:$I$1210),2,FALSE),0)</f>
        <v>27</v>
      </c>
      <c r="AK54">
        <f t="array" aca="1" ref="AK54" ca="1">IFERROR(VLOOKUP($AJ$5&amp;$C54,CHOOSE({1,2},D_技能表!$C$2:$C$1210&amp;D_技能表!$E$2:$E$1210,D_技能表!$N$2:$N$1210),2,FALSE),0)</f>
        <v>29540</v>
      </c>
      <c r="AL54">
        <f t="array" aca="1" ref="AL54" ca="1">IFERROR(VLOOKUP($AJ$5&amp;$C54,CHOOSE({1,2},D_技能表!$C$2:$C$1210&amp;D_技能表!$E$2:$E$1210,D_技能表!$W$2:$W$1210),2,FALSE),0)</f>
        <v>20</v>
      </c>
      <c r="AM54">
        <f t="array" aca="1" ref="AM54" ca="1">IFERROR(VLOOKUP($AJ$5&amp;$C54,CHOOSE({1,2},D_技能表!$C$2:$C$1210&amp;D_技能表!$E$2:$E$1210,D_技能表!$Z$2:$Z$1210),2,FALSE),0)</f>
        <v>8</v>
      </c>
      <c r="AN54">
        <f t="array" aca="1" ref="AN54" ca="1">IFERROR(VLOOKUP($AN$5&amp;$C54,CHOOSE({1,2},D_技能表!$C$2:$C$1210&amp;D_技能表!$E$2:$E$1210,D_技能表!$I$2:$I$1210),2,FALSE),0)</f>
        <v>0</v>
      </c>
      <c r="AO54">
        <f t="array" aca="1" ref="AO54" ca="1">IFERROR(VLOOKUP($AN$5&amp;$C54,CHOOSE({1,2},D_技能表!$C$2:$C$1210&amp;D_技能表!$E$2:$E$1210,D_技能表!$N$2:$N$1210),2,FALSE),0)</f>
        <v>0</v>
      </c>
      <c r="AP54">
        <f t="array" aca="1" ref="AP54" ca="1">IFERROR(VLOOKUP($AN$5&amp;$C54,CHOOSE({1,2},D_技能表!$C$2:$C$1210&amp;D_技能表!$E$2:$E$1210,D_技能表!$W$2:$W$1210),2,FALSE),0)</f>
        <v>0</v>
      </c>
      <c r="AQ54">
        <f t="array" aca="1" ref="AQ54" ca="1">IFERROR(VLOOKUP($AN$5&amp;$C54,CHOOSE({1,2},D_技能表!$C$2:$C$1210&amp;D_技能表!$E$2:$E$1210,D_技能表!$Z$2:$Z$1210),2,FALSE),0)</f>
        <v>0</v>
      </c>
      <c r="AR54" s="11">
        <f ca="1">SUM($G$7:G55,$K$7:K55,$O$7:O55,$S$7:S55,$W$7:W55,$AA$7:AA55,$AE$7:AE55,$AI$7:AI55,$AM$7:AM55,$AQ$7:AQ55)</f>
        <v>1149</v>
      </c>
      <c r="AS54">
        <f ca="1">SUM($F$7:F55,$J$7:J55,$N$7:N55,$R$7:R55,$V$7:V55,$Z$7:Z55,$AD$7:AD55,$AH$7:AH55,$AL$7:AL55,$AP$7:AP55)</f>
        <v>4250</v>
      </c>
      <c r="AT54">
        <f t="shared" ca="1" si="1"/>
        <v>114</v>
      </c>
      <c r="AU54" s="33">
        <f ca="1">SUM($AX$7:AX54,$BB$7:BB54,$BF$7:BF54,$BJ$7:BJ54)</f>
        <v>861500</v>
      </c>
      <c r="AV54">
        <v>48</v>
      </c>
      <c r="AW54">
        <f t="array" ref="AW54">IFERROR(VLOOKUP(AW$5&amp;$AV54,CHOOSE({1,2},D_技能表CD!$C$2:$C$313&amp;D_技能表CD!$E$2:$E$313,D_技能表CD!$I$2:$I$313),2,FALSE),0)</f>
        <v>0</v>
      </c>
      <c r="AX54">
        <f t="array" aca="1" ref="AX54" ca="1">IFERROR(VLOOKUP(AW$5&amp;$AV54,CHOOSE({1,2},D_技能表CD!$C$2:$C$313&amp;D_技能表CD!$E$2:$E$313,D_技能表CD!$H$2:$H$313),2,FALSE),0)</f>
        <v>0</v>
      </c>
      <c r="AY54">
        <f t="array" aca="1" ref="AY54" ca="1">IFERROR(VLOOKUP(AW$5&amp;$AV54,CHOOSE({1,2},D_技能表CD!$C$2:$C$313&amp;D_技能表CD!$E$2:$E$313,D_技能表CD!$L$2:$L$313),2,FALSE),0)</f>
        <v>0</v>
      </c>
      <c r="AZ54">
        <f t="array" aca="1" ref="AZ54" ca="1">IFERROR(VLOOKUP(AW$5&amp;$AV54,CHOOSE({1,2},D_技能表CD!$C$2:$C$313&amp;D_技能表CD!$E$2:$E$313,D_技能表CD!$K$2:$K$313),2,FALSE),0)</f>
        <v>0</v>
      </c>
      <c r="BA54">
        <f t="array" ref="BA54">IFERROR(VLOOKUP(BA$5&amp;$AV54,CHOOSE({1,2},D_技能表CD!$C$2:$C$313&amp;D_技能表CD!$E$2:$E$313,D_技能表CD!$I$2:$I$313),2,FALSE),0)</f>
        <v>16</v>
      </c>
      <c r="BB54">
        <f t="array" aca="1" ref="BB54" ca="1">IFERROR(VLOOKUP(BA$5&amp;$AV54,CHOOSE({1,2},D_技能表CD!$C$2:$C$313&amp;D_技能表CD!$E$2:$E$313,D_技能表CD!$H$2:$H$313),2,FALSE),0)</f>
        <v>59150</v>
      </c>
      <c r="BC54">
        <f t="array" aca="1" ref="BC54" ca="1">IFERROR(VLOOKUP(BA$5&amp;$AV54,CHOOSE({1,2},D_技能表CD!$C$2:$C$313&amp;D_技能表CD!$E$2:$E$313,D_技能表CD!$L$2:$L$313),2,FALSE),0)</f>
        <v>183</v>
      </c>
      <c r="BD54">
        <f t="array" aca="1" ref="BD54" ca="1">IFERROR(VLOOKUP(BA$5&amp;$AV54,CHOOSE({1,2},D_技能表CD!$C$2:$C$313&amp;D_技能表CD!$E$2:$E$313,D_技能表CD!$K$2:$K$313),2,FALSE),0)</f>
        <v>288</v>
      </c>
      <c r="BE54">
        <f t="array" ref="BE54">IFERROR(VLOOKUP(BE$5&amp;$AV54,CHOOSE({1,2},D_技能表CD!$C$2:$C$313&amp;D_技能表CD!$E$2:$E$313,D_技能表CD!$I$2:$I$313),2,FALSE),0)</f>
        <v>0</v>
      </c>
      <c r="BF54">
        <f t="array" aca="1" ref="BF54" ca="1">IFERROR(VLOOKUP(BE$5&amp;$AV54,CHOOSE({1,2},D_技能表CD!$C$2:$C$313&amp;D_技能表CD!$E$2:$E$313,D_技能表CD!$H$2:$H$313),2,FALSE),0)</f>
        <v>0</v>
      </c>
      <c r="BG54">
        <f t="array" aca="1" ref="BG54" ca="1">IFERROR(VLOOKUP(BE$5&amp;$AV54,CHOOSE({1,2},D_技能表CD!$C$2:$C$313&amp;D_技能表CD!$E$2:$E$313,D_技能表CD!$L$2:$L$313),2,FALSE),0)</f>
        <v>0</v>
      </c>
      <c r="BH54">
        <f t="array" aca="1" ref="BH54" ca="1">IFERROR(VLOOKUP(BE$5&amp;$AV54,CHOOSE({1,2},D_技能表CD!$C$2:$C$313&amp;D_技能表CD!$E$2:$E$313,D_技能表CD!$K$2:$K$313),2,FALSE),0)</f>
        <v>0</v>
      </c>
      <c r="BI54">
        <f t="array" ref="BI54">IFERROR(VLOOKUP(BI$5&amp;$AV54,CHOOSE({1,2},D_技能表CD!$C$2:$C$313&amp;D_技能表CD!$E$2:$E$313,D_技能表CD!$I$2:$I$313),2,FALSE),0)</f>
        <v>0</v>
      </c>
      <c r="BJ54">
        <f t="array" aca="1" ref="BJ54" ca="1">IFERROR(VLOOKUP(BI$5&amp;$AV54,CHOOSE({1,2},D_技能表CD!$C$2:$C$313&amp;D_技能表CD!$E$2:$E$313,D_技能表CD!$H$2:$H$313),2,FALSE),0)</f>
        <v>0</v>
      </c>
      <c r="BK54">
        <f t="array" aca="1" ref="BK54" ca="1">IFERROR(VLOOKUP(BI$5&amp;$AV54,CHOOSE({1,2},D_技能表CD!$C$2:$C$313&amp;D_技能表CD!$E$2:$E$313,D_技能表CD!$L$2:$L$313),2,FALSE),0)</f>
        <v>0</v>
      </c>
      <c r="BL54">
        <f t="array" aca="1" ref="BL54" ca="1">IFERROR(VLOOKUP(BI$5&amp;$AV54,CHOOSE({1,2},D_技能表CD!$C$2:$C$313&amp;D_技能表CD!$E$2:$E$313,D_技能表CD!$K$2:$K$313),2,FALSE),0)</f>
        <v>0</v>
      </c>
    </row>
    <row r="55" spans="1:64" x14ac:dyDescent="0.15">
      <c r="A55">
        <f t="shared" ca="1" si="0"/>
        <v>4479870</v>
      </c>
      <c r="B55" s="33">
        <f ca="1">SUM($E$7:E55,$I$7:I55,$M$7:M55,$Q$7:Q55,$U$7:U55,$Y$7:Y55,$AC$7:AC55,$AG$7:AG55,$AK$7:AK55,$AO$7:AO55)</f>
        <v>3555620</v>
      </c>
      <c r="C55">
        <v>49</v>
      </c>
      <c r="D55">
        <f t="array" aca="1" ref="D55" ca="1">IFERROR(VLOOKUP($D$5&amp;C55,CHOOSE({1,2},D_技能表!$C$2:$C$1210&amp;D_技能表!$E$2:$E$1210,D_技能表!$I$2:$I$1210),2,FALSE),0)</f>
        <v>30</v>
      </c>
      <c r="E55">
        <f t="array" aca="1" ref="E55" ca="1">IFERROR(VLOOKUP($D$5&amp;$C55,CHOOSE({1,2},D_技能表!$C$2:$C$1210&amp;D_技能表!$E$2:$E$1210,D_技能表!$N$2:$N$1210),2,FALSE),0)</f>
        <v>92580</v>
      </c>
      <c r="F55">
        <f t="array" aca="1" ref="F55" ca="1">IFERROR(VLOOKUP($D$5&amp;$C55,CHOOSE({1,2},D_技能表!$C$2:$C$1210&amp;D_技能表!$E$2:$E$1210,D_技能表!$W$2:$W$1210),2,FALSE),0)</f>
        <v>60</v>
      </c>
      <c r="G55">
        <f t="array" aca="1" ref="G55" ca="1">IFERROR(VLOOKUP($D$5&amp;$C55,CHOOSE({1,2},D_技能表!$C$2:$C$1210&amp;D_技能表!$E$2:$E$1210,D_技能表!$Z$2:$Z$1210),2,FALSE),0)</f>
        <v>24</v>
      </c>
      <c r="H55">
        <f t="array" aca="1" ref="H55" ca="1">IFERROR(VLOOKUP($H$5&amp;$C55,CHOOSE({1,2},D_技能表!$C$2:$C$1210&amp;D_技能表!$E$2:$E$1210,D_技能表!$I$2:$I$1210),2,FALSE),0)</f>
        <v>0</v>
      </c>
      <c r="I55">
        <f t="array" aca="1" ref="I55" ca="1">IFERROR(VLOOKUP($H$5&amp;$C55,CHOOSE({1,2},D_技能表!$C$2:$C$1210&amp;D_技能表!$E$2:$E$1210,D_技能表!$N$2:$N$1210),2,FALSE),0)</f>
        <v>0</v>
      </c>
      <c r="J55">
        <f t="array" aca="1" ref="J55" ca="1">IFERROR(VLOOKUP($H$5&amp;$C55,CHOOSE({1,2},D_技能表!$C$2:$C$1210&amp;D_技能表!$E$2:$E$1210,D_技能表!$W$2:$W$1210),2,FALSE),0)</f>
        <v>0</v>
      </c>
      <c r="K55">
        <f t="array" aca="1" ref="K55" ca="1">IFERROR(VLOOKUP($H$5&amp;$C55,CHOOSE({1,2},D_技能表!$C$2:$C$1210&amp;D_技能表!$E$2:$E$1210,D_技能表!$Z$2:$Z$1210),2,FALSE),0)</f>
        <v>0</v>
      </c>
      <c r="L55">
        <f t="array" aca="1" ref="L55" ca="1">IFERROR(VLOOKUP($L$5&amp;$C55,CHOOSE({1,2},D_技能表!$C$2:$C$1210&amp;D_技能表!$E$2:$E$1210,D_技能表!$I$2:$I$1210),2,FALSE),0)</f>
        <v>0</v>
      </c>
      <c r="M55">
        <f t="array" aca="1" ref="M55" ca="1">IFERROR(VLOOKUP($L$5&amp;$C55,CHOOSE({1,2},D_技能表!$C$2:$C$1210&amp;D_技能表!$E$2:$E$1210,D_技能表!$N$2:$N$1210),2,FALSE),0)</f>
        <v>0</v>
      </c>
      <c r="N55">
        <f t="array" aca="1" ref="N55" ca="1">IFERROR(VLOOKUP($L$5&amp;$C55,CHOOSE({1,2},D_技能表!$C$2:$C$1210&amp;D_技能表!$E$2:$E$1210,D_技能表!$W$2:$W$1210),2,FALSE),0)</f>
        <v>0</v>
      </c>
      <c r="O55">
        <f t="array" aca="1" ref="O55" ca="1">IFERROR(VLOOKUP($L$5&amp;$C55,CHOOSE({1,2},D_技能表!$C$2:$C$1210&amp;D_技能表!$E$2:$E$1210,D_技能表!$Z$2:$Z$1210),2,FALSE),0)</f>
        <v>0</v>
      </c>
      <c r="P55">
        <f t="array" aca="1" ref="P55" ca="1">IFERROR(VLOOKUP($P$5&amp;$C55,CHOOSE({1,2},D_技能表!$C$2:$C$1210&amp;D_技能表!$E$2:$E$1210,D_技能表!$I$2:$I$1210),2,FALSE),0)</f>
        <v>29</v>
      </c>
      <c r="Q55">
        <f t="array" aca="1" ref="Q55" ca="1">IFERROR(VLOOKUP($P$5&amp;$C55,CHOOSE({1,2},D_技能表!$C$2:$C$1210&amp;D_技能表!$E$2:$E$1210,D_技能表!$N$2:$N$1210),2,FALSE),0)</f>
        <v>38575</v>
      </c>
      <c r="R55">
        <f t="array" aca="1" ref="R55" ca="1">IFERROR(VLOOKUP($P$5&amp;$C55,CHOOSE({1,2},D_技能表!$C$2:$C$1210&amp;D_技能表!$E$2:$E$1210,D_技能表!$W$2:$W$1210),2,FALSE),0)</f>
        <v>25</v>
      </c>
      <c r="S55">
        <f t="array" aca="1" ref="S55" ca="1">IFERROR(VLOOKUP($P$5&amp;$C55,CHOOSE({1,2},D_技能表!$C$2:$C$1210&amp;D_技能表!$E$2:$E$1210,D_技能表!$Z$2:$Z$1210),2,FALSE),0)</f>
        <v>10</v>
      </c>
      <c r="T55">
        <f t="array" aca="1" ref="T55" ca="1">IFERROR(VLOOKUP($T$5&amp;$C55,CHOOSE({1,2},D_技能表!$C$2:$C$1210&amp;D_技能表!$E$2:$E$1210,D_技能表!$I$2:$I$1210),2,FALSE),0)</f>
        <v>28</v>
      </c>
      <c r="U55">
        <f t="array" aca="1" ref="U55" ca="1">IFERROR(VLOOKUP($T$5&amp;$C55,CHOOSE({1,2},D_技能表!$C$2:$C$1210&amp;D_技能表!$E$2:$E$1210,D_技能表!$N$2:$N$1210),2,FALSE),0)</f>
        <v>58634</v>
      </c>
      <c r="V55">
        <f t="array" aca="1" ref="V55" ca="1">IFERROR(VLOOKUP($T$5&amp;$C55,CHOOSE({1,2},D_技能表!$C$2:$C$1210&amp;D_技能表!$E$2:$E$1210,D_技能表!$W$2:$W$1210),2,FALSE),0)</f>
        <v>38</v>
      </c>
      <c r="W55">
        <f t="array" aca="1" ref="W55" ca="1">IFERROR(VLOOKUP($T$5&amp;$C55,CHOOSE({1,2},D_技能表!$C$2:$C$1210&amp;D_技能表!$E$2:$E$1210,D_技能表!$Z$2:$Z$1210),2,FALSE),0)</f>
        <v>16</v>
      </c>
      <c r="X55">
        <f t="array" aca="1" ref="X55" ca="1">IFERROR(VLOOKUP($X$5&amp;$C55,CHOOSE({1,2},D_技能表!$C$2:$C$1210&amp;D_技能表!$E$2:$E$1210,D_技能表!$I$2:$I$1210),2,FALSE),0)</f>
        <v>29</v>
      </c>
      <c r="Y55">
        <f t="array" aca="1" ref="Y55" ca="1">IFERROR(VLOOKUP($X$5&amp;$C55,CHOOSE({1,2},D_技能表!$C$2:$C$1210&amp;D_技能表!$E$2:$E$1210,D_技能表!$N$2:$N$1210),2,FALSE),0)</f>
        <v>81779</v>
      </c>
      <c r="Z55">
        <f t="array" aca="1" ref="Z55" ca="1">IFERROR(VLOOKUP($X$5&amp;$C55,CHOOSE({1,2},D_技能表!$C$2:$C$1210&amp;D_技能表!$E$2:$E$1210,D_技能表!$W$2:$W$1210),2,FALSE),0)</f>
        <v>53</v>
      </c>
      <c r="AA55">
        <f t="array" aca="1" ref="AA55" ca="1">IFERROR(VLOOKUP($X$5&amp;$C55,CHOOSE({1,2},D_技能表!$C$2:$C$1210&amp;D_技能表!$E$2:$E$1210,D_技能表!$Z$2:$Z$1210),2,FALSE),0)</f>
        <v>22</v>
      </c>
      <c r="AB55">
        <f t="array" aca="1" ref="AB55" ca="1">IFERROR(VLOOKUP($AB$5&amp;$C55,CHOOSE({1,2},D_技能表!$C$2:$C$1210&amp;D_技能表!$E$2:$E$1210,D_技能表!$I$2:$I$1210),2,FALSE),0)</f>
        <v>29</v>
      </c>
      <c r="AC55">
        <f t="array" aca="1" ref="AC55" ca="1">IFERROR(VLOOKUP($AB$5&amp;$C55,CHOOSE({1,2},D_技能表!$C$2:$C$1210&amp;D_技能表!$E$2:$E$1210,D_技能表!$N$2:$N$1210),2,FALSE),0)</f>
        <v>40118</v>
      </c>
      <c r="AD55">
        <f t="array" aca="1" ref="AD55" ca="1">IFERROR(VLOOKUP($AB$5&amp;$C55,CHOOSE({1,2},D_技能表!$C$2:$C$1210&amp;D_技能表!$E$2:$E$1210,D_技能表!$W$2:$W$1210),2,FALSE),0)</f>
        <v>26</v>
      </c>
      <c r="AE55">
        <f t="array" aca="1" ref="AE55" ca="1">IFERROR(VLOOKUP($AB$5&amp;$C55,CHOOSE({1,2},D_技能表!$C$2:$C$1210&amp;D_技能表!$E$2:$E$1210,D_技能表!$Z$2:$Z$1210),2,FALSE),0)</f>
        <v>11</v>
      </c>
      <c r="AF55">
        <f t="array" aca="1" ref="AF55" ca="1">IFERROR(VLOOKUP($AF$5&amp;$C55,CHOOSE({1,2},D_技能表!$C$2:$C$1210&amp;D_技能表!$E$2:$E$1210,D_技能表!$I$2:$I$1210),2,FALSE),0)</f>
        <v>0</v>
      </c>
      <c r="AG55">
        <f t="array" aca="1" ref="AG55" ca="1">IFERROR(VLOOKUP($AF$5&amp;$C55,CHOOSE({1,2},D_技能表!$C$2:$C$1210&amp;D_技能表!$E$2:$E$1210,D_技能表!$N$2:$N$1210),2,FALSE),0)</f>
        <v>0</v>
      </c>
      <c r="AH55">
        <f t="array" aca="1" ref="AH55" ca="1">IFERROR(VLOOKUP($AF$5&amp;$C55,CHOOSE({1,2},D_技能表!$C$2:$C$1210&amp;D_技能表!$E$2:$E$1210,D_技能表!$W$2:$W$1210),2,FALSE),0)</f>
        <v>0</v>
      </c>
      <c r="AI55">
        <f t="array" aca="1" ref="AI55" ca="1">IFERROR(VLOOKUP($AF$5&amp;$C55,CHOOSE({1,2},D_技能表!$C$2:$C$1210&amp;D_技能表!$E$2:$E$1210,D_技能表!$Z$2:$Z$1210),2,FALSE),0)</f>
        <v>0</v>
      </c>
      <c r="AJ55">
        <f t="array" aca="1" ref="AJ55" ca="1">IFERROR(VLOOKUP($AJ$5&amp;$C55,CHOOSE({1,2},D_技能表!$C$2:$C$1210&amp;D_技能表!$E$2:$E$1210,D_技能表!$I$2:$I$1210),2,FALSE),0)</f>
        <v>28</v>
      </c>
      <c r="AK55">
        <f t="array" aca="1" ref="AK55" ca="1">IFERROR(VLOOKUP($AJ$5&amp;$C55,CHOOSE({1,2},D_技能表!$C$2:$C$1210&amp;D_技能表!$E$2:$E$1210,D_技能表!$N$2:$N$1210),2,FALSE),0)</f>
        <v>32403</v>
      </c>
      <c r="AL55">
        <f t="array" aca="1" ref="AL55" ca="1">IFERROR(VLOOKUP($AJ$5&amp;$C55,CHOOSE({1,2},D_技能表!$C$2:$C$1210&amp;D_技能表!$E$2:$E$1210,D_技能表!$W$2:$W$1210),2,FALSE),0)</f>
        <v>21</v>
      </c>
      <c r="AM55">
        <f t="array" aca="1" ref="AM55" ca="1">IFERROR(VLOOKUP($AJ$5&amp;$C55,CHOOSE({1,2},D_技能表!$C$2:$C$1210&amp;D_技能表!$E$2:$E$1210,D_技能表!$Z$2:$Z$1210),2,FALSE),0)</f>
        <v>9</v>
      </c>
      <c r="AN55">
        <f t="array" aca="1" ref="AN55" ca="1">IFERROR(VLOOKUP($AN$5&amp;$C55,CHOOSE({1,2},D_技能表!$C$2:$C$1210&amp;D_技能表!$E$2:$E$1210,D_技能表!$I$2:$I$1210),2,FALSE),0)</f>
        <v>27</v>
      </c>
      <c r="AO55">
        <f t="array" aca="1" ref="AO55" ca="1">IFERROR(VLOOKUP($AN$5&amp;$C55,CHOOSE({1,2},D_技能表!$C$2:$C$1210&amp;D_技能表!$E$2:$E$1210,D_技能表!$N$2:$N$1210),2,FALSE),0)</f>
        <v>55548</v>
      </c>
      <c r="AP55">
        <f t="array" aca="1" ref="AP55" ca="1">IFERROR(VLOOKUP($AN$5&amp;$C55,CHOOSE({1,2},D_技能表!$C$2:$C$1210&amp;D_技能表!$E$2:$E$1210,D_技能表!$W$2:$W$1210),2,FALSE),0)</f>
        <v>36</v>
      </c>
      <c r="AQ55">
        <f t="array" aca="1" ref="AQ55" ca="1">IFERROR(VLOOKUP($AN$5&amp;$C55,CHOOSE({1,2},D_技能表!$C$2:$C$1210&amp;D_技能表!$E$2:$E$1210,D_技能表!$Z$2:$Z$1210),2,FALSE),0)</f>
        <v>15</v>
      </c>
      <c r="AR55" s="11">
        <f ca="1">SUM($G$7:G56,$K$7:K56,$O$7:O56,$S$7:S56,$W$7:W56,$AA$7:AA56,$AE$7:AE56,$AI$7:AI56,$AM$7:AM56,$AQ$7:AQ56)</f>
        <v>1274</v>
      </c>
      <c r="AS55">
        <f ca="1">SUM($F$7:F56,$J$7:J56,$N$7:N56,$R$7:R56,$V$7:V56,$Z$7:Z56,$AD$7:AD56,$AH$7:AH56,$AL$7:AL56,$AP$7:AP56)</f>
        <v>4553</v>
      </c>
      <c r="AT55">
        <f t="shared" ca="1" si="1"/>
        <v>259</v>
      </c>
      <c r="AU55" s="33">
        <f ca="1">SUM($AX$7:AX55,$BB$7:BB55,$BF$7:BF55,$BJ$7:BJ55)</f>
        <v>924250</v>
      </c>
      <c r="AV55">
        <v>49</v>
      </c>
      <c r="AW55">
        <f t="array" ref="AW55">IFERROR(VLOOKUP(AW$5&amp;$AV55,CHOOSE({1,2},D_技能表CD!$C$2:$C$313&amp;D_技能表CD!$E$2:$E$313,D_技能表CD!$I$2:$I$313),2,FALSE),0)</f>
        <v>17</v>
      </c>
      <c r="AX55">
        <f t="array" aca="1" ref="AX55" ca="1">IFERROR(VLOOKUP(AW$5&amp;$AV55,CHOOSE({1,2},D_技能表CD!$C$2:$C$313&amp;D_技能表CD!$E$2:$E$313,D_技能表CD!$H$2:$H$313),2,FALSE),0)</f>
        <v>36350</v>
      </c>
      <c r="AY55">
        <f t="array" aca="1" ref="AY55" ca="1">IFERROR(VLOOKUP(AW$5&amp;$AV55,CHOOSE({1,2},D_技能表CD!$C$2:$C$313&amp;D_技能表CD!$E$2:$E$313,D_技能表CD!$L$2:$L$313),2,FALSE),0)</f>
        <v>111</v>
      </c>
      <c r="AZ55">
        <f t="array" aca="1" ref="AZ55" ca="1">IFERROR(VLOOKUP(AW$5&amp;$AV55,CHOOSE({1,2},D_技能表CD!$C$2:$C$313&amp;D_技能表CD!$E$2:$E$313,D_技能表CD!$K$2:$K$313),2,FALSE),0)</f>
        <v>183</v>
      </c>
      <c r="BA55">
        <f t="array" ref="BA55">IFERROR(VLOOKUP(BA$5&amp;$AV55,CHOOSE({1,2},D_技能表CD!$C$2:$C$313&amp;D_技能表CD!$E$2:$E$313,D_技能表CD!$I$2:$I$313),2,FALSE),0)</f>
        <v>0</v>
      </c>
      <c r="BB55">
        <f t="array" aca="1" ref="BB55" ca="1">IFERROR(VLOOKUP(BA$5&amp;$AV55,CHOOSE({1,2},D_技能表CD!$C$2:$C$313&amp;D_技能表CD!$E$2:$E$313,D_技能表CD!$H$2:$H$313),2,FALSE),0)</f>
        <v>0</v>
      </c>
      <c r="BC55">
        <f t="array" aca="1" ref="BC55" ca="1">IFERROR(VLOOKUP(BA$5&amp;$AV55,CHOOSE({1,2},D_技能表CD!$C$2:$C$313&amp;D_技能表CD!$E$2:$E$313,D_技能表CD!$L$2:$L$313),2,FALSE),0)</f>
        <v>0</v>
      </c>
      <c r="BD55">
        <f t="array" aca="1" ref="BD55" ca="1">IFERROR(VLOOKUP(BA$5&amp;$AV55,CHOOSE({1,2},D_技能表CD!$C$2:$C$313&amp;D_技能表CD!$E$2:$E$313,D_技能表CD!$K$2:$K$313),2,FALSE),0)</f>
        <v>0</v>
      </c>
      <c r="BE55">
        <f t="array" ref="BE55">IFERROR(VLOOKUP(BE$5&amp;$AV55,CHOOSE({1,2},D_技能表CD!$C$2:$C$313&amp;D_技能表CD!$E$2:$E$313,D_技能表CD!$I$2:$I$313),2,FALSE),0)</f>
        <v>16</v>
      </c>
      <c r="BF55">
        <f t="array" aca="1" ref="BF55" ca="1">IFERROR(VLOOKUP(BE$5&amp;$AV55,CHOOSE({1,2},D_技能表CD!$C$2:$C$313&amp;D_技能表CD!$E$2:$E$313,D_技能表CD!$H$2:$H$313),2,FALSE),0)</f>
        <v>26400</v>
      </c>
      <c r="BG55">
        <f t="array" aca="1" ref="BG55" ca="1">IFERROR(VLOOKUP(BE$5&amp;$AV55,CHOOSE({1,2},D_技能表CD!$C$2:$C$313&amp;D_技能表CD!$E$2:$E$313,D_技能表CD!$L$2:$L$313),2,FALSE),0)</f>
        <v>82</v>
      </c>
      <c r="BH55">
        <f t="array" aca="1" ref="BH55" ca="1">IFERROR(VLOOKUP(BE$5&amp;$AV55,CHOOSE({1,2},D_技能表CD!$C$2:$C$313&amp;D_技能表CD!$E$2:$E$313,D_技能表CD!$K$2:$K$313),2,FALSE),0)</f>
        <v>129</v>
      </c>
      <c r="BI55">
        <f t="array" ref="BI55">IFERROR(VLOOKUP(BI$5&amp;$AV55,CHOOSE({1,2},D_技能表CD!$C$2:$C$313&amp;D_技能表CD!$E$2:$E$313,D_技能表CD!$I$2:$I$313),2,FALSE),0)</f>
        <v>0</v>
      </c>
      <c r="BJ55">
        <f t="array" aca="1" ref="BJ55" ca="1">IFERROR(VLOOKUP(BI$5&amp;$AV55,CHOOSE({1,2},D_技能表CD!$C$2:$C$313&amp;D_技能表CD!$E$2:$E$313,D_技能表CD!$H$2:$H$313),2,FALSE),0)</f>
        <v>0</v>
      </c>
      <c r="BK55">
        <f t="array" aca="1" ref="BK55" ca="1">IFERROR(VLOOKUP(BI$5&amp;$AV55,CHOOSE({1,2},D_技能表CD!$C$2:$C$313&amp;D_技能表CD!$E$2:$E$313,D_技能表CD!$L$2:$L$313),2,FALSE),0)</f>
        <v>0</v>
      </c>
      <c r="BL55">
        <f t="array" aca="1" ref="BL55" ca="1">IFERROR(VLOOKUP(BI$5&amp;$AV55,CHOOSE({1,2},D_技能表CD!$C$2:$C$313&amp;D_技能表CD!$E$2:$E$313,D_技能表CD!$K$2:$K$313),2,FALSE),0)</f>
        <v>0</v>
      </c>
    </row>
    <row r="56" spans="1:64" x14ac:dyDescent="0.15">
      <c r="A56">
        <f t="shared" ca="1" si="0"/>
        <v>5025500</v>
      </c>
      <c r="B56" s="33">
        <f ca="1">SUM($E$7:E56,$I$7:I56,$M$7:M56,$Q$7:Q56,$U$7:U56,$Y$7:Y56,$AC$7:AC56,$AG$7:AG56,$AK$7:AK56,$AO$7:AO56)</f>
        <v>4043450</v>
      </c>
      <c r="C56">
        <v>50</v>
      </c>
      <c r="D56">
        <f t="array" aca="1" ref="D56" ca="1">IFERROR(VLOOKUP($D$5&amp;C56,CHOOSE({1,2},D_技能表!$C$2:$C$1210&amp;D_技能表!$E$2:$E$1210,D_技能表!$I$2:$I$1210),2,FALSE),0)</f>
        <v>31</v>
      </c>
      <c r="E56">
        <f t="array" aca="1" ref="E56" ca="1">IFERROR(VLOOKUP($D$5&amp;$C56,CHOOSE({1,2},D_技能表!$C$2:$C$1210&amp;D_技能表!$E$2:$E$1210,D_技能表!$N$2:$N$1210),2,FALSE),0)</f>
        <v>103040</v>
      </c>
      <c r="F56">
        <f t="array" aca="1" ref="F56" ca="1">IFERROR(VLOOKUP($D$5&amp;$C56,CHOOSE({1,2},D_技能表!$C$2:$C$1210&amp;D_技能表!$E$2:$E$1210,D_技能表!$W$2:$W$1210),2,FALSE),0)</f>
        <v>64</v>
      </c>
      <c r="G56">
        <f t="array" aca="1" ref="G56" ca="1">IFERROR(VLOOKUP($D$5&amp;$C56,CHOOSE({1,2},D_技能表!$C$2:$C$1210&amp;D_技能表!$E$2:$E$1210,D_技能表!$Z$2:$Z$1210),2,FALSE),0)</f>
        <v>26</v>
      </c>
      <c r="H56">
        <f t="array" aca="1" ref="H56" ca="1">IFERROR(VLOOKUP($H$5&amp;$C56,CHOOSE({1,2},D_技能表!$C$2:$C$1210&amp;D_技能表!$E$2:$E$1210,D_技能表!$I$2:$I$1210),2,FALSE),0)</f>
        <v>30</v>
      </c>
      <c r="I56">
        <f t="array" aca="1" ref="I56" ca="1">IFERROR(VLOOKUP($H$5&amp;$C56,CHOOSE({1,2},D_技能表!$C$2:$C$1210&amp;D_技能表!$E$2:$E$1210,D_技能表!$N$2:$N$1210),2,FALSE),0)</f>
        <v>41860</v>
      </c>
      <c r="J56">
        <f t="array" aca="1" ref="J56" ca="1">IFERROR(VLOOKUP($H$5&amp;$C56,CHOOSE({1,2},D_技能表!$C$2:$C$1210&amp;D_技能表!$E$2:$E$1210,D_技能表!$W$2:$W$1210),2,FALSE),0)</f>
        <v>26</v>
      </c>
      <c r="K56">
        <f t="array" aca="1" ref="K56" ca="1">IFERROR(VLOOKUP($H$5&amp;$C56,CHOOSE({1,2},D_技能表!$C$2:$C$1210&amp;D_技能表!$E$2:$E$1210,D_技能表!$Z$2:$Z$1210),2,FALSE),0)</f>
        <v>11</v>
      </c>
      <c r="L56">
        <f t="array" aca="1" ref="L56" ca="1">IFERROR(VLOOKUP($L$5&amp;$C56,CHOOSE({1,2},D_技能表!$C$2:$C$1210&amp;D_技能表!$E$2:$E$1210,D_技能表!$I$2:$I$1210),2,FALSE),0)</f>
        <v>30</v>
      </c>
      <c r="M56">
        <f t="array" aca="1" ref="M56" ca="1">IFERROR(VLOOKUP($L$5&amp;$C56,CHOOSE({1,2},D_技能表!$C$2:$C$1210&amp;D_技能表!$E$2:$E$1210,D_技能表!$N$2:$N$1210),2,FALSE),0)</f>
        <v>41860</v>
      </c>
      <c r="N56">
        <f t="array" aca="1" ref="N56" ca="1">IFERROR(VLOOKUP($L$5&amp;$C56,CHOOSE({1,2},D_技能表!$C$2:$C$1210&amp;D_技能表!$E$2:$E$1210,D_技能表!$W$2:$W$1210),2,FALSE),0)</f>
        <v>26</v>
      </c>
      <c r="O56">
        <f t="array" aca="1" ref="O56" ca="1">IFERROR(VLOOKUP($L$5&amp;$C56,CHOOSE({1,2},D_技能表!$C$2:$C$1210&amp;D_技能表!$E$2:$E$1210,D_技能表!$Z$2:$Z$1210),2,FALSE),0)</f>
        <v>11</v>
      </c>
      <c r="P56">
        <f t="array" aca="1" ref="P56" ca="1">IFERROR(VLOOKUP($P$5&amp;$C56,CHOOSE({1,2},D_技能表!$C$2:$C$1210&amp;D_技能表!$E$2:$E$1210,D_技能表!$I$2:$I$1210),2,FALSE),0)</f>
        <v>0</v>
      </c>
      <c r="Q56">
        <f t="array" aca="1" ref="Q56" ca="1">IFERROR(VLOOKUP($P$5&amp;$C56,CHOOSE({1,2},D_技能表!$C$2:$C$1210&amp;D_技能表!$E$2:$E$1210,D_技能表!$N$2:$N$1210),2,FALSE),0)</f>
        <v>0</v>
      </c>
      <c r="R56">
        <f t="array" aca="1" ref="R56" ca="1">IFERROR(VLOOKUP($P$5&amp;$C56,CHOOSE({1,2},D_技能表!$C$2:$C$1210&amp;D_技能表!$E$2:$E$1210,D_技能表!$W$2:$W$1210),2,FALSE),0)</f>
        <v>0</v>
      </c>
      <c r="S56">
        <f t="array" aca="1" ref="S56" ca="1">IFERROR(VLOOKUP($P$5&amp;$C56,CHOOSE({1,2},D_技能表!$C$2:$C$1210&amp;D_技能表!$E$2:$E$1210,D_技能表!$Z$2:$Z$1210),2,FALSE),0)</f>
        <v>0</v>
      </c>
      <c r="T56">
        <f t="array" aca="1" ref="T56" ca="1">IFERROR(VLOOKUP($T$5&amp;$C56,CHOOSE({1,2},D_技能表!$C$2:$C$1210&amp;D_技能表!$E$2:$E$1210,D_技能表!$I$2:$I$1210),2,FALSE),0)</f>
        <v>29</v>
      </c>
      <c r="U56">
        <f t="array" aca="1" ref="U56" ca="1">IFERROR(VLOOKUP($T$5&amp;$C56,CHOOSE({1,2},D_技能表!$C$2:$C$1210&amp;D_技能表!$E$2:$E$1210,D_技能表!$N$2:$N$1210),2,FALSE),0)</f>
        <v>64400</v>
      </c>
      <c r="V56">
        <f t="array" aca="1" ref="V56" ca="1">IFERROR(VLOOKUP($T$5&amp;$C56,CHOOSE({1,2},D_技能表!$C$2:$C$1210&amp;D_技能表!$E$2:$E$1210,D_技能表!$W$2:$W$1210),2,FALSE),0)</f>
        <v>40</v>
      </c>
      <c r="W56">
        <f t="array" aca="1" ref="W56" ca="1">IFERROR(VLOOKUP($T$5&amp;$C56,CHOOSE({1,2},D_技能表!$C$2:$C$1210&amp;D_技能表!$E$2:$E$1210,D_技能表!$Z$2:$Z$1210),2,FALSE),0)</f>
        <v>16</v>
      </c>
      <c r="X56">
        <f t="array" aca="1" ref="X56" ca="1">IFERROR(VLOOKUP($X$5&amp;$C56,CHOOSE({1,2},D_技能表!$C$2:$C$1210&amp;D_技能表!$E$2:$E$1210,D_技能表!$I$2:$I$1210),2,FALSE),0)</f>
        <v>30</v>
      </c>
      <c r="Y56">
        <f t="array" aca="1" ref="Y56" ca="1">IFERROR(VLOOKUP($X$5&amp;$C56,CHOOSE({1,2},D_技能表!$C$2:$C$1210&amp;D_技能表!$E$2:$E$1210,D_技能表!$N$2:$N$1210),2,FALSE),0)</f>
        <v>91770</v>
      </c>
      <c r="Z56">
        <f t="array" aca="1" ref="Z56" ca="1">IFERROR(VLOOKUP($X$5&amp;$C56,CHOOSE({1,2},D_技能表!$C$2:$C$1210&amp;D_技能表!$E$2:$E$1210,D_技能表!$W$2:$W$1210),2,FALSE),0)</f>
        <v>57</v>
      </c>
      <c r="AA56">
        <f t="array" aca="1" ref="AA56" ca="1">IFERROR(VLOOKUP($X$5&amp;$C56,CHOOSE({1,2},D_技能表!$C$2:$C$1210&amp;D_技能表!$E$2:$E$1210,D_技能表!$Z$2:$Z$1210),2,FALSE),0)</f>
        <v>23</v>
      </c>
      <c r="AB56">
        <f t="array" aca="1" ref="AB56" ca="1">IFERROR(VLOOKUP($AB$5&amp;$C56,CHOOSE({1,2},D_技能表!$C$2:$C$1210&amp;D_技能表!$E$2:$E$1210,D_技能表!$I$2:$I$1210),2,FALSE),0)</f>
        <v>30</v>
      </c>
      <c r="AC56">
        <f t="array" aca="1" ref="AC56" ca="1">IFERROR(VLOOKUP($AB$5&amp;$C56,CHOOSE({1,2},D_技能表!$C$2:$C$1210&amp;D_技能表!$E$2:$E$1210,D_技能表!$N$2:$N$1210),2,FALSE),0)</f>
        <v>45080</v>
      </c>
      <c r="AD56">
        <f t="array" aca="1" ref="AD56" ca="1">IFERROR(VLOOKUP($AB$5&amp;$C56,CHOOSE({1,2},D_技能表!$C$2:$C$1210&amp;D_技能表!$E$2:$E$1210,D_技能表!$W$2:$W$1210),2,FALSE),0)</f>
        <v>28</v>
      </c>
      <c r="AE56">
        <f t="array" aca="1" ref="AE56" ca="1">IFERROR(VLOOKUP($AB$5&amp;$C56,CHOOSE({1,2},D_技能表!$C$2:$C$1210&amp;D_技能表!$E$2:$E$1210,D_技能表!$Z$2:$Z$1210),2,FALSE),0)</f>
        <v>12</v>
      </c>
      <c r="AF56">
        <f t="array" aca="1" ref="AF56" ca="1">IFERROR(VLOOKUP($AF$5&amp;$C56,CHOOSE({1,2},D_技能表!$C$2:$C$1210&amp;D_技能表!$E$2:$E$1210,D_技能表!$I$2:$I$1210),2,FALSE),0)</f>
        <v>29</v>
      </c>
      <c r="AG56">
        <f t="array" aca="1" ref="AG56" ca="1">IFERROR(VLOOKUP($AF$5&amp;$C56,CHOOSE({1,2},D_技能表!$C$2:$C$1210&amp;D_技能表!$E$2:$E$1210,D_技能表!$N$2:$N$1210),2,FALSE),0)</f>
        <v>37030</v>
      </c>
      <c r="AH56">
        <f t="array" aca="1" ref="AH56" ca="1">IFERROR(VLOOKUP($AF$5&amp;$C56,CHOOSE({1,2},D_技能表!$C$2:$C$1210&amp;D_技能表!$E$2:$E$1210,D_技能表!$W$2:$W$1210),2,FALSE),0)</f>
        <v>23</v>
      </c>
      <c r="AI56">
        <f t="array" aca="1" ref="AI56" ca="1">IFERROR(VLOOKUP($AF$5&amp;$C56,CHOOSE({1,2},D_技能表!$C$2:$C$1210&amp;D_技能表!$E$2:$E$1210,D_技能表!$Z$2:$Z$1210),2,FALSE),0)</f>
        <v>10</v>
      </c>
      <c r="AJ56">
        <f t="array" aca="1" ref="AJ56" ca="1">IFERROR(VLOOKUP($AJ$5&amp;$C56,CHOOSE({1,2},D_技能表!$C$2:$C$1210&amp;D_技能表!$E$2:$E$1210,D_技能表!$I$2:$I$1210),2,FALSE),0)</f>
        <v>0</v>
      </c>
      <c r="AK56">
        <f t="array" aca="1" ref="AK56" ca="1">IFERROR(VLOOKUP($AJ$5&amp;$C56,CHOOSE({1,2},D_技能表!$C$2:$C$1210&amp;D_技能表!$E$2:$E$1210,D_技能表!$N$2:$N$1210),2,FALSE),0)</f>
        <v>0</v>
      </c>
      <c r="AL56">
        <f t="array" aca="1" ref="AL56" ca="1">IFERROR(VLOOKUP($AJ$5&amp;$C56,CHOOSE({1,2},D_技能表!$C$2:$C$1210&amp;D_技能表!$E$2:$E$1210,D_技能表!$W$2:$W$1210),2,FALSE),0)</f>
        <v>0</v>
      </c>
      <c r="AM56">
        <f t="array" aca="1" ref="AM56" ca="1">IFERROR(VLOOKUP($AJ$5&amp;$C56,CHOOSE({1,2},D_技能表!$C$2:$C$1210&amp;D_技能表!$E$2:$E$1210,D_技能表!$Z$2:$Z$1210),2,FALSE),0)</f>
        <v>0</v>
      </c>
      <c r="AN56">
        <f t="array" aca="1" ref="AN56" ca="1">IFERROR(VLOOKUP($AN$5&amp;$C56,CHOOSE({1,2},D_技能表!$C$2:$C$1210&amp;D_技能表!$E$2:$E$1210,D_技能表!$I$2:$I$1210),2,FALSE),0)</f>
        <v>28</v>
      </c>
      <c r="AO56">
        <f t="array" aca="1" ref="AO56" ca="1">IFERROR(VLOOKUP($AN$5&amp;$C56,CHOOSE({1,2},D_技能表!$C$2:$C$1210&amp;D_技能表!$E$2:$E$1210,D_技能表!$N$2:$N$1210),2,FALSE),0)</f>
        <v>62790</v>
      </c>
      <c r="AP56">
        <f t="array" aca="1" ref="AP56" ca="1">IFERROR(VLOOKUP($AN$5&amp;$C56,CHOOSE({1,2},D_技能表!$C$2:$C$1210&amp;D_技能表!$E$2:$E$1210,D_技能表!$W$2:$W$1210),2,FALSE),0)</f>
        <v>39</v>
      </c>
      <c r="AQ56">
        <f t="array" aca="1" ref="AQ56" ca="1">IFERROR(VLOOKUP($AN$5&amp;$C56,CHOOSE({1,2},D_技能表!$C$2:$C$1210&amp;D_技能表!$E$2:$E$1210,D_技能表!$Z$2:$Z$1210),2,FALSE),0)</f>
        <v>16</v>
      </c>
      <c r="AR56" s="11">
        <f ca="1">SUM($G$7:G57,$K$7:K57,$O$7:O57,$S$7:S57,$W$7:W57,$AA$7:AA57,$AE$7:AE57,$AI$7:AI57,$AM$7:AM57,$AQ$7:AQ57)</f>
        <v>1346</v>
      </c>
      <c r="AS56">
        <f ca="1">SUM($F$7:F57,$J$7:J57,$N$7:N57,$R$7:R57,$V$7:V57,$Z$7:Z57,$AD$7:AD57,$AH$7:AH57,$AL$7:AL57,$AP$7:AP57)</f>
        <v>4725</v>
      </c>
      <c r="AT56">
        <f t="shared" ca="1" si="1"/>
        <v>303</v>
      </c>
      <c r="AU56" s="33">
        <f ca="1">SUM($AX$7:AX56,$BB$7:BB56,$BF$7:BF56,$BJ$7:BJ56)</f>
        <v>982050</v>
      </c>
      <c r="AV56">
        <v>50</v>
      </c>
      <c r="AW56">
        <f t="array" ref="AW56">IFERROR(VLOOKUP(AW$5&amp;$AV56,CHOOSE({1,2},D_技能表CD!$C$2:$C$313&amp;D_技能表CD!$E$2:$E$313,D_技能表CD!$I$2:$I$313),2,FALSE),0)</f>
        <v>0</v>
      </c>
      <c r="AX56">
        <f t="array" aca="1" ref="AX56" ca="1">IFERROR(VLOOKUP(AW$5&amp;$AV56,CHOOSE({1,2},D_技能表CD!$C$2:$C$313&amp;D_技能表CD!$E$2:$E$313,D_技能表CD!$H$2:$H$313),2,FALSE),0)</f>
        <v>0</v>
      </c>
      <c r="AY56">
        <f t="array" aca="1" ref="AY56" ca="1">IFERROR(VLOOKUP(AW$5&amp;$AV56,CHOOSE({1,2},D_技能表CD!$C$2:$C$313&amp;D_技能表CD!$E$2:$E$313,D_技能表CD!$L$2:$L$313),2,FALSE),0)</f>
        <v>0</v>
      </c>
      <c r="AZ56">
        <f t="array" aca="1" ref="AZ56" ca="1">IFERROR(VLOOKUP(AW$5&amp;$AV56,CHOOSE({1,2},D_技能表CD!$C$2:$C$313&amp;D_技能表CD!$E$2:$E$313,D_技能表CD!$K$2:$K$313),2,FALSE),0)</f>
        <v>0</v>
      </c>
      <c r="BA56">
        <f t="array" ref="BA56">IFERROR(VLOOKUP(BA$5&amp;$AV56,CHOOSE({1,2},D_技能表CD!$C$2:$C$313&amp;D_技能表CD!$E$2:$E$313,D_技能表CD!$I$2:$I$313),2,FALSE),0)</f>
        <v>0</v>
      </c>
      <c r="BB56">
        <f t="array" aca="1" ref="BB56" ca="1">IFERROR(VLOOKUP(BA$5&amp;$AV56,CHOOSE({1,2},D_技能表CD!$C$2:$C$313&amp;D_技能表CD!$E$2:$E$313,D_技能表CD!$H$2:$H$313),2,FALSE),0)</f>
        <v>0</v>
      </c>
      <c r="BC56">
        <f t="array" aca="1" ref="BC56" ca="1">IFERROR(VLOOKUP(BA$5&amp;$AV56,CHOOSE({1,2},D_技能表CD!$C$2:$C$313&amp;D_技能表CD!$E$2:$E$313,D_技能表CD!$L$2:$L$313),2,FALSE),0)</f>
        <v>0</v>
      </c>
      <c r="BD56">
        <f t="array" aca="1" ref="BD56" ca="1">IFERROR(VLOOKUP(BA$5&amp;$AV56,CHOOSE({1,2},D_技能表CD!$C$2:$C$313&amp;D_技能表CD!$E$2:$E$313,D_技能表CD!$K$2:$K$313),2,FALSE),0)</f>
        <v>0</v>
      </c>
      <c r="BE56">
        <f t="array" ref="BE56">IFERROR(VLOOKUP(BE$5&amp;$AV56,CHOOSE({1,2},D_技能表CD!$C$2:$C$313&amp;D_技能表CD!$E$2:$E$313,D_技能表CD!$I$2:$I$313),2,FALSE),0)</f>
        <v>0</v>
      </c>
      <c r="BF56">
        <f t="array" aca="1" ref="BF56" ca="1">IFERROR(VLOOKUP(BE$5&amp;$AV56,CHOOSE({1,2},D_技能表CD!$C$2:$C$313&amp;D_技能表CD!$E$2:$E$313,D_技能表CD!$H$2:$H$313),2,FALSE),0)</f>
        <v>0</v>
      </c>
      <c r="BG56">
        <f t="array" aca="1" ref="BG56" ca="1">IFERROR(VLOOKUP(BE$5&amp;$AV56,CHOOSE({1,2},D_技能表CD!$C$2:$C$313&amp;D_技能表CD!$E$2:$E$313,D_技能表CD!$L$2:$L$313),2,FALSE),0)</f>
        <v>0</v>
      </c>
      <c r="BH56">
        <f t="array" aca="1" ref="BH56" ca="1">IFERROR(VLOOKUP(BE$5&amp;$AV56,CHOOSE({1,2},D_技能表CD!$C$2:$C$313&amp;D_技能表CD!$E$2:$E$313,D_技能表CD!$K$2:$K$313),2,FALSE),0)</f>
        <v>0</v>
      </c>
      <c r="BI56">
        <f t="array" ref="BI56">IFERROR(VLOOKUP(BI$5&amp;$AV56,CHOOSE({1,2},D_技能表CD!$C$2:$C$313&amp;D_技能表CD!$E$2:$E$313,D_技能表CD!$I$2:$I$313),2,FALSE),0)</f>
        <v>16</v>
      </c>
      <c r="BJ56">
        <f t="array" aca="1" ref="BJ56" ca="1">IFERROR(VLOOKUP(BI$5&amp;$AV56,CHOOSE({1,2},D_技能表CD!$C$2:$C$313&amp;D_技能表CD!$E$2:$E$313,D_技能表CD!$H$2:$H$313),2,FALSE),0)</f>
        <v>57800</v>
      </c>
      <c r="BK56">
        <f t="array" aca="1" ref="BK56" ca="1">IFERROR(VLOOKUP(BI$5&amp;$AV56,CHOOSE({1,2},D_技能表CD!$C$2:$C$313&amp;D_技能表CD!$E$2:$E$313,D_技能表CD!$L$2:$L$313),2,FALSE),0)</f>
        <v>179</v>
      </c>
      <c r="BL56">
        <f t="array" aca="1" ref="BL56" ca="1">IFERROR(VLOOKUP(BI$5&amp;$AV56,CHOOSE({1,2},D_技能表CD!$C$2:$C$313&amp;D_技能表CD!$E$2:$E$313,D_技能表CD!$K$2:$K$313),2,FALSE),0)</f>
        <v>282</v>
      </c>
    </row>
    <row r="57" spans="1:64" x14ac:dyDescent="0.15">
      <c r="A57">
        <f t="shared" ca="1" si="0"/>
        <v>5384088</v>
      </c>
      <c r="B57" s="33">
        <f ca="1">SUM($E$7:E57,$I$7:I57,$M$7:M57,$Q$7:Q57,$U$7:U57,$Y$7:Y57,$AC$7:AC57,$AG$7:AG57,$AK$7:AK57,$AO$7:AO57)</f>
        <v>4332238</v>
      </c>
      <c r="C57">
        <v>51</v>
      </c>
      <c r="D57">
        <f t="array" aca="1" ref="D57" ca="1">IFERROR(VLOOKUP($D$5&amp;C57,CHOOSE({1,2},D_技能表!$C$2:$C$1210&amp;D_技能表!$E$2:$E$1210,D_技能表!$I$2:$I$1210),2,FALSE),0)</f>
        <v>0</v>
      </c>
      <c r="E57">
        <f t="array" aca="1" ref="E57" ca="1">IFERROR(VLOOKUP($D$5&amp;$C57,CHOOSE({1,2},D_技能表!$C$2:$C$1210&amp;D_技能表!$E$2:$E$1210,D_技能表!$N$2:$N$1210),2,FALSE),0)</f>
        <v>0</v>
      </c>
      <c r="F57">
        <f t="array" aca="1" ref="F57" ca="1">IFERROR(VLOOKUP($D$5&amp;$C57,CHOOSE({1,2},D_技能表!$C$2:$C$1210&amp;D_技能表!$E$2:$E$1210,D_技能表!$W$2:$W$1210),2,FALSE),0)</f>
        <v>0</v>
      </c>
      <c r="G57">
        <f t="array" aca="1" ref="G57" ca="1">IFERROR(VLOOKUP($D$5&amp;$C57,CHOOSE({1,2},D_技能表!$C$2:$C$1210&amp;D_技能表!$E$2:$E$1210,D_技能表!$Z$2:$Z$1210),2,FALSE),0)</f>
        <v>0</v>
      </c>
      <c r="H57">
        <f t="array" aca="1" ref="H57" ca="1">IFERROR(VLOOKUP($H$5&amp;$C57,CHOOSE({1,2},D_技能表!$C$2:$C$1210&amp;D_技能表!$E$2:$E$1210,D_技能表!$I$2:$I$1210),2,FALSE),0)</f>
        <v>31</v>
      </c>
      <c r="I57">
        <f t="array" aca="1" ref="I57" ca="1">IFERROR(VLOOKUP($H$5&amp;$C57,CHOOSE({1,2},D_技能表!$C$2:$C$1210&amp;D_技能表!$E$2:$E$1210,D_技能表!$N$2:$N$1210),2,FALSE),0)</f>
        <v>47012</v>
      </c>
      <c r="J57">
        <f t="array" aca="1" ref="J57" ca="1">IFERROR(VLOOKUP($H$5&amp;$C57,CHOOSE({1,2},D_技能表!$C$2:$C$1210&amp;D_技能表!$E$2:$E$1210,D_技能表!$W$2:$W$1210),2,FALSE),0)</f>
        <v>28</v>
      </c>
      <c r="K57">
        <f t="array" aca="1" ref="K57" ca="1">IFERROR(VLOOKUP($H$5&amp;$C57,CHOOSE({1,2},D_技能表!$C$2:$C$1210&amp;D_技能表!$E$2:$E$1210,D_技能表!$Z$2:$Z$1210),2,FALSE),0)</f>
        <v>12</v>
      </c>
      <c r="L57">
        <f t="array" aca="1" ref="L57" ca="1">IFERROR(VLOOKUP($L$5&amp;$C57,CHOOSE({1,2},D_技能表!$C$2:$C$1210&amp;D_技能表!$E$2:$E$1210,D_技能表!$I$2:$I$1210),2,FALSE),0)</f>
        <v>31</v>
      </c>
      <c r="M57">
        <f t="array" aca="1" ref="M57" ca="1">IFERROR(VLOOKUP($L$5&amp;$C57,CHOOSE({1,2},D_技能表!$C$2:$C$1210&amp;D_技能表!$E$2:$E$1210,D_技能表!$N$2:$N$1210),2,FALSE),0)</f>
        <v>47012</v>
      </c>
      <c r="N57">
        <f t="array" aca="1" ref="N57" ca="1">IFERROR(VLOOKUP($L$5&amp;$C57,CHOOSE({1,2},D_技能表!$C$2:$C$1210&amp;D_技能表!$E$2:$E$1210,D_技能表!$W$2:$W$1210),2,FALSE),0)</f>
        <v>28</v>
      </c>
      <c r="O57">
        <f t="array" aca="1" ref="O57" ca="1">IFERROR(VLOOKUP($L$5&amp;$C57,CHOOSE({1,2},D_技能表!$C$2:$C$1210&amp;D_技能表!$E$2:$E$1210,D_技能表!$Z$2:$Z$1210),2,FALSE),0)</f>
        <v>12</v>
      </c>
      <c r="P57">
        <f t="array" aca="1" ref="P57" ca="1">IFERROR(VLOOKUP($P$5&amp;$C57,CHOOSE({1,2},D_技能表!$C$2:$C$1210&amp;D_技能表!$E$2:$E$1210,D_技能表!$I$2:$I$1210),2,FALSE),0)</f>
        <v>30</v>
      </c>
      <c r="Q57">
        <f t="array" aca="1" ref="Q57" ca="1">IFERROR(VLOOKUP($P$5&amp;$C57,CHOOSE({1,2},D_技能表!$C$2:$C$1210&amp;D_技能表!$E$2:$E$1210,D_技能表!$N$2:$N$1210),2,FALSE),0)</f>
        <v>43654</v>
      </c>
      <c r="R57">
        <f t="array" aca="1" ref="R57" ca="1">IFERROR(VLOOKUP($P$5&amp;$C57,CHOOSE({1,2},D_技能表!$C$2:$C$1210&amp;D_技能表!$E$2:$E$1210,D_技能表!$W$2:$W$1210),2,FALSE),0)</f>
        <v>26</v>
      </c>
      <c r="S57">
        <f t="array" aca="1" ref="S57" ca="1">IFERROR(VLOOKUP($P$5&amp;$C57,CHOOSE({1,2},D_技能表!$C$2:$C$1210&amp;D_技能表!$E$2:$E$1210,D_技能表!$Z$2:$Z$1210),2,FALSE),0)</f>
        <v>11</v>
      </c>
      <c r="T57">
        <f t="array" aca="1" ref="T57" ca="1">IFERROR(VLOOKUP($T$5&amp;$C57,CHOOSE({1,2},D_技能表!$C$2:$C$1210&amp;D_技能表!$E$2:$E$1210,D_技能表!$I$2:$I$1210),2,FALSE),0)</f>
        <v>0</v>
      </c>
      <c r="U57">
        <f t="array" aca="1" ref="U57" ca="1">IFERROR(VLOOKUP($T$5&amp;$C57,CHOOSE({1,2},D_技能表!$C$2:$C$1210&amp;D_技能表!$E$2:$E$1210,D_技能表!$N$2:$N$1210),2,FALSE),0)</f>
        <v>0</v>
      </c>
      <c r="V57">
        <f t="array" aca="1" ref="V57" ca="1">IFERROR(VLOOKUP($T$5&amp;$C57,CHOOSE({1,2},D_技能表!$C$2:$C$1210&amp;D_技能表!$E$2:$E$1210,D_技能表!$W$2:$W$1210),2,FALSE),0)</f>
        <v>0</v>
      </c>
      <c r="W57">
        <f t="array" aca="1" ref="W57" ca="1">IFERROR(VLOOKUP($T$5&amp;$C57,CHOOSE({1,2},D_技能表!$C$2:$C$1210&amp;D_技能表!$E$2:$E$1210,D_技能表!$Z$2:$Z$1210),2,FALSE),0)</f>
        <v>0</v>
      </c>
      <c r="X57">
        <f t="array" aca="1" ref="X57" ca="1">IFERROR(VLOOKUP($X$5&amp;$C57,CHOOSE({1,2},D_技能表!$C$2:$C$1210&amp;D_技能表!$E$2:$E$1210,D_技能表!$I$2:$I$1210),2,FALSE),0)</f>
        <v>0</v>
      </c>
      <c r="Y57">
        <f t="array" aca="1" ref="Y57" ca="1">IFERROR(VLOOKUP($X$5&amp;$C57,CHOOSE({1,2},D_技能表!$C$2:$C$1210&amp;D_技能表!$E$2:$E$1210,D_技能表!$N$2:$N$1210),2,FALSE),0)</f>
        <v>0</v>
      </c>
      <c r="Z57">
        <f t="array" aca="1" ref="Z57" ca="1">IFERROR(VLOOKUP($X$5&amp;$C57,CHOOSE({1,2},D_技能表!$C$2:$C$1210&amp;D_技能表!$E$2:$E$1210,D_技能表!$W$2:$W$1210),2,FALSE),0)</f>
        <v>0</v>
      </c>
      <c r="AA57">
        <f t="array" aca="1" ref="AA57" ca="1">IFERROR(VLOOKUP($X$5&amp;$C57,CHOOSE({1,2},D_技能表!$C$2:$C$1210&amp;D_技能表!$E$2:$E$1210,D_技能表!$Z$2:$Z$1210),2,FALSE),0)</f>
        <v>0</v>
      </c>
      <c r="AB57">
        <f t="array" aca="1" ref="AB57" ca="1">IFERROR(VLOOKUP($AB$5&amp;$C57,CHOOSE({1,2},D_技能表!$C$2:$C$1210&amp;D_技能表!$E$2:$E$1210,D_技能表!$I$2:$I$1210),2,FALSE),0)</f>
        <v>0</v>
      </c>
      <c r="AC57">
        <f t="array" aca="1" ref="AC57" ca="1">IFERROR(VLOOKUP($AB$5&amp;$C57,CHOOSE({1,2},D_技能表!$C$2:$C$1210&amp;D_技能表!$E$2:$E$1210,D_技能表!$N$2:$N$1210),2,FALSE),0)</f>
        <v>0</v>
      </c>
      <c r="AD57">
        <f t="array" aca="1" ref="AD57" ca="1">IFERROR(VLOOKUP($AB$5&amp;$C57,CHOOSE({1,2},D_技能表!$C$2:$C$1210&amp;D_技能表!$E$2:$E$1210,D_技能表!$W$2:$W$1210),2,FALSE),0)</f>
        <v>0</v>
      </c>
      <c r="AE57">
        <f t="array" aca="1" ref="AE57" ca="1">IFERROR(VLOOKUP($AB$5&amp;$C57,CHOOSE({1,2},D_技能表!$C$2:$C$1210&amp;D_技能表!$E$2:$E$1210,D_技能表!$Z$2:$Z$1210),2,FALSE),0)</f>
        <v>0</v>
      </c>
      <c r="AF57">
        <f t="array" aca="1" ref="AF57" ca="1">IFERROR(VLOOKUP($AF$5&amp;$C57,CHOOSE({1,2},D_技能表!$C$2:$C$1210&amp;D_技能表!$E$2:$E$1210,D_技能表!$I$2:$I$1210),2,FALSE),0)</f>
        <v>30</v>
      </c>
      <c r="AG57">
        <f t="array" aca="1" ref="AG57" ca="1">IFERROR(VLOOKUP($AF$5&amp;$C57,CHOOSE({1,2},D_技能表!$C$2:$C$1210&amp;D_技能表!$E$2:$E$1210,D_技能表!$N$2:$N$1210),2,FALSE),0)</f>
        <v>41975</v>
      </c>
      <c r="AH57">
        <f t="array" aca="1" ref="AH57" ca="1">IFERROR(VLOOKUP($AF$5&amp;$C57,CHOOSE({1,2},D_技能表!$C$2:$C$1210&amp;D_技能表!$E$2:$E$1210,D_技能表!$W$2:$W$1210),2,FALSE),0)</f>
        <v>25</v>
      </c>
      <c r="AI57">
        <f t="array" aca="1" ref="AI57" ca="1">IFERROR(VLOOKUP($AF$5&amp;$C57,CHOOSE({1,2},D_技能表!$C$2:$C$1210&amp;D_技能表!$E$2:$E$1210,D_技能表!$Z$2:$Z$1210),2,FALSE),0)</f>
        <v>10</v>
      </c>
      <c r="AJ57">
        <f t="array" aca="1" ref="AJ57" ca="1">IFERROR(VLOOKUP($AJ$5&amp;$C57,CHOOSE({1,2},D_技能表!$C$2:$C$1210&amp;D_技能表!$E$2:$E$1210,D_技能表!$I$2:$I$1210),2,FALSE),0)</f>
        <v>29</v>
      </c>
      <c r="AK57">
        <f t="array" aca="1" ref="AK57" ca="1">IFERROR(VLOOKUP($AJ$5&amp;$C57,CHOOSE({1,2},D_技能表!$C$2:$C$1210&amp;D_技能表!$E$2:$E$1210,D_技能表!$N$2:$N$1210),2,FALSE),0)</f>
        <v>38617</v>
      </c>
      <c r="AL57">
        <f t="array" aca="1" ref="AL57" ca="1">IFERROR(VLOOKUP($AJ$5&amp;$C57,CHOOSE({1,2},D_技能表!$C$2:$C$1210&amp;D_技能表!$E$2:$E$1210,D_技能表!$W$2:$W$1210),2,FALSE),0)</f>
        <v>23</v>
      </c>
      <c r="AM57">
        <f t="array" aca="1" ref="AM57" ca="1">IFERROR(VLOOKUP($AJ$5&amp;$C57,CHOOSE({1,2},D_技能表!$C$2:$C$1210&amp;D_技能表!$E$2:$E$1210,D_技能表!$Z$2:$Z$1210),2,FALSE),0)</f>
        <v>10</v>
      </c>
      <c r="AN57">
        <f t="array" aca="1" ref="AN57" ca="1">IFERROR(VLOOKUP($AN$5&amp;$C57,CHOOSE({1,2},D_技能表!$C$2:$C$1210&amp;D_技能表!$E$2:$E$1210,D_技能表!$I$2:$I$1210),2,FALSE),0)</f>
        <v>29</v>
      </c>
      <c r="AO57">
        <f t="array" aca="1" ref="AO57" ca="1">IFERROR(VLOOKUP($AN$5&amp;$C57,CHOOSE({1,2},D_技能表!$C$2:$C$1210&amp;D_技能表!$E$2:$E$1210,D_技能表!$N$2:$N$1210),2,FALSE),0)</f>
        <v>70518</v>
      </c>
      <c r="AP57">
        <f t="array" aca="1" ref="AP57" ca="1">IFERROR(VLOOKUP($AN$5&amp;$C57,CHOOSE({1,2},D_技能表!$C$2:$C$1210&amp;D_技能表!$E$2:$E$1210,D_技能表!$W$2:$W$1210),2,FALSE),0)</f>
        <v>42</v>
      </c>
      <c r="AQ57">
        <f t="array" aca="1" ref="AQ57" ca="1">IFERROR(VLOOKUP($AN$5&amp;$C57,CHOOSE({1,2},D_技能表!$C$2:$C$1210&amp;D_技能表!$E$2:$E$1210,D_技能表!$Z$2:$Z$1210),2,FALSE),0)</f>
        <v>17</v>
      </c>
      <c r="AR57" s="11">
        <f ca="1">SUM($G$7:G58,$K$7:K58,$O$7:O58,$S$7:S58,$W$7:W58,$AA$7:AA58,$AE$7:AE58,$AI$7:AI58,$AM$7:AM58,$AQ$7:AQ58)</f>
        <v>1451</v>
      </c>
      <c r="AS57">
        <f ca="1">SUM($F$7:F58,$J$7:J58,$N$7:N58,$R$7:R58,$V$7:V58,$Z$7:Z58,$AD$7:AD58,$AH$7:AH58,$AL$7:AL58,$AP$7:AP58)</f>
        <v>4980</v>
      </c>
      <c r="AT57">
        <f t="shared" ca="1" si="1"/>
        <v>172</v>
      </c>
      <c r="AU57" s="33">
        <f ca="1">SUM($AX$7:AX57,$BB$7:BB57,$BF$7:BF57,$BJ$7:BJ57)</f>
        <v>1051850</v>
      </c>
      <c r="AV57">
        <v>51</v>
      </c>
      <c r="AW57">
        <f t="array" ref="AW57">IFERROR(VLOOKUP(AW$5&amp;$AV57,CHOOSE({1,2},D_技能表CD!$C$2:$C$313&amp;D_技能表CD!$E$2:$E$313,D_技能表CD!$I$2:$I$313),2,FALSE),0)</f>
        <v>0</v>
      </c>
      <c r="AX57">
        <f t="array" aca="1" ref="AX57" ca="1">IFERROR(VLOOKUP(AW$5&amp;$AV57,CHOOSE({1,2},D_技能表CD!$C$2:$C$313&amp;D_技能表CD!$E$2:$E$313,D_技能表CD!$H$2:$H$313),2,FALSE),0)</f>
        <v>0</v>
      </c>
      <c r="AY57">
        <f t="array" aca="1" ref="AY57" ca="1">IFERROR(VLOOKUP(AW$5&amp;$AV57,CHOOSE({1,2},D_技能表CD!$C$2:$C$313&amp;D_技能表CD!$E$2:$E$313,D_技能表CD!$L$2:$L$313),2,FALSE),0)</f>
        <v>0</v>
      </c>
      <c r="AZ57">
        <f t="array" aca="1" ref="AZ57" ca="1">IFERROR(VLOOKUP(AW$5&amp;$AV57,CHOOSE({1,2},D_技能表CD!$C$2:$C$313&amp;D_技能表CD!$E$2:$E$313,D_技能表CD!$K$2:$K$313),2,FALSE),0)</f>
        <v>0</v>
      </c>
      <c r="BA57">
        <f t="array" ref="BA57">IFERROR(VLOOKUP(BA$5&amp;$AV57,CHOOSE({1,2},D_技能表CD!$C$2:$C$313&amp;D_技能表CD!$E$2:$E$313,D_技能表CD!$I$2:$I$313),2,FALSE),0)</f>
        <v>17</v>
      </c>
      <c r="BB57">
        <f t="array" aca="1" ref="BB57" ca="1">IFERROR(VLOOKUP(BA$5&amp;$AV57,CHOOSE({1,2},D_技能表CD!$C$2:$C$313&amp;D_技能表CD!$E$2:$E$313,D_技能表CD!$H$2:$H$313),2,FALSE),0)</f>
        <v>69800</v>
      </c>
      <c r="BC57">
        <f t="array" aca="1" ref="BC57" ca="1">IFERROR(VLOOKUP(BA$5&amp;$AV57,CHOOSE({1,2},D_技能表CD!$C$2:$C$313&amp;D_技能表CD!$E$2:$E$313,D_技能表CD!$L$2:$L$313),2,FALSE),0)</f>
        <v>213</v>
      </c>
      <c r="BD57">
        <f t="array" aca="1" ref="BD57" ca="1">IFERROR(VLOOKUP(BA$5&amp;$AV57,CHOOSE({1,2},D_技能表CD!$C$2:$C$313&amp;D_技能表CD!$E$2:$E$313,D_技能表CD!$K$2:$K$313),2,FALSE),0)</f>
        <v>350</v>
      </c>
      <c r="BE57">
        <f t="array" ref="BE57">IFERROR(VLOOKUP(BE$5&amp;$AV57,CHOOSE({1,2},D_技能表CD!$C$2:$C$313&amp;D_技能表CD!$E$2:$E$313,D_技能表CD!$I$2:$I$313),2,FALSE),0)</f>
        <v>0</v>
      </c>
      <c r="BF57">
        <f t="array" aca="1" ref="BF57" ca="1">IFERROR(VLOOKUP(BE$5&amp;$AV57,CHOOSE({1,2},D_技能表CD!$C$2:$C$313&amp;D_技能表CD!$E$2:$E$313,D_技能表CD!$H$2:$H$313),2,FALSE),0)</f>
        <v>0</v>
      </c>
      <c r="BG57">
        <f t="array" aca="1" ref="BG57" ca="1">IFERROR(VLOOKUP(BE$5&amp;$AV57,CHOOSE({1,2},D_技能表CD!$C$2:$C$313&amp;D_技能表CD!$E$2:$E$313,D_技能表CD!$L$2:$L$313),2,FALSE),0)</f>
        <v>0</v>
      </c>
      <c r="BH57">
        <f t="array" aca="1" ref="BH57" ca="1">IFERROR(VLOOKUP(BE$5&amp;$AV57,CHOOSE({1,2},D_技能表CD!$C$2:$C$313&amp;D_技能表CD!$E$2:$E$313,D_技能表CD!$K$2:$K$313),2,FALSE),0)</f>
        <v>0</v>
      </c>
      <c r="BI57">
        <f t="array" ref="BI57">IFERROR(VLOOKUP(BI$5&amp;$AV57,CHOOSE({1,2},D_技能表CD!$C$2:$C$313&amp;D_技能表CD!$E$2:$E$313,D_技能表CD!$I$2:$I$313),2,FALSE),0)</f>
        <v>0</v>
      </c>
      <c r="BJ57">
        <f t="array" aca="1" ref="BJ57" ca="1">IFERROR(VLOOKUP(BI$5&amp;$AV57,CHOOSE({1,2},D_技能表CD!$C$2:$C$313&amp;D_技能表CD!$E$2:$E$313,D_技能表CD!$H$2:$H$313),2,FALSE),0)</f>
        <v>0</v>
      </c>
      <c r="BK57">
        <f t="array" aca="1" ref="BK57" ca="1">IFERROR(VLOOKUP(BI$5&amp;$AV57,CHOOSE({1,2},D_技能表CD!$C$2:$C$313&amp;D_技能表CD!$E$2:$E$313,D_技能表CD!$L$2:$L$313),2,FALSE),0)</f>
        <v>0</v>
      </c>
      <c r="BL57">
        <f t="array" aca="1" ref="BL57" ca="1">IFERROR(VLOOKUP(BI$5&amp;$AV57,CHOOSE({1,2},D_技能表CD!$C$2:$C$313&amp;D_技能表CD!$E$2:$E$313,D_技能表CD!$K$2:$K$313),2,FALSE),0)</f>
        <v>0</v>
      </c>
    </row>
    <row r="58" spans="1:64" x14ac:dyDescent="0.15">
      <c r="A58">
        <f t="shared" ca="1" si="0"/>
        <v>5903983</v>
      </c>
      <c r="B58" s="33">
        <f ca="1">SUM($E$7:E58,$I$7:I58,$M$7:M58,$Q$7:Q58,$U$7:U58,$Y$7:Y58,$AC$7:AC58,$AG$7:AG58,$AK$7:AK58,$AO$7:AO58)</f>
        <v>4778233</v>
      </c>
      <c r="C58">
        <v>52</v>
      </c>
      <c r="D58">
        <f t="array" aca="1" ref="D58" ca="1">IFERROR(VLOOKUP($D$5&amp;C58,CHOOSE({1,2},D_技能表!$C$2:$C$1210&amp;D_技能表!$E$2:$E$1210,D_技能表!$I$2:$I$1210),2,FALSE),0)</f>
        <v>32</v>
      </c>
      <c r="E58">
        <f t="array" aca="1" ref="E58" ca="1">IFERROR(VLOOKUP($D$5&amp;$C58,CHOOSE({1,2},D_技能表!$C$2:$C$1210&amp;D_技能表!$E$2:$E$1210,D_技能表!$N$2:$N$1210),2,FALSE),0)</f>
        <v>120681</v>
      </c>
      <c r="F58">
        <f t="array" aca="1" ref="F58" ca="1">IFERROR(VLOOKUP($D$5&amp;$C58,CHOOSE({1,2},D_技能表!$C$2:$C$1210&amp;D_技能表!$E$2:$E$1210,D_技能表!$W$2:$W$1210),2,FALSE),0)</f>
        <v>69</v>
      </c>
      <c r="G58">
        <f t="array" aca="1" ref="G58" ca="1">IFERROR(VLOOKUP($D$5&amp;$C58,CHOOSE({1,2},D_技能表!$C$2:$C$1210&amp;D_技能表!$E$2:$E$1210,D_技能表!$Z$2:$Z$1210),2,FALSE),0)</f>
        <v>28</v>
      </c>
      <c r="H58">
        <f t="array" aca="1" ref="H58" ca="1">IFERROR(VLOOKUP($H$5&amp;$C58,CHOOSE({1,2},D_技能表!$C$2:$C$1210&amp;D_技能表!$E$2:$E$1210,D_技能表!$I$2:$I$1210),2,FALSE),0)</f>
        <v>0</v>
      </c>
      <c r="I58">
        <f t="array" aca="1" ref="I58" ca="1">IFERROR(VLOOKUP($H$5&amp;$C58,CHOOSE({1,2},D_技能表!$C$2:$C$1210&amp;D_技能表!$E$2:$E$1210,D_技能表!$N$2:$N$1210),2,FALSE),0)</f>
        <v>0</v>
      </c>
      <c r="J58">
        <f t="array" aca="1" ref="J58" ca="1">IFERROR(VLOOKUP($H$5&amp;$C58,CHOOSE({1,2},D_技能表!$C$2:$C$1210&amp;D_技能表!$E$2:$E$1210,D_技能表!$W$2:$W$1210),2,FALSE),0)</f>
        <v>0</v>
      </c>
      <c r="K58">
        <f t="array" aca="1" ref="K58" ca="1">IFERROR(VLOOKUP($H$5&amp;$C58,CHOOSE({1,2},D_技能表!$C$2:$C$1210&amp;D_技能表!$E$2:$E$1210,D_技能表!$Z$2:$Z$1210),2,FALSE),0)</f>
        <v>0</v>
      </c>
      <c r="L58">
        <f t="array" aca="1" ref="L58" ca="1">IFERROR(VLOOKUP($L$5&amp;$C58,CHOOSE({1,2},D_技能表!$C$2:$C$1210&amp;D_技能表!$E$2:$E$1210,D_技能表!$I$2:$I$1210),2,FALSE),0)</f>
        <v>0</v>
      </c>
      <c r="M58">
        <f t="array" aca="1" ref="M58" ca="1">IFERROR(VLOOKUP($L$5&amp;$C58,CHOOSE({1,2},D_技能表!$C$2:$C$1210&amp;D_技能表!$E$2:$E$1210,D_技能表!$N$2:$N$1210),2,FALSE),0)</f>
        <v>0</v>
      </c>
      <c r="N58">
        <f t="array" aca="1" ref="N58" ca="1">IFERROR(VLOOKUP($L$5&amp;$C58,CHOOSE({1,2},D_技能表!$C$2:$C$1210&amp;D_技能表!$E$2:$E$1210,D_技能表!$W$2:$W$1210),2,FALSE),0)</f>
        <v>0</v>
      </c>
      <c r="O58">
        <f t="array" aca="1" ref="O58" ca="1">IFERROR(VLOOKUP($L$5&amp;$C58,CHOOSE({1,2},D_技能表!$C$2:$C$1210&amp;D_技能表!$E$2:$E$1210,D_技能表!$Z$2:$Z$1210),2,FALSE),0)</f>
        <v>0</v>
      </c>
      <c r="P58">
        <f t="array" aca="1" ref="P58" ca="1">IFERROR(VLOOKUP($P$5&amp;$C58,CHOOSE({1,2},D_技能表!$C$2:$C$1210&amp;D_技能表!$E$2:$E$1210,D_技能表!$I$2:$I$1210),2,FALSE),0)</f>
        <v>31</v>
      </c>
      <c r="Q58">
        <f t="array" aca="1" ref="Q58" ca="1">IFERROR(VLOOKUP($P$5&amp;$C58,CHOOSE({1,2},D_技能表!$C$2:$C$1210&amp;D_技能表!$E$2:$E$1210,D_技能表!$N$2:$N$1210),2,FALSE),0)</f>
        <v>48972</v>
      </c>
      <c r="R58">
        <f t="array" aca="1" ref="R58" ca="1">IFERROR(VLOOKUP($P$5&amp;$C58,CHOOSE({1,2},D_技能表!$C$2:$C$1210&amp;D_技能表!$E$2:$E$1210,D_技能表!$W$2:$W$1210),2,FALSE),0)</f>
        <v>28</v>
      </c>
      <c r="S58">
        <f t="array" aca="1" ref="S58" ca="1">IFERROR(VLOOKUP($P$5&amp;$C58,CHOOSE({1,2},D_技能表!$C$2:$C$1210&amp;D_技能表!$E$2:$E$1210,D_技能表!$Z$2:$Z$1210),2,FALSE),0)</f>
        <v>12</v>
      </c>
      <c r="T58">
        <f t="array" aca="1" ref="T58" ca="1">IFERROR(VLOOKUP($T$5&amp;$C58,CHOOSE({1,2},D_技能表!$C$2:$C$1210&amp;D_技能表!$E$2:$E$1210,D_技能表!$I$2:$I$1210),2,FALSE),0)</f>
        <v>30</v>
      </c>
      <c r="U58">
        <f t="array" aca="1" ref="U58" ca="1">IFERROR(VLOOKUP($T$5&amp;$C58,CHOOSE({1,2},D_技能表!$C$2:$C$1210&amp;D_技能表!$E$2:$E$1210,D_技能表!$N$2:$N$1210),2,FALSE),0)</f>
        <v>75207</v>
      </c>
      <c r="V58">
        <f t="array" aca="1" ref="V58" ca="1">IFERROR(VLOOKUP($T$5&amp;$C58,CHOOSE({1,2},D_技能表!$C$2:$C$1210&amp;D_技能表!$E$2:$E$1210,D_技能表!$W$2:$W$1210),2,FALSE),0)</f>
        <v>43</v>
      </c>
      <c r="W58">
        <f t="array" aca="1" ref="W58" ca="1">IFERROR(VLOOKUP($T$5&amp;$C58,CHOOSE({1,2},D_技能表!$C$2:$C$1210&amp;D_技能表!$E$2:$E$1210,D_技能表!$Z$2:$Z$1210),2,FALSE),0)</f>
        <v>18</v>
      </c>
      <c r="X58">
        <f t="array" aca="1" ref="X58" ca="1">IFERROR(VLOOKUP($X$5&amp;$C58,CHOOSE({1,2},D_技能表!$C$2:$C$1210&amp;D_技能表!$E$2:$E$1210,D_技能表!$I$2:$I$1210),2,FALSE),0)</f>
        <v>31</v>
      </c>
      <c r="Y58">
        <f t="array" aca="1" ref="Y58" ca="1">IFERROR(VLOOKUP($X$5&amp;$C58,CHOOSE({1,2},D_技能表!$C$2:$C$1210&amp;D_技能表!$E$2:$E$1210,D_技能表!$N$2:$N$1210),2,FALSE),0)</f>
        <v>106689</v>
      </c>
      <c r="Z58">
        <f t="array" aca="1" ref="Z58" ca="1">IFERROR(VLOOKUP($X$5&amp;$C58,CHOOSE({1,2},D_技能表!$C$2:$C$1210&amp;D_技能表!$E$2:$E$1210,D_技能表!$W$2:$W$1210),2,FALSE),0)</f>
        <v>61</v>
      </c>
      <c r="AA58">
        <f t="array" aca="1" ref="AA58" ca="1">IFERROR(VLOOKUP($X$5&amp;$C58,CHOOSE({1,2},D_技能表!$C$2:$C$1210&amp;D_技能表!$E$2:$E$1210,D_技能表!$Z$2:$Z$1210),2,FALSE),0)</f>
        <v>25</v>
      </c>
      <c r="AB58">
        <f t="array" aca="1" ref="AB58" ca="1">IFERROR(VLOOKUP($AB$5&amp;$C58,CHOOSE({1,2},D_技能表!$C$2:$C$1210&amp;D_技能表!$E$2:$E$1210,D_技能表!$I$2:$I$1210),2,FALSE),0)</f>
        <v>31</v>
      </c>
      <c r="AC58">
        <f t="array" aca="1" ref="AC58" ca="1">IFERROR(VLOOKUP($AB$5&amp;$C58,CHOOSE({1,2},D_技能表!$C$2:$C$1210&amp;D_技能表!$E$2:$E$1210,D_技能表!$N$2:$N$1210),2,FALSE),0)</f>
        <v>50721</v>
      </c>
      <c r="AD58">
        <f t="array" aca="1" ref="AD58" ca="1">IFERROR(VLOOKUP($AB$5&amp;$C58,CHOOSE({1,2},D_技能表!$C$2:$C$1210&amp;D_技能表!$E$2:$E$1210,D_技能表!$W$2:$W$1210),2,FALSE),0)</f>
        <v>29</v>
      </c>
      <c r="AE58">
        <f t="array" aca="1" ref="AE58" ca="1">IFERROR(VLOOKUP($AB$5&amp;$C58,CHOOSE({1,2},D_技能表!$C$2:$C$1210&amp;D_技能表!$E$2:$E$1210,D_技能表!$Z$2:$Z$1210),2,FALSE),0)</f>
        <v>12</v>
      </c>
      <c r="AF58">
        <f t="array" aca="1" ref="AF58" ca="1">IFERROR(VLOOKUP($AF$5&amp;$C58,CHOOSE({1,2},D_技能表!$C$2:$C$1210&amp;D_技能表!$E$2:$E$1210,D_技能表!$I$2:$I$1210),2,FALSE),0)</f>
        <v>0</v>
      </c>
      <c r="AG58">
        <f t="array" aca="1" ref="AG58" ca="1">IFERROR(VLOOKUP($AF$5&amp;$C58,CHOOSE({1,2},D_技能表!$C$2:$C$1210&amp;D_技能表!$E$2:$E$1210,D_技能表!$N$2:$N$1210),2,FALSE),0)</f>
        <v>0</v>
      </c>
      <c r="AH58">
        <f t="array" aca="1" ref="AH58" ca="1">IFERROR(VLOOKUP($AF$5&amp;$C58,CHOOSE({1,2},D_技能表!$C$2:$C$1210&amp;D_技能表!$E$2:$E$1210,D_技能表!$W$2:$W$1210),2,FALSE),0)</f>
        <v>0</v>
      </c>
      <c r="AI58">
        <f t="array" aca="1" ref="AI58" ca="1">IFERROR(VLOOKUP($AF$5&amp;$C58,CHOOSE({1,2},D_技能表!$C$2:$C$1210&amp;D_技能表!$E$2:$E$1210,D_技能表!$Z$2:$Z$1210),2,FALSE),0)</f>
        <v>0</v>
      </c>
      <c r="AJ58">
        <f t="array" aca="1" ref="AJ58" ca="1">IFERROR(VLOOKUP($AJ$5&amp;$C58,CHOOSE({1,2},D_技能表!$C$2:$C$1210&amp;D_技能表!$E$2:$E$1210,D_技能表!$I$2:$I$1210),2,FALSE),0)</f>
        <v>30</v>
      </c>
      <c r="AK58">
        <f t="array" aca="1" ref="AK58" ca="1">IFERROR(VLOOKUP($AJ$5&amp;$C58,CHOOSE({1,2},D_技能表!$C$2:$C$1210&amp;D_技能表!$E$2:$E$1210,D_技能表!$N$2:$N$1210),2,FALSE),0)</f>
        <v>43725</v>
      </c>
      <c r="AL58">
        <f t="array" aca="1" ref="AL58" ca="1">IFERROR(VLOOKUP($AJ$5&amp;$C58,CHOOSE({1,2},D_技能表!$C$2:$C$1210&amp;D_技能表!$E$2:$E$1210,D_技能表!$W$2:$W$1210),2,FALSE),0)</f>
        <v>25</v>
      </c>
      <c r="AM58">
        <f t="array" aca="1" ref="AM58" ca="1">IFERROR(VLOOKUP($AJ$5&amp;$C58,CHOOSE({1,2},D_技能表!$C$2:$C$1210&amp;D_技能表!$E$2:$E$1210,D_技能表!$Z$2:$Z$1210),2,FALSE),0)</f>
        <v>10</v>
      </c>
      <c r="AN58">
        <f t="array" aca="1" ref="AN58" ca="1">IFERROR(VLOOKUP($AN$5&amp;$C58,CHOOSE({1,2},D_技能表!$C$2:$C$1210&amp;D_技能表!$E$2:$E$1210,D_技能表!$I$2:$I$1210),2,FALSE),0)</f>
        <v>0</v>
      </c>
      <c r="AO58">
        <f t="array" aca="1" ref="AO58" ca="1">IFERROR(VLOOKUP($AN$5&amp;$C58,CHOOSE({1,2},D_技能表!$C$2:$C$1210&amp;D_技能表!$E$2:$E$1210,D_技能表!$N$2:$N$1210),2,FALSE),0)</f>
        <v>0</v>
      </c>
      <c r="AP58">
        <f t="array" aca="1" ref="AP58" ca="1">IFERROR(VLOOKUP($AN$5&amp;$C58,CHOOSE({1,2},D_技能表!$C$2:$C$1210&amp;D_技能表!$E$2:$E$1210,D_技能表!$W$2:$W$1210),2,FALSE),0)</f>
        <v>0</v>
      </c>
      <c r="AQ58">
        <f t="array" aca="1" ref="AQ58" ca="1">IFERROR(VLOOKUP($AN$5&amp;$C58,CHOOSE({1,2},D_技能表!$C$2:$C$1210&amp;D_技能表!$E$2:$E$1210,D_技能表!$Z$2:$Z$1210),2,FALSE),0)</f>
        <v>0</v>
      </c>
      <c r="AR58" s="11">
        <f ca="1">SUM($G$7:G59,$K$7:K59,$O$7:O59,$S$7:S59,$W$7:W59,$AA$7:AA59,$AE$7:AE59,$AI$7:AI59,$AM$7:AM59,$AQ$7:AQ59)</f>
        <v>1603</v>
      </c>
      <c r="AS58">
        <f ca="1">SUM($F$7:F59,$J$7:J59,$N$7:N59,$R$7:R59,$V$7:V59,$Z$7:Z59,$AD$7:AD59,$AH$7:AH59,$AL$7:AL59,$AP$7:AP59)</f>
        <v>5353</v>
      </c>
      <c r="AT58">
        <f t="shared" ca="1" si="1"/>
        <v>255</v>
      </c>
      <c r="AU58" s="33">
        <f ca="1">SUM($AX$7:AX58,$BB$7:BB58,$BF$7:BF58,$BJ$7:BJ58)</f>
        <v>1125750</v>
      </c>
      <c r="AV58">
        <v>52</v>
      </c>
      <c r="AW58">
        <f t="array" ref="AW58">IFERROR(VLOOKUP(AW$5&amp;$AV58,CHOOSE({1,2},D_技能表CD!$C$2:$C$313&amp;D_技能表CD!$E$2:$E$313,D_技能表CD!$I$2:$I$313),2,FALSE),0)</f>
        <v>18</v>
      </c>
      <c r="AX58">
        <f t="array" aca="1" ref="AX58" ca="1">IFERROR(VLOOKUP(AW$5&amp;$AV58,CHOOSE({1,2},D_技能表CD!$C$2:$C$313&amp;D_技能表CD!$E$2:$E$313,D_技能表CD!$H$2:$H$313),2,FALSE),0)</f>
        <v>42750</v>
      </c>
      <c r="AY58">
        <f t="array" aca="1" ref="AY58" ca="1">IFERROR(VLOOKUP(AW$5&amp;$AV58,CHOOSE({1,2},D_技能表CD!$C$2:$C$313&amp;D_技能表CD!$E$2:$E$313,D_技能表CD!$L$2:$L$313),2,FALSE),0)</f>
        <v>128</v>
      </c>
      <c r="AZ58">
        <f t="array" aca="1" ref="AZ58" ca="1">IFERROR(VLOOKUP(AW$5&amp;$AV58,CHOOSE({1,2},D_技能表CD!$C$2:$C$313&amp;D_技能表CD!$E$2:$E$313,D_技能表CD!$K$2:$K$313),2,FALSE),0)</f>
        <v>220</v>
      </c>
      <c r="BA58">
        <f t="array" ref="BA58">IFERROR(VLOOKUP(BA$5&amp;$AV58,CHOOSE({1,2},D_技能表CD!$C$2:$C$313&amp;D_技能表CD!$E$2:$E$313,D_技能表CD!$I$2:$I$313),2,FALSE),0)</f>
        <v>0</v>
      </c>
      <c r="BB58">
        <f t="array" aca="1" ref="BB58" ca="1">IFERROR(VLOOKUP(BA$5&amp;$AV58,CHOOSE({1,2},D_技能表CD!$C$2:$C$313&amp;D_技能表CD!$E$2:$E$313,D_技能表CD!$H$2:$H$313),2,FALSE),0)</f>
        <v>0</v>
      </c>
      <c r="BC58">
        <f t="array" aca="1" ref="BC58" ca="1">IFERROR(VLOOKUP(BA$5&amp;$AV58,CHOOSE({1,2},D_技能表CD!$C$2:$C$313&amp;D_技能表CD!$E$2:$E$313,D_技能表CD!$L$2:$L$313),2,FALSE),0)</f>
        <v>0</v>
      </c>
      <c r="BD58">
        <f t="array" aca="1" ref="BD58" ca="1">IFERROR(VLOOKUP(BA$5&amp;$AV58,CHOOSE({1,2},D_技能表CD!$C$2:$C$313&amp;D_技能表CD!$E$2:$E$313,D_技能表CD!$K$2:$K$313),2,FALSE),0)</f>
        <v>0</v>
      </c>
      <c r="BE58">
        <f t="array" ref="BE58">IFERROR(VLOOKUP(BE$5&amp;$AV58,CHOOSE({1,2},D_技能表CD!$C$2:$C$313&amp;D_技能表CD!$E$2:$E$313,D_技能表CD!$I$2:$I$313),2,FALSE),0)</f>
        <v>17</v>
      </c>
      <c r="BF58">
        <f t="array" aca="1" ref="BF58" ca="1">IFERROR(VLOOKUP(BE$5&amp;$AV58,CHOOSE({1,2},D_技能表CD!$C$2:$C$313&amp;D_技能表CD!$E$2:$E$313,D_技能表CD!$H$2:$H$313),2,FALSE),0)</f>
        <v>31150</v>
      </c>
      <c r="BG58">
        <f t="array" aca="1" ref="BG58" ca="1">IFERROR(VLOOKUP(BE$5&amp;$AV58,CHOOSE({1,2},D_技能表CD!$C$2:$C$313&amp;D_技能表CD!$E$2:$E$313,D_技能表CD!$L$2:$L$313),2,FALSE),0)</f>
        <v>95</v>
      </c>
      <c r="BH58">
        <f t="array" aca="1" ref="BH58" ca="1">IFERROR(VLOOKUP(BE$5&amp;$AV58,CHOOSE({1,2},D_技能表CD!$C$2:$C$313&amp;D_技能表CD!$E$2:$E$313,D_技能表CD!$K$2:$K$313),2,FALSE),0)</f>
        <v>157</v>
      </c>
      <c r="BI58">
        <f t="array" ref="BI58">IFERROR(VLOOKUP(BI$5&amp;$AV58,CHOOSE({1,2},D_技能表CD!$C$2:$C$313&amp;D_技能表CD!$E$2:$E$313,D_技能表CD!$I$2:$I$313),2,FALSE),0)</f>
        <v>0</v>
      </c>
      <c r="BJ58">
        <f t="array" aca="1" ref="BJ58" ca="1">IFERROR(VLOOKUP(BI$5&amp;$AV58,CHOOSE({1,2},D_技能表CD!$C$2:$C$313&amp;D_技能表CD!$E$2:$E$313,D_技能表CD!$H$2:$H$313),2,FALSE),0)</f>
        <v>0</v>
      </c>
      <c r="BK58">
        <f t="array" aca="1" ref="BK58" ca="1">IFERROR(VLOOKUP(BI$5&amp;$AV58,CHOOSE({1,2},D_技能表CD!$C$2:$C$313&amp;D_技能表CD!$E$2:$E$313,D_技能表CD!$L$2:$L$313),2,FALSE),0)</f>
        <v>0</v>
      </c>
      <c r="BL58">
        <f t="array" aca="1" ref="BL58" ca="1">IFERROR(VLOOKUP(BI$5&amp;$AV58,CHOOSE({1,2},D_技能表CD!$C$2:$C$313&amp;D_技能表CD!$E$2:$E$313,D_技能表CD!$K$2:$K$313),2,FALSE),0)</f>
        <v>0</v>
      </c>
    </row>
    <row r="59" spans="1:64" x14ac:dyDescent="0.15">
      <c r="A59">
        <f t="shared" ca="1" si="0"/>
        <v>6651043</v>
      </c>
      <c r="B59" s="33">
        <f ca="1">SUM($E$7:E59,$I$7:I59,$M$7:M59,$Q$7:Q59,$U$7:U59,$Y$7:Y59,$AC$7:AC59,$AG$7:AG59,$AK$7:AK59,$AO$7:AO59)</f>
        <v>5457093</v>
      </c>
      <c r="C59">
        <v>53</v>
      </c>
      <c r="D59">
        <f t="array" aca="1" ref="D59" ca="1">IFERROR(VLOOKUP($D$5&amp;C59,CHOOSE({1,2},D_技能表!$C$2:$C$1210&amp;D_技能表!$E$2:$E$1210,D_技能表!$I$2:$I$1210),2,FALSE),0)</f>
        <v>33</v>
      </c>
      <c r="E59">
        <f t="array" aca="1" ref="E59" ca="1">IFERROR(VLOOKUP($D$5&amp;$C59,CHOOSE({1,2},D_技能表!$C$2:$C$1210&amp;D_技能表!$E$2:$E$1210,D_技能表!$N$2:$N$1210),2,FALSE),0)</f>
        <v>134680</v>
      </c>
      <c r="F59">
        <f t="array" aca="1" ref="F59" ca="1">IFERROR(VLOOKUP($D$5&amp;$C59,CHOOSE({1,2},D_技能表!$C$2:$C$1210&amp;D_技能表!$E$2:$E$1210,D_技能表!$W$2:$W$1210),2,FALSE),0)</f>
        <v>74</v>
      </c>
      <c r="G59">
        <f t="array" aca="1" ref="G59" ca="1">IFERROR(VLOOKUP($D$5&amp;$C59,CHOOSE({1,2},D_技能表!$C$2:$C$1210&amp;D_技能表!$E$2:$E$1210,D_技能表!$Z$2:$Z$1210),2,FALSE),0)</f>
        <v>30</v>
      </c>
      <c r="H59">
        <f t="array" aca="1" ref="H59" ca="1">IFERROR(VLOOKUP($H$5&amp;$C59,CHOOSE({1,2},D_技能表!$C$2:$C$1210&amp;D_技能表!$E$2:$E$1210,D_技能表!$I$2:$I$1210),2,FALSE),0)</f>
        <v>32</v>
      </c>
      <c r="I59">
        <f t="array" aca="1" ref="I59" ca="1">IFERROR(VLOOKUP($H$5&amp;$C59,CHOOSE({1,2},D_技能表!$C$2:$C$1210&amp;D_技能表!$E$2:$E$1210,D_技能表!$N$2:$N$1210),2,FALSE),0)</f>
        <v>54600</v>
      </c>
      <c r="J59">
        <f t="array" aca="1" ref="J59" ca="1">IFERROR(VLOOKUP($H$5&amp;$C59,CHOOSE({1,2},D_技能表!$C$2:$C$1210&amp;D_技能表!$E$2:$E$1210,D_技能表!$W$2:$W$1210),2,FALSE),0)</f>
        <v>30</v>
      </c>
      <c r="K59">
        <f t="array" aca="1" ref="K59" ca="1">IFERROR(VLOOKUP($H$5&amp;$C59,CHOOSE({1,2},D_技能表!$C$2:$C$1210&amp;D_技能表!$E$2:$E$1210,D_技能表!$Z$2:$Z$1210),2,FALSE),0)</f>
        <v>12</v>
      </c>
      <c r="L59">
        <f t="array" aca="1" ref="L59" ca="1">IFERROR(VLOOKUP($L$5&amp;$C59,CHOOSE({1,2},D_技能表!$C$2:$C$1210&amp;D_技能表!$E$2:$E$1210,D_技能表!$I$2:$I$1210),2,FALSE),0)</f>
        <v>32</v>
      </c>
      <c r="M59">
        <f t="array" aca="1" ref="M59" ca="1">IFERROR(VLOOKUP($L$5&amp;$C59,CHOOSE({1,2},D_技能表!$C$2:$C$1210&amp;D_技能表!$E$2:$E$1210,D_技能表!$N$2:$N$1210),2,FALSE),0)</f>
        <v>54600</v>
      </c>
      <c r="N59">
        <f t="array" aca="1" ref="N59" ca="1">IFERROR(VLOOKUP($L$5&amp;$C59,CHOOSE({1,2},D_技能表!$C$2:$C$1210&amp;D_技能表!$E$2:$E$1210,D_技能表!$W$2:$W$1210),2,FALSE),0)</f>
        <v>30</v>
      </c>
      <c r="O59">
        <f t="array" aca="1" ref="O59" ca="1">IFERROR(VLOOKUP($L$5&amp;$C59,CHOOSE({1,2},D_技能表!$C$2:$C$1210&amp;D_技能表!$E$2:$E$1210,D_技能表!$Z$2:$Z$1210),2,FALSE),0)</f>
        <v>12</v>
      </c>
      <c r="P59">
        <f t="array" aca="1" ref="P59" ca="1">IFERROR(VLOOKUP($P$5&amp;$C59,CHOOSE({1,2},D_技能表!$C$2:$C$1210&amp;D_技能表!$E$2:$E$1210,D_技能表!$I$2:$I$1210),2,FALSE),0)</f>
        <v>0</v>
      </c>
      <c r="Q59">
        <f t="array" aca="1" ref="Q59" ca="1">IFERROR(VLOOKUP($P$5&amp;$C59,CHOOSE({1,2},D_技能表!$C$2:$C$1210&amp;D_技能表!$E$2:$E$1210,D_技能表!$N$2:$N$1210),2,FALSE),0)</f>
        <v>0</v>
      </c>
      <c r="R59">
        <f t="array" aca="1" ref="R59" ca="1">IFERROR(VLOOKUP($P$5&amp;$C59,CHOOSE({1,2},D_技能表!$C$2:$C$1210&amp;D_技能表!$E$2:$E$1210,D_技能表!$W$2:$W$1210),2,FALSE),0)</f>
        <v>0</v>
      </c>
      <c r="S59">
        <f t="array" aca="1" ref="S59" ca="1">IFERROR(VLOOKUP($P$5&amp;$C59,CHOOSE({1,2},D_技能表!$C$2:$C$1210&amp;D_技能表!$E$2:$E$1210,D_技能表!$Z$2:$Z$1210),2,FALSE),0)</f>
        <v>0</v>
      </c>
      <c r="T59">
        <f t="array" aca="1" ref="T59" ca="1">IFERROR(VLOOKUP($T$5&amp;$C59,CHOOSE({1,2},D_技能表!$C$2:$C$1210&amp;D_技能表!$E$2:$E$1210,D_技能表!$I$2:$I$1210),2,FALSE),0)</f>
        <v>31</v>
      </c>
      <c r="U59">
        <f t="array" aca="1" ref="U59" ca="1">IFERROR(VLOOKUP($T$5&amp;$C59,CHOOSE({1,2},D_技能表!$C$2:$C$1210&amp;D_技能表!$E$2:$E$1210,D_技能表!$N$2:$N$1210),2,FALSE),0)</f>
        <v>83720</v>
      </c>
      <c r="V59">
        <f t="array" aca="1" ref="V59" ca="1">IFERROR(VLOOKUP($T$5&amp;$C59,CHOOSE({1,2},D_技能表!$C$2:$C$1210&amp;D_技能表!$E$2:$E$1210,D_技能表!$W$2:$W$1210),2,FALSE),0)</f>
        <v>46</v>
      </c>
      <c r="W59">
        <f t="array" aca="1" ref="W59" ca="1">IFERROR(VLOOKUP($T$5&amp;$C59,CHOOSE({1,2},D_技能表!$C$2:$C$1210&amp;D_技能表!$E$2:$E$1210,D_技能表!$Z$2:$Z$1210),2,FALSE),0)</f>
        <v>19</v>
      </c>
      <c r="X59">
        <f t="array" aca="1" ref="X59" ca="1">IFERROR(VLOOKUP($X$5&amp;$C59,CHOOSE({1,2},D_技能表!$C$2:$C$1210&amp;D_技能表!$E$2:$E$1210,D_技能表!$I$2:$I$1210),2,FALSE),0)</f>
        <v>32</v>
      </c>
      <c r="Y59">
        <f t="array" aca="1" ref="Y59" ca="1">IFERROR(VLOOKUP($X$5&amp;$C59,CHOOSE({1,2},D_技能表!$C$2:$C$1210&amp;D_技能表!$E$2:$E$1210,D_技能表!$N$2:$N$1210),2,FALSE),0)</f>
        <v>118300</v>
      </c>
      <c r="Z59">
        <f t="array" aca="1" ref="Z59" ca="1">IFERROR(VLOOKUP($X$5&amp;$C59,CHOOSE({1,2},D_技能表!$C$2:$C$1210&amp;D_技能表!$E$2:$E$1210,D_技能表!$W$2:$W$1210),2,FALSE),0)</f>
        <v>65</v>
      </c>
      <c r="AA59">
        <f t="array" aca="1" ref="AA59" ca="1">IFERROR(VLOOKUP($X$5&amp;$C59,CHOOSE({1,2},D_技能表!$C$2:$C$1210&amp;D_技能表!$E$2:$E$1210,D_技能表!$Z$2:$Z$1210),2,FALSE),0)</f>
        <v>26</v>
      </c>
      <c r="AB59">
        <f t="array" aca="1" ref="AB59" ca="1">IFERROR(VLOOKUP($AB$5&amp;$C59,CHOOSE({1,2},D_技能表!$C$2:$C$1210&amp;D_技能表!$E$2:$E$1210,D_技能表!$I$2:$I$1210),2,FALSE),0)</f>
        <v>32</v>
      </c>
      <c r="AC59">
        <f t="array" aca="1" ref="AC59" ca="1">IFERROR(VLOOKUP($AB$5&amp;$C59,CHOOSE({1,2},D_技能表!$C$2:$C$1210&amp;D_技能表!$E$2:$E$1210,D_技能表!$N$2:$N$1210),2,FALSE),0)</f>
        <v>56420</v>
      </c>
      <c r="AD59">
        <f t="array" aca="1" ref="AD59" ca="1">IFERROR(VLOOKUP($AB$5&amp;$C59,CHOOSE({1,2},D_技能表!$C$2:$C$1210&amp;D_技能表!$E$2:$E$1210,D_技能表!$W$2:$W$1210),2,FALSE),0)</f>
        <v>31</v>
      </c>
      <c r="AE59">
        <f t="array" aca="1" ref="AE59" ca="1">IFERROR(VLOOKUP($AB$5&amp;$C59,CHOOSE({1,2},D_技能表!$C$2:$C$1210&amp;D_技能表!$E$2:$E$1210,D_技能表!$Z$2:$Z$1210),2,FALSE),0)</f>
        <v>13</v>
      </c>
      <c r="AF59">
        <f t="array" aca="1" ref="AF59" ca="1">IFERROR(VLOOKUP($AF$5&amp;$C59,CHOOSE({1,2},D_技能表!$C$2:$C$1210&amp;D_技能表!$E$2:$E$1210,D_技能表!$I$2:$I$1210),2,FALSE),0)</f>
        <v>31</v>
      </c>
      <c r="AG59">
        <f t="array" aca="1" ref="AG59" ca="1">IFERROR(VLOOKUP($AF$5&amp;$C59,CHOOSE({1,2},D_技能表!$C$2:$C$1210&amp;D_技能表!$E$2:$E$1210,D_技能表!$N$2:$N$1210),2,FALSE),0)</f>
        <v>47320</v>
      </c>
      <c r="AH59">
        <f t="array" aca="1" ref="AH59" ca="1">IFERROR(VLOOKUP($AF$5&amp;$C59,CHOOSE({1,2},D_技能表!$C$2:$C$1210&amp;D_技能表!$E$2:$E$1210,D_技能表!$W$2:$W$1210),2,FALSE),0)</f>
        <v>26</v>
      </c>
      <c r="AI59">
        <f t="array" aca="1" ref="AI59" ca="1">IFERROR(VLOOKUP($AF$5&amp;$C59,CHOOSE({1,2},D_技能表!$C$2:$C$1210&amp;D_技能表!$E$2:$E$1210,D_技能表!$Z$2:$Z$1210),2,FALSE),0)</f>
        <v>11</v>
      </c>
      <c r="AJ59">
        <f t="array" aca="1" ref="AJ59" ca="1">IFERROR(VLOOKUP($AJ$5&amp;$C59,CHOOSE({1,2},D_技能表!$C$2:$C$1210&amp;D_技能表!$E$2:$E$1210,D_技能表!$I$2:$I$1210),2,FALSE),0)</f>
        <v>31</v>
      </c>
      <c r="AK59">
        <f t="array" aca="1" ref="AK59" ca="1">IFERROR(VLOOKUP($AJ$5&amp;$C59,CHOOSE({1,2},D_技能表!$C$2:$C$1210&amp;D_技能表!$E$2:$E$1210,D_技能表!$N$2:$N$1210),2,FALSE),0)</f>
        <v>47320</v>
      </c>
      <c r="AL59">
        <f t="array" aca="1" ref="AL59" ca="1">IFERROR(VLOOKUP($AJ$5&amp;$C59,CHOOSE({1,2},D_技能表!$C$2:$C$1210&amp;D_技能表!$E$2:$E$1210,D_技能表!$W$2:$W$1210),2,FALSE),0)</f>
        <v>26</v>
      </c>
      <c r="AM59">
        <f t="array" aca="1" ref="AM59" ca="1">IFERROR(VLOOKUP($AJ$5&amp;$C59,CHOOSE({1,2},D_技能表!$C$2:$C$1210&amp;D_技能表!$E$2:$E$1210,D_技能表!$Z$2:$Z$1210),2,FALSE),0)</f>
        <v>11</v>
      </c>
      <c r="AN59">
        <f t="array" aca="1" ref="AN59" ca="1">IFERROR(VLOOKUP($AN$5&amp;$C59,CHOOSE({1,2},D_技能表!$C$2:$C$1210&amp;D_技能表!$E$2:$E$1210,D_技能表!$I$2:$I$1210),2,FALSE),0)</f>
        <v>30</v>
      </c>
      <c r="AO59">
        <f t="array" aca="1" ref="AO59" ca="1">IFERROR(VLOOKUP($AN$5&amp;$C59,CHOOSE({1,2},D_技能表!$C$2:$C$1210&amp;D_技能表!$E$2:$E$1210,D_技能表!$N$2:$N$1210),2,FALSE),0)</f>
        <v>81900</v>
      </c>
      <c r="AP59">
        <f t="array" aca="1" ref="AP59" ca="1">IFERROR(VLOOKUP($AN$5&amp;$C59,CHOOSE({1,2},D_技能表!$C$2:$C$1210&amp;D_技能表!$E$2:$E$1210,D_技能表!$W$2:$W$1210),2,FALSE),0)</f>
        <v>45</v>
      </c>
      <c r="AQ59">
        <f t="array" aca="1" ref="AQ59" ca="1">IFERROR(VLOOKUP($AN$5&amp;$C59,CHOOSE({1,2},D_技能表!$C$2:$C$1210&amp;D_技能表!$E$2:$E$1210,D_技能表!$Z$2:$Z$1210),2,FALSE),0)</f>
        <v>18</v>
      </c>
      <c r="AR59" s="11">
        <f ca="1">SUM($G$7:G60,$K$7:K60,$O$7:O60,$S$7:S60,$W$7:W60,$AA$7:AA60,$AE$7:AE60,$AI$7:AI60,$AM$7:AM60,$AQ$7:AQ60)</f>
        <v>1693</v>
      </c>
      <c r="AS59">
        <f ca="1">SUM($F$7:F60,$J$7:J60,$N$7:N60,$R$7:R60,$V$7:V60,$Z$7:Z60,$AD$7:AD60,$AH$7:AH60,$AL$7:AL60,$AP$7:AP60)</f>
        <v>5572</v>
      </c>
      <c r="AT59">
        <f t="shared" ca="1" si="1"/>
        <v>373</v>
      </c>
      <c r="AU59" s="33">
        <f ca="1">SUM($AX$7:AX59,$BB$7:BB59,$BF$7:BF59,$BJ$7:BJ59)</f>
        <v>1193950</v>
      </c>
      <c r="AV59">
        <v>53</v>
      </c>
      <c r="AW59">
        <f t="array" ref="AW59">IFERROR(VLOOKUP(AW$5&amp;$AV59,CHOOSE({1,2},D_技能表CD!$C$2:$C$313&amp;D_技能表CD!$E$2:$E$313,D_技能表CD!$I$2:$I$313),2,FALSE),0)</f>
        <v>0</v>
      </c>
      <c r="AX59">
        <f t="array" aca="1" ref="AX59" ca="1">IFERROR(VLOOKUP(AW$5&amp;$AV59,CHOOSE({1,2},D_技能表CD!$C$2:$C$313&amp;D_技能表CD!$E$2:$E$313,D_技能表CD!$H$2:$H$313),2,FALSE),0)</f>
        <v>0</v>
      </c>
      <c r="AY59">
        <f t="array" aca="1" ref="AY59" ca="1">IFERROR(VLOOKUP(AW$5&amp;$AV59,CHOOSE({1,2},D_技能表CD!$C$2:$C$313&amp;D_技能表CD!$E$2:$E$313,D_技能表CD!$L$2:$L$313),2,FALSE),0)</f>
        <v>0</v>
      </c>
      <c r="AZ59">
        <f t="array" aca="1" ref="AZ59" ca="1">IFERROR(VLOOKUP(AW$5&amp;$AV59,CHOOSE({1,2},D_技能表CD!$C$2:$C$313&amp;D_技能表CD!$E$2:$E$313,D_技能表CD!$K$2:$K$313),2,FALSE),0)</f>
        <v>0</v>
      </c>
      <c r="BA59">
        <f t="array" ref="BA59">IFERROR(VLOOKUP(BA$5&amp;$AV59,CHOOSE({1,2},D_技能表CD!$C$2:$C$313&amp;D_技能表CD!$E$2:$E$313,D_技能表CD!$I$2:$I$313),2,FALSE),0)</f>
        <v>0</v>
      </c>
      <c r="BB59">
        <f t="array" aca="1" ref="BB59" ca="1">IFERROR(VLOOKUP(BA$5&amp;$AV59,CHOOSE({1,2},D_技能表CD!$C$2:$C$313&amp;D_技能表CD!$E$2:$E$313,D_技能表CD!$H$2:$H$313),2,FALSE),0)</f>
        <v>0</v>
      </c>
      <c r="BC59">
        <f t="array" aca="1" ref="BC59" ca="1">IFERROR(VLOOKUP(BA$5&amp;$AV59,CHOOSE({1,2},D_技能表CD!$C$2:$C$313&amp;D_技能表CD!$E$2:$E$313,D_技能表CD!$L$2:$L$313),2,FALSE),0)</f>
        <v>0</v>
      </c>
      <c r="BD59">
        <f t="array" aca="1" ref="BD59" ca="1">IFERROR(VLOOKUP(BA$5&amp;$AV59,CHOOSE({1,2},D_技能表CD!$C$2:$C$313&amp;D_技能表CD!$E$2:$E$313,D_技能表CD!$K$2:$K$313),2,FALSE),0)</f>
        <v>0</v>
      </c>
      <c r="BE59">
        <f t="array" ref="BE59">IFERROR(VLOOKUP(BE$5&amp;$AV59,CHOOSE({1,2},D_技能表CD!$C$2:$C$313&amp;D_技能表CD!$E$2:$E$313,D_技能表CD!$I$2:$I$313),2,FALSE),0)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IFERROR(VLOOKUP(BE$5&amp;$AV59,CHOOSE({1,2},D_技能表CD!$C$2:$C$313&amp;D_技能表CD!$E$2:$E$313,D_技能表CD!$H$2:$H$313),2,FALSE),0)</f>
        <v>0</v>
      </c>
      <c r="BG59">
        <f t="array" aca="1" ref="BG59" ca="1">IFERROR(VLOOKUP(BE$5&amp;$AV59,CHOOSE({1,2},D_技能表CD!$C$2:$C$313&amp;D_技能表CD!$E$2:$E$313,D_技能表CD!$L$2:$L$313),2,FALSE),0)</f>
        <v>0</v>
      </c>
      <c r="BH59">
        <f t="array" aca="1" ref="BH59" ca="1">IFERROR(VLOOKUP(BE$5&amp;$AV59,CHOOSE({1,2},D_技能表CD!$C$2:$C$313&amp;D_技能表CD!$E$2:$E$313,D_技能表CD!$K$2:$K$313),2,FALSE),0)</f>
        <v>0</v>
      </c>
      <c r="BI59">
        <f t="array" ref="BI59">IFERROR(VLOOKUP(BI$5&amp;$AV59,CHOOSE({1,2},D_技能表CD!$C$2:$C$313&amp;D_技能表CD!$E$2:$E$313,D_技能表CD!$I$2:$I$313),2,FALSE),0)</f>
        <v>17</v>
      </c>
      <c r="BJ59">
        <f t="array" aca="1" ref="BJ59" ca="1">IFERROR(VLOOKUP(BI$5&amp;$AV59,CHOOSE({1,2},D_技能表CD!$C$2:$C$313&amp;D_技能表CD!$E$2:$E$313,D_技能表CD!$H$2:$H$313),2,FALSE),0)</f>
        <v>68200</v>
      </c>
      <c r="BK59">
        <f t="array" aca="1" ref="BK59" ca="1">IFERROR(VLOOKUP(BI$5&amp;$AV59,CHOOSE({1,2},D_技能表CD!$C$2:$C$313&amp;D_技能表CD!$E$2:$E$313,D_技能表CD!$L$2:$L$313),2,FALSE),0)</f>
        <v>208</v>
      </c>
      <c r="BL59">
        <f t="array" aca="1" ref="BL59" ca="1">IFERROR(VLOOKUP(BI$5&amp;$AV59,CHOOSE({1,2},D_技能表CD!$C$2:$C$313&amp;D_技能表CD!$E$2:$E$313,D_技能表CD!$K$2:$K$313),2,FALSE),0)</f>
        <v>342</v>
      </c>
    </row>
    <row r="60" spans="1:64" x14ac:dyDescent="0.15">
      <c r="A60">
        <f t="shared" ca="1" si="0"/>
        <v>7147760</v>
      </c>
      <c r="B60" s="33">
        <f ca="1">SUM($E$7:E60,$I$7:I60,$M$7:M60,$Q$7:Q60,$U$7:U60,$Y$7:Y60,$AC$7:AC60,$AG$7:AG60,$AK$7:AK60,$AO$7:AO60)</f>
        <v>5871660</v>
      </c>
      <c r="C60">
        <v>54</v>
      </c>
      <c r="D60">
        <f t="array" aca="1" ref="D60" ca="1">IFERROR(VLOOKUP($D$5&amp;C60,CHOOSE({1,2},D_技能表!$C$2:$C$1210&amp;D_技能表!$E$2:$E$1210,D_技能表!$I$2:$I$1210),2,FALSE),0)</f>
        <v>0</v>
      </c>
      <c r="E60">
        <f t="array" aca="1" ref="E60" ca="1">IFERROR(VLOOKUP($D$5&amp;$C60,CHOOSE({1,2},D_技能表!$C$2:$C$1210&amp;D_技能表!$E$2:$E$1210,D_技能表!$N$2:$N$1210),2,FALSE),0)</f>
        <v>0</v>
      </c>
      <c r="F60">
        <f t="array" aca="1" ref="F60" ca="1">IFERROR(VLOOKUP($D$5&amp;$C60,CHOOSE({1,2},D_技能表!$C$2:$C$1210&amp;D_技能表!$E$2:$E$1210,D_技能表!$W$2:$W$1210),2,FALSE),0)</f>
        <v>0</v>
      </c>
      <c r="G60">
        <f t="array" aca="1" ref="G60" ca="1">IFERROR(VLOOKUP($D$5&amp;$C60,CHOOSE({1,2},D_技能表!$C$2:$C$1210&amp;D_技能表!$E$2:$E$1210,D_技能表!$Z$2:$Z$1210),2,FALSE),0)</f>
        <v>0</v>
      </c>
      <c r="H60">
        <f t="array" aca="1" ref="H60" ca="1">IFERROR(VLOOKUP($H$5&amp;$C60,CHOOSE({1,2},D_技能表!$C$2:$C$1210&amp;D_技能表!$E$2:$E$1210,D_技能表!$I$2:$I$1210),2,FALSE),0)</f>
        <v>33</v>
      </c>
      <c r="I60">
        <f t="array" aca="1" ref="I60" ca="1">IFERROR(VLOOKUP($H$5&amp;$C60,CHOOSE({1,2},D_技能表!$C$2:$C$1210&amp;D_技能表!$E$2:$E$1210,D_技能表!$N$2:$N$1210),2,FALSE),0)</f>
        <v>60576</v>
      </c>
      <c r="J60">
        <f t="array" aca="1" ref="J60" ca="1">IFERROR(VLOOKUP($H$5&amp;$C60,CHOOSE({1,2},D_技能表!$C$2:$C$1210&amp;D_技能表!$E$2:$E$1210,D_技能表!$W$2:$W$1210),2,FALSE),0)</f>
        <v>32</v>
      </c>
      <c r="K60">
        <f t="array" aca="1" ref="K60" ca="1">IFERROR(VLOOKUP($H$5&amp;$C60,CHOOSE({1,2},D_技能表!$C$2:$C$1210&amp;D_技能表!$E$2:$E$1210,D_技能表!$Z$2:$Z$1210),2,FALSE),0)</f>
        <v>13</v>
      </c>
      <c r="L60">
        <f t="array" aca="1" ref="L60" ca="1">IFERROR(VLOOKUP($L$5&amp;$C60,CHOOSE({1,2},D_技能表!$C$2:$C$1210&amp;D_技能表!$E$2:$E$1210,D_技能表!$I$2:$I$1210),2,FALSE),0)</f>
        <v>33</v>
      </c>
      <c r="M60">
        <f t="array" aca="1" ref="M60" ca="1">IFERROR(VLOOKUP($L$5&amp;$C60,CHOOSE({1,2},D_技能表!$C$2:$C$1210&amp;D_技能表!$E$2:$E$1210,D_技能表!$N$2:$N$1210),2,FALSE),0)</f>
        <v>60576</v>
      </c>
      <c r="N60">
        <f t="array" aca="1" ref="N60" ca="1">IFERROR(VLOOKUP($L$5&amp;$C60,CHOOSE({1,2},D_技能表!$C$2:$C$1210&amp;D_技能表!$E$2:$E$1210,D_技能表!$W$2:$W$1210),2,FALSE),0)</f>
        <v>32</v>
      </c>
      <c r="O60">
        <f t="array" aca="1" ref="O60" ca="1">IFERROR(VLOOKUP($L$5&amp;$C60,CHOOSE({1,2},D_技能表!$C$2:$C$1210&amp;D_技能表!$E$2:$E$1210,D_技能表!$Z$2:$Z$1210),2,FALSE),0)</f>
        <v>13</v>
      </c>
      <c r="P60">
        <f t="array" aca="1" ref="P60" ca="1">IFERROR(VLOOKUP($P$5&amp;$C60,CHOOSE({1,2},D_技能表!$C$2:$C$1210&amp;D_技能表!$E$2:$E$1210,D_技能表!$I$2:$I$1210),2,FALSE),0)</f>
        <v>32</v>
      </c>
      <c r="Q60">
        <f t="array" aca="1" ref="Q60" ca="1">IFERROR(VLOOKUP($P$5&amp;$C60,CHOOSE({1,2},D_技能表!$C$2:$C$1210&amp;D_技能表!$E$2:$E$1210,D_技能表!$N$2:$N$1210),2,FALSE),0)</f>
        <v>56790</v>
      </c>
      <c r="R60">
        <f t="array" aca="1" ref="R60" ca="1">IFERROR(VLOOKUP($P$5&amp;$C60,CHOOSE({1,2},D_技能表!$C$2:$C$1210&amp;D_技能表!$E$2:$E$1210,D_技能表!$W$2:$W$1210),2,FALSE),0)</f>
        <v>30</v>
      </c>
      <c r="S60">
        <f t="array" aca="1" ref="S60" ca="1">IFERROR(VLOOKUP($P$5&amp;$C60,CHOOSE({1,2},D_技能表!$C$2:$C$1210&amp;D_技能表!$E$2:$E$1210,D_技能表!$Z$2:$Z$1210),2,FALSE),0)</f>
        <v>12</v>
      </c>
      <c r="T60">
        <f t="array" aca="1" ref="T60" ca="1">IFERROR(VLOOKUP($T$5&amp;$C60,CHOOSE({1,2},D_技能表!$C$2:$C$1210&amp;D_技能表!$E$2:$E$1210,D_技能表!$I$2:$I$1210),2,FALSE),0)</f>
        <v>32</v>
      </c>
      <c r="U60">
        <f t="array" aca="1" ref="U60" ca="1">IFERROR(VLOOKUP($T$5&amp;$C60,CHOOSE({1,2},D_技能表!$C$2:$C$1210&amp;D_技能表!$E$2:$E$1210,D_技能表!$N$2:$N$1210),2,FALSE),0)</f>
        <v>92757</v>
      </c>
      <c r="V60">
        <f t="array" aca="1" ref="V60" ca="1">IFERROR(VLOOKUP($T$5&amp;$C60,CHOOSE({1,2},D_技能表!$C$2:$C$1210&amp;D_技能表!$E$2:$E$1210,D_技能表!$W$2:$W$1210),2,FALSE),0)</f>
        <v>49</v>
      </c>
      <c r="W60">
        <f t="array" aca="1" ref="W60" ca="1">IFERROR(VLOOKUP($T$5&amp;$C60,CHOOSE({1,2},D_技能表!$C$2:$C$1210&amp;D_技能表!$E$2:$E$1210,D_技能表!$Z$2:$Z$1210),2,FALSE),0)</f>
        <v>20</v>
      </c>
      <c r="X60">
        <f t="array" aca="1" ref="X60" ca="1">IFERROR(VLOOKUP($X$5&amp;$C60,CHOOSE({1,2},D_技能表!$C$2:$C$1210&amp;D_技能表!$E$2:$E$1210,D_技能表!$I$2:$I$1210),2,FALSE),0)</f>
        <v>0</v>
      </c>
      <c r="Y60">
        <f t="array" aca="1" ref="Y60" ca="1">IFERROR(VLOOKUP($X$5&amp;$C60,CHOOSE({1,2},D_技能表!$C$2:$C$1210&amp;D_技能表!$E$2:$E$1210,D_技能表!$N$2:$N$1210),2,FALSE),0)</f>
        <v>0</v>
      </c>
      <c r="Z60">
        <f t="array" aca="1" ref="Z60" ca="1">IFERROR(VLOOKUP($X$5&amp;$C60,CHOOSE({1,2},D_技能表!$C$2:$C$1210&amp;D_技能表!$E$2:$E$1210,D_技能表!$W$2:$W$1210),2,FALSE),0)</f>
        <v>0</v>
      </c>
      <c r="AA60">
        <f t="array" aca="1" ref="AA60" ca="1">IFERROR(VLOOKUP($X$5&amp;$C60,CHOOSE({1,2},D_技能表!$C$2:$C$1210&amp;D_技能表!$E$2:$E$1210,D_技能表!$Z$2:$Z$1210),2,FALSE),0)</f>
        <v>0</v>
      </c>
      <c r="AB60">
        <f t="array" aca="1" ref="AB60" ca="1">IFERROR(VLOOKUP($AB$5&amp;$C60,CHOOSE({1,2},D_技能表!$C$2:$C$1210&amp;D_技能表!$E$2:$E$1210,D_技能表!$I$2:$I$1210),2,FALSE),0)</f>
        <v>0</v>
      </c>
      <c r="AC60">
        <f t="array" aca="1" ref="AC60" ca="1">IFERROR(VLOOKUP($AB$5&amp;$C60,CHOOSE({1,2},D_技能表!$C$2:$C$1210&amp;D_技能表!$E$2:$E$1210,D_技能表!$N$2:$N$1210),2,FALSE),0)</f>
        <v>0</v>
      </c>
      <c r="AD60">
        <f t="array" aca="1" ref="AD60" ca="1">IFERROR(VLOOKUP($AB$5&amp;$C60,CHOOSE({1,2},D_技能表!$C$2:$C$1210&amp;D_技能表!$E$2:$E$1210,D_技能表!$W$2:$W$1210),2,FALSE),0)</f>
        <v>0</v>
      </c>
      <c r="AE60">
        <f t="array" aca="1" ref="AE60" ca="1">IFERROR(VLOOKUP($AB$5&amp;$C60,CHOOSE({1,2},D_技能表!$C$2:$C$1210&amp;D_技能表!$E$2:$E$1210,D_技能表!$Z$2:$Z$1210),2,FALSE),0)</f>
        <v>0</v>
      </c>
      <c r="AF60">
        <f t="array" aca="1" ref="AF60" ca="1">IFERROR(VLOOKUP($AF$5&amp;$C60,CHOOSE({1,2},D_技能表!$C$2:$C$1210&amp;D_技能表!$E$2:$E$1210,D_技能表!$I$2:$I$1210),2,FALSE),0)</f>
        <v>32</v>
      </c>
      <c r="AG60">
        <f t="array" aca="1" ref="AG60" ca="1">IFERROR(VLOOKUP($AF$5&amp;$C60,CHOOSE({1,2},D_技能表!$C$2:$C$1210&amp;D_技能表!$E$2:$E$1210,D_技能表!$N$2:$N$1210),2,FALSE),0)</f>
        <v>53004</v>
      </c>
      <c r="AH60">
        <f t="array" aca="1" ref="AH60" ca="1">IFERROR(VLOOKUP($AF$5&amp;$C60,CHOOSE({1,2},D_技能表!$C$2:$C$1210&amp;D_技能表!$E$2:$E$1210,D_技能表!$W$2:$W$1210),2,FALSE),0)</f>
        <v>28</v>
      </c>
      <c r="AI60">
        <f t="array" aca="1" ref="AI60" ca="1">IFERROR(VLOOKUP($AF$5&amp;$C60,CHOOSE({1,2},D_技能表!$C$2:$C$1210&amp;D_技能表!$E$2:$E$1210,D_技能表!$Z$2:$Z$1210),2,FALSE),0)</f>
        <v>12</v>
      </c>
      <c r="AJ60">
        <f t="array" aca="1" ref="AJ60" ca="1">IFERROR(VLOOKUP($AJ$5&amp;$C60,CHOOSE({1,2},D_技能表!$C$2:$C$1210&amp;D_技能表!$E$2:$E$1210,D_技能表!$I$2:$I$1210),2,FALSE),0)</f>
        <v>0</v>
      </c>
      <c r="AK60">
        <f t="array" aca="1" ref="AK60" ca="1">IFERROR(VLOOKUP($AJ$5&amp;$C60,CHOOSE({1,2},D_技能表!$C$2:$C$1210&amp;D_技能表!$E$2:$E$1210,D_技能表!$N$2:$N$1210),2,FALSE),0)</f>
        <v>0</v>
      </c>
      <c r="AL60">
        <f t="array" aca="1" ref="AL60" ca="1">IFERROR(VLOOKUP($AJ$5&amp;$C60,CHOOSE({1,2},D_技能表!$C$2:$C$1210&amp;D_技能表!$E$2:$E$1210,D_技能表!$W$2:$W$1210),2,FALSE),0)</f>
        <v>0</v>
      </c>
      <c r="AM60">
        <f t="array" aca="1" ref="AM60" ca="1">IFERROR(VLOOKUP($AJ$5&amp;$C60,CHOOSE({1,2},D_技能表!$C$2:$C$1210&amp;D_技能表!$E$2:$E$1210,D_技能表!$Z$2:$Z$1210),2,FALSE),0)</f>
        <v>0</v>
      </c>
      <c r="AN60">
        <f t="array" aca="1" ref="AN60" ca="1">IFERROR(VLOOKUP($AN$5&amp;$C60,CHOOSE({1,2},D_技能表!$C$2:$C$1210&amp;D_技能表!$E$2:$E$1210,D_技能表!$I$2:$I$1210),2,FALSE),0)</f>
        <v>31</v>
      </c>
      <c r="AO60">
        <f t="array" aca="1" ref="AO60" ca="1">IFERROR(VLOOKUP($AN$5&amp;$C60,CHOOSE({1,2},D_技能表!$C$2:$C$1210&amp;D_技能表!$E$2:$E$1210,D_技能表!$N$2:$N$1210),2,FALSE),0)</f>
        <v>90864</v>
      </c>
      <c r="AP60">
        <f t="array" aca="1" ref="AP60" ca="1">IFERROR(VLOOKUP($AN$5&amp;$C60,CHOOSE({1,2},D_技能表!$C$2:$C$1210&amp;D_技能表!$E$2:$E$1210,D_技能表!$W$2:$W$1210),2,FALSE),0)</f>
        <v>48</v>
      </c>
      <c r="AQ60">
        <f t="array" aca="1" ref="AQ60" ca="1">IFERROR(VLOOKUP($AN$5&amp;$C60,CHOOSE({1,2},D_技能表!$C$2:$C$1210&amp;D_技能表!$E$2:$E$1210,D_技能表!$Z$2:$Z$1210),2,FALSE),0)</f>
        <v>20</v>
      </c>
      <c r="AR60" s="11">
        <f ca="1">SUM($G$7:G61,$K$7:K61,$O$7:O61,$S$7:S61,$W$7:W61,$AA$7:AA61,$AE$7:AE61,$AI$7:AI61,$AM$7:AM61,$AQ$7:AQ61)</f>
        <v>1792</v>
      </c>
      <c r="AS60">
        <f ca="1">SUM($F$7:F61,$J$7:J61,$N$7:N61,$R$7:R61,$V$7:V61,$Z$7:Z61,$AD$7:AD61,$AH$7:AH61,$AL$7:AL61,$AP$7:AP61)</f>
        <v>5815</v>
      </c>
      <c r="AT60">
        <f t="shared" ca="1" si="1"/>
        <v>219</v>
      </c>
      <c r="AU60" s="33">
        <f ca="1">SUM($AX$7:AX60,$BB$7:BB60,$BF$7:BF60,$BJ$7:BJ60)</f>
        <v>1276100</v>
      </c>
      <c r="AV60">
        <v>54</v>
      </c>
      <c r="AW60">
        <f t="array" ref="AW60">IFERROR(VLOOKUP(AW$5&amp;$AV60,CHOOSE({1,2},D_技能表CD!$C$2:$C$313&amp;D_技能表CD!$E$2:$E$313,D_技能表CD!$I$2:$I$313),2,FALSE),0)</f>
        <v>0</v>
      </c>
      <c r="AX60">
        <f t="array" aca="1" ref="AX60" ca="1">IFERROR(VLOOKUP(AW$5&amp;$AV60,CHOOSE({1,2},D_技能表CD!$C$2:$C$313&amp;D_技能表CD!$E$2:$E$313,D_技能表CD!$H$2:$H$313),2,FALSE),0)</f>
        <v>0</v>
      </c>
      <c r="AY60">
        <f t="array" aca="1" ref="AY60" ca="1">IFERROR(VLOOKUP(AW$5&amp;$AV60,CHOOSE({1,2},D_技能表CD!$C$2:$C$313&amp;D_技能表CD!$E$2:$E$313,D_技能表CD!$L$2:$L$313),2,FALSE),0)</f>
        <v>0</v>
      </c>
      <c r="AZ60">
        <f t="array" aca="1" ref="AZ60" ca="1">IFERROR(VLOOKUP(AW$5&amp;$AV60,CHOOSE({1,2},D_技能表CD!$C$2:$C$313&amp;D_技能表CD!$E$2:$E$313,D_技能表CD!$K$2:$K$313),2,FALSE),0)</f>
        <v>0</v>
      </c>
      <c r="BA60">
        <f t="array" ref="BA60">IFERROR(VLOOKUP(BA$5&amp;$AV60,CHOOSE({1,2},D_技能表CD!$C$2:$C$313&amp;D_技能表CD!$E$2:$E$313,D_技能表CD!$I$2:$I$313),2,FALSE),0)</f>
        <v>18</v>
      </c>
      <c r="BB60">
        <f t="array" aca="1" ref="BB60" ca="1">IFERROR(VLOOKUP(BA$5&amp;$AV60,CHOOSE({1,2},D_技能表CD!$C$2:$C$313&amp;D_技能表CD!$E$2:$E$313,D_技能表CD!$H$2:$H$313),2,FALSE),0)</f>
        <v>82150</v>
      </c>
      <c r="BC60">
        <f t="array" aca="1" ref="BC60" ca="1">IFERROR(VLOOKUP(BA$5&amp;$AV60,CHOOSE({1,2},D_技能表CD!$C$2:$C$313&amp;D_技能表CD!$E$2:$E$313,D_技能表CD!$L$2:$L$313),2,FALSE),0)</f>
        <v>247</v>
      </c>
      <c r="BD60">
        <f t="array" aca="1" ref="BD60" ca="1">IFERROR(VLOOKUP(BA$5&amp;$AV60,CHOOSE({1,2},D_技能表CD!$C$2:$C$313&amp;D_技能表CD!$E$2:$E$313,D_技能表CD!$K$2:$K$313),2,FALSE),0)</f>
        <v>424</v>
      </c>
      <c r="BE60">
        <f t="array" ref="BE60">IFERROR(VLOOKUP(BE$5&amp;$AV60,CHOOSE({1,2},D_技能表CD!$C$2:$C$313&amp;D_技能表CD!$E$2:$E$313,D_技能表CD!$I$2:$I$313),2,FALSE),0)</f>
        <v>0</v>
      </c>
      <c r="BF60">
        <f t="array" aca="1" ref="BF60" ca="1">IFERROR(VLOOKUP(BE$5&amp;$AV60,CHOOSE({1,2},D_技能表CD!$C$2:$C$313&amp;D_技能表CD!$E$2:$E$313,D_技能表CD!$H$2:$H$313),2,FALSE),0)</f>
        <v>0</v>
      </c>
      <c r="BG60">
        <f t="array" aca="1" ref="BG60" ca="1">IFERROR(VLOOKUP(BE$5&amp;$AV60,CHOOSE({1,2},D_技能表CD!$C$2:$C$313&amp;D_技能表CD!$E$2:$E$313,D_技能表CD!$L$2:$L$313),2,FALSE),0)</f>
        <v>0</v>
      </c>
      <c r="BH60">
        <f t="array" aca="1" ref="BH60" ca="1">IFERROR(VLOOKUP(BE$5&amp;$AV60,CHOOSE({1,2},D_技能表CD!$C$2:$C$313&amp;D_技能表CD!$E$2:$E$313,D_技能表CD!$K$2:$K$313),2,FALSE),0)</f>
        <v>0</v>
      </c>
      <c r="BI60">
        <f t="array" ref="BI60">IFERROR(VLOOKUP(BI$5&amp;$AV60,CHOOSE({1,2},D_技能表CD!$C$2:$C$313&amp;D_技能表CD!$E$2:$E$313,D_技能表CD!$I$2:$I$313),2,FALSE),0)</f>
        <v>0</v>
      </c>
      <c r="BJ60">
        <f t="array" aca="1" ref="BJ60" ca="1">IFERROR(VLOOKUP(BI$5&amp;$AV60,CHOOSE({1,2},D_技能表CD!$C$2:$C$313&amp;D_技能表CD!$E$2:$E$313,D_技能表CD!$H$2:$H$313),2,FALSE),0)</f>
        <v>0</v>
      </c>
      <c r="BK60">
        <f t="array" aca="1" ref="BK60" ca="1">IFERROR(VLOOKUP(BI$5&amp;$AV60,CHOOSE({1,2},D_技能表CD!$C$2:$C$313&amp;D_技能表CD!$E$2:$E$313,D_技能表CD!$L$2:$L$313),2,FALSE),0)</f>
        <v>0</v>
      </c>
      <c r="BL60">
        <f t="array" aca="1" ref="BL60" ca="1">IFERROR(VLOOKUP(BI$5&amp;$AV60,CHOOSE({1,2},D_技能表CD!$C$2:$C$313&amp;D_技能表CD!$E$2:$E$313,D_技能表CD!$K$2:$K$313),2,FALSE),0)</f>
        <v>0</v>
      </c>
    </row>
    <row r="61" spans="1:64" x14ac:dyDescent="0.15">
      <c r="A61">
        <f t="shared" ca="1" si="0"/>
        <v>7712591</v>
      </c>
      <c r="B61" s="33">
        <f ca="1">SUM($E$7:E61,$I$7:I61,$M$7:M61,$Q$7:Q61,$U$7:U61,$Y$7:Y61,$AC$7:AC61,$AG$7:AG61,$AK$7:AK61,$AO$7:AO61)</f>
        <v>6349641</v>
      </c>
      <c r="C61">
        <v>55</v>
      </c>
      <c r="D61">
        <f t="array" aca="1" ref="D61" ca="1">IFERROR(VLOOKUP($D$5&amp;C61,CHOOSE({1,2},D_技能表!$C$2:$C$1210&amp;D_技能表!$E$2:$E$1210,D_技能表!$I$2:$I$1210),2,FALSE),0)</f>
        <v>34</v>
      </c>
      <c r="E61">
        <f t="array" aca="1" ref="E61" ca="1">IFERROR(VLOOKUP($D$5&amp;$C61,CHOOSE({1,2},D_技能表!$C$2:$C$1210&amp;D_技能表!$E$2:$E$1210,D_技能表!$N$2:$N$1210),2,FALSE),0)</f>
        <v>155393</v>
      </c>
      <c r="F61">
        <f t="array" aca="1" ref="F61" ca="1">IFERROR(VLOOKUP($D$5&amp;$C61,CHOOSE({1,2},D_技能表!$C$2:$C$1210&amp;D_技能表!$E$2:$E$1210,D_技能表!$W$2:$W$1210),2,FALSE),0)</f>
        <v>79</v>
      </c>
      <c r="G61">
        <f t="array" aca="1" ref="G61" ca="1">IFERROR(VLOOKUP($D$5&amp;$C61,CHOOSE({1,2},D_技能表!$C$2:$C$1210&amp;D_技能表!$E$2:$E$1210,D_技能表!$Z$2:$Z$1210),2,FALSE),0)</f>
        <v>32</v>
      </c>
      <c r="H61">
        <f t="array" aca="1" ref="H61" ca="1">IFERROR(VLOOKUP($H$5&amp;$C61,CHOOSE({1,2},D_技能表!$C$2:$C$1210&amp;D_技能表!$E$2:$E$1210,D_技能表!$I$2:$I$1210),2,FALSE),0)</f>
        <v>0</v>
      </c>
      <c r="I61">
        <f t="array" aca="1" ref="I61" ca="1">IFERROR(VLOOKUP($H$5&amp;$C61,CHOOSE({1,2},D_技能表!$C$2:$C$1210&amp;D_技能表!$E$2:$E$1210,D_技能表!$N$2:$N$1210),2,FALSE),0)</f>
        <v>0</v>
      </c>
      <c r="J61">
        <f t="array" aca="1" ref="J61" ca="1">IFERROR(VLOOKUP($H$5&amp;$C61,CHOOSE({1,2},D_技能表!$C$2:$C$1210&amp;D_技能表!$E$2:$E$1210,D_技能表!$W$2:$W$1210),2,FALSE),0)</f>
        <v>0</v>
      </c>
      <c r="K61">
        <f t="array" aca="1" ref="K61" ca="1">IFERROR(VLOOKUP($H$5&amp;$C61,CHOOSE({1,2},D_技能表!$C$2:$C$1210&amp;D_技能表!$E$2:$E$1210,D_技能表!$Z$2:$Z$1210),2,FALSE),0)</f>
        <v>0</v>
      </c>
      <c r="L61">
        <f t="array" aca="1" ref="L61" ca="1">IFERROR(VLOOKUP($L$5&amp;$C61,CHOOSE({1,2},D_技能表!$C$2:$C$1210&amp;D_技能表!$E$2:$E$1210,D_技能表!$I$2:$I$1210),2,FALSE),0)</f>
        <v>0</v>
      </c>
      <c r="M61">
        <f t="array" aca="1" ref="M61" ca="1">IFERROR(VLOOKUP($L$5&amp;$C61,CHOOSE({1,2},D_技能表!$C$2:$C$1210&amp;D_技能表!$E$2:$E$1210,D_技能表!$N$2:$N$1210),2,FALSE),0)</f>
        <v>0</v>
      </c>
      <c r="N61">
        <f t="array" aca="1" ref="N61" ca="1">IFERROR(VLOOKUP($L$5&amp;$C61,CHOOSE({1,2},D_技能表!$C$2:$C$1210&amp;D_技能表!$E$2:$E$1210,D_技能表!$W$2:$W$1210),2,FALSE),0)</f>
        <v>0</v>
      </c>
      <c r="O61">
        <f t="array" aca="1" ref="O61" ca="1">IFERROR(VLOOKUP($L$5&amp;$C61,CHOOSE({1,2},D_技能表!$C$2:$C$1210&amp;D_技能表!$E$2:$E$1210,D_技能表!$Z$2:$Z$1210),2,FALSE),0)</f>
        <v>0</v>
      </c>
      <c r="P61">
        <f t="array" aca="1" ref="P61" ca="1">IFERROR(VLOOKUP($P$5&amp;$C61,CHOOSE({1,2},D_技能表!$C$2:$C$1210&amp;D_技能表!$E$2:$E$1210,D_技能表!$I$2:$I$1210),2,FALSE),0)</f>
        <v>33</v>
      </c>
      <c r="Q61">
        <f t="array" aca="1" ref="Q61" ca="1">IFERROR(VLOOKUP($P$5&amp;$C61,CHOOSE({1,2},D_技能表!$C$2:$C$1210&amp;D_技能表!$E$2:$E$1210,D_技能表!$N$2:$N$1210),2,FALSE),0)</f>
        <v>62944</v>
      </c>
      <c r="R61">
        <f t="array" aca="1" ref="R61" ca="1">IFERROR(VLOOKUP($P$5&amp;$C61,CHOOSE({1,2},D_技能表!$C$2:$C$1210&amp;D_技能表!$E$2:$E$1210,D_技能表!$W$2:$W$1210),2,FALSE),0)</f>
        <v>32</v>
      </c>
      <c r="S61">
        <f t="array" aca="1" ref="S61" ca="1">IFERROR(VLOOKUP($P$5&amp;$C61,CHOOSE({1,2},D_技能表!$C$2:$C$1210&amp;D_技能表!$E$2:$E$1210,D_技能表!$Z$2:$Z$1210),2,FALSE),0)</f>
        <v>13</v>
      </c>
      <c r="T61">
        <f t="array" aca="1" ref="T61" ca="1">IFERROR(VLOOKUP($T$5&amp;$C61,CHOOSE({1,2},D_技能表!$C$2:$C$1210&amp;D_技能表!$E$2:$E$1210,D_技能表!$I$2:$I$1210),2,FALSE),0)</f>
        <v>0</v>
      </c>
      <c r="U61">
        <f t="array" aca="1" ref="U61" ca="1">IFERROR(VLOOKUP($T$5&amp;$C61,CHOOSE({1,2},D_技能表!$C$2:$C$1210&amp;D_技能表!$E$2:$E$1210,D_技能表!$N$2:$N$1210),2,FALSE),0)</f>
        <v>0</v>
      </c>
      <c r="V61">
        <f t="array" aca="1" ref="V61" ca="1">IFERROR(VLOOKUP($T$5&amp;$C61,CHOOSE({1,2},D_技能表!$C$2:$C$1210&amp;D_技能表!$E$2:$E$1210,D_技能表!$W$2:$W$1210),2,FALSE),0)</f>
        <v>0</v>
      </c>
      <c r="W61">
        <f t="array" aca="1" ref="W61" ca="1">IFERROR(VLOOKUP($T$5&amp;$C61,CHOOSE({1,2},D_技能表!$C$2:$C$1210&amp;D_技能表!$E$2:$E$1210,D_技能表!$Z$2:$Z$1210),2,FALSE),0)</f>
        <v>0</v>
      </c>
      <c r="X61">
        <f t="array" aca="1" ref="X61" ca="1">IFERROR(VLOOKUP($X$5&amp;$C61,CHOOSE({1,2},D_技能表!$C$2:$C$1210&amp;D_技能表!$E$2:$E$1210,D_技能表!$I$2:$I$1210),2,FALSE),0)</f>
        <v>33</v>
      </c>
      <c r="Y61">
        <f t="array" aca="1" ref="Y61" ca="1">IFERROR(VLOOKUP($X$5&amp;$C61,CHOOSE({1,2},D_技能表!$C$2:$C$1210&amp;D_技能表!$E$2:$E$1210,D_技能表!$N$2:$N$1210),2,FALSE),0)</f>
        <v>137690</v>
      </c>
      <c r="Z61">
        <f t="array" aca="1" ref="Z61" ca="1">IFERROR(VLOOKUP($X$5&amp;$C61,CHOOSE({1,2},D_技能表!$C$2:$C$1210&amp;D_技能表!$E$2:$E$1210,D_技能表!$W$2:$W$1210),2,FALSE),0)</f>
        <v>70</v>
      </c>
      <c r="AA61">
        <f t="array" aca="1" ref="AA61" ca="1">IFERROR(VLOOKUP($X$5&amp;$C61,CHOOSE({1,2},D_技能表!$C$2:$C$1210&amp;D_技能表!$E$2:$E$1210,D_技能表!$Z$2:$Z$1210),2,FALSE),0)</f>
        <v>28</v>
      </c>
      <c r="AB61">
        <f t="array" aca="1" ref="AB61" ca="1">IFERROR(VLOOKUP($AB$5&amp;$C61,CHOOSE({1,2},D_技能表!$C$2:$C$1210&amp;D_技能表!$E$2:$E$1210,D_技能表!$I$2:$I$1210),2,FALSE),0)</f>
        <v>33</v>
      </c>
      <c r="AC61">
        <f t="array" aca="1" ref="AC61" ca="1">IFERROR(VLOOKUP($AB$5&amp;$C61,CHOOSE({1,2},D_技能表!$C$2:$C$1210&amp;D_技能表!$E$2:$E$1210,D_技能表!$N$2:$N$1210),2,FALSE),0)</f>
        <v>66878</v>
      </c>
      <c r="AD61">
        <f t="array" aca="1" ref="AD61" ca="1">IFERROR(VLOOKUP($AB$5&amp;$C61,CHOOSE({1,2},D_技能表!$C$2:$C$1210&amp;D_技能表!$E$2:$E$1210,D_技能表!$W$2:$W$1210),2,FALSE),0)</f>
        <v>34</v>
      </c>
      <c r="AE61">
        <f t="array" aca="1" ref="AE61" ca="1">IFERROR(VLOOKUP($AB$5&amp;$C61,CHOOSE({1,2},D_技能表!$C$2:$C$1210&amp;D_技能表!$E$2:$E$1210,D_技能表!$Z$2:$Z$1210),2,FALSE),0)</f>
        <v>14</v>
      </c>
      <c r="AF61">
        <f t="array" aca="1" ref="AF61" ca="1">IFERROR(VLOOKUP($AF$5&amp;$C61,CHOOSE({1,2},D_技能表!$C$2:$C$1210&amp;D_技能表!$E$2:$E$1210,D_技能表!$I$2:$I$1210),2,FALSE),0)</f>
        <v>0</v>
      </c>
      <c r="AG61">
        <f t="array" aca="1" ref="AG61" ca="1">IFERROR(VLOOKUP($AF$5&amp;$C61,CHOOSE({1,2},D_技能表!$C$2:$C$1210&amp;D_技能表!$E$2:$E$1210,D_技能表!$N$2:$N$1210),2,FALSE),0)</f>
        <v>0</v>
      </c>
      <c r="AH61">
        <f t="array" aca="1" ref="AH61" ca="1">IFERROR(VLOOKUP($AF$5&amp;$C61,CHOOSE({1,2},D_技能表!$C$2:$C$1210&amp;D_技能表!$E$2:$E$1210,D_技能表!$W$2:$W$1210),2,FALSE),0)</f>
        <v>0</v>
      </c>
      <c r="AI61">
        <f t="array" aca="1" ref="AI61" ca="1">IFERROR(VLOOKUP($AF$5&amp;$C61,CHOOSE({1,2},D_技能表!$C$2:$C$1210&amp;D_技能表!$E$2:$E$1210,D_技能表!$Z$2:$Z$1210),2,FALSE),0)</f>
        <v>0</v>
      </c>
      <c r="AJ61">
        <f t="array" aca="1" ref="AJ61" ca="1">IFERROR(VLOOKUP($AJ$5&amp;$C61,CHOOSE({1,2},D_技能表!$C$2:$C$1210&amp;D_技能表!$E$2:$E$1210,D_技能表!$I$2:$I$1210),2,FALSE),0)</f>
        <v>32</v>
      </c>
      <c r="AK61">
        <f t="array" aca="1" ref="AK61" ca="1">IFERROR(VLOOKUP($AJ$5&amp;$C61,CHOOSE({1,2},D_技能表!$C$2:$C$1210&amp;D_技能表!$E$2:$E$1210,D_技能表!$N$2:$N$1210),2,FALSE),0)</f>
        <v>55076</v>
      </c>
      <c r="AL61">
        <f t="array" aca="1" ref="AL61" ca="1">IFERROR(VLOOKUP($AJ$5&amp;$C61,CHOOSE({1,2},D_技能表!$C$2:$C$1210&amp;D_技能表!$E$2:$E$1210,D_技能表!$W$2:$W$1210),2,FALSE),0)</f>
        <v>28</v>
      </c>
      <c r="AM61">
        <f t="array" aca="1" ref="AM61" ca="1">IFERROR(VLOOKUP($AJ$5&amp;$C61,CHOOSE({1,2},D_技能表!$C$2:$C$1210&amp;D_技能表!$E$2:$E$1210,D_技能表!$Z$2:$Z$1210),2,FALSE),0)</f>
        <v>12</v>
      </c>
      <c r="AN61">
        <f t="array" aca="1" ref="AN61" ca="1">IFERROR(VLOOKUP($AN$5&amp;$C61,CHOOSE({1,2},D_技能表!$C$2:$C$1210&amp;D_技能表!$E$2:$E$1210,D_技能表!$I$2:$I$1210),2,FALSE),0)</f>
        <v>0</v>
      </c>
      <c r="AO61">
        <f t="array" aca="1" ref="AO61" ca="1">IFERROR(VLOOKUP($AN$5&amp;$C61,CHOOSE({1,2},D_技能表!$C$2:$C$1210&amp;D_技能表!$E$2:$E$1210,D_技能表!$N$2:$N$1210),2,FALSE),0)</f>
        <v>0</v>
      </c>
      <c r="AP61">
        <f t="array" aca="1" ref="AP61" ca="1">IFERROR(VLOOKUP($AN$5&amp;$C61,CHOOSE({1,2},D_技能表!$C$2:$C$1210&amp;D_技能表!$E$2:$E$1210,D_技能表!$W$2:$W$1210),2,FALSE),0)</f>
        <v>0</v>
      </c>
      <c r="AQ61">
        <f t="array" aca="1" ref="AQ61" ca="1">IFERROR(VLOOKUP($AN$5&amp;$C61,CHOOSE({1,2},D_技能表!$C$2:$C$1210&amp;D_技能表!$E$2:$E$1210,D_技能表!$Z$2:$Z$1210),2,FALSE),0)</f>
        <v>0</v>
      </c>
      <c r="AR61" s="11">
        <f ca="1">SUM($G$7:G62,$K$7:K62,$O$7:O62,$S$7:S62,$W$7:W62,$AA$7:AA62,$AE$7:AE62,$AI$7:AI62,$AM$7:AM62,$AQ$7:AQ62)</f>
        <v>1932</v>
      </c>
      <c r="AS61">
        <f ca="1">SUM($F$7:F62,$J$7:J62,$N$7:N62,$R$7:R62,$V$7:V62,$Z$7:Z62,$AD$7:AD62,$AH$7:AH62,$AL$7:AL62,$AP$7:AP62)</f>
        <v>6158</v>
      </c>
      <c r="AT61">
        <f t="shared" ca="1" si="1"/>
        <v>243</v>
      </c>
      <c r="AU61" s="33">
        <f ca="1">SUM($AX$7:AX61,$BB$7:BB61,$BF$7:BF61,$BJ$7:BJ61)</f>
        <v>1362950</v>
      </c>
      <c r="AV61">
        <v>55</v>
      </c>
      <c r="AW61">
        <f t="array" ref="AW61">IFERROR(VLOOKUP(AW$5&amp;$AV61,CHOOSE({1,2},D_技能表CD!$C$2:$C$313&amp;D_技能表CD!$E$2:$E$313,D_技能表CD!$I$2:$I$313),2,FALSE),0)</f>
        <v>19</v>
      </c>
      <c r="AX61">
        <f t="array" aca="1" ref="AX61" ca="1">IFERROR(VLOOKUP(AW$5&amp;$AV61,CHOOSE({1,2},D_技能表CD!$C$2:$C$313&amp;D_技能表CD!$E$2:$E$313,D_技能表CD!$H$2:$H$313),2,FALSE),0)</f>
        <v>50200</v>
      </c>
      <c r="AY61">
        <f t="array" aca="1" ref="AY61" ca="1">IFERROR(VLOOKUP(AW$5&amp;$AV61,CHOOSE({1,2},D_技能表CD!$C$2:$C$313&amp;D_技能表CD!$E$2:$E$313,D_技能表CD!$L$2:$L$313),2,FALSE),0)</f>
        <v>149</v>
      </c>
      <c r="AZ61">
        <f t="array" aca="1" ref="AZ61" ca="1">IFERROR(VLOOKUP(AW$5&amp;$AV61,CHOOSE({1,2},D_技能表CD!$C$2:$C$313&amp;D_技能表CD!$E$2:$E$313,D_技能表CD!$K$2:$K$313),2,FALSE),0)</f>
        <v>267</v>
      </c>
      <c r="BA61">
        <f t="array" ref="BA61">IFERROR(VLOOKUP(BA$5&amp;$AV61,CHOOSE({1,2},D_技能表CD!$C$2:$C$313&amp;D_技能表CD!$E$2:$E$313,D_技能表CD!$I$2:$I$313),2,FALSE),0)</f>
        <v>0</v>
      </c>
      <c r="BB61">
        <f t="array" aca="1" ref="BB61" ca="1">IFERROR(VLOOKUP(BA$5&amp;$AV61,CHOOSE({1,2},D_技能表CD!$C$2:$C$313&amp;D_技能表CD!$E$2:$E$313,D_技能表CD!$H$2:$H$313),2,FALSE),0)</f>
        <v>0</v>
      </c>
      <c r="BC61">
        <f t="array" aca="1" ref="BC61" ca="1">IFERROR(VLOOKUP(BA$5&amp;$AV61,CHOOSE({1,2},D_技能表CD!$C$2:$C$313&amp;D_技能表CD!$E$2:$E$313,D_技能表CD!$L$2:$L$313),2,FALSE),0)</f>
        <v>0</v>
      </c>
      <c r="BD61">
        <f t="array" aca="1" ref="BD61" ca="1">IFERROR(VLOOKUP(BA$5&amp;$AV61,CHOOSE({1,2},D_技能表CD!$C$2:$C$313&amp;D_技能表CD!$E$2:$E$313,D_技能表CD!$K$2:$K$313),2,FALSE),0)</f>
        <v>0</v>
      </c>
      <c r="BE61">
        <f t="array" ref="BE61">IFERROR(VLOOKUP(BE$5&amp;$AV61,CHOOSE({1,2},D_技能表CD!$C$2:$C$313&amp;D_技能表CD!$E$2:$E$313,D_技能表CD!$I$2:$I$313),2,FALSE),0)</f>
        <v>18</v>
      </c>
      <c r="BF61">
        <f t="array" aca="1" ref="BF61" ca="1">IFERROR(VLOOKUP(BE$5&amp;$AV61,CHOOSE({1,2},D_技能表CD!$C$2:$C$313&amp;D_技能表CD!$E$2:$E$313,D_技能表CD!$H$2:$H$313),2,FALSE),0)</f>
        <v>36650</v>
      </c>
      <c r="BG61">
        <f t="array" aca="1" ref="BG61" ca="1">IFERROR(VLOOKUP(BE$5&amp;$AV61,CHOOSE({1,2},D_技能表CD!$C$2:$C$313&amp;D_技能表CD!$E$2:$E$313,D_技能表CD!$L$2:$L$313),2,FALSE),0)</f>
        <v>110</v>
      </c>
      <c r="BH61">
        <f t="array" aca="1" ref="BH61" ca="1">IFERROR(VLOOKUP(BE$5&amp;$AV61,CHOOSE({1,2},D_技能表CD!$C$2:$C$313&amp;D_技能表CD!$E$2:$E$313,D_技能表CD!$K$2:$K$313),2,FALSE),0)</f>
        <v>189</v>
      </c>
      <c r="BI61">
        <f t="array" ref="BI61">IFERROR(VLOOKUP(BI$5&amp;$AV61,CHOOSE({1,2},D_技能表CD!$C$2:$C$313&amp;D_技能表CD!$E$2:$E$313,D_技能表CD!$I$2:$I$313),2,FALSE),0)</f>
        <v>0</v>
      </c>
      <c r="BJ61">
        <f t="array" aca="1" ref="BJ61" ca="1">IFERROR(VLOOKUP(BI$5&amp;$AV61,CHOOSE({1,2},D_技能表CD!$C$2:$C$313&amp;D_技能表CD!$E$2:$E$313,D_技能表CD!$H$2:$H$313),2,FALSE),0)</f>
        <v>0</v>
      </c>
      <c r="BK61">
        <f t="array" aca="1" ref="BK61" ca="1">IFERROR(VLOOKUP(BI$5&amp;$AV61,CHOOSE({1,2},D_技能表CD!$C$2:$C$313&amp;D_技能表CD!$E$2:$E$313,D_技能表CD!$L$2:$L$313),2,FALSE),0)</f>
        <v>0</v>
      </c>
      <c r="BL61">
        <f t="array" aca="1" ref="BL61" ca="1">IFERROR(VLOOKUP(BI$5&amp;$AV61,CHOOSE({1,2},D_技能表CD!$C$2:$C$313&amp;D_技能表CD!$E$2:$E$313,D_技能表CD!$K$2:$K$313),2,FALSE),0)</f>
        <v>0</v>
      </c>
    </row>
    <row r="62" spans="1:64" x14ac:dyDescent="0.15">
      <c r="A62">
        <f t="shared" ca="1" si="0"/>
        <v>8493247</v>
      </c>
      <c r="B62" s="33">
        <f ca="1">SUM($E$7:E62,$I$7:I62,$M$7:M62,$Q$7:Q62,$U$7:U62,$Y$7:Y62,$AC$7:AC62,$AG$7:AG62,$AK$7:AK62,$AO$7:AO62)</f>
        <v>7050047</v>
      </c>
      <c r="C62">
        <v>56</v>
      </c>
      <c r="D62">
        <f t="array" aca="1" ref="D62" ca="1">IFERROR(VLOOKUP($D$5&amp;C62,CHOOSE({1,2},D_技能表!$C$2:$C$1210&amp;D_技能表!$E$2:$E$1210,D_技能表!$I$2:$I$1210),2,FALSE),0)</f>
        <v>0</v>
      </c>
      <c r="E62">
        <f t="array" aca="1" ref="E62" ca="1">IFERROR(VLOOKUP($D$5&amp;$C62,CHOOSE({1,2},D_技能表!$C$2:$C$1210&amp;D_技能表!$E$2:$E$1210,D_技能表!$N$2:$N$1210),2,FALSE),0)</f>
        <v>0</v>
      </c>
      <c r="F62">
        <f t="array" aca="1" ref="F62" ca="1">IFERROR(VLOOKUP($D$5&amp;$C62,CHOOSE({1,2},D_技能表!$C$2:$C$1210&amp;D_技能表!$E$2:$E$1210,D_技能表!$W$2:$W$1210),2,FALSE),0)</f>
        <v>0</v>
      </c>
      <c r="G62">
        <f t="array" aca="1" ref="G62" ca="1">IFERROR(VLOOKUP($D$5&amp;$C62,CHOOSE({1,2},D_技能表!$C$2:$C$1210&amp;D_技能表!$E$2:$E$1210,D_技能表!$Z$2:$Z$1210),2,FALSE),0)</f>
        <v>0</v>
      </c>
      <c r="H62">
        <f t="array" aca="1" ref="H62" ca="1">IFERROR(VLOOKUP($H$5&amp;$C62,CHOOSE({1,2},D_技能表!$C$2:$C$1210&amp;D_技能表!$E$2:$E$1210,D_技能表!$I$2:$I$1210),2,FALSE),0)</f>
        <v>34</v>
      </c>
      <c r="I62">
        <f t="array" aca="1" ref="I62" ca="1">IFERROR(VLOOKUP($H$5&amp;$C62,CHOOSE({1,2},D_技能表!$C$2:$C$1210&amp;D_技能表!$E$2:$E$1210,D_技能表!$N$2:$N$1210),2,FALSE),0)</f>
        <v>69428</v>
      </c>
      <c r="J62">
        <f t="array" aca="1" ref="J62" ca="1">IFERROR(VLOOKUP($H$5&amp;$C62,CHOOSE({1,2},D_技能表!$C$2:$C$1210&amp;D_技能表!$E$2:$E$1210,D_技能表!$W$2:$W$1210),2,FALSE),0)</f>
        <v>34</v>
      </c>
      <c r="K62">
        <f t="array" aca="1" ref="K62" ca="1">IFERROR(VLOOKUP($H$5&amp;$C62,CHOOSE({1,2},D_技能表!$C$2:$C$1210&amp;D_技能表!$E$2:$E$1210,D_技能表!$Z$2:$Z$1210),2,FALSE),0)</f>
        <v>14</v>
      </c>
      <c r="L62">
        <f t="array" aca="1" ref="L62" ca="1">IFERROR(VLOOKUP($L$5&amp;$C62,CHOOSE({1,2},D_技能表!$C$2:$C$1210&amp;D_技能表!$E$2:$E$1210,D_技能表!$I$2:$I$1210),2,FALSE),0)</f>
        <v>34</v>
      </c>
      <c r="M62">
        <f t="array" aca="1" ref="M62" ca="1">IFERROR(VLOOKUP($L$5&amp;$C62,CHOOSE({1,2},D_技能表!$C$2:$C$1210&amp;D_技能表!$E$2:$E$1210,D_技能表!$N$2:$N$1210),2,FALSE),0)</f>
        <v>69428</v>
      </c>
      <c r="N62">
        <f t="array" aca="1" ref="N62" ca="1">IFERROR(VLOOKUP($L$5&amp;$C62,CHOOSE({1,2},D_技能表!$C$2:$C$1210&amp;D_技能表!$E$2:$E$1210,D_技能表!$W$2:$W$1210),2,FALSE),0)</f>
        <v>34</v>
      </c>
      <c r="O62">
        <f t="array" aca="1" ref="O62" ca="1">IFERROR(VLOOKUP($L$5&amp;$C62,CHOOSE({1,2},D_技能表!$C$2:$C$1210&amp;D_技能表!$E$2:$E$1210,D_技能表!$Z$2:$Z$1210),2,FALSE),0)</f>
        <v>14</v>
      </c>
      <c r="P62">
        <f t="array" aca="1" ref="P62" ca="1">IFERROR(VLOOKUP($P$5&amp;$C62,CHOOSE({1,2},D_技能表!$C$2:$C$1210&amp;D_技能表!$E$2:$E$1210,D_技能表!$I$2:$I$1210),2,FALSE),0)</f>
        <v>0</v>
      </c>
      <c r="Q62">
        <f t="array" aca="1" ref="Q62" ca="1">IFERROR(VLOOKUP($P$5&amp;$C62,CHOOSE({1,2},D_技能表!$C$2:$C$1210&amp;D_技能表!$E$2:$E$1210,D_技能表!$N$2:$N$1210),2,FALSE),0)</f>
        <v>0</v>
      </c>
      <c r="R62">
        <f t="array" aca="1" ref="R62" ca="1">IFERROR(VLOOKUP($P$5&amp;$C62,CHOOSE({1,2},D_技能表!$C$2:$C$1210&amp;D_技能表!$E$2:$E$1210,D_技能表!$W$2:$W$1210),2,FALSE),0)</f>
        <v>0</v>
      </c>
      <c r="S62">
        <f t="array" aca="1" ref="S62" ca="1">IFERROR(VLOOKUP($P$5&amp;$C62,CHOOSE({1,2},D_技能表!$C$2:$C$1210&amp;D_技能表!$E$2:$E$1210,D_技能表!$Z$2:$Z$1210),2,FALSE),0)</f>
        <v>0</v>
      </c>
      <c r="T62">
        <f t="array" aca="1" ref="T62" ca="1">IFERROR(VLOOKUP($T$5&amp;$C62,CHOOSE({1,2},D_技能表!$C$2:$C$1210&amp;D_技能表!$E$2:$E$1210,D_技能表!$I$2:$I$1210),2,FALSE),0)</f>
        <v>33</v>
      </c>
      <c r="U62">
        <f t="array" aca="1" ref="U62" ca="1">IFERROR(VLOOKUP($T$5&amp;$C62,CHOOSE({1,2},D_技能表!$C$2:$C$1210&amp;D_技能表!$E$2:$E$1210,D_技能表!$N$2:$N$1210),2,FALSE),0)</f>
        <v>108226</v>
      </c>
      <c r="V62">
        <f t="array" aca="1" ref="V62" ca="1">IFERROR(VLOOKUP($T$5&amp;$C62,CHOOSE({1,2},D_技能表!$C$2:$C$1210&amp;D_技能表!$E$2:$E$1210,D_技能表!$W$2:$W$1210),2,FALSE),0)</f>
        <v>53</v>
      </c>
      <c r="W62">
        <f t="array" aca="1" ref="W62" ca="1">IFERROR(VLOOKUP($T$5&amp;$C62,CHOOSE({1,2},D_技能表!$C$2:$C$1210&amp;D_技能表!$E$2:$E$1210,D_技能表!$Z$2:$Z$1210),2,FALSE),0)</f>
        <v>22</v>
      </c>
      <c r="X62">
        <f t="array" aca="1" ref="X62" ca="1">IFERROR(VLOOKUP($X$5&amp;$C62,CHOOSE({1,2},D_技能表!$C$2:$C$1210&amp;D_技能表!$E$2:$E$1210,D_技能表!$I$2:$I$1210),2,FALSE),0)</f>
        <v>34</v>
      </c>
      <c r="Y62">
        <f t="array" aca="1" ref="Y62" ca="1">IFERROR(VLOOKUP($X$5&amp;$C62,CHOOSE({1,2},D_技能表!$C$2:$C$1210&amp;D_技能表!$E$2:$E$1210,D_技能表!$N$2:$N$1210),2,FALSE),0)</f>
        <v>153150</v>
      </c>
      <c r="Z62">
        <f t="array" aca="1" ref="Z62" ca="1">IFERROR(VLOOKUP($X$5&amp;$C62,CHOOSE({1,2},D_技能表!$C$2:$C$1210&amp;D_技能表!$E$2:$E$1210,D_技能表!$W$2:$W$1210),2,FALSE),0)</f>
        <v>75</v>
      </c>
      <c r="AA62">
        <f t="array" aca="1" ref="AA62" ca="1">IFERROR(VLOOKUP($X$5&amp;$C62,CHOOSE({1,2},D_技能表!$C$2:$C$1210&amp;D_技能表!$E$2:$E$1210,D_技能表!$Z$2:$Z$1210),2,FALSE),0)</f>
        <v>30</v>
      </c>
      <c r="AB62">
        <f t="array" aca="1" ref="AB62" ca="1">IFERROR(VLOOKUP($AB$5&amp;$C62,CHOOSE({1,2},D_技能表!$C$2:$C$1210&amp;D_技能表!$E$2:$E$1210,D_技能表!$I$2:$I$1210),2,FALSE),0)</f>
        <v>34</v>
      </c>
      <c r="AC62">
        <f t="array" aca="1" ref="AC62" ca="1">IFERROR(VLOOKUP($AB$5&amp;$C62,CHOOSE({1,2},D_技能表!$C$2:$C$1210&amp;D_技能表!$E$2:$E$1210,D_技能表!$N$2:$N$1210),2,FALSE),0)</f>
        <v>73512</v>
      </c>
      <c r="AD62">
        <f t="array" aca="1" ref="AD62" ca="1">IFERROR(VLOOKUP($AB$5&amp;$C62,CHOOSE({1,2},D_技能表!$C$2:$C$1210&amp;D_技能表!$E$2:$E$1210,D_技能表!$W$2:$W$1210),2,FALSE),0)</f>
        <v>36</v>
      </c>
      <c r="AE62">
        <f t="array" aca="1" ref="AE62" ca="1">IFERROR(VLOOKUP($AB$5&amp;$C62,CHOOSE({1,2},D_技能表!$C$2:$C$1210&amp;D_技能表!$E$2:$E$1210,D_技能表!$Z$2:$Z$1210),2,FALSE),0)</f>
        <v>15</v>
      </c>
      <c r="AF62">
        <f t="array" aca="1" ref="AF62" ca="1">IFERROR(VLOOKUP($AF$5&amp;$C62,CHOOSE({1,2},D_技能表!$C$2:$C$1210&amp;D_技能表!$E$2:$E$1210,D_技能表!$I$2:$I$1210),2,FALSE),0)</f>
        <v>33</v>
      </c>
      <c r="AG62">
        <f t="array" aca="1" ref="AG62" ca="1">IFERROR(VLOOKUP($AF$5&amp;$C62,CHOOSE({1,2},D_技能表!$C$2:$C$1210&amp;D_技能表!$E$2:$E$1210,D_技能表!$N$2:$N$1210),2,FALSE),0)</f>
        <v>61260</v>
      </c>
      <c r="AH62">
        <f t="array" aca="1" ref="AH62" ca="1">IFERROR(VLOOKUP($AF$5&amp;$C62,CHOOSE({1,2},D_技能表!$C$2:$C$1210&amp;D_技能表!$E$2:$E$1210,D_技能表!$W$2:$W$1210),2,FALSE),0)</f>
        <v>30</v>
      </c>
      <c r="AI62">
        <f t="array" aca="1" ref="AI62" ca="1">IFERROR(VLOOKUP($AF$5&amp;$C62,CHOOSE({1,2},D_技能表!$C$2:$C$1210&amp;D_技能表!$E$2:$E$1210,D_技能表!$Z$2:$Z$1210),2,FALSE),0)</f>
        <v>12</v>
      </c>
      <c r="AJ62">
        <f t="array" aca="1" ref="AJ62" ca="1">IFERROR(VLOOKUP($AJ$5&amp;$C62,CHOOSE({1,2},D_技能表!$C$2:$C$1210&amp;D_技能表!$E$2:$E$1210,D_技能表!$I$2:$I$1210),2,FALSE),0)</f>
        <v>33</v>
      </c>
      <c r="AK62">
        <f t="array" aca="1" ref="AK62" ca="1">IFERROR(VLOOKUP($AJ$5&amp;$C62,CHOOSE({1,2},D_技能表!$C$2:$C$1210&amp;D_技能表!$E$2:$E$1210,D_技能表!$N$2:$N$1210),2,FALSE),0)</f>
        <v>61260</v>
      </c>
      <c r="AL62">
        <f t="array" aca="1" ref="AL62" ca="1">IFERROR(VLOOKUP($AJ$5&amp;$C62,CHOOSE({1,2},D_技能表!$C$2:$C$1210&amp;D_技能表!$E$2:$E$1210,D_技能表!$W$2:$W$1210),2,FALSE),0)</f>
        <v>30</v>
      </c>
      <c r="AM62">
        <f t="array" aca="1" ref="AM62" ca="1">IFERROR(VLOOKUP($AJ$5&amp;$C62,CHOOSE({1,2},D_技能表!$C$2:$C$1210&amp;D_技能表!$E$2:$E$1210,D_技能表!$Z$2:$Z$1210),2,FALSE),0)</f>
        <v>12</v>
      </c>
      <c r="AN62">
        <f t="array" aca="1" ref="AN62" ca="1">IFERROR(VLOOKUP($AN$5&amp;$C62,CHOOSE({1,2},D_技能表!$C$2:$C$1210&amp;D_技能表!$E$2:$E$1210,D_技能表!$I$2:$I$1210),2,FALSE),0)</f>
        <v>32</v>
      </c>
      <c r="AO62">
        <f t="array" aca="1" ref="AO62" ca="1">IFERROR(VLOOKUP($AN$5&amp;$C62,CHOOSE({1,2},D_技能表!$C$2:$C$1210&amp;D_技能表!$E$2:$E$1210,D_技能表!$N$2:$N$1210),2,FALSE),0)</f>
        <v>104142</v>
      </c>
      <c r="AP62">
        <f t="array" aca="1" ref="AP62" ca="1">IFERROR(VLOOKUP($AN$5&amp;$C62,CHOOSE({1,2},D_技能表!$C$2:$C$1210&amp;D_技能表!$E$2:$E$1210,D_技能表!$W$2:$W$1210),2,FALSE),0)</f>
        <v>51</v>
      </c>
      <c r="AQ62">
        <f t="array" aca="1" ref="AQ62" ca="1">IFERROR(VLOOKUP($AN$5&amp;$C62,CHOOSE({1,2},D_技能表!$C$2:$C$1210&amp;D_技能表!$E$2:$E$1210,D_技能表!$Z$2:$Z$1210),2,FALSE),0)</f>
        <v>21</v>
      </c>
      <c r="AR62" s="11">
        <f ca="1">SUM($G$7:G63,$K$7:K63,$O$7:O63,$S$7:S63,$W$7:W63,$AA$7:AA63,$AE$7:AE63,$AI$7:AI63,$AM$7:AM63,$AQ$7:AQ63)</f>
        <v>2068</v>
      </c>
      <c r="AS62">
        <f ca="1">SUM($F$7:F63,$J$7:J63,$N$7:N63,$R$7:R63,$V$7:V63,$Z$7:Z63,$AD$7:AD63,$AH$7:AH63,$AL$7:AL63,$AP$7:AP63)</f>
        <v>6492</v>
      </c>
      <c r="AT62">
        <f t="shared" ca="1" si="1"/>
        <v>343</v>
      </c>
      <c r="AU62" s="33">
        <f ca="1">SUM($AX$7:AX62,$BB$7:BB62,$BF$7:BF62,$BJ$7:BJ62)</f>
        <v>1443200</v>
      </c>
      <c r="AV62">
        <v>56</v>
      </c>
      <c r="AW62">
        <f t="array" ref="AW62">IFERROR(VLOOKUP(AW$5&amp;$AV62,CHOOSE({1,2},D_技能表CD!$C$2:$C$313&amp;D_技能表CD!$E$2:$E$313,D_技能表CD!$I$2:$I$313),2,FALSE),0)</f>
        <v>0</v>
      </c>
      <c r="AX62">
        <f t="array" aca="1" ref="AX62" ca="1">IFERROR(VLOOKUP(AW$5&amp;$AV62,CHOOSE({1,2},D_技能表CD!$C$2:$C$313&amp;D_技能表CD!$E$2:$E$313,D_技能表CD!$H$2:$H$313),2,FALSE),0)</f>
        <v>0</v>
      </c>
      <c r="AY62">
        <f t="array" aca="1" ref="AY62" ca="1">IFERROR(VLOOKUP(AW$5&amp;$AV62,CHOOSE({1,2},D_技能表CD!$C$2:$C$313&amp;D_技能表CD!$E$2:$E$313,D_技能表CD!$L$2:$L$313),2,FALSE),0)</f>
        <v>0</v>
      </c>
      <c r="AZ62">
        <f t="array" aca="1" ref="AZ62" ca="1">IFERROR(VLOOKUP(AW$5&amp;$AV62,CHOOSE({1,2},D_技能表CD!$C$2:$C$313&amp;D_技能表CD!$E$2:$E$313,D_技能表CD!$K$2:$K$313),2,FALSE),0)</f>
        <v>0</v>
      </c>
      <c r="BA62">
        <f t="array" ref="BA62">IFERROR(VLOOKUP(BA$5&amp;$AV62,CHOOSE({1,2},D_技能表CD!$C$2:$C$313&amp;D_技能表CD!$E$2:$E$313,D_技能表CD!$I$2:$I$313),2,FALSE),0)</f>
        <v>0</v>
      </c>
      <c r="BB62">
        <f t="array" aca="1" ref="BB62" ca="1">IFERROR(VLOOKUP(BA$5&amp;$AV62,CHOOSE({1,2},D_技能表CD!$C$2:$C$313&amp;D_技能表CD!$E$2:$E$313,D_技能表CD!$H$2:$H$313),2,FALSE),0)</f>
        <v>0</v>
      </c>
      <c r="BC62">
        <f t="array" aca="1" ref="BC62" ca="1">IFERROR(VLOOKUP(BA$5&amp;$AV62,CHOOSE({1,2},D_技能表CD!$C$2:$C$313&amp;D_技能表CD!$E$2:$E$313,D_技能表CD!$L$2:$L$313),2,FALSE),0)</f>
        <v>0</v>
      </c>
      <c r="BD62">
        <f t="array" aca="1" ref="BD62" ca="1">IFERROR(VLOOKUP(BA$5&amp;$AV62,CHOOSE({1,2},D_技能表CD!$C$2:$C$313&amp;D_技能表CD!$E$2:$E$313,D_技能表CD!$K$2:$K$313),2,FALSE),0)</f>
        <v>0</v>
      </c>
      <c r="BE62">
        <f t="array" ref="BE62">IFERROR(VLOOKUP(BE$5&amp;$AV62,CHOOSE({1,2},D_技能表CD!$C$2:$C$313&amp;D_技能表CD!$E$2:$E$313,D_技能表CD!$I$2:$I$313),2,FALSE),0)</f>
        <v>0</v>
      </c>
      <c r="BF62">
        <f t="array" aca="1" ref="BF62" ca="1">IFERROR(VLOOKUP(BE$5&amp;$AV62,CHOOSE({1,2},D_技能表CD!$C$2:$C$313&amp;D_技能表CD!$E$2:$E$313,D_技能表CD!$H$2:$H$313),2,FALSE),0)</f>
        <v>0</v>
      </c>
      <c r="BG62">
        <f t="array" aca="1" ref="BG62" ca="1">IFERROR(VLOOKUP(BE$5&amp;$AV62,CHOOSE({1,2},D_技能表CD!$C$2:$C$313&amp;D_技能表CD!$E$2:$E$313,D_技能表CD!$L$2:$L$313),2,FALSE),0)</f>
        <v>0</v>
      </c>
      <c r="BH62">
        <f t="array" aca="1" ref="BH62" ca="1">IFERROR(VLOOKUP(BE$5&amp;$AV62,CHOOSE({1,2},D_技能表CD!$C$2:$C$313&amp;D_技能表CD!$E$2:$E$313,D_技能表CD!$K$2:$K$313),2,FALSE),0)</f>
        <v>0</v>
      </c>
      <c r="BI62">
        <f t="array" ref="BI62">IFERROR(VLOOKUP(BI$5&amp;$AV62,CHOOSE({1,2},D_技能表CD!$C$2:$C$313&amp;D_技能表CD!$E$2:$E$313,D_技能表CD!$I$2:$I$313),2,FALSE),0)</f>
        <v>18</v>
      </c>
      <c r="BJ62">
        <f t="array" aca="1" ref="BJ62" ca="1">IFERROR(VLOOKUP(BI$5&amp;$AV62,CHOOSE({1,2},D_技能表CD!$C$2:$C$313&amp;D_技能表CD!$E$2:$E$313,D_技能表CD!$H$2:$H$313),2,FALSE),0)</f>
        <v>80250</v>
      </c>
      <c r="BK62">
        <f t="array" aca="1" ref="BK62" ca="1">IFERROR(VLOOKUP(BI$5&amp;$AV62,CHOOSE({1,2},D_技能表CD!$C$2:$C$313&amp;D_技能表CD!$E$2:$E$313,D_技能表CD!$L$2:$L$313),2,FALSE),0)</f>
        <v>241</v>
      </c>
      <c r="BL62">
        <f t="array" aca="1" ref="BL62" ca="1">IFERROR(VLOOKUP(BI$5&amp;$AV62,CHOOSE({1,2},D_技能表CD!$C$2:$C$313&amp;D_技能表CD!$E$2:$E$313,D_技能表CD!$K$2:$K$313),2,FALSE),0)</f>
        <v>414</v>
      </c>
    </row>
    <row r="63" spans="1:64" x14ac:dyDescent="0.15">
      <c r="A63">
        <f t="shared" ca="1" si="0"/>
        <v>9297443</v>
      </c>
      <c r="B63" s="33">
        <f ca="1">SUM($E$7:E63,$I$7:I63,$M$7:M63,$Q$7:Q63,$U$7:U63,$Y$7:Y63,$AC$7:AC63,$AG$7:AG63,$AK$7:AK63,$AO$7:AO63)</f>
        <v>7757793</v>
      </c>
      <c r="C63">
        <v>57</v>
      </c>
      <c r="D63">
        <f t="array" aca="1" ref="D63" ca="1">IFERROR(VLOOKUP($D$5&amp;C63,CHOOSE({1,2},D_技能表!$C$2:$C$1210&amp;D_技能表!$E$2:$E$1210,D_技能表!$I$2:$I$1210),2,FALSE),0)</f>
        <v>35</v>
      </c>
      <c r="E63">
        <f t="array" aca="1" ref="E63" ca="1">IFERROR(VLOOKUP($D$5&amp;$C63,CHOOSE({1,2},D_技能表!$C$2:$C$1210&amp;D_技能表!$E$2:$E$1210,D_技能表!$N$2:$N$1210),2,FALSE),0)</f>
        <v>177996</v>
      </c>
      <c r="F63">
        <f t="array" aca="1" ref="F63" ca="1">IFERROR(VLOOKUP($D$5&amp;$C63,CHOOSE({1,2},D_技能表!$C$2:$C$1210&amp;D_技能表!$E$2:$E$1210,D_技能表!$W$2:$W$1210),2,FALSE),0)</f>
        <v>84</v>
      </c>
      <c r="G63">
        <f t="array" aca="1" ref="G63" ca="1">IFERROR(VLOOKUP($D$5&amp;$C63,CHOOSE({1,2},D_技能表!$C$2:$C$1210&amp;D_技能表!$E$2:$E$1210,D_技能表!$Z$2:$Z$1210),2,FALSE),0)</f>
        <v>34</v>
      </c>
      <c r="H63">
        <f t="array" aca="1" ref="H63" ca="1">IFERROR(VLOOKUP($H$5&amp;$C63,CHOOSE({1,2},D_技能表!$C$2:$C$1210&amp;D_技能表!$E$2:$E$1210,D_技能表!$I$2:$I$1210),2,FALSE),0)</f>
        <v>35</v>
      </c>
      <c r="I63">
        <f t="array" aca="1" ref="I63" ca="1">IFERROR(VLOOKUP($H$5&amp;$C63,CHOOSE({1,2},D_技能表!$C$2:$C$1210&amp;D_技能表!$E$2:$E$1210,D_技能表!$N$2:$N$1210),2,FALSE),0)</f>
        <v>76284</v>
      </c>
      <c r="J63">
        <f t="array" aca="1" ref="J63" ca="1">IFERROR(VLOOKUP($H$5&amp;$C63,CHOOSE({1,2},D_技能表!$C$2:$C$1210&amp;D_技能表!$E$2:$E$1210,D_技能表!$W$2:$W$1210),2,FALSE),0)</f>
        <v>36</v>
      </c>
      <c r="K63">
        <f t="array" aca="1" ref="K63" ca="1">IFERROR(VLOOKUP($H$5&amp;$C63,CHOOSE({1,2},D_技能表!$C$2:$C$1210&amp;D_技能表!$E$2:$E$1210,D_技能表!$Z$2:$Z$1210),2,FALSE),0)</f>
        <v>15</v>
      </c>
      <c r="L63">
        <f t="array" aca="1" ref="L63" ca="1">IFERROR(VLOOKUP($L$5&amp;$C63,CHOOSE({1,2},D_技能表!$C$2:$C$1210&amp;D_技能表!$E$2:$E$1210,D_技能表!$I$2:$I$1210),2,FALSE),0)</f>
        <v>35</v>
      </c>
      <c r="M63">
        <f t="array" aca="1" ref="M63" ca="1">IFERROR(VLOOKUP($L$5&amp;$C63,CHOOSE({1,2},D_技能表!$C$2:$C$1210&amp;D_技能表!$E$2:$E$1210,D_技能表!$N$2:$N$1210),2,FALSE),0)</f>
        <v>76284</v>
      </c>
      <c r="N63">
        <f t="array" aca="1" ref="N63" ca="1">IFERROR(VLOOKUP($L$5&amp;$C63,CHOOSE({1,2},D_技能表!$C$2:$C$1210&amp;D_技能表!$E$2:$E$1210,D_技能表!$W$2:$W$1210),2,FALSE),0)</f>
        <v>36</v>
      </c>
      <c r="O63">
        <f t="array" aca="1" ref="O63" ca="1">IFERROR(VLOOKUP($L$5&amp;$C63,CHOOSE({1,2},D_技能表!$C$2:$C$1210&amp;D_技能表!$E$2:$E$1210,D_技能表!$Z$2:$Z$1210),2,FALSE),0)</f>
        <v>15</v>
      </c>
      <c r="P63">
        <f t="array" aca="1" ref="P63" ca="1">IFERROR(VLOOKUP($P$5&amp;$C63,CHOOSE({1,2},D_技能表!$C$2:$C$1210&amp;D_技能表!$E$2:$E$1210,D_技能表!$I$2:$I$1210),2,FALSE),0)</f>
        <v>34</v>
      </c>
      <c r="Q63">
        <f t="array" aca="1" ref="Q63" ca="1">IFERROR(VLOOKUP($P$5&amp;$C63,CHOOSE({1,2},D_技能表!$C$2:$C$1210&amp;D_技能表!$E$2:$E$1210,D_技能表!$N$2:$N$1210),2,FALSE),0)</f>
        <v>72046</v>
      </c>
      <c r="R63">
        <f t="array" aca="1" ref="R63" ca="1">IFERROR(VLOOKUP($P$5&amp;$C63,CHOOSE({1,2},D_技能表!$C$2:$C$1210&amp;D_技能表!$E$2:$E$1210,D_技能表!$W$2:$W$1210),2,FALSE),0)</f>
        <v>34</v>
      </c>
      <c r="S63">
        <f t="array" aca="1" ref="S63" ca="1">IFERROR(VLOOKUP($P$5&amp;$C63,CHOOSE({1,2},D_技能表!$C$2:$C$1210&amp;D_技能表!$E$2:$E$1210,D_技能表!$Z$2:$Z$1210),2,FALSE),0)</f>
        <v>14</v>
      </c>
      <c r="T63">
        <f t="array" aca="1" ref="T63" ca="1">IFERROR(VLOOKUP($T$5&amp;$C63,CHOOSE({1,2},D_技能表!$C$2:$C$1210&amp;D_技能表!$E$2:$E$1210,D_技能表!$I$2:$I$1210),2,FALSE),0)</f>
        <v>34</v>
      </c>
      <c r="U63">
        <f t="array" aca="1" ref="U63" ca="1">IFERROR(VLOOKUP($T$5&amp;$C63,CHOOSE({1,2},D_技能表!$C$2:$C$1210&amp;D_技能表!$E$2:$E$1210,D_技能表!$N$2:$N$1210),2,FALSE),0)</f>
        <v>120783</v>
      </c>
      <c r="V63">
        <f t="array" aca="1" ref="V63" ca="1">IFERROR(VLOOKUP($T$5&amp;$C63,CHOOSE({1,2},D_技能表!$C$2:$C$1210&amp;D_技能表!$E$2:$E$1210,D_技能表!$W$2:$W$1210),2,FALSE),0)</f>
        <v>57</v>
      </c>
      <c r="W63">
        <f t="array" aca="1" ref="W63" ca="1">IFERROR(VLOOKUP($T$5&amp;$C63,CHOOSE({1,2},D_技能表!$C$2:$C$1210&amp;D_技能表!$E$2:$E$1210,D_技能表!$Z$2:$Z$1210),2,FALSE),0)</f>
        <v>23</v>
      </c>
      <c r="X63">
        <f t="array" aca="1" ref="X63" ca="1">IFERROR(VLOOKUP($X$5&amp;$C63,CHOOSE({1,2},D_技能表!$C$2:$C$1210&amp;D_技能表!$E$2:$E$1210,D_技能表!$I$2:$I$1210),2,FALSE),0)</f>
        <v>0</v>
      </c>
      <c r="Y63">
        <f t="array" aca="1" ref="Y63" ca="1">IFERROR(VLOOKUP($X$5&amp;$C63,CHOOSE({1,2},D_技能表!$C$2:$C$1210&amp;D_技能表!$E$2:$E$1210,D_技能表!$N$2:$N$1210),2,FALSE),0)</f>
        <v>0</v>
      </c>
      <c r="Z63">
        <f t="array" aca="1" ref="Z63" ca="1">IFERROR(VLOOKUP($X$5&amp;$C63,CHOOSE({1,2},D_技能表!$C$2:$C$1210&amp;D_技能表!$E$2:$E$1210,D_技能表!$W$2:$W$1210),2,FALSE),0)</f>
        <v>0</v>
      </c>
      <c r="AA63">
        <f t="array" aca="1" ref="AA63" ca="1">IFERROR(VLOOKUP($X$5&amp;$C63,CHOOSE({1,2},D_技能表!$C$2:$C$1210&amp;D_技能表!$E$2:$E$1210,D_技能表!$Z$2:$Z$1210),2,FALSE),0)</f>
        <v>0</v>
      </c>
      <c r="AB63">
        <f t="array" aca="1" ref="AB63" ca="1">IFERROR(VLOOKUP($AB$5&amp;$C63,CHOOSE({1,2},D_技能表!$C$2:$C$1210&amp;D_技能表!$E$2:$E$1210,D_技能表!$I$2:$I$1210),2,FALSE),0)</f>
        <v>0</v>
      </c>
      <c r="AC63">
        <f t="array" aca="1" ref="AC63" ca="1">IFERROR(VLOOKUP($AB$5&amp;$C63,CHOOSE({1,2},D_技能表!$C$2:$C$1210&amp;D_技能表!$E$2:$E$1210,D_技能表!$N$2:$N$1210),2,FALSE),0)</f>
        <v>0</v>
      </c>
      <c r="AD63">
        <f t="array" aca="1" ref="AD63" ca="1">IFERROR(VLOOKUP($AB$5&amp;$C63,CHOOSE({1,2},D_技能表!$C$2:$C$1210&amp;D_技能表!$E$2:$E$1210,D_技能表!$W$2:$W$1210),2,FALSE),0)</f>
        <v>0</v>
      </c>
      <c r="AE63">
        <f t="array" aca="1" ref="AE63" ca="1">IFERROR(VLOOKUP($AB$5&amp;$C63,CHOOSE({1,2},D_技能表!$C$2:$C$1210&amp;D_技能表!$E$2:$E$1210,D_技能表!$Z$2:$Z$1210),2,FALSE),0)</f>
        <v>0</v>
      </c>
      <c r="AF63">
        <f t="array" aca="1" ref="AF63" ca="1">IFERROR(VLOOKUP($AF$5&amp;$C63,CHOOSE({1,2},D_技能表!$C$2:$C$1210&amp;D_技能表!$E$2:$E$1210,D_技能表!$I$2:$I$1210),2,FALSE),0)</f>
        <v>34</v>
      </c>
      <c r="AG63">
        <f t="array" aca="1" ref="AG63" ca="1">IFERROR(VLOOKUP($AF$5&amp;$C63,CHOOSE({1,2},D_技能表!$C$2:$C$1210&amp;D_技能表!$E$2:$E$1210,D_技能表!$N$2:$N$1210),2,FALSE),0)</f>
        <v>67808</v>
      </c>
      <c r="AH63">
        <f t="array" aca="1" ref="AH63" ca="1">IFERROR(VLOOKUP($AF$5&amp;$C63,CHOOSE({1,2},D_技能表!$C$2:$C$1210&amp;D_技能表!$E$2:$E$1210,D_技能表!$W$2:$W$1210),2,FALSE),0)</f>
        <v>32</v>
      </c>
      <c r="AI63">
        <f t="array" aca="1" ref="AI63" ca="1">IFERROR(VLOOKUP($AF$5&amp;$C63,CHOOSE({1,2},D_技能表!$C$2:$C$1210&amp;D_技能表!$E$2:$E$1210,D_技能表!$Z$2:$Z$1210),2,FALSE),0)</f>
        <v>13</v>
      </c>
      <c r="AJ63">
        <f t="array" aca="1" ref="AJ63" ca="1">IFERROR(VLOOKUP($AJ$5&amp;$C63,CHOOSE({1,2},D_技能表!$C$2:$C$1210&amp;D_技能表!$E$2:$E$1210,D_技能表!$I$2:$I$1210),2,FALSE),0)</f>
        <v>0</v>
      </c>
      <c r="AK63">
        <f t="array" aca="1" ref="AK63" ca="1">IFERROR(VLOOKUP($AJ$5&amp;$C63,CHOOSE({1,2},D_技能表!$C$2:$C$1210&amp;D_技能表!$E$2:$E$1210,D_技能表!$N$2:$N$1210),2,FALSE),0)</f>
        <v>0</v>
      </c>
      <c r="AL63">
        <f t="array" aca="1" ref="AL63" ca="1">IFERROR(VLOOKUP($AJ$5&amp;$C63,CHOOSE({1,2},D_技能表!$C$2:$C$1210&amp;D_技能表!$E$2:$E$1210,D_技能表!$W$2:$W$1210),2,FALSE),0)</f>
        <v>0</v>
      </c>
      <c r="AM63">
        <f t="array" aca="1" ref="AM63" ca="1">IFERROR(VLOOKUP($AJ$5&amp;$C63,CHOOSE({1,2},D_技能表!$C$2:$C$1210&amp;D_技能表!$E$2:$E$1210,D_技能表!$Z$2:$Z$1210),2,FALSE),0)</f>
        <v>0</v>
      </c>
      <c r="AN63">
        <f t="array" aca="1" ref="AN63" ca="1">IFERROR(VLOOKUP($AN$5&amp;$C63,CHOOSE({1,2},D_技能表!$C$2:$C$1210&amp;D_技能表!$E$2:$E$1210,D_技能表!$I$2:$I$1210),2,FALSE),0)</f>
        <v>33</v>
      </c>
      <c r="AO63">
        <f t="array" aca="1" ref="AO63" ca="1">IFERROR(VLOOKUP($AN$5&amp;$C63,CHOOSE({1,2},D_技能表!$C$2:$C$1210&amp;D_技能表!$E$2:$E$1210,D_技能表!$N$2:$N$1210),2,FALSE),0)</f>
        <v>116545</v>
      </c>
      <c r="AP63">
        <f t="array" aca="1" ref="AP63" ca="1">IFERROR(VLOOKUP($AN$5&amp;$C63,CHOOSE({1,2},D_技能表!$C$2:$C$1210&amp;D_技能表!$E$2:$E$1210,D_技能表!$W$2:$W$1210),2,FALSE),0)</f>
        <v>55</v>
      </c>
      <c r="AQ63">
        <f t="array" aca="1" ref="AQ63" ca="1">IFERROR(VLOOKUP($AN$5&amp;$C63,CHOOSE({1,2},D_技能表!$C$2:$C$1210&amp;D_技能表!$E$2:$E$1210,D_技能表!$Z$2:$Z$1210),2,FALSE),0)</f>
        <v>22</v>
      </c>
      <c r="AR63" s="11">
        <f ca="1">SUM($G$7:G64,$K$7:K64,$O$7:O64,$S$7:S64,$W$7:W64,$AA$7:AA64,$AE$7:AE64,$AI$7:AI64,$AM$7:AM64,$AQ$7:AQ64)</f>
        <v>2218</v>
      </c>
      <c r="AS63">
        <f ca="1">SUM($F$7:F64,$J$7:J64,$N$7:N64,$R$7:R64,$V$7:V64,$Z$7:Z64,$AD$7:AD64,$AH$7:AH64,$AL$7:AL64,$AP$7:AP64)</f>
        <v>6861</v>
      </c>
      <c r="AT63">
        <f t="shared" ca="1" si="1"/>
        <v>334</v>
      </c>
      <c r="AU63" s="33">
        <f ca="1">SUM($AX$7:AX63,$BB$7:BB63,$BF$7:BF63,$BJ$7:BJ63)</f>
        <v>1539650</v>
      </c>
      <c r="AV63">
        <v>57</v>
      </c>
      <c r="AW63">
        <f t="array" ref="AW63">IFERROR(VLOOKUP(AW$5&amp;$AV63,CHOOSE({1,2},D_技能表CD!$C$2:$C$313&amp;D_技能表CD!$E$2:$E$313,D_技能表CD!$I$2:$I$313),2,FALSE),0)</f>
        <v>0</v>
      </c>
      <c r="AX63">
        <f t="array" aca="1" ref="AX63" ca="1">IFERROR(VLOOKUP(AW$5&amp;$AV63,CHOOSE({1,2},D_技能表CD!$C$2:$C$313&amp;D_技能表CD!$E$2:$E$313,D_技能表CD!$H$2:$H$313),2,FALSE),0)</f>
        <v>0</v>
      </c>
      <c r="AY63">
        <f t="array" aca="1" ref="AY63" ca="1">IFERROR(VLOOKUP(AW$5&amp;$AV63,CHOOSE({1,2},D_技能表CD!$C$2:$C$313&amp;D_技能表CD!$E$2:$E$313,D_技能表CD!$L$2:$L$313),2,FALSE),0)</f>
        <v>0</v>
      </c>
      <c r="AZ63">
        <f t="array" aca="1" ref="AZ63" ca="1">IFERROR(VLOOKUP(AW$5&amp;$AV63,CHOOSE({1,2},D_技能表CD!$C$2:$C$313&amp;D_技能表CD!$E$2:$E$313,D_技能表CD!$K$2:$K$313),2,FALSE),0)</f>
        <v>0</v>
      </c>
      <c r="BA63">
        <f t="array" ref="BA63">IFERROR(VLOOKUP(BA$5&amp;$AV63,CHOOSE({1,2},D_技能表CD!$C$2:$C$313&amp;D_技能表CD!$E$2:$E$313,D_技能表CD!$I$2:$I$313),2,FALSE),0)</f>
        <v>19</v>
      </c>
      <c r="BB63">
        <f t="array" aca="1" ref="BB63" ca="1">IFERROR(VLOOKUP(BA$5&amp;$AV63,CHOOSE({1,2},D_技能表CD!$C$2:$C$313&amp;D_技能表CD!$E$2:$E$313,D_技能表CD!$H$2:$H$313),2,FALSE),0)</f>
        <v>96450</v>
      </c>
      <c r="BC63">
        <f t="array" aca="1" ref="BC63" ca="1">IFERROR(VLOOKUP(BA$5&amp;$AV63,CHOOSE({1,2},D_技能表CD!$C$2:$C$313&amp;D_技能表CD!$E$2:$E$313,D_技能表CD!$L$2:$L$313),2,FALSE),0)</f>
        <v>286</v>
      </c>
      <c r="BD63">
        <f t="array" aca="1" ref="BD63" ca="1">IFERROR(VLOOKUP(BA$5&amp;$AV63,CHOOSE({1,2},D_技能表CD!$C$2:$C$313&amp;D_技能表CD!$E$2:$E$313,D_技能表CD!$K$2:$K$313),2,FALSE),0)</f>
        <v>511</v>
      </c>
      <c r="BE63">
        <f t="array" ref="BE63">IFERROR(VLOOKUP(BE$5&amp;$AV63,CHOOSE({1,2},D_技能表CD!$C$2:$C$313&amp;D_技能表CD!$E$2:$E$313,D_技能表CD!$I$2:$I$313),2,FALSE),0)</f>
        <v>0</v>
      </c>
      <c r="BF63">
        <f t="array" aca="1" ref="BF63" ca="1">IFERROR(VLOOKUP(BE$5&amp;$AV63,CHOOSE({1,2},D_技能表CD!$C$2:$C$313&amp;D_技能表CD!$E$2:$E$313,D_技能表CD!$H$2:$H$313),2,FALSE),0)</f>
        <v>0</v>
      </c>
      <c r="BG63">
        <f t="array" aca="1" ref="BG63" ca="1">IFERROR(VLOOKUP(BE$5&amp;$AV63,CHOOSE({1,2},D_技能表CD!$C$2:$C$313&amp;D_技能表CD!$E$2:$E$313,D_技能表CD!$L$2:$L$313),2,FALSE),0)</f>
        <v>0</v>
      </c>
      <c r="BH63">
        <f t="array" aca="1" ref="BH63" ca="1">IFERROR(VLOOKUP(BE$5&amp;$AV63,CHOOSE({1,2},D_技能表CD!$C$2:$C$313&amp;D_技能表CD!$E$2:$E$313,D_技能表CD!$K$2:$K$313),2,FALSE),0)</f>
        <v>0</v>
      </c>
      <c r="BI63">
        <f t="array" ref="BI63">IFERROR(VLOOKUP(BI$5&amp;$AV63,CHOOSE({1,2},D_技能表CD!$C$2:$C$313&amp;D_技能表CD!$E$2:$E$313,D_技能表CD!$I$2:$I$313),2,FALSE),0)</f>
        <v>0</v>
      </c>
      <c r="BJ63">
        <f t="array" aca="1" ref="BJ63" ca="1">IFERROR(VLOOKUP(BI$5&amp;$AV63,CHOOSE({1,2},D_技能表CD!$C$2:$C$313&amp;D_技能表CD!$E$2:$E$313,D_技能表CD!$H$2:$H$313),2,FALSE),0)</f>
        <v>0</v>
      </c>
      <c r="BK63">
        <f t="array" aca="1" ref="BK63" ca="1">IFERROR(VLOOKUP(BI$5&amp;$AV63,CHOOSE({1,2},D_技能表CD!$C$2:$C$313&amp;D_技能表CD!$E$2:$E$313,D_技能表CD!$L$2:$L$313),2,FALSE),0)</f>
        <v>0</v>
      </c>
      <c r="BL63">
        <f t="array" aca="1" ref="BL63" ca="1">IFERROR(VLOOKUP(BI$5&amp;$AV63,CHOOSE({1,2},D_技能表CD!$C$2:$C$313&amp;D_技能表CD!$E$2:$E$313,D_技能表CD!$K$2:$K$313),2,FALSE),0)</f>
        <v>0</v>
      </c>
    </row>
    <row r="64" spans="1:64" x14ac:dyDescent="0.15">
      <c r="A64">
        <f t="shared" ca="1" si="0"/>
        <v>10210355</v>
      </c>
      <c r="B64" s="33">
        <f ca="1">SUM($E$7:E64,$I$7:I64,$M$7:M64,$Q$7:Q64,$U$7:U64,$Y$7:Y64,$AC$7:AC64,$AG$7:AG64,$AK$7:AK64,$AO$7:AO64)</f>
        <v>8568855</v>
      </c>
      <c r="C64">
        <v>58</v>
      </c>
      <c r="D64">
        <f t="array" aca="1" ref="D64" ca="1">IFERROR(VLOOKUP($D$5&amp;C64,CHOOSE({1,2},D_技能表!$C$2:$C$1210&amp;D_技能表!$E$2:$E$1210,D_技能表!$I$2:$I$1210),2,FALSE),0)</f>
        <v>36</v>
      </c>
      <c r="E64">
        <f t="array" aca="1" ref="E64" ca="1">IFERROR(VLOOKUP($D$5&amp;$C64,CHOOSE({1,2},D_技能表!$C$2:$C$1210&amp;D_技能表!$E$2:$E$1210,D_技能表!$N$2:$N$1210),2,FALSE),0)</f>
        <v>197820</v>
      </c>
      <c r="F64">
        <f t="array" aca="1" ref="F64" ca="1">IFERROR(VLOOKUP($D$5&amp;$C64,CHOOSE({1,2},D_技能表!$C$2:$C$1210&amp;D_技能表!$E$2:$E$1210,D_技能表!$W$2:$W$1210),2,FALSE),0)</f>
        <v>90</v>
      </c>
      <c r="G64">
        <f t="array" aca="1" ref="G64" ca="1">IFERROR(VLOOKUP($D$5&amp;$C64,CHOOSE({1,2},D_技能表!$C$2:$C$1210&amp;D_技能表!$E$2:$E$1210,D_技能表!$Z$2:$Z$1210),2,FALSE),0)</f>
        <v>36</v>
      </c>
      <c r="H64">
        <f t="array" aca="1" ref="H64" ca="1">IFERROR(VLOOKUP($H$5&amp;$C64,CHOOSE({1,2},D_技能表!$C$2:$C$1210&amp;D_技能表!$E$2:$E$1210,D_技能表!$I$2:$I$1210),2,FALSE),0)</f>
        <v>0</v>
      </c>
      <c r="I64">
        <f t="array" aca="1" ref="I64" ca="1">IFERROR(VLOOKUP($H$5&amp;$C64,CHOOSE({1,2},D_技能表!$C$2:$C$1210&amp;D_技能表!$E$2:$E$1210,D_技能表!$N$2:$N$1210),2,FALSE),0)</f>
        <v>0</v>
      </c>
      <c r="J64">
        <f t="array" aca="1" ref="J64" ca="1">IFERROR(VLOOKUP($H$5&amp;$C64,CHOOSE({1,2},D_技能表!$C$2:$C$1210&amp;D_技能表!$E$2:$E$1210,D_技能表!$W$2:$W$1210),2,FALSE),0)</f>
        <v>0</v>
      </c>
      <c r="K64">
        <f t="array" aca="1" ref="K64" ca="1">IFERROR(VLOOKUP($H$5&amp;$C64,CHOOSE({1,2},D_技能表!$C$2:$C$1210&amp;D_技能表!$E$2:$E$1210,D_技能表!$Z$2:$Z$1210),2,FALSE),0)</f>
        <v>0</v>
      </c>
      <c r="L64">
        <f t="array" aca="1" ref="L64" ca="1">IFERROR(VLOOKUP($L$5&amp;$C64,CHOOSE({1,2},D_技能表!$C$2:$C$1210&amp;D_技能表!$E$2:$E$1210,D_技能表!$I$2:$I$1210),2,FALSE),0)</f>
        <v>0</v>
      </c>
      <c r="M64">
        <f t="array" aca="1" ref="M64" ca="1">IFERROR(VLOOKUP($L$5&amp;$C64,CHOOSE({1,2},D_技能表!$C$2:$C$1210&amp;D_技能表!$E$2:$E$1210,D_技能表!$N$2:$N$1210),2,FALSE),0)</f>
        <v>0</v>
      </c>
      <c r="N64">
        <f t="array" aca="1" ref="N64" ca="1">IFERROR(VLOOKUP($L$5&amp;$C64,CHOOSE({1,2},D_技能表!$C$2:$C$1210&amp;D_技能表!$E$2:$E$1210,D_技能表!$W$2:$W$1210),2,FALSE),0)</f>
        <v>0</v>
      </c>
      <c r="O64">
        <f t="array" aca="1" ref="O64" ca="1">IFERROR(VLOOKUP($L$5&amp;$C64,CHOOSE({1,2},D_技能表!$C$2:$C$1210&amp;D_技能表!$E$2:$E$1210,D_技能表!$Z$2:$Z$1210),2,FALSE),0)</f>
        <v>0</v>
      </c>
      <c r="P64">
        <f t="array" aca="1" ref="P64" ca="1">IFERROR(VLOOKUP($P$5&amp;$C64,CHOOSE({1,2},D_技能表!$C$2:$C$1210&amp;D_技能表!$E$2:$E$1210,D_技能表!$I$2:$I$1210),2,FALSE),0)</f>
        <v>35</v>
      </c>
      <c r="Q64">
        <f t="array" aca="1" ref="Q64" ca="1">IFERROR(VLOOKUP($P$5&amp;$C64,CHOOSE({1,2},D_技能表!$C$2:$C$1210&amp;D_技能表!$E$2:$E$1210,D_技能表!$N$2:$N$1210),2,FALSE),0)</f>
        <v>79128</v>
      </c>
      <c r="R64">
        <f t="array" aca="1" ref="R64" ca="1">IFERROR(VLOOKUP($P$5&amp;$C64,CHOOSE({1,2},D_技能表!$C$2:$C$1210&amp;D_技能表!$E$2:$E$1210,D_技能表!$W$2:$W$1210),2,FALSE),0)</f>
        <v>36</v>
      </c>
      <c r="S64">
        <f t="array" aca="1" ref="S64" ca="1">IFERROR(VLOOKUP($P$5&amp;$C64,CHOOSE({1,2},D_技能表!$C$2:$C$1210&amp;D_技能表!$E$2:$E$1210,D_技能表!$Z$2:$Z$1210),2,FALSE),0)</f>
        <v>15</v>
      </c>
      <c r="T64">
        <f t="array" aca="1" ref="T64" ca="1">IFERROR(VLOOKUP($T$5&amp;$C64,CHOOSE({1,2},D_技能表!$C$2:$C$1210&amp;D_技能表!$E$2:$E$1210,D_技能表!$I$2:$I$1210),2,FALSE),0)</f>
        <v>0</v>
      </c>
      <c r="U64">
        <f t="array" aca="1" ref="U64" ca="1">IFERROR(VLOOKUP($T$5&amp;$C64,CHOOSE({1,2},D_技能表!$C$2:$C$1210&amp;D_技能表!$E$2:$E$1210,D_技能表!$N$2:$N$1210),2,FALSE),0)</f>
        <v>0</v>
      </c>
      <c r="V64">
        <f t="array" aca="1" ref="V64" ca="1">IFERROR(VLOOKUP($T$5&amp;$C64,CHOOSE({1,2},D_技能表!$C$2:$C$1210&amp;D_技能表!$E$2:$E$1210,D_技能表!$W$2:$W$1210),2,FALSE),0)</f>
        <v>0</v>
      </c>
      <c r="W64">
        <f t="array" aca="1" ref="W64" ca="1">IFERROR(VLOOKUP($T$5&amp;$C64,CHOOSE({1,2},D_技能表!$C$2:$C$1210&amp;D_技能表!$E$2:$E$1210,D_技能表!$Z$2:$Z$1210),2,FALSE),0)</f>
        <v>0</v>
      </c>
      <c r="X64">
        <f t="array" aca="1" ref="X64" ca="1">IFERROR(VLOOKUP($X$5&amp;$C64,CHOOSE({1,2},D_技能表!$C$2:$C$1210&amp;D_技能表!$E$2:$E$1210,D_技能表!$I$2:$I$1210),2,FALSE),0)</f>
        <v>35</v>
      </c>
      <c r="Y64">
        <f t="array" aca="1" ref="Y64" ca="1">IFERROR(VLOOKUP($X$5&amp;$C64,CHOOSE({1,2},D_技能表!$C$2:$C$1210&amp;D_技能表!$E$2:$E$1210,D_技能表!$N$2:$N$1210),2,FALSE),0)</f>
        <v>175840</v>
      </c>
      <c r="Z64">
        <f t="array" aca="1" ref="Z64" ca="1">IFERROR(VLOOKUP($X$5&amp;$C64,CHOOSE({1,2},D_技能表!$C$2:$C$1210&amp;D_技能表!$E$2:$E$1210,D_技能表!$W$2:$W$1210),2,FALSE),0)</f>
        <v>80</v>
      </c>
      <c r="AA64">
        <f t="array" aca="1" ref="AA64" ca="1">IFERROR(VLOOKUP($X$5&amp;$C64,CHOOSE({1,2},D_技能表!$C$2:$C$1210&amp;D_技能表!$E$2:$E$1210,D_技能表!$Z$2:$Z$1210),2,FALSE),0)</f>
        <v>32</v>
      </c>
      <c r="AB64">
        <f t="array" aca="1" ref="AB64" ca="1">IFERROR(VLOOKUP($AB$5&amp;$C64,CHOOSE({1,2},D_技能表!$C$2:$C$1210&amp;D_技能表!$E$2:$E$1210,D_技能表!$I$2:$I$1210),2,FALSE),0)</f>
        <v>35</v>
      </c>
      <c r="AC64">
        <f t="array" aca="1" ref="AC64" ca="1">IFERROR(VLOOKUP($AB$5&amp;$C64,CHOOSE({1,2},D_技能表!$C$2:$C$1210&amp;D_技能表!$E$2:$E$1210,D_技能表!$N$2:$N$1210),2,FALSE),0)</f>
        <v>83524</v>
      </c>
      <c r="AD64">
        <f t="array" aca="1" ref="AD64" ca="1">IFERROR(VLOOKUP($AB$5&amp;$C64,CHOOSE({1,2},D_技能表!$C$2:$C$1210&amp;D_技能表!$E$2:$E$1210,D_技能表!$W$2:$W$1210),2,FALSE),0)</f>
        <v>38</v>
      </c>
      <c r="AE64">
        <f t="array" aca="1" ref="AE64" ca="1">IFERROR(VLOOKUP($AB$5&amp;$C64,CHOOSE({1,2},D_技能表!$C$2:$C$1210&amp;D_技能表!$E$2:$E$1210,D_技能表!$Z$2:$Z$1210),2,FALSE),0)</f>
        <v>16</v>
      </c>
      <c r="AF64">
        <f t="array" aca="1" ref="AF64" ca="1">IFERROR(VLOOKUP($AF$5&amp;$C64,CHOOSE({1,2},D_技能表!$C$2:$C$1210&amp;D_技能表!$E$2:$E$1210,D_技能表!$I$2:$I$1210),2,FALSE),0)</f>
        <v>35</v>
      </c>
      <c r="AG64">
        <f t="array" aca="1" ref="AG64" ca="1">IFERROR(VLOOKUP($AF$5&amp;$C64,CHOOSE({1,2},D_技能表!$C$2:$C$1210&amp;D_技能表!$E$2:$E$1210,D_技能表!$N$2:$N$1210),2,FALSE),0)</f>
        <v>74732</v>
      </c>
      <c r="AH64">
        <f t="array" aca="1" ref="AH64" ca="1">IFERROR(VLOOKUP($AF$5&amp;$C64,CHOOSE({1,2},D_技能表!$C$2:$C$1210&amp;D_技能表!$E$2:$E$1210,D_技能表!$W$2:$W$1210),2,FALSE),0)</f>
        <v>34</v>
      </c>
      <c r="AI64">
        <f t="array" aca="1" ref="AI64" ca="1">IFERROR(VLOOKUP($AF$5&amp;$C64,CHOOSE({1,2},D_技能表!$C$2:$C$1210&amp;D_技能表!$E$2:$E$1210,D_技能表!$Z$2:$Z$1210),2,FALSE),0)</f>
        <v>14</v>
      </c>
      <c r="AJ64">
        <f t="array" aca="1" ref="AJ64" ca="1">IFERROR(VLOOKUP($AJ$5&amp;$C64,CHOOSE({1,2},D_技能表!$C$2:$C$1210&amp;D_技能表!$E$2:$E$1210,D_技能表!$I$2:$I$1210),2,FALSE),0)</f>
        <v>34</v>
      </c>
      <c r="AK64">
        <f t="array" aca="1" ref="AK64" ca="1">IFERROR(VLOOKUP($AJ$5&amp;$C64,CHOOSE({1,2},D_技能表!$C$2:$C$1210&amp;D_技能表!$E$2:$E$1210,D_技能表!$N$2:$N$1210),2,FALSE),0)</f>
        <v>70336</v>
      </c>
      <c r="AL64">
        <f t="array" aca="1" ref="AL64" ca="1">IFERROR(VLOOKUP($AJ$5&amp;$C64,CHOOSE({1,2},D_技能表!$C$2:$C$1210&amp;D_技能表!$E$2:$E$1210,D_技能表!$W$2:$W$1210),2,FALSE),0)</f>
        <v>32</v>
      </c>
      <c r="AM64">
        <f t="array" aca="1" ref="AM64" ca="1">IFERROR(VLOOKUP($AJ$5&amp;$C64,CHOOSE({1,2},D_技能表!$C$2:$C$1210&amp;D_技能表!$E$2:$E$1210,D_技能表!$Z$2:$Z$1210),2,FALSE),0)</f>
        <v>13</v>
      </c>
      <c r="AN64">
        <f t="array" aca="1" ref="AN64" ca="1">IFERROR(VLOOKUP($AN$5&amp;$C64,CHOOSE({1,2},D_技能表!$C$2:$C$1210&amp;D_技能表!$E$2:$E$1210,D_技能表!$I$2:$I$1210),2,FALSE),0)</f>
        <v>34</v>
      </c>
      <c r="AO64">
        <f t="array" aca="1" ref="AO64" ca="1">IFERROR(VLOOKUP($AN$5&amp;$C64,CHOOSE({1,2},D_技能表!$C$2:$C$1210&amp;D_技能表!$E$2:$E$1210,D_技能表!$N$2:$N$1210),2,FALSE),0)</f>
        <v>129682</v>
      </c>
      <c r="AP64">
        <f t="array" aca="1" ref="AP64" ca="1">IFERROR(VLOOKUP($AN$5&amp;$C64,CHOOSE({1,2},D_技能表!$C$2:$C$1210&amp;D_技能表!$E$2:$E$1210,D_技能表!$W$2:$W$1210),2,FALSE),0)</f>
        <v>59</v>
      </c>
      <c r="AQ64">
        <f t="array" aca="1" ref="AQ64" ca="1">IFERROR(VLOOKUP($AN$5&amp;$C64,CHOOSE({1,2},D_技能表!$C$2:$C$1210&amp;D_技能表!$E$2:$E$1210,D_技能表!$Z$2:$Z$1210),2,FALSE),0)</f>
        <v>24</v>
      </c>
      <c r="AR64" s="11">
        <f ca="1">SUM($G$7:G65,$K$7:K65,$O$7:O65,$S$7:S65,$W$7:W65,$AA$7:AA65,$AE$7:AE65,$AI$7:AI65,$AM$7:AM65,$AQ$7:AQ65)</f>
        <v>2340</v>
      </c>
      <c r="AS64">
        <f ca="1">SUM($F$7:F65,$J$7:J65,$N$7:N65,$R$7:R65,$V$7:V65,$Z$7:Z65,$AD$7:AD65,$AH$7:AH65,$AL$7:AL65,$AP$7:AP65)</f>
        <v>7160</v>
      </c>
      <c r="AT64">
        <f t="shared" ca="1" si="1"/>
        <v>369</v>
      </c>
      <c r="AU64" s="33">
        <f ca="1">SUM($AX$7:AX64,$BB$7:BB64,$BF$7:BF64,$BJ$7:BJ64)</f>
        <v>1641500</v>
      </c>
      <c r="AV64">
        <v>58</v>
      </c>
      <c r="AW64">
        <f t="array" ref="AW64">IFERROR(VLOOKUP(AW$5&amp;$AV64,CHOOSE({1,2},D_技能表CD!$C$2:$C$313&amp;D_技能表CD!$E$2:$E$313,D_技能表CD!$I$2:$I$313),2,FALSE),0)</f>
        <v>20</v>
      </c>
      <c r="AX64">
        <f t="array" aca="1" ref="AX64" ca="1">IFERROR(VLOOKUP(AW$5&amp;$AV64,CHOOSE({1,2},D_技能表CD!$C$2:$C$313&amp;D_技能表CD!$E$2:$E$313,D_技能表CD!$H$2:$H$313),2,FALSE),0)</f>
        <v>58850</v>
      </c>
      <c r="AY64">
        <f t="array" aca="1" ref="AY64" ca="1">IFERROR(VLOOKUP(AW$5&amp;$AV64,CHOOSE({1,2},D_技能表CD!$C$2:$C$313&amp;D_技能表CD!$E$2:$E$313,D_技能表CD!$L$2:$L$313),2,FALSE),0)</f>
        <v>173</v>
      </c>
      <c r="AZ64">
        <f t="array" aca="1" ref="AZ64" ca="1">IFERROR(VLOOKUP(AW$5&amp;$AV64,CHOOSE({1,2},D_技能表CD!$C$2:$C$313&amp;D_技能表CD!$E$2:$E$313,D_技能表CD!$K$2:$K$313),2,FALSE),0)</f>
        <v>322</v>
      </c>
      <c r="BA64">
        <f t="array" ref="BA64">IFERROR(VLOOKUP(BA$5&amp;$AV64,CHOOSE({1,2},D_技能表CD!$C$2:$C$313&amp;D_技能表CD!$E$2:$E$313,D_技能表CD!$I$2:$I$313),2,FALSE),0)</f>
        <v>0</v>
      </c>
      <c r="BB64">
        <f t="array" aca="1" ref="BB64" ca="1">IFERROR(VLOOKUP(BA$5&amp;$AV64,CHOOSE({1,2},D_技能表CD!$C$2:$C$313&amp;D_技能表CD!$E$2:$E$313,D_技能表CD!$H$2:$H$313),2,FALSE),0)</f>
        <v>0</v>
      </c>
      <c r="BC64">
        <f t="array" aca="1" ref="BC64" ca="1">IFERROR(VLOOKUP(BA$5&amp;$AV64,CHOOSE({1,2},D_技能表CD!$C$2:$C$313&amp;D_技能表CD!$E$2:$E$313,D_技能表CD!$L$2:$L$313),2,FALSE),0)</f>
        <v>0</v>
      </c>
      <c r="BD64">
        <f t="array" aca="1" ref="BD64" ca="1">IFERROR(VLOOKUP(BA$5&amp;$AV64,CHOOSE({1,2},D_技能表CD!$C$2:$C$313&amp;D_技能表CD!$E$2:$E$313,D_技能表CD!$K$2:$K$313),2,FALSE),0)</f>
        <v>0</v>
      </c>
      <c r="BE64">
        <f t="array" ref="BE64">IFERROR(VLOOKUP(BE$5&amp;$AV64,CHOOSE({1,2},D_技能表CD!$C$2:$C$313&amp;D_技能表CD!$E$2:$E$313,D_技能表CD!$I$2:$I$313),2,FALSE),0)</f>
        <v>19</v>
      </c>
      <c r="BF64">
        <f t="array" aca="1" ref="BF64" ca="1">IFERROR(VLOOKUP(BE$5&amp;$AV64,CHOOSE({1,2},D_技能表CD!$C$2:$C$313&amp;D_技能表CD!$E$2:$E$313,D_技能表CD!$H$2:$H$313),2,FALSE),0)</f>
        <v>43000</v>
      </c>
      <c r="BG64">
        <f t="array" aca="1" ref="BG64" ca="1">IFERROR(VLOOKUP(BE$5&amp;$AV64,CHOOSE({1,2},D_技能表CD!$C$2:$C$313&amp;D_技能表CD!$E$2:$E$313,D_技能表CD!$L$2:$L$313),2,FALSE),0)</f>
        <v>127</v>
      </c>
      <c r="BH64">
        <f t="array" aca="1" ref="BH64" ca="1">IFERROR(VLOOKUP(BE$5&amp;$AV64,CHOOSE({1,2},D_技能表CD!$C$2:$C$313&amp;D_技能表CD!$E$2:$E$313,D_技能表CD!$K$2:$K$313),2,FALSE),0)</f>
        <v>227</v>
      </c>
      <c r="BI64">
        <f t="array" ref="BI64">IFERROR(VLOOKUP(BI$5&amp;$AV64,CHOOSE({1,2},D_技能表CD!$C$2:$C$313&amp;D_技能表CD!$E$2:$E$313,D_技能表CD!$I$2:$I$313),2,FALSE),0)</f>
        <v>0</v>
      </c>
      <c r="BJ64">
        <f t="array" aca="1" ref="BJ64" ca="1">IFERROR(VLOOKUP(BI$5&amp;$AV64,CHOOSE({1,2},D_技能表CD!$C$2:$C$313&amp;D_技能表CD!$E$2:$E$313,D_技能表CD!$H$2:$H$313),2,FALSE),0)</f>
        <v>0</v>
      </c>
      <c r="BK64">
        <f t="array" aca="1" ref="BK64" ca="1">IFERROR(VLOOKUP(BI$5&amp;$AV64,CHOOSE({1,2},D_技能表CD!$C$2:$C$313&amp;D_技能表CD!$E$2:$E$313,D_技能表CD!$L$2:$L$313),2,FALSE),0)</f>
        <v>0</v>
      </c>
      <c r="BL64">
        <f t="array" aca="1" ref="BL64" ca="1">IFERROR(VLOOKUP(BI$5&amp;$AV64,CHOOSE({1,2},D_技能表CD!$C$2:$C$313&amp;D_技能表CD!$E$2:$E$313,D_技能表CD!$K$2:$K$313),2,FALSE),0)</f>
        <v>0</v>
      </c>
    </row>
    <row r="65" spans="1:64" x14ac:dyDescent="0.15">
      <c r="A65">
        <f t="shared" ca="1" si="0"/>
        <v>10985378</v>
      </c>
      <c r="B65" s="33">
        <f ca="1">SUM($E$7:E65,$I$7:I65,$M$7:M65,$Q$7:Q65,$U$7:U65,$Y$7:Y65,$AC$7:AC65,$AG$7:AG65,$AK$7:AK65,$AO$7:AO65)</f>
        <v>9249678</v>
      </c>
      <c r="C65">
        <v>59</v>
      </c>
      <c r="D65">
        <f t="array" aca="1" ref="D65" ca="1">IFERROR(VLOOKUP($D$5&amp;C65,CHOOSE({1,2},D_技能表!$C$2:$C$1210&amp;D_技能表!$E$2:$E$1210,D_技能表!$I$2:$I$1210),2,FALSE),0)</f>
        <v>0</v>
      </c>
      <c r="E65">
        <f t="array" aca="1" ref="E65" ca="1">IFERROR(VLOOKUP($D$5&amp;$C65,CHOOSE({1,2},D_技能表!$C$2:$C$1210&amp;D_技能表!$E$2:$E$1210,D_技能表!$N$2:$N$1210),2,FALSE),0)</f>
        <v>0</v>
      </c>
      <c r="F65">
        <f t="array" aca="1" ref="F65" ca="1">IFERROR(VLOOKUP($D$5&amp;$C65,CHOOSE({1,2},D_技能表!$C$2:$C$1210&amp;D_技能表!$E$2:$E$1210,D_技能表!$W$2:$W$1210),2,FALSE),0)</f>
        <v>0</v>
      </c>
      <c r="G65">
        <f t="array" aca="1" ref="G65" ca="1">IFERROR(VLOOKUP($D$5&amp;$C65,CHOOSE({1,2},D_技能表!$C$2:$C$1210&amp;D_技能表!$E$2:$E$1210,D_技能表!$Z$2:$Z$1210),2,FALSE),0)</f>
        <v>0</v>
      </c>
      <c r="H65">
        <f t="array" aca="1" ref="H65" ca="1">IFERROR(VLOOKUP($H$5&amp;$C65,CHOOSE({1,2},D_技能表!$C$2:$C$1210&amp;D_技能表!$E$2:$E$1210,D_技能表!$I$2:$I$1210),2,FALSE),0)</f>
        <v>36</v>
      </c>
      <c r="I65">
        <f t="array" aca="1" ref="I65" ca="1">IFERROR(VLOOKUP($H$5&amp;$C65,CHOOSE({1,2},D_技能表!$C$2:$C$1210&amp;D_技能表!$E$2:$E$1210,D_技能表!$N$2:$N$1210),2,FALSE),0)</f>
        <v>88803</v>
      </c>
      <c r="J65">
        <f t="array" aca="1" ref="J65" ca="1">IFERROR(VLOOKUP($H$5&amp;$C65,CHOOSE({1,2},D_技能表!$C$2:$C$1210&amp;D_技能表!$E$2:$E$1210,D_技能表!$W$2:$W$1210),2,FALSE),0)</f>
        <v>39</v>
      </c>
      <c r="K65">
        <f t="array" aca="1" ref="K65" ca="1">IFERROR(VLOOKUP($H$5&amp;$C65,CHOOSE({1,2},D_技能表!$C$2:$C$1210&amp;D_技能表!$E$2:$E$1210,D_技能表!$Z$2:$Z$1210),2,FALSE),0)</f>
        <v>16</v>
      </c>
      <c r="L65">
        <f t="array" aca="1" ref="L65" ca="1">IFERROR(VLOOKUP($L$5&amp;$C65,CHOOSE({1,2},D_技能表!$C$2:$C$1210&amp;D_技能表!$E$2:$E$1210,D_技能表!$I$2:$I$1210),2,FALSE),0)</f>
        <v>36</v>
      </c>
      <c r="M65">
        <f t="array" aca="1" ref="M65" ca="1">IFERROR(VLOOKUP($L$5&amp;$C65,CHOOSE({1,2},D_技能表!$C$2:$C$1210&amp;D_技能表!$E$2:$E$1210,D_技能表!$N$2:$N$1210),2,FALSE),0)</f>
        <v>88803</v>
      </c>
      <c r="N65">
        <f t="array" aca="1" ref="N65" ca="1">IFERROR(VLOOKUP($L$5&amp;$C65,CHOOSE({1,2},D_技能表!$C$2:$C$1210&amp;D_技能表!$E$2:$E$1210,D_技能表!$W$2:$W$1210),2,FALSE),0)</f>
        <v>39</v>
      </c>
      <c r="O65">
        <f t="array" aca="1" ref="O65" ca="1">IFERROR(VLOOKUP($L$5&amp;$C65,CHOOSE({1,2},D_技能表!$C$2:$C$1210&amp;D_技能表!$E$2:$E$1210,D_技能表!$Z$2:$Z$1210),2,FALSE),0)</f>
        <v>16</v>
      </c>
      <c r="P65">
        <f t="array" aca="1" ref="P65" ca="1">IFERROR(VLOOKUP($P$5&amp;$C65,CHOOSE({1,2},D_技能表!$C$2:$C$1210&amp;D_技能表!$E$2:$E$1210,D_技能表!$I$2:$I$1210),2,FALSE),0)</f>
        <v>0</v>
      </c>
      <c r="Q65">
        <f t="array" aca="1" ref="Q65" ca="1">IFERROR(VLOOKUP($P$5&amp;$C65,CHOOSE({1,2},D_技能表!$C$2:$C$1210&amp;D_技能表!$E$2:$E$1210,D_技能表!$N$2:$N$1210),2,FALSE),0)</f>
        <v>0</v>
      </c>
      <c r="R65">
        <f t="array" aca="1" ref="R65" ca="1">IFERROR(VLOOKUP($P$5&amp;$C65,CHOOSE({1,2},D_技能表!$C$2:$C$1210&amp;D_技能表!$E$2:$E$1210,D_技能表!$W$2:$W$1210),2,FALSE),0)</f>
        <v>0</v>
      </c>
      <c r="S65">
        <f t="array" aca="1" ref="S65" ca="1">IFERROR(VLOOKUP($P$5&amp;$C65,CHOOSE({1,2},D_技能表!$C$2:$C$1210&amp;D_技能表!$E$2:$E$1210,D_技能表!$Z$2:$Z$1210),2,FALSE),0)</f>
        <v>0</v>
      </c>
      <c r="T65">
        <f t="array" aca="1" ref="T65" ca="1">IFERROR(VLOOKUP($T$5&amp;$C65,CHOOSE({1,2},D_技能表!$C$2:$C$1210&amp;D_技能表!$E$2:$E$1210,D_技能表!$I$2:$I$1210),2,FALSE),0)</f>
        <v>35</v>
      </c>
      <c r="U65">
        <f t="array" aca="1" ref="U65" ca="1">IFERROR(VLOOKUP($T$5&amp;$C65,CHOOSE({1,2},D_技能表!$C$2:$C$1210&amp;D_技能表!$E$2:$E$1210,D_技能表!$N$2:$N$1210),2,FALSE),0)</f>
        <v>138897</v>
      </c>
      <c r="V65">
        <f t="array" aca="1" ref="V65" ca="1">IFERROR(VLOOKUP($T$5&amp;$C65,CHOOSE({1,2},D_技能表!$C$2:$C$1210&amp;D_技能表!$E$2:$E$1210,D_技能表!$W$2:$W$1210),2,FALSE),0)</f>
        <v>61</v>
      </c>
      <c r="W65">
        <f t="array" aca="1" ref="W65" ca="1">IFERROR(VLOOKUP($T$5&amp;$C65,CHOOSE({1,2},D_技能表!$C$2:$C$1210&amp;D_技能表!$E$2:$E$1210,D_技能表!$Z$2:$Z$1210),2,FALSE),0)</f>
        <v>25</v>
      </c>
      <c r="X65">
        <f t="array" aca="1" ref="X65" ca="1">IFERROR(VLOOKUP($X$5&amp;$C65,CHOOSE({1,2},D_技能表!$C$2:$C$1210&amp;D_技能表!$E$2:$E$1210,D_技能表!$I$2:$I$1210),2,FALSE),0)</f>
        <v>36</v>
      </c>
      <c r="Y65">
        <f t="array" aca="1" ref="Y65" ca="1">IFERROR(VLOOKUP($X$5&amp;$C65,CHOOSE({1,2},D_技能表!$C$2:$C$1210&amp;D_技能表!$E$2:$E$1210,D_技能表!$N$2:$N$1210),2,FALSE),0)</f>
        <v>193545</v>
      </c>
      <c r="Z65">
        <f t="array" aca="1" ref="Z65" ca="1">IFERROR(VLOOKUP($X$5&amp;$C65,CHOOSE({1,2},D_技能表!$C$2:$C$1210&amp;D_技能表!$E$2:$E$1210,D_技能表!$W$2:$W$1210),2,FALSE),0)</f>
        <v>85</v>
      </c>
      <c r="AA65">
        <f t="array" aca="1" ref="AA65" ca="1">IFERROR(VLOOKUP($X$5&amp;$C65,CHOOSE({1,2},D_技能表!$C$2:$C$1210&amp;D_技能表!$E$2:$E$1210,D_技能表!$Z$2:$Z$1210),2,FALSE),0)</f>
        <v>34</v>
      </c>
      <c r="AB65">
        <f t="array" aca="1" ref="AB65" ca="1">IFERROR(VLOOKUP($AB$5&amp;$C65,CHOOSE({1,2},D_技能表!$C$2:$C$1210&amp;D_技能表!$E$2:$E$1210,D_技能表!$I$2:$I$1210),2,FALSE),0)</f>
        <v>36</v>
      </c>
      <c r="AC65">
        <f t="array" aca="1" ref="AC65" ca="1">IFERROR(VLOOKUP($AB$5&amp;$C65,CHOOSE({1,2},D_技能表!$C$2:$C$1210&amp;D_技能表!$E$2:$E$1210,D_技能表!$N$2:$N$1210),2,FALSE),0)</f>
        <v>93357</v>
      </c>
      <c r="AD65">
        <f t="array" aca="1" ref="AD65" ca="1">IFERROR(VLOOKUP($AB$5&amp;$C65,CHOOSE({1,2},D_技能表!$C$2:$C$1210&amp;D_技能表!$E$2:$E$1210,D_技能表!$W$2:$W$1210),2,FALSE),0)</f>
        <v>41</v>
      </c>
      <c r="AE65">
        <f t="array" aca="1" ref="AE65" ca="1">IFERROR(VLOOKUP($AB$5&amp;$C65,CHOOSE({1,2},D_技能表!$C$2:$C$1210&amp;D_技能表!$E$2:$E$1210,D_技能表!$Z$2:$Z$1210),2,FALSE),0)</f>
        <v>17</v>
      </c>
      <c r="AF65">
        <f t="array" aca="1" ref="AF65" ca="1">IFERROR(VLOOKUP($AF$5&amp;$C65,CHOOSE({1,2},D_技能表!$C$2:$C$1210&amp;D_技能表!$E$2:$E$1210,D_技能表!$I$2:$I$1210),2,FALSE),0)</f>
        <v>0</v>
      </c>
      <c r="AG65">
        <f t="array" aca="1" ref="AG65" ca="1">IFERROR(VLOOKUP($AF$5&amp;$C65,CHOOSE({1,2},D_技能表!$C$2:$C$1210&amp;D_技能表!$E$2:$E$1210,D_技能表!$N$2:$N$1210),2,FALSE),0)</f>
        <v>0</v>
      </c>
      <c r="AH65">
        <f t="array" aca="1" ref="AH65" ca="1">IFERROR(VLOOKUP($AF$5&amp;$C65,CHOOSE({1,2},D_技能表!$C$2:$C$1210&amp;D_技能表!$E$2:$E$1210,D_技能表!$W$2:$W$1210),2,FALSE),0)</f>
        <v>0</v>
      </c>
      <c r="AI65">
        <f t="array" aca="1" ref="AI65" ca="1">IFERROR(VLOOKUP($AF$5&amp;$C65,CHOOSE({1,2},D_技能表!$C$2:$C$1210&amp;D_技能表!$E$2:$E$1210,D_技能表!$Z$2:$Z$1210),2,FALSE),0)</f>
        <v>0</v>
      </c>
      <c r="AJ65">
        <f t="array" aca="1" ref="AJ65" ca="1">IFERROR(VLOOKUP($AJ$5&amp;$C65,CHOOSE({1,2},D_技能表!$C$2:$C$1210&amp;D_技能表!$E$2:$E$1210,D_技能表!$I$2:$I$1210),2,FALSE),0)</f>
        <v>35</v>
      </c>
      <c r="AK65">
        <f t="array" aca="1" ref="AK65" ca="1">IFERROR(VLOOKUP($AJ$5&amp;$C65,CHOOSE({1,2},D_技能表!$C$2:$C$1210&amp;D_技能表!$E$2:$E$1210,D_技能表!$N$2:$N$1210),2,FALSE),0)</f>
        <v>77418</v>
      </c>
      <c r="AL65">
        <f t="array" aca="1" ref="AL65" ca="1">IFERROR(VLOOKUP($AJ$5&amp;$C65,CHOOSE({1,2},D_技能表!$C$2:$C$1210&amp;D_技能表!$E$2:$E$1210,D_技能表!$W$2:$W$1210),2,FALSE),0)</f>
        <v>34</v>
      </c>
      <c r="AM65">
        <f t="array" aca="1" ref="AM65" ca="1">IFERROR(VLOOKUP($AJ$5&amp;$C65,CHOOSE({1,2},D_技能表!$C$2:$C$1210&amp;D_技能表!$E$2:$E$1210,D_技能表!$Z$2:$Z$1210),2,FALSE),0)</f>
        <v>14</v>
      </c>
      <c r="AN65">
        <f t="array" aca="1" ref="AN65" ca="1">IFERROR(VLOOKUP($AN$5&amp;$C65,CHOOSE({1,2},D_技能表!$C$2:$C$1210&amp;D_技能表!$E$2:$E$1210,D_技能表!$I$2:$I$1210),2,FALSE),0)</f>
        <v>0</v>
      </c>
      <c r="AO65">
        <f t="array" aca="1" ref="AO65" ca="1">IFERROR(VLOOKUP($AN$5&amp;$C65,CHOOSE({1,2},D_技能表!$C$2:$C$1210&amp;D_技能表!$E$2:$E$1210,D_技能表!$N$2:$N$1210),2,FALSE),0)</f>
        <v>0</v>
      </c>
      <c r="AP65">
        <f t="array" aca="1" ref="AP65" ca="1">IFERROR(VLOOKUP($AN$5&amp;$C65,CHOOSE({1,2},D_技能表!$C$2:$C$1210&amp;D_技能表!$E$2:$E$1210,D_技能表!$W$2:$W$1210),2,FALSE),0)</f>
        <v>0</v>
      </c>
      <c r="AQ65">
        <f t="array" aca="1" ref="AQ65" ca="1">IFERROR(VLOOKUP($AN$5&amp;$C65,CHOOSE({1,2},D_技能表!$C$2:$C$1210&amp;D_技能表!$E$2:$E$1210,D_技能表!$Z$2:$Z$1210),2,FALSE),0)</f>
        <v>0</v>
      </c>
      <c r="AR65" s="11">
        <f ca="1">SUM($G$7:G66,$K$7:K66,$O$7:O66,$S$7:S66,$W$7:W66,$AA$7:AA66,$AE$7:AE66,$AI$7:AI66,$AM$7:AM66,$AQ$7:AQ66)</f>
        <v>2511</v>
      </c>
      <c r="AS65">
        <f ca="1">SUM($F$7:F66,$J$7:J66,$N$7:N66,$R$7:R66,$V$7:V66,$Z$7:Z66,$AD$7:AD66,$AH$7:AH66,$AL$7:AL66,$AP$7:AP66)</f>
        <v>7580</v>
      </c>
      <c r="AT65">
        <f t="shared" ca="1" si="1"/>
        <v>299</v>
      </c>
      <c r="AU65" s="33">
        <f ca="1">SUM($AX$7:AX65,$BB$7:BB65,$BF$7:BF65,$BJ$7:BJ65)</f>
        <v>1735700</v>
      </c>
      <c r="AV65">
        <v>59</v>
      </c>
      <c r="AW65">
        <f t="array" ref="AW65">IFERROR(VLOOKUP(AW$5&amp;$AV65,CHOOSE({1,2},D_技能表CD!$C$2:$C$313&amp;D_技能表CD!$E$2:$E$313,D_技能表CD!$I$2:$I$313),2,FALSE),0)</f>
        <v>0</v>
      </c>
      <c r="AX65">
        <f t="array" aca="1" ref="AX65" ca="1">IFERROR(VLOOKUP(AW$5&amp;$AV65,CHOOSE({1,2},D_技能表CD!$C$2:$C$313&amp;D_技能表CD!$E$2:$E$313,D_技能表CD!$H$2:$H$313),2,FALSE),0)</f>
        <v>0</v>
      </c>
      <c r="AY65">
        <f t="array" aca="1" ref="AY65" ca="1">IFERROR(VLOOKUP(AW$5&amp;$AV65,CHOOSE({1,2},D_技能表CD!$C$2:$C$313&amp;D_技能表CD!$E$2:$E$313,D_技能表CD!$L$2:$L$313),2,FALSE),0)</f>
        <v>0</v>
      </c>
      <c r="AZ65">
        <f t="array" aca="1" ref="AZ65" ca="1">IFERROR(VLOOKUP(AW$5&amp;$AV65,CHOOSE({1,2},D_技能表CD!$C$2:$C$313&amp;D_技能表CD!$E$2:$E$313,D_技能表CD!$K$2:$K$313),2,FALSE),0)</f>
        <v>0</v>
      </c>
      <c r="BA65">
        <f t="array" ref="BA65">IFERROR(VLOOKUP(BA$5&amp;$AV65,CHOOSE({1,2},D_技能表CD!$C$2:$C$313&amp;D_技能表CD!$E$2:$E$313,D_技能表CD!$I$2:$I$313),2,FALSE),0)</f>
        <v>0</v>
      </c>
      <c r="BB65">
        <f t="array" aca="1" ref="BB65" ca="1">IFERROR(VLOOKUP(BA$5&amp;$AV65,CHOOSE({1,2},D_技能表CD!$C$2:$C$313&amp;D_技能表CD!$E$2:$E$313,D_技能表CD!$H$2:$H$313),2,FALSE),0)</f>
        <v>0</v>
      </c>
      <c r="BC65">
        <f t="array" aca="1" ref="BC65" ca="1">IFERROR(VLOOKUP(BA$5&amp;$AV65,CHOOSE({1,2},D_技能表CD!$C$2:$C$313&amp;D_技能表CD!$E$2:$E$313,D_技能表CD!$L$2:$L$313),2,FALSE),0)</f>
        <v>0</v>
      </c>
      <c r="BD65">
        <f t="array" aca="1" ref="BD65" ca="1">IFERROR(VLOOKUP(BA$5&amp;$AV65,CHOOSE({1,2},D_技能表CD!$C$2:$C$313&amp;D_技能表CD!$E$2:$E$313,D_技能表CD!$K$2:$K$313),2,FALSE),0)</f>
        <v>0</v>
      </c>
      <c r="BE65">
        <f t="array" ref="BE65">IFERROR(VLOOKUP(BE$5&amp;$AV65,CHOOSE({1,2},D_技能表CD!$C$2:$C$313&amp;D_技能表CD!$E$2:$E$313,D_技能表CD!$I$2:$I$313),2,FALSE),0)</f>
        <v>0</v>
      </c>
      <c r="BF65">
        <f t="array" aca="1" ref="BF65" ca="1">IFERROR(VLOOKUP(BE$5&amp;$AV65,CHOOSE({1,2},D_技能表CD!$C$2:$C$313&amp;D_技能表CD!$E$2:$E$313,D_技能表CD!$H$2:$H$313),2,FALSE),0)</f>
        <v>0</v>
      </c>
      <c r="BG65">
        <f t="array" aca="1" ref="BG65" ca="1">IFERROR(VLOOKUP(BE$5&amp;$AV65,CHOOSE({1,2},D_技能表CD!$C$2:$C$313&amp;D_技能表CD!$E$2:$E$313,D_技能表CD!$L$2:$L$313),2,FALSE),0)</f>
        <v>0</v>
      </c>
      <c r="BH65">
        <f t="array" aca="1" ref="BH65" ca="1">IFERROR(VLOOKUP(BE$5&amp;$AV65,CHOOSE({1,2},D_技能表CD!$C$2:$C$313&amp;D_技能表CD!$E$2:$E$313,D_技能表CD!$K$2:$K$313),2,FALSE),0)</f>
        <v>0</v>
      </c>
      <c r="BI65">
        <f t="array" ref="BI65">IFERROR(VLOOKUP(BI$5&amp;$AV65,CHOOSE({1,2},D_技能表CD!$C$2:$C$313&amp;D_技能表CD!$E$2:$E$313,D_技能表CD!$I$2:$I$313),2,FALSE),0)</f>
        <v>19</v>
      </c>
      <c r="BJ65">
        <f t="array" aca="1" ref="BJ65" ca="1">IFERROR(VLOOKUP(BI$5&amp;$AV65,CHOOSE({1,2},D_技能表CD!$C$2:$C$313&amp;D_技能表CD!$E$2:$E$313,D_技能表CD!$H$2:$H$313),2,FALSE),0)</f>
        <v>94200</v>
      </c>
      <c r="BK65">
        <f t="array" aca="1" ref="BK65" ca="1">IFERROR(VLOOKUP(BI$5&amp;$AV65,CHOOSE({1,2},D_技能表CD!$C$2:$C$313&amp;D_技能表CD!$E$2:$E$313,D_技能表CD!$L$2:$L$313),2,FALSE),0)</f>
        <v>279</v>
      </c>
      <c r="BL65">
        <f t="array" aca="1" ref="BL65" ca="1">IFERROR(VLOOKUP(BI$5&amp;$AV65,CHOOSE({1,2},D_技能表CD!$C$2:$C$313&amp;D_技能表CD!$E$2:$E$313,D_技能表CD!$K$2:$K$313),2,FALSE),0)</f>
        <v>499</v>
      </c>
    </row>
    <row r="66" spans="1:64" x14ac:dyDescent="0.15">
      <c r="A66">
        <f t="shared" ca="1" si="0"/>
        <v>12088788</v>
      </c>
      <c r="B66" s="33">
        <f ca="1">SUM($E$7:E66,$I$7:I66,$M$7:M66,$Q$7:Q66,$U$7:U66,$Y$7:Y66,$AC$7:AC66,$AG$7:AG66,$AK$7:AK66,$AO$7:AO66)</f>
        <v>10240038</v>
      </c>
      <c r="C66">
        <v>60</v>
      </c>
      <c r="D66">
        <f t="array" aca="1" ref="D66" ca="1">IFERROR(VLOOKUP($D$5&amp;C66,CHOOSE({1,2},D_技能表!$C$2:$C$1210&amp;D_技能表!$E$2:$E$1210,D_技能表!$I$2:$I$1210),2,FALSE),0)</f>
        <v>37</v>
      </c>
      <c r="E66">
        <f t="array" aca="1" ref="E66" ca="1">IFERROR(VLOOKUP($D$5&amp;$C66,CHOOSE({1,2},D_技能表!$C$2:$C$1210&amp;D_技能表!$E$2:$E$1210,D_技能表!$N$2:$N$1210),2,FALSE),0)</f>
        <v>226368</v>
      </c>
      <c r="F66">
        <f t="array" aca="1" ref="F66" ca="1">IFERROR(VLOOKUP($D$5&amp;$C66,CHOOSE({1,2},D_技能表!$C$2:$C$1210&amp;D_技能表!$E$2:$E$1210,D_技能表!$W$2:$W$1210),2,FALSE),0)</f>
        <v>96</v>
      </c>
      <c r="G66">
        <f t="array" aca="1" ref="G66" ca="1">IFERROR(VLOOKUP($D$5&amp;$C66,CHOOSE({1,2},D_技能表!$C$2:$C$1210&amp;D_技能表!$E$2:$E$1210,D_技能表!$Z$2:$Z$1210),2,FALSE),0)</f>
        <v>39</v>
      </c>
      <c r="H66">
        <f t="array" aca="1" ref="H66" ca="1">IFERROR(VLOOKUP($H$5&amp;$C66,CHOOSE({1,2},D_技能表!$C$2:$C$1210&amp;D_技能表!$E$2:$E$1210,D_技能表!$I$2:$I$1210),2,FALSE),0)</f>
        <v>37</v>
      </c>
      <c r="I66">
        <f t="array" aca="1" ref="I66" ca="1">IFERROR(VLOOKUP($H$5&amp;$C66,CHOOSE({1,2},D_技能表!$C$2:$C$1210&amp;D_技能表!$E$2:$E$1210,D_技能表!$N$2:$N$1210),2,FALSE),0)</f>
        <v>99036</v>
      </c>
      <c r="J66">
        <f t="array" aca="1" ref="J66" ca="1">IFERROR(VLOOKUP($H$5&amp;$C66,CHOOSE({1,2},D_技能表!$C$2:$C$1210&amp;D_技能表!$E$2:$E$1210,D_技能表!$W$2:$W$1210),2,FALSE),0)</f>
        <v>42</v>
      </c>
      <c r="K66">
        <f t="array" aca="1" ref="K66" ca="1">IFERROR(VLOOKUP($H$5&amp;$C66,CHOOSE({1,2},D_技能表!$C$2:$C$1210&amp;D_技能表!$E$2:$E$1210,D_技能表!$Z$2:$Z$1210),2,FALSE),0)</f>
        <v>17</v>
      </c>
      <c r="L66">
        <f t="array" aca="1" ref="L66" ca="1">IFERROR(VLOOKUP($L$5&amp;$C66,CHOOSE({1,2},D_技能表!$C$2:$C$1210&amp;D_技能表!$E$2:$E$1210,D_技能表!$I$2:$I$1210),2,FALSE),0)</f>
        <v>37</v>
      </c>
      <c r="M66">
        <f t="array" aca="1" ref="M66" ca="1">IFERROR(VLOOKUP($L$5&amp;$C66,CHOOSE({1,2},D_技能表!$C$2:$C$1210&amp;D_技能表!$E$2:$E$1210,D_技能表!$N$2:$N$1210),2,FALSE),0)</f>
        <v>99036</v>
      </c>
      <c r="N66">
        <f t="array" aca="1" ref="N66" ca="1">IFERROR(VLOOKUP($L$5&amp;$C66,CHOOSE({1,2},D_技能表!$C$2:$C$1210&amp;D_技能表!$E$2:$E$1210,D_技能表!$W$2:$W$1210),2,FALSE),0)</f>
        <v>42</v>
      </c>
      <c r="O66">
        <f t="array" aca="1" ref="O66" ca="1">IFERROR(VLOOKUP($L$5&amp;$C66,CHOOSE({1,2},D_技能表!$C$2:$C$1210&amp;D_技能表!$E$2:$E$1210,D_技能表!$Z$2:$Z$1210),2,FALSE),0)</f>
        <v>17</v>
      </c>
      <c r="P66">
        <f t="array" aca="1" ref="P66" ca="1">IFERROR(VLOOKUP($P$5&amp;$C66,CHOOSE({1,2},D_技能表!$C$2:$C$1210&amp;D_技能表!$E$2:$E$1210,D_技能表!$I$2:$I$1210),2,FALSE),0)</f>
        <v>36</v>
      </c>
      <c r="Q66">
        <f t="array" aca="1" ref="Q66" ca="1">IFERROR(VLOOKUP($P$5&amp;$C66,CHOOSE({1,2},D_技能表!$C$2:$C$1210&amp;D_技能表!$E$2:$E$1210,D_技能表!$N$2:$N$1210),2,FALSE),0)</f>
        <v>91962</v>
      </c>
      <c r="R66">
        <f t="array" aca="1" ref="R66" ca="1">IFERROR(VLOOKUP($P$5&amp;$C66,CHOOSE({1,2},D_技能表!$C$2:$C$1210&amp;D_技能表!$E$2:$E$1210,D_技能表!$W$2:$W$1210),2,FALSE),0)</f>
        <v>39</v>
      </c>
      <c r="S66">
        <f t="array" aca="1" ref="S66" ca="1">IFERROR(VLOOKUP($P$5&amp;$C66,CHOOSE({1,2},D_技能表!$C$2:$C$1210&amp;D_技能表!$E$2:$E$1210,D_技能表!$Z$2:$Z$1210),2,FALSE),0)</f>
        <v>16</v>
      </c>
      <c r="T66">
        <f t="array" aca="1" ref="T66" ca="1">IFERROR(VLOOKUP($T$5&amp;$C66,CHOOSE({1,2},D_技能表!$C$2:$C$1210&amp;D_技能表!$E$2:$E$1210,D_技能表!$I$2:$I$1210),2,FALSE),0)</f>
        <v>36</v>
      </c>
      <c r="U66">
        <f t="array" aca="1" ref="U66" ca="1">IFERROR(VLOOKUP($T$5&amp;$C66,CHOOSE({1,2},D_技能表!$C$2:$C$1210&amp;D_技能表!$E$2:$E$1210,D_技能表!$N$2:$N$1210),2,FALSE),0)</f>
        <v>150912</v>
      </c>
      <c r="V66">
        <f t="array" aca="1" ref="V66" ca="1">IFERROR(VLOOKUP($T$5&amp;$C66,CHOOSE({1,2},D_技能表!$C$2:$C$1210&amp;D_技能表!$E$2:$E$1210,D_技能表!$W$2:$W$1210),2,FALSE),0)</f>
        <v>64</v>
      </c>
      <c r="W66">
        <f t="array" aca="1" ref="W66" ca="1">IFERROR(VLOOKUP($T$5&amp;$C66,CHOOSE({1,2},D_技能表!$C$2:$C$1210&amp;D_技能表!$E$2:$E$1210,D_技能表!$Z$2:$Z$1210),2,FALSE),0)</f>
        <v>26</v>
      </c>
      <c r="X66">
        <f t="array" aca="1" ref="X66" ca="1">IFERROR(VLOOKUP($X$5&amp;$C66,CHOOSE({1,2},D_技能表!$C$2:$C$1210&amp;D_技能表!$E$2:$E$1210,D_技能表!$I$2:$I$1210),2,FALSE),0)</f>
        <v>0</v>
      </c>
      <c r="Y66">
        <f t="array" aca="1" ref="Y66" ca="1">IFERROR(VLOOKUP($X$5&amp;$C66,CHOOSE({1,2},D_技能表!$C$2:$C$1210&amp;D_技能表!$E$2:$E$1210,D_技能表!$N$2:$N$1210),2,FALSE),0)</f>
        <v>0</v>
      </c>
      <c r="Z66">
        <f t="array" aca="1" ref="Z66" ca="1">IFERROR(VLOOKUP($X$5&amp;$C66,CHOOSE({1,2},D_技能表!$C$2:$C$1210&amp;D_技能表!$E$2:$E$1210,D_技能表!$W$2:$W$1210),2,FALSE),0)</f>
        <v>0</v>
      </c>
      <c r="AA66">
        <f t="array" aca="1" ref="AA66" ca="1">IFERROR(VLOOKUP($X$5&amp;$C66,CHOOSE({1,2},D_技能表!$C$2:$C$1210&amp;D_技能表!$E$2:$E$1210,D_技能表!$Z$2:$Z$1210),2,FALSE),0)</f>
        <v>0</v>
      </c>
      <c r="AB66">
        <f t="array" aca="1" ref="AB66" ca="1">IFERROR(VLOOKUP($AB$5&amp;$C66,CHOOSE({1,2},D_技能表!$C$2:$C$1210&amp;D_技能表!$E$2:$E$1210,D_技能表!$I$2:$I$1210),2,FALSE),0)</f>
        <v>0</v>
      </c>
      <c r="AC66">
        <f t="array" aca="1" ref="AC66" ca="1">IFERROR(VLOOKUP($AB$5&amp;$C66,CHOOSE({1,2},D_技能表!$C$2:$C$1210&amp;D_技能表!$E$2:$E$1210,D_技能表!$N$2:$N$1210),2,FALSE),0)</f>
        <v>0</v>
      </c>
      <c r="AD66">
        <f t="array" aca="1" ref="AD66" ca="1">IFERROR(VLOOKUP($AB$5&amp;$C66,CHOOSE({1,2},D_技能表!$C$2:$C$1210&amp;D_技能表!$E$2:$E$1210,D_技能表!$W$2:$W$1210),2,FALSE),0)</f>
        <v>0</v>
      </c>
      <c r="AE66">
        <f t="array" aca="1" ref="AE66" ca="1">IFERROR(VLOOKUP($AB$5&amp;$C66,CHOOSE({1,2},D_技能表!$C$2:$C$1210&amp;D_技能表!$E$2:$E$1210,D_技能表!$Z$2:$Z$1210),2,FALSE),0)</f>
        <v>0</v>
      </c>
      <c r="AF66">
        <f t="array" aca="1" ref="AF66" ca="1">IFERROR(VLOOKUP($AF$5&amp;$C66,CHOOSE({1,2},D_技能表!$C$2:$C$1210&amp;D_技能表!$E$2:$E$1210,D_技能表!$I$2:$I$1210),2,FALSE),0)</f>
        <v>36</v>
      </c>
      <c r="AG66">
        <f t="array" aca="1" ref="AG66" ca="1">IFERROR(VLOOKUP($AF$5&amp;$C66,CHOOSE({1,2},D_技能表!$C$2:$C$1210&amp;D_技能表!$E$2:$E$1210,D_技能表!$N$2:$N$1210),2,FALSE),0)</f>
        <v>87246</v>
      </c>
      <c r="AH66">
        <f t="array" aca="1" ref="AH66" ca="1">IFERROR(VLOOKUP($AF$5&amp;$C66,CHOOSE({1,2},D_技能表!$C$2:$C$1210&amp;D_技能表!$E$2:$E$1210,D_技能表!$W$2:$W$1210),2,FALSE),0)</f>
        <v>37</v>
      </c>
      <c r="AI66">
        <f t="array" aca="1" ref="AI66" ca="1">IFERROR(VLOOKUP($AF$5&amp;$C66,CHOOSE({1,2},D_技能表!$C$2:$C$1210&amp;D_技能表!$E$2:$E$1210,D_技能表!$Z$2:$Z$1210),2,FALSE),0)</f>
        <v>15</v>
      </c>
      <c r="AJ66">
        <f t="array" aca="1" ref="AJ66" ca="1">IFERROR(VLOOKUP($AJ$5&amp;$C66,CHOOSE({1,2},D_技能表!$C$2:$C$1210&amp;D_技能表!$E$2:$E$1210,D_技能表!$I$2:$I$1210),2,FALSE),0)</f>
        <v>36</v>
      </c>
      <c r="AK66">
        <f t="array" aca="1" ref="AK66" ca="1">IFERROR(VLOOKUP($AJ$5&amp;$C66,CHOOSE({1,2},D_技能表!$C$2:$C$1210&amp;D_技能表!$E$2:$E$1210,D_技能表!$N$2:$N$1210),2,FALSE),0)</f>
        <v>87246</v>
      </c>
      <c r="AL66">
        <f t="array" aca="1" ref="AL66" ca="1">IFERROR(VLOOKUP($AJ$5&amp;$C66,CHOOSE({1,2},D_技能表!$C$2:$C$1210&amp;D_技能表!$E$2:$E$1210,D_技能表!$W$2:$W$1210),2,FALSE),0)</f>
        <v>37</v>
      </c>
      <c r="AM66">
        <f t="array" aca="1" ref="AM66" ca="1">IFERROR(VLOOKUP($AJ$5&amp;$C66,CHOOSE({1,2},D_技能表!$C$2:$C$1210&amp;D_技能表!$E$2:$E$1210,D_技能表!$Z$2:$Z$1210),2,FALSE),0)</f>
        <v>15</v>
      </c>
      <c r="AN66">
        <f t="array" aca="1" ref="AN66" ca="1">IFERROR(VLOOKUP($AN$5&amp;$C66,CHOOSE({1,2},D_技能表!$C$2:$C$1210&amp;D_技能表!$E$2:$E$1210,D_技能表!$I$2:$I$1210),2,FALSE),0)</f>
        <v>35</v>
      </c>
      <c r="AO66">
        <f t="array" aca="1" ref="AO66" ca="1">IFERROR(VLOOKUP($AN$5&amp;$C66,CHOOSE({1,2},D_技能表!$C$2:$C$1210&amp;D_技能表!$E$2:$E$1210,D_技能表!$N$2:$N$1210),2,FALSE),0)</f>
        <v>148554</v>
      </c>
      <c r="AP66">
        <f t="array" aca="1" ref="AP66" ca="1">IFERROR(VLOOKUP($AN$5&amp;$C66,CHOOSE({1,2},D_技能表!$C$2:$C$1210&amp;D_技能表!$E$2:$E$1210,D_技能表!$W$2:$W$1210),2,FALSE),0)</f>
        <v>63</v>
      </c>
      <c r="AQ66">
        <f t="array" aca="1" ref="AQ66" ca="1">IFERROR(VLOOKUP($AN$5&amp;$C66,CHOOSE({1,2},D_技能表!$C$2:$C$1210&amp;D_技能表!$E$2:$E$1210,D_技能表!$Z$2:$Z$1210),2,FALSE),0)</f>
        <v>26</v>
      </c>
      <c r="AR66" s="11">
        <f ca="1">SUM($G$7:G67,$K$7:K67,$O$7:O67,$S$7:S67,$W$7:W67,$AA$7:AA67,$AE$7:AE67,$AI$7:AI67,$AM$7:AM67,$AQ$7:AQ67)</f>
        <v>2668</v>
      </c>
      <c r="AS66">
        <f ca="1">SUM($F$7:F67,$J$7:J67,$N$7:N67,$R$7:R67,$V$7:V67,$Z$7:Z67,$AD$7:AD67,$AH$7:AH67,$AL$7:AL67,$AP$7:AP67)</f>
        <v>7967</v>
      </c>
      <c r="AT66">
        <f t="shared" ca="1" si="1"/>
        <v>420</v>
      </c>
      <c r="AU66" s="33">
        <f ca="1">SUM($AX$7:AX66,$BB$7:BB66,$BF$7:BF66,$BJ$7:BJ66)</f>
        <v>1848750</v>
      </c>
      <c r="AV66">
        <v>60</v>
      </c>
      <c r="AW66">
        <f t="array" ref="AW66">IFERROR(VLOOKUP(AW$5&amp;$AV66,CHOOSE({1,2},D_技能表CD!$C$2:$C$313&amp;D_技能表CD!$E$2:$E$313,D_技能表CD!$I$2:$I$313),2,FALSE),0)</f>
        <v>0</v>
      </c>
      <c r="AX66">
        <f t="array" aca="1" ref="AX66" ca="1">IFERROR(VLOOKUP(AW$5&amp;$AV66,CHOOSE({1,2},D_技能表CD!$C$2:$C$313&amp;D_技能表CD!$E$2:$E$313,D_技能表CD!$H$2:$H$313),2,FALSE),0)</f>
        <v>0</v>
      </c>
      <c r="AY66">
        <f t="array" aca="1" ref="AY66" ca="1">IFERROR(VLOOKUP(AW$5&amp;$AV66,CHOOSE({1,2},D_技能表CD!$C$2:$C$313&amp;D_技能表CD!$E$2:$E$313,D_技能表CD!$L$2:$L$313),2,FALSE),0)</f>
        <v>0</v>
      </c>
      <c r="AZ66">
        <f t="array" aca="1" ref="AZ66" ca="1">IFERROR(VLOOKUP(AW$5&amp;$AV66,CHOOSE({1,2},D_技能表CD!$C$2:$C$313&amp;D_技能表CD!$E$2:$E$313,D_技能表CD!$K$2:$K$313),2,FALSE),0)</f>
        <v>0</v>
      </c>
      <c r="BA66">
        <f t="array" ref="BA66">IFERROR(VLOOKUP(BA$5&amp;$AV66,CHOOSE({1,2},D_技能表CD!$C$2:$C$313&amp;D_技能表CD!$E$2:$E$313,D_技能表CD!$I$2:$I$313),2,FALSE),0)</f>
        <v>20</v>
      </c>
      <c r="BB66">
        <f t="array" aca="1" ref="BB66" ca="1">IFERROR(VLOOKUP(BA$5&amp;$AV66,CHOOSE({1,2},D_技能表CD!$C$2:$C$313&amp;D_技能表CD!$E$2:$E$313,D_技能表CD!$H$2:$H$313),2,FALSE),0)</f>
        <v>113050</v>
      </c>
      <c r="BC66">
        <f t="array" aca="1" ref="BC66" ca="1">IFERROR(VLOOKUP(BA$5&amp;$AV66,CHOOSE({1,2},D_技能表CD!$C$2:$C$313&amp;D_技能表CD!$E$2:$E$313,D_技能表CD!$L$2:$L$313),2,FALSE),0)</f>
        <v>332</v>
      </c>
      <c r="BD66">
        <f t="array" aca="1" ref="BD66" ca="1">IFERROR(VLOOKUP(BA$5&amp;$AV66,CHOOSE({1,2},D_技能表CD!$C$2:$C$313&amp;D_技能表CD!$E$2:$E$313,D_技能表CD!$K$2:$K$313),2,FALSE),0)</f>
        <v>617</v>
      </c>
      <c r="BE66">
        <f t="array" ref="BE66">IFERROR(VLOOKUP(BE$5&amp;$AV66,CHOOSE({1,2},D_技能表CD!$C$2:$C$313&amp;D_技能表CD!$E$2:$E$313,D_技能表CD!$I$2:$I$313),2,FALSE),0)</f>
        <v>0</v>
      </c>
      <c r="BF66">
        <f t="array" aca="1" ref="BF66" ca="1">IFERROR(VLOOKUP(BE$5&amp;$AV66,CHOOSE({1,2},D_技能表CD!$C$2:$C$313&amp;D_技能表CD!$E$2:$E$313,D_技能表CD!$H$2:$H$313),2,FALSE),0)</f>
        <v>0</v>
      </c>
      <c r="BG66">
        <f t="array" aca="1" ref="BG66" ca="1">IFERROR(VLOOKUP(BE$5&amp;$AV66,CHOOSE({1,2},D_技能表CD!$C$2:$C$313&amp;D_技能表CD!$E$2:$E$313,D_技能表CD!$L$2:$L$313),2,FALSE),0)</f>
        <v>0</v>
      </c>
      <c r="BH66">
        <f t="array" aca="1" ref="BH66" ca="1">IFERROR(VLOOKUP(BE$5&amp;$AV66,CHOOSE({1,2},D_技能表CD!$C$2:$C$313&amp;D_技能表CD!$E$2:$E$313,D_技能表CD!$K$2:$K$313),2,FALSE),0)</f>
        <v>0</v>
      </c>
      <c r="BI66">
        <f t="array" ref="BI66">IFERROR(VLOOKUP(BI$5&amp;$AV66,CHOOSE({1,2},D_技能表CD!$C$2:$C$313&amp;D_技能表CD!$E$2:$E$313,D_技能表CD!$I$2:$I$313),2,FALSE),0)</f>
        <v>0</v>
      </c>
      <c r="BJ66">
        <f t="array" aca="1" ref="BJ66" ca="1">IFERROR(VLOOKUP(BI$5&amp;$AV66,CHOOSE({1,2},D_技能表CD!$C$2:$C$313&amp;D_技能表CD!$E$2:$E$313,D_技能表CD!$H$2:$H$313),2,FALSE),0)</f>
        <v>0</v>
      </c>
      <c r="BK66">
        <f t="array" aca="1" ref="BK66" ca="1">IFERROR(VLOOKUP(BI$5&amp;$AV66,CHOOSE({1,2},D_技能表CD!$C$2:$C$313&amp;D_技能表CD!$E$2:$E$313,D_技能表CD!$L$2:$L$313),2,FALSE),0)</f>
        <v>0</v>
      </c>
      <c r="BL66">
        <f t="array" aca="1" ref="BL66" ca="1">IFERROR(VLOOKUP(BI$5&amp;$AV66,CHOOSE({1,2},D_技能表CD!$C$2:$C$313&amp;D_技能表CD!$E$2:$E$313,D_技能表CD!$K$2:$K$313),2,FALSE),0)</f>
        <v>0</v>
      </c>
    </row>
    <row r="67" spans="1:64" x14ac:dyDescent="0.15">
      <c r="A67">
        <f t="shared" ca="1" si="0"/>
        <v>13152318</v>
      </c>
      <c r="B67" s="33">
        <f ca="1">SUM($E$7:E67,$I$7:I67,$M$7:M67,$Q$7:Q67,$U$7:U67,$Y$7:Y67,$AC$7:AC67,$AG$7:AG67,$AK$7:AK67,$AO$7:AO67)</f>
        <v>11184318</v>
      </c>
      <c r="C67">
        <v>61</v>
      </c>
      <c r="D67">
        <f t="array" aca="1" ref="D67" ca="1">IFERROR(VLOOKUP($D$5&amp;C67,CHOOSE({1,2},D_技能表!$C$2:$C$1210&amp;D_技能表!$E$2:$E$1210,D_技能表!$I$2:$I$1210),2,FALSE),0)</f>
        <v>38</v>
      </c>
      <c r="E67">
        <f t="array" aca="1" ref="E67" ca="1">IFERROR(VLOOKUP($D$5&amp;$C67,CHOOSE({1,2},D_技能表!$C$2:$C$1210&amp;D_技能表!$E$2:$E$1210,D_技能表!$N$2:$N$1210),2,FALSE),0)</f>
        <v>251320</v>
      </c>
      <c r="F67">
        <f t="array" aca="1" ref="F67" ca="1">IFERROR(VLOOKUP($D$5&amp;$C67,CHOOSE({1,2},D_技能表!$C$2:$C$1210&amp;D_技能表!$E$2:$E$1210,D_技能表!$W$2:$W$1210),2,FALSE),0)</f>
        <v>103</v>
      </c>
      <c r="G67">
        <f t="array" aca="1" ref="G67" ca="1">IFERROR(VLOOKUP($D$5&amp;$C67,CHOOSE({1,2},D_技能表!$C$2:$C$1210&amp;D_技能表!$E$2:$E$1210,D_技能表!$Z$2:$Z$1210),2,FALSE),0)</f>
        <v>42</v>
      </c>
      <c r="H67">
        <f t="array" aca="1" ref="H67" ca="1">IFERROR(VLOOKUP($H$5&amp;$C67,CHOOSE({1,2},D_技能表!$C$2:$C$1210&amp;D_技能表!$E$2:$E$1210,D_技能表!$I$2:$I$1210),2,FALSE),0)</f>
        <v>0</v>
      </c>
      <c r="I67">
        <f t="array" aca="1" ref="I67" ca="1">IFERROR(VLOOKUP($H$5&amp;$C67,CHOOSE({1,2},D_技能表!$C$2:$C$1210&amp;D_技能表!$E$2:$E$1210,D_技能表!$N$2:$N$1210),2,FALSE),0)</f>
        <v>0</v>
      </c>
      <c r="J67">
        <f t="array" aca="1" ref="J67" ca="1">IFERROR(VLOOKUP($H$5&amp;$C67,CHOOSE({1,2},D_技能表!$C$2:$C$1210&amp;D_技能表!$E$2:$E$1210,D_技能表!$W$2:$W$1210),2,FALSE),0)</f>
        <v>0</v>
      </c>
      <c r="K67">
        <f t="array" aca="1" ref="K67" ca="1">IFERROR(VLOOKUP($H$5&amp;$C67,CHOOSE({1,2},D_技能表!$C$2:$C$1210&amp;D_技能表!$E$2:$E$1210,D_技能表!$Z$2:$Z$1210),2,FALSE),0)</f>
        <v>0</v>
      </c>
      <c r="L67">
        <f t="array" aca="1" ref="L67" ca="1">IFERROR(VLOOKUP($L$5&amp;$C67,CHOOSE({1,2},D_技能表!$C$2:$C$1210&amp;D_技能表!$E$2:$E$1210,D_技能表!$I$2:$I$1210),2,FALSE),0)</f>
        <v>0</v>
      </c>
      <c r="M67">
        <f t="array" aca="1" ref="M67" ca="1">IFERROR(VLOOKUP($L$5&amp;$C67,CHOOSE({1,2},D_技能表!$C$2:$C$1210&amp;D_技能表!$E$2:$E$1210,D_技能表!$N$2:$N$1210),2,FALSE),0)</f>
        <v>0</v>
      </c>
      <c r="N67">
        <f t="array" aca="1" ref="N67" ca="1">IFERROR(VLOOKUP($L$5&amp;$C67,CHOOSE({1,2},D_技能表!$C$2:$C$1210&amp;D_技能表!$E$2:$E$1210,D_技能表!$W$2:$W$1210),2,FALSE),0)</f>
        <v>0</v>
      </c>
      <c r="O67">
        <f t="array" aca="1" ref="O67" ca="1">IFERROR(VLOOKUP($L$5&amp;$C67,CHOOSE({1,2},D_技能表!$C$2:$C$1210&amp;D_技能表!$E$2:$E$1210,D_技能表!$Z$2:$Z$1210),2,FALSE),0)</f>
        <v>0</v>
      </c>
      <c r="P67">
        <f t="array" aca="1" ref="P67" ca="1">IFERROR(VLOOKUP($P$5&amp;$C67,CHOOSE({1,2},D_技能表!$C$2:$C$1210&amp;D_技能表!$E$2:$E$1210,D_技能表!$I$2:$I$1210),2,FALSE),0)</f>
        <v>37</v>
      </c>
      <c r="Q67">
        <f t="array" aca="1" ref="Q67" ca="1">IFERROR(VLOOKUP($P$5&amp;$C67,CHOOSE({1,2},D_技能表!$C$2:$C$1210&amp;D_技能表!$E$2:$E$1210,D_技能表!$N$2:$N$1210),2,FALSE),0)</f>
        <v>102480</v>
      </c>
      <c r="R67">
        <f t="array" aca="1" ref="R67" ca="1">IFERROR(VLOOKUP($P$5&amp;$C67,CHOOSE({1,2},D_技能表!$C$2:$C$1210&amp;D_技能表!$E$2:$E$1210,D_技能表!$W$2:$W$1210),2,FALSE),0)</f>
        <v>42</v>
      </c>
      <c r="S67">
        <f t="array" aca="1" ref="S67" ca="1">IFERROR(VLOOKUP($P$5&amp;$C67,CHOOSE({1,2},D_技能表!$C$2:$C$1210&amp;D_技能表!$E$2:$E$1210,D_技能表!$Z$2:$Z$1210),2,FALSE),0)</f>
        <v>17</v>
      </c>
      <c r="T67">
        <f t="array" aca="1" ref="T67" ca="1">IFERROR(VLOOKUP($T$5&amp;$C67,CHOOSE({1,2},D_技能表!$C$2:$C$1210&amp;D_技能表!$E$2:$E$1210,D_技能表!$I$2:$I$1210),2,FALSE),0)</f>
        <v>0</v>
      </c>
      <c r="U67">
        <f t="array" aca="1" ref="U67" ca="1">IFERROR(VLOOKUP($T$5&amp;$C67,CHOOSE({1,2},D_技能表!$C$2:$C$1210&amp;D_技能表!$E$2:$E$1210,D_技能表!$N$2:$N$1210),2,FALSE),0)</f>
        <v>0</v>
      </c>
      <c r="V67">
        <f t="array" aca="1" ref="V67" ca="1">IFERROR(VLOOKUP($T$5&amp;$C67,CHOOSE({1,2},D_技能表!$C$2:$C$1210&amp;D_技能表!$E$2:$E$1210,D_技能表!$W$2:$W$1210),2,FALSE),0)</f>
        <v>0</v>
      </c>
      <c r="W67">
        <f t="array" aca="1" ref="W67" ca="1">IFERROR(VLOOKUP($T$5&amp;$C67,CHOOSE({1,2},D_技能表!$C$2:$C$1210&amp;D_技能表!$E$2:$E$1210,D_技能表!$Z$2:$Z$1210),2,FALSE),0)</f>
        <v>0</v>
      </c>
      <c r="X67">
        <f t="array" aca="1" ref="X67" ca="1">IFERROR(VLOOKUP($X$5&amp;$C67,CHOOSE({1,2},D_技能表!$C$2:$C$1210&amp;D_技能表!$E$2:$E$1210,D_技能表!$I$2:$I$1210),2,FALSE),0)</f>
        <v>37</v>
      </c>
      <c r="Y67">
        <f t="array" aca="1" ref="Y67" ca="1">IFERROR(VLOOKUP($X$5&amp;$C67,CHOOSE({1,2},D_技能表!$C$2:$C$1210&amp;D_技能表!$E$2:$E$1210,D_技能表!$N$2:$N$1210),2,FALSE),0)</f>
        <v>224480</v>
      </c>
      <c r="Z67">
        <f t="array" aca="1" ref="Z67" ca="1">IFERROR(VLOOKUP($X$5&amp;$C67,CHOOSE({1,2},D_技能表!$C$2:$C$1210&amp;D_技能表!$E$2:$E$1210,D_技能表!$W$2:$W$1210),2,FALSE),0)</f>
        <v>92</v>
      </c>
      <c r="AA67">
        <f t="array" aca="1" ref="AA67" ca="1">IFERROR(VLOOKUP($X$5&amp;$C67,CHOOSE({1,2},D_技能表!$C$2:$C$1210&amp;D_技能表!$E$2:$E$1210,D_技能表!$Z$2:$Z$1210),2,FALSE),0)</f>
        <v>37</v>
      </c>
      <c r="AB67">
        <f t="array" aca="1" ref="AB67" ca="1">IFERROR(VLOOKUP($AB$5&amp;$C67,CHOOSE({1,2},D_技能表!$C$2:$C$1210&amp;D_技能表!$E$2:$E$1210,D_技能表!$I$2:$I$1210),2,FALSE),0)</f>
        <v>37</v>
      </c>
      <c r="AC67">
        <f t="array" aca="1" ref="AC67" ca="1">IFERROR(VLOOKUP($AB$5&amp;$C67,CHOOSE({1,2},D_技能表!$C$2:$C$1210&amp;D_技能表!$E$2:$E$1210,D_技能表!$N$2:$N$1210),2,FALSE),0)</f>
        <v>107360</v>
      </c>
      <c r="AD67">
        <f t="array" aca="1" ref="AD67" ca="1">IFERROR(VLOOKUP($AB$5&amp;$C67,CHOOSE({1,2},D_技能表!$C$2:$C$1210&amp;D_技能表!$E$2:$E$1210,D_技能表!$W$2:$W$1210),2,FALSE),0)</f>
        <v>44</v>
      </c>
      <c r="AE67">
        <f t="array" aca="1" ref="AE67" ca="1">IFERROR(VLOOKUP($AB$5&amp;$C67,CHOOSE({1,2},D_技能表!$C$2:$C$1210&amp;D_技能表!$E$2:$E$1210,D_技能表!$Z$2:$Z$1210),2,FALSE),0)</f>
        <v>18</v>
      </c>
      <c r="AF67">
        <f t="array" aca="1" ref="AF67" ca="1">IFERROR(VLOOKUP($AF$5&amp;$C67,CHOOSE({1,2},D_技能表!$C$2:$C$1210&amp;D_技能表!$E$2:$E$1210,D_技能表!$I$2:$I$1210),2,FALSE),0)</f>
        <v>37</v>
      </c>
      <c r="AG67">
        <f t="array" aca="1" ref="AG67" ca="1">IFERROR(VLOOKUP($AF$5&amp;$C67,CHOOSE({1,2},D_技能表!$C$2:$C$1210&amp;D_技能表!$E$2:$E$1210,D_技能表!$N$2:$N$1210),2,FALSE),0)</f>
        <v>95160</v>
      </c>
      <c r="AH67">
        <f t="array" aca="1" ref="AH67" ca="1">IFERROR(VLOOKUP($AF$5&amp;$C67,CHOOSE({1,2},D_技能表!$C$2:$C$1210&amp;D_技能表!$E$2:$E$1210,D_技能表!$W$2:$W$1210),2,FALSE),0)</f>
        <v>39</v>
      </c>
      <c r="AI67">
        <f t="array" aca="1" ref="AI67" ca="1">IFERROR(VLOOKUP($AF$5&amp;$C67,CHOOSE({1,2},D_技能表!$C$2:$C$1210&amp;D_技能表!$E$2:$E$1210,D_技能表!$Z$2:$Z$1210),2,FALSE),0)</f>
        <v>16</v>
      </c>
      <c r="AJ67">
        <f t="array" aca="1" ref="AJ67" ca="1">IFERROR(VLOOKUP($AJ$5&amp;$C67,CHOOSE({1,2},D_技能表!$C$2:$C$1210&amp;D_技能表!$E$2:$E$1210,D_技能表!$I$2:$I$1210),2,FALSE),0)</f>
        <v>0</v>
      </c>
      <c r="AK67">
        <f t="array" aca="1" ref="AK67" ca="1">IFERROR(VLOOKUP($AJ$5&amp;$C67,CHOOSE({1,2},D_技能表!$C$2:$C$1210&amp;D_技能表!$E$2:$E$1210,D_技能表!$N$2:$N$1210),2,FALSE),0)</f>
        <v>0</v>
      </c>
      <c r="AL67">
        <f t="array" aca="1" ref="AL67" ca="1">IFERROR(VLOOKUP($AJ$5&amp;$C67,CHOOSE({1,2},D_技能表!$C$2:$C$1210&amp;D_技能表!$E$2:$E$1210,D_技能表!$W$2:$W$1210),2,FALSE),0)</f>
        <v>0</v>
      </c>
      <c r="AM67">
        <f t="array" aca="1" ref="AM67" ca="1">IFERROR(VLOOKUP($AJ$5&amp;$C67,CHOOSE({1,2},D_技能表!$C$2:$C$1210&amp;D_技能表!$E$2:$E$1210,D_技能表!$Z$2:$Z$1210),2,FALSE),0)</f>
        <v>0</v>
      </c>
      <c r="AN67">
        <f t="array" aca="1" ref="AN67" ca="1">IFERROR(VLOOKUP($AN$5&amp;$C67,CHOOSE({1,2},D_技能表!$C$2:$C$1210&amp;D_技能表!$E$2:$E$1210,D_技能表!$I$2:$I$1210),2,FALSE),0)</f>
        <v>36</v>
      </c>
      <c r="AO67">
        <f t="array" aca="1" ref="AO67" ca="1">IFERROR(VLOOKUP($AN$5&amp;$C67,CHOOSE({1,2},D_技能表!$C$2:$C$1210&amp;D_技能表!$E$2:$E$1210,D_技能表!$N$2:$N$1210),2,FALSE),0)</f>
        <v>163480</v>
      </c>
      <c r="AP67">
        <f t="array" aca="1" ref="AP67" ca="1">IFERROR(VLOOKUP($AN$5&amp;$C67,CHOOSE({1,2},D_技能表!$C$2:$C$1210&amp;D_技能表!$E$2:$E$1210,D_技能表!$W$2:$W$1210),2,FALSE),0)</f>
        <v>67</v>
      </c>
      <c r="AQ67">
        <f t="array" aca="1" ref="AQ67" ca="1">IFERROR(VLOOKUP($AN$5&amp;$C67,CHOOSE({1,2},D_技能表!$C$2:$C$1210&amp;D_技能表!$E$2:$E$1210,D_技能表!$Z$2:$Z$1210),2,FALSE),0)</f>
        <v>27</v>
      </c>
      <c r="AR67" s="11">
        <f ca="1">SUM($G$7:G68,$K$7:K68,$O$7:O68,$S$7:S68,$W$7:W68,$AA$7:AA68,$AE$7:AE68,$AI$7:AI68,$AM$7:AM68,$AQ$7:AQ68)</f>
        <v>2854</v>
      </c>
      <c r="AS67">
        <f ca="1">SUM($F$7:F68,$J$7:J68,$N$7:N68,$R$7:R68,$V$7:V68,$Z$7:Z68,$AD$7:AD68,$AH$7:AH68,$AL$7:AL68,$AP$7:AP68)</f>
        <v>8427</v>
      </c>
      <c r="AT67">
        <f t="shared" ca="1" si="1"/>
        <v>387</v>
      </c>
      <c r="AU67" s="33">
        <f ca="1">SUM($AX$7:AX67,$BB$7:BB67,$BF$7:BF67,$BJ$7:BJ67)</f>
        <v>1968000</v>
      </c>
      <c r="AV67">
        <v>61</v>
      </c>
      <c r="AW67">
        <f t="array" ref="AW67">IFERROR(VLOOKUP(AW$5&amp;$AV67,CHOOSE({1,2},D_技能表CD!$C$2:$C$313&amp;D_技能表CD!$E$2:$E$313,D_技能表CD!$I$2:$I$313),2,FALSE),0)</f>
        <v>21</v>
      </c>
      <c r="AX67">
        <f t="array" aca="1" ref="AX67" ca="1">IFERROR(VLOOKUP(AW$5&amp;$AV67,CHOOSE({1,2},D_技能表CD!$C$2:$C$313&amp;D_技能表CD!$E$2:$E$313,D_技能表CD!$H$2:$H$313),2,FALSE),0)</f>
        <v>68900</v>
      </c>
      <c r="AY67">
        <f t="array" aca="1" ref="AY67" ca="1">IFERROR(VLOOKUP(AW$5&amp;$AV67,CHOOSE({1,2},D_技能表CD!$C$2:$C$313&amp;D_技能表CD!$E$2:$E$313,D_技能表CD!$L$2:$L$313),2,FALSE),0)</f>
        <v>201</v>
      </c>
      <c r="AZ67">
        <f t="array" aca="1" ref="AZ67" ca="1">IFERROR(VLOOKUP(AW$5&amp;$AV67,CHOOSE({1,2},D_技能表CD!$C$2:$C$313&amp;D_技能表CD!$E$2:$E$313,D_技能表CD!$K$2:$K$313),2,FALSE),0)</f>
        <v>388</v>
      </c>
      <c r="BA67">
        <f t="array" ref="BA67">IFERROR(VLOOKUP(BA$5&amp;$AV67,CHOOSE({1,2},D_技能表CD!$C$2:$C$313&amp;D_技能表CD!$E$2:$E$313,D_技能表CD!$I$2:$I$313),2,FALSE),0)</f>
        <v>0</v>
      </c>
      <c r="BB67">
        <f t="array" aca="1" ref="BB67" ca="1">IFERROR(VLOOKUP(BA$5&amp;$AV67,CHOOSE({1,2},D_技能表CD!$C$2:$C$313&amp;D_技能表CD!$E$2:$E$313,D_技能表CD!$H$2:$H$313),2,FALSE),0)</f>
        <v>0</v>
      </c>
      <c r="BC67">
        <f t="array" aca="1" ref="BC67" ca="1">IFERROR(VLOOKUP(BA$5&amp;$AV67,CHOOSE({1,2},D_技能表CD!$C$2:$C$313&amp;D_技能表CD!$E$2:$E$313,D_技能表CD!$L$2:$L$313),2,FALSE),0)</f>
        <v>0</v>
      </c>
      <c r="BD67">
        <f t="array" aca="1" ref="BD67" ca="1">IFERROR(VLOOKUP(BA$5&amp;$AV67,CHOOSE({1,2},D_技能表CD!$C$2:$C$313&amp;D_技能表CD!$E$2:$E$313,D_技能表CD!$K$2:$K$313),2,FALSE),0)</f>
        <v>0</v>
      </c>
      <c r="BE67">
        <f t="array" ref="BE67">IFERROR(VLOOKUP(BE$5&amp;$AV67,CHOOSE({1,2},D_技能表CD!$C$2:$C$313&amp;D_技能表CD!$E$2:$E$313,D_技能表CD!$I$2:$I$313),2,FALSE),0)</f>
        <v>20</v>
      </c>
      <c r="BF67">
        <f t="array" aca="1" ref="BF67" ca="1">IFERROR(VLOOKUP(BE$5&amp;$AV67,CHOOSE({1,2},D_技能表CD!$C$2:$C$313&amp;D_技能表CD!$E$2:$E$313,D_技能表CD!$H$2:$H$313),2,FALSE),0)</f>
        <v>50350</v>
      </c>
      <c r="BG67">
        <f t="array" aca="1" ref="BG67" ca="1">IFERROR(VLOOKUP(BE$5&amp;$AV67,CHOOSE({1,2},D_技能表CD!$C$2:$C$313&amp;D_技能表CD!$E$2:$E$313,D_技能表CD!$L$2:$L$313),2,FALSE),0)</f>
        <v>147</v>
      </c>
      <c r="BH67">
        <f t="array" aca="1" ref="BH67" ca="1">IFERROR(VLOOKUP(BE$5&amp;$AV67,CHOOSE({1,2},D_技能表CD!$C$2:$C$313&amp;D_技能表CD!$E$2:$E$313,D_技能表CD!$K$2:$K$313),2,FALSE),0)</f>
        <v>273</v>
      </c>
      <c r="BI67">
        <f t="array" ref="BI67">IFERROR(VLOOKUP(BI$5&amp;$AV67,CHOOSE({1,2},D_技能表CD!$C$2:$C$313&amp;D_技能表CD!$E$2:$E$313,D_技能表CD!$I$2:$I$313),2,FALSE),0)</f>
        <v>0</v>
      </c>
      <c r="BJ67">
        <f t="array" aca="1" ref="BJ67" ca="1">IFERROR(VLOOKUP(BI$5&amp;$AV67,CHOOSE({1,2},D_技能表CD!$C$2:$C$313&amp;D_技能表CD!$E$2:$E$313,D_技能表CD!$H$2:$H$313),2,FALSE),0)</f>
        <v>0</v>
      </c>
      <c r="BK67">
        <f t="array" aca="1" ref="BK67" ca="1">IFERROR(VLOOKUP(BI$5&amp;$AV67,CHOOSE({1,2},D_技能表CD!$C$2:$C$313&amp;D_技能表CD!$E$2:$E$313,D_技能表CD!$L$2:$L$313),2,FALSE),0)</f>
        <v>0</v>
      </c>
      <c r="BL67">
        <f t="array" aca="1" ref="BL67" ca="1">IFERROR(VLOOKUP(BI$5&amp;$AV67,CHOOSE({1,2},D_技能表CD!$C$2:$C$313&amp;D_技能表CD!$E$2:$E$313,D_技能表CD!$K$2:$K$313),2,FALSE),0)</f>
        <v>0</v>
      </c>
    </row>
    <row r="68" spans="1:64" x14ac:dyDescent="0.15">
      <c r="A68">
        <f t="shared" ca="1" si="0"/>
        <v>14423758</v>
      </c>
      <c r="B68" s="33">
        <f ca="1">SUM($E$7:E68,$I$7:I68,$M$7:M68,$Q$7:Q68,$U$7:U68,$Y$7:Y68,$AC$7:AC68,$AG$7:AG68,$AK$7:AK68,$AO$7:AO68)</f>
        <v>12345358</v>
      </c>
      <c r="C68">
        <v>62</v>
      </c>
      <c r="D68">
        <f t="array" aca="1" ref="D68" ca="1">IFERROR(VLOOKUP($D$5&amp;C68,CHOOSE({1,2},D_技能表!$C$2:$C$1210&amp;D_技能表!$E$2:$E$1210,D_技能表!$I$2:$I$1210),2,FALSE),0)</f>
        <v>0</v>
      </c>
      <c r="E68">
        <f t="array" aca="1" ref="E68" ca="1">IFERROR(VLOOKUP($D$5&amp;$C68,CHOOSE({1,2},D_技能表!$C$2:$C$1210&amp;D_技能表!$E$2:$E$1210,D_技能表!$N$2:$N$1210),2,FALSE),0)</f>
        <v>0</v>
      </c>
      <c r="F68">
        <f t="array" aca="1" ref="F68" ca="1">IFERROR(VLOOKUP($D$5&amp;$C68,CHOOSE({1,2},D_技能表!$C$2:$C$1210&amp;D_技能表!$E$2:$E$1210,D_技能表!$W$2:$W$1210),2,FALSE),0)</f>
        <v>0</v>
      </c>
      <c r="G68">
        <f t="array" aca="1" ref="G68" ca="1">IFERROR(VLOOKUP($D$5&amp;$C68,CHOOSE({1,2},D_技能表!$C$2:$C$1210&amp;D_技能表!$E$2:$E$1210,D_技能表!$Z$2:$Z$1210),2,FALSE),0)</f>
        <v>0</v>
      </c>
      <c r="H68">
        <f t="array" aca="1" ref="H68" ca="1">IFERROR(VLOOKUP($H$5&amp;$C68,CHOOSE({1,2},D_技能表!$C$2:$C$1210&amp;D_技能表!$E$2:$E$1210,D_技能表!$I$2:$I$1210),2,FALSE),0)</f>
        <v>38</v>
      </c>
      <c r="I68">
        <f t="array" aca="1" ref="I68" ca="1">IFERROR(VLOOKUP($H$5&amp;$C68,CHOOSE({1,2},D_技能表!$C$2:$C$1210&amp;D_技能表!$E$2:$E$1210,D_技能表!$N$2:$N$1210),2,FALSE),0)</f>
        <v>113580</v>
      </c>
      <c r="J68">
        <f t="array" aca="1" ref="J68" ca="1">IFERROR(VLOOKUP($H$5&amp;$C68,CHOOSE({1,2},D_技能表!$C$2:$C$1210&amp;D_技能表!$E$2:$E$1210,D_技能表!$W$2:$W$1210),2,FALSE),0)</f>
        <v>45</v>
      </c>
      <c r="K68">
        <f t="array" aca="1" ref="K68" ca="1">IFERROR(VLOOKUP($H$5&amp;$C68,CHOOSE({1,2},D_技能表!$C$2:$C$1210&amp;D_技能表!$E$2:$E$1210,D_技能表!$Z$2:$Z$1210),2,FALSE),0)</f>
        <v>18</v>
      </c>
      <c r="L68">
        <f t="array" aca="1" ref="L68" ca="1">IFERROR(VLOOKUP($L$5&amp;$C68,CHOOSE({1,2},D_技能表!$C$2:$C$1210&amp;D_技能表!$E$2:$E$1210,D_技能表!$I$2:$I$1210),2,FALSE),0)</f>
        <v>38</v>
      </c>
      <c r="M68">
        <f t="array" aca="1" ref="M68" ca="1">IFERROR(VLOOKUP($L$5&amp;$C68,CHOOSE({1,2},D_技能表!$C$2:$C$1210&amp;D_技能表!$E$2:$E$1210,D_技能表!$N$2:$N$1210),2,FALSE),0)</f>
        <v>113580</v>
      </c>
      <c r="N68">
        <f t="array" aca="1" ref="N68" ca="1">IFERROR(VLOOKUP($L$5&amp;$C68,CHOOSE({1,2},D_技能表!$C$2:$C$1210&amp;D_技能表!$E$2:$E$1210,D_技能表!$W$2:$W$1210),2,FALSE),0)</f>
        <v>45</v>
      </c>
      <c r="O68">
        <f t="array" aca="1" ref="O68" ca="1">IFERROR(VLOOKUP($L$5&amp;$C68,CHOOSE({1,2},D_技能表!$C$2:$C$1210&amp;D_技能表!$E$2:$E$1210,D_技能表!$Z$2:$Z$1210),2,FALSE),0)</f>
        <v>18</v>
      </c>
      <c r="P68">
        <f t="array" aca="1" ref="P68" ca="1">IFERROR(VLOOKUP($P$5&amp;$C68,CHOOSE({1,2},D_技能表!$C$2:$C$1210&amp;D_技能表!$E$2:$E$1210,D_技能表!$I$2:$I$1210),2,FALSE),0)</f>
        <v>38</v>
      </c>
      <c r="Q68">
        <f t="array" aca="1" ref="Q68" ca="1">IFERROR(VLOOKUP($P$5&amp;$C68,CHOOSE({1,2},D_技能表!$C$2:$C$1210&amp;D_技能表!$E$2:$E$1210,D_技能表!$N$2:$N$1210),2,FALSE),0)</f>
        <v>113580</v>
      </c>
      <c r="R68">
        <f t="array" aca="1" ref="R68" ca="1">IFERROR(VLOOKUP($P$5&amp;$C68,CHOOSE({1,2},D_技能表!$C$2:$C$1210&amp;D_技能表!$E$2:$E$1210,D_技能表!$W$2:$W$1210),2,FALSE),0)</f>
        <v>45</v>
      </c>
      <c r="S68">
        <f t="array" aca="1" ref="S68" ca="1">IFERROR(VLOOKUP($P$5&amp;$C68,CHOOSE({1,2},D_技能表!$C$2:$C$1210&amp;D_技能表!$E$2:$E$1210,D_技能表!$Z$2:$Z$1210),2,FALSE),0)</f>
        <v>18</v>
      </c>
      <c r="T68">
        <f t="array" aca="1" ref="T68" ca="1">IFERROR(VLOOKUP($T$5&amp;$C68,CHOOSE({1,2},D_技能表!$C$2:$C$1210&amp;D_技能表!$E$2:$E$1210,D_技能表!$I$2:$I$1210),2,FALSE),0)</f>
        <v>37</v>
      </c>
      <c r="U68">
        <f t="array" aca="1" ref="U68" ca="1">IFERROR(VLOOKUP($T$5&amp;$C68,CHOOSE({1,2},D_技能表!$C$2:$C$1210&amp;D_技能表!$E$2:$E$1210,D_技能表!$N$2:$N$1210),2,FALSE),0)</f>
        <v>174156</v>
      </c>
      <c r="V68">
        <f t="array" aca="1" ref="V68" ca="1">IFERROR(VLOOKUP($T$5&amp;$C68,CHOOSE({1,2},D_技能表!$C$2:$C$1210&amp;D_技能表!$E$2:$E$1210,D_技能表!$W$2:$W$1210),2,FALSE),0)</f>
        <v>69</v>
      </c>
      <c r="W68">
        <f t="array" aca="1" ref="W68" ca="1">IFERROR(VLOOKUP($T$5&amp;$C68,CHOOSE({1,2},D_技能表!$C$2:$C$1210&amp;D_技能表!$E$2:$E$1210,D_技能表!$Z$2:$Z$1210),2,FALSE),0)</f>
        <v>28</v>
      </c>
      <c r="X68">
        <f t="array" aca="1" ref="X68" ca="1">IFERROR(VLOOKUP($X$5&amp;$C68,CHOOSE({1,2},D_技能表!$C$2:$C$1210&amp;D_技能表!$E$2:$E$1210,D_技能表!$I$2:$I$1210),2,FALSE),0)</f>
        <v>38</v>
      </c>
      <c r="Y68">
        <f t="array" aca="1" ref="Y68" ca="1">IFERROR(VLOOKUP($X$5&amp;$C68,CHOOSE({1,2},D_技能表!$C$2:$C$1210&amp;D_技能表!$E$2:$E$1210,D_技能表!$N$2:$N$1210),2,FALSE),0)</f>
        <v>247352</v>
      </c>
      <c r="Z68">
        <f t="array" aca="1" ref="Z68" ca="1">IFERROR(VLOOKUP($X$5&amp;$C68,CHOOSE({1,2},D_技能表!$C$2:$C$1210&amp;D_技能表!$E$2:$E$1210,D_技能表!$W$2:$W$1210),2,FALSE),0)</f>
        <v>98</v>
      </c>
      <c r="AA68">
        <f t="array" aca="1" ref="AA68" ca="1">IFERROR(VLOOKUP($X$5&amp;$C68,CHOOSE({1,2},D_技能表!$C$2:$C$1210&amp;D_技能表!$E$2:$E$1210,D_技能表!$Z$2:$Z$1210),2,FALSE),0)</f>
        <v>40</v>
      </c>
      <c r="AB68">
        <f t="array" aca="1" ref="AB68" ca="1">IFERROR(VLOOKUP($AB$5&amp;$C68,CHOOSE({1,2},D_技能表!$C$2:$C$1210&amp;D_技能表!$E$2:$E$1210,D_技能表!$I$2:$I$1210),2,FALSE),0)</f>
        <v>38</v>
      </c>
      <c r="AC68">
        <f t="array" aca="1" ref="AC68" ca="1">IFERROR(VLOOKUP($AB$5&amp;$C68,CHOOSE({1,2},D_技能表!$C$2:$C$1210&amp;D_技能表!$E$2:$E$1210,D_技能表!$N$2:$N$1210),2,FALSE),0)</f>
        <v>118628</v>
      </c>
      <c r="AD68">
        <f t="array" aca="1" ref="AD68" ca="1">IFERROR(VLOOKUP($AB$5&amp;$C68,CHOOSE({1,2},D_技能表!$C$2:$C$1210&amp;D_技能表!$E$2:$E$1210,D_技能表!$W$2:$W$1210),2,FALSE),0)</f>
        <v>47</v>
      </c>
      <c r="AE68">
        <f t="array" aca="1" ref="AE68" ca="1">IFERROR(VLOOKUP($AB$5&amp;$C68,CHOOSE({1,2},D_技能表!$C$2:$C$1210&amp;D_技能表!$E$2:$E$1210,D_技能表!$Z$2:$Z$1210),2,FALSE),0)</f>
        <v>19</v>
      </c>
      <c r="AF68">
        <f t="array" aca="1" ref="AF68" ca="1">IFERROR(VLOOKUP($AF$5&amp;$C68,CHOOSE({1,2},D_技能表!$C$2:$C$1210&amp;D_技能表!$E$2:$E$1210,D_技能表!$I$2:$I$1210),2,FALSE),0)</f>
        <v>0</v>
      </c>
      <c r="AG68">
        <f t="array" aca="1" ref="AG68" ca="1">IFERROR(VLOOKUP($AF$5&amp;$C68,CHOOSE({1,2},D_技能表!$C$2:$C$1210&amp;D_技能表!$E$2:$E$1210,D_技能表!$N$2:$N$1210),2,FALSE),0)</f>
        <v>0</v>
      </c>
      <c r="AH68">
        <f t="array" aca="1" ref="AH68" ca="1">IFERROR(VLOOKUP($AF$5&amp;$C68,CHOOSE({1,2},D_技能表!$C$2:$C$1210&amp;D_技能表!$E$2:$E$1210,D_技能表!$W$2:$W$1210),2,FALSE),0)</f>
        <v>0</v>
      </c>
      <c r="AI68">
        <f t="array" aca="1" ref="AI68" ca="1">IFERROR(VLOOKUP($AF$5&amp;$C68,CHOOSE({1,2},D_技能表!$C$2:$C$1210&amp;D_技能表!$E$2:$E$1210,D_技能表!$Z$2:$Z$1210),2,FALSE),0)</f>
        <v>0</v>
      </c>
      <c r="AJ68">
        <f t="array" aca="1" ref="AJ68" ca="1">IFERROR(VLOOKUP($AJ$5&amp;$C68,CHOOSE({1,2},D_技能表!$C$2:$C$1210&amp;D_技能表!$E$2:$E$1210,D_技能表!$I$2:$I$1210),2,FALSE),0)</f>
        <v>37</v>
      </c>
      <c r="AK68">
        <f t="array" aca="1" ref="AK68" ca="1">IFERROR(VLOOKUP($AJ$5&amp;$C68,CHOOSE({1,2},D_技能表!$C$2:$C$1210&amp;D_技能表!$E$2:$E$1210,D_技能表!$N$2:$N$1210),2,FALSE),0)</f>
        <v>98436</v>
      </c>
      <c r="AL68">
        <f t="array" aca="1" ref="AL68" ca="1">IFERROR(VLOOKUP($AJ$5&amp;$C68,CHOOSE({1,2},D_技能表!$C$2:$C$1210&amp;D_技能表!$E$2:$E$1210,D_技能表!$W$2:$W$1210),2,FALSE),0)</f>
        <v>39</v>
      </c>
      <c r="AM68">
        <f t="array" aca="1" ref="AM68" ca="1">IFERROR(VLOOKUP($AJ$5&amp;$C68,CHOOSE({1,2},D_技能表!$C$2:$C$1210&amp;D_技能表!$E$2:$E$1210,D_技能表!$Z$2:$Z$1210),2,FALSE),0)</f>
        <v>16</v>
      </c>
      <c r="AN68">
        <f t="array" aca="1" ref="AN68" ca="1">IFERROR(VLOOKUP($AN$5&amp;$C68,CHOOSE({1,2},D_技能表!$C$2:$C$1210&amp;D_技能表!$E$2:$E$1210,D_技能表!$I$2:$I$1210),2,FALSE),0)</f>
        <v>37</v>
      </c>
      <c r="AO68">
        <f t="array" aca="1" ref="AO68" ca="1">IFERROR(VLOOKUP($AN$5&amp;$C68,CHOOSE({1,2},D_技能表!$C$2:$C$1210&amp;D_技能表!$E$2:$E$1210,D_技能表!$N$2:$N$1210),2,FALSE),0)</f>
        <v>181728</v>
      </c>
      <c r="AP68">
        <f t="array" aca="1" ref="AP68" ca="1">IFERROR(VLOOKUP($AN$5&amp;$C68,CHOOSE({1,2},D_技能表!$C$2:$C$1210&amp;D_技能表!$E$2:$E$1210,D_技能表!$W$2:$W$1210),2,FALSE),0)</f>
        <v>72</v>
      </c>
      <c r="AQ68">
        <f t="array" aca="1" ref="AQ68" ca="1">IFERROR(VLOOKUP($AN$5&amp;$C68,CHOOSE({1,2},D_技能表!$C$2:$C$1210&amp;D_技能表!$E$2:$E$1210,D_技能表!$Z$2:$Z$1210),2,FALSE),0)</f>
        <v>29</v>
      </c>
      <c r="AR68" s="11">
        <f ca="1">SUM($G$7:G69,$K$7:K69,$O$7:O69,$S$7:S69,$W$7:W69,$AA$7:AA69,$AE$7:AE69,$AI$7:AI69,$AM$7:AM69,$AQ$7:AQ69)</f>
        <v>3002</v>
      </c>
      <c r="AS68">
        <f ca="1">SUM($F$7:F69,$J$7:J69,$N$7:N69,$R$7:R69,$V$7:V69,$Z$7:Z69,$AD$7:AD69,$AH$7:AH69,$AL$7:AL69,$AP$7:AP69)</f>
        <v>8791</v>
      </c>
      <c r="AT68">
        <f t="shared" ca="1" si="1"/>
        <v>460</v>
      </c>
      <c r="AU68" s="33">
        <f ca="1">SUM($AX$7:AX68,$BB$7:BB68,$BF$7:BF68,$BJ$7:BJ68)</f>
        <v>2078400</v>
      </c>
      <c r="AV68">
        <v>62</v>
      </c>
      <c r="AW68">
        <f t="array" ref="AW68">IFERROR(VLOOKUP(AW$5&amp;$AV68,CHOOSE({1,2},D_技能表CD!$C$2:$C$313&amp;D_技能表CD!$E$2:$E$313,D_技能表CD!$I$2:$I$313),2,FALSE),0)</f>
        <v>0</v>
      </c>
      <c r="AX68">
        <f t="array" aca="1" ref="AX68" ca="1">IFERROR(VLOOKUP(AW$5&amp;$AV68,CHOOSE({1,2},D_技能表CD!$C$2:$C$313&amp;D_技能表CD!$E$2:$E$313,D_技能表CD!$H$2:$H$313),2,FALSE),0)</f>
        <v>0</v>
      </c>
      <c r="AY68">
        <f t="array" aca="1" ref="AY68" ca="1">IFERROR(VLOOKUP(AW$5&amp;$AV68,CHOOSE({1,2},D_技能表CD!$C$2:$C$313&amp;D_技能表CD!$E$2:$E$313,D_技能表CD!$L$2:$L$313),2,FALSE),0)</f>
        <v>0</v>
      </c>
      <c r="AZ68">
        <f t="array" aca="1" ref="AZ68" ca="1">IFERROR(VLOOKUP(AW$5&amp;$AV68,CHOOSE({1,2},D_技能表CD!$C$2:$C$313&amp;D_技能表CD!$E$2:$E$313,D_技能表CD!$K$2:$K$313),2,FALSE),0)</f>
        <v>0</v>
      </c>
      <c r="BA68">
        <f t="array" ref="BA68">IFERROR(VLOOKUP(BA$5&amp;$AV68,CHOOSE({1,2},D_技能表CD!$C$2:$C$313&amp;D_技能表CD!$E$2:$E$313,D_技能表CD!$I$2:$I$313),2,FALSE),0)</f>
        <v>0</v>
      </c>
      <c r="BB68">
        <f t="array" aca="1" ref="BB68" ca="1">IFERROR(VLOOKUP(BA$5&amp;$AV68,CHOOSE({1,2},D_技能表CD!$C$2:$C$313&amp;D_技能表CD!$E$2:$E$313,D_技能表CD!$H$2:$H$313),2,FALSE),0)</f>
        <v>0</v>
      </c>
      <c r="BC68">
        <f t="array" aca="1" ref="BC68" ca="1">IFERROR(VLOOKUP(BA$5&amp;$AV68,CHOOSE({1,2},D_技能表CD!$C$2:$C$313&amp;D_技能表CD!$E$2:$E$313,D_技能表CD!$L$2:$L$313),2,FALSE),0)</f>
        <v>0</v>
      </c>
      <c r="BD68">
        <f t="array" aca="1" ref="BD68" ca="1">IFERROR(VLOOKUP(BA$5&amp;$AV68,CHOOSE({1,2},D_技能表CD!$C$2:$C$313&amp;D_技能表CD!$E$2:$E$313,D_技能表CD!$K$2:$K$313),2,FALSE),0)</f>
        <v>0</v>
      </c>
      <c r="BE68">
        <f t="array" ref="BE68">IFERROR(VLOOKUP(BE$5&amp;$AV68,CHOOSE({1,2},D_技能表CD!$C$2:$C$313&amp;D_技能表CD!$E$2:$E$313,D_技能表CD!$I$2:$I$313),2,FALSE),0)</f>
        <v>0</v>
      </c>
      <c r="BF68">
        <f t="array" aca="1" ref="BF68" ca="1">IFERROR(VLOOKUP(BE$5&amp;$AV68,CHOOSE({1,2},D_技能表CD!$C$2:$C$313&amp;D_技能表CD!$E$2:$E$313,D_技能表CD!$H$2:$H$313),2,FALSE),0)</f>
        <v>0</v>
      </c>
      <c r="BG68">
        <f t="array" aca="1" ref="BG68" ca="1">IFERROR(VLOOKUP(BE$5&amp;$AV68,CHOOSE({1,2},D_技能表CD!$C$2:$C$313&amp;D_技能表CD!$E$2:$E$313,D_技能表CD!$L$2:$L$313),2,FALSE),0)</f>
        <v>0</v>
      </c>
      <c r="BH68">
        <f t="array" aca="1" ref="BH68" ca="1">IFERROR(VLOOKUP(BE$5&amp;$AV68,CHOOSE({1,2},D_技能表CD!$C$2:$C$313&amp;D_技能表CD!$E$2:$E$313,D_技能表CD!$K$2:$K$313),2,FALSE),0)</f>
        <v>0</v>
      </c>
      <c r="BI68">
        <f t="array" ref="BI68">IFERROR(VLOOKUP(BI$5&amp;$AV68,CHOOSE({1,2},D_技能表CD!$C$2:$C$313&amp;D_技能表CD!$E$2:$E$313,D_技能表CD!$I$2:$I$313),2,FALSE),0)</f>
        <v>20</v>
      </c>
      <c r="BJ68">
        <f t="array" aca="1" ref="BJ68" ca="1">IFERROR(VLOOKUP(BI$5&amp;$AV68,CHOOSE({1,2},D_技能表CD!$C$2:$C$313&amp;D_技能表CD!$E$2:$E$313,D_技能表CD!$H$2:$H$313),2,FALSE),0)</f>
        <v>110400</v>
      </c>
      <c r="BK68">
        <f t="array" aca="1" ref="BK68" ca="1">IFERROR(VLOOKUP(BI$5&amp;$AV68,CHOOSE({1,2},D_技能表CD!$C$2:$C$313&amp;D_技能表CD!$E$2:$E$313,D_技能表CD!$L$2:$L$313),2,FALSE),0)</f>
        <v>324</v>
      </c>
      <c r="BL68">
        <f t="array" aca="1" ref="BL68" ca="1">IFERROR(VLOOKUP(BI$5&amp;$AV68,CHOOSE({1,2},D_技能表CD!$C$2:$C$313&amp;D_技能表CD!$E$2:$E$313,D_技能表CD!$K$2:$K$313),2,FALSE),0)</f>
        <v>602</v>
      </c>
    </row>
    <row r="69" spans="1:64" x14ac:dyDescent="0.15">
      <c r="A69">
        <f t="shared" ca="1" si="0"/>
        <v>15505734</v>
      </c>
      <c r="B69" s="33">
        <f ca="1">SUM($E$7:E69,$I$7:I69,$M$7:M69,$Q$7:Q69,$U$7:U69,$Y$7:Y69,$AC$7:AC69,$AG$7:AG69,$AK$7:AK69,$AO$7:AO69)</f>
        <v>13295034</v>
      </c>
      <c r="C69">
        <v>63</v>
      </c>
      <c r="D69">
        <f t="array" aca="1" ref="D69" ca="1">IFERROR(VLOOKUP($D$5&amp;C69,CHOOSE({1,2},D_技能表!$C$2:$C$1210&amp;D_技能表!$E$2:$E$1210,D_技能表!$I$2:$I$1210),2,FALSE),0)</f>
        <v>39</v>
      </c>
      <c r="E69">
        <f t="array" aca="1" ref="E69" ca="1">IFERROR(VLOOKUP($D$5&amp;$C69,CHOOSE({1,2},D_技能表!$C$2:$C$1210&amp;D_技能表!$E$2:$E$1210,D_技能表!$N$2:$N$1210),2,FALSE),0)</f>
        <v>286990</v>
      </c>
      <c r="F69">
        <f t="array" aca="1" ref="F69" ca="1">IFERROR(VLOOKUP($D$5&amp;$C69,CHOOSE({1,2},D_技能表!$C$2:$C$1210&amp;D_技能表!$E$2:$E$1210,D_技能表!$W$2:$W$1210),2,FALSE),0)</f>
        <v>110</v>
      </c>
      <c r="G69">
        <f t="array" aca="1" ref="G69" ca="1">IFERROR(VLOOKUP($D$5&amp;$C69,CHOOSE({1,2},D_技能表!$C$2:$C$1210&amp;D_技能表!$E$2:$E$1210,D_技能表!$Z$2:$Z$1210),2,FALSE),0)</f>
        <v>44</v>
      </c>
      <c r="H69">
        <f t="array" aca="1" ref="H69" ca="1">IFERROR(VLOOKUP($H$5&amp;$C69,CHOOSE({1,2},D_技能表!$C$2:$C$1210&amp;D_技能表!$E$2:$E$1210,D_技能表!$I$2:$I$1210),2,FALSE),0)</f>
        <v>39</v>
      </c>
      <c r="I69">
        <f t="array" aca="1" ref="I69" ca="1">IFERROR(VLOOKUP($H$5&amp;$C69,CHOOSE({1,2},D_技能表!$C$2:$C$1210&amp;D_技能表!$E$2:$E$1210,D_技能表!$N$2:$N$1210),2,FALSE),0)</f>
        <v>125232</v>
      </c>
      <c r="J69">
        <f t="array" aca="1" ref="J69" ca="1">IFERROR(VLOOKUP($H$5&amp;$C69,CHOOSE({1,2},D_技能表!$C$2:$C$1210&amp;D_技能表!$E$2:$E$1210,D_技能表!$W$2:$W$1210),2,FALSE),0)</f>
        <v>48</v>
      </c>
      <c r="K69">
        <f t="array" aca="1" ref="K69" ca="1">IFERROR(VLOOKUP($H$5&amp;$C69,CHOOSE({1,2},D_技能表!$C$2:$C$1210&amp;D_技能表!$E$2:$E$1210,D_技能表!$Z$2:$Z$1210),2,FALSE),0)</f>
        <v>20</v>
      </c>
      <c r="L69">
        <f t="array" aca="1" ref="L69" ca="1">IFERROR(VLOOKUP($L$5&amp;$C69,CHOOSE({1,2},D_技能表!$C$2:$C$1210&amp;D_技能表!$E$2:$E$1210,D_技能表!$I$2:$I$1210),2,FALSE),0)</f>
        <v>39</v>
      </c>
      <c r="M69">
        <f t="array" aca="1" ref="M69" ca="1">IFERROR(VLOOKUP($L$5&amp;$C69,CHOOSE({1,2},D_技能表!$C$2:$C$1210&amp;D_技能表!$E$2:$E$1210,D_技能表!$N$2:$N$1210),2,FALSE),0)</f>
        <v>125232</v>
      </c>
      <c r="N69">
        <f t="array" aca="1" ref="N69" ca="1">IFERROR(VLOOKUP($L$5&amp;$C69,CHOOSE({1,2},D_技能表!$C$2:$C$1210&amp;D_技能表!$E$2:$E$1210,D_技能表!$W$2:$W$1210),2,FALSE),0)</f>
        <v>48</v>
      </c>
      <c r="O69">
        <f t="array" aca="1" ref="O69" ca="1">IFERROR(VLOOKUP($L$5&amp;$C69,CHOOSE({1,2},D_技能表!$C$2:$C$1210&amp;D_技能表!$E$2:$E$1210,D_技能表!$Z$2:$Z$1210),2,FALSE),0)</f>
        <v>20</v>
      </c>
      <c r="P69">
        <f t="array" aca="1" ref="P69" ca="1">IFERROR(VLOOKUP($P$5&amp;$C69,CHOOSE({1,2},D_技能表!$C$2:$C$1210&amp;D_技能表!$E$2:$E$1210,D_技能表!$I$2:$I$1210),2,FALSE),0)</f>
        <v>0</v>
      </c>
      <c r="Q69">
        <f t="array" aca="1" ref="Q69" ca="1">IFERROR(VLOOKUP($P$5&amp;$C69,CHOOSE({1,2},D_技能表!$C$2:$C$1210&amp;D_技能表!$E$2:$E$1210,D_技能表!$N$2:$N$1210),2,FALSE),0)</f>
        <v>0</v>
      </c>
      <c r="R69">
        <f t="array" aca="1" ref="R69" ca="1">IFERROR(VLOOKUP($P$5&amp;$C69,CHOOSE({1,2},D_技能表!$C$2:$C$1210&amp;D_技能表!$E$2:$E$1210,D_技能表!$W$2:$W$1210),2,FALSE),0)</f>
        <v>0</v>
      </c>
      <c r="S69">
        <f t="array" aca="1" ref="S69" ca="1">IFERROR(VLOOKUP($P$5&amp;$C69,CHOOSE({1,2},D_技能表!$C$2:$C$1210&amp;D_技能表!$E$2:$E$1210,D_技能表!$Z$2:$Z$1210),2,FALSE),0)</f>
        <v>0</v>
      </c>
      <c r="T69">
        <f t="array" aca="1" ref="T69" ca="1">IFERROR(VLOOKUP($T$5&amp;$C69,CHOOSE({1,2},D_技能表!$C$2:$C$1210&amp;D_技能表!$E$2:$E$1210,D_技能表!$I$2:$I$1210),2,FALSE),0)</f>
        <v>38</v>
      </c>
      <c r="U69">
        <f t="array" aca="1" ref="U69" ca="1">IFERROR(VLOOKUP($T$5&amp;$C69,CHOOSE({1,2},D_技能表!$C$2:$C$1210&amp;D_技能表!$E$2:$E$1210,D_技能表!$N$2:$N$1210),2,FALSE),0)</f>
        <v>193066</v>
      </c>
      <c r="V69">
        <f t="array" aca="1" ref="V69" ca="1">IFERROR(VLOOKUP($T$5&amp;$C69,CHOOSE({1,2},D_技能表!$C$2:$C$1210&amp;D_技能表!$E$2:$E$1210,D_技能表!$W$2:$W$1210),2,FALSE),0)</f>
        <v>74</v>
      </c>
      <c r="W69">
        <f t="array" aca="1" ref="W69" ca="1">IFERROR(VLOOKUP($T$5&amp;$C69,CHOOSE({1,2},D_技能表!$C$2:$C$1210&amp;D_技能表!$E$2:$E$1210,D_技能表!$Z$2:$Z$1210),2,FALSE),0)</f>
        <v>30</v>
      </c>
      <c r="X69">
        <f t="array" aca="1" ref="X69" ca="1">IFERROR(VLOOKUP($X$5&amp;$C69,CHOOSE({1,2},D_技能表!$C$2:$C$1210&amp;D_技能表!$E$2:$E$1210,D_技能表!$I$2:$I$1210),2,FALSE),0)</f>
        <v>0</v>
      </c>
      <c r="Y69">
        <f t="array" aca="1" ref="Y69" ca="1">IFERROR(VLOOKUP($X$5&amp;$C69,CHOOSE({1,2},D_技能表!$C$2:$C$1210&amp;D_技能表!$E$2:$E$1210,D_技能表!$N$2:$N$1210),2,FALSE),0)</f>
        <v>0</v>
      </c>
      <c r="Z69">
        <f t="array" aca="1" ref="Z69" ca="1">IFERROR(VLOOKUP($X$5&amp;$C69,CHOOSE({1,2},D_技能表!$C$2:$C$1210&amp;D_技能表!$E$2:$E$1210,D_技能表!$W$2:$W$1210),2,FALSE),0)</f>
        <v>0</v>
      </c>
      <c r="AA69">
        <f t="array" aca="1" ref="AA69" ca="1">IFERROR(VLOOKUP($X$5&amp;$C69,CHOOSE({1,2},D_技能表!$C$2:$C$1210&amp;D_技能表!$E$2:$E$1210,D_技能表!$Z$2:$Z$1210),2,FALSE),0)</f>
        <v>0</v>
      </c>
      <c r="AB69">
        <f t="array" aca="1" ref="AB69" ca="1">IFERROR(VLOOKUP($AB$5&amp;$C69,CHOOSE({1,2},D_技能表!$C$2:$C$1210&amp;D_技能表!$E$2:$E$1210,D_技能表!$I$2:$I$1210),2,FALSE),0)</f>
        <v>0</v>
      </c>
      <c r="AC69">
        <f t="array" aca="1" ref="AC69" ca="1">IFERROR(VLOOKUP($AB$5&amp;$C69,CHOOSE({1,2},D_技能表!$C$2:$C$1210&amp;D_技能表!$E$2:$E$1210,D_技能表!$N$2:$N$1210),2,FALSE),0)</f>
        <v>0</v>
      </c>
      <c r="AD69">
        <f t="array" aca="1" ref="AD69" ca="1">IFERROR(VLOOKUP($AB$5&amp;$C69,CHOOSE({1,2},D_技能表!$C$2:$C$1210&amp;D_技能表!$E$2:$E$1210,D_技能表!$W$2:$W$1210),2,FALSE),0)</f>
        <v>0</v>
      </c>
      <c r="AE69">
        <f t="array" aca="1" ref="AE69" ca="1">IFERROR(VLOOKUP($AB$5&amp;$C69,CHOOSE({1,2},D_技能表!$C$2:$C$1210&amp;D_技能表!$E$2:$E$1210,D_技能表!$Z$2:$Z$1210),2,FALSE),0)</f>
        <v>0</v>
      </c>
      <c r="AF69">
        <f t="array" aca="1" ref="AF69" ca="1">IFERROR(VLOOKUP($AF$5&amp;$C69,CHOOSE({1,2},D_技能表!$C$2:$C$1210&amp;D_技能表!$E$2:$E$1210,D_技能表!$I$2:$I$1210),2,FALSE),0)</f>
        <v>38</v>
      </c>
      <c r="AG69">
        <f t="array" aca="1" ref="AG69" ca="1">IFERROR(VLOOKUP($AF$5&amp;$C69,CHOOSE({1,2},D_技能表!$C$2:$C$1210&amp;D_技能表!$E$2:$E$1210,D_技能表!$N$2:$N$1210),2,FALSE),0)</f>
        <v>109578</v>
      </c>
      <c r="AH69">
        <f t="array" aca="1" ref="AH69" ca="1">IFERROR(VLOOKUP($AF$5&amp;$C69,CHOOSE({1,2},D_技能表!$C$2:$C$1210&amp;D_技能表!$E$2:$E$1210,D_技能表!$W$2:$W$1210),2,FALSE),0)</f>
        <v>42</v>
      </c>
      <c r="AI69">
        <f t="array" aca="1" ref="AI69" ca="1">IFERROR(VLOOKUP($AF$5&amp;$C69,CHOOSE({1,2},D_技能表!$C$2:$C$1210&amp;D_技能表!$E$2:$E$1210,D_技能表!$Z$2:$Z$1210),2,FALSE),0)</f>
        <v>17</v>
      </c>
      <c r="AJ69">
        <f t="array" aca="1" ref="AJ69" ca="1">IFERROR(VLOOKUP($AJ$5&amp;$C69,CHOOSE({1,2},D_技能表!$C$2:$C$1210&amp;D_技能表!$E$2:$E$1210,D_技能表!$I$2:$I$1210),2,FALSE),0)</f>
        <v>38</v>
      </c>
      <c r="AK69">
        <f t="array" aca="1" ref="AK69" ca="1">IFERROR(VLOOKUP($AJ$5&amp;$C69,CHOOSE({1,2},D_技能表!$C$2:$C$1210&amp;D_技能表!$E$2:$E$1210,D_技能表!$N$2:$N$1210),2,FALSE),0)</f>
        <v>109578</v>
      </c>
      <c r="AL69">
        <f t="array" aca="1" ref="AL69" ca="1">IFERROR(VLOOKUP($AJ$5&amp;$C69,CHOOSE({1,2},D_技能表!$C$2:$C$1210&amp;D_技能表!$E$2:$E$1210,D_技能表!$W$2:$W$1210),2,FALSE),0)</f>
        <v>42</v>
      </c>
      <c r="AM69">
        <f t="array" aca="1" ref="AM69" ca="1">IFERROR(VLOOKUP($AJ$5&amp;$C69,CHOOSE({1,2},D_技能表!$C$2:$C$1210&amp;D_技能表!$E$2:$E$1210,D_技能表!$Z$2:$Z$1210),2,FALSE),0)</f>
        <v>17</v>
      </c>
      <c r="AN69">
        <f t="array" aca="1" ref="AN69" ca="1">IFERROR(VLOOKUP($AN$5&amp;$C69,CHOOSE({1,2},D_技能表!$C$2:$C$1210&amp;D_技能表!$E$2:$E$1210,D_技能表!$I$2:$I$1210),2,FALSE),0)</f>
        <v>0</v>
      </c>
      <c r="AO69">
        <f t="array" aca="1" ref="AO69" ca="1">IFERROR(VLOOKUP($AN$5&amp;$C69,CHOOSE({1,2},D_技能表!$C$2:$C$1210&amp;D_技能表!$E$2:$E$1210,D_技能表!$N$2:$N$1210),2,FALSE),0)</f>
        <v>0</v>
      </c>
      <c r="AP69">
        <f t="array" aca="1" ref="AP69" ca="1">IFERROR(VLOOKUP($AN$5&amp;$C69,CHOOSE({1,2},D_技能表!$C$2:$C$1210&amp;D_技能表!$E$2:$E$1210,D_技能表!$W$2:$W$1210),2,FALSE),0)</f>
        <v>0</v>
      </c>
      <c r="AQ69">
        <f t="array" aca="1" ref="AQ69" ca="1">IFERROR(VLOOKUP($AN$5&amp;$C69,CHOOSE({1,2},D_技能表!$C$2:$C$1210&amp;D_技能表!$E$2:$E$1210,D_技能表!$Z$2:$Z$1210),2,FALSE),0)</f>
        <v>0</v>
      </c>
      <c r="AR69" s="11">
        <f ca="1">SUM($G$7:G70,$K$7:K70,$O$7:O70,$S$7:S70,$W$7:W70,$AA$7:AA70,$AE$7:AE70,$AI$7:AI70,$AM$7:AM70,$AQ$7:AQ70)</f>
        <v>3213</v>
      </c>
      <c r="AS69">
        <f ca="1">SUM($F$7:F70,$J$7:J70,$N$7:N70,$R$7:R70,$V$7:V70,$Z$7:Z70,$AD$7:AD70,$AH$7:AH70,$AL$7:AL70,$AP$7:AP70)</f>
        <v>9313</v>
      </c>
      <c r="AT69">
        <f t="shared" ca="1" si="1"/>
        <v>364</v>
      </c>
      <c r="AU69" s="33">
        <f ca="1">SUM($AX$7:AX69,$BB$7:BB69,$BF$7:BF69,$BJ$7:BJ69)</f>
        <v>2210700</v>
      </c>
      <c r="AV69">
        <v>63</v>
      </c>
      <c r="AW69">
        <f t="array" ref="AW69">IFERROR(VLOOKUP(AW$5&amp;$AV69,CHOOSE({1,2},D_技能表CD!$C$2:$C$313&amp;D_技能表CD!$E$2:$E$313,D_技能表CD!$I$2:$I$313),2,FALSE),0)</f>
        <v>0</v>
      </c>
      <c r="AX69">
        <f t="array" aca="1" ref="AX69" ca="1">IFERROR(VLOOKUP(AW$5&amp;$AV69,CHOOSE({1,2},D_技能表CD!$C$2:$C$313&amp;D_技能表CD!$E$2:$E$313,D_技能表CD!$H$2:$H$313),2,FALSE),0)</f>
        <v>0</v>
      </c>
      <c r="AY69">
        <f t="array" aca="1" ref="AY69" ca="1">IFERROR(VLOOKUP(AW$5&amp;$AV69,CHOOSE({1,2},D_技能表CD!$C$2:$C$313&amp;D_技能表CD!$E$2:$E$313,D_技能表CD!$L$2:$L$313),2,FALSE),0)</f>
        <v>0</v>
      </c>
      <c r="AZ69">
        <f t="array" aca="1" ref="AZ69" ca="1">IFERROR(VLOOKUP(AW$5&amp;$AV69,CHOOSE({1,2},D_技能表CD!$C$2:$C$313&amp;D_技能表CD!$E$2:$E$313,D_技能表CD!$K$2:$K$313),2,FALSE),0)</f>
        <v>0</v>
      </c>
      <c r="BA69">
        <f t="array" ref="BA69">IFERROR(VLOOKUP(BA$5&amp;$AV69,CHOOSE({1,2},D_技能表CD!$C$2:$C$313&amp;D_技能表CD!$E$2:$E$313,D_技能表CD!$I$2:$I$313),2,FALSE),0)</f>
        <v>21</v>
      </c>
      <c r="BB69">
        <f t="array" aca="1" ref="BB69" ca="1">IFERROR(VLOOKUP(BA$5&amp;$AV69,CHOOSE({1,2},D_技能表CD!$C$2:$C$313&amp;D_技能表CD!$E$2:$E$313,D_技能表CD!$H$2:$H$313),2,FALSE),0)</f>
        <v>132300</v>
      </c>
      <c r="BC69">
        <f t="array" aca="1" ref="BC69" ca="1">IFERROR(VLOOKUP(BA$5&amp;$AV69,CHOOSE({1,2},D_技能表CD!$C$2:$C$313&amp;D_技能表CD!$E$2:$E$313,D_技能表CD!$L$2:$L$313),2,FALSE),0)</f>
        <v>385</v>
      </c>
      <c r="BD69">
        <f t="array" aca="1" ref="BD69" ca="1">IFERROR(VLOOKUP(BA$5&amp;$AV69,CHOOSE({1,2},D_技能表CD!$C$2:$C$313&amp;D_技能表CD!$E$2:$E$313,D_技能表CD!$K$2:$K$313),2,FALSE),0)</f>
        <v>743</v>
      </c>
      <c r="BE69">
        <f t="array" ref="BE69">IFERROR(VLOOKUP(BE$5&amp;$AV69,CHOOSE({1,2},D_技能表CD!$C$2:$C$313&amp;D_技能表CD!$E$2:$E$313,D_技能表CD!$I$2:$I$313),2,FALSE),0)</f>
        <v>0</v>
      </c>
      <c r="BF69">
        <f t="array" aca="1" ref="BF69" ca="1">IFERROR(VLOOKUP(BE$5&amp;$AV69,CHOOSE({1,2},D_技能表CD!$C$2:$C$313&amp;D_技能表CD!$E$2:$E$313,D_技能表CD!$H$2:$H$313),2,FALSE),0)</f>
        <v>0</v>
      </c>
      <c r="BG69">
        <f t="array" aca="1" ref="BG69" ca="1">IFERROR(VLOOKUP(BE$5&amp;$AV69,CHOOSE({1,2},D_技能表CD!$C$2:$C$313&amp;D_技能表CD!$E$2:$E$313,D_技能表CD!$L$2:$L$313),2,FALSE),0)</f>
        <v>0</v>
      </c>
      <c r="BH69">
        <f t="array" aca="1" ref="BH69" ca="1">IFERROR(VLOOKUP(BE$5&amp;$AV69,CHOOSE({1,2},D_技能表CD!$C$2:$C$313&amp;D_技能表CD!$E$2:$E$313,D_技能表CD!$K$2:$K$313),2,FALSE),0)</f>
        <v>0</v>
      </c>
      <c r="BI69">
        <f t="array" ref="BI69">IFERROR(VLOOKUP(BI$5&amp;$AV69,CHOOSE({1,2},D_技能表CD!$C$2:$C$313&amp;D_技能表CD!$E$2:$E$313,D_技能表CD!$I$2:$I$313),2,FALSE),0)</f>
        <v>0</v>
      </c>
      <c r="BJ69">
        <f t="array" aca="1" ref="BJ69" ca="1">IFERROR(VLOOKUP(BI$5&amp;$AV69,CHOOSE({1,2},D_技能表CD!$C$2:$C$313&amp;D_技能表CD!$E$2:$E$313,D_技能表CD!$H$2:$H$313),2,FALSE),0)</f>
        <v>0</v>
      </c>
      <c r="BK69">
        <f t="array" aca="1" ref="BK69" ca="1">IFERROR(VLOOKUP(BI$5&amp;$AV69,CHOOSE({1,2},D_技能表CD!$C$2:$C$313&amp;D_技能表CD!$E$2:$E$313,D_技能表CD!$L$2:$L$313),2,FALSE),0)</f>
        <v>0</v>
      </c>
      <c r="BL69">
        <f t="array" aca="1" ref="BL69" ca="1">IFERROR(VLOOKUP(BI$5&amp;$AV69,CHOOSE({1,2},D_技能表CD!$C$2:$C$313&amp;D_技能表CD!$E$2:$E$313,D_技能表CD!$K$2:$K$313),2,FALSE),0)</f>
        <v>0</v>
      </c>
    </row>
    <row r="70" spans="1:64" x14ac:dyDescent="0.15">
      <c r="A70">
        <f t="shared" ca="1" si="0"/>
        <v>17051974</v>
      </c>
      <c r="B70" s="33">
        <f ca="1">SUM($E$7:E70,$I$7:I70,$M$7:M70,$Q$7:Q70,$U$7:U70,$Y$7:Y70,$AC$7:AC70,$AG$7:AG70,$AK$7:AK70,$AO$7:AO70)</f>
        <v>14701824</v>
      </c>
      <c r="C70">
        <v>64</v>
      </c>
      <c r="D70">
        <f t="array" aca="1" ref="D70" ca="1">IFERROR(VLOOKUP($D$5&amp;C70,CHOOSE({1,2},D_技能表!$C$2:$C$1210&amp;D_技能表!$E$2:$E$1210,D_技能表!$I$2:$I$1210),2,FALSE),0)</f>
        <v>40</v>
      </c>
      <c r="E70">
        <f t="array" aca="1" ref="E70" ca="1">IFERROR(VLOOKUP($D$5&amp;$C70,CHOOSE({1,2},D_技能表!$C$2:$C$1210&amp;D_技能表!$E$2:$E$1210,D_技能表!$N$2:$N$1210),2,FALSE),0)</f>
        <v>318010</v>
      </c>
      <c r="F70">
        <f t="array" aca="1" ref="F70" ca="1">IFERROR(VLOOKUP($D$5&amp;$C70,CHOOSE({1,2},D_技能表!$C$2:$C$1210&amp;D_技能表!$E$2:$E$1210,D_技能表!$W$2:$W$1210),2,FALSE),0)</f>
        <v>118</v>
      </c>
      <c r="G70">
        <f t="array" aca="1" ref="G70" ca="1">IFERROR(VLOOKUP($D$5&amp;$C70,CHOOSE({1,2},D_技能表!$C$2:$C$1210&amp;D_技能表!$E$2:$E$1210,D_技能表!$Z$2:$Z$1210),2,FALSE),0)</f>
        <v>48</v>
      </c>
      <c r="H70">
        <f t="array" aca="1" ref="H70" ca="1">IFERROR(VLOOKUP($H$5&amp;$C70,CHOOSE({1,2},D_技能表!$C$2:$C$1210&amp;D_技能表!$E$2:$E$1210,D_技能表!$I$2:$I$1210),2,FALSE),0)</f>
        <v>0</v>
      </c>
      <c r="I70">
        <f t="array" aca="1" ref="I70" ca="1">IFERROR(VLOOKUP($H$5&amp;$C70,CHOOSE({1,2},D_技能表!$C$2:$C$1210&amp;D_技能表!$E$2:$E$1210,D_技能表!$N$2:$N$1210),2,FALSE),0)</f>
        <v>0</v>
      </c>
      <c r="J70">
        <f t="array" aca="1" ref="J70" ca="1">IFERROR(VLOOKUP($H$5&amp;$C70,CHOOSE({1,2},D_技能表!$C$2:$C$1210&amp;D_技能表!$E$2:$E$1210,D_技能表!$W$2:$W$1210),2,FALSE),0)</f>
        <v>0</v>
      </c>
      <c r="K70">
        <f t="array" aca="1" ref="K70" ca="1">IFERROR(VLOOKUP($H$5&amp;$C70,CHOOSE({1,2},D_技能表!$C$2:$C$1210&amp;D_技能表!$E$2:$E$1210,D_技能表!$Z$2:$Z$1210),2,FALSE),0)</f>
        <v>0</v>
      </c>
      <c r="L70">
        <f t="array" aca="1" ref="L70" ca="1">IFERROR(VLOOKUP($L$5&amp;$C70,CHOOSE({1,2},D_技能表!$C$2:$C$1210&amp;D_技能表!$E$2:$E$1210,D_技能表!$I$2:$I$1210),2,FALSE),0)</f>
        <v>0</v>
      </c>
      <c r="M70">
        <f t="array" aca="1" ref="M70" ca="1">IFERROR(VLOOKUP($L$5&amp;$C70,CHOOSE({1,2},D_技能表!$C$2:$C$1210&amp;D_技能表!$E$2:$E$1210,D_技能表!$N$2:$N$1210),2,FALSE),0)</f>
        <v>0</v>
      </c>
      <c r="N70">
        <f t="array" aca="1" ref="N70" ca="1">IFERROR(VLOOKUP($L$5&amp;$C70,CHOOSE({1,2},D_技能表!$C$2:$C$1210&amp;D_技能表!$E$2:$E$1210,D_技能表!$W$2:$W$1210),2,FALSE),0)</f>
        <v>0</v>
      </c>
      <c r="O70">
        <f t="array" aca="1" ref="O70" ca="1">IFERROR(VLOOKUP($L$5&amp;$C70,CHOOSE({1,2},D_技能表!$C$2:$C$1210&amp;D_技能表!$E$2:$E$1210,D_技能表!$Z$2:$Z$1210),2,FALSE),0)</f>
        <v>0</v>
      </c>
      <c r="P70">
        <f t="array" aca="1" ref="P70" ca="1">IFERROR(VLOOKUP($P$5&amp;$C70,CHOOSE({1,2},D_技能表!$C$2:$C$1210&amp;D_技能表!$E$2:$E$1210,D_技能表!$I$2:$I$1210),2,FALSE),0)</f>
        <v>39</v>
      </c>
      <c r="Q70">
        <f t="array" aca="1" ref="Q70" ca="1">IFERROR(VLOOKUP($P$5&amp;$C70,CHOOSE({1,2},D_技能表!$C$2:$C$1210&amp;D_技能表!$E$2:$E$1210,D_技能表!$N$2:$N$1210),2,FALSE),0)</f>
        <v>129360</v>
      </c>
      <c r="R70">
        <f t="array" aca="1" ref="R70" ca="1">IFERROR(VLOOKUP($P$5&amp;$C70,CHOOSE({1,2},D_技能表!$C$2:$C$1210&amp;D_技能表!$E$2:$E$1210,D_技能表!$W$2:$W$1210),2,FALSE),0)</f>
        <v>48</v>
      </c>
      <c r="S70">
        <f t="array" aca="1" ref="S70" ca="1">IFERROR(VLOOKUP($P$5&amp;$C70,CHOOSE({1,2},D_技能表!$C$2:$C$1210&amp;D_技能表!$E$2:$E$1210,D_技能表!$Z$2:$Z$1210),2,FALSE),0)</f>
        <v>20</v>
      </c>
      <c r="T70">
        <f t="array" aca="1" ref="T70" ca="1">IFERROR(VLOOKUP($T$5&amp;$C70,CHOOSE({1,2},D_技能表!$C$2:$C$1210&amp;D_技能表!$E$2:$E$1210,D_技能表!$I$2:$I$1210),2,FALSE),0)</f>
        <v>39</v>
      </c>
      <c r="U70">
        <f t="array" aca="1" ref="U70" ca="1">IFERROR(VLOOKUP($T$5&amp;$C70,CHOOSE({1,2},D_技能表!$C$2:$C$1210&amp;D_技能表!$E$2:$E$1210,D_技能表!$N$2:$N$1210),2,FALSE),0)</f>
        <v>212905</v>
      </c>
      <c r="V70">
        <f t="array" aca="1" ref="V70" ca="1">IFERROR(VLOOKUP($T$5&amp;$C70,CHOOSE({1,2},D_技能表!$C$2:$C$1210&amp;D_技能表!$E$2:$E$1210,D_技能表!$W$2:$W$1210),2,FALSE),0)</f>
        <v>79</v>
      </c>
      <c r="W70">
        <f t="array" aca="1" ref="W70" ca="1">IFERROR(VLOOKUP($T$5&amp;$C70,CHOOSE({1,2},D_技能表!$C$2:$C$1210&amp;D_技能表!$E$2:$E$1210,D_技能表!$Z$2:$Z$1210),2,FALSE),0)</f>
        <v>32</v>
      </c>
      <c r="X70">
        <f t="array" aca="1" ref="X70" ca="1">IFERROR(VLOOKUP($X$5&amp;$C70,CHOOSE({1,2},D_技能表!$C$2:$C$1210&amp;D_技能表!$E$2:$E$1210,D_技能表!$I$2:$I$1210),2,FALSE),0)</f>
        <v>39</v>
      </c>
      <c r="Y70">
        <f t="array" aca="1" ref="Y70" ca="1">IFERROR(VLOOKUP($X$5&amp;$C70,CHOOSE({1,2},D_技能表!$C$2:$C$1210&amp;D_技能表!$E$2:$E$1210,D_技能表!$N$2:$N$1210),2,FALSE),0)</f>
        <v>282975</v>
      </c>
      <c r="Z70">
        <f t="array" aca="1" ref="Z70" ca="1">IFERROR(VLOOKUP($X$5&amp;$C70,CHOOSE({1,2},D_技能表!$C$2:$C$1210&amp;D_技能表!$E$2:$E$1210,D_技能表!$W$2:$W$1210),2,FALSE),0)</f>
        <v>105</v>
      </c>
      <c r="AA70">
        <f t="array" aca="1" ref="AA70" ca="1">IFERROR(VLOOKUP($X$5&amp;$C70,CHOOSE({1,2},D_技能表!$C$2:$C$1210&amp;D_技能表!$E$2:$E$1210,D_技能表!$Z$2:$Z$1210),2,FALSE),0)</f>
        <v>42</v>
      </c>
      <c r="AB70">
        <f t="array" aca="1" ref="AB70" ca="1">IFERROR(VLOOKUP($AB$5&amp;$C70,CHOOSE({1,2},D_技能表!$C$2:$C$1210&amp;D_技能表!$E$2:$E$1210,D_技能表!$I$2:$I$1210),2,FALSE),0)</f>
        <v>39</v>
      </c>
      <c r="AC70">
        <f t="array" aca="1" ref="AC70" ca="1">IFERROR(VLOOKUP($AB$5&amp;$C70,CHOOSE({1,2},D_技能表!$C$2:$C$1210&amp;D_技能表!$E$2:$E$1210,D_技能表!$N$2:$N$1210),2,FALSE),0)</f>
        <v>134750</v>
      </c>
      <c r="AD70">
        <f t="array" aca="1" ref="AD70" ca="1">IFERROR(VLOOKUP($AB$5&amp;$C70,CHOOSE({1,2},D_技能表!$C$2:$C$1210&amp;D_技能表!$E$2:$E$1210,D_技能表!$W$2:$W$1210),2,FALSE),0)</f>
        <v>50</v>
      </c>
      <c r="AE70">
        <f t="array" aca="1" ref="AE70" ca="1">IFERROR(VLOOKUP($AB$5&amp;$C70,CHOOSE({1,2},D_技能表!$C$2:$C$1210&amp;D_技能表!$E$2:$E$1210,D_技能表!$Z$2:$Z$1210),2,FALSE),0)</f>
        <v>20</v>
      </c>
      <c r="AF70">
        <f t="array" aca="1" ref="AF70" ca="1">IFERROR(VLOOKUP($AF$5&amp;$C70,CHOOSE({1,2},D_技能表!$C$2:$C$1210&amp;D_技能表!$E$2:$E$1210,D_技能表!$I$2:$I$1210),2,FALSE),0)</f>
        <v>39</v>
      </c>
      <c r="AG70">
        <f t="array" aca="1" ref="AG70" ca="1">IFERROR(VLOOKUP($AF$5&amp;$C70,CHOOSE({1,2},D_技能表!$C$2:$C$1210&amp;D_技能表!$E$2:$E$1210,D_技能表!$N$2:$N$1210),2,FALSE),0)</f>
        <v>121275</v>
      </c>
      <c r="AH70">
        <f t="array" aca="1" ref="AH70" ca="1">IFERROR(VLOOKUP($AF$5&amp;$C70,CHOOSE({1,2},D_技能表!$C$2:$C$1210&amp;D_技能表!$E$2:$E$1210,D_技能表!$W$2:$W$1210),2,FALSE),0)</f>
        <v>45</v>
      </c>
      <c r="AI70">
        <f t="array" aca="1" ref="AI70" ca="1">IFERROR(VLOOKUP($AF$5&amp;$C70,CHOOSE({1,2},D_技能表!$C$2:$C$1210&amp;D_技能表!$E$2:$E$1210,D_技能表!$Z$2:$Z$1210),2,FALSE),0)</f>
        <v>18</v>
      </c>
      <c r="AJ70">
        <f t="array" aca="1" ref="AJ70" ca="1">IFERROR(VLOOKUP($AJ$5&amp;$C70,CHOOSE({1,2},D_技能表!$C$2:$C$1210&amp;D_技能表!$E$2:$E$1210,D_技能表!$I$2:$I$1210),2,FALSE),0)</f>
        <v>0</v>
      </c>
      <c r="AK70">
        <f t="array" aca="1" ref="AK70" ca="1">IFERROR(VLOOKUP($AJ$5&amp;$C70,CHOOSE({1,2},D_技能表!$C$2:$C$1210&amp;D_技能表!$E$2:$E$1210,D_技能表!$N$2:$N$1210),2,FALSE),0)</f>
        <v>0</v>
      </c>
      <c r="AL70">
        <f t="array" aca="1" ref="AL70" ca="1">IFERROR(VLOOKUP($AJ$5&amp;$C70,CHOOSE({1,2},D_技能表!$C$2:$C$1210&amp;D_技能表!$E$2:$E$1210,D_技能表!$W$2:$W$1210),2,FALSE),0)</f>
        <v>0</v>
      </c>
      <c r="AM70">
        <f t="array" aca="1" ref="AM70" ca="1">IFERROR(VLOOKUP($AJ$5&amp;$C70,CHOOSE({1,2},D_技能表!$C$2:$C$1210&amp;D_技能表!$E$2:$E$1210,D_技能表!$Z$2:$Z$1210),2,FALSE),0)</f>
        <v>0</v>
      </c>
      <c r="AN70">
        <f t="array" aca="1" ref="AN70" ca="1">IFERROR(VLOOKUP($AN$5&amp;$C70,CHOOSE({1,2},D_技能表!$C$2:$C$1210&amp;D_技能表!$E$2:$E$1210,D_技能表!$I$2:$I$1210),2,FALSE),0)</f>
        <v>38</v>
      </c>
      <c r="AO70">
        <f t="array" aca="1" ref="AO70" ca="1">IFERROR(VLOOKUP($AN$5&amp;$C70,CHOOSE({1,2},D_技能表!$C$2:$C$1210&amp;D_技能表!$E$2:$E$1210,D_技能表!$N$2:$N$1210),2,FALSE),0)</f>
        <v>207515</v>
      </c>
      <c r="AP70">
        <f t="array" aca="1" ref="AP70" ca="1">IFERROR(VLOOKUP($AN$5&amp;$C70,CHOOSE({1,2},D_技能表!$C$2:$C$1210&amp;D_技能表!$E$2:$E$1210,D_技能表!$W$2:$W$1210),2,FALSE),0)</f>
        <v>77</v>
      </c>
      <c r="AQ70">
        <f t="array" aca="1" ref="AQ70" ca="1">IFERROR(VLOOKUP($AN$5&amp;$C70,CHOOSE({1,2},D_技能表!$C$2:$C$1210&amp;D_技能表!$E$2:$E$1210,D_技能表!$Z$2:$Z$1210),2,FALSE),0)</f>
        <v>31</v>
      </c>
      <c r="AR70" s="11">
        <f ca="1">SUM($G$7:G71,$K$7:K71,$O$7:O71,$S$7:S71,$W$7:W71,$AA$7:AA71,$AE$7:AE71,$AI$7:AI71,$AM$7:AM71,$AQ$7:AQ71)</f>
        <v>3394</v>
      </c>
      <c r="AS70">
        <f ca="1">SUM($F$7:F71,$J$7:J71,$N$7:N71,$R$7:R71,$V$7:V71,$Z$7:Z71,$AD$7:AD71,$AH$7:AH71,$AL$7:AL71,$AP$7:AP71)</f>
        <v>9759</v>
      </c>
      <c r="AT70">
        <f t="shared" ca="1" si="1"/>
        <v>522</v>
      </c>
      <c r="AU70" s="33">
        <f ca="1">SUM($AX$7:AX70,$BB$7:BB70,$BF$7:BF70,$BJ$7:BJ70)</f>
        <v>2350150</v>
      </c>
      <c r="AV70">
        <v>64</v>
      </c>
      <c r="AW70">
        <f t="array" ref="AW70">IFERROR(VLOOKUP(AW$5&amp;$AV70,CHOOSE({1,2},D_技能表CD!$C$2:$C$313&amp;D_技能表CD!$E$2:$E$313,D_技能表CD!$I$2:$I$313),2,FALSE),0)</f>
        <v>22</v>
      </c>
      <c r="AX70">
        <f t="array" aca="1" ref="AX70" ca="1">IFERROR(VLOOKUP(AW$5&amp;$AV70,CHOOSE({1,2},D_技能表CD!$C$2:$C$313&amp;D_技能表CD!$E$2:$E$313,D_技能表CD!$H$2:$H$313),2,FALSE),0)</f>
        <v>80550</v>
      </c>
      <c r="AY70">
        <f t="array" aca="1" ref="AY70" ca="1">IFERROR(VLOOKUP(AW$5&amp;$AV70,CHOOSE({1,2},D_技能表CD!$C$2:$C$313&amp;D_技能表CD!$E$2:$E$313,D_技能表CD!$L$2:$L$313),2,FALSE),0)</f>
        <v>233</v>
      </c>
      <c r="AZ70">
        <f t="array" aca="1" ref="AZ70" ca="1">IFERROR(VLOOKUP(AW$5&amp;$AV70,CHOOSE({1,2},D_技能表CD!$C$2:$C$313&amp;D_技能表CD!$E$2:$E$313,D_技能表CD!$K$2:$K$313),2,FALSE),0)</f>
        <v>466</v>
      </c>
      <c r="BA70">
        <f t="array" ref="BA70">IFERROR(VLOOKUP(BA$5&amp;$AV70,CHOOSE({1,2},D_技能表CD!$C$2:$C$313&amp;D_技能表CD!$E$2:$E$313,D_技能表CD!$I$2:$I$313),2,FALSE),0)</f>
        <v>0</v>
      </c>
      <c r="BB70">
        <f t="array" aca="1" ref="BB70" ca="1">IFERROR(VLOOKUP(BA$5&amp;$AV70,CHOOSE({1,2},D_技能表CD!$C$2:$C$313&amp;D_技能表CD!$E$2:$E$313,D_技能表CD!$H$2:$H$313),2,FALSE),0)</f>
        <v>0</v>
      </c>
      <c r="BC70">
        <f t="array" aca="1" ref="BC70" ca="1">IFERROR(VLOOKUP(BA$5&amp;$AV70,CHOOSE({1,2},D_技能表CD!$C$2:$C$313&amp;D_技能表CD!$E$2:$E$313,D_技能表CD!$L$2:$L$313),2,FALSE),0)</f>
        <v>0</v>
      </c>
      <c r="BD70">
        <f t="array" aca="1" ref="BD70" ca="1">IFERROR(VLOOKUP(BA$5&amp;$AV70,CHOOSE({1,2},D_技能表CD!$C$2:$C$313&amp;D_技能表CD!$E$2:$E$313,D_技能表CD!$K$2:$K$313),2,FALSE),0)</f>
        <v>0</v>
      </c>
      <c r="BE70">
        <f t="array" ref="BE70">IFERROR(VLOOKUP(BE$5&amp;$AV70,CHOOSE({1,2},D_技能表CD!$C$2:$C$313&amp;D_技能表CD!$E$2:$E$313,D_技能表CD!$I$2:$I$313),2,FALSE),0)</f>
        <v>21</v>
      </c>
      <c r="BF70">
        <f t="array" aca="1" ref="BF70" ca="1">IFERROR(VLOOKUP(BE$5&amp;$AV70,CHOOSE({1,2},D_技能表CD!$C$2:$C$313&amp;D_技能表CD!$E$2:$E$313,D_技能表CD!$H$2:$H$313),2,FALSE),0)</f>
        <v>58900</v>
      </c>
      <c r="BG70">
        <f t="array" aca="1" ref="BG70" ca="1">IFERROR(VLOOKUP(BE$5&amp;$AV70,CHOOSE({1,2},D_技能表CD!$C$2:$C$313&amp;D_技能表CD!$E$2:$E$313,D_技能表CD!$L$2:$L$313),2,FALSE),0)</f>
        <v>171</v>
      </c>
      <c r="BH70">
        <f t="array" aca="1" ref="BH70" ca="1">IFERROR(VLOOKUP(BE$5&amp;$AV70,CHOOSE({1,2},D_技能表CD!$C$2:$C$313&amp;D_技能表CD!$E$2:$E$313,D_技能表CD!$K$2:$K$313),2,FALSE),0)</f>
        <v>330</v>
      </c>
      <c r="BI70">
        <f t="array" ref="BI70">IFERROR(VLOOKUP(BI$5&amp;$AV70,CHOOSE({1,2},D_技能表CD!$C$2:$C$313&amp;D_技能表CD!$E$2:$E$313,D_技能表CD!$I$2:$I$313),2,FALSE),0)</f>
        <v>0</v>
      </c>
      <c r="BJ70">
        <f t="array" aca="1" ref="BJ70" ca="1">IFERROR(VLOOKUP(BI$5&amp;$AV70,CHOOSE({1,2},D_技能表CD!$C$2:$C$313&amp;D_技能表CD!$E$2:$E$313,D_技能表CD!$H$2:$H$313),2,FALSE),0)</f>
        <v>0</v>
      </c>
      <c r="BK70">
        <f t="array" aca="1" ref="BK70" ca="1">IFERROR(VLOOKUP(BI$5&amp;$AV70,CHOOSE({1,2},D_技能表CD!$C$2:$C$313&amp;D_技能表CD!$E$2:$E$313,D_技能表CD!$L$2:$L$313),2,FALSE),0)</f>
        <v>0</v>
      </c>
      <c r="BL70">
        <f t="array" aca="1" ref="BL70" ca="1">IFERROR(VLOOKUP(BI$5&amp;$AV70,CHOOSE({1,2},D_技能表CD!$C$2:$C$313&amp;D_技能表CD!$E$2:$E$313,D_技能表CD!$K$2:$K$313),2,FALSE),0)</f>
        <v>0</v>
      </c>
    </row>
    <row r="71" spans="1:64" x14ac:dyDescent="0.15">
      <c r="A71">
        <f t="shared" ca="1" si="0"/>
        <v>18422342</v>
      </c>
      <c r="B71" s="33">
        <f ca="1">SUM($E$7:E71,$I$7:I71,$M$7:M71,$Q$7:Q71,$U$7:U71,$Y$7:Y71,$AC$7:AC71,$AG$7:AG71,$AK$7:AK71,$AO$7:AO71)</f>
        <v>15943042</v>
      </c>
      <c r="C71">
        <v>65</v>
      </c>
      <c r="D71">
        <f t="array" aca="1" ref="D71" ca="1">IFERROR(VLOOKUP($D$5&amp;C71,CHOOSE({1,2},D_技能表!$C$2:$C$1210&amp;D_技能表!$E$2:$E$1210,D_技能表!$I$2:$I$1210),2,FALSE),0)</f>
        <v>0</v>
      </c>
      <c r="E71">
        <f t="array" aca="1" ref="E71" ca="1">IFERROR(VLOOKUP($D$5&amp;$C71,CHOOSE({1,2},D_技能表!$C$2:$C$1210&amp;D_技能表!$E$2:$E$1210,D_技能表!$N$2:$N$1210),2,FALSE),0)</f>
        <v>0</v>
      </c>
      <c r="F71">
        <f t="array" aca="1" ref="F71" ca="1">IFERROR(VLOOKUP($D$5&amp;$C71,CHOOSE({1,2},D_技能表!$C$2:$C$1210&amp;D_技能表!$E$2:$E$1210,D_技能表!$W$2:$W$1210),2,FALSE),0)</f>
        <v>0</v>
      </c>
      <c r="G71">
        <f t="array" aca="1" ref="G71" ca="1">IFERROR(VLOOKUP($D$5&amp;$C71,CHOOSE({1,2},D_技能表!$C$2:$C$1210&amp;D_技能表!$E$2:$E$1210,D_技能表!$Z$2:$Z$1210),2,FALSE),0)</f>
        <v>0</v>
      </c>
      <c r="H71">
        <f t="array" aca="1" ref="H71" ca="1">IFERROR(VLOOKUP($H$5&amp;$C71,CHOOSE({1,2},D_技能表!$C$2:$C$1210&amp;D_技能表!$E$2:$E$1210,D_技能表!$I$2:$I$1210),2,FALSE),0)</f>
        <v>40</v>
      </c>
      <c r="I71">
        <f t="array" aca="1" ref="I71" ca="1">IFERROR(VLOOKUP($H$5&amp;$C71,CHOOSE({1,2},D_技能表!$C$2:$C$1210&amp;D_技能表!$E$2:$E$1210,D_技能表!$N$2:$N$1210),2,FALSE),0)</f>
        <v>141933</v>
      </c>
      <c r="J71">
        <f t="array" aca="1" ref="J71" ca="1">IFERROR(VLOOKUP($H$5&amp;$C71,CHOOSE({1,2},D_技能表!$C$2:$C$1210&amp;D_技能表!$E$2:$E$1210,D_技能表!$W$2:$W$1210),2,FALSE),0)</f>
        <v>51</v>
      </c>
      <c r="K71">
        <f t="array" aca="1" ref="K71" ca="1">IFERROR(VLOOKUP($H$5&amp;$C71,CHOOSE({1,2},D_技能表!$C$2:$C$1210&amp;D_技能表!$E$2:$E$1210,D_技能表!$Z$2:$Z$1210),2,FALSE),0)</f>
        <v>21</v>
      </c>
      <c r="L71">
        <f t="array" aca="1" ref="L71" ca="1">IFERROR(VLOOKUP($L$5&amp;$C71,CHOOSE({1,2},D_技能表!$C$2:$C$1210&amp;D_技能表!$E$2:$E$1210,D_技能表!$I$2:$I$1210),2,FALSE),0)</f>
        <v>40</v>
      </c>
      <c r="M71">
        <f t="array" aca="1" ref="M71" ca="1">IFERROR(VLOOKUP($L$5&amp;$C71,CHOOSE({1,2},D_技能表!$C$2:$C$1210&amp;D_技能表!$E$2:$E$1210,D_技能表!$N$2:$N$1210),2,FALSE),0)</f>
        <v>141933</v>
      </c>
      <c r="N71">
        <f t="array" aca="1" ref="N71" ca="1">IFERROR(VLOOKUP($L$5&amp;$C71,CHOOSE({1,2},D_技能表!$C$2:$C$1210&amp;D_技能表!$E$2:$E$1210,D_技能表!$W$2:$W$1210),2,FALSE),0)</f>
        <v>51</v>
      </c>
      <c r="O71">
        <f t="array" aca="1" ref="O71" ca="1">IFERROR(VLOOKUP($L$5&amp;$C71,CHOOSE({1,2},D_技能表!$C$2:$C$1210&amp;D_技能表!$E$2:$E$1210,D_技能表!$Z$2:$Z$1210),2,FALSE),0)</f>
        <v>21</v>
      </c>
      <c r="P71">
        <f t="array" aca="1" ref="P71" ca="1">IFERROR(VLOOKUP($P$5&amp;$C71,CHOOSE({1,2},D_技能表!$C$2:$C$1210&amp;D_技能表!$E$2:$E$1210,D_技能表!$I$2:$I$1210),2,FALSE),0)</f>
        <v>40</v>
      </c>
      <c r="Q71">
        <f t="array" aca="1" ref="Q71" ca="1">IFERROR(VLOOKUP($P$5&amp;$C71,CHOOSE({1,2},D_技能表!$C$2:$C$1210&amp;D_技能表!$E$2:$E$1210,D_技能表!$N$2:$N$1210),2,FALSE),0)</f>
        <v>141933</v>
      </c>
      <c r="R71">
        <f t="array" aca="1" ref="R71" ca="1">IFERROR(VLOOKUP($P$5&amp;$C71,CHOOSE({1,2},D_技能表!$C$2:$C$1210&amp;D_技能表!$E$2:$E$1210,D_技能表!$W$2:$W$1210),2,FALSE),0)</f>
        <v>51</v>
      </c>
      <c r="S71">
        <f t="array" aca="1" ref="S71" ca="1">IFERROR(VLOOKUP($P$5&amp;$C71,CHOOSE({1,2},D_技能表!$C$2:$C$1210&amp;D_技能表!$E$2:$E$1210,D_技能表!$Z$2:$Z$1210),2,FALSE),0)</f>
        <v>21</v>
      </c>
      <c r="T71">
        <f t="array" aca="1" ref="T71" ca="1">IFERROR(VLOOKUP($T$5&amp;$C71,CHOOSE({1,2},D_技能表!$C$2:$C$1210&amp;D_技能表!$E$2:$E$1210,D_技能表!$I$2:$I$1210),2,FALSE),0)</f>
        <v>0</v>
      </c>
      <c r="U71">
        <f t="array" aca="1" ref="U71" ca="1">IFERROR(VLOOKUP($T$5&amp;$C71,CHOOSE({1,2},D_技能表!$C$2:$C$1210&amp;D_技能表!$E$2:$E$1210,D_技能表!$N$2:$N$1210),2,FALSE),0)</f>
        <v>0</v>
      </c>
      <c r="V71">
        <f t="array" aca="1" ref="V71" ca="1">IFERROR(VLOOKUP($T$5&amp;$C71,CHOOSE({1,2},D_技能表!$C$2:$C$1210&amp;D_技能表!$E$2:$E$1210,D_技能表!$W$2:$W$1210),2,FALSE),0)</f>
        <v>0</v>
      </c>
      <c r="W71">
        <f t="array" aca="1" ref="W71" ca="1">IFERROR(VLOOKUP($T$5&amp;$C71,CHOOSE({1,2},D_技能表!$C$2:$C$1210&amp;D_技能表!$E$2:$E$1210,D_技能表!$Z$2:$Z$1210),2,FALSE),0)</f>
        <v>0</v>
      </c>
      <c r="X71">
        <f t="array" aca="1" ref="X71" ca="1">IFERROR(VLOOKUP($X$5&amp;$C71,CHOOSE({1,2},D_技能表!$C$2:$C$1210&amp;D_技能表!$E$2:$E$1210,D_技能表!$I$2:$I$1210),2,FALSE),0)</f>
        <v>40</v>
      </c>
      <c r="Y71">
        <f t="array" aca="1" ref="Y71" ca="1">IFERROR(VLOOKUP($X$5&amp;$C71,CHOOSE({1,2},D_技能表!$C$2:$C$1210&amp;D_技能表!$E$2:$E$1210,D_技能表!$N$2:$N$1210),2,FALSE),0)</f>
        <v>311696</v>
      </c>
      <c r="Z71">
        <f t="array" aca="1" ref="Z71" ca="1">IFERROR(VLOOKUP($X$5&amp;$C71,CHOOSE({1,2},D_技能表!$C$2:$C$1210&amp;D_技能表!$E$2:$E$1210,D_技能表!$W$2:$W$1210),2,FALSE),0)</f>
        <v>112</v>
      </c>
      <c r="AA71">
        <f t="array" aca="1" ref="AA71" ca="1">IFERROR(VLOOKUP($X$5&amp;$C71,CHOOSE({1,2},D_技能表!$C$2:$C$1210&amp;D_技能表!$E$2:$E$1210,D_技能表!$Z$2:$Z$1210),2,FALSE),0)</f>
        <v>45</v>
      </c>
      <c r="AB71">
        <f t="array" aca="1" ref="AB71" ca="1">IFERROR(VLOOKUP($AB$5&amp;$C71,CHOOSE({1,2},D_技能表!$C$2:$C$1210&amp;D_技能表!$E$2:$E$1210,D_技能表!$I$2:$I$1210),2,FALSE),0)</f>
        <v>40</v>
      </c>
      <c r="AC71">
        <f t="array" aca="1" ref="AC71" ca="1">IFERROR(VLOOKUP($AB$5&amp;$C71,CHOOSE({1,2},D_技能表!$C$2:$C$1210&amp;D_技能表!$E$2:$E$1210,D_技能表!$N$2:$N$1210),2,FALSE),0)</f>
        <v>150282</v>
      </c>
      <c r="AD71">
        <f t="array" aca="1" ref="AD71" ca="1">IFERROR(VLOOKUP($AB$5&amp;$C71,CHOOSE({1,2},D_技能表!$C$2:$C$1210&amp;D_技能表!$E$2:$E$1210,D_技能表!$W$2:$W$1210),2,FALSE),0)</f>
        <v>54</v>
      </c>
      <c r="AE71">
        <f t="array" aca="1" ref="AE71" ca="1">IFERROR(VLOOKUP($AB$5&amp;$C71,CHOOSE({1,2},D_技能表!$C$2:$C$1210&amp;D_技能表!$E$2:$E$1210,D_技能表!$Z$2:$Z$1210),2,FALSE),0)</f>
        <v>22</v>
      </c>
      <c r="AF71">
        <f t="array" aca="1" ref="AF71" ca="1">IFERROR(VLOOKUP($AF$5&amp;$C71,CHOOSE({1,2},D_技能表!$C$2:$C$1210&amp;D_技能表!$E$2:$E$1210,D_技能表!$I$2:$I$1210),2,FALSE),0)</f>
        <v>0</v>
      </c>
      <c r="AG71">
        <f t="array" aca="1" ref="AG71" ca="1">IFERROR(VLOOKUP($AF$5&amp;$C71,CHOOSE({1,2},D_技能表!$C$2:$C$1210&amp;D_技能表!$E$2:$E$1210,D_技能表!$N$2:$N$1210),2,FALSE),0)</f>
        <v>0</v>
      </c>
      <c r="AH71">
        <f t="array" aca="1" ref="AH71" ca="1">IFERROR(VLOOKUP($AF$5&amp;$C71,CHOOSE({1,2},D_技能表!$C$2:$C$1210&amp;D_技能表!$E$2:$E$1210,D_技能表!$W$2:$W$1210),2,FALSE),0)</f>
        <v>0</v>
      </c>
      <c r="AI71">
        <f t="array" aca="1" ref="AI71" ca="1">IFERROR(VLOOKUP($AF$5&amp;$C71,CHOOSE({1,2},D_技能表!$C$2:$C$1210&amp;D_技能表!$E$2:$E$1210,D_技能表!$Z$2:$Z$1210),2,FALSE),0)</f>
        <v>0</v>
      </c>
      <c r="AJ71">
        <f t="array" aca="1" ref="AJ71" ca="1">IFERROR(VLOOKUP($AJ$5&amp;$C71,CHOOSE({1,2},D_技能表!$C$2:$C$1210&amp;D_技能表!$E$2:$E$1210,D_技能表!$I$2:$I$1210),2,FALSE),0)</f>
        <v>39</v>
      </c>
      <c r="AK71">
        <f t="array" aca="1" ref="AK71" ca="1">IFERROR(VLOOKUP($AJ$5&amp;$C71,CHOOSE({1,2},D_技能表!$C$2:$C$1210&amp;D_技能表!$E$2:$E$1210,D_技能表!$N$2:$N$1210),2,FALSE),0)</f>
        <v>125235</v>
      </c>
      <c r="AL71">
        <f t="array" aca="1" ref="AL71" ca="1">IFERROR(VLOOKUP($AJ$5&amp;$C71,CHOOSE({1,2},D_技能表!$C$2:$C$1210&amp;D_技能表!$E$2:$E$1210,D_技能表!$W$2:$W$1210),2,FALSE),0)</f>
        <v>45</v>
      </c>
      <c r="AM71">
        <f t="array" aca="1" ref="AM71" ca="1">IFERROR(VLOOKUP($AJ$5&amp;$C71,CHOOSE({1,2},D_技能表!$C$2:$C$1210&amp;D_技能表!$E$2:$E$1210,D_技能表!$Z$2:$Z$1210),2,FALSE),0)</f>
        <v>18</v>
      </c>
      <c r="AN71">
        <f t="array" aca="1" ref="AN71" ca="1">IFERROR(VLOOKUP($AN$5&amp;$C71,CHOOSE({1,2},D_技能表!$C$2:$C$1210&amp;D_技能表!$E$2:$E$1210,D_技能表!$I$2:$I$1210),2,FALSE),0)</f>
        <v>39</v>
      </c>
      <c r="AO71">
        <f t="array" aca="1" ref="AO71" ca="1">IFERROR(VLOOKUP($AN$5&amp;$C71,CHOOSE({1,2},D_技能表!$C$2:$C$1210&amp;D_技能表!$E$2:$E$1210,D_技能表!$N$2:$N$1210),2,FALSE),0)</f>
        <v>228206</v>
      </c>
      <c r="AP71">
        <f t="array" aca="1" ref="AP71" ca="1">IFERROR(VLOOKUP($AN$5&amp;$C71,CHOOSE({1,2},D_技能表!$C$2:$C$1210&amp;D_技能表!$E$2:$E$1210,D_技能表!$W$2:$W$1210),2,FALSE),0)</f>
        <v>82</v>
      </c>
      <c r="AQ71">
        <f t="array" aca="1" ref="AQ71" ca="1">IFERROR(VLOOKUP($AN$5&amp;$C71,CHOOSE({1,2},D_技能表!$C$2:$C$1210&amp;D_技能表!$E$2:$E$1210,D_技能表!$Z$2:$Z$1210),2,FALSE),0)</f>
        <v>33</v>
      </c>
      <c r="AR71" s="11">
        <f ca="1">SUM($G$7:G72,$K$7:K72,$O$7:O72,$S$7:S72,$W$7:W72,$AA$7:AA72,$AE$7:AE72,$AI$7:AI72,$AM$7:AM72,$AQ$7:AQ72)</f>
        <v>3599</v>
      </c>
      <c r="AS71">
        <f ca="1">SUM($F$7:F72,$J$7:J72,$N$7:N72,$R$7:R72,$V$7:V72,$Z$7:Z72,$AD$7:AD72,$AH$7:AH72,$AL$7:AL72,$AP$7:AP72)</f>
        <v>10264</v>
      </c>
      <c r="AT71">
        <f t="shared" ca="1" si="1"/>
        <v>446</v>
      </c>
      <c r="AU71" s="33">
        <f ca="1">SUM($AX$7:AX71,$BB$7:BB71,$BF$7:BF71,$BJ$7:BJ71)</f>
        <v>2479300</v>
      </c>
      <c r="AV71">
        <v>65</v>
      </c>
      <c r="AW71">
        <f t="array" ref="AW71">IFERROR(VLOOKUP(AW$5&amp;$AV71,CHOOSE({1,2},D_技能表CD!$C$2:$C$313&amp;D_技能表CD!$E$2:$E$313,D_技能表CD!$I$2:$I$313),2,FALSE),0)</f>
        <v>0</v>
      </c>
      <c r="AX71">
        <f t="array" aca="1" ref="AX71" ca="1">IFERROR(VLOOKUP(AW$5&amp;$AV71,CHOOSE({1,2},D_技能表CD!$C$2:$C$313&amp;D_技能表CD!$E$2:$E$313,D_技能表CD!$H$2:$H$313),2,FALSE),0)</f>
        <v>0</v>
      </c>
      <c r="AY71">
        <f t="array" aca="1" ref="AY71" ca="1">IFERROR(VLOOKUP(AW$5&amp;$AV71,CHOOSE({1,2},D_技能表CD!$C$2:$C$313&amp;D_技能表CD!$E$2:$E$313,D_技能表CD!$L$2:$L$313),2,FALSE),0)</f>
        <v>0</v>
      </c>
      <c r="AZ71">
        <f t="array" aca="1" ref="AZ71" ca="1">IFERROR(VLOOKUP(AW$5&amp;$AV71,CHOOSE({1,2},D_技能表CD!$C$2:$C$313&amp;D_技能表CD!$E$2:$E$313,D_技能表CD!$K$2:$K$313),2,FALSE),0)</f>
        <v>0</v>
      </c>
      <c r="BA71">
        <f t="array" ref="BA71">IFERROR(VLOOKUP(BA$5&amp;$AV71,CHOOSE({1,2},D_技能表CD!$C$2:$C$313&amp;D_技能表CD!$E$2:$E$313,D_技能表CD!$I$2:$I$313),2,FALSE),0)</f>
        <v>0</v>
      </c>
      <c r="BB71">
        <f t="array" aca="1" ref="BB71" ca="1">IFERROR(VLOOKUP(BA$5&amp;$AV71,CHOOSE({1,2},D_技能表CD!$C$2:$C$313&amp;D_技能表CD!$E$2:$E$313,D_技能表CD!$H$2:$H$313),2,FALSE),0)</f>
        <v>0</v>
      </c>
      <c r="BC71">
        <f t="array" aca="1" ref="BC71" ca="1">IFERROR(VLOOKUP(BA$5&amp;$AV71,CHOOSE({1,2},D_技能表CD!$C$2:$C$313&amp;D_技能表CD!$E$2:$E$313,D_技能表CD!$L$2:$L$313),2,FALSE),0)</f>
        <v>0</v>
      </c>
      <c r="BD71">
        <f t="array" aca="1" ref="BD71" ca="1">IFERROR(VLOOKUP(BA$5&amp;$AV71,CHOOSE({1,2},D_技能表CD!$C$2:$C$313&amp;D_技能表CD!$E$2:$E$313,D_技能表CD!$K$2:$K$313),2,FALSE),0)</f>
        <v>0</v>
      </c>
      <c r="BE71">
        <f t="array" ref="BE71">IFERROR(VLOOKUP(BE$5&amp;$AV71,CHOOSE({1,2},D_技能表CD!$C$2:$C$313&amp;D_技能表CD!$E$2:$E$313,D_技能表CD!$I$2:$I$313),2,FALSE),0)</f>
        <v>0</v>
      </c>
      <c r="BF71">
        <f t="array" aca="1" ref="BF71" ca="1">IFERROR(VLOOKUP(BE$5&amp;$AV71,CHOOSE({1,2},D_技能表CD!$C$2:$C$313&amp;D_技能表CD!$E$2:$E$313,D_技能表CD!$H$2:$H$313),2,FALSE),0)</f>
        <v>0</v>
      </c>
      <c r="BG71">
        <f t="array" aca="1" ref="BG71" ca="1">IFERROR(VLOOKUP(BE$5&amp;$AV71,CHOOSE({1,2},D_技能表CD!$C$2:$C$313&amp;D_技能表CD!$E$2:$E$313,D_技能表CD!$L$2:$L$313),2,FALSE),0)</f>
        <v>0</v>
      </c>
      <c r="BH71">
        <f t="array" aca="1" ref="BH71" ca="1">IFERROR(VLOOKUP(BE$5&amp;$AV71,CHOOSE({1,2},D_技能表CD!$C$2:$C$313&amp;D_技能表CD!$E$2:$E$313,D_技能表CD!$K$2:$K$313),2,FALSE),0)</f>
        <v>0</v>
      </c>
      <c r="BI71">
        <f t="array" ref="BI71">IFERROR(VLOOKUP(BI$5&amp;$AV71,CHOOSE({1,2},D_技能表CD!$C$2:$C$313&amp;D_技能表CD!$E$2:$E$313,D_技能表CD!$I$2:$I$313),2,FALSE),0)</f>
        <v>21</v>
      </c>
      <c r="BJ71">
        <f t="array" aca="1" ref="BJ71" ca="1">IFERROR(VLOOKUP(BI$5&amp;$AV71,CHOOSE({1,2},D_技能表CD!$C$2:$C$313&amp;D_技能表CD!$E$2:$E$313,D_技能表CD!$H$2:$H$313),2,FALSE),0)</f>
        <v>129150</v>
      </c>
      <c r="BK71">
        <f t="array" aca="1" ref="BK71" ca="1">IFERROR(VLOOKUP(BI$5&amp;$AV71,CHOOSE({1,2},D_技能表CD!$C$2:$C$313&amp;D_技能表CD!$E$2:$E$313,D_技能表CD!$L$2:$L$313),2,FALSE),0)</f>
        <v>375</v>
      </c>
      <c r="BL71">
        <f t="array" aca="1" ref="BL71" ca="1">IFERROR(VLOOKUP(BI$5&amp;$AV71,CHOOSE({1,2},D_技能表CD!$C$2:$C$313&amp;D_技能表CD!$E$2:$E$313,D_技能表CD!$K$2:$K$313),2,FALSE),0)</f>
        <v>724</v>
      </c>
    </row>
    <row r="72" spans="1:64" x14ac:dyDescent="0.15">
      <c r="A72">
        <f t="shared" ref="A72:A106" ca="1" si="2">B72+AU72</f>
        <v>20027302</v>
      </c>
      <c r="B72" s="33">
        <f ca="1">SUM($E$7:E72,$I$7:I72,$M$7:M72,$Q$7:Q72,$U$7:U72,$Y$7:Y72,$AC$7:AC72,$AG$7:AG72,$AK$7:AK72,$AO$7:AO72)</f>
        <v>17393402</v>
      </c>
      <c r="C72">
        <v>66</v>
      </c>
      <c r="D72">
        <f t="array" aca="1" ref="D72" ca="1">IFERROR(VLOOKUP($D$5&amp;C72,CHOOSE({1,2},D_技能表!$C$2:$C$1210&amp;D_技能表!$E$2:$E$1210,D_技能表!$I$2:$I$1210),2,FALSE),0)</f>
        <v>41</v>
      </c>
      <c r="E72">
        <f t="array" aca="1" ref="E72" ca="1">IFERROR(VLOOKUP($D$5&amp;$C72,CHOOSE({1,2},D_技能表!$C$2:$C$1210&amp;D_技能表!$E$2:$E$1210,D_技能表!$N$2:$N$1210),2,FALSE),0)</f>
        <v>361872</v>
      </c>
      <c r="F72">
        <f t="array" aca="1" ref="F72" ca="1">IFERROR(VLOOKUP($D$5&amp;$C72,CHOOSE({1,2},D_技能表!$C$2:$C$1210&amp;D_技能表!$E$2:$E$1210,D_技能表!$W$2:$W$1210),2,FALSE),0)</f>
        <v>126</v>
      </c>
      <c r="G72">
        <f t="array" aca="1" ref="G72" ca="1">IFERROR(VLOOKUP($D$5&amp;$C72,CHOOSE({1,2},D_技能表!$C$2:$C$1210&amp;D_技能表!$E$2:$E$1210,D_技能表!$Z$2:$Z$1210),2,FALSE),0)</f>
        <v>51</v>
      </c>
      <c r="H72">
        <f t="array" aca="1" ref="H72" ca="1">IFERROR(VLOOKUP($H$5&amp;$C72,CHOOSE({1,2},D_技能表!$C$2:$C$1210&amp;D_技能表!$E$2:$E$1210,D_技能表!$I$2:$I$1210),2,FALSE),0)</f>
        <v>41</v>
      </c>
      <c r="I72">
        <f t="array" aca="1" ref="I72" ca="1">IFERROR(VLOOKUP($H$5&amp;$C72,CHOOSE({1,2},D_技能表!$C$2:$C$1210&amp;D_技能表!$E$2:$E$1210,D_技能表!$N$2:$N$1210),2,FALSE),0)</f>
        <v>157960</v>
      </c>
      <c r="J72">
        <f t="array" aca="1" ref="J72" ca="1">IFERROR(VLOOKUP($H$5&amp;$C72,CHOOSE({1,2},D_技能表!$C$2:$C$1210&amp;D_技能表!$E$2:$E$1210,D_技能表!$W$2:$W$1210),2,FALSE),0)</f>
        <v>55</v>
      </c>
      <c r="K72">
        <f t="array" aca="1" ref="K72" ca="1">IFERROR(VLOOKUP($H$5&amp;$C72,CHOOSE({1,2},D_技能表!$C$2:$C$1210&amp;D_技能表!$E$2:$E$1210,D_技能表!$Z$2:$Z$1210),2,FALSE),0)</f>
        <v>22</v>
      </c>
      <c r="L72">
        <f t="array" aca="1" ref="L72" ca="1">IFERROR(VLOOKUP($L$5&amp;$C72,CHOOSE({1,2},D_技能表!$C$2:$C$1210&amp;D_技能表!$E$2:$E$1210,D_技能表!$I$2:$I$1210),2,FALSE),0)</f>
        <v>41</v>
      </c>
      <c r="M72">
        <f t="array" aca="1" ref="M72" ca="1">IFERROR(VLOOKUP($L$5&amp;$C72,CHOOSE({1,2},D_技能表!$C$2:$C$1210&amp;D_技能表!$E$2:$E$1210,D_技能表!$N$2:$N$1210),2,FALSE),0)</f>
        <v>157960</v>
      </c>
      <c r="N72">
        <f t="array" aca="1" ref="N72" ca="1">IFERROR(VLOOKUP($L$5&amp;$C72,CHOOSE({1,2},D_技能表!$C$2:$C$1210&amp;D_技能表!$E$2:$E$1210,D_技能表!$W$2:$W$1210),2,FALSE),0)</f>
        <v>55</v>
      </c>
      <c r="O72">
        <f t="array" aca="1" ref="O72" ca="1">IFERROR(VLOOKUP($L$5&amp;$C72,CHOOSE({1,2},D_技能表!$C$2:$C$1210&amp;D_技能表!$E$2:$E$1210,D_技能表!$Z$2:$Z$1210),2,FALSE),0)</f>
        <v>22</v>
      </c>
      <c r="P72">
        <f t="array" aca="1" ref="P72" ca="1">IFERROR(VLOOKUP($P$5&amp;$C72,CHOOSE({1,2},D_技能表!$C$2:$C$1210&amp;D_技能表!$E$2:$E$1210,D_技能表!$I$2:$I$1210),2,FALSE),0)</f>
        <v>0</v>
      </c>
      <c r="Q72">
        <f t="array" aca="1" ref="Q72" ca="1">IFERROR(VLOOKUP($P$5&amp;$C72,CHOOSE({1,2},D_技能表!$C$2:$C$1210&amp;D_技能表!$E$2:$E$1210,D_技能表!$N$2:$N$1210),2,FALSE),0)</f>
        <v>0</v>
      </c>
      <c r="R72">
        <f t="array" aca="1" ref="R72" ca="1">IFERROR(VLOOKUP($P$5&amp;$C72,CHOOSE({1,2},D_技能表!$C$2:$C$1210&amp;D_技能表!$E$2:$E$1210,D_技能表!$W$2:$W$1210),2,FALSE),0)</f>
        <v>0</v>
      </c>
      <c r="S72">
        <f t="array" aca="1" ref="S72" ca="1">IFERROR(VLOOKUP($P$5&amp;$C72,CHOOSE({1,2},D_技能表!$C$2:$C$1210&amp;D_技能表!$E$2:$E$1210,D_技能表!$Z$2:$Z$1210),2,FALSE),0)</f>
        <v>0</v>
      </c>
      <c r="T72">
        <f t="array" aca="1" ref="T72" ca="1">IFERROR(VLOOKUP($T$5&amp;$C72,CHOOSE({1,2},D_技能表!$C$2:$C$1210&amp;D_技能表!$E$2:$E$1210,D_技能表!$I$2:$I$1210),2,FALSE),0)</f>
        <v>40</v>
      </c>
      <c r="U72">
        <f t="array" aca="1" ref="U72" ca="1">IFERROR(VLOOKUP($T$5&amp;$C72,CHOOSE({1,2},D_技能表!$C$2:$C$1210&amp;D_技能表!$E$2:$E$1210,D_技能表!$N$2:$N$1210),2,FALSE),0)</f>
        <v>244120</v>
      </c>
      <c r="V72">
        <f t="array" aca="1" ref="V72" ca="1">IFERROR(VLOOKUP($T$5&amp;$C72,CHOOSE({1,2},D_技能表!$C$2:$C$1210&amp;D_技能表!$E$2:$E$1210,D_技能表!$W$2:$W$1210),2,FALSE),0)</f>
        <v>85</v>
      </c>
      <c r="W72">
        <f t="array" aca="1" ref="W72" ca="1">IFERROR(VLOOKUP($T$5&amp;$C72,CHOOSE({1,2},D_技能表!$C$2:$C$1210&amp;D_技能表!$E$2:$E$1210,D_技能表!$Z$2:$Z$1210),2,FALSE),0)</f>
        <v>34</v>
      </c>
      <c r="X72">
        <f t="array" aca="1" ref="X72" ca="1">IFERROR(VLOOKUP($X$5&amp;$C72,CHOOSE({1,2},D_技能表!$C$2:$C$1210&amp;D_技能表!$E$2:$E$1210,D_技能表!$I$2:$I$1210),2,FALSE),0)</f>
        <v>0</v>
      </c>
      <c r="Y72">
        <f t="array" aca="1" ref="Y72" ca="1">IFERROR(VLOOKUP($X$5&amp;$C72,CHOOSE({1,2},D_技能表!$C$2:$C$1210&amp;D_技能表!$E$2:$E$1210,D_技能表!$N$2:$N$1210),2,FALSE),0)</f>
        <v>0</v>
      </c>
      <c r="Z72">
        <f t="array" aca="1" ref="Z72" ca="1">IFERROR(VLOOKUP($X$5&amp;$C72,CHOOSE({1,2},D_技能表!$C$2:$C$1210&amp;D_技能表!$E$2:$E$1210,D_技能表!$W$2:$W$1210),2,FALSE),0)</f>
        <v>0</v>
      </c>
      <c r="AA72">
        <f t="array" aca="1" ref="AA72" ca="1">IFERROR(VLOOKUP($X$5&amp;$C72,CHOOSE({1,2},D_技能表!$C$2:$C$1210&amp;D_技能表!$E$2:$E$1210,D_技能表!$Z$2:$Z$1210),2,FALSE),0)</f>
        <v>0</v>
      </c>
      <c r="AB72">
        <f t="array" aca="1" ref="AB72" ca="1">IFERROR(VLOOKUP($AB$5&amp;$C72,CHOOSE({1,2},D_技能表!$C$2:$C$1210&amp;D_技能表!$E$2:$E$1210,D_技能表!$I$2:$I$1210),2,FALSE),0)</f>
        <v>0</v>
      </c>
      <c r="AC72">
        <f t="array" aca="1" ref="AC72" ca="1">IFERROR(VLOOKUP($AB$5&amp;$C72,CHOOSE({1,2},D_技能表!$C$2:$C$1210&amp;D_技能表!$E$2:$E$1210,D_技能表!$N$2:$N$1210),2,FALSE),0)</f>
        <v>0</v>
      </c>
      <c r="AD72">
        <f t="array" aca="1" ref="AD72" ca="1">IFERROR(VLOOKUP($AB$5&amp;$C72,CHOOSE({1,2},D_技能表!$C$2:$C$1210&amp;D_技能表!$E$2:$E$1210,D_技能表!$W$2:$W$1210),2,FALSE),0)</f>
        <v>0</v>
      </c>
      <c r="AE72">
        <f t="array" aca="1" ref="AE72" ca="1">IFERROR(VLOOKUP($AB$5&amp;$C72,CHOOSE({1,2},D_技能表!$C$2:$C$1210&amp;D_技能表!$E$2:$E$1210,D_技能表!$Z$2:$Z$1210),2,FALSE),0)</f>
        <v>0</v>
      </c>
      <c r="AF72">
        <f t="array" aca="1" ref="AF72" ca="1">IFERROR(VLOOKUP($AF$5&amp;$C72,CHOOSE({1,2},D_技能表!$C$2:$C$1210&amp;D_技能表!$E$2:$E$1210,D_技能表!$I$2:$I$1210),2,FALSE),0)</f>
        <v>40</v>
      </c>
      <c r="AG72">
        <f t="array" aca="1" ref="AG72" ca="1">IFERROR(VLOOKUP($AF$5&amp;$C72,CHOOSE({1,2},D_技能表!$C$2:$C$1210&amp;D_技能表!$E$2:$E$1210,D_技能表!$N$2:$N$1210),2,FALSE),0)</f>
        <v>137856</v>
      </c>
      <c r="AH72">
        <f t="array" aca="1" ref="AH72" ca="1">IFERROR(VLOOKUP($AF$5&amp;$C72,CHOOSE({1,2},D_技能表!$C$2:$C$1210&amp;D_技能表!$E$2:$E$1210,D_技能表!$W$2:$W$1210),2,FALSE),0)</f>
        <v>48</v>
      </c>
      <c r="AI72">
        <f t="array" aca="1" ref="AI72" ca="1">IFERROR(VLOOKUP($AF$5&amp;$C72,CHOOSE({1,2},D_技能表!$C$2:$C$1210&amp;D_技能表!$E$2:$E$1210,D_技能表!$Z$2:$Z$1210),2,FALSE),0)</f>
        <v>20</v>
      </c>
      <c r="AJ72">
        <f t="array" aca="1" ref="AJ72" ca="1">IFERROR(VLOOKUP($AJ$5&amp;$C72,CHOOSE({1,2},D_技能表!$C$2:$C$1210&amp;D_技能表!$E$2:$E$1210,D_技能表!$I$2:$I$1210),2,FALSE),0)</f>
        <v>40</v>
      </c>
      <c r="AK72">
        <f t="array" aca="1" ref="AK72" ca="1">IFERROR(VLOOKUP($AJ$5&amp;$C72,CHOOSE({1,2},D_技能表!$C$2:$C$1210&amp;D_技能表!$E$2:$E$1210,D_技能表!$N$2:$N$1210),2,FALSE),0)</f>
        <v>137856</v>
      </c>
      <c r="AL72">
        <f t="array" aca="1" ref="AL72" ca="1">IFERROR(VLOOKUP($AJ$5&amp;$C72,CHOOSE({1,2},D_技能表!$C$2:$C$1210&amp;D_技能表!$E$2:$E$1210,D_技能表!$W$2:$W$1210),2,FALSE),0)</f>
        <v>48</v>
      </c>
      <c r="AM72">
        <f t="array" aca="1" ref="AM72" ca="1">IFERROR(VLOOKUP($AJ$5&amp;$C72,CHOOSE({1,2},D_技能表!$C$2:$C$1210&amp;D_技能表!$E$2:$E$1210,D_技能表!$Z$2:$Z$1210),2,FALSE),0)</f>
        <v>20</v>
      </c>
      <c r="AN72">
        <f t="array" aca="1" ref="AN72" ca="1">IFERROR(VLOOKUP($AN$5&amp;$C72,CHOOSE({1,2},D_技能表!$C$2:$C$1210&amp;D_技能表!$E$2:$E$1210,D_技能表!$I$2:$I$1210),2,FALSE),0)</f>
        <v>40</v>
      </c>
      <c r="AO72">
        <f t="array" aca="1" ref="AO72" ca="1">IFERROR(VLOOKUP($AN$5&amp;$C72,CHOOSE({1,2},D_技能表!$C$2:$C$1210&amp;D_技能表!$E$2:$E$1210,D_技能表!$N$2:$N$1210),2,FALSE),0)</f>
        <v>252736</v>
      </c>
      <c r="AP72">
        <f t="array" aca="1" ref="AP72" ca="1">IFERROR(VLOOKUP($AN$5&amp;$C72,CHOOSE({1,2},D_技能表!$C$2:$C$1210&amp;D_技能表!$E$2:$E$1210,D_技能表!$W$2:$W$1210),2,FALSE),0)</f>
        <v>88</v>
      </c>
      <c r="AQ72">
        <f t="array" aca="1" ref="AQ72" ca="1">IFERROR(VLOOKUP($AN$5&amp;$C72,CHOOSE({1,2},D_技能表!$C$2:$C$1210&amp;D_技能表!$E$2:$E$1210,D_技能表!$Z$2:$Z$1210),2,FALSE),0)</f>
        <v>36</v>
      </c>
      <c r="AR72" s="11">
        <f ca="1">SUM($G$7:G73,$K$7:K73,$O$7:O73,$S$7:S73,$W$7:W73,$AA$7:AA73,$AE$7:AE73,$AI$7:AI73,$AM$7:AM73,$AQ$7:AQ73)</f>
        <v>3772</v>
      </c>
      <c r="AS72">
        <f ca="1">SUM($F$7:F73,$J$7:J73,$N$7:N73,$R$7:R73,$V$7:V73,$Z$7:Z73,$AD$7:AD73,$AH$7:AH73,$AL$7:AL73,$AP$7:AP73)</f>
        <v>10690</v>
      </c>
      <c r="AT72">
        <f t="shared" ref="AT72:AT106" ca="1" si="3">F72+J72+N72+R72+V72+Z72+AD72+AH72+AL72+AP72</f>
        <v>505</v>
      </c>
      <c r="AU72" s="33">
        <f ca="1">SUM($AX$7:AX72,$BB$7:BB72,$BF$7:BF72,$BJ$7:BJ72)</f>
        <v>2633900</v>
      </c>
      <c r="AV72">
        <v>66</v>
      </c>
      <c r="AW72">
        <f t="array" ref="AW72">IFERROR(VLOOKUP(AW$5&amp;$AV72,CHOOSE({1,2},D_技能表CD!$C$2:$C$313&amp;D_技能表CD!$E$2:$E$313,D_技能表CD!$I$2:$I$313),2,FALSE),0)</f>
        <v>0</v>
      </c>
      <c r="AX72">
        <f t="array" aca="1" ref="AX72" ca="1">IFERROR(VLOOKUP(AW$5&amp;$AV72,CHOOSE({1,2},D_技能表CD!$C$2:$C$313&amp;D_技能表CD!$E$2:$E$313,D_技能表CD!$H$2:$H$313),2,FALSE),0)</f>
        <v>0</v>
      </c>
      <c r="AY72">
        <f t="array" aca="1" ref="AY72" ca="1">IFERROR(VLOOKUP(AW$5&amp;$AV72,CHOOSE({1,2},D_技能表CD!$C$2:$C$313&amp;D_技能表CD!$E$2:$E$313,D_技能表CD!$L$2:$L$313),2,FALSE),0)</f>
        <v>0</v>
      </c>
      <c r="AZ72">
        <f t="array" aca="1" ref="AZ72" ca="1">IFERROR(VLOOKUP(AW$5&amp;$AV72,CHOOSE({1,2},D_技能表CD!$C$2:$C$313&amp;D_技能表CD!$E$2:$E$313,D_技能表CD!$K$2:$K$313),2,FALSE),0)</f>
        <v>0</v>
      </c>
      <c r="BA72">
        <f t="array" ref="BA72">IFERROR(VLOOKUP(BA$5&amp;$AV72,CHOOSE({1,2},D_技能表CD!$C$2:$C$313&amp;D_技能表CD!$E$2:$E$313,D_技能表CD!$I$2:$I$313),2,FALSE),0)</f>
        <v>22</v>
      </c>
      <c r="BB72">
        <f t="array" aca="1" ref="BB72" ca="1">IFERROR(VLOOKUP(BA$5&amp;$AV72,CHOOSE({1,2},D_技能表CD!$C$2:$C$313&amp;D_技能表CD!$E$2:$E$313,D_技能表CD!$H$2:$H$313),2,FALSE),0)</f>
        <v>154600</v>
      </c>
      <c r="BC72">
        <f t="array" aca="1" ref="BC72" ca="1">IFERROR(VLOOKUP(BA$5&amp;$AV72,CHOOSE({1,2},D_技能表CD!$C$2:$C$313&amp;D_技能表CD!$E$2:$E$313,D_技能表CD!$L$2:$L$313),2,FALSE),0)</f>
        <v>446</v>
      </c>
      <c r="BD72">
        <f t="array" aca="1" ref="BD72" ca="1">IFERROR(VLOOKUP(BA$5&amp;$AV72,CHOOSE({1,2},D_技能表CD!$C$2:$C$313&amp;D_技能表CD!$E$2:$E$313,D_技能表CD!$K$2:$K$313),2,FALSE),0)</f>
        <v>892</v>
      </c>
      <c r="BE72">
        <f t="array" ref="BE72">IFERROR(VLOOKUP(BE$5&amp;$AV72,CHOOSE({1,2},D_技能表CD!$C$2:$C$313&amp;D_技能表CD!$E$2:$E$313,D_技能表CD!$I$2:$I$313),2,FALSE),0)</f>
        <v>0</v>
      </c>
      <c r="BF72">
        <f t="array" aca="1" ref="BF72" ca="1">IFERROR(VLOOKUP(BE$5&amp;$AV72,CHOOSE({1,2},D_技能表CD!$C$2:$C$313&amp;D_技能表CD!$E$2:$E$313,D_技能表CD!$H$2:$H$313),2,FALSE),0)</f>
        <v>0</v>
      </c>
      <c r="BG72">
        <f t="array" aca="1" ref="BG72" ca="1">IFERROR(VLOOKUP(BE$5&amp;$AV72,CHOOSE({1,2},D_技能表CD!$C$2:$C$313&amp;D_技能表CD!$E$2:$E$313,D_技能表CD!$L$2:$L$313),2,FALSE),0)</f>
        <v>0</v>
      </c>
      <c r="BH72">
        <f t="array" aca="1" ref="BH72" ca="1">IFERROR(VLOOKUP(BE$5&amp;$AV72,CHOOSE({1,2},D_技能表CD!$C$2:$C$313&amp;D_技能表CD!$E$2:$E$313,D_技能表CD!$K$2:$K$313),2,FALSE),0)</f>
        <v>0</v>
      </c>
      <c r="BI72">
        <f t="array" ref="BI72">IFERROR(VLOOKUP(BI$5&amp;$AV72,CHOOSE({1,2},D_技能表CD!$C$2:$C$313&amp;D_技能表CD!$E$2:$E$313,D_技能表CD!$I$2:$I$313),2,FALSE),0)</f>
        <v>0</v>
      </c>
      <c r="BJ72">
        <f t="array" aca="1" ref="BJ72" ca="1">IFERROR(VLOOKUP(BI$5&amp;$AV72,CHOOSE({1,2},D_技能表CD!$C$2:$C$313&amp;D_技能表CD!$E$2:$E$313,D_技能表CD!$H$2:$H$313),2,FALSE),0)</f>
        <v>0</v>
      </c>
      <c r="BK72">
        <f t="array" aca="1" ref="BK72" ca="1">IFERROR(VLOOKUP(BI$5&amp;$AV72,CHOOSE({1,2},D_技能表CD!$C$2:$C$313&amp;D_技能表CD!$E$2:$E$313,D_技能表CD!$L$2:$L$313),2,FALSE),0)</f>
        <v>0</v>
      </c>
      <c r="BL72">
        <f t="array" aca="1" ref="BL72" ca="1">IFERROR(VLOOKUP(BI$5&amp;$AV72,CHOOSE({1,2},D_技能表CD!$C$2:$C$313&amp;D_技能表CD!$E$2:$E$313,D_技能表CD!$K$2:$K$313),2,FALSE),0)</f>
        <v>0</v>
      </c>
    </row>
    <row r="73" spans="1:64" x14ac:dyDescent="0.15">
      <c r="A73">
        <f t="shared" ca="1" si="2"/>
        <v>21452390</v>
      </c>
      <c r="B73" s="33">
        <f ca="1">SUM($E$7:E73,$I$7:I73,$M$7:M73,$Q$7:Q73,$U$7:U73,$Y$7:Y73,$AC$7:AC73,$AG$7:AG73,$AK$7:AK73,$AO$7:AO73)</f>
        <v>18655640</v>
      </c>
      <c r="C73">
        <v>67</v>
      </c>
      <c r="D73">
        <f t="array" aca="1" ref="D73" ca="1">IFERROR(VLOOKUP($D$5&amp;C73,CHOOSE({1,2},D_技能表!$C$2:$C$1210&amp;D_技能表!$E$2:$E$1210,D_技能表!$I$2:$I$1210),2,FALSE),0)</f>
        <v>0</v>
      </c>
      <c r="E73">
        <f t="array" aca="1" ref="E73" ca="1">IFERROR(VLOOKUP($D$5&amp;$C73,CHOOSE({1,2},D_技能表!$C$2:$C$1210&amp;D_技能表!$E$2:$E$1210,D_技能表!$N$2:$N$1210),2,FALSE),0)</f>
        <v>0</v>
      </c>
      <c r="F73">
        <f t="array" aca="1" ref="F73" ca="1">IFERROR(VLOOKUP($D$5&amp;$C73,CHOOSE({1,2},D_技能表!$C$2:$C$1210&amp;D_技能表!$E$2:$E$1210,D_技能表!$W$2:$W$1210),2,FALSE),0)</f>
        <v>0</v>
      </c>
      <c r="G73">
        <f t="array" aca="1" ref="G73" ca="1">IFERROR(VLOOKUP($D$5&amp;$C73,CHOOSE({1,2},D_技能表!$C$2:$C$1210&amp;D_技能表!$E$2:$E$1210,D_技能表!$Z$2:$Z$1210),2,FALSE),0)</f>
        <v>0</v>
      </c>
      <c r="H73">
        <f t="array" aca="1" ref="H73" ca="1">IFERROR(VLOOKUP($H$5&amp;$C73,CHOOSE({1,2},D_技能表!$C$2:$C$1210&amp;D_技能表!$E$2:$E$1210,D_技能表!$I$2:$I$1210),2,FALSE),0)</f>
        <v>0</v>
      </c>
      <c r="I73">
        <f t="array" aca="1" ref="I73" ca="1">IFERROR(VLOOKUP($H$5&amp;$C73,CHOOSE({1,2},D_技能表!$C$2:$C$1210&amp;D_技能表!$E$2:$E$1210,D_技能表!$N$2:$N$1210),2,FALSE),0)</f>
        <v>0</v>
      </c>
      <c r="J73">
        <f t="array" aca="1" ref="J73" ca="1">IFERROR(VLOOKUP($H$5&amp;$C73,CHOOSE({1,2},D_技能表!$C$2:$C$1210&amp;D_技能表!$E$2:$E$1210,D_技能表!$W$2:$W$1210),2,FALSE),0)</f>
        <v>0</v>
      </c>
      <c r="K73">
        <f t="array" aca="1" ref="K73" ca="1">IFERROR(VLOOKUP($H$5&amp;$C73,CHOOSE({1,2},D_技能表!$C$2:$C$1210&amp;D_技能表!$E$2:$E$1210,D_技能表!$Z$2:$Z$1210),2,FALSE),0)</f>
        <v>0</v>
      </c>
      <c r="L73">
        <f t="array" aca="1" ref="L73" ca="1">IFERROR(VLOOKUP($L$5&amp;$C73,CHOOSE({1,2},D_技能表!$C$2:$C$1210&amp;D_技能表!$E$2:$E$1210,D_技能表!$I$2:$I$1210),2,FALSE),0)</f>
        <v>0</v>
      </c>
      <c r="M73">
        <f t="array" aca="1" ref="M73" ca="1">IFERROR(VLOOKUP($L$5&amp;$C73,CHOOSE({1,2},D_技能表!$C$2:$C$1210&amp;D_技能表!$E$2:$E$1210,D_技能表!$N$2:$N$1210),2,FALSE),0)</f>
        <v>0</v>
      </c>
      <c r="N73">
        <f t="array" aca="1" ref="N73" ca="1">IFERROR(VLOOKUP($L$5&amp;$C73,CHOOSE({1,2},D_技能表!$C$2:$C$1210&amp;D_技能表!$E$2:$E$1210,D_技能表!$W$2:$W$1210),2,FALSE),0)</f>
        <v>0</v>
      </c>
      <c r="O73">
        <f t="array" aca="1" ref="O73" ca="1">IFERROR(VLOOKUP($L$5&amp;$C73,CHOOSE({1,2},D_技能表!$C$2:$C$1210&amp;D_技能表!$E$2:$E$1210,D_技能表!$Z$2:$Z$1210),2,FALSE),0)</f>
        <v>0</v>
      </c>
      <c r="P73">
        <f t="array" aca="1" ref="P73" ca="1">IFERROR(VLOOKUP($P$5&amp;$C73,CHOOSE({1,2},D_技能表!$C$2:$C$1210&amp;D_技能表!$E$2:$E$1210,D_技能表!$I$2:$I$1210),2,FALSE),0)</f>
        <v>41</v>
      </c>
      <c r="Q73">
        <f t="array" aca="1" ref="Q73" ca="1">IFERROR(VLOOKUP($P$5&amp;$C73,CHOOSE({1,2},D_技能表!$C$2:$C$1210&amp;D_技能表!$E$2:$E$1210,D_技能表!$N$2:$N$1210),2,FALSE),0)</f>
        <v>162965</v>
      </c>
      <c r="R73">
        <f t="array" aca="1" ref="R73" ca="1">IFERROR(VLOOKUP($P$5&amp;$C73,CHOOSE({1,2},D_技能表!$C$2:$C$1210&amp;D_技能表!$E$2:$E$1210,D_技能表!$W$2:$W$1210),2,FALSE),0)</f>
        <v>55</v>
      </c>
      <c r="S73">
        <f t="array" aca="1" ref="S73" ca="1">IFERROR(VLOOKUP($P$5&amp;$C73,CHOOSE({1,2},D_技能表!$C$2:$C$1210&amp;D_技能表!$E$2:$E$1210,D_技能表!$Z$2:$Z$1210),2,FALSE),0)</f>
        <v>22</v>
      </c>
      <c r="T73">
        <f t="array" aca="1" ref="T73" ca="1">IFERROR(VLOOKUP($T$5&amp;$C73,CHOOSE({1,2},D_技能表!$C$2:$C$1210&amp;D_技能表!$E$2:$E$1210,D_技能表!$I$2:$I$1210),2,FALSE),0)</f>
        <v>41</v>
      </c>
      <c r="U73">
        <f t="array" aca="1" ref="U73" ca="1">IFERROR(VLOOKUP($T$5&amp;$C73,CHOOSE({1,2},D_技能表!$C$2:$C$1210&amp;D_技能表!$E$2:$E$1210,D_技能表!$N$2:$N$1210),2,FALSE),0)</f>
        <v>269633</v>
      </c>
      <c r="V73">
        <f t="array" aca="1" ref="V73" ca="1">IFERROR(VLOOKUP($T$5&amp;$C73,CHOOSE({1,2},D_技能表!$C$2:$C$1210&amp;D_技能表!$E$2:$E$1210,D_技能表!$W$2:$W$1210),2,FALSE),0)</f>
        <v>91</v>
      </c>
      <c r="W73">
        <f t="array" aca="1" ref="W73" ca="1">IFERROR(VLOOKUP($T$5&amp;$C73,CHOOSE({1,2},D_技能表!$C$2:$C$1210&amp;D_技能表!$E$2:$E$1210,D_技能表!$Z$2:$Z$1210),2,FALSE),0)</f>
        <v>37</v>
      </c>
      <c r="X73">
        <f t="array" aca="1" ref="X73" ca="1">IFERROR(VLOOKUP($X$5&amp;$C73,CHOOSE({1,2},D_技能表!$C$2:$C$1210&amp;D_技能表!$E$2:$E$1210,D_技能表!$I$2:$I$1210),2,FALSE),0)</f>
        <v>41</v>
      </c>
      <c r="Y73">
        <f t="array" aca="1" ref="Y73" ca="1">IFERROR(VLOOKUP($X$5&amp;$C73,CHOOSE({1,2},D_技能表!$C$2:$C$1210&amp;D_技能表!$E$2:$E$1210,D_技能表!$N$2:$N$1210),2,FALSE),0)</f>
        <v>355560</v>
      </c>
      <c r="Z73">
        <f t="array" aca="1" ref="Z73" ca="1">IFERROR(VLOOKUP($X$5&amp;$C73,CHOOSE({1,2},D_技能表!$C$2:$C$1210&amp;D_技能表!$E$2:$E$1210,D_技能表!$W$2:$W$1210),2,FALSE),0)</f>
        <v>120</v>
      </c>
      <c r="AA73">
        <f t="array" aca="1" ref="AA73" ca="1">IFERROR(VLOOKUP($X$5&amp;$C73,CHOOSE({1,2},D_技能表!$C$2:$C$1210&amp;D_技能表!$E$2:$E$1210,D_技能表!$Z$2:$Z$1210),2,FALSE),0)</f>
        <v>48</v>
      </c>
      <c r="AB73">
        <f t="array" aca="1" ref="AB73" ca="1">IFERROR(VLOOKUP($AB$5&amp;$C73,CHOOSE({1,2},D_技能表!$C$2:$C$1210&amp;D_技能表!$E$2:$E$1210,D_技能表!$I$2:$I$1210),2,FALSE),0)</f>
        <v>41</v>
      </c>
      <c r="AC73">
        <f t="array" aca="1" ref="AC73" ca="1">IFERROR(VLOOKUP($AB$5&amp;$C73,CHOOSE({1,2},D_技能表!$C$2:$C$1210&amp;D_技能表!$E$2:$E$1210,D_技能表!$N$2:$N$1210),2,FALSE),0)</f>
        <v>171854</v>
      </c>
      <c r="AD73">
        <f t="array" aca="1" ref="AD73" ca="1">IFERROR(VLOOKUP($AB$5&amp;$C73,CHOOSE({1,2},D_技能表!$C$2:$C$1210&amp;D_技能表!$E$2:$E$1210,D_技能表!$W$2:$W$1210),2,FALSE),0)</f>
        <v>58</v>
      </c>
      <c r="AE73">
        <f t="array" aca="1" ref="AE73" ca="1">IFERROR(VLOOKUP($AB$5&amp;$C73,CHOOSE({1,2},D_技能表!$C$2:$C$1210&amp;D_技能表!$E$2:$E$1210,D_技能表!$Z$2:$Z$1210),2,FALSE),0)</f>
        <v>24</v>
      </c>
      <c r="AF73">
        <f t="array" aca="1" ref="AF73" ca="1">IFERROR(VLOOKUP($AF$5&amp;$C73,CHOOSE({1,2},D_技能表!$C$2:$C$1210&amp;D_技能表!$E$2:$E$1210,D_技能表!$I$2:$I$1210),2,FALSE),0)</f>
        <v>41</v>
      </c>
      <c r="AG73">
        <f t="array" aca="1" ref="AG73" ca="1">IFERROR(VLOOKUP($AF$5&amp;$C73,CHOOSE({1,2},D_技能表!$C$2:$C$1210&amp;D_技能表!$E$2:$E$1210,D_技能表!$N$2:$N$1210),2,FALSE),0)</f>
        <v>151113</v>
      </c>
      <c r="AH73">
        <f t="array" aca="1" ref="AH73" ca="1">IFERROR(VLOOKUP($AF$5&amp;$C73,CHOOSE({1,2},D_技能表!$C$2:$C$1210&amp;D_技能表!$E$2:$E$1210,D_技能表!$W$2:$W$1210),2,FALSE),0)</f>
        <v>51</v>
      </c>
      <c r="AI73">
        <f t="array" aca="1" ref="AI73" ca="1">IFERROR(VLOOKUP($AF$5&amp;$C73,CHOOSE({1,2},D_技能表!$C$2:$C$1210&amp;D_技能表!$E$2:$E$1210,D_技能表!$Z$2:$Z$1210),2,FALSE),0)</f>
        <v>21</v>
      </c>
      <c r="AJ73">
        <f t="array" aca="1" ref="AJ73" ca="1">IFERROR(VLOOKUP($AJ$5&amp;$C73,CHOOSE({1,2},D_技能表!$C$2:$C$1210&amp;D_技能表!$E$2:$E$1210,D_技能表!$I$2:$I$1210),2,FALSE),0)</f>
        <v>41</v>
      </c>
      <c r="AK73">
        <f t="array" aca="1" ref="AK73" ca="1">IFERROR(VLOOKUP($AJ$5&amp;$C73,CHOOSE({1,2},D_技能表!$C$2:$C$1210&amp;D_技能表!$E$2:$E$1210,D_技能表!$N$2:$N$1210),2,FALSE),0)</f>
        <v>151113</v>
      </c>
      <c r="AL73">
        <f t="array" aca="1" ref="AL73" ca="1">IFERROR(VLOOKUP($AJ$5&amp;$C73,CHOOSE({1,2},D_技能表!$C$2:$C$1210&amp;D_技能表!$E$2:$E$1210,D_技能表!$W$2:$W$1210),2,FALSE),0)</f>
        <v>51</v>
      </c>
      <c r="AM73">
        <f t="array" aca="1" ref="AM73" ca="1">IFERROR(VLOOKUP($AJ$5&amp;$C73,CHOOSE({1,2},D_技能表!$C$2:$C$1210&amp;D_技能表!$E$2:$E$1210,D_技能表!$Z$2:$Z$1210),2,FALSE),0)</f>
        <v>21</v>
      </c>
      <c r="AN73">
        <f t="array" aca="1" ref="AN73" ca="1">IFERROR(VLOOKUP($AN$5&amp;$C73,CHOOSE({1,2},D_技能表!$C$2:$C$1210&amp;D_技能表!$E$2:$E$1210,D_技能表!$I$2:$I$1210),2,FALSE),0)</f>
        <v>0</v>
      </c>
      <c r="AO73">
        <f t="array" aca="1" ref="AO73" ca="1">IFERROR(VLOOKUP($AN$5&amp;$C73,CHOOSE({1,2},D_技能表!$C$2:$C$1210&amp;D_技能表!$E$2:$E$1210,D_技能表!$N$2:$N$1210),2,FALSE),0)</f>
        <v>0</v>
      </c>
      <c r="AP73">
        <f t="array" aca="1" ref="AP73" ca="1">IFERROR(VLOOKUP($AN$5&amp;$C73,CHOOSE({1,2},D_技能表!$C$2:$C$1210&amp;D_技能表!$E$2:$E$1210,D_技能表!$W$2:$W$1210),2,FALSE),0)</f>
        <v>0</v>
      </c>
      <c r="AQ73">
        <f t="array" aca="1" ref="AQ73" ca="1">IFERROR(VLOOKUP($AN$5&amp;$C73,CHOOSE({1,2},D_技能表!$C$2:$C$1210&amp;D_技能表!$E$2:$E$1210,D_技能表!$Z$2:$Z$1210),2,FALSE),0)</f>
        <v>0</v>
      </c>
      <c r="AR73" s="11">
        <f ca="1">SUM($G$7:G74,$K$7:K74,$O$7:O74,$S$7:S74,$W$7:W74,$AA$7:AA74,$AE$7:AE74,$AI$7:AI74,$AM$7:AM74,$AQ$7:AQ74)</f>
        <v>4035</v>
      </c>
      <c r="AS73">
        <f ca="1">SUM($F$7:F74,$J$7:J74,$N$7:N74,$R$7:R74,$V$7:V74,$Z$7:Z74,$AD$7:AD74,$AH$7:AH74,$AL$7:AL74,$AP$7:AP74)</f>
        <v>11338</v>
      </c>
      <c r="AT73">
        <f t="shared" ca="1" si="3"/>
        <v>426</v>
      </c>
      <c r="AU73" s="33">
        <f ca="1">SUM($AX$7:AX73,$BB$7:BB73,$BF$7:BF73,$BJ$7:BJ73)</f>
        <v>2796750</v>
      </c>
      <c r="AV73">
        <v>67</v>
      </c>
      <c r="AW73">
        <f t="array" ref="AW73">IFERROR(VLOOKUP(AW$5&amp;$AV73,CHOOSE({1,2},D_技能表CD!$C$2:$C$313&amp;D_技能表CD!$E$2:$E$313,D_技能表CD!$I$2:$I$313),2,FALSE),0)</f>
        <v>23</v>
      </c>
      <c r="AX73">
        <f t="array" aca="1" ref="AX73" ca="1">IFERROR(VLOOKUP(AW$5&amp;$AV73,CHOOSE({1,2},D_技能表CD!$C$2:$C$313&amp;D_技能表CD!$E$2:$E$313,D_技能表CD!$H$2:$H$313),2,FALSE),0)</f>
        <v>94050</v>
      </c>
      <c r="AY73">
        <f t="array" aca="1" ref="AY73" ca="1">IFERROR(VLOOKUP(AW$5&amp;$AV73,CHOOSE({1,2},D_技能表CD!$C$2:$C$313&amp;D_技能表CD!$E$2:$E$313,D_技能表CD!$L$2:$L$313),2,FALSE),0)</f>
        <v>270</v>
      </c>
      <c r="AZ73">
        <f t="array" aca="1" ref="AZ73" ca="1">IFERROR(VLOOKUP(AW$5&amp;$AV73,CHOOSE({1,2},D_技能表CD!$C$2:$C$313&amp;D_技能表CD!$E$2:$E$313,D_技能表CD!$K$2:$K$313),2,FALSE),0)</f>
        <v>560</v>
      </c>
      <c r="BA73">
        <f t="array" ref="BA73">IFERROR(VLOOKUP(BA$5&amp;$AV73,CHOOSE({1,2},D_技能表CD!$C$2:$C$313&amp;D_技能表CD!$E$2:$E$313,D_技能表CD!$I$2:$I$313),2,FALSE),0)</f>
        <v>0</v>
      </c>
      <c r="BB73">
        <f t="array" aca="1" ref="BB73" ca="1">IFERROR(VLOOKUP(BA$5&amp;$AV73,CHOOSE({1,2},D_技能表CD!$C$2:$C$313&amp;D_技能表CD!$E$2:$E$313,D_技能表CD!$H$2:$H$313),2,FALSE),0)</f>
        <v>0</v>
      </c>
      <c r="BC73">
        <f t="array" aca="1" ref="BC73" ca="1">IFERROR(VLOOKUP(BA$5&amp;$AV73,CHOOSE({1,2},D_技能表CD!$C$2:$C$313&amp;D_技能表CD!$E$2:$E$313,D_技能表CD!$L$2:$L$313),2,FALSE),0)</f>
        <v>0</v>
      </c>
      <c r="BD73">
        <f t="array" aca="1" ref="BD73" ca="1">IFERROR(VLOOKUP(BA$5&amp;$AV73,CHOOSE({1,2},D_技能表CD!$C$2:$C$313&amp;D_技能表CD!$E$2:$E$313,D_技能表CD!$K$2:$K$313),2,FALSE),0)</f>
        <v>0</v>
      </c>
      <c r="BE73">
        <f t="array" ref="BE73">IFERROR(VLOOKUP(BE$5&amp;$AV73,CHOOSE({1,2},D_技能表CD!$C$2:$C$313&amp;D_技能表CD!$E$2:$E$313,D_技能表CD!$I$2:$I$313),2,FALSE),0)</f>
        <v>22</v>
      </c>
      <c r="BF73">
        <f t="array" aca="1" ref="BF73" ca="1">IFERROR(VLOOKUP(BE$5&amp;$AV73,CHOOSE({1,2},D_技能表CD!$C$2:$C$313&amp;D_技能表CD!$E$2:$E$313,D_技能表CD!$H$2:$H$313),2,FALSE),0)</f>
        <v>68800</v>
      </c>
      <c r="BG73">
        <f t="array" aca="1" ref="BG73" ca="1">IFERROR(VLOOKUP(BE$5&amp;$AV73,CHOOSE({1,2},D_技能表CD!$C$2:$C$313&amp;D_技能表CD!$E$2:$E$313,D_技能表CD!$L$2:$L$313),2,FALSE),0)</f>
        <v>198</v>
      </c>
      <c r="BH73">
        <f t="array" aca="1" ref="BH73" ca="1">IFERROR(VLOOKUP(BE$5&amp;$AV73,CHOOSE({1,2},D_技能表CD!$C$2:$C$313&amp;D_技能表CD!$E$2:$E$313,D_技能表CD!$K$2:$K$313),2,FALSE),0)</f>
        <v>396</v>
      </c>
      <c r="BI73">
        <f t="array" ref="BI73">IFERROR(VLOOKUP(BI$5&amp;$AV73,CHOOSE({1,2},D_技能表CD!$C$2:$C$313&amp;D_技能表CD!$E$2:$E$313,D_技能表CD!$I$2:$I$313),2,FALSE),0)</f>
        <v>0</v>
      </c>
      <c r="BJ73">
        <f t="array" aca="1" ref="BJ73" ca="1">IFERROR(VLOOKUP(BI$5&amp;$AV73,CHOOSE({1,2},D_技能表CD!$C$2:$C$313&amp;D_技能表CD!$E$2:$E$313,D_技能表CD!$H$2:$H$313),2,FALSE),0)</f>
        <v>0</v>
      </c>
      <c r="BK73">
        <f t="array" aca="1" ref="BK73" ca="1">IFERROR(VLOOKUP(BI$5&amp;$AV73,CHOOSE({1,2},D_技能表CD!$C$2:$C$313&amp;D_技能表CD!$E$2:$E$313,D_技能表CD!$L$2:$L$313),2,FALSE),0)</f>
        <v>0</v>
      </c>
      <c r="BL73">
        <f t="array" aca="1" ref="BL73" ca="1">IFERROR(VLOOKUP(BI$5&amp;$AV73,CHOOSE({1,2},D_技能表CD!$C$2:$C$313&amp;D_技能表CD!$E$2:$E$313,D_技能表CD!$K$2:$K$313),2,FALSE),0)</f>
        <v>0</v>
      </c>
    </row>
    <row r="74" spans="1:64" x14ac:dyDescent="0.15">
      <c r="A74">
        <f t="shared" ca="1" si="2"/>
        <v>23582282</v>
      </c>
      <c r="B74" s="33">
        <f ca="1">SUM($E$7:E74,$I$7:I74,$M$7:M74,$Q$7:Q74,$U$7:U74,$Y$7:Y74,$AC$7:AC74,$AG$7:AG74,$AK$7:AK74,$AO$7:AO74)</f>
        <v>20634632</v>
      </c>
      <c r="C74">
        <v>68</v>
      </c>
      <c r="D74">
        <f t="array" aca="1" ref="D74" ca="1">IFERROR(VLOOKUP($D$5&amp;C74,CHOOSE({1,2},D_技能表!$C$2:$C$1210&amp;D_技能表!$E$2:$E$1210,D_技能表!$I$2:$I$1210),2,FALSE),0)</f>
        <v>42</v>
      </c>
      <c r="E74">
        <f t="array" aca="1" ref="E74" ca="1">IFERROR(VLOOKUP($D$5&amp;$C74,CHOOSE({1,2},D_技能表!$C$2:$C$1210&amp;D_技能表!$E$2:$E$1210,D_技能表!$N$2:$N$1210),2,FALSE),0)</f>
        <v>412290</v>
      </c>
      <c r="F74">
        <f t="array" aca="1" ref="F74" ca="1">IFERROR(VLOOKUP($D$5&amp;$C74,CHOOSE({1,2},D_技能表!$C$2:$C$1210&amp;D_技能表!$E$2:$E$1210,D_技能表!$W$2:$W$1210),2,FALSE),0)</f>
        <v>135</v>
      </c>
      <c r="G74">
        <f t="array" aca="1" ref="G74" ca="1">IFERROR(VLOOKUP($D$5&amp;$C74,CHOOSE({1,2},D_技能表!$C$2:$C$1210&amp;D_技能表!$E$2:$E$1210,D_技能表!$Z$2:$Z$1210),2,FALSE),0)</f>
        <v>54</v>
      </c>
      <c r="H74">
        <f t="array" aca="1" ref="H74" ca="1">IFERROR(VLOOKUP($H$5&amp;$C74,CHOOSE({1,2},D_技能表!$C$2:$C$1210&amp;D_技能表!$E$2:$E$1210,D_技能表!$I$2:$I$1210),2,FALSE),0)</f>
        <v>42</v>
      </c>
      <c r="I74">
        <f t="array" aca="1" ref="I74" ca="1">IFERROR(VLOOKUP($H$5&amp;$C74,CHOOSE({1,2},D_技能表!$C$2:$C$1210&amp;D_技能表!$E$2:$E$1210,D_技能表!$N$2:$N$1210),2,FALSE),0)</f>
        <v>177132</v>
      </c>
      <c r="J74">
        <f t="array" aca="1" ref="J74" ca="1">IFERROR(VLOOKUP($H$5&amp;$C74,CHOOSE({1,2},D_技能表!$C$2:$C$1210&amp;D_技能表!$E$2:$E$1210,D_技能表!$W$2:$W$1210),2,FALSE),0)</f>
        <v>58</v>
      </c>
      <c r="K74">
        <f t="array" aca="1" ref="K74" ca="1">IFERROR(VLOOKUP($H$5&amp;$C74,CHOOSE({1,2},D_技能表!$C$2:$C$1210&amp;D_技能表!$E$2:$E$1210,D_技能表!$Z$2:$Z$1210),2,FALSE),0)</f>
        <v>24</v>
      </c>
      <c r="L74">
        <f t="array" aca="1" ref="L74" ca="1">IFERROR(VLOOKUP($L$5&amp;$C74,CHOOSE({1,2},D_技能表!$C$2:$C$1210&amp;D_技能表!$E$2:$E$1210,D_技能表!$I$2:$I$1210),2,FALSE),0)</f>
        <v>42</v>
      </c>
      <c r="M74">
        <f t="array" aca="1" ref="M74" ca="1">IFERROR(VLOOKUP($L$5&amp;$C74,CHOOSE({1,2},D_技能表!$C$2:$C$1210&amp;D_技能表!$E$2:$E$1210,D_技能表!$N$2:$N$1210),2,FALSE),0)</f>
        <v>177132</v>
      </c>
      <c r="N74">
        <f t="array" aca="1" ref="N74" ca="1">IFERROR(VLOOKUP($L$5&amp;$C74,CHOOSE({1,2},D_技能表!$C$2:$C$1210&amp;D_技能表!$E$2:$E$1210,D_技能表!$W$2:$W$1210),2,FALSE),0)</f>
        <v>58</v>
      </c>
      <c r="O74">
        <f t="array" aca="1" ref="O74" ca="1">IFERROR(VLOOKUP($L$5&amp;$C74,CHOOSE({1,2},D_技能表!$C$2:$C$1210&amp;D_技能表!$E$2:$E$1210,D_技能表!$Z$2:$Z$1210),2,FALSE),0)</f>
        <v>24</v>
      </c>
      <c r="P74">
        <f t="array" aca="1" ref="P74" ca="1">IFERROR(VLOOKUP($P$5&amp;$C74,CHOOSE({1,2},D_技能表!$C$2:$C$1210&amp;D_技能表!$E$2:$E$1210,D_技能表!$I$2:$I$1210),2,FALSE),0)</f>
        <v>42</v>
      </c>
      <c r="Q74">
        <f t="array" aca="1" ref="Q74" ca="1">IFERROR(VLOOKUP($P$5&amp;$C74,CHOOSE({1,2},D_技能表!$C$2:$C$1210&amp;D_技能表!$E$2:$E$1210,D_技能表!$N$2:$N$1210),2,FALSE),0)</f>
        <v>177132</v>
      </c>
      <c r="R74">
        <f t="array" aca="1" ref="R74" ca="1">IFERROR(VLOOKUP($P$5&amp;$C74,CHOOSE({1,2},D_技能表!$C$2:$C$1210&amp;D_技能表!$E$2:$E$1210,D_技能表!$W$2:$W$1210),2,FALSE),0)</f>
        <v>58</v>
      </c>
      <c r="S74">
        <f t="array" aca="1" ref="S74" ca="1">IFERROR(VLOOKUP($P$5&amp;$C74,CHOOSE({1,2},D_技能表!$C$2:$C$1210&amp;D_技能表!$E$2:$E$1210,D_技能表!$Z$2:$Z$1210),2,FALSE),0)</f>
        <v>24</v>
      </c>
      <c r="T74">
        <f t="array" aca="1" ref="T74" ca="1">IFERROR(VLOOKUP($T$5&amp;$C74,CHOOSE({1,2},D_技能表!$C$2:$C$1210&amp;D_技能表!$E$2:$E$1210,D_技能表!$I$2:$I$1210),2,FALSE),0)</f>
        <v>0</v>
      </c>
      <c r="U74">
        <f t="array" aca="1" ref="U74" ca="1">IFERROR(VLOOKUP($T$5&amp;$C74,CHOOSE({1,2},D_技能表!$C$2:$C$1210&amp;D_技能表!$E$2:$E$1210,D_技能表!$N$2:$N$1210),2,FALSE),0)</f>
        <v>0</v>
      </c>
      <c r="V74">
        <f t="array" aca="1" ref="V74" ca="1">IFERROR(VLOOKUP($T$5&amp;$C74,CHOOSE({1,2},D_技能表!$C$2:$C$1210&amp;D_技能表!$E$2:$E$1210,D_技能表!$W$2:$W$1210),2,FALSE),0)</f>
        <v>0</v>
      </c>
      <c r="W74">
        <f t="array" aca="1" ref="W74" ca="1">IFERROR(VLOOKUP($T$5&amp;$C74,CHOOSE({1,2},D_技能表!$C$2:$C$1210&amp;D_技能表!$E$2:$E$1210,D_技能表!$Z$2:$Z$1210),2,FALSE),0)</f>
        <v>0</v>
      </c>
      <c r="X74">
        <f t="array" aca="1" ref="X74" ca="1">IFERROR(VLOOKUP($X$5&amp;$C74,CHOOSE({1,2},D_技能表!$C$2:$C$1210&amp;D_技能表!$E$2:$E$1210,D_技能表!$I$2:$I$1210),2,FALSE),0)</f>
        <v>42</v>
      </c>
      <c r="Y74">
        <f t="array" aca="1" ref="Y74" ca="1">IFERROR(VLOOKUP($X$5&amp;$C74,CHOOSE({1,2},D_技能表!$C$2:$C$1210&amp;D_技能表!$E$2:$E$1210,D_技能表!$N$2:$N$1210),2,FALSE),0)</f>
        <v>390912</v>
      </c>
      <c r="Z74">
        <f t="array" aca="1" ref="Z74" ca="1">IFERROR(VLOOKUP($X$5&amp;$C74,CHOOSE({1,2},D_技能表!$C$2:$C$1210&amp;D_技能表!$E$2:$E$1210,D_技能表!$W$2:$W$1210),2,FALSE),0)</f>
        <v>128</v>
      </c>
      <c r="AA74">
        <f t="array" aca="1" ref="AA74" ca="1">IFERROR(VLOOKUP($X$5&amp;$C74,CHOOSE({1,2},D_技能表!$C$2:$C$1210&amp;D_技能表!$E$2:$E$1210,D_技能表!$Z$2:$Z$1210),2,FALSE),0)</f>
        <v>52</v>
      </c>
      <c r="AB74">
        <f t="array" aca="1" ref="AB74" ca="1">IFERROR(VLOOKUP($AB$5&amp;$C74,CHOOSE({1,2},D_技能表!$C$2:$C$1210&amp;D_技能表!$E$2:$E$1210,D_技能表!$I$2:$I$1210),2,FALSE),0)</f>
        <v>42</v>
      </c>
      <c r="AC74">
        <f t="array" aca="1" ref="AC74" ca="1">IFERROR(VLOOKUP($AB$5&amp;$C74,CHOOSE({1,2},D_技能表!$C$2:$C$1210&amp;D_技能表!$E$2:$E$1210,D_技能表!$N$2:$N$1210),2,FALSE),0)</f>
        <v>189348</v>
      </c>
      <c r="AD74">
        <f t="array" aca="1" ref="AD74" ca="1">IFERROR(VLOOKUP($AB$5&amp;$C74,CHOOSE({1,2},D_技能表!$C$2:$C$1210&amp;D_技能表!$E$2:$E$1210,D_技能表!$W$2:$W$1210),2,FALSE),0)</f>
        <v>62</v>
      </c>
      <c r="AE74">
        <f t="array" aca="1" ref="AE74" ca="1">IFERROR(VLOOKUP($AB$5&amp;$C74,CHOOSE({1,2},D_技能表!$C$2:$C$1210&amp;D_技能表!$E$2:$E$1210,D_技能表!$Z$2:$Z$1210),2,FALSE),0)</f>
        <v>25</v>
      </c>
      <c r="AF74">
        <f t="array" aca="1" ref="AF74" ca="1">IFERROR(VLOOKUP($AF$5&amp;$C74,CHOOSE({1,2},D_技能表!$C$2:$C$1210&amp;D_技能表!$E$2:$E$1210,D_技能表!$I$2:$I$1210),2,FALSE),0)</f>
        <v>42</v>
      </c>
      <c r="AG74">
        <f t="array" aca="1" ref="AG74" ca="1">IFERROR(VLOOKUP($AF$5&amp;$C74,CHOOSE({1,2},D_技能表!$C$2:$C$1210&amp;D_技能表!$E$2:$E$1210,D_技能表!$N$2:$N$1210),2,FALSE),0)</f>
        <v>167970</v>
      </c>
      <c r="AH74">
        <f t="array" aca="1" ref="AH74" ca="1">IFERROR(VLOOKUP($AF$5&amp;$C74,CHOOSE({1,2},D_技能表!$C$2:$C$1210&amp;D_技能表!$E$2:$E$1210,D_技能表!$W$2:$W$1210),2,FALSE),0)</f>
        <v>55</v>
      </c>
      <c r="AI74">
        <f t="array" aca="1" ref="AI74" ca="1">IFERROR(VLOOKUP($AF$5&amp;$C74,CHOOSE({1,2},D_技能表!$C$2:$C$1210&amp;D_技能表!$E$2:$E$1210,D_技能表!$Z$2:$Z$1210),2,FALSE),0)</f>
        <v>22</v>
      </c>
      <c r="AJ74">
        <f t="array" aca="1" ref="AJ74" ca="1">IFERROR(VLOOKUP($AJ$5&amp;$C74,CHOOSE({1,2},D_技能表!$C$2:$C$1210&amp;D_技能表!$E$2:$E$1210,D_技能表!$I$2:$I$1210),2,FALSE),0)</f>
        <v>0</v>
      </c>
      <c r="AK74">
        <f t="array" aca="1" ref="AK74" ca="1">IFERROR(VLOOKUP($AJ$5&amp;$C74,CHOOSE({1,2},D_技能表!$C$2:$C$1210&amp;D_技能表!$E$2:$E$1210,D_技能表!$N$2:$N$1210),2,FALSE),0)</f>
        <v>0</v>
      </c>
      <c r="AL74">
        <f t="array" aca="1" ref="AL74" ca="1">IFERROR(VLOOKUP($AJ$5&amp;$C74,CHOOSE({1,2},D_技能表!$C$2:$C$1210&amp;D_技能表!$E$2:$E$1210,D_技能表!$W$2:$W$1210),2,FALSE),0)</f>
        <v>0</v>
      </c>
      <c r="AM74">
        <f t="array" aca="1" ref="AM74" ca="1">IFERROR(VLOOKUP($AJ$5&amp;$C74,CHOOSE({1,2},D_技能表!$C$2:$C$1210&amp;D_技能表!$E$2:$E$1210,D_技能表!$Z$2:$Z$1210),2,FALSE),0)</f>
        <v>0</v>
      </c>
      <c r="AN74">
        <f t="array" aca="1" ref="AN74" ca="1">IFERROR(VLOOKUP($AN$5&amp;$C74,CHOOSE({1,2},D_技能表!$C$2:$C$1210&amp;D_技能表!$E$2:$E$1210,D_技能表!$I$2:$I$1210),2,FALSE),0)</f>
        <v>41</v>
      </c>
      <c r="AO74">
        <f t="array" aca="1" ref="AO74" ca="1">IFERROR(VLOOKUP($AN$5&amp;$C74,CHOOSE({1,2},D_技能表!$C$2:$C$1210&amp;D_技能表!$E$2:$E$1210,D_技能表!$N$2:$N$1210),2,FALSE),0)</f>
        <v>287076</v>
      </c>
      <c r="AP74">
        <f t="array" aca="1" ref="AP74" ca="1">IFERROR(VLOOKUP($AN$5&amp;$C74,CHOOSE({1,2},D_技能表!$C$2:$C$1210&amp;D_技能表!$E$2:$E$1210,D_技能表!$W$2:$W$1210),2,FALSE),0)</f>
        <v>94</v>
      </c>
      <c r="AQ74">
        <f t="array" aca="1" ref="AQ74" ca="1">IFERROR(VLOOKUP($AN$5&amp;$C74,CHOOSE({1,2},D_技能表!$C$2:$C$1210&amp;D_技能表!$E$2:$E$1210,D_技能表!$Z$2:$Z$1210),2,FALSE),0)</f>
        <v>38</v>
      </c>
      <c r="AR74" s="11">
        <f ca="1">SUM($G$7:G75,$K$7:K75,$O$7:O75,$S$7:S75,$W$7:W75,$AA$7:AA75,$AE$7:AE75,$AI$7:AI75,$AM$7:AM75,$AQ$7:AQ75)</f>
        <v>4246</v>
      </c>
      <c r="AS74">
        <f ca="1">SUM($F$7:F75,$J$7:J75,$N$7:N75,$R$7:R75,$V$7:V75,$Z$7:Z75,$AD$7:AD75,$AH$7:AH75,$AL$7:AL75,$AP$7:AP75)</f>
        <v>11861</v>
      </c>
      <c r="AT74">
        <f t="shared" ca="1" si="3"/>
        <v>648</v>
      </c>
      <c r="AU74" s="33">
        <f ca="1">SUM($AX$7:AX74,$BB$7:BB74,$BF$7:BF74,$BJ$7:BJ74)</f>
        <v>2947650</v>
      </c>
      <c r="AV74">
        <v>68</v>
      </c>
      <c r="AW74">
        <f t="array" ref="AW74">IFERROR(VLOOKUP(AW$5&amp;$AV74,CHOOSE({1,2},D_技能表CD!$C$2:$C$313&amp;D_技能表CD!$E$2:$E$313,D_技能表CD!$I$2:$I$313),2,FALSE),0)</f>
        <v>0</v>
      </c>
      <c r="AX74">
        <f t="array" aca="1" ref="AX74" ca="1">IFERROR(VLOOKUP(AW$5&amp;$AV74,CHOOSE({1,2},D_技能表CD!$C$2:$C$313&amp;D_技能表CD!$E$2:$E$313,D_技能表CD!$H$2:$H$313),2,FALSE),0)</f>
        <v>0</v>
      </c>
      <c r="AY74">
        <f t="array" aca="1" ref="AY74" ca="1">IFERROR(VLOOKUP(AW$5&amp;$AV74,CHOOSE({1,2},D_技能表CD!$C$2:$C$313&amp;D_技能表CD!$E$2:$E$313,D_技能表CD!$L$2:$L$313),2,FALSE),0)</f>
        <v>0</v>
      </c>
      <c r="AZ74">
        <f t="array" aca="1" ref="AZ74" ca="1">IFERROR(VLOOKUP(AW$5&amp;$AV74,CHOOSE({1,2},D_技能表CD!$C$2:$C$313&amp;D_技能表CD!$E$2:$E$313,D_技能表CD!$K$2:$K$313),2,FALSE),0)</f>
        <v>0</v>
      </c>
      <c r="BA74">
        <f t="array" ref="BA74">IFERROR(VLOOKUP(BA$5&amp;$AV74,CHOOSE({1,2},D_技能表CD!$C$2:$C$313&amp;D_技能表CD!$E$2:$E$313,D_技能表CD!$I$2:$I$313),2,FALSE),0)</f>
        <v>0</v>
      </c>
      <c r="BB74">
        <f t="array" aca="1" ref="BB74" ca="1">IFERROR(VLOOKUP(BA$5&amp;$AV74,CHOOSE({1,2},D_技能表CD!$C$2:$C$313&amp;D_技能表CD!$E$2:$E$313,D_技能表CD!$H$2:$H$313),2,FALSE),0)</f>
        <v>0</v>
      </c>
      <c r="BC74">
        <f t="array" aca="1" ref="BC74" ca="1">IFERROR(VLOOKUP(BA$5&amp;$AV74,CHOOSE({1,2},D_技能表CD!$C$2:$C$313&amp;D_技能表CD!$E$2:$E$313,D_技能表CD!$L$2:$L$313),2,FALSE),0)</f>
        <v>0</v>
      </c>
      <c r="BD74">
        <f t="array" aca="1" ref="BD74" ca="1">IFERROR(VLOOKUP(BA$5&amp;$AV74,CHOOSE({1,2},D_技能表CD!$C$2:$C$313&amp;D_技能表CD!$E$2:$E$313,D_技能表CD!$K$2:$K$313),2,FALSE),0)</f>
        <v>0</v>
      </c>
      <c r="BE74">
        <f t="array" ref="BE74">IFERROR(VLOOKUP(BE$5&amp;$AV74,CHOOSE({1,2},D_技能表CD!$C$2:$C$313&amp;D_技能表CD!$E$2:$E$313,D_技能表CD!$I$2:$I$313),2,FALSE),0)</f>
        <v>0</v>
      </c>
      <c r="BF74">
        <f t="array" aca="1" ref="BF74" ca="1">IFERROR(VLOOKUP(BE$5&amp;$AV74,CHOOSE({1,2},D_技能表CD!$C$2:$C$313&amp;D_技能表CD!$E$2:$E$313,D_技能表CD!$H$2:$H$313),2,FALSE),0)</f>
        <v>0</v>
      </c>
      <c r="BG74">
        <f t="array" aca="1" ref="BG74" ca="1">IFERROR(VLOOKUP(BE$5&amp;$AV74,CHOOSE({1,2},D_技能表CD!$C$2:$C$313&amp;D_技能表CD!$E$2:$E$313,D_技能表CD!$L$2:$L$313),2,FALSE),0)</f>
        <v>0</v>
      </c>
      <c r="BH74">
        <f t="array" aca="1" ref="BH74" ca="1">IFERROR(VLOOKUP(BE$5&amp;$AV74,CHOOSE({1,2},D_技能表CD!$C$2:$C$313&amp;D_技能表CD!$E$2:$E$313,D_技能表CD!$K$2:$K$313),2,FALSE),0)</f>
        <v>0</v>
      </c>
      <c r="BI74">
        <f t="array" ref="BI74">IFERROR(VLOOKUP(BI$5&amp;$AV74,CHOOSE({1,2},D_技能表CD!$C$2:$C$313&amp;D_技能表CD!$E$2:$E$313,D_技能表CD!$I$2:$I$313),2,FALSE),0)</f>
        <v>22</v>
      </c>
      <c r="BJ74">
        <f t="array" aca="1" ref="BJ74" ca="1">IFERROR(VLOOKUP(BI$5&amp;$AV74,CHOOSE({1,2},D_技能表CD!$C$2:$C$313&amp;D_技能表CD!$E$2:$E$313,D_技能表CD!$H$2:$H$313),2,FALSE),0)</f>
        <v>150900</v>
      </c>
      <c r="BK74">
        <f t="array" aca="1" ref="BK74" ca="1">IFERROR(VLOOKUP(BI$5&amp;$AV74,CHOOSE({1,2},D_技能表CD!$C$2:$C$313&amp;D_技能表CD!$E$2:$E$313,D_技能表CD!$L$2:$L$313),2,FALSE),0)</f>
        <v>435</v>
      </c>
      <c r="BL74">
        <f t="array" aca="1" ref="BL74" ca="1">IFERROR(VLOOKUP(BI$5&amp;$AV74,CHOOSE({1,2},D_技能表CD!$C$2:$C$313&amp;D_技能表CD!$E$2:$E$313,D_技能表CD!$K$2:$K$313),2,FALSE),0)</f>
        <v>870</v>
      </c>
    </row>
    <row r="75" spans="1:64" x14ac:dyDescent="0.15">
      <c r="A75">
        <f t="shared" ca="1" si="2"/>
        <v>25408663</v>
      </c>
      <c r="B75" s="33">
        <f ca="1">SUM($E$7:E75,$I$7:I75,$M$7:M75,$Q$7:Q75,$U$7:U75,$Y$7:Y75,$AC$7:AC75,$AG$7:AG75,$AK$7:AK75,$AO$7:AO75)</f>
        <v>22280513</v>
      </c>
      <c r="C75">
        <v>69</v>
      </c>
      <c r="D75">
        <f t="array" aca="1" ref="D75" ca="1">IFERROR(VLOOKUP($D$5&amp;C75,CHOOSE({1,2},D_技能表!$C$2:$C$1210&amp;D_技能表!$E$2:$E$1210,D_技能表!$I$2:$I$1210),2,FALSE),0)</f>
        <v>43</v>
      </c>
      <c r="E75">
        <f t="array" aca="1" ref="E75" ca="1">IFERROR(VLOOKUP($D$5&amp;$C75,CHOOSE({1,2},D_技能表!$C$2:$C$1210&amp;D_技能表!$E$2:$E$1210,D_技能表!$N$2:$N$1210),2,FALSE),0)</f>
        <v>456315</v>
      </c>
      <c r="F75">
        <f t="array" aca="1" ref="F75" ca="1">IFERROR(VLOOKUP($D$5&amp;$C75,CHOOSE({1,2},D_技能表!$C$2:$C$1210&amp;D_技能表!$E$2:$E$1210,D_技能表!$W$2:$W$1210),2,FALSE),0)</f>
        <v>145</v>
      </c>
      <c r="G75">
        <f t="array" aca="1" ref="G75" ca="1">IFERROR(VLOOKUP($D$5&amp;$C75,CHOOSE({1,2},D_技能表!$C$2:$C$1210&amp;D_技能表!$E$2:$E$1210,D_技能表!$Z$2:$Z$1210),2,FALSE),0)</f>
        <v>58</v>
      </c>
      <c r="H75">
        <f t="array" aca="1" ref="H75" ca="1">IFERROR(VLOOKUP($H$5&amp;$C75,CHOOSE({1,2},D_技能表!$C$2:$C$1210&amp;D_技能表!$E$2:$E$1210,D_技能表!$I$2:$I$1210),2,FALSE),0)</f>
        <v>43</v>
      </c>
      <c r="I75">
        <f t="array" aca="1" ref="I75" ca="1">IFERROR(VLOOKUP($H$5&amp;$C75,CHOOSE({1,2},D_技能表!$C$2:$C$1210&amp;D_技能表!$E$2:$E$1210,D_技能表!$N$2:$N$1210),2,FALSE),0)</f>
        <v>198261</v>
      </c>
      <c r="J75">
        <f t="array" aca="1" ref="J75" ca="1">IFERROR(VLOOKUP($H$5&amp;$C75,CHOOSE({1,2},D_技能表!$C$2:$C$1210&amp;D_技能表!$E$2:$E$1210,D_技能表!$W$2:$W$1210),2,FALSE),0)</f>
        <v>63</v>
      </c>
      <c r="K75">
        <f t="array" aca="1" ref="K75" ca="1">IFERROR(VLOOKUP($H$5&amp;$C75,CHOOSE({1,2},D_技能表!$C$2:$C$1210&amp;D_技能表!$E$2:$E$1210,D_技能表!$Z$2:$Z$1210),2,FALSE),0)</f>
        <v>26</v>
      </c>
      <c r="L75">
        <f t="array" aca="1" ref="L75" ca="1">IFERROR(VLOOKUP($L$5&amp;$C75,CHOOSE({1,2},D_技能表!$C$2:$C$1210&amp;D_技能表!$E$2:$E$1210,D_技能表!$I$2:$I$1210),2,FALSE),0)</f>
        <v>43</v>
      </c>
      <c r="M75">
        <f t="array" aca="1" ref="M75" ca="1">IFERROR(VLOOKUP($L$5&amp;$C75,CHOOSE({1,2},D_技能表!$C$2:$C$1210&amp;D_技能表!$E$2:$E$1210,D_技能表!$N$2:$N$1210),2,FALSE),0)</f>
        <v>198261</v>
      </c>
      <c r="N75">
        <f t="array" aca="1" ref="N75" ca="1">IFERROR(VLOOKUP($L$5&amp;$C75,CHOOSE({1,2},D_技能表!$C$2:$C$1210&amp;D_技能表!$E$2:$E$1210,D_技能表!$W$2:$W$1210),2,FALSE),0)</f>
        <v>63</v>
      </c>
      <c r="O75">
        <f t="array" aca="1" ref="O75" ca="1">IFERROR(VLOOKUP($L$5&amp;$C75,CHOOSE({1,2},D_技能表!$C$2:$C$1210&amp;D_技能表!$E$2:$E$1210,D_技能表!$Z$2:$Z$1210),2,FALSE),0)</f>
        <v>26</v>
      </c>
      <c r="P75">
        <f t="array" aca="1" ref="P75" ca="1">IFERROR(VLOOKUP($P$5&amp;$C75,CHOOSE({1,2},D_技能表!$C$2:$C$1210&amp;D_技能表!$E$2:$E$1210,D_技能表!$I$2:$I$1210),2,FALSE),0)</f>
        <v>0</v>
      </c>
      <c r="Q75">
        <f t="array" aca="1" ref="Q75" ca="1">IFERROR(VLOOKUP($P$5&amp;$C75,CHOOSE({1,2},D_技能表!$C$2:$C$1210&amp;D_技能表!$E$2:$E$1210,D_技能表!$N$2:$N$1210),2,FALSE),0)</f>
        <v>0</v>
      </c>
      <c r="R75">
        <f t="array" aca="1" ref="R75" ca="1">IFERROR(VLOOKUP($P$5&amp;$C75,CHOOSE({1,2},D_技能表!$C$2:$C$1210&amp;D_技能表!$E$2:$E$1210,D_技能表!$W$2:$W$1210),2,FALSE),0)</f>
        <v>0</v>
      </c>
      <c r="S75">
        <f t="array" aca="1" ref="S75" ca="1">IFERROR(VLOOKUP($P$5&amp;$C75,CHOOSE({1,2},D_技能表!$C$2:$C$1210&amp;D_技能表!$E$2:$E$1210,D_技能表!$Z$2:$Z$1210),2,FALSE),0)</f>
        <v>0</v>
      </c>
      <c r="T75">
        <f t="array" aca="1" ref="T75" ca="1">IFERROR(VLOOKUP($T$5&amp;$C75,CHOOSE({1,2},D_技能表!$C$2:$C$1210&amp;D_技能表!$E$2:$E$1210,D_技能表!$I$2:$I$1210),2,FALSE),0)</f>
        <v>42</v>
      </c>
      <c r="U75">
        <f t="array" aca="1" ref="U75" ca="1">IFERROR(VLOOKUP($T$5&amp;$C75,CHOOSE({1,2},D_技能表!$C$2:$C$1210&amp;D_技能表!$E$2:$E$1210,D_技能表!$N$2:$N$1210),2,FALSE),0)</f>
        <v>305259</v>
      </c>
      <c r="V75">
        <f t="array" aca="1" ref="V75" ca="1">IFERROR(VLOOKUP($T$5&amp;$C75,CHOOSE({1,2},D_技能表!$C$2:$C$1210&amp;D_技能表!$E$2:$E$1210,D_技能表!$W$2:$W$1210),2,FALSE),0)</f>
        <v>97</v>
      </c>
      <c r="W75">
        <f t="array" aca="1" ref="W75" ca="1">IFERROR(VLOOKUP($T$5&amp;$C75,CHOOSE({1,2},D_技能表!$C$2:$C$1210&amp;D_技能表!$E$2:$E$1210,D_技能表!$Z$2:$Z$1210),2,FALSE),0)</f>
        <v>39</v>
      </c>
      <c r="X75">
        <f t="array" aca="1" ref="X75" ca="1">IFERROR(VLOOKUP($X$5&amp;$C75,CHOOSE({1,2},D_技能表!$C$2:$C$1210&amp;D_技能表!$E$2:$E$1210,D_技能表!$I$2:$I$1210),2,FALSE),0)</f>
        <v>0</v>
      </c>
      <c r="Y75">
        <f t="array" aca="1" ref="Y75" ca="1">IFERROR(VLOOKUP($X$5&amp;$C75,CHOOSE({1,2},D_技能表!$C$2:$C$1210&amp;D_技能表!$E$2:$E$1210,D_技能表!$N$2:$N$1210),2,FALSE),0)</f>
        <v>0</v>
      </c>
      <c r="Z75">
        <f t="array" aca="1" ref="Z75" ca="1">IFERROR(VLOOKUP($X$5&amp;$C75,CHOOSE({1,2},D_技能表!$C$2:$C$1210&amp;D_技能表!$E$2:$E$1210,D_技能表!$W$2:$W$1210),2,FALSE),0)</f>
        <v>0</v>
      </c>
      <c r="AA75">
        <f t="array" aca="1" ref="AA75" ca="1">IFERROR(VLOOKUP($X$5&amp;$C75,CHOOSE({1,2},D_技能表!$C$2:$C$1210&amp;D_技能表!$E$2:$E$1210,D_技能表!$Z$2:$Z$1210),2,FALSE),0)</f>
        <v>0</v>
      </c>
      <c r="AB75">
        <f t="array" aca="1" ref="AB75" ca="1">IFERROR(VLOOKUP($AB$5&amp;$C75,CHOOSE({1,2},D_技能表!$C$2:$C$1210&amp;D_技能表!$E$2:$E$1210,D_技能表!$I$2:$I$1210),2,FALSE),0)</f>
        <v>0</v>
      </c>
      <c r="AC75">
        <f t="array" aca="1" ref="AC75" ca="1">IFERROR(VLOOKUP($AB$5&amp;$C75,CHOOSE({1,2},D_技能表!$C$2:$C$1210&amp;D_技能表!$E$2:$E$1210,D_技能表!$N$2:$N$1210),2,FALSE),0)</f>
        <v>0</v>
      </c>
      <c r="AD75">
        <f t="array" aca="1" ref="AD75" ca="1">IFERROR(VLOOKUP($AB$5&amp;$C75,CHOOSE({1,2},D_技能表!$C$2:$C$1210&amp;D_技能表!$E$2:$E$1210,D_技能表!$W$2:$W$1210),2,FALSE),0)</f>
        <v>0</v>
      </c>
      <c r="AE75">
        <f t="array" aca="1" ref="AE75" ca="1">IFERROR(VLOOKUP($AB$5&amp;$C75,CHOOSE({1,2},D_技能表!$C$2:$C$1210&amp;D_技能表!$E$2:$E$1210,D_技能表!$Z$2:$Z$1210),2,FALSE),0)</f>
        <v>0</v>
      </c>
      <c r="AF75">
        <f t="array" aca="1" ref="AF75" ca="1">IFERROR(VLOOKUP($AF$5&amp;$C75,CHOOSE({1,2},D_技能表!$C$2:$C$1210&amp;D_技能表!$E$2:$E$1210,D_技能表!$I$2:$I$1210),2,FALSE),0)</f>
        <v>0</v>
      </c>
      <c r="AG75">
        <f t="array" aca="1" ref="AG75" ca="1">IFERROR(VLOOKUP($AF$5&amp;$C75,CHOOSE({1,2},D_技能表!$C$2:$C$1210&amp;D_技能表!$E$2:$E$1210,D_技能表!$N$2:$N$1210),2,FALSE),0)</f>
        <v>0</v>
      </c>
      <c r="AH75">
        <f t="array" aca="1" ref="AH75" ca="1">IFERROR(VLOOKUP($AF$5&amp;$C75,CHOOSE({1,2},D_技能表!$C$2:$C$1210&amp;D_技能表!$E$2:$E$1210,D_技能表!$W$2:$W$1210),2,FALSE),0)</f>
        <v>0</v>
      </c>
      <c r="AI75">
        <f t="array" aca="1" ref="AI75" ca="1">IFERROR(VLOOKUP($AF$5&amp;$C75,CHOOSE({1,2},D_技能表!$C$2:$C$1210&amp;D_技能表!$E$2:$E$1210,D_技能表!$Z$2:$Z$1210),2,FALSE),0)</f>
        <v>0</v>
      </c>
      <c r="AJ75">
        <f t="array" aca="1" ref="AJ75" ca="1">IFERROR(VLOOKUP($AJ$5&amp;$C75,CHOOSE({1,2},D_技能表!$C$2:$C$1210&amp;D_技能表!$E$2:$E$1210,D_技能表!$I$2:$I$1210),2,FALSE),0)</f>
        <v>42</v>
      </c>
      <c r="AK75">
        <f t="array" aca="1" ref="AK75" ca="1">IFERROR(VLOOKUP($AJ$5&amp;$C75,CHOOSE({1,2},D_技能表!$C$2:$C$1210&amp;D_技能表!$E$2:$E$1210,D_技能表!$N$2:$N$1210),2,FALSE),0)</f>
        <v>173085</v>
      </c>
      <c r="AL75">
        <f t="array" aca="1" ref="AL75" ca="1">IFERROR(VLOOKUP($AJ$5&amp;$C75,CHOOSE({1,2},D_技能表!$C$2:$C$1210&amp;D_技能表!$E$2:$E$1210,D_技能表!$W$2:$W$1210),2,FALSE),0)</f>
        <v>55</v>
      </c>
      <c r="AM75">
        <f t="array" aca="1" ref="AM75" ca="1">IFERROR(VLOOKUP($AJ$5&amp;$C75,CHOOSE({1,2},D_技能表!$C$2:$C$1210&amp;D_技能表!$E$2:$E$1210,D_技能表!$Z$2:$Z$1210),2,FALSE),0)</f>
        <v>22</v>
      </c>
      <c r="AN75">
        <f t="array" aca="1" ref="AN75" ca="1">IFERROR(VLOOKUP($AN$5&amp;$C75,CHOOSE({1,2},D_技能表!$C$2:$C$1210&amp;D_技能表!$E$2:$E$1210,D_技能表!$I$2:$I$1210),2,FALSE),0)</f>
        <v>42</v>
      </c>
      <c r="AO75">
        <f t="array" aca="1" ref="AO75" ca="1">IFERROR(VLOOKUP($AN$5&amp;$C75,CHOOSE({1,2},D_技能表!$C$2:$C$1210&amp;D_技能表!$E$2:$E$1210,D_技能表!$N$2:$N$1210),2,FALSE),0)</f>
        <v>314700</v>
      </c>
      <c r="AP75">
        <f t="array" aca="1" ref="AP75" ca="1">IFERROR(VLOOKUP($AN$5&amp;$C75,CHOOSE({1,2},D_技能表!$C$2:$C$1210&amp;D_技能表!$E$2:$E$1210,D_技能表!$W$2:$W$1210),2,FALSE),0)</f>
        <v>100</v>
      </c>
      <c r="AQ75">
        <f t="array" aca="1" ref="AQ75" ca="1">IFERROR(VLOOKUP($AN$5&amp;$C75,CHOOSE({1,2},D_技能表!$C$2:$C$1210&amp;D_技能表!$E$2:$E$1210,D_技能表!$Z$2:$Z$1210),2,FALSE),0)</f>
        <v>40</v>
      </c>
      <c r="AR75" s="11">
        <f ca="1">SUM($G$7:G76,$K$7:K76,$O$7:O76,$S$7:S76,$W$7:W76,$AA$7:AA76,$AE$7:AE76,$AI$7:AI76,$AM$7:AM76,$AQ$7:AQ76)</f>
        <v>4487</v>
      </c>
      <c r="AS75">
        <f ca="1">SUM($F$7:F76,$J$7:J76,$N$7:N76,$R$7:R76,$V$7:V76,$Z$7:Z76,$AD$7:AD76,$AH$7:AH76,$AL$7:AL76,$AP$7:AP76)</f>
        <v>12456</v>
      </c>
      <c r="AT75">
        <f t="shared" ca="1" si="3"/>
        <v>523</v>
      </c>
      <c r="AU75" s="33">
        <f ca="1">SUM($AX$7:AX75,$BB$7:BB75,$BF$7:BF75,$BJ$7:BJ75)</f>
        <v>3128150</v>
      </c>
      <c r="AV75">
        <v>69</v>
      </c>
      <c r="AW75">
        <f t="array" ref="AW75">IFERROR(VLOOKUP(AW$5&amp;$AV75,CHOOSE({1,2},D_技能表CD!$C$2:$C$313&amp;D_技能表CD!$E$2:$E$313,D_技能表CD!$I$2:$I$313),2,FALSE),0)</f>
        <v>0</v>
      </c>
      <c r="AX75">
        <f t="array" aca="1" ref="AX75" ca="1">IFERROR(VLOOKUP(AW$5&amp;$AV75,CHOOSE({1,2},D_技能表CD!$C$2:$C$313&amp;D_技能表CD!$E$2:$E$313,D_技能表CD!$H$2:$H$313),2,FALSE),0)</f>
        <v>0</v>
      </c>
      <c r="AY75">
        <f t="array" aca="1" ref="AY75" ca="1">IFERROR(VLOOKUP(AW$5&amp;$AV75,CHOOSE({1,2},D_技能表CD!$C$2:$C$313&amp;D_技能表CD!$E$2:$E$313,D_技能表CD!$L$2:$L$313),2,FALSE),0)</f>
        <v>0</v>
      </c>
      <c r="AZ75">
        <f t="array" aca="1" ref="AZ75" ca="1">IFERROR(VLOOKUP(AW$5&amp;$AV75,CHOOSE({1,2},D_技能表CD!$C$2:$C$313&amp;D_技能表CD!$E$2:$E$313,D_技能表CD!$K$2:$K$313),2,FALSE),0)</f>
        <v>0</v>
      </c>
      <c r="BA75">
        <f t="array" ref="BA75">IFERROR(VLOOKUP(BA$5&amp;$AV75,CHOOSE({1,2},D_技能表CD!$C$2:$C$313&amp;D_技能表CD!$E$2:$E$313,D_技能表CD!$I$2:$I$313),2,FALSE),0)</f>
        <v>23</v>
      </c>
      <c r="BB75">
        <f t="array" aca="1" ref="BB75" ca="1">IFERROR(VLOOKUP(BA$5&amp;$AV75,CHOOSE({1,2},D_技能表CD!$C$2:$C$313&amp;D_技能表CD!$E$2:$E$313,D_技能表CD!$H$2:$H$313),2,FALSE),0)</f>
        <v>180500</v>
      </c>
      <c r="BC75">
        <f t="array" aca="1" ref="BC75" ca="1">IFERROR(VLOOKUP(BA$5&amp;$AV75,CHOOSE({1,2},D_技能表CD!$C$2:$C$313&amp;D_技能表CD!$E$2:$E$313,D_技能表CD!$L$2:$L$313),2,FALSE),0)</f>
        <v>518</v>
      </c>
      <c r="BD75">
        <f t="array" aca="1" ref="BD75" ca="1">IFERROR(VLOOKUP(BA$5&amp;$AV75,CHOOSE({1,2},D_技能表CD!$C$2:$C$313&amp;D_技能表CD!$E$2:$E$313,D_技能表CD!$K$2:$K$313),2,FALSE),0)</f>
        <v>1073</v>
      </c>
      <c r="BE75">
        <f t="array" ref="BE75">IFERROR(VLOOKUP(BE$5&amp;$AV75,CHOOSE({1,2},D_技能表CD!$C$2:$C$313&amp;D_技能表CD!$E$2:$E$313,D_技能表CD!$I$2:$I$313),2,FALSE),0)</f>
        <v>0</v>
      </c>
      <c r="BF75">
        <f t="array" aca="1" ref="BF75" ca="1">IFERROR(VLOOKUP(BE$5&amp;$AV75,CHOOSE({1,2},D_技能表CD!$C$2:$C$313&amp;D_技能表CD!$E$2:$E$313,D_技能表CD!$H$2:$H$313),2,FALSE),0)</f>
        <v>0</v>
      </c>
      <c r="BG75">
        <f t="array" aca="1" ref="BG75" ca="1">IFERROR(VLOOKUP(BE$5&amp;$AV75,CHOOSE({1,2},D_技能表CD!$C$2:$C$313&amp;D_技能表CD!$E$2:$E$313,D_技能表CD!$L$2:$L$313),2,FALSE),0)</f>
        <v>0</v>
      </c>
      <c r="BH75">
        <f t="array" aca="1" ref="BH75" ca="1">IFERROR(VLOOKUP(BE$5&amp;$AV75,CHOOSE({1,2},D_技能表CD!$C$2:$C$313&amp;D_技能表CD!$E$2:$E$313,D_技能表CD!$K$2:$K$313),2,FALSE),0)</f>
        <v>0</v>
      </c>
      <c r="BI75">
        <f t="array" ref="BI75">IFERROR(VLOOKUP(BI$5&amp;$AV75,CHOOSE({1,2},D_技能表CD!$C$2:$C$313&amp;D_技能表CD!$E$2:$E$313,D_技能表CD!$I$2:$I$313),2,FALSE),0)</f>
        <v>0</v>
      </c>
      <c r="BJ75">
        <f t="array" aca="1" ref="BJ75" ca="1">IFERROR(VLOOKUP(BI$5&amp;$AV75,CHOOSE({1,2},D_技能表CD!$C$2:$C$313&amp;D_技能表CD!$E$2:$E$313,D_技能表CD!$H$2:$H$313),2,FALSE),0)</f>
        <v>0</v>
      </c>
      <c r="BK75">
        <f t="array" aca="1" ref="BK75" ca="1">IFERROR(VLOOKUP(BI$5&amp;$AV75,CHOOSE({1,2},D_技能表CD!$C$2:$C$313&amp;D_技能表CD!$E$2:$E$313,D_技能表CD!$L$2:$L$313),2,FALSE),0)</f>
        <v>0</v>
      </c>
      <c r="BL75">
        <f t="array" aca="1" ref="BL75" ca="1">IFERROR(VLOOKUP(BI$5&amp;$AV75,CHOOSE({1,2},D_技能表CD!$C$2:$C$313&amp;D_技能表CD!$E$2:$E$313,D_技能表CD!$K$2:$K$313),2,FALSE),0)</f>
        <v>0</v>
      </c>
    </row>
    <row r="76" spans="1:64" x14ac:dyDescent="0.15">
      <c r="A76">
        <f t="shared" ca="1" si="2"/>
        <v>27527653</v>
      </c>
      <c r="B76" s="33">
        <f ca="1">SUM($E$7:E76,$I$7:I76,$M$7:M76,$Q$7:Q76,$U$7:U76,$Y$7:Y76,$AC$7:AC76,$AG$7:AG76,$AK$7:AK76,$AO$7:AO76)</f>
        <v>24209503</v>
      </c>
      <c r="C76">
        <v>70</v>
      </c>
      <c r="D76">
        <f t="array" aca="1" ref="D76" ca="1">IFERROR(VLOOKUP($D$5&amp;C76,CHOOSE({1,2},D_技能表!$C$2:$C$1210&amp;D_技能表!$E$2:$E$1210,D_技能表!$I$2:$I$1210),2,FALSE),0)</f>
        <v>0</v>
      </c>
      <c r="E76">
        <f t="array" aca="1" ref="E76" ca="1">IFERROR(VLOOKUP($D$5&amp;$C76,CHOOSE({1,2},D_技能表!$C$2:$C$1210&amp;D_技能表!$E$2:$E$1210,D_技能表!$N$2:$N$1210),2,FALSE),0)</f>
        <v>0</v>
      </c>
      <c r="F76">
        <f t="array" aca="1" ref="F76" ca="1">IFERROR(VLOOKUP($D$5&amp;$C76,CHOOSE({1,2},D_技能表!$C$2:$C$1210&amp;D_技能表!$E$2:$E$1210,D_技能表!$W$2:$W$1210),2,FALSE),0)</f>
        <v>0</v>
      </c>
      <c r="G76">
        <f t="array" aca="1" ref="G76" ca="1">IFERROR(VLOOKUP($D$5&amp;$C76,CHOOSE({1,2},D_技能表!$C$2:$C$1210&amp;D_技能表!$E$2:$E$1210,D_技能表!$Z$2:$Z$1210),2,FALSE),0)</f>
        <v>0</v>
      </c>
      <c r="H76">
        <f t="array" aca="1" ref="H76" ca="1">IFERROR(VLOOKUP($H$5&amp;$C76,CHOOSE({1,2},D_技能表!$C$2:$C$1210&amp;D_技能表!$E$2:$E$1210,D_技能表!$I$2:$I$1210),2,FALSE),0)</f>
        <v>0</v>
      </c>
      <c r="I76">
        <f t="array" aca="1" ref="I76" ca="1">IFERROR(VLOOKUP($H$5&amp;$C76,CHOOSE({1,2},D_技能表!$C$2:$C$1210&amp;D_技能表!$E$2:$E$1210,D_技能表!$N$2:$N$1210),2,FALSE),0)</f>
        <v>0</v>
      </c>
      <c r="J76">
        <f t="array" aca="1" ref="J76" ca="1">IFERROR(VLOOKUP($H$5&amp;$C76,CHOOSE({1,2},D_技能表!$C$2:$C$1210&amp;D_技能表!$E$2:$E$1210,D_技能表!$W$2:$W$1210),2,FALSE),0)</f>
        <v>0</v>
      </c>
      <c r="K76">
        <f t="array" aca="1" ref="K76" ca="1">IFERROR(VLOOKUP($H$5&amp;$C76,CHOOSE({1,2},D_技能表!$C$2:$C$1210&amp;D_技能表!$E$2:$E$1210,D_技能表!$Z$2:$Z$1210),2,FALSE),0)</f>
        <v>0</v>
      </c>
      <c r="L76">
        <f t="array" aca="1" ref="L76" ca="1">IFERROR(VLOOKUP($L$5&amp;$C76,CHOOSE({1,2},D_技能表!$C$2:$C$1210&amp;D_技能表!$E$2:$E$1210,D_技能表!$I$2:$I$1210),2,FALSE),0)</f>
        <v>0</v>
      </c>
      <c r="M76">
        <f t="array" aca="1" ref="M76" ca="1">IFERROR(VLOOKUP($L$5&amp;$C76,CHOOSE({1,2},D_技能表!$C$2:$C$1210&amp;D_技能表!$E$2:$E$1210,D_技能表!$N$2:$N$1210),2,FALSE),0)</f>
        <v>0</v>
      </c>
      <c r="N76">
        <f t="array" aca="1" ref="N76" ca="1">IFERROR(VLOOKUP($L$5&amp;$C76,CHOOSE({1,2},D_技能表!$C$2:$C$1210&amp;D_技能表!$E$2:$E$1210,D_技能表!$W$2:$W$1210),2,FALSE),0)</f>
        <v>0</v>
      </c>
      <c r="O76">
        <f t="array" aca="1" ref="O76" ca="1">IFERROR(VLOOKUP($L$5&amp;$C76,CHOOSE({1,2},D_技能表!$C$2:$C$1210&amp;D_技能表!$E$2:$E$1210,D_技能表!$Z$2:$Z$1210),2,FALSE),0)</f>
        <v>0</v>
      </c>
      <c r="P76">
        <f t="array" aca="1" ref="P76" ca="1">IFERROR(VLOOKUP($P$5&amp;$C76,CHOOSE({1,2},D_技能表!$C$2:$C$1210&amp;D_技能表!$E$2:$E$1210,D_技能表!$I$2:$I$1210),2,FALSE),0)</f>
        <v>43</v>
      </c>
      <c r="Q76">
        <f t="array" aca="1" ref="Q76" ca="1">IFERROR(VLOOKUP($P$5&amp;$C76,CHOOSE({1,2},D_技能表!$C$2:$C$1210&amp;D_技能表!$E$2:$E$1210,D_技能表!$N$2:$N$1210),2,FALSE),0)</f>
        <v>204246</v>
      </c>
      <c r="R76">
        <f t="array" aca="1" ref="R76" ca="1">IFERROR(VLOOKUP($P$5&amp;$C76,CHOOSE({1,2},D_技能表!$C$2:$C$1210&amp;D_技能表!$E$2:$E$1210,D_技能表!$W$2:$W$1210),2,FALSE),0)</f>
        <v>63</v>
      </c>
      <c r="S76">
        <f t="array" aca="1" ref="S76" ca="1">IFERROR(VLOOKUP($P$5&amp;$C76,CHOOSE({1,2},D_技能表!$C$2:$C$1210&amp;D_技能表!$E$2:$E$1210,D_技能表!$Z$2:$Z$1210),2,FALSE),0)</f>
        <v>26</v>
      </c>
      <c r="T76">
        <f t="array" aca="1" ref="T76" ca="1">IFERROR(VLOOKUP($T$5&amp;$C76,CHOOSE({1,2},D_技能表!$C$2:$C$1210&amp;D_技能表!$E$2:$E$1210,D_技能表!$I$2:$I$1210),2,FALSE),0)</f>
        <v>43</v>
      </c>
      <c r="U76">
        <f t="array" aca="1" ref="U76" ca="1">IFERROR(VLOOKUP($T$5&amp;$C76,CHOOSE({1,2},D_技能表!$C$2:$C$1210&amp;D_技能表!$E$2:$E$1210,D_技能表!$N$2:$N$1210),2,FALSE),0)</f>
        <v>337168</v>
      </c>
      <c r="V76">
        <f t="array" aca="1" ref="V76" ca="1">IFERROR(VLOOKUP($T$5&amp;$C76,CHOOSE({1,2},D_技能表!$C$2:$C$1210&amp;D_技能表!$E$2:$E$1210,D_技能表!$W$2:$W$1210),2,FALSE),0)</f>
        <v>104</v>
      </c>
      <c r="W76">
        <f t="array" aca="1" ref="W76" ca="1">IFERROR(VLOOKUP($T$5&amp;$C76,CHOOSE({1,2},D_技能表!$C$2:$C$1210&amp;D_技能表!$E$2:$E$1210,D_技能表!$Z$2:$Z$1210),2,FALSE),0)</f>
        <v>42</v>
      </c>
      <c r="X76">
        <f t="array" aca="1" ref="X76" ca="1">IFERROR(VLOOKUP($X$5&amp;$C76,CHOOSE({1,2},D_技能表!$C$2:$C$1210&amp;D_技能表!$E$2:$E$1210,D_技能表!$I$2:$I$1210),2,FALSE),0)</f>
        <v>43</v>
      </c>
      <c r="Y76">
        <f t="array" aca="1" ref="Y76" ca="1">IFERROR(VLOOKUP($X$5&amp;$C76,CHOOSE({1,2},D_技能表!$C$2:$C$1210&amp;D_技能表!$E$2:$E$1210,D_技能表!$N$2:$N$1210),2,FALSE),0)</f>
        <v>444154</v>
      </c>
      <c r="Z76">
        <f t="array" aca="1" ref="Z76" ca="1">IFERROR(VLOOKUP($X$5&amp;$C76,CHOOSE({1,2},D_技能表!$C$2:$C$1210&amp;D_技能表!$E$2:$E$1210,D_技能表!$W$2:$W$1210),2,FALSE),0)</f>
        <v>137</v>
      </c>
      <c r="AA76">
        <f t="array" aca="1" ref="AA76" ca="1">IFERROR(VLOOKUP($X$5&amp;$C76,CHOOSE({1,2},D_技能表!$C$2:$C$1210&amp;D_技能表!$E$2:$E$1210,D_技能表!$Z$2:$Z$1210),2,FALSE),0)</f>
        <v>55</v>
      </c>
      <c r="AB76">
        <f t="array" aca="1" ref="AB76" ca="1">IFERROR(VLOOKUP($AB$5&amp;$C76,CHOOSE({1,2},D_技能表!$C$2:$C$1210&amp;D_技能表!$E$2:$E$1210,D_技能表!$I$2:$I$1210),2,FALSE),0)</f>
        <v>43</v>
      </c>
      <c r="AC76">
        <f t="array" aca="1" ref="AC76" ca="1">IFERROR(VLOOKUP($AB$5&amp;$C76,CHOOSE({1,2},D_技能表!$C$2:$C$1210&amp;D_技能表!$E$2:$E$1210,D_技能表!$N$2:$N$1210),2,FALSE),0)</f>
        <v>213972</v>
      </c>
      <c r="AD76">
        <f t="array" aca="1" ref="AD76" ca="1">IFERROR(VLOOKUP($AB$5&amp;$C76,CHOOSE({1,2},D_技能表!$C$2:$C$1210&amp;D_技能表!$E$2:$E$1210,D_技能表!$W$2:$W$1210),2,FALSE),0)</f>
        <v>66</v>
      </c>
      <c r="AE76">
        <f t="array" aca="1" ref="AE76" ca="1">IFERROR(VLOOKUP($AB$5&amp;$C76,CHOOSE({1,2},D_技能表!$C$2:$C$1210&amp;D_技能表!$E$2:$E$1210,D_技能表!$Z$2:$Z$1210),2,FALSE),0)</f>
        <v>27</v>
      </c>
      <c r="AF76">
        <f t="array" aca="1" ref="AF76" ca="1">IFERROR(VLOOKUP($AF$5&amp;$C76,CHOOSE({1,2},D_技能表!$C$2:$C$1210&amp;D_技能表!$E$2:$E$1210,D_技能表!$I$2:$I$1210),2,FALSE),0)</f>
        <v>43</v>
      </c>
      <c r="AG76">
        <f t="array" aca="1" ref="AG76" ca="1">IFERROR(VLOOKUP($AF$5&amp;$C76,CHOOSE({1,2},D_技能表!$C$2:$C$1210&amp;D_技能表!$E$2:$E$1210,D_技能表!$N$2:$N$1210),2,FALSE),0)</f>
        <v>191278</v>
      </c>
      <c r="AH76">
        <f t="array" aca="1" ref="AH76" ca="1">IFERROR(VLOOKUP($AF$5&amp;$C76,CHOOSE({1,2},D_技能表!$C$2:$C$1210&amp;D_技能表!$E$2:$E$1210,D_技能表!$W$2:$W$1210),2,FALSE),0)</f>
        <v>59</v>
      </c>
      <c r="AI76">
        <f t="array" aca="1" ref="AI76" ca="1">IFERROR(VLOOKUP($AF$5&amp;$C76,CHOOSE({1,2},D_技能表!$C$2:$C$1210&amp;D_技能表!$E$2:$E$1210,D_技能表!$Z$2:$Z$1210),2,FALSE),0)</f>
        <v>24</v>
      </c>
      <c r="AJ76">
        <f t="array" aca="1" ref="AJ76" ca="1">IFERROR(VLOOKUP($AJ$5&amp;$C76,CHOOSE({1,2},D_技能表!$C$2:$C$1210&amp;D_技能表!$E$2:$E$1210,D_技能表!$I$2:$I$1210),2,FALSE),0)</f>
        <v>43</v>
      </c>
      <c r="AK76">
        <f t="array" aca="1" ref="AK76" ca="1">IFERROR(VLOOKUP($AJ$5&amp;$C76,CHOOSE({1,2},D_技能表!$C$2:$C$1210&amp;D_技能表!$E$2:$E$1210,D_技能表!$N$2:$N$1210),2,FALSE),0)</f>
        <v>191278</v>
      </c>
      <c r="AL76">
        <f t="array" aca="1" ref="AL76" ca="1">IFERROR(VLOOKUP($AJ$5&amp;$C76,CHOOSE({1,2},D_技能表!$C$2:$C$1210&amp;D_技能表!$E$2:$E$1210,D_技能表!$W$2:$W$1210),2,FALSE),0)</f>
        <v>59</v>
      </c>
      <c r="AM76">
        <f t="array" aca="1" ref="AM76" ca="1">IFERROR(VLOOKUP($AJ$5&amp;$C76,CHOOSE({1,2},D_技能表!$C$2:$C$1210&amp;D_技能表!$E$2:$E$1210,D_技能表!$Z$2:$Z$1210),2,FALSE),0)</f>
        <v>24</v>
      </c>
      <c r="AN76">
        <f t="array" aca="1" ref="AN76" ca="1">IFERROR(VLOOKUP($AN$5&amp;$C76,CHOOSE({1,2},D_技能表!$C$2:$C$1210&amp;D_技能表!$E$2:$E$1210,D_技能表!$I$2:$I$1210),2,FALSE),0)</f>
        <v>43</v>
      </c>
      <c r="AO76">
        <f t="array" aca="1" ref="AO76" ca="1">IFERROR(VLOOKUP($AN$5&amp;$C76,CHOOSE({1,2},D_技能表!$C$2:$C$1210&amp;D_技能表!$E$2:$E$1210,D_技能表!$N$2:$N$1210),2,FALSE),0)</f>
        <v>346894</v>
      </c>
      <c r="AP76">
        <f t="array" aca="1" ref="AP76" ca="1">IFERROR(VLOOKUP($AN$5&amp;$C76,CHOOSE({1,2},D_技能表!$C$2:$C$1210&amp;D_技能表!$E$2:$E$1210,D_技能表!$W$2:$W$1210),2,FALSE),0)</f>
        <v>107</v>
      </c>
      <c r="AQ76">
        <f t="array" aca="1" ref="AQ76" ca="1">IFERROR(VLOOKUP($AN$5&amp;$C76,CHOOSE({1,2},D_技能表!$C$2:$C$1210&amp;D_技能表!$E$2:$E$1210,D_技能表!$Z$2:$Z$1210),2,FALSE),0)</f>
        <v>43</v>
      </c>
      <c r="AR76" s="11">
        <f ca="1">SUM($G$7:G77,$K$7:K77,$O$7:O77,$S$7:S77,$W$7:W77,$AA$7:AA77,$AE$7:AE77,$AI$7:AI77,$AM$7:AM77,$AQ$7:AQ77)</f>
        <v>4789</v>
      </c>
      <c r="AS76">
        <f ca="1">SUM($F$7:F77,$J$7:J77,$N$7:N77,$R$7:R77,$V$7:V77,$Z$7:Z77,$AD$7:AD77,$AH$7:AH77,$AL$7:AL77,$AP$7:AP77)</f>
        <v>13204</v>
      </c>
      <c r="AT76">
        <f t="shared" ca="1" si="3"/>
        <v>595</v>
      </c>
      <c r="AU76" s="33">
        <f ca="1">SUM($AX$7:AX76,$BB$7:BB76,$BF$7:BF76,$BJ$7:BJ76)</f>
        <v>3318150</v>
      </c>
      <c r="AV76">
        <v>70</v>
      </c>
      <c r="AW76">
        <f t="array" ref="AW76">IFERROR(VLOOKUP(AW$5&amp;$AV76,CHOOSE({1,2},D_技能表CD!$C$2:$C$313&amp;D_技能表CD!$E$2:$E$313,D_技能表CD!$I$2:$I$313),2,FALSE),0)</f>
        <v>24</v>
      </c>
      <c r="AX76">
        <f t="array" aca="1" ref="AX76" ca="1">IFERROR(VLOOKUP(AW$5&amp;$AV76,CHOOSE({1,2},D_技能表CD!$C$2:$C$313&amp;D_技能表CD!$E$2:$E$313,D_技能表CD!$H$2:$H$313),2,FALSE),0)</f>
        <v>109700</v>
      </c>
      <c r="AY76">
        <f t="array" aca="1" ref="AY76" ca="1">IFERROR(VLOOKUP(AW$5&amp;$AV76,CHOOSE({1,2},D_技能表CD!$C$2:$C$313&amp;D_技能表CD!$E$2:$E$313,D_技能表CD!$L$2:$L$313),2,FALSE),0)</f>
        <v>313</v>
      </c>
      <c r="AZ76">
        <f t="array" aca="1" ref="AZ76" ca="1">IFERROR(VLOOKUP(AW$5&amp;$AV76,CHOOSE({1,2},D_技能表CD!$C$2:$C$313&amp;D_技能表CD!$E$2:$E$313,D_技能表CD!$K$2:$K$313),2,FALSE),0)</f>
        <v>671</v>
      </c>
      <c r="BA76">
        <f t="array" ref="BA76">IFERROR(VLOOKUP(BA$5&amp;$AV76,CHOOSE({1,2},D_技能表CD!$C$2:$C$313&amp;D_技能表CD!$E$2:$E$313,D_技能表CD!$I$2:$I$313),2,FALSE),0)</f>
        <v>0</v>
      </c>
      <c r="BB76">
        <f t="array" aca="1" ref="BB76" ca="1">IFERROR(VLOOKUP(BA$5&amp;$AV76,CHOOSE({1,2},D_技能表CD!$C$2:$C$313&amp;D_技能表CD!$E$2:$E$313,D_技能表CD!$H$2:$H$313),2,FALSE),0)</f>
        <v>0</v>
      </c>
      <c r="BC76">
        <f t="array" aca="1" ref="BC76" ca="1">IFERROR(VLOOKUP(BA$5&amp;$AV76,CHOOSE({1,2},D_技能表CD!$C$2:$C$313&amp;D_技能表CD!$E$2:$E$313,D_技能表CD!$L$2:$L$313),2,FALSE),0)</f>
        <v>0</v>
      </c>
      <c r="BD76">
        <f t="array" aca="1" ref="BD76" ca="1">IFERROR(VLOOKUP(BA$5&amp;$AV76,CHOOSE({1,2},D_技能表CD!$C$2:$C$313&amp;D_技能表CD!$E$2:$E$313,D_技能表CD!$K$2:$K$313),2,FALSE),0)</f>
        <v>0</v>
      </c>
      <c r="BE76">
        <f t="array" ref="BE76">IFERROR(VLOOKUP(BE$5&amp;$AV76,CHOOSE({1,2},D_技能表CD!$C$2:$C$313&amp;D_技能表CD!$E$2:$E$313,D_技能表CD!$I$2:$I$313),2,FALSE),0)</f>
        <v>23</v>
      </c>
      <c r="BF76">
        <f t="array" aca="1" ref="BF76" ca="1">IFERROR(VLOOKUP(BE$5&amp;$AV76,CHOOSE({1,2},D_技能表CD!$C$2:$C$313&amp;D_技能表CD!$E$2:$E$313,D_技能表CD!$H$2:$H$313),2,FALSE),0)</f>
        <v>80300</v>
      </c>
      <c r="BG76">
        <f t="array" aca="1" ref="BG76" ca="1">IFERROR(VLOOKUP(BE$5&amp;$AV76,CHOOSE({1,2},D_技能表CD!$C$2:$C$313&amp;D_技能表CD!$E$2:$E$313,D_技能表CD!$L$2:$L$313),2,FALSE),0)</f>
        <v>230</v>
      </c>
      <c r="BH76">
        <f t="array" aca="1" ref="BH76" ca="1">IFERROR(VLOOKUP(BE$5&amp;$AV76,CHOOSE({1,2},D_技能表CD!$C$2:$C$313&amp;D_技能表CD!$E$2:$E$313,D_技能表CD!$K$2:$K$313),2,FALSE),0)</f>
        <v>477</v>
      </c>
      <c r="BI76">
        <f t="array" ref="BI76">IFERROR(VLOOKUP(BI$5&amp;$AV76,CHOOSE({1,2},D_技能表CD!$C$2:$C$313&amp;D_技能表CD!$E$2:$E$313,D_技能表CD!$I$2:$I$313),2,FALSE),0)</f>
        <v>0</v>
      </c>
      <c r="BJ76">
        <f t="array" aca="1" ref="BJ76" ca="1">IFERROR(VLOOKUP(BI$5&amp;$AV76,CHOOSE({1,2},D_技能表CD!$C$2:$C$313&amp;D_技能表CD!$E$2:$E$313,D_技能表CD!$H$2:$H$313),2,FALSE),0)</f>
        <v>0</v>
      </c>
      <c r="BK76">
        <f t="array" aca="1" ref="BK76" ca="1">IFERROR(VLOOKUP(BI$5&amp;$AV76,CHOOSE({1,2},D_技能表CD!$C$2:$C$313&amp;D_技能表CD!$E$2:$E$313,D_技能表CD!$L$2:$L$313),2,FALSE),0)</f>
        <v>0</v>
      </c>
      <c r="BL76">
        <f t="array" aca="1" ref="BL76" ca="1">IFERROR(VLOOKUP(BI$5&amp;$AV76,CHOOSE({1,2},D_技能表CD!$C$2:$C$313&amp;D_技能表CD!$E$2:$E$313,D_技能表CD!$K$2:$K$313),2,FALSE),0)</f>
        <v>0</v>
      </c>
    </row>
    <row r="77" spans="1:64" x14ac:dyDescent="0.15">
      <c r="A77">
        <f t="shared" ca="1" si="2"/>
        <v>30200627</v>
      </c>
      <c r="B77" s="33">
        <f ca="1">SUM($E$7:E77,$I$7:I77,$M$7:M77,$Q$7:Q77,$U$7:U77,$Y$7:Y77,$AC$7:AC77,$AG$7:AG77,$AK$7:AK77,$AO$7:AO77)</f>
        <v>26706327</v>
      </c>
      <c r="C77">
        <v>71</v>
      </c>
      <c r="D77">
        <f t="array" aca="1" ref="D77" ca="1">IFERROR(VLOOKUP($D$5&amp;C77,CHOOSE({1,2},D_技能表!$C$2:$C$1210&amp;D_技能表!$E$2:$E$1210,D_技能表!$I$2:$I$1210),2,FALSE),0)</f>
        <v>44</v>
      </c>
      <c r="E77">
        <f t="array" aca="1" ref="E77" ca="1">IFERROR(VLOOKUP($D$5&amp;$C77,CHOOSE({1,2},D_技能表!$C$2:$C$1210&amp;D_技能表!$E$2:$E$1210,D_技能表!$N$2:$N$1210),2,FALSE),0)</f>
        <v>517390</v>
      </c>
      <c r="F77">
        <f t="array" aca="1" ref="F77" ca="1">IFERROR(VLOOKUP($D$5&amp;$C77,CHOOSE({1,2},D_技能表!$C$2:$C$1210&amp;D_技能表!$E$2:$E$1210,D_技能表!$W$2:$W$1210),2,FALSE),0)</f>
        <v>155</v>
      </c>
      <c r="G77">
        <f t="array" aca="1" ref="G77" ca="1">IFERROR(VLOOKUP($D$5&amp;$C77,CHOOSE({1,2},D_技能表!$C$2:$C$1210&amp;D_技能表!$E$2:$E$1210,D_技能表!$Z$2:$Z$1210),2,FALSE),0)</f>
        <v>62</v>
      </c>
      <c r="H77">
        <f t="array" aca="1" ref="H77" ca="1">IFERROR(VLOOKUP($H$5&amp;$C77,CHOOSE({1,2},D_技能表!$C$2:$C$1210&amp;D_技能表!$E$2:$E$1210,D_技能表!$I$2:$I$1210),2,FALSE),0)</f>
        <v>44</v>
      </c>
      <c r="I77">
        <f t="array" aca="1" ref="I77" ca="1">IFERROR(VLOOKUP($H$5&amp;$C77,CHOOSE({1,2},D_技能表!$C$2:$C$1210&amp;D_技能表!$E$2:$E$1210,D_技能表!$N$2:$N$1210),2,FALSE),0)</f>
        <v>223646</v>
      </c>
      <c r="J77">
        <f t="array" aca="1" ref="J77" ca="1">IFERROR(VLOOKUP($H$5&amp;$C77,CHOOSE({1,2},D_技能表!$C$2:$C$1210&amp;D_技能表!$E$2:$E$1210,D_技能表!$W$2:$W$1210),2,FALSE),0)</f>
        <v>67</v>
      </c>
      <c r="K77">
        <f t="array" aca="1" ref="K77" ca="1">IFERROR(VLOOKUP($H$5&amp;$C77,CHOOSE({1,2},D_技能表!$C$2:$C$1210&amp;D_技能表!$E$2:$E$1210,D_技能表!$Z$2:$Z$1210),2,FALSE),0)</f>
        <v>27</v>
      </c>
      <c r="L77">
        <f t="array" aca="1" ref="L77" ca="1">IFERROR(VLOOKUP($L$5&amp;$C77,CHOOSE({1,2},D_技能表!$C$2:$C$1210&amp;D_技能表!$E$2:$E$1210,D_技能表!$I$2:$I$1210),2,FALSE),0)</f>
        <v>44</v>
      </c>
      <c r="M77">
        <f t="array" aca="1" ref="M77" ca="1">IFERROR(VLOOKUP($L$5&amp;$C77,CHOOSE({1,2},D_技能表!$C$2:$C$1210&amp;D_技能表!$E$2:$E$1210,D_技能表!$N$2:$N$1210),2,FALSE),0)</f>
        <v>223646</v>
      </c>
      <c r="N77">
        <f t="array" aca="1" ref="N77" ca="1">IFERROR(VLOOKUP($L$5&amp;$C77,CHOOSE({1,2},D_技能表!$C$2:$C$1210&amp;D_技能表!$E$2:$E$1210,D_技能表!$W$2:$W$1210),2,FALSE),0)</f>
        <v>67</v>
      </c>
      <c r="O77">
        <f t="array" aca="1" ref="O77" ca="1">IFERROR(VLOOKUP($L$5&amp;$C77,CHOOSE({1,2},D_技能表!$C$2:$C$1210&amp;D_技能表!$E$2:$E$1210,D_技能表!$Z$2:$Z$1210),2,FALSE),0)</f>
        <v>27</v>
      </c>
      <c r="P77">
        <f t="array" aca="1" ref="P77" ca="1">IFERROR(VLOOKUP($P$5&amp;$C77,CHOOSE({1,2},D_技能表!$C$2:$C$1210&amp;D_技能表!$E$2:$E$1210,D_技能表!$I$2:$I$1210),2,FALSE),0)</f>
        <v>44</v>
      </c>
      <c r="Q77">
        <f t="array" aca="1" ref="Q77" ca="1">IFERROR(VLOOKUP($P$5&amp;$C77,CHOOSE({1,2},D_技能表!$C$2:$C$1210&amp;D_技能表!$E$2:$E$1210,D_技能表!$N$2:$N$1210),2,FALSE),0)</f>
        <v>223646</v>
      </c>
      <c r="R77">
        <f t="array" aca="1" ref="R77" ca="1">IFERROR(VLOOKUP($P$5&amp;$C77,CHOOSE({1,2},D_技能表!$C$2:$C$1210&amp;D_技能表!$E$2:$E$1210,D_技能表!$W$2:$W$1210),2,FALSE),0)</f>
        <v>67</v>
      </c>
      <c r="S77">
        <f t="array" aca="1" ref="S77" ca="1">IFERROR(VLOOKUP($P$5&amp;$C77,CHOOSE({1,2},D_技能表!$C$2:$C$1210&amp;D_技能表!$E$2:$E$1210,D_技能表!$Z$2:$Z$1210),2,FALSE),0)</f>
        <v>27</v>
      </c>
      <c r="T77">
        <f t="array" aca="1" ref="T77" ca="1">IFERROR(VLOOKUP($T$5&amp;$C77,CHOOSE({1,2},D_技能表!$C$2:$C$1210&amp;D_技能表!$E$2:$E$1210,D_技能表!$I$2:$I$1210),2,FALSE),0)</f>
        <v>44</v>
      </c>
      <c r="U77">
        <f t="array" aca="1" ref="U77" ca="1">IFERROR(VLOOKUP($T$5&amp;$C77,CHOOSE({1,2},D_技能表!$C$2:$C$1210&amp;D_技能表!$E$2:$E$1210,D_技能表!$N$2:$N$1210),2,FALSE),0)</f>
        <v>370518</v>
      </c>
      <c r="V77">
        <f t="array" aca="1" ref="V77" ca="1">IFERROR(VLOOKUP($T$5&amp;$C77,CHOOSE({1,2},D_技能表!$C$2:$C$1210&amp;D_技能表!$E$2:$E$1210,D_技能表!$W$2:$W$1210),2,FALSE),0)</f>
        <v>111</v>
      </c>
      <c r="W77">
        <f t="array" aca="1" ref="W77" ca="1">IFERROR(VLOOKUP($T$5&amp;$C77,CHOOSE({1,2},D_技能表!$C$2:$C$1210&amp;D_技能表!$E$2:$E$1210,D_技能表!$Z$2:$Z$1210),2,FALSE),0)</f>
        <v>45</v>
      </c>
      <c r="X77">
        <f t="array" aca="1" ref="X77" ca="1">IFERROR(VLOOKUP($X$5&amp;$C77,CHOOSE({1,2},D_技能表!$C$2:$C$1210&amp;D_技能表!$E$2:$E$1210,D_技能表!$I$2:$I$1210),2,FALSE),0)</f>
        <v>44</v>
      </c>
      <c r="Y77">
        <f t="array" aca="1" ref="Y77" ca="1">IFERROR(VLOOKUP($X$5&amp;$C77,CHOOSE({1,2},D_技能表!$C$2:$C$1210&amp;D_技能表!$E$2:$E$1210,D_技能表!$N$2:$N$1210),2,FALSE),0)</f>
        <v>490686</v>
      </c>
      <c r="Z77">
        <f t="array" aca="1" ref="Z77" ca="1">IFERROR(VLOOKUP($X$5&amp;$C77,CHOOSE({1,2},D_技能表!$C$2:$C$1210&amp;D_技能表!$E$2:$E$1210,D_技能表!$W$2:$W$1210),2,FALSE),0)</f>
        <v>147</v>
      </c>
      <c r="AA77">
        <f t="array" aca="1" ref="AA77" ca="1">IFERROR(VLOOKUP($X$5&amp;$C77,CHOOSE({1,2},D_技能表!$C$2:$C$1210&amp;D_技能表!$E$2:$E$1210,D_技能表!$Z$2:$Z$1210),2,FALSE),0)</f>
        <v>59</v>
      </c>
      <c r="AB77">
        <f t="array" aca="1" ref="AB77" ca="1">IFERROR(VLOOKUP($AB$5&amp;$C77,CHOOSE({1,2},D_技能表!$C$2:$C$1210&amp;D_技能表!$E$2:$E$1210,D_技能表!$I$2:$I$1210),2,FALSE),0)</f>
        <v>44</v>
      </c>
      <c r="AC77">
        <f t="array" aca="1" ref="AC77" ca="1">IFERROR(VLOOKUP($AB$5&amp;$C77,CHOOSE({1,2},D_技能表!$C$2:$C$1210&amp;D_技能表!$E$2:$E$1210,D_技能表!$N$2:$N$1210),2,FALSE),0)</f>
        <v>236998</v>
      </c>
      <c r="AD77">
        <f t="array" aca="1" ref="AD77" ca="1">IFERROR(VLOOKUP($AB$5&amp;$C77,CHOOSE({1,2},D_技能表!$C$2:$C$1210&amp;D_技能表!$E$2:$E$1210,D_技能表!$W$2:$W$1210),2,FALSE),0)</f>
        <v>71</v>
      </c>
      <c r="AE77">
        <f t="array" aca="1" ref="AE77" ca="1">IFERROR(VLOOKUP($AB$5&amp;$C77,CHOOSE({1,2},D_技能表!$C$2:$C$1210&amp;D_技能表!$E$2:$E$1210,D_技能表!$Z$2:$Z$1210),2,FALSE),0)</f>
        <v>29</v>
      </c>
      <c r="AF77">
        <f t="array" aca="1" ref="AF77" ca="1">IFERROR(VLOOKUP($AF$5&amp;$C77,CHOOSE({1,2},D_技能表!$C$2:$C$1210&amp;D_技能表!$E$2:$E$1210,D_技能表!$I$2:$I$1210),2,FALSE),0)</f>
        <v>44</v>
      </c>
      <c r="AG77">
        <f t="array" aca="1" ref="AG77" ca="1">IFERROR(VLOOKUP($AF$5&amp;$C77,CHOOSE({1,2},D_技能表!$C$2:$C$1210&amp;D_技能表!$E$2:$E$1210,D_技能表!$N$2:$N$1210),2,FALSE),0)</f>
        <v>210294</v>
      </c>
      <c r="AH77">
        <f t="array" aca="1" ref="AH77" ca="1">IFERROR(VLOOKUP($AF$5&amp;$C77,CHOOSE({1,2},D_技能表!$C$2:$C$1210&amp;D_技能表!$E$2:$E$1210,D_技能表!$W$2:$W$1210),2,FALSE),0)</f>
        <v>63</v>
      </c>
      <c r="AI77">
        <f t="array" aca="1" ref="AI77" ca="1">IFERROR(VLOOKUP($AF$5&amp;$C77,CHOOSE({1,2},D_技能表!$C$2:$C$1210&amp;D_技能表!$E$2:$E$1210,D_技能表!$Z$2:$Z$1210),2,FALSE),0)</f>
        <v>26</v>
      </c>
      <c r="AJ77">
        <f t="array" aca="1" ref="AJ77" ca="1">IFERROR(VLOOKUP($AJ$5&amp;$C77,CHOOSE({1,2},D_技能表!$C$2:$C$1210&amp;D_技能表!$E$2:$E$1210,D_技能表!$I$2:$I$1210),2,FALSE),0)</f>
        <v>0</v>
      </c>
      <c r="AK77">
        <f t="array" aca="1" ref="AK77" ca="1">IFERROR(VLOOKUP($AJ$5&amp;$C77,CHOOSE({1,2},D_技能表!$C$2:$C$1210&amp;D_技能表!$E$2:$E$1210,D_技能表!$N$2:$N$1210),2,FALSE),0)</f>
        <v>0</v>
      </c>
      <c r="AL77">
        <f t="array" aca="1" ref="AL77" ca="1">IFERROR(VLOOKUP($AJ$5&amp;$C77,CHOOSE({1,2},D_技能表!$C$2:$C$1210&amp;D_技能表!$E$2:$E$1210,D_技能表!$W$2:$W$1210),2,FALSE),0)</f>
        <v>0</v>
      </c>
      <c r="AM77">
        <f t="array" aca="1" ref="AM77" ca="1">IFERROR(VLOOKUP($AJ$5&amp;$C77,CHOOSE({1,2},D_技能表!$C$2:$C$1210&amp;D_技能表!$E$2:$E$1210,D_技能表!$Z$2:$Z$1210),2,FALSE),0)</f>
        <v>0</v>
      </c>
      <c r="AN77">
        <f t="array" aca="1" ref="AN77" ca="1">IFERROR(VLOOKUP($AN$5&amp;$C77,CHOOSE({1,2},D_技能表!$C$2:$C$1210&amp;D_技能表!$E$2:$E$1210,D_技能表!$I$2:$I$1210),2,FALSE),0)</f>
        <v>0</v>
      </c>
      <c r="AO77">
        <f t="array" aca="1" ref="AO77" ca="1">IFERROR(VLOOKUP($AN$5&amp;$C77,CHOOSE({1,2},D_技能表!$C$2:$C$1210&amp;D_技能表!$E$2:$E$1210,D_技能表!$N$2:$N$1210),2,FALSE),0)</f>
        <v>0</v>
      </c>
      <c r="AP77">
        <f t="array" aca="1" ref="AP77" ca="1">IFERROR(VLOOKUP($AN$5&amp;$C77,CHOOSE({1,2},D_技能表!$C$2:$C$1210&amp;D_技能表!$E$2:$E$1210,D_技能表!$W$2:$W$1210),2,FALSE),0)</f>
        <v>0</v>
      </c>
      <c r="AQ77">
        <f t="array" aca="1" ref="AQ77" ca="1">IFERROR(VLOOKUP($AN$5&amp;$C77,CHOOSE({1,2},D_技能表!$C$2:$C$1210&amp;D_技能表!$E$2:$E$1210,D_技能表!$Z$2:$Z$1210),2,FALSE),0)</f>
        <v>0</v>
      </c>
      <c r="AR77" s="11">
        <f ca="1">SUM($G$7:G78,$K$7:K78,$O$7:O78,$S$7:S78,$W$7:W78,$AA$7:AA78,$AE$7:AE78,$AI$7:AI78,$AM$7:AM78,$AQ$7:AQ78)</f>
        <v>4985</v>
      </c>
      <c r="AS77">
        <f ca="1">SUM($F$7:F78,$J$7:J78,$N$7:N78,$R$7:R78,$V$7:V78,$Z$7:Z78,$AD$7:AD78,$AH$7:AH78,$AL$7:AL78,$AP$7:AP78)</f>
        <v>13691</v>
      </c>
      <c r="AT77">
        <f t="shared" ca="1" si="3"/>
        <v>748</v>
      </c>
      <c r="AU77" s="33">
        <f ca="1">SUM($AX$7:AX77,$BB$7:BB77,$BF$7:BF77,$BJ$7:BJ77)</f>
        <v>3494300</v>
      </c>
      <c r="AV77">
        <v>71</v>
      </c>
      <c r="AW77">
        <f t="array" ref="AW77">IFERROR(VLOOKUP(AW$5&amp;$AV77,CHOOSE({1,2},D_技能表CD!$C$2:$C$313&amp;D_技能表CD!$E$2:$E$313,D_技能表CD!$I$2:$I$313),2,FALSE),0)</f>
        <v>0</v>
      </c>
      <c r="AX77">
        <f t="array" aca="1" ref="AX77" ca="1">IFERROR(VLOOKUP(AW$5&amp;$AV77,CHOOSE({1,2},D_技能表CD!$C$2:$C$313&amp;D_技能表CD!$E$2:$E$313,D_技能表CD!$H$2:$H$313),2,FALSE),0)</f>
        <v>0</v>
      </c>
      <c r="AY77">
        <f t="array" aca="1" ref="AY77" ca="1">IFERROR(VLOOKUP(AW$5&amp;$AV77,CHOOSE({1,2},D_技能表CD!$C$2:$C$313&amp;D_技能表CD!$E$2:$E$313,D_技能表CD!$L$2:$L$313),2,FALSE),0)</f>
        <v>0</v>
      </c>
      <c r="AZ77">
        <f t="array" aca="1" ref="AZ77" ca="1">IFERROR(VLOOKUP(AW$5&amp;$AV77,CHOOSE({1,2},D_技能表CD!$C$2:$C$313&amp;D_技能表CD!$E$2:$E$313,D_技能表CD!$K$2:$K$313),2,FALSE),0)</f>
        <v>0</v>
      </c>
      <c r="BA77">
        <f t="array" ref="BA77">IFERROR(VLOOKUP(BA$5&amp;$AV77,CHOOSE({1,2},D_技能表CD!$C$2:$C$313&amp;D_技能表CD!$E$2:$E$313,D_技能表CD!$I$2:$I$313),2,FALSE),0)</f>
        <v>0</v>
      </c>
      <c r="BB77">
        <f t="array" aca="1" ref="BB77" ca="1">IFERROR(VLOOKUP(BA$5&amp;$AV77,CHOOSE({1,2},D_技能表CD!$C$2:$C$313&amp;D_技能表CD!$E$2:$E$313,D_技能表CD!$H$2:$H$313),2,FALSE),0)</f>
        <v>0</v>
      </c>
      <c r="BC77">
        <f t="array" aca="1" ref="BC77" ca="1">IFERROR(VLOOKUP(BA$5&amp;$AV77,CHOOSE({1,2},D_技能表CD!$C$2:$C$313&amp;D_技能表CD!$E$2:$E$313,D_技能表CD!$L$2:$L$313),2,FALSE),0)</f>
        <v>0</v>
      </c>
      <c r="BD77">
        <f t="array" aca="1" ref="BD77" ca="1">IFERROR(VLOOKUP(BA$5&amp;$AV77,CHOOSE({1,2},D_技能表CD!$C$2:$C$313&amp;D_技能表CD!$E$2:$E$313,D_技能表CD!$K$2:$K$313),2,FALSE),0)</f>
        <v>0</v>
      </c>
      <c r="BE77">
        <f t="array" ref="BE77">IFERROR(VLOOKUP(BE$5&amp;$AV77,CHOOSE({1,2},D_技能表CD!$C$2:$C$313&amp;D_技能表CD!$E$2:$E$313,D_技能表CD!$I$2:$I$313),2,FALSE),0)</f>
        <v>0</v>
      </c>
      <c r="BF77">
        <f t="array" aca="1" ref="BF77" ca="1">IFERROR(VLOOKUP(BE$5&amp;$AV77,CHOOSE({1,2},D_技能表CD!$C$2:$C$313&amp;D_技能表CD!$E$2:$E$313,D_技能表CD!$H$2:$H$313),2,FALSE),0)</f>
        <v>0</v>
      </c>
      <c r="BG77">
        <f t="array" aca="1" ref="BG77" ca="1">IFERROR(VLOOKUP(BE$5&amp;$AV77,CHOOSE({1,2},D_技能表CD!$C$2:$C$313&amp;D_技能表CD!$E$2:$E$313,D_技能表CD!$L$2:$L$313),2,FALSE),0)</f>
        <v>0</v>
      </c>
      <c r="BH77">
        <f t="array" aca="1" ref="BH77" ca="1">IFERROR(VLOOKUP(BE$5&amp;$AV77,CHOOSE({1,2},D_技能表CD!$C$2:$C$313&amp;D_技能表CD!$E$2:$E$313,D_技能表CD!$K$2:$K$313),2,FALSE),0)</f>
        <v>0</v>
      </c>
      <c r="BI77">
        <f t="array" ref="BI77">IFERROR(VLOOKUP(BI$5&amp;$AV77,CHOOSE({1,2},D_技能表CD!$C$2:$C$313&amp;D_技能表CD!$E$2:$E$313,D_技能表CD!$I$2:$I$313),2,FALSE),0)</f>
        <v>23</v>
      </c>
      <c r="BJ77">
        <f t="array" aca="1" ref="BJ77" ca="1">IFERROR(VLOOKUP(BI$5&amp;$AV77,CHOOSE({1,2},D_技能表CD!$C$2:$C$313&amp;D_技能表CD!$E$2:$E$313,D_技能表CD!$H$2:$H$313),2,FALSE),0)</f>
        <v>176150</v>
      </c>
      <c r="BK77">
        <f t="array" aca="1" ref="BK77" ca="1">IFERROR(VLOOKUP(BI$5&amp;$AV77,CHOOSE({1,2},D_技能表CD!$C$2:$C$313&amp;D_技能表CD!$E$2:$E$313,D_技能表CD!$L$2:$L$313),2,FALSE),0)</f>
        <v>505</v>
      </c>
      <c r="BL77">
        <f t="array" aca="1" ref="BL77" ca="1">IFERROR(VLOOKUP(BI$5&amp;$AV77,CHOOSE({1,2},D_技能表CD!$C$2:$C$313&amp;D_技能表CD!$E$2:$E$313,D_技能表CD!$K$2:$K$313),2,FALSE),0)</f>
        <v>1047</v>
      </c>
    </row>
    <row r="78" spans="1:64" x14ac:dyDescent="0.15">
      <c r="A78">
        <f t="shared" ca="1" si="2"/>
        <v>32083972</v>
      </c>
      <c r="B78" s="33">
        <f ca="1">SUM($E$7:E78,$I$7:I78,$M$7:M78,$Q$7:Q78,$U$7:U78,$Y$7:Y78,$AC$7:AC78,$AG$7:AG78,$AK$7:AK78,$AO$7:AO78)</f>
        <v>28379172</v>
      </c>
      <c r="C78">
        <v>72</v>
      </c>
      <c r="D78">
        <f t="array" aca="1" ref="D78" ca="1">IFERROR(VLOOKUP($D$5&amp;C78,CHOOSE({1,2},D_技能表!$C$2:$C$1210&amp;D_技能表!$E$2:$E$1210,D_技能表!$I$2:$I$1210),2,FALSE),0)</f>
        <v>45</v>
      </c>
      <c r="E78">
        <f t="array" aca="1" ref="E78" ca="1">IFERROR(VLOOKUP($D$5&amp;$C78,CHOOSE({1,2},D_技能表!$C$2:$C$1210&amp;D_技能表!$E$2:$E$1210,D_技能表!$N$2:$N$1210),2,FALSE),0)</f>
        <v>566775</v>
      </c>
      <c r="F78">
        <f t="array" aca="1" ref="F78" ca="1">IFERROR(VLOOKUP($D$5&amp;$C78,CHOOSE({1,2},D_技能表!$C$2:$C$1210&amp;D_技能表!$E$2:$E$1210,D_技能表!$W$2:$W$1210),2,FALSE),0)</f>
        <v>165</v>
      </c>
      <c r="G78">
        <f t="array" aca="1" ref="G78" ca="1">IFERROR(VLOOKUP($D$5&amp;$C78,CHOOSE({1,2},D_技能表!$C$2:$C$1210&amp;D_技能表!$E$2:$E$1210,D_技能表!$Z$2:$Z$1210),2,FALSE),0)</f>
        <v>66</v>
      </c>
      <c r="H78">
        <f t="array" aca="1" ref="H78" ca="1">IFERROR(VLOOKUP($H$5&amp;$C78,CHOOSE({1,2},D_技能表!$C$2:$C$1210&amp;D_技能表!$E$2:$E$1210,D_技能表!$I$2:$I$1210),2,FALSE),0)</f>
        <v>45</v>
      </c>
      <c r="I78">
        <f t="array" aca="1" ref="I78" ca="1">IFERROR(VLOOKUP($H$5&amp;$C78,CHOOSE({1,2},D_技能表!$C$2:$C$1210&amp;D_技能表!$E$2:$E$1210,D_技能表!$N$2:$N$1210),2,FALSE),0)</f>
        <v>247320</v>
      </c>
      <c r="J78">
        <f t="array" aca="1" ref="J78" ca="1">IFERROR(VLOOKUP($H$5&amp;$C78,CHOOSE({1,2},D_技能表!$C$2:$C$1210&amp;D_技能表!$E$2:$E$1210,D_技能表!$W$2:$W$1210),2,FALSE),0)</f>
        <v>72</v>
      </c>
      <c r="K78">
        <f t="array" aca="1" ref="K78" ca="1">IFERROR(VLOOKUP($H$5&amp;$C78,CHOOSE({1,2},D_技能表!$C$2:$C$1210&amp;D_技能表!$E$2:$E$1210,D_技能表!$Z$2:$Z$1210),2,FALSE),0)</f>
        <v>29</v>
      </c>
      <c r="L78">
        <f t="array" aca="1" ref="L78" ca="1">IFERROR(VLOOKUP($L$5&amp;$C78,CHOOSE({1,2},D_技能表!$C$2:$C$1210&amp;D_技能表!$E$2:$E$1210,D_技能表!$I$2:$I$1210),2,FALSE),0)</f>
        <v>45</v>
      </c>
      <c r="M78">
        <f t="array" aca="1" ref="M78" ca="1">IFERROR(VLOOKUP($L$5&amp;$C78,CHOOSE({1,2},D_技能表!$C$2:$C$1210&amp;D_技能表!$E$2:$E$1210,D_技能表!$N$2:$N$1210),2,FALSE),0)</f>
        <v>247320</v>
      </c>
      <c r="N78">
        <f t="array" aca="1" ref="N78" ca="1">IFERROR(VLOOKUP($L$5&amp;$C78,CHOOSE({1,2},D_技能表!$C$2:$C$1210&amp;D_技能表!$E$2:$E$1210,D_技能表!$W$2:$W$1210),2,FALSE),0)</f>
        <v>72</v>
      </c>
      <c r="O78">
        <f t="array" aca="1" ref="O78" ca="1">IFERROR(VLOOKUP($L$5&amp;$C78,CHOOSE({1,2},D_技能表!$C$2:$C$1210&amp;D_技能表!$E$2:$E$1210,D_技能表!$Z$2:$Z$1210),2,FALSE),0)</f>
        <v>29</v>
      </c>
      <c r="P78">
        <f t="array" aca="1" ref="P78" ca="1">IFERROR(VLOOKUP($P$5&amp;$C78,CHOOSE({1,2},D_技能表!$C$2:$C$1210&amp;D_技能表!$E$2:$E$1210,D_技能表!$I$2:$I$1210),2,FALSE),0)</f>
        <v>0</v>
      </c>
      <c r="Q78">
        <f t="array" aca="1" ref="Q78" ca="1">IFERROR(VLOOKUP($P$5&amp;$C78,CHOOSE({1,2},D_技能表!$C$2:$C$1210&amp;D_技能表!$E$2:$E$1210,D_技能表!$N$2:$N$1210),2,FALSE),0)</f>
        <v>0</v>
      </c>
      <c r="R78">
        <f t="array" aca="1" ref="R78" ca="1">IFERROR(VLOOKUP($P$5&amp;$C78,CHOOSE({1,2},D_技能表!$C$2:$C$1210&amp;D_技能表!$E$2:$E$1210,D_技能表!$W$2:$W$1210),2,FALSE),0)</f>
        <v>0</v>
      </c>
      <c r="S78">
        <f t="array" aca="1" ref="S78" ca="1">IFERROR(VLOOKUP($P$5&amp;$C78,CHOOSE({1,2},D_技能表!$C$2:$C$1210&amp;D_技能表!$E$2:$E$1210,D_技能表!$Z$2:$Z$1210),2,FALSE),0)</f>
        <v>0</v>
      </c>
      <c r="T78">
        <f t="array" aca="1" ref="T78" ca="1">IFERROR(VLOOKUP($T$5&amp;$C78,CHOOSE({1,2},D_技能表!$C$2:$C$1210&amp;D_技能表!$E$2:$E$1210,D_技能表!$I$2:$I$1210),2,FALSE),0)</f>
        <v>0</v>
      </c>
      <c r="U78">
        <f t="array" aca="1" ref="U78" ca="1">IFERROR(VLOOKUP($T$5&amp;$C78,CHOOSE({1,2},D_技能表!$C$2:$C$1210&amp;D_技能表!$E$2:$E$1210,D_技能表!$N$2:$N$1210),2,FALSE),0)</f>
        <v>0</v>
      </c>
      <c r="V78">
        <f t="array" aca="1" ref="V78" ca="1">IFERROR(VLOOKUP($T$5&amp;$C78,CHOOSE({1,2},D_技能表!$C$2:$C$1210&amp;D_技能表!$E$2:$E$1210,D_技能表!$W$2:$W$1210),2,FALSE),0)</f>
        <v>0</v>
      </c>
      <c r="W78">
        <f t="array" aca="1" ref="W78" ca="1">IFERROR(VLOOKUP($T$5&amp;$C78,CHOOSE({1,2},D_技能表!$C$2:$C$1210&amp;D_技能表!$E$2:$E$1210,D_技能表!$Z$2:$Z$1210),2,FALSE),0)</f>
        <v>0</v>
      </c>
      <c r="X78">
        <f t="array" aca="1" ref="X78" ca="1">IFERROR(VLOOKUP($X$5&amp;$C78,CHOOSE({1,2},D_技能表!$C$2:$C$1210&amp;D_技能表!$E$2:$E$1210,D_技能表!$I$2:$I$1210),2,FALSE),0)</f>
        <v>0</v>
      </c>
      <c r="Y78">
        <f t="array" aca="1" ref="Y78" ca="1">IFERROR(VLOOKUP($X$5&amp;$C78,CHOOSE({1,2},D_技能表!$C$2:$C$1210&amp;D_技能表!$E$2:$E$1210,D_技能表!$N$2:$N$1210),2,FALSE),0)</f>
        <v>0</v>
      </c>
      <c r="Z78">
        <f t="array" aca="1" ref="Z78" ca="1">IFERROR(VLOOKUP($X$5&amp;$C78,CHOOSE({1,2},D_技能表!$C$2:$C$1210&amp;D_技能表!$E$2:$E$1210,D_技能表!$W$2:$W$1210),2,FALSE),0)</f>
        <v>0</v>
      </c>
      <c r="AA78">
        <f t="array" aca="1" ref="AA78" ca="1">IFERROR(VLOOKUP($X$5&amp;$C78,CHOOSE({1,2},D_技能表!$C$2:$C$1210&amp;D_技能表!$E$2:$E$1210,D_技能表!$Z$2:$Z$1210),2,FALSE),0)</f>
        <v>0</v>
      </c>
      <c r="AB78">
        <f t="array" aca="1" ref="AB78" ca="1">IFERROR(VLOOKUP($AB$5&amp;$C78,CHOOSE({1,2},D_技能表!$C$2:$C$1210&amp;D_技能表!$E$2:$E$1210,D_技能表!$I$2:$I$1210),2,FALSE),0)</f>
        <v>0</v>
      </c>
      <c r="AC78">
        <f t="array" aca="1" ref="AC78" ca="1">IFERROR(VLOOKUP($AB$5&amp;$C78,CHOOSE({1,2},D_技能表!$C$2:$C$1210&amp;D_技能表!$E$2:$E$1210,D_技能表!$N$2:$N$1210),2,FALSE),0)</f>
        <v>0</v>
      </c>
      <c r="AD78">
        <f t="array" aca="1" ref="AD78" ca="1">IFERROR(VLOOKUP($AB$5&amp;$C78,CHOOSE({1,2},D_技能表!$C$2:$C$1210&amp;D_技能表!$E$2:$E$1210,D_技能表!$W$2:$W$1210),2,FALSE),0)</f>
        <v>0</v>
      </c>
      <c r="AE78">
        <f t="array" aca="1" ref="AE78" ca="1">IFERROR(VLOOKUP($AB$5&amp;$C78,CHOOSE({1,2},D_技能表!$C$2:$C$1210&amp;D_技能表!$E$2:$E$1210,D_技能表!$Z$2:$Z$1210),2,FALSE),0)</f>
        <v>0</v>
      </c>
      <c r="AF78">
        <f t="array" aca="1" ref="AF78" ca="1">IFERROR(VLOOKUP($AF$5&amp;$C78,CHOOSE({1,2},D_技能表!$C$2:$C$1210&amp;D_技能表!$E$2:$E$1210,D_技能表!$I$2:$I$1210),2,FALSE),0)</f>
        <v>0</v>
      </c>
      <c r="AG78">
        <f t="array" aca="1" ref="AG78" ca="1">IFERROR(VLOOKUP($AF$5&amp;$C78,CHOOSE({1,2},D_技能表!$C$2:$C$1210&amp;D_技能表!$E$2:$E$1210,D_技能表!$N$2:$N$1210),2,FALSE),0)</f>
        <v>0</v>
      </c>
      <c r="AH78">
        <f t="array" aca="1" ref="AH78" ca="1">IFERROR(VLOOKUP($AF$5&amp;$C78,CHOOSE({1,2},D_技能表!$C$2:$C$1210&amp;D_技能表!$E$2:$E$1210,D_技能表!$W$2:$W$1210),2,FALSE),0)</f>
        <v>0</v>
      </c>
      <c r="AI78">
        <f t="array" aca="1" ref="AI78" ca="1">IFERROR(VLOOKUP($AF$5&amp;$C78,CHOOSE({1,2},D_技能表!$C$2:$C$1210&amp;D_技能表!$E$2:$E$1210,D_技能表!$Z$2:$Z$1210),2,FALSE),0)</f>
        <v>0</v>
      </c>
      <c r="AJ78">
        <f t="array" aca="1" ref="AJ78" ca="1">IFERROR(VLOOKUP($AJ$5&amp;$C78,CHOOSE({1,2},D_技能表!$C$2:$C$1210&amp;D_技能表!$E$2:$E$1210,D_技能表!$I$2:$I$1210),2,FALSE),0)</f>
        <v>44</v>
      </c>
      <c r="AK78">
        <f t="array" aca="1" ref="AK78" ca="1">IFERROR(VLOOKUP($AJ$5&amp;$C78,CHOOSE({1,2},D_技能表!$C$2:$C$1210&amp;D_技能表!$E$2:$E$1210,D_技能表!$N$2:$N$1210),2,FALSE),0)</f>
        <v>216405</v>
      </c>
      <c r="AL78">
        <f t="array" aca="1" ref="AL78" ca="1">IFERROR(VLOOKUP($AJ$5&amp;$C78,CHOOSE({1,2},D_技能表!$C$2:$C$1210&amp;D_技能表!$E$2:$E$1210,D_技能表!$W$2:$W$1210),2,FALSE),0)</f>
        <v>63</v>
      </c>
      <c r="AM78">
        <f t="array" aca="1" ref="AM78" ca="1">IFERROR(VLOOKUP($AJ$5&amp;$C78,CHOOSE({1,2},D_技能表!$C$2:$C$1210&amp;D_技能表!$E$2:$E$1210,D_技能表!$Z$2:$Z$1210),2,FALSE),0)</f>
        <v>26</v>
      </c>
      <c r="AN78">
        <f t="array" aca="1" ref="AN78" ca="1">IFERROR(VLOOKUP($AN$5&amp;$C78,CHOOSE({1,2},D_技能表!$C$2:$C$1210&amp;D_技能表!$E$2:$E$1210,D_技能表!$I$2:$I$1210),2,FALSE),0)</f>
        <v>44</v>
      </c>
      <c r="AO78">
        <f t="array" aca="1" ref="AO78" ca="1">IFERROR(VLOOKUP($AN$5&amp;$C78,CHOOSE({1,2},D_技能表!$C$2:$C$1210&amp;D_技能表!$E$2:$E$1210,D_技能表!$N$2:$N$1210),2,FALSE),0)</f>
        <v>395025</v>
      </c>
      <c r="AP78">
        <f t="array" aca="1" ref="AP78" ca="1">IFERROR(VLOOKUP($AN$5&amp;$C78,CHOOSE({1,2},D_技能表!$C$2:$C$1210&amp;D_技能表!$E$2:$E$1210,D_技能表!$W$2:$W$1210),2,FALSE),0)</f>
        <v>115</v>
      </c>
      <c r="AQ78">
        <f t="array" aca="1" ref="AQ78" ca="1">IFERROR(VLOOKUP($AN$5&amp;$C78,CHOOSE({1,2},D_技能表!$C$2:$C$1210&amp;D_技能表!$E$2:$E$1210,D_技能表!$Z$2:$Z$1210),2,FALSE),0)</f>
        <v>46</v>
      </c>
      <c r="AR78" s="11">
        <f ca="1">SUM($G$7:G79,$K$7:K79,$O$7:O79,$S$7:S79,$W$7:W79,$AA$7:AA79,$AE$7:AE79,$AI$7:AI79,$AM$7:AM79,$AQ$7:AQ79)</f>
        <v>5262</v>
      </c>
      <c r="AS78">
        <f ca="1">SUM($F$7:F79,$J$7:J79,$N$7:N79,$R$7:R79,$V$7:V79,$Z$7:Z79,$AD$7:AD79,$AH$7:AH79,$AL$7:AL79,$AP$7:AP79)</f>
        <v>14374</v>
      </c>
      <c r="AT78">
        <f t="shared" ca="1" si="3"/>
        <v>487</v>
      </c>
      <c r="AU78" s="33">
        <f ca="1">SUM($AX$7:AX78,$BB$7:BB78,$BF$7:BF78,$BJ$7:BJ78)</f>
        <v>3704800</v>
      </c>
      <c r="AV78">
        <v>72</v>
      </c>
      <c r="AW78">
        <f t="array" ref="AW78">IFERROR(VLOOKUP(AW$5&amp;$AV78,CHOOSE({1,2},D_技能表CD!$C$2:$C$313&amp;D_技能表CD!$E$2:$E$313,D_技能表CD!$I$2:$I$313),2,FALSE),0)</f>
        <v>0</v>
      </c>
      <c r="AX78">
        <f t="array" aca="1" ref="AX78" ca="1">IFERROR(VLOOKUP(AW$5&amp;$AV78,CHOOSE({1,2},D_技能表CD!$C$2:$C$313&amp;D_技能表CD!$E$2:$E$313,D_技能表CD!$H$2:$H$313),2,FALSE),0)</f>
        <v>0</v>
      </c>
      <c r="AY78">
        <f t="array" aca="1" ref="AY78" ca="1">IFERROR(VLOOKUP(AW$5&amp;$AV78,CHOOSE({1,2},D_技能表CD!$C$2:$C$313&amp;D_技能表CD!$E$2:$E$313,D_技能表CD!$L$2:$L$313),2,FALSE),0)</f>
        <v>0</v>
      </c>
      <c r="AZ78">
        <f t="array" aca="1" ref="AZ78" ca="1">IFERROR(VLOOKUP(AW$5&amp;$AV78,CHOOSE({1,2},D_技能表CD!$C$2:$C$313&amp;D_技能表CD!$E$2:$E$313,D_技能表CD!$K$2:$K$313),2,FALSE),0)</f>
        <v>0</v>
      </c>
      <c r="BA78">
        <f t="array" ref="BA78">IFERROR(VLOOKUP(BA$5&amp;$AV78,CHOOSE({1,2},D_技能表CD!$C$2:$C$313&amp;D_技能表CD!$E$2:$E$313,D_技能表CD!$I$2:$I$313),2,FALSE),0)</f>
        <v>24</v>
      </c>
      <c r="BB78">
        <f t="array" aca="1" ref="BB78" ca="1">IFERROR(VLOOKUP(BA$5&amp;$AV78,CHOOSE({1,2},D_技能表CD!$C$2:$C$313&amp;D_技能表CD!$E$2:$E$313,D_技能表CD!$H$2:$H$313),2,FALSE),0)</f>
        <v>210500</v>
      </c>
      <c r="BC78">
        <f t="array" aca="1" ref="BC78" ca="1">IFERROR(VLOOKUP(BA$5&amp;$AV78,CHOOSE({1,2},D_技能表CD!$C$2:$C$313&amp;D_技能表CD!$E$2:$E$313,D_技能表CD!$L$2:$L$313),2,FALSE),0)</f>
        <v>600</v>
      </c>
      <c r="BD78">
        <f t="array" aca="1" ref="BD78" ca="1">IFERROR(VLOOKUP(BA$5&amp;$AV78,CHOOSE({1,2},D_技能表CD!$C$2:$C$313&amp;D_技能表CD!$E$2:$E$313,D_技能表CD!$K$2:$K$313),2,FALSE),0)</f>
        <v>1286</v>
      </c>
      <c r="BE78">
        <f t="array" ref="BE78">IFERROR(VLOOKUP(BE$5&amp;$AV78,CHOOSE({1,2},D_技能表CD!$C$2:$C$313&amp;D_技能表CD!$E$2:$E$313,D_技能表CD!$I$2:$I$313),2,FALSE),0)</f>
        <v>0</v>
      </c>
      <c r="BF78">
        <f t="array" aca="1" ref="BF78" ca="1">IFERROR(VLOOKUP(BE$5&amp;$AV78,CHOOSE({1,2},D_技能表CD!$C$2:$C$313&amp;D_技能表CD!$E$2:$E$313,D_技能表CD!$H$2:$H$313),2,FALSE),0)</f>
        <v>0</v>
      </c>
      <c r="BG78">
        <f t="array" aca="1" ref="BG78" ca="1">IFERROR(VLOOKUP(BE$5&amp;$AV78,CHOOSE({1,2},D_技能表CD!$C$2:$C$313&amp;D_技能表CD!$E$2:$E$313,D_技能表CD!$L$2:$L$313),2,FALSE),0)</f>
        <v>0</v>
      </c>
      <c r="BH78">
        <f t="array" aca="1" ref="BH78" ca="1">IFERROR(VLOOKUP(BE$5&amp;$AV78,CHOOSE({1,2},D_技能表CD!$C$2:$C$313&amp;D_技能表CD!$E$2:$E$313,D_技能表CD!$K$2:$K$313),2,FALSE),0)</f>
        <v>0</v>
      </c>
      <c r="BI78">
        <f t="array" ref="BI78">IFERROR(VLOOKUP(BI$5&amp;$AV78,CHOOSE({1,2},D_技能表CD!$C$2:$C$313&amp;D_技能表CD!$E$2:$E$313,D_技能表CD!$I$2:$I$313),2,FALSE),0)</f>
        <v>0</v>
      </c>
      <c r="BJ78">
        <f t="array" aca="1" ref="BJ78" ca="1">IFERROR(VLOOKUP(BI$5&amp;$AV78,CHOOSE({1,2},D_技能表CD!$C$2:$C$313&amp;D_技能表CD!$E$2:$E$313,D_技能表CD!$H$2:$H$313),2,FALSE),0)</f>
        <v>0</v>
      </c>
      <c r="BK78">
        <f t="array" aca="1" ref="BK78" ca="1">IFERROR(VLOOKUP(BI$5&amp;$AV78,CHOOSE({1,2},D_技能表CD!$C$2:$C$313&amp;D_技能表CD!$E$2:$E$313,D_技能表CD!$L$2:$L$313),2,FALSE),0)</f>
        <v>0</v>
      </c>
      <c r="BL78">
        <f t="array" aca="1" ref="BL78" ca="1">IFERROR(VLOOKUP(BI$5&amp;$AV78,CHOOSE({1,2},D_技能表CD!$C$2:$C$313&amp;D_技能表CD!$E$2:$E$313,D_技能表CD!$K$2:$K$313),2,FALSE),0)</f>
        <v>0</v>
      </c>
    </row>
    <row r="79" spans="1:64" x14ac:dyDescent="0.15">
      <c r="A79">
        <f t="shared" ca="1" si="2"/>
        <v>34719194</v>
      </c>
      <c r="B79" s="33">
        <f ca="1">SUM($E$7:E79,$I$7:I79,$M$7:M79,$Q$7:Q79,$U$7:U79,$Y$7:Y79,$AC$7:AC79,$AG$7:AG79,$AK$7:AK79,$AO$7:AO79)</f>
        <v>30792894</v>
      </c>
      <c r="C79">
        <v>73</v>
      </c>
      <c r="D79">
        <f t="array" aca="1" ref="D79" ca="1">IFERROR(VLOOKUP($D$5&amp;C79,CHOOSE({1,2},D_技能表!$C$2:$C$1210&amp;D_技能表!$E$2:$E$1210,D_技能表!$I$2:$I$1210),2,FALSE),0)</f>
        <v>0</v>
      </c>
      <c r="E79">
        <f t="array" aca="1" ref="E79" ca="1">IFERROR(VLOOKUP($D$5&amp;$C79,CHOOSE({1,2},D_技能表!$C$2:$C$1210&amp;D_技能表!$E$2:$E$1210,D_技能表!$N$2:$N$1210),2,FALSE),0)</f>
        <v>0</v>
      </c>
      <c r="F79">
        <f t="array" aca="1" ref="F79" ca="1">IFERROR(VLOOKUP($D$5&amp;$C79,CHOOSE({1,2},D_技能表!$C$2:$C$1210&amp;D_技能表!$E$2:$E$1210,D_技能表!$W$2:$W$1210),2,FALSE),0)</f>
        <v>0</v>
      </c>
      <c r="G79">
        <f t="array" aca="1" ref="G79" ca="1">IFERROR(VLOOKUP($D$5&amp;$C79,CHOOSE({1,2},D_技能表!$C$2:$C$1210&amp;D_技能表!$E$2:$E$1210,D_技能表!$Z$2:$Z$1210),2,FALSE),0)</f>
        <v>0</v>
      </c>
      <c r="H79">
        <f t="array" aca="1" ref="H79" ca="1">IFERROR(VLOOKUP($H$5&amp;$C79,CHOOSE({1,2},D_技能表!$C$2:$C$1210&amp;D_技能表!$E$2:$E$1210,D_技能表!$I$2:$I$1210),2,FALSE),0)</f>
        <v>0</v>
      </c>
      <c r="I79">
        <f t="array" aca="1" ref="I79" ca="1">IFERROR(VLOOKUP($H$5&amp;$C79,CHOOSE({1,2},D_技能表!$C$2:$C$1210&amp;D_技能表!$E$2:$E$1210,D_技能表!$N$2:$N$1210),2,FALSE),0)</f>
        <v>0</v>
      </c>
      <c r="J79">
        <f t="array" aca="1" ref="J79" ca="1">IFERROR(VLOOKUP($H$5&amp;$C79,CHOOSE({1,2},D_技能表!$C$2:$C$1210&amp;D_技能表!$E$2:$E$1210,D_技能表!$W$2:$W$1210),2,FALSE),0)</f>
        <v>0</v>
      </c>
      <c r="K79">
        <f t="array" aca="1" ref="K79" ca="1">IFERROR(VLOOKUP($H$5&amp;$C79,CHOOSE({1,2},D_技能表!$C$2:$C$1210&amp;D_技能表!$E$2:$E$1210,D_技能表!$Z$2:$Z$1210),2,FALSE),0)</f>
        <v>0</v>
      </c>
      <c r="L79">
        <f t="array" aca="1" ref="L79" ca="1">IFERROR(VLOOKUP($L$5&amp;$C79,CHOOSE({1,2},D_技能表!$C$2:$C$1210&amp;D_技能表!$E$2:$E$1210,D_技能表!$I$2:$I$1210),2,FALSE),0)</f>
        <v>0</v>
      </c>
      <c r="M79">
        <f t="array" aca="1" ref="M79" ca="1">IFERROR(VLOOKUP($L$5&amp;$C79,CHOOSE({1,2},D_技能表!$C$2:$C$1210&amp;D_技能表!$E$2:$E$1210,D_技能表!$N$2:$N$1210),2,FALSE),0)</f>
        <v>0</v>
      </c>
      <c r="N79">
        <f t="array" aca="1" ref="N79" ca="1">IFERROR(VLOOKUP($L$5&amp;$C79,CHOOSE({1,2},D_技能表!$C$2:$C$1210&amp;D_技能表!$E$2:$E$1210,D_技能表!$W$2:$W$1210),2,FALSE),0)</f>
        <v>0</v>
      </c>
      <c r="O79">
        <f t="array" aca="1" ref="O79" ca="1">IFERROR(VLOOKUP($L$5&amp;$C79,CHOOSE({1,2},D_技能表!$C$2:$C$1210&amp;D_技能表!$E$2:$E$1210,D_技能表!$Z$2:$Z$1210),2,FALSE),0)</f>
        <v>0</v>
      </c>
      <c r="P79">
        <f t="array" aca="1" ref="P79" ca="1">IFERROR(VLOOKUP($P$5&amp;$C79,CHOOSE({1,2},D_技能表!$C$2:$C$1210&amp;D_技能表!$E$2:$E$1210,D_技能表!$I$2:$I$1210),2,FALSE),0)</f>
        <v>45</v>
      </c>
      <c r="Q79">
        <f t="array" aca="1" ref="Q79" ca="1">IFERROR(VLOOKUP($P$5&amp;$C79,CHOOSE({1,2},D_技能表!$C$2:$C$1210&amp;D_技能表!$E$2:$E$1210,D_技能表!$N$2:$N$1210),2,FALSE),0)</f>
        <v>254448</v>
      </c>
      <c r="R79">
        <f t="array" aca="1" ref="R79" ca="1">IFERROR(VLOOKUP($P$5&amp;$C79,CHOOSE({1,2},D_技能表!$C$2:$C$1210&amp;D_技能表!$E$2:$E$1210,D_技能表!$W$2:$W$1210),2,FALSE),0)</f>
        <v>72</v>
      </c>
      <c r="S79">
        <f t="array" aca="1" ref="S79" ca="1">IFERROR(VLOOKUP($P$5&amp;$C79,CHOOSE({1,2},D_技能表!$C$2:$C$1210&amp;D_技能表!$E$2:$E$1210,D_技能表!$Z$2:$Z$1210),2,FALSE),0)</f>
        <v>29</v>
      </c>
      <c r="T79">
        <f t="array" aca="1" ref="T79" ca="1">IFERROR(VLOOKUP($T$5&amp;$C79,CHOOSE({1,2},D_技能表!$C$2:$C$1210&amp;D_技能表!$E$2:$E$1210,D_技能表!$I$2:$I$1210),2,FALSE),0)</f>
        <v>45</v>
      </c>
      <c r="U79">
        <f t="array" aca="1" ref="U79" ca="1">IFERROR(VLOOKUP($T$5&amp;$C79,CHOOSE({1,2},D_技能表!$C$2:$C$1210&amp;D_技能表!$E$2:$E$1210,D_技能表!$N$2:$N$1210),2,FALSE),0)</f>
        <v>420546</v>
      </c>
      <c r="V79">
        <f t="array" aca="1" ref="V79" ca="1">IFERROR(VLOOKUP($T$5&amp;$C79,CHOOSE({1,2},D_技能表!$C$2:$C$1210&amp;D_技能表!$E$2:$E$1210,D_技能表!$W$2:$W$1210),2,FALSE),0)</f>
        <v>119</v>
      </c>
      <c r="W79">
        <f t="array" aca="1" ref="W79" ca="1">IFERROR(VLOOKUP($T$5&amp;$C79,CHOOSE({1,2},D_技能表!$C$2:$C$1210&amp;D_技能表!$E$2:$E$1210,D_技能表!$Z$2:$Z$1210),2,FALSE),0)</f>
        <v>48</v>
      </c>
      <c r="X79">
        <f t="array" aca="1" ref="X79" ca="1">IFERROR(VLOOKUP($X$5&amp;$C79,CHOOSE({1,2},D_技能表!$C$2:$C$1210&amp;D_技能表!$E$2:$E$1210,D_技能表!$I$2:$I$1210),2,FALSE),0)</f>
        <v>45</v>
      </c>
      <c r="Y79">
        <f t="array" aca="1" ref="Y79" ca="1">IFERROR(VLOOKUP($X$5&amp;$C79,CHOOSE({1,2},D_技能表!$C$2:$C$1210&amp;D_技能表!$E$2:$E$1210,D_技能表!$N$2:$N$1210),2,FALSE),0)</f>
        <v>554838</v>
      </c>
      <c r="Z79">
        <f t="array" aca="1" ref="Z79" ca="1">IFERROR(VLOOKUP($X$5&amp;$C79,CHOOSE({1,2},D_技能表!$C$2:$C$1210&amp;D_技能表!$E$2:$E$1210,D_技能表!$W$2:$W$1210),2,FALSE),0)</f>
        <v>157</v>
      </c>
      <c r="AA79">
        <f t="array" aca="1" ref="AA79" ca="1">IFERROR(VLOOKUP($X$5&amp;$C79,CHOOSE({1,2},D_技能表!$C$2:$C$1210&amp;D_技能表!$E$2:$E$1210,D_技能表!$Z$2:$Z$1210),2,FALSE),0)</f>
        <v>63</v>
      </c>
      <c r="AB79">
        <f t="array" aca="1" ref="AB79" ca="1">IFERROR(VLOOKUP($AB$5&amp;$C79,CHOOSE({1,2},D_技能表!$C$2:$C$1210&amp;D_技能表!$E$2:$E$1210,D_技能表!$I$2:$I$1210),2,FALSE),0)</f>
        <v>45</v>
      </c>
      <c r="AC79">
        <f t="array" aca="1" ref="AC79" ca="1">IFERROR(VLOOKUP($AB$5&amp;$C79,CHOOSE({1,2},D_技能表!$C$2:$C$1210&amp;D_技能表!$E$2:$E$1210,D_技能表!$N$2:$N$1210),2,FALSE),0)</f>
        <v>268584</v>
      </c>
      <c r="AD79">
        <f t="array" aca="1" ref="AD79" ca="1">IFERROR(VLOOKUP($AB$5&amp;$C79,CHOOSE({1,2},D_技能表!$C$2:$C$1210&amp;D_技能表!$E$2:$E$1210,D_技能表!$W$2:$W$1210),2,FALSE),0)</f>
        <v>76</v>
      </c>
      <c r="AE79">
        <f t="array" aca="1" ref="AE79" ca="1">IFERROR(VLOOKUP($AB$5&amp;$C79,CHOOSE({1,2},D_技能表!$C$2:$C$1210&amp;D_技能表!$E$2:$E$1210,D_技能表!$Z$2:$Z$1210),2,FALSE),0)</f>
        <v>31</v>
      </c>
      <c r="AF79">
        <f t="array" aca="1" ref="AF79" ca="1">IFERROR(VLOOKUP($AF$5&amp;$C79,CHOOSE({1,2},D_技能表!$C$2:$C$1210&amp;D_技能表!$E$2:$E$1210,D_技能表!$I$2:$I$1210),2,FALSE),0)</f>
        <v>45</v>
      </c>
      <c r="AG79">
        <f t="array" aca="1" ref="AG79" ca="1">IFERROR(VLOOKUP($AF$5&amp;$C79,CHOOSE({1,2},D_技能表!$C$2:$C$1210&amp;D_技能表!$E$2:$E$1210,D_技能表!$N$2:$N$1210),2,FALSE),0)</f>
        <v>240312</v>
      </c>
      <c r="AH79">
        <f t="array" aca="1" ref="AH79" ca="1">IFERROR(VLOOKUP($AF$5&amp;$C79,CHOOSE({1,2},D_技能表!$C$2:$C$1210&amp;D_技能表!$E$2:$E$1210,D_技能表!$W$2:$W$1210),2,FALSE),0)</f>
        <v>68</v>
      </c>
      <c r="AI79">
        <f t="array" aca="1" ref="AI79" ca="1">IFERROR(VLOOKUP($AF$5&amp;$C79,CHOOSE({1,2},D_技能表!$C$2:$C$1210&amp;D_技能表!$E$2:$E$1210,D_技能表!$Z$2:$Z$1210),2,FALSE),0)</f>
        <v>28</v>
      </c>
      <c r="AJ79">
        <f t="array" aca="1" ref="AJ79" ca="1">IFERROR(VLOOKUP($AJ$5&amp;$C79,CHOOSE({1,2},D_技能表!$C$2:$C$1210&amp;D_技能表!$E$2:$E$1210,D_技能表!$I$2:$I$1210),2,FALSE),0)</f>
        <v>45</v>
      </c>
      <c r="AK79">
        <f t="array" aca="1" ref="AK79" ca="1">IFERROR(VLOOKUP($AJ$5&amp;$C79,CHOOSE({1,2},D_技能表!$C$2:$C$1210&amp;D_技能表!$E$2:$E$1210,D_技能表!$N$2:$N$1210),2,FALSE),0)</f>
        <v>240312</v>
      </c>
      <c r="AL79">
        <f t="array" aca="1" ref="AL79" ca="1">IFERROR(VLOOKUP($AJ$5&amp;$C79,CHOOSE({1,2},D_技能表!$C$2:$C$1210&amp;D_技能表!$E$2:$E$1210,D_技能表!$W$2:$W$1210),2,FALSE),0)</f>
        <v>68</v>
      </c>
      <c r="AM79">
        <f t="array" aca="1" ref="AM79" ca="1">IFERROR(VLOOKUP($AJ$5&amp;$C79,CHOOSE({1,2},D_技能表!$C$2:$C$1210&amp;D_技能表!$E$2:$E$1210,D_技能表!$Z$2:$Z$1210),2,FALSE),0)</f>
        <v>28</v>
      </c>
      <c r="AN79">
        <f t="array" aca="1" ref="AN79" ca="1">IFERROR(VLOOKUP($AN$5&amp;$C79,CHOOSE({1,2},D_技能表!$C$2:$C$1210&amp;D_技能表!$E$2:$E$1210,D_技能表!$I$2:$I$1210),2,FALSE),0)</f>
        <v>45</v>
      </c>
      <c r="AO79">
        <f t="array" aca="1" ref="AO79" ca="1">IFERROR(VLOOKUP($AN$5&amp;$C79,CHOOSE({1,2},D_技能表!$C$2:$C$1210&amp;D_技能表!$E$2:$E$1210,D_技能表!$N$2:$N$1210),2,FALSE),0)</f>
        <v>434682</v>
      </c>
      <c r="AP79">
        <f t="array" aca="1" ref="AP79" ca="1">IFERROR(VLOOKUP($AN$5&amp;$C79,CHOOSE({1,2},D_技能表!$C$2:$C$1210&amp;D_技能表!$E$2:$E$1210,D_技能表!$W$2:$W$1210),2,FALSE),0)</f>
        <v>123</v>
      </c>
      <c r="AQ79">
        <f t="array" aca="1" ref="AQ79" ca="1">IFERROR(VLOOKUP($AN$5&amp;$C79,CHOOSE({1,2},D_技能表!$C$2:$C$1210&amp;D_技能表!$E$2:$E$1210,D_技能表!$Z$2:$Z$1210),2,FALSE),0)</f>
        <v>50</v>
      </c>
      <c r="AR79" s="11">
        <f ca="1">SUM($G$7:G80,$K$7:K80,$O$7:O80,$S$7:S80,$W$7:W80,$AA$7:AA80,$AE$7:AE80,$AI$7:AI80,$AM$7:AM80,$AQ$7:AQ80)</f>
        <v>5636</v>
      </c>
      <c r="AS79">
        <f ca="1">SUM($F$7:F80,$J$7:J80,$N$7:N80,$R$7:R80,$V$7:V80,$Z$7:Z80,$AD$7:AD80,$AH$7:AH80,$AL$7:AL80,$AP$7:AP80)</f>
        <v>15302</v>
      </c>
      <c r="AT79">
        <f t="shared" ca="1" si="3"/>
        <v>683</v>
      </c>
      <c r="AU79" s="33">
        <f ca="1">SUM($AX$7:AX79,$BB$7:BB79,$BF$7:BF79,$BJ$7:BJ79)</f>
        <v>3926300</v>
      </c>
      <c r="AV79">
        <v>73</v>
      </c>
      <c r="AW79">
        <f t="array" ref="AW79">IFERROR(VLOOKUP(AW$5&amp;$AV79,CHOOSE({1,2},D_技能表CD!$C$2:$C$313&amp;D_技能表CD!$E$2:$E$313,D_技能表CD!$I$2:$I$313),2,FALSE),0)</f>
        <v>25</v>
      </c>
      <c r="AX79">
        <f t="array" aca="1" ref="AX79" ca="1">IFERROR(VLOOKUP(AW$5&amp;$AV79,CHOOSE({1,2},D_技能表CD!$C$2:$C$313&amp;D_技能表CD!$E$2:$E$313,D_技能表CD!$H$2:$H$313),2,FALSE),0)</f>
        <v>127850</v>
      </c>
      <c r="AY79">
        <f t="array" aca="1" ref="AY79" ca="1">IFERROR(VLOOKUP(AW$5&amp;$AV79,CHOOSE({1,2},D_技能表CD!$C$2:$C$313&amp;D_技能表CD!$E$2:$E$313,D_技能表CD!$L$2:$L$313),2,FALSE),0)</f>
        <v>363</v>
      </c>
      <c r="AZ79">
        <f t="array" aca="1" ref="AZ79" ca="1">IFERROR(VLOOKUP(AW$5&amp;$AV79,CHOOSE({1,2},D_技能表CD!$C$2:$C$313&amp;D_技能表CD!$E$2:$E$313,D_技能表CD!$K$2:$K$313),2,FALSE),0)</f>
        <v>804</v>
      </c>
      <c r="BA79">
        <f t="array" ref="BA79">IFERROR(VLOOKUP(BA$5&amp;$AV79,CHOOSE({1,2},D_技能表CD!$C$2:$C$313&amp;D_技能表CD!$E$2:$E$313,D_技能表CD!$I$2:$I$313),2,FALSE),0)</f>
        <v>0</v>
      </c>
      <c r="BB79">
        <f t="array" aca="1" ref="BB79" ca="1">IFERROR(VLOOKUP(BA$5&amp;$AV79,CHOOSE({1,2},D_技能表CD!$C$2:$C$313&amp;D_技能表CD!$E$2:$E$313,D_技能表CD!$H$2:$H$313),2,FALSE),0)</f>
        <v>0</v>
      </c>
      <c r="BC79">
        <f t="array" aca="1" ref="BC79" ca="1">IFERROR(VLOOKUP(BA$5&amp;$AV79,CHOOSE({1,2},D_技能表CD!$C$2:$C$313&amp;D_技能表CD!$E$2:$E$313,D_技能表CD!$L$2:$L$313),2,FALSE),0)</f>
        <v>0</v>
      </c>
      <c r="BD79">
        <f t="array" aca="1" ref="BD79" ca="1">IFERROR(VLOOKUP(BA$5&amp;$AV79,CHOOSE({1,2},D_技能表CD!$C$2:$C$313&amp;D_技能表CD!$E$2:$E$313,D_技能表CD!$K$2:$K$313),2,FALSE),0)</f>
        <v>0</v>
      </c>
      <c r="BE79">
        <f t="array" ref="BE79">IFERROR(VLOOKUP(BE$5&amp;$AV79,CHOOSE({1,2},D_技能表CD!$C$2:$C$313&amp;D_技能表CD!$E$2:$E$313,D_技能表CD!$I$2:$I$313),2,FALSE),0)</f>
        <v>24</v>
      </c>
      <c r="BF79">
        <f t="array" aca="1" ref="BF79" ca="1">IFERROR(VLOOKUP(BE$5&amp;$AV79,CHOOSE({1,2},D_技能表CD!$C$2:$C$313&amp;D_技能表CD!$E$2:$E$313,D_技能表CD!$H$2:$H$313),2,FALSE),0)</f>
        <v>93650</v>
      </c>
      <c r="BG79">
        <f t="array" aca="1" ref="BG79" ca="1">IFERROR(VLOOKUP(BE$5&amp;$AV79,CHOOSE({1,2},D_技能表CD!$C$2:$C$313&amp;D_技能表CD!$E$2:$E$313,D_技能表CD!$L$2:$L$313),2,FALSE),0)</f>
        <v>267</v>
      </c>
      <c r="BH79">
        <f t="array" aca="1" ref="BH79" ca="1">IFERROR(VLOOKUP(BE$5&amp;$AV79,CHOOSE({1,2},D_技能表CD!$C$2:$C$313&amp;D_技能表CD!$E$2:$E$313,D_技能表CD!$K$2:$K$313),2,FALSE),0)</f>
        <v>573</v>
      </c>
      <c r="BI79">
        <f t="array" ref="BI79">IFERROR(VLOOKUP(BI$5&amp;$AV79,CHOOSE({1,2},D_技能表CD!$C$2:$C$313&amp;D_技能表CD!$E$2:$E$313,D_技能表CD!$I$2:$I$313),2,FALSE),0)</f>
        <v>0</v>
      </c>
      <c r="BJ79">
        <f t="array" aca="1" ref="BJ79" ca="1">IFERROR(VLOOKUP(BI$5&amp;$AV79,CHOOSE({1,2},D_技能表CD!$C$2:$C$313&amp;D_技能表CD!$E$2:$E$313,D_技能表CD!$H$2:$H$313),2,FALSE),0)</f>
        <v>0</v>
      </c>
      <c r="BK79">
        <f t="array" aca="1" ref="BK79" ca="1">IFERROR(VLOOKUP(BI$5&amp;$AV79,CHOOSE({1,2},D_技能表CD!$C$2:$C$313&amp;D_技能表CD!$E$2:$E$313,D_技能表CD!$L$2:$L$313),2,FALSE),0)</f>
        <v>0</v>
      </c>
      <c r="BL79">
        <f t="array" aca="1" ref="BL79" ca="1">IFERROR(VLOOKUP(BI$5&amp;$AV79,CHOOSE({1,2},D_技能表CD!$C$2:$C$313&amp;D_技能表CD!$E$2:$E$313,D_技能表CD!$K$2:$K$313),2,FALSE),0)</f>
        <v>0</v>
      </c>
    </row>
    <row r="80" spans="1:64" x14ac:dyDescent="0.15">
      <c r="A80">
        <f t="shared" ca="1" si="2"/>
        <v>38296996</v>
      </c>
      <c r="B80" s="33">
        <f ca="1">SUM($E$7:E80,$I$7:I80,$M$7:M80,$Q$7:Q80,$U$7:U80,$Y$7:Y80,$AC$7:AC80,$AG$7:AG80,$AK$7:AK80,$AO$7:AO80)</f>
        <v>34165246</v>
      </c>
      <c r="C80">
        <v>74</v>
      </c>
      <c r="D80">
        <f t="array" aca="1" ref="D80" ca="1">IFERROR(VLOOKUP($D$5&amp;C80,CHOOSE({1,2},D_技能表!$C$2:$C$1210&amp;D_技能表!$E$2:$E$1210,D_技能表!$I$2:$I$1210),2,FALSE),0)</f>
        <v>46</v>
      </c>
      <c r="E80">
        <f t="array" aca="1" ref="E80" ca="1">IFERROR(VLOOKUP($D$5&amp;$C80,CHOOSE({1,2},D_技能表!$C$2:$C$1210&amp;D_技能表!$E$2:$E$1210,D_技能表!$N$2:$N$1210),2,FALSE),0)</f>
        <v>643218</v>
      </c>
      <c r="F80">
        <f t="array" aca="1" ref="F80" ca="1">IFERROR(VLOOKUP($D$5&amp;$C80,CHOOSE({1,2},D_技能表!$C$2:$C$1210&amp;D_技能表!$E$2:$E$1210,D_技能表!$W$2:$W$1210),2,FALSE),0)</f>
        <v>177</v>
      </c>
      <c r="G80">
        <f t="array" aca="1" ref="G80" ca="1">IFERROR(VLOOKUP($D$5&amp;$C80,CHOOSE({1,2},D_技能表!$C$2:$C$1210&amp;D_技能表!$E$2:$E$1210,D_技能表!$Z$2:$Z$1210),2,FALSE),0)</f>
        <v>71</v>
      </c>
      <c r="H80">
        <f t="array" aca="1" ref="H80" ca="1">IFERROR(VLOOKUP($H$5&amp;$C80,CHOOSE({1,2},D_技能表!$C$2:$C$1210&amp;D_技能表!$E$2:$E$1210,D_技能表!$I$2:$I$1210),2,FALSE),0)</f>
        <v>46</v>
      </c>
      <c r="I80">
        <f t="array" aca="1" ref="I80" ca="1">IFERROR(VLOOKUP($H$5&amp;$C80,CHOOSE({1,2},D_技能表!$C$2:$C$1210&amp;D_技能表!$E$2:$E$1210,D_技能表!$N$2:$N$1210),2,FALSE),0)</f>
        <v>279818</v>
      </c>
      <c r="J80">
        <f t="array" aca="1" ref="J80" ca="1">IFERROR(VLOOKUP($H$5&amp;$C80,CHOOSE({1,2},D_技能表!$C$2:$C$1210&amp;D_技能表!$E$2:$E$1210,D_技能表!$W$2:$W$1210),2,FALSE),0)</f>
        <v>77</v>
      </c>
      <c r="K80">
        <f t="array" aca="1" ref="K80" ca="1">IFERROR(VLOOKUP($H$5&amp;$C80,CHOOSE({1,2},D_技能表!$C$2:$C$1210&amp;D_技能表!$E$2:$E$1210,D_技能表!$Z$2:$Z$1210),2,FALSE),0)</f>
        <v>31</v>
      </c>
      <c r="L80">
        <f t="array" aca="1" ref="L80" ca="1">IFERROR(VLOOKUP($L$5&amp;$C80,CHOOSE({1,2},D_技能表!$C$2:$C$1210&amp;D_技能表!$E$2:$E$1210,D_技能表!$I$2:$I$1210),2,FALSE),0)</f>
        <v>46</v>
      </c>
      <c r="M80">
        <f t="array" aca="1" ref="M80" ca="1">IFERROR(VLOOKUP($L$5&amp;$C80,CHOOSE({1,2},D_技能表!$C$2:$C$1210&amp;D_技能表!$E$2:$E$1210,D_技能表!$N$2:$N$1210),2,FALSE),0)</f>
        <v>279818</v>
      </c>
      <c r="N80">
        <f t="array" aca="1" ref="N80" ca="1">IFERROR(VLOOKUP($L$5&amp;$C80,CHOOSE({1,2},D_技能表!$C$2:$C$1210&amp;D_技能表!$E$2:$E$1210,D_技能表!$W$2:$W$1210),2,FALSE),0)</f>
        <v>77</v>
      </c>
      <c r="O80">
        <f t="array" aca="1" ref="O80" ca="1">IFERROR(VLOOKUP($L$5&amp;$C80,CHOOSE({1,2},D_技能表!$C$2:$C$1210&amp;D_技能表!$E$2:$E$1210,D_技能表!$Z$2:$Z$1210),2,FALSE),0)</f>
        <v>31</v>
      </c>
      <c r="P80">
        <f t="array" aca="1" ref="P80" ca="1">IFERROR(VLOOKUP($P$5&amp;$C80,CHOOSE({1,2},D_技能表!$C$2:$C$1210&amp;D_技能表!$E$2:$E$1210,D_技能表!$I$2:$I$1210),2,FALSE),0)</f>
        <v>46</v>
      </c>
      <c r="Q80">
        <f t="array" aca="1" ref="Q80" ca="1">IFERROR(VLOOKUP($P$5&amp;$C80,CHOOSE({1,2},D_技能表!$C$2:$C$1210&amp;D_技能表!$E$2:$E$1210,D_技能表!$N$2:$N$1210),2,FALSE),0)</f>
        <v>279818</v>
      </c>
      <c r="R80">
        <f t="array" aca="1" ref="R80" ca="1">IFERROR(VLOOKUP($P$5&amp;$C80,CHOOSE({1,2},D_技能表!$C$2:$C$1210&amp;D_技能表!$E$2:$E$1210,D_技能表!$W$2:$W$1210),2,FALSE),0)</f>
        <v>77</v>
      </c>
      <c r="S80">
        <f t="array" aca="1" ref="S80" ca="1">IFERROR(VLOOKUP($P$5&amp;$C80,CHOOSE({1,2},D_技能表!$C$2:$C$1210&amp;D_技能表!$E$2:$E$1210,D_技能表!$Z$2:$Z$1210),2,FALSE),0)</f>
        <v>31</v>
      </c>
      <c r="T80">
        <f t="array" aca="1" ref="T80" ca="1">IFERROR(VLOOKUP($T$5&amp;$C80,CHOOSE({1,2},D_技能表!$C$2:$C$1210&amp;D_技能表!$E$2:$E$1210,D_技能表!$I$2:$I$1210),2,FALSE),0)</f>
        <v>46</v>
      </c>
      <c r="U80">
        <f t="array" aca="1" ref="U80" ca="1">IFERROR(VLOOKUP($T$5&amp;$C80,CHOOSE({1,2},D_技能表!$C$2:$C$1210&amp;D_技能表!$E$2:$E$1210,D_技能表!$N$2:$N$1210),2,FALSE),0)</f>
        <v>461518</v>
      </c>
      <c r="V80">
        <f t="array" aca="1" ref="V80" ca="1">IFERROR(VLOOKUP($T$5&amp;$C80,CHOOSE({1,2},D_技能表!$C$2:$C$1210&amp;D_技能表!$E$2:$E$1210,D_技能表!$W$2:$W$1210),2,FALSE),0)</f>
        <v>127</v>
      </c>
      <c r="W80">
        <f t="array" aca="1" ref="W80" ca="1">IFERROR(VLOOKUP($T$5&amp;$C80,CHOOSE({1,2},D_技能表!$C$2:$C$1210&amp;D_技能表!$E$2:$E$1210,D_技能表!$Z$2:$Z$1210),2,FALSE),0)</f>
        <v>51</v>
      </c>
      <c r="X80">
        <f t="array" aca="1" ref="X80" ca="1">IFERROR(VLOOKUP($X$5&amp;$C80,CHOOSE({1,2},D_技能表!$C$2:$C$1210&amp;D_技能表!$E$2:$E$1210,D_技能表!$I$2:$I$1210),2,FALSE),0)</f>
        <v>46</v>
      </c>
      <c r="Y80">
        <f t="array" aca="1" ref="Y80" ca="1">IFERROR(VLOOKUP($X$5&amp;$C80,CHOOSE({1,2},D_技能表!$C$2:$C$1210&amp;D_技能表!$E$2:$E$1210,D_技能表!$N$2:$N$1210),2,FALSE),0)</f>
        <v>610512</v>
      </c>
      <c r="Z80">
        <f t="array" aca="1" ref="Z80" ca="1">IFERROR(VLOOKUP($X$5&amp;$C80,CHOOSE({1,2},D_技能表!$C$2:$C$1210&amp;D_技能表!$E$2:$E$1210,D_技能表!$W$2:$W$1210),2,FALSE),0)</f>
        <v>168</v>
      </c>
      <c r="AA80">
        <f t="array" aca="1" ref="AA80" ca="1">IFERROR(VLOOKUP($X$5&amp;$C80,CHOOSE({1,2},D_技能表!$C$2:$C$1210&amp;D_技能表!$E$2:$E$1210,D_技能表!$Z$2:$Z$1210),2,FALSE),0)</f>
        <v>68</v>
      </c>
      <c r="AB80">
        <f t="array" aca="1" ref="AB80" ca="1">IFERROR(VLOOKUP($AB$5&amp;$C80,CHOOSE({1,2},D_技能表!$C$2:$C$1210&amp;D_技能表!$E$2:$E$1210,D_技能表!$I$2:$I$1210),2,FALSE),0)</f>
        <v>46</v>
      </c>
      <c r="AC80">
        <f t="array" aca="1" ref="AC80" ca="1">IFERROR(VLOOKUP($AB$5&amp;$C80,CHOOSE({1,2},D_技能表!$C$2:$C$1210&amp;D_技能表!$E$2:$E$1210,D_技能表!$N$2:$N$1210),2,FALSE),0)</f>
        <v>294354</v>
      </c>
      <c r="AD80">
        <f t="array" aca="1" ref="AD80" ca="1">IFERROR(VLOOKUP($AB$5&amp;$C80,CHOOSE({1,2},D_技能表!$C$2:$C$1210&amp;D_技能表!$E$2:$E$1210,D_技能表!$W$2:$W$1210),2,FALSE),0)</f>
        <v>81</v>
      </c>
      <c r="AE80">
        <f t="array" aca="1" ref="AE80" ca="1">IFERROR(VLOOKUP($AB$5&amp;$C80,CHOOSE({1,2},D_技能表!$C$2:$C$1210&amp;D_技能表!$E$2:$E$1210,D_技能表!$Z$2:$Z$1210),2,FALSE),0)</f>
        <v>33</v>
      </c>
      <c r="AF80">
        <f t="array" aca="1" ref="AF80" ca="1">IFERROR(VLOOKUP($AF$5&amp;$C80,CHOOSE({1,2},D_技能表!$C$2:$C$1210&amp;D_技能表!$E$2:$E$1210,D_技能表!$I$2:$I$1210),2,FALSE),0)</f>
        <v>46</v>
      </c>
      <c r="AG80">
        <f t="array" aca="1" ref="AG80" ca="1">IFERROR(VLOOKUP($AF$5&amp;$C80,CHOOSE({1,2},D_技能表!$C$2:$C$1210&amp;D_技能表!$E$2:$E$1210,D_技能表!$N$2:$N$1210),2,FALSE),0)</f>
        <v>261648</v>
      </c>
      <c r="AH80">
        <f t="array" aca="1" ref="AH80" ca="1">IFERROR(VLOOKUP($AF$5&amp;$C80,CHOOSE({1,2},D_技能表!$C$2:$C$1210&amp;D_技能表!$E$2:$E$1210,D_技能表!$W$2:$W$1210),2,FALSE),0)</f>
        <v>72</v>
      </c>
      <c r="AI80">
        <f t="array" aca="1" ref="AI80" ca="1">IFERROR(VLOOKUP($AF$5&amp;$C80,CHOOSE({1,2},D_技能表!$C$2:$C$1210&amp;D_技能表!$E$2:$E$1210,D_技能表!$Z$2:$Z$1210),2,FALSE),0)</f>
        <v>29</v>
      </c>
      <c r="AJ80">
        <f t="array" aca="1" ref="AJ80" ca="1">IFERROR(VLOOKUP($AJ$5&amp;$C80,CHOOSE({1,2},D_技能表!$C$2:$C$1210&amp;D_技能表!$E$2:$E$1210,D_技能表!$I$2:$I$1210),2,FALSE),0)</f>
        <v>46</v>
      </c>
      <c r="AK80">
        <f t="array" aca="1" ref="AK80" ca="1">IFERROR(VLOOKUP($AJ$5&amp;$C80,CHOOSE({1,2},D_技能表!$C$2:$C$1210&amp;D_技能表!$E$2:$E$1210,D_技能表!$N$2:$N$1210),2,FALSE),0)</f>
        <v>261648</v>
      </c>
      <c r="AL80">
        <f t="array" aca="1" ref="AL80" ca="1">IFERROR(VLOOKUP($AJ$5&amp;$C80,CHOOSE({1,2},D_技能表!$C$2:$C$1210&amp;D_技能表!$E$2:$E$1210,D_技能表!$W$2:$W$1210),2,FALSE),0)</f>
        <v>72</v>
      </c>
      <c r="AM80">
        <f t="array" aca="1" ref="AM80" ca="1">IFERROR(VLOOKUP($AJ$5&amp;$C80,CHOOSE({1,2},D_技能表!$C$2:$C$1210&amp;D_技能表!$E$2:$E$1210,D_技能表!$Z$2:$Z$1210),2,FALSE),0)</f>
        <v>29</v>
      </c>
      <c r="AN80">
        <f t="array" aca="1" ref="AN80" ca="1">IFERROR(VLOOKUP($AN$5&amp;$C80,CHOOSE({1,2},D_技能表!$C$2:$C$1210&amp;D_技能表!$E$2:$E$1210,D_技能表!$I$2:$I$1210),2,FALSE),0)</f>
        <v>0</v>
      </c>
      <c r="AO80">
        <f t="array" aca="1" ref="AO80" ca="1">IFERROR(VLOOKUP($AN$5&amp;$C80,CHOOSE({1,2},D_技能表!$C$2:$C$1210&amp;D_技能表!$E$2:$E$1210,D_技能表!$N$2:$N$1210),2,FALSE),0)</f>
        <v>0</v>
      </c>
      <c r="AP80">
        <f t="array" aca="1" ref="AP80" ca="1">IFERROR(VLOOKUP($AN$5&amp;$C80,CHOOSE({1,2},D_技能表!$C$2:$C$1210&amp;D_技能表!$E$2:$E$1210,D_技能表!$W$2:$W$1210),2,FALSE),0)</f>
        <v>0</v>
      </c>
      <c r="AQ80">
        <f t="array" aca="1" ref="AQ80" ca="1">IFERROR(VLOOKUP($AN$5&amp;$C80,CHOOSE({1,2},D_技能表!$C$2:$C$1210&amp;D_技能表!$E$2:$E$1210,D_技能表!$Z$2:$Z$1210),2,FALSE),0)</f>
        <v>0</v>
      </c>
      <c r="AR80" s="11">
        <f ca="1">SUM($G$7:G81,$K$7:K81,$O$7:O81,$S$7:S81,$W$7:W81,$AA$7:AA81,$AE$7:AE81,$AI$7:AI81,$AM$7:AM81,$AQ$7:AQ81)</f>
        <v>5831</v>
      </c>
      <c r="AS80">
        <f ca="1">SUM($F$7:F81,$J$7:J81,$N$7:N81,$R$7:R81,$V$7:V81,$Z$7:Z81,$AD$7:AD81,$AH$7:AH81,$AL$7:AL81,$AP$7:AP81)</f>
        <v>15787</v>
      </c>
      <c r="AT80">
        <f t="shared" ca="1" si="3"/>
        <v>928</v>
      </c>
      <c r="AU80" s="33">
        <f ca="1">SUM($AX$7:AX80,$BB$7:BB80,$BF$7:BF80,$BJ$7:BJ80)</f>
        <v>4131750</v>
      </c>
      <c r="AV80">
        <v>74</v>
      </c>
      <c r="AW80">
        <f t="array" ref="AW80">IFERROR(VLOOKUP(AW$5&amp;$AV80,CHOOSE({1,2},D_技能表CD!$C$2:$C$313&amp;D_技能表CD!$E$2:$E$313,D_技能表CD!$I$2:$I$313),2,FALSE),0)</f>
        <v>0</v>
      </c>
      <c r="AX80">
        <f t="array" aca="1" ref="AX80" ca="1">IFERROR(VLOOKUP(AW$5&amp;$AV80,CHOOSE({1,2},D_技能表CD!$C$2:$C$313&amp;D_技能表CD!$E$2:$E$313,D_技能表CD!$H$2:$H$313),2,FALSE),0)</f>
        <v>0</v>
      </c>
      <c r="AY80">
        <f t="array" aca="1" ref="AY80" ca="1">IFERROR(VLOOKUP(AW$5&amp;$AV80,CHOOSE({1,2},D_技能表CD!$C$2:$C$313&amp;D_技能表CD!$E$2:$E$313,D_技能表CD!$L$2:$L$313),2,FALSE),0)</f>
        <v>0</v>
      </c>
      <c r="AZ80">
        <f t="array" aca="1" ref="AZ80" ca="1">IFERROR(VLOOKUP(AW$5&amp;$AV80,CHOOSE({1,2},D_技能表CD!$C$2:$C$313&amp;D_技能表CD!$E$2:$E$313,D_技能表CD!$K$2:$K$313),2,FALSE),0)</f>
        <v>0</v>
      </c>
      <c r="BA80">
        <f t="array" ref="BA80">IFERROR(VLOOKUP(BA$5&amp;$AV80,CHOOSE({1,2},D_技能表CD!$C$2:$C$313&amp;D_技能表CD!$E$2:$E$313,D_技能表CD!$I$2:$I$313),2,FALSE),0)</f>
        <v>0</v>
      </c>
      <c r="BB80">
        <f t="array" aca="1" ref="BB80" ca="1">IFERROR(VLOOKUP(BA$5&amp;$AV80,CHOOSE({1,2},D_技能表CD!$C$2:$C$313&amp;D_技能表CD!$E$2:$E$313,D_技能表CD!$H$2:$H$313),2,FALSE),0)</f>
        <v>0</v>
      </c>
      <c r="BC80">
        <f t="array" aca="1" ref="BC80" ca="1">IFERROR(VLOOKUP(BA$5&amp;$AV80,CHOOSE({1,2},D_技能表CD!$C$2:$C$313&amp;D_技能表CD!$E$2:$E$313,D_技能表CD!$L$2:$L$313),2,FALSE),0)</f>
        <v>0</v>
      </c>
      <c r="BD80">
        <f t="array" aca="1" ref="BD80" ca="1">IFERROR(VLOOKUP(BA$5&amp;$AV80,CHOOSE({1,2},D_技能表CD!$C$2:$C$313&amp;D_技能表CD!$E$2:$E$313,D_技能表CD!$K$2:$K$313),2,FALSE),0)</f>
        <v>0</v>
      </c>
      <c r="BE80">
        <f t="array" ref="BE80">IFERROR(VLOOKUP(BE$5&amp;$AV80,CHOOSE({1,2},D_技能表CD!$C$2:$C$313&amp;D_技能表CD!$E$2:$E$313,D_技能表CD!$I$2:$I$313),2,FALSE),0)</f>
        <v>0</v>
      </c>
      <c r="BF80">
        <f t="array" aca="1" ref="BF80" ca="1">IFERROR(VLOOKUP(BE$5&amp;$AV80,CHOOSE({1,2},D_技能表CD!$C$2:$C$313&amp;D_技能表CD!$E$2:$E$313,D_技能表CD!$H$2:$H$313),2,FALSE),0)</f>
        <v>0</v>
      </c>
      <c r="BG80">
        <f t="array" aca="1" ref="BG80" ca="1">IFERROR(VLOOKUP(BE$5&amp;$AV80,CHOOSE({1,2},D_技能表CD!$C$2:$C$313&amp;D_技能表CD!$E$2:$E$313,D_技能表CD!$L$2:$L$313),2,FALSE),0)</f>
        <v>0</v>
      </c>
      <c r="BH80">
        <f t="array" aca="1" ref="BH80" ca="1">IFERROR(VLOOKUP(BE$5&amp;$AV80,CHOOSE({1,2},D_技能表CD!$C$2:$C$313&amp;D_技能表CD!$E$2:$E$313,D_技能表CD!$K$2:$K$313),2,FALSE),0)</f>
        <v>0</v>
      </c>
      <c r="BI80">
        <f t="array" ref="BI80">IFERROR(VLOOKUP(BI$5&amp;$AV80,CHOOSE({1,2},D_技能表CD!$C$2:$C$313&amp;D_技能表CD!$E$2:$E$313,D_技能表CD!$I$2:$I$313),2,FALSE),0)</f>
        <v>24</v>
      </c>
      <c r="BJ80">
        <f t="array" aca="1" ref="BJ80" ca="1">IFERROR(VLOOKUP(BI$5&amp;$AV80,CHOOSE({1,2},D_技能表CD!$C$2:$C$313&amp;D_技能表CD!$E$2:$E$313,D_技能表CD!$H$2:$H$313),2,FALSE),0)</f>
        <v>205450</v>
      </c>
      <c r="BK80">
        <f t="array" aca="1" ref="BK80" ca="1">IFERROR(VLOOKUP(BI$5&amp;$AV80,CHOOSE({1,2},D_技能表CD!$C$2:$C$313&amp;D_技能表CD!$E$2:$E$313,D_技能表CD!$L$2:$L$313),2,FALSE),0)</f>
        <v>586</v>
      </c>
      <c r="BL80">
        <f t="array" aca="1" ref="BL80" ca="1">IFERROR(VLOOKUP(BI$5&amp;$AV80,CHOOSE({1,2},D_技能表CD!$C$2:$C$313&amp;D_技能表CD!$E$2:$E$313,D_技能表CD!$K$2:$K$313),2,FALSE),0)</f>
        <v>1256</v>
      </c>
    </row>
    <row r="81" spans="1:64" x14ac:dyDescent="0.15">
      <c r="A81">
        <f t="shared" ca="1" si="2"/>
        <v>40353821</v>
      </c>
      <c r="B81" s="33">
        <f ca="1">SUM($E$7:E81,$I$7:I81,$M$7:M81,$Q$7:Q81,$U$7:U81,$Y$7:Y81,$AC$7:AC81,$AG$7:AG81,$AK$7:AK81,$AO$7:AO81)</f>
        <v>35976721</v>
      </c>
      <c r="C81">
        <v>75</v>
      </c>
      <c r="D81">
        <f t="array" aca="1" ref="D81" ca="1">IFERROR(VLOOKUP($D$5&amp;C81,CHOOSE({1,2},D_技能表!$C$2:$C$1210&amp;D_技能表!$E$2:$E$1210,D_技能表!$I$2:$I$1210),2,FALSE),0)</f>
        <v>47</v>
      </c>
      <c r="E81">
        <f t="array" aca="1" ref="E81" ca="1">IFERROR(VLOOKUP($D$5&amp;$C81,CHOOSE({1,2},D_技能表!$C$2:$C$1210&amp;D_技能表!$E$2:$E$1210,D_技能表!$N$2:$N$1210),2,FALSE),0)</f>
        <v>705915</v>
      </c>
      <c r="F81">
        <f t="array" aca="1" ref="F81" ca="1">IFERROR(VLOOKUP($D$5&amp;$C81,CHOOSE({1,2},D_技能表!$C$2:$C$1210&amp;D_技能表!$E$2:$E$1210,D_技能表!$W$2:$W$1210),2,FALSE),0)</f>
        <v>189</v>
      </c>
      <c r="G81">
        <f t="array" aca="1" ref="G81" ca="1">IFERROR(VLOOKUP($D$5&amp;$C81,CHOOSE({1,2},D_技能表!$C$2:$C$1210&amp;D_技能表!$E$2:$E$1210,D_技能表!$Z$2:$Z$1210),2,FALSE),0)</f>
        <v>76</v>
      </c>
      <c r="H81">
        <f t="array" aca="1" ref="H81" ca="1">IFERROR(VLOOKUP($H$5&amp;$C81,CHOOSE({1,2},D_技能表!$C$2:$C$1210&amp;D_技能表!$E$2:$E$1210,D_技能表!$I$2:$I$1210),2,FALSE),0)</f>
        <v>47</v>
      </c>
      <c r="I81">
        <f t="array" aca="1" ref="I81" ca="1">IFERROR(VLOOKUP($H$5&amp;$C81,CHOOSE({1,2},D_技能表!$C$2:$C$1210&amp;D_技能表!$E$2:$E$1210,D_技能表!$N$2:$N$1210),2,FALSE),0)</f>
        <v>306270</v>
      </c>
      <c r="J81">
        <f t="array" aca="1" ref="J81" ca="1">IFERROR(VLOOKUP($H$5&amp;$C81,CHOOSE({1,2},D_技能表!$C$2:$C$1210&amp;D_技能表!$E$2:$E$1210,D_技能表!$W$2:$W$1210),2,FALSE),0)</f>
        <v>82</v>
      </c>
      <c r="K81">
        <f t="array" aca="1" ref="K81" ca="1">IFERROR(VLOOKUP($H$5&amp;$C81,CHOOSE({1,2},D_技能表!$C$2:$C$1210&amp;D_技能表!$E$2:$E$1210,D_技能表!$Z$2:$Z$1210),2,FALSE),0)</f>
        <v>33</v>
      </c>
      <c r="L81">
        <f t="array" aca="1" ref="L81" ca="1">IFERROR(VLOOKUP($L$5&amp;$C81,CHOOSE({1,2},D_技能表!$C$2:$C$1210&amp;D_技能表!$E$2:$E$1210,D_技能表!$I$2:$I$1210),2,FALSE),0)</f>
        <v>47</v>
      </c>
      <c r="M81">
        <f t="array" aca="1" ref="M81" ca="1">IFERROR(VLOOKUP($L$5&amp;$C81,CHOOSE({1,2},D_技能表!$C$2:$C$1210&amp;D_技能表!$E$2:$E$1210,D_技能表!$N$2:$N$1210),2,FALSE),0)</f>
        <v>306270</v>
      </c>
      <c r="N81">
        <f t="array" aca="1" ref="N81" ca="1">IFERROR(VLOOKUP($L$5&amp;$C81,CHOOSE({1,2},D_技能表!$C$2:$C$1210&amp;D_技能表!$E$2:$E$1210,D_技能表!$W$2:$W$1210),2,FALSE),0)</f>
        <v>82</v>
      </c>
      <c r="O81">
        <f t="array" aca="1" ref="O81" ca="1">IFERROR(VLOOKUP($L$5&amp;$C81,CHOOSE({1,2},D_技能表!$C$2:$C$1210&amp;D_技能表!$E$2:$E$1210,D_技能表!$Z$2:$Z$1210),2,FALSE),0)</f>
        <v>33</v>
      </c>
      <c r="P81">
        <f t="array" aca="1" ref="P81" ca="1">IFERROR(VLOOKUP($P$5&amp;$C81,CHOOSE({1,2},D_技能表!$C$2:$C$1210&amp;D_技能表!$E$2:$E$1210,D_技能表!$I$2:$I$1210),2,FALSE),0)</f>
        <v>0</v>
      </c>
      <c r="Q81">
        <f t="array" aca="1" ref="Q81" ca="1">IFERROR(VLOOKUP($P$5&amp;$C81,CHOOSE({1,2},D_技能表!$C$2:$C$1210&amp;D_技能表!$E$2:$E$1210,D_技能表!$N$2:$N$1210),2,FALSE),0)</f>
        <v>0</v>
      </c>
      <c r="R81">
        <f t="array" aca="1" ref="R81" ca="1">IFERROR(VLOOKUP($P$5&amp;$C81,CHOOSE({1,2},D_技能表!$C$2:$C$1210&amp;D_技能表!$E$2:$E$1210,D_技能表!$W$2:$W$1210),2,FALSE),0)</f>
        <v>0</v>
      </c>
      <c r="S81">
        <f t="array" aca="1" ref="S81" ca="1">IFERROR(VLOOKUP($P$5&amp;$C81,CHOOSE({1,2},D_技能表!$C$2:$C$1210&amp;D_技能表!$E$2:$E$1210,D_技能表!$Z$2:$Z$1210),2,FALSE),0)</f>
        <v>0</v>
      </c>
      <c r="T81">
        <f t="array" aca="1" ref="T81" ca="1">IFERROR(VLOOKUP($T$5&amp;$C81,CHOOSE({1,2},D_技能表!$C$2:$C$1210&amp;D_技能表!$E$2:$E$1210,D_技能表!$I$2:$I$1210),2,FALSE),0)</f>
        <v>0</v>
      </c>
      <c r="U81">
        <f t="array" aca="1" ref="U81" ca="1">IFERROR(VLOOKUP($T$5&amp;$C81,CHOOSE({1,2},D_技能表!$C$2:$C$1210&amp;D_技能表!$E$2:$E$1210,D_技能表!$N$2:$N$1210),2,FALSE),0)</f>
        <v>0</v>
      </c>
      <c r="V81">
        <f t="array" aca="1" ref="V81" ca="1">IFERROR(VLOOKUP($T$5&amp;$C81,CHOOSE({1,2},D_技能表!$C$2:$C$1210&amp;D_技能表!$E$2:$E$1210,D_技能表!$W$2:$W$1210),2,FALSE),0)</f>
        <v>0</v>
      </c>
      <c r="W81">
        <f t="array" aca="1" ref="W81" ca="1">IFERROR(VLOOKUP($T$5&amp;$C81,CHOOSE({1,2},D_技能表!$C$2:$C$1210&amp;D_技能表!$E$2:$E$1210,D_技能表!$Z$2:$Z$1210),2,FALSE),0)</f>
        <v>0</v>
      </c>
      <c r="X81">
        <f t="array" aca="1" ref="X81" ca="1">IFERROR(VLOOKUP($X$5&amp;$C81,CHOOSE({1,2},D_技能表!$C$2:$C$1210&amp;D_技能表!$E$2:$E$1210,D_技能表!$I$2:$I$1210),2,FALSE),0)</f>
        <v>0</v>
      </c>
      <c r="Y81">
        <f t="array" aca="1" ref="Y81" ca="1">IFERROR(VLOOKUP($X$5&amp;$C81,CHOOSE({1,2},D_技能表!$C$2:$C$1210&amp;D_技能表!$E$2:$E$1210,D_技能表!$N$2:$N$1210),2,FALSE),0)</f>
        <v>0</v>
      </c>
      <c r="Z81">
        <f t="array" aca="1" ref="Z81" ca="1">IFERROR(VLOOKUP($X$5&amp;$C81,CHOOSE({1,2},D_技能表!$C$2:$C$1210&amp;D_技能表!$E$2:$E$1210,D_技能表!$W$2:$W$1210),2,FALSE),0)</f>
        <v>0</v>
      </c>
      <c r="AA81">
        <f t="array" aca="1" ref="AA81" ca="1">IFERROR(VLOOKUP($X$5&amp;$C81,CHOOSE({1,2},D_技能表!$C$2:$C$1210&amp;D_技能表!$E$2:$E$1210,D_技能表!$Z$2:$Z$1210),2,FALSE),0)</f>
        <v>0</v>
      </c>
      <c r="AB81">
        <f t="array" aca="1" ref="AB81" ca="1">IFERROR(VLOOKUP($AB$5&amp;$C81,CHOOSE({1,2},D_技能表!$C$2:$C$1210&amp;D_技能表!$E$2:$E$1210,D_技能表!$I$2:$I$1210),2,FALSE),0)</f>
        <v>0</v>
      </c>
      <c r="AC81">
        <f t="array" aca="1" ref="AC81" ca="1">IFERROR(VLOOKUP($AB$5&amp;$C81,CHOOSE({1,2},D_技能表!$C$2:$C$1210&amp;D_技能表!$E$2:$E$1210,D_技能表!$N$2:$N$1210),2,FALSE),0)</f>
        <v>0</v>
      </c>
      <c r="AD81">
        <f t="array" aca="1" ref="AD81" ca="1">IFERROR(VLOOKUP($AB$5&amp;$C81,CHOOSE({1,2},D_技能表!$C$2:$C$1210&amp;D_技能表!$E$2:$E$1210,D_技能表!$W$2:$W$1210),2,FALSE),0)</f>
        <v>0</v>
      </c>
      <c r="AE81">
        <f t="array" aca="1" ref="AE81" ca="1">IFERROR(VLOOKUP($AB$5&amp;$C81,CHOOSE({1,2},D_技能表!$C$2:$C$1210&amp;D_技能表!$E$2:$E$1210,D_技能表!$Z$2:$Z$1210),2,FALSE),0)</f>
        <v>0</v>
      </c>
      <c r="AF81">
        <f t="array" aca="1" ref="AF81" ca="1">IFERROR(VLOOKUP($AF$5&amp;$C81,CHOOSE({1,2},D_技能表!$C$2:$C$1210&amp;D_技能表!$E$2:$E$1210,D_技能表!$I$2:$I$1210),2,FALSE),0)</f>
        <v>0</v>
      </c>
      <c r="AG81">
        <f t="array" aca="1" ref="AG81" ca="1">IFERROR(VLOOKUP($AF$5&amp;$C81,CHOOSE({1,2},D_技能表!$C$2:$C$1210&amp;D_技能表!$E$2:$E$1210,D_技能表!$N$2:$N$1210),2,FALSE),0)</f>
        <v>0</v>
      </c>
      <c r="AH81">
        <f t="array" aca="1" ref="AH81" ca="1">IFERROR(VLOOKUP($AF$5&amp;$C81,CHOOSE({1,2},D_技能表!$C$2:$C$1210&amp;D_技能表!$E$2:$E$1210,D_技能表!$W$2:$W$1210),2,FALSE),0)</f>
        <v>0</v>
      </c>
      <c r="AI81">
        <f t="array" aca="1" ref="AI81" ca="1">IFERROR(VLOOKUP($AF$5&amp;$C81,CHOOSE({1,2},D_技能表!$C$2:$C$1210&amp;D_技能表!$E$2:$E$1210,D_技能表!$Z$2:$Z$1210),2,FALSE),0)</f>
        <v>0</v>
      </c>
      <c r="AJ81">
        <f t="array" aca="1" ref="AJ81" ca="1">IFERROR(VLOOKUP($AJ$5&amp;$C81,CHOOSE({1,2},D_技能表!$C$2:$C$1210&amp;D_技能表!$E$2:$E$1210,D_技能表!$I$2:$I$1210),2,FALSE),0)</f>
        <v>0</v>
      </c>
      <c r="AK81">
        <f t="array" aca="1" ref="AK81" ca="1">IFERROR(VLOOKUP($AJ$5&amp;$C81,CHOOSE({1,2},D_技能表!$C$2:$C$1210&amp;D_技能表!$E$2:$E$1210,D_技能表!$N$2:$N$1210),2,FALSE),0)</f>
        <v>0</v>
      </c>
      <c r="AL81">
        <f t="array" aca="1" ref="AL81" ca="1">IFERROR(VLOOKUP($AJ$5&amp;$C81,CHOOSE({1,2},D_技能表!$C$2:$C$1210&amp;D_技能表!$E$2:$E$1210,D_技能表!$W$2:$W$1210),2,FALSE),0)</f>
        <v>0</v>
      </c>
      <c r="AM81">
        <f t="array" aca="1" ref="AM81" ca="1">IFERROR(VLOOKUP($AJ$5&amp;$C81,CHOOSE({1,2},D_技能表!$C$2:$C$1210&amp;D_技能表!$E$2:$E$1210,D_技能表!$Z$2:$Z$1210),2,FALSE),0)</f>
        <v>0</v>
      </c>
      <c r="AN81">
        <f t="array" aca="1" ref="AN81" ca="1">IFERROR(VLOOKUP($AN$5&amp;$C81,CHOOSE({1,2},D_技能表!$C$2:$C$1210&amp;D_技能表!$E$2:$E$1210,D_技能表!$I$2:$I$1210),2,FALSE),0)</f>
        <v>46</v>
      </c>
      <c r="AO81">
        <f t="array" aca="1" ref="AO81" ca="1">IFERROR(VLOOKUP($AN$5&amp;$C81,CHOOSE({1,2},D_技能表!$C$2:$C$1210&amp;D_技能表!$E$2:$E$1210,D_技能表!$N$2:$N$1210),2,FALSE),0)</f>
        <v>493020</v>
      </c>
      <c r="AP81">
        <f t="array" aca="1" ref="AP81" ca="1">IFERROR(VLOOKUP($AN$5&amp;$C81,CHOOSE({1,2},D_技能表!$C$2:$C$1210&amp;D_技能表!$E$2:$E$1210,D_技能表!$W$2:$W$1210),2,FALSE),0)</f>
        <v>132</v>
      </c>
      <c r="AQ81">
        <f t="array" aca="1" ref="AQ81" ca="1">IFERROR(VLOOKUP($AN$5&amp;$C81,CHOOSE({1,2},D_技能表!$C$2:$C$1210&amp;D_技能表!$E$2:$E$1210,D_技能表!$Z$2:$Z$1210),2,FALSE),0)</f>
        <v>53</v>
      </c>
      <c r="AR81" s="11">
        <f ca="1">SUM($G$7:G82,$K$7:K82,$O$7:O82,$S$7:S82,$W$7:W82,$AA$7:AA82,$AE$7:AE82,$AI$7:AI82,$AM$7:AM82,$AQ$7:AQ82)</f>
        <v>6145</v>
      </c>
      <c r="AS81">
        <f ca="1">SUM($F$7:F82,$J$7:J82,$N$7:N82,$R$7:R82,$V$7:V82,$Z$7:Z82,$AD$7:AD82,$AH$7:AH82,$AL$7:AL82,$AP$7:AP82)</f>
        <v>16567</v>
      </c>
      <c r="AT81">
        <f t="shared" ca="1" si="3"/>
        <v>485</v>
      </c>
      <c r="AU81" s="33">
        <f ca="1">SUM($AX$7:AX81,$BB$7:BB81,$BF$7:BF81,$BJ$7:BJ81)</f>
        <v>4377100</v>
      </c>
      <c r="AV81">
        <v>75</v>
      </c>
      <c r="AW81">
        <f t="array" ref="AW81">IFERROR(VLOOKUP(AW$5&amp;$AV81,CHOOSE({1,2},D_技能表CD!$C$2:$C$313&amp;D_技能表CD!$E$2:$E$313,D_技能表CD!$I$2:$I$313),2,FALSE),0)</f>
        <v>0</v>
      </c>
      <c r="AX81">
        <f t="array" aca="1" ref="AX81" ca="1">IFERROR(VLOOKUP(AW$5&amp;$AV81,CHOOSE({1,2},D_技能表CD!$C$2:$C$313&amp;D_技能表CD!$E$2:$E$313,D_技能表CD!$H$2:$H$313),2,FALSE),0)</f>
        <v>0</v>
      </c>
      <c r="AY81">
        <f t="array" aca="1" ref="AY81" ca="1">IFERROR(VLOOKUP(AW$5&amp;$AV81,CHOOSE({1,2},D_技能表CD!$C$2:$C$313&amp;D_技能表CD!$E$2:$E$313,D_技能表CD!$L$2:$L$313),2,FALSE),0)</f>
        <v>0</v>
      </c>
      <c r="AZ81">
        <f t="array" aca="1" ref="AZ81" ca="1">IFERROR(VLOOKUP(AW$5&amp;$AV81,CHOOSE({1,2},D_技能表CD!$C$2:$C$313&amp;D_技能表CD!$E$2:$E$313,D_技能表CD!$K$2:$K$313),2,FALSE),0)</f>
        <v>0</v>
      </c>
      <c r="BA81">
        <f t="array" ref="BA81">IFERROR(VLOOKUP(BA$5&amp;$AV81,CHOOSE({1,2},D_技能表CD!$C$2:$C$313&amp;D_技能表CD!$E$2:$E$313,D_技能表CD!$I$2:$I$313),2,FALSE),0)</f>
        <v>25</v>
      </c>
      <c r="BB81">
        <f t="array" aca="1" ref="BB81" ca="1">IFERROR(VLOOKUP(BA$5&amp;$AV81,CHOOSE({1,2},D_技能表CD!$C$2:$C$313&amp;D_技能表CD!$E$2:$E$313,D_技能表CD!$H$2:$H$313),2,FALSE),0)</f>
        <v>245350</v>
      </c>
      <c r="BC81">
        <f t="array" aca="1" ref="BC81" ca="1">IFERROR(VLOOKUP(BA$5&amp;$AV81,CHOOSE({1,2},D_技能表CD!$C$2:$C$313&amp;D_技能表CD!$E$2:$E$313,D_技能表CD!$L$2:$L$313),2,FALSE),0)</f>
        <v>697</v>
      </c>
      <c r="BD81">
        <f t="array" aca="1" ref="BD81" ca="1">IFERROR(VLOOKUP(BA$5&amp;$AV81,CHOOSE({1,2},D_技能表CD!$C$2:$C$313&amp;D_技能表CD!$E$2:$E$313,D_技能表CD!$K$2:$K$313),2,FALSE),0)</f>
        <v>1544</v>
      </c>
      <c r="BE81">
        <f t="array" ref="BE81">IFERROR(VLOOKUP(BE$5&amp;$AV81,CHOOSE({1,2},D_技能表CD!$C$2:$C$313&amp;D_技能表CD!$E$2:$E$313,D_技能表CD!$I$2:$I$313),2,FALSE),0)</f>
        <v>0</v>
      </c>
      <c r="BF81">
        <f t="array" aca="1" ref="BF81" ca="1">IFERROR(VLOOKUP(BE$5&amp;$AV81,CHOOSE({1,2},D_技能表CD!$C$2:$C$313&amp;D_技能表CD!$E$2:$E$313,D_技能表CD!$H$2:$H$313),2,FALSE),0)</f>
        <v>0</v>
      </c>
      <c r="BG81">
        <f t="array" aca="1" ref="BG81" ca="1">IFERROR(VLOOKUP(BE$5&amp;$AV81,CHOOSE({1,2},D_技能表CD!$C$2:$C$313&amp;D_技能表CD!$E$2:$E$313,D_技能表CD!$L$2:$L$313),2,FALSE),0)</f>
        <v>0</v>
      </c>
      <c r="BH81">
        <f t="array" aca="1" ref="BH81" ca="1">IFERROR(VLOOKUP(BE$5&amp;$AV81,CHOOSE({1,2},D_技能表CD!$C$2:$C$313&amp;D_技能表CD!$E$2:$E$313,D_技能表CD!$K$2:$K$313),2,FALSE),0)</f>
        <v>0</v>
      </c>
      <c r="BI81">
        <f t="array" ref="BI81">IFERROR(VLOOKUP(BI$5&amp;$AV81,CHOOSE({1,2},D_技能表CD!$C$2:$C$313&amp;D_技能表CD!$E$2:$E$313,D_技能表CD!$I$2:$I$313),2,FALSE),0)</f>
        <v>0</v>
      </c>
      <c r="BJ81">
        <f t="array" aca="1" ref="BJ81" ca="1">IFERROR(VLOOKUP(BI$5&amp;$AV81,CHOOSE({1,2},D_技能表CD!$C$2:$C$313&amp;D_技能表CD!$E$2:$E$313,D_技能表CD!$H$2:$H$313),2,FALSE),0)</f>
        <v>0</v>
      </c>
      <c r="BK81">
        <f t="array" aca="1" ref="BK81" ca="1">IFERROR(VLOOKUP(BI$5&amp;$AV81,CHOOSE({1,2},D_技能表CD!$C$2:$C$313&amp;D_技能表CD!$E$2:$E$313,D_技能表CD!$L$2:$L$313),2,FALSE),0)</f>
        <v>0</v>
      </c>
      <c r="BL81">
        <f t="array" aca="1" ref="BL81" ca="1">IFERROR(VLOOKUP(BI$5&amp;$AV81,CHOOSE({1,2},D_技能表CD!$C$2:$C$313&amp;D_技能表CD!$E$2:$E$313,D_技能表CD!$K$2:$K$313),2,FALSE),0)</f>
        <v>0</v>
      </c>
    </row>
    <row r="82" spans="1:64" x14ac:dyDescent="0.15">
      <c r="A82">
        <f t="shared" ca="1" si="2"/>
        <v>43605511</v>
      </c>
      <c r="B82" s="33">
        <f ca="1">SUM($E$7:E82,$I$7:I82,$M$7:M82,$Q$7:Q82,$U$7:U82,$Y$7:Y82,$AC$7:AC82,$AG$7:AG82,$AK$7:AK82,$AO$7:AO82)</f>
        <v>38970361</v>
      </c>
      <c r="C82">
        <v>76</v>
      </c>
      <c r="D82">
        <f t="array" aca="1" ref="D82" ca="1">IFERROR(VLOOKUP($D$5&amp;C82,CHOOSE({1,2},D_技能表!$C$2:$C$1210&amp;D_技能表!$E$2:$E$1210,D_技能表!$I$2:$I$1210),2,FALSE),0)</f>
        <v>0</v>
      </c>
      <c r="E82">
        <f t="array" aca="1" ref="E82" ca="1">IFERROR(VLOOKUP($D$5&amp;$C82,CHOOSE({1,2},D_技能表!$C$2:$C$1210&amp;D_技能表!$E$2:$E$1210,D_技能表!$N$2:$N$1210),2,FALSE),0)</f>
        <v>0</v>
      </c>
      <c r="F82">
        <f t="array" aca="1" ref="F82" ca="1">IFERROR(VLOOKUP($D$5&amp;$C82,CHOOSE({1,2},D_技能表!$C$2:$C$1210&amp;D_技能表!$E$2:$E$1210,D_技能表!$W$2:$W$1210),2,FALSE),0)</f>
        <v>0</v>
      </c>
      <c r="G82">
        <f t="array" aca="1" ref="G82" ca="1">IFERROR(VLOOKUP($D$5&amp;$C82,CHOOSE({1,2},D_技能表!$C$2:$C$1210&amp;D_技能表!$E$2:$E$1210,D_技能表!$Z$2:$Z$1210),2,FALSE),0)</f>
        <v>0</v>
      </c>
      <c r="H82">
        <f t="array" aca="1" ref="H82" ca="1">IFERROR(VLOOKUP($H$5&amp;$C82,CHOOSE({1,2},D_技能表!$C$2:$C$1210&amp;D_技能表!$E$2:$E$1210,D_技能表!$I$2:$I$1210),2,FALSE),0)</f>
        <v>0</v>
      </c>
      <c r="I82">
        <f t="array" aca="1" ref="I82" ca="1">IFERROR(VLOOKUP($H$5&amp;$C82,CHOOSE({1,2},D_技能表!$C$2:$C$1210&amp;D_技能表!$E$2:$E$1210,D_技能表!$N$2:$N$1210),2,FALSE),0)</f>
        <v>0</v>
      </c>
      <c r="J82">
        <f t="array" aca="1" ref="J82" ca="1">IFERROR(VLOOKUP($H$5&amp;$C82,CHOOSE({1,2},D_技能表!$C$2:$C$1210&amp;D_技能表!$E$2:$E$1210,D_技能表!$W$2:$W$1210),2,FALSE),0)</f>
        <v>0</v>
      </c>
      <c r="K82">
        <f t="array" aca="1" ref="K82" ca="1">IFERROR(VLOOKUP($H$5&amp;$C82,CHOOSE({1,2},D_技能表!$C$2:$C$1210&amp;D_技能表!$E$2:$E$1210,D_技能表!$Z$2:$Z$1210),2,FALSE),0)</f>
        <v>0</v>
      </c>
      <c r="L82">
        <f t="array" aca="1" ref="L82" ca="1">IFERROR(VLOOKUP($L$5&amp;$C82,CHOOSE({1,2},D_技能表!$C$2:$C$1210&amp;D_技能表!$E$2:$E$1210,D_技能表!$I$2:$I$1210),2,FALSE),0)</f>
        <v>0</v>
      </c>
      <c r="M82">
        <f t="array" aca="1" ref="M82" ca="1">IFERROR(VLOOKUP($L$5&amp;$C82,CHOOSE({1,2},D_技能表!$C$2:$C$1210&amp;D_技能表!$E$2:$E$1210,D_技能表!$N$2:$N$1210),2,FALSE),0)</f>
        <v>0</v>
      </c>
      <c r="N82">
        <f t="array" aca="1" ref="N82" ca="1">IFERROR(VLOOKUP($L$5&amp;$C82,CHOOSE({1,2},D_技能表!$C$2:$C$1210&amp;D_技能表!$E$2:$E$1210,D_技能表!$W$2:$W$1210),2,FALSE),0)</f>
        <v>0</v>
      </c>
      <c r="O82">
        <f t="array" aca="1" ref="O82" ca="1">IFERROR(VLOOKUP($L$5&amp;$C82,CHOOSE({1,2},D_技能表!$C$2:$C$1210&amp;D_技能表!$E$2:$E$1210,D_技能表!$Z$2:$Z$1210),2,FALSE),0)</f>
        <v>0</v>
      </c>
      <c r="P82">
        <f t="array" aca="1" ref="P82" ca="1">IFERROR(VLOOKUP($P$5&amp;$C82,CHOOSE({1,2},D_技能表!$C$2:$C$1210&amp;D_技能表!$E$2:$E$1210,D_技能表!$I$2:$I$1210),2,FALSE),0)</f>
        <v>47</v>
      </c>
      <c r="Q82">
        <f t="array" aca="1" ref="Q82" ca="1">IFERROR(VLOOKUP($P$5&amp;$C82,CHOOSE({1,2},D_技能表!$C$2:$C$1210&amp;D_技能表!$E$2:$E$1210,D_技能表!$N$2:$N$1210),2,FALSE),0)</f>
        <v>314716</v>
      </c>
      <c r="R82">
        <f t="array" aca="1" ref="R82" ca="1">IFERROR(VLOOKUP($P$5&amp;$C82,CHOOSE({1,2},D_技能表!$C$2:$C$1210&amp;D_技能表!$E$2:$E$1210,D_技能表!$W$2:$W$1210),2,FALSE),0)</f>
        <v>82</v>
      </c>
      <c r="S82">
        <f t="array" aca="1" ref="S82" ca="1">IFERROR(VLOOKUP($P$5&amp;$C82,CHOOSE({1,2},D_技能表!$C$2:$C$1210&amp;D_技能表!$E$2:$E$1210,D_技能表!$Z$2:$Z$1210),2,FALSE),0)</f>
        <v>33</v>
      </c>
      <c r="T82">
        <f t="array" aca="1" ref="T82" ca="1">IFERROR(VLOOKUP($T$5&amp;$C82,CHOOSE({1,2},D_技能表!$C$2:$C$1210&amp;D_技能表!$E$2:$E$1210,D_技能表!$I$2:$I$1210),2,FALSE),0)</f>
        <v>47</v>
      </c>
      <c r="U82">
        <f t="array" aca="1" ref="U82" ca="1">IFERROR(VLOOKUP($T$5&amp;$C82,CHOOSE({1,2},D_技能表!$C$2:$C$1210&amp;D_技能表!$E$2:$E$1210,D_技能表!$N$2:$N$1210),2,FALSE),0)</f>
        <v>521968</v>
      </c>
      <c r="V82">
        <f t="array" aca="1" ref="V82" ca="1">IFERROR(VLOOKUP($T$5&amp;$C82,CHOOSE({1,2},D_技能表!$C$2:$C$1210&amp;D_技能表!$E$2:$E$1210,D_技能表!$W$2:$W$1210),2,FALSE),0)</f>
        <v>136</v>
      </c>
      <c r="W82">
        <f t="array" aca="1" ref="W82" ca="1">IFERROR(VLOOKUP($T$5&amp;$C82,CHOOSE({1,2},D_技能表!$C$2:$C$1210&amp;D_技能表!$E$2:$E$1210,D_技能表!$Z$2:$Z$1210),2,FALSE),0)</f>
        <v>55</v>
      </c>
      <c r="X82">
        <f t="array" aca="1" ref="X82" ca="1">IFERROR(VLOOKUP($X$5&amp;$C82,CHOOSE({1,2},D_技能表!$C$2:$C$1210&amp;D_技能表!$E$2:$E$1210,D_技能表!$I$2:$I$1210),2,FALSE),0)</f>
        <v>47</v>
      </c>
      <c r="Y82">
        <f t="array" aca="1" ref="Y82" ca="1">IFERROR(VLOOKUP($X$5&amp;$C82,CHOOSE({1,2},D_技能表!$C$2:$C$1210&amp;D_技能表!$E$2:$E$1210,D_技能表!$N$2:$N$1210),2,FALSE),0)</f>
        <v>690840</v>
      </c>
      <c r="Z82">
        <f t="array" aca="1" ref="Z82" ca="1">IFERROR(VLOOKUP($X$5&amp;$C82,CHOOSE({1,2},D_技能表!$C$2:$C$1210&amp;D_技能表!$E$2:$E$1210,D_技能表!$W$2:$W$1210),2,FALSE),0)</f>
        <v>180</v>
      </c>
      <c r="AA82">
        <f t="array" aca="1" ref="AA82" ca="1">IFERROR(VLOOKUP($X$5&amp;$C82,CHOOSE({1,2},D_技能表!$C$2:$C$1210&amp;D_技能表!$E$2:$E$1210,D_技能表!$Z$2:$Z$1210),2,FALSE),0)</f>
        <v>72</v>
      </c>
      <c r="AB82">
        <f t="array" aca="1" ref="AB82" ca="1">IFERROR(VLOOKUP($AB$5&amp;$C82,CHOOSE({1,2},D_技能表!$C$2:$C$1210&amp;D_技能表!$E$2:$E$1210,D_技能表!$I$2:$I$1210),2,FALSE),0)</f>
        <v>47</v>
      </c>
      <c r="AC82">
        <f t="array" aca="1" ref="AC82" ca="1">IFERROR(VLOOKUP($AB$5&amp;$C82,CHOOSE({1,2},D_技能表!$C$2:$C$1210&amp;D_技能表!$E$2:$E$1210,D_技能表!$N$2:$N$1210),2,FALSE),0)</f>
        <v>333906</v>
      </c>
      <c r="AD82">
        <f t="array" aca="1" ref="AD82" ca="1">IFERROR(VLOOKUP($AB$5&amp;$C82,CHOOSE({1,2},D_技能表!$C$2:$C$1210&amp;D_技能表!$E$2:$E$1210,D_技能表!$W$2:$W$1210),2,FALSE),0)</f>
        <v>87</v>
      </c>
      <c r="AE82">
        <f t="array" aca="1" ref="AE82" ca="1">IFERROR(VLOOKUP($AB$5&amp;$C82,CHOOSE({1,2},D_技能表!$C$2:$C$1210&amp;D_技能表!$E$2:$E$1210,D_技能表!$Z$2:$Z$1210),2,FALSE),0)</f>
        <v>35</v>
      </c>
      <c r="AF82">
        <f t="array" aca="1" ref="AF82" ca="1">IFERROR(VLOOKUP($AF$5&amp;$C82,CHOOSE({1,2},D_技能表!$C$2:$C$1210&amp;D_技能表!$E$2:$E$1210,D_技能表!$I$2:$I$1210),2,FALSE),0)</f>
        <v>47</v>
      </c>
      <c r="AG82">
        <f t="array" aca="1" ref="AG82" ca="1">IFERROR(VLOOKUP($AF$5&amp;$C82,CHOOSE({1,2},D_技能表!$C$2:$C$1210&amp;D_技能表!$E$2:$E$1210,D_技能表!$N$2:$N$1210),2,FALSE),0)</f>
        <v>295526</v>
      </c>
      <c r="AH82">
        <f t="array" aca="1" ref="AH82" ca="1">IFERROR(VLOOKUP($AF$5&amp;$C82,CHOOSE({1,2},D_技能表!$C$2:$C$1210&amp;D_技能表!$E$2:$E$1210,D_技能表!$W$2:$W$1210),2,FALSE),0)</f>
        <v>77</v>
      </c>
      <c r="AI82">
        <f t="array" aca="1" ref="AI82" ca="1">IFERROR(VLOOKUP($AF$5&amp;$C82,CHOOSE({1,2},D_技能表!$C$2:$C$1210&amp;D_技能表!$E$2:$E$1210,D_技能表!$Z$2:$Z$1210),2,FALSE),0)</f>
        <v>31</v>
      </c>
      <c r="AJ82">
        <f t="array" aca="1" ref="AJ82" ca="1">IFERROR(VLOOKUP($AJ$5&amp;$C82,CHOOSE({1,2},D_技能表!$C$2:$C$1210&amp;D_技能表!$E$2:$E$1210,D_技能表!$I$2:$I$1210),2,FALSE),0)</f>
        <v>47</v>
      </c>
      <c r="AK82">
        <f t="array" aca="1" ref="AK82" ca="1">IFERROR(VLOOKUP($AJ$5&amp;$C82,CHOOSE({1,2},D_技能表!$C$2:$C$1210&amp;D_技能表!$E$2:$E$1210,D_技能表!$N$2:$N$1210),2,FALSE),0)</f>
        <v>295526</v>
      </c>
      <c r="AL82">
        <f t="array" aca="1" ref="AL82" ca="1">IFERROR(VLOOKUP($AJ$5&amp;$C82,CHOOSE({1,2},D_技能表!$C$2:$C$1210&amp;D_技能表!$E$2:$E$1210,D_技能表!$W$2:$W$1210),2,FALSE),0)</f>
        <v>77</v>
      </c>
      <c r="AM82">
        <f t="array" aca="1" ref="AM82" ca="1">IFERROR(VLOOKUP($AJ$5&amp;$C82,CHOOSE({1,2},D_技能表!$C$2:$C$1210&amp;D_技能表!$E$2:$E$1210,D_技能表!$Z$2:$Z$1210),2,FALSE),0)</f>
        <v>31</v>
      </c>
      <c r="AN82">
        <f t="array" aca="1" ref="AN82" ca="1">IFERROR(VLOOKUP($AN$5&amp;$C82,CHOOSE({1,2},D_技能表!$C$2:$C$1210&amp;D_技能表!$E$2:$E$1210,D_技能表!$I$2:$I$1210),2,FALSE),0)</f>
        <v>47</v>
      </c>
      <c r="AO82">
        <f t="array" aca="1" ref="AO82" ca="1">IFERROR(VLOOKUP($AN$5&amp;$C82,CHOOSE({1,2},D_技能表!$C$2:$C$1210&amp;D_技能表!$E$2:$E$1210,D_技能表!$N$2:$N$1210),2,FALSE),0)</f>
        <v>541158</v>
      </c>
      <c r="AP82">
        <f t="array" aca="1" ref="AP82" ca="1">IFERROR(VLOOKUP($AN$5&amp;$C82,CHOOSE({1,2},D_技能表!$C$2:$C$1210&amp;D_技能表!$E$2:$E$1210,D_技能表!$W$2:$W$1210),2,FALSE),0)</f>
        <v>141</v>
      </c>
      <c r="AQ82">
        <f t="array" aca="1" ref="AQ82" ca="1">IFERROR(VLOOKUP($AN$5&amp;$C82,CHOOSE({1,2},D_技能表!$C$2:$C$1210&amp;D_技能表!$E$2:$E$1210,D_技能表!$Z$2:$Z$1210),2,FALSE),0)</f>
        <v>57</v>
      </c>
      <c r="AR82" s="11">
        <f ca="1">SUM($G$7:G83,$K$7:K83,$O$7:O83,$S$7:S83,$W$7:W83,$AA$7:AA83,$AE$7:AE83,$AI$7:AI83,$AM$7:AM83,$AQ$7:AQ83)</f>
        <v>6639</v>
      </c>
      <c r="AS82">
        <f ca="1">SUM($F$7:F83,$J$7:J83,$N$7:N83,$R$7:R83,$V$7:V83,$Z$7:Z83,$AD$7:AD83,$AH$7:AH83,$AL$7:AL83,$AP$7:AP83)</f>
        <v>17783</v>
      </c>
      <c r="AT82">
        <f t="shared" ca="1" si="3"/>
        <v>780</v>
      </c>
      <c r="AU82" s="33">
        <f ca="1">SUM($AX$7:AX82,$BB$7:BB82,$BF$7:BF82,$BJ$7:BJ82)</f>
        <v>4635150</v>
      </c>
      <c r="AV82">
        <v>76</v>
      </c>
      <c r="AW82">
        <f t="array" ref="AW82">IFERROR(VLOOKUP(AW$5&amp;$AV82,CHOOSE({1,2},D_技能表CD!$C$2:$C$313&amp;D_技能表CD!$E$2:$E$313,D_技能表CD!$I$2:$I$313),2,FALSE),0)</f>
        <v>26</v>
      </c>
      <c r="AX82">
        <f t="array" aca="1" ref="AX82" ca="1">IFERROR(VLOOKUP(AW$5&amp;$AV82,CHOOSE({1,2},D_技能表CD!$C$2:$C$313&amp;D_技能表CD!$E$2:$E$313,D_技能表CD!$H$2:$H$313),2,FALSE),0)</f>
        <v>148900</v>
      </c>
      <c r="AY82">
        <f t="array" aca="1" ref="AY82" ca="1">IFERROR(VLOOKUP(AW$5&amp;$AV82,CHOOSE({1,2},D_技能表CD!$C$2:$C$313&amp;D_技能表CD!$E$2:$E$313,D_技能表CD!$L$2:$L$313),2,FALSE),0)</f>
        <v>421</v>
      </c>
      <c r="AZ82">
        <f t="array" aca="1" ref="AZ82" ca="1">IFERROR(VLOOKUP(AW$5&amp;$AV82,CHOOSE({1,2},D_技能表CD!$C$2:$C$313&amp;D_技能表CD!$E$2:$E$313,D_技能表CD!$K$2:$K$313),2,FALSE),0)</f>
        <v>963</v>
      </c>
      <c r="BA82">
        <f t="array" ref="BA82">IFERROR(VLOOKUP(BA$5&amp;$AV82,CHOOSE({1,2},D_技能表CD!$C$2:$C$313&amp;D_技能表CD!$E$2:$E$313,D_技能表CD!$I$2:$I$313),2,FALSE),0)</f>
        <v>0</v>
      </c>
      <c r="BB82">
        <f t="array" aca="1" ref="BB82" ca="1">IFERROR(VLOOKUP(BA$5&amp;$AV82,CHOOSE({1,2},D_技能表CD!$C$2:$C$313&amp;D_技能表CD!$E$2:$E$313,D_技能表CD!$H$2:$H$313),2,FALSE),0)</f>
        <v>0</v>
      </c>
      <c r="BC82">
        <f t="array" aca="1" ref="BC82" ca="1">IFERROR(VLOOKUP(BA$5&amp;$AV82,CHOOSE({1,2},D_技能表CD!$C$2:$C$313&amp;D_技能表CD!$E$2:$E$313,D_技能表CD!$L$2:$L$313),2,FALSE),0)</f>
        <v>0</v>
      </c>
      <c r="BD82">
        <f t="array" aca="1" ref="BD82" ca="1">IFERROR(VLOOKUP(BA$5&amp;$AV82,CHOOSE({1,2},D_技能表CD!$C$2:$C$313&amp;D_技能表CD!$E$2:$E$313,D_技能表CD!$K$2:$K$313),2,FALSE),0)</f>
        <v>0</v>
      </c>
      <c r="BE82">
        <f t="array" ref="BE82">IFERROR(VLOOKUP(BE$5&amp;$AV82,CHOOSE({1,2},D_技能表CD!$C$2:$C$313&amp;D_技能表CD!$E$2:$E$313,D_技能表CD!$I$2:$I$313),2,FALSE),0)</f>
        <v>25</v>
      </c>
      <c r="BF82">
        <f t="array" aca="1" ref="BF82" ca="1">IFERROR(VLOOKUP(BE$5&amp;$AV82,CHOOSE({1,2},D_技能表CD!$C$2:$C$313&amp;D_技能表CD!$E$2:$E$313,D_技能表CD!$H$2:$H$313),2,FALSE),0)</f>
        <v>109150</v>
      </c>
      <c r="BG82">
        <f t="array" aca="1" ref="BG82" ca="1">IFERROR(VLOOKUP(BE$5&amp;$AV82,CHOOSE({1,2},D_技能表CD!$C$2:$C$313&amp;D_技能表CD!$E$2:$E$313,D_技能表CD!$L$2:$L$313),2,FALSE),0)</f>
        <v>310</v>
      </c>
      <c r="BH82">
        <f t="array" aca="1" ref="BH82" ca="1">IFERROR(VLOOKUP(BE$5&amp;$AV82,CHOOSE({1,2},D_技能表CD!$C$2:$C$313&amp;D_技能表CD!$E$2:$E$313,D_技能表CD!$K$2:$K$313),2,FALSE),0)</f>
        <v>687</v>
      </c>
      <c r="BI82">
        <f t="array" ref="BI82">IFERROR(VLOOKUP(BI$5&amp;$AV82,CHOOSE({1,2},D_技能表CD!$C$2:$C$313&amp;D_技能表CD!$E$2:$E$313,D_技能表CD!$I$2:$I$313),2,FALSE),0)</f>
        <v>0</v>
      </c>
      <c r="BJ82">
        <f t="array" aca="1" ref="BJ82" ca="1">IFERROR(VLOOKUP(BI$5&amp;$AV82,CHOOSE({1,2},D_技能表CD!$C$2:$C$313&amp;D_技能表CD!$E$2:$E$313,D_技能表CD!$H$2:$H$313),2,FALSE),0)</f>
        <v>0</v>
      </c>
      <c r="BK82">
        <f t="array" aca="1" ref="BK82" ca="1">IFERROR(VLOOKUP(BI$5&amp;$AV82,CHOOSE({1,2},D_技能表CD!$C$2:$C$313&amp;D_技能表CD!$E$2:$E$313,D_技能表CD!$L$2:$L$313),2,FALSE),0)</f>
        <v>0</v>
      </c>
      <c r="BL82">
        <f t="array" aca="1" ref="BL82" ca="1">IFERROR(VLOOKUP(BI$5&amp;$AV82,CHOOSE({1,2},D_技能表CD!$C$2:$C$313&amp;D_技能表CD!$E$2:$E$313,D_技能表CD!$K$2:$K$313),2,FALSE),0)</f>
        <v>0</v>
      </c>
    </row>
    <row r="83" spans="1:64" x14ac:dyDescent="0.15">
      <c r="A83">
        <f t="shared" ca="1" si="2"/>
        <v>48638433</v>
      </c>
      <c r="B83" s="33">
        <f ca="1">SUM($E$7:E83,$I$7:I83,$M$7:M83,$Q$7:Q83,$U$7:U83,$Y$7:Y83,$AC$7:AC83,$AG$7:AG83,$AK$7:AK83,$AO$7:AO83)</f>
        <v>43763833</v>
      </c>
      <c r="C83">
        <v>77</v>
      </c>
      <c r="D83">
        <f t="array" aca="1" ref="D83" ca="1">IFERROR(VLOOKUP($D$5&amp;C83,CHOOSE({1,2},D_技能表!$C$2:$C$1210&amp;D_技能表!$E$2:$E$1210,D_技能表!$I$2:$I$1210),2,FALSE),0)</f>
        <v>48</v>
      </c>
      <c r="E83">
        <f t="array" aca="1" ref="E83" ca="1">IFERROR(VLOOKUP($D$5&amp;$C83,CHOOSE({1,2},D_技能表!$C$2:$C$1210&amp;D_技能表!$E$2:$E$1210,D_技能表!$N$2:$N$1210),2,FALSE),0)</f>
        <v>800226</v>
      </c>
      <c r="F83">
        <f t="array" aca="1" ref="F83" ca="1">IFERROR(VLOOKUP($D$5&amp;$C83,CHOOSE({1,2},D_技能表!$C$2:$C$1210&amp;D_技能表!$E$2:$E$1210,D_技能表!$W$2:$W$1210),2,FALSE),0)</f>
        <v>203</v>
      </c>
      <c r="G83">
        <f t="array" aca="1" ref="G83" ca="1">IFERROR(VLOOKUP($D$5&amp;$C83,CHOOSE({1,2},D_技能表!$C$2:$C$1210&amp;D_技能表!$E$2:$E$1210,D_技能表!$Z$2:$Z$1210),2,FALSE),0)</f>
        <v>82</v>
      </c>
      <c r="H83">
        <f t="array" aca="1" ref="H83" ca="1">IFERROR(VLOOKUP($H$5&amp;$C83,CHOOSE({1,2},D_技能表!$C$2:$C$1210&amp;D_技能表!$E$2:$E$1210,D_技能表!$I$2:$I$1210),2,FALSE),0)</f>
        <v>48</v>
      </c>
      <c r="I83">
        <f t="array" aca="1" ref="I83" ca="1">IFERROR(VLOOKUP($H$5&amp;$C83,CHOOSE({1,2},D_技能表!$C$2:$C$1210&amp;D_技能表!$E$2:$E$1210,D_技能表!$N$2:$N$1210),2,FALSE),0)</f>
        <v>346896</v>
      </c>
      <c r="J83">
        <f t="array" aca="1" ref="J83" ca="1">IFERROR(VLOOKUP($H$5&amp;$C83,CHOOSE({1,2},D_技能表!$C$2:$C$1210&amp;D_技能表!$E$2:$E$1210,D_技能表!$W$2:$W$1210),2,FALSE),0)</f>
        <v>88</v>
      </c>
      <c r="K83">
        <f t="array" aca="1" ref="K83" ca="1">IFERROR(VLOOKUP($H$5&amp;$C83,CHOOSE({1,2},D_技能表!$C$2:$C$1210&amp;D_技能表!$E$2:$E$1210,D_技能表!$Z$2:$Z$1210),2,FALSE),0)</f>
        <v>36</v>
      </c>
      <c r="L83">
        <f t="array" aca="1" ref="L83" ca="1">IFERROR(VLOOKUP($L$5&amp;$C83,CHOOSE({1,2},D_技能表!$C$2:$C$1210&amp;D_技能表!$E$2:$E$1210,D_技能表!$I$2:$I$1210),2,FALSE),0)</f>
        <v>48</v>
      </c>
      <c r="M83">
        <f t="array" aca="1" ref="M83" ca="1">IFERROR(VLOOKUP($L$5&amp;$C83,CHOOSE({1,2},D_技能表!$C$2:$C$1210&amp;D_技能表!$E$2:$E$1210,D_技能表!$N$2:$N$1210),2,FALSE),0)</f>
        <v>346896</v>
      </c>
      <c r="N83">
        <f t="array" aca="1" ref="N83" ca="1">IFERROR(VLOOKUP($L$5&amp;$C83,CHOOSE({1,2},D_技能表!$C$2:$C$1210&amp;D_技能表!$E$2:$E$1210,D_技能表!$W$2:$W$1210),2,FALSE),0)</f>
        <v>88</v>
      </c>
      <c r="O83">
        <f t="array" aca="1" ref="O83" ca="1">IFERROR(VLOOKUP($L$5&amp;$C83,CHOOSE({1,2},D_技能表!$C$2:$C$1210&amp;D_技能表!$E$2:$E$1210,D_技能表!$Z$2:$Z$1210),2,FALSE),0)</f>
        <v>36</v>
      </c>
      <c r="P83">
        <f t="array" aca="1" ref="P83" ca="1">IFERROR(VLOOKUP($P$5&amp;$C83,CHOOSE({1,2},D_技能表!$C$2:$C$1210&amp;D_技能表!$E$2:$E$1210,D_技能表!$I$2:$I$1210),2,FALSE),0)</f>
        <v>48</v>
      </c>
      <c r="Q83">
        <f t="array" aca="1" ref="Q83" ca="1">IFERROR(VLOOKUP($P$5&amp;$C83,CHOOSE({1,2},D_技能表!$C$2:$C$1210&amp;D_技能表!$E$2:$E$1210,D_技能表!$N$2:$N$1210),2,FALSE),0)</f>
        <v>346896</v>
      </c>
      <c r="R83">
        <f t="array" aca="1" ref="R83" ca="1">IFERROR(VLOOKUP($P$5&amp;$C83,CHOOSE({1,2},D_技能表!$C$2:$C$1210&amp;D_技能表!$E$2:$E$1210,D_技能表!$W$2:$W$1210),2,FALSE),0)</f>
        <v>88</v>
      </c>
      <c r="S83">
        <f t="array" aca="1" ref="S83" ca="1">IFERROR(VLOOKUP($P$5&amp;$C83,CHOOSE({1,2},D_技能表!$C$2:$C$1210&amp;D_技能表!$E$2:$E$1210,D_技能表!$Z$2:$Z$1210),2,FALSE),0)</f>
        <v>36</v>
      </c>
      <c r="T83">
        <f t="array" aca="1" ref="T83" ca="1">IFERROR(VLOOKUP($T$5&amp;$C83,CHOOSE({1,2},D_技能表!$C$2:$C$1210&amp;D_技能表!$E$2:$E$1210,D_技能表!$I$2:$I$1210),2,FALSE),0)</f>
        <v>48</v>
      </c>
      <c r="U83">
        <f t="array" aca="1" ref="U83" ca="1">IFERROR(VLOOKUP($T$5&amp;$C83,CHOOSE({1,2},D_技能表!$C$2:$C$1210&amp;D_技能表!$E$2:$E$1210,D_技能表!$N$2:$N$1210),2,FALSE),0)</f>
        <v>575532</v>
      </c>
      <c r="V83">
        <f t="array" aca="1" ref="V83" ca="1">IFERROR(VLOOKUP($T$5&amp;$C83,CHOOSE({1,2},D_技能表!$C$2:$C$1210&amp;D_技能表!$E$2:$E$1210,D_技能表!$W$2:$W$1210),2,FALSE),0)</f>
        <v>146</v>
      </c>
      <c r="W83">
        <f t="array" aca="1" ref="W83" ca="1">IFERROR(VLOOKUP($T$5&amp;$C83,CHOOSE({1,2},D_技能表!$C$2:$C$1210&amp;D_技能表!$E$2:$E$1210,D_技能表!$Z$2:$Z$1210),2,FALSE),0)</f>
        <v>59</v>
      </c>
      <c r="X83">
        <f t="array" aca="1" ref="X83" ca="1">IFERROR(VLOOKUP($X$5&amp;$C83,CHOOSE({1,2},D_技能表!$C$2:$C$1210&amp;D_技能表!$E$2:$E$1210,D_技能表!$I$2:$I$1210),2,FALSE),0)</f>
        <v>48</v>
      </c>
      <c r="Y83">
        <f t="array" aca="1" ref="Y83" ca="1">IFERROR(VLOOKUP($X$5&amp;$C83,CHOOSE({1,2},D_技能表!$C$2:$C$1210&amp;D_技能表!$E$2:$E$1210,D_技能表!$N$2:$N$1210),2,FALSE),0)</f>
        <v>760806</v>
      </c>
      <c r="Z83">
        <f t="array" aca="1" ref="Z83" ca="1">IFERROR(VLOOKUP($X$5&amp;$C83,CHOOSE({1,2},D_技能表!$C$2:$C$1210&amp;D_技能表!$E$2:$E$1210,D_技能表!$W$2:$W$1210),2,FALSE),0)</f>
        <v>193</v>
      </c>
      <c r="AA83">
        <f t="array" aca="1" ref="AA83" ca="1">IFERROR(VLOOKUP($X$5&amp;$C83,CHOOSE({1,2},D_技能表!$C$2:$C$1210&amp;D_技能表!$E$2:$E$1210,D_技能表!$Z$2:$Z$1210),2,FALSE),0)</f>
        <v>78</v>
      </c>
      <c r="AB83">
        <f t="array" aca="1" ref="AB83" ca="1">IFERROR(VLOOKUP($AB$5&amp;$C83,CHOOSE({1,2},D_技能表!$C$2:$C$1210&amp;D_技能表!$E$2:$E$1210,D_技能表!$I$2:$I$1210),2,FALSE),0)</f>
        <v>48</v>
      </c>
      <c r="AC83">
        <f t="array" aca="1" ref="AC83" ca="1">IFERROR(VLOOKUP($AB$5&amp;$C83,CHOOSE({1,2},D_技能表!$C$2:$C$1210&amp;D_技能表!$E$2:$E$1210,D_技能表!$N$2:$N$1210),2,FALSE),0)</f>
        <v>366606</v>
      </c>
      <c r="AD83">
        <f t="array" aca="1" ref="AD83" ca="1">IFERROR(VLOOKUP($AB$5&amp;$C83,CHOOSE({1,2},D_技能表!$C$2:$C$1210&amp;D_技能表!$E$2:$E$1210,D_技能表!$W$2:$W$1210),2,FALSE),0)</f>
        <v>93</v>
      </c>
      <c r="AE83">
        <f t="array" aca="1" ref="AE83" ca="1">IFERROR(VLOOKUP($AB$5&amp;$C83,CHOOSE({1,2},D_技能表!$C$2:$C$1210&amp;D_技能表!$E$2:$E$1210,D_技能表!$Z$2:$Z$1210),2,FALSE),0)</f>
        <v>38</v>
      </c>
      <c r="AF83">
        <f t="array" aca="1" ref="AF83" ca="1">IFERROR(VLOOKUP($AF$5&amp;$C83,CHOOSE({1,2},D_技能表!$C$2:$C$1210&amp;D_技能表!$E$2:$E$1210,D_技能表!$I$2:$I$1210),2,FALSE),0)</f>
        <v>48</v>
      </c>
      <c r="AG83">
        <f t="array" aca="1" ref="AG83" ca="1">IFERROR(VLOOKUP($AF$5&amp;$C83,CHOOSE({1,2},D_技能表!$C$2:$C$1210&amp;D_技能表!$E$2:$E$1210,D_技能表!$N$2:$N$1210),2,FALSE),0)</f>
        <v>327186</v>
      </c>
      <c r="AH83">
        <f t="array" aca="1" ref="AH83" ca="1">IFERROR(VLOOKUP($AF$5&amp;$C83,CHOOSE({1,2},D_技能表!$C$2:$C$1210&amp;D_技能表!$E$2:$E$1210,D_技能表!$W$2:$W$1210),2,FALSE),0)</f>
        <v>83</v>
      </c>
      <c r="AI83">
        <f t="array" aca="1" ref="AI83" ca="1">IFERROR(VLOOKUP($AF$5&amp;$C83,CHOOSE({1,2},D_技能表!$C$2:$C$1210&amp;D_技能表!$E$2:$E$1210,D_技能表!$Z$2:$Z$1210),2,FALSE),0)</f>
        <v>34</v>
      </c>
      <c r="AJ83">
        <f t="array" aca="1" ref="AJ83" ca="1">IFERROR(VLOOKUP($AJ$5&amp;$C83,CHOOSE({1,2},D_技能表!$C$2:$C$1210&amp;D_技能表!$E$2:$E$1210,D_技能表!$I$2:$I$1210),2,FALSE),0)</f>
        <v>48</v>
      </c>
      <c r="AK83">
        <f t="array" aca="1" ref="AK83" ca="1">IFERROR(VLOOKUP($AJ$5&amp;$C83,CHOOSE({1,2},D_技能表!$C$2:$C$1210&amp;D_技能表!$E$2:$E$1210,D_技能表!$N$2:$N$1210),2,FALSE),0)</f>
        <v>327186</v>
      </c>
      <c r="AL83">
        <f t="array" aca="1" ref="AL83" ca="1">IFERROR(VLOOKUP($AJ$5&amp;$C83,CHOOSE({1,2},D_技能表!$C$2:$C$1210&amp;D_技能表!$E$2:$E$1210,D_技能表!$W$2:$W$1210),2,FALSE),0)</f>
        <v>83</v>
      </c>
      <c r="AM83">
        <f t="array" aca="1" ref="AM83" ca="1">IFERROR(VLOOKUP($AJ$5&amp;$C83,CHOOSE({1,2},D_技能表!$C$2:$C$1210&amp;D_技能表!$E$2:$E$1210,D_技能表!$Z$2:$Z$1210),2,FALSE),0)</f>
        <v>34</v>
      </c>
      <c r="AN83">
        <f t="array" aca="1" ref="AN83" ca="1">IFERROR(VLOOKUP($AN$5&amp;$C83,CHOOSE({1,2},D_技能表!$C$2:$C$1210&amp;D_技能表!$E$2:$E$1210,D_技能表!$I$2:$I$1210),2,FALSE),0)</f>
        <v>48</v>
      </c>
      <c r="AO83">
        <f t="array" aca="1" ref="AO83" ca="1">IFERROR(VLOOKUP($AN$5&amp;$C83,CHOOSE({1,2},D_技能表!$C$2:$C$1210&amp;D_技能表!$E$2:$E$1210,D_技能表!$N$2:$N$1210),2,FALSE),0)</f>
        <v>595242</v>
      </c>
      <c r="AP83">
        <f t="array" aca="1" ref="AP83" ca="1">IFERROR(VLOOKUP($AN$5&amp;$C83,CHOOSE({1,2},D_技能表!$C$2:$C$1210&amp;D_技能表!$E$2:$E$1210,D_技能表!$W$2:$W$1210),2,FALSE),0)</f>
        <v>151</v>
      </c>
      <c r="AQ83">
        <f t="array" aca="1" ref="AQ83" ca="1">IFERROR(VLOOKUP($AN$5&amp;$C83,CHOOSE({1,2},D_技能表!$C$2:$C$1210&amp;D_技能表!$E$2:$E$1210,D_技能表!$Z$2:$Z$1210),2,FALSE),0)</f>
        <v>61</v>
      </c>
      <c r="AR83" s="11">
        <f ca="1">SUM($G$7:G84,$K$7:K84,$O$7:O84,$S$7:S84,$W$7:W84,$AA$7:AA84,$AE$7:AE84,$AI$7:AI84,$AM$7:AM84,$AQ$7:AQ84)</f>
        <v>6802</v>
      </c>
      <c r="AS83">
        <f ca="1">SUM($F$7:F84,$J$7:J84,$N$7:N84,$R$7:R84,$V$7:V84,$Z$7:Z84,$AD$7:AD84,$AH$7:AH84,$AL$7:AL84,$AP$7:AP84)</f>
        <v>18188</v>
      </c>
      <c r="AT83">
        <f t="shared" ca="1" si="3"/>
        <v>1216</v>
      </c>
      <c r="AU83" s="33">
        <f ca="1">SUM($AX$7:AX83,$BB$7:BB83,$BF$7:BF83,$BJ$7:BJ83)</f>
        <v>4874600</v>
      </c>
      <c r="AV83">
        <v>77</v>
      </c>
      <c r="AW83">
        <f t="array" ref="AW83">IFERROR(VLOOKUP(AW$5&amp;$AV83,CHOOSE({1,2},D_技能表CD!$C$2:$C$313&amp;D_技能表CD!$E$2:$E$313,D_技能表CD!$I$2:$I$313),2,FALSE),0)</f>
        <v>0</v>
      </c>
      <c r="AX83">
        <f t="array" aca="1" ref="AX83" ca="1">IFERROR(VLOOKUP(AW$5&amp;$AV83,CHOOSE({1,2},D_技能表CD!$C$2:$C$313&amp;D_技能表CD!$E$2:$E$313,D_技能表CD!$H$2:$H$313),2,FALSE),0)</f>
        <v>0</v>
      </c>
      <c r="AY83">
        <f t="array" aca="1" ref="AY83" ca="1">IFERROR(VLOOKUP(AW$5&amp;$AV83,CHOOSE({1,2},D_技能表CD!$C$2:$C$313&amp;D_技能表CD!$E$2:$E$313,D_技能表CD!$L$2:$L$313),2,FALSE),0)</f>
        <v>0</v>
      </c>
      <c r="AZ83">
        <f t="array" aca="1" ref="AZ83" ca="1">IFERROR(VLOOKUP(AW$5&amp;$AV83,CHOOSE({1,2},D_技能表CD!$C$2:$C$313&amp;D_技能表CD!$E$2:$E$313,D_技能表CD!$K$2:$K$313),2,FALSE),0)</f>
        <v>0</v>
      </c>
      <c r="BA83">
        <f t="array" ref="BA83">IFERROR(VLOOKUP(BA$5&amp;$AV83,CHOOSE({1,2},D_技能表CD!$C$2:$C$313&amp;D_技能表CD!$E$2:$E$313,D_技能表CD!$I$2:$I$313),2,FALSE),0)</f>
        <v>0</v>
      </c>
      <c r="BB83">
        <f t="array" aca="1" ref="BB83" ca="1">IFERROR(VLOOKUP(BA$5&amp;$AV83,CHOOSE({1,2},D_技能表CD!$C$2:$C$313&amp;D_技能表CD!$E$2:$E$313,D_技能表CD!$H$2:$H$313),2,FALSE),0)</f>
        <v>0</v>
      </c>
      <c r="BC83">
        <f t="array" aca="1" ref="BC83" ca="1">IFERROR(VLOOKUP(BA$5&amp;$AV83,CHOOSE({1,2},D_技能表CD!$C$2:$C$313&amp;D_技能表CD!$E$2:$E$313,D_技能表CD!$L$2:$L$313),2,FALSE),0)</f>
        <v>0</v>
      </c>
      <c r="BD83">
        <f t="array" aca="1" ref="BD83" ca="1">IFERROR(VLOOKUP(BA$5&amp;$AV83,CHOOSE({1,2},D_技能表CD!$C$2:$C$313&amp;D_技能表CD!$E$2:$E$313,D_技能表CD!$K$2:$K$313),2,FALSE),0)</f>
        <v>0</v>
      </c>
      <c r="BE83">
        <f t="array" ref="BE83">IFERROR(VLOOKUP(BE$5&amp;$AV83,CHOOSE({1,2},D_技能表CD!$C$2:$C$313&amp;D_技能表CD!$E$2:$E$313,D_技能表CD!$I$2:$I$313),2,FALSE),0)</f>
        <v>0</v>
      </c>
      <c r="BF83">
        <f t="array" aca="1" ref="BF83" ca="1">IFERROR(VLOOKUP(BE$5&amp;$AV83,CHOOSE({1,2},D_技能表CD!$C$2:$C$313&amp;D_技能表CD!$E$2:$E$313,D_技能表CD!$H$2:$H$313),2,FALSE),0)</f>
        <v>0</v>
      </c>
      <c r="BG83">
        <f t="array" aca="1" ref="BG83" ca="1">IFERROR(VLOOKUP(BE$5&amp;$AV83,CHOOSE({1,2},D_技能表CD!$C$2:$C$313&amp;D_技能表CD!$E$2:$E$313,D_技能表CD!$L$2:$L$313),2,FALSE),0)</f>
        <v>0</v>
      </c>
      <c r="BH83">
        <f t="array" aca="1" ref="BH83" ca="1">IFERROR(VLOOKUP(BE$5&amp;$AV83,CHOOSE({1,2},D_技能表CD!$C$2:$C$313&amp;D_技能表CD!$E$2:$E$313,D_技能表CD!$K$2:$K$313),2,FALSE),0)</f>
        <v>0</v>
      </c>
      <c r="BI83">
        <f t="array" ref="BI83">IFERROR(VLOOKUP(BI$5&amp;$AV83,CHOOSE({1,2},D_技能表CD!$C$2:$C$313&amp;D_技能表CD!$E$2:$E$313,D_技能表CD!$I$2:$I$313),2,FALSE),0)</f>
        <v>25</v>
      </c>
      <c r="BJ83">
        <f t="array" aca="1" ref="BJ83" ca="1">IFERROR(VLOOKUP(BI$5&amp;$AV83,CHOOSE({1,2},D_技能表CD!$C$2:$C$313&amp;D_技能表CD!$E$2:$E$313,D_技能表CD!$H$2:$H$313),2,FALSE),0)</f>
        <v>239450</v>
      </c>
      <c r="BK83">
        <f t="array" aca="1" ref="BK83" ca="1">IFERROR(VLOOKUP(BI$5&amp;$AV83,CHOOSE({1,2},D_技能表CD!$C$2:$C$313&amp;D_技能表CD!$E$2:$E$313,D_技能表CD!$L$2:$L$313),2,FALSE),0)</f>
        <v>680</v>
      </c>
      <c r="BL83">
        <f t="array" aca="1" ref="BL83" ca="1">IFERROR(VLOOKUP(BI$5&amp;$AV83,CHOOSE({1,2},D_技能表CD!$C$2:$C$313&amp;D_技能表CD!$E$2:$E$313,D_技能表CD!$K$2:$K$313),2,FALSE),0)</f>
        <v>1506</v>
      </c>
    </row>
    <row r="84" spans="1:64" x14ac:dyDescent="0.15">
      <c r="A84">
        <f t="shared" ca="1" si="2"/>
        <v>50563218</v>
      </c>
      <c r="B84" s="33">
        <f ca="1">SUM($E$7:E84,$I$7:I84,$M$7:M84,$Q$7:Q84,$U$7:U84,$Y$7:Y84,$AC$7:AC84,$AG$7:AG84,$AK$7:AK84,$AO$7:AO84)</f>
        <v>45402868</v>
      </c>
      <c r="C84">
        <v>78</v>
      </c>
      <c r="D84">
        <f t="array" aca="1" ref="D84" ca="1">IFERROR(VLOOKUP($D$5&amp;C84,CHOOSE({1,2},D_技能表!$C$2:$C$1210&amp;D_技能表!$E$2:$E$1210,D_技能表!$I$2:$I$1210),2,FALSE),0)</f>
        <v>49</v>
      </c>
      <c r="E84">
        <f t="array" aca="1" ref="E84" ca="1">IFERROR(VLOOKUP($D$5&amp;$C84,CHOOSE({1,2},D_技能表!$C$2:$C$1210&amp;D_技能表!$E$2:$E$1210,D_技能表!$N$2:$N$1210),2,FALSE),0)</f>
        <v>878199</v>
      </c>
      <c r="F84">
        <f t="array" aca="1" ref="F84" ca="1">IFERROR(VLOOKUP($D$5&amp;$C84,CHOOSE({1,2},D_技能表!$C$2:$C$1210&amp;D_技能表!$E$2:$E$1210,D_技能表!$W$2:$W$1210),2,FALSE),0)</f>
        <v>217</v>
      </c>
      <c r="G84">
        <f t="array" aca="1" ref="G84" ca="1">IFERROR(VLOOKUP($D$5&amp;$C84,CHOOSE({1,2},D_技能表!$C$2:$C$1210&amp;D_技能表!$E$2:$E$1210,D_技能表!$Z$2:$Z$1210),2,FALSE),0)</f>
        <v>87</v>
      </c>
      <c r="H84">
        <f t="array" aca="1" ref="H84" ca="1">IFERROR(VLOOKUP($H$5&amp;$C84,CHOOSE({1,2},D_技能表!$C$2:$C$1210&amp;D_技能表!$E$2:$E$1210,D_技能表!$I$2:$I$1210),2,FALSE),0)</f>
        <v>49</v>
      </c>
      <c r="I84">
        <f t="array" aca="1" ref="I84" ca="1">IFERROR(VLOOKUP($H$5&amp;$C84,CHOOSE({1,2},D_技能表!$C$2:$C$1210&amp;D_技能表!$E$2:$E$1210,D_技能表!$N$2:$N$1210),2,FALSE),0)</f>
        <v>380418</v>
      </c>
      <c r="J84">
        <f t="array" aca="1" ref="J84" ca="1">IFERROR(VLOOKUP($H$5&amp;$C84,CHOOSE({1,2},D_技能表!$C$2:$C$1210&amp;D_技能表!$E$2:$E$1210,D_技能表!$W$2:$W$1210),2,FALSE),0)</f>
        <v>94</v>
      </c>
      <c r="K84">
        <f t="array" aca="1" ref="K84" ca="1">IFERROR(VLOOKUP($H$5&amp;$C84,CHOOSE({1,2},D_技能表!$C$2:$C$1210&amp;D_技能表!$E$2:$E$1210,D_技能表!$Z$2:$Z$1210),2,FALSE),0)</f>
        <v>38</v>
      </c>
      <c r="L84">
        <f t="array" aca="1" ref="L84" ca="1">IFERROR(VLOOKUP($L$5&amp;$C84,CHOOSE({1,2},D_技能表!$C$2:$C$1210&amp;D_技能表!$E$2:$E$1210,D_技能表!$I$2:$I$1210),2,FALSE),0)</f>
        <v>49</v>
      </c>
      <c r="M84">
        <f t="array" aca="1" ref="M84" ca="1">IFERROR(VLOOKUP($L$5&amp;$C84,CHOOSE({1,2},D_技能表!$C$2:$C$1210&amp;D_技能表!$E$2:$E$1210,D_技能表!$N$2:$N$1210),2,FALSE),0)</f>
        <v>380418</v>
      </c>
      <c r="N84">
        <f t="array" aca="1" ref="N84" ca="1">IFERROR(VLOOKUP($L$5&amp;$C84,CHOOSE({1,2},D_技能表!$C$2:$C$1210&amp;D_技能表!$E$2:$E$1210,D_技能表!$W$2:$W$1210),2,FALSE),0)</f>
        <v>94</v>
      </c>
      <c r="O84">
        <f t="array" aca="1" ref="O84" ca="1">IFERROR(VLOOKUP($L$5&amp;$C84,CHOOSE({1,2},D_技能表!$C$2:$C$1210&amp;D_技能表!$E$2:$E$1210,D_技能表!$Z$2:$Z$1210),2,FALSE),0)</f>
        <v>38</v>
      </c>
      <c r="P84">
        <f t="array" aca="1" ref="P84" ca="1">IFERROR(VLOOKUP($P$5&amp;$C84,CHOOSE({1,2},D_技能表!$C$2:$C$1210&amp;D_技能表!$E$2:$E$1210,D_技能表!$I$2:$I$1210),2,FALSE),0)</f>
        <v>0</v>
      </c>
      <c r="Q84">
        <f t="array" aca="1" ref="Q84" ca="1">IFERROR(VLOOKUP($P$5&amp;$C84,CHOOSE({1,2},D_技能表!$C$2:$C$1210&amp;D_技能表!$E$2:$E$1210,D_技能表!$N$2:$N$1210),2,FALSE),0)</f>
        <v>0</v>
      </c>
      <c r="R84">
        <f t="array" aca="1" ref="R84" ca="1">IFERROR(VLOOKUP($P$5&amp;$C84,CHOOSE({1,2},D_技能表!$C$2:$C$1210&amp;D_技能表!$E$2:$E$1210,D_技能表!$W$2:$W$1210),2,FALSE),0)</f>
        <v>0</v>
      </c>
      <c r="S84">
        <f t="array" aca="1" ref="S84" ca="1">IFERROR(VLOOKUP($P$5&amp;$C84,CHOOSE({1,2},D_技能表!$C$2:$C$1210&amp;D_技能表!$E$2:$E$1210,D_技能表!$Z$2:$Z$1210),2,FALSE),0)</f>
        <v>0</v>
      </c>
      <c r="T84">
        <f t="array" aca="1" ref="T84" ca="1">IFERROR(VLOOKUP($T$5&amp;$C84,CHOOSE({1,2},D_技能表!$C$2:$C$1210&amp;D_技能表!$E$2:$E$1210,D_技能表!$I$2:$I$1210),2,FALSE),0)</f>
        <v>0</v>
      </c>
      <c r="U84">
        <f t="array" aca="1" ref="U84" ca="1">IFERROR(VLOOKUP($T$5&amp;$C84,CHOOSE({1,2},D_技能表!$C$2:$C$1210&amp;D_技能表!$E$2:$E$1210,D_技能表!$N$2:$N$1210),2,FALSE),0)</f>
        <v>0</v>
      </c>
      <c r="V84">
        <f t="array" aca="1" ref="V84" ca="1">IFERROR(VLOOKUP($T$5&amp;$C84,CHOOSE({1,2},D_技能表!$C$2:$C$1210&amp;D_技能表!$E$2:$E$1210,D_技能表!$W$2:$W$1210),2,FALSE),0)</f>
        <v>0</v>
      </c>
      <c r="W84">
        <f t="array" aca="1" ref="W84" ca="1">IFERROR(VLOOKUP($T$5&amp;$C84,CHOOSE({1,2},D_技能表!$C$2:$C$1210&amp;D_技能表!$E$2:$E$1210,D_技能表!$Z$2:$Z$1210),2,FALSE),0)</f>
        <v>0</v>
      </c>
      <c r="X84">
        <f t="array" aca="1" ref="X84" ca="1">IFERROR(VLOOKUP($X$5&amp;$C84,CHOOSE({1,2},D_技能表!$C$2:$C$1210&amp;D_技能表!$E$2:$E$1210,D_技能表!$I$2:$I$1210),2,FALSE),0)</f>
        <v>0</v>
      </c>
      <c r="Y84">
        <f t="array" aca="1" ref="Y84" ca="1">IFERROR(VLOOKUP($X$5&amp;$C84,CHOOSE({1,2},D_技能表!$C$2:$C$1210&amp;D_技能表!$E$2:$E$1210,D_技能表!$N$2:$N$1210),2,FALSE),0)</f>
        <v>0</v>
      </c>
      <c r="Z84">
        <f t="array" aca="1" ref="Z84" ca="1">IFERROR(VLOOKUP($X$5&amp;$C84,CHOOSE({1,2},D_技能表!$C$2:$C$1210&amp;D_技能表!$E$2:$E$1210,D_技能表!$W$2:$W$1210),2,FALSE),0)</f>
        <v>0</v>
      </c>
      <c r="AA84">
        <f t="array" aca="1" ref="AA84" ca="1">IFERROR(VLOOKUP($X$5&amp;$C84,CHOOSE({1,2},D_技能表!$C$2:$C$1210&amp;D_技能表!$E$2:$E$1210,D_技能表!$Z$2:$Z$1210),2,FALSE),0)</f>
        <v>0</v>
      </c>
      <c r="AB84">
        <f t="array" aca="1" ref="AB84" ca="1">IFERROR(VLOOKUP($AB$5&amp;$C84,CHOOSE({1,2},D_技能表!$C$2:$C$1210&amp;D_技能表!$E$2:$E$1210,D_技能表!$I$2:$I$1210),2,FALSE),0)</f>
        <v>0</v>
      </c>
      <c r="AC84">
        <f t="array" aca="1" ref="AC84" ca="1">IFERROR(VLOOKUP($AB$5&amp;$C84,CHOOSE({1,2},D_技能表!$C$2:$C$1210&amp;D_技能表!$E$2:$E$1210,D_技能表!$N$2:$N$1210),2,FALSE),0)</f>
        <v>0</v>
      </c>
      <c r="AD84">
        <f t="array" aca="1" ref="AD84" ca="1">IFERROR(VLOOKUP($AB$5&amp;$C84,CHOOSE({1,2},D_技能表!$C$2:$C$1210&amp;D_技能表!$E$2:$E$1210,D_技能表!$W$2:$W$1210),2,FALSE),0)</f>
        <v>0</v>
      </c>
      <c r="AE84">
        <f t="array" aca="1" ref="AE84" ca="1">IFERROR(VLOOKUP($AB$5&amp;$C84,CHOOSE({1,2},D_技能表!$C$2:$C$1210&amp;D_技能表!$E$2:$E$1210,D_技能表!$Z$2:$Z$1210),2,FALSE),0)</f>
        <v>0</v>
      </c>
      <c r="AF84">
        <f t="array" aca="1" ref="AF84" ca="1">IFERROR(VLOOKUP($AF$5&amp;$C84,CHOOSE({1,2},D_技能表!$C$2:$C$1210&amp;D_技能表!$E$2:$E$1210,D_技能表!$I$2:$I$1210),2,FALSE),0)</f>
        <v>0</v>
      </c>
      <c r="AG84">
        <f t="array" aca="1" ref="AG84" ca="1">IFERROR(VLOOKUP($AF$5&amp;$C84,CHOOSE({1,2},D_技能表!$C$2:$C$1210&amp;D_技能表!$E$2:$E$1210,D_技能表!$N$2:$N$1210),2,FALSE),0)</f>
        <v>0</v>
      </c>
      <c r="AH84">
        <f t="array" aca="1" ref="AH84" ca="1">IFERROR(VLOOKUP($AF$5&amp;$C84,CHOOSE({1,2},D_技能表!$C$2:$C$1210&amp;D_技能表!$E$2:$E$1210,D_技能表!$W$2:$W$1210),2,FALSE),0)</f>
        <v>0</v>
      </c>
      <c r="AI84">
        <f t="array" aca="1" ref="AI84" ca="1">IFERROR(VLOOKUP($AF$5&amp;$C84,CHOOSE({1,2},D_技能表!$C$2:$C$1210&amp;D_技能表!$E$2:$E$1210,D_技能表!$Z$2:$Z$1210),2,FALSE),0)</f>
        <v>0</v>
      </c>
      <c r="AJ84">
        <f t="array" aca="1" ref="AJ84" ca="1">IFERROR(VLOOKUP($AJ$5&amp;$C84,CHOOSE({1,2},D_技能表!$C$2:$C$1210&amp;D_技能表!$E$2:$E$1210,D_技能表!$I$2:$I$1210),2,FALSE),0)</f>
        <v>0</v>
      </c>
      <c r="AK84">
        <f t="array" aca="1" ref="AK84" ca="1">IFERROR(VLOOKUP($AJ$5&amp;$C84,CHOOSE({1,2},D_技能表!$C$2:$C$1210&amp;D_技能表!$E$2:$E$1210,D_技能表!$N$2:$N$1210),2,FALSE),0)</f>
        <v>0</v>
      </c>
      <c r="AL84">
        <f t="array" aca="1" ref="AL84" ca="1">IFERROR(VLOOKUP($AJ$5&amp;$C84,CHOOSE({1,2},D_技能表!$C$2:$C$1210&amp;D_技能表!$E$2:$E$1210,D_技能表!$W$2:$W$1210),2,FALSE),0)</f>
        <v>0</v>
      </c>
      <c r="AM84">
        <f t="array" aca="1" ref="AM84" ca="1">IFERROR(VLOOKUP($AJ$5&amp;$C84,CHOOSE({1,2},D_技能表!$C$2:$C$1210&amp;D_技能表!$E$2:$E$1210,D_技能表!$Z$2:$Z$1210),2,FALSE),0)</f>
        <v>0</v>
      </c>
      <c r="AN84">
        <f t="array" aca="1" ref="AN84" ca="1">IFERROR(VLOOKUP($AN$5&amp;$C84,CHOOSE({1,2},D_技能表!$C$2:$C$1210&amp;D_技能表!$E$2:$E$1210,D_技能表!$I$2:$I$1210),2,FALSE),0)</f>
        <v>0</v>
      </c>
      <c r="AO84">
        <f t="array" aca="1" ref="AO84" ca="1">IFERROR(VLOOKUP($AN$5&amp;$C84,CHOOSE({1,2},D_技能表!$C$2:$C$1210&amp;D_技能表!$E$2:$E$1210,D_技能表!$N$2:$N$1210),2,FALSE),0)</f>
        <v>0</v>
      </c>
      <c r="AP84">
        <f t="array" aca="1" ref="AP84" ca="1">IFERROR(VLOOKUP($AN$5&amp;$C84,CHOOSE({1,2},D_技能表!$C$2:$C$1210&amp;D_技能表!$E$2:$E$1210,D_技能表!$W$2:$W$1210),2,FALSE),0)</f>
        <v>0</v>
      </c>
      <c r="AQ84">
        <f t="array" aca="1" ref="AQ84" ca="1">IFERROR(VLOOKUP($AN$5&amp;$C84,CHOOSE({1,2},D_技能表!$C$2:$C$1210&amp;D_技能表!$E$2:$E$1210,D_技能表!$Z$2:$Z$1210),2,FALSE),0)</f>
        <v>0</v>
      </c>
      <c r="AR84" s="11">
        <f ca="1">SUM($G$7:G85,$K$7:K85,$O$7:O85,$S$7:S85,$W$7:W85,$AA$7:AA85,$AE$7:AE85,$AI$7:AI85,$AM$7:AM85,$AQ$7:AQ85)</f>
        <v>7163</v>
      </c>
      <c r="AS84">
        <f ca="1">SUM($F$7:F85,$J$7:J85,$N$7:N85,$R$7:R85,$V$7:V85,$Z$7:Z85,$AD$7:AD85,$AH$7:AH85,$AL$7:AL85,$AP$7:AP85)</f>
        <v>19082</v>
      </c>
      <c r="AT84">
        <f t="shared" ca="1" si="3"/>
        <v>405</v>
      </c>
      <c r="AU84" s="33">
        <f ca="1">SUM($AX$7:AX84,$BB$7:BB84,$BF$7:BF84,$BJ$7:BJ84)</f>
        <v>5160350</v>
      </c>
      <c r="AV84">
        <v>78</v>
      </c>
      <c r="AW84">
        <f t="array" ref="AW84">IFERROR(VLOOKUP(AW$5&amp;$AV84,CHOOSE({1,2},D_技能表CD!$C$2:$C$313&amp;D_技能表CD!$E$2:$E$313,D_技能表CD!$I$2:$I$313),2,FALSE),0)</f>
        <v>0</v>
      </c>
      <c r="AX84">
        <f t="array" aca="1" ref="AX84" ca="1">IFERROR(VLOOKUP(AW$5&amp;$AV84,CHOOSE({1,2},D_技能表CD!$C$2:$C$313&amp;D_技能表CD!$E$2:$E$313,D_技能表CD!$H$2:$H$313),2,FALSE),0)</f>
        <v>0</v>
      </c>
      <c r="AY84">
        <f t="array" aca="1" ref="AY84" ca="1">IFERROR(VLOOKUP(AW$5&amp;$AV84,CHOOSE({1,2},D_技能表CD!$C$2:$C$313&amp;D_技能表CD!$E$2:$E$313,D_技能表CD!$L$2:$L$313),2,FALSE),0)</f>
        <v>0</v>
      </c>
      <c r="AZ84">
        <f t="array" aca="1" ref="AZ84" ca="1">IFERROR(VLOOKUP(AW$5&amp;$AV84,CHOOSE({1,2},D_技能表CD!$C$2:$C$313&amp;D_技能表CD!$E$2:$E$313,D_技能表CD!$K$2:$K$313),2,FALSE),0)</f>
        <v>0</v>
      </c>
      <c r="BA84">
        <f t="array" ref="BA84">IFERROR(VLOOKUP(BA$5&amp;$AV84,CHOOSE({1,2},D_技能表CD!$C$2:$C$313&amp;D_技能表CD!$E$2:$E$313,D_技能表CD!$I$2:$I$313),2,FALSE),0)</f>
        <v>26</v>
      </c>
      <c r="BB84">
        <f t="array" aca="1" ref="BB84" ca="1">IFERROR(VLOOKUP(BA$5&amp;$AV84,CHOOSE({1,2},D_技能表CD!$C$2:$C$313&amp;D_技能表CD!$E$2:$E$313,D_技能表CD!$H$2:$H$313),2,FALSE),0)</f>
        <v>285750</v>
      </c>
      <c r="BC84">
        <f t="array" aca="1" ref="BC84" ca="1">IFERROR(VLOOKUP(BA$5&amp;$AV84,CHOOSE({1,2},D_技能表CD!$C$2:$C$313&amp;D_技能表CD!$E$2:$E$313,D_技能表CD!$L$2:$L$313),2,FALSE),0)</f>
        <v>808</v>
      </c>
      <c r="BD84">
        <f t="array" aca="1" ref="BD84" ca="1">IFERROR(VLOOKUP(BA$5&amp;$AV84,CHOOSE({1,2},D_技能表CD!$C$2:$C$313&amp;D_技能表CD!$E$2:$E$313,D_技能表CD!$K$2:$K$313),2,FALSE),0)</f>
        <v>1847</v>
      </c>
      <c r="BE84">
        <f t="array" ref="BE84">IFERROR(VLOOKUP(BE$5&amp;$AV84,CHOOSE({1,2},D_技能表CD!$C$2:$C$313&amp;D_技能表CD!$E$2:$E$313,D_技能表CD!$I$2:$I$313),2,FALSE),0)</f>
        <v>0</v>
      </c>
      <c r="BF84">
        <f t="array" aca="1" ref="BF84" ca="1">IFERROR(VLOOKUP(BE$5&amp;$AV84,CHOOSE({1,2},D_技能表CD!$C$2:$C$313&amp;D_技能表CD!$E$2:$E$313,D_技能表CD!$H$2:$H$313),2,FALSE),0)</f>
        <v>0</v>
      </c>
      <c r="BG84">
        <f t="array" aca="1" ref="BG84" ca="1">IFERROR(VLOOKUP(BE$5&amp;$AV84,CHOOSE({1,2},D_技能表CD!$C$2:$C$313&amp;D_技能表CD!$E$2:$E$313,D_技能表CD!$L$2:$L$313),2,FALSE),0)</f>
        <v>0</v>
      </c>
      <c r="BH84">
        <f t="array" aca="1" ref="BH84" ca="1">IFERROR(VLOOKUP(BE$5&amp;$AV84,CHOOSE({1,2},D_技能表CD!$C$2:$C$313&amp;D_技能表CD!$E$2:$E$313,D_技能表CD!$K$2:$K$313),2,FALSE),0)</f>
        <v>0</v>
      </c>
      <c r="BI84">
        <f t="array" ref="BI84">IFERROR(VLOOKUP(BI$5&amp;$AV84,CHOOSE({1,2},D_技能表CD!$C$2:$C$313&amp;D_技能表CD!$E$2:$E$313,D_技能表CD!$I$2:$I$313),2,FALSE),0)</f>
        <v>0</v>
      </c>
      <c r="BJ84">
        <f t="array" aca="1" ref="BJ84" ca="1">IFERROR(VLOOKUP(BI$5&amp;$AV84,CHOOSE({1,2},D_技能表CD!$C$2:$C$313&amp;D_技能表CD!$E$2:$E$313,D_技能表CD!$H$2:$H$313),2,FALSE),0)</f>
        <v>0</v>
      </c>
      <c r="BK84">
        <f t="array" aca="1" ref="BK84" ca="1">IFERROR(VLOOKUP(BI$5&amp;$AV84,CHOOSE({1,2},D_技能表CD!$C$2:$C$313&amp;D_技能表CD!$E$2:$E$313,D_技能表CD!$L$2:$L$313),2,FALSE),0)</f>
        <v>0</v>
      </c>
      <c r="BL84">
        <f t="array" aca="1" ref="BL84" ca="1">IFERROR(VLOOKUP(BI$5&amp;$AV84,CHOOSE({1,2},D_技能表CD!$C$2:$C$313&amp;D_技能表CD!$E$2:$E$313,D_技能表CD!$K$2:$K$313),2,FALSE),0)</f>
        <v>0</v>
      </c>
    </row>
    <row r="85" spans="1:64" x14ac:dyDescent="0.15">
      <c r="A85">
        <f t="shared" ca="1" si="2"/>
        <v>54403994</v>
      </c>
      <c r="B85" s="33">
        <f ca="1">SUM($E$7:E85,$I$7:I85,$M$7:M85,$Q$7:Q85,$U$7:U85,$Y$7:Y85,$AC$7:AC85,$AG$7:AG85,$AK$7:AK85,$AO$7:AO85)</f>
        <v>49116544</v>
      </c>
      <c r="C85">
        <v>79</v>
      </c>
      <c r="D85">
        <f t="array" aca="1" ref="D85" ca="1">IFERROR(VLOOKUP($D$5&amp;C85,CHOOSE({1,2},D_技能表!$C$2:$C$1210&amp;D_技能表!$E$2:$E$1210,D_技能表!$I$2:$I$1210),2,FALSE),0)</f>
        <v>0</v>
      </c>
      <c r="E85">
        <f t="array" aca="1" ref="E85" ca="1">IFERROR(VLOOKUP($D$5&amp;$C85,CHOOSE({1,2},D_技能表!$C$2:$C$1210&amp;D_技能表!$E$2:$E$1210,D_技能表!$N$2:$N$1210),2,FALSE),0)</f>
        <v>0</v>
      </c>
      <c r="F85">
        <f t="array" aca="1" ref="F85" ca="1">IFERROR(VLOOKUP($D$5&amp;$C85,CHOOSE({1,2},D_技能表!$C$2:$C$1210&amp;D_技能表!$E$2:$E$1210,D_技能表!$W$2:$W$1210),2,FALSE),0)</f>
        <v>0</v>
      </c>
      <c r="G85">
        <f t="array" aca="1" ref="G85" ca="1">IFERROR(VLOOKUP($D$5&amp;$C85,CHOOSE({1,2},D_技能表!$C$2:$C$1210&amp;D_技能表!$E$2:$E$1210,D_技能表!$Z$2:$Z$1210),2,FALSE),0)</f>
        <v>0</v>
      </c>
      <c r="H85">
        <f t="array" aca="1" ref="H85" ca="1">IFERROR(VLOOKUP($H$5&amp;$C85,CHOOSE({1,2},D_技能表!$C$2:$C$1210&amp;D_技能表!$E$2:$E$1210,D_技能表!$I$2:$I$1210),2,FALSE),0)</f>
        <v>0</v>
      </c>
      <c r="I85">
        <f t="array" aca="1" ref="I85" ca="1">IFERROR(VLOOKUP($H$5&amp;$C85,CHOOSE({1,2},D_技能表!$C$2:$C$1210&amp;D_技能表!$E$2:$E$1210,D_技能表!$N$2:$N$1210),2,FALSE),0)</f>
        <v>0</v>
      </c>
      <c r="J85">
        <f t="array" aca="1" ref="J85" ca="1">IFERROR(VLOOKUP($H$5&amp;$C85,CHOOSE({1,2},D_技能表!$C$2:$C$1210&amp;D_技能表!$E$2:$E$1210,D_技能表!$W$2:$W$1210),2,FALSE),0)</f>
        <v>0</v>
      </c>
      <c r="K85">
        <f t="array" aca="1" ref="K85" ca="1">IFERROR(VLOOKUP($H$5&amp;$C85,CHOOSE({1,2},D_技能表!$C$2:$C$1210&amp;D_技能表!$E$2:$E$1210,D_技能表!$Z$2:$Z$1210),2,FALSE),0)</f>
        <v>0</v>
      </c>
      <c r="L85">
        <f t="array" aca="1" ref="L85" ca="1">IFERROR(VLOOKUP($L$5&amp;$C85,CHOOSE({1,2},D_技能表!$C$2:$C$1210&amp;D_技能表!$E$2:$E$1210,D_技能表!$I$2:$I$1210),2,FALSE),0)</f>
        <v>0</v>
      </c>
      <c r="M85">
        <f t="array" aca="1" ref="M85" ca="1">IFERROR(VLOOKUP($L$5&amp;$C85,CHOOSE({1,2},D_技能表!$C$2:$C$1210&amp;D_技能表!$E$2:$E$1210,D_技能表!$N$2:$N$1210),2,FALSE),0)</f>
        <v>0</v>
      </c>
      <c r="N85">
        <f t="array" aca="1" ref="N85" ca="1">IFERROR(VLOOKUP($L$5&amp;$C85,CHOOSE({1,2},D_技能表!$C$2:$C$1210&amp;D_技能表!$E$2:$E$1210,D_技能表!$W$2:$W$1210),2,FALSE),0)</f>
        <v>0</v>
      </c>
      <c r="O85">
        <f t="array" aca="1" ref="O85" ca="1">IFERROR(VLOOKUP($L$5&amp;$C85,CHOOSE({1,2},D_技能表!$C$2:$C$1210&amp;D_技能表!$E$2:$E$1210,D_技能表!$Z$2:$Z$1210),2,FALSE),0)</f>
        <v>0</v>
      </c>
      <c r="P85">
        <f t="array" aca="1" ref="P85" ca="1">IFERROR(VLOOKUP($P$5&amp;$C85,CHOOSE({1,2},D_技能表!$C$2:$C$1210&amp;D_技能表!$E$2:$E$1210,D_技能表!$I$2:$I$1210),2,FALSE),0)</f>
        <v>49</v>
      </c>
      <c r="Q85">
        <f t="array" aca="1" ref="Q85" ca="1">IFERROR(VLOOKUP($P$5&amp;$C85,CHOOSE({1,2},D_技能表!$C$2:$C$1210&amp;D_技能表!$E$2:$E$1210,D_技能表!$N$2:$N$1210),2,FALSE),0)</f>
        <v>390476</v>
      </c>
      <c r="R85">
        <f t="array" aca="1" ref="R85" ca="1">IFERROR(VLOOKUP($P$5&amp;$C85,CHOOSE({1,2},D_技能表!$C$2:$C$1210&amp;D_技能表!$E$2:$E$1210,D_技能表!$W$2:$W$1210),2,FALSE),0)</f>
        <v>94</v>
      </c>
      <c r="S85">
        <f t="array" aca="1" ref="S85" ca="1">IFERROR(VLOOKUP($P$5&amp;$C85,CHOOSE({1,2},D_技能表!$C$2:$C$1210&amp;D_技能表!$E$2:$E$1210,D_技能表!$Z$2:$Z$1210),2,FALSE),0)</f>
        <v>38</v>
      </c>
      <c r="T85">
        <f t="array" aca="1" ref="T85" ca="1">IFERROR(VLOOKUP($T$5&amp;$C85,CHOOSE({1,2},D_技能表!$C$2:$C$1210&amp;D_技能表!$E$2:$E$1210,D_技能表!$I$2:$I$1210),2,FALSE),0)</f>
        <v>49</v>
      </c>
      <c r="U85">
        <f t="array" aca="1" ref="U85" ca="1">IFERROR(VLOOKUP($T$5&amp;$C85,CHOOSE({1,2},D_技能表!$C$2:$C$1210&amp;D_技能表!$E$2:$E$1210,D_技能表!$N$2:$N$1210),2,FALSE),0)</f>
        <v>648024</v>
      </c>
      <c r="V85">
        <f t="array" aca="1" ref="V85" ca="1">IFERROR(VLOOKUP($T$5&amp;$C85,CHOOSE({1,2},D_技能表!$C$2:$C$1210&amp;D_技能表!$E$2:$E$1210,D_技能表!$W$2:$W$1210),2,FALSE),0)</f>
        <v>156</v>
      </c>
      <c r="W85">
        <f t="array" aca="1" ref="W85" ca="1">IFERROR(VLOOKUP($T$5&amp;$C85,CHOOSE({1,2},D_技能表!$C$2:$C$1210&amp;D_技能表!$E$2:$E$1210,D_技能表!$Z$2:$Z$1210),2,FALSE),0)</f>
        <v>63</v>
      </c>
      <c r="X85">
        <f t="array" aca="1" ref="X85" ca="1">IFERROR(VLOOKUP($X$5&amp;$C85,CHOOSE({1,2},D_技能表!$C$2:$C$1210&amp;D_技能表!$E$2:$E$1210,D_技能表!$I$2:$I$1210),2,FALSE),0)</f>
        <v>49</v>
      </c>
      <c r="Y85">
        <f t="array" aca="1" ref="Y85" ca="1">IFERROR(VLOOKUP($X$5&amp;$C85,CHOOSE({1,2},D_技能表!$C$2:$C$1210&amp;D_技能表!$E$2:$E$1210,D_技能表!$N$2:$N$1210),2,FALSE),0)</f>
        <v>855724</v>
      </c>
      <c r="Z85">
        <f t="array" aca="1" ref="Z85" ca="1">IFERROR(VLOOKUP($X$5&amp;$C85,CHOOSE({1,2},D_技能表!$C$2:$C$1210&amp;D_技能表!$E$2:$E$1210,D_技能表!$W$2:$W$1210),2,FALSE),0)</f>
        <v>206</v>
      </c>
      <c r="AA85">
        <f t="array" aca="1" ref="AA85" ca="1">IFERROR(VLOOKUP($X$5&amp;$C85,CHOOSE({1,2},D_技能表!$C$2:$C$1210&amp;D_技能表!$E$2:$E$1210,D_技能表!$Z$2:$Z$1210),2,FALSE),0)</f>
        <v>83</v>
      </c>
      <c r="AB85">
        <f t="array" aca="1" ref="AB85" ca="1">IFERROR(VLOOKUP($AB$5&amp;$C85,CHOOSE({1,2},D_技能表!$C$2:$C$1210&amp;D_技能表!$E$2:$E$1210,D_技能表!$I$2:$I$1210),2,FALSE),0)</f>
        <v>49</v>
      </c>
      <c r="AC85">
        <f t="array" aca="1" ref="AC85" ca="1">IFERROR(VLOOKUP($AB$5&amp;$C85,CHOOSE({1,2},D_技能表!$C$2:$C$1210&amp;D_技能表!$E$2:$E$1210,D_技能表!$N$2:$N$1210),2,FALSE),0)</f>
        <v>411246</v>
      </c>
      <c r="AD85">
        <f t="array" aca="1" ref="AD85" ca="1">IFERROR(VLOOKUP($AB$5&amp;$C85,CHOOSE({1,2},D_技能表!$C$2:$C$1210&amp;D_技能表!$E$2:$E$1210,D_技能表!$W$2:$W$1210),2,FALSE),0)</f>
        <v>99</v>
      </c>
      <c r="AE85">
        <f t="array" aca="1" ref="AE85" ca="1">IFERROR(VLOOKUP($AB$5&amp;$C85,CHOOSE({1,2},D_技能表!$C$2:$C$1210&amp;D_技能表!$E$2:$E$1210,D_技能表!$Z$2:$Z$1210),2,FALSE),0)</f>
        <v>40</v>
      </c>
      <c r="AF85">
        <f t="array" aca="1" ref="AF85" ca="1">IFERROR(VLOOKUP($AF$5&amp;$C85,CHOOSE({1,2},D_技能表!$C$2:$C$1210&amp;D_技能表!$E$2:$E$1210,D_技能表!$I$2:$I$1210),2,FALSE),0)</f>
        <v>49</v>
      </c>
      <c r="AG85">
        <f t="array" aca="1" ref="AG85" ca="1">IFERROR(VLOOKUP($AF$5&amp;$C85,CHOOSE({1,2},D_技能表!$C$2:$C$1210&amp;D_技能表!$E$2:$E$1210,D_技能表!$N$2:$N$1210),2,FALSE),0)</f>
        <v>369706</v>
      </c>
      <c r="AH85">
        <f t="array" aca="1" ref="AH85" ca="1">IFERROR(VLOOKUP($AF$5&amp;$C85,CHOOSE({1,2},D_技能表!$C$2:$C$1210&amp;D_技能表!$E$2:$E$1210,D_技能表!$W$2:$W$1210),2,FALSE),0)</f>
        <v>89</v>
      </c>
      <c r="AI85">
        <f t="array" aca="1" ref="AI85" ca="1">IFERROR(VLOOKUP($AF$5&amp;$C85,CHOOSE({1,2},D_技能表!$C$2:$C$1210&amp;D_技能表!$E$2:$E$1210,D_技能表!$Z$2:$Z$1210),2,FALSE),0)</f>
        <v>36</v>
      </c>
      <c r="AJ85">
        <f t="array" aca="1" ref="AJ85" ca="1">IFERROR(VLOOKUP($AJ$5&amp;$C85,CHOOSE({1,2},D_技能表!$C$2:$C$1210&amp;D_技能表!$E$2:$E$1210,D_技能表!$I$2:$I$1210),2,FALSE),0)</f>
        <v>49</v>
      </c>
      <c r="AK85">
        <f t="array" aca="1" ref="AK85" ca="1">IFERROR(VLOOKUP($AJ$5&amp;$C85,CHOOSE({1,2},D_技能表!$C$2:$C$1210&amp;D_技能表!$E$2:$E$1210,D_技能表!$N$2:$N$1210),2,FALSE),0)</f>
        <v>369706</v>
      </c>
      <c r="AL85">
        <f t="array" aca="1" ref="AL85" ca="1">IFERROR(VLOOKUP($AJ$5&amp;$C85,CHOOSE({1,2},D_技能表!$C$2:$C$1210&amp;D_技能表!$E$2:$E$1210,D_技能表!$W$2:$W$1210),2,FALSE),0)</f>
        <v>89</v>
      </c>
      <c r="AM85">
        <f t="array" aca="1" ref="AM85" ca="1">IFERROR(VLOOKUP($AJ$5&amp;$C85,CHOOSE({1,2},D_技能表!$C$2:$C$1210&amp;D_技能表!$E$2:$E$1210,D_技能表!$Z$2:$Z$1210),2,FALSE),0)</f>
        <v>36</v>
      </c>
      <c r="AN85">
        <f t="array" aca="1" ref="AN85" ca="1">IFERROR(VLOOKUP($AN$5&amp;$C85,CHOOSE({1,2},D_技能表!$C$2:$C$1210&amp;D_技能表!$E$2:$E$1210,D_技能表!$I$2:$I$1210),2,FALSE),0)</f>
        <v>49</v>
      </c>
      <c r="AO85">
        <f t="array" aca="1" ref="AO85" ca="1">IFERROR(VLOOKUP($AN$5&amp;$C85,CHOOSE({1,2},D_技能表!$C$2:$C$1210&amp;D_技能表!$E$2:$E$1210,D_技能表!$N$2:$N$1210),2,FALSE),0)</f>
        <v>668794</v>
      </c>
      <c r="AP85">
        <f t="array" aca="1" ref="AP85" ca="1">IFERROR(VLOOKUP($AN$5&amp;$C85,CHOOSE({1,2},D_技能表!$C$2:$C$1210&amp;D_技能表!$E$2:$E$1210,D_技能表!$W$2:$W$1210),2,FALSE),0)</f>
        <v>161</v>
      </c>
      <c r="AQ85">
        <f t="array" aca="1" ref="AQ85" ca="1">IFERROR(VLOOKUP($AN$5&amp;$C85,CHOOSE({1,2},D_技能表!$C$2:$C$1210&amp;D_技能表!$E$2:$E$1210,D_技能表!$Z$2:$Z$1210),2,FALSE),0)</f>
        <v>65</v>
      </c>
      <c r="AR85" s="11">
        <f ca="1">SUM($G$7:G86,$K$7:K86,$O$7:O86,$S$7:S86,$W$7:W86,$AA$7:AA86,$AE$7:AE86,$AI$7:AI86,$AM$7:AM86,$AQ$7:AQ86)</f>
        <v>7724</v>
      </c>
      <c r="AS85">
        <f ca="1">SUM($F$7:F86,$J$7:J86,$N$7:N86,$R$7:R86,$V$7:V86,$Z$7:Z86,$AD$7:AD86,$AH$7:AH86,$AL$7:AL86,$AP$7:AP86)</f>
        <v>20474</v>
      </c>
      <c r="AT85">
        <f t="shared" ca="1" si="3"/>
        <v>894</v>
      </c>
      <c r="AU85" s="33">
        <f ca="1">SUM($AX$7:AX85,$BB$7:BB85,$BF$7:BF85,$BJ$7:BJ85)</f>
        <v>5287450</v>
      </c>
      <c r="AV85">
        <v>79</v>
      </c>
      <c r="AW85">
        <f t="array" ref="AW85">IFERROR(VLOOKUP(AW$5&amp;$AV85,CHOOSE({1,2},D_技能表CD!$C$2:$C$313&amp;D_技能表CD!$E$2:$E$313,D_技能表CD!$I$2:$I$313),2,FALSE),0)</f>
        <v>0</v>
      </c>
      <c r="AX85">
        <f t="array" aca="1" ref="AX85" ca="1">IFERROR(VLOOKUP(AW$5&amp;$AV85,CHOOSE({1,2},D_技能表CD!$C$2:$C$313&amp;D_技能表CD!$E$2:$E$313,D_技能表CD!$H$2:$H$313),2,FALSE),0)</f>
        <v>0</v>
      </c>
      <c r="AY85">
        <f t="array" aca="1" ref="AY85" ca="1">IFERROR(VLOOKUP(AW$5&amp;$AV85,CHOOSE({1,2},D_技能表CD!$C$2:$C$313&amp;D_技能表CD!$E$2:$E$313,D_技能表CD!$L$2:$L$313),2,FALSE),0)</f>
        <v>0</v>
      </c>
      <c r="AZ85">
        <f t="array" aca="1" ref="AZ85" ca="1">IFERROR(VLOOKUP(AW$5&amp;$AV85,CHOOSE({1,2},D_技能表CD!$C$2:$C$313&amp;D_技能表CD!$E$2:$E$313,D_技能表CD!$K$2:$K$313),2,FALSE),0)</f>
        <v>0</v>
      </c>
      <c r="BA85">
        <f t="array" ref="BA85">IFERROR(VLOOKUP(BA$5&amp;$AV85,CHOOSE({1,2},D_技能表CD!$C$2:$C$313&amp;D_技能表CD!$E$2:$E$313,D_技能表CD!$I$2:$I$313),2,FALSE),0)</f>
        <v>0</v>
      </c>
      <c r="BB85">
        <f t="array" aca="1" ref="BB85" ca="1">IFERROR(VLOOKUP(BA$5&amp;$AV85,CHOOSE({1,2},D_技能表CD!$C$2:$C$313&amp;D_技能表CD!$E$2:$E$313,D_技能表CD!$H$2:$H$313),2,FALSE),0)</f>
        <v>0</v>
      </c>
      <c r="BC85">
        <f t="array" aca="1" ref="BC85" ca="1">IFERROR(VLOOKUP(BA$5&amp;$AV85,CHOOSE({1,2},D_技能表CD!$C$2:$C$313&amp;D_技能表CD!$E$2:$E$313,D_技能表CD!$L$2:$L$313),2,FALSE),0)</f>
        <v>0</v>
      </c>
      <c r="BD85">
        <f t="array" aca="1" ref="BD85" ca="1">IFERROR(VLOOKUP(BA$5&amp;$AV85,CHOOSE({1,2},D_技能表CD!$C$2:$C$313&amp;D_技能表CD!$E$2:$E$313,D_技能表CD!$K$2:$K$313),2,FALSE),0)</f>
        <v>0</v>
      </c>
      <c r="BE85">
        <f t="array" ref="BE85">IFERROR(VLOOKUP(BE$5&amp;$AV85,CHOOSE({1,2},D_技能表CD!$C$2:$C$313&amp;D_技能表CD!$E$2:$E$313,D_技能表CD!$I$2:$I$313),2,FALSE),0)</f>
        <v>26</v>
      </c>
      <c r="BF85">
        <f t="array" aca="1" ref="BF85" ca="1">IFERROR(VLOOKUP(BE$5&amp;$AV85,CHOOSE({1,2},D_技能表CD!$C$2:$C$313&amp;D_技能表CD!$E$2:$E$313,D_技能表CD!$H$2:$H$313),2,FALSE),0)</f>
        <v>127100</v>
      </c>
      <c r="BG85">
        <f t="array" aca="1" ref="BG85" ca="1">IFERROR(VLOOKUP(BE$5&amp;$AV85,CHOOSE({1,2},D_技能表CD!$C$2:$C$313&amp;D_技能表CD!$E$2:$E$313,D_技能表CD!$L$2:$L$313),2,FALSE),0)</f>
        <v>359</v>
      </c>
      <c r="BH85">
        <f t="array" aca="1" ref="BH85" ca="1">IFERROR(VLOOKUP(BE$5&amp;$AV85,CHOOSE({1,2},D_技能表CD!$C$2:$C$313&amp;D_技能表CD!$E$2:$E$313,D_技能表CD!$K$2:$K$313),2,FALSE),0)</f>
        <v>821</v>
      </c>
      <c r="BI85">
        <f t="array" ref="BI85">IFERROR(VLOOKUP(BI$5&amp;$AV85,CHOOSE({1,2},D_技能表CD!$C$2:$C$313&amp;D_技能表CD!$E$2:$E$313,D_技能表CD!$I$2:$I$313),2,FALSE),0)</f>
        <v>0</v>
      </c>
      <c r="BJ85">
        <f t="array" aca="1" ref="BJ85" ca="1">IFERROR(VLOOKUP(BI$5&amp;$AV85,CHOOSE({1,2},D_技能表CD!$C$2:$C$313&amp;D_技能表CD!$E$2:$E$313,D_技能表CD!$H$2:$H$313),2,FALSE),0)</f>
        <v>0</v>
      </c>
      <c r="BK85">
        <f t="array" aca="1" ref="BK85" ca="1">IFERROR(VLOOKUP(BI$5&amp;$AV85,CHOOSE({1,2},D_技能表CD!$C$2:$C$313&amp;D_技能表CD!$E$2:$E$313,D_技能表CD!$L$2:$L$313),2,FALSE),0)</f>
        <v>0</v>
      </c>
      <c r="BL85">
        <f t="array" aca="1" ref="BL85" ca="1">IFERROR(VLOOKUP(BI$5&amp;$AV85,CHOOSE({1,2},D_技能表CD!$C$2:$C$313&amp;D_技能表CD!$E$2:$E$313,D_技能表CD!$K$2:$K$313),2,FALSE),0)</f>
        <v>0</v>
      </c>
    </row>
    <row r="86" spans="1:64" x14ac:dyDescent="0.15">
      <c r="A86">
        <f t="shared" ca="1" si="2"/>
        <v>60615598</v>
      </c>
      <c r="B86" s="33">
        <f ca="1">SUM($E$7:E86,$I$7:I86,$M$7:M86,$Q$7:Q86,$U$7:U86,$Y$7:Y86,$AC$7:AC86,$AG$7:AG86,$AK$7:AK86,$AO$7:AO86)</f>
        <v>55049248</v>
      </c>
      <c r="C86">
        <v>80</v>
      </c>
      <c r="D86">
        <f t="array" aca="1" ref="D86" ca="1">IFERROR(VLOOKUP($D$5&amp;C86,CHOOSE({1,2},D_技能表!$C$2:$C$1210&amp;D_技能表!$E$2:$E$1210,D_技能表!$I$2:$I$1210),2,FALSE),0)</f>
        <v>50</v>
      </c>
      <c r="E86">
        <f t="array" aca="1" ref="E86" ca="1">IFERROR(VLOOKUP($D$5&amp;$C86,CHOOSE({1,2},D_技能表!$C$2:$C$1210&amp;D_技能表!$E$2:$E$1210,D_技能表!$N$2:$N$1210),2,FALSE),0)</f>
        <v>988784</v>
      </c>
      <c r="F86">
        <f t="array" aca="1" ref="F86" ca="1">IFERROR(VLOOKUP($D$5&amp;$C86,CHOOSE({1,2},D_技能表!$C$2:$C$1210&amp;D_技能表!$E$2:$E$1210,D_技能表!$W$2:$W$1210),2,FALSE),0)</f>
        <v>232</v>
      </c>
      <c r="G86">
        <f t="array" aca="1" ref="G86" ca="1">IFERROR(VLOOKUP($D$5&amp;$C86,CHOOSE({1,2},D_技能表!$C$2:$C$1210&amp;D_技能表!$E$2:$E$1210,D_技能表!$Z$2:$Z$1210),2,FALSE),0)</f>
        <v>93</v>
      </c>
      <c r="H86">
        <f t="array" aca="1" ref="H86" ca="1">IFERROR(VLOOKUP($H$5&amp;$C86,CHOOSE({1,2},D_技能表!$C$2:$C$1210&amp;D_技能表!$E$2:$E$1210,D_技能表!$I$2:$I$1210),2,FALSE),0)</f>
        <v>50</v>
      </c>
      <c r="I86">
        <f t="array" aca="1" ref="I86" ca="1">IFERROR(VLOOKUP($H$5&amp;$C86,CHOOSE({1,2},D_技能表!$C$2:$C$1210&amp;D_技能表!$E$2:$E$1210,D_技能表!$N$2:$N$1210),2,FALSE),0)</f>
        <v>430462</v>
      </c>
      <c r="J86">
        <f t="array" aca="1" ref="J86" ca="1">IFERROR(VLOOKUP($H$5&amp;$C86,CHOOSE({1,2},D_技能表!$C$2:$C$1210&amp;D_技能表!$E$2:$E$1210,D_技能表!$W$2:$W$1210),2,FALSE),0)</f>
        <v>101</v>
      </c>
      <c r="K86">
        <f t="array" aca="1" ref="K86" ca="1">IFERROR(VLOOKUP($H$5&amp;$C86,CHOOSE({1,2},D_技能表!$C$2:$C$1210&amp;D_技能表!$E$2:$E$1210,D_技能表!$Z$2:$Z$1210),2,FALSE),0)</f>
        <v>41</v>
      </c>
      <c r="L86">
        <f t="array" aca="1" ref="L86" ca="1">IFERROR(VLOOKUP($L$5&amp;$C86,CHOOSE({1,2},D_技能表!$C$2:$C$1210&amp;D_技能表!$E$2:$E$1210,D_技能表!$I$2:$I$1210),2,FALSE),0)</f>
        <v>50</v>
      </c>
      <c r="M86">
        <f t="array" aca="1" ref="M86" ca="1">IFERROR(VLOOKUP($L$5&amp;$C86,CHOOSE({1,2},D_技能表!$C$2:$C$1210&amp;D_技能表!$E$2:$E$1210,D_技能表!$N$2:$N$1210),2,FALSE),0)</f>
        <v>430462</v>
      </c>
      <c r="N86">
        <f t="array" aca="1" ref="N86" ca="1">IFERROR(VLOOKUP($L$5&amp;$C86,CHOOSE({1,2},D_技能表!$C$2:$C$1210&amp;D_技能表!$E$2:$E$1210,D_技能表!$W$2:$W$1210),2,FALSE),0)</f>
        <v>101</v>
      </c>
      <c r="O86">
        <f t="array" aca="1" ref="O86" ca="1">IFERROR(VLOOKUP($L$5&amp;$C86,CHOOSE({1,2},D_技能表!$C$2:$C$1210&amp;D_技能表!$E$2:$E$1210,D_技能表!$Z$2:$Z$1210),2,FALSE),0)</f>
        <v>41</v>
      </c>
      <c r="P86">
        <f t="array" aca="1" ref="P86" ca="1">IFERROR(VLOOKUP($P$5&amp;$C86,CHOOSE({1,2},D_技能表!$C$2:$C$1210&amp;D_技能表!$E$2:$E$1210,D_技能表!$I$2:$I$1210),2,FALSE),0)</f>
        <v>50</v>
      </c>
      <c r="Q86">
        <f t="array" aca="1" ref="Q86" ca="1">IFERROR(VLOOKUP($P$5&amp;$C86,CHOOSE({1,2},D_技能表!$C$2:$C$1210&amp;D_技能表!$E$2:$E$1210,D_技能表!$N$2:$N$1210),2,FALSE),0)</f>
        <v>430462</v>
      </c>
      <c r="R86">
        <f t="array" aca="1" ref="R86" ca="1">IFERROR(VLOOKUP($P$5&amp;$C86,CHOOSE({1,2},D_技能表!$C$2:$C$1210&amp;D_技能表!$E$2:$E$1210,D_技能表!$W$2:$W$1210),2,FALSE),0)</f>
        <v>101</v>
      </c>
      <c r="S86">
        <f t="array" aca="1" ref="S86" ca="1">IFERROR(VLOOKUP($P$5&amp;$C86,CHOOSE({1,2},D_技能表!$C$2:$C$1210&amp;D_技能表!$E$2:$E$1210,D_技能表!$Z$2:$Z$1210),2,FALSE),0)</f>
        <v>41</v>
      </c>
      <c r="T86">
        <f t="array" aca="1" ref="T86" ca="1">IFERROR(VLOOKUP($T$5&amp;$C86,CHOOSE({1,2},D_技能表!$C$2:$C$1210&amp;D_技能表!$E$2:$E$1210,D_技能表!$I$2:$I$1210),2,FALSE),0)</f>
        <v>50</v>
      </c>
      <c r="U86">
        <f t="array" aca="1" ref="U86" ca="1">IFERROR(VLOOKUP($T$5&amp;$C86,CHOOSE({1,2},D_技能表!$C$2:$C$1210&amp;D_技能表!$E$2:$E$1210,D_技能表!$N$2:$N$1210),2,FALSE),0)</f>
        <v>711754</v>
      </c>
      <c r="V86">
        <f t="array" aca="1" ref="V86" ca="1">IFERROR(VLOOKUP($T$5&amp;$C86,CHOOSE({1,2},D_技能表!$C$2:$C$1210&amp;D_技能表!$E$2:$E$1210,D_技能表!$W$2:$W$1210),2,FALSE),0)</f>
        <v>167</v>
      </c>
      <c r="W86">
        <f t="array" aca="1" ref="W86" ca="1">IFERROR(VLOOKUP($T$5&amp;$C86,CHOOSE({1,2},D_技能表!$C$2:$C$1210&amp;D_技能表!$E$2:$E$1210,D_技能表!$Z$2:$Z$1210),2,FALSE),0)</f>
        <v>67</v>
      </c>
      <c r="X86">
        <f t="array" aca="1" ref="X86" ca="1">IFERROR(VLOOKUP($X$5&amp;$C86,CHOOSE({1,2},D_技能表!$C$2:$C$1210&amp;D_技能表!$E$2:$E$1210,D_技能表!$I$2:$I$1210),2,FALSE),0)</f>
        <v>50</v>
      </c>
      <c r="Y86">
        <f t="array" aca="1" ref="Y86" ca="1">IFERROR(VLOOKUP($X$5&amp;$C86,CHOOSE({1,2},D_技能表!$C$2:$C$1210&amp;D_技能表!$E$2:$E$1210,D_技能表!$N$2:$N$1210),2,FALSE),0)</f>
        <v>941902</v>
      </c>
      <c r="Z86">
        <f t="array" aca="1" ref="Z86" ca="1">IFERROR(VLOOKUP($X$5&amp;$C86,CHOOSE({1,2},D_技能表!$C$2:$C$1210&amp;D_技能表!$E$2:$E$1210,D_技能表!$W$2:$W$1210),2,FALSE),0)</f>
        <v>221</v>
      </c>
      <c r="AA86">
        <f t="array" aca="1" ref="AA86" ca="1">IFERROR(VLOOKUP($X$5&amp;$C86,CHOOSE({1,2},D_技能表!$C$2:$C$1210&amp;D_技能表!$E$2:$E$1210,D_技能表!$Z$2:$Z$1210),2,FALSE),0)</f>
        <v>89</v>
      </c>
      <c r="AB86">
        <f t="array" aca="1" ref="AB86" ca="1">IFERROR(VLOOKUP($AB$5&amp;$C86,CHOOSE({1,2},D_技能表!$C$2:$C$1210&amp;D_技能表!$E$2:$E$1210,D_技能表!$I$2:$I$1210),2,FALSE),0)</f>
        <v>50</v>
      </c>
      <c r="AC86">
        <f t="array" aca="1" ref="AC86" ca="1">IFERROR(VLOOKUP($AB$5&amp;$C86,CHOOSE({1,2},D_技能表!$C$2:$C$1210&amp;D_技能表!$E$2:$E$1210,D_技能表!$N$2:$N$1210),2,FALSE),0)</f>
        <v>451772</v>
      </c>
      <c r="AD86">
        <f t="array" aca="1" ref="AD86" ca="1">IFERROR(VLOOKUP($AB$5&amp;$C86,CHOOSE({1,2},D_技能表!$C$2:$C$1210&amp;D_技能表!$E$2:$E$1210,D_技能表!$W$2:$W$1210),2,FALSE),0)</f>
        <v>106</v>
      </c>
      <c r="AE86">
        <f t="array" aca="1" ref="AE86" ca="1">IFERROR(VLOOKUP($AB$5&amp;$C86,CHOOSE({1,2},D_技能表!$C$2:$C$1210&amp;D_技能表!$E$2:$E$1210,D_技能表!$Z$2:$Z$1210),2,FALSE),0)</f>
        <v>43</v>
      </c>
      <c r="AF86">
        <f t="array" aca="1" ref="AF86" ca="1">IFERROR(VLOOKUP($AF$5&amp;$C86,CHOOSE({1,2},D_技能表!$C$2:$C$1210&amp;D_技能表!$E$2:$E$1210,D_技能表!$I$2:$I$1210),2,FALSE),0)</f>
        <v>50</v>
      </c>
      <c r="AG86">
        <f t="array" aca="1" ref="AG86" ca="1">IFERROR(VLOOKUP($AF$5&amp;$C86,CHOOSE({1,2},D_技能表!$C$2:$C$1210&amp;D_技能表!$E$2:$E$1210,D_技能表!$N$2:$N$1210),2,FALSE),0)</f>
        <v>404890</v>
      </c>
      <c r="AH86">
        <f t="array" aca="1" ref="AH86" ca="1">IFERROR(VLOOKUP($AF$5&amp;$C86,CHOOSE({1,2},D_技能表!$C$2:$C$1210&amp;D_技能表!$E$2:$E$1210,D_技能表!$W$2:$W$1210),2,FALSE),0)</f>
        <v>95</v>
      </c>
      <c r="AI86">
        <f t="array" aca="1" ref="AI86" ca="1">IFERROR(VLOOKUP($AF$5&amp;$C86,CHOOSE({1,2},D_技能表!$C$2:$C$1210&amp;D_技能表!$E$2:$E$1210,D_技能表!$Z$2:$Z$1210),2,FALSE),0)</f>
        <v>38</v>
      </c>
      <c r="AJ86">
        <f t="array" aca="1" ref="AJ86" ca="1">IFERROR(VLOOKUP($AJ$5&amp;$C86,CHOOSE({1,2},D_技能表!$C$2:$C$1210&amp;D_技能表!$E$2:$E$1210,D_技能表!$I$2:$I$1210),2,FALSE),0)</f>
        <v>50</v>
      </c>
      <c r="AK86">
        <f t="array" aca="1" ref="AK86" ca="1">IFERROR(VLOOKUP($AJ$5&amp;$C86,CHOOSE({1,2},D_技能表!$C$2:$C$1210&amp;D_技能表!$E$2:$E$1210,D_技能表!$N$2:$N$1210),2,FALSE),0)</f>
        <v>404890</v>
      </c>
      <c r="AL86">
        <f t="array" aca="1" ref="AL86" ca="1">IFERROR(VLOOKUP($AJ$5&amp;$C86,CHOOSE({1,2},D_技能表!$C$2:$C$1210&amp;D_技能表!$E$2:$E$1210,D_技能表!$W$2:$W$1210),2,FALSE),0)</f>
        <v>95</v>
      </c>
      <c r="AM86">
        <f t="array" aca="1" ref="AM86" ca="1">IFERROR(VLOOKUP($AJ$5&amp;$C86,CHOOSE({1,2},D_技能表!$C$2:$C$1210&amp;D_技能表!$E$2:$E$1210,D_技能表!$Z$2:$Z$1210),2,FALSE),0)</f>
        <v>38</v>
      </c>
      <c r="AN86">
        <f t="array" aca="1" ref="AN86" ca="1">IFERROR(VLOOKUP($AN$5&amp;$C86,CHOOSE({1,2},D_技能表!$C$2:$C$1210&amp;D_技能表!$E$2:$E$1210,D_技能表!$I$2:$I$1210),2,FALSE),0)</f>
        <v>50</v>
      </c>
      <c r="AO86">
        <f t="array" aca="1" ref="AO86" ca="1">IFERROR(VLOOKUP($AN$5&amp;$C86,CHOOSE({1,2},D_技能表!$C$2:$C$1210&amp;D_技能表!$E$2:$E$1210,D_技能表!$N$2:$N$1210),2,FALSE),0)</f>
        <v>737326</v>
      </c>
      <c r="AP86">
        <f t="array" aca="1" ref="AP86" ca="1">IFERROR(VLOOKUP($AN$5&amp;$C86,CHOOSE({1,2},D_技能表!$C$2:$C$1210&amp;D_技能表!$E$2:$E$1210,D_技能表!$W$2:$W$1210),2,FALSE),0)</f>
        <v>173</v>
      </c>
      <c r="AQ86">
        <f t="array" aca="1" ref="AQ86" ca="1">IFERROR(VLOOKUP($AN$5&amp;$C86,CHOOSE({1,2},D_技能表!$C$2:$C$1210&amp;D_技能表!$E$2:$E$1210,D_技能表!$Z$2:$Z$1210),2,FALSE),0)</f>
        <v>70</v>
      </c>
      <c r="AR86" s="11">
        <f ca="1">SUM($G$7:G87,$K$7:K87,$O$7:O87,$S$7:S87,$W$7:W87,$AA$7:AA87,$AE$7:AE87,$AI$7:AI87,$AM$7:AM87,$AQ$7:AQ87)</f>
        <v>7724</v>
      </c>
      <c r="AS86">
        <f ca="1">SUM($F$7:F87,$J$7:J87,$N$7:N87,$R$7:R87,$V$7:V87,$Z$7:Z87,$AD$7:AD87,$AH$7:AH87,$AL$7:AL87,$AP$7:AP87)</f>
        <v>20474</v>
      </c>
      <c r="AT86">
        <f t="shared" ca="1" si="3"/>
        <v>1392</v>
      </c>
      <c r="AU86" s="33">
        <f ca="1">SUM($AX$7:AX86,$BB$7:BB86,$BF$7:BF86,$BJ$7:BJ86)</f>
        <v>5566350</v>
      </c>
      <c r="AV86" s="28">
        <v>80</v>
      </c>
      <c r="AW86" s="28">
        <f t="array" ref="AW86">IFERROR(VLOOKUP(AW$5&amp;$AV86,CHOOSE({1,2},D_技能表CD!$C$2:$C$313&amp;D_技能表CD!$E$2:$E$313,D_技能表CD!$I$2:$I$313),2,FALSE),0)</f>
        <v>0</v>
      </c>
      <c r="AX86">
        <f t="array" aca="1" ref="AX86" ca="1">IFERROR(VLOOKUP(AW$5&amp;$AV86,CHOOSE({1,2},D_技能表CD!$C$2:$C$313&amp;D_技能表CD!$E$2:$E$313,D_技能表CD!$H$2:$H$313),2,FALSE),0)</f>
        <v>0</v>
      </c>
      <c r="AY86">
        <f t="array" aca="1" ref="AY86" ca="1">IFERROR(VLOOKUP(AW$5&amp;$AV86,CHOOSE({1,2},D_技能表CD!$C$2:$C$313&amp;D_技能表CD!$E$2:$E$313,D_技能表CD!$L$2:$L$313),2,FALSE),0)</f>
        <v>0</v>
      </c>
      <c r="AZ86">
        <f t="array" aca="1" ref="AZ86" ca="1">IFERROR(VLOOKUP(AW$5&amp;$AV86,CHOOSE({1,2},D_技能表CD!$C$2:$C$313&amp;D_技能表CD!$E$2:$E$313,D_技能表CD!$K$2:$K$313),2,FALSE),0)</f>
        <v>0</v>
      </c>
      <c r="BA86" s="28">
        <f t="array" ref="BA86">IFERROR(VLOOKUP(BA$5&amp;$AV86,CHOOSE({1,2},D_技能表CD!$C$2:$C$313&amp;D_技能表CD!$E$2:$E$313,D_技能表CD!$I$2:$I$313),2,FALSE),0)</f>
        <v>0</v>
      </c>
      <c r="BB86">
        <f t="array" aca="1" ref="BB86" ca="1">IFERROR(VLOOKUP(BA$5&amp;$AV86,CHOOSE({1,2},D_技能表CD!$C$2:$C$313&amp;D_技能表CD!$E$2:$E$313,D_技能表CD!$H$2:$H$313),2,FALSE),0)</f>
        <v>0</v>
      </c>
      <c r="BC86">
        <f t="array" aca="1" ref="BC86" ca="1">IFERROR(VLOOKUP(BA$5&amp;$AV86,CHOOSE({1,2},D_技能表CD!$C$2:$C$313&amp;D_技能表CD!$E$2:$E$313,D_技能表CD!$L$2:$L$313),2,FALSE),0)</f>
        <v>0</v>
      </c>
      <c r="BD86">
        <f t="array" aca="1" ref="BD86" ca="1">IFERROR(VLOOKUP(BA$5&amp;$AV86,CHOOSE({1,2},D_技能表CD!$C$2:$C$313&amp;D_技能表CD!$E$2:$E$313,D_技能表CD!$K$2:$K$313),2,FALSE),0)</f>
        <v>0</v>
      </c>
      <c r="BE86" s="28">
        <f t="array" ref="BE86">IFERROR(VLOOKUP(BE$5&amp;$AV86,CHOOSE({1,2},D_技能表CD!$C$2:$C$313&amp;D_技能表CD!$E$2:$E$313,D_技能表CD!$I$2:$I$313),2,FALSE),0)</f>
        <v>0</v>
      </c>
      <c r="BF86">
        <f t="array" aca="1" ref="BF86" ca="1">IFERROR(VLOOKUP(BE$5&amp;$AV86,CHOOSE({1,2},D_技能表CD!$C$2:$C$313&amp;D_技能表CD!$E$2:$E$313,D_技能表CD!$H$2:$H$313),2,FALSE),0)</f>
        <v>0</v>
      </c>
      <c r="BG86">
        <f t="array" aca="1" ref="BG86" ca="1">IFERROR(VLOOKUP(BE$5&amp;$AV86,CHOOSE({1,2},D_技能表CD!$C$2:$C$313&amp;D_技能表CD!$E$2:$E$313,D_技能表CD!$L$2:$L$313),2,FALSE),0)</f>
        <v>0</v>
      </c>
      <c r="BH86">
        <f t="array" aca="1" ref="BH86" ca="1">IFERROR(VLOOKUP(BE$5&amp;$AV86,CHOOSE({1,2},D_技能表CD!$C$2:$C$313&amp;D_技能表CD!$E$2:$E$313,D_技能表CD!$K$2:$K$313),2,FALSE),0)</f>
        <v>0</v>
      </c>
      <c r="BI86" s="28">
        <f t="array" ref="BI86">IFERROR(VLOOKUP(BI$5&amp;$AV86,CHOOSE({1,2},D_技能表CD!$C$2:$C$313&amp;D_技能表CD!$E$2:$E$313,D_技能表CD!$I$2:$I$313),2,FALSE),0)</f>
        <v>26</v>
      </c>
      <c r="BJ86">
        <f t="array" aca="1" ref="BJ86" ca="1">IFERROR(VLOOKUP(BI$5&amp;$AV86,CHOOSE({1,2},D_技能表CD!$C$2:$C$313&amp;D_技能表CD!$E$2:$E$313,D_技能表CD!$H$2:$H$313),2,FALSE),0)</f>
        <v>278900</v>
      </c>
      <c r="BK86">
        <f t="array" aca="1" ref="BK86" ca="1">IFERROR(VLOOKUP(BI$5&amp;$AV86,CHOOSE({1,2},D_技能表CD!$C$2:$C$313&amp;D_技能表CD!$E$2:$E$313,D_技能表CD!$L$2:$L$313),2,FALSE),0)</f>
        <v>789</v>
      </c>
      <c r="BL86">
        <f t="array" aca="1" ref="BL86" ca="1">IFERROR(VLOOKUP(BI$5&amp;$AV86,CHOOSE({1,2},D_技能表CD!$C$2:$C$313&amp;D_技能表CD!$E$2:$E$313,D_技能表CD!$K$2:$K$313),2,FALSE),0)</f>
        <v>1804</v>
      </c>
    </row>
    <row r="87" spans="1:64" x14ac:dyDescent="0.15">
      <c r="A87">
        <f t="shared" ca="1" si="2"/>
        <v>60615598</v>
      </c>
      <c r="B87" s="34">
        <f ca="1">SUM($E$7:E87,$I$7:I87,$M$7:M87,$Q$7:Q87,$U$7:U87,$Y$7:Y87,$AC$7:AC87,$AG$7:AG87,$AK$7:AK87,$AO$7:AO87)</f>
        <v>55049248</v>
      </c>
      <c r="C87">
        <v>81</v>
      </c>
      <c r="D87">
        <f t="array" aca="1" ref="D87" ca="1">IFERROR(VLOOKUP($D$5&amp;C87,CHOOSE({1,2},D_技能表!$C$2:$C$1210&amp;D_技能表!$E$2:$E$1210,D_技能表!$I$2:$I$1210),2,FALSE),0)</f>
        <v>0</v>
      </c>
      <c r="E87">
        <f t="array" aca="1" ref="E87" ca="1">IFERROR(VLOOKUP($D$5&amp;$C87,CHOOSE({1,2},D_技能表!$C$2:$C$1210&amp;D_技能表!$E$2:$E$1210,D_技能表!$N$2:$N$1210),2,FALSE),0)</f>
        <v>0</v>
      </c>
      <c r="F87">
        <f t="array" aca="1" ref="F87" ca="1">IFERROR(VLOOKUP($D$5&amp;$C87,CHOOSE({1,2},D_技能表!$C$2:$C$1210&amp;D_技能表!$E$2:$E$1210,D_技能表!$W$2:$W$1210),2,FALSE),0)</f>
        <v>0</v>
      </c>
      <c r="G87">
        <f t="array" aca="1" ref="G87" ca="1">IFERROR(VLOOKUP($D$5&amp;$C87,CHOOSE({1,2},D_技能表!$C$2:$C$1210&amp;D_技能表!$E$2:$E$1210,D_技能表!$Z$2:$Z$1210),2,FALSE),0)</f>
        <v>0</v>
      </c>
      <c r="H87">
        <f t="array" aca="1" ref="H87" ca="1">IFERROR(VLOOKUP($H$5&amp;$C87,CHOOSE({1,2},D_技能表!$C$2:$C$1210&amp;D_技能表!$E$2:$E$1210,D_技能表!$I$2:$I$1210),2,FALSE),0)</f>
        <v>0</v>
      </c>
      <c r="I87">
        <f t="array" aca="1" ref="I87" ca="1">IFERROR(VLOOKUP($H$5&amp;$C87,CHOOSE({1,2},D_技能表!$C$2:$C$1210&amp;D_技能表!$E$2:$E$1210,D_技能表!$N$2:$N$1210),2,FALSE),0)</f>
        <v>0</v>
      </c>
      <c r="J87">
        <f t="array" aca="1" ref="J87" ca="1">IFERROR(VLOOKUP($H$5&amp;$C87,CHOOSE({1,2},D_技能表!$C$2:$C$1210&amp;D_技能表!$E$2:$E$1210,D_技能表!$W$2:$W$1210),2,FALSE),0)</f>
        <v>0</v>
      </c>
      <c r="K87">
        <f t="array" aca="1" ref="K87" ca="1">IFERROR(VLOOKUP($H$5&amp;$C87,CHOOSE({1,2},D_技能表!$C$2:$C$1210&amp;D_技能表!$E$2:$E$1210,D_技能表!$Z$2:$Z$1210),2,FALSE),0)</f>
        <v>0</v>
      </c>
      <c r="L87">
        <f t="array" aca="1" ref="L87" ca="1">IFERROR(VLOOKUP($L$5&amp;$C87,CHOOSE({1,2},D_技能表!$C$2:$C$1210&amp;D_技能表!$E$2:$E$1210,D_技能表!$I$2:$I$1210),2,FALSE),0)</f>
        <v>0</v>
      </c>
      <c r="M87">
        <f t="array" aca="1" ref="M87" ca="1">IFERROR(VLOOKUP($L$5&amp;$C87,CHOOSE({1,2},D_技能表!$C$2:$C$1210&amp;D_技能表!$E$2:$E$1210,D_技能表!$N$2:$N$1210),2,FALSE),0)</f>
        <v>0</v>
      </c>
      <c r="N87">
        <f t="array" aca="1" ref="N87" ca="1">IFERROR(VLOOKUP($L$5&amp;$C87,CHOOSE({1,2},D_技能表!$C$2:$C$1210&amp;D_技能表!$E$2:$E$1210,D_技能表!$W$2:$W$1210),2,FALSE),0)</f>
        <v>0</v>
      </c>
      <c r="O87">
        <f t="array" aca="1" ref="O87" ca="1">IFERROR(VLOOKUP($L$5&amp;$C87,CHOOSE({1,2},D_技能表!$C$2:$C$1210&amp;D_技能表!$E$2:$E$1210,D_技能表!$Z$2:$Z$1210),2,FALSE),0)</f>
        <v>0</v>
      </c>
      <c r="P87">
        <f t="array" aca="1" ref="P87" ca="1">IFERROR(VLOOKUP($P$5&amp;$C87,CHOOSE({1,2},D_技能表!$C$2:$C$1210&amp;D_技能表!$E$2:$E$1210,D_技能表!$I$2:$I$1210),2,FALSE),0)</f>
        <v>0</v>
      </c>
      <c r="Q87">
        <f t="array" aca="1" ref="Q87" ca="1">IFERROR(VLOOKUP($P$5&amp;$C87,CHOOSE({1,2},D_技能表!$C$2:$C$1210&amp;D_技能表!$E$2:$E$1210,D_技能表!$N$2:$N$1210),2,FALSE),0)</f>
        <v>0</v>
      </c>
      <c r="R87">
        <f t="array" aca="1" ref="R87" ca="1">IFERROR(VLOOKUP($P$5&amp;$C87,CHOOSE({1,2},D_技能表!$C$2:$C$1210&amp;D_技能表!$E$2:$E$1210,D_技能表!$W$2:$W$1210),2,FALSE),0)</f>
        <v>0</v>
      </c>
      <c r="S87">
        <f t="array" aca="1" ref="S87" ca="1">IFERROR(VLOOKUP($P$5&amp;$C87,CHOOSE({1,2},D_技能表!$C$2:$C$1210&amp;D_技能表!$E$2:$E$1210,D_技能表!$Z$2:$Z$1210),2,FALSE),0)</f>
        <v>0</v>
      </c>
      <c r="T87">
        <f t="array" aca="1" ref="T87" ca="1">IFERROR(VLOOKUP($T$5&amp;$C87,CHOOSE({1,2},D_技能表!$C$2:$C$1210&amp;D_技能表!$E$2:$E$1210,D_技能表!$I$2:$I$1210),2,FALSE),0)</f>
        <v>0</v>
      </c>
      <c r="U87">
        <f t="array" aca="1" ref="U87" ca="1">IFERROR(VLOOKUP($T$5&amp;$C87,CHOOSE({1,2},D_技能表!$C$2:$C$1210&amp;D_技能表!$E$2:$E$1210,D_技能表!$N$2:$N$1210),2,FALSE),0)</f>
        <v>0</v>
      </c>
      <c r="V87">
        <f t="array" aca="1" ref="V87" ca="1">IFERROR(VLOOKUP($T$5&amp;$C87,CHOOSE({1,2},D_技能表!$C$2:$C$1210&amp;D_技能表!$E$2:$E$1210,D_技能表!$W$2:$W$1210),2,FALSE),0)</f>
        <v>0</v>
      </c>
      <c r="W87">
        <f t="array" aca="1" ref="W87" ca="1">IFERROR(VLOOKUP($T$5&amp;$C87,CHOOSE({1,2},D_技能表!$C$2:$C$1210&amp;D_技能表!$E$2:$E$1210,D_技能表!$Z$2:$Z$1210),2,FALSE),0)</f>
        <v>0</v>
      </c>
      <c r="X87">
        <f t="array" aca="1" ref="X87" ca="1">IFERROR(VLOOKUP($X$5&amp;$C87,CHOOSE({1,2},D_技能表!$C$2:$C$1210&amp;D_技能表!$E$2:$E$1210,D_技能表!$I$2:$I$1210),2,FALSE),0)</f>
        <v>0</v>
      </c>
      <c r="Y87">
        <f t="array" aca="1" ref="Y87" ca="1">IFERROR(VLOOKUP($X$5&amp;$C87,CHOOSE({1,2},D_技能表!$C$2:$C$1210&amp;D_技能表!$E$2:$E$1210,D_技能表!$N$2:$N$1210),2,FALSE),0)</f>
        <v>0</v>
      </c>
      <c r="Z87">
        <f t="array" aca="1" ref="Z87" ca="1">IFERROR(VLOOKUP($X$5&amp;$C87,CHOOSE({1,2},D_技能表!$C$2:$C$1210&amp;D_技能表!$E$2:$E$1210,D_技能表!$W$2:$W$1210),2,FALSE),0)</f>
        <v>0</v>
      </c>
      <c r="AA87">
        <f t="array" aca="1" ref="AA87" ca="1">IFERROR(VLOOKUP($X$5&amp;$C87,CHOOSE({1,2},D_技能表!$C$2:$C$1210&amp;D_技能表!$E$2:$E$1210,D_技能表!$Z$2:$Z$1210),2,FALSE),0)</f>
        <v>0</v>
      </c>
      <c r="AB87">
        <f t="array" aca="1" ref="AB87" ca="1">IFERROR(VLOOKUP($AB$5&amp;$C87,CHOOSE({1,2},D_技能表!$C$2:$C$1210&amp;D_技能表!$E$2:$E$1210,D_技能表!$I$2:$I$1210),2,FALSE),0)</f>
        <v>0</v>
      </c>
      <c r="AC87">
        <f t="array" aca="1" ref="AC87" ca="1">IFERROR(VLOOKUP($AB$5&amp;$C87,CHOOSE({1,2},D_技能表!$C$2:$C$1210&amp;D_技能表!$E$2:$E$1210,D_技能表!$N$2:$N$1210),2,FALSE),0)</f>
        <v>0</v>
      </c>
      <c r="AD87">
        <f t="array" aca="1" ref="AD87" ca="1">IFERROR(VLOOKUP($AB$5&amp;$C87,CHOOSE({1,2},D_技能表!$C$2:$C$1210&amp;D_技能表!$E$2:$E$1210,D_技能表!$W$2:$W$1210),2,FALSE),0)</f>
        <v>0</v>
      </c>
      <c r="AE87">
        <f t="array" aca="1" ref="AE87" ca="1">IFERROR(VLOOKUP($AB$5&amp;$C87,CHOOSE({1,2},D_技能表!$C$2:$C$1210&amp;D_技能表!$E$2:$E$1210,D_技能表!$Z$2:$Z$1210),2,FALSE),0)</f>
        <v>0</v>
      </c>
      <c r="AF87">
        <f t="array" aca="1" ref="AF87" ca="1">IFERROR(VLOOKUP($AF$5&amp;$C87,CHOOSE({1,2},D_技能表!$C$2:$C$1210&amp;D_技能表!$E$2:$E$1210,D_技能表!$I$2:$I$1210),2,FALSE),0)</f>
        <v>0</v>
      </c>
      <c r="AG87">
        <f t="array" aca="1" ref="AG87" ca="1">IFERROR(VLOOKUP($AF$5&amp;$C87,CHOOSE({1,2},D_技能表!$C$2:$C$1210&amp;D_技能表!$E$2:$E$1210,D_技能表!$N$2:$N$1210),2,FALSE),0)</f>
        <v>0</v>
      </c>
      <c r="AH87">
        <f t="array" aca="1" ref="AH87" ca="1">IFERROR(VLOOKUP($AF$5&amp;$C87,CHOOSE({1,2},D_技能表!$C$2:$C$1210&amp;D_技能表!$E$2:$E$1210,D_技能表!$W$2:$W$1210),2,FALSE),0)</f>
        <v>0</v>
      </c>
      <c r="AI87">
        <f t="array" aca="1" ref="AI87" ca="1">IFERROR(VLOOKUP($AF$5&amp;$C87,CHOOSE({1,2},D_技能表!$C$2:$C$1210&amp;D_技能表!$E$2:$E$1210,D_技能表!$Z$2:$Z$1210),2,FALSE),0)</f>
        <v>0</v>
      </c>
      <c r="AJ87">
        <f t="array" aca="1" ref="AJ87" ca="1">IFERROR(VLOOKUP($AJ$5&amp;$C87,CHOOSE({1,2},D_技能表!$C$2:$C$1210&amp;D_技能表!$E$2:$E$1210,D_技能表!$I$2:$I$1210),2,FALSE),0)</f>
        <v>0</v>
      </c>
      <c r="AK87">
        <f t="array" aca="1" ref="AK87" ca="1">IFERROR(VLOOKUP($AJ$5&amp;$C87,CHOOSE({1,2},D_技能表!$C$2:$C$1210&amp;D_技能表!$E$2:$E$1210,D_技能表!$N$2:$N$1210),2,FALSE),0)</f>
        <v>0</v>
      </c>
      <c r="AL87">
        <f t="array" aca="1" ref="AL87" ca="1">IFERROR(VLOOKUP($AJ$5&amp;$C87,CHOOSE({1,2},D_技能表!$C$2:$C$1210&amp;D_技能表!$E$2:$E$1210,D_技能表!$W$2:$W$1210),2,FALSE),0)</f>
        <v>0</v>
      </c>
      <c r="AM87">
        <f t="array" aca="1" ref="AM87" ca="1">IFERROR(VLOOKUP($AJ$5&amp;$C87,CHOOSE({1,2},D_技能表!$C$2:$C$1210&amp;D_技能表!$E$2:$E$1210,D_技能表!$Z$2:$Z$1210),2,FALSE),0)</f>
        <v>0</v>
      </c>
      <c r="AN87">
        <f t="array" aca="1" ref="AN87" ca="1">IFERROR(VLOOKUP($AN$5&amp;$C87,CHOOSE({1,2},D_技能表!$C$2:$C$1210&amp;D_技能表!$E$2:$E$1210,D_技能表!$I$2:$I$1210),2,FALSE),0)</f>
        <v>0</v>
      </c>
      <c r="AO87">
        <f t="array" aca="1" ref="AO87" ca="1">IFERROR(VLOOKUP($AN$5&amp;$C87,CHOOSE({1,2},D_技能表!$C$2:$C$1210&amp;D_技能表!$E$2:$E$1210,D_技能表!$N$2:$N$1210),2,FALSE),0)</f>
        <v>0</v>
      </c>
      <c r="AP87">
        <f t="array" aca="1" ref="AP87" ca="1">IFERROR(VLOOKUP($AN$5&amp;$C87,CHOOSE({1,2},D_技能表!$C$2:$C$1210&amp;D_技能表!$E$2:$E$1210,D_技能表!$W$2:$W$1210),2,FALSE),0)</f>
        <v>0</v>
      </c>
      <c r="AQ87">
        <f t="array" aca="1" ref="AQ87" ca="1">IFERROR(VLOOKUP($AN$5&amp;$C87,CHOOSE({1,2},D_技能表!$C$2:$C$1210&amp;D_技能表!$E$2:$E$1210,D_技能表!$Z$2:$Z$1210),2,FALSE),0)</f>
        <v>0</v>
      </c>
      <c r="AR87" s="11">
        <f ca="1">SUM($G$7:G88,$K$7:K88,$O$7:O88,$S$7:S88,$W$7:W88,$AA$7:AA88,$AE$7:AE88,$AI$7:AI88,$AM$7:AM88,$AQ$7:AQ88)</f>
        <v>7724</v>
      </c>
      <c r="AS87">
        <f ca="1">SUM($F$7:F88,$J$7:J88,$N$7:N88,$R$7:R88,$V$7:V88,$Z$7:Z88,$AD$7:AD88,$AH$7:AH88,$AL$7:AL88,$AP$7:AP88)</f>
        <v>20474</v>
      </c>
      <c r="AT87">
        <f t="shared" ca="1" si="3"/>
        <v>0</v>
      </c>
      <c r="AU87" s="33">
        <f ca="1">SUM($AX$7:AX87,$BB$7:BB87,$BF$7:BF87,$BJ$7:BJ87)</f>
        <v>5566350</v>
      </c>
      <c r="AV87">
        <v>81</v>
      </c>
      <c r="AW87">
        <f t="array" ref="AW87">IFERROR(VLOOKUP(AW$5&amp;$AV87,CHOOSE({1,2},D_技能表CD!$C$2:$C$313&amp;D_技能表CD!$E$2:$E$313,D_技能表CD!$I$2:$I$313),2,FALSE),0)</f>
        <v>0</v>
      </c>
      <c r="AX87">
        <f t="array" aca="1" ref="AX87" ca="1">IFERROR(VLOOKUP(AW$5&amp;$AV87,CHOOSE({1,2},D_技能表CD!$C$2:$C$313&amp;D_技能表CD!$E$2:$E$313,D_技能表CD!$H$2:$H$313),2,FALSE),0)</f>
        <v>0</v>
      </c>
      <c r="AY87">
        <f t="array" aca="1" ref="AY87" ca="1">IFERROR(VLOOKUP(AW$5&amp;$AV87,CHOOSE({1,2},D_技能表CD!$C$2:$C$313&amp;D_技能表CD!$E$2:$E$313,D_技能表CD!$L$2:$L$313),2,FALSE),0)</f>
        <v>0</v>
      </c>
      <c r="AZ87">
        <f t="array" aca="1" ref="AZ87" ca="1">IFERROR(VLOOKUP(AW$5&amp;$AV87,CHOOSE({1,2},D_技能表CD!$C$2:$C$313&amp;D_技能表CD!$E$2:$E$313,D_技能表CD!$K$2:$K$313),2,FALSE),0)</f>
        <v>0</v>
      </c>
      <c r="BA87">
        <f t="array" ref="BA87">IFERROR(VLOOKUP(BA$5&amp;$AV87,CHOOSE({1,2},D_技能表CD!$C$2:$C$313&amp;D_技能表CD!$E$2:$E$313,D_技能表CD!$I$2:$I$313),2,FALSE),0)</f>
        <v>0</v>
      </c>
      <c r="BB87">
        <f t="array" aca="1" ref="BB87" ca="1">IFERROR(VLOOKUP(BA$5&amp;$AV87,CHOOSE({1,2},D_技能表CD!$C$2:$C$313&amp;D_技能表CD!$E$2:$E$313,D_技能表CD!$H$2:$H$313),2,FALSE),0)</f>
        <v>0</v>
      </c>
      <c r="BC87">
        <f t="array" aca="1" ref="BC87" ca="1">IFERROR(VLOOKUP(BA$5&amp;$AV87,CHOOSE({1,2},D_技能表CD!$C$2:$C$313&amp;D_技能表CD!$E$2:$E$313,D_技能表CD!$L$2:$L$313),2,FALSE),0)</f>
        <v>0</v>
      </c>
      <c r="BD87">
        <f t="array" aca="1" ref="BD87" ca="1">IFERROR(VLOOKUP(BA$5&amp;$AV87,CHOOSE({1,2},D_技能表CD!$C$2:$C$313&amp;D_技能表CD!$E$2:$E$313,D_技能表CD!$K$2:$K$313),2,FALSE),0)</f>
        <v>0</v>
      </c>
      <c r="BE87">
        <f t="array" ref="BE87">IFERROR(VLOOKUP(BE$5&amp;$AV87,CHOOSE({1,2},D_技能表CD!$C$2:$C$313&amp;D_技能表CD!$E$2:$E$313,D_技能表CD!$I$2:$I$313),2,FALSE),0)</f>
        <v>0</v>
      </c>
      <c r="BF87">
        <f t="array" aca="1" ref="BF87" ca="1">IFERROR(VLOOKUP(BE$5&amp;$AV87,CHOOSE({1,2},D_技能表CD!$C$2:$C$313&amp;D_技能表CD!$E$2:$E$313,D_技能表CD!$H$2:$H$313),2,FALSE),0)</f>
        <v>0</v>
      </c>
      <c r="BG87">
        <f t="array" aca="1" ref="BG87" ca="1">IFERROR(VLOOKUP(BE$5&amp;$AV87,CHOOSE({1,2},D_技能表CD!$C$2:$C$313&amp;D_技能表CD!$E$2:$E$313,D_技能表CD!$L$2:$L$313),2,FALSE),0)</f>
        <v>0</v>
      </c>
      <c r="BH87">
        <f t="array" aca="1" ref="BH87" ca="1">IFERROR(VLOOKUP(BE$5&amp;$AV87,CHOOSE({1,2},D_技能表CD!$C$2:$C$313&amp;D_技能表CD!$E$2:$E$313,D_技能表CD!$K$2:$K$313),2,FALSE),0)</f>
        <v>0</v>
      </c>
      <c r="BI87">
        <f t="array" ref="BI87">IFERROR(VLOOKUP(BI$5&amp;$AV87,CHOOSE({1,2},D_技能表CD!$C$2:$C$313&amp;D_技能表CD!$E$2:$E$313,D_技能表CD!$I$2:$I$313),2,FALSE),0)</f>
        <v>0</v>
      </c>
      <c r="BJ87">
        <f t="array" aca="1" ref="BJ87" ca="1">IFERROR(VLOOKUP(BI$5&amp;$AV87,CHOOSE({1,2},D_技能表CD!$C$2:$C$313&amp;D_技能表CD!$E$2:$E$313,D_技能表CD!$H$2:$H$313),2,FALSE),0)</f>
        <v>0</v>
      </c>
      <c r="BK87">
        <f t="array" aca="1" ref="BK87" ca="1">IFERROR(VLOOKUP(BI$5&amp;$AV87,CHOOSE({1,2},D_技能表CD!$C$2:$C$313&amp;D_技能表CD!$E$2:$E$313,D_技能表CD!$L$2:$L$313),2,FALSE),0)</f>
        <v>0</v>
      </c>
      <c r="BL87">
        <f t="array" aca="1" ref="BL87" ca="1">IFERROR(VLOOKUP(BI$5&amp;$AV87,CHOOSE({1,2},D_技能表CD!$C$2:$C$313&amp;D_技能表CD!$E$2:$E$313,D_技能表CD!$K$2:$K$313),2,FALSE),0)</f>
        <v>0</v>
      </c>
    </row>
    <row r="88" spans="1:64" x14ac:dyDescent="0.15">
      <c r="A88">
        <f t="shared" ca="1" si="2"/>
        <v>60615598</v>
      </c>
      <c r="B88" s="34">
        <f ca="1">SUM($E$7:E88,$I$7:I88,$M$7:M88,$Q$7:Q88,$U$7:U88,$Y$7:Y88,$AC$7:AC88,$AG$7:AG88,$AK$7:AK88,$AO$7:AO88)</f>
        <v>55049248</v>
      </c>
      <c r="C88">
        <v>82</v>
      </c>
      <c r="D88">
        <f t="array" aca="1" ref="D88" ca="1">IFERROR(VLOOKUP($D$5&amp;C88,CHOOSE({1,2},D_技能表!$C$2:$C$1210&amp;D_技能表!$E$2:$E$1210,D_技能表!$I$2:$I$1210),2,FALSE),0)</f>
        <v>0</v>
      </c>
      <c r="E88">
        <f t="array" aca="1" ref="E88" ca="1">IFERROR(VLOOKUP($D$5&amp;$C88,CHOOSE({1,2},D_技能表!$C$2:$C$1210&amp;D_技能表!$E$2:$E$1210,D_技能表!$N$2:$N$1210),2,FALSE),0)</f>
        <v>0</v>
      </c>
      <c r="F88">
        <f t="array" aca="1" ref="F88" ca="1">IFERROR(VLOOKUP($D$5&amp;$C88,CHOOSE({1,2},D_技能表!$C$2:$C$1210&amp;D_技能表!$E$2:$E$1210,D_技能表!$W$2:$W$1210),2,FALSE),0)</f>
        <v>0</v>
      </c>
      <c r="G88">
        <f t="array" aca="1" ref="G88" ca="1">IFERROR(VLOOKUP($D$5&amp;$C88,CHOOSE({1,2},D_技能表!$C$2:$C$1210&amp;D_技能表!$E$2:$E$1210,D_技能表!$Z$2:$Z$1210),2,FALSE),0)</f>
        <v>0</v>
      </c>
      <c r="H88">
        <f t="array" aca="1" ref="H88" ca="1">IFERROR(VLOOKUP($H$5&amp;$C88,CHOOSE({1,2},D_技能表!$C$2:$C$1210&amp;D_技能表!$E$2:$E$1210,D_技能表!$I$2:$I$1210),2,FALSE),0)</f>
        <v>0</v>
      </c>
      <c r="I88">
        <f t="array" aca="1" ref="I88" ca="1">IFERROR(VLOOKUP($H$5&amp;$C88,CHOOSE({1,2},D_技能表!$C$2:$C$1210&amp;D_技能表!$E$2:$E$1210,D_技能表!$N$2:$N$1210),2,FALSE),0)</f>
        <v>0</v>
      </c>
      <c r="J88">
        <f t="array" aca="1" ref="J88" ca="1">IFERROR(VLOOKUP($H$5&amp;$C88,CHOOSE({1,2},D_技能表!$C$2:$C$1210&amp;D_技能表!$E$2:$E$1210,D_技能表!$W$2:$W$1210),2,FALSE),0)</f>
        <v>0</v>
      </c>
      <c r="K88">
        <f t="array" aca="1" ref="K88" ca="1">IFERROR(VLOOKUP($H$5&amp;$C88,CHOOSE({1,2},D_技能表!$C$2:$C$1210&amp;D_技能表!$E$2:$E$1210,D_技能表!$Z$2:$Z$1210),2,FALSE),0)</f>
        <v>0</v>
      </c>
      <c r="L88">
        <f t="array" aca="1" ref="L88" ca="1">IFERROR(VLOOKUP($L$5&amp;$C88,CHOOSE({1,2},D_技能表!$C$2:$C$1210&amp;D_技能表!$E$2:$E$1210,D_技能表!$I$2:$I$1210),2,FALSE),0)</f>
        <v>0</v>
      </c>
      <c r="M88">
        <f t="array" aca="1" ref="M88" ca="1">IFERROR(VLOOKUP($L$5&amp;$C88,CHOOSE({1,2},D_技能表!$C$2:$C$1210&amp;D_技能表!$E$2:$E$1210,D_技能表!$N$2:$N$1210),2,FALSE),0)</f>
        <v>0</v>
      </c>
      <c r="N88">
        <f t="array" aca="1" ref="N88" ca="1">IFERROR(VLOOKUP($L$5&amp;$C88,CHOOSE({1,2},D_技能表!$C$2:$C$1210&amp;D_技能表!$E$2:$E$1210,D_技能表!$W$2:$W$1210),2,FALSE),0)</f>
        <v>0</v>
      </c>
      <c r="O88">
        <f t="array" aca="1" ref="O88" ca="1">IFERROR(VLOOKUP($L$5&amp;$C88,CHOOSE({1,2},D_技能表!$C$2:$C$1210&amp;D_技能表!$E$2:$E$1210,D_技能表!$Z$2:$Z$1210),2,FALSE),0)</f>
        <v>0</v>
      </c>
      <c r="P88">
        <f t="array" aca="1" ref="P88" ca="1">IFERROR(VLOOKUP($P$5&amp;$C88,CHOOSE({1,2},D_技能表!$C$2:$C$1210&amp;D_技能表!$E$2:$E$1210,D_技能表!$I$2:$I$1210),2,FALSE),0)</f>
        <v>0</v>
      </c>
      <c r="Q88">
        <f t="array" aca="1" ref="Q88" ca="1">IFERROR(VLOOKUP($P$5&amp;$C88,CHOOSE({1,2},D_技能表!$C$2:$C$1210&amp;D_技能表!$E$2:$E$1210,D_技能表!$N$2:$N$1210),2,FALSE),0)</f>
        <v>0</v>
      </c>
      <c r="R88">
        <f t="array" aca="1" ref="R88" ca="1">IFERROR(VLOOKUP($P$5&amp;$C88,CHOOSE({1,2},D_技能表!$C$2:$C$1210&amp;D_技能表!$E$2:$E$1210,D_技能表!$W$2:$W$1210),2,FALSE),0)</f>
        <v>0</v>
      </c>
      <c r="S88">
        <f t="array" aca="1" ref="S88" ca="1">IFERROR(VLOOKUP($P$5&amp;$C88,CHOOSE({1,2},D_技能表!$C$2:$C$1210&amp;D_技能表!$E$2:$E$1210,D_技能表!$Z$2:$Z$1210),2,FALSE),0)</f>
        <v>0</v>
      </c>
      <c r="T88">
        <f t="array" aca="1" ref="T88" ca="1">IFERROR(VLOOKUP($T$5&amp;$C88,CHOOSE({1,2},D_技能表!$C$2:$C$1210&amp;D_技能表!$E$2:$E$1210,D_技能表!$I$2:$I$1210),2,FALSE),0)</f>
        <v>0</v>
      </c>
      <c r="U88">
        <f t="array" aca="1" ref="U88" ca="1">IFERROR(VLOOKUP($T$5&amp;$C88,CHOOSE({1,2},D_技能表!$C$2:$C$1210&amp;D_技能表!$E$2:$E$1210,D_技能表!$N$2:$N$1210),2,FALSE),0)</f>
        <v>0</v>
      </c>
      <c r="V88">
        <f t="array" aca="1" ref="V88" ca="1">IFERROR(VLOOKUP($T$5&amp;$C88,CHOOSE({1,2},D_技能表!$C$2:$C$1210&amp;D_技能表!$E$2:$E$1210,D_技能表!$W$2:$W$1210),2,FALSE),0)</f>
        <v>0</v>
      </c>
      <c r="W88">
        <f t="array" aca="1" ref="W88" ca="1">IFERROR(VLOOKUP($T$5&amp;$C88,CHOOSE({1,2},D_技能表!$C$2:$C$1210&amp;D_技能表!$E$2:$E$1210,D_技能表!$Z$2:$Z$1210),2,FALSE),0)</f>
        <v>0</v>
      </c>
      <c r="X88">
        <f t="array" aca="1" ref="X88" ca="1">IFERROR(VLOOKUP($X$5&amp;$C88,CHOOSE({1,2},D_技能表!$C$2:$C$1210&amp;D_技能表!$E$2:$E$1210,D_技能表!$I$2:$I$1210),2,FALSE),0)</f>
        <v>0</v>
      </c>
      <c r="Y88">
        <f t="array" aca="1" ref="Y88" ca="1">IFERROR(VLOOKUP($X$5&amp;$C88,CHOOSE({1,2},D_技能表!$C$2:$C$1210&amp;D_技能表!$E$2:$E$1210,D_技能表!$N$2:$N$1210),2,FALSE),0)</f>
        <v>0</v>
      </c>
      <c r="Z88">
        <f t="array" aca="1" ref="Z88" ca="1">IFERROR(VLOOKUP($X$5&amp;$C88,CHOOSE({1,2},D_技能表!$C$2:$C$1210&amp;D_技能表!$E$2:$E$1210,D_技能表!$W$2:$W$1210),2,FALSE),0)</f>
        <v>0</v>
      </c>
      <c r="AA88">
        <f t="array" aca="1" ref="AA88" ca="1">IFERROR(VLOOKUP($X$5&amp;$C88,CHOOSE({1,2},D_技能表!$C$2:$C$1210&amp;D_技能表!$E$2:$E$1210,D_技能表!$Z$2:$Z$1210),2,FALSE),0)</f>
        <v>0</v>
      </c>
      <c r="AB88">
        <f t="array" aca="1" ref="AB88" ca="1">IFERROR(VLOOKUP($AB$5&amp;$C88,CHOOSE({1,2},D_技能表!$C$2:$C$1210&amp;D_技能表!$E$2:$E$1210,D_技能表!$I$2:$I$1210),2,FALSE),0)</f>
        <v>0</v>
      </c>
      <c r="AC88">
        <f t="array" aca="1" ref="AC88" ca="1">IFERROR(VLOOKUP($AB$5&amp;$C88,CHOOSE({1,2},D_技能表!$C$2:$C$1210&amp;D_技能表!$E$2:$E$1210,D_技能表!$N$2:$N$1210),2,FALSE),0)</f>
        <v>0</v>
      </c>
      <c r="AD88">
        <f t="array" aca="1" ref="AD88" ca="1">IFERROR(VLOOKUP($AB$5&amp;$C88,CHOOSE({1,2},D_技能表!$C$2:$C$1210&amp;D_技能表!$E$2:$E$1210,D_技能表!$W$2:$W$1210),2,FALSE),0)</f>
        <v>0</v>
      </c>
      <c r="AE88">
        <f t="array" aca="1" ref="AE88" ca="1">IFERROR(VLOOKUP($AB$5&amp;$C88,CHOOSE({1,2},D_技能表!$C$2:$C$1210&amp;D_技能表!$E$2:$E$1210,D_技能表!$Z$2:$Z$1210),2,FALSE),0)</f>
        <v>0</v>
      </c>
      <c r="AF88">
        <f t="array" aca="1" ref="AF88" ca="1">IFERROR(VLOOKUP($AF$5&amp;$C88,CHOOSE({1,2},D_技能表!$C$2:$C$1210&amp;D_技能表!$E$2:$E$1210,D_技能表!$I$2:$I$1210),2,FALSE),0)</f>
        <v>0</v>
      </c>
      <c r="AG88">
        <f t="array" aca="1" ref="AG88" ca="1">IFERROR(VLOOKUP($AF$5&amp;$C88,CHOOSE({1,2},D_技能表!$C$2:$C$1210&amp;D_技能表!$E$2:$E$1210,D_技能表!$N$2:$N$1210),2,FALSE),0)</f>
        <v>0</v>
      </c>
      <c r="AH88">
        <f t="array" aca="1" ref="AH88" ca="1">IFERROR(VLOOKUP($AF$5&amp;$C88,CHOOSE({1,2},D_技能表!$C$2:$C$1210&amp;D_技能表!$E$2:$E$1210,D_技能表!$W$2:$W$1210),2,FALSE),0)</f>
        <v>0</v>
      </c>
      <c r="AI88">
        <f t="array" aca="1" ref="AI88" ca="1">IFERROR(VLOOKUP($AF$5&amp;$C88,CHOOSE({1,2},D_技能表!$C$2:$C$1210&amp;D_技能表!$E$2:$E$1210,D_技能表!$Z$2:$Z$1210),2,FALSE),0)</f>
        <v>0</v>
      </c>
      <c r="AJ88">
        <f t="array" aca="1" ref="AJ88" ca="1">IFERROR(VLOOKUP($AJ$5&amp;$C88,CHOOSE({1,2},D_技能表!$C$2:$C$1210&amp;D_技能表!$E$2:$E$1210,D_技能表!$I$2:$I$1210),2,FALSE),0)</f>
        <v>0</v>
      </c>
      <c r="AK88">
        <f t="array" aca="1" ref="AK88" ca="1">IFERROR(VLOOKUP($AJ$5&amp;$C88,CHOOSE({1,2},D_技能表!$C$2:$C$1210&amp;D_技能表!$E$2:$E$1210,D_技能表!$N$2:$N$1210),2,FALSE),0)</f>
        <v>0</v>
      </c>
      <c r="AL88">
        <f t="array" aca="1" ref="AL88" ca="1">IFERROR(VLOOKUP($AJ$5&amp;$C88,CHOOSE({1,2},D_技能表!$C$2:$C$1210&amp;D_技能表!$E$2:$E$1210,D_技能表!$W$2:$W$1210),2,FALSE),0)</f>
        <v>0</v>
      </c>
      <c r="AM88">
        <f t="array" aca="1" ref="AM88" ca="1">IFERROR(VLOOKUP($AJ$5&amp;$C88,CHOOSE({1,2},D_技能表!$C$2:$C$1210&amp;D_技能表!$E$2:$E$1210,D_技能表!$Z$2:$Z$1210),2,FALSE),0)</f>
        <v>0</v>
      </c>
      <c r="AN88">
        <f t="array" aca="1" ref="AN88" ca="1">IFERROR(VLOOKUP($AN$5&amp;$C88,CHOOSE({1,2},D_技能表!$C$2:$C$1210&amp;D_技能表!$E$2:$E$1210,D_技能表!$I$2:$I$1210),2,FALSE),0)</f>
        <v>0</v>
      </c>
      <c r="AO88">
        <f t="array" aca="1" ref="AO88" ca="1">IFERROR(VLOOKUP($AN$5&amp;$C88,CHOOSE({1,2},D_技能表!$C$2:$C$1210&amp;D_技能表!$E$2:$E$1210,D_技能表!$N$2:$N$1210),2,FALSE),0)</f>
        <v>0</v>
      </c>
      <c r="AP88">
        <f t="array" aca="1" ref="AP88" ca="1">IFERROR(VLOOKUP($AN$5&amp;$C88,CHOOSE({1,2},D_技能表!$C$2:$C$1210&amp;D_技能表!$E$2:$E$1210,D_技能表!$W$2:$W$1210),2,FALSE),0)</f>
        <v>0</v>
      </c>
      <c r="AQ88">
        <f t="array" aca="1" ref="AQ88" ca="1">IFERROR(VLOOKUP($AN$5&amp;$C88,CHOOSE({1,2},D_技能表!$C$2:$C$1210&amp;D_技能表!$E$2:$E$1210,D_技能表!$Z$2:$Z$1210),2,FALSE),0)</f>
        <v>0</v>
      </c>
      <c r="AR88" s="11">
        <f ca="1">SUM($G$7:G89,$K$7:K89,$O$7:O89,$S$7:S89,$W$7:W89,$AA$7:AA89,$AE$7:AE89,$AI$7:AI89,$AM$7:AM89,$AQ$7:AQ89)</f>
        <v>7724</v>
      </c>
      <c r="AS88">
        <f ca="1">SUM($F$7:F89,$J$7:J89,$N$7:N89,$R$7:R89,$V$7:V89,$Z$7:Z89,$AD$7:AD89,$AH$7:AH89,$AL$7:AL89,$AP$7:AP89)</f>
        <v>20474</v>
      </c>
      <c r="AT88">
        <f t="shared" ca="1" si="3"/>
        <v>0</v>
      </c>
      <c r="AU88" s="33">
        <f ca="1">SUM($AX$7:AX88,$BB$7:BB88,$BF$7:BF88,$BJ$7:BJ88)</f>
        <v>5566350</v>
      </c>
      <c r="AV88">
        <v>82</v>
      </c>
      <c r="AW88">
        <f t="array" ref="AW88">IFERROR(VLOOKUP(AW$5&amp;$AV88,CHOOSE({1,2},D_技能表CD!$C$2:$C$313&amp;D_技能表CD!$E$2:$E$313,D_技能表CD!$I$2:$I$313),2,FALSE),0)</f>
        <v>0</v>
      </c>
      <c r="AX88">
        <f t="array" aca="1" ref="AX88" ca="1">IFERROR(VLOOKUP(AW$5&amp;$AV88,CHOOSE({1,2},D_技能表CD!$C$2:$C$313&amp;D_技能表CD!$E$2:$E$313,D_技能表CD!$H$2:$H$313),2,FALSE),0)</f>
        <v>0</v>
      </c>
      <c r="AY88">
        <f t="array" aca="1" ref="AY88" ca="1">IFERROR(VLOOKUP(AW$5&amp;$AV88,CHOOSE({1,2},D_技能表CD!$C$2:$C$313&amp;D_技能表CD!$E$2:$E$313,D_技能表CD!$L$2:$L$313),2,FALSE),0)</f>
        <v>0</v>
      </c>
      <c r="AZ88">
        <f t="array" aca="1" ref="AZ88" ca="1">IFERROR(VLOOKUP(AW$5&amp;$AV88,CHOOSE({1,2},D_技能表CD!$C$2:$C$313&amp;D_技能表CD!$E$2:$E$313,D_技能表CD!$K$2:$K$313),2,FALSE),0)</f>
        <v>0</v>
      </c>
      <c r="BA88">
        <f t="array" ref="BA88">IFERROR(VLOOKUP(BA$5&amp;$AV88,CHOOSE({1,2},D_技能表CD!$C$2:$C$313&amp;D_技能表CD!$E$2:$E$313,D_技能表CD!$I$2:$I$313),2,FALSE),0)</f>
        <v>0</v>
      </c>
      <c r="BB88">
        <f t="array" aca="1" ref="BB88" ca="1">IFERROR(VLOOKUP(BA$5&amp;$AV88,CHOOSE({1,2},D_技能表CD!$C$2:$C$313&amp;D_技能表CD!$E$2:$E$313,D_技能表CD!$H$2:$H$313),2,FALSE),0)</f>
        <v>0</v>
      </c>
      <c r="BC88">
        <f t="array" aca="1" ref="BC88" ca="1">IFERROR(VLOOKUP(BA$5&amp;$AV88,CHOOSE({1,2},D_技能表CD!$C$2:$C$313&amp;D_技能表CD!$E$2:$E$313,D_技能表CD!$L$2:$L$313),2,FALSE),0)</f>
        <v>0</v>
      </c>
      <c r="BD88">
        <f t="array" aca="1" ref="BD88" ca="1">IFERROR(VLOOKUP(BA$5&amp;$AV88,CHOOSE({1,2},D_技能表CD!$C$2:$C$313&amp;D_技能表CD!$E$2:$E$313,D_技能表CD!$K$2:$K$313),2,FALSE),0)</f>
        <v>0</v>
      </c>
      <c r="BE88">
        <f t="array" ref="BE88">IFERROR(VLOOKUP(BE$5&amp;$AV88,CHOOSE({1,2},D_技能表CD!$C$2:$C$313&amp;D_技能表CD!$E$2:$E$313,D_技能表CD!$I$2:$I$313),2,FALSE),0)</f>
        <v>0</v>
      </c>
      <c r="BF88">
        <f t="array" aca="1" ref="BF88" ca="1">IFERROR(VLOOKUP(BE$5&amp;$AV88,CHOOSE({1,2},D_技能表CD!$C$2:$C$313&amp;D_技能表CD!$E$2:$E$313,D_技能表CD!$H$2:$H$313),2,FALSE),0)</f>
        <v>0</v>
      </c>
      <c r="BG88">
        <f t="array" aca="1" ref="BG88" ca="1">IFERROR(VLOOKUP(BE$5&amp;$AV88,CHOOSE({1,2},D_技能表CD!$C$2:$C$313&amp;D_技能表CD!$E$2:$E$313,D_技能表CD!$L$2:$L$313),2,FALSE),0)</f>
        <v>0</v>
      </c>
      <c r="BH88">
        <f t="array" aca="1" ref="BH88" ca="1">IFERROR(VLOOKUP(BE$5&amp;$AV88,CHOOSE({1,2},D_技能表CD!$C$2:$C$313&amp;D_技能表CD!$E$2:$E$313,D_技能表CD!$K$2:$K$313),2,FALSE),0)</f>
        <v>0</v>
      </c>
      <c r="BI88">
        <f t="array" ref="BI88">IFERROR(VLOOKUP(BI$5&amp;$AV88,CHOOSE({1,2},D_技能表CD!$C$2:$C$313&amp;D_技能表CD!$E$2:$E$313,D_技能表CD!$I$2:$I$313),2,FALSE),0)</f>
        <v>0</v>
      </c>
      <c r="BJ88">
        <f t="array" aca="1" ref="BJ88" ca="1">IFERROR(VLOOKUP(BI$5&amp;$AV88,CHOOSE({1,2},D_技能表CD!$C$2:$C$313&amp;D_技能表CD!$E$2:$E$313,D_技能表CD!$H$2:$H$313),2,FALSE),0)</f>
        <v>0</v>
      </c>
      <c r="BK88">
        <f t="array" aca="1" ref="BK88" ca="1">IFERROR(VLOOKUP(BI$5&amp;$AV88,CHOOSE({1,2},D_技能表CD!$C$2:$C$313&amp;D_技能表CD!$E$2:$E$313,D_技能表CD!$L$2:$L$313),2,FALSE),0)</f>
        <v>0</v>
      </c>
      <c r="BL88">
        <f t="array" aca="1" ref="BL88" ca="1">IFERROR(VLOOKUP(BI$5&amp;$AV88,CHOOSE({1,2},D_技能表CD!$C$2:$C$313&amp;D_技能表CD!$E$2:$E$313,D_技能表CD!$K$2:$K$313),2,FALSE),0)</f>
        <v>0</v>
      </c>
    </row>
    <row r="89" spans="1:64" x14ac:dyDescent="0.15">
      <c r="A89">
        <f t="shared" ca="1" si="2"/>
        <v>60615598</v>
      </c>
      <c r="B89" s="34">
        <f ca="1">SUM($E$7:E89,$I$7:I89,$M$7:M89,$Q$7:Q89,$U$7:U89,$Y$7:Y89,$AC$7:AC89,$AG$7:AG89,$AK$7:AK89,$AO$7:AO89)</f>
        <v>55049248</v>
      </c>
      <c r="C89">
        <v>83</v>
      </c>
      <c r="D89">
        <f t="array" aca="1" ref="D89" ca="1">IFERROR(VLOOKUP($D$5&amp;C89,CHOOSE({1,2},D_技能表!$C$2:$C$1210&amp;D_技能表!$E$2:$E$1210,D_技能表!$I$2:$I$1210),2,FALSE),0)</f>
        <v>0</v>
      </c>
      <c r="E89">
        <f t="array" aca="1" ref="E89" ca="1">IFERROR(VLOOKUP($D$5&amp;$C89,CHOOSE({1,2},D_技能表!$C$2:$C$1210&amp;D_技能表!$E$2:$E$1210,D_技能表!$N$2:$N$1210),2,FALSE),0)</f>
        <v>0</v>
      </c>
      <c r="F89">
        <f t="array" aca="1" ref="F89" ca="1">IFERROR(VLOOKUP($D$5&amp;$C89,CHOOSE({1,2},D_技能表!$C$2:$C$1210&amp;D_技能表!$E$2:$E$1210,D_技能表!$W$2:$W$1210),2,FALSE),0)</f>
        <v>0</v>
      </c>
      <c r="G89">
        <f t="array" aca="1" ref="G89" ca="1">IFERROR(VLOOKUP($D$5&amp;$C89,CHOOSE({1,2},D_技能表!$C$2:$C$1210&amp;D_技能表!$E$2:$E$1210,D_技能表!$Z$2:$Z$1210),2,FALSE),0)</f>
        <v>0</v>
      </c>
      <c r="H89">
        <f t="array" aca="1" ref="H89" ca="1">IFERROR(VLOOKUP($H$5&amp;$C89,CHOOSE({1,2},D_技能表!$C$2:$C$1210&amp;D_技能表!$E$2:$E$1210,D_技能表!$I$2:$I$1210),2,FALSE),0)</f>
        <v>0</v>
      </c>
      <c r="I89">
        <f t="array" aca="1" ref="I89" ca="1">IFERROR(VLOOKUP($H$5&amp;$C89,CHOOSE({1,2},D_技能表!$C$2:$C$1210&amp;D_技能表!$E$2:$E$1210,D_技能表!$N$2:$N$1210),2,FALSE),0)</f>
        <v>0</v>
      </c>
      <c r="J89">
        <f t="array" aca="1" ref="J89" ca="1">IFERROR(VLOOKUP($H$5&amp;$C89,CHOOSE({1,2},D_技能表!$C$2:$C$1210&amp;D_技能表!$E$2:$E$1210,D_技能表!$W$2:$W$1210),2,FALSE),0)</f>
        <v>0</v>
      </c>
      <c r="K89">
        <f t="array" aca="1" ref="K89" ca="1">IFERROR(VLOOKUP($H$5&amp;$C89,CHOOSE({1,2},D_技能表!$C$2:$C$1210&amp;D_技能表!$E$2:$E$1210,D_技能表!$Z$2:$Z$1210),2,FALSE),0)</f>
        <v>0</v>
      </c>
      <c r="L89">
        <f t="array" aca="1" ref="L89" ca="1">IFERROR(VLOOKUP($L$5&amp;$C89,CHOOSE({1,2},D_技能表!$C$2:$C$1210&amp;D_技能表!$E$2:$E$1210,D_技能表!$I$2:$I$1210),2,FALSE),0)</f>
        <v>0</v>
      </c>
      <c r="M89">
        <f t="array" aca="1" ref="M89" ca="1">IFERROR(VLOOKUP($L$5&amp;$C89,CHOOSE({1,2},D_技能表!$C$2:$C$1210&amp;D_技能表!$E$2:$E$1210,D_技能表!$N$2:$N$1210),2,FALSE),0)</f>
        <v>0</v>
      </c>
      <c r="N89">
        <f t="array" aca="1" ref="N89" ca="1">IFERROR(VLOOKUP($L$5&amp;$C89,CHOOSE({1,2},D_技能表!$C$2:$C$1210&amp;D_技能表!$E$2:$E$1210,D_技能表!$W$2:$W$1210),2,FALSE),0)</f>
        <v>0</v>
      </c>
      <c r="O89">
        <f t="array" aca="1" ref="O89" ca="1">IFERROR(VLOOKUP($L$5&amp;$C89,CHOOSE({1,2},D_技能表!$C$2:$C$1210&amp;D_技能表!$E$2:$E$1210,D_技能表!$Z$2:$Z$1210),2,FALSE),0)</f>
        <v>0</v>
      </c>
      <c r="P89">
        <f t="array" aca="1" ref="P89" ca="1">IFERROR(VLOOKUP($P$5&amp;$C89,CHOOSE({1,2},D_技能表!$C$2:$C$1210&amp;D_技能表!$E$2:$E$1210,D_技能表!$I$2:$I$1210),2,FALSE),0)</f>
        <v>0</v>
      </c>
      <c r="Q89">
        <f t="array" aca="1" ref="Q89" ca="1">IFERROR(VLOOKUP($P$5&amp;$C89,CHOOSE({1,2},D_技能表!$C$2:$C$1210&amp;D_技能表!$E$2:$E$1210,D_技能表!$N$2:$N$1210),2,FALSE),0)</f>
        <v>0</v>
      </c>
      <c r="R89">
        <f t="array" aca="1" ref="R89" ca="1">IFERROR(VLOOKUP($P$5&amp;$C89,CHOOSE({1,2},D_技能表!$C$2:$C$1210&amp;D_技能表!$E$2:$E$1210,D_技能表!$W$2:$W$1210),2,FALSE),0)</f>
        <v>0</v>
      </c>
      <c r="S89">
        <f t="array" aca="1" ref="S89" ca="1">IFERROR(VLOOKUP($P$5&amp;$C89,CHOOSE({1,2},D_技能表!$C$2:$C$1210&amp;D_技能表!$E$2:$E$1210,D_技能表!$Z$2:$Z$1210),2,FALSE),0)</f>
        <v>0</v>
      </c>
      <c r="T89">
        <f t="array" aca="1" ref="T89" ca="1">IFERROR(VLOOKUP($T$5&amp;$C89,CHOOSE({1,2},D_技能表!$C$2:$C$1210&amp;D_技能表!$E$2:$E$1210,D_技能表!$I$2:$I$1210),2,FALSE),0)</f>
        <v>0</v>
      </c>
      <c r="U89">
        <f t="array" aca="1" ref="U89" ca="1">IFERROR(VLOOKUP($T$5&amp;$C89,CHOOSE({1,2},D_技能表!$C$2:$C$1210&amp;D_技能表!$E$2:$E$1210,D_技能表!$N$2:$N$1210),2,FALSE),0)</f>
        <v>0</v>
      </c>
      <c r="V89">
        <f t="array" aca="1" ref="V89" ca="1">IFERROR(VLOOKUP($T$5&amp;$C89,CHOOSE({1,2},D_技能表!$C$2:$C$1210&amp;D_技能表!$E$2:$E$1210,D_技能表!$W$2:$W$1210),2,FALSE),0)</f>
        <v>0</v>
      </c>
      <c r="W89">
        <f t="array" aca="1" ref="W89" ca="1">IFERROR(VLOOKUP($T$5&amp;$C89,CHOOSE({1,2},D_技能表!$C$2:$C$1210&amp;D_技能表!$E$2:$E$1210,D_技能表!$Z$2:$Z$1210),2,FALSE),0)</f>
        <v>0</v>
      </c>
      <c r="X89">
        <f t="array" aca="1" ref="X89" ca="1">IFERROR(VLOOKUP($X$5&amp;$C89,CHOOSE({1,2},D_技能表!$C$2:$C$1210&amp;D_技能表!$E$2:$E$1210,D_技能表!$I$2:$I$1210),2,FALSE),0)</f>
        <v>0</v>
      </c>
      <c r="Y89">
        <f t="array" aca="1" ref="Y89" ca="1">IFERROR(VLOOKUP($X$5&amp;$C89,CHOOSE({1,2},D_技能表!$C$2:$C$1210&amp;D_技能表!$E$2:$E$1210,D_技能表!$N$2:$N$1210),2,FALSE),0)</f>
        <v>0</v>
      </c>
      <c r="Z89">
        <f t="array" aca="1" ref="Z89" ca="1">IFERROR(VLOOKUP($X$5&amp;$C89,CHOOSE({1,2},D_技能表!$C$2:$C$1210&amp;D_技能表!$E$2:$E$1210,D_技能表!$W$2:$W$1210),2,FALSE),0)</f>
        <v>0</v>
      </c>
      <c r="AA89">
        <f t="array" aca="1" ref="AA89" ca="1">IFERROR(VLOOKUP($X$5&amp;$C89,CHOOSE({1,2},D_技能表!$C$2:$C$1210&amp;D_技能表!$E$2:$E$1210,D_技能表!$Z$2:$Z$1210),2,FALSE),0)</f>
        <v>0</v>
      </c>
      <c r="AB89">
        <f t="array" aca="1" ref="AB89" ca="1">IFERROR(VLOOKUP($AB$5&amp;$C89,CHOOSE({1,2},D_技能表!$C$2:$C$1210&amp;D_技能表!$E$2:$E$1210,D_技能表!$I$2:$I$1210),2,FALSE),0)</f>
        <v>0</v>
      </c>
      <c r="AC89">
        <f t="array" aca="1" ref="AC89" ca="1">IFERROR(VLOOKUP($AB$5&amp;$C89,CHOOSE({1,2},D_技能表!$C$2:$C$1210&amp;D_技能表!$E$2:$E$1210,D_技能表!$N$2:$N$1210),2,FALSE),0)</f>
        <v>0</v>
      </c>
      <c r="AD89">
        <f t="array" aca="1" ref="AD89" ca="1">IFERROR(VLOOKUP($AB$5&amp;$C89,CHOOSE({1,2},D_技能表!$C$2:$C$1210&amp;D_技能表!$E$2:$E$1210,D_技能表!$W$2:$W$1210),2,FALSE),0)</f>
        <v>0</v>
      </c>
      <c r="AE89">
        <f t="array" aca="1" ref="AE89" ca="1">IFERROR(VLOOKUP($AB$5&amp;$C89,CHOOSE({1,2},D_技能表!$C$2:$C$1210&amp;D_技能表!$E$2:$E$1210,D_技能表!$Z$2:$Z$1210),2,FALSE),0)</f>
        <v>0</v>
      </c>
      <c r="AF89">
        <f t="array" aca="1" ref="AF89" ca="1">IFERROR(VLOOKUP($AF$5&amp;$C89,CHOOSE({1,2},D_技能表!$C$2:$C$1210&amp;D_技能表!$E$2:$E$1210,D_技能表!$I$2:$I$1210),2,FALSE),0)</f>
        <v>0</v>
      </c>
      <c r="AG89">
        <f t="array" aca="1" ref="AG89" ca="1">IFERROR(VLOOKUP($AF$5&amp;$C89,CHOOSE({1,2},D_技能表!$C$2:$C$1210&amp;D_技能表!$E$2:$E$1210,D_技能表!$N$2:$N$1210),2,FALSE),0)</f>
        <v>0</v>
      </c>
      <c r="AH89">
        <f t="array" aca="1" ref="AH89" ca="1">IFERROR(VLOOKUP($AF$5&amp;$C89,CHOOSE({1,2},D_技能表!$C$2:$C$1210&amp;D_技能表!$E$2:$E$1210,D_技能表!$W$2:$W$1210),2,FALSE),0)</f>
        <v>0</v>
      </c>
      <c r="AI89">
        <f t="array" aca="1" ref="AI89" ca="1">IFERROR(VLOOKUP($AF$5&amp;$C89,CHOOSE({1,2},D_技能表!$C$2:$C$1210&amp;D_技能表!$E$2:$E$1210,D_技能表!$Z$2:$Z$1210),2,FALSE),0)</f>
        <v>0</v>
      </c>
      <c r="AJ89">
        <f t="array" aca="1" ref="AJ89" ca="1">IFERROR(VLOOKUP($AJ$5&amp;$C89,CHOOSE({1,2},D_技能表!$C$2:$C$1210&amp;D_技能表!$E$2:$E$1210,D_技能表!$I$2:$I$1210),2,FALSE),0)</f>
        <v>0</v>
      </c>
      <c r="AK89">
        <f t="array" aca="1" ref="AK89" ca="1">IFERROR(VLOOKUP($AJ$5&amp;$C89,CHOOSE({1,2},D_技能表!$C$2:$C$1210&amp;D_技能表!$E$2:$E$1210,D_技能表!$N$2:$N$1210),2,FALSE),0)</f>
        <v>0</v>
      </c>
      <c r="AL89">
        <f t="array" aca="1" ref="AL89" ca="1">IFERROR(VLOOKUP($AJ$5&amp;$C89,CHOOSE({1,2},D_技能表!$C$2:$C$1210&amp;D_技能表!$E$2:$E$1210,D_技能表!$W$2:$W$1210),2,FALSE),0)</f>
        <v>0</v>
      </c>
      <c r="AM89">
        <f t="array" aca="1" ref="AM89" ca="1">IFERROR(VLOOKUP($AJ$5&amp;$C89,CHOOSE({1,2},D_技能表!$C$2:$C$1210&amp;D_技能表!$E$2:$E$1210,D_技能表!$Z$2:$Z$1210),2,FALSE),0)</f>
        <v>0</v>
      </c>
      <c r="AN89">
        <f t="array" aca="1" ref="AN89" ca="1">IFERROR(VLOOKUP($AN$5&amp;$C89,CHOOSE({1,2},D_技能表!$C$2:$C$1210&amp;D_技能表!$E$2:$E$1210,D_技能表!$I$2:$I$1210),2,FALSE),0)</f>
        <v>0</v>
      </c>
      <c r="AO89">
        <f t="array" aca="1" ref="AO89" ca="1">IFERROR(VLOOKUP($AN$5&amp;$C89,CHOOSE({1,2},D_技能表!$C$2:$C$1210&amp;D_技能表!$E$2:$E$1210,D_技能表!$N$2:$N$1210),2,FALSE),0)</f>
        <v>0</v>
      </c>
      <c r="AP89">
        <f t="array" aca="1" ref="AP89" ca="1">IFERROR(VLOOKUP($AN$5&amp;$C89,CHOOSE({1,2},D_技能表!$C$2:$C$1210&amp;D_技能表!$E$2:$E$1210,D_技能表!$W$2:$W$1210),2,FALSE),0)</f>
        <v>0</v>
      </c>
      <c r="AQ89">
        <f t="array" aca="1" ref="AQ89" ca="1">IFERROR(VLOOKUP($AN$5&amp;$C89,CHOOSE({1,2},D_技能表!$C$2:$C$1210&amp;D_技能表!$E$2:$E$1210,D_技能表!$Z$2:$Z$1210),2,FALSE),0)</f>
        <v>0</v>
      </c>
      <c r="AR89" s="11">
        <f ca="1">SUM($G$7:G90,$K$7:K90,$O$7:O90,$S$7:S90,$W$7:W90,$AA$7:AA90,$AE$7:AE90,$AI$7:AI90,$AM$7:AM90,$AQ$7:AQ90)</f>
        <v>7724</v>
      </c>
      <c r="AS89">
        <f ca="1">SUM($F$7:F90,$J$7:J90,$N$7:N90,$R$7:R90,$V$7:V90,$Z$7:Z90,$AD$7:AD90,$AH$7:AH90,$AL$7:AL90,$AP$7:AP90)</f>
        <v>20474</v>
      </c>
      <c r="AT89">
        <f t="shared" ca="1" si="3"/>
        <v>0</v>
      </c>
      <c r="AU89" s="33">
        <f ca="1">SUM($AX$7:AX89,$BB$7:BB89,$BF$7:BF89,$BJ$7:BJ89)</f>
        <v>5566350</v>
      </c>
      <c r="AV89">
        <v>83</v>
      </c>
      <c r="AW89">
        <f t="array" ref="AW89">IFERROR(VLOOKUP(AW$5&amp;$AV89,CHOOSE({1,2},D_技能表CD!$C$2:$C$313&amp;D_技能表CD!$E$2:$E$313,D_技能表CD!$I$2:$I$313),2,FALSE),0)</f>
        <v>0</v>
      </c>
      <c r="AX89">
        <f t="array" aca="1" ref="AX89" ca="1">IFERROR(VLOOKUP(AW$5&amp;$AV89,CHOOSE({1,2},D_技能表CD!$C$2:$C$313&amp;D_技能表CD!$E$2:$E$313,D_技能表CD!$H$2:$H$313),2,FALSE),0)</f>
        <v>0</v>
      </c>
      <c r="AY89">
        <f t="array" aca="1" ref="AY89" ca="1">IFERROR(VLOOKUP(AW$5&amp;$AV89,CHOOSE({1,2},D_技能表CD!$C$2:$C$313&amp;D_技能表CD!$E$2:$E$313,D_技能表CD!$L$2:$L$313),2,FALSE),0)</f>
        <v>0</v>
      </c>
      <c r="AZ89">
        <f t="array" aca="1" ref="AZ89" ca="1">IFERROR(VLOOKUP(AW$5&amp;$AV89,CHOOSE({1,2},D_技能表CD!$C$2:$C$313&amp;D_技能表CD!$E$2:$E$313,D_技能表CD!$K$2:$K$313),2,FALSE),0)</f>
        <v>0</v>
      </c>
      <c r="BA89">
        <f t="array" ref="BA89">IFERROR(VLOOKUP(BA$5&amp;$AV89,CHOOSE({1,2},D_技能表CD!$C$2:$C$313&amp;D_技能表CD!$E$2:$E$313,D_技能表CD!$I$2:$I$313),2,FALSE),0)</f>
        <v>0</v>
      </c>
      <c r="BB89">
        <f t="array" aca="1" ref="BB89" ca="1">IFERROR(VLOOKUP(BA$5&amp;$AV89,CHOOSE({1,2},D_技能表CD!$C$2:$C$313&amp;D_技能表CD!$E$2:$E$313,D_技能表CD!$H$2:$H$313),2,FALSE),0)</f>
        <v>0</v>
      </c>
      <c r="BC89">
        <f t="array" aca="1" ref="BC89" ca="1">IFERROR(VLOOKUP(BA$5&amp;$AV89,CHOOSE({1,2},D_技能表CD!$C$2:$C$313&amp;D_技能表CD!$E$2:$E$313,D_技能表CD!$L$2:$L$313),2,FALSE),0)</f>
        <v>0</v>
      </c>
      <c r="BD89">
        <f t="array" aca="1" ref="BD89" ca="1">IFERROR(VLOOKUP(BA$5&amp;$AV89,CHOOSE({1,2},D_技能表CD!$C$2:$C$313&amp;D_技能表CD!$E$2:$E$313,D_技能表CD!$K$2:$K$313),2,FALSE),0)</f>
        <v>0</v>
      </c>
      <c r="BE89">
        <f t="array" ref="BE89">IFERROR(VLOOKUP(BE$5&amp;$AV89,CHOOSE({1,2},D_技能表CD!$C$2:$C$313&amp;D_技能表CD!$E$2:$E$313,D_技能表CD!$I$2:$I$313),2,FALSE),0)</f>
        <v>0</v>
      </c>
      <c r="BF89">
        <f t="array" aca="1" ref="BF89" ca="1">IFERROR(VLOOKUP(BE$5&amp;$AV89,CHOOSE({1,2},D_技能表CD!$C$2:$C$313&amp;D_技能表CD!$E$2:$E$313,D_技能表CD!$H$2:$H$313),2,FALSE),0)</f>
        <v>0</v>
      </c>
      <c r="BG89">
        <f t="array" aca="1" ref="BG89" ca="1">IFERROR(VLOOKUP(BE$5&amp;$AV89,CHOOSE({1,2},D_技能表CD!$C$2:$C$313&amp;D_技能表CD!$E$2:$E$313,D_技能表CD!$L$2:$L$313),2,FALSE),0)</f>
        <v>0</v>
      </c>
      <c r="BH89">
        <f t="array" aca="1" ref="BH89" ca="1">IFERROR(VLOOKUP(BE$5&amp;$AV89,CHOOSE({1,2},D_技能表CD!$C$2:$C$313&amp;D_技能表CD!$E$2:$E$313,D_技能表CD!$K$2:$K$313),2,FALSE),0)</f>
        <v>0</v>
      </c>
      <c r="BI89">
        <f t="array" ref="BI89">IFERROR(VLOOKUP(BI$5&amp;$AV89,CHOOSE({1,2},D_技能表CD!$C$2:$C$313&amp;D_技能表CD!$E$2:$E$313,D_技能表CD!$I$2:$I$313),2,FALSE),0)</f>
        <v>0</v>
      </c>
      <c r="BJ89">
        <f t="array" aca="1" ref="BJ89" ca="1">IFERROR(VLOOKUP(BI$5&amp;$AV89,CHOOSE({1,2},D_技能表CD!$C$2:$C$313&amp;D_技能表CD!$E$2:$E$313,D_技能表CD!$H$2:$H$313),2,FALSE),0)</f>
        <v>0</v>
      </c>
      <c r="BK89">
        <f t="array" aca="1" ref="BK89" ca="1">IFERROR(VLOOKUP(BI$5&amp;$AV89,CHOOSE({1,2},D_技能表CD!$C$2:$C$313&amp;D_技能表CD!$E$2:$E$313,D_技能表CD!$L$2:$L$313),2,FALSE),0)</f>
        <v>0</v>
      </c>
      <c r="BL89">
        <f t="array" aca="1" ref="BL89" ca="1">IFERROR(VLOOKUP(BI$5&amp;$AV89,CHOOSE({1,2},D_技能表CD!$C$2:$C$313&amp;D_技能表CD!$E$2:$E$313,D_技能表CD!$K$2:$K$313),2,FALSE),0)</f>
        <v>0</v>
      </c>
    </row>
    <row r="90" spans="1:64" x14ac:dyDescent="0.15">
      <c r="A90">
        <f t="shared" ca="1" si="2"/>
        <v>60615598</v>
      </c>
      <c r="B90" s="34">
        <f ca="1">SUM($E$7:E90,$I$7:I90,$M$7:M90,$Q$7:Q90,$U$7:U90,$Y$7:Y90,$AC$7:AC90,$AG$7:AG90,$AK$7:AK90,$AO$7:AO90)</f>
        <v>55049248</v>
      </c>
      <c r="C90">
        <v>84</v>
      </c>
      <c r="D90">
        <f t="array" aca="1" ref="D90" ca="1">IFERROR(VLOOKUP($D$5&amp;C90,CHOOSE({1,2},D_技能表!$C$2:$C$1210&amp;D_技能表!$E$2:$E$1210,D_技能表!$I$2:$I$1210),2,FALSE),0)</f>
        <v>0</v>
      </c>
      <c r="E90">
        <f t="array" aca="1" ref="E90" ca="1">IFERROR(VLOOKUP($D$5&amp;$C90,CHOOSE({1,2},D_技能表!$C$2:$C$1210&amp;D_技能表!$E$2:$E$1210,D_技能表!$N$2:$N$1210),2,FALSE),0)</f>
        <v>0</v>
      </c>
      <c r="F90">
        <f t="array" aca="1" ref="F90" ca="1">IFERROR(VLOOKUP($D$5&amp;$C90,CHOOSE({1,2},D_技能表!$C$2:$C$1210&amp;D_技能表!$E$2:$E$1210,D_技能表!$W$2:$W$1210),2,FALSE),0)</f>
        <v>0</v>
      </c>
      <c r="G90">
        <f t="array" aca="1" ref="G90" ca="1">IFERROR(VLOOKUP($D$5&amp;$C90,CHOOSE({1,2},D_技能表!$C$2:$C$1210&amp;D_技能表!$E$2:$E$1210,D_技能表!$Z$2:$Z$1210),2,FALSE),0)</f>
        <v>0</v>
      </c>
      <c r="H90">
        <f t="array" aca="1" ref="H90" ca="1">IFERROR(VLOOKUP($H$5&amp;$C90,CHOOSE({1,2},D_技能表!$C$2:$C$1210&amp;D_技能表!$E$2:$E$1210,D_技能表!$I$2:$I$1210),2,FALSE),0)</f>
        <v>0</v>
      </c>
      <c r="I90">
        <f t="array" aca="1" ref="I90" ca="1">IFERROR(VLOOKUP($H$5&amp;$C90,CHOOSE({1,2},D_技能表!$C$2:$C$1210&amp;D_技能表!$E$2:$E$1210,D_技能表!$N$2:$N$1210),2,FALSE),0)</f>
        <v>0</v>
      </c>
      <c r="J90">
        <f t="array" aca="1" ref="J90" ca="1">IFERROR(VLOOKUP($H$5&amp;$C90,CHOOSE({1,2},D_技能表!$C$2:$C$1210&amp;D_技能表!$E$2:$E$1210,D_技能表!$W$2:$W$1210),2,FALSE),0)</f>
        <v>0</v>
      </c>
      <c r="K90">
        <f t="array" aca="1" ref="K90" ca="1">IFERROR(VLOOKUP($H$5&amp;$C90,CHOOSE({1,2},D_技能表!$C$2:$C$1210&amp;D_技能表!$E$2:$E$1210,D_技能表!$Z$2:$Z$1210),2,FALSE),0)</f>
        <v>0</v>
      </c>
      <c r="L90">
        <f t="array" aca="1" ref="L90" ca="1">IFERROR(VLOOKUP($L$5&amp;$C90,CHOOSE({1,2},D_技能表!$C$2:$C$1210&amp;D_技能表!$E$2:$E$1210,D_技能表!$I$2:$I$1210),2,FALSE),0)</f>
        <v>0</v>
      </c>
      <c r="M90">
        <f t="array" aca="1" ref="M90" ca="1">IFERROR(VLOOKUP($L$5&amp;$C90,CHOOSE({1,2},D_技能表!$C$2:$C$1210&amp;D_技能表!$E$2:$E$1210,D_技能表!$N$2:$N$1210),2,FALSE),0)</f>
        <v>0</v>
      </c>
      <c r="N90">
        <f t="array" aca="1" ref="N90" ca="1">IFERROR(VLOOKUP($L$5&amp;$C90,CHOOSE({1,2},D_技能表!$C$2:$C$1210&amp;D_技能表!$E$2:$E$1210,D_技能表!$W$2:$W$1210),2,FALSE),0)</f>
        <v>0</v>
      </c>
      <c r="O90">
        <f t="array" aca="1" ref="O90" ca="1">IFERROR(VLOOKUP($L$5&amp;$C90,CHOOSE({1,2},D_技能表!$C$2:$C$1210&amp;D_技能表!$E$2:$E$1210,D_技能表!$Z$2:$Z$1210),2,FALSE),0)</f>
        <v>0</v>
      </c>
      <c r="P90">
        <f t="array" aca="1" ref="P90" ca="1">IFERROR(VLOOKUP($P$5&amp;$C90,CHOOSE({1,2},D_技能表!$C$2:$C$1210&amp;D_技能表!$E$2:$E$1210,D_技能表!$I$2:$I$1210),2,FALSE),0)</f>
        <v>0</v>
      </c>
      <c r="Q90">
        <f t="array" aca="1" ref="Q90" ca="1">IFERROR(VLOOKUP($P$5&amp;$C90,CHOOSE({1,2},D_技能表!$C$2:$C$1210&amp;D_技能表!$E$2:$E$1210,D_技能表!$N$2:$N$1210),2,FALSE),0)</f>
        <v>0</v>
      </c>
      <c r="R90">
        <f t="array" aca="1" ref="R90" ca="1">IFERROR(VLOOKUP($P$5&amp;$C90,CHOOSE({1,2},D_技能表!$C$2:$C$1210&amp;D_技能表!$E$2:$E$1210,D_技能表!$W$2:$W$1210),2,FALSE),0)</f>
        <v>0</v>
      </c>
      <c r="S90">
        <f t="array" aca="1" ref="S90" ca="1">IFERROR(VLOOKUP($P$5&amp;$C90,CHOOSE({1,2},D_技能表!$C$2:$C$1210&amp;D_技能表!$E$2:$E$1210,D_技能表!$Z$2:$Z$1210),2,FALSE),0)</f>
        <v>0</v>
      </c>
      <c r="T90">
        <f t="array" aca="1" ref="T90" ca="1">IFERROR(VLOOKUP($T$5&amp;$C90,CHOOSE({1,2},D_技能表!$C$2:$C$1210&amp;D_技能表!$E$2:$E$1210,D_技能表!$I$2:$I$1210),2,FALSE),0)</f>
        <v>0</v>
      </c>
      <c r="U90">
        <f t="array" aca="1" ref="U90" ca="1">IFERROR(VLOOKUP($T$5&amp;$C90,CHOOSE({1,2},D_技能表!$C$2:$C$1210&amp;D_技能表!$E$2:$E$1210,D_技能表!$N$2:$N$1210),2,FALSE),0)</f>
        <v>0</v>
      </c>
      <c r="V90">
        <f t="array" aca="1" ref="V90" ca="1">IFERROR(VLOOKUP($T$5&amp;$C90,CHOOSE({1,2},D_技能表!$C$2:$C$1210&amp;D_技能表!$E$2:$E$1210,D_技能表!$W$2:$W$1210),2,FALSE),0)</f>
        <v>0</v>
      </c>
      <c r="W90">
        <f t="array" aca="1" ref="W90" ca="1">IFERROR(VLOOKUP($T$5&amp;$C90,CHOOSE({1,2},D_技能表!$C$2:$C$1210&amp;D_技能表!$E$2:$E$1210,D_技能表!$Z$2:$Z$1210),2,FALSE),0)</f>
        <v>0</v>
      </c>
      <c r="X90">
        <f t="array" aca="1" ref="X90" ca="1">IFERROR(VLOOKUP($X$5&amp;$C90,CHOOSE({1,2},D_技能表!$C$2:$C$1210&amp;D_技能表!$E$2:$E$1210,D_技能表!$I$2:$I$1210),2,FALSE),0)</f>
        <v>0</v>
      </c>
      <c r="Y90">
        <f t="array" aca="1" ref="Y90" ca="1">IFERROR(VLOOKUP($X$5&amp;$C90,CHOOSE({1,2},D_技能表!$C$2:$C$1210&amp;D_技能表!$E$2:$E$1210,D_技能表!$N$2:$N$1210),2,FALSE),0)</f>
        <v>0</v>
      </c>
      <c r="Z90">
        <f t="array" aca="1" ref="Z90" ca="1">IFERROR(VLOOKUP($X$5&amp;$C90,CHOOSE({1,2},D_技能表!$C$2:$C$1210&amp;D_技能表!$E$2:$E$1210,D_技能表!$W$2:$W$1210),2,FALSE),0)</f>
        <v>0</v>
      </c>
      <c r="AA90">
        <f t="array" aca="1" ref="AA90" ca="1">IFERROR(VLOOKUP($X$5&amp;$C90,CHOOSE({1,2},D_技能表!$C$2:$C$1210&amp;D_技能表!$E$2:$E$1210,D_技能表!$Z$2:$Z$1210),2,FALSE),0)</f>
        <v>0</v>
      </c>
      <c r="AB90">
        <f t="array" aca="1" ref="AB90" ca="1">IFERROR(VLOOKUP($AB$5&amp;$C90,CHOOSE({1,2},D_技能表!$C$2:$C$1210&amp;D_技能表!$E$2:$E$1210,D_技能表!$I$2:$I$1210),2,FALSE),0)</f>
        <v>0</v>
      </c>
      <c r="AC90">
        <f t="array" aca="1" ref="AC90" ca="1">IFERROR(VLOOKUP($AB$5&amp;$C90,CHOOSE({1,2},D_技能表!$C$2:$C$1210&amp;D_技能表!$E$2:$E$1210,D_技能表!$N$2:$N$1210),2,FALSE),0)</f>
        <v>0</v>
      </c>
      <c r="AD90">
        <f t="array" aca="1" ref="AD90" ca="1">IFERROR(VLOOKUP($AB$5&amp;$C90,CHOOSE({1,2},D_技能表!$C$2:$C$1210&amp;D_技能表!$E$2:$E$1210,D_技能表!$W$2:$W$1210),2,FALSE),0)</f>
        <v>0</v>
      </c>
      <c r="AE90">
        <f t="array" aca="1" ref="AE90" ca="1">IFERROR(VLOOKUP($AB$5&amp;$C90,CHOOSE({1,2},D_技能表!$C$2:$C$1210&amp;D_技能表!$E$2:$E$1210,D_技能表!$Z$2:$Z$1210),2,FALSE),0)</f>
        <v>0</v>
      </c>
      <c r="AF90">
        <f t="array" aca="1" ref="AF90" ca="1">IFERROR(VLOOKUP($AF$5&amp;$C90,CHOOSE({1,2},D_技能表!$C$2:$C$1210&amp;D_技能表!$E$2:$E$1210,D_技能表!$I$2:$I$1210),2,FALSE),0)</f>
        <v>0</v>
      </c>
      <c r="AG90">
        <f t="array" aca="1" ref="AG90" ca="1">IFERROR(VLOOKUP($AF$5&amp;$C90,CHOOSE({1,2},D_技能表!$C$2:$C$1210&amp;D_技能表!$E$2:$E$1210,D_技能表!$N$2:$N$1210),2,FALSE),0)</f>
        <v>0</v>
      </c>
      <c r="AH90">
        <f t="array" aca="1" ref="AH90" ca="1">IFERROR(VLOOKUP($AF$5&amp;$C90,CHOOSE({1,2},D_技能表!$C$2:$C$1210&amp;D_技能表!$E$2:$E$1210,D_技能表!$W$2:$W$1210),2,FALSE),0)</f>
        <v>0</v>
      </c>
      <c r="AI90">
        <f t="array" aca="1" ref="AI90" ca="1">IFERROR(VLOOKUP($AF$5&amp;$C90,CHOOSE({1,2},D_技能表!$C$2:$C$1210&amp;D_技能表!$E$2:$E$1210,D_技能表!$Z$2:$Z$1210),2,FALSE),0)</f>
        <v>0</v>
      </c>
      <c r="AJ90">
        <f t="array" aca="1" ref="AJ90" ca="1">IFERROR(VLOOKUP($AJ$5&amp;$C90,CHOOSE({1,2},D_技能表!$C$2:$C$1210&amp;D_技能表!$E$2:$E$1210,D_技能表!$I$2:$I$1210),2,FALSE),0)</f>
        <v>0</v>
      </c>
      <c r="AK90">
        <f t="array" aca="1" ref="AK90" ca="1">IFERROR(VLOOKUP($AJ$5&amp;$C90,CHOOSE({1,2},D_技能表!$C$2:$C$1210&amp;D_技能表!$E$2:$E$1210,D_技能表!$N$2:$N$1210),2,FALSE),0)</f>
        <v>0</v>
      </c>
      <c r="AL90">
        <f t="array" aca="1" ref="AL90" ca="1">IFERROR(VLOOKUP($AJ$5&amp;$C90,CHOOSE({1,2},D_技能表!$C$2:$C$1210&amp;D_技能表!$E$2:$E$1210,D_技能表!$W$2:$W$1210),2,FALSE),0)</f>
        <v>0</v>
      </c>
      <c r="AM90">
        <f t="array" aca="1" ref="AM90" ca="1">IFERROR(VLOOKUP($AJ$5&amp;$C90,CHOOSE({1,2},D_技能表!$C$2:$C$1210&amp;D_技能表!$E$2:$E$1210,D_技能表!$Z$2:$Z$1210),2,FALSE),0)</f>
        <v>0</v>
      </c>
      <c r="AN90">
        <f t="array" aca="1" ref="AN90" ca="1">IFERROR(VLOOKUP($AN$5&amp;$C90,CHOOSE({1,2},D_技能表!$C$2:$C$1210&amp;D_技能表!$E$2:$E$1210,D_技能表!$I$2:$I$1210),2,FALSE),0)</f>
        <v>0</v>
      </c>
      <c r="AO90">
        <f t="array" aca="1" ref="AO90" ca="1">IFERROR(VLOOKUP($AN$5&amp;$C90,CHOOSE({1,2},D_技能表!$C$2:$C$1210&amp;D_技能表!$E$2:$E$1210,D_技能表!$N$2:$N$1210),2,FALSE),0)</f>
        <v>0</v>
      </c>
      <c r="AP90">
        <f t="array" aca="1" ref="AP90" ca="1">IFERROR(VLOOKUP($AN$5&amp;$C90,CHOOSE({1,2},D_技能表!$C$2:$C$1210&amp;D_技能表!$E$2:$E$1210,D_技能表!$W$2:$W$1210),2,FALSE),0)</f>
        <v>0</v>
      </c>
      <c r="AQ90">
        <f t="array" aca="1" ref="AQ90" ca="1">IFERROR(VLOOKUP($AN$5&amp;$C90,CHOOSE({1,2},D_技能表!$C$2:$C$1210&amp;D_技能表!$E$2:$E$1210,D_技能表!$Z$2:$Z$1210),2,FALSE),0)</f>
        <v>0</v>
      </c>
      <c r="AR90" s="11">
        <f ca="1">SUM($G$7:G91,$K$7:K91,$O$7:O91,$S$7:S91,$W$7:W91,$AA$7:AA91,$AE$7:AE91,$AI$7:AI91,$AM$7:AM91,$AQ$7:AQ91)</f>
        <v>7724</v>
      </c>
      <c r="AS90">
        <f ca="1">SUM($F$7:F91,$J$7:J91,$N$7:N91,$R$7:R91,$V$7:V91,$Z$7:Z91,$AD$7:AD91,$AH$7:AH91,$AL$7:AL91,$AP$7:AP91)</f>
        <v>20474</v>
      </c>
      <c r="AT90">
        <f t="shared" ca="1" si="3"/>
        <v>0</v>
      </c>
      <c r="AU90" s="33">
        <f ca="1">SUM($AX$7:AX90,$BB$7:BB90,$BF$7:BF90,$BJ$7:BJ90)</f>
        <v>5566350</v>
      </c>
      <c r="AV90">
        <v>84</v>
      </c>
      <c r="AW90">
        <f t="array" ref="AW90">IFERROR(VLOOKUP(AW$5&amp;$AV90,CHOOSE({1,2},D_技能表CD!$C$2:$C$313&amp;D_技能表CD!$E$2:$E$313,D_技能表CD!$I$2:$I$313),2,FALSE),0)</f>
        <v>0</v>
      </c>
      <c r="AX90">
        <f t="array" aca="1" ref="AX90" ca="1">IFERROR(VLOOKUP(AW$5&amp;$AV90,CHOOSE({1,2},D_技能表CD!$C$2:$C$313&amp;D_技能表CD!$E$2:$E$313,D_技能表CD!$H$2:$H$313),2,FALSE),0)</f>
        <v>0</v>
      </c>
      <c r="AY90">
        <f t="array" aca="1" ref="AY90" ca="1">IFERROR(VLOOKUP(AW$5&amp;$AV90,CHOOSE({1,2},D_技能表CD!$C$2:$C$313&amp;D_技能表CD!$E$2:$E$313,D_技能表CD!$L$2:$L$313),2,FALSE),0)</f>
        <v>0</v>
      </c>
      <c r="AZ90">
        <f t="array" aca="1" ref="AZ90" ca="1">IFERROR(VLOOKUP(AW$5&amp;$AV90,CHOOSE({1,2},D_技能表CD!$C$2:$C$313&amp;D_技能表CD!$E$2:$E$313,D_技能表CD!$K$2:$K$313),2,FALSE),0)</f>
        <v>0</v>
      </c>
      <c r="BA90">
        <f t="array" ref="BA90">IFERROR(VLOOKUP(BA$5&amp;$AV90,CHOOSE({1,2},D_技能表CD!$C$2:$C$313&amp;D_技能表CD!$E$2:$E$313,D_技能表CD!$I$2:$I$313),2,FALSE),0)</f>
        <v>0</v>
      </c>
      <c r="BB90">
        <f t="array" aca="1" ref="BB90" ca="1">IFERROR(VLOOKUP(BA$5&amp;$AV90,CHOOSE({1,2},D_技能表CD!$C$2:$C$313&amp;D_技能表CD!$E$2:$E$313,D_技能表CD!$H$2:$H$313),2,FALSE),0)</f>
        <v>0</v>
      </c>
      <c r="BC90">
        <f t="array" aca="1" ref="BC90" ca="1">IFERROR(VLOOKUP(BA$5&amp;$AV90,CHOOSE({1,2},D_技能表CD!$C$2:$C$313&amp;D_技能表CD!$E$2:$E$313,D_技能表CD!$L$2:$L$313),2,FALSE),0)</f>
        <v>0</v>
      </c>
      <c r="BD90">
        <f t="array" aca="1" ref="BD90" ca="1">IFERROR(VLOOKUP(BA$5&amp;$AV90,CHOOSE({1,2},D_技能表CD!$C$2:$C$313&amp;D_技能表CD!$E$2:$E$313,D_技能表CD!$K$2:$K$313),2,FALSE),0)</f>
        <v>0</v>
      </c>
      <c r="BE90">
        <f t="array" ref="BE90">IFERROR(VLOOKUP(BE$5&amp;$AV90,CHOOSE({1,2},D_技能表CD!$C$2:$C$313&amp;D_技能表CD!$E$2:$E$313,D_技能表CD!$I$2:$I$313),2,FALSE),0)</f>
        <v>0</v>
      </c>
      <c r="BF90">
        <f t="array" aca="1" ref="BF90" ca="1">IFERROR(VLOOKUP(BE$5&amp;$AV90,CHOOSE({1,2},D_技能表CD!$C$2:$C$313&amp;D_技能表CD!$E$2:$E$313,D_技能表CD!$H$2:$H$313),2,FALSE),0)</f>
        <v>0</v>
      </c>
      <c r="BG90">
        <f t="array" aca="1" ref="BG90" ca="1">IFERROR(VLOOKUP(BE$5&amp;$AV90,CHOOSE({1,2},D_技能表CD!$C$2:$C$313&amp;D_技能表CD!$E$2:$E$313,D_技能表CD!$L$2:$L$313),2,FALSE),0)</f>
        <v>0</v>
      </c>
      <c r="BH90">
        <f t="array" aca="1" ref="BH90" ca="1">IFERROR(VLOOKUP(BE$5&amp;$AV90,CHOOSE({1,2},D_技能表CD!$C$2:$C$313&amp;D_技能表CD!$E$2:$E$313,D_技能表CD!$K$2:$K$313),2,FALSE),0)</f>
        <v>0</v>
      </c>
      <c r="BI90">
        <f t="array" ref="BI90">IFERROR(VLOOKUP(BI$5&amp;$AV90,CHOOSE({1,2},D_技能表CD!$C$2:$C$313&amp;D_技能表CD!$E$2:$E$313,D_技能表CD!$I$2:$I$313),2,FALSE),0)</f>
        <v>0</v>
      </c>
      <c r="BJ90">
        <f t="array" aca="1" ref="BJ90" ca="1">IFERROR(VLOOKUP(BI$5&amp;$AV90,CHOOSE({1,2},D_技能表CD!$C$2:$C$313&amp;D_技能表CD!$E$2:$E$313,D_技能表CD!$H$2:$H$313),2,FALSE),0)</f>
        <v>0</v>
      </c>
      <c r="BK90">
        <f t="array" aca="1" ref="BK90" ca="1">IFERROR(VLOOKUP(BI$5&amp;$AV90,CHOOSE({1,2},D_技能表CD!$C$2:$C$313&amp;D_技能表CD!$E$2:$E$313,D_技能表CD!$L$2:$L$313),2,FALSE),0)</f>
        <v>0</v>
      </c>
      <c r="BL90">
        <f t="array" aca="1" ref="BL90" ca="1">IFERROR(VLOOKUP(BI$5&amp;$AV90,CHOOSE({1,2},D_技能表CD!$C$2:$C$313&amp;D_技能表CD!$E$2:$E$313,D_技能表CD!$K$2:$K$313),2,FALSE),0)</f>
        <v>0</v>
      </c>
    </row>
    <row r="91" spans="1:64" x14ac:dyDescent="0.15">
      <c r="A91">
        <f t="shared" ca="1" si="2"/>
        <v>60615598</v>
      </c>
      <c r="B91" s="34">
        <f ca="1">SUM($E$7:E91,$I$7:I91,$M$7:M91,$Q$7:Q91,$U$7:U91,$Y$7:Y91,$AC$7:AC91,$AG$7:AG91,$AK$7:AK91,$AO$7:AO91)</f>
        <v>55049248</v>
      </c>
      <c r="C91">
        <v>85</v>
      </c>
      <c r="D91">
        <f t="array" aca="1" ref="D91" ca="1">IFERROR(VLOOKUP($D$5&amp;C91,CHOOSE({1,2},D_技能表!$C$2:$C$1210&amp;D_技能表!$E$2:$E$1210,D_技能表!$I$2:$I$1210),2,FALSE),0)</f>
        <v>0</v>
      </c>
      <c r="E91">
        <f t="array" aca="1" ref="E91" ca="1">IFERROR(VLOOKUP($D$5&amp;$C91,CHOOSE({1,2},D_技能表!$C$2:$C$1210&amp;D_技能表!$E$2:$E$1210,D_技能表!$N$2:$N$1210),2,FALSE),0)</f>
        <v>0</v>
      </c>
      <c r="F91">
        <f t="array" aca="1" ref="F91" ca="1">IFERROR(VLOOKUP($D$5&amp;$C91,CHOOSE({1,2},D_技能表!$C$2:$C$1210&amp;D_技能表!$E$2:$E$1210,D_技能表!$W$2:$W$1210),2,FALSE),0)</f>
        <v>0</v>
      </c>
      <c r="G91">
        <f t="array" aca="1" ref="G91" ca="1">IFERROR(VLOOKUP($D$5&amp;$C91,CHOOSE({1,2},D_技能表!$C$2:$C$1210&amp;D_技能表!$E$2:$E$1210,D_技能表!$Z$2:$Z$1210),2,FALSE),0)</f>
        <v>0</v>
      </c>
      <c r="H91">
        <f t="array" aca="1" ref="H91" ca="1">IFERROR(VLOOKUP($H$5&amp;$C91,CHOOSE({1,2},D_技能表!$C$2:$C$1210&amp;D_技能表!$E$2:$E$1210,D_技能表!$I$2:$I$1210),2,FALSE),0)</f>
        <v>0</v>
      </c>
      <c r="I91">
        <f t="array" aca="1" ref="I91" ca="1">IFERROR(VLOOKUP($H$5&amp;$C91,CHOOSE({1,2},D_技能表!$C$2:$C$1210&amp;D_技能表!$E$2:$E$1210,D_技能表!$N$2:$N$1210),2,FALSE),0)</f>
        <v>0</v>
      </c>
      <c r="J91">
        <f t="array" aca="1" ref="J91" ca="1">IFERROR(VLOOKUP($H$5&amp;$C91,CHOOSE({1,2},D_技能表!$C$2:$C$1210&amp;D_技能表!$E$2:$E$1210,D_技能表!$W$2:$W$1210),2,FALSE),0)</f>
        <v>0</v>
      </c>
      <c r="K91">
        <f t="array" aca="1" ref="K91" ca="1">IFERROR(VLOOKUP($H$5&amp;$C91,CHOOSE({1,2},D_技能表!$C$2:$C$1210&amp;D_技能表!$E$2:$E$1210,D_技能表!$Z$2:$Z$1210),2,FALSE),0)</f>
        <v>0</v>
      </c>
      <c r="L91">
        <f t="array" aca="1" ref="L91" ca="1">IFERROR(VLOOKUP($L$5&amp;$C91,CHOOSE({1,2},D_技能表!$C$2:$C$1210&amp;D_技能表!$E$2:$E$1210,D_技能表!$I$2:$I$1210),2,FALSE),0)</f>
        <v>0</v>
      </c>
      <c r="M91">
        <f t="array" aca="1" ref="M91" ca="1">IFERROR(VLOOKUP($L$5&amp;$C91,CHOOSE({1,2},D_技能表!$C$2:$C$1210&amp;D_技能表!$E$2:$E$1210,D_技能表!$N$2:$N$1210),2,FALSE),0)</f>
        <v>0</v>
      </c>
      <c r="N91">
        <f t="array" aca="1" ref="N91" ca="1">IFERROR(VLOOKUP($L$5&amp;$C91,CHOOSE({1,2},D_技能表!$C$2:$C$1210&amp;D_技能表!$E$2:$E$1210,D_技能表!$W$2:$W$1210),2,FALSE),0)</f>
        <v>0</v>
      </c>
      <c r="O91">
        <f t="array" aca="1" ref="O91" ca="1">IFERROR(VLOOKUP($L$5&amp;$C91,CHOOSE({1,2},D_技能表!$C$2:$C$1210&amp;D_技能表!$E$2:$E$1210,D_技能表!$Z$2:$Z$1210),2,FALSE),0)</f>
        <v>0</v>
      </c>
      <c r="P91">
        <f t="array" aca="1" ref="P91" ca="1">IFERROR(VLOOKUP($P$5&amp;$C91,CHOOSE({1,2},D_技能表!$C$2:$C$1210&amp;D_技能表!$E$2:$E$1210,D_技能表!$I$2:$I$1210),2,FALSE),0)</f>
        <v>0</v>
      </c>
      <c r="Q91">
        <f t="array" aca="1" ref="Q91" ca="1">IFERROR(VLOOKUP($P$5&amp;$C91,CHOOSE({1,2},D_技能表!$C$2:$C$1210&amp;D_技能表!$E$2:$E$1210,D_技能表!$N$2:$N$1210),2,FALSE),0)</f>
        <v>0</v>
      </c>
      <c r="R91">
        <f t="array" aca="1" ref="R91" ca="1">IFERROR(VLOOKUP($P$5&amp;$C91,CHOOSE({1,2},D_技能表!$C$2:$C$1210&amp;D_技能表!$E$2:$E$1210,D_技能表!$W$2:$W$1210),2,FALSE),0)</f>
        <v>0</v>
      </c>
      <c r="S91">
        <f t="array" aca="1" ref="S91" ca="1">IFERROR(VLOOKUP($P$5&amp;$C91,CHOOSE({1,2},D_技能表!$C$2:$C$1210&amp;D_技能表!$E$2:$E$1210,D_技能表!$Z$2:$Z$1210),2,FALSE),0)</f>
        <v>0</v>
      </c>
      <c r="T91">
        <f t="array" aca="1" ref="T91" ca="1">IFERROR(VLOOKUP($T$5&amp;$C91,CHOOSE({1,2},D_技能表!$C$2:$C$1210&amp;D_技能表!$E$2:$E$1210,D_技能表!$I$2:$I$1210),2,FALSE),0)</f>
        <v>0</v>
      </c>
      <c r="U91">
        <f t="array" aca="1" ref="U91" ca="1">IFERROR(VLOOKUP($T$5&amp;$C91,CHOOSE({1,2},D_技能表!$C$2:$C$1210&amp;D_技能表!$E$2:$E$1210,D_技能表!$N$2:$N$1210),2,FALSE),0)</f>
        <v>0</v>
      </c>
      <c r="V91">
        <f t="array" aca="1" ref="V91" ca="1">IFERROR(VLOOKUP($T$5&amp;$C91,CHOOSE({1,2},D_技能表!$C$2:$C$1210&amp;D_技能表!$E$2:$E$1210,D_技能表!$W$2:$W$1210),2,FALSE),0)</f>
        <v>0</v>
      </c>
      <c r="W91">
        <f t="array" aca="1" ref="W91" ca="1">IFERROR(VLOOKUP($T$5&amp;$C91,CHOOSE({1,2},D_技能表!$C$2:$C$1210&amp;D_技能表!$E$2:$E$1210,D_技能表!$Z$2:$Z$1210),2,FALSE),0)</f>
        <v>0</v>
      </c>
      <c r="X91">
        <f t="array" aca="1" ref="X91" ca="1">IFERROR(VLOOKUP($X$5&amp;$C91,CHOOSE({1,2},D_技能表!$C$2:$C$1210&amp;D_技能表!$E$2:$E$1210,D_技能表!$I$2:$I$1210),2,FALSE),0)</f>
        <v>0</v>
      </c>
      <c r="Y91">
        <f t="array" aca="1" ref="Y91" ca="1">IFERROR(VLOOKUP($X$5&amp;$C91,CHOOSE({1,2},D_技能表!$C$2:$C$1210&amp;D_技能表!$E$2:$E$1210,D_技能表!$N$2:$N$1210),2,FALSE),0)</f>
        <v>0</v>
      </c>
      <c r="Z91">
        <f t="array" aca="1" ref="Z91" ca="1">IFERROR(VLOOKUP($X$5&amp;$C91,CHOOSE({1,2},D_技能表!$C$2:$C$1210&amp;D_技能表!$E$2:$E$1210,D_技能表!$W$2:$W$1210),2,FALSE),0)</f>
        <v>0</v>
      </c>
      <c r="AA91">
        <f t="array" aca="1" ref="AA91" ca="1">IFERROR(VLOOKUP($X$5&amp;$C91,CHOOSE({1,2},D_技能表!$C$2:$C$1210&amp;D_技能表!$E$2:$E$1210,D_技能表!$Z$2:$Z$1210),2,FALSE),0)</f>
        <v>0</v>
      </c>
      <c r="AB91">
        <f t="array" aca="1" ref="AB91" ca="1">IFERROR(VLOOKUP($AB$5&amp;$C91,CHOOSE({1,2},D_技能表!$C$2:$C$1210&amp;D_技能表!$E$2:$E$1210,D_技能表!$I$2:$I$1210),2,FALSE),0)</f>
        <v>0</v>
      </c>
      <c r="AC91">
        <f t="array" aca="1" ref="AC91" ca="1">IFERROR(VLOOKUP($AB$5&amp;$C91,CHOOSE({1,2},D_技能表!$C$2:$C$1210&amp;D_技能表!$E$2:$E$1210,D_技能表!$N$2:$N$1210),2,FALSE),0)</f>
        <v>0</v>
      </c>
      <c r="AD91">
        <f t="array" aca="1" ref="AD91" ca="1">IFERROR(VLOOKUP($AB$5&amp;$C91,CHOOSE({1,2},D_技能表!$C$2:$C$1210&amp;D_技能表!$E$2:$E$1210,D_技能表!$W$2:$W$1210),2,FALSE),0)</f>
        <v>0</v>
      </c>
      <c r="AE91">
        <f t="array" aca="1" ref="AE91" ca="1">IFERROR(VLOOKUP($AB$5&amp;$C91,CHOOSE({1,2},D_技能表!$C$2:$C$1210&amp;D_技能表!$E$2:$E$1210,D_技能表!$Z$2:$Z$1210),2,FALSE),0)</f>
        <v>0</v>
      </c>
      <c r="AF91">
        <f t="array" aca="1" ref="AF91" ca="1">IFERROR(VLOOKUP($AF$5&amp;$C91,CHOOSE({1,2},D_技能表!$C$2:$C$1210&amp;D_技能表!$E$2:$E$1210,D_技能表!$I$2:$I$1210),2,FALSE),0)</f>
        <v>0</v>
      </c>
      <c r="AG91">
        <f t="array" aca="1" ref="AG91" ca="1">IFERROR(VLOOKUP($AF$5&amp;$C91,CHOOSE({1,2},D_技能表!$C$2:$C$1210&amp;D_技能表!$E$2:$E$1210,D_技能表!$N$2:$N$1210),2,FALSE),0)</f>
        <v>0</v>
      </c>
      <c r="AH91">
        <f t="array" aca="1" ref="AH91" ca="1">IFERROR(VLOOKUP($AF$5&amp;$C91,CHOOSE({1,2},D_技能表!$C$2:$C$1210&amp;D_技能表!$E$2:$E$1210,D_技能表!$W$2:$W$1210),2,FALSE),0)</f>
        <v>0</v>
      </c>
      <c r="AI91">
        <f t="array" aca="1" ref="AI91" ca="1">IFERROR(VLOOKUP($AF$5&amp;$C91,CHOOSE({1,2},D_技能表!$C$2:$C$1210&amp;D_技能表!$E$2:$E$1210,D_技能表!$Z$2:$Z$1210),2,FALSE),0)</f>
        <v>0</v>
      </c>
      <c r="AJ91">
        <f t="array" aca="1" ref="AJ91" ca="1">IFERROR(VLOOKUP($AJ$5&amp;$C91,CHOOSE({1,2},D_技能表!$C$2:$C$1210&amp;D_技能表!$E$2:$E$1210,D_技能表!$I$2:$I$1210),2,FALSE),0)</f>
        <v>0</v>
      </c>
      <c r="AK91">
        <f t="array" aca="1" ref="AK91" ca="1">IFERROR(VLOOKUP($AJ$5&amp;$C91,CHOOSE({1,2},D_技能表!$C$2:$C$1210&amp;D_技能表!$E$2:$E$1210,D_技能表!$N$2:$N$1210),2,FALSE),0)</f>
        <v>0</v>
      </c>
      <c r="AL91">
        <f t="array" aca="1" ref="AL91" ca="1">IFERROR(VLOOKUP($AJ$5&amp;$C91,CHOOSE({1,2},D_技能表!$C$2:$C$1210&amp;D_技能表!$E$2:$E$1210,D_技能表!$W$2:$W$1210),2,FALSE),0)</f>
        <v>0</v>
      </c>
      <c r="AM91">
        <f t="array" aca="1" ref="AM91" ca="1">IFERROR(VLOOKUP($AJ$5&amp;$C91,CHOOSE({1,2},D_技能表!$C$2:$C$1210&amp;D_技能表!$E$2:$E$1210,D_技能表!$Z$2:$Z$1210),2,FALSE),0)</f>
        <v>0</v>
      </c>
      <c r="AN91">
        <f t="array" aca="1" ref="AN91" ca="1">IFERROR(VLOOKUP($AN$5&amp;$C91,CHOOSE({1,2},D_技能表!$C$2:$C$1210&amp;D_技能表!$E$2:$E$1210,D_技能表!$I$2:$I$1210),2,FALSE),0)</f>
        <v>0</v>
      </c>
      <c r="AO91">
        <f t="array" aca="1" ref="AO91" ca="1">IFERROR(VLOOKUP($AN$5&amp;$C91,CHOOSE({1,2},D_技能表!$C$2:$C$1210&amp;D_技能表!$E$2:$E$1210,D_技能表!$N$2:$N$1210),2,FALSE),0)</f>
        <v>0</v>
      </c>
      <c r="AP91">
        <f t="array" aca="1" ref="AP91" ca="1">IFERROR(VLOOKUP($AN$5&amp;$C91,CHOOSE({1,2},D_技能表!$C$2:$C$1210&amp;D_技能表!$E$2:$E$1210,D_技能表!$W$2:$W$1210),2,FALSE),0)</f>
        <v>0</v>
      </c>
      <c r="AQ91">
        <f t="array" aca="1" ref="AQ91" ca="1">IFERROR(VLOOKUP($AN$5&amp;$C91,CHOOSE({1,2},D_技能表!$C$2:$C$1210&amp;D_技能表!$E$2:$E$1210,D_技能表!$Z$2:$Z$1210),2,FALSE),0)</f>
        <v>0</v>
      </c>
      <c r="AR91" s="11">
        <f ca="1">SUM($G$7:G92,$K$7:K92,$O$7:O92,$S$7:S92,$W$7:W92,$AA$7:AA92,$AE$7:AE92,$AI$7:AI92,$AM$7:AM92,$AQ$7:AQ92)</f>
        <v>7724</v>
      </c>
      <c r="AS91">
        <f ca="1">SUM($F$7:F92,$J$7:J92,$N$7:N92,$R$7:R92,$V$7:V92,$Z$7:Z92,$AD$7:AD92,$AH$7:AH92,$AL$7:AL92,$AP$7:AP92)</f>
        <v>20474</v>
      </c>
      <c r="AT91">
        <f t="shared" ca="1" si="3"/>
        <v>0</v>
      </c>
      <c r="AU91" s="33">
        <f ca="1">SUM($AX$7:AX91,$BB$7:BB91,$BF$7:BF91,$BJ$7:BJ91)</f>
        <v>5566350</v>
      </c>
      <c r="AV91">
        <v>85</v>
      </c>
      <c r="AW91">
        <f t="array" ref="AW91">IFERROR(VLOOKUP(AW$5&amp;$AV91,CHOOSE({1,2},D_技能表CD!$C$2:$C$313&amp;D_技能表CD!$E$2:$E$313,D_技能表CD!$I$2:$I$313),2,FALSE),0)</f>
        <v>0</v>
      </c>
      <c r="AX91">
        <f t="array" aca="1" ref="AX91" ca="1">IFERROR(VLOOKUP(AW$5&amp;$AV91,CHOOSE({1,2},D_技能表CD!$C$2:$C$313&amp;D_技能表CD!$E$2:$E$313,D_技能表CD!$H$2:$H$313),2,FALSE),0)</f>
        <v>0</v>
      </c>
      <c r="AY91">
        <f t="array" aca="1" ref="AY91" ca="1">IFERROR(VLOOKUP(AW$5&amp;$AV91,CHOOSE({1,2},D_技能表CD!$C$2:$C$313&amp;D_技能表CD!$E$2:$E$313,D_技能表CD!$L$2:$L$313),2,FALSE),0)</f>
        <v>0</v>
      </c>
      <c r="AZ91">
        <f t="array" aca="1" ref="AZ91" ca="1">IFERROR(VLOOKUP(AW$5&amp;$AV91,CHOOSE({1,2},D_技能表CD!$C$2:$C$313&amp;D_技能表CD!$E$2:$E$313,D_技能表CD!$K$2:$K$313),2,FALSE),0)</f>
        <v>0</v>
      </c>
      <c r="BA91">
        <f t="array" ref="BA91">IFERROR(VLOOKUP(BA$5&amp;$AV91,CHOOSE({1,2},D_技能表CD!$C$2:$C$313&amp;D_技能表CD!$E$2:$E$313,D_技能表CD!$I$2:$I$313),2,FALSE),0)</f>
        <v>0</v>
      </c>
      <c r="BB91">
        <f t="array" aca="1" ref="BB91" ca="1">IFERROR(VLOOKUP(BA$5&amp;$AV91,CHOOSE({1,2},D_技能表CD!$C$2:$C$313&amp;D_技能表CD!$E$2:$E$313,D_技能表CD!$H$2:$H$313),2,FALSE),0)</f>
        <v>0</v>
      </c>
      <c r="BC91">
        <f t="array" aca="1" ref="BC91" ca="1">IFERROR(VLOOKUP(BA$5&amp;$AV91,CHOOSE({1,2},D_技能表CD!$C$2:$C$313&amp;D_技能表CD!$E$2:$E$313,D_技能表CD!$L$2:$L$313),2,FALSE),0)</f>
        <v>0</v>
      </c>
      <c r="BD91">
        <f t="array" aca="1" ref="BD91" ca="1">IFERROR(VLOOKUP(BA$5&amp;$AV91,CHOOSE({1,2},D_技能表CD!$C$2:$C$313&amp;D_技能表CD!$E$2:$E$313,D_技能表CD!$K$2:$K$313),2,FALSE),0)</f>
        <v>0</v>
      </c>
      <c r="BE91">
        <f t="array" ref="BE91">IFERROR(VLOOKUP(BE$5&amp;$AV91,CHOOSE({1,2},D_技能表CD!$C$2:$C$313&amp;D_技能表CD!$E$2:$E$313,D_技能表CD!$I$2:$I$313),2,FALSE),0)</f>
        <v>0</v>
      </c>
      <c r="BF91">
        <f t="array" aca="1" ref="BF91" ca="1">IFERROR(VLOOKUP(BE$5&amp;$AV91,CHOOSE({1,2},D_技能表CD!$C$2:$C$313&amp;D_技能表CD!$E$2:$E$313,D_技能表CD!$H$2:$H$313),2,FALSE),0)</f>
        <v>0</v>
      </c>
      <c r="BG91">
        <f t="array" aca="1" ref="BG91" ca="1">IFERROR(VLOOKUP(BE$5&amp;$AV91,CHOOSE({1,2},D_技能表CD!$C$2:$C$313&amp;D_技能表CD!$E$2:$E$313,D_技能表CD!$L$2:$L$313),2,FALSE),0)</f>
        <v>0</v>
      </c>
      <c r="BH91">
        <f t="array" aca="1" ref="BH91" ca="1">IFERROR(VLOOKUP(BE$5&amp;$AV91,CHOOSE({1,2},D_技能表CD!$C$2:$C$313&amp;D_技能表CD!$E$2:$E$313,D_技能表CD!$K$2:$K$313),2,FALSE),0)</f>
        <v>0</v>
      </c>
      <c r="BI91">
        <f t="array" ref="BI91">IFERROR(VLOOKUP(BI$5&amp;$AV91,CHOOSE({1,2},D_技能表CD!$C$2:$C$313&amp;D_技能表CD!$E$2:$E$313,D_技能表CD!$I$2:$I$313),2,FALSE),0)</f>
        <v>0</v>
      </c>
      <c r="BJ91">
        <f t="array" aca="1" ref="BJ91" ca="1">IFERROR(VLOOKUP(BI$5&amp;$AV91,CHOOSE({1,2},D_技能表CD!$C$2:$C$313&amp;D_技能表CD!$E$2:$E$313,D_技能表CD!$H$2:$H$313),2,FALSE),0)</f>
        <v>0</v>
      </c>
      <c r="BK91">
        <f t="array" aca="1" ref="BK91" ca="1">IFERROR(VLOOKUP(BI$5&amp;$AV91,CHOOSE({1,2},D_技能表CD!$C$2:$C$313&amp;D_技能表CD!$E$2:$E$313,D_技能表CD!$L$2:$L$313),2,FALSE),0)</f>
        <v>0</v>
      </c>
      <c r="BL91">
        <f t="array" aca="1" ref="BL91" ca="1">IFERROR(VLOOKUP(BI$5&amp;$AV91,CHOOSE({1,2},D_技能表CD!$C$2:$C$313&amp;D_技能表CD!$E$2:$E$313,D_技能表CD!$K$2:$K$313),2,FALSE),0)</f>
        <v>0</v>
      </c>
    </row>
    <row r="92" spans="1:64" x14ac:dyDescent="0.15">
      <c r="A92">
        <f t="shared" ca="1" si="2"/>
        <v>60615598</v>
      </c>
      <c r="B92" s="34">
        <f ca="1">SUM($E$7:E92,$I$7:I92,$M$7:M92,$Q$7:Q92,$U$7:U92,$Y$7:Y92,$AC$7:AC92,$AG$7:AG92,$AK$7:AK92,$AO$7:AO92)</f>
        <v>55049248</v>
      </c>
      <c r="C92">
        <v>86</v>
      </c>
      <c r="D92">
        <f t="array" aca="1" ref="D92" ca="1">IFERROR(VLOOKUP($D$5&amp;C92,CHOOSE({1,2},D_技能表!$C$2:$C$1210&amp;D_技能表!$E$2:$E$1210,D_技能表!$I$2:$I$1210),2,FALSE),0)</f>
        <v>0</v>
      </c>
      <c r="E92">
        <f t="array" aca="1" ref="E92" ca="1">IFERROR(VLOOKUP($D$5&amp;$C92,CHOOSE({1,2},D_技能表!$C$2:$C$1210&amp;D_技能表!$E$2:$E$1210,D_技能表!$N$2:$N$1210),2,FALSE),0)</f>
        <v>0</v>
      </c>
      <c r="F92">
        <f t="array" aca="1" ref="F92" ca="1">IFERROR(VLOOKUP($D$5&amp;$C92,CHOOSE({1,2},D_技能表!$C$2:$C$1210&amp;D_技能表!$E$2:$E$1210,D_技能表!$W$2:$W$1210),2,FALSE),0)</f>
        <v>0</v>
      </c>
      <c r="G92">
        <f t="array" aca="1" ref="G92" ca="1">IFERROR(VLOOKUP($D$5&amp;$C92,CHOOSE({1,2},D_技能表!$C$2:$C$1210&amp;D_技能表!$E$2:$E$1210,D_技能表!$Z$2:$Z$1210),2,FALSE),0)</f>
        <v>0</v>
      </c>
      <c r="H92">
        <f t="array" aca="1" ref="H92" ca="1">IFERROR(VLOOKUP($H$5&amp;$C92,CHOOSE({1,2},D_技能表!$C$2:$C$1210&amp;D_技能表!$E$2:$E$1210,D_技能表!$I$2:$I$1210),2,FALSE),0)</f>
        <v>0</v>
      </c>
      <c r="I92">
        <f t="array" aca="1" ref="I92" ca="1">IFERROR(VLOOKUP($H$5&amp;$C92,CHOOSE({1,2},D_技能表!$C$2:$C$1210&amp;D_技能表!$E$2:$E$1210,D_技能表!$N$2:$N$1210),2,FALSE),0)</f>
        <v>0</v>
      </c>
      <c r="J92">
        <f t="array" aca="1" ref="J92" ca="1">IFERROR(VLOOKUP($H$5&amp;$C92,CHOOSE({1,2},D_技能表!$C$2:$C$1210&amp;D_技能表!$E$2:$E$1210,D_技能表!$W$2:$W$1210),2,FALSE),0)</f>
        <v>0</v>
      </c>
      <c r="K92">
        <f t="array" aca="1" ref="K92" ca="1">IFERROR(VLOOKUP($H$5&amp;$C92,CHOOSE({1,2},D_技能表!$C$2:$C$1210&amp;D_技能表!$E$2:$E$1210,D_技能表!$Z$2:$Z$1210),2,FALSE),0)</f>
        <v>0</v>
      </c>
      <c r="L92">
        <f t="array" aca="1" ref="L92" ca="1">IFERROR(VLOOKUP($L$5&amp;$C92,CHOOSE({1,2},D_技能表!$C$2:$C$1210&amp;D_技能表!$E$2:$E$1210,D_技能表!$I$2:$I$1210),2,FALSE),0)</f>
        <v>0</v>
      </c>
      <c r="M92">
        <f t="array" aca="1" ref="M92" ca="1">IFERROR(VLOOKUP($L$5&amp;$C92,CHOOSE({1,2},D_技能表!$C$2:$C$1210&amp;D_技能表!$E$2:$E$1210,D_技能表!$N$2:$N$1210),2,FALSE),0)</f>
        <v>0</v>
      </c>
      <c r="N92">
        <f t="array" aca="1" ref="N92" ca="1">IFERROR(VLOOKUP($L$5&amp;$C92,CHOOSE({1,2},D_技能表!$C$2:$C$1210&amp;D_技能表!$E$2:$E$1210,D_技能表!$W$2:$W$1210),2,FALSE),0)</f>
        <v>0</v>
      </c>
      <c r="O92">
        <f t="array" aca="1" ref="O92" ca="1">IFERROR(VLOOKUP($L$5&amp;$C92,CHOOSE({1,2},D_技能表!$C$2:$C$1210&amp;D_技能表!$E$2:$E$1210,D_技能表!$Z$2:$Z$1210),2,FALSE),0)</f>
        <v>0</v>
      </c>
      <c r="P92">
        <f t="array" aca="1" ref="P92" ca="1">IFERROR(VLOOKUP($P$5&amp;$C92,CHOOSE({1,2},D_技能表!$C$2:$C$1210&amp;D_技能表!$E$2:$E$1210,D_技能表!$I$2:$I$1210),2,FALSE),0)</f>
        <v>0</v>
      </c>
      <c r="Q92">
        <f t="array" aca="1" ref="Q92" ca="1">IFERROR(VLOOKUP($P$5&amp;$C92,CHOOSE({1,2},D_技能表!$C$2:$C$1210&amp;D_技能表!$E$2:$E$1210,D_技能表!$N$2:$N$1210),2,FALSE),0)</f>
        <v>0</v>
      </c>
      <c r="R92">
        <f t="array" aca="1" ref="R92" ca="1">IFERROR(VLOOKUP($P$5&amp;$C92,CHOOSE({1,2},D_技能表!$C$2:$C$1210&amp;D_技能表!$E$2:$E$1210,D_技能表!$W$2:$W$1210),2,FALSE),0)</f>
        <v>0</v>
      </c>
      <c r="S92">
        <f t="array" aca="1" ref="S92" ca="1">IFERROR(VLOOKUP($P$5&amp;$C92,CHOOSE({1,2},D_技能表!$C$2:$C$1210&amp;D_技能表!$E$2:$E$1210,D_技能表!$Z$2:$Z$1210),2,FALSE),0)</f>
        <v>0</v>
      </c>
      <c r="T92">
        <f t="array" aca="1" ref="T92" ca="1">IFERROR(VLOOKUP($T$5&amp;$C92,CHOOSE({1,2},D_技能表!$C$2:$C$1210&amp;D_技能表!$E$2:$E$1210,D_技能表!$I$2:$I$1210),2,FALSE),0)</f>
        <v>0</v>
      </c>
      <c r="U92">
        <f t="array" aca="1" ref="U92" ca="1">IFERROR(VLOOKUP($T$5&amp;$C92,CHOOSE({1,2},D_技能表!$C$2:$C$1210&amp;D_技能表!$E$2:$E$1210,D_技能表!$N$2:$N$1210),2,FALSE),0)</f>
        <v>0</v>
      </c>
      <c r="V92">
        <f t="array" aca="1" ref="V92" ca="1">IFERROR(VLOOKUP($T$5&amp;$C92,CHOOSE({1,2},D_技能表!$C$2:$C$1210&amp;D_技能表!$E$2:$E$1210,D_技能表!$W$2:$W$1210),2,FALSE),0)</f>
        <v>0</v>
      </c>
      <c r="W92">
        <f t="array" aca="1" ref="W92" ca="1">IFERROR(VLOOKUP($T$5&amp;$C92,CHOOSE({1,2},D_技能表!$C$2:$C$1210&amp;D_技能表!$E$2:$E$1210,D_技能表!$Z$2:$Z$1210),2,FALSE),0)</f>
        <v>0</v>
      </c>
      <c r="X92">
        <f t="array" aca="1" ref="X92" ca="1">IFERROR(VLOOKUP($X$5&amp;$C92,CHOOSE({1,2},D_技能表!$C$2:$C$1210&amp;D_技能表!$E$2:$E$1210,D_技能表!$I$2:$I$1210),2,FALSE),0)</f>
        <v>0</v>
      </c>
      <c r="Y92">
        <f t="array" aca="1" ref="Y92" ca="1">IFERROR(VLOOKUP($X$5&amp;$C92,CHOOSE({1,2},D_技能表!$C$2:$C$1210&amp;D_技能表!$E$2:$E$1210,D_技能表!$N$2:$N$1210),2,FALSE),0)</f>
        <v>0</v>
      </c>
      <c r="Z92">
        <f t="array" aca="1" ref="Z92" ca="1">IFERROR(VLOOKUP($X$5&amp;$C92,CHOOSE({1,2},D_技能表!$C$2:$C$1210&amp;D_技能表!$E$2:$E$1210,D_技能表!$W$2:$W$1210),2,FALSE),0)</f>
        <v>0</v>
      </c>
      <c r="AA92">
        <f t="array" aca="1" ref="AA92" ca="1">IFERROR(VLOOKUP($X$5&amp;$C92,CHOOSE({1,2},D_技能表!$C$2:$C$1210&amp;D_技能表!$E$2:$E$1210,D_技能表!$Z$2:$Z$1210),2,FALSE),0)</f>
        <v>0</v>
      </c>
      <c r="AB92">
        <f t="array" aca="1" ref="AB92" ca="1">IFERROR(VLOOKUP($AB$5&amp;$C92,CHOOSE({1,2},D_技能表!$C$2:$C$1210&amp;D_技能表!$E$2:$E$1210,D_技能表!$I$2:$I$1210),2,FALSE),0)</f>
        <v>0</v>
      </c>
      <c r="AC92">
        <f t="array" aca="1" ref="AC92" ca="1">IFERROR(VLOOKUP($AB$5&amp;$C92,CHOOSE({1,2},D_技能表!$C$2:$C$1210&amp;D_技能表!$E$2:$E$1210,D_技能表!$N$2:$N$1210),2,FALSE),0)</f>
        <v>0</v>
      </c>
      <c r="AD92">
        <f t="array" aca="1" ref="AD92" ca="1">IFERROR(VLOOKUP($AB$5&amp;$C92,CHOOSE({1,2},D_技能表!$C$2:$C$1210&amp;D_技能表!$E$2:$E$1210,D_技能表!$W$2:$W$1210),2,FALSE),0)</f>
        <v>0</v>
      </c>
      <c r="AE92">
        <f t="array" aca="1" ref="AE92" ca="1">IFERROR(VLOOKUP($AB$5&amp;$C92,CHOOSE({1,2},D_技能表!$C$2:$C$1210&amp;D_技能表!$E$2:$E$1210,D_技能表!$Z$2:$Z$1210),2,FALSE),0)</f>
        <v>0</v>
      </c>
      <c r="AF92">
        <f t="array" aca="1" ref="AF92" ca="1">IFERROR(VLOOKUP($AF$5&amp;$C92,CHOOSE({1,2},D_技能表!$C$2:$C$1210&amp;D_技能表!$E$2:$E$1210,D_技能表!$I$2:$I$1210),2,FALSE),0)</f>
        <v>0</v>
      </c>
      <c r="AG92">
        <f t="array" aca="1" ref="AG92" ca="1">IFERROR(VLOOKUP($AF$5&amp;$C92,CHOOSE({1,2},D_技能表!$C$2:$C$1210&amp;D_技能表!$E$2:$E$1210,D_技能表!$N$2:$N$1210),2,FALSE),0)</f>
        <v>0</v>
      </c>
      <c r="AH92">
        <f t="array" aca="1" ref="AH92" ca="1">IFERROR(VLOOKUP($AF$5&amp;$C92,CHOOSE({1,2},D_技能表!$C$2:$C$1210&amp;D_技能表!$E$2:$E$1210,D_技能表!$W$2:$W$1210),2,FALSE),0)</f>
        <v>0</v>
      </c>
      <c r="AI92">
        <f t="array" aca="1" ref="AI92" ca="1">IFERROR(VLOOKUP($AF$5&amp;$C92,CHOOSE({1,2},D_技能表!$C$2:$C$1210&amp;D_技能表!$E$2:$E$1210,D_技能表!$Z$2:$Z$1210),2,FALSE),0)</f>
        <v>0</v>
      </c>
      <c r="AJ92">
        <f t="array" aca="1" ref="AJ92" ca="1">IFERROR(VLOOKUP($AJ$5&amp;$C92,CHOOSE({1,2},D_技能表!$C$2:$C$1210&amp;D_技能表!$E$2:$E$1210,D_技能表!$I$2:$I$1210),2,FALSE),0)</f>
        <v>0</v>
      </c>
      <c r="AK92">
        <f t="array" aca="1" ref="AK92" ca="1">IFERROR(VLOOKUP($AJ$5&amp;$C92,CHOOSE({1,2},D_技能表!$C$2:$C$1210&amp;D_技能表!$E$2:$E$1210,D_技能表!$N$2:$N$1210),2,FALSE),0)</f>
        <v>0</v>
      </c>
      <c r="AL92">
        <f t="array" aca="1" ref="AL92" ca="1">IFERROR(VLOOKUP($AJ$5&amp;$C92,CHOOSE({1,2},D_技能表!$C$2:$C$1210&amp;D_技能表!$E$2:$E$1210,D_技能表!$W$2:$W$1210),2,FALSE),0)</f>
        <v>0</v>
      </c>
      <c r="AM92">
        <f t="array" aca="1" ref="AM92" ca="1">IFERROR(VLOOKUP($AJ$5&amp;$C92,CHOOSE({1,2},D_技能表!$C$2:$C$1210&amp;D_技能表!$E$2:$E$1210,D_技能表!$Z$2:$Z$1210),2,FALSE),0)</f>
        <v>0</v>
      </c>
      <c r="AN92">
        <f t="array" aca="1" ref="AN92" ca="1">IFERROR(VLOOKUP($AN$5&amp;$C92,CHOOSE({1,2},D_技能表!$C$2:$C$1210&amp;D_技能表!$E$2:$E$1210,D_技能表!$I$2:$I$1210),2,FALSE),0)</f>
        <v>0</v>
      </c>
      <c r="AO92">
        <f t="array" aca="1" ref="AO92" ca="1">IFERROR(VLOOKUP($AN$5&amp;$C92,CHOOSE({1,2},D_技能表!$C$2:$C$1210&amp;D_技能表!$E$2:$E$1210,D_技能表!$N$2:$N$1210),2,FALSE),0)</f>
        <v>0</v>
      </c>
      <c r="AP92">
        <f t="array" aca="1" ref="AP92" ca="1">IFERROR(VLOOKUP($AN$5&amp;$C92,CHOOSE({1,2},D_技能表!$C$2:$C$1210&amp;D_技能表!$E$2:$E$1210,D_技能表!$W$2:$W$1210),2,FALSE),0)</f>
        <v>0</v>
      </c>
      <c r="AQ92">
        <f t="array" aca="1" ref="AQ92" ca="1">IFERROR(VLOOKUP($AN$5&amp;$C92,CHOOSE({1,2},D_技能表!$C$2:$C$1210&amp;D_技能表!$E$2:$E$1210,D_技能表!$Z$2:$Z$1210),2,FALSE),0)</f>
        <v>0</v>
      </c>
      <c r="AR92" s="11">
        <f ca="1">SUM($G$7:G93,$K$7:K93,$O$7:O93,$S$7:S93,$W$7:W93,$AA$7:AA93,$AE$7:AE93,$AI$7:AI93,$AM$7:AM93,$AQ$7:AQ93)</f>
        <v>7724</v>
      </c>
      <c r="AS92">
        <f ca="1">SUM($F$7:F93,$J$7:J93,$N$7:N93,$R$7:R93,$V$7:V93,$Z$7:Z93,$AD$7:AD93,$AH$7:AH93,$AL$7:AL93,$AP$7:AP93)</f>
        <v>20474</v>
      </c>
      <c r="AT92">
        <f t="shared" ca="1" si="3"/>
        <v>0</v>
      </c>
      <c r="AU92" s="33">
        <f ca="1">SUM($AX$7:AX92,$BB$7:BB92,$BF$7:BF92,$BJ$7:BJ92)</f>
        <v>5566350</v>
      </c>
      <c r="AV92">
        <v>86</v>
      </c>
      <c r="AW92">
        <f t="array" ref="AW92">IFERROR(VLOOKUP(AW$5&amp;$AV92,CHOOSE({1,2},D_技能表CD!$C$2:$C$313&amp;D_技能表CD!$E$2:$E$313,D_技能表CD!$I$2:$I$313),2,FALSE),0)</f>
        <v>0</v>
      </c>
      <c r="AX92">
        <f t="array" aca="1" ref="AX92" ca="1">IFERROR(VLOOKUP(AW$5&amp;$AV92,CHOOSE({1,2},D_技能表CD!$C$2:$C$313&amp;D_技能表CD!$E$2:$E$313,D_技能表CD!$H$2:$H$313),2,FALSE),0)</f>
        <v>0</v>
      </c>
      <c r="AY92">
        <f t="array" aca="1" ref="AY92" ca="1">IFERROR(VLOOKUP(AW$5&amp;$AV92,CHOOSE({1,2},D_技能表CD!$C$2:$C$313&amp;D_技能表CD!$E$2:$E$313,D_技能表CD!$L$2:$L$313),2,FALSE),0)</f>
        <v>0</v>
      </c>
      <c r="AZ92">
        <f t="array" aca="1" ref="AZ92" ca="1">IFERROR(VLOOKUP(AW$5&amp;$AV92,CHOOSE({1,2},D_技能表CD!$C$2:$C$313&amp;D_技能表CD!$E$2:$E$313,D_技能表CD!$K$2:$K$313),2,FALSE),0)</f>
        <v>0</v>
      </c>
      <c r="BA92">
        <f t="array" ref="BA92">IFERROR(VLOOKUP(BA$5&amp;$AV92,CHOOSE({1,2},D_技能表CD!$C$2:$C$313&amp;D_技能表CD!$E$2:$E$313,D_技能表CD!$I$2:$I$313),2,FALSE),0)</f>
        <v>0</v>
      </c>
      <c r="BB92">
        <f t="array" aca="1" ref="BB92" ca="1">IFERROR(VLOOKUP(BA$5&amp;$AV92,CHOOSE({1,2},D_技能表CD!$C$2:$C$313&amp;D_技能表CD!$E$2:$E$313,D_技能表CD!$H$2:$H$313),2,FALSE),0)</f>
        <v>0</v>
      </c>
      <c r="BC92">
        <f t="array" aca="1" ref="BC92" ca="1">IFERROR(VLOOKUP(BA$5&amp;$AV92,CHOOSE({1,2},D_技能表CD!$C$2:$C$313&amp;D_技能表CD!$E$2:$E$313,D_技能表CD!$L$2:$L$313),2,FALSE),0)</f>
        <v>0</v>
      </c>
      <c r="BD92">
        <f t="array" aca="1" ref="BD92" ca="1">IFERROR(VLOOKUP(BA$5&amp;$AV92,CHOOSE({1,2},D_技能表CD!$C$2:$C$313&amp;D_技能表CD!$E$2:$E$313,D_技能表CD!$K$2:$K$313),2,FALSE),0)</f>
        <v>0</v>
      </c>
      <c r="BE92">
        <f t="array" ref="BE92">IFERROR(VLOOKUP(BE$5&amp;$AV92,CHOOSE({1,2},D_技能表CD!$C$2:$C$313&amp;D_技能表CD!$E$2:$E$313,D_技能表CD!$I$2:$I$313),2,FALSE),0)</f>
        <v>0</v>
      </c>
      <c r="BF92">
        <f t="array" aca="1" ref="BF92" ca="1">IFERROR(VLOOKUP(BE$5&amp;$AV92,CHOOSE({1,2},D_技能表CD!$C$2:$C$313&amp;D_技能表CD!$E$2:$E$313,D_技能表CD!$H$2:$H$313),2,FALSE),0)</f>
        <v>0</v>
      </c>
      <c r="BG92">
        <f t="array" aca="1" ref="BG92" ca="1">IFERROR(VLOOKUP(BE$5&amp;$AV92,CHOOSE({1,2},D_技能表CD!$C$2:$C$313&amp;D_技能表CD!$E$2:$E$313,D_技能表CD!$L$2:$L$313),2,FALSE),0)</f>
        <v>0</v>
      </c>
      <c r="BH92">
        <f t="array" aca="1" ref="BH92" ca="1">IFERROR(VLOOKUP(BE$5&amp;$AV92,CHOOSE({1,2},D_技能表CD!$C$2:$C$313&amp;D_技能表CD!$E$2:$E$313,D_技能表CD!$K$2:$K$313),2,FALSE),0)</f>
        <v>0</v>
      </c>
      <c r="BI92">
        <f t="array" ref="BI92">IFERROR(VLOOKUP(BI$5&amp;$AV92,CHOOSE({1,2},D_技能表CD!$C$2:$C$313&amp;D_技能表CD!$E$2:$E$313,D_技能表CD!$I$2:$I$313),2,FALSE),0)</f>
        <v>0</v>
      </c>
      <c r="BJ92">
        <f t="array" aca="1" ref="BJ92" ca="1">IFERROR(VLOOKUP(BI$5&amp;$AV92,CHOOSE({1,2},D_技能表CD!$C$2:$C$313&amp;D_技能表CD!$E$2:$E$313,D_技能表CD!$H$2:$H$313),2,FALSE),0)</f>
        <v>0</v>
      </c>
      <c r="BK92">
        <f t="array" aca="1" ref="BK92" ca="1">IFERROR(VLOOKUP(BI$5&amp;$AV92,CHOOSE({1,2},D_技能表CD!$C$2:$C$313&amp;D_技能表CD!$E$2:$E$313,D_技能表CD!$L$2:$L$313),2,FALSE),0)</f>
        <v>0</v>
      </c>
      <c r="BL92">
        <f t="array" aca="1" ref="BL92" ca="1">IFERROR(VLOOKUP(BI$5&amp;$AV92,CHOOSE({1,2},D_技能表CD!$C$2:$C$313&amp;D_技能表CD!$E$2:$E$313,D_技能表CD!$K$2:$K$313),2,FALSE),0)</f>
        <v>0</v>
      </c>
    </row>
    <row r="93" spans="1:64" x14ac:dyDescent="0.15">
      <c r="A93">
        <f t="shared" ca="1" si="2"/>
        <v>60615598</v>
      </c>
      <c r="B93" s="34">
        <f ca="1">SUM($E$7:E93,$I$7:I93,$M$7:M93,$Q$7:Q93,$U$7:U93,$Y$7:Y93,$AC$7:AC93,$AG$7:AG93,$AK$7:AK93,$AO$7:AO93)</f>
        <v>55049248</v>
      </c>
      <c r="C93">
        <v>87</v>
      </c>
      <c r="D93">
        <f t="array" aca="1" ref="D93" ca="1">IFERROR(VLOOKUP($D$5&amp;C93,CHOOSE({1,2},D_技能表!$C$2:$C$1210&amp;D_技能表!$E$2:$E$1210,D_技能表!$I$2:$I$1210),2,FALSE),0)</f>
        <v>0</v>
      </c>
      <c r="E93">
        <f t="array" aca="1" ref="E93" ca="1">IFERROR(VLOOKUP($D$5&amp;$C93,CHOOSE({1,2},D_技能表!$C$2:$C$1210&amp;D_技能表!$E$2:$E$1210,D_技能表!$N$2:$N$1210),2,FALSE),0)</f>
        <v>0</v>
      </c>
      <c r="F93">
        <f t="array" aca="1" ref="F93" ca="1">IFERROR(VLOOKUP($D$5&amp;$C93,CHOOSE({1,2},D_技能表!$C$2:$C$1210&amp;D_技能表!$E$2:$E$1210,D_技能表!$W$2:$W$1210),2,FALSE),0)</f>
        <v>0</v>
      </c>
      <c r="G93">
        <f t="array" aca="1" ref="G93" ca="1">IFERROR(VLOOKUP($D$5&amp;$C93,CHOOSE({1,2},D_技能表!$C$2:$C$1210&amp;D_技能表!$E$2:$E$1210,D_技能表!$Z$2:$Z$1210),2,FALSE),0)</f>
        <v>0</v>
      </c>
      <c r="H93">
        <f t="array" aca="1" ref="H93" ca="1">IFERROR(VLOOKUP($H$5&amp;$C93,CHOOSE({1,2},D_技能表!$C$2:$C$1210&amp;D_技能表!$E$2:$E$1210,D_技能表!$I$2:$I$1210),2,FALSE),0)</f>
        <v>0</v>
      </c>
      <c r="I93">
        <f t="array" aca="1" ref="I93" ca="1">IFERROR(VLOOKUP($H$5&amp;$C93,CHOOSE({1,2},D_技能表!$C$2:$C$1210&amp;D_技能表!$E$2:$E$1210,D_技能表!$N$2:$N$1210),2,FALSE),0)</f>
        <v>0</v>
      </c>
      <c r="J93">
        <f t="array" aca="1" ref="J93" ca="1">IFERROR(VLOOKUP($H$5&amp;$C93,CHOOSE({1,2},D_技能表!$C$2:$C$1210&amp;D_技能表!$E$2:$E$1210,D_技能表!$W$2:$W$1210),2,FALSE),0)</f>
        <v>0</v>
      </c>
      <c r="K93">
        <f t="array" aca="1" ref="K93" ca="1">IFERROR(VLOOKUP($H$5&amp;$C93,CHOOSE({1,2},D_技能表!$C$2:$C$1210&amp;D_技能表!$E$2:$E$1210,D_技能表!$Z$2:$Z$1210),2,FALSE),0)</f>
        <v>0</v>
      </c>
      <c r="L93">
        <f t="array" aca="1" ref="L93" ca="1">IFERROR(VLOOKUP($L$5&amp;$C93,CHOOSE({1,2},D_技能表!$C$2:$C$1210&amp;D_技能表!$E$2:$E$1210,D_技能表!$I$2:$I$1210),2,FALSE),0)</f>
        <v>0</v>
      </c>
      <c r="M93">
        <f t="array" aca="1" ref="M93" ca="1">IFERROR(VLOOKUP($L$5&amp;$C93,CHOOSE({1,2},D_技能表!$C$2:$C$1210&amp;D_技能表!$E$2:$E$1210,D_技能表!$N$2:$N$1210),2,FALSE),0)</f>
        <v>0</v>
      </c>
      <c r="N93">
        <f t="array" aca="1" ref="N93" ca="1">IFERROR(VLOOKUP($L$5&amp;$C93,CHOOSE({1,2},D_技能表!$C$2:$C$1210&amp;D_技能表!$E$2:$E$1210,D_技能表!$W$2:$W$1210),2,FALSE),0)</f>
        <v>0</v>
      </c>
      <c r="O93">
        <f t="array" aca="1" ref="O93" ca="1">IFERROR(VLOOKUP($L$5&amp;$C93,CHOOSE({1,2},D_技能表!$C$2:$C$1210&amp;D_技能表!$E$2:$E$1210,D_技能表!$Z$2:$Z$1210),2,FALSE),0)</f>
        <v>0</v>
      </c>
      <c r="P93">
        <f t="array" aca="1" ref="P93" ca="1">IFERROR(VLOOKUP($P$5&amp;$C93,CHOOSE({1,2},D_技能表!$C$2:$C$1210&amp;D_技能表!$E$2:$E$1210,D_技能表!$I$2:$I$1210),2,FALSE),0)</f>
        <v>0</v>
      </c>
      <c r="Q93">
        <f t="array" aca="1" ref="Q93" ca="1">IFERROR(VLOOKUP($P$5&amp;$C93,CHOOSE({1,2},D_技能表!$C$2:$C$1210&amp;D_技能表!$E$2:$E$1210,D_技能表!$N$2:$N$1210),2,FALSE),0)</f>
        <v>0</v>
      </c>
      <c r="R93">
        <f t="array" aca="1" ref="R93" ca="1">IFERROR(VLOOKUP($P$5&amp;$C93,CHOOSE({1,2},D_技能表!$C$2:$C$1210&amp;D_技能表!$E$2:$E$1210,D_技能表!$W$2:$W$1210),2,FALSE),0)</f>
        <v>0</v>
      </c>
      <c r="S93">
        <f t="array" aca="1" ref="S93" ca="1">IFERROR(VLOOKUP($P$5&amp;$C93,CHOOSE({1,2},D_技能表!$C$2:$C$1210&amp;D_技能表!$E$2:$E$1210,D_技能表!$Z$2:$Z$1210),2,FALSE),0)</f>
        <v>0</v>
      </c>
      <c r="T93">
        <f t="array" aca="1" ref="T93" ca="1">IFERROR(VLOOKUP($T$5&amp;$C93,CHOOSE({1,2},D_技能表!$C$2:$C$1210&amp;D_技能表!$E$2:$E$1210,D_技能表!$I$2:$I$1210),2,FALSE),0)</f>
        <v>0</v>
      </c>
      <c r="U93">
        <f t="array" aca="1" ref="U93" ca="1">IFERROR(VLOOKUP($T$5&amp;$C93,CHOOSE({1,2},D_技能表!$C$2:$C$1210&amp;D_技能表!$E$2:$E$1210,D_技能表!$N$2:$N$1210),2,FALSE),0)</f>
        <v>0</v>
      </c>
      <c r="V93">
        <f t="array" aca="1" ref="V93" ca="1">IFERROR(VLOOKUP($T$5&amp;$C93,CHOOSE({1,2},D_技能表!$C$2:$C$1210&amp;D_技能表!$E$2:$E$1210,D_技能表!$W$2:$W$1210),2,FALSE),0)</f>
        <v>0</v>
      </c>
      <c r="W93">
        <f t="array" aca="1" ref="W93" ca="1">IFERROR(VLOOKUP($T$5&amp;$C93,CHOOSE({1,2},D_技能表!$C$2:$C$1210&amp;D_技能表!$E$2:$E$1210,D_技能表!$Z$2:$Z$1210),2,FALSE),0)</f>
        <v>0</v>
      </c>
      <c r="X93">
        <f t="array" aca="1" ref="X93" ca="1">IFERROR(VLOOKUP($X$5&amp;$C93,CHOOSE({1,2},D_技能表!$C$2:$C$1210&amp;D_技能表!$E$2:$E$1210,D_技能表!$I$2:$I$1210),2,FALSE),0)</f>
        <v>0</v>
      </c>
      <c r="Y93">
        <f t="array" aca="1" ref="Y93" ca="1">IFERROR(VLOOKUP($X$5&amp;$C93,CHOOSE({1,2},D_技能表!$C$2:$C$1210&amp;D_技能表!$E$2:$E$1210,D_技能表!$N$2:$N$1210),2,FALSE),0)</f>
        <v>0</v>
      </c>
      <c r="Z93">
        <f t="array" aca="1" ref="Z93" ca="1">IFERROR(VLOOKUP($X$5&amp;$C93,CHOOSE({1,2},D_技能表!$C$2:$C$1210&amp;D_技能表!$E$2:$E$1210,D_技能表!$W$2:$W$1210),2,FALSE),0)</f>
        <v>0</v>
      </c>
      <c r="AA93">
        <f t="array" aca="1" ref="AA93" ca="1">IFERROR(VLOOKUP($X$5&amp;$C93,CHOOSE({1,2},D_技能表!$C$2:$C$1210&amp;D_技能表!$E$2:$E$1210,D_技能表!$Z$2:$Z$1210),2,FALSE),0)</f>
        <v>0</v>
      </c>
      <c r="AB93">
        <f t="array" aca="1" ref="AB93" ca="1">IFERROR(VLOOKUP($AB$5&amp;$C93,CHOOSE({1,2},D_技能表!$C$2:$C$1210&amp;D_技能表!$E$2:$E$1210,D_技能表!$I$2:$I$1210),2,FALSE),0)</f>
        <v>0</v>
      </c>
      <c r="AC93">
        <f t="array" aca="1" ref="AC93" ca="1">IFERROR(VLOOKUP($AB$5&amp;$C93,CHOOSE({1,2},D_技能表!$C$2:$C$1210&amp;D_技能表!$E$2:$E$1210,D_技能表!$N$2:$N$1210),2,FALSE),0)</f>
        <v>0</v>
      </c>
      <c r="AD93">
        <f t="array" aca="1" ref="AD93" ca="1">IFERROR(VLOOKUP($AB$5&amp;$C93,CHOOSE({1,2},D_技能表!$C$2:$C$1210&amp;D_技能表!$E$2:$E$1210,D_技能表!$W$2:$W$1210),2,FALSE),0)</f>
        <v>0</v>
      </c>
      <c r="AE93">
        <f t="array" aca="1" ref="AE93" ca="1">IFERROR(VLOOKUP($AB$5&amp;$C93,CHOOSE({1,2},D_技能表!$C$2:$C$1210&amp;D_技能表!$E$2:$E$1210,D_技能表!$Z$2:$Z$1210),2,FALSE),0)</f>
        <v>0</v>
      </c>
      <c r="AF93">
        <f t="array" aca="1" ref="AF93" ca="1">IFERROR(VLOOKUP($AF$5&amp;$C93,CHOOSE({1,2},D_技能表!$C$2:$C$1210&amp;D_技能表!$E$2:$E$1210,D_技能表!$I$2:$I$1210),2,FALSE),0)</f>
        <v>0</v>
      </c>
      <c r="AG93">
        <f t="array" aca="1" ref="AG93" ca="1">IFERROR(VLOOKUP($AF$5&amp;$C93,CHOOSE({1,2},D_技能表!$C$2:$C$1210&amp;D_技能表!$E$2:$E$1210,D_技能表!$N$2:$N$1210),2,FALSE),0)</f>
        <v>0</v>
      </c>
      <c r="AH93">
        <f t="array" aca="1" ref="AH93" ca="1">IFERROR(VLOOKUP($AF$5&amp;$C93,CHOOSE({1,2},D_技能表!$C$2:$C$1210&amp;D_技能表!$E$2:$E$1210,D_技能表!$W$2:$W$1210),2,FALSE),0)</f>
        <v>0</v>
      </c>
      <c r="AI93">
        <f t="array" aca="1" ref="AI93" ca="1">IFERROR(VLOOKUP($AF$5&amp;$C93,CHOOSE({1,2},D_技能表!$C$2:$C$1210&amp;D_技能表!$E$2:$E$1210,D_技能表!$Z$2:$Z$1210),2,FALSE),0)</f>
        <v>0</v>
      </c>
      <c r="AJ93">
        <f t="array" aca="1" ref="AJ93" ca="1">IFERROR(VLOOKUP($AJ$5&amp;$C93,CHOOSE({1,2},D_技能表!$C$2:$C$1210&amp;D_技能表!$E$2:$E$1210,D_技能表!$I$2:$I$1210),2,FALSE),0)</f>
        <v>0</v>
      </c>
      <c r="AK93">
        <f t="array" aca="1" ref="AK93" ca="1">IFERROR(VLOOKUP($AJ$5&amp;$C93,CHOOSE({1,2},D_技能表!$C$2:$C$1210&amp;D_技能表!$E$2:$E$1210,D_技能表!$N$2:$N$1210),2,FALSE),0)</f>
        <v>0</v>
      </c>
      <c r="AL93">
        <f t="array" aca="1" ref="AL93" ca="1">IFERROR(VLOOKUP($AJ$5&amp;$C93,CHOOSE({1,2},D_技能表!$C$2:$C$1210&amp;D_技能表!$E$2:$E$1210,D_技能表!$W$2:$W$1210),2,FALSE),0)</f>
        <v>0</v>
      </c>
      <c r="AM93">
        <f t="array" aca="1" ref="AM93" ca="1">IFERROR(VLOOKUP($AJ$5&amp;$C93,CHOOSE({1,2},D_技能表!$C$2:$C$1210&amp;D_技能表!$E$2:$E$1210,D_技能表!$Z$2:$Z$1210),2,FALSE),0)</f>
        <v>0</v>
      </c>
      <c r="AN93">
        <f t="array" aca="1" ref="AN93" ca="1">IFERROR(VLOOKUP($AN$5&amp;$C93,CHOOSE({1,2},D_技能表!$C$2:$C$1210&amp;D_技能表!$E$2:$E$1210,D_技能表!$I$2:$I$1210),2,FALSE),0)</f>
        <v>0</v>
      </c>
      <c r="AO93">
        <f t="array" aca="1" ref="AO93" ca="1">IFERROR(VLOOKUP($AN$5&amp;$C93,CHOOSE({1,2},D_技能表!$C$2:$C$1210&amp;D_技能表!$E$2:$E$1210,D_技能表!$N$2:$N$1210),2,FALSE),0)</f>
        <v>0</v>
      </c>
      <c r="AP93">
        <f t="array" aca="1" ref="AP93" ca="1">IFERROR(VLOOKUP($AN$5&amp;$C93,CHOOSE({1,2},D_技能表!$C$2:$C$1210&amp;D_技能表!$E$2:$E$1210,D_技能表!$W$2:$W$1210),2,FALSE),0)</f>
        <v>0</v>
      </c>
      <c r="AQ93">
        <f t="array" aca="1" ref="AQ93" ca="1">IFERROR(VLOOKUP($AN$5&amp;$C93,CHOOSE({1,2},D_技能表!$C$2:$C$1210&amp;D_技能表!$E$2:$E$1210,D_技能表!$Z$2:$Z$1210),2,FALSE),0)</f>
        <v>0</v>
      </c>
      <c r="AR93" s="11">
        <f ca="1">SUM($G$7:G94,$K$7:K94,$O$7:O94,$S$7:S94,$W$7:W94,$AA$7:AA94,$AE$7:AE94,$AI$7:AI94,$AM$7:AM94,$AQ$7:AQ94)</f>
        <v>7724</v>
      </c>
      <c r="AS93">
        <f ca="1">SUM($F$7:F94,$J$7:J94,$N$7:N94,$R$7:R94,$V$7:V94,$Z$7:Z94,$AD$7:AD94,$AH$7:AH94,$AL$7:AL94,$AP$7:AP94)</f>
        <v>20474</v>
      </c>
      <c r="AT93">
        <f t="shared" ca="1" si="3"/>
        <v>0</v>
      </c>
      <c r="AU93" s="33">
        <f ca="1">SUM($AX$7:AX93,$BB$7:BB93,$BF$7:BF93,$BJ$7:BJ93)</f>
        <v>5566350</v>
      </c>
      <c r="AV93">
        <v>87</v>
      </c>
      <c r="AW93">
        <f t="array" ref="AW93">IFERROR(VLOOKUP(AW$5&amp;$AV93,CHOOSE({1,2},D_技能表CD!$C$2:$C$313&amp;D_技能表CD!$E$2:$E$313,D_技能表CD!$I$2:$I$313),2,FALSE),0)</f>
        <v>0</v>
      </c>
      <c r="AX93">
        <f t="array" aca="1" ref="AX93" ca="1">IFERROR(VLOOKUP(AW$5&amp;$AV93,CHOOSE({1,2},D_技能表CD!$C$2:$C$313&amp;D_技能表CD!$E$2:$E$313,D_技能表CD!$H$2:$H$313),2,FALSE),0)</f>
        <v>0</v>
      </c>
      <c r="AY93">
        <f t="array" aca="1" ref="AY93" ca="1">IFERROR(VLOOKUP(AW$5&amp;$AV93,CHOOSE({1,2},D_技能表CD!$C$2:$C$313&amp;D_技能表CD!$E$2:$E$313,D_技能表CD!$L$2:$L$313),2,FALSE),0)</f>
        <v>0</v>
      </c>
      <c r="AZ93">
        <f t="array" aca="1" ref="AZ93" ca="1">IFERROR(VLOOKUP(AW$5&amp;$AV93,CHOOSE({1,2},D_技能表CD!$C$2:$C$313&amp;D_技能表CD!$E$2:$E$313,D_技能表CD!$K$2:$K$313),2,FALSE),0)</f>
        <v>0</v>
      </c>
      <c r="BA93">
        <f t="array" ref="BA93">IFERROR(VLOOKUP(BA$5&amp;$AV93,CHOOSE({1,2},D_技能表CD!$C$2:$C$313&amp;D_技能表CD!$E$2:$E$313,D_技能表CD!$I$2:$I$313),2,FALSE),0)</f>
        <v>0</v>
      </c>
      <c r="BB93">
        <f t="array" aca="1" ref="BB93" ca="1">IFERROR(VLOOKUP(BA$5&amp;$AV93,CHOOSE({1,2},D_技能表CD!$C$2:$C$313&amp;D_技能表CD!$E$2:$E$313,D_技能表CD!$H$2:$H$313),2,FALSE),0)</f>
        <v>0</v>
      </c>
      <c r="BC93">
        <f t="array" aca="1" ref="BC93" ca="1">IFERROR(VLOOKUP(BA$5&amp;$AV93,CHOOSE({1,2},D_技能表CD!$C$2:$C$313&amp;D_技能表CD!$E$2:$E$313,D_技能表CD!$L$2:$L$313),2,FALSE),0)</f>
        <v>0</v>
      </c>
      <c r="BD93">
        <f t="array" aca="1" ref="BD93" ca="1">IFERROR(VLOOKUP(BA$5&amp;$AV93,CHOOSE({1,2},D_技能表CD!$C$2:$C$313&amp;D_技能表CD!$E$2:$E$313,D_技能表CD!$K$2:$K$313),2,FALSE),0)</f>
        <v>0</v>
      </c>
      <c r="BE93">
        <f t="array" ref="BE93">IFERROR(VLOOKUP(BE$5&amp;$AV93,CHOOSE({1,2},D_技能表CD!$C$2:$C$313&amp;D_技能表CD!$E$2:$E$313,D_技能表CD!$I$2:$I$313),2,FALSE),0)</f>
        <v>0</v>
      </c>
      <c r="BF93">
        <f t="array" aca="1" ref="BF93" ca="1">IFERROR(VLOOKUP(BE$5&amp;$AV93,CHOOSE({1,2},D_技能表CD!$C$2:$C$313&amp;D_技能表CD!$E$2:$E$313,D_技能表CD!$H$2:$H$313),2,FALSE),0)</f>
        <v>0</v>
      </c>
      <c r="BG93">
        <f t="array" aca="1" ref="BG93" ca="1">IFERROR(VLOOKUP(BE$5&amp;$AV93,CHOOSE({1,2},D_技能表CD!$C$2:$C$313&amp;D_技能表CD!$E$2:$E$313,D_技能表CD!$L$2:$L$313),2,FALSE),0)</f>
        <v>0</v>
      </c>
      <c r="BH93">
        <f t="array" aca="1" ref="BH93" ca="1">IFERROR(VLOOKUP(BE$5&amp;$AV93,CHOOSE({1,2},D_技能表CD!$C$2:$C$313&amp;D_技能表CD!$E$2:$E$313,D_技能表CD!$K$2:$K$313),2,FALSE),0)</f>
        <v>0</v>
      </c>
      <c r="BI93">
        <f t="array" ref="BI93">IFERROR(VLOOKUP(BI$5&amp;$AV93,CHOOSE({1,2},D_技能表CD!$C$2:$C$313&amp;D_技能表CD!$E$2:$E$313,D_技能表CD!$I$2:$I$313),2,FALSE),0)</f>
        <v>0</v>
      </c>
      <c r="BJ93">
        <f t="array" aca="1" ref="BJ93" ca="1">IFERROR(VLOOKUP(BI$5&amp;$AV93,CHOOSE({1,2},D_技能表CD!$C$2:$C$313&amp;D_技能表CD!$E$2:$E$313,D_技能表CD!$H$2:$H$313),2,FALSE),0)</f>
        <v>0</v>
      </c>
      <c r="BK93">
        <f t="array" aca="1" ref="BK93" ca="1">IFERROR(VLOOKUP(BI$5&amp;$AV93,CHOOSE({1,2},D_技能表CD!$C$2:$C$313&amp;D_技能表CD!$E$2:$E$313,D_技能表CD!$L$2:$L$313),2,FALSE),0)</f>
        <v>0</v>
      </c>
      <c r="BL93">
        <f t="array" aca="1" ref="BL93" ca="1">IFERROR(VLOOKUP(BI$5&amp;$AV93,CHOOSE({1,2},D_技能表CD!$C$2:$C$313&amp;D_技能表CD!$E$2:$E$313,D_技能表CD!$K$2:$K$313),2,FALSE),0)</f>
        <v>0</v>
      </c>
    </row>
    <row r="94" spans="1:64" x14ac:dyDescent="0.15">
      <c r="A94">
        <f t="shared" ca="1" si="2"/>
        <v>60615598</v>
      </c>
      <c r="B94" s="34">
        <f ca="1">SUM($E$7:E94,$I$7:I94,$M$7:M94,$Q$7:Q94,$U$7:U94,$Y$7:Y94,$AC$7:AC94,$AG$7:AG94,$AK$7:AK94,$AO$7:AO94)</f>
        <v>55049248</v>
      </c>
      <c r="C94">
        <v>88</v>
      </c>
      <c r="D94">
        <f t="array" aca="1" ref="D94" ca="1">IFERROR(VLOOKUP($D$5&amp;C94,CHOOSE({1,2},D_技能表!$C$2:$C$1210&amp;D_技能表!$E$2:$E$1210,D_技能表!$I$2:$I$1210),2,FALSE),0)</f>
        <v>0</v>
      </c>
      <c r="E94">
        <f t="array" aca="1" ref="E94" ca="1">IFERROR(VLOOKUP($D$5&amp;$C94,CHOOSE({1,2},D_技能表!$C$2:$C$1210&amp;D_技能表!$E$2:$E$1210,D_技能表!$N$2:$N$1210),2,FALSE),0)</f>
        <v>0</v>
      </c>
      <c r="F94">
        <f t="array" aca="1" ref="F94" ca="1">IFERROR(VLOOKUP($D$5&amp;$C94,CHOOSE({1,2},D_技能表!$C$2:$C$1210&amp;D_技能表!$E$2:$E$1210,D_技能表!$W$2:$W$1210),2,FALSE),0)</f>
        <v>0</v>
      </c>
      <c r="G94">
        <f t="array" aca="1" ref="G94" ca="1">IFERROR(VLOOKUP($D$5&amp;$C94,CHOOSE({1,2},D_技能表!$C$2:$C$1210&amp;D_技能表!$E$2:$E$1210,D_技能表!$Z$2:$Z$1210),2,FALSE),0)</f>
        <v>0</v>
      </c>
      <c r="H94">
        <f t="array" aca="1" ref="H94" ca="1">IFERROR(VLOOKUP($H$5&amp;$C94,CHOOSE({1,2},D_技能表!$C$2:$C$1210&amp;D_技能表!$E$2:$E$1210,D_技能表!$I$2:$I$1210),2,FALSE),0)</f>
        <v>0</v>
      </c>
      <c r="I94">
        <f t="array" aca="1" ref="I94" ca="1">IFERROR(VLOOKUP($H$5&amp;$C94,CHOOSE({1,2},D_技能表!$C$2:$C$1210&amp;D_技能表!$E$2:$E$1210,D_技能表!$N$2:$N$1210),2,FALSE),0)</f>
        <v>0</v>
      </c>
      <c r="J94">
        <f t="array" aca="1" ref="J94" ca="1">IFERROR(VLOOKUP($H$5&amp;$C94,CHOOSE({1,2},D_技能表!$C$2:$C$1210&amp;D_技能表!$E$2:$E$1210,D_技能表!$W$2:$W$1210),2,FALSE),0)</f>
        <v>0</v>
      </c>
      <c r="K94">
        <f t="array" aca="1" ref="K94" ca="1">IFERROR(VLOOKUP($H$5&amp;$C94,CHOOSE({1,2},D_技能表!$C$2:$C$1210&amp;D_技能表!$E$2:$E$1210,D_技能表!$Z$2:$Z$1210),2,FALSE),0)</f>
        <v>0</v>
      </c>
      <c r="L94">
        <f t="array" aca="1" ref="L94" ca="1">IFERROR(VLOOKUP($L$5&amp;$C94,CHOOSE({1,2},D_技能表!$C$2:$C$1210&amp;D_技能表!$E$2:$E$1210,D_技能表!$I$2:$I$1210),2,FALSE),0)</f>
        <v>0</v>
      </c>
      <c r="M94">
        <f t="array" aca="1" ref="M94" ca="1">IFERROR(VLOOKUP($L$5&amp;$C94,CHOOSE({1,2},D_技能表!$C$2:$C$1210&amp;D_技能表!$E$2:$E$1210,D_技能表!$N$2:$N$1210),2,FALSE),0)</f>
        <v>0</v>
      </c>
      <c r="N94">
        <f t="array" aca="1" ref="N94" ca="1">IFERROR(VLOOKUP($L$5&amp;$C94,CHOOSE({1,2},D_技能表!$C$2:$C$1210&amp;D_技能表!$E$2:$E$1210,D_技能表!$W$2:$W$1210),2,FALSE),0)</f>
        <v>0</v>
      </c>
      <c r="O94">
        <f t="array" aca="1" ref="O94" ca="1">IFERROR(VLOOKUP($L$5&amp;$C94,CHOOSE({1,2},D_技能表!$C$2:$C$1210&amp;D_技能表!$E$2:$E$1210,D_技能表!$Z$2:$Z$1210),2,FALSE),0)</f>
        <v>0</v>
      </c>
      <c r="P94">
        <f t="array" aca="1" ref="P94" ca="1">IFERROR(VLOOKUP($P$5&amp;$C94,CHOOSE({1,2},D_技能表!$C$2:$C$1210&amp;D_技能表!$E$2:$E$1210,D_技能表!$I$2:$I$1210),2,FALSE),0)</f>
        <v>0</v>
      </c>
      <c r="Q94">
        <f t="array" aca="1" ref="Q94" ca="1">IFERROR(VLOOKUP($P$5&amp;$C94,CHOOSE({1,2},D_技能表!$C$2:$C$1210&amp;D_技能表!$E$2:$E$1210,D_技能表!$N$2:$N$1210),2,FALSE),0)</f>
        <v>0</v>
      </c>
      <c r="R94">
        <f t="array" aca="1" ref="R94" ca="1">IFERROR(VLOOKUP($P$5&amp;$C94,CHOOSE({1,2},D_技能表!$C$2:$C$1210&amp;D_技能表!$E$2:$E$1210,D_技能表!$W$2:$W$1210),2,FALSE),0)</f>
        <v>0</v>
      </c>
      <c r="S94">
        <f t="array" aca="1" ref="S94" ca="1">IFERROR(VLOOKUP($P$5&amp;$C94,CHOOSE({1,2},D_技能表!$C$2:$C$1210&amp;D_技能表!$E$2:$E$1210,D_技能表!$Z$2:$Z$1210),2,FALSE),0)</f>
        <v>0</v>
      </c>
      <c r="T94">
        <f t="array" aca="1" ref="T94" ca="1">IFERROR(VLOOKUP($T$5&amp;$C94,CHOOSE({1,2},D_技能表!$C$2:$C$1210&amp;D_技能表!$E$2:$E$1210,D_技能表!$I$2:$I$1210),2,FALSE),0)</f>
        <v>0</v>
      </c>
      <c r="U94">
        <f t="array" aca="1" ref="U94" ca="1">IFERROR(VLOOKUP($T$5&amp;$C94,CHOOSE({1,2},D_技能表!$C$2:$C$1210&amp;D_技能表!$E$2:$E$1210,D_技能表!$N$2:$N$1210),2,FALSE),0)</f>
        <v>0</v>
      </c>
      <c r="V94">
        <f t="array" aca="1" ref="V94" ca="1">IFERROR(VLOOKUP($T$5&amp;$C94,CHOOSE({1,2},D_技能表!$C$2:$C$1210&amp;D_技能表!$E$2:$E$1210,D_技能表!$W$2:$W$1210),2,FALSE),0)</f>
        <v>0</v>
      </c>
      <c r="W94">
        <f t="array" aca="1" ref="W94" ca="1">IFERROR(VLOOKUP($T$5&amp;$C94,CHOOSE({1,2},D_技能表!$C$2:$C$1210&amp;D_技能表!$E$2:$E$1210,D_技能表!$Z$2:$Z$1210),2,FALSE),0)</f>
        <v>0</v>
      </c>
      <c r="X94">
        <f t="array" aca="1" ref="X94" ca="1">IFERROR(VLOOKUP($X$5&amp;$C94,CHOOSE({1,2},D_技能表!$C$2:$C$1210&amp;D_技能表!$E$2:$E$1210,D_技能表!$I$2:$I$1210),2,FALSE),0)</f>
        <v>0</v>
      </c>
      <c r="Y94">
        <f t="array" aca="1" ref="Y94" ca="1">IFERROR(VLOOKUP($X$5&amp;$C94,CHOOSE({1,2},D_技能表!$C$2:$C$1210&amp;D_技能表!$E$2:$E$1210,D_技能表!$N$2:$N$1210),2,FALSE),0)</f>
        <v>0</v>
      </c>
      <c r="Z94">
        <f t="array" aca="1" ref="Z94" ca="1">IFERROR(VLOOKUP($X$5&amp;$C94,CHOOSE({1,2},D_技能表!$C$2:$C$1210&amp;D_技能表!$E$2:$E$1210,D_技能表!$W$2:$W$1210),2,FALSE),0)</f>
        <v>0</v>
      </c>
      <c r="AA94">
        <f t="array" aca="1" ref="AA94" ca="1">IFERROR(VLOOKUP($X$5&amp;$C94,CHOOSE({1,2},D_技能表!$C$2:$C$1210&amp;D_技能表!$E$2:$E$1210,D_技能表!$Z$2:$Z$1210),2,FALSE),0)</f>
        <v>0</v>
      </c>
      <c r="AB94">
        <f t="array" aca="1" ref="AB94" ca="1">IFERROR(VLOOKUP($AB$5&amp;$C94,CHOOSE({1,2},D_技能表!$C$2:$C$1210&amp;D_技能表!$E$2:$E$1210,D_技能表!$I$2:$I$1210),2,FALSE),0)</f>
        <v>0</v>
      </c>
      <c r="AC94">
        <f t="array" aca="1" ref="AC94" ca="1">IFERROR(VLOOKUP($AB$5&amp;$C94,CHOOSE({1,2},D_技能表!$C$2:$C$1210&amp;D_技能表!$E$2:$E$1210,D_技能表!$N$2:$N$1210),2,FALSE),0)</f>
        <v>0</v>
      </c>
      <c r="AD94">
        <f t="array" aca="1" ref="AD94" ca="1">IFERROR(VLOOKUP($AB$5&amp;$C94,CHOOSE({1,2},D_技能表!$C$2:$C$1210&amp;D_技能表!$E$2:$E$1210,D_技能表!$W$2:$W$1210),2,FALSE),0)</f>
        <v>0</v>
      </c>
      <c r="AE94">
        <f t="array" aca="1" ref="AE94" ca="1">IFERROR(VLOOKUP($AB$5&amp;$C94,CHOOSE({1,2},D_技能表!$C$2:$C$1210&amp;D_技能表!$E$2:$E$1210,D_技能表!$Z$2:$Z$1210),2,FALSE),0)</f>
        <v>0</v>
      </c>
      <c r="AF94">
        <f t="array" aca="1" ref="AF94" ca="1">IFERROR(VLOOKUP($AF$5&amp;$C94,CHOOSE({1,2},D_技能表!$C$2:$C$1210&amp;D_技能表!$E$2:$E$1210,D_技能表!$I$2:$I$1210),2,FALSE),0)</f>
        <v>0</v>
      </c>
      <c r="AG94">
        <f t="array" aca="1" ref="AG94" ca="1">IFERROR(VLOOKUP($AF$5&amp;$C94,CHOOSE({1,2},D_技能表!$C$2:$C$1210&amp;D_技能表!$E$2:$E$1210,D_技能表!$N$2:$N$1210),2,FALSE),0)</f>
        <v>0</v>
      </c>
      <c r="AH94">
        <f t="array" aca="1" ref="AH94" ca="1">IFERROR(VLOOKUP($AF$5&amp;$C94,CHOOSE({1,2},D_技能表!$C$2:$C$1210&amp;D_技能表!$E$2:$E$1210,D_技能表!$W$2:$W$1210),2,FALSE),0)</f>
        <v>0</v>
      </c>
      <c r="AI94">
        <f t="array" aca="1" ref="AI94" ca="1">IFERROR(VLOOKUP($AF$5&amp;$C94,CHOOSE({1,2},D_技能表!$C$2:$C$1210&amp;D_技能表!$E$2:$E$1210,D_技能表!$Z$2:$Z$1210),2,FALSE),0)</f>
        <v>0</v>
      </c>
      <c r="AJ94">
        <f t="array" aca="1" ref="AJ94" ca="1">IFERROR(VLOOKUP($AJ$5&amp;$C94,CHOOSE({1,2},D_技能表!$C$2:$C$1210&amp;D_技能表!$E$2:$E$1210,D_技能表!$I$2:$I$1210),2,FALSE),0)</f>
        <v>0</v>
      </c>
      <c r="AK94">
        <f t="array" aca="1" ref="AK94" ca="1">IFERROR(VLOOKUP($AJ$5&amp;$C94,CHOOSE({1,2},D_技能表!$C$2:$C$1210&amp;D_技能表!$E$2:$E$1210,D_技能表!$N$2:$N$1210),2,FALSE),0)</f>
        <v>0</v>
      </c>
      <c r="AL94">
        <f t="array" aca="1" ref="AL94" ca="1">IFERROR(VLOOKUP($AJ$5&amp;$C94,CHOOSE({1,2},D_技能表!$C$2:$C$1210&amp;D_技能表!$E$2:$E$1210,D_技能表!$W$2:$W$1210),2,FALSE),0)</f>
        <v>0</v>
      </c>
      <c r="AM94">
        <f t="array" aca="1" ref="AM94" ca="1">IFERROR(VLOOKUP($AJ$5&amp;$C94,CHOOSE({1,2},D_技能表!$C$2:$C$1210&amp;D_技能表!$E$2:$E$1210,D_技能表!$Z$2:$Z$1210),2,FALSE),0)</f>
        <v>0</v>
      </c>
      <c r="AN94">
        <f t="array" aca="1" ref="AN94" ca="1">IFERROR(VLOOKUP($AN$5&amp;$C94,CHOOSE({1,2},D_技能表!$C$2:$C$1210&amp;D_技能表!$E$2:$E$1210,D_技能表!$I$2:$I$1210),2,FALSE),0)</f>
        <v>0</v>
      </c>
      <c r="AO94">
        <f t="array" aca="1" ref="AO94" ca="1">IFERROR(VLOOKUP($AN$5&amp;$C94,CHOOSE({1,2},D_技能表!$C$2:$C$1210&amp;D_技能表!$E$2:$E$1210,D_技能表!$N$2:$N$1210),2,FALSE),0)</f>
        <v>0</v>
      </c>
      <c r="AP94">
        <f t="array" aca="1" ref="AP94" ca="1">IFERROR(VLOOKUP($AN$5&amp;$C94,CHOOSE({1,2},D_技能表!$C$2:$C$1210&amp;D_技能表!$E$2:$E$1210,D_技能表!$W$2:$W$1210),2,FALSE),0)</f>
        <v>0</v>
      </c>
      <c r="AQ94">
        <f t="array" aca="1" ref="AQ94" ca="1">IFERROR(VLOOKUP($AN$5&amp;$C94,CHOOSE({1,2},D_技能表!$C$2:$C$1210&amp;D_技能表!$E$2:$E$1210,D_技能表!$Z$2:$Z$1210),2,FALSE),0)</f>
        <v>0</v>
      </c>
      <c r="AR94" s="11">
        <f ca="1">SUM($G$7:G95,$K$7:K95,$O$7:O95,$S$7:S95,$W$7:W95,$AA$7:AA95,$AE$7:AE95,$AI$7:AI95,$AM$7:AM95,$AQ$7:AQ95)</f>
        <v>7724</v>
      </c>
      <c r="AS94">
        <f ca="1">SUM($F$7:F95,$J$7:J95,$N$7:N95,$R$7:R95,$V$7:V95,$Z$7:Z95,$AD$7:AD95,$AH$7:AH95,$AL$7:AL95,$AP$7:AP95)</f>
        <v>20474</v>
      </c>
      <c r="AT94">
        <f t="shared" ca="1" si="3"/>
        <v>0</v>
      </c>
      <c r="AU94" s="33">
        <f ca="1">SUM($AX$7:AX94,$BB$7:BB94,$BF$7:BF94,$BJ$7:BJ94)</f>
        <v>5566350</v>
      </c>
      <c r="AV94">
        <v>88</v>
      </c>
      <c r="AW94">
        <f t="array" ref="AW94">IFERROR(VLOOKUP(AW$5&amp;$AV94,CHOOSE({1,2},D_技能表CD!$C$2:$C$313&amp;D_技能表CD!$E$2:$E$313,D_技能表CD!$I$2:$I$313),2,FALSE),0)</f>
        <v>0</v>
      </c>
      <c r="AX94">
        <f t="array" aca="1" ref="AX94" ca="1">IFERROR(VLOOKUP(AW$5&amp;$AV94,CHOOSE({1,2},D_技能表CD!$C$2:$C$313&amp;D_技能表CD!$E$2:$E$313,D_技能表CD!$H$2:$H$313),2,FALSE),0)</f>
        <v>0</v>
      </c>
      <c r="AY94">
        <f t="array" aca="1" ref="AY94" ca="1">IFERROR(VLOOKUP(AW$5&amp;$AV94,CHOOSE({1,2},D_技能表CD!$C$2:$C$313&amp;D_技能表CD!$E$2:$E$313,D_技能表CD!$L$2:$L$313),2,FALSE),0)</f>
        <v>0</v>
      </c>
      <c r="AZ94">
        <f t="array" aca="1" ref="AZ94" ca="1">IFERROR(VLOOKUP(AW$5&amp;$AV94,CHOOSE({1,2},D_技能表CD!$C$2:$C$313&amp;D_技能表CD!$E$2:$E$313,D_技能表CD!$K$2:$K$313),2,FALSE),0)</f>
        <v>0</v>
      </c>
      <c r="BA94">
        <f t="array" ref="BA94">IFERROR(VLOOKUP(BA$5&amp;$AV94,CHOOSE({1,2},D_技能表CD!$C$2:$C$313&amp;D_技能表CD!$E$2:$E$313,D_技能表CD!$I$2:$I$313),2,FALSE),0)</f>
        <v>0</v>
      </c>
      <c r="BB94">
        <f t="array" aca="1" ref="BB94" ca="1">IFERROR(VLOOKUP(BA$5&amp;$AV94,CHOOSE({1,2},D_技能表CD!$C$2:$C$313&amp;D_技能表CD!$E$2:$E$313,D_技能表CD!$H$2:$H$313),2,FALSE),0)</f>
        <v>0</v>
      </c>
      <c r="BC94">
        <f t="array" aca="1" ref="BC94" ca="1">IFERROR(VLOOKUP(BA$5&amp;$AV94,CHOOSE({1,2},D_技能表CD!$C$2:$C$313&amp;D_技能表CD!$E$2:$E$313,D_技能表CD!$L$2:$L$313),2,FALSE),0)</f>
        <v>0</v>
      </c>
      <c r="BD94">
        <f t="array" aca="1" ref="BD94" ca="1">IFERROR(VLOOKUP(BA$5&amp;$AV94,CHOOSE({1,2},D_技能表CD!$C$2:$C$313&amp;D_技能表CD!$E$2:$E$313,D_技能表CD!$K$2:$K$313),2,FALSE),0)</f>
        <v>0</v>
      </c>
      <c r="BE94">
        <f t="array" ref="BE94">IFERROR(VLOOKUP(BE$5&amp;$AV94,CHOOSE({1,2},D_技能表CD!$C$2:$C$313&amp;D_技能表CD!$E$2:$E$313,D_技能表CD!$I$2:$I$313),2,FALSE),0)</f>
        <v>0</v>
      </c>
      <c r="BF94">
        <f t="array" aca="1" ref="BF94" ca="1">IFERROR(VLOOKUP(BE$5&amp;$AV94,CHOOSE({1,2},D_技能表CD!$C$2:$C$313&amp;D_技能表CD!$E$2:$E$313,D_技能表CD!$H$2:$H$313),2,FALSE),0)</f>
        <v>0</v>
      </c>
      <c r="BG94">
        <f t="array" aca="1" ref="BG94" ca="1">IFERROR(VLOOKUP(BE$5&amp;$AV94,CHOOSE({1,2},D_技能表CD!$C$2:$C$313&amp;D_技能表CD!$E$2:$E$313,D_技能表CD!$L$2:$L$313),2,FALSE),0)</f>
        <v>0</v>
      </c>
      <c r="BH94">
        <f t="array" aca="1" ref="BH94" ca="1">IFERROR(VLOOKUP(BE$5&amp;$AV94,CHOOSE({1,2},D_技能表CD!$C$2:$C$313&amp;D_技能表CD!$E$2:$E$313,D_技能表CD!$K$2:$K$313),2,FALSE),0)</f>
        <v>0</v>
      </c>
      <c r="BI94">
        <f t="array" ref="BI94">IFERROR(VLOOKUP(BI$5&amp;$AV94,CHOOSE({1,2},D_技能表CD!$C$2:$C$313&amp;D_技能表CD!$E$2:$E$313,D_技能表CD!$I$2:$I$313),2,FALSE),0)</f>
        <v>0</v>
      </c>
      <c r="BJ94">
        <f t="array" aca="1" ref="BJ94" ca="1">IFERROR(VLOOKUP(BI$5&amp;$AV94,CHOOSE({1,2},D_技能表CD!$C$2:$C$313&amp;D_技能表CD!$E$2:$E$313,D_技能表CD!$H$2:$H$313),2,FALSE),0)</f>
        <v>0</v>
      </c>
      <c r="BK94">
        <f t="array" aca="1" ref="BK94" ca="1">IFERROR(VLOOKUP(BI$5&amp;$AV94,CHOOSE({1,2},D_技能表CD!$C$2:$C$313&amp;D_技能表CD!$E$2:$E$313,D_技能表CD!$L$2:$L$313),2,FALSE),0)</f>
        <v>0</v>
      </c>
      <c r="BL94">
        <f t="array" aca="1" ref="BL94" ca="1">IFERROR(VLOOKUP(BI$5&amp;$AV94,CHOOSE({1,2},D_技能表CD!$C$2:$C$313&amp;D_技能表CD!$E$2:$E$313,D_技能表CD!$K$2:$K$313),2,FALSE),0)</f>
        <v>0</v>
      </c>
    </row>
    <row r="95" spans="1:64" x14ac:dyDescent="0.15">
      <c r="A95">
        <f t="shared" ca="1" si="2"/>
        <v>60615598</v>
      </c>
      <c r="B95" s="34">
        <f ca="1">SUM($E$7:E95,$I$7:I95,$M$7:M95,$Q$7:Q95,$U$7:U95,$Y$7:Y95,$AC$7:AC95,$AG$7:AG95,$AK$7:AK95,$AO$7:AO95)</f>
        <v>55049248</v>
      </c>
      <c r="C95">
        <v>89</v>
      </c>
      <c r="D95">
        <f t="array" aca="1" ref="D95" ca="1">IFERROR(VLOOKUP($D$5&amp;C95,CHOOSE({1,2},D_技能表!$C$2:$C$1210&amp;D_技能表!$E$2:$E$1210,D_技能表!$I$2:$I$1210),2,FALSE),0)</f>
        <v>0</v>
      </c>
      <c r="E95">
        <f t="array" aca="1" ref="E95" ca="1">IFERROR(VLOOKUP($D$5&amp;$C95,CHOOSE({1,2},D_技能表!$C$2:$C$1210&amp;D_技能表!$E$2:$E$1210,D_技能表!$N$2:$N$1210),2,FALSE),0)</f>
        <v>0</v>
      </c>
      <c r="F95">
        <f t="array" aca="1" ref="F95" ca="1">IFERROR(VLOOKUP($D$5&amp;$C95,CHOOSE({1,2},D_技能表!$C$2:$C$1210&amp;D_技能表!$E$2:$E$1210,D_技能表!$W$2:$W$1210),2,FALSE),0)</f>
        <v>0</v>
      </c>
      <c r="G95">
        <f t="array" aca="1" ref="G95" ca="1">IFERROR(VLOOKUP($D$5&amp;$C95,CHOOSE({1,2},D_技能表!$C$2:$C$1210&amp;D_技能表!$E$2:$E$1210,D_技能表!$Z$2:$Z$1210),2,FALSE),0)</f>
        <v>0</v>
      </c>
      <c r="H95">
        <f t="array" aca="1" ref="H95" ca="1">IFERROR(VLOOKUP($H$5&amp;$C95,CHOOSE({1,2},D_技能表!$C$2:$C$1210&amp;D_技能表!$E$2:$E$1210,D_技能表!$I$2:$I$1210),2,FALSE),0)</f>
        <v>0</v>
      </c>
      <c r="I95">
        <f t="array" aca="1" ref="I95" ca="1">IFERROR(VLOOKUP($H$5&amp;$C95,CHOOSE({1,2},D_技能表!$C$2:$C$1210&amp;D_技能表!$E$2:$E$1210,D_技能表!$N$2:$N$1210),2,FALSE),0)</f>
        <v>0</v>
      </c>
      <c r="J95">
        <f t="array" aca="1" ref="J95" ca="1">IFERROR(VLOOKUP($H$5&amp;$C95,CHOOSE({1,2},D_技能表!$C$2:$C$1210&amp;D_技能表!$E$2:$E$1210,D_技能表!$W$2:$W$1210),2,FALSE),0)</f>
        <v>0</v>
      </c>
      <c r="K95">
        <f t="array" aca="1" ref="K95" ca="1">IFERROR(VLOOKUP($H$5&amp;$C95,CHOOSE({1,2},D_技能表!$C$2:$C$1210&amp;D_技能表!$E$2:$E$1210,D_技能表!$Z$2:$Z$1210),2,FALSE),0)</f>
        <v>0</v>
      </c>
      <c r="L95">
        <f t="array" aca="1" ref="L95" ca="1">IFERROR(VLOOKUP($L$5&amp;$C95,CHOOSE({1,2},D_技能表!$C$2:$C$1210&amp;D_技能表!$E$2:$E$1210,D_技能表!$I$2:$I$1210),2,FALSE),0)</f>
        <v>0</v>
      </c>
      <c r="M95">
        <f t="array" aca="1" ref="M95" ca="1">IFERROR(VLOOKUP($L$5&amp;$C95,CHOOSE({1,2},D_技能表!$C$2:$C$1210&amp;D_技能表!$E$2:$E$1210,D_技能表!$N$2:$N$1210),2,FALSE),0)</f>
        <v>0</v>
      </c>
      <c r="N95">
        <f t="array" aca="1" ref="N95" ca="1">IFERROR(VLOOKUP($L$5&amp;$C95,CHOOSE({1,2},D_技能表!$C$2:$C$1210&amp;D_技能表!$E$2:$E$1210,D_技能表!$W$2:$W$1210),2,FALSE),0)</f>
        <v>0</v>
      </c>
      <c r="O95">
        <f t="array" aca="1" ref="O95" ca="1">IFERROR(VLOOKUP($L$5&amp;$C95,CHOOSE({1,2},D_技能表!$C$2:$C$1210&amp;D_技能表!$E$2:$E$1210,D_技能表!$Z$2:$Z$1210),2,FALSE),0)</f>
        <v>0</v>
      </c>
      <c r="P95">
        <f t="array" aca="1" ref="P95" ca="1">IFERROR(VLOOKUP($P$5&amp;$C95,CHOOSE({1,2},D_技能表!$C$2:$C$1210&amp;D_技能表!$E$2:$E$1210,D_技能表!$I$2:$I$1210),2,FALSE),0)</f>
        <v>0</v>
      </c>
      <c r="Q95">
        <f t="array" aca="1" ref="Q95" ca="1">IFERROR(VLOOKUP($P$5&amp;$C95,CHOOSE({1,2},D_技能表!$C$2:$C$1210&amp;D_技能表!$E$2:$E$1210,D_技能表!$N$2:$N$1210),2,FALSE),0)</f>
        <v>0</v>
      </c>
      <c r="R95">
        <f t="array" aca="1" ref="R95" ca="1">IFERROR(VLOOKUP($P$5&amp;$C95,CHOOSE({1,2},D_技能表!$C$2:$C$1210&amp;D_技能表!$E$2:$E$1210,D_技能表!$W$2:$W$1210),2,FALSE),0)</f>
        <v>0</v>
      </c>
      <c r="S95">
        <f t="array" aca="1" ref="S95" ca="1">IFERROR(VLOOKUP($P$5&amp;$C95,CHOOSE({1,2},D_技能表!$C$2:$C$1210&amp;D_技能表!$E$2:$E$1210,D_技能表!$Z$2:$Z$1210),2,FALSE),0)</f>
        <v>0</v>
      </c>
      <c r="T95">
        <f t="array" aca="1" ref="T95" ca="1">IFERROR(VLOOKUP($T$5&amp;$C95,CHOOSE({1,2},D_技能表!$C$2:$C$1210&amp;D_技能表!$E$2:$E$1210,D_技能表!$I$2:$I$1210),2,FALSE),0)</f>
        <v>0</v>
      </c>
      <c r="U95">
        <f t="array" aca="1" ref="U95" ca="1">IFERROR(VLOOKUP($T$5&amp;$C95,CHOOSE({1,2},D_技能表!$C$2:$C$1210&amp;D_技能表!$E$2:$E$1210,D_技能表!$N$2:$N$1210),2,FALSE),0)</f>
        <v>0</v>
      </c>
      <c r="V95">
        <f t="array" aca="1" ref="V95" ca="1">IFERROR(VLOOKUP($T$5&amp;$C95,CHOOSE({1,2},D_技能表!$C$2:$C$1210&amp;D_技能表!$E$2:$E$1210,D_技能表!$W$2:$W$1210),2,FALSE),0)</f>
        <v>0</v>
      </c>
      <c r="W95">
        <f t="array" aca="1" ref="W95" ca="1">IFERROR(VLOOKUP($T$5&amp;$C95,CHOOSE({1,2},D_技能表!$C$2:$C$1210&amp;D_技能表!$E$2:$E$1210,D_技能表!$Z$2:$Z$1210),2,FALSE),0)</f>
        <v>0</v>
      </c>
      <c r="X95">
        <f t="array" aca="1" ref="X95" ca="1">IFERROR(VLOOKUP($X$5&amp;$C95,CHOOSE({1,2},D_技能表!$C$2:$C$1210&amp;D_技能表!$E$2:$E$1210,D_技能表!$I$2:$I$1210),2,FALSE),0)</f>
        <v>0</v>
      </c>
      <c r="Y95">
        <f t="array" aca="1" ref="Y95" ca="1">IFERROR(VLOOKUP($X$5&amp;$C95,CHOOSE({1,2},D_技能表!$C$2:$C$1210&amp;D_技能表!$E$2:$E$1210,D_技能表!$N$2:$N$1210),2,FALSE),0)</f>
        <v>0</v>
      </c>
      <c r="Z95">
        <f t="array" aca="1" ref="Z95" ca="1">IFERROR(VLOOKUP($X$5&amp;$C95,CHOOSE({1,2},D_技能表!$C$2:$C$1210&amp;D_技能表!$E$2:$E$1210,D_技能表!$W$2:$W$1210),2,FALSE),0)</f>
        <v>0</v>
      </c>
      <c r="AA95">
        <f t="array" aca="1" ref="AA95" ca="1">IFERROR(VLOOKUP($X$5&amp;$C95,CHOOSE({1,2},D_技能表!$C$2:$C$1210&amp;D_技能表!$E$2:$E$1210,D_技能表!$Z$2:$Z$1210),2,FALSE),0)</f>
        <v>0</v>
      </c>
      <c r="AB95">
        <f t="array" aca="1" ref="AB95" ca="1">IFERROR(VLOOKUP($AB$5&amp;$C95,CHOOSE({1,2},D_技能表!$C$2:$C$1210&amp;D_技能表!$E$2:$E$1210,D_技能表!$I$2:$I$1210),2,FALSE),0)</f>
        <v>0</v>
      </c>
      <c r="AC95">
        <f t="array" aca="1" ref="AC95" ca="1">IFERROR(VLOOKUP($AB$5&amp;$C95,CHOOSE({1,2},D_技能表!$C$2:$C$1210&amp;D_技能表!$E$2:$E$1210,D_技能表!$N$2:$N$1210),2,FALSE),0)</f>
        <v>0</v>
      </c>
      <c r="AD95">
        <f t="array" aca="1" ref="AD95" ca="1">IFERROR(VLOOKUP($AB$5&amp;$C95,CHOOSE({1,2},D_技能表!$C$2:$C$1210&amp;D_技能表!$E$2:$E$1210,D_技能表!$W$2:$W$1210),2,FALSE),0)</f>
        <v>0</v>
      </c>
      <c r="AE95">
        <f t="array" aca="1" ref="AE95" ca="1">IFERROR(VLOOKUP($AB$5&amp;$C95,CHOOSE({1,2},D_技能表!$C$2:$C$1210&amp;D_技能表!$E$2:$E$1210,D_技能表!$Z$2:$Z$1210),2,FALSE),0)</f>
        <v>0</v>
      </c>
      <c r="AF95">
        <f t="array" aca="1" ref="AF95" ca="1">IFERROR(VLOOKUP($AF$5&amp;$C95,CHOOSE({1,2},D_技能表!$C$2:$C$1210&amp;D_技能表!$E$2:$E$1210,D_技能表!$I$2:$I$1210),2,FALSE),0)</f>
        <v>0</v>
      </c>
      <c r="AG95">
        <f t="array" aca="1" ref="AG95" ca="1">IFERROR(VLOOKUP($AF$5&amp;$C95,CHOOSE({1,2},D_技能表!$C$2:$C$1210&amp;D_技能表!$E$2:$E$1210,D_技能表!$N$2:$N$1210),2,FALSE),0)</f>
        <v>0</v>
      </c>
      <c r="AH95">
        <f t="array" aca="1" ref="AH95" ca="1">IFERROR(VLOOKUP($AF$5&amp;$C95,CHOOSE({1,2},D_技能表!$C$2:$C$1210&amp;D_技能表!$E$2:$E$1210,D_技能表!$W$2:$W$1210),2,FALSE),0)</f>
        <v>0</v>
      </c>
      <c r="AI95">
        <f t="array" aca="1" ref="AI95" ca="1">IFERROR(VLOOKUP($AF$5&amp;$C95,CHOOSE({1,2},D_技能表!$C$2:$C$1210&amp;D_技能表!$E$2:$E$1210,D_技能表!$Z$2:$Z$1210),2,FALSE),0)</f>
        <v>0</v>
      </c>
      <c r="AJ95">
        <f t="array" aca="1" ref="AJ95" ca="1">IFERROR(VLOOKUP($AJ$5&amp;$C95,CHOOSE({1,2},D_技能表!$C$2:$C$1210&amp;D_技能表!$E$2:$E$1210,D_技能表!$I$2:$I$1210),2,FALSE),0)</f>
        <v>0</v>
      </c>
      <c r="AK95">
        <f t="array" aca="1" ref="AK95" ca="1">IFERROR(VLOOKUP($AJ$5&amp;$C95,CHOOSE({1,2},D_技能表!$C$2:$C$1210&amp;D_技能表!$E$2:$E$1210,D_技能表!$N$2:$N$1210),2,FALSE),0)</f>
        <v>0</v>
      </c>
      <c r="AL95">
        <f t="array" aca="1" ref="AL95" ca="1">IFERROR(VLOOKUP($AJ$5&amp;$C95,CHOOSE({1,2},D_技能表!$C$2:$C$1210&amp;D_技能表!$E$2:$E$1210,D_技能表!$W$2:$W$1210),2,FALSE),0)</f>
        <v>0</v>
      </c>
      <c r="AM95">
        <f t="array" aca="1" ref="AM95" ca="1">IFERROR(VLOOKUP($AJ$5&amp;$C95,CHOOSE({1,2},D_技能表!$C$2:$C$1210&amp;D_技能表!$E$2:$E$1210,D_技能表!$Z$2:$Z$1210),2,FALSE),0)</f>
        <v>0</v>
      </c>
      <c r="AN95">
        <f t="array" aca="1" ref="AN95" ca="1">IFERROR(VLOOKUP($AN$5&amp;$C95,CHOOSE({1,2},D_技能表!$C$2:$C$1210&amp;D_技能表!$E$2:$E$1210,D_技能表!$I$2:$I$1210),2,FALSE),0)</f>
        <v>0</v>
      </c>
      <c r="AO95">
        <f t="array" aca="1" ref="AO95" ca="1">IFERROR(VLOOKUP($AN$5&amp;$C95,CHOOSE({1,2},D_技能表!$C$2:$C$1210&amp;D_技能表!$E$2:$E$1210,D_技能表!$N$2:$N$1210),2,FALSE),0)</f>
        <v>0</v>
      </c>
      <c r="AP95">
        <f t="array" aca="1" ref="AP95" ca="1">IFERROR(VLOOKUP($AN$5&amp;$C95,CHOOSE({1,2},D_技能表!$C$2:$C$1210&amp;D_技能表!$E$2:$E$1210,D_技能表!$W$2:$W$1210),2,FALSE),0)</f>
        <v>0</v>
      </c>
      <c r="AQ95">
        <f t="array" aca="1" ref="AQ95" ca="1">IFERROR(VLOOKUP($AN$5&amp;$C95,CHOOSE({1,2},D_技能表!$C$2:$C$1210&amp;D_技能表!$E$2:$E$1210,D_技能表!$Z$2:$Z$1210),2,FALSE),0)</f>
        <v>0</v>
      </c>
      <c r="AR95" s="11">
        <f ca="1">SUM($G$7:G96,$K$7:K96,$O$7:O96,$S$7:S96,$W$7:W96,$AA$7:AA96,$AE$7:AE96,$AI$7:AI96,$AM$7:AM96,$AQ$7:AQ96)</f>
        <v>7724</v>
      </c>
      <c r="AS95">
        <f ca="1">SUM($F$7:F96,$J$7:J96,$N$7:N96,$R$7:R96,$V$7:V96,$Z$7:Z96,$AD$7:AD96,$AH$7:AH96,$AL$7:AL96,$AP$7:AP96)</f>
        <v>20474</v>
      </c>
      <c r="AT95">
        <f t="shared" ca="1" si="3"/>
        <v>0</v>
      </c>
      <c r="AU95" s="33">
        <f ca="1">SUM($AX$7:AX95,$BB$7:BB95,$BF$7:BF95,$BJ$7:BJ95)</f>
        <v>5566350</v>
      </c>
      <c r="AV95">
        <v>89</v>
      </c>
      <c r="AW95">
        <f t="array" ref="AW95">IFERROR(VLOOKUP(AW$5&amp;$AV95,CHOOSE({1,2},D_技能表CD!$C$2:$C$313&amp;D_技能表CD!$E$2:$E$313,D_技能表CD!$I$2:$I$313),2,FALSE),0)</f>
        <v>0</v>
      </c>
      <c r="AX95">
        <f t="array" aca="1" ref="AX95" ca="1">IFERROR(VLOOKUP(AW$5&amp;$AV95,CHOOSE({1,2},D_技能表CD!$C$2:$C$313&amp;D_技能表CD!$E$2:$E$313,D_技能表CD!$H$2:$H$313),2,FALSE),0)</f>
        <v>0</v>
      </c>
      <c r="AY95">
        <f t="array" aca="1" ref="AY95" ca="1">IFERROR(VLOOKUP(AW$5&amp;$AV95,CHOOSE({1,2},D_技能表CD!$C$2:$C$313&amp;D_技能表CD!$E$2:$E$313,D_技能表CD!$L$2:$L$313),2,FALSE),0)</f>
        <v>0</v>
      </c>
      <c r="AZ95">
        <f t="array" aca="1" ref="AZ95" ca="1">IFERROR(VLOOKUP(AW$5&amp;$AV95,CHOOSE({1,2},D_技能表CD!$C$2:$C$313&amp;D_技能表CD!$E$2:$E$313,D_技能表CD!$K$2:$K$313),2,FALSE),0)</f>
        <v>0</v>
      </c>
      <c r="BA95">
        <f t="array" ref="BA95">IFERROR(VLOOKUP(BA$5&amp;$AV95,CHOOSE({1,2},D_技能表CD!$C$2:$C$313&amp;D_技能表CD!$E$2:$E$313,D_技能表CD!$I$2:$I$313),2,FALSE),0)</f>
        <v>0</v>
      </c>
      <c r="BB95">
        <f t="array" aca="1" ref="BB95" ca="1">IFERROR(VLOOKUP(BA$5&amp;$AV95,CHOOSE({1,2},D_技能表CD!$C$2:$C$313&amp;D_技能表CD!$E$2:$E$313,D_技能表CD!$H$2:$H$313),2,FALSE),0)</f>
        <v>0</v>
      </c>
      <c r="BC95">
        <f t="array" aca="1" ref="BC95" ca="1">IFERROR(VLOOKUP(BA$5&amp;$AV95,CHOOSE({1,2},D_技能表CD!$C$2:$C$313&amp;D_技能表CD!$E$2:$E$313,D_技能表CD!$L$2:$L$313),2,FALSE),0)</f>
        <v>0</v>
      </c>
      <c r="BD95">
        <f t="array" aca="1" ref="BD95" ca="1">IFERROR(VLOOKUP(BA$5&amp;$AV95,CHOOSE({1,2},D_技能表CD!$C$2:$C$313&amp;D_技能表CD!$E$2:$E$313,D_技能表CD!$K$2:$K$313),2,FALSE),0)</f>
        <v>0</v>
      </c>
      <c r="BE95">
        <f t="array" ref="BE95">IFERROR(VLOOKUP(BE$5&amp;$AV95,CHOOSE({1,2},D_技能表CD!$C$2:$C$313&amp;D_技能表CD!$E$2:$E$313,D_技能表CD!$I$2:$I$313),2,FALSE),0)</f>
        <v>0</v>
      </c>
      <c r="BF95">
        <f t="array" aca="1" ref="BF95" ca="1">IFERROR(VLOOKUP(BE$5&amp;$AV95,CHOOSE({1,2},D_技能表CD!$C$2:$C$313&amp;D_技能表CD!$E$2:$E$313,D_技能表CD!$H$2:$H$313),2,FALSE),0)</f>
        <v>0</v>
      </c>
      <c r="BG95">
        <f t="array" aca="1" ref="BG95" ca="1">IFERROR(VLOOKUP(BE$5&amp;$AV95,CHOOSE({1,2},D_技能表CD!$C$2:$C$313&amp;D_技能表CD!$E$2:$E$313,D_技能表CD!$L$2:$L$313),2,FALSE),0)</f>
        <v>0</v>
      </c>
      <c r="BH95">
        <f t="array" aca="1" ref="BH95" ca="1">IFERROR(VLOOKUP(BE$5&amp;$AV95,CHOOSE({1,2},D_技能表CD!$C$2:$C$313&amp;D_技能表CD!$E$2:$E$313,D_技能表CD!$K$2:$K$313),2,FALSE),0)</f>
        <v>0</v>
      </c>
      <c r="BI95">
        <f t="array" ref="BI95">IFERROR(VLOOKUP(BI$5&amp;$AV95,CHOOSE({1,2},D_技能表CD!$C$2:$C$313&amp;D_技能表CD!$E$2:$E$313,D_技能表CD!$I$2:$I$313),2,FALSE),0)</f>
        <v>0</v>
      </c>
      <c r="BJ95">
        <f t="array" aca="1" ref="BJ95" ca="1">IFERROR(VLOOKUP(BI$5&amp;$AV95,CHOOSE({1,2},D_技能表CD!$C$2:$C$313&amp;D_技能表CD!$E$2:$E$313,D_技能表CD!$H$2:$H$313),2,FALSE),0)</f>
        <v>0</v>
      </c>
      <c r="BK95">
        <f t="array" aca="1" ref="BK95" ca="1">IFERROR(VLOOKUP(BI$5&amp;$AV95,CHOOSE({1,2},D_技能表CD!$C$2:$C$313&amp;D_技能表CD!$E$2:$E$313,D_技能表CD!$L$2:$L$313),2,FALSE),0)</f>
        <v>0</v>
      </c>
      <c r="BL95">
        <f t="array" aca="1" ref="BL95" ca="1">IFERROR(VLOOKUP(BI$5&amp;$AV95,CHOOSE({1,2},D_技能表CD!$C$2:$C$313&amp;D_技能表CD!$E$2:$E$313,D_技能表CD!$K$2:$K$313),2,FALSE),0)</f>
        <v>0</v>
      </c>
    </row>
    <row r="96" spans="1:64" x14ac:dyDescent="0.15">
      <c r="A96">
        <f t="shared" ca="1" si="2"/>
        <v>60615598</v>
      </c>
      <c r="B96" s="34">
        <f ca="1">SUM($E$7:E96,$I$7:I96,$M$7:M96,$Q$7:Q96,$U$7:U96,$Y$7:Y96,$AC$7:AC96,$AG$7:AG96,$AK$7:AK96,$AO$7:AO96)</f>
        <v>55049248</v>
      </c>
      <c r="C96">
        <v>90</v>
      </c>
      <c r="D96">
        <f t="array" aca="1" ref="D96" ca="1">IFERROR(VLOOKUP($D$5&amp;C96,CHOOSE({1,2},D_技能表!$C$2:$C$1210&amp;D_技能表!$E$2:$E$1210,D_技能表!$I$2:$I$1210),2,FALSE),0)</f>
        <v>0</v>
      </c>
      <c r="E96">
        <f t="array" aca="1" ref="E96" ca="1">IFERROR(VLOOKUP($D$5&amp;$C96,CHOOSE({1,2},D_技能表!$C$2:$C$1210&amp;D_技能表!$E$2:$E$1210,D_技能表!$N$2:$N$1210),2,FALSE),0)</f>
        <v>0</v>
      </c>
      <c r="F96">
        <f t="array" aca="1" ref="F96" ca="1">IFERROR(VLOOKUP($D$5&amp;$C96,CHOOSE({1,2},D_技能表!$C$2:$C$1210&amp;D_技能表!$E$2:$E$1210,D_技能表!$W$2:$W$1210),2,FALSE),0)</f>
        <v>0</v>
      </c>
      <c r="G96">
        <f t="array" aca="1" ref="G96" ca="1">IFERROR(VLOOKUP($D$5&amp;$C96,CHOOSE({1,2},D_技能表!$C$2:$C$1210&amp;D_技能表!$E$2:$E$1210,D_技能表!$Z$2:$Z$1210),2,FALSE),0)</f>
        <v>0</v>
      </c>
      <c r="H96">
        <f t="array" aca="1" ref="H96" ca="1">IFERROR(VLOOKUP($H$5&amp;$C96,CHOOSE({1,2},D_技能表!$C$2:$C$1210&amp;D_技能表!$E$2:$E$1210,D_技能表!$I$2:$I$1210),2,FALSE),0)</f>
        <v>0</v>
      </c>
      <c r="I96">
        <f t="array" aca="1" ref="I96" ca="1">IFERROR(VLOOKUP($H$5&amp;$C96,CHOOSE({1,2},D_技能表!$C$2:$C$1210&amp;D_技能表!$E$2:$E$1210,D_技能表!$N$2:$N$1210),2,FALSE),0)</f>
        <v>0</v>
      </c>
      <c r="J96">
        <f t="array" aca="1" ref="J96" ca="1">IFERROR(VLOOKUP($H$5&amp;$C96,CHOOSE({1,2},D_技能表!$C$2:$C$1210&amp;D_技能表!$E$2:$E$1210,D_技能表!$W$2:$W$1210),2,FALSE),0)</f>
        <v>0</v>
      </c>
      <c r="K96">
        <f t="array" aca="1" ref="K96" ca="1">IFERROR(VLOOKUP($H$5&amp;$C96,CHOOSE({1,2},D_技能表!$C$2:$C$1210&amp;D_技能表!$E$2:$E$1210,D_技能表!$Z$2:$Z$1210),2,FALSE),0)</f>
        <v>0</v>
      </c>
      <c r="L96">
        <f t="array" aca="1" ref="L96" ca="1">IFERROR(VLOOKUP($L$5&amp;$C96,CHOOSE({1,2},D_技能表!$C$2:$C$1210&amp;D_技能表!$E$2:$E$1210,D_技能表!$I$2:$I$1210),2,FALSE),0)</f>
        <v>0</v>
      </c>
      <c r="M96">
        <f t="array" aca="1" ref="M96" ca="1">IFERROR(VLOOKUP($L$5&amp;$C96,CHOOSE({1,2},D_技能表!$C$2:$C$1210&amp;D_技能表!$E$2:$E$1210,D_技能表!$N$2:$N$1210),2,FALSE),0)</f>
        <v>0</v>
      </c>
      <c r="N96">
        <f t="array" aca="1" ref="N96" ca="1">IFERROR(VLOOKUP($L$5&amp;$C96,CHOOSE({1,2},D_技能表!$C$2:$C$1210&amp;D_技能表!$E$2:$E$1210,D_技能表!$W$2:$W$1210),2,FALSE),0)</f>
        <v>0</v>
      </c>
      <c r="O96">
        <f t="array" aca="1" ref="O96" ca="1">IFERROR(VLOOKUP($L$5&amp;$C96,CHOOSE({1,2},D_技能表!$C$2:$C$1210&amp;D_技能表!$E$2:$E$1210,D_技能表!$Z$2:$Z$1210),2,FALSE),0)</f>
        <v>0</v>
      </c>
      <c r="P96">
        <f t="array" aca="1" ref="P96" ca="1">IFERROR(VLOOKUP($P$5&amp;$C96,CHOOSE({1,2},D_技能表!$C$2:$C$1210&amp;D_技能表!$E$2:$E$1210,D_技能表!$I$2:$I$1210),2,FALSE),0)</f>
        <v>0</v>
      </c>
      <c r="Q96">
        <f t="array" aca="1" ref="Q96" ca="1">IFERROR(VLOOKUP($P$5&amp;$C96,CHOOSE({1,2},D_技能表!$C$2:$C$1210&amp;D_技能表!$E$2:$E$1210,D_技能表!$N$2:$N$1210),2,FALSE),0)</f>
        <v>0</v>
      </c>
      <c r="R96">
        <f t="array" aca="1" ref="R96" ca="1">IFERROR(VLOOKUP($P$5&amp;$C96,CHOOSE({1,2},D_技能表!$C$2:$C$1210&amp;D_技能表!$E$2:$E$1210,D_技能表!$W$2:$W$1210),2,FALSE),0)</f>
        <v>0</v>
      </c>
      <c r="S96">
        <f t="array" aca="1" ref="S96" ca="1">IFERROR(VLOOKUP($P$5&amp;$C96,CHOOSE({1,2},D_技能表!$C$2:$C$1210&amp;D_技能表!$E$2:$E$1210,D_技能表!$Z$2:$Z$1210),2,FALSE),0)</f>
        <v>0</v>
      </c>
      <c r="T96">
        <f t="array" aca="1" ref="T96" ca="1">IFERROR(VLOOKUP($T$5&amp;$C96,CHOOSE({1,2},D_技能表!$C$2:$C$1210&amp;D_技能表!$E$2:$E$1210,D_技能表!$I$2:$I$1210),2,FALSE),0)</f>
        <v>0</v>
      </c>
      <c r="U96">
        <f t="array" aca="1" ref="U96" ca="1">IFERROR(VLOOKUP($T$5&amp;$C96,CHOOSE({1,2},D_技能表!$C$2:$C$1210&amp;D_技能表!$E$2:$E$1210,D_技能表!$N$2:$N$1210),2,FALSE),0)</f>
        <v>0</v>
      </c>
      <c r="V96">
        <f t="array" aca="1" ref="V96" ca="1">IFERROR(VLOOKUP($T$5&amp;$C96,CHOOSE({1,2},D_技能表!$C$2:$C$1210&amp;D_技能表!$E$2:$E$1210,D_技能表!$W$2:$W$1210),2,FALSE),0)</f>
        <v>0</v>
      </c>
      <c r="W96">
        <f t="array" aca="1" ref="W96" ca="1">IFERROR(VLOOKUP($T$5&amp;$C96,CHOOSE({1,2},D_技能表!$C$2:$C$1210&amp;D_技能表!$E$2:$E$1210,D_技能表!$Z$2:$Z$1210),2,FALSE),0)</f>
        <v>0</v>
      </c>
      <c r="X96">
        <f t="array" aca="1" ref="X96" ca="1">IFERROR(VLOOKUP($X$5&amp;$C96,CHOOSE({1,2},D_技能表!$C$2:$C$1210&amp;D_技能表!$E$2:$E$1210,D_技能表!$I$2:$I$1210),2,FALSE),0)</f>
        <v>0</v>
      </c>
      <c r="Y96">
        <f t="array" aca="1" ref="Y96" ca="1">IFERROR(VLOOKUP($X$5&amp;$C96,CHOOSE({1,2},D_技能表!$C$2:$C$1210&amp;D_技能表!$E$2:$E$1210,D_技能表!$N$2:$N$1210),2,FALSE),0)</f>
        <v>0</v>
      </c>
      <c r="Z96">
        <f t="array" aca="1" ref="Z96" ca="1">IFERROR(VLOOKUP($X$5&amp;$C96,CHOOSE({1,2},D_技能表!$C$2:$C$1210&amp;D_技能表!$E$2:$E$1210,D_技能表!$W$2:$W$1210),2,FALSE),0)</f>
        <v>0</v>
      </c>
      <c r="AA96">
        <f t="array" aca="1" ref="AA96" ca="1">IFERROR(VLOOKUP($X$5&amp;$C96,CHOOSE({1,2},D_技能表!$C$2:$C$1210&amp;D_技能表!$E$2:$E$1210,D_技能表!$Z$2:$Z$1210),2,FALSE),0)</f>
        <v>0</v>
      </c>
      <c r="AB96">
        <f t="array" aca="1" ref="AB96" ca="1">IFERROR(VLOOKUP($AB$5&amp;$C96,CHOOSE({1,2},D_技能表!$C$2:$C$1210&amp;D_技能表!$E$2:$E$1210,D_技能表!$I$2:$I$1210),2,FALSE),0)</f>
        <v>0</v>
      </c>
      <c r="AC96">
        <f t="array" aca="1" ref="AC96" ca="1">IFERROR(VLOOKUP($AB$5&amp;$C96,CHOOSE({1,2},D_技能表!$C$2:$C$1210&amp;D_技能表!$E$2:$E$1210,D_技能表!$N$2:$N$1210),2,FALSE),0)</f>
        <v>0</v>
      </c>
      <c r="AD96">
        <f t="array" aca="1" ref="AD96" ca="1">IFERROR(VLOOKUP($AB$5&amp;$C96,CHOOSE({1,2},D_技能表!$C$2:$C$1210&amp;D_技能表!$E$2:$E$1210,D_技能表!$W$2:$W$1210),2,FALSE),0)</f>
        <v>0</v>
      </c>
      <c r="AE96">
        <f t="array" aca="1" ref="AE96" ca="1">IFERROR(VLOOKUP($AB$5&amp;$C96,CHOOSE({1,2},D_技能表!$C$2:$C$1210&amp;D_技能表!$E$2:$E$1210,D_技能表!$Z$2:$Z$1210),2,FALSE),0)</f>
        <v>0</v>
      </c>
      <c r="AF96">
        <f t="array" aca="1" ref="AF96" ca="1">IFERROR(VLOOKUP($AF$5&amp;$C96,CHOOSE({1,2},D_技能表!$C$2:$C$1210&amp;D_技能表!$E$2:$E$1210,D_技能表!$I$2:$I$1210),2,FALSE),0)</f>
        <v>0</v>
      </c>
      <c r="AG96">
        <f t="array" aca="1" ref="AG96" ca="1">IFERROR(VLOOKUP($AF$5&amp;$C96,CHOOSE({1,2},D_技能表!$C$2:$C$1210&amp;D_技能表!$E$2:$E$1210,D_技能表!$N$2:$N$1210),2,FALSE),0)</f>
        <v>0</v>
      </c>
      <c r="AH96">
        <f t="array" aca="1" ref="AH96" ca="1">IFERROR(VLOOKUP($AF$5&amp;$C96,CHOOSE({1,2},D_技能表!$C$2:$C$1210&amp;D_技能表!$E$2:$E$1210,D_技能表!$W$2:$W$1210),2,FALSE),0)</f>
        <v>0</v>
      </c>
      <c r="AI96">
        <f t="array" aca="1" ref="AI96" ca="1">IFERROR(VLOOKUP($AF$5&amp;$C96,CHOOSE({1,2},D_技能表!$C$2:$C$1210&amp;D_技能表!$E$2:$E$1210,D_技能表!$Z$2:$Z$1210),2,FALSE),0)</f>
        <v>0</v>
      </c>
      <c r="AJ96">
        <f t="array" aca="1" ref="AJ96" ca="1">IFERROR(VLOOKUP($AJ$5&amp;$C96,CHOOSE({1,2},D_技能表!$C$2:$C$1210&amp;D_技能表!$E$2:$E$1210,D_技能表!$I$2:$I$1210),2,FALSE),0)</f>
        <v>0</v>
      </c>
      <c r="AK96">
        <f t="array" aca="1" ref="AK96" ca="1">IFERROR(VLOOKUP($AJ$5&amp;$C96,CHOOSE({1,2},D_技能表!$C$2:$C$1210&amp;D_技能表!$E$2:$E$1210,D_技能表!$N$2:$N$1210),2,FALSE),0)</f>
        <v>0</v>
      </c>
      <c r="AL96">
        <f t="array" aca="1" ref="AL96" ca="1">IFERROR(VLOOKUP($AJ$5&amp;$C96,CHOOSE({1,2},D_技能表!$C$2:$C$1210&amp;D_技能表!$E$2:$E$1210,D_技能表!$W$2:$W$1210),2,FALSE),0)</f>
        <v>0</v>
      </c>
      <c r="AM96">
        <f t="array" aca="1" ref="AM96" ca="1">IFERROR(VLOOKUP($AJ$5&amp;$C96,CHOOSE({1,2},D_技能表!$C$2:$C$1210&amp;D_技能表!$E$2:$E$1210,D_技能表!$Z$2:$Z$1210),2,FALSE),0)</f>
        <v>0</v>
      </c>
      <c r="AN96">
        <f t="array" aca="1" ref="AN96" ca="1">IFERROR(VLOOKUP($AN$5&amp;$C96,CHOOSE({1,2},D_技能表!$C$2:$C$1210&amp;D_技能表!$E$2:$E$1210,D_技能表!$I$2:$I$1210),2,FALSE),0)</f>
        <v>0</v>
      </c>
      <c r="AO96">
        <f t="array" aca="1" ref="AO96" ca="1">IFERROR(VLOOKUP($AN$5&amp;$C96,CHOOSE({1,2},D_技能表!$C$2:$C$1210&amp;D_技能表!$E$2:$E$1210,D_技能表!$N$2:$N$1210),2,FALSE),0)</f>
        <v>0</v>
      </c>
      <c r="AP96">
        <f t="array" aca="1" ref="AP96" ca="1">IFERROR(VLOOKUP($AN$5&amp;$C96,CHOOSE({1,2},D_技能表!$C$2:$C$1210&amp;D_技能表!$E$2:$E$1210,D_技能表!$W$2:$W$1210),2,FALSE),0)</f>
        <v>0</v>
      </c>
      <c r="AQ96">
        <f t="array" aca="1" ref="AQ96" ca="1">IFERROR(VLOOKUP($AN$5&amp;$C96,CHOOSE({1,2},D_技能表!$C$2:$C$1210&amp;D_技能表!$E$2:$E$1210,D_技能表!$Z$2:$Z$1210),2,FALSE),0)</f>
        <v>0</v>
      </c>
      <c r="AR96" s="11">
        <f ca="1">SUM($G$7:G97,$K$7:K97,$O$7:O97,$S$7:S97,$W$7:W97,$AA$7:AA97,$AE$7:AE97,$AI$7:AI97,$AM$7:AM97,$AQ$7:AQ97)</f>
        <v>7724</v>
      </c>
      <c r="AS96">
        <f ca="1">SUM($F$7:F97,$J$7:J97,$N$7:N97,$R$7:R97,$V$7:V97,$Z$7:Z97,$AD$7:AD97,$AH$7:AH97,$AL$7:AL97,$AP$7:AP97)</f>
        <v>20474</v>
      </c>
      <c r="AT96">
        <f t="shared" ca="1" si="3"/>
        <v>0</v>
      </c>
      <c r="AU96" s="33">
        <f ca="1">SUM($AX$7:AX96,$BB$7:BB96,$BF$7:BF96,$BJ$7:BJ96)</f>
        <v>5566350</v>
      </c>
      <c r="AV96">
        <v>90</v>
      </c>
      <c r="AW96">
        <f t="array" ref="AW96">IFERROR(VLOOKUP(AW$5&amp;$AV96,CHOOSE({1,2},D_技能表CD!$C$2:$C$313&amp;D_技能表CD!$E$2:$E$313,D_技能表CD!$I$2:$I$313),2,FALSE),0)</f>
        <v>0</v>
      </c>
      <c r="AX96">
        <f t="array" aca="1" ref="AX96" ca="1">IFERROR(VLOOKUP(AW$5&amp;$AV96,CHOOSE({1,2},D_技能表CD!$C$2:$C$313&amp;D_技能表CD!$E$2:$E$313,D_技能表CD!$H$2:$H$313),2,FALSE),0)</f>
        <v>0</v>
      </c>
      <c r="AY96">
        <f t="array" aca="1" ref="AY96" ca="1">IFERROR(VLOOKUP(AW$5&amp;$AV96,CHOOSE({1,2},D_技能表CD!$C$2:$C$313&amp;D_技能表CD!$E$2:$E$313,D_技能表CD!$L$2:$L$313),2,FALSE),0)</f>
        <v>0</v>
      </c>
      <c r="AZ96">
        <f t="array" aca="1" ref="AZ96" ca="1">IFERROR(VLOOKUP(AW$5&amp;$AV96,CHOOSE({1,2},D_技能表CD!$C$2:$C$313&amp;D_技能表CD!$E$2:$E$313,D_技能表CD!$K$2:$K$313),2,FALSE),0)</f>
        <v>0</v>
      </c>
      <c r="BA96">
        <f t="array" ref="BA96">IFERROR(VLOOKUP(BA$5&amp;$AV96,CHOOSE({1,2},D_技能表CD!$C$2:$C$313&amp;D_技能表CD!$E$2:$E$313,D_技能表CD!$I$2:$I$313),2,FALSE),0)</f>
        <v>0</v>
      </c>
      <c r="BB96">
        <f t="array" aca="1" ref="BB96" ca="1">IFERROR(VLOOKUP(BA$5&amp;$AV96,CHOOSE({1,2},D_技能表CD!$C$2:$C$313&amp;D_技能表CD!$E$2:$E$313,D_技能表CD!$H$2:$H$313),2,FALSE),0)</f>
        <v>0</v>
      </c>
      <c r="BC96">
        <f t="array" aca="1" ref="BC96" ca="1">IFERROR(VLOOKUP(BA$5&amp;$AV96,CHOOSE({1,2},D_技能表CD!$C$2:$C$313&amp;D_技能表CD!$E$2:$E$313,D_技能表CD!$L$2:$L$313),2,FALSE),0)</f>
        <v>0</v>
      </c>
      <c r="BD96">
        <f t="array" aca="1" ref="BD96" ca="1">IFERROR(VLOOKUP(BA$5&amp;$AV96,CHOOSE({1,2},D_技能表CD!$C$2:$C$313&amp;D_技能表CD!$E$2:$E$313,D_技能表CD!$K$2:$K$313),2,FALSE),0)</f>
        <v>0</v>
      </c>
      <c r="BE96">
        <f t="array" ref="BE96">IFERROR(VLOOKUP(BE$5&amp;$AV96,CHOOSE({1,2},D_技能表CD!$C$2:$C$313&amp;D_技能表CD!$E$2:$E$313,D_技能表CD!$I$2:$I$313),2,FALSE),0)</f>
        <v>0</v>
      </c>
      <c r="BF96">
        <f t="array" aca="1" ref="BF96" ca="1">IFERROR(VLOOKUP(BE$5&amp;$AV96,CHOOSE({1,2},D_技能表CD!$C$2:$C$313&amp;D_技能表CD!$E$2:$E$313,D_技能表CD!$H$2:$H$313),2,FALSE),0)</f>
        <v>0</v>
      </c>
      <c r="BG96">
        <f t="array" aca="1" ref="BG96" ca="1">IFERROR(VLOOKUP(BE$5&amp;$AV96,CHOOSE({1,2},D_技能表CD!$C$2:$C$313&amp;D_技能表CD!$E$2:$E$313,D_技能表CD!$L$2:$L$313),2,FALSE),0)</f>
        <v>0</v>
      </c>
      <c r="BH96">
        <f t="array" aca="1" ref="BH96" ca="1">IFERROR(VLOOKUP(BE$5&amp;$AV96,CHOOSE({1,2},D_技能表CD!$C$2:$C$313&amp;D_技能表CD!$E$2:$E$313,D_技能表CD!$K$2:$K$313),2,FALSE),0)</f>
        <v>0</v>
      </c>
      <c r="BI96">
        <f t="array" ref="BI96">IFERROR(VLOOKUP(BI$5&amp;$AV96,CHOOSE({1,2},D_技能表CD!$C$2:$C$313&amp;D_技能表CD!$E$2:$E$313,D_技能表CD!$I$2:$I$313),2,FALSE),0)</f>
        <v>0</v>
      </c>
      <c r="BJ96">
        <f t="array" aca="1" ref="BJ96" ca="1">IFERROR(VLOOKUP(BI$5&amp;$AV96,CHOOSE({1,2},D_技能表CD!$C$2:$C$313&amp;D_技能表CD!$E$2:$E$313,D_技能表CD!$H$2:$H$313),2,FALSE),0)</f>
        <v>0</v>
      </c>
      <c r="BK96">
        <f t="array" aca="1" ref="BK96" ca="1">IFERROR(VLOOKUP(BI$5&amp;$AV96,CHOOSE({1,2},D_技能表CD!$C$2:$C$313&amp;D_技能表CD!$E$2:$E$313,D_技能表CD!$L$2:$L$313),2,FALSE),0)</f>
        <v>0</v>
      </c>
      <c r="BL96">
        <f t="array" aca="1" ref="BL96" ca="1">IFERROR(VLOOKUP(BI$5&amp;$AV96,CHOOSE({1,2},D_技能表CD!$C$2:$C$313&amp;D_技能表CD!$E$2:$E$313,D_技能表CD!$K$2:$K$313),2,FALSE),0)</f>
        <v>0</v>
      </c>
    </row>
    <row r="97" spans="1:64" x14ac:dyDescent="0.15">
      <c r="A97">
        <f t="shared" ca="1" si="2"/>
        <v>60615598</v>
      </c>
      <c r="B97" s="34">
        <f ca="1">SUM($E$7:E97,$I$7:I97,$M$7:M97,$Q$7:Q97,$U$7:U97,$Y$7:Y97,$AC$7:AC97,$AG$7:AG97,$AK$7:AK97,$AO$7:AO97)</f>
        <v>55049248</v>
      </c>
      <c r="C97">
        <v>91</v>
      </c>
      <c r="D97">
        <f t="array" aca="1" ref="D97" ca="1">IFERROR(VLOOKUP($D$5&amp;C97,CHOOSE({1,2},D_技能表!$C$2:$C$1210&amp;D_技能表!$E$2:$E$1210,D_技能表!$I$2:$I$1210),2,FALSE),0)</f>
        <v>0</v>
      </c>
      <c r="E97">
        <f t="array" aca="1" ref="E97" ca="1">IFERROR(VLOOKUP($D$5&amp;$C97,CHOOSE({1,2},D_技能表!$C$2:$C$1210&amp;D_技能表!$E$2:$E$1210,D_技能表!$N$2:$N$1210),2,FALSE),0)</f>
        <v>0</v>
      </c>
      <c r="F97">
        <f t="array" aca="1" ref="F97" ca="1">IFERROR(VLOOKUP($D$5&amp;$C97,CHOOSE({1,2},D_技能表!$C$2:$C$1210&amp;D_技能表!$E$2:$E$1210,D_技能表!$W$2:$W$1210),2,FALSE),0)</f>
        <v>0</v>
      </c>
      <c r="G97">
        <f t="array" aca="1" ref="G97" ca="1">IFERROR(VLOOKUP($D$5&amp;$C97,CHOOSE({1,2},D_技能表!$C$2:$C$1210&amp;D_技能表!$E$2:$E$1210,D_技能表!$Z$2:$Z$1210),2,FALSE),0)</f>
        <v>0</v>
      </c>
      <c r="H97">
        <f t="array" aca="1" ref="H97" ca="1">IFERROR(VLOOKUP($H$5&amp;$C97,CHOOSE({1,2},D_技能表!$C$2:$C$1210&amp;D_技能表!$E$2:$E$1210,D_技能表!$I$2:$I$1210),2,FALSE),0)</f>
        <v>0</v>
      </c>
      <c r="I97">
        <f t="array" aca="1" ref="I97" ca="1">IFERROR(VLOOKUP($H$5&amp;$C97,CHOOSE({1,2},D_技能表!$C$2:$C$1210&amp;D_技能表!$E$2:$E$1210,D_技能表!$N$2:$N$1210),2,FALSE),0)</f>
        <v>0</v>
      </c>
      <c r="J97">
        <f t="array" aca="1" ref="J97" ca="1">IFERROR(VLOOKUP($H$5&amp;$C97,CHOOSE({1,2},D_技能表!$C$2:$C$1210&amp;D_技能表!$E$2:$E$1210,D_技能表!$W$2:$W$1210),2,FALSE),0)</f>
        <v>0</v>
      </c>
      <c r="K97">
        <f t="array" aca="1" ref="K97" ca="1">IFERROR(VLOOKUP($H$5&amp;$C97,CHOOSE({1,2},D_技能表!$C$2:$C$1210&amp;D_技能表!$E$2:$E$1210,D_技能表!$Z$2:$Z$1210),2,FALSE),0)</f>
        <v>0</v>
      </c>
      <c r="L97">
        <f t="array" aca="1" ref="L97" ca="1">IFERROR(VLOOKUP($L$5&amp;$C97,CHOOSE({1,2},D_技能表!$C$2:$C$1210&amp;D_技能表!$E$2:$E$1210,D_技能表!$I$2:$I$1210),2,FALSE),0)</f>
        <v>0</v>
      </c>
      <c r="M97">
        <f t="array" aca="1" ref="M97" ca="1">IFERROR(VLOOKUP($L$5&amp;$C97,CHOOSE({1,2},D_技能表!$C$2:$C$1210&amp;D_技能表!$E$2:$E$1210,D_技能表!$N$2:$N$1210),2,FALSE),0)</f>
        <v>0</v>
      </c>
      <c r="N97">
        <f t="array" aca="1" ref="N97" ca="1">IFERROR(VLOOKUP($L$5&amp;$C97,CHOOSE({1,2},D_技能表!$C$2:$C$1210&amp;D_技能表!$E$2:$E$1210,D_技能表!$W$2:$W$1210),2,FALSE),0)</f>
        <v>0</v>
      </c>
      <c r="O97">
        <f t="array" aca="1" ref="O97" ca="1">IFERROR(VLOOKUP($L$5&amp;$C97,CHOOSE({1,2},D_技能表!$C$2:$C$1210&amp;D_技能表!$E$2:$E$1210,D_技能表!$Z$2:$Z$1210),2,FALSE),0)</f>
        <v>0</v>
      </c>
      <c r="P97">
        <f t="array" aca="1" ref="P97" ca="1">IFERROR(VLOOKUP($P$5&amp;$C97,CHOOSE({1,2},D_技能表!$C$2:$C$1210&amp;D_技能表!$E$2:$E$1210,D_技能表!$I$2:$I$1210),2,FALSE),0)</f>
        <v>0</v>
      </c>
      <c r="Q97">
        <f t="array" aca="1" ref="Q97" ca="1">IFERROR(VLOOKUP($P$5&amp;$C97,CHOOSE({1,2},D_技能表!$C$2:$C$1210&amp;D_技能表!$E$2:$E$1210,D_技能表!$N$2:$N$1210),2,FALSE),0)</f>
        <v>0</v>
      </c>
      <c r="R97">
        <f t="array" aca="1" ref="R97" ca="1">IFERROR(VLOOKUP($P$5&amp;$C97,CHOOSE({1,2},D_技能表!$C$2:$C$1210&amp;D_技能表!$E$2:$E$1210,D_技能表!$W$2:$W$1210),2,FALSE),0)</f>
        <v>0</v>
      </c>
      <c r="S97">
        <f t="array" aca="1" ref="S97" ca="1">IFERROR(VLOOKUP($P$5&amp;$C97,CHOOSE({1,2},D_技能表!$C$2:$C$1210&amp;D_技能表!$E$2:$E$1210,D_技能表!$Z$2:$Z$1210),2,FALSE),0)</f>
        <v>0</v>
      </c>
      <c r="T97">
        <f t="array" aca="1" ref="T97" ca="1">IFERROR(VLOOKUP($T$5&amp;$C97,CHOOSE({1,2},D_技能表!$C$2:$C$1210&amp;D_技能表!$E$2:$E$1210,D_技能表!$I$2:$I$1210),2,FALSE),0)</f>
        <v>0</v>
      </c>
      <c r="U97">
        <f t="array" aca="1" ref="U97" ca="1">IFERROR(VLOOKUP($T$5&amp;$C97,CHOOSE({1,2},D_技能表!$C$2:$C$1210&amp;D_技能表!$E$2:$E$1210,D_技能表!$N$2:$N$1210),2,FALSE),0)</f>
        <v>0</v>
      </c>
      <c r="V97">
        <f t="array" aca="1" ref="V97" ca="1">IFERROR(VLOOKUP($T$5&amp;$C97,CHOOSE({1,2},D_技能表!$C$2:$C$1210&amp;D_技能表!$E$2:$E$1210,D_技能表!$W$2:$W$1210),2,FALSE),0)</f>
        <v>0</v>
      </c>
      <c r="W97">
        <f t="array" aca="1" ref="W97" ca="1">IFERROR(VLOOKUP($T$5&amp;$C97,CHOOSE({1,2},D_技能表!$C$2:$C$1210&amp;D_技能表!$E$2:$E$1210,D_技能表!$Z$2:$Z$1210),2,FALSE),0)</f>
        <v>0</v>
      </c>
      <c r="X97">
        <f t="array" aca="1" ref="X97" ca="1">IFERROR(VLOOKUP($X$5&amp;$C97,CHOOSE({1,2},D_技能表!$C$2:$C$1210&amp;D_技能表!$E$2:$E$1210,D_技能表!$I$2:$I$1210),2,FALSE),0)</f>
        <v>0</v>
      </c>
      <c r="Y97">
        <f t="array" aca="1" ref="Y97" ca="1">IFERROR(VLOOKUP($X$5&amp;$C97,CHOOSE({1,2},D_技能表!$C$2:$C$1210&amp;D_技能表!$E$2:$E$1210,D_技能表!$N$2:$N$1210),2,FALSE),0)</f>
        <v>0</v>
      </c>
      <c r="Z97">
        <f t="array" aca="1" ref="Z97" ca="1">IFERROR(VLOOKUP($X$5&amp;$C97,CHOOSE({1,2},D_技能表!$C$2:$C$1210&amp;D_技能表!$E$2:$E$1210,D_技能表!$W$2:$W$1210),2,FALSE),0)</f>
        <v>0</v>
      </c>
      <c r="AA97">
        <f t="array" aca="1" ref="AA97" ca="1">IFERROR(VLOOKUP($X$5&amp;$C97,CHOOSE({1,2},D_技能表!$C$2:$C$1210&amp;D_技能表!$E$2:$E$1210,D_技能表!$Z$2:$Z$1210),2,FALSE),0)</f>
        <v>0</v>
      </c>
      <c r="AB97">
        <f t="array" aca="1" ref="AB97" ca="1">IFERROR(VLOOKUP($AB$5&amp;$C97,CHOOSE({1,2},D_技能表!$C$2:$C$1210&amp;D_技能表!$E$2:$E$1210,D_技能表!$I$2:$I$1210),2,FALSE),0)</f>
        <v>0</v>
      </c>
      <c r="AC97">
        <f t="array" aca="1" ref="AC97" ca="1">IFERROR(VLOOKUP($AB$5&amp;$C97,CHOOSE({1,2},D_技能表!$C$2:$C$1210&amp;D_技能表!$E$2:$E$1210,D_技能表!$N$2:$N$1210),2,FALSE),0)</f>
        <v>0</v>
      </c>
      <c r="AD97">
        <f t="array" aca="1" ref="AD97" ca="1">IFERROR(VLOOKUP($AB$5&amp;$C97,CHOOSE({1,2},D_技能表!$C$2:$C$1210&amp;D_技能表!$E$2:$E$1210,D_技能表!$W$2:$W$1210),2,FALSE),0)</f>
        <v>0</v>
      </c>
      <c r="AE97">
        <f t="array" aca="1" ref="AE97" ca="1">IFERROR(VLOOKUP($AB$5&amp;$C97,CHOOSE({1,2},D_技能表!$C$2:$C$1210&amp;D_技能表!$E$2:$E$1210,D_技能表!$Z$2:$Z$1210),2,FALSE),0)</f>
        <v>0</v>
      </c>
      <c r="AF97">
        <f t="array" aca="1" ref="AF97" ca="1">IFERROR(VLOOKUP($AF$5&amp;$C97,CHOOSE({1,2},D_技能表!$C$2:$C$1210&amp;D_技能表!$E$2:$E$1210,D_技能表!$I$2:$I$1210),2,FALSE),0)</f>
        <v>0</v>
      </c>
      <c r="AG97">
        <f t="array" aca="1" ref="AG97" ca="1">IFERROR(VLOOKUP($AF$5&amp;$C97,CHOOSE({1,2},D_技能表!$C$2:$C$1210&amp;D_技能表!$E$2:$E$1210,D_技能表!$N$2:$N$1210),2,FALSE),0)</f>
        <v>0</v>
      </c>
      <c r="AH97">
        <f t="array" aca="1" ref="AH97" ca="1">IFERROR(VLOOKUP($AF$5&amp;$C97,CHOOSE({1,2},D_技能表!$C$2:$C$1210&amp;D_技能表!$E$2:$E$1210,D_技能表!$W$2:$W$1210),2,FALSE),0)</f>
        <v>0</v>
      </c>
      <c r="AI97">
        <f t="array" aca="1" ref="AI97" ca="1">IFERROR(VLOOKUP($AF$5&amp;$C97,CHOOSE({1,2},D_技能表!$C$2:$C$1210&amp;D_技能表!$E$2:$E$1210,D_技能表!$Z$2:$Z$1210),2,FALSE),0)</f>
        <v>0</v>
      </c>
      <c r="AJ97">
        <f t="array" aca="1" ref="AJ97" ca="1">IFERROR(VLOOKUP($AJ$5&amp;$C97,CHOOSE({1,2},D_技能表!$C$2:$C$1210&amp;D_技能表!$E$2:$E$1210,D_技能表!$I$2:$I$1210),2,FALSE),0)</f>
        <v>0</v>
      </c>
      <c r="AK97">
        <f t="array" aca="1" ref="AK97" ca="1">IFERROR(VLOOKUP($AJ$5&amp;$C97,CHOOSE({1,2},D_技能表!$C$2:$C$1210&amp;D_技能表!$E$2:$E$1210,D_技能表!$N$2:$N$1210),2,FALSE),0)</f>
        <v>0</v>
      </c>
      <c r="AL97">
        <f t="array" aca="1" ref="AL97" ca="1">IFERROR(VLOOKUP($AJ$5&amp;$C97,CHOOSE({1,2},D_技能表!$C$2:$C$1210&amp;D_技能表!$E$2:$E$1210,D_技能表!$W$2:$W$1210),2,FALSE),0)</f>
        <v>0</v>
      </c>
      <c r="AM97">
        <f t="array" aca="1" ref="AM97" ca="1">IFERROR(VLOOKUP($AJ$5&amp;$C97,CHOOSE({1,2},D_技能表!$C$2:$C$1210&amp;D_技能表!$E$2:$E$1210,D_技能表!$Z$2:$Z$1210),2,FALSE),0)</f>
        <v>0</v>
      </c>
      <c r="AN97">
        <f t="array" aca="1" ref="AN97" ca="1">IFERROR(VLOOKUP($AN$5&amp;$C97,CHOOSE({1,2},D_技能表!$C$2:$C$1210&amp;D_技能表!$E$2:$E$1210,D_技能表!$I$2:$I$1210),2,FALSE),0)</f>
        <v>0</v>
      </c>
      <c r="AO97">
        <f t="array" aca="1" ref="AO97" ca="1">IFERROR(VLOOKUP($AN$5&amp;$C97,CHOOSE({1,2},D_技能表!$C$2:$C$1210&amp;D_技能表!$E$2:$E$1210,D_技能表!$N$2:$N$1210),2,FALSE),0)</f>
        <v>0</v>
      </c>
      <c r="AP97">
        <f t="array" aca="1" ref="AP97" ca="1">IFERROR(VLOOKUP($AN$5&amp;$C97,CHOOSE({1,2},D_技能表!$C$2:$C$1210&amp;D_技能表!$E$2:$E$1210,D_技能表!$W$2:$W$1210),2,FALSE),0)</f>
        <v>0</v>
      </c>
      <c r="AQ97">
        <f t="array" aca="1" ref="AQ97" ca="1">IFERROR(VLOOKUP($AN$5&amp;$C97,CHOOSE({1,2},D_技能表!$C$2:$C$1210&amp;D_技能表!$E$2:$E$1210,D_技能表!$Z$2:$Z$1210),2,FALSE),0)</f>
        <v>0</v>
      </c>
      <c r="AR97" s="11">
        <f ca="1">SUM($G$7:G98,$K$7:K98,$O$7:O98,$S$7:S98,$W$7:W98,$AA$7:AA98,$AE$7:AE98,$AI$7:AI98,$AM$7:AM98,$AQ$7:AQ98)</f>
        <v>7724</v>
      </c>
      <c r="AS97">
        <f ca="1">SUM($F$7:F98,$J$7:J98,$N$7:N98,$R$7:R98,$V$7:V98,$Z$7:Z98,$AD$7:AD98,$AH$7:AH98,$AL$7:AL98,$AP$7:AP98)</f>
        <v>20474</v>
      </c>
      <c r="AT97">
        <f t="shared" ca="1" si="3"/>
        <v>0</v>
      </c>
      <c r="AU97" s="33">
        <f ca="1">SUM($AX$7:AX97,$BB$7:BB97,$BF$7:BF97,$BJ$7:BJ97)</f>
        <v>5566350</v>
      </c>
      <c r="AV97">
        <v>91</v>
      </c>
      <c r="AW97">
        <f t="array" ref="AW97">IFERROR(VLOOKUP(AW$5&amp;$AV97,CHOOSE({1,2},D_技能表CD!$C$2:$C$313&amp;D_技能表CD!$E$2:$E$313,D_技能表CD!$I$2:$I$313),2,FALSE),0)</f>
        <v>0</v>
      </c>
      <c r="AX97">
        <f t="array" aca="1" ref="AX97" ca="1">IFERROR(VLOOKUP(AW$5&amp;$AV97,CHOOSE({1,2},D_技能表CD!$C$2:$C$313&amp;D_技能表CD!$E$2:$E$313,D_技能表CD!$H$2:$H$313),2,FALSE),0)</f>
        <v>0</v>
      </c>
      <c r="AY97">
        <f t="array" aca="1" ref="AY97" ca="1">IFERROR(VLOOKUP(AW$5&amp;$AV97,CHOOSE({1,2},D_技能表CD!$C$2:$C$313&amp;D_技能表CD!$E$2:$E$313,D_技能表CD!$L$2:$L$313),2,FALSE),0)</f>
        <v>0</v>
      </c>
      <c r="AZ97">
        <f t="array" aca="1" ref="AZ97" ca="1">IFERROR(VLOOKUP(AW$5&amp;$AV97,CHOOSE({1,2},D_技能表CD!$C$2:$C$313&amp;D_技能表CD!$E$2:$E$313,D_技能表CD!$K$2:$K$313),2,FALSE),0)</f>
        <v>0</v>
      </c>
      <c r="BA97">
        <f t="array" ref="BA97">IFERROR(VLOOKUP(BA$5&amp;$AV97,CHOOSE({1,2},D_技能表CD!$C$2:$C$313&amp;D_技能表CD!$E$2:$E$313,D_技能表CD!$I$2:$I$313),2,FALSE),0)</f>
        <v>0</v>
      </c>
      <c r="BB97">
        <f t="array" aca="1" ref="BB97" ca="1">IFERROR(VLOOKUP(BA$5&amp;$AV97,CHOOSE({1,2},D_技能表CD!$C$2:$C$313&amp;D_技能表CD!$E$2:$E$313,D_技能表CD!$H$2:$H$313),2,FALSE),0)</f>
        <v>0</v>
      </c>
      <c r="BC97">
        <f t="array" aca="1" ref="BC97" ca="1">IFERROR(VLOOKUP(BA$5&amp;$AV97,CHOOSE({1,2},D_技能表CD!$C$2:$C$313&amp;D_技能表CD!$E$2:$E$313,D_技能表CD!$L$2:$L$313),2,FALSE),0)</f>
        <v>0</v>
      </c>
      <c r="BD97">
        <f t="array" aca="1" ref="BD97" ca="1">IFERROR(VLOOKUP(BA$5&amp;$AV97,CHOOSE({1,2},D_技能表CD!$C$2:$C$313&amp;D_技能表CD!$E$2:$E$313,D_技能表CD!$K$2:$K$313),2,FALSE),0)</f>
        <v>0</v>
      </c>
      <c r="BE97">
        <f t="array" ref="BE97">IFERROR(VLOOKUP(BE$5&amp;$AV97,CHOOSE({1,2},D_技能表CD!$C$2:$C$313&amp;D_技能表CD!$E$2:$E$313,D_技能表CD!$I$2:$I$313),2,FALSE),0)</f>
        <v>0</v>
      </c>
      <c r="BF97">
        <f t="array" aca="1" ref="BF97" ca="1">IFERROR(VLOOKUP(BE$5&amp;$AV97,CHOOSE({1,2},D_技能表CD!$C$2:$C$313&amp;D_技能表CD!$E$2:$E$313,D_技能表CD!$H$2:$H$313),2,FALSE),0)</f>
        <v>0</v>
      </c>
      <c r="BG97">
        <f t="array" aca="1" ref="BG97" ca="1">IFERROR(VLOOKUP(BE$5&amp;$AV97,CHOOSE({1,2},D_技能表CD!$C$2:$C$313&amp;D_技能表CD!$E$2:$E$313,D_技能表CD!$L$2:$L$313),2,FALSE),0)</f>
        <v>0</v>
      </c>
      <c r="BH97">
        <f t="array" aca="1" ref="BH97" ca="1">IFERROR(VLOOKUP(BE$5&amp;$AV97,CHOOSE({1,2},D_技能表CD!$C$2:$C$313&amp;D_技能表CD!$E$2:$E$313,D_技能表CD!$K$2:$K$313),2,FALSE),0)</f>
        <v>0</v>
      </c>
      <c r="BI97">
        <f t="array" ref="BI97">IFERROR(VLOOKUP(BI$5&amp;$AV97,CHOOSE({1,2},D_技能表CD!$C$2:$C$313&amp;D_技能表CD!$E$2:$E$313,D_技能表CD!$I$2:$I$313),2,FALSE),0)</f>
        <v>0</v>
      </c>
      <c r="BJ97">
        <f t="array" aca="1" ref="BJ97" ca="1">IFERROR(VLOOKUP(BI$5&amp;$AV97,CHOOSE({1,2},D_技能表CD!$C$2:$C$313&amp;D_技能表CD!$E$2:$E$313,D_技能表CD!$H$2:$H$313),2,FALSE),0)</f>
        <v>0</v>
      </c>
      <c r="BK97">
        <f t="array" aca="1" ref="BK97" ca="1">IFERROR(VLOOKUP(BI$5&amp;$AV97,CHOOSE({1,2},D_技能表CD!$C$2:$C$313&amp;D_技能表CD!$E$2:$E$313,D_技能表CD!$L$2:$L$313),2,FALSE),0)</f>
        <v>0</v>
      </c>
      <c r="BL97">
        <f t="array" aca="1" ref="BL97" ca="1">IFERROR(VLOOKUP(BI$5&amp;$AV97,CHOOSE({1,2},D_技能表CD!$C$2:$C$313&amp;D_技能表CD!$E$2:$E$313,D_技能表CD!$K$2:$K$313),2,FALSE),0)</f>
        <v>0</v>
      </c>
    </row>
    <row r="98" spans="1:64" x14ac:dyDescent="0.15">
      <c r="A98">
        <f t="shared" ca="1" si="2"/>
        <v>60615598</v>
      </c>
      <c r="B98" s="34">
        <f ca="1">SUM($E$7:E98,$I$7:I98,$M$7:M98,$Q$7:Q98,$U$7:U98,$Y$7:Y98,$AC$7:AC98,$AG$7:AG98,$AK$7:AK98,$AO$7:AO98)</f>
        <v>55049248</v>
      </c>
      <c r="C98">
        <v>92</v>
      </c>
      <c r="D98">
        <f t="array" aca="1" ref="D98" ca="1">IFERROR(VLOOKUP($D$5&amp;C98,CHOOSE({1,2},D_技能表!$C$2:$C$1210&amp;D_技能表!$E$2:$E$1210,D_技能表!$I$2:$I$1210),2,FALSE),0)</f>
        <v>0</v>
      </c>
      <c r="E98">
        <f t="array" aca="1" ref="E98" ca="1">IFERROR(VLOOKUP($D$5&amp;$C98,CHOOSE({1,2},D_技能表!$C$2:$C$1210&amp;D_技能表!$E$2:$E$1210,D_技能表!$N$2:$N$1210),2,FALSE),0)</f>
        <v>0</v>
      </c>
      <c r="F98">
        <f t="array" aca="1" ref="F98" ca="1">IFERROR(VLOOKUP($D$5&amp;$C98,CHOOSE({1,2},D_技能表!$C$2:$C$1210&amp;D_技能表!$E$2:$E$1210,D_技能表!$W$2:$W$1210),2,FALSE),0)</f>
        <v>0</v>
      </c>
      <c r="G98">
        <f t="array" aca="1" ref="G98" ca="1">IFERROR(VLOOKUP($D$5&amp;$C98,CHOOSE({1,2},D_技能表!$C$2:$C$1210&amp;D_技能表!$E$2:$E$1210,D_技能表!$Z$2:$Z$1210),2,FALSE),0)</f>
        <v>0</v>
      </c>
      <c r="H98">
        <f t="array" aca="1" ref="H98" ca="1">IFERROR(VLOOKUP($H$5&amp;$C98,CHOOSE({1,2},D_技能表!$C$2:$C$1210&amp;D_技能表!$E$2:$E$1210,D_技能表!$I$2:$I$1210),2,FALSE),0)</f>
        <v>0</v>
      </c>
      <c r="I98">
        <f t="array" aca="1" ref="I98" ca="1">IFERROR(VLOOKUP($H$5&amp;$C98,CHOOSE({1,2},D_技能表!$C$2:$C$1210&amp;D_技能表!$E$2:$E$1210,D_技能表!$N$2:$N$1210),2,FALSE),0)</f>
        <v>0</v>
      </c>
      <c r="J98">
        <f t="array" aca="1" ref="J98" ca="1">IFERROR(VLOOKUP($H$5&amp;$C98,CHOOSE({1,2},D_技能表!$C$2:$C$1210&amp;D_技能表!$E$2:$E$1210,D_技能表!$W$2:$W$1210),2,FALSE),0)</f>
        <v>0</v>
      </c>
      <c r="K98">
        <f t="array" aca="1" ref="K98" ca="1">IFERROR(VLOOKUP($H$5&amp;$C98,CHOOSE({1,2},D_技能表!$C$2:$C$1210&amp;D_技能表!$E$2:$E$1210,D_技能表!$Z$2:$Z$1210),2,FALSE),0)</f>
        <v>0</v>
      </c>
      <c r="L98">
        <f t="array" aca="1" ref="L98" ca="1">IFERROR(VLOOKUP($L$5&amp;$C98,CHOOSE({1,2},D_技能表!$C$2:$C$1210&amp;D_技能表!$E$2:$E$1210,D_技能表!$I$2:$I$1210),2,FALSE),0)</f>
        <v>0</v>
      </c>
      <c r="M98">
        <f t="array" aca="1" ref="M98" ca="1">IFERROR(VLOOKUP($L$5&amp;$C98,CHOOSE({1,2},D_技能表!$C$2:$C$1210&amp;D_技能表!$E$2:$E$1210,D_技能表!$N$2:$N$1210),2,FALSE),0)</f>
        <v>0</v>
      </c>
      <c r="N98">
        <f t="array" aca="1" ref="N98" ca="1">IFERROR(VLOOKUP($L$5&amp;$C98,CHOOSE({1,2},D_技能表!$C$2:$C$1210&amp;D_技能表!$E$2:$E$1210,D_技能表!$W$2:$W$1210),2,FALSE),0)</f>
        <v>0</v>
      </c>
      <c r="O98">
        <f t="array" aca="1" ref="O98" ca="1">IFERROR(VLOOKUP($L$5&amp;$C98,CHOOSE({1,2},D_技能表!$C$2:$C$1210&amp;D_技能表!$E$2:$E$1210,D_技能表!$Z$2:$Z$1210),2,FALSE),0)</f>
        <v>0</v>
      </c>
      <c r="P98">
        <f t="array" aca="1" ref="P98" ca="1">IFERROR(VLOOKUP($P$5&amp;$C98,CHOOSE({1,2},D_技能表!$C$2:$C$1210&amp;D_技能表!$E$2:$E$1210,D_技能表!$I$2:$I$1210),2,FALSE),0)</f>
        <v>0</v>
      </c>
      <c r="Q98">
        <f t="array" aca="1" ref="Q98" ca="1">IFERROR(VLOOKUP($P$5&amp;$C98,CHOOSE({1,2},D_技能表!$C$2:$C$1210&amp;D_技能表!$E$2:$E$1210,D_技能表!$N$2:$N$1210),2,FALSE),0)</f>
        <v>0</v>
      </c>
      <c r="R98">
        <f t="array" aca="1" ref="R98" ca="1">IFERROR(VLOOKUP($P$5&amp;$C98,CHOOSE({1,2},D_技能表!$C$2:$C$1210&amp;D_技能表!$E$2:$E$1210,D_技能表!$W$2:$W$1210),2,FALSE),0)</f>
        <v>0</v>
      </c>
      <c r="S98">
        <f t="array" aca="1" ref="S98" ca="1">IFERROR(VLOOKUP($P$5&amp;$C98,CHOOSE({1,2},D_技能表!$C$2:$C$1210&amp;D_技能表!$E$2:$E$1210,D_技能表!$Z$2:$Z$1210),2,FALSE),0)</f>
        <v>0</v>
      </c>
      <c r="T98">
        <f t="array" aca="1" ref="T98" ca="1">IFERROR(VLOOKUP($T$5&amp;$C98,CHOOSE({1,2},D_技能表!$C$2:$C$1210&amp;D_技能表!$E$2:$E$1210,D_技能表!$I$2:$I$1210),2,FALSE),0)</f>
        <v>0</v>
      </c>
      <c r="U98">
        <f t="array" aca="1" ref="U98" ca="1">IFERROR(VLOOKUP($T$5&amp;$C98,CHOOSE({1,2},D_技能表!$C$2:$C$1210&amp;D_技能表!$E$2:$E$1210,D_技能表!$N$2:$N$1210),2,FALSE),0)</f>
        <v>0</v>
      </c>
      <c r="V98">
        <f t="array" aca="1" ref="V98" ca="1">IFERROR(VLOOKUP($T$5&amp;$C98,CHOOSE({1,2},D_技能表!$C$2:$C$1210&amp;D_技能表!$E$2:$E$1210,D_技能表!$W$2:$W$1210),2,FALSE),0)</f>
        <v>0</v>
      </c>
      <c r="W98">
        <f t="array" aca="1" ref="W98" ca="1">IFERROR(VLOOKUP($T$5&amp;$C98,CHOOSE({1,2},D_技能表!$C$2:$C$1210&amp;D_技能表!$E$2:$E$1210,D_技能表!$Z$2:$Z$1210),2,FALSE),0)</f>
        <v>0</v>
      </c>
      <c r="X98">
        <f t="array" aca="1" ref="X98" ca="1">IFERROR(VLOOKUP($X$5&amp;$C98,CHOOSE({1,2},D_技能表!$C$2:$C$1210&amp;D_技能表!$E$2:$E$1210,D_技能表!$I$2:$I$1210),2,FALSE),0)</f>
        <v>0</v>
      </c>
      <c r="Y98">
        <f t="array" aca="1" ref="Y98" ca="1">IFERROR(VLOOKUP($X$5&amp;$C98,CHOOSE({1,2},D_技能表!$C$2:$C$1210&amp;D_技能表!$E$2:$E$1210,D_技能表!$N$2:$N$1210),2,FALSE),0)</f>
        <v>0</v>
      </c>
      <c r="Z98">
        <f t="array" aca="1" ref="Z98" ca="1">IFERROR(VLOOKUP($X$5&amp;$C98,CHOOSE({1,2},D_技能表!$C$2:$C$1210&amp;D_技能表!$E$2:$E$1210,D_技能表!$W$2:$W$1210),2,FALSE),0)</f>
        <v>0</v>
      </c>
      <c r="AA98">
        <f t="array" aca="1" ref="AA98" ca="1">IFERROR(VLOOKUP($X$5&amp;$C98,CHOOSE({1,2},D_技能表!$C$2:$C$1210&amp;D_技能表!$E$2:$E$1210,D_技能表!$Z$2:$Z$1210),2,FALSE),0)</f>
        <v>0</v>
      </c>
      <c r="AB98">
        <f t="array" aca="1" ref="AB98" ca="1">IFERROR(VLOOKUP($AB$5&amp;$C98,CHOOSE({1,2},D_技能表!$C$2:$C$1210&amp;D_技能表!$E$2:$E$1210,D_技能表!$I$2:$I$1210),2,FALSE),0)</f>
        <v>0</v>
      </c>
      <c r="AC98">
        <f t="array" aca="1" ref="AC98" ca="1">IFERROR(VLOOKUP($AB$5&amp;$C98,CHOOSE({1,2},D_技能表!$C$2:$C$1210&amp;D_技能表!$E$2:$E$1210,D_技能表!$N$2:$N$1210),2,FALSE),0)</f>
        <v>0</v>
      </c>
      <c r="AD98">
        <f t="array" aca="1" ref="AD98" ca="1">IFERROR(VLOOKUP($AB$5&amp;$C98,CHOOSE({1,2},D_技能表!$C$2:$C$1210&amp;D_技能表!$E$2:$E$1210,D_技能表!$W$2:$W$1210),2,FALSE),0)</f>
        <v>0</v>
      </c>
      <c r="AE98">
        <f t="array" aca="1" ref="AE98" ca="1">IFERROR(VLOOKUP($AB$5&amp;$C98,CHOOSE({1,2},D_技能表!$C$2:$C$1210&amp;D_技能表!$E$2:$E$1210,D_技能表!$Z$2:$Z$1210),2,FALSE),0)</f>
        <v>0</v>
      </c>
      <c r="AF98">
        <f t="array" aca="1" ref="AF98" ca="1">IFERROR(VLOOKUP($AF$5&amp;$C98,CHOOSE({1,2},D_技能表!$C$2:$C$1210&amp;D_技能表!$E$2:$E$1210,D_技能表!$I$2:$I$1210),2,FALSE),0)</f>
        <v>0</v>
      </c>
      <c r="AG98">
        <f t="array" aca="1" ref="AG98" ca="1">IFERROR(VLOOKUP($AF$5&amp;$C98,CHOOSE({1,2},D_技能表!$C$2:$C$1210&amp;D_技能表!$E$2:$E$1210,D_技能表!$N$2:$N$1210),2,FALSE),0)</f>
        <v>0</v>
      </c>
      <c r="AH98">
        <f t="array" aca="1" ref="AH98" ca="1">IFERROR(VLOOKUP($AF$5&amp;$C98,CHOOSE({1,2},D_技能表!$C$2:$C$1210&amp;D_技能表!$E$2:$E$1210,D_技能表!$W$2:$W$1210),2,FALSE),0)</f>
        <v>0</v>
      </c>
      <c r="AI98">
        <f t="array" aca="1" ref="AI98" ca="1">IFERROR(VLOOKUP($AF$5&amp;$C98,CHOOSE({1,2},D_技能表!$C$2:$C$1210&amp;D_技能表!$E$2:$E$1210,D_技能表!$Z$2:$Z$1210),2,FALSE),0)</f>
        <v>0</v>
      </c>
      <c r="AJ98">
        <f t="array" aca="1" ref="AJ98" ca="1">IFERROR(VLOOKUP($AJ$5&amp;$C98,CHOOSE({1,2},D_技能表!$C$2:$C$1210&amp;D_技能表!$E$2:$E$1210,D_技能表!$I$2:$I$1210),2,FALSE),0)</f>
        <v>0</v>
      </c>
      <c r="AK98">
        <f t="array" aca="1" ref="AK98" ca="1">IFERROR(VLOOKUP($AJ$5&amp;$C98,CHOOSE({1,2},D_技能表!$C$2:$C$1210&amp;D_技能表!$E$2:$E$1210,D_技能表!$N$2:$N$1210),2,FALSE),0)</f>
        <v>0</v>
      </c>
      <c r="AL98">
        <f t="array" aca="1" ref="AL98" ca="1">IFERROR(VLOOKUP($AJ$5&amp;$C98,CHOOSE({1,2},D_技能表!$C$2:$C$1210&amp;D_技能表!$E$2:$E$1210,D_技能表!$W$2:$W$1210),2,FALSE),0)</f>
        <v>0</v>
      </c>
      <c r="AM98">
        <f t="array" aca="1" ref="AM98" ca="1">IFERROR(VLOOKUP($AJ$5&amp;$C98,CHOOSE({1,2},D_技能表!$C$2:$C$1210&amp;D_技能表!$E$2:$E$1210,D_技能表!$Z$2:$Z$1210),2,FALSE),0)</f>
        <v>0</v>
      </c>
      <c r="AN98">
        <f t="array" aca="1" ref="AN98" ca="1">IFERROR(VLOOKUP($AN$5&amp;$C98,CHOOSE({1,2},D_技能表!$C$2:$C$1210&amp;D_技能表!$E$2:$E$1210,D_技能表!$I$2:$I$1210),2,FALSE),0)</f>
        <v>0</v>
      </c>
      <c r="AO98">
        <f t="array" aca="1" ref="AO98" ca="1">IFERROR(VLOOKUP($AN$5&amp;$C98,CHOOSE({1,2},D_技能表!$C$2:$C$1210&amp;D_技能表!$E$2:$E$1210,D_技能表!$N$2:$N$1210),2,FALSE),0)</f>
        <v>0</v>
      </c>
      <c r="AP98">
        <f t="array" aca="1" ref="AP98" ca="1">IFERROR(VLOOKUP($AN$5&amp;$C98,CHOOSE({1,2},D_技能表!$C$2:$C$1210&amp;D_技能表!$E$2:$E$1210,D_技能表!$W$2:$W$1210),2,FALSE),0)</f>
        <v>0</v>
      </c>
      <c r="AQ98">
        <f t="array" aca="1" ref="AQ98" ca="1">IFERROR(VLOOKUP($AN$5&amp;$C98,CHOOSE({1,2},D_技能表!$C$2:$C$1210&amp;D_技能表!$E$2:$E$1210,D_技能表!$Z$2:$Z$1210),2,FALSE),0)</f>
        <v>0</v>
      </c>
      <c r="AR98" s="11">
        <f ca="1">SUM($G$7:G99,$K$7:K99,$O$7:O99,$S$7:S99,$W$7:W99,$AA$7:AA99,$AE$7:AE99,$AI$7:AI99,$AM$7:AM99,$AQ$7:AQ99)</f>
        <v>7724</v>
      </c>
      <c r="AS98">
        <f ca="1">SUM($F$7:F99,$J$7:J99,$N$7:N99,$R$7:R99,$V$7:V99,$Z$7:Z99,$AD$7:AD99,$AH$7:AH99,$AL$7:AL99,$AP$7:AP99)</f>
        <v>20474</v>
      </c>
      <c r="AT98">
        <f t="shared" ca="1" si="3"/>
        <v>0</v>
      </c>
      <c r="AU98" s="33">
        <f ca="1">SUM($AX$7:AX98,$BB$7:BB98,$BF$7:BF98,$BJ$7:BJ98)</f>
        <v>5566350</v>
      </c>
      <c r="AV98">
        <v>92</v>
      </c>
      <c r="AW98">
        <f t="array" ref="AW98">IFERROR(VLOOKUP(AW$5&amp;$AV98,CHOOSE({1,2},D_技能表CD!$C$2:$C$313&amp;D_技能表CD!$E$2:$E$313,D_技能表CD!$I$2:$I$313),2,FALSE),0)</f>
        <v>0</v>
      </c>
      <c r="AX98">
        <f t="array" aca="1" ref="AX98" ca="1">IFERROR(VLOOKUP(AW$5&amp;$AV98,CHOOSE({1,2},D_技能表CD!$C$2:$C$313&amp;D_技能表CD!$E$2:$E$313,D_技能表CD!$H$2:$H$313),2,FALSE),0)</f>
        <v>0</v>
      </c>
      <c r="AY98">
        <f t="array" aca="1" ref="AY98" ca="1">IFERROR(VLOOKUP(AW$5&amp;$AV98,CHOOSE({1,2},D_技能表CD!$C$2:$C$313&amp;D_技能表CD!$E$2:$E$313,D_技能表CD!$L$2:$L$313),2,FALSE),0)</f>
        <v>0</v>
      </c>
      <c r="AZ98">
        <f t="array" aca="1" ref="AZ98" ca="1">IFERROR(VLOOKUP(AW$5&amp;$AV98,CHOOSE({1,2},D_技能表CD!$C$2:$C$313&amp;D_技能表CD!$E$2:$E$313,D_技能表CD!$K$2:$K$313),2,FALSE),0)</f>
        <v>0</v>
      </c>
      <c r="BA98">
        <f t="array" ref="BA98">IFERROR(VLOOKUP(BA$5&amp;$AV98,CHOOSE({1,2},D_技能表CD!$C$2:$C$313&amp;D_技能表CD!$E$2:$E$313,D_技能表CD!$I$2:$I$313),2,FALSE),0)</f>
        <v>0</v>
      </c>
      <c r="BB98">
        <f t="array" aca="1" ref="BB98" ca="1">IFERROR(VLOOKUP(BA$5&amp;$AV98,CHOOSE({1,2},D_技能表CD!$C$2:$C$313&amp;D_技能表CD!$E$2:$E$313,D_技能表CD!$H$2:$H$313),2,FALSE),0)</f>
        <v>0</v>
      </c>
      <c r="BC98">
        <f t="array" aca="1" ref="BC98" ca="1">IFERROR(VLOOKUP(BA$5&amp;$AV98,CHOOSE({1,2},D_技能表CD!$C$2:$C$313&amp;D_技能表CD!$E$2:$E$313,D_技能表CD!$L$2:$L$313),2,FALSE),0)</f>
        <v>0</v>
      </c>
      <c r="BD98">
        <f t="array" aca="1" ref="BD98" ca="1">IFERROR(VLOOKUP(BA$5&amp;$AV98,CHOOSE({1,2},D_技能表CD!$C$2:$C$313&amp;D_技能表CD!$E$2:$E$313,D_技能表CD!$K$2:$K$313),2,FALSE),0)</f>
        <v>0</v>
      </c>
      <c r="BE98">
        <f t="array" ref="BE98">IFERROR(VLOOKUP(BE$5&amp;$AV98,CHOOSE({1,2},D_技能表CD!$C$2:$C$313&amp;D_技能表CD!$E$2:$E$313,D_技能表CD!$I$2:$I$313),2,FALSE),0)</f>
        <v>0</v>
      </c>
      <c r="BF98">
        <f t="array" aca="1" ref="BF98" ca="1">IFERROR(VLOOKUP(BE$5&amp;$AV98,CHOOSE({1,2},D_技能表CD!$C$2:$C$313&amp;D_技能表CD!$E$2:$E$313,D_技能表CD!$H$2:$H$313),2,FALSE),0)</f>
        <v>0</v>
      </c>
      <c r="BG98">
        <f t="array" aca="1" ref="BG98" ca="1">IFERROR(VLOOKUP(BE$5&amp;$AV98,CHOOSE({1,2},D_技能表CD!$C$2:$C$313&amp;D_技能表CD!$E$2:$E$313,D_技能表CD!$L$2:$L$313),2,FALSE),0)</f>
        <v>0</v>
      </c>
      <c r="BH98">
        <f t="array" aca="1" ref="BH98" ca="1">IFERROR(VLOOKUP(BE$5&amp;$AV98,CHOOSE({1,2},D_技能表CD!$C$2:$C$313&amp;D_技能表CD!$E$2:$E$313,D_技能表CD!$K$2:$K$313),2,FALSE),0)</f>
        <v>0</v>
      </c>
      <c r="BI98">
        <f t="array" ref="BI98">IFERROR(VLOOKUP(BI$5&amp;$AV98,CHOOSE({1,2},D_技能表CD!$C$2:$C$313&amp;D_技能表CD!$E$2:$E$313,D_技能表CD!$I$2:$I$313),2,FALSE),0)</f>
        <v>0</v>
      </c>
      <c r="BJ98">
        <f t="array" aca="1" ref="BJ98" ca="1">IFERROR(VLOOKUP(BI$5&amp;$AV98,CHOOSE({1,2},D_技能表CD!$C$2:$C$313&amp;D_技能表CD!$E$2:$E$313,D_技能表CD!$H$2:$H$313),2,FALSE),0)</f>
        <v>0</v>
      </c>
      <c r="BK98">
        <f t="array" aca="1" ref="BK98" ca="1">IFERROR(VLOOKUP(BI$5&amp;$AV98,CHOOSE({1,2},D_技能表CD!$C$2:$C$313&amp;D_技能表CD!$E$2:$E$313,D_技能表CD!$L$2:$L$313),2,FALSE),0)</f>
        <v>0</v>
      </c>
      <c r="BL98">
        <f t="array" aca="1" ref="BL98" ca="1">IFERROR(VLOOKUP(BI$5&amp;$AV98,CHOOSE({1,2},D_技能表CD!$C$2:$C$313&amp;D_技能表CD!$E$2:$E$313,D_技能表CD!$K$2:$K$313),2,FALSE),0)</f>
        <v>0</v>
      </c>
    </row>
    <row r="99" spans="1:64" x14ac:dyDescent="0.15">
      <c r="A99">
        <f t="shared" ca="1" si="2"/>
        <v>60615598</v>
      </c>
      <c r="B99" s="34">
        <f ca="1">SUM($E$7:E99,$I$7:I99,$M$7:M99,$Q$7:Q99,$U$7:U99,$Y$7:Y99,$AC$7:AC99,$AG$7:AG99,$AK$7:AK99,$AO$7:AO99)</f>
        <v>55049248</v>
      </c>
      <c r="C99">
        <v>93</v>
      </c>
      <c r="D99">
        <f t="array" aca="1" ref="D99" ca="1">IFERROR(VLOOKUP($D$5&amp;C99,CHOOSE({1,2},D_技能表!$C$2:$C$1210&amp;D_技能表!$E$2:$E$1210,D_技能表!$I$2:$I$1210),2,FALSE),0)</f>
        <v>0</v>
      </c>
      <c r="E99">
        <f t="array" aca="1" ref="E99" ca="1">IFERROR(VLOOKUP($D$5&amp;$C99,CHOOSE({1,2},D_技能表!$C$2:$C$1210&amp;D_技能表!$E$2:$E$1210,D_技能表!$N$2:$N$1210),2,FALSE),0)</f>
        <v>0</v>
      </c>
      <c r="F99">
        <f t="array" aca="1" ref="F99" ca="1">IFERROR(VLOOKUP($D$5&amp;$C99,CHOOSE({1,2},D_技能表!$C$2:$C$1210&amp;D_技能表!$E$2:$E$1210,D_技能表!$W$2:$W$1210),2,FALSE),0)</f>
        <v>0</v>
      </c>
      <c r="G99">
        <f t="array" aca="1" ref="G99" ca="1">IFERROR(VLOOKUP($D$5&amp;$C99,CHOOSE({1,2},D_技能表!$C$2:$C$1210&amp;D_技能表!$E$2:$E$1210,D_技能表!$Z$2:$Z$1210),2,FALSE),0)</f>
        <v>0</v>
      </c>
      <c r="H99">
        <f t="array" aca="1" ref="H99" ca="1">IFERROR(VLOOKUP($H$5&amp;$C99,CHOOSE({1,2},D_技能表!$C$2:$C$1210&amp;D_技能表!$E$2:$E$1210,D_技能表!$I$2:$I$1210),2,FALSE),0)</f>
        <v>0</v>
      </c>
      <c r="I99">
        <f t="array" aca="1" ref="I99" ca="1">IFERROR(VLOOKUP($H$5&amp;$C99,CHOOSE({1,2},D_技能表!$C$2:$C$1210&amp;D_技能表!$E$2:$E$1210,D_技能表!$N$2:$N$1210),2,FALSE),0)</f>
        <v>0</v>
      </c>
      <c r="J99">
        <f t="array" aca="1" ref="J99" ca="1">IFERROR(VLOOKUP($H$5&amp;$C99,CHOOSE({1,2},D_技能表!$C$2:$C$1210&amp;D_技能表!$E$2:$E$1210,D_技能表!$W$2:$W$1210),2,FALSE),0)</f>
        <v>0</v>
      </c>
      <c r="K99">
        <f t="array" aca="1" ref="K99" ca="1">IFERROR(VLOOKUP($H$5&amp;$C99,CHOOSE({1,2},D_技能表!$C$2:$C$1210&amp;D_技能表!$E$2:$E$1210,D_技能表!$Z$2:$Z$1210),2,FALSE),0)</f>
        <v>0</v>
      </c>
      <c r="L99">
        <f t="array" aca="1" ref="L99" ca="1">IFERROR(VLOOKUP($L$5&amp;$C99,CHOOSE({1,2},D_技能表!$C$2:$C$1210&amp;D_技能表!$E$2:$E$1210,D_技能表!$I$2:$I$1210),2,FALSE),0)</f>
        <v>0</v>
      </c>
      <c r="M99">
        <f t="array" aca="1" ref="M99" ca="1">IFERROR(VLOOKUP($L$5&amp;$C99,CHOOSE({1,2},D_技能表!$C$2:$C$1210&amp;D_技能表!$E$2:$E$1210,D_技能表!$N$2:$N$1210),2,FALSE),0)</f>
        <v>0</v>
      </c>
      <c r="N99">
        <f t="array" aca="1" ref="N99" ca="1">IFERROR(VLOOKUP($L$5&amp;$C99,CHOOSE({1,2},D_技能表!$C$2:$C$1210&amp;D_技能表!$E$2:$E$1210,D_技能表!$W$2:$W$1210),2,FALSE),0)</f>
        <v>0</v>
      </c>
      <c r="O99">
        <f t="array" aca="1" ref="O99" ca="1">IFERROR(VLOOKUP($L$5&amp;$C99,CHOOSE({1,2},D_技能表!$C$2:$C$1210&amp;D_技能表!$E$2:$E$1210,D_技能表!$Z$2:$Z$1210),2,FALSE),0)</f>
        <v>0</v>
      </c>
      <c r="P99">
        <f t="array" aca="1" ref="P99" ca="1">IFERROR(VLOOKUP($P$5&amp;$C99,CHOOSE({1,2},D_技能表!$C$2:$C$1210&amp;D_技能表!$E$2:$E$1210,D_技能表!$I$2:$I$1210),2,FALSE),0)</f>
        <v>0</v>
      </c>
      <c r="Q99">
        <f t="array" aca="1" ref="Q99" ca="1">IFERROR(VLOOKUP($P$5&amp;$C99,CHOOSE({1,2},D_技能表!$C$2:$C$1210&amp;D_技能表!$E$2:$E$1210,D_技能表!$N$2:$N$1210),2,FALSE),0)</f>
        <v>0</v>
      </c>
      <c r="R99">
        <f t="array" aca="1" ref="R99" ca="1">IFERROR(VLOOKUP($P$5&amp;$C99,CHOOSE({1,2},D_技能表!$C$2:$C$1210&amp;D_技能表!$E$2:$E$1210,D_技能表!$W$2:$W$1210),2,FALSE),0)</f>
        <v>0</v>
      </c>
      <c r="S99">
        <f t="array" aca="1" ref="S99" ca="1">IFERROR(VLOOKUP($P$5&amp;$C99,CHOOSE({1,2},D_技能表!$C$2:$C$1210&amp;D_技能表!$E$2:$E$1210,D_技能表!$Z$2:$Z$1210),2,FALSE),0)</f>
        <v>0</v>
      </c>
      <c r="T99">
        <f t="array" aca="1" ref="T99" ca="1">IFERROR(VLOOKUP($T$5&amp;$C99,CHOOSE({1,2},D_技能表!$C$2:$C$1210&amp;D_技能表!$E$2:$E$1210,D_技能表!$I$2:$I$1210),2,FALSE),0)</f>
        <v>0</v>
      </c>
      <c r="U99">
        <f t="array" aca="1" ref="U99" ca="1">IFERROR(VLOOKUP($T$5&amp;$C99,CHOOSE({1,2},D_技能表!$C$2:$C$1210&amp;D_技能表!$E$2:$E$1210,D_技能表!$N$2:$N$1210),2,FALSE),0)</f>
        <v>0</v>
      </c>
      <c r="V99">
        <f t="array" aca="1" ref="V99" ca="1">IFERROR(VLOOKUP($T$5&amp;$C99,CHOOSE({1,2},D_技能表!$C$2:$C$1210&amp;D_技能表!$E$2:$E$1210,D_技能表!$W$2:$W$1210),2,FALSE),0)</f>
        <v>0</v>
      </c>
      <c r="W99">
        <f t="array" aca="1" ref="W99" ca="1">IFERROR(VLOOKUP($T$5&amp;$C99,CHOOSE({1,2},D_技能表!$C$2:$C$1210&amp;D_技能表!$E$2:$E$1210,D_技能表!$Z$2:$Z$1210),2,FALSE),0)</f>
        <v>0</v>
      </c>
      <c r="X99">
        <f t="array" aca="1" ref="X99" ca="1">IFERROR(VLOOKUP($X$5&amp;$C99,CHOOSE({1,2},D_技能表!$C$2:$C$1210&amp;D_技能表!$E$2:$E$1210,D_技能表!$I$2:$I$1210),2,FALSE),0)</f>
        <v>0</v>
      </c>
      <c r="Y99">
        <f t="array" aca="1" ref="Y99" ca="1">IFERROR(VLOOKUP($X$5&amp;$C99,CHOOSE({1,2},D_技能表!$C$2:$C$1210&amp;D_技能表!$E$2:$E$1210,D_技能表!$N$2:$N$1210),2,FALSE),0)</f>
        <v>0</v>
      </c>
      <c r="Z99">
        <f t="array" aca="1" ref="Z99" ca="1">IFERROR(VLOOKUP($X$5&amp;$C99,CHOOSE({1,2},D_技能表!$C$2:$C$1210&amp;D_技能表!$E$2:$E$1210,D_技能表!$W$2:$W$1210),2,FALSE),0)</f>
        <v>0</v>
      </c>
      <c r="AA99">
        <f t="array" aca="1" ref="AA99" ca="1">IFERROR(VLOOKUP($X$5&amp;$C99,CHOOSE({1,2},D_技能表!$C$2:$C$1210&amp;D_技能表!$E$2:$E$1210,D_技能表!$Z$2:$Z$1210),2,FALSE),0)</f>
        <v>0</v>
      </c>
      <c r="AB99">
        <f t="array" aca="1" ref="AB99" ca="1">IFERROR(VLOOKUP($AB$5&amp;$C99,CHOOSE({1,2},D_技能表!$C$2:$C$1210&amp;D_技能表!$E$2:$E$1210,D_技能表!$I$2:$I$1210),2,FALSE),0)</f>
        <v>0</v>
      </c>
      <c r="AC99">
        <f t="array" aca="1" ref="AC99" ca="1">IFERROR(VLOOKUP($AB$5&amp;$C99,CHOOSE({1,2},D_技能表!$C$2:$C$1210&amp;D_技能表!$E$2:$E$1210,D_技能表!$N$2:$N$1210),2,FALSE),0)</f>
        <v>0</v>
      </c>
      <c r="AD99">
        <f t="array" aca="1" ref="AD99" ca="1">IFERROR(VLOOKUP($AB$5&amp;$C99,CHOOSE({1,2},D_技能表!$C$2:$C$1210&amp;D_技能表!$E$2:$E$1210,D_技能表!$W$2:$W$1210),2,FALSE),0)</f>
        <v>0</v>
      </c>
      <c r="AE99">
        <f t="array" aca="1" ref="AE99" ca="1">IFERROR(VLOOKUP($AB$5&amp;$C99,CHOOSE({1,2},D_技能表!$C$2:$C$1210&amp;D_技能表!$E$2:$E$1210,D_技能表!$Z$2:$Z$1210),2,FALSE),0)</f>
        <v>0</v>
      </c>
      <c r="AF99">
        <f t="array" aca="1" ref="AF99" ca="1">IFERROR(VLOOKUP($AF$5&amp;$C99,CHOOSE({1,2},D_技能表!$C$2:$C$1210&amp;D_技能表!$E$2:$E$1210,D_技能表!$I$2:$I$1210),2,FALSE),0)</f>
        <v>0</v>
      </c>
      <c r="AG99">
        <f t="array" aca="1" ref="AG99" ca="1">IFERROR(VLOOKUP($AF$5&amp;$C99,CHOOSE({1,2},D_技能表!$C$2:$C$1210&amp;D_技能表!$E$2:$E$1210,D_技能表!$N$2:$N$1210),2,FALSE),0)</f>
        <v>0</v>
      </c>
      <c r="AH99">
        <f t="array" aca="1" ref="AH99" ca="1">IFERROR(VLOOKUP($AF$5&amp;$C99,CHOOSE({1,2},D_技能表!$C$2:$C$1210&amp;D_技能表!$E$2:$E$1210,D_技能表!$W$2:$W$1210),2,FALSE),0)</f>
        <v>0</v>
      </c>
      <c r="AI99">
        <f t="array" aca="1" ref="AI99" ca="1">IFERROR(VLOOKUP($AF$5&amp;$C99,CHOOSE({1,2},D_技能表!$C$2:$C$1210&amp;D_技能表!$E$2:$E$1210,D_技能表!$Z$2:$Z$1210),2,FALSE),0)</f>
        <v>0</v>
      </c>
      <c r="AJ99">
        <f t="array" aca="1" ref="AJ99" ca="1">IFERROR(VLOOKUP($AJ$5&amp;$C99,CHOOSE({1,2},D_技能表!$C$2:$C$1210&amp;D_技能表!$E$2:$E$1210,D_技能表!$I$2:$I$1210),2,FALSE),0)</f>
        <v>0</v>
      </c>
      <c r="AK99">
        <f t="array" aca="1" ref="AK99" ca="1">IFERROR(VLOOKUP($AJ$5&amp;$C99,CHOOSE({1,2},D_技能表!$C$2:$C$1210&amp;D_技能表!$E$2:$E$1210,D_技能表!$N$2:$N$1210),2,FALSE),0)</f>
        <v>0</v>
      </c>
      <c r="AL99">
        <f t="array" aca="1" ref="AL99" ca="1">IFERROR(VLOOKUP($AJ$5&amp;$C99,CHOOSE({1,2},D_技能表!$C$2:$C$1210&amp;D_技能表!$E$2:$E$1210,D_技能表!$W$2:$W$1210),2,FALSE),0)</f>
        <v>0</v>
      </c>
      <c r="AM99">
        <f t="array" aca="1" ref="AM99" ca="1">IFERROR(VLOOKUP($AJ$5&amp;$C99,CHOOSE({1,2},D_技能表!$C$2:$C$1210&amp;D_技能表!$E$2:$E$1210,D_技能表!$Z$2:$Z$1210),2,FALSE),0)</f>
        <v>0</v>
      </c>
      <c r="AN99">
        <f t="array" aca="1" ref="AN99" ca="1">IFERROR(VLOOKUP($AN$5&amp;$C99,CHOOSE({1,2},D_技能表!$C$2:$C$1210&amp;D_技能表!$E$2:$E$1210,D_技能表!$I$2:$I$1210),2,FALSE),0)</f>
        <v>0</v>
      </c>
      <c r="AO99">
        <f t="array" aca="1" ref="AO99" ca="1">IFERROR(VLOOKUP($AN$5&amp;$C99,CHOOSE({1,2},D_技能表!$C$2:$C$1210&amp;D_技能表!$E$2:$E$1210,D_技能表!$N$2:$N$1210),2,FALSE),0)</f>
        <v>0</v>
      </c>
      <c r="AP99">
        <f t="array" aca="1" ref="AP99" ca="1">IFERROR(VLOOKUP($AN$5&amp;$C99,CHOOSE({1,2},D_技能表!$C$2:$C$1210&amp;D_技能表!$E$2:$E$1210,D_技能表!$W$2:$W$1210),2,FALSE),0)</f>
        <v>0</v>
      </c>
      <c r="AQ99">
        <f t="array" aca="1" ref="AQ99" ca="1">IFERROR(VLOOKUP($AN$5&amp;$C99,CHOOSE({1,2},D_技能表!$C$2:$C$1210&amp;D_技能表!$E$2:$E$1210,D_技能表!$Z$2:$Z$1210),2,FALSE),0)</f>
        <v>0</v>
      </c>
      <c r="AR99" s="11">
        <f ca="1">SUM($G$7:G100,$K$7:K100,$O$7:O100,$S$7:S100,$W$7:W100,$AA$7:AA100,$AE$7:AE100,$AI$7:AI100,$AM$7:AM100,$AQ$7:AQ100)</f>
        <v>7724</v>
      </c>
      <c r="AS99">
        <f ca="1">SUM($F$7:F100,$J$7:J100,$N$7:N100,$R$7:R100,$V$7:V100,$Z$7:Z100,$AD$7:AD100,$AH$7:AH100,$AL$7:AL100,$AP$7:AP100)</f>
        <v>20474</v>
      </c>
      <c r="AT99">
        <f t="shared" ca="1" si="3"/>
        <v>0</v>
      </c>
      <c r="AU99" s="33">
        <f ca="1">SUM($AX$7:AX99,$BB$7:BB99,$BF$7:BF99,$BJ$7:BJ99)</f>
        <v>5566350</v>
      </c>
      <c r="AV99">
        <v>93</v>
      </c>
      <c r="AW99">
        <f t="array" ref="AW99">IFERROR(VLOOKUP(AW$5&amp;$AV99,CHOOSE({1,2},D_技能表CD!$C$2:$C$313&amp;D_技能表CD!$E$2:$E$313,D_技能表CD!$I$2:$I$313),2,FALSE),0)</f>
        <v>0</v>
      </c>
      <c r="AX99">
        <f t="array" aca="1" ref="AX99" ca="1">IFERROR(VLOOKUP(AW$5&amp;$AV99,CHOOSE({1,2},D_技能表CD!$C$2:$C$313&amp;D_技能表CD!$E$2:$E$313,D_技能表CD!$H$2:$H$313),2,FALSE),0)</f>
        <v>0</v>
      </c>
      <c r="AY99">
        <f t="array" aca="1" ref="AY99" ca="1">IFERROR(VLOOKUP(AW$5&amp;$AV99,CHOOSE({1,2},D_技能表CD!$C$2:$C$313&amp;D_技能表CD!$E$2:$E$313,D_技能表CD!$L$2:$L$313),2,FALSE),0)</f>
        <v>0</v>
      </c>
      <c r="AZ99">
        <f t="array" aca="1" ref="AZ99" ca="1">IFERROR(VLOOKUP(AW$5&amp;$AV99,CHOOSE({1,2},D_技能表CD!$C$2:$C$313&amp;D_技能表CD!$E$2:$E$313,D_技能表CD!$K$2:$K$313),2,FALSE),0)</f>
        <v>0</v>
      </c>
      <c r="BA99">
        <f t="array" ref="BA99">IFERROR(VLOOKUP(BA$5&amp;$AV99,CHOOSE({1,2},D_技能表CD!$C$2:$C$313&amp;D_技能表CD!$E$2:$E$313,D_技能表CD!$I$2:$I$313),2,FALSE),0)</f>
        <v>0</v>
      </c>
      <c r="BB99">
        <f t="array" aca="1" ref="BB99" ca="1">IFERROR(VLOOKUP(BA$5&amp;$AV99,CHOOSE({1,2},D_技能表CD!$C$2:$C$313&amp;D_技能表CD!$E$2:$E$313,D_技能表CD!$H$2:$H$313),2,FALSE),0)</f>
        <v>0</v>
      </c>
      <c r="BC99">
        <f t="array" aca="1" ref="BC99" ca="1">IFERROR(VLOOKUP(BA$5&amp;$AV99,CHOOSE({1,2},D_技能表CD!$C$2:$C$313&amp;D_技能表CD!$E$2:$E$313,D_技能表CD!$L$2:$L$313),2,FALSE),0)</f>
        <v>0</v>
      </c>
      <c r="BD99">
        <f t="array" aca="1" ref="BD99" ca="1">IFERROR(VLOOKUP(BA$5&amp;$AV99,CHOOSE({1,2},D_技能表CD!$C$2:$C$313&amp;D_技能表CD!$E$2:$E$313,D_技能表CD!$K$2:$K$313),2,FALSE),0)</f>
        <v>0</v>
      </c>
      <c r="BE99">
        <f t="array" ref="BE99">IFERROR(VLOOKUP(BE$5&amp;$AV99,CHOOSE({1,2},D_技能表CD!$C$2:$C$313&amp;D_技能表CD!$E$2:$E$313,D_技能表CD!$I$2:$I$313),2,FALSE),0)</f>
        <v>0</v>
      </c>
      <c r="BF99">
        <f t="array" aca="1" ref="BF99" ca="1">IFERROR(VLOOKUP(BE$5&amp;$AV99,CHOOSE({1,2},D_技能表CD!$C$2:$C$313&amp;D_技能表CD!$E$2:$E$313,D_技能表CD!$H$2:$H$313),2,FALSE),0)</f>
        <v>0</v>
      </c>
      <c r="BG99">
        <f t="array" aca="1" ref="BG99" ca="1">IFERROR(VLOOKUP(BE$5&amp;$AV99,CHOOSE({1,2},D_技能表CD!$C$2:$C$313&amp;D_技能表CD!$E$2:$E$313,D_技能表CD!$L$2:$L$313),2,FALSE),0)</f>
        <v>0</v>
      </c>
      <c r="BH99">
        <f t="array" aca="1" ref="BH99" ca="1">IFERROR(VLOOKUP(BE$5&amp;$AV99,CHOOSE({1,2},D_技能表CD!$C$2:$C$313&amp;D_技能表CD!$E$2:$E$313,D_技能表CD!$K$2:$K$313),2,FALSE),0)</f>
        <v>0</v>
      </c>
      <c r="BI99">
        <f t="array" ref="BI99">IFERROR(VLOOKUP(BI$5&amp;$AV99,CHOOSE({1,2},D_技能表CD!$C$2:$C$313&amp;D_技能表CD!$E$2:$E$313,D_技能表CD!$I$2:$I$313),2,FALSE),0)</f>
        <v>0</v>
      </c>
      <c r="BJ99">
        <f t="array" aca="1" ref="BJ99" ca="1">IFERROR(VLOOKUP(BI$5&amp;$AV99,CHOOSE({1,2},D_技能表CD!$C$2:$C$313&amp;D_技能表CD!$E$2:$E$313,D_技能表CD!$H$2:$H$313),2,FALSE),0)</f>
        <v>0</v>
      </c>
      <c r="BK99">
        <f t="array" aca="1" ref="BK99" ca="1">IFERROR(VLOOKUP(BI$5&amp;$AV99,CHOOSE({1,2},D_技能表CD!$C$2:$C$313&amp;D_技能表CD!$E$2:$E$313,D_技能表CD!$L$2:$L$313),2,FALSE),0)</f>
        <v>0</v>
      </c>
      <c r="BL99">
        <f t="array" aca="1" ref="BL99" ca="1">IFERROR(VLOOKUP(BI$5&amp;$AV99,CHOOSE({1,2},D_技能表CD!$C$2:$C$313&amp;D_技能表CD!$E$2:$E$313,D_技能表CD!$K$2:$K$313),2,FALSE),0)</f>
        <v>0</v>
      </c>
    </row>
    <row r="100" spans="1:64" x14ac:dyDescent="0.15">
      <c r="A100">
        <f t="shared" ca="1" si="2"/>
        <v>60615598</v>
      </c>
      <c r="B100" s="34">
        <f ca="1">SUM($E$7:E100,$I$7:I100,$M$7:M100,$Q$7:Q100,$U$7:U100,$Y$7:Y100,$AC$7:AC100,$AG$7:AG100,$AK$7:AK100,$AO$7:AO100)</f>
        <v>55049248</v>
      </c>
      <c r="C100">
        <v>94</v>
      </c>
      <c r="D100">
        <f t="array" aca="1" ref="D100" ca="1">IFERROR(VLOOKUP($D$5&amp;C100,CHOOSE({1,2},D_技能表!$C$2:$C$1210&amp;D_技能表!$E$2:$E$1210,D_技能表!$I$2:$I$1210),2,FALSE),0)</f>
        <v>0</v>
      </c>
      <c r="E100">
        <f t="array" aca="1" ref="E100" ca="1">IFERROR(VLOOKUP($D$5&amp;$C100,CHOOSE({1,2},D_技能表!$C$2:$C$1210&amp;D_技能表!$E$2:$E$1210,D_技能表!$N$2:$N$1210),2,FALSE),0)</f>
        <v>0</v>
      </c>
      <c r="F100">
        <f t="array" aca="1" ref="F100" ca="1">IFERROR(VLOOKUP($D$5&amp;$C100,CHOOSE({1,2},D_技能表!$C$2:$C$1210&amp;D_技能表!$E$2:$E$1210,D_技能表!$W$2:$W$1210),2,FALSE),0)</f>
        <v>0</v>
      </c>
      <c r="G100">
        <f t="array" aca="1" ref="G100" ca="1">IFERROR(VLOOKUP($D$5&amp;$C100,CHOOSE({1,2},D_技能表!$C$2:$C$1210&amp;D_技能表!$E$2:$E$1210,D_技能表!$Z$2:$Z$1210),2,FALSE),0)</f>
        <v>0</v>
      </c>
      <c r="H100">
        <f t="array" aca="1" ref="H100" ca="1">IFERROR(VLOOKUP($H$5&amp;$C100,CHOOSE({1,2},D_技能表!$C$2:$C$1210&amp;D_技能表!$E$2:$E$1210,D_技能表!$I$2:$I$1210),2,FALSE),0)</f>
        <v>0</v>
      </c>
      <c r="I100">
        <f t="array" aca="1" ref="I100" ca="1">IFERROR(VLOOKUP($H$5&amp;$C100,CHOOSE({1,2},D_技能表!$C$2:$C$1210&amp;D_技能表!$E$2:$E$1210,D_技能表!$N$2:$N$1210),2,FALSE),0)</f>
        <v>0</v>
      </c>
      <c r="J100">
        <f t="array" aca="1" ref="J100" ca="1">IFERROR(VLOOKUP($H$5&amp;$C100,CHOOSE({1,2},D_技能表!$C$2:$C$1210&amp;D_技能表!$E$2:$E$1210,D_技能表!$W$2:$W$1210),2,FALSE),0)</f>
        <v>0</v>
      </c>
      <c r="K100">
        <f t="array" aca="1" ref="K100" ca="1">IFERROR(VLOOKUP($H$5&amp;$C100,CHOOSE({1,2},D_技能表!$C$2:$C$1210&amp;D_技能表!$E$2:$E$1210,D_技能表!$Z$2:$Z$1210),2,FALSE),0)</f>
        <v>0</v>
      </c>
      <c r="L100">
        <f t="array" aca="1" ref="L100" ca="1">IFERROR(VLOOKUP($L$5&amp;$C100,CHOOSE({1,2},D_技能表!$C$2:$C$1210&amp;D_技能表!$E$2:$E$1210,D_技能表!$I$2:$I$1210),2,FALSE),0)</f>
        <v>0</v>
      </c>
      <c r="M100">
        <f t="array" aca="1" ref="M100" ca="1">IFERROR(VLOOKUP($L$5&amp;$C100,CHOOSE({1,2},D_技能表!$C$2:$C$1210&amp;D_技能表!$E$2:$E$1210,D_技能表!$N$2:$N$1210),2,FALSE),0)</f>
        <v>0</v>
      </c>
      <c r="N100">
        <f t="array" aca="1" ref="N100" ca="1">IFERROR(VLOOKUP($L$5&amp;$C100,CHOOSE({1,2},D_技能表!$C$2:$C$1210&amp;D_技能表!$E$2:$E$1210,D_技能表!$W$2:$W$1210),2,FALSE),0)</f>
        <v>0</v>
      </c>
      <c r="O100">
        <f t="array" aca="1" ref="O100" ca="1">IFERROR(VLOOKUP($L$5&amp;$C100,CHOOSE({1,2},D_技能表!$C$2:$C$1210&amp;D_技能表!$E$2:$E$1210,D_技能表!$Z$2:$Z$1210),2,FALSE),0)</f>
        <v>0</v>
      </c>
      <c r="P100">
        <f t="array" aca="1" ref="P100" ca="1">IFERROR(VLOOKUP($P$5&amp;$C100,CHOOSE({1,2},D_技能表!$C$2:$C$1210&amp;D_技能表!$E$2:$E$1210,D_技能表!$I$2:$I$1210),2,FALSE),0)</f>
        <v>0</v>
      </c>
      <c r="Q100">
        <f t="array" aca="1" ref="Q100" ca="1">IFERROR(VLOOKUP($P$5&amp;$C100,CHOOSE({1,2},D_技能表!$C$2:$C$1210&amp;D_技能表!$E$2:$E$1210,D_技能表!$N$2:$N$1210),2,FALSE),0)</f>
        <v>0</v>
      </c>
      <c r="R100">
        <f t="array" aca="1" ref="R100" ca="1">IFERROR(VLOOKUP($P$5&amp;$C100,CHOOSE({1,2},D_技能表!$C$2:$C$1210&amp;D_技能表!$E$2:$E$1210,D_技能表!$W$2:$W$1210),2,FALSE),0)</f>
        <v>0</v>
      </c>
      <c r="S100">
        <f t="array" aca="1" ref="S100" ca="1">IFERROR(VLOOKUP($P$5&amp;$C100,CHOOSE({1,2},D_技能表!$C$2:$C$1210&amp;D_技能表!$E$2:$E$1210,D_技能表!$Z$2:$Z$1210),2,FALSE),0)</f>
        <v>0</v>
      </c>
      <c r="T100">
        <f t="array" aca="1" ref="T100" ca="1">IFERROR(VLOOKUP($T$5&amp;$C100,CHOOSE({1,2},D_技能表!$C$2:$C$1210&amp;D_技能表!$E$2:$E$1210,D_技能表!$I$2:$I$1210),2,FALSE),0)</f>
        <v>0</v>
      </c>
      <c r="U100">
        <f t="array" aca="1" ref="U100" ca="1">IFERROR(VLOOKUP($T$5&amp;$C100,CHOOSE({1,2},D_技能表!$C$2:$C$1210&amp;D_技能表!$E$2:$E$1210,D_技能表!$N$2:$N$1210),2,FALSE),0)</f>
        <v>0</v>
      </c>
      <c r="V100">
        <f t="array" aca="1" ref="V100" ca="1">IFERROR(VLOOKUP($T$5&amp;$C100,CHOOSE({1,2},D_技能表!$C$2:$C$1210&amp;D_技能表!$E$2:$E$1210,D_技能表!$W$2:$W$1210),2,FALSE),0)</f>
        <v>0</v>
      </c>
      <c r="W100">
        <f t="array" aca="1" ref="W100" ca="1">IFERROR(VLOOKUP($T$5&amp;$C100,CHOOSE({1,2},D_技能表!$C$2:$C$1210&amp;D_技能表!$E$2:$E$1210,D_技能表!$Z$2:$Z$1210),2,FALSE),0)</f>
        <v>0</v>
      </c>
      <c r="X100">
        <f t="array" aca="1" ref="X100" ca="1">IFERROR(VLOOKUP($X$5&amp;$C100,CHOOSE({1,2},D_技能表!$C$2:$C$1210&amp;D_技能表!$E$2:$E$1210,D_技能表!$I$2:$I$1210),2,FALSE),0)</f>
        <v>0</v>
      </c>
      <c r="Y100">
        <f t="array" aca="1" ref="Y100" ca="1">IFERROR(VLOOKUP($X$5&amp;$C100,CHOOSE({1,2},D_技能表!$C$2:$C$1210&amp;D_技能表!$E$2:$E$1210,D_技能表!$N$2:$N$1210),2,FALSE),0)</f>
        <v>0</v>
      </c>
      <c r="Z100">
        <f t="array" aca="1" ref="Z100" ca="1">IFERROR(VLOOKUP($X$5&amp;$C100,CHOOSE({1,2},D_技能表!$C$2:$C$1210&amp;D_技能表!$E$2:$E$1210,D_技能表!$W$2:$W$1210),2,FALSE),0)</f>
        <v>0</v>
      </c>
      <c r="AA100">
        <f t="array" aca="1" ref="AA100" ca="1">IFERROR(VLOOKUP($X$5&amp;$C100,CHOOSE({1,2},D_技能表!$C$2:$C$1210&amp;D_技能表!$E$2:$E$1210,D_技能表!$Z$2:$Z$1210),2,FALSE),0)</f>
        <v>0</v>
      </c>
      <c r="AB100">
        <f t="array" aca="1" ref="AB100" ca="1">IFERROR(VLOOKUP($AB$5&amp;$C100,CHOOSE({1,2},D_技能表!$C$2:$C$1210&amp;D_技能表!$E$2:$E$1210,D_技能表!$I$2:$I$1210),2,FALSE),0)</f>
        <v>0</v>
      </c>
      <c r="AC100">
        <f t="array" aca="1" ref="AC100" ca="1">IFERROR(VLOOKUP($AB$5&amp;$C100,CHOOSE({1,2},D_技能表!$C$2:$C$1210&amp;D_技能表!$E$2:$E$1210,D_技能表!$N$2:$N$1210),2,FALSE),0)</f>
        <v>0</v>
      </c>
      <c r="AD100">
        <f t="array" aca="1" ref="AD100" ca="1">IFERROR(VLOOKUP($AB$5&amp;$C100,CHOOSE({1,2},D_技能表!$C$2:$C$1210&amp;D_技能表!$E$2:$E$1210,D_技能表!$W$2:$W$1210),2,FALSE),0)</f>
        <v>0</v>
      </c>
      <c r="AE100">
        <f t="array" aca="1" ref="AE100" ca="1">IFERROR(VLOOKUP($AB$5&amp;$C100,CHOOSE({1,2},D_技能表!$C$2:$C$1210&amp;D_技能表!$E$2:$E$1210,D_技能表!$Z$2:$Z$1210),2,FALSE),0)</f>
        <v>0</v>
      </c>
      <c r="AF100">
        <f t="array" aca="1" ref="AF100" ca="1">IFERROR(VLOOKUP($AF$5&amp;$C100,CHOOSE({1,2},D_技能表!$C$2:$C$1210&amp;D_技能表!$E$2:$E$1210,D_技能表!$I$2:$I$1210),2,FALSE),0)</f>
        <v>0</v>
      </c>
      <c r="AG100">
        <f t="array" aca="1" ref="AG100" ca="1">IFERROR(VLOOKUP($AF$5&amp;$C100,CHOOSE({1,2},D_技能表!$C$2:$C$1210&amp;D_技能表!$E$2:$E$1210,D_技能表!$N$2:$N$1210),2,FALSE),0)</f>
        <v>0</v>
      </c>
      <c r="AH100">
        <f t="array" aca="1" ref="AH100" ca="1">IFERROR(VLOOKUP($AF$5&amp;$C100,CHOOSE({1,2},D_技能表!$C$2:$C$1210&amp;D_技能表!$E$2:$E$1210,D_技能表!$W$2:$W$1210),2,FALSE),0)</f>
        <v>0</v>
      </c>
      <c r="AI100">
        <f t="array" aca="1" ref="AI100" ca="1">IFERROR(VLOOKUP($AF$5&amp;$C100,CHOOSE({1,2},D_技能表!$C$2:$C$1210&amp;D_技能表!$E$2:$E$1210,D_技能表!$Z$2:$Z$1210),2,FALSE),0)</f>
        <v>0</v>
      </c>
      <c r="AJ100">
        <f t="array" aca="1" ref="AJ100" ca="1">IFERROR(VLOOKUP($AJ$5&amp;$C100,CHOOSE({1,2},D_技能表!$C$2:$C$1210&amp;D_技能表!$E$2:$E$1210,D_技能表!$I$2:$I$1210),2,FALSE),0)</f>
        <v>0</v>
      </c>
      <c r="AK100">
        <f t="array" aca="1" ref="AK100" ca="1">IFERROR(VLOOKUP($AJ$5&amp;$C100,CHOOSE({1,2},D_技能表!$C$2:$C$1210&amp;D_技能表!$E$2:$E$1210,D_技能表!$N$2:$N$1210),2,FALSE),0)</f>
        <v>0</v>
      </c>
      <c r="AL100">
        <f t="array" aca="1" ref="AL100" ca="1">IFERROR(VLOOKUP($AJ$5&amp;$C100,CHOOSE({1,2},D_技能表!$C$2:$C$1210&amp;D_技能表!$E$2:$E$1210,D_技能表!$W$2:$W$1210),2,FALSE),0)</f>
        <v>0</v>
      </c>
      <c r="AM100">
        <f t="array" aca="1" ref="AM100" ca="1">IFERROR(VLOOKUP($AJ$5&amp;$C100,CHOOSE({1,2},D_技能表!$C$2:$C$1210&amp;D_技能表!$E$2:$E$1210,D_技能表!$Z$2:$Z$1210),2,FALSE),0)</f>
        <v>0</v>
      </c>
      <c r="AN100">
        <f t="array" aca="1" ref="AN100" ca="1">IFERROR(VLOOKUP($AN$5&amp;$C100,CHOOSE({1,2},D_技能表!$C$2:$C$1210&amp;D_技能表!$E$2:$E$1210,D_技能表!$I$2:$I$1210),2,FALSE),0)</f>
        <v>0</v>
      </c>
      <c r="AO100">
        <f t="array" aca="1" ref="AO100" ca="1">IFERROR(VLOOKUP($AN$5&amp;$C100,CHOOSE({1,2},D_技能表!$C$2:$C$1210&amp;D_技能表!$E$2:$E$1210,D_技能表!$N$2:$N$1210),2,FALSE),0)</f>
        <v>0</v>
      </c>
      <c r="AP100">
        <f t="array" aca="1" ref="AP100" ca="1">IFERROR(VLOOKUP($AN$5&amp;$C100,CHOOSE({1,2},D_技能表!$C$2:$C$1210&amp;D_技能表!$E$2:$E$1210,D_技能表!$W$2:$W$1210),2,FALSE),0)</f>
        <v>0</v>
      </c>
      <c r="AQ100">
        <f t="array" aca="1" ref="AQ100" ca="1">IFERROR(VLOOKUP($AN$5&amp;$C100,CHOOSE({1,2},D_技能表!$C$2:$C$1210&amp;D_技能表!$E$2:$E$1210,D_技能表!$Z$2:$Z$1210),2,FALSE),0)</f>
        <v>0</v>
      </c>
      <c r="AR100" s="11">
        <f ca="1">SUM($G$7:G101,$K$7:K101,$O$7:O101,$S$7:S101,$W$7:W101,$AA$7:AA101,$AE$7:AE101,$AI$7:AI101,$AM$7:AM101,$AQ$7:AQ101)</f>
        <v>7724</v>
      </c>
      <c r="AS100">
        <f ca="1">SUM($F$7:F101,$J$7:J101,$N$7:N101,$R$7:R101,$V$7:V101,$Z$7:Z101,$AD$7:AD101,$AH$7:AH101,$AL$7:AL101,$AP$7:AP101)</f>
        <v>20474</v>
      </c>
      <c r="AT100">
        <f t="shared" ca="1" si="3"/>
        <v>0</v>
      </c>
      <c r="AU100" s="33">
        <f ca="1">SUM($AX$7:AX100,$BB$7:BB100,$BF$7:BF100,$BJ$7:BJ100)</f>
        <v>5566350</v>
      </c>
      <c r="AV100">
        <v>94</v>
      </c>
      <c r="AW100">
        <f t="array" ref="AW100">IFERROR(VLOOKUP(AW$5&amp;$AV100,CHOOSE({1,2},D_技能表CD!$C$2:$C$313&amp;D_技能表CD!$E$2:$E$313,D_技能表CD!$I$2:$I$313),2,FALSE),0)</f>
        <v>0</v>
      </c>
      <c r="AX100">
        <f t="array" aca="1" ref="AX100" ca="1">IFERROR(VLOOKUP(AW$5&amp;$AV100,CHOOSE({1,2},D_技能表CD!$C$2:$C$313&amp;D_技能表CD!$E$2:$E$313,D_技能表CD!$H$2:$H$313),2,FALSE),0)</f>
        <v>0</v>
      </c>
      <c r="AY100">
        <f t="array" aca="1" ref="AY100" ca="1">IFERROR(VLOOKUP(AW$5&amp;$AV100,CHOOSE({1,2},D_技能表CD!$C$2:$C$313&amp;D_技能表CD!$E$2:$E$313,D_技能表CD!$L$2:$L$313),2,FALSE),0)</f>
        <v>0</v>
      </c>
      <c r="AZ100">
        <f t="array" aca="1" ref="AZ100" ca="1">IFERROR(VLOOKUP(AW$5&amp;$AV100,CHOOSE({1,2},D_技能表CD!$C$2:$C$313&amp;D_技能表CD!$E$2:$E$313,D_技能表CD!$K$2:$K$313),2,FALSE),0)</f>
        <v>0</v>
      </c>
      <c r="BA100">
        <f t="array" ref="BA100">IFERROR(VLOOKUP(BA$5&amp;$AV100,CHOOSE({1,2},D_技能表CD!$C$2:$C$313&amp;D_技能表CD!$E$2:$E$313,D_技能表CD!$I$2:$I$313),2,FALSE),0)</f>
        <v>0</v>
      </c>
      <c r="BB100">
        <f t="array" aca="1" ref="BB100" ca="1">IFERROR(VLOOKUP(BA$5&amp;$AV100,CHOOSE({1,2},D_技能表CD!$C$2:$C$313&amp;D_技能表CD!$E$2:$E$313,D_技能表CD!$H$2:$H$313),2,FALSE),0)</f>
        <v>0</v>
      </c>
      <c r="BC100">
        <f t="array" aca="1" ref="BC100" ca="1">IFERROR(VLOOKUP(BA$5&amp;$AV100,CHOOSE({1,2},D_技能表CD!$C$2:$C$313&amp;D_技能表CD!$E$2:$E$313,D_技能表CD!$L$2:$L$313),2,FALSE),0)</f>
        <v>0</v>
      </c>
      <c r="BD100">
        <f t="array" aca="1" ref="BD100" ca="1">IFERROR(VLOOKUP(BA$5&amp;$AV100,CHOOSE({1,2},D_技能表CD!$C$2:$C$313&amp;D_技能表CD!$E$2:$E$313,D_技能表CD!$K$2:$K$313),2,FALSE),0)</f>
        <v>0</v>
      </c>
      <c r="BE100">
        <f t="array" ref="BE100">IFERROR(VLOOKUP(BE$5&amp;$AV100,CHOOSE({1,2},D_技能表CD!$C$2:$C$313&amp;D_技能表CD!$E$2:$E$313,D_技能表CD!$I$2:$I$313),2,FALSE),0)</f>
        <v>0</v>
      </c>
      <c r="BF100">
        <f t="array" aca="1" ref="BF100" ca="1">IFERROR(VLOOKUP(BE$5&amp;$AV100,CHOOSE({1,2},D_技能表CD!$C$2:$C$313&amp;D_技能表CD!$E$2:$E$313,D_技能表CD!$H$2:$H$313),2,FALSE),0)</f>
        <v>0</v>
      </c>
      <c r="BG100">
        <f t="array" aca="1" ref="BG100" ca="1">IFERROR(VLOOKUP(BE$5&amp;$AV100,CHOOSE({1,2},D_技能表CD!$C$2:$C$313&amp;D_技能表CD!$E$2:$E$313,D_技能表CD!$L$2:$L$313),2,FALSE),0)</f>
        <v>0</v>
      </c>
      <c r="BH100">
        <f t="array" aca="1" ref="BH100" ca="1">IFERROR(VLOOKUP(BE$5&amp;$AV100,CHOOSE({1,2},D_技能表CD!$C$2:$C$313&amp;D_技能表CD!$E$2:$E$313,D_技能表CD!$K$2:$K$313),2,FALSE),0)</f>
        <v>0</v>
      </c>
      <c r="BI100">
        <f t="array" ref="BI100">IFERROR(VLOOKUP(BI$5&amp;$AV100,CHOOSE({1,2},D_技能表CD!$C$2:$C$313&amp;D_技能表CD!$E$2:$E$313,D_技能表CD!$I$2:$I$313),2,FALSE),0)</f>
        <v>0</v>
      </c>
      <c r="BJ100">
        <f t="array" aca="1" ref="BJ100" ca="1">IFERROR(VLOOKUP(BI$5&amp;$AV100,CHOOSE({1,2},D_技能表CD!$C$2:$C$313&amp;D_技能表CD!$E$2:$E$313,D_技能表CD!$H$2:$H$313),2,FALSE),0)</f>
        <v>0</v>
      </c>
      <c r="BK100">
        <f t="array" aca="1" ref="BK100" ca="1">IFERROR(VLOOKUP(BI$5&amp;$AV100,CHOOSE({1,2},D_技能表CD!$C$2:$C$313&amp;D_技能表CD!$E$2:$E$313,D_技能表CD!$L$2:$L$313),2,FALSE),0)</f>
        <v>0</v>
      </c>
      <c r="BL100">
        <f t="array" aca="1" ref="BL100" ca="1">IFERROR(VLOOKUP(BI$5&amp;$AV100,CHOOSE({1,2},D_技能表CD!$C$2:$C$313&amp;D_技能表CD!$E$2:$E$313,D_技能表CD!$K$2:$K$313),2,FALSE),0)</f>
        <v>0</v>
      </c>
    </row>
    <row r="101" spans="1:64" x14ac:dyDescent="0.15">
      <c r="A101">
        <f t="shared" ca="1" si="2"/>
        <v>60615598</v>
      </c>
      <c r="B101" s="34">
        <f ca="1">SUM($E$7:E101,$I$7:I101,$M$7:M101,$Q$7:Q101,$U$7:U101,$Y$7:Y101,$AC$7:AC101,$AG$7:AG101,$AK$7:AK101,$AO$7:AO101)</f>
        <v>55049248</v>
      </c>
      <c r="C101">
        <v>95</v>
      </c>
      <c r="D101">
        <f t="array" aca="1" ref="D101" ca="1">IFERROR(VLOOKUP($D$5&amp;C101,CHOOSE({1,2},D_技能表!$C$2:$C$1210&amp;D_技能表!$E$2:$E$1210,D_技能表!$I$2:$I$1210),2,FALSE),0)</f>
        <v>0</v>
      </c>
      <c r="E101">
        <f t="array" aca="1" ref="E101" ca="1">IFERROR(VLOOKUP($D$5&amp;$C101,CHOOSE({1,2},D_技能表!$C$2:$C$1210&amp;D_技能表!$E$2:$E$1210,D_技能表!$N$2:$N$1210),2,FALSE),0)</f>
        <v>0</v>
      </c>
      <c r="F101">
        <f t="array" aca="1" ref="F101" ca="1">IFERROR(VLOOKUP($D$5&amp;$C101,CHOOSE({1,2},D_技能表!$C$2:$C$1210&amp;D_技能表!$E$2:$E$1210,D_技能表!$W$2:$W$1210),2,FALSE),0)</f>
        <v>0</v>
      </c>
      <c r="G101">
        <f t="array" aca="1" ref="G101" ca="1">IFERROR(VLOOKUP($D$5&amp;$C101,CHOOSE({1,2},D_技能表!$C$2:$C$1210&amp;D_技能表!$E$2:$E$1210,D_技能表!$Z$2:$Z$1210),2,FALSE),0)</f>
        <v>0</v>
      </c>
      <c r="H101">
        <f t="array" aca="1" ref="H101" ca="1">IFERROR(VLOOKUP($H$5&amp;$C101,CHOOSE({1,2},D_技能表!$C$2:$C$1210&amp;D_技能表!$E$2:$E$1210,D_技能表!$I$2:$I$1210),2,FALSE),0)</f>
        <v>0</v>
      </c>
      <c r="I101">
        <f t="array" aca="1" ref="I101" ca="1">IFERROR(VLOOKUP($H$5&amp;$C101,CHOOSE({1,2},D_技能表!$C$2:$C$1210&amp;D_技能表!$E$2:$E$1210,D_技能表!$N$2:$N$1210),2,FALSE),0)</f>
        <v>0</v>
      </c>
      <c r="J101">
        <f t="array" aca="1" ref="J101" ca="1">IFERROR(VLOOKUP($H$5&amp;$C101,CHOOSE({1,2},D_技能表!$C$2:$C$1210&amp;D_技能表!$E$2:$E$1210,D_技能表!$W$2:$W$1210),2,FALSE),0)</f>
        <v>0</v>
      </c>
      <c r="K101">
        <f t="array" aca="1" ref="K101" ca="1">IFERROR(VLOOKUP($H$5&amp;$C101,CHOOSE({1,2},D_技能表!$C$2:$C$1210&amp;D_技能表!$E$2:$E$1210,D_技能表!$Z$2:$Z$1210),2,FALSE),0)</f>
        <v>0</v>
      </c>
      <c r="L101">
        <f t="array" aca="1" ref="L101" ca="1">IFERROR(VLOOKUP($L$5&amp;$C101,CHOOSE({1,2},D_技能表!$C$2:$C$1210&amp;D_技能表!$E$2:$E$1210,D_技能表!$I$2:$I$1210),2,FALSE),0)</f>
        <v>0</v>
      </c>
      <c r="M101">
        <f t="array" aca="1" ref="M101" ca="1">IFERROR(VLOOKUP($L$5&amp;$C101,CHOOSE({1,2},D_技能表!$C$2:$C$1210&amp;D_技能表!$E$2:$E$1210,D_技能表!$N$2:$N$1210),2,FALSE),0)</f>
        <v>0</v>
      </c>
      <c r="N101">
        <f t="array" aca="1" ref="N101" ca="1">IFERROR(VLOOKUP($L$5&amp;$C101,CHOOSE({1,2},D_技能表!$C$2:$C$1210&amp;D_技能表!$E$2:$E$1210,D_技能表!$W$2:$W$1210),2,FALSE),0)</f>
        <v>0</v>
      </c>
      <c r="O101">
        <f t="array" aca="1" ref="O101" ca="1">IFERROR(VLOOKUP($L$5&amp;$C101,CHOOSE({1,2},D_技能表!$C$2:$C$1210&amp;D_技能表!$E$2:$E$1210,D_技能表!$Z$2:$Z$1210),2,FALSE),0)</f>
        <v>0</v>
      </c>
      <c r="P101">
        <f t="array" aca="1" ref="P101" ca="1">IFERROR(VLOOKUP($P$5&amp;$C101,CHOOSE({1,2},D_技能表!$C$2:$C$1210&amp;D_技能表!$E$2:$E$1210,D_技能表!$I$2:$I$1210),2,FALSE),0)</f>
        <v>0</v>
      </c>
      <c r="Q101">
        <f t="array" aca="1" ref="Q101" ca="1">IFERROR(VLOOKUP($P$5&amp;$C101,CHOOSE({1,2},D_技能表!$C$2:$C$1210&amp;D_技能表!$E$2:$E$1210,D_技能表!$N$2:$N$1210),2,FALSE),0)</f>
        <v>0</v>
      </c>
      <c r="R101">
        <f t="array" aca="1" ref="R101" ca="1">IFERROR(VLOOKUP($P$5&amp;$C101,CHOOSE({1,2},D_技能表!$C$2:$C$1210&amp;D_技能表!$E$2:$E$1210,D_技能表!$W$2:$W$1210),2,FALSE),0)</f>
        <v>0</v>
      </c>
      <c r="S101">
        <f t="array" aca="1" ref="S101" ca="1">IFERROR(VLOOKUP($P$5&amp;$C101,CHOOSE({1,2},D_技能表!$C$2:$C$1210&amp;D_技能表!$E$2:$E$1210,D_技能表!$Z$2:$Z$1210),2,FALSE),0)</f>
        <v>0</v>
      </c>
      <c r="T101">
        <f t="array" aca="1" ref="T101" ca="1">IFERROR(VLOOKUP($T$5&amp;$C101,CHOOSE({1,2},D_技能表!$C$2:$C$1210&amp;D_技能表!$E$2:$E$1210,D_技能表!$I$2:$I$1210),2,FALSE),0)</f>
        <v>0</v>
      </c>
      <c r="U101">
        <f t="array" aca="1" ref="U101" ca="1">IFERROR(VLOOKUP($T$5&amp;$C101,CHOOSE({1,2},D_技能表!$C$2:$C$1210&amp;D_技能表!$E$2:$E$1210,D_技能表!$N$2:$N$1210),2,FALSE),0)</f>
        <v>0</v>
      </c>
      <c r="V101">
        <f t="array" aca="1" ref="V101" ca="1">IFERROR(VLOOKUP($T$5&amp;$C101,CHOOSE({1,2},D_技能表!$C$2:$C$1210&amp;D_技能表!$E$2:$E$1210,D_技能表!$W$2:$W$1210),2,FALSE),0)</f>
        <v>0</v>
      </c>
      <c r="W101">
        <f t="array" aca="1" ref="W101" ca="1">IFERROR(VLOOKUP($T$5&amp;$C101,CHOOSE({1,2},D_技能表!$C$2:$C$1210&amp;D_技能表!$E$2:$E$1210,D_技能表!$Z$2:$Z$1210),2,FALSE),0)</f>
        <v>0</v>
      </c>
      <c r="X101">
        <f t="array" aca="1" ref="X101" ca="1">IFERROR(VLOOKUP($X$5&amp;$C101,CHOOSE({1,2},D_技能表!$C$2:$C$1210&amp;D_技能表!$E$2:$E$1210,D_技能表!$I$2:$I$1210),2,FALSE),0)</f>
        <v>0</v>
      </c>
      <c r="Y101">
        <f t="array" aca="1" ref="Y101" ca="1">IFERROR(VLOOKUP($X$5&amp;$C101,CHOOSE({1,2},D_技能表!$C$2:$C$1210&amp;D_技能表!$E$2:$E$1210,D_技能表!$N$2:$N$1210),2,FALSE),0)</f>
        <v>0</v>
      </c>
      <c r="Z101">
        <f t="array" aca="1" ref="Z101" ca="1">IFERROR(VLOOKUP($X$5&amp;$C101,CHOOSE({1,2},D_技能表!$C$2:$C$1210&amp;D_技能表!$E$2:$E$1210,D_技能表!$W$2:$W$1210),2,FALSE),0)</f>
        <v>0</v>
      </c>
      <c r="AA101">
        <f t="array" aca="1" ref="AA101" ca="1">IFERROR(VLOOKUP($X$5&amp;$C101,CHOOSE({1,2},D_技能表!$C$2:$C$1210&amp;D_技能表!$E$2:$E$1210,D_技能表!$Z$2:$Z$1210),2,FALSE),0)</f>
        <v>0</v>
      </c>
      <c r="AB101">
        <f t="array" aca="1" ref="AB101" ca="1">IFERROR(VLOOKUP($AB$5&amp;$C101,CHOOSE({1,2},D_技能表!$C$2:$C$1210&amp;D_技能表!$E$2:$E$1210,D_技能表!$I$2:$I$1210),2,FALSE),0)</f>
        <v>0</v>
      </c>
      <c r="AC101">
        <f t="array" aca="1" ref="AC101" ca="1">IFERROR(VLOOKUP($AB$5&amp;$C101,CHOOSE({1,2},D_技能表!$C$2:$C$1210&amp;D_技能表!$E$2:$E$1210,D_技能表!$N$2:$N$1210),2,FALSE),0)</f>
        <v>0</v>
      </c>
      <c r="AD101">
        <f t="array" aca="1" ref="AD101" ca="1">IFERROR(VLOOKUP($AB$5&amp;$C101,CHOOSE({1,2},D_技能表!$C$2:$C$1210&amp;D_技能表!$E$2:$E$1210,D_技能表!$W$2:$W$1210),2,FALSE),0)</f>
        <v>0</v>
      </c>
      <c r="AE101">
        <f t="array" aca="1" ref="AE101" ca="1">IFERROR(VLOOKUP($AB$5&amp;$C101,CHOOSE({1,2},D_技能表!$C$2:$C$1210&amp;D_技能表!$E$2:$E$1210,D_技能表!$Z$2:$Z$1210),2,FALSE),0)</f>
        <v>0</v>
      </c>
      <c r="AF101">
        <f t="array" aca="1" ref="AF101" ca="1">IFERROR(VLOOKUP($AF$5&amp;$C101,CHOOSE({1,2},D_技能表!$C$2:$C$1210&amp;D_技能表!$E$2:$E$1210,D_技能表!$I$2:$I$1210),2,FALSE),0)</f>
        <v>0</v>
      </c>
      <c r="AG101">
        <f t="array" aca="1" ref="AG101" ca="1">IFERROR(VLOOKUP($AF$5&amp;$C101,CHOOSE({1,2},D_技能表!$C$2:$C$1210&amp;D_技能表!$E$2:$E$1210,D_技能表!$N$2:$N$1210),2,FALSE),0)</f>
        <v>0</v>
      </c>
      <c r="AH101">
        <f t="array" aca="1" ref="AH101" ca="1">IFERROR(VLOOKUP($AF$5&amp;$C101,CHOOSE({1,2},D_技能表!$C$2:$C$1210&amp;D_技能表!$E$2:$E$1210,D_技能表!$W$2:$W$1210),2,FALSE),0)</f>
        <v>0</v>
      </c>
      <c r="AI101">
        <f t="array" aca="1" ref="AI101" ca="1">IFERROR(VLOOKUP($AF$5&amp;$C101,CHOOSE({1,2},D_技能表!$C$2:$C$1210&amp;D_技能表!$E$2:$E$1210,D_技能表!$Z$2:$Z$1210),2,FALSE),0)</f>
        <v>0</v>
      </c>
      <c r="AJ101">
        <f t="array" aca="1" ref="AJ101" ca="1">IFERROR(VLOOKUP($AJ$5&amp;$C101,CHOOSE({1,2},D_技能表!$C$2:$C$1210&amp;D_技能表!$E$2:$E$1210,D_技能表!$I$2:$I$1210),2,FALSE),0)</f>
        <v>0</v>
      </c>
      <c r="AK101">
        <f t="array" aca="1" ref="AK101" ca="1">IFERROR(VLOOKUP($AJ$5&amp;$C101,CHOOSE({1,2},D_技能表!$C$2:$C$1210&amp;D_技能表!$E$2:$E$1210,D_技能表!$N$2:$N$1210),2,FALSE),0)</f>
        <v>0</v>
      </c>
      <c r="AL101">
        <f t="array" aca="1" ref="AL101" ca="1">IFERROR(VLOOKUP($AJ$5&amp;$C101,CHOOSE({1,2},D_技能表!$C$2:$C$1210&amp;D_技能表!$E$2:$E$1210,D_技能表!$W$2:$W$1210),2,FALSE),0)</f>
        <v>0</v>
      </c>
      <c r="AM101">
        <f t="array" aca="1" ref="AM101" ca="1">IFERROR(VLOOKUP($AJ$5&amp;$C101,CHOOSE({1,2},D_技能表!$C$2:$C$1210&amp;D_技能表!$E$2:$E$1210,D_技能表!$Z$2:$Z$1210),2,FALSE),0)</f>
        <v>0</v>
      </c>
      <c r="AN101">
        <f t="array" aca="1" ref="AN101" ca="1">IFERROR(VLOOKUP($AN$5&amp;$C101,CHOOSE({1,2},D_技能表!$C$2:$C$1210&amp;D_技能表!$E$2:$E$1210,D_技能表!$I$2:$I$1210),2,FALSE),0)</f>
        <v>0</v>
      </c>
      <c r="AO101">
        <f t="array" aca="1" ref="AO101" ca="1">IFERROR(VLOOKUP($AN$5&amp;$C101,CHOOSE({1,2},D_技能表!$C$2:$C$1210&amp;D_技能表!$E$2:$E$1210,D_技能表!$N$2:$N$1210),2,FALSE),0)</f>
        <v>0</v>
      </c>
      <c r="AP101">
        <f t="array" aca="1" ref="AP101" ca="1">IFERROR(VLOOKUP($AN$5&amp;$C101,CHOOSE({1,2},D_技能表!$C$2:$C$1210&amp;D_技能表!$E$2:$E$1210,D_技能表!$W$2:$W$1210),2,FALSE),0)</f>
        <v>0</v>
      </c>
      <c r="AQ101">
        <f t="array" aca="1" ref="AQ101" ca="1">IFERROR(VLOOKUP($AN$5&amp;$C101,CHOOSE({1,2},D_技能表!$C$2:$C$1210&amp;D_技能表!$E$2:$E$1210,D_技能表!$Z$2:$Z$1210),2,FALSE),0)</f>
        <v>0</v>
      </c>
      <c r="AR101" s="11">
        <f ca="1">SUM($G$7:G102,$K$7:K102,$O$7:O102,$S$7:S102,$W$7:W102,$AA$7:AA102,$AE$7:AE102,$AI$7:AI102,$AM$7:AM102,$AQ$7:AQ102)</f>
        <v>7724</v>
      </c>
      <c r="AS101">
        <f ca="1">SUM($F$7:F102,$J$7:J102,$N$7:N102,$R$7:R102,$V$7:V102,$Z$7:Z102,$AD$7:AD102,$AH$7:AH102,$AL$7:AL102,$AP$7:AP102)</f>
        <v>20474</v>
      </c>
      <c r="AT101">
        <f t="shared" ca="1" si="3"/>
        <v>0</v>
      </c>
      <c r="AU101" s="33">
        <f ca="1">SUM($AX$7:AX101,$BB$7:BB101,$BF$7:BF101,$BJ$7:BJ101)</f>
        <v>5566350</v>
      </c>
      <c r="AV101">
        <v>95</v>
      </c>
      <c r="AW101">
        <f t="array" ref="AW101">IFERROR(VLOOKUP(AW$5&amp;$AV101,CHOOSE({1,2},D_技能表CD!$C$2:$C$313&amp;D_技能表CD!$E$2:$E$313,D_技能表CD!$I$2:$I$313),2,FALSE),0)</f>
        <v>0</v>
      </c>
      <c r="AX101">
        <f t="array" aca="1" ref="AX101" ca="1">IFERROR(VLOOKUP(AW$5&amp;$AV101,CHOOSE({1,2},D_技能表CD!$C$2:$C$313&amp;D_技能表CD!$E$2:$E$313,D_技能表CD!$H$2:$H$313),2,FALSE),0)</f>
        <v>0</v>
      </c>
      <c r="AY101">
        <f t="array" aca="1" ref="AY101" ca="1">IFERROR(VLOOKUP(AW$5&amp;$AV101,CHOOSE({1,2},D_技能表CD!$C$2:$C$313&amp;D_技能表CD!$E$2:$E$313,D_技能表CD!$L$2:$L$313),2,FALSE),0)</f>
        <v>0</v>
      </c>
      <c r="AZ101">
        <f t="array" aca="1" ref="AZ101" ca="1">IFERROR(VLOOKUP(AW$5&amp;$AV101,CHOOSE({1,2},D_技能表CD!$C$2:$C$313&amp;D_技能表CD!$E$2:$E$313,D_技能表CD!$K$2:$K$313),2,FALSE),0)</f>
        <v>0</v>
      </c>
      <c r="BA101">
        <f t="array" ref="BA101">IFERROR(VLOOKUP(BA$5&amp;$AV101,CHOOSE({1,2},D_技能表CD!$C$2:$C$313&amp;D_技能表CD!$E$2:$E$313,D_技能表CD!$I$2:$I$313),2,FALSE),0)</f>
        <v>0</v>
      </c>
      <c r="BB101">
        <f t="array" aca="1" ref="BB101" ca="1">IFERROR(VLOOKUP(BA$5&amp;$AV101,CHOOSE({1,2},D_技能表CD!$C$2:$C$313&amp;D_技能表CD!$E$2:$E$313,D_技能表CD!$H$2:$H$313),2,FALSE),0)</f>
        <v>0</v>
      </c>
      <c r="BC101">
        <f t="array" aca="1" ref="BC101" ca="1">IFERROR(VLOOKUP(BA$5&amp;$AV101,CHOOSE({1,2},D_技能表CD!$C$2:$C$313&amp;D_技能表CD!$E$2:$E$313,D_技能表CD!$L$2:$L$313),2,FALSE),0)</f>
        <v>0</v>
      </c>
      <c r="BD101">
        <f t="array" aca="1" ref="BD101" ca="1">IFERROR(VLOOKUP(BA$5&amp;$AV101,CHOOSE({1,2},D_技能表CD!$C$2:$C$313&amp;D_技能表CD!$E$2:$E$313,D_技能表CD!$K$2:$K$313),2,FALSE),0)</f>
        <v>0</v>
      </c>
      <c r="BE101">
        <f t="array" ref="BE101">IFERROR(VLOOKUP(BE$5&amp;$AV101,CHOOSE({1,2},D_技能表CD!$C$2:$C$313&amp;D_技能表CD!$E$2:$E$313,D_技能表CD!$I$2:$I$313),2,FALSE),0)</f>
        <v>0</v>
      </c>
      <c r="BF101">
        <f t="array" aca="1" ref="BF101" ca="1">IFERROR(VLOOKUP(BE$5&amp;$AV101,CHOOSE({1,2},D_技能表CD!$C$2:$C$313&amp;D_技能表CD!$E$2:$E$313,D_技能表CD!$H$2:$H$313),2,FALSE),0)</f>
        <v>0</v>
      </c>
      <c r="BG101">
        <f t="array" aca="1" ref="BG101" ca="1">IFERROR(VLOOKUP(BE$5&amp;$AV101,CHOOSE({1,2},D_技能表CD!$C$2:$C$313&amp;D_技能表CD!$E$2:$E$313,D_技能表CD!$L$2:$L$313),2,FALSE),0)</f>
        <v>0</v>
      </c>
      <c r="BH101">
        <f t="array" aca="1" ref="BH101" ca="1">IFERROR(VLOOKUP(BE$5&amp;$AV101,CHOOSE({1,2},D_技能表CD!$C$2:$C$313&amp;D_技能表CD!$E$2:$E$313,D_技能表CD!$K$2:$K$313),2,FALSE),0)</f>
        <v>0</v>
      </c>
      <c r="BI101">
        <f t="array" ref="BI101">IFERROR(VLOOKUP(BI$5&amp;$AV101,CHOOSE({1,2},D_技能表CD!$C$2:$C$313&amp;D_技能表CD!$E$2:$E$313,D_技能表CD!$I$2:$I$313),2,FALSE),0)</f>
        <v>0</v>
      </c>
      <c r="BJ101">
        <f t="array" aca="1" ref="BJ101" ca="1">IFERROR(VLOOKUP(BI$5&amp;$AV101,CHOOSE({1,2},D_技能表CD!$C$2:$C$313&amp;D_技能表CD!$E$2:$E$313,D_技能表CD!$H$2:$H$313),2,FALSE),0)</f>
        <v>0</v>
      </c>
      <c r="BK101">
        <f t="array" aca="1" ref="BK101" ca="1">IFERROR(VLOOKUP(BI$5&amp;$AV101,CHOOSE({1,2},D_技能表CD!$C$2:$C$313&amp;D_技能表CD!$E$2:$E$313,D_技能表CD!$L$2:$L$313),2,FALSE),0)</f>
        <v>0</v>
      </c>
      <c r="BL101">
        <f t="array" aca="1" ref="BL101" ca="1">IFERROR(VLOOKUP(BI$5&amp;$AV101,CHOOSE({1,2},D_技能表CD!$C$2:$C$313&amp;D_技能表CD!$E$2:$E$313,D_技能表CD!$K$2:$K$313),2,FALSE),0)</f>
        <v>0</v>
      </c>
    </row>
    <row r="102" spans="1:64" x14ac:dyDescent="0.15">
      <c r="A102">
        <f t="shared" ca="1" si="2"/>
        <v>60615598</v>
      </c>
      <c r="B102" s="34">
        <f ca="1">SUM($E$7:E102,$I$7:I102,$M$7:M102,$Q$7:Q102,$U$7:U102,$Y$7:Y102,$AC$7:AC102,$AG$7:AG102,$AK$7:AK102,$AO$7:AO102)</f>
        <v>55049248</v>
      </c>
      <c r="C102">
        <v>96</v>
      </c>
      <c r="D102">
        <f t="array" aca="1" ref="D102" ca="1">IFERROR(VLOOKUP($D$5&amp;C102,CHOOSE({1,2},D_技能表!$C$2:$C$1210&amp;D_技能表!$E$2:$E$1210,D_技能表!$I$2:$I$1210),2,FALSE),0)</f>
        <v>0</v>
      </c>
      <c r="E102">
        <f t="array" aca="1" ref="E102" ca="1">IFERROR(VLOOKUP($D$5&amp;$C102,CHOOSE({1,2},D_技能表!$C$2:$C$1210&amp;D_技能表!$E$2:$E$1210,D_技能表!$N$2:$N$1210),2,FALSE),0)</f>
        <v>0</v>
      </c>
      <c r="F102">
        <f t="array" aca="1" ref="F102" ca="1">IFERROR(VLOOKUP($D$5&amp;$C102,CHOOSE({1,2},D_技能表!$C$2:$C$1210&amp;D_技能表!$E$2:$E$1210,D_技能表!$W$2:$W$1210),2,FALSE),0)</f>
        <v>0</v>
      </c>
      <c r="G102">
        <f t="array" aca="1" ref="G102" ca="1">IFERROR(VLOOKUP($D$5&amp;$C102,CHOOSE({1,2},D_技能表!$C$2:$C$1210&amp;D_技能表!$E$2:$E$1210,D_技能表!$Z$2:$Z$1210),2,FALSE),0)</f>
        <v>0</v>
      </c>
      <c r="H102">
        <f t="array" aca="1" ref="H102" ca="1">IFERROR(VLOOKUP($H$5&amp;$C102,CHOOSE({1,2},D_技能表!$C$2:$C$1210&amp;D_技能表!$E$2:$E$1210,D_技能表!$I$2:$I$1210),2,FALSE),0)</f>
        <v>0</v>
      </c>
      <c r="I102">
        <f t="array" aca="1" ref="I102" ca="1">IFERROR(VLOOKUP($H$5&amp;$C102,CHOOSE({1,2},D_技能表!$C$2:$C$1210&amp;D_技能表!$E$2:$E$1210,D_技能表!$N$2:$N$1210),2,FALSE),0)</f>
        <v>0</v>
      </c>
      <c r="J102">
        <f t="array" aca="1" ref="J102" ca="1">IFERROR(VLOOKUP($H$5&amp;$C102,CHOOSE({1,2},D_技能表!$C$2:$C$1210&amp;D_技能表!$E$2:$E$1210,D_技能表!$W$2:$W$1210),2,FALSE),0)</f>
        <v>0</v>
      </c>
      <c r="K102">
        <f t="array" aca="1" ref="K102" ca="1">IFERROR(VLOOKUP($H$5&amp;$C102,CHOOSE({1,2},D_技能表!$C$2:$C$1210&amp;D_技能表!$E$2:$E$1210,D_技能表!$Z$2:$Z$1210),2,FALSE),0)</f>
        <v>0</v>
      </c>
      <c r="L102">
        <f t="array" aca="1" ref="L102" ca="1">IFERROR(VLOOKUP($L$5&amp;$C102,CHOOSE({1,2},D_技能表!$C$2:$C$1210&amp;D_技能表!$E$2:$E$1210,D_技能表!$I$2:$I$1210),2,FALSE),0)</f>
        <v>0</v>
      </c>
      <c r="M102">
        <f t="array" aca="1" ref="M102" ca="1">IFERROR(VLOOKUP($L$5&amp;$C102,CHOOSE({1,2},D_技能表!$C$2:$C$1210&amp;D_技能表!$E$2:$E$1210,D_技能表!$N$2:$N$1210),2,FALSE),0)</f>
        <v>0</v>
      </c>
      <c r="N102">
        <f t="array" aca="1" ref="N102" ca="1">IFERROR(VLOOKUP($L$5&amp;$C102,CHOOSE({1,2},D_技能表!$C$2:$C$1210&amp;D_技能表!$E$2:$E$1210,D_技能表!$W$2:$W$1210),2,FALSE),0)</f>
        <v>0</v>
      </c>
      <c r="O102">
        <f t="array" aca="1" ref="O102" ca="1">IFERROR(VLOOKUP($L$5&amp;$C102,CHOOSE({1,2},D_技能表!$C$2:$C$1210&amp;D_技能表!$E$2:$E$1210,D_技能表!$Z$2:$Z$1210),2,FALSE),0)</f>
        <v>0</v>
      </c>
      <c r="P102">
        <f t="array" aca="1" ref="P102" ca="1">IFERROR(VLOOKUP($P$5&amp;$C102,CHOOSE({1,2},D_技能表!$C$2:$C$1210&amp;D_技能表!$E$2:$E$1210,D_技能表!$I$2:$I$1210),2,FALSE),0)</f>
        <v>0</v>
      </c>
      <c r="Q102">
        <f t="array" aca="1" ref="Q102" ca="1">IFERROR(VLOOKUP($P$5&amp;$C102,CHOOSE({1,2},D_技能表!$C$2:$C$1210&amp;D_技能表!$E$2:$E$1210,D_技能表!$N$2:$N$1210),2,FALSE),0)</f>
        <v>0</v>
      </c>
      <c r="R102">
        <f t="array" aca="1" ref="R102" ca="1">IFERROR(VLOOKUP($P$5&amp;$C102,CHOOSE({1,2},D_技能表!$C$2:$C$1210&amp;D_技能表!$E$2:$E$1210,D_技能表!$W$2:$W$1210),2,FALSE),0)</f>
        <v>0</v>
      </c>
      <c r="S102">
        <f t="array" aca="1" ref="S102" ca="1">IFERROR(VLOOKUP($P$5&amp;$C102,CHOOSE({1,2},D_技能表!$C$2:$C$1210&amp;D_技能表!$E$2:$E$1210,D_技能表!$Z$2:$Z$1210),2,FALSE),0)</f>
        <v>0</v>
      </c>
      <c r="T102">
        <f t="array" aca="1" ref="T102" ca="1">IFERROR(VLOOKUP($T$5&amp;$C102,CHOOSE({1,2},D_技能表!$C$2:$C$1210&amp;D_技能表!$E$2:$E$1210,D_技能表!$I$2:$I$1210),2,FALSE),0)</f>
        <v>0</v>
      </c>
      <c r="U102">
        <f t="array" aca="1" ref="U102" ca="1">IFERROR(VLOOKUP($T$5&amp;$C102,CHOOSE({1,2},D_技能表!$C$2:$C$1210&amp;D_技能表!$E$2:$E$1210,D_技能表!$N$2:$N$1210),2,FALSE),0)</f>
        <v>0</v>
      </c>
      <c r="V102">
        <f t="array" aca="1" ref="V102" ca="1">IFERROR(VLOOKUP($T$5&amp;$C102,CHOOSE({1,2},D_技能表!$C$2:$C$1210&amp;D_技能表!$E$2:$E$1210,D_技能表!$W$2:$W$1210),2,FALSE),0)</f>
        <v>0</v>
      </c>
      <c r="W102">
        <f t="array" aca="1" ref="W102" ca="1">IFERROR(VLOOKUP($T$5&amp;$C102,CHOOSE({1,2},D_技能表!$C$2:$C$1210&amp;D_技能表!$E$2:$E$1210,D_技能表!$Z$2:$Z$1210),2,FALSE),0)</f>
        <v>0</v>
      </c>
      <c r="X102">
        <f t="array" aca="1" ref="X102" ca="1">IFERROR(VLOOKUP($X$5&amp;$C102,CHOOSE({1,2},D_技能表!$C$2:$C$1210&amp;D_技能表!$E$2:$E$1210,D_技能表!$I$2:$I$1210),2,FALSE),0)</f>
        <v>0</v>
      </c>
      <c r="Y102">
        <f t="array" aca="1" ref="Y102" ca="1">IFERROR(VLOOKUP($X$5&amp;$C102,CHOOSE({1,2},D_技能表!$C$2:$C$1210&amp;D_技能表!$E$2:$E$1210,D_技能表!$N$2:$N$1210),2,FALSE),0)</f>
        <v>0</v>
      </c>
      <c r="Z102">
        <f t="array" aca="1" ref="Z102" ca="1">IFERROR(VLOOKUP($X$5&amp;$C102,CHOOSE({1,2},D_技能表!$C$2:$C$1210&amp;D_技能表!$E$2:$E$1210,D_技能表!$W$2:$W$1210),2,FALSE),0)</f>
        <v>0</v>
      </c>
      <c r="AA102">
        <f t="array" aca="1" ref="AA102" ca="1">IFERROR(VLOOKUP($X$5&amp;$C102,CHOOSE({1,2},D_技能表!$C$2:$C$1210&amp;D_技能表!$E$2:$E$1210,D_技能表!$Z$2:$Z$1210),2,FALSE),0)</f>
        <v>0</v>
      </c>
      <c r="AB102">
        <f t="array" aca="1" ref="AB102" ca="1">IFERROR(VLOOKUP($AB$5&amp;$C102,CHOOSE({1,2},D_技能表!$C$2:$C$1210&amp;D_技能表!$E$2:$E$1210,D_技能表!$I$2:$I$1210),2,FALSE),0)</f>
        <v>0</v>
      </c>
      <c r="AC102">
        <f t="array" aca="1" ref="AC102" ca="1">IFERROR(VLOOKUP($AB$5&amp;$C102,CHOOSE({1,2},D_技能表!$C$2:$C$1210&amp;D_技能表!$E$2:$E$1210,D_技能表!$N$2:$N$1210),2,FALSE),0)</f>
        <v>0</v>
      </c>
      <c r="AD102">
        <f t="array" aca="1" ref="AD102" ca="1">IFERROR(VLOOKUP($AB$5&amp;$C102,CHOOSE({1,2},D_技能表!$C$2:$C$1210&amp;D_技能表!$E$2:$E$1210,D_技能表!$W$2:$W$1210),2,FALSE),0)</f>
        <v>0</v>
      </c>
      <c r="AE102">
        <f t="array" aca="1" ref="AE102" ca="1">IFERROR(VLOOKUP($AB$5&amp;$C102,CHOOSE({1,2},D_技能表!$C$2:$C$1210&amp;D_技能表!$E$2:$E$1210,D_技能表!$Z$2:$Z$1210),2,FALSE),0)</f>
        <v>0</v>
      </c>
      <c r="AF102">
        <f t="array" aca="1" ref="AF102" ca="1">IFERROR(VLOOKUP($AF$5&amp;$C102,CHOOSE({1,2},D_技能表!$C$2:$C$1210&amp;D_技能表!$E$2:$E$1210,D_技能表!$I$2:$I$1210),2,FALSE),0)</f>
        <v>0</v>
      </c>
      <c r="AG102">
        <f t="array" aca="1" ref="AG102" ca="1">IFERROR(VLOOKUP($AF$5&amp;$C102,CHOOSE({1,2},D_技能表!$C$2:$C$1210&amp;D_技能表!$E$2:$E$1210,D_技能表!$N$2:$N$1210),2,FALSE),0)</f>
        <v>0</v>
      </c>
      <c r="AH102">
        <f t="array" aca="1" ref="AH102" ca="1">IFERROR(VLOOKUP($AF$5&amp;$C102,CHOOSE({1,2},D_技能表!$C$2:$C$1210&amp;D_技能表!$E$2:$E$1210,D_技能表!$W$2:$W$1210),2,FALSE),0)</f>
        <v>0</v>
      </c>
      <c r="AI102">
        <f t="array" aca="1" ref="AI102" ca="1">IFERROR(VLOOKUP($AF$5&amp;$C102,CHOOSE({1,2},D_技能表!$C$2:$C$1210&amp;D_技能表!$E$2:$E$1210,D_技能表!$Z$2:$Z$1210),2,FALSE),0)</f>
        <v>0</v>
      </c>
      <c r="AJ102">
        <f t="array" aca="1" ref="AJ102" ca="1">IFERROR(VLOOKUP($AJ$5&amp;$C102,CHOOSE({1,2},D_技能表!$C$2:$C$1210&amp;D_技能表!$E$2:$E$1210,D_技能表!$I$2:$I$1210),2,FALSE),0)</f>
        <v>0</v>
      </c>
      <c r="AK102">
        <f t="array" aca="1" ref="AK102" ca="1">IFERROR(VLOOKUP($AJ$5&amp;$C102,CHOOSE({1,2},D_技能表!$C$2:$C$1210&amp;D_技能表!$E$2:$E$1210,D_技能表!$N$2:$N$1210),2,FALSE),0)</f>
        <v>0</v>
      </c>
      <c r="AL102">
        <f t="array" aca="1" ref="AL102" ca="1">IFERROR(VLOOKUP($AJ$5&amp;$C102,CHOOSE({1,2},D_技能表!$C$2:$C$1210&amp;D_技能表!$E$2:$E$1210,D_技能表!$W$2:$W$1210),2,FALSE),0)</f>
        <v>0</v>
      </c>
      <c r="AM102">
        <f t="array" aca="1" ref="AM102" ca="1">IFERROR(VLOOKUP($AJ$5&amp;$C102,CHOOSE({1,2},D_技能表!$C$2:$C$1210&amp;D_技能表!$E$2:$E$1210,D_技能表!$Z$2:$Z$1210),2,FALSE),0)</f>
        <v>0</v>
      </c>
      <c r="AN102">
        <f t="array" aca="1" ref="AN102" ca="1">IFERROR(VLOOKUP($AN$5&amp;$C102,CHOOSE({1,2},D_技能表!$C$2:$C$1210&amp;D_技能表!$E$2:$E$1210,D_技能表!$I$2:$I$1210),2,FALSE),0)</f>
        <v>0</v>
      </c>
      <c r="AO102">
        <f t="array" aca="1" ref="AO102" ca="1">IFERROR(VLOOKUP($AN$5&amp;$C102,CHOOSE({1,2},D_技能表!$C$2:$C$1210&amp;D_技能表!$E$2:$E$1210,D_技能表!$N$2:$N$1210),2,FALSE),0)</f>
        <v>0</v>
      </c>
      <c r="AP102">
        <f t="array" aca="1" ref="AP102" ca="1">IFERROR(VLOOKUP($AN$5&amp;$C102,CHOOSE({1,2},D_技能表!$C$2:$C$1210&amp;D_技能表!$E$2:$E$1210,D_技能表!$W$2:$W$1210),2,FALSE),0)</f>
        <v>0</v>
      </c>
      <c r="AQ102">
        <f t="array" aca="1" ref="AQ102" ca="1">IFERROR(VLOOKUP($AN$5&amp;$C102,CHOOSE({1,2},D_技能表!$C$2:$C$1210&amp;D_技能表!$E$2:$E$1210,D_技能表!$Z$2:$Z$1210),2,FALSE),0)</f>
        <v>0</v>
      </c>
      <c r="AR102" s="11">
        <f ca="1">SUM($G$7:G103,$K$7:K103,$O$7:O103,$S$7:S103,$W$7:W103,$AA$7:AA103,$AE$7:AE103,$AI$7:AI103,$AM$7:AM103,$AQ$7:AQ103)</f>
        <v>7724</v>
      </c>
      <c r="AS102">
        <f ca="1">SUM($F$7:F103,$J$7:J103,$N$7:N103,$R$7:R103,$V$7:V103,$Z$7:Z103,$AD$7:AD103,$AH$7:AH103,$AL$7:AL103,$AP$7:AP103)</f>
        <v>20474</v>
      </c>
      <c r="AT102">
        <f t="shared" ca="1" si="3"/>
        <v>0</v>
      </c>
      <c r="AU102" s="33">
        <f ca="1">SUM($AX$7:AX102,$BB$7:BB102,$BF$7:BF102,$BJ$7:BJ102)</f>
        <v>5566350</v>
      </c>
      <c r="AV102">
        <v>96</v>
      </c>
      <c r="AW102">
        <f t="array" ref="AW102">IFERROR(VLOOKUP(AW$5&amp;$AV102,CHOOSE({1,2},D_技能表CD!$C$2:$C$313&amp;D_技能表CD!$E$2:$E$313,D_技能表CD!$I$2:$I$313),2,FALSE),0)</f>
        <v>0</v>
      </c>
      <c r="AX102">
        <f t="array" aca="1" ref="AX102" ca="1">IFERROR(VLOOKUP(AW$5&amp;$AV102,CHOOSE({1,2},D_技能表CD!$C$2:$C$313&amp;D_技能表CD!$E$2:$E$313,D_技能表CD!$H$2:$H$313),2,FALSE),0)</f>
        <v>0</v>
      </c>
      <c r="AY102">
        <f t="array" aca="1" ref="AY102" ca="1">IFERROR(VLOOKUP(AW$5&amp;$AV102,CHOOSE({1,2},D_技能表CD!$C$2:$C$313&amp;D_技能表CD!$E$2:$E$313,D_技能表CD!$L$2:$L$313),2,FALSE),0)</f>
        <v>0</v>
      </c>
      <c r="AZ102">
        <f t="array" aca="1" ref="AZ102" ca="1">IFERROR(VLOOKUP(AW$5&amp;$AV102,CHOOSE({1,2},D_技能表CD!$C$2:$C$313&amp;D_技能表CD!$E$2:$E$313,D_技能表CD!$K$2:$K$313),2,FALSE),0)</f>
        <v>0</v>
      </c>
      <c r="BA102">
        <f t="array" ref="BA102">IFERROR(VLOOKUP(BA$5&amp;$AV102,CHOOSE({1,2},D_技能表CD!$C$2:$C$313&amp;D_技能表CD!$E$2:$E$313,D_技能表CD!$I$2:$I$313),2,FALSE),0)</f>
        <v>0</v>
      </c>
      <c r="BB102">
        <f t="array" aca="1" ref="BB102" ca="1">IFERROR(VLOOKUP(BA$5&amp;$AV102,CHOOSE({1,2},D_技能表CD!$C$2:$C$313&amp;D_技能表CD!$E$2:$E$313,D_技能表CD!$H$2:$H$313),2,FALSE),0)</f>
        <v>0</v>
      </c>
      <c r="BC102">
        <f t="array" aca="1" ref="BC102" ca="1">IFERROR(VLOOKUP(BA$5&amp;$AV102,CHOOSE({1,2},D_技能表CD!$C$2:$C$313&amp;D_技能表CD!$E$2:$E$313,D_技能表CD!$L$2:$L$313),2,FALSE),0)</f>
        <v>0</v>
      </c>
      <c r="BD102">
        <f t="array" aca="1" ref="BD102" ca="1">IFERROR(VLOOKUP(BA$5&amp;$AV102,CHOOSE({1,2},D_技能表CD!$C$2:$C$313&amp;D_技能表CD!$E$2:$E$313,D_技能表CD!$K$2:$K$313),2,FALSE),0)</f>
        <v>0</v>
      </c>
      <c r="BE102">
        <f t="array" ref="BE102">IFERROR(VLOOKUP(BE$5&amp;$AV102,CHOOSE({1,2},D_技能表CD!$C$2:$C$313&amp;D_技能表CD!$E$2:$E$313,D_技能表CD!$I$2:$I$313),2,FALSE),0)</f>
        <v>0</v>
      </c>
      <c r="BF102">
        <f t="array" aca="1" ref="BF102" ca="1">IFERROR(VLOOKUP(BE$5&amp;$AV102,CHOOSE({1,2},D_技能表CD!$C$2:$C$313&amp;D_技能表CD!$E$2:$E$313,D_技能表CD!$H$2:$H$313),2,FALSE),0)</f>
        <v>0</v>
      </c>
      <c r="BG102">
        <f t="array" aca="1" ref="BG102" ca="1">IFERROR(VLOOKUP(BE$5&amp;$AV102,CHOOSE({1,2},D_技能表CD!$C$2:$C$313&amp;D_技能表CD!$E$2:$E$313,D_技能表CD!$L$2:$L$313),2,FALSE),0)</f>
        <v>0</v>
      </c>
      <c r="BH102">
        <f t="array" aca="1" ref="BH102" ca="1">IFERROR(VLOOKUP(BE$5&amp;$AV102,CHOOSE({1,2},D_技能表CD!$C$2:$C$313&amp;D_技能表CD!$E$2:$E$313,D_技能表CD!$K$2:$K$313),2,FALSE),0)</f>
        <v>0</v>
      </c>
      <c r="BI102">
        <f t="array" ref="BI102">IFERROR(VLOOKUP(BI$5&amp;$AV102,CHOOSE({1,2},D_技能表CD!$C$2:$C$313&amp;D_技能表CD!$E$2:$E$313,D_技能表CD!$I$2:$I$313),2,FALSE),0)</f>
        <v>0</v>
      </c>
      <c r="BJ102">
        <f t="array" aca="1" ref="BJ102" ca="1">IFERROR(VLOOKUP(BI$5&amp;$AV102,CHOOSE({1,2},D_技能表CD!$C$2:$C$313&amp;D_技能表CD!$E$2:$E$313,D_技能表CD!$H$2:$H$313),2,FALSE),0)</f>
        <v>0</v>
      </c>
      <c r="BK102">
        <f t="array" aca="1" ref="BK102" ca="1">IFERROR(VLOOKUP(BI$5&amp;$AV102,CHOOSE({1,2},D_技能表CD!$C$2:$C$313&amp;D_技能表CD!$E$2:$E$313,D_技能表CD!$L$2:$L$313),2,FALSE),0)</f>
        <v>0</v>
      </c>
      <c r="BL102">
        <f t="array" aca="1" ref="BL102" ca="1">IFERROR(VLOOKUP(BI$5&amp;$AV102,CHOOSE({1,2},D_技能表CD!$C$2:$C$313&amp;D_技能表CD!$E$2:$E$313,D_技能表CD!$K$2:$K$313),2,FALSE),0)</f>
        <v>0</v>
      </c>
    </row>
    <row r="103" spans="1:64" x14ac:dyDescent="0.15">
      <c r="A103">
        <f t="shared" ca="1" si="2"/>
        <v>60615598</v>
      </c>
      <c r="B103" s="34">
        <f ca="1">SUM($E$7:E103,$I$7:I103,$M$7:M103,$Q$7:Q103,$U$7:U103,$Y$7:Y103,$AC$7:AC103,$AG$7:AG103,$AK$7:AK103,$AO$7:AO103)</f>
        <v>55049248</v>
      </c>
      <c r="C103">
        <v>97</v>
      </c>
      <c r="D103">
        <f t="array" aca="1" ref="D103" ca="1">IFERROR(VLOOKUP($D$5&amp;C103,CHOOSE({1,2},D_技能表!$C$2:$C$1210&amp;D_技能表!$E$2:$E$1210,D_技能表!$I$2:$I$1210),2,FALSE),0)</f>
        <v>0</v>
      </c>
      <c r="E103">
        <f t="array" aca="1" ref="E103" ca="1">IFERROR(VLOOKUP($D$5&amp;$C103,CHOOSE({1,2},D_技能表!$C$2:$C$1210&amp;D_技能表!$E$2:$E$1210,D_技能表!$N$2:$N$1210),2,FALSE),0)</f>
        <v>0</v>
      </c>
      <c r="F103">
        <f t="array" aca="1" ref="F103" ca="1">IFERROR(VLOOKUP($D$5&amp;$C103,CHOOSE({1,2},D_技能表!$C$2:$C$1210&amp;D_技能表!$E$2:$E$1210,D_技能表!$W$2:$W$1210),2,FALSE),0)</f>
        <v>0</v>
      </c>
      <c r="G103">
        <f t="array" aca="1" ref="G103" ca="1">IFERROR(VLOOKUP($D$5&amp;$C103,CHOOSE({1,2},D_技能表!$C$2:$C$1210&amp;D_技能表!$E$2:$E$1210,D_技能表!$Z$2:$Z$1210),2,FALSE),0)</f>
        <v>0</v>
      </c>
      <c r="H103">
        <f t="array" aca="1" ref="H103" ca="1">IFERROR(VLOOKUP($H$5&amp;$C103,CHOOSE({1,2},D_技能表!$C$2:$C$1210&amp;D_技能表!$E$2:$E$1210,D_技能表!$I$2:$I$1210),2,FALSE),0)</f>
        <v>0</v>
      </c>
      <c r="I103">
        <f t="array" aca="1" ref="I103" ca="1">IFERROR(VLOOKUP($H$5&amp;$C103,CHOOSE({1,2},D_技能表!$C$2:$C$1210&amp;D_技能表!$E$2:$E$1210,D_技能表!$N$2:$N$1210),2,FALSE),0)</f>
        <v>0</v>
      </c>
      <c r="J103">
        <f t="array" aca="1" ref="J103" ca="1">IFERROR(VLOOKUP($H$5&amp;$C103,CHOOSE({1,2},D_技能表!$C$2:$C$1210&amp;D_技能表!$E$2:$E$1210,D_技能表!$W$2:$W$1210),2,FALSE),0)</f>
        <v>0</v>
      </c>
      <c r="K103">
        <f t="array" aca="1" ref="K103" ca="1">IFERROR(VLOOKUP($H$5&amp;$C103,CHOOSE({1,2},D_技能表!$C$2:$C$1210&amp;D_技能表!$E$2:$E$1210,D_技能表!$Z$2:$Z$1210),2,FALSE),0)</f>
        <v>0</v>
      </c>
      <c r="L103">
        <f t="array" aca="1" ref="L103" ca="1">IFERROR(VLOOKUP($L$5&amp;$C103,CHOOSE({1,2},D_技能表!$C$2:$C$1210&amp;D_技能表!$E$2:$E$1210,D_技能表!$I$2:$I$1210),2,FALSE),0)</f>
        <v>0</v>
      </c>
      <c r="M103">
        <f t="array" aca="1" ref="M103" ca="1">IFERROR(VLOOKUP($L$5&amp;$C103,CHOOSE({1,2},D_技能表!$C$2:$C$1210&amp;D_技能表!$E$2:$E$1210,D_技能表!$N$2:$N$1210),2,FALSE),0)</f>
        <v>0</v>
      </c>
      <c r="N103">
        <f t="array" aca="1" ref="N103" ca="1">IFERROR(VLOOKUP($L$5&amp;$C103,CHOOSE({1,2},D_技能表!$C$2:$C$1210&amp;D_技能表!$E$2:$E$1210,D_技能表!$W$2:$W$1210),2,FALSE),0)</f>
        <v>0</v>
      </c>
      <c r="O103">
        <f t="array" aca="1" ref="O103" ca="1">IFERROR(VLOOKUP($L$5&amp;$C103,CHOOSE({1,2},D_技能表!$C$2:$C$1210&amp;D_技能表!$E$2:$E$1210,D_技能表!$Z$2:$Z$1210),2,FALSE),0)</f>
        <v>0</v>
      </c>
      <c r="P103">
        <f t="array" aca="1" ref="P103" ca="1">IFERROR(VLOOKUP($P$5&amp;$C103,CHOOSE({1,2},D_技能表!$C$2:$C$1210&amp;D_技能表!$E$2:$E$1210,D_技能表!$I$2:$I$1210),2,FALSE),0)</f>
        <v>0</v>
      </c>
      <c r="Q103">
        <f t="array" aca="1" ref="Q103" ca="1">IFERROR(VLOOKUP($P$5&amp;$C103,CHOOSE({1,2},D_技能表!$C$2:$C$1210&amp;D_技能表!$E$2:$E$1210,D_技能表!$N$2:$N$1210),2,FALSE),0)</f>
        <v>0</v>
      </c>
      <c r="R103">
        <f t="array" aca="1" ref="R103" ca="1">IFERROR(VLOOKUP($P$5&amp;$C103,CHOOSE({1,2},D_技能表!$C$2:$C$1210&amp;D_技能表!$E$2:$E$1210,D_技能表!$W$2:$W$1210),2,FALSE),0)</f>
        <v>0</v>
      </c>
      <c r="S103">
        <f t="array" aca="1" ref="S103" ca="1">IFERROR(VLOOKUP($P$5&amp;$C103,CHOOSE({1,2},D_技能表!$C$2:$C$1210&amp;D_技能表!$E$2:$E$1210,D_技能表!$Z$2:$Z$1210),2,FALSE),0)</f>
        <v>0</v>
      </c>
      <c r="T103">
        <f t="array" aca="1" ref="T103" ca="1">IFERROR(VLOOKUP($T$5&amp;$C103,CHOOSE({1,2},D_技能表!$C$2:$C$1210&amp;D_技能表!$E$2:$E$1210,D_技能表!$I$2:$I$1210),2,FALSE),0)</f>
        <v>0</v>
      </c>
      <c r="U103">
        <f t="array" aca="1" ref="U103" ca="1">IFERROR(VLOOKUP($T$5&amp;$C103,CHOOSE({1,2},D_技能表!$C$2:$C$1210&amp;D_技能表!$E$2:$E$1210,D_技能表!$N$2:$N$1210),2,FALSE),0)</f>
        <v>0</v>
      </c>
      <c r="V103">
        <f t="array" aca="1" ref="V103" ca="1">IFERROR(VLOOKUP($T$5&amp;$C103,CHOOSE({1,2},D_技能表!$C$2:$C$1210&amp;D_技能表!$E$2:$E$1210,D_技能表!$W$2:$W$1210),2,FALSE),0)</f>
        <v>0</v>
      </c>
      <c r="W103">
        <f t="array" aca="1" ref="W103" ca="1">IFERROR(VLOOKUP($T$5&amp;$C103,CHOOSE({1,2},D_技能表!$C$2:$C$1210&amp;D_技能表!$E$2:$E$1210,D_技能表!$Z$2:$Z$1210),2,FALSE),0)</f>
        <v>0</v>
      </c>
      <c r="X103">
        <f t="array" aca="1" ref="X103" ca="1">IFERROR(VLOOKUP($X$5&amp;$C103,CHOOSE({1,2},D_技能表!$C$2:$C$1210&amp;D_技能表!$E$2:$E$1210,D_技能表!$I$2:$I$1210),2,FALSE),0)</f>
        <v>0</v>
      </c>
      <c r="Y103">
        <f t="array" aca="1" ref="Y103" ca="1">IFERROR(VLOOKUP($X$5&amp;$C103,CHOOSE({1,2},D_技能表!$C$2:$C$1210&amp;D_技能表!$E$2:$E$1210,D_技能表!$N$2:$N$1210),2,FALSE),0)</f>
        <v>0</v>
      </c>
      <c r="Z103">
        <f t="array" aca="1" ref="Z103" ca="1">IFERROR(VLOOKUP($X$5&amp;$C103,CHOOSE({1,2},D_技能表!$C$2:$C$1210&amp;D_技能表!$E$2:$E$1210,D_技能表!$W$2:$W$1210),2,FALSE),0)</f>
        <v>0</v>
      </c>
      <c r="AA103">
        <f t="array" aca="1" ref="AA103" ca="1">IFERROR(VLOOKUP($X$5&amp;$C103,CHOOSE({1,2},D_技能表!$C$2:$C$1210&amp;D_技能表!$E$2:$E$1210,D_技能表!$Z$2:$Z$1210),2,FALSE),0)</f>
        <v>0</v>
      </c>
      <c r="AB103">
        <f t="array" aca="1" ref="AB103" ca="1">IFERROR(VLOOKUP($AB$5&amp;$C103,CHOOSE({1,2},D_技能表!$C$2:$C$1210&amp;D_技能表!$E$2:$E$1210,D_技能表!$I$2:$I$1210),2,FALSE),0)</f>
        <v>0</v>
      </c>
      <c r="AC103">
        <f t="array" aca="1" ref="AC103" ca="1">IFERROR(VLOOKUP($AB$5&amp;$C103,CHOOSE({1,2},D_技能表!$C$2:$C$1210&amp;D_技能表!$E$2:$E$1210,D_技能表!$N$2:$N$1210),2,FALSE),0)</f>
        <v>0</v>
      </c>
      <c r="AD103">
        <f t="array" aca="1" ref="AD103" ca="1">IFERROR(VLOOKUP($AB$5&amp;$C103,CHOOSE({1,2},D_技能表!$C$2:$C$1210&amp;D_技能表!$E$2:$E$1210,D_技能表!$W$2:$W$1210),2,FALSE),0)</f>
        <v>0</v>
      </c>
      <c r="AE103">
        <f t="array" aca="1" ref="AE103" ca="1">IFERROR(VLOOKUP($AB$5&amp;$C103,CHOOSE({1,2},D_技能表!$C$2:$C$1210&amp;D_技能表!$E$2:$E$1210,D_技能表!$Z$2:$Z$1210),2,FALSE),0)</f>
        <v>0</v>
      </c>
      <c r="AF103">
        <f t="array" aca="1" ref="AF103" ca="1">IFERROR(VLOOKUP($AF$5&amp;$C103,CHOOSE({1,2},D_技能表!$C$2:$C$1210&amp;D_技能表!$E$2:$E$1210,D_技能表!$I$2:$I$1210),2,FALSE),0)</f>
        <v>0</v>
      </c>
      <c r="AG103">
        <f t="array" aca="1" ref="AG103" ca="1">IFERROR(VLOOKUP($AF$5&amp;$C103,CHOOSE({1,2},D_技能表!$C$2:$C$1210&amp;D_技能表!$E$2:$E$1210,D_技能表!$N$2:$N$1210),2,FALSE),0)</f>
        <v>0</v>
      </c>
      <c r="AH103">
        <f t="array" aca="1" ref="AH103" ca="1">IFERROR(VLOOKUP($AF$5&amp;$C103,CHOOSE({1,2},D_技能表!$C$2:$C$1210&amp;D_技能表!$E$2:$E$1210,D_技能表!$W$2:$W$1210),2,FALSE),0)</f>
        <v>0</v>
      </c>
      <c r="AI103">
        <f t="array" aca="1" ref="AI103" ca="1">IFERROR(VLOOKUP($AF$5&amp;$C103,CHOOSE({1,2},D_技能表!$C$2:$C$1210&amp;D_技能表!$E$2:$E$1210,D_技能表!$Z$2:$Z$1210),2,FALSE),0)</f>
        <v>0</v>
      </c>
      <c r="AJ103">
        <f t="array" aca="1" ref="AJ103" ca="1">IFERROR(VLOOKUP($AJ$5&amp;$C103,CHOOSE({1,2},D_技能表!$C$2:$C$1210&amp;D_技能表!$E$2:$E$1210,D_技能表!$I$2:$I$1210),2,FALSE),0)</f>
        <v>0</v>
      </c>
      <c r="AK103">
        <f t="array" aca="1" ref="AK103" ca="1">IFERROR(VLOOKUP($AJ$5&amp;$C103,CHOOSE({1,2},D_技能表!$C$2:$C$1210&amp;D_技能表!$E$2:$E$1210,D_技能表!$N$2:$N$1210),2,FALSE),0)</f>
        <v>0</v>
      </c>
      <c r="AL103">
        <f t="array" aca="1" ref="AL103" ca="1">IFERROR(VLOOKUP($AJ$5&amp;$C103,CHOOSE({1,2},D_技能表!$C$2:$C$1210&amp;D_技能表!$E$2:$E$1210,D_技能表!$W$2:$W$1210),2,FALSE),0)</f>
        <v>0</v>
      </c>
      <c r="AM103">
        <f t="array" aca="1" ref="AM103" ca="1">IFERROR(VLOOKUP($AJ$5&amp;$C103,CHOOSE({1,2},D_技能表!$C$2:$C$1210&amp;D_技能表!$E$2:$E$1210,D_技能表!$Z$2:$Z$1210),2,FALSE),0)</f>
        <v>0</v>
      </c>
      <c r="AN103">
        <f t="array" aca="1" ref="AN103" ca="1">IFERROR(VLOOKUP($AN$5&amp;$C103,CHOOSE({1,2},D_技能表!$C$2:$C$1210&amp;D_技能表!$E$2:$E$1210,D_技能表!$I$2:$I$1210),2,FALSE),0)</f>
        <v>0</v>
      </c>
      <c r="AO103">
        <f t="array" aca="1" ref="AO103" ca="1">IFERROR(VLOOKUP($AN$5&amp;$C103,CHOOSE({1,2},D_技能表!$C$2:$C$1210&amp;D_技能表!$E$2:$E$1210,D_技能表!$N$2:$N$1210),2,FALSE),0)</f>
        <v>0</v>
      </c>
      <c r="AP103">
        <f t="array" aca="1" ref="AP103" ca="1">IFERROR(VLOOKUP($AN$5&amp;$C103,CHOOSE({1,2},D_技能表!$C$2:$C$1210&amp;D_技能表!$E$2:$E$1210,D_技能表!$W$2:$W$1210),2,FALSE),0)</f>
        <v>0</v>
      </c>
      <c r="AQ103">
        <f t="array" aca="1" ref="AQ103" ca="1">IFERROR(VLOOKUP($AN$5&amp;$C103,CHOOSE({1,2},D_技能表!$C$2:$C$1210&amp;D_技能表!$E$2:$E$1210,D_技能表!$Z$2:$Z$1210),2,FALSE),0)</f>
        <v>0</v>
      </c>
      <c r="AR103" s="11">
        <f ca="1">SUM($G$7:G104,$K$7:K104,$O$7:O104,$S$7:S104,$W$7:W104,$AA$7:AA104,$AE$7:AE104,$AI$7:AI104,$AM$7:AM104,$AQ$7:AQ104)</f>
        <v>7724</v>
      </c>
      <c r="AS103">
        <f ca="1">SUM($F$7:F104,$J$7:J104,$N$7:N104,$R$7:R104,$V$7:V104,$Z$7:Z104,$AD$7:AD104,$AH$7:AH104,$AL$7:AL104,$AP$7:AP104)</f>
        <v>20474</v>
      </c>
      <c r="AT103">
        <f t="shared" ca="1" si="3"/>
        <v>0</v>
      </c>
      <c r="AU103" s="33">
        <f ca="1">SUM($AX$7:AX103,$BB$7:BB103,$BF$7:BF103,$BJ$7:BJ103)</f>
        <v>5566350</v>
      </c>
      <c r="AV103">
        <v>97</v>
      </c>
      <c r="AW103">
        <f t="array" ref="AW103">IFERROR(VLOOKUP(AW$5&amp;$AV103,CHOOSE({1,2},D_技能表CD!$C$2:$C$313&amp;D_技能表CD!$E$2:$E$313,D_技能表CD!$I$2:$I$313),2,FALSE),0)</f>
        <v>0</v>
      </c>
      <c r="AX103">
        <f t="array" aca="1" ref="AX103" ca="1">IFERROR(VLOOKUP(AW$5&amp;$AV103,CHOOSE({1,2},D_技能表CD!$C$2:$C$313&amp;D_技能表CD!$E$2:$E$313,D_技能表CD!$H$2:$H$313),2,FALSE),0)</f>
        <v>0</v>
      </c>
      <c r="AY103">
        <f t="array" aca="1" ref="AY103" ca="1">IFERROR(VLOOKUP(AW$5&amp;$AV103,CHOOSE({1,2},D_技能表CD!$C$2:$C$313&amp;D_技能表CD!$E$2:$E$313,D_技能表CD!$L$2:$L$313),2,FALSE),0)</f>
        <v>0</v>
      </c>
      <c r="AZ103">
        <f t="array" aca="1" ref="AZ103" ca="1">IFERROR(VLOOKUP(AW$5&amp;$AV103,CHOOSE({1,2},D_技能表CD!$C$2:$C$313&amp;D_技能表CD!$E$2:$E$313,D_技能表CD!$K$2:$K$313),2,FALSE),0)</f>
        <v>0</v>
      </c>
      <c r="BA103">
        <f t="array" ref="BA103">IFERROR(VLOOKUP(BA$5&amp;$AV103,CHOOSE({1,2},D_技能表CD!$C$2:$C$313&amp;D_技能表CD!$E$2:$E$313,D_技能表CD!$I$2:$I$313),2,FALSE),0)</f>
        <v>0</v>
      </c>
      <c r="BB103">
        <f t="array" aca="1" ref="BB103" ca="1">IFERROR(VLOOKUP(BA$5&amp;$AV103,CHOOSE({1,2},D_技能表CD!$C$2:$C$313&amp;D_技能表CD!$E$2:$E$313,D_技能表CD!$H$2:$H$313),2,FALSE),0)</f>
        <v>0</v>
      </c>
      <c r="BC103">
        <f t="array" aca="1" ref="BC103" ca="1">IFERROR(VLOOKUP(BA$5&amp;$AV103,CHOOSE({1,2},D_技能表CD!$C$2:$C$313&amp;D_技能表CD!$E$2:$E$313,D_技能表CD!$L$2:$L$313),2,FALSE),0)</f>
        <v>0</v>
      </c>
      <c r="BD103">
        <f t="array" aca="1" ref="BD103" ca="1">IFERROR(VLOOKUP(BA$5&amp;$AV103,CHOOSE({1,2},D_技能表CD!$C$2:$C$313&amp;D_技能表CD!$E$2:$E$313,D_技能表CD!$K$2:$K$313),2,FALSE),0)</f>
        <v>0</v>
      </c>
      <c r="BE103">
        <f t="array" ref="BE103">IFERROR(VLOOKUP(BE$5&amp;$AV103,CHOOSE({1,2},D_技能表CD!$C$2:$C$313&amp;D_技能表CD!$E$2:$E$313,D_技能表CD!$I$2:$I$313),2,FALSE),0)</f>
        <v>0</v>
      </c>
      <c r="BF103">
        <f t="array" aca="1" ref="BF103" ca="1">IFERROR(VLOOKUP(BE$5&amp;$AV103,CHOOSE({1,2},D_技能表CD!$C$2:$C$313&amp;D_技能表CD!$E$2:$E$313,D_技能表CD!$H$2:$H$313),2,FALSE),0)</f>
        <v>0</v>
      </c>
      <c r="BG103">
        <f t="array" aca="1" ref="BG103" ca="1">IFERROR(VLOOKUP(BE$5&amp;$AV103,CHOOSE({1,2},D_技能表CD!$C$2:$C$313&amp;D_技能表CD!$E$2:$E$313,D_技能表CD!$L$2:$L$313),2,FALSE),0)</f>
        <v>0</v>
      </c>
      <c r="BH103">
        <f t="array" aca="1" ref="BH103" ca="1">IFERROR(VLOOKUP(BE$5&amp;$AV103,CHOOSE({1,2},D_技能表CD!$C$2:$C$313&amp;D_技能表CD!$E$2:$E$313,D_技能表CD!$K$2:$K$313),2,FALSE),0)</f>
        <v>0</v>
      </c>
      <c r="BI103">
        <f t="array" ref="BI103">IFERROR(VLOOKUP(BI$5&amp;$AV103,CHOOSE({1,2},D_技能表CD!$C$2:$C$313&amp;D_技能表CD!$E$2:$E$313,D_技能表CD!$I$2:$I$313),2,FALSE),0)</f>
        <v>0</v>
      </c>
      <c r="BJ103">
        <f t="array" aca="1" ref="BJ103" ca="1">IFERROR(VLOOKUP(BI$5&amp;$AV103,CHOOSE({1,2},D_技能表CD!$C$2:$C$313&amp;D_技能表CD!$E$2:$E$313,D_技能表CD!$H$2:$H$313),2,FALSE),0)</f>
        <v>0</v>
      </c>
      <c r="BK103">
        <f t="array" aca="1" ref="BK103" ca="1">IFERROR(VLOOKUP(BI$5&amp;$AV103,CHOOSE({1,2},D_技能表CD!$C$2:$C$313&amp;D_技能表CD!$E$2:$E$313,D_技能表CD!$L$2:$L$313),2,FALSE),0)</f>
        <v>0</v>
      </c>
      <c r="BL103">
        <f t="array" aca="1" ref="BL103" ca="1">IFERROR(VLOOKUP(BI$5&amp;$AV103,CHOOSE({1,2},D_技能表CD!$C$2:$C$313&amp;D_技能表CD!$E$2:$E$313,D_技能表CD!$K$2:$K$313),2,FALSE),0)</f>
        <v>0</v>
      </c>
    </row>
    <row r="104" spans="1:64" x14ac:dyDescent="0.15">
      <c r="A104">
        <f t="shared" ca="1" si="2"/>
        <v>60615598</v>
      </c>
      <c r="B104" s="34">
        <f ca="1">SUM($E$7:E104,$I$7:I104,$M$7:M104,$Q$7:Q104,$U$7:U104,$Y$7:Y104,$AC$7:AC104,$AG$7:AG104,$AK$7:AK104,$AO$7:AO104)</f>
        <v>55049248</v>
      </c>
      <c r="C104">
        <v>98</v>
      </c>
      <c r="D104">
        <f t="array" aca="1" ref="D104" ca="1">IFERROR(VLOOKUP($D$5&amp;C104,CHOOSE({1,2},D_技能表!$C$2:$C$1210&amp;D_技能表!$E$2:$E$1210,D_技能表!$I$2:$I$1210),2,FALSE),0)</f>
        <v>0</v>
      </c>
      <c r="E104">
        <f t="array" aca="1" ref="E104" ca="1">IFERROR(VLOOKUP($D$5&amp;$C104,CHOOSE({1,2},D_技能表!$C$2:$C$1210&amp;D_技能表!$E$2:$E$1210,D_技能表!$N$2:$N$1210),2,FALSE),0)</f>
        <v>0</v>
      </c>
      <c r="F104">
        <f t="array" aca="1" ref="F104" ca="1">IFERROR(VLOOKUP($D$5&amp;$C104,CHOOSE({1,2},D_技能表!$C$2:$C$1210&amp;D_技能表!$E$2:$E$1210,D_技能表!$W$2:$W$1210),2,FALSE),0)</f>
        <v>0</v>
      </c>
      <c r="G104">
        <f t="array" aca="1" ref="G104" ca="1">IFERROR(VLOOKUP($D$5&amp;$C104,CHOOSE({1,2},D_技能表!$C$2:$C$1210&amp;D_技能表!$E$2:$E$1210,D_技能表!$Z$2:$Z$1210),2,FALSE),0)</f>
        <v>0</v>
      </c>
      <c r="H104">
        <f t="array" aca="1" ref="H104" ca="1">IFERROR(VLOOKUP($H$5&amp;$C104,CHOOSE({1,2},D_技能表!$C$2:$C$1210&amp;D_技能表!$E$2:$E$1210,D_技能表!$I$2:$I$1210),2,FALSE),0)</f>
        <v>0</v>
      </c>
      <c r="I104">
        <f t="array" aca="1" ref="I104" ca="1">IFERROR(VLOOKUP($H$5&amp;$C104,CHOOSE({1,2},D_技能表!$C$2:$C$1210&amp;D_技能表!$E$2:$E$1210,D_技能表!$N$2:$N$1210),2,FALSE),0)</f>
        <v>0</v>
      </c>
      <c r="J104">
        <f t="array" aca="1" ref="J104" ca="1">IFERROR(VLOOKUP($H$5&amp;$C104,CHOOSE({1,2},D_技能表!$C$2:$C$1210&amp;D_技能表!$E$2:$E$1210,D_技能表!$W$2:$W$1210),2,FALSE),0)</f>
        <v>0</v>
      </c>
      <c r="K104">
        <f t="array" aca="1" ref="K104" ca="1">IFERROR(VLOOKUP($H$5&amp;$C104,CHOOSE({1,2},D_技能表!$C$2:$C$1210&amp;D_技能表!$E$2:$E$1210,D_技能表!$Z$2:$Z$1210),2,FALSE),0)</f>
        <v>0</v>
      </c>
      <c r="L104">
        <f t="array" aca="1" ref="L104" ca="1">IFERROR(VLOOKUP($L$5&amp;$C104,CHOOSE({1,2},D_技能表!$C$2:$C$1210&amp;D_技能表!$E$2:$E$1210,D_技能表!$I$2:$I$1210),2,FALSE),0)</f>
        <v>0</v>
      </c>
      <c r="M104">
        <f t="array" aca="1" ref="M104" ca="1">IFERROR(VLOOKUP($L$5&amp;$C104,CHOOSE({1,2},D_技能表!$C$2:$C$1210&amp;D_技能表!$E$2:$E$1210,D_技能表!$N$2:$N$1210),2,FALSE),0)</f>
        <v>0</v>
      </c>
      <c r="N104">
        <f t="array" aca="1" ref="N104" ca="1">IFERROR(VLOOKUP($L$5&amp;$C104,CHOOSE({1,2},D_技能表!$C$2:$C$1210&amp;D_技能表!$E$2:$E$1210,D_技能表!$W$2:$W$1210),2,FALSE),0)</f>
        <v>0</v>
      </c>
      <c r="O104">
        <f t="array" aca="1" ref="O104" ca="1">IFERROR(VLOOKUP($L$5&amp;$C104,CHOOSE({1,2},D_技能表!$C$2:$C$1210&amp;D_技能表!$E$2:$E$1210,D_技能表!$Z$2:$Z$1210),2,FALSE),0)</f>
        <v>0</v>
      </c>
      <c r="P104">
        <f t="array" aca="1" ref="P104" ca="1">IFERROR(VLOOKUP($P$5&amp;$C104,CHOOSE({1,2},D_技能表!$C$2:$C$1210&amp;D_技能表!$E$2:$E$1210,D_技能表!$I$2:$I$1210),2,FALSE),0)</f>
        <v>0</v>
      </c>
      <c r="Q104">
        <f t="array" aca="1" ref="Q104" ca="1">IFERROR(VLOOKUP($P$5&amp;$C104,CHOOSE({1,2},D_技能表!$C$2:$C$1210&amp;D_技能表!$E$2:$E$1210,D_技能表!$N$2:$N$1210),2,FALSE),0)</f>
        <v>0</v>
      </c>
      <c r="R104">
        <f t="array" aca="1" ref="R104" ca="1">IFERROR(VLOOKUP($P$5&amp;$C104,CHOOSE({1,2},D_技能表!$C$2:$C$1210&amp;D_技能表!$E$2:$E$1210,D_技能表!$W$2:$W$1210),2,FALSE),0)</f>
        <v>0</v>
      </c>
      <c r="S104">
        <f t="array" aca="1" ref="S104" ca="1">IFERROR(VLOOKUP($P$5&amp;$C104,CHOOSE({1,2},D_技能表!$C$2:$C$1210&amp;D_技能表!$E$2:$E$1210,D_技能表!$Z$2:$Z$1210),2,FALSE),0)</f>
        <v>0</v>
      </c>
      <c r="T104">
        <f t="array" aca="1" ref="T104" ca="1">IFERROR(VLOOKUP($T$5&amp;$C104,CHOOSE({1,2},D_技能表!$C$2:$C$1210&amp;D_技能表!$E$2:$E$1210,D_技能表!$I$2:$I$1210),2,FALSE),0)</f>
        <v>0</v>
      </c>
      <c r="U104">
        <f t="array" aca="1" ref="U104" ca="1">IFERROR(VLOOKUP($T$5&amp;$C104,CHOOSE({1,2},D_技能表!$C$2:$C$1210&amp;D_技能表!$E$2:$E$1210,D_技能表!$N$2:$N$1210),2,FALSE),0)</f>
        <v>0</v>
      </c>
      <c r="V104">
        <f t="array" aca="1" ref="V104" ca="1">IFERROR(VLOOKUP($T$5&amp;$C104,CHOOSE({1,2},D_技能表!$C$2:$C$1210&amp;D_技能表!$E$2:$E$1210,D_技能表!$W$2:$W$1210),2,FALSE),0)</f>
        <v>0</v>
      </c>
      <c r="W104">
        <f t="array" aca="1" ref="W104" ca="1">IFERROR(VLOOKUP($T$5&amp;$C104,CHOOSE({1,2},D_技能表!$C$2:$C$1210&amp;D_技能表!$E$2:$E$1210,D_技能表!$Z$2:$Z$1210),2,FALSE),0)</f>
        <v>0</v>
      </c>
      <c r="X104">
        <f t="array" aca="1" ref="X104" ca="1">IFERROR(VLOOKUP($X$5&amp;$C104,CHOOSE({1,2},D_技能表!$C$2:$C$1210&amp;D_技能表!$E$2:$E$1210,D_技能表!$I$2:$I$1210),2,FALSE),0)</f>
        <v>0</v>
      </c>
      <c r="Y104">
        <f t="array" aca="1" ref="Y104" ca="1">IFERROR(VLOOKUP($X$5&amp;$C104,CHOOSE({1,2},D_技能表!$C$2:$C$1210&amp;D_技能表!$E$2:$E$1210,D_技能表!$N$2:$N$1210),2,FALSE),0)</f>
        <v>0</v>
      </c>
      <c r="Z104">
        <f t="array" aca="1" ref="Z104" ca="1">IFERROR(VLOOKUP($X$5&amp;$C104,CHOOSE({1,2},D_技能表!$C$2:$C$1210&amp;D_技能表!$E$2:$E$1210,D_技能表!$W$2:$W$1210),2,FALSE),0)</f>
        <v>0</v>
      </c>
      <c r="AA104">
        <f t="array" aca="1" ref="AA104" ca="1">IFERROR(VLOOKUP($X$5&amp;$C104,CHOOSE({1,2},D_技能表!$C$2:$C$1210&amp;D_技能表!$E$2:$E$1210,D_技能表!$Z$2:$Z$1210),2,FALSE),0)</f>
        <v>0</v>
      </c>
      <c r="AB104">
        <f t="array" aca="1" ref="AB104" ca="1">IFERROR(VLOOKUP($AB$5&amp;$C104,CHOOSE({1,2},D_技能表!$C$2:$C$1210&amp;D_技能表!$E$2:$E$1210,D_技能表!$I$2:$I$1210),2,FALSE),0)</f>
        <v>0</v>
      </c>
      <c r="AC104">
        <f t="array" aca="1" ref="AC104" ca="1">IFERROR(VLOOKUP($AB$5&amp;$C104,CHOOSE({1,2},D_技能表!$C$2:$C$1210&amp;D_技能表!$E$2:$E$1210,D_技能表!$N$2:$N$1210),2,FALSE),0)</f>
        <v>0</v>
      </c>
      <c r="AD104">
        <f t="array" aca="1" ref="AD104" ca="1">IFERROR(VLOOKUP($AB$5&amp;$C104,CHOOSE({1,2},D_技能表!$C$2:$C$1210&amp;D_技能表!$E$2:$E$1210,D_技能表!$W$2:$W$1210),2,FALSE),0)</f>
        <v>0</v>
      </c>
      <c r="AE104">
        <f t="array" aca="1" ref="AE104" ca="1">IFERROR(VLOOKUP($AB$5&amp;$C104,CHOOSE({1,2},D_技能表!$C$2:$C$1210&amp;D_技能表!$E$2:$E$1210,D_技能表!$Z$2:$Z$1210),2,FALSE),0)</f>
        <v>0</v>
      </c>
      <c r="AF104">
        <f t="array" aca="1" ref="AF104" ca="1">IFERROR(VLOOKUP($AF$5&amp;$C104,CHOOSE({1,2},D_技能表!$C$2:$C$1210&amp;D_技能表!$E$2:$E$1210,D_技能表!$I$2:$I$1210),2,FALSE),0)</f>
        <v>0</v>
      </c>
      <c r="AG104">
        <f t="array" aca="1" ref="AG104" ca="1">IFERROR(VLOOKUP($AF$5&amp;$C104,CHOOSE({1,2},D_技能表!$C$2:$C$1210&amp;D_技能表!$E$2:$E$1210,D_技能表!$N$2:$N$1210),2,FALSE),0)</f>
        <v>0</v>
      </c>
      <c r="AH104">
        <f t="array" aca="1" ref="AH104" ca="1">IFERROR(VLOOKUP($AF$5&amp;$C104,CHOOSE({1,2},D_技能表!$C$2:$C$1210&amp;D_技能表!$E$2:$E$1210,D_技能表!$W$2:$W$1210),2,FALSE),0)</f>
        <v>0</v>
      </c>
      <c r="AI104">
        <f t="array" aca="1" ref="AI104" ca="1">IFERROR(VLOOKUP($AF$5&amp;$C104,CHOOSE({1,2},D_技能表!$C$2:$C$1210&amp;D_技能表!$E$2:$E$1210,D_技能表!$Z$2:$Z$1210),2,FALSE),0)</f>
        <v>0</v>
      </c>
      <c r="AJ104">
        <f t="array" aca="1" ref="AJ104" ca="1">IFERROR(VLOOKUP($AJ$5&amp;$C104,CHOOSE({1,2},D_技能表!$C$2:$C$1210&amp;D_技能表!$E$2:$E$1210,D_技能表!$I$2:$I$1210),2,FALSE),0)</f>
        <v>0</v>
      </c>
      <c r="AK104">
        <f t="array" aca="1" ref="AK104" ca="1">IFERROR(VLOOKUP($AJ$5&amp;$C104,CHOOSE({1,2},D_技能表!$C$2:$C$1210&amp;D_技能表!$E$2:$E$1210,D_技能表!$N$2:$N$1210),2,FALSE),0)</f>
        <v>0</v>
      </c>
      <c r="AL104">
        <f t="array" aca="1" ref="AL104" ca="1">IFERROR(VLOOKUP($AJ$5&amp;$C104,CHOOSE({1,2},D_技能表!$C$2:$C$1210&amp;D_技能表!$E$2:$E$1210,D_技能表!$W$2:$W$1210),2,FALSE),0)</f>
        <v>0</v>
      </c>
      <c r="AM104">
        <f t="array" aca="1" ref="AM104" ca="1">IFERROR(VLOOKUP($AJ$5&amp;$C104,CHOOSE({1,2},D_技能表!$C$2:$C$1210&amp;D_技能表!$E$2:$E$1210,D_技能表!$Z$2:$Z$1210),2,FALSE),0)</f>
        <v>0</v>
      </c>
      <c r="AN104">
        <f t="array" aca="1" ref="AN104" ca="1">IFERROR(VLOOKUP($AN$5&amp;$C104,CHOOSE({1,2},D_技能表!$C$2:$C$1210&amp;D_技能表!$E$2:$E$1210,D_技能表!$I$2:$I$1210),2,FALSE),0)</f>
        <v>0</v>
      </c>
      <c r="AO104">
        <f t="array" aca="1" ref="AO104" ca="1">IFERROR(VLOOKUP($AN$5&amp;$C104,CHOOSE({1,2},D_技能表!$C$2:$C$1210&amp;D_技能表!$E$2:$E$1210,D_技能表!$N$2:$N$1210),2,FALSE),0)</f>
        <v>0</v>
      </c>
      <c r="AP104">
        <f t="array" aca="1" ref="AP104" ca="1">IFERROR(VLOOKUP($AN$5&amp;$C104,CHOOSE({1,2},D_技能表!$C$2:$C$1210&amp;D_技能表!$E$2:$E$1210,D_技能表!$W$2:$W$1210),2,FALSE),0)</f>
        <v>0</v>
      </c>
      <c r="AQ104">
        <f t="array" aca="1" ref="AQ104" ca="1">IFERROR(VLOOKUP($AN$5&amp;$C104,CHOOSE({1,2},D_技能表!$C$2:$C$1210&amp;D_技能表!$E$2:$E$1210,D_技能表!$Z$2:$Z$1210),2,FALSE),0)</f>
        <v>0</v>
      </c>
      <c r="AR104" s="11">
        <f ca="1">SUM($G$7:G105,$K$7:K105,$O$7:O105,$S$7:S105,$W$7:W105,$AA$7:AA105,$AE$7:AE105,$AI$7:AI105,$AM$7:AM105,$AQ$7:AQ105)</f>
        <v>7724</v>
      </c>
      <c r="AS104">
        <f ca="1">SUM($F$7:F105,$J$7:J105,$N$7:N105,$R$7:R105,$V$7:V105,$Z$7:Z105,$AD$7:AD105,$AH$7:AH105,$AL$7:AL105,$AP$7:AP105)</f>
        <v>20474</v>
      </c>
      <c r="AT104">
        <f t="shared" ca="1" si="3"/>
        <v>0</v>
      </c>
      <c r="AU104" s="33">
        <f ca="1">SUM($AX$7:AX104,$BB$7:BB104,$BF$7:BF104,$BJ$7:BJ104)</f>
        <v>5566350</v>
      </c>
      <c r="AV104">
        <v>98</v>
      </c>
      <c r="AW104">
        <f t="array" ref="AW104">IFERROR(VLOOKUP(AW$5&amp;$AV104,CHOOSE({1,2},D_技能表CD!$C$2:$C$313&amp;D_技能表CD!$E$2:$E$313,D_技能表CD!$I$2:$I$313),2,FALSE),0)</f>
        <v>0</v>
      </c>
      <c r="AX104">
        <f t="array" aca="1" ref="AX104" ca="1">IFERROR(VLOOKUP(AW$5&amp;$AV104,CHOOSE({1,2},D_技能表CD!$C$2:$C$313&amp;D_技能表CD!$E$2:$E$313,D_技能表CD!$H$2:$H$313),2,FALSE),0)</f>
        <v>0</v>
      </c>
      <c r="AY104">
        <f t="array" aca="1" ref="AY104" ca="1">IFERROR(VLOOKUP(AW$5&amp;$AV104,CHOOSE({1,2},D_技能表CD!$C$2:$C$313&amp;D_技能表CD!$E$2:$E$313,D_技能表CD!$L$2:$L$313),2,FALSE),0)</f>
        <v>0</v>
      </c>
      <c r="AZ104">
        <f t="array" aca="1" ref="AZ104" ca="1">IFERROR(VLOOKUP(AW$5&amp;$AV104,CHOOSE({1,2},D_技能表CD!$C$2:$C$313&amp;D_技能表CD!$E$2:$E$313,D_技能表CD!$K$2:$K$313),2,FALSE),0)</f>
        <v>0</v>
      </c>
      <c r="BA104">
        <f t="array" ref="BA104">IFERROR(VLOOKUP(BA$5&amp;$AV104,CHOOSE({1,2},D_技能表CD!$C$2:$C$313&amp;D_技能表CD!$E$2:$E$313,D_技能表CD!$I$2:$I$313),2,FALSE),0)</f>
        <v>0</v>
      </c>
      <c r="BB104">
        <f t="array" aca="1" ref="BB104" ca="1">IFERROR(VLOOKUP(BA$5&amp;$AV104,CHOOSE({1,2},D_技能表CD!$C$2:$C$313&amp;D_技能表CD!$E$2:$E$313,D_技能表CD!$H$2:$H$313),2,FALSE),0)</f>
        <v>0</v>
      </c>
      <c r="BC104">
        <f t="array" aca="1" ref="BC104" ca="1">IFERROR(VLOOKUP(BA$5&amp;$AV104,CHOOSE({1,2},D_技能表CD!$C$2:$C$313&amp;D_技能表CD!$E$2:$E$313,D_技能表CD!$L$2:$L$313),2,FALSE),0)</f>
        <v>0</v>
      </c>
      <c r="BD104">
        <f t="array" aca="1" ref="BD104" ca="1">IFERROR(VLOOKUP(BA$5&amp;$AV104,CHOOSE({1,2},D_技能表CD!$C$2:$C$313&amp;D_技能表CD!$E$2:$E$313,D_技能表CD!$K$2:$K$313),2,FALSE),0)</f>
        <v>0</v>
      </c>
      <c r="BE104">
        <f t="array" ref="BE104">IFERROR(VLOOKUP(BE$5&amp;$AV104,CHOOSE({1,2},D_技能表CD!$C$2:$C$313&amp;D_技能表CD!$E$2:$E$313,D_技能表CD!$I$2:$I$313),2,FALSE),0)</f>
        <v>0</v>
      </c>
      <c r="BF104">
        <f t="array" aca="1" ref="BF104" ca="1">IFERROR(VLOOKUP(BE$5&amp;$AV104,CHOOSE({1,2},D_技能表CD!$C$2:$C$313&amp;D_技能表CD!$E$2:$E$313,D_技能表CD!$H$2:$H$313),2,FALSE),0)</f>
        <v>0</v>
      </c>
      <c r="BG104">
        <f t="array" aca="1" ref="BG104" ca="1">IFERROR(VLOOKUP(BE$5&amp;$AV104,CHOOSE({1,2},D_技能表CD!$C$2:$C$313&amp;D_技能表CD!$E$2:$E$313,D_技能表CD!$L$2:$L$313),2,FALSE),0)</f>
        <v>0</v>
      </c>
      <c r="BH104">
        <f t="array" aca="1" ref="BH104" ca="1">IFERROR(VLOOKUP(BE$5&amp;$AV104,CHOOSE({1,2},D_技能表CD!$C$2:$C$313&amp;D_技能表CD!$E$2:$E$313,D_技能表CD!$K$2:$K$313),2,FALSE),0)</f>
        <v>0</v>
      </c>
      <c r="BI104">
        <f t="array" ref="BI104">IFERROR(VLOOKUP(BI$5&amp;$AV104,CHOOSE({1,2},D_技能表CD!$C$2:$C$313&amp;D_技能表CD!$E$2:$E$313,D_技能表CD!$I$2:$I$313),2,FALSE),0)</f>
        <v>0</v>
      </c>
      <c r="BJ104">
        <f t="array" aca="1" ref="BJ104" ca="1">IFERROR(VLOOKUP(BI$5&amp;$AV104,CHOOSE({1,2},D_技能表CD!$C$2:$C$313&amp;D_技能表CD!$E$2:$E$313,D_技能表CD!$H$2:$H$313),2,FALSE),0)</f>
        <v>0</v>
      </c>
      <c r="BK104">
        <f t="array" aca="1" ref="BK104" ca="1">IFERROR(VLOOKUP(BI$5&amp;$AV104,CHOOSE({1,2},D_技能表CD!$C$2:$C$313&amp;D_技能表CD!$E$2:$E$313,D_技能表CD!$L$2:$L$313),2,FALSE),0)</f>
        <v>0</v>
      </c>
      <c r="BL104">
        <f t="array" aca="1" ref="BL104" ca="1">IFERROR(VLOOKUP(BI$5&amp;$AV104,CHOOSE({1,2},D_技能表CD!$C$2:$C$313&amp;D_技能表CD!$E$2:$E$313,D_技能表CD!$K$2:$K$313),2,FALSE),0)</f>
        <v>0</v>
      </c>
    </row>
    <row r="105" spans="1:64" x14ac:dyDescent="0.15">
      <c r="A105">
        <f t="shared" ca="1" si="2"/>
        <v>60615598</v>
      </c>
      <c r="B105" s="34">
        <f ca="1">SUM($E$7:E105,$I$7:I105,$M$7:M105,$Q$7:Q105,$U$7:U105,$Y$7:Y105,$AC$7:AC105,$AG$7:AG105,$AK$7:AK105,$AO$7:AO105)</f>
        <v>55049248</v>
      </c>
      <c r="C105">
        <v>99</v>
      </c>
      <c r="D105">
        <f t="array" aca="1" ref="D105" ca="1">IFERROR(VLOOKUP($D$5&amp;C105,CHOOSE({1,2},D_技能表!$C$2:$C$1210&amp;D_技能表!$E$2:$E$1210,D_技能表!$I$2:$I$1210),2,FALSE),0)</f>
        <v>0</v>
      </c>
      <c r="E105">
        <f t="array" aca="1" ref="E105" ca="1">IFERROR(VLOOKUP($D$5&amp;$C105,CHOOSE({1,2},D_技能表!$C$2:$C$1210&amp;D_技能表!$E$2:$E$1210,D_技能表!$N$2:$N$1210),2,FALSE),0)</f>
        <v>0</v>
      </c>
      <c r="F105">
        <f t="array" aca="1" ref="F105" ca="1">IFERROR(VLOOKUP($D$5&amp;$C105,CHOOSE({1,2},D_技能表!$C$2:$C$1210&amp;D_技能表!$E$2:$E$1210,D_技能表!$W$2:$W$1210),2,FALSE),0)</f>
        <v>0</v>
      </c>
      <c r="G105">
        <f t="array" aca="1" ref="G105" ca="1">IFERROR(VLOOKUP($D$5&amp;$C105,CHOOSE({1,2},D_技能表!$C$2:$C$1210&amp;D_技能表!$E$2:$E$1210,D_技能表!$Z$2:$Z$1210),2,FALSE),0)</f>
        <v>0</v>
      </c>
      <c r="H105">
        <f t="array" aca="1" ref="H105" ca="1">IFERROR(VLOOKUP($H$5&amp;$C105,CHOOSE({1,2},D_技能表!$C$2:$C$1210&amp;D_技能表!$E$2:$E$1210,D_技能表!$I$2:$I$1210),2,FALSE),0)</f>
        <v>0</v>
      </c>
      <c r="I105">
        <f t="array" aca="1" ref="I105" ca="1">IFERROR(VLOOKUP($H$5&amp;$C105,CHOOSE({1,2},D_技能表!$C$2:$C$1210&amp;D_技能表!$E$2:$E$1210,D_技能表!$N$2:$N$1210),2,FALSE),0)</f>
        <v>0</v>
      </c>
      <c r="J105">
        <f t="array" aca="1" ref="J105" ca="1">IFERROR(VLOOKUP($H$5&amp;$C105,CHOOSE({1,2},D_技能表!$C$2:$C$1210&amp;D_技能表!$E$2:$E$1210,D_技能表!$W$2:$W$1210),2,FALSE),0)</f>
        <v>0</v>
      </c>
      <c r="K105">
        <f t="array" aca="1" ref="K105" ca="1">IFERROR(VLOOKUP($H$5&amp;$C105,CHOOSE({1,2},D_技能表!$C$2:$C$1210&amp;D_技能表!$E$2:$E$1210,D_技能表!$Z$2:$Z$1210),2,FALSE),0)</f>
        <v>0</v>
      </c>
      <c r="L105">
        <f t="array" aca="1" ref="L105" ca="1">IFERROR(VLOOKUP($L$5&amp;$C105,CHOOSE({1,2},D_技能表!$C$2:$C$1210&amp;D_技能表!$E$2:$E$1210,D_技能表!$I$2:$I$1210),2,FALSE),0)</f>
        <v>0</v>
      </c>
      <c r="M105">
        <f t="array" aca="1" ref="M105" ca="1">IFERROR(VLOOKUP($L$5&amp;$C105,CHOOSE({1,2},D_技能表!$C$2:$C$1210&amp;D_技能表!$E$2:$E$1210,D_技能表!$N$2:$N$1210),2,FALSE),0)</f>
        <v>0</v>
      </c>
      <c r="N105">
        <f t="array" aca="1" ref="N105" ca="1">IFERROR(VLOOKUP($L$5&amp;$C105,CHOOSE({1,2},D_技能表!$C$2:$C$1210&amp;D_技能表!$E$2:$E$1210,D_技能表!$W$2:$W$1210),2,FALSE),0)</f>
        <v>0</v>
      </c>
      <c r="O105">
        <f t="array" aca="1" ref="O105" ca="1">IFERROR(VLOOKUP($L$5&amp;$C105,CHOOSE({1,2},D_技能表!$C$2:$C$1210&amp;D_技能表!$E$2:$E$1210,D_技能表!$Z$2:$Z$1210),2,FALSE),0)</f>
        <v>0</v>
      </c>
      <c r="P105">
        <f t="array" aca="1" ref="P105" ca="1">IFERROR(VLOOKUP($P$5&amp;$C105,CHOOSE({1,2},D_技能表!$C$2:$C$1210&amp;D_技能表!$E$2:$E$1210,D_技能表!$I$2:$I$1210),2,FALSE),0)</f>
        <v>0</v>
      </c>
      <c r="Q105">
        <f t="array" aca="1" ref="Q105" ca="1">IFERROR(VLOOKUP($P$5&amp;$C105,CHOOSE({1,2},D_技能表!$C$2:$C$1210&amp;D_技能表!$E$2:$E$1210,D_技能表!$N$2:$N$1210),2,FALSE),0)</f>
        <v>0</v>
      </c>
      <c r="R105">
        <f t="array" aca="1" ref="R105" ca="1">IFERROR(VLOOKUP($P$5&amp;$C105,CHOOSE({1,2},D_技能表!$C$2:$C$1210&amp;D_技能表!$E$2:$E$1210,D_技能表!$W$2:$W$1210),2,FALSE),0)</f>
        <v>0</v>
      </c>
      <c r="S105">
        <f t="array" aca="1" ref="S105" ca="1">IFERROR(VLOOKUP($P$5&amp;$C105,CHOOSE({1,2},D_技能表!$C$2:$C$1210&amp;D_技能表!$E$2:$E$1210,D_技能表!$Z$2:$Z$1210),2,FALSE),0)</f>
        <v>0</v>
      </c>
      <c r="T105">
        <f t="array" aca="1" ref="T105" ca="1">IFERROR(VLOOKUP($T$5&amp;$C105,CHOOSE({1,2},D_技能表!$C$2:$C$1210&amp;D_技能表!$E$2:$E$1210,D_技能表!$I$2:$I$1210),2,FALSE),0)</f>
        <v>0</v>
      </c>
      <c r="U105">
        <f t="array" aca="1" ref="U105" ca="1">IFERROR(VLOOKUP($T$5&amp;$C105,CHOOSE({1,2},D_技能表!$C$2:$C$1210&amp;D_技能表!$E$2:$E$1210,D_技能表!$N$2:$N$1210),2,FALSE),0)</f>
        <v>0</v>
      </c>
      <c r="V105">
        <f t="array" aca="1" ref="V105" ca="1">IFERROR(VLOOKUP($T$5&amp;$C105,CHOOSE({1,2},D_技能表!$C$2:$C$1210&amp;D_技能表!$E$2:$E$1210,D_技能表!$W$2:$W$1210),2,FALSE),0)</f>
        <v>0</v>
      </c>
      <c r="W105">
        <f t="array" aca="1" ref="W105" ca="1">IFERROR(VLOOKUP($T$5&amp;$C105,CHOOSE({1,2},D_技能表!$C$2:$C$1210&amp;D_技能表!$E$2:$E$1210,D_技能表!$Z$2:$Z$1210),2,FALSE),0)</f>
        <v>0</v>
      </c>
      <c r="X105">
        <f t="array" aca="1" ref="X105" ca="1">IFERROR(VLOOKUP($X$5&amp;$C105,CHOOSE({1,2},D_技能表!$C$2:$C$1210&amp;D_技能表!$E$2:$E$1210,D_技能表!$I$2:$I$1210),2,FALSE),0)</f>
        <v>0</v>
      </c>
      <c r="Y105">
        <f t="array" aca="1" ref="Y105" ca="1">IFERROR(VLOOKUP($X$5&amp;$C105,CHOOSE({1,2},D_技能表!$C$2:$C$1210&amp;D_技能表!$E$2:$E$1210,D_技能表!$N$2:$N$1210),2,FALSE),0)</f>
        <v>0</v>
      </c>
      <c r="Z105">
        <f t="array" aca="1" ref="Z105" ca="1">IFERROR(VLOOKUP($X$5&amp;$C105,CHOOSE({1,2},D_技能表!$C$2:$C$1210&amp;D_技能表!$E$2:$E$1210,D_技能表!$W$2:$W$1210),2,FALSE),0)</f>
        <v>0</v>
      </c>
      <c r="AA105">
        <f t="array" aca="1" ref="AA105" ca="1">IFERROR(VLOOKUP($X$5&amp;$C105,CHOOSE({1,2},D_技能表!$C$2:$C$1210&amp;D_技能表!$E$2:$E$1210,D_技能表!$Z$2:$Z$1210),2,FALSE),0)</f>
        <v>0</v>
      </c>
      <c r="AB105">
        <f t="array" aca="1" ref="AB105" ca="1">IFERROR(VLOOKUP($AB$5&amp;$C105,CHOOSE({1,2},D_技能表!$C$2:$C$1210&amp;D_技能表!$E$2:$E$1210,D_技能表!$I$2:$I$1210),2,FALSE),0)</f>
        <v>0</v>
      </c>
      <c r="AC105">
        <f t="array" aca="1" ref="AC105" ca="1">IFERROR(VLOOKUP($AB$5&amp;$C105,CHOOSE({1,2},D_技能表!$C$2:$C$1210&amp;D_技能表!$E$2:$E$1210,D_技能表!$N$2:$N$1210),2,FALSE),0)</f>
        <v>0</v>
      </c>
      <c r="AD105">
        <f t="array" aca="1" ref="AD105" ca="1">IFERROR(VLOOKUP($AB$5&amp;$C105,CHOOSE({1,2},D_技能表!$C$2:$C$1210&amp;D_技能表!$E$2:$E$1210,D_技能表!$W$2:$W$1210),2,FALSE),0)</f>
        <v>0</v>
      </c>
      <c r="AE105">
        <f t="array" aca="1" ref="AE105" ca="1">IFERROR(VLOOKUP($AB$5&amp;$C105,CHOOSE({1,2},D_技能表!$C$2:$C$1210&amp;D_技能表!$E$2:$E$1210,D_技能表!$Z$2:$Z$1210),2,FALSE),0)</f>
        <v>0</v>
      </c>
      <c r="AF105">
        <f t="array" aca="1" ref="AF105" ca="1">IFERROR(VLOOKUP($AF$5&amp;$C105,CHOOSE({1,2},D_技能表!$C$2:$C$1210&amp;D_技能表!$E$2:$E$1210,D_技能表!$I$2:$I$1210),2,FALSE),0)</f>
        <v>0</v>
      </c>
      <c r="AG105">
        <f t="array" aca="1" ref="AG105" ca="1">IFERROR(VLOOKUP($AF$5&amp;$C105,CHOOSE({1,2},D_技能表!$C$2:$C$1210&amp;D_技能表!$E$2:$E$1210,D_技能表!$N$2:$N$1210),2,FALSE),0)</f>
        <v>0</v>
      </c>
      <c r="AH105">
        <f t="array" aca="1" ref="AH105" ca="1">IFERROR(VLOOKUP($AF$5&amp;$C105,CHOOSE({1,2},D_技能表!$C$2:$C$1210&amp;D_技能表!$E$2:$E$1210,D_技能表!$W$2:$W$1210),2,FALSE),0)</f>
        <v>0</v>
      </c>
      <c r="AI105">
        <f t="array" aca="1" ref="AI105" ca="1">IFERROR(VLOOKUP($AF$5&amp;$C105,CHOOSE({1,2},D_技能表!$C$2:$C$1210&amp;D_技能表!$E$2:$E$1210,D_技能表!$Z$2:$Z$1210),2,FALSE),0)</f>
        <v>0</v>
      </c>
      <c r="AJ105">
        <f t="array" aca="1" ref="AJ105" ca="1">IFERROR(VLOOKUP($AJ$5&amp;$C105,CHOOSE({1,2},D_技能表!$C$2:$C$1210&amp;D_技能表!$E$2:$E$1210,D_技能表!$I$2:$I$1210),2,FALSE),0)</f>
        <v>0</v>
      </c>
      <c r="AK105">
        <f t="array" aca="1" ref="AK105" ca="1">IFERROR(VLOOKUP($AJ$5&amp;$C105,CHOOSE({1,2},D_技能表!$C$2:$C$1210&amp;D_技能表!$E$2:$E$1210,D_技能表!$N$2:$N$1210),2,FALSE),0)</f>
        <v>0</v>
      </c>
      <c r="AL105">
        <f t="array" aca="1" ref="AL105" ca="1">IFERROR(VLOOKUP($AJ$5&amp;$C105,CHOOSE({1,2},D_技能表!$C$2:$C$1210&amp;D_技能表!$E$2:$E$1210,D_技能表!$W$2:$W$1210),2,FALSE),0)</f>
        <v>0</v>
      </c>
      <c r="AM105">
        <f t="array" aca="1" ref="AM105" ca="1">IFERROR(VLOOKUP($AJ$5&amp;$C105,CHOOSE({1,2},D_技能表!$C$2:$C$1210&amp;D_技能表!$E$2:$E$1210,D_技能表!$Z$2:$Z$1210),2,FALSE),0)</f>
        <v>0</v>
      </c>
      <c r="AN105">
        <f t="array" aca="1" ref="AN105" ca="1">IFERROR(VLOOKUP($AN$5&amp;$C105,CHOOSE({1,2},D_技能表!$C$2:$C$1210&amp;D_技能表!$E$2:$E$1210,D_技能表!$I$2:$I$1210),2,FALSE),0)</f>
        <v>0</v>
      </c>
      <c r="AO105">
        <f t="array" aca="1" ref="AO105" ca="1">IFERROR(VLOOKUP($AN$5&amp;$C105,CHOOSE({1,2},D_技能表!$C$2:$C$1210&amp;D_技能表!$E$2:$E$1210,D_技能表!$N$2:$N$1210),2,FALSE),0)</f>
        <v>0</v>
      </c>
      <c r="AP105">
        <f t="array" aca="1" ref="AP105" ca="1">IFERROR(VLOOKUP($AN$5&amp;$C105,CHOOSE({1,2},D_技能表!$C$2:$C$1210&amp;D_技能表!$E$2:$E$1210,D_技能表!$W$2:$W$1210),2,FALSE),0)</f>
        <v>0</v>
      </c>
      <c r="AQ105">
        <f t="array" aca="1" ref="AQ105" ca="1">IFERROR(VLOOKUP($AN$5&amp;$C105,CHOOSE({1,2},D_技能表!$C$2:$C$1210&amp;D_技能表!$E$2:$E$1210,D_技能表!$Z$2:$Z$1210),2,FALSE),0)</f>
        <v>0</v>
      </c>
      <c r="AR105" s="11">
        <f ca="1">SUM($G$7:G106,$K$7:K106,$O$7:O106,$S$7:S106,$W$7:W106,$AA$7:AA106,$AE$7:AE106,$AI$7:AI106,$AM$7:AM106,$AQ$7:AQ106)</f>
        <v>7724</v>
      </c>
      <c r="AS105">
        <f ca="1">SUM($F$7:F106,$J$7:J106,$N$7:N106,$R$7:R106,$V$7:V106,$Z$7:Z106,$AD$7:AD106,$AH$7:AH106,$AL$7:AL106,$AP$7:AP106)</f>
        <v>20474</v>
      </c>
      <c r="AT105">
        <f t="shared" ca="1" si="3"/>
        <v>0</v>
      </c>
      <c r="AU105" s="33">
        <f ca="1">SUM($AX$7:AX105,$BB$7:BB105,$BF$7:BF105,$BJ$7:BJ105)</f>
        <v>5566350</v>
      </c>
      <c r="AV105">
        <v>99</v>
      </c>
      <c r="AW105">
        <f t="array" ref="AW105">IFERROR(VLOOKUP(AW$5&amp;$AV105,CHOOSE({1,2},D_技能表CD!$C$2:$C$313&amp;D_技能表CD!$E$2:$E$313,D_技能表CD!$I$2:$I$313),2,FALSE),0)</f>
        <v>0</v>
      </c>
      <c r="AX105">
        <f t="array" aca="1" ref="AX105" ca="1">IFERROR(VLOOKUP(AW$5&amp;$AV105,CHOOSE({1,2},D_技能表CD!$C$2:$C$313&amp;D_技能表CD!$E$2:$E$313,D_技能表CD!$H$2:$H$313),2,FALSE),0)</f>
        <v>0</v>
      </c>
      <c r="AY105">
        <f t="array" aca="1" ref="AY105" ca="1">IFERROR(VLOOKUP(AW$5&amp;$AV105,CHOOSE({1,2},D_技能表CD!$C$2:$C$313&amp;D_技能表CD!$E$2:$E$313,D_技能表CD!$L$2:$L$313),2,FALSE),0)</f>
        <v>0</v>
      </c>
      <c r="AZ105">
        <f t="array" aca="1" ref="AZ105" ca="1">IFERROR(VLOOKUP(AW$5&amp;$AV105,CHOOSE({1,2},D_技能表CD!$C$2:$C$313&amp;D_技能表CD!$E$2:$E$313,D_技能表CD!$K$2:$K$313),2,FALSE),0)</f>
        <v>0</v>
      </c>
      <c r="BA105">
        <f t="array" ref="BA105">IFERROR(VLOOKUP(BA$5&amp;$AV105,CHOOSE({1,2},D_技能表CD!$C$2:$C$313&amp;D_技能表CD!$E$2:$E$313,D_技能表CD!$I$2:$I$313),2,FALSE),0)</f>
        <v>0</v>
      </c>
      <c r="BB105">
        <f t="array" aca="1" ref="BB105" ca="1">IFERROR(VLOOKUP(BA$5&amp;$AV105,CHOOSE({1,2},D_技能表CD!$C$2:$C$313&amp;D_技能表CD!$E$2:$E$313,D_技能表CD!$H$2:$H$313),2,FALSE),0)</f>
        <v>0</v>
      </c>
      <c r="BC105">
        <f t="array" aca="1" ref="BC105" ca="1">IFERROR(VLOOKUP(BA$5&amp;$AV105,CHOOSE({1,2},D_技能表CD!$C$2:$C$313&amp;D_技能表CD!$E$2:$E$313,D_技能表CD!$L$2:$L$313),2,FALSE),0)</f>
        <v>0</v>
      </c>
      <c r="BD105">
        <f t="array" aca="1" ref="BD105" ca="1">IFERROR(VLOOKUP(BA$5&amp;$AV105,CHOOSE({1,2},D_技能表CD!$C$2:$C$313&amp;D_技能表CD!$E$2:$E$313,D_技能表CD!$K$2:$K$313),2,FALSE),0)</f>
        <v>0</v>
      </c>
      <c r="BE105">
        <f t="array" ref="BE105">IFERROR(VLOOKUP(BE$5&amp;$AV105,CHOOSE({1,2},D_技能表CD!$C$2:$C$313&amp;D_技能表CD!$E$2:$E$313,D_技能表CD!$I$2:$I$313),2,FALSE),0)</f>
        <v>0</v>
      </c>
      <c r="BF105">
        <f t="array" aca="1" ref="BF105" ca="1">IFERROR(VLOOKUP(BE$5&amp;$AV105,CHOOSE({1,2},D_技能表CD!$C$2:$C$313&amp;D_技能表CD!$E$2:$E$313,D_技能表CD!$H$2:$H$313),2,FALSE),0)</f>
        <v>0</v>
      </c>
      <c r="BG105">
        <f t="array" aca="1" ref="BG105" ca="1">IFERROR(VLOOKUP(BE$5&amp;$AV105,CHOOSE({1,2},D_技能表CD!$C$2:$C$313&amp;D_技能表CD!$E$2:$E$313,D_技能表CD!$L$2:$L$313),2,FALSE),0)</f>
        <v>0</v>
      </c>
      <c r="BH105">
        <f t="array" aca="1" ref="BH105" ca="1">IFERROR(VLOOKUP(BE$5&amp;$AV105,CHOOSE({1,2},D_技能表CD!$C$2:$C$313&amp;D_技能表CD!$E$2:$E$313,D_技能表CD!$K$2:$K$313),2,FALSE),0)</f>
        <v>0</v>
      </c>
      <c r="BI105">
        <f t="array" ref="BI105">IFERROR(VLOOKUP(BI$5&amp;$AV105,CHOOSE({1,2},D_技能表CD!$C$2:$C$313&amp;D_技能表CD!$E$2:$E$313,D_技能表CD!$I$2:$I$313),2,FALSE),0)</f>
        <v>0</v>
      </c>
      <c r="BJ105">
        <f t="array" aca="1" ref="BJ105" ca="1">IFERROR(VLOOKUP(BI$5&amp;$AV105,CHOOSE({1,2},D_技能表CD!$C$2:$C$313&amp;D_技能表CD!$E$2:$E$313,D_技能表CD!$H$2:$H$313),2,FALSE),0)</f>
        <v>0</v>
      </c>
      <c r="BK105">
        <f t="array" aca="1" ref="BK105" ca="1">IFERROR(VLOOKUP(BI$5&amp;$AV105,CHOOSE({1,2},D_技能表CD!$C$2:$C$313&amp;D_技能表CD!$E$2:$E$313,D_技能表CD!$L$2:$L$313),2,FALSE),0)</f>
        <v>0</v>
      </c>
      <c r="BL105">
        <f t="array" aca="1" ref="BL105" ca="1">IFERROR(VLOOKUP(BI$5&amp;$AV105,CHOOSE({1,2},D_技能表CD!$C$2:$C$313&amp;D_技能表CD!$E$2:$E$313,D_技能表CD!$K$2:$K$313),2,FALSE),0)</f>
        <v>0</v>
      </c>
    </row>
    <row r="106" spans="1:64" x14ac:dyDescent="0.15">
      <c r="A106">
        <f t="shared" ca="1" si="2"/>
        <v>60615598</v>
      </c>
      <c r="B106" s="34">
        <f ca="1">SUM($E$7:E106,$I$7:I106,$M$7:M106,$Q$7:Q106,$U$7:U106,$Y$7:Y106,$AC$7:AC106,$AG$7:AG106,$AK$7:AK106,$AO$7:AO106)</f>
        <v>55049248</v>
      </c>
      <c r="C106">
        <v>100</v>
      </c>
      <c r="D106">
        <f t="array" aca="1" ref="D106" ca="1">IFERROR(VLOOKUP($D$5&amp;C106,CHOOSE({1,2},D_技能表!$C$2:$C$1210&amp;D_技能表!$E$2:$E$1210,D_技能表!$I$2:$I$1210),2,FALSE),0)</f>
        <v>0</v>
      </c>
      <c r="E106">
        <f t="array" aca="1" ref="E106" ca="1">IFERROR(VLOOKUP($D$5&amp;$C106,CHOOSE({1,2},D_技能表!$C$2:$C$1210&amp;D_技能表!$E$2:$E$1210,D_技能表!$N$2:$N$1210),2,FALSE),0)</f>
        <v>0</v>
      </c>
      <c r="F106">
        <f t="array" aca="1" ref="F106" ca="1">IFERROR(VLOOKUP($D$5&amp;$C106,CHOOSE({1,2},D_技能表!$C$2:$C$1210&amp;D_技能表!$E$2:$E$1210,D_技能表!$W$2:$W$1210),2,FALSE),0)</f>
        <v>0</v>
      </c>
      <c r="G106">
        <f t="array" aca="1" ref="G106" ca="1">IFERROR(VLOOKUP($D$5&amp;$C106,CHOOSE({1,2},D_技能表!$C$2:$C$1210&amp;D_技能表!$E$2:$E$1210,D_技能表!$Z$2:$Z$1210),2,FALSE),0)</f>
        <v>0</v>
      </c>
      <c r="H106">
        <f t="array" aca="1" ref="H106" ca="1">IFERROR(VLOOKUP($H$5&amp;$C106,CHOOSE({1,2},D_技能表!$C$2:$C$1210&amp;D_技能表!$E$2:$E$1210,D_技能表!$I$2:$I$1210),2,FALSE),0)</f>
        <v>0</v>
      </c>
      <c r="I106">
        <f t="array" aca="1" ref="I106" ca="1">IFERROR(VLOOKUP($H$5&amp;$C106,CHOOSE({1,2},D_技能表!$C$2:$C$1210&amp;D_技能表!$E$2:$E$1210,D_技能表!$N$2:$N$1210),2,FALSE),0)</f>
        <v>0</v>
      </c>
      <c r="J106">
        <f t="array" aca="1" ref="J106" ca="1">IFERROR(VLOOKUP($H$5&amp;$C106,CHOOSE({1,2},D_技能表!$C$2:$C$1210&amp;D_技能表!$E$2:$E$1210,D_技能表!$W$2:$W$1210),2,FALSE),0)</f>
        <v>0</v>
      </c>
      <c r="K106">
        <f t="array" aca="1" ref="K106" ca="1">IFERROR(VLOOKUP($H$5&amp;$C106,CHOOSE({1,2},D_技能表!$C$2:$C$1210&amp;D_技能表!$E$2:$E$1210,D_技能表!$Z$2:$Z$1210),2,FALSE),0)</f>
        <v>0</v>
      </c>
      <c r="L106">
        <f t="array" aca="1" ref="L106" ca="1">IFERROR(VLOOKUP($L$5&amp;$C106,CHOOSE({1,2},D_技能表!$C$2:$C$1210&amp;D_技能表!$E$2:$E$1210,D_技能表!$I$2:$I$1210),2,FALSE),0)</f>
        <v>0</v>
      </c>
      <c r="M106">
        <f t="array" aca="1" ref="M106" ca="1">IFERROR(VLOOKUP($L$5&amp;$C106,CHOOSE({1,2},D_技能表!$C$2:$C$1210&amp;D_技能表!$E$2:$E$1210,D_技能表!$N$2:$N$1210),2,FALSE),0)</f>
        <v>0</v>
      </c>
      <c r="N106">
        <f t="array" aca="1" ref="N106" ca="1">IFERROR(VLOOKUP($L$5&amp;$C106,CHOOSE({1,2},D_技能表!$C$2:$C$1210&amp;D_技能表!$E$2:$E$1210,D_技能表!$W$2:$W$1210),2,FALSE),0)</f>
        <v>0</v>
      </c>
      <c r="O106">
        <f t="array" aca="1" ref="O106" ca="1">IFERROR(VLOOKUP($L$5&amp;$C106,CHOOSE({1,2},D_技能表!$C$2:$C$1210&amp;D_技能表!$E$2:$E$1210,D_技能表!$Z$2:$Z$1210),2,FALSE),0)</f>
        <v>0</v>
      </c>
      <c r="P106">
        <f t="array" aca="1" ref="P106" ca="1">IFERROR(VLOOKUP($P$5&amp;$C106,CHOOSE({1,2},D_技能表!$C$2:$C$1210&amp;D_技能表!$E$2:$E$1210,D_技能表!$I$2:$I$1210),2,FALSE),0)</f>
        <v>0</v>
      </c>
      <c r="Q106">
        <f t="array" aca="1" ref="Q106" ca="1">IFERROR(VLOOKUP($P$5&amp;$C106,CHOOSE({1,2},D_技能表!$C$2:$C$1210&amp;D_技能表!$E$2:$E$1210,D_技能表!$N$2:$N$1210),2,FALSE),0)</f>
        <v>0</v>
      </c>
      <c r="R106">
        <f t="array" aca="1" ref="R106" ca="1">IFERROR(VLOOKUP($P$5&amp;$C106,CHOOSE({1,2},D_技能表!$C$2:$C$1210&amp;D_技能表!$E$2:$E$1210,D_技能表!$W$2:$W$1210),2,FALSE),0)</f>
        <v>0</v>
      </c>
      <c r="S106">
        <f t="array" aca="1" ref="S106" ca="1">IFERROR(VLOOKUP($P$5&amp;$C106,CHOOSE({1,2},D_技能表!$C$2:$C$1210&amp;D_技能表!$E$2:$E$1210,D_技能表!$Z$2:$Z$1210),2,FALSE),0)</f>
        <v>0</v>
      </c>
      <c r="T106">
        <f t="array" aca="1" ref="T106" ca="1">IFERROR(VLOOKUP($T$5&amp;$C106,CHOOSE({1,2},D_技能表!$C$2:$C$1210&amp;D_技能表!$E$2:$E$1210,D_技能表!$I$2:$I$1210),2,FALSE),0)</f>
        <v>0</v>
      </c>
      <c r="U106">
        <f t="array" aca="1" ref="U106" ca="1">IFERROR(VLOOKUP($T$5&amp;$C106,CHOOSE({1,2},D_技能表!$C$2:$C$1210&amp;D_技能表!$E$2:$E$1210,D_技能表!$N$2:$N$1210),2,FALSE),0)</f>
        <v>0</v>
      </c>
      <c r="V106">
        <f t="array" aca="1" ref="V106" ca="1">IFERROR(VLOOKUP($T$5&amp;$C106,CHOOSE({1,2},D_技能表!$C$2:$C$1210&amp;D_技能表!$E$2:$E$1210,D_技能表!$W$2:$W$1210),2,FALSE),0)</f>
        <v>0</v>
      </c>
      <c r="W106">
        <f t="array" aca="1" ref="W106" ca="1">IFERROR(VLOOKUP($T$5&amp;$C106,CHOOSE({1,2},D_技能表!$C$2:$C$1210&amp;D_技能表!$E$2:$E$1210,D_技能表!$Z$2:$Z$1210),2,FALSE),0)</f>
        <v>0</v>
      </c>
      <c r="X106">
        <f t="array" aca="1" ref="X106" ca="1">IFERROR(VLOOKUP($X$5&amp;$C106,CHOOSE({1,2},D_技能表!$C$2:$C$1210&amp;D_技能表!$E$2:$E$1210,D_技能表!$I$2:$I$1210),2,FALSE),0)</f>
        <v>0</v>
      </c>
      <c r="Y106">
        <f t="array" aca="1" ref="Y106" ca="1">IFERROR(VLOOKUP($X$5&amp;$C106,CHOOSE({1,2},D_技能表!$C$2:$C$1210&amp;D_技能表!$E$2:$E$1210,D_技能表!$N$2:$N$1210),2,FALSE),0)</f>
        <v>0</v>
      </c>
      <c r="Z106">
        <f t="array" aca="1" ref="Z106" ca="1">IFERROR(VLOOKUP($X$5&amp;$C106,CHOOSE({1,2},D_技能表!$C$2:$C$1210&amp;D_技能表!$E$2:$E$1210,D_技能表!$W$2:$W$1210),2,FALSE),0)</f>
        <v>0</v>
      </c>
      <c r="AA106">
        <f t="array" aca="1" ref="AA106" ca="1">IFERROR(VLOOKUP($X$5&amp;$C106,CHOOSE({1,2},D_技能表!$C$2:$C$1210&amp;D_技能表!$E$2:$E$1210,D_技能表!$Z$2:$Z$1210),2,FALSE),0)</f>
        <v>0</v>
      </c>
      <c r="AB106">
        <f t="array" aca="1" ref="AB106" ca="1">IFERROR(VLOOKUP($AB$5&amp;$C106,CHOOSE({1,2},D_技能表!$C$2:$C$1210&amp;D_技能表!$E$2:$E$1210,D_技能表!$I$2:$I$1210),2,FALSE),0)</f>
        <v>0</v>
      </c>
      <c r="AC106">
        <f t="array" aca="1" ref="AC106" ca="1">IFERROR(VLOOKUP($AB$5&amp;$C106,CHOOSE({1,2},D_技能表!$C$2:$C$1210&amp;D_技能表!$E$2:$E$1210,D_技能表!$N$2:$N$1210),2,FALSE),0)</f>
        <v>0</v>
      </c>
      <c r="AD106">
        <f t="array" aca="1" ref="AD106" ca="1">IFERROR(VLOOKUP($AB$5&amp;$C106,CHOOSE({1,2},D_技能表!$C$2:$C$1210&amp;D_技能表!$E$2:$E$1210,D_技能表!$W$2:$W$1210),2,FALSE),0)</f>
        <v>0</v>
      </c>
      <c r="AE106">
        <f t="array" aca="1" ref="AE106" ca="1">IFERROR(VLOOKUP($AB$5&amp;$C106,CHOOSE({1,2},D_技能表!$C$2:$C$1210&amp;D_技能表!$E$2:$E$1210,D_技能表!$Z$2:$Z$1210),2,FALSE),0)</f>
        <v>0</v>
      </c>
      <c r="AF106">
        <f t="array" aca="1" ref="AF106" ca="1">IFERROR(VLOOKUP($AF$5&amp;$C106,CHOOSE({1,2},D_技能表!$C$2:$C$1210&amp;D_技能表!$E$2:$E$1210,D_技能表!$I$2:$I$1210),2,FALSE),0)</f>
        <v>0</v>
      </c>
      <c r="AG106">
        <f t="array" aca="1" ref="AG106" ca="1">IFERROR(VLOOKUP($AF$5&amp;$C106,CHOOSE({1,2},D_技能表!$C$2:$C$1210&amp;D_技能表!$E$2:$E$1210,D_技能表!$N$2:$N$1210),2,FALSE),0)</f>
        <v>0</v>
      </c>
      <c r="AH106">
        <f t="array" aca="1" ref="AH106" ca="1">IFERROR(VLOOKUP($AF$5&amp;$C106,CHOOSE({1,2},D_技能表!$C$2:$C$1210&amp;D_技能表!$E$2:$E$1210,D_技能表!$W$2:$W$1210),2,FALSE),0)</f>
        <v>0</v>
      </c>
      <c r="AI106">
        <f t="array" aca="1" ref="AI106" ca="1">IFERROR(VLOOKUP($AF$5&amp;$C106,CHOOSE({1,2},D_技能表!$C$2:$C$1210&amp;D_技能表!$E$2:$E$1210,D_技能表!$Z$2:$Z$1210),2,FALSE),0)</f>
        <v>0</v>
      </c>
      <c r="AJ106">
        <f t="array" aca="1" ref="AJ106" ca="1">IFERROR(VLOOKUP($AJ$5&amp;$C106,CHOOSE({1,2},D_技能表!$C$2:$C$1210&amp;D_技能表!$E$2:$E$1210,D_技能表!$I$2:$I$1210),2,FALSE),0)</f>
        <v>0</v>
      </c>
      <c r="AK106">
        <f t="array" aca="1" ref="AK106" ca="1">IFERROR(VLOOKUP($AJ$5&amp;$C106,CHOOSE({1,2},D_技能表!$C$2:$C$1210&amp;D_技能表!$E$2:$E$1210,D_技能表!$N$2:$N$1210),2,FALSE),0)</f>
        <v>0</v>
      </c>
      <c r="AL106">
        <f t="array" aca="1" ref="AL106" ca="1">IFERROR(VLOOKUP($AJ$5&amp;$C106,CHOOSE({1,2},D_技能表!$C$2:$C$1210&amp;D_技能表!$E$2:$E$1210,D_技能表!$W$2:$W$1210),2,FALSE),0)</f>
        <v>0</v>
      </c>
      <c r="AM106">
        <f t="array" aca="1" ref="AM106" ca="1">IFERROR(VLOOKUP($AJ$5&amp;$C106,CHOOSE({1,2},D_技能表!$C$2:$C$1210&amp;D_技能表!$E$2:$E$1210,D_技能表!$Z$2:$Z$1210),2,FALSE),0)</f>
        <v>0</v>
      </c>
      <c r="AN106">
        <f t="array" aca="1" ref="AN106" ca="1">IFERROR(VLOOKUP($AN$5&amp;$C106,CHOOSE({1,2},D_技能表!$C$2:$C$1210&amp;D_技能表!$E$2:$E$1210,D_技能表!$I$2:$I$1210),2,FALSE),0)</f>
        <v>0</v>
      </c>
      <c r="AO106">
        <f t="array" aca="1" ref="AO106" ca="1">IFERROR(VLOOKUP($AN$5&amp;$C106,CHOOSE({1,2},D_技能表!$C$2:$C$1210&amp;D_技能表!$E$2:$E$1210,D_技能表!$N$2:$N$1210),2,FALSE),0)</f>
        <v>0</v>
      </c>
      <c r="AP106">
        <f t="array" aca="1" ref="AP106" ca="1">IFERROR(VLOOKUP($AN$5&amp;$C106,CHOOSE({1,2},D_技能表!$C$2:$C$1210&amp;D_技能表!$E$2:$E$1210,D_技能表!$W$2:$W$1210),2,FALSE),0)</f>
        <v>0</v>
      </c>
      <c r="AQ106">
        <f t="array" aca="1" ref="AQ106" ca="1">IFERROR(VLOOKUP($AN$5&amp;$C106,CHOOSE({1,2},D_技能表!$C$2:$C$1210&amp;D_技能表!$E$2:$E$1210,D_技能表!$Z$2:$Z$1210),2,FALSE),0)</f>
        <v>0</v>
      </c>
      <c r="AR106" s="11">
        <f ca="1">SUM($G$7:G107,$K$7:K107,$O$7:O107,$S$7:S107,$W$7:W107,$AA$7:AA107,$AE$7:AE107,$AI$7:AI107,$AM$7:AM107,$AQ$7:AQ107)</f>
        <v>7724</v>
      </c>
      <c r="AS106">
        <f ca="1">SUM($F$7:F107,$J$7:J107,$N$7:N107,$R$7:R107,$V$7:V107,$Z$7:Z107,$AD$7:AD107,$AH$7:AH107,$AL$7:AL107,$AP$7:AP107)</f>
        <v>20474</v>
      </c>
      <c r="AT106">
        <f t="shared" ca="1" si="3"/>
        <v>0</v>
      </c>
      <c r="AU106" s="33">
        <f ca="1">SUM($AX$7:AX106,$BB$7:BB106,$BF$7:BF106,$BJ$7:BJ106)</f>
        <v>5566350</v>
      </c>
      <c r="AV106">
        <v>100</v>
      </c>
      <c r="AW106">
        <f t="array" ref="AW106">IFERROR(VLOOKUP(AW$5&amp;$AV106,CHOOSE({1,2},D_技能表CD!$C$2:$C$313&amp;D_技能表CD!$E$2:$E$313,D_技能表CD!$I$2:$I$313),2,FALSE),0)</f>
        <v>0</v>
      </c>
      <c r="AX106">
        <f t="array" aca="1" ref="AX106" ca="1">IFERROR(VLOOKUP(AW$5&amp;$AV106,CHOOSE({1,2},D_技能表CD!$C$2:$C$313&amp;D_技能表CD!$E$2:$E$313,D_技能表CD!$H$2:$H$313),2,FALSE),0)</f>
        <v>0</v>
      </c>
      <c r="AY106">
        <f t="array" aca="1" ref="AY106" ca="1">IFERROR(VLOOKUP(AW$5&amp;$AV106,CHOOSE({1,2},D_技能表CD!$C$2:$C$313&amp;D_技能表CD!$E$2:$E$313,D_技能表CD!$L$2:$L$313),2,FALSE),0)</f>
        <v>0</v>
      </c>
      <c r="AZ106">
        <f t="array" aca="1" ref="AZ106" ca="1">IFERROR(VLOOKUP(AW$5&amp;$AV106,CHOOSE({1,2},D_技能表CD!$C$2:$C$313&amp;D_技能表CD!$E$2:$E$313,D_技能表CD!$K$2:$K$313),2,FALSE),0)</f>
        <v>0</v>
      </c>
      <c r="BA106">
        <f t="array" ref="BA106">IFERROR(VLOOKUP(BA$5&amp;$AV106,CHOOSE({1,2},D_技能表CD!$C$2:$C$313&amp;D_技能表CD!$E$2:$E$313,D_技能表CD!$I$2:$I$313),2,FALSE),0)</f>
        <v>0</v>
      </c>
      <c r="BB106">
        <f t="array" aca="1" ref="BB106" ca="1">IFERROR(VLOOKUP(BA$5&amp;$AV106,CHOOSE({1,2},D_技能表CD!$C$2:$C$313&amp;D_技能表CD!$E$2:$E$313,D_技能表CD!$H$2:$H$313),2,FALSE),0)</f>
        <v>0</v>
      </c>
      <c r="BC106">
        <f t="array" aca="1" ref="BC106" ca="1">IFERROR(VLOOKUP(BA$5&amp;$AV106,CHOOSE({1,2},D_技能表CD!$C$2:$C$313&amp;D_技能表CD!$E$2:$E$313,D_技能表CD!$L$2:$L$313),2,FALSE),0)</f>
        <v>0</v>
      </c>
      <c r="BD106">
        <f t="array" aca="1" ref="BD106" ca="1">IFERROR(VLOOKUP(BA$5&amp;$AV106,CHOOSE({1,2},D_技能表CD!$C$2:$C$313&amp;D_技能表CD!$E$2:$E$313,D_技能表CD!$K$2:$K$313),2,FALSE),0)</f>
        <v>0</v>
      </c>
      <c r="BE106">
        <f t="array" ref="BE106">IFERROR(VLOOKUP(BE$5&amp;$AV106,CHOOSE({1,2},D_技能表CD!$C$2:$C$313&amp;D_技能表CD!$E$2:$E$313,D_技能表CD!$I$2:$I$313),2,FALSE),0)</f>
        <v>0</v>
      </c>
      <c r="BF106">
        <f t="array" aca="1" ref="BF106" ca="1">IFERROR(VLOOKUP(BE$5&amp;$AV106,CHOOSE({1,2},D_技能表CD!$C$2:$C$313&amp;D_技能表CD!$E$2:$E$313,D_技能表CD!$H$2:$H$313),2,FALSE),0)</f>
        <v>0</v>
      </c>
      <c r="BG106">
        <f t="array" aca="1" ref="BG106" ca="1">IFERROR(VLOOKUP(BE$5&amp;$AV106,CHOOSE({1,2},D_技能表CD!$C$2:$C$313&amp;D_技能表CD!$E$2:$E$313,D_技能表CD!$L$2:$L$313),2,FALSE),0)</f>
        <v>0</v>
      </c>
      <c r="BH106">
        <f t="array" aca="1" ref="BH106" ca="1">IFERROR(VLOOKUP(BE$5&amp;$AV106,CHOOSE({1,2},D_技能表CD!$C$2:$C$313&amp;D_技能表CD!$E$2:$E$313,D_技能表CD!$K$2:$K$313),2,FALSE),0)</f>
        <v>0</v>
      </c>
      <c r="BI106">
        <f t="array" ref="BI106">IFERROR(VLOOKUP(BI$5&amp;$AV106,CHOOSE({1,2},D_技能表CD!$C$2:$C$313&amp;D_技能表CD!$E$2:$E$313,D_技能表CD!$I$2:$I$313),2,FALSE),0)</f>
        <v>0</v>
      </c>
      <c r="BJ106">
        <f t="array" aca="1" ref="BJ106" ca="1">IFERROR(VLOOKUP(BI$5&amp;$AV106,CHOOSE({1,2},D_技能表CD!$C$2:$C$313&amp;D_技能表CD!$E$2:$E$313,D_技能表CD!$H$2:$H$313),2,FALSE),0)</f>
        <v>0</v>
      </c>
      <c r="BK106">
        <f t="array" aca="1" ref="BK106" ca="1">IFERROR(VLOOKUP(BI$5&amp;$AV106,CHOOSE({1,2},D_技能表CD!$C$2:$C$313&amp;D_技能表CD!$E$2:$E$313,D_技能表CD!$L$2:$L$313),2,FALSE),0)</f>
        <v>0</v>
      </c>
      <c r="BL106">
        <f t="array" aca="1" ref="BL106" ca="1">IFERROR(VLOOKUP(BI$5&amp;$AV106,CHOOSE({1,2},D_技能表CD!$C$2:$C$313&amp;D_技能表CD!$E$2:$E$313,D_技能表CD!$K$2:$K$313),2,FALSE),0)</f>
        <v>0</v>
      </c>
    </row>
  </sheetData>
  <mergeCells count="14">
    <mergeCell ref="D5:G5"/>
    <mergeCell ref="H5:K5"/>
    <mergeCell ref="L5:O5"/>
    <mergeCell ref="P5:S5"/>
    <mergeCell ref="T5:W5"/>
    <mergeCell ref="AW5:AZ5"/>
    <mergeCell ref="BA5:BD5"/>
    <mergeCell ref="BE5:BH5"/>
    <mergeCell ref="BI5:BL5"/>
    <mergeCell ref="X5:AA5"/>
    <mergeCell ref="AB5:AE5"/>
    <mergeCell ref="AF5:AI5"/>
    <mergeCell ref="AJ5:AM5"/>
    <mergeCell ref="AN5:AQ5"/>
  </mergeCells>
  <phoneticPr fontId="1" type="noConversion"/>
  <conditionalFormatting sqref="C9:C86 D7:D106 C8:D8 C7:AQ7 E8:AQ106">
    <cfRule type="expression" dxfId="225" priority="3">
      <formula>MOD($C7,10)=0</formula>
    </cfRule>
  </conditionalFormatting>
  <conditionalFormatting sqref="B8:B86">
    <cfRule type="expression" dxfId="224" priority="2">
      <formula>MOD($C8,10)=0</formula>
    </cfRule>
  </conditionalFormatting>
  <conditionalFormatting sqref="AU8:AU106">
    <cfRule type="expression" dxfId="223" priority="1">
      <formula>MOD($C8,10)=0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R104"/>
  <sheetViews>
    <sheetView topLeftCell="G1" workbookViewId="0">
      <selection activeCell="N44" sqref="N44"/>
    </sheetView>
  </sheetViews>
  <sheetFormatPr defaultRowHeight="13.5" x14ac:dyDescent="0.15"/>
  <cols>
    <col min="4" max="4" width="22.75" customWidth="1"/>
    <col min="16" max="16" width="12.25" customWidth="1"/>
  </cols>
  <sheetData>
    <row r="2" spans="3:18" x14ac:dyDescent="0.15">
      <c r="D2" s="3" t="s">
        <v>49</v>
      </c>
      <c r="E2" s="16">
        <v>1</v>
      </c>
    </row>
    <row r="3" spans="3:18" x14ac:dyDescent="0.15">
      <c r="C3" s="3" t="s">
        <v>40</v>
      </c>
      <c r="D3" s="15" t="s">
        <v>70</v>
      </c>
      <c r="E3" t="s">
        <v>64</v>
      </c>
      <c r="H3" t="s">
        <v>41</v>
      </c>
    </row>
    <row r="4" spans="3:18" x14ac:dyDescent="0.15">
      <c r="C4" s="3">
        <v>0</v>
      </c>
      <c r="D4" s="3">
        <f>D5*0.5</f>
        <v>11.28565</v>
      </c>
      <c r="E4" s="3">
        <f>E5*0.5</f>
        <v>33</v>
      </c>
      <c r="I4" t="str">
        <f>[2]各种公式!C12</f>
        <v>生命</v>
      </c>
      <c r="J4" t="str">
        <f>[2]各种公式!D12</f>
        <v>攻击</v>
      </c>
      <c r="K4" t="str">
        <f>[2]各种公式!E12</f>
        <v>防御</v>
      </c>
      <c r="L4" t="str">
        <f>[2]各种公式!F12</f>
        <v>闪避值</v>
      </c>
      <c r="M4" t="str">
        <f>[2]各种公式!G12</f>
        <v>命中值</v>
      </c>
      <c r="N4" t="str">
        <f>[2]各种公式!H12</f>
        <v>暴击值</v>
      </c>
      <c r="P4" t="s">
        <v>78</v>
      </c>
    </row>
    <row r="5" spans="3:18" x14ac:dyDescent="0.15">
      <c r="C5" s="3">
        <v>1</v>
      </c>
      <c r="D5" s="3">
        <f>(22+0.5713*C5^2.4305)*$E$2</f>
        <v>22.571300000000001</v>
      </c>
      <c r="E5">
        <f>'[2]3、总属性战斗节奏拟合'!G5</f>
        <v>66</v>
      </c>
      <c r="F5">
        <f>D5-D4</f>
        <v>11.28565</v>
      </c>
      <c r="G5">
        <v>22</v>
      </c>
      <c r="I5">
        <f>[2]各种公式!C13</f>
        <v>0.04</v>
      </c>
      <c r="J5">
        <f>[2]各种公式!D13</f>
        <v>1</v>
      </c>
      <c r="K5">
        <f>[2]各种公式!E13</f>
        <v>1</v>
      </c>
      <c r="L5">
        <f>[2]各种公式!F13</f>
        <v>0.34</v>
      </c>
      <c r="M5">
        <f>[2]各种公式!G13</f>
        <v>0.34</v>
      </c>
      <c r="N5">
        <f>[2]各种公式!H13</f>
        <v>0.18</v>
      </c>
      <c r="P5">
        <v>1</v>
      </c>
      <c r="Q5">
        <f>22*P5^1.87</f>
        <v>22</v>
      </c>
      <c r="R5">
        <f>19.323*EXP(P5*0.1297)</f>
        <v>21.998980166878493</v>
      </c>
    </row>
    <row r="6" spans="3:18" x14ac:dyDescent="0.15">
      <c r="C6" s="3">
        <v>2</v>
      </c>
      <c r="D6" s="3">
        <f t="shared" ref="D6:D69" si="0">(22+0.5713*C6^2.4305)*$E$2</f>
        <v>25.079765350249179</v>
      </c>
      <c r="E6">
        <f>'[2]3、总属性战斗节奏拟合'!G6</f>
        <v>72</v>
      </c>
      <c r="F6">
        <f t="shared" ref="F6:F69" si="1">D6-D5</f>
        <v>2.5084653502491783</v>
      </c>
      <c r="P6">
        <v>2</v>
      </c>
      <c r="R6">
        <f t="shared" ref="R6:R69" si="2">19.323*EXP(P6*0.1297)</f>
        <v>25.045548226606293</v>
      </c>
    </row>
    <row r="7" spans="3:18" x14ac:dyDescent="0.15">
      <c r="C7" s="3">
        <v>3</v>
      </c>
      <c r="D7" s="3">
        <f t="shared" si="0"/>
        <v>30.251016083144705</v>
      </c>
      <c r="E7">
        <f>'[2]3、总属性战斗节奏拟合'!G7</f>
        <v>78</v>
      </c>
      <c r="F7">
        <f t="shared" si="1"/>
        <v>5.1712507328955262</v>
      </c>
      <c r="P7">
        <v>3</v>
      </c>
      <c r="R7">
        <f t="shared" si="2"/>
        <v>28.514025705413786</v>
      </c>
    </row>
    <row r="8" spans="3:18" x14ac:dyDescent="0.15">
      <c r="C8" s="3">
        <v>4</v>
      </c>
      <c r="D8" s="3">
        <f t="shared" si="0"/>
        <v>38.602406113417544</v>
      </c>
      <c r="E8">
        <f>'[2]3、总属性战斗节奏拟合'!G8</f>
        <v>84</v>
      </c>
      <c r="F8">
        <f t="shared" si="1"/>
        <v>8.3513900302728388</v>
      </c>
      <c r="P8">
        <v>4</v>
      </c>
      <c r="R8">
        <f t="shared" si="2"/>
        <v>32.462841482754307</v>
      </c>
    </row>
    <row r="9" spans="3:18" x14ac:dyDescent="0.15">
      <c r="C9" s="3">
        <v>5</v>
      </c>
      <c r="D9" s="3">
        <f t="shared" si="0"/>
        <v>50.556884143974344</v>
      </c>
      <c r="E9">
        <f>'[2]3、总属性战斗节奏拟合'!G9</f>
        <v>90</v>
      </c>
      <c r="F9">
        <f t="shared" si="1"/>
        <v>11.9544780305568</v>
      </c>
      <c r="P9">
        <v>5</v>
      </c>
      <c r="R9">
        <f t="shared" si="2"/>
        <v>36.958516065809263</v>
      </c>
    </row>
    <row r="10" spans="3:18" x14ac:dyDescent="0.15">
      <c r="C10" s="3">
        <v>6</v>
      </c>
      <c r="D10" s="3">
        <f t="shared" si="0"/>
        <v>66.479596424326516</v>
      </c>
      <c r="E10">
        <f>'[2]3、总属性战斗节奏拟合'!G10</f>
        <v>148.19999999999999</v>
      </c>
      <c r="F10">
        <f t="shared" si="1"/>
        <v>15.922712280352172</v>
      </c>
      <c r="P10">
        <v>6</v>
      </c>
      <c r="R10">
        <f t="shared" si="2"/>
        <v>42.076782173006166</v>
      </c>
    </row>
    <row r="11" spans="3:18" x14ac:dyDescent="0.15">
      <c r="C11" s="3">
        <v>7</v>
      </c>
      <c r="D11" s="3">
        <f t="shared" si="0"/>
        <v>86.695639530011505</v>
      </c>
      <c r="E11">
        <f>'[2]3、总属性战斗节奏拟合'!G11</f>
        <v>169.89374999999998</v>
      </c>
      <c r="F11">
        <f t="shared" si="1"/>
        <v>20.216043105684989</v>
      </c>
      <c r="P11">
        <v>7</v>
      </c>
      <c r="R11">
        <f t="shared" si="2"/>
        <v>47.903860503546511</v>
      </c>
    </row>
    <row r="12" spans="3:18" x14ac:dyDescent="0.15">
      <c r="C12" s="3">
        <v>8</v>
      </c>
      <c r="D12" s="3">
        <f t="shared" si="0"/>
        <v>111.50028895303427</v>
      </c>
      <c r="E12">
        <f>'[2]3、总属性战斗节奏拟合'!G12</f>
        <v>193.05</v>
      </c>
      <c r="F12">
        <f t="shared" si="1"/>
        <v>24.804649423022767</v>
      </c>
      <c r="P12">
        <v>8</v>
      </c>
      <c r="R12">
        <f t="shared" si="2"/>
        <v>54.537912184155353</v>
      </c>
    </row>
    <row r="13" spans="3:18" x14ac:dyDescent="0.15">
      <c r="C13" s="3">
        <v>9</v>
      </c>
      <c r="D13" s="3">
        <f t="shared" si="0"/>
        <v>141.16552845144855</v>
      </c>
      <c r="E13">
        <f>'[2]3、总属性战斗节奏拟合'!G13</f>
        <v>242.45135869565217</v>
      </c>
      <c r="F13">
        <f t="shared" si="1"/>
        <v>29.66523949841428</v>
      </c>
      <c r="P13">
        <v>9</v>
      </c>
      <c r="R13">
        <f t="shared" si="2"/>
        <v>62.090692360513088</v>
      </c>
    </row>
    <row r="14" spans="3:18" x14ac:dyDescent="0.15">
      <c r="C14" s="3">
        <v>10</v>
      </c>
      <c r="D14" s="3">
        <f t="shared" si="0"/>
        <v>175.94451653718258</v>
      </c>
      <c r="E14">
        <f>'[2]3、总属性战斗节奏拟合'!G14</f>
        <v>295.92391304347831</v>
      </c>
      <c r="F14">
        <f t="shared" si="1"/>
        <v>34.778988085734028</v>
      </c>
      <c r="P14">
        <v>10</v>
      </c>
      <c r="R14">
        <f t="shared" si="2"/>
        <v>70.689432789250205</v>
      </c>
    </row>
    <row r="15" spans="3:18" x14ac:dyDescent="0.15">
      <c r="C15" s="3">
        <v>11</v>
      </c>
      <c r="D15" s="3">
        <f t="shared" si="0"/>
        <v>216.07479913111567</v>
      </c>
      <c r="E15">
        <f>'[2]3、总属性战斗节奏拟合'!G15</f>
        <v>353.46766304347824</v>
      </c>
      <c r="F15">
        <f t="shared" si="1"/>
        <v>40.130282593933089</v>
      </c>
      <c r="P15">
        <v>11</v>
      </c>
      <c r="R15">
        <f t="shared" si="2"/>
        <v>80.478985144056566</v>
      </c>
    </row>
    <row r="16" spans="3:18" x14ac:dyDescent="0.15">
      <c r="C16" s="3">
        <v>12</v>
      </c>
      <c r="D16" s="3">
        <f t="shared" si="0"/>
        <v>261.78071041608291</v>
      </c>
      <c r="E16">
        <f>'[2]3、总属性战斗节奏拟合'!G16</f>
        <v>415.08260869565214</v>
      </c>
      <c r="F16">
        <f t="shared" si="1"/>
        <v>45.705911284967243</v>
      </c>
      <c r="P16">
        <v>12</v>
      </c>
      <c r="R16">
        <f t="shared" si="2"/>
        <v>91.624261141365707</v>
      </c>
    </row>
    <row r="17" spans="3:18" x14ac:dyDescent="0.15">
      <c r="C17" s="3">
        <v>13</v>
      </c>
      <c r="D17" s="3">
        <f t="shared" si="0"/>
        <v>313.27522193781044</v>
      </c>
      <c r="E17">
        <f>'[2]3、总属性战斗节奏拟合'!G17</f>
        <v>480.76874999999995</v>
      </c>
      <c r="F17">
        <f t="shared" si="1"/>
        <v>51.494511521727532</v>
      </c>
      <c r="P17">
        <v>13</v>
      </c>
      <c r="R17">
        <f t="shared" si="2"/>
        <v>104.31301059120221</v>
      </c>
    </row>
    <row r="18" spans="3:18" x14ac:dyDescent="0.15">
      <c r="C18" s="3">
        <v>14</v>
      </c>
      <c r="D18" s="3">
        <f t="shared" si="0"/>
        <v>370.76140195473562</v>
      </c>
      <c r="E18">
        <f>'[2]3、总属性战斗节奏拟合'!G18</f>
        <v>550.52608695652179</v>
      </c>
      <c r="F18">
        <f t="shared" si="1"/>
        <v>57.486180016925175</v>
      </c>
      <c r="P18">
        <v>14</v>
      </c>
      <c r="R18">
        <f t="shared" si="2"/>
        <v>118.75898417136281</v>
      </c>
    </row>
    <row r="19" spans="3:18" x14ac:dyDescent="0.15">
      <c r="C19" s="3">
        <v>15</v>
      </c>
      <c r="D19" s="3">
        <f t="shared" si="0"/>
        <v>434.43359068165995</v>
      </c>
      <c r="E19">
        <f>'[2]3、总属性战斗节奏拟合'!G19</f>
        <v>624.35461956521738</v>
      </c>
      <c r="F19">
        <f t="shared" si="1"/>
        <v>63.672188726924333</v>
      </c>
      <c r="P19">
        <v>15</v>
      </c>
      <c r="R19">
        <f t="shared" si="2"/>
        <v>135.20553420402877</v>
      </c>
    </row>
    <row r="20" spans="3:18" x14ac:dyDescent="0.15">
      <c r="C20" s="3">
        <v>16</v>
      </c>
      <c r="D20" s="3">
        <f t="shared" si="0"/>
        <v>504.47836295264176</v>
      </c>
      <c r="E20">
        <f>'[2]3、总属性战斗节奏拟合'!G20</f>
        <v>702.25434782608704</v>
      </c>
      <c r="F20">
        <f t="shared" si="1"/>
        <v>70.044772270981809</v>
      </c>
      <c r="P20">
        <v>16</v>
      </c>
      <c r="R20">
        <f t="shared" si="2"/>
        <v>153.92971409235832</v>
      </c>
    </row>
    <row r="21" spans="3:18" x14ac:dyDescent="0.15">
      <c r="C21" s="3">
        <v>17</v>
      </c>
      <c r="D21" s="3">
        <f t="shared" si="0"/>
        <v>581.07532826888348</v>
      </c>
      <c r="E21">
        <f>'[2]3、总属性战斗节奏拟合'!G21</f>
        <v>784.22527173913045</v>
      </c>
      <c r="F21">
        <f t="shared" si="1"/>
        <v>76.596965316241722</v>
      </c>
      <c r="P21">
        <v>17</v>
      </c>
      <c r="R21">
        <f t="shared" si="2"/>
        <v>175.24694547487806</v>
      </c>
    </row>
    <row r="22" spans="3:18" x14ac:dyDescent="0.15">
      <c r="C22" s="3">
        <v>18</v>
      </c>
      <c r="D22" s="3">
        <f t="shared" si="0"/>
        <v>664.39780407649835</v>
      </c>
      <c r="E22">
        <f>'[2]3、总属性战斗节奏拟合'!G22</f>
        <v>870.26739130434817</v>
      </c>
      <c r="F22">
        <f t="shared" si="1"/>
        <v>83.322475807614865</v>
      </c>
      <c r="P22">
        <v>18</v>
      </c>
      <c r="R22">
        <f t="shared" si="2"/>
        <v>199.51633171908495</v>
      </c>
    </row>
    <row r="23" spans="3:18" x14ac:dyDescent="0.15">
      <c r="C23" s="3">
        <v>19</v>
      </c>
      <c r="D23" s="3">
        <f t="shared" si="0"/>
        <v>754.61338858338218</v>
      </c>
      <c r="E23">
        <f>'[2]3、总属性战斗节奏拟合'!G23</f>
        <v>960.38070652173917</v>
      </c>
      <c r="F23">
        <f t="shared" si="1"/>
        <v>90.215584506883829</v>
      </c>
      <c r="P23">
        <v>19</v>
      </c>
      <c r="R23">
        <f t="shared" si="2"/>
        <v>227.14670726370133</v>
      </c>
    </row>
    <row r="24" spans="3:18" x14ac:dyDescent="0.15">
      <c r="C24" s="3">
        <v>20</v>
      </c>
      <c r="D24" s="3">
        <f t="shared" si="0"/>
        <v>851.8844528130162</v>
      </c>
      <c r="E24">
        <f>'[2]3、总属性战斗节奏拟合'!G24</f>
        <v>1054.5652173913045</v>
      </c>
      <c r="F24">
        <f t="shared" si="1"/>
        <v>97.271064229634021</v>
      </c>
      <c r="P24">
        <v>20</v>
      </c>
      <c r="R24">
        <f t="shared" si="2"/>
        <v>258.60352471489529</v>
      </c>
    </row>
    <row r="25" spans="3:18" x14ac:dyDescent="0.15">
      <c r="C25" s="3">
        <v>21</v>
      </c>
      <c r="D25" s="3">
        <f t="shared" si="0"/>
        <v>956.36856690260333</v>
      </c>
      <c r="E25">
        <f>'[2]3、总属性战斗节奏拟合'!G25</f>
        <v>1152.8209239130438</v>
      </c>
      <c r="F25">
        <f t="shared" si="1"/>
        <v>104.48411408958714</v>
      </c>
      <c r="P25">
        <v>21</v>
      </c>
      <c r="R25">
        <f t="shared" si="2"/>
        <v>294.41669571432237</v>
      </c>
    </row>
    <row r="26" spans="3:18" x14ac:dyDescent="0.15">
      <c r="C26" s="3">
        <v>22</v>
      </c>
      <c r="D26" s="3">
        <f t="shared" si="0"/>
        <v>1068.2188722572716</v>
      </c>
      <c r="E26">
        <f>'[2]3、总属性战斗节奏拟合'!G26</f>
        <v>1255.1478260869567</v>
      </c>
      <c r="F26">
        <f t="shared" si="1"/>
        <v>111.85030535466831</v>
      </c>
      <c r="P26">
        <v>22</v>
      </c>
      <c r="R26">
        <f t="shared" si="2"/>
        <v>335.18951766378308</v>
      </c>
    </row>
    <row r="27" spans="3:18" x14ac:dyDescent="0.15">
      <c r="C27" s="3">
        <v>23</v>
      </c>
      <c r="D27" s="3">
        <f t="shared" si="0"/>
        <v>1187.5844086692791</v>
      </c>
      <c r="E27">
        <f>'[2]3、总属性战斗节奏拟合'!G27</f>
        <v>1386.9305392976592</v>
      </c>
      <c r="F27">
        <f t="shared" si="1"/>
        <v>119.36553641200749</v>
      </c>
      <c r="P27">
        <v>23</v>
      </c>
      <c r="R27">
        <f t="shared" si="2"/>
        <v>381.60883668328586</v>
      </c>
    </row>
    <row r="28" spans="3:18" x14ac:dyDescent="0.15">
      <c r="C28" s="3">
        <v>24</v>
      </c>
      <c r="D28" s="3">
        <f t="shared" si="0"/>
        <v>1314.6104036365905</v>
      </c>
      <c r="E28">
        <f>'[2]3、总属性战斗节奏拟合'!G28</f>
        <v>1524.3229096989967</v>
      </c>
      <c r="F28">
        <f t="shared" si="1"/>
        <v>127.02599496731136</v>
      </c>
      <c r="P28">
        <v>24</v>
      </c>
      <c r="R28">
        <f t="shared" si="2"/>
        <v>434.45661800451154</v>
      </c>
    </row>
    <row r="29" spans="3:18" x14ac:dyDescent="0.15">
      <c r="C29" s="3">
        <v>25</v>
      </c>
      <c r="D29" s="3">
        <f t="shared" si="0"/>
        <v>1449.4385296908335</v>
      </c>
      <c r="E29">
        <f>'[2]3、总属性战斗节奏拟合'!G29</f>
        <v>1667.3249372909704</v>
      </c>
      <c r="F29">
        <f t="shared" si="1"/>
        <v>134.82812605424306</v>
      </c>
      <c r="P29">
        <v>25</v>
      </c>
      <c r="R29">
        <f t="shared" si="2"/>
        <v>494.62311871088122</v>
      </c>
    </row>
    <row r="30" spans="3:18" x14ac:dyDescent="0.15">
      <c r="C30" s="3">
        <v>26</v>
      </c>
      <c r="D30" s="3">
        <f t="shared" si="0"/>
        <v>1592.207134448116</v>
      </c>
      <c r="E30">
        <f>'[2]3、总属性战斗节奏拟合'!G30</f>
        <v>1838.9766220735789</v>
      </c>
      <c r="F30">
        <f t="shared" si="1"/>
        <v>142.76860475728245</v>
      </c>
      <c r="P30">
        <v>26</v>
      </c>
      <c r="R30">
        <f t="shared" si="2"/>
        <v>563.12188472805792</v>
      </c>
    </row>
    <row r="31" spans="3:18" x14ac:dyDescent="0.15">
      <c r="C31" s="3">
        <v>27</v>
      </c>
      <c r="D31" s="3">
        <f t="shared" si="0"/>
        <v>1743.0514472419727</v>
      </c>
      <c r="E31">
        <f>'[2]3、总属性战斗节奏拟合'!G31</f>
        <v>2017.5179640468232</v>
      </c>
      <c r="F31">
        <f t="shared" si="1"/>
        <v>150.84431279385672</v>
      </c>
      <c r="P31">
        <v>27</v>
      </c>
      <c r="R31">
        <f t="shared" si="2"/>
        <v>641.1068246994663</v>
      </c>
    </row>
    <row r="32" spans="3:18" x14ac:dyDescent="0.15">
      <c r="C32" s="3">
        <v>28</v>
      </c>
      <c r="D32" s="3">
        <f t="shared" si="0"/>
        <v>1902.1037655251544</v>
      </c>
      <c r="E32">
        <f>'[2]3、总属性战斗节奏拟合'!G32</f>
        <v>2202.9489632107029</v>
      </c>
      <c r="F32">
        <f t="shared" si="1"/>
        <v>159.05231828318165</v>
      </c>
      <c r="P32">
        <v>28</v>
      </c>
      <c r="R32">
        <f t="shared" si="2"/>
        <v>729.89164836795533</v>
      </c>
    </row>
    <row r="33" spans="3:18" x14ac:dyDescent="0.15">
      <c r="C33" s="3">
        <v>29</v>
      </c>
      <c r="D33" s="3">
        <f t="shared" si="0"/>
        <v>2069.4936236919402</v>
      </c>
      <c r="E33">
        <f>'[2]3、总属性战斗节奏拟合'!G33</f>
        <v>2395.2696195652184</v>
      </c>
      <c r="F33">
        <f t="shared" si="1"/>
        <v>167.38985816678587</v>
      </c>
      <c r="P33">
        <v>29</v>
      </c>
      <c r="R33">
        <f t="shared" si="2"/>
        <v>830.97199691646756</v>
      </c>
    </row>
    <row r="34" spans="3:18" x14ac:dyDescent="0.15">
      <c r="C34" s="3">
        <v>30</v>
      </c>
      <c r="D34" s="3">
        <f t="shared" si="0"/>
        <v>2245.3479465433707</v>
      </c>
      <c r="E34">
        <f>'[2]3、总属性战斗节奏拟合'!G34</f>
        <v>2626.9109322742484</v>
      </c>
      <c r="F34">
        <f t="shared" si="1"/>
        <v>175.85432285143042</v>
      </c>
      <c r="P34">
        <v>30</v>
      </c>
      <c r="R34">
        <f t="shared" si="2"/>
        <v>946.05063806845681</v>
      </c>
    </row>
    <row r="35" spans="3:18" x14ac:dyDescent="0.15">
      <c r="C35" s="3">
        <v>31</v>
      </c>
      <c r="D35" s="3">
        <f t="shared" si="0"/>
        <v>2429.7911892703642</v>
      </c>
      <c r="E35">
        <f>'[2]3、总属性战斗节奏拟合'!G35</f>
        <v>2868.8867307692312</v>
      </c>
      <c r="F35">
        <f t="shared" si="1"/>
        <v>184.4432427269935</v>
      </c>
      <c r="P35">
        <v>31</v>
      </c>
      <c r="R35">
        <f t="shared" si="2"/>
        <v>1077.0661503767908</v>
      </c>
    </row>
    <row r="36" spans="3:18" x14ac:dyDescent="0.15">
      <c r="C36" s="3">
        <v>32</v>
      </c>
      <c r="D36" s="3">
        <f t="shared" si="0"/>
        <v>2622.9454655461104</v>
      </c>
      <c r="E36">
        <f>'[2]3、总属性战斗节奏拟合'!G36</f>
        <v>3122.3317976588637</v>
      </c>
      <c r="F36">
        <f t="shared" si="1"/>
        <v>193.15427627574627</v>
      </c>
      <c r="P36">
        <v>32</v>
      </c>
      <c r="R36">
        <f t="shared" si="2"/>
        <v>1226.2255799076324</v>
      </c>
    </row>
    <row r="37" spans="3:18" x14ac:dyDescent="0.15">
      <c r="C37" s="3">
        <v>33</v>
      </c>
      <c r="D37" s="3">
        <f t="shared" si="0"/>
        <v>2824.9306650864883</v>
      </c>
      <c r="E37">
        <f>'[2]3、总属性战斗节奏拟合'!G37</f>
        <v>3386.1896112040149</v>
      </c>
      <c r="F37">
        <f t="shared" si="1"/>
        <v>201.98519954037783</v>
      </c>
      <c r="P37">
        <v>33</v>
      </c>
      <c r="R37">
        <f t="shared" si="2"/>
        <v>1396.0416194435168</v>
      </c>
    </row>
    <row r="38" spans="3:18" x14ac:dyDescent="0.15">
      <c r="C38" s="3">
        <v>34</v>
      </c>
      <c r="D38" s="3">
        <f t="shared" si="0"/>
        <v>3035.8645618443788</v>
      </c>
      <c r="E38">
        <f>'[2]3、总属性战斗节奏拟合'!G38</f>
        <v>3660.4601714046826</v>
      </c>
      <c r="F38">
        <f t="shared" si="1"/>
        <v>210.93389675789058</v>
      </c>
      <c r="P38">
        <v>34</v>
      </c>
      <c r="R38">
        <f t="shared" si="2"/>
        <v>1589.3749365147689</v>
      </c>
    </row>
    <row r="39" spans="3:18" x14ac:dyDescent="0.15">
      <c r="C39" s="3">
        <v>35</v>
      </c>
      <c r="D39" s="3">
        <f t="shared" si="0"/>
        <v>3255.8629138436313</v>
      </c>
      <c r="E39">
        <f>'[2]3、总属性战斗节奏拟合'!G39</f>
        <v>3945.1434782608699</v>
      </c>
      <c r="F39">
        <f t="shared" si="1"/>
        <v>219.99835199925246</v>
      </c>
      <c r="P39">
        <v>35</v>
      </c>
      <c r="R39">
        <f t="shared" si="2"/>
        <v>1809.4823633039466</v>
      </c>
    </row>
    <row r="40" spans="3:18" x14ac:dyDescent="0.15">
      <c r="C40" s="3">
        <v>36</v>
      </c>
      <c r="D40" s="3">
        <f t="shared" si="0"/>
        <v>3485.0395555241726</v>
      </c>
      <c r="E40">
        <f>'[2]3、总属性战斗节奏拟合'!G40</f>
        <v>4240.2395317725759</v>
      </c>
      <c r="F40">
        <f t="shared" si="1"/>
        <v>229.17664168054125</v>
      </c>
      <c r="P40">
        <v>36</v>
      </c>
      <c r="R40">
        <f t="shared" si="2"/>
        <v>2060.071760215284</v>
      </c>
    </row>
    <row r="41" spans="3:18" x14ac:dyDescent="0.15">
      <c r="C41" s="3">
        <v>37</v>
      </c>
      <c r="D41" s="3">
        <f t="shared" si="0"/>
        <v>3723.5064833565775</v>
      </c>
      <c r="E41">
        <f>'[2]3、总属性战斗节奏拟合'!G41</f>
        <v>4545.7483319397998</v>
      </c>
      <c r="F41">
        <f t="shared" si="1"/>
        <v>238.46692783240496</v>
      </c>
      <c r="P41">
        <v>37</v>
      </c>
      <c r="R41">
        <f t="shared" si="2"/>
        <v>2345.3644773235278</v>
      </c>
    </row>
    <row r="42" spans="3:18" x14ac:dyDescent="0.15">
      <c r="C42" s="3">
        <v>38</v>
      </c>
      <c r="D42" s="3">
        <f t="shared" si="0"/>
        <v>3971.3739353890028</v>
      </c>
      <c r="E42">
        <f>'[2]3、总属性战斗节奏拟合'!G42</f>
        <v>4861.6698787625419</v>
      </c>
      <c r="F42">
        <f t="shared" si="1"/>
        <v>247.86745203242526</v>
      </c>
      <c r="P42">
        <v>38</v>
      </c>
      <c r="R42">
        <f t="shared" si="2"/>
        <v>2670.1664659080693</v>
      </c>
    </row>
    <row r="43" spans="3:18" x14ac:dyDescent="0.15">
      <c r="C43" s="3">
        <v>39</v>
      </c>
      <c r="D43" s="3">
        <f t="shared" si="0"/>
        <v>4228.7504653079259</v>
      </c>
      <c r="E43">
        <f>'[2]3、总属性战斗节奏拟合'!G43</f>
        <v>5188.0041722408032</v>
      </c>
      <c r="F43">
        <f t="shared" si="1"/>
        <v>257.3765299189231</v>
      </c>
      <c r="P43">
        <v>39</v>
      </c>
      <c r="R43">
        <f t="shared" si="2"/>
        <v>3039.9492379949093</v>
      </c>
    </row>
    <row r="44" spans="3:18" x14ac:dyDescent="0.15">
      <c r="C44" s="3">
        <v>40</v>
      </c>
      <c r="D44" s="3">
        <f t="shared" si="0"/>
        <v>4495.7430115246425</v>
      </c>
      <c r="E44">
        <f>'[2]3、总属性战斗节奏拟合'!G44</f>
        <v>5574.5237458194006</v>
      </c>
      <c r="F44">
        <f t="shared" si="1"/>
        <v>266.99254621671662</v>
      </c>
      <c r="P44">
        <v>40</v>
      </c>
      <c r="R44">
        <f t="shared" si="2"/>
        <v>3460.9420377253759</v>
      </c>
    </row>
    <row r="45" spans="3:18" x14ac:dyDescent="0.15">
      <c r="C45" s="3">
        <v>41</v>
      </c>
      <c r="D45" s="3">
        <f t="shared" si="0"/>
        <v>4772.4569617399748</v>
      </c>
      <c r="E45">
        <f>'[2]3、总属性战斗节奏拟合'!G45</f>
        <v>5974.9269816053529</v>
      </c>
      <c r="F45">
        <f t="shared" si="1"/>
        <v>276.71395021533226</v>
      </c>
      <c r="P45">
        <v>41</v>
      </c>
      <c r="R45">
        <f t="shared" si="2"/>
        <v>3940.2367772414514</v>
      </c>
    </row>
    <row r="46" spans="3:18" x14ac:dyDescent="0.15">
      <c r="C46" s="3">
        <v>42</v>
      </c>
      <c r="D46" s="3">
        <f t="shared" si="0"/>
        <v>5058.9962133880954</v>
      </c>
      <c r="E46">
        <f>'[2]3、总属性战斗节奏拟合'!G46</f>
        <v>6389.2138795986639</v>
      </c>
      <c r="F46">
        <f t="shared" si="1"/>
        <v>286.53925164812063</v>
      </c>
      <c r="P46">
        <v>42</v>
      </c>
      <c r="R46">
        <f t="shared" si="2"/>
        <v>4485.9075048046316</v>
      </c>
    </row>
    <row r="47" spans="3:18" x14ac:dyDescent="0.15">
      <c r="C47" s="3">
        <v>43</v>
      </c>
      <c r="D47" s="3">
        <f t="shared" si="0"/>
        <v>5355.4632303161043</v>
      </c>
      <c r="E47">
        <f>'[2]3、总属性战斗节奏拟合'!G47</f>
        <v>6817.3844397993325</v>
      </c>
      <c r="F47">
        <f t="shared" si="1"/>
        <v>296.46701692800889</v>
      </c>
      <c r="P47">
        <v>43</v>
      </c>
      <c r="R47">
        <f t="shared" si="2"/>
        <v>5107.1464176705767</v>
      </c>
    </row>
    <row r="48" spans="3:18" x14ac:dyDescent="0.15">
      <c r="C48" s="3">
        <v>44</v>
      </c>
      <c r="D48" s="3">
        <f t="shared" si="0"/>
        <v>5661.9590960173573</v>
      </c>
      <c r="E48">
        <f>'[2]3、总属性战斗节奏拟合'!G48</f>
        <v>7259.4386622073589</v>
      </c>
      <c r="F48">
        <f t="shared" si="1"/>
        <v>306.49586570125302</v>
      </c>
      <c r="P48">
        <v>44</v>
      </c>
      <c r="R48">
        <f t="shared" si="2"/>
        <v>5814.4187109496206</v>
      </c>
    </row>
    <row r="49" spans="3:18" x14ac:dyDescent="0.15">
      <c r="C49" s="3">
        <v>45</v>
      </c>
      <c r="D49" s="3">
        <f t="shared" si="0"/>
        <v>5978.5835637029477</v>
      </c>
      <c r="E49">
        <f>'[2]3、总属性战斗节奏拟合'!G49</f>
        <v>7715.3765468227448</v>
      </c>
      <c r="F49">
        <f t="shared" si="1"/>
        <v>316.62446768559039</v>
      </c>
      <c r="P49">
        <v>45</v>
      </c>
      <c r="R49">
        <f t="shared" si="2"/>
        <v>6619.6388709883495</v>
      </c>
    </row>
    <row r="50" spans="3:18" x14ac:dyDescent="0.15">
      <c r="C50" s="3">
        <v>46</v>
      </c>
      <c r="D50" s="3">
        <f t="shared" si="0"/>
        <v>6305.4351034663405</v>
      </c>
      <c r="E50">
        <f>'[2]3、总属性战斗节奏拟合'!G50</f>
        <v>8185.1980936454875</v>
      </c>
      <c r="F50">
        <f t="shared" si="1"/>
        <v>326.85153976339279</v>
      </c>
      <c r="P50">
        <v>46</v>
      </c>
      <c r="R50">
        <f t="shared" si="2"/>
        <v>7536.3713830549468</v>
      </c>
    </row>
    <row r="51" spans="3:18" x14ac:dyDescent="0.15">
      <c r="C51" s="3">
        <v>47</v>
      </c>
      <c r="D51" s="3">
        <f t="shared" si="0"/>
        <v>6642.6109467705255</v>
      </c>
      <c r="E51">
        <f>'[2]3、总属性战斗节奏拟合'!G51</f>
        <v>8668.9033026755878</v>
      </c>
      <c r="F51">
        <f t="shared" si="1"/>
        <v>337.17584330418504</v>
      </c>
      <c r="P51">
        <v>47</v>
      </c>
      <c r="R51">
        <f t="shared" si="2"/>
        <v>8580.059234386812</v>
      </c>
    </row>
    <row r="52" spans="3:18" x14ac:dyDescent="0.15">
      <c r="C52" s="3">
        <v>48</v>
      </c>
      <c r="D52" s="3">
        <f t="shared" si="0"/>
        <v>6990.2071284641625</v>
      </c>
      <c r="E52">
        <f>'[2]3、总属性战斗节奏拟合'!G52</f>
        <v>9166.4921739130477</v>
      </c>
      <c r="F52">
        <f t="shared" si="1"/>
        <v>347.59618169363694</v>
      </c>
      <c r="P52">
        <v>48</v>
      </c>
      <c r="R52">
        <f t="shared" si="2"/>
        <v>9768.2840618909122</v>
      </c>
    </row>
    <row r="53" spans="3:18" x14ac:dyDescent="0.15">
      <c r="C53" s="3">
        <v>49</v>
      </c>
      <c r="D53" s="3">
        <f t="shared" si="0"/>
        <v>7348.3185265135407</v>
      </c>
      <c r="E53">
        <f>'[2]3、总属性战斗节奏拟合'!G53</f>
        <v>9677.9647073578635</v>
      </c>
      <c r="F53">
        <f t="shared" si="1"/>
        <v>358.11139804937829</v>
      </c>
      <c r="P53">
        <v>49</v>
      </c>
      <c r="R53">
        <f t="shared" si="2"/>
        <v>11121.062326862992</v>
      </c>
    </row>
    <row r="54" spans="3:18" x14ac:dyDescent="0.15">
      <c r="C54" s="3">
        <v>50</v>
      </c>
      <c r="D54" s="3">
        <f t="shared" si="0"/>
        <v>7717.0388996192223</v>
      </c>
      <c r="E54">
        <f>'[2]3、总属性战斗节奏拟合'!G54</f>
        <v>10270.448014214051</v>
      </c>
      <c r="F54">
        <f t="shared" si="1"/>
        <v>368.72037310568157</v>
      </c>
      <c r="G54">
        <v>33550</v>
      </c>
      <c r="P54">
        <v>50</v>
      </c>
      <c r="Q54">
        <v>12680</v>
      </c>
      <c r="R54">
        <f t="shared" si="2"/>
        <v>12661.182505991743</v>
      </c>
    </row>
    <row r="55" spans="3:18" x14ac:dyDescent="0.15">
      <c r="C55" s="3">
        <v>51</v>
      </c>
      <c r="D55" s="3">
        <f t="shared" si="0"/>
        <v>8096.4609228705749</v>
      </c>
      <c r="E55">
        <f>'[2]3、总属性战斗节奏拟合'!G55</f>
        <v>10880.285898829434</v>
      </c>
      <c r="F55">
        <f t="shared" si="1"/>
        <v>379.42202325135258</v>
      </c>
      <c r="P55">
        <v>51</v>
      </c>
      <c r="R55">
        <f t="shared" si="2"/>
        <v>14414.588978861537</v>
      </c>
    </row>
    <row r="56" spans="3:18" x14ac:dyDescent="0.15">
      <c r="C56" s="3">
        <v>52</v>
      </c>
      <c r="D56" s="3">
        <f t="shared" si="0"/>
        <v>8486.6762215777435</v>
      </c>
      <c r="E56">
        <f>'[2]3、总属性战斗节奏拟合'!G56</f>
        <v>11507.478361204016</v>
      </c>
      <c r="F56">
        <f t="shared" si="1"/>
        <v>390.21529870716859</v>
      </c>
      <c r="P56">
        <v>52</v>
      </c>
      <c r="R56">
        <f t="shared" si="2"/>
        <v>16410.81907880144</v>
      </c>
    </row>
    <row r="57" spans="3:18" x14ac:dyDescent="0.15">
      <c r="C57" s="3">
        <v>53</v>
      </c>
      <c r="D57" s="3">
        <f t="shared" si="0"/>
        <v>8887.7754034077989</v>
      </c>
      <c r="E57">
        <f>'[2]3、总属性战斗节奏拟合'!G57</f>
        <v>12152.025401337796</v>
      </c>
      <c r="F57">
        <f t="shared" si="1"/>
        <v>401.09918183005539</v>
      </c>
      <c r="P57">
        <v>53</v>
      </c>
      <c r="R57">
        <f t="shared" si="2"/>
        <v>18683.500669501835</v>
      </c>
    </row>
    <row r="58" spans="3:18" x14ac:dyDescent="0.15">
      <c r="C58" s="3">
        <v>54</v>
      </c>
      <c r="D58" s="3">
        <f t="shared" si="0"/>
        <v>9299.8480889410621</v>
      </c>
      <c r="E58">
        <f>'[2]3、总属性战斗节奏拟合'!G58</f>
        <v>12813.927019230772</v>
      </c>
      <c r="F58">
        <f t="shared" si="1"/>
        <v>412.07268553326321</v>
      </c>
      <c r="P58">
        <v>54</v>
      </c>
      <c r="R58">
        <f t="shared" si="2"/>
        <v>21270.918629417389</v>
      </c>
    </row>
    <row r="59" spans="3:18" x14ac:dyDescent="0.15">
      <c r="C59" s="3">
        <v>55</v>
      </c>
      <c r="D59" s="3">
        <f t="shared" si="0"/>
        <v>9722.9829407533125</v>
      </c>
      <c r="E59">
        <f>'[2]3、总属性战斗节奏拟合'!G59</f>
        <v>13493.183214882944</v>
      </c>
      <c r="F59">
        <f t="shared" si="1"/>
        <v>423.13485181225042</v>
      </c>
      <c r="P59">
        <v>55</v>
      </c>
      <c r="R59">
        <f t="shared" si="2"/>
        <v>24216.659786774271</v>
      </c>
    </row>
    <row r="60" spans="3:18" x14ac:dyDescent="0.15">
      <c r="C60" s="3">
        <v>56</v>
      </c>
      <c r="D60" s="3">
        <f t="shared" si="0"/>
        <v>10157.267691120926</v>
      </c>
      <c r="E60">
        <f>'[2]3、总属性战斗节奏拟合'!G60</f>
        <v>14189.793988294317</v>
      </c>
      <c r="F60">
        <f t="shared" si="1"/>
        <v>434.28475036761301</v>
      </c>
      <c r="P60">
        <v>56</v>
      </c>
      <c r="R60">
        <f t="shared" si="2"/>
        <v>27570.347169553948</v>
      </c>
    </row>
    <row r="61" spans="3:18" x14ac:dyDescent="0.15">
      <c r="C61" s="3">
        <v>57</v>
      </c>
      <c r="D61" s="3">
        <f t="shared" si="0"/>
        <v>10602.789168437999</v>
      </c>
      <c r="E61">
        <f>'[2]3、总属性战斗节奏拟合'!G61</f>
        <v>14903.759339464887</v>
      </c>
      <c r="F61">
        <f t="shared" si="1"/>
        <v>445.52147731707373</v>
      </c>
      <c r="P61">
        <v>57</v>
      </c>
      <c r="R61">
        <f t="shared" si="2"/>
        <v>31388.475939397209</v>
      </c>
    </row>
    <row r="62" spans="3:18" x14ac:dyDescent="0.15">
      <c r="C62" s="3">
        <v>58</v>
      </c>
      <c r="D62" s="3">
        <f t="shared" si="0"/>
        <v>11059.633322427038</v>
      </c>
      <c r="E62">
        <f>'[2]3、总属性战斗节奏拟合'!G62</f>
        <v>15635.079268394653</v>
      </c>
      <c r="F62">
        <f t="shared" si="1"/>
        <v>456.84415398903911</v>
      </c>
      <c r="P62">
        <v>58</v>
      </c>
      <c r="R62">
        <f t="shared" si="2"/>
        <v>35735.365091307867</v>
      </c>
    </row>
    <row r="63" spans="3:18" x14ac:dyDescent="0.15">
      <c r="C63" s="3">
        <v>59</v>
      </c>
      <c r="D63" s="3">
        <f t="shared" si="0"/>
        <v>11527.885248218427</v>
      </c>
      <c r="E63">
        <f>'[2]3、总属性战斗节奏拟合'!G63</f>
        <v>16383.753775083616</v>
      </c>
      <c r="F63">
        <f t="shared" si="1"/>
        <v>468.2519257913882</v>
      </c>
      <c r="P63">
        <v>59</v>
      </c>
      <c r="R63">
        <f t="shared" si="2"/>
        <v>40684.240951189953</v>
      </c>
    </row>
    <row r="64" spans="3:18" x14ac:dyDescent="0.15">
      <c r="C64" s="3">
        <v>60</v>
      </c>
      <c r="D64" s="3">
        <f t="shared" si="0"/>
        <v>12007.629209367993</v>
      </c>
      <c r="E64">
        <f>'[2]3、总属性战斗节奏拟合'!G64</f>
        <v>17234.26454849499</v>
      </c>
      <c r="F64">
        <f t="shared" si="1"/>
        <v>479.74396114956653</v>
      </c>
      <c r="P64">
        <v>60</v>
      </c>
      <c r="R64">
        <f t="shared" si="2"/>
        <v>46318.470723476385</v>
      </c>
    </row>
    <row r="65" spans="3:18" x14ac:dyDescent="0.15">
      <c r="C65" s="3">
        <v>61</v>
      </c>
      <c r="D65" s="3">
        <f t="shared" si="0"/>
        <v>12498.948659876931</v>
      </c>
      <c r="E65">
        <f>'[2]3、总属性战斗节奏拟合'!G65</f>
        <v>18105.600815217396</v>
      </c>
      <c r="F65">
        <f t="shared" si="1"/>
        <v>491.31945050893773</v>
      </c>
      <c r="P65">
        <v>61</v>
      </c>
      <c r="R65">
        <f t="shared" si="2"/>
        <v>52732.96686880396</v>
      </c>
    </row>
    <row r="66" spans="3:18" x14ac:dyDescent="0.15">
      <c r="C66" s="3">
        <v>62</v>
      </c>
      <c r="D66" s="3">
        <f t="shared" si="0"/>
        <v>13001.92626527241</v>
      </c>
      <c r="E66">
        <f>'[2]3、总属性战斗节奏拟合'!G66</f>
        <v>18997.762575250843</v>
      </c>
      <c r="F66">
        <f t="shared" si="1"/>
        <v>502.97760539547926</v>
      </c>
      <c r="P66">
        <v>62</v>
      </c>
      <c r="R66">
        <f t="shared" si="2"/>
        <v>60035.785969439508</v>
      </c>
    </row>
    <row r="67" spans="3:18" x14ac:dyDescent="0.15">
      <c r="C67" s="3">
        <v>63</v>
      </c>
      <c r="D67" s="3">
        <f t="shared" si="0"/>
        <v>13516.643922804546</v>
      </c>
      <c r="E67">
        <f>'[2]3、总属性战斗节奏拟合'!G67</f>
        <v>19910.749828595326</v>
      </c>
      <c r="F67">
        <f t="shared" si="1"/>
        <v>514.71765753213549</v>
      </c>
      <c r="P67">
        <v>63</v>
      </c>
      <c r="R67">
        <f t="shared" si="2"/>
        <v>68349.949016439554</v>
      </c>
    </row>
    <row r="68" spans="3:18" x14ac:dyDescent="0.15">
      <c r="C68" s="3">
        <v>64</v>
      </c>
      <c r="D68" s="3">
        <f t="shared" si="0"/>
        <v>14043.182780809781</v>
      </c>
      <c r="E68">
        <f>'[2]3、总属性战斗节奏拟合'!G68</f>
        <v>20844.562575250846</v>
      </c>
      <c r="F68">
        <f t="shared" si="1"/>
        <v>526.53885800523494</v>
      </c>
      <c r="P68">
        <v>64</v>
      </c>
      <c r="R68">
        <f t="shared" si="2"/>
        <v>77815.513782529088</v>
      </c>
    </row>
    <row r="69" spans="3:18" x14ac:dyDescent="0.15">
      <c r="C69" s="3">
        <v>65</v>
      </c>
      <c r="D69" s="3">
        <f t="shared" si="0"/>
        <v>14581.623257287694</v>
      </c>
      <c r="E69">
        <f>'[2]3、总属性战斗节奏拟合'!G69</f>
        <v>21799.200815217395</v>
      </c>
      <c r="F69">
        <f t="shared" si="1"/>
        <v>538.44047647791376</v>
      </c>
      <c r="P69">
        <v>65</v>
      </c>
      <c r="R69">
        <f t="shared" si="2"/>
        <v>88591.934191239299</v>
      </c>
    </row>
    <row r="70" spans="3:18" x14ac:dyDescent="0.15">
      <c r="C70" s="3">
        <v>66</v>
      </c>
      <c r="D70" s="3">
        <f t="shared" ref="D70:D104" si="3">(22+0.5713*C70^2.4305)*$E$2</f>
        <v>15132.04505773543</v>
      </c>
      <c r="E70">
        <f>'[2]3、总属性战斗节奏拟合'!G70</f>
        <v>22774.664548494995</v>
      </c>
      <c r="F70">
        <f t="shared" ref="F70:F104" si="4">D70-D69</f>
        <v>550.42180044773522</v>
      </c>
      <c r="P70">
        <v>66</v>
      </c>
      <c r="R70">
        <f t="shared" ref="R70:R84" si="5">19.323*EXP(P70*0.1297)</f>
        <v>100860.74642749455</v>
      </c>
    </row>
    <row r="71" spans="3:18" x14ac:dyDescent="0.15">
      <c r="C71" s="3">
        <v>67</v>
      </c>
      <c r="D71" s="3">
        <f t="shared" si="3"/>
        <v>15694.527192279666</v>
      </c>
      <c r="E71">
        <f>'[2]3、总属性战斗节奏拟合'!G71</f>
        <v>23770.953775083628</v>
      </c>
      <c r="F71">
        <f t="shared" si="4"/>
        <v>562.48213454423603</v>
      </c>
      <c r="P71">
        <v>67</v>
      </c>
      <c r="R71">
        <f t="shared" si="5"/>
        <v>114828.62703902174</v>
      </c>
    </row>
    <row r="72" spans="3:18" x14ac:dyDescent="0.15">
      <c r="C72" s="3">
        <v>68</v>
      </c>
      <c r="D72" s="3">
        <f t="shared" si="3"/>
        <v>16269.14799214465</v>
      </c>
      <c r="E72">
        <f>'[2]3、总属性战斗节奏拟合'!G72</f>
        <v>24788.068494983298</v>
      </c>
      <c r="F72">
        <f t="shared" si="4"/>
        <v>574.62079986498429</v>
      </c>
      <c r="P72">
        <v>68</v>
      </c>
      <c r="R72">
        <f t="shared" si="5"/>
        <v>130730.87454439403</v>
      </c>
    </row>
    <row r="73" spans="3:18" x14ac:dyDescent="0.15">
      <c r="C73" s="3">
        <v>69</v>
      </c>
      <c r="D73" s="3">
        <f t="shared" si="3"/>
        <v>16855.985125490857</v>
      </c>
      <c r="E73">
        <f>'[2]3、总属性战斗节奏拟合'!G73</f>
        <v>25826.008708194004</v>
      </c>
      <c r="F73">
        <f t="shared" si="4"/>
        <v>586.83713334620734</v>
      </c>
      <c r="P73">
        <v>69</v>
      </c>
      <c r="R73">
        <f t="shared" si="5"/>
        <v>148835.37319778523</v>
      </c>
    </row>
    <row r="74" spans="3:18" x14ac:dyDescent="0.15">
      <c r="C74" s="3">
        <v>70</v>
      </c>
      <c r="D74" s="3">
        <f t="shared" si="3"/>
        <v>17455.115612657901</v>
      </c>
      <c r="E74">
        <f>'[2]3、总属性战斗节奏拟合'!G74</f>
        <v>26986.610681438149</v>
      </c>
      <c r="F74">
        <f t="shared" si="4"/>
        <v>599.13048716704361</v>
      </c>
      <c r="P74">
        <v>70</v>
      </c>
      <c r="R74">
        <f t="shared" si="5"/>
        <v>169447.1056827633</v>
      </c>
    </row>
    <row r="75" spans="3:18" x14ac:dyDescent="0.15">
      <c r="C75" s="3">
        <v>71</v>
      </c>
      <c r="D75" s="3">
        <f t="shared" si="3"/>
        <v>18066.615840841678</v>
      </c>
      <c r="E75">
        <f>'[2]3、总属性战斗节奏拟合'!G75</f>
        <v>28171.509063545167</v>
      </c>
      <c r="F75">
        <f t="shared" si="4"/>
        <v>611.50022818377693</v>
      </c>
      <c r="P75">
        <v>71</v>
      </c>
      <c r="R75">
        <f t="shared" si="5"/>
        <v>192913.29075454501</v>
      </c>
    </row>
    <row r="76" spans="3:18" x14ac:dyDescent="0.15">
      <c r="C76" s="3">
        <v>72</v>
      </c>
      <c r="D76" s="3">
        <f t="shared" si="3"/>
        <v>18690.561578235011</v>
      </c>
      <c r="E76">
        <f>'[2]3、总属性战斗节奏拟合'!G76</f>
        <v>29380.703854515068</v>
      </c>
      <c r="F76">
        <f t="shared" si="4"/>
        <v>623.94573739333282</v>
      </c>
      <c r="P76">
        <v>72</v>
      </c>
      <c r="R76">
        <f t="shared" si="5"/>
        <v>219629.23237781393</v>
      </c>
    </row>
    <row r="77" spans="3:18" x14ac:dyDescent="0.15">
      <c r="C77" s="3">
        <v>73</v>
      </c>
      <c r="D77" s="3">
        <f t="shared" si="3"/>
        <v>19327.027987658439</v>
      </c>
      <c r="E77">
        <f>'[2]3、总属性战斗节奏拟合'!G77</f>
        <v>30614.195054347845</v>
      </c>
      <c r="F77">
        <f t="shared" si="4"/>
        <v>636.46640942342856</v>
      </c>
      <c r="P77">
        <v>73</v>
      </c>
      <c r="R77">
        <f t="shared" si="5"/>
        <v>250044.97889283672</v>
      </c>
    </row>
    <row r="78" spans="3:18" x14ac:dyDescent="0.15">
      <c r="C78" s="3">
        <v>74</v>
      </c>
      <c r="D78" s="3">
        <f t="shared" si="3"/>
        <v>19976.08963970645</v>
      </c>
      <c r="E78">
        <f>'[2]3、总属性战斗节奏拟合'!G78</f>
        <v>31871.982663043495</v>
      </c>
      <c r="F78">
        <f t="shared" si="4"/>
        <v>649.06165204801073</v>
      </c>
      <c r="P78">
        <v>74</v>
      </c>
      <c r="R78">
        <f t="shared" si="5"/>
        <v>284672.90438809007</v>
      </c>
    </row>
    <row r="79" spans="3:18" x14ac:dyDescent="0.15">
      <c r="C79" s="3">
        <v>75</v>
      </c>
      <c r="D79" s="3">
        <f t="shared" si="3"/>
        <v>20637.820525432347</v>
      </c>
      <c r="E79">
        <f>'[2]3、总属性战斗节奏拟合'!G79</f>
        <v>33154.066680602024</v>
      </c>
      <c r="F79">
        <f t="shared" si="4"/>
        <v>661.73088572589768</v>
      </c>
      <c r="P79">
        <v>75</v>
      </c>
      <c r="R79">
        <f t="shared" si="5"/>
        <v>324096.33999282145</v>
      </c>
    </row>
    <row r="80" spans="3:18" x14ac:dyDescent="0.15">
      <c r="C80" s="3">
        <v>76</v>
      </c>
      <c r="D80" s="3">
        <f t="shared" si="3"/>
        <v>21312.294068594932</v>
      </c>
      <c r="E80">
        <f>'[2]3、总属性战斗节奏拟合'!G80</f>
        <v>34460.447107023429</v>
      </c>
      <c r="F80">
        <f t="shared" si="4"/>
        <v>674.47354316258497</v>
      </c>
      <c r="P80">
        <v>76</v>
      </c>
      <c r="R80">
        <f t="shared" si="5"/>
        <v>368979.40048957133</v>
      </c>
    </row>
    <row r="81" spans="3:18" x14ac:dyDescent="0.15">
      <c r="C81" s="3">
        <v>77</v>
      </c>
      <c r="D81" s="3">
        <f t="shared" si="3"/>
        <v>21999.583137486519</v>
      </c>
      <c r="E81">
        <f>'[2]3、总属性战斗节奏拟合'!G81</f>
        <v>35791.123942307706</v>
      </c>
      <c r="F81">
        <f t="shared" si="4"/>
        <v>687.28906889158679</v>
      </c>
      <c r="P81">
        <v>77</v>
      </c>
      <c r="R81">
        <f t="shared" si="5"/>
        <v>420078.17178268358</v>
      </c>
    </row>
    <row r="82" spans="3:18" x14ac:dyDescent="0.15">
      <c r="C82" s="3">
        <v>78</v>
      </c>
      <c r="D82" s="3">
        <f t="shared" si="3"/>
        <v>22699.760056362607</v>
      </c>
      <c r="E82">
        <f>'[2]3、总属性战斗节奏拟合'!G82</f>
        <v>37146.097186454856</v>
      </c>
      <c r="F82">
        <f t="shared" si="4"/>
        <v>700.17691887608817</v>
      </c>
      <c r="P82">
        <v>78</v>
      </c>
      <c r="R82">
        <f t="shared" si="5"/>
        <v>478253.44768337364</v>
      </c>
    </row>
    <row r="83" spans="3:18" x14ac:dyDescent="0.15">
      <c r="C83" s="3">
        <v>79</v>
      </c>
      <c r="D83" s="3">
        <f t="shared" si="3"/>
        <v>23412.896616491726</v>
      </c>
      <c r="E83">
        <f>'[2]3、总属性战斗节奏拟合'!G83</f>
        <v>38525.366839464899</v>
      </c>
      <c r="F83">
        <f t="shared" si="4"/>
        <v>713.13656012911815</v>
      </c>
      <c r="P83">
        <v>79</v>
      </c>
      <c r="R83">
        <f t="shared" si="5"/>
        <v>544485.2305712268</v>
      </c>
    </row>
    <row r="84" spans="3:18" x14ac:dyDescent="0.15">
      <c r="C84" s="3">
        <v>80</v>
      </c>
      <c r="D84" s="3">
        <f t="shared" si="3"/>
        <v>24139.064086842252</v>
      </c>
      <c r="E84">
        <f>'[2]3、总属性战斗节奏拟合'!G84</f>
        <v>40048.123745819401</v>
      </c>
      <c r="F84">
        <f t="shared" si="4"/>
        <v>726.16747035052686</v>
      </c>
      <c r="P84">
        <v>80</v>
      </c>
      <c r="R84">
        <f t="shared" si="5"/>
        <v>619889.24020569667</v>
      </c>
    </row>
    <row r="85" spans="3:18" x14ac:dyDescent="0.15">
      <c r="C85" s="3">
        <v>81</v>
      </c>
      <c r="D85" s="3">
        <f t="shared" si="3"/>
        <v>24878.33322442323</v>
      </c>
      <c r="E85">
        <f>'[2]3、总属性战斗节奏拟合'!G85</f>
        <v>41598.647976588647</v>
      </c>
      <c r="F85">
        <f t="shared" si="4"/>
        <v>739.26913758097726</v>
      </c>
    </row>
    <row r="86" spans="3:18" x14ac:dyDescent="0.15">
      <c r="C86" s="3">
        <v>82</v>
      </c>
      <c r="D86" s="3">
        <f t="shared" si="3"/>
        <v>25630.774284293297</v>
      </c>
      <c r="E86">
        <f>'[2]3、总属性战斗节奏拟合'!G86</f>
        <v>43176.939531772587</v>
      </c>
      <c r="F86">
        <f t="shared" si="4"/>
        <v>752.44105987006697</v>
      </c>
    </row>
    <row r="87" spans="3:18" x14ac:dyDescent="0.15">
      <c r="C87" s="3">
        <v>83</v>
      </c>
      <c r="D87" s="3">
        <f t="shared" si="3"/>
        <v>26396.457029254492</v>
      </c>
      <c r="E87">
        <f>'[2]3、总属性战斗节奏拟合'!G87</f>
        <v>44782.998411371249</v>
      </c>
      <c r="F87">
        <f t="shared" si="4"/>
        <v>765.68274496119557</v>
      </c>
    </row>
    <row r="88" spans="3:18" x14ac:dyDescent="0.15">
      <c r="C88" s="3">
        <v>84</v>
      </c>
      <c r="D88" s="3">
        <f t="shared" si="3"/>
        <v>27175.450739242027</v>
      </c>
      <c r="E88">
        <f>'[2]3、总属性战斗节奏拟合'!G88</f>
        <v>46416.824615384627</v>
      </c>
      <c r="F88">
        <f t="shared" si="4"/>
        <v>778.99370998753511</v>
      </c>
    </row>
    <row r="89" spans="3:18" x14ac:dyDescent="0.15">
      <c r="C89" s="3">
        <v>85</v>
      </c>
      <c r="D89" s="3">
        <f t="shared" si="3"/>
        <v>27967.824220425216</v>
      </c>
      <c r="E89">
        <f>'[2]3、总属性战斗节奏拟合'!G89</f>
        <v>48078.418143812705</v>
      </c>
      <c r="F89">
        <f t="shared" si="4"/>
        <v>792.37348118318914</v>
      </c>
    </row>
    <row r="90" spans="3:18" x14ac:dyDescent="0.15">
      <c r="C90" s="3">
        <v>86</v>
      </c>
      <c r="D90" s="3">
        <f t="shared" si="3"/>
        <v>28773.645814030391</v>
      </c>
      <c r="E90">
        <f>'[2]3、总属性战斗节奏拟合'!G90</f>
        <v>49767.778996655521</v>
      </c>
      <c r="F90">
        <f t="shared" si="4"/>
        <v>805.82159360517471</v>
      </c>
    </row>
    <row r="91" spans="3:18" x14ac:dyDescent="0.15">
      <c r="C91" s="3">
        <v>87</v>
      </c>
      <c r="D91" s="3">
        <f t="shared" si="3"/>
        <v>29592.98340489831</v>
      </c>
      <c r="E91">
        <f>'[2]3、总属性战斗节奏拟合'!G91</f>
        <v>51484.90717391303</v>
      </c>
      <c r="F91">
        <f t="shared" si="4"/>
        <v>819.33759086791906</v>
      </c>
    </row>
    <row r="92" spans="3:18" x14ac:dyDescent="0.15">
      <c r="C92" s="3">
        <v>88</v>
      </c>
      <c r="D92" s="3">
        <f t="shared" si="3"/>
        <v>30425.90442978634</v>
      </c>
      <c r="E92">
        <f>'[2]3、总属性战斗节奏拟合'!G92</f>
        <v>53229.80267558527</v>
      </c>
      <c r="F92">
        <f t="shared" si="4"/>
        <v>832.92102488802993</v>
      </c>
    </row>
    <row r="93" spans="3:18" x14ac:dyDescent="0.15">
      <c r="C93" s="3">
        <v>89</v>
      </c>
      <c r="D93" s="3">
        <f t="shared" si="3"/>
        <v>31272.475885426462</v>
      </c>
      <c r="E93">
        <f>'[2]3、总属性战斗节奏拟合'!G93</f>
        <v>55002.465501672232</v>
      </c>
      <c r="F93">
        <f t="shared" si="4"/>
        <v>846.57145564012171</v>
      </c>
    </row>
    <row r="94" spans="3:18" x14ac:dyDescent="0.15">
      <c r="C94" s="3">
        <v>90</v>
      </c>
      <c r="D94" s="3">
        <f t="shared" si="3"/>
        <v>32132.764336348864</v>
      </c>
      <c r="E94">
        <f>'[2]3、总属性战斗节奏拟合'!G94</f>
        <v>56802.895652173887</v>
      </c>
      <c r="F94">
        <f t="shared" si="4"/>
        <v>860.28845092240226</v>
      </c>
    </row>
    <row r="95" spans="3:18" x14ac:dyDescent="0.15">
      <c r="C95" s="3">
        <v>91</v>
      </c>
      <c r="D95" s="3">
        <f t="shared" si="3"/>
        <v>33006.835922479753</v>
      </c>
      <c r="E95">
        <f>'[2]3、总属性战斗节奏拟合'!G95</f>
        <v>58631.09312709028</v>
      </c>
      <c r="F95">
        <f t="shared" si="4"/>
        <v>874.07158613088905</v>
      </c>
    </row>
    <row r="96" spans="3:18" x14ac:dyDescent="0.15">
      <c r="C96" s="3">
        <v>92</v>
      </c>
      <c r="D96" s="3">
        <f t="shared" si="3"/>
        <v>33894.756366523769</v>
      </c>
      <c r="E96">
        <f>'[2]3、总属性战斗节奏拟合'!G96</f>
        <v>60487.057926421388</v>
      </c>
      <c r="F96">
        <f t="shared" si="4"/>
        <v>887.92044404401531</v>
      </c>
    </row>
    <row r="97" spans="3:6" x14ac:dyDescent="0.15">
      <c r="C97" s="3">
        <v>93</v>
      </c>
      <c r="D97" s="3">
        <f t="shared" si="3"/>
        <v>34796.590981137568</v>
      </c>
      <c r="E97">
        <f>'[2]3、总属性战斗节奏拟合'!G97</f>
        <v>62370.790050167183</v>
      </c>
      <c r="F97">
        <f t="shared" si="4"/>
        <v>901.8346146137992</v>
      </c>
    </row>
    <row r="98" spans="3:6" x14ac:dyDescent="0.15">
      <c r="C98" s="3">
        <v>94</v>
      </c>
      <c r="D98" s="3">
        <f t="shared" si="3"/>
        <v>35712.404675904552</v>
      </c>
      <c r="E98">
        <f>'[2]3、总属性战斗节奏拟合'!G98</f>
        <v>64282.289498327722</v>
      </c>
      <c r="F98">
        <f t="shared" si="4"/>
        <v>915.81369476698455</v>
      </c>
    </row>
    <row r="99" spans="3:6" x14ac:dyDescent="0.15">
      <c r="C99" s="3">
        <v>95</v>
      </c>
      <c r="D99" s="3">
        <f t="shared" si="3"/>
        <v>36642.261964117133</v>
      </c>
      <c r="E99">
        <f>'[2]3、总属性战斗节奏拟合'!G99</f>
        <v>66221.556270902962</v>
      </c>
      <c r="F99">
        <f t="shared" si="4"/>
        <v>929.8572882125809</v>
      </c>
    </row>
    <row r="100" spans="3:6" x14ac:dyDescent="0.15">
      <c r="C100" s="3">
        <v>96</v>
      </c>
      <c r="D100" s="3">
        <f t="shared" si="3"/>
        <v>37586.226969373791</v>
      </c>
      <c r="E100">
        <f>'[2]3、总属性战斗节奏拟合'!G100</f>
        <v>68188.590367892932</v>
      </c>
      <c r="F100">
        <f t="shared" si="4"/>
        <v>943.96500525665761</v>
      </c>
    </row>
    <row r="101" spans="3:6" x14ac:dyDescent="0.15">
      <c r="C101" s="3">
        <v>97</v>
      </c>
      <c r="D101" s="3">
        <f t="shared" si="3"/>
        <v>38544.363431998696</v>
      </c>
      <c r="E101">
        <f>'[2]3、总属性战斗节奏拟合'!G101</f>
        <v>70183.391789297617</v>
      </c>
      <c r="F101">
        <f t="shared" si="4"/>
        <v>958.13646262490511</v>
      </c>
    </row>
    <row r="102" spans="3:6" x14ac:dyDescent="0.15">
      <c r="C102" s="3">
        <v>98</v>
      </c>
      <c r="D102" s="3">
        <f t="shared" si="3"/>
        <v>39516.734715289793</v>
      </c>
      <c r="E102">
        <f>'[2]3、总属性战斗节奏拟合'!G102</f>
        <v>72205.960535116988</v>
      </c>
      <c r="F102">
        <f t="shared" si="4"/>
        <v>972.37128329109692</v>
      </c>
    </row>
    <row r="103" spans="3:6" x14ac:dyDescent="0.15">
      <c r="C103" s="3">
        <v>99</v>
      </c>
      <c r="D103" s="3">
        <f t="shared" si="3"/>
        <v>40503.403811601791</v>
      </c>
      <c r="E103">
        <f>'[2]3、总属性战斗节奏拟合'!G103</f>
        <v>74256.296605351105</v>
      </c>
      <c r="F103">
        <f t="shared" si="4"/>
        <v>986.66909631199815</v>
      </c>
    </row>
    <row r="104" spans="3:6" x14ac:dyDescent="0.15">
      <c r="C104" s="3">
        <v>100</v>
      </c>
      <c r="D104" s="3">
        <f t="shared" si="3"/>
        <v>41504.433348270417</v>
      </c>
      <c r="E104">
        <f>'[2]3、总属性战斗节奏拟合'!G104</f>
        <v>76334.399999999936</v>
      </c>
      <c r="F104">
        <f t="shared" si="4"/>
        <v>1001.029536668626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32"/>
  <sheetViews>
    <sheetView workbookViewId="0">
      <pane xSplit="3" topLeftCell="G1" activePane="topRight" state="frozen"/>
      <selection pane="topRight" activeCell="O16" sqref="O16"/>
    </sheetView>
  </sheetViews>
  <sheetFormatPr defaultRowHeight="13.5" x14ac:dyDescent="0.15"/>
  <cols>
    <col min="3" max="3" width="15" bestFit="1" customWidth="1"/>
    <col min="8" max="8" width="11.625" bestFit="1" customWidth="1"/>
    <col min="10" max="12" width="11.625" bestFit="1" customWidth="1"/>
    <col min="14" max="14" width="11.625" bestFit="1" customWidth="1"/>
    <col min="16" max="17" width="13.875" bestFit="1" customWidth="1"/>
    <col min="20" max="20" width="17.625" customWidth="1"/>
    <col min="22" max="22" width="11.625" bestFit="1" customWidth="1"/>
    <col min="24" max="24" width="11.625" bestFit="1" customWidth="1"/>
    <col min="25" max="25" width="16.125" bestFit="1" customWidth="1"/>
    <col min="27" max="27" width="12.75" bestFit="1" customWidth="1"/>
    <col min="29" max="29" width="12.75" bestFit="1" customWidth="1"/>
    <col min="32" max="32" width="14.5" customWidth="1"/>
  </cols>
  <sheetData>
    <row r="1" spans="1:31" x14ac:dyDescent="0.1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 t="s">
        <v>56</v>
      </c>
      <c r="AA1">
        <v>1500</v>
      </c>
      <c r="AB1">
        <v>1650</v>
      </c>
      <c r="AC1">
        <v>1550</v>
      </c>
      <c r="AE1">
        <v>29</v>
      </c>
    </row>
    <row r="2" spans="1:31" x14ac:dyDescent="0.15">
      <c r="A2" t="s">
        <v>48</v>
      </c>
      <c r="B2" t="s">
        <v>19</v>
      </c>
      <c r="C2" s="4" t="s">
        <v>0</v>
      </c>
      <c r="D2" s="4" t="s">
        <v>8</v>
      </c>
      <c r="E2" s="4" t="s">
        <v>1</v>
      </c>
      <c r="F2" s="4" t="s">
        <v>16</v>
      </c>
      <c r="G2" s="4" t="s">
        <v>9</v>
      </c>
      <c r="H2" s="4" t="s">
        <v>11</v>
      </c>
      <c r="I2" s="4" t="s">
        <v>12</v>
      </c>
      <c r="J2" s="4" t="s">
        <v>15</v>
      </c>
      <c r="K2" s="4" t="s">
        <v>17</v>
      </c>
      <c r="L2" s="4" t="s">
        <v>13</v>
      </c>
      <c r="M2" s="4" t="s">
        <v>20</v>
      </c>
      <c r="N2" s="5" t="s">
        <v>21</v>
      </c>
      <c r="O2" s="7" t="s">
        <v>23</v>
      </c>
      <c r="P2" s="51" t="s">
        <v>24</v>
      </c>
      <c r="Q2" s="5" t="s">
        <v>35</v>
      </c>
      <c r="R2" s="5" t="s">
        <v>38</v>
      </c>
      <c r="S2" s="51" t="s">
        <v>36</v>
      </c>
      <c r="T2" s="52" t="s">
        <v>65</v>
      </c>
      <c r="U2" s="5" t="s">
        <v>52</v>
      </c>
      <c r="V2" s="5" t="s">
        <v>50</v>
      </c>
      <c r="W2" s="51" t="s">
        <v>60</v>
      </c>
      <c r="X2" s="27" t="s">
        <v>61</v>
      </c>
      <c r="Y2" s="27" t="s">
        <v>62</v>
      </c>
      <c r="Z2" s="50" t="s">
        <v>55</v>
      </c>
      <c r="AA2" s="28" t="s">
        <v>57</v>
      </c>
      <c r="AC2" s="49" t="s">
        <v>77</v>
      </c>
      <c r="AD2" s="25"/>
      <c r="AE2" t="s">
        <v>148</v>
      </c>
    </row>
    <row r="3" spans="1:31" x14ac:dyDescent="0.15">
      <c r="A3">
        <v>3</v>
      </c>
      <c r="B3" s="3">
        <v>1</v>
      </c>
      <c r="C3" s="3" t="s">
        <v>82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10</v>
      </c>
      <c r="J3" s="3">
        <v>50</v>
      </c>
      <c r="K3" s="3">
        <v>2</v>
      </c>
      <c r="L3" s="3">
        <f>H3*I3+1</f>
        <v>11</v>
      </c>
      <c r="M3" s="3">
        <f>N3/L3*X3</f>
        <v>19.480519480519479</v>
      </c>
      <c r="N3" s="6">
        <f>AA3</f>
        <v>214.28571428571428</v>
      </c>
      <c r="O3" s="6">
        <f>N3</f>
        <v>214.28571428571428</v>
      </c>
      <c r="P3" s="6">
        <v>10000</v>
      </c>
      <c r="Q3" s="6">
        <v>18</v>
      </c>
      <c r="R3" s="6"/>
      <c r="S3" s="6">
        <f>ROUND(V3/L3,0)</f>
        <v>2</v>
      </c>
      <c r="T3" s="26">
        <f>AA3*Y3/100/L3</f>
        <v>0</v>
      </c>
      <c r="U3" s="6">
        <v>1</v>
      </c>
      <c r="V3" s="6">
        <v>20</v>
      </c>
      <c r="W3" s="6">
        <v>1472</v>
      </c>
      <c r="X3" s="26">
        <f>100%</f>
        <v>1</v>
      </c>
      <c r="Y3" s="26">
        <v>0</v>
      </c>
      <c r="Z3" s="6">
        <v>1.8</v>
      </c>
      <c r="AA3" s="6">
        <f>$AA$1*Z3/SUM($Z$3:$Z$12)</f>
        <v>214.28571428571428</v>
      </c>
      <c r="AB3" s="6"/>
      <c r="AC3" s="6">
        <f>AA3*D_技能表!$AN$6</f>
        <v>321.42857142857144</v>
      </c>
      <c r="AD3" s="6"/>
      <c r="AE3">
        <v>66000096</v>
      </c>
    </row>
    <row r="4" spans="1:31" x14ac:dyDescent="0.15">
      <c r="A4">
        <v>1</v>
      </c>
      <c r="B4" s="3">
        <v>2</v>
      </c>
      <c r="C4" s="3" t="s">
        <v>83</v>
      </c>
      <c r="D4" s="3">
        <v>1</v>
      </c>
      <c r="E4" s="3">
        <v>1</v>
      </c>
      <c r="F4" s="3">
        <v>2</v>
      </c>
      <c r="G4" s="3">
        <v>2</v>
      </c>
      <c r="H4" s="3">
        <v>1</v>
      </c>
      <c r="I4" s="3">
        <v>1</v>
      </c>
      <c r="J4" s="3">
        <v>50</v>
      </c>
      <c r="K4" s="3">
        <v>4</v>
      </c>
      <c r="L4" s="3">
        <f t="shared" ref="L4:L29" si="0">H4*I4</f>
        <v>1</v>
      </c>
      <c r="M4" s="3">
        <f t="shared" ref="M4:M32" si="1">N4/L4*X4</f>
        <v>119.04761904761905</v>
      </c>
      <c r="N4" s="6">
        <f t="shared" ref="N4:N32" si="2">AA4</f>
        <v>119.04761904761905</v>
      </c>
      <c r="O4" s="6">
        <f t="shared" ref="O4:O29" si="3">N4</f>
        <v>119.04761904761905</v>
      </c>
      <c r="P4" s="6">
        <v>8000</v>
      </c>
      <c r="Q4" s="6">
        <v>18</v>
      </c>
      <c r="R4" s="6"/>
      <c r="S4" s="6">
        <f t="shared" ref="S4:S29" si="4">ROUND(V4/L4,0)</f>
        <v>20</v>
      </c>
      <c r="T4" s="26">
        <f t="shared" ref="T4:T29" si="5">AA4*Y4/100/L4</f>
        <v>0</v>
      </c>
      <c r="U4" s="6">
        <v>4</v>
      </c>
      <c r="V4" s="6">
        <v>20</v>
      </c>
      <c r="W4" s="6">
        <v>5600</v>
      </c>
      <c r="X4" s="26">
        <f>100%</f>
        <v>1</v>
      </c>
      <c r="Y4" s="26">
        <v>0</v>
      </c>
      <c r="Z4" s="6">
        <v>1</v>
      </c>
      <c r="AA4" s="6">
        <f>$AA$1*Z4/SUM($Z$3:$Z$12)</f>
        <v>119.04761904761905</v>
      </c>
      <c r="AB4" s="68">
        <f>SUM(AA4:AA7)</f>
        <v>535.71428571428578</v>
      </c>
      <c r="AC4" s="6">
        <f>AA4*D_技能表!$AN$6</f>
        <v>178.57142857142858</v>
      </c>
      <c r="AD4" s="68">
        <f>SUM(AC4:AC7)</f>
        <v>803.57142857142867</v>
      </c>
      <c r="AE4">
        <v>66000113</v>
      </c>
    </row>
    <row r="5" spans="1:31" x14ac:dyDescent="0.15">
      <c r="A5">
        <v>1</v>
      </c>
      <c r="B5" s="3">
        <v>2</v>
      </c>
      <c r="C5" s="3" t="s">
        <v>84</v>
      </c>
      <c r="D5" s="3">
        <v>2</v>
      </c>
      <c r="E5" s="3">
        <v>1</v>
      </c>
      <c r="F5" s="3">
        <v>2</v>
      </c>
      <c r="G5" s="3">
        <v>2</v>
      </c>
      <c r="H5" s="3">
        <v>1</v>
      </c>
      <c r="I5" s="3">
        <v>1</v>
      </c>
      <c r="J5" s="3">
        <v>50</v>
      </c>
      <c r="K5" s="3">
        <v>4</v>
      </c>
      <c r="L5" s="3">
        <f t="shared" si="0"/>
        <v>1</v>
      </c>
      <c r="M5" s="3">
        <f t="shared" si="1"/>
        <v>119.04761904761905</v>
      </c>
      <c r="N5" s="6">
        <f t="shared" si="2"/>
        <v>119.04761904761905</v>
      </c>
      <c r="O5" s="6">
        <f t="shared" si="3"/>
        <v>119.04761904761905</v>
      </c>
      <c r="P5" s="6">
        <v>8000</v>
      </c>
      <c r="Q5" s="6">
        <v>18</v>
      </c>
      <c r="R5" s="6"/>
      <c r="S5" s="6">
        <f t="shared" si="4"/>
        <v>20</v>
      </c>
      <c r="T5" s="26">
        <f t="shared" si="5"/>
        <v>0</v>
      </c>
      <c r="U5" s="6">
        <v>4</v>
      </c>
      <c r="V5" s="6">
        <v>20</v>
      </c>
      <c r="W5" s="6">
        <v>5601</v>
      </c>
      <c r="X5" s="26">
        <f>100%</f>
        <v>1</v>
      </c>
      <c r="Y5" s="26">
        <v>0</v>
      </c>
      <c r="Z5" s="6">
        <v>1</v>
      </c>
      <c r="AA5" s="6">
        <f>$AA$1*Z5/SUM($Z$3:$Z$12)</f>
        <v>119.04761904761905</v>
      </c>
      <c r="AB5" s="68"/>
      <c r="AC5" s="6">
        <f>AA5*D_技能表!$AN$6</f>
        <v>178.57142857142858</v>
      </c>
      <c r="AD5" s="68"/>
      <c r="AE5" s="6">
        <f t="shared" ref="AE5:AE32" si="6">IF(D5=1,W5,AE4)</f>
        <v>66000113</v>
      </c>
    </row>
    <row r="6" spans="1:31" x14ac:dyDescent="0.15">
      <c r="A6">
        <v>1</v>
      </c>
      <c r="B6" s="3">
        <v>2</v>
      </c>
      <c r="C6" s="3" t="s">
        <v>85</v>
      </c>
      <c r="D6" s="3">
        <v>3</v>
      </c>
      <c r="E6" s="3">
        <v>1</v>
      </c>
      <c r="F6" s="3">
        <v>2</v>
      </c>
      <c r="G6" s="3">
        <v>2</v>
      </c>
      <c r="H6" s="3">
        <v>1</v>
      </c>
      <c r="I6" s="3">
        <v>1</v>
      </c>
      <c r="J6" s="3">
        <v>50</v>
      </c>
      <c r="K6" s="3">
        <v>7</v>
      </c>
      <c r="L6" s="3">
        <f t="shared" si="0"/>
        <v>1</v>
      </c>
      <c r="M6" s="3">
        <f t="shared" si="1"/>
        <v>119.04761904761905</v>
      </c>
      <c r="N6" s="6">
        <f>AA6</f>
        <v>119.04761904761905</v>
      </c>
      <c r="O6" s="6">
        <f t="shared" si="3"/>
        <v>119.04761904761905</v>
      </c>
      <c r="P6" s="6">
        <v>8000</v>
      </c>
      <c r="Q6" s="6">
        <v>18</v>
      </c>
      <c r="R6" s="6"/>
      <c r="S6" s="6">
        <f t="shared" si="4"/>
        <v>20</v>
      </c>
      <c r="T6" s="26">
        <f t="shared" si="5"/>
        <v>0</v>
      </c>
      <c r="U6" s="6">
        <v>4</v>
      </c>
      <c r="V6" s="6">
        <v>20</v>
      </c>
      <c r="W6" s="6">
        <v>5602</v>
      </c>
      <c r="X6" s="26">
        <f>100%</f>
        <v>1</v>
      </c>
      <c r="Y6" s="26">
        <v>0</v>
      </c>
      <c r="Z6" s="6">
        <v>1</v>
      </c>
      <c r="AA6" s="6">
        <f t="shared" ref="AA6:AA12" si="7">$AA$1*Z6/SUM($Z$3:$Z$12)</f>
        <v>119.04761904761905</v>
      </c>
      <c r="AB6" s="68"/>
      <c r="AC6" s="6">
        <f>AA6*D_技能表!$AN$6</f>
        <v>178.57142857142858</v>
      </c>
      <c r="AD6" s="68"/>
      <c r="AE6" s="6">
        <f t="shared" si="6"/>
        <v>66000113</v>
      </c>
    </row>
    <row r="7" spans="1:31" x14ac:dyDescent="0.15">
      <c r="A7">
        <v>1</v>
      </c>
      <c r="B7" s="3">
        <v>2</v>
      </c>
      <c r="C7" s="3" t="s">
        <v>86</v>
      </c>
      <c r="D7" s="3">
        <v>4</v>
      </c>
      <c r="E7" s="3">
        <v>1</v>
      </c>
      <c r="F7" s="3">
        <v>2</v>
      </c>
      <c r="G7" s="3">
        <v>2</v>
      </c>
      <c r="H7" s="3">
        <v>6</v>
      </c>
      <c r="I7" s="3">
        <v>1</v>
      </c>
      <c r="J7" s="3">
        <v>50</v>
      </c>
      <c r="K7" s="3">
        <v>9</v>
      </c>
      <c r="L7" s="3">
        <f t="shared" si="0"/>
        <v>6</v>
      </c>
      <c r="M7" s="3">
        <f t="shared" si="1"/>
        <v>29.761904761904763</v>
      </c>
      <c r="N7" s="6">
        <f t="shared" si="2"/>
        <v>178.57142857142858</v>
      </c>
      <c r="O7" s="6">
        <f t="shared" si="3"/>
        <v>178.57142857142858</v>
      </c>
      <c r="P7" s="6">
        <v>8000</v>
      </c>
      <c r="Q7" s="6">
        <v>18</v>
      </c>
      <c r="R7" s="6"/>
      <c r="S7" s="6">
        <f t="shared" si="4"/>
        <v>3</v>
      </c>
      <c r="T7" s="26">
        <f t="shared" si="5"/>
        <v>0</v>
      </c>
      <c r="U7" s="6">
        <v>4</v>
      </c>
      <c r="V7" s="6">
        <v>20</v>
      </c>
      <c r="W7" s="6">
        <v>5603</v>
      </c>
      <c r="X7" s="26">
        <f>100%</f>
        <v>1</v>
      </c>
      <c r="Y7" s="26">
        <v>0</v>
      </c>
      <c r="Z7" s="6">
        <v>1.5</v>
      </c>
      <c r="AA7" s="6">
        <f t="shared" si="7"/>
        <v>178.57142857142858</v>
      </c>
      <c r="AB7" s="68"/>
      <c r="AC7" s="6">
        <f>AA7*D_技能表!$AN$6</f>
        <v>267.85714285714289</v>
      </c>
      <c r="AD7" s="68"/>
      <c r="AE7" s="6">
        <f t="shared" si="6"/>
        <v>66000113</v>
      </c>
    </row>
    <row r="8" spans="1:31" x14ac:dyDescent="0.15">
      <c r="A8">
        <v>4</v>
      </c>
      <c r="B8" s="3">
        <v>3</v>
      </c>
      <c r="C8" s="3" t="s">
        <v>87</v>
      </c>
      <c r="D8" s="3">
        <v>1</v>
      </c>
      <c r="E8" s="3">
        <v>1</v>
      </c>
      <c r="F8" s="3">
        <v>1</v>
      </c>
      <c r="G8" s="3">
        <v>3</v>
      </c>
      <c r="H8" s="3">
        <v>3</v>
      </c>
      <c r="I8" s="3">
        <v>1</v>
      </c>
      <c r="J8" s="3">
        <v>50</v>
      </c>
      <c r="K8" s="3">
        <v>5</v>
      </c>
      <c r="L8" s="3">
        <f t="shared" si="0"/>
        <v>3</v>
      </c>
      <c r="M8" s="3">
        <f t="shared" si="1"/>
        <v>71.428571428571431</v>
      </c>
      <c r="N8" s="6">
        <f t="shared" si="2"/>
        <v>214.28571428571428</v>
      </c>
      <c r="O8" s="6">
        <f t="shared" si="3"/>
        <v>214.28571428571428</v>
      </c>
      <c r="P8" s="6">
        <v>10000</v>
      </c>
      <c r="Q8" s="6">
        <v>18</v>
      </c>
      <c r="R8" s="6"/>
      <c r="S8" s="6">
        <f t="shared" si="4"/>
        <v>7</v>
      </c>
      <c r="T8" s="26">
        <f t="shared" si="5"/>
        <v>0</v>
      </c>
      <c r="U8" s="6">
        <v>1</v>
      </c>
      <c r="V8" s="6">
        <v>20</v>
      </c>
      <c r="W8" s="6">
        <v>22081</v>
      </c>
      <c r="X8" s="26">
        <f>100%</f>
        <v>1</v>
      </c>
      <c r="Y8" s="26">
        <v>0</v>
      </c>
      <c r="Z8" s="6">
        <v>1.8</v>
      </c>
      <c r="AA8" s="6">
        <f t="shared" si="7"/>
        <v>214.28571428571428</v>
      </c>
      <c r="AB8" s="6"/>
      <c r="AC8" s="6">
        <f>AA8*D_技能表!$AN$6</f>
        <v>321.42857142857144</v>
      </c>
      <c r="AD8" s="6"/>
      <c r="AE8">
        <v>66000622</v>
      </c>
    </row>
    <row r="9" spans="1:31" x14ac:dyDescent="0.15">
      <c r="A9">
        <v>2</v>
      </c>
      <c r="B9" s="3">
        <v>4</v>
      </c>
      <c r="C9" s="3" t="s">
        <v>88</v>
      </c>
      <c r="D9" s="3">
        <v>1</v>
      </c>
      <c r="E9" s="3">
        <v>1</v>
      </c>
      <c r="F9" s="3">
        <v>2</v>
      </c>
      <c r="G9" s="3">
        <v>4</v>
      </c>
      <c r="H9" s="3">
        <v>1</v>
      </c>
      <c r="I9" s="3">
        <v>1</v>
      </c>
      <c r="J9" s="3">
        <v>50</v>
      </c>
      <c r="K9" s="3">
        <v>6</v>
      </c>
      <c r="L9" s="3">
        <f t="shared" si="0"/>
        <v>1</v>
      </c>
      <c r="M9" s="3">
        <f t="shared" si="1"/>
        <v>119.04761904761905</v>
      </c>
      <c r="N9" s="6">
        <f t="shared" si="2"/>
        <v>119.04761904761905</v>
      </c>
      <c r="O9" s="6">
        <f t="shared" si="3"/>
        <v>119.04761904761905</v>
      </c>
      <c r="P9" s="6">
        <v>8000</v>
      </c>
      <c r="Q9" s="6">
        <v>18</v>
      </c>
      <c r="R9" s="6"/>
      <c r="S9" s="6">
        <f t="shared" si="4"/>
        <v>20</v>
      </c>
      <c r="T9" s="26">
        <f t="shared" si="5"/>
        <v>0</v>
      </c>
      <c r="U9" s="6">
        <v>4</v>
      </c>
      <c r="V9" s="6">
        <v>20</v>
      </c>
      <c r="W9" s="6">
        <v>945</v>
      </c>
      <c r="X9" s="26">
        <f>100%</f>
        <v>1</v>
      </c>
      <c r="Y9" s="26">
        <v>0</v>
      </c>
      <c r="Z9" s="6">
        <v>1</v>
      </c>
      <c r="AA9" s="6">
        <f t="shared" si="7"/>
        <v>119.04761904761905</v>
      </c>
      <c r="AB9" s="68">
        <f>SUM(AA9:AA12)</f>
        <v>535.71428571428578</v>
      </c>
      <c r="AC9" s="6">
        <f>AA9*D_技能表!$AN$6</f>
        <v>178.57142857142858</v>
      </c>
      <c r="AD9" s="68">
        <f>SUM(AC9:AC12)</f>
        <v>803.57142857142867</v>
      </c>
      <c r="AE9">
        <v>66000009</v>
      </c>
    </row>
    <row r="10" spans="1:31" x14ac:dyDescent="0.15">
      <c r="A10">
        <v>2</v>
      </c>
      <c r="B10" s="3">
        <v>4</v>
      </c>
      <c r="C10" s="3" t="s">
        <v>89</v>
      </c>
      <c r="D10" s="3">
        <v>2</v>
      </c>
      <c r="E10" s="3">
        <v>1</v>
      </c>
      <c r="F10" s="3">
        <v>2</v>
      </c>
      <c r="G10" s="3">
        <v>4</v>
      </c>
      <c r="H10" s="3">
        <v>1</v>
      </c>
      <c r="I10" s="3">
        <v>1</v>
      </c>
      <c r="J10" s="3">
        <v>50</v>
      </c>
      <c r="K10" s="3">
        <v>8</v>
      </c>
      <c r="L10" s="3">
        <f t="shared" si="0"/>
        <v>1</v>
      </c>
      <c r="M10" s="3">
        <f t="shared" si="1"/>
        <v>119.04761904761905</v>
      </c>
      <c r="N10" s="6">
        <f t="shared" si="2"/>
        <v>119.04761904761905</v>
      </c>
      <c r="O10" s="6">
        <f t="shared" si="3"/>
        <v>119.04761904761905</v>
      </c>
      <c r="P10" s="6">
        <v>8000</v>
      </c>
      <c r="Q10" s="6">
        <v>18</v>
      </c>
      <c r="R10" s="6"/>
      <c r="S10" s="6">
        <f t="shared" si="4"/>
        <v>20</v>
      </c>
      <c r="T10" s="26">
        <f t="shared" si="5"/>
        <v>0</v>
      </c>
      <c r="U10" s="6">
        <v>4</v>
      </c>
      <c r="V10" s="6">
        <v>20</v>
      </c>
      <c r="W10" s="6">
        <v>964</v>
      </c>
      <c r="X10" s="26">
        <f>100%</f>
        <v>1</v>
      </c>
      <c r="Y10" s="26">
        <v>0</v>
      </c>
      <c r="Z10" s="6">
        <v>1</v>
      </c>
      <c r="AA10" s="6">
        <f t="shared" si="7"/>
        <v>119.04761904761905</v>
      </c>
      <c r="AB10" s="68"/>
      <c r="AC10" s="6">
        <f>AA10*D_技能表!$AN$6</f>
        <v>178.57142857142858</v>
      </c>
      <c r="AD10" s="68"/>
      <c r="AE10" s="6">
        <f t="shared" si="6"/>
        <v>66000009</v>
      </c>
    </row>
    <row r="11" spans="1:31" x14ac:dyDescent="0.15">
      <c r="A11">
        <v>2</v>
      </c>
      <c r="B11" s="3">
        <v>4</v>
      </c>
      <c r="C11" s="3" t="s">
        <v>90</v>
      </c>
      <c r="D11" s="3">
        <v>3</v>
      </c>
      <c r="E11" s="3">
        <v>1</v>
      </c>
      <c r="F11" s="3">
        <v>2</v>
      </c>
      <c r="G11" s="3">
        <v>4</v>
      </c>
      <c r="H11" s="3">
        <v>4</v>
      </c>
      <c r="I11" s="3">
        <v>1</v>
      </c>
      <c r="J11" s="3">
        <v>50</v>
      </c>
      <c r="K11" s="3">
        <v>10</v>
      </c>
      <c r="L11" s="3">
        <f t="shared" si="0"/>
        <v>4</v>
      </c>
      <c r="M11" s="3">
        <f t="shared" si="1"/>
        <v>29.761904761904763</v>
      </c>
      <c r="N11" s="6">
        <f t="shared" si="2"/>
        <v>119.04761904761905</v>
      </c>
      <c r="O11" s="6">
        <f t="shared" si="3"/>
        <v>119.04761904761905</v>
      </c>
      <c r="P11" s="6">
        <v>8000</v>
      </c>
      <c r="Q11" s="6">
        <v>18</v>
      </c>
      <c r="R11" s="6"/>
      <c r="S11" s="6">
        <f t="shared" si="4"/>
        <v>5</v>
      </c>
      <c r="T11" s="26">
        <f t="shared" si="5"/>
        <v>0</v>
      </c>
      <c r="U11" s="6">
        <v>4</v>
      </c>
      <c r="V11" s="6">
        <v>20</v>
      </c>
      <c r="W11" s="6">
        <v>974</v>
      </c>
      <c r="X11" s="26">
        <f>100%</f>
        <v>1</v>
      </c>
      <c r="Y11" s="26">
        <v>0</v>
      </c>
      <c r="Z11" s="6">
        <v>1</v>
      </c>
      <c r="AA11" s="6">
        <f t="shared" si="7"/>
        <v>119.04761904761905</v>
      </c>
      <c r="AB11" s="68"/>
      <c r="AC11" s="6">
        <f>AA11*D_技能表!$AN$6</f>
        <v>178.57142857142858</v>
      </c>
      <c r="AD11" s="68"/>
      <c r="AE11" s="6">
        <f t="shared" si="6"/>
        <v>66000009</v>
      </c>
    </row>
    <row r="12" spans="1:31" x14ac:dyDescent="0.15">
      <c r="A12">
        <v>2</v>
      </c>
      <c r="B12" s="3">
        <v>4</v>
      </c>
      <c r="C12" s="3" t="s">
        <v>91</v>
      </c>
      <c r="D12" s="3">
        <v>4</v>
      </c>
      <c r="E12" s="3">
        <v>1</v>
      </c>
      <c r="F12" s="3">
        <v>2</v>
      </c>
      <c r="G12" s="3">
        <v>4</v>
      </c>
      <c r="H12" s="3">
        <v>1</v>
      </c>
      <c r="I12" s="3">
        <v>1</v>
      </c>
      <c r="J12" s="3">
        <v>50</v>
      </c>
      <c r="K12" s="3">
        <v>12</v>
      </c>
      <c r="L12" s="3">
        <f t="shared" si="0"/>
        <v>1</v>
      </c>
      <c r="M12" s="3">
        <f t="shared" si="1"/>
        <v>178.57142857142858</v>
      </c>
      <c r="N12" s="6">
        <f t="shared" si="2"/>
        <v>178.57142857142858</v>
      </c>
      <c r="O12" s="6">
        <f t="shared" si="3"/>
        <v>178.57142857142858</v>
      </c>
      <c r="P12" s="6">
        <v>8000</v>
      </c>
      <c r="Q12" s="6">
        <v>18</v>
      </c>
      <c r="R12" s="6"/>
      <c r="S12" s="6">
        <f t="shared" si="4"/>
        <v>20</v>
      </c>
      <c r="T12" s="26">
        <f t="shared" si="5"/>
        <v>0</v>
      </c>
      <c r="U12" s="6">
        <v>4</v>
      </c>
      <c r="V12" s="6">
        <v>20</v>
      </c>
      <c r="W12" s="6">
        <v>982</v>
      </c>
      <c r="X12" s="26">
        <f>100%</f>
        <v>1</v>
      </c>
      <c r="Y12" s="26">
        <v>0</v>
      </c>
      <c r="Z12" s="6">
        <v>1.5</v>
      </c>
      <c r="AA12" s="6">
        <f t="shared" si="7"/>
        <v>178.57142857142858</v>
      </c>
      <c r="AB12" s="68"/>
      <c r="AC12" s="6">
        <f>AA12*D_技能表!$AN$6</f>
        <v>267.85714285714289</v>
      </c>
      <c r="AD12" s="68"/>
      <c r="AE12" s="6">
        <f t="shared" si="6"/>
        <v>66000009</v>
      </c>
    </row>
    <row r="13" spans="1:31" x14ac:dyDescent="0.15">
      <c r="A13">
        <v>1</v>
      </c>
      <c r="B13" s="3">
        <v>1</v>
      </c>
      <c r="C13" s="3" t="s">
        <v>92</v>
      </c>
      <c r="D13" s="3">
        <v>1</v>
      </c>
      <c r="E13" s="3">
        <v>2</v>
      </c>
      <c r="F13" s="3">
        <v>1</v>
      </c>
      <c r="G13" s="3">
        <v>1</v>
      </c>
      <c r="H13" s="3">
        <v>2</v>
      </c>
      <c r="I13" s="3">
        <v>1</v>
      </c>
      <c r="J13" s="3">
        <v>50</v>
      </c>
      <c r="K13" s="3">
        <v>2</v>
      </c>
      <c r="L13" s="3">
        <f t="shared" si="0"/>
        <v>2</v>
      </c>
      <c r="M13" s="3">
        <f t="shared" si="1"/>
        <v>107.60869565217392</v>
      </c>
      <c r="N13" s="6">
        <f t="shared" si="2"/>
        <v>215.21739130434784</v>
      </c>
      <c r="O13" s="6">
        <f t="shared" si="3"/>
        <v>215.21739130434784</v>
      </c>
      <c r="P13" s="6">
        <v>10000</v>
      </c>
      <c r="Q13" s="6">
        <v>18</v>
      </c>
      <c r="R13" s="6"/>
      <c r="S13" s="6">
        <f t="shared" si="4"/>
        <v>10</v>
      </c>
      <c r="T13" s="26">
        <f t="shared" si="5"/>
        <v>0</v>
      </c>
      <c r="U13" s="6">
        <v>1</v>
      </c>
      <c r="V13" s="6">
        <v>20</v>
      </c>
      <c r="W13" s="6">
        <v>20</v>
      </c>
      <c r="X13" s="26">
        <f>100%</f>
        <v>1</v>
      </c>
      <c r="Y13" s="26">
        <v>0</v>
      </c>
      <c r="Z13" s="6">
        <v>1.8</v>
      </c>
      <c r="AA13" s="6">
        <f>$AB$1*Z13/SUM($Z$13:$Z$22)</f>
        <v>215.21739130434784</v>
      </c>
      <c r="AB13" s="6"/>
      <c r="AC13" s="6">
        <f>AA13*D_技能表!$AN$6</f>
        <v>322.82608695652175</v>
      </c>
      <c r="AD13" s="6"/>
      <c r="AE13">
        <v>66000264</v>
      </c>
    </row>
    <row r="14" spans="1:31" x14ac:dyDescent="0.15">
      <c r="A14">
        <v>4</v>
      </c>
      <c r="B14" s="3">
        <v>2</v>
      </c>
      <c r="C14" s="3" t="s">
        <v>93</v>
      </c>
      <c r="D14" s="3">
        <v>1</v>
      </c>
      <c r="E14" s="3">
        <v>2</v>
      </c>
      <c r="F14" s="3">
        <v>2</v>
      </c>
      <c r="G14" s="3">
        <v>2</v>
      </c>
      <c r="H14" s="3">
        <v>1</v>
      </c>
      <c r="I14" s="3">
        <v>1</v>
      </c>
      <c r="J14" s="3">
        <v>50</v>
      </c>
      <c r="K14" s="3">
        <v>4</v>
      </c>
      <c r="L14" s="3">
        <f t="shared" si="0"/>
        <v>1</v>
      </c>
      <c r="M14" s="3">
        <f t="shared" si="1"/>
        <v>143.47826086956522</v>
      </c>
      <c r="N14" s="6">
        <f t="shared" si="2"/>
        <v>143.47826086956522</v>
      </c>
      <c r="O14" s="6">
        <f t="shared" si="3"/>
        <v>143.47826086956522</v>
      </c>
      <c r="P14" s="6">
        <v>8000</v>
      </c>
      <c r="Q14" s="6">
        <v>18</v>
      </c>
      <c r="R14" s="6"/>
      <c r="S14" s="6">
        <f t="shared" si="4"/>
        <v>20</v>
      </c>
      <c r="T14" s="26">
        <f t="shared" si="5"/>
        <v>0</v>
      </c>
      <c r="U14" s="6">
        <v>4</v>
      </c>
      <c r="V14" s="6">
        <v>20</v>
      </c>
      <c r="W14" s="6">
        <v>24</v>
      </c>
      <c r="X14" s="26">
        <f>100%</f>
        <v>1</v>
      </c>
      <c r="Y14" s="26">
        <v>0</v>
      </c>
      <c r="Z14" s="6">
        <v>1.2</v>
      </c>
      <c r="AA14" s="6">
        <f t="shared" ref="AA14:AA22" si="8">$AB$1*Z14/SUM($Z$13:$Z$22)</f>
        <v>143.47826086956522</v>
      </c>
      <c r="AB14" s="68">
        <f>SUM(AA14:AA17)</f>
        <v>609.78260869565213</v>
      </c>
      <c r="AC14" s="6">
        <f>AA14*D_技能表!$AN$6</f>
        <v>215.21739130434781</v>
      </c>
      <c r="AD14" s="68">
        <f>SUM(AC14:AC17)</f>
        <v>914.67391304347825</v>
      </c>
      <c r="AE14">
        <v>66000305</v>
      </c>
    </row>
    <row r="15" spans="1:31" x14ac:dyDescent="0.15">
      <c r="A15">
        <v>4</v>
      </c>
      <c r="B15" s="3">
        <v>2</v>
      </c>
      <c r="C15" s="3" t="s">
        <v>94</v>
      </c>
      <c r="D15" s="3">
        <v>2</v>
      </c>
      <c r="E15" s="3">
        <v>2</v>
      </c>
      <c r="F15" s="3">
        <v>2</v>
      </c>
      <c r="G15" s="3">
        <v>2</v>
      </c>
      <c r="H15" s="3">
        <v>1</v>
      </c>
      <c r="I15" s="3">
        <v>1</v>
      </c>
      <c r="J15" s="3">
        <v>50</v>
      </c>
      <c r="K15" s="3">
        <v>4</v>
      </c>
      <c r="L15" s="3">
        <f t="shared" si="0"/>
        <v>1</v>
      </c>
      <c r="M15" s="3">
        <f t="shared" si="1"/>
        <v>143.47826086956522</v>
      </c>
      <c r="N15" s="6">
        <f t="shared" si="2"/>
        <v>143.47826086956522</v>
      </c>
      <c r="O15" s="6">
        <f t="shared" si="3"/>
        <v>143.47826086956522</v>
      </c>
      <c r="P15" s="6">
        <v>8000</v>
      </c>
      <c r="Q15" s="6">
        <v>18</v>
      </c>
      <c r="R15" s="6"/>
      <c r="S15" s="6">
        <f t="shared" si="4"/>
        <v>20</v>
      </c>
      <c r="T15" s="26">
        <f t="shared" si="5"/>
        <v>0</v>
      </c>
      <c r="U15" s="6">
        <v>4</v>
      </c>
      <c r="V15" s="6">
        <v>20</v>
      </c>
      <c r="W15" s="6">
        <v>25</v>
      </c>
      <c r="X15" s="26">
        <f>100%</f>
        <v>1</v>
      </c>
      <c r="Y15" s="26">
        <v>0</v>
      </c>
      <c r="Z15" s="6">
        <v>1.2</v>
      </c>
      <c r="AA15" s="6">
        <f t="shared" si="8"/>
        <v>143.47826086956522</v>
      </c>
      <c r="AB15" s="68"/>
      <c r="AC15" s="6">
        <f>AA15*D_技能表!$AN$6</f>
        <v>215.21739130434781</v>
      </c>
      <c r="AD15" s="68"/>
      <c r="AE15" s="6">
        <f t="shared" si="6"/>
        <v>66000305</v>
      </c>
    </row>
    <row r="16" spans="1:31" x14ac:dyDescent="0.15">
      <c r="A16">
        <v>4</v>
      </c>
      <c r="B16" s="3">
        <v>2</v>
      </c>
      <c r="C16" s="3" t="s">
        <v>95</v>
      </c>
      <c r="D16" s="3">
        <v>3</v>
      </c>
      <c r="E16" s="3">
        <v>2</v>
      </c>
      <c r="F16" s="3">
        <v>2</v>
      </c>
      <c r="G16" s="3">
        <v>2</v>
      </c>
      <c r="H16" s="3">
        <v>1</v>
      </c>
      <c r="I16" s="3">
        <v>1</v>
      </c>
      <c r="J16" s="3">
        <v>50</v>
      </c>
      <c r="K16" s="3">
        <v>7</v>
      </c>
      <c r="L16" s="3">
        <f t="shared" si="0"/>
        <v>1</v>
      </c>
      <c r="M16" s="3">
        <f t="shared" si="1"/>
        <v>143.47826086956522</v>
      </c>
      <c r="N16" s="6">
        <f t="shared" si="2"/>
        <v>143.47826086956522</v>
      </c>
      <c r="O16" s="6">
        <f t="shared" si="3"/>
        <v>143.47826086956522</v>
      </c>
      <c r="P16" s="6">
        <v>8000</v>
      </c>
      <c r="Q16" s="6">
        <v>18</v>
      </c>
      <c r="R16" s="6"/>
      <c r="S16" s="6">
        <f t="shared" si="4"/>
        <v>20</v>
      </c>
      <c r="T16" s="26">
        <f t="shared" si="5"/>
        <v>0</v>
      </c>
      <c r="U16" s="6">
        <v>4</v>
      </c>
      <c r="V16" s="6">
        <v>20</v>
      </c>
      <c r="W16" s="6">
        <v>28</v>
      </c>
      <c r="X16" s="26">
        <f>100%</f>
        <v>1</v>
      </c>
      <c r="Y16" s="26">
        <v>0</v>
      </c>
      <c r="Z16" s="6">
        <v>1.2</v>
      </c>
      <c r="AA16" s="6">
        <f t="shared" si="8"/>
        <v>143.47826086956522</v>
      </c>
      <c r="AB16" s="68"/>
      <c r="AC16" s="6">
        <f>AA16*D_技能表!$AN$6</f>
        <v>215.21739130434781</v>
      </c>
      <c r="AD16" s="68"/>
      <c r="AE16" s="6">
        <f t="shared" si="6"/>
        <v>66000305</v>
      </c>
    </row>
    <row r="17" spans="1:31" x14ac:dyDescent="0.15">
      <c r="A17">
        <v>4</v>
      </c>
      <c r="B17" s="3">
        <v>2</v>
      </c>
      <c r="C17" s="3" t="s">
        <v>96</v>
      </c>
      <c r="D17" s="3">
        <v>4</v>
      </c>
      <c r="E17" s="3">
        <v>2</v>
      </c>
      <c r="F17" s="3">
        <v>2</v>
      </c>
      <c r="G17" s="3">
        <v>2</v>
      </c>
      <c r="H17" s="3">
        <v>3</v>
      </c>
      <c r="I17" s="3">
        <v>1</v>
      </c>
      <c r="J17" s="3">
        <v>50</v>
      </c>
      <c r="K17" s="3">
        <v>9</v>
      </c>
      <c r="L17" s="3">
        <f t="shared" si="0"/>
        <v>3</v>
      </c>
      <c r="M17" s="3">
        <f t="shared" si="1"/>
        <v>59.782608695652179</v>
      </c>
      <c r="N17" s="6">
        <f t="shared" si="2"/>
        <v>179.34782608695653</v>
      </c>
      <c r="O17" s="6">
        <f t="shared" si="3"/>
        <v>179.34782608695653</v>
      </c>
      <c r="P17" s="6">
        <v>8000</v>
      </c>
      <c r="Q17" s="6">
        <v>18</v>
      </c>
      <c r="R17" s="6"/>
      <c r="S17" s="6">
        <f t="shared" si="4"/>
        <v>7</v>
      </c>
      <c r="T17" s="26">
        <f t="shared" si="5"/>
        <v>0</v>
      </c>
      <c r="U17" s="6">
        <v>4</v>
      </c>
      <c r="V17" s="6">
        <v>20</v>
      </c>
      <c r="W17" s="6">
        <v>27</v>
      </c>
      <c r="X17" s="26">
        <f>100%</f>
        <v>1</v>
      </c>
      <c r="Y17" s="26">
        <v>0</v>
      </c>
      <c r="Z17" s="6">
        <v>1.5</v>
      </c>
      <c r="AA17" s="6">
        <f t="shared" si="8"/>
        <v>179.34782608695653</v>
      </c>
      <c r="AB17" s="68"/>
      <c r="AC17" s="6">
        <f>AA17*D_技能表!$AN$6</f>
        <v>269.02173913043481</v>
      </c>
      <c r="AD17" s="68"/>
      <c r="AE17" s="6">
        <f t="shared" si="6"/>
        <v>66000305</v>
      </c>
    </row>
    <row r="18" spans="1:31" x14ac:dyDescent="0.15">
      <c r="A18">
        <v>2</v>
      </c>
      <c r="B18" s="3">
        <v>3</v>
      </c>
      <c r="C18" s="3" t="s">
        <v>97</v>
      </c>
      <c r="D18" s="3">
        <v>1</v>
      </c>
      <c r="E18" s="3">
        <v>2</v>
      </c>
      <c r="F18" s="3">
        <v>1</v>
      </c>
      <c r="G18" s="3">
        <v>3</v>
      </c>
      <c r="H18" s="3">
        <v>1</v>
      </c>
      <c r="I18" s="3">
        <v>1</v>
      </c>
      <c r="J18" s="3">
        <v>50</v>
      </c>
      <c r="K18" s="3">
        <v>5</v>
      </c>
      <c r="L18" s="3">
        <f t="shared" si="0"/>
        <v>1</v>
      </c>
      <c r="M18" s="3">
        <f t="shared" si="1"/>
        <v>215.21739130434784</v>
      </c>
      <c r="N18" s="6">
        <f t="shared" si="2"/>
        <v>215.21739130434784</v>
      </c>
      <c r="O18" s="6">
        <f t="shared" si="3"/>
        <v>215.21739130434784</v>
      </c>
      <c r="P18" s="6">
        <v>10000</v>
      </c>
      <c r="Q18" s="6">
        <v>18</v>
      </c>
      <c r="R18" s="6"/>
      <c r="S18" s="6">
        <f t="shared" si="4"/>
        <v>20</v>
      </c>
      <c r="T18" s="26">
        <f t="shared" si="5"/>
        <v>0</v>
      </c>
      <c r="U18" s="6">
        <v>1</v>
      </c>
      <c r="V18" s="6">
        <v>20</v>
      </c>
      <c r="W18" s="6">
        <v>22</v>
      </c>
      <c r="X18" s="26">
        <f>100%</f>
        <v>1</v>
      </c>
      <c r="Y18" s="26">
        <v>0</v>
      </c>
      <c r="Z18" s="6">
        <v>1.8</v>
      </c>
      <c r="AA18" s="6">
        <f t="shared" si="8"/>
        <v>215.21739130434784</v>
      </c>
      <c r="AB18" s="6"/>
      <c r="AC18" s="6">
        <f>AA18*D_技能表!$AN$6</f>
        <v>322.82608695652175</v>
      </c>
      <c r="AD18" s="6"/>
      <c r="AE18">
        <v>66000289</v>
      </c>
    </row>
    <row r="19" spans="1:31" x14ac:dyDescent="0.15">
      <c r="A19">
        <v>3</v>
      </c>
      <c r="B19" s="3">
        <v>4</v>
      </c>
      <c r="C19" s="3" t="s">
        <v>98</v>
      </c>
      <c r="D19" s="3">
        <v>1</v>
      </c>
      <c r="E19" s="3">
        <v>2</v>
      </c>
      <c r="F19" s="3">
        <v>2</v>
      </c>
      <c r="G19" s="3">
        <v>4</v>
      </c>
      <c r="H19" s="3">
        <v>2</v>
      </c>
      <c r="I19" s="3">
        <v>1</v>
      </c>
      <c r="J19" s="3">
        <v>50</v>
      </c>
      <c r="K19" s="3">
        <v>6</v>
      </c>
      <c r="L19" s="3">
        <f t="shared" si="0"/>
        <v>2</v>
      </c>
      <c r="M19" s="3">
        <f t="shared" si="1"/>
        <v>71.739130434782609</v>
      </c>
      <c r="N19" s="6">
        <f t="shared" si="2"/>
        <v>143.47826086956522</v>
      </c>
      <c r="O19" s="6">
        <f t="shared" si="3"/>
        <v>143.47826086956522</v>
      </c>
      <c r="P19" s="6">
        <v>8000</v>
      </c>
      <c r="Q19" s="6">
        <v>18</v>
      </c>
      <c r="R19" s="6"/>
      <c r="S19" s="6">
        <f t="shared" si="4"/>
        <v>10</v>
      </c>
      <c r="T19" s="26">
        <f t="shared" si="5"/>
        <v>0</v>
      </c>
      <c r="U19" s="6">
        <v>4</v>
      </c>
      <c r="V19" s="6">
        <v>20</v>
      </c>
      <c r="W19" s="6">
        <v>33</v>
      </c>
      <c r="X19" s="26">
        <f>100%</f>
        <v>1</v>
      </c>
      <c r="Y19" s="26">
        <v>0</v>
      </c>
      <c r="Z19" s="6">
        <v>1.2</v>
      </c>
      <c r="AA19" s="6">
        <f t="shared" si="8"/>
        <v>143.47826086956522</v>
      </c>
      <c r="AB19" s="68">
        <f>SUM(AA19:AA22)</f>
        <v>609.78260869565213</v>
      </c>
      <c r="AC19" s="6">
        <f>AA19*D_技能表!$AN$6</f>
        <v>215.21739130434781</v>
      </c>
      <c r="AD19" s="68">
        <f>SUM(AC19:AC22)</f>
        <v>914.67391304347825</v>
      </c>
      <c r="AE19">
        <v>66000388</v>
      </c>
    </row>
    <row r="20" spans="1:31" x14ac:dyDescent="0.15">
      <c r="A20">
        <v>3</v>
      </c>
      <c r="B20" s="3">
        <v>4</v>
      </c>
      <c r="C20" s="3" t="s">
        <v>99</v>
      </c>
      <c r="D20" s="3">
        <v>2</v>
      </c>
      <c r="E20" s="3">
        <v>2</v>
      </c>
      <c r="F20" s="3">
        <v>2</v>
      </c>
      <c r="G20" s="3">
        <v>4</v>
      </c>
      <c r="H20" s="3">
        <v>3</v>
      </c>
      <c r="I20" s="3">
        <v>1</v>
      </c>
      <c r="J20" s="3">
        <v>50</v>
      </c>
      <c r="K20" s="3">
        <v>8</v>
      </c>
      <c r="L20" s="3">
        <f t="shared" si="0"/>
        <v>3</v>
      </c>
      <c r="M20" s="3">
        <f t="shared" si="1"/>
        <v>47.826086956521742</v>
      </c>
      <c r="N20" s="6">
        <f t="shared" si="2"/>
        <v>143.47826086956522</v>
      </c>
      <c r="O20" s="6">
        <f t="shared" si="3"/>
        <v>143.47826086956522</v>
      </c>
      <c r="P20" s="6">
        <v>8000</v>
      </c>
      <c r="Q20" s="6">
        <v>18</v>
      </c>
      <c r="R20" s="6"/>
      <c r="S20" s="6">
        <f t="shared" si="4"/>
        <v>7</v>
      </c>
      <c r="T20" s="26">
        <f t="shared" si="5"/>
        <v>0</v>
      </c>
      <c r="U20" s="6">
        <v>4</v>
      </c>
      <c r="V20" s="6">
        <v>20</v>
      </c>
      <c r="W20" s="6">
        <v>34</v>
      </c>
      <c r="X20" s="26">
        <f>100%</f>
        <v>1</v>
      </c>
      <c r="Y20" s="26">
        <v>0</v>
      </c>
      <c r="Z20" s="6">
        <v>1.2</v>
      </c>
      <c r="AA20" s="6">
        <f>$AB$1*Z20/SUM($Z$13:$Z$22)</f>
        <v>143.47826086956522</v>
      </c>
      <c r="AB20" s="68"/>
      <c r="AC20" s="6">
        <f>AA20*D_技能表!$AN$6</f>
        <v>215.21739130434781</v>
      </c>
      <c r="AD20" s="68"/>
      <c r="AE20" s="6">
        <f t="shared" si="6"/>
        <v>66000388</v>
      </c>
    </row>
    <row r="21" spans="1:31" x14ac:dyDescent="0.15">
      <c r="A21">
        <v>3</v>
      </c>
      <c r="B21" s="3">
        <v>4</v>
      </c>
      <c r="C21" s="3" t="s">
        <v>100</v>
      </c>
      <c r="D21" s="3">
        <v>3</v>
      </c>
      <c r="E21" s="3">
        <v>2</v>
      </c>
      <c r="F21" s="3">
        <v>2</v>
      </c>
      <c r="G21" s="3">
        <v>4</v>
      </c>
      <c r="H21" s="3">
        <v>1</v>
      </c>
      <c r="I21" s="3">
        <v>1</v>
      </c>
      <c r="J21" s="3">
        <v>50</v>
      </c>
      <c r="K21" s="3">
        <v>10</v>
      </c>
      <c r="L21" s="3">
        <f t="shared" si="0"/>
        <v>1</v>
      </c>
      <c r="M21" s="3">
        <f t="shared" si="1"/>
        <v>143.47826086956522</v>
      </c>
      <c r="N21" s="6">
        <f t="shared" si="2"/>
        <v>143.47826086956522</v>
      </c>
      <c r="O21" s="6">
        <f t="shared" si="3"/>
        <v>143.47826086956522</v>
      </c>
      <c r="P21" s="6">
        <v>8000</v>
      </c>
      <c r="Q21" s="6">
        <v>18</v>
      </c>
      <c r="R21" s="6"/>
      <c r="S21" s="6">
        <f t="shared" si="4"/>
        <v>20</v>
      </c>
      <c r="T21" s="26">
        <f t="shared" si="5"/>
        <v>0</v>
      </c>
      <c r="U21" s="6">
        <v>4</v>
      </c>
      <c r="V21" s="6">
        <v>20</v>
      </c>
      <c r="W21" s="6">
        <v>35</v>
      </c>
      <c r="X21" s="26">
        <f>100%</f>
        <v>1</v>
      </c>
      <c r="Y21" s="26">
        <v>0</v>
      </c>
      <c r="Z21" s="6">
        <v>1.2</v>
      </c>
      <c r="AA21" s="6">
        <f t="shared" si="8"/>
        <v>143.47826086956522</v>
      </c>
      <c r="AB21" s="68"/>
      <c r="AC21" s="6">
        <f>AA21*D_技能表!$AN$6</f>
        <v>215.21739130434781</v>
      </c>
      <c r="AD21" s="68"/>
      <c r="AE21" s="6">
        <f t="shared" si="6"/>
        <v>66000388</v>
      </c>
    </row>
    <row r="22" spans="1:31" x14ac:dyDescent="0.15">
      <c r="A22">
        <v>3</v>
      </c>
      <c r="B22" s="3">
        <v>4</v>
      </c>
      <c r="C22" s="3" t="s">
        <v>101</v>
      </c>
      <c r="D22" s="3">
        <v>4</v>
      </c>
      <c r="E22" s="3">
        <v>2</v>
      </c>
      <c r="F22" s="3">
        <v>2</v>
      </c>
      <c r="G22" s="3">
        <v>4</v>
      </c>
      <c r="H22" s="3">
        <v>1</v>
      </c>
      <c r="I22" s="3">
        <v>1</v>
      </c>
      <c r="J22" s="3">
        <v>50</v>
      </c>
      <c r="K22" s="3">
        <v>12</v>
      </c>
      <c r="L22" s="3">
        <f t="shared" si="0"/>
        <v>1</v>
      </c>
      <c r="M22" s="3">
        <f t="shared" si="1"/>
        <v>179.34782608695653</v>
      </c>
      <c r="N22" s="6">
        <f t="shared" si="2"/>
        <v>179.34782608695653</v>
      </c>
      <c r="O22" s="6">
        <f t="shared" si="3"/>
        <v>179.34782608695653</v>
      </c>
      <c r="P22" s="6">
        <v>8000</v>
      </c>
      <c r="Q22" s="6">
        <v>18</v>
      </c>
      <c r="R22" s="6"/>
      <c r="S22" s="6">
        <f t="shared" si="4"/>
        <v>20</v>
      </c>
      <c r="T22" s="26">
        <f t="shared" si="5"/>
        <v>0</v>
      </c>
      <c r="U22" s="6">
        <v>4</v>
      </c>
      <c r="V22" s="6">
        <v>20</v>
      </c>
      <c r="W22" s="6">
        <v>36</v>
      </c>
      <c r="X22" s="26">
        <f>100%</f>
        <v>1</v>
      </c>
      <c r="Y22" s="26">
        <v>0</v>
      </c>
      <c r="Z22" s="6">
        <v>1.5</v>
      </c>
      <c r="AA22" s="6">
        <f t="shared" si="8"/>
        <v>179.34782608695653</v>
      </c>
      <c r="AB22" s="68"/>
      <c r="AC22" s="6">
        <f>AA22*D_技能表!$AN$6</f>
        <v>269.02173913043481</v>
      </c>
      <c r="AD22" s="68"/>
      <c r="AE22" s="6">
        <f t="shared" si="6"/>
        <v>66000388</v>
      </c>
    </row>
    <row r="23" spans="1:31" x14ac:dyDescent="0.15">
      <c r="A23">
        <v>3</v>
      </c>
      <c r="B23" s="3">
        <v>1</v>
      </c>
      <c r="C23" s="3" t="s">
        <v>102</v>
      </c>
      <c r="D23" s="3">
        <v>1</v>
      </c>
      <c r="E23" s="3">
        <v>3</v>
      </c>
      <c r="F23" s="3">
        <v>1</v>
      </c>
      <c r="G23" s="3">
        <v>1</v>
      </c>
      <c r="H23" s="3">
        <v>13</v>
      </c>
      <c r="I23" s="3">
        <v>1</v>
      </c>
      <c r="J23" s="3">
        <v>50</v>
      </c>
      <c r="K23" s="3">
        <v>2</v>
      </c>
      <c r="L23" s="3">
        <f t="shared" si="0"/>
        <v>13</v>
      </c>
      <c r="M23" s="3">
        <f t="shared" si="1"/>
        <v>17.032967032967033</v>
      </c>
      <c r="N23" s="6">
        <f t="shared" si="2"/>
        <v>221.42857142857142</v>
      </c>
      <c r="O23" s="6">
        <f t="shared" si="3"/>
        <v>221.42857142857142</v>
      </c>
      <c r="P23" s="6">
        <v>10000</v>
      </c>
      <c r="Q23" s="6">
        <v>18</v>
      </c>
      <c r="R23" s="6"/>
      <c r="S23" s="6">
        <f t="shared" si="4"/>
        <v>2</v>
      </c>
      <c r="T23" s="26">
        <f t="shared" si="5"/>
        <v>0</v>
      </c>
      <c r="U23" s="6">
        <v>1</v>
      </c>
      <c r="V23" s="6">
        <v>20</v>
      </c>
      <c r="W23" s="6">
        <v>5307</v>
      </c>
      <c r="X23" s="26">
        <f>100%</f>
        <v>1</v>
      </c>
      <c r="Y23" s="26">
        <v>0</v>
      </c>
      <c r="Z23" s="6">
        <v>2</v>
      </c>
      <c r="AA23" s="6">
        <f>$AC$1*Z23/SUM($Z$23:$Z$32)</f>
        <v>221.42857142857142</v>
      </c>
      <c r="AB23" s="6"/>
      <c r="AC23" s="6">
        <f>AA23*D_技能表!$AN$6</f>
        <v>332.14285714285711</v>
      </c>
      <c r="AD23" s="6"/>
      <c r="AE23">
        <v>66000474</v>
      </c>
    </row>
    <row r="24" spans="1:31" x14ac:dyDescent="0.15">
      <c r="A24">
        <v>4</v>
      </c>
      <c r="B24" s="3">
        <v>2</v>
      </c>
      <c r="C24" s="3" t="s">
        <v>25</v>
      </c>
      <c r="D24" s="3">
        <v>1</v>
      </c>
      <c r="E24" s="3">
        <v>3</v>
      </c>
      <c r="F24" s="3">
        <v>2</v>
      </c>
      <c r="G24" s="3">
        <v>2</v>
      </c>
      <c r="H24" s="3">
        <v>1</v>
      </c>
      <c r="I24" s="3">
        <v>1</v>
      </c>
      <c r="J24" s="3">
        <v>50</v>
      </c>
      <c r="K24" s="3">
        <v>4</v>
      </c>
      <c r="L24" s="3">
        <f t="shared" si="0"/>
        <v>1</v>
      </c>
      <c r="M24" s="3">
        <f t="shared" si="1"/>
        <v>132.85714285714286</v>
      </c>
      <c r="N24" s="6">
        <f t="shared" si="2"/>
        <v>132.85714285714286</v>
      </c>
      <c r="O24" s="6">
        <f t="shared" si="3"/>
        <v>132.85714285714286</v>
      </c>
      <c r="P24" s="6">
        <v>8000</v>
      </c>
      <c r="Q24" s="6">
        <v>18</v>
      </c>
      <c r="R24" s="6"/>
      <c r="S24" s="6">
        <f t="shared" si="4"/>
        <v>20</v>
      </c>
      <c r="T24" s="26">
        <f t="shared" si="5"/>
        <v>0</v>
      </c>
      <c r="U24" s="6">
        <v>4</v>
      </c>
      <c r="V24" s="6">
        <v>20</v>
      </c>
      <c r="W24" s="6">
        <v>5330</v>
      </c>
      <c r="X24" s="26">
        <f>100%</f>
        <v>1</v>
      </c>
      <c r="Y24" s="26">
        <v>0</v>
      </c>
      <c r="Z24" s="6">
        <v>1.2</v>
      </c>
      <c r="AA24" s="6">
        <f t="shared" ref="AA24:AA32" si="9">$AC$1*Z24/SUM($Z$23:$Z$32)</f>
        <v>132.85714285714286</v>
      </c>
      <c r="AB24" s="68">
        <f>SUM(AA24:AA27)</f>
        <v>564.64285714285711</v>
      </c>
      <c r="AC24" s="6">
        <f>AA24*D_技能表!$AN$6</f>
        <v>199.28571428571428</v>
      </c>
      <c r="AD24" s="68">
        <f>SUM(AC24:AC27)</f>
        <v>846.96428571428578</v>
      </c>
      <c r="AE24">
        <v>66000550</v>
      </c>
    </row>
    <row r="25" spans="1:31" x14ac:dyDescent="0.15">
      <c r="A25">
        <v>4</v>
      </c>
      <c r="B25" s="3">
        <v>2</v>
      </c>
      <c r="C25" s="3" t="s">
        <v>26</v>
      </c>
      <c r="D25" s="3">
        <v>2</v>
      </c>
      <c r="E25" s="3">
        <v>3</v>
      </c>
      <c r="F25" s="3">
        <v>2</v>
      </c>
      <c r="G25" s="3">
        <v>2</v>
      </c>
      <c r="H25" s="3">
        <v>2</v>
      </c>
      <c r="I25" s="3">
        <v>1</v>
      </c>
      <c r="J25" s="3">
        <v>50</v>
      </c>
      <c r="K25" s="3">
        <v>4</v>
      </c>
      <c r="L25" s="3">
        <f t="shared" si="0"/>
        <v>2</v>
      </c>
      <c r="M25" s="3">
        <f t="shared" si="1"/>
        <v>66.428571428571431</v>
      </c>
      <c r="N25" s="6">
        <f t="shared" si="2"/>
        <v>132.85714285714286</v>
      </c>
      <c r="O25" s="6">
        <f t="shared" si="3"/>
        <v>132.85714285714286</v>
      </c>
      <c r="P25" s="6">
        <v>8000</v>
      </c>
      <c r="Q25" s="6">
        <v>18</v>
      </c>
      <c r="R25" s="6"/>
      <c r="S25" s="6">
        <f t="shared" si="4"/>
        <v>10</v>
      </c>
      <c r="T25" s="26">
        <f t="shared" si="5"/>
        <v>0</v>
      </c>
      <c r="U25" s="6">
        <v>4</v>
      </c>
      <c r="V25" s="6">
        <v>20</v>
      </c>
      <c r="W25" s="6">
        <v>5331</v>
      </c>
      <c r="X25" s="26">
        <f>100%</f>
        <v>1</v>
      </c>
      <c r="Y25" s="26">
        <v>0</v>
      </c>
      <c r="Z25" s="6">
        <v>1.2</v>
      </c>
      <c r="AA25" s="6">
        <f t="shared" si="9"/>
        <v>132.85714285714286</v>
      </c>
      <c r="AB25" s="68"/>
      <c r="AC25" s="6">
        <f>AA25*D_技能表!$AN$6</f>
        <v>199.28571428571428</v>
      </c>
      <c r="AD25" s="68"/>
      <c r="AE25" s="6">
        <f t="shared" si="6"/>
        <v>66000550</v>
      </c>
    </row>
    <row r="26" spans="1:31" x14ac:dyDescent="0.15">
      <c r="A26">
        <v>4</v>
      </c>
      <c r="B26" s="3">
        <v>2</v>
      </c>
      <c r="C26" s="3" t="s">
        <v>27</v>
      </c>
      <c r="D26" s="3">
        <v>3</v>
      </c>
      <c r="E26" s="3">
        <v>3</v>
      </c>
      <c r="F26" s="3">
        <v>2</v>
      </c>
      <c r="G26" s="3">
        <v>2</v>
      </c>
      <c r="H26" s="3">
        <v>5</v>
      </c>
      <c r="I26" s="3">
        <v>1</v>
      </c>
      <c r="J26" s="3">
        <v>50</v>
      </c>
      <c r="K26" s="3">
        <v>7</v>
      </c>
      <c r="L26" s="3">
        <f t="shared" si="0"/>
        <v>5</v>
      </c>
      <c r="M26" s="3">
        <f t="shared" si="1"/>
        <v>26.571428571428573</v>
      </c>
      <c r="N26" s="6">
        <f t="shared" si="2"/>
        <v>132.85714285714286</v>
      </c>
      <c r="O26" s="6">
        <f t="shared" si="3"/>
        <v>132.85714285714286</v>
      </c>
      <c r="P26" s="6">
        <v>8000</v>
      </c>
      <c r="Q26" s="6">
        <v>18</v>
      </c>
      <c r="R26" s="6"/>
      <c r="S26" s="6">
        <f t="shared" si="4"/>
        <v>4</v>
      </c>
      <c r="T26" s="26">
        <f t="shared" si="5"/>
        <v>0</v>
      </c>
      <c r="U26" s="6">
        <v>4</v>
      </c>
      <c r="V26" s="6">
        <v>20</v>
      </c>
      <c r="W26" s="6">
        <v>5332</v>
      </c>
      <c r="X26" s="26">
        <f>100%</f>
        <v>1</v>
      </c>
      <c r="Y26" s="26">
        <v>0</v>
      </c>
      <c r="Z26" s="6">
        <v>1.2</v>
      </c>
      <c r="AA26" s="6">
        <f t="shared" si="9"/>
        <v>132.85714285714286</v>
      </c>
      <c r="AB26" s="68"/>
      <c r="AC26" s="6">
        <f>AA26*D_技能表!$AN$6</f>
        <v>199.28571428571428</v>
      </c>
      <c r="AD26" s="68"/>
      <c r="AE26" s="6">
        <f t="shared" si="6"/>
        <v>66000550</v>
      </c>
    </row>
    <row r="27" spans="1:31" x14ac:dyDescent="0.15">
      <c r="A27">
        <v>4</v>
      </c>
      <c r="B27" s="3">
        <v>2</v>
      </c>
      <c r="C27" s="3" t="s">
        <v>28</v>
      </c>
      <c r="D27" s="3">
        <v>4</v>
      </c>
      <c r="E27" s="3">
        <v>3</v>
      </c>
      <c r="F27" s="3">
        <v>2</v>
      </c>
      <c r="G27" s="3">
        <v>2</v>
      </c>
      <c r="H27" s="3">
        <v>1</v>
      </c>
      <c r="I27" s="3">
        <v>1</v>
      </c>
      <c r="J27" s="3">
        <v>50</v>
      </c>
      <c r="K27" s="3">
        <v>9</v>
      </c>
      <c r="L27" s="3">
        <f t="shared" si="0"/>
        <v>1</v>
      </c>
      <c r="M27" s="3">
        <f t="shared" si="1"/>
        <v>166.07142857142858</v>
      </c>
      <c r="N27" s="6">
        <f t="shared" si="2"/>
        <v>166.07142857142858</v>
      </c>
      <c r="O27" s="6">
        <f t="shared" si="3"/>
        <v>166.07142857142858</v>
      </c>
      <c r="P27" s="6">
        <v>8000</v>
      </c>
      <c r="Q27" s="6">
        <v>18</v>
      </c>
      <c r="R27" s="6"/>
      <c r="S27" s="6">
        <f t="shared" si="4"/>
        <v>20</v>
      </c>
      <c r="T27" s="26">
        <f t="shared" si="5"/>
        <v>0</v>
      </c>
      <c r="U27" s="6">
        <v>4</v>
      </c>
      <c r="V27" s="6">
        <v>20</v>
      </c>
      <c r="W27" s="6">
        <v>5333</v>
      </c>
      <c r="X27" s="26">
        <f>100%</f>
        <v>1</v>
      </c>
      <c r="Y27" s="26">
        <v>0</v>
      </c>
      <c r="Z27" s="6">
        <v>1.5</v>
      </c>
      <c r="AA27" s="6">
        <f t="shared" si="9"/>
        <v>166.07142857142858</v>
      </c>
      <c r="AB27" s="68"/>
      <c r="AC27" s="6">
        <f>AA27*D_技能表!$AN$6</f>
        <v>249.10714285714289</v>
      </c>
      <c r="AD27" s="68"/>
      <c r="AE27" s="6">
        <f t="shared" si="6"/>
        <v>66000550</v>
      </c>
    </row>
    <row r="28" spans="1:31" x14ac:dyDescent="0.15">
      <c r="A28">
        <v>2</v>
      </c>
      <c r="B28" s="3">
        <v>3</v>
      </c>
      <c r="C28" s="3" t="s">
        <v>10</v>
      </c>
      <c r="D28" s="3">
        <v>1</v>
      </c>
      <c r="E28" s="3">
        <v>3</v>
      </c>
      <c r="F28" s="3">
        <v>1</v>
      </c>
      <c r="G28" s="3">
        <v>3</v>
      </c>
      <c r="H28" s="3">
        <v>9</v>
      </c>
      <c r="I28" s="3">
        <v>1</v>
      </c>
      <c r="J28" s="3">
        <v>50</v>
      </c>
      <c r="K28" s="3">
        <v>5</v>
      </c>
      <c r="L28" s="3">
        <f t="shared" si="0"/>
        <v>9</v>
      </c>
      <c r="M28" s="3">
        <f t="shared" si="1"/>
        <v>22.142857142857142</v>
      </c>
      <c r="N28" s="6">
        <f t="shared" si="2"/>
        <v>199.28571428571428</v>
      </c>
      <c r="O28" s="6">
        <f t="shared" si="3"/>
        <v>199.28571428571428</v>
      </c>
      <c r="P28" s="6">
        <v>10000</v>
      </c>
      <c r="Q28" s="6">
        <v>18</v>
      </c>
      <c r="R28" s="6"/>
      <c r="S28" s="6">
        <f t="shared" si="4"/>
        <v>2</v>
      </c>
      <c r="T28" s="26">
        <f t="shared" si="5"/>
        <v>0</v>
      </c>
      <c r="U28" s="6">
        <v>1</v>
      </c>
      <c r="V28" s="6">
        <v>20</v>
      </c>
      <c r="W28" s="6">
        <v>5321</v>
      </c>
      <c r="X28" s="26">
        <f>100%</f>
        <v>1</v>
      </c>
      <c r="Y28" s="26">
        <v>0</v>
      </c>
      <c r="Z28" s="6">
        <v>1.8</v>
      </c>
      <c r="AA28" s="6">
        <f t="shared" si="9"/>
        <v>199.28571428571428</v>
      </c>
      <c r="AB28" s="6"/>
      <c r="AC28" s="6">
        <f>AA28*D_技能表!$AN$6</f>
        <v>298.92857142857144</v>
      </c>
      <c r="AD28" s="6"/>
      <c r="AE28">
        <v>66000526</v>
      </c>
    </row>
    <row r="29" spans="1:31" x14ac:dyDescent="0.15">
      <c r="A29">
        <v>1</v>
      </c>
      <c r="B29" s="3">
        <v>4</v>
      </c>
      <c r="C29" s="3" t="s">
        <v>104</v>
      </c>
      <c r="D29" s="3">
        <v>1</v>
      </c>
      <c r="E29" s="3">
        <v>3</v>
      </c>
      <c r="F29" s="3">
        <v>2</v>
      </c>
      <c r="G29" s="3">
        <v>4</v>
      </c>
      <c r="H29" s="3">
        <v>3</v>
      </c>
      <c r="I29" s="3">
        <v>1</v>
      </c>
      <c r="J29" s="3">
        <v>50</v>
      </c>
      <c r="K29" s="3">
        <v>6</v>
      </c>
      <c r="L29" s="3">
        <f t="shared" si="0"/>
        <v>3</v>
      </c>
      <c r="M29" s="3">
        <f t="shared" si="1"/>
        <v>47.976190476190474</v>
      </c>
      <c r="N29" s="6">
        <f t="shared" si="2"/>
        <v>143.92857142857142</v>
      </c>
      <c r="O29" s="6">
        <f t="shared" si="3"/>
        <v>143.92857142857142</v>
      </c>
      <c r="P29" s="6">
        <v>8000</v>
      </c>
      <c r="Q29" s="6">
        <v>18</v>
      </c>
      <c r="R29" s="6"/>
      <c r="S29" s="6">
        <f t="shared" si="4"/>
        <v>7</v>
      </c>
      <c r="T29" s="26">
        <f t="shared" si="5"/>
        <v>0</v>
      </c>
      <c r="U29" s="6">
        <v>4</v>
      </c>
      <c r="V29" s="6">
        <v>20</v>
      </c>
      <c r="W29" s="6">
        <v>65043888</v>
      </c>
      <c r="X29" s="26">
        <f>100%</f>
        <v>1</v>
      </c>
      <c r="Y29" s="26">
        <v>0</v>
      </c>
      <c r="Z29" s="6">
        <v>1.3</v>
      </c>
      <c r="AA29" s="6">
        <f t="shared" si="9"/>
        <v>143.92857142857142</v>
      </c>
      <c r="AB29" s="68">
        <f>SUM(AA29:AA32)</f>
        <v>564.64285714285711</v>
      </c>
      <c r="AC29" s="6">
        <f>AA29*D_技能表!$AN$6</f>
        <v>215.89285714285711</v>
      </c>
      <c r="AD29" s="68">
        <f>SUM(AC29:AC32)</f>
        <v>846.96428571428578</v>
      </c>
      <c r="AE29">
        <v>66000650</v>
      </c>
    </row>
    <row r="30" spans="1:31" x14ac:dyDescent="0.15">
      <c r="B30" s="3">
        <v>4</v>
      </c>
      <c r="C30" s="3" t="s">
        <v>105</v>
      </c>
      <c r="D30" s="3">
        <v>2</v>
      </c>
      <c r="E30" s="3">
        <v>3</v>
      </c>
      <c r="F30" s="3">
        <v>2</v>
      </c>
      <c r="G30" s="3">
        <v>4</v>
      </c>
      <c r="H30" s="3">
        <v>1</v>
      </c>
      <c r="I30" s="3">
        <v>1</v>
      </c>
      <c r="J30" s="3">
        <v>50</v>
      </c>
      <c r="K30" s="3">
        <v>8</v>
      </c>
      <c r="L30" s="3">
        <f t="shared" ref="L30:L32" si="10">H30*I30</f>
        <v>1</v>
      </c>
      <c r="M30" s="3">
        <f t="shared" si="1"/>
        <v>121.78571428571431</v>
      </c>
      <c r="N30" s="6">
        <f t="shared" si="2"/>
        <v>121.78571428571431</v>
      </c>
      <c r="O30" s="6">
        <f t="shared" ref="O30:O32" si="11">N30</f>
        <v>121.78571428571431</v>
      </c>
      <c r="P30" s="6">
        <v>8000</v>
      </c>
      <c r="Q30" s="6">
        <v>18</v>
      </c>
      <c r="R30" s="6"/>
      <c r="S30" s="6">
        <f t="shared" ref="S30:S32" si="12">ROUND(V30/L30,0)</f>
        <v>20</v>
      </c>
      <c r="T30" s="26">
        <f t="shared" ref="T30:T32" si="13">AA30*Y30/100/L30</f>
        <v>0</v>
      </c>
      <c r="U30" s="6">
        <v>4</v>
      </c>
      <c r="V30" s="6">
        <v>20</v>
      </c>
      <c r="W30" s="6">
        <v>65043890</v>
      </c>
      <c r="X30" s="26">
        <f>100%</f>
        <v>1</v>
      </c>
      <c r="Y30" s="26">
        <v>0</v>
      </c>
      <c r="Z30" s="6">
        <v>1.1000000000000001</v>
      </c>
      <c r="AA30" s="6">
        <f t="shared" si="9"/>
        <v>121.78571428571431</v>
      </c>
      <c r="AB30" s="68"/>
      <c r="AC30" s="6">
        <f>AA30*D_技能表!$AN$6</f>
        <v>182.67857142857144</v>
      </c>
      <c r="AD30" s="68"/>
      <c r="AE30" s="6">
        <f t="shared" si="6"/>
        <v>66000650</v>
      </c>
    </row>
    <row r="31" spans="1:31" x14ac:dyDescent="0.15">
      <c r="B31" s="3">
        <v>4</v>
      </c>
      <c r="C31" s="3" t="s">
        <v>106</v>
      </c>
      <c r="D31" s="3">
        <v>3</v>
      </c>
      <c r="E31" s="3">
        <v>3</v>
      </c>
      <c r="F31" s="3">
        <v>2</v>
      </c>
      <c r="G31" s="3">
        <v>4</v>
      </c>
      <c r="H31" s="3">
        <v>1</v>
      </c>
      <c r="I31" s="3">
        <v>1</v>
      </c>
      <c r="J31" s="3">
        <v>50</v>
      </c>
      <c r="K31" s="3">
        <v>10</v>
      </c>
      <c r="L31" s="3">
        <f t="shared" si="10"/>
        <v>1</v>
      </c>
      <c r="M31" s="3">
        <f t="shared" si="1"/>
        <v>121.78571428571431</v>
      </c>
      <c r="N31" s="6">
        <f t="shared" si="2"/>
        <v>121.78571428571431</v>
      </c>
      <c r="O31" s="6">
        <f t="shared" si="11"/>
        <v>121.78571428571431</v>
      </c>
      <c r="P31" s="6">
        <v>8000</v>
      </c>
      <c r="Q31" s="6">
        <v>18</v>
      </c>
      <c r="R31" s="6"/>
      <c r="S31" s="6">
        <f t="shared" si="12"/>
        <v>20</v>
      </c>
      <c r="T31" s="26">
        <f t="shared" si="13"/>
        <v>0</v>
      </c>
      <c r="U31" s="6">
        <v>4</v>
      </c>
      <c r="V31" s="6">
        <v>20</v>
      </c>
      <c r="W31" s="6">
        <v>65043892</v>
      </c>
      <c r="X31" s="26">
        <f>100%</f>
        <v>1</v>
      </c>
      <c r="Y31" s="26">
        <v>0</v>
      </c>
      <c r="Z31" s="6">
        <v>1.1000000000000001</v>
      </c>
      <c r="AA31" s="6">
        <f t="shared" si="9"/>
        <v>121.78571428571431</v>
      </c>
      <c r="AB31" s="68"/>
      <c r="AC31" s="6">
        <f>AA31*D_技能表!$AN$6</f>
        <v>182.67857142857144</v>
      </c>
      <c r="AD31" s="68"/>
      <c r="AE31" s="6">
        <f t="shared" si="6"/>
        <v>66000650</v>
      </c>
    </row>
    <row r="32" spans="1:31" x14ac:dyDescent="0.15">
      <c r="B32" s="3">
        <v>4</v>
      </c>
      <c r="C32" s="3" t="s">
        <v>107</v>
      </c>
      <c r="D32" s="3">
        <v>4</v>
      </c>
      <c r="E32" s="3">
        <v>3</v>
      </c>
      <c r="F32" s="3">
        <v>2</v>
      </c>
      <c r="G32" s="3">
        <v>4</v>
      </c>
      <c r="H32" s="3">
        <v>1</v>
      </c>
      <c r="I32" s="3">
        <v>7</v>
      </c>
      <c r="J32" s="3">
        <v>50</v>
      </c>
      <c r="K32" s="3">
        <v>12</v>
      </c>
      <c r="L32" s="3">
        <f t="shared" si="10"/>
        <v>7</v>
      </c>
      <c r="M32" s="3">
        <f t="shared" si="1"/>
        <v>25.30612244897959</v>
      </c>
      <c r="N32" s="6">
        <f t="shared" si="2"/>
        <v>177.14285714285714</v>
      </c>
      <c r="O32" s="6">
        <f t="shared" si="11"/>
        <v>177.14285714285714</v>
      </c>
      <c r="P32" s="6">
        <v>8000</v>
      </c>
      <c r="Q32" s="6">
        <v>18</v>
      </c>
      <c r="R32" s="6"/>
      <c r="S32" s="6">
        <f t="shared" si="12"/>
        <v>3</v>
      </c>
      <c r="T32" s="26">
        <f t="shared" si="13"/>
        <v>0</v>
      </c>
      <c r="U32" s="6">
        <v>4</v>
      </c>
      <c r="V32" s="6">
        <v>20</v>
      </c>
      <c r="W32" s="6">
        <v>65043894</v>
      </c>
      <c r="X32" s="26">
        <f>100%</f>
        <v>1</v>
      </c>
      <c r="Y32" s="26">
        <v>0</v>
      </c>
      <c r="Z32" s="6">
        <v>1.6</v>
      </c>
      <c r="AA32" s="6">
        <f t="shared" si="9"/>
        <v>177.14285714285714</v>
      </c>
      <c r="AB32" s="68"/>
      <c r="AC32" s="6">
        <f>AA32*D_技能表!$AN$6</f>
        <v>265.71428571428572</v>
      </c>
      <c r="AD32" s="68"/>
      <c r="AE32" s="6">
        <f t="shared" si="6"/>
        <v>66000650</v>
      </c>
    </row>
  </sheetData>
  <sortState ref="C3:L29">
    <sortCondition ref="E3:E29"/>
    <sortCondition ref="G3:G29"/>
  </sortState>
  <mergeCells count="12">
    <mergeCell ref="AD29:AD32"/>
    <mergeCell ref="AB29:AB32"/>
    <mergeCell ref="AB24:AB27"/>
    <mergeCell ref="AB9:AB12"/>
    <mergeCell ref="AB4:AB7"/>
    <mergeCell ref="AB14:AB17"/>
    <mergeCell ref="AB19:AB22"/>
    <mergeCell ref="AD4:AD7"/>
    <mergeCell ref="AD9:AD12"/>
    <mergeCell ref="AD14:AD17"/>
    <mergeCell ref="AD19:AD22"/>
    <mergeCell ref="AD24:AD27"/>
  </mergeCells>
  <phoneticPr fontId="1" type="noConversion"/>
  <conditionalFormatting sqref="K3 AA3:AE3 AC8:AD8 AC4:AC7 AC13:AD13 AC9:AC12 AC18:AD18 AC14:AC17 AC23:AD23 AC19:AC22 AC24:AC27 L3:L32 AC28:AD28 AC29:AC32 C3:J32 N3:N32 AE4:AE32">
    <cfRule type="expression" dxfId="222" priority="116">
      <formula>$E3=3</formula>
    </cfRule>
    <cfRule type="expression" dxfId="221" priority="117">
      <formula>$E3=2</formula>
    </cfRule>
    <cfRule type="expression" dxfId="220" priority="118">
      <formula>$E3=1</formula>
    </cfRule>
  </conditionalFormatting>
  <conditionalFormatting sqref="J13:J32">
    <cfRule type="expression" dxfId="219" priority="113">
      <formula>$E13=3</formula>
    </cfRule>
    <cfRule type="expression" dxfId="218" priority="114">
      <formula>$E13=2</formula>
    </cfRule>
    <cfRule type="expression" dxfId="217" priority="115">
      <formula>$E13=1</formula>
    </cfRule>
  </conditionalFormatting>
  <conditionalFormatting sqref="K4:K32">
    <cfRule type="expression" dxfId="216" priority="110">
      <formula>$E4=3</formula>
    </cfRule>
    <cfRule type="expression" dxfId="215" priority="111">
      <formula>$E4=2</formula>
    </cfRule>
    <cfRule type="expression" dxfId="214" priority="112">
      <formula>$E4=1</formula>
    </cfRule>
  </conditionalFormatting>
  <conditionalFormatting sqref="AA3:AE3 AC8:AD8 AC4:AC7 AC13:AD13 AC9:AC12 AC18:AD18 AC14:AC17 AC23:AD23 AC19:AC22 AC24:AC27 AC28:AD28 AC29:AC32 B3:N32 AE4:AE32">
    <cfRule type="expression" dxfId="213" priority="106">
      <formula>$B3=4</formula>
    </cfRule>
    <cfRule type="expression" dxfId="212" priority="107">
      <formula>$B3=3</formula>
    </cfRule>
    <cfRule type="expression" dxfId="211" priority="108">
      <formula>$B3=2</formula>
    </cfRule>
    <cfRule type="expression" dxfId="210" priority="109">
      <formula>$B3=1</formula>
    </cfRule>
  </conditionalFormatting>
  <conditionalFormatting sqref="O3:P32">
    <cfRule type="expression" dxfId="209" priority="103">
      <formula>$E3=3</formula>
    </cfRule>
    <cfRule type="expression" dxfId="208" priority="104">
      <formula>$E3=2</formula>
    </cfRule>
    <cfRule type="expression" dxfId="207" priority="105">
      <formula>$E3=1</formula>
    </cfRule>
  </conditionalFormatting>
  <conditionalFormatting sqref="O3:P32">
    <cfRule type="expression" dxfId="206" priority="99">
      <formula>$B3=4</formula>
    </cfRule>
    <cfRule type="expression" dxfId="205" priority="100">
      <formula>$B3=3</formula>
    </cfRule>
    <cfRule type="expression" dxfId="204" priority="101">
      <formula>$B3=2</formula>
    </cfRule>
    <cfRule type="expression" dxfId="203" priority="102">
      <formula>$B3=1</formula>
    </cfRule>
  </conditionalFormatting>
  <conditionalFormatting sqref="Q3:Q32">
    <cfRule type="expression" dxfId="202" priority="96">
      <formula>$E3=3</formula>
    </cfRule>
    <cfRule type="expression" dxfId="201" priority="97">
      <formula>$E3=2</formula>
    </cfRule>
    <cfRule type="expression" dxfId="200" priority="98">
      <formula>$E3=1</formula>
    </cfRule>
  </conditionalFormatting>
  <conditionalFormatting sqref="Q3:Q32">
    <cfRule type="expression" dxfId="199" priority="92">
      <formula>$B3=4</formula>
    </cfRule>
    <cfRule type="expression" dxfId="198" priority="93">
      <formula>$B3=3</formula>
    </cfRule>
    <cfRule type="expression" dxfId="197" priority="94">
      <formula>$B3=2</formula>
    </cfRule>
    <cfRule type="expression" dxfId="196" priority="95">
      <formula>$B3=1</formula>
    </cfRule>
  </conditionalFormatting>
  <conditionalFormatting sqref="AA8:AB9 AA5:AA7 AA13:AB13 AB18 AA23:AB23 AA4:AB4 AA10:AA22 AB28 R3:Y32 AA24:AA32">
    <cfRule type="expression" dxfId="195" priority="89">
      <formula>$E3=3</formula>
    </cfRule>
    <cfRule type="expression" dxfId="194" priority="90">
      <formula>$E3=2</formula>
    </cfRule>
    <cfRule type="expression" dxfId="193" priority="91">
      <formula>$E3=1</formula>
    </cfRule>
  </conditionalFormatting>
  <conditionalFormatting sqref="AA8:AB9 AA5:AA7 AA13:AB13 AB18 AA23:AB23 AA4:AB4 AA10:AA22 AB28 R3:Y32 AA24:AA32">
    <cfRule type="expression" dxfId="192" priority="85">
      <formula>$B3=4</formula>
    </cfRule>
    <cfRule type="expression" dxfId="191" priority="86">
      <formula>$B3=3</formula>
    </cfRule>
    <cfRule type="expression" dxfId="190" priority="87">
      <formula>$B3=2</formula>
    </cfRule>
    <cfRule type="expression" dxfId="189" priority="88">
      <formula>$B3=1</formula>
    </cfRule>
  </conditionalFormatting>
  <conditionalFormatting sqref="Z3:Z32">
    <cfRule type="expression" dxfId="188" priority="75">
      <formula>$E3=3</formula>
    </cfRule>
    <cfRule type="expression" dxfId="187" priority="76">
      <formula>$E3=2</formula>
    </cfRule>
    <cfRule type="expression" dxfId="186" priority="77">
      <formula>$E3=1</formula>
    </cfRule>
  </conditionalFormatting>
  <conditionalFormatting sqref="Z3:Z32">
    <cfRule type="expression" dxfId="185" priority="71">
      <formula>$B3=4</formula>
    </cfRule>
    <cfRule type="expression" dxfId="184" priority="72">
      <formula>$B3=3</formula>
    </cfRule>
    <cfRule type="expression" dxfId="183" priority="73">
      <formula>$B3=2</formula>
    </cfRule>
    <cfRule type="expression" dxfId="182" priority="74">
      <formula>$B3=1</formula>
    </cfRule>
  </conditionalFormatting>
  <conditionalFormatting sqref="AB14">
    <cfRule type="expression" dxfId="181" priority="68">
      <formula>$E14=3</formula>
    </cfRule>
    <cfRule type="expression" dxfId="180" priority="69">
      <formula>$E14=2</formula>
    </cfRule>
    <cfRule type="expression" dxfId="179" priority="70">
      <formula>$E14=1</formula>
    </cfRule>
  </conditionalFormatting>
  <conditionalFormatting sqref="AB14">
    <cfRule type="expression" dxfId="178" priority="64">
      <formula>$B14=4</formula>
    </cfRule>
    <cfRule type="expression" dxfId="177" priority="65">
      <formula>$B14=3</formula>
    </cfRule>
    <cfRule type="expression" dxfId="176" priority="66">
      <formula>$B14=2</formula>
    </cfRule>
    <cfRule type="expression" dxfId="175" priority="67">
      <formula>$B14=1</formula>
    </cfRule>
  </conditionalFormatting>
  <conditionalFormatting sqref="AB19">
    <cfRule type="expression" dxfId="174" priority="61">
      <formula>$E19=3</formula>
    </cfRule>
    <cfRule type="expression" dxfId="173" priority="62">
      <formula>$E19=2</formula>
    </cfRule>
    <cfRule type="expression" dxfId="172" priority="63">
      <formula>$E19=1</formula>
    </cfRule>
  </conditionalFormatting>
  <conditionalFormatting sqref="AB19">
    <cfRule type="expression" dxfId="171" priority="57">
      <formula>$B19=4</formula>
    </cfRule>
    <cfRule type="expression" dxfId="170" priority="58">
      <formula>$B19=3</formula>
    </cfRule>
    <cfRule type="expression" dxfId="169" priority="59">
      <formula>$B19=2</formula>
    </cfRule>
    <cfRule type="expression" dxfId="168" priority="60">
      <formula>$B19=1</formula>
    </cfRule>
  </conditionalFormatting>
  <conditionalFormatting sqref="AB24">
    <cfRule type="expression" dxfId="167" priority="54">
      <formula>$E24=3</formula>
    </cfRule>
    <cfRule type="expression" dxfId="166" priority="55">
      <formula>$E24=2</formula>
    </cfRule>
    <cfRule type="expression" dxfId="165" priority="56">
      <formula>$E24=1</formula>
    </cfRule>
  </conditionalFormatting>
  <conditionalFormatting sqref="AB24">
    <cfRule type="expression" dxfId="164" priority="50">
      <formula>$B24=4</formula>
    </cfRule>
    <cfRule type="expression" dxfId="163" priority="51">
      <formula>$B24=3</formula>
    </cfRule>
    <cfRule type="expression" dxfId="162" priority="52">
      <formula>$B24=2</formula>
    </cfRule>
    <cfRule type="expression" dxfId="161" priority="53">
      <formula>$B24=1</formula>
    </cfRule>
  </conditionalFormatting>
  <conditionalFormatting sqref="AD4">
    <cfRule type="expression" dxfId="160" priority="47">
      <formula>$E4=3</formula>
    </cfRule>
    <cfRule type="expression" dxfId="159" priority="48">
      <formula>$E4=2</formula>
    </cfRule>
    <cfRule type="expression" dxfId="158" priority="49">
      <formula>$E4=1</formula>
    </cfRule>
  </conditionalFormatting>
  <conditionalFormatting sqref="AD4">
    <cfRule type="expression" dxfId="157" priority="43">
      <formula>$B4=4</formula>
    </cfRule>
    <cfRule type="expression" dxfId="156" priority="44">
      <formula>$B4=3</formula>
    </cfRule>
    <cfRule type="expression" dxfId="155" priority="45">
      <formula>$B4=2</formula>
    </cfRule>
    <cfRule type="expression" dxfId="154" priority="46">
      <formula>$B4=1</formula>
    </cfRule>
  </conditionalFormatting>
  <conditionalFormatting sqref="AD9">
    <cfRule type="expression" dxfId="153" priority="40">
      <formula>$E9=3</formula>
    </cfRule>
    <cfRule type="expression" dxfId="152" priority="41">
      <formula>$E9=2</formula>
    </cfRule>
    <cfRule type="expression" dxfId="151" priority="42">
      <formula>$E9=1</formula>
    </cfRule>
  </conditionalFormatting>
  <conditionalFormatting sqref="AD9">
    <cfRule type="expression" dxfId="150" priority="36">
      <formula>$B9=4</formula>
    </cfRule>
    <cfRule type="expression" dxfId="149" priority="37">
      <formula>$B9=3</formula>
    </cfRule>
    <cfRule type="expression" dxfId="148" priority="38">
      <formula>$B9=2</formula>
    </cfRule>
    <cfRule type="expression" dxfId="147" priority="39">
      <formula>$B9=1</formula>
    </cfRule>
  </conditionalFormatting>
  <conditionalFormatting sqref="AD14">
    <cfRule type="expression" dxfId="146" priority="33">
      <formula>$E14=3</formula>
    </cfRule>
    <cfRule type="expression" dxfId="145" priority="34">
      <formula>$E14=2</formula>
    </cfRule>
    <cfRule type="expression" dxfId="144" priority="35">
      <formula>$E14=1</formula>
    </cfRule>
  </conditionalFormatting>
  <conditionalFormatting sqref="AD14">
    <cfRule type="expression" dxfId="143" priority="29">
      <formula>$B14=4</formula>
    </cfRule>
    <cfRule type="expression" dxfId="142" priority="30">
      <formula>$B14=3</formula>
    </cfRule>
    <cfRule type="expression" dxfId="141" priority="31">
      <formula>$B14=2</formula>
    </cfRule>
    <cfRule type="expression" dxfId="140" priority="32">
      <formula>$B14=1</formula>
    </cfRule>
  </conditionalFormatting>
  <conditionalFormatting sqref="AD19">
    <cfRule type="expression" dxfId="139" priority="26">
      <formula>$E19=3</formula>
    </cfRule>
    <cfRule type="expression" dxfId="138" priority="27">
      <formula>$E19=2</formula>
    </cfRule>
    <cfRule type="expression" dxfId="137" priority="28">
      <formula>$E19=1</formula>
    </cfRule>
  </conditionalFormatting>
  <conditionalFormatting sqref="AD19">
    <cfRule type="expression" dxfId="136" priority="22">
      <formula>$B19=4</formula>
    </cfRule>
    <cfRule type="expression" dxfId="135" priority="23">
      <formula>$B19=3</formula>
    </cfRule>
    <cfRule type="expression" dxfId="134" priority="24">
      <formula>$B19=2</formula>
    </cfRule>
    <cfRule type="expression" dxfId="133" priority="25">
      <formula>$B19=1</formula>
    </cfRule>
  </conditionalFormatting>
  <conditionalFormatting sqref="AD24">
    <cfRule type="expression" dxfId="132" priority="19">
      <formula>$E24=3</formula>
    </cfRule>
    <cfRule type="expression" dxfId="131" priority="20">
      <formula>$E24=2</formula>
    </cfRule>
    <cfRule type="expression" dxfId="130" priority="21">
      <formula>$E24=1</formula>
    </cfRule>
  </conditionalFormatting>
  <conditionalFormatting sqref="AD24">
    <cfRule type="expression" dxfId="129" priority="15">
      <formula>$B24=4</formula>
    </cfRule>
    <cfRule type="expression" dxfId="128" priority="16">
      <formula>$B24=3</formula>
    </cfRule>
    <cfRule type="expression" dxfId="127" priority="17">
      <formula>$B24=2</formula>
    </cfRule>
    <cfRule type="expression" dxfId="126" priority="18">
      <formula>$B24=1</formula>
    </cfRule>
  </conditionalFormatting>
  <conditionalFormatting sqref="AD29">
    <cfRule type="expression" dxfId="125" priority="12">
      <formula>$E29=3</formula>
    </cfRule>
    <cfRule type="expression" dxfId="124" priority="13">
      <formula>$E29=2</formula>
    </cfRule>
    <cfRule type="expression" dxfId="123" priority="14">
      <formula>$E29=1</formula>
    </cfRule>
  </conditionalFormatting>
  <conditionalFormatting sqref="AD29">
    <cfRule type="expression" dxfId="122" priority="8">
      <formula>$B29=4</formula>
    </cfRule>
    <cfRule type="expression" dxfId="121" priority="9">
      <formula>$B29=3</formula>
    </cfRule>
    <cfRule type="expression" dxfId="120" priority="10">
      <formula>$B29=2</formula>
    </cfRule>
    <cfRule type="expression" dxfId="119" priority="11">
      <formula>$B29=1</formula>
    </cfRule>
  </conditionalFormatting>
  <conditionalFormatting sqref="AB29">
    <cfRule type="expression" dxfId="118" priority="5">
      <formula>$E29=3</formula>
    </cfRule>
    <cfRule type="expression" dxfId="117" priority="6">
      <formula>$E29=2</formula>
    </cfRule>
    <cfRule type="expression" dxfId="116" priority="7">
      <formula>$E29=1</formula>
    </cfRule>
  </conditionalFormatting>
  <conditionalFormatting sqref="AB29">
    <cfRule type="expression" dxfId="115" priority="1">
      <formula>$B29=4</formula>
    </cfRule>
    <cfRule type="expression" dxfId="114" priority="2">
      <formula>$B29=3</formula>
    </cfRule>
    <cfRule type="expression" dxfId="113" priority="3">
      <formula>$B29=2</formula>
    </cfRule>
    <cfRule type="expression" dxfId="112" priority="4">
      <formula>$B29=1</formula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14"/>
  <sheetViews>
    <sheetView workbookViewId="0">
      <selection activeCell="T10" sqref="T10"/>
    </sheetView>
  </sheetViews>
  <sheetFormatPr defaultRowHeight="13.5" x14ac:dyDescent="0.15"/>
  <cols>
    <col min="2" max="2" width="7.5" bestFit="1" customWidth="1"/>
    <col min="3" max="3" width="15" bestFit="1" customWidth="1"/>
    <col min="4" max="5" width="5.5" bestFit="1" customWidth="1"/>
    <col min="6" max="6" width="9.5" bestFit="1" customWidth="1"/>
    <col min="7" max="7" width="5.5" bestFit="1" customWidth="1"/>
    <col min="8" max="8" width="11.625" bestFit="1" customWidth="1"/>
    <col min="9" max="9" width="9.5" bestFit="1" customWidth="1"/>
    <col min="10" max="10" width="11.625" bestFit="1" customWidth="1"/>
    <col min="11" max="11" width="9.5" bestFit="1" customWidth="1"/>
    <col min="12" max="12" width="13.875" bestFit="1" customWidth="1"/>
  </cols>
  <sheetData>
    <row r="1" spans="2:13" x14ac:dyDescent="0.1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</row>
    <row r="2" spans="2:13" x14ac:dyDescent="0.15">
      <c r="B2" t="s">
        <v>19</v>
      </c>
      <c r="C2" s="4" t="s">
        <v>0</v>
      </c>
      <c r="D2" s="4" t="s">
        <v>8</v>
      </c>
      <c r="E2" s="4" t="s">
        <v>1</v>
      </c>
      <c r="F2" s="4" t="s">
        <v>4</v>
      </c>
      <c r="G2" s="4" t="s">
        <v>9</v>
      </c>
      <c r="H2" s="4" t="s">
        <v>15</v>
      </c>
      <c r="I2" s="4" t="s">
        <v>17</v>
      </c>
      <c r="J2" s="51" t="s">
        <v>24</v>
      </c>
      <c r="K2" s="51" t="s">
        <v>37</v>
      </c>
      <c r="L2" s="5" t="s">
        <v>131</v>
      </c>
      <c r="M2" s="5" t="s">
        <v>138</v>
      </c>
    </row>
    <row r="3" spans="2:13" x14ac:dyDescent="0.15">
      <c r="B3" s="3">
        <v>1</v>
      </c>
      <c r="C3" s="3" t="s">
        <v>82</v>
      </c>
      <c r="D3" s="3">
        <v>1</v>
      </c>
      <c r="E3" s="3">
        <v>1</v>
      </c>
      <c r="F3" s="3">
        <v>1</v>
      </c>
      <c r="G3" s="3">
        <v>1</v>
      </c>
      <c r="H3" s="6">
        <v>26</v>
      </c>
      <c r="I3" s="6">
        <v>2</v>
      </c>
      <c r="J3" s="6">
        <v>15000</v>
      </c>
      <c r="K3">
        <f ca="1">D_技能表!A3+10000000-1</f>
        <v>19111100</v>
      </c>
      <c r="L3" s="57">
        <v>20</v>
      </c>
      <c r="M3">
        <v>6000</v>
      </c>
    </row>
    <row r="4" spans="2:13" x14ac:dyDescent="0.15">
      <c r="B4" s="3">
        <v>2</v>
      </c>
      <c r="C4" s="3" t="s">
        <v>116</v>
      </c>
      <c r="D4" s="3">
        <v>1</v>
      </c>
      <c r="E4" s="3">
        <v>1</v>
      </c>
      <c r="F4" s="3">
        <v>2</v>
      </c>
      <c r="G4" s="3">
        <v>2</v>
      </c>
      <c r="H4" s="6">
        <v>26</v>
      </c>
      <c r="I4" s="6">
        <v>4</v>
      </c>
      <c r="J4" s="6">
        <v>15000</v>
      </c>
      <c r="K4">
        <f ca="1">D_技能表!A54+10000000-1</f>
        <v>19122100</v>
      </c>
      <c r="L4" s="57">
        <v>20</v>
      </c>
      <c r="M4">
        <v>5000</v>
      </c>
    </row>
    <row r="5" spans="2:13" x14ac:dyDescent="0.15">
      <c r="B5" s="3">
        <v>3</v>
      </c>
      <c r="C5" s="3" t="s">
        <v>87</v>
      </c>
      <c r="D5" s="3">
        <v>1</v>
      </c>
      <c r="E5" s="3">
        <v>1</v>
      </c>
      <c r="F5" s="3">
        <v>1</v>
      </c>
      <c r="G5" s="3">
        <v>3</v>
      </c>
      <c r="H5" s="6">
        <v>26</v>
      </c>
      <c r="I5" s="6">
        <v>5</v>
      </c>
      <c r="J5" s="6">
        <v>13000</v>
      </c>
      <c r="K5">
        <f ca="1">D_技能表!A258+10000000-1</f>
        <v>19113100</v>
      </c>
      <c r="L5" s="57">
        <v>20</v>
      </c>
      <c r="M5">
        <v>6000</v>
      </c>
    </row>
    <row r="6" spans="2:13" x14ac:dyDescent="0.15">
      <c r="B6" s="3">
        <v>4</v>
      </c>
      <c r="C6" s="3" t="s">
        <v>117</v>
      </c>
      <c r="D6" s="3">
        <v>1</v>
      </c>
      <c r="E6" s="3">
        <v>1</v>
      </c>
      <c r="F6" s="3">
        <v>2</v>
      </c>
      <c r="G6" s="3">
        <v>4</v>
      </c>
      <c r="H6" s="6">
        <v>26</v>
      </c>
      <c r="I6" s="6">
        <v>6</v>
      </c>
      <c r="J6" s="6">
        <v>13000</v>
      </c>
      <c r="K6">
        <f ca="1">D_技能表!A309+10000000-1</f>
        <v>19124100</v>
      </c>
      <c r="L6" s="57">
        <v>20</v>
      </c>
      <c r="M6">
        <v>5000</v>
      </c>
    </row>
    <row r="7" spans="2:13" x14ac:dyDescent="0.15">
      <c r="B7" s="3">
        <v>1</v>
      </c>
      <c r="C7" s="3" t="s">
        <v>92</v>
      </c>
      <c r="D7" s="3">
        <v>1</v>
      </c>
      <c r="E7" s="3">
        <v>2</v>
      </c>
      <c r="F7" s="3">
        <v>1</v>
      </c>
      <c r="G7" s="3">
        <v>1</v>
      </c>
      <c r="H7" s="6">
        <v>26</v>
      </c>
      <c r="I7" s="6">
        <v>2</v>
      </c>
      <c r="J7" s="6">
        <v>15000</v>
      </c>
      <c r="K7">
        <f ca="1">D_技能表!A513+10000000-1</f>
        <v>19211100</v>
      </c>
      <c r="L7" s="57">
        <v>20</v>
      </c>
      <c r="M7">
        <v>6000</v>
      </c>
    </row>
    <row r="8" spans="2:13" x14ac:dyDescent="0.15">
      <c r="B8" s="3">
        <v>2</v>
      </c>
      <c r="C8" s="3" t="s">
        <v>118</v>
      </c>
      <c r="D8" s="3">
        <v>1</v>
      </c>
      <c r="E8" s="3">
        <v>2</v>
      </c>
      <c r="F8" s="3">
        <v>2</v>
      </c>
      <c r="G8" s="3">
        <v>2</v>
      </c>
      <c r="H8" s="6">
        <v>26</v>
      </c>
      <c r="I8" s="6">
        <v>4</v>
      </c>
      <c r="J8" s="6">
        <v>15000</v>
      </c>
      <c r="K8">
        <f ca="1">D_技能表!A564+10000000-1</f>
        <v>19222100</v>
      </c>
      <c r="L8" s="57">
        <v>20</v>
      </c>
      <c r="M8">
        <v>5000</v>
      </c>
    </row>
    <row r="9" spans="2:13" x14ac:dyDescent="0.15">
      <c r="B9" s="3">
        <v>3</v>
      </c>
      <c r="C9" s="3" t="s">
        <v>97</v>
      </c>
      <c r="D9" s="3">
        <v>1</v>
      </c>
      <c r="E9" s="3">
        <v>2</v>
      </c>
      <c r="F9" s="3">
        <v>1</v>
      </c>
      <c r="G9" s="3">
        <v>3</v>
      </c>
      <c r="H9" s="6">
        <v>26</v>
      </c>
      <c r="I9" s="6">
        <v>5</v>
      </c>
      <c r="J9" s="6">
        <v>13000</v>
      </c>
      <c r="K9">
        <f ca="1">D_技能表!A768+10000000-1</f>
        <v>19213100</v>
      </c>
      <c r="L9" s="57">
        <v>20</v>
      </c>
      <c r="M9">
        <v>6000</v>
      </c>
    </row>
    <row r="10" spans="2:13" x14ac:dyDescent="0.15">
      <c r="B10" s="3">
        <v>4</v>
      </c>
      <c r="C10" s="3" t="s">
        <v>119</v>
      </c>
      <c r="D10" s="3">
        <v>1</v>
      </c>
      <c r="E10" s="3">
        <v>2</v>
      </c>
      <c r="F10" s="3">
        <v>2</v>
      </c>
      <c r="G10" s="3">
        <v>4</v>
      </c>
      <c r="H10" s="6">
        <v>26</v>
      </c>
      <c r="I10" s="6">
        <v>6</v>
      </c>
      <c r="J10" s="6">
        <v>13000</v>
      </c>
      <c r="K10">
        <f ca="1">D_技能表!A819+10000000-1</f>
        <v>19224100</v>
      </c>
      <c r="L10" s="57">
        <v>20</v>
      </c>
      <c r="M10">
        <v>5000</v>
      </c>
    </row>
    <row r="11" spans="2:13" x14ac:dyDescent="0.15">
      <c r="B11" s="3">
        <v>1</v>
      </c>
      <c r="C11" s="3" t="s">
        <v>102</v>
      </c>
      <c r="D11" s="3">
        <v>1</v>
      </c>
      <c r="E11" s="3">
        <v>3</v>
      </c>
      <c r="F11" s="3">
        <v>1</v>
      </c>
      <c r="G11" s="3">
        <v>1</v>
      </c>
      <c r="H11" s="6">
        <v>26</v>
      </c>
      <c r="I11" s="6">
        <v>2</v>
      </c>
      <c r="J11" s="6">
        <v>15000</v>
      </c>
      <c r="K11">
        <f ca="1">D_技能表!A1023+10000000-1</f>
        <v>19311100</v>
      </c>
      <c r="L11" s="57">
        <v>20</v>
      </c>
      <c r="M11">
        <v>6000</v>
      </c>
    </row>
    <row r="12" spans="2:13" x14ac:dyDescent="0.15">
      <c r="B12" s="3">
        <v>2</v>
      </c>
      <c r="C12" s="3" t="s">
        <v>120</v>
      </c>
      <c r="D12" s="3">
        <v>1</v>
      </c>
      <c r="E12" s="3">
        <v>3</v>
      </c>
      <c r="F12" s="3">
        <v>2</v>
      </c>
      <c r="G12" s="3">
        <v>2</v>
      </c>
      <c r="H12" s="6">
        <v>26</v>
      </c>
      <c r="I12" s="6">
        <v>4</v>
      </c>
      <c r="J12" s="6">
        <v>15000</v>
      </c>
      <c r="K12">
        <f ca="1">D_技能表!A1074+10000000-1</f>
        <v>19322100</v>
      </c>
      <c r="L12" s="57">
        <v>20</v>
      </c>
      <c r="M12">
        <v>5000</v>
      </c>
    </row>
    <row r="13" spans="2:13" x14ac:dyDescent="0.15">
      <c r="B13" s="3">
        <v>3</v>
      </c>
      <c r="C13" s="3" t="s">
        <v>10</v>
      </c>
      <c r="D13" s="3">
        <v>1</v>
      </c>
      <c r="E13" s="3">
        <v>3</v>
      </c>
      <c r="F13" s="3">
        <v>1</v>
      </c>
      <c r="G13" s="3">
        <v>3</v>
      </c>
      <c r="H13" s="6">
        <v>26</v>
      </c>
      <c r="I13" s="6">
        <v>5</v>
      </c>
      <c r="J13" s="6">
        <v>13000</v>
      </c>
      <c r="K13">
        <f ca="1">D_技能表!A1278+10000000-1</f>
        <v>19313100</v>
      </c>
      <c r="L13" s="57">
        <v>20</v>
      </c>
      <c r="M13">
        <v>6000</v>
      </c>
    </row>
    <row r="14" spans="2:13" x14ac:dyDescent="0.15">
      <c r="B14" s="3">
        <v>4</v>
      </c>
      <c r="C14" s="3" t="s">
        <v>121</v>
      </c>
      <c r="D14" s="3">
        <v>1</v>
      </c>
      <c r="E14" s="3">
        <v>3</v>
      </c>
      <c r="F14" s="3">
        <v>2</v>
      </c>
      <c r="G14" s="3">
        <v>4</v>
      </c>
      <c r="H14" s="6">
        <v>26</v>
      </c>
      <c r="I14" s="6">
        <v>6</v>
      </c>
      <c r="J14" s="6">
        <v>13000</v>
      </c>
      <c r="K14">
        <f ca="1">D_技能表!A1329+10000000-1</f>
        <v>19324100</v>
      </c>
      <c r="L14" s="57">
        <v>20</v>
      </c>
      <c r="M14">
        <v>5000</v>
      </c>
    </row>
  </sheetData>
  <phoneticPr fontId="1" type="noConversion"/>
  <conditionalFormatting sqref="B14:G14">
    <cfRule type="expression" dxfId="111" priority="85">
      <formula>$B14=4</formula>
    </cfRule>
    <cfRule type="expression" dxfId="110" priority="86">
      <formula>$B14=3</formula>
    </cfRule>
    <cfRule type="expression" dxfId="109" priority="87">
      <formula>$B14=2</formula>
    </cfRule>
    <cfRule type="expression" dxfId="108" priority="88">
      <formula>$B14=1</formula>
    </cfRule>
  </conditionalFormatting>
  <conditionalFormatting sqref="C3:J3 I4:J6 H4:H14 L3:L14">
    <cfRule type="expression" dxfId="107" priority="166">
      <formula>$E3=3</formula>
    </cfRule>
    <cfRule type="expression" dxfId="106" priority="167">
      <formula>$E3=2</formula>
    </cfRule>
    <cfRule type="expression" dxfId="105" priority="168">
      <formula>$E3=1</formula>
    </cfRule>
  </conditionalFormatting>
  <conditionalFormatting sqref="B3:J3 I4:J6 H4:H14 L3:L14">
    <cfRule type="expression" dxfId="104" priority="162">
      <formula>$B3=4</formula>
    </cfRule>
    <cfRule type="expression" dxfId="103" priority="163">
      <formula>$B3=3</formula>
    </cfRule>
    <cfRule type="expression" dxfId="102" priority="164">
      <formula>$B3=2</formula>
    </cfRule>
    <cfRule type="expression" dxfId="101" priority="165">
      <formula>$B3=1</formula>
    </cfRule>
  </conditionalFormatting>
  <conditionalFormatting sqref="C4:G4">
    <cfRule type="expression" dxfId="100" priority="159">
      <formula>$E4=3</formula>
    </cfRule>
    <cfRule type="expression" dxfId="99" priority="160">
      <formula>$E4=2</formula>
    </cfRule>
    <cfRule type="expression" dxfId="98" priority="161">
      <formula>$E4=1</formula>
    </cfRule>
  </conditionalFormatting>
  <conditionalFormatting sqref="B4:G4">
    <cfRule type="expression" dxfId="97" priority="155">
      <formula>$B4=4</formula>
    </cfRule>
    <cfRule type="expression" dxfId="96" priority="156">
      <formula>$B4=3</formula>
    </cfRule>
    <cfRule type="expression" dxfId="95" priority="157">
      <formula>$B4=2</formula>
    </cfRule>
    <cfRule type="expression" dxfId="94" priority="158">
      <formula>$B4=1</formula>
    </cfRule>
  </conditionalFormatting>
  <conditionalFormatting sqref="C5:G5">
    <cfRule type="expression" dxfId="93" priority="152">
      <formula>$E5=3</formula>
    </cfRule>
    <cfRule type="expression" dxfId="92" priority="153">
      <formula>$E5=2</formula>
    </cfRule>
    <cfRule type="expression" dxfId="91" priority="154">
      <formula>$E5=1</formula>
    </cfRule>
  </conditionalFormatting>
  <conditionalFormatting sqref="B5:G5">
    <cfRule type="expression" dxfId="90" priority="148">
      <formula>$B5=4</formula>
    </cfRule>
    <cfRule type="expression" dxfId="89" priority="149">
      <formula>$B5=3</formula>
    </cfRule>
    <cfRule type="expression" dxfId="88" priority="150">
      <formula>$B5=2</formula>
    </cfRule>
    <cfRule type="expression" dxfId="87" priority="151">
      <formula>$B5=1</formula>
    </cfRule>
  </conditionalFormatting>
  <conditionalFormatting sqref="C6:G6">
    <cfRule type="expression" dxfId="86" priority="145">
      <formula>$E6=3</formula>
    </cfRule>
    <cfRule type="expression" dxfId="85" priority="146">
      <formula>$E6=2</formula>
    </cfRule>
    <cfRule type="expression" dxfId="84" priority="147">
      <formula>$E6=1</formula>
    </cfRule>
  </conditionalFormatting>
  <conditionalFormatting sqref="B6:G6">
    <cfRule type="expression" dxfId="83" priority="141">
      <formula>$B6=4</formula>
    </cfRule>
    <cfRule type="expression" dxfId="82" priority="142">
      <formula>$B6=3</formula>
    </cfRule>
    <cfRule type="expression" dxfId="81" priority="143">
      <formula>$B6=2</formula>
    </cfRule>
    <cfRule type="expression" dxfId="80" priority="144">
      <formula>$B6=1</formula>
    </cfRule>
  </conditionalFormatting>
  <conditionalFormatting sqref="C7:G7">
    <cfRule type="expression" dxfId="79" priority="138">
      <formula>$E7=3</formula>
    </cfRule>
    <cfRule type="expression" dxfId="78" priority="139">
      <formula>$E7=2</formula>
    </cfRule>
    <cfRule type="expression" dxfId="77" priority="140">
      <formula>$E7=1</formula>
    </cfRule>
  </conditionalFormatting>
  <conditionalFormatting sqref="B7:G7">
    <cfRule type="expression" dxfId="76" priority="134">
      <formula>$B7=4</formula>
    </cfRule>
    <cfRule type="expression" dxfId="75" priority="135">
      <formula>$B7=3</formula>
    </cfRule>
    <cfRule type="expression" dxfId="74" priority="136">
      <formula>$B7=2</formula>
    </cfRule>
    <cfRule type="expression" dxfId="73" priority="137">
      <formula>$B7=1</formula>
    </cfRule>
  </conditionalFormatting>
  <conditionalFormatting sqref="C8:G8">
    <cfRule type="expression" dxfId="72" priority="131">
      <formula>$E8=3</formula>
    </cfRule>
    <cfRule type="expression" dxfId="71" priority="132">
      <formula>$E8=2</formula>
    </cfRule>
    <cfRule type="expression" dxfId="70" priority="133">
      <formula>$E8=1</formula>
    </cfRule>
  </conditionalFormatting>
  <conditionalFormatting sqref="B8:G8">
    <cfRule type="expression" dxfId="69" priority="127">
      <formula>$B8=4</formula>
    </cfRule>
    <cfRule type="expression" dxfId="68" priority="128">
      <formula>$B8=3</formula>
    </cfRule>
    <cfRule type="expression" dxfId="67" priority="129">
      <formula>$B8=2</formula>
    </cfRule>
    <cfRule type="expression" dxfId="66" priority="130">
      <formula>$B8=1</formula>
    </cfRule>
  </conditionalFormatting>
  <conditionalFormatting sqref="C9:G9">
    <cfRule type="expression" dxfId="65" priority="124">
      <formula>$E9=3</formula>
    </cfRule>
    <cfRule type="expression" dxfId="64" priority="125">
      <formula>$E9=2</formula>
    </cfRule>
    <cfRule type="expression" dxfId="63" priority="126">
      <formula>$E9=1</formula>
    </cfRule>
  </conditionalFormatting>
  <conditionalFormatting sqref="B9:G9">
    <cfRule type="expression" dxfId="62" priority="120">
      <formula>$B9=4</formula>
    </cfRule>
    <cfRule type="expression" dxfId="61" priority="121">
      <formula>$B9=3</formula>
    </cfRule>
    <cfRule type="expression" dxfId="60" priority="122">
      <formula>$B9=2</formula>
    </cfRule>
    <cfRule type="expression" dxfId="59" priority="123">
      <formula>$B9=1</formula>
    </cfRule>
  </conditionalFormatting>
  <conditionalFormatting sqref="C10:G10">
    <cfRule type="expression" dxfId="58" priority="117">
      <formula>$E10=3</formula>
    </cfRule>
    <cfRule type="expression" dxfId="57" priority="118">
      <formula>$E10=2</formula>
    </cfRule>
    <cfRule type="expression" dxfId="56" priority="119">
      <formula>$E10=1</formula>
    </cfRule>
  </conditionalFormatting>
  <conditionalFormatting sqref="B10:G10">
    <cfRule type="expression" dxfId="55" priority="113">
      <formula>$B10=4</formula>
    </cfRule>
    <cfRule type="expression" dxfId="54" priority="114">
      <formula>$B10=3</formula>
    </cfRule>
    <cfRule type="expression" dxfId="53" priority="115">
      <formula>$B10=2</formula>
    </cfRule>
    <cfRule type="expression" dxfId="52" priority="116">
      <formula>$B10=1</formula>
    </cfRule>
  </conditionalFormatting>
  <conditionalFormatting sqref="C11:G11">
    <cfRule type="expression" dxfId="51" priority="110">
      <formula>$E11=3</formula>
    </cfRule>
    <cfRule type="expression" dxfId="50" priority="111">
      <formula>$E11=2</formula>
    </cfRule>
    <cfRule type="expression" dxfId="49" priority="112">
      <formula>$E11=1</formula>
    </cfRule>
  </conditionalFormatting>
  <conditionalFormatting sqref="B11:G11">
    <cfRule type="expression" dxfId="48" priority="106">
      <formula>$B11=4</formula>
    </cfRule>
    <cfRule type="expression" dxfId="47" priority="107">
      <formula>$B11=3</formula>
    </cfRule>
    <cfRule type="expression" dxfId="46" priority="108">
      <formula>$B11=2</formula>
    </cfRule>
    <cfRule type="expression" dxfId="45" priority="109">
      <formula>$B11=1</formula>
    </cfRule>
  </conditionalFormatting>
  <conditionalFormatting sqref="C12:G12">
    <cfRule type="expression" dxfId="44" priority="103">
      <formula>$E12=3</formula>
    </cfRule>
    <cfRule type="expression" dxfId="43" priority="104">
      <formula>$E12=2</formula>
    </cfRule>
    <cfRule type="expression" dxfId="42" priority="105">
      <formula>$E12=1</formula>
    </cfRule>
  </conditionalFormatting>
  <conditionalFormatting sqref="B12:G12">
    <cfRule type="expression" dxfId="41" priority="99">
      <formula>$B12=4</formula>
    </cfRule>
    <cfRule type="expression" dxfId="40" priority="100">
      <formula>$B12=3</formula>
    </cfRule>
    <cfRule type="expression" dxfId="39" priority="101">
      <formula>$B12=2</formula>
    </cfRule>
    <cfRule type="expression" dxfId="38" priority="102">
      <formula>$B12=1</formula>
    </cfRule>
  </conditionalFormatting>
  <conditionalFormatting sqref="C13:G13">
    <cfRule type="expression" dxfId="37" priority="96">
      <formula>$E13=3</formula>
    </cfRule>
    <cfRule type="expression" dxfId="36" priority="97">
      <formula>$E13=2</formula>
    </cfRule>
    <cfRule type="expression" dxfId="35" priority="98">
      <formula>$E13=1</formula>
    </cfRule>
  </conditionalFormatting>
  <conditionalFormatting sqref="B13:G13">
    <cfRule type="expression" dxfId="34" priority="92">
      <formula>$B13=4</formula>
    </cfRule>
    <cfRule type="expression" dxfId="33" priority="93">
      <formula>$B13=3</formula>
    </cfRule>
    <cfRule type="expression" dxfId="32" priority="94">
      <formula>$B13=2</formula>
    </cfRule>
    <cfRule type="expression" dxfId="31" priority="95">
      <formula>$B13=1</formula>
    </cfRule>
  </conditionalFormatting>
  <conditionalFormatting sqref="C14:G14">
    <cfRule type="expression" dxfId="30" priority="89">
      <formula>$E14=3</formula>
    </cfRule>
    <cfRule type="expression" dxfId="29" priority="90">
      <formula>$E14=2</formula>
    </cfRule>
    <cfRule type="expression" dxfId="28" priority="91">
      <formula>$E14=1</formula>
    </cfRule>
  </conditionalFormatting>
  <conditionalFormatting sqref="I7:I10">
    <cfRule type="expression" dxfId="27" priority="40">
      <formula>$E7=3</formula>
    </cfRule>
    <cfRule type="expression" dxfId="26" priority="41">
      <formula>$E7=2</formula>
    </cfRule>
    <cfRule type="expression" dxfId="25" priority="42">
      <formula>$E7=1</formula>
    </cfRule>
  </conditionalFormatting>
  <conditionalFormatting sqref="I7:I10">
    <cfRule type="expression" dxfId="24" priority="36">
      <formula>$B7=4</formula>
    </cfRule>
    <cfRule type="expression" dxfId="23" priority="37">
      <formula>$B7=3</formula>
    </cfRule>
    <cfRule type="expression" dxfId="22" priority="38">
      <formula>$B7=2</formula>
    </cfRule>
    <cfRule type="expression" dxfId="21" priority="39">
      <formula>$B7=1</formula>
    </cfRule>
  </conditionalFormatting>
  <conditionalFormatting sqref="I11:I14">
    <cfRule type="expression" dxfId="20" priority="33">
      <formula>$E11=3</formula>
    </cfRule>
    <cfRule type="expression" dxfId="19" priority="34">
      <formula>$E11=2</formula>
    </cfRule>
    <cfRule type="expression" dxfId="18" priority="35">
      <formula>$E11=1</formula>
    </cfRule>
  </conditionalFormatting>
  <conditionalFormatting sqref="I11:I14">
    <cfRule type="expression" dxfId="17" priority="29">
      <formula>$B11=4</formula>
    </cfRule>
    <cfRule type="expression" dxfId="16" priority="30">
      <formula>$B11=3</formula>
    </cfRule>
    <cfRule type="expression" dxfId="15" priority="31">
      <formula>$B11=2</formula>
    </cfRule>
    <cfRule type="expression" dxfId="14" priority="32">
      <formula>$B11=1</formula>
    </cfRule>
  </conditionalFormatting>
  <conditionalFormatting sqref="J7:J10">
    <cfRule type="expression" dxfId="13" priority="12">
      <formula>$E7=3</formula>
    </cfRule>
    <cfRule type="expression" dxfId="12" priority="13">
      <formula>$E7=2</formula>
    </cfRule>
    <cfRule type="expression" dxfId="11" priority="14">
      <formula>$E7=1</formula>
    </cfRule>
  </conditionalFormatting>
  <conditionalFormatting sqref="J7:J10">
    <cfRule type="expression" dxfId="10" priority="8">
      <formula>$B7=4</formula>
    </cfRule>
    <cfRule type="expression" dxfId="9" priority="9">
      <formula>$B7=3</formula>
    </cfRule>
    <cfRule type="expression" dxfId="8" priority="10">
      <formula>$B7=2</formula>
    </cfRule>
    <cfRule type="expression" dxfId="7" priority="11">
      <formula>$B7=1</formula>
    </cfRule>
  </conditionalFormatting>
  <conditionalFormatting sqref="J11:J14">
    <cfRule type="expression" dxfId="6" priority="5">
      <formula>$E11=3</formula>
    </cfRule>
    <cfRule type="expression" dxfId="5" priority="6">
      <formula>$E11=2</formula>
    </cfRule>
    <cfRule type="expression" dxfId="4" priority="7">
      <formula>$E11=1</formula>
    </cfRule>
  </conditionalFormatting>
  <conditionalFormatting sqref="J11:J14">
    <cfRule type="expression" dxfId="3" priority="1">
      <formula>$B11=4</formula>
    </cfRule>
    <cfRule type="expression" dxfId="2" priority="2">
      <formula>$B11=3</formula>
    </cfRule>
    <cfRule type="expression" dxfId="1" priority="3">
      <formula>$B11=2</formula>
    </cfRule>
    <cfRule type="expression" dxfId="0" priority="4">
      <formula>$B11=1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1"/>
  <sheetViews>
    <sheetView workbookViewId="0">
      <selection activeCell="C18" sqref="C18"/>
    </sheetView>
  </sheetViews>
  <sheetFormatPr defaultRowHeight="13.5" x14ac:dyDescent="0.15"/>
  <sheetData>
    <row r="1" spans="1:3" x14ac:dyDescent="0.15">
      <c r="A1" t="s">
        <v>197</v>
      </c>
      <c r="B1" t="s">
        <v>199</v>
      </c>
      <c r="C1" t="s">
        <v>198</v>
      </c>
    </row>
    <row r="2" spans="1:3" x14ac:dyDescent="0.15">
      <c r="A2">
        <v>1</v>
      </c>
      <c r="B2" s="34">
        <f t="shared" ref="B2:B15" si="0">B3</f>
        <v>0</v>
      </c>
      <c r="C2" s="34">
        <f t="shared" ref="C2:C15" si="1">C3</f>
        <v>2.2763925741477758E-2</v>
      </c>
    </row>
    <row r="3" spans="1:3" x14ac:dyDescent="0.15">
      <c r="A3">
        <v>2</v>
      </c>
      <c r="B3" s="34">
        <f t="shared" si="0"/>
        <v>0</v>
      </c>
      <c r="C3" s="34">
        <f t="shared" si="1"/>
        <v>2.2763925741477758E-2</v>
      </c>
    </row>
    <row r="4" spans="1:3" x14ac:dyDescent="0.15">
      <c r="A4">
        <v>3</v>
      </c>
      <c r="B4" s="34">
        <f t="shared" si="0"/>
        <v>0</v>
      </c>
      <c r="C4" s="34">
        <f t="shared" si="1"/>
        <v>2.2763925741477758E-2</v>
      </c>
    </row>
    <row r="5" spans="1:3" x14ac:dyDescent="0.15">
      <c r="A5">
        <v>4</v>
      </c>
      <c r="B5" s="34">
        <f t="shared" si="0"/>
        <v>0</v>
      </c>
      <c r="C5" s="34">
        <f t="shared" si="1"/>
        <v>2.2763925741477758E-2</v>
      </c>
    </row>
    <row r="6" spans="1:3" x14ac:dyDescent="0.15">
      <c r="A6">
        <v>5</v>
      </c>
      <c r="B6" s="34">
        <f t="shared" si="0"/>
        <v>0</v>
      </c>
      <c r="C6" s="34">
        <f t="shared" si="1"/>
        <v>2.2763925741477758E-2</v>
      </c>
    </row>
    <row r="7" spans="1:3" x14ac:dyDescent="0.15">
      <c r="A7">
        <v>6</v>
      </c>
      <c r="B7" s="34">
        <f t="shared" si="0"/>
        <v>0</v>
      </c>
      <c r="C7" s="34">
        <f t="shared" si="1"/>
        <v>2.2763925741477758E-2</v>
      </c>
    </row>
    <row r="8" spans="1:3" x14ac:dyDescent="0.15">
      <c r="A8">
        <v>7</v>
      </c>
      <c r="B8" s="34">
        <f t="shared" si="0"/>
        <v>0</v>
      </c>
      <c r="C8" s="34">
        <f t="shared" si="1"/>
        <v>2.2763925741477758E-2</v>
      </c>
    </row>
    <row r="9" spans="1:3" x14ac:dyDescent="0.15">
      <c r="A9">
        <v>8</v>
      </c>
      <c r="B9" s="34">
        <f t="shared" si="0"/>
        <v>0</v>
      </c>
      <c r="C9" s="34">
        <f t="shared" si="1"/>
        <v>2.2763925741477758E-2</v>
      </c>
    </row>
    <row r="10" spans="1:3" x14ac:dyDescent="0.15">
      <c r="A10">
        <v>9</v>
      </c>
      <c r="B10" s="34">
        <f t="shared" si="0"/>
        <v>0</v>
      </c>
      <c r="C10" s="34">
        <f t="shared" si="1"/>
        <v>2.2763925741477758E-2</v>
      </c>
    </row>
    <row r="11" spans="1:3" x14ac:dyDescent="0.15">
      <c r="A11">
        <v>10</v>
      </c>
      <c r="B11" s="34">
        <f t="shared" si="0"/>
        <v>0</v>
      </c>
      <c r="C11" s="34">
        <f t="shared" si="1"/>
        <v>2.2763925741477758E-2</v>
      </c>
    </row>
    <row r="12" spans="1:3" x14ac:dyDescent="0.15">
      <c r="A12">
        <v>11</v>
      </c>
      <c r="B12" s="34">
        <f t="shared" si="0"/>
        <v>0</v>
      </c>
      <c r="C12" s="34">
        <f t="shared" si="1"/>
        <v>2.2763925741477758E-2</v>
      </c>
    </row>
    <row r="13" spans="1:3" x14ac:dyDescent="0.15">
      <c r="A13">
        <v>12</v>
      </c>
      <c r="B13" s="34">
        <f t="shared" si="0"/>
        <v>0</v>
      </c>
      <c r="C13" s="34">
        <f t="shared" si="1"/>
        <v>2.2763925741477758E-2</v>
      </c>
    </row>
    <row r="14" spans="1:3" x14ac:dyDescent="0.15">
      <c r="A14">
        <v>13</v>
      </c>
      <c r="B14" s="34">
        <f t="shared" si="0"/>
        <v>0</v>
      </c>
      <c r="C14" s="34">
        <f t="shared" si="1"/>
        <v>2.2763925741477758E-2</v>
      </c>
    </row>
    <row r="15" spans="1:3" x14ac:dyDescent="0.15">
      <c r="A15">
        <v>14</v>
      </c>
      <c r="B15" s="34">
        <f t="shared" si="0"/>
        <v>0</v>
      </c>
      <c r="C15" s="34">
        <f t="shared" si="1"/>
        <v>2.2763925741477758E-2</v>
      </c>
    </row>
    <row r="16" spans="1:3" x14ac:dyDescent="0.15">
      <c r="A16">
        <v>15</v>
      </c>
      <c r="B16" s="34">
        <f>B17</f>
        <v>0</v>
      </c>
      <c r="C16" s="34">
        <f>C17</f>
        <v>2.2763925741477758E-2</v>
      </c>
    </row>
    <row r="17" spans="1:3" x14ac:dyDescent="0.15">
      <c r="A17">
        <v>16</v>
      </c>
      <c r="B17">
        <f>[1]升级时间!K19</f>
        <v>0</v>
      </c>
      <c r="C17">
        <f>[1]升级时间!L19</f>
        <v>2.2763925741477758E-2</v>
      </c>
    </row>
    <row r="18" spans="1:3" x14ac:dyDescent="0.15">
      <c r="A18">
        <v>17</v>
      </c>
      <c r="B18">
        <f>[1]升级时间!K20</f>
        <v>0</v>
      </c>
      <c r="C18">
        <f>[1]升级时间!$L20</f>
        <v>2.2763925741477758E-2</v>
      </c>
    </row>
    <row r="19" spans="1:3" x14ac:dyDescent="0.15">
      <c r="A19">
        <v>18</v>
      </c>
      <c r="B19">
        <f>[1]升级时间!K21</f>
        <v>0</v>
      </c>
      <c r="C19">
        <f>[1]升级时间!$L21</f>
        <v>2.2763925741477758E-2</v>
      </c>
    </row>
    <row r="20" spans="1:3" x14ac:dyDescent="0.15">
      <c r="A20">
        <v>19</v>
      </c>
      <c r="B20">
        <f>[1]升级时间!K22</f>
        <v>0</v>
      </c>
      <c r="C20">
        <f>[1]升级时间!$L22</f>
        <v>2.2763925741477758E-2</v>
      </c>
    </row>
    <row r="21" spans="1:3" x14ac:dyDescent="0.15">
      <c r="A21">
        <v>20</v>
      </c>
      <c r="B21">
        <f>[1]升级时间!K23</f>
        <v>0</v>
      </c>
      <c r="C21">
        <f>[1]升级时间!$L23</f>
        <v>2.2763925741477758E-2</v>
      </c>
    </row>
    <row r="22" spans="1:3" x14ac:dyDescent="0.15">
      <c r="A22">
        <v>21</v>
      </c>
      <c r="B22">
        <f>[1]升级时间!K24</f>
        <v>0</v>
      </c>
      <c r="C22">
        <f>[1]升级时间!$L24</f>
        <v>2.2763925741477758E-2</v>
      </c>
    </row>
    <row r="23" spans="1:3" x14ac:dyDescent="0.15">
      <c r="A23">
        <v>22</v>
      </c>
      <c r="B23">
        <f>[1]升级时间!K25</f>
        <v>0</v>
      </c>
      <c r="C23">
        <f>[1]升级时间!$L25</f>
        <v>2.2763925741477758E-2</v>
      </c>
    </row>
    <row r="24" spans="1:3" x14ac:dyDescent="0.15">
      <c r="A24">
        <v>23</v>
      </c>
      <c r="B24">
        <f>[1]升级时间!K26</f>
        <v>0</v>
      </c>
      <c r="C24">
        <f>[1]升级时间!$L26</f>
        <v>2.2763925741477758E-2</v>
      </c>
    </row>
    <row r="25" spans="1:3" x14ac:dyDescent="0.15">
      <c r="A25">
        <v>24</v>
      </c>
      <c r="B25">
        <f>[1]升级时间!K27</f>
        <v>0</v>
      </c>
      <c r="C25">
        <f>[1]升级时间!$L27</f>
        <v>2.2763925741477758E-2</v>
      </c>
    </row>
    <row r="26" spans="1:3" x14ac:dyDescent="0.15">
      <c r="A26">
        <v>25</v>
      </c>
      <c r="B26">
        <f>[1]升级时间!K28</f>
        <v>0</v>
      </c>
      <c r="C26">
        <f>[1]升级时间!$L28</f>
        <v>2.2763925741477758E-2</v>
      </c>
    </row>
    <row r="27" spans="1:3" x14ac:dyDescent="0.15">
      <c r="A27">
        <v>26</v>
      </c>
      <c r="B27">
        <f>[1]升级时间!K29</f>
        <v>0</v>
      </c>
      <c r="C27">
        <f>[1]升级时间!$L29</f>
        <v>2.2763925741477758E-2</v>
      </c>
    </row>
    <row r="28" spans="1:3" x14ac:dyDescent="0.15">
      <c r="A28">
        <v>27</v>
      </c>
      <c r="B28">
        <f>[1]升级时间!K30</f>
        <v>0.22327960665936386</v>
      </c>
      <c r="C28">
        <f>[1]升级时间!$L30</f>
        <v>0.24604353240084162</v>
      </c>
    </row>
    <row r="29" spans="1:3" x14ac:dyDescent="0.15">
      <c r="A29">
        <v>28</v>
      </c>
      <c r="B29">
        <f>[1]升级时间!K31</f>
        <v>0.10496609525786471</v>
      </c>
      <c r="C29">
        <f>[1]升级时间!$L31</f>
        <v>0.35100962765870636</v>
      </c>
    </row>
    <row r="30" spans="1:3" x14ac:dyDescent="0.15">
      <c r="A30">
        <v>29</v>
      </c>
      <c r="B30">
        <f>[1]升级时间!K32</f>
        <v>0.20197410843763797</v>
      </c>
      <c r="C30">
        <f>[1]升级时间!$L32</f>
        <v>0.55298373609634432</v>
      </c>
    </row>
    <row r="31" spans="1:3" x14ac:dyDescent="0.15">
      <c r="A31">
        <v>30</v>
      </c>
      <c r="B31">
        <f>[1]升级时间!K33</f>
        <v>0.24705904283657248</v>
      </c>
      <c r="C31">
        <f>[1]升级时间!$L33</f>
        <v>0.80004277893291675</v>
      </c>
    </row>
    <row r="32" spans="1:3" x14ac:dyDescent="0.15">
      <c r="A32">
        <v>31</v>
      </c>
      <c r="B32">
        <f>[1]升级时间!K34</f>
        <v>0.35201515299786718</v>
      </c>
      <c r="C32">
        <f>[1]升级时间!$L34</f>
        <v>1.152057931930784</v>
      </c>
    </row>
    <row r="33" spans="1:3" x14ac:dyDescent="0.15">
      <c r="A33">
        <v>32</v>
      </c>
      <c r="B33">
        <f>[1]升级时间!K35</f>
        <v>0.46400855023894211</v>
      </c>
      <c r="C33">
        <f>[1]升级时间!$L35</f>
        <v>1.6160664821697261</v>
      </c>
    </row>
    <row r="34" spans="1:3" x14ac:dyDescent="0.15">
      <c r="A34">
        <v>33</v>
      </c>
      <c r="B34">
        <f>[1]升级时间!K36</f>
        <v>0.41097756545916919</v>
      </c>
      <c r="C34">
        <f>[1]升级时间!$L36</f>
        <v>2.0270440476288956</v>
      </c>
    </row>
    <row r="35" spans="1:3" x14ac:dyDescent="0.15">
      <c r="A35">
        <v>34</v>
      </c>
      <c r="B35">
        <f>[1]升级时间!K37</f>
        <v>0.58776427017050703</v>
      </c>
      <c r="C35">
        <f>[1]升级时间!$L37</f>
        <v>2.6148083177994028</v>
      </c>
    </row>
    <row r="36" spans="1:3" x14ac:dyDescent="0.15">
      <c r="A36">
        <v>35</v>
      </c>
      <c r="B36">
        <f>[1]升级时间!K38</f>
        <v>0.56615479075265474</v>
      </c>
      <c r="C36">
        <f>[1]升级时间!$L38</f>
        <v>3.1809631085520573</v>
      </c>
    </row>
    <row r="37" spans="1:3" x14ac:dyDescent="0.15">
      <c r="A37">
        <v>36</v>
      </c>
      <c r="B37">
        <f>[1]升级时间!K39</f>
        <v>0.6928818493982255</v>
      </c>
      <c r="C37">
        <f>[1]升级时间!$L39</f>
        <v>3.8738449579502827</v>
      </c>
    </row>
    <row r="38" spans="1:3" x14ac:dyDescent="0.15">
      <c r="A38">
        <v>37</v>
      </c>
      <c r="B38">
        <f>[1]升级时间!K40</f>
        <v>0.59312806313053945</v>
      </c>
      <c r="C38">
        <f>[1]升级时间!$L40</f>
        <v>4.4669730210808218</v>
      </c>
    </row>
    <row r="39" spans="1:3" x14ac:dyDescent="0.15">
      <c r="A39">
        <v>38</v>
      </c>
      <c r="B39">
        <f>[1]升级时间!K41</f>
        <v>0.78993830842812307</v>
      </c>
      <c r="C39">
        <f>[1]升级时间!$L41</f>
        <v>5.2569113295089451</v>
      </c>
    </row>
    <row r="40" spans="1:3" x14ac:dyDescent="0.15">
      <c r="A40">
        <v>39</v>
      </c>
      <c r="B40">
        <f>[1]升级时间!K42</f>
        <v>0.80569637808046635</v>
      </c>
      <c r="C40">
        <f>[1]升级时间!$L42</f>
        <v>6.0626077075894118</v>
      </c>
    </row>
    <row r="41" spans="1:3" x14ac:dyDescent="0.15">
      <c r="A41">
        <v>40</v>
      </c>
      <c r="B41">
        <f>[1]升级时间!K43</f>
        <v>0.96060699133404548</v>
      </c>
      <c r="C41">
        <f>[1]升级时间!$L43</f>
        <v>7.0232146989234572</v>
      </c>
    </row>
    <row r="42" spans="1:3" x14ac:dyDescent="0.15">
      <c r="A42">
        <v>41</v>
      </c>
      <c r="B42">
        <f>[1]升级时间!K44</f>
        <v>1.1375857698043312</v>
      </c>
      <c r="C42">
        <f>[1]升级时间!$L44</f>
        <v>8.1608004687277891</v>
      </c>
    </row>
    <row r="43" spans="1:3" x14ac:dyDescent="0.15">
      <c r="A43">
        <v>42</v>
      </c>
      <c r="B43">
        <f>[1]升级时间!K45</f>
        <v>1.080293200206131</v>
      </c>
      <c r="C43">
        <f>[1]升级时间!$L45</f>
        <v>9.2410936689339209</v>
      </c>
    </row>
    <row r="44" spans="1:3" x14ac:dyDescent="0.15">
      <c r="A44">
        <v>43</v>
      </c>
      <c r="B44">
        <f>[1]升级时间!K46</f>
        <v>1.3570262301120297</v>
      </c>
      <c r="C44">
        <f>[1]升级时间!$L46</f>
        <v>10.598119899045951</v>
      </c>
    </row>
    <row r="45" spans="1:3" x14ac:dyDescent="0.15">
      <c r="A45">
        <v>44</v>
      </c>
      <c r="B45">
        <f>[1]升级时间!K47</f>
        <v>1.3894274689779536</v>
      </c>
      <c r="C45">
        <f>[1]升级时间!$L47</f>
        <v>11.987547368023904</v>
      </c>
    </row>
    <row r="46" spans="1:3" x14ac:dyDescent="0.15">
      <c r="A46">
        <v>45</v>
      </c>
      <c r="B46">
        <f>[1]升级时间!K48</f>
        <v>1.6087734650323986</v>
      </c>
      <c r="C46">
        <f>[1]升级时间!$L48</f>
        <v>13.596320833056303</v>
      </c>
    </row>
    <row r="47" spans="1:3" x14ac:dyDescent="0.15">
      <c r="A47">
        <v>46</v>
      </c>
      <c r="B47">
        <f>[1]升级时间!K49</f>
        <v>1.4485620915145954</v>
      </c>
      <c r="C47">
        <f>[1]升级时间!$L49</f>
        <v>15.044882924570899</v>
      </c>
    </row>
    <row r="48" spans="1:3" x14ac:dyDescent="0.15">
      <c r="A48">
        <v>47</v>
      </c>
      <c r="B48">
        <f>[1]升级时间!K50</f>
        <v>1.779423138534705</v>
      </c>
      <c r="C48">
        <f>[1]升级时间!$L50</f>
        <v>16.824306063105603</v>
      </c>
    </row>
    <row r="49" spans="1:3" x14ac:dyDescent="0.15">
      <c r="A49">
        <v>48</v>
      </c>
      <c r="B49">
        <f>[1]升级时间!K51</f>
        <v>1.806865004104824</v>
      </c>
      <c r="C49">
        <f>[1]升级时间!$L51</f>
        <v>18.631171067210428</v>
      </c>
    </row>
    <row r="50" spans="1:3" x14ac:dyDescent="0.15">
      <c r="A50">
        <v>49</v>
      </c>
      <c r="B50">
        <f>[1]升级时间!K52</f>
        <v>2.0697590209090966</v>
      </c>
      <c r="C50">
        <f>[1]升级时间!$L52</f>
        <v>20.700930088119524</v>
      </c>
    </row>
    <row r="51" spans="1:3" x14ac:dyDescent="0.15">
      <c r="A51">
        <v>50</v>
      </c>
      <c r="B51">
        <f>[1]升级时间!K53</f>
        <v>2.2240681391493489</v>
      </c>
      <c r="C51">
        <f>[1]升级时间!$L53</f>
        <v>22.924998227268873</v>
      </c>
    </row>
    <row r="52" spans="1:3" x14ac:dyDescent="0.15">
      <c r="A52">
        <v>51</v>
      </c>
      <c r="B52">
        <f>[1]升级时间!K54</f>
        <v>2.2359953333160996</v>
      </c>
      <c r="C52">
        <f>[1]升级时间!$L54</f>
        <v>25.160993560584973</v>
      </c>
    </row>
    <row r="53" spans="1:3" x14ac:dyDescent="0.15">
      <c r="A53">
        <v>52</v>
      </c>
      <c r="B53">
        <f>[1]升级时间!K55</f>
        <v>2.1443963678378539</v>
      </c>
      <c r="C53">
        <f>[1]升级时间!$L55</f>
        <v>27.305389928422827</v>
      </c>
    </row>
    <row r="54" spans="1:3" x14ac:dyDescent="0.15">
      <c r="A54">
        <v>53</v>
      </c>
      <c r="B54">
        <f>[1]升级时间!K56</f>
        <v>2.7427832277531237</v>
      </c>
      <c r="C54">
        <f>[1]升级时间!$L56</f>
        <v>30.048173156175949</v>
      </c>
    </row>
    <row r="55" spans="1:3" x14ac:dyDescent="0.15">
      <c r="A55">
        <v>54</v>
      </c>
      <c r="B55">
        <f>[1]升级时间!K57</f>
        <v>2.9366354902577791</v>
      </c>
      <c r="C55">
        <f>[1]升级时间!$L57</f>
        <v>32.984808646433727</v>
      </c>
    </row>
    <row r="56" spans="1:3" x14ac:dyDescent="0.15">
      <c r="A56">
        <v>55</v>
      </c>
      <c r="B56">
        <f>[1]升级时间!K58</f>
        <v>3.141094941250651</v>
      </c>
      <c r="C56">
        <f>[1]升级时间!$L58</f>
        <v>36.125903587684377</v>
      </c>
    </row>
    <row r="57" spans="1:3" x14ac:dyDescent="0.15">
      <c r="A57">
        <v>56</v>
      </c>
      <c r="B57">
        <f>[1]升级时间!K59</f>
        <v>3.3329671952375062</v>
      </c>
      <c r="C57">
        <f>[1]升级时间!$L59</f>
        <v>39.458870782921885</v>
      </c>
    </row>
    <row r="58" spans="1:3" x14ac:dyDescent="0.15">
      <c r="A58">
        <v>57</v>
      </c>
      <c r="B58">
        <f>[1]升级时间!K60</f>
        <v>3.5550110075908443</v>
      </c>
      <c r="C58">
        <f>[1]升级时间!$L60</f>
        <v>43.013881790512727</v>
      </c>
    </row>
    <row r="59" spans="1:3" x14ac:dyDescent="0.15">
      <c r="A59">
        <v>58</v>
      </c>
      <c r="B59">
        <f>[1]升级时间!K61</f>
        <v>3.7886991557512468</v>
      </c>
      <c r="C59">
        <f>[1]升级时间!$L61</f>
        <v>46.802580946263973</v>
      </c>
    </row>
    <row r="60" spans="1:3" x14ac:dyDescent="0.15">
      <c r="A60">
        <v>59</v>
      </c>
      <c r="B60">
        <f>[1]升级时间!K62</f>
        <v>3.7516447106324096</v>
      </c>
      <c r="C60">
        <f>[1]升级时间!$L62</f>
        <v>50.554225656896385</v>
      </c>
    </row>
    <row r="61" spans="1:3" x14ac:dyDescent="0.15">
      <c r="A61">
        <v>60</v>
      </c>
      <c r="B61">
        <f>[1]升级时间!K63</f>
        <v>4.2704626415545279</v>
      </c>
      <c r="C61">
        <f>[1]升级时间!$L63</f>
        <v>54.824688298450916</v>
      </c>
    </row>
    <row r="62" spans="1:3" x14ac:dyDescent="0.15">
      <c r="A62">
        <v>61</v>
      </c>
      <c r="B62">
        <f>[1]升级时间!K64</f>
        <v>4.1644962936680985</v>
      </c>
      <c r="C62">
        <f>[1]升级时间!$L64</f>
        <v>58.989184592119017</v>
      </c>
    </row>
    <row r="63" spans="1:3" x14ac:dyDescent="0.15">
      <c r="A63">
        <v>62</v>
      </c>
      <c r="B63">
        <f>[1]升级时间!K65</f>
        <v>4.8245744145166034</v>
      </c>
      <c r="C63">
        <f>[1]升级时间!$L65</f>
        <v>63.813759006635621</v>
      </c>
    </row>
    <row r="64" spans="1:3" x14ac:dyDescent="0.15">
      <c r="A64">
        <v>63</v>
      </c>
      <c r="B64">
        <f>[1]升级时间!K66</f>
        <v>5.1216754449583952</v>
      </c>
      <c r="C64">
        <f>[1]升级时间!$L66</f>
        <v>68.93543445159402</v>
      </c>
    </row>
    <row r="65" spans="1:3" x14ac:dyDescent="0.15">
      <c r="A65">
        <v>64</v>
      </c>
      <c r="B65">
        <f>[1]升级时间!K67</f>
        <v>5.425693461696504</v>
      </c>
      <c r="C65">
        <f>[1]升级时间!$L67</f>
        <v>74.361127913290517</v>
      </c>
    </row>
    <row r="66" spans="1:3" x14ac:dyDescent="0.15">
      <c r="A66">
        <v>65</v>
      </c>
      <c r="B66">
        <f>[1]升级时间!K68</f>
        <v>5.7110309100017034</v>
      </c>
      <c r="C66">
        <f>[1]升级时间!$L68</f>
        <v>80.072158823292227</v>
      </c>
    </row>
    <row r="67" spans="1:3" x14ac:dyDescent="0.15">
      <c r="A67">
        <v>66</v>
      </c>
      <c r="B67">
        <f>[1]升级时间!K69</f>
        <v>6.0346235274151026</v>
      </c>
      <c r="C67">
        <f>[1]升级时间!$L69</f>
        <v>86.106782350707334</v>
      </c>
    </row>
    <row r="68" spans="1:3" x14ac:dyDescent="0.15">
      <c r="A68">
        <v>67</v>
      </c>
      <c r="B68">
        <f>[1]升级时间!K70</f>
        <v>6.3733676386204339</v>
      </c>
      <c r="C68">
        <f>[1]升级时间!$L70</f>
        <v>92.480149989327771</v>
      </c>
    </row>
    <row r="69" spans="1:3" x14ac:dyDescent="0.15">
      <c r="A69">
        <v>68</v>
      </c>
      <c r="B69">
        <f>[1]升级时间!K71</f>
        <v>6.7275926239175217</v>
      </c>
      <c r="C69">
        <f>[1]升级时间!$L71</f>
        <v>99.207742613245287</v>
      </c>
    </row>
    <row r="70" spans="1:3" x14ac:dyDescent="0.15">
      <c r="A70">
        <v>69</v>
      </c>
      <c r="B70">
        <f>[1]升级时间!K72</f>
        <v>7.0977690265918296</v>
      </c>
      <c r="C70">
        <f>[1]升级时间!$L72</f>
        <v>106.30551163983712</v>
      </c>
    </row>
    <row r="71" spans="1:3" x14ac:dyDescent="0.15">
      <c r="A71">
        <v>70</v>
      </c>
      <c r="B71">
        <f>[1]升级时间!K73</f>
        <v>6.9301518117080239</v>
      </c>
      <c r="C71">
        <f>[1]升级时间!$L73</f>
        <v>113.23566345154515</v>
      </c>
    </row>
    <row r="72" spans="1:3" x14ac:dyDescent="0.15">
      <c r="A72">
        <v>71</v>
      </c>
      <c r="B72">
        <f>[1]升级时间!K74</f>
        <v>7.8493220381760178</v>
      </c>
      <c r="C72">
        <f>[1]升级时间!$L74</f>
        <v>121.08498548972116</v>
      </c>
    </row>
    <row r="73" spans="1:3" x14ac:dyDescent="0.15">
      <c r="A73">
        <v>72</v>
      </c>
      <c r="B73">
        <f>[1]升级时间!K75</f>
        <v>8.2456205600163397</v>
      </c>
      <c r="C73">
        <f>[1]升级时间!$L75</f>
        <v>129.3306060497375</v>
      </c>
    </row>
    <row r="74" spans="1:3" x14ac:dyDescent="0.15">
      <c r="A74">
        <v>73</v>
      </c>
      <c r="B74">
        <f>[1]升级时间!K76</f>
        <v>8.659531305806663</v>
      </c>
      <c r="C74">
        <f>[1]升级时间!$L76</f>
        <v>137.99013735554416</v>
      </c>
    </row>
    <row r="75" spans="1:3" x14ac:dyDescent="0.15">
      <c r="A75">
        <v>74</v>
      </c>
      <c r="B75">
        <f>[1]升级时间!K77</f>
        <v>9.084479045272321</v>
      </c>
      <c r="C75">
        <f>[1]升级时间!$L77</f>
        <v>147.0746164008165</v>
      </c>
    </row>
    <row r="76" spans="1:3" x14ac:dyDescent="0.15">
      <c r="A76">
        <v>75</v>
      </c>
      <c r="B76">
        <f>[1]升级时间!K78</f>
        <v>10.279386249901554</v>
      </c>
      <c r="C76">
        <f>[1]升级时间!$L78</f>
        <v>157.35400265071806</v>
      </c>
    </row>
    <row r="77" spans="1:3" x14ac:dyDescent="0.15">
      <c r="A77">
        <v>76</v>
      </c>
      <c r="B77">
        <f>[1]升级时间!K79</f>
        <v>10.788778732466158</v>
      </c>
      <c r="C77">
        <f>[1]升级时间!$L79</f>
        <v>168.14278138318423</v>
      </c>
    </row>
    <row r="78" spans="1:3" x14ac:dyDescent="0.15">
      <c r="A78">
        <v>77</v>
      </c>
      <c r="B78">
        <f>[1]升级时间!K80</f>
        <v>11.317615110271564</v>
      </c>
      <c r="C78">
        <f>[1]升级时间!$L80</f>
        <v>179.46039649345579</v>
      </c>
    </row>
    <row r="79" spans="1:3" x14ac:dyDescent="0.15">
      <c r="A79">
        <v>78</v>
      </c>
      <c r="B79">
        <f>[1]升级时间!K81</f>
        <v>11.866318076692572</v>
      </c>
      <c r="C79">
        <f>[1]升级时间!$L81</f>
        <v>191.32671457014837</v>
      </c>
    </row>
    <row r="80" spans="1:3" x14ac:dyDescent="0.15">
      <c r="A80">
        <v>79</v>
      </c>
      <c r="B80">
        <f>[1]升级时间!K82</f>
        <v>12.435404256965052</v>
      </c>
      <c r="C80">
        <f>[1]升级时间!$L82</f>
        <v>203.76211882711343</v>
      </c>
    </row>
    <row r="81" spans="1:3" x14ac:dyDescent="0.15">
      <c r="A81">
        <v>80</v>
      </c>
      <c r="B81">
        <f>[1]升级时间!K83</f>
        <v>13.000919299486762</v>
      </c>
      <c r="C81">
        <f>[1]升级时间!$L83</f>
        <v>216.76303812660018</v>
      </c>
    </row>
    <row r="82" spans="1:3" x14ac:dyDescent="0.15">
      <c r="A82">
        <v>81</v>
      </c>
      <c r="B82">
        <f>[1]升级时间!K84</f>
        <v>13.611034699877697</v>
      </c>
      <c r="C82">
        <f>[1]升级时间!$L84</f>
        <v>230.37407282647789</v>
      </c>
    </row>
    <row r="83" spans="1:3" x14ac:dyDescent="0.15">
      <c r="A83">
        <v>82</v>
      </c>
      <c r="B83">
        <f>[1]升级时间!K85</f>
        <v>14.242901429179994</v>
      </c>
      <c r="C83">
        <f>[1]升级时间!$L85</f>
        <v>244.61697425565788</v>
      </c>
    </row>
    <row r="84" spans="1:3" x14ac:dyDescent="0.15">
      <c r="A84">
        <v>83</v>
      </c>
      <c r="B84">
        <f>[1]升级时间!K86</f>
        <v>14.89703514389802</v>
      </c>
      <c r="C84">
        <f>[1]升级时间!$L86</f>
        <v>259.5140093995559</v>
      </c>
    </row>
    <row r="85" spans="1:3" x14ac:dyDescent="0.15">
      <c r="A85">
        <v>84</v>
      </c>
      <c r="B85">
        <f>[1]升级时间!K87</f>
        <v>15.559841263462172</v>
      </c>
      <c r="C85">
        <f>[1]升级时间!$L87</f>
        <v>275.07385066301805</v>
      </c>
    </row>
    <row r="86" spans="1:3" x14ac:dyDescent="0.15">
      <c r="A86">
        <v>85</v>
      </c>
      <c r="B86">
        <f>[1]升级时间!K88</f>
        <v>16.857654929218839</v>
      </c>
      <c r="C86">
        <f>[1]升级时间!$L88</f>
        <v>291.93150559223687</v>
      </c>
    </row>
    <row r="87" spans="1:3" x14ac:dyDescent="0.15">
      <c r="A87">
        <v>86</v>
      </c>
      <c r="B87">
        <f>[1]升级时间!K89</f>
        <v>17.602637944433031</v>
      </c>
      <c r="C87">
        <f>[1]升级时间!$L89</f>
        <v>309.53414353666989</v>
      </c>
    </row>
    <row r="88" spans="1:3" x14ac:dyDescent="0.15">
      <c r="A88">
        <v>87</v>
      </c>
      <c r="B88">
        <f>[1]升级时间!K90</f>
        <v>18.371856815352345</v>
      </c>
      <c r="C88">
        <f>[1]升级时间!$L90</f>
        <v>327.90600035202226</v>
      </c>
    </row>
    <row r="89" spans="1:3" x14ac:dyDescent="0.15">
      <c r="A89">
        <v>88</v>
      </c>
      <c r="B89">
        <f>[1]升级时间!K91</f>
        <v>19.165920954209206</v>
      </c>
      <c r="C89">
        <f>[1]升级时间!$L91</f>
        <v>347.07192130623145</v>
      </c>
    </row>
    <row r="90" spans="1:3" x14ac:dyDescent="0.15">
      <c r="A90">
        <v>89</v>
      </c>
      <c r="B90">
        <f>[1]升级时间!K92</f>
        <v>19.985299139643946</v>
      </c>
      <c r="C90">
        <f>[1]升级时间!$L92</f>
        <v>367.05722044587537</v>
      </c>
    </row>
    <row r="91" spans="1:3" x14ac:dyDescent="0.15">
      <c r="A91">
        <v>90</v>
      </c>
      <c r="B91">
        <f>[1]升级时间!K93</f>
        <v>20.791473755107301</v>
      </c>
      <c r="C91">
        <f>[1]升级时间!$L93</f>
        <v>387.84869420098266</v>
      </c>
    </row>
    <row r="92" spans="1:3" x14ac:dyDescent="0.15">
      <c r="A92">
        <v>91</v>
      </c>
      <c r="B92">
        <f>[1]升级时间!K94</f>
        <v>21.661442589845009</v>
      </c>
      <c r="C92">
        <f>[1]升级时间!$L94</f>
        <v>409.51013679082769</v>
      </c>
    </row>
    <row r="93" spans="1:3" x14ac:dyDescent="0.15">
      <c r="A93">
        <v>92</v>
      </c>
      <c r="B93">
        <f>[1]升级时间!K95</f>
        <v>22.558222167459324</v>
      </c>
      <c r="C93">
        <f>[1]升级时间!$L95</f>
        <v>432.06835895828704</v>
      </c>
    </row>
    <row r="94" spans="1:3" x14ac:dyDescent="0.15">
      <c r="A94">
        <v>93</v>
      </c>
      <c r="B94">
        <f>[1]升级时间!K96</f>
        <v>23.482420759603642</v>
      </c>
      <c r="C94">
        <f>[1]升级时间!$L96</f>
        <v>455.55077971789069</v>
      </c>
    </row>
    <row r="95" spans="1:3" x14ac:dyDescent="0.15">
      <c r="A95">
        <v>94</v>
      </c>
      <c r="B95">
        <f>[1]升级时间!K97</f>
        <v>24.434599847804169</v>
      </c>
      <c r="C95">
        <f>[1]升级时间!$L97</f>
        <v>479.98537956569487</v>
      </c>
    </row>
    <row r="96" spans="1:3" x14ac:dyDescent="0.15">
      <c r="A96">
        <v>95</v>
      </c>
      <c r="B96">
        <f>[1]升级时间!K98</f>
        <v>25.415274123459934</v>
      </c>
      <c r="C96">
        <f>[1]升级时间!$L98</f>
        <v>505.40065368915481</v>
      </c>
    </row>
    <row r="97" spans="1:3" x14ac:dyDescent="0.15">
      <c r="A97">
        <v>96</v>
      </c>
      <c r="B97">
        <f>[1]升级时间!K99</f>
        <v>26.425005068097153</v>
      </c>
      <c r="C97">
        <f>[1]升级时间!$L99</f>
        <v>531.82565875725197</v>
      </c>
    </row>
    <row r="98" spans="1:3" x14ac:dyDescent="0.15">
      <c r="A98">
        <v>97</v>
      </c>
      <c r="B98">
        <f>[1]升级时间!K100</f>
        <v>27.464400953369218</v>
      </c>
      <c r="C98">
        <f>[1]升级时间!$L100</f>
        <v>559.29005971062122</v>
      </c>
    </row>
    <row r="99" spans="1:3" x14ac:dyDescent="0.15">
      <c r="A99">
        <v>98</v>
      </c>
      <c r="B99">
        <f>[1]升级时间!K101</f>
        <v>28.533976470675157</v>
      </c>
      <c r="C99">
        <f>[1]升级时间!$L101</f>
        <v>587.82403618129638</v>
      </c>
    </row>
    <row r="100" spans="1:3" x14ac:dyDescent="0.15">
      <c r="A100">
        <v>99</v>
      </c>
      <c r="B100">
        <f>[1]升级时间!K102</f>
        <v>29.634293101541179</v>
      </c>
      <c r="C100">
        <f>[1]升级时间!$L102</f>
        <v>617.45832928283755</v>
      </c>
    </row>
    <row r="101" spans="1:3" x14ac:dyDescent="0.15">
      <c r="A101">
        <v>100</v>
      </c>
      <c r="B101">
        <f>[1]升级时间!K103</f>
        <v>30.708578366378578</v>
      </c>
      <c r="C101">
        <f>[1]升级时间!$L103</f>
        <v>648.16690764921611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</vt:i4>
      </vt:variant>
    </vt:vector>
  </HeadingPairs>
  <TitlesOfParts>
    <vt:vector size="10" baseType="lpstr">
      <vt:lpstr>D_技能表</vt:lpstr>
      <vt:lpstr>D_技能表CD</vt:lpstr>
      <vt:lpstr>金币生产率</vt:lpstr>
      <vt:lpstr>消耗&amp;价值&amp;分析</vt:lpstr>
      <vt:lpstr>伤害参考系</vt:lpstr>
      <vt:lpstr>技能配置辅助表</vt:lpstr>
      <vt:lpstr>技能CD配置辅助表</vt:lpstr>
      <vt:lpstr>升级时间</vt:lpstr>
      <vt:lpstr>技能辅助查询表</vt:lpstr>
      <vt:lpstr>技能设定数据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2015-08-15T09:59:11Z</dcterms:modified>
</cp:coreProperties>
</file>